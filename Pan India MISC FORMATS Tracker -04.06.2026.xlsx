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filterPrivacy="1" codeName="ThisWorkbook" hidePivotFieldList="1"/>
  <xr:revisionPtr revIDLastSave="0" documentId="13_ncr:1_{A7326010-193E-4DE0-8645-BD0DC4B82D1F}" xr6:coauthVersionLast="36" xr6:coauthVersionMax="36" xr10:uidLastSave="{00000000-0000-0000-0000-000000000000}"/>
  <bookViews>
    <workbookView xWindow="0" yWindow="0" windowWidth="23040" windowHeight="8940" tabRatio="837" firstSheet="1" activeTab="1" xr2:uid="{00000000-000D-0000-FFFF-FFFF00000000}"/>
  </bookViews>
  <sheets>
    <sheet name="Main Dashboard" sheetId="129" state="hidden" r:id="rId1"/>
    <sheet name="Summary" sheetId="131" r:id="rId2"/>
    <sheet name="Zone Wise Summary" sheetId="133" r:id="rId3"/>
    <sheet name="Backup" sheetId="132" r:id="rId4"/>
    <sheet name="AOP Format" sheetId="128" state="hidden" r:id="rId5"/>
    <sheet name="AOP Calendar" sheetId="115" state="hidden"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_________________________________dk1" hidden="1">{#N/A,#N/A,FALSE,"COVER.XLS";#N/A,#N/A,FALSE,"RACT1.XLS";#N/A,#N/A,FALSE,"RACT2.XLS";#N/A,#N/A,FALSE,"ECCMP";#N/A,#N/A,FALSE,"WELDER.XLS"}</definedName>
    <definedName name="_________________________________kv2" hidden="1">{#N/A,#N/A,FALSE,"COVER1.XLS ";#N/A,#N/A,FALSE,"RACT1.XLS";#N/A,#N/A,FALSE,"RACT2.XLS";#N/A,#N/A,FALSE,"ECCMP";#N/A,#N/A,FALSE,"WELDER.XLS"}</definedName>
    <definedName name="_________________________________kvs1" hidden="1">{#N/A,#N/A,FALSE,"COVER1.XLS ";#N/A,#N/A,FALSE,"RACT1.XLS";#N/A,#N/A,FALSE,"RACT2.XLS";#N/A,#N/A,FALSE,"ECCMP";#N/A,#N/A,FALSE,"WELDER.XLS"}</definedName>
    <definedName name="_________________________________kvs2" hidden="1">{#N/A,#N/A,FALSE,"COVER1.XLS ";#N/A,#N/A,FALSE,"RACT1.XLS";#N/A,#N/A,FALSE,"RACT2.XLS";#N/A,#N/A,FALSE,"ECCMP";#N/A,#N/A,FALSE,"WELDER.XLS"}</definedName>
    <definedName name="_________________________________kvs5" hidden="1">{#N/A,#N/A,FALSE,"COVER.XLS";#N/A,#N/A,FALSE,"RACT1.XLS";#N/A,#N/A,FALSE,"RACT2.XLS";#N/A,#N/A,FALSE,"ECCMP";#N/A,#N/A,FALSE,"WELDER.XLS"}</definedName>
    <definedName name="_________________________________kvs8" hidden="1">{#N/A,#N/A,FALSE,"COVER1.XLS ";#N/A,#N/A,FALSE,"RACT1.XLS";#N/A,#N/A,FALSE,"RACT2.XLS";#N/A,#N/A,FALSE,"ECCMP";#N/A,#N/A,FALSE,"WELDER.XLS"}</definedName>
    <definedName name="_____________________________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_________________________ns1" hidden="1">{#N/A,#N/A,FALSE,"COVER1.XLS ";#N/A,#N/A,FALSE,"RACT1.XLS";#N/A,#N/A,FALSE,"RACT2.XLS";#N/A,#N/A,FALSE,"ECCMP";#N/A,#N/A,FALSE,"WELDER.XLS"}</definedName>
    <definedName name="_____________________________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_______________________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_______________________dk1" hidden="1">{#N/A,#N/A,FALSE,"COVER.XLS";#N/A,#N/A,FALSE,"RACT1.XLS";#N/A,#N/A,FALSE,"RACT2.XLS";#N/A,#N/A,FALSE,"ECCMP";#N/A,#N/A,FALSE,"WELDER.XLS"}</definedName>
    <definedName name="_______________________________kv2" hidden="1">{#N/A,#N/A,FALSE,"COVER1.XLS ";#N/A,#N/A,FALSE,"RACT1.XLS";#N/A,#N/A,FALSE,"RACT2.XLS";#N/A,#N/A,FALSE,"ECCMP";#N/A,#N/A,FALSE,"WELDER.XLS"}</definedName>
    <definedName name="_______________________________kvs1" hidden="1">{#N/A,#N/A,FALSE,"COVER1.XLS ";#N/A,#N/A,FALSE,"RACT1.XLS";#N/A,#N/A,FALSE,"RACT2.XLS";#N/A,#N/A,FALSE,"ECCMP";#N/A,#N/A,FALSE,"WELDER.XLS"}</definedName>
    <definedName name="_______________________________kvs2" hidden="1">{#N/A,#N/A,FALSE,"COVER1.XLS ";#N/A,#N/A,FALSE,"RACT1.XLS";#N/A,#N/A,FALSE,"RACT2.XLS";#N/A,#N/A,FALSE,"ECCMP";#N/A,#N/A,FALSE,"WELDER.XLS"}</definedName>
    <definedName name="_______________________________kvs5" hidden="1">{#N/A,#N/A,FALSE,"COVER.XLS";#N/A,#N/A,FALSE,"RACT1.XLS";#N/A,#N/A,FALSE,"RACT2.XLS";#N/A,#N/A,FALSE,"ECCMP";#N/A,#N/A,FALSE,"WELDER.XLS"}</definedName>
    <definedName name="_______________________________kvs8" hidden="1">{#N/A,#N/A,FALSE,"COVER1.XLS ";#N/A,#N/A,FALSE,"RACT1.XLS";#N/A,#N/A,FALSE,"RACT2.XLS";#N/A,#N/A,FALSE,"ECCMP";#N/A,#N/A,FALSE,"WELDER.XLS"}</definedName>
    <definedName name="___________________________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_______________________ns1" hidden="1">{#N/A,#N/A,FALSE,"COVER1.XLS ";#N/A,#N/A,FALSE,"RACT1.XLS";#N/A,#N/A,FALSE,"RACT2.XLS";#N/A,#N/A,FALSE,"ECCMP";#N/A,#N/A,FALSE,"WELDER.XLS"}</definedName>
    <definedName name="___________________________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_____________________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___________________dk1" hidden="1">{#N/A,#N/A,FALSE,"COVER.XLS";#N/A,#N/A,FALSE,"RACT1.XLS";#N/A,#N/A,FALSE,"RACT2.XLS";#N/A,#N/A,FALSE,"ECCMP";#N/A,#N/A,FALSE,"WELDER.XLS"}</definedName>
    <definedName name="___________________________kv2" hidden="1">{#N/A,#N/A,FALSE,"COVER1.XLS ";#N/A,#N/A,FALSE,"RACT1.XLS";#N/A,#N/A,FALSE,"RACT2.XLS";#N/A,#N/A,FALSE,"ECCMP";#N/A,#N/A,FALSE,"WELDER.XLS"}</definedName>
    <definedName name="___________________________kvs1" hidden="1">{#N/A,#N/A,FALSE,"COVER1.XLS ";#N/A,#N/A,FALSE,"RACT1.XLS";#N/A,#N/A,FALSE,"RACT2.XLS";#N/A,#N/A,FALSE,"ECCMP";#N/A,#N/A,FALSE,"WELDER.XLS"}</definedName>
    <definedName name="___________________________kvs2" hidden="1">{#N/A,#N/A,FALSE,"COVER1.XLS ";#N/A,#N/A,FALSE,"RACT1.XLS";#N/A,#N/A,FALSE,"RACT2.XLS";#N/A,#N/A,FALSE,"ECCMP";#N/A,#N/A,FALSE,"WELDER.XLS"}</definedName>
    <definedName name="___________________________kvs5" hidden="1">{#N/A,#N/A,FALSE,"COVER.XLS";#N/A,#N/A,FALSE,"RACT1.XLS";#N/A,#N/A,FALSE,"RACT2.XLS";#N/A,#N/A,FALSE,"ECCMP";#N/A,#N/A,FALSE,"WELDER.XLS"}</definedName>
    <definedName name="___________________________kvs8" hidden="1">{#N/A,#N/A,FALSE,"COVER1.XLS ";#N/A,#N/A,FALSE,"RACT1.XLS";#N/A,#N/A,FALSE,"RACT2.XLS";#N/A,#N/A,FALSE,"ECCMP";#N/A,#N/A,FALSE,"WELDER.XLS"}</definedName>
    <definedName name="_______________________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___________________ns1" hidden="1">{#N/A,#N/A,FALSE,"COVER1.XLS ";#N/A,#N/A,FALSE,"RACT1.XLS";#N/A,#N/A,FALSE,"RACT2.XLS";#N/A,#N/A,FALSE,"ECCMP";#N/A,#N/A,FALSE,"WELDER.XLS"}</definedName>
    <definedName name="_______________________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_________________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_________________abc1" hidden="1">{#N/A,#N/A,FALSE,"str_title";#N/A,#N/A,FALSE,"SUM";#N/A,#N/A,FALSE,"Scope";#N/A,#N/A,FALSE,"PIE-Jn";#N/A,#N/A,FALSE,"PIE-Jn_Hz";#N/A,#N/A,FALSE,"Liq_Plan";#N/A,#N/A,FALSE,"S_Curve";#N/A,#N/A,FALSE,"Liq_Prof";#N/A,#N/A,FALSE,"Man_Pwr";#N/A,#N/A,FALSE,"Man_Prof"}</definedName>
    <definedName name="_________________________dk1" hidden="1">{#N/A,#N/A,FALSE,"COVER.XLS";#N/A,#N/A,FALSE,"RACT1.XLS";#N/A,#N/A,FALSE,"RACT2.XLS";#N/A,#N/A,FALSE,"ECCMP";#N/A,#N/A,FALSE,"WELDER.XLS"}</definedName>
    <definedName name="_________________________kv2" hidden="1">{#N/A,#N/A,FALSE,"COVER1.XLS ";#N/A,#N/A,FALSE,"RACT1.XLS";#N/A,#N/A,FALSE,"RACT2.XLS";#N/A,#N/A,FALSE,"ECCMP";#N/A,#N/A,FALSE,"WELDER.XLS"}</definedName>
    <definedName name="_________________________kvs1" hidden="1">{#N/A,#N/A,FALSE,"COVER1.XLS ";#N/A,#N/A,FALSE,"RACT1.XLS";#N/A,#N/A,FALSE,"RACT2.XLS";#N/A,#N/A,FALSE,"ECCMP";#N/A,#N/A,FALSE,"WELDER.XLS"}</definedName>
    <definedName name="_________________________kvs2" hidden="1">{#N/A,#N/A,FALSE,"COVER1.XLS ";#N/A,#N/A,FALSE,"RACT1.XLS";#N/A,#N/A,FALSE,"RACT2.XLS";#N/A,#N/A,FALSE,"ECCMP";#N/A,#N/A,FALSE,"WELDER.XLS"}</definedName>
    <definedName name="_________________________kvs5" hidden="1">{#N/A,#N/A,FALSE,"COVER.XLS";#N/A,#N/A,FALSE,"RACT1.XLS";#N/A,#N/A,FALSE,"RACT2.XLS";#N/A,#N/A,FALSE,"ECCMP";#N/A,#N/A,FALSE,"WELDER.XLS"}</definedName>
    <definedName name="_________________________kvs8" hidden="1">{#N/A,#N/A,FALSE,"COVER1.XLS ";#N/A,#N/A,FALSE,"RACT1.XLS";#N/A,#N/A,FALSE,"RACT2.XLS";#N/A,#N/A,FALSE,"ECCMP";#N/A,#N/A,FALSE,"WELDER.XLS"}</definedName>
    <definedName name="_____________________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_________________ns1" hidden="1">{#N/A,#N/A,FALSE,"COVER1.XLS ";#N/A,#N/A,FALSE,"RACT1.XLS";#N/A,#N/A,FALSE,"RACT2.XLS";#N/A,#N/A,FALSE,"ECCMP";#N/A,#N/A,FALSE,"WELDER.XLS"}</definedName>
    <definedName name="_____________________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_______________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_______________abc1" hidden="1">{#N/A,#N/A,FALSE,"str_title";#N/A,#N/A,FALSE,"SUM";#N/A,#N/A,FALSE,"Scope";#N/A,#N/A,FALSE,"PIE-Jn";#N/A,#N/A,FALSE,"PIE-Jn_Hz";#N/A,#N/A,FALSE,"Liq_Plan";#N/A,#N/A,FALSE,"S_Curve";#N/A,#N/A,FALSE,"Liq_Prof";#N/A,#N/A,FALSE,"Man_Pwr";#N/A,#N/A,FALSE,"Man_Prof"}</definedName>
    <definedName name="_______________________dk1" hidden="1">{#N/A,#N/A,FALSE,"COVER.XLS";#N/A,#N/A,FALSE,"RACT1.XLS";#N/A,#N/A,FALSE,"RACT2.XLS";#N/A,#N/A,FALSE,"ECCMP";#N/A,#N/A,FALSE,"WELDER.XLS"}</definedName>
    <definedName name="_______________________kv2" hidden="1">{#N/A,#N/A,FALSE,"COVER1.XLS ";#N/A,#N/A,FALSE,"RACT1.XLS";#N/A,#N/A,FALSE,"RACT2.XLS";#N/A,#N/A,FALSE,"ECCMP";#N/A,#N/A,FALSE,"WELDER.XLS"}</definedName>
    <definedName name="_______________________kvs1" hidden="1">{#N/A,#N/A,FALSE,"COVER1.XLS ";#N/A,#N/A,FALSE,"RACT1.XLS";#N/A,#N/A,FALSE,"RACT2.XLS";#N/A,#N/A,FALSE,"ECCMP";#N/A,#N/A,FALSE,"WELDER.XLS"}</definedName>
    <definedName name="_______________________kvs2" hidden="1">{#N/A,#N/A,FALSE,"COVER1.XLS ";#N/A,#N/A,FALSE,"RACT1.XLS";#N/A,#N/A,FALSE,"RACT2.XLS";#N/A,#N/A,FALSE,"ECCMP";#N/A,#N/A,FALSE,"WELDER.XLS"}</definedName>
    <definedName name="_______________________kvs5" hidden="1">{#N/A,#N/A,FALSE,"COVER.XLS";#N/A,#N/A,FALSE,"RACT1.XLS";#N/A,#N/A,FALSE,"RACT2.XLS";#N/A,#N/A,FALSE,"ECCMP";#N/A,#N/A,FALSE,"WELDER.XLS"}</definedName>
    <definedName name="_______________________kvs8" hidden="1">{#N/A,#N/A,FALSE,"COVER1.XLS ";#N/A,#N/A,FALSE,"RACT1.XLS";#N/A,#N/A,FALSE,"RACT2.XLS";#N/A,#N/A,FALSE,"ECCMP";#N/A,#N/A,FALSE,"WELDER.XLS"}</definedName>
    <definedName name="___________________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_______________ns1" hidden="1">{#N/A,#N/A,FALSE,"COVER1.XLS ";#N/A,#N/A,FALSE,"RACT1.XLS";#N/A,#N/A,FALSE,"RACT2.XLS";#N/A,#N/A,FALSE,"ECCMP";#N/A,#N/A,FALSE,"WELDER.XLS"}</definedName>
    <definedName name="___________________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_____________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_____________dk1" hidden="1">{#N/A,#N/A,FALSE,"COVER.XLS";#N/A,#N/A,FALSE,"RACT1.XLS";#N/A,#N/A,FALSE,"RACT2.XLS";#N/A,#N/A,FALSE,"ECCMP";#N/A,#N/A,FALSE,"WELDER.XLS"}</definedName>
    <definedName name="_____________________kv2" hidden="1">{#N/A,#N/A,FALSE,"COVER1.XLS ";#N/A,#N/A,FALSE,"RACT1.XLS";#N/A,#N/A,FALSE,"RACT2.XLS";#N/A,#N/A,FALSE,"ECCMP";#N/A,#N/A,FALSE,"WELDER.XLS"}</definedName>
    <definedName name="_____________________kvs1" hidden="1">{#N/A,#N/A,FALSE,"COVER1.XLS ";#N/A,#N/A,FALSE,"RACT1.XLS";#N/A,#N/A,FALSE,"RACT2.XLS";#N/A,#N/A,FALSE,"ECCMP";#N/A,#N/A,FALSE,"WELDER.XLS"}</definedName>
    <definedName name="_____________________kvs2" hidden="1">{#N/A,#N/A,FALSE,"COVER1.XLS ";#N/A,#N/A,FALSE,"RACT1.XLS";#N/A,#N/A,FALSE,"RACT2.XLS";#N/A,#N/A,FALSE,"ECCMP";#N/A,#N/A,FALSE,"WELDER.XLS"}</definedName>
    <definedName name="_____________________kvs5" hidden="1">{#N/A,#N/A,FALSE,"COVER.XLS";#N/A,#N/A,FALSE,"RACT1.XLS";#N/A,#N/A,FALSE,"RACT2.XLS";#N/A,#N/A,FALSE,"ECCMP";#N/A,#N/A,FALSE,"WELDER.XLS"}</definedName>
    <definedName name="_____________________kvs8" hidden="1">{#N/A,#N/A,FALSE,"COVER1.XLS ";#N/A,#N/A,FALSE,"RACT1.XLS";#N/A,#N/A,FALSE,"RACT2.XLS";#N/A,#N/A,FALSE,"ECCMP";#N/A,#N/A,FALSE,"WELDER.XLS"}</definedName>
    <definedName name="_________________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_____________ns1" hidden="1">{#N/A,#N/A,FALSE,"COVER1.XLS ";#N/A,#N/A,FALSE,"RACT1.XLS";#N/A,#N/A,FALSE,"RACT2.XLS";#N/A,#N/A,FALSE,"ECCMP";#N/A,#N/A,FALSE,"WELDER.XLS"}</definedName>
    <definedName name="_________________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___________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____________abc1" hidden="1">{#N/A,#N/A,FALSE,"str_title";#N/A,#N/A,FALSE,"SUM";#N/A,#N/A,FALSE,"Scope";#N/A,#N/A,FALSE,"PIE-Jn";#N/A,#N/A,FALSE,"PIE-Jn_Hz";#N/A,#N/A,FALSE,"Liq_Plan";#N/A,#N/A,FALSE,"S_Curve";#N/A,#N/A,FALSE,"Liq_Prof";#N/A,#N/A,FALSE,"Man_Pwr";#N/A,#N/A,FALSE,"Man_Prof"}</definedName>
    <definedName name="___________________abc1" hidden="1">{#N/A,#N/A,FALSE,"str_title";#N/A,#N/A,FALSE,"SUM";#N/A,#N/A,FALSE,"Scope";#N/A,#N/A,FALSE,"PIE-Jn";#N/A,#N/A,FALSE,"PIE-Jn_Hz";#N/A,#N/A,FALSE,"Liq_Plan";#N/A,#N/A,FALSE,"S_Curve";#N/A,#N/A,FALSE,"Liq_Prof";#N/A,#N/A,FALSE,"Man_Pwr";#N/A,#N/A,FALSE,"Man_Prof"}</definedName>
    <definedName name="___________________dk1" hidden="1">{#N/A,#N/A,FALSE,"COVER.XLS";#N/A,#N/A,FALSE,"RACT1.XLS";#N/A,#N/A,FALSE,"RACT2.XLS";#N/A,#N/A,FALSE,"ECCMP";#N/A,#N/A,FALSE,"WELDER.XLS"}</definedName>
    <definedName name="___________________kv2" hidden="1">{#N/A,#N/A,FALSE,"COVER1.XLS ";#N/A,#N/A,FALSE,"RACT1.XLS";#N/A,#N/A,FALSE,"RACT2.XLS";#N/A,#N/A,FALSE,"ECCMP";#N/A,#N/A,FALSE,"WELDER.XLS"}</definedName>
    <definedName name="___________________kvs1" hidden="1">{#N/A,#N/A,FALSE,"COVER1.XLS ";#N/A,#N/A,FALSE,"RACT1.XLS";#N/A,#N/A,FALSE,"RACT2.XLS";#N/A,#N/A,FALSE,"ECCMP";#N/A,#N/A,FALSE,"WELDER.XLS"}</definedName>
    <definedName name="___________________kvs2" hidden="1">{#N/A,#N/A,FALSE,"COVER1.XLS ";#N/A,#N/A,FALSE,"RACT1.XLS";#N/A,#N/A,FALSE,"RACT2.XLS";#N/A,#N/A,FALSE,"ECCMP";#N/A,#N/A,FALSE,"WELDER.XLS"}</definedName>
    <definedName name="___________________kvs5" hidden="1">{#N/A,#N/A,FALSE,"COVER.XLS";#N/A,#N/A,FALSE,"RACT1.XLS";#N/A,#N/A,FALSE,"RACT2.XLS";#N/A,#N/A,FALSE,"ECCMP";#N/A,#N/A,FALSE,"WELDER.XLS"}</definedName>
    <definedName name="___________________kvs8" hidden="1">{#N/A,#N/A,FALSE,"COVER1.XLS ";#N/A,#N/A,FALSE,"RACT1.XLS";#N/A,#N/A,FALSE,"RACT2.XLS";#N/A,#N/A,FALSE,"ECCMP";#N/A,#N/A,FALSE,"WELDER.XLS"}</definedName>
    <definedName name="_______________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___________ns1" hidden="1">{#N/A,#N/A,FALSE,"COVER1.XLS ";#N/A,#N/A,FALSE,"RACT1.XLS";#N/A,#N/A,FALSE,"RACT2.XLS";#N/A,#N/A,FALSE,"ECCMP";#N/A,#N/A,FALSE,"WELDER.XLS"}</definedName>
    <definedName name="_______________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_________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__________abc1" hidden="1">{#N/A,#N/A,FALSE,"str_title";#N/A,#N/A,FALSE,"SUM";#N/A,#N/A,FALSE,"Scope";#N/A,#N/A,FALSE,"PIE-Jn";#N/A,#N/A,FALSE,"PIE-Jn_Hz";#N/A,#N/A,FALSE,"Liq_Plan";#N/A,#N/A,FALSE,"S_Curve";#N/A,#N/A,FALSE,"Liq_Prof";#N/A,#N/A,FALSE,"Man_Pwr";#N/A,#N/A,FALSE,"Man_Prof"}</definedName>
    <definedName name="_________________abc1" hidden="1">{#N/A,#N/A,FALSE,"str_title";#N/A,#N/A,FALSE,"SUM";#N/A,#N/A,FALSE,"Scope";#N/A,#N/A,FALSE,"PIE-Jn";#N/A,#N/A,FALSE,"PIE-Jn_Hz";#N/A,#N/A,FALSE,"Liq_Plan";#N/A,#N/A,FALSE,"S_Curve";#N/A,#N/A,FALSE,"Liq_Prof";#N/A,#N/A,FALSE,"Man_Pwr";#N/A,#N/A,FALSE,"Man_Prof"}</definedName>
    <definedName name="_________________dk1" hidden="1">{#N/A,#N/A,FALSE,"COVER.XLS";#N/A,#N/A,FALSE,"RACT1.XLS";#N/A,#N/A,FALSE,"RACT2.XLS";#N/A,#N/A,FALSE,"ECCMP";#N/A,#N/A,FALSE,"WELDER.XLS"}</definedName>
    <definedName name="_________________kv2" hidden="1">{#N/A,#N/A,FALSE,"COVER1.XLS ";#N/A,#N/A,FALSE,"RACT1.XLS";#N/A,#N/A,FALSE,"RACT2.XLS";#N/A,#N/A,FALSE,"ECCMP";#N/A,#N/A,FALSE,"WELDER.XLS"}</definedName>
    <definedName name="_________________kvs1" hidden="1">{#N/A,#N/A,FALSE,"COVER1.XLS ";#N/A,#N/A,FALSE,"RACT1.XLS";#N/A,#N/A,FALSE,"RACT2.XLS";#N/A,#N/A,FALSE,"ECCMP";#N/A,#N/A,FALSE,"WELDER.XLS"}</definedName>
    <definedName name="_________________kvs2" hidden="1">{#N/A,#N/A,FALSE,"COVER1.XLS ";#N/A,#N/A,FALSE,"RACT1.XLS";#N/A,#N/A,FALSE,"RACT2.XLS";#N/A,#N/A,FALSE,"ECCMP";#N/A,#N/A,FALSE,"WELDER.XLS"}</definedName>
    <definedName name="_________________kvs5" hidden="1">{#N/A,#N/A,FALSE,"COVER.XLS";#N/A,#N/A,FALSE,"RACT1.XLS";#N/A,#N/A,FALSE,"RACT2.XLS";#N/A,#N/A,FALSE,"ECCMP";#N/A,#N/A,FALSE,"WELDER.XLS"}</definedName>
    <definedName name="_________________kvs8" hidden="1">{#N/A,#N/A,FALSE,"COVER1.XLS ";#N/A,#N/A,FALSE,"RACT1.XLS";#N/A,#N/A,FALSE,"RACT2.XLS";#N/A,#N/A,FALSE,"ECCMP";#N/A,#N/A,FALSE,"WELDER.XLS"}</definedName>
    <definedName name="_____________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_________ns1" hidden="1">{#N/A,#N/A,FALSE,"COVER1.XLS ";#N/A,#N/A,FALSE,"RACT1.XLS";#N/A,#N/A,FALSE,"RACT2.XLS";#N/A,#N/A,FALSE,"ECCMP";#N/A,#N/A,FALSE,"WELDER.XLS"}</definedName>
    <definedName name="_____________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_______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________abc1" hidden="1">{#N/A,#N/A,FALSE,"str_title";#N/A,#N/A,FALSE,"SUM";#N/A,#N/A,FALSE,"Scope";#N/A,#N/A,FALSE,"PIE-Jn";#N/A,#N/A,FALSE,"PIE-Jn_Hz";#N/A,#N/A,FALSE,"Liq_Plan";#N/A,#N/A,FALSE,"S_Curve";#N/A,#N/A,FALSE,"Liq_Prof";#N/A,#N/A,FALSE,"Man_Pwr";#N/A,#N/A,FALSE,"Man_Prof"}</definedName>
    <definedName name="_______________abc1" hidden="1">{#N/A,#N/A,FALSE,"str_title";#N/A,#N/A,FALSE,"SUM";#N/A,#N/A,FALSE,"Scope";#N/A,#N/A,FALSE,"PIE-Jn";#N/A,#N/A,FALSE,"PIE-Jn_Hz";#N/A,#N/A,FALSE,"Liq_Plan";#N/A,#N/A,FALSE,"S_Curve";#N/A,#N/A,FALSE,"Liq_Prof";#N/A,#N/A,FALSE,"Man_Pwr";#N/A,#N/A,FALSE,"Man_Prof"}</definedName>
    <definedName name="_______________dk1" hidden="1">{#N/A,#N/A,FALSE,"COVER.XLS";#N/A,#N/A,FALSE,"RACT1.XLS";#N/A,#N/A,FALSE,"RACT2.XLS";#N/A,#N/A,FALSE,"ECCMP";#N/A,#N/A,FALSE,"WELDER.XLS"}</definedName>
    <definedName name="_______________kv2" hidden="1">{#N/A,#N/A,FALSE,"COVER1.XLS ";#N/A,#N/A,FALSE,"RACT1.XLS";#N/A,#N/A,FALSE,"RACT2.XLS";#N/A,#N/A,FALSE,"ECCMP";#N/A,#N/A,FALSE,"WELDER.XLS"}</definedName>
    <definedName name="_______________kvs1" hidden="1">{#N/A,#N/A,FALSE,"COVER1.XLS ";#N/A,#N/A,FALSE,"RACT1.XLS";#N/A,#N/A,FALSE,"RACT2.XLS";#N/A,#N/A,FALSE,"ECCMP";#N/A,#N/A,FALSE,"WELDER.XLS"}</definedName>
    <definedName name="_______________kvs2" hidden="1">{#N/A,#N/A,FALSE,"COVER1.XLS ";#N/A,#N/A,FALSE,"RACT1.XLS";#N/A,#N/A,FALSE,"RACT2.XLS";#N/A,#N/A,FALSE,"ECCMP";#N/A,#N/A,FALSE,"WELDER.XLS"}</definedName>
    <definedName name="_______________kvs5" hidden="1">{#N/A,#N/A,FALSE,"COVER.XLS";#N/A,#N/A,FALSE,"RACT1.XLS";#N/A,#N/A,FALSE,"RACT2.XLS";#N/A,#N/A,FALSE,"ECCMP";#N/A,#N/A,FALSE,"WELDER.XLS"}</definedName>
    <definedName name="_______________kvs8" hidden="1">{#N/A,#N/A,FALSE,"COVER1.XLS ";#N/A,#N/A,FALSE,"RACT1.XLS";#N/A,#N/A,FALSE,"RACT2.XLS";#N/A,#N/A,FALSE,"ECCMP";#N/A,#N/A,FALSE,"WELDER.XLS"}</definedName>
    <definedName name="___________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_______ns1" hidden="1">{#N/A,#N/A,FALSE,"COVER1.XLS ";#N/A,#N/A,FALSE,"RACT1.XLS";#N/A,#N/A,FALSE,"RACT2.XLS";#N/A,#N/A,FALSE,"ECCMP";#N/A,#N/A,FALSE,"WELDER.XLS"}</definedName>
    <definedName name="___________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_____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______abc1" hidden="1">{#N/A,#N/A,FALSE,"str_title";#N/A,#N/A,FALSE,"SUM";#N/A,#N/A,FALSE,"Scope";#N/A,#N/A,FALSE,"PIE-Jn";#N/A,#N/A,FALSE,"PIE-Jn_Hz";#N/A,#N/A,FALSE,"Liq_Plan";#N/A,#N/A,FALSE,"S_Curve";#N/A,#N/A,FALSE,"Liq_Prof";#N/A,#N/A,FALSE,"Man_Pwr";#N/A,#N/A,FALSE,"Man_Prof"}</definedName>
    <definedName name="_____________abc1" hidden="1">{#N/A,#N/A,FALSE,"str_title";#N/A,#N/A,FALSE,"SUM";#N/A,#N/A,FALSE,"Scope";#N/A,#N/A,FALSE,"PIE-Jn";#N/A,#N/A,FALSE,"PIE-Jn_Hz";#N/A,#N/A,FALSE,"Liq_Plan";#N/A,#N/A,FALSE,"S_Curve";#N/A,#N/A,FALSE,"Liq_Prof";#N/A,#N/A,FALSE,"Man_Pwr";#N/A,#N/A,FALSE,"Man_Prof"}</definedName>
    <definedName name="_____________dk1" hidden="1">{#N/A,#N/A,FALSE,"COVER.XLS";#N/A,#N/A,FALSE,"RACT1.XLS";#N/A,#N/A,FALSE,"RACT2.XLS";#N/A,#N/A,FALSE,"ECCMP";#N/A,#N/A,FALSE,"WELDER.XLS"}</definedName>
    <definedName name="_____________kv2" hidden="1">{#N/A,#N/A,FALSE,"COVER1.XLS ";#N/A,#N/A,FALSE,"RACT1.XLS";#N/A,#N/A,FALSE,"RACT2.XLS";#N/A,#N/A,FALSE,"ECCMP";#N/A,#N/A,FALSE,"WELDER.XLS"}</definedName>
    <definedName name="_____________kvs1" hidden="1">{#N/A,#N/A,FALSE,"COVER1.XLS ";#N/A,#N/A,FALSE,"RACT1.XLS";#N/A,#N/A,FALSE,"RACT2.XLS";#N/A,#N/A,FALSE,"ECCMP";#N/A,#N/A,FALSE,"WELDER.XLS"}</definedName>
    <definedName name="_____________kvs2" hidden="1">{#N/A,#N/A,FALSE,"COVER1.XLS ";#N/A,#N/A,FALSE,"RACT1.XLS";#N/A,#N/A,FALSE,"RACT2.XLS";#N/A,#N/A,FALSE,"ECCMP";#N/A,#N/A,FALSE,"WELDER.XLS"}</definedName>
    <definedName name="_____________kvs5" hidden="1">{#N/A,#N/A,FALSE,"COVER.XLS";#N/A,#N/A,FALSE,"RACT1.XLS";#N/A,#N/A,FALSE,"RACT2.XLS";#N/A,#N/A,FALSE,"ECCMP";#N/A,#N/A,FALSE,"WELDER.XLS"}</definedName>
    <definedName name="_____________kvs8" hidden="1">{#N/A,#N/A,FALSE,"COVER1.XLS ";#N/A,#N/A,FALSE,"RACT1.XLS";#N/A,#N/A,FALSE,"RACT2.XLS";#N/A,#N/A,FALSE,"ECCMP";#N/A,#N/A,FALSE,"WELDER.XLS"}</definedName>
    <definedName name="_________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_____ns1" hidden="1">{#N/A,#N/A,FALSE,"COVER1.XLS ";#N/A,#N/A,FALSE,"RACT1.XLS";#N/A,#N/A,FALSE,"RACT2.XLS";#N/A,#N/A,FALSE,"ECCMP";#N/A,#N/A,FALSE,"WELDER.XLS"}</definedName>
    <definedName name="_________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___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____abc1" hidden="1">{#N/A,#N/A,FALSE,"str_title";#N/A,#N/A,FALSE,"SUM";#N/A,#N/A,FALSE,"Scope";#N/A,#N/A,FALSE,"PIE-Jn";#N/A,#N/A,FALSE,"PIE-Jn_Hz";#N/A,#N/A,FALSE,"Liq_Plan";#N/A,#N/A,FALSE,"S_Curve";#N/A,#N/A,FALSE,"Liq_Prof";#N/A,#N/A,FALSE,"Man_Pwr";#N/A,#N/A,FALSE,"Man_Prof"}</definedName>
    <definedName name="___________abc1" hidden="1">{#N/A,#N/A,FALSE,"str_title";#N/A,#N/A,FALSE,"SUM";#N/A,#N/A,FALSE,"Scope";#N/A,#N/A,FALSE,"PIE-Jn";#N/A,#N/A,FALSE,"PIE-Jn_Hz";#N/A,#N/A,FALSE,"Liq_Plan";#N/A,#N/A,FALSE,"S_Curve";#N/A,#N/A,FALSE,"Liq_Prof";#N/A,#N/A,FALSE,"Man_Pwr";#N/A,#N/A,FALSE,"Man_Prof"}</definedName>
    <definedName name="___________dk1" hidden="1">{#N/A,#N/A,FALSE,"COVER.XLS";#N/A,#N/A,FALSE,"RACT1.XLS";#N/A,#N/A,FALSE,"RACT2.XLS";#N/A,#N/A,FALSE,"ECCMP";#N/A,#N/A,FALSE,"WELDER.XLS"}</definedName>
    <definedName name="___________kv2" hidden="1">{#N/A,#N/A,FALSE,"COVER1.XLS ";#N/A,#N/A,FALSE,"RACT1.XLS";#N/A,#N/A,FALSE,"RACT2.XLS";#N/A,#N/A,FALSE,"ECCMP";#N/A,#N/A,FALSE,"WELDER.XLS"}</definedName>
    <definedName name="___________kvs1" hidden="1">{#N/A,#N/A,FALSE,"COVER1.XLS ";#N/A,#N/A,FALSE,"RACT1.XLS";#N/A,#N/A,FALSE,"RACT2.XLS";#N/A,#N/A,FALSE,"ECCMP";#N/A,#N/A,FALSE,"WELDER.XLS"}</definedName>
    <definedName name="___________kvs2" hidden="1">{#N/A,#N/A,FALSE,"COVER1.XLS ";#N/A,#N/A,FALSE,"RACT1.XLS";#N/A,#N/A,FALSE,"RACT2.XLS";#N/A,#N/A,FALSE,"ECCMP";#N/A,#N/A,FALSE,"WELDER.XLS"}</definedName>
    <definedName name="___________kvs5" hidden="1">{#N/A,#N/A,FALSE,"COVER.XLS";#N/A,#N/A,FALSE,"RACT1.XLS";#N/A,#N/A,FALSE,"RACT2.XLS";#N/A,#N/A,FALSE,"ECCMP";#N/A,#N/A,FALSE,"WELDER.XLS"}</definedName>
    <definedName name="___________kvs8" hidden="1">{#N/A,#N/A,FALSE,"COVER1.XLS ";#N/A,#N/A,FALSE,"RACT1.XLS";#N/A,#N/A,FALSE,"RACT2.XLS";#N/A,#N/A,FALSE,"ECCMP";#N/A,#N/A,FALSE,"WELDER.XLS"}</definedName>
    <definedName name="_______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___ns1" hidden="1">{#N/A,#N/A,FALSE,"COVER1.XLS ";#N/A,#N/A,FALSE,"RACT1.XLS";#N/A,#N/A,FALSE,"RACT2.XLS";#N/A,#N/A,FALSE,"ECCMP";#N/A,#N/A,FALSE,"WELDER.XLS"}</definedName>
    <definedName name="___________PRN1" hidden="1">{#N/A,#N/A,FALSE,"COVER.XLS";#N/A,#N/A,FALSE,"RACT1.XLS";#N/A,#N/A,FALSE,"RACT2.XLS";#N/A,#N/A,FALSE,"ECCMP";#N/A,#N/A,FALSE,"WELDER.XLS"}</definedName>
    <definedName name="_______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_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___WRN2" hidden="1">{#N/A,#N/A,FALSE,"COVER1.XLS ";#N/A,#N/A,FALSE,"RACT1.XLS";#N/A,#N/A,FALSE,"RACT2.XLS";#N/A,#N/A,FALSE,"ECCMP";#N/A,#N/A,FALSE,"WELDER.XLS"}</definedName>
    <definedName name="___________WRN3" hidden="1">{#N/A,#N/A,FALSE,"consu_cover";#N/A,#N/A,FALSE,"consu_strategy";#N/A,#N/A,FALSE,"consu_flow";#N/A,#N/A,FALSE,"Summary_reqmt";#N/A,#N/A,FALSE,"field_ppg";#N/A,#N/A,FALSE,"ppg_shop";#N/A,#N/A,FALSE,"strl";#N/A,#N/A,FALSE,"tankages";#N/A,#N/A,FALSE,"gases"}</definedName>
    <definedName name="__________abc1" hidden="1">{#N/A,#N/A,FALSE,"str_title";#N/A,#N/A,FALSE,"SUM";#N/A,#N/A,FALSE,"Scope";#N/A,#N/A,FALSE,"PIE-Jn";#N/A,#N/A,FALSE,"PIE-Jn_Hz";#N/A,#N/A,FALSE,"Liq_Plan";#N/A,#N/A,FALSE,"S_Curve";#N/A,#N/A,FALSE,"Liq_Prof";#N/A,#N/A,FALSE,"Man_Pwr";#N/A,#N/A,FALSE,"Man_Prof"}</definedName>
    <definedName name="__________dk1" hidden="1">{#N/A,#N/A,FALSE,"COVER.XLS";#N/A,#N/A,FALSE,"RACT1.XLS";#N/A,#N/A,FALSE,"RACT2.XLS";#N/A,#N/A,FALSE,"ECCMP";#N/A,#N/A,FALSE,"WELDER.XLS"}</definedName>
    <definedName name="__________kv2" hidden="1">{#N/A,#N/A,FALSE,"COVER1.XLS ";#N/A,#N/A,FALSE,"RACT1.XLS";#N/A,#N/A,FALSE,"RACT2.XLS";#N/A,#N/A,FALSE,"ECCMP";#N/A,#N/A,FALSE,"WELDER.XLS"}</definedName>
    <definedName name="__________kvs1" hidden="1">{#N/A,#N/A,FALSE,"COVER1.XLS ";#N/A,#N/A,FALSE,"RACT1.XLS";#N/A,#N/A,FALSE,"RACT2.XLS";#N/A,#N/A,FALSE,"ECCMP";#N/A,#N/A,FALSE,"WELDER.XLS"}</definedName>
    <definedName name="__________kvs2" hidden="1">{#N/A,#N/A,FALSE,"COVER1.XLS ";#N/A,#N/A,FALSE,"RACT1.XLS";#N/A,#N/A,FALSE,"RACT2.XLS";#N/A,#N/A,FALSE,"ECCMP";#N/A,#N/A,FALSE,"WELDER.XLS"}</definedName>
    <definedName name="__________kvs5" hidden="1">{#N/A,#N/A,FALSE,"COVER.XLS";#N/A,#N/A,FALSE,"RACT1.XLS";#N/A,#N/A,FALSE,"RACT2.XLS";#N/A,#N/A,FALSE,"ECCMP";#N/A,#N/A,FALSE,"WELDER.XLS"}</definedName>
    <definedName name="__________kvs8" hidden="1">{#N/A,#N/A,FALSE,"COVER1.XLS ";#N/A,#N/A,FALSE,"RACT1.XLS";#N/A,#N/A,FALSE,"RACT2.XLS";#N/A,#N/A,FALSE,"ECCMP";#N/A,#N/A,FALSE,"WELDER.XLS"}</definedName>
    <definedName name="______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__ns1" hidden="1">{#N/A,#N/A,FALSE,"COVER1.XLS ";#N/A,#N/A,FALSE,"RACT1.XLS";#N/A,#N/A,FALSE,"RACT2.XLS";#N/A,#N/A,FALSE,"ECCMP";#N/A,#N/A,FALSE,"WELDER.XLS"}</definedName>
    <definedName name="______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_abc1" hidden="1">{#N/A,#N/A,FALSE,"str_title";#N/A,#N/A,FALSE,"SUM";#N/A,#N/A,FALSE,"Scope";#N/A,#N/A,FALSE,"PIE-Jn";#N/A,#N/A,FALSE,"PIE-Jn_Hz";#N/A,#N/A,FALSE,"Liq_Plan";#N/A,#N/A,FALSE,"S_Curve";#N/A,#N/A,FALSE,"Liq_Prof";#N/A,#N/A,FALSE,"Man_Pwr";#N/A,#N/A,FALSE,"Man_Prof"}</definedName>
    <definedName name="_________dk1" hidden="1">{#N/A,#N/A,FALSE,"COVER.XLS";#N/A,#N/A,FALSE,"RACT1.XLS";#N/A,#N/A,FALSE,"RACT2.XLS";#N/A,#N/A,FALSE,"ECCMP";#N/A,#N/A,FALSE,"WELDER.XLS"}</definedName>
    <definedName name="_________kv2" hidden="1">{#N/A,#N/A,FALSE,"COVER1.XLS ";#N/A,#N/A,FALSE,"RACT1.XLS";#N/A,#N/A,FALSE,"RACT2.XLS";#N/A,#N/A,FALSE,"ECCMP";#N/A,#N/A,FALSE,"WELDER.XLS"}</definedName>
    <definedName name="_________kvs1" hidden="1">{#N/A,#N/A,FALSE,"COVER1.XLS ";#N/A,#N/A,FALSE,"RACT1.XLS";#N/A,#N/A,FALSE,"RACT2.XLS";#N/A,#N/A,FALSE,"ECCMP";#N/A,#N/A,FALSE,"WELDER.XLS"}</definedName>
    <definedName name="_________kvs2" hidden="1">{#N/A,#N/A,FALSE,"COVER1.XLS ";#N/A,#N/A,FALSE,"RACT1.XLS";#N/A,#N/A,FALSE,"RACT2.XLS";#N/A,#N/A,FALSE,"ECCMP";#N/A,#N/A,FALSE,"WELDER.XLS"}</definedName>
    <definedName name="_________kvs5" hidden="1">{#N/A,#N/A,FALSE,"COVER.XLS";#N/A,#N/A,FALSE,"RACT1.XLS";#N/A,#N/A,FALSE,"RACT2.XLS";#N/A,#N/A,FALSE,"ECCMP";#N/A,#N/A,FALSE,"WELDER.XLS"}</definedName>
    <definedName name="_________kvs8" hidden="1">{#N/A,#N/A,FALSE,"COVER1.XLS ";#N/A,#N/A,FALSE,"RACT1.XLS";#N/A,#N/A,FALSE,"RACT2.XLS";#N/A,#N/A,FALSE,"ECCMP";#N/A,#N/A,FALSE,"WELDER.XLS"}</definedName>
    <definedName name="_____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_ns1" hidden="1">{#N/A,#N/A,FALSE,"COVER1.XLS ";#N/A,#N/A,FALSE,"RACT1.XLS";#N/A,#N/A,FALSE,"RACT2.XLS";#N/A,#N/A,FALSE,"ECCMP";#N/A,#N/A,FALSE,"WELDER.XLS"}</definedName>
    <definedName name="_________PRN1" hidden="1">{#N/A,#N/A,FALSE,"COVER.XLS";#N/A,#N/A,FALSE,"RACT1.XLS";#N/A,#N/A,FALSE,"RACT2.XLS";#N/A,#N/A,FALSE,"ECCMP";#N/A,#N/A,FALSE,"WELDER.XLS"}</definedName>
    <definedName name="_____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_WRN2" hidden="1">{#N/A,#N/A,FALSE,"COVER1.XLS ";#N/A,#N/A,FALSE,"RACT1.XLS";#N/A,#N/A,FALSE,"RACT2.XLS";#N/A,#N/A,FALSE,"ECCMP";#N/A,#N/A,FALSE,"WELDER.XLS"}</definedName>
    <definedName name="_________WRN3" hidden="1">{#N/A,#N/A,FALSE,"consu_cover";#N/A,#N/A,FALSE,"consu_strategy";#N/A,#N/A,FALSE,"consu_flow";#N/A,#N/A,FALSE,"Summary_reqmt";#N/A,#N/A,FALSE,"field_ppg";#N/A,#N/A,FALSE,"ppg_shop";#N/A,#N/A,FALSE,"strl";#N/A,#N/A,FALSE,"tankages";#N/A,#N/A,FALSE,"gases"}</definedName>
    <definedName name="________abc1" hidden="1">{#N/A,#N/A,FALSE,"str_title";#N/A,#N/A,FALSE,"SUM";#N/A,#N/A,FALSE,"Scope";#N/A,#N/A,FALSE,"PIE-Jn";#N/A,#N/A,FALSE,"PIE-Jn_Hz";#N/A,#N/A,FALSE,"Liq_Plan";#N/A,#N/A,FALSE,"S_Curve";#N/A,#N/A,FALSE,"Liq_Prof";#N/A,#N/A,FALSE,"Man_Pwr";#N/A,#N/A,FALSE,"Man_Prof"}</definedName>
    <definedName name="________dk1" hidden="1">{#N/A,#N/A,FALSE,"COVER.XLS";#N/A,#N/A,FALSE,"RACT1.XLS";#N/A,#N/A,FALSE,"RACT2.XLS";#N/A,#N/A,FALSE,"ECCMP";#N/A,#N/A,FALSE,"WELDER.XLS"}</definedName>
    <definedName name="________k8" hidden="1">{#N/A,#N/A,FALSE,"COVER1.XLS ";#N/A,#N/A,FALSE,"RACT1.XLS";#N/A,#N/A,FALSE,"RACT2.XLS";#N/A,#N/A,FALSE,"ECCMP";#N/A,#N/A,FALSE,"WELDER.XLS"}</definedName>
    <definedName name="________k8_1" hidden="1">{#N/A,#N/A,FALSE,"COVER1.XLS ";#N/A,#N/A,FALSE,"RACT1.XLS";#N/A,#N/A,FALSE,"RACT2.XLS";#N/A,#N/A,FALSE,"ECCMP";#N/A,#N/A,FALSE,"WELDER.XLS"}</definedName>
    <definedName name="________k8_2" hidden="1">{#N/A,#N/A,FALSE,"COVER1.XLS ";#N/A,#N/A,FALSE,"RACT1.XLS";#N/A,#N/A,FALSE,"RACT2.XLS";#N/A,#N/A,FALSE,"ECCMP";#N/A,#N/A,FALSE,"WELDER.XLS"}</definedName>
    <definedName name="________k8_3" hidden="1">{#N/A,#N/A,FALSE,"COVER1.XLS ";#N/A,#N/A,FALSE,"RACT1.XLS";#N/A,#N/A,FALSE,"RACT2.XLS";#N/A,#N/A,FALSE,"ECCMP";#N/A,#N/A,FALSE,"WELDER.XLS"}</definedName>
    <definedName name="________k8_4" hidden="1">{#N/A,#N/A,FALSE,"COVER1.XLS ";#N/A,#N/A,FALSE,"RACT1.XLS";#N/A,#N/A,FALSE,"RACT2.XLS";#N/A,#N/A,FALSE,"ECCMP";#N/A,#N/A,FALSE,"WELDER.XLS"}</definedName>
    <definedName name="________k8_5" hidden="1">{#N/A,#N/A,FALSE,"COVER1.XLS ";#N/A,#N/A,FALSE,"RACT1.XLS";#N/A,#N/A,FALSE,"RACT2.XLS";#N/A,#N/A,FALSE,"ECCMP";#N/A,#N/A,FALSE,"WELDER.XLS"}</definedName>
    <definedName name="________kv2" hidden="1">{#N/A,#N/A,FALSE,"COVER1.XLS ";#N/A,#N/A,FALSE,"RACT1.XLS";#N/A,#N/A,FALSE,"RACT2.XLS";#N/A,#N/A,FALSE,"ECCMP";#N/A,#N/A,FALSE,"WELDER.XLS"}</definedName>
    <definedName name="________kvs1" hidden="1">{#N/A,#N/A,FALSE,"COVER1.XLS ";#N/A,#N/A,FALSE,"RACT1.XLS";#N/A,#N/A,FALSE,"RACT2.XLS";#N/A,#N/A,FALSE,"ECCMP";#N/A,#N/A,FALSE,"WELDER.XLS"}</definedName>
    <definedName name="________kvs1_1" hidden="1">{#N/A,#N/A,FALSE,"COVER1.XLS ";#N/A,#N/A,FALSE,"RACT1.XLS";#N/A,#N/A,FALSE,"RACT2.XLS";#N/A,#N/A,FALSE,"ECCMP";#N/A,#N/A,FALSE,"WELDER.XLS"}</definedName>
    <definedName name="________kvs1_2" hidden="1">{#N/A,#N/A,FALSE,"COVER1.XLS ";#N/A,#N/A,FALSE,"RACT1.XLS";#N/A,#N/A,FALSE,"RACT2.XLS";#N/A,#N/A,FALSE,"ECCMP";#N/A,#N/A,FALSE,"WELDER.XLS"}</definedName>
    <definedName name="________kvs1_3" hidden="1">{#N/A,#N/A,FALSE,"COVER1.XLS ";#N/A,#N/A,FALSE,"RACT1.XLS";#N/A,#N/A,FALSE,"RACT2.XLS";#N/A,#N/A,FALSE,"ECCMP";#N/A,#N/A,FALSE,"WELDER.XLS"}</definedName>
    <definedName name="________kvs1_4" hidden="1">{#N/A,#N/A,FALSE,"COVER1.XLS ";#N/A,#N/A,FALSE,"RACT1.XLS";#N/A,#N/A,FALSE,"RACT2.XLS";#N/A,#N/A,FALSE,"ECCMP";#N/A,#N/A,FALSE,"WELDER.XLS"}</definedName>
    <definedName name="________kvs1_5" hidden="1">{#N/A,#N/A,FALSE,"COVER1.XLS ";#N/A,#N/A,FALSE,"RACT1.XLS";#N/A,#N/A,FALSE,"RACT2.XLS";#N/A,#N/A,FALSE,"ECCMP";#N/A,#N/A,FALSE,"WELDER.XLS"}</definedName>
    <definedName name="________kvs2" hidden="1">{#N/A,#N/A,FALSE,"COVER1.XLS ";#N/A,#N/A,FALSE,"RACT1.XLS";#N/A,#N/A,FALSE,"RACT2.XLS";#N/A,#N/A,FALSE,"ECCMP";#N/A,#N/A,FALSE,"WELDER.XLS"}</definedName>
    <definedName name="________kvs2_1" hidden="1">{#N/A,#N/A,FALSE,"COVER1.XLS ";#N/A,#N/A,FALSE,"RACT1.XLS";#N/A,#N/A,FALSE,"RACT2.XLS";#N/A,#N/A,FALSE,"ECCMP";#N/A,#N/A,FALSE,"WELDER.XLS"}</definedName>
    <definedName name="________kvs2_2" hidden="1">{#N/A,#N/A,FALSE,"COVER1.XLS ";#N/A,#N/A,FALSE,"RACT1.XLS";#N/A,#N/A,FALSE,"RACT2.XLS";#N/A,#N/A,FALSE,"ECCMP";#N/A,#N/A,FALSE,"WELDER.XLS"}</definedName>
    <definedName name="________kvs2_3" hidden="1">{#N/A,#N/A,FALSE,"COVER1.XLS ";#N/A,#N/A,FALSE,"RACT1.XLS";#N/A,#N/A,FALSE,"RACT2.XLS";#N/A,#N/A,FALSE,"ECCMP";#N/A,#N/A,FALSE,"WELDER.XLS"}</definedName>
    <definedName name="________kvs2_4" hidden="1">{#N/A,#N/A,FALSE,"COVER1.XLS ";#N/A,#N/A,FALSE,"RACT1.XLS";#N/A,#N/A,FALSE,"RACT2.XLS";#N/A,#N/A,FALSE,"ECCMP";#N/A,#N/A,FALSE,"WELDER.XLS"}</definedName>
    <definedName name="________kvs2_5" hidden="1">{#N/A,#N/A,FALSE,"COVER1.XLS ";#N/A,#N/A,FALSE,"RACT1.XLS";#N/A,#N/A,FALSE,"RACT2.XLS";#N/A,#N/A,FALSE,"ECCMP";#N/A,#N/A,FALSE,"WELDER.XLS"}</definedName>
    <definedName name="________kvs5" hidden="1">{#N/A,#N/A,FALSE,"COVER.XLS";#N/A,#N/A,FALSE,"RACT1.XLS";#N/A,#N/A,FALSE,"RACT2.XLS";#N/A,#N/A,FALSE,"ECCMP";#N/A,#N/A,FALSE,"WELDER.XLS"}</definedName>
    <definedName name="________kvs5_1" hidden="1">{#N/A,#N/A,FALSE,"COVER.XLS";#N/A,#N/A,FALSE,"RACT1.XLS";#N/A,#N/A,FALSE,"RACT2.XLS";#N/A,#N/A,FALSE,"ECCMP";#N/A,#N/A,FALSE,"WELDER.XLS"}</definedName>
    <definedName name="________kvs5_2" hidden="1">{#N/A,#N/A,FALSE,"COVER.XLS";#N/A,#N/A,FALSE,"RACT1.XLS";#N/A,#N/A,FALSE,"RACT2.XLS";#N/A,#N/A,FALSE,"ECCMP";#N/A,#N/A,FALSE,"WELDER.XLS"}</definedName>
    <definedName name="________kvs5_3" hidden="1">{#N/A,#N/A,FALSE,"COVER.XLS";#N/A,#N/A,FALSE,"RACT1.XLS";#N/A,#N/A,FALSE,"RACT2.XLS";#N/A,#N/A,FALSE,"ECCMP";#N/A,#N/A,FALSE,"WELDER.XLS"}</definedName>
    <definedName name="________kvs5_4" hidden="1">{#N/A,#N/A,FALSE,"COVER.XLS";#N/A,#N/A,FALSE,"RACT1.XLS";#N/A,#N/A,FALSE,"RACT2.XLS";#N/A,#N/A,FALSE,"ECCMP";#N/A,#N/A,FALSE,"WELDER.XLS"}</definedName>
    <definedName name="________kvs5_5" hidden="1">{#N/A,#N/A,FALSE,"COVER.XLS";#N/A,#N/A,FALSE,"RACT1.XLS";#N/A,#N/A,FALSE,"RACT2.XLS";#N/A,#N/A,FALSE,"ECCMP";#N/A,#N/A,FALSE,"WELDER.XLS"}</definedName>
    <definedName name="________kvs7" hidden="1">{#N/A,#N/A,FALSE,"COVER1.XLS ";#N/A,#N/A,FALSE,"RACT1.XLS";#N/A,#N/A,FALSE,"RACT2.XLS";#N/A,#N/A,FALSE,"ECCMP";#N/A,#N/A,FALSE,"WELDER.XLS"}</definedName>
    <definedName name="________kvs7_1" hidden="1">{#N/A,#N/A,FALSE,"COVER1.XLS ";#N/A,#N/A,FALSE,"RACT1.XLS";#N/A,#N/A,FALSE,"RACT2.XLS";#N/A,#N/A,FALSE,"ECCMP";#N/A,#N/A,FALSE,"WELDER.XLS"}</definedName>
    <definedName name="________kvs7_2" hidden="1">{#N/A,#N/A,FALSE,"COVER1.XLS ";#N/A,#N/A,FALSE,"RACT1.XLS";#N/A,#N/A,FALSE,"RACT2.XLS";#N/A,#N/A,FALSE,"ECCMP";#N/A,#N/A,FALSE,"WELDER.XLS"}</definedName>
    <definedName name="________kvs7_3" hidden="1">{#N/A,#N/A,FALSE,"COVER1.XLS ";#N/A,#N/A,FALSE,"RACT1.XLS";#N/A,#N/A,FALSE,"RACT2.XLS";#N/A,#N/A,FALSE,"ECCMP";#N/A,#N/A,FALSE,"WELDER.XLS"}</definedName>
    <definedName name="________kvs7_4" hidden="1">{#N/A,#N/A,FALSE,"COVER1.XLS ";#N/A,#N/A,FALSE,"RACT1.XLS";#N/A,#N/A,FALSE,"RACT2.XLS";#N/A,#N/A,FALSE,"ECCMP";#N/A,#N/A,FALSE,"WELDER.XLS"}</definedName>
    <definedName name="________kvs7_5" hidden="1">{#N/A,#N/A,FALSE,"COVER1.XLS ";#N/A,#N/A,FALSE,"RACT1.XLS";#N/A,#N/A,FALSE,"RACT2.XLS";#N/A,#N/A,FALSE,"ECCMP";#N/A,#N/A,FALSE,"WELDER.XLS"}</definedName>
    <definedName name="________kvs8" hidden="1">{#N/A,#N/A,FALSE,"COVER1.XLS ";#N/A,#N/A,FALSE,"RACT1.XLS";#N/A,#N/A,FALSE,"RACT2.XLS";#N/A,#N/A,FALSE,"ECCMP";#N/A,#N/A,FALSE,"WELDER.XLS"}</definedName>
    <definedName name="________kvs8_1" hidden="1">{#N/A,#N/A,FALSE,"COVER1.XLS ";#N/A,#N/A,FALSE,"RACT1.XLS";#N/A,#N/A,FALSE,"RACT2.XLS";#N/A,#N/A,FALSE,"ECCMP";#N/A,#N/A,FALSE,"WELDER.XLS"}</definedName>
    <definedName name="________kvs8_2" hidden="1">{#N/A,#N/A,FALSE,"COVER1.XLS ";#N/A,#N/A,FALSE,"RACT1.XLS";#N/A,#N/A,FALSE,"RACT2.XLS";#N/A,#N/A,FALSE,"ECCMP";#N/A,#N/A,FALSE,"WELDER.XLS"}</definedName>
    <definedName name="________kvs8_3" hidden="1">{#N/A,#N/A,FALSE,"COVER1.XLS ";#N/A,#N/A,FALSE,"RACT1.XLS";#N/A,#N/A,FALSE,"RACT2.XLS";#N/A,#N/A,FALSE,"ECCMP";#N/A,#N/A,FALSE,"WELDER.XLS"}</definedName>
    <definedName name="________kvs8_4" hidden="1">{#N/A,#N/A,FALSE,"COVER1.XLS ";#N/A,#N/A,FALSE,"RACT1.XLS";#N/A,#N/A,FALSE,"RACT2.XLS";#N/A,#N/A,FALSE,"ECCMP";#N/A,#N/A,FALSE,"WELDER.XLS"}</definedName>
    <definedName name="________kvs8_5" hidden="1">{#N/A,#N/A,FALSE,"COVER1.XLS ";#N/A,#N/A,FALSE,"RACT1.XLS";#N/A,#N/A,FALSE,"RACT2.XLS";#N/A,#N/A,FALSE,"ECCMP";#N/A,#N/A,FALSE,"WELDER.XLS"}</definedName>
    <definedName name="________KVS9" hidden="1">{#N/A,#N/A,FALSE,"COVER1.XLS ";#N/A,#N/A,FALSE,"RACT1.XLS";#N/A,#N/A,FALSE,"RACT2.XLS";#N/A,#N/A,FALSE,"ECCMP";#N/A,#N/A,FALSE,"WELDER.XLS"}</definedName>
    <definedName name="________KVS9_1" hidden="1">{#N/A,#N/A,FALSE,"COVER1.XLS ";#N/A,#N/A,FALSE,"RACT1.XLS";#N/A,#N/A,FALSE,"RACT2.XLS";#N/A,#N/A,FALSE,"ECCMP";#N/A,#N/A,FALSE,"WELDER.XLS"}</definedName>
    <definedName name="________KVS9_2" hidden="1">{#N/A,#N/A,FALSE,"COVER1.XLS ";#N/A,#N/A,FALSE,"RACT1.XLS";#N/A,#N/A,FALSE,"RACT2.XLS";#N/A,#N/A,FALSE,"ECCMP";#N/A,#N/A,FALSE,"WELDER.XLS"}</definedName>
    <definedName name="________KVS9_3" hidden="1">{#N/A,#N/A,FALSE,"COVER1.XLS ";#N/A,#N/A,FALSE,"RACT1.XLS";#N/A,#N/A,FALSE,"RACT2.XLS";#N/A,#N/A,FALSE,"ECCMP";#N/A,#N/A,FALSE,"WELDER.XLS"}</definedName>
    <definedName name="________KVS9_4" hidden="1">{#N/A,#N/A,FALSE,"COVER1.XLS ";#N/A,#N/A,FALSE,"RACT1.XLS";#N/A,#N/A,FALSE,"RACT2.XLS";#N/A,#N/A,FALSE,"ECCMP";#N/A,#N/A,FALSE,"WELDER.XLS"}</definedName>
    <definedName name="________KVS9_5" hidden="1">{#N/A,#N/A,FALSE,"COVER1.XLS ";#N/A,#N/A,FALSE,"RACT1.XLS";#N/A,#N/A,FALSE,"RACT2.XLS";#N/A,#N/A,FALSE,"ECCMP";#N/A,#N/A,FALSE,"WELDER.XLS"}</definedName>
    <definedName name="________l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l2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l2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l2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l2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l2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lk1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lk1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lk1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lk1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lk1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ns1" hidden="1">{#N/A,#N/A,FALSE,"COVER1.XLS ";#N/A,#N/A,FALSE,"RACT1.XLS";#N/A,#N/A,FALSE,"RACT2.XLS";#N/A,#N/A,FALSE,"ECCMP";#N/A,#N/A,FALSE,"WELDER.XLS"}</definedName>
    <definedName name="________q2" hidden="1">{#N/A,#N/A,FALSE,"COVER1.XLS ";#N/A,#N/A,FALSE,"RACT1.XLS";#N/A,#N/A,FALSE,"RACT2.XLS";#N/A,#N/A,FALSE,"ECCMP";#N/A,#N/A,FALSE,"WELDER.XLS"}</definedName>
    <definedName name="________q2_1" hidden="1">{#N/A,#N/A,FALSE,"COVER1.XLS ";#N/A,#N/A,FALSE,"RACT1.XLS";#N/A,#N/A,FALSE,"RACT2.XLS";#N/A,#N/A,FALSE,"ECCMP";#N/A,#N/A,FALSE,"WELDER.XLS"}</definedName>
    <definedName name="________q2_2" hidden="1">{#N/A,#N/A,FALSE,"COVER1.XLS ";#N/A,#N/A,FALSE,"RACT1.XLS";#N/A,#N/A,FALSE,"RACT2.XLS";#N/A,#N/A,FALSE,"ECCMP";#N/A,#N/A,FALSE,"WELDER.XLS"}</definedName>
    <definedName name="________q2_3" hidden="1">{#N/A,#N/A,FALSE,"COVER1.XLS ";#N/A,#N/A,FALSE,"RACT1.XLS";#N/A,#N/A,FALSE,"RACT2.XLS";#N/A,#N/A,FALSE,"ECCMP";#N/A,#N/A,FALSE,"WELDER.XLS"}</definedName>
    <definedName name="________q2_4" hidden="1">{#N/A,#N/A,FALSE,"COVER1.XLS ";#N/A,#N/A,FALSE,"RACT1.XLS";#N/A,#N/A,FALSE,"RACT2.XLS";#N/A,#N/A,FALSE,"ECCMP";#N/A,#N/A,FALSE,"WELDER.XLS"}</definedName>
    <definedName name="________q2_5" hidden="1">{#N/A,#N/A,FALSE,"COVER1.XLS ";#N/A,#N/A,FALSE,"RACT1.XLS";#N/A,#N/A,FALSE,"RACT2.XLS";#N/A,#N/A,FALSE,"ECCMP";#N/A,#N/A,FALSE,"WELDER.XLS"}</definedName>
    <definedName name="________t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t1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t1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t1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t1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t1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tr1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tr1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tr1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tr1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tr1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w2" hidden="1">{#N/A,#N/A,FALSE,"17MAY";#N/A,#N/A,FALSE,"24MAY"}</definedName>
    <definedName name="________w2_1" hidden="1">{#N/A,#N/A,FALSE,"17MAY";#N/A,#N/A,FALSE,"24MAY"}</definedName>
    <definedName name="________w2_2" hidden="1">{#N/A,#N/A,FALSE,"17MAY";#N/A,#N/A,FALSE,"24MAY"}</definedName>
    <definedName name="________w2_3" hidden="1">{#N/A,#N/A,FALSE,"17MAY";#N/A,#N/A,FALSE,"24MAY"}</definedName>
    <definedName name="________w2_4" hidden="1">{#N/A,#N/A,FALSE,"17MAY";#N/A,#N/A,FALSE,"24MAY"}</definedName>
    <definedName name="________w2_5" hidden="1">{#N/A,#N/A,FALSE,"17MAY";#N/A,#N/A,FALSE,"24MAY"}</definedName>
    <definedName name="______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abc1" hidden="1">{#N/A,#N/A,FALSE,"str_title";#N/A,#N/A,FALSE,"SUM";#N/A,#N/A,FALSE,"Scope";#N/A,#N/A,FALSE,"PIE-Jn";#N/A,#N/A,FALSE,"PIE-Jn_Hz";#N/A,#N/A,FALSE,"Liq_Plan";#N/A,#N/A,FALSE,"S_Curve";#N/A,#N/A,FALSE,"Liq_Prof";#N/A,#N/A,FALSE,"Man_Pwr";#N/A,#N/A,FALSE,"Man_Prof"}</definedName>
    <definedName name="_______dk1" hidden="1">{#N/A,#N/A,FALSE,"COVER.XLS";#N/A,#N/A,FALSE,"RACT1.XLS";#N/A,#N/A,FALSE,"RACT2.XLS";#N/A,#N/A,FALSE,"ECCMP";#N/A,#N/A,FALSE,"WELDER.XLS"}</definedName>
    <definedName name="_______kv2" hidden="1">{#N/A,#N/A,FALSE,"COVER1.XLS ";#N/A,#N/A,FALSE,"RACT1.XLS";#N/A,#N/A,FALSE,"RACT2.XLS";#N/A,#N/A,FALSE,"ECCMP";#N/A,#N/A,FALSE,"WELDER.XLS"}</definedName>
    <definedName name="_______kvs1" hidden="1">{#N/A,#N/A,FALSE,"COVER1.XLS ";#N/A,#N/A,FALSE,"RACT1.XLS";#N/A,#N/A,FALSE,"RACT2.XLS";#N/A,#N/A,FALSE,"ECCMP";#N/A,#N/A,FALSE,"WELDER.XLS"}</definedName>
    <definedName name="_______kvs2" hidden="1">{#N/A,#N/A,FALSE,"COVER1.XLS ";#N/A,#N/A,FALSE,"RACT1.XLS";#N/A,#N/A,FALSE,"RACT2.XLS";#N/A,#N/A,FALSE,"ECCMP";#N/A,#N/A,FALSE,"WELDER.XLS"}</definedName>
    <definedName name="_______kvs5" hidden="1">{#N/A,#N/A,FALSE,"COVER.XLS";#N/A,#N/A,FALSE,"RACT1.XLS";#N/A,#N/A,FALSE,"RACT2.XLS";#N/A,#N/A,FALSE,"ECCMP";#N/A,#N/A,FALSE,"WELDER.XLS"}</definedName>
    <definedName name="_______kvs8" hidden="1">{#N/A,#N/A,FALSE,"COVER1.XLS ";#N/A,#N/A,FALSE,"RACT1.XLS";#N/A,#N/A,FALSE,"RACT2.XLS";#N/A,#N/A,FALSE,"ECCMP";#N/A,#N/A,FALSE,"WELDER.XLS"}</definedName>
    <definedName name="_______KVS9" hidden="1">{#N/A,#N/A,FALSE,"COVER1.XLS ";#N/A,#N/A,FALSE,"RACT1.XLS";#N/A,#N/A,FALSE,"RACT2.XLS";#N/A,#N/A,FALSE,"ECCMP";#N/A,#N/A,FALSE,"WELDER.XLS"}</definedName>
    <definedName name="___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ns1" hidden="1">{#N/A,#N/A,FALSE,"COVER1.XLS ";#N/A,#N/A,FALSE,"RACT1.XLS";#N/A,#N/A,FALSE,"RACT2.XLS";#N/A,#N/A,FALSE,"ECCMP";#N/A,#N/A,FALSE,"WELDER.XLS"}</definedName>
    <definedName name="___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abc1" hidden="1">{#N/A,#N/A,FALSE,"str_title";#N/A,#N/A,FALSE,"SUM";#N/A,#N/A,FALSE,"Scope";#N/A,#N/A,FALSE,"PIE-Jn";#N/A,#N/A,FALSE,"PIE-Jn_Hz";#N/A,#N/A,FALSE,"Liq_Plan";#N/A,#N/A,FALSE,"S_Curve";#N/A,#N/A,FALSE,"Liq_Prof";#N/A,#N/A,FALSE,"Man_Pwr";#N/A,#N/A,FALSE,"Man_Prof"}</definedName>
    <definedName name="______dk1" hidden="1">{#N/A,#N/A,FALSE,"COVER.XLS";#N/A,#N/A,FALSE,"RACT1.XLS";#N/A,#N/A,FALSE,"RACT2.XLS";#N/A,#N/A,FALSE,"ECCMP";#N/A,#N/A,FALSE,"WELDER.XLS"}</definedName>
    <definedName name="______dk1_1" hidden="1">{#N/A,#N/A,FALSE,"COVER.XLS";#N/A,#N/A,FALSE,"RACT1.XLS";#N/A,#N/A,FALSE,"RACT2.XLS";#N/A,#N/A,FALSE,"ECCMP";#N/A,#N/A,FALSE,"WELDER.XLS"}</definedName>
    <definedName name="______dk1_2" hidden="1">{#N/A,#N/A,FALSE,"COVER.XLS";#N/A,#N/A,FALSE,"RACT1.XLS";#N/A,#N/A,FALSE,"RACT2.XLS";#N/A,#N/A,FALSE,"ECCMP";#N/A,#N/A,FALSE,"WELDER.XLS"}</definedName>
    <definedName name="______dk1_3" hidden="1">{#N/A,#N/A,FALSE,"COVER.XLS";#N/A,#N/A,FALSE,"RACT1.XLS";#N/A,#N/A,FALSE,"RACT2.XLS";#N/A,#N/A,FALSE,"ECCMP";#N/A,#N/A,FALSE,"WELDER.XLS"}</definedName>
    <definedName name="______dk1_4" hidden="1">{#N/A,#N/A,FALSE,"COVER.XLS";#N/A,#N/A,FALSE,"RACT1.XLS";#N/A,#N/A,FALSE,"RACT2.XLS";#N/A,#N/A,FALSE,"ECCMP";#N/A,#N/A,FALSE,"WELDER.XLS"}</definedName>
    <definedName name="______dk1_5" hidden="1">{#N/A,#N/A,FALSE,"COVER.XLS";#N/A,#N/A,FALSE,"RACT1.XLS";#N/A,#N/A,FALSE,"RACT2.XLS";#N/A,#N/A,FALSE,"ECCMP";#N/A,#N/A,FALSE,"WELDER.XLS"}</definedName>
    <definedName name="______k8" hidden="1">{#N/A,#N/A,FALSE,"COVER1.XLS ";#N/A,#N/A,FALSE,"RACT1.XLS";#N/A,#N/A,FALSE,"RACT2.XLS";#N/A,#N/A,FALSE,"ECCMP";#N/A,#N/A,FALSE,"WELDER.XLS"}</definedName>
    <definedName name="______k8_1" hidden="1">{#N/A,#N/A,FALSE,"COVER1.XLS ";#N/A,#N/A,FALSE,"RACT1.XLS";#N/A,#N/A,FALSE,"RACT2.XLS";#N/A,#N/A,FALSE,"ECCMP";#N/A,#N/A,FALSE,"WELDER.XLS"}</definedName>
    <definedName name="______k8_2" hidden="1">{#N/A,#N/A,FALSE,"COVER1.XLS ";#N/A,#N/A,FALSE,"RACT1.XLS";#N/A,#N/A,FALSE,"RACT2.XLS";#N/A,#N/A,FALSE,"ECCMP";#N/A,#N/A,FALSE,"WELDER.XLS"}</definedName>
    <definedName name="______k8_3" hidden="1">{#N/A,#N/A,FALSE,"COVER1.XLS ";#N/A,#N/A,FALSE,"RACT1.XLS";#N/A,#N/A,FALSE,"RACT2.XLS";#N/A,#N/A,FALSE,"ECCMP";#N/A,#N/A,FALSE,"WELDER.XLS"}</definedName>
    <definedName name="______k8_4" hidden="1">{#N/A,#N/A,FALSE,"COVER1.XLS ";#N/A,#N/A,FALSE,"RACT1.XLS";#N/A,#N/A,FALSE,"RACT2.XLS";#N/A,#N/A,FALSE,"ECCMP";#N/A,#N/A,FALSE,"WELDER.XLS"}</definedName>
    <definedName name="______k8_5" hidden="1">{#N/A,#N/A,FALSE,"COVER1.XLS ";#N/A,#N/A,FALSE,"RACT1.XLS";#N/A,#N/A,FALSE,"RACT2.XLS";#N/A,#N/A,FALSE,"ECCMP";#N/A,#N/A,FALSE,"WELDER.XLS"}</definedName>
    <definedName name="______kv2" hidden="1">{#N/A,#N/A,FALSE,"COVER1.XLS ";#N/A,#N/A,FALSE,"RACT1.XLS";#N/A,#N/A,FALSE,"RACT2.XLS";#N/A,#N/A,FALSE,"ECCMP";#N/A,#N/A,FALSE,"WELDER.XLS"}</definedName>
    <definedName name="______kvs1" hidden="1">{#N/A,#N/A,FALSE,"COVER1.XLS ";#N/A,#N/A,FALSE,"RACT1.XLS";#N/A,#N/A,FALSE,"RACT2.XLS";#N/A,#N/A,FALSE,"ECCMP";#N/A,#N/A,FALSE,"WELDER.XLS"}</definedName>
    <definedName name="______kvs1_1" hidden="1">{#N/A,#N/A,FALSE,"COVER1.XLS ";#N/A,#N/A,FALSE,"RACT1.XLS";#N/A,#N/A,FALSE,"RACT2.XLS";#N/A,#N/A,FALSE,"ECCMP";#N/A,#N/A,FALSE,"WELDER.XLS"}</definedName>
    <definedName name="______kvs1_2" hidden="1">{#N/A,#N/A,FALSE,"COVER1.XLS ";#N/A,#N/A,FALSE,"RACT1.XLS";#N/A,#N/A,FALSE,"RACT2.XLS";#N/A,#N/A,FALSE,"ECCMP";#N/A,#N/A,FALSE,"WELDER.XLS"}</definedName>
    <definedName name="______kvs1_3" hidden="1">{#N/A,#N/A,FALSE,"COVER1.XLS ";#N/A,#N/A,FALSE,"RACT1.XLS";#N/A,#N/A,FALSE,"RACT2.XLS";#N/A,#N/A,FALSE,"ECCMP";#N/A,#N/A,FALSE,"WELDER.XLS"}</definedName>
    <definedName name="______kvs1_4" hidden="1">{#N/A,#N/A,FALSE,"COVER1.XLS ";#N/A,#N/A,FALSE,"RACT1.XLS";#N/A,#N/A,FALSE,"RACT2.XLS";#N/A,#N/A,FALSE,"ECCMP";#N/A,#N/A,FALSE,"WELDER.XLS"}</definedName>
    <definedName name="______kvs1_5" hidden="1">{#N/A,#N/A,FALSE,"COVER1.XLS ";#N/A,#N/A,FALSE,"RACT1.XLS";#N/A,#N/A,FALSE,"RACT2.XLS";#N/A,#N/A,FALSE,"ECCMP";#N/A,#N/A,FALSE,"WELDER.XLS"}</definedName>
    <definedName name="______kvs2" hidden="1">{#N/A,#N/A,FALSE,"COVER1.XLS ";#N/A,#N/A,FALSE,"RACT1.XLS";#N/A,#N/A,FALSE,"RACT2.XLS";#N/A,#N/A,FALSE,"ECCMP";#N/A,#N/A,FALSE,"WELDER.XLS"}</definedName>
    <definedName name="______kvs2_1" hidden="1">{#N/A,#N/A,FALSE,"COVER1.XLS ";#N/A,#N/A,FALSE,"RACT1.XLS";#N/A,#N/A,FALSE,"RACT2.XLS";#N/A,#N/A,FALSE,"ECCMP";#N/A,#N/A,FALSE,"WELDER.XLS"}</definedName>
    <definedName name="______kvs2_2" hidden="1">{#N/A,#N/A,FALSE,"COVER1.XLS ";#N/A,#N/A,FALSE,"RACT1.XLS";#N/A,#N/A,FALSE,"RACT2.XLS";#N/A,#N/A,FALSE,"ECCMP";#N/A,#N/A,FALSE,"WELDER.XLS"}</definedName>
    <definedName name="______kvs2_3" hidden="1">{#N/A,#N/A,FALSE,"COVER1.XLS ";#N/A,#N/A,FALSE,"RACT1.XLS";#N/A,#N/A,FALSE,"RACT2.XLS";#N/A,#N/A,FALSE,"ECCMP";#N/A,#N/A,FALSE,"WELDER.XLS"}</definedName>
    <definedName name="______kvs2_4" hidden="1">{#N/A,#N/A,FALSE,"COVER1.XLS ";#N/A,#N/A,FALSE,"RACT1.XLS";#N/A,#N/A,FALSE,"RACT2.XLS";#N/A,#N/A,FALSE,"ECCMP";#N/A,#N/A,FALSE,"WELDER.XLS"}</definedName>
    <definedName name="______kvs2_5" hidden="1">{#N/A,#N/A,FALSE,"COVER1.XLS ";#N/A,#N/A,FALSE,"RACT1.XLS";#N/A,#N/A,FALSE,"RACT2.XLS";#N/A,#N/A,FALSE,"ECCMP";#N/A,#N/A,FALSE,"WELDER.XLS"}</definedName>
    <definedName name="______kvs5" hidden="1">{#N/A,#N/A,FALSE,"COVER.XLS";#N/A,#N/A,FALSE,"RACT1.XLS";#N/A,#N/A,FALSE,"RACT2.XLS";#N/A,#N/A,FALSE,"ECCMP";#N/A,#N/A,FALSE,"WELDER.XLS"}</definedName>
    <definedName name="______kvs5_1" hidden="1">{#N/A,#N/A,FALSE,"COVER.XLS";#N/A,#N/A,FALSE,"RACT1.XLS";#N/A,#N/A,FALSE,"RACT2.XLS";#N/A,#N/A,FALSE,"ECCMP";#N/A,#N/A,FALSE,"WELDER.XLS"}</definedName>
    <definedName name="______kvs5_2" hidden="1">{#N/A,#N/A,FALSE,"COVER.XLS";#N/A,#N/A,FALSE,"RACT1.XLS";#N/A,#N/A,FALSE,"RACT2.XLS";#N/A,#N/A,FALSE,"ECCMP";#N/A,#N/A,FALSE,"WELDER.XLS"}</definedName>
    <definedName name="______kvs5_3" hidden="1">{#N/A,#N/A,FALSE,"COVER.XLS";#N/A,#N/A,FALSE,"RACT1.XLS";#N/A,#N/A,FALSE,"RACT2.XLS";#N/A,#N/A,FALSE,"ECCMP";#N/A,#N/A,FALSE,"WELDER.XLS"}</definedName>
    <definedName name="______kvs5_4" hidden="1">{#N/A,#N/A,FALSE,"COVER.XLS";#N/A,#N/A,FALSE,"RACT1.XLS";#N/A,#N/A,FALSE,"RACT2.XLS";#N/A,#N/A,FALSE,"ECCMP";#N/A,#N/A,FALSE,"WELDER.XLS"}</definedName>
    <definedName name="______kvs5_5" hidden="1">{#N/A,#N/A,FALSE,"COVER.XLS";#N/A,#N/A,FALSE,"RACT1.XLS";#N/A,#N/A,FALSE,"RACT2.XLS";#N/A,#N/A,FALSE,"ECCMP";#N/A,#N/A,FALSE,"WELDER.XLS"}</definedName>
    <definedName name="______kvs7" hidden="1">{#N/A,#N/A,FALSE,"COVER1.XLS ";#N/A,#N/A,FALSE,"RACT1.XLS";#N/A,#N/A,FALSE,"RACT2.XLS";#N/A,#N/A,FALSE,"ECCMP";#N/A,#N/A,FALSE,"WELDER.XLS"}</definedName>
    <definedName name="______kvs7_1" hidden="1">{#N/A,#N/A,FALSE,"COVER1.XLS ";#N/A,#N/A,FALSE,"RACT1.XLS";#N/A,#N/A,FALSE,"RACT2.XLS";#N/A,#N/A,FALSE,"ECCMP";#N/A,#N/A,FALSE,"WELDER.XLS"}</definedName>
    <definedName name="______kvs7_2" hidden="1">{#N/A,#N/A,FALSE,"COVER1.XLS ";#N/A,#N/A,FALSE,"RACT1.XLS";#N/A,#N/A,FALSE,"RACT2.XLS";#N/A,#N/A,FALSE,"ECCMP";#N/A,#N/A,FALSE,"WELDER.XLS"}</definedName>
    <definedName name="______kvs7_3" hidden="1">{#N/A,#N/A,FALSE,"COVER1.XLS ";#N/A,#N/A,FALSE,"RACT1.XLS";#N/A,#N/A,FALSE,"RACT2.XLS";#N/A,#N/A,FALSE,"ECCMP";#N/A,#N/A,FALSE,"WELDER.XLS"}</definedName>
    <definedName name="______kvs7_4" hidden="1">{#N/A,#N/A,FALSE,"COVER1.XLS ";#N/A,#N/A,FALSE,"RACT1.XLS";#N/A,#N/A,FALSE,"RACT2.XLS";#N/A,#N/A,FALSE,"ECCMP";#N/A,#N/A,FALSE,"WELDER.XLS"}</definedName>
    <definedName name="______kvs7_5" hidden="1">{#N/A,#N/A,FALSE,"COVER1.XLS ";#N/A,#N/A,FALSE,"RACT1.XLS";#N/A,#N/A,FALSE,"RACT2.XLS";#N/A,#N/A,FALSE,"ECCMP";#N/A,#N/A,FALSE,"WELDER.XLS"}</definedName>
    <definedName name="______kvs8" hidden="1">{#N/A,#N/A,FALSE,"COVER1.XLS ";#N/A,#N/A,FALSE,"RACT1.XLS";#N/A,#N/A,FALSE,"RACT2.XLS";#N/A,#N/A,FALSE,"ECCMP";#N/A,#N/A,FALSE,"WELDER.XLS"}</definedName>
    <definedName name="______kvs8_1" hidden="1">{#N/A,#N/A,FALSE,"COVER1.XLS ";#N/A,#N/A,FALSE,"RACT1.XLS";#N/A,#N/A,FALSE,"RACT2.XLS";#N/A,#N/A,FALSE,"ECCMP";#N/A,#N/A,FALSE,"WELDER.XLS"}</definedName>
    <definedName name="______kvs8_2" hidden="1">{#N/A,#N/A,FALSE,"COVER1.XLS ";#N/A,#N/A,FALSE,"RACT1.XLS";#N/A,#N/A,FALSE,"RACT2.XLS";#N/A,#N/A,FALSE,"ECCMP";#N/A,#N/A,FALSE,"WELDER.XLS"}</definedName>
    <definedName name="______kvs8_3" hidden="1">{#N/A,#N/A,FALSE,"COVER1.XLS ";#N/A,#N/A,FALSE,"RACT1.XLS";#N/A,#N/A,FALSE,"RACT2.XLS";#N/A,#N/A,FALSE,"ECCMP";#N/A,#N/A,FALSE,"WELDER.XLS"}</definedName>
    <definedName name="______kvs8_4" hidden="1">{#N/A,#N/A,FALSE,"COVER1.XLS ";#N/A,#N/A,FALSE,"RACT1.XLS";#N/A,#N/A,FALSE,"RACT2.XLS";#N/A,#N/A,FALSE,"ECCMP";#N/A,#N/A,FALSE,"WELDER.XLS"}</definedName>
    <definedName name="______kvs8_5" hidden="1">{#N/A,#N/A,FALSE,"COVER1.XLS ";#N/A,#N/A,FALSE,"RACT1.XLS";#N/A,#N/A,FALSE,"RACT2.XLS";#N/A,#N/A,FALSE,"ECCMP";#N/A,#N/A,FALSE,"WELDER.XLS"}</definedName>
    <definedName name="______KVS9" hidden="1">{#N/A,#N/A,FALSE,"COVER1.XLS ";#N/A,#N/A,FALSE,"RACT1.XLS";#N/A,#N/A,FALSE,"RACT2.XLS";#N/A,#N/A,FALSE,"ECCMP";#N/A,#N/A,FALSE,"WELDER.XLS"}</definedName>
    <definedName name="______KVS9_1" hidden="1">{#N/A,#N/A,FALSE,"COVER1.XLS ";#N/A,#N/A,FALSE,"RACT1.XLS";#N/A,#N/A,FALSE,"RACT2.XLS";#N/A,#N/A,FALSE,"ECCMP";#N/A,#N/A,FALSE,"WELDER.XLS"}</definedName>
    <definedName name="______KVS9_2" hidden="1">{#N/A,#N/A,FALSE,"COVER1.XLS ";#N/A,#N/A,FALSE,"RACT1.XLS";#N/A,#N/A,FALSE,"RACT2.XLS";#N/A,#N/A,FALSE,"ECCMP";#N/A,#N/A,FALSE,"WELDER.XLS"}</definedName>
    <definedName name="______KVS9_3" hidden="1">{#N/A,#N/A,FALSE,"COVER1.XLS ";#N/A,#N/A,FALSE,"RACT1.XLS";#N/A,#N/A,FALSE,"RACT2.XLS";#N/A,#N/A,FALSE,"ECCMP";#N/A,#N/A,FALSE,"WELDER.XLS"}</definedName>
    <definedName name="______KVS9_4" hidden="1">{#N/A,#N/A,FALSE,"COVER1.XLS ";#N/A,#N/A,FALSE,"RACT1.XLS";#N/A,#N/A,FALSE,"RACT2.XLS";#N/A,#N/A,FALSE,"ECCMP";#N/A,#N/A,FALSE,"WELDER.XLS"}</definedName>
    <definedName name="______KVS9_5" hidden="1">{#N/A,#N/A,FALSE,"COVER1.XLS ";#N/A,#N/A,FALSE,"RACT1.XLS";#N/A,#N/A,FALSE,"RACT2.XLS";#N/A,#N/A,FALSE,"ECCMP";#N/A,#N/A,FALSE,"WELDER.XLS"}</definedName>
    <definedName name="______l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2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2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2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2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2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k1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k1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k1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k1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k1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ns1" hidden="1">{#N/A,#N/A,FALSE,"COVER1.XLS ";#N/A,#N/A,FALSE,"RACT1.XLS";#N/A,#N/A,FALSE,"RACT2.XLS";#N/A,#N/A,FALSE,"ECCMP";#N/A,#N/A,FALSE,"WELDER.XLS"}</definedName>
    <definedName name="______ns1_1" hidden="1">{#N/A,#N/A,FALSE,"COVER1.XLS ";#N/A,#N/A,FALSE,"RACT1.XLS";#N/A,#N/A,FALSE,"RACT2.XLS";#N/A,#N/A,FALSE,"ECCMP";#N/A,#N/A,FALSE,"WELDER.XLS"}</definedName>
    <definedName name="______ns1_2" hidden="1">{#N/A,#N/A,FALSE,"COVER1.XLS ";#N/A,#N/A,FALSE,"RACT1.XLS";#N/A,#N/A,FALSE,"RACT2.XLS";#N/A,#N/A,FALSE,"ECCMP";#N/A,#N/A,FALSE,"WELDER.XLS"}</definedName>
    <definedName name="______ns1_3" hidden="1">{#N/A,#N/A,FALSE,"COVER1.XLS ";#N/A,#N/A,FALSE,"RACT1.XLS";#N/A,#N/A,FALSE,"RACT2.XLS";#N/A,#N/A,FALSE,"ECCMP";#N/A,#N/A,FALSE,"WELDER.XLS"}</definedName>
    <definedName name="______ns1_4" hidden="1">{#N/A,#N/A,FALSE,"COVER1.XLS ";#N/A,#N/A,FALSE,"RACT1.XLS";#N/A,#N/A,FALSE,"RACT2.XLS";#N/A,#N/A,FALSE,"ECCMP";#N/A,#N/A,FALSE,"WELDER.XLS"}</definedName>
    <definedName name="______ns1_5" hidden="1">{#N/A,#N/A,FALSE,"COVER1.XLS ";#N/A,#N/A,FALSE,"RACT1.XLS";#N/A,#N/A,FALSE,"RACT2.XLS";#N/A,#N/A,FALSE,"ECCMP";#N/A,#N/A,FALSE,"WELDER.XLS"}</definedName>
    <definedName name="______PRN1" hidden="1">{#N/A,#N/A,FALSE,"COVER.XLS";#N/A,#N/A,FALSE,"RACT1.XLS";#N/A,#N/A,FALSE,"RACT2.XLS";#N/A,#N/A,FALSE,"ECCMP";#N/A,#N/A,FALSE,"WELDER.XLS"}</definedName>
    <definedName name="______q2" hidden="1">{#N/A,#N/A,FALSE,"COVER1.XLS ";#N/A,#N/A,FALSE,"RACT1.XLS";#N/A,#N/A,FALSE,"RACT2.XLS";#N/A,#N/A,FALSE,"ECCMP";#N/A,#N/A,FALSE,"WELDER.XLS"}</definedName>
    <definedName name="______q2_1" hidden="1">{#N/A,#N/A,FALSE,"COVER1.XLS ";#N/A,#N/A,FALSE,"RACT1.XLS";#N/A,#N/A,FALSE,"RACT2.XLS";#N/A,#N/A,FALSE,"ECCMP";#N/A,#N/A,FALSE,"WELDER.XLS"}</definedName>
    <definedName name="______q2_2" hidden="1">{#N/A,#N/A,FALSE,"COVER1.XLS ";#N/A,#N/A,FALSE,"RACT1.XLS";#N/A,#N/A,FALSE,"RACT2.XLS";#N/A,#N/A,FALSE,"ECCMP";#N/A,#N/A,FALSE,"WELDER.XLS"}</definedName>
    <definedName name="______q2_3" hidden="1">{#N/A,#N/A,FALSE,"COVER1.XLS ";#N/A,#N/A,FALSE,"RACT1.XLS";#N/A,#N/A,FALSE,"RACT2.XLS";#N/A,#N/A,FALSE,"ECCMP";#N/A,#N/A,FALSE,"WELDER.XLS"}</definedName>
    <definedName name="______q2_4" hidden="1">{#N/A,#N/A,FALSE,"COVER1.XLS ";#N/A,#N/A,FALSE,"RACT1.XLS";#N/A,#N/A,FALSE,"RACT2.XLS";#N/A,#N/A,FALSE,"ECCMP";#N/A,#N/A,FALSE,"WELDER.XLS"}</definedName>
    <definedName name="______q2_5" hidden="1">{#N/A,#N/A,FALSE,"COVER1.XLS ";#N/A,#N/A,FALSE,"RACT1.XLS";#N/A,#N/A,FALSE,"RACT2.XLS";#N/A,#N/A,FALSE,"ECCMP";#N/A,#N/A,FALSE,"WELDER.XLS"}</definedName>
    <definedName name="______t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1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1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1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1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1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r1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r1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r1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r1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r1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w2" hidden="1">{#N/A,#N/A,FALSE,"17MAY";#N/A,#N/A,FALSE,"24MAY"}</definedName>
    <definedName name="______w2_1" hidden="1">{#N/A,#N/A,FALSE,"17MAY";#N/A,#N/A,FALSE,"24MAY"}</definedName>
    <definedName name="______w2_2" hidden="1">{#N/A,#N/A,FALSE,"17MAY";#N/A,#N/A,FALSE,"24MAY"}</definedName>
    <definedName name="______w2_3" hidden="1">{#N/A,#N/A,FALSE,"17MAY";#N/A,#N/A,FALSE,"24MAY"}</definedName>
    <definedName name="______w2_4" hidden="1">{#N/A,#N/A,FALSE,"17MAY";#N/A,#N/A,FALSE,"24MAY"}</definedName>
    <definedName name="______w2_5" hidden="1">{#N/A,#N/A,FALSE,"17MAY";#N/A,#N/A,FALSE,"24MAY"}</definedName>
    <definedName name="____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wrn1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wrn1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wrn1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wrn1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wrn1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WRN2" hidden="1">{#N/A,#N/A,FALSE,"COVER1.XLS ";#N/A,#N/A,FALSE,"RACT1.XLS";#N/A,#N/A,FALSE,"RACT2.XLS";#N/A,#N/A,FALSE,"ECCMP";#N/A,#N/A,FALSE,"WELDER.XLS"}</definedName>
    <definedName name="______WRN3" hidden="1">{#N/A,#N/A,FALSE,"consu_cover";#N/A,#N/A,FALSE,"consu_strategy";#N/A,#N/A,FALSE,"consu_flow";#N/A,#N/A,FALSE,"Summary_reqmt";#N/A,#N/A,FALSE,"field_ppg";#N/A,#N/A,FALSE,"ppg_shop";#N/A,#N/A,FALSE,"strl";#N/A,#N/A,FALSE,"tankages";#N/A,#N/A,FALSE,"gases"}</definedName>
    <definedName name="_____abc1" hidden="1">{#N/A,#N/A,FALSE,"str_title";#N/A,#N/A,FALSE,"SUM";#N/A,#N/A,FALSE,"Scope";#N/A,#N/A,FALSE,"PIE-Jn";#N/A,#N/A,FALSE,"PIE-Jn_Hz";#N/A,#N/A,FALSE,"Liq_Plan";#N/A,#N/A,FALSE,"S_Curve";#N/A,#N/A,FALSE,"Liq_Prof";#N/A,#N/A,FALSE,"Man_Pwr";#N/A,#N/A,FALSE,"Man_Prof"}</definedName>
    <definedName name="_____dk1" hidden="1">{#N/A,#N/A,FALSE,"COVER.XLS";#N/A,#N/A,FALSE,"RACT1.XLS";#N/A,#N/A,FALSE,"RACT2.XLS";#N/A,#N/A,FALSE,"ECCMP";#N/A,#N/A,FALSE,"WELDER.XLS"}</definedName>
    <definedName name="_____dk1_1" hidden="1">{#N/A,#N/A,FALSE,"COVER.XLS";#N/A,#N/A,FALSE,"RACT1.XLS";#N/A,#N/A,FALSE,"RACT2.XLS";#N/A,#N/A,FALSE,"ECCMP";#N/A,#N/A,FALSE,"WELDER.XLS"}</definedName>
    <definedName name="_____dk1_2" hidden="1">{#N/A,#N/A,FALSE,"COVER.XLS";#N/A,#N/A,FALSE,"RACT1.XLS";#N/A,#N/A,FALSE,"RACT2.XLS";#N/A,#N/A,FALSE,"ECCMP";#N/A,#N/A,FALSE,"WELDER.XLS"}</definedName>
    <definedName name="_____dk1_3" hidden="1">{#N/A,#N/A,FALSE,"COVER.XLS";#N/A,#N/A,FALSE,"RACT1.XLS";#N/A,#N/A,FALSE,"RACT2.XLS";#N/A,#N/A,FALSE,"ECCMP";#N/A,#N/A,FALSE,"WELDER.XLS"}</definedName>
    <definedName name="_____dk1_4" hidden="1">{#N/A,#N/A,FALSE,"COVER.XLS";#N/A,#N/A,FALSE,"RACT1.XLS";#N/A,#N/A,FALSE,"RACT2.XLS";#N/A,#N/A,FALSE,"ECCMP";#N/A,#N/A,FALSE,"WELDER.XLS"}</definedName>
    <definedName name="_____dk1_5" hidden="1">{#N/A,#N/A,FALSE,"COVER.XLS";#N/A,#N/A,FALSE,"RACT1.XLS";#N/A,#N/A,FALSE,"RACT2.XLS";#N/A,#N/A,FALSE,"ECCMP";#N/A,#N/A,FALSE,"WELDER.XLS"}</definedName>
    <definedName name="_____k8" hidden="1">{#N/A,#N/A,FALSE,"COVER1.XLS ";#N/A,#N/A,FALSE,"RACT1.XLS";#N/A,#N/A,FALSE,"RACT2.XLS";#N/A,#N/A,FALSE,"ECCMP";#N/A,#N/A,FALSE,"WELDER.XLS"}</definedName>
    <definedName name="_____k8_1" hidden="1">{#N/A,#N/A,FALSE,"COVER1.XLS ";#N/A,#N/A,FALSE,"RACT1.XLS";#N/A,#N/A,FALSE,"RACT2.XLS";#N/A,#N/A,FALSE,"ECCMP";#N/A,#N/A,FALSE,"WELDER.XLS"}</definedName>
    <definedName name="_____k8_2" hidden="1">{#N/A,#N/A,FALSE,"COVER1.XLS ";#N/A,#N/A,FALSE,"RACT1.XLS";#N/A,#N/A,FALSE,"RACT2.XLS";#N/A,#N/A,FALSE,"ECCMP";#N/A,#N/A,FALSE,"WELDER.XLS"}</definedName>
    <definedName name="_____k8_3" hidden="1">{#N/A,#N/A,FALSE,"COVER1.XLS ";#N/A,#N/A,FALSE,"RACT1.XLS";#N/A,#N/A,FALSE,"RACT2.XLS";#N/A,#N/A,FALSE,"ECCMP";#N/A,#N/A,FALSE,"WELDER.XLS"}</definedName>
    <definedName name="_____k8_4" hidden="1">{#N/A,#N/A,FALSE,"COVER1.XLS ";#N/A,#N/A,FALSE,"RACT1.XLS";#N/A,#N/A,FALSE,"RACT2.XLS";#N/A,#N/A,FALSE,"ECCMP";#N/A,#N/A,FALSE,"WELDER.XLS"}</definedName>
    <definedName name="_____k8_5" hidden="1">{#N/A,#N/A,FALSE,"COVER1.XLS ";#N/A,#N/A,FALSE,"RACT1.XLS";#N/A,#N/A,FALSE,"RACT2.XLS";#N/A,#N/A,FALSE,"ECCMP";#N/A,#N/A,FALSE,"WELDER.XLS"}</definedName>
    <definedName name="_____kv2" hidden="1">{#N/A,#N/A,FALSE,"COVER1.XLS ";#N/A,#N/A,FALSE,"RACT1.XLS";#N/A,#N/A,FALSE,"RACT2.XLS";#N/A,#N/A,FALSE,"ECCMP";#N/A,#N/A,FALSE,"WELDER.XLS"}</definedName>
    <definedName name="_____kvs1" hidden="1">{#N/A,#N/A,FALSE,"COVER1.XLS ";#N/A,#N/A,FALSE,"RACT1.XLS";#N/A,#N/A,FALSE,"RACT2.XLS";#N/A,#N/A,FALSE,"ECCMP";#N/A,#N/A,FALSE,"WELDER.XLS"}</definedName>
    <definedName name="_____kvs1_1" hidden="1">{#N/A,#N/A,FALSE,"COVER1.XLS ";#N/A,#N/A,FALSE,"RACT1.XLS";#N/A,#N/A,FALSE,"RACT2.XLS";#N/A,#N/A,FALSE,"ECCMP";#N/A,#N/A,FALSE,"WELDER.XLS"}</definedName>
    <definedName name="_____kvs1_2" hidden="1">{#N/A,#N/A,FALSE,"COVER1.XLS ";#N/A,#N/A,FALSE,"RACT1.XLS";#N/A,#N/A,FALSE,"RACT2.XLS";#N/A,#N/A,FALSE,"ECCMP";#N/A,#N/A,FALSE,"WELDER.XLS"}</definedName>
    <definedName name="_____kvs1_3" hidden="1">{#N/A,#N/A,FALSE,"COVER1.XLS ";#N/A,#N/A,FALSE,"RACT1.XLS";#N/A,#N/A,FALSE,"RACT2.XLS";#N/A,#N/A,FALSE,"ECCMP";#N/A,#N/A,FALSE,"WELDER.XLS"}</definedName>
    <definedName name="_____kvs1_4" hidden="1">{#N/A,#N/A,FALSE,"COVER1.XLS ";#N/A,#N/A,FALSE,"RACT1.XLS";#N/A,#N/A,FALSE,"RACT2.XLS";#N/A,#N/A,FALSE,"ECCMP";#N/A,#N/A,FALSE,"WELDER.XLS"}</definedName>
    <definedName name="_____kvs1_5" hidden="1">{#N/A,#N/A,FALSE,"COVER1.XLS ";#N/A,#N/A,FALSE,"RACT1.XLS";#N/A,#N/A,FALSE,"RACT2.XLS";#N/A,#N/A,FALSE,"ECCMP";#N/A,#N/A,FALSE,"WELDER.XLS"}</definedName>
    <definedName name="_____kvs2" hidden="1">{#N/A,#N/A,FALSE,"COVER1.XLS ";#N/A,#N/A,FALSE,"RACT1.XLS";#N/A,#N/A,FALSE,"RACT2.XLS";#N/A,#N/A,FALSE,"ECCMP";#N/A,#N/A,FALSE,"WELDER.XLS"}</definedName>
    <definedName name="_____kvs2_1" hidden="1">{#N/A,#N/A,FALSE,"COVER1.XLS ";#N/A,#N/A,FALSE,"RACT1.XLS";#N/A,#N/A,FALSE,"RACT2.XLS";#N/A,#N/A,FALSE,"ECCMP";#N/A,#N/A,FALSE,"WELDER.XLS"}</definedName>
    <definedName name="_____kvs2_2" hidden="1">{#N/A,#N/A,FALSE,"COVER1.XLS ";#N/A,#N/A,FALSE,"RACT1.XLS";#N/A,#N/A,FALSE,"RACT2.XLS";#N/A,#N/A,FALSE,"ECCMP";#N/A,#N/A,FALSE,"WELDER.XLS"}</definedName>
    <definedName name="_____kvs2_3" hidden="1">{#N/A,#N/A,FALSE,"COVER1.XLS ";#N/A,#N/A,FALSE,"RACT1.XLS";#N/A,#N/A,FALSE,"RACT2.XLS";#N/A,#N/A,FALSE,"ECCMP";#N/A,#N/A,FALSE,"WELDER.XLS"}</definedName>
    <definedName name="_____kvs2_4" hidden="1">{#N/A,#N/A,FALSE,"COVER1.XLS ";#N/A,#N/A,FALSE,"RACT1.XLS";#N/A,#N/A,FALSE,"RACT2.XLS";#N/A,#N/A,FALSE,"ECCMP";#N/A,#N/A,FALSE,"WELDER.XLS"}</definedName>
    <definedName name="_____kvs2_5" hidden="1">{#N/A,#N/A,FALSE,"COVER1.XLS ";#N/A,#N/A,FALSE,"RACT1.XLS";#N/A,#N/A,FALSE,"RACT2.XLS";#N/A,#N/A,FALSE,"ECCMP";#N/A,#N/A,FALSE,"WELDER.XLS"}</definedName>
    <definedName name="_____kvs5" hidden="1">{#N/A,#N/A,FALSE,"COVER.XLS";#N/A,#N/A,FALSE,"RACT1.XLS";#N/A,#N/A,FALSE,"RACT2.XLS";#N/A,#N/A,FALSE,"ECCMP";#N/A,#N/A,FALSE,"WELDER.XLS"}</definedName>
    <definedName name="_____kvs5_1" hidden="1">{#N/A,#N/A,FALSE,"COVER.XLS";#N/A,#N/A,FALSE,"RACT1.XLS";#N/A,#N/A,FALSE,"RACT2.XLS";#N/A,#N/A,FALSE,"ECCMP";#N/A,#N/A,FALSE,"WELDER.XLS"}</definedName>
    <definedName name="_____kvs5_2" hidden="1">{#N/A,#N/A,FALSE,"COVER.XLS";#N/A,#N/A,FALSE,"RACT1.XLS";#N/A,#N/A,FALSE,"RACT2.XLS";#N/A,#N/A,FALSE,"ECCMP";#N/A,#N/A,FALSE,"WELDER.XLS"}</definedName>
    <definedName name="_____kvs5_3" hidden="1">{#N/A,#N/A,FALSE,"COVER.XLS";#N/A,#N/A,FALSE,"RACT1.XLS";#N/A,#N/A,FALSE,"RACT2.XLS";#N/A,#N/A,FALSE,"ECCMP";#N/A,#N/A,FALSE,"WELDER.XLS"}</definedName>
    <definedName name="_____kvs5_4" hidden="1">{#N/A,#N/A,FALSE,"COVER.XLS";#N/A,#N/A,FALSE,"RACT1.XLS";#N/A,#N/A,FALSE,"RACT2.XLS";#N/A,#N/A,FALSE,"ECCMP";#N/A,#N/A,FALSE,"WELDER.XLS"}</definedName>
    <definedName name="_____kvs5_5" hidden="1">{#N/A,#N/A,FALSE,"COVER.XLS";#N/A,#N/A,FALSE,"RACT1.XLS";#N/A,#N/A,FALSE,"RACT2.XLS";#N/A,#N/A,FALSE,"ECCMP";#N/A,#N/A,FALSE,"WELDER.XLS"}</definedName>
    <definedName name="_____kvs7" hidden="1">{#N/A,#N/A,FALSE,"COVER1.XLS ";#N/A,#N/A,FALSE,"RACT1.XLS";#N/A,#N/A,FALSE,"RACT2.XLS";#N/A,#N/A,FALSE,"ECCMP";#N/A,#N/A,FALSE,"WELDER.XLS"}</definedName>
    <definedName name="_____kvs7_1" hidden="1">{#N/A,#N/A,FALSE,"COVER1.XLS ";#N/A,#N/A,FALSE,"RACT1.XLS";#N/A,#N/A,FALSE,"RACT2.XLS";#N/A,#N/A,FALSE,"ECCMP";#N/A,#N/A,FALSE,"WELDER.XLS"}</definedName>
    <definedName name="_____kvs7_2" hidden="1">{#N/A,#N/A,FALSE,"COVER1.XLS ";#N/A,#N/A,FALSE,"RACT1.XLS";#N/A,#N/A,FALSE,"RACT2.XLS";#N/A,#N/A,FALSE,"ECCMP";#N/A,#N/A,FALSE,"WELDER.XLS"}</definedName>
    <definedName name="_____kvs7_3" hidden="1">{#N/A,#N/A,FALSE,"COVER1.XLS ";#N/A,#N/A,FALSE,"RACT1.XLS";#N/A,#N/A,FALSE,"RACT2.XLS";#N/A,#N/A,FALSE,"ECCMP";#N/A,#N/A,FALSE,"WELDER.XLS"}</definedName>
    <definedName name="_____kvs7_4" hidden="1">{#N/A,#N/A,FALSE,"COVER1.XLS ";#N/A,#N/A,FALSE,"RACT1.XLS";#N/A,#N/A,FALSE,"RACT2.XLS";#N/A,#N/A,FALSE,"ECCMP";#N/A,#N/A,FALSE,"WELDER.XLS"}</definedName>
    <definedName name="_____kvs7_5" hidden="1">{#N/A,#N/A,FALSE,"COVER1.XLS ";#N/A,#N/A,FALSE,"RACT1.XLS";#N/A,#N/A,FALSE,"RACT2.XLS";#N/A,#N/A,FALSE,"ECCMP";#N/A,#N/A,FALSE,"WELDER.XLS"}</definedName>
    <definedName name="_____kvs8" hidden="1">{#N/A,#N/A,FALSE,"COVER1.XLS ";#N/A,#N/A,FALSE,"RACT1.XLS";#N/A,#N/A,FALSE,"RACT2.XLS";#N/A,#N/A,FALSE,"ECCMP";#N/A,#N/A,FALSE,"WELDER.XLS"}</definedName>
    <definedName name="_____kvs8_1" hidden="1">{#N/A,#N/A,FALSE,"COVER1.XLS ";#N/A,#N/A,FALSE,"RACT1.XLS";#N/A,#N/A,FALSE,"RACT2.XLS";#N/A,#N/A,FALSE,"ECCMP";#N/A,#N/A,FALSE,"WELDER.XLS"}</definedName>
    <definedName name="_____kvs8_2" hidden="1">{#N/A,#N/A,FALSE,"COVER1.XLS ";#N/A,#N/A,FALSE,"RACT1.XLS";#N/A,#N/A,FALSE,"RACT2.XLS";#N/A,#N/A,FALSE,"ECCMP";#N/A,#N/A,FALSE,"WELDER.XLS"}</definedName>
    <definedName name="_____kvs8_3" hidden="1">{#N/A,#N/A,FALSE,"COVER1.XLS ";#N/A,#N/A,FALSE,"RACT1.XLS";#N/A,#N/A,FALSE,"RACT2.XLS";#N/A,#N/A,FALSE,"ECCMP";#N/A,#N/A,FALSE,"WELDER.XLS"}</definedName>
    <definedName name="_____kvs8_4" hidden="1">{#N/A,#N/A,FALSE,"COVER1.XLS ";#N/A,#N/A,FALSE,"RACT1.XLS";#N/A,#N/A,FALSE,"RACT2.XLS";#N/A,#N/A,FALSE,"ECCMP";#N/A,#N/A,FALSE,"WELDER.XLS"}</definedName>
    <definedName name="_____kvs8_5" hidden="1">{#N/A,#N/A,FALSE,"COVER1.XLS ";#N/A,#N/A,FALSE,"RACT1.XLS";#N/A,#N/A,FALSE,"RACT2.XLS";#N/A,#N/A,FALSE,"ECCMP";#N/A,#N/A,FALSE,"WELDER.XLS"}</definedName>
    <definedName name="_____KVS9" hidden="1">{#N/A,#N/A,FALSE,"COVER1.XLS ";#N/A,#N/A,FALSE,"RACT1.XLS";#N/A,#N/A,FALSE,"RACT2.XLS";#N/A,#N/A,FALSE,"ECCMP";#N/A,#N/A,FALSE,"WELDER.XLS"}</definedName>
    <definedName name="_____KVS9_1" hidden="1">{#N/A,#N/A,FALSE,"COVER1.XLS ";#N/A,#N/A,FALSE,"RACT1.XLS";#N/A,#N/A,FALSE,"RACT2.XLS";#N/A,#N/A,FALSE,"ECCMP";#N/A,#N/A,FALSE,"WELDER.XLS"}</definedName>
    <definedName name="_____KVS9_2" hidden="1">{#N/A,#N/A,FALSE,"COVER1.XLS ";#N/A,#N/A,FALSE,"RACT1.XLS";#N/A,#N/A,FALSE,"RACT2.XLS";#N/A,#N/A,FALSE,"ECCMP";#N/A,#N/A,FALSE,"WELDER.XLS"}</definedName>
    <definedName name="_____KVS9_3" hidden="1">{#N/A,#N/A,FALSE,"COVER1.XLS ";#N/A,#N/A,FALSE,"RACT1.XLS";#N/A,#N/A,FALSE,"RACT2.XLS";#N/A,#N/A,FALSE,"ECCMP";#N/A,#N/A,FALSE,"WELDER.XLS"}</definedName>
    <definedName name="_____KVS9_4" hidden="1">{#N/A,#N/A,FALSE,"COVER1.XLS ";#N/A,#N/A,FALSE,"RACT1.XLS";#N/A,#N/A,FALSE,"RACT2.XLS";#N/A,#N/A,FALSE,"ECCMP";#N/A,#N/A,FALSE,"WELDER.XLS"}</definedName>
    <definedName name="_____KVS9_5" hidden="1">{#N/A,#N/A,FALSE,"COVER1.XLS ";#N/A,#N/A,FALSE,"RACT1.XLS";#N/A,#N/A,FALSE,"RACT2.XLS";#N/A,#N/A,FALSE,"ECCMP";#N/A,#N/A,FALSE,"WELDER.XLS"}</definedName>
    <definedName name="_____l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2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2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2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2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2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ns1" hidden="1">{#N/A,#N/A,FALSE,"COVER1.XLS ";#N/A,#N/A,FALSE,"RACT1.XLS";#N/A,#N/A,FALSE,"RACT2.XLS";#N/A,#N/A,FALSE,"ECCMP";#N/A,#N/A,FALSE,"WELDER.XLS"}</definedName>
    <definedName name="_____ns1_1" hidden="1">{#N/A,#N/A,FALSE,"COVER1.XLS ";#N/A,#N/A,FALSE,"RACT1.XLS";#N/A,#N/A,FALSE,"RACT2.XLS";#N/A,#N/A,FALSE,"ECCMP";#N/A,#N/A,FALSE,"WELDER.XLS"}</definedName>
    <definedName name="_____ns1_2" hidden="1">{#N/A,#N/A,FALSE,"COVER1.XLS ";#N/A,#N/A,FALSE,"RACT1.XLS";#N/A,#N/A,FALSE,"RACT2.XLS";#N/A,#N/A,FALSE,"ECCMP";#N/A,#N/A,FALSE,"WELDER.XLS"}</definedName>
    <definedName name="_____ns1_3" hidden="1">{#N/A,#N/A,FALSE,"COVER1.XLS ";#N/A,#N/A,FALSE,"RACT1.XLS";#N/A,#N/A,FALSE,"RACT2.XLS";#N/A,#N/A,FALSE,"ECCMP";#N/A,#N/A,FALSE,"WELDER.XLS"}</definedName>
    <definedName name="_____ns1_4" hidden="1">{#N/A,#N/A,FALSE,"COVER1.XLS ";#N/A,#N/A,FALSE,"RACT1.XLS";#N/A,#N/A,FALSE,"RACT2.XLS";#N/A,#N/A,FALSE,"ECCMP";#N/A,#N/A,FALSE,"WELDER.XLS"}</definedName>
    <definedName name="_____ns1_5" hidden="1">{#N/A,#N/A,FALSE,"COVER1.XLS ";#N/A,#N/A,FALSE,"RACT1.XLS";#N/A,#N/A,FALSE,"RACT2.XLS";#N/A,#N/A,FALSE,"ECCMP";#N/A,#N/A,FALSE,"WELDER.XLS"}</definedName>
    <definedName name="_____PRN1" hidden="1">{#N/A,#N/A,FALSE,"COVER.XLS";#N/A,#N/A,FALSE,"RACT1.XLS";#N/A,#N/A,FALSE,"RACT2.XLS";#N/A,#N/A,FALSE,"ECCMP";#N/A,#N/A,FALSE,"WELDER.XLS"}</definedName>
    <definedName name="_____q2" hidden="1">{#N/A,#N/A,FALSE,"COVER1.XLS ";#N/A,#N/A,FALSE,"RACT1.XLS";#N/A,#N/A,FALSE,"RACT2.XLS";#N/A,#N/A,FALSE,"ECCMP";#N/A,#N/A,FALSE,"WELDER.XLS"}</definedName>
    <definedName name="_____q2_1" hidden="1">{#N/A,#N/A,FALSE,"COVER1.XLS ";#N/A,#N/A,FALSE,"RACT1.XLS";#N/A,#N/A,FALSE,"RACT2.XLS";#N/A,#N/A,FALSE,"ECCMP";#N/A,#N/A,FALSE,"WELDER.XLS"}</definedName>
    <definedName name="_____q2_2" hidden="1">{#N/A,#N/A,FALSE,"COVER1.XLS ";#N/A,#N/A,FALSE,"RACT1.XLS";#N/A,#N/A,FALSE,"RACT2.XLS";#N/A,#N/A,FALSE,"ECCMP";#N/A,#N/A,FALSE,"WELDER.XLS"}</definedName>
    <definedName name="_____q2_3" hidden="1">{#N/A,#N/A,FALSE,"COVER1.XLS ";#N/A,#N/A,FALSE,"RACT1.XLS";#N/A,#N/A,FALSE,"RACT2.XLS";#N/A,#N/A,FALSE,"ECCMP";#N/A,#N/A,FALSE,"WELDER.XLS"}</definedName>
    <definedName name="_____q2_4" hidden="1">{#N/A,#N/A,FALSE,"COVER1.XLS ";#N/A,#N/A,FALSE,"RACT1.XLS";#N/A,#N/A,FALSE,"RACT2.XLS";#N/A,#N/A,FALSE,"ECCMP";#N/A,#N/A,FALSE,"WELDER.XLS"}</definedName>
    <definedName name="_____q2_5" hidden="1">{#N/A,#N/A,FALSE,"COVER1.XLS ";#N/A,#N/A,FALSE,"RACT1.XLS";#N/A,#N/A,FALSE,"RACT2.XLS";#N/A,#N/A,FALSE,"ECCMP";#N/A,#N/A,FALSE,"WELDER.XLS"}</definedName>
    <definedName name="_____t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1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1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1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1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1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r1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r1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r1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r1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r1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w2" hidden="1">{#N/A,#N/A,FALSE,"17MAY";#N/A,#N/A,FALSE,"24MAY"}</definedName>
    <definedName name="_____w2_1" hidden="1">{#N/A,#N/A,FALSE,"17MAY";#N/A,#N/A,FALSE,"24MAY"}</definedName>
    <definedName name="_____w2_2" hidden="1">{#N/A,#N/A,FALSE,"17MAY";#N/A,#N/A,FALSE,"24MAY"}</definedName>
    <definedName name="_____w2_3" hidden="1">{#N/A,#N/A,FALSE,"17MAY";#N/A,#N/A,FALSE,"24MAY"}</definedName>
    <definedName name="_____w2_4" hidden="1">{#N/A,#N/A,FALSE,"17MAY";#N/A,#N/A,FALSE,"24MAY"}</definedName>
    <definedName name="_____w2_5" hidden="1">{#N/A,#N/A,FALSE,"17MAY";#N/A,#N/A,FALSE,"24MAY"}</definedName>
    <definedName name="___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wrn1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wrn1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wrn1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wrn1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wrn1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WRN2" hidden="1">{#N/A,#N/A,FALSE,"COVER1.XLS ";#N/A,#N/A,FALSE,"RACT1.XLS";#N/A,#N/A,FALSE,"RACT2.XLS";#N/A,#N/A,FALSE,"ECCMP";#N/A,#N/A,FALSE,"WELDER.XLS"}</definedName>
    <definedName name="_____WRN3" hidden="1">{#N/A,#N/A,FALSE,"consu_cover";#N/A,#N/A,FALSE,"consu_strategy";#N/A,#N/A,FALSE,"consu_flow";#N/A,#N/A,FALSE,"Summary_reqmt";#N/A,#N/A,FALSE,"field_ppg";#N/A,#N/A,FALSE,"ppg_shop";#N/A,#N/A,FALSE,"strl";#N/A,#N/A,FALSE,"tankages";#N/A,#N/A,FALSE,"gases"}</definedName>
    <definedName name="____abc1" hidden="1">{#N/A,#N/A,FALSE,"str_title";#N/A,#N/A,FALSE,"SUM";#N/A,#N/A,FALSE,"Scope";#N/A,#N/A,FALSE,"PIE-Jn";#N/A,#N/A,FALSE,"PIE-Jn_Hz";#N/A,#N/A,FALSE,"Liq_Plan";#N/A,#N/A,FALSE,"S_Curve";#N/A,#N/A,FALSE,"Liq_Prof";#N/A,#N/A,FALSE,"Man_Pwr";#N/A,#N/A,FALSE,"Man_Prof"}</definedName>
    <definedName name="____dk1" hidden="1">{#N/A,#N/A,FALSE,"COVER.XLS";#N/A,#N/A,FALSE,"RACT1.XLS";#N/A,#N/A,FALSE,"RACT2.XLS";#N/A,#N/A,FALSE,"ECCMP";#N/A,#N/A,FALSE,"WELDER.XLS"}</definedName>
    <definedName name="____dk1_1" hidden="1">{#N/A,#N/A,FALSE,"COVER.XLS";#N/A,#N/A,FALSE,"RACT1.XLS";#N/A,#N/A,FALSE,"RACT2.XLS";#N/A,#N/A,FALSE,"ECCMP";#N/A,#N/A,FALSE,"WELDER.XLS"}</definedName>
    <definedName name="____dk1_2" hidden="1">{#N/A,#N/A,FALSE,"COVER.XLS";#N/A,#N/A,FALSE,"RACT1.XLS";#N/A,#N/A,FALSE,"RACT2.XLS";#N/A,#N/A,FALSE,"ECCMP";#N/A,#N/A,FALSE,"WELDER.XLS"}</definedName>
    <definedName name="____dk1_3" hidden="1">{#N/A,#N/A,FALSE,"COVER.XLS";#N/A,#N/A,FALSE,"RACT1.XLS";#N/A,#N/A,FALSE,"RACT2.XLS";#N/A,#N/A,FALSE,"ECCMP";#N/A,#N/A,FALSE,"WELDER.XLS"}</definedName>
    <definedName name="____dk1_4" hidden="1">{#N/A,#N/A,FALSE,"COVER.XLS";#N/A,#N/A,FALSE,"RACT1.XLS";#N/A,#N/A,FALSE,"RACT2.XLS";#N/A,#N/A,FALSE,"ECCMP";#N/A,#N/A,FALSE,"WELDER.XLS"}</definedName>
    <definedName name="____dk1_5" hidden="1">{#N/A,#N/A,FALSE,"COVER.XLS";#N/A,#N/A,FALSE,"RACT1.XLS";#N/A,#N/A,FALSE,"RACT2.XLS";#N/A,#N/A,FALSE,"ECCMP";#N/A,#N/A,FALSE,"WELDER.XLS"}</definedName>
    <definedName name="____k8" hidden="1">{#N/A,#N/A,FALSE,"COVER1.XLS ";#N/A,#N/A,FALSE,"RACT1.XLS";#N/A,#N/A,FALSE,"RACT2.XLS";#N/A,#N/A,FALSE,"ECCMP";#N/A,#N/A,FALSE,"WELDER.XLS"}</definedName>
    <definedName name="____k8_1" hidden="1">{#N/A,#N/A,FALSE,"COVER1.XLS ";#N/A,#N/A,FALSE,"RACT1.XLS";#N/A,#N/A,FALSE,"RACT2.XLS";#N/A,#N/A,FALSE,"ECCMP";#N/A,#N/A,FALSE,"WELDER.XLS"}</definedName>
    <definedName name="____k8_2" hidden="1">{#N/A,#N/A,FALSE,"COVER1.XLS ";#N/A,#N/A,FALSE,"RACT1.XLS";#N/A,#N/A,FALSE,"RACT2.XLS";#N/A,#N/A,FALSE,"ECCMP";#N/A,#N/A,FALSE,"WELDER.XLS"}</definedName>
    <definedName name="____k8_3" hidden="1">{#N/A,#N/A,FALSE,"COVER1.XLS ";#N/A,#N/A,FALSE,"RACT1.XLS";#N/A,#N/A,FALSE,"RACT2.XLS";#N/A,#N/A,FALSE,"ECCMP";#N/A,#N/A,FALSE,"WELDER.XLS"}</definedName>
    <definedName name="____k8_4" hidden="1">{#N/A,#N/A,FALSE,"COVER1.XLS ";#N/A,#N/A,FALSE,"RACT1.XLS";#N/A,#N/A,FALSE,"RACT2.XLS";#N/A,#N/A,FALSE,"ECCMP";#N/A,#N/A,FALSE,"WELDER.XLS"}</definedName>
    <definedName name="____k8_5" hidden="1">{#N/A,#N/A,FALSE,"COVER1.XLS ";#N/A,#N/A,FALSE,"RACT1.XLS";#N/A,#N/A,FALSE,"RACT2.XLS";#N/A,#N/A,FALSE,"ECCMP";#N/A,#N/A,FALSE,"WELDER.XLS"}</definedName>
    <definedName name="____kv2" hidden="1">{#N/A,#N/A,FALSE,"COVER1.XLS ";#N/A,#N/A,FALSE,"RACT1.XLS";#N/A,#N/A,FALSE,"RACT2.XLS";#N/A,#N/A,FALSE,"ECCMP";#N/A,#N/A,FALSE,"WELDER.XLS"}</definedName>
    <definedName name="____kvs1" hidden="1">{#N/A,#N/A,FALSE,"COVER1.XLS ";#N/A,#N/A,FALSE,"RACT1.XLS";#N/A,#N/A,FALSE,"RACT2.XLS";#N/A,#N/A,FALSE,"ECCMP";#N/A,#N/A,FALSE,"WELDER.XLS"}</definedName>
    <definedName name="____kvs1_1" hidden="1">{#N/A,#N/A,FALSE,"COVER1.XLS ";#N/A,#N/A,FALSE,"RACT1.XLS";#N/A,#N/A,FALSE,"RACT2.XLS";#N/A,#N/A,FALSE,"ECCMP";#N/A,#N/A,FALSE,"WELDER.XLS"}</definedName>
    <definedName name="____kvs1_2" hidden="1">{#N/A,#N/A,FALSE,"COVER1.XLS ";#N/A,#N/A,FALSE,"RACT1.XLS";#N/A,#N/A,FALSE,"RACT2.XLS";#N/A,#N/A,FALSE,"ECCMP";#N/A,#N/A,FALSE,"WELDER.XLS"}</definedName>
    <definedName name="____kvs1_3" hidden="1">{#N/A,#N/A,FALSE,"COVER1.XLS ";#N/A,#N/A,FALSE,"RACT1.XLS";#N/A,#N/A,FALSE,"RACT2.XLS";#N/A,#N/A,FALSE,"ECCMP";#N/A,#N/A,FALSE,"WELDER.XLS"}</definedName>
    <definedName name="____kvs1_4" hidden="1">{#N/A,#N/A,FALSE,"COVER1.XLS ";#N/A,#N/A,FALSE,"RACT1.XLS";#N/A,#N/A,FALSE,"RACT2.XLS";#N/A,#N/A,FALSE,"ECCMP";#N/A,#N/A,FALSE,"WELDER.XLS"}</definedName>
    <definedName name="____kvs1_5" hidden="1">{#N/A,#N/A,FALSE,"COVER1.XLS ";#N/A,#N/A,FALSE,"RACT1.XLS";#N/A,#N/A,FALSE,"RACT2.XLS";#N/A,#N/A,FALSE,"ECCMP";#N/A,#N/A,FALSE,"WELDER.XLS"}</definedName>
    <definedName name="____kvs2" hidden="1">{#N/A,#N/A,FALSE,"COVER1.XLS ";#N/A,#N/A,FALSE,"RACT1.XLS";#N/A,#N/A,FALSE,"RACT2.XLS";#N/A,#N/A,FALSE,"ECCMP";#N/A,#N/A,FALSE,"WELDER.XLS"}</definedName>
    <definedName name="____kvs2_1" hidden="1">{#N/A,#N/A,FALSE,"COVER1.XLS ";#N/A,#N/A,FALSE,"RACT1.XLS";#N/A,#N/A,FALSE,"RACT2.XLS";#N/A,#N/A,FALSE,"ECCMP";#N/A,#N/A,FALSE,"WELDER.XLS"}</definedName>
    <definedName name="____kvs2_2" hidden="1">{#N/A,#N/A,FALSE,"COVER1.XLS ";#N/A,#N/A,FALSE,"RACT1.XLS";#N/A,#N/A,FALSE,"RACT2.XLS";#N/A,#N/A,FALSE,"ECCMP";#N/A,#N/A,FALSE,"WELDER.XLS"}</definedName>
    <definedName name="____kvs2_3" hidden="1">{#N/A,#N/A,FALSE,"COVER1.XLS ";#N/A,#N/A,FALSE,"RACT1.XLS";#N/A,#N/A,FALSE,"RACT2.XLS";#N/A,#N/A,FALSE,"ECCMP";#N/A,#N/A,FALSE,"WELDER.XLS"}</definedName>
    <definedName name="____kvs2_4" hidden="1">{#N/A,#N/A,FALSE,"COVER1.XLS ";#N/A,#N/A,FALSE,"RACT1.XLS";#N/A,#N/A,FALSE,"RACT2.XLS";#N/A,#N/A,FALSE,"ECCMP";#N/A,#N/A,FALSE,"WELDER.XLS"}</definedName>
    <definedName name="____kvs2_5" hidden="1">{#N/A,#N/A,FALSE,"COVER1.XLS ";#N/A,#N/A,FALSE,"RACT1.XLS";#N/A,#N/A,FALSE,"RACT2.XLS";#N/A,#N/A,FALSE,"ECCMP";#N/A,#N/A,FALSE,"WELDER.XLS"}</definedName>
    <definedName name="____kvs5" hidden="1">{#N/A,#N/A,FALSE,"COVER.XLS";#N/A,#N/A,FALSE,"RACT1.XLS";#N/A,#N/A,FALSE,"RACT2.XLS";#N/A,#N/A,FALSE,"ECCMP";#N/A,#N/A,FALSE,"WELDER.XLS"}</definedName>
    <definedName name="____kvs5_1" hidden="1">{#N/A,#N/A,FALSE,"COVER.XLS";#N/A,#N/A,FALSE,"RACT1.XLS";#N/A,#N/A,FALSE,"RACT2.XLS";#N/A,#N/A,FALSE,"ECCMP";#N/A,#N/A,FALSE,"WELDER.XLS"}</definedName>
    <definedName name="____kvs5_2" hidden="1">{#N/A,#N/A,FALSE,"COVER.XLS";#N/A,#N/A,FALSE,"RACT1.XLS";#N/A,#N/A,FALSE,"RACT2.XLS";#N/A,#N/A,FALSE,"ECCMP";#N/A,#N/A,FALSE,"WELDER.XLS"}</definedName>
    <definedName name="____kvs5_3" hidden="1">{#N/A,#N/A,FALSE,"COVER.XLS";#N/A,#N/A,FALSE,"RACT1.XLS";#N/A,#N/A,FALSE,"RACT2.XLS";#N/A,#N/A,FALSE,"ECCMP";#N/A,#N/A,FALSE,"WELDER.XLS"}</definedName>
    <definedName name="____kvs5_4" hidden="1">{#N/A,#N/A,FALSE,"COVER.XLS";#N/A,#N/A,FALSE,"RACT1.XLS";#N/A,#N/A,FALSE,"RACT2.XLS";#N/A,#N/A,FALSE,"ECCMP";#N/A,#N/A,FALSE,"WELDER.XLS"}</definedName>
    <definedName name="____kvs5_5" hidden="1">{#N/A,#N/A,FALSE,"COVER.XLS";#N/A,#N/A,FALSE,"RACT1.XLS";#N/A,#N/A,FALSE,"RACT2.XLS";#N/A,#N/A,FALSE,"ECCMP";#N/A,#N/A,FALSE,"WELDER.XLS"}</definedName>
    <definedName name="____kvs7" hidden="1">{#N/A,#N/A,FALSE,"COVER1.XLS ";#N/A,#N/A,FALSE,"RACT1.XLS";#N/A,#N/A,FALSE,"RACT2.XLS";#N/A,#N/A,FALSE,"ECCMP";#N/A,#N/A,FALSE,"WELDER.XLS"}</definedName>
    <definedName name="____kvs7_1" hidden="1">{#N/A,#N/A,FALSE,"COVER1.XLS ";#N/A,#N/A,FALSE,"RACT1.XLS";#N/A,#N/A,FALSE,"RACT2.XLS";#N/A,#N/A,FALSE,"ECCMP";#N/A,#N/A,FALSE,"WELDER.XLS"}</definedName>
    <definedName name="____kvs7_2" hidden="1">{#N/A,#N/A,FALSE,"COVER1.XLS ";#N/A,#N/A,FALSE,"RACT1.XLS";#N/A,#N/A,FALSE,"RACT2.XLS";#N/A,#N/A,FALSE,"ECCMP";#N/A,#N/A,FALSE,"WELDER.XLS"}</definedName>
    <definedName name="____kvs7_3" hidden="1">{#N/A,#N/A,FALSE,"COVER1.XLS ";#N/A,#N/A,FALSE,"RACT1.XLS";#N/A,#N/A,FALSE,"RACT2.XLS";#N/A,#N/A,FALSE,"ECCMP";#N/A,#N/A,FALSE,"WELDER.XLS"}</definedName>
    <definedName name="____kvs7_4" hidden="1">{#N/A,#N/A,FALSE,"COVER1.XLS ";#N/A,#N/A,FALSE,"RACT1.XLS";#N/A,#N/A,FALSE,"RACT2.XLS";#N/A,#N/A,FALSE,"ECCMP";#N/A,#N/A,FALSE,"WELDER.XLS"}</definedName>
    <definedName name="____kvs7_5" hidden="1">{#N/A,#N/A,FALSE,"COVER1.XLS ";#N/A,#N/A,FALSE,"RACT1.XLS";#N/A,#N/A,FALSE,"RACT2.XLS";#N/A,#N/A,FALSE,"ECCMP";#N/A,#N/A,FALSE,"WELDER.XLS"}</definedName>
    <definedName name="____kvs8" hidden="1">{#N/A,#N/A,FALSE,"COVER1.XLS ";#N/A,#N/A,FALSE,"RACT1.XLS";#N/A,#N/A,FALSE,"RACT2.XLS";#N/A,#N/A,FALSE,"ECCMP";#N/A,#N/A,FALSE,"WELDER.XLS"}</definedName>
    <definedName name="____kvs8_1" hidden="1">{#N/A,#N/A,FALSE,"COVER1.XLS ";#N/A,#N/A,FALSE,"RACT1.XLS";#N/A,#N/A,FALSE,"RACT2.XLS";#N/A,#N/A,FALSE,"ECCMP";#N/A,#N/A,FALSE,"WELDER.XLS"}</definedName>
    <definedName name="____kvs8_2" hidden="1">{#N/A,#N/A,FALSE,"COVER1.XLS ";#N/A,#N/A,FALSE,"RACT1.XLS";#N/A,#N/A,FALSE,"RACT2.XLS";#N/A,#N/A,FALSE,"ECCMP";#N/A,#N/A,FALSE,"WELDER.XLS"}</definedName>
    <definedName name="____kvs8_3" hidden="1">{#N/A,#N/A,FALSE,"COVER1.XLS ";#N/A,#N/A,FALSE,"RACT1.XLS";#N/A,#N/A,FALSE,"RACT2.XLS";#N/A,#N/A,FALSE,"ECCMP";#N/A,#N/A,FALSE,"WELDER.XLS"}</definedName>
    <definedName name="____kvs8_4" hidden="1">{#N/A,#N/A,FALSE,"COVER1.XLS ";#N/A,#N/A,FALSE,"RACT1.XLS";#N/A,#N/A,FALSE,"RACT2.XLS";#N/A,#N/A,FALSE,"ECCMP";#N/A,#N/A,FALSE,"WELDER.XLS"}</definedName>
    <definedName name="____kvs8_5" hidden="1">{#N/A,#N/A,FALSE,"COVER1.XLS ";#N/A,#N/A,FALSE,"RACT1.XLS";#N/A,#N/A,FALSE,"RACT2.XLS";#N/A,#N/A,FALSE,"ECCMP";#N/A,#N/A,FALSE,"WELDER.XLS"}</definedName>
    <definedName name="____KVS9" hidden="1">{#N/A,#N/A,FALSE,"COVER1.XLS ";#N/A,#N/A,FALSE,"RACT1.XLS";#N/A,#N/A,FALSE,"RACT2.XLS";#N/A,#N/A,FALSE,"ECCMP";#N/A,#N/A,FALSE,"WELDER.XLS"}</definedName>
    <definedName name="____KVS9_1" hidden="1">{#N/A,#N/A,FALSE,"COVER1.XLS ";#N/A,#N/A,FALSE,"RACT1.XLS";#N/A,#N/A,FALSE,"RACT2.XLS";#N/A,#N/A,FALSE,"ECCMP";#N/A,#N/A,FALSE,"WELDER.XLS"}</definedName>
    <definedName name="____KVS9_2" hidden="1">{#N/A,#N/A,FALSE,"COVER1.XLS ";#N/A,#N/A,FALSE,"RACT1.XLS";#N/A,#N/A,FALSE,"RACT2.XLS";#N/A,#N/A,FALSE,"ECCMP";#N/A,#N/A,FALSE,"WELDER.XLS"}</definedName>
    <definedName name="____KVS9_3" hidden="1">{#N/A,#N/A,FALSE,"COVER1.XLS ";#N/A,#N/A,FALSE,"RACT1.XLS";#N/A,#N/A,FALSE,"RACT2.XLS";#N/A,#N/A,FALSE,"ECCMP";#N/A,#N/A,FALSE,"WELDER.XLS"}</definedName>
    <definedName name="____KVS9_4" hidden="1">{#N/A,#N/A,FALSE,"COVER1.XLS ";#N/A,#N/A,FALSE,"RACT1.XLS";#N/A,#N/A,FALSE,"RACT2.XLS";#N/A,#N/A,FALSE,"ECCMP";#N/A,#N/A,FALSE,"WELDER.XLS"}</definedName>
    <definedName name="____KVS9_5" hidden="1">{#N/A,#N/A,FALSE,"COVER1.XLS ";#N/A,#N/A,FALSE,"RACT1.XLS";#N/A,#N/A,FALSE,"RACT2.XLS";#N/A,#N/A,FALSE,"ECCMP";#N/A,#N/A,FALSE,"WELDER.XLS"}</definedName>
    <definedName name="____l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2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2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2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2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2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ns1" hidden="1">{#N/A,#N/A,FALSE,"COVER1.XLS ";#N/A,#N/A,FALSE,"RACT1.XLS";#N/A,#N/A,FALSE,"RACT2.XLS";#N/A,#N/A,FALSE,"ECCMP";#N/A,#N/A,FALSE,"WELDER.XLS"}</definedName>
    <definedName name="____ns1_1" hidden="1">{#N/A,#N/A,FALSE,"COVER1.XLS ";#N/A,#N/A,FALSE,"RACT1.XLS";#N/A,#N/A,FALSE,"RACT2.XLS";#N/A,#N/A,FALSE,"ECCMP";#N/A,#N/A,FALSE,"WELDER.XLS"}</definedName>
    <definedName name="____ns1_2" hidden="1">{#N/A,#N/A,FALSE,"COVER1.XLS ";#N/A,#N/A,FALSE,"RACT1.XLS";#N/A,#N/A,FALSE,"RACT2.XLS";#N/A,#N/A,FALSE,"ECCMP";#N/A,#N/A,FALSE,"WELDER.XLS"}</definedName>
    <definedName name="____ns1_3" hidden="1">{#N/A,#N/A,FALSE,"COVER1.XLS ";#N/A,#N/A,FALSE,"RACT1.XLS";#N/A,#N/A,FALSE,"RACT2.XLS";#N/A,#N/A,FALSE,"ECCMP";#N/A,#N/A,FALSE,"WELDER.XLS"}</definedName>
    <definedName name="____ns1_4" hidden="1">{#N/A,#N/A,FALSE,"COVER1.XLS ";#N/A,#N/A,FALSE,"RACT1.XLS";#N/A,#N/A,FALSE,"RACT2.XLS";#N/A,#N/A,FALSE,"ECCMP";#N/A,#N/A,FALSE,"WELDER.XLS"}</definedName>
    <definedName name="____ns1_5" hidden="1">{#N/A,#N/A,FALSE,"COVER1.XLS ";#N/A,#N/A,FALSE,"RACT1.XLS";#N/A,#N/A,FALSE,"RACT2.XLS";#N/A,#N/A,FALSE,"ECCMP";#N/A,#N/A,FALSE,"WELDER.XLS"}</definedName>
    <definedName name="____PRN1" hidden="1">{#N/A,#N/A,FALSE,"COVER.XLS";#N/A,#N/A,FALSE,"RACT1.XLS";#N/A,#N/A,FALSE,"RACT2.XLS";#N/A,#N/A,FALSE,"ECCMP";#N/A,#N/A,FALSE,"WELDER.XLS"}</definedName>
    <definedName name="____q2" hidden="1">{#N/A,#N/A,FALSE,"COVER1.XLS ";#N/A,#N/A,FALSE,"RACT1.XLS";#N/A,#N/A,FALSE,"RACT2.XLS";#N/A,#N/A,FALSE,"ECCMP";#N/A,#N/A,FALSE,"WELDER.XLS"}</definedName>
    <definedName name="____q2_1" hidden="1">{#N/A,#N/A,FALSE,"COVER1.XLS ";#N/A,#N/A,FALSE,"RACT1.XLS";#N/A,#N/A,FALSE,"RACT2.XLS";#N/A,#N/A,FALSE,"ECCMP";#N/A,#N/A,FALSE,"WELDER.XLS"}</definedName>
    <definedName name="____q2_2" hidden="1">{#N/A,#N/A,FALSE,"COVER1.XLS ";#N/A,#N/A,FALSE,"RACT1.XLS";#N/A,#N/A,FALSE,"RACT2.XLS";#N/A,#N/A,FALSE,"ECCMP";#N/A,#N/A,FALSE,"WELDER.XLS"}</definedName>
    <definedName name="____q2_3" hidden="1">{#N/A,#N/A,FALSE,"COVER1.XLS ";#N/A,#N/A,FALSE,"RACT1.XLS";#N/A,#N/A,FALSE,"RACT2.XLS";#N/A,#N/A,FALSE,"ECCMP";#N/A,#N/A,FALSE,"WELDER.XLS"}</definedName>
    <definedName name="____q2_4" hidden="1">{#N/A,#N/A,FALSE,"COVER1.XLS ";#N/A,#N/A,FALSE,"RACT1.XLS";#N/A,#N/A,FALSE,"RACT2.XLS";#N/A,#N/A,FALSE,"ECCMP";#N/A,#N/A,FALSE,"WELDER.XLS"}</definedName>
    <definedName name="____q2_5" hidden="1">{#N/A,#N/A,FALSE,"COVER1.XLS ";#N/A,#N/A,FALSE,"RACT1.XLS";#N/A,#N/A,FALSE,"RACT2.XLS";#N/A,#N/A,FALSE,"ECCMP";#N/A,#N/A,FALSE,"WELDER.XLS"}</definedName>
    <definedName name="____t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1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1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1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1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1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w2" hidden="1">{#N/A,#N/A,FALSE,"17MAY";#N/A,#N/A,FALSE,"24MAY"}</definedName>
    <definedName name="____w2_1" hidden="1">{#N/A,#N/A,FALSE,"17MAY";#N/A,#N/A,FALSE,"24MAY"}</definedName>
    <definedName name="____w2_2" hidden="1">{#N/A,#N/A,FALSE,"17MAY";#N/A,#N/A,FALSE,"24MAY"}</definedName>
    <definedName name="____w2_3" hidden="1">{#N/A,#N/A,FALSE,"17MAY";#N/A,#N/A,FALSE,"24MAY"}</definedName>
    <definedName name="____w2_4" hidden="1">{#N/A,#N/A,FALSE,"17MAY";#N/A,#N/A,FALSE,"24MAY"}</definedName>
    <definedName name="____w2_5" hidden="1">{#N/A,#N/A,FALSE,"17MAY";#N/A,#N/A,FALSE,"24MAY"}</definedName>
    <definedName name="__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wrn1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wrn1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wrn1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wrn1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wrn1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WRN2" hidden="1">{#N/A,#N/A,FALSE,"COVER1.XLS ";#N/A,#N/A,FALSE,"RACT1.XLS";#N/A,#N/A,FALSE,"RACT2.XLS";#N/A,#N/A,FALSE,"ECCMP";#N/A,#N/A,FALSE,"WELDER.XLS"}</definedName>
    <definedName name="____WRN3" hidden="1">{#N/A,#N/A,FALSE,"consu_cover";#N/A,#N/A,FALSE,"consu_strategy";#N/A,#N/A,FALSE,"consu_flow";#N/A,#N/A,FALSE,"Summary_reqmt";#N/A,#N/A,FALSE,"field_ppg";#N/A,#N/A,FALSE,"ppg_shop";#N/A,#N/A,FALSE,"strl";#N/A,#N/A,FALSE,"tankages";#N/A,#N/A,FALSE,"gases"}</definedName>
    <definedName name="___abc1" hidden="1">{#N/A,#N/A,FALSE,"str_title";#N/A,#N/A,FALSE,"SUM";#N/A,#N/A,FALSE,"Scope";#N/A,#N/A,FALSE,"PIE-Jn";#N/A,#N/A,FALSE,"PIE-Jn_Hz";#N/A,#N/A,FALSE,"Liq_Plan";#N/A,#N/A,FALSE,"S_Curve";#N/A,#N/A,FALSE,"Liq_Prof";#N/A,#N/A,FALSE,"Man_Pwr";#N/A,#N/A,FALSE,"Man_Prof"}</definedName>
    <definedName name="___dk1" hidden="1">{#N/A,#N/A,FALSE,"COVER.XLS";#N/A,#N/A,FALSE,"RACT1.XLS";#N/A,#N/A,FALSE,"RACT2.XLS";#N/A,#N/A,FALSE,"ECCMP";#N/A,#N/A,FALSE,"WELDER.XLS"}</definedName>
    <definedName name="___dk1_1" hidden="1">{#N/A,#N/A,FALSE,"COVER.XLS";#N/A,#N/A,FALSE,"RACT1.XLS";#N/A,#N/A,FALSE,"RACT2.XLS";#N/A,#N/A,FALSE,"ECCMP";#N/A,#N/A,FALSE,"WELDER.XLS"}</definedName>
    <definedName name="___dk1_2" hidden="1">{#N/A,#N/A,FALSE,"COVER.XLS";#N/A,#N/A,FALSE,"RACT1.XLS";#N/A,#N/A,FALSE,"RACT2.XLS";#N/A,#N/A,FALSE,"ECCMP";#N/A,#N/A,FALSE,"WELDER.XLS"}</definedName>
    <definedName name="___dk1_3" hidden="1">{#N/A,#N/A,FALSE,"COVER.XLS";#N/A,#N/A,FALSE,"RACT1.XLS";#N/A,#N/A,FALSE,"RACT2.XLS";#N/A,#N/A,FALSE,"ECCMP";#N/A,#N/A,FALSE,"WELDER.XLS"}</definedName>
    <definedName name="___dk1_4" hidden="1">{#N/A,#N/A,FALSE,"COVER.XLS";#N/A,#N/A,FALSE,"RACT1.XLS";#N/A,#N/A,FALSE,"RACT2.XLS";#N/A,#N/A,FALSE,"ECCMP";#N/A,#N/A,FALSE,"WELDER.XLS"}</definedName>
    <definedName name="___dk1_5" hidden="1">{#N/A,#N/A,FALSE,"COVER.XLS";#N/A,#N/A,FALSE,"RACT1.XLS";#N/A,#N/A,FALSE,"RACT2.XLS";#N/A,#N/A,FALSE,"ECCMP";#N/A,#N/A,FALSE,"WELDER.XLS"}</definedName>
    <definedName name="___k8" hidden="1">{#N/A,#N/A,FALSE,"COVER1.XLS ";#N/A,#N/A,FALSE,"RACT1.XLS";#N/A,#N/A,FALSE,"RACT2.XLS";#N/A,#N/A,FALSE,"ECCMP";#N/A,#N/A,FALSE,"WELDER.XLS"}</definedName>
    <definedName name="___k8_1" hidden="1">{#N/A,#N/A,FALSE,"COVER1.XLS ";#N/A,#N/A,FALSE,"RACT1.XLS";#N/A,#N/A,FALSE,"RACT2.XLS";#N/A,#N/A,FALSE,"ECCMP";#N/A,#N/A,FALSE,"WELDER.XLS"}</definedName>
    <definedName name="___k8_2" hidden="1">{#N/A,#N/A,FALSE,"COVER1.XLS ";#N/A,#N/A,FALSE,"RACT1.XLS";#N/A,#N/A,FALSE,"RACT2.XLS";#N/A,#N/A,FALSE,"ECCMP";#N/A,#N/A,FALSE,"WELDER.XLS"}</definedName>
    <definedName name="___k8_3" hidden="1">{#N/A,#N/A,FALSE,"COVER1.XLS ";#N/A,#N/A,FALSE,"RACT1.XLS";#N/A,#N/A,FALSE,"RACT2.XLS";#N/A,#N/A,FALSE,"ECCMP";#N/A,#N/A,FALSE,"WELDER.XLS"}</definedName>
    <definedName name="___k8_4" hidden="1">{#N/A,#N/A,FALSE,"COVER1.XLS ";#N/A,#N/A,FALSE,"RACT1.XLS";#N/A,#N/A,FALSE,"RACT2.XLS";#N/A,#N/A,FALSE,"ECCMP";#N/A,#N/A,FALSE,"WELDER.XLS"}</definedName>
    <definedName name="___k8_5" hidden="1">{#N/A,#N/A,FALSE,"COVER1.XLS ";#N/A,#N/A,FALSE,"RACT1.XLS";#N/A,#N/A,FALSE,"RACT2.XLS";#N/A,#N/A,FALSE,"ECCMP";#N/A,#N/A,FALSE,"WELDER.XLS"}</definedName>
    <definedName name="___kv2" hidden="1">{#N/A,#N/A,FALSE,"COVER1.XLS ";#N/A,#N/A,FALSE,"RACT1.XLS";#N/A,#N/A,FALSE,"RACT2.XLS";#N/A,#N/A,FALSE,"ECCMP";#N/A,#N/A,FALSE,"WELDER.XLS"}</definedName>
    <definedName name="___kvs1" hidden="1">{#N/A,#N/A,FALSE,"COVER1.XLS ";#N/A,#N/A,FALSE,"RACT1.XLS";#N/A,#N/A,FALSE,"RACT2.XLS";#N/A,#N/A,FALSE,"ECCMP";#N/A,#N/A,FALSE,"WELDER.XLS"}</definedName>
    <definedName name="___kvs1_1" hidden="1">{#N/A,#N/A,FALSE,"COVER1.XLS ";#N/A,#N/A,FALSE,"RACT1.XLS";#N/A,#N/A,FALSE,"RACT2.XLS";#N/A,#N/A,FALSE,"ECCMP";#N/A,#N/A,FALSE,"WELDER.XLS"}</definedName>
    <definedName name="___kvs1_2" hidden="1">{#N/A,#N/A,FALSE,"COVER1.XLS ";#N/A,#N/A,FALSE,"RACT1.XLS";#N/A,#N/A,FALSE,"RACT2.XLS";#N/A,#N/A,FALSE,"ECCMP";#N/A,#N/A,FALSE,"WELDER.XLS"}</definedName>
    <definedName name="___kvs1_3" hidden="1">{#N/A,#N/A,FALSE,"COVER1.XLS ";#N/A,#N/A,FALSE,"RACT1.XLS";#N/A,#N/A,FALSE,"RACT2.XLS";#N/A,#N/A,FALSE,"ECCMP";#N/A,#N/A,FALSE,"WELDER.XLS"}</definedName>
    <definedName name="___kvs1_4" hidden="1">{#N/A,#N/A,FALSE,"COVER1.XLS ";#N/A,#N/A,FALSE,"RACT1.XLS";#N/A,#N/A,FALSE,"RACT2.XLS";#N/A,#N/A,FALSE,"ECCMP";#N/A,#N/A,FALSE,"WELDER.XLS"}</definedName>
    <definedName name="___kvs1_5" hidden="1">{#N/A,#N/A,FALSE,"COVER1.XLS ";#N/A,#N/A,FALSE,"RACT1.XLS";#N/A,#N/A,FALSE,"RACT2.XLS";#N/A,#N/A,FALSE,"ECCMP";#N/A,#N/A,FALSE,"WELDER.XLS"}</definedName>
    <definedName name="___kvs2" hidden="1">{#N/A,#N/A,FALSE,"COVER1.XLS ";#N/A,#N/A,FALSE,"RACT1.XLS";#N/A,#N/A,FALSE,"RACT2.XLS";#N/A,#N/A,FALSE,"ECCMP";#N/A,#N/A,FALSE,"WELDER.XLS"}</definedName>
    <definedName name="___kvs2_1" hidden="1">{#N/A,#N/A,FALSE,"COVER1.XLS ";#N/A,#N/A,FALSE,"RACT1.XLS";#N/A,#N/A,FALSE,"RACT2.XLS";#N/A,#N/A,FALSE,"ECCMP";#N/A,#N/A,FALSE,"WELDER.XLS"}</definedName>
    <definedName name="___kvs2_2" hidden="1">{#N/A,#N/A,FALSE,"COVER1.XLS ";#N/A,#N/A,FALSE,"RACT1.XLS";#N/A,#N/A,FALSE,"RACT2.XLS";#N/A,#N/A,FALSE,"ECCMP";#N/A,#N/A,FALSE,"WELDER.XLS"}</definedName>
    <definedName name="___kvs2_3" hidden="1">{#N/A,#N/A,FALSE,"COVER1.XLS ";#N/A,#N/A,FALSE,"RACT1.XLS";#N/A,#N/A,FALSE,"RACT2.XLS";#N/A,#N/A,FALSE,"ECCMP";#N/A,#N/A,FALSE,"WELDER.XLS"}</definedName>
    <definedName name="___kvs2_4" hidden="1">{#N/A,#N/A,FALSE,"COVER1.XLS ";#N/A,#N/A,FALSE,"RACT1.XLS";#N/A,#N/A,FALSE,"RACT2.XLS";#N/A,#N/A,FALSE,"ECCMP";#N/A,#N/A,FALSE,"WELDER.XLS"}</definedName>
    <definedName name="___kvs2_5" hidden="1">{#N/A,#N/A,FALSE,"COVER1.XLS ";#N/A,#N/A,FALSE,"RACT1.XLS";#N/A,#N/A,FALSE,"RACT2.XLS";#N/A,#N/A,FALSE,"ECCMP";#N/A,#N/A,FALSE,"WELDER.XLS"}</definedName>
    <definedName name="___kvs5" hidden="1">{#N/A,#N/A,FALSE,"COVER.XLS";#N/A,#N/A,FALSE,"RACT1.XLS";#N/A,#N/A,FALSE,"RACT2.XLS";#N/A,#N/A,FALSE,"ECCMP";#N/A,#N/A,FALSE,"WELDER.XLS"}</definedName>
    <definedName name="___kvs5_1" hidden="1">{#N/A,#N/A,FALSE,"COVER.XLS";#N/A,#N/A,FALSE,"RACT1.XLS";#N/A,#N/A,FALSE,"RACT2.XLS";#N/A,#N/A,FALSE,"ECCMP";#N/A,#N/A,FALSE,"WELDER.XLS"}</definedName>
    <definedName name="___kvs5_2" hidden="1">{#N/A,#N/A,FALSE,"COVER.XLS";#N/A,#N/A,FALSE,"RACT1.XLS";#N/A,#N/A,FALSE,"RACT2.XLS";#N/A,#N/A,FALSE,"ECCMP";#N/A,#N/A,FALSE,"WELDER.XLS"}</definedName>
    <definedName name="___kvs5_3" hidden="1">{#N/A,#N/A,FALSE,"COVER.XLS";#N/A,#N/A,FALSE,"RACT1.XLS";#N/A,#N/A,FALSE,"RACT2.XLS";#N/A,#N/A,FALSE,"ECCMP";#N/A,#N/A,FALSE,"WELDER.XLS"}</definedName>
    <definedName name="___kvs5_4" hidden="1">{#N/A,#N/A,FALSE,"COVER.XLS";#N/A,#N/A,FALSE,"RACT1.XLS";#N/A,#N/A,FALSE,"RACT2.XLS";#N/A,#N/A,FALSE,"ECCMP";#N/A,#N/A,FALSE,"WELDER.XLS"}</definedName>
    <definedName name="___kvs5_5" hidden="1">{#N/A,#N/A,FALSE,"COVER.XLS";#N/A,#N/A,FALSE,"RACT1.XLS";#N/A,#N/A,FALSE,"RACT2.XLS";#N/A,#N/A,FALSE,"ECCMP";#N/A,#N/A,FALSE,"WELDER.XLS"}</definedName>
    <definedName name="___kvs7" hidden="1">{#N/A,#N/A,FALSE,"COVER1.XLS ";#N/A,#N/A,FALSE,"RACT1.XLS";#N/A,#N/A,FALSE,"RACT2.XLS";#N/A,#N/A,FALSE,"ECCMP";#N/A,#N/A,FALSE,"WELDER.XLS"}</definedName>
    <definedName name="___kvs7_1" hidden="1">{#N/A,#N/A,FALSE,"COVER1.XLS ";#N/A,#N/A,FALSE,"RACT1.XLS";#N/A,#N/A,FALSE,"RACT2.XLS";#N/A,#N/A,FALSE,"ECCMP";#N/A,#N/A,FALSE,"WELDER.XLS"}</definedName>
    <definedName name="___kvs7_2" hidden="1">{#N/A,#N/A,FALSE,"COVER1.XLS ";#N/A,#N/A,FALSE,"RACT1.XLS";#N/A,#N/A,FALSE,"RACT2.XLS";#N/A,#N/A,FALSE,"ECCMP";#N/A,#N/A,FALSE,"WELDER.XLS"}</definedName>
    <definedName name="___kvs7_3" hidden="1">{#N/A,#N/A,FALSE,"COVER1.XLS ";#N/A,#N/A,FALSE,"RACT1.XLS";#N/A,#N/A,FALSE,"RACT2.XLS";#N/A,#N/A,FALSE,"ECCMP";#N/A,#N/A,FALSE,"WELDER.XLS"}</definedName>
    <definedName name="___kvs7_4" hidden="1">{#N/A,#N/A,FALSE,"COVER1.XLS ";#N/A,#N/A,FALSE,"RACT1.XLS";#N/A,#N/A,FALSE,"RACT2.XLS";#N/A,#N/A,FALSE,"ECCMP";#N/A,#N/A,FALSE,"WELDER.XLS"}</definedName>
    <definedName name="___kvs7_5" hidden="1">{#N/A,#N/A,FALSE,"COVER1.XLS ";#N/A,#N/A,FALSE,"RACT1.XLS";#N/A,#N/A,FALSE,"RACT2.XLS";#N/A,#N/A,FALSE,"ECCMP";#N/A,#N/A,FALSE,"WELDER.XLS"}</definedName>
    <definedName name="___kvs8" hidden="1">{#N/A,#N/A,FALSE,"COVER1.XLS ";#N/A,#N/A,FALSE,"RACT1.XLS";#N/A,#N/A,FALSE,"RACT2.XLS";#N/A,#N/A,FALSE,"ECCMP";#N/A,#N/A,FALSE,"WELDER.XLS"}</definedName>
    <definedName name="___kvs8_1" hidden="1">{#N/A,#N/A,FALSE,"COVER1.XLS ";#N/A,#N/A,FALSE,"RACT1.XLS";#N/A,#N/A,FALSE,"RACT2.XLS";#N/A,#N/A,FALSE,"ECCMP";#N/A,#N/A,FALSE,"WELDER.XLS"}</definedName>
    <definedName name="___kvs8_2" hidden="1">{#N/A,#N/A,FALSE,"COVER1.XLS ";#N/A,#N/A,FALSE,"RACT1.XLS";#N/A,#N/A,FALSE,"RACT2.XLS";#N/A,#N/A,FALSE,"ECCMP";#N/A,#N/A,FALSE,"WELDER.XLS"}</definedName>
    <definedName name="___kvs8_3" hidden="1">{#N/A,#N/A,FALSE,"COVER1.XLS ";#N/A,#N/A,FALSE,"RACT1.XLS";#N/A,#N/A,FALSE,"RACT2.XLS";#N/A,#N/A,FALSE,"ECCMP";#N/A,#N/A,FALSE,"WELDER.XLS"}</definedName>
    <definedName name="___kvs8_4" hidden="1">{#N/A,#N/A,FALSE,"COVER1.XLS ";#N/A,#N/A,FALSE,"RACT1.XLS";#N/A,#N/A,FALSE,"RACT2.XLS";#N/A,#N/A,FALSE,"ECCMP";#N/A,#N/A,FALSE,"WELDER.XLS"}</definedName>
    <definedName name="___kvs8_5" hidden="1">{#N/A,#N/A,FALSE,"COVER1.XLS ";#N/A,#N/A,FALSE,"RACT1.XLS";#N/A,#N/A,FALSE,"RACT2.XLS";#N/A,#N/A,FALSE,"ECCMP";#N/A,#N/A,FALSE,"WELDER.XLS"}</definedName>
    <definedName name="___KVS9" hidden="1">{#N/A,#N/A,FALSE,"COVER1.XLS ";#N/A,#N/A,FALSE,"RACT1.XLS";#N/A,#N/A,FALSE,"RACT2.XLS";#N/A,#N/A,FALSE,"ECCMP";#N/A,#N/A,FALSE,"WELDER.XLS"}</definedName>
    <definedName name="___KVS9_1" hidden="1">{#N/A,#N/A,FALSE,"COVER1.XLS ";#N/A,#N/A,FALSE,"RACT1.XLS";#N/A,#N/A,FALSE,"RACT2.XLS";#N/A,#N/A,FALSE,"ECCMP";#N/A,#N/A,FALSE,"WELDER.XLS"}</definedName>
    <definedName name="___KVS9_2" hidden="1">{#N/A,#N/A,FALSE,"COVER1.XLS ";#N/A,#N/A,FALSE,"RACT1.XLS";#N/A,#N/A,FALSE,"RACT2.XLS";#N/A,#N/A,FALSE,"ECCMP";#N/A,#N/A,FALSE,"WELDER.XLS"}</definedName>
    <definedName name="___KVS9_3" hidden="1">{#N/A,#N/A,FALSE,"COVER1.XLS ";#N/A,#N/A,FALSE,"RACT1.XLS";#N/A,#N/A,FALSE,"RACT2.XLS";#N/A,#N/A,FALSE,"ECCMP";#N/A,#N/A,FALSE,"WELDER.XLS"}</definedName>
    <definedName name="___KVS9_4" hidden="1">{#N/A,#N/A,FALSE,"COVER1.XLS ";#N/A,#N/A,FALSE,"RACT1.XLS";#N/A,#N/A,FALSE,"RACT2.XLS";#N/A,#N/A,FALSE,"ECCMP";#N/A,#N/A,FALSE,"WELDER.XLS"}</definedName>
    <definedName name="___KVS9_5" hidden="1">{#N/A,#N/A,FALSE,"COVER1.XLS ";#N/A,#N/A,FALSE,"RACT1.XLS";#N/A,#N/A,FALSE,"RACT2.XLS";#N/A,#N/A,FALSE,"ECCMP";#N/A,#N/A,FALSE,"WELDER.XLS"}</definedName>
    <definedName name="___l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2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2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2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2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2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ns1" hidden="1">{#N/A,#N/A,FALSE,"COVER1.XLS ";#N/A,#N/A,FALSE,"RACT1.XLS";#N/A,#N/A,FALSE,"RACT2.XLS";#N/A,#N/A,FALSE,"ECCMP";#N/A,#N/A,FALSE,"WELDER.XLS"}</definedName>
    <definedName name="___ns1_1" hidden="1">{#N/A,#N/A,FALSE,"COVER1.XLS ";#N/A,#N/A,FALSE,"RACT1.XLS";#N/A,#N/A,FALSE,"RACT2.XLS";#N/A,#N/A,FALSE,"ECCMP";#N/A,#N/A,FALSE,"WELDER.XLS"}</definedName>
    <definedName name="___ns1_2" hidden="1">{#N/A,#N/A,FALSE,"COVER1.XLS ";#N/A,#N/A,FALSE,"RACT1.XLS";#N/A,#N/A,FALSE,"RACT2.XLS";#N/A,#N/A,FALSE,"ECCMP";#N/A,#N/A,FALSE,"WELDER.XLS"}</definedName>
    <definedName name="___ns1_3" hidden="1">{#N/A,#N/A,FALSE,"COVER1.XLS ";#N/A,#N/A,FALSE,"RACT1.XLS";#N/A,#N/A,FALSE,"RACT2.XLS";#N/A,#N/A,FALSE,"ECCMP";#N/A,#N/A,FALSE,"WELDER.XLS"}</definedName>
    <definedName name="___ns1_4" hidden="1">{#N/A,#N/A,FALSE,"COVER1.XLS ";#N/A,#N/A,FALSE,"RACT1.XLS";#N/A,#N/A,FALSE,"RACT2.XLS";#N/A,#N/A,FALSE,"ECCMP";#N/A,#N/A,FALSE,"WELDER.XLS"}</definedName>
    <definedName name="___ns1_5" hidden="1">{#N/A,#N/A,FALSE,"COVER1.XLS ";#N/A,#N/A,FALSE,"RACT1.XLS";#N/A,#N/A,FALSE,"RACT2.XLS";#N/A,#N/A,FALSE,"ECCMP";#N/A,#N/A,FALSE,"WELDER.XLS"}</definedName>
    <definedName name="___PRN1" hidden="1">{#N/A,#N/A,FALSE,"COVER.XLS";#N/A,#N/A,FALSE,"RACT1.XLS";#N/A,#N/A,FALSE,"RACT2.XLS";#N/A,#N/A,FALSE,"ECCMP";#N/A,#N/A,FALSE,"WELDER.XLS"}</definedName>
    <definedName name="___q2" hidden="1">{#N/A,#N/A,FALSE,"COVER1.XLS ";#N/A,#N/A,FALSE,"RACT1.XLS";#N/A,#N/A,FALSE,"RACT2.XLS";#N/A,#N/A,FALSE,"ECCMP";#N/A,#N/A,FALSE,"WELDER.XLS"}</definedName>
    <definedName name="___q2_1" hidden="1">{#N/A,#N/A,FALSE,"COVER1.XLS ";#N/A,#N/A,FALSE,"RACT1.XLS";#N/A,#N/A,FALSE,"RACT2.XLS";#N/A,#N/A,FALSE,"ECCMP";#N/A,#N/A,FALSE,"WELDER.XLS"}</definedName>
    <definedName name="___q2_2" hidden="1">{#N/A,#N/A,FALSE,"COVER1.XLS ";#N/A,#N/A,FALSE,"RACT1.XLS";#N/A,#N/A,FALSE,"RACT2.XLS";#N/A,#N/A,FALSE,"ECCMP";#N/A,#N/A,FALSE,"WELDER.XLS"}</definedName>
    <definedName name="___q2_3" hidden="1">{#N/A,#N/A,FALSE,"COVER1.XLS ";#N/A,#N/A,FALSE,"RACT1.XLS";#N/A,#N/A,FALSE,"RACT2.XLS";#N/A,#N/A,FALSE,"ECCMP";#N/A,#N/A,FALSE,"WELDER.XLS"}</definedName>
    <definedName name="___q2_4" hidden="1">{#N/A,#N/A,FALSE,"COVER1.XLS ";#N/A,#N/A,FALSE,"RACT1.XLS";#N/A,#N/A,FALSE,"RACT2.XLS";#N/A,#N/A,FALSE,"ECCMP";#N/A,#N/A,FALSE,"WELDER.XLS"}</definedName>
    <definedName name="___q2_5" hidden="1">{#N/A,#N/A,FALSE,"COVER1.XLS ";#N/A,#N/A,FALSE,"RACT1.XLS";#N/A,#N/A,FALSE,"RACT2.XLS";#N/A,#N/A,FALSE,"ECCMP";#N/A,#N/A,FALSE,"WELDER.XLS"}</definedName>
    <definedName name="___t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1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1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1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1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1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hinkcellM0YAAAAAAAABAAAAznM.vtrMCU2pnYQQreLI9Q" hidden="1">'[1]NPO - Model'!#REF!</definedName>
    <definedName name="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2" hidden="1">{#N/A,#N/A,FALSE,"17MAY";#N/A,#N/A,FALSE,"24MAY"}</definedName>
    <definedName name="___w2_1" hidden="1">{#N/A,#N/A,FALSE,"17MAY";#N/A,#N/A,FALSE,"24MAY"}</definedName>
    <definedName name="___w2_2" hidden="1">{#N/A,#N/A,FALSE,"17MAY";#N/A,#N/A,FALSE,"24MAY"}</definedName>
    <definedName name="___w2_3" hidden="1">{#N/A,#N/A,FALSE,"17MAY";#N/A,#N/A,FALSE,"24MAY"}</definedName>
    <definedName name="___w2_4" hidden="1">{#N/A,#N/A,FALSE,"17MAY";#N/A,#N/A,FALSE,"24MAY"}</definedName>
    <definedName name="___w2_5" hidden="1">{#N/A,#N/A,FALSE,"17MAY";#N/A,#N/A,FALSE,"24MAY"}</definedName>
    <definedName name="_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rn1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rn1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rn1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rn1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rn1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RN2" hidden="1">{#N/A,#N/A,FALSE,"COVER1.XLS ";#N/A,#N/A,FALSE,"RACT1.XLS";#N/A,#N/A,FALSE,"RACT2.XLS";#N/A,#N/A,FALSE,"ECCMP";#N/A,#N/A,FALSE,"WELDER.XLS"}</definedName>
    <definedName name="___WRN3" hidden="1">{#N/A,#N/A,FALSE,"consu_cover";#N/A,#N/A,FALSE,"consu_strategy";#N/A,#N/A,FALSE,"consu_flow";#N/A,#N/A,FALSE,"Summary_reqmt";#N/A,#N/A,FALSE,"field_ppg";#N/A,#N/A,FALSE,"ppg_shop";#N/A,#N/A,FALSE,"strl";#N/A,#N/A,FALSE,"tankages";#N/A,#N/A,FALSE,"gases"}</definedName>
    <definedName name="__1__123Graph_ACHART_28" hidden="1">[2]B!$D$10:$U$10</definedName>
    <definedName name="__123Graph_A" hidden="1">[3]rate!#REF!</definedName>
    <definedName name="__123Graph_ACHART1" hidden="1">[3]rate!#REF!</definedName>
    <definedName name="__123Graph_ACHART2" hidden="1">[3]rate!#REF!</definedName>
    <definedName name="__123Graph_ACURRENT" hidden="1">[3]rate!#REF!</definedName>
    <definedName name="__123Graph_AGRAPH1" hidden="1">[4]apports!$H$151:$H$162</definedName>
    <definedName name="__123Graph_ARECENT" hidden="1">'[5]Les Cèdres'!#REF!</definedName>
    <definedName name="__123Graph_ASTATPROG" hidden="1">[6]COMPLEXALL!#REF!</definedName>
    <definedName name="__123Graph_B" hidden="1">[6]COMPLEXALL!#REF!</definedName>
    <definedName name="__123Graph_BGRAPH1" hidden="1">[4]apports!$I$151:$I$162</definedName>
    <definedName name="__123Graph_BRECENT" hidden="1">'[5]Les Cèdres'!#REF!</definedName>
    <definedName name="__123Graph_C" hidden="1">[7]Adjust!#REF!</definedName>
    <definedName name="__123Graph_CGRAPH1" hidden="1">[4]apports!$H$163:$H$173</definedName>
    <definedName name="__123Graph_CRECENT" hidden="1">'[5]Les Cèdres'!#REF!</definedName>
    <definedName name="__123Graph_D" hidden="1">[7]Adjust!#REF!</definedName>
    <definedName name="__123Graph_DRECENT" hidden="1">'[5]Les Cèdres'!#REF!</definedName>
    <definedName name="__123Graph_E" hidden="1">[3]rate!#REF!</definedName>
    <definedName name="__123Graph_ECHART1" hidden="1">[3]rate!#REF!</definedName>
    <definedName name="__123Graph_ECHART2" hidden="1">[3]rate!#REF!</definedName>
    <definedName name="__123Graph_ECURRENT" hidden="1">[3]rate!#REF!</definedName>
    <definedName name="__123Graph_ERECENT" hidden="1">'[5]Les Cèdres'!#REF!</definedName>
    <definedName name="__123Graph_F" hidden="1">[3]rate!#REF!</definedName>
    <definedName name="__123Graph_FCHART1" hidden="1">[3]rate!#REF!</definedName>
    <definedName name="__123Graph_FCHART2" hidden="1">[3]rate!#REF!</definedName>
    <definedName name="__123Graph_FCURRENT" hidden="1">[3]rate!#REF!</definedName>
    <definedName name="__123Graph_LBL_A" hidden="1">'[8]Ownership split'!#REF!</definedName>
    <definedName name="__123Graph_LBL_B" hidden="1">'[8]Ownership split'!#REF!</definedName>
    <definedName name="__123Graph_LBL_C" hidden="1">'[8]Ownership split'!#REF!</definedName>
    <definedName name="__123Graph_LBL_D" hidden="1">'[8]Ownership split'!#REF!</definedName>
    <definedName name="__123Graph_LBL_E" hidden="1">'[8]Ownership split'!#REF!</definedName>
    <definedName name="__123Graph_LBL_F" hidden="1">'[8]Ownership split'!#REF!</definedName>
    <definedName name="__123Graph_X" hidden="1">[6]COMPLEXALL!#REF!</definedName>
    <definedName name="__123Graph_XSTATPROG" hidden="1">[6]COMPLEXALL!#REF!</definedName>
    <definedName name="__2__123Graph_BCHART_28" hidden="1">[2]B!$D$11:$U$11</definedName>
    <definedName name="__3__123Graph_CCHART_28" hidden="1">[2]B!$D$12:$U$12</definedName>
    <definedName name="__4__123Graph_DCHART_28" hidden="1">[2]B!$D$7:$U$7</definedName>
    <definedName name="__5__123Graph_ECHART_28" hidden="1">[2]B!$D$8:$U$8</definedName>
    <definedName name="__6__123Graph_FCHART_28" hidden="1">[2]B!$D$9:$U$9</definedName>
    <definedName name="__abc1" hidden="1">{#N/A,#N/A,FALSE,"str_title";#N/A,#N/A,FALSE,"SUM";#N/A,#N/A,FALSE,"Scope";#N/A,#N/A,FALSE,"PIE-Jn";#N/A,#N/A,FALSE,"PIE-Jn_Hz";#N/A,#N/A,FALSE,"Liq_Plan";#N/A,#N/A,FALSE,"S_Curve";#N/A,#N/A,FALSE,"Liq_Prof";#N/A,#N/A,FALSE,"Man_Pwr";#N/A,#N/A,FALSE,"Man_Prof"}</definedName>
    <definedName name="__dk1" hidden="1">{#N/A,#N/A,FALSE,"COVER.XLS";#N/A,#N/A,FALSE,"RACT1.XLS";#N/A,#N/A,FALSE,"RACT2.XLS";#N/A,#N/A,FALSE,"ECCMP";#N/A,#N/A,FALSE,"WELDER.XLS"}</definedName>
    <definedName name="__dk1_1" hidden="1">{#N/A,#N/A,FALSE,"COVER.XLS";#N/A,#N/A,FALSE,"RACT1.XLS";#N/A,#N/A,FALSE,"RACT2.XLS";#N/A,#N/A,FALSE,"ECCMP";#N/A,#N/A,FALSE,"WELDER.XLS"}</definedName>
    <definedName name="__dk1_2" hidden="1">{#N/A,#N/A,FALSE,"COVER.XLS";#N/A,#N/A,FALSE,"RACT1.XLS";#N/A,#N/A,FALSE,"RACT2.XLS";#N/A,#N/A,FALSE,"ECCMP";#N/A,#N/A,FALSE,"WELDER.XLS"}</definedName>
    <definedName name="__dk1_3" hidden="1">{#N/A,#N/A,FALSE,"COVER.XLS";#N/A,#N/A,FALSE,"RACT1.XLS";#N/A,#N/A,FALSE,"RACT2.XLS";#N/A,#N/A,FALSE,"ECCMP";#N/A,#N/A,FALSE,"WELDER.XLS"}</definedName>
    <definedName name="__dk1_4" hidden="1">{#N/A,#N/A,FALSE,"COVER.XLS";#N/A,#N/A,FALSE,"RACT1.XLS";#N/A,#N/A,FALSE,"RACT2.XLS";#N/A,#N/A,FALSE,"ECCMP";#N/A,#N/A,FALSE,"WELDER.XLS"}</definedName>
    <definedName name="__dk1_5" hidden="1">{#N/A,#N/A,FALSE,"COVER.XLS";#N/A,#N/A,FALSE,"RACT1.XLS";#N/A,#N/A,FALSE,"RACT2.XLS";#N/A,#N/A,FALSE,"ECCMP";#N/A,#N/A,FALSE,"WELDER.XLS"}</definedName>
    <definedName name="__dk2" hidden="1">{#N/A,#N/A,FALSE,"COVER.XLS";#N/A,#N/A,FALSE,"RACT1.XLS";#N/A,#N/A,FALSE,"RACT2.XLS";#N/A,#N/A,FALSE,"ECCMP";#N/A,#N/A,FALSE,"WELDER.XLS"}</definedName>
    <definedName name="__dk2_1" hidden="1">{#N/A,#N/A,FALSE,"COVER.XLS";#N/A,#N/A,FALSE,"RACT1.XLS";#N/A,#N/A,FALSE,"RACT2.XLS";#N/A,#N/A,FALSE,"ECCMP";#N/A,#N/A,FALSE,"WELDER.XLS"}</definedName>
    <definedName name="__dk2_2" hidden="1">{#N/A,#N/A,FALSE,"COVER.XLS";#N/A,#N/A,FALSE,"RACT1.XLS";#N/A,#N/A,FALSE,"RACT2.XLS";#N/A,#N/A,FALSE,"ECCMP";#N/A,#N/A,FALSE,"WELDER.XLS"}</definedName>
    <definedName name="__dk2_3" hidden="1">{#N/A,#N/A,FALSE,"COVER.XLS";#N/A,#N/A,FALSE,"RACT1.XLS";#N/A,#N/A,FALSE,"RACT2.XLS";#N/A,#N/A,FALSE,"ECCMP";#N/A,#N/A,FALSE,"WELDER.XLS"}</definedName>
    <definedName name="__dk2_4" hidden="1">{#N/A,#N/A,FALSE,"COVER.XLS";#N/A,#N/A,FALSE,"RACT1.XLS";#N/A,#N/A,FALSE,"RACT2.XLS";#N/A,#N/A,FALSE,"ECCMP";#N/A,#N/A,FALSE,"WELDER.XLS"}</definedName>
    <definedName name="__dk2_5" hidden="1">{#N/A,#N/A,FALSE,"COVER.XLS";#N/A,#N/A,FALSE,"RACT1.XLS";#N/A,#N/A,FALSE,"RACT2.XLS";#N/A,#N/A,FALSE,"ECCMP";#N/A,#N/A,FALSE,"WELDER.XLS"}</definedName>
    <definedName name="__FDS_HYPERLINK_TOGGLE_STATE__" hidden="1">"ON"</definedName>
    <definedName name="__FDS_UNIQUE_RANGE_ID_GENERATOR_COUNTER" hidden="1">1</definedName>
    <definedName name="__Ht_Data_Spc_Version_Spc_1" hidden="1">"01._Spc_Current_Spc_Data_Spc_Version"</definedName>
    <definedName name="__Ht_Data_Spc_Version_Spc_2" hidden="1">"02._Spc_Previous_Spc_Year_Spc_Data_Spc_Version"</definedName>
    <definedName name="__Ht_Data_Spc_Version_Spc_3" hidden="1">"03._Spc_Most_Spc_recent_Spc_Budget_Spc_Version"</definedName>
    <definedName name="__Ht_Data_Spc_Version_Spc_4" hidden="1">"04._Spc_Target_Spc_Data_Spc_version_Spc_for_Spc_Quarter_Hyp_to_Hyp_go"</definedName>
    <definedName name="__Ht_Data_Spc_Version_Spc_5" hidden="1">"02b._Spc_Previous_Spc_Year_Spc_Current_Spc_volume_Spc_Version"</definedName>
    <definedName name="__Ht_Data_Spc_Version_Spc_6" hidden="1">"03b._Spc_Most_Spc_recent_Spc_budget_Spc_Current_Spc_volume_Spc_version"</definedName>
    <definedName name="__Ht_Data_Spc_Version_Spc_7" hidden="1">"01b._Spc_Current_Spc_volume_Spc_Data_Spc_Version"</definedName>
    <definedName name="__Ht_Data_Spc_Version_Spc_8" hidden="1">"04b._Spc_Target_Spc_Volume_Spc_version_Spc_for_Spc_Quarter_Hyp_to_Hyp_go"</definedName>
    <definedName name="__Ht_Period_Spc_1" hidden="1">"05._Spc_Current_Spc_Month"</definedName>
    <definedName name="__Ht_Period_Spc_2" hidden="1">"07._Spc_All_Spc_months_Spc_in_Spc_YTD"</definedName>
    <definedName name="__Ht_Period_Spc_3" hidden="1">"06._Spc_All_Spc_months_Spc_in_Spc_current_Spc_Quarter"</definedName>
    <definedName name="__Ht_Region_Spc_1" hidden="1">"18._Spc_Select_Spc_your_Spc_region"</definedName>
    <definedName name="__Ht_USD_Spc_Month_Spc_1?" hidden="1">"12._Spc_Financials_Spc_Month"</definedName>
    <definedName name="__Ht_USD_Spc_Quarter_Spc_1?" hidden="1">"13._Spc_Financials_Spc_Quarter"</definedName>
    <definedName name="__Ht_USD_Spc_YTD_Spc_1?" hidden="1">"14._Spc_Financials_Spc_YTD"</definedName>
    <definedName name="__Ht_Variance_Spc_Description_Spc_1" hidden="1">"08._Spc_Variance_Spc_Description_Spc_vs._Spc_Actual"</definedName>
    <definedName name="__Ht_Variance_Spc_Description_Spc_2" hidden="1">"9._Spc_Variance_Spc_Description_Spc_vs._Spc_Budget"</definedName>
    <definedName name="__Ht_Variance_Spc_Description_Spc_3" hidden="1">"10._Spc_OCI_Spc_tracking_Spc_Variance_Spc_Description_Spc_1"</definedName>
    <definedName name="__Ht_Variance_Spc_Description_Spc_4" hidden="1">"11._Spc_OCI_Spc_tracking_Spc_Variance_Spc_Description_Spc_2"</definedName>
    <definedName name="__Ht_Volume_Spc_Month_Spc_1?" hidden="1">"15._Spc_Volume_Spc_Month"</definedName>
    <definedName name="__Ht_Volume_Spc_Quarter_Spc_1?" hidden="1">"16._Spc_Volume_Spc_Quarter"</definedName>
    <definedName name="__Ht_Volume_Spc_YTD_Spc_1?" hidden="1">"17._Spc_Volume_Spc_YTD"</definedName>
    <definedName name="__k8" hidden="1">{#N/A,#N/A,FALSE,"COVER1.XLS ";#N/A,#N/A,FALSE,"RACT1.XLS";#N/A,#N/A,FALSE,"RACT2.XLS";#N/A,#N/A,FALSE,"ECCMP";#N/A,#N/A,FALSE,"WELDER.XLS"}</definedName>
    <definedName name="__k8_1" hidden="1">{#N/A,#N/A,FALSE,"COVER1.XLS ";#N/A,#N/A,FALSE,"RACT1.XLS";#N/A,#N/A,FALSE,"RACT2.XLS";#N/A,#N/A,FALSE,"ECCMP";#N/A,#N/A,FALSE,"WELDER.XLS"}</definedName>
    <definedName name="__k8_2" hidden="1">{#N/A,#N/A,FALSE,"COVER1.XLS ";#N/A,#N/A,FALSE,"RACT1.XLS";#N/A,#N/A,FALSE,"RACT2.XLS";#N/A,#N/A,FALSE,"ECCMP";#N/A,#N/A,FALSE,"WELDER.XLS"}</definedName>
    <definedName name="__k8_3" hidden="1">{#N/A,#N/A,FALSE,"COVER1.XLS ";#N/A,#N/A,FALSE,"RACT1.XLS";#N/A,#N/A,FALSE,"RACT2.XLS";#N/A,#N/A,FALSE,"ECCMP";#N/A,#N/A,FALSE,"WELDER.XLS"}</definedName>
    <definedName name="__k8_4" hidden="1">{#N/A,#N/A,FALSE,"COVER1.XLS ";#N/A,#N/A,FALSE,"RACT1.XLS";#N/A,#N/A,FALSE,"RACT2.XLS";#N/A,#N/A,FALSE,"ECCMP";#N/A,#N/A,FALSE,"WELDER.XLS"}</definedName>
    <definedName name="__k8_5" hidden="1">{#N/A,#N/A,FALSE,"COVER1.XLS ";#N/A,#N/A,FALSE,"RACT1.XLS";#N/A,#N/A,FALSE,"RACT2.XLS";#N/A,#N/A,FALSE,"ECCMP";#N/A,#N/A,FALSE,"WELDER.XLS"}</definedName>
    <definedName name="__kv2" hidden="1">{#N/A,#N/A,FALSE,"COVER1.XLS ";#N/A,#N/A,FALSE,"RACT1.XLS";#N/A,#N/A,FALSE,"RACT2.XLS";#N/A,#N/A,FALSE,"ECCMP";#N/A,#N/A,FALSE,"WELDER.XLS"}</definedName>
    <definedName name="__kv2_1" hidden="1">{#N/A,#N/A,FALSE,"COVER1.XLS ";#N/A,#N/A,FALSE,"RACT1.XLS";#N/A,#N/A,FALSE,"RACT2.XLS";#N/A,#N/A,FALSE,"ECCMP";#N/A,#N/A,FALSE,"WELDER.XLS"}</definedName>
    <definedName name="__kv2_2" hidden="1">{#N/A,#N/A,FALSE,"COVER1.XLS ";#N/A,#N/A,FALSE,"RACT1.XLS";#N/A,#N/A,FALSE,"RACT2.XLS";#N/A,#N/A,FALSE,"ECCMP";#N/A,#N/A,FALSE,"WELDER.XLS"}</definedName>
    <definedName name="__kv2_3" hidden="1">{#N/A,#N/A,FALSE,"COVER1.XLS ";#N/A,#N/A,FALSE,"RACT1.XLS";#N/A,#N/A,FALSE,"RACT2.XLS";#N/A,#N/A,FALSE,"ECCMP";#N/A,#N/A,FALSE,"WELDER.XLS"}</definedName>
    <definedName name="__kv2_4" hidden="1">{#N/A,#N/A,FALSE,"COVER1.XLS ";#N/A,#N/A,FALSE,"RACT1.XLS";#N/A,#N/A,FALSE,"RACT2.XLS";#N/A,#N/A,FALSE,"ECCMP";#N/A,#N/A,FALSE,"WELDER.XLS"}</definedName>
    <definedName name="__kv2_5" hidden="1">{#N/A,#N/A,FALSE,"COVER1.XLS ";#N/A,#N/A,FALSE,"RACT1.XLS";#N/A,#N/A,FALSE,"RACT2.XLS";#N/A,#N/A,FALSE,"ECCMP";#N/A,#N/A,FALSE,"WELDER.XLS"}</definedName>
    <definedName name="__kvs1" hidden="1">{#N/A,#N/A,FALSE,"COVER1.XLS ";#N/A,#N/A,FALSE,"RACT1.XLS";#N/A,#N/A,FALSE,"RACT2.XLS";#N/A,#N/A,FALSE,"ECCMP";#N/A,#N/A,FALSE,"WELDER.XLS"}</definedName>
    <definedName name="__kvs1_1" hidden="1">{#N/A,#N/A,FALSE,"COVER1.XLS ";#N/A,#N/A,FALSE,"RACT1.XLS";#N/A,#N/A,FALSE,"RACT2.XLS";#N/A,#N/A,FALSE,"ECCMP";#N/A,#N/A,FALSE,"WELDER.XLS"}</definedName>
    <definedName name="__kvs1_2" hidden="1">{#N/A,#N/A,FALSE,"COVER1.XLS ";#N/A,#N/A,FALSE,"RACT1.XLS";#N/A,#N/A,FALSE,"RACT2.XLS";#N/A,#N/A,FALSE,"ECCMP";#N/A,#N/A,FALSE,"WELDER.XLS"}</definedName>
    <definedName name="__kvs1_3" hidden="1">{#N/A,#N/A,FALSE,"COVER1.XLS ";#N/A,#N/A,FALSE,"RACT1.XLS";#N/A,#N/A,FALSE,"RACT2.XLS";#N/A,#N/A,FALSE,"ECCMP";#N/A,#N/A,FALSE,"WELDER.XLS"}</definedName>
    <definedName name="__kvs1_4" hidden="1">{#N/A,#N/A,FALSE,"COVER1.XLS ";#N/A,#N/A,FALSE,"RACT1.XLS";#N/A,#N/A,FALSE,"RACT2.XLS";#N/A,#N/A,FALSE,"ECCMP";#N/A,#N/A,FALSE,"WELDER.XLS"}</definedName>
    <definedName name="__kvs1_5" hidden="1">{#N/A,#N/A,FALSE,"COVER1.XLS ";#N/A,#N/A,FALSE,"RACT1.XLS";#N/A,#N/A,FALSE,"RACT2.XLS";#N/A,#N/A,FALSE,"ECCMP";#N/A,#N/A,FALSE,"WELDER.XLS"}</definedName>
    <definedName name="__kvs2" hidden="1">{#N/A,#N/A,FALSE,"COVER1.XLS ";#N/A,#N/A,FALSE,"RACT1.XLS";#N/A,#N/A,FALSE,"RACT2.XLS";#N/A,#N/A,FALSE,"ECCMP";#N/A,#N/A,FALSE,"WELDER.XLS"}</definedName>
    <definedName name="__kvs2_1" hidden="1">{#N/A,#N/A,FALSE,"COVER1.XLS ";#N/A,#N/A,FALSE,"RACT1.XLS";#N/A,#N/A,FALSE,"RACT2.XLS";#N/A,#N/A,FALSE,"ECCMP";#N/A,#N/A,FALSE,"WELDER.XLS"}</definedName>
    <definedName name="__kvs2_2" hidden="1">{#N/A,#N/A,FALSE,"COVER1.XLS ";#N/A,#N/A,FALSE,"RACT1.XLS";#N/A,#N/A,FALSE,"RACT2.XLS";#N/A,#N/A,FALSE,"ECCMP";#N/A,#N/A,FALSE,"WELDER.XLS"}</definedName>
    <definedName name="__kvs2_3" hidden="1">{#N/A,#N/A,FALSE,"COVER1.XLS ";#N/A,#N/A,FALSE,"RACT1.XLS";#N/A,#N/A,FALSE,"RACT2.XLS";#N/A,#N/A,FALSE,"ECCMP";#N/A,#N/A,FALSE,"WELDER.XLS"}</definedName>
    <definedName name="__kvs2_4" hidden="1">{#N/A,#N/A,FALSE,"COVER1.XLS ";#N/A,#N/A,FALSE,"RACT1.XLS";#N/A,#N/A,FALSE,"RACT2.XLS";#N/A,#N/A,FALSE,"ECCMP";#N/A,#N/A,FALSE,"WELDER.XLS"}</definedName>
    <definedName name="__kvs2_5" hidden="1">{#N/A,#N/A,FALSE,"COVER1.XLS ";#N/A,#N/A,FALSE,"RACT1.XLS";#N/A,#N/A,FALSE,"RACT2.XLS";#N/A,#N/A,FALSE,"ECCMP";#N/A,#N/A,FALSE,"WELDER.XLS"}</definedName>
    <definedName name="__kvs5" hidden="1">{#N/A,#N/A,FALSE,"COVER.XLS";#N/A,#N/A,FALSE,"RACT1.XLS";#N/A,#N/A,FALSE,"RACT2.XLS";#N/A,#N/A,FALSE,"ECCMP";#N/A,#N/A,FALSE,"WELDER.XLS"}</definedName>
    <definedName name="__kvs5_1" hidden="1">{#N/A,#N/A,FALSE,"COVER.XLS";#N/A,#N/A,FALSE,"RACT1.XLS";#N/A,#N/A,FALSE,"RACT2.XLS";#N/A,#N/A,FALSE,"ECCMP";#N/A,#N/A,FALSE,"WELDER.XLS"}</definedName>
    <definedName name="__kvs5_2" hidden="1">{#N/A,#N/A,FALSE,"COVER.XLS";#N/A,#N/A,FALSE,"RACT1.XLS";#N/A,#N/A,FALSE,"RACT2.XLS";#N/A,#N/A,FALSE,"ECCMP";#N/A,#N/A,FALSE,"WELDER.XLS"}</definedName>
    <definedName name="__kvs5_3" hidden="1">{#N/A,#N/A,FALSE,"COVER.XLS";#N/A,#N/A,FALSE,"RACT1.XLS";#N/A,#N/A,FALSE,"RACT2.XLS";#N/A,#N/A,FALSE,"ECCMP";#N/A,#N/A,FALSE,"WELDER.XLS"}</definedName>
    <definedName name="__kvs5_4" hidden="1">{#N/A,#N/A,FALSE,"COVER.XLS";#N/A,#N/A,FALSE,"RACT1.XLS";#N/A,#N/A,FALSE,"RACT2.XLS";#N/A,#N/A,FALSE,"ECCMP";#N/A,#N/A,FALSE,"WELDER.XLS"}</definedName>
    <definedName name="__kvs5_5" hidden="1">{#N/A,#N/A,FALSE,"COVER.XLS";#N/A,#N/A,FALSE,"RACT1.XLS";#N/A,#N/A,FALSE,"RACT2.XLS";#N/A,#N/A,FALSE,"ECCMP";#N/A,#N/A,FALSE,"WELDER.XLS"}</definedName>
    <definedName name="__kvs7" hidden="1">{#N/A,#N/A,FALSE,"COVER1.XLS ";#N/A,#N/A,FALSE,"RACT1.XLS";#N/A,#N/A,FALSE,"RACT2.XLS";#N/A,#N/A,FALSE,"ECCMP";#N/A,#N/A,FALSE,"WELDER.XLS"}</definedName>
    <definedName name="__kvs7_1" hidden="1">{#N/A,#N/A,FALSE,"COVER1.XLS ";#N/A,#N/A,FALSE,"RACT1.XLS";#N/A,#N/A,FALSE,"RACT2.XLS";#N/A,#N/A,FALSE,"ECCMP";#N/A,#N/A,FALSE,"WELDER.XLS"}</definedName>
    <definedName name="__kvs7_2" hidden="1">{#N/A,#N/A,FALSE,"COVER1.XLS ";#N/A,#N/A,FALSE,"RACT1.XLS";#N/A,#N/A,FALSE,"RACT2.XLS";#N/A,#N/A,FALSE,"ECCMP";#N/A,#N/A,FALSE,"WELDER.XLS"}</definedName>
    <definedName name="__kvs7_3" hidden="1">{#N/A,#N/A,FALSE,"COVER1.XLS ";#N/A,#N/A,FALSE,"RACT1.XLS";#N/A,#N/A,FALSE,"RACT2.XLS";#N/A,#N/A,FALSE,"ECCMP";#N/A,#N/A,FALSE,"WELDER.XLS"}</definedName>
    <definedName name="__kvs7_4" hidden="1">{#N/A,#N/A,FALSE,"COVER1.XLS ";#N/A,#N/A,FALSE,"RACT1.XLS";#N/A,#N/A,FALSE,"RACT2.XLS";#N/A,#N/A,FALSE,"ECCMP";#N/A,#N/A,FALSE,"WELDER.XLS"}</definedName>
    <definedName name="__kvs7_5" hidden="1">{#N/A,#N/A,FALSE,"COVER1.XLS ";#N/A,#N/A,FALSE,"RACT1.XLS";#N/A,#N/A,FALSE,"RACT2.XLS";#N/A,#N/A,FALSE,"ECCMP";#N/A,#N/A,FALSE,"WELDER.XLS"}</definedName>
    <definedName name="__kvs8" hidden="1">{#N/A,#N/A,FALSE,"COVER1.XLS ";#N/A,#N/A,FALSE,"RACT1.XLS";#N/A,#N/A,FALSE,"RACT2.XLS";#N/A,#N/A,FALSE,"ECCMP";#N/A,#N/A,FALSE,"WELDER.XLS"}</definedName>
    <definedName name="__kvs8_1" hidden="1">{#N/A,#N/A,FALSE,"COVER1.XLS ";#N/A,#N/A,FALSE,"RACT1.XLS";#N/A,#N/A,FALSE,"RACT2.XLS";#N/A,#N/A,FALSE,"ECCMP";#N/A,#N/A,FALSE,"WELDER.XLS"}</definedName>
    <definedName name="__kvs8_2" hidden="1">{#N/A,#N/A,FALSE,"COVER1.XLS ";#N/A,#N/A,FALSE,"RACT1.XLS";#N/A,#N/A,FALSE,"RACT2.XLS";#N/A,#N/A,FALSE,"ECCMP";#N/A,#N/A,FALSE,"WELDER.XLS"}</definedName>
    <definedName name="__kvs8_3" hidden="1">{#N/A,#N/A,FALSE,"COVER1.XLS ";#N/A,#N/A,FALSE,"RACT1.XLS";#N/A,#N/A,FALSE,"RACT2.XLS";#N/A,#N/A,FALSE,"ECCMP";#N/A,#N/A,FALSE,"WELDER.XLS"}</definedName>
    <definedName name="__kvs8_4" hidden="1">{#N/A,#N/A,FALSE,"COVER1.XLS ";#N/A,#N/A,FALSE,"RACT1.XLS";#N/A,#N/A,FALSE,"RACT2.XLS";#N/A,#N/A,FALSE,"ECCMP";#N/A,#N/A,FALSE,"WELDER.XLS"}</definedName>
    <definedName name="__kvs8_5" hidden="1">{#N/A,#N/A,FALSE,"COVER1.XLS ";#N/A,#N/A,FALSE,"RACT1.XLS";#N/A,#N/A,FALSE,"RACT2.XLS";#N/A,#N/A,FALSE,"ECCMP";#N/A,#N/A,FALSE,"WELDER.XLS"}</definedName>
    <definedName name="__KVS9" hidden="1">{#N/A,#N/A,FALSE,"COVER1.XLS ";#N/A,#N/A,FALSE,"RACT1.XLS";#N/A,#N/A,FALSE,"RACT2.XLS";#N/A,#N/A,FALSE,"ECCMP";#N/A,#N/A,FALSE,"WELDER.XLS"}</definedName>
    <definedName name="__KVS9_1" hidden="1">{#N/A,#N/A,FALSE,"COVER1.XLS ";#N/A,#N/A,FALSE,"RACT1.XLS";#N/A,#N/A,FALSE,"RACT2.XLS";#N/A,#N/A,FALSE,"ECCMP";#N/A,#N/A,FALSE,"WELDER.XLS"}</definedName>
    <definedName name="__KVS9_2" hidden="1">{#N/A,#N/A,FALSE,"COVER1.XLS ";#N/A,#N/A,FALSE,"RACT1.XLS";#N/A,#N/A,FALSE,"RACT2.XLS";#N/A,#N/A,FALSE,"ECCMP";#N/A,#N/A,FALSE,"WELDER.XLS"}</definedName>
    <definedName name="__KVS9_3" hidden="1">{#N/A,#N/A,FALSE,"COVER1.XLS ";#N/A,#N/A,FALSE,"RACT1.XLS";#N/A,#N/A,FALSE,"RACT2.XLS";#N/A,#N/A,FALSE,"ECCMP";#N/A,#N/A,FALSE,"WELDER.XLS"}</definedName>
    <definedName name="__KVS9_4" hidden="1">{#N/A,#N/A,FALSE,"COVER1.XLS ";#N/A,#N/A,FALSE,"RACT1.XLS";#N/A,#N/A,FALSE,"RACT2.XLS";#N/A,#N/A,FALSE,"ECCMP";#N/A,#N/A,FALSE,"WELDER.XLS"}</definedName>
    <definedName name="__KVS9_5" hidden="1">{#N/A,#N/A,FALSE,"COVER1.XLS ";#N/A,#N/A,FALSE,"RACT1.XLS";#N/A,#N/A,FALSE,"RACT2.XLS";#N/A,#N/A,FALSE,"ECCMP";#N/A,#N/A,FALSE,"WELDER.XLS"}</definedName>
    <definedName name="__l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2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2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2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2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2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ns1" hidden="1">{#N/A,#N/A,FALSE,"COVER1.XLS ";#N/A,#N/A,FALSE,"RACT1.XLS";#N/A,#N/A,FALSE,"RACT2.XLS";#N/A,#N/A,FALSE,"ECCMP";#N/A,#N/A,FALSE,"WELDER.XLS"}</definedName>
    <definedName name="__ns1_1" hidden="1">{#N/A,#N/A,FALSE,"COVER1.XLS ";#N/A,#N/A,FALSE,"RACT1.XLS";#N/A,#N/A,FALSE,"RACT2.XLS";#N/A,#N/A,FALSE,"ECCMP";#N/A,#N/A,FALSE,"WELDER.XLS"}</definedName>
    <definedName name="__ns1_2" hidden="1">{#N/A,#N/A,FALSE,"COVER1.XLS ";#N/A,#N/A,FALSE,"RACT1.XLS";#N/A,#N/A,FALSE,"RACT2.XLS";#N/A,#N/A,FALSE,"ECCMP";#N/A,#N/A,FALSE,"WELDER.XLS"}</definedName>
    <definedName name="__ns1_3" hidden="1">{#N/A,#N/A,FALSE,"COVER1.XLS ";#N/A,#N/A,FALSE,"RACT1.XLS";#N/A,#N/A,FALSE,"RACT2.XLS";#N/A,#N/A,FALSE,"ECCMP";#N/A,#N/A,FALSE,"WELDER.XLS"}</definedName>
    <definedName name="__ns1_4" hidden="1">{#N/A,#N/A,FALSE,"COVER1.XLS ";#N/A,#N/A,FALSE,"RACT1.XLS";#N/A,#N/A,FALSE,"RACT2.XLS";#N/A,#N/A,FALSE,"ECCMP";#N/A,#N/A,FALSE,"WELDER.XLS"}</definedName>
    <definedName name="__ns1_5" hidden="1">{#N/A,#N/A,FALSE,"COVER1.XLS ";#N/A,#N/A,FALSE,"RACT1.XLS";#N/A,#N/A,FALSE,"RACT2.XLS";#N/A,#N/A,FALSE,"ECCMP";#N/A,#N/A,FALSE,"WELDER.XLS"}</definedName>
    <definedName name="__PRN1" hidden="1">{#N/A,#N/A,FALSE,"COVER.XLS";#N/A,#N/A,FALSE,"RACT1.XLS";#N/A,#N/A,FALSE,"RACT2.XLS";#N/A,#N/A,FALSE,"ECCMP";#N/A,#N/A,FALSE,"WELDER.XLS"}</definedName>
    <definedName name="__PRN1_1" hidden="1">{#N/A,#N/A,FALSE,"COVER.XLS";#N/A,#N/A,FALSE,"RACT1.XLS";#N/A,#N/A,FALSE,"RACT2.XLS";#N/A,#N/A,FALSE,"ECCMP";#N/A,#N/A,FALSE,"WELDER.XLS"}</definedName>
    <definedName name="__PRN1_2" hidden="1">{#N/A,#N/A,FALSE,"COVER.XLS";#N/A,#N/A,FALSE,"RACT1.XLS";#N/A,#N/A,FALSE,"RACT2.XLS";#N/A,#N/A,FALSE,"ECCMP";#N/A,#N/A,FALSE,"WELDER.XLS"}</definedName>
    <definedName name="__PRN1_3" hidden="1">{#N/A,#N/A,FALSE,"COVER.XLS";#N/A,#N/A,FALSE,"RACT1.XLS";#N/A,#N/A,FALSE,"RACT2.XLS";#N/A,#N/A,FALSE,"ECCMP";#N/A,#N/A,FALSE,"WELDER.XLS"}</definedName>
    <definedName name="__PRN1_4" hidden="1">{#N/A,#N/A,FALSE,"COVER.XLS";#N/A,#N/A,FALSE,"RACT1.XLS";#N/A,#N/A,FALSE,"RACT2.XLS";#N/A,#N/A,FALSE,"ECCMP";#N/A,#N/A,FALSE,"WELDER.XLS"}</definedName>
    <definedName name="__PRN1_5" hidden="1">{#N/A,#N/A,FALSE,"COVER.XLS";#N/A,#N/A,FALSE,"RACT1.XLS";#N/A,#N/A,FALSE,"RACT2.XLS";#N/A,#N/A,FALSE,"ECCMP";#N/A,#N/A,FALSE,"WELDER.XLS"}</definedName>
    <definedName name="__q2" hidden="1">{#N/A,#N/A,FALSE,"COVER1.XLS ";#N/A,#N/A,FALSE,"RACT1.XLS";#N/A,#N/A,FALSE,"RACT2.XLS";#N/A,#N/A,FALSE,"ECCMP";#N/A,#N/A,FALSE,"WELDER.XLS"}</definedName>
    <definedName name="__q2_1" hidden="1">{#N/A,#N/A,FALSE,"COVER1.XLS ";#N/A,#N/A,FALSE,"RACT1.XLS";#N/A,#N/A,FALSE,"RACT2.XLS";#N/A,#N/A,FALSE,"ECCMP";#N/A,#N/A,FALSE,"WELDER.XLS"}</definedName>
    <definedName name="__q2_2" hidden="1">{#N/A,#N/A,FALSE,"COVER1.XLS ";#N/A,#N/A,FALSE,"RACT1.XLS";#N/A,#N/A,FALSE,"RACT2.XLS";#N/A,#N/A,FALSE,"ECCMP";#N/A,#N/A,FALSE,"WELDER.XLS"}</definedName>
    <definedName name="__q2_3" hidden="1">{#N/A,#N/A,FALSE,"COVER1.XLS ";#N/A,#N/A,FALSE,"RACT1.XLS";#N/A,#N/A,FALSE,"RACT2.XLS";#N/A,#N/A,FALSE,"ECCMP";#N/A,#N/A,FALSE,"WELDER.XLS"}</definedName>
    <definedName name="__q2_4" hidden="1">{#N/A,#N/A,FALSE,"COVER1.XLS ";#N/A,#N/A,FALSE,"RACT1.XLS";#N/A,#N/A,FALSE,"RACT2.XLS";#N/A,#N/A,FALSE,"ECCMP";#N/A,#N/A,FALSE,"WELDER.XLS"}</definedName>
    <definedName name="__q2_5" hidden="1">{#N/A,#N/A,FALSE,"COVER1.XLS ";#N/A,#N/A,FALSE,"RACT1.XLS";#N/A,#N/A,FALSE,"RACT2.XLS";#N/A,#N/A,FALSE,"ECCMP";#N/A,#N/A,FALSE,"WELDER.XLS"}</definedName>
    <definedName name="__t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1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1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1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1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1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2" hidden="1">{#N/A,#N/A,FALSE,"17MAY";#N/A,#N/A,FALSE,"24MAY"}</definedName>
    <definedName name="__w2_1" hidden="1">{#N/A,#N/A,FALSE,"17MAY";#N/A,#N/A,FALSE,"24MAY"}</definedName>
    <definedName name="__w2_2" hidden="1">{#N/A,#N/A,FALSE,"17MAY";#N/A,#N/A,FALSE,"24MAY"}</definedName>
    <definedName name="__w2_3" hidden="1">{#N/A,#N/A,FALSE,"17MAY";#N/A,#N/A,FALSE,"24MAY"}</definedName>
    <definedName name="__w2_4" hidden="1">{#N/A,#N/A,FALSE,"17MAY";#N/A,#N/A,FALSE,"24MAY"}</definedName>
    <definedName name="__w2_5" hidden="1">{#N/A,#N/A,FALSE,"17MAY";#N/A,#N/A,FALSE,"24MAY"}</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2" hidden="1">{#N/A,#N/A,FALSE,"COVER1.XLS ";#N/A,#N/A,FALSE,"RACT1.XLS";#N/A,#N/A,FALSE,"RACT2.XLS";#N/A,#N/A,FALSE,"ECCMP";#N/A,#N/A,FALSE,"WELDER.XLS"}</definedName>
    <definedName name="__WRN2_1" hidden="1">{#N/A,#N/A,FALSE,"COVER1.XLS ";#N/A,#N/A,FALSE,"RACT1.XLS";#N/A,#N/A,FALSE,"RACT2.XLS";#N/A,#N/A,FALSE,"ECCMP";#N/A,#N/A,FALSE,"WELDER.XLS"}</definedName>
    <definedName name="__WRN2_2" hidden="1">{#N/A,#N/A,FALSE,"COVER1.XLS ";#N/A,#N/A,FALSE,"RACT1.XLS";#N/A,#N/A,FALSE,"RACT2.XLS";#N/A,#N/A,FALSE,"ECCMP";#N/A,#N/A,FALSE,"WELDER.XLS"}</definedName>
    <definedName name="__WRN2_3" hidden="1">{#N/A,#N/A,FALSE,"COVER1.XLS ";#N/A,#N/A,FALSE,"RACT1.XLS";#N/A,#N/A,FALSE,"RACT2.XLS";#N/A,#N/A,FALSE,"ECCMP";#N/A,#N/A,FALSE,"WELDER.XLS"}</definedName>
    <definedName name="__WRN2_4" hidden="1">{#N/A,#N/A,FALSE,"COVER1.XLS ";#N/A,#N/A,FALSE,"RACT1.XLS";#N/A,#N/A,FALSE,"RACT2.XLS";#N/A,#N/A,FALSE,"ECCMP";#N/A,#N/A,FALSE,"WELDER.XLS"}</definedName>
    <definedName name="__WRN2_5" hidden="1">{#N/A,#N/A,FALSE,"COVER1.XLS ";#N/A,#N/A,FALSE,"RACT1.XLS";#N/A,#N/A,FALSE,"RACT2.XLS";#N/A,#N/A,FALSE,"ECCMP";#N/A,#N/A,FALSE,"WELDER.XLS"}</definedName>
    <definedName name="__WRN3" hidden="1">{#N/A,#N/A,FALSE,"consu_cover";#N/A,#N/A,FALSE,"consu_strategy";#N/A,#N/A,FALSE,"consu_flow";#N/A,#N/A,FALSE,"Summary_reqmt";#N/A,#N/A,FALSE,"field_ppg";#N/A,#N/A,FALSE,"ppg_shop";#N/A,#N/A,FALSE,"strl";#N/A,#N/A,FALSE,"tankages";#N/A,#N/A,FALSE,"gases"}</definedName>
    <definedName name="__WRN3_1" hidden="1">{#N/A,#N/A,FALSE,"consu_cover";#N/A,#N/A,FALSE,"consu_strategy";#N/A,#N/A,FALSE,"consu_flow";#N/A,#N/A,FALSE,"Summary_reqmt";#N/A,#N/A,FALSE,"field_ppg";#N/A,#N/A,FALSE,"ppg_shop";#N/A,#N/A,FALSE,"strl";#N/A,#N/A,FALSE,"tankages";#N/A,#N/A,FALSE,"gases"}</definedName>
    <definedName name="__WRN3_2" hidden="1">{#N/A,#N/A,FALSE,"consu_cover";#N/A,#N/A,FALSE,"consu_strategy";#N/A,#N/A,FALSE,"consu_flow";#N/A,#N/A,FALSE,"Summary_reqmt";#N/A,#N/A,FALSE,"field_ppg";#N/A,#N/A,FALSE,"ppg_shop";#N/A,#N/A,FALSE,"strl";#N/A,#N/A,FALSE,"tankages";#N/A,#N/A,FALSE,"gases"}</definedName>
    <definedName name="__WRN3_3" hidden="1">{#N/A,#N/A,FALSE,"consu_cover";#N/A,#N/A,FALSE,"consu_strategy";#N/A,#N/A,FALSE,"consu_flow";#N/A,#N/A,FALSE,"Summary_reqmt";#N/A,#N/A,FALSE,"field_ppg";#N/A,#N/A,FALSE,"ppg_shop";#N/A,#N/A,FALSE,"strl";#N/A,#N/A,FALSE,"tankages";#N/A,#N/A,FALSE,"gases"}</definedName>
    <definedName name="__WRN3_4" hidden="1">{#N/A,#N/A,FALSE,"consu_cover";#N/A,#N/A,FALSE,"consu_strategy";#N/A,#N/A,FALSE,"consu_flow";#N/A,#N/A,FALSE,"Summary_reqmt";#N/A,#N/A,FALSE,"field_ppg";#N/A,#N/A,FALSE,"ppg_shop";#N/A,#N/A,FALSE,"strl";#N/A,#N/A,FALSE,"tankages";#N/A,#N/A,FALSE,"gases"}</definedName>
    <definedName name="__WRN3_5" hidden="1">{#N/A,#N/A,FALSE,"consu_cover";#N/A,#N/A,FALSE,"consu_strategy";#N/A,#N/A,FALSE,"consu_flow";#N/A,#N/A,FALSE,"Summary_reqmt";#N/A,#N/A,FALSE,"field_ppg";#N/A,#N/A,FALSE,"ppg_shop";#N/A,#N/A,FALSE,"strl";#N/A,#N/A,FALSE,"tankages";#N/A,#N/A,FALSE,"gases"}</definedName>
    <definedName name="__xlfn.RTD" hidden="1">#NAME?</definedName>
    <definedName name="_1__123Graph_ACHART_1" hidden="1">[9]A!$F$106:$F$116</definedName>
    <definedName name="_1__123Graph_ACHART_28" hidden="1">[2]B!$D$10:$U$10</definedName>
    <definedName name="_1__123Graph_ACHART_4" hidden="1">[10]Fut_Perf!#REF!</definedName>
    <definedName name="_123" hidden="1">'[8]Ownership split'!#REF!</definedName>
    <definedName name="_2__123Graph_ACHART_4" hidden="1">[10]Fut_Perf!#REF!</definedName>
    <definedName name="_2__123Graph_BCHART_28" hidden="1">[2]B!$D$11:$U$11</definedName>
    <definedName name="_2__123Graph_BCHART_4" hidden="1">[10]Fut_Perf!#REF!</definedName>
    <definedName name="_3__123Graph_BCHART_4" hidden="1">[10]Fut_Perf!#REF!</definedName>
    <definedName name="_3__123Graph_CCHART_28" hidden="1">[2]B!$D$12:$U$12</definedName>
    <definedName name="_3__123Graph_CCHART_4" hidden="1">[10]Fut_Perf!#REF!</definedName>
    <definedName name="_4__123Graph_CCHART_4" hidden="1">[10]Fut_Perf!#REF!</definedName>
    <definedName name="_4__123Graph_DCHART_28" hidden="1">[2]B!$D$7:$U$7</definedName>
    <definedName name="_5__123Graph_ECHART_28" hidden="1">[2]B!$D$8:$U$8</definedName>
    <definedName name="_5__123Graph_XCHART_1" hidden="1">[9]A!$E$106:$E$116</definedName>
    <definedName name="_6__123Graph_FCHART_28" hidden="1">[2]B!$D$9:$U$9</definedName>
    <definedName name="_aba1" hidden="1">{#N/A,#N/A,FALSE,"COVER1.XLS ";#N/A,#N/A,FALSE,"RACT1.XLS";#N/A,#N/A,FALSE,"RACT2.XLS";#N/A,#N/A,FALSE,"ECCMP";#N/A,#N/A,FALSE,"WELDER.XLS"}</definedName>
    <definedName name="_aba1_1" hidden="1">{#N/A,#N/A,FALSE,"COVER1.XLS ";#N/A,#N/A,FALSE,"RACT1.XLS";#N/A,#N/A,FALSE,"RACT2.XLS";#N/A,#N/A,FALSE,"ECCMP";#N/A,#N/A,FALSE,"WELDER.XLS"}</definedName>
    <definedName name="_aba1_2" hidden="1">{#N/A,#N/A,FALSE,"COVER1.XLS ";#N/A,#N/A,FALSE,"RACT1.XLS";#N/A,#N/A,FALSE,"RACT2.XLS";#N/A,#N/A,FALSE,"ECCMP";#N/A,#N/A,FALSE,"WELDER.XLS"}</definedName>
    <definedName name="_aba1_3" hidden="1">{#N/A,#N/A,FALSE,"COVER1.XLS ";#N/A,#N/A,FALSE,"RACT1.XLS";#N/A,#N/A,FALSE,"RACT2.XLS";#N/A,#N/A,FALSE,"ECCMP";#N/A,#N/A,FALSE,"WELDER.XLS"}</definedName>
    <definedName name="_aba1_4" hidden="1">{#N/A,#N/A,FALSE,"COVER1.XLS ";#N/A,#N/A,FALSE,"RACT1.XLS";#N/A,#N/A,FALSE,"RACT2.XLS";#N/A,#N/A,FALSE,"ECCMP";#N/A,#N/A,FALSE,"WELDER.XLS"}</definedName>
    <definedName name="_aba1_5" hidden="1">{#N/A,#N/A,FALSE,"COVER1.XLS ";#N/A,#N/A,FALSE,"RACT1.XLS";#N/A,#N/A,FALSE,"RACT2.XLS";#N/A,#N/A,FALSE,"ECCMP";#N/A,#N/A,FALSE,"WELDER.XLS"}</definedName>
    <definedName name="_abc1" hidden="1">{#N/A,#N/A,FALSE,"COVER1.XLS ";#N/A,#N/A,FALSE,"RACT1.XLS";#N/A,#N/A,FALSE,"RACT2.XLS";#N/A,#N/A,FALSE,"ECCMP";#N/A,#N/A,FALSE,"WELDER.XLS"}</definedName>
    <definedName name="_abc1_1" hidden="1">{#N/A,#N/A,FALSE,"COVER1.XLS ";#N/A,#N/A,FALSE,"RACT1.XLS";#N/A,#N/A,FALSE,"RACT2.XLS";#N/A,#N/A,FALSE,"ECCMP";#N/A,#N/A,FALSE,"WELDER.XLS"}</definedName>
    <definedName name="_abc1_2" hidden="1">{#N/A,#N/A,FALSE,"COVER1.XLS ";#N/A,#N/A,FALSE,"RACT1.XLS";#N/A,#N/A,FALSE,"RACT2.XLS";#N/A,#N/A,FALSE,"ECCMP";#N/A,#N/A,FALSE,"WELDER.XLS"}</definedName>
    <definedName name="_abc1_3" hidden="1">{#N/A,#N/A,FALSE,"COVER1.XLS ";#N/A,#N/A,FALSE,"RACT1.XLS";#N/A,#N/A,FALSE,"RACT2.XLS";#N/A,#N/A,FALSE,"ECCMP";#N/A,#N/A,FALSE,"WELDER.XLS"}</definedName>
    <definedName name="_abc1_4" hidden="1">{#N/A,#N/A,FALSE,"COVER1.XLS ";#N/A,#N/A,FALSE,"RACT1.XLS";#N/A,#N/A,FALSE,"RACT2.XLS";#N/A,#N/A,FALSE,"ECCMP";#N/A,#N/A,FALSE,"WELDER.XLS"}</definedName>
    <definedName name="_abc1_5" hidden="1">{#N/A,#N/A,FALSE,"COVER1.XLS ";#N/A,#N/A,FALSE,"RACT1.XLS";#N/A,#N/A,FALSE,"RACT2.XLS";#N/A,#N/A,FALSE,"ECCMP";#N/A,#N/A,FALSE,"WELDER.XLS"}</definedName>
    <definedName name="_act10" hidden="1">{#N/A,#N/A,FALSE,"LVM JAN04";#N/A,#N/A,FALSE,"LVM CashFlow"}</definedName>
    <definedName name="_act10_1" hidden="1">{#N/A,#N/A,FALSE,"LVM JAN04";#N/A,#N/A,FALSE,"LVM CashFlow"}</definedName>
    <definedName name="_act10_2" hidden="1">{#N/A,#N/A,FALSE,"LVM JAN04";#N/A,#N/A,FALSE,"LVM CashFlow"}</definedName>
    <definedName name="_act10_3" hidden="1">{#N/A,#N/A,FALSE,"LVM JAN04";#N/A,#N/A,FALSE,"LVM CashFlow"}</definedName>
    <definedName name="_act10_4" hidden="1">{#N/A,#N/A,FALSE,"LVM JAN04";#N/A,#N/A,FALSE,"LVM CashFlow"}</definedName>
    <definedName name="_act10_5" hidden="1">{#N/A,#N/A,FALSE,"LVM JAN04";#N/A,#N/A,FALSE,"LVM CashFlow"}</definedName>
    <definedName name="_Dist_Bin" hidden="1">'[8]Ownership split'!#REF!</definedName>
    <definedName name="_dk1" hidden="1">{#N/A,#N/A,FALSE,"COVER.XLS";#N/A,#N/A,FALSE,"RACT1.XLS";#N/A,#N/A,FALSE,"RACT2.XLS";#N/A,#N/A,FALSE,"ECCMP";#N/A,#N/A,FALSE,"WELDER.XLS"}</definedName>
    <definedName name="_dk1_1" hidden="1">{#N/A,#N/A,FALSE,"COVER.XLS";#N/A,#N/A,FALSE,"RACT1.XLS";#N/A,#N/A,FALSE,"RACT2.XLS";#N/A,#N/A,FALSE,"ECCMP";#N/A,#N/A,FALSE,"WELDER.XLS"}</definedName>
    <definedName name="_dk1_1_1" hidden="1">{#N/A,#N/A,FALSE,"COVER.XLS";#N/A,#N/A,FALSE,"RACT1.XLS";#N/A,#N/A,FALSE,"RACT2.XLS";#N/A,#N/A,FALSE,"ECCMP";#N/A,#N/A,FALSE,"WELDER.XLS"}</definedName>
    <definedName name="_dk1_1_2" hidden="1">{#N/A,#N/A,FALSE,"COVER.XLS";#N/A,#N/A,FALSE,"RACT1.XLS";#N/A,#N/A,FALSE,"RACT2.XLS";#N/A,#N/A,FALSE,"ECCMP";#N/A,#N/A,FALSE,"WELDER.XLS"}</definedName>
    <definedName name="_dk1_1_3" hidden="1">{#N/A,#N/A,FALSE,"COVER.XLS";#N/A,#N/A,FALSE,"RACT1.XLS";#N/A,#N/A,FALSE,"RACT2.XLS";#N/A,#N/A,FALSE,"ECCMP";#N/A,#N/A,FALSE,"WELDER.XLS"}</definedName>
    <definedName name="_dk1_1_4" hidden="1">{#N/A,#N/A,FALSE,"COVER.XLS";#N/A,#N/A,FALSE,"RACT1.XLS";#N/A,#N/A,FALSE,"RACT2.XLS";#N/A,#N/A,FALSE,"ECCMP";#N/A,#N/A,FALSE,"WELDER.XLS"}</definedName>
    <definedName name="_dk1_1_5" hidden="1">{#N/A,#N/A,FALSE,"COVER.XLS";#N/A,#N/A,FALSE,"RACT1.XLS";#N/A,#N/A,FALSE,"RACT2.XLS";#N/A,#N/A,FALSE,"ECCMP";#N/A,#N/A,FALSE,"WELDER.XLS"}</definedName>
    <definedName name="_dk1_2" hidden="1">{#N/A,#N/A,FALSE,"COVER.XLS";#N/A,#N/A,FALSE,"RACT1.XLS";#N/A,#N/A,FALSE,"RACT2.XLS";#N/A,#N/A,FALSE,"ECCMP";#N/A,#N/A,FALSE,"WELDER.XLS"}</definedName>
    <definedName name="_dk1_2_1" hidden="1">{#N/A,#N/A,FALSE,"COVER.XLS";#N/A,#N/A,FALSE,"RACT1.XLS";#N/A,#N/A,FALSE,"RACT2.XLS";#N/A,#N/A,FALSE,"ECCMP";#N/A,#N/A,FALSE,"WELDER.XLS"}</definedName>
    <definedName name="_dk1_2_2" hidden="1">{#N/A,#N/A,FALSE,"COVER.XLS";#N/A,#N/A,FALSE,"RACT1.XLS";#N/A,#N/A,FALSE,"RACT2.XLS";#N/A,#N/A,FALSE,"ECCMP";#N/A,#N/A,FALSE,"WELDER.XLS"}</definedName>
    <definedName name="_dk1_2_3" hidden="1">{#N/A,#N/A,FALSE,"COVER.XLS";#N/A,#N/A,FALSE,"RACT1.XLS";#N/A,#N/A,FALSE,"RACT2.XLS";#N/A,#N/A,FALSE,"ECCMP";#N/A,#N/A,FALSE,"WELDER.XLS"}</definedName>
    <definedName name="_dk1_2_4" hidden="1">{#N/A,#N/A,FALSE,"COVER.XLS";#N/A,#N/A,FALSE,"RACT1.XLS";#N/A,#N/A,FALSE,"RACT2.XLS";#N/A,#N/A,FALSE,"ECCMP";#N/A,#N/A,FALSE,"WELDER.XLS"}</definedName>
    <definedName name="_dk1_2_5" hidden="1">{#N/A,#N/A,FALSE,"COVER.XLS";#N/A,#N/A,FALSE,"RACT1.XLS";#N/A,#N/A,FALSE,"RACT2.XLS";#N/A,#N/A,FALSE,"ECCMP";#N/A,#N/A,FALSE,"WELDER.XLS"}</definedName>
    <definedName name="_dk1_3" hidden="1">{#N/A,#N/A,FALSE,"COVER.XLS";#N/A,#N/A,FALSE,"RACT1.XLS";#N/A,#N/A,FALSE,"RACT2.XLS";#N/A,#N/A,FALSE,"ECCMP";#N/A,#N/A,FALSE,"WELDER.XLS"}</definedName>
    <definedName name="_dk1_4" hidden="1">{#N/A,#N/A,FALSE,"COVER.XLS";#N/A,#N/A,FALSE,"RACT1.XLS";#N/A,#N/A,FALSE,"RACT2.XLS";#N/A,#N/A,FALSE,"ECCMP";#N/A,#N/A,FALSE,"WELDER.XLS"}</definedName>
    <definedName name="_dk1_5" hidden="1">{#N/A,#N/A,FALSE,"COVER.XLS";#N/A,#N/A,FALSE,"RACT1.XLS";#N/A,#N/A,FALSE,"RACT2.XLS";#N/A,#N/A,FALSE,"ECCMP";#N/A,#N/A,FALSE,"WELDER.XLS"}</definedName>
    <definedName name="_f3" hidden="1">{#N/A,#N/A,FALSE,"Aging Summary";#N/A,#N/A,FALSE,"Ratio Analysis";#N/A,#N/A,FALSE,"Test 120 Day Accts";#N/A,#N/A,FALSE,"Tickmarks"}</definedName>
    <definedName name="_f4" hidden="1">{#N/A,#N/A,FALSE,"Aging Summary";#N/A,#N/A,FALSE,"Ratio Analysis";#N/A,#N/A,FALSE,"Test 120 Day Accts";#N/A,#N/A,FALSE,"Tickmarks"}</definedName>
    <definedName name="_Fill" hidden="1">'[11]#REF'!$G$2:$G$2</definedName>
    <definedName name="_xlnm._FilterDatabase" localSheetId="4" hidden="1">'AOP Format'!$A$1:$F$255</definedName>
    <definedName name="_xlnm._FilterDatabase" hidden="1">#REF!</definedName>
    <definedName name="_FX2006" hidden="1">{#N/A,#N/A,FALSE,"Aging Summary";#N/A,#N/A,FALSE,"Ratio Analysis";#N/A,#N/A,FALSE,"Test 120 Day Accts";#N/A,#N/A,FALSE,"Tickmarks"}</definedName>
    <definedName name="_k8" hidden="1">{#N/A,#N/A,FALSE,"COVER1.XLS ";#N/A,#N/A,FALSE,"RACT1.XLS";#N/A,#N/A,FALSE,"RACT2.XLS";#N/A,#N/A,FALSE,"ECCMP";#N/A,#N/A,FALSE,"WELDER.XLS"}</definedName>
    <definedName name="_k8_1" hidden="1">{#N/A,#N/A,FALSE,"COVER1.XLS ";#N/A,#N/A,FALSE,"RACT1.XLS";#N/A,#N/A,FALSE,"RACT2.XLS";#N/A,#N/A,FALSE,"ECCMP";#N/A,#N/A,FALSE,"WELDER.XLS"}</definedName>
    <definedName name="_k8_1_1" hidden="1">{#N/A,#N/A,FALSE,"COVER1.XLS ";#N/A,#N/A,FALSE,"RACT1.XLS";#N/A,#N/A,FALSE,"RACT2.XLS";#N/A,#N/A,FALSE,"ECCMP";#N/A,#N/A,FALSE,"WELDER.XLS"}</definedName>
    <definedName name="_k8_1_2" hidden="1">{#N/A,#N/A,FALSE,"COVER1.XLS ";#N/A,#N/A,FALSE,"RACT1.XLS";#N/A,#N/A,FALSE,"RACT2.XLS";#N/A,#N/A,FALSE,"ECCMP";#N/A,#N/A,FALSE,"WELDER.XLS"}</definedName>
    <definedName name="_k8_1_3" hidden="1">{#N/A,#N/A,FALSE,"COVER1.XLS ";#N/A,#N/A,FALSE,"RACT1.XLS";#N/A,#N/A,FALSE,"RACT2.XLS";#N/A,#N/A,FALSE,"ECCMP";#N/A,#N/A,FALSE,"WELDER.XLS"}</definedName>
    <definedName name="_k8_1_4" hidden="1">{#N/A,#N/A,FALSE,"COVER1.XLS ";#N/A,#N/A,FALSE,"RACT1.XLS";#N/A,#N/A,FALSE,"RACT2.XLS";#N/A,#N/A,FALSE,"ECCMP";#N/A,#N/A,FALSE,"WELDER.XLS"}</definedName>
    <definedName name="_k8_1_5" hidden="1">{#N/A,#N/A,FALSE,"COVER1.XLS ";#N/A,#N/A,FALSE,"RACT1.XLS";#N/A,#N/A,FALSE,"RACT2.XLS";#N/A,#N/A,FALSE,"ECCMP";#N/A,#N/A,FALSE,"WELDER.XLS"}</definedName>
    <definedName name="_k8_2" hidden="1">{#N/A,#N/A,FALSE,"COVER1.XLS ";#N/A,#N/A,FALSE,"RACT1.XLS";#N/A,#N/A,FALSE,"RACT2.XLS";#N/A,#N/A,FALSE,"ECCMP";#N/A,#N/A,FALSE,"WELDER.XLS"}</definedName>
    <definedName name="_k8_2_1" hidden="1">{#N/A,#N/A,FALSE,"COVER1.XLS ";#N/A,#N/A,FALSE,"RACT1.XLS";#N/A,#N/A,FALSE,"RACT2.XLS";#N/A,#N/A,FALSE,"ECCMP";#N/A,#N/A,FALSE,"WELDER.XLS"}</definedName>
    <definedName name="_k8_2_2" hidden="1">{#N/A,#N/A,FALSE,"COVER1.XLS ";#N/A,#N/A,FALSE,"RACT1.XLS";#N/A,#N/A,FALSE,"RACT2.XLS";#N/A,#N/A,FALSE,"ECCMP";#N/A,#N/A,FALSE,"WELDER.XLS"}</definedName>
    <definedName name="_k8_2_3" hidden="1">{#N/A,#N/A,FALSE,"COVER1.XLS ";#N/A,#N/A,FALSE,"RACT1.XLS";#N/A,#N/A,FALSE,"RACT2.XLS";#N/A,#N/A,FALSE,"ECCMP";#N/A,#N/A,FALSE,"WELDER.XLS"}</definedName>
    <definedName name="_k8_2_4" hidden="1">{#N/A,#N/A,FALSE,"COVER1.XLS ";#N/A,#N/A,FALSE,"RACT1.XLS";#N/A,#N/A,FALSE,"RACT2.XLS";#N/A,#N/A,FALSE,"ECCMP";#N/A,#N/A,FALSE,"WELDER.XLS"}</definedName>
    <definedName name="_k8_2_5" hidden="1">{#N/A,#N/A,FALSE,"COVER1.XLS ";#N/A,#N/A,FALSE,"RACT1.XLS";#N/A,#N/A,FALSE,"RACT2.XLS";#N/A,#N/A,FALSE,"ECCMP";#N/A,#N/A,FALSE,"WELDER.XLS"}</definedName>
    <definedName name="_k8_3" hidden="1">{#N/A,#N/A,FALSE,"COVER1.XLS ";#N/A,#N/A,FALSE,"RACT1.XLS";#N/A,#N/A,FALSE,"RACT2.XLS";#N/A,#N/A,FALSE,"ECCMP";#N/A,#N/A,FALSE,"WELDER.XLS"}</definedName>
    <definedName name="_k8_4" hidden="1">{#N/A,#N/A,FALSE,"COVER1.XLS ";#N/A,#N/A,FALSE,"RACT1.XLS";#N/A,#N/A,FALSE,"RACT2.XLS";#N/A,#N/A,FALSE,"ECCMP";#N/A,#N/A,FALSE,"WELDER.XLS"}</definedName>
    <definedName name="_k8_5" hidden="1">{#N/A,#N/A,FALSE,"COVER1.XLS ";#N/A,#N/A,FALSE,"RACT1.XLS";#N/A,#N/A,FALSE,"RACT2.XLS";#N/A,#N/A,FALSE,"ECCMP";#N/A,#N/A,FALSE,"WELDER.XLS"}</definedName>
    <definedName name="_Key1" hidden="1">#REF!</definedName>
    <definedName name="_Key2" hidden="1">#REF!</definedName>
    <definedName name="_kp1" hidden="1">#REF!</definedName>
    <definedName name="_kv2" hidden="1">{#N/A,#N/A,FALSE,"COVER1.XLS ";#N/A,#N/A,FALSE,"RACT1.XLS";#N/A,#N/A,FALSE,"RACT2.XLS";#N/A,#N/A,FALSE,"ECCMP";#N/A,#N/A,FALSE,"WELDER.XLS"}</definedName>
    <definedName name="_kvs1" hidden="1">{#N/A,#N/A,FALSE,"COVER1.XLS ";#N/A,#N/A,FALSE,"RACT1.XLS";#N/A,#N/A,FALSE,"RACT2.XLS";#N/A,#N/A,FALSE,"ECCMP";#N/A,#N/A,FALSE,"WELDER.XLS"}</definedName>
    <definedName name="_kvs1_1" hidden="1">{#N/A,#N/A,FALSE,"COVER1.XLS ";#N/A,#N/A,FALSE,"RACT1.XLS";#N/A,#N/A,FALSE,"RACT2.XLS";#N/A,#N/A,FALSE,"ECCMP";#N/A,#N/A,FALSE,"WELDER.XLS"}</definedName>
    <definedName name="_kvs1_1_1" hidden="1">{#N/A,#N/A,FALSE,"COVER1.XLS ";#N/A,#N/A,FALSE,"RACT1.XLS";#N/A,#N/A,FALSE,"RACT2.XLS";#N/A,#N/A,FALSE,"ECCMP";#N/A,#N/A,FALSE,"WELDER.XLS"}</definedName>
    <definedName name="_kvs1_1_2" hidden="1">{#N/A,#N/A,FALSE,"COVER1.XLS ";#N/A,#N/A,FALSE,"RACT1.XLS";#N/A,#N/A,FALSE,"RACT2.XLS";#N/A,#N/A,FALSE,"ECCMP";#N/A,#N/A,FALSE,"WELDER.XLS"}</definedName>
    <definedName name="_kvs1_1_3" hidden="1">{#N/A,#N/A,FALSE,"COVER1.XLS ";#N/A,#N/A,FALSE,"RACT1.XLS";#N/A,#N/A,FALSE,"RACT2.XLS";#N/A,#N/A,FALSE,"ECCMP";#N/A,#N/A,FALSE,"WELDER.XLS"}</definedName>
    <definedName name="_kvs1_1_4" hidden="1">{#N/A,#N/A,FALSE,"COVER1.XLS ";#N/A,#N/A,FALSE,"RACT1.XLS";#N/A,#N/A,FALSE,"RACT2.XLS";#N/A,#N/A,FALSE,"ECCMP";#N/A,#N/A,FALSE,"WELDER.XLS"}</definedName>
    <definedName name="_kvs1_1_5" hidden="1">{#N/A,#N/A,FALSE,"COVER1.XLS ";#N/A,#N/A,FALSE,"RACT1.XLS";#N/A,#N/A,FALSE,"RACT2.XLS";#N/A,#N/A,FALSE,"ECCMP";#N/A,#N/A,FALSE,"WELDER.XLS"}</definedName>
    <definedName name="_kvs1_2" hidden="1">{#N/A,#N/A,FALSE,"COVER1.XLS ";#N/A,#N/A,FALSE,"RACT1.XLS";#N/A,#N/A,FALSE,"RACT2.XLS";#N/A,#N/A,FALSE,"ECCMP";#N/A,#N/A,FALSE,"WELDER.XLS"}</definedName>
    <definedName name="_kvs1_2_1" hidden="1">{#N/A,#N/A,FALSE,"COVER1.XLS ";#N/A,#N/A,FALSE,"RACT1.XLS";#N/A,#N/A,FALSE,"RACT2.XLS";#N/A,#N/A,FALSE,"ECCMP";#N/A,#N/A,FALSE,"WELDER.XLS"}</definedName>
    <definedName name="_kvs1_2_2" hidden="1">{#N/A,#N/A,FALSE,"COVER1.XLS ";#N/A,#N/A,FALSE,"RACT1.XLS";#N/A,#N/A,FALSE,"RACT2.XLS";#N/A,#N/A,FALSE,"ECCMP";#N/A,#N/A,FALSE,"WELDER.XLS"}</definedName>
    <definedName name="_kvs1_2_3" hidden="1">{#N/A,#N/A,FALSE,"COVER1.XLS ";#N/A,#N/A,FALSE,"RACT1.XLS";#N/A,#N/A,FALSE,"RACT2.XLS";#N/A,#N/A,FALSE,"ECCMP";#N/A,#N/A,FALSE,"WELDER.XLS"}</definedName>
    <definedName name="_kvs1_2_4" hidden="1">{#N/A,#N/A,FALSE,"COVER1.XLS ";#N/A,#N/A,FALSE,"RACT1.XLS";#N/A,#N/A,FALSE,"RACT2.XLS";#N/A,#N/A,FALSE,"ECCMP";#N/A,#N/A,FALSE,"WELDER.XLS"}</definedName>
    <definedName name="_kvs1_2_5" hidden="1">{#N/A,#N/A,FALSE,"COVER1.XLS ";#N/A,#N/A,FALSE,"RACT1.XLS";#N/A,#N/A,FALSE,"RACT2.XLS";#N/A,#N/A,FALSE,"ECCMP";#N/A,#N/A,FALSE,"WELDER.XLS"}</definedName>
    <definedName name="_kvs1_3" hidden="1">{#N/A,#N/A,FALSE,"COVER1.XLS ";#N/A,#N/A,FALSE,"RACT1.XLS";#N/A,#N/A,FALSE,"RACT2.XLS";#N/A,#N/A,FALSE,"ECCMP";#N/A,#N/A,FALSE,"WELDER.XLS"}</definedName>
    <definedName name="_kvs1_4" hidden="1">{#N/A,#N/A,FALSE,"COVER1.XLS ";#N/A,#N/A,FALSE,"RACT1.XLS";#N/A,#N/A,FALSE,"RACT2.XLS";#N/A,#N/A,FALSE,"ECCMP";#N/A,#N/A,FALSE,"WELDER.XLS"}</definedName>
    <definedName name="_kvs1_5" hidden="1">{#N/A,#N/A,FALSE,"COVER1.XLS ";#N/A,#N/A,FALSE,"RACT1.XLS";#N/A,#N/A,FALSE,"RACT2.XLS";#N/A,#N/A,FALSE,"ECCMP";#N/A,#N/A,FALSE,"WELDER.XLS"}</definedName>
    <definedName name="_kvs2" hidden="1">{#N/A,#N/A,FALSE,"COVER1.XLS ";#N/A,#N/A,FALSE,"RACT1.XLS";#N/A,#N/A,FALSE,"RACT2.XLS";#N/A,#N/A,FALSE,"ECCMP";#N/A,#N/A,FALSE,"WELDER.XLS"}</definedName>
    <definedName name="_kvs2_1" hidden="1">{#N/A,#N/A,FALSE,"COVER1.XLS ";#N/A,#N/A,FALSE,"RACT1.XLS";#N/A,#N/A,FALSE,"RACT2.XLS";#N/A,#N/A,FALSE,"ECCMP";#N/A,#N/A,FALSE,"WELDER.XLS"}</definedName>
    <definedName name="_kvs2_1_1" hidden="1">{#N/A,#N/A,FALSE,"COVER1.XLS ";#N/A,#N/A,FALSE,"RACT1.XLS";#N/A,#N/A,FALSE,"RACT2.XLS";#N/A,#N/A,FALSE,"ECCMP";#N/A,#N/A,FALSE,"WELDER.XLS"}</definedName>
    <definedName name="_kvs2_1_2" hidden="1">{#N/A,#N/A,FALSE,"COVER1.XLS ";#N/A,#N/A,FALSE,"RACT1.XLS";#N/A,#N/A,FALSE,"RACT2.XLS";#N/A,#N/A,FALSE,"ECCMP";#N/A,#N/A,FALSE,"WELDER.XLS"}</definedName>
    <definedName name="_kvs2_1_3" hidden="1">{#N/A,#N/A,FALSE,"COVER1.XLS ";#N/A,#N/A,FALSE,"RACT1.XLS";#N/A,#N/A,FALSE,"RACT2.XLS";#N/A,#N/A,FALSE,"ECCMP";#N/A,#N/A,FALSE,"WELDER.XLS"}</definedName>
    <definedName name="_kvs2_1_4" hidden="1">{#N/A,#N/A,FALSE,"COVER1.XLS ";#N/A,#N/A,FALSE,"RACT1.XLS";#N/A,#N/A,FALSE,"RACT2.XLS";#N/A,#N/A,FALSE,"ECCMP";#N/A,#N/A,FALSE,"WELDER.XLS"}</definedName>
    <definedName name="_kvs2_1_5" hidden="1">{#N/A,#N/A,FALSE,"COVER1.XLS ";#N/A,#N/A,FALSE,"RACT1.XLS";#N/A,#N/A,FALSE,"RACT2.XLS";#N/A,#N/A,FALSE,"ECCMP";#N/A,#N/A,FALSE,"WELDER.XLS"}</definedName>
    <definedName name="_kvs2_2" hidden="1">{#N/A,#N/A,FALSE,"COVER1.XLS ";#N/A,#N/A,FALSE,"RACT1.XLS";#N/A,#N/A,FALSE,"RACT2.XLS";#N/A,#N/A,FALSE,"ECCMP";#N/A,#N/A,FALSE,"WELDER.XLS"}</definedName>
    <definedName name="_kvs2_2_1" hidden="1">{#N/A,#N/A,FALSE,"COVER1.XLS ";#N/A,#N/A,FALSE,"RACT1.XLS";#N/A,#N/A,FALSE,"RACT2.XLS";#N/A,#N/A,FALSE,"ECCMP";#N/A,#N/A,FALSE,"WELDER.XLS"}</definedName>
    <definedName name="_kvs2_2_2" hidden="1">{#N/A,#N/A,FALSE,"COVER1.XLS ";#N/A,#N/A,FALSE,"RACT1.XLS";#N/A,#N/A,FALSE,"RACT2.XLS";#N/A,#N/A,FALSE,"ECCMP";#N/A,#N/A,FALSE,"WELDER.XLS"}</definedName>
    <definedName name="_kvs2_2_3" hidden="1">{#N/A,#N/A,FALSE,"COVER1.XLS ";#N/A,#N/A,FALSE,"RACT1.XLS";#N/A,#N/A,FALSE,"RACT2.XLS";#N/A,#N/A,FALSE,"ECCMP";#N/A,#N/A,FALSE,"WELDER.XLS"}</definedName>
    <definedName name="_kvs2_2_4" hidden="1">{#N/A,#N/A,FALSE,"COVER1.XLS ";#N/A,#N/A,FALSE,"RACT1.XLS";#N/A,#N/A,FALSE,"RACT2.XLS";#N/A,#N/A,FALSE,"ECCMP";#N/A,#N/A,FALSE,"WELDER.XLS"}</definedName>
    <definedName name="_kvs2_2_5" hidden="1">{#N/A,#N/A,FALSE,"COVER1.XLS ";#N/A,#N/A,FALSE,"RACT1.XLS";#N/A,#N/A,FALSE,"RACT2.XLS";#N/A,#N/A,FALSE,"ECCMP";#N/A,#N/A,FALSE,"WELDER.XLS"}</definedName>
    <definedName name="_kvs2_3" hidden="1">{#N/A,#N/A,FALSE,"COVER1.XLS ";#N/A,#N/A,FALSE,"RACT1.XLS";#N/A,#N/A,FALSE,"RACT2.XLS";#N/A,#N/A,FALSE,"ECCMP";#N/A,#N/A,FALSE,"WELDER.XLS"}</definedName>
    <definedName name="_kvs2_4" hidden="1">{#N/A,#N/A,FALSE,"COVER1.XLS ";#N/A,#N/A,FALSE,"RACT1.XLS";#N/A,#N/A,FALSE,"RACT2.XLS";#N/A,#N/A,FALSE,"ECCMP";#N/A,#N/A,FALSE,"WELDER.XLS"}</definedName>
    <definedName name="_kvs2_5" hidden="1">{#N/A,#N/A,FALSE,"COVER1.XLS ";#N/A,#N/A,FALSE,"RACT1.XLS";#N/A,#N/A,FALSE,"RACT2.XLS";#N/A,#N/A,FALSE,"ECCMP";#N/A,#N/A,FALSE,"WELDER.XLS"}</definedName>
    <definedName name="_kvs5" hidden="1">{#N/A,#N/A,FALSE,"COVER.XLS";#N/A,#N/A,FALSE,"RACT1.XLS";#N/A,#N/A,FALSE,"RACT2.XLS";#N/A,#N/A,FALSE,"ECCMP";#N/A,#N/A,FALSE,"WELDER.XLS"}</definedName>
    <definedName name="_kvs5_1" hidden="1">{#N/A,#N/A,FALSE,"COVER.XLS";#N/A,#N/A,FALSE,"RACT1.XLS";#N/A,#N/A,FALSE,"RACT2.XLS";#N/A,#N/A,FALSE,"ECCMP";#N/A,#N/A,FALSE,"WELDER.XLS"}</definedName>
    <definedName name="_kvs5_1_1" hidden="1">{#N/A,#N/A,FALSE,"COVER.XLS";#N/A,#N/A,FALSE,"RACT1.XLS";#N/A,#N/A,FALSE,"RACT2.XLS";#N/A,#N/A,FALSE,"ECCMP";#N/A,#N/A,FALSE,"WELDER.XLS"}</definedName>
    <definedName name="_kvs5_1_2" hidden="1">{#N/A,#N/A,FALSE,"COVER.XLS";#N/A,#N/A,FALSE,"RACT1.XLS";#N/A,#N/A,FALSE,"RACT2.XLS";#N/A,#N/A,FALSE,"ECCMP";#N/A,#N/A,FALSE,"WELDER.XLS"}</definedName>
    <definedName name="_kvs5_1_3" hidden="1">{#N/A,#N/A,FALSE,"COVER.XLS";#N/A,#N/A,FALSE,"RACT1.XLS";#N/A,#N/A,FALSE,"RACT2.XLS";#N/A,#N/A,FALSE,"ECCMP";#N/A,#N/A,FALSE,"WELDER.XLS"}</definedName>
    <definedName name="_kvs5_1_4" hidden="1">{#N/A,#N/A,FALSE,"COVER.XLS";#N/A,#N/A,FALSE,"RACT1.XLS";#N/A,#N/A,FALSE,"RACT2.XLS";#N/A,#N/A,FALSE,"ECCMP";#N/A,#N/A,FALSE,"WELDER.XLS"}</definedName>
    <definedName name="_kvs5_1_5" hidden="1">{#N/A,#N/A,FALSE,"COVER.XLS";#N/A,#N/A,FALSE,"RACT1.XLS";#N/A,#N/A,FALSE,"RACT2.XLS";#N/A,#N/A,FALSE,"ECCMP";#N/A,#N/A,FALSE,"WELDER.XLS"}</definedName>
    <definedName name="_kvs5_2" hidden="1">{#N/A,#N/A,FALSE,"COVER.XLS";#N/A,#N/A,FALSE,"RACT1.XLS";#N/A,#N/A,FALSE,"RACT2.XLS";#N/A,#N/A,FALSE,"ECCMP";#N/A,#N/A,FALSE,"WELDER.XLS"}</definedName>
    <definedName name="_kvs5_2_1" hidden="1">{#N/A,#N/A,FALSE,"COVER.XLS";#N/A,#N/A,FALSE,"RACT1.XLS";#N/A,#N/A,FALSE,"RACT2.XLS";#N/A,#N/A,FALSE,"ECCMP";#N/A,#N/A,FALSE,"WELDER.XLS"}</definedName>
    <definedName name="_kvs5_2_2" hidden="1">{#N/A,#N/A,FALSE,"COVER.XLS";#N/A,#N/A,FALSE,"RACT1.XLS";#N/A,#N/A,FALSE,"RACT2.XLS";#N/A,#N/A,FALSE,"ECCMP";#N/A,#N/A,FALSE,"WELDER.XLS"}</definedName>
    <definedName name="_kvs5_2_3" hidden="1">{#N/A,#N/A,FALSE,"COVER.XLS";#N/A,#N/A,FALSE,"RACT1.XLS";#N/A,#N/A,FALSE,"RACT2.XLS";#N/A,#N/A,FALSE,"ECCMP";#N/A,#N/A,FALSE,"WELDER.XLS"}</definedName>
    <definedName name="_kvs5_2_4" hidden="1">{#N/A,#N/A,FALSE,"COVER.XLS";#N/A,#N/A,FALSE,"RACT1.XLS";#N/A,#N/A,FALSE,"RACT2.XLS";#N/A,#N/A,FALSE,"ECCMP";#N/A,#N/A,FALSE,"WELDER.XLS"}</definedName>
    <definedName name="_kvs5_2_5" hidden="1">{#N/A,#N/A,FALSE,"COVER.XLS";#N/A,#N/A,FALSE,"RACT1.XLS";#N/A,#N/A,FALSE,"RACT2.XLS";#N/A,#N/A,FALSE,"ECCMP";#N/A,#N/A,FALSE,"WELDER.XLS"}</definedName>
    <definedName name="_kvs5_3" hidden="1">{#N/A,#N/A,FALSE,"COVER.XLS";#N/A,#N/A,FALSE,"RACT1.XLS";#N/A,#N/A,FALSE,"RACT2.XLS";#N/A,#N/A,FALSE,"ECCMP";#N/A,#N/A,FALSE,"WELDER.XLS"}</definedName>
    <definedName name="_kvs5_4" hidden="1">{#N/A,#N/A,FALSE,"COVER.XLS";#N/A,#N/A,FALSE,"RACT1.XLS";#N/A,#N/A,FALSE,"RACT2.XLS";#N/A,#N/A,FALSE,"ECCMP";#N/A,#N/A,FALSE,"WELDER.XLS"}</definedName>
    <definedName name="_kvs5_5" hidden="1">{#N/A,#N/A,FALSE,"COVER.XLS";#N/A,#N/A,FALSE,"RACT1.XLS";#N/A,#N/A,FALSE,"RACT2.XLS";#N/A,#N/A,FALSE,"ECCMP";#N/A,#N/A,FALSE,"WELDER.XLS"}</definedName>
    <definedName name="_kvs7" hidden="1">{#N/A,#N/A,FALSE,"COVER1.XLS ";#N/A,#N/A,FALSE,"RACT1.XLS";#N/A,#N/A,FALSE,"RACT2.XLS";#N/A,#N/A,FALSE,"ECCMP";#N/A,#N/A,FALSE,"WELDER.XLS"}</definedName>
    <definedName name="_kvs7_1" hidden="1">{#N/A,#N/A,FALSE,"COVER1.XLS ";#N/A,#N/A,FALSE,"RACT1.XLS";#N/A,#N/A,FALSE,"RACT2.XLS";#N/A,#N/A,FALSE,"ECCMP";#N/A,#N/A,FALSE,"WELDER.XLS"}</definedName>
    <definedName name="_kvs7_1_1" hidden="1">{#N/A,#N/A,FALSE,"COVER1.XLS ";#N/A,#N/A,FALSE,"RACT1.XLS";#N/A,#N/A,FALSE,"RACT2.XLS";#N/A,#N/A,FALSE,"ECCMP";#N/A,#N/A,FALSE,"WELDER.XLS"}</definedName>
    <definedName name="_kvs7_1_2" hidden="1">{#N/A,#N/A,FALSE,"COVER1.XLS ";#N/A,#N/A,FALSE,"RACT1.XLS";#N/A,#N/A,FALSE,"RACT2.XLS";#N/A,#N/A,FALSE,"ECCMP";#N/A,#N/A,FALSE,"WELDER.XLS"}</definedName>
    <definedName name="_kvs7_1_3" hidden="1">{#N/A,#N/A,FALSE,"COVER1.XLS ";#N/A,#N/A,FALSE,"RACT1.XLS";#N/A,#N/A,FALSE,"RACT2.XLS";#N/A,#N/A,FALSE,"ECCMP";#N/A,#N/A,FALSE,"WELDER.XLS"}</definedName>
    <definedName name="_kvs7_1_4" hidden="1">{#N/A,#N/A,FALSE,"COVER1.XLS ";#N/A,#N/A,FALSE,"RACT1.XLS";#N/A,#N/A,FALSE,"RACT2.XLS";#N/A,#N/A,FALSE,"ECCMP";#N/A,#N/A,FALSE,"WELDER.XLS"}</definedName>
    <definedName name="_kvs7_1_5" hidden="1">{#N/A,#N/A,FALSE,"COVER1.XLS ";#N/A,#N/A,FALSE,"RACT1.XLS";#N/A,#N/A,FALSE,"RACT2.XLS";#N/A,#N/A,FALSE,"ECCMP";#N/A,#N/A,FALSE,"WELDER.XLS"}</definedName>
    <definedName name="_kvs7_2" hidden="1">{#N/A,#N/A,FALSE,"COVER1.XLS ";#N/A,#N/A,FALSE,"RACT1.XLS";#N/A,#N/A,FALSE,"RACT2.XLS";#N/A,#N/A,FALSE,"ECCMP";#N/A,#N/A,FALSE,"WELDER.XLS"}</definedName>
    <definedName name="_kvs7_2_1" hidden="1">{#N/A,#N/A,FALSE,"COVER1.XLS ";#N/A,#N/A,FALSE,"RACT1.XLS";#N/A,#N/A,FALSE,"RACT2.XLS";#N/A,#N/A,FALSE,"ECCMP";#N/A,#N/A,FALSE,"WELDER.XLS"}</definedName>
    <definedName name="_kvs7_2_2" hidden="1">{#N/A,#N/A,FALSE,"COVER1.XLS ";#N/A,#N/A,FALSE,"RACT1.XLS";#N/A,#N/A,FALSE,"RACT2.XLS";#N/A,#N/A,FALSE,"ECCMP";#N/A,#N/A,FALSE,"WELDER.XLS"}</definedName>
    <definedName name="_kvs7_2_3" hidden="1">{#N/A,#N/A,FALSE,"COVER1.XLS ";#N/A,#N/A,FALSE,"RACT1.XLS";#N/A,#N/A,FALSE,"RACT2.XLS";#N/A,#N/A,FALSE,"ECCMP";#N/A,#N/A,FALSE,"WELDER.XLS"}</definedName>
    <definedName name="_kvs7_2_4" hidden="1">{#N/A,#N/A,FALSE,"COVER1.XLS ";#N/A,#N/A,FALSE,"RACT1.XLS";#N/A,#N/A,FALSE,"RACT2.XLS";#N/A,#N/A,FALSE,"ECCMP";#N/A,#N/A,FALSE,"WELDER.XLS"}</definedName>
    <definedName name="_kvs7_2_5" hidden="1">{#N/A,#N/A,FALSE,"COVER1.XLS ";#N/A,#N/A,FALSE,"RACT1.XLS";#N/A,#N/A,FALSE,"RACT2.XLS";#N/A,#N/A,FALSE,"ECCMP";#N/A,#N/A,FALSE,"WELDER.XLS"}</definedName>
    <definedName name="_kvs7_3" hidden="1">{#N/A,#N/A,FALSE,"COVER1.XLS ";#N/A,#N/A,FALSE,"RACT1.XLS";#N/A,#N/A,FALSE,"RACT2.XLS";#N/A,#N/A,FALSE,"ECCMP";#N/A,#N/A,FALSE,"WELDER.XLS"}</definedName>
    <definedName name="_kvs7_4" hidden="1">{#N/A,#N/A,FALSE,"COVER1.XLS ";#N/A,#N/A,FALSE,"RACT1.XLS";#N/A,#N/A,FALSE,"RACT2.XLS";#N/A,#N/A,FALSE,"ECCMP";#N/A,#N/A,FALSE,"WELDER.XLS"}</definedName>
    <definedName name="_kvs7_5" hidden="1">{#N/A,#N/A,FALSE,"COVER1.XLS ";#N/A,#N/A,FALSE,"RACT1.XLS";#N/A,#N/A,FALSE,"RACT2.XLS";#N/A,#N/A,FALSE,"ECCMP";#N/A,#N/A,FALSE,"WELDER.XLS"}</definedName>
    <definedName name="_kvs8" hidden="1">{#N/A,#N/A,FALSE,"COVER1.XLS ";#N/A,#N/A,FALSE,"RACT1.XLS";#N/A,#N/A,FALSE,"RACT2.XLS";#N/A,#N/A,FALSE,"ECCMP";#N/A,#N/A,FALSE,"WELDER.XLS"}</definedName>
    <definedName name="_kvs8_1" hidden="1">{#N/A,#N/A,FALSE,"COVER1.XLS ";#N/A,#N/A,FALSE,"RACT1.XLS";#N/A,#N/A,FALSE,"RACT2.XLS";#N/A,#N/A,FALSE,"ECCMP";#N/A,#N/A,FALSE,"WELDER.XLS"}</definedName>
    <definedName name="_kvs8_1_1" hidden="1">{#N/A,#N/A,FALSE,"COVER1.XLS ";#N/A,#N/A,FALSE,"RACT1.XLS";#N/A,#N/A,FALSE,"RACT2.XLS";#N/A,#N/A,FALSE,"ECCMP";#N/A,#N/A,FALSE,"WELDER.XLS"}</definedName>
    <definedName name="_kvs8_1_2" hidden="1">{#N/A,#N/A,FALSE,"COVER1.XLS ";#N/A,#N/A,FALSE,"RACT1.XLS";#N/A,#N/A,FALSE,"RACT2.XLS";#N/A,#N/A,FALSE,"ECCMP";#N/A,#N/A,FALSE,"WELDER.XLS"}</definedName>
    <definedName name="_kvs8_1_3" hidden="1">{#N/A,#N/A,FALSE,"COVER1.XLS ";#N/A,#N/A,FALSE,"RACT1.XLS";#N/A,#N/A,FALSE,"RACT2.XLS";#N/A,#N/A,FALSE,"ECCMP";#N/A,#N/A,FALSE,"WELDER.XLS"}</definedName>
    <definedName name="_kvs8_1_4" hidden="1">{#N/A,#N/A,FALSE,"COVER1.XLS ";#N/A,#N/A,FALSE,"RACT1.XLS";#N/A,#N/A,FALSE,"RACT2.XLS";#N/A,#N/A,FALSE,"ECCMP";#N/A,#N/A,FALSE,"WELDER.XLS"}</definedName>
    <definedName name="_kvs8_1_5" hidden="1">{#N/A,#N/A,FALSE,"COVER1.XLS ";#N/A,#N/A,FALSE,"RACT1.XLS";#N/A,#N/A,FALSE,"RACT2.XLS";#N/A,#N/A,FALSE,"ECCMP";#N/A,#N/A,FALSE,"WELDER.XLS"}</definedName>
    <definedName name="_kvs8_2" hidden="1">{#N/A,#N/A,FALSE,"COVER1.XLS ";#N/A,#N/A,FALSE,"RACT1.XLS";#N/A,#N/A,FALSE,"RACT2.XLS";#N/A,#N/A,FALSE,"ECCMP";#N/A,#N/A,FALSE,"WELDER.XLS"}</definedName>
    <definedName name="_kvs8_2_1" hidden="1">{#N/A,#N/A,FALSE,"COVER1.XLS ";#N/A,#N/A,FALSE,"RACT1.XLS";#N/A,#N/A,FALSE,"RACT2.XLS";#N/A,#N/A,FALSE,"ECCMP";#N/A,#N/A,FALSE,"WELDER.XLS"}</definedName>
    <definedName name="_kvs8_2_2" hidden="1">{#N/A,#N/A,FALSE,"COVER1.XLS ";#N/A,#N/A,FALSE,"RACT1.XLS";#N/A,#N/A,FALSE,"RACT2.XLS";#N/A,#N/A,FALSE,"ECCMP";#N/A,#N/A,FALSE,"WELDER.XLS"}</definedName>
    <definedName name="_kvs8_2_3" hidden="1">{#N/A,#N/A,FALSE,"COVER1.XLS ";#N/A,#N/A,FALSE,"RACT1.XLS";#N/A,#N/A,FALSE,"RACT2.XLS";#N/A,#N/A,FALSE,"ECCMP";#N/A,#N/A,FALSE,"WELDER.XLS"}</definedName>
    <definedName name="_kvs8_2_4" hidden="1">{#N/A,#N/A,FALSE,"COVER1.XLS ";#N/A,#N/A,FALSE,"RACT1.XLS";#N/A,#N/A,FALSE,"RACT2.XLS";#N/A,#N/A,FALSE,"ECCMP";#N/A,#N/A,FALSE,"WELDER.XLS"}</definedName>
    <definedName name="_kvs8_2_5" hidden="1">{#N/A,#N/A,FALSE,"COVER1.XLS ";#N/A,#N/A,FALSE,"RACT1.XLS";#N/A,#N/A,FALSE,"RACT2.XLS";#N/A,#N/A,FALSE,"ECCMP";#N/A,#N/A,FALSE,"WELDER.XLS"}</definedName>
    <definedName name="_kvs8_3" hidden="1">{#N/A,#N/A,FALSE,"COVER1.XLS ";#N/A,#N/A,FALSE,"RACT1.XLS";#N/A,#N/A,FALSE,"RACT2.XLS";#N/A,#N/A,FALSE,"ECCMP";#N/A,#N/A,FALSE,"WELDER.XLS"}</definedName>
    <definedName name="_kvs8_4" hidden="1">{#N/A,#N/A,FALSE,"COVER1.XLS ";#N/A,#N/A,FALSE,"RACT1.XLS";#N/A,#N/A,FALSE,"RACT2.XLS";#N/A,#N/A,FALSE,"ECCMP";#N/A,#N/A,FALSE,"WELDER.XLS"}</definedName>
    <definedName name="_kvs8_5" hidden="1">{#N/A,#N/A,FALSE,"COVER1.XLS ";#N/A,#N/A,FALSE,"RACT1.XLS";#N/A,#N/A,FALSE,"RACT2.XLS";#N/A,#N/A,FALSE,"ECCMP";#N/A,#N/A,FALSE,"WELDER.XLS"}</definedName>
    <definedName name="_KVS9" hidden="1">{#N/A,#N/A,FALSE,"COVER1.XLS ";#N/A,#N/A,FALSE,"RACT1.XLS";#N/A,#N/A,FALSE,"RACT2.XLS";#N/A,#N/A,FALSE,"ECCMP";#N/A,#N/A,FALSE,"WELDER.XLS"}</definedName>
    <definedName name="_KVS9_1" hidden="1">{#N/A,#N/A,FALSE,"COVER1.XLS ";#N/A,#N/A,FALSE,"RACT1.XLS";#N/A,#N/A,FALSE,"RACT2.XLS";#N/A,#N/A,FALSE,"ECCMP";#N/A,#N/A,FALSE,"WELDER.XLS"}</definedName>
    <definedName name="_KVS9_1_1" hidden="1">{#N/A,#N/A,FALSE,"COVER1.XLS ";#N/A,#N/A,FALSE,"RACT1.XLS";#N/A,#N/A,FALSE,"RACT2.XLS";#N/A,#N/A,FALSE,"ECCMP";#N/A,#N/A,FALSE,"WELDER.XLS"}</definedName>
    <definedName name="_KVS9_1_2" hidden="1">{#N/A,#N/A,FALSE,"COVER1.XLS ";#N/A,#N/A,FALSE,"RACT1.XLS";#N/A,#N/A,FALSE,"RACT2.XLS";#N/A,#N/A,FALSE,"ECCMP";#N/A,#N/A,FALSE,"WELDER.XLS"}</definedName>
    <definedName name="_KVS9_1_3" hidden="1">{#N/A,#N/A,FALSE,"COVER1.XLS ";#N/A,#N/A,FALSE,"RACT1.XLS";#N/A,#N/A,FALSE,"RACT2.XLS";#N/A,#N/A,FALSE,"ECCMP";#N/A,#N/A,FALSE,"WELDER.XLS"}</definedName>
    <definedName name="_KVS9_1_4" hidden="1">{#N/A,#N/A,FALSE,"COVER1.XLS ";#N/A,#N/A,FALSE,"RACT1.XLS";#N/A,#N/A,FALSE,"RACT2.XLS";#N/A,#N/A,FALSE,"ECCMP";#N/A,#N/A,FALSE,"WELDER.XLS"}</definedName>
    <definedName name="_KVS9_1_5" hidden="1">{#N/A,#N/A,FALSE,"COVER1.XLS ";#N/A,#N/A,FALSE,"RACT1.XLS";#N/A,#N/A,FALSE,"RACT2.XLS";#N/A,#N/A,FALSE,"ECCMP";#N/A,#N/A,FALSE,"WELDER.XLS"}</definedName>
    <definedName name="_KVS9_2" hidden="1">{#N/A,#N/A,FALSE,"COVER1.XLS ";#N/A,#N/A,FALSE,"RACT1.XLS";#N/A,#N/A,FALSE,"RACT2.XLS";#N/A,#N/A,FALSE,"ECCMP";#N/A,#N/A,FALSE,"WELDER.XLS"}</definedName>
    <definedName name="_KVS9_2_1" hidden="1">{#N/A,#N/A,FALSE,"COVER1.XLS ";#N/A,#N/A,FALSE,"RACT1.XLS";#N/A,#N/A,FALSE,"RACT2.XLS";#N/A,#N/A,FALSE,"ECCMP";#N/A,#N/A,FALSE,"WELDER.XLS"}</definedName>
    <definedName name="_KVS9_2_2" hidden="1">{#N/A,#N/A,FALSE,"COVER1.XLS ";#N/A,#N/A,FALSE,"RACT1.XLS";#N/A,#N/A,FALSE,"RACT2.XLS";#N/A,#N/A,FALSE,"ECCMP";#N/A,#N/A,FALSE,"WELDER.XLS"}</definedName>
    <definedName name="_KVS9_2_3" hidden="1">{#N/A,#N/A,FALSE,"COVER1.XLS ";#N/A,#N/A,FALSE,"RACT1.XLS";#N/A,#N/A,FALSE,"RACT2.XLS";#N/A,#N/A,FALSE,"ECCMP";#N/A,#N/A,FALSE,"WELDER.XLS"}</definedName>
    <definedName name="_KVS9_2_4" hidden="1">{#N/A,#N/A,FALSE,"COVER1.XLS ";#N/A,#N/A,FALSE,"RACT1.XLS";#N/A,#N/A,FALSE,"RACT2.XLS";#N/A,#N/A,FALSE,"ECCMP";#N/A,#N/A,FALSE,"WELDER.XLS"}</definedName>
    <definedName name="_KVS9_2_5" hidden="1">{#N/A,#N/A,FALSE,"COVER1.XLS ";#N/A,#N/A,FALSE,"RACT1.XLS";#N/A,#N/A,FALSE,"RACT2.XLS";#N/A,#N/A,FALSE,"ECCMP";#N/A,#N/A,FALSE,"WELDER.XLS"}</definedName>
    <definedName name="_KVS9_3" hidden="1">{#N/A,#N/A,FALSE,"COVER1.XLS ";#N/A,#N/A,FALSE,"RACT1.XLS";#N/A,#N/A,FALSE,"RACT2.XLS";#N/A,#N/A,FALSE,"ECCMP";#N/A,#N/A,FALSE,"WELDER.XLS"}</definedName>
    <definedName name="_KVS9_4" hidden="1">{#N/A,#N/A,FALSE,"COVER1.XLS ";#N/A,#N/A,FALSE,"RACT1.XLS";#N/A,#N/A,FALSE,"RACT2.XLS";#N/A,#N/A,FALSE,"ECCMP";#N/A,#N/A,FALSE,"WELDER.XLS"}</definedName>
    <definedName name="_KVS9_5" hidden="1">{#N/A,#N/A,FALSE,"COVER1.XLS ";#N/A,#N/A,FALSE,"RACT1.XLS";#N/A,#N/A,FALSE,"RACT2.XLS";#N/A,#N/A,FALSE,"ECCMP";#N/A,#N/A,FALSE,"WELDER.XLS"}</definedName>
    <definedName name="_l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2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2_1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2_1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2_1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2_1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2_1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2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2_2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2_2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2_2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2_2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2_2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2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2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2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_1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_1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_1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_1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_1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_2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_2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_2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_2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_2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ns1" hidden="1">{#N/A,#N/A,FALSE,"COVER1.XLS ";#N/A,#N/A,FALSE,"RACT1.XLS";#N/A,#N/A,FALSE,"RACT2.XLS";#N/A,#N/A,FALSE,"ECCMP";#N/A,#N/A,FALSE,"WELDER.XLS"}</definedName>
    <definedName name="_ns1_1" hidden="1">{#N/A,#N/A,FALSE,"COVER1.XLS ";#N/A,#N/A,FALSE,"RACT1.XLS";#N/A,#N/A,FALSE,"RACT2.XLS";#N/A,#N/A,FALSE,"ECCMP";#N/A,#N/A,FALSE,"WELDER.XLS"}</definedName>
    <definedName name="_ns1_1_1" hidden="1">{#N/A,#N/A,FALSE,"COVER1.XLS ";#N/A,#N/A,FALSE,"RACT1.XLS";#N/A,#N/A,FALSE,"RACT2.XLS";#N/A,#N/A,FALSE,"ECCMP";#N/A,#N/A,FALSE,"WELDER.XLS"}</definedName>
    <definedName name="_ns1_1_2" hidden="1">{#N/A,#N/A,FALSE,"COVER1.XLS ";#N/A,#N/A,FALSE,"RACT1.XLS";#N/A,#N/A,FALSE,"RACT2.XLS";#N/A,#N/A,FALSE,"ECCMP";#N/A,#N/A,FALSE,"WELDER.XLS"}</definedName>
    <definedName name="_ns1_1_3" hidden="1">{#N/A,#N/A,FALSE,"COVER1.XLS ";#N/A,#N/A,FALSE,"RACT1.XLS";#N/A,#N/A,FALSE,"RACT2.XLS";#N/A,#N/A,FALSE,"ECCMP";#N/A,#N/A,FALSE,"WELDER.XLS"}</definedName>
    <definedName name="_ns1_1_4" hidden="1">{#N/A,#N/A,FALSE,"COVER1.XLS ";#N/A,#N/A,FALSE,"RACT1.XLS";#N/A,#N/A,FALSE,"RACT2.XLS";#N/A,#N/A,FALSE,"ECCMP";#N/A,#N/A,FALSE,"WELDER.XLS"}</definedName>
    <definedName name="_ns1_1_5" hidden="1">{#N/A,#N/A,FALSE,"COVER1.XLS ";#N/A,#N/A,FALSE,"RACT1.XLS";#N/A,#N/A,FALSE,"RACT2.XLS";#N/A,#N/A,FALSE,"ECCMP";#N/A,#N/A,FALSE,"WELDER.XLS"}</definedName>
    <definedName name="_ns1_2" hidden="1">{#N/A,#N/A,FALSE,"COVER1.XLS ";#N/A,#N/A,FALSE,"RACT1.XLS";#N/A,#N/A,FALSE,"RACT2.XLS";#N/A,#N/A,FALSE,"ECCMP";#N/A,#N/A,FALSE,"WELDER.XLS"}</definedName>
    <definedName name="_ns1_2_1" hidden="1">{#N/A,#N/A,FALSE,"COVER1.XLS ";#N/A,#N/A,FALSE,"RACT1.XLS";#N/A,#N/A,FALSE,"RACT2.XLS";#N/A,#N/A,FALSE,"ECCMP";#N/A,#N/A,FALSE,"WELDER.XLS"}</definedName>
    <definedName name="_ns1_2_2" hidden="1">{#N/A,#N/A,FALSE,"COVER1.XLS ";#N/A,#N/A,FALSE,"RACT1.XLS";#N/A,#N/A,FALSE,"RACT2.XLS";#N/A,#N/A,FALSE,"ECCMP";#N/A,#N/A,FALSE,"WELDER.XLS"}</definedName>
    <definedName name="_ns1_2_3" hidden="1">{#N/A,#N/A,FALSE,"COVER1.XLS ";#N/A,#N/A,FALSE,"RACT1.XLS";#N/A,#N/A,FALSE,"RACT2.XLS";#N/A,#N/A,FALSE,"ECCMP";#N/A,#N/A,FALSE,"WELDER.XLS"}</definedName>
    <definedName name="_ns1_2_4" hidden="1">{#N/A,#N/A,FALSE,"COVER1.XLS ";#N/A,#N/A,FALSE,"RACT1.XLS";#N/A,#N/A,FALSE,"RACT2.XLS";#N/A,#N/A,FALSE,"ECCMP";#N/A,#N/A,FALSE,"WELDER.XLS"}</definedName>
    <definedName name="_ns1_2_5" hidden="1">{#N/A,#N/A,FALSE,"COVER1.XLS ";#N/A,#N/A,FALSE,"RACT1.XLS";#N/A,#N/A,FALSE,"RACT2.XLS";#N/A,#N/A,FALSE,"ECCMP";#N/A,#N/A,FALSE,"WELDER.XLS"}</definedName>
    <definedName name="_ns1_3" hidden="1">{#N/A,#N/A,FALSE,"COVER1.XLS ";#N/A,#N/A,FALSE,"RACT1.XLS";#N/A,#N/A,FALSE,"RACT2.XLS";#N/A,#N/A,FALSE,"ECCMP";#N/A,#N/A,FALSE,"WELDER.XLS"}</definedName>
    <definedName name="_ns1_4" hidden="1">{#N/A,#N/A,FALSE,"COVER1.XLS ";#N/A,#N/A,FALSE,"RACT1.XLS";#N/A,#N/A,FALSE,"RACT2.XLS";#N/A,#N/A,FALSE,"ECCMP";#N/A,#N/A,FALSE,"WELDER.XLS"}</definedName>
    <definedName name="_ns1_5" hidden="1">{#N/A,#N/A,FALSE,"COVER1.XLS ";#N/A,#N/A,FALSE,"RACT1.XLS";#N/A,#N/A,FALSE,"RACT2.XLS";#N/A,#N/A,FALSE,"ECCMP";#N/A,#N/A,FALSE,"WELDER.XLS"}</definedName>
    <definedName name="_Order1" hidden="1">255</definedName>
    <definedName name="_Order2" hidden="1">255</definedName>
    <definedName name="_PRN1" hidden="1">{#N/A,#N/A,FALSE,"COVER.XLS";#N/A,#N/A,FALSE,"RACT1.XLS";#N/A,#N/A,FALSE,"RACT2.XLS";#N/A,#N/A,FALSE,"ECCMP";#N/A,#N/A,FALSE,"WELDER.XLS"}</definedName>
    <definedName name="_PRN1_1" hidden="1">{#N/A,#N/A,FALSE,"COVER.XLS";#N/A,#N/A,FALSE,"RACT1.XLS";#N/A,#N/A,FALSE,"RACT2.XLS";#N/A,#N/A,FALSE,"ECCMP";#N/A,#N/A,FALSE,"WELDER.XLS"}</definedName>
    <definedName name="_PRN1_2" hidden="1">{#N/A,#N/A,FALSE,"COVER.XLS";#N/A,#N/A,FALSE,"RACT1.XLS";#N/A,#N/A,FALSE,"RACT2.XLS";#N/A,#N/A,FALSE,"ECCMP";#N/A,#N/A,FALSE,"WELDER.XLS"}</definedName>
    <definedName name="_PRN1_3" hidden="1">{#N/A,#N/A,FALSE,"COVER.XLS";#N/A,#N/A,FALSE,"RACT1.XLS";#N/A,#N/A,FALSE,"RACT2.XLS";#N/A,#N/A,FALSE,"ECCMP";#N/A,#N/A,FALSE,"WELDER.XLS"}</definedName>
    <definedName name="_PRN1_4" hidden="1">{#N/A,#N/A,FALSE,"COVER.XLS";#N/A,#N/A,FALSE,"RACT1.XLS";#N/A,#N/A,FALSE,"RACT2.XLS";#N/A,#N/A,FALSE,"ECCMP";#N/A,#N/A,FALSE,"WELDER.XLS"}</definedName>
    <definedName name="_PRN1_5" hidden="1">{#N/A,#N/A,FALSE,"COVER.XLS";#N/A,#N/A,FALSE,"RACT1.XLS";#N/A,#N/A,FALSE,"RACT2.XLS";#N/A,#N/A,FALSE,"ECCMP";#N/A,#N/A,FALSE,"WELDER.XLS"}</definedName>
    <definedName name="_q2" hidden="1">{#N/A,#N/A,FALSE,"COVER1.XLS ";#N/A,#N/A,FALSE,"RACT1.XLS";#N/A,#N/A,FALSE,"RACT2.XLS";#N/A,#N/A,FALSE,"ECCMP";#N/A,#N/A,FALSE,"WELDER.XLS"}</definedName>
    <definedName name="_q2_1" hidden="1">{#N/A,#N/A,FALSE,"COVER1.XLS ";#N/A,#N/A,FALSE,"RACT1.XLS";#N/A,#N/A,FALSE,"RACT2.XLS";#N/A,#N/A,FALSE,"ECCMP";#N/A,#N/A,FALSE,"WELDER.XLS"}</definedName>
    <definedName name="_q2_1_1" hidden="1">{#N/A,#N/A,FALSE,"COVER1.XLS ";#N/A,#N/A,FALSE,"RACT1.XLS";#N/A,#N/A,FALSE,"RACT2.XLS";#N/A,#N/A,FALSE,"ECCMP";#N/A,#N/A,FALSE,"WELDER.XLS"}</definedName>
    <definedName name="_q2_1_2" hidden="1">{#N/A,#N/A,FALSE,"COVER1.XLS ";#N/A,#N/A,FALSE,"RACT1.XLS";#N/A,#N/A,FALSE,"RACT2.XLS";#N/A,#N/A,FALSE,"ECCMP";#N/A,#N/A,FALSE,"WELDER.XLS"}</definedName>
    <definedName name="_q2_1_3" hidden="1">{#N/A,#N/A,FALSE,"COVER1.XLS ";#N/A,#N/A,FALSE,"RACT1.XLS";#N/A,#N/A,FALSE,"RACT2.XLS";#N/A,#N/A,FALSE,"ECCMP";#N/A,#N/A,FALSE,"WELDER.XLS"}</definedName>
    <definedName name="_q2_1_4" hidden="1">{#N/A,#N/A,FALSE,"COVER1.XLS ";#N/A,#N/A,FALSE,"RACT1.XLS";#N/A,#N/A,FALSE,"RACT2.XLS";#N/A,#N/A,FALSE,"ECCMP";#N/A,#N/A,FALSE,"WELDER.XLS"}</definedName>
    <definedName name="_q2_1_5" hidden="1">{#N/A,#N/A,FALSE,"COVER1.XLS ";#N/A,#N/A,FALSE,"RACT1.XLS";#N/A,#N/A,FALSE,"RACT2.XLS";#N/A,#N/A,FALSE,"ECCMP";#N/A,#N/A,FALSE,"WELDER.XLS"}</definedName>
    <definedName name="_q2_2" hidden="1">{#N/A,#N/A,FALSE,"COVER1.XLS ";#N/A,#N/A,FALSE,"RACT1.XLS";#N/A,#N/A,FALSE,"RACT2.XLS";#N/A,#N/A,FALSE,"ECCMP";#N/A,#N/A,FALSE,"WELDER.XLS"}</definedName>
    <definedName name="_q2_2_1" hidden="1">{#N/A,#N/A,FALSE,"COVER1.XLS ";#N/A,#N/A,FALSE,"RACT1.XLS";#N/A,#N/A,FALSE,"RACT2.XLS";#N/A,#N/A,FALSE,"ECCMP";#N/A,#N/A,FALSE,"WELDER.XLS"}</definedName>
    <definedName name="_q2_2_2" hidden="1">{#N/A,#N/A,FALSE,"COVER1.XLS ";#N/A,#N/A,FALSE,"RACT1.XLS";#N/A,#N/A,FALSE,"RACT2.XLS";#N/A,#N/A,FALSE,"ECCMP";#N/A,#N/A,FALSE,"WELDER.XLS"}</definedName>
    <definedName name="_q2_2_3" hidden="1">{#N/A,#N/A,FALSE,"COVER1.XLS ";#N/A,#N/A,FALSE,"RACT1.XLS";#N/A,#N/A,FALSE,"RACT2.XLS";#N/A,#N/A,FALSE,"ECCMP";#N/A,#N/A,FALSE,"WELDER.XLS"}</definedName>
    <definedName name="_q2_2_4" hidden="1">{#N/A,#N/A,FALSE,"COVER1.XLS ";#N/A,#N/A,FALSE,"RACT1.XLS";#N/A,#N/A,FALSE,"RACT2.XLS";#N/A,#N/A,FALSE,"ECCMP";#N/A,#N/A,FALSE,"WELDER.XLS"}</definedName>
    <definedName name="_q2_2_5" hidden="1">{#N/A,#N/A,FALSE,"COVER1.XLS ";#N/A,#N/A,FALSE,"RACT1.XLS";#N/A,#N/A,FALSE,"RACT2.XLS";#N/A,#N/A,FALSE,"ECCMP";#N/A,#N/A,FALSE,"WELDER.XLS"}</definedName>
    <definedName name="_q2_3" hidden="1">{#N/A,#N/A,FALSE,"COVER1.XLS ";#N/A,#N/A,FALSE,"RACT1.XLS";#N/A,#N/A,FALSE,"RACT2.XLS";#N/A,#N/A,FALSE,"ECCMP";#N/A,#N/A,FALSE,"WELDER.XLS"}</definedName>
    <definedName name="_q2_4" hidden="1">{#N/A,#N/A,FALSE,"COVER1.XLS ";#N/A,#N/A,FALSE,"RACT1.XLS";#N/A,#N/A,FALSE,"RACT2.XLS";#N/A,#N/A,FALSE,"ECCMP";#N/A,#N/A,FALSE,"WELDER.XLS"}</definedName>
    <definedName name="_q2_5" hidden="1">{#N/A,#N/A,FALSE,"COVER1.XLS ";#N/A,#N/A,FALSE,"RACT1.XLS";#N/A,#N/A,FALSE,"RACT2.XLS";#N/A,#N/A,FALSE,"ECCMP";#N/A,#N/A,FALSE,"WELDER.XLS"}</definedName>
    <definedName name="_Regression_Out" hidden="1">#REF!</definedName>
    <definedName name="_Regression_X" hidden="1">#REF!</definedName>
    <definedName name="_Regression_Y" hidden="1">#REF!</definedName>
    <definedName name="_Sort" hidden="1">#REF!</definedName>
    <definedName name="_t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1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1_1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1_1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1_1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1_1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1_1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1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1_2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1_2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1_2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1_2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1_2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1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1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1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_1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_1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_1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_1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_1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_2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_2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_2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_2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_2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2" hidden="1">{#N/A,#N/A,FALSE,"17MAY";#N/A,#N/A,FALSE,"24MAY"}</definedName>
    <definedName name="_w2_1" hidden="1">{#N/A,#N/A,FALSE,"17MAY";#N/A,#N/A,FALSE,"24MAY"}</definedName>
    <definedName name="_w2_1_1" hidden="1">{#N/A,#N/A,FALSE,"17MAY";#N/A,#N/A,FALSE,"24MAY"}</definedName>
    <definedName name="_w2_1_2" hidden="1">{#N/A,#N/A,FALSE,"17MAY";#N/A,#N/A,FALSE,"24MAY"}</definedName>
    <definedName name="_w2_1_3" hidden="1">{#N/A,#N/A,FALSE,"17MAY";#N/A,#N/A,FALSE,"24MAY"}</definedName>
    <definedName name="_w2_1_4" hidden="1">{#N/A,#N/A,FALSE,"17MAY";#N/A,#N/A,FALSE,"24MAY"}</definedName>
    <definedName name="_w2_1_5" hidden="1">{#N/A,#N/A,FALSE,"17MAY";#N/A,#N/A,FALSE,"24MAY"}</definedName>
    <definedName name="_w2_2" hidden="1">{#N/A,#N/A,FALSE,"17MAY";#N/A,#N/A,FALSE,"24MAY"}</definedName>
    <definedName name="_w2_2_1" hidden="1">{#N/A,#N/A,FALSE,"17MAY";#N/A,#N/A,FALSE,"24MAY"}</definedName>
    <definedName name="_w2_2_2" hidden="1">{#N/A,#N/A,FALSE,"17MAY";#N/A,#N/A,FALSE,"24MAY"}</definedName>
    <definedName name="_w2_2_3" hidden="1">{#N/A,#N/A,FALSE,"17MAY";#N/A,#N/A,FALSE,"24MAY"}</definedName>
    <definedName name="_w2_2_4" hidden="1">{#N/A,#N/A,FALSE,"17MAY";#N/A,#N/A,FALSE,"24MAY"}</definedName>
    <definedName name="_w2_2_5" hidden="1">{#N/A,#N/A,FALSE,"17MAY";#N/A,#N/A,FALSE,"24MAY"}</definedName>
    <definedName name="_w2_3" hidden="1">{#N/A,#N/A,FALSE,"17MAY";#N/A,#N/A,FALSE,"24MAY"}</definedName>
    <definedName name="_w2_4" hidden="1">{#N/A,#N/A,FALSE,"17MAY";#N/A,#N/A,FALSE,"24MAY"}</definedName>
    <definedName name="_w2_5" hidden="1">{#N/A,#N/A,FALSE,"17MAY";#N/A,#N/A,FALSE,"24MAY"}</definedName>
    <definedName name="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_1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_1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_1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_1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_1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_2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_2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_2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_2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_2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2" hidden="1">{#N/A,#N/A,FALSE,"COVER1.XLS ";#N/A,#N/A,FALSE,"RACT1.XLS";#N/A,#N/A,FALSE,"RACT2.XLS";#N/A,#N/A,FALSE,"ECCMP";#N/A,#N/A,FALSE,"WELDER.XLS"}</definedName>
    <definedName name="_WRN2_1" hidden="1">{#N/A,#N/A,FALSE,"COVER1.XLS ";#N/A,#N/A,FALSE,"RACT1.XLS";#N/A,#N/A,FALSE,"RACT2.XLS";#N/A,#N/A,FALSE,"ECCMP";#N/A,#N/A,FALSE,"WELDER.XLS"}</definedName>
    <definedName name="_WRN2_2" hidden="1">{#N/A,#N/A,FALSE,"COVER1.XLS ";#N/A,#N/A,FALSE,"RACT1.XLS";#N/A,#N/A,FALSE,"RACT2.XLS";#N/A,#N/A,FALSE,"ECCMP";#N/A,#N/A,FALSE,"WELDER.XLS"}</definedName>
    <definedName name="_WRN2_3" hidden="1">{#N/A,#N/A,FALSE,"COVER1.XLS ";#N/A,#N/A,FALSE,"RACT1.XLS";#N/A,#N/A,FALSE,"RACT2.XLS";#N/A,#N/A,FALSE,"ECCMP";#N/A,#N/A,FALSE,"WELDER.XLS"}</definedName>
    <definedName name="_WRN2_4" hidden="1">{#N/A,#N/A,FALSE,"COVER1.XLS ";#N/A,#N/A,FALSE,"RACT1.XLS";#N/A,#N/A,FALSE,"RACT2.XLS";#N/A,#N/A,FALSE,"ECCMP";#N/A,#N/A,FALSE,"WELDER.XLS"}</definedName>
    <definedName name="_WRN2_5" hidden="1">{#N/A,#N/A,FALSE,"COVER1.XLS ";#N/A,#N/A,FALSE,"RACT1.XLS";#N/A,#N/A,FALSE,"RACT2.XLS";#N/A,#N/A,FALSE,"ECCMP";#N/A,#N/A,FALSE,"WELDER.XLS"}</definedName>
    <definedName name="_WRN3" hidden="1">{#N/A,#N/A,FALSE,"consu_cover";#N/A,#N/A,FALSE,"consu_strategy";#N/A,#N/A,FALSE,"consu_flow";#N/A,#N/A,FALSE,"Summary_reqmt";#N/A,#N/A,FALSE,"field_ppg";#N/A,#N/A,FALSE,"ppg_shop";#N/A,#N/A,FALSE,"strl";#N/A,#N/A,FALSE,"tankages";#N/A,#N/A,FALSE,"gases"}</definedName>
    <definedName name="_WRN3_1" hidden="1">{#N/A,#N/A,FALSE,"consu_cover";#N/A,#N/A,FALSE,"consu_strategy";#N/A,#N/A,FALSE,"consu_flow";#N/A,#N/A,FALSE,"Summary_reqmt";#N/A,#N/A,FALSE,"field_ppg";#N/A,#N/A,FALSE,"ppg_shop";#N/A,#N/A,FALSE,"strl";#N/A,#N/A,FALSE,"tankages";#N/A,#N/A,FALSE,"gases"}</definedName>
    <definedName name="_WRN3_2" hidden="1">{#N/A,#N/A,FALSE,"consu_cover";#N/A,#N/A,FALSE,"consu_strategy";#N/A,#N/A,FALSE,"consu_flow";#N/A,#N/A,FALSE,"Summary_reqmt";#N/A,#N/A,FALSE,"field_ppg";#N/A,#N/A,FALSE,"ppg_shop";#N/A,#N/A,FALSE,"strl";#N/A,#N/A,FALSE,"tankages";#N/A,#N/A,FALSE,"gases"}</definedName>
    <definedName name="_WRN3_3" hidden="1">{#N/A,#N/A,FALSE,"consu_cover";#N/A,#N/A,FALSE,"consu_strategy";#N/A,#N/A,FALSE,"consu_flow";#N/A,#N/A,FALSE,"Summary_reqmt";#N/A,#N/A,FALSE,"field_ppg";#N/A,#N/A,FALSE,"ppg_shop";#N/A,#N/A,FALSE,"strl";#N/A,#N/A,FALSE,"tankages";#N/A,#N/A,FALSE,"gases"}</definedName>
    <definedName name="_WRN3_4" hidden="1">{#N/A,#N/A,FALSE,"consu_cover";#N/A,#N/A,FALSE,"consu_strategy";#N/A,#N/A,FALSE,"consu_flow";#N/A,#N/A,FALSE,"Summary_reqmt";#N/A,#N/A,FALSE,"field_ppg";#N/A,#N/A,FALSE,"ppg_shop";#N/A,#N/A,FALSE,"strl";#N/A,#N/A,FALSE,"tankages";#N/A,#N/A,FALSE,"gases"}</definedName>
    <definedName name="_WRN3_5" hidden="1">{#N/A,#N/A,FALSE,"consu_cover";#N/A,#N/A,FALSE,"consu_strategy";#N/A,#N/A,FALSE,"consu_flow";#N/A,#N/A,FALSE,"Summary_reqmt";#N/A,#N/A,FALSE,"field_ppg";#N/A,#N/A,FALSE,"ppg_shop";#N/A,#N/A,FALSE,"strl";#N/A,#N/A,FALSE,"tankages";#N/A,#N/A,FALSE,"gases"}</definedName>
    <definedName name="AAa" hidden="1">{#N/A,#N/A,FALSE,"COVER1.XLS ";#N/A,#N/A,FALSE,"RACT1.XLS";#N/A,#N/A,FALSE,"RACT2.XLS";#N/A,#N/A,FALSE,"ECCMP";#N/A,#N/A,FALSE,"WELDER.XLS"}</definedName>
    <definedName name="AAa_1" hidden="1">{#N/A,#N/A,FALSE,"COVER1.XLS ";#N/A,#N/A,FALSE,"RACT1.XLS";#N/A,#N/A,FALSE,"RACT2.XLS";#N/A,#N/A,FALSE,"ECCMP";#N/A,#N/A,FALSE,"WELDER.XLS"}</definedName>
    <definedName name="AAa_1_1" hidden="1">{#N/A,#N/A,FALSE,"COVER1.XLS ";#N/A,#N/A,FALSE,"RACT1.XLS";#N/A,#N/A,FALSE,"RACT2.XLS";#N/A,#N/A,FALSE,"ECCMP";#N/A,#N/A,FALSE,"WELDER.XLS"}</definedName>
    <definedName name="AAa_1_2" hidden="1">{#N/A,#N/A,FALSE,"COVER1.XLS ";#N/A,#N/A,FALSE,"RACT1.XLS";#N/A,#N/A,FALSE,"RACT2.XLS";#N/A,#N/A,FALSE,"ECCMP";#N/A,#N/A,FALSE,"WELDER.XLS"}</definedName>
    <definedName name="AAa_1_3" hidden="1">{#N/A,#N/A,FALSE,"COVER1.XLS ";#N/A,#N/A,FALSE,"RACT1.XLS";#N/A,#N/A,FALSE,"RACT2.XLS";#N/A,#N/A,FALSE,"ECCMP";#N/A,#N/A,FALSE,"WELDER.XLS"}</definedName>
    <definedName name="AAa_1_4" hidden="1">{#N/A,#N/A,FALSE,"COVER1.XLS ";#N/A,#N/A,FALSE,"RACT1.XLS";#N/A,#N/A,FALSE,"RACT2.XLS";#N/A,#N/A,FALSE,"ECCMP";#N/A,#N/A,FALSE,"WELDER.XLS"}</definedName>
    <definedName name="AAa_1_5" hidden="1">{#N/A,#N/A,FALSE,"COVER1.XLS ";#N/A,#N/A,FALSE,"RACT1.XLS";#N/A,#N/A,FALSE,"RACT2.XLS";#N/A,#N/A,FALSE,"ECCMP";#N/A,#N/A,FALSE,"WELDER.XLS"}</definedName>
    <definedName name="AAa_2" hidden="1">{#N/A,#N/A,FALSE,"COVER1.XLS ";#N/A,#N/A,FALSE,"RACT1.XLS";#N/A,#N/A,FALSE,"RACT2.XLS";#N/A,#N/A,FALSE,"ECCMP";#N/A,#N/A,FALSE,"WELDER.XLS"}</definedName>
    <definedName name="AAa_2_1" hidden="1">{#N/A,#N/A,FALSE,"COVER1.XLS ";#N/A,#N/A,FALSE,"RACT1.XLS";#N/A,#N/A,FALSE,"RACT2.XLS";#N/A,#N/A,FALSE,"ECCMP";#N/A,#N/A,FALSE,"WELDER.XLS"}</definedName>
    <definedName name="AAa_2_2" hidden="1">{#N/A,#N/A,FALSE,"COVER1.XLS ";#N/A,#N/A,FALSE,"RACT1.XLS";#N/A,#N/A,FALSE,"RACT2.XLS";#N/A,#N/A,FALSE,"ECCMP";#N/A,#N/A,FALSE,"WELDER.XLS"}</definedName>
    <definedName name="AAa_2_3" hidden="1">{#N/A,#N/A,FALSE,"COVER1.XLS ";#N/A,#N/A,FALSE,"RACT1.XLS";#N/A,#N/A,FALSE,"RACT2.XLS";#N/A,#N/A,FALSE,"ECCMP";#N/A,#N/A,FALSE,"WELDER.XLS"}</definedName>
    <definedName name="AAa_2_4" hidden="1">{#N/A,#N/A,FALSE,"COVER1.XLS ";#N/A,#N/A,FALSE,"RACT1.XLS";#N/A,#N/A,FALSE,"RACT2.XLS";#N/A,#N/A,FALSE,"ECCMP";#N/A,#N/A,FALSE,"WELDER.XLS"}</definedName>
    <definedName name="AAa_2_5" hidden="1">{#N/A,#N/A,FALSE,"COVER1.XLS ";#N/A,#N/A,FALSE,"RACT1.XLS";#N/A,#N/A,FALSE,"RACT2.XLS";#N/A,#N/A,FALSE,"ECCMP";#N/A,#N/A,FALSE,"WELDER.XLS"}</definedName>
    <definedName name="AAa_3" hidden="1">{#N/A,#N/A,FALSE,"COVER1.XLS ";#N/A,#N/A,FALSE,"RACT1.XLS";#N/A,#N/A,FALSE,"RACT2.XLS";#N/A,#N/A,FALSE,"ECCMP";#N/A,#N/A,FALSE,"WELDER.XLS"}</definedName>
    <definedName name="AAa_4" hidden="1">{#N/A,#N/A,FALSE,"COVER1.XLS ";#N/A,#N/A,FALSE,"RACT1.XLS";#N/A,#N/A,FALSE,"RACT2.XLS";#N/A,#N/A,FALSE,"ECCMP";#N/A,#N/A,FALSE,"WELDER.XLS"}</definedName>
    <definedName name="AAa_5" hidden="1">{#N/A,#N/A,FALSE,"COVER1.XLS ";#N/A,#N/A,FALSE,"RACT1.XLS";#N/A,#N/A,FALSE,"RACT2.XLS";#N/A,#N/A,FALSE,"ECCMP";#N/A,#N/A,FALSE,"WELDER.XLS"}</definedName>
    <definedName name="AAA_DOCTOPS" hidden="1">"AAA_SET"</definedName>
    <definedName name="AAA_duser" hidden="1">"OFF"</definedName>
    <definedName name="aaaa" hidden="1">{#N/A,#N/A,FALSE,"str_title";#N/A,#N/A,FALSE,"SUM";#N/A,#N/A,FALSE,"Scope";#N/A,#N/A,FALSE,"PIE-Jn";#N/A,#N/A,FALSE,"PIE-Jn_Hz";#N/A,#N/A,FALSE,"Liq_Plan";#N/A,#N/A,FALSE,"S_Curve";#N/A,#N/A,FALSE,"Liq_Prof";#N/A,#N/A,FALSE,"Man_Pwr";#N/A,#N/A,FALSE,"Man_Prof"}</definedName>
    <definedName name="aaaa_1" hidden="1">{#N/A,#N/A,FALSE,"str_title";#N/A,#N/A,FALSE,"SUM";#N/A,#N/A,FALSE,"Scope";#N/A,#N/A,FALSE,"PIE-Jn";#N/A,#N/A,FALSE,"PIE-Jn_Hz";#N/A,#N/A,FALSE,"Liq_Plan";#N/A,#N/A,FALSE,"S_Curve";#N/A,#N/A,FALSE,"Liq_Prof";#N/A,#N/A,FALSE,"Man_Pwr";#N/A,#N/A,FALSE,"Man_Prof"}</definedName>
    <definedName name="aaaa_1_1" hidden="1">{#N/A,#N/A,FALSE,"str_title";#N/A,#N/A,FALSE,"SUM";#N/A,#N/A,FALSE,"Scope";#N/A,#N/A,FALSE,"PIE-Jn";#N/A,#N/A,FALSE,"PIE-Jn_Hz";#N/A,#N/A,FALSE,"Liq_Plan";#N/A,#N/A,FALSE,"S_Curve";#N/A,#N/A,FALSE,"Liq_Prof";#N/A,#N/A,FALSE,"Man_Pwr";#N/A,#N/A,FALSE,"Man_Prof"}</definedName>
    <definedName name="aaaa_1_2" hidden="1">{#N/A,#N/A,FALSE,"str_title";#N/A,#N/A,FALSE,"SUM";#N/A,#N/A,FALSE,"Scope";#N/A,#N/A,FALSE,"PIE-Jn";#N/A,#N/A,FALSE,"PIE-Jn_Hz";#N/A,#N/A,FALSE,"Liq_Plan";#N/A,#N/A,FALSE,"S_Curve";#N/A,#N/A,FALSE,"Liq_Prof";#N/A,#N/A,FALSE,"Man_Pwr";#N/A,#N/A,FALSE,"Man_Prof"}</definedName>
    <definedName name="aaaa_1_3" hidden="1">{#N/A,#N/A,FALSE,"str_title";#N/A,#N/A,FALSE,"SUM";#N/A,#N/A,FALSE,"Scope";#N/A,#N/A,FALSE,"PIE-Jn";#N/A,#N/A,FALSE,"PIE-Jn_Hz";#N/A,#N/A,FALSE,"Liq_Plan";#N/A,#N/A,FALSE,"S_Curve";#N/A,#N/A,FALSE,"Liq_Prof";#N/A,#N/A,FALSE,"Man_Pwr";#N/A,#N/A,FALSE,"Man_Prof"}</definedName>
    <definedName name="aaaa_1_4" hidden="1">{#N/A,#N/A,FALSE,"str_title";#N/A,#N/A,FALSE,"SUM";#N/A,#N/A,FALSE,"Scope";#N/A,#N/A,FALSE,"PIE-Jn";#N/A,#N/A,FALSE,"PIE-Jn_Hz";#N/A,#N/A,FALSE,"Liq_Plan";#N/A,#N/A,FALSE,"S_Curve";#N/A,#N/A,FALSE,"Liq_Prof";#N/A,#N/A,FALSE,"Man_Pwr";#N/A,#N/A,FALSE,"Man_Prof"}</definedName>
    <definedName name="aaaa_1_5" hidden="1">{#N/A,#N/A,FALSE,"str_title";#N/A,#N/A,FALSE,"SUM";#N/A,#N/A,FALSE,"Scope";#N/A,#N/A,FALSE,"PIE-Jn";#N/A,#N/A,FALSE,"PIE-Jn_Hz";#N/A,#N/A,FALSE,"Liq_Plan";#N/A,#N/A,FALSE,"S_Curve";#N/A,#N/A,FALSE,"Liq_Prof";#N/A,#N/A,FALSE,"Man_Pwr";#N/A,#N/A,FALSE,"Man_Prof"}</definedName>
    <definedName name="aaaa_2" hidden="1">{#N/A,#N/A,FALSE,"str_title";#N/A,#N/A,FALSE,"SUM";#N/A,#N/A,FALSE,"Scope";#N/A,#N/A,FALSE,"PIE-Jn";#N/A,#N/A,FALSE,"PIE-Jn_Hz";#N/A,#N/A,FALSE,"Liq_Plan";#N/A,#N/A,FALSE,"S_Curve";#N/A,#N/A,FALSE,"Liq_Prof";#N/A,#N/A,FALSE,"Man_Pwr";#N/A,#N/A,FALSE,"Man_Prof"}</definedName>
    <definedName name="aaaa_2_1" hidden="1">{#N/A,#N/A,FALSE,"str_title";#N/A,#N/A,FALSE,"SUM";#N/A,#N/A,FALSE,"Scope";#N/A,#N/A,FALSE,"PIE-Jn";#N/A,#N/A,FALSE,"PIE-Jn_Hz";#N/A,#N/A,FALSE,"Liq_Plan";#N/A,#N/A,FALSE,"S_Curve";#N/A,#N/A,FALSE,"Liq_Prof";#N/A,#N/A,FALSE,"Man_Pwr";#N/A,#N/A,FALSE,"Man_Prof"}</definedName>
    <definedName name="aaaa_2_2" hidden="1">{#N/A,#N/A,FALSE,"str_title";#N/A,#N/A,FALSE,"SUM";#N/A,#N/A,FALSE,"Scope";#N/A,#N/A,FALSE,"PIE-Jn";#N/A,#N/A,FALSE,"PIE-Jn_Hz";#N/A,#N/A,FALSE,"Liq_Plan";#N/A,#N/A,FALSE,"S_Curve";#N/A,#N/A,FALSE,"Liq_Prof";#N/A,#N/A,FALSE,"Man_Pwr";#N/A,#N/A,FALSE,"Man_Prof"}</definedName>
    <definedName name="aaaa_2_3" hidden="1">{#N/A,#N/A,FALSE,"str_title";#N/A,#N/A,FALSE,"SUM";#N/A,#N/A,FALSE,"Scope";#N/A,#N/A,FALSE,"PIE-Jn";#N/A,#N/A,FALSE,"PIE-Jn_Hz";#N/A,#N/A,FALSE,"Liq_Plan";#N/A,#N/A,FALSE,"S_Curve";#N/A,#N/A,FALSE,"Liq_Prof";#N/A,#N/A,FALSE,"Man_Pwr";#N/A,#N/A,FALSE,"Man_Prof"}</definedName>
    <definedName name="aaaa_2_4" hidden="1">{#N/A,#N/A,FALSE,"str_title";#N/A,#N/A,FALSE,"SUM";#N/A,#N/A,FALSE,"Scope";#N/A,#N/A,FALSE,"PIE-Jn";#N/A,#N/A,FALSE,"PIE-Jn_Hz";#N/A,#N/A,FALSE,"Liq_Plan";#N/A,#N/A,FALSE,"S_Curve";#N/A,#N/A,FALSE,"Liq_Prof";#N/A,#N/A,FALSE,"Man_Pwr";#N/A,#N/A,FALSE,"Man_Prof"}</definedName>
    <definedName name="aaaa_2_5" hidden="1">{#N/A,#N/A,FALSE,"str_title";#N/A,#N/A,FALSE,"SUM";#N/A,#N/A,FALSE,"Scope";#N/A,#N/A,FALSE,"PIE-Jn";#N/A,#N/A,FALSE,"PIE-Jn_Hz";#N/A,#N/A,FALSE,"Liq_Plan";#N/A,#N/A,FALSE,"S_Curve";#N/A,#N/A,FALSE,"Liq_Prof";#N/A,#N/A,FALSE,"Man_Pwr";#N/A,#N/A,FALSE,"Man_Prof"}</definedName>
    <definedName name="aaaa_3" hidden="1">{#N/A,#N/A,FALSE,"str_title";#N/A,#N/A,FALSE,"SUM";#N/A,#N/A,FALSE,"Scope";#N/A,#N/A,FALSE,"PIE-Jn";#N/A,#N/A,FALSE,"PIE-Jn_Hz";#N/A,#N/A,FALSE,"Liq_Plan";#N/A,#N/A,FALSE,"S_Curve";#N/A,#N/A,FALSE,"Liq_Prof";#N/A,#N/A,FALSE,"Man_Pwr";#N/A,#N/A,FALSE,"Man_Prof"}</definedName>
    <definedName name="aaaa_4" hidden="1">{#N/A,#N/A,FALSE,"str_title";#N/A,#N/A,FALSE,"SUM";#N/A,#N/A,FALSE,"Scope";#N/A,#N/A,FALSE,"PIE-Jn";#N/A,#N/A,FALSE,"PIE-Jn_Hz";#N/A,#N/A,FALSE,"Liq_Plan";#N/A,#N/A,FALSE,"S_Curve";#N/A,#N/A,FALSE,"Liq_Prof";#N/A,#N/A,FALSE,"Man_Pwr";#N/A,#N/A,FALSE,"Man_Prof"}</definedName>
    <definedName name="aaaa_5" hidden="1">{#N/A,#N/A,FALSE,"str_title";#N/A,#N/A,FALSE,"SUM";#N/A,#N/A,FALSE,"Scope";#N/A,#N/A,FALSE,"PIE-Jn";#N/A,#N/A,FALSE,"PIE-Jn_Hz";#N/A,#N/A,FALSE,"Liq_Plan";#N/A,#N/A,FALSE,"S_Curve";#N/A,#N/A,FALSE,"Liq_Prof";#N/A,#N/A,FALSE,"Man_Pwr";#N/A,#N/A,FALSE,"Man_Prof"}</definedName>
    <definedName name="aaaaaa"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aaaaaa" hidden="1">'[1]NPO - Model'!#REF!</definedName>
    <definedName name="aaaaaaaaaaaaaaaaaa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aaaaaaaaaaaaaaaaaaaaaaaaaa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aaaaaaaaaaaaaaaaaaaaaaaaaaa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aaaaaaaaaaaaaaaaaaaaaaaaaaa_1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aaaaaaaaaaaaaaaaaaaaaaaaaaa_1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aaaaaaaaaaaaaaaaaaaaaaaaaaa_1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aaaaaaaaaaaaaaaaaaaaaaaaaaa_1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aaaaaaaaaaaaaaaaaaaaaaaaaaa_1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aaaaaaaaaaaaaaaaaaaaaaaaaaa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aaaaaaaaaaaaaaaaaaaaaaaaaaa_2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aaaaaaaaaaaaaaaaaaaaaaaaaaa_2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aaaaaaaaaaaaaaaaaaaaaaaaaaa_2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aaaaaaaaaaaaaaaaaaaaaaaaaaa_2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aaaaaaaaaaaaaaaaaaaaaaaaaaa_2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aaaaaaaaaaaaaaaaaaaaaaaaaaa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aaaaaaaaaaaaaaaaaaaaaaaaaaa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aaaaaaaaaaaaaaaaaaaaaaaaaaa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AB_Addin5" hidden="1">"AAB_Description for addin 5,Description for addin 5,Description for addin 5,Description for addin 5,Description for addin 5,Description for addin 5"</definedName>
    <definedName name="aaffa" hidden="1">{#N/A,#N/A,FALSE,"COVER.XLS";#N/A,#N/A,FALSE,"RACT1.XLS";#N/A,#N/A,FALSE,"RACT2.XLS";#N/A,#N/A,FALSE,"ECCMP";#N/A,#N/A,FALSE,"WELDER.XLS"}</definedName>
    <definedName name="aaffa_1" hidden="1">{#N/A,#N/A,FALSE,"COVER.XLS";#N/A,#N/A,FALSE,"RACT1.XLS";#N/A,#N/A,FALSE,"RACT2.XLS";#N/A,#N/A,FALSE,"ECCMP";#N/A,#N/A,FALSE,"WELDER.XLS"}</definedName>
    <definedName name="aaffa_1_1" hidden="1">{#N/A,#N/A,FALSE,"COVER.XLS";#N/A,#N/A,FALSE,"RACT1.XLS";#N/A,#N/A,FALSE,"RACT2.XLS";#N/A,#N/A,FALSE,"ECCMP";#N/A,#N/A,FALSE,"WELDER.XLS"}</definedName>
    <definedName name="aaffa_1_2" hidden="1">{#N/A,#N/A,FALSE,"COVER.XLS";#N/A,#N/A,FALSE,"RACT1.XLS";#N/A,#N/A,FALSE,"RACT2.XLS";#N/A,#N/A,FALSE,"ECCMP";#N/A,#N/A,FALSE,"WELDER.XLS"}</definedName>
    <definedName name="aaffa_1_3" hidden="1">{#N/A,#N/A,FALSE,"COVER.XLS";#N/A,#N/A,FALSE,"RACT1.XLS";#N/A,#N/A,FALSE,"RACT2.XLS";#N/A,#N/A,FALSE,"ECCMP";#N/A,#N/A,FALSE,"WELDER.XLS"}</definedName>
    <definedName name="aaffa_1_4" hidden="1">{#N/A,#N/A,FALSE,"COVER.XLS";#N/A,#N/A,FALSE,"RACT1.XLS";#N/A,#N/A,FALSE,"RACT2.XLS";#N/A,#N/A,FALSE,"ECCMP";#N/A,#N/A,FALSE,"WELDER.XLS"}</definedName>
    <definedName name="aaffa_1_5" hidden="1">{#N/A,#N/A,FALSE,"COVER.XLS";#N/A,#N/A,FALSE,"RACT1.XLS";#N/A,#N/A,FALSE,"RACT2.XLS";#N/A,#N/A,FALSE,"ECCMP";#N/A,#N/A,FALSE,"WELDER.XLS"}</definedName>
    <definedName name="aaffa_2" hidden="1">{#N/A,#N/A,FALSE,"COVER.XLS";#N/A,#N/A,FALSE,"RACT1.XLS";#N/A,#N/A,FALSE,"RACT2.XLS";#N/A,#N/A,FALSE,"ECCMP";#N/A,#N/A,FALSE,"WELDER.XLS"}</definedName>
    <definedName name="aaffa_2_1" hidden="1">{#N/A,#N/A,FALSE,"COVER.XLS";#N/A,#N/A,FALSE,"RACT1.XLS";#N/A,#N/A,FALSE,"RACT2.XLS";#N/A,#N/A,FALSE,"ECCMP";#N/A,#N/A,FALSE,"WELDER.XLS"}</definedName>
    <definedName name="aaffa_2_2" hidden="1">{#N/A,#N/A,FALSE,"COVER.XLS";#N/A,#N/A,FALSE,"RACT1.XLS";#N/A,#N/A,FALSE,"RACT2.XLS";#N/A,#N/A,FALSE,"ECCMP";#N/A,#N/A,FALSE,"WELDER.XLS"}</definedName>
    <definedName name="aaffa_2_3" hidden="1">{#N/A,#N/A,FALSE,"COVER.XLS";#N/A,#N/A,FALSE,"RACT1.XLS";#N/A,#N/A,FALSE,"RACT2.XLS";#N/A,#N/A,FALSE,"ECCMP";#N/A,#N/A,FALSE,"WELDER.XLS"}</definedName>
    <definedName name="aaffa_2_4" hidden="1">{#N/A,#N/A,FALSE,"COVER.XLS";#N/A,#N/A,FALSE,"RACT1.XLS";#N/A,#N/A,FALSE,"RACT2.XLS";#N/A,#N/A,FALSE,"ECCMP";#N/A,#N/A,FALSE,"WELDER.XLS"}</definedName>
    <definedName name="aaffa_2_5" hidden="1">{#N/A,#N/A,FALSE,"COVER.XLS";#N/A,#N/A,FALSE,"RACT1.XLS";#N/A,#N/A,FALSE,"RACT2.XLS";#N/A,#N/A,FALSE,"ECCMP";#N/A,#N/A,FALSE,"WELDER.XLS"}</definedName>
    <definedName name="aaffa_3" hidden="1">{#N/A,#N/A,FALSE,"COVER.XLS";#N/A,#N/A,FALSE,"RACT1.XLS";#N/A,#N/A,FALSE,"RACT2.XLS";#N/A,#N/A,FALSE,"ECCMP";#N/A,#N/A,FALSE,"WELDER.XLS"}</definedName>
    <definedName name="aaffa_4" hidden="1">{#N/A,#N/A,FALSE,"COVER.XLS";#N/A,#N/A,FALSE,"RACT1.XLS";#N/A,#N/A,FALSE,"RACT2.XLS";#N/A,#N/A,FALSE,"ECCMP";#N/A,#N/A,FALSE,"WELDER.XLS"}</definedName>
    <definedName name="aaffa_5" hidden="1">{#N/A,#N/A,FALSE,"COVER.XLS";#N/A,#N/A,FALSE,"RACT1.XLS";#N/A,#N/A,FALSE,"RACT2.XLS";#N/A,#N/A,FALSE,"ECCMP";#N/A,#N/A,FALSE,"WELDER.XLS"}</definedName>
    <definedName name="aba" hidden="1">{#N/A,#N/A,FALSE,"COVER1.XLS ";#N/A,#N/A,FALSE,"RACT1.XLS";#N/A,#N/A,FALSE,"RACT2.XLS";#N/A,#N/A,FALSE,"ECCMP";#N/A,#N/A,FALSE,"WELDER.XLS"}</definedName>
    <definedName name="aba_1" hidden="1">{#N/A,#N/A,FALSE,"COVER1.XLS ";#N/A,#N/A,FALSE,"RACT1.XLS";#N/A,#N/A,FALSE,"RACT2.XLS";#N/A,#N/A,FALSE,"ECCMP";#N/A,#N/A,FALSE,"WELDER.XLS"}</definedName>
    <definedName name="aba_1_1" hidden="1">{#N/A,#N/A,FALSE,"COVER1.XLS ";#N/A,#N/A,FALSE,"RACT1.XLS";#N/A,#N/A,FALSE,"RACT2.XLS";#N/A,#N/A,FALSE,"ECCMP";#N/A,#N/A,FALSE,"WELDER.XLS"}</definedName>
    <definedName name="aba_1_2" hidden="1">{#N/A,#N/A,FALSE,"COVER1.XLS ";#N/A,#N/A,FALSE,"RACT1.XLS";#N/A,#N/A,FALSE,"RACT2.XLS";#N/A,#N/A,FALSE,"ECCMP";#N/A,#N/A,FALSE,"WELDER.XLS"}</definedName>
    <definedName name="aba_1_3" hidden="1">{#N/A,#N/A,FALSE,"COVER1.XLS ";#N/A,#N/A,FALSE,"RACT1.XLS";#N/A,#N/A,FALSE,"RACT2.XLS";#N/A,#N/A,FALSE,"ECCMP";#N/A,#N/A,FALSE,"WELDER.XLS"}</definedName>
    <definedName name="aba_1_4" hidden="1">{#N/A,#N/A,FALSE,"COVER1.XLS ";#N/A,#N/A,FALSE,"RACT1.XLS";#N/A,#N/A,FALSE,"RACT2.XLS";#N/A,#N/A,FALSE,"ECCMP";#N/A,#N/A,FALSE,"WELDER.XLS"}</definedName>
    <definedName name="aba_1_5" hidden="1">{#N/A,#N/A,FALSE,"COVER1.XLS ";#N/A,#N/A,FALSE,"RACT1.XLS";#N/A,#N/A,FALSE,"RACT2.XLS";#N/A,#N/A,FALSE,"ECCMP";#N/A,#N/A,FALSE,"WELDER.XLS"}</definedName>
    <definedName name="aba_2" hidden="1">{#N/A,#N/A,FALSE,"COVER1.XLS ";#N/A,#N/A,FALSE,"RACT1.XLS";#N/A,#N/A,FALSE,"RACT2.XLS";#N/A,#N/A,FALSE,"ECCMP";#N/A,#N/A,FALSE,"WELDER.XLS"}</definedName>
    <definedName name="aba_2_1" hidden="1">{#N/A,#N/A,FALSE,"COVER1.XLS ";#N/A,#N/A,FALSE,"RACT1.XLS";#N/A,#N/A,FALSE,"RACT2.XLS";#N/A,#N/A,FALSE,"ECCMP";#N/A,#N/A,FALSE,"WELDER.XLS"}</definedName>
    <definedName name="aba_2_2" hidden="1">{#N/A,#N/A,FALSE,"COVER1.XLS ";#N/A,#N/A,FALSE,"RACT1.XLS";#N/A,#N/A,FALSE,"RACT2.XLS";#N/A,#N/A,FALSE,"ECCMP";#N/A,#N/A,FALSE,"WELDER.XLS"}</definedName>
    <definedName name="aba_2_3" hidden="1">{#N/A,#N/A,FALSE,"COVER1.XLS ";#N/A,#N/A,FALSE,"RACT1.XLS";#N/A,#N/A,FALSE,"RACT2.XLS";#N/A,#N/A,FALSE,"ECCMP";#N/A,#N/A,FALSE,"WELDER.XLS"}</definedName>
    <definedName name="aba_2_4" hidden="1">{#N/A,#N/A,FALSE,"COVER1.XLS ";#N/A,#N/A,FALSE,"RACT1.XLS";#N/A,#N/A,FALSE,"RACT2.XLS";#N/A,#N/A,FALSE,"ECCMP";#N/A,#N/A,FALSE,"WELDER.XLS"}</definedName>
    <definedName name="aba_2_5" hidden="1">{#N/A,#N/A,FALSE,"COVER1.XLS ";#N/A,#N/A,FALSE,"RACT1.XLS";#N/A,#N/A,FALSE,"RACT2.XLS";#N/A,#N/A,FALSE,"ECCMP";#N/A,#N/A,FALSE,"WELDER.XLS"}</definedName>
    <definedName name="aba_3" hidden="1">{#N/A,#N/A,FALSE,"COVER1.XLS ";#N/A,#N/A,FALSE,"RACT1.XLS";#N/A,#N/A,FALSE,"RACT2.XLS";#N/A,#N/A,FALSE,"ECCMP";#N/A,#N/A,FALSE,"WELDER.XLS"}</definedName>
    <definedName name="aba_4" hidden="1">{#N/A,#N/A,FALSE,"COVER1.XLS ";#N/A,#N/A,FALSE,"RACT1.XLS";#N/A,#N/A,FALSE,"RACT2.XLS";#N/A,#N/A,FALSE,"ECCMP";#N/A,#N/A,FALSE,"WELDER.XLS"}</definedName>
    <definedName name="aba_5" hidden="1">{#N/A,#N/A,FALSE,"COVER1.XLS ";#N/A,#N/A,FALSE,"RACT1.XLS";#N/A,#N/A,FALSE,"RACT2.XLS";#N/A,#N/A,FALSE,"ECCMP";#N/A,#N/A,FALSE,"WELDER.XLS"}</definedName>
    <definedName name="abb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_1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_1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_1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_1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_1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_2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_2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_2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_2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_2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c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bc_1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bc_1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bc_1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bc_1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bc_1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bc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bc_2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bc_2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bc_2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bc_2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bc_2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bc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bc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bc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bcd" hidden="1">#REF!</definedName>
    <definedName name="Abhimanyu" hidden="1">{#N/A,#N/A,FALSE,"COVER1.XLS ";#N/A,#N/A,FALSE,"RACT1.XLS";#N/A,#N/A,FALSE,"RACT2.XLS";#N/A,#N/A,FALSE,"ECCMP";#N/A,#N/A,FALSE,"WELDER.XLS"}</definedName>
    <definedName name="Abhimanyu_1" hidden="1">{#N/A,#N/A,FALSE,"COVER1.XLS ";#N/A,#N/A,FALSE,"RACT1.XLS";#N/A,#N/A,FALSE,"RACT2.XLS";#N/A,#N/A,FALSE,"ECCMP";#N/A,#N/A,FALSE,"WELDER.XLS"}</definedName>
    <definedName name="Abhimanyu_2" hidden="1">{#N/A,#N/A,FALSE,"COVER1.XLS ";#N/A,#N/A,FALSE,"RACT1.XLS";#N/A,#N/A,FALSE,"RACT2.XLS";#N/A,#N/A,FALSE,"ECCMP";#N/A,#N/A,FALSE,"WELDER.XLS"}</definedName>
    <definedName name="Abhimanyu_3" hidden="1">{#N/A,#N/A,FALSE,"COVER1.XLS ";#N/A,#N/A,FALSE,"RACT1.XLS";#N/A,#N/A,FALSE,"RACT2.XLS";#N/A,#N/A,FALSE,"ECCMP";#N/A,#N/A,FALSE,"WELDER.XLS"}</definedName>
    <definedName name="Abhimanyu_4" hidden="1">{#N/A,#N/A,FALSE,"COVER1.XLS ";#N/A,#N/A,FALSE,"RACT1.XLS";#N/A,#N/A,FALSE,"RACT2.XLS";#N/A,#N/A,FALSE,"ECCMP";#N/A,#N/A,FALSE,"WELDER.XLS"}</definedName>
    <definedName name="Abhimanyu_5" hidden="1">{#N/A,#N/A,FALSE,"COVER1.XLS ";#N/A,#N/A,FALSE,"RACT1.XLS";#N/A,#N/A,FALSE,"RACT2.XLS";#N/A,#N/A,FALSE,"ECCMP";#N/A,#N/A,FALSE,"WELDER.XLS"}</definedName>
    <definedName name="ab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s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s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s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s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s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ccess_Button" hidden="1">"Loan_Front_End_Input_List"</definedName>
    <definedName name="AccessDatabase" hidden="1">"C:\My Documents\MIS\new formats\HO\RepOprHO.mdb"</definedName>
    <definedName name="Accessorie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cvgds" hidden="1">{#N/A,#N/A,FALSE,"COVER.XLS";#N/A,#N/A,FALSE,"RACT1.XLS";#N/A,#N/A,FALSE,"RACT2.XLS";#N/A,#N/A,FALSE,"ECCMP";#N/A,#N/A,FALSE,"WELDER.XLS"}</definedName>
    <definedName name="ACwvu.Overhead._.detail." hidden="1">#REF!</definedName>
    <definedName name="ACwvu.Profit._.report._.detailed." hidden="1">#REF!</definedName>
    <definedName name="ad" hidden="1">{#N/A,#N/A,FALSE,"Sheet5";#N/A,#N/A,FALSE,"Sheet5";#N/A,#N/A,FALSE,"Sheet5"}</definedName>
    <definedName name="ada" hidden="1">{#N/A,#N/A,FALSE,"str_title";#N/A,#N/A,FALSE,"SUM";#N/A,#N/A,FALSE,"Scope";#N/A,#N/A,FALSE,"PIE-Jn";#N/A,#N/A,FALSE,"PIE-Jn_Hz";#N/A,#N/A,FALSE,"Liq_Plan";#N/A,#N/A,FALSE,"S_Curve";#N/A,#N/A,FALSE,"Liq_Prof";#N/A,#N/A,FALSE,"Man_Pwr";#N/A,#N/A,FALSE,"Man_Prof"}</definedName>
    <definedName name="ada_1" hidden="1">{#N/A,#N/A,FALSE,"str_title";#N/A,#N/A,FALSE,"SUM";#N/A,#N/A,FALSE,"Scope";#N/A,#N/A,FALSE,"PIE-Jn";#N/A,#N/A,FALSE,"PIE-Jn_Hz";#N/A,#N/A,FALSE,"Liq_Plan";#N/A,#N/A,FALSE,"S_Curve";#N/A,#N/A,FALSE,"Liq_Prof";#N/A,#N/A,FALSE,"Man_Pwr";#N/A,#N/A,FALSE,"Man_Prof"}</definedName>
    <definedName name="ada_1_1" hidden="1">{#N/A,#N/A,FALSE,"str_title";#N/A,#N/A,FALSE,"SUM";#N/A,#N/A,FALSE,"Scope";#N/A,#N/A,FALSE,"PIE-Jn";#N/A,#N/A,FALSE,"PIE-Jn_Hz";#N/A,#N/A,FALSE,"Liq_Plan";#N/A,#N/A,FALSE,"S_Curve";#N/A,#N/A,FALSE,"Liq_Prof";#N/A,#N/A,FALSE,"Man_Pwr";#N/A,#N/A,FALSE,"Man_Prof"}</definedName>
    <definedName name="ada_1_2" hidden="1">{#N/A,#N/A,FALSE,"str_title";#N/A,#N/A,FALSE,"SUM";#N/A,#N/A,FALSE,"Scope";#N/A,#N/A,FALSE,"PIE-Jn";#N/A,#N/A,FALSE,"PIE-Jn_Hz";#N/A,#N/A,FALSE,"Liq_Plan";#N/A,#N/A,FALSE,"S_Curve";#N/A,#N/A,FALSE,"Liq_Prof";#N/A,#N/A,FALSE,"Man_Pwr";#N/A,#N/A,FALSE,"Man_Prof"}</definedName>
    <definedName name="ada_1_3" hidden="1">{#N/A,#N/A,FALSE,"str_title";#N/A,#N/A,FALSE,"SUM";#N/A,#N/A,FALSE,"Scope";#N/A,#N/A,FALSE,"PIE-Jn";#N/A,#N/A,FALSE,"PIE-Jn_Hz";#N/A,#N/A,FALSE,"Liq_Plan";#N/A,#N/A,FALSE,"S_Curve";#N/A,#N/A,FALSE,"Liq_Prof";#N/A,#N/A,FALSE,"Man_Pwr";#N/A,#N/A,FALSE,"Man_Prof"}</definedName>
    <definedName name="ada_1_4" hidden="1">{#N/A,#N/A,FALSE,"str_title";#N/A,#N/A,FALSE,"SUM";#N/A,#N/A,FALSE,"Scope";#N/A,#N/A,FALSE,"PIE-Jn";#N/A,#N/A,FALSE,"PIE-Jn_Hz";#N/A,#N/A,FALSE,"Liq_Plan";#N/A,#N/A,FALSE,"S_Curve";#N/A,#N/A,FALSE,"Liq_Prof";#N/A,#N/A,FALSE,"Man_Pwr";#N/A,#N/A,FALSE,"Man_Prof"}</definedName>
    <definedName name="ada_1_5" hidden="1">{#N/A,#N/A,FALSE,"str_title";#N/A,#N/A,FALSE,"SUM";#N/A,#N/A,FALSE,"Scope";#N/A,#N/A,FALSE,"PIE-Jn";#N/A,#N/A,FALSE,"PIE-Jn_Hz";#N/A,#N/A,FALSE,"Liq_Plan";#N/A,#N/A,FALSE,"S_Curve";#N/A,#N/A,FALSE,"Liq_Prof";#N/A,#N/A,FALSE,"Man_Pwr";#N/A,#N/A,FALSE,"Man_Prof"}</definedName>
    <definedName name="ada_2" hidden="1">{#N/A,#N/A,FALSE,"str_title";#N/A,#N/A,FALSE,"SUM";#N/A,#N/A,FALSE,"Scope";#N/A,#N/A,FALSE,"PIE-Jn";#N/A,#N/A,FALSE,"PIE-Jn_Hz";#N/A,#N/A,FALSE,"Liq_Plan";#N/A,#N/A,FALSE,"S_Curve";#N/A,#N/A,FALSE,"Liq_Prof";#N/A,#N/A,FALSE,"Man_Pwr";#N/A,#N/A,FALSE,"Man_Prof"}</definedName>
    <definedName name="ada_2_1" hidden="1">{#N/A,#N/A,FALSE,"str_title";#N/A,#N/A,FALSE,"SUM";#N/A,#N/A,FALSE,"Scope";#N/A,#N/A,FALSE,"PIE-Jn";#N/A,#N/A,FALSE,"PIE-Jn_Hz";#N/A,#N/A,FALSE,"Liq_Plan";#N/A,#N/A,FALSE,"S_Curve";#N/A,#N/A,FALSE,"Liq_Prof";#N/A,#N/A,FALSE,"Man_Pwr";#N/A,#N/A,FALSE,"Man_Prof"}</definedName>
    <definedName name="ada_2_2" hidden="1">{#N/A,#N/A,FALSE,"str_title";#N/A,#N/A,FALSE,"SUM";#N/A,#N/A,FALSE,"Scope";#N/A,#N/A,FALSE,"PIE-Jn";#N/A,#N/A,FALSE,"PIE-Jn_Hz";#N/A,#N/A,FALSE,"Liq_Plan";#N/A,#N/A,FALSE,"S_Curve";#N/A,#N/A,FALSE,"Liq_Prof";#N/A,#N/A,FALSE,"Man_Pwr";#N/A,#N/A,FALSE,"Man_Prof"}</definedName>
    <definedName name="ada_2_3" hidden="1">{#N/A,#N/A,FALSE,"str_title";#N/A,#N/A,FALSE,"SUM";#N/A,#N/A,FALSE,"Scope";#N/A,#N/A,FALSE,"PIE-Jn";#N/A,#N/A,FALSE,"PIE-Jn_Hz";#N/A,#N/A,FALSE,"Liq_Plan";#N/A,#N/A,FALSE,"S_Curve";#N/A,#N/A,FALSE,"Liq_Prof";#N/A,#N/A,FALSE,"Man_Pwr";#N/A,#N/A,FALSE,"Man_Prof"}</definedName>
    <definedName name="ada_2_4" hidden="1">{#N/A,#N/A,FALSE,"str_title";#N/A,#N/A,FALSE,"SUM";#N/A,#N/A,FALSE,"Scope";#N/A,#N/A,FALSE,"PIE-Jn";#N/A,#N/A,FALSE,"PIE-Jn_Hz";#N/A,#N/A,FALSE,"Liq_Plan";#N/A,#N/A,FALSE,"S_Curve";#N/A,#N/A,FALSE,"Liq_Prof";#N/A,#N/A,FALSE,"Man_Pwr";#N/A,#N/A,FALSE,"Man_Prof"}</definedName>
    <definedName name="ada_2_5" hidden="1">{#N/A,#N/A,FALSE,"str_title";#N/A,#N/A,FALSE,"SUM";#N/A,#N/A,FALSE,"Scope";#N/A,#N/A,FALSE,"PIE-Jn";#N/A,#N/A,FALSE,"PIE-Jn_Hz";#N/A,#N/A,FALSE,"Liq_Plan";#N/A,#N/A,FALSE,"S_Curve";#N/A,#N/A,FALSE,"Liq_Prof";#N/A,#N/A,FALSE,"Man_Pwr";#N/A,#N/A,FALSE,"Man_Prof"}</definedName>
    <definedName name="ada_3" hidden="1">{#N/A,#N/A,FALSE,"str_title";#N/A,#N/A,FALSE,"SUM";#N/A,#N/A,FALSE,"Scope";#N/A,#N/A,FALSE,"PIE-Jn";#N/A,#N/A,FALSE,"PIE-Jn_Hz";#N/A,#N/A,FALSE,"Liq_Plan";#N/A,#N/A,FALSE,"S_Curve";#N/A,#N/A,FALSE,"Liq_Prof";#N/A,#N/A,FALSE,"Man_Pwr";#N/A,#N/A,FALSE,"Man_Prof"}</definedName>
    <definedName name="ada_4" hidden="1">{#N/A,#N/A,FALSE,"str_title";#N/A,#N/A,FALSE,"SUM";#N/A,#N/A,FALSE,"Scope";#N/A,#N/A,FALSE,"PIE-Jn";#N/A,#N/A,FALSE,"PIE-Jn_Hz";#N/A,#N/A,FALSE,"Liq_Plan";#N/A,#N/A,FALSE,"S_Curve";#N/A,#N/A,FALSE,"Liq_Prof";#N/A,#N/A,FALSE,"Man_Pwr";#N/A,#N/A,FALSE,"Man_Prof"}</definedName>
    <definedName name="ada_5"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_1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_1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_1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_1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_1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_2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_2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_2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_2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_2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dd_1" hidden="1">{#N/A,#N/A,FALSE,"COVER1.XLS ";#N/A,#N/A,FALSE,"RACT1.XLS";#N/A,#N/A,FALSE,"RACT2.XLS";#N/A,#N/A,FALSE,"ECCMP";#N/A,#N/A,FALSE,"WELDER.XLS"}</definedName>
    <definedName name="adadd_1_1" hidden="1">{#N/A,#N/A,FALSE,"COVER1.XLS ";#N/A,#N/A,FALSE,"RACT1.XLS";#N/A,#N/A,FALSE,"RACT2.XLS";#N/A,#N/A,FALSE,"ECCMP";#N/A,#N/A,FALSE,"WELDER.XLS"}</definedName>
    <definedName name="adadd_1_2" hidden="1">{#N/A,#N/A,FALSE,"COVER1.XLS ";#N/A,#N/A,FALSE,"RACT1.XLS";#N/A,#N/A,FALSE,"RACT2.XLS";#N/A,#N/A,FALSE,"ECCMP";#N/A,#N/A,FALSE,"WELDER.XLS"}</definedName>
    <definedName name="adadd_1_3" hidden="1">{#N/A,#N/A,FALSE,"COVER1.XLS ";#N/A,#N/A,FALSE,"RACT1.XLS";#N/A,#N/A,FALSE,"RACT2.XLS";#N/A,#N/A,FALSE,"ECCMP";#N/A,#N/A,FALSE,"WELDER.XLS"}</definedName>
    <definedName name="adadd_1_4" hidden="1">{#N/A,#N/A,FALSE,"COVER1.XLS ";#N/A,#N/A,FALSE,"RACT1.XLS";#N/A,#N/A,FALSE,"RACT2.XLS";#N/A,#N/A,FALSE,"ECCMP";#N/A,#N/A,FALSE,"WELDER.XLS"}</definedName>
    <definedName name="adadd_1_5" hidden="1">{#N/A,#N/A,FALSE,"COVER1.XLS ";#N/A,#N/A,FALSE,"RACT1.XLS";#N/A,#N/A,FALSE,"RACT2.XLS";#N/A,#N/A,FALSE,"ECCMP";#N/A,#N/A,FALSE,"WELDER.XLS"}</definedName>
    <definedName name="adadd_2" hidden="1">{#N/A,#N/A,FALSE,"COVER1.XLS ";#N/A,#N/A,FALSE,"RACT1.XLS";#N/A,#N/A,FALSE,"RACT2.XLS";#N/A,#N/A,FALSE,"ECCMP";#N/A,#N/A,FALSE,"WELDER.XLS"}</definedName>
    <definedName name="adadd_2_1" hidden="1">{#N/A,#N/A,FALSE,"COVER1.XLS ";#N/A,#N/A,FALSE,"RACT1.XLS";#N/A,#N/A,FALSE,"RACT2.XLS";#N/A,#N/A,FALSE,"ECCMP";#N/A,#N/A,FALSE,"WELDER.XLS"}</definedName>
    <definedName name="adadd_2_2" hidden="1">{#N/A,#N/A,FALSE,"COVER1.XLS ";#N/A,#N/A,FALSE,"RACT1.XLS";#N/A,#N/A,FALSE,"RACT2.XLS";#N/A,#N/A,FALSE,"ECCMP";#N/A,#N/A,FALSE,"WELDER.XLS"}</definedName>
    <definedName name="adadd_2_3" hidden="1">{#N/A,#N/A,FALSE,"COVER1.XLS ";#N/A,#N/A,FALSE,"RACT1.XLS";#N/A,#N/A,FALSE,"RACT2.XLS";#N/A,#N/A,FALSE,"ECCMP";#N/A,#N/A,FALSE,"WELDER.XLS"}</definedName>
    <definedName name="adadd_2_4" hidden="1">{#N/A,#N/A,FALSE,"COVER1.XLS ";#N/A,#N/A,FALSE,"RACT1.XLS";#N/A,#N/A,FALSE,"RACT2.XLS";#N/A,#N/A,FALSE,"ECCMP";#N/A,#N/A,FALSE,"WELDER.XLS"}</definedName>
    <definedName name="adadd_2_5" hidden="1">{#N/A,#N/A,FALSE,"COVER1.XLS ";#N/A,#N/A,FALSE,"RACT1.XLS";#N/A,#N/A,FALSE,"RACT2.XLS";#N/A,#N/A,FALSE,"ECCMP";#N/A,#N/A,FALSE,"WELDER.XLS"}</definedName>
    <definedName name="adadd_3" hidden="1">{#N/A,#N/A,FALSE,"COVER1.XLS ";#N/A,#N/A,FALSE,"RACT1.XLS";#N/A,#N/A,FALSE,"RACT2.XLS";#N/A,#N/A,FALSE,"ECCMP";#N/A,#N/A,FALSE,"WELDER.XLS"}</definedName>
    <definedName name="adadd_4" hidden="1">{#N/A,#N/A,FALSE,"COVER1.XLS ";#N/A,#N/A,FALSE,"RACT1.XLS";#N/A,#N/A,FALSE,"RACT2.XLS";#N/A,#N/A,FALSE,"ECCMP";#N/A,#N/A,FALSE,"WELDER.XLS"}</definedName>
    <definedName name="adadd_5" hidden="1">{#N/A,#N/A,FALSE,"COVER1.XLS ";#N/A,#N/A,FALSE,"RACT1.XLS";#N/A,#N/A,FALSE,"RACT2.XLS";#N/A,#N/A,FALSE,"ECCMP";#N/A,#N/A,FALSE,"WELDER.XLS"}</definedName>
    <definedName name="adf" hidden="1">{#N/A,#N/A,FALSE,"COVER1.XLS ";#N/A,#N/A,FALSE,"RACT1.XLS";#N/A,#N/A,FALSE,"RACT2.XLS";#N/A,#N/A,FALSE,"ECCMP";#N/A,#N/A,FALSE,"WELDER.XLS"}</definedName>
    <definedName name="adf_1" hidden="1">{#N/A,#N/A,FALSE,"COVER1.XLS ";#N/A,#N/A,FALSE,"RACT1.XLS";#N/A,#N/A,FALSE,"RACT2.XLS";#N/A,#N/A,FALSE,"ECCMP";#N/A,#N/A,FALSE,"WELDER.XLS"}</definedName>
    <definedName name="adf_2" hidden="1">{#N/A,#N/A,FALSE,"COVER1.XLS ";#N/A,#N/A,FALSE,"RACT1.XLS";#N/A,#N/A,FALSE,"RACT2.XLS";#N/A,#N/A,FALSE,"ECCMP";#N/A,#N/A,FALSE,"WELDER.XLS"}</definedName>
    <definedName name="adf_3" hidden="1">{#N/A,#N/A,FALSE,"COVER1.XLS ";#N/A,#N/A,FALSE,"RACT1.XLS";#N/A,#N/A,FALSE,"RACT2.XLS";#N/A,#N/A,FALSE,"ECCMP";#N/A,#N/A,FALSE,"WELDER.XLS"}</definedName>
    <definedName name="adf_4" hidden="1">{#N/A,#N/A,FALSE,"COVER1.XLS ";#N/A,#N/A,FALSE,"RACT1.XLS";#N/A,#N/A,FALSE,"RACT2.XLS";#N/A,#N/A,FALSE,"ECCMP";#N/A,#N/A,FALSE,"WELDER.XLS"}</definedName>
    <definedName name="adf_5" hidden="1">{#N/A,#N/A,FALSE,"COVER1.XLS ";#N/A,#N/A,FALSE,"RACT1.XLS";#N/A,#N/A,FALSE,"RACT2.XLS";#N/A,#N/A,FALSE,"ECCMP";#N/A,#N/A,FALSE,"WELDER.XLS"}</definedName>
    <definedName name="adfrs" hidden="1">{#N/A,#N/A,FALSE,"COVER.XLS";#N/A,#N/A,FALSE,"RACT1.XLS";#N/A,#N/A,FALSE,"RACT2.XLS";#N/A,#N/A,FALSE,"ECCMP";#N/A,#N/A,FALSE,"WELDER.XLS"}</definedName>
    <definedName name="adfrs_1" hidden="1">{#N/A,#N/A,FALSE,"COVER.XLS";#N/A,#N/A,FALSE,"RACT1.XLS";#N/A,#N/A,FALSE,"RACT2.XLS";#N/A,#N/A,FALSE,"ECCMP";#N/A,#N/A,FALSE,"WELDER.XLS"}</definedName>
    <definedName name="adfrs_1_1" hidden="1">{#N/A,#N/A,FALSE,"COVER.XLS";#N/A,#N/A,FALSE,"RACT1.XLS";#N/A,#N/A,FALSE,"RACT2.XLS";#N/A,#N/A,FALSE,"ECCMP";#N/A,#N/A,FALSE,"WELDER.XLS"}</definedName>
    <definedName name="adfrs_1_2" hidden="1">{#N/A,#N/A,FALSE,"COVER.XLS";#N/A,#N/A,FALSE,"RACT1.XLS";#N/A,#N/A,FALSE,"RACT2.XLS";#N/A,#N/A,FALSE,"ECCMP";#N/A,#N/A,FALSE,"WELDER.XLS"}</definedName>
    <definedName name="adfrs_1_3" hidden="1">{#N/A,#N/A,FALSE,"COVER.XLS";#N/A,#N/A,FALSE,"RACT1.XLS";#N/A,#N/A,FALSE,"RACT2.XLS";#N/A,#N/A,FALSE,"ECCMP";#N/A,#N/A,FALSE,"WELDER.XLS"}</definedName>
    <definedName name="adfrs_1_4" hidden="1">{#N/A,#N/A,FALSE,"COVER.XLS";#N/A,#N/A,FALSE,"RACT1.XLS";#N/A,#N/A,FALSE,"RACT2.XLS";#N/A,#N/A,FALSE,"ECCMP";#N/A,#N/A,FALSE,"WELDER.XLS"}</definedName>
    <definedName name="adfrs_1_5" hidden="1">{#N/A,#N/A,FALSE,"COVER.XLS";#N/A,#N/A,FALSE,"RACT1.XLS";#N/A,#N/A,FALSE,"RACT2.XLS";#N/A,#N/A,FALSE,"ECCMP";#N/A,#N/A,FALSE,"WELDER.XLS"}</definedName>
    <definedName name="adfrs_2" hidden="1">{#N/A,#N/A,FALSE,"COVER.XLS";#N/A,#N/A,FALSE,"RACT1.XLS";#N/A,#N/A,FALSE,"RACT2.XLS";#N/A,#N/A,FALSE,"ECCMP";#N/A,#N/A,FALSE,"WELDER.XLS"}</definedName>
    <definedName name="adfrs_2_1" hidden="1">{#N/A,#N/A,FALSE,"COVER.XLS";#N/A,#N/A,FALSE,"RACT1.XLS";#N/A,#N/A,FALSE,"RACT2.XLS";#N/A,#N/A,FALSE,"ECCMP";#N/A,#N/A,FALSE,"WELDER.XLS"}</definedName>
    <definedName name="adfrs_2_2" hidden="1">{#N/A,#N/A,FALSE,"COVER.XLS";#N/A,#N/A,FALSE,"RACT1.XLS";#N/A,#N/A,FALSE,"RACT2.XLS";#N/A,#N/A,FALSE,"ECCMP";#N/A,#N/A,FALSE,"WELDER.XLS"}</definedName>
    <definedName name="adfrs_2_3" hidden="1">{#N/A,#N/A,FALSE,"COVER.XLS";#N/A,#N/A,FALSE,"RACT1.XLS";#N/A,#N/A,FALSE,"RACT2.XLS";#N/A,#N/A,FALSE,"ECCMP";#N/A,#N/A,FALSE,"WELDER.XLS"}</definedName>
    <definedName name="adfrs_2_4" hidden="1">{#N/A,#N/A,FALSE,"COVER.XLS";#N/A,#N/A,FALSE,"RACT1.XLS";#N/A,#N/A,FALSE,"RACT2.XLS";#N/A,#N/A,FALSE,"ECCMP";#N/A,#N/A,FALSE,"WELDER.XLS"}</definedName>
    <definedName name="adfrs_2_5" hidden="1">{#N/A,#N/A,FALSE,"COVER.XLS";#N/A,#N/A,FALSE,"RACT1.XLS";#N/A,#N/A,FALSE,"RACT2.XLS";#N/A,#N/A,FALSE,"ECCMP";#N/A,#N/A,FALSE,"WELDER.XLS"}</definedName>
    <definedName name="adfrs_3" hidden="1">{#N/A,#N/A,FALSE,"COVER.XLS";#N/A,#N/A,FALSE,"RACT1.XLS";#N/A,#N/A,FALSE,"RACT2.XLS";#N/A,#N/A,FALSE,"ECCMP";#N/A,#N/A,FALSE,"WELDER.XLS"}</definedName>
    <definedName name="adfrs_4" hidden="1">{#N/A,#N/A,FALSE,"COVER.XLS";#N/A,#N/A,FALSE,"RACT1.XLS";#N/A,#N/A,FALSE,"RACT2.XLS";#N/A,#N/A,FALSE,"ECCMP";#N/A,#N/A,FALSE,"WELDER.XLS"}</definedName>
    <definedName name="adfrs_5" hidden="1">{#N/A,#N/A,FALSE,"COVER.XLS";#N/A,#N/A,FALSE,"RACT1.XLS";#N/A,#N/A,FALSE,"RACT2.XLS";#N/A,#N/A,FALSE,"ECCMP";#N/A,#N/A,FALSE,"WELDER.XLS"}</definedName>
    <definedName name="adfsad" hidden="1">{#N/A,#N/A,FALSE,"COVER1.XLS ";#N/A,#N/A,FALSE,"RACT1.XLS";#N/A,#N/A,FALSE,"RACT2.XLS";#N/A,#N/A,FALSE,"ECCMP";#N/A,#N/A,FALSE,"WELDER.XLS"}</definedName>
    <definedName name="adfsad_1" hidden="1">{#N/A,#N/A,FALSE,"COVER1.XLS ";#N/A,#N/A,FALSE,"RACT1.XLS";#N/A,#N/A,FALSE,"RACT2.XLS";#N/A,#N/A,FALSE,"ECCMP";#N/A,#N/A,FALSE,"WELDER.XLS"}</definedName>
    <definedName name="adfsad_2" hidden="1">{#N/A,#N/A,FALSE,"COVER1.XLS ";#N/A,#N/A,FALSE,"RACT1.XLS";#N/A,#N/A,FALSE,"RACT2.XLS";#N/A,#N/A,FALSE,"ECCMP";#N/A,#N/A,FALSE,"WELDER.XLS"}</definedName>
    <definedName name="adfsad_3" hidden="1">{#N/A,#N/A,FALSE,"COVER1.XLS ";#N/A,#N/A,FALSE,"RACT1.XLS";#N/A,#N/A,FALSE,"RACT2.XLS";#N/A,#N/A,FALSE,"ECCMP";#N/A,#N/A,FALSE,"WELDER.XLS"}</definedName>
    <definedName name="adfsad_4" hidden="1">{#N/A,#N/A,FALSE,"COVER1.XLS ";#N/A,#N/A,FALSE,"RACT1.XLS";#N/A,#N/A,FALSE,"RACT2.XLS";#N/A,#N/A,FALSE,"ECCMP";#N/A,#N/A,FALSE,"WELDER.XLS"}</definedName>
    <definedName name="adfsad_5" hidden="1">{#N/A,#N/A,FALSE,"COVER1.XLS ";#N/A,#N/A,FALSE,"RACT1.XLS";#N/A,#N/A,FALSE,"RACT2.XLS";#N/A,#N/A,FALSE,"ECCMP";#N/A,#N/A,FALSE,"WELDER.XLS"}</definedName>
    <definedName name="ads" hidden="1">{#N/A,#N/A,FALSE,"COVER1.XLS ";#N/A,#N/A,FALSE,"RACT1.XLS";#N/A,#N/A,FALSE,"RACT2.XLS";#N/A,#N/A,FALSE,"ECCMP";#N/A,#N/A,FALSE,"WELDER.XLS"}</definedName>
    <definedName name="ads_1" hidden="1">{#N/A,#N/A,FALSE,"COVER1.XLS ";#N/A,#N/A,FALSE,"RACT1.XLS";#N/A,#N/A,FALSE,"RACT2.XLS";#N/A,#N/A,FALSE,"ECCMP";#N/A,#N/A,FALSE,"WELDER.XLS"}</definedName>
    <definedName name="ads_1_1" hidden="1">{#N/A,#N/A,FALSE,"COVER1.XLS ";#N/A,#N/A,FALSE,"RACT1.XLS";#N/A,#N/A,FALSE,"RACT2.XLS";#N/A,#N/A,FALSE,"ECCMP";#N/A,#N/A,FALSE,"WELDER.XLS"}</definedName>
    <definedName name="ads_1_2" hidden="1">{#N/A,#N/A,FALSE,"COVER1.XLS ";#N/A,#N/A,FALSE,"RACT1.XLS";#N/A,#N/A,FALSE,"RACT2.XLS";#N/A,#N/A,FALSE,"ECCMP";#N/A,#N/A,FALSE,"WELDER.XLS"}</definedName>
    <definedName name="ads_1_3" hidden="1">{#N/A,#N/A,FALSE,"COVER1.XLS ";#N/A,#N/A,FALSE,"RACT1.XLS";#N/A,#N/A,FALSE,"RACT2.XLS";#N/A,#N/A,FALSE,"ECCMP";#N/A,#N/A,FALSE,"WELDER.XLS"}</definedName>
    <definedName name="ads_1_4" hidden="1">{#N/A,#N/A,FALSE,"COVER1.XLS ";#N/A,#N/A,FALSE,"RACT1.XLS";#N/A,#N/A,FALSE,"RACT2.XLS";#N/A,#N/A,FALSE,"ECCMP";#N/A,#N/A,FALSE,"WELDER.XLS"}</definedName>
    <definedName name="ads_1_5" hidden="1">{#N/A,#N/A,FALSE,"COVER1.XLS ";#N/A,#N/A,FALSE,"RACT1.XLS";#N/A,#N/A,FALSE,"RACT2.XLS";#N/A,#N/A,FALSE,"ECCMP";#N/A,#N/A,FALSE,"WELDER.XLS"}</definedName>
    <definedName name="ads_2" hidden="1">{#N/A,#N/A,FALSE,"COVER1.XLS ";#N/A,#N/A,FALSE,"RACT1.XLS";#N/A,#N/A,FALSE,"RACT2.XLS";#N/A,#N/A,FALSE,"ECCMP";#N/A,#N/A,FALSE,"WELDER.XLS"}</definedName>
    <definedName name="ads_2_1" hidden="1">{#N/A,#N/A,FALSE,"COVER1.XLS ";#N/A,#N/A,FALSE,"RACT1.XLS";#N/A,#N/A,FALSE,"RACT2.XLS";#N/A,#N/A,FALSE,"ECCMP";#N/A,#N/A,FALSE,"WELDER.XLS"}</definedName>
    <definedName name="ads_2_2" hidden="1">{#N/A,#N/A,FALSE,"COVER1.XLS ";#N/A,#N/A,FALSE,"RACT1.XLS";#N/A,#N/A,FALSE,"RACT2.XLS";#N/A,#N/A,FALSE,"ECCMP";#N/A,#N/A,FALSE,"WELDER.XLS"}</definedName>
    <definedName name="ads_2_3" hidden="1">{#N/A,#N/A,FALSE,"COVER1.XLS ";#N/A,#N/A,FALSE,"RACT1.XLS";#N/A,#N/A,FALSE,"RACT2.XLS";#N/A,#N/A,FALSE,"ECCMP";#N/A,#N/A,FALSE,"WELDER.XLS"}</definedName>
    <definedName name="ads_2_4" hidden="1">{#N/A,#N/A,FALSE,"COVER1.XLS ";#N/A,#N/A,FALSE,"RACT1.XLS";#N/A,#N/A,FALSE,"RACT2.XLS";#N/A,#N/A,FALSE,"ECCMP";#N/A,#N/A,FALSE,"WELDER.XLS"}</definedName>
    <definedName name="ads_2_5" hidden="1">{#N/A,#N/A,FALSE,"COVER1.XLS ";#N/A,#N/A,FALSE,"RACT1.XLS";#N/A,#N/A,FALSE,"RACT2.XLS";#N/A,#N/A,FALSE,"ECCMP";#N/A,#N/A,FALSE,"WELDER.XLS"}</definedName>
    <definedName name="ads_3" hidden="1">{#N/A,#N/A,FALSE,"COVER1.XLS ";#N/A,#N/A,FALSE,"RACT1.XLS";#N/A,#N/A,FALSE,"RACT2.XLS";#N/A,#N/A,FALSE,"ECCMP";#N/A,#N/A,FALSE,"WELDER.XLS"}</definedName>
    <definedName name="ads_4" hidden="1">{#N/A,#N/A,FALSE,"COVER1.XLS ";#N/A,#N/A,FALSE,"RACT1.XLS";#N/A,#N/A,FALSE,"RACT2.XLS";#N/A,#N/A,FALSE,"ECCMP";#N/A,#N/A,FALSE,"WELDER.XLS"}</definedName>
    <definedName name="ads_5" hidden="1">{#N/A,#N/A,FALSE,"COVER1.XLS ";#N/A,#N/A,FALSE,"RACT1.XLS";#N/A,#N/A,FALSE,"RACT2.XLS";#N/A,#N/A,FALSE,"ECCMP";#N/A,#N/A,FALSE,"WELDER.XLS"}</definedName>
    <definedName name="AJHSFG" hidden="1">#REF!</definedName>
    <definedName name="al"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_1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_1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_1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_1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_1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_2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_2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_2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_2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_2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_1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_1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_1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_1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_1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_2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_2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_2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_2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_2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m" hidden="1">{#N/A,#N/A,FALSE,"COVER.XLS";#N/A,#N/A,FALSE,"RACT1.XLS";#N/A,#N/A,FALSE,"RACT2.XLS";#N/A,#N/A,FALSE,"ECCMP";#N/A,#N/A,FALSE,"WELDER.XLS"}</definedName>
    <definedName name="ana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_1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_1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_1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_1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_1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_2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_2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_2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_2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_2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scount" hidden="1">1</definedName>
    <definedName name="arajamo" hidden="1">{#N/A,#N/A,FALSE,"str_title";#N/A,#N/A,FALSE,"SUM";#N/A,#N/A,FALSE,"Scope";#N/A,#N/A,FALSE,"PIE-Jn";#N/A,#N/A,FALSE,"PIE-Jn_Hz";#N/A,#N/A,FALSE,"Liq_Plan";#N/A,#N/A,FALSE,"S_Curve";#N/A,#N/A,FALSE,"Liq_Prof";#N/A,#N/A,FALSE,"Man_Pwr";#N/A,#N/A,FALSE,"Man_Prof"}</definedName>
    <definedName name="arajamo_1" hidden="1">{#N/A,#N/A,FALSE,"str_title";#N/A,#N/A,FALSE,"SUM";#N/A,#N/A,FALSE,"Scope";#N/A,#N/A,FALSE,"PIE-Jn";#N/A,#N/A,FALSE,"PIE-Jn_Hz";#N/A,#N/A,FALSE,"Liq_Plan";#N/A,#N/A,FALSE,"S_Curve";#N/A,#N/A,FALSE,"Liq_Prof";#N/A,#N/A,FALSE,"Man_Pwr";#N/A,#N/A,FALSE,"Man_Prof"}</definedName>
    <definedName name="arajamo_2" hidden="1">{#N/A,#N/A,FALSE,"str_title";#N/A,#N/A,FALSE,"SUM";#N/A,#N/A,FALSE,"Scope";#N/A,#N/A,FALSE,"PIE-Jn";#N/A,#N/A,FALSE,"PIE-Jn_Hz";#N/A,#N/A,FALSE,"Liq_Plan";#N/A,#N/A,FALSE,"S_Curve";#N/A,#N/A,FALSE,"Liq_Prof";#N/A,#N/A,FALSE,"Man_Pwr";#N/A,#N/A,FALSE,"Man_Prof"}</definedName>
    <definedName name="arajamo_3" hidden="1">{#N/A,#N/A,FALSE,"str_title";#N/A,#N/A,FALSE,"SUM";#N/A,#N/A,FALSE,"Scope";#N/A,#N/A,FALSE,"PIE-Jn";#N/A,#N/A,FALSE,"PIE-Jn_Hz";#N/A,#N/A,FALSE,"Liq_Plan";#N/A,#N/A,FALSE,"S_Curve";#N/A,#N/A,FALSE,"Liq_Prof";#N/A,#N/A,FALSE,"Man_Pwr";#N/A,#N/A,FALSE,"Man_Prof"}</definedName>
    <definedName name="arajamo_4" hidden="1">{#N/A,#N/A,FALSE,"str_title";#N/A,#N/A,FALSE,"SUM";#N/A,#N/A,FALSE,"Scope";#N/A,#N/A,FALSE,"PIE-Jn";#N/A,#N/A,FALSE,"PIE-Jn_Hz";#N/A,#N/A,FALSE,"Liq_Plan";#N/A,#N/A,FALSE,"S_Curve";#N/A,#N/A,FALSE,"Liq_Prof";#N/A,#N/A,FALSE,"Man_Pwr";#N/A,#N/A,FALSE,"Man_Prof"}</definedName>
    <definedName name="arajamo_5" hidden="1">{#N/A,#N/A,FALSE,"str_title";#N/A,#N/A,FALSE,"SUM";#N/A,#N/A,FALSE,"Scope";#N/A,#N/A,FALSE,"PIE-Jn";#N/A,#N/A,FALSE,"PIE-Jn_Hz";#N/A,#N/A,FALSE,"Liq_Plan";#N/A,#N/A,FALSE,"S_Curve";#N/A,#N/A,FALSE,"Liq_Prof";#N/A,#N/A,FALSE,"Man_Pwr";#N/A,#N/A,FALSE,"Man_Prof"}</definedName>
    <definedName name="AS" hidden="1">{#N/A,#N/A,FALSE,"COVER.XLS";#N/A,#N/A,FALSE,"RACT1.XLS";#N/A,#N/A,FALSE,"RACT2.XLS";#N/A,#N/A,FALSE,"ECCMP";#N/A,#N/A,FALSE,"WELDER.XLS"}</definedName>
    <definedName name="AS_1" hidden="1">{#N/A,#N/A,FALSE,"COVER.XLS";#N/A,#N/A,FALSE,"RACT1.XLS";#N/A,#N/A,FALSE,"RACT2.XLS";#N/A,#N/A,FALSE,"ECCMP";#N/A,#N/A,FALSE,"WELDER.XLS"}</definedName>
    <definedName name="AS_2" hidden="1">{#N/A,#N/A,FALSE,"COVER.XLS";#N/A,#N/A,FALSE,"RACT1.XLS";#N/A,#N/A,FALSE,"RACT2.XLS";#N/A,#N/A,FALSE,"ECCMP";#N/A,#N/A,FALSE,"WELDER.XLS"}</definedName>
    <definedName name="AS_3" hidden="1">{#N/A,#N/A,FALSE,"COVER.XLS";#N/A,#N/A,FALSE,"RACT1.XLS";#N/A,#N/A,FALSE,"RACT2.XLS";#N/A,#N/A,FALSE,"ECCMP";#N/A,#N/A,FALSE,"WELDER.XLS"}</definedName>
    <definedName name="AS_4" hidden="1">{#N/A,#N/A,FALSE,"COVER.XLS";#N/A,#N/A,FALSE,"RACT1.XLS";#N/A,#N/A,FALSE,"RACT2.XLS";#N/A,#N/A,FALSE,"ECCMP";#N/A,#N/A,FALSE,"WELDER.XLS"}</definedName>
    <definedName name="AS_5" hidden="1">{#N/A,#N/A,FALSE,"COVER.XLS";#N/A,#N/A,FALSE,"RACT1.XLS";#N/A,#N/A,FALSE,"RACT2.XLS";#N/A,#N/A,FALSE,"ECCMP";#N/A,#N/A,FALSE,"WELDER.XLS"}</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asa" hidden="1">{#N/A,#N/A,FALSE,"COVER1.XLS ";#N/A,#N/A,FALSE,"RACT1.XLS";#N/A,#N/A,FALSE,"RACT2.XLS";#N/A,#N/A,FALSE,"ECCMP";#N/A,#N/A,FALSE,"WELDER.XLS"}</definedName>
    <definedName name="asa_1" hidden="1">{#N/A,#N/A,FALSE,"COVER1.XLS ";#N/A,#N/A,FALSE,"RACT1.XLS";#N/A,#N/A,FALSE,"RACT2.XLS";#N/A,#N/A,FALSE,"ECCMP";#N/A,#N/A,FALSE,"WELDER.XLS"}</definedName>
    <definedName name="asa_1_1" hidden="1">{#N/A,#N/A,FALSE,"COVER1.XLS ";#N/A,#N/A,FALSE,"RACT1.XLS";#N/A,#N/A,FALSE,"RACT2.XLS";#N/A,#N/A,FALSE,"ECCMP";#N/A,#N/A,FALSE,"WELDER.XLS"}</definedName>
    <definedName name="asa_1_2" hidden="1">{#N/A,#N/A,FALSE,"COVER1.XLS ";#N/A,#N/A,FALSE,"RACT1.XLS";#N/A,#N/A,FALSE,"RACT2.XLS";#N/A,#N/A,FALSE,"ECCMP";#N/A,#N/A,FALSE,"WELDER.XLS"}</definedName>
    <definedName name="asa_1_3" hidden="1">{#N/A,#N/A,FALSE,"COVER1.XLS ";#N/A,#N/A,FALSE,"RACT1.XLS";#N/A,#N/A,FALSE,"RACT2.XLS";#N/A,#N/A,FALSE,"ECCMP";#N/A,#N/A,FALSE,"WELDER.XLS"}</definedName>
    <definedName name="asa_1_4" hidden="1">{#N/A,#N/A,FALSE,"COVER1.XLS ";#N/A,#N/A,FALSE,"RACT1.XLS";#N/A,#N/A,FALSE,"RACT2.XLS";#N/A,#N/A,FALSE,"ECCMP";#N/A,#N/A,FALSE,"WELDER.XLS"}</definedName>
    <definedName name="asa_1_5" hidden="1">{#N/A,#N/A,FALSE,"COVER1.XLS ";#N/A,#N/A,FALSE,"RACT1.XLS";#N/A,#N/A,FALSE,"RACT2.XLS";#N/A,#N/A,FALSE,"ECCMP";#N/A,#N/A,FALSE,"WELDER.XLS"}</definedName>
    <definedName name="asa_2" hidden="1">{#N/A,#N/A,FALSE,"COVER1.XLS ";#N/A,#N/A,FALSE,"RACT1.XLS";#N/A,#N/A,FALSE,"RACT2.XLS";#N/A,#N/A,FALSE,"ECCMP";#N/A,#N/A,FALSE,"WELDER.XLS"}</definedName>
    <definedName name="asa_2_1" hidden="1">{#N/A,#N/A,FALSE,"COVER1.XLS ";#N/A,#N/A,FALSE,"RACT1.XLS";#N/A,#N/A,FALSE,"RACT2.XLS";#N/A,#N/A,FALSE,"ECCMP";#N/A,#N/A,FALSE,"WELDER.XLS"}</definedName>
    <definedName name="asa_2_2" hidden="1">{#N/A,#N/A,FALSE,"COVER1.XLS ";#N/A,#N/A,FALSE,"RACT1.XLS";#N/A,#N/A,FALSE,"RACT2.XLS";#N/A,#N/A,FALSE,"ECCMP";#N/A,#N/A,FALSE,"WELDER.XLS"}</definedName>
    <definedName name="asa_2_3" hidden="1">{#N/A,#N/A,FALSE,"COVER1.XLS ";#N/A,#N/A,FALSE,"RACT1.XLS";#N/A,#N/A,FALSE,"RACT2.XLS";#N/A,#N/A,FALSE,"ECCMP";#N/A,#N/A,FALSE,"WELDER.XLS"}</definedName>
    <definedName name="asa_2_4" hidden="1">{#N/A,#N/A,FALSE,"COVER1.XLS ";#N/A,#N/A,FALSE,"RACT1.XLS";#N/A,#N/A,FALSE,"RACT2.XLS";#N/A,#N/A,FALSE,"ECCMP";#N/A,#N/A,FALSE,"WELDER.XLS"}</definedName>
    <definedName name="asa_2_5" hidden="1">{#N/A,#N/A,FALSE,"COVER1.XLS ";#N/A,#N/A,FALSE,"RACT1.XLS";#N/A,#N/A,FALSE,"RACT2.XLS";#N/A,#N/A,FALSE,"ECCMP";#N/A,#N/A,FALSE,"WELDER.XLS"}</definedName>
    <definedName name="asa_3" hidden="1">{#N/A,#N/A,FALSE,"COVER1.XLS ";#N/A,#N/A,FALSE,"RACT1.XLS";#N/A,#N/A,FALSE,"RACT2.XLS";#N/A,#N/A,FALSE,"ECCMP";#N/A,#N/A,FALSE,"WELDER.XLS"}</definedName>
    <definedName name="asa_4" hidden="1">{#N/A,#N/A,FALSE,"COVER1.XLS ";#N/A,#N/A,FALSE,"RACT1.XLS";#N/A,#N/A,FALSE,"RACT2.XLS";#N/A,#N/A,FALSE,"ECCMP";#N/A,#N/A,FALSE,"WELDER.XLS"}</definedName>
    <definedName name="asa_5" hidden="1">{#N/A,#N/A,FALSE,"COVER1.XLS ";#N/A,#N/A,FALSE,"RACT1.XLS";#N/A,#N/A,FALSE,"RACT2.XLS";#N/A,#N/A,FALSE,"ECCMP";#N/A,#N/A,FALSE,"WELDER.XLS"}</definedName>
    <definedName name="asad" hidden="1">{#N/A,#N/A,FALSE,"str_title";#N/A,#N/A,FALSE,"SUM";#N/A,#N/A,FALSE,"Scope";#N/A,#N/A,FALSE,"PIE-Jn";#N/A,#N/A,FALSE,"PIE-Jn_Hz";#N/A,#N/A,FALSE,"Liq_Plan";#N/A,#N/A,FALSE,"S_Curve";#N/A,#N/A,FALSE,"Liq_Prof";#N/A,#N/A,FALSE,"Man_Pwr";#N/A,#N/A,FALSE,"Man_Prof"}</definedName>
    <definedName name="asad_1" hidden="1">{#N/A,#N/A,FALSE,"str_title";#N/A,#N/A,FALSE,"SUM";#N/A,#N/A,FALSE,"Scope";#N/A,#N/A,FALSE,"PIE-Jn";#N/A,#N/A,FALSE,"PIE-Jn_Hz";#N/A,#N/A,FALSE,"Liq_Plan";#N/A,#N/A,FALSE,"S_Curve";#N/A,#N/A,FALSE,"Liq_Prof";#N/A,#N/A,FALSE,"Man_Pwr";#N/A,#N/A,FALSE,"Man_Prof"}</definedName>
    <definedName name="asad_1_1" hidden="1">{#N/A,#N/A,FALSE,"str_title";#N/A,#N/A,FALSE,"SUM";#N/A,#N/A,FALSE,"Scope";#N/A,#N/A,FALSE,"PIE-Jn";#N/A,#N/A,FALSE,"PIE-Jn_Hz";#N/A,#N/A,FALSE,"Liq_Plan";#N/A,#N/A,FALSE,"S_Curve";#N/A,#N/A,FALSE,"Liq_Prof";#N/A,#N/A,FALSE,"Man_Pwr";#N/A,#N/A,FALSE,"Man_Prof"}</definedName>
    <definedName name="asad_1_2" hidden="1">{#N/A,#N/A,FALSE,"str_title";#N/A,#N/A,FALSE,"SUM";#N/A,#N/A,FALSE,"Scope";#N/A,#N/A,FALSE,"PIE-Jn";#N/A,#N/A,FALSE,"PIE-Jn_Hz";#N/A,#N/A,FALSE,"Liq_Plan";#N/A,#N/A,FALSE,"S_Curve";#N/A,#N/A,FALSE,"Liq_Prof";#N/A,#N/A,FALSE,"Man_Pwr";#N/A,#N/A,FALSE,"Man_Prof"}</definedName>
    <definedName name="asad_1_3" hidden="1">{#N/A,#N/A,FALSE,"str_title";#N/A,#N/A,FALSE,"SUM";#N/A,#N/A,FALSE,"Scope";#N/A,#N/A,FALSE,"PIE-Jn";#N/A,#N/A,FALSE,"PIE-Jn_Hz";#N/A,#N/A,FALSE,"Liq_Plan";#N/A,#N/A,FALSE,"S_Curve";#N/A,#N/A,FALSE,"Liq_Prof";#N/A,#N/A,FALSE,"Man_Pwr";#N/A,#N/A,FALSE,"Man_Prof"}</definedName>
    <definedName name="asad_1_4" hidden="1">{#N/A,#N/A,FALSE,"str_title";#N/A,#N/A,FALSE,"SUM";#N/A,#N/A,FALSE,"Scope";#N/A,#N/A,FALSE,"PIE-Jn";#N/A,#N/A,FALSE,"PIE-Jn_Hz";#N/A,#N/A,FALSE,"Liq_Plan";#N/A,#N/A,FALSE,"S_Curve";#N/A,#N/A,FALSE,"Liq_Prof";#N/A,#N/A,FALSE,"Man_Pwr";#N/A,#N/A,FALSE,"Man_Prof"}</definedName>
    <definedName name="asad_1_5" hidden="1">{#N/A,#N/A,FALSE,"str_title";#N/A,#N/A,FALSE,"SUM";#N/A,#N/A,FALSE,"Scope";#N/A,#N/A,FALSE,"PIE-Jn";#N/A,#N/A,FALSE,"PIE-Jn_Hz";#N/A,#N/A,FALSE,"Liq_Plan";#N/A,#N/A,FALSE,"S_Curve";#N/A,#N/A,FALSE,"Liq_Prof";#N/A,#N/A,FALSE,"Man_Pwr";#N/A,#N/A,FALSE,"Man_Prof"}</definedName>
    <definedName name="asad_2" hidden="1">{#N/A,#N/A,FALSE,"str_title";#N/A,#N/A,FALSE,"SUM";#N/A,#N/A,FALSE,"Scope";#N/A,#N/A,FALSE,"PIE-Jn";#N/A,#N/A,FALSE,"PIE-Jn_Hz";#N/A,#N/A,FALSE,"Liq_Plan";#N/A,#N/A,FALSE,"S_Curve";#N/A,#N/A,FALSE,"Liq_Prof";#N/A,#N/A,FALSE,"Man_Pwr";#N/A,#N/A,FALSE,"Man_Prof"}</definedName>
    <definedName name="asad_2_1" hidden="1">{#N/A,#N/A,FALSE,"str_title";#N/A,#N/A,FALSE,"SUM";#N/A,#N/A,FALSE,"Scope";#N/A,#N/A,FALSE,"PIE-Jn";#N/A,#N/A,FALSE,"PIE-Jn_Hz";#N/A,#N/A,FALSE,"Liq_Plan";#N/A,#N/A,FALSE,"S_Curve";#N/A,#N/A,FALSE,"Liq_Prof";#N/A,#N/A,FALSE,"Man_Pwr";#N/A,#N/A,FALSE,"Man_Prof"}</definedName>
    <definedName name="asad_2_2" hidden="1">{#N/A,#N/A,FALSE,"str_title";#N/A,#N/A,FALSE,"SUM";#N/A,#N/A,FALSE,"Scope";#N/A,#N/A,FALSE,"PIE-Jn";#N/A,#N/A,FALSE,"PIE-Jn_Hz";#N/A,#N/A,FALSE,"Liq_Plan";#N/A,#N/A,FALSE,"S_Curve";#N/A,#N/A,FALSE,"Liq_Prof";#N/A,#N/A,FALSE,"Man_Pwr";#N/A,#N/A,FALSE,"Man_Prof"}</definedName>
    <definedName name="asad_2_3" hidden="1">{#N/A,#N/A,FALSE,"str_title";#N/A,#N/A,FALSE,"SUM";#N/A,#N/A,FALSE,"Scope";#N/A,#N/A,FALSE,"PIE-Jn";#N/A,#N/A,FALSE,"PIE-Jn_Hz";#N/A,#N/A,FALSE,"Liq_Plan";#N/A,#N/A,FALSE,"S_Curve";#N/A,#N/A,FALSE,"Liq_Prof";#N/A,#N/A,FALSE,"Man_Pwr";#N/A,#N/A,FALSE,"Man_Prof"}</definedName>
    <definedName name="asad_2_4" hidden="1">{#N/A,#N/A,FALSE,"str_title";#N/A,#N/A,FALSE,"SUM";#N/A,#N/A,FALSE,"Scope";#N/A,#N/A,FALSE,"PIE-Jn";#N/A,#N/A,FALSE,"PIE-Jn_Hz";#N/A,#N/A,FALSE,"Liq_Plan";#N/A,#N/A,FALSE,"S_Curve";#N/A,#N/A,FALSE,"Liq_Prof";#N/A,#N/A,FALSE,"Man_Pwr";#N/A,#N/A,FALSE,"Man_Prof"}</definedName>
    <definedName name="asad_2_5" hidden="1">{#N/A,#N/A,FALSE,"str_title";#N/A,#N/A,FALSE,"SUM";#N/A,#N/A,FALSE,"Scope";#N/A,#N/A,FALSE,"PIE-Jn";#N/A,#N/A,FALSE,"PIE-Jn_Hz";#N/A,#N/A,FALSE,"Liq_Plan";#N/A,#N/A,FALSE,"S_Curve";#N/A,#N/A,FALSE,"Liq_Prof";#N/A,#N/A,FALSE,"Man_Pwr";#N/A,#N/A,FALSE,"Man_Prof"}</definedName>
    <definedName name="asad_3" hidden="1">{#N/A,#N/A,FALSE,"str_title";#N/A,#N/A,FALSE,"SUM";#N/A,#N/A,FALSE,"Scope";#N/A,#N/A,FALSE,"PIE-Jn";#N/A,#N/A,FALSE,"PIE-Jn_Hz";#N/A,#N/A,FALSE,"Liq_Plan";#N/A,#N/A,FALSE,"S_Curve";#N/A,#N/A,FALSE,"Liq_Prof";#N/A,#N/A,FALSE,"Man_Pwr";#N/A,#N/A,FALSE,"Man_Prof"}</definedName>
    <definedName name="asad_4" hidden="1">{#N/A,#N/A,FALSE,"str_title";#N/A,#N/A,FALSE,"SUM";#N/A,#N/A,FALSE,"Scope";#N/A,#N/A,FALSE,"PIE-Jn";#N/A,#N/A,FALSE,"PIE-Jn_Hz";#N/A,#N/A,FALSE,"Liq_Plan";#N/A,#N/A,FALSE,"S_Curve";#N/A,#N/A,FALSE,"Liq_Prof";#N/A,#N/A,FALSE,"Man_Pwr";#N/A,#N/A,FALSE,"Man_Prof"}</definedName>
    <definedName name="asad_5" hidden="1">{#N/A,#N/A,FALSE,"str_title";#N/A,#N/A,FALSE,"SUM";#N/A,#N/A,FALSE,"Scope";#N/A,#N/A,FALSE,"PIE-Jn";#N/A,#N/A,FALSE,"PIE-Jn_Hz";#N/A,#N/A,FALSE,"Liq_Plan";#N/A,#N/A,FALSE,"S_Curve";#N/A,#N/A,FALSE,"Liq_Prof";#N/A,#N/A,FALSE,"Man_Pwr";#N/A,#N/A,FALSE,"Man_Prof"}</definedName>
    <definedName name="ASD" hidden="1">{#N/A,#N/A,FALSE,"COVER.XLS";#N/A,#N/A,FALSE,"RACT1.XLS";#N/A,#N/A,FALSE,"RACT2.XLS";#N/A,#N/A,FALSE,"ECCMP";#N/A,#N/A,FALSE,"WELDER.XLS"}</definedName>
    <definedName name="ASFSA" hidden="1">#REF!</definedName>
    <definedName name="as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l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l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l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l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l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_1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_1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_1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_1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_1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_2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_2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_2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_2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_2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_1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_1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_1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_1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_1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_2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_2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_2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_2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_2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_1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_1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_1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_1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_1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_2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_2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_2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_2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_2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_1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_1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_1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_1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_1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_2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_2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_2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_2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_2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ws" hidden="1">{#N/A,#N/A,FALSE,"str_title";#N/A,#N/A,FALSE,"SUM";#N/A,#N/A,FALSE,"Scope";#N/A,#N/A,FALSE,"PIE-Jn";#N/A,#N/A,FALSE,"PIE-Jn_Hz";#N/A,#N/A,FALSE,"Liq_Plan";#N/A,#N/A,FALSE,"S_Curve";#N/A,#N/A,FALSE,"Liq_Prof";#N/A,#N/A,FALSE,"Man_Pwr";#N/A,#N/A,FALSE,"Man_Prof"}</definedName>
    <definedName name="aws_1" hidden="1">{#N/A,#N/A,FALSE,"str_title";#N/A,#N/A,FALSE,"SUM";#N/A,#N/A,FALSE,"Scope";#N/A,#N/A,FALSE,"PIE-Jn";#N/A,#N/A,FALSE,"PIE-Jn_Hz";#N/A,#N/A,FALSE,"Liq_Plan";#N/A,#N/A,FALSE,"S_Curve";#N/A,#N/A,FALSE,"Liq_Prof";#N/A,#N/A,FALSE,"Man_Pwr";#N/A,#N/A,FALSE,"Man_Prof"}</definedName>
    <definedName name="aws_2" hidden="1">{#N/A,#N/A,FALSE,"str_title";#N/A,#N/A,FALSE,"SUM";#N/A,#N/A,FALSE,"Scope";#N/A,#N/A,FALSE,"PIE-Jn";#N/A,#N/A,FALSE,"PIE-Jn_Hz";#N/A,#N/A,FALSE,"Liq_Plan";#N/A,#N/A,FALSE,"S_Curve";#N/A,#N/A,FALSE,"Liq_Prof";#N/A,#N/A,FALSE,"Man_Pwr";#N/A,#N/A,FALSE,"Man_Prof"}</definedName>
    <definedName name="aws_3" hidden="1">{#N/A,#N/A,FALSE,"str_title";#N/A,#N/A,FALSE,"SUM";#N/A,#N/A,FALSE,"Scope";#N/A,#N/A,FALSE,"PIE-Jn";#N/A,#N/A,FALSE,"PIE-Jn_Hz";#N/A,#N/A,FALSE,"Liq_Plan";#N/A,#N/A,FALSE,"S_Curve";#N/A,#N/A,FALSE,"Liq_Prof";#N/A,#N/A,FALSE,"Man_Pwr";#N/A,#N/A,FALSE,"Man_Prof"}</definedName>
    <definedName name="aws_4" hidden="1">{#N/A,#N/A,FALSE,"str_title";#N/A,#N/A,FALSE,"SUM";#N/A,#N/A,FALSE,"Scope";#N/A,#N/A,FALSE,"PIE-Jn";#N/A,#N/A,FALSE,"PIE-Jn_Hz";#N/A,#N/A,FALSE,"Liq_Plan";#N/A,#N/A,FALSE,"S_Curve";#N/A,#N/A,FALSE,"Liq_Prof";#N/A,#N/A,FALSE,"Man_Pwr";#N/A,#N/A,FALSE,"Man_Prof"}</definedName>
    <definedName name="aws_5" hidden="1">{#N/A,#N/A,FALSE,"str_title";#N/A,#N/A,FALSE,"SUM";#N/A,#N/A,FALSE,"Scope";#N/A,#N/A,FALSE,"PIE-Jn";#N/A,#N/A,FALSE,"PIE-Jn_Hz";#N/A,#N/A,FALSE,"Liq_Plan";#N/A,#N/A,FALSE,"S_Curve";#N/A,#N/A,FALSE,"Liq_Prof";#N/A,#N/A,FALSE,"Man_Pwr";#N/A,#N/A,FALSE,"Man_Prof"}</definedName>
    <definedName name="bbb" hidden="1">{#N/A,#N/A,FALSE,"COVER.XLS";#N/A,#N/A,FALSE,"RACT1.XLS";#N/A,#N/A,FALSE,"RACT2.XLS";#N/A,#N/A,FALSE,"ECCMP";#N/A,#N/A,FALSE,"WELDER.XLS"}</definedName>
    <definedName name="bbb_1" hidden="1">{#N/A,#N/A,FALSE,"COVER.XLS";#N/A,#N/A,FALSE,"RACT1.XLS";#N/A,#N/A,FALSE,"RACT2.XLS";#N/A,#N/A,FALSE,"ECCMP";#N/A,#N/A,FALSE,"WELDER.XLS"}</definedName>
    <definedName name="bbb_1_1" hidden="1">{#N/A,#N/A,FALSE,"COVER.XLS";#N/A,#N/A,FALSE,"RACT1.XLS";#N/A,#N/A,FALSE,"RACT2.XLS";#N/A,#N/A,FALSE,"ECCMP";#N/A,#N/A,FALSE,"WELDER.XLS"}</definedName>
    <definedName name="bbb_1_2" hidden="1">{#N/A,#N/A,FALSE,"COVER.XLS";#N/A,#N/A,FALSE,"RACT1.XLS";#N/A,#N/A,FALSE,"RACT2.XLS";#N/A,#N/A,FALSE,"ECCMP";#N/A,#N/A,FALSE,"WELDER.XLS"}</definedName>
    <definedName name="bbb_1_3" hidden="1">{#N/A,#N/A,FALSE,"COVER.XLS";#N/A,#N/A,FALSE,"RACT1.XLS";#N/A,#N/A,FALSE,"RACT2.XLS";#N/A,#N/A,FALSE,"ECCMP";#N/A,#N/A,FALSE,"WELDER.XLS"}</definedName>
    <definedName name="bbb_1_4" hidden="1">{#N/A,#N/A,FALSE,"COVER.XLS";#N/A,#N/A,FALSE,"RACT1.XLS";#N/A,#N/A,FALSE,"RACT2.XLS";#N/A,#N/A,FALSE,"ECCMP";#N/A,#N/A,FALSE,"WELDER.XLS"}</definedName>
    <definedName name="bbb_1_5" hidden="1">{#N/A,#N/A,FALSE,"COVER.XLS";#N/A,#N/A,FALSE,"RACT1.XLS";#N/A,#N/A,FALSE,"RACT2.XLS";#N/A,#N/A,FALSE,"ECCMP";#N/A,#N/A,FALSE,"WELDER.XLS"}</definedName>
    <definedName name="bbb_2" hidden="1">{#N/A,#N/A,FALSE,"COVER.XLS";#N/A,#N/A,FALSE,"RACT1.XLS";#N/A,#N/A,FALSE,"RACT2.XLS";#N/A,#N/A,FALSE,"ECCMP";#N/A,#N/A,FALSE,"WELDER.XLS"}</definedName>
    <definedName name="bbb_2_1" hidden="1">{#N/A,#N/A,FALSE,"COVER.XLS";#N/A,#N/A,FALSE,"RACT1.XLS";#N/A,#N/A,FALSE,"RACT2.XLS";#N/A,#N/A,FALSE,"ECCMP";#N/A,#N/A,FALSE,"WELDER.XLS"}</definedName>
    <definedName name="bbb_2_2" hidden="1">{#N/A,#N/A,FALSE,"COVER.XLS";#N/A,#N/A,FALSE,"RACT1.XLS";#N/A,#N/A,FALSE,"RACT2.XLS";#N/A,#N/A,FALSE,"ECCMP";#N/A,#N/A,FALSE,"WELDER.XLS"}</definedName>
    <definedName name="bbb_2_3" hidden="1">{#N/A,#N/A,FALSE,"COVER.XLS";#N/A,#N/A,FALSE,"RACT1.XLS";#N/A,#N/A,FALSE,"RACT2.XLS";#N/A,#N/A,FALSE,"ECCMP";#N/A,#N/A,FALSE,"WELDER.XLS"}</definedName>
    <definedName name="bbb_2_4" hidden="1">{#N/A,#N/A,FALSE,"COVER.XLS";#N/A,#N/A,FALSE,"RACT1.XLS";#N/A,#N/A,FALSE,"RACT2.XLS";#N/A,#N/A,FALSE,"ECCMP";#N/A,#N/A,FALSE,"WELDER.XLS"}</definedName>
    <definedName name="bbb_2_5" hidden="1">{#N/A,#N/A,FALSE,"COVER.XLS";#N/A,#N/A,FALSE,"RACT1.XLS";#N/A,#N/A,FALSE,"RACT2.XLS";#N/A,#N/A,FALSE,"ECCMP";#N/A,#N/A,FALSE,"WELDER.XLS"}</definedName>
    <definedName name="bbb_3" hidden="1">{#N/A,#N/A,FALSE,"COVER.XLS";#N/A,#N/A,FALSE,"RACT1.XLS";#N/A,#N/A,FALSE,"RACT2.XLS";#N/A,#N/A,FALSE,"ECCMP";#N/A,#N/A,FALSE,"WELDER.XLS"}</definedName>
    <definedName name="bbb_4" hidden="1">{#N/A,#N/A,FALSE,"COVER.XLS";#N/A,#N/A,FALSE,"RACT1.XLS";#N/A,#N/A,FALSE,"RACT2.XLS";#N/A,#N/A,FALSE,"ECCMP";#N/A,#N/A,FALSE,"WELDER.XLS"}</definedName>
    <definedName name="bbb_5" hidden="1">{#N/A,#N/A,FALSE,"COVER.XLS";#N/A,#N/A,FALSE,"RACT1.XLS";#N/A,#N/A,FALSE,"RACT2.XLS";#N/A,#N/A,FALSE,"ECCMP";#N/A,#N/A,FALSE,"WELDER.XLS"}</definedName>
    <definedName name="BBRA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RAS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RAS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RAS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RAS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RAS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Ex0017DGUEDPCFJUPUZOOLJCS2B" hidden="1">#REF!</definedName>
    <definedName name="BEx001CNWHJ5RULCSFM36ZCGJ1UH" hidden="1">#REF!</definedName>
    <definedName name="BEx004791UAJIJSN57OT7YBLNP82" hidden="1">#REF!</definedName>
    <definedName name="BEx008P2NVFDLBHL7IZ5WTMVOQ1F" hidden="1">#REF!</definedName>
    <definedName name="BEx009G00IN0JUIAQ4WE9NHTMQE2" hidden="1">#REF!</definedName>
    <definedName name="BEx00DXTY2JDVGWQKV8H7FG4SV30" hidden="1">#REF!</definedName>
    <definedName name="BEx00GHLTYRH5N2S6P78YW1CD30N" hidden="1">#REF!</definedName>
    <definedName name="BEx00JC31DY11L45SEU4B10BIN6W" hidden="1">#REF!</definedName>
    <definedName name="BEx00KZHZBHP3TDV1YMX4B19B95O" hidden="1">#REF!</definedName>
    <definedName name="BEx00MBY8XXUOHIZ4LHXHPD7WYD5" hidden="1">#REF!</definedName>
    <definedName name="BEx01HY6E3GJ66ABU5ABN26V6Q13" hidden="1">#REF!</definedName>
    <definedName name="BEx01PW5YQKEGAR8JDDI5OARYXDF" hidden="1">#REF!</definedName>
    <definedName name="BEx01XJ94SHJ1YQ7ORPW0RQGKI2H" hidden="1">#REF!</definedName>
    <definedName name="BEx02Q08R9G839Q4RFGG9026C7PX" hidden="1">#REF!</definedName>
    <definedName name="BEx02SEL3Z1QWGAHXDPUA9WLTTPS" hidden="1">#REF!</definedName>
    <definedName name="BEx02Y3KJZH5BGDM9QEZ1PVVI114" hidden="1">#REF!</definedName>
    <definedName name="BEx0313GRLLASDTVPW5DHTXHE74M" hidden="1">#REF!</definedName>
    <definedName name="BEx1F0SOZ3H5XUHXD7O01TCR8T6J" hidden="1">#REF!</definedName>
    <definedName name="BEx1F9HL824UCNCVZ2U62J4KZCX8" hidden="1">#REF!</definedName>
    <definedName name="BEx1FEVSJKTI1Q1Z874QZVFSJSVA" hidden="1">#REF!</definedName>
    <definedName name="BEx1FGDRUHHLI1GBHELT4PK0LY4V" hidden="1">#REF!</definedName>
    <definedName name="BEx1FJZ7GKO99IYTP6GGGF7EUL3Z" hidden="1">#REF!</definedName>
    <definedName name="BEx1FZV2CM77TBH1R6YYV9P06KA2" hidden="1">#REF!</definedName>
    <definedName name="BEx1G59AY8195JTUM6P18VXUFJ3E" hidden="1">#REF!</definedName>
    <definedName name="BEx1GVMRHFXUP6XYYY9NR12PV5TF" hidden="1">#REF!</definedName>
    <definedName name="BEx1H6KIT7BHUH6MDDWC935V9N47" hidden="1">#REF!</definedName>
    <definedName name="BEx1HDGOOJ3SKHYMWUZJ1P0RQZ9N" hidden="1">#REF!</definedName>
    <definedName name="BEx1HDM5ZXSJG6JQEMSFV52PZ10V" hidden="1">#REF!</definedName>
    <definedName name="BEx1HETBBZVN5F43LKOFMC4QB0CR" hidden="1">#REF!</definedName>
    <definedName name="BEx1HGWNWPLNXICOTP90TKQVVE4E" hidden="1">#REF!</definedName>
    <definedName name="BEx1HIPLJZABY0EMUOTZN0EQMDPU" hidden="1">#REF!</definedName>
    <definedName name="BEx1HO94JIRX219MPWMB5E5XZ04X" hidden="1">#REF!</definedName>
    <definedName name="BEx1HQNF6KHM21E3XLW0NMSSEI9S" hidden="1">#REF!</definedName>
    <definedName name="BEx1HSLNWIW4S97ZBYY7I7M5YVH4" hidden="1">#REF!</definedName>
    <definedName name="BEx1I4QKTILCKZUSOJCVZN7SNHL5" hidden="1">#REF!</definedName>
    <definedName name="BEx1IE0ZP7RIFM9FI24S9I6AAJ14" hidden="1">#REF!</definedName>
    <definedName name="BEx1IGQ5B697MNDOE06MVSR0H58E" hidden="1">#REF!</definedName>
    <definedName name="BEx1IKRPW8MLB9Y485M1TL2IT9SH" hidden="1">#REF!</definedName>
    <definedName name="BEx1J0CSSHDJGBJUHVOEMCF2P4DL" hidden="1">#REF!</definedName>
    <definedName name="BEx1J61RRF9LJ3V3R5OY3WJ6VBWR" hidden="1">#REF!</definedName>
    <definedName name="BEx1J7E8VCGLPYU82QXVUG5N3ZAI" hidden="1">#REF!</definedName>
    <definedName name="BEx1JGE2YQWH8S25USOY08XVGO0D" hidden="1">#REF!</definedName>
    <definedName name="BEx1JJJC9T1W7HY4V7HP1S1W4JO1" hidden="1">#REF!</definedName>
    <definedName name="BEx1JKKZSJ7DI4PTFVI9VVFMB1X2" hidden="1">#REF!</definedName>
    <definedName name="BEx1JUBQFRVMASSFK4B3V0AD7YP9" hidden="1">#REF!</definedName>
    <definedName name="BEx1JXBM5W4YRWNQ0P95QQS6JWD6" hidden="1">#REF!</definedName>
    <definedName name="BEx1KGY9QEHZ9QSARMQUTQKRK4UX" hidden="1">#REF!</definedName>
    <definedName name="BEx1KKP1ELIF2UII2FWVGL7M1X7J" hidden="1">#REF!</definedName>
    <definedName name="BEx1KUVWMB0QCWA3RBE4CADFVRIS" hidden="1">#REF!</definedName>
    <definedName name="BEx1L2OG1SDFK2TPXELJ77YP4NI2" hidden="1">#REF!</definedName>
    <definedName name="BEx1L6Q60MWRDJB4L20LK0XPA0Z2" hidden="1">#REF!</definedName>
    <definedName name="BEx1LD63FP2Z4BR9TKSHOZW9KKZ5" hidden="1">#REF!</definedName>
    <definedName name="BEx1LDMB9RW982DUILM2WPT5VWQ3" hidden="1">#REF!</definedName>
    <definedName name="BEx1LRPGDQCOEMW8YT80J1XCDCIV" hidden="1">#REF!</definedName>
    <definedName name="BEx1LRUSJW4JG54X07QWD9R27WV9" hidden="1">#REF!</definedName>
    <definedName name="BEx1M1WBK5T0LP1AK2JYV6W87ID6" hidden="1">#REF!</definedName>
    <definedName name="BEx1M51HHDYGIT8PON7U8ICL2S95" hidden="1">#REF!</definedName>
    <definedName name="BEx1M9U5SQ65FSUFEF1VMTY2EYHM" hidden="1">#REF!</definedName>
    <definedName name="BEx1MTRKKVCHOZ0YGID6HZ49LJTO" hidden="1">#REF!</definedName>
    <definedName name="BEx1N3CUJ3UX61X38ZAJVPEN4KMC" hidden="1">#REF!</definedName>
    <definedName name="BEx1NM34KQTO1LDNSAFD1L82UZFG" hidden="1">#REF!</definedName>
    <definedName name="BEx1NO6TXZVOGCUWCCRTXRXWW0XL" hidden="1">#REF!</definedName>
    <definedName name="BEx1NS8EU5P9FQV3S0WRTXI5L361" hidden="1">#REF!</definedName>
    <definedName name="BEx1NUBX5VUYZFKQH69FN6BTLWCR" hidden="1">#REF!</definedName>
    <definedName name="BEx1NZ4K1L8UON80Y2A4RASKWGNP" hidden="1">#REF!</definedName>
    <definedName name="BEx1OLAZ915OGYWP0QP1QQWDLCRX" hidden="1">#REF!</definedName>
    <definedName name="BEx1OO5ER042IS6IC4TLDI75JNVH" hidden="1">#REF!</definedName>
    <definedName name="BEx1OTE54CBSUT8FWKRALEDCUWN4" hidden="1">#REF!</definedName>
    <definedName name="BEx1OVSMPADTX95QUOX34KZQ8EDY" hidden="1">#REF!</definedName>
    <definedName name="BEx1OX544IO9FQJI7YYQGZCEHB3O" hidden="1">#REF!</definedName>
    <definedName name="BEx1OY6SVEUT2EQ26P7EKEND342G" hidden="1">#REF!</definedName>
    <definedName name="BEx1OYN1LPIPI12O9G6F7QAOS9T4" hidden="1">#REF!</definedName>
    <definedName name="BEx1P1HHKJA799O3YZXQAX6KFH58" hidden="1">#REF!</definedName>
    <definedName name="BEx1P34W467WGPOXPK292QFJIPHJ" hidden="1">#REF!</definedName>
    <definedName name="BEx1P7S1J4TKGVJ43C2Q2R3M9WRB" hidden="1">#REF!</definedName>
    <definedName name="BEx1PA11BLPVZM8RC5BL46WX8YB5" hidden="1">#REF!</definedName>
    <definedName name="BEx1PBZ4BEFIPGMQXT9T8S4PZ2IM" hidden="1">#REF!</definedName>
    <definedName name="BEx1PLF2CFSXBZPVI6CJ534EIJDN" hidden="1">#REF!</definedName>
    <definedName name="BEx1PMWZB2DO6EM9BKLUICZJ65HD" hidden="1">#REF!</definedName>
    <definedName name="BEx1PRPMXFXAZMQNS3DJO5H7ELSV" hidden="1">#REF!</definedName>
    <definedName name="BEx1QA54J2A4I7IBQR19BTY28ZMR" hidden="1">#REF!</definedName>
    <definedName name="BEx1QFU451RLU2RASH21DN6CB4QV" hidden="1">#REF!</definedName>
    <definedName name="BEx1QMQAHG3KQUK59DVM68SWKZIZ" hidden="1">#REF!</definedName>
    <definedName name="BEx1R9YFKJCMSEST8OVCAO5E47FO" hidden="1">#REF!</definedName>
    <definedName name="BEx1RBGC06B3T52OIC0EQ1KGVP1I" hidden="1">#REF!</definedName>
    <definedName name="BEx1RRC7X4NI1CU4EO5XYE2GVARJ" hidden="1">#REF!</definedName>
    <definedName name="BEx1RZA1NCGT832L7EMR7GMF588W" hidden="1">#REF!</definedName>
    <definedName name="BEx1S0XGIPUSZQUCSGWSK10GKW7Y" hidden="1">#REF!</definedName>
    <definedName name="BEx1S5VFNKIXHTTCWSV60UC50EZ8" hidden="1">#REF!</definedName>
    <definedName name="BEx1SK3U02H0RGKEYXW7ZMCEOF3V" hidden="1">#REF!</definedName>
    <definedName name="BEx1SSNEZINBJT29QVS62VS1THT4" hidden="1">#REF!</definedName>
    <definedName name="BEx1SVNCHNANBJIDIQVB8AFK4HAN" hidden="1">#REF!</definedName>
    <definedName name="BEx1TJ0WLS9O7KNSGIPWTYHDYI1D" hidden="1">#REF!</definedName>
    <definedName name="BEx1U15M7LVVFZENH830B2BGWC04" hidden="1">#REF!</definedName>
    <definedName name="BEx1U7WFO8OZKB1EBF4H386JW91L" hidden="1">#REF!</definedName>
    <definedName name="BEx1U87938YR9N6HYI24KVBKLOS3" hidden="1">#REF!</definedName>
    <definedName name="BEx1UESH4KDWHYESQU2IE55RS3LI" hidden="1">#REF!</definedName>
    <definedName name="BEx1UI8N9KTCPSOJ7RDW0T8UEBNP" hidden="1">#REF!</definedName>
    <definedName name="BEx1UML0HHJFHA5TBOYQ24I3RV1W" hidden="1">#REF!</definedName>
    <definedName name="BEx1UUDIQPZ23XQ79GUL0RAWRSCK" hidden="1">#REF!</definedName>
    <definedName name="BEx1V67SEV778NVW68J8W5SND1J7" hidden="1">#REF!</definedName>
    <definedName name="BEx1VIY9SQLRESD11CC4PHYT0XSG" hidden="1">#REF!</definedName>
    <definedName name="BEx1W2FKLYQ9H7PLNB7J40Y3ZL21" hidden="1">#REF!</definedName>
    <definedName name="BEx1WC67EH10SC38QWX3WEA5KH3A" hidden="1">#REF!</definedName>
    <definedName name="BEx1WGYTKZZIPM1577W5FEYKFH3V" hidden="1">#REF!</definedName>
    <definedName name="BEx1WHPURIV3D3PTJJ359H1OP7ZV" hidden="1">#REF!</definedName>
    <definedName name="BEx1WLWY2CR1WRD694JJSWSDFAIR" hidden="1">#REF!</definedName>
    <definedName name="BEx1WMD1LWPWRIK6GGAJRJAHJM8I" hidden="1">#REF!</definedName>
    <definedName name="BEx1WR0D41MR174LBF3P9E3K0J51" hidden="1">#REF!</definedName>
    <definedName name="BEx1WUB1FAS5PHU33TJ60SUHR618" hidden="1">#REF!</definedName>
    <definedName name="BEx1WX04G0INSPPG9NTNR3DYR6PZ" hidden="1">#REF!</definedName>
    <definedName name="BEx1X3LHU9DPG01VWX2IF65TRATF" hidden="1">#REF!</definedName>
    <definedName name="BEx1X3QU1HJQKZWVJCHE625OPE83" hidden="1">#REF!</definedName>
    <definedName name="BEx1XK8AAMO0AH0Z1OUKW30CA7EQ" hidden="1">#REF!</definedName>
    <definedName name="BEx1XL4MZ7C80495GHQRWOBS16PQ" hidden="1">#REF!</definedName>
    <definedName name="BEx1Y2IGS2K95E1M51PEF9KJZ0KB" hidden="1">#REF!</definedName>
    <definedName name="BEx1Y3PKK83X2FN9SAALFHOWKMRQ" hidden="1">#REF!</definedName>
    <definedName name="BEx1YL3DJ7Y4AZ01ERCOGW0FJ26T" hidden="1">#REF!</definedName>
    <definedName name="BEx1Z2RYHSVD1H37817SN93VMURZ" hidden="1">#REF!</definedName>
    <definedName name="BEx3AMAKWI6458B67VKZO56MCNJW" hidden="1">#REF!</definedName>
    <definedName name="BEx3AOOVM42G82TNF53W0EKXLUSI" hidden="1">#REF!</definedName>
    <definedName name="BEx3AZH9W4SUFCAHNDOQ728R9V4L" hidden="1">#REF!</definedName>
    <definedName name="BEx3BNR9ES4KY7Q1DK83KC5NDGL8" hidden="1">#REF!</definedName>
    <definedName name="BEx3BQR5VZXNQ4H949ORM8ESU3B3" hidden="1">#REF!</definedName>
    <definedName name="BEx3BTLL3ASJN134DLEQTQM70VZM" hidden="1">#REF!</definedName>
    <definedName name="BEx3BW5CTV0DJU5AQS3ZQFK2VLF3" hidden="1">#REF!</definedName>
    <definedName name="BEx3BYP0FG369M7G3JEFLMMXAKTS" hidden="1">#REF!</definedName>
    <definedName name="BEx3C2QR0WUD19QSVO8EMIPNQJKH" hidden="1">#REF!</definedName>
    <definedName name="BEx3CCS3VNR1KW2R7DKSQFZ17QW0" hidden="1">#REF!</definedName>
    <definedName name="BEx3CKFCCPZZ6ROLAT5C1DZNIC1U" hidden="1">#REF!</definedName>
    <definedName name="BEx3CN4GOLBRG5OQU36TU2CKMMP6" hidden="1">#REF!</definedName>
    <definedName name="BEx3CO0SVO4WLH0DO43DCHYDTH1P" hidden="1">#REF!</definedName>
    <definedName name="BEx3D9G6QTSPF9UYI4X0XY0VE896" hidden="1">#REF!</definedName>
    <definedName name="BEx3DCQU9PBRXIMLO62KS5RLH447" hidden="1">#REF!</definedName>
    <definedName name="BEx3DDY0TADW2ISCRYOIIF19ZHJS" hidden="1">#REF!</definedName>
    <definedName name="BEx3EF99FD6QNNCNOKDEE67JHTUJ" hidden="1">#REF!</definedName>
    <definedName name="BEx3EHCSERZ2O2OAG8Y95UPG2IY9" hidden="1">#REF!</definedName>
    <definedName name="BEx3EJR3TCJDYS7ZXNDS5N9KTGIK" hidden="1">#REF!</definedName>
    <definedName name="BEx3ELJTTBS6P05CNISMGOJOA60V" hidden="1">#REF!</definedName>
    <definedName name="BEx3EQSLJBDDJRHNX19PBFCKNY2I" hidden="1">#REF!</definedName>
    <definedName name="BEx3EUUAX947Q5N6MY6W0KSNY78Y" hidden="1">#REF!</definedName>
    <definedName name="BEx3FHMD1P5XBCH23ZKIFO6ZTCNB" hidden="1">#REF!</definedName>
    <definedName name="BEx3FI2G3YYIACQHXNXEA15M8ZK5" hidden="1">#REF!</definedName>
    <definedName name="BEx3FJ9MHSLDK8W91GO85FX1GX57" hidden="1">#REF!</definedName>
    <definedName name="BEx3FR251HFU7A33PU01SJUENL2B" hidden="1">#REF!</definedName>
    <definedName name="BEx3FX7EJL47JSLSWP3EOC265WAE" hidden="1">#REF!</definedName>
    <definedName name="BEx3G201R8NLJ6FIHO2QS0SW9QVV" hidden="1">#REF!</definedName>
    <definedName name="BEx3G2LL2II66XY5YCDPG4JE13A3" hidden="1">#REF!</definedName>
    <definedName name="BEx3G2WA0DTYY9D8AGHHOBTPE2B2" hidden="1">#REF!</definedName>
    <definedName name="BEx3GCXR6IAS0B6WJ03GJVH7CO52" hidden="1">#REF!</definedName>
    <definedName name="BEx3GEVV18SEQDI1JGY7EN6D1GT1" hidden="1">#REF!</definedName>
    <definedName name="BEx3GKFH64MKQX61S7DYTZ15JCPY" hidden="1">#REF!</definedName>
    <definedName name="BEx3GMJ1Y6UU02DLRL0QXCEKDA6C" hidden="1">#REF!</definedName>
    <definedName name="BEx3GN4LY0135CBDIN1TU2UEODGF" hidden="1">#REF!</definedName>
    <definedName name="BEx3GPDH2AH4QKT4OOSN563XUHBD" hidden="1">#REF!</definedName>
    <definedName name="BEx3H5UX2GZFZZT657YR76RHW5I6" hidden="1">#REF!</definedName>
    <definedName name="BEx3HMSEFOP6DBM4R97XA6B7NFG6" hidden="1">#REF!</definedName>
    <definedName name="BEx3HWJ5SQSD2CVCQNR183X44FR8" hidden="1">#REF!</definedName>
    <definedName name="BEx3I09YVXO0G4X7KGSA4WGORM35" hidden="1">#REF!</definedName>
    <definedName name="BEx3ICF1GY8HQEBIU9S43PDJ90BX" hidden="1">#REF!</definedName>
    <definedName name="BEx3IYAH2DEBFWO8F94H4MXE3RLY" hidden="1">#REF!</definedName>
    <definedName name="BEx3IZXXSYEW50379N2EAFWO8DZV" hidden="1">#REF!</definedName>
    <definedName name="BEx3J1VZVGTKT4ATPO9O5JCSFTTR" hidden="1">#REF!</definedName>
    <definedName name="BEx3J6U394V9S5MFS9GBF9T6D49C" hidden="1">#REF!</definedName>
    <definedName name="BEx3JB15DI5HBTKVH0J0MMK9KKZP" hidden="1">#REF!</definedName>
    <definedName name="BEx3JC2TY7JNAAC3L7QHVPQXLGQ8" hidden="1">#REF!</definedName>
    <definedName name="BEx3JX23SYDIGOGM4Y0CQFBW8ZBV" hidden="1">#REF!</definedName>
    <definedName name="BEx3JXCXCVBZJGV5VEG9MJEI01AL" hidden="1">#REF!</definedName>
    <definedName name="BEx3JYK2N7X59TPJSKYZ77ENY8SS" hidden="1">#REF!</definedName>
    <definedName name="BEx3K4EII7GU1CG0BN7UL15M6J8Z" hidden="1">#REF!</definedName>
    <definedName name="BEx3K4ZXQUQ2KYZF74B84SO48XMW" hidden="1">#REF!</definedName>
    <definedName name="BEx3KEFXUCVNVPH7KSEGAZYX13B5" hidden="1">#REF!</definedName>
    <definedName name="BEx3KFXUAF6YXAA47B7Q6X9B3VGB" hidden="1">#REF!</definedName>
    <definedName name="BEx3KIXQYOGMPK4WJJAVBRX4NR28" hidden="1">#REF!</definedName>
    <definedName name="BEx3KJOMVOSFZVJUL3GKCNP6DQDS" hidden="1">#REF!</definedName>
    <definedName name="BEx3KP2VRBMORK0QEAZUYCXL3DHJ" hidden="1">#REF!</definedName>
    <definedName name="BEx3L4IN3LI4C26SITKTGAH27CDU" hidden="1">#REF!</definedName>
    <definedName name="BEx3L4YQ0J7ZU0M5QM6YIPCEYC9K" hidden="1">#REF!</definedName>
    <definedName name="BEx3L60DJOR7NQN42G7YSAODP1EX" hidden="1">#REF!</definedName>
    <definedName name="BEx3L7D0PI38HWZ7VADU16C9E33D" hidden="1">#REF!</definedName>
    <definedName name="BEx3LM1PR4Y7KINKMTMKR984GX8Q" hidden="1">#REF!</definedName>
    <definedName name="BEx3LPCEZ1C0XEKNCM3YT09JWCUO" hidden="1">#REF!</definedName>
    <definedName name="BEx3M1MR1K1NQD03H74BFWOK4MWQ" hidden="1">#REF!</definedName>
    <definedName name="BEx3M4H77MYUKOOD31H9F80NMVK8" hidden="1">#REF!</definedName>
    <definedName name="BEx3M9VFX329PZWYC4DMZ6P3W9R2" hidden="1">#REF!</definedName>
    <definedName name="BEx3MCQ0VEBV0CZXDS505L38EQ8N" hidden="1">#REF!</definedName>
    <definedName name="BEx3MEYV5LQY0BAL7V3CFAFVOM3T" hidden="1">#REF!</definedName>
    <definedName name="BEx3MREOFWJQEYMCMBL7ZE06NBN6" hidden="1">#REF!</definedName>
    <definedName name="BEx3NKXF7GYXHBK75UI6MDRUSU0J" hidden="1">#REF!</definedName>
    <definedName name="BEx3NLIZ7PHF2XE59ECZ3MD04ZG1" hidden="1">#REF!</definedName>
    <definedName name="BEx3NMQ4BVC94728AUM7CCX7UHTU" hidden="1">#REF!</definedName>
    <definedName name="BEx3NQBLA6JB69JFV4CEAMMMXZL8" hidden="1">#REF!</definedName>
    <definedName name="BEx3NR2I4OUFP3Z2QZEDU2PIFIDI" hidden="1">#REF!</definedName>
    <definedName name="BEx3O19B8FTTAPVT5DZXQGQXWFR8" hidden="1">#REF!</definedName>
    <definedName name="BEx3O85IKWARA6NCJOLRBRJFMEWW" hidden="1">#REF!</definedName>
    <definedName name="BEx3OJZSCGFRW7SVGBFI0X9DNVMM" hidden="1">#REF!</definedName>
    <definedName name="BEx3ORSBUXAF21MKEY90YJV9AY9A" hidden="1">#REF!</definedName>
    <definedName name="BEx3OV8BH6PYNZT7C246LOAU9SVX" hidden="1">#REF!</definedName>
    <definedName name="BEx3OXRYJZUEY6E72UJU0PHLMYAR" hidden="1">#REF!</definedName>
    <definedName name="BEx3P59TTRSGQY888P5C1O7M2PQT" hidden="1">#REF!</definedName>
    <definedName name="BEx3PDNRRNKD5GOUBUQFXAHIXLD9" hidden="1">#REF!</definedName>
    <definedName name="BEx3PDT8GNPWLLN02IH1XPV90XYK" hidden="1">#REF!</definedName>
    <definedName name="BEx3PKEMDW8KZEP11IL927C5O7I2" hidden="1">#REF!</definedName>
    <definedName name="BEx3PKJZ1Z7L9S6KV8KXVS6B2FX4" hidden="1">#REF!</definedName>
    <definedName name="BEx3PMNG53Z5HY138H99QOMTX8W3" hidden="1">#REF!</definedName>
    <definedName name="BEx3PP1RRSFZ8UC0JC9R91W6LNKW" hidden="1">#REF!</definedName>
    <definedName name="BEx3PVXYZC8WB9ZJE7OCKUXZ46EA" hidden="1">#REF!</definedName>
    <definedName name="BEx3Q0VWPU5EQECK7MQ47TYJ3SWW" hidden="1">#REF!</definedName>
    <definedName name="BEx3Q7BZ9PUXK2RLIOFSIS9AHU1B" hidden="1">#REF!</definedName>
    <definedName name="BEx3Q8J42S9VU6EAN2Y28MR6DF88" hidden="1">#REF!</definedName>
    <definedName name="BEx3QEDFOYFY5NBTININ5W4RLD4Q" hidden="1">#REF!</definedName>
    <definedName name="BEx3QIKJ3U962US1Q564NZDLU8LD" hidden="1">#REF!</definedName>
    <definedName name="BEx3QR9D45DHW50VQ7Y3Q1AXPOB9" hidden="1">#REF!</definedName>
    <definedName name="BEx3QSWT2S5KWG6U2V9711IYDQBM" hidden="1">#REF!</definedName>
    <definedName name="BEx3QVGG7Q2X4HZHJAM35A8T3VR7" hidden="1">#REF!</definedName>
    <definedName name="BEx3R0JUB9YN8PHPPQTAMIT1IHWK" hidden="1">#REF!</definedName>
    <definedName name="BEx3R81NFRO7M81VHVKOBFT0QBIL" hidden="1">#REF!</definedName>
    <definedName name="BEx3RHC2ZD5UFS6QD4OPFCNNMWH1" hidden="1">#REF!</definedName>
    <definedName name="BEx3RQ10QIWBAPHALAA91BUUCM2X" hidden="1">#REF!</definedName>
    <definedName name="BEx3RV4E1WT43SZBUN09RTB8EK1O" hidden="1">#REF!</definedName>
    <definedName name="BEx3RXYU0QLFXSFTM5EB20GD03W5" hidden="1">#REF!</definedName>
    <definedName name="BEx3RYKLC3QQO3XTUN7BEW2AQL98" hidden="1">#REF!</definedName>
    <definedName name="BEx3SICJ45BYT6FHBER86PJT25FC" hidden="1">#REF!</definedName>
    <definedName name="BEx3SMUCMJVGQ2H4EHQI5ZFHEF0P" hidden="1">#REF!</definedName>
    <definedName name="BEx3SN56F03CPDRDA7LZ763V0N4I" hidden="1">#REF!</definedName>
    <definedName name="BEx3SPE6N1ORXPRCDL3JPZD73Z9F" hidden="1">#REF!</definedName>
    <definedName name="BEx3T29ZTULQE0OMSMWUMZDU9ZZ0" hidden="1">#REF!</definedName>
    <definedName name="BEx3T6MJ1QDJ929WMUDVZ0O3UW0Y" hidden="1">#REF!</definedName>
    <definedName name="BEx3TLR9A7QC0IM1DPPFAH5SJ51V" hidden="1">#REF!</definedName>
    <definedName name="BEx3TPCSI16OAB2L9M9IULQMQ9J9" hidden="1">#REF!</definedName>
    <definedName name="BEx3U64YUOZ419BAJS2W78UMATAW" hidden="1">#REF!</definedName>
    <definedName name="BEx3U94WCEA5DKMWBEX1GU0LKYG2" hidden="1">#REF!</definedName>
    <definedName name="BEx3U9VZ8SQVYS6ZA038J7AP7ZGW" hidden="1">#REF!</definedName>
    <definedName name="BEx3UIQ5WRJBGNTFCCLOR4N7B1OQ" hidden="1">#REF!</definedName>
    <definedName name="BEx3UJMIX2NUSSWGMSI25A5DM4CH" hidden="1">#REF!</definedName>
    <definedName name="BEx3UKOCOQG7S1YQ436S997K1KWV" hidden="1">#REF!</definedName>
    <definedName name="BEx3UYM19VIXLA0EU7LB9NHA77PB" hidden="1">#REF!</definedName>
    <definedName name="BEx3VML7CG70HPISMVYIUEN3711Q" hidden="1">#REF!</definedName>
    <definedName name="BEx56ZID5H04P9AIYLP1OASFGV56" hidden="1">#REF!</definedName>
    <definedName name="BEx587EYSS57E3PI8DT973HLJM9E" hidden="1">#REF!</definedName>
    <definedName name="BEx587KFQ3VKCOCY1SA5F24PQGUI" hidden="1">#REF!</definedName>
    <definedName name="BEx58O780PQ05NF0Z1SKKRB3N099" hidden="1">#REF!</definedName>
    <definedName name="BEx58XHO7ZULLF2EUD7YIS0MGQJ5" hidden="1">#REF!</definedName>
    <definedName name="BEx58ZW0HAIGIPEX9CVA1PQQTR6X" hidden="1">#REF!</definedName>
    <definedName name="BEx59BA1KH3RG6K1LHL7YS2VB79N" hidden="1">#REF!</definedName>
    <definedName name="BEx59E9WABJP2TN71QAIKK79HPK9" hidden="1">#REF!</definedName>
    <definedName name="BEx59P7MAPNU129ZTC5H3EH892G1" hidden="1">#REF!</definedName>
    <definedName name="BEx5A11WZRQSIE089QE119AOX9ZG" hidden="1">#REF!</definedName>
    <definedName name="BEx5A7CIGCOTHJKHGUBDZG91JGPZ" hidden="1">#REF!</definedName>
    <definedName name="BEx5A8UFLT2SWVSG5COFA9B8P376" hidden="1">#REF!</definedName>
    <definedName name="BEx5AFFTN3IXIBHDKM0FYC4OFL1S" hidden="1">#REF!</definedName>
    <definedName name="BEx5AOFIO8KVRHIZ1RII337AA8ML" hidden="1">#REF!</definedName>
    <definedName name="BEx5APRZ66L5BWHFE8E4YYNEDTI4" hidden="1">#REF!</definedName>
    <definedName name="BEx5AUVDSQ35VO4BD9AKKGBM5S7D" hidden="1">#REF!</definedName>
    <definedName name="BEx5B4RHHX0J1BF2FZKEA0SPP29O" hidden="1">#REF!</definedName>
    <definedName name="BEx5B5YMSWP0OVI5CIQRP5V18D0C" hidden="1">#REF!</definedName>
    <definedName name="BEx5B825RW35M5H0UB2IZGGRS4ER" hidden="1">#REF!</definedName>
    <definedName name="BEx5BAWPMY0TL684WDXX6KKJLRCN" hidden="1">#REF!</definedName>
    <definedName name="BEx5BBI61U4Y65GD0ARMTALPP7SJ" hidden="1">#REF!</definedName>
    <definedName name="BEx5BDR56MEV4IHY6CIH2SVNG1UB" hidden="1">#REF!</definedName>
    <definedName name="BEx5BESZC5H329SKHGJOHZFILYJJ" hidden="1">#REF!</definedName>
    <definedName name="BEx5BHSQ42B50IU1TEQFUXFX9XQD" hidden="1">#REF!</definedName>
    <definedName name="BEx5BKSM4UN4C1DM3EYKM79MRC5K" hidden="1">#REF!</definedName>
    <definedName name="BEx5BNN8NPH9KVOBARB9CDD9WLB6" hidden="1">#REF!</definedName>
    <definedName name="BEx5BYFMZ80TDDN2EZO8CF39AIAC" hidden="1">#REF!</definedName>
    <definedName name="BEx5C2BWFW6SHZBFDEISKGXHZCQW" hidden="1">#REF!</definedName>
    <definedName name="BEx5C49ZFH8TO9ZU55729C3F7XG7" hidden="1">#REF!</definedName>
    <definedName name="BEx5C8GZQK13G60ZM70P63I5OS0L" hidden="1">#REF!</definedName>
    <definedName name="BEx5CAPTVN2NBT3UOMA1UFAL1C2R" hidden="1">#REF!</definedName>
    <definedName name="BEx5CEM3SYF9XP0ZZVE0GEPCLV3F" hidden="1">#REF!</definedName>
    <definedName name="BEx5CFYQ0F1Z6P8SCVJ0I3UPVFE4" hidden="1">#REF!</definedName>
    <definedName name="BEx5CINUDCSDCAJSNNV7XVNU8Q79" hidden="1">#REF!</definedName>
    <definedName name="BEx5CNLUIOYU8EODGA03Z3547I9T" hidden="1">#REF!</definedName>
    <definedName name="BEx5CPEKNSJORIPFQC2E1LTRYY8L" hidden="1">#REF!</definedName>
    <definedName name="BEx5CSUOL05D8PAM2TRDA9VRJT1O" hidden="1">#REF!</definedName>
    <definedName name="BEx5CUNFOO4YDFJ22HCMI2QKIGKM" hidden="1">#REF!</definedName>
    <definedName name="BEx5D8ABFPPAS1WW0EMKZLE77TNT" hidden="1">#REF!</definedName>
    <definedName name="BEx5D8L47OF0WHBPFWXGZINZWUBZ" hidden="1">#REF!</definedName>
    <definedName name="BEx5DAJAHQ2SKUPCKSCR3PYML67L" hidden="1">#REF!</definedName>
    <definedName name="BEx5DC18JM1KJCV44PF18E0LNRKA" hidden="1">#REF!</definedName>
    <definedName name="BEx5DF15DMOW2LYIFY5P541BB5ML" hidden="1">#REF!</definedName>
    <definedName name="BEx5DJIZBTNS011R9IIG2OQ2L6ZX" hidden="1">#REF!</definedName>
    <definedName name="BEx5E123OLO9WQUOIRIDJ967KAGK" hidden="1">#REF!</definedName>
    <definedName name="BEx5E2UU5NES6W779W2OZTZOB4O7" hidden="1">#REF!</definedName>
    <definedName name="BEx5E4CSE5G83J5K32WENF7BXL82" hidden="1">#REF!</definedName>
    <definedName name="BEx5ELQL9B0VR6UT18KP11DHOTFX" hidden="1">#REF!</definedName>
    <definedName name="BEx5ER4TJTFPN7IB1MNEB1ZFR5M6" hidden="1">#REF!</definedName>
    <definedName name="BEx5F6V72QTCK7O39Y59R0EVM6CW" hidden="1">#REF!</definedName>
    <definedName name="BEx5FGLQVACD5F5YZG4DGSCHCGO2" hidden="1">#REF!</definedName>
    <definedName name="BEx5FLJWHLW3BTZILDPN5NMA449V" hidden="1">#REF!</definedName>
    <definedName name="BEx5FNI2O10YN2SI1NO4X5GP3GTF" hidden="1">#REF!</definedName>
    <definedName name="BEx5FO8YRFSZCG3L608EHIHIHFY4" hidden="1">#REF!</definedName>
    <definedName name="BEx5FQNA6V4CNYSH013K45RI4BCV" hidden="1">#REF!</definedName>
    <definedName name="BEx5FVQPPEU32CPNV9RRQ9MNLLVE" hidden="1">#REF!</definedName>
    <definedName name="BEx5G08KGMG5X2AQKDGPFYG5GH94" hidden="1">#REF!</definedName>
    <definedName name="BEx5G1A8TFN4C4QII35U9DKYNIS8" hidden="1">#REF!</definedName>
    <definedName name="BEx5G1L0QO91KEPDMV1D8OT4BT73" hidden="1">#REF!</definedName>
    <definedName name="BEx5G86DZL1VYUX6KWODAP3WFAWP" hidden="1">#REF!</definedName>
    <definedName name="BEx5G8BV2GIOCM3C7IUFK8L04A6M" hidden="1">#REF!</definedName>
    <definedName name="BEx5GAFDPPGYTBQI2IIDA2IYSQT8" hidden="1">#REF!</definedName>
    <definedName name="BEx5GID9MVBUPFFT9M8K8B5MO9NV" hidden="1">#REF!</definedName>
    <definedName name="BEx5GN0EWA9SCQDPQ7NTUQH82QVK" hidden="1">#REF!</definedName>
    <definedName name="BEx5GNBCU4WZ74I0UXFL9ZG2XSGJ" hidden="1">#REF!</definedName>
    <definedName name="BEx5GUCTYC7QCWGWU5BTO7Y7HDZX" hidden="1">#REF!</definedName>
    <definedName name="BEx5GYUPJULJQ624TEESYFG1NFOH" hidden="1">#REF!</definedName>
    <definedName name="BEx5H0NEE0AIN5E2UHJ9J9ISU9N1" hidden="1">#REF!</definedName>
    <definedName name="BEx5H1UJSEUQM2K8QHQXO5THVHSO" hidden="1">#REF!</definedName>
    <definedName name="BEx5HAOT9XWUF7XIFRZZS8B9F5TZ" hidden="1">#REF!</definedName>
    <definedName name="BEx5HE4XRF9BUY04MENWY9CHHN5H" hidden="1">#REF!</definedName>
    <definedName name="BEx5HFHMABAT0H9KKS754X4T304E" hidden="1">#REF!</definedName>
    <definedName name="BEx5HGDZ7MX1S3KNXLRL9WU565V4" hidden="1">#REF!</definedName>
    <definedName name="BEx5HJZ9FAVNZSSBTAYRPZDYM9NU" hidden="1">#REF!</definedName>
    <definedName name="BEx5HRMH7TRLVHJFQZ1IERQHIX1M" hidden="1">#REF!</definedName>
    <definedName name="BEx5HZ9JMKHNLFWLVUB1WP5B39BL" hidden="1">#REF!</definedName>
    <definedName name="BEx5I244LQHZTF3XI66J8705R9XX" hidden="1">#REF!</definedName>
    <definedName name="BEx5I7NNYI870586JGTO0W22U5CZ" hidden="1">#REF!</definedName>
    <definedName name="BEx5I8PBP4LIXDGID5BP0THLO0AQ" hidden="1">#REF!</definedName>
    <definedName name="BEx5I8USVUB3JP4S9OXGMZVMOQXR" hidden="1">#REF!</definedName>
    <definedName name="BEx5I9GDQSYIAL65UQNDMNFQCS9Y" hidden="1">#REF!</definedName>
    <definedName name="BEx5IBUPG9AWNW5PK7JGRGEJ4OLM" hidden="1">#REF!</definedName>
    <definedName name="BEx5IC06RVN8BSAEPREVKHKLCJ2L" hidden="1">#REF!</definedName>
    <definedName name="BEx5J0FFP1KS4NGY20AEJI8VREEA" hidden="1">#REF!</definedName>
    <definedName name="BEx5JF3ZXLDIS8VNKDCY7ZI7H1CI" hidden="1">#REF!</definedName>
    <definedName name="BEx5JHCZJ8G6OOOW6EF3GABXKH6F" hidden="1">#REF!</definedName>
    <definedName name="BEx5JJB6W446THXQCRUKD3I7RKLP" hidden="1">#REF!</definedName>
    <definedName name="BEx5JJWTMI37U3RDEJOYLO93RJ6Z" hidden="1">#REF!</definedName>
    <definedName name="BEx5JNCT8Z7XSSPD5EMNAJELCU2V" hidden="1">#REF!</definedName>
    <definedName name="BEx5JQCNT9Y4RM306CHC8IPY3HBZ" hidden="1">#REF!</definedName>
    <definedName name="BEx5K08PYKE6JOKBYIB006TX619P" hidden="1">#REF!</definedName>
    <definedName name="BEx5K1VZO9IJN5M3ZMGW9JR7NOU3" hidden="1">#REF!</definedName>
    <definedName name="BEx5K51DSERT1TR7B4A29R41W4NX" hidden="1">#REF!</definedName>
    <definedName name="BEx5KYER580I4T7WTLMUN7NLNP5K" hidden="1">#REF!</definedName>
    <definedName name="BEx5LHLB3M6K4ZKY2F42QBZT30ZH" hidden="1">#REF!</definedName>
    <definedName name="BEx5LRMNU3HXIE1BUMDHRU31F7JJ" hidden="1">#REF!</definedName>
    <definedName name="BEx5LSJ1LPUAX3ENSPECWPG4J7D1" hidden="1">#REF!</definedName>
    <definedName name="BEx5LTKQ8RQWJE4BC88OP928893U" hidden="1">#REF!</definedName>
    <definedName name="BEx5MB9BR71LZDG7XXQ2EO58JC5F" hidden="1">#REF!</definedName>
    <definedName name="BEx5MLQZM68YQSKARVWTTPINFQ2C" hidden="1">#REF!</definedName>
    <definedName name="BEx5MVXTKNBXHNWTL43C670E4KXC" hidden="1">#REF!</definedName>
    <definedName name="BEx5N4XI4PWB1W9PMZ4O5R0HWTYD" hidden="1">#REF!</definedName>
    <definedName name="BEx5NA68N6FJFX9UJXK4M14U487F" hidden="1">#REF!</definedName>
    <definedName name="BEx5NIKBG2GDJOYGE3WCXKU7YY51" hidden="1">#REF!</definedName>
    <definedName name="BEx5NV06L5J5IMKGOMGKGJ4PBZCD" hidden="1">#REF!</definedName>
    <definedName name="BEx5NZSSQ6PY99ZX2D7Q9IGOR34W" hidden="1">#REF!</definedName>
    <definedName name="BEx5O3ZUQ2OARA1CDOZ3NC4UE5AA" hidden="1">#REF!</definedName>
    <definedName name="BEx5OAFS0NJ2CB86A02E1JYHMLQ1" hidden="1">#REF!</definedName>
    <definedName name="BEx5OG4RPU8W1ETWDWM234NYYYEN" hidden="1">#REF!</definedName>
    <definedName name="BEx5OP9Y43F99O2IT69MKCCXGL61" hidden="1">#REF!</definedName>
    <definedName name="BEx5P9Y9RDXNUAJ6CZ2LHMM8IM7T" hidden="1">#REF!</definedName>
    <definedName name="BEx5PHWB2C0D5QLP3BZIP3UO7DIZ" hidden="1">#REF!</definedName>
    <definedName name="BEx5PJP02W68K2E46L5C5YBSNU6T" hidden="1">#REF!</definedName>
    <definedName name="BEx5PLCA8DOMAU315YCS5275L2HS" hidden="1">#REF!</definedName>
    <definedName name="BEx5PRXMZ5M65Z732WNNGV564C2J" hidden="1">#REF!</definedName>
    <definedName name="BEx5QN3SI1FMLY9YYAMGIE0LOGYS" hidden="1">#REF!</definedName>
    <definedName name="BEx5QPSW4IPLH50WSR87HRER05RF" hidden="1">#REF!</definedName>
    <definedName name="BEx73V0EP8EMNRC3EZJJKKVKWQVB" hidden="1">#REF!</definedName>
    <definedName name="BEx741WJHIJVXUX131SBXTVW8D71" hidden="1">#REF!</definedName>
    <definedName name="BEx74ESIB9Y8KGETIERMKU5PLCQR" hidden="1">#REF!</definedName>
    <definedName name="BEx74Q6H3O7133AWQXWC21MI2UFT" hidden="1">#REF!</definedName>
    <definedName name="BEx74QHBL32KA9TSZ1TJOQLAOROZ" hidden="1">#REF!</definedName>
    <definedName name="BEx74W6BJ8ENO3J25WNM5H5APKA3" hidden="1">#REF!</definedName>
    <definedName name="BEx755GRRD9BL27YHLH5QWIYLWB7" hidden="1">#REF!</definedName>
    <definedName name="BEx755RKN673YY4SS5O88V1K6SY3" hidden="1">#REF!</definedName>
    <definedName name="BEx759D1D5SXS5ELLZVBI0SXYUNF" hidden="1">#REF!</definedName>
    <definedName name="BEx75GJZSZHUDN6OOAGQYFUDA2LP" hidden="1">#REF!</definedName>
    <definedName name="BEx75HGCCV5K4UCJWYV8EV9AG5YT" hidden="1">#REF!</definedName>
    <definedName name="BEx75PZT8TY5P13U978NVBUXKHT4" hidden="1">#REF!</definedName>
    <definedName name="BEx75T55F7GML8V1DMWL26WRT006" hidden="1">#REF!</definedName>
    <definedName name="BEx75VJGR07JY6UUWURQ4PJ29UKC" hidden="1">#REF!</definedName>
    <definedName name="BEx766RZRGVF8SSGR0NIF7197QUX" hidden="1">#REF!</definedName>
    <definedName name="BEx7741OUGLA0WJQLQRUJSL4DE00" hidden="1">#REF!</definedName>
    <definedName name="BEx774N83DXLJZ54Q42PWIJZ2DN1" hidden="1">#REF!</definedName>
    <definedName name="BEx779QNIY3061ZV9BR462WKEGRW" hidden="1">#REF!</definedName>
    <definedName name="BEx77G19QU9A95CNHE6QMVSQR2T3" hidden="1">#REF!</definedName>
    <definedName name="BEx77P0S3GVMS7BJUL9OWUGJ1B02" hidden="1">#REF!</definedName>
    <definedName name="BEx77QDESURI6WW5582YXSK3A972" hidden="1">#REF!</definedName>
    <definedName name="BEx77VBI9XOPFHKEWU5EHQ9J675Y" hidden="1">#REF!</definedName>
    <definedName name="BEx7809GQOCLHSNH95VOYIX7P1TV" hidden="1">#REF!</definedName>
    <definedName name="BEx780K8XAXUHGVZGZWQ74DK4CI3" hidden="1">#REF!</definedName>
    <definedName name="BEx78226TN58UE0CTY98YEDU0LSL" hidden="1">#REF!</definedName>
    <definedName name="BEx7881ZZBWHRAX6W2GY19J8MGEQ" hidden="1">#REF!</definedName>
    <definedName name="BEx78HHRIWDLHQX2LG0HWFRYEL1T" hidden="1">#REF!</definedName>
    <definedName name="BEx78QMXZ2P1ZB3HJ9O50DWHCMXR" hidden="1">#REF!</definedName>
    <definedName name="BEx78SFO5VR28677DWZEMDN7G86X" hidden="1">#REF!</definedName>
    <definedName name="BEx78SFOYH1Z0ZDTO47W2M60TW6K" hidden="1">#REF!</definedName>
    <definedName name="BEx79JK3E6JO8MX4O35A5G8NZCC8" hidden="1">#REF!</definedName>
    <definedName name="BEx79OCP4HQ6XP8EWNGEUDLOZBBS" hidden="1">#REF!</definedName>
    <definedName name="BEx79SEAYKUZB0H4LYBCD6WWJBG2" hidden="1">#REF!</definedName>
    <definedName name="BEx79SJRHTLS9PYM69O9BWW1FMJK" hidden="1">#REF!</definedName>
    <definedName name="BEx79YJJLBELICW9F9FRYSCQ101L" hidden="1">#REF!</definedName>
    <definedName name="BEx79YUC7B0V77FSBGIRCY1BR4VK" hidden="1">#REF!</definedName>
    <definedName name="BEx7A06T3RC2891FUX05G3QPRAUE" hidden="1">#REF!</definedName>
    <definedName name="BEx7A9S3JA1X7FH4CFSQLTZC4691" hidden="1">#REF!</definedName>
    <definedName name="BEx7ABA2C9IWH5VSLVLLLCY62161" hidden="1">#REF!</definedName>
    <definedName name="BEx7AE4LPLX8N85BYB0WCO5S7ZPV" hidden="1">#REF!</definedName>
    <definedName name="BEx7ASD1I654MEDCO6GGWA95PXSC" hidden="1">#REF!</definedName>
    <definedName name="BEx7AVCX9S5RJP3NSZ4QM4E6ERDT" hidden="1">#REF!</definedName>
    <definedName name="BEx7AVYIGP0930MV5JEBWRYCJN68" hidden="1">#REF!</definedName>
    <definedName name="BEx7B6LH6917TXOSAAQ6U7HVF018" hidden="1">#REF!</definedName>
    <definedName name="BEx7BPXFZXJ79FQ0E8AQE21PGVHA" hidden="1">#REF!</definedName>
    <definedName name="BEx7C04AM39DQMC1TIX7CFZ2ADHX" hidden="1">#REF!</definedName>
    <definedName name="BEx7C40F0PQURHPI6YQ39NFIR86Z" hidden="1">#REF!</definedName>
    <definedName name="BEx7C8IFPZAFLHIKDOL1KCSZA9BV" hidden="1">#REF!</definedName>
    <definedName name="BEx7C93VR7SYRIJS1JO8YZKSFAW9" hidden="1">#REF!</definedName>
    <definedName name="BEx7CCPC6R1KQQZ2JQU6EFI1G0RM" hidden="1">#REF!</definedName>
    <definedName name="BEx7CIJST9GLS2QD383UK7VUDTGL" hidden="1">#REF!</definedName>
    <definedName name="BEx7CO8T2XKC7GHDSYNAWTZ9L7YR" hidden="1">#REF!</definedName>
    <definedName name="BEx7CW1CF00DO8A36UNC2X7K65C2" hidden="1">#REF!</definedName>
    <definedName name="BEx7CW6NFRL2P4XWP0MWHIYA97KF" hidden="1">#REF!</definedName>
    <definedName name="BEx7D5RWKRS4W71J4NZ6ZSFHPKFT" hidden="1">#REF!</definedName>
    <definedName name="BEx7D8H1TPOX1UN17QZYEV7Q58GA" hidden="1">#REF!</definedName>
    <definedName name="BEx7DGF13H2074LRWFZQ45PZ6JPX" hidden="1">#REF!</definedName>
    <definedName name="BEx7DKWUXEDIISSX4GDD4YYT887F" hidden="1">#REF!</definedName>
    <definedName name="BEx7DMUYR2HC26WW7AOB1TULERMB" hidden="1">#REF!</definedName>
    <definedName name="BEx7DVJTRV44IMJIBFXELE67SZ7S" hidden="1">#REF!</definedName>
    <definedName name="BEx7DVUMFCI5INHMVFIJ44RTTSTT" hidden="1">#REF!</definedName>
    <definedName name="BEx7E2QT2U8THYOKBPXONB1B47WH" hidden="1">#REF!</definedName>
    <definedName name="BEx7E5QP7W6UKO74F5Y0VJ741HS5" hidden="1">#REF!</definedName>
    <definedName name="BEx7E6N29HGH3I47AFB2DCS6MVS6" hidden="1">#REF!</definedName>
    <definedName name="BEx7EBA8IYHQKT7IQAOAML660SYA" hidden="1">#REF!</definedName>
    <definedName name="BEx7EI6C8MCRZFEQYUBE5FSUTIHK" hidden="1">#REF!</definedName>
    <definedName name="BEx7EI6DL1Z6UWLFBXAKVGZTKHWJ" hidden="1">#REF!</definedName>
    <definedName name="BEx7EQKHX7GZYOLXRDU534TT4H64" hidden="1">#REF!</definedName>
    <definedName name="BEx7ETV6L1TM7JSXJIGK3FC6RVZW" hidden="1">#REF!</definedName>
    <definedName name="BEx7EWK9GUVV6FXWYIGH0TAI4V2O" hidden="1">#REF!</definedName>
    <definedName name="BEx7EYYLHMBYQTH6I377FCQS7CSX" hidden="1">#REF!</definedName>
    <definedName name="BEx7FCLG1RYI2SNOU1Y2GQZNZSWA" hidden="1">#REF!</definedName>
    <definedName name="BEx7FN32ZGWOAA4TTH79KINTDWR9" hidden="1">#REF!</definedName>
    <definedName name="BEx7G82CKM3NIY1PHNFK28M09PCH" hidden="1">#REF!</definedName>
    <definedName name="BEx7GR3ENYWRXXS5IT0UMEGOLGUH" hidden="1">#REF!</definedName>
    <definedName name="BEx7GSAL6P7TASL8MB63RFST1LJL" hidden="1">#REF!</definedName>
    <definedName name="BEx7H0JD6I5I8WQLLWOYWY5YWPQE" hidden="1">#REF!</definedName>
    <definedName name="BEx7H14XCXH7WEXEY1HVO53A6AGH" hidden="1">#REF!</definedName>
    <definedName name="BEx7HFTIA8AC8BR8HKIN81VE1SGW" hidden="1">#REF!</definedName>
    <definedName name="BEx7HGVBEF4LEIF6RC14N3PSU461" hidden="1">#REF!</definedName>
    <definedName name="BEx7HQ5T9FZ42QWS09UO4DT42Y0R" hidden="1">#REF!</definedName>
    <definedName name="BEx7HRCZE3CVGON1HV07MT5MNDZ3" hidden="1">#REF!</definedName>
    <definedName name="BEx7HSPGHDH4E1PRBH79IEBITUYU" hidden="1">#REF!</definedName>
    <definedName name="BEx7HWGE2CANG5M17X4C8YNC3N8F" hidden="1">#REF!</definedName>
    <definedName name="BEx7I8FZ96C5JAHXS18ZV0912LZP" hidden="1">#REF!</definedName>
    <definedName name="BEx7IBVYN47SFZIA0K4MDKQZNN9V" hidden="1">#REF!</definedName>
    <definedName name="BEx7IKFL0A41JL6ZSKU3VHO7N1V9" hidden="1">#REF!</definedName>
    <definedName name="BEx7IV2IJ5WT7UC0UG7WP0WF2JZI" hidden="1">#REF!</definedName>
    <definedName name="BEx7IXGU74GE5E4S6W4Z13AR092Y" hidden="1">#REF!</definedName>
    <definedName name="BEx7J3BCHT1AUNXRK64U462ROE57" hidden="1">#REF!</definedName>
    <definedName name="BEx7J4YL8Q3BI1MLH16YYQ18IJRD" hidden="1">#REF!</definedName>
    <definedName name="BEx7JH3HGBPI07OHZ5LFYK0UFZQR" hidden="1">#REF!</definedName>
    <definedName name="BEx7JV194190CNM6WWGQ3UBJ3CHH" hidden="1">#REF!</definedName>
    <definedName name="BEx7K7GZ607XQOGB81A1HINBTGOZ" hidden="1">#REF!</definedName>
    <definedName name="BEx7KEYPBDXSNROH8M6CDCBN6B50" hidden="1">#REF!</definedName>
    <definedName name="BEx7KKCWV85O59WNXNLAS63I1XZG" hidden="1">#REF!</definedName>
    <definedName name="BEx7KSAS8BZT6H8OQCZ5DNSTMO07" hidden="1">#REF!</definedName>
    <definedName name="BEx7KWHTBD21COXVI4HNEQH0Z3L8" hidden="1">#REF!</definedName>
    <definedName name="BEx7KXUGRMRSUXCM97Z7VRZQ9JH2" hidden="1">#REF!</definedName>
    <definedName name="BEx7L21IQVP1N1TTQLRMANSSLSLE" hidden="1">#REF!</definedName>
    <definedName name="BEx7L5C6U8MP6IZ67BD649WQYJEK" hidden="1">#REF!</definedName>
    <definedName name="BEx7L8HEYEVTATR0OG5JJO647KNI" hidden="1">#REF!</definedName>
    <definedName name="BEx7L8XOV64OMS15ZFURFEUXLMWF" hidden="1">#REF!</definedName>
    <definedName name="BEx7LJVFQACL9F4DRS9YZQ9R2N30" hidden="1">#REF!</definedName>
    <definedName name="BEx7MAUI1JJFDIJGDW4RWY5384LY" hidden="1">#REF!</definedName>
    <definedName name="BEx7MJZO3UKAMJ53UWOJ5ZD4GGMQ" hidden="1">#REF!</definedName>
    <definedName name="BEx7MT4MFNXIVQGAT6D971GZW7CA" hidden="1">#REF!</definedName>
    <definedName name="BEx7NI062THZAM6I8AJWTFJL91CS" hidden="1">#REF!</definedName>
    <definedName name="BEx904S75BPRYMHF0083JF7ES4NG" hidden="1">#REF!</definedName>
    <definedName name="BEx90HDD4RWF7JZGA8GCGG7D63MG" hidden="1">#REF!</definedName>
    <definedName name="BEx90VGH5H09ON2QXYC9WIIEU98T" hidden="1">#REF!</definedName>
    <definedName name="BEx9175B70QXYAU5A8DJPGZQ46L9" hidden="1">#REF!</definedName>
    <definedName name="BEx91AQQRTV87AO27VWHSFZAD4ZR" hidden="1">#REF!</definedName>
    <definedName name="BEx91L8FLL5CWLA2CDHKCOMGVDZN" hidden="1">#REF!</definedName>
    <definedName name="BEx91OTVH9ZDBC3QTORU8RZX4EOC" hidden="1">#REF!</definedName>
    <definedName name="BEx91QH5JRZKQP1GPN2SQMR3CKAG" hidden="1">#REF!</definedName>
    <definedName name="BEx91ROALDNHO7FI4X8L61RH4UJE" hidden="1">#REF!</definedName>
    <definedName name="BEx91TMID71GVYH0U16QM1RV3PX0" hidden="1">#REF!</definedName>
    <definedName name="BEx91VF2D78PAF337E3L2L81K9W2" hidden="1">#REF!</definedName>
    <definedName name="BEx921PNZ46VORG2VRMWREWIC0SE" hidden="1">#REF!</definedName>
    <definedName name="BEx92DPEKL5WM5A3CN8674JI0PR3" hidden="1">#REF!</definedName>
    <definedName name="BEx92ER2RMY93TZK0D9L9T3H0GI5" hidden="1">#REF!</definedName>
    <definedName name="BEx92FI04PJT4LI23KKIHRXWJDTT" hidden="1">#REF!</definedName>
    <definedName name="BEx92HR14HQ9D5JXCSPA4SS4RT62" hidden="1">#REF!</definedName>
    <definedName name="BEx92HWA2D6A5EX9MFG68G0NOMSN" hidden="1">#REF!</definedName>
    <definedName name="BEx92PUBDIXAU1FW5ZAXECMAU0LN" hidden="1">#REF!</definedName>
    <definedName name="BEx92S8MHFFIVRQ2YSHZNQGOFUHD" hidden="1">#REF!</definedName>
    <definedName name="BEx93B9OULL2YGC896XXYAAJSTRK" hidden="1">#REF!</definedName>
    <definedName name="BEx93FRKF99NRT3LH99UTIH7AAYF" hidden="1">#REF!</definedName>
    <definedName name="BEx93M7FSHP50OG34A4W8W8DF12U" hidden="1">#REF!</definedName>
    <definedName name="BEx93OLWY2O3PRA74U41VG5RXT4Q" hidden="1">#REF!</definedName>
    <definedName name="BEx93RWFAF6YJGYUTITVM445C02U" hidden="1">#REF!</definedName>
    <definedName name="BEx93SY9RWG3HUV4YXQKXJH9FH14" hidden="1">#REF!</definedName>
    <definedName name="BEx93TJUX3U0FJDBG6DDSNQ91R5J" hidden="1">#REF!</definedName>
    <definedName name="BEx93VY66RQHHTPH1X8OTWU18AL1" hidden="1">#REF!</definedName>
    <definedName name="BEx942UCRHMI4B0US31HO95GSC2X" hidden="1">#REF!</definedName>
    <definedName name="BEx948ZFFQWVIDNG4AZAUGGGEB5U" hidden="1">#REF!</definedName>
    <definedName name="BEx94CKXG92OMURH41SNU6IOHK4J" hidden="1">#REF!</definedName>
    <definedName name="BEx94GXG30CIVB6ZQN3X3IK6BZXQ" hidden="1">#REF!</definedName>
    <definedName name="BEx94HZ5LURYM9ST744ALV6ZCKYP" hidden="1">#REF!</definedName>
    <definedName name="BEx94IQ75E90YUMWJ9N591LR7DQQ" hidden="1">#REF!</definedName>
    <definedName name="BEx94L9TBK45AUQSX1IUZ86U1GPQ" hidden="1">#REF!</definedName>
    <definedName name="BEx94N7W5T3U7UOE97D6OVIBUCXS" hidden="1">#REF!</definedName>
    <definedName name="BEx953PB6S6ECMD8N0JSW0CBG0DA" hidden="1">#REF!</definedName>
    <definedName name="BEx955NIAWX5OLAHMTV6QFUZPR30" hidden="1">#REF!</definedName>
    <definedName name="BEx9581TYVI2M5TT4ISDAJV4W7Z6" hidden="1">#REF!</definedName>
    <definedName name="BEx95NHF4RVUE0YDOAFZEIVBYJXD" hidden="1">#REF!</definedName>
    <definedName name="BEx95QBZMG0E2KQ9BERJ861QLYN3" hidden="1">#REF!</definedName>
    <definedName name="BEx95QHBVDN795UNQJLRXG3RDU49" hidden="1">#REF!</definedName>
    <definedName name="BEx95TBVUWV7L7OMFMZDQEXGVHU6" hidden="1">#REF!</definedName>
    <definedName name="BEx95U89DZZSVO39TGS62CX8G9N4" hidden="1">#REF!</definedName>
    <definedName name="BEx9602K2GHNBUEUVT9ONRQU1GMD" hidden="1">#REF!</definedName>
    <definedName name="BEx962BL3Y4LA53EBYI64ZYMZE8U" hidden="1">#REF!</definedName>
    <definedName name="BEx96KR21O7H9R29TN0S45Y3QPUK" hidden="1">#REF!</definedName>
    <definedName name="BEx96SUFKHHFE8XQ6UUO6ILDOXHO" hidden="1">#REF!</definedName>
    <definedName name="BEx96UN4YWXBDEZ1U1ZUIPP41Z7I" hidden="1">#REF!</definedName>
    <definedName name="BEx970MYCPJ6DQ44TKLOIGZO5LHH" hidden="1">#REF!</definedName>
    <definedName name="BEx978KSD61YJH3S9DGO050R2EHA" hidden="1">#REF!</definedName>
    <definedName name="BEx97H9O1NAKAPK4MX4PKO34ICL5" hidden="1">#REF!</definedName>
    <definedName name="BEx97HVA5F2I0D6ID81KCUDEQOIH" hidden="1">#REF!</definedName>
    <definedName name="BEx97MNUZQ1Z0AO2FL7XQYVNCPR7" hidden="1">#REF!</definedName>
    <definedName name="BEx97NPQBACJVD9K1YXI08RTW9E2" hidden="1">#REF!</definedName>
    <definedName name="BEx97RWQLXS0OORDCN69IGA58CWU" hidden="1">#REF!</definedName>
    <definedName name="BEx97YNGGDFIXHTMGFL2IHAQX9MI" hidden="1">#REF!</definedName>
    <definedName name="BEx981HW73BUZWT14TBTZHC0ZTJ4" hidden="1">#REF!</definedName>
    <definedName name="BEx9871KU0N99P0900EAK69VFYT2" hidden="1">#REF!</definedName>
    <definedName name="BEx98IFKNJFGZFLID1YTRFEG1SXY" hidden="1">#REF!</definedName>
    <definedName name="BEx9915UVD4G7RA3IMLFZ0LG3UA2" hidden="1">#REF!</definedName>
    <definedName name="BEx992CZON8AO7U7V88VN1JBO0MG" hidden="1">#REF!</definedName>
    <definedName name="BEx9952469XMFGSPXL7CMXHPJF90" hidden="1">#REF!</definedName>
    <definedName name="BEx99B77I7TUSHRR4HIZ9FU2EIUT" hidden="1">#REF!</definedName>
    <definedName name="BEx99DLKITQO6Y1BYYG2G1FP3NT6" hidden="1">#REF!</definedName>
    <definedName name="BEx99Q6PH5F3OQKCCAAO75PYDEFN" hidden="1">#REF!</definedName>
    <definedName name="BEx99WBYT2D6UUC1PT7A40ENYID4" hidden="1">#REF!</definedName>
    <definedName name="BEx99XOGHOM28CNCYKQWYGL56W2S" hidden="1">#REF!</definedName>
    <definedName name="BEx99ZRZ4I7FHDPGRAT5VW7NVBPU" hidden="1">#REF!</definedName>
    <definedName name="BEx9AT5E3ZSHKSOL35O38L8HF9TH" hidden="1">#REF!</definedName>
    <definedName name="BEx9AV8W1FAWF5BHATYEN47X12JN" hidden="1">#REF!</definedName>
    <definedName name="BEx9B8A5186FNTQQNLIO5LK02ABI" hidden="1">#REF!</definedName>
    <definedName name="BEx9B8VR20E2CILU4CDQUQQ9ONXK" hidden="1">#REF!</definedName>
    <definedName name="BEx9B917EUP13X6FQ3NPQL76XM5V" hidden="1">#REF!</definedName>
    <definedName name="BEx9BAJ5WYEQ623HUT9NNCMP3RUG" hidden="1">#REF!</definedName>
    <definedName name="BEx9BF6C6FHS1ZE7UZJINAUEEW75" hidden="1">#REF!</definedName>
    <definedName name="BEx9BIRU9A3XNF3OFQMQ4EIAWQN4" hidden="1">#REF!</definedName>
    <definedName name="BEx9BYSYW7QCPXS2NAVLFAU5Y2Z2" hidden="1">#REF!</definedName>
    <definedName name="BEx9BZEJSVUHZQLE4PSU5UY9RAUO" hidden="1">#REF!</definedName>
    <definedName name="BEx9C590HJ2O31IWJB73C1HR74AI" hidden="1">#REF!</definedName>
    <definedName name="BEx9CCQRMYYOGIOYTOM73VKDIPS1" hidden="1">#REF!</definedName>
    <definedName name="BEx9D1BC9FT19KY0INAABNDBAMR1" hidden="1">#REF!</definedName>
    <definedName name="BEx9DN6ZMF18Q39MPMXSDJTZQNJ3" hidden="1">#REF!</definedName>
    <definedName name="BEx9DQN5HTTJ4R4TBXRDY90JE13Q" hidden="1">#REF!</definedName>
    <definedName name="BEx9DUU8DALPSCW66GTMQRPXZ6GL" hidden="1">#REF!</definedName>
    <definedName name="BEx9E14TDNSEMI784W0OTIEQMWN6" hidden="1">#REF!</definedName>
    <definedName name="BEx9E2BZ2B1R41FMGJCJ7JLGLUAJ" hidden="1">#REF!</definedName>
    <definedName name="BEx9EG9KBJ77M8LEOR9ITOKN5KXY" hidden="1">#REF!</definedName>
    <definedName name="BEx9EMK6HAJJMVYZTN5AUIV7O1E6" hidden="1">#REF!</definedName>
    <definedName name="BEx9EQLVZHYQ1TPX7WH3SOWXCZLE" hidden="1">#REF!</definedName>
    <definedName name="BEx9ETLU0EK5LGEM1QCNYN2S8O5F" hidden="1">#REF!</definedName>
    <definedName name="BEx9F0Y2ESUNE3U7TQDLMPE9BO67" hidden="1">#REF!</definedName>
    <definedName name="BEx9F5W18ZGFOKGRE8PR6T1MO6GT" hidden="1">#REF!</definedName>
    <definedName name="BEx9F78N4HY0XFGBQ4UJRD52L1EI" hidden="1">#REF!</definedName>
    <definedName name="BEx9FF16LOQP5QIR4UHW5EIFGQB8" hidden="1">#REF!</definedName>
    <definedName name="BEx9FJTSRCZ3ZXT3QVBJT5NF8T7V" hidden="1">#REF!</definedName>
    <definedName name="BEx9FRBEEYPS5HLS3XT34AKZN94G" hidden="1">#REF!</definedName>
    <definedName name="BEx9GDY4D8ZPQJCYFIMYM0V0C51Y" hidden="1">#REF!</definedName>
    <definedName name="BEx9GGY04V0ZWI6O9KZH4KSBB389" hidden="1">#REF!</definedName>
    <definedName name="BEx9GNOPB6OZ2RH3FCDNJR38RJOS" hidden="1">#REF!</definedName>
    <definedName name="BEx9GUQALUWCD30UKUQGSWW8KBQ7" hidden="1">#REF!</definedName>
    <definedName name="BEx9GY6BVFQGCLMOWVT6PIC9WP5X" hidden="1">#REF!</definedName>
    <definedName name="BEx9GZ2P3FDHKXEBXX2VS0BG2NP2" hidden="1">#REF!</definedName>
    <definedName name="BEx9H04IB14E1437FF2OIRRWBSD7" hidden="1">#REF!</definedName>
    <definedName name="BEx9H5O1KDZJCW91Q29VRPY5YS6P" hidden="1">#REF!</definedName>
    <definedName name="BEx9H8YR0E906F1JXZMBX3LNT004" hidden="1">#REF!</definedName>
    <definedName name="BEx9I7QCJ0WUNUMB856ZM0P3C2RO" hidden="1">#REF!</definedName>
    <definedName name="BEx9I8XIG7E5NB48QQHXP23FIN60" hidden="1">#REF!</definedName>
    <definedName name="BEx9IQRF01ATLVK0YE60ARKQJ68L" hidden="1">#REF!</definedName>
    <definedName name="BEx9IT5QNZWKM6YQ5WER0DC2PMMU" hidden="1">#REF!</definedName>
    <definedName name="BEx9IW5MFLXTVCJHVUZTUH93AXOS" hidden="1">#REF!</definedName>
    <definedName name="BEx9IXCSPSZC80YZUPRCYTG326KV" hidden="1">#REF!</definedName>
    <definedName name="BEx9IZR39NHDGOM97H4E6F81RTQW" hidden="1">#REF!</definedName>
    <definedName name="BEx9J3CKF7UL0FCZ4YEVSW05DUHR" hidden="1">#REF!</definedName>
    <definedName name="BEx9J6CH5E7YZPER7HXEIOIKGPCA" hidden="1">#REF!</definedName>
    <definedName name="BEx9J858H62KHUYIDB56NTIXPI16" hidden="1">#REF!</definedName>
    <definedName name="BEx9JJTZKVUJAVPTRE0RAVTEH41G" hidden="1">#REF!</definedName>
    <definedName name="BEx9JLBYK239B3F841C7YG1GT7ST" hidden="1">#REF!</definedName>
    <definedName name="BExAW4IIW5D0MDY6TJ3G4FOLPYIR" hidden="1">#REF!</definedName>
    <definedName name="BExAX410NB4F2XOB84OR2197H8M5" hidden="1">#REF!</definedName>
    <definedName name="BExAX8TNG8LQ5Q4904SAYQIPGBSV" hidden="1">#REF!</definedName>
    <definedName name="BExAY0EAT2LXR5MFGM0DLIB45PLO" hidden="1">#REF!</definedName>
    <definedName name="BExAYE6LNIEBR9DSNI5JGNITGKIT" hidden="1">#REF!</definedName>
    <definedName name="BExAYHMLXGGO25P8HYB2S75DEB4F" hidden="1">#REF!</definedName>
    <definedName name="BExAYKXAUWGDOPG952TEJ2UKZKWN" hidden="1">#REF!</definedName>
    <definedName name="BExAYP9TDTI2MBP6EYE0H39CPMXN" hidden="1">#REF!</definedName>
    <definedName name="BExAYPPWJPWDKU59O051WMGB7O0J" hidden="1">#REF!</definedName>
    <definedName name="BExAYR2JZCJBUH6F1LZC2A7JIVRJ" hidden="1">#REF!</definedName>
    <definedName name="BExAYTGVRD3DLKO75RFPMBKCIWB8" hidden="1">#REF!</definedName>
    <definedName name="BExAYY9H9COOT46HJLPVDLTO12UL" hidden="1">#REF!</definedName>
    <definedName name="BExAZCNEGB4JYHC8CZ51KTN890US" hidden="1">#REF!</definedName>
    <definedName name="BExAZFCI302YFYRDJYQDWQQL0Q0O" hidden="1">#REF!</definedName>
    <definedName name="BExAZLHLST9OP89R1HJMC1POQG8H" hidden="1">#REF!</definedName>
    <definedName name="BExAZMDYMIAA7RX1BMCKU1VLBRGY" hidden="1">#REF!</definedName>
    <definedName name="BExAZNL6BHI8DCQWXOX4I2P839UX" hidden="1">#REF!</definedName>
    <definedName name="BExAZRMWSONMCG9KDUM4KAQ7BONM" hidden="1">#REF!</definedName>
    <definedName name="BExAZTFG4SJRG4TW6JXRF7N08JFI" hidden="1">#REF!</definedName>
    <definedName name="BExAZUS4A8OHDZK0MWAOCCCKTH73" hidden="1">#REF!</definedName>
    <definedName name="BExAZX6FECVK3E07KXM2XPYKGM6U" hidden="1">#REF!</definedName>
    <definedName name="BExB012NJ8GASTNNPBRRFTLHIOC9" hidden="1">#REF!</definedName>
    <definedName name="BExB072HHXVMUC0VYNGG48GRSH5Q" hidden="1">#REF!</definedName>
    <definedName name="BExB0FRDEYDEUEAB1W8KD6D965XA" hidden="1">#REF!</definedName>
    <definedName name="BExB0KPCN7YJORQAYUCF4YKIKPMC" hidden="1">#REF!</definedName>
    <definedName name="BExB0WE4PI3NOBXXVO9CTEN4DIU2" hidden="1">#REF!</definedName>
    <definedName name="BExB10QNIVITUYS55OAEKK3VLJFE" hidden="1">#REF!</definedName>
    <definedName name="BExB15ZDRY4CIJ911DONP0KCY9KU" hidden="1">#REF!</definedName>
    <definedName name="BExB16VQY0O0RLZYJFU3OFEONVTE" hidden="1">#REF!</definedName>
    <definedName name="BExB1FKNY2UO4W5FUGFHJOA2WFGG" hidden="1">#REF!</definedName>
    <definedName name="BExB1GMD0PIDGTFBGQOPRWQSP9I4" hidden="1">#REF!</definedName>
    <definedName name="BExB1Q29OO6LNFNT1EQLA3KYE7MX" hidden="1">#REF!</definedName>
    <definedName name="BExB1TNRV5EBWZEHYLHI76T0FVA7" hidden="1">#REF!</definedName>
    <definedName name="BExB1WI6M8I0EEP1ANUQZCFY24EV" hidden="1">#REF!</definedName>
    <definedName name="BExB203OWC9QZA3BYOKQ18L4FUJE" hidden="1">#REF!</definedName>
    <definedName name="BExB2CJHTU7C591BR4WRL5L2F2K6" hidden="1">#REF!</definedName>
    <definedName name="BExB2K1AV4PGNS1O6C7D7AO411AX" hidden="1">#REF!</definedName>
    <definedName name="BExB2O2UYHKI324YE324E1N7FVIB" hidden="1">#REF!</definedName>
    <definedName name="BExB2Q0VJ0MU2URO3JOVUAVHEI3V" hidden="1">#REF!</definedName>
    <definedName name="BExB30IP1DNKNQ6PZ5ERUGR5MK4Z" hidden="1">#REF!</definedName>
    <definedName name="BExB3KG49IX8RX63D6UCRABV4BUV" hidden="1">#REF!</definedName>
    <definedName name="BExB442RX0T3L6HUL6X5T21CENW6" hidden="1">#REF!</definedName>
    <definedName name="BExB4ADD0L7417CII901XTFKXD1J" hidden="1">#REF!</definedName>
    <definedName name="BExB4DO060TQEYKOXGVXHT7J245T" hidden="1">#REF!</definedName>
    <definedName name="BExB4DO1V1NL2AVK5YE1RSL5RYHL" hidden="1">#REF!</definedName>
    <definedName name="BExB4DYU06HCGRIPBSWRCXK804UM" hidden="1">#REF!</definedName>
    <definedName name="BExB4Z3EZBGYYI33U0KQ8NEIH8PY" hidden="1">#REF!</definedName>
    <definedName name="BExB55368XW7UX657ZSPC6BFE92S" hidden="1">#REF!</definedName>
    <definedName name="BExB57MZEPL2SA2ONPK66YFLZWJU" hidden="1">#REF!</definedName>
    <definedName name="BExB5833OAOJ22VK1YK47FHUSVK2" hidden="1">#REF!</definedName>
    <definedName name="BExB58JDIHS42JZT9DJJMKA8QFCO" hidden="1">#REF!</definedName>
    <definedName name="BExB58U5FQC5JWV9CGC83HLLZUZI" hidden="1">#REF!</definedName>
    <definedName name="BExB5EDO9XUKHF74X3HAU2WPPHZH" hidden="1">#REF!</definedName>
    <definedName name="BExB5G6EH68AYEP1UT0GHUEL3SLN" hidden="1">#REF!</definedName>
    <definedName name="BExB5QYVEZWFE5DQVHAM760EV05X" hidden="1">#REF!</definedName>
    <definedName name="BExB5U9IRH14EMOE0YGIE3WIVLFS" hidden="1">#REF!</definedName>
    <definedName name="BExB5VWYMOV6BAIH7XUBBVPU7MMD" hidden="1">#REF!</definedName>
    <definedName name="BExB610DZWIJP1B72U9QM42COH2B" hidden="1">#REF!</definedName>
    <definedName name="BExB6C3FUAKK9ML5T767NMWGA9YB" hidden="1">#REF!</definedName>
    <definedName name="BExB6C8X6JYRLKZKK17VE3QUNL3D" hidden="1">#REF!</definedName>
    <definedName name="BExB6EN8CDMZKBWNBKS6LE10FS75" hidden="1">#REF!</definedName>
    <definedName name="BExB6HN3QRFPXM71MDUK21BKM7PF" hidden="1">#REF!</definedName>
    <definedName name="BExB6IZMHCZ3LB7N73KD90YB1HBZ" hidden="1">#REF!</definedName>
    <definedName name="BExB719SGNX4Y8NE6JEXC555K596" hidden="1">#REF!</definedName>
    <definedName name="BExB7265DCHKS7V2OWRBXCZTEIW9" hidden="1">#REF!</definedName>
    <definedName name="BExB74PS5P9G0P09Y6DZSCX0FLTJ" hidden="1">#REF!</definedName>
    <definedName name="BExB78RH79J0MIF7H8CAZ0CFE88Q" hidden="1">#REF!</definedName>
    <definedName name="BExB7ELT09HGDVO5BJC1ZY9D09GZ" hidden="1">#REF!</definedName>
    <definedName name="BExB806PAXX70XUTA3ZI7OORD78R" hidden="1">#REF!</definedName>
    <definedName name="BExB8HF4UBVZKQCSRFRUQL2EE6VL" hidden="1">#REF!</definedName>
    <definedName name="BExB8HKHKZ1ORJZUYGG2M4VSCC39" hidden="1">#REF!</definedName>
    <definedName name="BExB8QPH8DC5BESEVPSMBCWVN6PO" hidden="1">#REF!</definedName>
    <definedName name="BExB8U5N0D85YR8APKN3PPKG0FWP" hidden="1">#REF!</definedName>
    <definedName name="BExB8ZJUPBTDA36FHN30F7EGQDVX" hidden="1">#REF!</definedName>
    <definedName name="BExB9DHI5I2TJ2LXYPM98EE81L27" hidden="1">#REF!</definedName>
    <definedName name="BExB9Q2MZZHBGW8QQKVEYIMJBPIE" hidden="1">#REF!</definedName>
    <definedName name="BExBA1GON0EZRJ20UYPILAPLNQWM" hidden="1">#REF!</definedName>
    <definedName name="BExBA69ASGYRZW1G1DYIS9QRRTBN" hidden="1">#REF!</definedName>
    <definedName name="BExBA69BTT8GL455M828SSHVXIW3" hidden="1">#REF!</definedName>
    <definedName name="BExBA6K42582A14WFFWQ3Q8QQWB6" hidden="1">#REF!</definedName>
    <definedName name="BExBA8I5D4R8R2PYQ1K16TWGTOEP" hidden="1">#REF!</definedName>
    <definedName name="BExBA93PE0DGUUTA7LLSIGBIXWE5" hidden="1">#REF!</definedName>
    <definedName name="BExBAI8X0FKDQJ6YZJQDTTG4ZCWY" hidden="1">#REF!</definedName>
    <definedName name="BExBAKN7XIBAXCF9PCNVS038PCQO" hidden="1">#REF!</definedName>
    <definedName name="BExBAKXZ7PBW3DDKKA5MWC1ZUC7O" hidden="1">#REF!</definedName>
    <definedName name="BExBAO8NLXZXHO6KCIECSFCH3RR0" hidden="1">#REF!</definedName>
    <definedName name="BExBAOOT1KBSIEISN1ADL4RMY879" hidden="1">#REF!</definedName>
    <definedName name="BExBAVKX8Q09370X1GCZWJ4E91YJ" hidden="1">#REF!</definedName>
    <definedName name="BExBAX2X2ENJYO4QTR5VAIQ86L7B" hidden="1">#REF!</definedName>
    <definedName name="BExBAZ13D3F1DVJQ6YJ8JGUYEYJE" hidden="1">#REF!</definedName>
    <definedName name="BExBBTG649R9I0CT042JLL8LXV18" hidden="1">#REF!</definedName>
    <definedName name="BExBBUCJQRR74Q7GPWDEZXYK2KJL" hidden="1">#REF!</definedName>
    <definedName name="BExBBV8XVMD9CKZY711T0BN7H3PM" hidden="1">#REF!</definedName>
    <definedName name="BExBC78HXWXHO3XAB6E8NVTBGLJS" hidden="1">#REF!</definedName>
    <definedName name="BExBCKKJTIRKC1RZJRTK65HHLX4W" hidden="1">#REF!</definedName>
    <definedName name="BExBCLMEPAN3XXX174TU8SS0627Q" hidden="1">#REF!</definedName>
    <definedName name="BExBCRBEYR2KZ8FAQFZ2NHY13WIY" hidden="1">#REF!</definedName>
    <definedName name="BExBD4I559NXSV6J07Q343TKYMVJ" hidden="1">#REF!</definedName>
    <definedName name="BExBDBZQLTX3OGFYGULQFK5WEZU5" hidden="1">#REF!</definedName>
    <definedName name="BExBDJS9TUEU8Z84IV59E5V4T8K6" hidden="1">#REF!</definedName>
    <definedName name="BExBDKOMSVH4XMH52CFJ3F028I9R" hidden="1">#REF!</definedName>
    <definedName name="BExBDSRXVZQ0W5WXQMP5XD00GRRL" hidden="1">#REF!</definedName>
    <definedName name="BExBDUVGK3E1J4JY9ZYTS7V14BLY" hidden="1">#REF!</definedName>
    <definedName name="BExBE162OSBKD30I7T1DKKPT3I9I" hidden="1">#REF!</definedName>
    <definedName name="BExBE5YPUY1T7N7DHMMIGGXK8TMP" hidden="1">#REF!</definedName>
    <definedName name="BExBEC9ATLQZF86W1M3APSM4HEOH" hidden="1">#REF!</definedName>
    <definedName name="BExBEYFQJE9YK12A6JBMRFKEC7RN" hidden="1">#REF!</definedName>
    <definedName name="BExBG1ED81J2O4A2S5F5Y3BPHMCR" hidden="1">#REF!</definedName>
    <definedName name="BExCRLIHS7466WFJ3RPIUGGXYESZ" hidden="1">#REF!</definedName>
    <definedName name="BExCS1EDDUEAEWHVYXHIP9I1WCJH" hidden="1">#REF!</definedName>
    <definedName name="BExCS6SLRCBH006GNRE27HFRHP40" hidden="1">#REF!</definedName>
    <definedName name="BExCS7ZPMHFJ4UJDAL8CQOLSZ13B" hidden="1">#REF!</definedName>
    <definedName name="BExCS8W4NJUZH9S1CYB6XSDLEPBW" hidden="1">#REF!</definedName>
    <definedName name="BExCSAE1M6G20R41J0Y24YNN0YC1" hidden="1">#REF!</definedName>
    <definedName name="BExCSAOUZOYKHN7HV511TO8VDJ02" hidden="1">#REF!</definedName>
    <definedName name="BExCSGDVA047YBDBTI9ZX66UQ7XN" hidden="1">#REF!</definedName>
    <definedName name="BExCSMOFTXSUEC1T46LR1UPYRCX5" hidden="1">#REF!</definedName>
    <definedName name="BExCSNA06RK0A2286L6P4HZHM8DW" hidden="1">#REF!</definedName>
    <definedName name="BExCSSDG3TM6TPKS19E9QYJEELZ6" hidden="1">#REF!</definedName>
    <definedName name="BExCSZ9LWDK80JB2XCZE8SAIYG7Y" hidden="1">#REF!</definedName>
    <definedName name="BExCSZV7U67UWXL2HKJNM5W1E4OO" hidden="1">#REF!</definedName>
    <definedName name="BExCT4NSDT61OCH04Y2QIFIOP75H" hidden="1">#REF!</definedName>
    <definedName name="BExCTW8G3VCZ55S09HTUGXKB1P2M" hidden="1">#REF!</definedName>
    <definedName name="BExCTYS2KX0QANOLT8LGZ9WV3S3T" hidden="1">#REF!</definedName>
    <definedName name="BExCTZZ9JNES4EDHW97NP0EGQALX" hidden="1">#REF!</definedName>
    <definedName name="BExCU0A1V6NMZQ9ASYJ8QIVQ5UR2" hidden="1">#REF!</definedName>
    <definedName name="BExCU2834920JBHSPCRC4UF80OLL" hidden="1">#REF!</definedName>
    <definedName name="BExCU8O54I3P3WRYWY1CRP3S78QY" hidden="1">#REF!</definedName>
    <definedName name="BExCUDRJO23YOKT8GPWOVQ4XEHF5" hidden="1">#REF!</definedName>
    <definedName name="BExCUPAXFR16YMWL30ME3F3BSRDZ" hidden="1">#REF!</definedName>
    <definedName name="BExCUR94DHCE47PUUWEMT5QZOYR2" hidden="1">#REF!</definedName>
    <definedName name="BExCV634L7SVHGB0UDDTRRQ2Q72H" hidden="1">#REF!</definedName>
    <definedName name="BExCVBXGSXT9FWJRG62PX9S1RK83" hidden="1">#REF!</definedName>
    <definedName name="BExCVHBNLOHNFS0JAV3I1XGPNH9W" hidden="1">#REF!</definedName>
    <definedName name="BExCVI86R31A2IOZIEBY1FJLVILD" hidden="1">#REF!</definedName>
    <definedName name="BExCVKGZXE0I9EIXKBZVSGSEY2RR" hidden="1">#REF!</definedName>
    <definedName name="BExCVV44WY5807WGMTGKPW0GT256" hidden="1">#REF!</definedName>
    <definedName name="BExCVZ5PN4V6MRBZ04PZJW3GEF8S" hidden="1">#REF!</definedName>
    <definedName name="BExCW13R0GWJYGXZBNCPAHQN4NR2" hidden="1">#REF!</definedName>
    <definedName name="BExCW9Y5HWU4RJTNX74O6L24VGCK" hidden="1">#REF!</definedName>
    <definedName name="BExCWPDPESGZS07QGBLSBWDNVJLZ" hidden="1">#REF!</definedName>
    <definedName name="BExCWTVKHIVCRHF8GC39KI58YM5K" hidden="1">#REF!</definedName>
    <definedName name="BExCX2KGRZBRVLZNM8SUSIE6A0RL" hidden="1">#REF!</definedName>
    <definedName name="BExCX3X451T70LZ1VF95L7W4Y4TM" hidden="1">#REF!</definedName>
    <definedName name="BExCX4NZ2N1OUGXM7EV0U7VULJMM" hidden="1">#REF!</definedName>
    <definedName name="BExCXILMURGYMAH6N5LF5DV6K3GM" hidden="1">#REF!</definedName>
    <definedName name="BExCXQUFBMXQ1650735H48B1AZT3" hidden="1">#REF!</definedName>
    <definedName name="BExCY2DQO9VLA77Q7EG3T0XNXX4F" hidden="1">#REF!</definedName>
    <definedName name="BExCY6VMJ68MX3C981R5Q0BX5791" hidden="1">#REF!</definedName>
    <definedName name="BExCYAH2SAZCPW6XCB7V7PMMCAWO" hidden="1">#REF!</definedName>
    <definedName name="BExCYJBB52X8B3AREHCC1L5QNPX7" hidden="1">#REF!</definedName>
    <definedName name="BExCYPRC5HJE6N2XQTHCT6NXGP8N" hidden="1">#REF!</definedName>
    <definedName name="BExCYUK0I3UEXZNFDW71G6Z6D8XR" hidden="1">#REF!</definedName>
    <definedName name="BExCZFZCXMLY5DWESYJ9NGTJYQ8M" hidden="1">#REF!</definedName>
    <definedName name="BExCZJ4P8WS0BDT31WDXI0ROE7D6" hidden="1">#REF!</definedName>
    <definedName name="BExCZKH6NI0EE02L995IFVBD1J59" hidden="1">#REF!</definedName>
    <definedName name="BExCZUD9FEOJBKDJ51Z3JON9LKJ8" hidden="1">#REF!</definedName>
    <definedName name="BExD0508DAALLU00PHFPBC8SRRKT" hidden="1">#REF!</definedName>
    <definedName name="BExD0HALIN0JR4JTPGDEVAEE5EX5" hidden="1">#REF!</definedName>
    <definedName name="BExD0LCCDPG16YLY5WQSZF1XI5DA" hidden="1">#REF!</definedName>
    <definedName name="BExD0RMWSB4TRECEHTH6NN4K9DFZ" hidden="1">#REF!</definedName>
    <definedName name="BExD0U6KG10QGVDI1XSHK0J10A2V" hidden="1">#REF!</definedName>
    <definedName name="BExD13RUIBGRXDL4QDZ305UKUR12" hidden="1">#REF!</definedName>
    <definedName name="BExD14DETV5R4OOTMAXD5NAKWRO3" hidden="1">#REF!</definedName>
    <definedName name="BExD1OAU9OXQAZA4D70HP72CU6GB" hidden="1">#REF!</definedName>
    <definedName name="BExD1Y1JV61416YA1XRQHKWPZIE7" hidden="1">#REF!</definedName>
    <definedName name="BExD26VS2LXCKUN8UXFMY3PDMN8L" hidden="1">#REF!</definedName>
    <definedName name="BExD2CFHIRMBKN5KXE5QP4XXEWFS" hidden="1">#REF!</definedName>
    <definedName name="BExD2DMHH1HWXQ9W0YYMDP8AAX8Q" hidden="1">#REF!</definedName>
    <definedName name="BExD2HTPC7IWBAU6OSQ67MQA8BYZ" hidden="1">#REF!</definedName>
    <definedName name="BExD34R1V0LY6GPWJ6ZODBBLT8EP" hidden="1">#REF!</definedName>
    <definedName name="BExD363H2VGFIQUCE6LS4AC5J0ZT" hidden="1">#REF!</definedName>
    <definedName name="BExD3A588E939V61P1XEW0FI5Q0S" hidden="1">#REF!</definedName>
    <definedName name="BExD3CJJDKVR9M18XI3WDZH80WL6" hidden="1">#REF!</definedName>
    <definedName name="BExD3ESD9WYJIB3TRDPJ1CKXRAVL" hidden="1">#REF!</definedName>
    <definedName name="BExD3F368X5S25MWSUNIV57RDB57" hidden="1">#REF!</definedName>
    <definedName name="BExD3IJ5IT335SOSNV9L85WKAOSI" hidden="1">#REF!</definedName>
    <definedName name="BExD3KBVUY57GMMQTOFEU6S6G1AY" hidden="1">#REF!</definedName>
    <definedName name="BExD3NMR7AW2Z6V8SC79VQR37NA6" hidden="1">#REF!</definedName>
    <definedName name="BExD3QXA2UQ2W4N7NYLUEOG40BZB" hidden="1">#REF!</definedName>
    <definedName name="BExD3U2N041TEJ7GCN005UTPHNXY" hidden="1">#REF!</definedName>
    <definedName name="BExD40O0CFTNJFOFMMM1KH0P7BUI" hidden="1">#REF!</definedName>
    <definedName name="BExD4BR9HJ3MWWZ5KLVZWX9FJAUS" hidden="1">#REF!</definedName>
    <definedName name="BExD4F1WTKT3H0N9MF4H1LX7MBSY" hidden="1">#REF!</definedName>
    <definedName name="BExD4H5GQWXBS6LUL3TSP36DVO38" hidden="1">#REF!</definedName>
    <definedName name="BExD4JJSS3QDBLABCJCHD45SRNPI" hidden="1">#REF!</definedName>
    <definedName name="BExD4R1I0MKF033I5LPUYIMTZ6E8" hidden="1">#REF!</definedName>
    <definedName name="BExD50MT3M6XZLNUP9JL93EG6D9R" hidden="1">#REF!</definedName>
    <definedName name="BExD5EV7KDSVF1CJT38M4IBPFLPY" hidden="1">#REF!</definedName>
    <definedName name="BExD5FRK547OESJRYAW574DZEZ7J" hidden="1">#REF!</definedName>
    <definedName name="BExD5I5X2YA2YNCTCDSMEL4CWF4N" hidden="1">#REF!</definedName>
    <definedName name="BExD5QUSRFJWRQ1ZM50WYLCF74DF" hidden="1">#REF!</definedName>
    <definedName name="BExD5SSUIF6AJQHBHK8PNMFBPRYB" hidden="1">#REF!</definedName>
    <definedName name="BExD623C9LRX18BE0W2V6SZLQUXX" hidden="1">#REF!</definedName>
    <definedName name="BExD6CQA7UMJBXV7AIFAIHUF2ICX" hidden="1">#REF!</definedName>
    <definedName name="BExD6FKVK8WJWNYPVENR7Q8Q30PK" hidden="1">#REF!</definedName>
    <definedName name="BExD6GMP0LK8WKVWMIT1NNH8CHLF" hidden="1">#REF!</definedName>
    <definedName name="BExD6H2TE0WWAUIWVSSCLPZ6B88N" hidden="1">#REF!</definedName>
    <definedName name="BExD71LTOE015TV5RSAHM8NT8GVW" hidden="1">#REF!</definedName>
    <definedName name="BExD73USXVADC7EHGHVTQNCT06ZA" hidden="1">#REF!</definedName>
    <definedName name="BExD7AW9RM6LQ9O3ZXYMZTHATUYY" hidden="1">#REF!</definedName>
    <definedName name="BExD7GAIGULTB3YHM1OS9RBQOTEC" hidden="1">#REF!</definedName>
    <definedName name="BExD7IE1DHIS52UFDCTSKPJQNRD5" hidden="1">#REF!</definedName>
    <definedName name="BExD7IUBGUWHYC9UNZ1IY5XFYKQN" hidden="1">#REF!</definedName>
    <definedName name="BExD7JQOJ35HGL8U2OCEI2P2JT7I" hidden="1">#REF!</definedName>
    <definedName name="BExD7KSDKNDNH95NDT3S7GM3MUU2" hidden="1">#REF!</definedName>
    <definedName name="BExD8H5O087KQVWIVPUUID5VMGMS" hidden="1">#REF!</definedName>
    <definedName name="BExD8OCLZMFN5K3VZYI4Q4ITVKUA" hidden="1">#REF!</definedName>
    <definedName name="BExD93C1R6LC0631ECHVFYH0R0PD" hidden="1">#REF!</definedName>
    <definedName name="BExD97TXIO0COVNN4OH3DEJ33YLM" hidden="1">#REF!</definedName>
    <definedName name="BExD99RZ1RFIMK6O1ZHSPJ68X9Y5" hidden="1">#REF!</definedName>
    <definedName name="BExD9L0ID3VSOU609GKWYTA5BFMA" hidden="1">#REF!</definedName>
    <definedName name="BExD9M7SEMG0JK2FUTTZXWIEBTKB" hidden="1">#REF!</definedName>
    <definedName name="BExD9MNYBYB1AICQL5165G472IE2" hidden="1">#REF!</definedName>
    <definedName name="BExD9PNSYT7GASEGUVL48MUQ02WO" hidden="1">#REF!</definedName>
    <definedName name="BExD9TK2MIWFH5SKUYU9ZKF4NPHQ" hidden="1">#REF!</definedName>
    <definedName name="BExD9VNMWNVNL27OGMBPUANIP18W" hidden="1">#REF!</definedName>
    <definedName name="BExDA6LD9061UULVKUUI4QP8SK13" hidden="1">#REF!</definedName>
    <definedName name="BExDAGMVMNLQ6QXASB9R6D8DIT12" hidden="1">#REF!</definedName>
    <definedName name="BExDAYBHU9ADLXI8VRC7F608RVGM" hidden="1">#REF!</definedName>
    <definedName name="BExDB1GOQ1T3KL2TSZRORBII9FF8" hidden="1">#REF!</definedName>
    <definedName name="BExDBDR1XR0FV0CYUCB2OJ7CJCZU" hidden="1">#REF!</definedName>
    <definedName name="BExDC7F818VN0S18ID7XRCRVYPJ4" hidden="1">#REF!</definedName>
    <definedName name="BExDCL7K96PC9VZYB70ZW3QPVIJE" hidden="1">#REF!</definedName>
    <definedName name="BExDCP3UZ3C2O4C1F7KMU0Z9U32N" hidden="1">#REF!</definedName>
    <definedName name="BExENP52KBXIG13SRKNDBOK70R91" hidden="1">#REF!</definedName>
    <definedName name="BExEOBX3WECDMYCV9RLN49APTXMM" hidden="1">#REF!</definedName>
    <definedName name="BExEP4E4F36662JDI0TOD85OP7X9" hidden="1">#REF!</definedName>
    <definedName name="BExEPN9VIYI0FVL0HLZQXJFO6TT0" hidden="1">#REF!</definedName>
    <definedName name="BExEPYT6VDSMR8MU2341Q5GM2Y9V" hidden="1">#REF!</definedName>
    <definedName name="BExEQ2ENYLMY8K1796XBB31CJHNN" hidden="1">#REF!</definedName>
    <definedName name="BExEQ2PFE4N40LEPGDPS90WDL6BN" hidden="1">#REF!</definedName>
    <definedName name="BExEQ2PFURT24NQYGYVE8NKX1EGA" hidden="1">#REF!</definedName>
    <definedName name="BExEQB8ZWXO6IIGOEPWTLOJGE2NR" hidden="1">#REF!</definedName>
    <definedName name="BExEQBZX0EL6LIKPY01197ACK65H" hidden="1">#REF!</definedName>
    <definedName name="BExEQDXZALJLD4OBF74IKZBR13SR" hidden="1">#REF!</definedName>
    <definedName name="BExEQFLE2RPWGMWQAI4JMKUEFRPT" hidden="1">#REF!</definedName>
    <definedName name="BExEQTZAP8R69U31W4LKGTKKGKQE" hidden="1">#REF!</definedName>
    <definedName name="BExER2O72H1F9WV6S1J04C15PXX7" hidden="1">#REF!</definedName>
    <definedName name="BExERRUIKIOATPZ9U4HQ0V52RJAU" hidden="1">#REF!</definedName>
    <definedName name="BExERSANFNM1O7T65PC5MJ301YET" hidden="1">#REF!</definedName>
    <definedName name="BExERUJN12YRKNWGYLV2ZCICZPQ1" hidden="1">#REF!</definedName>
    <definedName name="BExERWCEBKQRYWRQLYJ4UCMMKTHG" hidden="1">#REF!</definedName>
    <definedName name="BExES44RHHDL3V7FLV6M20834WF1" hidden="1">#REF!</definedName>
    <definedName name="BExES4A7VE2X3RYYTVRLKZD4I7WU" hidden="1">#REF!</definedName>
    <definedName name="BExES6ZC8R7PHJ21OVJFLIR7DY30" hidden="1">#REF!</definedName>
    <definedName name="BExESMKD95A649M0WRSG6CXXP326" hidden="1">#REF!</definedName>
    <definedName name="BExESR27ZXJG5VMY4PR9D940VS7T" hidden="1">#REF!</definedName>
    <definedName name="BExESZ03KXL8DQ2591HLR56ZML94" hidden="1">#REF!</definedName>
    <definedName name="BExESZAW5N443NRTKIP59OEI1CR6" hidden="1">#REF!</definedName>
    <definedName name="BExET3HXQ60A4O2OLKX8QNXRI6LQ" hidden="1">#REF!</definedName>
    <definedName name="BExETA3B1FCIOA80H94K90FWXQKE" hidden="1">#REF!</definedName>
    <definedName name="BExETAZOYT4CJIT8RRKC9F2HJG1D" hidden="1">#REF!</definedName>
    <definedName name="BExETF6QD5A9GEINE1KZRRC2LXWM" hidden="1">#REF!</definedName>
    <definedName name="BExETQ9XRXLUACN82805SPSPNKHI" hidden="1">#REF!</definedName>
    <definedName name="BExETR0YRMOR63E6DHLEHV9QVVON" hidden="1">#REF!</definedName>
    <definedName name="BExETVTGY38YXYYF7N73OYN6FYY3" hidden="1">#REF!</definedName>
    <definedName name="BExEUNE4T242Y59C6MS28MXEUGCP" hidden="1">#REF!</definedName>
    <definedName name="BExEV2TP7NA3ZR6RJGH5ER370OUM" hidden="1">#REF!</definedName>
    <definedName name="BExEV69USLNYO2QRJRC0J92XUF00" hidden="1">#REF!</definedName>
    <definedName name="BExEV6KNTQOCFD7GV726XQEVQ7R6" hidden="1">#REF!</definedName>
    <definedName name="BExEV6VGM4POO9QT9KH3QA3VYCWM" hidden="1">#REF!</definedName>
    <definedName name="BExEVET98G3FU6QBF9LHYWSAMV0O" hidden="1">#REF!</definedName>
    <definedName name="BExEVNCUT0PDUYNJH7G6BSEWZOT2" hidden="1">#REF!</definedName>
    <definedName name="BExEVPGF4V5J0WQRZKUM8F9TTKZJ" hidden="1">#REF!</definedName>
    <definedName name="BExEVPWH8S9GER9M14SPIT6XZ8SG" hidden="1">#REF!</definedName>
    <definedName name="BExEVVLIEVWYRF2UUC1H0H5QU1CP" hidden="1">#REF!</definedName>
    <definedName name="BExEVWCKO8T84GW9Z3X47915XKSH" hidden="1">#REF!</definedName>
    <definedName name="BExEVZSJWMZ5L2ZE7AZC57CXKW6T" hidden="1">#REF!</definedName>
    <definedName name="BExEW0JL1GFFCXMDGW54CI7Y8FZN" hidden="1">#REF!</definedName>
    <definedName name="BExEW56RRKMMNDBCTHJPHSNFQGHA" hidden="1">#REF!</definedName>
    <definedName name="BExEW68M9WL8214QH9C7VCK7BN08" hidden="1">#REF!</definedName>
    <definedName name="BExEW8HFKH6F47KIHYBDRUEFZ2ZZ" hidden="1">#REF!</definedName>
    <definedName name="BExEWLO75K95C6IRKHXSP7VP81T4" hidden="1">#REF!</definedName>
    <definedName name="BExEWNBGQS1U2LW3W84T4LSJ9K00" hidden="1">#REF!</definedName>
    <definedName name="BExEWO7STL7HNZSTY8VQBPTX1WK6" hidden="1">#REF!</definedName>
    <definedName name="BExEWQ0M1N3KMKTDJ73H10QSG4W1" hidden="1">#REF!</definedName>
    <definedName name="BExEX85F3OSW8NSCYGYPS9372Z1Q" hidden="1">#REF!</definedName>
    <definedName name="BExEX9HWY2G6928ZVVVQF77QCM2C" hidden="1">#REF!</definedName>
    <definedName name="BExEXBQWAYKMVBRJRHB8PFCSYFVN" hidden="1">#REF!</definedName>
    <definedName name="BExEXRBZ0DI9E2UFLLKYWGN66B61" hidden="1">#REF!</definedName>
    <definedName name="BExEYLG9FL9V1JPPNZ3FUDNSEJ4V" hidden="1">#REF!</definedName>
    <definedName name="BExEYOW8C1B3OUUCIGEC7L8OOW1Z" hidden="1">#REF!</definedName>
    <definedName name="BExEYUQJXZT6N5HJH8ACJF6SRWEE" hidden="1">#REF!</definedName>
    <definedName name="BExEZ1S6VZCG01ZPLBSS9Z1SBOJ2" hidden="1">#REF!</definedName>
    <definedName name="BExEZGBFNJR8DLPN0V11AU22L6WY" hidden="1">#REF!</definedName>
    <definedName name="BExEZYLLHB0MPYAXN2D47YR6WDUR" hidden="1">#REF!</definedName>
    <definedName name="BExF02Y3V3QEPO2XLDSK47APK9XJ" hidden="1">#REF!</definedName>
    <definedName name="BExF09OS91RT7N7IW8JLMZ121ZP3" hidden="1">#REF!</definedName>
    <definedName name="BExF0LOEHV42P2DV7QL8O7HOQ3N9" hidden="1">#REF!</definedName>
    <definedName name="BExF0WRM9VO25RLSO03ZOCE8H7K5" hidden="1">#REF!</definedName>
    <definedName name="BExF0ZRI7W4RSLIDLHTSM0AWXO3S" hidden="1">#REF!</definedName>
    <definedName name="BExF19CT3MMZZ2T5EWMDNG3UOJ01" hidden="1">#REF!</definedName>
    <definedName name="BExF1M38U6NX17YJA8YU359B5Z4M" hidden="1">#REF!</definedName>
    <definedName name="BExF1MU4W3NPEY0OHRDWP5IANCBB" hidden="1">#REF!</definedName>
    <definedName name="BExF1MZN8MWMOKOARHJ1QAF9HPGT" hidden="1">#REF!</definedName>
    <definedName name="BExF1US4ZIQYSU5LBFYNRA9N0K2O" hidden="1">#REF!</definedName>
    <definedName name="BExF2C5YEY208745U0KO9826O5LE" hidden="1">#REF!</definedName>
    <definedName name="BExF2CWZN6E87RGTBMD4YQI2QT7R" hidden="1">#REF!</definedName>
    <definedName name="BExF2DYO1WQ7GMXSTAQRDBW1NSFG" hidden="1">#REF!</definedName>
    <definedName name="BExF2MSWNUY9Z6BZJQZ538PPTION" hidden="1">#REF!</definedName>
    <definedName name="BExF2QZYWHTYGUTTXR15CKCV3LS7" hidden="1">#REF!</definedName>
    <definedName name="BExF2T8Y6TSJ74RMSZOA9CEH4OZ6" hidden="1">#REF!</definedName>
    <definedName name="BExF31N3YM4F37EOOY8M8VI1KXN8" hidden="1">#REF!</definedName>
    <definedName name="BExF37C1YKBT79Z9SOJAG5MXQGTU" hidden="1">#REF!</definedName>
    <definedName name="BExF3A6HPA6DGYALZNHHJPMCUYZR" hidden="1">#REF!</definedName>
    <definedName name="BExF3I9T44X7DV9HHV51DVDDPPZG" hidden="1">#REF!</definedName>
    <definedName name="BExF3JMFX5DILOIFUDIO1HZUK875" hidden="1">#REF!</definedName>
    <definedName name="BExF3NTC4BGZEM6B87TCFX277QCS" hidden="1">#REF!</definedName>
    <definedName name="BExF3Q7NI90WT31QHYSJDIG0LLLJ" hidden="1">#REF!</definedName>
    <definedName name="BExF3QD55TIY1MSBSRK9TUJKBEWO" hidden="1">#REF!</definedName>
    <definedName name="BExF3QT8J6RIF1L3R700MBSKIOKW" hidden="1">#REF!</definedName>
    <definedName name="BExF42SSBVPMLK2UB3B7FPEIY9TU" hidden="1">#REF!</definedName>
    <definedName name="BExF4HXSWB50BKYPWA0HTT8W56H6" hidden="1">#REF!</definedName>
    <definedName name="BExF4KHF04IWW4LQ95FHQPFE4Y9K" hidden="1">#REF!</definedName>
    <definedName name="BExF4LU2NV3A47BCWPM3EZXUEH37" hidden="1">#REF!</definedName>
    <definedName name="BExF4MVQM5Y0QRDLDFSKWWTF709C" hidden="1">#REF!</definedName>
    <definedName name="BExF4PVMZYV36E8HOYY06J81AMBI" hidden="1">#REF!</definedName>
    <definedName name="BExF4SF9NEX1FZE9N8EXT89PM54D" hidden="1">#REF!</definedName>
    <definedName name="BExF50YUE45B6D13NWWZZ22QIYDY" hidden="1">#REF!</definedName>
    <definedName name="BExF52GTGP8MHGII4KJ8TJGR8W8U" hidden="1">#REF!</definedName>
    <definedName name="BExF57K7L3UC1I2FSAWURR4SN0UN" hidden="1">#REF!</definedName>
    <definedName name="BExF5D96JEPDW6LV89G2REZJ1ES7" hidden="1">#REF!</definedName>
    <definedName name="BExF5HR2GFV7O8LKG9SJ4BY78LYA" hidden="1">#REF!</definedName>
    <definedName name="BExF5ZFO2A29GHWR5ES64Z9OS16J" hidden="1">#REF!</definedName>
    <definedName name="BExF63S045JO7H2ZJCBTBVH3SUIF" hidden="1">#REF!</definedName>
    <definedName name="BExF642TEGTXCI9A61ZOONJCB0U1" hidden="1">#REF!</definedName>
    <definedName name="BExF654HIYGTFZIBL6LYL16J8A6I" hidden="1">#REF!</definedName>
    <definedName name="BExF67O951CF8UJF3KBDNR0E83C1" hidden="1">#REF!</definedName>
    <definedName name="BExF6DTEFE2CUOX4ZSFF96NSQQGN" hidden="1">#REF!</definedName>
    <definedName name="BExF6EV7I35NVMIJGYTB6E24YVPA" hidden="1">#REF!</definedName>
    <definedName name="BExF6FGUF393KTMBT40S5BYAFG00" hidden="1">#REF!</definedName>
    <definedName name="BExF6GNYXWY8A0SY4PW1B6KJMMTM" hidden="1">#REF!</definedName>
    <definedName name="BExF6IB8K74Z0AFT05GPOKKZW7C9" hidden="1">#REF!</definedName>
    <definedName name="BExF6NUXJI11W2IAZNAM1QWC0459" hidden="1">#REF!</definedName>
    <definedName name="BExF6RR76KNVIXGJOVFO8GDILKGZ" hidden="1">#REF!</definedName>
    <definedName name="BExF6U06M8O2ZT1NNUAFQWTT2D7D" hidden="1">#REF!</definedName>
    <definedName name="BExF6ZE8D5CMPJPRWT6S4HM56LPF" hidden="1">#REF!</definedName>
    <definedName name="BExF76FV8SF7AJK7B35AL7VTZF6D" hidden="1">#REF!</definedName>
    <definedName name="BExF7EOIMC1OYL1N7835KGOI0FIZ" hidden="1">#REF!</definedName>
    <definedName name="BExF7K88K7ASGV6RAOAGH52G04VR" hidden="1">#REF!</definedName>
    <definedName name="BExF7OVDRP3LHNAF2CX4V84CKKIR" hidden="1">#REF!</definedName>
    <definedName name="BExF7QO41X2A2SL8UXDNP99GY7U9" hidden="1">#REF!</definedName>
    <definedName name="BExF81GI8B8WBHXFTET68A9358BR" hidden="1">#REF!</definedName>
    <definedName name="BExGL97US0Y3KXXASUTVR26XLT70" hidden="1">#REF!</definedName>
    <definedName name="BExGLC7R4C33RO0PID97ZPPVCW4M" hidden="1">#REF!</definedName>
    <definedName name="BExGLFIF7HCFSHNQHKEV6RY0WCO3" hidden="1">#REF!</definedName>
    <definedName name="BExGLTARRL0J772UD2TXEYAVPY6E" hidden="1">#REF!</definedName>
    <definedName name="BExGLVP1IU8K5A8J1340XFMYPR88" hidden="1">#REF!</definedName>
    <definedName name="BExGLYE6RZTAAWHJBG2QFJPTDS2Q" hidden="1">#REF!</definedName>
    <definedName name="BExGM4DZ65OAQP7MA4LN6QMYZOFF" hidden="1">#REF!</definedName>
    <definedName name="BExGMCXCWEC9XNUOEMZ61TMI6CUO" hidden="1">#REF!</definedName>
    <definedName name="BExGMJDGIH0MEPC2TUSFUCY2ROTB" hidden="1">#REF!</definedName>
    <definedName name="BExGMKPW2HPKN0M0XKF3AZ8YP0D6" hidden="1">#REF!</definedName>
    <definedName name="BExGMP2F175LGL6QVSJGP6GKYHHA" hidden="1">#REF!</definedName>
    <definedName name="BExGMPIIP8GKML2VVA8OEFL43NCS" hidden="1">#REF!</definedName>
    <definedName name="BExGMZ3SRIXLXMWBVOXXV3M4U4YL" hidden="1">#REF!</definedName>
    <definedName name="BExGMZ3UBN48IXU1ZEFYECEMZ1IM" hidden="1">#REF!</definedName>
    <definedName name="BExGN4I0QATXNZCLZJM1KH1OIJQH" hidden="1">#REF!</definedName>
    <definedName name="BExGN9FZ2RWCMSY1YOBJKZMNIM9R" hidden="1">#REF!</definedName>
    <definedName name="BExGNDSIMTHOCXXG6QOGR6DA8SGG" hidden="1">#REF!</definedName>
    <definedName name="BExGNN2YQ9BDAZXT2GLCSAPXKIM7" hidden="1">#REF!</definedName>
    <definedName name="BExGNSS0CKRPKHO25R3TDBEL2NHX" hidden="1">#REF!</definedName>
    <definedName name="BExGNYH0MO8NOVS85L15G0RWX4GW" hidden="1">#REF!</definedName>
    <definedName name="BExGNZO44DEG8CGIDYSEGDUQ531R" hidden="1">#REF!</definedName>
    <definedName name="BExGO2O0V6UYDY26AX8OSN72F77N" hidden="1">#REF!</definedName>
    <definedName name="BExGO2YUBOVLYHY1QSIHRE1KLAFV" hidden="1">#REF!</definedName>
    <definedName name="BExGO70E2O70LF46V8T26YFPL4V8" hidden="1">#REF!</definedName>
    <definedName name="BExGO9K6JOVU5EG174Z2WB8F2GUT" hidden="1">#REF!</definedName>
    <definedName name="BExGOB25QJMQCQE76MRW9X58OIOO" hidden="1">#REF!</definedName>
    <definedName name="BExGODAZKJ9EXMQZNQR5YDBSS525" hidden="1">#REF!</definedName>
    <definedName name="BExGODR8ZSMUC11I56QHSZ686XV5" hidden="1">#REF!</definedName>
    <definedName name="BExGOT6UXUX5FVTAYL9SOBZ1D0II" hidden="1">#REF!</definedName>
    <definedName name="BExGOXJDHUDPDT8I8IVGVW9J0R5Q" hidden="1">#REF!</definedName>
    <definedName name="BExGPHGT5KDOCMV2EFS4OVKTWBRD" hidden="1">#REF!</definedName>
    <definedName name="BExGPID72Y4Y619LWASUQZKZHJNC" hidden="1">#REF!</definedName>
    <definedName name="BExGPPENQIANVGLVQJ77DK5JPRTB" hidden="1">#REF!</definedName>
    <definedName name="BExGQ1ZU4967P72AHF4V1D0FOL5C" hidden="1">#REF!</definedName>
    <definedName name="BExGQ36ZOMR9GV8T05M605MMOY3Y" hidden="1">#REF!</definedName>
    <definedName name="BExGQ61DTJ0SBFMDFBAK3XZ9O0ZO" hidden="1">#REF!</definedName>
    <definedName name="BExGQ6SG9XEOD0VMBAR22YPZWSTA" hidden="1">#REF!</definedName>
    <definedName name="BExGQGJ1A7LNZUS8QSMOG8UNGLMK" hidden="1">#REF!</definedName>
    <definedName name="BExGQPO7ENFEQC0NC6MC9OZR2LHY" hidden="1">#REF!</definedName>
    <definedName name="BExGQX0H4EZMXBJTKJJE4ICJWN5O" hidden="1">#REF!</definedName>
    <definedName name="BExGR4CW3WRIID17GGX4MI9ZDHFE" hidden="1">#REF!</definedName>
    <definedName name="BExGR65GJX27MU2OL6NI5PB8XVB4" hidden="1">#REF!</definedName>
    <definedName name="BExGR6LQ97HETGS3CT96L4IK0JSH" hidden="1">#REF!</definedName>
    <definedName name="BExGR9ATP2LVT7B9OCPSLJ11H9SX" hidden="1">#REF!</definedName>
    <definedName name="BExGRUKVVKDL8483WI70VN2QZDGD" hidden="1">#REF!</definedName>
    <definedName name="BExGS2IWR5DUNJ1U9PAKIV8CMBNI" hidden="1">#REF!</definedName>
    <definedName name="BExGS69P9FFTEOPDS0MWFKF45G47" hidden="1">#REF!</definedName>
    <definedName name="BExGS6F1JFHM5MUJ1RFO50WP6D05" hidden="1">#REF!</definedName>
    <definedName name="BExGSA5YB5ZGE4NHDVCZ55TQAJTL" hidden="1">#REF!</definedName>
    <definedName name="BExGSCEUCQQVDEEKWJ677QTGUVTE" hidden="1">#REF!</definedName>
    <definedName name="BExGSQY65LH1PCKKM5WHDW83F35O" hidden="1">#REF!</definedName>
    <definedName name="BExGSYW1GKISF0PMUAK3XJK9PEW9" hidden="1">#REF!</definedName>
    <definedName name="BExGT0DZJB6LSF6L693UUB9EY1VQ" hidden="1">#REF!</definedName>
    <definedName name="BExGTGVFIF8HOQXR54SK065A8M4K" hidden="1">#REF!</definedName>
    <definedName name="BExGTIYX3OWPIINOGY1E4QQYSKHP" hidden="1">#REF!</definedName>
    <definedName name="BExGTKGUN0KUU3C0RL2LK98D8MEK" hidden="1">#REF!</definedName>
    <definedName name="BExGTZ046J7VMUG4YPKFN2K8TWB7" hidden="1">#REF!</definedName>
    <definedName name="BExGU2G9OPRZRIU9YGF6NX9FUW0J" hidden="1">#REF!</definedName>
    <definedName name="BExGU6HTKLRZO8UOI3DTAM5RFDBA" hidden="1">#REF!</definedName>
    <definedName name="BExGUDDZXFFQHAF4UZF8ZB1HO7H6" hidden="1">#REF!</definedName>
    <definedName name="BExGUIBXBRHGM97ZX6GBA4ZDQ79C" hidden="1">#REF!</definedName>
    <definedName name="BExGUM8D91UNPCOO4TKP9FGX85TF" hidden="1">#REF!</definedName>
    <definedName name="BExGUQF9N9FKI7S0H30WUAEB5LPD" hidden="1">#REF!</definedName>
    <definedName name="BExGUR6BA03XPBK60SQUW197GJ5X" hidden="1">#REF!</definedName>
    <definedName name="BExGUVIP60TA4B7X2PFGMBFUSKGX" hidden="1">#REF!</definedName>
    <definedName name="BExGUZKF06F209XL1IZWVJEQ82EE" hidden="1">#REF!</definedName>
    <definedName name="BExGV2EVT380QHD4AP2RL9MR8L5L" hidden="1">#REF!</definedName>
    <definedName name="BExGVV6OOLDQ3TXZK51TTF3YX0WN" hidden="1">#REF!</definedName>
    <definedName name="BExGW0KVS7U0C87XFZ78QW991IEV" hidden="1">#REF!</definedName>
    <definedName name="BExGW2Z77FHCGY2US73BBD9ISLA4" hidden="1">#REF!</definedName>
    <definedName name="BExGW2Z7AMPG6H9EXA9ML6EZVGGA" hidden="1">#REF!</definedName>
    <definedName name="BExGWABG5VT5XO1A196RK61AXA8C" hidden="1">#REF!</definedName>
    <definedName name="BExGWEO0JDG84NYLEAV5NSOAGMJZ" hidden="1">#REF!</definedName>
    <definedName name="BExGWLEOC70Z8QAJTPT2PDHTNM4L" hidden="1">#REF!</definedName>
    <definedName name="BExGWNCXLCRTLBVMTXYJ5PHQI6SS" hidden="1">#REF!</definedName>
    <definedName name="BExGX6U988MCFIGDA1282F92U9AA" hidden="1">#REF!</definedName>
    <definedName name="BExGX7FTB1CKAT5HUW6H531FIY6I" hidden="1">#REF!</definedName>
    <definedName name="BExGX9DVACJQIZ4GH6YAD2A7F70O" hidden="1">#REF!</definedName>
    <definedName name="BExGXDVP2S2Y8Z8Q43I78RCIK3DD" hidden="1">#REF!</definedName>
    <definedName name="BExGXJ9W5JU7TT9S0BKL5Y6VVB39" hidden="1">#REF!</definedName>
    <definedName name="BExGXWB73RJ4BASBQTQ8EY0EC1EB" hidden="1">#REF!</definedName>
    <definedName name="BExGXZ0ABB43C7SMRKZHWOSU9EQX" hidden="1">#REF!</definedName>
    <definedName name="BExGY6SU3SYVCJ3AG2ITY59SAZ5A" hidden="1">#REF!</definedName>
    <definedName name="BExGY6YA4P5KMY2VHT0DYK3YTFAX" hidden="1">#REF!</definedName>
    <definedName name="BExGY8G88PVVRYHPHRPJZFSX6HSC" hidden="1">#REF!</definedName>
    <definedName name="BExGYC718HTZ80PNKYPVIYGRJVF6" hidden="1">#REF!</definedName>
    <definedName name="BExGYCNATXZY2FID93B17YWIPPRD" hidden="1">#REF!</definedName>
    <definedName name="BExGYGJJJ3BBCQAOA51WHP01HN73" hidden="1">#REF!</definedName>
    <definedName name="BExGYOS6TV2C72PLRFU8RP1I58GY" hidden="1">#REF!</definedName>
    <definedName name="BExGZ7NXZ0IBS44C2NZ9VMD6T6K2" hidden="1">#REF!</definedName>
    <definedName name="BExGZJ78ZWZCVHZ3BKEKFJZ6MAEO" hidden="1">#REF!</definedName>
    <definedName name="BExGZOLH2QV73J3M9IWDDPA62TP4" hidden="1">#REF!</definedName>
    <definedName name="BExGZP1PWGFKVVVN4YDIS22DZPCR" hidden="1">#REF!</definedName>
    <definedName name="BExH00L21GZX5YJJGVMOAWBERLP5" hidden="1">#REF!</definedName>
    <definedName name="BExH02ZD6VAY1KQLAQYBBI6WWIZB" hidden="1">#REF!</definedName>
    <definedName name="BExH08Z6LQCGGSGSAILMHX4X7JMD" hidden="1">#REF!</definedName>
    <definedName name="BExH0KT9Z8HEVRRQRGQ8YHXRLIJA" hidden="1">#REF!</definedName>
    <definedName name="BExH0M0FDN12YBOCKL3XL2Z7T7Y8" hidden="1">#REF!</definedName>
    <definedName name="BExH0O9G06YPZ5TN9RYT326I1CP2" hidden="1">#REF!</definedName>
    <definedName name="BExH0WNJAKTJRCKMTX8O4KNMIIJM" hidden="1">#REF!</definedName>
    <definedName name="BExH12Y4WX542WI3ZEM15AK4UM9J" hidden="1">#REF!</definedName>
    <definedName name="BExH1FDTQXR9QQ31WDB7OPXU7MPT" hidden="1">#REF!</definedName>
    <definedName name="BExH1FOMEUIJNIDJAUY0ZQFBJSY9" hidden="1">#REF!</definedName>
    <definedName name="BExH1JFFHEBFX9BWJMNIA3N66R3Z" hidden="1">#REF!</definedName>
    <definedName name="BExH1XYT8G9AB9D9YCHP5JXVUSRG" hidden="1">#REF!</definedName>
    <definedName name="BExH1Z0GIUSVTF2H1G1I3PDGBNK2" hidden="1">#REF!</definedName>
    <definedName name="BExH225UTM6S9FW4MUDZS7F1PQSH" hidden="1">#REF!</definedName>
    <definedName name="BExH23271RF7AYZ542KHQTH68GQ7" hidden="1">#REF!</definedName>
    <definedName name="BExH2GJQR4JALNB314RY0LDI49VH" hidden="1">#REF!</definedName>
    <definedName name="BExH2J8UFB7PCX6YL7ELE5G8MCF9" hidden="1">#REF!</definedName>
    <definedName name="BExH2JZR49T7644JFVE7B3N7RZM9" hidden="1">#REF!</definedName>
    <definedName name="BExH2UHF0QTJG107MULYB16WBJM9" hidden="1">#REF!</definedName>
    <definedName name="BExH2WKXV8X5S2GSBBTWGI0NLNAH" hidden="1">#REF!</definedName>
    <definedName name="BExH2XS1UFYFGU0S0EBXX90W2WE8" hidden="1">#REF!</definedName>
    <definedName name="BExH2XS2TND9SB0GC295R4FP6K5Y" hidden="1">#REF!</definedName>
    <definedName name="BExH2ZA0SZ4SSITL50NA8LZ3OEX6" hidden="1">#REF!</definedName>
    <definedName name="BExH3012ZZJMN86DXPGYVHX2142Z" hidden="1">#REF!</definedName>
    <definedName name="BExH31Z3JNVJPESWKXHILGXZHP2M" hidden="1">#REF!</definedName>
    <definedName name="BExH3E9HZ3QJCDZW7WI7YACFQCHE" hidden="1">#REF!</definedName>
    <definedName name="BExH3IRB6764RQ5HBYRLH6XCT29X" hidden="1">#REF!</definedName>
    <definedName name="BExIG2U8V6RSB47SXLCQG3Q68YRO" hidden="1">#REF!</definedName>
    <definedName name="BExIGJBO8R13LV7CZ7C1YCP974NN" hidden="1">#REF!</definedName>
    <definedName name="BExIGWT86FPOEYTI8GXCGU5Y3KGK" hidden="1">#REF!</definedName>
    <definedName name="BExIHBHXA7E7VUTBVHXXXCH3A5CL" hidden="1">#REF!</definedName>
    <definedName name="BExIHPQCQTGEW8QOJVIQ4VX0P6DX" hidden="1">#REF!</definedName>
    <definedName name="BExII1KN91Q7DLW0UB7W2TJ5ACT9" hidden="1">#REF!</definedName>
    <definedName name="BExII50LI8I0CDOOZEMIVHVA2V95" hidden="1">#REF!</definedName>
    <definedName name="BExIIXMY38TQD12CVV4S57L3I809" hidden="1">#REF!</definedName>
    <definedName name="BExIIY37NEVU2LGS1JE4VR9AN6W4" hidden="1">#REF!</definedName>
    <definedName name="BExIIYJAGXR8TPZ1KCYM7EGJ79UW" hidden="1">#REF!</definedName>
    <definedName name="BExIJ3160YCWGAVEU0208ZGXXG3P" hidden="1">#REF!</definedName>
    <definedName name="BExIJFGZJ5ED9D6KAY4PGQYLELAX" hidden="1">#REF!</definedName>
    <definedName name="BExIJQK80ZEKSTV62E59AYJYUNLI" hidden="1">#REF!</definedName>
    <definedName name="BExIJRLX3M0YQLU1D5Y9V7HM5QNM" hidden="1">#REF!</definedName>
    <definedName name="BExIJV22J0QA7286KNPMHO1ZUCB3" hidden="1">#REF!</definedName>
    <definedName name="BExIJVI6OC7B6ZE9V4PAOYZXKNER" hidden="1">#REF!</definedName>
    <definedName name="BExIJWK0NGTGQ4X7D5VIVXD14JHI" hidden="1">#REF!</definedName>
    <definedName name="BExIJWPCIYINEJUTXU74VK7WG031" hidden="1">#REF!</definedName>
    <definedName name="BExIKHTXPZR5A8OHB6HDP6QWDHAD" hidden="1">#REF!</definedName>
    <definedName name="BExIKMMJOETSAXJYY1SIKM58LMA2" hidden="1">#REF!</definedName>
    <definedName name="BExIKRF6AQ6VOO9KCIWSM6FY8M7D" hidden="1">#REF!</definedName>
    <definedName name="BExIKTYZESFT3LC0ASFMFKSE0D1X" hidden="1">#REF!</definedName>
    <definedName name="BExIKXVA6M8K0PTRYAGXS666L335" hidden="1">#REF!</definedName>
    <definedName name="BExIL0PMZ2SXK9R6MLP43KBU1J2P" hidden="1">#REF!</definedName>
    <definedName name="BExILAAXRTRAD18K74M6MGUEEPUM" hidden="1">#REF!</definedName>
    <definedName name="BExILFJPDZ1ODBI6C8PTR4RZGFCV" hidden="1">#REF!</definedName>
    <definedName name="BExILG5F338C0FFLMVOKMKF8X5ZP" hidden="1">#REF!</definedName>
    <definedName name="BExILGQTQM0HOD0BJI90YO7GOIN3" hidden="1">#REF!</definedName>
    <definedName name="BExIM9DBUB7ZGF4B20FVUO9QGOX2" hidden="1">#REF!</definedName>
    <definedName name="BExIMGK9Z94TFPWWZFMD10HV0IF6" hidden="1">#REF!</definedName>
    <definedName name="BExIMPEGKG18TELVC33T4OQTNBWC" hidden="1">#REF!</definedName>
    <definedName name="BExIN4OR435DL1US13JQPOQK8GD5" hidden="1">#REF!</definedName>
    <definedName name="BExINI6A7H3KSFRFA6UBBDPKW37F" hidden="1">#REF!</definedName>
    <definedName name="BExINIMK8XC3JOBT2EXYFHHH52H0" hidden="1">#REF!</definedName>
    <definedName name="BExINLX401ZKEGWU168DS4JUM2J6" hidden="1">#REF!</definedName>
    <definedName name="BExINMYYJO1FTV1CZF6O5XCFAMQX" hidden="1">#REF!</definedName>
    <definedName name="BExINP2H4KI05FRFV5PKZFE00HKO" hidden="1">#REF!</definedName>
    <definedName name="BExINZELVWYGU876QUUZCIMXPBQC" hidden="1">#REF!</definedName>
    <definedName name="BExIOCQUQHKUU1KONGSDOLQTQEIC" hidden="1">#REF!</definedName>
    <definedName name="BExIOFL8Y5O61VLKTB4H20IJNWS1" hidden="1">#REF!</definedName>
    <definedName name="BExIOMBXRW5NS4ZPYX9G5QREZ5J6" hidden="1">#REF!</definedName>
    <definedName name="BExIORA3GK78T7C7SNBJJUONJ0LS" hidden="1">#REF!</definedName>
    <definedName name="BExIORFDXP4AVIEBLSTZ8ETSXMNM" hidden="1">#REF!</definedName>
    <definedName name="BExIOTZ5EFZ2NASVQ05RH15HRSW6" hidden="1">#REF!</definedName>
    <definedName name="BExIP8YNN6UUE1GZ223SWH7DLGKO" hidden="1">#REF!</definedName>
    <definedName name="BExIPAB4AOL592OJCC1CFAXTLF1A" hidden="1">#REF!</definedName>
    <definedName name="BExIPB25DKX4S2ZCKQN7KWSC3JBF" hidden="1">#REF!</definedName>
    <definedName name="BExIPD5KF9Q4U0X6JGD7P4Z6D2N6" hidden="1">#REF!</definedName>
    <definedName name="BExIPDLT8JYAMGE5HTN4D1YHZF3V" hidden="1">#REF!</definedName>
    <definedName name="BExIPG040Q08EWIWL6CAVR3GRI43" hidden="1">#REF!</definedName>
    <definedName name="BExIPIUPON2C4UB3BTDNX6F7U0CF" hidden="1">#REF!</definedName>
    <definedName name="BExIPKNFUDPDKOSH5GHDVNA8D66S" hidden="1">#REF!</definedName>
    <definedName name="BExIQ1VS9A2FHVD9TUHKG9K8EVVP" hidden="1">#REF!</definedName>
    <definedName name="BExIQ3J19L30PSQ2CXNT6IHW0I7V" hidden="1">#REF!</definedName>
    <definedName name="BExIQ3OJ7M04XCY276IO0LJA5XUK" hidden="1">#REF!</definedName>
    <definedName name="BExIQ5S19ITB0NDRUN4XV7B905ED" hidden="1">#REF!</definedName>
    <definedName name="BExIQ9TMQT2EIXSVQW7GVSOAW2VJ" hidden="1">#REF!</definedName>
    <definedName name="BExIQBMDE1L6J4H27K1FMSHQKDSE" hidden="1">#REF!</definedName>
    <definedName name="BExIQE65LVXUOF3UZFO7SDHFJH22" hidden="1">#REF!</definedName>
    <definedName name="BExIQG9OO2KKBOWTMD1OXY36TEGA" hidden="1">#REF!</definedName>
    <definedName name="BExIQX1XBB31HZTYEEVOBSE3C5A6" hidden="1">#REF!</definedName>
    <definedName name="BExIQYP5T1TPAQYW7QU1Q98BKX7W" hidden="1">#REF!</definedName>
    <definedName name="BExIR2ALYRP9FW99DK2084J7IIDC" hidden="1">#REF!</definedName>
    <definedName name="BExIR8FQETPTQYW37DBVDWG3J4JW" hidden="1">#REF!</definedName>
    <definedName name="BExIRRBGTY01OQOI3U5SW59RFDFI" hidden="1">#REF!</definedName>
    <definedName name="BExIS4T0DRF57HYO7OGG72KBOFOI" hidden="1">#REF!</definedName>
    <definedName name="BExIS77BJDDK18PGI9DSEYZPIL7P" hidden="1">#REF!</definedName>
    <definedName name="BExIS8USL1T3Z97CZ30HJ98E2GXQ" hidden="1">#REF!</definedName>
    <definedName name="BExISC5B700MZUBFTQ9K4IKTF7HR" hidden="1">#REF!</definedName>
    <definedName name="BExISDHXS49S1H56ENBPRF1NLD5C" hidden="1">#REF!</definedName>
    <definedName name="BExISM1JLV54A21A164IURMPGUMU" hidden="1">#REF!</definedName>
    <definedName name="BExISRFKJYUZ4AKW44IJF7RF9Y90" hidden="1">#REF!</definedName>
    <definedName name="BExIT0VIS1PGIZS8DG5CH9KINYFU" hidden="1">#REF!</definedName>
    <definedName name="BExIT1MK8TBAK3SNP36A8FKDQSOK" hidden="1">#REF!</definedName>
    <definedName name="BExITBNYANV2S8KD56GOGCKW393R" hidden="1">#REF!</definedName>
    <definedName name="BExIUD4OJGH65NFNQ4VMCE3R4J1X" hidden="1">#REF!</definedName>
    <definedName name="BExIUTB5OAAXYW0OFMP0PS40SPOB" hidden="1">#REF!</definedName>
    <definedName name="BExIUUT2MHIOV6R3WHA0DPM1KBKY" hidden="1">#REF!</definedName>
    <definedName name="BExIUYPDT1AM6MWGWQS646PIZIWC" hidden="1">#REF!</definedName>
    <definedName name="BExIV0I2O9F8D1UK1SI8AEYR6U0A" hidden="1">#REF!</definedName>
    <definedName name="BExIV2LM38XPLRTWT0R44TMQ59E5" hidden="1">#REF!</definedName>
    <definedName name="BExIV3HY4S0YRV1F7XEMF2YHAR2I" hidden="1">#REF!</definedName>
    <definedName name="BExIV6HUZFRIFLXW2SICKGTAH1PV" hidden="1">#REF!</definedName>
    <definedName name="BExIVC6WZMHRBRGIBUVX0CO2RK05" hidden="1">#REF!</definedName>
    <definedName name="BExIVCXWL6H5LD9DHDIA4F5U9TQL" hidden="1">#REF!</definedName>
    <definedName name="BExIVMOIPSEWSIHIDDLOXESQ28A0" hidden="1">#REF!</definedName>
    <definedName name="BExIVNVNJX9BYDLC88NG09YF5XQ6" hidden="1">#REF!</definedName>
    <definedName name="BExIVQVKLMGSRYT1LFZH0KUIA4OR" hidden="1">#REF!</definedName>
    <definedName name="BExIVYTFI35KNR2XSA6N8OJYUTUR" hidden="1">#REF!</definedName>
    <definedName name="BExIWB3SY3WRIVIOF988DNNODBOA" hidden="1">#REF!</definedName>
    <definedName name="BExIWB99CG0H52LRD6QWPN4L6DV2" hidden="1">#REF!</definedName>
    <definedName name="BExIWG1W7XP9DFYYSZAIOSHM0QLQ" hidden="1">#REF!</definedName>
    <definedName name="BExIWH3KUK94B7833DD4TB0Y6KP9" hidden="1">#REF!</definedName>
    <definedName name="BExIWKE9MGIDWORBI43AWTUNYFAN" hidden="1">#REF!</definedName>
    <definedName name="BExIX34PM5DBTRHRQWP6PL6WIX88" hidden="1">#REF!</definedName>
    <definedName name="BExIX5OAP9KSUE5SIZCW9P39Q4WE" hidden="1">#REF!</definedName>
    <definedName name="BExIXGRJPVJMUDGSG7IHPXPNO69B" hidden="1">#REF!</definedName>
    <definedName name="BExIXM5R87ZL3FHALWZXYCPHGX3E" hidden="1">#REF!</definedName>
    <definedName name="BExIXS036ZCKT2Z8XZKLZ8PFWQGL" hidden="1">#REF!</definedName>
    <definedName name="BExIXXZW0PYHTHT1W328IKWMP5YG" hidden="1">#REF!</definedName>
    <definedName name="BExIXY5CF9PFM0P40AZ4U51TMWV0" hidden="1">#REF!</definedName>
    <definedName name="BExIYEXJBK8JDWIRSVV4RJSKZVV1" hidden="1">#REF!</definedName>
    <definedName name="BExIYI2RH0K4225XO970K2IQ1E79" hidden="1">#REF!</definedName>
    <definedName name="BExIYMPZ0KS2KOJFQAUQJ77L7701" hidden="1">#REF!</definedName>
    <definedName name="BExIYP9Q6FV9T0R9G3UDKLS4TTYX" hidden="1">#REF!</definedName>
    <definedName name="BExIYZGLDQ1TN7BIIN4RLDP31GIM" hidden="1">#REF!</definedName>
    <definedName name="BExIZ4K0EZJK6PW3L8SVKTJFSWW9" hidden="1">#REF!</definedName>
    <definedName name="BExIZAECOEZGBAO29QMV14E6XDIV" hidden="1">#REF!</definedName>
    <definedName name="BExIZKVXYD5O2JBU81F2UFJZLLSI" hidden="1">#REF!</definedName>
    <definedName name="BExIZPZDHC8HGER83WHCZAHOX7LK" hidden="1">#REF!</definedName>
    <definedName name="BExIZY2PUZ0OF9YKK1B13IW0VS6G" hidden="1">#REF!</definedName>
    <definedName name="BExJ08KBRR2XMWW3VZMPSQKXHZUH" hidden="1">#REF!</definedName>
    <definedName name="BExJ0DYJWXGE7DA39PYL3WM05U9O" hidden="1">#REF!</definedName>
    <definedName name="BExJ0MY8SY5J5V50H3UKE78ODTVB" hidden="1">#REF!</definedName>
    <definedName name="BExJ0YC98G37ML4N8FLP8D95EFRF" hidden="1">#REF!</definedName>
    <definedName name="BExKCDYKAEV45AFXHVHZZ62E5BM3" hidden="1">#REF!</definedName>
    <definedName name="BExKDKO0W4AGQO1V7K6Q4VM750FT" hidden="1">#REF!</definedName>
    <definedName name="BExKDLF10G7W77J87QWH3ZGLUCLW" hidden="1">#REF!</definedName>
    <definedName name="BExKEFE0I3MT6ZLC4T1L9465HKTN" hidden="1">#REF!</definedName>
    <definedName name="BExKEK6O5BVJP4VY02FY7JNAZ6BT" hidden="1">#REF!</definedName>
    <definedName name="BExKEKXK6E6QX339ELPXDIRZSJE0" hidden="1">#REF!</definedName>
    <definedName name="BExKEOOIBMP7N8033EY2CJYCBX6H" hidden="1">#REF!</definedName>
    <definedName name="BExKEW0RR5LA3VC46A2BEOOMQE56" hidden="1">#REF!</definedName>
    <definedName name="BExKFA3VI1CZK21SM0N3LZWT9LA1" hidden="1">#REF!</definedName>
    <definedName name="BExKFINBFV5J2NFRCL4YUO3YF0ZE" hidden="1">#REF!</definedName>
    <definedName name="BExKFISRBFACTAMJSALEYMY66F6X" hidden="1">#REF!</definedName>
    <definedName name="BExKFOSK5DJ151C4E8544UWMYTOC" hidden="1">#REF!</definedName>
    <definedName name="BExKFPOX1MRKTMQSTWCYCCTFZGAQ" hidden="1">#REF!</definedName>
    <definedName name="BExKFYJC4EVEV54F82K6VKP7Q3OU" hidden="1">#REF!</definedName>
    <definedName name="BExKG4IYHBKQQ8J8FN10GB2IKO33" hidden="1">#REF!</definedName>
    <definedName name="BExKGF0L44S78D33WMQ1A75TRKB9" hidden="1">#REF!</definedName>
    <definedName name="BExKGFRN31B3G20LMQ4LRF879J68" hidden="1">#REF!</definedName>
    <definedName name="BExKGJD3U3ADZILP20U3EURP0UQP" hidden="1">#REF!</definedName>
    <definedName name="BExKGNK5YGKP0YHHTAAOV17Z9EIM" hidden="1">#REF!</definedName>
    <definedName name="BExKGV77YH9YXIQTRKK2331QGYKF" hidden="1">#REF!</definedName>
    <definedName name="BExKH3FTZ5VGTB86W9M4AB39R0G8" hidden="1">#REF!</definedName>
    <definedName name="BExKH3FV5U5O6XZM7STS3NZKQFGJ" hidden="1">#REF!</definedName>
    <definedName name="BExKHAMUH8NR3HRV0V6FHJE3ROLN" hidden="1">#REF!</definedName>
    <definedName name="BExKHCFKOWFHO2WW0N7Y5XDXEWAO" hidden="1">#REF!</definedName>
    <definedName name="BExKHIVLONZ46HLMR50DEXKEUNEP" hidden="1">#REF!</definedName>
    <definedName name="BExKHKDK2PRBCUJS8TEDP8K3VODQ" hidden="1">#REF!</definedName>
    <definedName name="BExKHPM9XA0ADDK7TUR0N38EXWEP" hidden="1">#REF!</definedName>
    <definedName name="BExKI4076KXCDE5KXL79KT36OKLO" hidden="1">#REF!</definedName>
    <definedName name="BExKI7LO70WYISR7Q0Y1ZDWO9M3B" hidden="1">#REF!</definedName>
    <definedName name="BExKIGQV6TXIZG039HBOJU62WP2U" hidden="1">#REF!</definedName>
    <definedName name="BExKILE008SF3KTAN8WML3XKI1NZ" hidden="1">#REF!</definedName>
    <definedName name="BExKINSBB6RS7I489QHMCOMU4Z2X" hidden="1">#REF!</definedName>
    <definedName name="BExKIS4OQKBSOTJBZ2K299DVIRTF" hidden="1">#REF!</definedName>
    <definedName name="BExKIU87ZKSOC2DYZWFK6SAK9I8E" hidden="1">#REF!</definedName>
    <definedName name="BExKJ449HLYX2DJ9UF0H9GTPSQ73" hidden="1">#REF!</definedName>
    <definedName name="BExKJ7PQWK9ICKH746K58F7HNQ0Z" hidden="1">#REF!</definedName>
    <definedName name="BExKJELX2RUC8UEC56IZPYYZXHA7" hidden="1">#REF!</definedName>
    <definedName name="BExKJINMXS61G2TZEXCJAWVV4F57" hidden="1">#REF!</definedName>
    <definedName name="BExKJK5ME8KB7HA0180L7OUZDDGV" hidden="1">#REF!</definedName>
    <definedName name="BExKJN5IF0VMDILJ5K8ZENF2QYV1" hidden="1">#REF!</definedName>
    <definedName name="BExKJUSJPFUIK20FTVAFJWR2OUYX" hidden="1">#REF!</definedName>
    <definedName name="BExKK8VP5RS3D0UXZVKA37C4SYBP" hidden="1">#REF!</definedName>
    <definedName name="BExKKIM9NPF6B3SPMPIQB27HQME4" hidden="1">#REF!</definedName>
    <definedName name="BExKKIX1BCBQ4R3K41QD8NTV0OV0" hidden="1">#REF!</definedName>
    <definedName name="BExKKQ3ZWADYV03YHMXDOAMU90EB" hidden="1">#REF!</definedName>
    <definedName name="BExKKUGD2HMJWQEYZ8H3X1BMXFS9" hidden="1">#REF!</definedName>
    <definedName name="BExKKX05KCZZZPKOR1NE5A8RGVT4" hidden="1">#REF!</definedName>
    <definedName name="BExKLD6S9L66QYREYHBE5J44OK7X" hidden="1">#REF!</definedName>
    <definedName name="BExKLEZK32L28GYJWVO63BZ5E1JD" hidden="1">#REF!</definedName>
    <definedName name="BExKLLKVVHT06LA55JB2FC871DC5" hidden="1">#REF!</definedName>
    <definedName name="BExKMWBX4EH3EYJ07UFEM08NB40Z" hidden="1">#REF!</definedName>
    <definedName name="BExKNBGV2IR3S7M0BX4810KZB4V3" hidden="1">#REF!</definedName>
    <definedName name="BExKNCTBZTSY3MO42VU5PLV6YUHZ" hidden="1">#REF!</definedName>
    <definedName name="BExKNGEUJYLNG9KZ50JFLBJ5JBAS" hidden="1">#REF!</definedName>
    <definedName name="BExKNGV2YY749C42AQ2T9QNIE5C3" hidden="1">#REF!</definedName>
    <definedName name="BExKNV8UOHVWEHDJWI2WMJ9X6QHZ" hidden="1">#REF!</definedName>
    <definedName name="BExKNZLD7UATC1MYRNJD8H2NH4KU" hidden="1">#REF!</definedName>
    <definedName name="BExKNZQUKQQG2Y97R74G4O4BJP1L" hidden="1">#REF!</definedName>
    <definedName name="BExKO06X0EAD3ABEG1E8PWLDWHBA" hidden="1">#REF!</definedName>
    <definedName name="BExKO2AHHSGNI1AZOIOW21KPXKPE" hidden="1">#REF!</definedName>
    <definedName name="BExKO2FXWJWC5IZLDN8JHYILQJ2N" hidden="1">#REF!</definedName>
    <definedName name="BExKO438WZ8FKOU00NURGFMOYXWN" hidden="1">#REF!</definedName>
    <definedName name="BExKODIZGWW2EQD0FEYW6WK6XLCM" hidden="1">#REF!</definedName>
    <definedName name="BExKOPO2HPWVQGAKW8LOZMPIDEFG" hidden="1">#REF!</definedName>
    <definedName name="BExKPEZP0QTKOTLIMMIFSVTHQEEK" hidden="1">#REF!</definedName>
    <definedName name="BExKPLQJX0HJ8OTXBXH9IC9J2V0W" hidden="1">#REF!</definedName>
    <definedName name="BExKPN8C7GN36ZJZHLOB74LU6KT0" hidden="1">#REF!</definedName>
    <definedName name="BExKPX9VZ1J5021Q98K60HMPJU58" hidden="1">#REF!</definedName>
    <definedName name="BExKQJGAAWNM3NT19E9I0CQDBTU0" hidden="1">#REF!</definedName>
    <definedName name="BExKQM5GJ1ZN5REKFE7YVBQ0KXWF" hidden="1">#REF!</definedName>
    <definedName name="BExKQOEA7HV9U5DH9C8JXFD62EKH" hidden="1">#REF!</definedName>
    <definedName name="BExKQQ71278061G7ZFYGPWOMOMY2" hidden="1">#REF!</definedName>
    <definedName name="BExKQTXRG3ECU8NT47UR7643LO5G" hidden="1">#REF!</definedName>
    <definedName name="BExKQVL7HPOIZ4FHANDFMVOJLEPR" hidden="1">#REF!</definedName>
    <definedName name="BExKR32XG1WY77WDT8KW9FJPGQTU" hidden="1">#REF!</definedName>
    <definedName name="BExKR8RZSEHW184G0Z56B4EGNU72" hidden="1">#REF!</definedName>
    <definedName name="BExKRVUSQ6PA7ZYQSTEQL3X7PB9P" hidden="1">#REF!</definedName>
    <definedName name="BExKRY3KZ7F7RB2KH8HXSQ85IEQO" hidden="1">#REF!</definedName>
    <definedName name="BExKSA37DZTCK6H13HPIKR0ZFVL8" hidden="1">#REF!</definedName>
    <definedName name="BExKSFMOMSZYDE0WNC94F40S6636" hidden="1">#REF!</definedName>
    <definedName name="BExKSHQ9K79S8KYUWIV5M5LAHHF1" hidden="1">#REF!</definedName>
    <definedName name="BExKSIS3VA1NCEFCZZSIK8B3YIBZ" hidden="1">#REF!</definedName>
    <definedName name="BExKSJTWG9L3FCX8FLK4EMUJMF27" hidden="1">#REF!</definedName>
    <definedName name="BExKSU0MKNAVZYYPKCYTZDWQX4R8" hidden="1">#REF!</definedName>
    <definedName name="BExKSX60G1MUS689FXIGYP2F7C62" hidden="1">#REF!</definedName>
    <definedName name="BExKT2UZ7Y2VWF5NQE18SJRLD2RN" hidden="1">#REF!</definedName>
    <definedName name="BExKT3GJFNGAM09H5F615E36A38C" hidden="1">#REF!</definedName>
    <definedName name="BExKTQZGN8GI3XGSEXMPCCA3S19H" hidden="1">#REF!</definedName>
    <definedName name="BExKTUKYYU0F6TUW1RXV24LRAZFE" hidden="1">#REF!</definedName>
    <definedName name="BExKU3FBLHQBIUTN6XEZW5GC9OG1" hidden="1">#REF!</definedName>
    <definedName name="BExKU82I99FEUIZLODXJDOJC96CQ" hidden="1">#REF!</definedName>
    <definedName name="BExKUDM0DFSCM3D91SH0XLXJSL18" hidden="1">#REF!</definedName>
    <definedName name="BExKULEKJLA77AUQPDUHSM94Y76Z" hidden="1">#REF!</definedName>
    <definedName name="BExKV08R85MKI3MAX9E2HERNQUNL" hidden="1">#REF!</definedName>
    <definedName name="BExKV4AAUNNJL5JWD7PX6BFKVS6O" hidden="1">#REF!</definedName>
    <definedName name="BExKVDVK6HN74GQPTXICP9BFC8CF" hidden="1">#REF!</definedName>
    <definedName name="BExKVFZ3ZZGIC1QI8XN6BYFWN0ZY" hidden="1">#REF!</definedName>
    <definedName name="BExKVG4KGO28KPGTAFL1R8TTZ10N" hidden="1">#REF!</definedName>
    <definedName name="BExKW0CSH7DA02YSNV64PSEIXB2P" hidden="1">#REF!</definedName>
    <definedName name="BExM9NUG3Q31X01AI9ZJCZIX25CS" hidden="1">#REF!</definedName>
    <definedName name="BExM9OG182RP30MY23PG49LVPZ1C" hidden="1">#REF!</definedName>
    <definedName name="BExMA64MW1S18NH8DCKPCCEI5KCB" hidden="1">#REF!</definedName>
    <definedName name="BExMALEWFUEM8Y686IT03ECURUBR" hidden="1">#REF!</definedName>
    <definedName name="BExMAR3XSK6RSFLHP7ZX1EWGHASI" hidden="1">#REF!</definedName>
    <definedName name="BExMAXJS82ZJ8RS22VLE0V0LDUII" hidden="1">#REF!</definedName>
    <definedName name="BExMB4QRS0R3MTB4CMUHFZ84LNZQ" hidden="1">#REF!</definedName>
    <definedName name="BExMBC35WKQY5CWQJLV4D05O6971" hidden="1">#REF!</definedName>
    <definedName name="BExMBFTZV4Q1A5KG25C1N9PHQNSW" hidden="1">#REF!</definedName>
    <definedName name="BExMBK6ISK3U7KHZKUJXIDKGF6VW" hidden="1">#REF!</definedName>
    <definedName name="BExMBYPQDG9AYDQ5E8IECVFREPO6" hidden="1">#REF!</definedName>
    <definedName name="BExMC8AZUTX8LG89K2JJR7ZG62XX" hidden="1">#REF!</definedName>
    <definedName name="BExMCA96YR10V72G2R0SCIKPZLIZ" hidden="1">#REF!</definedName>
    <definedName name="BExMCB5JU5I2VQDUBS4O42BTEVKI" hidden="1">#REF!</definedName>
    <definedName name="BExMCFSQFSEMPY5IXDIRKZDASDBR" hidden="1">#REF!</definedName>
    <definedName name="BExMCMZOEYWVOOJ98TBHTTCS7XB8" hidden="1">#REF!</definedName>
    <definedName name="BExMCS8EF2W3FS9QADNKREYSI8P0" hidden="1">#REF!</definedName>
    <definedName name="BExMCUS7GSOM96J0HJ7EH0FFM2AC" hidden="1">#REF!</definedName>
    <definedName name="BExMCYTT6TVDWMJXO1NZANRTVNAN" hidden="1">#REF!</definedName>
    <definedName name="BExMD5F6IAV108XYJLXUO9HD0IT6" hidden="1">#REF!</definedName>
    <definedName name="BExMDANV66W9T3XAXID40XFJ0J93" hidden="1">#REF!</definedName>
    <definedName name="BExMDGD1KQP7NNR78X2ZX4FCBQ1S" hidden="1">#REF!</definedName>
    <definedName name="BExMDIRDK0DI8P86HB7WPH8QWLSQ" hidden="1">#REF!</definedName>
    <definedName name="BExMDPI2FVMORSWDDCVAJ85WYAYO" hidden="1">#REF!</definedName>
    <definedName name="BExMDUWB7VWHFFR266QXO46BNV2S" hidden="1">#REF!</definedName>
    <definedName name="BExME2U47N8LZG0BPJ49ANY5QVV2" hidden="1">#REF!</definedName>
    <definedName name="BExME88DH5DUKMUFI9FNVECXFD2E" hidden="1">#REF!</definedName>
    <definedName name="BExME9A7MOGAK7YTTQYXP5DL6VYA" hidden="1">#REF!</definedName>
    <definedName name="BExMEOV9YFRY5C3GDLU60GIX10BY" hidden="1">#REF!</definedName>
    <definedName name="BExMEY09ESM4H2YGKEQQRYUD114R" hidden="1">#REF!</definedName>
    <definedName name="BExMF4G4IUPQY1Y5GEY5N3E04CL6" hidden="1">#REF!</definedName>
    <definedName name="BExMF9UIGYMOAQK0ELUWP0S0HZZY" hidden="1">#REF!</definedName>
    <definedName name="BExMFDLBSWFMRDYJ2DZETI3EXKN2" hidden="1">#REF!</definedName>
    <definedName name="BExMFLDTMRTCHKA37LQW67BG8D5C" hidden="1">#REF!</definedName>
    <definedName name="BExMG9NSK30KD01QX0UBN2VNRTG4" hidden="1">#REF!</definedName>
    <definedName name="BExMGG3PFIHPHX7NXB7HDFI3N12L" hidden="1">#REF!</definedName>
    <definedName name="BExMH3H9TW5TJCNU5Z1EWXP3BAEP" hidden="1">#REF!</definedName>
    <definedName name="BExMH8KQR80A2GJTLN4VOYUOC0ZW" hidden="1">#REF!</definedName>
    <definedName name="BExMHOWPB34KPZ76M2KIX2C9R2VB" hidden="1">#REF!</definedName>
    <definedName name="BExMHSSYC6KVHA3QDTSYPN92TWMI" hidden="1">#REF!</definedName>
    <definedName name="BExMHZ8UY0FH4VW9HVIJTNF7OAY6" hidden="1">#REF!</definedName>
    <definedName name="BExMI0WA793SF41LQ40A28U8OXQY" hidden="1">#REF!</definedName>
    <definedName name="BExMI3AJ9477KDL4T9DHET4LJJTW" hidden="1">#REF!</definedName>
    <definedName name="BExMI6L8TLT3HE32C9T2SBUSKCJS" hidden="1">#REF!</definedName>
    <definedName name="BExMI6L9KX05GAK523JFKICJMTA5" hidden="1">#REF!</definedName>
    <definedName name="BExMI6QQ20XHD0NWJUN741B37182" hidden="1">#REF!</definedName>
    <definedName name="BExMI8JB94SBD9EMNJEK7Y2T6GYU" hidden="1">#REF!</definedName>
    <definedName name="BExMI8JBFQWOU3T0YYIPK6Z9G7UG" hidden="1">#REF!</definedName>
    <definedName name="BExMI8OS85YTW3KYVE4YD0R7Z6UV" hidden="1">#REF!</definedName>
    <definedName name="BExMIBOOZU40JS3F89OMPSRCE9MM" hidden="1">#REF!</definedName>
    <definedName name="BExMIIQ5MBWSIHTFWAQADXMZC22Q" hidden="1">#REF!</definedName>
    <definedName name="BExMIL4I2GE866I25CR5JBLJWJ6A" hidden="1">#REF!</definedName>
    <definedName name="BExMIRKIPF27SNO82SPFSB3T5U17" hidden="1">#REF!</definedName>
    <definedName name="BExMIV0KC8555D5E42ZGWG15Y0MO" hidden="1">#REF!</definedName>
    <definedName name="BExMIZT6AN7E6YMW2S87CTCN2UXH" hidden="1">#REF!</definedName>
    <definedName name="BExMJ15T9F3475M0896SG60TN0SR" hidden="1">#REF!</definedName>
    <definedName name="BExMJNC8ZFB9DRFOJ961ZAJ8U3A8" hidden="1">#REF!</definedName>
    <definedName name="BExMJTBV8A3D31W2IQHP9RDFPPHQ" hidden="1">#REF!</definedName>
    <definedName name="BExMK2RTXN4QJWEUNX002XK8VQP8" hidden="1">#REF!</definedName>
    <definedName name="BExMKBGQDUZ8AWXYHA3QVMSDVZ3D" hidden="1">#REF!</definedName>
    <definedName name="BExMKBM1467553LDFZRRKVSHN374" hidden="1">#REF!</definedName>
    <definedName name="BExMKGK5FJUC0AU8MABRGDC5ZM70" hidden="1">#REF!</definedName>
    <definedName name="BExMKTW7R5SOV4PHAFGHU3W73DYE" hidden="1">#REF!</definedName>
    <definedName name="BExMKU7051J2W1RQXGZGE62NBRUZ" hidden="1">#REF!</definedName>
    <definedName name="BExMKUN3WPECJR2XRID2R7GZRGNX" hidden="1">#REF!</definedName>
    <definedName name="BExMKZ535P011X4TNV16GCOH4H21" hidden="1">#REF!</definedName>
    <definedName name="BExML3XQNDIMX55ZCHHXKUV3D6E6" hidden="1">#REF!</definedName>
    <definedName name="BExML5QGSWHLI18BGY4CGOTD3UWH" hidden="1">#REF!</definedName>
    <definedName name="BExMLO5Z61RE85X8HHX2G4IU3AZW" hidden="1">#REF!</definedName>
    <definedName name="BExMLVI7UORSHM9FMO8S2EI0TMTS" hidden="1">#REF!</definedName>
    <definedName name="BExMLWK1X8B2X46UQMAFINPPK4EO" hidden="1">#REF!</definedName>
    <definedName name="BExMM5UCOT2HSSN0ZIPZW55GSOVO" hidden="1">#REF!</definedName>
    <definedName name="BExMM8ZRS5RQ8H1H55RVPVTDL5NL" hidden="1">#REF!</definedName>
    <definedName name="BExMMH8EAZB09XXQ5X4LR0P4NHG9" hidden="1">#REF!</definedName>
    <definedName name="BExMMIQH5BABNZVCIQ7TBCQ10AY5" hidden="1">#REF!</definedName>
    <definedName name="BExMMNIZ2T7M22WECMUQXEF4NJ71" hidden="1">#REF!</definedName>
    <definedName name="BExMMPMIOU7BURTV0L1K6ACW9X73" hidden="1">#REF!</definedName>
    <definedName name="BExMMQ835AJDHS4B419SS645P67Q" hidden="1">#REF!</definedName>
    <definedName name="BExMMQIUVPCOBISTEJJYNCCLUCPY" hidden="1">#REF!</definedName>
    <definedName name="BExMMTIXETA5VAKBSOFDD5SRU887" hidden="1">#REF!</definedName>
    <definedName name="BExMMV0P6P5YS3C35G0JYYHI7992" hidden="1">#REF!</definedName>
    <definedName name="BExMNDR4V2VG5RFZDGTAGD3Q9PPG" hidden="1">#REF!</definedName>
    <definedName name="BExMNJLFWZBRN9PZF1IO9CYWV1B2" hidden="1">#REF!</definedName>
    <definedName name="BExMNKCJ0FA57YEUUAJE43U1QN5P" hidden="1">#REF!</definedName>
    <definedName name="BExMNKN5D1WEF2OOJVP6LZ6DLU3Y" hidden="1">#REF!</definedName>
    <definedName name="BExMNR38HMPLWAJRQ9MMS3ZAZ9IU" hidden="1">#REF!</definedName>
    <definedName name="BExMNRDZULKJMVY2VKIIRM2M5A1M" hidden="1">#REF!</definedName>
    <definedName name="BExMO9IOWKTWHO8LQJJQI5P3INWY" hidden="1">#REF!</definedName>
    <definedName name="BExMOI29DOEK5R1A5QZPUDKF7N6T" hidden="1">#REF!</definedName>
    <definedName name="BExMOSUP21Y1AZOL1GVUV5AF4CTP" hidden="1">#REF!</definedName>
    <definedName name="BExMPAJ5AJAXGKGK3F6H3ODS6RF4" hidden="1">#REF!</definedName>
    <definedName name="BExMPD2X55FFBVJ6CBUKNPROIOEU" hidden="1">#REF!</definedName>
    <definedName name="BExMPGZ848E38FUH1JBQN97DGWAT" hidden="1">#REF!</definedName>
    <definedName name="BExMPMO6VA2UVXFDZEA6FT3RESSC" hidden="1">#REF!</definedName>
    <definedName name="BExMPMTICOSMQENOFKQ18K0ZT4S8" hidden="1">#REF!</definedName>
    <definedName name="BExMPMZ07II0R4KGWQQ7PGS3RZS4" hidden="1">#REF!</definedName>
    <definedName name="BExMPOBH04JMDO6Z8DMSEJZM4ANN" hidden="1">#REF!</definedName>
    <definedName name="BExMPSD77XQ3HA6A4FZOJK8G2JP3" hidden="1">#REF!</definedName>
    <definedName name="BExMQ4I3Q7F0BMPHSFMFW9TZ87UD" hidden="1">#REF!</definedName>
    <definedName name="BExMQ4SWDWI4N16AZ0T5CJ6HH8WC" hidden="1">#REF!</definedName>
    <definedName name="BExMQ4SX57PDG0GBORV9Y3C2VF2O" hidden="1">#REF!</definedName>
    <definedName name="BExMQ71WHW50GVX45JU951AGPLFQ" hidden="1">#REF!</definedName>
    <definedName name="BExMQGXSLPT4A6N47LE6FBVHWBOF" hidden="1">#REF!</definedName>
    <definedName name="BExMQSBR7PL4KLB1Q4961QO45Y4G" hidden="1">#REF!</definedName>
    <definedName name="BExMR1MA4I1X77714ZEPUVC8W398" hidden="1">#REF!</definedName>
    <definedName name="BExMR8YQHA7N77HGHY4Y6R30I3XT" hidden="1">#REF!</definedName>
    <definedName name="BExMRENOIARWRYOIVPDIEBVNRDO7" hidden="1">#REF!</definedName>
    <definedName name="BExMRQHUEHGF2FS4LCB0THFELGDI" hidden="1">#REF!</definedName>
    <definedName name="BExMRRJNUMGRSDD5GGKKGEIZ6FTS" hidden="1">#REF!</definedName>
    <definedName name="BExMRU3ACIU0RD2BNWO55LH5U2BR" hidden="1">#REF!</definedName>
    <definedName name="BExMSQRCC40AP8BDUPL2I2DNC210" hidden="1">#REF!</definedName>
    <definedName name="BExO4J9LR712G00TVA82VNTG8O7H" hidden="1">#REF!</definedName>
    <definedName name="BExO55G2KVZ7MIJ30N827CLH0I2A" hidden="1">#REF!</definedName>
    <definedName name="BExO5A8PZD9EUHC5CMPU6N3SQ15L" hidden="1">#REF!</definedName>
    <definedName name="BExO5XMAHL7CY3X0B1OPKZ28DCJ5" hidden="1">#REF!</definedName>
    <definedName name="BExO66LZJKY4PTQVREELI6POS4AY" hidden="1">#REF!</definedName>
    <definedName name="BExO6LLHCYTF7CIVHKAO0NMET14Q" hidden="1">#REF!</definedName>
    <definedName name="BExO7OUQS3XTUQ2LDKGQ8AAQ3OJJ" hidden="1">#REF!</definedName>
    <definedName name="BExO7RUSODZC2NQZMT2AFSMV2ONF" hidden="1">#REF!</definedName>
    <definedName name="BExO856VOQYI920F77EBU9HX4MN0" hidden="1">#REF!</definedName>
    <definedName name="BExO85HMYXZJ7SONWBKKIAXMCI3C" hidden="1">#REF!</definedName>
    <definedName name="BExO863922O4PBGQMUNEQKGN3K96" hidden="1">#REF!</definedName>
    <definedName name="BExO89ZIOXN0HOKHY24F7HDZ87UT" hidden="1">#REF!</definedName>
    <definedName name="BExO8CDTBCABLEUD6PE2UM2EZ6C4" hidden="1">#REF!</definedName>
    <definedName name="BExO8IZ05ZG0XVOL3W41KBQE176A" hidden="1">#REF!</definedName>
    <definedName name="BExO8UTAGQWDBQZEEF4HUNMLQCVU" hidden="1">#REF!</definedName>
    <definedName name="BExO937E20IHMGQOZMECL3VZC7OX" hidden="1">#REF!</definedName>
    <definedName name="BExO94UTJKQQ7TJTTJRTSR70YVJC" hidden="1">#REF!</definedName>
    <definedName name="BExO9J3A438976RXIUX5U9SU5T55" hidden="1">#REF!</definedName>
    <definedName name="BExO9RS5RXFJ1911HL3CCK6M74EP" hidden="1">#REF!</definedName>
    <definedName name="BExO9SDRI1M6KMHXSG3AE5L0F2U3" hidden="1">#REF!</definedName>
    <definedName name="BExO9V2U2YXAY904GYYGU6TD8Y7M" hidden="1">#REF!</definedName>
    <definedName name="BExOAQ3GKCT7YZW1EMVU3EILSZL2" hidden="1">#REF!</definedName>
    <definedName name="BExOB9KT2THGV4SPLDVFTFXS4B14" hidden="1">#REF!</definedName>
    <definedName name="BExOBEZ0IE2WBEYY3D3CMRI72N1K" hidden="1">#REF!</definedName>
    <definedName name="BExOBIPU8760ITY0C8N27XZ3KWEF" hidden="1">#REF!</definedName>
    <definedName name="BExOBM0I5L0MZ1G4H9MGMD87SBMZ" hidden="1">#REF!</definedName>
    <definedName name="BExOBOUXMP88KJY2BX2JLUJH5N0K" hidden="1">#REF!</definedName>
    <definedName name="BExOBP0FKQ4SVR59FB48UNLKCOR6" hidden="1">#REF!</definedName>
    <definedName name="BExOBYAVUCQ0IGM0Y6A75QHP0Q1A" hidden="1">#REF!</definedName>
    <definedName name="BExOC3UEHB1CZNINSQHZANWJYKR8" hidden="1">#REF!</definedName>
    <definedName name="BExOCBSF3XGO9YJ23LX2H78VOUR7" hidden="1">#REF!</definedName>
    <definedName name="BExOCKXFMOW6WPFEVX1I7R7FNDSS" hidden="1">#REF!</definedName>
    <definedName name="BExOCYEXOB95DH5NOB0M5NOYX398" hidden="1">#REF!</definedName>
    <definedName name="BExOD4ERMDMFD8X1016N4EXOUR0S" hidden="1">#REF!</definedName>
    <definedName name="BExOD55RS7BQUHRQ6H3USVGKR0P7" hidden="1">#REF!</definedName>
    <definedName name="BExODEWDDEABM4ZY3XREJIBZ8IVP" hidden="1">#REF!</definedName>
    <definedName name="BExODNLAA1L7WQ9ZQX6A1ZOXK9VR" hidden="1">#REF!</definedName>
    <definedName name="BExODZFEIWV26E8RFU7XQYX1J458" hidden="1">#REF!</definedName>
    <definedName name="BExOEBKG55EROA2VL360A06LKASE" hidden="1">#REF!</definedName>
    <definedName name="BExOERG5LWXYYEN1DY1H2FWRJS9T" hidden="1">#REF!</definedName>
    <definedName name="BExOEV1S6JJVO5PP4BZ20SNGZR7D" hidden="1">#REF!</definedName>
    <definedName name="BExOFEDNCYI2TPTMQ8SJN3AW4YMF" hidden="1">#REF!</definedName>
    <definedName name="BExOFVLXVD6RVHSQO8KZOOACSV24" hidden="1">#REF!</definedName>
    <definedName name="BExOG2SW3XOGP9VAPQ3THV3VWV12" hidden="1">#REF!</definedName>
    <definedName name="BExOG45J81K4OPA40KW5VQU54KY3" hidden="1">#REF!</definedName>
    <definedName name="BExOGFE2SCL8HHT4DFAXKLUTJZOG" hidden="1">#REF!</definedName>
    <definedName name="BExOGT6D0LJ3C22RDW8COECKB1J5" hidden="1">#REF!</definedName>
    <definedName name="BExOGTMI1HT31M1RGWVRAVHAK7DE" hidden="1">#REF!</definedName>
    <definedName name="BExOGUIVY8J7XE4ZJ5SET9WS1IK3" hidden="1">#REF!</definedName>
    <definedName name="BExOGXO9JE5XSE9GC3I6O21UEKAO" hidden="1">#REF!</definedName>
    <definedName name="BExOH9ICZ13C1LAW8OTYTR9S7ZP3" hidden="1">#REF!</definedName>
    <definedName name="BExOHL75H3OT4WAKKPUXIVXWFVDS" hidden="1">#REF!</definedName>
    <definedName name="BExOHLHXXJL6363CC082M9M5VVXQ" hidden="1">#REF!</definedName>
    <definedName name="BExOHNAO5UDXSO73BK2ARHWKS90Y" hidden="1">#REF!</definedName>
    <definedName name="BExOHR1G1I9A9CI1HG94EWBLWNM2" hidden="1">#REF!</definedName>
    <definedName name="BExOHTQPP8LQ98L6PYUI6QW08YID" hidden="1">#REF!</definedName>
    <definedName name="BExOHX6Q6NJI793PGX59O5EKTP4G" hidden="1">#REF!</definedName>
    <definedName name="BExOI5VMTHH7Y8MQQ1N635CHYI0P" hidden="1">#REF!</definedName>
    <definedName name="BExOIEVCP4Y6VDS23AK84MCYYHRT" hidden="1">#REF!</definedName>
    <definedName name="BExOIHPQIXR0NDR5WD01BZKPKEO3" hidden="1">#REF!</definedName>
    <definedName name="BExOIM7L0Z3LSII9P7ZTV4KJ8RMA" hidden="1">#REF!</definedName>
    <definedName name="BExOIWJVMJ6MG6JC4SPD1L00OHU1" hidden="1">#REF!</definedName>
    <definedName name="BExOIYCN8Z4JK3OOG86KYUCV0ME8" hidden="1">#REF!</definedName>
    <definedName name="BExOJ3AKZ9BCBZT3KD8WMSLK6MN2" hidden="1">#REF!</definedName>
    <definedName name="BExOJ7XQK71I4YZDD29AKOOWZ47E" hidden="1">#REF!</definedName>
    <definedName name="BExOJM0W6XGSW5MXPTTX0GNF6SFT" hidden="1">#REF!</definedName>
    <definedName name="BExOJXEUJJ9SYRJXKYYV2NCCDT2R" hidden="1">#REF!</definedName>
    <definedName name="BExOK0EQYM9JUMAGWOUN7QDH7VMZ" hidden="1">#REF!</definedName>
    <definedName name="BExOK4WM9O7QNG6O57FOASI5QSN1" hidden="1">#REF!</definedName>
    <definedName name="BExOK6UU66L6RCLWN8ZS263TS1N1" hidden="1">#REF!</definedName>
    <definedName name="BExOKKHOPWUVRJGQJ5ONR2U40JX8" hidden="1">#REF!</definedName>
    <definedName name="BExOKTXMJP351VXKH8VT6SXUNIMF" hidden="1">#REF!</definedName>
    <definedName name="BExOKU8GMLOCNVORDE329819XN67" hidden="1">#REF!</definedName>
    <definedName name="BExOL0Z3Z7IAMHPB91EO2MF49U57" hidden="1">#REF!</definedName>
    <definedName name="BExOL26AG0OE1FGQ4FBLYFDVVXV8" hidden="1">#REF!</definedName>
    <definedName name="BExOL7KH12VAR0LG741SIOJTLWFD" hidden="1">#REF!</definedName>
    <definedName name="BExOLICXFHJLILCJVFMJE5MGGWKR" hidden="1">#REF!</definedName>
    <definedName name="BExOLOI0WJS3QC12I3ISL0D9AWOF" hidden="1">#REF!</definedName>
    <definedName name="BExOLYZNG5RBD0BTS1OEZJNU92Q5" hidden="1">#REF!</definedName>
    <definedName name="BExOM3HIJ3UZPOKJI68KPBJAHPDC" hidden="1">#REF!</definedName>
    <definedName name="BExOMKPURE33YQ3K1JG9NVQD4W49" hidden="1">#REF!</definedName>
    <definedName name="BExOMP7NGCLUNFK50QD2LPKRG078" hidden="1">#REF!</definedName>
    <definedName name="BExOMU0A6XMY48SZRYL4WQZD13BI" hidden="1">#REF!</definedName>
    <definedName name="BExOMVT0HSNC59DJP4CLISASGHKL" hidden="1">#REF!</definedName>
    <definedName name="BExON0AX35F2SI0UCVMGWGVIUNI3" hidden="1">#REF!</definedName>
    <definedName name="BExON41U4296DV3DPG6I5EF3OEYF" hidden="1">#REF!</definedName>
    <definedName name="BExONB3A7CO4YD8RB41PHC93BQ9M" hidden="1">#REF!</definedName>
    <definedName name="BExONFQH6UUXF8V0GI4BRIST9RFO" hidden="1">#REF!</definedName>
    <definedName name="BExONIL31DZWU7IFVN3VV0XTXJA1" hidden="1">#REF!</definedName>
    <definedName name="BExONJ1BU17R0F5A2UP1UGJBOGKS" hidden="1">#REF!</definedName>
    <definedName name="BExONNZ9VMHVX3J6NLNJY7KZA61O" hidden="1">#REF!</definedName>
    <definedName name="BExONRQ1BAA4F3TXP2MYQ4YCZ09S" hidden="1">#REF!</definedName>
    <definedName name="BExOO1WWIZSGB0YTGKESB45TSVMZ" hidden="1">#REF!</definedName>
    <definedName name="BExOO4B8FPAFYPHCTYTX37P1TQM5" hidden="1">#REF!</definedName>
    <definedName name="BExOOIULUDOJRMYABWV5CCL906X6" hidden="1">#REF!</definedName>
    <definedName name="BExOOTN0KTXJCL7E476XBN1CJ553" hidden="1">#REF!</definedName>
    <definedName name="BExOP9DEBV5W5P4Q25J3XCJBP5S9" hidden="1">#REF!</definedName>
    <definedName name="BExOPFNYRBL0BFM23LZBJTADNOE4" hidden="1">#REF!</definedName>
    <definedName name="BExOPINVFSIZMCVT9YGT2AODVCX3" hidden="1">#REF!</definedName>
    <definedName name="BExOQ1JN4SAC44RTMZIGHSW023WA" hidden="1">#REF!</definedName>
    <definedName name="BExOQ256YMF115DJL3KBPNKABJ90" hidden="1">#REF!</definedName>
    <definedName name="BExQ19DEUOLC11IW32E2AMVZLFF1" hidden="1">#REF!</definedName>
    <definedName name="BExQ1FD6KISGYU1JWEQ4G243ZPVD" hidden="1">#REF!</definedName>
    <definedName name="BExQ29C73XR33S3668YYSYZAIHTG" hidden="1">#REF!</definedName>
    <definedName name="BExQ2FS228IUDUP2023RA1D4AO4C" hidden="1">#REF!</definedName>
    <definedName name="BExQ2L0XYWLY9VPZWXYYFRIRQRJ1" hidden="1">#REF!</definedName>
    <definedName name="BExQ2M841F5Z1BQYR8DG5FKK0LIU" hidden="1">#REF!</definedName>
    <definedName name="BExQ300G8I8TK45A0MVHV15422EU" hidden="1">#REF!</definedName>
    <definedName name="BExQ39R28MXSG2SEV956F0KZ20AN" hidden="1">#REF!</definedName>
    <definedName name="BExQ3D1P3M5Z3HLMEZ17E0BLEE4U" hidden="1">#REF!</definedName>
    <definedName name="BExQ3GHWFAUIQRK1Y4RXJR0XNM0D" hidden="1">#REF!</definedName>
    <definedName name="BExQ3JHR8K79KORSZKMNFQA8IIYT" hidden="1">#REF!</definedName>
    <definedName name="BExQ3O4W7QF8BOXTUT4IOGF6YKUD" hidden="1">#REF!</definedName>
    <definedName name="BExQ3PXOWSN8561ZR8IEY8ZASI3B" hidden="1">#REF!</definedName>
    <definedName name="BExQ3TZF04IPY0B0UG9CQQ5736UA" hidden="1">#REF!</definedName>
    <definedName name="BExQ42IU9MNDYLODP41DL6YTZMAR" hidden="1">#REF!</definedName>
    <definedName name="BExQ452HF7N1HYPXJXQ8WD6SOWUV" hidden="1">#REF!</definedName>
    <definedName name="BExQ46KLGN8CRSVNINM883EVBQ5R" hidden="1">#REF!</definedName>
    <definedName name="BExQ499KBJ5W7A1G293A0K14EVQB" hidden="1">#REF!</definedName>
    <definedName name="BExQ4BTBSHPHVEDRCXC2ROW8PLFC" hidden="1">#REF!</definedName>
    <definedName name="BExQ4DGKF54SRKQUTUT4B1CZSS62" hidden="1">#REF!</definedName>
    <definedName name="BExQ4T74LQ5PYTV1MUQUW75A4BDY" hidden="1">#REF!</definedName>
    <definedName name="BExQ4XJHD7EJCNH7S1MJDZJ2MNWG" hidden="1">#REF!</definedName>
    <definedName name="BExQ5039ZCEWBUJHU682G4S89J03" hidden="1">#REF!</definedName>
    <definedName name="BExQ56Z9W6YHZHRXOFFI8EFA7CDI" hidden="1">#REF!</definedName>
    <definedName name="BExQ5KX3Z668H1KUCKZ9J24HUQ1F" hidden="1">#REF!</definedName>
    <definedName name="BExQ5NM6R507VZELG13Y429GS5SL" hidden="1">#REF!</definedName>
    <definedName name="BExQ5PPQOH3EDIKJWXS51IOL734X" hidden="1">#REF!</definedName>
    <definedName name="BExQ5SPMSOCJYLAY20NB5A6O32RE" hidden="1">#REF!</definedName>
    <definedName name="BExQ5UICMGTMK790KTLK49MAGXRC" hidden="1">#REF!</definedName>
    <definedName name="BExQ5VEQEIJO7YY80OJTA3XRQYJ9" hidden="1">#REF!</definedName>
    <definedName name="BExQ5YUUK9FD0QGTY4WD0W90O7OL" hidden="1">#REF!</definedName>
    <definedName name="BExQ63793YQ9BH7JLCNRIATIGTRG" hidden="1">#REF!</definedName>
    <definedName name="BExQ6CN1EF2UPZ57ZYMGK8TUJQSS" hidden="1">#REF!</definedName>
    <definedName name="BExQ6M2YXJ8AMRJF3QGHC40ADAHZ" hidden="1">#REF!</definedName>
    <definedName name="BExQ6M8B0X44N9TV56ATUVHGDI00" hidden="1">#REF!</definedName>
    <definedName name="BExQ6POH065GV0I74XXVD0VUPBJW" hidden="1">#REF!</definedName>
    <definedName name="BExQ6WV9KPSMXPPLGZ3KK4WNYTHU" hidden="1">#REF!</definedName>
    <definedName name="BExQ783XTMM2A9I3UKCFWJH1PP2N" hidden="1">#REF!</definedName>
    <definedName name="BExQ79LX01ZPQB8EGD1ZHR2VK2H3" hidden="1">#REF!</definedName>
    <definedName name="BExQ7B3V9MGDK2OIJ61XXFBFLJFZ" hidden="1">#REF!</definedName>
    <definedName name="BExQ7CB046NVPF9ZXDGA7OXOLSLX" hidden="1">#REF!</definedName>
    <definedName name="BExQ7IWDCGGOO1HTJ97YGO1CK3R9" hidden="1">#REF!</definedName>
    <definedName name="BExQ7JNFIEGS2HKNBALH3Q2N5G7Z" hidden="1">#REF!</definedName>
    <definedName name="BExQ7MY3U2Z1IZ71U5LJUD00VVB4" hidden="1">#REF!</definedName>
    <definedName name="BExQ7XL2Q1GVUFL1F9KK0K0EXMWG" hidden="1">#REF!</definedName>
    <definedName name="BExQ8469L3ZRZ3KYZPYMSJIDL7Y5" hidden="1">#REF!</definedName>
    <definedName name="BExQ84MJB94HL3BWRN50M4NCB6Z0" hidden="1">#REF!</definedName>
    <definedName name="BExQ8583ZE00NW7T9OF11OT9IA14" hidden="1">#REF!</definedName>
    <definedName name="BExQ8A0RPE3IMIFIZLUE7KD2N21W" hidden="1">#REF!</definedName>
    <definedName name="BExQ8ABK6H1ADV2R2OYT8NFFYG2N" hidden="1">#REF!</definedName>
    <definedName name="BExQ8DM90XJ6GCJIK9LC5O82I2TJ" hidden="1">#REF!</definedName>
    <definedName name="BExQ8G0K46ZORA0QVQTDI7Z8LXGF" hidden="1">#REF!</definedName>
    <definedName name="BExQ8O3WEU8HNTTGKTW5T0QSKCLP" hidden="1">#REF!</definedName>
    <definedName name="BExQ8ZCEDBOBJA3D9LDP5TU2WYGR" hidden="1">#REF!</definedName>
    <definedName name="BExQ94LAW6MAQBWY25WTBFV5PPZJ" hidden="1">#REF!</definedName>
    <definedName name="BExQ97QIPOSSRK978N8P234Y1XA4" hidden="1">#REF!</definedName>
    <definedName name="BExQ9E6FBAXTHGF3RXANFIA77GXP" hidden="1">#REF!</definedName>
    <definedName name="BExQ9F2YH4UUCCMQITJ475B3S3NP" hidden="1">#REF!</definedName>
    <definedName name="BExQ9KX9734KIAK7IMRLHCPYDHO2" hidden="1">#REF!</definedName>
    <definedName name="BExQ9L81FF4I7816VTPFBDWVU4CW" hidden="1">#REF!</definedName>
    <definedName name="BExQ9M4E2ACZOWWWP1JJIQO8AHUM" hidden="1">#REF!</definedName>
    <definedName name="BExQ9UTANMJCK7LJ4OQMD6F2Q01L" hidden="1">#REF!</definedName>
    <definedName name="BExQ9ZLYHWABXAA9NJDW8ZS0UQ9P" hidden="1">#REF!</definedName>
    <definedName name="BExQA324HSCK40ENJUT9CS9EC71B" hidden="1">#REF!</definedName>
    <definedName name="BExQA55GY0STSNBWQCWN8E31ZXCS" hidden="1">#REF!</definedName>
    <definedName name="BExQA9HZIN9XEMHEEVHT99UU9Z82" hidden="1">#REF!</definedName>
    <definedName name="BExQAELFYH92K8CJL155181UDORO" hidden="1">#REF!</definedName>
    <definedName name="BExQAG8PP8R5NJKNQD1U4QOSD6X5" hidden="1">#REF!</definedName>
    <definedName name="BExQBDICMZTSA1X73TMHNO4JSFLN" hidden="1">#REF!</definedName>
    <definedName name="BExQBEER6CRCRPSSL61S0OMH57ZA" hidden="1">#REF!</definedName>
    <definedName name="BExQBIGGY5TXI2FJVVZSLZ0LTZYH" hidden="1">#REF!</definedName>
    <definedName name="BExQBM1RUSIQ85LLMM2159BYDPIP" hidden="1">#REF!</definedName>
    <definedName name="BExQBPSOZ47V81YAEURP0NQJNTJH" hidden="1">#REF!</definedName>
    <definedName name="BExQC5TWT21CGBKD0IHAXTIN2QB8" hidden="1">#REF!</definedName>
    <definedName name="BExQC6Q9SQ5IYHWJIFAGAW9FY4ZF" hidden="1">#REF!</definedName>
    <definedName name="BExQC94JL9F5GW4S8DQCAF4WB2DA" hidden="1">#REF!</definedName>
    <definedName name="BExQCKTD8AT0824LGWREXM1B5D1X" hidden="1">#REF!</definedName>
    <definedName name="BExQD571YWOXKR2SX85K5MKQ0AO2" hidden="1">#REF!</definedName>
    <definedName name="BExQDB6VCHN8PNX8EA6JNIEQ2JC2" hidden="1">#REF!</definedName>
    <definedName name="BExQDE1B6U2Q9B73KBENABP71YM1" hidden="1">#REF!</definedName>
    <definedName name="BExQDGQCN7ZW41QDUHOBJUGQAX40" hidden="1">#REF!</definedName>
    <definedName name="BExQEC7BRIJ30PTU3UPFOIP2HPE3" hidden="1">#REF!</definedName>
    <definedName name="BExQEMUA4HEFM4OVO8M8MA8PIAW1" hidden="1">#REF!</definedName>
    <definedName name="BExQEQ4XZQFIKUXNU9H7WE7AMZ1U" hidden="1">#REF!</definedName>
    <definedName name="BExQF1OEB07CRAP6ALNNMJNJ3P2D" hidden="1">#REF!</definedName>
    <definedName name="BExQF9X2AQPFJZTCHTU5PTTR0JAH" hidden="1">#REF!</definedName>
    <definedName name="BExQFC0M9KKFMQKPLPEO2RQDB7MM" hidden="1">#REF!</definedName>
    <definedName name="BExQFEEV7627R8TYZCM28C6V6WHE" hidden="1">#REF!</definedName>
    <definedName name="BExQFEK8NUD04X2OBRA275ADPSDL" hidden="1">#REF!</definedName>
    <definedName name="BExQFGYIWDR4W0YF7XR6E4EWWJ02" hidden="1">#REF!</definedName>
    <definedName name="BExQFPNFKA36IAPS22LAUMBDI4KE" hidden="1">#REF!</definedName>
    <definedName name="BExQFPSWEMA8WBUZ4WK20LR13VSU" hidden="1">#REF!</definedName>
    <definedName name="BExQFVSPOSCCPF1TLJPIWYWYB8A9" hidden="1">#REF!</definedName>
    <definedName name="BExQFWJQXNQAW6LUMOEDS6KMJMYL" hidden="1">#REF!</definedName>
    <definedName name="BExQG8TYRD2G42UA5ZPCRLNKUDMX" hidden="1">#REF!</definedName>
    <definedName name="BExQGO48J9MPCDQ96RBB9UN9AIGT" hidden="1">#REF!</definedName>
    <definedName name="BExQGSBB6MJWDW7AYWA0MSFTXKRR" hidden="1">#REF!</definedName>
    <definedName name="BExQH0UURAJ13AVO5UI04HSRGVYW" hidden="1">#REF!</definedName>
    <definedName name="BExQH6ZZY0NR8SE48PSI9D0CU1TC" hidden="1">#REF!</definedName>
    <definedName name="BExQH9P2MCXAJOVEO4GFQT6MNW22" hidden="1">#REF!</definedName>
    <definedName name="BExQHCZSBYUY8OKKJXFYWKBBM6AH" hidden="1">#REF!</definedName>
    <definedName name="BExQHNS8G4TFKTM0RPSS08EJ9911" hidden="1">#REF!</definedName>
    <definedName name="BExQHPKXZ1K33V2F90NZIQRZYIAW" hidden="1">#REF!</definedName>
    <definedName name="BExQHVF9KD06AG2RXUQJ9X4PVGX4" hidden="1">#REF!</definedName>
    <definedName name="BExQHZBHVN2L4HC7ACTR73T5OCV0" hidden="1">#REF!</definedName>
    <definedName name="BExQI85V9TNLDJT5LTRZS10Y26SG" hidden="1">#REF!</definedName>
    <definedName name="BExQIAPKHVEV8CU1L3TTHJW67FJ5" hidden="1">#REF!</definedName>
    <definedName name="BExQIBB4I3Z6AUU0HYV1DHRS13M4" hidden="1">#REF!</definedName>
    <definedName name="BExQIBWPAXU7HJZLKGJZY3EB7MIS" hidden="1">#REF!</definedName>
    <definedName name="BExQIS8O6R36CI01XRY9ISM99TW9" hidden="1">#REF!</definedName>
    <definedName name="BExQIVJB9MJ25NDUHTCVMSODJY2C" hidden="1">#REF!</definedName>
    <definedName name="BExQJBF7LAX128WR7VTMJC88ZLPG" hidden="1">#REF!</definedName>
    <definedName name="BExQJEVCKX6KZHNCLYXY7D0MX5KN" hidden="1">#REF!</definedName>
    <definedName name="BExQJJYSDX8B0J1QGF2HL071KKA3" hidden="1">#REF!</definedName>
    <definedName name="BExQK1HV6SQQ7CP8H8IUKI9TYXTD" hidden="1">#REF!</definedName>
    <definedName name="BExQK3LE5CSBW1E4H4KHW548FL2R" hidden="1">#REF!</definedName>
    <definedName name="BExQKG6LD6PLNDGNGO9DJXY865BR" hidden="1">#REF!</definedName>
    <definedName name="BExQLE1TOW3A287TQB0AVWENT8O1" hidden="1">#REF!</definedName>
    <definedName name="BExRYOYB4A3E5F6MTROY69LR0PMG" hidden="1">#REF!</definedName>
    <definedName name="BExRYZLA9EW71H4SXQR525S72LLP" hidden="1">#REF!</definedName>
    <definedName name="BExRZ66M8G9FQ0VFP077QSZBSOA5" hidden="1">#REF!</definedName>
    <definedName name="BExRZ8FMQQL46I8AQWU17LRNZD5T" hidden="1">#REF!</definedName>
    <definedName name="BExRZIRRIXRUMZ5GOO95S7460BMP" hidden="1">#REF!</definedName>
    <definedName name="BExRZK9RAHMM0ZLTNSK7A4LDC42D" hidden="1">#REF!</definedName>
    <definedName name="BExRZOGSR69INI6GAEPHDWSNK5Q4" hidden="1">#REF!</definedName>
    <definedName name="BExS0ASQBKRTPDWFK0KUDFOS9LE5" hidden="1">#REF!</definedName>
    <definedName name="BExS0GHQUF6YT0RU3TKDEO8CSJYB" hidden="1">#REF!</definedName>
    <definedName name="BExS0K8IHC45I78DMZBOJ1P13KQA" hidden="1">#REF!</definedName>
    <definedName name="BExS152B2LFCRAUHSLI5T6QRNII0" hidden="1">#REF!</definedName>
    <definedName name="BExS15IJV0WW662NXQUVT3FGP4ST" hidden="1">#REF!</definedName>
    <definedName name="BExS194110MR25BYJI3CJ2EGZ8XT" hidden="1">#REF!</definedName>
    <definedName name="BExS1BNVGNSGD4EP90QL8WXYWZ66" hidden="1">#REF!</definedName>
    <definedName name="BExS1QSGZONUHRK2Y7ET67TLSHJH" hidden="1">#REF!</definedName>
    <definedName name="BExS1UE39N6NCND7MAARSBWXS6HU" hidden="1">#REF!</definedName>
    <definedName name="BExS226HTWL5WVC76MP5A1IBI8WD" hidden="1">#REF!</definedName>
    <definedName name="BExS26OI2QNNAH2WMDD95Z400048" hidden="1">#REF!</definedName>
    <definedName name="BExS2DF6B4ZUF3VZLI4G6LJ3BF38" hidden="1">#REF!</definedName>
    <definedName name="BExS2QB5FS5LYTFYO4BROTWG3OV5" hidden="1">#REF!</definedName>
    <definedName name="BExS2TLU1HONYV6S3ZD9T12D7CIG" hidden="1">#REF!</definedName>
    <definedName name="BExS318UV9I2FXPQQWUKKX00QLPJ" hidden="1">#REF!</definedName>
    <definedName name="BExS3LBS0SMTHALVM4NRI1BAV1NP" hidden="1">#REF!</definedName>
    <definedName name="BExS3MTQ75VBXDGEBURP6YT8RROE" hidden="1">#REF!</definedName>
    <definedName name="BExS3OMGYO0DFN5186UFKEXZ2RX3" hidden="1">#REF!</definedName>
    <definedName name="BExS3SDERJ27OER67TIGOVZU13A2" hidden="1">#REF!</definedName>
    <definedName name="BExS46R5WDNU5KL04FKY5LHJUCB8" hidden="1">#REF!</definedName>
    <definedName name="BExS4ASWKM93XA275AXHYP8AG6SU" hidden="1">#REF!</definedName>
    <definedName name="BExS4JN3Y6SVBKILQK0R9HS45Y52" hidden="1">#REF!</definedName>
    <definedName name="BExS4P6S41O6Z6BED77U3GD9PNH1" hidden="1">#REF!</definedName>
    <definedName name="BExS51H0N51UT0FZOPZRCF1GU063" hidden="1">#REF!</definedName>
    <definedName name="BExS54X72TJFC41FJK72MLRR2OO7" hidden="1">#REF!</definedName>
    <definedName name="BExS59F0PA1V2ZC7S5TN6IT41SXP" hidden="1">#REF!</definedName>
    <definedName name="BExS5DRER9US6NXY9ATYT41KZII3" hidden="1">#REF!</definedName>
    <definedName name="BExS5L3TGB8JVW9ROYWTKYTUPW27" hidden="1">#REF!</definedName>
    <definedName name="BExS6GKQ96EHVLYWNJDWXZXUZW90" hidden="1">#REF!</definedName>
    <definedName name="BExS6ITKSZFRR01YD5B0F676SYN7" hidden="1">#REF!</definedName>
    <definedName name="BExS6N0LI574IAC89EFW6CLTCQ33" hidden="1">#REF!</definedName>
    <definedName name="BExS6WRDBF3ST86ZOBBUL3GTCR11" hidden="1">#REF!</definedName>
    <definedName name="BExS6XNRKR0C3MTA0LV5B60UB908" hidden="1">#REF!</definedName>
    <definedName name="BExS7TKQYLRZGM93UY3ZJZJBQNFJ" hidden="1">#REF!</definedName>
    <definedName name="BExS7Y2LNGVHSIBKC7C3R6X4LDR6" hidden="1">#REF!</definedName>
    <definedName name="BExS81TE0EY44Y3W2M4Z4MGNP5OM" hidden="1">#REF!</definedName>
    <definedName name="BExS81YPDZDVJJVS15HV2HDXAC3Y" hidden="1">#REF!</definedName>
    <definedName name="BExS82PRVNUTEKQZS56YT2DVF6C2" hidden="1">#REF!</definedName>
    <definedName name="BExS8BPG5A0GR5AO1U951NDGGR0L" hidden="1">#REF!</definedName>
    <definedName name="BExS8GSUS17UY50TEM2AWF36BR9Z" hidden="1">#REF!</definedName>
    <definedName name="BExS8HJRBVG0XI6PWA9KTMJZMQXK" hidden="1">#REF!</definedName>
    <definedName name="BExS8R51C8RM2FS6V6IRTYO9GA4A" hidden="1">#REF!</definedName>
    <definedName name="BExS8WDX408F60MH1X9B9UZ2H4R7" hidden="1">#REF!</definedName>
    <definedName name="BExS8Z2W2QEC3MH0BZIYLDFQNUIP" hidden="1">#REF!</definedName>
    <definedName name="BExS92DKGRFFCIA9C0IXDOLO57EP" hidden="1">#REF!</definedName>
    <definedName name="BExS98OB4321YCHLCQ022PXKTT2W" hidden="1">#REF!</definedName>
    <definedName name="BExS9C9N8GFISC6HUERJ0EI06GB2" hidden="1">#REF!</definedName>
    <definedName name="BExS9DX13CACP3J8JDREK30JB1SQ" hidden="1">#REF!</definedName>
    <definedName name="BExS9FPRS2KRRCS33SE6WFNF5GYL" hidden="1">#REF!</definedName>
    <definedName name="BExS9WI0A6PSEB8N9GPXF2Z7MWHM" hidden="1">#REF!</definedName>
    <definedName name="BExSA5HP306TN9XJS0TU619DLRR7" hidden="1">#REF!</definedName>
    <definedName name="BExSAAVWQOOIA6B3JHQVGP08HFEM" hidden="1">#REF!</definedName>
    <definedName name="BExSAFJ3IICU2M7QPVE4ARYMXZKX" hidden="1">#REF!</definedName>
    <definedName name="BExSAH6ID8OHX379UXVNGFO8J6KQ" hidden="1">#REF!</definedName>
    <definedName name="BExSAQBHIXGQRNIRGCJMBXUPCZQA" hidden="1">#REF!</definedName>
    <definedName name="BExSAUTCT4P7JP57NOR9MTX33QJZ" hidden="1">#REF!</definedName>
    <definedName name="BExSAY9CA9TFXQ9M9FBJRGJO9T9E" hidden="1">#REF!</definedName>
    <definedName name="BExSB4JYKQ3MINI7RAYK5M8BLJDC" hidden="1">#REF!</definedName>
    <definedName name="BExSBMOS41ZRLWYLOU29V6Y7YORR" hidden="1">#REF!</definedName>
    <definedName name="BExSBRBXXQMBU1TYDW1BXTEVEPRU" hidden="1">#REF!</definedName>
    <definedName name="BExSC3BJ4SDG83RYI9RE33Q5A79C" hidden="1">#REF!</definedName>
    <definedName name="BExSC54998WTZ21DSL0R8UN0Y9JH" hidden="1">#REF!</definedName>
    <definedName name="BExSC60N7WR9PJSNC9B7ORCX9NGY" hidden="1">#REF!</definedName>
    <definedName name="BExSCE99EZTILTTCE4NJJF96OYYM" hidden="1">#REF!</definedName>
    <definedName name="BExSCHUQZ2HFEWS54X67DIS8OSXZ" hidden="1">#REF!</definedName>
    <definedName name="BExSCOG41SKKG4GYU76WRWW1CTE6" hidden="1">#REF!</definedName>
    <definedName name="BExSCVC9P86YVFMRKKUVRV29MZXZ" hidden="1">#REF!</definedName>
    <definedName name="BExSD233CH4MU9ZMGNRF97ZV7KWU" hidden="1">#REF!</definedName>
    <definedName name="BExSD2U0F3BN6IN9N4R2DTTJG15H" hidden="1">#REF!</definedName>
    <definedName name="BExSD6A6NY15YSMFH51ST6XJY429" hidden="1">#REF!</definedName>
    <definedName name="BExSD9VH6PF6RQ135VOEE08YXPAW" hidden="1">#REF!</definedName>
    <definedName name="BExSDP5Y04WWMX2WWRITWOX8R5I9" hidden="1">#REF!</definedName>
    <definedName name="BExSDSGM203BJTNS9MKCBX453HMD" hidden="1">#REF!</definedName>
    <definedName name="BExSDT20XUFXTDM37M148AXAP7HN" hidden="1">#REF!</definedName>
    <definedName name="BExSEEHK1VLWD7JBV9SVVVIKQZ3I" hidden="1">#REF!</definedName>
    <definedName name="BExSEJKZLX37P3V33TRTFJ30BFRK" hidden="1">#REF!</definedName>
    <definedName name="BExSEP9UVOAI6TMXKNK587PQ3328" hidden="1">#REF!</definedName>
    <definedName name="BExSERZ34ETZF8OI93MYIVZX4RDV" hidden="1">#REF!</definedName>
    <definedName name="BExSF07QFLZCO4P6K6QF05XG7PH1" hidden="1">#REF!</definedName>
    <definedName name="BExSF6T3KOK285HOGMIPIG0235KM" hidden="1">#REF!</definedName>
    <definedName name="BExSFELNPJYUZX393PKWKNNZYV1N" hidden="1">#REF!</definedName>
    <definedName name="BExSFJ8ZAGQ63A4MVMZRQWLVRGQ5" hidden="1">#REF!</definedName>
    <definedName name="BExSFKQRST2S9KXWWLCXYLKSF4G1" hidden="1">#REF!</definedName>
    <definedName name="BExSFYDRRTAZVPXRWUF5PDQ97WFF" hidden="1">#REF!</definedName>
    <definedName name="BExSFZVPFTXA3F0IJ2NGH1GXX9R7" hidden="1">#REF!</definedName>
    <definedName name="BExSG90Q4ZUU2IPGDYOM169NJV9S" hidden="1">#REF!</definedName>
    <definedName name="BExSG9X3DU845PNXYJGGLBQY2UHG" hidden="1">#REF!</definedName>
    <definedName name="BExSGE45J27MDUUNXW7Z8Q33UAON" hidden="1">#REF!</definedName>
    <definedName name="BExSGE9LY91Q0URHB4YAMX0UAMYI" hidden="1">#REF!</definedName>
    <definedName name="BExSGLB2URTLBCKBB4Y885W925F2" hidden="1">#REF!</definedName>
    <definedName name="BExSGOAYG73SFWOPAQV80P710GID" hidden="1">#REF!</definedName>
    <definedName name="BExSGOWJHRW7FWKLO2EHUOOGHNAF" hidden="1">#REF!</definedName>
    <definedName name="BExSGOWJTAP41ZV5Q23H7MI9C76W" hidden="1">#REF!</definedName>
    <definedName name="BExSGR5JQVX2HQ0PKCGZNSSUM1RV" hidden="1">#REF!</definedName>
    <definedName name="BExSGVHX69GJZHD99DKE4RZ042B1" hidden="1">#REF!</definedName>
    <definedName name="BExSGZJO4J4ZO04E2N2ECVYS9DEZ" hidden="1">#REF!</definedName>
    <definedName name="BExSHAHFHS7MMNJR8JPVABRGBVIT" hidden="1">#REF!</definedName>
    <definedName name="BExSHGH88QZWW4RNAX4YKAZ5JEBL" hidden="1">#REF!</definedName>
    <definedName name="BExSHOKK1OO3CX9Z28C58E5J1D9W" hidden="1">#REF!</definedName>
    <definedName name="BExSHQD8KYLTQGDXIRKCHQQ7MKIH" hidden="1">#REF!</definedName>
    <definedName name="BExSHVGPIAHXI97UBLI9G4I4M29F" hidden="1">#REF!</definedName>
    <definedName name="BExSI0K2YL3HTCQAD8A7TR4QCUR6" hidden="1">#REF!</definedName>
    <definedName name="BExSIFUDNRWXWIWNGCCFOOD8WIAZ" hidden="1">#REF!</definedName>
    <definedName name="BExTTWD2PGX3Y9FR5F2MRNLY1DIY" hidden="1">#REF!</definedName>
    <definedName name="BExTTZNS2PBCR93C9IUW49UZ4I6T" hidden="1">#REF!</definedName>
    <definedName name="BExTU2YFQ25JQ6MEMRHHN66VLTPJ" hidden="1">#REF!</definedName>
    <definedName name="BExTU75IOII1V5O0C9X2VAYYVJUG" hidden="1">#REF!</definedName>
    <definedName name="BExTUA5F7V4LUIIAM17J3A8XF3JE" hidden="1">#REF!</definedName>
    <definedName name="BExTUH1JXSR42ND29PHUDF5MDQ9O" hidden="1">#REF!</definedName>
    <definedName name="BExTUJ53ANGZ3H1KDK4CR4Q0OD6P" hidden="1">#REF!</definedName>
    <definedName name="BExTUKXSZBM7C57G6NGLWGU4WOHY" hidden="1">#REF!</definedName>
    <definedName name="BExTUSQCFFYZCDNHWHADBC2E1ZP1" hidden="1">#REF!</definedName>
    <definedName name="BExTUVFGOJEYS28JURA5KHQFDU5J" hidden="1">#REF!</definedName>
    <definedName name="BExTUW10U40QCYGHM5NJ3YR1O5SP" hidden="1">#REF!</definedName>
    <definedName name="BExTUWXFQHINU66YG82BI20ATMB5" hidden="1">#REF!</definedName>
    <definedName name="BExTUY9WNSJ91GV8CP0SKJTEIV82" hidden="1">#REF!</definedName>
    <definedName name="BExTV67VIM8PV6KO253M4DUBJQLC" hidden="1">#REF!</definedName>
    <definedName name="BExTVELZCF2YA5L6F23BYZZR6WHF" hidden="1">#REF!</definedName>
    <definedName name="BExTVGPIQZ99YFXUC8OONUX5BD42" hidden="1">#REF!</definedName>
    <definedName name="BExTVZQLP9VFLEYQ9280W13X7E8K" hidden="1">#REF!</definedName>
    <definedName name="BExTWB4LA1PODQOH4LDTHQKBN16K" hidden="1">#REF!</definedName>
    <definedName name="BExTWI0Q8AWXUA3ZN7I5V3QK2KM1" hidden="1">#REF!</definedName>
    <definedName name="BExTWJTIA3WUW1PUWXAOP9O8NKLZ" hidden="1">#REF!</definedName>
    <definedName name="BExTWW95OX07FNA01WF5MSSSFQLX" hidden="1">#REF!</definedName>
    <definedName name="BExTX476KI0RNB71XI5TYMANSGBG" hidden="1">#REF!</definedName>
    <definedName name="BExTXJ6HBAIXMMWKZTJNFDYVZCAY" hidden="1">#REF!</definedName>
    <definedName name="BExTXT812NQT8GAEGH738U29BI0D" hidden="1">#REF!</definedName>
    <definedName name="BExTXWIP2TFPTQ76NHFOB72NICRZ" hidden="1">#REF!</definedName>
    <definedName name="BExTY5T62H651VC86QM4X7E28JVA" hidden="1">#REF!</definedName>
    <definedName name="BExTYHCJJ2NWRM1RV59FYR41534U" hidden="1">#REF!</definedName>
    <definedName name="BExTYKCEFJ83LZM95M1V7CSFQVEA" hidden="1">#REF!</definedName>
    <definedName name="BExTYPLA9N640MFRJJQPKXT7P88M" hidden="1">#REF!</definedName>
    <definedName name="BExTZ7F71SNTOX4LLZCK5R9VUMIJ" hidden="1">#REF!</definedName>
    <definedName name="BExTZ8X5G9S3PA4FPSNK7T69W7QT" hidden="1">#REF!</definedName>
    <definedName name="BExTZ97Y0RMR8V5BI9F2H4MFB77O" hidden="1">#REF!</definedName>
    <definedName name="BExTZK5PMCAXJL4DUIGL6H9Y8U4C" hidden="1">#REF!</definedName>
    <definedName name="BExTZKB6L5SXV5UN71YVTCBEIGWY" hidden="1">#REF!</definedName>
    <definedName name="BExTZLICVKK4NBJFEGL270GJ2VQO" hidden="1">#REF!</definedName>
    <definedName name="BExTZO2596CBZKPI7YNA1QQNPAIJ" hidden="1">#REF!</definedName>
    <definedName name="BExTZXHXSSXCZ2U1S7LR5UXZOWBQ" hidden="1">#REF!</definedName>
    <definedName name="BExTZY8TDV4U7FQL7O10G6VKWKPJ" hidden="1">#REF!</definedName>
    <definedName name="BExU02QNT4LT7H9JPUC4FXTLVGZT" hidden="1">#REF!</definedName>
    <definedName name="BExU0BFJJQO1HJZKI14QGOQ6JROO" hidden="1">#REF!</definedName>
    <definedName name="BExU0FH5WTGW8MRFUFMDDSMJ6YQ5" hidden="1">#REF!</definedName>
    <definedName name="BExU0GDOIL9U33QGU9ZU3YX3V1I4" hidden="1">#REF!</definedName>
    <definedName name="BExU0HKTO8WJDQDWRTUK5TETM3HS" hidden="1">#REF!</definedName>
    <definedName name="BExU0MTJQPE041ZN7H8UKGV6MZT7" hidden="1">#REF!</definedName>
    <definedName name="BExU0XB6XCXI4SZ92YEUFMW4TAXF" hidden="1">#REF!</definedName>
    <definedName name="BExU0ZUUFYHLUK4M4E8GLGIBBNT0" hidden="1">#REF!</definedName>
    <definedName name="BExU147D6RPG6ZVTSXRKFSVRHSBG" hidden="1">#REF!</definedName>
    <definedName name="BExU16R10W1SOAPNG4CDJ01T7JRE" hidden="1">#REF!</definedName>
    <definedName name="BExU17CKOR3GNIHDNVLH9L1IOJS9" hidden="1">#REF!</definedName>
    <definedName name="BExU1GXUTLRPJN4MRINLAPHSZQFG" hidden="1">#REF!</definedName>
    <definedName name="BExU1IL9AOHFO85BZB6S60DK3N8H" hidden="1">#REF!</definedName>
    <definedName name="BExU1NOPS09CLFZL1O31RAF9BQNQ" hidden="1">#REF!</definedName>
    <definedName name="BExU1PH9MOEX1JZVZ3D5M9DXB191" hidden="1">#REF!</definedName>
    <definedName name="BExU1QZEEKJA35IMEOLOJ3ODX0ZA" hidden="1">#REF!</definedName>
    <definedName name="BExU1VRURIWWVJ95O40WA23LMTJD" hidden="1">#REF!</definedName>
    <definedName name="BExU2M5CK6XK55UIHDVYRXJJJRI4" hidden="1">#REF!</definedName>
    <definedName name="BExU2TXVT25ZTOFQAF6CM53Z1RLF" hidden="1">#REF!</definedName>
    <definedName name="BExU2XZLYIU19G7358W5T9E87AFR" hidden="1">#REF!</definedName>
    <definedName name="BExU3B66MCKJFSKT3HL8B5EJGVX0" hidden="1">#REF!</definedName>
    <definedName name="BExU3CIT6TRML5KUFMRTGIIPSYY3" hidden="1">#REF!</definedName>
    <definedName name="BExU3UNI9NR1RNZR07NSLSZMDOQQ" hidden="1">#REF!</definedName>
    <definedName name="BExU3ZWG0WEWQOH1QULJ9ZMJ0QD5" hidden="1">#REF!</definedName>
    <definedName name="BExU401R18N6XKZKL7CNFOZQCM14" hidden="1">#REF!</definedName>
    <definedName name="BExU42QVGY7TK39W1BIN6CDRG2OE" hidden="1">#REF!</definedName>
    <definedName name="BExU44P2AEX6PD8VC4ISCROUCQSP" hidden="1">#REF!</definedName>
    <definedName name="BExU47OZMS6TCWMEHHF0UCSFLLPI" hidden="1">#REF!</definedName>
    <definedName name="BExU4D36E8TXN0M8KSNGEAFYP4DQ" hidden="1">#REF!</definedName>
    <definedName name="BExU4G31RRVLJ3AC6E1FNEFMXM3O" hidden="1">#REF!</definedName>
    <definedName name="BExU4GDVLPUEWBA4MRYRTQAUNO7B" hidden="1">#REF!</definedName>
    <definedName name="BExU4I148DA7PRCCISLWQ6ABXFK6" hidden="1">#REF!</definedName>
    <definedName name="BExU4L101H2KQHVKCKQ4PBAWZV6K" hidden="1">#REF!</definedName>
    <definedName name="BExU4NA00RRRBGRT6TOB0MXZRCRZ" hidden="1">#REF!</definedName>
    <definedName name="BExU51IFNZXPBDES28457LR8X60M" hidden="1">#REF!</definedName>
    <definedName name="BExU529I6YHVOG83TJHWSILIQU1S" hidden="1">#REF!</definedName>
    <definedName name="BExU57YCIKPRD8QWL6EU0YR3NG3J" hidden="1">#REF!</definedName>
    <definedName name="BExU5906X2EFOC2LL3INGB99DW2J" hidden="1">#REF!</definedName>
    <definedName name="BExU5DSTBWXLN6E59B757KRWRI6E" hidden="1">#REF!</definedName>
    <definedName name="BExU5TDWM8NNDHYPQ7OQODTQ368A" hidden="1">#REF!</definedName>
    <definedName name="BExU5X4OX1V1XHS6WSSORVQPP6Z3" hidden="1">#REF!</definedName>
    <definedName name="BExU5XVPARTFMRYHNUTBKDIL4UJN" hidden="1">#REF!</definedName>
    <definedName name="BExU66KMFBAP8JCVG9VM1RD1TNFF" hidden="1">#REF!</definedName>
    <definedName name="BExU68IOM3CB3TACNAE9565TW7SH" hidden="1">#REF!</definedName>
    <definedName name="BExU6AM82KN21E82HMWVP3LWP9IL" hidden="1">#REF!</definedName>
    <definedName name="BExU6CV7HDWYOB5SF69CI1P3VNMV" hidden="1">#REF!</definedName>
    <definedName name="BExU6FEU1MRHU98R9YOJC5OKUJ6L" hidden="1">#REF!</definedName>
    <definedName name="BExU6KIAJ663Y8W8QMU4HCF183DF" hidden="1">#REF!</definedName>
    <definedName name="BExU6KT19B4PG6SHXFBGBPLM66KT" hidden="1">#REF!</definedName>
    <definedName name="BExU6PAVKIOAIMQ9XQIHHF1SUAGO" hidden="1">#REF!</definedName>
    <definedName name="BExU6WXXC7SSQDMHSLUN5C2V4IYX" hidden="1">#REF!</definedName>
    <definedName name="BExU73387E74XE8A9UKZLZNJYY65" hidden="1">#REF!</definedName>
    <definedName name="BExU76ZHCJM8I7VSICCMSTC33O6U" hidden="1">#REF!</definedName>
    <definedName name="BExU7BBTUF8BQ42DSGM94X5TG5GF" hidden="1">#REF!</definedName>
    <definedName name="BExU7HH4EAHFQHT4AXKGWAWZP3I0" hidden="1">#REF!</definedName>
    <definedName name="BExU7MF1ZVPDHOSMCAXOSYICHZ4I" hidden="1">#REF!</definedName>
    <definedName name="BExU7O2BJ6D5YCKEL6FD2EFCWYRX" hidden="1">#REF!</definedName>
    <definedName name="BExU7Q0JS9YIUKUPNSSAIDK2KJAV" hidden="1">#REF!</definedName>
    <definedName name="BExU80I6AE5OU7P7F5V7HWIZBJ4P" hidden="1">#REF!</definedName>
    <definedName name="BExU86NB26MCPYIISZ36HADONGT2" hidden="1">#REF!</definedName>
    <definedName name="BExU885EZZNSZV3GP298UJ8LB7OL" hidden="1">#REF!</definedName>
    <definedName name="BExU8FSAUP9TUZ1NO9WXK80QPHWV" hidden="1">#REF!</definedName>
    <definedName name="BExU8KFLAN778MBN93NYZB0FV30G" hidden="1">#REF!</definedName>
    <definedName name="BExU8UX9JX3XLB47YZ8GFXE0V7R2" hidden="1">#REF!</definedName>
    <definedName name="BExU91DC3DGKPZD6LTER2IRTF89C" hidden="1">#REF!</definedName>
    <definedName name="BExU96M1J7P9DZQ3S9H0C12KGYTW" hidden="1">#REF!</definedName>
    <definedName name="BExU9F05OR1GZ3057R6UL3WPEIYI" hidden="1">#REF!</definedName>
    <definedName name="BExU9GCSO5YILIKG6VAHN13DL75K" hidden="1">#REF!</definedName>
    <definedName name="BExU9KJOZLO15N11MJVN782NFGJ0" hidden="1">#REF!</definedName>
    <definedName name="BExU9LG29XU2K1GNKRO4438JYQZE" hidden="1">#REF!</definedName>
    <definedName name="BExU9RW36I5Z6JIXUIUB3PJH86LT" hidden="1">#REF!</definedName>
    <definedName name="BExUA28AO7OWDG3H23Q0CL4B7BHW" hidden="1">#REF!</definedName>
    <definedName name="BExUA5O923FFNEBY8BPO1TU3QGBM" hidden="1">#REF!</definedName>
    <definedName name="BExUA6Q4K25VH452AQ3ZIRBCMS61" hidden="1">#REF!</definedName>
    <definedName name="BExUAFV4JMBSM2SKBQL9NHL0NIBS" hidden="1">#REF!</definedName>
    <definedName name="BExUAMWQODKBXMRH1QCMJLJBF8M7" hidden="1">#REF!</definedName>
    <definedName name="BExUAX8WS5OPVLCDXRGKTU2QMTFO" hidden="1">#REF!</definedName>
    <definedName name="BExUB8HLEXSBVPZ5AXNQEK96F1N4" hidden="1">#REF!</definedName>
    <definedName name="BExUBCDVZIEA7YT0LPSMHL5ZSERQ" hidden="1">#REF!</definedName>
    <definedName name="BExUBKXBUCN760QYU7Q8GESBWOQH" hidden="1">#REF!</definedName>
    <definedName name="BExUBL83ED0P076RN9RJ8P1MZ299" hidden="1">#REF!</definedName>
    <definedName name="BExUC623BDYEODBN0N4DO6PJQ7NU" hidden="1">#REF!</definedName>
    <definedName name="BExUC8WH8TCKBB5313JGYYQ1WFLT" hidden="1">#REF!</definedName>
    <definedName name="BExUCFCDK6SPH86I6STXX8X3WMC4" hidden="1">#REF!</definedName>
    <definedName name="BExUCLC6AQ5KR6LXSAXV4QQ8ASVG" hidden="1">#REF!</definedName>
    <definedName name="BExUD4IOJ12X3PJG5WXNNGDRCKAP" hidden="1">#REF!</definedName>
    <definedName name="BExUD9WX9BWK72UWVSLYZJLAY5VY" hidden="1">#REF!</definedName>
    <definedName name="BExUDBEUJH9IACZDBL1VAUWPG0QW" hidden="1">#REF!</definedName>
    <definedName name="BExUDEV0CYVO7Y5IQQBEJ6FUY9S6" hidden="1">#REF!</definedName>
    <definedName name="BExUDWOXQGIZW0EAIIYLQUPXF8YV" hidden="1">#REF!</definedName>
    <definedName name="BExUDXAIC17W1FUU8Z10XUAVB7CS" hidden="1">#REF!</definedName>
    <definedName name="BExUE5OMY7OAJQ9WR8C8HG311ORP" hidden="1">#REF!</definedName>
    <definedName name="BExUEFKOQWXXGRNLAOJV2BJ66UB8" hidden="1">#REF!</definedName>
    <definedName name="BExUEJGX3OQQP5KFRJSRCZ70EI9V" hidden="1">#REF!</definedName>
    <definedName name="BExUEYR71COFS2X8PDNU21IPMQEU" hidden="1">#REF!</definedName>
    <definedName name="BExVPRLJ9I6RX45EDVFSQGCPJSOK" hidden="1">#REF!</definedName>
    <definedName name="BExVRNMS04LBKKFHWTZJVCNXWBQK" hidden="1">#REF!</definedName>
    <definedName name="BExVSL787C8E4HFQZ2NVLT35I2XV" hidden="1">#REF!</definedName>
    <definedName name="BExVSTFTVV14SFGHQUOJL5SQ5TX9" hidden="1">#REF!</definedName>
    <definedName name="BExVT3MPE8LQ5JFN3HQIFKSQ80U4" hidden="1">#REF!</definedName>
    <definedName name="BExVT7TRK3NZHPME2TFBXOF1WBR9" hidden="1">#REF!</definedName>
    <definedName name="BExVT9H0R0T7WGQAAC0HABMG54YM" hidden="1">#REF!</definedName>
    <definedName name="BExVTCMDDEDGLUIMUU6BSFHEWTOP" hidden="1">#REF!</definedName>
    <definedName name="BExVTCMDQMLKRA2NQR72XU6Y54IK" hidden="1">#REF!</definedName>
    <definedName name="BExVTCRV8FQ5U9OYWWL44N6KFNHU" hidden="1">#REF!</definedName>
    <definedName name="BExVTNESHPVG0A0KZ7BRX26MS0PF" hidden="1">#REF!</definedName>
    <definedName name="BExVTTJVTNRSBHBTUZ78WG2JM5MK" hidden="1">#REF!</definedName>
    <definedName name="BExVTXLMYR87BC04D1ERALPUFVPG" hidden="1">#REF!</definedName>
    <definedName name="BExVUL9V3H8ZF6Y72LQBBN639YAA" hidden="1">#REF!</definedName>
    <definedName name="BExVV5T14N2HZIK7HQ4P2KG09U0J" hidden="1">#REF!</definedName>
    <definedName name="BExVV7R410VYLADLX9LNG63ID6H1" hidden="1">#REF!</definedName>
    <definedName name="BExVV93Q3SJRRBETYXNAGBL2GATC" hidden="1">#REF!</definedName>
    <definedName name="BExVVCEED4JEKF59OV0G3T4XFMFO" hidden="1">#REF!</definedName>
    <definedName name="BExVVPFO2J7FMSRPD36909HN4BZJ" hidden="1">#REF!</definedName>
    <definedName name="BExVVQ19AQ3VCARJOC38SF7OYE9Y" hidden="1">#REF!</definedName>
    <definedName name="BExVVQ19TAECID45CS4HXT1RD3AQ" hidden="1">#REF!</definedName>
    <definedName name="BExVW3YV5XGIVJ97UUPDJGJ2P15B" hidden="1">#REF!</definedName>
    <definedName name="BExVW5X571GEYR5SCU1Z2DHKWM79" hidden="1">#REF!</definedName>
    <definedName name="BExVW6YTKA098AF57M4PHNQ54XMH" hidden="1">#REF!</definedName>
    <definedName name="BExVWINKCH0V0NUWH363SMXAZE62" hidden="1">#REF!</definedName>
    <definedName name="BExVWYU8EK669NP172GEIGCTVPPA" hidden="1">#REF!</definedName>
    <definedName name="BExVX3MVJ0GHWPP1EL59ZQNKMX0B" hidden="1">#REF!</definedName>
    <definedName name="BExVX3XN2DRJKL8EDBIG58RYQ36R" hidden="1">#REF!</definedName>
    <definedName name="BExVXDZ63PUART77BBR5SI63TPC6" hidden="1">#REF!</definedName>
    <definedName name="BExVXHKI6LFYMGWISMPACMO247HL" hidden="1">#REF!</definedName>
    <definedName name="BExVXLX2BZ5EF2X6R41BTKRJR1NM" hidden="1">#REF!</definedName>
    <definedName name="BExVY11V7U1SAY4QKYE0PBSPD7LW" hidden="1">#REF!</definedName>
    <definedName name="BExVY1SV37DL5YU59HS4IG3VBCP4" hidden="1">#REF!</definedName>
    <definedName name="BExVY3WFGJKSQA08UF9NCMST928Y" hidden="1">#REF!</definedName>
    <definedName name="BExVY954UOEVQEIC5OFO4NEWVKAQ" hidden="1">#REF!</definedName>
    <definedName name="BExVYHDYIV5397LC02V4FEP8VD6W" hidden="1">#REF!</definedName>
    <definedName name="BExVYOVIZDA18YIQ0A30Q052PCAK" hidden="1">#REF!</definedName>
    <definedName name="BExVYQIXPEM6J4JVP78BRHIC05PV" hidden="1">#REF!</definedName>
    <definedName name="BExVYVGWN7SONLVDH9WJ2F1JS264" hidden="1">#REF!</definedName>
    <definedName name="BExVZ9EO732IK6MNMG17Y1EFTJQC" hidden="1">#REF!</definedName>
    <definedName name="BExVZB1Y5J4UL2LKK0363EU7GIJ1" hidden="1">#REF!</definedName>
    <definedName name="BExVZJQVO5LQ0BJH5JEN5NOBIAF6" hidden="1">#REF!</definedName>
    <definedName name="BExVZNXWS91RD7NXV5NE2R3C8WW7" hidden="1">#REF!</definedName>
    <definedName name="BExW0386REQRCQCVT9BCX80UPTRY" hidden="1">#REF!</definedName>
    <definedName name="BExW04FCJW9DJP3XTXXKGYM4EF7F" hidden="1">#REF!</definedName>
    <definedName name="BExW0FYP4WXY71CYUG40SUBG9UWU" hidden="1">#REF!</definedName>
    <definedName name="BExW0RI61B4VV0ARXTFVBAWRA1C5" hidden="1">#REF!</definedName>
    <definedName name="BExW1BVUYQTKMOR56MW7RVRX4L1L" hidden="1">#REF!</definedName>
    <definedName name="BExW1F1220628FOMTW5UAATHRJHK" hidden="1">#REF!</definedName>
    <definedName name="BExW1TKA0Z9OP2DTG50GZR5EG8C7" hidden="1">#REF!</definedName>
    <definedName name="BExW1U0JLKQ094DW5MMOI8UHO09V" hidden="1">#REF!</definedName>
    <definedName name="BExW1XGJO9MSSBTBT1DNO5PPS0YD" hidden="1">#REF!</definedName>
    <definedName name="BExW283NP9D366XFPXLGSCI5UB0L" hidden="1">#REF!</definedName>
    <definedName name="BExW2H3C8WJSBW5FGTFKVDVJC4CL" hidden="1">#REF!</definedName>
    <definedName name="BExW2MSCKPGF5K3I7TL4KF5ISUOL" hidden="1">#REF!</definedName>
    <definedName name="BExW2SMO90FU9W8DVVES6Q4E6BZR" hidden="1">#REF!</definedName>
    <definedName name="BExW33KL5LGHVRY2G920JLJZ3VCL" hidden="1">#REF!</definedName>
    <definedName name="BExW36V9N91OHCUMGWJQL3I5P4JK" hidden="1">#REF!</definedName>
    <definedName name="BExW3EIBA1J9Q9NA9VCGZGRS8WV7" hidden="1">#REF!</definedName>
    <definedName name="BExW3FEO8FI8N6AGQKYEG4SQVJWB" hidden="1">#REF!</definedName>
    <definedName name="BExW3GB28STOMJUSZEIA7YKYNS4Y" hidden="1">#REF!</definedName>
    <definedName name="BExW3T1K638HT5E0Y8MMK108P5JT" hidden="1">#REF!</definedName>
    <definedName name="BExW4217ZHL9VO39POSTJOD090WU" hidden="1">#REF!</definedName>
    <definedName name="BExW4GPW71EBF8XPS2QGVQHBCDX3" hidden="1">#REF!</definedName>
    <definedName name="BExW4JKC5837JBPCOJV337ZVYYY3" hidden="1">#REF!</definedName>
    <definedName name="BExW4L2ETSP95HOOD8F39U9N2B81" hidden="1">#REF!</definedName>
    <definedName name="BExW4QR9FV9MP5K610THBSM51RYO" hidden="1">#REF!</definedName>
    <definedName name="BExW4Z029R9E19ZENN3WEA3VDAD1" hidden="1">#REF!</definedName>
    <definedName name="BExW5AZNT6IAZGNF2C879ODHY1B8" hidden="1">#REF!</definedName>
    <definedName name="BExW5WPU27WD4NWZOT0ZEJIDLX5J" hidden="1">#REF!</definedName>
    <definedName name="BExW660AV1TUV2XNUPD65RZR3QOO" hidden="1">#REF!</definedName>
    <definedName name="BExW66LVVZK656PQY1257QMHP2AY" hidden="1">#REF!</definedName>
    <definedName name="BExW6EJPHAP1TWT380AZLXNHR22P" hidden="1">#REF!</definedName>
    <definedName name="BExW6G1PJ38H10DVLL8WPQ736OEB" hidden="1">#REF!</definedName>
    <definedName name="BExW794A74Z5F2K8LVQLD6VSKXUE" hidden="1">#REF!</definedName>
    <definedName name="BExW8K0SSIPSKBVP06IJ71600HJZ" hidden="1">#REF!</definedName>
    <definedName name="BExW8NM8DJJESE7GF7VGTO2XO6P1" hidden="1">#REF!</definedName>
    <definedName name="BExW8SPO6RAEYW59858YZY0FOURO" hidden="1">#REF!</definedName>
    <definedName name="BExW8T0GVY3ZYO4ACSBLHS8SH895" hidden="1">#REF!</definedName>
    <definedName name="BExW8YEP73JMMU9HZ08PM4WHJQZ4" hidden="1">#REF!</definedName>
    <definedName name="BExW937AT53OZQRHNWQZ5BVH24IE" hidden="1">#REF!</definedName>
    <definedName name="BExW95LN5N0LYFFVP7GJEGDVDLF0" hidden="1">#REF!</definedName>
    <definedName name="BExW967733Q8RAJOHR2GJ3HO8JIW" hidden="1">#REF!</definedName>
    <definedName name="BExW9POK1KIOI0ALS5MZIKTDIYMA" hidden="1">#REF!</definedName>
    <definedName name="BExW9TVLB7OIHTG98I7I4EXBL61S" hidden="1">#REF!</definedName>
    <definedName name="BExXLDE6PN4ESWT3LXJNQCY94NE4" hidden="1">#REF!</definedName>
    <definedName name="BExXLQVPK2H3IF0NDDA5CT612EUK" hidden="1">#REF!</definedName>
    <definedName name="BExXLR6IO70TYTACKQH9M5PGV24J" hidden="1">#REF!</definedName>
    <definedName name="BExXM065WOLYRYHGHOJE0OOFXA4M" hidden="1">#REF!</definedName>
    <definedName name="BExXM3GUNXVDM82KUR17NNUMQCNI" hidden="1">#REF!</definedName>
    <definedName name="BExXMA28M8SH7MKIGETSDA72WUIZ" hidden="1">#REF!</definedName>
    <definedName name="BExXMOLHIAHDLFSA31PUB36SC3I9" hidden="1">#REF!</definedName>
    <definedName name="BExXMT8T5Z3M2JBQN65X2LKH0YQI" hidden="1">#REF!</definedName>
    <definedName name="BExXN1XNO7H60M9X1E7EVWFJDM5N" hidden="1">#REF!</definedName>
    <definedName name="BExXN22ZOTIW49GPLWFYKVM90FNZ" hidden="1">#REF!</definedName>
    <definedName name="BExXN4C031W9DK73MJHKL8YT1QA8" hidden="1">#REF!</definedName>
    <definedName name="BExXN6QAP8UJQVN4R4BQKPP4QK35" hidden="1">#REF!</definedName>
    <definedName name="BExXNBOA39T2X6Y5Y5GZ5DDNA1AX" hidden="1">#REF!</definedName>
    <definedName name="BExXND6872VJ3M2PGT056WQMWBHD" hidden="1">#REF!</definedName>
    <definedName name="BExXNPM24UN2PGVL9D1TUBFRIKR4" hidden="1">#REF!</definedName>
    <definedName name="BExXNWYB165VO9MHARCL5WLCHWS0" hidden="1">#REF!</definedName>
    <definedName name="BExXO278QHQN8JDK5425EJ615ECC" hidden="1">#REF!</definedName>
    <definedName name="BExXO5HWIR8S8LOZPDSU0P65WXU3" hidden="1">#REF!</definedName>
    <definedName name="BExXOBHOP0WGFHI2Y9AO4L440UVQ" hidden="1">#REF!</definedName>
    <definedName name="BExXOHSAD2NSHOLLMZ2JWA4I3I1R" hidden="1">#REF!</definedName>
    <definedName name="BExXOROCZ7Y92E6BR1W6ZMLKCF7Y" hidden="1">#REF!</definedName>
    <definedName name="BExXP80B5FGA00JCM7UXKPI3PB7Y" hidden="1">#REF!</definedName>
    <definedName name="BExXP85M4WXYVN1UVHUTOEKEG5XS" hidden="1">#REF!</definedName>
    <definedName name="BExXPELOTHOAG0OWILLAH94OZV5J" hidden="1">#REF!</definedName>
    <definedName name="BExXPS31W1VD2NMIE4E37LHVDF0L" hidden="1">#REF!</definedName>
    <definedName name="BExXPZKYEMVF5JOC14HYOOYQK6JK" hidden="1">#REF!</definedName>
    <definedName name="BExXQ89PA10X79WBWOEP1AJX1OQM" hidden="1">#REF!</definedName>
    <definedName name="BExXQCGQGGYSI0LTRVR73MUO50AW" hidden="1">#REF!</definedName>
    <definedName name="BExXQEEXFHDQ8DSRAJSB5ET6J004" hidden="1">#REF!</definedName>
    <definedName name="BExXQH41O5HZAH8BO6HCFY8YC3TU" hidden="1">#REF!</definedName>
    <definedName name="BExXQIRBLQSLAJTFL7224FCFUTKH" hidden="1">#REF!</definedName>
    <definedName name="BExXQJIEF5R3QQ6D8HO3NGPU0IQC" hidden="1">#REF!</definedName>
    <definedName name="BExXQU00K9ER4I1WM7T9J0W1E7ZC" hidden="1">#REF!</definedName>
    <definedName name="BExXQU00KOR7XLM8B13DGJ1MIQDY" hidden="1">#REF!</definedName>
    <definedName name="BExXQXG18PS8HGBOS03OSTQ0KEYC" hidden="1">#REF!</definedName>
    <definedName name="BExXQXQT4OAFQT5B0YB3USDJOJOB" hidden="1">#REF!</definedName>
    <definedName name="BExXR3FSEXAHSXEQNJORWFCPX86N" hidden="1">#REF!</definedName>
    <definedName name="BExXR3W3FKYQBLR299HO9RZ70C43" hidden="1">#REF!</definedName>
    <definedName name="BExXR46U23CRRBV6IZT982MAEQKI" hidden="1">#REF!</definedName>
    <definedName name="BExXR8OKAVX7O70V5IYG2PRKXSTI" hidden="1">#REF!</definedName>
    <definedName name="BExXRA6N6XCLQM6XDV724ZIH6G93" hidden="1">#REF!</definedName>
    <definedName name="BExXRABZ1CNKCG6K1MR6OUFHF7J9" hidden="1">#REF!</definedName>
    <definedName name="BExXRBOFETC0OTJ6WY3VPMFH03VB" hidden="1">#REF!</definedName>
    <definedName name="BExXRD13K1S9Y3JGR7CXSONT7RJZ" hidden="1">#REF!</definedName>
    <definedName name="BExXRIFB4QQ87QIGA9AG0NXP577K" hidden="1">#REF!</definedName>
    <definedName name="BExXRIQ2JF2CVTRDQX2D9SPH7FTN" hidden="1">#REF!</definedName>
    <definedName name="BExXRO4A6VUH1F4XV8N1BRJ4896W" hidden="1">#REF!</definedName>
    <definedName name="BExXRO9N1SNJZGKD90P4K7FU1J0P" hidden="1">#REF!</definedName>
    <definedName name="BExXRV5QP3Z0KAQ1EQT9JYT2FV0L" hidden="1">#REF!</definedName>
    <definedName name="BExXRZ20LZZCW8LVGDK0XETOTSAI" hidden="1">#REF!</definedName>
    <definedName name="BExXRZNM651EJ5HJPGKGTVYLAZQ1" hidden="1">#REF!</definedName>
    <definedName name="BExXS63O4OMWMNXXAODZQFSDG33N" hidden="1">#REF!</definedName>
    <definedName name="BExXSBSP1TOY051HSPEPM0AEIO2M" hidden="1">#REF!</definedName>
    <definedName name="BExXSC8RFK5D68FJD2HI4K66SA6I" hidden="1">#REF!</definedName>
    <definedName name="BExXSNHC88W4UMXEOIOOATJAIKZO" hidden="1">#REF!</definedName>
    <definedName name="BExXSTBS08WIA9TLALV3UQ2Z3MRG" hidden="1">#REF!</definedName>
    <definedName name="BExXSVQ2WOJJ73YEO8Q2FK60V4G8" hidden="1">#REF!</definedName>
    <definedName name="BExXTHLRNL82GN7KZY3TOLO508N7" hidden="1">#REF!</definedName>
    <definedName name="BExXTL72MKEQSQH9L2OTFLU8DM2B" hidden="1">#REF!</definedName>
    <definedName name="BExXTM3M4RTCRSX7VGAXGQNPP668" hidden="1">#REF!</definedName>
    <definedName name="BExXTOCF78J7WY6FOVBRY1N2RBBR" hidden="1">#REF!</definedName>
    <definedName name="BExXTP3GYO6Z9RTKKT10XA0UTV3T" hidden="1">#REF!</definedName>
    <definedName name="BExXTZKZ4CG92ZQLIRKEXXH9BFIR" hidden="1">#REF!</definedName>
    <definedName name="BExXU18EGD05LI4JLOPCWT7IVFWP" hidden="1">#REF!</definedName>
    <definedName name="BExXU4J2BM2964GD5UZHM752Q4NS" hidden="1">#REF!</definedName>
    <definedName name="BExXU6XDTT7RM93KILIDEYPA9XKF" hidden="1">#REF!</definedName>
    <definedName name="BExXU8VLZA7WLPZ3RAQZGNERUD26" hidden="1">#REF!</definedName>
    <definedName name="BExXUB9RSLSCNN5ETLXY72DAPZZM" hidden="1">#REF!</definedName>
    <definedName name="BExXUFRM82XQIN2T8KGLDQL1IBQW" hidden="1">#REF!</definedName>
    <definedName name="BExXUQEQBF6FI240ZGIF9YXZSRAU" hidden="1">#REF!</definedName>
    <definedName name="BExXUYND6EJO7CJ5KRICV4O1JNWK" hidden="1">#REF!</definedName>
    <definedName name="BExXV6FWG4H3S2QEUJZYIXILNGJ7" hidden="1">#REF!</definedName>
    <definedName name="BExXVK87BMMO6LHKV0CFDNIQVIBS" hidden="1">#REF!</definedName>
    <definedName name="BExXVKZ9WXPGL6IVY6T61IDD771I" hidden="1">#REF!</definedName>
    <definedName name="BExXW0K72T1Y8K1I4VZT87UY9S2G" hidden="1">#REF!</definedName>
    <definedName name="BExXW27MMXHXUXX78SDTBE1JYTHT" hidden="1">#REF!</definedName>
    <definedName name="BExXW2YIM2MYBSHRIX0RP9D4PRMN" hidden="1">#REF!</definedName>
    <definedName name="BExXW33YX7I8UBQNNUR9LH4HAFZP" hidden="1">#REF!</definedName>
    <definedName name="BExXW8I0MMESFPKIT2MYOSKNFEWP" hidden="1">#REF!</definedName>
    <definedName name="BExXWBNE4KTFSXKVSRF6WX039WPB" hidden="1">#REF!</definedName>
    <definedName name="BExXWFP5AYE7EHYTJWBZSQ8PQ0YX" hidden="1">#REF!</definedName>
    <definedName name="BExXWQSDKW5ZT4UR8GSV0RY5Y9DD" hidden="1">#REF!</definedName>
    <definedName name="BExXWVFIBQT8OY1O41FRFPFGXQHK" hidden="1">#REF!</definedName>
    <definedName name="BExXWWXHBZHA9J3N8K47F84X0M0L" hidden="1">#REF!</definedName>
    <definedName name="BExXXBM521DL8R4ZX7NZ3DBCUOR5" hidden="1">#REF!</definedName>
    <definedName name="BExXXC7OZI33XZ03NRMEP7VRLQK4" hidden="1">#REF!</definedName>
    <definedName name="BExXXH5N3NKBQ7BCJPJTBF8CYM2Q" hidden="1">#REF!</definedName>
    <definedName name="BExXXKWLM4D541BH6O8GOJMHFHMW" hidden="1">#REF!</definedName>
    <definedName name="BExXXPPA1Q87XPI97X0OXCPBPDON" hidden="1">#REF!</definedName>
    <definedName name="BExXXVUDA98IZTQ6MANKU4MTTDVR" hidden="1">#REF!</definedName>
    <definedName name="BExXXZQNZY6IZI45DJXJK0MQZWA7" hidden="1">#REF!</definedName>
    <definedName name="BExXY5QFG6QP94SFT3935OBM8Y4K" hidden="1">#REF!</definedName>
    <definedName name="BExXY7TYEBFXRYUYIFHTN65RJ8EW" hidden="1">#REF!</definedName>
    <definedName name="BExXYLBHANUXC5FCTDDTGOVD3GQS" hidden="1">#REF!</definedName>
    <definedName name="BExXYMNYAYH3WA2ZCFAYKZID9ZCI" hidden="1">#REF!</definedName>
    <definedName name="BExXYYT12SVN2VDMLVNV4P3ISD8T" hidden="1">#REF!</definedName>
    <definedName name="BExXZEDWUYH25UZMW2QU2RXFILJE" hidden="1">#REF!</definedName>
    <definedName name="BExXZFVV4YB42AZ3H1I40YG3JAPU" hidden="1">#REF!</definedName>
    <definedName name="BExXZHJ9T2JELF12CHHGD54J1B0C" hidden="1">#REF!</definedName>
    <definedName name="BExXZNJ2X1TK2LRK5ZY3MX49H5T7" hidden="1">#REF!</definedName>
    <definedName name="BExXZOVPCEP495TQSON6PSRQ8XCY" hidden="1">#REF!</definedName>
    <definedName name="BExXZXKH7NBARQQAZM69Z57IH1MM" hidden="1">#REF!</definedName>
    <definedName name="BExY07WSDH5QEVM7BJXJK2ZRAI1O" hidden="1">#REF!</definedName>
    <definedName name="BExY0C3UBVC4M59JIRXVQ8OWAJC1" hidden="1">#REF!</definedName>
    <definedName name="BExY0OE8GFHMLLTEAFIOQTOPEVPB" hidden="1">#REF!</definedName>
    <definedName name="BExY0OJHW85S0VKBA8T4HTYPYBOS" hidden="1">#REF!</definedName>
    <definedName name="BExY0T1E034D7XAXNC6F7540LLIE" hidden="1">#REF!</definedName>
    <definedName name="BExY0XTZLHN49J2JH94BYTKBJLT3" hidden="1">#REF!</definedName>
    <definedName name="BExY11FH9TXHERUYGG8FE50U7H7J" hidden="1">#REF!</definedName>
    <definedName name="BExY180UKNW5NIAWD6ZUYTFEH8QS" hidden="1">#REF!</definedName>
    <definedName name="BExY1DPTV4LSY9MEOUGXF8X052NA" hidden="1">#REF!</definedName>
    <definedName name="BExY1GK9ELBEKDD7O6HR6DUO8YGO" hidden="1">#REF!</definedName>
    <definedName name="BExY1NWOXXFV9GGZ3PX444LZ8TVX" hidden="1">#REF!</definedName>
    <definedName name="BExY1UCL0RND63LLSM9X5SFRG117" hidden="1">#REF!</definedName>
    <definedName name="BExY1WAT3937L08HLHIRQHMP2A3H" hidden="1">#REF!</definedName>
    <definedName name="BExY1YEBOSLMID7LURP8QB46AI91" hidden="1">#REF!</definedName>
    <definedName name="BExY2FS4LFX9OHOTQT7SJ2PXAC25" hidden="1">#REF!</definedName>
    <definedName name="BExY2GDPCZPVU0IQ6IJIB1YQQRQ6" hidden="1">#REF!</definedName>
    <definedName name="BExY2GTSZ3VA9TXLY7KW1LIAKJ61" hidden="1">#REF!</definedName>
    <definedName name="BExY2IXBR1SGYZH08T7QHKEFS8HA" hidden="1">#REF!</definedName>
    <definedName name="BExY2Q4B5FUDA5VU4VRUHX327QN0" hidden="1">#REF!</definedName>
    <definedName name="BExY3HOSK7YI364K15OX70AVR6F1" hidden="1">#REF!</definedName>
    <definedName name="BExY3T89AUR83SOAZZ3OMDEJDQ39" hidden="1">#REF!</definedName>
    <definedName name="BExY4MG771JQ84EMIVB6HQGGHZY7" hidden="1">#REF!</definedName>
    <definedName name="BExY4PWCSFB8P3J3TBQB2MD67263" hidden="1">#REF!</definedName>
    <definedName name="BExY4RZW3KK11JLYBA4DWZ92M6LQ" hidden="1">#REF!</definedName>
    <definedName name="BExY4XOVTTNVZ577RLIEC7NZQFIX" hidden="1">#REF!</definedName>
    <definedName name="BExY50JAF5CG01GTHAUS7I4ZLUDC" hidden="1">#REF!</definedName>
    <definedName name="BExY53J7EXFEOFTRNAHLK7IH3ACB" hidden="1">#REF!</definedName>
    <definedName name="BExY5515SJTJS3VM80M3YYR0WF37" hidden="1">#REF!</definedName>
    <definedName name="BExY5515WE39FQ3EG5QHG67V9C0O" hidden="1">#REF!</definedName>
    <definedName name="BExY5986WNAD8NFCPXC9TVLBU4FG" hidden="1">#REF!</definedName>
    <definedName name="BExY5DF9MS25IFNWGJ1YAS5MDN8R" hidden="1">#REF!</definedName>
    <definedName name="BExY5ERVGL3UM2MGT8LJ0XPKTZEK" hidden="1">#REF!</definedName>
    <definedName name="BExY5EX6NJFK8W754ZVZDN5DS04K" hidden="1">#REF!</definedName>
    <definedName name="BExY5S3XD1NJT109CV54IFOHVLQ6" hidden="1">#REF!</definedName>
    <definedName name="BExY5TB2VAI3GHKCPXMCVIOM8B8W" hidden="1">#REF!</definedName>
    <definedName name="BExY6KVS1MMZ2R34PGEFR2BMTU9W" hidden="1">#REF!</definedName>
    <definedName name="BExY6Q9YY7LW745GP7CYOGGSPHGE" hidden="1">#REF!</definedName>
    <definedName name="BExZIA3C8LKJTEH3MKQ57KJH5TA2" hidden="1">#REF!</definedName>
    <definedName name="BExZIIHH3QNQE3GFMHEE4UMHY6WQ" hidden="1">#REF!</definedName>
    <definedName name="BExZIYO22G5UXOB42GDLYGVRJ6U7" hidden="1">#REF!</definedName>
    <definedName name="BExZJ7I9T8XU4MZRKJ1VVU76V2LZ" hidden="1">#REF!</definedName>
    <definedName name="BExZJMY170JCUU1RWASNZ1HJPRTA" hidden="1">#REF!</definedName>
    <definedName name="BExZJOQR77H0P4SUKVYACDCFBBXO" hidden="1">#REF!</definedName>
    <definedName name="BExZJS6RG34ODDY9HMZ0O34MEMSB" hidden="1">#REF!</definedName>
    <definedName name="BExZK34NR4BAD7HJAP7SQ926UQP3" hidden="1">#REF!</definedName>
    <definedName name="BExZK3FGPHH5H771U7D5XY7XBS6E" hidden="1">#REF!</definedName>
    <definedName name="BExZK7RUIIMRTV84HHMO9480D642" hidden="1">#REF!</definedName>
    <definedName name="BExZKHYORG3O8C772XPFHM1N8T80" hidden="1">#REF!</definedName>
    <definedName name="BExZKJRF2IRR57DG9CLC7MSHWNNN" hidden="1">#REF!</definedName>
    <definedName name="BExZKV5GYXO0X760SBD9TWTIQHGI" hidden="1">#REF!</definedName>
    <definedName name="BExZL6E4YVXRUN7ZGF2BIGIXFR8K" hidden="1">#REF!</definedName>
    <definedName name="BExZLGVLMKTPFXG42QYT0PO81G7F" hidden="1">#REF!</definedName>
    <definedName name="BExZLKMK7LRK14S09WLMH7MXSQXM" hidden="1">#REF!</definedName>
    <definedName name="BExZM7JVLG0W8EG5RBU915U3SKBY" hidden="1">#REF!</definedName>
    <definedName name="BExZM85FOVUFF110XMQ9O2ODSJUK" hidden="1">#REF!</definedName>
    <definedName name="BExZMF1MMTZ1TA14PZ8ASSU2CBSP" hidden="1">#REF!</definedName>
    <definedName name="BExZMKL5YQZD7F0FUCSVFGLPFK52" hidden="1">#REF!</definedName>
    <definedName name="BExZMOC3VNZALJM71X2T6FV91GTB" hidden="1">#REF!</definedName>
    <definedName name="BExZMXH39OB0I43XEL3K11U3G9PM" hidden="1">#REF!</definedName>
    <definedName name="BExZMZQ3RBKDHT5GLFNLS52OSJA0" hidden="1">#REF!</definedName>
    <definedName name="BExZN2F7Y2J2L2LN5WZRG949MS4A" hidden="1">#REF!</definedName>
    <definedName name="BExZN59MANAYGTY7X2AY1KNVPO0G" hidden="1">#REF!</definedName>
    <definedName name="BExZN847WUWKRYTZWG9TCQZJS3OL" hidden="1">#REF!</definedName>
    <definedName name="BExZNH3VISFF4NQI11BZDP5IQ7VG" hidden="1">#REF!</definedName>
    <definedName name="BExZNJYCFYVMAOI62GB2BABK1ELE" hidden="1">#REF!</definedName>
    <definedName name="BExZNV707LIU6Z5H6QI6H67LHTI1" hidden="1">#REF!</definedName>
    <definedName name="BExZNVCBKB930QQ9QW7KSGOZ0V1M" hidden="1">#REF!</definedName>
    <definedName name="BExZNW8QJ18X0RSGFDWAE9ZSDX39" hidden="1">#REF!</definedName>
    <definedName name="BExZNZDWRS6Q40L8OCWFEIVI0A1O" hidden="1">#REF!</definedName>
    <definedName name="BExZOBO9NYLGVJQ31LVQ9XS2ZT4N" hidden="1">#REF!</definedName>
    <definedName name="BExZOBOAO0PSV1JH0Q8H8LFCVNH9" hidden="1">#REF!</definedName>
    <definedName name="BExZOETNB1CJ3Y2RKLI1ZK0S8Z6H" hidden="1">#REF!</definedName>
    <definedName name="BExZOL9K1RUXBTLZ6FJ65BIE9G5R" hidden="1">#REF!</definedName>
    <definedName name="BExZOREMVSK4E5VSWM838KHUB8AI" hidden="1">#REF!</definedName>
    <definedName name="BExZOVR745T5P1KS9NV2PXZPZVRG" hidden="1">#REF!</definedName>
    <definedName name="BExZOZSWGLSY2XYVRIS6VSNJDSGD" hidden="1">#REF!</definedName>
    <definedName name="BExZP7AIJKLM6C6CSUIIFAHFBNX2" hidden="1">#REF!</definedName>
    <definedName name="BExZPQ0XY507N8FJMVPKCTK8HC9H" hidden="1">#REF!</definedName>
    <definedName name="BExZQ37OVBR25U32CO2YYVPZOMR5" hidden="1">#REF!</definedName>
    <definedName name="BExZQ3IHNAFF2HI20IH754T349LH" hidden="1">#REF!</definedName>
    <definedName name="BExZQ3NT7H06VO0AR48WHZULZB93" hidden="1">#REF!</definedName>
    <definedName name="BExZQ7PJU07SEJMDX18U9YVDC2GU" hidden="1">#REF!</definedName>
    <definedName name="BExZQIHTGHK7OOI2Y2PN3JYBY82I" hidden="1">#REF!</definedName>
    <definedName name="BExZQJJMGU5MHQOILGXGJPAQI5XI" hidden="1">#REF!</definedName>
    <definedName name="BExZQT4X667L4LR7BMPQAFS147OI" hidden="1">#REF!</definedName>
    <definedName name="BExZQXBYEBN28QUH1KOVW6KKA5UM" hidden="1">#REF!</definedName>
    <definedName name="BExZQZKT146WEN8FTVZ7Y5TSB8L5" hidden="1">#REF!</definedName>
    <definedName name="BExZR485AKBH93YZ08CMUC3WROED" hidden="1">#REF!</definedName>
    <definedName name="BExZR7TL98P2PPUVGIZYR5873DWW" hidden="1">#REF!</definedName>
    <definedName name="BExZRGD1603X5ACFALUUDKCD7X48" hidden="1">#REF!</definedName>
    <definedName name="BExZRP1X6UVLN1UOLHH5VF4STP1O" hidden="1">#REF!</definedName>
    <definedName name="BExZRQ930U6OCYNV00CH5I0Q4LPE" hidden="1">#REF!</definedName>
    <definedName name="BExZRW8W514W8OZ72YBONYJ64GXF" hidden="1">#REF!</definedName>
    <definedName name="BExZRWJP2BUVFJPO8U8ATQEP0LZU" hidden="1">#REF!</definedName>
    <definedName name="BExZS2OY9JTSSP01ZQ6V2T2LO5R9" hidden="1">#REF!</definedName>
    <definedName name="BExZS76SFN05U0LGEPNPS4V1IMOM" hidden="1">#REF!</definedName>
    <definedName name="BExZSI9USDLZAN8LI8M4YYQL24GZ" hidden="1">#REF!</definedName>
    <definedName name="BExZSS0LA2JY4ZLJ1Z5YCMLJJZCH" hidden="1">#REF!</definedName>
    <definedName name="BExZTAQV2QVSZY5Y3VCCWUBSBW9P" hidden="1">#REF!</definedName>
    <definedName name="BExZTHSI2FX56PWRSNX9H5EWTZFO" hidden="1">#REF!</definedName>
    <definedName name="BExZTJL3HVBFY139H6CJHEQCT1EL" hidden="1">#REF!</definedName>
    <definedName name="BExZTLOL8OPABZI453E0KVNA1GJS" hidden="1">#REF!</definedName>
    <definedName name="BExZTT6J3X0TOX0ZY6YPLUVMCW9X" hidden="1">#REF!</definedName>
    <definedName name="BExZTW6ECBRA0BBITWBQ8R93RMCL" hidden="1">#REF!</definedName>
    <definedName name="BExZU2BHYAOKSCBM3C5014ZF6IXS" hidden="1">#REF!</definedName>
    <definedName name="BExZU2RMJTXOCS0ROPMYPE6WTD87" hidden="1">#REF!</definedName>
    <definedName name="BExZUF7G8FENTJKH9R1XUWXM6CWD" hidden="1">#REF!</definedName>
    <definedName name="BExZUNARUJBIZ08VCAV3GEVBIR3D" hidden="1">#REF!</definedName>
    <definedName name="BExZUSZT5496UMBP4LFSLTR1GVEW" hidden="1">#REF!</definedName>
    <definedName name="BExZUT54340I38GVCV79EL116WR0" hidden="1">#REF!</definedName>
    <definedName name="BExZUV3ACAZABSMZYGVC7ZNEVMZM" hidden="1">#REF!</definedName>
    <definedName name="BExZUYDULCX65H9OZ9JHPBNKF3MI" hidden="1">#REF!</definedName>
    <definedName name="BExZV2QD5ZDK3AGDRULLA7JB46C3" hidden="1">#REF!</definedName>
    <definedName name="BExZVBQ29OM0V8XAL3HL0JIM0MMU" hidden="1">#REF!</definedName>
    <definedName name="BExZVEPYS6HYXG8RN9GMWZTHDEMK" hidden="1">#REF!</definedName>
    <definedName name="BExZVLM4T9ORS4ZWHME46U4Q103C" hidden="1">#REF!</definedName>
    <definedName name="BExZVM7OZWPPRH5YQW50EYMMIW1A" hidden="1">#REF!</definedName>
    <definedName name="BExZVPYGX2C5OSHMZ6F0KBKZ6B1S" hidden="1">#REF!</definedName>
    <definedName name="BExZW5UARC8W9AQNLJX2I5WQWS5F" hidden="1">#REF!</definedName>
    <definedName name="BExZW7HRGN6A9YS41KI2B2UUMJ7X" hidden="1">#REF!</definedName>
    <definedName name="BExZW8ZPNV43UXGOT98FDNIBQHZY" hidden="1">#REF!</definedName>
    <definedName name="BExZWKZ5N3RDXU8MZ8HQVYYD8O0F" hidden="1">#REF!</definedName>
    <definedName name="BExZWSMC9T48W74GFGQCIUJ8ZPP3" hidden="1">#REF!</definedName>
    <definedName name="BExZWTO72LGNUTF5DW85MQKXFW11" hidden="1">#REF!</definedName>
    <definedName name="BExZWUF2V4HY3HI8JN9ZVPRWK1H3" hidden="1">#REF!</definedName>
    <definedName name="BExZWX45URTK9KYDJHEXL1OTZ833" hidden="1">#REF!</definedName>
    <definedName name="BExZX0EWQEZO86WDAD9A4EAEZ012" hidden="1">#REF!</definedName>
    <definedName name="BExZX2T6ZT2DZLYSDJJBPVIT5OK2" hidden="1">#REF!</definedName>
    <definedName name="BExZXOJDELULNLEH7WG0OYJT0NJ4" hidden="1">#REF!</definedName>
    <definedName name="BExZXOOTRNUK8LGEAZ8ZCFW9KXQ1" hidden="1">#REF!</definedName>
    <definedName name="BExZXT6JOXNKEDU23DKL8XZAJZIH" hidden="1">#REF!</definedName>
    <definedName name="BExZXUTYW1HWEEZ1LIX4OQWC7HL1" hidden="1">#REF!</definedName>
    <definedName name="BExZXY4NKQL9QD76YMQJ15U1C2G8" hidden="1">#REF!</definedName>
    <definedName name="BExZXYQ7U5G08FQGUIGYT14QCBOF" hidden="1">#REF!</definedName>
    <definedName name="BExZY02V77YJBMODJSWZOYCMPS5X" hidden="1">#REF!</definedName>
    <definedName name="BExZY49QRZIR6CA41LFA9LM6EULU" hidden="1">#REF!</definedName>
    <definedName name="BExZZ2FQA9A8C7CJKMEFQ9VPSLCE" hidden="1">#REF!</definedName>
    <definedName name="BExZZCHAVHW8C2H649KRGVQ0WVRT" hidden="1">#REF!</definedName>
    <definedName name="BExZZTK54OTLF2YB68BHGOS27GEN" hidden="1">#REF!</definedName>
    <definedName name="BExZZXB3JQQG4SIZS4MRU6NNW7HI" hidden="1">#REF!</definedName>
    <definedName name="BExZZZEMIIFKMLLV4DJKX5TB9R5V" hidden="1">#REF!</definedName>
    <definedName name="BG_Del" hidden="1">15</definedName>
    <definedName name="BG_Ins" hidden="1">4</definedName>
    <definedName name="BG_Mod" hidden="1">6</definedName>
    <definedName name="BLPH4" hidden="1">#REF!</definedName>
    <definedName name="BNE_MESSAGES_HIDDEN" hidden="1">#REF!</definedName>
    <definedName name="budget" hidden="1">{#N/A,#N/A,FALSE,"COVER1.XLS ";#N/A,#N/A,FALSE,"RACT1.XLS";#N/A,#N/A,FALSE,"RACT2.XLS";#N/A,#N/A,FALSE,"ECCMP";#N/A,#N/A,FALSE,"WELDER.XLS"}</definedName>
    <definedName name="budget_1" hidden="1">{#N/A,#N/A,FALSE,"COVER1.XLS ";#N/A,#N/A,FALSE,"RACT1.XLS";#N/A,#N/A,FALSE,"RACT2.XLS";#N/A,#N/A,FALSE,"ECCMP";#N/A,#N/A,FALSE,"WELDER.XLS"}</definedName>
    <definedName name="budget_2" hidden="1">{#N/A,#N/A,FALSE,"COVER1.XLS ";#N/A,#N/A,FALSE,"RACT1.XLS";#N/A,#N/A,FALSE,"RACT2.XLS";#N/A,#N/A,FALSE,"ECCMP";#N/A,#N/A,FALSE,"WELDER.XLS"}</definedName>
    <definedName name="budget_3" hidden="1">{#N/A,#N/A,FALSE,"COVER1.XLS ";#N/A,#N/A,FALSE,"RACT1.XLS";#N/A,#N/A,FALSE,"RACT2.XLS";#N/A,#N/A,FALSE,"ECCMP";#N/A,#N/A,FALSE,"WELDER.XLS"}</definedName>
    <definedName name="budget_4" hidden="1">{#N/A,#N/A,FALSE,"COVER1.XLS ";#N/A,#N/A,FALSE,"RACT1.XLS";#N/A,#N/A,FALSE,"RACT2.XLS";#N/A,#N/A,FALSE,"ECCMP";#N/A,#N/A,FALSE,"WELDER.XLS"}</definedName>
    <definedName name="budget_5" hidden="1">{#N/A,#N/A,FALSE,"COVER1.XLS ";#N/A,#N/A,FALSE,"RACT1.XLS";#N/A,#N/A,FALSE,"RACT2.XLS";#N/A,#N/A,FALSE,"ECCMP";#N/A,#N/A,FALSE,"WELDER.XLS"}</definedName>
    <definedName name="capex_budget" hidden="1">{#N/A,#N/A,FALSE,"Title";#N/A,#N/A,FALSE,"Corp b sheet";#N/A,#N/A,FALSE,"MODIFIED Pl";#N/A,#N/A,FALSE,"Balance Sheet";#N/A,#N/A,FALSE,"Profit and Loss";#N/A,#N/A,FALSE,"Supplement info";#N/A,#N/A,FALSE,"Cashflow";#N/A,#N/A,FALSE,"Asspc Co - Inv Schedule";#N/A,#N/A,FALSE,"kpi"}</definedName>
    <definedName name="capex_budget_1" hidden="1">{#N/A,#N/A,FALSE,"Title";#N/A,#N/A,FALSE,"Corp b sheet";#N/A,#N/A,FALSE,"MODIFIED Pl";#N/A,#N/A,FALSE,"Balance Sheet";#N/A,#N/A,FALSE,"Profit and Loss";#N/A,#N/A,FALSE,"Supplement info";#N/A,#N/A,FALSE,"Cashflow";#N/A,#N/A,FALSE,"Asspc Co - Inv Schedule";#N/A,#N/A,FALSE,"kpi"}</definedName>
    <definedName name="capex_budget_2" hidden="1">{#N/A,#N/A,FALSE,"Title";#N/A,#N/A,FALSE,"Corp b sheet";#N/A,#N/A,FALSE,"MODIFIED Pl";#N/A,#N/A,FALSE,"Balance Sheet";#N/A,#N/A,FALSE,"Profit and Loss";#N/A,#N/A,FALSE,"Supplement info";#N/A,#N/A,FALSE,"Cashflow";#N/A,#N/A,FALSE,"Asspc Co - Inv Schedule";#N/A,#N/A,FALSE,"kpi"}</definedName>
    <definedName name="capex_budget_3" hidden="1">{#N/A,#N/A,FALSE,"Title";#N/A,#N/A,FALSE,"Corp b sheet";#N/A,#N/A,FALSE,"MODIFIED Pl";#N/A,#N/A,FALSE,"Balance Sheet";#N/A,#N/A,FALSE,"Profit and Loss";#N/A,#N/A,FALSE,"Supplement info";#N/A,#N/A,FALSE,"Cashflow";#N/A,#N/A,FALSE,"Asspc Co - Inv Schedule";#N/A,#N/A,FALSE,"kpi"}</definedName>
    <definedName name="capex_budget_4" hidden="1">{#N/A,#N/A,FALSE,"Title";#N/A,#N/A,FALSE,"Corp b sheet";#N/A,#N/A,FALSE,"MODIFIED Pl";#N/A,#N/A,FALSE,"Balance Sheet";#N/A,#N/A,FALSE,"Profit and Loss";#N/A,#N/A,FALSE,"Supplement info";#N/A,#N/A,FALSE,"Cashflow";#N/A,#N/A,FALSE,"Asspc Co - Inv Schedule";#N/A,#N/A,FALSE,"kpi"}</definedName>
    <definedName name="capex_budget_5" hidden="1">{#N/A,#N/A,FALSE,"Title";#N/A,#N/A,FALSE,"Corp b sheet";#N/A,#N/A,FALSE,"MODIFIED Pl";#N/A,#N/A,FALSE,"Balance Sheet";#N/A,#N/A,FALSE,"Profit and Loss";#N/A,#N/A,FALSE,"Supplement info";#N/A,#N/A,FALSE,"Cashflow";#N/A,#N/A,FALSE,"Asspc Co - Inv Schedule";#N/A,#N/A,FALSE,"kpi"}</definedName>
    <definedName name="capex_budget1" hidden="1">{#N/A,#N/A,FALSE,"Title";#N/A,#N/A,FALSE,"Corp b sheet";#N/A,#N/A,FALSE,"MODIFIED Pl";#N/A,#N/A,FALSE,"Balance Sheet";#N/A,#N/A,FALSE,"Profit and Loss";#N/A,#N/A,FALSE,"Supplement info";#N/A,#N/A,FALSE,"Cashflow";#N/A,#N/A,FALSE,"Asspc Co - Inv Schedule";#N/A,#N/A,FALSE,"kpi"}</definedName>
    <definedName name="capex_budget1_1" hidden="1">{#N/A,#N/A,FALSE,"Title";#N/A,#N/A,FALSE,"Corp b sheet";#N/A,#N/A,FALSE,"MODIFIED Pl";#N/A,#N/A,FALSE,"Balance Sheet";#N/A,#N/A,FALSE,"Profit and Loss";#N/A,#N/A,FALSE,"Supplement info";#N/A,#N/A,FALSE,"Cashflow";#N/A,#N/A,FALSE,"Asspc Co - Inv Schedule";#N/A,#N/A,FALSE,"kpi"}</definedName>
    <definedName name="capex_budget1_2" hidden="1">{#N/A,#N/A,FALSE,"Title";#N/A,#N/A,FALSE,"Corp b sheet";#N/A,#N/A,FALSE,"MODIFIED Pl";#N/A,#N/A,FALSE,"Balance Sheet";#N/A,#N/A,FALSE,"Profit and Loss";#N/A,#N/A,FALSE,"Supplement info";#N/A,#N/A,FALSE,"Cashflow";#N/A,#N/A,FALSE,"Asspc Co - Inv Schedule";#N/A,#N/A,FALSE,"kpi"}</definedName>
    <definedName name="capex_budget1_3" hidden="1">{#N/A,#N/A,FALSE,"Title";#N/A,#N/A,FALSE,"Corp b sheet";#N/A,#N/A,FALSE,"MODIFIED Pl";#N/A,#N/A,FALSE,"Balance Sheet";#N/A,#N/A,FALSE,"Profit and Loss";#N/A,#N/A,FALSE,"Supplement info";#N/A,#N/A,FALSE,"Cashflow";#N/A,#N/A,FALSE,"Asspc Co - Inv Schedule";#N/A,#N/A,FALSE,"kpi"}</definedName>
    <definedName name="capex_budget1_4" hidden="1">{#N/A,#N/A,FALSE,"Title";#N/A,#N/A,FALSE,"Corp b sheet";#N/A,#N/A,FALSE,"MODIFIED Pl";#N/A,#N/A,FALSE,"Balance Sheet";#N/A,#N/A,FALSE,"Profit and Loss";#N/A,#N/A,FALSE,"Supplement info";#N/A,#N/A,FALSE,"Cashflow";#N/A,#N/A,FALSE,"Asspc Co - Inv Schedule";#N/A,#N/A,FALSE,"kpi"}</definedName>
    <definedName name="capex_budget1_5" hidden="1">{#N/A,#N/A,FALSE,"Title";#N/A,#N/A,FALSE,"Corp b sheet";#N/A,#N/A,FALSE,"MODIFIED Pl";#N/A,#N/A,FALSE,"Balance Sheet";#N/A,#N/A,FALSE,"Profit and Loss";#N/A,#N/A,FALSE,"Supplement info";#N/A,#N/A,FALSE,"Cashflow";#N/A,#N/A,FALSE,"Asspc Co - Inv Schedule";#N/A,#N/A,FALSE,"kpi"}</definedName>
    <definedName name="CASF" hidden="1">[6]COMPLEXALL!#REF!</definedName>
    <definedName name="CashflowRO_Codes" hidden="1">#REF!</definedName>
    <definedName name="CashflowRO_Details" hidden="1">#REF!</definedName>
    <definedName name="cbu" hidden="1">{#N/A,#N/A,FALSE,"COVER.XLS";#N/A,#N/A,FALSE,"RACT1.XLS";#N/A,#N/A,FALSE,"RACT2.XLS";#N/A,#N/A,FALSE,"ECCMP";#N/A,#N/A,FALSE,"WELDER.XLS"}</definedName>
    <definedName name="cbu_1" hidden="1">{#N/A,#N/A,FALSE,"COVER.XLS";#N/A,#N/A,FALSE,"RACT1.XLS";#N/A,#N/A,FALSE,"RACT2.XLS";#N/A,#N/A,FALSE,"ECCMP";#N/A,#N/A,FALSE,"WELDER.XLS"}</definedName>
    <definedName name="cbu_1_1" hidden="1">{#N/A,#N/A,FALSE,"COVER.XLS";#N/A,#N/A,FALSE,"RACT1.XLS";#N/A,#N/A,FALSE,"RACT2.XLS";#N/A,#N/A,FALSE,"ECCMP";#N/A,#N/A,FALSE,"WELDER.XLS"}</definedName>
    <definedName name="cbu_1_2" hidden="1">{#N/A,#N/A,FALSE,"COVER.XLS";#N/A,#N/A,FALSE,"RACT1.XLS";#N/A,#N/A,FALSE,"RACT2.XLS";#N/A,#N/A,FALSE,"ECCMP";#N/A,#N/A,FALSE,"WELDER.XLS"}</definedName>
    <definedName name="cbu_1_3" hidden="1">{#N/A,#N/A,FALSE,"COVER.XLS";#N/A,#N/A,FALSE,"RACT1.XLS";#N/A,#N/A,FALSE,"RACT2.XLS";#N/A,#N/A,FALSE,"ECCMP";#N/A,#N/A,FALSE,"WELDER.XLS"}</definedName>
    <definedName name="cbu_1_4" hidden="1">{#N/A,#N/A,FALSE,"COVER.XLS";#N/A,#N/A,FALSE,"RACT1.XLS";#N/A,#N/A,FALSE,"RACT2.XLS";#N/A,#N/A,FALSE,"ECCMP";#N/A,#N/A,FALSE,"WELDER.XLS"}</definedName>
    <definedName name="cbu_1_5" hidden="1">{#N/A,#N/A,FALSE,"COVER.XLS";#N/A,#N/A,FALSE,"RACT1.XLS";#N/A,#N/A,FALSE,"RACT2.XLS";#N/A,#N/A,FALSE,"ECCMP";#N/A,#N/A,FALSE,"WELDER.XLS"}</definedName>
    <definedName name="cbu_2" hidden="1">{#N/A,#N/A,FALSE,"COVER.XLS";#N/A,#N/A,FALSE,"RACT1.XLS";#N/A,#N/A,FALSE,"RACT2.XLS";#N/A,#N/A,FALSE,"ECCMP";#N/A,#N/A,FALSE,"WELDER.XLS"}</definedName>
    <definedName name="cbu_2_1" hidden="1">{#N/A,#N/A,FALSE,"COVER.XLS";#N/A,#N/A,FALSE,"RACT1.XLS";#N/A,#N/A,FALSE,"RACT2.XLS";#N/A,#N/A,FALSE,"ECCMP";#N/A,#N/A,FALSE,"WELDER.XLS"}</definedName>
    <definedName name="cbu_2_2" hidden="1">{#N/A,#N/A,FALSE,"COVER.XLS";#N/A,#N/A,FALSE,"RACT1.XLS";#N/A,#N/A,FALSE,"RACT2.XLS";#N/A,#N/A,FALSE,"ECCMP";#N/A,#N/A,FALSE,"WELDER.XLS"}</definedName>
    <definedName name="cbu_2_3" hidden="1">{#N/A,#N/A,FALSE,"COVER.XLS";#N/A,#N/A,FALSE,"RACT1.XLS";#N/A,#N/A,FALSE,"RACT2.XLS";#N/A,#N/A,FALSE,"ECCMP";#N/A,#N/A,FALSE,"WELDER.XLS"}</definedName>
    <definedName name="cbu_2_4" hidden="1">{#N/A,#N/A,FALSE,"COVER.XLS";#N/A,#N/A,FALSE,"RACT1.XLS";#N/A,#N/A,FALSE,"RACT2.XLS";#N/A,#N/A,FALSE,"ECCMP";#N/A,#N/A,FALSE,"WELDER.XLS"}</definedName>
    <definedName name="cbu_2_5" hidden="1">{#N/A,#N/A,FALSE,"COVER.XLS";#N/A,#N/A,FALSE,"RACT1.XLS";#N/A,#N/A,FALSE,"RACT2.XLS";#N/A,#N/A,FALSE,"ECCMP";#N/A,#N/A,FALSE,"WELDER.XLS"}</definedName>
    <definedName name="cbu_3" hidden="1">{#N/A,#N/A,FALSE,"COVER.XLS";#N/A,#N/A,FALSE,"RACT1.XLS";#N/A,#N/A,FALSE,"RACT2.XLS";#N/A,#N/A,FALSE,"ECCMP";#N/A,#N/A,FALSE,"WELDER.XLS"}</definedName>
    <definedName name="cbu_4" hidden="1">{#N/A,#N/A,FALSE,"COVER.XLS";#N/A,#N/A,FALSE,"RACT1.XLS";#N/A,#N/A,FALSE,"RACT2.XLS";#N/A,#N/A,FALSE,"ECCMP";#N/A,#N/A,FALSE,"WELDER.XLS"}</definedName>
    <definedName name="cbu_5" hidden="1">{#N/A,#N/A,FALSE,"COVER.XLS";#N/A,#N/A,FALSE,"RACT1.XLS";#N/A,#N/A,FALSE,"RACT2.XLS";#N/A,#N/A,FALSE,"ECCMP";#N/A,#N/A,FALSE,"WELDER.XLS"}</definedName>
    <definedName name="cc"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c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c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c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c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c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d" hidden="1">{#N/A,#N/A,FALSE,"consu_cover";#N/A,#N/A,FALSE,"consu_strategy";#N/A,#N/A,FALSE,"consu_flow";#N/A,#N/A,FALSE,"Summary_reqmt";#N/A,#N/A,FALSE,"field_ppg";#N/A,#N/A,FALSE,"ppg_shop";#N/A,#N/A,FALSE,"strl";#N/A,#N/A,FALSE,"tankages";#N/A,#N/A,FALSE,"gases"}</definedName>
    <definedName name="cd_1" hidden="1">{#N/A,#N/A,FALSE,"consu_cover";#N/A,#N/A,FALSE,"consu_strategy";#N/A,#N/A,FALSE,"consu_flow";#N/A,#N/A,FALSE,"Summary_reqmt";#N/A,#N/A,FALSE,"field_ppg";#N/A,#N/A,FALSE,"ppg_shop";#N/A,#N/A,FALSE,"strl";#N/A,#N/A,FALSE,"tankages";#N/A,#N/A,FALSE,"gases"}</definedName>
    <definedName name="cd_1_1" hidden="1">{#N/A,#N/A,FALSE,"consu_cover";#N/A,#N/A,FALSE,"consu_strategy";#N/A,#N/A,FALSE,"consu_flow";#N/A,#N/A,FALSE,"Summary_reqmt";#N/A,#N/A,FALSE,"field_ppg";#N/A,#N/A,FALSE,"ppg_shop";#N/A,#N/A,FALSE,"strl";#N/A,#N/A,FALSE,"tankages";#N/A,#N/A,FALSE,"gases"}</definedName>
    <definedName name="cd_1_2" hidden="1">{#N/A,#N/A,FALSE,"consu_cover";#N/A,#N/A,FALSE,"consu_strategy";#N/A,#N/A,FALSE,"consu_flow";#N/A,#N/A,FALSE,"Summary_reqmt";#N/A,#N/A,FALSE,"field_ppg";#N/A,#N/A,FALSE,"ppg_shop";#N/A,#N/A,FALSE,"strl";#N/A,#N/A,FALSE,"tankages";#N/A,#N/A,FALSE,"gases"}</definedName>
    <definedName name="cd_1_3" hidden="1">{#N/A,#N/A,FALSE,"consu_cover";#N/A,#N/A,FALSE,"consu_strategy";#N/A,#N/A,FALSE,"consu_flow";#N/A,#N/A,FALSE,"Summary_reqmt";#N/A,#N/A,FALSE,"field_ppg";#N/A,#N/A,FALSE,"ppg_shop";#N/A,#N/A,FALSE,"strl";#N/A,#N/A,FALSE,"tankages";#N/A,#N/A,FALSE,"gases"}</definedName>
    <definedName name="cd_1_4" hidden="1">{#N/A,#N/A,FALSE,"consu_cover";#N/A,#N/A,FALSE,"consu_strategy";#N/A,#N/A,FALSE,"consu_flow";#N/A,#N/A,FALSE,"Summary_reqmt";#N/A,#N/A,FALSE,"field_ppg";#N/A,#N/A,FALSE,"ppg_shop";#N/A,#N/A,FALSE,"strl";#N/A,#N/A,FALSE,"tankages";#N/A,#N/A,FALSE,"gases"}</definedName>
    <definedName name="cd_1_5" hidden="1">{#N/A,#N/A,FALSE,"consu_cover";#N/A,#N/A,FALSE,"consu_strategy";#N/A,#N/A,FALSE,"consu_flow";#N/A,#N/A,FALSE,"Summary_reqmt";#N/A,#N/A,FALSE,"field_ppg";#N/A,#N/A,FALSE,"ppg_shop";#N/A,#N/A,FALSE,"strl";#N/A,#N/A,FALSE,"tankages";#N/A,#N/A,FALSE,"gases"}</definedName>
    <definedName name="cd_2" hidden="1">{#N/A,#N/A,FALSE,"consu_cover";#N/A,#N/A,FALSE,"consu_strategy";#N/A,#N/A,FALSE,"consu_flow";#N/A,#N/A,FALSE,"Summary_reqmt";#N/A,#N/A,FALSE,"field_ppg";#N/A,#N/A,FALSE,"ppg_shop";#N/A,#N/A,FALSE,"strl";#N/A,#N/A,FALSE,"tankages";#N/A,#N/A,FALSE,"gases"}</definedName>
    <definedName name="cd_2_1" hidden="1">{#N/A,#N/A,FALSE,"consu_cover";#N/A,#N/A,FALSE,"consu_strategy";#N/A,#N/A,FALSE,"consu_flow";#N/A,#N/A,FALSE,"Summary_reqmt";#N/A,#N/A,FALSE,"field_ppg";#N/A,#N/A,FALSE,"ppg_shop";#N/A,#N/A,FALSE,"strl";#N/A,#N/A,FALSE,"tankages";#N/A,#N/A,FALSE,"gases"}</definedName>
    <definedName name="cd_2_2" hidden="1">{#N/A,#N/A,FALSE,"consu_cover";#N/A,#N/A,FALSE,"consu_strategy";#N/A,#N/A,FALSE,"consu_flow";#N/A,#N/A,FALSE,"Summary_reqmt";#N/A,#N/A,FALSE,"field_ppg";#N/A,#N/A,FALSE,"ppg_shop";#N/A,#N/A,FALSE,"strl";#N/A,#N/A,FALSE,"tankages";#N/A,#N/A,FALSE,"gases"}</definedName>
    <definedName name="cd_2_3" hidden="1">{#N/A,#N/A,FALSE,"consu_cover";#N/A,#N/A,FALSE,"consu_strategy";#N/A,#N/A,FALSE,"consu_flow";#N/A,#N/A,FALSE,"Summary_reqmt";#N/A,#N/A,FALSE,"field_ppg";#N/A,#N/A,FALSE,"ppg_shop";#N/A,#N/A,FALSE,"strl";#N/A,#N/A,FALSE,"tankages";#N/A,#N/A,FALSE,"gases"}</definedName>
    <definedName name="cd_2_4" hidden="1">{#N/A,#N/A,FALSE,"consu_cover";#N/A,#N/A,FALSE,"consu_strategy";#N/A,#N/A,FALSE,"consu_flow";#N/A,#N/A,FALSE,"Summary_reqmt";#N/A,#N/A,FALSE,"field_ppg";#N/A,#N/A,FALSE,"ppg_shop";#N/A,#N/A,FALSE,"strl";#N/A,#N/A,FALSE,"tankages";#N/A,#N/A,FALSE,"gases"}</definedName>
    <definedName name="cd_2_5" hidden="1">{#N/A,#N/A,FALSE,"consu_cover";#N/A,#N/A,FALSE,"consu_strategy";#N/A,#N/A,FALSE,"consu_flow";#N/A,#N/A,FALSE,"Summary_reqmt";#N/A,#N/A,FALSE,"field_ppg";#N/A,#N/A,FALSE,"ppg_shop";#N/A,#N/A,FALSE,"strl";#N/A,#N/A,FALSE,"tankages";#N/A,#N/A,FALSE,"gases"}</definedName>
    <definedName name="cd_3" hidden="1">{#N/A,#N/A,FALSE,"consu_cover";#N/A,#N/A,FALSE,"consu_strategy";#N/A,#N/A,FALSE,"consu_flow";#N/A,#N/A,FALSE,"Summary_reqmt";#N/A,#N/A,FALSE,"field_ppg";#N/A,#N/A,FALSE,"ppg_shop";#N/A,#N/A,FALSE,"strl";#N/A,#N/A,FALSE,"tankages";#N/A,#N/A,FALSE,"gases"}</definedName>
    <definedName name="cd_4" hidden="1">{#N/A,#N/A,FALSE,"consu_cover";#N/A,#N/A,FALSE,"consu_strategy";#N/A,#N/A,FALSE,"consu_flow";#N/A,#N/A,FALSE,"Summary_reqmt";#N/A,#N/A,FALSE,"field_ppg";#N/A,#N/A,FALSE,"ppg_shop";#N/A,#N/A,FALSE,"strl";#N/A,#N/A,FALSE,"tankages";#N/A,#N/A,FALSE,"gases"}</definedName>
    <definedName name="cd_5" hidden="1">{#N/A,#N/A,FALSE,"consu_cover";#N/A,#N/A,FALSE,"consu_strategy";#N/A,#N/A,FALSE,"consu_flow";#N/A,#N/A,FALSE,"Summary_reqmt";#N/A,#N/A,FALSE,"field_ppg";#N/A,#N/A,FALSE,"ppg_shop";#N/A,#N/A,FALSE,"strl";#N/A,#N/A,FALSE,"tankages";#N/A,#N/A,FALSE,"gases"}</definedName>
    <definedName name="cdu" hidden="1">{#N/A,#N/A,FALSE,"COVER.XLS";#N/A,#N/A,FALSE,"RACT1.XLS";#N/A,#N/A,FALSE,"RACT2.XLS";#N/A,#N/A,FALSE,"ECCMP";#N/A,#N/A,FALSE,"WELDER.XLS"}</definedName>
    <definedName name="cdu_1" hidden="1">{#N/A,#N/A,FALSE,"COVER.XLS";#N/A,#N/A,FALSE,"RACT1.XLS";#N/A,#N/A,FALSE,"RACT2.XLS";#N/A,#N/A,FALSE,"ECCMP";#N/A,#N/A,FALSE,"WELDER.XLS"}</definedName>
    <definedName name="cdu_1_1" hidden="1">{#N/A,#N/A,FALSE,"COVER.XLS";#N/A,#N/A,FALSE,"RACT1.XLS";#N/A,#N/A,FALSE,"RACT2.XLS";#N/A,#N/A,FALSE,"ECCMP";#N/A,#N/A,FALSE,"WELDER.XLS"}</definedName>
    <definedName name="cdu_1_2" hidden="1">{#N/A,#N/A,FALSE,"COVER.XLS";#N/A,#N/A,FALSE,"RACT1.XLS";#N/A,#N/A,FALSE,"RACT2.XLS";#N/A,#N/A,FALSE,"ECCMP";#N/A,#N/A,FALSE,"WELDER.XLS"}</definedName>
    <definedName name="cdu_1_3" hidden="1">{#N/A,#N/A,FALSE,"COVER.XLS";#N/A,#N/A,FALSE,"RACT1.XLS";#N/A,#N/A,FALSE,"RACT2.XLS";#N/A,#N/A,FALSE,"ECCMP";#N/A,#N/A,FALSE,"WELDER.XLS"}</definedName>
    <definedName name="cdu_1_4" hidden="1">{#N/A,#N/A,FALSE,"COVER.XLS";#N/A,#N/A,FALSE,"RACT1.XLS";#N/A,#N/A,FALSE,"RACT2.XLS";#N/A,#N/A,FALSE,"ECCMP";#N/A,#N/A,FALSE,"WELDER.XLS"}</definedName>
    <definedName name="cdu_1_5" hidden="1">{#N/A,#N/A,FALSE,"COVER.XLS";#N/A,#N/A,FALSE,"RACT1.XLS";#N/A,#N/A,FALSE,"RACT2.XLS";#N/A,#N/A,FALSE,"ECCMP";#N/A,#N/A,FALSE,"WELDER.XLS"}</definedName>
    <definedName name="cdu_2" hidden="1">{#N/A,#N/A,FALSE,"COVER.XLS";#N/A,#N/A,FALSE,"RACT1.XLS";#N/A,#N/A,FALSE,"RACT2.XLS";#N/A,#N/A,FALSE,"ECCMP";#N/A,#N/A,FALSE,"WELDER.XLS"}</definedName>
    <definedName name="cdu_2_1" hidden="1">{#N/A,#N/A,FALSE,"COVER.XLS";#N/A,#N/A,FALSE,"RACT1.XLS";#N/A,#N/A,FALSE,"RACT2.XLS";#N/A,#N/A,FALSE,"ECCMP";#N/A,#N/A,FALSE,"WELDER.XLS"}</definedName>
    <definedName name="cdu_2_2" hidden="1">{#N/A,#N/A,FALSE,"COVER.XLS";#N/A,#N/A,FALSE,"RACT1.XLS";#N/A,#N/A,FALSE,"RACT2.XLS";#N/A,#N/A,FALSE,"ECCMP";#N/A,#N/A,FALSE,"WELDER.XLS"}</definedName>
    <definedName name="cdu_2_3" hidden="1">{#N/A,#N/A,FALSE,"COVER.XLS";#N/A,#N/A,FALSE,"RACT1.XLS";#N/A,#N/A,FALSE,"RACT2.XLS";#N/A,#N/A,FALSE,"ECCMP";#N/A,#N/A,FALSE,"WELDER.XLS"}</definedName>
    <definedName name="cdu_2_4" hidden="1">{#N/A,#N/A,FALSE,"COVER.XLS";#N/A,#N/A,FALSE,"RACT1.XLS";#N/A,#N/A,FALSE,"RACT2.XLS";#N/A,#N/A,FALSE,"ECCMP";#N/A,#N/A,FALSE,"WELDER.XLS"}</definedName>
    <definedName name="cdu_2_5" hidden="1">{#N/A,#N/A,FALSE,"COVER.XLS";#N/A,#N/A,FALSE,"RACT1.XLS";#N/A,#N/A,FALSE,"RACT2.XLS";#N/A,#N/A,FALSE,"ECCMP";#N/A,#N/A,FALSE,"WELDER.XLS"}</definedName>
    <definedName name="cdu_3" hidden="1">{#N/A,#N/A,FALSE,"COVER.XLS";#N/A,#N/A,FALSE,"RACT1.XLS";#N/A,#N/A,FALSE,"RACT2.XLS";#N/A,#N/A,FALSE,"ECCMP";#N/A,#N/A,FALSE,"WELDER.XLS"}</definedName>
    <definedName name="cdu_4" hidden="1">{#N/A,#N/A,FALSE,"COVER.XLS";#N/A,#N/A,FALSE,"RACT1.XLS";#N/A,#N/A,FALSE,"RACT2.XLS";#N/A,#N/A,FALSE,"ECCMP";#N/A,#N/A,FALSE,"WELDER.XLS"}</definedName>
    <definedName name="cdu_5" hidden="1">{#N/A,#N/A,FALSE,"COVER.XLS";#N/A,#N/A,FALSE,"RACT1.XLS";#N/A,#N/A,FALSE,"RACT2.XLS";#N/A,#N/A,FALSE,"ECCMP";#N/A,#N/A,FALSE,"WELDER.XLS"}</definedName>
    <definedName name="CHHANELS"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IQWBGuid" hidden="1">"b846bccc-5f00-4e50-ac74-6ab111abd827"</definedName>
    <definedName name="crador" hidden="1">{"'kpi2-1'!$E$4"}</definedName>
    <definedName name="CRI" hidden="1">{#N/A,#N/A,FALSE,"consu_cover";#N/A,#N/A,FALSE,"consu_strategy";#N/A,#N/A,FALSE,"consu_flow";#N/A,#N/A,FALSE,"Summary_reqmt";#N/A,#N/A,FALSE,"field_ppg";#N/A,#N/A,FALSE,"ppg_shop";#N/A,#N/A,FALSE,"strl";#N/A,#N/A,FALSE,"tankages";#N/A,#N/A,FALSE,"gases"}</definedName>
    <definedName name="CRI_1" hidden="1">{#N/A,#N/A,FALSE,"consu_cover";#N/A,#N/A,FALSE,"consu_strategy";#N/A,#N/A,FALSE,"consu_flow";#N/A,#N/A,FALSE,"Summary_reqmt";#N/A,#N/A,FALSE,"field_ppg";#N/A,#N/A,FALSE,"ppg_shop";#N/A,#N/A,FALSE,"strl";#N/A,#N/A,FALSE,"tankages";#N/A,#N/A,FALSE,"gases"}</definedName>
    <definedName name="CRI_2" hidden="1">{#N/A,#N/A,FALSE,"consu_cover";#N/A,#N/A,FALSE,"consu_strategy";#N/A,#N/A,FALSE,"consu_flow";#N/A,#N/A,FALSE,"Summary_reqmt";#N/A,#N/A,FALSE,"field_ppg";#N/A,#N/A,FALSE,"ppg_shop";#N/A,#N/A,FALSE,"strl";#N/A,#N/A,FALSE,"tankages";#N/A,#N/A,FALSE,"gases"}</definedName>
    <definedName name="CRI_3" hidden="1">{#N/A,#N/A,FALSE,"consu_cover";#N/A,#N/A,FALSE,"consu_strategy";#N/A,#N/A,FALSE,"consu_flow";#N/A,#N/A,FALSE,"Summary_reqmt";#N/A,#N/A,FALSE,"field_ppg";#N/A,#N/A,FALSE,"ppg_shop";#N/A,#N/A,FALSE,"strl";#N/A,#N/A,FALSE,"tankages";#N/A,#N/A,FALSE,"gases"}</definedName>
    <definedName name="CRI_4" hidden="1">{#N/A,#N/A,FALSE,"consu_cover";#N/A,#N/A,FALSE,"consu_strategy";#N/A,#N/A,FALSE,"consu_flow";#N/A,#N/A,FALSE,"Summary_reqmt";#N/A,#N/A,FALSE,"field_ppg";#N/A,#N/A,FALSE,"ppg_shop";#N/A,#N/A,FALSE,"strl";#N/A,#N/A,FALSE,"tankages";#N/A,#N/A,FALSE,"gases"}</definedName>
    <definedName name="CRI_5" hidden="1">{#N/A,#N/A,FALSE,"consu_cover";#N/A,#N/A,FALSE,"consu_strategy";#N/A,#N/A,FALSE,"consu_flow";#N/A,#N/A,FALSE,"Summary_reqmt";#N/A,#N/A,FALSE,"field_ppg";#N/A,#N/A,FALSE,"ppg_shop";#N/A,#N/A,FALSE,"strl";#N/A,#N/A,FALSE,"tankages";#N/A,#N/A,FALSE,"gases"}</definedName>
    <definedName name="CRIT" hidden="1">{#N/A,#N/A,FALSE,"consu_cover";#N/A,#N/A,FALSE,"consu_strategy";#N/A,#N/A,FALSE,"consu_flow";#N/A,#N/A,FALSE,"Summary_reqmt";#N/A,#N/A,FALSE,"field_ppg";#N/A,#N/A,FALSE,"ppg_shop";#N/A,#N/A,FALSE,"strl";#N/A,#N/A,FALSE,"tankages";#N/A,#N/A,FALSE,"gases"}</definedName>
    <definedName name="CRIT_1" hidden="1">{#N/A,#N/A,FALSE,"consu_cover";#N/A,#N/A,FALSE,"consu_strategy";#N/A,#N/A,FALSE,"consu_flow";#N/A,#N/A,FALSE,"Summary_reqmt";#N/A,#N/A,FALSE,"field_ppg";#N/A,#N/A,FALSE,"ppg_shop";#N/A,#N/A,FALSE,"strl";#N/A,#N/A,FALSE,"tankages";#N/A,#N/A,FALSE,"gases"}</definedName>
    <definedName name="CRIT_1_1" hidden="1">{#N/A,#N/A,FALSE,"consu_cover";#N/A,#N/A,FALSE,"consu_strategy";#N/A,#N/A,FALSE,"consu_flow";#N/A,#N/A,FALSE,"Summary_reqmt";#N/A,#N/A,FALSE,"field_ppg";#N/A,#N/A,FALSE,"ppg_shop";#N/A,#N/A,FALSE,"strl";#N/A,#N/A,FALSE,"tankages";#N/A,#N/A,FALSE,"gases"}</definedName>
    <definedName name="CRIT_1_2" hidden="1">{#N/A,#N/A,FALSE,"consu_cover";#N/A,#N/A,FALSE,"consu_strategy";#N/A,#N/A,FALSE,"consu_flow";#N/A,#N/A,FALSE,"Summary_reqmt";#N/A,#N/A,FALSE,"field_ppg";#N/A,#N/A,FALSE,"ppg_shop";#N/A,#N/A,FALSE,"strl";#N/A,#N/A,FALSE,"tankages";#N/A,#N/A,FALSE,"gases"}</definedName>
    <definedName name="CRIT_1_3" hidden="1">{#N/A,#N/A,FALSE,"consu_cover";#N/A,#N/A,FALSE,"consu_strategy";#N/A,#N/A,FALSE,"consu_flow";#N/A,#N/A,FALSE,"Summary_reqmt";#N/A,#N/A,FALSE,"field_ppg";#N/A,#N/A,FALSE,"ppg_shop";#N/A,#N/A,FALSE,"strl";#N/A,#N/A,FALSE,"tankages";#N/A,#N/A,FALSE,"gases"}</definedName>
    <definedName name="CRIT_1_4" hidden="1">{#N/A,#N/A,FALSE,"consu_cover";#N/A,#N/A,FALSE,"consu_strategy";#N/A,#N/A,FALSE,"consu_flow";#N/A,#N/A,FALSE,"Summary_reqmt";#N/A,#N/A,FALSE,"field_ppg";#N/A,#N/A,FALSE,"ppg_shop";#N/A,#N/A,FALSE,"strl";#N/A,#N/A,FALSE,"tankages";#N/A,#N/A,FALSE,"gases"}</definedName>
    <definedName name="CRIT_1_5" hidden="1">{#N/A,#N/A,FALSE,"consu_cover";#N/A,#N/A,FALSE,"consu_strategy";#N/A,#N/A,FALSE,"consu_flow";#N/A,#N/A,FALSE,"Summary_reqmt";#N/A,#N/A,FALSE,"field_ppg";#N/A,#N/A,FALSE,"ppg_shop";#N/A,#N/A,FALSE,"strl";#N/A,#N/A,FALSE,"tankages";#N/A,#N/A,FALSE,"gases"}</definedName>
    <definedName name="CRIT_2" hidden="1">{#N/A,#N/A,FALSE,"consu_cover";#N/A,#N/A,FALSE,"consu_strategy";#N/A,#N/A,FALSE,"consu_flow";#N/A,#N/A,FALSE,"Summary_reqmt";#N/A,#N/A,FALSE,"field_ppg";#N/A,#N/A,FALSE,"ppg_shop";#N/A,#N/A,FALSE,"strl";#N/A,#N/A,FALSE,"tankages";#N/A,#N/A,FALSE,"gases"}</definedName>
    <definedName name="CRIT_2_1" hidden="1">{#N/A,#N/A,FALSE,"consu_cover";#N/A,#N/A,FALSE,"consu_strategy";#N/A,#N/A,FALSE,"consu_flow";#N/A,#N/A,FALSE,"Summary_reqmt";#N/A,#N/A,FALSE,"field_ppg";#N/A,#N/A,FALSE,"ppg_shop";#N/A,#N/A,FALSE,"strl";#N/A,#N/A,FALSE,"tankages";#N/A,#N/A,FALSE,"gases"}</definedName>
    <definedName name="CRIT_2_2" hidden="1">{#N/A,#N/A,FALSE,"consu_cover";#N/A,#N/A,FALSE,"consu_strategy";#N/A,#N/A,FALSE,"consu_flow";#N/A,#N/A,FALSE,"Summary_reqmt";#N/A,#N/A,FALSE,"field_ppg";#N/A,#N/A,FALSE,"ppg_shop";#N/A,#N/A,FALSE,"strl";#N/A,#N/A,FALSE,"tankages";#N/A,#N/A,FALSE,"gases"}</definedName>
    <definedName name="CRIT_2_3" hidden="1">{#N/A,#N/A,FALSE,"consu_cover";#N/A,#N/A,FALSE,"consu_strategy";#N/A,#N/A,FALSE,"consu_flow";#N/A,#N/A,FALSE,"Summary_reqmt";#N/A,#N/A,FALSE,"field_ppg";#N/A,#N/A,FALSE,"ppg_shop";#N/A,#N/A,FALSE,"strl";#N/A,#N/A,FALSE,"tankages";#N/A,#N/A,FALSE,"gases"}</definedName>
    <definedName name="CRIT_2_4" hidden="1">{#N/A,#N/A,FALSE,"consu_cover";#N/A,#N/A,FALSE,"consu_strategy";#N/A,#N/A,FALSE,"consu_flow";#N/A,#N/A,FALSE,"Summary_reqmt";#N/A,#N/A,FALSE,"field_ppg";#N/A,#N/A,FALSE,"ppg_shop";#N/A,#N/A,FALSE,"strl";#N/A,#N/A,FALSE,"tankages";#N/A,#N/A,FALSE,"gases"}</definedName>
    <definedName name="CRIT_2_5" hidden="1">{#N/A,#N/A,FALSE,"consu_cover";#N/A,#N/A,FALSE,"consu_strategy";#N/A,#N/A,FALSE,"consu_flow";#N/A,#N/A,FALSE,"Summary_reqmt";#N/A,#N/A,FALSE,"field_ppg";#N/A,#N/A,FALSE,"ppg_shop";#N/A,#N/A,FALSE,"strl";#N/A,#N/A,FALSE,"tankages";#N/A,#N/A,FALSE,"gases"}</definedName>
    <definedName name="CRIT_3" hidden="1">{#N/A,#N/A,FALSE,"consu_cover";#N/A,#N/A,FALSE,"consu_strategy";#N/A,#N/A,FALSE,"consu_flow";#N/A,#N/A,FALSE,"Summary_reqmt";#N/A,#N/A,FALSE,"field_ppg";#N/A,#N/A,FALSE,"ppg_shop";#N/A,#N/A,FALSE,"strl";#N/A,#N/A,FALSE,"tankages";#N/A,#N/A,FALSE,"gases"}</definedName>
    <definedName name="CRIT_4" hidden="1">{#N/A,#N/A,FALSE,"consu_cover";#N/A,#N/A,FALSE,"consu_strategy";#N/A,#N/A,FALSE,"consu_flow";#N/A,#N/A,FALSE,"Summary_reqmt";#N/A,#N/A,FALSE,"field_ppg";#N/A,#N/A,FALSE,"ppg_shop";#N/A,#N/A,FALSE,"strl";#N/A,#N/A,FALSE,"tankages";#N/A,#N/A,FALSE,"gases"}</definedName>
    <definedName name="CRIT_5" hidden="1">{#N/A,#N/A,FALSE,"consu_cover";#N/A,#N/A,FALSE,"consu_strategy";#N/A,#N/A,FALSE,"consu_flow";#N/A,#N/A,FALSE,"Summary_reqmt";#N/A,#N/A,FALSE,"field_ppg";#N/A,#N/A,FALSE,"ppg_shop";#N/A,#N/A,FALSE,"strl";#N/A,#N/A,FALSE,"tankages";#N/A,#N/A,FALSE,"gases"}</definedName>
    <definedName name="CRITICAL" hidden="1">{#N/A,#N/A,FALSE,"consu_cover";#N/A,#N/A,FALSE,"consu_strategy";#N/A,#N/A,FALSE,"consu_flow";#N/A,#N/A,FALSE,"Summary_reqmt";#N/A,#N/A,FALSE,"field_ppg";#N/A,#N/A,FALSE,"ppg_shop";#N/A,#N/A,FALSE,"strl";#N/A,#N/A,FALSE,"tankages";#N/A,#N/A,FALSE,"gases"}</definedName>
    <definedName name="CRITICAL_1" hidden="1">{#N/A,#N/A,FALSE,"consu_cover";#N/A,#N/A,FALSE,"consu_strategy";#N/A,#N/A,FALSE,"consu_flow";#N/A,#N/A,FALSE,"Summary_reqmt";#N/A,#N/A,FALSE,"field_ppg";#N/A,#N/A,FALSE,"ppg_shop";#N/A,#N/A,FALSE,"strl";#N/A,#N/A,FALSE,"tankages";#N/A,#N/A,FALSE,"gases"}</definedName>
    <definedName name="CRITICAL_1_1" hidden="1">{#N/A,#N/A,FALSE,"consu_cover";#N/A,#N/A,FALSE,"consu_strategy";#N/A,#N/A,FALSE,"consu_flow";#N/A,#N/A,FALSE,"Summary_reqmt";#N/A,#N/A,FALSE,"field_ppg";#N/A,#N/A,FALSE,"ppg_shop";#N/A,#N/A,FALSE,"strl";#N/A,#N/A,FALSE,"tankages";#N/A,#N/A,FALSE,"gases"}</definedName>
    <definedName name="CRITICAL_1_2" hidden="1">{#N/A,#N/A,FALSE,"consu_cover";#N/A,#N/A,FALSE,"consu_strategy";#N/A,#N/A,FALSE,"consu_flow";#N/A,#N/A,FALSE,"Summary_reqmt";#N/A,#N/A,FALSE,"field_ppg";#N/A,#N/A,FALSE,"ppg_shop";#N/A,#N/A,FALSE,"strl";#N/A,#N/A,FALSE,"tankages";#N/A,#N/A,FALSE,"gases"}</definedName>
    <definedName name="CRITICAL_1_3" hidden="1">{#N/A,#N/A,FALSE,"consu_cover";#N/A,#N/A,FALSE,"consu_strategy";#N/A,#N/A,FALSE,"consu_flow";#N/A,#N/A,FALSE,"Summary_reqmt";#N/A,#N/A,FALSE,"field_ppg";#N/A,#N/A,FALSE,"ppg_shop";#N/A,#N/A,FALSE,"strl";#N/A,#N/A,FALSE,"tankages";#N/A,#N/A,FALSE,"gases"}</definedName>
    <definedName name="CRITICAL_1_4" hidden="1">{#N/A,#N/A,FALSE,"consu_cover";#N/A,#N/A,FALSE,"consu_strategy";#N/A,#N/A,FALSE,"consu_flow";#N/A,#N/A,FALSE,"Summary_reqmt";#N/A,#N/A,FALSE,"field_ppg";#N/A,#N/A,FALSE,"ppg_shop";#N/A,#N/A,FALSE,"strl";#N/A,#N/A,FALSE,"tankages";#N/A,#N/A,FALSE,"gases"}</definedName>
    <definedName name="CRITICAL_1_5" hidden="1">{#N/A,#N/A,FALSE,"consu_cover";#N/A,#N/A,FALSE,"consu_strategy";#N/A,#N/A,FALSE,"consu_flow";#N/A,#N/A,FALSE,"Summary_reqmt";#N/A,#N/A,FALSE,"field_ppg";#N/A,#N/A,FALSE,"ppg_shop";#N/A,#N/A,FALSE,"strl";#N/A,#N/A,FALSE,"tankages";#N/A,#N/A,FALSE,"gases"}</definedName>
    <definedName name="CRITICAL_2" hidden="1">{#N/A,#N/A,FALSE,"consu_cover";#N/A,#N/A,FALSE,"consu_strategy";#N/A,#N/A,FALSE,"consu_flow";#N/A,#N/A,FALSE,"Summary_reqmt";#N/A,#N/A,FALSE,"field_ppg";#N/A,#N/A,FALSE,"ppg_shop";#N/A,#N/A,FALSE,"strl";#N/A,#N/A,FALSE,"tankages";#N/A,#N/A,FALSE,"gases"}</definedName>
    <definedName name="CRITICAL_2_1" hidden="1">{#N/A,#N/A,FALSE,"consu_cover";#N/A,#N/A,FALSE,"consu_strategy";#N/A,#N/A,FALSE,"consu_flow";#N/A,#N/A,FALSE,"Summary_reqmt";#N/A,#N/A,FALSE,"field_ppg";#N/A,#N/A,FALSE,"ppg_shop";#N/A,#N/A,FALSE,"strl";#N/A,#N/A,FALSE,"tankages";#N/A,#N/A,FALSE,"gases"}</definedName>
    <definedName name="CRITICAL_2_2" hidden="1">{#N/A,#N/A,FALSE,"consu_cover";#N/A,#N/A,FALSE,"consu_strategy";#N/A,#N/A,FALSE,"consu_flow";#N/A,#N/A,FALSE,"Summary_reqmt";#N/A,#N/A,FALSE,"field_ppg";#N/A,#N/A,FALSE,"ppg_shop";#N/A,#N/A,FALSE,"strl";#N/A,#N/A,FALSE,"tankages";#N/A,#N/A,FALSE,"gases"}</definedName>
    <definedName name="CRITICAL_2_3" hidden="1">{#N/A,#N/A,FALSE,"consu_cover";#N/A,#N/A,FALSE,"consu_strategy";#N/A,#N/A,FALSE,"consu_flow";#N/A,#N/A,FALSE,"Summary_reqmt";#N/A,#N/A,FALSE,"field_ppg";#N/A,#N/A,FALSE,"ppg_shop";#N/A,#N/A,FALSE,"strl";#N/A,#N/A,FALSE,"tankages";#N/A,#N/A,FALSE,"gases"}</definedName>
    <definedName name="CRITICAL_2_4" hidden="1">{#N/A,#N/A,FALSE,"consu_cover";#N/A,#N/A,FALSE,"consu_strategy";#N/A,#N/A,FALSE,"consu_flow";#N/A,#N/A,FALSE,"Summary_reqmt";#N/A,#N/A,FALSE,"field_ppg";#N/A,#N/A,FALSE,"ppg_shop";#N/A,#N/A,FALSE,"strl";#N/A,#N/A,FALSE,"tankages";#N/A,#N/A,FALSE,"gases"}</definedName>
    <definedName name="CRITICAL_2_5" hidden="1">{#N/A,#N/A,FALSE,"consu_cover";#N/A,#N/A,FALSE,"consu_strategy";#N/A,#N/A,FALSE,"consu_flow";#N/A,#N/A,FALSE,"Summary_reqmt";#N/A,#N/A,FALSE,"field_ppg";#N/A,#N/A,FALSE,"ppg_shop";#N/A,#N/A,FALSE,"strl";#N/A,#N/A,FALSE,"tankages";#N/A,#N/A,FALSE,"gases"}</definedName>
    <definedName name="CRITICAL_3" hidden="1">{#N/A,#N/A,FALSE,"consu_cover";#N/A,#N/A,FALSE,"consu_strategy";#N/A,#N/A,FALSE,"consu_flow";#N/A,#N/A,FALSE,"Summary_reqmt";#N/A,#N/A,FALSE,"field_ppg";#N/A,#N/A,FALSE,"ppg_shop";#N/A,#N/A,FALSE,"strl";#N/A,#N/A,FALSE,"tankages";#N/A,#N/A,FALSE,"gases"}</definedName>
    <definedName name="CRITICAL_4" hidden="1">{#N/A,#N/A,FALSE,"consu_cover";#N/A,#N/A,FALSE,"consu_strategy";#N/A,#N/A,FALSE,"consu_flow";#N/A,#N/A,FALSE,"Summary_reqmt";#N/A,#N/A,FALSE,"field_ppg";#N/A,#N/A,FALSE,"ppg_shop";#N/A,#N/A,FALSE,"strl";#N/A,#N/A,FALSE,"tankages";#N/A,#N/A,FALSE,"gases"}</definedName>
    <definedName name="CRITICAL_5" hidden="1">{#N/A,#N/A,FALSE,"consu_cover";#N/A,#N/A,FALSE,"consu_strategy";#N/A,#N/A,FALSE,"consu_flow";#N/A,#N/A,FALSE,"Summary_reqmt";#N/A,#N/A,FALSE,"field_ppg";#N/A,#N/A,FALSE,"ppg_shop";#N/A,#N/A,FALSE,"strl";#N/A,#N/A,FALSE,"tankages";#N/A,#N/A,FALSE,"gases"}</definedName>
    <definedName name="criticals" hidden="1">{#N/A,#N/A,FALSE,"consu_cover";#N/A,#N/A,FALSE,"consu_strategy";#N/A,#N/A,FALSE,"consu_flow";#N/A,#N/A,FALSE,"Summary_reqmt";#N/A,#N/A,FALSE,"field_ppg";#N/A,#N/A,FALSE,"ppg_shop";#N/A,#N/A,FALSE,"strl";#N/A,#N/A,FALSE,"tankages";#N/A,#N/A,FALSE,"gases"}</definedName>
    <definedName name="criticals_1" hidden="1">{#N/A,#N/A,FALSE,"consu_cover";#N/A,#N/A,FALSE,"consu_strategy";#N/A,#N/A,FALSE,"consu_flow";#N/A,#N/A,FALSE,"Summary_reqmt";#N/A,#N/A,FALSE,"field_ppg";#N/A,#N/A,FALSE,"ppg_shop";#N/A,#N/A,FALSE,"strl";#N/A,#N/A,FALSE,"tankages";#N/A,#N/A,FALSE,"gases"}</definedName>
    <definedName name="criticals_2" hidden="1">{#N/A,#N/A,FALSE,"consu_cover";#N/A,#N/A,FALSE,"consu_strategy";#N/A,#N/A,FALSE,"consu_flow";#N/A,#N/A,FALSE,"Summary_reqmt";#N/A,#N/A,FALSE,"field_ppg";#N/A,#N/A,FALSE,"ppg_shop";#N/A,#N/A,FALSE,"strl";#N/A,#N/A,FALSE,"tankages";#N/A,#N/A,FALSE,"gases"}</definedName>
    <definedName name="criticals_3" hidden="1">{#N/A,#N/A,FALSE,"consu_cover";#N/A,#N/A,FALSE,"consu_strategy";#N/A,#N/A,FALSE,"consu_flow";#N/A,#N/A,FALSE,"Summary_reqmt";#N/A,#N/A,FALSE,"field_ppg";#N/A,#N/A,FALSE,"ppg_shop";#N/A,#N/A,FALSE,"strl";#N/A,#N/A,FALSE,"tankages";#N/A,#N/A,FALSE,"gases"}</definedName>
    <definedName name="criticals_4" hidden="1">{#N/A,#N/A,FALSE,"consu_cover";#N/A,#N/A,FALSE,"consu_strategy";#N/A,#N/A,FALSE,"consu_flow";#N/A,#N/A,FALSE,"Summary_reqmt";#N/A,#N/A,FALSE,"field_ppg";#N/A,#N/A,FALSE,"ppg_shop";#N/A,#N/A,FALSE,"strl";#N/A,#N/A,FALSE,"tankages";#N/A,#N/A,FALSE,"gases"}</definedName>
    <definedName name="criticals_5" hidden="1">{#N/A,#N/A,FALSE,"consu_cover";#N/A,#N/A,FALSE,"consu_strategy";#N/A,#N/A,FALSE,"consu_flow";#N/A,#N/A,FALSE,"Summary_reqmt";#N/A,#N/A,FALSE,"field_ppg";#N/A,#N/A,FALSE,"ppg_shop";#N/A,#N/A,FALSE,"strl";#N/A,#N/A,FALSE,"tankages";#N/A,#N/A,FALSE,"gases"}</definedName>
    <definedName name="CURVE" hidden="1">{#N/A,#N/A,FALSE,"COVER1.XLS ";#N/A,#N/A,FALSE,"RACT1.XLS";#N/A,#N/A,FALSE,"RACT2.XLS";#N/A,#N/A,FALSE,"ECCMP";#N/A,#N/A,FALSE,"WELDER.XLS"}</definedName>
    <definedName name="CURVE_1" hidden="1">{#N/A,#N/A,FALSE,"COVER1.XLS ";#N/A,#N/A,FALSE,"RACT1.XLS";#N/A,#N/A,FALSE,"RACT2.XLS";#N/A,#N/A,FALSE,"ECCMP";#N/A,#N/A,FALSE,"WELDER.XLS"}</definedName>
    <definedName name="CURVE_1_1" hidden="1">{#N/A,#N/A,FALSE,"COVER1.XLS ";#N/A,#N/A,FALSE,"RACT1.XLS";#N/A,#N/A,FALSE,"RACT2.XLS";#N/A,#N/A,FALSE,"ECCMP";#N/A,#N/A,FALSE,"WELDER.XLS"}</definedName>
    <definedName name="CURVE_1_2" hidden="1">{#N/A,#N/A,FALSE,"COVER1.XLS ";#N/A,#N/A,FALSE,"RACT1.XLS";#N/A,#N/A,FALSE,"RACT2.XLS";#N/A,#N/A,FALSE,"ECCMP";#N/A,#N/A,FALSE,"WELDER.XLS"}</definedName>
    <definedName name="CURVE_1_3" hidden="1">{#N/A,#N/A,FALSE,"COVER1.XLS ";#N/A,#N/A,FALSE,"RACT1.XLS";#N/A,#N/A,FALSE,"RACT2.XLS";#N/A,#N/A,FALSE,"ECCMP";#N/A,#N/A,FALSE,"WELDER.XLS"}</definedName>
    <definedName name="CURVE_1_4" hidden="1">{#N/A,#N/A,FALSE,"COVER1.XLS ";#N/A,#N/A,FALSE,"RACT1.XLS";#N/A,#N/A,FALSE,"RACT2.XLS";#N/A,#N/A,FALSE,"ECCMP";#N/A,#N/A,FALSE,"WELDER.XLS"}</definedName>
    <definedName name="CURVE_1_5" hidden="1">{#N/A,#N/A,FALSE,"COVER1.XLS ";#N/A,#N/A,FALSE,"RACT1.XLS";#N/A,#N/A,FALSE,"RACT2.XLS";#N/A,#N/A,FALSE,"ECCMP";#N/A,#N/A,FALSE,"WELDER.XLS"}</definedName>
    <definedName name="CURVE_2" hidden="1">{#N/A,#N/A,FALSE,"COVER1.XLS ";#N/A,#N/A,FALSE,"RACT1.XLS";#N/A,#N/A,FALSE,"RACT2.XLS";#N/A,#N/A,FALSE,"ECCMP";#N/A,#N/A,FALSE,"WELDER.XLS"}</definedName>
    <definedName name="CURVE_2_1" hidden="1">{#N/A,#N/A,FALSE,"COVER1.XLS ";#N/A,#N/A,FALSE,"RACT1.XLS";#N/A,#N/A,FALSE,"RACT2.XLS";#N/A,#N/A,FALSE,"ECCMP";#N/A,#N/A,FALSE,"WELDER.XLS"}</definedName>
    <definedName name="CURVE_2_2" hidden="1">{#N/A,#N/A,FALSE,"COVER1.XLS ";#N/A,#N/A,FALSE,"RACT1.XLS";#N/A,#N/A,FALSE,"RACT2.XLS";#N/A,#N/A,FALSE,"ECCMP";#N/A,#N/A,FALSE,"WELDER.XLS"}</definedName>
    <definedName name="CURVE_2_3" hidden="1">{#N/A,#N/A,FALSE,"COVER1.XLS ";#N/A,#N/A,FALSE,"RACT1.XLS";#N/A,#N/A,FALSE,"RACT2.XLS";#N/A,#N/A,FALSE,"ECCMP";#N/A,#N/A,FALSE,"WELDER.XLS"}</definedName>
    <definedName name="CURVE_2_4" hidden="1">{#N/A,#N/A,FALSE,"COVER1.XLS ";#N/A,#N/A,FALSE,"RACT1.XLS";#N/A,#N/A,FALSE,"RACT2.XLS";#N/A,#N/A,FALSE,"ECCMP";#N/A,#N/A,FALSE,"WELDER.XLS"}</definedName>
    <definedName name="CURVE_2_5" hidden="1">{#N/A,#N/A,FALSE,"COVER1.XLS ";#N/A,#N/A,FALSE,"RACT1.XLS";#N/A,#N/A,FALSE,"RACT2.XLS";#N/A,#N/A,FALSE,"ECCMP";#N/A,#N/A,FALSE,"WELDER.XLS"}</definedName>
    <definedName name="CURVE_3" hidden="1">{#N/A,#N/A,FALSE,"COVER1.XLS ";#N/A,#N/A,FALSE,"RACT1.XLS";#N/A,#N/A,FALSE,"RACT2.XLS";#N/A,#N/A,FALSE,"ECCMP";#N/A,#N/A,FALSE,"WELDER.XLS"}</definedName>
    <definedName name="CURVE_4" hidden="1">{#N/A,#N/A,FALSE,"COVER1.XLS ";#N/A,#N/A,FALSE,"RACT1.XLS";#N/A,#N/A,FALSE,"RACT2.XLS";#N/A,#N/A,FALSE,"ECCMP";#N/A,#N/A,FALSE,"WELDER.XLS"}</definedName>
    <definedName name="CURVE_5" hidden="1">{#N/A,#N/A,FALSE,"COVER1.XLS ";#N/A,#N/A,FALSE,"RACT1.XLS";#N/A,#N/A,FALSE,"RACT2.XLS";#N/A,#N/A,FALSE,"ECCMP";#N/A,#N/A,FALSE,"WELDER.XLS"}</definedName>
    <definedName name="Cwvu.Overhead._.Detail." hidden="1">#REF!,#REF!,#REF!,#REF!,#REF!,#REF!,#REF!,#REF!,#REF!,#REF!</definedName>
    <definedName name="Cwvu.Profit._.report._.detailed." hidden="1">#REF!,#REF!,#REF!,#REF!,#REF!,#REF!,#REF!,#REF!,#REF!</definedName>
    <definedName name="da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rk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rk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rk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rk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rk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b" hidden="1">{#N/A,#N/A,FALSE,"COVER.XLS";#N/A,#N/A,FALSE,"RACT1.XLS";#N/A,#N/A,FALSE,"RACT2.XLS";#N/A,#N/A,FALSE,"ECCMP";#N/A,#N/A,FALSE,"WELDER.XLS"}</definedName>
    <definedName name="dd"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d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d_1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d_1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d_1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d_1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d_1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d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d_2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d_2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d_2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d_2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d_2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d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d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d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dffffdfd" hidden="1">{#N/A,#N/A,FALSE,"COVER1.XLS ";#N/A,#N/A,FALSE,"RACT1.XLS";#N/A,#N/A,FALSE,"RACT2.XLS";#N/A,#N/A,FALSE,"ECCMP";#N/A,#N/A,FALSE,"WELDER.XLS"}</definedName>
    <definedName name="DefExpNewBusDetails" hidden="1">#REF!</definedName>
    <definedName name="DefExpTendDetails" hidden="1">#REF!</definedName>
    <definedName name="DF" hidden="1">#REF!</definedName>
    <definedName name="DFGH" hidden="1">#REF!</definedName>
    <definedName name="dg" hidden="1">{#N/A,#N/A,FALSE,"COVER.XLS";#N/A,#N/A,FALSE,"RACT1.XLS";#N/A,#N/A,FALSE,"RACT2.XLS";#N/A,#N/A,FALSE,"ECCMP";#N/A,#N/A,FALSE,"WELDER.XLS"}</definedName>
    <definedName name="dg_1" hidden="1">{#N/A,#N/A,FALSE,"COVER.XLS";#N/A,#N/A,FALSE,"RACT1.XLS";#N/A,#N/A,FALSE,"RACT2.XLS";#N/A,#N/A,FALSE,"ECCMP";#N/A,#N/A,FALSE,"WELDER.XLS"}</definedName>
    <definedName name="dg_1_1" hidden="1">{#N/A,#N/A,FALSE,"COVER.XLS";#N/A,#N/A,FALSE,"RACT1.XLS";#N/A,#N/A,FALSE,"RACT2.XLS";#N/A,#N/A,FALSE,"ECCMP";#N/A,#N/A,FALSE,"WELDER.XLS"}</definedName>
    <definedName name="dg_1_2" hidden="1">{#N/A,#N/A,FALSE,"COVER.XLS";#N/A,#N/A,FALSE,"RACT1.XLS";#N/A,#N/A,FALSE,"RACT2.XLS";#N/A,#N/A,FALSE,"ECCMP";#N/A,#N/A,FALSE,"WELDER.XLS"}</definedName>
    <definedName name="dg_1_3" hidden="1">{#N/A,#N/A,FALSE,"COVER.XLS";#N/A,#N/A,FALSE,"RACT1.XLS";#N/A,#N/A,FALSE,"RACT2.XLS";#N/A,#N/A,FALSE,"ECCMP";#N/A,#N/A,FALSE,"WELDER.XLS"}</definedName>
    <definedName name="dg_1_4" hidden="1">{#N/A,#N/A,FALSE,"COVER.XLS";#N/A,#N/A,FALSE,"RACT1.XLS";#N/A,#N/A,FALSE,"RACT2.XLS";#N/A,#N/A,FALSE,"ECCMP";#N/A,#N/A,FALSE,"WELDER.XLS"}</definedName>
    <definedName name="dg_1_5" hidden="1">{#N/A,#N/A,FALSE,"COVER.XLS";#N/A,#N/A,FALSE,"RACT1.XLS";#N/A,#N/A,FALSE,"RACT2.XLS";#N/A,#N/A,FALSE,"ECCMP";#N/A,#N/A,FALSE,"WELDER.XLS"}</definedName>
    <definedName name="dg_2" hidden="1">{#N/A,#N/A,FALSE,"COVER.XLS";#N/A,#N/A,FALSE,"RACT1.XLS";#N/A,#N/A,FALSE,"RACT2.XLS";#N/A,#N/A,FALSE,"ECCMP";#N/A,#N/A,FALSE,"WELDER.XLS"}</definedName>
    <definedName name="dg_2_1" hidden="1">{#N/A,#N/A,FALSE,"COVER.XLS";#N/A,#N/A,FALSE,"RACT1.XLS";#N/A,#N/A,FALSE,"RACT2.XLS";#N/A,#N/A,FALSE,"ECCMP";#N/A,#N/A,FALSE,"WELDER.XLS"}</definedName>
    <definedName name="dg_2_2" hidden="1">{#N/A,#N/A,FALSE,"COVER.XLS";#N/A,#N/A,FALSE,"RACT1.XLS";#N/A,#N/A,FALSE,"RACT2.XLS";#N/A,#N/A,FALSE,"ECCMP";#N/A,#N/A,FALSE,"WELDER.XLS"}</definedName>
    <definedName name="dg_2_3" hidden="1">{#N/A,#N/A,FALSE,"COVER.XLS";#N/A,#N/A,FALSE,"RACT1.XLS";#N/A,#N/A,FALSE,"RACT2.XLS";#N/A,#N/A,FALSE,"ECCMP";#N/A,#N/A,FALSE,"WELDER.XLS"}</definedName>
    <definedName name="dg_2_4" hidden="1">{#N/A,#N/A,FALSE,"COVER.XLS";#N/A,#N/A,FALSE,"RACT1.XLS";#N/A,#N/A,FALSE,"RACT2.XLS";#N/A,#N/A,FALSE,"ECCMP";#N/A,#N/A,FALSE,"WELDER.XLS"}</definedName>
    <definedName name="dg_2_5" hidden="1">{#N/A,#N/A,FALSE,"COVER.XLS";#N/A,#N/A,FALSE,"RACT1.XLS";#N/A,#N/A,FALSE,"RACT2.XLS";#N/A,#N/A,FALSE,"ECCMP";#N/A,#N/A,FALSE,"WELDER.XLS"}</definedName>
    <definedName name="dg_3" hidden="1">{#N/A,#N/A,FALSE,"COVER.XLS";#N/A,#N/A,FALSE,"RACT1.XLS";#N/A,#N/A,FALSE,"RACT2.XLS";#N/A,#N/A,FALSE,"ECCMP";#N/A,#N/A,FALSE,"WELDER.XLS"}</definedName>
    <definedName name="dg_4" hidden="1">{#N/A,#N/A,FALSE,"COVER.XLS";#N/A,#N/A,FALSE,"RACT1.XLS";#N/A,#N/A,FALSE,"RACT2.XLS";#N/A,#N/A,FALSE,"ECCMP";#N/A,#N/A,FALSE,"WELDER.XLS"}</definedName>
    <definedName name="dg_5" hidden="1">{#N/A,#N/A,FALSE,"COVER.XLS";#N/A,#N/A,FALSE,"RACT1.XLS";#N/A,#N/A,FALSE,"RACT2.XLS";#N/A,#N/A,FALSE,"ECCMP";#N/A,#N/A,FALSE,"WELDER.XLS"}</definedName>
    <definedName name="dgfgfd" hidden="1">{#N/A,#N/A,FALSE,"COVER.XLS";#N/A,#N/A,FALSE,"RACT1.XLS";#N/A,#N/A,FALSE,"RACT2.XLS";#N/A,#N/A,FALSE,"ECCMP";#N/A,#N/A,FALSE,"WELDER.XLS"}</definedName>
    <definedName name="dgfgfd_1" hidden="1">{#N/A,#N/A,FALSE,"COVER.XLS";#N/A,#N/A,FALSE,"RACT1.XLS";#N/A,#N/A,FALSE,"RACT2.XLS";#N/A,#N/A,FALSE,"ECCMP";#N/A,#N/A,FALSE,"WELDER.XLS"}</definedName>
    <definedName name="dgfgfd_1_1" hidden="1">{#N/A,#N/A,FALSE,"COVER.XLS";#N/A,#N/A,FALSE,"RACT1.XLS";#N/A,#N/A,FALSE,"RACT2.XLS";#N/A,#N/A,FALSE,"ECCMP";#N/A,#N/A,FALSE,"WELDER.XLS"}</definedName>
    <definedName name="dgfgfd_1_2" hidden="1">{#N/A,#N/A,FALSE,"COVER.XLS";#N/A,#N/A,FALSE,"RACT1.XLS";#N/A,#N/A,FALSE,"RACT2.XLS";#N/A,#N/A,FALSE,"ECCMP";#N/A,#N/A,FALSE,"WELDER.XLS"}</definedName>
    <definedName name="dgfgfd_1_3" hidden="1">{#N/A,#N/A,FALSE,"COVER.XLS";#N/A,#N/A,FALSE,"RACT1.XLS";#N/A,#N/A,FALSE,"RACT2.XLS";#N/A,#N/A,FALSE,"ECCMP";#N/A,#N/A,FALSE,"WELDER.XLS"}</definedName>
    <definedName name="dgfgfd_1_4" hidden="1">{#N/A,#N/A,FALSE,"COVER.XLS";#N/A,#N/A,FALSE,"RACT1.XLS";#N/A,#N/A,FALSE,"RACT2.XLS";#N/A,#N/A,FALSE,"ECCMP";#N/A,#N/A,FALSE,"WELDER.XLS"}</definedName>
    <definedName name="dgfgfd_1_5" hidden="1">{#N/A,#N/A,FALSE,"COVER.XLS";#N/A,#N/A,FALSE,"RACT1.XLS";#N/A,#N/A,FALSE,"RACT2.XLS";#N/A,#N/A,FALSE,"ECCMP";#N/A,#N/A,FALSE,"WELDER.XLS"}</definedName>
    <definedName name="dgfgfd_2" hidden="1">{#N/A,#N/A,FALSE,"COVER.XLS";#N/A,#N/A,FALSE,"RACT1.XLS";#N/A,#N/A,FALSE,"RACT2.XLS";#N/A,#N/A,FALSE,"ECCMP";#N/A,#N/A,FALSE,"WELDER.XLS"}</definedName>
    <definedName name="dgfgfd_2_1" hidden="1">{#N/A,#N/A,FALSE,"COVER.XLS";#N/A,#N/A,FALSE,"RACT1.XLS";#N/A,#N/A,FALSE,"RACT2.XLS";#N/A,#N/A,FALSE,"ECCMP";#N/A,#N/A,FALSE,"WELDER.XLS"}</definedName>
    <definedName name="dgfgfd_2_2" hidden="1">{#N/A,#N/A,FALSE,"COVER.XLS";#N/A,#N/A,FALSE,"RACT1.XLS";#N/A,#N/A,FALSE,"RACT2.XLS";#N/A,#N/A,FALSE,"ECCMP";#N/A,#N/A,FALSE,"WELDER.XLS"}</definedName>
    <definedName name="dgfgfd_2_3" hidden="1">{#N/A,#N/A,FALSE,"COVER.XLS";#N/A,#N/A,FALSE,"RACT1.XLS";#N/A,#N/A,FALSE,"RACT2.XLS";#N/A,#N/A,FALSE,"ECCMP";#N/A,#N/A,FALSE,"WELDER.XLS"}</definedName>
    <definedName name="dgfgfd_2_4" hidden="1">{#N/A,#N/A,FALSE,"COVER.XLS";#N/A,#N/A,FALSE,"RACT1.XLS";#N/A,#N/A,FALSE,"RACT2.XLS";#N/A,#N/A,FALSE,"ECCMP";#N/A,#N/A,FALSE,"WELDER.XLS"}</definedName>
    <definedName name="dgfgfd_2_5" hidden="1">{#N/A,#N/A,FALSE,"COVER.XLS";#N/A,#N/A,FALSE,"RACT1.XLS";#N/A,#N/A,FALSE,"RACT2.XLS";#N/A,#N/A,FALSE,"ECCMP";#N/A,#N/A,FALSE,"WELDER.XLS"}</definedName>
    <definedName name="dgfgfd_3" hidden="1">{#N/A,#N/A,FALSE,"COVER.XLS";#N/A,#N/A,FALSE,"RACT1.XLS";#N/A,#N/A,FALSE,"RACT2.XLS";#N/A,#N/A,FALSE,"ECCMP";#N/A,#N/A,FALSE,"WELDER.XLS"}</definedName>
    <definedName name="dgfgfd_4" hidden="1">{#N/A,#N/A,FALSE,"COVER.XLS";#N/A,#N/A,FALSE,"RACT1.XLS";#N/A,#N/A,FALSE,"RACT2.XLS";#N/A,#N/A,FALSE,"ECCMP";#N/A,#N/A,FALSE,"WELDER.XLS"}</definedName>
    <definedName name="dgfgfd_5" hidden="1">{#N/A,#N/A,FALSE,"COVER.XLS";#N/A,#N/A,FALSE,"RACT1.XLS";#N/A,#N/A,FALSE,"RACT2.XLS";#N/A,#N/A,FALSE,"ECCMP";#N/A,#N/A,FALSE,"WELDER.XLS"}</definedName>
    <definedName name="distrib" hidden="1">{#N/A,#N/A,FALSE,"Sheet10"}</definedName>
    <definedName name="dividend" hidden="1">{#N/A,#N/A,FALSE,"Sheet5";#N/A,#N/A,FALSE,"Sheet5";#N/A,#N/A,FALSE,"Sheet5"}</definedName>
    <definedName name="dkfjal" hidden="1">#REF!</definedName>
    <definedName name="DME_Dirty" hidden="1">"False"</definedName>
    <definedName name="DME_LocalFile" hidden="1">"True"</definedName>
    <definedName name="dn" hidden="1">{#N/A,#N/A,FALSE,"COVER1.XLS ";#N/A,#N/A,FALSE,"RACT1.XLS";#N/A,#N/A,FALSE,"RACT2.XLS";#N/A,#N/A,FALSE,"ECCMP";#N/A,#N/A,FALSE,"WELDER.XLS"}</definedName>
    <definedName name="dn_1" hidden="1">{#N/A,#N/A,FALSE,"COVER1.XLS ";#N/A,#N/A,FALSE,"RACT1.XLS";#N/A,#N/A,FALSE,"RACT2.XLS";#N/A,#N/A,FALSE,"ECCMP";#N/A,#N/A,FALSE,"WELDER.XLS"}</definedName>
    <definedName name="dn_1_1" hidden="1">{#N/A,#N/A,FALSE,"COVER1.XLS ";#N/A,#N/A,FALSE,"RACT1.XLS";#N/A,#N/A,FALSE,"RACT2.XLS";#N/A,#N/A,FALSE,"ECCMP";#N/A,#N/A,FALSE,"WELDER.XLS"}</definedName>
    <definedName name="dn_1_2" hidden="1">{#N/A,#N/A,FALSE,"COVER1.XLS ";#N/A,#N/A,FALSE,"RACT1.XLS";#N/A,#N/A,FALSE,"RACT2.XLS";#N/A,#N/A,FALSE,"ECCMP";#N/A,#N/A,FALSE,"WELDER.XLS"}</definedName>
    <definedName name="dn_1_3" hidden="1">{#N/A,#N/A,FALSE,"COVER1.XLS ";#N/A,#N/A,FALSE,"RACT1.XLS";#N/A,#N/A,FALSE,"RACT2.XLS";#N/A,#N/A,FALSE,"ECCMP";#N/A,#N/A,FALSE,"WELDER.XLS"}</definedName>
    <definedName name="dn_1_4" hidden="1">{#N/A,#N/A,FALSE,"COVER1.XLS ";#N/A,#N/A,FALSE,"RACT1.XLS";#N/A,#N/A,FALSE,"RACT2.XLS";#N/A,#N/A,FALSE,"ECCMP";#N/A,#N/A,FALSE,"WELDER.XLS"}</definedName>
    <definedName name="dn_1_5" hidden="1">{#N/A,#N/A,FALSE,"COVER1.XLS ";#N/A,#N/A,FALSE,"RACT1.XLS";#N/A,#N/A,FALSE,"RACT2.XLS";#N/A,#N/A,FALSE,"ECCMP";#N/A,#N/A,FALSE,"WELDER.XLS"}</definedName>
    <definedName name="dn_2" hidden="1">{#N/A,#N/A,FALSE,"COVER1.XLS ";#N/A,#N/A,FALSE,"RACT1.XLS";#N/A,#N/A,FALSE,"RACT2.XLS";#N/A,#N/A,FALSE,"ECCMP";#N/A,#N/A,FALSE,"WELDER.XLS"}</definedName>
    <definedName name="dn_2_1" hidden="1">{#N/A,#N/A,FALSE,"COVER1.XLS ";#N/A,#N/A,FALSE,"RACT1.XLS";#N/A,#N/A,FALSE,"RACT2.XLS";#N/A,#N/A,FALSE,"ECCMP";#N/A,#N/A,FALSE,"WELDER.XLS"}</definedName>
    <definedName name="dn_2_2" hidden="1">{#N/A,#N/A,FALSE,"COVER1.XLS ";#N/A,#N/A,FALSE,"RACT1.XLS";#N/A,#N/A,FALSE,"RACT2.XLS";#N/A,#N/A,FALSE,"ECCMP";#N/A,#N/A,FALSE,"WELDER.XLS"}</definedName>
    <definedName name="dn_2_3" hidden="1">{#N/A,#N/A,FALSE,"COVER1.XLS ";#N/A,#N/A,FALSE,"RACT1.XLS";#N/A,#N/A,FALSE,"RACT2.XLS";#N/A,#N/A,FALSE,"ECCMP";#N/A,#N/A,FALSE,"WELDER.XLS"}</definedName>
    <definedName name="dn_2_4" hidden="1">{#N/A,#N/A,FALSE,"COVER1.XLS ";#N/A,#N/A,FALSE,"RACT1.XLS";#N/A,#N/A,FALSE,"RACT2.XLS";#N/A,#N/A,FALSE,"ECCMP";#N/A,#N/A,FALSE,"WELDER.XLS"}</definedName>
    <definedName name="dn_2_5" hidden="1">{#N/A,#N/A,FALSE,"COVER1.XLS ";#N/A,#N/A,FALSE,"RACT1.XLS";#N/A,#N/A,FALSE,"RACT2.XLS";#N/A,#N/A,FALSE,"ECCMP";#N/A,#N/A,FALSE,"WELDER.XLS"}</definedName>
    <definedName name="dn_3" hidden="1">{#N/A,#N/A,FALSE,"COVER1.XLS ";#N/A,#N/A,FALSE,"RACT1.XLS";#N/A,#N/A,FALSE,"RACT2.XLS";#N/A,#N/A,FALSE,"ECCMP";#N/A,#N/A,FALSE,"WELDER.XLS"}</definedName>
    <definedName name="dn_4" hidden="1">{#N/A,#N/A,FALSE,"COVER1.XLS ";#N/A,#N/A,FALSE,"RACT1.XLS";#N/A,#N/A,FALSE,"RACT2.XLS";#N/A,#N/A,FALSE,"ECCMP";#N/A,#N/A,FALSE,"WELDER.XLS"}</definedName>
    <definedName name="dn_5" hidden="1">{#N/A,#N/A,FALSE,"COVER1.XLS ";#N/A,#N/A,FALSE,"RACT1.XLS";#N/A,#N/A,FALSE,"RACT2.XLS";#N/A,#N/A,FALSE,"ECCMP";#N/A,#N/A,FALSE,"WELDER.XLS"}</definedName>
    <definedName name="DRE_P_Flor" hidden="1">#REF!</definedName>
    <definedName name="DRE_P_Trad" hidden="1">#REF!</definedName>
    <definedName name="ds" hidden="1">{#N/A,#N/A,FALSE,"str_title";#N/A,#N/A,FALSE,"SUM";#N/A,#N/A,FALSE,"Scope";#N/A,#N/A,FALSE,"PIE-Jn";#N/A,#N/A,FALSE,"PIE-Jn_Hz";#N/A,#N/A,FALSE,"Liq_Plan";#N/A,#N/A,FALSE,"S_Curve";#N/A,#N/A,FALSE,"Liq_Prof";#N/A,#N/A,FALSE,"Man_Pwr";#N/A,#N/A,FALSE,"Man_Prof"}</definedName>
    <definedName name="ds_1" hidden="1">{#N/A,#N/A,FALSE,"str_title";#N/A,#N/A,FALSE,"SUM";#N/A,#N/A,FALSE,"Scope";#N/A,#N/A,FALSE,"PIE-Jn";#N/A,#N/A,FALSE,"PIE-Jn_Hz";#N/A,#N/A,FALSE,"Liq_Plan";#N/A,#N/A,FALSE,"S_Curve";#N/A,#N/A,FALSE,"Liq_Prof";#N/A,#N/A,FALSE,"Man_Pwr";#N/A,#N/A,FALSE,"Man_Prof"}</definedName>
    <definedName name="ds_1_1" hidden="1">{#N/A,#N/A,FALSE,"str_title";#N/A,#N/A,FALSE,"SUM";#N/A,#N/A,FALSE,"Scope";#N/A,#N/A,FALSE,"PIE-Jn";#N/A,#N/A,FALSE,"PIE-Jn_Hz";#N/A,#N/A,FALSE,"Liq_Plan";#N/A,#N/A,FALSE,"S_Curve";#N/A,#N/A,FALSE,"Liq_Prof";#N/A,#N/A,FALSE,"Man_Pwr";#N/A,#N/A,FALSE,"Man_Prof"}</definedName>
    <definedName name="ds_1_2" hidden="1">{#N/A,#N/A,FALSE,"str_title";#N/A,#N/A,FALSE,"SUM";#N/A,#N/A,FALSE,"Scope";#N/A,#N/A,FALSE,"PIE-Jn";#N/A,#N/A,FALSE,"PIE-Jn_Hz";#N/A,#N/A,FALSE,"Liq_Plan";#N/A,#N/A,FALSE,"S_Curve";#N/A,#N/A,FALSE,"Liq_Prof";#N/A,#N/A,FALSE,"Man_Pwr";#N/A,#N/A,FALSE,"Man_Prof"}</definedName>
    <definedName name="ds_1_3" hidden="1">{#N/A,#N/A,FALSE,"str_title";#N/A,#N/A,FALSE,"SUM";#N/A,#N/A,FALSE,"Scope";#N/A,#N/A,FALSE,"PIE-Jn";#N/A,#N/A,FALSE,"PIE-Jn_Hz";#N/A,#N/A,FALSE,"Liq_Plan";#N/A,#N/A,FALSE,"S_Curve";#N/A,#N/A,FALSE,"Liq_Prof";#N/A,#N/A,FALSE,"Man_Pwr";#N/A,#N/A,FALSE,"Man_Prof"}</definedName>
    <definedName name="ds_1_4" hidden="1">{#N/A,#N/A,FALSE,"str_title";#N/A,#N/A,FALSE,"SUM";#N/A,#N/A,FALSE,"Scope";#N/A,#N/A,FALSE,"PIE-Jn";#N/A,#N/A,FALSE,"PIE-Jn_Hz";#N/A,#N/A,FALSE,"Liq_Plan";#N/A,#N/A,FALSE,"S_Curve";#N/A,#N/A,FALSE,"Liq_Prof";#N/A,#N/A,FALSE,"Man_Pwr";#N/A,#N/A,FALSE,"Man_Prof"}</definedName>
    <definedName name="ds_1_5" hidden="1">{#N/A,#N/A,FALSE,"str_title";#N/A,#N/A,FALSE,"SUM";#N/A,#N/A,FALSE,"Scope";#N/A,#N/A,FALSE,"PIE-Jn";#N/A,#N/A,FALSE,"PIE-Jn_Hz";#N/A,#N/A,FALSE,"Liq_Plan";#N/A,#N/A,FALSE,"S_Curve";#N/A,#N/A,FALSE,"Liq_Prof";#N/A,#N/A,FALSE,"Man_Pwr";#N/A,#N/A,FALSE,"Man_Prof"}</definedName>
    <definedName name="ds_2" hidden="1">{#N/A,#N/A,FALSE,"str_title";#N/A,#N/A,FALSE,"SUM";#N/A,#N/A,FALSE,"Scope";#N/A,#N/A,FALSE,"PIE-Jn";#N/A,#N/A,FALSE,"PIE-Jn_Hz";#N/A,#N/A,FALSE,"Liq_Plan";#N/A,#N/A,FALSE,"S_Curve";#N/A,#N/A,FALSE,"Liq_Prof";#N/A,#N/A,FALSE,"Man_Pwr";#N/A,#N/A,FALSE,"Man_Prof"}</definedName>
    <definedName name="ds_2_1" hidden="1">{#N/A,#N/A,FALSE,"str_title";#N/A,#N/A,FALSE,"SUM";#N/A,#N/A,FALSE,"Scope";#N/A,#N/A,FALSE,"PIE-Jn";#N/A,#N/A,FALSE,"PIE-Jn_Hz";#N/A,#N/A,FALSE,"Liq_Plan";#N/A,#N/A,FALSE,"S_Curve";#N/A,#N/A,FALSE,"Liq_Prof";#N/A,#N/A,FALSE,"Man_Pwr";#N/A,#N/A,FALSE,"Man_Prof"}</definedName>
    <definedName name="ds_2_2" hidden="1">{#N/A,#N/A,FALSE,"str_title";#N/A,#N/A,FALSE,"SUM";#N/A,#N/A,FALSE,"Scope";#N/A,#N/A,FALSE,"PIE-Jn";#N/A,#N/A,FALSE,"PIE-Jn_Hz";#N/A,#N/A,FALSE,"Liq_Plan";#N/A,#N/A,FALSE,"S_Curve";#N/A,#N/A,FALSE,"Liq_Prof";#N/A,#N/A,FALSE,"Man_Pwr";#N/A,#N/A,FALSE,"Man_Prof"}</definedName>
    <definedName name="ds_2_3" hidden="1">{#N/A,#N/A,FALSE,"str_title";#N/A,#N/A,FALSE,"SUM";#N/A,#N/A,FALSE,"Scope";#N/A,#N/A,FALSE,"PIE-Jn";#N/A,#N/A,FALSE,"PIE-Jn_Hz";#N/A,#N/A,FALSE,"Liq_Plan";#N/A,#N/A,FALSE,"S_Curve";#N/A,#N/A,FALSE,"Liq_Prof";#N/A,#N/A,FALSE,"Man_Pwr";#N/A,#N/A,FALSE,"Man_Prof"}</definedName>
    <definedName name="ds_2_4" hidden="1">{#N/A,#N/A,FALSE,"str_title";#N/A,#N/A,FALSE,"SUM";#N/A,#N/A,FALSE,"Scope";#N/A,#N/A,FALSE,"PIE-Jn";#N/A,#N/A,FALSE,"PIE-Jn_Hz";#N/A,#N/A,FALSE,"Liq_Plan";#N/A,#N/A,FALSE,"S_Curve";#N/A,#N/A,FALSE,"Liq_Prof";#N/A,#N/A,FALSE,"Man_Pwr";#N/A,#N/A,FALSE,"Man_Prof"}</definedName>
    <definedName name="ds_2_5" hidden="1">{#N/A,#N/A,FALSE,"str_title";#N/A,#N/A,FALSE,"SUM";#N/A,#N/A,FALSE,"Scope";#N/A,#N/A,FALSE,"PIE-Jn";#N/A,#N/A,FALSE,"PIE-Jn_Hz";#N/A,#N/A,FALSE,"Liq_Plan";#N/A,#N/A,FALSE,"S_Curve";#N/A,#N/A,FALSE,"Liq_Prof";#N/A,#N/A,FALSE,"Man_Pwr";#N/A,#N/A,FALSE,"Man_Prof"}</definedName>
    <definedName name="ds_3" hidden="1">{#N/A,#N/A,FALSE,"str_title";#N/A,#N/A,FALSE,"SUM";#N/A,#N/A,FALSE,"Scope";#N/A,#N/A,FALSE,"PIE-Jn";#N/A,#N/A,FALSE,"PIE-Jn_Hz";#N/A,#N/A,FALSE,"Liq_Plan";#N/A,#N/A,FALSE,"S_Curve";#N/A,#N/A,FALSE,"Liq_Prof";#N/A,#N/A,FALSE,"Man_Pwr";#N/A,#N/A,FALSE,"Man_Prof"}</definedName>
    <definedName name="ds_4" hidden="1">{#N/A,#N/A,FALSE,"str_title";#N/A,#N/A,FALSE,"SUM";#N/A,#N/A,FALSE,"Scope";#N/A,#N/A,FALSE,"PIE-Jn";#N/A,#N/A,FALSE,"PIE-Jn_Hz";#N/A,#N/A,FALSE,"Liq_Plan";#N/A,#N/A,FALSE,"S_Curve";#N/A,#N/A,FALSE,"Liq_Prof";#N/A,#N/A,FALSE,"Man_Pwr";#N/A,#N/A,FALSE,"Man_Prof"}</definedName>
    <definedName name="ds_5" hidden="1">{#N/A,#N/A,FALSE,"str_title";#N/A,#N/A,FALSE,"SUM";#N/A,#N/A,FALSE,"Scope";#N/A,#N/A,FALSE,"PIE-Jn";#N/A,#N/A,FALSE,"PIE-Jn_Hz";#N/A,#N/A,FALSE,"Liq_Plan";#N/A,#N/A,FALSE,"S_Curve";#N/A,#N/A,FALSE,"Liq_Prof";#N/A,#N/A,FALSE,"Man_Pwr";#N/A,#N/A,FALSE,"Man_Prof"}</definedName>
    <definedName name="dsadaD" hidden="1">{#N/A,#N/A,FALSE,"COVER1.XLS ";#N/A,#N/A,FALSE,"RACT1.XLS";#N/A,#N/A,FALSE,"RACT2.XLS";#N/A,#N/A,FALSE,"ECCMP";#N/A,#N/A,FALSE,"WELDER.XLS"}</definedName>
    <definedName name="dsadaD_1" hidden="1">{#N/A,#N/A,FALSE,"COVER1.XLS ";#N/A,#N/A,FALSE,"RACT1.XLS";#N/A,#N/A,FALSE,"RACT2.XLS";#N/A,#N/A,FALSE,"ECCMP";#N/A,#N/A,FALSE,"WELDER.XLS"}</definedName>
    <definedName name="dsadaD_1_1" hidden="1">{#N/A,#N/A,FALSE,"COVER1.XLS ";#N/A,#N/A,FALSE,"RACT1.XLS";#N/A,#N/A,FALSE,"RACT2.XLS";#N/A,#N/A,FALSE,"ECCMP";#N/A,#N/A,FALSE,"WELDER.XLS"}</definedName>
    <definedName name="dsadaD_1_2" hidden="1">{#N/A,#N/A,FALSE,"COVER1.XLS ";#N/A,#N/A,FALSE,"RACT1.XLS";#N/A,#N/A,FALSE,"RACT2.XLS";#N/A,#N/A,FALSE,"ECCMP";#N/A,#N/A,FALSE,"WELDER.XLS"}</definedName>
    <definedName name="dsadaD_1_3" hidden="1">{#N/A,#N/A,FALSE,"COVER1.XLS ";#N/A,#N/A,FALSE,"RACT1.XLS";#N/A,#N/A,FALSE,"RACT2.XLS";#N/A,#N/A,FALSE,"ECCMP";#N/A,#N/A,FALSE,"WELDER.XLS"}</definedName>
    <definedName name="dsadaD_1_4" hidden="1">{#N/A,#N/A,FALSE,"COVER1.XLS ";#N/A,#N/A,FALSE,"RACT1.XLS";#N/A,#N/A,FALSE,"RACT2.XLS";#N/A,#N/A,FALSE,"ECCMP";#N/A,#N/A,FALSE,"WELDER.XLS"}</definedName>
    <definedName name="dsadaD_1_5" hidden="1">{#N/A,#N/A,FALSE,"COVER1.XLS ";#N/A,#N/A,FALSE,"RACT1.XLS";#N/A,#N/A,FALSE,"RACT2.XLS";#N/A,#N/A,FALSE,"ECCMP";#N/A,#N/A,FALSE,"WELDER.XLS"}</definedName>
    <definedName name="dsadaD_2" hidden="1">{#N/A,#N/A,FALSE,"COVER1.XLS ";#N/A,#N/A,FALSE,"RACT1.XLS";#N/A,#N/A,FALSE,"RACT2.XLS";#N/A,#N/A,FALSE,"ECCMP";#N/A,#N/A,FALSE,"WELDER.XLS"}</definedName>
    <definedName name="dsadaD_2_1" hidden="1">{#N/A,#N/A,FALSE,"COVER1.XLS ";#N/A,#N/A,FALSE,"RACT1.XLS";#N/A,#N/A,FALSE,"RACT2.XLS";#N/A,#N/A,FALSE,"ECCMP";#N/A,#N/A,FALSE,"WELDER.XLS"}</definedName>
    <definedName name="dsadaD_2_2" hidden="1">{#N/A,#N/A,FALSE,"COVER1.XLS ";#N/A,#N/A,FALSE,"RACT1.XLS";#N/A,#N/A,FALSE,"RACT2.XLS";#N/A,#N/A,FALSE,"ECCMP";#N/A,#N/A,FALSE,"WELDER.XLS"}</definedName>
    <definedName name="dsadaD_2_3" hidden="1">{#N/A,#N/A,FALSE,"COVER1.XLS ";#N/A,#N/A,FALSE,"RACT1.XLS";#N/A,#N/A,FALSE,"RACT2.XLS";#N/A,#N/A,FALSE,"ECCMP";#N/A,#N/A,FALSE,"WELDER.XLS"}</definedName>
    <definedName name="dsadaD_2_4" hidden="1">{#N/A,#N/A,FALSE,"COVER1.XLS ";#N/A,#N/A,FALSE,"RACT1.XLS";#N/A,#N/A,FALSE,"RACT2.XLS";#N/A,#N/A,FALSE,"ECCMP";#N/A,#N/A,FALSE,"WELDER.XLS"}</definedName>
    <definedName name="dsadaD_2_5" hidden="1">{#N/A,#N/A,FALSE,"COVER1.XLS ";#N/A,#N/A,FALSE,"RACT1.XLS";#N/A,#N/A,FALSE,"RACT2.XLS";#N/A,#N/A,FALSE,"ECCMP";#N/A,#N/A,FALSE,"WELDER.XLS"}</definedName>
    <definedName name="dsadaD_3" hidden="1">{#N/A,#N/A,FALSE,"COVER1.XLS ";#N/A,#N/A,FALSE,"RACT1.XLS";#N/A,#N/A,FALSE,"RACT2.XLS";#N/A,#N/A,FALSE,"ECCMP";#N/A,#N/A,FALSE,"WELDER.XLS"}</definedName>
    <definedName name="dsadaD_4" hidden="1">{#N/A,#N/A,FALSE,"COVER1.XLS ";#N/A,#N/A,FALSE,"RACT1.XLS";#N/A,#N/A,FALSE,"RACT2.XLS";#N/A,#N/A,FALSE,"ECCMP";#N/A,#N/A,FALSE,"WELDER.XLS"}</definedName>
    <definedName name="dsadaD_5" hidden="1">{#N/A,#N/A,FALSE,"COVER1.XLS ";#N/A,#N/A,FALSE,"RACT1.XLS";#N/A,#N/A,FALSE,"RACT2.XLS";#N/A,#N/A,FALSE,"ECCMP";#N/A,#N/A,FALSE,"WELDER.XLS"}</definedName>
    <definedName name="DSHiddenYear1" hidden="1">'[12]Kingston 1st Amort Table'!$F$1</definedName>
    <definedName name="DSHiddenYear2" hidden="1">'[12]Kingston 1st Amort Table'!$G$1</definedName>
    <definedName name="DSHiddenYear3" hidden="1">'[12]Kingston 1st Amort Table'!$H$1</definedName>
    <definedName name="DSHiddenYear4" hidden="1">'[12]Kingston 1st Amort Table'!$I$1</definedName>
    <definedName name="DSIndHiddenYear1" hidden="1">'[12]Kingston 1st Amort Table'!$F$1</definedName>
    <definedName name="DSIndHiddenYear2" hidden="1">'[12]Kingston 1st Amort Table'!$G$1</definedName>
    <definedName name="DSIndHiddenYear3" hidden="1">'[12]Kingston 1st Amort Table'!$H$1</definedName>
    <definedName name="DSIndHiddenYear4" hidden="1">'[12]Kingston 1st Amort Table'!$I$1</definedName>
    <definedName name="DSIndHistHiddenYear1" hidden="1">'[12]Kingston 1st Amort Table'!#REF!</definedName>
    <definedName name="DSIndHistHiddenYear2" hidden="1">'[12]Kingston 1st Amort Table'!$B$1</definedName>
    <definedName name="DSIndHistHiddenYear3" hidden="1">'[12]Kingston 1st Amort Table'!$C$1</definedName>
    <definedName name="DSIndHistHiddenYear4" hidden="1">'[12]Kingston 1st Amort Table'!$D$1</definedName>
    <definedName name="DSIndHistHiddenYear5" hidden="1">'[12]Kingston 1st Amort Table'!$E$1</definedName>
    <definedName name="dsrjan08" hidden="1">{#N/A,#N/A,FALSE,"COVER1.XLS ";#N/A,#N/A,FALSE,"RACT1.XLS";#N/A,#N/A,FALSE,"RACT2.XLS";#N/A,#N/A,FALSE,"ECCMP";#N/A,#N/A,FALSE,"WELDER.XLS"}</definedName>
    <definedName name="dsrjan08_1" hidden="1">{#N/A,#N/A,FALSE,"COVER1.XLS ";#N/A,#N/A,FALSE,"RACT1.XLS";#N/A,#N/A,FALSE,"RACT2.XLS";#N/A,#N/A,FALSE,"ECCMP";#N/A,#N/A,FALSE,"WELDER.XLS"}</definedName>
    <definedName name="dsrjan08_2" hidden="1">{#N/A,#N/A,FALSE,"COVER1.XLS ";#N/A,#N/A,FALSE,"RACT1.XLS";#N/A,#N/A,FALSE,"RACT2.XLS";#N/A,#N/A,FALSE,"ECCMP";#N/A,#N/A,FALSE,"WELDER.XLS"}</definedName>
    <definedName name="dsrjan08_3" hidden="1">{#N/A,#N/A,FALSE,"COVER1.XLS ";#N/A,#N/A,FALSE,"RACT1.XLS";#N/A,#N/A,FALSE,"RACT2.XLS";#N/A,#N/A,FALSE,"ECCMP";#N/A,#N/A,FALSE,"WELDER.XLS"}</definedName>
    <definedName name="dsrjan08_4" hidden="1">{#N/A,#N/A,FALSE,"COVER1.XLS ";#N/A,#N/A,FALSE,"RACT1.XLS";#N/A,#N/A,FALSE,"RACT2.XLS";#N/A,#N/A,FALSE,"ECCMP";#N/A,#N/A,FALSE,"WELDER.XLS"}</definedName>
    <definedName name="dsrjan08_5" hidden="1">{#N/A,#N/A,FALSE,"COVER1.XLS ";#N/A,#N/A,FALSE,"RACT1.XLS";#N/A,#N/A,FALSE,"RACT2.XLS";#N/A,#N/A,FALSE,"ECCMP";#N/A,#N/A,FALSE,"WELDER.XLS"}</definedName>
    <definedName name="ebe" hidden="1">{#N/A,#N/A,FALSE,"str_title";#N/A,#N/A,FALSE,"SUM";#N/A,#N/A,FALSE,"Scope";#N/A,#N/A,FALSE,"PIE-Jn";#N/A,#N/A,FALSE,"PIE-Jn_Hz";#N/A,#N/A,FALSE,"Liq_Plan";#N/A,#N/A,FALSE,"S_Curve";#N/A,#N/A,FALSE,"Liq_Prof";#N/A,#N/A,FALSE,"Man_Pwr";#N/A,#N/A,FALSE,"Man_Prof"}</definedName>
    <definedName name="ebe_1" hidden="1">{#N/A,#N/A,FALSE,"str_title";#N/A,#N/A,FALSE,"SUM";#N/A,#N/A,FALSE,"Scope";#N/A,#N/A,FALSE,"PIE-Jn";#N/A,#N/A,FALSE,"PIE-Jn_Hz";#N/A,#N/A,FALSE,"Liq_Plan";#N/A,#N/A,FALSE,"S_Curve";#N/A,#N/A,FALSE,"Liq_Prof";#N/A,#N/A,FALSE,"Man_Pwr";#N/A,#N/A,FALSE,"Man_Prof"}</definedName>
    <definedName name="ebe_2" hidden="1">{#N/A,#N/A,FALSE,"str_title";#N/A,#N/A,FALSE,"SUM";#N/A,#N/A,FALSE,"Scope";#N/A,#N/A,FALSE,"PIE-Jn";#N/A,#N/A,FALSE,"PIE-Jn_Hz";#N/A,#N/A,FALSE,"Liq_Plan";#N/A,#N/A,FALSE,"S_Curve";#N/A,#N/A,FALSE,"Liq_Prof";#N/A,#N/A,FALSE,"Man_Pwr";#N/A,#N/A,FALSE,"Man_Prof"}</definedName>
    <definedName name="ebe_3" hidden="1">{#N/A,#N/A,FALSE,"str_title";#N/A,#N/A,FALSE,"SUM";#N/A,#N/A,FALSE,"Scope";#N/A,#N/A,FALSE,"PIE-Jn";#N/A,#N/A,FALSE,"PIE-Jn_Hz";#N/A,#N/A,FALSE,"Liq_Plan";#N/A,#N/A,FALSE,"S_Curve";#N/A,#N/A,FALSE,"Liq_Prof";#N/A,#N/A,FALSE,"Man_Pwr";#N/A,#N/A,FALSE,"Man_Prof"}</definedName>
    <definedName name="ebe_4" hidden="1">{#N/A,#N/A,FALSE,"str_title";#N/A,#N/A,FALSE,"SUM";#N/A,#N/A,FALSE,"Scope";#N/A,#N/A,FALSE,"PIE-Jn";#N/A,#N/A,FALSE,"PIE-Jn_Hz";#N/A,#N/A,FALSE,"Liq_Plan";#N/A,#N/A,FALSE,"S_Curve";#N/A,#N/A,FALSE,"Liq_Prof";#N/A,#N/A,FALSE,"Man_Pwr";#N/A,#N/A,FALSE,"Man_Prof"}</definedName>
    <definedName name="ebe_5" hidden="1">{#N/A,#N/A,FALSE,"str_title";#N/A,#N/A,FALSE,"SUM";#N/A,#N/A,FALSE,"Scope";#N/A,#N/A,FALSE,"PIE-Jn";#N/A,#N/A,FALSE,"PIE-Jn_Hz";#N/A,#N/A,FALSE,"Liq_Plan";#N/A,#N/A,FALSE,"S_Curve";#N/A,#N/A,FALSE,"Liq_Prof";#N/A,#N/A,FALSE,"Man_Pwr";#N/A,#N/A,FALSE,"Man_Prof"}</definedName>
    <definedName name="ec" hidden="1">{#N/A,#N/A,FALSE,"Aging Summary";#N/A,#N/A,FALSE,"Ratio Analysis";#N/A,#N/A,FALSE,"Test 120 Day Accts";#N/A,#N/A,FALSE,"Tickmarks"}</definedName>
    <definedName name="ee"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ee_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ee_1_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ee_1_2"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ee_1_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ee_1_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ee_1_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ee_2"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ee_2_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ee_2_2"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ee_2_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ee_2_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ee_2_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ee_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ee_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ee_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Ext_EP" hidden="1">{"'kpi2-1'!$E$4"}</definedName>
    <definedName name="fdfd" hidden="1">{#N/A,#N/A,FALSE,"COVER.XLS";#N/A,#N/A,FALSE,"RACT1.XLS";#N/A,#N/A,FALSE,"RACT2.XLS";#N/A,#N/A,FALSE,"ECCMP";#N/A,#N/A,FALSE,"WELDER.XLS"}</definedName>
    <definedName name="fdfd_1" hidden="1">{#N/A,#N/A,FALSE,"COVER.XLS";#N/A,#N/A,FALSE,"RACT1.XLS";#N/A,#N/A,FALSE,"RACT2.XLS";#N/A,#N/A,FALSE,"ECCMP";#N/A,#N/A,FALSE,"WELDER.XLS"}</definedName>
    <definedName name="fdfd_1_1" hidden="1">{#N/A,#N/A,FALSE,"COVER.XLS";#N/A,#N/A,FALSE,"RACT1.XLS";#N/A,#N/A,FALSE,"RACT2.XLS";#N/A,#N/A,FALSE,"ECCMP";#N/A,#N/A,FALSE,"WELDER.XLS"}</definedName>
    <definedName name="fdfd_1_2" hidden="1">{#N/A,#N/A,FALSE,"COVER.XLS";#N/A,#N/A,FALSE,"RACT1.XLS";#N/A,#N/A,FALSE,"RACT2.XLS";#N/A,#N/A,FALSE,"ECCMP";#N/A,#N/A,FALSE,"WELDER.XLS"}</definedName>
    <definedName name="fdfd_1_3" hidden="1">{#N/A,#N/A,FALSE,"COVER.XLS";#N/A,#N/A,FALSE,"RACT1.XLS";#N/A,#N/A,FALSE,"RACT2.XLS";#N/A,#N/A,FALSE,"ECCMP";#N/A,#N/A,FALSE,"WELDER.XLS"}</definedName>
    <definedName name="fdfd_1_4" hidden="1">{#N/A,#N/A,FALSE,"COVER.XLS";#N/A,#N/A,FALSE,"RACT1.XLS";#N/A,#N/A,FALSE,"RACT2.XLS";#N/A,#N/A,FALSE,"ECCMP";#N/A,#N/A,FALSE,"WELDER.XLS"}</definedName>
    <definedName name="fdfd_1_5" hidden="1">{#N/A,#N/A,FALSE,"COVER.XLS";#N/A,#N/A,FALSE,"RACT1.XLS";#N/A,#N/A,FALSE,"RACT2.XLS";#N/A,#N/A,FALSE,"ECCMP";#N/A,#N/A,FALSE,"WELDER.XLS"}</definedName>
    <definedName name="fdfd_2" hidden="1">{#N/A,#N/A,FALSE,"COVER.XLS";#N/A,#N/A,FALSE,"RACT1.XLS";#N/A,#N/A,FALSE,"RACT2.XLS";#N/A,#N/A,FALSE,"ECCMP";#N/A,#N/A,FALSE,"WELDER.XLS"}</definedName>
    <definedName name="fdfd_2_1" hidden="1">{#N/A,#N/A,FALSE,"COVER.XLS";#N/A,#N/A,FALSE,"RACT1.XLS";#N/A,#N/A,FALSE,"RACT2.XLS";#N/A,#N/A,FALSE,"ECCMP";#N/A,#N/A,FALSE,"WELDER.XLS"}</definedName>
    <definedName name="fdfd_2_2" hidden="1">{#N/A,#N/A,FALSE,"COVER.XLS";#N/A,#N/A,FALSE,"RACT1.XLS";#N/A,#N/A,FALSE,"RACT2.XLS";#N/A,#N/A,FALSE,"ECCMP";#N/A,#N/A,FALSE,"WELDER.XLS"}</definedName>
    <definedName name="fdfd_2_3" hidden="1">{#N/A,#N/A,FALSE,"COVER.XLS";#N/A,#N/A,FALSE,"RACT1.XLS";#N/A,#N/A,FALSE,"RACT2.XLS";#N/A,#N/A,FALSE,"ECCMP";#N/A,#N/A,FALSE,"WELDER.XLS"}</definedName>
    <definedName name="fdfd_2_4" hidden="1">{#N/A,#N/A,FALSE,"COVER.XLS";#N/A,#N/A,FALSE,"RACT1.XLS";#N/A,#N/A,FALSE,"RACT2.XLS";#N/A,#N/A,FALSE,"ECCMP";#N/A,#N/A,FALSE,"WELDER.XLS"}</definedName>
    <definedName name="fdfd_2_5" hidden="1">{#N/A,#N/A,FALSE,"COVER.XLS";#N/A,#N/A,FALSE,"RACT1.XLS";#N/A,#N/A,FALSE,"RACT2.XLS";#N/A,#N/A,FALSE,"ECCMP";#N/A,#N/A,FALSE,"WELDER.XLS"}</definedName>
    <definedName name="fdfd_3" hidden="1">{#N/A,#N/A,FALSE,"COVER.XLS";#N/A,#N/A,FALSE,"RACT1.XLS";#N/A,#N/A,FALSE,"RACT2.XLS";#N/A,#N/A,FALSE,"ECCMP";#N/A,#N/A,FALSE,"WELDER.XLS"}</definedName>
    <definedName name="fdfd_4" hidden="1">{#N/A,#N/A,FALSE,"COVER.XLS";#N/A,#N/A,FALSE,"RACT1.XLS";#N/A,#N/A,FALSE,"RACT2.XLS";#N/A,#N/A,FALSE,"ECCMP";#N/A,#N/A,FALSE,"WELDER.XLS"}</definedName>
    <definedName name="fdfd_5" hidden="1">{#N/A,#N/A,FALSE,"COVER.XLS";#N/A,#N/A,FALSE,"RACT1.XLS";#N/A,#N/A,FALSE,"RACT2.XLS";#N/A,#N/A,FALSE,"ECCMP";#N/A,#N/A,FALSE,"WELDER.XLS"}</definedName>
    <definedName name="fgdfg" hidden="1">#REF!</definedName>
    <definedName name="fhhhh" hidden="1">{#N/A,#N/A,FALSE,"str_title";#N/A,#N/A,FALSE,"SUM";#N/A,#N/A,FALSE,"Scope";#N/A,#N/A,FALSE,"PIE-Jn";#N/A,#N/A,FALSE,"PIE-Jn_Hz";#N/A,#N/A,FALSE,"Liq_Plan";#N/A,#N/A,FALSE,"S_Curve";#N/A,#N/A,FALSE,"Liq_Prof";#N/A,#N/A,FALSE,"Man_Pwr";#N/A,#N/A,FALSE,"Man_Prof"}</definedName>
    <definedName name="fhhhh_1" hidden="1">{#N/A,#N/A,FALSE,"str_title";#N/A,#N/A,FALSE,"SUM";#N/A,#N/A,FALSE,"Scope";#N/A,#N/A,FALSE,"PIE-Jn";#N/A,#N/A,FALSE,"PIE-Jn_Hz";#N/A,#N/A,FALSE,"Liq_Plan";#N/A,#N/A,FALSE,"S_Curve";#N/A,#N/A,FALSE,"Liq_Prof";#N/A,#N/A,FALSE,"Man_Pwr";#N/A,#N/A,FALSE,"Man_Prof"}</definedName>
    <definedName name="fhhhh_1_1" hidden="1">{#N/A,#N/A,FALSE,"str_title";#N/A,#N/A,FALSE,"SUM";#N/A,#N/A,FALSE,"Scope";#N/A,#N/A,FALSE,"PIE-Jn";#N/A,#N/A,FALSE,"PIE-Jn_Hz";#N/A,#N/A,FALSE,"Liq_Plan";#N/A,#N/A,FALSE,"S_Curve";#N/A,#N/A,FALSE,"Liq_Prof";#N/A,#N/A,FALSE,"Man_Pwr";#N/A,#N/A,FALSE,"Man_Prof"}</definedName>
    <definedName name="fhhhh_1_2" hidden="1">{#N/A,#N/A,FALSE,"str_title";#N/A,#N/A,FALSE,"SUM";#N/A,#N/A,FALSE,"Scope";#N/A,#N/A,FALSE,"PIE-Jn";#N/A,#N/A,FALSE,"PIE-Jn_Hz";#N/A,#N/A,FALSE,"Liq_Plan";#N/A,#N/A,FALSE,"S_Curve";#N/A,#N/A,FALSE,"Liq_Prof";#N/A,#N/A,FALSE,"Man_Pwr";#N/A,#N/A,FALSE,"Man_Prof"}</definedName>
    <definedName name="fhhhh_1_3" hidden="1">{#N/A,#N/A,FALSE,"str_title";#N/A,#N/A,FALSE,"SUM";#N/A,#N/A,FALSE,"Scope";#N/A,#N/A,FALSE,"PIE-Jn";#N/A,#N/A,FALSE,"PIE-Jn_Hz";#N/A,#N/A,FALSE,"Liq_Plan";#N/A,#N/A,FALSE,"S_Curve";#N/A,#N/A,FALSE,"Liq_Prof";#N/A,#N/A,FALSE,"Man_Pwr";#N/A,#N/A,FALSE,"Man_Prof"}</definedName>
    <definedName name="fhhhh_1_4" hidden="1">{#N/A,#N/A,FALSE,"str_title";#N/A,#N/A,FALSE,"SUM";#N/A,#N/A,FALSE,"Scope";#N/A,#N/A,FALSE,"PIE-Jn";#N/A,#N/A,FALSE,"PIE-Jn_Hz";#N/A,#N/A,FALSE,"Liq_Plan";#N/A,#N/A,FALSE,"S_Curve";#N/A,#N/A,FALSE,"Liq_Prof";#N/A,#N/A,FALSE,"Man_Pwr";#N/A,#N/A,FALSE,"Man_Prof"}</definedName>
    <definedName name="fhhhh_1_5" hidden="1">{#N/A,#N/A,FALSE,"str_title";#N/A,#N/A,FALSE,"SUM";#N/A,#N/A,FALSE,"Scope";#N/A,#N/A,FALSE,"PIE-Jn";#N/A,#N/A,FALSE,"PIE-Jn_Hz";#N/A,#N/A,FALSE,"Liq_Plan";#N/A,#N/A,FALSE,"S_Curve";#N/A,#N/A,FALSE,"Liq_Prof";#N/A,#N/A,FALSE,"Man_Pwr";#N/A,#N/A,FALSE,"Man_Prof"}</definedName>
    <definedName name="fhhhh_2" hidden="1">{#N/A,#N/A,FALSE,"str_title";#N/A,#N/A,FALSE,"SUM";#N/A,#N/A,FALSE,"Scope";#N/A,#N/A,FALSE,"PIE-Jn";#N/A,#N/A,FALSE,"PIE-Jn_Hz";#N/A,#N/A,FALSE,"Liq_Plan";#N/A,#N/A,FALSE,"S_Curve";#N/A,#N/A,FALSE,"Liq_Prof";#N/A,#N/A,FALSE,"Man_Pwr";#N/A,#N/A,FALSE,"Man_Prof"}</definedName>
    <definedName name="fhhhh_2_1" hidden="1">{#N/A,#N/A,FALSE,"str_title";#N/A,#N/A,FALSE,"SUM";#N/A,#N/A,FALSE,"Scope";#N/A,#N/A,FALSE,"PIE-Jn";#N/A,#N/A,FALSE,"PIE-Jn_Hz";#N/A,#N/A,FALSE,"Liq_Plan";#N/A,#N/A,FALSE,"S_Curve";#N/A,#N/A,FALSE,"Liq_Prof";#N/A,#N/A,FALSE,"Man_Pwr";#N/A,#N/A,FALSE,"Man_Prof"}</definedName>
    <definedName name="fhhhh_2_2" hidden="1">{#N/A,#N/A,FALSE,"str_title";#N/A,#N/A,FALSE,"SUM";#N/A,#N/A,FALSE,"Scope";#N/A,#N/A,FALSE,"PIE-Jn";#N/A,#N/A,FALSE,"PIE-Jn_Hz";#N/A,#N/A,FALSE,"Liq_Plan";#N/A,#N/A,FALSE,"S_Curve";#N/A,#N/A,FALSE,"Liq_Prof";#N/A,#N/A,FALSE,"Man_Pwr";#N/A,#N/A,FALSE,"Man_Prof"}</definedName>
    <definedName name="fhhhh_2_3" hidden="1">{#N/A,#N/A,FALSE,"str_title";#N/A,#N/A,FALSE,"SUM";#N/A,#N/A,FALSE,"Scope";#N/A,#N/A,FALSE,"PIE-Jn";#N/A,#N/A,FALSE,"PIE-Jn_Hz";#N/A,#N/A,FALSE,"Liq_Plan";#N/A,#N/A,FALSE,"S_Curve";#N/A,#N/A,FALSE,"Liq_Prof";#N/A,#N/A,FALSE,"Man_Pwr";#N/A,#N/A,FALSE,"Man_Prof"}</definedName>
    <definedName name="fhhhh_2_4" hidden="1">{#N/A,#N/A,FALSE,"str_title";#N/A,#N/A,FALSE,"SUM";#N/A,#N/A,FALSE,"Scope";#N/A,#N/A,FALSE,"PIE-Jn";#N/A,#N/A,FALSE,"PIE-Jn_Hz";#N/A,#N/A,FALSE,"Liq_Plan";#N/A,#N/A,FALSE,"S_Curve";#N/A,#N/A,FALSE,"Liq_Prof";#N/A,#N/A,FALSE,"Man_Pwr";#N/A,#N/A,FALSE,"Man_Prof"}</definedName>
    <definedName name="fhhhh_2_5" hidden="1">{#N/A,#N/A,FALSE,"str_title";#N/A,#N/A,FALSE,"SUM";#N/A,#N/A,FALSE,"Scope";#N/A,#N/A,FALSE,"PIE-Jn";#N/A,#N/A,FALSE,"PIE-Jn_Hz";#N/A,#N/A,FALSE,"Liq_Plan";#N/A,#N/A,FALSE,"S_Curve";#N/A,#N/A,FALSE,"Liq_Prof";#N/A,#N/A,FALSE,"Man_Pwr";#N/A,#N/A,FALSE,"Man_Prof"}</definedName>
    <definedName name="fhhhh_3" hidden="1">{#N/A,#N/A,FALSE,"str_title";#N/A,#N/A,FALSE,"SUM";#N/A,#N/A,FALSE,"Scope";#N/A,#N/A,FALSE,"PIE-Jn";#N/A,#N/A,FALSE,"PIE-Jn_Hz";#N/A,#N/A,FALSE,"Liq_Plan";#N/A,#N/A,FALSE,"S_Curve";#N/A,#N/A,FALSE,"Liq_Prof";#N/A,#N/A,FALSE,"Man_Pwr";#N/A,#N/A,FALSE,"Man_Prof"}</definedName>
    <definedName name="fhhhh_4" hidden="1">{#N/A,#N/A,FALSE,"str_title";#N/A,#N/A,FALSE,"SUM";#N/A,#N/A,FALSE,"Scope";#N/A,#N/A,FALSE,"PIE-Jn";#N/A,#N/A,FALSE,"PIE-Jn_Hz";#N/A,#N/A,FALSE,"Liq_Plan";#N/A,#N/A,FALSE,"S_Curve";#N/A,#N/A,FALSE,"Liq_Prof";#N/A,#N/A,FALSE,"Man_Pwr";#N/A,#N/A,FALSE,"Man_Prof"}</definedName>
    <definedName name="fhhhh_5" hidden="1">{#N/A,#N/A,FALSE,"str_title";#N/A,#N/A,FALSE,"SUM";#N/A,#N/A,FALSE,"Scope";#N/A,#N/A,FALSE,"PIE-Jn";#N/A,#N/A,FALSE,"PIE-Jn_Hz";#N/A,#N/A,FALSE,"Liq_Plan";#N/A,#N/A,FALSE,"S_Curve";#N/A,#N/A,FALSE,"Liq_Prof";#N/A,#N/A,FALSE,"Man_Pwr";#N/A,#N/A,FALSE,"Man_Prof"}</definedName>
    <definedName name="Fill" hidden="1">#REF!</definedName>
    <definedName name="Flx_Flor" hidden="1">#REF!</definedName>
    <definedName name="Flx_Trad" hidden="1">#REF!</definedName>
    <definedName name="FSDFFF" hidden="1">{#N/A,#N/A,FALSE,"COVER1.XLS ";#N/A,#N/A,FALSE,"RACT1.XLS";#N/A,#N/A,FALSE,"RACT2.XLS";#N/A,#N/A,FALSE,"ECCMP";#N/A,#N/A,FALSE,"WELDER.XLS"}</definedName>
    <definedName name="FSDFFF_1" hidden="1">{#N/A,#N/A,FALSE,"COVER1.XLS ";#N/A,#N/A,FALSE,"RACT1.XLS";#N/A,#N/A,FALSE,"RACT2.XLS";#N/A,#N/A,FALSE,"ECCMP";#N/A,#N/A,FALSE,"WELDER.XLS"}</definedName>
    <definedName name="FSDFFF_2" hidden="1">{#N/A,#N/A,FALSE,"COVER1.XLS ";#N/A,#N/A,FALSE,"RACT1.XLS";#N/A,#N/A,FALSE,"RACT2.XLS";#N/A,#N/A,FALSE,"ECCMP";#N/A,#N/A,FALSE,"WELDER.XLS"}</definedName>
    <definedName name="FSDFFF_3" hidden="1">{#N/A,#N/A,FALSE,"COVER1.XLS ";#N/A,#N/A,FALSE,"RACT1.XLS";#N/A,#N/A,FALSE,"RACT2.XLS";#N/A,#N/A,FALSE,"ECCMP";#N/A,#N/A,FALSE,"WELDER.XLS"}</definedName>
    <definedName name="FSDFFF_4" hidden="1">{#N/A,#N/A,FALSE,"COVER1.XLS ";#N/A,#N/A,FALSE,"RACT1.XLS";#N/A,#N/A,FALSE,"RACT2.XLS";#N/A,#N/A,FALSE,"ECCMP";#N/A,#N/A,FALSE,"WELDER.XLS"}</definedName>
    <definedName name="FSDFFF_5" hidden="1">{#N/A,#N/A,FALSE,"COVER1.XLS ";#N/A,#N/A,FALSE,"RACT1.XLS";#N/A,#N/A,FALSE,"RACT2.XLS";#N/A,#N/A,FALSE,"ECCMP";#N/A,#N/A,FALSE,"WELDER.XLS"}</definedName>
    <definedName name="fwfsa" hidden="1">{#N/A,#N/A,FALSE,"Aging Summary";#N/A,#N/A,FALSE,"Ratio Analysis";#N/A,#N/A,FALSE,"Test 120 Day Accts";#N/A,#N/A,FALSE,"Tickmarks"}</definedName>
    <definedName name="g"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g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g_2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g_2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g_2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g_2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g_2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g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g_3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g_3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g_3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g_3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g_3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g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g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gg" hidden="1">{#N/A,#N/A,FALSE,"COVER1.XLS ";#N/A,#N/A,FALSE,"RACT1.XLS";#N/A,#N/A,FALSE,"RACT2.XLS";#N/A,#N/A,FALSE,"ECCMP";#N/A,#N/A,FALSE,"WELDER.XLS"}</definedName>
    <definedName name="gg_1" hidden="1">{#N/A,#N/A,FALSE,"COVER1.XLS ";#N/A,#N/A,FALSE,"RACT1.XLS";#N/A,#N/A,FALSE,"RACT2.XLS";#N/A,#N/A,FALSE,"ECCMP";#N/A,#N/A,FALSE,"WELDER.XLS"}</definedName>
    <definedName name="gg_1_1" hidden="1">{#N/A,#N/A,FALSE,"COVER1.XLS ";#N/A,#N/A,FALSE,"RACT1.XLS";#N/A,#N/A,FALSE,"RACT2.XLS";#N/A,#N/A,FALSE,"ECCMP";#N/A,#N/A,FALSE,"WELDER.XLS"}</definedName>
    <definedName name="gg_1_2" hidden="1">{#N/A,#N/A,FALSE,"COVER1.XLS ";#N/A,#N/A,FALSE,"RACT1.XLS";#N/A,#N/A,FALSE,"RACT2.XLS";#N/A,#N/A,FALSE,"ECCMP";#N/A,#N/A,FALSE,"WELDER.XLS"}</definedName>
    <definedName name="gg_1_3" hidden="1">{#N/A,#N/A,FALSE,"COVER1.XLS ";#N/A,#N/A,FALSE,"RACT1.XLS";#N/A,#N/A,FALSE,"RACT2.XLS";#N/A,#N/A,FALSE,"ECCMP";#N/A,#N/A,FALSE,"WELDER.XLS"}</definedName>
    <definedName name="gg_1_4" hidden="1">{#N/A,#N/A,FALSE,"COVER1.XLS ";#N/A,#N/A,FALSE,"RACT1.XLS";#N/A,#N/A,FALSE,"RACT2.XLS";#N/A,#N/A,FALSE,"ECCMP";#N/A,#N/A,FALSE,"WELDER.XLS"}</definedName>
    <definedName name="gg_1_5" hidden="1">{#N/A,#N/A,FALSE,"COVER1.XLS ";#N/A,#N/A,FALSE,"RACT1.XLS";#N/A,#N/A,FALSE,"RACT2.XLS";#N/A,#N/A,FALSE,"ECCMP";#N/A,#N/A,FALSE,"WELDER.XLS"}</definedName>
    <definedName name="gg_2" hidden="1">{#N/A,#N/A,FALSE,"COVER1.XLS ";#N/A,#N/A,FALSE,"RACT1.XLS";#N/A,#N/A,FALSE,"RACT2.XLS";#N/A,#N/A,FALSE,"ECCMP";#N/A,#N/A,FALSE,"WELDER.XLS"}</definedName>
    <definedName name="gg_2_1" hidden="1">{#N/A,#N/A,FALSE,"COVER1.XLS ";#N/A,#N/A,FALSE,"RACT1.XLS";#N/A,#N/A,FALSE,"RACT2.XLS";#N/A,#N/A,FALSE,"ECCMP";#N/A,#N/A,FALSE,"WELDER.XLS"}</definedName>
    <definedName name="gg_2_2" hidden="1">{#N/A,#N/A,FALSE,"COVER1.XLS ";#N/A,#N/A,FALSE,"RACT1.XLS";#N/A,#N/A,FALSE,"RACT2.XLS";#N/A,#N/A,FALSE,"ECCMP";#N/A,#N/A,FALSE,"WELDER.XLS"}</definedName>
    <definedName name="gg_2_3" hidden="1">{#N/A,#N/A,FALSE,"COVER1.XLS ";#N/A,#N/A,FALSE,"RACT1.XLS";#N/A,#N/A,FALSE,"RACT2.XLS";#N/A,#N/A,FALSE,"ECCMP";#N/A,#N/A,FALSE,"WELDER.XLS"}</definedName>
    <definedName name="gg_2_4" hidden="1">{#N/A,#N/A,FALSE,"COVER1.XLS ";#N/A,#N/A,FALSE,"RACT1.XLS";#N/A,#N/A,FALSE,"RACT2.XLS";#N/A,#N/A,FALSE,"ECCMP";#N/A,#N/A,FALSE,"WELDER.XLS"}</definedName>
    <definedName name="gg_2_5" hidden="1">{#N/A,#N/A,FALSE,"COVER1.XLS ";#N/A,#N/A,FALSE,"RACT1.XLS";#N/A,#N/A,FALSE,"RACT2.XLS";#N/A,#N/A,FALSE,"ECCMP";#N/A,#N/A,FALSE,"WELDER.XLS"}</definedName>
    <definedName name="gg_3" hidden="1">{#N/A,#N/A,FALSE,"COVER1.XLS ";#N/A,#N/A,FALSE,"RACT1.XLS";#N/A,#N/A,FALSE,"RACT2.XLS";#N/A,#N/A,FALSE,"ECCMP";#N/A,#N/A,FALSE,"WELDER.XLS"}</definedName>
    <definedName name="gg_4" hidden="1">{#N/A,#N/A,FALSE,"COVER1.XLS ";#N/A,#N/A,FALSE,"RACT1.XLS";#N/A,#N/A,FALSE,"RACT2.XLS";#N/A,#N/A,FALSE,"ECCMP";#N/A,#N/A,FALSE,"WELDER.XLS"}</definedName>
    <definedName name="gg_5" hidden="1">{#N/A,#N/A,FALSE,"COVER1.XLS ";#N/A,#N/A,FALSE,"RACT1.XLS";#N/A,#N/A,FALSE,"RACT2.XLS";#N/A,#N/A,FALSE,"ECCMP";#N/A,#N/A,FALSE,"WELDER.XLS"}</definedName>
    <definedName name="GG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_1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_1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_1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_1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_1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_2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_2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_2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_2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_2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opi" hidden="1">{#N/A,#N/A,FALSE,"consu_cover";#N/A,#N/A,FALSE,"consu_strategy";#N/A,#N/A,FALSE,"consu_flow";#N/A,#N/A,FALSE,"Summary_reqmt";#N/A,#N/A,FALSE,"field_ppg";#N/A,#N/A,FALSE,"ppg_shop";#N/A,#N/A,FALSE,"strl";#N/A,#N/A,FALSE,"tankages";#N/A,#N/A,FALSE,"gases"}</definedName>
    <definedName name="gopi_1" hidden="1">{#N/A,#N/A,FALSE,"consu_cover";#N/A,#N/A,FALSE,"consu_strategy";#N/A,#N/A,FALSE,"consu_flow";#N/A,#N/A,FALSE,"Summary_reqmt";#N/A,#N/A,FALSE,"field_ppg";#N/A,#N/A,FALSE,"ppg_shop";#N/A,#N/A,FALSE,"strl";#N/A,#N/A,FALSE,"tankages";#N/A,#N/A,FALSE,"gases"}</definedName>
    <definedName name="gopi_1_1" hidden="1">{#N/A,#N/A,FALSE,"consu_cover";#N/A,#N/A,FALSE,"consu_strategy";#N/A,#N/A,FALSE,"consu_flow";#N/A,#N/A,FALSE,"Summary_reqmt";#N/A,#N/A,FALSE,"field_ppg";#N/A,#N/A,FALSE,"ppg_shop";#N/A,#N/A,FALSE,"strl";#N/A,#N/A,FALSE,"tankages";#N/A,#N/A,FALSE,"gases"}</definedName>
    <definedName name="gopi_1_2" hidden="1">{#N/A,#N/A,FALSE,"consu_cover";#N/A,#N/A,FALSE,"consu_strategy";#N/A,#N/A,FALSE,"consu_flow";#N/A,#N/A,FALSE,"Summary_reqmt";#N/A,#N/A,FALSE,"field_ppg";#N/A,#N/A,FALSE,"ppg_shop";#N/A,#N/A,FALSE,"strl";#N/A,#N/A,FALSE,"tankages";#N/A,#N/A,FALSE,"gases"}</definedName>
    <definedName name="gopi_1_3" hidden="1">{#N/A,#N/A,FALSE,"consu_cover";#N/A,#N/A,FALSE,"consu_strategy";#N/A,#N/A,FALSE,"consu_flow";#N/A,#N/A,FALSE,"Summary_reqmt";#N/A,#N/A,FALSE,"field_ppg";#N/A,#N/A,FALSE,"ppg_shop";#N/A,#N/A,FALSE,"strl";#N/A,#N/A,FALSE,"tankages";#N/A,#N/A,FALSE,"gases"}</definedName>
    <definedName name="gopi_1_4" hidden="1">{#N/A,#N/A,FALSE,"consu_cover";#N/A,#N/A,FALSE,"consu_strategy";#N/A,#N/A,FALSE,"consu_flow";#N/A,#N/A,FALSE,"Summary_reqmt";#N/A,#N/A,FALSE,"field_ppg";#N/A,#N/A,FALSE,"ppg_shop";#N/A,#N/A,FALSE,"strl";#N/A,#N/A,FALSE,"tankages";#N/A,#N/A,FALSE,"gases"}</definedName>
    <definedName name="gopi_1_5" hidden="1">{#N/A,#N/A,FALSE,"consu_cover";#N/A,#N/A,FALSE,"consu_strategy";#N/A,#N/A,FALSE,"consu_flow";#N/A,#N/A,FALSE,"Summary_reqmt";#N/A,#N/A,FALSE,"field_ppg";#N/A,#N/A,FALSE,"ppg_shop";#N/A,#N/A,FALSE,"strl";#N/A,#N/A,FALSE,"tankages";#N/A,#N/A,FALSE,"gases"}</definedName>
    <definedName name="gopi_2" hidden="1">{#N/A,#N/A,FALSE,"consu_cover";#N/A,#N/A,FALSE,"consu_strategy";#N/A,#N/A,FALSE,"consu_flow";#N/A,#N/A,FALSE,"Summary_reqmt";#N/A,#N/A,FALSE,"field_ppg";#N/A,#N/A,FALSE,"ppg_shop";#N/A,#N/A,FALSE,"strl";#N/A,#N/A,FALSE,"tankages";#N/A,#N/A,FALSE,"gases"}</definedName>
    <definedName name="gopi_2_1" hidden="1">{#N/A,#N/A,FALSE,"consu_cover";#N/A,#N/A,FALSE,"consu_strategy";#N/A,#N/A,FALSE,"consu_flow";#N/A,#N/A,FALSE,"Summary_reqmt";#N/A,#N/A,FALSE,"field_ppg";#N/A,#N/A,FALSE,"ppg_shop";#N/A,#N/A,FALSE,"strl";#N/A,#N/A,FALSE,"tankages";#N/A,#N/A,FALSE,"gases"}</definedName>
    <definedName name="gopi_2_2" hidden="1">{#N/A,#N/A,FALSE,"consu_cover";#N/A,#N/A,FALSE,"consu_strategy";#N/A,#N/A,FALSE,"consu_flow";#N/A,#N/A,FALSE,"Summary_reqmt";#N/A,#N/A,FALSE,"field_ppg";#N/A,#N/A,FALSE,"ppg_shop";#N/A,#N/A,FALSE,"strl";#N/A,#N/A,FALSE,"tankages";#N/A,#N/A,FALSE,"gases"}</definedName>
    <definedName name="gopi_2_3" hidden="1">{#N/A,#N/A,FALSE,"consu_cover";#N/A,#N/A,FALSE,"consu_strategy";#N/A,#N/A,FALSE,"consu_flow";#N/A,#N/A,FALSE,"Summary_reqmt";#N/A,#N/A,FALSE,"field_ppg";#N/A,#N/A,FALSE,"ppg_shop";#N/A,#N/A,FALSE,"strl";#N/A,#N/A,FALSE,"tankages";#N/A,#N/A,FALSE,"gases"}</definedName>
    <definedName name="gopi_2_4" hidden="1">{#N/A,#N/A,FALSE,"consu_cover";#N/A,#N/A,FALSE,"consu_strategy";#N/A,#N/A,FALSE,"consu_flow";#N/A,#N/A,FALSE,"Summary_reqmt";#N/A,#N/A,FALSE,"field_ppg";#N/A,#N/A,FALSE,"ppg_shop";#N/A,#N/A,FALSE,"strl";#N/A,#N/A,FALSE,"tankages";#N/A,#N/A,FALSE,"gases"}</definedName>
    <definedName name="gopi_2_5" hidden="1">{#N/A,#N/A,FALSE,"consu_cover";#N/A,#N/A,FALSE,"consu_strategy";#N/A,#N/A,FALSE,"consu_flow";#N/A,#N/A,FALSE,"Summary_reqmt";#N/A,#N/A,FALSE,"field_ppg";#N/A,#N/A,FALSE,"ppg_shop";#N/A,#N/A,FALSE,"strl";#N/A,#N/A,FALSE,"tankages";#N/A,#N/A,FALSE,"gases"}</definedName>
    <definedName name="gopi_3" hidden="1">{#N/A,#N/A,FALSE,"consu_cover";#N/A,#N/A,FALSE,"consu_strategy";#N/A,#N/A,FALSE,"consu_flow";#N/A,#N/A,FALSE,"Summary_reqmt";#N/A,#N/A,FALSE,"field_ppg";#N/A,#N/A,FALSE,"ppg_shop";#N/A,#N/A,FALSE,"strl";#N/A,#N/A,FALSE,"tankages";#N/A,#N/A,FALSE,"gases"}</definedName>
    <definedName name="gopi_4" hidden="1">{#N/A,#N/A,FALSE,"consu_cover";#N/A,#N/A,FALSE,"consu_strategy";#N/A,#N/A,FALSE,"consu_flow";#N/A,#N/A,FALSE,"Summary_reqmt";#N/A,#N/A,FALSE,"field_ppg";#N/A,#N/A,FALSE,"ppg_shop";#N/A,#N/A,FALSE,"strl";#N/A,#N/A,FALSE,"tankages";#N/A,#N/A,FALSE,"gases"}</definedName>
    <definedName name="gopi_5" hidden="1">{#N/A,#N/A,FALSE,"consu_cover";#N/A,#N/A,FALSE,"consu_strategy";#N/A,#N/A,FALSE,"consu_flow";#N/A,#N/A,FALSE,"Summary_reqmt";#N/A,#N/A,FALSE,"field_ppg";#N/A,#N/A,FALSE,"ppg_shop";#N/A,#N/A,FALSE,"strl";#N/A,#N/A,FALSE,"tankages";#N/A,#N/A,FALSE,"gases"}</definedName>
    <definedName name="gr" hidden="1">{#N/A,#N/A,FALSE,"COVER.XLS";#N/A,#N/A,FALSE,"RACT1.XLS";#N/A,#N/A,FALSE,"RACT2.XLS";#N/A,#N/A,FALSE,"ECCMP";#N/A,#N/A,FALSE,"WELDER.XLS"}</definedName>
    <definedName name="gr_1" hidden="1">{#N/A,#N/A,FALSE,"COVER.XLS";#N/A,#N/A,FALSE,"RACT1.XLS";#N/A,#N/A,FALSE,"RACT2.XLS";#N/A,#N/A,FALSE,"ECCMP";#N/A,#N/A,FALSE,"WELDER.XLS"}</definedName>
    <definedName name="gr_1_1" hidden="1">{#N/A,#N/A,FALSE,"COVER.XLS";#N/A,#N/A,FALSE,"RACT1.XLS";#N/A,#N/A,FALSE,"RACT2.XLS";#N/A,#N/A,FALSE,"ECCMP";#N/A,#N/A,FALSE,"WELDER.XLS"}</definedName>
    <definedName name="gr_1_2" hidden="1">{#N/A,#N/A,FALSE,"COVER.XLS";#N/A,#N/A,FALSE,"RACT1.XLS";#N/A,#N/A,FALSE,"RACT2.XLS";#N/A,#N/A,FALSE,"ECCMP";#N/A,#N/A,FALSE,"WELDER.XLS"}</definedName>
    <definedName name="gr_1_3" hidden="1">{#N/A,#N/A,FALSE,"COVER.XLS";#N/A,#N/A,FALSE,"RACT1.XLS";#N/A,#N/A,FALSE,"RACT2.XLS";#N/A,#N/A,FALSE,"ECCMP";#N/A,#N/A,FALSE,"WELDER.XLS"}</definedName>
    <definedName name="gr_1_4" hidden="1">{#N/A,#N/A,FALSE,"COVER.XLS";#N/A,#N/A,FALSE,"RACT1.XLS";#N/A,#N/A,FALSE,"RACT2.XLS";#N/A,#N/A,FALSE,"ECCMP";#N/A,#N/A,FALSE,"WELDER.XLS"}</definedName>
    <definedName name="gr_1_5" hidden="1">{#N/A,#N/A,FALSE,"COVER.XLS";#N/A,#N/A,FALSE,"RACT1.XLS";#N/A,#N/A,FALSE,"RACT2.XLS";#N/A,#N/A,FALSE,"ECCMP";#N/A,#N/A,FALSE,"WELDER.XLS"}</definedName>
    <definedName name="gr_2" hidden="1">{#N/A,#N/A,FALSE,"COVER.XLS";#N/A,#N/A,FALSE,"RACT1.XLS";#N/A,#N/A,FALSE,"RACT2.XLS";#N/A,#N/A,FALSE,"ECCMP";#N/A,#N/A,FALSE,"WELDER.XLS"}</definedName>
    <definedName name="gr_2_1" hidden="1">{#N/A,#N/A,FALSE,"COVER.XLS";#N/A,#N/A,FALSE,"RACT1.XLS";#N/A,#N/A,FALSE,"RACT2.XLS";#N/A,#N/A,FALSE,"ECCMP";#N/A,#N/A,FALSE,"WELDER.XLS"}</definedName>
    <definedName name="gr_2_2" hidden="1">{#N/A,#N/A,FALSE,"COVER.XLS";#N/A,#N/A,FALSE,"RACT1.XLS";#N/A,#N/A,FALSE,"RACT2.XLS";#N/A,#N/A,FALSE,"ECCMP";#N/A,#N/A,FALSE,"WELDER.XLS"}</definedName>
    <definedName name="gr_2_3" hidden="1">{#N/A,#N/A,FALSE,"COVER.XLS";#N/A,#N/A,FALSE,"RACT1.XLS";#N/A,#N/A,FALSE,"RACT2.XLS";#N/A,#N/A,FALSE,"ECCMP";#N/A,#N/A,FALSE,"WELDER.XLS"}</definedName>
    <definedName name="gr_2_4" hidden="1">{#N/A,#N/A,FALSE,"COVER.XLS";#N/A,#N/A,FALSE,"RACT1.XLS";#N/A,#N/A,FALSE,"RACT2.XLS";#N/A,#N/A,FALSE,"ECCMP";#N/A,#N/A,FALSE,"WELDER.XLS"}</definedName>
    <definedName name="gr_2_5" hidden="1">{#N/A,#N/A,FALSE,"COVER.XLS";#N/A,#N/A,FALSE,"RACT1.XLS";#N/A,#N/A,FALSE,"RACT2.XLS";#N/A,#N/A,FALSE,"ECCMP";#N/A,#N/A,FALSE,"WELDER.XLS"}</definedName>
    <definedName name="gr_3" hidden="1">{#N/A,#N/A,FALSE,"COVER.XLS";#N/A,#N/A,FALSE,"RACT1.XLS";#N/A,#N/A,FALSE,"RACT2.XLS";#N/A,#N/A,FALSE,"ECCMP";#N/A,#N/A,FALSE,"WELDER.XLS"}</definedName>
    <definedName name="gr_4" hidden="1">{#N/A,#N/A,FALSE,"COVER.XLS";#N/A,#N/A,FALSE,"RACT1.XLS";#N/A,#N/A,FALSE,"RACT2.XLS";#N/A,#N/A,FALSE,"ECCMP";#N/A,#N/A,FALSE,"WELDER.XLS"}</definedName>
    <definedName name="gr_5" hidden="1">{#N/A,#N/A,FALSE,"COVER.XLS";#N/A,#N/A,FALSE,"RACT1.XLS";#N/A,#N/A,FALSE,"RACT2.XLS";#N/A,#N/A,FALSE,"ECCMP";#N/A,#N/A,FALSE,"WELDER.XLS"}</definedName>
    <definedName name="gt" hidden="1">{#N/A,#N/A,FALSE,"str_title";#N/A,#N/A,FALSE,"SUM";#N/A,#N/A,FALSE,"Scope";#N/A,#N/A,FALSE,"PIE-Jn";#N/A,#N/A,FALSE,"PIE-Jn_Hz";#N/A,#N/A,FALSE,"Liq_Plan";#N/A,#N/A,FALSE,"S_Curve";#N/A,#N/A,FALSE,"Liq_Prof";#N/A,#N/A,FALSE,"Man_Pwr";#N/A,#N/A,FALSE,"Man_Prof"}</definedName>
    <definedName name="gt_1" hidden="1">{#N/A,#N/A,FALSE,"str_title";#N/A,#N/A,FALSE,"SUM";#N/A,#N/A,FALSE,"Scope";#N/A,#N/A,FALSE,"PIE-Jn";#N/A,#N/A,FALSE,"PIE-Jn_Hz";#N/A,#N/A,FALSE,"Liq_Plan";#N/A,#N/A,FALSE,"S_Curve";#N/A,#N/A,FALSE,"Liq_Prof";#N/A,#N/A,FALSE,"Man_Pwr";#N/A,#N/A,FALSE,"Man_Prof"}</definedName>
    <definedName name="gt_1_1" hidden="1">{#N/A,#N/A,FALSE,"str_title";#N/A,#N/A,FALSE,"SUM";#N/A,#N/A,FALSE,"Scope";#N/A,#N/A,FALSE,"PIE-Jn";#N/A,#N/A,FALSE,"PIE-Jn_Hz";#N/A,#N/A,FALSE,"Liq_Plan";#N/A,#N/A,FALSE,"S_Curve";#N/A,#N/A,FALSE,"Liq_Prof";#N/A,#N/A,FALSE,"Man_Pwr";#N/A,#N/A,FALSE,"Man_Prof"}</definedName>
    <definedName name="gt_1_2" hidden="1">{#N/A,#N/A,FALSE,"str_title";#N/A,#N/A,FALSE,"SUM";#N/A,#N/A,FALSE,"Scope";#N/A,#N/A,FALSE,"PIE-Jn";#N/A,#N/A,FALSE,"PIE-Jn_Hz";#N/A,#N/A,FALSE,"Liq_Plan";#N/A,#N/A,FALSE,"S_Curve";#N/A,#N/A,FALSE,"Liq_Prof";#N/A,#N/A,FALSE,"Man_Pwr";#N/A,#N/A,FALSE,"Man_Prof"}</definedName>
    <definedName name="gt_1_3" hidden="1">{#N/A,#N/A,FALSE,"str_title";#N/A,#N/A,FALSE,"SUM";#N/A,#N/A,FALSE,"Scope";#N/A,#N/A,FALSE,"PIE-Jn";#N/A,#N/A,FALSE,"PIE-Jn_Hz";#N/A,#N/A,FALSE,"Liq_Plan";#N/A,#N/A,FALSE,"S_Curve";#N/A,#N/A,FALSE,"Liq_Prof";#N/A,#N/A,FALSE,"Man_Pwr";#N/A,#N/A,FALSE,"Man_Prof"}</definedName>
    <definedName name="gt_1_4" hidden="1">{#N/A,#N/A,FALSE,"str_title";#N/A,#N/A,FALSE,"SUM";#N/A,#N/A,FALSE,"Scope";#N/A,#N/A,FALSE,"PIE-Jn";#N/A,#N/A,FALSE,"PIE-Jn_Hz";#N/A,#N/A,FALSE,"Liq_Plan";#N/A,#N/A,FALSE,"S_Curve";#N/A,#N/A,FALSE,"Liq_Prof";#N/A,#N/A,FALSE,"Man_Pwr";#N/A,#N/A,FALSE,"Man_Prof"}</definedName>
    <definedName name="gt_1_5" hidden="1">{#N/A,#N/A,FALSE,"str_title";#N/A,#N/A,FALSE,"SUM";#N/A,#N/A,FALSE,"Scope";#N/A,#N/A,FALSE,"PIE-Jn";#N/A,#N/A,FALSE,"PIE-Jn_Hz";#N/A,#N/A,FALSE,"Liq_Plan";#N/A,#N/A,FALSE,"S_Curve";#N/A,#N/A,FALSE,"Liq_Prof";#N/A,#N/A,FALSE,"Man_Pwr";#N/A,#N/A,FALSE,"Man_Prof"}</definedName>
    <definedName name="gt_2" hidden="1">{#N/A,#N/A,FALSE,"str_title";#N/A,#N/A,FALSE,"SUM";#N/A,#N/A,FALSE,"Scope";#N/A,#N/A,FALSE,"PIE-Jn";#N/A,#N/A,FALSE,"PIE-Jn_Hz";#N/A,#N/A,FALSE,"Liq_Plan";#N/A,#N/A,FALSE,"S_Curve";#N/A,#N/A,FALSE,"Liq_Prof";#N/A,#N/A,FALSE,"Man_Pwr";#N/A,#N/A,FALSE,"Man_Prof"}</definedName>
    <definedName name="gt_2_1" hidden="1">{#N/A,#N/A,FALSE,"str_title";#N/A,#N/A,FALSE,"SUM";#N/A,#N/A,FALSE,"Scope";#N/A,#N/A,FALSE,"PIE-Jn";#N/A,#N/A,FALSE,"PIE-Jn_Hz";#N/A,#N/A,FALSE,"Liq_Plan";#N/A,#N/A,FALSE,"S_Curve";#N/A,#N/A,FALSE,"Liq_Prof";#N/A,#N/A,FALSE,"Man_Pwr";#N/A,#N/A,FALSE,"Man_Prof"}</definedName>
    <definedName name="gt_2_2" hidden="1">{#N/A,#N/A,FALSE,"str_title";#N/A,#N/A,FALSE,"SUM";#N/A,#N/A,FALSE,"Scope";#N/A,#N/A,FALSE,"PIE-Jn";#N/A,#N/A,FALSE,"PIE-Jn_Hz";#N/A,#N/A,FALSE,"Liq_Plan";#N/A,#N/A,FALSE,"S_Curve";#N/A,#N/A,FALSE,"Liq_Prof";#N/A,#N/A,FALSE,"Man_Pwr";#N/A,#N/A,FALSE,"Man_Prof"}</definedName>
    <definedName name="gt_2_3" hidden="1">{#N/A,#N/A,FALSE,"str_title";#N/A,#N/A,FALSE,"SUM";#N/A,#N/A,FALSE,"Scope";#N/A,#N/A,FALSE,"PIE-Jn";#N/A,#N/A,FALSE,"PIE-Jn_Hz";#N/A,#N/A,FALSE,"Liq_Plan";#N/A,#N/A,FALSE,"S_Curve";#N/A,#N/A,FALSE,"Liq_Prof";#N/A,#N/A,FALSE,"Man_Pwr";#N/A,#N/A,FALSE,"Man_Prof"}</definedName>
    <definedName name="gt_2_4" hidden="1">{#N/A,#N/A,FALSE,"str_title";#N/A,#N/A,FALSE,"SUM";#N/A,#N/A,FALSE,"Scope";#N/A,#N/A,FALSE,"PIE-Jn";#N/A,#N/A,FALSE,"PIE-Jn_Hz";#N/A,#N/A,FALSE,"Liq_Plan";#N/A,#N/A,FALSE,"S_Curve";#N/A,#N/A,FALSE,"Liq_Prof";#N/A,#N/A,FALSE,"Man_Pwr";#N/A,#N/A,FALSE,"Man_Prof"}</definedName>
    <definedName name="gt_2_5" hidden="1">{#N/A,#N/A,FALSE,"str_title";#N/A,#N/A,FALSE,"SUM";#N/A,#N/A,FALSE,"Scope";#N/A,#N/A,FALSE,"PIE-Jn";#N/A,#N/A,FALSE,"PIE-Jn_Hz";#N/A,#N/A,FALSE,"Liq_Plan";#N/A,#N/A,FALSE,"S_Curve";#N/A,#N/A,FALSE,"Liq_Prof";#N/A,#N/A,FALSE,"Man_Pwr";#N/A,#N/A,FALSE,"Man_Prof"}</definedName>
    <definedName name="gt_3" hidden="1">{#N/A,#N/A,FALSE,"str_title";#N/A,#N/A,FALSE,"SUM";#N/A,#N/A,FALSE,"Scope";#N/A,#N/A,FALSE,"PIE-Jn";#N/A,#N/A,FALSE,"PIE-Jn_Hz";#N/A,#N/A,FALSE,"Liq_Plan";#N/A,#N/A,FALSE,"S_Curve";#N/A,#N/A,FALSE,"Liq_Prof";#N/A,#N/A,FALSE,"Man_Pwr";#N/A,#N/A,FALSE,"Man_Prof"}</definedName>
    <definedName name="gt_4" hidden="1">{#N/A,#N/A,FALSE,"str_title";#N/A,#N/A,FALSE,"SUM";#N/A,#N/A,FALSE,"Scope";#N/A,#N/A,FALSE,"PIE-Jn";#N/A,#N/A,FALSE,"PIE-Jn_Hz";#N/A,#N/A,FALSE,"Liq_Plan";#N/A,#N/A,FALSE,"S_Curve";#N/A,#N/A,FALSE,"Liq_Prof";#N/A,#N/A,FALSE,"Man_Pwr";#N/A,#N/A,FALSE,"Man_Prof"}</definedName>
    <definedName name="gt_5" hidden="1">{#N/A,#N/A,FALSE,"str_title";#N/A,#N/A,FALSE,"SUM";#N/A,#N/A,FALSE,"Scope";#N/A,#N/A,FALSE,"PIE-Jn";#N/A,#N/A,FALSE,"PIE-Jn_Hz";#N/A,#N/A,FALSE,"Liq_Plan";#N/A,#N/A,FALSE,"S_Curve";#N/A,#N/A,FALSE,"Liq_Prof";#N/A,#N/A,FALSE,"Man_Pwr";#N/A,#N/A,FALSE,"Man_Prof"}</definedName>
    <definedName name="gvdged"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hap" hidden="1">{#N/A,#N/A,FALSE,"COVER1.XLS ";#N/A,#N/A,FALSE,"RACT1.XLS";#N/A,#N/A,FALSE,"RACT2.XLS";#N/A,#N/A,FALSE,"ECCMP";#N/A,#N/A,FALSE,"WELDER.XLS"}</definedName>
    <definedName name="hap_1" hidden="1">{#N/A,#N/A,FALSE,"COVER1.XLS ";#N/A,#N/A,FALSE,"RACT1.XLS";#N/A,#N/A,FALSE,"RACT2.XLS";#N/A,#N/A,FALSE,"ECCMP";#N/A,#N/A,FALSE,"WELDER.XLS"}</definedName>
    <definedName name="hap_1_1" hidden="1">{#N/A,#N/A,FALSE,"COVER1.XLS ";#N/A,#N/A,FALSE,"RACT1.XLS";#N/A,#N/A,FALSE,"RACT2.XLS";#N/A,#N/A,FALSE,"ECCMP";#N/A,#N/A,FALSE,"WELDER.XLS"}</definedName>
    <definedName name="hap_1_2" hidden="1">{#N/A,#N/A,FALSE,"COVER1.XLS ";#N/A,#N/A,FALSE,"RACT1.XLS";#N/A,#N/A,FALSE,"RACT2.XLS";#N/A,#N/A,FALSE,"ECCMP";#N/A,#N/A,FALSE,"WELDER.XLS"}</definedName>
    <definedName name="hap_1_3" hidden="1">{#N/A,#N/A,FALSE,"COVER1.XLS ";#N/A,#N/A,FALSE,"RACT1.XLS";#N/A,#N/A,FALSE,"RACT2.XLS";#N/A,#N/A,FALSE,"ECCMP";#N/A,#N/A,FALSE,"WELDER.XLS"}</definedName>
    <definedName name="hap_1_4" hidden="1">{#N/A,#N/A,FALSE,"COVER1.XLS ";#N/A,#N/A,FALSE,"RACT1.XLS";#N/A,#N/A,FALSE,"RACT2.XLS";#N/A,#N/A,FALSE,"ECCMP";#N/A,#N/A,FALSE,"WELDER.XLS"}</definedName>
    <definedName name="hap_1_5" hidden="1">{#N/A,#N/A,FALSE,"COVER1.XLS ";#N/A,#N/A,FALSE,"RACT1.XLS";#N/A,#N/A,FALSE,"RACT2.XLS";#N/A,#N/A,FALSE,"ECCMP";#N/A,#N/A,FALSE,"WELDER.XLS"}</definedName>
    <definedName name="hap_2" hidden="1">{#N/A,#N/A,FALSE,"COVER1.XLS ";#N/A,#N/A,FALSE,"RACT1.XLS";#N/A,#N/A,FALSE,"RACT2.XLS";#N/A,#N/A,FALSE,"ECCMP";#N/A,#N/A,FALSE,"WELDER.XLS"}</definedName>
    <definedName name="hap_2_1" hidden="1">{#N/A,#N/A,FALSE,"COVER1.XLS ";#N/A,#N/A,FALSE,"RACT1.XLS";#N/A,#N/A,FALSE,"RACT2.XLS";#N/A,#N/A,FALSE,"ECCMP";#N/A,#N/A,FALSE,"WELDER.XLS"}</definedName>
    <definedName name="hap_2_2" hidden="1">{#N/A,#N/A,FALSE,"COVER1.XLS ";#N/A,#N/A,FALSE,"RACT1.XLS";#N/A,#N/A,FALSE,"RACT2.XLS";#N/A,#N/A,FALSE,"ECCMP";#N/A,#N/A,FALSE,"WELDER.XLS"}</definedName>
    <definedName name="hap_2_3" hidden="1">{#N/A,#N/A,FALSE,"COVER1.XLS ";#N/A,#N/A,FALSE,"RACT1.XLS";#N/A,#N/A,FALSE,"RACT2.XLS";#N/A,#N/A,FALSE,"ECCMP";#N/A,#N/A,FALSE,"WELDER.XLS"}</definedName>
    <definedName name="hap_2_4" hidden="1">{#N/A,#N/A,FALSE,"COVER1.XLS ";#N/A,#N/A,FALSE,"RACT1.XLS";#N/A,#N/A,FALSE,"RACT2.XLS";#N/A,#N/A,FALSE,"ECCMP";#N/A,#N/A,FALSE,"WELDER.XLS"}</definedName>
    <definedName name="hap_2_5" hidden="1">{#N/A,#N/A,FALSE,"COVER1.XLS ";#N/A,#N/A,FALSE,"RACT1.XLS";#N/A,#N/A,FALSE,"RACT2.XLS";#N/A,#N/A,FALSE,"ECCMP";#N/A,#N/A,FALSE,"WELDER.XLS"}</definedName>
    <definedName name="hap_3" hidden="1">{#N/A,#N/A,FALSE,"COVER1.XLS ";#N/A,#N/A,FALSE,"RACT1.XLS";#N/A,#N/A,FALSE,"RACT2.XLS";#N/A,#N/A,FALSE,"ECCMP";#N/A,#N/A,FALSE,"WELDER.XLS"}</definedName>
    <definedName name="hap_4" hidden="1">{#N/A,#N/A,FALSE,"COVER1.XLS ";#N/A,#N/A,FALSE,"RACT1.XLS";#N/A,#N/A,FALSE,"RACT2.XLS";#N/A,#N/A,FALSE,"ECCMP";#N/A,#N/A,FALSE,"WELDER.XLS"}</definedName>
    <definedName name="hap_5" hidden="1">{#N/A,#N/A,FALSE,"COVER1.XLS ";#N/A,#N/A,FALSE,"RACT1.XLS";#N/A,#N/A,FALSE,"RACT2.XLS";#N/A,#N/A,FALSE,"ECCMP";#N/A,#N/A,FALSE,"WELDER.XLS"}</definedName>
    <definedName name="hashdhasdh" hidden="1">{#N/A,#N/A,FALSE,"17MAY";#N/A,#N/A,FALSE,"24MAY"}</definedName>
    <definedName name="hashdhasdh_1" hidden="1">{#N/A,#N/A,FALSE,"17MAY";#N/A,#N/A,FALSE,"24MAY"}</definedName>
    <definedName name="hashdhasdh_2" hidden="1">{#N/A,#N/A,FALSE,"17MAY";#N/A,#N/A,FALSE,"24MAY"}</definedName>
    <definedName name="hashdhasdh_3" hidden="1">{#N/A,#N/A,FALSE,"17MAY";#N/A,#N/A,FALSE,"24MAY"}</definedName>
    <definedName name="hashdhasdh_4" hidden="1">{#N/A,#N/A,FALSE,"17MAY";#N/A,#N/A,FALSE,"24MAY"}</definedName>
    <definedName name="hashdhasdh_5" hidden="1">{#N/A,#N/A,FALSE,"17MAY";#N/A,#N/A,FALSE,"24MAY"}</definedName>
    <definedName name="hh" hidden="1">#REF!</definedName>
    <definedName name="html" hidden="1">{"'kpi2-1'!$E$4"}</definedName>
    <definedName name="HTML_CodePage" hidden="1">950</definedName>
    <definedName name="HTML_Control" hidden="1">{"'Sheet1'!$L$16"}</definedName>
    <definedName name="HTML_Control_1" hidden="1">{"'Sheet1'!$L$16"}</definedName>
    <definedName name="HTML_Control_2" hidden="1">{"'Sheet1'!$L$16"}</definedName>
    <definedName name="HTML_Control_3" hidden="1">{"'Sheet1'!$L$16"}</definedName>
    <definedName name="HTML_Control_4" hidden="1">{"'Sheet1'!$L$16"}</definedName>
    <definedName name="HTML_Control_5"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huy_1" hidden="1">{"'Sheet1'!$L$16"}</definedName>
    <definedName name="huy_2" hidden="1">{"'Sheet1'!$L$16"}</definedName>
    <definedName name="huy_3" hidden="1">{"'Sheet1'!$L$16"}</definedName>
    <definedName name="huy_4" hidden="1">{"'Sheet1'!$L$16"}</definedName>
    <definedName name="huy_5" hidden="1">{"'Sheet1'!$L$16"}</definedName>
    <definedName name="ii" hidden="1">{"PMTBUDSM",#N/A,FALSE,"Sheet 1";"PMTBUDSMD",#N/A,FALSE,"Sheet 1"}</definedName>
    <definedName name="ii_1" hidden="1">{"PMTBUDSM",#N/A,FALSE,"Sheet 1";"PMTBUDSMD",#N/A,FALSE,"Sheet 1"}</definedName>
    <definedName name="ii_2" hidden="1">{"PMTBUDSM",#N/A,FALSE,"Sheet 1";"PMTBUDSMD",#N/A,FALSE,"Sheet 1"}</definedName>
    <definedName name="ii_3" hidden="1">{"PMTBUDSM",#N/A,FALSE,"Sheet 1";"PMTBUDSMD",#N/A,FALSE,"Sheet 1"}</definedName>
    <definedName name="ii_4" hidden="1">{"PMTBUDSM",#N/A,FALSE,"Sheet 1";"PMTBUDSMD",#N/A,FALSE,"Sheet 1"}</definedName>
    <definedName name="ii_5" hidden="1">{"PMTBUDSM",#N/A,FALSE,"Sheet 1";"PMTBUDSMD",#N/A,FALSE,"Sheet 1"}</definedName>
    <definedName name="Inf.G_Flor" hidden="1">#REF!</definedName>
    <definedName name="Inf.G_Trad" hidden="1">#REF!</definedName>
    <definedName name="io" hidden="1">{"PMTBUDSM",#N/A,FALSE,"Sheet 1";"PMTBUDSMD",#N/A,FALSE,"Sheet 1"}</definedName>
    <definedName name="io_1" hidden="1">{"PMTBUDSM",#N/A,FALSE,"Sheet 1";"PMTBUDSMD",#N/A,FALSE,"Sheet 1"}</definedName>
    <definedName name="io_2" hidden="1">{"PMTBUDSM",#N/A,FALSE,"Sheet 1";"PMTBUDSMD",#N/A,FALSE,"Sheet 1"}</definedName>
    <definedName name="io_3" hidden="1">{"PMTBUDSM",#N/A,FALSE,"Sheet 1";"PMTBUDSMD",#N/A,FALSE,"Sheet 1"}</definedName>
    <definedName name="io_4" hidden="1">{"PMTBUDSM",#N/A,FALSE,"Sheet 1";"PMTBUDSMD",#N/A,FALSE,"Sheet 1"}</definedName>
    <definedName name="io_5" hidden="1">{"PMTBUDSM",#N/A,FALSE,"Sheet 1";"PMTBUDSMD",#N/A,FALSE,"Sheet 1"}</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HELD_FDIC" hidden="1">"c6305"</definedName>
    <definedName name="IQ_ASSETS_NAME_AP" hidden="1">"c8921"</definedName>
    <definedName name="IQ_ASSETS_NAME_AP_ABS" hidden="1">"c8940"</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REUT" hidden="1">"c3630"</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_CIQ" hidden="1">"c4984"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_UNUSED_UNUSED" hidden="1">"c8135"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"c11749"</definedName>
    <definedName name="IQ_BOARD_MEMBER" hidden="1">"c96"</definedName>
    <definedName name="IQ_BOARD_MEMBER_BACKGROUND" hidden="1">"c2101"</definedName>
    <definedName name="IQ_BOARD_MEMBER_TITLE" hidden="1">"c97"</definedName>
    <definedName name="IQ_BROK_COMISSION" hidden="1">"c98"</definedName>
    <definedName name="IQ_BROK_COMMISSION" hidden="1">"c3514"</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CIQ" hidden="1">"c5068"</definedName>
    <definedName name="IQ_BV_OVER_SHARES" hidden="1">"c1349"</definedName>
    <definedName name="IQ_BV_SHARE" hidden="1">"c100"</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Y" hidden="1">"c102"</definedName>
    <definedName name="IQ_CAL_Y_EST" hidden="1">"c6797"</definedName>
    <definedName name="IQ_CAL_Y_EST_CIQ" hidden="1">"c6809"</definedName>
    <definedName name="IQ_CALC_TYPE_BS" hidden="1">"c3086"</definedName>
    <definedName name="IQ_CALC_TYPE_CF" hidden="1">"c3085"</definedName>
    <definedName name="IQ_CALC_TYPE_IS" hidden="1">"c3084"</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DUE_BANKS" hidden="1">"c1351"</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_CIQ" hidden="1">"c4566"</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OPER" hidden="1">"c6293"</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_CIQ" hidden="1">"c4576"</definedName>
    <definedName name="IQ_CASH_OPER_AP" hidden="1">"c8888"</definedName>
    <definedName name="IQ_CASH_OPER_AP_ABS" hidden="1">"c8907"</definedName>
    <definedName name="IQ_CASH_OPER_NAME_AP" hidden="1">"c8926"</definedName>
    <definedName name="IQ_CASH_OPER_NAME_AP_ABS" hidden="1">"c8945"</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_UNUSED_UNUSED" hidden="1">"c8280"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VERT" hidden="1">"c2536"</definedName>
    <definedName name="IQ_CONVERT_PCT" hidden="1">"c2537"</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ST_BORROWING" hidden="1">"c2936"</definedName>
    <definedName name="IQ_COST_BORROWINGS" hidden="1">"c225"</definedName>
    <definedName name="IQ_COST_CAPITAL_NEW_BUSINESS" hidden="1">"c9968"</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EXPOSURE" hidden="1">"c10038"</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_UNUSED_UNUSED" hidden="1">"c7947"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_UNUSED_UNUSED" hidden="1">"c8167"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_CIQ" hidden="1">"c4803"</definedName>
    <definedName name="IQ_DISTRIBUTABLE_CASH_PAYOUT" hidden="1">"c3005"</definedName>
    <definedName name="IQ_DISTRIBUTABLE_CASH_SHARE" hidden="1">"c3003"</definedName>
    <definedName name="IQ_DISTRIBUTABLE_CASH_SHARE_ACT_OR_EST_CIQ" hidden="1">"c4811"</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COVERAGE_NET_CHARGE_OFFS_FDIC" hidden="1">"c6735"</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EQ_INC" hidden="1">"c3498"</definedName>
    <definedName name="IQ_EBIT_EQ_INC_EXCL_SBC" hidden="1">"c3502"</definedName>
    <definedName name="IQ_EBIT_EXCL_SBC" hidden="1">"c3082"</definedName>
    <definedName name="IQ_EBIT_INT" hidden="1">"c360"</definedName>
    <definedName name="IQ_EBIT_MARGIN" hidden="1">"c359"</definedName>
    <definedName name="IQ_EBIT_OVER_IE" hidden="1">"c1369"</definedName>
    <definedName name="IQ_EBIT_SBC_ACT_OR_EST_CIQ" hidden="1">"c4841"</definedName>
    <definedName name="IQ_EBIT_SBC_GW_ACT_OR_EST_CIQ" hidden="1">"c4845"</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_CIQ" hidden="1">"c5060"</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XCL_SBC" hidden="1">"c3081"</definedName>
    <definedName name="IQ_EBITDA_HIGH_EST" hidden="1">"c370"</definedName>
    <definedName name="IQ_EBITDA_HIGH_EST_CIQ" hidden="1">"c3624"</definedName>
    <definedName name="IQ_EBITDA_HIGH_EST_REUT" hidden="1">"c3642"</definedName>
    <definedName name="IQ_EBITDA_INT" hidden="1">"c373"</definedName>
    <definedName name="IQ_EBITDA_LOW_EST" hidden="1">"c371"</definedName>
    <definedName name="IQ_EBITDA_LOW_EST_CIQ" hidden="1">"c3625"</definedName>
    <definedName name="IQ_EBITDA_LOW_EST_REUT" hidden="1">"c3643"</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NUM_EST" hidden="1">"c374"</definedName>
    <definedName name="IQ_EBITDA_NUM_EST_CIQ" hidden="1">"c3626"</definedName>
    <definedName name="IQ_EBITDA_NUM_EST_REUT" hidden="1">"c3644"</definedName>
    <definedName name="IQ_EBITDA_OVER_TOTAL_IE" hidden="1">"c1371"</definedName>
    <definedName name="IQ_EBITDA_SBC_ACT_OR_EST_CIQ" hidden="1">"c4862"</definedName>
    <definedName name="IQ_EBITDA_STDDEV_EST" hidden="1">"c375"</definedName>
    <definedName name="IQ_EBITDA_STDDEV_EST_CIQ" hidden="1">"c3627"</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 hidden="1">"c6215"</definedName>
    <definedName name="IQ_EBT_REIT" hidden="1">"c389"</definedName>
    <definedName name="IQ_EBT_SBC_ACT_OR_EST_CIQ" hidden="1">"c4875"</definedName>
    <definedName name="IQ_EBT_SBC_GW_ACT_OR_EST_CIQ" hidden="1">"c4879"</definedName>
    <definedName name="IQ_EBT_SUBTOTAL_AP" hidden="1">"c8982"</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27" hidden="1">"c6927"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147" hidden="1">"c7147"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367" hidden="1">"c7367"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587" hidden="1">"c7587"</definedName>
    <definedName name="IQ_ECO_METRIC_7648_UNUSED_UNUSED_UNUSED" hidden="1">"c7648"</definedName>
    <definedName name="IQ_ECO_METRIC_7704" hidden="1">"c7704"</definedName>
    <definedName name="IQ_ECO_METRIC_7705_UNUSED_UNUSED_UNUSED" hidden="1">"c7705"</definedName>
    <definedName name="IQ_ECO_METRIC_7706" hidden="1">"c7706"</definedName>
    <definedName name="IQ_ECO_METRIC_7718" hidden="1">"c7718"</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07" hidden="1">"c7807"</definedName>
    <definedName name="IQ_ECO_METRIC_7811" hidden="1">"c7811"</definedName>
    <definedName name="IQ_ECO_METRIC_7868_UNUSED_UNUSED_UNUSED" hidden="1">"c7868"</definedName>
    <definedName name="IQ_ECO_METRIC_7873" hidden="1">"c7873"</definedName>
    <definedName name="IQ_ECO_METRIC_7924" hidden="1">"c7924"</definedName>
    <definedName name="IQ_ECO_METRIC_7925_UNUSED_UNUSED_UNUSED" hidden="1">"c7925"</definedName>
    <definedName name="IQ_ECO_METRIC_7926" hidden="1">"c7926"</definedName>
    <definedName name="IQ_ECO_METRIC_7938" hidden="1">"c7938"</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27" hidden="1">"c8027"</definedName>
    <definedName name="IQ_ECO_METRIC_8031" hidden="1">"c8031"</definedName>
    <definedName name="IQ_ECO_METRIC_8088_UNUSED_UNUSED_UNUSED" hidden="1">"c8088"</definedName>
    <definedName name="IQ_ECO_METRIC_8093" hidden="1">"c8093"</definedName>
    <definedName name="IQ_ECO_METRIC_8144" hidden="1">"c8144"</definedName>
    <definedName name="IQ_ECO_METRIC_8145_UNUSED_UNUSED_UNUSED" hidden="1">"c8145"</definedName>
    <definedName name="IQ_ECO_METRIC_8146" hidden="1">"c8146"</definedName>
    <definedName name="IQ_ECO_METRIC_8158" hidden="1">"c8158"</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247" hidden="1">"c8247"</definedName>
    <definedName name="IQ_ECO_METRIC_8251" hidden="1">"c8251"</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_UNUSED_UNUSED" hidden="1">"c8436"</definedName>
    <definedName name="IQ_ECO_METRIC_8437_UNUSED_UNUSED_UNUSED" hidden="1">"c8437"</definedName>
    <definedName name="IQ_ECO_METRIC_8467" hidden="1">"c8467"</definedName>
    <definedName name="IQ_ECO_METRIC_8471" hidden="1">"c8471"</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_CIQ" hidden="1">"c5058"</definedName>
    <definedName name="IQ_EPS_AP" hidden="1">"c8880"</definedName>
    <definedName name="IQ_EPS_AP_ABS" hidden="1">"c8899"</definedName>
    <definedName name="IQ_EPS_EST" hidden="1">"c399"</definedName>
    <definedName name="IQ_EPS_EST_CIQ" hidden="1">"c4994"</definedName>
    <definedName name="IQ_EPS_EST_REUT" hidden="1">"c5453"</definedName>
    <definedName name="IQ_EPS_GW_ACT_OR_EST_CIQ" hidden="1">"c5066"</definedName>
    <definedName name="IQ_EPS_GW_EST" hidden="1">"c1737"</definedName>
    <definedName name="IQ_EPS_GW_EST_CIQ" hidden="1">"c4723"</definedName>
    <definedName name="IQ_EPS_GW_EST_REUT" hidden="1">"c5389"</definedName>
    <definedName name="IQ_EPS_GW_HIGH_EST" hidden="1">"c1739"</definedName>
    <definedName name="IQ_EPS_GW_HIGH_EST_CIQ" hidden="1">"c4725"</definedName>
    <definedName name="IQ_EPS_GW_HIGH_EST_REUT" hidden="1">"c5391"</definedName>
    <definedName name="IQ_EPS_GW_LOW_EST" hidden="1">"c1740"</definedName>
    <definedName name="IQ_EPS_GW_LOW_EST_CIQ" hidden="1">"c4726"</definedName>
    <definedName name="IQ_EPS_GW_LOW_EST_REUT" hidden="1">"c5392"</definedName>
    <definedName name="IQ_EPS_GW_MEDIAN_EST" hidden="1">"c1738"</definedName>
    <definedName name="IQ_EPS_GW_MEDIAN_EST_CIQ" hidden="1">"c4724"</definedName>
    <definedName name="IQ_EPS_GW_MEDIAN_EST_REUT" hidden="1">"c5390"</definedName>
    <definedName name="IQ_EPS_GW_NUM_EST" hidden="1">"c1741"</definedName>
    <definedName name="IQ_EPS_GW_NUM_EST_CIQ" hidden="1">"c4727"</definedName>
    <definedName name="IQ_EPS_GW_NUM_EST_REUT" hidden="1">"c5393"</definedName>
    <definedName name="IQ_EPS_GW_STDDEV_EST" hidden="1">"c1742"</definedName>
    <definedName name="IQ_EPS_GW_STDDEV_EST_CIQ" hidden="1">"c4728"</definedName>
    <definedName name="IQ_EPS_GW_STDDEV_EST_REUT" hidden="1">"c5394"</definedName>
    <definedName name="IQ_EPS_HIGH_EST" hidden="1">"c400"</definedName>
    <definedName name="IQ_EPS_HIGH_EST_CIQ" hidden="1">"c4995"</definedName>
    <definedName name="IQ_EPS_HIGH_EST_REUT" hidden="1">"c5454"</definedName>
    <definedName name="IQ_EPS_LOW_EST" hidden="1">"c401"</definedName>
    <definedName name="IQ_EPS_LOW_EST_CIQ" hidden="1">"c4996"</definedName>
    <definedName name="IQ_EPS_LOW_EST_REUT" hidden="1">"c5455"</definedName>
    <definedName name="IQ_EPS_MEDIAN_EST" hidden="1">"c1661"</definedName>
    <definedName name="IQ_EPS_MEDIAN_EST_CIQ" hidden="1">"c4997"</definedName>
    <definedName name="IQ_EPS_MEDIAN_EST_REUT" hidden="1">"c5456"</definedName>
    <definedName name="IQ_EPS_NAME_AP" hidden="1">"c8918"</definedName>
    <definedName name="IQ_EPS_NAME_AP_ABS" hidden="1">"c8937"</definedName>
    <definedName name="IQ_EPS_NORM" hidden="1">"c1902"</definedName>
    <definedName name="IQ_EPS_NORM_EST" hidden="1">"c2226"</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REPORT_ACT_OR_EST_CIQ" hidden="1">"c5067"</definedName>
    <definedName name="IQ_EPS_REPORTED_EST" hidden="1">"c1744"</definedName>
    <definedName name="IQ_EPS_REPORTED_EST_CIQ" hidden="1">"c4730"</definedName>
    <definedName name="IQ_EPS_REPORTED_EST_REUT" hidden="1">"c5396"</definedName>
    <definedName name="IQ_EPS_REPORTED_HIGH_EST" hidden="1">"c1746"</definedName>
    <definedName name="IQ_EPS_REPORTED_HIGH_EST_CIQ" hidden="1">"c4732"</definedName>
    <definedName name="IQ_EPS_REPORTED_HIGH_EST_REUT" hidden="1">"c5398"</definedName>
    <definedName name="IQ_EPS_REPORTED_LOW_EST" hidden="1">"c1747"</definedName>
    <definedName name="IQ_EPS_REPORTED_LOW_EST_CIQ" hidden="1">"c4733"</definedName>
    <definedName name="IQ_EPS_REPORTED_LOW_EST_REUT" hidden="1">"c5399"</definedName>
    <definedName name="IQ_EPS_REPORTED_MEDIAN_EST" hidden="1">"c1745"</definedName>
    <definedName name="IQ_EPS_REPORTED_MEDIAN_EST_CIQ" hidden="1">"c4731"</definedName>
    <definedName name="IQ_EPS_REPORTED_MEDIAN_EST_REUT" hidden="1">"c5397"</definedName>
    <definedName name="IQ_EPS_REPORTED_NUM_EST" hidden="1">"c1748"</definedName>
    <definedName name="IQ_EPS_REPORTED_NUM_EST_CIQ" hidden="1">"c4734"</definedName>
    <definedName name="IQ_EPS_REPORTED_NUM_EST_REUT" hidden="1">"c5400"</definedName>
    <definedName name="IQ_EPS_REPORTED_STDDEV_EST" hidden="1">"c1749"</definedName>
    <definedName name="IQ_EPS_REPORTED_STDDEV_EST_CIQ" hidden="1">"c4735"</definedName>
    <definedName name="IQ_EPS_REPORTED_STDDEV_EST_REUT" hidden="1">"c5401"</definedName>
    <definedName name="IQ_EPS_SBC_ACT_OR_EST_CIQ" hidden="1">"c4901"</definedName>
    <definedName name="IQ_EPS_SBC_GW_ACT_OR_EST_CIQ" hidden="1">"c4905"</definedName>
    <definedName name="IQ_EPS_STDDEV_EST" hidden="1">"c403"</definedName>
    <definedName name="IQ_EPS_STDDEV_EST_CIQ" hidden="1">"c4993"</definedName>
    <definedName name="IQ_EPS_STDDEV_EST_REUT" hidden="1">"c5452"</definedName>
    <definedName name="IQ_EQUITY_AFFIL" hidden="1">"c1451"</definedName>
    <definedName name="IQ_EQUITY_AP" hidden="1">"c8887"</definedName>
    <definedName name="IQ_EQUITY_AP_ABS" hidden="1">"c8906"</definedName>
    <definedName name="IQ_EQUITY_CAPITAL_ASSETS_FDIC" hidden="1">"c6744"</definedName>
    <definedName name="IQ_EQUITY_FDIC" hidden="1">"c6353"</definedName>
    <definedName name="IQ_EQUITY_METHOD" hidden="1">"c404"</definedName>
    <definedName name="IQ_EQUITY_NAME_AP" hidden="1">"c8925"</definedName>
    <definedName name="IQ_EQUITY_NAME_AP_ABS" hidden="1">"c8944"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EPS_GW" hidden="1">"c1743"</definedName>
    <definedName name="IQ_EST_ACT_EPS_GW_CIQ" hidden="1">"c4729"</definedName>
    <definedName name="IQ_EST_ACT_EPS_GW_REUT" hidden="1">"c5395"</definedName>
    <definedName name="IQ_EST_ACT_EPS_NORM" hidden="1">"c2232"</definedName>
    <definedName name="IQ_EST_ACT_EPS_NORM_CIQ" hidden="1">"c4673"</definedName>
    <definedName name="IQ_EST_ACT_EPS_NORM_REUT" hidden="1">"c5332"</definedName>
    <definedName name="IQ_EST_ACT_EPS_REPORTED" hidden="1">"c1750"</definedName>
    <definedName name="IQ_EST_ACT_EPS_REPORTED_CIQ" hidden="1">"c4736"</definedName>
    <definedName name="IQ_EST_ACT_EPS_REPORTED_REUT" hidden="1">"c5402"</definedName>
    <definedName name="IQ_EST_CURRENCY" hidden="1">"c2140"</definedName>
    <definedName name="IQ_EST_CURRENCY_CIQ" hidden="1">"c4769"</definedName>
    <definedName name="IQ_EST_CURRENCY_REUT" hidden="1">"c5437"</definedName>
    <definedName name="IQ_EST_DATE" hidden="1">"c1634"</definedName>
    <definedName name="IQ_EST_DATE_CIQ" hidden="1">"c4770"</definedName>
    <definedName name="IQ_EST_DATE_REUT" hidden="1">"c5438"</definedName>
    <definedName name="IQ_EST_EPS_GROWTH_1YR" hidden="1">"c1636"</definedName>
    <definedName name="IQ_EST_EPS_GROWTH_1YR_CIQ" hidden="1">"c3628"</definedName>
    <definedName name="IQ_EST_EPS_GROWTH_1YR_REUT" hidden="1">"c3646"</definedName>
    <definedName name="IQ_EST_EPS_GROWTH_5YR" hidden="1">"c1655"</definedName>
    <definedName name="IQ_EST_EPS_GROWTH_5YR_CIQ" hidden="1">"c3615"</definedName>
    <definedName name="IQ_EST_EPS_GROWTH_5YR_HIGH" hidden="1">"c1657"</definedName>
    <definedName name="IQ_EST_EPS_GROWTH_5YR_HIGH_CIQ" hidden="1">"c4663"</definedName>
    <definedName name="IQ_EST_EPS_GROWTH_5YR_LOW" hidden="1">"c1658"</definedName>
    <definedName name="IQ_EST_EPS_GROWTH_5YR_LOW_CIQ" hidden="1">"c4664"</definedName>
    <definedName name="IQ_EST_EPS_GROWTH_5YR_MEDIAN" hidden="1">"c1656"</definedName>
    <definedName name="IQ_EST_EPS_GROWTH_5YR_MEDIAN_CIQ" hidden="1">"c5480"</definedName>
    <definedName name="IQ_EST_EPS_GROWTH_5YR_NUM" hidden="1">"c1659"</definedName>
    <definedName name="IQ_EST_EPS_GROWTH_5YR_NUM_CIQ" hidden="1">"c4665"</definedName>
    <definedName name="IQ_EST_EPS_GROWTH_5YR_REUT" hidden="1">"c3633"</definedName>
    <definedName name="IQ_EST_EPS_GROWTH_5YR_STDDEV" hidden="1">"c1660"</definedName>
    <definedName name="IQ_EST_EPS_GROWTH_5YR_STDDEV_CIQ" hidden="1">"c4666"</definedName>
    <definedName name="IQ_EST_EPS_GROWTH_Q_1YR" hidden="1">"c1641"</definedName>
    <definedName name="IQ_EST_EPS_GROWTH_Q_1YR_CIQ" hidden="1">"c4744"</definedName>
    <definedName name="IQ_EST_EPS_GROWTH_Q_1YR_REUT" hidden="1">"c5410"</definedName>
    <definedName name="IQ_EST_EPS_GW_DIFF" hidden="1">"c1891"</definedName>
    <definedName name="IQ_EST_EPS_GW_DIFF_CIQ" hidden="1">"c4761"</definedName>
    <definedName name="IQ_EST_EPS_GW_DIFF_REUT" hidden="1">"c5429"</definedName>
    <definedName name="IQ_EST_EPS_GW_SURPRISE_PERCENT" hidden="1">"c1892"</definedName>
    <definedName name="IQ_EST_EPS_GW_SURPRISE_PERCENT_CIQ" hidden="1">"c4762"</definedName>
    <definedName name="IQ_EST_EPS_GW_SURPRISE_PERCENT_REUT" hidden="1">"c5430"</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SURPRISE_PERCENT" hidden="1">"c1894"</definedName>
    <definedName name="IQ_EST_EPS_REPORT_SURPRISE_PERCENT_CIQ" hidden="1">"c4764"</definedName>
    <definedName name="IQ_EST_EPS_REPORT_SURPRISE_PERCENT_REUT" hidden="1">"c5432"</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S_AP" hidden="1">"c8875"</definedName>
    <definedName name="IQ_EXPENSES_AP_ABS" hidden="1">"c8894"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_UNUSED_UNUSED" hidden="1">"c8401"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 hidden="1">"c11931"</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 hidden="1">"c11932"</definedName>
    <definedName name="IQ_EXPORTS_GOODS_REAL_SAAR_YOY_FC_UNUSED_UNUSED_UNUSED" hidden="1">"c8292"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_UNUSED_UNUSED" hidden="1">"c7961"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 hidden="1">"c11935"</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 hidden="1">"c11936"</definedName>
    <definedName name="IQ_EXPORTS_SERVICES_REAL_SAAR_YOY_FC_UNUSED_UNUSED_UNUSED" hidden="1">"c8296"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D" hidden="1">"c8757"</definedName>
    <definedName name="IQ_FAD_PAYOUT_RATIO" hidden="1">"c8872"</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S_PURCHASED_FDIC" hidden="1">"c6343"</definedName>
    <definedName name="IQ_FED_FUNDS_SOLD_FDIC" hidden="1">"c6307"</definedName>
    <definedName name="IQ_FEDFUNDS_SOLD" hidden="1">"c2256"</definedName>
    <definedName name="IQ_FFO" hidden="1">"c1574"</definedName>
    <definedName name="IQ_FFO_ADJ_ACT_OR_EST_CIQ" hidden="1">"c4960"</definedName>
    <definedName name="IQ_FFO_PAYOUT_RATIO" hidden="1">"c3492"</definedName>
    <definedName name="IQ_FFO_PER_SHARE_BASIC" hidden="1">"c8867"</definedName>
    <definedName name="IQ_FFO_PER_SHARE_DILUTED" hidden="1">"c8868"</definedName>
    <definedName name="IQ_FFO_SHARE_ACT_OR_EST_CIQ" hidden="1">"c4971"</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Y" hidden="1">"c441"</definedName>
    <definedName name="IQ_FISCAL_Y_EST" hidden="1">"c6795"</definedName>
    <definedName name="IQ_FISCAL_Y_EST_CIQ" hidden="1">"c6807"</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_UNUSED_UNUSED" hidden="1">"c8298"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TARGET_PRICE" hidden="1">"c1651"</definedName>
    <definedName name="IQ_HIGH_TARGET_PRICE_CIQ" hidden="1">"c4659"</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MENT_GW" hidden="1">"c548"</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 hidden="1">"c11959"</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_UNUSED_UNUSED" hidden="1">"c8304"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_UNUSED_UNUSED" hidden="1">"c8209"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EARING_DEPOSITS" hidden="1">"c1166"</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D_GUARANTEED_US_FDIC" hidden="1">"c6404"</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CIQ" hidden="1">"c4660"</definedName>
    <definedName name="IQ_LOW_TARGET_PRICE_REUT" hidden="1">"c5318"</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_CIQ" hidden="1">"c4987"</definedName>
    <definedName name="IQ_MAINT_REPAIR" hidden="1">"c2087"</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TURITY_ONE_YEAR_LESS_FDIC" hidden="1">"c6425"</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ONEY_MARKET_DEPOSIT_ACCOUNTS_FDIC" hidden="1">"c6553"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42804.3913078704</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BEFORE_CAPITALIZED" hidden="1">"c792"</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MARGIN" hidden="1">"c794"</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SBC_ACT_OR_EST_CIQ" hidden="1">"c5012"</definedName>
    <definedName name="IQ_NI_SBC_GW_ACT_OR_EST_CIQ" hidden="1">"c5016"</definedName>
    <definedName name="IQ_NI_SFAS" hidden="1">"c795"</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"c11750"</definedName>
    <definedName name="IQ_NON_INT_BEARING_DEPOSITS" hidden="1">"c800"</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_UNUSED_UNUSED" hidden="1">"c8248"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NSACTION_ACCOUNTS_FDIC" hidden="1">"c6552"</definedName>
    <definedName name="IQ_NONUTIL_REV" hidden="1">"c2089"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ANCY_CONSOL" hidden="1">"c8840"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 hidden="1">"c6240"</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DJUSTMENTS_COVERED" hidden="1">"c9961"</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OOMS" hidden="1">"c8788"</definedName>
    <definedName name="IQ_OTHER_SAVINGS_DEPOSITS_FDIC" hidden="1">"c6554"</definedName>
    <definedName name="IQ_OTHER_SQ_FT" hidden="1">"c8780"</definedName>
    <definedName name="IQ_OTHER_STRIKE_PRICE_GRANTED" hidden="1">"c2692"</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_TIME" hidden="1">"c1024"</definedName>
    <definedName name="IQ_PARTICIPATION_POOLS_RESIDENTIAL_MORTGAGES_FDIC" hidden="1">"c6403"</definedName>
    <definedName name="IQ_PARTNERSHIP_INC_RE" hidden="1">"c12039"</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8MONTHS" hidden="1">"c1853"</definedName>
    <definedName name="IQ_PERCENT_CHANGE_EST_5YR_GROWTH_RATE_18MONTHS_CIQ" hidden="1">"c3791"</definedName>
    <definedName name="IQ_PERCENT_CHANGE_EST_5YR_GROWTH_RATE_3MONTHS" hidden="1">"c1849"</definedName>
    <definedName name="IQ_PERCENT_CHANGE_EST_5YR_GROWTH_RATE_3MONTHS_CIQ" hidden="1">"c3787"</definedName>
    <definedName name="IQ_PERCENT_CHANGE_EST_5YR_GROWTH_RATE_6MONTHS" hidden="1">"c1850"</definedName>
    <definedName name="IQ_PERCENT_CHANGE_EST_5YR_GROWTH_RATE_6MONTHS_CIQ" hidden="1">"c3788"</definedName>
    <definedName name="IQ_PERCENT_CHANGE_EST_5YR_GROWTH_RATE_9MONTHS" hidden="1">"c1851"</definedName>
    <definedName name="IQ_PERCENT_CHANGE_EST_5YR_GROWTH_RATE_9MONTHS_CIQ" hidden="1">"c3789"</definedName>
    <definedName name="IQ_PERCENT_CHANGE_EST_5YR_GROWTH_RATE_DAY" hidden="1">"c1846"</definedName>
    <definedName name="IQ_PERCENT_CHANGE_EST_5YR_GROWTH_RATE_DAY_CIQ" hidden="1">"c3785"</definedName>
    <definedName name="IQ_PERCENT_CHANGE_EST_5YR_GROWTH_RATE_MONTH" hidden="1">"c1848"</definedName>
    <definedName name="IQ_PERCENT_CHANGE_EST_5YR_GROWTH_RATE_MONTH_CIQ" hidden="1">"c3786"</definedName>
    <definedName name="IQ_PERCENT_CHANGE_EST_5YR_GROWTH_RATE_WEEK" hidden="1">"c1847"</definedName>
    <definedName name="IQ_PERCENT_CHANGE_EST_5YR_GROWTH_RATE_WEEK_CIQ" hidden="1">"c3797"</definedName>
    <definedName name="IQ_PERCENT_CHANGE_EST_EBITDA_12MONTHS" hidden="1">"c1804"</definedName>
    <definedName name="IQ_PERCENT_CHANGE_EST_EBITDA_12MONTHS_CIQ" hidden="1">"c3748"</definedName>
    <definedName name="IQ_PERCENT_CHANGE_EST_EBITDA_18MONTHS" hidden="1">"c1805"</definedName>
    <definedName name="IQ_PERCENT_CHANGE_EST_EBITDA_18MONTHS_CIQ" hidden="1">"c3749"</definedName>
    <definedName name="IQ_PERCENT_CHANGE_EST_EBITDA_3MONTHS" hidden="1">"c1801"</definedName>
    <definedName name="IQ_PERCENT_CHANGE_EST_EBITDA_3MONTHS_CIQ" hidden="1">"c3745"</definedName>
    <definedName name="IQ_PERCENT_CHANGE_EST_EBITDA_6MONTHS" hidden="1">"c1802"</definedName>
    <definedName name="IQ_PERCENT_CHANGE_EST_EBITDA_6MONTHS_CIQ" hidden="1">"c3746"</definedName>
    <definedName name="IQ_PERCENT_CHANGE_EST_EBITDA_9MONTHS" hidden="1">"c1803"</definedName>
    <definedName name="IQ_PERCENT_CHANGE_EST_EBITDA_9MONTHS_CIQ" hidden="1">"c3747"</definedName>
    <definedName name="IQ_PERCENT_CHANGE_EST_EBITDA_DAY" hidden="1">"c1798"</definedName>
    <definedName name="IQ_PERCENT_CHANGE_EST_EBITDA_DAY_CIQ" hidden="1">"c3743"</definedName>
    <definedName name="IQ_PERCENT_CHANGE_EST_EBITDA_MONTH" hidden="1">"c1800"</definedName>
    <definedName name="IQ_PERCENT_CHANGE_EST_EBITDA_MONTH_CIQ" hidden="1">"c3744"</definedName>
    <definedName name="IQ_PERCENT_CHANGE_EST_EBITDA_WEEK" hidden="1">"c1799"</definedName>
    <definedName name="IQ_PERCENT_CHANGE_EST_EBITDA_WEEK_CIQ" hidden="1">"c3792"</definedName>
    <definedName name="IQ_PERCENT_CHANGE_EST_EPS_12MONTHS" hidden="1">"c1788"</definedName>
    <definedName name="IQ_PERCENT_CHANGE_EST_EPS_12MONTHS_CIQ" hidden="1">"c3733"</definedName>
    <definedName name="IQ_PERCENT_CHANGE_EST_EPS_18MONTHS" hidden="1">"c1789"</definedName>
    <definedName name="IQ_PERCENT_CHANGE_EST_EPS_18MONTHS_CIQ" hidden="1">"c3734"</definedName>
    <definedName name="IQ_PERCENT_CHANGE_EST_EPS_3MONTHS" hidden="1">"c1785"</definedName>
    <definedName name="IQ_PERCENT_CHANGE_EST_EPS_3MONTHS_CIQ" hidden="1">"c3730"</definedName>
    <definedName name="IQ_PERCENT_CHANGE_EST_EPS_6MONTHS" hidden="1">"c1786"</definedName>
    <definedName name="IQ_PERCENT_CHANGE_EST_EPS_6MONTHS_CIQ" hidden="1">"c3731"</definedName>
    <definedName name="IQ_PERCENT_CHANGE_EST_EPS_9MONTHS" hidden="1">"c1787"</definedName>
    <definedName name="IQ_PERCENT_CHANGE_EST_EPS_9MONTHS_CIQ" hidden="1">"c3732"</definedName>
    <definedName name="IQ_PERCENT_CHANGE_EST_EPS_DAY" hidden="1">"c1782"</definedName>
    <definedName name="IQ_PERCENT_CHANGE_EST_EPS_DAY_CIQ" hidden="1">"c3727"</definedName>
    <definedName name="IQ_PERCENT_CHANGE_EST_EPS_MONTH" hidden="1">"c1784"</definedName>
    <definedName name="IQ_PERCENT_CHANGE_EST_EPS_MONTH_CIQ" hidden="1">"c3729"</definedName>
    <definedName name="IQ_PERCENT_CHANGE_EST_EPS_WEEK" hidden="1">"c1783"</definedName>
    <definedName name="IQ_PERCENT_CHANGE_EST_EPS_WEEK_CIQ" hidden="1">"c3728"</definedName>
    <definedName name="IQ_PERCENT_CHANGE_EST_PRICE_TARGET_12MONTHS" hidden="1">"c1844"</definedName>
    <definedName name="IQ_PERCENT_CHANGE_EST_PRICE_TARGET_12MONTHS_CIQ" hidden="1">"c3783"</definedName>
    <definedName name="IQ_PERCENT_CHANGE_EST_PRICE_TARGET_18MONTHS" hidden="1">"c1845"</definedName>
    <definedName name="IQ_PERCENT_CHANGE_EST_PRICE_TARGET_18MONTHS_CIQ" hidden="1">"c3784"</definedName>
    <definedName name="IQ_PERCENT_CHANGE_EST_PRICE_TARGET_3MONTHS" hidden="1">"c1841"</definedName>
    <definedName name="IQ_PERCENT_CHANGE_EST_PRICE_TARGET_3MONTHS_CIQ" hidden="1">"c3780"</definedName>
    <definedName name="IQ_PERCENT_CHANGE_EST_PRICE_TARGET_6MONTHS" hidden="1">"c1842"</definedName>
    <definedName name="IQ_PERCENT_CHANGE_EST_PRICE_TARGET_6MONTHS_CIQ" hidden="1">"c3781"</definedName>
    <definedName name="IQ_PERCENT_CHANGE_EST_PRICE_TARGET_9MONTHS" hidden="1">"c1843"</definedName>
    <definedName name="IQ_PERCENT_CHANGE_EST_PRICE_TARGET_9MONTHS_CIQ" hidden="1">"c3782"</definedName>
    <definedName name="IQ_PERCENT_CHANGE_EST_PRICE_TARGET_DAY" hidden="1">"c1838"</definedName>
    <definedName name="IQ_PERCENT_CHANGE_EST_PRICE_TARGET_DAY_CIQ" hidden="1">"c3778"</definedName>
    <definedName name="IQ_PERCENT_CHANGE_EST_PRICE_TARGET_MONTH" hidden="1">"c1840"</definedName>
    <definedName name="IQ_PERCENT_CHANGE_EST_PRICE_TARGET_MONTH_CIQ" hidden="1">"c3779"</definedName>
    <definedName name="IQ_PERCENT_CHANGE_EST_PRICE_TARGET_WEEK" hidden="1">"c1839"</definedName>
    <definedName name="IQ_PERCENT_CHANGE_EST_PRICE_TARGET_WEEK_CIQ" hidden="1">"c3798"</definedName>
    <definedName name="IQ_PERCENT_CHANGE_EST_RECO_12MONTHS" hidden="1">"c1836"</definedName>
    <definedName name="IQ_PERCENT_CHANGE_EST_RECO_12MONTHS_CIQ" hidden="1">"c3776"</definedName>
    <definedName name="IQ_PERCENT_CHANGE_EST_RECO_18MONTHS" hidden="1">"c1837"</definedName>
    <definedName name="IQ_PERCENT_CHANGE_EST_RECO_18MONTHS_CIQ" hidden="1">"c3777"</definedName>
    <definedName name="IQ_PERCENT_CHANGE_EST_RECO_3MONTHS" hidden="1">"c1833"</definedName>
    <definedName name="IQ_PERCENT_CHANGE_EST_RECO_3MONTHS_CIQ" hidden="1">"c3773"</definedName>
    <definedName name="IQ_PERCENT_CHANGE_EST_RECO_6MONTHS" hidden="1">"c1834"</definedName>
    <definedName name="IQ_PERCENT_CHANGE_EST_RECO_6MONTHS_CIQ" hidden="1">"c3774"</definedName>
    <definedName name="IQ_PERCENT_CHANGE_EST_RECO_9MONTHS" hidden="1">"c1835"</definedName>
    <definedName name="IQ_PERCENT_CHANGE_EST_RECO_9MONTHS_CIQ" hidden="1">"c3775"</definedName>
    <definedName name="IQ_PERCENT_CHANGE_EST_RECO_DAY" hidden="1">"c1830"</definedName>
    <definedName name="IQ_PERCENT_CHANGE_EST_RECO_DAY_CIQ" hidden="1">"c3771"</definedName>
    <definedName name="IQ_PERCENT_CHANGE_EST_RECO_MONTH" hidden="1">"c1832"</definedName>
    <definedName name="IQ_PERCENT_CHANGE_EST_RECO_MONTH_CIQ" hidden="1">"c3772"</definedName>
    <definedName name="IQ_PERCENT_CHANGE_EST_RECO_WEEK" hidden="1">"c1831"</definedName>
    <definedName name="IQ_PERCENT_CHANGE_EST_RECO_WEEK_CIQ" hidden="1">"c3796"</definedName>
    <definedName name="IQ_PERCENT_CHANGE_EST_REV_12MONTHS" hidden="1">"c1796"</definedName>
    <definedName name="IQ_PERCENT_CHANGE_EST_REV_12MONTHS_CIQ" hidden="1">"c3741"</definedName>
    <definedName name="IQ_PERCENT_CHANGE_EST_REV_18MONTHS" hidden="1">"c1797"</definedName>
    <definedName name="IQ_PERCENT_CHANGE_EST_REV_18MONTHS_CIQ" hidden="1">"c3742"</definedName>
    <definedName name="IQ_PERCENT_CHANGE_EST_REV_3MONTHS" hidden="1">"c1793"</definedName>
    <definedName name="IQ_PERCENT_CHANGE_EST_REV_3MONTHS_CIQ" hidden="1">"c3738"</definedName>
    <definedName name="IQ_PERCENT_CHANGE_EST_REV_6MONTHS" hidden="1">"c1794"</definedName>
    <definedName name="IQ_PERCENT_CHANGE_EST_REV_6MONTHS_CIQ" hidden="1">"c3739"</definedName>
    <definedName name="IQ_PERCENT_CHANGE_EST_REV_9MONTHS" hidden="1">"c1795"</definedName>
    <definedName name="IQ_PERCENT_CHANGE_EST_REV_9MONTHS_CIQ" hidden="1">"c3740"</definedName>
    <definedName name="IQ_PERCENT_CHANGE_EST_REV_DAY" hidden="1">"c1790"</definedName>
    <definedName name="IQ_PERCENT_CHANGE_EST_REV_DAY_CIQ" hidden="1">"c3735"</definedName>
    <definedName name="IQ_PERCENT_CHANGE_EST_REV_MONTH" hidden="1">"c1792"</definedName>
    <definedName name="IQ_PERCENT_CHANGE_EST_REV_MONTH_CIQ" hidden="1">"c3737"</definedName>
    <definedName name="IQ_PERCENT_CHANGE_EST_REV_WEEK" hidden="1">"c1791"</definedName>
    <definedName name="IQ_PERCENT_CHANGE_EST_REV_WEEK_CIQ" hidden="1">"c3736"</definedName>
    <definedName name="IQ_PERCENT_INSURED_FDIC" hidden="1">"c6374"</definedName>
    <definedName name="IQ_PERIODDATE" hidden="1">"c1414"</definedName>
    <definedName name="IQ_PERIODDATE_AP" hidden="1">"c11745"</definedName>
    <definedName name="IQ_PERIODDATE_BS" hidden="1">"c1032"</definedName>
    <definedName name="IQ_PERIODDATE_CF" hidden="1">"c1033"</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RETURN_ASSETS_FDIC" hidden="1">"c6731"</definedName>
    <definedName name="IQ_PRICE_OVER_BVPS" hidden="1">"c1412"</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CIQ" hidden="1">"c3613"</definedName>
    <definedName name="IQ_PRICE_TARGET_REUT" hidden="1">"c3631"</definedName>
    <definedName name="IQ_PRICEDATE" hidden="1">"c1069"</definedName>
    <definedName name="IQ_PRICING_DATE" hidden="1">"c1613"</definedName>
    <definedName name="IQ_PRIMARY_INDUSTRY" hidden="1">"c1070"</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V_PREMIUMS_NEW_BUSINESS" hidden="1">"c9973"</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DEPR_AMORT" hidden="1">"c8750"</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GAIN_LOSS_SALE_ASSETS" hidden="1">"c8751"</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_CIQ" hidden="1">"c5045"</definedName>
    <definedName name="IQ_RECURRING_PROFIT_SHARE_ACT_OR_EST_CIQ" hidden="1">"c5046"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MBEDDED_VALUE" hidden="1">"c9974"</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_CIQ" hidden="1">"c5059"</definedName>
    <definedName name="IQ_REVENUE_EST" hidden="1">"c1126"</definedName>
    <definedName name="IQ_REVENUE_EST_CIQ" hidden="1">"c3616"</definedName>
    <definedName name="IQ_REVENUE_EST_REUT" hidden="1">"c3634"</definedName>
    <definedName name="IQ_REVENUE_HIGH_EST" hidden="1">"c1127"</definedName>
    <definedName name="IQ_REVENUE_HIGH_EST_CIQ" hidden="1">"c3618"</definedName>
    <definedName name="IQ_REVENUE_HIGH_EST_REUT" hidden="1">"c3636"</definedName>
    <definedName name="IQ_REVENUE_LOW_EST" hidden="1">"c1128"</definedName>
    <definedName name="IQ_REVENUE_LOW_EST_CIQ" hidden="1">"c3619"</definedName>
    <definedName name="IQ_REVENUE_LOW_EST_REUT" hidden="1">"c3637"</definedName>
    <definedName name="IQ_REVENUE_MEDIAN_EST" hidden="1">"c1662"</definedName>
    <definedName name="IQ_REVENUE_MEDIAN_EST_CIQ" hidden="1">"c3617"</definedName>
    <definedName name="IQ_REVENUE_MEDIAN_EST_REUT" hidden="1">"c3635"</definedName>
    <definedName name="IQ_REVENUE_NUM_EST" hidden="1">"c1129"</definedName>
    <definedName name="IQ_REVENUE_NUM_EST_CIQ" hidden="1">"c3620"</definedName>
    <definedName name="IQ_REVENUE_NUM_EST_REUT" hidden="1">"c3638"</definedName>
    <definedName name="IQ_REVISION_DATE_" hidden="1">39777.4314583333</definedName>
    <definedName name="IQ_RISK_ADJ_BANK_ASSETS" hidden="1">"c2670"</definedName>
    <definedName name="IQ_RISK_WEIGHTED_ASSETS_FDIC" hidden="1">"c6370"</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OWN" hidden="1">"c1153"</definedName>
    <definedName name="IQ_SECURITY_RESELL" hidden="1">"c1154"</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"c11748"</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CIQ" hidden="1">"c4661"</definedName>
    <definedName name="IQ_TARGET_PRICE_NUM_REUT" hidden="1">"c5319"</definedName>
    <definedName name="IQ_TARGET_PRICE_STDDEV" hidden="1">"c1654"</definedName>
    <definedName name="IQ_TARGET_PRICE_STDDEV_CIQ" hidden="1">"c4662"</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CIQ" hidden="1">"c4043"</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NON_CURRENT" hidden="1">"c6191"</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SUBTOTAL_AP" hidden="1">"c8989"</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ISK_BASED_CAPITAL_RATIO_FDIC" hidden="1">"c6747"</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TDMONTH" hidden="1">130000</definedName>
    <definedName name="IQ_Z_SCORE" hidden="1">"c1339"</definedName>
    <definedName name="jgjgj" hidden="1">{#N/A,#N/A,FALSE,"COVER.XLS";#N/A,#N/A,FALSE,"RACT1.XLS";#N/A,#N/A,FALSE,"RACT2.XLS";#N/A,#N/A,FALSE,"ECCMP";#N/A,#N/A,FALSE,"WELDER.XLS"}</definedName>
    <definedName name="jgjgj_1" hidden="1">{#N/A,#N/A,FALSE,"COVER.XLS";#N/A,#N/A,FALSE,"RACT1.XLS";#N/A,#N/A,FALSE,"RACT2.XLS";#N/A,#N/A,FALSE,"ECCMP";#N/A,#N/A,FALSE,"WELDER.XLS"}</definedName>
    <definedName name="jgjgj_1_1" hidden="1">{#N/A,#N/A,FALSE,"COVER.XLS";#N/A,#N/A,FALSE,"RACT1.XLS";#N/A,#N/A,FALSE,"RACT2.XLS";#N/A,#N/A,FALSE,"ECCMP";#N/A,#N/A,FALSE,"WELDER.XLS"}</definedName>
    <definedName name="jgjgj_1_2" hidden="1">{#N/A,#N/A,FALSE,"COVER.XLS";#N/A,#N/A,FALSE,"RACT1.XLS";#N/A,#N/A,FALSE,"RACT2.XLS";#N/A,#N/A,FALSE,"ECCMP";#N/A,#N/A,FALSE,"WELDER.XLS"}</definedName>
    <definedName name="jgjgj_1_3" hidden="1">{#N/A,#N/A,FALSE,"COVER.XLS";#N/A,#N/A,FALSE,"RACT1.XLS";#N/A,#N/A,FALSE,"RACT2.XLS";#N/A,#N/A,FALSE,"ECCMP";#N/A,#N/A,FALSE,"WELDER.XLS"}</definedName>
    <definedName name="jgjgj_1_4" hidden="1">{#N/A,#N/A,FALSE,"COVER.XLS";#N/A,#N/A,FALSE,"RACT1.XLS";#N/A,#N/A,FALSE,"RACT2.XLS";#N/A,#N/A,FALSE,"ECCMP";#N/A,#N/A,FALSE,"WELDER.XLS"}</definedName>
    <definedName name="jgjgj_1_5" hidden="1">{#N/A,#N/A,FALSE,"COVER.XLS";#N/A,#N/A,FALSE,"RACT1.XLS";#N/A,#N/A,FALSE,"RACT2.XLS";#N/A,#N/A,FALSE,"ECCMP";#N/A,#N/A,FALSE,"WELDER.XLS"}</definedName>
    <definedName name="jgjgj_2" hidden="1">{#N/A,#N/A,FALSE,"COVER.XLS";#N/A,#N/A,FALSE,"RACT1.XLS";#N/A,#N/A,FALSE,"RACT2.XLS";#N/A,#N/A,FALSE,"ECCMP";#N/A,#N/A,FALSE,"WELDER.XLS"}</definedName>
    <definedName name="jgjgj_2_1" hidden="1">{#N/A,#N/A,FALSE,"COVER.XLS";#N/A,#N/A,FALSE,"RACT1.XLS";#N/A,#N/A,FALSE,"RACT2.XLS";#N/A,#N/A,FALSE,"ECCMP";#N/A,#N/A,FALSE,"WELDER.XLS"}</definedName>
    <definedName name="jgjgj_2_2" hidden="1">{#N/A,#N/A,FALSE,"COVER.XLS";#N/A,#N/A,FALSE,"RACT1.XLS";#N/A,#N/A,FALSE,"RACT2.XLS";#N/A,#N/A,FALSE,"ECCMP";#N/A,#N/A,FALSE,"WELDER.XLS"}</definedName>
    <definedName name="jgjgj_2_3" hidden="1">{#N/A,#N/A,FALSE,"COVER.XLS";#N/A,#N/A,FALSE,"RACT1.XLS";#N/A,#N/A,FALSE,"RACT2.XLS";#N/A,#N/A,FALSE,"ECCMP";#N/A,#N/A,FALSE,"WELDER.XLS"}</definedName>
    <definedName name="jgjgj_2_4" hidden="1">{#N/A,#N/A,FALSE,"COVER.XLS";#N/A,#N/A,FALSE,"RACT1.XLS";#N/A,#N/A,FALSE,"RACT2.XLS";#N/A,#N/A,FALSE,"ECCMP";#N/A,#N/A,FALSE,"WELDER.XLS"}</definedName>
    <definedName name="jgjgj_2_5" hidden="1">{#N/A,#N/A,FALSE,"COVER.XLS";#N/A,#N/A,FALSE,"RACT1.XLS";#N/A,#N/A,FALSE,"RACT2.XLS";#N/A,#N/A,FALSE,"ECCMP";#N/A,#N/A,FALSE,"WELDER.XLS"}</definedName>
    <definedName name="jgjgj_3" hidden="1">{#N/A,#N/A,FALSE,"COVER.XLS";#N/A,#N/A,FALSE,"RACT1.XLS";#N/A,#N/A,FALSE,"RACT2.XLS";#N/A,#N/A,FALSE,"ECCMP";#N/A,#N/A,FALSE,"WELDER.XLS"}</definedName>
    <definedName name="jgjgj_4" hidden="1">{#N/A,#N/A,FALSE,"COVER.XLS";#N/A,#N/A,FALSE,"RACT1.XLS";#N/A,#N/A,FALSE,"RACT2.XLS";#N/A,#N/A,FALSE,"ECCMP";#N/A,#N/A,FALSE,"WELDER.XLS"}</definedName>
    <definedName name="jgjgj_5" hidden="1">{#N/A,#N/A,FALSE,"COVER.XLS";#N/A,#N/A,FALSE,"RACT1.XLS";#N/A,#N/A,FALSE,"RACT2.XLS";#N/A,#N/A,FALSE,"ECCMP";#N/A,#N/A,FALSE,"WELDER.XLS"}</definedName>
    <definedName name="ji" hidden="1">'[1]NPO - Model'!#REF!</definedName>
    <definedName name="Key" hidden="1">#REF!</definedName>
    <definedName name="K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K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K_1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K_1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K_1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K_1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K_1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K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K_2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K_2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K_2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K_2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K_2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K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K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K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kk" hidden="1">{#N/A,#N/A,FALSE,"COVER1.XLS ";#N/A,#N/A,FALSE,"RACT1.XLS";#N/A,#N/A,FALSE,"RACT2.XLS";#N/A,#N/A,FALSE,"ECCMP";#N/A,#N/A,FALSE,"WELDER.XLS"}</definedName>
    <definedName name="kkk_1" hidden="1">{#N/A,#N/A,FALSE,"COVER1.XLS ";#N/A,#N/A,FALSE,"RACT1.XLS";#N/A,#N/A,FALSE,"RACT2.XLS";#N/A,#N/A,FALSE,"ECCMP";#N/A,#N/A,FALSE,"WELDER.XLS"}</definedName>
    <definedName name="kkk_1_1" hidden="1">{#N/A,#N/A,FALSE,"COVER1.XLS ";#N/A,#N/A,FALSE,"RACT1.XLS";#N/A,#N/A,FALSE,"RACT2.XLS";#N/A,#N/A,FALSE,"ECCMP";#N/A,#N/A,FALSE,"WELDER.XLS"}</definedName>
    <definedName name="kkk_1_2" hidden="1">{#N/A,#N/A,FALSE,"COVER1.XLS ";#N/A,#N/A,FALSE,"RACT1.XLS";#N/A,#N/A,FALSE,"RACT2.XLS";#N/A,#N/A,FALSE,"ECCMP";#N/A,#N/A,FALSE,"WELDER.XLS"}</definedName>
    <definedName name="kkk_1_3" hidden="1">{#N/A,#N/A,FALSE,"COVER1.XLS ";#N/A,#N/A,FALSE,"RACT1.XLS";#N/A,#N/A,FALSE,"RACT2.XLS";#N/A,#N/A,FALSE,"ECCMP";#N/A,#N/A,FALSE,"WELDER.XLS"}</definedName>
    <definedName name="kkk_1_4" hidden="1">{#N/A,#N/A,FALSE,"COVER1.XLS ";#N/A,#N/A,FALSE,"RACT1.XLS";#N/A,#N/A,FALSE,"RACT2.XLS";#N/A,#N/A,FALSE,"ECCMP";#N/A,#N/A,FALSE,"WELDER.XLS"}</definedName>
    <definedName name="kkk_1_5" hidden="1">{#N/A,#N/A,FALSE,"COVER1.XLS ";#N/A,#N/A,FALSE,"RACT1.XLS";#N/A,#N/A,FALSE,"RACT2.XLS";#N/A,#N/A,FALSE,"ECCMP";#N/A,#N/A,FALSE,"WELDER.XLS"}</definedName>
    <definedName name="kkk_2" hidden="1">{#N/A,#N/A,FALSE,"COVER1.XLS ";#N/A,#N/A,FALSE,"RACT1.XLS";#N/A,#N/A,FALSE,"RACT2.XLS";#N/A,#N/A,FALSE,"ECCMP";#N/A,#N/A,FALSE,"WELDER.XLS"}</definedName>
    <definedName name="kkk_2_1" hidden="1">{#N/A,#N/A,FALSE,"COVER1.XLS ";#N/A,#N/A,FALSE,"RACT1.XLS";#N/A,#N/A,FALSE,"RACT2.XLS";#N/A,#N/A,FALSE,"ECCMP";#N/A,#N/A,FALSE,"WELDER.XLS"}</definedName>
    <definedName name="kkk_2_2" hidden="1">{#N/A,#N/A,FALSE,"COVER1.XLS ";#N/A,#N/A,FALSE,"RACT1.XLS";#N/A,#N/A,FALSE,"RACT2.XLS";#N/A,#N/A,FALSE,"ECCMP";#N/A,#N/A,FALSE,"WELDER.XLS"}</definedName>
    <definedName name="kkk_2_3" hidden="1">{#N/A,#N/A,FALSE,"COVER1.XLS ";#N/A,#N/A,FALSE,"RACT1.XLS";#N/A,#N/A,FALSE,"RACT2.XLS";#N/A,#N/A,FALSE,"ECCMP";#N/A,#N/A,FALSE,"WELDER.XLS"}</definedName>
    <definedName name="kkk_2_4" hidden="1">{#N/A,#N/A,FALSE,"COVER1.XLS ";#N/A,#N/A,FALSE,"RACT1.XLS";#N/A,#N/A,FALSE,"RACT2.XLS";#N/A,#N/A,FALSE,"ECCMP";#N/A,#N/A,FALSE,"WELDER.XLS"}</definedName>
    <definedName name="kkk_2_5" hidden="1">{#N/A,#N/A,FALSE,"COVER1.XLS ";#N/A,#N/A,FALSE,"RACT1.XLS";#N/A,#N/A,FALSE,"RACT2.XLS";#N/A,#N/A,FALSE,"ECCMP";#N/A,#N/A,FALSE,"WELDER.XLS"}</definedName>
    <definedName name="kkk_3" hidden="1">{#N/A,#N/A,FALSE,"COVER1.XLS ";#N/A,#N/A,FALSE,"RACT1.XLS";#N/A,#N/A,FALSE,"RACT2.XLS";#N/A,#N/A,FALSE,"ECCMP";#N/A,#N/A,FALSE,"WELDER.XLS"}</definedName>
    <definedName name="kkk_4" hidden="1">{#N/A,#N/A,FALSE,"COVER1.XLS ";#N/A,#N/A,FALSE,"RACT1.XLS";#N/A,#N/A,FALSE,"RACT2.XLS";#N/A,#N/A,FALSE,"ECCMP";#N/A,#N/A,FALSE,"WELDER.XLS"}</definedName>
    <definedName name="kkk_5" hidden="1">{#N/A,#N/A,FALSE,"COVER1.XLS ";#N/A,#N/A,FALSE,"RACT1.XLS";#N/A,#N/A,FALSE,"RACT2.XLS";#N/A,#N/A,FALSE,"ECCMP";#N/A,#N/A,FALSE,"WELDER.XLS"}</definedName>
    <definedName name="kkkk" hidden="1">{#N/A,#N/A,FALSE,"COVER.XLS";#N/A,#N/A,FALSE,"RACT1.XLS";#N/A,#N/A,FALSE,"RACT2.XLS";#N/A,#N/A,FALSE,"ECCMP";#N/A,#N/A,FALSE,"WELDER.XLS"}</definedName>
    <definedName name="kkkkk" hidden="1">{#N/A,#N/A,FALSE,"COVER.XLS";#N/A,#N/A,FALSE,"RACT1.XLS";#N/A,#N/A,FALSE,"RACT2.XLS";#N/A,#N/A,FALSE,"ECCMP";#N/A,#N/A,FALSE,"WELDER.XLS"}</definedName>
    <definedName name="kp" hidden="1">#REF!</definedName>
    <definedName name="ks" hidden="1">{#N/A,#N/A,FALSE,"COVER.XLS";#N/A,#N/A,FALSE,"RACT1.XLS";#N/A,#N/A,FALSE,"RACT2.XLS";#N/A,#N/A,FALSE,"ECCMP";#N/A,#N/A,FALSE,"WELDER.XLS"}</definedName>
    <definedName name="ks_1" hidden="1">{#N/A,#N/A,FALSE,"COVER.XLS";#N/A,#N/A,FALSE,"RACT1.XLS";#N/A,#N/A,FALSE,"RACT2.XLS";#N/A,#N/A,FALSE,"ECCMP";#N/A,#N/A,FALSE,"WELDER.XLS"}</definedName>
    <definedName name="ks_1_1" hidden="1">{#N/A,#N/A,FALSE,"COVER.XLS";#N/A,#N/A,FALSE,"RACT1.XLS";#N/A,#N/A,FALSE,"RACT2.XLS";#N/A,#N/A,FALSE,"ECCMP";#N/A,#N/A,FALSE,"WELDER.XLS"}</definedName>
    <definedName name="ks_1_2" hidden="1">{#N/A,#N/A,FALSE,"COVER.XLS";#N/A,#N/A,FALSE,"RACT1.XLS";#N/A,#N/A,FALSE,"RACT2.XLS";#N/A,#N/A,FALSE,"ECCMP";#N/A,#N/A,FALSE,"WELDER.XLS"}</definedName>
    <definedName name="ks_1_3" hidden="1">{#N/A,#N/A,FALSE,"COVER.XLS";#N/A,#N/A,FALSE,"RACT1.XLS";#N/A,#N/A,FALSE,"RACT2.XLS";#N/A,#N/A,FALSE,"ECCMP";#N/A,#N/A,FALSE,"WELDER.XLS"}</definedName>
    <definedName name="ks_1_4" hidden="1">{#N/A,#N/A,FALSE,"COVER.XLS";#N/A,#N/A,FALSE,"RACT1.XLS";#N/A,#N/A,FALSE,"RACT2.XLS";#N/A,#N/A,FALSE,"ECCMP";#N/A,#N/A,FALSE,"WELDER.XLS"}</definedName>
    <definedName name="ks_1_5" hidden="1">{#N/A,#N/A,FALSE,"COVER.XLS";#N/A,#N/A,FALSE,"RACT1.XLS";#N/A,#N/A,FALSE,"RACT2.XLS";#N/A,#N/A,FALSE,"ECCMP";#N/A,#N/A,FALSE,"WELDER.XLS"}</definedName>
    <definedName name="ks_2" hidden="1">{#N/A,#N/A,FALSE,"COVER.XLS";#N/A,#N/A,FALSE,"RACT1.XLS";#N/A,#N/A,FALSE,"RACT2.XLS";#N/A,#N/A,FALSE,"ECCMP";#N/A,#N/A,FALSE,"WELDER.XLS"}</definedName>
    <definedName name="ks_2_1" hidden="1">{#N/A,#N/A,FALSE,"COVER.XLS";#N/A,#N/A,FALSE,"RACT1.XLS";#N/A,#N/A,FALSE,"RACT2.XLS";#N/A,#N/A,FALSE,"ECCMP";#N/A,#N/A,FALSE,"WELDER.XLS"}</definedName>
    <definedName name="ks_2_2" hidden="1">{#N/A,#N/A,FALSE,"COVER.XLS";#N/A,#N/A,FALSE,"RACT1.XLS";#N/A,#N/A,FALSE,"RACT2.XLS";#N/A,#N/A,FALSE,"ECCMP";#N/A,#N/A,FALSE,"WELDER.XLS"}</definedName>
    <definedName name="ks_2_3" hidden="1">{#N/A,#N/A,FALSE,"COVER.XLS";#N/A,#N/A,FALSE,"RACT1.XLS";#N/A,#N/A,FALSE,"RACT2.XLS";#N/A,#N/A,FALSE,"ECCMP";#N/A,#N/A,FALSE,"WELDER.XLS"}</definedName>
    <definedName name="ks_2_4" hidden="1">{#N/A,#N/A,FALSE,"COVER.XLS";#N/A,#N/A,FALSE,"RACT1.XLS";#N/A,#N/A,FALSE,"RACT2.XLS";#N/A,#N/A,FALSE,"ECCMP";#N/A,#N/A,FALSE,"WELDER.XLS"}</definedName>
    <definedName name="ks_2_5" hidden="1">{#N/A,#N/A,FALSE,"COVER.XLS";#N/A,#N/A,FALSE,"RACT1.XLS";#N/A,#N/A,FALSE,"RACT2.XLS";#N/A,#N/A,FALSE,"ECCMP";#N/A,#N/A,FALSE,"WELDER.XLS"}</definedName>
    <definedName name="ks_3" hidden="1">{#N/A,#N/A,FALSE,"COVER.XLS";#N/A,#N/A,FALSE,"RACT1.XLS";#N/A,#N/A,FALSE,"RACT2.XLS";#N/A,#N/A,FALSE,"ECCMP";#N/A,#N/A,FALSE,"WELDER.XLS"}</definedName>
    <definedName name="ks_4" hidden="1">{#N/A,#N/A,FALSE,"COVER.XLS";#N/A,#N/A,FALSE,"RACT1.XLS";#N/A,#N/A,FALSE,"RACT2.XLS";#N/A,#N/A,FALSE,"ECCMP";#N/A,#N/A,FALSE,"WELDER.XLS"}</definedName>
    <definedName name="ks_5" hidden="1">{#N/A,#N/A,FALSE,"COVER.XLS";#N/A,#N/A,FALSE,"RACT1.XLS";#N/A,#N/A,FALSE,"RACT2.XLS";#N/A,#N/A,FALSE,"ECCMP";#N/A,#N/A,FALSE,"WELDER.XLS"}</definedName>
    <definedName name="kskk" hidden="1">{#N/A,#N/A,FALSE,"COVER.XLS";#N/A,#N/A,FALSE,"RACT1.XLS";#N/A,#N/A,FALSE,"RACT2.XLS";#N/A,#N/A,FALSE,"ECCMP";#N/A,#N/A,FALSE,"WELDER.XLS"}</definedName>
    <definedName name="kskk_1" hidden="1">{#N/A,#N/A,FALSE,"COVER.XLS";#N/A,#N/A,FALSE,"RACT1.XLS";#N/A,#N/A,FALSE,"RACT2.XLS";#N/A,#N/A,FALSE,"ECCMP";#N/A,#N/A,FALSE,"WELDER.XLS"}</definedName>
    <definedName name="kskk_1_1" hidden="1">{#N/A,#N/A,FALSE,"COVER.XLS";#N/A,#N/A,FALSE,"RACT1.XLS";#N/A,#N/A,FALSE,"RACT2.XLS";#N/A,#N/A,FALSE,"ECCMP";#N/A,#N/A,FALSE,"WELDER.XLS"}</definedName>
    <definedName name="kskk_1_2" hidden="1">{#N/A,#N/A,FALSE,"COVER.XLS";#N/A,#N/A,FALSE,"RACT1.XLS";#N/A,#N/A,FALSE,"RACT2.XLS";#N/A,#N/A,FALSE,"ECCMP";#N/A,#N/A,FALSE,"WELDER.XLS"}</definedName>
    <definedName name="kskk_1_3" hidden="1">{#N/A,#N/A,FALSE,"COVER.XLS";#N/A,#N/A,FALSE,"RACT1.XLS";#N/A,#N/A,FALSE,"RACT2.XLS";#N/A,#N/A,FALSE,"ECCMP";#N/A,#N/A,FALSE,"WELDER.XLS"}</definedName>
    <definedName name="kskk_1_4" hidden="1">{#N/A,#N/A,FALSE,"COVER.XLS";#N/A,#N/A,FALSE,"RACT1.XLS";#N/A,#N/A,FALSE,"RACT2.XLS";#N/A,#N/A,FALSE,"ECCMP";#N/A,#N/A,FALSE,"WELDER.XLS"}</definedName>
    <definedName name="kskk_1_5" hidden="1">{#N/A,#N/A,FALSE,"COVER.XLS";#N/A,#N/A,FALSE,"RACT1.XLS";#N/A,#N/A,FALSE,"RACT2.XLS";#N/A,#N/A,FALSE,"ECCMP";#N/A,#N/A,FALSE,"WELDER.XLS"}</definedName>
    <definedName name="kskk_2" hidden="1">{#N/A,#N/A,FALSE,"COVER.XLS";#N/A,#N/A,FALSE,"RACT1.XLS";#N/A,#N/A,FALSE,"RACT2.XLS";#N/A,#N/A,FALSE,"ECCMP";#N/A,#N/A,FALSE,"WELDER.XLS"}</definedName>
    <definedName name="kskk_2_1" hidden="1">{#N/A,#N/A,FALSE,"COVER.XLS";#N/A,#N/A,FALSE,"RACT1.XLS";#N/A,#N/A,FALSE,"RACT2.XLS";#N/A,#N/A,FALSE,"ECCMP";#N/A,#N/A,FALSE,"WELDER.XLS"}</definedName>
    <definedName name="kskk_2_2" hidden="1">{#N/A,#N/A,FALSE,"COVER.XLS";#N/A,#N/A,FALSE,"RACT1.XLS";#N/A,#N/A,FALSE,"RACT2.XLS";#N/A,#N/A,FALSE,"ECCMP";#N/A,#N/A,FALSE,"WELDER.XLS"}</definedName>
    <definedName name="kskk_2_3" hidden="1">{#N/A,#N/A,FALSE,"COVER.XLS";#N/A,#N/A,FALSE,"RACT1.XLS";#N/A,#N/A,FALSE,"RACT2.XLS";#N/A,#N/A,FALSE,"ECCMP";#N/A,#N/A,FALSE,"WELDER.XLS"}</definedName>
    <definedName name="kskk_2_4" hidden="1">{#N/A,#N/A,FALSE,"COVER.XLS";#N/A,#N/A,FALSE,"RACT1.XLS";#N/A,#N/A,FALSE,"RACT2.XLS";#N/A,#N/A,FALSE,"ECCMP";#N/A,#N/A,FALSE,"WELDER.XLS"}</definedName>
    <definedName name="kskk_2_5" hidden="1">{#N/A,#N/A,FALSE,"COVER.XLS";#N/A,#N/A,FALSE,"RACT1.XLS";#N/A,#N/A,FALSE,"RACT2.XLS";#N/A,#N/A,FALSE,"ECCMP";#N/A,#N/A,FALSE,"WELDER.XLS"}</definedName>
    <definedName name="kskk_3" hidden="1">{#N/A,#N/A,FALSE,"COVER.XLS";#N/A,#N/A,FALSE,"RACT1.XLS";#N/A,#N/A,FALSE,"RACT2.XLS";#N/A,#N/A,FALSE,"ECCMP";#N/A,#N/A,FALSE,"WELDER.XLS"}</definedName>
    <definedName name="kskk_4" hidden="1">{#N/A,#N/A,FALSE,"COVER.XLS";#N/A,#N/A,FALSE,"RACT1.XLS";#N/A,#N/A,FALSE,"RACT2.XLS";#N/A,#N/A,FALSE,"ECCMP";#N/A,#N/A,FALSE,"WELDER.XLS"}</definedName>
    <definedName name="kskk_5" hidden="1">{#N/A,#N/A,FALSE,"COVER.XLS";#N/A,#N/A,FALSE,"RACT1.XLS";#N/A,#N/A,FALSE,"RACT2.XLS";#N/A,#N/A,FALSE,"ECCMP";#N/A,#N/A,FALSE,"WELDER.XLS"}</definedName>
    <definedName name="kv" hidden="1">{#N/A,#N/A,FALSE,"COVER1.XLS ";#N/A,#N/A,FALSE,"RACT1.XLS";#N/A,#N/A,FALSE,"RACT2.XLS";#N/A,#N/A,FALSE,"ECCMP";#N/A,#N/A,FALSE,"WELDER.XLS"}</definedName>
    <definedName name="kv_1" hidden="1">{#N/A,#N/A,FALSE,"COVER1.XLS ";#N/A,#N/A,FALSE,"RACT1.XLS";#N/A,#N/A,FALSE,"RACT2.XLS";#N/A,#N/A,FALSE,"ECCMP";#N/A,#N/A,FALSE,"WELDER.XLS"}</definedName>
    <definedName name="kv_1_1" hidden="1">{#N/A,#N/A,FALSE,"COVER1.XLS ";#N/A,#N/A,FALSE,"RACT1.XLS";#N/A,#N/A,FALSE,"RACT2.XLS";#N/A,#N/A,FALSE,"ECCMP";#N/A,#N/A,FALSE,"WELDER.XLS"}</definedName>
    <definedName name="kv_1_2" hidden="1">{#N/A,#N/A,FALSE,"COVER1.XLS ";#N/A,#N/A,FALSE,"RACT1.XLS";#N/A,#N/A,FALSE,"RACT2.XLS";#N/A,#N/A,FALSE,"ECCMP";#N/A,#N/A,FALSE,"WELDER.XLS"}</definedName>
    <definedName name="kv_1_3" hidden="1">{#N/A,#N/A,FALSE,"COVER1.XLS ";#N/A,#N/A,FALSE,"RACT1.XLS";#N/A,#N/A,FALSE,"RACT2.XLS";#N/A,#N/A,FALSE,"ECCMP";#N/A,#N/A,FALSE,"WELDER.XLS"}</definedName>
    <definedName name="kv_1_4" hidden="1">{#N/A,#N/A,FALSE,"COVER1.XLS ";#N/A,#N/A,FALSE,"RACT1.XLS";#N/A,#N/A,FALSE,"RACT2.XLS";#N/A,#N/A,FALSE,"ECCMP";#N/A,#N/A,FALSE,"WELDER.XLS"}</definedName>
    <definedName name="kv_1_5" hidden="1">{#N/A,#N/A,FALSE,"COVER1.XLS ";#N/A,#N/A,FALSE,"RACT1.XLS";#N/A,#N/A,FALSE,"RACT2.XLS";#N/A,#N/A,FALSE,"ECCMP";#N/A,#N/A,FALSE,"WELDER.XLS"}</definedName>
    <definedName name="kv_2" hidden="1">{#N/A,#N/A,FALSE,"COVER1.XLS ";#N/A,#N/A,FALSE,"RACT1.XLS";#N/A,#N/A,FALSE,"RACT2.XLS";#N/A,#N/A,FALSE,"ECCMP";#N/A,#N/A,FALSE,"WELDER.XLS"}</definedName>
    <definedName name="kv_2_1" hidden="1">{#N/A,#N/A,FALSE,"COVER1.XLS ";#N/A,#N/A,FALSE,"RACT1.XLS";#N/A,#N/A,FALSE,"RACT2.XLS";#N/A,#N/A,FALSE,"ECCMP";#N/A,#N/A,FALSE,"WELDER.XLS"}</definedName>
    <definedName name="kv_2_2" hidden="1">{#N/A,#N/A,FALSE,"COVER1.XLS ";#N/A,#N/A,FALSE,"RACT1.XLS";#N/A,#N/A,FALSE,"RACT2.XLS";#N/A,#N/A,FALSE,"ECCMP";#N/A,#N/A,FALSE,"WELDER.XLS"}</definedName>
    <definedName name="kv_2_3" hidden="1">{#N/A,#N/A,FALSE,"COVER1.XLS ";#N/A,#N/A,FALSE,"RACT1.XLS";#N/A,#N/A,FALSE,"RACT2.XLS";#N/A,#N/A,FALSE,"ECCMP";#N/A,#N/A,FALSE,"WELDER.XLS"}</definedName>
    <definedName name="kv_2_4" hidden="1">{#N/A,#N/A,FALSE,"COVER1.XLS ";#N/A,#N/A,FALSE,"RACT1.XLS";#N/A,#N/A,FALSE,"RACT2.XLS";#N/A,#N/A,FALSE,"ECCMP";#N/A,#N/A,FALSE,"WELDER.XLS"}</definedName>
    <definedName name="kv_2_5" hidden="1">{#N/A,#N/A,FALSE,"COVER1.XLS ";#N/A,#N/A,FALSE,"RACT1.XLS";#N/A,#N/A,FALSE,"RACT2.XLS";#N/A,#N/A,FALSE,"ECCMP";#N/A,#N/A,FALSE,"WELDER.XLS"}</definedName>
    <definedName name="kv_3" hidden="1">{#N/A,#N/A,FALSE,"COVER1.XLS ";#N/A,#N/A,FALSE,"RACT1.XLS";#N/A,#N/A,FALSE,"RACT2.XLS";#N/A,#N/A,FALSE,"ECCMP";#N/A,#N/A,FALSE,"WELDER.XLS"}</definedName>
    <definedName name="kv_4" hidden="1">{#N/A,#N/A,FALSE,"COVER1.XLS ";#N/A,#N/A,FALSE,"RACT1.XLS";#N/A,#N/A,FALSE,"RACT2.XLS";#N/A,#N/A,FALSE,"ECCMP";#N/A,#N/A,FALSE,"WELDER.XLS"}</definedName>
    <definedName name="kv_5" hidden="1">{#N/A,#N/A,FALSE,"COVER1.XLS ";#N/A,#N/A,FALSE,"RACT1.XLS";#N/A,#N/A,FALSE,"RACT2.XLS";#N/A,#N/A,FALSE,"ECCMP";#N/A,#N/A,FALSE,"WELDER.XLS"}</definedName>
    <definedName name="kvs" hidden="1">{#N/A,#N/A,FALSE,"COVER1.XLS ";#N/A,#N/A,FALSE,"RACT1.XLS";#N/A,#N/A,FALSE,"RACT2.XLS";#N/A,#N/A,FALSE,"ECCMP";#N/A,#N/A,FALSE,"WELDER.XLS"}</definedName>
    <definedName name="kvs_1" hidden="1">{#N/A,#N/A,FALSE,"COVER1.XLS ";#N/A,#N/A,FALSE,"RACT1.XLS";#N/A,#N/A,FALSE,"RACT2.XLS";#N/A,#N/A,FALSE,"ECCMP";#N/A,#N/A,FALSE,"WELDER.XLS"}</definedName>
    <definedName name="kvs_1_1" hidden="1">{#N/A,#N/A,FALSE,"COVER1.XLS ";#N/A,#N/A,FALSE,"RACT1.XLS";#N/A,#N/A,FALSE,"RACT2.XLS";#N/A,#N/A,FALSE,"ECCMP";#N/A,#N/A,FALSE,"WELDER.XLS"}</definedName>
    <definedName name="kvs_1_2" hidden="1">{#N/A,#N/A,FALSE,"COVER1.XLS ";#N/A,#N/A,FALSE,"RACT1.XLS";#N/A,#N/A,FALSE,"RACT2.XLS";#N/A,#N/A,FALSE,"ECCMP";#N/A,#N/A,FALSE,"WELDER.XLS"}</definedName>
    <definedName name="kvs_1_3" hidden="1">{#N/A,#N/A,FALSE,"COVER1.XLS ";#N/A,#N/A,FALSE,"RACT1.XLS";#N/A,#N/A,FALSE,"RACT2.XLS";#N/A,#N/A,FALSE,"ECCMP";#N/A,#N/A,FALSE,"WELDER.XLS"}</definedName>
    <definedName name="kvs_1_4" hidden="1">{#N/A,#N/A,FALSE,"COVER1.XLS ";#N/A,#N/A,FALSE,"RACT1.XLS";#N/A,#N/A,FALSE,"RACT2.XLS";#N/A,#N/A,FALSE,"ECCMP";#N/A,#N/A,FALSE,"WELDER.XLS"}</definedName>
    <definedName name="kvs_1_5" hidden="1">{#N/A,#N/A,FALSE,"COVER1.XLS ";#N/A,#N/A,FALSE,"RACT1.XLS";#N/A,#N/A,FALSE,"RACT2.XLS";#N/A,#N/A,FALSE,"ECCMP";#N/A,#N/A,FALSE,"WELDER.XLS"}</definedName>
    <definedName name="kvs_2" hidden="1">{#N/A,#N/A,FALSE,"COVER1.XLS ";#N/A,#N/A,FALSE,"RACT1.XLS";#N/A,#N/A,FALSE,"RACT2.XLS";#N/A,#N/A,FALSE,"ECCMP";#N/A,#N/A,FALSE,"WELDER.XLS"}</definedName>
    <definedName name="kvs_2_1" hidden="1">{#N/A,#N/A,FALSE,"COVER1.XLS ";#N/A,#N/A,FALSE,"RACT1.XLS";#N/A,#N/A,FALSE,"RACT2.XLS";#N/A,#N/A,FALSE,"ECCMP";#N/A,#N/A,FALSE,"WELDER.XLS"}</definedName>
    <definedName name="kvs_2_2" hidden="1">{#N/A,#N/A,FALSE,"COVER1.XLS ";#N/A,#N/A,FALSE,"RACT1.XLS";#N/A,#N/A,FALSE,"RACT2.XLS";#N/A,#N/A,FALSE,"ECCMP";#N/A,#N/A,FALSE,"WELDER.XLS"}</definedName>
    <definedName name="kvs_2_3" hidden="1">{#N/A,#N/A,FALSE,"COVER1.XLS ";#N/A,#N/A,FALSE,"RACT1.XLS";#N/A,#N/A,FALSE,"RACT2.XLS";#N/A,#N/A,FALSE,"ECCMP";#N/A,#N/A,FALSE,"WELDER.XLS"}</definedName>
    <definedName name="kvs_2_4" hidden="1">{#N/A,#N/A,FALSE,"COVER1.XLS ";#N/A,#N/A,FALSE,"RACT1.XLS";#N/A,#N/A,FALSE,"RACT2.XLS";#N/A,#N/A,FALSE,"ECCMP";#N/A,#N/A,FALSE,"WELDER.XLS"}</definedName>
    <definedName name="kvs_2_5" hidden="1">{#N/A,#N/A,FALSE,"COVER1.XLS ";#N/A,#N/A,FALSE,"RACT1.XLS";#N/A,#N/A,FALSE,"RACT2.XLS";#N/A,#N/A,FALSE,"ECCMP";#N/A,#N/A,FALSE,"WELDER.XLS"}</definedName>
    <definedName name="kvs_3" hidden="1">{#N/A,#N/A,FALSE,"COVER1.XLS ";#N/A,#N/A,FALSE,"RACT1.XLS";#N/A,#N/A,FALSE,"RACT2.XLS";#N/A,#N/A,FALSE,"ECCMP";#N/A,#N/A,FALSE,"WELDER.XLS"}</definedName>
    <definedName name="kvs_4" hidden="1">{#N/A,#N/A,FALSE,"COVER1.XLS ";#N/A,#N/A,FALSE,"RACT1.XLS";#N/A,#N/A,FALSE,"RACT2.XLS";#N/A,#N/A,FALSE,"ECCMP";#N/A,#N/A,FALSE,"WELDER.XLS"}</definedName>
    <definedName name="kvs_5" hidden="1">{#N/A,#N/A,FALSE,"COVER1.XLS ";#N/A,#N/A,FALSE,"RACT1.XLS";#N/A,#N/A,FALSE,"RACT2.XLS";#N/A,#N/A,FALSE,"ECCMP";#N/A,#N/A,FALSE,"WELDER.XLS"}</definedName>
    <definedName name="kvv" hidden="1">{#N/A,#N/A,FALSE,"COVER.XLS";#N/A,#N/A,FALSE,"RACT1.XLS";#N/A,#N/A,FALSE,"RACT2.XLS";#N/A,#N/A,FALSE,"ECCMP";#N/A,#N/A,FALSE,"WELDER.XLS"}</definedName>
    <definedName name="kvv_1" hidden="1">{#N/A,#N/A,FALSE,"COVER.XLS";#N/A,#N/A,FALSE,"RACT1.XLS";#N/A,#N/A,FALSE,"RACT2.XLS";#N/A,#N/A,FALSE,"ECCMP";#N/A,#N/A,FALSE,"WELDER.XLS"}</definedName>
    <definedName name="kvv_1_1" hidden="1">{#N/A,#N/A,FALSE,"COVER.XLS";#N/A,#N/A,FALSE,"RACT1.XLS";#N/A,#N/A,FALSE,"RACT2.XLS";#N/A,#N/A,FALSE,"ECCMP";#N/A,#N/A,FALSE,"WELDER.XLS"}</definedName>
    <definedName name="kvv_1_2" hidden="1">{#N/A,#N/A,FALSE,"COVER.XLS";#N/A,#N/A,FALSE,"RACT1.XLS";#N/A,#N/A,FALSE,"RACT2.XLS";#N/A,#N/A,FALSE,"ECCMP";#N/A,#N/A,FALSE,"WELDER.XLS"}</definedName>
    <definedName name="kvv_1_3" hidden="1">{#N/A,#N/A,FALSE,"COVER.XLS";#N/A,#N/A,FALSE,"RACT1.XLS";#N/A,#N/A,FALSE,"RACT2.XLS";#N/A,#N/A,FALSE,"ECCMP";#N/A,#N/A,FALSE,"WELDER.XLS"}</definedName>
    <definedName name="kvv_1_4" hidden="1">{#N/A,#N/A,FALSE,"COVER.XLS";#N/A,#N/A,FALSE,"RACT1.XLS";#N/A,#N/A,FALSE,"RACT2.XLS";#N/A,#N/A,FALSE,"ECCMP";#N/A,#N/A,FALSE,"WELDER.XLS"}</definedName>
    <definedName name="kvv_1_5" hidden="1">{#N/A,#N/A,FALSE,"COVER.XLS";#N/A,#N/A,FALSE,"RACT1.XLS";#N/A,#N/A,FALSE,"RACT2.XLS";#N/A,#N/A,FALSE,"ECCMP";#N/A,#N/A,FALSE,"WELDER.XLS"}</definedName>
    <definedName name="kvv_2" hidden="1">{#N/A,#N/A,FALSE,"COVER.XLS";#N/A,#N/A,FALSE,"RACT1.XLS";#N/A,#N/A,FALSE,"RACT2.XLS";#N/A,#N/A,FALSE,"ECCMP";#N/A,#N/A,FALSE,"WELDER.XLS"}</definedName>
    <definedName name="kvv_2_1" hidden="1">{#N/A,#N/A,FALSE,"COVER.XLS";#N/A,#N/A,FALSE,"RACT1.XLS";#N/A,#N/A,FALSE,"RACT2.XLS";#N/A,#N/A,FALSE,"ECCMP";#N/A,#N/A,FALSE,"WELDER.XLS"}</definedName>
    <definedName name="kvv_2_2" hidden="1">{#N/A,#N/A,FALSE,"COVER.XLS";#N/A,#N/A,FALSE,"RACT1.XLS";#N/A,#N/A,FALSE,"RACT2.XLS";#N/A,#N/A,FALSE,"ECCMP";#N/A,#N/A,FALSE,"WELDER.XLS"}</definedName>
    <definedName name="kvv_2_3" hidden="1">{#N/A,#N/A,FALSE,"COVER.XLS";#N/A,#N/A,FALSE,"RACT1.XLS";#N/A,#N/A,FALSE,"RACT2.XLS";#N/A,#N/A,FALSE,"ECCMP";#N/A,#N/A,FALSE,"WELDER.XLS"}</definedName>
    <definedName name="kvv_2_4" hidden="1">{#N/A,#N/A,FALSE,"COVER.XLS";#N/A,#N/A,FALSE,"RACT1.XLS";#N/A,#N/A,FALSE,"RACT2.XLS";#N/A,#N/A,FALSE,"ECCMP";#N/A,#N/A,FALSE,"WELDER.XLS"}</definedName>
    <definedName name="kvv_2_5" hidden="1">{#N/A,#N/A,FALSE,"COVER.XLS";#N/A,#N/A,FALSE,"RACT1.XLS";#N/A,#N/A,FALSE,"RACT2.XLS";#N/A,#N/A,FALSE,"ECCMP";#N/A,#N/A,FALSE,"WELDER.XLS"}</definedName>
    <definedName name="kvv_3" hidden="1">{#N/A,#N/A,FALSE,"COVER.XLS";#N/A,#N/A,FALSE,"RACT1.XLS";#N/A,#N/A,FALSE,"RACT2.XLS";#N/A,#N/A,FALSE,"ECCMP";#N/A,#N/A,FALSE,"WELDER.XLS"}</definedName>
    <definedName name="kvv_4" hidden="1">{#N/A,#N/A,FALSE,"COVER.XLS";#N/A,#N/A,FALSE,"RACT1.XLS";#N/A,#N/A,FALSE,"RACT2.XLS";#N/A,#N/A,FALSE,"ECCMP";#N/A,#N/A,FALSE,"WELDER.XLS"}</definedName>
    <definedName name="kvv_5" hidden="1">{#N/A,#N/A,FALSE,"COVER.XLS";#N/A,#N/A,FALSE,"RACT1.XLS";#N/A,#N/A,FALSE,"RACT2.XLS";#N/A,#N/A,FALSE,"ECCMP";#N/A,#N/A,FALSE,"WELDER.XLS"}</definedName>
    <definedName name="l"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_1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_1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_1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_1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_1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_2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_2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_2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_2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_2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imcount" hidden="1">1</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_1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_1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_1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_1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_1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_2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_2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_2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_2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_2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l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_1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_1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_1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_1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_1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_2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_2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_2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_2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_2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m" hidden="1">{#N/A,#N/A,FALSE,"COVER1.XLS ";#N/A,#N/A,FALSE,"RACT1.XLS";#N/A,#N/A,FALSE,"RACT2.XLS";#N/A,#N/A,FALSE,"ECCMP";#N/A,#N/A,FALSE,"WELDER.XLS"}</definedName>
    <definedName name="mmm" hidden="1">{#N/A,#N/A,FALSE,"COVER.XLS";#N/A,#N/A,FALSE,"RACT1.XLS";#N/A,#N/A,FALSE,"RACT2.XLS";#N/A,#N/A,FALSE,"ECCMP";#N/A,#N/A,FALSE,"WELDER.XLS"}</definedName>
    <definedName name="mmm_1" hidden="1">{#N/A,#N/A,FALSE,"COVER.XLS";#N/A,#N/A,FALSE,"RACT1.XLS";#N/A,#N/A,FALSE,"RACT2.XLS";#N/A,#N/A,FALSE,"ECCMP";#N/A,#N/A,FALSE,"WELDER.XLS"}</definedName>
    <definedName name="mmm_1_1" hidden="1">{#N/A,#N/A,FALSE,"COVER.XLS";#N/A,#N/A,FALSE,"RACT1.XLS";#N/A,#N/A,FALSE,"RACT2.XLS";#N/A,#N/A,FALSE,"ECCMP";#N/A,#N/A,FALSE,"WELDER.XLS"}</definedName>
    <definedName name="mmm_1_2" hidden="1">{#N/A,#N/A,FALSE,"COVER.XLS";#N/A,#N/A,FALSE,"RACT1.XLS";#N/A,#N/A,FALSE,"RACT2.XLS";#N/A,#N/A,FALSE,"ECCMP";#N/A,#N/A,FALSE,"WELDER.XLS"}</definedName>
    <definedName name="mmm_1_3" hidden="1">{#N/A,#N/A,FALSE,"COVER.XLS";#N/A,#N/A,FALSE,"RACT1.XLS";#N/A,#N/A,FALSE,"RACT2.XLS";#N/A,#N/A,FALSE,"ECCMP";#N/A,#N/A,FALSE,"WELDER.XLS"}</definedName>
    <definedName name="mmm_1_4" hidden="1">{#N/A,#N/A,FALSE,"COVER.XLS";#N/A,#N/A,FALSE,"RACT1.XLS";#N/A,#N/A,FALSE,"RACT2.XLS";#N/A,#N/A,FALSE,"ECCMP";#N/A,#N/A,FALSE,"WELDER.XLS"}</definedName>
    <definedName name="mmm_1_5" hidden="1">{#N/A,#N/A,FALSE,"COVER.XLS";#N/A,#N/A,FALSE,"RACT1.XLS";#N/A,#N/A,FALSE,"RACT2.XLS";#N/A,#N/A,FALSE,"ECCMP";#N/A,#N/A,FALSE,"WELDER.XLS"}</definedName>
    <definedName name="mmm_2" hidden="1">{#N/A,#N/A,FALSE,"COVER.XLS";#N/A,#N/A,FALSE,"RACT1.XLS";#N/A,#N/A,FALSE,"RACT2.XLS";#N/A,#N/A,FALSE,"ECCMP";#N/A,#N/A,FALSE,"WELDER.XLS"}</definedName>
    <definedName name="mmm_2_1" hidden="1">{#N/A,#N/A,FALSE,"COVER.XLS";#N/A,#N/A,FALSE,"RACT1.XLS";#N/A,#N/A,FALSE,"RACT2.XLS";#N/A,#N/A,FALSE,"ECCMP";#N/A,#N/A,FALSE,"WELDER.XLS"}</definedName>
    <definedName name="mmm_2_2" hidden="1">{#N/A,#N/A,FALSE,"COVER.XLS";#N/A,#N/A,FALSE,"RACT1.XLS";#N/A,#N/A,FALSE,"RACT2.XLS";#N/A,#N/A,FALSE,"ECCMP";#N/A,#N/A,FALSE,"WELDER.XLS"}</definedName>
    <definedName name="mmm_2_3" hidden="1">{#N/A,#N/A,FALSE,"COVER.XLS";#N/A,#N/A,FALSE,"RACT1.XLS";#N/A,#N/A,FALSE,"RACT2.XLS";#N/A,#N/A,FALSE,"ECCMP";#N/A,#N/A,FALSE,"WELDER.XLS"}</definedName>
    <definedName name="mmm_2_4" hidden="1">{#N/A,#N/A,FALSE,"COVER.XLS";#N/A,#N/A,FALSE,"RACT1.XLS";#N/A,#N/A,FALSE,"RACT2.XLS";#N/A,#N/A,FALSE,"ECCMP";#N/A,#N/A,FALSE,"WELDER.XLS"}</definedName>
    <definedName name="mmm_2_5" hidden="1">{#N/A,#N/A,FALSE,"COVER.XLS";#N/A,#N/A,FALSE,"RACT1.XLS";#N/A,#N/A,FALSE,"RACT2.XLS";#N/A,#N/A,FALSE,"ECCMP";#N/A,#N/A,FALSE,"WELDER.XLS"}</definedName>
    <definedName name="mmm_3" hidden="1">{#N/A,#N/A,FALSE,"COVER.XLS";#N/A,#N/A,FALSE,"RACT1.XLS";#N/A,#N/A,FALSE,"RACT2.XLS";#N/A,#N/A,FALSE,"ECCMP";#N/A,#N/A,FALSE,"WELDER.XLS"}</definedName>
    <definedName name="mmm_4" hidden="1">{#N/A,#N/A,FALSE,"COVER.XLS";#N/A,#N/A,FALSE,"RACT1.XLS";#N/A,#N/A,FALSE,"RACT2.XLS";#N/A,#N/A,FALSE,"ECCMP";#N/A,#N/A,FALSE,"WELDER.XLS"}</definedName>
    <definedName name="mmm_5" hidden="1">{#N/A,#N/A,FALSE,"COVER.XLS";#N/A,#N/A,FALSE,"RACT1.XLS";#N/A,#N/A,FALSE,"RACT2.XLS";#N/A,#N/A,FALSE,"ECCMP";#N/A,#N/A,FALSE,"WELDER.XLS"}</definedName>
    <definedName name="n" hidden="1">#REF!</definedName>
    <definedName name="n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_1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_1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_1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_1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_1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_2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_2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_2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_2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_2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ew"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_1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_1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_1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_1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_1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_2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_2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_2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_2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_2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ikita" hidden="1">{#N/A,#N/A,FALSE,"str_title";#N/A,#N/A,FALSE,"SUM";#N/A,#N/A,FALSE,"Scope";#N/A,#N/A,FALSE,"PIE-Jn";#N/A,#N/A,FALSE,"PIE-Jn_Hz";#N/A,#N/A,FALSE,"Liq_Plan";#N/A,#N/A,FALSE,"S_Curve";#N/A,#N/A,FALSE,"Liq_Prof";#N/A,#N/A,FALSE,"Man_Pwr";#N/A,#N/A,FALSE,"Man_Prof"}</definedName>
    <definedName name="nikita_1" hidden="1">{#N/A,#N/A,FALSE,"str_title";#N/A,#N/A,FALSE,"SUM";#N/A,#N/A,FALSE,"Scope";#N/A,#N/A,FALSE,"PIE-Jn";#N/A,#N/A,FALSE,"PIE-Jn_Hz";#N/A,#N/A,FALSE,"Liq_Plan";#N/A,#N/A,FALSE,"S_Curve";#N/A,#N/A,FALSE,"Liq_Prof";#N/A,#N/A,FALSE,"Man_Pwr";#N/A,#N/A,FALSE,"Man_Prof"}</definedName>
    <definedName name="nikita_2" hidden="1">{#N/A,#N/A,FALSE,"str_title";#N/A,#N/A,FALSE,"SUM";#N/A,#N/A,FALSE,"Scope";#N/A,#N/A,FALSE,"PIE-Jn";#N/A,#N/A,FALSE,"PIE-Jn_Hz";#N/A,#N/A,FALSE,"Liq_Plan";#N/A,#N/A,FALSE,"S_Curve";#N/A,#N/A,FALSE,"Liq_Prof";#N/A,#N/A,FALSE,"Man_Pwr";#N/A,#N/A,FALSE,"Man_Prof"}</definedName>
    <definedName name="nikita_3" hidden="1">{#N/A,#N/A,FALSE,"str_title";#N/A,#N/A,FALSE,"SUM";#N/A,#N/A,FALSE,"Scope";#N/A,#N/A,FALSE,"PIE-Jn";#N/A,#N/A,FALSE,"PIE-Jn_Hz";#N/A,#N/A,FALSE,"Liq_Plan";#N/A,#N/A,FALSE,"S_Curve";#N/A,#N/A,FALSE,"Liq_Prof";#N/A,#N/A,FALSE,"Man_Pwr";#N/A,#N/A,FALSE,"Man_Prof"}</definedName>
    <definedName name="nikita_4" hidden="1">{#N/A,#N/A,FALSE,"str_title";#N/A,#N/A,FALSE,"SUM";#N/A,#N/A,FALSE,"Scope";#N/A,#N/A,FALSE,"PIE-Jn";#N/A,#N/A,FALSE,"PIE-Jn_Hz";#N/A,#N/A,FALSE,"Liq_Plan";#N/A,#N/A,FALSE,"S_Curve";#N/A,#N/A,FALSE,"Liq_Prof";#N/A,#N/A,FALSE,"Man_Pwr";#N/A,#N/A,FALSE,"Man_Prof"}</definedName>
    <definedName name="nikita_5" hidden="1">{#N/A,#N/A,FALSE,"str_title";#N/A,#N/A,FALSE,"SUM";#N/A,#N/A,FALSE,"Scope";#N/A,#N/A,FALSE,"PIE-Jn";#N/A,#N/A,FALSE,"PIE-Jn_Hz";#N/A,#N/A,FALSE,"Liq_Plan";#N/A,#N/A,FALSE,"S_Curve";#N/A,#N/A,FALSE,"Liq_Prof";#N/A,#N/A,FALSE,"Man_Pwr";#N/A,#N/A,FALSE,"Man_Prof"}</definedName>
    <definedName name="nss" hidden="1">{#N/A,#N/A,FALSE,"consu_cover";#N/A,#N/A,FALSE,"consu_strategy";#N/A,#N/A,FALSE,"consu_flow";#N/A,#N/A,FALSE,"Summary_reqmt";#N/A,#N/A,FALSE,"field_ppg";#N/A,#N/A,FALSE,"ppg_shop";#N/A,#N/A,FALSE,"strl";#N/A,#N/A,FALSE,"tankages";#N/A,#N/A,FALSE,"gases"}</definedName>
    <definedName name="nss_1" hidden="1">{#N/A,#N/A,FALSE,"consu_cover";#N/A,#N/A,FALSE,"consu_strategy";#N/A,#N/A,FALSE,"consu_flow";#N/A,#N/A,FALSE,"Summary_reqmt";#N/A,#N/A,FALSE,"field_ppg";#N/A,#N/A,FALSE,"ppg_shop";#N/A,#N/A,FALSE,"strl";#N/A,#N/A,FALSE,"tankages";#N/A,#N/A,FALSE,"gases"}</definedName>
    <definedName name="nss_1_1" hidden="1">{#N/A,#N/A,FALSE,"consu_cover";#N/A,#N/A,FALSE,"consu_strategy";#N/A,#N/A,FALSE,"consu_flow";#N/A,#N/A,FALSE,"Summary_reqmt";#N/A,#N/A,FALSE,"field_ppg";#N/A,#N/A,FALSE,"ppg_shop";#N/A,#N/A,FALSE,"strl";#N/A,#N/A,FALSE,"tankages";#N/A,#N/A,FALSE,"gases"}</definedName>
    <definedName name="nss_1_2" hidden="1">{#N/A,#N/A,FALSE,"consu_cover";#N/A,#N/A,FALSE,"consu_strategy";#N/A,#N/A,FALSE,"consu_flow";#N/A,#N/A,FALSE,"Summary_reqmt";#N/A,#N/A,FALSE,"field_ppg";#N/A,#N/A,FALSE,"ppg_shop";#N/A,#N/A,FALSE,"strl";#N/A,#N/A,FALSE,"tankages";#N/A,#N/A,FALSE,"gases"}</definedName>
    <definedName name="nss_1_3" hidden="1">{#N/A,#N/A,FALSE,"consu_cover";#N/A,#N/A,FALSE,"consu_strategy";#N/A,#N/A,FALSE,"consu_flow";#N/A,#N/A,FALSE,"Summary_reqmt";#N/A,#N/A,FALSE,"field_ppg";#N/A,#N/A,FALSE,"ppg_shop";#N/A,#N/A,FALSE,"strl";#N/A,#N/A,FALSE,"tankages";#N/A,#N/A,FALSE,"gases"}</definedName>
    <definedName name="nss_1_4" hidden="1">{#N/A,#N/A,FALSE,"consu_cover";#N/A,#N/A,FALSE,"consu_strategy";#N/A,#N/A,FALSE,"consu_flow";#N/A,#N/A,FALSE,"Summary_reqmt";#N/A,#N/A,FALSE,"field_ppg";#N/A,#N/A,FALSE,"ppg_shop";#N/A,#N/A,FALSE,"strl";#N/A,#N/A,FALSE,"tankages";#N/A,#N/A,FALSE,"gases"}</definedName>
    <definedName name="nss_1_5" hidden="1">{#N/A,#N/A,FALSE,"consu_cover";#N/A,#N/A,FALSE,"consu_strategy";#N/A,#N/A,FALSE,"consu_flow";#N/A,#N/A,FALSE,"Summary_reqmt";#N/A,#N/A,FALSE,"field_ppg";#N/A,#N/A,FALSE,"ppg_shop";#N/A,#N/A,FALSE,"strl";#N/A,#N/A,FALSE,"tankages";#N/A,#N/A,FALSE,"gases"}</definedName>
    <definedName name="nss_2" hidden="1">{#N/A,#N/A,FALSE,"consu_cover";#N/A,#N/A,FALSE,"consu_strategy";#N/A,#N/A,FALSE,"consu_flow";#N/A,#N/A,FALSE,"Summary_reqmt";#N/A,#N/A,FALSE,"field_ppg";#N/A,#N/A,FALSE,"ppg_shop";#N/A,#N/A,FALSE,"strl";#N/A,#N/A,FALSE,"tankages";#N/A,#N/A,FALSE,"gases"}</definedName>
    <definedName name="nss_2_1" hidden="1">{#N/A,#N/A,FALSE,"consu_cover";#N/A,#N/A,FALSE,"consu_strategy";#N/A,#N/A,FALSE,"consu_flow";#N/A,#N/A,FALSE,"Summary_reqmt";#N/A,#N/A,FALSE,"field_ppg";#N/A,#N/A,FALSE,"ppg_shop";#N/A,#N/A,FALSE,"strl";#N/A,#N/A,FALSE,"tankages";#N/A,#N/A,FALSE,"gases"}</definedName>
    <definedName name="nss_2_2" hidden="1">{#N/A,#N/A,FALSE,"consu_cover";#N/A,#N/A,FALSE,"consu_strategy";#N/A,#N/A,FALSE,"consu_flow";#N/A,#N/A,FALSE,"Summary_reqmt";#N/A,#N/A,FALSE,"field_ppg";#N/A,#N/A,FALSE,"ppg_shop";#N/A,#N/A,FALSE,"strl";#N/A,#N/A,FALSE,"tankages";#N/A,#N/A,FALSE,"gases"}</definedName>
    <definedName name="nss_2_3" hidden="1">{#N/A,#N/A,FALSE,"consu_cover";#N/A,#N/A,FALSE,"consu_strategy";#N/A,#N/A,FALSE,"consu_flow";#N/A,#N/A,FALSE,"Summary_reqmt";#N/A,#N/A,FALSE,"field_ppg";#N/A,#N/A,FALSE,"ppg_shop";#N/A,#N/A,FALSE,"strl";#N/A,#N/A,FALSE,"tankages";#N/A,#N/A,FALSE,"gases"}</definedName>
    <definedName name="nss_2_4" hidden="1">{#N/A,#N/A,FALSE,"consu_cover";#N/A,#N/A,FALSE,"consu_strategy";#N/A,#N/A,FALSE,"consu_flow";#N/A,#N/A,FALSE,"Summary_reqmt";#N/A,#N/A,FALSE,"field_ppg";#N/A,#N/A,FALSE,"ppg_shop";#N/A,#N/A,FALSE,"strl";#N/A,#N/A,FALSE,"tankages";#N/A,#N/A,FALSE,"gases"}</definedName>
    <definedName name="nss_2_5" hidden="1">{#N/A,#N/A,FALSE,"consu_cover";#N/A,#N/A,FALSE,"consu_strategy";#N/A,#N/A,FALSE,"consu_flow";#N/A,#N/A,FALSE,"Summary_reqmt";#N/A,#N/A,FALSE,"field_ppg";#N/A,#N/A,FALSE,"ppg_shop";#N/A,#N/A,FALSE,"strl";#N/A,#N/A,FALSE,"tankages";#N/A,#N/A,FALSE,"gases"}</definedName>
    <definedName name="nss_3" hidden="1">{#N/A,#N/A,FALSE,"consu_cover";#N/A,#N/A,FALSE,"consu_strategy";#N/A,#N/A,FALSE,"consu_flow";#N/A,#N/A,FALSE,"Summary_reqmt";#N/A,#N/A,FALSE,"field_ppg";#N/A,#N/A,FALSE,"ppg_shop";#N/A,#N/A,FALSE,"strl";#N/A,#N/A,FALSE,"tankages";#N/A,#N/A,FALSE,"gases"}</definedName>
    <definedName name="nss_4" hidden="1">{#N/A,#N/A,FALSE,"consu_cover";#N/A,#N/A,FALSE,"consu_strategy";#N/A,#N/A,FALSE,"consu_flow";#N/A,#N/A,FALSE,"Summary_reqmt";#N/A,#N/A,FALSE,"field_ppg";#N/A,#N/A,FALSE,"ppg_shop";#N/A,#N/A,FALSE,"strl";#N/A,#N/A,FALSE,"tankages";#N/A,#N/A,FALSE,"gases"}</definedName>
    <definedName name="nss_5" hidden="1">{#N/A,#N/A,FALSE,"consu_cover";#N/A,#N/A,FALSE,"consu_strategy";#N/A,#N/A,FALSE,"consu_flow";#N/A,#N/A,FALSE,"Summary_reqmt";#N/A,#N/A,FALSE,"field_ppg";#N/A,#N/A,FALSE,"ppg_shop";#N/A,#N/A,FALSE,"strl";#N/A,#N/A,FALSE,"tankages";#N/A,#N/A,FALSE,"gases"}</definedName>
    <definedName name="ok" hidden="1">{#N/A,#N/A,FALSE,"COVER1.XLS ";#N/A,#N/A,FALSE,"RACT1.XLS";#N/A,#N/A,FALSE,"RACT2.XLS";#N/A,#N/A,FALSE,"ECCMP";#N/A,#N/A,FALSE,"WELDER.XLS"}</definedName>
    <definedName name="ok_1" hidden="1">{#N/A,#N/A,FALSE,"COVER1.XLS ";#N/A,#N/A,FALSE,"RACT1.XLS";#N/A,#N/A,FALSE,"RACT2.XLS";#N/A,#N/A,FALSE,"ECCMP";#N/A,#N/A,FALSE,"WELDER.XLS"}</definedName>
    <definedName name="ok_1_1" hidden="1">{#N/A,#N/A,FALSE,"COVER1.XLS ";#N/A,#N/A,FALSE,"RACT1.XLS";#N/A,#N/A,FALSE,"RACT2.XLS";#N/A,#N/A,FALSE,"ECCMP";#N/A,#N/A,FALSE,"WELDER.XLS"}</definedName>
    <definedName name="ok_1_2" hidden="1">{#N/A,#N/A,FALSE,"COVER1.XLS ";#N/A,#N/A,FALSE,"RACT1.XLS";#N/A,#N/A,FALSE,"RACT2.XLS";#N/A,#N/A,FALSE,"ECCMP";#N/A,#N/A,FALSE,"WELDER.XLS"}</definedName>
    <definedName name="ok_1_3" hidden="1">{#N/A,#N/A,FALSE,"COVER1.XLS ";#N/A,#N/A,FALSE,"RACT1.XLS";#N/A,#N/A,FALSE,"RACT2.XLS";#N/A,#N/A,FALSE,"ECCMP";#N/A,#N/A,FALSE,"WELDER.XLS"}</definedName>
    <definedName name="ok_1_4" hidden="1">{#N/A,#N/A,FALSE,"COVER1.XLS ";#N/A,#N/A,FALSE,"RACT1.XLS";#N/A,#N/A,FALSE,"RACT2.XLS";#N/A,#N/A,FALSE,"ECCMP";#N/A,#N/A,FALSE,"WELDER.XLS"}</definedName>
    <definedName name="ok_1_5" hidden="1">{#N/A,#N/A,FALSE,"COVER1.XLS ";#N/A,#N/A,FALSE,"RACT1.XLS";#N/A,#N/A,FALSE,"RACT2.XLS";#N/A,#N/A,FALSE,"ECCMP";#N/A,#N/A,FALSE,"WELDER.XLS"}</definedName>
    <definedName name="ok_2" hidden="1">{#N/A,#N/A,FALSE,"COVER1.XLS ";#N/A,#N/A,FALSE,"RACT1.XLS";#N/A,#N/A,FALSE,"RACT2.XLS";#N/A,#N/A,FALSE,"ECCMP";#N/A,#N/A,FALSE,"WELDER.XLS"}</definedName>
    <definedName name="ok_2_1" hidden="1">{#N/A,#N/A,FALSE,"COVER1.XLS ";#N/A,#N/A,FALSE,"RACT1.XLS";#N/A,#N/A,FALSE,"RACT2.XLS";#N/A,#N/A,FALSE,"ECCMP";#N/A,#N/A,FALSE,"WELDER.XLS"}</definedName>
    <definedName name="ok_2_2" hidden="1">{#N/A,#N/A,FALSE,"COVER1.XLS ";#N/A,#N/A,FALSE,"RACT1.XLS";#N/A,#N/A,FALSE,"RACT2.XLS";#N/A,#N/A,FALSE,"ECCMP";#N/A,#N/A,FALSE,"WELDER.XLS"}</definedName>
    <definedName name="ok_2_3" hidden="1">{#N/A,#N/A,FALSE,"COVER1.XLS ";#N/A,#N/A,FALSE,"RACT1.XLS";#N/A,#N/A,FALSE,"RACT2.XLS";#N/A,#N/A,FALSE,"ECCMP";#N/A,#N/A,FALSE,"WELDER.XLS"}</definedName>
    <definedName name="ok_2_4" hidden="1">{#N/A,#N/A,FALSE,"COVER1.XLS ";#N/A,#N/A,FALSE,"RACT1.XLS";#N/A,#N/A,FALSE,"RACT2.XLS";#N/A,#N/A,FALSE,"ECCMP";#N/A,#N/A,FALSE,"WELDER.XLS"}</definedName>
    <definedName name="ok_2_5" hidden="1">{#N/A,#N/A,FALSE,"COVER1.XLS ";#N/A,#N/A,FALSE,"RACT1.XLS";#N/A,#N/A,FALSE,"RACT2.XLS";#N/A,#N/A,FALSE,"ECCMP";#N/A,#N/A,FALSE,"WELDER.XLS"}</definedName>
    <definedName name="ok_3" hidden="1">{#N/A,#N/A,FALSE,"COVER1.XLS ";#N/A,#N/A,FALSE,"RACT1.XLS";#N/A,#N/A,FALSE,"RACT2.XLS";#N/A,#N/A,FALSE,"ECCMP";#N/A,#N/A,FALSE,"WELDER.XLS"}</definedName>
    <definedName name="ok_4" hidden="1">{#N/A,#N/A,FALSE,"COVER1.XLS ";#N/A,#N/A,FALSE,"RACT1.XLS";#N/A,#N/A,FALSE,"RACT2.XLS";#N/A,#N/A,FALSE,"ECCMP";#N/A,#N/A,FALSE,"WELDER.XLS"}</definedName>
    <definedName name="ok_5" hidden="1">{#N/A,#N/A,FALSE,"COVER1.XLS ";#N/A,#N/A,FALSE,"RACT1.XLS";#N/A,#N/A,FALSE,"RACT2.XLS";#N/A,#N/A,FALSE,"ECCMP";#N/A,#N/A,FALSE,"WELDER.XLS"}</definedName>
    <definedName name="op" hidden="1">{"PMTBUDSM",#N/A,FALSE,"Sheet 1";"PMTBUDSMD",#N/A,FALSE,"Sheet 1"}</definedName>
    <definedName name="op_1" hidden="1">{"PMTBUDSM",#N/A,FALSE,"Sheet 1";"PMTBUDSMD",#N/A,FALSE,"Sheet 1"}</definedName>
    <definedName name="op_2" hidden="1">{"PMTBUDSM",#N/A,FALSE,"Sheet 1";"PMTBUDSMD",#N/A,FALSE,"Sheet 1"}</definedName>
    <definedName name="op_3" hidden="1">{"PMTBUDSM",#N/A,FALSE,"Sheet 1";"PMTBUDSMD",#N/A,FALSE,"Sheet 1"}</definedName>
    <definedName name="op_4" hidden="1">{"PMTBUDSM",#N/A,FALSE,"Sheet 1";"PMTBUDSMD",#N/A,FALSE,"Sheet 1"}</definedName>
    <definedName name="op_5" hidden="1">{"PMTBUDSM",#N/A,FALSE,"Sheet 1";"PMTBUDSMD",#N/A,FALSE,"Sheet 1"}</definedName>
    <definedName name="Others" hidden="1">{#N/A,#N/A,FALSE,"COVER1.XLS ";#N/A,#N/A,FALSE,"RACT1.XLS";#N/A,#N/A,FALSE,"RACT2.XLS";#N/A,#N/A,FALSE,"ECCMP";#N/A,#N/A,FALSE,"WELDER.XLS"}</definedName>
    <definedName name="Others_1" hidden="1">{#N/A,#N/A,FALSE,"COVER1.XLS ";#N/A,#N/A,FALSE,"RACT1.XLS";#N/A,#N/A,FALSE,"RACT2.XLS";#N/A,#N/A,FALSE,"ECCMP";#N/A,#N/A,FALSE,"WELDER.XLS"}</definedName>
    <definedName name="Others_1_1" hidden="1">{#N/A,#N/A,FALSE,"COVER1.XLS ";#N/A,#N/A,FALSE,"RACT1.XLS";#N/A,#N/A,FALSE,"RACT2.XLS";#N/A,#N/A,FALSE,"ECCMP";#N/A,#N/A,FALSE,"WELDER.XLS"}</definedName>
    <definedName name="Others_1_2" hidden="1">{#N/A,#N/A,FALSE,"COVER1.XLS ";#N/A,#N/A,FALSE,"RACT1.XLS";#N/A,#N/A,FALSE,"RACT2.XLS";#N/A,#N/A,FALSE,"ECCMP";#N/A,#N/A,FALSE,"WELDER.XLS"}</definedName>
    <definedName name="Others_1_3" hidden="1">{#N/A,#N/A,FALSE,"COVER1.XLS ";#N/A,#N/A,FALSE,"RACT1.XLS";#N/A,#N/A,FALSE,"RACT2.XLS";#N/A,#N/A,FALSE,"ECCMP";#N/A,#N/A,FALSE,"WELDER.XLS"}</definedName>
    <definedName name="Others_1_4" hidden="1">{#N/A,#N/A,FALSE,"COVER1.XLS ";#N/A,#N/A,FALSE,"RACT1.XLS";#N/A,#N/A,FALSE,"RACT2.XLS";#N/A,#N/A,FALSE,"ECCMP";#N/A,#N/A,FALSE,"WELDER.XLS"}</definedName>
    <definedName name="Others_1_5" hidden="1">{#N/A,#N/A,FALSE,"COVER1.XLS ";#N/A,#N/A,FALSE,"RACT1.XLS";#N/A,#N/A,FALSE,"RACT2.XLS";#N/A,#N/A,FALSE,"ECCMP";#N/A,#N/A,FALSE,"WELDER.XLS"}</definedName>
    <definedName name="Others_2" hidden="1">{#N/A,#N/A,FALSE,"COVER1.XLS ";#N/A,#N/A,FALSE,"RACT1.XLS";#N/A,#N/A,FALSE,"RACT2.XLS";#N/A,#N/A,FALSE,"ECCMP";#N/A,#N/A,FALSE,"WELDER.XLS"}</definedName>
    <definedName name="Others_2_1" hidden="1">{#N/A,#N/A,FALSE,"COVER1.XLS ";#N/A,#N/A,FALSE,"RACT1.XLS";#N/A,#N/A,FALSE,"RACT2.XLS";#N/A,#N/A,FALSE,"ECCMP";#N/A,#N/A,FALSE,"WELDER.XLS"}</definedName>
    <definedName name="Others_2_2" hidden="1">{#N/A,#N/A,FALSE,"COVER1.XLS ";#N/A,#N/A,FALSE,"RACT1.XLS";#N/A,#N/A,FALSE,"RACT2.XLS";#N/A,#N/A,FALSE,"ECCMP";#N/A,#N/A,FALSE,"WELDER.XLS"}</definedName>
    <definedName name="Others_2_3" hidden="1">{#N/A,#N/A,FALSE,"COVER1.XLS ";#N/A,#N/A,FALSE,"RACT1.XLS";#N/A,#N/A,FALSE,"RACT2.XLS";#N/A,#N/A,FALSE,"ECCMP";#N/A,#N/A,FALSE,"WELDER.XLS"}</definedName>
    <definedName name="Others_2_4" hidden="1">{#N/A,#N/A,FALSE,"COVER1.XLS ";#N/A,#N/A,FALSE,"RACT1.XLS";#N/A,#N/A,FALSE,"RACT2.XLS";#N/A,#N/A,FALSE,"ECCMP";#N/A,#N/A,FALSE,"WELDER.XLS"}</definedName>
    <definedName name="Others_2_5" hidden="1">{#N/A,#N/A,FALSE,"COVER1.XLS ";#N/A,#N/A,FALSE,"RACT1.XLS";#N/A,#N/A,FALSE,"RACT2.XLS";#N/A,#N/A,FALSE,"ECCMP";#N/A,#N/A,FALSE,"WELDER.XLS"}</definedName>
    <definedName name="Others_3" hidden="1">{#N/A,#N/A,FALSE,"COVER1.XLS ";#N/A,#N/A,FALSE,"RACT1.XLS";#N/A,#N/A,FALSE,"RACT2.XLS";#N/A,#N/A,FALSE,"ECCMP";#N/A,#N/A,FALSE,"WELDER.XLS"}</definedName>
    <definedName name="Others_4" hidden="1">{#N/A,#N/A,FALSE,"COVER1.XLS ";#N/A,#N/A,FALSE,"RACT1.XLS";#N/A,#N/A,FALSE,"RACT2.XLS";#N/A,#N/A,FALSE,"ECCMP";#N/A,#N/A,FALSE,"WELDER.XLS"}</definedName>
    <definedName name="Others_5" hidden="1">{#N/A,#N/A,FALSE,"COVER1.XLS ";#N/A,#N/A,FALSE,"RACT1.XLS";#N/A,#N/A,FALSE,"RACT2.XLS";#N/A,#N/A,FALSE,"ECCMP";#N/A,#N/A,FALSE,"WELDER.XLS"}</definedName>
    <definedName name="P_loans" hidden="1">{"'kpi2-1'!$E$4"}</definedName>
    <definedName name="PF" hidden="1">{#N/A,#N/A,FALSE,"COVER.XLS";#N/A,#N/A,FALSE,"RACT1.XLS";#N/A,#N/A,FALSE,"RACT2.XLS";#N/A,#N/A,FALSE,"ECCMP";#N/A,#N/A,FALSE,"WELDER.XLS"}</definedName>
    <definedName name="PF_1" hidden="1">{#N/A,#N/A,FALSE,"COVER.XLS";#N/A,#N/A,FALSE,"RACT1.XLS";#N/A,#N/A,FALSE,"RACT2.XLS";#N/A,#N/A,FALSE,"ECCMP";#N/A,#N/A,FALSE,"WELDER.XLS"}</definedName>
    <definedName name="PF_1_1" hidden="1">{#N/A,#N/A,FALSE,"COVER.XLS";#N/A,#N/A,FALSE,"RACT1.XLS";#N/A,#N/A,FALSE,"RACT2.XLS";#N/A,#N/A,FALSE,"ECCMP";#N/A,#N/A,FALSE,"WELDER.XLS"}</definedName>
    <definedName name="PF_1_2" hidden="1">{#N/A,#N/A,FALSE,"COVER.XLS";#N/A,#N/A,FALSE,"RACT1.XLS";#N/A,#N/A,FALSE,"RACT2.XLS";#N/A,#N/A,FALSE,"ECCMP";#N/A,#N/A,FALSE,"WELDER.XLS"}</definedName>
    <definedName name="PF_1_3" hidden="1">{#N/A,#N/A,FALSE,"COVER.XLS";#N/A,#N/A,FALSE,"RACT1.XLS";#N/A,#N/A,FALSE,"RACT2.XLS";#N/A,#N/A,FALSE,"ECCMP";#N/A,#N/A,FALSE,"WELDER.XLS"}</definedName>
    <definedName name="PF_1_4" hidden="1">{#N/A,#N/A,FALSE,"COVER.XLS";#N/A,#N/A,FALSE,"RACT1.XLS";#N/A,#N/A,FALSE,"RACT2.XLS";#N/A,#N/A,FALSE,"ECCMP";#N/A,#N/A,FALSE,"WELDER.XLS"}</definedName>
    <definedName name="PF_1_5" hidden="1">{#N/A,#N/A,FALSE,"COVER.XLS";#N/A,#N/A,FALSE,"RACT1.XLS";#N/A,#N/A,FALSE,"RACT2.XLS";#N/A,#N/A,FALSE,"ECCMP";#N/A,#N/A,FALSE,"WELDER.XLS"}</definedName>
    <definedName name="PF_2" hidden="1">{#N/A,#N/A,FALSE,"COVER.XLS";#N/A,#N/A,FALSE,"RACT1.XLS";#N/A,#N/A,FALSE,"RACT2.XLS";#N/A,#N/A,FALSE,"ECCMP";#N/A,#N/A,FALSE,"WELDER.XLS"}</definedName>
    <definedName name="PF_2_1" hidden="1">{#N/A,#N/A,FALSE,"COVER.XLS";#N/A,#N/A,FALSE,"RACT1.XLS";#N/A,#N/A,FALSE,"RACT2.XLS";#N/A,#N/A,FALSE,"ECCMP";#N/A,#N/A,FALSE,"WELDER.XLS"}</definedName>
    <definedName name="PF_2_2" hidden="1">{#N/A,#N/A,FALSE,"COVER.XLS";#N/A,#N/A,FALSE,"RACT1.XLS";#N/A,#N/A,FALSE,"RACT2.XLS";#N/A,#N/A,FALSE,"ECCMP";#N/A,#N/A,FALSE,"WELDER.XLS"}</definedName>
    <definedName name="PF_2_3" hidden="1">{#N/A,#N/A,FALSE,"COVER.XLS";#N/A,#N/A,FALSE,"RACT1.XLS";#N/A,#N/A,FALSE,"RACT2.XLS";#N/A,#N/A,FALSE,"ECCMP";#N/A,#N/A,FALSE,"WELDER.XLS"}</definedName>
    <definedName name="PF_2_4" hidden="1">{#N/A,#N/A,FALSE,"COVER.XLS";#N/A,#N/A,FALSE,"RACT1.XLS";#N/A,#N/A,FALSE,"RACT2.XLS";#N/A,#N/A,FALSE,"ECCMP";#N/A,#N/A,FALSE,"WELDER.XLS"}</definedName>
    <definedName name="PF_2_5" hidden="1">{#N/A,#N/A,FALSE,"COVER.XLS";#N/A,#N/A,FALSE,"RACT1.XLS";#N/A,#N/A,FALSE,"RACT2.XLS";#N/A,#N/A,FALSE,"ECCMP";#N/A,#N/A,FALSE,"WELDER.XLS"}</definedName>
    <definedName name="PF_3" hidden="1">{#N/A,#N/A,FALSE,"COVER.XLS";#N/A,#N/A,FALSE,"RACT1.XLS";#N/A,#N/A,FALSE,"RACT2.XLS";#N/A,#N/A,FALSE,"ECCMP";#N/A,#N/A,FALSE,"WELDER.XLS"}</definedName>
    <definedName name="PF_4" hidden="1">{#N/A,#N/A,FALSE,"COVER.XLS";#N/A,#N/A,FALSE,"RACT1.XLS";#N/A,#N/A,FALSE,"RACT2.XLS";#N/A,#N/A,FALSE,"ECCMP";#N/A,#N/A,FALSE,"WELDER.XLS"}</definedName>
    <definedName name="PF_5" hidden="1">{#N/A,#N/A,FALSE,"COVER.XLS";#N/A,#N/A,FALSE,"RACT1.XLS";#N/A,#N/A,FALSE,"RACT2.XLS";#N/A,#N/A,FALSE,"ECCMP";#N/A,#N/A,FALSE,"WELDER.XLS"}</definedName>
    <definedName name="plm"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PMT" hidden="1">{#N/A,#N/A,FALSE,"Audit Program";#N/A,#N/A,FALSE,"T&amp;D Total";#N/A,#N/A,FALSE,"LNG Total";#N/A,#N/A,FALSE,"Power Total";#N/A,#N/A,FALSE,"Other Total";#N/A,#N/A,FALSE,"E&amp;P Total"}</definedName>
    <definedName name="PMT_1" hidden="1">{#N/A,#N/A,FALSE,"Audit Program";#N/A,#N/A,FALSE,"T&amp;D Total";#N/A,#N/A,FALSE,"LNG Total";#N/A,#N/A,FALSE,"Power Total";#N/A,#N/A,FALSE,"Other Total";#N/A,#N/A,FALSE,"E&amp;P Total"}</definedName>
    <definedName name="PMT_2" hidden="1">{#N/A,#N/A,FALSE,"Audit Program";#N/A,#N/A,FALSE,"T&amp;D Total";#N/A,#N/A,FALSE,"LNG Total";#N/A,#N/A,FALSE,"Power Total";#N/A,#N/A,FALSE,"Other Total";#N/A,#N/A,FALSE,"E&amp;P Total"}</definedName>
    <definedName name="PMT_3" hidden="1">{#N/A,#N/A,FALSE,"Audit Program";#N/A,#N/A,FALSE,"T&amp;D Total";#N/A,#N/A,FALSE,"LNG Total";#N/A,#N/A,FALSE,"Power Total";#N/A,#N/A,FALSE,"Other Total";#N/A,#N/A,FALSE,"E&amp;P Total"}</definedName>
    <definedName name="PMT_4" hidden="1">{#N/A,#N/A,FALSE,"Audit Program";#N/A,#N/A,FALSE,"T&amp;D Total";#N/A,#N/A,FALSE,"LNG Total";#N/A,#N/A,FALSE,"Power Total";#N/A,#N/A,FALSE,"Other Total";#N/A,#N/A,FALSE,"E&amp;P Total"}</definedName>
    <definedName name="PMT_5" hidden="1">{#N/A,#N/A,FALSE,"Audit Program";#N/A,#N/A,FALSE,"T&amp;D Total";#N/A,#N/A,FALSE,"LNG Total";#N/A,#N/A,FALSE,"Power Total";#N/A,#N/A,FALSE,"Other Total";#N/A,#N/A,FALSE,"E&amp;P Total"}</definedName>
    <definedName name="po" hidden="1">{#N/A,#N/A,FALSE,"str_title";#N/A,#N/A,FALSE,"SUM";#N/A,#N/A,FALSE,"Scope";#N/A,#N/A,FALSE,"PIE-Jn";#N/A,#N/A,FALSE,"PIE-Jn_Hz";#N/A,#N/A,FALSE,"Liq_Plan";#N/A,#N/A,FALSE,"S_Curve";#N/A,#N/A,FALSE,"Liq_Prof";#N/A,#N/A,FALSE,"Man_Pwr";#N/A,#N/A,FALSE,"Man_Prof"}</definedName>
    <definedName name="q"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q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q_1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q_1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q_1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q_1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q_1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q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q_2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q_2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q_2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q_2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q_2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q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q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q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qq" hidden="1">{#N/A,#N/A,FALSE,"COVER1.XLS ";#N/A,#N/A,FALSE,"RACT1.XLS";#N/A,#N/A,FALSE,"RACT2.XLS";#N/A,#N/A,FALSE,"ECCMP";#N/A,#N/A,FALSE,"WELDER.XLS"}</definedName>
    <definedName name="qq_1" hidden="1">{#N/A,#N/A,FALSE,"COVER1.XLS ";#N/A,#N/A,FALSE,"RACT1.XLS";#N/A,#N/A,FALSE,"RACT2.XLS";#N/A,#N/A,FALSE,"ECCMP";#N/A,#N/A,FALSE,"WELDER.XLS"}</definedName>
    <definedName name="qq_1_1" hidden="1">{#N/A,#N/A,FALSE,"COVER1.XLS ";#N/A,#N/A,FALSE,"RACT1.XLS";#N/A,#N/A,FALSE,"RACT2.XLS";#N/A,#N/A,FALSE,"ECCMP";#N/A,#N/A,FALSE,"WELDER.XLS"}</definedName>
    <definedName name="qq_1_2" hidden="1">{#N/A,#N/A,FALSE,"COVER1.XLS ";#N/A,#N/A,FALSE,"RACT1.XLS";#N/A,#N/A,FALSE,"RACT2.XLS";#N/A,#N/A,FALSE,"ECCMP";#N/A,#N/A,FALSE,"WELDER.XLS"}</definedName>
    <definedName name="qq_1_3" hidden="1">{#N/A,#N/A,FALSE,"COVER1.XLS ";#N/A,#N/A,FALSE,"RACT1.XLS";#N/A,#N/A,FALSE,"RACT2.XLS";#N/A,#N/A,FALSE,"ECCMP";#N/A,#N/A,FALSE,"WELDER.XLS"}</definedName>
    <definedName name="qq_1_4" hidden="1">{#N/A,#N/A,FALSE,"COVER1.XLS ";#N/A,#N/A,FALSE,"RACT1.XLS";#N/A,#N/A,FALSE,"RACT2.XLS";#N/A,#N/A,FALSE,"ECCMP";#N/A,#N/A,FALSE,"WELDER.XLS"}</definedName>
    <definedName name="qq_1_5" hidden="1">{#N/A,#N/A,FALSE,"COVER1.XLS ";#N/A,#N/A,FALSE,"RACT1.XLS";#N/A,#N/A,FALSE,"RACT2.XLS";#N/A,#N/A,FALSE,"ECCMP";#N/A,#N/A,FALSE,"WELDER.XLS"}</definedName>
    <definedName name="qq_2" hidden="1">{#N/A,#N/A,FALSE,"COVER1.XLS ";#N/A,#N/A,FALSE,"RACT1.XLS";#N/A,#N/A,FALSE,"RACT2.XLS";#N/A,#N/A,FALSE,"ECCMP";#N/A,#N/A,FALSE,"WELDER.XLS"}</definedName>
    <definedName name="qq_2_1" hidden="1">{#N/A,#N/A,FALSE,"COVER1.XLS ";#N/A,#N/A,FALSE,"RACT1.XLS";#N/A,#N/A,FALSE,"RACT2.XLS";#N/A,#N/A,FALSE,"ECCMP";#N/A,#N/A,FALSE,"WELDER.XLS"}</definedName>
    <definedName name="qq_2_2" hidden="1">{#N/A,#N/A,FALSE,"COVER1.XLS ";#N/A,#N/A,FALSE,"RACT1.XLS";#N/A,#N/A,FALSE,"RACT2.XLS";#N/A,#N/A,FALSE,"ECCMP";#N/A,#N/A,FALSE,"WELDER.XLS"}</definedName>
    <definedName name="qq_2_3" hidden="1">{#N/A,#N/A,FALSE,"COVER1.XLS ";#N/A,#N/A,FALSE,"RACT1.XLS";#N/A,#N/A,FALSE,"RACT2.XLS";#N/A,#N/A,FALSE,"ECCMP";#N/A,#N/A,FALSE,"WELDER.XLS"}</definedName>
    <definedName name="qq_2_4" hidden="1">{#N/A,#N/A,FALSE,"COVER1.XLS ";#N/A,#N/A,FALSE,"RACT1.XLS";#N/A,#N/A,FALSE,"RACT2.XLS";#N/A,#N/A,FALSE,"ECCMP";#N/A,#N/A,FALSE,"WELDER.XLS"}</definedName>
    <definedName name="qq_2_5" hidden="1">{#N/A,#N/A,FALSE,"COVER1.XLS ";#N/A,#N/A,FALSE,"RACT1.XLS";#N/A,#N/A,FALSE,"RACT2.XLS";#N/A,#N/A,FALSE,"ECCMP";#N/A,#N/A,FALSE,"WELDER.XLS"}</definedName>
    <definedName name="qq_3" hidden="1">{#N/A,#N/A,FALSE,"COVER1.XLS ";#N/A,#N/A,FALSE,"RACT1.XLS";#N/A,#N/A,FALSE,"RACT2.XLS";#N/A,#N/A,FALSE,"ECCMP";#N/A,#N/A,FALSE,"WELDER.XLS"}</definedName>
    <definedName name="qq_4" hidden="1">{#N/A,#N/A,FALSE,"COVER1.XLS ";#N/A,#N/A,FALSE,"RACT1.XLS";#N/A,#N/A,FALSE,"RACT2.XLS";#N/A,#N/A,FALSE,"ECCMP";#N/A,#N/A,FALSE,"WELDER.XLS"}</definedName>
    <definedName name="qq_5" hidden="1">{#N/A,#N/A,FALSE,"COVER1.XLS ";#N/A,#N/A,FALSE,"RACT1.XLS";#N/A,#N/A,FALSE,"RACT2.XLS";#N/A,#N/A,FALSE,"ECCMP";#N/A,#N/A,FALSE,"WELDER.XLS"}</definedName>
    <definedName name="qqqqqqqqqqqqqqqq"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qqqqqqqqqqqqqqqq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qqqqqqqqqqqqqqqq_1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qqqqqqqqqqqqqqqq_1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qqqqqqqqqqqqqqqq_1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qqqqqqqqqqqqqqqq_1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qqqqqqqqqqqqqqqq_1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qqqqqqqqqqqqqqqq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qqqqqqqqqqqqqqqq_2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qqqqqqqqqqqqqqqq_2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qqqqqqqqqqqqqqqq_2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qqqqqqqqqqqqqqqq_2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qqqqqqqqqqqqqqqq_2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qqqqqqqqqqqqqqqq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qqqqqqqqqqqqqqqq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qqqqqqqqqqqqqqqq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RDN" hidden="1">{#N/A,#N/A,FALSE,"COVER.XLS";#N/A,#N/A,FALSE,"RACT1.XLS";#N/A,#N/A,FALSE,"RACT2.XLS";#N/A,#N/A,FALSE,"ECCMP";#N/A,#N/A,FALSE,"WELDER.XLS"}</definedName>
    <definedName name="RDN_1" hidden="1">{#N/A,#N/A,FALSE,"COVER.XLS";#N/A,#N/A,FALSE,"RACT1.XLS";#N/A,#N/A,FALSE,"RACT2.XLS";#N/A,#N/A,FALSE,"ECCMP";#N/A,#N/A,FALSE,"WELDER.XLS"}</definedName>
    <definedName name="RDN_1_1" hidden="1">{#N/A,#N/A,FALSE,"COVER.XLS";#N/A,#N/A,FALSE,"RACT1.XLS";#N/A,#N/A,FALSE,"RACT2.XLS";#N/A,#N/A,FALSE,"ECCMP";#N/A,#N/A,FALSE,"WELDER.XLS"}</definedName>
    <definedName name="RDN_1_2" hidden="1">{#N/A,#N/A,FALSE,"COVER.XLS";#N/A,#N/A,FALSE,"RACT1.XLS";#N/A,#N/A,FALSE,"RACT2.XLS";#N/A,#N/A,FALSE,"ECCMP";#N/A,#N/A,FALSE,"WELDER.XLS"}</definedName>
    <definedName name="RDN_1_3" hidden="1">{#N/A,#N/A,FALSE,"COVER.XLS";#N/A,#N/A,FALSE,"RACT1.XLS";#N/A,#N/A,FALSE,"RACT2.XLS";#N/A,#N/A,FALSE,"ECCMP";#N/A,#N/A,FALSE,"WELDER.XLS"}</definedName>
    <definedName name="RDN_1_4" hidden="1">{#N/A,#N/A,FALSE,"COVER.XLS";#N/A,#N/A,FALSE,"RACT1.XLS";#N/A,#N/A,FALSE,"RACT2.XLS";#N/A,#N/A,FALSE,"ECCMP";#N/A,#N/A,FALSE,"WELDER.XLS"}</definedName>
    <definedName name="RDN_1_5" hidden="1">{#N/A,#N/A,FALSE,"COVER.XLS";#N/A,#N/A,FALSE,"RACT1.XLS";#N/A,#N/A,FALSE,"RACT2.XLS";#N/A,#N/A,FALSE,"ECCMP";#N/A,#N/A,FALSE,"WELDER.XLS"}</definedName>
    <definedName name="RDN_2" hidden="1">{#N/A,#N/A,FALSE,"COVER.XLS";#N/A,#N/A,FALSE,"RACT1.XLS";#N/A,#N/A,FALSE,"RACT2.XLS";#N/A,#N/A,FALSE,"ECCMP";#N/A,#N/A,FALSE,"WELDER.XLS"}</definedName>
    <definedName name="RDN_2_1" hidden="1">{#N/A,#N/A,FALSE,"COVER.XLS";#N/A,#N/A,FALSE,"RACT1.XLS";#N/A,#N/A,FALSE,"RACT2.XLS";#N/A,#N/A,FALSE,"ECCMP";#N/A,#N/A,FALSE,"WELDER.XLS"}</definedName>
    <definedName name="RDN_2_2" hidden="1">{#N/A,#N/A,FALSE,"COVER.XLS";#N/A,#N/A,FALSE,"RACT1.XLS";#N/A,#N/A,FALSE,"RACT2.XLS";#N/A,#N/A,FALSE,"ECCMP";#N/A,#N/A,FALSE,"WELDER.XLS"}</definedName>
    <definedName name="RDN_2_3" hidden="1">{#N/A,#N/A,FALSE,"COVER.XLS";#N/A,#N/A,FALSE,"RACT1.XLS";#N/A,#N/A,FALSE,"RACT2.XLS";#N/A,#N/A,FALSE,"ECCMP";#N/A,#N/A,FALSE,"WELDER.XLS"}</definedName>
    <definedName name="RDN_2_4" hidden="1">{#N/A,#N/A,FALSE,"COVER.XLS";#N/A,#N/A,FALSE,"RACT1.XLS";#N/A,#N/A,FALSE,"RACT2.XLS";#N/A,#N/A,FALSE,"ECCMP";#N/A,#N/A,FALSE,"WELDER.XLS"}</definedName>
    <definedName name="RDN_2_5" hidden="1">{#N/A,#N/A,FALSE,"COVER.XLS";#N/A,#N/A,FALSE,"RACT1.XLS";#N/A,#N/A,FALSE,"RACT2.XLS";#N/A,#N/A,FALSE,"ECCMP";#N/A,#N/A,FALSE,"WELDER.XLS"}</definedName>
    <definedName name="RDN_3" hidden="1">{#N/A,#N/A,FALSE,"COVER.XLS";#N/A,#N/A,FALSE,"RACT1.XLS";#N/A,#N/A,FALSE,"RACT2.XLS";#N/A,#N/A,FALSE,"ECCMP";#N/A,#N/A,FALSE,"WELDER.XLS"}</definedName>
    <definedName name="RDN_4" hidden="1">{#N/A,#N/A,FALSE,"COVER.XLS";#N/A,#N/A,FALSE,"RACT1.XLS";#N/A,#N/A,FALSE,"RACT2.XLS";#N/A,#N/A,FALSE,"ECCMP";#N/A,#N/A,FALSE,"WELDER.XLS"}</definedName>
    <definedName name="RDN_5" hidden="1">{#N/A,#N/A,FALSE,"COVER.XLS";#N/A,#N/A,FALSE,"RACT1.XLS";#N/A,#N/A,FALSE,"RACT2.XLS";#N/A,#N/A,FALSE,"ECCMP";#N/A,#N/A,FALSE,"WELDER.XLS"}</definedName>
    <definedName name="RegionList" hidden="1">[13]Information!$E$1:$E$16</definedName>
    <definedName name="RES" hidden="1">{#N/A,#N/A,FALSE,"COVER1.XLS ";#N/A,#N/A,FALSE,"RACT1.XLS";#N/A,#N/A,FALSE,"RACT2.XLS";#N/A,#N/A,FALSE,"ECCMP";#N/A,#N/A,FALSE,"WELDER.XLS"}</definedName>
    <definedName name="res_1" hidden="1">{#N/A,#N/A,FALSE,"COVER1.XLS ";#N/A,#N/A,FALSE,"RACT1.XLS";#N/A,#N/A,FALSE,"RACT2.XLS";#N/A,#N/A,FALSE,"ECCMP";#N/A,#N/A,FALSE,"WELDER.XLS"}</definedName>
    <definedName name="res_1_1" hidden="1">{#N/A,#N/A,FALSE,"COVER1.XLS ";#N/A,#N/A,FALSE,"RACT1.XLS";#N/A,#N/A,FALSE,"RACT2.XLS";#N/A,#N/A,FALSE,"ECCMP";#N/A,#N/A,FALSE,"WELDER.XLS"}</definedName>
    <definedName name="res_1_2" hidden="1">{#N/A,#N/A,FALSE,"COVER1.XLS ";#N/A,#N/A,FALSE,"RACT1.XLS";#N/A,#N/A,FALSE,"RACT2.XLS";#N/A,#N/A,FALSE,"ECCMP";#N/A,#N/A,FALSE,"WELDER.XLS"}</definedName>
    <definedName name="res_1_3" hidden="1">{#N/A,#N/A,FALSE,"COVER1.XLS ";#N/A,#N/A,FALSE,"RACT1.XLS";#N/A,#N/A,FALSE,"RACT2.XLS";#N/A,#N/A,FALSE,"ECCMP";#N/A,#N/A,FALSE,"WELDER.XLS"}</definedName>
    <definedName name="res_1_4" hidden="1">{#N/A,#N/A,FALSE,"COVER1.XLS ";#N/A,#N/A,FALSE,"RACT1.XLS";#N/A,#N/A,FALSE,"RACT2.XLS";#N/A,#N/A,FALSE,"ECCMP";#N/A,#N/A,FALSE,"WELDER.XLS"}</definedName>
    <definedName name="res_1_5" hidden="1">{#N/A,#N/A,FALSE,"COVER1.XLS ";#N/A,#N/A,FALSE,"RACT1.XLS";#N/A,#N/A,FALSE,"RACT2.XLS";#N/A,#N/A,FALSE,"ECCMP";#N/A,#N/A,FALSE,"WELDER.XLS"}</definedName>
    <definedName name="res_2" hidden="1">{#N/A,#N/A,FALSE,"COVER1.XLS ";#N/A,#N/A,FALSE,"RACT1.XLS";#N/A,#N/A,FALSE,"RACT2.XLS";#N/A,#N/A,FALSE,"ECCMP";#N/A,#N/A,FALSE,"WELDER.XLS"}</definedName>
    <definedName name="res_2_1" hidden="1">{#N/A,#N/A,FALSE,"COVER1.XLS ";#N/A,#N/A,FALSE,"RACT1.XLS";#N/A,#N/A,FALSE,"RACT2.XLS";#N/A,#N/A,FALSE,"ECCMP";#N/A,#N/A,FALSE,"WELDER.XLS"}</definedName>
    <definedName name="res_2_2" hidden="1">{#N/A,#N/A,FALSE,"COVER1.XLS ";#N/A,#N/A,FALSE,"RACT1.XLS";#N/A,#N/A,FALSE,"RACT2.XLS";#N/A,#N/A,FALSE,"ECCMP";#N/A,#N/A,FALSE,"WELDER.XLS"}</definedName>
    <definedName name="res_2_3" hidden="1">{#N/A,#N/A,FALSE,"COVER1.XLS ";#N/A,#N/A,FALSE,"RACT1.XLS";#N/A,#N/A,FALSE,"RACT2.XLS";#N/A,#N/A,FALSE,"ECCMP";#N/A,#N/A,FALSE,"WELDER.XLS"}</definedName>
    <definedName name="res_2_4" hidden="1">{#N/A,#N/A,FALSE,"COVER1.XLS ";#N/A,#N/A,FALSE,"RACT1.XLS";#N/A,#N/A,FALSE,"RACT2.XLS";#N/A,#N/A,FALSE,"ECCMP";#N/A,#N/A,FALSE,"WELDER.XLS"}</definedName>
    <definedName name="res_2_5" hidden="1">{#N/A,#N/A,FALSE,"COVER1.XLS ";#N/A,#N/A,FALSE,"RACT1.XLS";#N/A,#N/A,FALSE,"RACT2.XLS";#N/A,#N/A,FALSE,"ECCMP";#N/A,#N/A,FALSE,"WELDER.XLS"}</definedName>
    <definedName name="RES_3" hidden="1">{#N/A,#N/A,FALSE,"COVER1.XLS ";#N/A,#N/A,FALSE,"RACT1.XLS";#N/A,#N/A,FALSE,"RACT2.XLS";#N/A,#N/A,FALSE,"ECCMP";#N/A,#N/A,FALSE,"WELDER.XLS"}</definedName>
    <definedName name="RES_4" hidden="1">{#N/A,#N/A,FALSE,"COVER1.XLS ";#N/A,#N/A,FALSE,"RACT1.XLS";#N/A,#N/A,FALSE,"RACT2.XLS";#N/A,#N/A,FALSE,"ECCMP";#N/A,#N/A,FALSE,"WELDER.XLS"}</definedName>
    <definedName name="RES_5" hidden="1">{#N/A,#N/A,FALSE,"COVER1.XLS ";#N/A,#N/A,FALSE,"RACT1.XLS";#N/A,#N/A,FALSE,"RACT2.XLS";#N/A,#N/A,FALSE,"ECCMP";#N/A,#N/A,FALSE,"WELDER.XLS"}</definedName>
    <definedName name="res_sum" hidden="1">{#N/A,#N/A,FALSE,"COVER1.XLS ";#N/A,#N/A,FALSE,"RACT1.XLS";#N/A,#N/A,FALSE,"RACT2.XLS";#N/A,#N/A,FALSE,"ECCMP";#N/A,#N/A,FALSE,"WELDER.XLS"}</definedName>
    <definedName name="res_sum_1" hidden="1">{#N/A,#N/A,FALSE,"COVER1.XLS ";#N/A,#N/A,FALSE,"RACT1.XLS";#N/A,#N/A,FALSE,"RACT2.XLS";#N/A,#N/A,FALSE,"ECCMP";#N/A,#N/A,FALSE,"WELDER.XLS"}</definedName>
    <definedName name="res_sum_1_1" hidden="1">{#N/A,#N/A,FALSE,"COVER1.XLS ";#N/A,#N/A,FALSE,"RACT1.XLS";#N/A,#N/A,FALSE,"RACT2.XLS";#N/A,#N/A,FALSE,"ECCMP";#N/A,#N/A,FALSE,"WELDER.XLS"}</definedName>
    <definedName name="res_sum_1_2" hidden="1">{#N/A,#N/A,FALSE,"COVER1.XLS ";#N/A,#N/A,FALSE,"RACT1.XLS";#N/A,#N/A,FALSE,"RACT2.XLS";#N/A,#N/A,FALSE,"ECCMP";#N/A,#N/A,FALSE,"WELDER.XLS"}</definedName>
    <definedName name="res_sum_1_3" hidden="1">{#N/A,#N/A,FALSE,"COVER1.XLS ";#N/A,#N/A,FALSE,"RACT1.XLS";#N/A,#N/A,FALSE,"RACT2.XLS";#N/A,#N/A,FALSE,"ECCMP";#N/A,#N/A,FALSE,"WELDER.XLS"}</definedName>
    <definedName name="res_sum_1_4" hidden="1">{#N/A,#N/A,FALSE,"COVER1.XLS ";#N/A,#N/A,FALSE,"RACT1.XLS";#N/A,#N/A,FALSE,"RACT2.XLS";#N/A,#N/A,FALSE,"ECCMP";#N/A,#N/A,FALSE,"WELDER.XLS"}</definedName>
    <definedName name="res_sum_1_5" hidden="1">{#N/A,#N/A,FALSE,"COVER1.XLS ";#N/A,#N/A,FALSE,"RACT1.XLS";#N/A,#N/A,FALSE,"RACT2.XLS";#N/A,#N/A,FALSE,"ECCMP";#N/A,#N/A,FALSE,"WELDER.XLS"}</definedName>
    <definedName name="res_sum_2" hidden="1">{#N/A,#N/A,FALSE,"COVER1.XLS ";#N/A,#N/A,FALSE,"RACT1.XLS";#N/A,#N/A,FALSE,"RACT2.XLS";#N/A,#N/A,FALSE,"ECCMP";#N/A,#N/A,FALSE,"WELDER.XLS"}</definedName>
    <definedName name="res_sum_2_1" hidden="1">{#N/A,#N/A,FALSE,"COVER1.XLS ";#N/A,#N/A,FALSE,"RACT1.XLS";#N/A,#N/A,FALSE,"RACT2.XLS";#N/A,#N/A,FALSE,"ECCMP";#N/A,#N/A,FALSE,"WELDER.XLS"}</definedName>
    <definedName name="res_sum_2_2" hidden="1">{#N/A,#N/A,FALSE,"COVER1.XLS ";#N/A,#N/A,FALSE,"RACT1.XLS";#N/A,#N/A,FALSE,"RACT2.XLS";#N/A,#N/A,FALSE,"ECCMP";#N/A,#N/A,FALSE,"WELDER.XLS"}</definedName>
    <definedName name="res_sum_2_3" hidden="1">{#N/A,#N/A,FALSE,"COVER1.XLS ";#N/A,#N/A,FALSE,"RACT1.XLS";#N/A,#N/A,FALSE,"RACT2.XLS";#N/A,#N/A,FALSE,"ECCMP";#N/A,#N/A,FALSE,"WELDER.XLS"}</definedName>
    <definedName name="res_sum_2_4" hidden="1">{#N/A,#N/A,FALSE,"COVER1.XLS ";#N/A,#N/A,FALSE,"RACT1.XLS";#N/A,#N/A,FALSE,"RACT2.XLS";#N/A,#N/A,FALSE,"ECCMP";#N/A,#N/A,FALSE,"WELDER.XLS"}</definedName>
    <definedName name="res_sum_2_5" hidden="1">{#N/A,#N/A,FALSE,"COVER1.XLS ";#N/A,#N/A,FALSE,"RACT1.XLS";#N/A,#N/A,FALSE,"RACT2.XLS";#N/A,#N/A,FALSE,"ECCMP";#N/A,#N/A,FALSE,"WELDER.XLS"}</definedName>
    <definedName name="res_sum_3" hidden="1">{#N/A,#N/A,FALSE,"COVER1.XLS ";#N/A,#N/A,FALSE,"RACT1.XLS";#N/A,#N/A,FALSE,"RACT2.XLS";#N/A,#N/A,FALSE,"ECCMP";#N/A,#N/A,FALSE,"WELDER.XLS"}</definedName>
    <definedName name="res_sum_4" hidden="1">{#N/A,#N/A,FALSE,"COVER1.XLS ";#N/A,#N/A,FALSE,"RACT1.XLS";#N/A,#N/A,FALSE,"RACT2.XLS";#N/A,#N/A,FALSE,"ECCMP";#N/A,#N/A,FALSE,"WELDER.XLS"}</definedName>
    <definedName name="res_sum_5" hidden="1">{#N/A,#N/A,FALSE,"COVER1.XLS ";#N/A,#N/A,FALSE,"RACT1.XLS";#N/A,#N/A,FALSE,"RACT2.XLS";#N/A,#N/A,FALSE,"ECCMP";#N/A,#N/A,FALSE,"WELDER.XLS"}</definedName>
    <definedName name="rg" hidden="1">{#N/A,#N/A,FALSE,"str_title";#N/A,#N/A,FALSE,"SUM";#N/A,#N/A,FALSE,"Scope";#N/A,#N/A,FALSE,"PIE-Jn";#N/A,#N/A,FALSE,"PIE-Jn_Hz";#N/A,#N/A,FALSE,"Liq_Plan";#N/A,#N/A,FALSE,"S_Curve";#N/A,#N/A,FALSE,"Liq_Prof";#N/A,#N/A,FALSE,"Man_Pwr";#N/A,#N/A,FALSE,"Man_Prof"}</definedName>
    <definedName name="rg_1" hidden="1">{#N/A,#N/A,FALSE,"str_title";#N/A,#N/A,FALSE,"SUM";#N/A,#N/A,FALSE,"Scope";#N/A,#N/A,FALSE,"PIE-Jn";#N/A,#N/A,FALSE,"PIE-Jn_Hz";#N/A,#N/A,FALSE,"Liq_Plan";#N/A,#N/A,FALSE,"S_Curve";#N/A,#N/A,FALSE,"Liq_Prof";#N/A,#N/A,FALSE,"Man_Pwr";#N/A,#N/A,FALSE,"Man_Prof"}</definedName>
    <definedName name="rg_1_1" hidden="1">{#N/A,#N/A,FALSE,"str_title";#N/A,#N/A,FALSE,"SUM";#N/A,#N/A,FALSE,"Scope";#N/A,#N/A,FALSE,"PIE-Jn";#N/A,#N/A,FALSE,"PIE-Jn_Hz";#N/A,#N/A,FALSE,"Liq_Plan";#N/A,#N/A,FALSE,"S_Curve";#N/A,#N/A,FALSE,"Liq_Prof";#N/A,#N/A,FALSE,"Man_Pwr";#N/A,#N/A,FALSE,"Man_Prof"}</definedName>
    <definedName name="rg_1_2" hidden="1">{#N/A,#N/A,FALSE,"str_title";#N/A,#N/A,FALSE,"SUM";#N/A,#N/A,FALSE,"Scope";#N/A,#N/A,FALSE,"PIE-Jn";#N/A,#N/A,FALSE,"PIE-Jn_Hz";#N/A,#N/A,FALSE,"Liq_Plan";#N/A,#N/A,FALSE,"S_Curve";#N/A,#N/A,FALSE,"Liq_Prof";#N/A,#N/A,FALSE,"Man_Pwr";#N/A,#N/A,FALSE,"Man_Prof"}</definedName>
    <definedName name="rg_1_3" hidden="1">{#N/A,#N/A,FALSE,"str_title";#N/A,#N/A,FALSE,"SUM";#N/A,#N/A,FALSE,"Scope";#N/A,#N/A,FALSE,"PIE-Jn";#N/A,#N/A,FALSE,"PIE-Jn_Hz";#N/A,#N/A,FALSE,"Liq_Plan";#N/A,#N/A,FALSE,"S_Curve";#N/A,#N/A,FALSE,"Liq_Prof";#N/A,#N/A,FALSE,"Man_Pwr";#N/A,#N/A,FALSE,"Man_Prof"}</definedName>
    <definedName name="rg_1_4" hidden="1">{#N/A,#N/A,FALSE,"str_title";#N/A,#N/A,FALSE,"SUM";#N/A,#N/A,FALSE,"Scope";#N/A,#N/A,FALSE,"PIE-Jn";#N/A,#N/A,FALSE,"PIE-Jn_Hz";#N/A,#N/A,FALSE,"Liq_Plan";#N/A,#N/A,FALSE,"S_Curve";#N/A,#N/A,FALSE,"Liq_Prof";#N/A,#N/A,FALSE,"Man_Pwr";#N/A,#N/A,FALSE,"Man_Prof"}</definedName>
    <definedName name="rg_1_5" hidden="1">{#N/A,#N/A,FALSE,"str_title";#N/A,#N/A,FALSE,"SUM";#N/A,#N/A,FALSE,"Scope";#N/A,#N/A,FALSE,"PIE-Jn";#N/A,#N/A,FALSE,"PIE-Jn_Hz";#N/A,#N/A,FALSE,"Liq_Plan";#N/A,#N/A,FALSE,"S_Curve";#N/A,#N/A,FALSE,"Liq_Prof";#N/A,#N/A,FALSE,"Man_Pwr";#N/A,#N/A,FALSE,"Man_Prof"}</definedName>
    <definedName name="rg_2" hidden="1">{#N/A,#N/A,FALSE,"str_title";#N/A,#N/A,FALSE,"SUM";#N/A,#N/A,FALSE,"Scope";#N/A,#N/A,FALSE,"PIE-Jn";#N/A,#N/A,FALSE,"PIE-Jn_Hz";#N/A,#N/A,FALSE,"Liq_Plan";#N/A,#N/A,FALSE,"S_Curve";#N/A,#N/A,FALSE,"Liq_Prof";#N/A,#N/A,FALSE,"Man_Pwr";#N/A,#N/A,FALSE,"Man_Prof"}</definedName>
    <definedName name="rg_2_1" hidden="1">{#N/A,#N/A,FALSE,"str_title";#N/A,#N/A,FALSE,"SUM";#N/A,#N/A,FALSE,"Scope";#N/A,#N/A,FALSE,"PIE-Jn";#N/A,#N/A,FALSE,"PIE-Jn_Hz";#N/A,#N/A,FALSE,"Liq_Plan";#N/A,#N/A,FALSE,"S_Curve";#N/A,#N/A,FALSE,"Liq_Prof";#N/A,#N/A,FALSE,"Man_Pwr";#N/A,#N/A,FALSE,"Man_Prof"}</definedName>
    <definedName name="rg_2_2" hidden="1">{#N/A,#N/A,FALSE,"str_title";#N/A,#N/A,FALSE,"SUM";#N/A,#N/A,FALSE,"Scope";#N/A,#N/A,FALSE,"PIE-Jn";#N/A,#N/A,FALSE,"PIE-Jn_Hz";#N/A,#N/A,FALSE,"Liq_Plan";#N/A,#N/A,FALSE,"S_Curve";#N/A,#N/A,FALSE,"Liq_Prof";#N/A,#N/A,FALSE,"Man_Pwr";#N/A,#N/A,FALSE,"Man_Prof"}</definedName>
    <definedName name="rg_2_3" hidden="1">{#N/A,#N/A,FALSE,"str_title";#N/A,#N/A,FALSE,"SUM";#N/A,#N/A,FALSE,"Scope";#N/A,#N/A,FALSE,"PIE-Jn";#N/A,#N/A,FALSE,"PIE-Jn_Hz";#N/A,#N/A,FALSE,"Liq_Plan";#N/A,#N/A,FALSE,"S_Curve";#N/A,#N/A,FALSE,"Liq_Prof";#N/A,#N/A,FALSE,"Man_Pwr";#N/A,#N/A,FALSE,"Man_Prof"}</definedName>
    <definedName name="rg_2_4" hidden="1">{#N/A,#N/A,FALSE,"str_title";#N/A,#N/A,FALSE,"SUM";#N/A,#N/A,FALSE,"Scope";#N/A,#N/A,FALSE,"PIE-Jn";#N/A,#N/A,FALSE,"PIE-Jn_Hz";#N/A,#N/A,FALSE,"Liq_Plan";#N/A,#N/A,FALSE,"S_Curve";#N/A,#N/A,FALSE,"Liq_Prof";#N/A,#N/A,FALSE,"Man_Pwr";#N/A,#N/A,FALSE,"Man_Prof"}</definedName>
    <definedName name="rg_2_5" hidden="1">{#N/A,#N/A,FALSE,"str_title";#N/A,#N/A,FALSE,"SUM";#N/A,#N/A,FALSE,"Scope";#N/A,#N/A,FALSE,"PIE-Jn";#N/A,#N/A,FALSE,"PIE-Jn_Hz";#N/A,#N/A,FALSE,"Liq_Plan";#N/A,#N/A,FALSE,"S_Curve";#N/A,#N/A,FALSE,"Liq_Prof";#N/A,#N/A,FALSE,"Man_Pwr";#N/A,#N/A,FALSE,"Man_Prof"}</definedName>
    <definedName name="rg_3" hidden="1">{#N/A,#N/A,FALSE,"str_title";#N/A,#N/A,FALSE,"SUM";#N/A,#N/A,FALSE,"Scope";#N/A,#N/A,FALSE,"PIE-Jn";#N/A,#N/A,FALSE,"PIE-Jn_Hz";#N/A,#N/A,FALSE,"Liq_Plan";#N/A,#N/A,FALSE,"S_Curve";#N/A,#N/A,FALSE,"Liq_Prof";#N/A,#N/A,FALSE,"Man_Pwr";#N/A,#N/A,FALSE,"Man_Prof"}</definedName>
    <definedName name="rg_4" hidden="1">{#N/A,#N/A,FALSE,"str_title";#N/A,#N/A,FALSE,"SUM";#N/A,#N/A,FALSE,"Scope";#N/A,#N/A,FALSE,"PIE-Jn";#N/A,#N/A,FALSE,"PIE-Jn_Hz";#N/A,#N/A,FALSE,"Liq_Plan";#N/A,#N/A,FALSE,"S_Curve";#N/A,#N/A,FALSE,"Liq_Prof";#N/A,#N/A,FALSE,"Man_Pwr";#N/A,#N/A,FALSE,"Man_Prof"}</definedName>
    <definedName name="rg_5" hidden="1">{#N/A,#N/A,FALSE,"str_title";#N/A,#N/A,FALSE,"SUM";#N/A,#N/A,FALSE,"Scope";#N/A,#N/A,FALSE,"PIE-Jn";#N/A,#N/A,FALSE,"PIE-Jn_Hz";#N/A,#N/A,FALSE,"Liq_Plan";#N/A,#N/A,FALSE,"S_Curve";#N/A,#N/A,FALSE,"Liq_Prof";#N/A,#N/A,FALSE,"Man_Pwr";#N/A,#N/A,FALSE,"Man_Prof"}</definedName>
    <definedName name="ril" hidden="1">{#N/A,#N/A,FALSE,"COVER1.XLS ";#N/A,#N/A,FALSE,"RACT1.XLS";#N/A,#N/A,FALSE,"RACT2.XLS";#N/A,#N/A,FALSE,"ECCMP";#N/A,#N/A,FALSE,"WELDER.XLS"}</definedName>
    <definedName name="rr" hidden="1">{#N/A,#N/A,FALSE,"consu_cover";#N/A,#N/A,FALSE,"consu_strategy";#N/A,#N/A,FALSE,"consu_flow";#N/A,#N/A,FALSE,"Summary_reqmt";#N/A,#N/A,FALSE,"field_ppg";#N/A,#N/A,FALSE,"ppg_shop";#N/A,#N/A,FALSE,"strl";#N/A,#N/A,FALSE,"tankages";#N/A,#N/A,FALSE,"gases"}</definedName>
    <definedName name="rr_1" hidden="1">{#N/A,#N/A,FALSE,"consu_cover";#N/A,#N/A,FALSE,"consu_strategy";#N/A,#N/A,FALSE,"consu_flow";#N/A,#N/A,FALSE,"Summary_reqmt";#N/A,#N/A,FALSE,"field_ppg";#N/A,#N/A,FALSE,"ppg_shop";#N/A,#N/A,FALSE,"strl";#N/A,#N/A,FALSE,"tankages";#N/A,#N/A,FALSE,"gases"}</definedName>
    <definedName name="rr_1_1" hidden="1">{#N/A,#N/A,FALSE,"consu_cover";#N/A,#N/A,FALSE,"consu_strategy";#N/A,#N/A,FALSE,"consu_flow";#N/A,#N/A,FALSE,"Summary_reqmt";#N/A,#N/A,FALSE,"field_ppg";#N/A,#N/A,FALSE,"ppg_shop";#N/A,#N/A,FALSE,"strl";#N/A,#N/A,FALSE,"tankages";#N/A,#N/A,FALSE,"gases"}</definedName>
    <definedName name="rr_1_2" hidden="1">{#N/A,#N/A,FALSE,"consu_cover";#N/A,#N/A,FALSE,"consu_strategy";#N/A,#N/A,FALSE,"consu_flow";#N/A,#N/A,FALSE,"Summary_reqmt";#N/A,#N/A,FALSE,"field_ppg";#N/A,#N/A,FALSE,"ppg_shop";#N/A,#N/A,FALSE,"strl";#N/A,#N/A,FALSE,"tankages";#N/A,#N/A,FALSE,"gases"}</definedName>
    <definedName name="rr_1_3" hidden="1">{#N/A,#N/A,FALSE,"consu_cover";#N/A,#N/A,FALSE,"consu_strategy";#N/A,#N/A,FALSE,"consu_flow";#N/A,#N/A,FALSE,"Summary_reqmt";#N/A,#N/A,FALSE,"field_ppg";#N/A,#N/A,FALSE,"ppg_shop";#N/A,#N/A,FALSE,"strl";#N/A,#N/A,FALSE,"tankages";#N/A,#N/A,FALSE,"gases"}</definedName>
    <definedName name="rr_1_4" hidden="1">{#N/A,#N/A,FALSE,"consu_cover";#N/A,#N/A,FALSE,"consu_strategy";#N/A,#N/A,FALSE,"consu_flow";#N/A,#N/A,FALSE,"Summary_reqmt";#N/A,#N/A,FALSE,"field_ppg";#N/A,#N/A,FALSE,"ppg_shop";#N/A,#N/A,FALSE,"strl";#N/A,#N/A,FALSE,"tankages";#N/A,#N/A,FALSE,"gases"}</definedName>
    <definedName name="rr_1_5" hidden="1">{#N/A,#N/A,FALSE,"consu_cover";#N/A,#N/A,FALSE,"consu_strategy";#N/A,#N/A,FALSE,"consu_flow";#N/A,#N/A,FALSE,"Summary_reqmt";#N/A,#N/A,FALSE,"field_ppg";#N/A,#N/A,FALSE,"ppg_shop";#N/A,#N/A,FALSE,"strl";#N/A,#N/A,FALSE,"tankages";#N/A,#N/A,FALSE,"gases"}</definedName>
    <definedName name="rr_2" hidden="1">{#N/A,#N/A,FALSE,"consu_cover";#N/A,#N/A,FALSE,"consu_strategy";#N/A,#N/A,FALSE,"consu_flow";#N/A,#N/A,FALSE,"Summary_reqmt";#N/A,#N/A,FALSE,"field_ppg";#N/A,#N/A,FALSE,"ppg_shop";#N/A,#N/A,FALSE,"strl";#N/A,#N/A,FALSE,"tankages";#N/A,#N/A,FALSE,"gases"}</definedName>
    <definedName name="rr_2_1" hidden="1">{#N/A,#N/A,FALSE,"consu_cover";#N/A,#N/A,FALSE,"consu_strategy";#N/A,#N/A,FALSE,"consu_flow";#N/A,#N/A,FALSE,"Summary_reqmt";#N/A,#N/A,FALSE,"field_ppg";#N/A,#N/A,FALSE,"ppg_shop";#N/A,#N/A,FALSE,"strl";#N/A,#N/A,FALSE,"tankages";#N/A,#N/A,FALSE,"gases"}</definedName>
    <definedName name="rr_2_2" hidden="1">{#N/A,#N/A,FALSE,"consu_cover";#N/A,#N/A,FALSE,"consu_strategy";#N/A,#N/A,FALSE,"consu_flow";#N/A,#N/A,FALSE,"Summary_reqmt";#N/A,#N/A,FALSE,"field_ppg";#N/A,#N/A,FALSE,"ppg_shop";#N/A,#N/A,FALSE,"strl";#N/A,#N/A,FALSE,"tankages";#N/A,#N/A,FALSE,"gases"}</definedName>
    <definedName name="rr_2_3" hidden="1">{#N/A,#N/A,FALSE,"consu_cover";#N/A,#N/A,FALSE,"consu_strategy";#N/A,#N/A,FALSE,"consu_flow";#N/A,#N/A,FALSE,"Summary_reqmt";#N/A,#N/A,FALSE,"field_ppg";#N/A,#N/A,FALSE,"ppg_shop";#N/A,#N/A,FALSE,"strl";#N/A,#N/A,FALSE,"tankages";#N/A,#N/A,FALSE,"gases"}</definedName>
    <definedName name="rr_2_4" hidden="1">{#N/A,#N/A,FALSE,"consu_cover";#N/A,#N/A,FALSE,"consu_strategy";#N/A,#N/A,FALSE,"consu_flow";#N/A,#N/A,FALSE,"Summary_reqmt";#N/A,#N/A,FALSE,"field_ppg";#N/A,#N/A,FALSE,"ppg_shop";#N/A,#N/A,FALSE,"strl";#N/A,#N/A,FALSE,"tankages";#N/A,#N/A,FALSE,"gases"}</definedName>
    <definedName name="rr_2_5" hidden="1">{#N/A,#N/A,FALSE,"consu_cover";#N/A,#N/A,FALSE,"consu_strategy";#N/A,#N/A,FALSE,"consu_flow";#N/A,#N/A,FALSE,"Summary_reqmt";#N/A,#N/A,FALSE,"field_ppg";#N/A,#N/A,FALSE,"ppg_shop";#N/A,#N/A,FALSE,"strl";#N/A,#N/A,FALSE,"tankages";#N/A,#N/A,FALSE,"gases"}</definedName>
    <definedName name="rr_3" hidden="1">{#N/A,#N/A,FALSE,"consu_cover";#N/A,#N/A,FALSE,"consu_strategy";#N/A,#N/A,FALSE,"consu_flow";#N/A,#N/A,FALSE,"Summary_reqmt";#N/A,#N/A,FALSE,"field_ppg";#N/A,#N/A,FALSE,"ppg_shop";#N/A,#N/A,FALSE,"strl";#N/A,#N/A,FALSE,"tankages";#N/A,#N/A,FALSE,"gases"}</definedName>
    <definedName name="rr_4" hidden="1">{#N/A,#N/A,FALSE,"consu_cover";#N/A,#N/A,FALSE,"consu_strategy";#N/A,#N/A,FALSE,"consu_flow";#N/A,#N/A,FALSE,"Summary_reqmt";#N/A,#N/A,FALSE,"field_ppg";#N/A,#N/A,FALSE,"ppg_shop";#N/A,#N/A,FALSE,"strl";#N/A,#N/A,FALSE,"tankages";#N/A,#N/A,FALSE,"gases"}</definedName>
    <definedName name="rr_5" hidden="1">{#N/A,#N/A,FALSE,"consu_cover";#N/A,#N/A,FALSE,"consu_strategy";#N/A,#N/A,FALSE,"consu_flow";#N/A,#N/A,FALSE,"Summary_reqmt";#N/A,#N/A,FALSE,"field_ppg";#N/A,#N/A,FALSE,"ppg_shop";#N/A,#N/A,FALSE,"strl";#N/A,#N/A,FALSE,"tankages";#N/A,#N/A,FALSE,"gases"}</definedName>
    <definedName name="rrdsa" hidden="1">{#N/A,#N/A,FALSE,"consu_cover";#N/A,#N/A,FALSE,"consu_strategy";#N/A,#N/A,FALSE,"consu_flow";#N/A,#N/A,FALSE,"Summary_reqmt";#N/A,#N/A,FALSE,"field_ppg";#N/A,#N/A,FALSE,"ppg_shop";#N/A,#N/A,FALSE,"strl";#N/A,#N/A,FALSE,"tankages";#N/A,#N/A,FALSE,"gases"}</definedName>
    <definedName name="rrdsa_1" hidden="1">{#N/A,#N/A,FALSE,"consu_cover";#N/A,#N/A,FALSE,"consu_strategy";#N/A,#N/A,FALSE,"consu_flow";#N/A,#N/A,FALSE,"Summary_reqmt";#N/A,#N/A,FALSE,"field_ppg";#N/A,#N/A,FALSE,"ppg_shop";#N/A,#N/A,FALSE,"strl";#N/A,#N/A,FALSE,"tankages";#N/A,#N/A,FALSE,"gases"}</definedName>
    <definedName name="rrdsa_1_1" hidden="1">{#N/A,#N/A,FALSE,"consu_cover";#N/A,#N/A,FALSE,"consu_strategy";#N/A,#N/A,FALSE,"consu_flow";#N/A,#N/A,FALSE,"Summary_reqmt";#N/A,#N/A,FALSE,"field_ppg";#N/A,#N/A,FALSE,"ppg_shop";#N/A,#N/A,FALSE,"strl";#N/A,#N/A,FALSE,"tankages";#N/A,#N/A,FALSE,"gases"}</definedName>
    <definedName name="rrdsa_1_2" hidden="1">{#N/A,#N/A,FALSE,"consu_cover";#N/A,#N/A,FALSE,"consu_strategy";#N/A,#N/A,FALSE,"consu_flow";#N/A,#N/A,FALSE,"Summary_reqmt";#N/A,#N/A,FALSE,"field_ppg";#N/A,#N/A,FALSE,"ppg_shop";#N/A,#N/A,FALSE,"strl";#N/A,#N/A,FALSE,"tankages";#N/A,#N/A,FALSE,"gases"}</definedName>
    <definedName name="rrdsa_1_3" hidden="1">{#N/A,#N/A,FALSE,"consu_cover";#N/A,#N/A,FALSE,"consu_strategy";#N/A,#N/A,FALSE,"consu_flow";#N/A,#N/A,FALSE,"Summary_reqmt";#N/A,#N/A,FALSE,"field_ppg";#N/A,#N/A,FALSE,"ppg_shop";#N/A,#N/A,FALSE,"strl";#N/A,#N/A,FALSE,"tankages";#N/A,#N/A,FALSE,"gases"}</definedName>
    <definedName name="rrdsa_1_4" hidden="1">{#N/A,#N/A,FALSE,"consu_cover";#N/A,#N/A,FALSE,"consu_strategy";#N/A,#N/A,FALSE,"consu_flow";#N/A,#N/A,FALSE,"Summary_reqmt";#N/A,#N/A,FALSE,"field_ppg";#N/A,#N/A,FALSE,"ppg_shop";#N/A,#N/A,FALSE,"strl";#N/A,#N/A,FALSE,"tankages";#N/A,#N/A,FALSE,"gases"}</definedName>
    <definedName name="rrdsa_1_5" hidden="1">{#N/A,#N/A,FALSE,"consu_cover";#N/A,#N/A,FALSE,"consu_strategy";#N/A,#N/A,FALSE,"consu_flow";#N/A,#N/A,FALSE,"Summary_reqmt";#N/A,#N/A,FALSE,"field_ppg";#N/A,#N/A,FALSE,"ppg_shop";#N/A,#N/A,FALSE,"strl";#N/A,#N/A,FALSE,"tankages";#N/A,#N/A,FALSE,"gases"}</definedName>
    <definedName name="rrdsa_2" hidden="1">{#N/A,#N/A,FALSE,"consu_cover";#N/A,#N/A,FALSE,"consu_strategy";#N/A,#N/A,FALSE,"consu_flow";#N/A,#N/A,FALSE,"Summary_reqmt";#N/A,#N/A,FALSE,"field_ppg";#N/A,#N/A,FALSE,"ppg_shop";#N/A,#N/A,FALSE,"strl";#N/A,#N/A,FALSE,"tankages";#N/A,#N/A,FALSE,"gases"}</definedName>
    <definedName name="rrdsa_2_1" hidden="1">{#N/A,#N/A,FALSE,"consu_cover";#N/A,#N/A,FALSE,"consu_strategy";#N/A,#N/A,FALSE,"consu_flow";#N/A,#N/A,FALSE,"Summary_reqmt";#N/A,#N/A,FALSE,"field_ppg";#N/A,#N/A,FALSE,"ppg_shop";#N/A,#N/A,FALSE,"strl";#N/A,#N/A,FALSE,"tankages";#N/A,#N/A,FALSE,"gases"}</definedName>
    <definedName name="rrdsa_2_2" hidden="1">{#N/A,#N/A,FALSE,"consu_cover";#N/A,#N/A,FALSE,"consu_strategy";#N/A,#N/A,FALSE,"consu_flow";#N/A,#N/A,FALSE,"Summary_reqmt";#N/A,#N/A,FALSE,"field_ppg";#N/A,#N/A,FALSE,"ppg_shop";#N/A,#N/A,FALSE,"strl";#N/A,#N/A,FALSE,"tankages";#N/A,#N/A,FALSE,"gases"}</definedName>
    <definedName name="rrdsa_2_3" hidden="1">{#N/A,#N/A,FALSE,"consu_cover";#N/A,#N/A,FALSE,"consu_strategy";#N/A,#N/A,FALSE,"consu_flow";#N/A,#N/A,FALSE,"Summary_reqmt";#N/A,#N/A,FALSE,"field_ppg";#N/A,#N/A,FALSE,"ppg_shop";#N/A,#N/A,FALSE,"strl";#N/A,#N/A,FALSE,"tankages";#N/A,#N/A,FALSE,"gases"}</definedName>
    <definedName name="rrdsa_2_4" hidden="1">{#N/A,#N/A,FALSE,"consu_cover";#N/A,#N/A,FALSE,"consu_strategy";#N/A,#N/A,FALSE,"consu_flow";#N/A,#N/A,FALSE,"Summary_reqmt";#N/A,#N/A,FALSE,"field_ppg";#N/A,#N/A,FALSE,"ppg_shop";#N/A,#N/A,FALSE,"strl";#N/A,#N/A,FALSE,"tankages";#N/A,#N/A,FALSE,"gases"}</definedName>
    <definedName name="rrdsa_2_5" hidden="1">{#N/A,#N/A,FALSE,"consu_cover";#N/A,#N/A,FALSE,"consu_strategy";#N/A,#N/A,FALSE,"consu_flow";#N/A,#N/A,FALSE,"Summary_reqmt";#N/A,#N/A,FALSE,"field_ppg";#N/A,#N/A,FALSE,"ppg_shop";#N/A,#N/A,FALSE,"strl";#N/A,#N/A,FALSE,"tankages";#N/A,#N/A,FALSE,"gases"}</definedName>
    <definedName name="rrdsa_3" hidden="1">{#N/A,#N/A,FALSE,"consu_cover";#N/A,#N/A,FALSE,"consu_strategy";#N/A,#N/A,FALSE,"consu_flow";#N/A,#N/A,FALSE,"Summary_reqmt";#N/A,#N/A,FALSE,"field_ppg";#N/A,#N/A,FALSE,"ppg_shop";#N/A,#N/A,FALSE,"strl";#N/A,#N/A,FALSE,"tankages";#N/A,#N/A,FALSE,"gases"}</definedName>
    <definedName name="rrdsa_4" hidden="1">{#N/A,#N/A,FALSE,"consu_cover";#N/A,#N/A,FALSE,"consu_strategy";#N/A,#N/A,FALSE,"consu_flow";#N/A,#N/A,FALSE,"Summary_reqmt";#N/A,#N/A,FALSE,"field_ppg";#N/A,#N/A,FALSE,"ppg_shop";#N/A,#N/A,FALSE,"strl";#N/A,#N/A,FALSE,"tankages";#N/A,#N/A,FALSE,"gases"}</definedName>
    <definedName name="rrdsa_5" hidden="1">{#N/A,#N/A,FALSE,"consu_cover";#N/A,#N/A,FALSE,"consu_strategy";#N/A,#N/A,FALSE,"consu_flow";#N/A,#N/A,FALSE,"Summary_reqmt";#N/A,#N/A,FALSE,"field_ppg";#N/A,#N/A,FALSE,"ppg_shop";#N/A,#N/A,FALSE,"strl";#N/A,#N/A,FALSE,"tankages";#N/A,#N/A,FALSE,"gases"}</definedName>
    <definedName name="rss" hidden="1">{#N/A,#N/A,FALSE,"COVER.XLS";#N/A,#N/A,FALSE,"RACT1.XLS";#N/A,#N/A,FALSE,"RACT2.XLS";#N/A,#N/A,FALSE,"ECCMP";#N/A,#N/A,FALSE,"WELDER.XLS"}</definedName>
    <definedName name="rss_1" hidden="1">{#N/A,#N/A,FALSE,"COVER.XLS";#N/A,#N/A,FALSE,"RACT1.XLS";#N/A,#N/A,FALSE,"RACT2.XLS";#N/A,#N/A,FALSE,"ECCMP";#N/A,#N/A,FALSE,"WELDER.XLS"}</definedName>
    <definedName name="rss_2" hidden="1">{#N/A,#N/A,FALSE,"COVER.XLS";#N/A,#N/A,FALSE,"RACT1.XLS";#N/A,#N/A,FALSE,"RACT2.XLS";#N/A,#N/A,FALSE,"ECCMP";#N/A,#N/A,FALSE,"WELDER.XLS"}</definedName>
    <definedName name="rss_3" hidden="1">{#N/A,#N/A,FALSE,"COVER.XLS";#N/A,#N/A,FALSE,"RACT1.XLS";#N/A,#N/A,FALSE,"RACT2.XLS";#N/A,#N/A,FALSE,"ECCMP";#N/A,#N/A,FALSE,"WELDER.XLS"}</definedName>
    <definedName name="rss_4" hidden="1">{#N/A,#N/A,FALSE,"COVER.XLS";#N/A,#N/A,FALSE,"RACT1.XLS";#N/A,#N/A,FALSE,"RACT2.XLS";#N/A,#N/A,FALSE,"ECCMP";#N/A,#N/A,FALSE,"WELDER.XLS"}</definedName>
    <definedName name="rss_5" hidden="1">{#N/A,#N/A,FALSE,"COVER.XLS";#N/A,#N/A,FALSE,"RACT1.XLS";#N/A,#N/A,FALSE,"RACT2.XLS";#N/A,#N/A,FALSE,"ECCMP";#N/A,#N/A,FALSE,"WELDER.XLS"}</definedName>
    <definedName name="RTTRTRT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w" hidden="1">{#N/A,#N/A,FALSE,"COVER1.XLS ";#N/A,#N/A,FALSE,"RACT1.XLS";#N/A,#N/A,FALSE,"RACT2.XLS";#N/A,#N/A,FALSE,"ECCMP";#N/A,#N/A,FALSE,"WELDER.XLS"}</definedName>
    <definedName name="rw_1" hidden="1">{#N/A,#N/A,FALSE,"COVER1.XLS ";#N/A,#N/A,FALSE,"RACT1.XLS";#N/A,#N/A,FALSE,"RACT2.XLS";#N/A,#N/A,FALSE,"ECCMP";#N/A,#N/A,FALSE,"WELDER.XLS"}</definedName>
    <definedName name="rw_1_1" hidden="1">{#N/A,#N/A,FALSE,"COVER1.XLS ";#N/A,#N/A,FALSE,"RACT1.XLS";#N/A,#N/A,FALSE,"RACT2.XLS";#N/A,#N/A,FALSE,"ECCMP";#N/A,#N/A,FALSE,"WELDER.XLS"}</definedName>
    <definedName name="rw_1_2" hidden="1">{#N/A,#N/A,FALSE,"COVER1.XLS ";#N/A,#N/A,FALSE,"RACT1.XLS";#N/A,#N/A,FALSE,"RACT2.XLS";#N/A,#N/A,FALSE,"ECCMP";#N/A,#N/A,FALSE,"WELDER.XLS"}</definedName>
    <definedName name="rw_1_3" hidden="1">{#N/A,#N/A,FALSE,"COVER1.XLS ";#N/A,#N/A,FALSE,"RACT1.XLS";#N/A,#N/A,FALSE,"RACT2.XLS";#N/A,#N/A,FALSE,"ECCMP";#N/A,#N/A,FALSE,"WELDER.XLS"}</definedName>
    <definedName name="rw_1_4" hidden="1">{#N/A,#N/A,FALSE,"COVER1.XLS ";#N/A,#N/A,FALSE,"RACT1.XLS";#N/A,#N/A,FALSE,"RACT2.XLS";#N/A,#N/A,FALSE,"ECCMP";#N/A,#N/A,FALSE,"WELDER.XLS"}</definedName>
    <definedName name="rw_1_5" hidden="1">{#N/A,#N/A,FALSE,"COVER1.XLS ";#N/A,#N/A,FALSE,"RACT1.XLS";#N/A,#N/A,FALSE,"RACT2.XLS";#N/A,#N/A,FALSE,"ECCMP";#N/A,#N/A,FALSE,"WELDER.XLS"}</definedName>
    <definedName name="rw_2" hidden="1">{#N/A,#N/A,FALSE,"COVER1.XLS ";#N/A,#N/A,FALSE,"RACT1.XLS";#N/A,#N/A,FALSE,"RACT2.XLS";#N/A,#N/A,FALSE,"ECCMP";#N/A,#N/A,FALSE,"WELDER.XLS"}</definedName>
    <definedName name="rw_2_1" hidden="1">{#N/A,#N/A,FALSE,"COVER1.XLS ";#N/A,#N/A,FALSE,"RACT1.XLS";#N/A,#N/A,FALSE,"RACT2.XLS";#N/A,#N/A,FALSE,"ECCMP";#N/A,#N/A,FALSE,"WELDER.XLS"}</definedName>
    <definedName name="rw_2_2" hidden="1">{#N/A,#N/A,FALSE,"COVER1.XLS ";#N/A,#N/A,FALSE,"RACT1.XLS";#N/A,#N/A,FALSE,"RACT2.XLS";#N/A,#N/A,FALSE,"ECCMP";#N/A,#N/A,FALSE,"WELDER.XLS"}</definedName>
    <definedName name="rw_2_3" hidden="1">{#N/A,#N/A,FALSE,"COVER1.XLS ";#N/A,#N/A,FALSE,"RACT1.XLS";#N/A,#N/A,FALSE,"RACT2.XLS";#N/A,#N/A,FALSE,"ECCMP";#N/A,#N/A,FALSE,"WELDER.XLS"}</definedName>
    <definedName name="rw_2_4" hidden="1">{#N/A,#N/A,FALSE,"COVER1.XLS ";#N/A,#N/A,FALSE,"RACT1.XLS";#N/A,#N/A,FALSE,"RACT2.XLS";#N/A,#N/A,FALSE,"ECCMP";#N/A,#N/A,FALSE,"WELDER.XLS"}</definedName>
    <definedName name="rw_2_5" hidden="1">{#N/A,#N/A,FALSE,"COVER1.XLS ";#N/A,#N/A,FALSE,"RACT1.XLS";#N/A,#N/A,FALSE,"RACT2.XLS";#N/A,#N/A,FALSE,"ECCMP";#N/A,#N/A,FALSE,"WELDER.XLS"}</definedName>
    <definedName name="rw_3" hidden="1">{#N/A,#N/A,FALSE,"COVER1.XLS ";#N/A,#N/A,FALSE,"RACT1.XLS";#N/A,#N/A,FALSE,"RACT2.XLS";#N/A,#N/A,FALSE,"ECCMP";#N/A,#N/A,FALSE,"WELDER.XLS"}</definedName>
    <definedName name="rw_4" hidden="1">{#N/A,#N/A,FALSE,"COVER1.XLS ";#N/A,#N/A,FALSE,"RACT1.XLS";#N/A,#N/A,FALSE,"RACT2.XLS";#N/A,#N/A,FALSE,"ECCMP";#N/A,#N/A,FALSE,"WELDER.XLS"}</definedName>
    <definedName name="rw_5" hidden="1">{#N/A,#N/A,FALSE,"COVER1.XLS ";#N/A,#N/A,FALSE,"RACT1.XLS";#N/A,#N/A,FALSE,"RACT2.XLS";#N/A,#N/A,FALSE,"ECCMP";#N/A,#N/A,FALSE,"WELDER.XLS"}</definedName>
    <definedName name="rwere" hidden="1">{#N/A,#N/A,FALSE,"COVER1.XLS ";#N/A,#N/A,FALSE,"RACT1.XLS";#N/A,#N/A,FALSE,"RACT2.XLS";#N/A,#N/A,FALSE,"ECCMP";#N/A,#N/A,FALSE,"WELDER.XLS"}</definedName>
    <definedName name="rwere_1" hidden="1">{#N/A,#N/A,FALSE,"COVER1.XLS ";#N/A,#N/A,FALSE,"RACT1.XLS";#N/A,#N/A,FALSE,"RACT2.XLS";#N/A,#N/A,FALSE,"ECCMP";#N/A,#N/A,FALSE,"WELDER.XLS"}</definedName>
    <definedName name="rwere_1_1" hidden="1">{#N/A,#N/A,FALSE,"COVER1.XLS ";#N/A,#N/A,FALSE,"RACT1.XLS";#N/A,#N/A,FALSE,"RACT2.XLS";#N/A,#N/A,FALSE,"ECCMP";#N/A,#N/A,FALSE,"WELDER.XLS"}</definedName>
    <definedName name="rwere_1_2" hidden="1">{#N/A,#N/A,FALSE,"COVER1.XLS ";#N/A,#N/A,FALSE,"RACT1.XLS";#N/A,#N/A,FALSE,"RACT2.XLS";#N/A,#N/A,FALSE,"ECCMP";#N/A,#N/A,FALSE,"WELDER.XLS"}</definedName>
    <definedName name="rwere_1_3" hidden="1">{#N/A,#N/A,FALSE,"COVER1.XLS ";#N/A,#N/A,FALSE,"RACT1.XLS";#N/A,#N/A,FALSE,"RACT2.XLS";#N/A,#N/A,FALSE,"ECCMP";#N/A,#N/A,FALSE,"WELDER.XLS"}</definedName>
    <definedName name="rwere_1_4" hidden="1">{#N/A,#N/A,FALSE,"COVER1.XLS ";#N/A,#N/A,FALSE,"RACT1.XLS";#N/A,#N/A,FALSE,"RACT2.XLS";#N/A,#N/A,FALSE,"ECCMP";#N/A,#N/A,FALSE,"WELDER.XLS"}</definedName>
    <definedName name="rwere_1_5" hidden="1">{#N/A,#N/A,FALSE,"COVER1.XLS ";#N/A,#N/A,FALSE,"RACT1.XLS";#N/A,#N/A,FALSE,"RACT2.XLS";#N/A,#N/A,FALSE,"ECCMP";#N/A,#N/A,FALSE,"WELDER.XLS"}</definedName>
    <definedName name="rwere_2" hidden="1">{#N/A,#N/A,FALSE,"COVER1.XLS ";#N/A,#N/A,FALSE,"RACT1.XLS";#N/A,#N/A,FALSE,"RACT2.XLS";#N/A,#N/A,FALSE,"ECCMP";#N/A,#N/A,FALSE,"WELDER.XLS"}</definedName>
    <definedName name="rwere_2_1" hidden="1">{#N/A,#N/A,FALSE,"COVER1.XLS ";#N/A,#N/A,FALSE,"RACT1.XLS";#N/A,#N/A,FALSE,"RACT2.XLS";#N/A,#N/A,FALSE,"ECCMP";#N/A,#N/A,FALSE,"WELDER.XLS"}</definedName>
    <definedName name="rwere_2_2" hidden="1">{#N/A,#N/A,FALSE,"COVER1.XLS ";#N/A,#N/A,FALSE,"RACT1.XLS";#N/A,#N/A,FALSE,"RACT2.XLS";#N/A,#N/A,FALSE,"ECCMP";#N/A,#N/A,FALSE,"WELDER.XLS"}</definedName>
    <definedName name="rwere_2_3" hidden="1">{#N/A,#N/A,FALSE,"COVER1.XLS ";#N/A,#N/A,FALSE,"RACT1.XLS";#N/A,#N/A,FALSE,"RACT2.XLS";#N/A,#N/A,FALSE,"ECCMP";#N/A,#N/A,FALSE,"WELDER.XLS"}</definedName>
    <definedName name="rwere_2_4" hidden="1">{#N/A,#N/A,FALSE,"COVER1.XLS ";#N/A,#N/A,FALSE,"RACT1.XLS";#N/A,#N/A,FALSE,"RACT2.XLS";#N/A,#N/A,FALSE,"ECCMP";#N/A,#N/A,FALSE,"WELDER.XLS"}</definedName>
    <definedName name="rwere_2_5" hidden="1">{#N/A,#N/A,FALSE,"COVER1.XLS ";#N/A,#N/A,FALSE,"RACT1.XLS";#N/A,#N/A,FALSE,"RACT2.XLS";#N/A,#N/A,FALSE,"ECCMP";#N/A,#N/A,FALSE,"WELDER.XLS"}</definedName>
    <definedName name="rwere_3" hidden="1">{#N/A,#N/A,FALSE,"COVER1.XLS ";#N/A,#N/A,FALSE,"RACT1.XLS";#N/A,#N/A,FALSE,"RACT2.XLS";#N/A,#N/A,FALSE,"ECCMP";#N/A,#N/A,FALSE,"WELDER.XLS"}</definedName>
    <definedName name="rwere_4" hidden="1">{#N/A,#N/A,FALSE,"COVER1.XLS ";#N/A,#N/A,FALSE,"RACT1.XLS";#N/A,#N/A,FALSE,"RACT2.XLS";#N/A,#N/A,FALSE,"ECCMP";#N/A,#N/A,FALSE,"WELDER.XLS"}</definedName>
    <definedName name="rwere_5" hidden="1">{#N/A,#N/A,FALSE,"COVER1.XLS ";#N/A,#N/A,FALSE,"RACT1.XLS";#N/A,#N/A,FALSE,"RACT2.XLS";#N/A,#N/A,FALSE,"ECCMP";#N/A,#N/A,FALSE,"WELDER.XLS"}</definedName>
    <definedName name="Rwvu.otr." hidden="1">[14]ORIGINAL!#REF!</definedName>
    <definedName name="Rwvu.Overhead._.detail." hidden="1">#REF!,#REF!</definedName>
    <definedName name="Rwvu.Profit._.report._.detailed." hidden="1">#REF!,#REF!</definedName>
    <definedName name="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_1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_1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_1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_1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_1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_2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_2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_2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_2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_2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a" hidden="1">{#N/A,#N/A,FALSE,"COVER1.XLS ";#N/A,#N/A,FALSE,"RACT1.XLS";#N/A,#N/A,FALSE,"RACT2.XLS";#N/A,#N/A,FALSE,"ECCMP";#N/A,#N/A,FALSE,"WELDER.XLS"}</definedName>
    <definedName name="Sa_1" hidden="1">{#N/A,#N/A,FALSE,"COVER1.XLS ";#N/A,#N/A,FALSE,"RACT1.XLS";#N/A,#N/A,FALSE,"RACT2.XLS";#N/A,#N/A,FALSE,"ECCMP";#N/A,#N/A,FALSE,"WELDER.XLS"}</definedName>
    <definedName name="Sa_2" hidden="1">{#N/A,#N/A,FALSE,"COVER1.XLS ";#N/A,#N/A,FALSE,"RACT1.XLS";#N/A,#N/A,FALSE,"RACT2.XLS";#N/A,#N/A,FALSE,"ECCMP";#N/A,#N/A,FALSE,"WELDER.XLS"}</definedName>
    <definedName name="Sa_3" hidden="1">{#N/A,#N/A,FALSE,"COVER1.XLS ";#N/A,#N/A,FALSE,"RACT1.XLS";#N/A,#N/A,FALSE,"RACT2.XLS";#N/A,#N/A,FALSE,"ECCMP";#N/A,#N/A,FALSE,"WELDER.XLS"}</definedName>
    <definedName name="Sa_4" hidden="1">{#N/A,#N/A,FALSE,"COVER1.XLS ";#N/A,#N/A,FALSE,"RACT1.XLS";#N/A,#N/A,FALSE,"RACT2.XLS";#N/A,#N/A,FALSE,"ECCMP";#N/A,#N/A,FALSE,"WELDER.XLS"}</definedName>
    <definedName name="Sa_5" hidden="1">{#N/A,#N/A,FALSE,"COVER1.XLS ";#N/A,#N/A,FALSE,"RACT1.XLS";#N/A,#N/A,FALSE,"RACT2.XLS";#N/A,#N/A,FALSE,"ECCMP";#N/A,#N/A,FALSE,"WELDER.XLS"}</definedName>
    <definedName name="SAFSD" hidden="1">#REF!</definedName>
    <definedName name="sagdhag" hidden="1">{#N/A,#N/A,FALSE,"COVER1.XLS ";#N/A,#N/A,FALSE,"RACT1.XLS";#N/A,#N/A,FALSE,"RACT2.XLS";#N/A,#N/A,FALSE,"ECCMP";#N/A,#N/A,FALSE,"WELDER.XLS"}</definedName>
    <definedName name="sagdhag_1" hidden="1">{#N/A,#N/A,FALSE,"COVER1.XLS ";#N/A,#N/A,FALSE,"RACT1.XLS";#N/A,#N/A,FALSE,"RACT2.XLS";#N/A,#N/A,FALSE,"ECCMP";#N/A,#N/A,FALSE,"WELDER.XLS"}</definedName>
    <definedName name="sagdhag_1_1" hidden="1">{#N/A,#N/A,FALSE,"COVER1.XLS ";#N/A,#N/A,FALSE,"RACT1.XLS";#N/A,#N/A,FALSE,"RACT2.XLS";#N/A,#N/A,FALSE,"ECCMP";#N/A,#N/A,FALSE,"WELDER.XLS"}</definedName>
    <definedName name="sagdhag_1_2" hidden="1">{#N/A,#N/A,FALSE,"COVER1.XLS ";#N/A,#N/A,FALSE,"RACT1.XLS";#N/A,#N/A,FALSE,"RACT2.XLS";#N/A,#N/A,FALSE,"ECCMP";#N/A,#N/A,FALSE,"WELDER.XLS"}</definedName>
    <definedName name="sagdhag_1_3" hidden="1">{#N/A,#N/A,FALSE,"COVER1.XLS ";#N/A,#N/A,FALSE,"RACT1.XLS";#N/A,#N/A,FALSE,"RACT2.XLS";#N/A,#N/A,FALSE,"ECCMP";#N/A,#N/A,FALSE,"WELDER.XLS"}</definedName>
    <definedName name="sagdhag_1_4" hidden="1">{#N/A,#N/A,FALSE,"COVER1.XLS ";#N/A,#N/A,FALSE,"RACT1.XLS";#N/A,#N/A,FALSE,"RACT2.XLS";#N/A,#N/A,FALSE,"ECCMP";#N/A,#N/A,FALSE,"WELDER.XLS"}</definedName>
    <definedName name="sagdhag_1_5" hidden="1">{#N/A,#N/A,FALSE,"COVER1.XLS ";#N/A,#N/A,FALSE,"RACT1.XLS";#N/A,#N/A,FALSE,"RACT2.XLS";#N/A,#N/A,FALSE,"ECCMP";#N/A,#N/A,FALSE,"WELDER.XLS"}</definedName>
    <definedName name="sagdhag_2" hidden="1">{#N/A,#N/A,FALSE,"COVER1.XLS ";#N/A,#N/A,FALSE,"RACT1.XLS";#N/A,#N/A,FALSE,"RACT2.XLS";#N/A,#N/A,FALSE,"ECCMP";#N/A,#N/A,FALSE,"WELDER.XLS"}</definedName>
    <definedName name="sagdhag_2_1" hidden="1">{#N/A,#N/A,FALSE,"COVER1.XLS ";#N/A,#N/A,FALSE,"RACT1.XLS";#N/A,#N/A,FALSE,"RACT2.XLS";#N/A,#N/A,FALSE,"ECCMP";#N/A,#N/A,FALSE,"WELDER.XLS"}</definedName>
    <definedName name="sagdhag_2_2" hidden="1">{#N/A,#N/A,FALSE,"COVER1.XLS ";#N/A,#N/A,FALSE,"RACT1.XLS";#N/A,#N/A,FALSE,"RACT2.XLS";#N/A,#N/A,FALSE,"ECCMP";#N/A,#N/A,FALSE,"WELDER.XLS"}</definedName>
    <definedName name="sagdhag_2_3" hidden="1">{#N/A,#N/A,FALSE,"COVER1.XLS ";#N/A,#N/A,FALSE,"RACT1.XLS";#N/A,#N/A,FALSE,"RACT2.XLS";#N/A,#N/A,FALSE,"ECCMP";#N/A,#N/A,FALSE,"WELDER.XLS"}</definedName>
    <definedName name="sagdhag_2_4" hidden="1">{#N/A,#N/A,FALSE,"COVER1.XLS ";#N/A,#N/A,FALSE,"RACT1.XLS";#N/A,#N/A,FALSE,"RACT2.XLS";#N/A,#N/A,FALSE,"ECCMP";#N/A,#N/A,FALSE,"WELDER.XLS"}</definedName>
    <definedName name="sagdhag_2_5" hidden="1">{#N/A,#N/A,FALSE,"COVER1.XLS ";#N/A,#N/A,FALSE,"RACT1.XLS";#N/A,#N/A,FALSE,"RACT2.XLS";#N/A,#N/A,FALSE,"ECCMP";#N/A,#N/A,FALSE,"WELDER.XLS"}</definedName>
    <definedName name="sagdhag_3" hidden="1">{#N/A,#N/A,FALSE,"COVER1.XLS ";#N/A,#N/A,FALSE,"RACT1.XLS";#N/A,#N/A,FALSE,"RACT2.XLS";#N/A,#N/A,FALSE,"ECCMP";#N/A,#N/A,FALSE,"WELDER.XLS"}</definedName>
    <definedName name="sagdhag_4" hidden="1">{#N/A,#N/A,FALSE,"COVER1.XLS ";#N/A,#N/A,FALSE,"RACT1.XLS";#N/A,#N/A,FALSE,"RACT2.XLS";#N/A,#N/A,FALSE,"ECCMP";#N/A,#N/A,FALSE,"WELDER.XLS"}</definedName>
    <definedName name="sagdhag_5" hidden="1">{#N/A,#N/A,FALSE,"COVER1.XLS ";#N/A,#N/A,FALSE,"RACT1.XLS";#N/A,#N/A,FALSE,"RACT2.XLS";#N/A,#N/A,FALSE,"ECCMP";#N/A,#N/A,FALSE,"WELDER.XLS"}</definedName>
    <definedName name="san" hidden="1">{"'Sheet1'!$L$16"}</definedName>
    <definedName name="san_1" hidden="1">{"'Sheet1'!$L$16"}</definedName>
    <definedName name="san_2" hidden="1">{"'Sheet1'!$L$16"}</definedName>
    <definedName name="san_3" hidden="1">{"'Sheet1'!$L$16"}</definedName>
    <definedName name="san_4" hidden="1">{"'Sheet1'!$L$16"}</definedName>
    <definedName name="san_5" hidden="1">{"'Sheet1'!$L$16"}</definedName>
    <definedName name="SAPBEXdnldView" hidden="1">"43HUVQ068KTZOIV9ZONW1N77R"</definedName>
    <definedName name="SAPBEXhrIndnt" hidden="1">"Wide"</definedName>
    <definedName name="SAPBEXsysID" hidden="1">"BD2"</definedName>
    <definedName name="SAPsysID" hidden="1">"708C5W7SBKP804JT78WJ0JNKI"</definedName>
    <definedName name="SAPwbID" hidden="1">"ARS"</definedName>
    <definedName name="SD" hidden="1">{#N/A,#N/A,FALSE,"consu_cover";#N/A,#N/A,FALSE,"consu_strategy";#N/A,#N/A,FALSE,"consu_flow";#N/A,#N/A,FALSE,"Summary_reqmt";#N/A,#N/A,FALSE,"field_ppg";#N/A,#N/A,FALSE,"ppg_shop";#N/A,#N/A,FALSE,"strl";#N/A,#N/A,FALSE,"tankages";#N/A,#N/A,FALSE,"gases"}</definedName>
    <definedName name="SD_1" hidden="1">{#N/A,#N/A,FALSE,"consu_cover";#N/A,#N/A,FALSE,"consu_strategy";#N/A,#N/A,FALSE,"consu_flow";#N/A,#N/A,FALSE,"Summary_reqmt";#N/A,#N/A,FALSE,"field_ppg";#N/A,#N/A,FALSE,"ppg_shop";#N/A,#N/A,FALSE,"strl";#N/A,#N/A,FALSE,"tankages";#N/A,#N/A,FALSE,"gases"}</definedName>
    <definedName name="SD_2" hidden="1">{#N/A,#N/A,FALSE,"consu_cover";#N/A,#N/A,FALSE,"consu_strategy";#N/A,#N/A,FALSE,"consu_flow";#N/A,#N/A,FALSE,"Summary_reqmt";#N/A,#N/A,FALSE,"field_ppg";#N/A,#N/A,FALSE,"ppg_shop";#N/A,#N/A,FALSE,"strl";#N/A,#N/A,FALSE,"tankages";#N/A,#N/A,FALSE,"gases"}</definedName>
    <definedName name="SD_3" hidden="1">{#N/A,#N/A,FALSE,"consu_cover";#N/A,#N/A,FALSE,"consu_strategy";#N/A,#N/A,FALSE,"consu_flow";#N/A,#N/A,FALSE,"Summary_reqmt";#N/A,#N/A,FALSE,"field_ppg";#N/A,#N/A,FALSE,"ppg_shop";#N/A,#N/A,FALSE,"strl";#N/A,#N/A,FALSE,"tankages";#N/A,#N/A,FALSE,"gases"}</definedName>
    <definedName name="SD_4" hidden="1">{#N/A,#N/A,FALSE,"consu_cover";#N/A,#N/A,FALSE,"consu_strategy";#N/A,#N/A,FALSE,"consu_flow";#N/A,#N/A,FALSE,"Summary_reqmt";#N/A,#N/A,FALSE,"field_ppg";#N/A,#N/A,FALSE,"ppg_shop";#N/A,#N/A,FALSE,"strl";#N/A,#N/A,FALSE,"tankages";#N/A,#N/A,FALSE,"gases"}</definedName>
    <definedName name="SD_5" hidden="1">{#N/A,#N/A,FALSE,"consu_cover";#N/A,#N/A,FALSE,"consu_strategy";#N/A,#N/A,FALSE,"consu_flow";#N/A,#N/A,FALSE,"Summary_reqmt";#N/A,#N/A,FALSE,"field_ppg";#N/A,#N/A,FALSE,"ppg_shop";#N/A,#N/A,FALSE,"strl";#N/A,#N/A,FALSE,"tankages";#N/A,#N/A,FALSE,"gases"}</definedName>
    <definedName name="sdf" hidden="1">{#N/A,#N/A,FALSE,"COVER.XLS";#N/A,#N/A,FALSE,"RACT1.XLS";#N/A,#N/A,FALSE,"RACT2.XLS";#N/A,#N/A,FALSE,"ECCMP";#N/A,#N/A,FALSE,"WELDER.XLS"}</definedName>
    <definedName name="sdf_1" hidden="1">{#N/A,#N/A,FALSE,"COVER.XLS";#N/A,#N/A,FALSE,"RACT1.XLS";#N/A,#N/A,FALSE,"RACT2.XLS";#N/A,#N/A,FALSE,"ECCMP";#N/A,#N/A,FALSE,"WELDER.XLS"}</definedName>
    <definedName name="sdf_1_1" hidden="1">{#N/A,#N/A,FALSE,"COVER.XLS";#N/A,#N/A,FALSE,"RACT1.XLS";#N/A,#N/A,FALSE,"RACT2.XLS";#N/A,#N/A,FALSE,"ECCMP";#N/A,#N/A,FALSE,"WELDER.XLS"}</definedName>
    <definedName name="sdf_1_2" hidden="1">{#N/A,#N/A,FALSE,"COVER.XLS";#N/A,#N/A,FALSE,"RACT1.XLS";#N/A,#N/A,FALSE,"RACT2.XLS";#N/A,#N/A,FALSE,"ECCMP";#N/A,#N/A,FALSE,"WELDER.XLS"}</definedName>
    <definedName name="sdf_1_3" hidden="1">{#N/A,#N/A,FALSE,"COVER.XLS";#N/A,#N/A,FALSE,"RACT1.XLS";#N/A,#N/A,FALSE,"RACT2.XLS";#N/A,#N/A,FALSE,"ECCMP";#N/A,#N/A,FALSE,"WELDER.XLS"}</definedName>
    <definedName name="sdf_1_4" hidden="1">{#N/A,#N/A,FALSE,"COVER.XLS";#N/A,#N/A,FALSE,"RACT1.XLS";#N/A,#N/A,FALSE,"RACT2.XLS";#N/A,#N/A,FALSE,"ECCMP";#N/A,#N/A,FALSE,"WELDER.XLS"}</definedName>
    <definedName name="sdf_1_5" hidden="1">{#N/A,#N/A,FALSE,"COVER.XLS";#N/A,#N/A,FALSE,"RACT1.XLS";#N/A,#N/A,FALSE,"RACT2.XLS";#N/A,#N/A,FALSE,"ECCMP";#N/A,#N/A,FALSE,"WELDER.XLS"}</definedName>
    <definedName name="sdf_2" hidden="1">{#N/A,#N/A,FALSE,"COVER.XLS";#N/A,#N/A,FALSE,"RACT1.XLS";#N/A,#N/A,FALSE,"RACT2.XLS";#N/A,#N/A,FALSE,"ECCMP";#N/A,#N/A,FALSE,"WELDER.XLS"}</definedName>
    <definedName name="sdf_2_1" hidden="1">{#N/A,#N/A,FALSE,"COVER.XLS";#N/A,#N/A,FALSE,"RACT1.XLS";#N/A,#N/A,FALSE,"RACT2.XLS";#N/A,#N/A,FALSE,"ECCMP";#N/A,#N/A,FALSE,"WELDER.XLS"}</definedName>
    <definedName name="sdf_2_2" hidden="1">{#N/A,#N/A,FALSE,"COVER.XLS";#N/A,#N/A,FALSE,"RACT1.XLS";#N/A,#N/A,FALSE,"RACT2.XLS";#N/A,#N/A,FALSE,"ECCMP";#N/A,#N/A,FALSE,"WELDER.XLS"}</definedName>
    <definedName name="sdf_2_3" hidden="1">{#N/A,#N/A,FALSE,"COVER.XLS";#N/A,#N/A,FALSE,"RACT1.XLS";#N/A,#N/A,FALSE,"RACT2.XLS";#N/A,#N/A,FALSE,"ECCMP";#N/A,#N/A,FALSE,"WELDER.XLS"}</definedName>
    <definedName name="sdf_2_4" hidden="1">{#N/A,#N/A,FALSE,"COVER.XLS";#N/A,#N/A,FALSE,"RACT1.XLS";#N/A,#N/A,FALSE,"RACT2.XLS";#N/A,#N/A,FALSE,"ECCMP";#N/A,#N/A,FALSE,"WELDER.XLS"}</definedName>
    <definedName name="sdf_2_5" hidden="1">{#N/A,#N/A,FALSE,"COVER.XLS";#N/A,#N/A,FALSE,"RACT1.XLS";#N/A,#N/A,FALSE,"RACT2.XLS";#N/A,#N/A,FALSE,"ECCMP";#N/A,#N/A,FALSE,"WELDER.XLS"}</definedName>
    <definedName name="sdf_3" hidden="1">{#N/A,#N/A,FALSE,"COVER.XLS";#N/A,#N/A,FALSE,"RACT1.XLS";#N/A,#N/A,FALSE,"RACT2.XLS";#N/A,#N/A,FALSE,"ECCMP";#N/A,#N/A,FALSE,"WELDER.XLS"}</definedName>
    <definedName name="sdf_4" hidden="1">{#N/A,#N/A,FALSE,"COVER.XLS";#N/A,#N/A,FALSE,"RACT1.XLS";#N/A,#N/A,FALSE,"RACT2.XLS";#N/A,#N/A,FALSE,"ECCMP";#N/A,#N/A,FALSE,"WELDER.XLS"}</definedName>
    <definedName name="sdf_5" hidden="1">{#N/A,#N/A,FALSE,"COVER.XLS";#N/A,#N/A,FALSE,"RACT1.XLS";#N/A,#N/A,FALSE,"RACT2.XLS";#N/A,#N/A,FALSE,"ECCMP";#N/A,#N/A,FALSE,"WELDER.XLS"}</definedName>
    <definedName name="sdfsdf" hidden="1">#REF!</definedName>
    <definedName name="sdggrsgrsgtrsg"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e" hidden="1">{#N/A,#N/A,FALSE,"Aging Summary";#N/A,#N/A,FALSE,"Ratio Analysis";#N/A,#N/A,FALSE,"Test 120 Day Accts";#N/A,#N/A,FALSE,"Tickmarks"}</definedName>
    <definedName name="sencount" hidden="1">5</definedName>
    <definedName name="short" hidden="1">{#N/A,#N/A,FALSE,"COVER1.XLS ";#N/A,#N/A,FALSE,"RACT1.XLS";#N/A,#N/A,FALSE,"RACT2.XLS";#N/A,#N/A,FALSE,"ECCMP";#N/A,#N/A,FALSE,"WELDER.XLS"}</definedName>
    <definedName name="short_1" hidden="1">{#N/A,#N/A,FALSE,"COVER1.XLS ";#N/A,#N/A,FALSE,"RACT1.XLS";#N/A,#N/A,FALSE,"RACT2.XLS";#N/A,#N/A,FALSE,"ECCMP";#N/A,#N/A,FALSE,"WELDER.XLS"}</definedName>
    <definedName name="short_1_1" hidden="1">{#N/A,#N/A,FALSE,"COVER1.XLS ";#N/A,#N/A,FALSE,"RACT1.XLS";#N/A,#N/A,FALSE,"RACT2.XLS";#N/A,#N/A,FALSE,"ECCMP";#N/A,#N/A,FALSE,"WELDER.XLS"}</definedName>
    <definedName name="short_1_2" hidden="1">{#N/A,#N/A,FALSE,"COVER1.XLS ";#N/A,#N/A,FALSE,"RACT1.XLS";#N/A,#N/A,FALSE,"RACT2.XLS";#N/A,#N/A,FALSE,"ECCMP";#N/A,#N/A,FALSE,"WELDER.XLS"}</definedName>
    <definedName name="short_1_3" hidden="1">{#N/A,#N/A,FALSE,"COVER1.XLS ";#N/A,#N/A,FALSE,"RACT1.XLS";#N/A,#N/A,FALSE,"RACT2.XLS";#N/A,#N/A,FALSE,"ECCMP";#N/A,#N/A,FALSE,"WELDER.XLS"}</definedName>
    <definedName name="short_1_4" hidden="1">{#N/A,#N/A,FALSE,"COVER1.XLS ";#N/A,#N/A,FALSE,"RACT1.XLS";#N/A,#N/A,FALSE,"RACT2.XLS";#N/A,#N/A,FALSE,"ECCMP";#N/A,#N/A,FALSE,"WELDER.XLS"}</definedName>
    <definedName name="short_1_5" hidden="1">{#N/A,#N/A,FALSE,"COVER1.XLS ";#N/A,#N/A,FALSE,"RACT1.XLS";#N/A,#N/A,FALSE,"RACT2.XLS";#N/A,#N/A,FALSE,"ECCMP";#N/A,#N/A,FALSE,"WELDER.XLS"}</definedName>
    <definedName name="short_2" hidden="1">{#N/A,#N/A,FALSE,"COVER1.XLS ";#N/A,#N/A,FALSE,"RACT1.XLS";#N/A,#N/A,FALSE,"RACT2.XLS";#N/A,#N/A,FALSE,"ECCMP";#N/A,#N/A,FALSE,"WELDER.XLS"}</definedName>
    <definedName name="short_2_1" hidden="1">{#N/A,#N/A,FALSE,"COVER1.XLS ";#N/A,#N/A,FALSE,"RACT1.XLS";#N/A,#N/A,FALSE,"RACT2.XLS";#N/A,#N/A,FALSE,"ECCMP";#N/A,#N/A,FALSE,"WELDER.XLS"}</definedName>
    <definedName name="short_2_2" hidden="1">{#N/A,#N/A,FALSE,"COVER1.XLS ";#N/A,#N/A,FALSE,"RACT1.XLS";#N/A,#N/A,FALSE,"RACT2.XLS";#N/A,#N/A,FALSE,"ECCMP";#N/A,#N/A,FALSE,"WELDER.XLS"}</definedName>
    <definedName name="short_2_3" hidden="1">{#N/A,#N/A,FALSE,"COVER1.XLS ";#N/A,#N/A,FALSE,"RACT1.XLS";#N/A,#N/A,FALSE,"RACT2.XLS";#N/A,#N/A,FALSE,"ECCMP";#N/A,#N/A,FALSE,"WELDER.XLS"}</definedName>
    <definedName name="short_2_4" hidden="1">{#N/A,#N/A,FALSE,"COVER1.XLS ";#N/A,#N/A,FALSE,"RACT1.XLS";#N/A,#N/A,FALSE,"RACT2.XLS";#N/A,#N/A,FALSE,"ECCMP";#N/A,#N/A,FALSE,"WELDER.XLS"}</definedName>
    <definedName name="short_2_5" hidden="1">{#N/A,#N/A,FALSE,"COVER1.XLS ";#N/A,#N/A,FALSE,"RACT1.XLS";#N/A,#N/A,FALSE,"RACT2.XLS";#N/A,#N/A,FALSE,"ECCMP";#N/A,#N/A,FALSE,"WELDER.XLS"}</definedName>
    <definedName name="short_3" hidden="1">{#N/A,#N/A,FALSE,"COVER1.XLS ";#N/A,#N/A,FALSE,"RACT1.XLS";#N/A,#N/A,FALSE,"RACT2.XLS";#N/A,#N/A,FALSE,"ECCMP";#N/A,#N/A,FALSE,"WELDER.XLS"}</definedName>
    <definedName name="short_4" hidden="1">{#N/A,#N/A,FALSE,"COVER1.XLS ";#N/A,#N/A,FALSE,"RACT1.XLS";#N/A,#N/A,FALSE,"RACT2.XLS";#N/A,#N/A,FALSE,"ECCMP";#N/A,#N/A,FALSE,"WELDER.XLS"}</definedName>
    <definedName name="short_5" hidden="1">{#N/A,#N/A,FALSE,"COVER1.XLS ";#N/A,#N/A,FALSE,"RACT1.XLS";#N/A,#N/A,FALSE,"RACT2.XLS";#N/A,#N/A,FALSE,"ECCMP";#N/A,#N/A,FALSE,"WELDER.XLS"}</definedName>
    <definedName name="sht" hidden="1">{#N/A,#N/A,FALSE,"COVER1.XLS ";#N/A,#N/A,FALSE,"RACT1.XLS";#N/A,#N/A,FALSE,"RACT2.XLS";#N/A,#N/A,FALSE,"ECCMP";#N/A,#N/A,FALSE,"WELDER.XLS"}</definedName>
    <definedName name="srs" hidden="1">{#N/A,#N/A,FALSE,"COVER.XLS";#N/A,#N/A,FALSE,"RACT1.XLS";#N/A,#N/A,FALSE,"RACT2.XLS";#N/A,#N/A,FALSE,"ECCMP";#N/A,#N/A,FALSE,"WELDER.XLS"}</definedName>
    <definedName name="srs_1" hidden="1">{#N/A,#N/A,FALSE,"COVER.XLS";#N/A,#N/A,FALSE,"RACT1.XLS";#N/A,#N/A,FALSE,"RACT2.XLS";#N/A,#N/A,FALSE,"ECCMP";#N/A,#N/A,FALSE,"WELDER.XLS"}</definedName>
    <definedName name="srs_2" hidden="1">{#N/A,#N/A,FALSE,"COVER.XLS";#N/A,#N/A,FALSE,"RACT1.XLS";#N/A,#N/A,FALSE,"RACT2.XLS";#N/A,#N/A,FALSE,"ECCMP";#N/A,#N/A,FALSE,"WELDER.XLS"}</definedName>
    <definedName name="srs_3" hidden="1">{#N/A,#N/A,FALSE,"COVER.XLS";#N/A,#N/A,FALSE,"RACT1.XLS";#N/A,#N/A,FALSE,"RACT2.XLS";#N/A,#N/A,FALSE,"ECCMP";#N/A,#N/A,FALSE,"WELDER.XLS"}</definedName>
    <definedName name="srs_4" hidden="1">{#N/A,#N/A,FALSE,"COVER.XLS";#N/A,#N/A,FALSE,"RACT1.XLS";#N/A,#N/A,FALSE,"RACT2.XLS";#N/A,#N/A,FALSE,"ECCMP";#N/A,#N/A,FALSE,"WELDER.XLS"}</definedName>
    <definedName name="srs_5" hidden="1">{#N/A,#N/A,FALSE,"COVER.XLS";#N/A,#N/A,FALSE,"RACT1.XLS";#N/A,#N/A,FALSE,"RACT2.XLS";#N/A,#N/A,FALSE,"ECCMP";#N/A,#N/A,FALSE,"WELDER.XLS"}</definedName>
    <definedName name="s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_1" hidden="1">{#N/A,#N/A,FALSE,"COVER.XLS";#N/A,#N/A,FALSE,"RACT1.XLS";#N/A,#N/A,FALSE,"RACT2.XLS";#N/A,#N/A,FALSE,"ECCMP";#N/A,#N/A,FALSE,"WELDER.XLS"}</definedName>
    <definedName name="ss_1_1" hidden="1">{#N/A,#N/A,FALSE,"COVER.XLS";#N/A,#N/A,FALSE,"RACT1.XLS";#N/A,#N/A,FALSE,"RACT2.XLS";#N/A,#N/A,FALSE,"ECCMP";#N/A,#N/A,FALSE,"WELDER.XLS"}</definedName>
    <definedName name="ss_1_2" hidden="1">{#N/A,#N/A,FALSE,"COVER.XLS";#N/A,#N/A,FALSE,"RACT1.XLS";#N/A,#N/A,FALSE,"RACT2.XLS";#N/A,#N/A,FALSE,"ECCMP";#N/A,#N/A,FALSE,"WELDER.XLS"}</definedName>
    <definedName name="ss_1_3" hidden="1">{#N/A,#N/A,FALSE,"COVER.XLS";#N/A,#N/A,FALSE,"RACT1.XLS";#N/A,#N/A,FALSE,"RACT2.XLS";#N/A,#N/A,FALSE,"ECCMP";#N/A,#N/A,FALSE,"WELDER.XLS"}</definedName>
    <definedName name="ss_1_4" hidden="1">{#N/A,#N/A,FALSE,"COVER.XLS";#N/A,#N/A,FALSE,"RACT1.XLS";#N/A,#N/A,FALSE,"RACT2.XLS";#N/A,#N/A,FALSE,"ECCMP";#N/A,#N/A,FALSE,"WELDER.XLS"}</definedName>
    <definedName name="ss_1_5" hidden="1">{#N/A,#N/A,FALSE,"COVER.XLS";#N/A,#N/A,FALSE,"RACT1.XLS";#N/A,#N/A,FALSE,"RACT2.XLS";#N/A,#N/A,FALSE,"ECCMP";#N/A,#N/A,FALSE,"WELDER.XLS"}</definedName>
    <definedName name="ss_2" hidden="1">{#N/A,#N/A,FALSE,"COVER.XLS";#N/A,#N/A,FALSE,"RACT1.XLS";#N/A,#N/A,FALSE,"RACT2.XLS";#N/A,#N/A,FALSE,"ECCMP";#N/A,#N/A,FALSE,"WELDER.XLS"}</definedName>
    <definedName name="ss_2_1" hidden="1">{#N/A,#N/A,FALSE,"COVER.XLS";#N/A,#N/A,FALSE,"RACT1.XLS";#N/A,#N/A,FALSE,"RACT2.XLS";#N/A,#N/A,FALSE,"ECCMP";#N/A,#N/A,FALSE,"WELDER.XLS"}</definedName>
    <definedName name="ss_2_2" hidden="1">{#N/A,#N/A,FALSE,"COVER.XLS";#N/A,#N/A,FALSE,"RACT1.XLS";#N/A,#N/A,FALSE,"RACT2.XLS";#N/A,#N/A,FALSE,"ECCMP";#N/A,#N/A,FALSE,"WELDER.XLS"}</definedName>
    <definedName name="ss_2_3" hidden="1">{#N/A,#N/A,FALSE,"COVER.XLS";#N/A,#N/A,FALSE,"RACT1.XLS";#N/A,#N/A,FALSE,"RACT2.XLS";#N/A,#N/A,FALSE,"ECCMP";#N/A,#N/A,FALSE,"WELDER.XLS"}</definedName>
    <definedName name="ss_2_4" hidden="1">{#N/A,#N/A,FALSE,"COVER.XLS";#N/A,#N/A,FALSE,"RACT1.XLS";#N/A,#N/A,FALSE,"RACT2.XLS";#N/A,#N/A,FALSE,"ECCMP";#N/A,#N/A,FALSE,"WELDER.XLS"}</definedName>
    <definedName name="ss_2_5" hidden="1">{#N/A,#N/A,FALSE,"COVER.XLS";#N/A,#N/A,FALSE,"RACT1.XLS";#N/A,#N/A,FALSE,"RACT2.XLS";#N/A,#N/A,FALSE,"ECCMP";#N/A,#N/A,FALSE,"WELDER.XLS"}</definedName>
    <definedName name="ss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a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aa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aa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aa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aa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aa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ddfase" hidden="1">{#N/A,#N/A,FALSE,"COVER.XLS";#N/A,#N/A,FALSE,"RACT1.XLS";#N/A,#N/A,FALSE,"RACT2.XLS";#N/A,#N/A,FALSE,"ECCMP";#N/A,#N/A,FALSE,"WELDER.XLS"}</definedName>
    <definedName name="sss"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_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_1_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_1_2"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_1_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_1_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_1_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_2"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_2_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_2_2"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_2_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_2_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_2_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_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_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_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dfdf" hidden="1">{#N/A,#N/A,FALSE,"consu_cover";#N/A,#N/A,FALSE,"consu_strategy";#N/A,#N/A,FALSE,"consu_flow";#N/A,#N/A,FALSE,"Summary_reqmt";#N/A,#N/A,FALSE,"field_ppg";#N/A,#N/A,FALSE,"ppg_shop";#N/A,#N/A,FALSE,"strl";#N/A,#N/A,FALSE,"tankages";#N/A,#N/A,FALSE,"gases"}</definedName>
    <definedName name="sssdfdf_1" hidden="1">{#N/A,#N/A,FALSE,"consu_cover";#N/A,#N/A,FALSE,"consu_strategy";#N/A,#N/A,FALSE,"consu_flow";#N/A,#N/A,FALSE,"Summary_reqmt";#N/A,#N/A,FALSE,"field_ppg";#N/A,#N/A,FALSE,"ppg_shop";#N/A,#N/A,FALSE,"strl";#N/A,#N/A,FALSE,"tankages";#N/A,#N/A,FALSE,"gases"}</definedName>
    <definedName name="sssdfdf_2" hidden="1">{#N/A,#N/A,FALSE,"consu_cover";#N/A,#N/A,FALSE,"consu_strategy";#N/A,#N/A,FALSE,"consu_flow";#N/A,#N/A,FALSE,"Summary_reqmt";#N/A,#N/A,FALSE,"field_ppg";#N/A,#N/A,FALSE,"ppg_shop";#N/A,#N/A,FALSE,"strl";#N/A,#N/A,FALSE,"tankages";#N/A,#N/A,FALSE,"gases"}</definedName>
    <definedName name="sssdfdf_3" hidden="1">{#N/A,#N/A,FALSE,"consu_cover";#N/A,#N/A,FALSE,"consu_strategy";#N/A,#N/A,FALSE,"consu_flow";#N/A,#N/A,FALSE,"Summary_reqmt";#N/A,#N/A,FALSE,"field_ppg";#N/A,#N/A,FALSE,"ppg_shop";#N/A,#N/A,FALSE,"strl";#N/A,#N/A,FALSE,"tankages";#N/A,#N/A,FALSE,"gases"}</definedName>
    <definedName name="sssdfdf_4" hidden="1">{#N/A,#N/A,FALSE,"consu_cover";#N/A,#N/A,FALSE,"consu_strategy";#N/A,#N/A,FALSE,"consu_flow";#N/A,#N/A,FALSE,"Summary_reqmt";#N/A,#N/A,FALSE,"field_ppg";#N/A,#N/A,FALSE,"ppg_shop";#N/A,#N/A,FALSE,"strl";#N/A,#N/A,FALSE,"tankages";#N/A,#N/A,FALSE,"gases"}</definedName>
    <definedName name="sssdfdf_5" hidden="1">{#N/A,#N/A,FALSE,"consu_cover";#N/A,#N/A,FALSE,"consu_strategy";#N/A,#N/A,FALSE,"consu_flow";#N/A,#N/A,FALSE,"Summary_reqmt";#N/A,#N/A,FALSE,"field_ppg";#N/A,#N/A,FALSE,"ppg_shop";#N/A,#N/A,FALSE,"strl";#N/A,#N/A,FALSE,"tankages";#N/A,#N/A,FALSE,"gases"}</definedName>
    <definedName name="ssv"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sv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sv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sv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sv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sv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ucc" hidden="1">{#N/A,#N/A,FALSE,"COVER1.XLS ";#N/A,#N/A,FALSE,"RACT1.XLS";#N/A,#N/A,FALSE,"RACT2.XLS";#N/A,#N/A,FALSE,"ECCMP";#N/A,#N/A,FALSE,"WELDER.XLS"}</definedName>
    <definedName name="succ_1" hidden="1">{#N/A,#N/A,FALSE,"COVER1.XLS ";#N/A,#N/A,FALSE,"RACT1.XLS";#N/A,#N/A,FALSE,"RACT2.XLS";#N/A,#N/A,FALSE,"ECCMP";#N/A,#N/A,FALSE,"WELDER.XLS"}</definedName>
    <definedName name="succ_1_1" hidden="1">{#N/A,#N/A,FALSE,"COVER1.XLS ";#N/A,#N/A,FALSE,"RACT1.XLS";#N/A,#N/A,FALSE,"RACT2.XLS";#N/A,#N/A,FALSE,"ECCMP";#N/A,#N/A,FALSE,"WELDER.XLS"}</definedName>
    <definedName name="succ_1_2" hidden="1">{#N/A,#N/A,FALSE,"COVER1.XLS ";#N/A,#N/A,FALSE,"RACT1.XLS";#N/A,#N/A,FALSE,"RACT2.XLS";#N/A,#N/A,FALSE,"ECCMP";#N/A,#N/A,FALSE,"WELDER.XLS"}</definedName>
    <definedName name="succ_1_3" hidden="1">{#N/A,#N/A,FALSE,"COVER1.XLS ";#N/A,#N/A,FALSE,"RACT1.XLS";#N/A,#N/A,FALSE,"RACT2.XLS";#N/A,#N/A,FALSE,"ECCMP";#N/A,#N/A,FALSE,"WELDER.XLS"}</definedName>
    <definedName name="succ_1_4" hidden="1">{#N/A,#N/A,FALSE,"COVER1.XLS ";#N/A,#N/A,FALSE,"RACT1.XLS";#N/A,#N/A,FALSE,"RACT2.XLS";#N/A,#N/A,FALSE,"ECCMP";#N/A,#N/A,FALSE,"WELDER.XLS"}</definedName>
    <definedName name="succ_1_5" hidden="1">{#N/A,#N/A,FALSE,"COVER1.XLS ";#N/A,#N/A,FALSE,"RACT1.XLS";#N/A,#N/A,FALSE,"RACT2.XLS";#N/A,#N/A,FALSE,"ECCMP";#N/A,#N/A,FALSE,"WELDER.XLS"}</definedName>
    <definedName name="succ_2" hidden="1">{#N/A,#N/A,FALSE,"COVER1.XLS ";#N/A,#N/A,FALSE,"RACT1.XLS";#N/A,#N/A,FALSE,"RACT2.XLS";#N/A,#N/A,FALSE,"ECCMP";#N/A,#N/A,FALSE,"WELDER.XLS"}</definedName>
    <definedName name="succ_2_1" hidden="1">{#N/A,#N/A,FALSE,"COVER1.XLS ";#N/A,#N/A,FALSE,"RACT1.XLS";#N/A,#N/A,FALSE,"RACT2.XLS";#N/A,#N/A,FALSE,"ECCMP";#N/A,#N/A,FALSE,"WELDER.XLS"}</definedName>
    <definedName name="succ_2_2" hidden="1">{#N/A,#N/A,FALSE,"COVER1.XLS ";#N/A,#N/A,FALSE,"RACT1.XLS";#N/A,#N/A,FALSE,"RACT2.XLS";#N/A,#N/A,FALSE,"ECCMP";#N/A,#N/A,FALSE,"WELDER.XLS"}</definedName>
    <definedName name="succ_2_3" hidden="1">{#N/A,#N/A,FALSE,"COVER1.XLS ";#N/A,#N/A,FALSE,"RACT1.XLS";#N/A,#N/A,FALSE,"RACT2.XLS";#N/A,#N/A,FALSE,"ECCMP";#N/A,#N/A,FALSE,"WELDER.XLS"}</definedName>
    <definedName name="succ_2_4" hidden="1">{#N/A,#N/A,FALSE,"COVER1.XLS ";#N/A,#N/A,FALSE,"RACT1.XLS";#N/A,#N/A,FALSE,"RACT2.XLS";#N/A,#N/A,FALSE,"ECCMP";#N/A,#N/A,FALSE,"WELDER.XLS"}</definedName>
    <definedName name="succ_2_5" hidden="1">{#N/A,#N/A,FALSE,"COVER1.XLS ";#N/A,#N/A,FALSE,"RACT1.XLS";#N/A,#N/A,FALSE,"RACT2.XLS";#N/A,#N/A,FALSE,"ECCMP";#N/A,#N/A,FALSE,"WELDER.XLS"}</definedName>
    <definedName name="succ_3" hidden="1">{#N/A,#N/A,FALSE,"COVER1.XLS ";#N/A,#N/A,FALSE,"RACT1.XLS";#N/A,#N/A,FALSE,"RACT2.XLS";#N/A,#N/A,FALSE,"ECCMP";#N/A,#N/A,FALSE,"WELDER.XLS"}</definedName>
    <definedName name="succ_4" hidden="1">{#N/A,#N/A,FALSE,"COVER1.XLS ";#N/A,#N/A,FALSE,"RACT1.XLS";#N/A,#N/A,FALSE,"RACT2.XLS";#N/A,#N/A,FALSE,"ECCMP";#N/A,#N/A,FALSE,"WELDER.XLS"}</definedName>
    <definedName name="succ_5" hidden="1">{#N/A,#N/A,FALSE,"COVER1.XLS ";#N/A,#N/A,FALSE,"RACT1.XLS";#N/A,#N/A,FALSE,"RACT2.XLS";#N/A,#N/A,FALSE,"ECCMP";#N/A,#N/A,FALSE,"WELDER.XLS"}</definedName>
    <definedName name="suj" hidden="1">{"UKOPEX",#N/A,FALSE,"Summary"}</definedName>
    <definedName name="suj_1" hidden="1">{"UKOPEX",#N/A,FALSE,"Summary"}</definedName>
    <definedName name="suj_2" hidden="1">{"UKOPEX",#N/A,FALSE,"Summary"}</definedName>
    <definedName name="suj_3" hidden="1">{"UKOPEX",#N/A,FALSE,"Summary"}</definedName>
    <definedName name="suj_4" hidden="1">{"UKOPEX",#N/A,FALSE,"Summary"}</definedName>
    <definedName name="suj_5" hidden="1">{"UKOPEX",#N/A,FALSE,"Summary"}</definedName>
    <definedName name="Summery"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wvu.Overhead._.detail." hidden="1">#REF!</definedName>
    <definedName name="Swvu.Profit._.report._.detailed." hidden="1">#REF!</definedName>
    <definedName name="t" hidden="1">{#N/A,#N/A,FALSE,"COVER.XLS";#N/A,#N/A,FALSE,"RACT1.XLS";#N/A,#N/A,FALSE,"RACT2.XLS";#N/A,#N/A,FALSE,"ECCMP";#N/A,#N/A,FALSE,"WELDER.XLS"}</definedName>
    <definedName name="t_1" hidden="1">{#N/A,#N/A,FALSE,"COVER.XLS";#N/A,#N/A,FALSE,"RACT1.XLS";#N/A,#N/A,FALSE,"RACT2.XLS";#N/A,#N/A,FALSE,"ECCMP";#N/A,#N/A,FALSE,"WELDER.XLS"}</definedName>
    <definedName name="t_1_1" hidden="1">{#N/A,#N/A,FALSE,"COVER.XLS";#N/A,#N/A,FALSE,"RACT1.XLS";#N/A,#N/A,FALSE,"RACT2.XLS";#N/A,#N/A,FALSE,"ECCMP";#N/A,#N/A,FALSE,"WELDER.XLS"}</definedName>
    <definedName name="t_1_2" hidden="1">{#N/A,#N/A,FALSE,"COVER.XLS";#N/A,#N/A,FALSE,"RACT1.XLS";#N/A,#N/A,FALSE,"RACT2.XLS";#N/A,#N/A,FALSE,"ECCMP";#N/A,#N/A,FALSE,"WELDER.XLS"}</definedName>
    <definedName name="t_1_3" hidden="1">{#N/A,#N/A,FALSE,"COVER.XLS";#N/A,#N/A,FALSE,"RACT1.XLS";#N/A,#N/A,FALSE,"RACT2.XLS";#N/A,#N/A,FALSE,"ECCMP";#N/A,#N/A,FALSE,"WELDER.XLS"}</definedName>
    <definedName name="t_1_4" hidden="1">{#N/A,#N/A,FALSE,"COVER.XLS";#N/A,#N/A,FALSE,"RACT1.XLS";#N/A,#N/A,FALSE,"RACT2.XLS";#N/A,#N/A,FALSE,"ECCMP";#N/A,#N/A,FALSE,"WELDER.XLS"}</definedName>
    <definedName name="t_1_5" hidden="1">{#N/A,#N/A,FALSE,"COVER.XLS";#N/A,#N/A,FALSE,"RACT1.XLS";#N/A,#N/A,FALSE,"RACT2.XLS";#N/A,#N/A,FALSE,"ECCMP";#N/A,#N/A,FALSE,"WELDER.XLS"}</definedName>
    <definedName name="t_2" hidden="1">{#N/A,#N/A,FALSE,"COVER.XLS";#N/A,#N/A,FALSE,"RACT1.XLS";#N/A,#N/A,FALSE,"RACT2.XLS";#N/A,#N/A,FALSE,"ECCMP";#N/A,#N/A,FALSE,"WELDER.XLS"}</definedName>
    <definedName name="t_2_1" hidden="1">{#N/A,#N/A,FALSE,"COVER.XLS";#N/A,#N/A,FALSE,"RACT1.XLS";#N/A,#N/A,FALSE,"RACT2.XLS";#N/A,#N/A,FALSE,"ECCMP";#N/A,#N/A,FALSE,"WELDER.XLS"}</definedName>
    <definedName name="t_2_2" hidden="1">{#N/A,#N/A,FALSE,"COVER.XLS";#N/A,#N/A,FALSE,"RACT1.XLS";#N/A,#N/A,FALSE,"RACT2.XLS";#N/A,#N/A,FALSE,"ECCMP";#N/A,#N/A,FALSE,"WELDER.XLS"}</definedName>
    <definedName name="t_2_3" hidden="1">{#N/A,#N/A,FALSE,"COVER.XLS";#N/A,#N/A,FALSE,"RACT1.XLS";#N/A,#N/A,FALSE,"RACT2.XLS";#N/A,#N/A,FALSE,"ECCMP";#N/A,#N/A,FALSE,"WELDER.XLS"}</definedName>
    <definedName name="t_2_4" hidden="1">{#N/A,#N/A,FALSE,"COVER.XLS";#N/A,#N/A,FALSE,"RACT1.XLS";#N/A,#N/A,FALSE,"RACT2.XLS";#N/A,#N/A,FALSE,"ECCMP";#N/A,#N/A,FALSE,"WELDER.XLS"}</definedName>
    <definedName name="t_2_5" hidden="1">{#N/A,#N/A,FALSE,"COVER.XLS";#N/A,#N/A,FALSE,"RACT1.XLS";#N/A,#N/A,FALSE,"RACT2.XLS";#N/A,#N/A,FALSE,"ECCMP";#N/A,#N/A,FALSE,"WELDER.XLS"}</definedName>
    <definedName name="t_3" hidden="1">{#N/A,#N/A,FALSE,"COVER.XLS";#N/A,#N/A,FALSE,"RACT1.XLS";#N/A,#N/A,FALSE,"RACT2.XLS";#N/A,#N/A,FALSE,"ECCMP";#N/A,#N/A,FALSE,"WELDER.XLS"}</definedName>
    <definedName name="t_4" hidden="1">{#N/A,#N/A,FALSE,"COVER.XLS";#N/A,#N/A,FALSE,"RACT1.XLS";#N/A,#N/A,FALSE,"RACT2.XLS";#N/A,#N/A,FALSE,"ECCMP";#N/A,#N/A,FALSE,"WELDER.XLS"}</definedName>
    <definedName name="t_5" hidden="1">{#N/A,#N/A,FALSE,"COVER.XLS";#N/A,#N/A,FALSE,"RACT1.XLS";#N/A,#N/A,FALSE,"RACT2.XLS";#N/A,#N/A,FALSE,"ECCMP";#N/A,#N/A,FALSE,"WELDER.XLS"}</definedName>
    <definedName name="temp" hidden="1">#REF!</definedName>
    <definedName name="test" hidden="1">{#N/A,#N/A,FALSE,"COVER1.XLS ";#N/A,#N/A,FALSE,"RACT1.XLS";#N/A,#N/A,FALSE,"RACT2.XLS";#N/A,#N/A,FALSE,"ECCMP";#N/A,#N/A,FALSE,"WELDER.XLS"}</definedName>
    <definedName name="test_1" hidden="1">{#N/A,#N/A,FALSE,"COVER1.XLS ";#N/A,#N/A,FALSE,"RACT1.XLS";#N/A,#N/A,FALSE,"RACT2.XLS";#N/A,#N/A,FALSE,"ECCMP";#N/A,#N/A,FALSE,"WELDER.XLS"}</definedName>
    <definedName name="test_1_1" hidden="1">{#N/A,#N/A,FALSE,"COVER1.XLS ";#N/A,#N/A,FALSE,"RACT1.XLS";#N/A,#N/A,FALSE,"RACT2.XLS";#N/A,#N/A,FALSE,"ECCMP";#N/A,#N/A,FALSE,"WELDER.XLS"}</definedName>
    <definedName name="test_1_2" hidden="1">{#N/A,#N/A,FALSE,"COVER1.XLS ";#N/A,#N/A,FALSE,"RACT1.XLS";#N/A,#N/A,FALSE,"RACT2.XLS";#N/A,#N/A,FALSE,"ECCMP";#N/A,#N/A,FALSE,"WELDER.XLS"}</definedName>
    <definedName name="test_1_3" hidden="1">{#N/A,#N/A,FALSE,"COVER1.XLS ";#N/A,#N/A,FALSE,"RACT1.XLS";#N/A,#N/A,FALSE,"RACT2.XLS";#N/A,#N/A,FALSE,"ECCMP";#N/A,#N/A,FALSE,"WELDER.XLS"}</definedName>
    <definedName name="test_1_4" hidden="1">{#N/A,#N/A,FALSE,"COVER1.XLS ";#N/A,#N/A,FALSE,"RACT1.XLS";#N/A,#N/A,FALSE,"RACT2.XLS";#N/A,#N/A,FALSE,"ECCMP";#N/A,#N/A,FALSE,"WELDER.XLS"}</definedName>
    <definedName name="test_1_5" hidden="1">{#N/A,#N/A,FALSE,"COVER1.XLS ";#N/A,#N/A,FALSE,"RACT1.XLS";#N/A,#N/A,FALSE,"RACT2.XLS";#N/A,#N/A,FALSE,"ECCMP";#N/A,#N/A,FALSE,"WELDER.XLS"}</definedName>
    <definedName name="test_2" hidden="1">{#N/A,#N/A,FALSE,"COVER1.XLS ";#N/A,#N/A,FALSE,"RACT1.XLS";#N/A,#N/A,FALSE,"RACT2.XLS";#N/A,#N/A,FALSE,"ECCMP";#N/A,#N/A,FALSE,"WELDER.XLS"}</definedName>
    <definedName name="test_2_1" hidden="1">{#N/A,#N/A,FALSE,"COVER1.XLS ";#N/A,#N/A,FALSE,"RACT1.XLS";#N/A,#N/A,FALSE,"RACT2.XLS";#N/A,#N/A,FALSE,"ECCMP";#N/A,#N/A,FALSE,"WELDER.XLS"}</definedName>
    <definedName name="test_2_2" hidden="1">{#N/A,#N/A,FALSE,"COVER1.XLS ";#N/A,#N/A,FALSE,"RACT1.XLS";#N/A,#N/A,FALSE,"RACT2.XLS";#N/A,#N/A,FALSE,"ECCMP";#N/A,#N/A,FALSE,"WELDER.XLS"}</definedName>
    <definedName name="test_2_3" hidden="1">{#N/A,#N/A,FALSE,"COVER1.XLS ";#N/A,#N/A,FALSE,"RACT1.XLS";#N/A,#N/A,FALSE,"RACT2.XLS";#N/A,#N/A,FALSE,"ECCMP";#N/A,#N/A,FALSE,"WELDER.XLS"}</definedName>
    <definedName name="test_2_4" hidden="1">{#N/A,#N/A,FALSE,"COVER1.XLS ";#N/A,#N/A,FALSE,"RACT1.XLS";#N/A,#N/A,FALSE,"RACT2.XLS";#N/A,#N/A,FALSE,"ECCMP";#N/A,#N/A,FALSE,"WELDER.XLS"}</definedName>
    <definedName name="test_2_5" hidden="1">{#N/A,#N/A,FALSE,"COVER1.XLS ";#N/A,#N/A,FALSE,"RACT1.XLS";#N/A,#N/A,FALSE,"RACT2.XLS";#N/A,#N/A,FALSE,"ECCMP";#N/A,#N/A,FALSE,"WELDER.XLS"}</definedName>
    <definedName name="test_3" hidden="1">{#N/A,#N/A,FALSE,"COVER1.XLS ";#N/A,#N/A,FALSE,"RACT1.XLS";#N/A,#N/A,FALSE,"RACT2.XLS";#N/A,#N/A,FALSE,"ECCMP";#N/A,#N/A,FALSE,"WELDER.XLS"}</definedName>
    <definedName name="test_4" hidden="1">{#N/A,#N/A,FALSE,"COVER1.XLS ";#N/A,#N/A,FALSE,"RACT1.XLS";#N/A,#N/A,FALSE,"RACT2.XLS";#N/A,#N/A,FALSE,"ECCMP";#N/A,#N/A,FALSE,"WELDER.XLS"}</definedName>
    <definedName name="test_5" hidden="1">{#N/A,#N/A,FALSE,"COVER1.XLS ";#N/A,#N/A,FALSE,"RACT1.XLS";#N/A,#N/A,FALSE,"RACT2.XLS";#N/A,#N/A,FALSE,"ECCMP";#N/A,#N/A,FALSE,"WELDER.XLS"}</definedName>
    <definedName name="TextRefCopyRangeCount" hidden="1">1</definedName>
    <definedName name="tr" hidden="1">{#N/A,#N/A,FALSE,"COVER.XLS";#N/A,#N/A,FALSE,"RACT1.XLS";#N/A,#N/A,FALSE,"RACT2.XLS";#N/A,#N/A,FALSE,"ECCMP";#N/A,#N/A,FALSE,"WELDER.XLS"}</definedName>
    <definedName name="tr_1" hidden="1">{#N/A,#N/A,FALSE,"COVER.XLS";#N/A,#N/A,FALSE,"RACT1.XLS";#N/A,#N/A,FALSE,"RACT2.XLS";#N/A,#N/A,FALSE,"ECCMP";#N/A,#N/A,FALSE,"WELDER.XLS"}</definedName>
    <definedName name="tr_1_1" hidden="1">{#N/A,#N/A,FALSE,"COVER.XLS";#N/A,#N/A,FALSE,"RACT1.XLS";#N/A,#N/A,FALSE,"RACT2.XLS";#N/A,#N/A,FALSE,"ECCMP";#N/A,#N/A,FALSE,"WELDER.XLS"}</definedName>
    <definedName name="tr_1_2" hidden="1">{#N/A,#N/A,FALSE,"COVER.XLS";#N/A,#N/A,FALSE,"RACT1.XLS";#N/A,#N/A,FALSE,"RACT2.XLS";#N/A,#N/A,FALSE,"ECCMP";#N/A,#N/A,FALSE,"WELDER.XLS"}</definedName>
    <definedName name="tr_1_3" hidden="1">{#N/A,#N/A,FALSE,"COVER.XLS";#N/A,#N/A,FALSE,"RACT1.XLS";#N/A,#N/A,FALSE,"RACT2.XLS";#N/A,#N/A,FALSE,"ECCMP";#N/A,#N/A,FALSE,"WELDER.XLS"}</definedName>
    <definedName name="tr_1_4" hidden="1">{#N/A,#N/A,FALSE,"COVER.XLS";#N/A,#N/A,FALSE,"RACT1.XLS";#N/A,#N/A,FALSE,"RACT2.XLS";#N/A,#N/A,FALSE,"ECCMP";#N/A,#N/A,FALSE,"WELDER.XLS"}</definedName>
    <definedName name="tr_1_5" hidden="1">{#N/A,#N/A,FALSE,"COVER.XLS";#N/A,#N/A,FALSE,"RACT1.XLS";#N/A,#N/A,FALSE,"RACT2.XLS";#N/A,#N/A,FALSE,"ECCMP";#N/A,#N/A,FALSE,"WELDER.XLS"}</definedName>
    <definedName name="tr_2" hidden="1">{#N/A,#N/A,FALSE,"COVER.XLS";#N/A,#N/A,FALSE,"RACT1.XLS";#N/A,#N/A,FALSE,"RACT2.XLS";#N/A,#N/A,FALSE,"ECCMP";#N/A,#N/A,FALSE,"WELDER.XLS"}</definedName>
    <definedName name="tr_2_1" hidden="1">{#N/A,#N/A,FALSE,"COVER.XLS";#N/A,#N/A,FALSE,"RACT1.XLS";#N/A,#N/A,FALSE,"RACT2.XLS";#N/A,#N/A,FALSE,"ECCMP";#N/A,#N/A,FALSE,"WELDER.XLS"}</definedName>
    <definedName name="tr_2_2" hidden="1">{#N/A,#N/A,FALSE,"COVER.XLS";#N/A,#N/A,FALSE,"RACT1.XLS";#N/A,#N/A,FALSE,"RACT2.XLS";#N/A,#N/A,FALSE,"ECCMP";#N/A,#N/A,FALSE,"WELDER.XLS"}</definedName>
    <definedName name="tr_2_3" hidden="1">{#N/A,#N/A,FALSE,"COVER.XLS";#N/A,#N/A,FALSE,"RACT1.XLS";#N/A,#N/A,FALSE,"RACT2.XLS";#N/A,#N/A,FALSE,"ECCMP";#N/A,#N/A,FALSE,"WELDER.XLS"}</definedName>
    <definedName name="tr_2_4" hidden="1">{#N/A,#N/A,FALSE,"COVER.XLS";#N/A,#N/A,FALSE,"RACT1.XLS";#N/A,#N/A,FALSE,"RACT2.XLS";#N/A,#N/A,FALSE,"ECCMP";#N/A,#N/A,FALSE,"WELDER.XLS"}</definedName>
    <definedName name="tr_2_5" hidden="1">{#N/A,#N/A,FALSE,"COVER.XLS";#N/A,#N/A,FALSE,"RACT1.XLS";#N/A,#N/A,FALSE,"RACT2.XLS";#N/A,#N/A,FALSE,"ECCMP";#N/A,#N/A,FALSE,"WELDER.XLS"}</definedName>
    <definedName name="tr_3" hidden="1">{#N/A,#N/A,FALSE,"COVER.XLS";#N/A,#N/A,FALSE,"RACT1.XLS";#N/A,#N/A,FALSE,"RACT2.XLS";#N/A,#N/A,FALSE,"ECCMP";#N/A,#N/A,FALSE,"WELDER.XLS"}</definedName>
    <definedName name="tr_4" hidden="1">{#N/A,#N/A,FALSE,"COVER.XLS";#N/A,#N/A,FALSE,"RACT1.XLS";#N/A,#N/A,FALSE,"RACT2.XLS";#N/A,#N/A,FALSE,"ECCMP";#N/A,#N/A,FALSE,"WELDER.XLS"}</definedName>
    <definedName name="tr_5" hidden="1">{#N/A,#N/A,FALSE,"COVER.XLS";#N/A,#N/A,FALSE,"RACT1.XLS";#N/A,#N/A,FALSE,"RACT2.XLS";#N/A,#N/A,FALSE,"ECCMP";#N/A,#N/A,FALSE,"WELDER.XLS"}</definedName>
    <definedName name="tt"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t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t_1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t_1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t_1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t_1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t_1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t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t_2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t_2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t_2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t_2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t_2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t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t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t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KE" hidden="1">#REF!</definedName>
    <definedName name="Vinod"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sasgfsghxas" hidden="1">{#N/A,#N/A,FALSE,"consu_cover";#N/A,#N/A,FALSE,"consu_strategy";#N/A,#N/A,FALSE,"consu_flow";#N/A,#N/A,FALSE,"Summary_reqmt";#N/A,#N/A,FALSE,"field_ppg";#N/A,#N/A,FALSE,"ppg_shop";#N/A,#N/A,FALSE,"strl";#N/A,#N/A,FALSE,"tankages";#N/A,#N/A,FALSE,"gases"}</definedName>
    <definedName name="vsasgfsghxas_1" hidden="1">{#N/A,#N/A,FALSE,"consu_cover";#N/A,#N/A,FALSE,"consu_strategy";#N/A,#N/A,FALSE,"consu_flow";#N/A,#N/A,FALSE,"Summary_reqmt";#N/A,#N/A,FALSE,"field_ppg";#N/A,#N/A,FALSE,"ppg_shop";#N/A,#N/A,FALSE,"strl";#N/A,#N/A,FALSE,"tankages";#N/A,#N/A,FALSE,"gases"}</definedName>
    <definedName name="vsasgfsghxas_1_1" hidden="1">{#N/A,#N/A,FALSE,"consu_cover";#N/A,#N/A,FALSE,"consu_strategy";#N/A,#N/A,FALSE,"consu_flow";#N/A,#N/A,FALSE,"Summary_reqmt";#N/A,#N/A,FALSE,"field_ppg";#N/A,#N/A,FALSE,"ppg_shop";#N/A,#N/A,FALSE,"strl";#N/A,#N/A,FALSE,"tankages";#N/A,#N/A,FALSE,"gases"}</definedName>
    <definedName name="vsasgfsghxas_1_2" hidden="1">{#N/A,#N/A,FALSE,"consu_cover";#N/A,#N/A,FALSE,"consu_strategy";#N/A,#N/A,FALSE,"consu_flow";#N/A,#N/A,FALSE,"Summary_reqmt";#N/A,#N/A,FALSE,"field_ppg";#N/A,#N/A,FALSE,"ppg_shop";#N/A,#N/A,FALSE,"strl";#N/A,#N/A,FALSE,"tankages";#N/A,#N/A,FALSE,"gases"}</definedName>
    <definedName name="vsasgfsghxas_1_3" hidden="1">{#N/A,#N/A,FALSE,"consu_cover";#N/A,#N/A,FALSE,"consu_strategy";#N/A,#N/A,FALSE,"consu_flow";#N/A,#N/A,FALSE,"Summary_reqmt";#N/A,#N/A,FALSE,"field_ppg";#N/A,#N/A,FALSE,"ppg_shop";#N/A,#N/A,FALSE,"strl";#N/A,#N/A,FALSE,"tankages";#N/A,#N/A,FALSE,"gases"}</definedName>
    <definedName name="vsasgfsghxas_1_4" hidden="1">{#N/A,#N/A,FALSE,"consu_cover";#N/A,#N/A,FALSE,"consu_strategy";#N/A,#N/A,FALSE,"consu_flow";#N/A,#N/A,FALSE,"Summary_reqmt";#N/A,#N/A,FALSE,"field_ppg";#N/A,#N/A,FALSE,"ppg_shop";#N/A,#N/A,FALSE,"strl";#N/A,#N/A,FALSE,"tankages";#N/A,#N/A,FALSE,"gases"}</definedName>
    <definedName name="vsasgfsghxas_1_5" hidden="1">{#N/A,#N/A,FALSE,"consu_cover";#N/A,#N/A,FALSE,"consu_strategy";#N/A,#N/A,FALSE,"consu_flow";#N/A,#N/A,FALSE,"Summary_reqmt";#N/A,#N/A,FALSE,"field_ppg";#N/A,#N/A,FALSE,"ppg_shop";#N/A,#N/A,FALSE,"strl";#N/A,#N/A,FALSE,"tankages";#N/A,#N/A,FALSE,"gases"}</definedName>
    <definedName name="vsasgfsghxas_2" hidden="1">{#N/A,#N/A,FALSE,"consu_cover";#N/A,#N/A,FALSE,"consu_strategy";#N/A,#N/A,FALSE,"consu_flow";#N/A,#N/A,FALSE,"Summary_reqmt";#N/A,#N/A,FALSE,"field_ppg";#N/A,#N/A,FALSE,"ppg_shop";#N/A,#N/A,FALSE,"strl";#N/A,#N/A,FALSE,"tankages";#N/A,#N/A,FALSE,"gases"}</definedName>
    <definedName name="vsasgfsghxas_2_1" hidden="1">{#N/A,#N/A,FALSE,"consu_cover";#N/A,#N/A,FALSE,"consu_strategy";#N/A,#N/A,FALSE,"consu_flow";#N/A,#N/A,FALSE,"Summary_reqmt";#N/A,#N/A,FALSE,"field_ppg";#N/A,#N/A,FALSE,"ppg_shop";#N/A,#N/A,FALSE,"strl";#N/A,#N/A,FALSE,"tankages";#N/A,#N/A,FALSE,"gases"}</definedName>
    <definedName name="vsasgfsghxas_2_2" hidden="1">{#N/A,#N/A,FALSE,"consu_cover";#N/A,#N/A,FALSE,"consu_strategy";#N/A,#N/A,FALSE,"consu_flow";#N/A,#N/A,FALSE,"Summary_reqmt";#N/A,#N/A,FALSE,"field_ppg";#N/A,#N/A,FALSE,"ppg_shop";#N/A,#N/A,FALSE,"strl";#N/A,#N/A,FALSE,"tankages";#N/A,#N/A,FALSE,"gases"}</definedName>
    <definedName name="vsasgfsghxas_2_3" hidden="1">{#N/A,#N/A,FALSE,"consu_cover";#N/A,#N/A,FALSE,"consu_strategy";#N/A,#N/A,FALSE,"consu_flow";#N/A,#N/A,FALSE,"Summary_reqmt";#N/A,#N/A,FALSE,"field_ppg";#N/A,#N/A,FALSE,"ppg_shop";#N/A,#N/A,FALSE,"strl";#N/A,#N/A,FALSE,"tankages";#N/A,#N/A,FALSE,"gases"}</definedName>
    <definedName name="vsasgfsghxas_2_4" hidden="1">{#N/A,#N/A,FALSE,"consu_cover";#N/A,#N/A,FALSE,"consu_strategy";#N/A,#N/A,FALSE,"consu_flow";#N/A,#N/A,FALSE,"Summary_reqmt";#N/A,#N/A,FALSE,"field_ppg";#N/A,#N/A,FALSE,"ppg_shop";#N/A,#N/A,FALSE,"strl";#N/A,#N/A,FALSE,"tankages";#N/A,#N/A,FALSE,"gases"}</definedName>
    <definedName name="vsasgfsghxas_2_5" hidden="1">{#N/A,#N/A,FALSE,"consu_cover";#N/A,#N/A,FALSE,"consu_strategy";#N/A,#N/A,FALSE,"consu_flow";#N/A,#N/A,FALSE,"Summary_reqmt";#N/A,#N/A,FALSE,"field_ppg";#N/A,#N/A,FALSE,"ppg_shop";#N/A,#N/A,FALSE,"strl";#N/A,#N/A,FALSE,"tankages";#N/A,#N/A,FALSE,"gases"}</definedName>
    <definedName name="vsasgfsghxas_3" hidden="1">{#N/A,#N/A,FALSE,"consu_cover";#N/A,#N/A,FALSE,"consu_strategy";#N/A,#N/A,FALSE,"consu_flow";#N/A,#N/A,FALSE,"Summary_reqmt";#N/A,#N/A,FALSE,"field_ppg";#N/A,#N/A,FALSE,"ppg_shop";#N/A,#N/A,FALSE,"strl";#N/A,#N/A,FALSE,"tankages";#N/A,#N/A,FALSE,"gases"}</definedName>
    <definedName name="vsasgfsghxas_4" hidden="1">{#N/A,#N/A,FALSE,"consu_cover";#N/A,#N/A,FALSE,"consu_strategy";#N/A,#N/A,FALSE,"consu_flow";#N/A,#N/A,FALSE,"Summary_reqmt";#N/A,#N/A,FALSE,"field_ppg";#N/A,#N/A,FALSE,"ppg_shop";#N/A,#N/A,FALSE,"strl";#N/A,#N/A,FALSE,"tankages";#N/A,#N/A,FALSE,"gases"}</definedName>
    <definedName name="vsasgfsghxas_5" hidden="1">{#N/A,#N/A,FALSE,"consu_cover";#N/A,#N/A,FALSE,"consu_strategy";#N/A,#N/A,FALSE,"consu_flow";#N/A,#N/A,FALSE,"Summary_reqmt";#N/A,#N/A,FALSE,"field_ppg";#N/A,#N/A,FALSE,"ppg_shop";#N/A,#N/A,FALSE,"strl";#N/A,#N/A,FALSE,"tankages";#N/A,#N/A,FALSE,"gases"}</definedName>
    <definedName name="vss" hidden="1">{#N/A,#N/A,FALSE,"str_title";#N/A,#N/A,FALSE,"SUM";#N/A,#N/A,FALSE,"Scope";#N/A,#N/A,FALSE,"PIE-Jn";#N/A,#N/A,FALSE,"PIE-Jn_Hz";#N/A,#N/A,FALSE,"Liq_Plan";#N/A,#N/A,FALSE,"S_Curve";#N/A,#N/A,FALSE,"Liq_Prof";#N/A,#N/A,FALSE,"Man_Pwr";#N/A,#N/A,FALSE,"Man_Prof"}</definedName>
    <definedName name="VV" hidden="1">{#N/A,#N/A,FALSE,"consu_cover";#N/A,#N/A,FALSE,"consu_strategy";#N/A,#N/A,FALSE,"consu_flow";#N/A,#N/A,FALSE,"Summary_reqmt";#N/A,#N/A,FALSE,"field_ppg";#N/A,#N/A,FALSE,"ppg_shop";#N/A,#N/A,FALSE,"strl";#N/A,#N/A,FALSE,"tankages";#N/A,#N/A,FALSE,"gases"}</definedName>
    <definedName name="VV_1" hidden="1">{#N/A,#N/A,FALSE,"consu_cover";#N/A,#N/A,FALSE,"consu_strategy";#N/A,#N/A,FALSE,"consu_flow";#N/A,#N/A,FALSE,"Summary_reqmt";#N/A,#N/A,FALSE,"field_ppg";#N/A,#N/A,FALSE,"ppg_shop";#N/A,#N/A,FALSE,"strl";#N/A,#N/A,FALSE,"tankages";#N/A,#N/A,FALSE,"gases"}</definedName>
    <definedName name="VV_2" hidden="1">{#N/A,#N/A,FALSE,"consu_cover";#N/A,#N/A,FALSE,"consu_strategy";#N/A,#N/A,FALSE,"consu_flow";#N/A,#N/A,FALSE,"Summary_reqmt";#N/A,#N/A,FALSE,"field_ppg";#N/A,#N/A,FALSE,"ppg_shop";#N/A,#N/A,FALSE,"strl";#N/A,#N/A,FALSE,"tankages";#N/A,#N/A,FALSE,"gases"}</definedName>
    <definedName name="VV_3" hidden="1">{#N/A,#N/A,FALSE,"consu_cover";#N/A,#N/A,FALSE,"consu_strategy";#N/A,#N/A,FALSE,"consu_flow";#N/A,#N/A,FALSE,"Summary_reqmt";#N/A,#N/A,FALSE,"field_ppg";#N/A,#N/A,FALSE,"ppg_shop";#N/A,#N/A,FALSE,"strl";#N/A,#N/A,FALSE,"tankages";#N/A,#N/A,FALSE,"gases"}</definedName>
    <definedName name="VV_4" hidden="1">{#N/A,#N/A,FALSE,"consu_cover";#N/A,#N/A,FALSE,"consu_strategy";#N/A,#N/A,FALSE,"consu_flow";#N/A,#N/A,FALSE,"Summary_reqmt";#N/A,#N/A,FALSE,"field_ppg";#N/A,#N/A,FALSE,"ppg_shop";#N/A,#N/A,FALSE,"strl";#N/A,#N/A,FALSE,"tankages";#N/A,#N/A,FALSE,"gases"}</definedName>
    <definedName name="VV_5" hidden="1">{#N/A,#N/A,FALSE,"consu_cover";#N/A,#N/A,FALSE,"consu_strategy";#N/A,#N/A,FALSE,"consu_flow";#N/A,#N/A,FALSE,"Summary_reqmt";#N/A,#N/A,FALSE,"field_ppg";#N/A,#N/A,FALSE,"ppg_shop";#N/A,#N/A,FALSE,"strl";#N/A,#N/A,FALSE,"tankages";#N/A,#N/A,FALSE,"gases"}</definedName>
    <definedName name="w"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_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_1_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_1_2"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_1_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_1_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_1_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_2"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_2_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_2_2"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_2_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_2_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_2_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_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_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_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 hidden="1">{#N/A,#N/A,FALSE,"17MAY";#N/A,#N/A,FALSE,"24MAY"}</definedName>
    <definedName name="wr.Brookfield._.Notes." hidden="1">{#N/A,#N/A,FALSE,"Note 2";#N/A,#N/A,FALSE,"Note 3";#N/A,#N/A,FALSE,"Note 4";#N/A,#N/A,FALSE,"Note 5";#N/A,#N/A,FALSE,"Note 6";#N/A,#N/A,FALSE,"Note 10"}</definedName>
    <definedName name="wr_1" hidden="1">{#N/A,#N/A,FALSE,"17MAY";#N/A,#N/A,FALSE,"24MAY"}</definedName>
    <definedName name="wr_1_1" hidden="1">{#N/A,#N/A,FALSE,"17MAY";#N/A,#N/A,FALSE,"24MAY"}</definedName>
    <definedName name="wr_1_2" hidden="1">{#N/A,#N/A,FALSE,"17MAY";#N/A,#N/A,FALSE,"24MAY"}</definedName>
    <definedName name="wr_1_3" hidden="1">{#N/A,#N/A,FALSE,"17MAY";#N/A,#N/A,FALSE,"24MAY"}</definedName>
    <definedName name="wr_1_4" hidden="1">{#N/A,#N/A,FALSE,"17MAY";#N/A,#N/A,FALSE,"24MAY"}</definedName>
    <definedName name="wr_1_5" hidden="1">{#N/A,#N/A,FALSE,"17MAY";#N/A,#N/A,FALSE,"24MAY"}</definedName>
    <definedName name="wr_2" hidden="1">{#N/A,#N/A,FALSE,"17MAY";#N/A,#N/A,FALSE,"24MAY"}</definedName>
    <definedName name="wr_2_1" hidden="1">{#N/A,#N/A,FALSE,"17MAY";#N/A,#N/A,FALSE,"24MAY"}</definedName>
    <definedName name="wr_2_2" hidden="1">{#N/A,#N/A,FALSE,"17MAY";#N/A,#N/A,FALSE,"24MAY"}</definedName>
    <definedName name="wr_2_3" hidden="1">{#N/A,#N/A,FALSE,"17MAY";#N/A,#N/A,FALSE,"24MAY"}</definedName>
    <definedName name="wr_2_4" hidden="1">{#N/A,#N/A,FALSE,"17MAY";#N/A,#N/A,FALSE,"24MAY"}</definedName>
    <definedName name="wr_2_5" hidden="1">{#N/A,#N/A,FALSE,"17MAY";#N/A,#N/A,FALSE,"24MAY"}</definedName>
    <definedName name="wr_3" hidden="1">{#N/A,#N/A,FALSE,"17MAY";#N/A,#N/A,FALSE,"24MAY"}</definedName>
    <definedName name="wr_4" hidden="1">{#N/A,#N/A,FALSE,"17MAY";#N/A,#N/A,FALSE,"24MAY"}</definedName>
    <definedName name="wr_5" hidden="1">{#N/A,#N/A,FALSE,"17MAY";#N/A,#N/A,FALSE,"24MAY"}</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1._1" hidden="1">{#N/A,#N/A,FALSE,"17MAY";#N/A,#N/A,FALSE,"24MAY"}</definedName>
    <definedName name="wrn.1._1_1" hidden="1">{#N/A,#N/A,FALSE,"17MAY";#N/A,#N/A,FALSE,"24MAY"}</definedName>
    <definedName name="wrn.1._1_2" hidden="1">{#N/A,#N/A,FALSE,"17MAY";#N/A,#N/A,FALSE,"24MAY"}</definedName>
    <definedName name="wrn.1._1_3" hidden="1">{#N/A,#N/A,FALSE,"17MAY";#N/A,#N/A,FALSE,"24MAY"}</definedName>
    <definedName name="wrn.1._1_4" hidden="1">{#N/A,#N/A,FALSE,"17MAY";#N/A,#N/A,FALSE,"24MAY"}</definedName>
    <definedName name="wrn.1._1_5" hidden="1">{#N/A,#N/A,FALSE,"17MAY";#N/A,#N/A,FALSE,"24MAY"}</definedName>
    <definedName name="wrn.1._2" hidden="1">{#N/A,#N/A,FALSE,"17MAY";#N/A,#N/A,FALSE,"24MAY"}</definedName>
    <definedName name="wrn.1._2_1" hidden="1">{#N/A,#N/A,FALSE,"17MAY";#N/A,#N/A,FALSE,"24MAY"}</definedName>
    <definedName name="wrn.1._2_2" hidden="1">{#N/A,#N/A,FALSE,"17MAY";#N/A,#N/A,FALSE,"24MAY"}</definedName>
    <definedName name="wrn.1._2_3" hidden="1">{#N/A,#N/A,FALSE,"17MAY";#N/A,#N/A,FALSE,"24MAY"}</definedName>
    <definedName name="wrn.1._2_4" hidden="1">{#N/A,#N/A,FALSE,"17MAY";#N/A,#N/A,FALSE,"24MAY"}</definedName>
    <definedName name="wrn.1._2_5" hidden="1">{#N/A,#N/A,FALSE,"17MAY";#N/A,#N/A,FALSE,"24MAY"}</definedName>
    <definedName name="wrn.1._3" hidden="1">{#N/A,#N/A,FALSE,"17MAY";#N/A,#N/A,FALSE,"24MAY"}</definedName>
    <definedName name="wrn.1._4" hidden="1">{#N/A,#N/A,FALSE,"17MAY";#N/A,#N/A,FALSE,"24MAY"}</definedName>
    <definedName name="wrn.1._5" hidden="1">{#N/A,#N/A,FALSE,"17MAY";#N/A,#N/A,FALSE,"24MAY"}</definedName>
    <definedName name="wrn.2.2" hidden="1">{#N/A,#N/A,FALSE,"17MAY";#N/A,#N/A,FALSE,"24MAY"}</definedName>
    <definedName name="wrn.2.2_1" hidden="1">{#N/A,#N/A,FALSE,"17MAY";#N/A,#N/A,FALSE,"24MAY"}</definedName>
    <definedName name="wrn.2.2_1_1" hidden="1">{#N/A,#N/A,FALSE,"17MAY";#N/A,#N/A,FALSE,"24MAY"}</definedName>
    <definedName name="wrn.2.2_1_2" hidden="1">{#N/A,#N/A,FALSE,"17MAY";#N/A,#N/A,FALSE,"24MAY"}</definedName>
    <definedName name="wrn.2.2_1_3" hidden="1">{#N/A,#N/A,FALSE,"17MAY";#N/A,#N/A,FALSE,"24MAY"}</definedName>
    <definedName name="wrn.2.2_1_4" hidden="1">{#N/A,#N/A,FALSE,"17MAY";#N/A,#N/A,FALSE,"24MAY"}</definedName>
    <definedName name="wrn.2.2_1_5" hidden="1">{#N/A,#N/A,FALSE,"17MAY";#N/A,#N/A,FALSE,"24MAY"}</definedName>
    <definedName name="wrn.2.2_2" hidden="1">{#N/A,#N/A,FALSE,"17MAY";#N/A,#N/A,FALSE,"24MAY"}</definedName>
    <definedName name="wrn.2.2_2_1" hidden="1">{#N/A,#N/A,FALSE,"17MAY";#N/A,#N/A,FALSE,"24MAY"}</definedName>
    <definedName name="wrn.2.2_2_2" hidden="1">{#N/A,#N/A,FALSE,"17MAY";#N/A,#N/A,FALSE,"24MAY"}</definedName>
    <definedName name="wrn.2.2_2_3" hidden="1">{#N/A,#N/A,FALSE,"17MAY";#N/A,#N/A,FALSE,"24MAY"}</definedName>
    <definedName name="wrn.2.2_2_4" hidden="1">{#N/A,#N/A,FALSE,"17MAY";#N/A,#N/A,FALSE,"24MAY"}</definedName>
    <definedName name="wrn.2.2_2_5" hidden="1">{#N/A,#N/A,FALSE,"17MAY";#N/A,#N/A,FALSE,"24MAY"}</definedName>
    <definedName name="wrn.2.2_3" hidden="1">{#N/A,#N/A,FALSE,"17MAY";#N/A,#N/A,FALSE,"24MAY"}</definedName>
    <definedName name="wrn.2.2_4" hidden="1">{#N/A,#N/A,FALSE,"17MAY";#N/A,#N/A,FALSE,"24MAY"}</definedName>
    <definedName name="wrn.2.2_5" hidden="1">{#N/A,#N/A,FALSE,"17MAY";#N/A,#N/A,FALSE,"24MAY"}</definedName>
    <definedName name="wrn.access." hidden="1">{"Access",#N/A,FALSE,"Access"}</definedName>
    <definedName name="wrn.Aging._.and._.Trend._.Analysis." hidden="1">{#N/A,#N/A,FALSE,"Aging Summary";#N/A,#N/A,FALSE,"Ratio Analysis";#N/A,#N/A,FALSE,"Test 120 Day Accts";#N/A,#N/A,FALSE,"Tickmarks"}</definedName>
    <definedName name="wrn.Aging._.and._.Trend._.Analysis._1" hidden="1">{#N/A,#N/A,FALSE,"Aging Summary";#N/A,#N/A,FALSE,"Ratio Analysis";#N/A,#N/A,FALSE,"Test 120 Day Accts";#N/A,#N/A,FALSE,"Tickmarks"}</definedName>
    <definedName name="wrn.Aging._.and._.Trend._.Analysis._2" hidden="1">{#N/A,#N/A,FALSE,"Aging Summary";#N/A,#N/A,FALSE,"Ratio Analysis";#N/A,#N/A,FALSE,"Test 120 Day Accts";#N/A,#N/A,FALSE,"Tickmarks"}</definedName>
    <definedName name="wrn.Aging._.and._.Trend._.Analysis._3" hidden="1">{#N/A,#N/A,FALSE,"Aging Summary";#N/A,#N/A,FALSE,"Ratio Analysis";#N/A,#N/A,FALSE,"Test 120 Day Accts";#N/A,#N/A,FALSE,"Tickmarks"}</definedName>
    <definedName name="wrn.Aging._.and._.Trend._.Analysis._4" hidden="1">{#N/A,#N/A,FALSE,"Aging Summary";#N/A,#N/A,FALSE,"Ratio Analysis";#N/A,#N/A,FALSE,"Test 120 Day Accts";#N/A,#N/A,FALSE,"Tickmarks"}</definedName>
    <definedName name="wrn.Aging._.and._.Trend._.Analysis._5" hidden="1">{#N/A,#N/A,FALSE,"Aging Summary";#N/A,#N/A,FALSE,"Ratio Analysis";#N/A,#N/A,FALSE,"Test 120 Day Accts";#N/A,#N/A,FALSE,"Tickmarks"}</definedName>
    <definedName name="wrn.Audit._.Prog.." hidden="1">{#N/A,#N/A,FALSE,"Sheet5";#N/A,#N/A,FALSE,"Sheet5";#N/A,#N/A,FALSE,"Sheet5"}</definedName>
    <definedName name="wrn.Brookfield._.Notes." hidden="1">{#N/A,#N/A,FALSE,"Note 2";#N/A,#N/A,FALSE,"Note 3";#N/A,#N/A,FALSE,"Note 4";#N/A,#N/A,FALSE,"Note 5";#N/A,#N/A,FALSE,"Note 6";#N/A,#N/A,FALSE,"Note 10"}</definedName>
    <definedName name="wrn.Budget._.Report." hidden="1">{#N/A,#N/A,FALSE,"Cover Page";#N/A,#N/A,FALSE,"Brookfield Consolidated";#N/A,#N/A,FALSE,"Marketable Sec.";#N/A,#N/A,FALSE,"Acct. &amp; Loans Rec.";#N/A,#N/A,FALSE,"Brookfield Homes";#N/A,#N/A,FALSE,"Carma Developers";#N/A,#N/A,FALSE,"Brookfield CP";#N/A,#N/A,FALSE,"World Financial Center Props.";#N/A,#N/A,FALSE,"Other Assets";#N/A,#N/A,FALSE,"Accounts Payable";#N/A,#N/A,FALSE,"Liabilities";#N/A,#N/A,FALSE,"Minority Interests";#N/A,#N/A,FALSE,"Conv Debs";#N/A,#N/A,FALSE,"Preferred Shares";#N/A,#N/A,FALSE,"Assumptions"}</definedName>
    <definedName name="wrn.checks." hidden="1">{"Checks",#N/A,FALSE,"Checks"}</definedName>
    <definedName name="wrn.Complete._.Model." hidden="1">{#N/A,#N/A,FALSE,"Assumptions";#N/A,#N/A,FALSE,"AcqShares";#N/A,#N/A,FALSE,"TgtShares";#N/A,#N/A,FALSE,"Acq IS";#N/A,#N/A,FALSE,"Tgt IS";#N/A,#N/A,FALSE,"PFIS";#N/A,#N/A,FALSE,"MergerAnalysis";#N/A,#N/A,FALSE,"Contribution";#N/A,#N/A,FALSE,"SumStat"}</definedName>
    <definedName name="wrn.Complete._.report." hidden="1">{"Plant Parameters",#N/A,FALSE,"Total Project Economics";"summary1",#N/A,FALSE,"Total Project Economics";"Tariffs_Unit Prices_Costs",#N/A,FALSE,"Total Project Economics";"Financials",#N/A,FALSE,"Total Project Economics"}</definedName>
    <definedName name="wrn.consumable." hidden="1">{#N/A,#N/A,FALSE,"consu_cover";#N/A,#N/A,FALSE,"consu_strategy";#N/A,#N/A,FALSE,"consu_flow";#N/A,#N/A,FALSE,"Summary_reqmt";#N/A,#N/A,FALSE,"field_ppg";#N/A,#N/A,FALSE,"ppg_shop";#N/A,#N/A,FALSE,"strl";#N/A,#N/A,FALSE,"tankages";#N/A,#N/A,FALSE,"gases"}</definedName>
    <definedName name="wrn.consumable._1" hidden="1">{#N/A,#N/A,FALSE,"consu_cover";#N/A,#N/A,FALSE,"consu_strategy";#N/A,#N/A,FALSE,"consu_flow";#N/A,#N/A,FALSE,"Summary_reqmt";#N/A,#N/A,FALSE,"field_ppg";#N/A,#N/A,FALSE,"ppg_shop";#N/A,#N/A,FALSE,"strl";#N/A,#N/A,FALSE,"tankages";#N/A,#N/A,FALSE,"gases"}</definedName>
    <definedName name="wrn.consumable._1_1" hidden="1">{#N/A,#N/A,FALSE,"consu_cover";#N/A,#N/A,FALSE,"consu_strategy";#N/A,#N/A,FALSE,"consu_flow";#N/A,#N/A,FALSE,"Summary_reqmt";#N/A,#N/A,FALSE,"field_ppg";#N/A,#N/A,FALSE,"ppg_shop";#N/A,#N/A,FALSE,"strl";#N/A,#N/A,FALSE,"tankages";#N/A,#N/A,FALSE,"gases"}</definedName>
    <definedName name="wrn.consumable._1_2" hidden="1">{#N/A,#N/A,FALSE,"consu_cover";#N/A,#N/A,FALSE,"consu_strategy";#N/A,#N/A,FALSE,"consu_flow";#N/A,#N/A,FALSE,"Summary_reqmt";#N/A,#N/A,FALSE,"field_ppg";#N/A,#N/A,FALSE,"ppg_shop";#N/A,#N/A,FALSE,"strl";#N/A,#N/A,FALSE,"tankages";#N/A,#N/A,FALSE,"gases"}</definedName>
    <definedName name="wrn.consumable._1_3" hidden="1">{#N/A,#N/A,FALSE,"consu_cover";#N/A,#N/A,FALSE,"consu_strategy";#N/A,#N/A,FALSE,"consu_flow";#N/A,#N/A,FALSE,"Summary_reqmt";#N/A,#N/A,FALSE,"field_ppg";#N/A,#N/A,FALSE,"ppg_shop";#N/A,#N/A,FALSE,"strl";#N/A,#N/A,FALSE,"tankages";#N/A,#N/A,FALSE,"gases"}</definedName>
    <definedName name="wrn.consumable._1_4" hidden="1">{#N/A,#N/A,FALSE,"consu_cover";#N/A,#N/A,FALSE,"consu_strategy";#N/A,#N/A,FALSE,"consu_flow";#N/A,#N/A,FALSE,"Summary_reqmt";#N/A,#N/A,FALSE,"field_ppg";#N/A,#N/A,FALSE,"ppg_shop";#N/A,#N/A,FALSE,"strl";#N/A,#N/A,FALSE,"tankages";#N/A,#N/A,FALSE,"gases"}</definedName>
    <definedName name="wrn.consumable._1_5" hidden="1">{#N/A,#N/A,FALSE,"consu_cover";#N/A,#N/A,FALSE,"consu_strategy";#N/A,#N/A,FALSE,"consu_flow";#N/A,#N/A,FALSE,"Summary_reqmt";#N/A,#N/A,FALSE,"field_ppg";#N/A,#N/A,FALSE,"ppg_shop";#N/A,#N/A,FALSE,"strl";#N/A,#N/A,FALSE,"tankages";#N/A,#N/A,FALSE,"gases"}</definedName>
    <definedName name="wrn.consumable._2" hidden="1">{#N/A,#N/A,FALSE,"consu_cover";#N/A,#N/A,FALSE,"consu_strategy";#N/A,#N/A,FALSE,"consu_flow";#N/A,#N/A,FALSE,"Summary_reqmt";#N/A,#N/A,FALSE,"field_ppg";#N/A,#N/A,FALSE,"ppg_shop";#N/A,#N/A,FALSE,"strl";#N/A,#N/A,FALSE,"tankages";#N/A,#N/A,FALSE,"gases"}</definedName>
    <definedName name="wrn.consumable._2_1" hidden="1">{#N/A,#N/A,FALSE,"consu_cover";#N/A,#N/A,FALSE,"consu_strategy";#N/A,#N/A,FALSE,"consu_flow";#N/A,#N/A,FALSE,"Summary_reqmt";#N/A,#N/A,FALSE,"field_ppg";#N/A,#N/A,FALSE,"ppg_shop";#N/A,#N/A,FALSE,"strl";#N/A,#N/A,FALSE,"tankages";#N/A,#N/A,FALSE,"gases"}</definedName>
    <definedName name="wrn.consumable._2_2" hidden="1">{#N/A,#N/A,FALSE,"consu_cover";#N/A,#N/A,FALSE,"consu_strategy";#N/A,#N/A,FALSE,"consu_flow";#N/A,#N/A,FALSE,"Summary_reqmt";#N/A,#N/A,FALSE,"field_ppg";#N/A,#N/A,FALSE,"ppg_shop";#N/A,#N/A,FALSE,"strl";#N/A,#N/A,FALSE,"tankages";#N/A,#N/A,FALSE,"gases"}</definedName>
    <definedName name="wrn.consumable._2_3" hidden="1">{#N/A,#N/A,FALSE,"consu_cover";#N/A,#N/A,FALSE,"consu_strategy";#N/A,#N/A,FALSE,"consu_flow";#N/A,#N/A,FALSE,"Summary_reqmt";#N/A,#N/A,FALSE,"field_ppg";#N/A,#N/A,FALSE,"ppg_shop";#N/A,#N/A,FALSE,"strl";#N/A,#N/A,FALSE,"tankages";#N/A,#N/A,FALSE,"gases"}</definedName>
    <definedName name="wrn.consumable._2_4" hidden="1">{#N/A,#N/A,FALSE,"consu_cover";#N/A,#N/A,FALSE,"consu_strategy";#N/A,#N/A,FALSE,"consu_flow";#N/A,#N/A,FALSE,"Summary_reqmt";#N/A,#N/A,FALSE,"field_ppg";#N/A,#N/A,FALSE,"ppg_shop";#N/A,#N/A,FALSE,"strl";#N/A,#N/A,FALSE,"tankages";#N/A,#N/A,FALSE,"gases"}</definedName>
    <definedName name="wrn.consumable._2_5" hidden="1">{#N/A,#N/A,FALSE,"consu_cover";#N/A,#N/A,FALSE,"consu_strategy";#N/A,#N/A,FALSE,"consu_flow";#N/A,#N/A,FALSE,"Summary_reqmt";#N/A,#N/A,FALSE,"field_ppg";#N/A,#N/A,FALSE,"ppg_shop";#N/A,#N/A,FALSE,"strl";#N/A,#N/A,FALSE,"tankages";#N/A,#N/A,FALSE,"gases"}</definedName>
    <definedName name="wrn.consumable._3" hidden="1">{#N/A,#N/A,FALSE,"consu_cover";#N/A,#N/A,FALSE,"consu_strategy";#N/A,#N/A,FALSE,"consu_flow";#N/A,#N/A,FALSE,"Summary_reqmt";#N/A,#N/A,FALSE,"field_ppg";#N/A,#N/A,FALSE,"ppg_shop";#N/A,#N/A,FALSE,"strl";#N/A,#N/A,FALSE,"tankages";#N/A,#N/A,FALSE,"gases"}</definedName>
    <definedName name="wrn.consumable._4" hidden="1">{#N/A,#N/A,FALSE,"consu_cover";#N/A,#N/A,FALSE,"consu_strategy";#N/A,#N/A,FALSE,"consu_flow";#N/A,#N/A,FALSE,"Summary_reqmt";#N/A,#N/A,FALSE,"field_ppg";#N/A,#N/A,FALSE,"ppg_shop";#N/A,#N/A,FALSE,"strl";#N/A,#N/A,FALSE,"tankages";#N/A,#N/A,FALSE,"gases"}</definedName>
    <definedName name="wrn.consumable._5" hidden="1">{#N/A,#N/A,FALSE,"consu_cover";#N/A,#N/A,FALSE,"consu_strategy";#N/A,#N/A,FALSE,"consu_flow";#N/A,#N/A,FALSE,"Summary_reqmt";#N/A,#N/A,FALSE,"field_ppg";#N/A,#N/A,FALSE,"ppg_shop";#N/A,#N/A,FALSE,"strl";#N/A,#N/A,FALSE,"tankages";#N/A,#N/A,FALSE,"gases"}</definedName>
    <definedName name="wrn.contvar." hidden="1">{#N/A,"ContVar for 00-01",FALSE,"Contribution";#N/A,"ContVar for QI",FALSE,"Contribution";#N/A,"Contvar for Mon",FALSE,"Contribution"}</definedName>
    <definedName name="wrn.contvar._1" hidden="1">{#N/A,"ContVar for 00-01",FALSE,"Contribution";#N/A,"ContVar for QI",FALSE,"Contribution";#N/A,"Contvar for Mon",FALSE,"Contribution"}</definedName>
    <definedName name="wrn.contvar._1_1" hidden="1">{#N/A,"ContVar for 00-01",FALSE,"Contribution";#N/A,"ContVar for QI",FALSE,"Contribution";#N/A,"Contvar for Mon",FALSE,"Contribution"}</definedName>
    <definedName name="wrn.contvar._1_2" hidden="1">{#N/A,"ContVar for 00-01",FALSE,"Contribution";#N/A,"ContVar for QI",FALSE,"Contribution";#N/A,"Contvar for Mon",FALSE,"Contribution"}</definedName>
    <definedName name="wrn.contvar._1_3" hidden="1">{#N/A,"ContVar for 00-01",FALSE,"Contribution";#N/A,"ContVar for QI",FALSE,"Contribution";#N/A,"Contvar for Mon",FALSE,"Contribution"}</definedName>
    <definedName name="wrn.contvar._1_4" hidden="1">{#N/A,"ContVar for 00-01",FALSE,"Contribution";#N/A,"ContVar for QI",FALSE,"Contribution";#N/A,"Contvar for Mon",FALSE,"Contribution"}</definedName>
    <definedName name="wrn.contvar._1_5" hidden="1">{#N/A,"ContVar for 00-01",FALSE,"Contribution";#N/A,"ContVar for QI",FALSE,"Contribution";#N/A,"Contvar for Mon",FALSE,"Contribution"}</definedName>
    <definedName name="wrn.contvar._2" hidden="1">{#N/A,"ContVar for 00-01",FALSE,"Contribution";#N/A,"ContVar for QI",FALSE,"Contribution";#N/A,"Contvar for Mon",FALSE,"Contribution"}</definedName>
    <definedName name="wrn.contvar._2_1" hidden="1">{#N/A,"ContVar for 00-01",FALSE,"Contribution";#N/A,"ContVar for QI",FALSE,"Contribution";#N/A,"Contvar for Mon",FALSE,"Contribution"}</definedName>
    <definedName name="wrn.contvar._2_2" hidden="1">{#N/A,"ContVar for 00-01",FALSE,"Contribution";#N/A,"ContVar for QI",FALSE,"Contribution";#N/A,"Contvar for Mon",FALSE,"Contribution"}</definedName>
    <definedName name="wrn.contvar._2_3" hidden="1">{#N/A,"ContVar for 00-01",FALSE,"Contribution";#N/A,"ContVar for QI",FALSE,"Contribution";#N/A,"Contvar for Mon",FALSE,"Contribution"}</definedName>
    <definedName name="wrn.contvar._2_4" hidden="1">{#N/A,"ContVar for 00-01",FALSE,"Contribution";#N/A,"ContVar for QI",FALSE,"Contribution";#N/A,"Contvar for Mon",FALSE,"Contribution"}</definedName>
    <definedName name="wrn.contvar._2_5" hidden="1">{#N/A,"ContVar for 00-01",FALSE,"Contribution";#N/A,"ContVar for QI",FALSE,"Contribution";#N/A,"Contvar for Mon",FALSE,"Contribution"}</definedName>
    <definedName name="wrn.contvar._3" hidden="1">{#N/A,"ContVar for 00-01",FALSE,"Contribution";#N/A,"ContVar for QI",FALSE,"Contribution";#N/A,"Contvar for Mon",FALSE,"Contribution"}</definedName>
    <definedName name="wrn.contvar._4" hidden="1">{#N/A,"ContVar for 00-01",FALSE,"Contribution";#N/A,"ContVar for QI",FALSE,"Contribution";#N/A,"Contvar for Mon",FALSE,"Contribution"}</definedName>
    <definedName name="wrn.contvar._5" hidden="1">{#N/A,"ContVar for 00-01",FALSE,"Contribution";#N/A,"ContVar for QI",FALSE,"Contribution";#N/A,"Contvar for Mon",FALSE,"Contribution"}</definedName>
    <definedName name="wrn.DCF." hidden="1">{#N/A,#N/A,FALSE,"DCF-COM";#N/A,#N/A,FALSE,"VAC-COM"}</definedName>
    <definedName name="wrn.dg." hidden="1">{#N/A,#N/A,FALSE,"LVM JAN04";#N/A,#N/A,FALSE,"LVM CashFlow"}</definedName>
    <definedName name="wrn.dg._1" hidden="1">{#N/A,#N/A,FALSE,"LVM JAN04";#N/A,#N/A,FALSE,"LVM CashFlow"}</definedName>
    <definedName name="wrn.dg._2" hidden="1">{#N/A,#N/A,FALSE,"LVM JAN04";#N/A,#N/A,FALSE,"LVM CashFlow"}</definedName>
    <definedName name="wrn.dg._3" hidden="1">{#N/A,#N/A,FALSE,"LVM JAN04";#N/A,#N/A,FALSE,"LVM CashFlow"}</definedName>
    <definedName name="wrn.dg._4" hidden="1">{#N/A,#N/A,FALSE,"LVM JAN04";#N/A,#N/A,FALSE,"LVM CashFlow"}</definedName>
    <definedName name="wrn.dg._5" hidden="1">{#N/A,#N/A,FALSE,"LVM JAN04";#N/A,#N/A,FALSE,"LVM CashFlow"}</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_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_1_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_1_2"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_1_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_1_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_1_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_2"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_2_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_2_2"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_2_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_2_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_2_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_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_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_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inance._.Meeting._.1." hidden="1">{"Index",#N/A,FALSE,"Index";"Assumptions_country",#N/A,FALSE,"Assump";"Ebit_division_direct",#N/A,FALSE,"P&amp;L";"Reserves",#N/A,FALSE,"Reserves"}</definedName>
    <definedName name="wrn.Finance._.Meeting._.2." hidden="1">{"Reconciliation",#N/A,FALSE,"Rec";"Ebit_detail",#N/A,FALSE,"P&amp;L";"Cash_summary",#N/A,FALSE,"Cash"}</definedName>
    <definedName name="wrn.Financial._.Results." hidden="1">{"Financial Results",#N/A,FALSE,"Total Project Economics"}</definedName>
    <definedName name="wrn.FS._.Notes." hidden="1">{#N/A,#N/A,FALSE,"Note 2";#N/A,#N/A,FALSE,"Note 3";#N/A,#N/A,FALSE,"Note 4";#N/A,#N/A,FALSE,"Note 5";#N/A,#N/A,FALSE,"Note 6";#N/A,#N/A,FALSE,"Note 10"}</definedName>
    <definedName name="wrn.III." hidden="1">{"CASHFLOW",#N/A,FALSE,"Northpointe"}</definedName>
    <definedName name="wrn.III1." hidden="1">{"CASHFLOW",#N/A,FALSE,"Northpointe"}</definedName>
    <definedName name="wrn.IIII" hidden="1">{"CASHFLOW",#N/A,FALSE,"Northpointe"}</definedName>
    <definedName name="wrn.Ilijan._.Print."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rving._.report." hidden="1">{#N/A,#N/A,FALSE,"Summary";#N/A,#N/A,FALSE,"Total Project Economics"}</definedName>
    <definedName name="wrn.jp." hidden="1">{#N/A,#N/A,FALSE,"LVM JAN04";#N/A,#N/A,FALSE,"LVM CashFlow"}</definedName>
    <definedName name="wrn.jp._1" hidden="1">{#N/A,#N/A,FALSE,"LVM JAN04";#N/A,#N/A,FALSE,"LVM CashFlow"}</definedName>
    <definedName name="wrn.jp._2" hidden="1">{#N/A,#N/A,FALSE,"LVM JAN04";#N/A,#N/A,FALSE,"LVM CashFlow"}</definedName>
    <definedName name="wrn.jp._3" hidden="1">{#N/A,#N/A,FALSE,"LVM JAN04";#N/A,#N/A,FALSE,"LVM CashFlow"}</definedName>
    <definedName name="wrn.jp._4" hidden="1">{#N/A,#N/A,FALSE,"LVM JAN04";#N/A,#N/A,FALSE,"LVM CashFlow"}</definedName>
    <definedName name="wrn.jp._5" hidden="1">{#N/A,#N/A,FALSE,"LVM JAN04";#N/A,#N/A,FALSE,"LVM CashFlow"}</definedName>
    <definedName name="wrn.misc." hidden="1">{#N/A,#N/A,FALSE,"Sheet10"}</definedName>
    <definedName name="wrn.O._.and._.M._.and._.Fuel." hidden="1">{"Fuel",#N/A,FALSE,"O and M and Fuel Incremental";"O and M",#N/A,FALSE,"O and M and Fuel Incremental"}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_1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_1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_1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_1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_1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_2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_2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_2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_2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_2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rint." hidden="1">{"Print Area",#N/A,FALSE,"Title Page";"Summary",#N/A,FALSE,"Total Project Economics";"Unit prices and costs p1",#N/A,FALSE,"Total Project Economics";"Unit prices and Costs p2",#N/A,FALSE,"Total Project Economics";"Op Income p 1",#N/A,FALSE,"Total Project Economics";"Op Incoem p 2",#N/A,FALSE,"Total Project Economics";"Income stat p 1",#N/A,FALSE,"Total Project Economics";"Incoem stat p 2",#N/A,FALSE,"Total Project Economics";"Equity CF p 1",#N/A,FALSE,"Total Project Economics";"Equity CF p 2",#N/A,FALSE,"Total Project Economics";"B Sheet p 1",#N/A,FALSE,"Total Project Economics";"B Sheet p 2",#N/A,FALSE,"Total Project Economics";"Cash Taxes p 1",#N/A,FALSE,"Total Project Economics";"Cash Taxes p 2",#N/A,FALSE,"Total Project Economics";"Unlevered CF p 1",#N/A,FALSE,"Total Project Economics";"Unlevered CF p 2",#N/A,FALSE,"Total Project Economics";"Unlevered Taxes p 1",#N/A,FALSE,"Total Project Economics";"Unlevered Taxes p 2",#N/A,FALSE,"Total Project Economics";"Fin iNd p 1",#N/A,FALSE,"Total Project Economics";"fIN iND P 2",#N/A,FALSE,"Total Project Economics"}</definedName>
    <definedName name="wrn.Print._.All." hidden="1">{"Title",#N/A,FALSE,"Title";"Page 1",#N/A,FALSE,"Summary";"page 2",#N/A,FALSE,"Summary";"Statements",#N/A,FALSE,"Total Project Economics"}</definedName>
    <definedName name="wrn.Print._.Econ." hidden="1">{"One",#N/A,FALSE,"Summary ";"Two",#N/A,FALSE,"Summary ";"Monthly Outputs",#N/A,FALSE,"Total Project Economics";"Outputs p 1",#N/A,FALSE,"Total Project Economics";"Outputs p 2",#N/A,FALSE,"Total Project Economics";"Pricing P 1",#N/A,FALSE,"Total Project Economics";"Pricing p 2",#N/A,FALSE,"Total Project Economics";"Costs p 1",#N/A,FALSE,"Total Project Economics";"Costs p 2",#N/A,FALSE,"Total Project Economics";"Op Income p 1",#N/A,FALSE,"Total Project Economics";"Op Income p 2",#N/A,FALSE,"Total Project Economics";"Income p 1",#N/A,FALSE,"Total Project Economics";"Income p 2",#N/A,FALSE,"Total Project Economics";"B Sheet p 1",#N/A,FALSE,"Total Project Economics";"B Sheet p 2",#N/A,FALSE,"Total Project Economics";"Cash Taxes p 1",#N/A,FALSE,"Total Project Economics";"Cash Taxes p 2",#N/A,FALSE,"Total Project Economics";"Unlevered p 1",#N/A,FALSE,"Total Project Economics";"Unlevered p 2",#N/A,FALSE,"Total Project Economics";"Unlevered Taxes p 1",#N/A,FALSE,"Total Project Economics";"Unlevered Taxes p 2",#N/A,FALSE,"Total Project Economics";"Fin Ind p 1",#N/A,FALSE,"Total Project Economics";"Fin Ind p 2",#N/A,FALSE,"Total Project Economics"}</definedName>
    <definedName name="wrn.Print._.Economics." hidden="1">{"Print Area",#N/A,FALSE,"Summary";"Plant Outputs",#N/A,FALSE,"Total Project Economics";"Unit Prices Page 1",#N/A,FALSE,"Total Project Economics";"Unit Prices Page 2",#N/A,FALSE,"Total Project Economics";"Op Income PAge 1",#N/A,FALSE,"Total Project Economics";"Op Income Page 2",#N/A,FALSE,"Total Project Economics";"Income Statement PAge 1",#N/A,FALSE,"Total Project Economics";"Income Statement Page 2",#N/A,FALSE,"Total Project Economics";"Equity Cash Flow Page 1",#N/A,FALSE,"Total Project Economics";"Equity Cash Flow Page 2",#N/A,FALSE,"Total Project Economics";"B Sheet Page 1",#N/A,FALSE,"Total Project Economics";"B Sheet Page 2",#N/A,FALSE,"Total Project Economics";"Taxes Page 1",#N/A,FALSE,"Total Project Economics";"Taxes Page 2",#N/A,FALSE,"Total Project Economics";"Unlevered Cal page 1",#N/A,FALSE,"Total Project Economics";"Unlevered Calc page 2",#N/A,FALSE,"Total Project Economics"}</definedName>
    <definedName name="wrn.Print._.Summary." hidden="1">{"One",#N/A,FALSE,"Summary ";"Two",#N/A,FALSE,"Summary "}</definedName>
    <definedName name="wrn.print._.tenaska." hidden="1">{"Summary",#N/A,FALSE,"Total Project Economics";"Stmts",#N/A,FALSE,"Total Project Economics";#N/A,#N/A,FALSE,"WA Fwd Curve";#N/A,#N/A,FALSE,"O&amp;M, Fuel"}</definedName>
    <definedName name="wrn.Profit_and_Loss." hidden="1">{"Profit_Summary",#N/A,FALSE,"Monthly";"Profit_P2",#N/A,FALSE,"Monthly";"Profit_P3",#N/A,FALSE,"Monthly";"Profit_P4",#N/A,FALSE,"Monthly";"Profit_P5",#N/A,FALSE,"Monthly";"Profit_P6",#N/A,FALSE,"Monthly";"Profit_P7",#N/A,FALSE,"Monthly";"Profit_P8",#N/A,FALSE,"Monthly";"Profit_P9",#N/A,FALSE,"Monthly";"Profit_P10",#N/A,FALSE,"Monthly";"Profit_P11",#N/A,FALSE,"Monthly";"Profit_P12",#N/A,FALSE,"Monthly";"Profit_P13",#N/A,FALSE,"Monthly";"Profit_P14",#N/A,FALSE,"Monthly";"pROFIT_p15",#N/A,FALSE,"Monthly"}</definedName>
    <definedName name="wrn.Projects._.1." hidden="1">{"Project_details",#N/A,FALSE,"Projects";"Project_checks",#N/A,FALSE,"Projects";"Project_completion",#N/A,FALSE,"Projects"}</definedName>
    <definedName name="wrn.Projects._.2." hidden="1">{"Project_profit",#N/A,FALSE,"Projects";"Project_reserves",#N/A,FALSE,"Project Reserves"}</definedName>
    <definedName name="wrn.Rapport." hidden="1">{#N/A,#N/A,FALSE,"SHEET1";#N/A,#N/A,FALSE,"SHEET2";#N/A,#N/A,FALSE,"SHEET3";#N/A,#N/A,FALSE,"SHEET4"}</definedName>
    <definedName name="wrn.RCC."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_1"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_1_1"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_1_2"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_1_3"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_1_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_1_5"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_2"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_2_1"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_2_2"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_2_3"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_2_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_2_5"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_3"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_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_5"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eport._1" hidden="1">{#N/A,#N/A,FALSE,"COVER.XLS";#N/A,#N/A,FALSE,"RACT1.XLS";#N/A,#N/A,FALSE,"RACT2.XLS";#N/A,#N/A,FALSE,"ECCMP";#N/A,#N/A,FALSE,"WELDER.XLS"}</definedName>
    <definedName name="wrn.report._1_1" hidden="1">{#N/A,#N/A,FALSE,"COVER.XLS";#N/A,#N/A,FALSE,"RACT1.XLS";#N/A,#N/A,FALSE,"RACT2.XLS";#N/A,#N/A,FALSE,"ECCMP";#N/A,#N/A,FALSE,"WELDER.XLS"}</definedName>
    <definedName name="wrn.report._1_2" hidden="1">{#N/A,#N/A,FALSE,"COVER.XLS";#N/A,#N/A,FALSE,"RACT1.XLS";#N/A,#N/A,FALSE,"RACT2.XLS";#N/A,#N/A,FALSE,"ECCMP";#N/A,#N/A,FALSE,"WELDER.XLS"}</definedName>
    <definedName name="wrn.report._1_3" hidden="1">{#N/A,#N/A,FALSE,"COVER.XLS";#N/A,#N/A,FALSE,"RACT1.XLS";#N/A,#N/A,FALSE,"RACT2.XLS";#N/A,#N/A,FALSE,"ECCMP";#N/A,#N/A,FALSE,"WELDER.XLS"}</definedName>
    <definedName name="wrn.report._1_4" hidden="1">{#N/A,#N/A,FALSE,"COVER.XLS";#N/A,#N/A,FALSE,"RACT1.XLS";#N/A,#N/A,FALSE,"RACT2.XLS";#N/A,#N/A,FALSE,"ECCMP";#N/A,#N/A,FALSE,"WELDER.XLS"}</definedName>
    <definedName name="wrn.report._1_5" hidden="1">{#N/A,#N/A,FALSE,"COVER.XLS";#N/A,#N/A,FALSE,"RACT1.XLS";#N/A,#N/A,FALSE,"RACT2.XLS";#N/A,#N/A,FALSE,"ECCMP";#N/A,#N/A,FALSE,"WELDER.XLS"}</definedName>
    <definedName name="wrn.report._2" hidden="1">{#N/A,#N/A,FALSE,"COVER.XLS";#N/A,#N/A,FALSE,"RACT1.XLS";#N/A,#N/A,FALSE,"RACT2.XLS";#N/A,#N/A,FALSE,"ECCMP";#N/A,#N/A,FALSE,"WELDER.XLS"}</definedName>
    <definedName name="wrn.report._2_1" hidden="1">{#N/A,#N/A,FALSE,"COVER.XLS";#N/A,#N/A,FALSE,"RACT1.XLS";#N/A,#N/A,FALSE,"RACT2.XLS";#N/A,#N/A,FALSE,"ECCMP";#N/A,#N/A,FALSE,"WELDER.XLS"}</definedName>
    <definedName name="wrn.report._2_2" hidden="1">{#N/A,#N/A,FALSE,"COVER.XLS";#N/A,#N/A,FALSE,"RACT1.XLS";#N/A,#N/A,FALSE,"RACT2.XLS";#N/A,#N/A,FALSE,"ECCMP";#N/A,#N/A,FALSE,"WELDER.XLS"}</definedName>
    <definedName name="wrn.report._2_3" hidden="1">{#N/A,#N/A,FALSE,"COVER.XLS";#N/A,#N/A,FALSE,"RACT1.XLS";#N/A,#N/A,FALSE,"RACT2.XLS";#N/A,#N/A,FALSE,"ECCMP";#N/A,#N/A,FALSE,"WELDER.XLS"}</definedName>
    <definedName name="wrn.report._2_4" hidden="1">{#N/A,#N/A,FALSE,"COVER.XLS";#N/A,#N/A,FALSE,"RACT1.XLS";#N/A,#N/A,FALSE,"RACT2.XLS";#N/A,#N/A,FALSE,"ECCMP";#N/A,#N/A,FALSE,"WELDER.XLS"}</definedName>
    <definedName name="wrn.report._2_5" hidden="1">{#N/A,#N/A,FALSE,"COVER.XLS";#N/A,#N/A,FALSE,"RACT1.XLS";#N/A,#N/A,FALSE,"RACT2.XLS";#N/A,#N/A,FALSE,"ECCMP";#N/A,#N/A,FALSE,"WELDER.XLS"}</definedName>
    <definedName name="wrn.report._3" hidden="1">{#N/A,#N/A,FALSE,"COVER.XLS";#N/A,#N/A,FALSE,"RACT1.XLS";#N/A,#N/A,FALSE,"RACT2.XLS";#N/A,#N/A,FALSE,"ECCMP";#N/A,#N/A,FALSE,"WELDER.XLS"}</definedName>
    <definedName name="wrn.report._4" hidden="1">{#N/A,#N/A,FALSE,"COVER.XLS";#N/A,#N/A,FALSE,"RACT1.XLS";#N/A,#N/A,FALSE,"RACT2.XLS";#N/A,#N/A,FALSE,"ECCMP";#N/A,#N/A,FALSE,"WELDER.XLS"}</definedName>
    <definedName name="wrn.report._5" hidden="1">{#N/A,#N/A,FALSE,"COVER.XLS";#N/A,#N/A,FALSE,"RACT1.XLS";#N/A,#N/A,FALSE,"RACT2.XLS";#N/A,#N/A,FALSE,"ECCMP";#N/A,#N/A,FALSE,"WELDER.XLS"}</definedName>
    <definedName name="wrn.report1" hidden="1">{#N/A,#N/A,FALSE,"COVER.XLS";#N/A,#N/A,FALSE,"RACT1.XLS";#N/A,#N/A,FALSE,"RACT2.XLS";#N/A,#N/A,FALSE,"ECCMP";#N/A,#N/A,FALSE,"WELDER.XLS"}</definedName>
    <definedName name="wrn.report1_1" hidden="1">{#N/A,#N/A,FALSE,"COVER.XLS";#N/A,#N/A,FALSE,"RACT1.XLS";#N/A,#N/A,FALSE,"RACT2.XLS";#N/A,#N/A,FALSE,"ECCMP";#N/A,#N/A,FALSE,"WELDER.XLS"}</definedName>
    <definedName name="wrn.report1_1_1" hidden="1">{#N/A,#N/A,FALSE,"COVER.XLS";#N/A,#N/A,FALSE,"RACT1.XLS";#N/A,#N/A,FALSE,"RACT2.XLS";#N/A,#N/A,FALSE,"ECCMP";#N/A,#N/A,FALSE,"WELDER.XLS"}</definedName>
    <definedName name="wrn.report1_1_2" hidden="1">{#N/A,#N/A,FALSE,"COVER.XLS";#N/A,#N/A,FALSE,"RACT1.XLS";#N/A,#N/A,FALSE,"RACT2.XLS";#N/A,#N/A,FALSE,"ECCMP";#N/A,#N/A,FALSE,"WELDER.XLS"}</definedName>
    <definedName name="wrn.report1_1_3" hidden="1">{#N/A,#N/A,FALSE,"COVER.XLS";#N/A,#N/A,FALSE,"RACT1.XLS";#N/A,#N/A,FALSE,"RACT2.XLS";#N/A,#N/A,FALSE,"ECCMP";#N/A,#N/A,FALSE,"WELDER.XLS"}</definedName>
    <definedName name="wrn.report1_1_4" hidden="1">{#N/A,#N/A,FALSE,"COVER.XLS";#N/A,#N/A,FALSE,"RACT1.XLS";#N/A,#N/A,FALSE,"RACT2.XLS";#N/A,#N/A,FALSE,"ECCMP";#N/A,#N/A,FALSE,"WELDER.XLS"}</definedName>
    <definedName name="wrn.report1_1_5" hidden="1">{#N/A,#N/A,FALSE,"COVER.XLS";#N/A,#N/A,FALSE,"RACT1.XLS";#N/A,#N/A,FALSE,"RACT2.XLS";#N/A,#N/A,FALSE,"ECCMP";#N/A,#N/A,FALSE,"WELDER.XLS"}</definedName>
    <definedName name="wrn.report1_2" hidden="1">{#N/A,#N/A,FALSE,"COVER.XLS";#N/A,#N/A,FALSE,"RACT1.XLS";#N/A,#N/A,FALSE,"RACT2.XLS";#N/A,#N/A,FALSE,"ECCMP";#N/A,#N/A,FALSE,"WELDER.XLS"}</definedName>
    <definedName name="wrn.report1_2_1" hidden="1">{#N/A,#N/A,FALSE,"COVER.XLS";#N/A,#N/A,FALSE,"RACT1.XLS";#N/A,#N/A,FALSE,"RACT2.XLS";#N/A,#N/A,FALSE,"ECCMP";#N/A,#N/A,FALSE,"WELDER.XLS"}</definedName>
    <definedName name="wrn.report1_2_2" hidden="1">{#N/A,#N/A,FALSE,"COVER.XLS";#N/A,#N/A,FALSE,"RACT1.XLS";#N/A,#N/A,FALSE,"RACT2.XLS";#N/A,#N/A,FALSE,"ECCMP";#N/A,#N/A,FALSE,"WELDER.XLS"}</definedName>
    <definedName name="wrn.report1_2_3" hidden="1">{#N/A,#N/A,FALSE,"COVER.XLS";#N/A,#N/A,FALSE,"RACT1.XLS";#N/A,#N/A,FALSE,"RACT2.XLS";#N/A,#N/A,FALSE,"ECCMP";#N/A,#N/A,FALSE,"WELDER.XLS"}</definedName>
    <definedName name="wrn.report1_2_4" hidden="1">{#N/A,#N/A,FALSE,"COVER.XLS";#N/A,#N/A,FALSE,"RACT1.XLS";#N/A,#N/A,FALSE,"RACT2.XLS";#N/A,#N/A,FALSE,"ECCMP";#N/A,#N/A,FALSE,"WELDER.XLS"}</definedName>
    <definedName name="wrn.report1_2_5" hidden="1">{#N/A,#N/A,FALSE,"COVER.XLS";#N/A,#N/A,FALSE,"RACT1.XLS";#N/A,#N/A,FALSE,"RACT2.XLS";#N/A,#N/A,FALSE,"ECCMP";#N/A,#N/A,FALSE,"WELDER.XLS"}</definedName>
    <definedName name="wrn.report1_3" hidden="1">{#N/A,#N/A,FALSE,"COVER.XLS";#N/A,#N/A,FALSE,"RACT1.XLS";#N/A,#N/A,FALSE,"RACT2.XLS";#N/A,#N/A,FALSE,"ECCMP";#N/A,#N/A,FALSE,"WELDER.XLS"}</definedName>
    <definedName name="wrn.report1_4" hidden="1">{#N/A,#N/A,FALSE,"COVER.XLS";#N/A,#N/A,FALSE,"RACT1.XLS";#N/A,#N/A,FALSE,"RACT2.XLS";#N/A,#N/A,FALSE,"ECCMP";#N/A,#N/A,FALSE,"WELDER.XLS"}</definedName>
    <definedName name="wrn.report1_5"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RPLINS._1" hidden="1">{#N/A,#N/A,FALSE,"str_title";#N/A,#N/A,FALSE,"SUM";#N/A,#N/A,FALSE,"Scope";#N/A,#N/A,FALSE,"PIE-Jn";#N/A,#N/A,FALSE,"PIE-Jn_Hz";#N/A,#N/A,FALSE,"Liq_Plan";#N/A,#N/A,FALSE,"S_Curve";#N/A,#N/A,FALSE,"Liq_Prof";#N/A,#N/A,FALSE,"Man_Pwr";#N/A,#N/A,FALSE,"Man_Prof"}</definedName>
    <definedName name="wrn.RPLINS._1_1" hidden="1">{#N/A,#N/A,FALSE,"str_title";#N/A,#N/A,FALSE,"SUM";#N/A,#N/A,FALSE,"Scope";#N/A,#N/A,FALSE,"PIE-Jn";#N/A,#N/A,FALSE,"PIE-Jn_Hz";#N/A,#N/A,FALSE,"Liq_Plan";#N/A,#N/A,FALSE,"S_Curve";#N/A,#N/A,FALSE,"Liq_Prof";#N/A,#N/A,FALSE,"Man_Pwr";#N/A,#N/A,FALSE,"Man_Prof"}</definedName>
    <definedName name="wrn.RPLINS._1_2" hidden="1">{#N/A,#N/A,FALSE,"str_title";#N/A,#N/A,FALSE,"SUM";#N/A,#N/A,FALSE,"Scope";#N/A,#N/A,FALSE,"PIE-Jn";#N/A,#N/A,FALSE,"PIE-Jn_Hz";#N/A,#N/A,FALSE,"Liq_Plan";#N/A,#N/A,FALSE,"S_Curve";#N/A,#N/A,FALSE,"Liq_Prof";#N/A,#N/A,FALSE,"Man_Pwr";#N/A,#N/A,FALSE,"Man_Prof"}</definedName>
    <definedName name="wrn.RPLINS._1_3" hidden="1">{#N/A,#N/A,FALSE,"str_title";#N/A,#N/A,FALSE,"SUM";#N/A,#N/A,FALSE,"Scope";#N/A,#N/A,FALSE,"PIE-Jn";#N/A,#N/A,FALSE,"PIE-Jn_Hz";#N/A,#N/A,FALSE,"Liq_Plan";#N/A,#N/A,FALSE,"S_Curve";#N/A,#N/A,FALSE,"Liq_Prof";#N/A,#N/A,FALSE,"Man_Pwr";#N/A,#N/A,FALSE,"Man_Prof"}</definedName>
    <definedName name="wrn.RPLINS._1_4" hidden="1">{#N/A,#N/A,FALSE,"str_title";#N/A,#N/A,FALSE,"SUM";#N/A,#N/A,FALSE,"Scope";#N/A,#N/A,FALSE,"PIE-Jn";#N/A,#N/A,FALSE,"PIE-Jn_Hz";#N/A,#N/A,FALSE,"Liq_Plan";#N/A,#N/A,FALSE,"S_Curve";#N/A,#N/A,FALSE,"Liq_Prof";#N/A,#N/A,FALSE,"Man_Pwr";#N/A,#N/A,FALSE,"Man_Prof"}</definedName>
    <definedName name="wrn.RPLINS._1_5" hidden="1">{#N/A,#N/A,FALSE,"str_title";#N/A,#N/A,FALSE,"SUM";#N/A,#N/A,FALSE,"Scope";#N/A,#N/A,FALSE,"PIE-Jn";#N/A,#N/A,FALSE,"PIE-Jn_Hz";#N/A,#N/A,FALSE,"Liq_Plan";#N/A,#N/A,FALSE,"S_Curve";#N/A,#N/A,FALSE,"Liq_Prof";#N/A,#N/A,FALSE,"Man_Pwr";#N/A,#N/A,FALSE,"Man_Prof"}</definedName>
    <definedName name="wrn.RPLINS._2" hidden="1">{#N/A,#N/A,FALSE,"str_title";#N/A,#N/A,FALSE,"SUM";#N/A,#N/A,FALSE,"Scope";#N/A,#N/A,FALSE,"PIE-Jn";#N/A,#N/A,FALSE,"PIE-Jn_Hz";#N/A,#N/A,FALSE,"Liq_Plan";#N/A,#N/A,FALSE,"S_Curve";#N/A,#N/A,FALSE,"Liq_Prof";#N/A,#N/A,FALSE,"Man_Pwr";#N/A,#N/A,FALSE,"Man_Prof"}</definedName>
    <definedName name="wrn.RPLINS._2_1" hidden="1">{#N/A,#N/A,FALSE,"str_title";#N/A,#N/A,FALSE,"SUM";#N/A,#N/A,FALSE,"Scope";#N/A,#N/A,FALSE,"PIE-Jn";#N/A,#N/A,FALSE,"PIE-Jn_Hz";#N/A,#N/A,FALSE,"Liq_Plan";#N/A,#N/A,FALSE,"S_Curve";#N/A,#N/A,FALSE,"Liq_Prof";#N/A,#N/A,FALSE,"Man_Pwr";#N/A,#N/A,FALSE,"Man_Prof"}</definedName>
    <definedName name="wrn.RPLINS._2_2" hidden="1">{#N/A,#N/A,FALSE,"str_title";#N/A,#N/A,FALSE,"SUM";#N/A,#N/A,FALSE,"Scope";#N/A,#N/A,FALSE,"PIE-Jn";#N/A,#N/A,FALSE,"PIE-Jn_Hz";#N/A,#N/A,FALSE,"Liq_Plan";#N/A,#N/A,FALSE,"S_Curve";#N/A,#N/A,FALSE,"Liq_Prof";#N/A,#N/A,FALSE,"Man_Pwr";#N/A,#N/A,FALSE,"Man_Prof"}</definedName>
    <definedName name="wrn.RPLINS._2_3" hidden="1">{#N/A,#N/A,FALSE,"str_title";#N/A,#N/A,FALSE,"SUM";#N/A,#N/A,FALSE,"Scope";#N/A,#N/A,FALSE,"PIE-Jn";#N/A,#N/A,FALSE,"PIE-Jn_Hz";#N/A,#N/A,FALSE,"Liq_Plan";#N/A,#N/A,FALSE,"S_Curve";#N/A,#N/A,FALSE,"Liq_Prof";#N/A,#N/A,FALSE,"Man_Pwr";#N/A,#N/A,FALSE,"Man_Prof"}</definedName>
    <definedName name="wrn.RPLINS._2_4" hidden="1">{#N/A,#N/A,FALSE,"str_title";#N/A,#N/A,FALSE,"SUM";#N/A,#N/A,FALSE,"Scope";#N/A,#N/A,FALSE,"PIE-Jn";#N/A,#N/A,FALSE,"PIE-Jn_Hz";#N/A,#N/A,FALSE,"Liq_Plan";#N/A,#N/A,FALSE,"S_Curve";#N/A,#N/A,FALSE,"Liq_Prof";#N/A,#N/A,FALSE,"Man_Pwr";#N/A,#N/A,FALSE,"Man_Prof"}</definedName>
    <definedName name="wrn.RPLINS._2_5" hidden="1">{#N/A,#N/A,FALSE,"str_title";#N/A,#N/A,FALSE,"SUM";#N/A,#N/A,FALSE,"Scope";#N/A,#N/A,FALSE,"PIE-Jn";#N/A,#N/A,FALSE,"PIE-Jn_Hz";#N/A,#N/A,FALSE,"Liq_Plan";#N/A,#N/A,FALSE,"S_Curve";#N/A,#N/A,FALSE,"Liq_Prof";#N/A,#N/A,FALSE,"Man_Pwr";#N/A,#N/A,FALSE,"Man_Prof"}</definedName>
    <definedName name="wrn.RPLINS._3" hidden="1">{#N/A,#N/A,FALSE,"str_title";#N/A,#N/A,FALSE,"SUM";#N/A,#N/A,FALSE,"Scope";#N/A,#N/A,FALSE,"PIE-Jn";#N/A,#N/A,FALSE,"PIE-Jn_Hz";#N/A,#N/A,FALSE,"Liq_Plan";#N/A,#N/A,FALSE,"S_Curve";#N/A,#N/A,FALSE,"Liq_Prof";#N/A,#N/A,FALSE,"Man_Pwr";#N/A,#N/A,FALSE,"Man_Prof"}</definedName>
    <definedName name="wrn.RPLINS._4" hidden="1">{#N/A,#N/A,FALSE,"str_title";#N/A,#N/A,FALSE,"SUM";#N/A,#N/A,FALSE,"Scope";#N/A,#N/A,FALSE,"PIE-Jn";#N/A,#N/A,FALSE,"PIE-Jn_Hz";#N/A,#N/A,FALSE,"Liq_Plan";#N/A,#N/A,FALSE,"S_Curve";#N/A,#N/A,FALSE,"Liq_Prof";#N/A,#N/A,FALSE,"Man_Pwr";#N/A,#N/A,FALSE,"Man_Prof"}</definedName>
    <definedName name="wrn.RPLINS._5" hidden="1">{#N/A,#N/A,FALSE,"str_title";#N/A,#N/A,FALSE,"SUM";#N/A,#N/A,FALSE,"Scope";#N/A,#N/A,FALSE,"PIE-Jn";#N/A,#N/A,FALSE,"PIE-Jn_Hz";#N/A,#N/A,FALSE,"Liq_Plan";#N/A,#N/A,FALSE,"S_Curve";#N/A,#N/A,FALSE,"Liq_Prof";#N/A,#N/A,FALSE,"Man_Pwr";#N/A,#N/A,FALSE,"Man_Prof"}</definedName>
    <definedName name="wrn.summ1" hidden="1">{#N/A,#N/A,FALSE,"COVER1.XLS ";#N/A,#N/A,FALSE,"RACT1.XLS";#N/A,#N/A,FALSE,"RACT2.XLS";#N/A,#N/A,FALSE,"ECCMP";#N/A,#N/A,FALSE,"WELDER.XLS"}</definedName>
    <definedName name="wrn.summ1_1" hidden="1">{#N/A,#N/A,FALSE,"COVER1.XLS ";#N/A,#N/A,FALSE,"RACT1.XLS";#N/A,#N/A,FALSE,"RACT2.XLS";#N/A,#N/A,FALSE,"ECCMP";#N/A,#N/A,FALSE,"WELDER.XLS"}</definedName>
    <definedName name="wrn.summ1_1_1" hidden="1">{#N/A,#N/A,FALSE,"COVER1.XLS ";#N/A,#N/A,FALSE,"RACT1.XLS";#N/A,#N/A,FALSE,"RACT2.XLS";#N/A,#N/A,FALSE,"ECCMP";#N/A,#N/A,FALSE,"WELDER.XLS"}</definedName>
    <definedName name="wrn.summ1_1_2" hidden="1">{#N/A,#N/A,FALSE,"COVER1.XLS ";#N/A,#N/A,FALSE,"RACT1.XLS";#N/A,#N/A,FALSE,"RACT2.XLS";#N/A,#N/A,FALSE,"ECCMP";#N/A,#N/A,FALSE,"WELDER.XLS"}</definedName>
    <definedName name="wrn.summ1_1_3" hidden="1">{#N/A,#N/A,FALSE,"COVER1.XLS ";#N/A,#N/A,FALSE,"RACT1.XLS";#N/A,#N/A,FALSE,"RACT2.XLS";#N/A,#N/A,FALSE,"ECCMP";#N/A,#N/A,FALSE,"WELDER.XLS"}</definedName>
    <definedName name="wrn.summ1_1_4" hidden="1">{#N/A,#N/A,FALSE,"COVER1.XLS ";#N/A,#N/A,FALSE,"RACT1.XLS";#N/A,#N/A,FALSE,"RACT2.XLS";#N/A,#N/A,FALSE,"ECCMP";#N/A,#N/A,FALSE,"WELDER.XLS"}</definedName>
    <definedName name="wrn.summ1_1_5" hidden="1">{#N/A,#N/A,FALSE,"COVER1.XLS ";#N/A,#N/A,FALSE,"RACT1.XLS";#N/A,#N/A,FALSE,"RACT2.XLS";#N/A,#N/A,FALSE,"ECCMP";#N/A,#N/A,FALSE,"WELDER.XLS"}</definedName>
    <definedName name="wrn.summ1_2" hidden="1">{#N/A,#N/A,FALSE,"COVER1.XLS ";#N/A,#N/A,FALSE,"RACT1.XLS";#N/A,#N/A,FALSE,"RACT2.XLS";#N/A,#N/A,FALSE,"ECCMP";#N/A,#N/A,FALSE,"WELDER.XLS"}</definedName>
    <definedName name="wrn.summ1_2_1" hidden="1">{#N/A,#N/A,FALSE,"COVER1.XLS ";#N/A,#N/A,FALSE,"RACT1.XLS";#N/A,#N/A,FALSE,"RACT2.XLS";#N/A,#N/A,FALSE,"ECCMP";#N/A,#N/A,FALSE,"WELDER.XLS"}</definedName>
    <definedName name="wrn.summ1_2_2" hidden="1">{#N/A,#N/A,FALSE,"COVER1.XLS ";#N/A,#N/A,FALSE,"RACT1.XLS";#N/A,#N/A,FALSE,"RACT2.XLS";#N/A,#N/A,FALSE,"ECCMP";#N/A,#N/A,FALSE,"WELDER.XLS"}</definedName>
    <definedName name="wrn.summ1_2_3" hidden="1">{#N/A,#N/A,FALSE,"COVER1.XLS ";#N/A,#N/A,FALSE,"RACT1.XLS";#N/A,#N/A,FALSE,"RACT2.XLS";#N/A,#N/A,FALSE,"ECCMP";#N/A,#N/A,FALSE,"WELDER.XLS"}</definedName>
    <definedName name="wrn.summ1_2_4" hidden="1">{#N/A,#N/A,FALSE,"COVER1.XLS ";#N/A,#N/A,FALSE,"RACT1.XLS";#N/A,#N/A,FALSE,"RACT2.XLS";#N/A,#N/A,FALSE,"ECCMP";#N/A,#N/A,FALSE,"WELDER.XLS"}</definedName>
    <definedName name="wrn.summ1_2_5" hidden="1">{#N/A,#N/A,FALSE,"COVER1.XLS ";#N/A,#N/A,FALSE,"RACT1.XLS";#N/A,#N/A,FALSE,"RACT2.XLS";#N/A,#N/A,FALSE,"ECCMP";#N/A,#N/A,FALSE,"WELDER.XLS"}</definedName>
    <definedName name="wrn.summ1_3" hidden="1">{#N/A,#N/A,FALSE,"COVER1.XLS ";#N/A,#N/A,FALSE,"RACT1.XLS";#N/A,#N/A,FALSE,"RACT2.XLS";#N/A,#N/A,FALSE,"ECCMP";#N/A,#N/A,FALSE,"WELDER.XLS"}</definedName>
    <definedName name="wrn.summ1_4" hidden="1">{#N/A,#N/A,FALSE,"COVER1.XLS ";#N/A,#N/A,FALSE,"RACT1.XLS";#N/A,#N/A,FALSE,"RACT2.XLS";#N/A,#N/A,FALSE,"ECCMP";#N/A,#N/A,FALSE,"WELDER.XLS"}</definedName>
    <definedName name="wrn.summ1_5" hidden="1">{#N/A,#N/A,FALSE,"COVER1.XLS ";#N/A,#N/A,FALSE,"RACT1.XLS";#N/A,#N/A,FALSE,"RACT2.XLS";#N/A,#N/A,FALSE,"ECCMP";#N/A,#N/A,FALSE,"WELDER.XLS"}</definedName>
    <definedName name="wrn.summary." hidden="1">{#N/A,#N/A,FALSE,"COVER1.XLS ";#N/A,#N/A,FALSE,"RACT1.XLS";#N/A,#N/A,FALSE,"RACT2.XLS";#N/A,#N/A,FALSE,"ECCMP";#N/A,#N/A,FALSE,"WELDER.XLS"}</definedName>
    <definedName name="wrn.summary._1" hidden="1">{#N/A,#N/A,FALSE,"COVER1.XLS ";#N/A,#N/A,FALSE,"RACT1.XLS";#N/A,#N/A,FALSE,"RACT2.XLS";#N/A,#N/A,FALSE,"ECCMP";#N/A,#N/A,FALSE,"WELDER.XLS"}</definedName>
    <definedName name="wrn.summary._1_1" hidden="1">{#N/A,#N/A,FALSE,"COVER1.XLS ";#N/A,#N/A,FALSE,"RACT1.XLS";#N/A,#N/A,FALSE,"RACT2.XLS";#N/A,#N/A,FALSE,"ECCMP";#N/A,#N/A,FALSE,"WELDER.XLS"}</definedName>
    <definedName name="wrn.summary._1_2" hidden="1">{#N/A,#N/A,FALSE,"COVER1.XLS ";#N/A,#N/A,FALSE,"RACT1.XLS";#N/A,#N/A,FALSE,"RACT2.XLS";#N/A,#N/A,FALSE,"ECCMP";#N/A,#N/A,FALSE,"WELDER.XLS"}</definedName>
    <definedName name="wrn.summary._1_3" hidden="1">{#N/A,#N/A,FALSE,"COVER1.XLS ";#N/A,#N/A,FALSE,"RACT1.XLS";#N/A,#N/A,FALSE,"RACT2.XLS";#N/A,#N/A,FALSE,"ECCMP";#N/A,#N/A,FALSE,"WELDER.XLS"}</definedName>
    <definedName name="wrn.summary._1_4" hidden="1">{#N/A,#N/A,FALSE,"COVER1.XLS ";#N/A,#N/A,FALSE,"RACT1.XLS";#N/A,#N/A,FALSE,"RACT2.XLS";#N/A,#N/A,FALSE,"ECCMP";#N/A,#N/A,FALSE,"WELDER.XLS"}</definedName>
    <definedName name="wrn.summary._1_5" hidden="1">{#N/A,#N/A,FALSE,"COVER1.XLS ";#N/A,#N/A,FALSE,"RACT1.XLS";#N/A,#N/A,FALSE,"RACT2.XLS";#N/A,#N/A,FALSE,"ECCMP";#N/A,#N/A,FALSE,"WELDER.XLS"}</definedName>
    <definedName name="wrn.summary._2" hidden="1">{#N/A,#N/A,FALSE,"COVER1.XLS ";#N/A,#N/A,FALSE,"RACT1.XLS";#N/A,#N/A,FALSE,"RACT2.XLS";#N/A,#N/A,FALSE,"ECCMP";#N/A,#N/A,FALSE,"WELDER.XLS"}</definedName>
    <definedName name="wrn.summary._2_1" hidden="1">{#N/A,#N/A,FALSE,"COVER1.XLS ";#N/A,#N/A,FALSE,"RACT1.XLS";#N/A,#N/A,FALSE,"RACT2.XLS";#N/A,#N/A,FALSE,"ECCMP";#N/A,#N/A,FALSE,"WELDER.XLS"}</definedName>
    <definedName name="wrn.summary._2_2" hidden="1">{#N/A,#N/A,FALSE,"COVER1.XLS ";#N/A,#N/A,FALSE,"RACT1.XLS";#N/A,#N/A,FALSE,"RACT2.XLS";#N/A,#N/A,FALSE,"ECCMP";#N/A,#N/A,FALSE,"WELDER.XLS"}</definedName>
    <definedName name="wrn.summary._2_3" hidden="1">{#N/A,#N/A,FALSE,"COVER1.XLS ";#N/A,#N/A,FALSE,"RACT1.XLS";#N/A,#N/A,FALSE,"RACT2.XLS";#N/A,#N/A,FALSE,"ECCMP";#N/A,#N/A,FALSE,"WELDER.XLS"}</definedName>
    <definedName name="wrn.summary._2_4" hidden="1">{#N/A,#N/A,FALSE,"COVER1.XLS ";#N/A,#N/A,FALSE,"RACT1.XLS";#N/A,#N/A,FALSE,"RACT2.XLS";#N/A,#N/A,FALSE,"ECCMP";#N/A,#N/A,FALSE,"WELDER.XLS"}</definedName>
    <definedName name="wrn.summary._2_5" hidden="1">{#N/A,#N/A,FALSE,"COVER1.XLS ";#N/A,#N/A,FALSE,"RACT1.XLS";#N/A,#N/A,FALSE,"RACT2.XLS";#N/A,#N/A,FALSE,"ECCMP";#N/A,#N/A,FALSE,"WELDER.XLS"}</definedName>
    <definedName name="wrn.summary._3" hidden="1">{#N/A,#N/A,FALSE,"COVER1.XLS ";#N/A,#N/A,FALSE,"RACT1.XLS";#N/A,#N/A,FALSE,"RACT2.XLS";#N/A,#N/A,FALSE,"ECCMP";#N/A,#N/A,FALSE,"WELDER.XLS"}</definedName>
    <definedName name="wrn.summary._4" hidden="1">{#N/A,#N/A,FALSE,"COVER1.XLS ";#N/A,#N/A,FALSE,"RACT1.XLS";#N/A,#N/A,FALSE,"RACT2.XLS";#N/A,#N/A,FALSE,"ECCMP";#N/A,#N/A,FALSE,"WELDER.XLS"}</definedName>
    <definedName name="wrn.summary._5" hidden="1">{#N/A,#N/A,FALSE,"COVER1.XLS ";#N/A,#N/A,FALSE,"RACT1.XLS";#N/A,#N/A,FALSE,"RACT2.XLS";#N/A,#N/A,FALSE,"ECCMP";#N/A,#N/A,FALSE,"WELDER.XLS"}</definedName>
    <definedName name="wrn.summary_Parameters_tariffs." hidden="1">{"summary1",#N/A,FALSE,"Total Project Economics";"Plant Parameters",#N/A,FALSE,"Total Project Economics";"Tariffs_Unit Prices_Costs",#N/A,FALSE,"Total Project Economics"}</definedName>
    <definedName name="wrn.to._.print._.corp._.overhead._.report." hidden="1">{"corp profit summary",#N/A,TRUE,"CORPOPS";"corp - profit detailed",#N/A,TRUE,"CORPOPS";"Corp - Overhead detail",#N/A,TRUE,"CORPOPS";"int other - profit summary",#N/A,TRUE,"Internat - Other";"int other - profit detail",#N/A,TRUE,"Internat - Other";"int other - overhead detail",#N/A,TRUE,"Internat - Other";"Malaysia - profit summary",#N/A,TRUE,"Internat - Asia";"Malaysia - profit detailed",#N/A,TRUE,"Internat - Asia";"Malaysia - Overhead detail",#N/A,TRUE,"Internat - Asia"}</definedName>
    <definedName name="wrn.UKOPEX." hidden="1">{"UKOPEX",#N/A,FALSE,"Summary"}</definedName>
    <definedName name="wrn.UKOPEX._1" hidden="1">{"UKOPEX",#N/A,FALSE,"Summary"}</definedName>
    <definedName name="wrn.UKOPEX._2" hidden="1">{"UKOPEX",#N/A,FALSE,"Summary"}</definedName>
    <definedName name="wrn.UKOPEX._3" hidden="1">{"UKOPEX",#N/A,FALSE,"Summary"}</definedName>
    <definedName name="wrn.UKOPEX._4" hidden="1">{"UKOPEX",#N/A,FALSE,"Summary"}</definedName>
    <definedName name="wrn.UKOPEX._5" hidden="1">{"UKOPEX",#N/A,FALSE,"Summary"}</definedName>
    <definedName name="wrn.Variance._.1." hidden="1">{"Ebit_Variance",#N/A,FALSE,"P&amp;L";"Cash_Variance",#N/A,FALSE,"Cash"}</definedName>
    <definedName name="wrn.Variance._.2." hidden="1">{"Reserves_Variance",#N/A,FALSE,"Reserves";"Scm_Variance",#N/A,FALSE,"SCM";"tax_variance",#N/A,FALSE,"Tax"}</definedName>
    <definedName name="wrn.VARIANCE._.ANALYSIS." hidden="1">{#N/A,#N/A,FALSE," VAR ANA FULL YR summ";#N/A,#N/A,FALSE,"YTD VAR";#N/A,#N/A,FALSE,"Var last mth to curr mth"}</definedName>
    <definedName name="wrn.Working._.Papers._.1." hidden="1">{"Assumptions_other",#N/A,FALSE,"Assump";"Ebit_division_indirect",#N/A,FALSE,"P&amp;L";"Ebit_indirect_allocation",#N/A,FALSE,"P&amp;L"}</definedName>
    <definedName name="wrn.Working._.Papers._.2." hidden="1">{"Cash_detail",#N/A,FALSE,"Cash";"Cash_reconciliation",#N/A,FALSE,"Cash";"Scm",#N/A,FALSE,"SCM";"Tax",#N/A,FALSE,"Tax"}</definedName>
    <definedName name="wrn_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_1_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_1_2"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_1_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_1_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_1_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_2"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_2_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_2_2"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_2_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_2_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_2_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_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_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_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0" hidden="1">{#N/A,#N/A,FALSE,"COVER1.XLS ";#N/A,#N/A,FALSE,"RACT1.XLS";#N/A,#N/A,FALSE,"RACT2.XLS";#N/A,#N/A,FALSE,"ECCMP";#N/A,#N/A,FALSE,"WELDER.XLS"}</definedName>
    <definedName name="WRN0_1" hidden="1">{#N/A,#N/A,FALSE,"COVER1.XLS ";#N/A,#N/A,FALSE,"RACT1.XLS";#N/A,#N/A,FALSE,"RACT2.XLS";#N/A,#N/A,FALSE,"ECCMP";#N/A,#N/A,FALSE,"WELDER.XLS"}</definedName>
    <definedName name="WRN0_2" hidden="1">{#N/A,#N/A,FALSE,"COVER1.XLS ";#N/A,#N/A,FALSE,"RACT1.XLS";#N/A,#N/A,FALSE,"RACT2.XLS";#N/A,#N/A,FALSE,"ECCMP";#N/A,#N/A,FALSE,"WELDER.XLS"}</definedName>
    <definedName name="WRN0_3" hidden="1">{#N/A,#N/A,FALSE,"COVER1.XLS ";#N/A,#N/A,FALSE,"RACT1.XLS";#N/A,#N/A,FALSE,"RACT2.XLS";#N/A,#N/A,FALSE,"ECCMP";#N/A,#N/A,FALSE,"WELDER.XLS"}</definedName>
    <definedName name="WRN0_4" hidden="1">{#N/A,#N/A,FALSE,"COVER1.XLS ";#N/A,#N/A,FALSE,"RACT1.XLS";#N/A,#N/A,FALSE,"RACT2.XLS";#N/A,#N/A,FALSE,"ECCMP";#N/A,#N/A,FALSE,"WELDER.XLS"}</definedName>
    <definedName name="WRN0_5" hidden="1">{#N/A,#N/A,FALSE,"COVER1.XLS ";#N/A,#N/A,FALSE,"RACT1.XLS";#N/A,#N/A,FALSE,"RACT2.XLS";#N/A,#N/A,FALSE,"ECCMP";#N/A,#N/A,FALSE,"WELDER.XLS"}</definedName>
    <definedName name="wsgz" hidden="1">{#N/A,#N/A,FALSE,"COVER1.XLS ";#N/A,#N/A,FALSE,"RACT1.XLS";#N/A,#N/A,FALSE,"RACT2.XLS";#N/A,#N/A,FALSE,"ECCMP";#N/A,#N/A,FALSE,"WELDER.XLS"}</definedName>
    <definedName name="wsgz_1" hidden="1">{#N/A,#N/A,FALSE,"COVER1.XLS ";#N/A,#N/A,FALSE,"RACT1.XLS";#N/A,#N/A,FALSE,"RACT2.XLS";#N/A,#N/A,FALSE,"ECCMP";#N/A,#N/A,FALSE,"WELDER.XLS"}</definedName>
    <definedName name="wsgz_1_1" hidden="1">{#N/A,#N/A,FALSE,"COVER1.XLS ";#N/A,#N/A,FALSE,"RACT1.XLS";#N/A,#N/A,FALSE,"RACT2.XLS";#N/A,#N/A,FALSE,"ECCMP";#N/A,#N/A,FALSE,"WELDER.XLS"}</definedName>
    <definedName name="wsgz_1_2" hidden="1">{#N/A,#N/A,FALSE,"COVER1.XLS ";#N/A,#N/A,FALSE,"RACT1.XLS";#N/A,#N/A,FALSE,"RACT2.XLS";#N/A,#N/A,FALSE,"ECCMP";#N/A,#N/A,FALSE,"WELDER.XLS"}</definedName>
    <definedName name="wsgz_1_3" hidden="1">{#N/A,#N/A,FALSE,"COVER1.XLS ";#N/A,#N/A,FALSE,"RACT1.XLS";#N/A,#N/A,FALSE,"RACT2.XLS";#N/A,#N/A,FALSE,"ECCMP";#N/A,#N/A,FALSE,"WELDER.XLS"}</definedName>
    <definedName name="wsgz_1_4" hidden="1">{#N/A,#N/A,FALSE,"COVER1.XLS ";#N/A,#N/A,FALSE,"RACT1.XLS";#N/A,#N/A,FALSE,"RACT2.XLS";#N/A,#N/A,FALSE,"ECCMP";#N/A,#N/A,FALSE,"WELDER.XLS"}</definedName>
    <definedName name="wsgz_1_5" hidden="1">{#N/A,#N/A,FALSE,"COVER1.XLS ";#N/A,#N/A,FALSE,"RACT1.XLS";#N/A,#N/A,FALSE,"RACT2.XLS";#N/A,#N/A,FALSE,"ECCMP";#N/A,#N/A,FALSE,"WELDER.XLS"}</definedName>
    <definedName name="wsgz_2" hidden="1">{#N/A,#N/A,FALSE,"COVER1.XLS ";#N/A,#N/A,FALSE,"RACT1.XLS";#N/A,#N/A,FALSE,"RACT2.XLS";#N/A,#N/A,FALSE,"ECCMP";#N/A,#N/A,FALSE,"WELDER.XLS"}</definedName>
    <definedName name="wsgz_2_1" hidden="1">{#N/A,#N/A,FALSE,"COVER1.XLS ";#N/A,#N/A,FALSE,"RACT1.XLS";#N/A,#N/A,FALSE,"RACT2.XLS";#N/A,#N/A,FALSE,"ECCMP";#N/A,#N/A,FALSE,"WELDER.XLS"}</definedName>
    <definedName name="wsgz_2_2" hidden="1">{#N/A,#N/A,FALSE,"COVER1.XLS ";#N/A,#N/A,FALSE,"RACT1.XLS";#N/A,#N/A,FALSE,"RACT2.XLS";#N/A,#N/A,FALSE,"ECCMP";#N/A,#N/A,FALSE,"WELDER.XLS"}</definedName>
    <definedName name="wsgz_2_3" hidden="1">{#N/A,#N/A,FALSE,"COVER1.XLS ";#N/A,#N/A,FALSE,"RACT1.XLS";#N/A,#N/A,FALSE,"RACT2.XLS";#N/A,#N/A,FALSE,"ECCMP";#N/A,#N/A,FALSE,"WELDER.XLS"}</definedName>
    <definedName name="wsgz_2_4" hidden="1">{#N/A,#N/A,FALSE,"COVER1.XLS ";#N/A,#N/A,FALSE,"RACT1.XLS";#N/A,#N/A,FALSE,"RACT2.XLS";#N/A,#N/A,FALSE,"ECCMP";#N/A,#N/A,FALSE,"WELDER.XLS"}</definedName>
    <definedName name="wsgz_2_5" hidden="1">{#N/A,#N/A,FALSE,"COVER1.XLS ";#N/A,#N/A,FALSE,"RACT1.XLS";#N/A,#N/A,FALSE,"RACT2.XLS";#N/A,#N/A,FALSE,"ECCMP";#N/A,#N/A,FALSE,"WELDER.XLS"}</definedName>
    <definedName name="wsgz_3" hidden="1">{#N/A,#N/A,FALSE,"COVER1.XLS ";#N/A,#N/A,FALSE,"RACT1.XLS";#N/A,#N/A,FALSE,"RACT2.XLS";#N/A,#N/A,FALSE,"ECCMP";#N/A,#N/A,FALSE,"WELDER.XLS"}</definedName>
    <definedName name="wsgz_4" hidden="1">{#N/A,#N/A,FALSE,"COVER1.XLS ";#N/A,#N/A,FALSE,"RACT1.XLS";#N/A,#N/A,FALSE,"RACT2.XLS";#N/A,#N/A,FALSE,"ECCMP";#N/A,#N/A,FALSE,"WELDER.XLS"}</definedName>
    <definedName name="wsgz_5" hidden="1">{#N/A,#N/A,FALSE,"COVER1.XLS ";#N/A,#N/A,FALSE,"RACT1.XLS";#N/A,#N/A,FALSE,"RACT2.XLS";#N/A,#N/A,FALSE,"ECCMP";#N/A,#N/A,FALSE,"WELDER.XLS"}</definedName>
    <definedName name="wvu.otr."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wvu.Overhead._.detail." hidden="1">{TRUE,TRUE,-2,-15.2,616.8,379.8,FALSE,TRUE,TRUE,TRUE,15,4,#N/A,22,#N/A,12.3176470588235,29,1,FALSE,FALSE,3,TRUE,1,FALSE,67,"Swvu.Overhead._.detail.","ACwvu.Overhead._.detail.",#N/A,FALSE,FALSE,0.669291338582677,0.275590551181102,0.236220472440945,0.236220472440945,1,"","",FALSE,FALSE,FALSE,FALSE,1,#N/A,1,#N/A,"=R194C4:R674C19","=R45:R49","Rwvu.Overhead._.detail.",#N/A,FALSE,FALSE,FALSE,9,600,600,FALSE,FALSE,TRUE,TRUE,TRUE}</definedName>
    <definedName name="wvu.Profit._.report._.detailed." hidden="1">{TRUE,TRUE,-2,-15.2,616.8,379.8,FALSE,TRUE,TRUE,TRUE,15,4,#N/A,50,#N/A,12.3176470588235,70.7586206896552,1,FALSE,FALSE,3,TRUE,1,FALSE,67,"Swvu.Profit._.report._.detailed.","ACwvu.Profit._.report._.detailed.",#N/A,FALSE,FALSE,0.669291338582677,0.275590551181102,0.236220472440945,0.236220472440945,1,"","",FALSE,FALSE,FALSE,FALSE,1,#N/A,1,#N/A,"=R54C4:R191C19","=R45:R53","Rwvu.Profit._.report._.detailed.","Cwvu.Profit._.report._.detailed.",FALSE,FALSE,FALSE,9,600,600,FALSE,FALSE,TRUE,TRUE,TRUE}</definedName>
    <definedName name="ww"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w_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w_2"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w_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w_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w_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we"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we_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we_2"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we_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we_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we_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ww"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_1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_1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_1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_1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_1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_2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_2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_2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_2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_2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W" hidden="1">{#N/A,#N/A,FALSE,"COVER.XLS";#N/A,#N/A,FALSE,"RACT1.XLS";#N/A,#N/A,FALSE,"RACT2.XLS";#N/A,#N/A,FALSE,"ECCMP";#N/A,#N/A,FALSE,"WELDER.XLS"}</definedName>
    <definedName name="WWWW_1" hidden="1">{#N/A,#N/A,FALSE,"COVER.XLS";#N/A,#N/A,FALSE,"RACT1.XLS";#N/A,#N/A,FALSE,"RACT2.XLS";#N/A,#N/A,FALSE,"ECCMP";#N/A,#N/A,FALSE,"WELDER.XLS"}</definedName>
    <definedName name="WWWW_2" hidden="1">{#N/A,#N/A,FALSE,"COVER.XLS";#N/A,#N/A,FALSE,"RACT1.XLS";#N/A,#N/A,FALSE,"RACT2.XLS";#N/A,#N/A,FALSE,"ECCMP";#N/A,#N/A,FALSE,"WELDER.XLS"}</definedName>
    <definedName name="WWWW_3" hidden="1">{#N/A,#N/A,FALSE,"COVER.XLS";#N/A,#N/A,FALSE,"RACT1.XLS";#N/A,#N/A,FALSE,"RACT2.XLS";#N/A,#N/A,FALSE,"ECCMP";#N/A,#N/A,FALSE,"WELDER.XLS"}</definedName>
    <definedName name="WWWW_4" hidden="1">{#N/A,#N/A,FALSE,"COVER.XLS";#N/A,#N/A,FALSE,"RACT1.XLS";#N/A,#N/A,FALSE,"RACT2.XLS";#N/A,#N/A,FALSE,"ECCMP";#N/A,#N/A,FALSE,"WELDER.XLS"}</definedName>
    <definedName name="WWWW_5" hidden="1">{#N/A,#N/A,FALSE,"COVER.XLS";#N/A,#N/A,FALSE,"RACT1.XLS";#N/A,#N/A,FALSE,"RACT2.XLS";#N/A,#N/A,FALSE,"ECCMP";#N/A,#N/A,FALSE,"WELDER.XLS"}</definedName>
    <definedName name="X" hidden="1">{#N/A,#N/A,FALSE,"COVER1.XLS ";#N/A,#N/A,FALSE,"RACT1.XLS";#N/A,#N/A,FALSE,"RACT2.XLS";#N/A,#N/A,FALSE,"ECCMP";#N/A,#N/A,FALSE,"WELDER.XLS"}</definedName>
    <definedName name="XREF_COLUMN_1" hidden="1">'[15]BS-Sch-E'!#REF!</definedName>
    <definedName name="XREF_COLUMN_3" hidden="1">[16]LS!#REF!</definedName>
    <definedName name="XREF_COLUMN_40" hidden="1">#REF!</definedName>
    <definedName name="XREF_COLUMN_41" hidden="1">#REF!</definedName>
    <definedName name="XREF_COLUMN_42" hidden="1">#REF!</definedName>
    <definedName name="XREF_COLUMN_43" hidden="1">#REF!</definedName>
    <definedName name="XREF_COLUMN_44" hidden="1">#REF!</definedName>
    <definedName name="XREF_COLUMN_45" hidden="1">#REF!</definedName>
    <definedName name="XRefColumnsCount" hidden="1">48</definedName>
    <definedName name="XRefCopy1" hidden="1">'[15]BS-Sch-E'!#REF!</definedName>
    <definedName name="XRefCopy10" hidden="1">'[15]BS-Sch-E'!#REF!</definedName>
    <definedName name="XRefCopy10Row" hidden="1">#REF!</definedName>
    <definedName name="XRefCopy11" hidden="1">'[15]BS-Sch-E'!#REF!</definedName>
    <definedName name="XRefCopy11Row" hidden="1">#REF!</definedName>
    <definedName name="XRefCopy12" hidden="1">'[15]BS-Sch-E'!#REF!</definedName>
    <definedName name="XRefCopy12Row" hidden="1">#REF!</definedName>
    <definedName name="XRefCopy14" hidden="1">'[15]BS-Sch-E'!#REF!</definedName>
    <definedName name="XRefCopy140" hidden="1">#REF!</definedName>
    <definedName name="XRefCopy141" hidden="1">#REF!</definedName>
    <definedName name="XRefCopy142" hidden="1">#REF!</definedName>
    <definedName name="XRefCopy143" hidden="1">#REF!</definedName>
    <definedName name="XRefCopy144" hidden="1">#REF!</definedName>
    <definedName name="XRefCopy145" hidden="1">#REF!</definedName>
    <definedName name="XRefCopy14Row" hidden="1">#REF!</definedName>
    <definedName name="XRefCopy15" hidden="1">'[15]BS-Sch-E'!#REF!</definedName>
    <definedName name="XRefCopy15Row" hidden="1">#REF!</definedName>
    <definedName name="XRefCopy16" hidden="1">'[15]BS-Sch-E'!#REF!</definedName>
    <definedName name="XRefCopy16Row" hidden="1">#REF!</definedName>
    <definedName name="XRefCopy1Row" hidden="1">#REF!</definedName>
    <definedName name="XRefCopy2" hidden="1">'[15]BS-Sch-E'!#REF!</definedName>
    <definedName name="XRefCopy21Row" hidden="1">[15]XREF!#REF!</definedName>
    <definedName name="XRefCopy22Row" hidden="1">[15]XREF!#REF!</definedName>
    <definedName name="XRefCopy2Row" hidden="1">#REF!</definedName>
    <definedName name="XRefCopy3" hidden="1">'[15]BS-Sch-E'!#REF!</definedName>
    <definedName name="XRefCopy3Row" hidden="1">#REF!</definedName>
    <definedName name="XRefCopy4" hidden="1">'[15]BS-Sch-E'!#REF!</definedName>
    <definedName name="XRefCopy4Row" hidden="1">#REF!</definedName>
    <definedName name="XRefCopy5Row" hidden="1">[16]XREF!#REF!</definedName>
    <definedName name="XRefCopy7" hidden="1">'[15]BS-Sch-E'!#REF!</definedName>
    <definedName name="XRefCopy7Row" hidden="1">#REF!</definedName>
    <definedName name="XRefCopy8" hidden="1">'[15]BS-Sch-E'!#REF!</definedName>
    <definedName name="XRefCopy8Row" hidden="1">#REF!</definedName>
    <definedName name="XRefCopy9" hidden="1">'[15]BS-Sch-E'!#REF!</definedName>
    <definedName name="XRefCopyRangeCount" hidden="1">145</definedName>
    <definedName name="XRefPaste1Row" hidden="1">[16]XREF!#REF!</definedName>
    <definedName name="XRefPaste2Row" hidden="1">[16]XREF!#REF!</definedName>
    <definedName name="XRefPaste3Row" hidden="1">[16]XREF!#REF!</definedName>
    <definedName name="XRefPaste40Row" hidden="1">[15]XREF!#REF!</definedName>
    <definedName name="XRefPasteRangeCount" hidden="1">141</definedName>
    <definedName name="xyz" hidden="1">{#N/A,#N/A,FALSE,"consu_cover";#N/A,#N/A,FALSE,"consu_strategy";#N/A,#N/A,FALSE,"consu_flow";#N/A,#N/A,FALSE,"Summary_reqmt";#N/A,#N/A,FALSE,"field_ppg";#N/A,#N/A,FALSE,"ppg_shop";#N/A,#N/A,FALSE,"strl";#N/A,#N/A,FALSE,"tankages";#N/A,#N/A,FALSE,"gases"}</definedName>
    <definedName name="xyz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xyz1_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xyz1_2"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xyz1_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xyz1_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xyz1_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xyz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xyz3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xyz3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xyz3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xyz3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xyz3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xyz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xyz4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xyz4_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xyz4_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xyz4_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xyz4_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YIAN" hidden="1">#REF!</definedName>
    <definedName name="Z_103EF461_8E0C_11D4_BD19_00C04F7ADBB0_.wvu.PrintTitles" hidden="1">#REF!</definedName>
    <definedName name="Z_1C8A8291_48BB_11D3_BD19_00C04F7ADBB0_.wvu.PrintTitles" hidden="1">#REF!</definedName>
    <definedName name="Z_22616A05_83D1_11D4_BD19_00C04F7ADBB0_.wvu.PrintTitles" hidden="1">#REF!</definedName>
    <definedName name="Z_4D69700F_3E5A_11D2_B93D_00C04F7ADD59_.wvu.Cols" hidden="1">#REF!,#REF!</definedName>
    <definedName name="Z_4D697010_3E5A_11D2_B93D_00C04F7ADD59_.wvu.Cols" hidden="1">#REF!,#REF!</definedName>
    <definedName name="Z_4D697010_3E5A_11D2_B93D_00C04F7ADD59_.wvu.Rows" hidden="1">#REF!,#REF!,#REF!,#REF!,#REF!,#REF!</definedName>
    <definedName name="Z_4D697011_3E5A_11D2_B93D_00C04F7ADD59_.wvu.Cols" hidden="1">#REF!,#REF!</definedName>
    <definedName name="Z_4D697011_3E5A_11D2_B93D_00C04F7ADD59_.wvu.Rows" hidden="1">#REF!,#REF!,#REF!,#REF!,#REF!,#REF!,#REF!,#REF!,#REF!</definedName>
    <definedName name="Z_4D697012_3E5A_11D2_B93D_00C04F7ADD59_.wvu.Cols" hidden="1">#REF!,#REF!</definedName>
    <definedName name="Z_4D697012_3E5A_11D2_B93D_00C04F7ADD59_.wvu.Rows" hidden="1">#REF!,#REF!,#REF!,#REF!,#REF!,#REF!,#REF!,#REF!,#REF!</definedName>
    <definedName name="Z_4D697013_3E5A_11D2_B93D_00C04F7ADD59_.wvu.Cols" hidden="1">#REF!,#REF!</definedName>
    <definedName name="Z_4D697013_3E5A_11D2_B93D_00C04F7ADD59_.wvu.Rows" hidden="1">#REF!,#REF!,#REF!,#REF!,#REF!</definedName>
    <definedName name="Z_4D697014_3E5A_11D2_B93D_00C04F7ADD59_.wvu.Cols" hidden="1">#REF!,#REF!</definedName>
    <definedName name="Z_4D697014_3E5A_11D2_B93D_00C04F7ADD59_.wvu.Rows" hidden="1">#REF!,#REF!,#REF!,#REF!,#REF!,#REF!,#REF!,#REF!,#REF!,#REF!</definedName>
    <definedName name="Z_4D697015_3E5A_11D2_B93D_00C04F7ADD59_.wvu.Cols" hidden="1">#REF!,#REF!</definedName>
    <definedName name="Z_4D697016_3E5A_11D2_B93D_00C04F7ADD59_.wvu.Cols" hidden="1">#REF!,#REF!</definedName>
    <definedName name="Z_4D697016_3E5A_11D2_B93D_00C04F7ADD59_.wvu.Rows" hidden="1">#REF!,#REF!</definedName>
    <definedName name="Z_4D697017_3E5A_11D2_B93D_00C04F7ADD59_.wvu.Cols" hidden="1">#REF!,#REF!</definedName>
    <definedName name="Z_4D697067_3E5A_11D2_B93D_00C04F7ADD59_.wvu.Cols" hidden="1">#REF!,#REF!</definedName>
    <definedName name="Z_4D697068_3E5A_11D2_B93D_00C04F7ADD59_.wvu.Cols" hidden="1">#REF!,#REF!</definedName>
    <definedName name="Z_4D697068_3E5A_11D2_B93D_00C04F7ADD59_.wvu.Rows" hidden="1">#REF!,#REF!,#REF!,#REF!,#REF!,#REF!</definedName>
    <definedName name="Z_4D697069_3E5A_11D2_B93D_00C04F7ADD59_.wvu.Cols" hidden="1">#REF!,#REF!</definedName>
    <definedName name="Z_4D697069_3E5A_11D2_B93D_00C04F7ADD59_.wvu.Rows" hidden="1">#REF!,#REF!,#REF!,#REF!,#REF!,#REF!,#REF!,#REF!,#REF!</definedName>
    <definedName name="Z_4D69706A_3E5A_11D2_B93D_00C04F7ADD59_.wvu.Cols" hidden="1">#REF!,#REF!</definedName>
    <definedName name="Z_4D69706A_3E5A_11D2_B93D_00C04F7ADD59_.wvu.Rows" hidden="1">#REF!,#REF!,#REF!,#REF!,#REF!,#REF!,#REF!,#REF!,#REF!</definedName>
    <definedName name="Z_4D69706B_3E5A_11D2_B93D_00C04F7ADD59_.wvu.Cols" hidden="1">#REF!,#REF!</definedName>
    <definedName name="Z_4D69706B_3E5A_11D2_B93D_00C04F7ADD59_.wvu.Rows" hidden="1">#REF!,#REF!,#REF!,#REF!,#REF!</definedName>
    <definedName name="Z_4D69706C_3E5A_11D2_B93D_00C04F7ADD59_.wvu.Cols" hidden="1">#REF!,#REF!</definedName>
    <definedName name="Z_4D69706C_3E5A_11D2_B93D_00C04F7ADD59_.wvu.Rows" hidden="1">#REF!,#REF!,#REF!,#REF!,#REF!,#REF!,#REF!,#REF!,#REF!,#REF!</definedName>
    <definedName name="Z_4D69706D_3E5A_11D2_B93D_00C04F7ADD59_.wvu.Cols" hidden="1">#REF!,#REF!</definedName>
    <definedName name="Z_4D69706E_3E5A_11D2_B93D_00C04F7ADD59_.wvu.Cols" hidden="1">#REF!,#REF!</definedName>
    <definedName name="Z_4D69706E_3E5A_11D2_B93D_00C04F7ADD59_.wvu.Rows" hidden="1">#REF!,#REF!</definedName>
    <definedName name="Z_4D69706F_3E5A_11D2_B93D_00C04F7ADD59_.wvu.Cols" hidden="1">#REF!,#REF!</definedName>
    <definedName name="Z_56741B30_9E05_11D4_BE09_0050040BF713_.wvu.Cols" hidden="1">#REF!</definedName>
    <definedName name="Z_56741B30_9E05_11D4_BE09_0050040BF713_.wvu.PrintTitles" hidden="1">#REF!</definedName>
    <definedName name="Z_7DE7B4CF_4CBE_11D2_B93D_00C04F7ADD59_.wvu.Cols" hidden="1">#REF!,#REF!</definedName>
    <definedName name="Z_7DE7B4D0_4CBE_11D2_B93D_00C04F7ADD59_.wvu.Cols" hidden="1">#REF!,#REF!</definedName>
    <definedName name="Z_7DE7B4D0_4CBE_11D2_B93D_00C04F7ADD59_.wvu.Rows" hidden="1">#REF!,#REF!,#REF!,#REF!,#REF!,#REF!</definedName>
    <definedName name="Z_7DE7B4D1_4CBE_11D2_B93D_00C04F7ADD59_.wvu.Cols" hidden="1">#REF!,#REF!</definedName>
    <definedName name="Z_7DE7B4D1_4CBE_11D2_B93D_00C04F7ADD59_.wvu.Rows" hidden="1">#REF!,#REF!,#REF!,#REF!,#REF!,#REF!,#REF!,#REF!,#REF!</definedName>
    <definedName name="Z_7DE7B4D2_4CBE_11D2_B93D_00C04F7ADD59_.wvu.Cols" hidden="1">#REF!,#REF!</definedName>
    <definedName name="Z_7DE7B4D2_4CBE_11D2_B93D_00C04F7ADD59_.wvu.Rows" hidden="1">#REF!,#REF!,#REF!,#REF!,#REF!,#REF!,#REF!,#REF!,#REF!</definedName>
    <definedName name="Z_7DE7B4D3_4CBE_11D2_B93D_00C04F7ADD59_.wvu.Cols" hidden="1">#REF!,#REF!</definedName>
    <definedName name="Z_7DE7B4D3_4CBE_11D2_B93D_00C04F7ADD59_.wvu.Rows" hidden="1">#REF!,#REF!,#REF!,#REF!,#REF!</definedName>
    <definedName name="Z_7DE7B4D4_4CBE_11D2_B93D_00C04F7ADD59_.wvu.Cols" hidden="1">#REF!,#REF!</definedName>
    <definedName name="Z_7DE7B4D4_4CBE_11D2_B93D_00C04F7ADD59_.wvu.Rows" hidden="1">#REF!,#REF!,#REF!,#REF!,#REF!,#REF!,#REF!,#REF!,#REF!,#REF!</definedName>
    <definedName name="Z_7DE7B4D5_4CBE_11D2_B93D_00C04F7ADD59_.wvu.Cols" hidden="1">#REF!,#REF!</definedName>
    <definedName name="Z_7DE7B4D6_4CBE_11D2_B93D_00C04F7ADD59_.wvu.Cols" hidden="1">#REF!,#REF!</definedName>
    <definedName name="Z_7DE7B4D6_4CBE_11D2_B93D_00C04F7ADD59_.wvu.Rows" hidden="1">#REF!,#REF!</definedName>
    <definedName name="Z_7DE7B4D7_4CBE_11D2_B93D_00C04F7ADD59_.wvu.Cols" hidden="1">#REF!,#REF!</definedName>
    <definedName name="Z_9C764411_CC6B_11D4_A50D_00010277FBAA_.wvu.PrintArea" hidden="1">#REF!</definedName>
    <definedName name="Z_C207A48F_3DC8_11D2_B93D_00C04F7ADD59_.wvu.Cols" hidden="1">#REF!,#REF!</definedName>
    <definedName name="Z_C207A490_3DC8_11D2_B93D_00C04F7ADD59_.wvu.Cols" hidden="1">#REF!,#REF!</definedName>
    <definedName name="Z_C207A490_3DC8_11D2_B93D_00C04F7ADD59_.wvu.Rows" hidden="1">#REF!,#REF!,#REF!,#REF!,#REF!,#REF!</definedName>
    <definedName name="Z_C207A491_3DC8_11D2_B93D_00C04F7ADD59_.wvu.Cols" hidden="1">#REF!,#REF!</definedName>
    <definedName name="Z_C207A491_3DC8_11D2_B93D_00C04F7ADD59_.wvu.Rows" hidden="1">#REF!,#REF!,#REF!,#REF!,#REF!,#REF!,#REF!,#REF!,#REF!</definedName>
    <definedName name="Z_C207A493_3DC8_11D2_B93D_00C04F7ADD59_.wvu.Cols" hidden="1">#REF!,#REF!</definedName>
    <definedName name="Z_C207A493_3DC8_11D2_B93D_00C04F7ADD59_.wvu.Rows" hidden="1">#REF!,#REF!,#REF!,#REF!,#REF!</definedName>
    <definedName name="Z_C207A494_3DC8_11D2_B93D_00C04F7ADD59_.wvu.Cols" hidden="1">#REF!,#REF!</definedName>
    <definedName name="Z_C207A494_3DC8_11D2_B93D_00C04F7ADD59_.wvu.Rows" hidden="1">#REF!,#REF!,#REF!,#REF!,#REF!,#REF!,#REF!,#REF!,#REF!,#REF!</definedName>
    <definedName name="Z_C207A495_3DC8_11D2_B93D_00C04F7ADD59_.wvu.Cols" hidden="1">#REF!,#REF!</definedName>
    <definedName name="Z_C207A496_3DC8_11D2_B93D_00C04F7ADD59_.wvu.Cols" hidden="1">#REF!,#REF!</definedName>
    <definedName name="Z_C207A496_3DC8_11D2_B93D_00C04F7ADD59_.wvu.Rows" hidden="1">#REF!,#REF!</definedName>
    <definedName name="Z_C207A497_3DC8_11D2_B93D_00C04F7ADD59_.wvu.Cols" hidden="1">#REF!,#REF!</definedName>
    <definedName name="Z_C313B3E8_4D4B_11D2_B93D_00C04F7ADD59_.wvu.Cols" hidden="1">#REF!,#REF!</definedName>
    <definedName name="Z_C313B3E9_4D4B_11D2_B93D_00C04F7ADD59_.wvu.Cols" hidden="1">#REF!,#REF!</definedName>
    <definedName name="Z_C313B3E9_4D4B_11D2_B93D_00C04F7ADD59_.wvu.Rows" hidden="1">#REF!,#REF!,#REF!,#REF!,#REF!,#REF!</definedName>
    <definedName name="Z_C313B3EA_4D4B_11D2_B93D_00C04F7ADD59_.wvu.Cols" hidden="1">#REF!,#REF!</definedName>
    <definedName name="Z_C313B3EA_4D4B_11D2_B93D_00C04F7ADD59_.wvu.Rows" hidden="1">#REF!,#REF!,#REF!,#REF!,#REF!,#REF!,#REF!,#REF!,#REF!</definedName>
    <definedName name="Z_C313B3EB_4D4B_11D2_B93D_00C04F7ADD59_.wvu.Cols" hidden="1">#REF!,#REF!</definedName>
    <definedName name="Z_C313B3EB_4D4B_11D2_B93D_00C04F7ADD59_.wvu.Rows" hidden="1">#REF!,#REF!,#REF!,#REF!,#REF!,#REF!,#REF!,#REF!,#REF!</definedName>
    <definedName name="Z_C313B3EC_4D4B_11D2_B93D_00C04F7ADD59_.wvu.Cols" hidden="1">#REF!,#REF!</definedName>
    <definedName name="Z_C313B3EC_4D4B_11D2_B93D_00C04F7ADD59_.wvu.Rows" hidden="1">#REF!,#REF!,#REF!,#REF!,#REF!</definedName>
    <definedName name="Z_C313B3ED_4D4B_11D2_B93D_00C04F7ADD59_.wvu.Cols" hidden="1">#REF!,#REF!</definedName>
    <definedName name="Z_C313B3ED_4D4B_11D2_B93D_00C04F7ADD59_.wvu.Rows" hidden="1">#REF!,#REF!,#REF!,#REF!,#REF!,#REF!,#REF!,#REF!,#REF!,#REF!</definedName>
    <definedName name="Z_C313B3EE_4D4B_11D2_B93D_00C04F7ADD59_.wvu.Cols" hidden="1">#REF!,#REF!</definedName>
    <definedName name="Z_C313B3EF_4D4B_11D2_B93D_00C04F7ADD59_.wvu.Cols" hidden="1">#REF!,#REF!</definedName>
    <definedName name="Z_C313B3EF_4D4B_11D2_B93D_00C04F7ADD59_.wvu.Rows" hidden="1">#REF!,#REF!</definedName>
    <definedName name="Z_C313B3F0_4D4B_11D2_B93D_00C04F7ADD59_.wvu.Cols" hidden="1">#REF!,#REF!</definedName>
    <definedName name="Z_D76C0740_B992_11D1_B744_006008CA297A_.wvu.FilterData" hidden="1">#REF!</definedName>
    <definedName name="Z_D76C0740_B992_11D1_B744_006008CA297A_.wvu.PrintArea" hidden="1">#REF!</definedName>
    <definedName name="zep"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_1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_1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_1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_1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_1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_2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_2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_2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_2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_2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_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_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_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x"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_1"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_1_1"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_1_2"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_1_3"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_1_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_1_5"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_2"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_2_1"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_2_2"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_2_3"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_2_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_2_5"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_3"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_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_5"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哈哈" hidden="1">#REF!</definedName>
    <definedName name="射频头安装2" hidden="1">#REF!</definedName>
    <definedName name="工艺流程图" hidden="1">#REF!</definedName>
    <definedName name="我的快乐" hidden="1">#REF!</definedName>
    <definedName name="手机装配图" hidden="1">#REF!</definedName>
    <definedName name="杨" hidden="1">#REF!</definedName>
    <definedName name="杨啦啊" hidden="1">#REF!</definedName>
  </definedNames>
  <calcPr calcId="191029"/>
  <pivotCaches>
    <pivotCache cacheId="7" r:id="rId24"/>
    <pivotCache cacheId="13" r:id="rId25"/>
    <pivotCache cacheId="17" r:id="rId26"/>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139" i="132" l="1"/>
  <c r="P140" i="132"/>
  <c r="P141" i="132"/>
  <c r="P142" i="132"/>
  <c r="P143" i="132"/>
  <c r="P144" i="132"/>
  <c r="P145" i="132"/>
  <c r="P146" i="132"/>
  <c r="P147" i="132"/>
  <c r="P148" i="132"/>
  <c r="P149" i="132"/>
  <c r="R139" i="132"/>
  <c r="R140" i="132"/>
  <c r="R141" i="132"/>
  <c r="R142" i="132"/>
  <c r="R143" i="132"/>
  <c r="R144" i="132"/>
  <c r="R145" i="132"/>
  <c r="R146" i="132"/>
  <c r="R147" i="132"/>
  <c r="R148" i="132"/>
  <c r="R149" i="132"/>
  <c r="T139" i="132"/>
  <c r="U139" i="132" s="1"/>
  <c r="T140" i="132"/>
  <c r="U140" i="132" s="1"/>
  <c r="T141" i="132"/>
  <c r="T142" i="132"/>
  <c r="T143" i="132"/>
  <c r="T144" i="132"/>
  <c r="T145" i="132"/>
  <c r="U145" i="132" s="1"/>
  <c r="T146" i="132"/>
  <c r="U146" i="132" s="1"/>
  <c r="T147" i="132"/>
  <c r="U147" i="132" s="1"/>
  <c r="T148" i="132"/>
  <c r="U148" i="132" s="1"/>
  <c r="T149" i="132"/>
  <c r="U149" i="132" s="1"/>
  <c r="U141" i="132"/>
  <c r="U142" i="132"/>
  <c r="U143" i="132"/>
  <c r="U144" i="132"/>
  <c r="W139" i="132"/>
  <c r="W140" i="132"/>
  <c r="W141" i="132"/>
  <c r="W142" i="132"/>
  <c r="W143" i="132"/>
  <c r="W144" i="132"/>
  <c r="W145" i="132"/>
  <c r="W146" i="132"/>
  <c r="W147" i="132"/>
  <c r="W148" i="132"/>
  <c r="W149" i="132"/>
  <c r="Y139" i="132"/>
  <c r="Y140" i="132"/>
  <c r="Y141" i="132"/>
  <c r="Y142" i="132"/>
  <c r="Y143" i="132"/>
  <c r="Y144" i="132"/>
  <c r="Y145" i="132"/>
  <c r="Y146" i="132"/>
  <c r="Y147" i="132"/>
  <c r="Y148" i="132"/>
  <c r="Y149" i="132"/>
  <c r="AA139" i="132"/>
  <c r="AA140" i="132"/>
  <c r="AA141" i="132"/>
  <c r="AA142" i="132"/>
  <c r="AA143" i="132"/>
  <c r="AA144" i="132"/>
  <c r="AA145" i="132"/>
  <c r="AA146" i="132"/>
  <c r="AA147" i="132"/>
  <c r="AA148" i="132"/>
  <c r="AA149" i="132"/>
  <c r="AB139" i="132"/>
  <c r="AB140" i="132"/>
  <c r="AB141" i="132"/>
  <c r="AB142" i="132"/>
  <c r="AB143" i="132"/>
  <c r="AB144" i="132"/>
  <c r="AB145" i="132"/>
  <c r="AB146" i="132"/>
  <c r="AB147" i="132"/>
  <c r="AB148" i="132"/>
  <c r="AB149" i="132"/>
  <c r="AD139" i="132"/>
  <c r="AD140" i="132"/>
  <c r="AD141" i="132"/>
  <c r="AD142" i="132"/>
  <c r="AD143" i="132"/>
  <c r="AD144" i="132"/>
  <c r="AD145" i="132"/>
  <c r="AD146" i="132"/>
  <c r="AD147" i="132"/>
  <c r="AD148" i="132"/>
  <c r="AD149" i="132"/>
  <c r="AF139" i="132"/>
  <c r="AF140" i="132"/>
  <c r="AF141" i="132"/>
  <c r="AF142" i="132"/>
  <c r="AF143" i="132"/>
  <c r="AF144" i="132"/>
  <c r="AF145" i="132"/>
  <c r="AF146" i="132"/>
  <c r="AF147" i="132"/>
  <c r="AF148" i="132"/>
  <c r="AF149" i="132"/>
  <c r="W3" i="132" l="1"/>
  <c r="E22" i="133" l="1"/>
  <c r="E23" i="133"/>
  <c r="E24" i="133"/>
  <c r="E21" i="133"/>
  <c r="P138" i="132" l="1"/>
  <c r="R138" i="132"/>
  <c r="T138" i="132"/>
  <c r="U138" i="132" s="1"/>
  <c r="W138" i="132"/>
  <c r="Y138" i="132"/>
  <c r="AB138" i="132"/>
  <c r="AD138" i="132"/>
  <c r="AF138" i="132"/>
  <c r="P137" i="132"/>
  <c r="R137" i="132"/>
  <c r="T137" i="132"/>
  <c r="U137" i="132" s="1"/>
  <c r="W137" i="132"/>
  <c r="Y137" i="132"/>
  <c r="AB137" i="132"/>
  <c r="AD137" i="132"/>
  <c r="AF137" i="132"/>
  <c r="AA138" i="132" l="1"/>
  <c r="AA137" i="132"/>
  <c r="P136" i="132"/>
  <c r="R136" i="132"/>
  <c r="T136" i="132"/>
  <c r="U136" i="132" s="1"/>
  <c r="W136" i="132"/>
  <c r="Y136" i="132"/>
  <c r="AA136" i="132"/>
  <c r="AB136" i="132"/>
  <c r="AD136" i="132"/>
  <c r="AF136" i="132"/>
  <c r="P132" i="132" l="1"/>
  <c r="P133" i="132"/>
  <c r="P134" i="132"/>
  <c r="P135" i="132"/>
  <c r="R132" i="132"/>
  <c r="R133" i="132"/>
  <c r="R134" i="132"/>
  <c r="R135" i="132"/>
  <c r="T132" i="132"/>
  <c r="U132" i="132" s="1"/>
  <c r="T133" i="132"/>
  <c r="U133" i="132" s="1"/>
  <c r="T134" i="132"/>
  <c r="U134" i="132" s="1"/>
  <c r="T135" i="132"/>
  <c r="U135" i="132" s="1"/>
  <c r="W132" i="132"/>
  <c r="W133" i="132"/>
  <c r="W134" i="132"/>
  <c r="W135" i="132"/>
  <c r="Y132" i="132"/>
  <c r="Y133" i="132"/>
  <c r="Y134" i="132"/>
  <c r="Y135" i="132"/>
  <c r="AA132" i="132"/>
  <c r="AA133" i="132"/>
  <c r="AA134" i="132"/>
  <c r="AA135" i="132"/>
  <c r="AB132" i="132"/>
  <c r="AB133" i="132"/>
  <c r="AB134" i="132"/>
  <c r="AB135" i="132"/>
  <c r="AD132" i="132"/>
  <c r="AD133" i="132"/>
  <c r="AD134" i="132"/>
  <c r="AD135" i="132"/>
  <c r="AF132" i="132"/>
  <c r="AF133" i="132"/>
  <c r="AF134" i="132"/>
  <c r="AF135" i="132"/>
  <c r="P131" i="132" l="1"/>
  <c r="R131" i="132"/>
  <c r="T131" i="132"/>
  <c r="U131" i="132" s="1"/>
  <c r="W131" i="132"/>
  <c r="Y131" i="132"/>
  <c r="AA131" i="132"/>
  <c r="AB131" i="132"/>
  <c r="AD131" i="132"/>
  <c r="AF131" i="132"/>
  <c r="P130" i="132"/>
  <c r="R130" i="132"/>
  <c r="T130" i="132"/>
  <c r="U130" i="132" s="1"/>
  <c r="W130" i="132"/>
  <c r="Y130" i="132"/>
  <c r="AA130" i="132"/>
  <c r="AB130" i="132"/>
  <c r="AD130" i="132"/>
  <c r="AF130" i="132"/>
  <c r="P129" i="132" l="1"/>
  <c r="R129" i="132"/>
  <c r="T129" i="132"/>
  <c r="U129" i="132" s="1"/>
  <c r="W129" i="132"/>
  <c r="Y129" i="132"/>
  <c r="AB129" i="132"/>
  <c r="AD129" i="132"/>
  <c r="AF129" i="132"/>
  <c r="P126" i="132"/>
  <c r="P127" i="132"/>
  <c r="P128" i="132"/>
  <c r="R126" i="132"/>
  <c r="R127" i="132"/>
  <c r="R128" i="132"/>
  <c r="T126" i="132"/>
  <c r="U126" i="132" s="1"/>
  <c r="T127" i="132"/>
  <c r="U127" i="132" s="1"/>
  <c r="T128" i="132"/>
  <c r="U128" i="132" s="1"/>
  <c r="W126" i="132"/>
  <c r="W127" i="132"/>
  <c r="W128" i="132"/>
  <c r="Y126" i="132"/>
  <c r="Y127" i="132"/>
  <c r="Y128" i="132"/>
  <c r="AA126" i="132"/>
  <c r="AA127" i="132"/>
  <c r="AA128" i="132"/>
  <c r="AB126" i="132"/>
  <c r="AB127" i="132"/>
  <c r="AB128" i="132"/>
  <c r="AD126" i="132"/>
  <c r="AD127" i="132"/>
  <c r="AD128" i="132"/>
  <c r="AF126" i="132"/>
  <c r="AF127" i="132"/>
  <c r="AF128" i="132"/>
  <c r="AA129" i="132" l="1"/>
  <c r="P125" i="132"/>
  <c r="R125" i="132"/>
  <c r="T125" i="132"/>
  <c r="U125" i="132" s="1"/>
  <c r="W125" i="132"/>
  <c r="Y125" i="132"/>
  <c r="AA125" i="132"/>
  <c r="AB125" i="132"/>
  <c r="AF125" i="132"/>
  <c r="AD125" i="132"/>
  <c r="AF124" i="132"/>
  <c r="AD124" i="132"/>
  <c r="AB124" i="132"/>
  <c r="AA124" i="132"/>
  <c r="Y124" i="132"/>
  <c r="W124" i="132"/>
  <c r="T124" i="132"/>
  <c r="U124" i="132" s="1"/>
  <c r="R124" i="132"/>
  <c r="P124" i="132"/>
  <c r="AD123" i="132" l="1"/>
  <c r="P122" i="132" l="1"/>
  <c r="P123" i="132"/>
  <c r="R122" i="132"/>
  <c r="R123" i="132"/>
  <c r="T122" i="132"/>
  <c r="U122" i="132" s="1"/>
  <c r="T123" i="132"/>
  <c r="U123" i="132" s="1"/>
  <c r="W122" i="132"/>
  <c r="W123" i="132"/>
  <c r="Y122" i="132"/>
  <c r="Y123" i="132"/>
  <c r="AB122" i="132"/>
  <c r="AB123" i="132"/>
  <c r="AD122" i="132"/>
  <c r="AF122" i="132"/>
  <c r="AF123" i="132"/>
  <c r="AA123" i="132" l="1"/>
  <c r="AA122" i="132"/>
  <c r="P119" i="132" l="1"/>
  <c r="P120" i="132"/>
  <c r="P121" i="132"/>
  <c r="R119" i="132"/>
  <c r="R120" i="132"/>
  <c r="R121" i="132"/>
  <c r="T119" i="132"/>
  <c r="U119" i="132" s="1"/>
  <c r="T120" i="132"/>
  <c r="U120" i="132" s="1"/>
  <c r="T121" i="132"/>
  <c r="U121" i="132" s="1"/>
  <c r="W119" i="132"/>
  <c r="W120" i="132"/>
  <c r="W121" i="132"/>
  <c r="Y119" i="132"/>
  <c r="Y120" i="132"/>
  <c r="Y121" i="132"/>
  <c r="AA119" i="132"/>
  <c r="AA120" i="132"/>
  <c r="AA121" i="132"/>
  <c r="AB119" i="132"/>
  <c r="AB120" i="132"/>
  <c r="AB121" i="132"/>
  <c r="AD119" i="132"/>
  <c r="AD120" i="132"/>
  <c r="AD121" i="132"/>
  <c r="AF119" i="132"/>
  <c r="AF120" i="132"/>
  <c r="AF121" i="132"/>
  <c r="P116" i="132"/>
  <c r="P117" i="132"/>
  <c r="P118" i="132"/>
  <c r="R116" i="132"/>
  <c r="R117" i="132"/>
  <c r="R118" i="132"/>
  <c r="T116" i="132"/>
  <c r="U116" i="132" s="1"/>
  <c r="T117" i="132"/>
  <c r="U117" i="132" s="1"/>
  <c r="T118" i="132"/>
  <c r="U118" i="132" s="1"/>
  <c r="W116" i="132"/>
  <c r="W117" i="132"/>
  <c r="W118" i="132"/>
  <c r="Y116" i="132"/>
  <c r="Y117" i="132"/>
  <c r="Y118" i="132"/>
  <c r="AA116" i="132"/>
  <c r="AA117" i="132"/>
  <c r="AA118" i="132"/>
  <c r="AB116" i="132"/>
  <c r="AB117" i="132"/>
  <c r="AB118" i="132"/>
  <c r="AD116" i="132"/>
  <c r="AD117" i="132"/>
  <c r="AD118" i="132"/>
  <c r="AF116" i="132"/>
  <c r="AF117" i="132"/>
  <c r="AF118" i="132"/>
  <c r="P115" i="132" l="1"/>
  <c r="R115" i="132"/>
  <c r="T115" i="132"/>
  <c r="U115" i="132" s="1"/>
  <c r="W115" i="132"/>
  <c r="Y115" i="132"/>
  <c r="AA115" i="132"/>
  <c r="AB115" i="132"/>
  <c r="AD115" i="132"/>
  <c r="AF115" i="132"/>
  <c r="P114" i="132"/>
  <c r="R114" i="132"/>
  <c r="T114" i="132"/>
  <c r="U114" i="132" s="1"/>
  <c r="W114" i="132"/>
  <c r="Y114" i="132"/>
  <c r="AA114" i="132"/>
  <c r="AB114" i="132"/>
  <c r="AD114" i="132"/>
  <c r="AF114" i="132"/>
  <c r="P112" i="132" l="1"/>
  <c r="P113" i="132"/>
  <c r="R112" i="132"/>
  <c r="R113" i="132"/>
  <c r="T112" i="132"/>
  <c r="U112" i="132" s="1"/>
  <c r="T113" i="132"/>
  <c r="U113" i="132" s="1"/>
  <c r="W112" i="132"/>
  <c r="W113" i="132"/>
  <c r="Y112" i="132"/>
  <c r="Y113" i="132"/>
  <c r="AA112" i="132"/>
  <c r="AA113" i="132"/>
  <c r="AB112" i="132"/>
  <c r="AB113" i="132"/>
  <c r="AD112" i="132"/>
  <c r="AD113" i="132"/>
  <c r="AF112" i="132"/>
  <c r="AF113" i="132"/>
  <c r="P111" i="132"/>
  <c r="R111" i="132"/>
  <c r="T111" i="132"/>
  <c r="AA111" i="132" s="1"/>
  <c r="W111" i="132"/>
  <c r="Y111" i="132"/>
  <c r="AB111" i="132"/>
  <c r="AD111" i="132"/>
  <c r="AF111" i="132"/>
  <c r="P100" i="132"/>
  <c r="P101" i="132"/>
  <c r="P102" i="132"/>
  <c r="P103" i="132"/>
  <c r="P104" i="132"/>
  <c r="P105" i="132"/>
  <c r="P106" i="132"/>
  <c r="P107" i="132"/>
  <c r="P108" i="132"/>
  <c r="P109" i="132"/>
  <c r="P110" i="132"/>
  <c r="R100" i="132"/>
  <c r="R101" i="132"/>
  <c r="R102" i="132"/>
  <c r="R103" i="132"/>
  <c r="R104" i="132"/>
  <c r="R105" i="132"/>
  <c r="R106" i="132"/>
  <c r="R107" i="132"/>
  <c r="R108" i="132"/>
  <c r="R109" i="132"/>
  <c r="R110" i="132"/>
  <c r="T100" i="132"/>
  <c r="U100" i="132" s="1"/>
  <c r="T101" i="132"/>
  <c r="U101" i="132" s="1"/>
  <c r="T102" i="132"/>
  <c r="U102" i="132" s="1"/>
  <c r="T103" i="132"/>
  <c r="U103" i="132" s="1"/>
  <c r="T104" i="132"/>
  <c r="U104" i="132" s="1"/>
  <c r="T105" i="132"/>
  <c r="U105" i="132" s="1"/>
  <c r="T106" i="132"/>
  <c r="U106" i="132" s="1"/>
  <c r="T107" i="132"/>
  <c r="U107" i="132" s="1"/>
  <c r="T108" i="132"/>
  <c r="U108" i="132" s="1"/>
  <c r="T109" i="132"/>
  <c r="U109" i="132" s="1"/>
  <c r="T110" i="132"/>
  <c r="U110" i="132" s="1"/>
  <c r="W100" i="132"/>
  <c r="W101" i="132"/>
  <c r="W102" i="132"/>
  <c r="W103" i="132"/>
  <c r="W104" i="132"/>
  <c r="W105" i="132"/>
  <c r="W106" i="132"/>
  <c r="W107" i="132"/>
  <c r="W108" i="132"/>
  <c r="W109" i="132"/>
  <c r="W110" i="132"/>
  <c r="Y100" i="132"/>
  <c r="Y101" i="132"/>
  <c r="Y102" i="132"/>
  <c r="Y103" i="132"/>
  <c r="Y104" i="132"/>
  <c r="Y105" i="132"/>
  <c r="Y106" i="132"/>
  <c r="Y107" i="132"/>
  <c r="Y108" i="132"/>
  <c r="Y109" i="132"/>
  <c r="Y110" i="132"/>
  <c r="AA100" i="132"/>
  <c r="AA101" i="132"/>
  <c r="AA102" i="132"/>
  <c r="AA103" i="132"/>
  <c r="AA104" i="132"/>
  <c r="AA105" i="132"/>
  <c r="AA106" i="132"/>
  <c r="AA107" i="132"/>
  <c r="AA108" i="132"/>
  <c r="AA109" i="132"/>
  <c r="AA110" i="132"/>
  <c r="AB100" i="132"/>
  <c r="AB101" i="132"/>
  <c r="AB102" i="132"/>
  <c r="AB103" i="132"/>
  <c r="AB104" i="132"/>
  <c r="AB105" i="132"/>
  <c r="AB106" i="132"/>
  <c r="AB107" i="132"/>
  <c r="AB108" i="132"/>
  <c r="AB109" i="132"/>
  <c r="AB110" i="132"/>
  <c r="AD100" i="132"/>
  <c r="AD101" i="132"/>
  <c r="AD102" i="132"/>
  <c r="AD103" i="132"/>
  <c r="AD104" i="132"/>
  <c r="AD105" i="132"/>
  <c r="AD106" i="132"/>
  <c r="AD107" i="132"/>
  <c r="AD108" i="132"/>
  <c r="AD109" i="132"/>
  <c r="AD110" i="132"/>
  <c r="AF100" i="132"/>
  <c r="AF101" i="132"/>
  <c r="AF102" i="132"/>
  <c r="AF103" i="132"/>
  <c r="AF104" i="132"/>
  <c r="AF105" i="132"/>
  <c r="AF106" i="132"/>
  <c r="AF107" i="132"/>
  <c r="AF108" i="132"/>
  <c r="AF109" i="132"/>
  <c r="AF110" i="132"/>
  <c r="U111" i="132" l="1"/>
  <c r="P53" i="132"/>
  <c r="R53" i="132"/>
  <c r="T53" i="132"/>
  <c r="U53" i="132" s="1"/>
  <c r="W53" i="132"/>
  <c r="Y53" i="132"/>
  <c r="AA53" i="132"/>
  <c r="AB53" i="132"/>
  <c r="AD53" i="132"/>
  <c r="AF53" i="132"/>
  <c r="P61" i="132" l="1"/>
  <c r="R61" i="132"/>
  <c r="T61" i="132"/>
  <c r="U61" i="132" s="1"/>
  <c r="W61" i="132"/>
  <c r="Y61" i="132"/>
  <c r="AA61" i="132"/>
  <c r="AB61" i="132"/>
  <c r="AD61" i="132"/>
  <c r="AF61" i="132"/>
  <c r="P62" i="132"/>
  <c r="R62" i="132"/>
  <c r="T62" i="132"/>
  <c r="U62" i="132" s="1"/>
  <c r="W62" i="132"/>
  <c r="Y62" i="132"/>
  <c r="AA62" i="132"/>
  <c r="AB62" i="132"/>
  <c r="AD62" i="132"/>
  <c r="AF62" i="132"/>
  <c r="P51" i="132" l="1"/>
  <c r="P52" i="132"/>
  <c r="R51" i="132"/>
  <c r="R52" i="132"/>
  <c r="T51" i="132"/>
  <c r="U51" i="132" s="1"/>
  <c r="T52" i="132"/>
  <c r="U52" i="132" s="1"/>
  <c r="W51" i="132"/>
  <c r="W52" i="132"/>
  <c r="Y51" i="132"/>
  <c r="Y52" i="132"/>
  <c r="AA51" i="132"/>
  <c r="AA52" i="132"/>
  <c r="AB51" i="132"/>
  <c r="AB52" i="132"/>
  <c r="AD51" i="132"/>
  <c r="AD52" i="132"/>
  <c r="AF51" i="132"/>
  <c r="AF52" i="132"/>
  <c r="P45" i="132" l="1"/>
  <c r="P46" i="132"/>
  <c r="P47" i="132"/>
  <c r="P48" i="132"/>
  <c r="P49" i="132"/>
  <c r="P50" i="132"/>
  <c r="R45" i="132"/>
  <c r="R46" i="132"/>
  <c r="R47" i="132"/>
  <c r="R48" i="132"/>
  <c r="R49" i="132"/>
  <c r="R50" i="132"/>
  <c r="T45" i="132"/>
  <c r="U45" i="132" s="1"/>
  <c r="T46" i="132"/>
  <c r="U46" i="132" s="1"/>
  <c r="T47" i="132"/>
  <c r="U47" i="132" s="1"/>
  <c r="T48" i="132"/>
  <c r="U48" i="132" s="1"/>
  <c r="T49" i="132"/>
  <c r="U49" i="132" s="1"/>
  <c r="T50" i="132"/>
  <c r="U50" i="132" s="1"/>
  <c r="W45" i="132"/>
  <c r="W46" i="132"/>
  <c r="W47" i="132"/>
  <c r="W48" i="132"/>
  <c r="W49" i="132"/>
  <c r="W50" i="132"/>
  <c r="Y45" i="132"/>
  <c r="Y46" i="132"/>
  <c r="Y47" i="132"/>
  <c r="Y48" i="132"/>
  <c r="Y49" i="132"/>
  <c r="Y50" i="132"/>
  <c r="AA45" i="132"/>
  <c r="AA46" i="132"/>
  <c r="AA47" i="132"/>
  <c r="AA48" i="132"/>
  <c r="AA49" i="132"/>
  <c r="AA50" i="132"/>
  <c r="AB45" i="132"/>
  <c r="AB46" i="132"/>
  <c r="AB47" i="132"/>
  <c r="AB48" i="132"/>
  <c r="AB49" i="132"/>
  <c r="AB50" i="132"/>
  <c r="AD45" i="132"/>
  <c r="AD46" i="132"/>
  <c r="AD47" i="132"/>
  <c r="AD48" i="132"/>
  <c r="AD49" i="132"/>
  <c r="AD50" i="132"/>
  <c r="AF45" i="132"/>
  <c r="AF46" i="132"/>
  <c r="AF47" i="132"/>
  <c r="AF48" i="132"/>
  <c r="AF49" i="132"/>
  <c r="AF50" i="132"/>
  <c r="P40" i="132" l="1"/>
  <c r="R40" i="132"/>
  <c r="T40" i="132"/>
  <c r="U40" i="132" s="1"/>
  <c r="W40" i="132"/>
  <c r="Y40" i="132"/>
  <c r="AA40" i="132"/>
  <c r="AB40" i="132"/>
  <c r="AD40" i="132"/>
  <c r="AF40" i="132"/>
  <c r="AF54" i="132"/>
  <c r="AF55" i="132"/>
  <c r="AF56" i="132"/>
  <c r="AF57" i="132"/>
  <c r="AF58" i="132"/>
  <c r="AF59" i="132"/>
  <c r="AF60" i="132"/>
  <c r="AF11" i="132"/>
  <c r="AF12" i="132"/>
  <c r="AF13" i="132"/>
  <c r="AF35" i="132"/>
  <c r="AF63" i="132"/>
  <c r="AF64" i="132"/>
  <c r="AF65" i="132"/>
  <c r="AF66" i="132"/>
  <c r="AF67" i="132"/>
  <c r="AF68" i="132"/>
  <c r="AF69" i="132"/>
  <c r="AF70" i="132"/>
  <c r="AF71" i="132"/>
  <c r="AF72" i="132"/>
  <c r="AF73" i="132"/>
  <c r="AF74" i="132"/>
  <c r="AF75" i="132"/>
  <c r="AF2" i="132"/>
  <c r="AF14" i="132"/>
  <c r="AF76" i="132"/>
  <c r="AF77" i="132"/>
  <c r="AF78" i="132"/>
  <c r="AF79" i="132"/>
  <c r="AF80" i="132"/>
  <c r="AF81" i="132"/>
  <c r="AF82" i="132"/>
  <c r="AF83" i="132"/>
  <c r="AF84" i="132"/>
  <c r="AF85" i="132"/>
  <c r="AF86" i="132"/>
  <c r="AF87" i="132"/>
  <c r="AF88" i="132"/>
  <c r="AF89" i="132"/>
  <c r="AF90" i="132"/>
  <c r="AF91" i="132"/>
  <c r="AF92" i="132"/>
  <c r="AF93" i="132"/>
  <c r="AF94" i="132"/>
  <c r="AF95" i="132"/>
  <c r="AF36" i="132"/>
  <c r="AF3" i="132"/>
  <c r="AF15" i="132"/>
  <c r="AF16" i="132"/>
  <c r="AF17" i="132"/>
  <c r="AF18" i="132"/>
  <c r="AF10" i="132"/>
  <c r="AF96" i="132"/>
  <c r="AF21" i="132"/>
  <c r="AF19" i="132"/>
  <c r="AF97" i="132"/>
  <c r="AF20" i="132"/>
  <c r="AF22" i="132"/>
  <c r="AF23" i="132"/>
  <c r="AF4" i="132"/>
  <c r="AF5" i="132"/>
  <c r="AF6" i="132"/>
  <c r="AF7" i="132"/>
  <c r="AF24" i="132"/>
  <c r="AF25" i="132"/>
  <c r="AF37" i="132"/>
  <c r="AF41" i="132"/>
  <c r="AF26" i="132"/>
  <c r="AF27" i="132"/>
  <c r="AF28" i="132"/>
  <c r="AF29" i="132"/>
  <c r="AF42" i="132"/>
  <c r="AF43" i="132"/>
  <c r="AF30" i="132"/>
  <c r="AF31" i="132"/>
  <c r="AF32" i="132"/>
  <c r="AF33" i="132"/>
  <c r="AF34" i="132"/>
  <c r="AF98" i="132"/>
  <c r="AF38" i="132"/>
  <c r="AF39" i="132"/>
  <c r="AF44" i="132"/>
  <c r="AF99" i="132"/>
  <c r="P9" i="132" l="1"/>
  <c r="R8" i="132"/>
  <c r="R9" i="132"/>
  <c r="T8" i="132"/>
  <c r="AA8" i="132" s="1"/>
  <c r="T9" i="132"/>
  <c r="U9" i="132" s="1"/>
  <c r="W8" i="132"/>
  <c r="W9" i="132"/>
  <c r="Y8" i="132"/>
  <c r="Y9" i="132"/>
  <c r="AB8" i="132"/>
  <c r="AB9" i="132"/>
  <c r="AD8" i="132"/>
  <c r="AD9" i="132"/>
  <c r="U8" i="132" l="1"/>
  <c r="AA9" i="132"/>
  <c r="P99" i="132"/>
  <c r="R99" i="132"/>
  <c r="T99" i="132"/>
  <c r="U99" i="132" s="1"/>
  <c r="W99" i="132"/>
  <c r="Y99" i="132"/>
  <c r="AA99" i="132"/>
  <c r="AB99" i="132"/>
  <c r="AD99" i="132"/>
  <c r="D29" i="133" l="1"/>
  <c r="E28" i="133"/>
  <c r="E27" i="133"/>
  <c r="E26" i="133"/>
  <c r="E25" i="133"/>
  <c r="E29" i="133"/>
  <c r="C24" i="133"/>
  <c r="C29" i="133" s="1"/>
  <c r="P44" i="132" l="1"/>
  <c r="R44" i="132"/>
  <c r="T44" i="132"/>
  <c r="U44" i="132" s="1"/>
  <c r="W44" i="132"/>
  <c r="Y44" i="132"/>
  <c r="AA44" i="132"/>
  <c r="AB44" i="132"/>
  <c r="AD44" i="132"/>
  <c r="P39" i="132" l="1"/>
  <c r="R39" i="132"/>
  <c r="T39" i="132"/>
  <c r="U39" i="132" s="1"/>
  <c r="W39" i="132"/>
  <c r="Y39" i="132"/>
  <c r="AA39" i="132"/>
  <c r="AB39" i="132"/>
  <c r="AD39" i="132"/>
  <c r="P98" i="132" l="1"/>
  <c r="P38" i="132"/>
  <c r="R98" i="132"/>
  <c r="R38" i="132"/>
  <c r="T98" i="132"/>
  <c r="U98" i="132" s="1"/>
  <c r="T38" i="132"/>
  <c r="U38" i="132" s="1"/>
  <c r="W98" i="132"/>
  <c r="W38" i="132"/>
  <c r="Y98" i="132"/>
  <c r="Y38" i="132"/>
  <c r="AA98" i="132"/>
  <c r="AA38" i="132"/>
  <c r="AB98" i="132"/>
  <c r="AB38" i="132"/>
  <c r="AD98" i="132"/>
  <c r="AD38" i="132"/>
  <c r="P31" i="132" l="1"/>
  <c r="P32" i="132"/>
  <c r="P33" i="132"/>
  <c r="P34" i="132"/>
  <c r="R31" i="132"/>
  <c r="R32" i="132"/>
  <c r="R33" i="132"/>
  <c r="R34" i="132"/>
  <c r="T31" i="132"/>
  <c r="U31" i="132" s="1"/>
  <c r="T32" i="132"/>
  <c r="U32" i="132" s="1"/>
  <c r="T33" i="132"/>
  <c r="U33" i="132" s="1"/>
  <c r="T34" i="132"/>
  <c r="U34" i="132" s="1"/>
  <c r="W31" i="132"/>
  <c r="W32" i="132"/>
  <c r="W33" i="132"/>
  <c r="W34" i="132"/>
  <c r="Y31" i="132"/>
  <c r="Y32" i="132"/>
  <c r="Y33" i="132"/>
  <c r="Y34" i="132"/>
  <c r="AA31" i="132"/>
  <c r="AA32" i="132"/>
  <c r="AA33" i="132"/>
  <c r="AA34" i="132"/>
  <c r="AB31" i="132"/>
  <c r="AB32" i="132"/>
  <c r="AB33" i="132"/>
  <c r="AB34" i="132"/>
  <c r="AD31" i="132"/>
  <c r="AD32" i="132"/>
  <c r="AD33" i="132"/>
  <c r="AD34" i="132"/>
  <c r="P30" i="132" l="1"/>
  <c r="R30" i="132"/>
  <c r="T30" i="132"/>
  <c r="U30" i="132" s="1"/>
  <c r="W30" i="132"/>
  <c r="Y30" i="132"/>
  <c r="AA30" i="132"/>
  <c r="AB30" i="132"/>
  <c r="AD30" i="132"/>
  <c r="P43" i="132"/>
  <c r="R43" i="132"/>
  <c r="T43" i="132"/>
  <c r="U43" i="132" s="1"/>
  <c r="W43" i="132"/>
  <c r="Y43" i="132"/>
  <c r="AA43" i="132"/>
  <c r="AB43" i="132"/>
  <c r="AD43" i="132"/>
  <c r="P42" i="132" l="1"/>
  <c r="R42" i="132"/>
  <c r="T42" i="132"/>
  <c r="U42" i="132" s="1"/>
  <c r="W42" i="132"/>
  <c r="Y42" i="132"/>
  <c r="AA42" i="132"/>
  <c r="AB42" i="132"/>
  <c r="AD42" i="132"/>
  <c r="P27" i="132" l="1"/>
  <c r="P28" i="132"/>
  <c r="P29" i="132"/>
  <c r="R27" i="132"/>
  <c r="R28" i="132"/>
  <c r="R29" i="132"/>
  <c r="T27" i="132"/>
  <c r="U27" i="132" s="1"/>
  <c r="T28" i="132"/>
  <c r="U28" i="132" s="1"/>
  <c r="T29" i="132"/>
  <c r="U29" i="132" s="1"/>
  <c r="W27" i="132"/>
  <c r="W28" i="132"/>
  <c r="W29" i="132"/>
  <c r="Y27" i="132"/>
  <c r="Y28" i="132"/>
  <c r="Y29" i="132"/>
  <c r="AA27" i="132"/>
  <c r="AA28" i="132"/>
  <c r="AA29" i="132"/>
  <c r="AB27" i="132"/>
  <c r="AB28" i="132"/>
  <c r="AB29" i="132"/>
  <c r="AD27" i="132"/>
  <c r="AD28" i="132"/>
  <c r="AD29" i="132"/>
  <c r="AB37" i="132" l="1"/>
  <c r="P37" i="132"/>
  <c r="P41" i="132"/>
  <c r="P26" i="132"/>
  <c r="R37" i="132"/>
  <c r="R41" i="132"/>
  <c r="R26" i="132"/>
  <c r="T37" i="132"/>
  <c r="U37" i="132" s="1"/>
  <c r="T41" i="132"/>
  <c r="U41" i="132" s="1"/>
  <c r="T26" i="132"/>
  <c r="U26" i="132" s="1"/>
  <c r="W37" i="132"/>
  <c r="W41" i="132"/>
  <c r="W26" i="132"/>
  <c r="Y37" i="132"/>
  <c r="Y41" i="132"/>
  <c r="Y26" i="132"/>
  <c r="AA41" i="132"/>
  <c r="AA26" i="132"/>
  <c r="AB41" i="132"/>
  <c r="AB26" i="132"/>
  <c r="AD37" i="132"/>
  <c r="AD41" i="132"/>
  <c r="AD26" i="132"/>
  <c r="AA37" i="132" l="1"/>
  <c r="P24" i="132" l="1"/>
  <c r="P25" i="132"/>
  <c r="R25" i="132"/>
  <c r="T25" i="132"/>
  <c r="U25" i="132" s="1"/>
  <c r="W25" i="132"/>
  <c r="Y25" i="132"/>
  <c r="AA25" i="132"/>
  <c r="AB25" i="132"/>
  <c r="AD25" i="132"/>
  <c r="AA24" i="132" l="1"/>
  <c r="W24" i="132"/>
  <c r="R24" i="132"/>
  <c r="T24" i="132"/>
  <c r="U24" i="132" s="1"/>
  <c r="Y24" i="132"/>
  <c r="AB24" i="132"/>
  <c r="AD24" i="132"/>
  <c r="AD54" i="132" l="1"/>
  <c r="AD55" i="132"/>
  <c r="AD56" i="132"/>
  <c r="AD57" i="132"/>
  <c r="AD58" i="132"/>
  <c r="AD59" i="132"/>
  <c r="AD60" i="132"/>
  <c r="AD11" i="132"/>
  <c r="AD12" i="132"/>
  <c r="AD13" i="132"/>
  <c r="AD35" i="132"/>
  <c r="AD63" i="132"/>
  <c r="AD64" i="132"/>
  <c r="AD65" i="132"/>
  <c r="AD66" i="132"/>
  <c r="AD67" i="132"/>
  <c r="AD68" i="132"/>
  <c r="AD69" i="132"/>
  <c r="AD70" i="132"/>
  <c r="AD71" i="132"/>
  <c r="AD72" i="132"/>
  <c r="AD73" i="132"/>
  <c r="AD74" i="132"/>
  <c r="AD75" i="132"/>
  <c r="AD2" i="132"/>
  <c r="AD14" i="132"/>
  <c r="AD76" i="132"/>
  <c r="AD77" i="132"/>
  <c r="AD78" i="132"/>
  <c r="AD79" i="132"/>
  <c r="AD80" i="132"/>
  <c r="AD81" i="132"/>
  <c r="AD82" i="132"/>
  <c r="AD83" i="132"/>
  <c r="AD84" i="132"/>
  <c r="AD85" i="132"/>
  <c r="AD86" i="132"/>
  <c r="AD87" i="132"/>
  <c r="AD88" i="132"/>
  <c r="AD89" i="132"/>
  <c r="AD90" i="132"/>
  <c r="AD91" i="132"/>
  <c r="AD92" i="132"/>
  <c r="AD93" i="132"/>
  <c r="AD94" i="132"/>
  <c r="AD95" i="132"/>
  <c r="AD36" i="132"/>
  <c r="AD3" i="132"/>
  <c r="AD15" i="132"/>
  <c r="AD16" i="132"/>
  <c r="AD17" i="132"/>
  <c r="AD18" i="132"/>
  <c r="AD10" i="132"/>
  <c r="AD96" i="132"/>
  <c r="AD21" i="132"/>
  <c r="AD19" i="132"/>
  <c r="AD97" i="132"/>
  <c r="AD20" i="132"/>
  <c r="AD22" i="132"/>
  <c r="AD23" i="132"/>
  <c r="AD4" i="132"/>
  <c r="AD5" i="132"/>
  <c r="AD6" i="132"/>
  <c r="AD7" i="132"/>
  <c r="P23" i="132" l="1"/>
  <c r="R23" i="132"/>
  <c r="T23" i="132"/>
  <c r="U23" i="132" s="1"/>
  <c r="W23" i="132"/>
  <c r="Y23" i="132"/>
  <c r="AB23" i="132"/>
  <c r="P4" i="132"/>
  <c r="R4" i="132"/>
  <c r="T4" i="132"/>
  <c r="AA4" i="132" s="1"/>
  <c r="W4" i="132"/>
  <c r="Y4" i="132"/>
  <c r="AB4" i="132"/>
  <c r="P5" i="132"/>
  <c r="R5" i="132"/>
  <c r="T5" i="132"/>
  <c r="AA5" i="132" s="1"/>
  <c r="W5" i="132"/>
  <c r="Y5" i="132"/>
  <c r="AB5" i="132"/>
  <c r="P6" i="132"/>
  <c r="R6" i="132"/>
  <c r="T6" i="132"/>
  <c r="AA6" i="132" s="1"/>
  <c r="W6" i="132"/>
  <c r="Y6" i="132"/>
  <c r="AB6" i="132"/>
  <c r="P7" i="132"/>
  <c r="R7" i="132"/>
  <c r="T7" i="132"/>
  <c r="AA7" i="132" s="1"/>
  <c r="W7" i="132"/>
  <c r="Y7" i="132"/>
  <c r="AB7" i="132"/>
  <c r="U5" i="132" l="1"/>
  <c r="U4" i="132"/>
  <c r="U7" i="132"/>
  <c r="U6" i="132"/>
  <c r="AA23" i="132"/>
  <c r="T54" i="132" l="1"/>
  <c r="U54" i="132" s="1"/>
  <c r="T55" i="132"/>
  <c r="U55" i="132" s="1"/>
  <c r="T56" i="132"/>
  <c r="U56" i="132" s="1"/>
  <c r="T57" i="132"/>
  <c r="U57" i="132" s="1"/>
  <c r="T58" i="132"/>
  <c r="U58" i="132" s="1"/>
  <c r="T59" i="132"/>
  <c r="U59" i="132" s="1"/>
  <c r="T60" i="132"/>
  <c r="U60" i="132" s="1"/>
  <c r="T11" i="132"/>
  <c r="U11" i="132" s="1"/>
  <c r="T12" i="132"/>
  <c r="U12" i="132" s="1"/>
  <c r="T13" i="132"/>
  <c r="U13" i="132" s="1"/>
  <c r="T35" i="132"/>
  <c r="U35" i="132" s="1"/>
  <c r="T63" i="132"/>
  <c r="U63" i="132" s="1"/>
  <c r="T64" i="132"/>
  <c r="U64" i="132" s="1"/>
  <c r="T65" i="132"/>
  <c r="U65" i="132" s="1"/>
  <c r="T66" i="132"/>
  <c r="U66" i="132" s="1"/>
  <c r="T67" i="132"/>
  <c r="U67" i="132" s="1"/>
  <c r="T68" i="132"/>
  <c r="U68" i="132" s="1"/>
  <c r="T69" i="132"/>
  <c r="U69" i="132" s="1"/>
  <c r="T70" i="132"/>
  <c r="U70" i="132" s="1"/>
  <c r="T71" i="132"/>
  <c r="U71" i="132" s="1"/>
  <c r="T72" i="132"/>
  <c r="U72" i="132" s="1"/>
  <c r="T73" i="132"/>
  <c r="U73" i="132" s="1"/>
  <c r="T74" i="132"/>
  <c r="U74" i="132" s="1"/>
  <c r="T75" i="132"/>
  <c r="U75" i="132" s="1"/>
  <c r="T2" i="132"/>
  <c r="U2" i="132" s="1"/>
  <c r="T14" i="132"/>
  <c r="U14" i="132" s="1"/>
  <c r="T76" i="132"/>
  <c r="U76" i="132" s="1"/>
  <c r="T77" i="132"/>
  <c r="U77" i="132" s="1"/>
  <c r="T78" i="132"/>
  <c r="U78" i="132" s="1"/>
  <c r="T79" i="132"/>
  <c r="U79" i="132" s="1"/>
  <c r="T80" i="132"/>
  <c r="U80" i="132" s="1"/>
  <c r="T81" i="132"/>
  <c r="U81" i="132" s="1"/>
  <c r="T82" i="132"/>
  <c r="U82" i="132" s="1"/>
  <c r="T83" i="132"/>
  <c r="U83" i="132" s="1"/>
  <c r="T84" i="132"/>
  <c r="U84" i="132" s="1"/>
  <c r="T85" i="132"/>
  <c r="U85" i="132" s="1"/>
  <c r="T86" i="132"/>
  <c r="U86" i="132" s="1"/>
  <c r="T87" i="132"/>
  <c r="U87" i="132" s="1"/>
  <c r="T88" i="132"/>
  <c r="U88" i="132" s="1"/>
  <c r="T89" i="132"/>
  <c r="U89" i="132" s="1"/>
  <c r="T90" i="132"/>
  <c r="U90" i="132" s="1"/>
  <c r="T91" i="132"/>
  <c r="U91" i="132" s="1"/>
  <c r="T92" i="132"/>
  <c r="U92" i="132" s="1"/>
  <c r="T93" i="132"/>
  <c r="U93" i="132" s="1"/>
  <c r="T94" i="132"/>
  <c r="U94" i="132" s="1"/>
  <c r="T95" i="132"/>
  <c r="U95" i="132" s="1"/>
  <c r="T36" i="132"/>
  <c r="U36" i="132" s="1"/>
  <c r="T3" i="132"/>
  <c r="U3" i="132" s="1"/>
  <c r="T15" i="132"/>
  <c r="U15" i="132" s="1"/>
  <c r="T16" i="132"/>
  <c r="U16" i="132" s="1"/>
  <c r="T17" i="132"/>
  <c r="U17" i="132" s="1"/>
  <c r="T18" i="132"/>
  <c r="U18" i="132" s="1"/>
  <c r="T10" i="132"/>
  <c r="U10" i="132" s="1"/>
  <c r="T96" i="132"/>
  <c r="U96" i="132" s="1"/>
  <c r="T21" i="132"/>
  <c r="U21" i="132" s="1"/>
  <c r="T19" i="132"/>
  <c r="U19" i="132" s="1"/>
  <c r="T97" i="132"/>
  <c r="U97" i="132" s="1"/>
  <c r="T20" i="132"/>
  <c r="U20" i="132" s="1"/>
  <c r="T22" i="132"/>
  <c r="U22" i="132" s="1"/>
  <c r="AB22" i="132" l="1"/>
  <c r="W22" i="132"/>
  <c r="R22" i="132"/>
  <c r="P22" i="132"/>
  <c r="Y22" i="132"/>
  <c r="AA22" i="132" l="1"/>
  <c r="AA21" i="132"/>
  <c r="AB21" i="132"/>
  <c r="AA19" i="132"/>
  <c r="AB19" i="132"/>
  <c r="AA97" i="132"/>
  <c r="AB97" i="132"/>
  <c r="AA20" i="132"/>
  <c r="AB20" i="132"/>
  <c r="W21" i="132"/>
  <c r="W19" i="132"/>
  <c r="W97" i="132"/>
  <c r="W20" i="132"/>
  <c r="R21" i="132"/>
  <c r="R19" i="132"/>
  <c r="R97" i="132"/>
  <c r="R20" i="132"/>
  <c r="P21" i="132"/>
  <c r="P19" i="132"/>
  <c r="P97" i="132"/>
  <c r="P20" i="132"/>
  <c r="Y97" i="132" l="1"/>
  <c r="Y20" i="132"/>
  <c r="Y19" i="132" l="1"/>
  <c r="P54" i="132" l="1"/>
  <c r="R54" i="132"/>
  <c r="W54" i="132"/>
  <c r="Y54" i="132"/>
  <c r="AA54" i="132"/>
  <c r="AB54" i="132"/>
  <c r="P55" i="132"/>
  <c r="R55" i="132"/>
  <c r="W55" i="132"/>
  <c r="Y55" i="132"/>
  <c r="AA55" i="132"/>
  <c r="AB55" i="132"/>
  <c r="P56" i="132"/>
  <c r="R56" i="132"/>
  <c r="W56" i="132"/>
  <c r="Y56" i="132"/>
  <c r="AA56" i="132"/>
  <c r="AB56" i="132"/>
  <c r="P57" i="132"/>
  <c r="R57" i="132"/>
  <c r="W57" i="132"/>
  <c r="Y57" i="132"/>
  <c r="AA57" i="132"/>
  <c r="AB57" i="132"/>
  <c r="P58" i="132"/>
  <c r="R58" i="132"/>
  <c r="W58" i="132"/>
  <c r="Y58" i="132"/>
  <c r="AA58" i="132"/>
  <c r="AB58" i="132"/>
  <c r="P59" i="132"/>
  <c r="R59" i="132"/>
  <c r="W59" i="132"/>
  <c r="Y59" i="132"/>
  <c r="AA59" i="132"/>
  <c r="AB59" i="132"/>
  <c r="P60" i="132"/>
  <c r="R60" i="132"/>
  <c r="W60" i="132"/>
  <c r="Y60" i="132"/>
  <c r="AA60" i="132"/>
  <c r="AB60" i="132"/>
  <c r="P11" i="132"/>
  <c r="R11" i="132"/>
  <c r="W11" i="132"/>
  <c r="Y11" i="132"/>
  <c r="AA11" i="132"/>
  <c r="AB11" i="132"/>
  <c r="P12" i="132"/>
  <c r="R12" i="132"/>
  <c r="W12" i="132"/>
  <c r="Y12" i="132"/>
  <c r="AA12" i="132"/>
  <c r="AB12" i="132"/>
  <c r="P13" i="132"/>
  <c r="R13" i="132"/>
  <c r="W13" i="132"/>
  <c r="Y13" i="132"/>
  <c r="AA13" i="132"/>
  <c r="AB13" i="132"/>
  <c r="P35" i="132"/>
  <c r="R35" i="132"/>
  <c r="W35" i="132"/>
  <c r="Y35" i="132"/>
  <c r="AA35" i="132"/>
  <c r="AB35" i="132"/>
  <c r="P63" i="132"/>
  <c r="R63" i="132"/>
  <c r="W63" i="132"/>
  <c r="Y63" i="132"/>
  <c r="AA63" i="132"/>
  <c r="AB63" i="132"/>
  <c r="P64" i="132"/>
  <c r="R64" i="132"/>
  <c r="W64" i="132"/>
  <c r="Y64" i="132"/>
  <c r="AA64" i="132"/>
  <c r="AB64" i="132"/>
  <c r="P65" i="132"/>
  <c r="R65" i="132"/>
  <c r="W65" i="132"/>
  <c r="Y65" i="132"/>
  <c r="AA65" i="132"/>
  <c r="AB65" i="132"/>
  <c r="P66" i="132"/>
  <c r="R66" i="132"/>
  <c r="W66" i="132"/>
  <c r="Y66" i="132"/>
  <c r="AA66" i="132"/>
  <c r="AB66" i="132"/>
  <c r="P67" i="132"/>
  <c r="R67" i="132"/>
  <c r="W67" i="132"/>
  <c r="Y67" i="132"/>
  <c r="AA67" i="132"/>
  <c r="AB67" i="132"/>
  <c r="P68" i="132"/>
  <c r="R68" i="132"/>
  <c r="W68" i="132"/>
  <c r="Y68" i="132"/>
  <c r="AA68" i="132"/>
  <c r="AB68" i="132"/>
  <c r="P69" i="132"/>
  <c r="R69" i="132"/>
  <c r="W69" i="132"/>
  <c r="Y69" i="132"/>
  <c r="AA69" i="132"/>
  <c r="AB69" i="132"/>
  <c r="P70" i="132"/>
  <c r="R70" i="132"/>
  <c r="W70" i="132"/>
  <c r="Y70" i="132"/>
  <c r="AA70" i="132"/>
  <c r="AB70" i="132"/>
  <c r="P71" i="132"/>
  <c r="R71" i="132"/>
  <c r="W71" i="132"/>
  <c r="Y71" i="132"/>
  <c r="AA71" i="132"/>
  <c r="AB71" i="132"/>
  <c r="P72" i="132"/>
  <c r="R72" i="132"/>
  <c r="W72" i="132"/>
  <c r="Y72" i="132"/>
  <c r="AA72" i="132"/>
  <c r="AB72" i="132"/>
  <c r="P73" i="132"/>
  <c r="R73" i="132"/>
  <c r="W73" i="132"/>
  <c r="Y73" i="132"/>
  <c r="AA73" i="132"/>
  <c r="AB73" i="132"/>
  <c r="P74" i="132"/>
  <c r="R74" i="132"/>
  <c r="W74" i="132"/>
  <c r="Y74" i="132"/>
  <c r="AA74" i="132"/>
  <c r="AB74" i="132"/>
  <c r="P75" i="132"/>
  <c r="R75" i="132"/>
  <c r="W75" i="132"/>
  <c r="Y75" i="132"/>
  <c r="AA75" i="132"/>
  <c r="AB75" i="132"/>
  <c r="P2" i="132"/>
  <c r="R2" i="132"/>
  <c r="W2" i="132"/>
  <c r="Y2" i="132"/>
  <c r="AA2" i="132"/>
  <c r="AB2" i="132"/>
  <c r="P14" i="132"/>
  <c r="R14" i="132"/>
  <c r="W14" i="132"/>
  <c r="Y14" i="132"/>
  <c r="AA14" i="132"/>
  <c r="AB14" i="132"/>
  <c r="P76" i="132"/>
  <c r="R76" i="132"/>
  <c r="W76" i="132"/>
  <c r="Y76" i="132"/>
  <c r="AA76" i="132"/>
  <c r="AB76" i="132"/>
  <c r="P77" i="132"/>
  <c r="R77" i="132"/>
  <c r="W77" i="132"/>
  <c r="Y77" i="132"/>
  <c r="AA77" i="132"/>
  <c r="AB77" i="132"/>
  <c r="P78" i="132"/>
  <c r="R78" i="132"/>
  <c r="W78" i="132"/>
  <c r="Y78" i="132"/>
  <c r="AA78" i="132"/>
  <c r="AB78" i="132"/>
  <c r="P79" i="132"/>
  <c r="R79" i="132"/>
  <c r="W79" i="132"/>
  <c r="Y79" i="132"/>
  <c r="AA79" i="132"/>
  <c r="AB79" i="132"/>
  <c r="P80" i="132"/>
  <c r="R80" i="132"/>
  <c r="W80" i="132"/>
  <c r="Y80" i="132"/>
  <c r="AA80" i="132"/>
  <c r="AB80" i="132"/>
  <c r="P81" i="132"/>
  <c r="R81" i="132"/>
  <c r="W81" i="132"/>
  <c r="Y81" i="132"/>
  <c r="AA81" i="132"/>
  <c r="AB81" i="132"/>
  <c r="P82" i="132"/>
  <c r="R82" i="132"/>
  <c r="W82" i="132"/>
  <c r="Y82" i="132"/>
  <c r="AA82" i="132"/>
  <c r="AB82" i="132"/>
  <c r="P83" i="132"/>
  <c r="R83" i="132"/>
  <c r="W83" i="132"/>
  <c r="Y83" i="132"/>
  <c r="AA83" i="132"/>
  <c r="AB83" i="132"/>
  <c r="P84" i="132"/>
  <c r="R84" i="132"/>
  <c r="W84" i="132"/>
  <c r="Y84" i="132"/>
  <c r="AA84" i="132"/>
  <c r="AB84" i="132"/>
  <c r="P85" i="132"/>
  <c r="R85" i="132"/>
  <c r="W85" i="132"/>
  <c r="Y85" i="132"/>
  <c r="AA85" i="132"/>
  <c r="AB85" i="132"/>
  <c r="P86" i="132"/>
  <c r="R86" i="132"/>
  <c r="W86" i="132"/>
  <c r="Y86" i="132"/>
  <c r="AA86" i="132"/>
  <c r="AB86" i="132"/>
  <c r="P87" i="132"/>
  <c r="R87" i="132"/>
  <c r="W87" i="132"/>
  <c r="Y87" i="132"/>
  <c r="AA87" i="132"/>
  <c r="AB87" i="132"/>
  <c r="P88" i="132"/>
  <c r="R88" i="132"/>
  <c r="W88" i="132"/>
  <c r="Y88" i="132"/>
  <c r="AA88" i="132"/>
  <c r="AB88" i="132"/>
  <c r="P89" i="132"/>
  <c r="R89" i="132"/>
  <c r="W89" i="132"/>
  <c r="Y89" i="132"/>
  <c r="AA89" i="132"/>
  <c r="AB89" i="132"/>
  <c r="P90" i="132"/>
  <c r="R90" i="132"/>
  <c r="W90" i="132"/>
  <c r="Y90" i="132"/>
  <c r="AA90" i="132"/>
  <c r="AB90" i="132"/>
  <c r="P91" i="132"/>
  <c r="R91" i="132"/>
  <c r="W91" i="132"/>
  <c r="Y91" i="132"/>
  <c r="AA91" i="132"/>
  <c r="AB91" i="132"/>
  <c r="P92" i="132"/>
  <c r="R92" i="132"/>
  <c r="W92" i="132"/>
  <c r="Y92" i="132"/>
  <c r="AA92" i="132"/>
  <c r="AB92" i="132"/>
  <c r="P93" i="132"/>
  <c r="R93" i="132"/>
  <c r="W93" i="132"/>
  <c r="Y93" i="132"/>
  <c r="AA93" i="132"/>
  <c r="AB93" i="132"/>
  <c r="P94" i="132"/>
  <c r="R94" i="132"/>
  <c r="W94" i="132"/>
  <c r="Y94" i="132"/>
  <c r="AA94" i="132"/>
  <c r="AB94" i="132"/>
  <c r="P95" i="132"/>
  <c r="R95" i="132"/>
  <c r="W95" i="132"/>
  <c r="Y95" i="132"/>
  <c r="AA95" i="132"/>
  <c r="AB95" i="132"/>
  <c r="P36" i="132"/>
  <c r="R36" i="132"/>
  <c r="W36" i="132"/>
  <c r="Y36" i="132"/>
  <c r="AA36" i="132"/>
  <c r="AB36" i="132"/>
  <c r="P3" i="132"/>
  <c r="R3" i="132"/>
  <c r="Y3" i="132"/>
  <c r="AB3" i="132"/>
  <c r="P15" i="132"/>
  <c r="R15" i="132"/>
  <c r="W15" i="132"/>
  <c r="Y15" i="132"/>
  <c r="AA15" i="132"/>
  <c r="AB15" i="132"/>
  <c r="P16" i="132"/>
  <c r="R16" i="132"/>
  <c r="W16" i="132"/>
  <c r="Y16" i="132"/>
  <c r="AA16" i="132"/>
  <c r="AB16" i="132"/>
  <c r="P17" i="132"/>
  <c r="R17" i="132"/>
  <c r="W17" i="132"/>
  <c r="Y17" i="132"/>
  <c r="AA17" i="132"/>
  <c r="AB17" i="132"/>
  <c r="P18" i="132"/>
  <c r="R18" i="132"/>
  <c r="W18" i="132"/>
  <c r="Y18" i="132"/>
  <c r="AA18" i="132"/>
  <c r="AB18" i="132"/>
  <c r="P10" i="132"/>
  <c r="R10" i="132"/>
  <c r="W10" i="132"/>
  <c r="Y10" i="132"/>
  <c r="AA10" i="132"/>
  <c r="AB10" i="132"/>
  <c r="P96" i="132"/>
  <c r="R96" i="132"/>
  <c r="W96" i="132"/>
  <c r="Y96" i="132"/>
  <c r="AA96" i="132"/>
  <c r="AB96" i="132"/>
  <c r="Y21" i="132"/>
  <c r="AA3" i="132" l="1"/>
  <c r="K2923" i="115"/>
  <c r="I2923" i="115"/>
  <c r="H2923" i="115"/>
  <c r="G2923" i="115"/>
  <c r="F2923" i="115"/>
  <c r="E2923" i="115"/>
  <c r="A2923" i="115"/>
  <c r="K2922" i="115"/>
  <c r="I2922" i="115"/>
  <c r="H2922" i="115"/>
  <c r="G2922" i="115"/>
  <c r="F2922" i="115"/>
  <c r="E2922" i="115"/>
  <c r="A2922" i="115"/>
  <c r="K2921" i="115"/>
  <c r="I2921" i="115"/>
  <c r="H2921" i="115"/>
  <c r="G2921" i="115"/>
  <c r="F2921" i="115"/>
  <c r="E2921" i="115"/>
  <c r="A2921" i="115"/>
  <c r="K2920" i="115"/>
  <c r="I2920" i="115"/>
  <c r="H2920" i="115"/>
  <c r="G2920" i="115"/>
  <c r="F2920" i="115"/>
  <c r="E2920" i="115"/>
  <c r="A2920" i="115"/>
  <c r="K2919" i="115"/>
  <c r="I2919" i="115"/>
  <c r="H2919" i="115"/>
  <c r="G2919" i="115"/>
  <c r="F2919" i="115"/>
  <c r="E2919" i="115"/>
  <c r="A2919" i="115"/>
  <c r="K2918" i="115"/>
  <c r="I2918" i="115"/>
  <c r="H2918" i="115"/>
  <c r="G2918" i="115"/>
  <c r="F2918" i="115"/>
  <c r="E2918" i="115"/>
  <c r="A2918" i="115"/>
  <c r="K2917" i="115"/>
  <c r="I2917" i="115"/>
  <c r="H2917" i="115"/>
  <c r="G2917" i="115"/>
  <c r="F2917" i="115"/>
  <c r="E2917" i="115"/>
  <c r="A2917" i="115"/>
  <c r="K2916" i="115"/>
  <c r="I2916" i="115"/>
  <c r="H2916" i="115"/>
  <c r="G2916" i="115"/>
  <c r="F2916" i="115"/>
  <c r="E2916" i="115"/>
  <c r="A2916" i="115"/>
  <c r="K2915" i="115"/>
  <c r="I2915" i="115"/>
  <c r="H2915" i="115"/>
  <c r="G2915" i="115"/>
  <c r="F2915" i="115"/>
  <c r="E2915" i="115"/>
  <c r="A2915" i="115"/>
  <c r="K2914" i="115"/>
  <c r="I2914" i="115"/>
  <c r="H2914" i="115"/>
  <c r="G2914" i="115"/>
  <c r="F2914" i="115"/>
  <c r="E2914" i="115"/>
  <c r="A2914" i="115"/>
  <c r="K2913" i="115"/>
  <c r="I2913" i="115"/>
  <c r="H2913" i="115"/>
  <c r="G2913" i="115"/>
  <c r="F2913" i="115"/>
  <c r="E2913" i="115"/>
  <c r="A2913" i="115"/>
  <c r="K2912" i="115"/>
  <c r="I2912" i="115"/>
  <c r="H2912" i="115"/>
  <c r="G2912" i="115"/>
  <c r="F2912" i="115"/>
  <c r="E2912" i="115"/>
  <c r="A2912" i="115"/>
  <c r="K2911" i="115"/>
  <c r="I2911" i="115"/>
  <c r="H2911" i="115"/>
  <c r="G2911" i="115"/>
  <c r="F2911" i="115"/>
  <c r="E2911" i="115"/>
  <c r="A2911" i="115"/>
  <c r="K2910" i="115"/>
  <c r="I2910" i="115"/>
  <c r="H2910" i="115"/>
  <c r="G2910" i="115"/>
  <c r="F2910" i="115"/>
  <c r="E2910" i="115"/>
  <c r="A2910" i="115"/>
  <c r="K2909" i="115"/>
  <c r="I2909" i="115"/>
  <c r="H2909" i="115"/>
  <c r="G2909" i="115"/>
  <c r="F2909" i="115"/>
  <c r="E2909" i="115"/>
  <c r="A2909" i="115"/>
  <c r="K2908" i="115"/>
  <c r="I2908" i="115"/>
  <c r="H2908" i="115"/>
  <c r="G2908" i="115"/>
  <c r="F2908" i="115"/>
  <c r="E2908" i="115"/>
  <c r="A2908" i="115"/>
  <c r="K2907" i="115"/>
  <c r="I2907" i="115"/>
  <c r="H2907" i="115"/>
  <c r="G2907" i="115"/>
  <c r="F2907" i="115"/>
  <c r="E2907" i="115"/>
  <c r="A2907" i="115"/>
  <c r="K2906" i="115"/>
  <c r="I2906" i="115"/>
  <c r="H2906" i="115"/>
  <c r="G2906" i="115"/>
  <c r="F2906" i="115"/>
  <c r="E2906" i="115"/>
  <c r="A2906" i="115"/>
  <c r="K2905" i="115"/>
  <c r="I2905" i="115"/>
  <c r="H2905" i="115"/>
  <c r="G2905" i="115"/>
  <c r="F2905" i="115"/>
  <c r="E2905" i="115"/>
  <c r="A2905" i="115"/>
  <c r="K2904" i="115"/>
  <c r="I2904" i="115"/>
  <c r="H2904" i="115"/>
  <c r="G2904" i="115"/>
  <c r="F2904" i="115"/>
  <c r="E2904" i="115"/>
  <c r="A2904" i="115"/>
  <c r="K2903" i="115"/>
  <c r="I2903" i="115"/>
  <c r="H2903" i="115"/>
  <c r="G2903" i="115"/>
  <c r="F2903" i="115"/>
  <c r="E2903" i="115"/>
  <c r="A2903" i="115"/>
  <c r="K2902" i="115"/>
  <c r="I2902" i="115"/>
  <c r="H2902" i="115"/>
  <c r="G2902" i="115"/>
  <c r="F2902" i="115"/>
  <c r="E2902" i="115"/>
  <c r="A2902" i="115"/>
  <c r="K2901" i="115"/>
  <c r="I2901" i="115"/>
  <c r="H2901" i="115"/>
  <c r="G2901" i="115"/>
  <c r="F2901" i="115"/>
  <c r="E2901" i="115"/>
  <c r="A2901" i="115"/>
  <c r="K2900" i="115"/>
  <c r="I2900" i="115"/>
  <c r="H2900" i="115"/>
  <c r="G2900" i="115"/>
  <c r="F2900" i="115"/>
  <c r="E2900" i="115"/>
  <c r="A2900" i="115"/>
  <c r="K2899" i="115"/>
  <c r="I2899" i="115"/>
  <c r="H2899" i="115"/>
  <c r="G2899" i="115"/>
  <c r="F2899" i="115"/>
  <c r="E2899" i="115"/>
  <c r="A2899" i="115"/>
  <c r="K2898" i="115"/>
  <c r="I2898" i="115"/>
  <c r="H2898" i="115"/>
  <c r="G2898" i="115"/>
  <c r="F2898" i="115"/>
  <c r="E2898" i="115"/>
  <c r="A2898" i="115"/>
  <c r="K2897" i="115"/>
  <c r="I2897" i="115"/>
  <c r="H2897" i="115"/>
  <c r="G2897" i="115"/>
  <c r="F2897" i="115"/>
  <c r="E2897" i="115"/>
  <c r="A2897" i="115"/>
  <c r="K2896" i="115"/>
  <c r="I2896" i="115"/>
  <c r="H2896" i="115"/>
  <c r="G2896" i="115"/>
  <c r="F2896" i="115"/>
  <c r="E2896" i="115"/>
  <c r="A2896" i="115"/>
  <c r="K2895" i="115"/>
  <c r="I2895" i="115"/>
  <c r="H2895" i="115"/>
  <c r="G2895" i="115"/>
  <c r="F2895" i="115"/>
  <c r="E2895" i="115"/>
  <c r="A2895" i="115"/>
  <c r="K2894" i="115"/>
  <c r="I2894" i="115"/>
  <c r="H2894" i="115"/>
  <c r="G2894" i="115"/>
  <c r="F2894" i="115"/>
  <c r="E2894" i="115"/>
  <c r="A2894" i="115"/>
  <c r="K2893" i="115"/>
  <c r="I2893" i="115"/>
  <c r="H2893" i="115"/>
  <c r="G2893" i="115"/>
  <c r="F2893" i="115"/>
  <c r="E2893" i="115"/>
  <c r="A2893" i="115"/>
  <c r="K2892" i="115"/>
  <c r="I2892" i="115"/>
  <c r="H2892" i="115"/>
  <c r="G2892" i="115"/>
  <c r="F2892" i="115"/>
  <c r="E2892" i="115"/>
  <c r="A2892" i="115"/>
  <c r="K2891" i="115"/>
  <c r="I2891" i="115"/>
  <c r="H2891" i="115"/>
  <c r="G2891" i="115"/>
  <c r="F2891" i="115"/>
  <c r="E2891" i="115"/>
  <c r="A2891" i="115"/>
  <c r="K2890" i="115"/>
  <c r="I2890" i="115"/>
  <c r="H2890" i="115"/>
  <c r="G2890" i="115"/>
  <c r="F2890" i="115"/>
  <c r="E2890" i="115"/>
  <c r="A2890" i="115"/>
  <c r="K2889" i="115"/>
  <c r="I2889" i="115"/>
  <c r="H2889" i="115"/>
  <c r="G2889" i="115"/>
  <c r="F2889" i="115"/>
  <c r="E2889" i="115"/>
  <c r="A2889" i="115"/>
  <c r="K2888" i="115"/>
  <c r="I2888" i="115"/>
  <c r="H2888" i="115"/>
  <c r="G2888" i="115"/>
  <c r="F2888" i="115"/>
  <c r="E2888" i="115"/>
  <c r="A2888" i="115"/>
  <c r="K2887" i="115"/>
  <c r="I2887" i="115"/>
  <c r="H2887" i="115"/>
  <c r="G2887" i="115"/>
  <c r="F2887" i="115"/>
  <c r="E2887" i="115"/>
  <c r="A2887" i="115"/>
  <c r="K2886" i="115"/>
  <c r="I2886" i="115"/>
  <c r="H2886" i="115"/>
  <c r="G2886" i="115"/>
  <c r="F2886" i="115"/>
  <c r="E2886" i="115"/>
  <c r="A2886" i="115"/>
  <c r="K2885" i="115"/>
  <c r="I2885" i="115"/>
  <c r="H2885" i="115"/>
  <c r="G2885" i="115"/>
  <c r="F2885" i="115"/>
  <c r="E2885" i="115"/>
  <c r="A2885" i="115"/>
  <c r="K2884" i="115"/>
  <c r="I2884" i="115"/>
  <c r="H2884" i="115"/>
  <c r="G2884" i="115"/>
  <c r="F2884" i="115"/>
  <c r="E2884" i="115"/>
  <c r="A2884" i="115"/>
  <c r="K2883" i="115"/>
  <c r="I2883" i="115"/>
  <c r="H2883" i="115"/>
  <c r="G2883" i="115"/>
  <c r="F2883" i="115"/>
  <c r="E2883" i="115"/>
  <c r="A2883" i="115"/>
  <c r="K2882" i="115"/>
  <c r="I2882" i="115"/>
  <c r="H2882" i="115"/>
  <c r="G2882" i="115"/>
  <c r="F2882" i="115"/>
  <c r="E2882" i="115"/>
  <c r="A2882" i="115"/>
  <c r="K2881" i="115"/>
  <c r="I2881" i="115"/>
  <c r="H2881" i="115"/>
  <c r="G2881" i="115"/>
  <c r="F2881" i="115"/>
  <c r="E2881" i="115"/>
  <c r="A2881" i="115"/>
  <c r="K2880" i="115"/>
  <c r="I2880" i="115"/>
  <c r="H2880" i="115"/>
  <c r="G2880" i="115"/>
  <c r="F2880" i="115"/>
  <c r="E2880" i="115"/>
  <c r="A2880" i="115"/>
  <c r="K2879" i="115"/>
  <c r="I2879" i="115"/>
  <c r="H2879" i="115"/>
  <c r="G2879" i="115"/>
  <c r="F2879" i="115"/>
  <c r="E2879" i="115"/>
  <c r="A2879" i="115"/>
  <c r="K2878" i="115"/>
  <c r="I2878" i="115"/>
  <c r="H2878" i="115"/>
  <c r="G2878" i="115"/>
  <c r="F2878" i="115"/>
  <c r="E2878" i="115"/>
  <c r="A2878" i="115"/>
  <c r="K2877" i="115"/>
  <c r="I2877" i="115"/>
  <c r="H2877" i="115"/>
  <c r="G2877" i="115"/>
  <c r="F2877" i="115"/>
  <c r="E2877" i="115"/>
  <c r="A2877" i="115"/>
  <c r="K2876" i="115"/>
  <c r="I2876" i="115"/>
  <c r="H2876" i="115"/>
  <c r="G2876" i="115"/>
  <c r="F2876" i="115"/>
  <c r="E2876" i="115"/>
  <c r="A2876" i="115"/>
  <c r="K2875" i="115"/>
  <c r="I2875" i="115"/>
  <c r="H2875" i="115"/>
  <c r="G2875" i="115"/>
  <c r="F2875" i="115"/>
  <c r="E2875" i="115"/>
  <c r="A2875" i="115"/>
  <c r="K2874" i="115"/>
  <c r="I2874" i="115"/>
  <c r="H2874" i="115"/>
  <c r="G2874" i="115"/>
  <c r="F2874" i="115"/>
  <c r="E2874" i="115"/>
  <c r="A2874" i="115"/>
  <c r="K2873" i="115"/>
  <c r="I2873" i="115"/>
  <c r="H2873" i="115"/>
  <c r="G2873" i="115"/>
  <c r="F2873" i="115"/>
  <c r="E2873" i="115"/>
  <c r="A2873" i="115"/>
  <c r="K2872" i="115"/>
  <c r="I2872" i="115"/>
  <c r="H2872" i="115"/>
  <c r="G2872" i="115"/>
  <c r="F2872" i="115"/>
  <c r="E2872" i="115"/>
  <c r="A2872" i="115"/>
  <c r="K2871" i="115"/>
  <c r="I2871" i="115"/>
  <c r="H2871" i="115"/>
  <c r="G2871" i="115"/>
  <c r="F2871" i="115"/>
  <c r="E2871" i="115"/>
  <c r="A2871" i="115"/>
  <c r="K2870" i="115"/>
  <c r="I2870" i="115"/>
  <c r="H2870" i="115"/>
  <c r="G2870" i="115"/>
  <c r="F2870" i="115"/>
  <c r="E2870" i="115"/>
  <c r="A2870" i="115"/>
  <c r="K2869" i="115"/>
  <c r="I2869" i="115"/>
  <c r="H2869" i="115"/>
  <c r="G2869" i="115"/>
  <c r="F2869" i="115"/>
  <c r="E2869" i="115"/>
  <c r="A2869" i="115"/>
  <c r="K2868" i="115"/>
  <c r="I2868" i="115"/>
  <c r="H2868" i="115"/>
  <c r="G2868" i="115"/>
  <c r="F2868" i="115"/>
  <c r="E2868" i="115"/>
  <c r="A2868" i="115"/>
  <c r="K2867" i="115"/>
  <c r="I2867" i="115"/>
  <c r="H2867" i="115"/>
  <c r="G2867" i="115"/>
  <c r="F2867" i="115"/>
  <c r="E2867" i="115"/>
  <c r="A2867" i="115"/>
  <c r="K2866" i="115"/>
  <c r="I2866" i="115"/>
  <c r="H2866" i="115"/>
  <c r="G2866" i="115"/>
  <c r="F2866" i="115"/>
  <c r="E2866" i="115"/>
  <c r="A2866" i="115"/>
  <c r="K2865" i="115"/>
  <c r="I2865" i="115"/>
  <c r="H2865" i="115"/>
  <c r="G2865" i="115"/>
  <c r="F2865" i="115"/>
  <c r="E2865" i="115"/>
  <c r="A2865" i="115"/>
  <c r="K2864" i="115"/>
  <c r="I2864" i="115"/>
  <c r="H2864" i="115"/>
  <c r="G2864" i="115"/>
  <c r="F2864" i="115"/>
  <c r="E2864" i="115"/>
  <c r="A2864" i="115"/>
  <c r="K2863" i="115"/>
  <c r="I2863" i="115"/>
  <c r="H2863" i="115"/>
  <c r="G2863" i="115"/>
  <c r="F2863" i="115"/>
  <c r="E2863" i="115"/>
  <c r="A2863" i="115"/>
  <c r="K2862" i="115"/>
  <c r="I2862" i="115"/>
  <c r="H2862" i="115"/>
  <c r="G2862" i="115"/>
  <c r="F2862" i="115"/>
  <c r="E2862" i="115"/>
  <c r="A2862" i="115"/>
  <c r="K2861" i="115"/>
  <c r="I2861" i="115"/>
  <c r="H2861" i="115"/>
  <c r="G2861" i="115"/>
  <c r="F2861" i="115"/>
  <c r="E2861" i="115"/>
  <c r="A2861" i="115"/>
  <c r="K2860" i="115"/>
  <c r="I2860" i="115"/>
  <c r="H2860" i="115"/>
  <c r="G2860" i="115"/>
  <c r="F2860" i="115"/>
  <c r="E2860" i="115"/>
  <c r="A2860" i="115"/>
  <c r="K2859" i="115"/>
  <c r="I2859" i="115"/>
  <c r="H2859" i="115"/>
  <c r="G2859" i="115"/>
  <c r="F2859" i="115"/>
  <c r="E2859" i="115"/>
  <c r="A2859" i="115"/>
  <c r="K2858" i="115"/>
  <c r="I2858" i="115"/>
  <c r="H2858" i="115"/>
  <c r="G2858" i="115"/>
  <c r="F2858" i="115"/>
  <c r="E2858" i="115"/>
  <c r="A2858" i="115"/>
  <c r="K2857" i="115"/>
  <c r="I2857" i="115"/>
  <c r="H2857" i="115"/>
  <c r="G2857" i="115"/>
  <c r="F2857" i="115"/>
  <c r="E2857" i="115"/>
  <c r="A2857" i="115"/>
  <c r="K2856" i="115"/>
  <c r="I2856" i="115"/>
  <c r="H2856" i="115"/>
  <c r="G2856" i="115"/>
  <c r="F2856" i="115"/>
  <c r="E2856" i="115"/>
  <c r="A2856" i="115"/>
  <c r="K2855" i="115"/>
  <c r="I2855" i="115"/>
  <c r="H2855" i="115"/>
  <c r="G2855" i="115"/>
  <c r="F2855" i="115"/>
  <c r="E2855" i="115"/>
  <c r="A2855" i="115"/>
  <c r="K2854" i="115"/>
  <c r="I2854" i="115"/>
  <c r="H2854" i="115"/>
  <c r="G2854" i="115"/>
  <c r="F2854" i="115"/>
  <c r="E2854" i="115"/>
  <c r="A2854" i="115"/>
  <c r="K2853" i="115"/>
  <c r="I2853" i="115"/>
  <c r="H2853" i="115"/>
  <c r="G2853" i="115"/>
  <c r="F2853" i="115"/>
  <c r="E2853" i="115"/>
  <c r="A2853" i="115"/>
  <c r="K2852" i="115"/>
  <c r="I2852" i="115"/>
  <c r="H2852" i="115"/>
  <c r="G2852" i="115"/>
  <c r="F2852" i="115"/>
  <c r="E2852" i="115"/>
  <c r="A2852" i="115"/>
  <c r="K2851" i="115"/>
  <c r="I2851" i="115"/>
  <c r="H2851" i="115"/>
  <c r="G2851" i="115"/>
  <c r="F2851" i="115"/>
  <c r="E2851" i="115"/>
  <c r="A2851" i="115"/>
  <c r="K2850" i="115"/>
  <c r="I2850" i="115"/>
  <c r="H2850" i="115"/>
  <c r="G2850" i="115"/>
  <c r="F2850" i="115"/>
  <c r="E2850" i="115"/>
  <c r="A2850" i="115"/>
  <c r="K2849" i="115"/>
  <c r="I2849" i="115"/>
  <c r="H2849" i="115"/>
  <c r="G2849" i="115"/>
  <c r="F2849" i="115"/>
  <c r="E2849" i="115"/>
  <c r="A2849" i="115"/>
  <c r="K2848" i="115"/>
  <c r="I2848" i="115"/>
  <c r="H2848" i="115"/>
  <c r="G2848" i="115"/>
  <c r="F2848" i="115"/>
  <c r="E2848" i="115"/>
  <c r="A2848" i="115"/>
  <c r="K2847" i="115"/>
  <c r="I2847" i="115"/>
  <c r="H2847" i="115"/>
  <c r="G2847" i="115"/>
  <c r="F2847" i="115"/>
  <c r="E2847" i="115"/>
  <c r="A2847" i="115"/>
  <c r="K2846" i="115"/>
  <c r="I2846" i="115"/>
  <c r="H2846" i="115"/>
  <c r="G2846" i="115"/>
  <c r="F2846" i="115"/>
  <c r="E2846" i="115"/>
  <c r="A2846" i="115"/>
  <c r="K2845" i="115"/>
  <c r="I2845" i="115"/>
  <c r="H2845" i="115"/>
  <c r="G2845" i="115"/>
  <c r="F2845" i="115"/>
  <c r="E2845" i="115"/>
  <c r="A2845" i="115"/>
  <c r="K2844" i="115"/>
  <c r="I2844" i="115"/>
  <c r="H2844" i="115"/>
  <c r="G2844" i="115"/>
  <c r="F2844" i="115"/>
  <c r="E2844" i="115"/>
  <c r="A2844" i="115"/>
  <c r="K2843" i="115"/>
  <c r="I2843" i="115"/>
  <c r="H2843" i="115"/>
  <c r="G2843" i="115"/>
  <c r="F2843" i="115"/>
  <c r="E2843" i="115"/>
  <c r="A2843" i="115"/>
  <c r="K2842" i="115"/>
  <c r="I2842" i="115"/>
  <c r="H2842" i="115"/>
  <c r="G2842" i="115"/>
  <c r="F2842" i="115"/>
  <c r="E2842" i="115"/>
  <c r="A2842" i="115"/>
  <c r="K2841" i="115"/>
  <c r="I2841" i="115"/>
  <c r="H2841" i="115"/>
  <c r="G2841" i="115"/>
  <c r="F2841" i="115"/>
  <c r="E2841" i="115"/>
  <c r="A2841" i="115"/>
  <c r="K2840" i="115"/>
  <c r="I2840" i="115"/>
  <c r="H2840" i="115"/>
  <c r="G2840" i="115"/>
  <c r="F2840" i="115"/>
  <c r="E2840" i="115"/>
  <c r="A2840" i="115"/>
  <c r="K2839" i="115"/>
  <c r="I2839" i="115"/>
  <c r="H2839" i="115"/>
  <c r="G2839" i="115"/>
  <c r="F2839" i="115"/>
  <c r="E2839" i="115"/>
  <c r="A2839" i="115"/>
  <c r="K2838" i="115"/>
  <c r="I2838" i="115"/>
  <c r="H2838" i="115"/>
  <c r="G2838" i="115"/>
  <c r="F2838" i="115"/>
  <c r="E2838" i="115"/>
  <c r="A2838" i="115"/>
  <c r="K2837" i="115"/>
  <c r="I2837" i="115"/>
  <c r="H2837" i="115"/>
  <c r="G2837" i="115"/>
  <c r="F2837" i="115"/>
  <c r="E2837" i="115"/>
  <c r="A2837" i="115"/>
  <c r="K2836" i="115"/>
  <c r="I2836" i="115"/>
  <c r="H2836" i="115"/>
  <c r="G2836" i="115"/>
  <c r="F2836" i="115"/>
  <c r="E2836" i="115"/>
  <c r="A2836" i="115"/>
  <c r="K2835" i="115"/>
  <c r="I2835" i="115"/>
  <c r="H2835" i="115"/>
  <c r="G2835" i="115"/>
  <c r="F2835" i="115"/>
  <c r="E2835" i="115"/>
  <c r="A2835" i="115"/>
  <c r="K2834" i="115"/>
  <c r="I2834" i="115"/>
  <c r="H2834" i="115"/>
  <c r="G2834" i="115"/>
  <c r="F2834" i="115"/>
  <c r="E2834" i="115"/>
  <c r="A2834" i="115"/>
  <c r="K2833" i="115"/>
  <c r="I2833" i="115"/>
  <c r="H2833" i="115"/>
  <c r="G2833" i="115"/>
  <c r="F2833" i="115"/>
  <c r="E2833" i="115"/>
  <c r="A2833" i="115"/>
  <c r="K2832" i="115"/>
  <c r="I2832" i="115"/>
  <c r="H2832" i="115"/>
  <c r="G2832" i="115"/>
  <c r="F2832" i="115"/>
  <c r="E2832" i="115"/>
  <c r="A2832" i="115"/>
  <c r="K2831" i="115"/>
  <c r="I2831" i="115"/>
  <c r="H2831" i="115"/>
  <c r="G2831" i="115"/>
  <c r="F2831" i="115"/>
  <c r="E2831" i="115"/>
  <c r="A2831" i="115"/>
  <c r="K2830" i="115"/>
  <c r="I2830" i="115"/>
  <c r="H2830" i="115"/>
  <c r="G2830" i="115"/>
  <c r="F2830" i="115"/>
  <c r="E2830" i="115"/>
  <c r="A2830" i="115"/>
  <c r="K2829" i="115"/>
  <c r="I2829" i="115"/>
  <c r="H2829" i="115"/>
  <c r="G2829" i="115"/>
  <c r="F2829" i="115"/>
  <c r="E2829" i="115"/>
  <c r="A2829" i="115"/>
  <c r="K2828" i="115"/>
  <c r="I2828" i="115"/>
  <c r="H2828" i="115"/>
  <c r="G2828" i="115"/>
  <c r="F2828" i="115"/>
  <c r="E2828" i="115"/>
  <c r="A2828" i="115"/>
  <c r="K2827" i="115"/>
  <c r="I2827" i="115"/>
  <c r="H2827" i="115"/>
  <c r="G2827" i="115"/>
  <c r="F2827" i="115"/>
  <c r="E2827" i="115"/>
  <c r="A2827" i="115"/>
  <c r="K2826" i="115"/>
  <c r="I2826" i="115"/>
  <c r="H2826" i="115"/>
  <c r="G2826" i="115"/>
  <c r="F2826" i="115"/>
  <c r="E2826" i="115"/>
  <c r="A2826" i="115"/>
  <c r="K2825" i="115"/>
  <c r="I2825" i="115"/>
  <c r="H2825" i="115"/>
  <c r="G2825" i="115"/>
  <c r="F2825" i="115"/>
  <c r="E2825" i="115"/>
  <c r="A2825" i="115"/>
  <c r="K2824" i="115"/>
  <c r="I2824" i="115"/>
  <c r="H2824" i="115"/>
  <c r="G2824" i="115"/>
  <c r="F2824" i="115"/>
  <c r="E2824" i="115"/>
  <c r="A2824" i="115"/>
  <c r="K2823" i="115"/>
  <c r="I2823" i="115"/>
  <c r="H2823" i="115"/>
  <c r="G2823" i="115"/>
  <c r="F2823" i="115"/>
  <c r="E2823" i="115"/>
  <c r="A2823" i="115"/>
  <c r="K2822" i="115"/>
  <c r="I2822" i="115"/>
  <c r="H2822" i="115"/>
  <c r="G2822" i="115"/>
  <c r="F2822" i="115"/>
  <c r="E2822" i="115"/>
  <c r="A2822" i="115"/>
  <c r="K2821" i="115"/>
  <c r="I2821" i="115"/>
  <c r="H2821" i="115"/>
  <c r="G2821" i="115"/>
  <c r="F2821" i="115"/>
  <c r="E2821" i="115"/>
  <c r="A2821" i="115"/>
  <c r="K2820" i="115"/>
  <c r="I2820" i="115"/>
  <c r="H2820" i="115"/>
  <c r="G2820" i="115"/>
  <c r="F2820" i="115"/>
  <c r="E2820" i="115"/>
  <c r="A2820" i="115"/>
  <c r="K2819" i="115"/>
  <c r="I2819" i="115"/>
  <c r="H2819" i="115"/>
  <c r="G2819" i="115"/>
  <c r="F2819" i="115"/>
  <c r="E2819" i="115"/>
  <c r="A2819" i="115"/>
  <c r="K2818" i="115"/>
  <c r="I2818" i="115"/>
  <c r="H2818" i="115"/>
  <c r="G2818" i="115"/>
  <c r="F2818" i="115"/>
  <c r="E2818" i="115"/>
  <c r="A2818" i="115"/>
  <c r="K2817" i="115"/>
  <c r="I2817" i="115"/>
  <c r="H2817" i="115"/>
  <c r="G2817" i="115"/>
  <c r="F2817" i="115"/>
  <c r="E2817" i="115"/>
  <c r="A2817" i="115"/>
  <c r="K2816" i="115"/>
  <c r="I2816" i="115"/>
  <c r="H2816" i="115"/>
  <c r="G2816" i="115"/>
  <c r="F2816" i="115"/>
  <c r="E2816" i="115"/>
  <c r="A2816" i="115"/>
  <c r="K2815" i="115"/>
  <c r="I2815" i="115"/>
  <c r="H2815" i="115"/>
  <c r="G2815" i="115"/>
  <c r="F2815" i="115"/>
  <c r="E2815" i="115"/>
  <c r="A2815" i="115"/>
  <c r="K2814" i="115"/>
  <c r="I2814" i="115"/>
  <c r="H2814" i="115"/>
  <c r="G2814" i="115"/>
  <c r="F2814" i="115"/>
  <c r="E2814" i="115"/>
  <c r="A2814" i="115"/>
  <c r="K2813" i="115"/>
  <c r="I2813" i="115"/>
  <c r="H2813" i="115"/>
  <c r="G2813" i="115"/>
  <c r="F2813" i="115"/>
  <c r="E2813" i="115"/>
  <c r="A2813" i="115"/>
  <c r="K2812" i="115"/>
  <c r="I2812" i="115"/>
  <c r="H2812" i="115"/>
  <c r="G2812" i="115"/>
  <c r="F2812" i="115"/>
  <c r="E2812" i="115"/>
  <c r="A2812" i="115"/>
  <c r="K2811" i="115"/>
  <c r="I2811" i="115"/>
  <c r="H2811" i="115"/>
  <c r="G2811" i="115"/>
  <c r="F2811" i="115"/>
  <c r="E2811" i="115"/>
  <c r="A2811" i="115"/>
  <c r="K2810" i="115"/>
  <c r="I2810" i="115"/>
  <c r="H2810" i="115"/>
  <c r="G2810" i="115"/>
  <c r="F2810" i="115"/>
  <c r="E2810" i="115"/>
  <c r="A2810" i="115"/>
  <c r="K2809" i="115"/>
  <c r="I2809" i="115"/>
  <c r="H2809" i="115"/>
  <c r="G2809" i="115"/>
  <c r="F2809" i="115"/>
  <c r="E2809" i="115"/>
  <c r="A2809" i="115"/>
  <c r="K2808" i="115"/>
  <c r="I2808" i="115"/>
  <c r="H2808" i="115"/>
  <c r="G2808" i="115"/>
  <c r="F2808" i="115"/>
  <c r="E2808" i="115"/>
  <c r="A2808" i="115"/>
  <c r="K2807" i="115"/>
  <c r="I2807" i="115"/>
  <c r="H2807" i="115"/>
  <c r="G2807" i="115"/>
  <c r="F2807" i="115"/>
  <c r="E2807" i="115"/>
  <c r="A2807" i="115"/>
  <c r="K2806" i="115"/>
  <c r="I2806" i="115"/>
  <c r="H2806" i="115"/>
  <c r="G2806" i="115"/>
  <c r="F2806" i="115"/>
  <c r="E2806" i="115"/>
  <c r="A2806" i="115"/>
  <c r="K2805" i="115"/>
  <c r="I2805" i="115"/>
  <c r="H2805" i="115"/>
  <c r="G2805" i="115"/>
  <c r="F2805" i="115"/>
  <c r="E2805" i="115"/>
  <c r="A2805" i="115"/>
  <c r="K2804" i="115"/>
  <c r="I2804" i="115"/>
  <c r="H2804" i="115"/>
  <c r="G2804" i="115"/>
  <c r="F2804" i="115"/>
  <c r="E2804" i="115"/>
  <c r="A2804" i="115"/>
  <c r="K2803" i="115"/>
  <c r="I2803" i="115"/>
  <c r="H2803" i="115"/>
  <c r="G2803" i="115"/>
  <c r="F2803" i="115"/>
  <c r="E2803" i="115"/>
  <c r="A2803" i="115"/>
  <c r="K2802" i="115"/>
  <c r="I2802" i="115"/>
  <c r="H2802" i="115"/>
  <c r="G2802" i="115"/>
  <c r="F2802" i="115"/>
  <c r="E2802" i="115"/>
  <c r="A2802" i="115"/>
  <c r="K2801" i="115"/>
  <c r="I2801" i="115"/>
  <c r="H2801" i="115"/>
  <c r="G2801" i="115"/>
  <c r="F2801" i="115"/>
  <c r="E2801" i="115"/>
  <c r="A2801" i="115"/>
  <c r="K2800" i="115"/>
  <c r="I2800" i="115"/>
  <c r="H2800" i="115"/>
  <c r="G2800" i="115"/>
  <c r="F2800" i="115"/>
  <c r="E2800" i="115"/>
  <c r="A2800" i="115"/>
  <c r="K2799" i="115"/>
  <c r="I2799" i="115"/>
  <c r="H2799" i="115"/>
  <c r="G2799" i="115"/>
  <c r="F2799" i="115"/>
  <c r="E2799" i="115"/>
  <c r="A2799" i="115"/>
  <c r="K2798" i="115"/>
  <c r="I2798" i="115"/>
  <c r="H2798" i="115"/>
  <c r="G2798" i="115"/>
  <c r="F2798" i="115"/>
  <c r="E2798" i="115"/>
  <c r="A2798" i="115"/>
  <c r="K2797" i="115"/>
  <c r="I2797" i="115"/>
  <c r="H2797" i="115"/>
  <c r="G2797" i="115"/>
  <c r="F2797" i="115"/>
  <c r="E2797" i="115"/>
  <c r="A2797" i="115"/>
  <c r="K2796" i="115"/>
  <c r="I2796" i="115"/>
  <c r="H2796" i="115"/>
  <c r="G2796" i="115"/>
  <c r="F2796" i="115"/>
  <c r="E2796" i="115"/>
  <c r="A2796" i="115"/>
  <c r="K2795" i="115"/>
  <c r="I2795" i="115"/>
  <c r="H2795" i="115"/>
  <c r="G2795" i="115"/>
  <c r="F2795" i="115"/>
  <c r="E2795" i="115"/>
  <c r="A2795" i="115"/>
  <c r="K2794" i="115"/>
  <c r="I2794" i="115"/>
  <c r="H2794" i="115"/>
  <c r="G2794" i="115"/>
  <c r="F2794" i="115"/>
  <c r="E2794" i="115"/>
  <c r="A2794" i="115"/>
  <c r="K2793" i="115"/>
  <c r="I2793" i="115"/>
  <c r="H2793" i="115"/>
  <c r="G2793" i="115"/>
  <c r="F2793" i="115"/>
  <c r="E2793" i="115"/>
  <c r="A2793" i="115"/>
  <c r="K2792" i="115"/>
  <c r="I2792" i="115"/>
  <c r="H2792" i="115"/>
  <c r="G2792" i="115"/>
  <c r="F2792" i="115"/>
  <c r="E2792" i="115"/>
  <c r="A2792" i="115"/>
  <c r="K2791" i="115"/>
  <c r="I2791" i="115"/>
  <c r="H2791" i="115"/>
  <c r="G2791" i="115"/>
  <c r="F2791" i="115"/>
  <c r="E2791" i="115"/>
  <c r="A2791" i="115"/>
  <c r="K2790" i="115"/>
  <c r="I2790" i="115"/>
  <c r="H2790" i="115"/>
  <c r="G2790" i="115"/>
  <c r="F2790" i="115"/>
  <c r="E2790" i="115"/>
  <c r="A2790" i="115"/>
  <c r="K2789" i="115"/>
  <c r="I2789" i="115"/>
  <c r="H2789" i="115"/>
  <c r="G2789" i="115"/>
  <c r="F2789" i="115"/>
  <c r="E2789" i="115"/>
  <c r="A2789" i="115"/>
  <c r="K2788" i="115"/>
  <c r="I2788" i="115"/>
  <c r="H2788" i="115"/>
  <c r="G2788" i="115"/>
  <c r="F2788" i="115"/>
  <c r="E2788" i="115"/>
  <c r="A2788" i="115"/>
  <c r="K2787" i="115"/>
  <c r="I2787" i="115"/>
  <c r="H2787" i="115"/>
  <c r="G2787" i="115"/>
  <c r="F2787" i="115"/>
  <c r="E2787" i="115"/>
  <c r="A2787" i="115"/>
  <c r="K2786" i="115"/>
  <c r="I2786" i="115"/>
  <c r="H2786" i="115"/>
  <c r="G2786" i="115"/>
  <c r="F2786" i="115"/>
  <c r="E2786" i="115"/>
  <c r="A2786" i="115"/>
  <c r="K2785" i="115"/>
  <c r="I2785" i="115"/>
  <c r="H2785" i="115"/>
  <c r="G2785" i="115"/>
  <c r="F2785" i="115"/>
  <c r="E2785" i="115"/>
  <c r="A2785" i="115"/>
  <c r="K2784" i="115"/>
  <c r="I2784" i="115"/>
  <c r="H2784" i="115"/>
  <c r="G2784" i="115"/>
  <c r="F2784" i="115"/>
  <c r="E2784" i="115"/>
  <c r="A2784" i="115"/>
  <c r="K2783" i="115"/>
  <c r="I2783" i="115"/>
  <c r="H2783" i="115"/>
  <c r="G2783" i="115"/>
  <c r="F2783" i="115"/>
  <c r="E2783" i="115"/>
  <c r="A2783" i="115"/>
  <c r="K2782" i="115"/>
  <c r="I2782" i="115"/>
  <c r="H2782" i="115"/>
  <c r="G2782" i="115"/>
  <c r="F2782" i="115"/>
  <c r="E2782" i="115"/>
  <c r="A2782" i="115"/>
  <c r="K2781" i="115"/>
  <c r="I2781" i="115"/>
  <c r="H2781" i="115"/>
  <c r="G2781" i="115"/>
  <c r="F2781" i="115"/>
  <c r="E2781" i="115"/>
  <c r="A2781" i="115"/>
  <c r="K2780" i="115"/>
  <c r="I2780" i="115"/>
  <c r="H2780" i="115"/>
  <c r="G2780" i="115"/>
  <c r="F2780" i="115"/>
  <c r="E2780" i="115"/>
  <c r="A2780" i="115"/>
  <c r="K2779" i="115"/>
  <c r="I2779" i="115"/>
  <c r="H2779" i="115"/>
  <c r="G2779" i="115"/>
  <c r="F2779" i="115"/>
  <c r="E2779" i="115"/>
  <c r="A2779" i="115"/>
  <c r="K2778" i="115"/>
  <c r="I2778" i="115"/>
  <c r="H2778" i="115"/>
  <c r="G2778" i="115"/>
  <c r="F2778" i="115"/>
  <c r="E2778" i="115"/>
  <c r="A2778" i="115"/>
  <c r="K2777" i="115"/>
  <c r="I2777" i="115"/>
  <c r="H2777" i="115"/>
  <c r="G2777" i="115"/>
  <c r="F2777" i="115"/>
  <c r="E2777" i="115"/>
  <c r="A2777" i="115"/>
  <c r="K2776" i="115"/>
  <c r="I2776" i="115"/>
  <c r="H2776" i="115"/>
  <c r="G2776" i="115"/>
  <c r="F2776" i="115"/>
  <c r="E2776" i="115"/>
  <c r="A2776" i="115"/>
  <c r="K2775" i="115"/>
  <c r="I2775" i="115"/>
  <c r="H2775" i="115"/>
  <c r="G2775" i="115"/>
  <c r="F2775" i="115"/>
  <c r="E2775" i="115"/>
  <c r="A2775" i="115"/>
  <c r="K2774" i="115"/>
  <c r="I2774" i="115"/>
  <c r="H2774" i="115"/>
  <c r="G2774" i="115"/>
  <c r="F2774" i="115"/>
  <c r="E2774" i="115"/>
  <c r="A2774" i="115"/>
  <c r="K2773" i="115"/>
  <c r="I2773" i="115"/>
  <c r="H2773" i="115"/>
  <c r="G2773" i="115"/>
  <c r="F2773" i="115"/>
  <c r="E2773" i="115"/>
  <c r="A2773" i="115"/>
  <c r="K2772" i="115"/>
  <c r="I2772" i="115"/>
  <c r="H2772" i="115"/>
  <c r="G2772" i="115"/>
  <c r="F2772" i="115"/>
  <c r="E2772" i="115"/>
  <c r="A2772" i="115"/>
  <c r="K2771" i="115"/>
  <c r="I2771" i="115"/>
  <c r="H2771" i="115"/>
  <c r="G2771" i="115"/>
  <c r="F2771" i="115"/>
  <c r="E2771" i="115"/>
  <c r="A2771" i="115"/>
  <c r="K2770" i="115"/>
  <c r="I2770" i="115"/>
  <c r="H2770" i="115"/>
  <c r="G2770" i="115"/>
  <c r="F2770" i="115"/>
  <c r="E2770" i="115"/>
  <c r="A2770" i="115"/>
  <c r="K2769" i="115"/>
  <c r="I2769" i="115"/>
  <c r="H2769" i="115"/>
  <c r="G2769" i="115"/>
  <c r="F2769" i="115"/>
  <c r="E2769" i="115"/>
  <c r="A2769" i="115"/>
  <c r="K2768" i="115"/>
  <c r="I2768" i="115"/>
  <c r="H2768" i="115"/>
  <c r="G2768" i="115"/>
  <c r="F2768" i="115"/>
  <c r="E2768" i="115"/>
  <c r="A2768" i="115"/>
  <c r="K2767" i="115"/>
  <c r="I2767" i="115"/>
  <c r="H2767" i="115"/>
  <c r="G2767" i="115"/>
  <c r="F2767" i="115"/>
  <c r="E2767" i="115"/>
  <c r="A2767" i="115"/>
  <c r="K2766" i="115"/>
  <c r="I2766" i="115"/>
  <c r="H2766" i="115"/>
  <c r="G2766" i="115"/>
  <c r="F2766" i="115"/>
  <c r="E2766" i="115"/>
  <c r="A2766" i="115"/>
  <c r="K2765" i="115"/>
  <c r="I2765" i="115"/>
  <c r="H2765" i="115"/>
  <c r="G2765" i="115"/>
  <c r="F2765" i="115"/>
  <c r="E2765" i="115"/>
  <c r="A2765" i="115"/>
  <c r="K2764" i="115"/>
  <c r="I2764" i="115"/>
  <c r="H2764" i="115"/>
  <c r="G2764" i="115"/>
  <c r="F2764" i="115"/>
  <c r="E2764" i="115"/>
  <c r="A2764" i="115"/>
  <c r="K2763" i="115"/>
  <c r="I2763" i="115"/>
  <c r="H2763" i="115"/>
  <c r="G2763" i="115"/>
  <c r="F2763" i="115"/>
  <c r="E2763" i="115"/>
  <c r="A2763" i="115"/>
  <c r="K2762" i="115"/>
  <c r="I2762" i="115"/>
  <c r="H2762" i="115"/>
  <c r="G2762" i="115"/>
  <c r="F2762" i="115"/>
  <c r="E2762" i="115"/>
  <c r="A2762" i="115"/>
  <c r="K2761" i="115"/>
  <c r="I2761" i="115"/>
  <c r="H2761" i="115"/>
  <c r="G2761" i="115"/>
  <c r="F2761" i="115"/>
  <c r="E2761" i="115"/>
  <c r="A2761" i="115"/>
  <c r="K2760" i="115"/>
  <c r="I2760" i="115"/>
  <c r="H2760" i="115"/>
  <c r="G2760" i="115"/>
  <c r="F2760" i="115"/>
  <c r="E2760" i="115"/>
  <c r="A2760" i="115"/>
  <c r="K2759" i="115"/>
  <c r="I2759" i="115"/>
  <c r="H2759" i="115"/>
  <c r="G2759" i="115"/>
  <c r="F2759" i="115"/>
  <c r="E2759" i="115"/>
  <c r="A2759" i="115"/>
  <c r="K2758" i="115"/>
  <c r="I2758" i="115"/>
  <c r="H2758" i="115"/>
  <c r="G2758" i="115"/>
  <c r="F2758" i="115"/>
  <c r="E2758" i="115"/>
  <c r="A2758" i="115"/>
  <c r="K2757" i="115"/>
  <c r="I2757" i="115"/>
  <c r="H2757" i="115"/>
  <c r="G2757" i="115"/>
  <c r="F2757" i="115"/>
  <c r="E2757" i="115"/>
  <c r="A2757" i="115"/>
  <c r="K2756" i="115"/>
  <c r="I2756" i="115"/>
  <c r="H2756" i="115"/>
  <c r="G2756" i="115"/>
  <c r="F2756" i="115"/>
  <c r="E2756" i="115"/>
  <c r="A2756" i="115"/>
  <c r="K2755" i="115"/>
  <c r="I2755" i="115"/>
  <c r="H2755" i="115"/>
  <c r="G2755" i="115"/>
  <c r="F2755" i="115"/>
  <c r="E2755" i="115"/>
  <c r="A2755" i="115"/>
  <c r="K2754" i="115"/>
  <c r="I2754" i="115"/>
  <c r="H2754" i="115"/>
  <c r="G2754" i="115"/>
  <c r="F2754" i="115"/>
  <c r="E2754" i="115"/>
  <c r="A2754" i="115"/>
  <c r="K2753" i="115"/>
  <c r="I2753" i="115"/>
  <c r="H2753" i="115"/>
  <c r="G2753" i="115"/>
  <c r="F2753" i="115"/>
  <c r="E2753" i="115"/>
  <c r="A2753" i="115"/>
  <c r="K2752" i="115"/>
  <c r="I2752" i="115"/>
  <c r="H2752" i="115"/>
  <c r="G2752" i="115"/>
  <c r="F2752" i="115"/>
  <c r="E2752" i="115"/>
  <c r="A2752" i="115"/>
  <c r="K2751" i="115"/>
  <c r="I2751" i="115"/>
  <c r="H2751" i="115"/>
  <c r="G2751" i="115"/>
  <c r="F2751" i="115"/>
  <c r="E2751" i="115"/>
  <c r="A2751" i="115"/>
  <c r="K2750" i="115"/>
  <c r="I2750" i="115"/>
  <c r="H2750" i="115"/>
  <c r="G2750" i="115"/>
  <c r="F2750" i="115"/>
  <c r="E2750" i="115"/>
  <c r="A2750" i="115"/>
  <c r="K2749" i="115"/>
  <c r="I2749" i="115"/>
  <c r="H2749" i="115"/>
  <c r="G2749" i="115"/>
  <c r="F2749" i="115"/>
  <c r="E2749" i="115"/>
  <c r="A2749" i="115"/>
  <c r="K2748" i="115"/>
  <c r="I2748" i="115"/>
  <c r="H2748" i="115"/>
  <c r="G2748" i="115"/>
  <c r="F2748" i="115"/>
  <c r="E2748" i="115"/>
  <c r="A2748" i="115"/>
  <c r="K2747" i="115"/>
  <c r="I2747" i="115"/>
  <c r="H2747" i="115"/>
  <c r="G2747" i="115"/>
  <c r="F2747" i="115"/>
  <c r="E2747" i="115"/>
  <c r="A2747" i="115"/>
  <c r="K2746" i="115"/>
  <c r="I2746" i="115"/>
  <c r="H2746" i="115"/>
  <c r="G2746" i="115"/>
  <c r="F2746" i="115"/>
  <c r="E2746" i="115"/>
  <c r="A2746" i="115"/>
  <c r="K2745" i="115"/>
  <c r="I2745" i="115"/>
  <c r="H2745" i="115"/>
  <c r="G2745" i="115"/>
  <c r="F2745" i="115"/>
  <c r="E2745" i="115"/>
  <c r="A2745" i="115"/>
  <c r="K2744" i="115"/>
  <c r="I2744" i="115"/>
  <c r="H2744" i="115"/>
  <c r="G2744" i="115"/>
  <c r="F2744" i="115"/>
  <c r="E2744" i="115"/>
  <c r="A2744" i="115"/>
  <c r="K2743" i="115"/>
  <c r="I2743" i="115"/>
  <c r="H2743" i="115"/>
  <c r="G2743" i="115"/>
  <c r="F2743" i="115"/>
  <c r="E2743" i="115"/>
  <c r="A2743" i="115"/>
  <c r="K2742" i="115"/>
  <c r="I2742" i="115"/>
  <c r="H2742" i="115"/>
  <c r="G2742" i="115"/>
  <c r="F2742" i="115"/>
  <c r="E2742" i="115"/>
  <c r="A2742" i="115"/>
  <c r="K2741" i="115"/>
  <c r="I2741" i="115"/>
  <c r="H2741" i="115"/>
  <c r="G2741" i="115"/>
  <c r="F2741" i="115"/>
  <c r="E2741" i="115"/>
  <c r="A2741" i="115"/>
  <c r="K2740" i="115"/>
  <c r="I2740" i="115"/>
  <c r="H2740" i="115"/>
  <c r="G2740" i="115"/>
  <c r="F2740" i="115"/>
  <c r="E2740" i="115"/>
  <c r="A2740" i="115"/>
  <c r="K2739" i="115"/>
  <c r="I2739" i="115"/>
  <c r="H2739" i="115"/>
  <c r="G2739" i="115"/>
  <c r="F2739" i="115"/>
  <c r="E2739" i="115"/>
  <c r="A2739" i="115"/>
  <c r="K2738" i="115"/>
  <c r="I2738" i="115"/>
  <c r="H2738" i="115"/>
  <c r="G2738" i="115"/>
  <c r="F2738" i="115"/>
  <c r="E2738" i="115"/>
  <c r="A2738" i="115"/>
  <c r="K2737" i="115"/>
  <c r="I2737" i="115"/>
  <c r="H2737" i="115"/>
  <c r="G2737" i="115"/>
  <c r="F2737" i="115"/>
  <c r="E2737" i="115"/>
  <c r="A2737" i="115"/>
  <c r="K2736" i="115"/>
  <c r="I2736" i="115"/>
  <c r="H2736" i="115"/>
  <c r="G2736" i="115"/>
  <c r="F2736" i="115"/>
  <c r="E2736" i="115"/>
  <c r="A2736" i="115"/>
  <c r="K2735" i="115"/>
  <c r="I2735" i="115"/>
  <c r="H2735" i="115"/>
  <c r="G2735" i="115"/>
  <c r="F2735" i="115"/>
  <c r="E2735" i="115"/>
  <c r="A2735" i="115"/>
  <c r="K2734" i="115"/>
  <c r="I2734" i="115"/>
  <c r="H2734" i="115"/>
  <c r="G2734" i="115"/>
  <c r="F2734" i="115"/>
  <c r="E2734" i="115"/>
  <c r="A2734" i="115"/>
  <c r="K2733" i="115"/>
  <c r="I2733" i="115"/>
  <c r="H2733" i="115"/>
  <c r="G2733" i="115"/>
  <c r="F2733" i="115"/>
  <c r="E2733" i="115"/>
  <c r="A2733" i="115"/>
  <c r="K2732" i="115"/>
  <c r="I2732" i="115"/>
  <c r="H2732" i="115"/>
  <c r="G2732" i="115"/>
  <c r="F2732" i="115"/>
  <c r="E2732" i="115"/>
  <c r="A2732" i="115"/>
  <c r="K2731" i="115"/>
  <c r="I2731" i="115"/>
  <c r="H2731" i="115"/>
  <c r="G2731" i="115"/>
  <c r="F2731" i="115"/>
  <c r="E2731" i="115"/>
  <c r="A2731" i="115"/>
  <c r="K2730" i="115"/>
  <c r="I2730" i="115"/>
  <c r="H2730" i="115"/>
  <c r="G2730" i="115"/>
  <c r="F2730" i="115"/>
  <c r="E2730" i="115"/>
  <c r="A2730" i="115"/>
  <c r="K2729" i="115"/>
  <c r="I2729" i="115"/>
  <c r="H2729" i="115"/>
  <c r="G2729" i="115"/>
  <c r="F2729" i="115"/>
  <c r="E2729" i="115"/>
  <c r="A2729" i="115"/>
  <c r="K2728" i="115"/>
  <c r="I2728" i="115"/>
  <c r="H2728" i="115"/>
  <c r="G2728" i="115"/>
  <c r="F2728" i="115"/>
  <c r="E2728" i="115"/>
  <c r="A2728" i="115"/>
  <c r="K2727" i="115"/>
  <c r="I2727" i="115"/>
  <c r="H2727" i="115"/>
  <c r="G2727" i="115"/>
  <c r="F2727" i="115"/>
  <c r="E2727" i="115"/>
  <c r="A2727" i="115"/>
  <c r="K2726" i="115"/>
  <c r="I2726" i="115"/>
  <c r="H2726" i="115"/>
  <c r="G2726" i="115"/>
  <c r="F2726" i="115"/>
  <c r="E2726" i="115"/>
  <c r="A2726" i="115"/>
  <c r="K2725" i="115"/>
  <c r="I2725" i="115"/>
  <c r="H2725" i="115"/>
  <c r="G2725" i="115"/>
  <c r="F2725" i="115"/>
  <c r="E2725" i="115"/>
  <c r="A2725" i="115"/>
  <c r="K2724" i="115"/>
  <c r="I2724" i="115"/>
  <c r="H2724" i="115"/>
  <c r="G2724" i="115"/>
  <c r="F2724" i="115"/>
  <c r="E2724" i="115"/>
  <c r="A2724" i="115"/>
  <c r="K2723" i="115"/>
  <c r="I2723" i="115"/>
  <c r="H2723" i="115"/>
  <c r="G2723" i="115"/>
  <c r="F2723" i="115"/>
  <c r="E2723" i="115"/>
  <c r="A2723" i="115"/>
  <c r="K2722" i="115"/>
  <c r="I2722" i="115"/>
  <c r="H2722" i="115"/>
  <c r="G2722" i="115"/>
  <c r="F2722" i="115"/>
  <c r="E2722" i="115"/>
  <c r="A2722" i="115"/>
  <c r="K2721" i="115"/>
  <c r="I2721" i="115"/>
  <c r="H2721" i="115"/>
  <c r="G2721" i="115"/>
  <c r="F2721" i="115"/>
  <c r="E2721" i="115"/>
  <c r="A2721" i="115"/>
  <c r="K2720" i="115"/>
  <c r="I2720" i="115"/>
  <c r="H2720" i="115"/>
  <c r="G2720" i="115"/>
  <c r="F2720" i="115"/>
  <c r="E2720" i="115"/>
  <c r="A2720" i="115"/>
  <c r="K2719" i="115"/>
  <c r="I2719" i="115"/>
  <c r="H2719" i="115"/>
  <c r="G2719" i="115"/>
  <c r="F2719" i="115"/>
  <c r="E2719" i="115"/>
  <c r="A2719" i="115"/>
  <c r="K2718" i="115"/>
  <c r="I2718" i="115"/>
  <c r="H2718" i="115"/>
  <c r="G2718" i="115"/>
  <c r="F2718" i="115"/>
  <c r="E2718" i="115"/>
  <c r="A2718" i="115"/>
  <c r="K2717" i="115"/>
  <c r="I2717" i="115"/>
  <c r="H2717" i="115"/>
  <c r="G2717" i="115"/>
  <c r="F2717" i="115"/>
  <c r="E2717" i="115"/>
  <c r="A2717" i="115"/>
  <c r="K2716" i="115"/>
  <c r="I2716" i="115"/>
  <c r="H2716" i="115"/>
  <c r="G2716" i="115"/>
  <c r="F2716" i="115"/>
  <c r="E2716" i="115"/>
  <c r="A2716" i="115"/>
  <c r="K2715" i="115"/>
  <c r="I2715" i="115"/>
  <c r="H2715" i="115"/>
  <c r="G2715" i="115"/>
  <c r="F2715" i="115"/>
  <c r="E2715" i="115"/>
  <c r="A2715" i="115"/>
  <c r="K2714" i="115"/>
  <c r="I2714" i="115"/>
  <c r="H2714" i="115"/>
  <c r="G2714" i="115"/>
  <c r="F2714" i="115"/>
  <c r="E2714" i="115"/>
  <c r="A2714" i="115"/>
  <c r="K2713" i="115"/>
  <c r="I2713" i="115"/>
  <c r="H2713" i="115"/>
  <c r="G2713" i="115"/>
  <c r="F2713" i="115"/>
  <c r="E2713" i="115"/>
  <c r="A2713" i="115"/>
  <c r="K2712" i="115"/>
  <c r="I2712" i="115"/>
  <c r="H2712" i="115"/>
  <c r="G2712" i="115"/>
  <c r="F2712" i="115"/>
  <c r="E2712" i="115"/>
  <c r="A2712" i="115"/>
  <c r="K2711" i="115"/>
  <c r="I2711" i="115"/>
  <c r="H2711" i="115"/>
  <c r="G2711" i="115"/>
  <c r="F2711" i="115"/>
  <c r="E2711" i="115"/>
  <c r="A2711" i="115"/>
  <c r="K2710" i="115"/>
  <c r="I2710" i="115"/>
  <c r="H2710" i="115"/>
  <c r="G2710" i="115"/>
  <c r="F2710" i="115"/>
  <c r="E2710" i="115"/>
  <c r="A2710" i="115"/>
  <c r="K2709" i="115"/>
  <c r="I2709" i="115"/>
  <c r="H2709" i="115"/>
  <c r="G2709" i="115"/>
  <c r="F2709" i="115"/>
  <c r="E2709" i="115"/>
  <c r="A2709" i="115"/>
  <c r="K2708" i="115"/>
  <c r="I2708" i="115"/>
  <c r="H2708" i="115"/>
  <c r="G2708" i="115"/>
  <c r="F2708" i="115"/>
  <c r="E2708" i="115"/>
  <c r="A2708" i="115"/>
  <c r="K2707" i="115"/>
  <c r="I2707" i="115"/>
  <c r="H2707" i="115"/>
  <c r="G2707" i="115"/>
  <c r="F2707" i="115"/>
  <c r="E2707" i="115"/>
  <c r="A2707" i="115"/>
  <c r="K2706" i="115"/>
  <c r="I2706" i="115"/>
  <c r="H2706" i="115"/>
  <c r="G2706" i="115"/>
  <c r="F2706" i="115"/>
  <c r="E2706" i="115"/>
  <c r="A2706" i="115"/>
  <c r="K2705" i="115"/>
  <c r="I2705" i="115"/>
  <c r="H2705" i="115"/>
  <c r="G2705" i="115"/>
  <c r="F2705" i="115"/>
  <c r="E2705" i="115"/>
  <c r="A2705" i="115"/>
  <c r="K2704" i="115"/>
  <c r="I2704" i="115"/>
  <c r="H2704" i="115"/>
  <c r="G2704" i="115"/>
  <c r="F2704" i="115"/>
  <c r="E2704" i="115"/>
  <c r="A2704" i="115"/>
  <c r="K2703" i="115"/>
  <c r="I2703" i="115"/>
  <c r="H2703" i="115"/>
  <c r="G2703" i="115"/>
  <c r="F2703" i="115"/>
  <c r="E2703" i="115"/>
  <c r="A2703" i="115"/>
  <c r="K2702" i="115"/>
  <c r="I2702" i="115"/>
  <c r="H2702" i="115"/>
  <c r="G2702" i="115"/>
  <c r="F2702" i="115"/>
  <c r="E2702" i="115"/>
  <c r="A2702" i="115"/>
  <c r="K2701" i="115"/>
  <c r="I2701" i="115"/>
  <c r="H2701" i="115"/>
  <c r="G2701" i="115"/>
  <c r="F2701" i="115"/>
  <c r="E2701" i="115"/>
  <c r="A2701" i="115"/>
  <c r="K2700" i="115"/>
  <c r="I2700" i="115"/>
  <c r="H2700" i="115"/>
  <c r="G2700" i="115"/>
  <c r="F2700" i="115"/>
  <c r="E2700" i="115"/>
  <c r="A2700" i="115"/>
  <c r="K2699" i="115"/>
  <c r="I2699" i="115"/>
  <c r="H2699" i="115"/>
  <c r="G2699" i="115"/>
  <c r="F2699" i="115"/>
  <c r="E2699" i="115"/>
  <c r="A2699" i="115"/>
  <c r="K2698" i="115"/>
  <c r="I2698" i="115"/>
  <c r="H2698" i="115"/>
  <c r="G2698" i="115"/>
  <c r="F2698" i="115"/>
  <c r="E2698" i="115"/>
  <c r="A2698" i="115"/>
  <c r="K2697" i="115"/>
  <c r="I2697" i="115"/>
  <c r="H2697" i="115"/>
  <c r="G2697" i="115"/>
  <c r="F2697" i="115"/>
  <c r="E2697" i="115"/>
  <c r="A2697" i="115"/>
  <c r="K2696" i="115"/>
  <c r="I2696" i="115"/>
  <c r="H2696" i="115"/>
  <c r="G2696" i="115"/>
  <c r="F2696" i="115"/>
  <c r="E2696" i="115"/>
  <c r="A2696" i="115"/>
  <c r="K2695" i="115"/>
  <c r="I2695" i="115"/>
  <c r="H2695" i="115"/>
  <c r="G2695" i="115"/>
  <c r="F2695" i="115"/>
  <c r="E2695" i="115"/>
  <c r="A2695" i="115"/>
  <c r="K2694" i="115"/>
  <c r="I2694" i="115"/>
  <c r="H2694" i="115"/>
  <c r="G2694" i="115"/>
  <c r="F2694" i="115"/>
  <c r="E2694" i="115"/>
  <c r="A2694" i="115"/>
  <c r="K2693" i="115"/>
  <c r="I2693" i="115"/>
  <c r="H2693" i="115"/>
  <c r="G2693" i="115"/>
  <c r="F2693" i="115"/>
  <c r="E2693" i="115"/>
  <c r="A2693" i="115"/>
  <c r="K2692" i="115"/>
  <c r="I2692" i="115"/>
  <c r="H2692" i="115"/>
  <c r="G2692" i="115"/>
  <c r="F2692" i="115"/>
  <c r="E2692" i="115"/>
  <c r="A2692" i="115"/>
  <c r="K2691" i="115"/>
  <c r="I2691" i="115"/>
  <c r="H2691" i="115"/>
  <c r="G2691" i="115"/>
  <c r="F2691" i="115"/>
  <c r="E2691" i="115"/>
  <c r="A2691" i="115"/>
  <c r="K2690" i="115"/>
  <c r="I2690" i="115"/>
  <c r="H2690" i="115"/>
  <c r="G2690" i="115"/>
  <c r="F2690" i="115"/>
  <c r="E2690" i="115"/>
  <c r="A2690" i="115"/>
  <c r="K2689" i="115"/>
  <c r="I2689" i="115"/>
  <c r="H2689" i="115"/>
  <c r="G2689" i="115"/>
  <c r="F2689" i="115"/>
  <c r="E2689" i="115"/>
  <c r="A2689" i="115"/>
  <c r="K2688" i="115"/>
  <c r="I2688" i="115"/>
  <c r="H2688" i="115"/>
  <c r="G2688" i="115"/>
  <c r="F2688" i="115"/>
  <c r="E2688" i="115"/>
  <c r="A2688" i="115"/>
  <c r="K2687" i="115"/>
  <c r="I2687" i="115"/>
  <c r="H2687" i="115"/>
  <c r="G2687" i="115"/>
  <c r="F2687" i="115"/>
  <c r="E2687" i="115"/>
  <c r="A2687" i="115"/>
  <c r="K2686" i="115"/>
  <c r="I2686" i="115"/>
  <c r="H2686" i="115"/>
  <c r="G2686" i="115"/>
  <c r="F2686" i="115"/>
  <c r="E2686" i="115"/>
  <c r="A2686" i="115"/>
  <c r="K2685" i="115"/>
  <c r="I2685" i="115"/>
  <c r="H2685" i="115"/>
  <c r="G2685" i="115"/>
  <c r="F2685" i="115"/>
  <c r="E2685" i="115"/>
  <c r="A2685" i="115"/>
  <c r="K2684" i="115"/>
  <c r="I2684" i="115"/>
  <c r="H2684" i="115"/>
  <c r="G2684" i="115"/>
  <c r="F2684" i="115"/>
  <c r="E2684" i="115"/>
  <c r="A2684" i="115"/>
  <c r="K2683" i="115"/>
  <c r="I2683" i="115"/>
  <c r="H2683" i="115"/>
  <c r="G2683" i="115"/>
  <c r="F2683" i="115"/>
  <c r="E2683" i="115"/>
  <c r="A2683" i="115"/>
  <c r="K2682" i="115"/>
  <c r="I2682" i="115"/>
  <c r="H2682" i="115"/>
  <c r="G2682" i="115"/>
  <c r="F2682" i="115"/>
  <c r="E2682" i="115"/>
  <c r="A2682" i="115"/>
  <c r="K2681" i="115"/>
  <c r="I2681" i="115"/>
  <c r="H2681" i="115"/>
  <c r="G2681" i="115"/>
  <c r="F2681" i="115"/>
  <c r="E2681" i="115"/>
  <c r="A2681" i="115"/>
  <c r="K2680" i="115"/>
  <c r="I2680" i="115"/>
  <c r="H2680" i="115"/>
  <c r="G2680" i="115"/>
  <c r="F2680" i="115"/>
  <c r="E2680" i="115"/>
  <c r="A2680" i="115"/>
  <c r="K2679" i="115"/>
  <c r="I2679" i="115"/>
  <c r="H2679" i="115"/>
  <c r="G2679" i="115"/>
  <c r="F2679" i="115"/>
  <c r="E2679" i="115"/>
  <c r="A2679" i="115"/>
  <c r="K2678" i="115"/>
  <c r="I2678" i="115"/>
  <c r="H2678" i="115"/>
  <c r="G2678" i="115"/>
  <c r="F2678" i="115"/>
  <c r="E2678" i="115"/>
  <c r="A2678" i="115"/>
  <c r="K2677" i="115"/>
  <c r="I2677" i="115"/>
  <c r="H2677" i="115"/>
  <c r="G2677" i="115"/>
  <c r="F2677" i="115"/>
  <c r="E2677" i="115"/>
  <c r="A2677" i="115"/>
  <c r="K2676" i="115"/>
  <c r="I2676" i="115"/>
  <c r="H2676" i="115"/>
  <c r="G2676" i="115"/>
  <c r="F2676" i="115"/>
  <c r="E2676" i="115"/>
  <c r="A2676" i="115"/>
  <c r="K2675" i="115"/>
  <c r="I2675" i="115"/>
  <c r="H2675" i="115"/>
  <c r="G2675" i="115"/>
  <c r="F2675" i="115"/>
  <c r="E2675" i="115"/>
  <c r="A2675" i="115"/>
  <c r="K2674" i="115"/>
  <c r="I2674" i="115"/>
  <c r="H2674" i="115"/>
  <c r="G2674" i="115"/>
  <c r="F2674" i="115"/>
  <c r="E2674" i="115"/>
  <c r="A2674" i="115"/>
  <c r="K2673" i="115"/>
  <c r="I2673" i="115"/>
  <c r="H2673" i="115"/>
  <c r="G2673" i="115"/>
  <c r="F2673" i="115"/>
  <c r="E2673" i="115"/>
  <c r="A2673" i="115"/>
  <c r="K2672" i="115"/>
  <c r="I2672" i="115"/>
  <c r="H2672" i="115"/>
  <c r="G2672" i="115"/>
  <c r="F2672" i="115"/>
  <c r="E2672" i="115"/>
  <c r="A2672" i="115"/>
  <c r="K2671" i="115"/>
  <c r="I2671" i="115"/>
  <c r="H2671" i="115"/>
  <c r="G2671" i="115"/>
  <c r="F2671" i="115"/>
  <c r="E2671" i="115"/>
  <c r="A2671" i="115"/>
  <c r="K2670" i="115"/>
  <c r="I2670" i="115"/>
  <c r="H2670" i="115"/>
  <c r="G2670" i="115"/>
  <c r="F2670" i="115"/>
  <c r="E2670" i="115"/>
  <c r="A2670" i="115"/>
  <c r="K2669" i="115"/>
  <c r="I2669" i="115"/>
  <c r="H2669" i="115"/>
  <c r="G2669" i="115"/>
  <c r="F2669" i="115"/>
  <c r="E2669" i="115"/>
  <c r="A2669" i="115"/>
  <c r="K2668" i="115"/>
  <c r="I2668" i="115"/>
  <c r="H2668" i="115"/>
  <c r="G2668" i="115"/>
  <c r="F2668" i="115"/>
  <c r="E2668" i="115"/>
  <c r="A2668" i="115"/>
  <c r="K2667" i="115"/>
  <c r="I2667" i="115"/>
  <c r="H2667" i="115"/>
  <c r="G2667" i="115"/>
  <c r="F2667" i="115"/>
  <c r="E2667" i="115"/>
  <c r="A2667" i="115"/>
  <c r="K2666" i="115"/>
  <c r="I2666" i="115"/>
  <c r="H2666" i="115"/>
  <c r="G2666" i="115"/>
  <c r="F2666" i="115"/>
  <c r="E2666" i="115"/>
  <c r="A2666" i="115"/>
  <c r="K2665" i="115"/>
  <c r="I2665" i="115"/>
  <c r="H2665" i="115"/>
  <c r="G2665" i="115"/>
  <c r="F2665" i="115"/>
  <c r="E2665" i="115"/>
  <c r="A2665" i="115"/>
  <c r="K2664" i="115"/>
  <c r="I2664" i="115"/>
  <c r="H2664" i="115"/>
  <c r="G2664" i="115"/>
  <c r="F2664" i="115"/>
  <c r="E2664" i="115"/>
  <c r="A2664" i="115"/>
  <c r="K2663" i="115"/>
  <c r="I2663" i="115"/>
  <c r="H2663" i="115"/>
  <c r="G2663" i="115"/>
  <c r="F2663" i="115"/>
  <c r="E2663" i="115"/>
  <c r="A2663" i="115"/>
  <c r="K2662" i="115"/>
  <c r="I2662" i="115"/>
  <c r="H2662" i="115"/>
  <c r="G2662" i="115"/>
  <c r="F2662" i="115"/>
  <c r="E2662" i="115"/>
  <c r="A2662" i="115"/>
  <c r="K2661" i="115"/>
  <c r="I2661" i="115"/>
  <c r="H2661" i="115"/>
  <c r="G2661" i="115"/>
  <c r="F2661" i="115"/>
  <c r="E2661" i="115"/>
  <c r="A2661" i="115"/>
  <c r="K2660" i="115"/>
  <c r="I2660" i="115"/>
  <c r="H2660" i="115"/>
  <c r="G2660" i="115"/>
  <c r="F2660" i="115"/>
  <c r="E2660" i="115"/>
  <c r="A2660" i="115"/>
  <c r="K2659" i="115"/>
  <c r="I2659" i="115"/>
  <c r="H2659" i="115"/>
  <c r="G2659" i="115"/>
  <c r="F2659" i="115"/>
  <c r="E2659" i="115"/>
  <c r="A2659" i="115"/>
  <c r="K2658" i="115"/>
  <c r="I2658" i="115"/>
  <c r="H2658" i="115"/>
  <c r="G2658" i="115"/>
  <c r="F2658" i="115"/>
  <c r="E2658" i="115"/>
  <c r="A2658" i="115"/>
  <c r="K2657" i="115"/>
  <c r="I2657" i="115"/>
  <c r="H2657" i="115"/>
  <c r="G2657" i="115"/>
  <c r="F2657" i="115"/>
  <c r="E2657" i="115"/>
  <c r="A2657" i="115"/>
  <c r="K2656" i="115"/>
  <c r="I2656" i="115"/>
  <c r="H2656" i="115"/>
  <c r="G2656" i="115"/>
  <c r="F2656" i="115"/>
  <c r="E2656" i="115"/>
  <c r="A2656" i="115"/>
  <c r="K2655" i="115"/>
  <c r="I2655" i="115"/>
  <c r="H2655" i="115"/>
  <c r="G2655" i="115"/>
  <c r="F2655" i="115"/>
  <c r="E2655" i="115"/>
  <c r="A2655" i="115"/>
  <c r="K2654" i="115"/>
  <c r="I2654" i="115"/>
  <c r="H2654" i="115"/>
  <c r="G2654" i="115"/>
  <c r="F2654" i="115"/>
  <c r="E2654" i="115"/>
  <c r="A2654" i="115"/>
  <c r="K2653" i="115"/>
  <c r="I2653" i="115"/>
  <c r="H2653" i="115"/>
  <c r="G2653" i="115"/>
  <c r="F2653" i="115"/>
  <c r="E2653" i="115"/>
  <c r="A2653" i="115"/>
  <c r="K2652" i="115"/>
  <c r="I2652" i="115"/>
  <c r="H2652" i="115"/>
  <c r="G2652" i="115"/>
  <c r="F2652" i="115"/>
  <c r="E2652" i="115"/>
  <c r="A2652" i="115"/>
  <c r="K2651" i="115"/>
  <c r="I2651" i="115"/>
  <c r="H2651" i="115"/>
  <c r="G2651" i="115"/>
  <c r="F2651" i="115"/>
  <c r="E2651" i="115"/>
  <c r="A2651" i="115"/>
  <c r="K2650" i="115"/>
  <c r="I2650" i="115"/>
  <c r="H2650" i="115"/>
  <c r="G2650" i="115"/>
  <c r="F2650" i="115"/>
  <c r="E2650" i="115"/>
  <c r="A2650" i="115"/>
  <c r="K2649" i="115"/>
  <c r="I2649" i="115"/>
  <c r="H2649" i="115"/>
  <c r="G2649" i="115"/>
  <c r="F2649" i="115"/>
  <c r="E2649" i="115"/>
  <c r="A2649" i="115"/>
  <c r="K2648" i="115"/>
  <c r="I2648" i="115"/>
  <c r="H2648" i="115"/>
  <c r="G2648" i="115"/>
  <c r="F2648" i="115"/>
  <c r="E2648" i="115"/>
  <c r="A2648" i="115"/>
  <c r="K2647" i="115"/>
  <c r="I2647" i="115"/>
  <c r="H2647" i="115"/>
  <c r="G2647" i="115"/>
  <c r="F2647" i="115"/>
  <c r="E2647" i="115"/>
  <c r="A2647" i="115"/>
  <c r="K2646" i="115"/>
  <c r="I2646" i="115"/>
  <c r="H2646" i="115"/>
  <c r="G2646" i="115"/>
  <c r="F2646" i="115"/>
  <c r="E2646" i="115"/>
  <c r="A2646" i="115"/>
  <c r="K2645" i="115"/>
  <c r="I2645" i="115"/>
  <c r="H2645" i="115"/>
  <c r="G2645" i="115"/>
  <c r="F2645" i="115"/>
  <c r="E2645" i="115"/>
  <c r="A2645" i="115"/>
  <c r="K2644" i="115"/>
  <c r="I2644" i="115"/>
  <c r="H2644" i="115"/>
  <c r="G2644" i="115"/>
  <c r="F2644" i="115"/>
  <c r="E2644" i="115"/>
  <c r="A2644" i="115"/>
  <c r="K2643" i="115"/>
  <c r="I2643" i="115"/>
  <c r="H2643" i="115"/>
  <c r="G2643" i="115"/>
  <c r="F2643" i="115"/>
  <c r="E2643" i="115"/>
  <c r="A2643" i="115"/>
  <c r="K2642" i="115"/>
  <c r="I2642" i="115"/>
  <c r="H2642" i="115"/>
  <c r="G2642" i="115"/>
  <c r="F2642" i="115"/>
  <c r="E2642" i="115"/>
  <c r="A2642" i="115"/>
  <c r="K2641" i="115"/>
  <c r="I2641" i="115"/>
  <c r="H2641" i="115"/>
  <c r="G2641" i="115"/>
  <c r="F2641" i="115"/>
  <c r="E2641" i="115"/>
  <c r="A2641" i="115"/>
  <c r="K2640" i="115"/>
  <c r="I2640" i="115"/>
  <c r="H2640" i="115"/>
  <c r="G2640" i="115"/>
  <c r="F2640" i="115"/>
  <c r="E2640" i="115"/>
  <c r="A2640" i="115"/>
  <c r="K2639" i="115"/>
  <c r="I2639" i="115"/>
  <c r="H2639" i="115"/>
  <c r="G2639" i="115"/>
  <c r="F2639" i="115"/>
  <c r="E2639" i="115"/>
  <c r="A2639" i="115"/>
  <c r="K2638" i="115"/>
  <c r="I2638" i="115"/>
  <c r="H2638" i="115"/>
  <c r="G2638" i="115"/>
  <c r="F2638" i="115"/>
  <c r="E2638" i="115"/>
  <c r="A2638" i="115"/>
  <c r="K2637" i="115"/>
  <c r="I2637" i="115"/>
  <c r="H2637" i="115"/>
  <c r="G2637" i="115"/>
  <c r="F2637" i="115"/>
  <c r="E2637" i="115"/>
  <c r="A2637" i="115"/>
  <c r="K2636" i="115"/>
  <c r="I2636" i="115"/>
  <c r="H2636" i="115"/>
  <c r="G2636" i="115"/>
  <c r="F2636" i="115"/>
  <c r="E2636" i="115"/>
  <c r="A2636" i="115"/>
  <c r="K2635" i="115"/>
  <c r="I2635" i="115"/>
  <c r="H2635" i="115"/>
  <c r="G2635" i="115"/>
  <c r="F2635" i="115"/>
  <c r="E2635" i="115"/>
  <c r="A2635" i="115"/>
  <c r="K2634" i="115"/>
  <c r="I2634" i="115"/>
  <c r="H2634" i="115"/>
  <c r="G2634" i="115"/>
  <c r="F2634" i="115"/>
  <c r="E2634" i="115"/>
  <c r="A2634" i="115"/>
  <c r="K2633" i="115"/>
  <c r="I2633" i="115"/>
  <c r="H2633" i="115"/>
  <c r="G2633" i="115"/>
  <c r="F2633" i="115"/>
  <c r="E2633" i="115"/>
  <c r="A2633" i="115"/>
  <c r="K2632" i="115"/>
  <c r="I2632" i="115"/>
  <c r="H2632" i="115"/>
  <c r="G2632" i="115"/>
  <c r="F2632" i="115"/>
  <c r="E2632" i="115"/>
  <c r="A2632" i="115"/>
  <c r="K2631" i="115"/>
  <c r="I2631" i="115"/>
  <c r="H2631" i="115"/>
  <c r="G2631" i="115"/>
  <c r="F2631" i="115"/>
  <c r="E2631" i="115"/>
  <c r="A2631" i="115"/>
  <c r="K2630" i="115"/>
  <c r="I2630" i="115"/>
  <c r="H2630" i="115"/>
  <c r="G2630" i="115"/>
  <c r="F2630" i="115"/>
  <c r="E2630" i="115"/>
  <c r="A2630" i="115"/>
  <c r="K2629" i="115"/>
  <c r="I2629" i="115"/>
  <c r="H2629" i="115"/>
  <c r="G2629" i="115"/>
  <c r="F2629" i="115"/>
  <c r="E2629" i="115"/>
  <c r="A2629" i="115"/>
  <c r="K2628" i="115"/>
  <c r="I2628" i="115"/>
  <c r="H2628" i="115"/>
  <c r="G2628" i="115"/>
  <c r="F2628" i="115"/>
  <c r="E2628" i="115"/>
  <c r="A2628" i="115"/>
  <c r="K2627" i="115"/>
  <c r="I2627" i="115"/>
  <c r="H2627" i="115"/>
  <c r="G2627" i="115"/>
  <c r="F2627" i="115"/>
  <c r="E2627" i="115"/>
  <c r="A2627" i="115"/>
  <c r="K2626" i="115"/>
  <c r="I2626" i="115"/>
  <c r="H2626" i="115"/>
  <c r="G2626" i="115"/>
  <c r="F2626" i="115"/>
  <c r="E2626" i="115"/>
  <c r="A2626" i="115"/>
  <c r="K2625" i="115"/>
  <c r="I2625" i="115"/>
  <c r="H2625" i="115"/>
  <c r="G2625" i="115"/>
  <c r="F2625" i="115"/>
  <c r="E2625" i="115"/>
  <c r="A2625" i="115"/>
  <c r="K2624" i="115"/>
  <c r="I2624" i="115"/>
  <c r="H2624" i="115"/>
  <c r="G2624" i="115"/>
  <c r="F2624" i="115"/>
  <c r="E2624" i="115"/>
  <c r="A2624" i="115"/>
  <c r="K2623" i="115"/>
  <c r="I2623" i="115"/>
  <c r="H2623" i="115"/>
  <c r="G2623" i="115"/>
  <c r="F2623" i="115"/>
  <c r="E2623" i="115"/>
  <c r="A2623" i="115"/>
  <c r="K2622" i="115"/>
  <c r="I2622" i="115"/>
  <c r="H2622" i="115"/>
  <c r="G2622" i="115"/>
  <c r="F2622" i="115"/>
  <c r="E2622" i="115"/>
  <c r="A2622" i="115"/>
  <c r="K2621" i="115"/>
  <c r="I2621" i="115"/>
  <c r="H2621" i="115"/>
  <c r="G2621" i="115"/>
  <c r="F2621" i="115"/>
  <c r="E2621" i="115"/>
  <c r="A2621" i="115"/>
  <c r="K2620" i="115"/>
  <c r="I2620" i="115"/>
  <c r="H2620" i="115"/>
  <c r="G2620" i="115"/>
  <c r="F2620" i="115"/>
  <c r="E2620" i="115"/>
  <c r="A2620" i="115"/>
  <c r="K2619" i="115"/>
  <c r="I2619" i="115"/>
  <c r="H2619" i="115"/>
  <c r="G2619" i="115"/>
  <c r="F2619" i="115"/>
  <c r="E2619" i="115"/>
  <c r="A2619" i="115"/>
  <c r="K2618" i="115"/>
  <c r="I2618" i="115"/>
  <c r="H2618" i="115"/>
  <c r="G2618" i="115"/>
  <c r="F2618" i="115"/>
  <c r="E2618" i="115"/>
  <c r="A2618" i="115"/>
  <c r="K2617" i="115"/>
  <c r="I2617" i="115"/>
  <c r="H2617" i="115"/>
  <c r="G2617" i="115"/>
  <c r="F2617" i="115"/>
  <c r="E2617" i="115"/>
  <c r="A2617" i="115"/>
  <c r="K2616" i="115"/>
  <c r="I2616" i="115"/>
  <c r="H2616" i="115"/>
  <c r="G2616" i="115"/>
  <c r="F2616" i="115"/>
  <c r="E2616" i="115"/>
  <c r="A2616" i="115"/>
  <c r="K2615" i="115"/>
  <c r="I2615" i="115"/>
  <c r="H2615" i="115"/>
  <c r="G2615" i="115"/>
  <c r="F2615" i="115"/>
  <c r="E2615" i="115"/>
  <c r="A2615" i="115"/>
  <c r="K2614" i="115"/>
  <c r="I2614" i="115"/>
  <c r="H2614" i="115"/>
  <c r="G2614" i="115"/>
  <c r="F2614" i="115"/>
  <c r="E2614" i="115"/>
  <c r="A2614" i="115"/>
  <c r="K2613" i="115"/>
  <c r="I2613" i="115"/>
  <c r="H2613" i="115"/>
  <c r="G2613" i="115"/>
  <c r="F2613" i="115"/>
  <c r="E2613" i="115"/>
  <c r="A2613" i="115"/>
  <c r="K2612" i="115"/>
  <c r="I2612" i="115"/>
  <c r="H2612" i="115"/>
  <c r="G2612" i="115"/>
  <c r="F2612" i="115"/>
  <c r="E2612" i="115"/>
  <c r="A2612" i="115"/>
  <c r="K2611" i="115"/>
  <c r="I2611" i="115"/>
  <c r="H2611" i="115"/>
  <c r="G2611" i="115"/>
  <c r="F2611" i="115"/>
  <c r="E2611" i="115"/>
  <c r="A2611" i="115"/>
  <c r="K2610" i="115"/>
  <c r="I2610" i="115"/>
  <c r="H2610" i="115"/>
  <c r="G2610" i="115"/>
  <c r="F2610" i="115"/>
  <c r="E2610" i="115"/>
  <c r="A2610" i="115"/>
  <c r="K2609" i="115"/>
  <c r="I2609" i="115"/>
  <c r="H2609" i="115"/>
  <c r="G2609" i="115"/>
  <c r="F2609" i="115"/>
  <c r="E2609" i="115"/>
  <c r="A2609" i="115"/>
  <c r="K2608" i="115"/>
  <c r="I2608" i="115"/>
  <c r="H2608" i="115"/>
  <c r="G2608" i="115"/>
  <c r="F2608" i="115"/>
  <c r="E2608" i="115"/>
  <c r="A2608" i="115"/>
  <c r="K2607" i="115"/>
  <c r="I2607" i="115"/>
  <c r="H2607" i="115"/>
  <c r="G2607" i="115"/>
  <c r="F2607" i="115"/>
  <c r="E2607" i="115"/>
  <c r="A2607" i="115"/>
  <c r="K2606" i="115"/>
  <c r="I2606" i="115"/>
  <c r="H2606" i="115"/>
  <c r="G2606" i="115"/>
  <c r="F2606" i="115"/>
  <c r="E2606" i="115"/>
  <c r="A2606" i="115"/>
  <c r="K2605" i="115"/>
  <c r="I2605" i="115"/>
  <c r="H2605" i="115"/>
  <c r="G2605" i="115"/>
  <c r="F2605" i="115"/>
  <c r="E2605" i="115"/>
  <c r="A2605" i="115"/>
  <c r="K2604" i="115"/>
  <c r="I2604" i="115"/>
  <c r="H2604" i="115"/>
  <c r="G2604" i="115"/>
  <c r="F2604" i="115"/>
  <c r="E2604" i="115"/>
  <c r="A2604" i="115"/>
  <c r="K2603" i="115"/>
  <c r="I2603" i="115"/>
  <c r="H2603" i="115"/>
  <c r="G2603" i="115"/>
  <c r="F2603" i="115"/>
  <c r="E2603" i="115"/>
  <c r="A2603" i="115"/>
  <c r="K2602" i="115"/>
  <c r="I2602" i="115"/>
  <c r="H2602" i="115"/>
  <c r="G2602" i="115"/>
  <c r="F2602" i="115"/>
  <c r="E2602" i="115"/>
  <c r="A2602" i="115"/>
  <c r="K2601" i="115"/>
  <c r="I2601" i="115"/>
  <c r="H2601" i="115"/>
  <c r="G2601" i="115"/>
  <c r="F2601" i="115"/>
  <c r="E2601" i="115"/>
  <c r="A2601" i="115"/>
  <c r="K2600" i="115"/>
  <c r="I2600" i="115"/>
  <c r="H2600" i="115"/>
  <c r="G2600" i="115"/>
  <c r="F2600" i="115"/>
  <c r="E2600" i="115"/>
  <c r="A2600" i="115"/>
  <c r="K2599" i="115"/>
  <c r="I2599" i="115"/>
  <c r="H2599" i="115"/>
  <c r="G2599" i="115"/>
  <c r="F2599" i="115"/>
  <c r="E2599" i="115"/>
  <c r="A2599" i="115"/>
  <c r="K2598" i="115"/>
  <c r="I2598" i="115"/>
  <c r="H2598" i="115"/>
  <c r="G2598" i="115"/>
  <c r="F2598" i="115"/>
  <c r="E2598" i="115"/>
  <c r="A2598" i="115"/>
  <c r="K2597" i="115"/>
  <c r="I2597" i="115"/>
  <c r="H2597" i="115"/>
  <c r="G2597" i="115"/>
  <c r="F2597" i="115"/>
  <c r="E2597" i="115"/>
  <c r="A2597" i="115"/>
  <c r="K2596" i="115"/>
  <c r="I2596" i="115"/>
  <c r="H2596" i="115"/>
  <c r="G2596" i="115"/>
  <c r="F2596" i="115"/>
  <c r="E2596" i="115"/>
  <c r="A2596" i="115"/>
  <c r="K2595" i="115"/>
  <c r="I2595" i="115"/>
  <c r="H2595" i="115"/>
  <c r="G2595" i="115"/>
  <c r="F2595" i="115"/>
  <c r="E2595" i="115"/>
  <c r="A2595" i="115"/>
  <c r="K2594" i="115"/>
  <c r="I2594" i="115"/>
  <c r="H2594" i="115"/>
  <c r="G2594" i="115"/>
  <c r="F2594" i="115"/>
  <c r="E2594" i="115"/>
  <c r="A2594" i="115"/>
  <c r="K2593" i="115"/>
  <c r="I2593" i="115"/>
  <c r="H2593" i="115"/>
  <c r="G2593" i="115"/>
  <c r="F2593" i="115"/>
  <c r="E2593" i="115"/>
  <c r="A2593" i="115"/>
  <c r="K2592" i="115"/>
  <c r="I2592" i="115"/>
  <c r="H2592" i="115"/>
  <c r="G2592" i="115"/>
  <c r="F2592" i="115"/>
  <c r="E2592" i="115"/>
  <c r="A2592" i="115"/>
  <c r="K2591" i="115"/>
  <c r="I2591" i="115"/>
  <c r="H2591" i="115"/>
  <c r="G2591" i="115"/>
  <c r="F2591" i="115"/>
  <c r="E2591" i="115"/>
  <c r="A2591" i="115"/>
  <c r="K2590" i="115"/>
  <c r="I2590" i="115"/>
  <c r="H2590" i="115"/>
  <c r="G2590" i="115"/>
  <c r="F2590" i="115"/>
  <c r="E2590" i="115"/>
  <c r="A2590" i="115"/>
  <c r="K2589" i="115"/>
  <c r="I2589" i="115"/>
  <c r="H2589" i="115"/>
  <c r="G2589" i="115"/>
  <c r="F2589" i="115"/>
  <c r="E2589" i="115"/>
  <c r="A2589" i="115"/>
  <c r="K2588" i="115"/>
  <c r="I2588" i="115"/>
  <c r="H2588" i="115"/>
  <c r="G2588" i="115"/>
  <c r="F2588" i="115"/>
  <c r="E2588" i="115"/>
  <c r="A2588" i="115"/>
  <c r="K2587" i="115"/>
  <c r="I2587" i="115"/>
  <c r="H2587" i="115"/>
  <c r="G2587" i="115"/>
  <c r="F2587" i="115"/>
  <c r="E2587" i="115"/>
  <c r="A2587" i="115"/>
  <c r="K2586" i="115"/>
  <c r="I2586" i="115"/>
  <c r="H2586" i="115"/>
  <c r="G2586" i="115"/>
  <c r="F2586" i="115"/>
  <c r="E2586" i="115"/>
  <c r="A2586" i="115"/>
  <c r="K2585" i="115"/>
  <c r="I2585" i="115"/>
  <c r="H2585" i="115"/>
  <c r="G2585" i="115"/>
  <c r="F2585" i="115"/>
  <c r="E2585" i="115"/>
  <c r="A2585" i="115"/>
  <c r="K2584" i="115"/>
  <c r="I2584" i="115"/>
  <c r="H2584" i="115"/>
  <c r="G2584" i="115"/>
  <c r="F2584" i="115"/>
  <c r="E2584" i="115"/>
  <c r="A2584" i="115"/>
  <c r="K2583" i="115"/>
  <c r="I2583" i="115"/>
  <c r="H2583" i="115"/>
  <c r="G2583" i="115"/>
  <c r="F2583" i="115"/>
  <c r="E2583" i="115"/>
  <c r="A2583" i="115"/>
  <c r="K2582" i="115"/>
  <c r="I2582" i="115"/>
  <c r="H2582" i="115"/>
  <c r="G2582" i="115"/>
  <c r="F2582" i="115"/>
  <c r="E2582" i="115"/>
  <c r="A2582" i="115"/>
  <c r="K2581" i="115"/>
  <c r="I2581" i="115"/>
  <c r="H2581" i="115"/>
  <c r="G2581" i="115"/>
  <c r="F2581" i="115"/>
  <c r="E2581" i="115"/>
  <c r="A2581" i="115"/>
  <c r="K2580" i="115"/>
  <c r="I2580" i="115"/>
  <c r="H2580" i="115"/>
  <c r="G2580" i="115"/>
  <c r="F2580" i="115"/>
  <c r="E2580" i="115"/>
  <c r="A2580" i="115"/>
  <c r="K2579" i="115"/>
  <c r="I2579" i="115"/>
  <c r="H2579" i="115"/>
  <c r="G2579" i="115"/>
  <c r="F2579" i="115"/>
  <c r="E2579" i="115"/>
  <c r="A2579" i="115"/>
  <c r="K2578" i="115"/>
  <c r="I2578" i="115"/>
  <c r="H2578" i="115"/>
  <c r="G2578" i="115"/>
  <c r="F2578" i="115"/>
  <c r="E2578" i="115"/>
  <c r="A2578" i="115"/>
  <c r="K2577" i="115"/>
  <c r="I2577" i="115"/>
  <c r="H2577" i="115"/>
  <c r="G2577" i="115"/>
  <c r="F2577" i="115"/>
  <c r="E2577" i="115"/>
  <c r="A2577" i="115"/>
  <c r="K2576" i="115"/>
  <c r="I2576" i="115"/>
  <c r="H2576" i="115"/>
  <c r="G2576" i="115"/>
  <c r="F2576" i="115"/>
  <c r="E2576" i="115"/>
  <c r="A2576" i="115"/>
  <c r="K2575" i="115"/>
  <c r="I2575" i="115"/>
  <c r="H2575" i="115"/>
  <c r="G2575" i="115"/>
  <c r="F2575" i="115"/>
  <c r="E2575" i="115"/>
  <c r="A2575" i="115"/>
  <c r="K2574" i="115"/>
  <c r="I2574" i="115"/>
  <c r="H2574" i="115"/>
  <c r="G2574" i="115"/>
  <c r="F2574" i="115"/>
  <c r="E2574" i="115"/>
  <c r="A2574" i="115"/>
  <c r="K2573" i="115"/>
  <c r="I2573" i="115"/>
  <c r="H2573" i="115"/>
  <c r="G2573" i="115"/>
  <c r="F2573" i="115"/>
  <c r="E2573" i="115"/>
  <c r="A2573" i="115"/>
  <c r="K2572" i="115"/>
  <c r="I2572" i="115"/>
  <c r="H2572" i="115"/>
  <c r="G2572" i="115"/>
  <c r="F2572" i="115"/>
  <c r="E2572" i="115"/>
  <c r="A2572" i="115"/>
  <c r="K2571" i="115"/>
  <c r="I2571" i="115"/>
  <c r="H2571" i="115"/>
  <c r="G2571" i="115"/>
  <c r="F2571" i="115"/>
  <c r="E2571" i="115"/>
  <c r="A2571" i="115"/>
  <c r="K2570" i="115"/>
  <c r="I2570" i="115"/>
  <c r="H2570" i="115"/>
  <c r="G2570" i="115"/>
  <c r="F2570" i="115"/>
  <c r="E2570" i="115"/>
  <c r="A2570" i="115"/>
  <c r="K2569" i="115"/>
  <c r="I2569" i="115"/>
  <c r="H2569" i="115"/>
  <c r="G2569" i="115"/>
  <c r="F2569" i="115"/>
  <c r="E2569" i="115"/>
  <c r="A2569" i="115"/>
  <c r="K2568" i="115"/>
  <c r="I2568" i="115"/>
  <c r="H2568" i="115"/>
  <c r="G2568" i="115"/>
  <c r="F2568" i="115"/>
  <c r="E2568" i="115"/>
  <c r="A2568" i="115"/>
  <c r="K2567" i="115"/>
  <c r="I2567" i="115"/>
  <c r="H2567" i="115"/>
  <c r="G2567" i="115"/>
  <c r="F2567" i="115"/>
  <c r="E2567" i="115"/>
  <c r="A2567" i="115"/>
  <c r="K2566" i="115"/>
  <c r="I2566" i="115"/>
  <c r="H2566" i="115"/>
  <c r="G2566" i="115"/>
  <c r="F2566" i="115"/>
  <c r="E2566" i="115"/>
  <c r="A2566" i="115"/>
  <c r="K2565" i="115"/>
  <c r="I2565" i="115"/>
  <c r="H2565" i="115"/>
  <c r="G2565" i="115"/>
  <c r="F2565" i="115"/>
  <c r="E2565" i="115"/>
  <c r="A2565" i="115"/>
  <c r="K2564" i="115"/>
  <c r="I2564" i="115"/>
  <c r="H2564" i="115"/>
  <c r="G2564" i="115"/>
  <c r="F2564" i="115"/>
  <c r="E2564" i="115"/>
  <c r="A2564" i="115"/>
  <c r="K2563" i="115"/>
  <c r="I2563" i="115"/>
  <c r="H2563" i="115"/>
  <c r="G2563" i="115"/>
  <c r="F2563" i="115"/>
  <c r="E2563" i="115"/>
  <c r="A2563" i="115"/>
  <c r="K2562" i="115"/>
  <c r="I2562" i="115"/>
  <c r="H2562" i="115"/>
  <c r="G2562" i="115"/>
  <c r="F2562" i="115"/>
  <c r="E2562" i="115"/>
  <c r="A2562" i="115"/>
  <c r="K2561" i="115"/>
  <c r="I2561" i="115"/>
  <c r="H2561" i="115"/>
  <c r="G2561" i="115"/>
  <c r="F2561" i="115"/>
  <c r="E2561" i="115"/>
  <c r="A2561" i="115"/>
  <c r="K2560" i="115"/>
  <c r="I2560" i="115"/>
  <c r="H2560" i="115"/>
  <c r="G2560" i="115"/>
  <c r="F2560" i="115"/>
  <c r="E2560" i="115"/>
  <c r="A2560" i="115"/>
  <c r="K2559" i="115"/>
  <c r="I2559" i="115"/>
  <c r="H2559" i="115"/>
  <c r="G2559" i="115"/>
  <c r="F2559" i="115"/>
  <c r="E2559" i="115"/>
  <c r="A2559" i="115"/>
  <c r="K2558" i="115"/>
  <c r="I2558" i="115"/>
  <c r="H2558" i="115"/>
  <c r="G2558" i="115"/>
  <c r="F2558" i="115"/>
  <c r="E2558" i="115"/>
  <c r="A2558" i="115"/>
  <c r="K2557" i="115"/>
  <c r="I2557" i="115"/>
  <c r="H2557" i="115"/>
  <c r="G2557" i="115"/>
  <c r="F2557" i="115"/>
  <c r="E2557" i="115"/>
  <c r="A2557" i="115"/>
  <c r="K2556" i="115"/>
  <c r="I2556" i="115"/>
  <c r="H2556" i="115"/>
  <c r="G2556" i="115"/>
  <c r="F2556" i="115"/>
  <c r="E2556" i="115"/>
  <c r="A2556" i="115"/>
  <c r="K2555" i="115"/>
  <c r="I2555" i="115"/>
  <c r="H2555" i="115"/>
  <c r="G2555" i="115"/>
  <c r="F2555" i="115"/>
  <c r="E2555" i="115"/>
  <c r="A2555" i="115"/>
  <c r="K2554" i="115"/>
  <c r="I2554" i="115"/>
  <c r="H2554" i="115"/>
  <c r="G2554" i="115"/>
  <c r="F2554" i="115"/>
  <c r="E2554" i="115"/>
  <c r="A2554" i="115"/>
  <c r="K2553" i="115"/>
  <c r="I2553" i="115"/>
  <c r="H2553" i="115"/>
  <c r="G2553" i="115"/>
  <c r="F2553" i="115"/>
  <c r="E2553" i="115"/>
  <c r="A2553" i="115"/>
  <c r="K2552" i="115"/>
  <c r="I2552" i="115"/>
  <c r="H2552" i="115"/>
  <c r="G2552" i="115"/>
  <c r="F2552" i="115"/>
  <c r="E2552" i="115"/>
  <c r="A2552" i="115"/>
  <c r="K2551" i="115"/>
  <c r="I2551" i="115"/>
  <c r="H2551" i="115"/>
  <c r="G2551" i="115"/>
  <c r="F2551" i="115"/>
  <c r="E2551" i="115"/>
  <c r="A2551" i="115"/>
  <c r="K2550" i="115"/>
  <c r="I2550" i="115"/>
  <c r="H2550" i="115"/>
  <c r="G2550" i="115"/>
  <c r="F2550" i="115"/>
  <c r="E2550" i="115"/>
  <c r="A2550" i="115"/>
  <c r="K2549" i="115"/>
  <c r="I2549" i="115"/>
  <c r="H2549" i="115"/>
  <c r="G2549" i="115"/>
  <c r="F2549" i="115"/>
  <c r="E2549" i="115"/>
  <c r="A2549" i="115"/>
  <c r="K2548" i="115"/>
  <c r="I2548" i="115"/>
  <c r="H2548" i="115"/>
  <c r="G2548" i="115"/>
  <c r="F2548" i="115"/>
  <c r="E2548" i="115"/>
  <c r="A2548" i="115"/>
  <c r="K2547" i="115"/>
  <c r="I2547" i="115"/>
  <c r="H2547" i="115"/>
  <c r="G2547" i="115"/>
  <c r="F2547" i="115"/>
  <c r="E2547" i="115"/>
  <c r="A2547" i="115"/>
  <c r="K2546" i="115"/>
  <c r="I2546" i="115"/>
  <c r="H2546" i="115"/>
  <c r="G2546" i="115"/>
  <c r="F2546" i="115"/>
  <c r="E2546" i="115"/>
  <c r="A2546" i="115"/>
  <c r="K2545" i="115"/>
  <c r="I2545" i="115"/>
  <c r="H2545" i="115"/>
  <c r="G2545" i="115"/>
  <c r="F2545" i="115"/>
  <c r="E2545" i="115"/>
  <c r="A2545" i="115"/>
  <c r="K2544" i="115"/>
  <c r="I2544" i="115"/>
  <c r="H2544" i="115"/>
  <c r="G2544" i="115"/>
  <c r="F2544" i="115"/>
  <c r="E2544" i="115"/>
  <c r="A2544" i="115"/>
  <c r="K2543" i="115"/>
  <c r="I2543" i="115"/>
  <c r="H2543" i="115"/>
  <c r="G2543" i="115"/>
  <c r="F2543" i="115"/>
  <c r="E2543" i="115"/>
  <c r="A2543" i="115"/>
  <c r="K2542" i="115"/>
  <c r="I2542" i="115"/>
  <c r="H2542" i="115"/>
  <c r="G2542" i="115"/>
  <c r="F2542" i="115"/>
  <c r="E2542" i="115"/>
  <c r="A2542" i="115"/>
  <c r="K2541" i="115"/>
  <c r="I2541" i="115"/>
  <c r="H2541" i="115"/>
  <c r="G2541" i="115"/>
  <c r="F2541" i="115"/>
  <c r="E2541" i="115"/>
  <c r="A2541" i="115"/>
  <c r="K2540" i="115"/>
  <c r="I2540" i="115"/>
  <c r="H2540" i="115"/>
  <c r="G2540" i="115"/>
  <c r="F2540" i="115"/>
  <c r="E2540" i="115"/>
  <c r="A2540" i="115"/>
  <c r="K2539" i="115"/>
  <c r="I2539" i="115"/>
  <c r="H2539" i="115"/>
  <c r="G2539" i="115"/>
  <c r="F2539" i="115"/>
  <c r="E2539" i="115"/>
  <c r="A2539" i="115"/>
  <c r="K2538" i="115"/>
  <c r="I2538" i="115"/>
  <c r="H2538" i="115"/>
  <c r="G2538" i="115"/>
  <c r="F2538" i="115"/>
  <c r="E2538" i="115"/>
  <c r="A2538" i="115"/>
  <c r="K2537" i="115"/>
  <c r="I2537" i="115"/>
  <c r="H2537" i="115"/>
  <c r="G2537" i="115"/>
  <c r="F2537" i="115"/>
  <c r="E2537" i="115"/>
  <c r="A2537" i="115"/>
  <c r="K2536" i="115"/>
  <c r="I2536" i="115"/>
  <c r="H2536" i="115"/>
  <c r="G2536" i="115"/>
  <c r="F2536" i="115"/>
  <c r="E2536" i="115"/>
  <c r="A2536" i="115"/>
  <c r="K2535" i="115"/>
  <c r="I2535" i="115"/>
  <c r="H2535" i="115"/>
  <c r="G2535" i="115"/>
  <c r="F2535" i="115"/>
  <c r="E2535" i="115"/>
  <c r="A2535" i="115"/>
  <c r="K2534" i="115"/>
  <c r="I2534" i="115"/>
  <c r="H2534" i="115"/>
  <c r="G2534" i="115"/>
  <c r="F2534" i="115"/>
  <c r="E2534" i="115"/>
  <c r="A2534" i="115"/>
  <c r="K2533" i="115"/>
  <c r="I2533" i="115"/>
  <c r="H2533" i="115"/>
  <c r="G2533" i="115"/>
  <c r="F2533" i="115"/>
  <c r="E2533" i="115"/>
  <c r="A2533" i="115"/>
  <c r="K2532" i="115"/>
  <c r="I2532" i="115"/>
  <c r="H2532" i="115"/>
  <c r="G2532" i="115"/>
  <c r="F2532" i="115"/>
  <c r="E2532" i="115"/>
  <c r="A2532" i="115"/>
  <c r="K2531" i="115"/>
  <c r="I2531" i="115"/>
  <c r="H2531" i="115"/>
  <c r="G2531" i="115"/>
  <c r="F2531" i="115"/>
  <c r="E2531" i="115"/>
  <c r="A2531" i="115"/>
  <c r="K2530" i="115"/>
  <c r="I2530" i="115"/>
  <c r="H2530" i="115"/>
  <c r="G2530" i="115"/>
  <c r="F2530" i="115"/>
  <c r="E2530" i="115"/>
  <c r="A2530" i="115"/>
  <c r="K2529" i="115"/>
  <c r="I2529" i="115"/>
  <c r="H2529" i="115"/>
  <c r="G2529" i="115"/>
  <c r="F2529" i="115"/>
  <c r="E2529" i="115"/>
  <c r="A2529" i="115"/>
  <c r="K2528" i="115"/>
  <c r="I2528" i="115"/>
  <c r="H2528" i="115"/>
  <c r="G2528" i="115"/>
  <c r="F2528" i="115"/>
  <c r="E2528" i="115"/>
  <c r="A2528" i="115"/>
  <c r="K2527" i="115"/>
  <c r="I2527" i="115"/>
  <c r="H2527" i="115"/>
  <c r="G2527" i="115"/>
  <c r="F2527" i="115"/>
  <c r="E2527" i="115"/>
  <c r="A2527" i="115"/>
  <c r="K2526" i="115"/>
  <c r="I2526" i="115"/>
  <c r="H2526" i="115"/>
  <c r="G2526" i="115"/>
  <c r="F2526" i="115"/>
  <c r="E2526" i="115"/>
  <c r="A2526" i="115"/>
  <c r="K2525" i="115"/>
  <c r="I2525" i="115"/>
  <c r="H2525" i="115"/>
  <c r="G2525" i="115"/>
  <c r="F2525" i="115"/>
  <c r="E2525" i="115"/>
  <c r="A2525" i="115"/>
  <c r="K2524" i="115"/>
  <c r="I2524" i="115"/>
  <c r="H2524" i="115"/>
  <c r="G2524" i="115"/>
  <c r="F2524" i="115"/>
  <c r="E2524" i="115"/>
  <c r="A2524" i="115"/>
  <c r="K2523" i="115"/>
  <c r="I2523" i="115"/>
  <c r="H2523" i="115"/>
  <c r="G2523" i="115"/>
  <c r="F2523" i="115"/>
  <c r="E2523" i="115"/>
  <c r="A2523" i="115"/>
  <c r="K2522" i="115"/>
  <c r="I2522" i="115"/>
  <c r="H2522" i="115"/>
  <c r="G2522" i="115"/>
  <c r="F2522" i="115"/>
  <c r="E2522" i="115"/>
  <c r="A2522" i="115"/>
  <c r="K2521" i="115"/>
  <c r="I2521" i="115"/>
  <c r="H2521" i="115"/>
  <c r="G2521" i="115"/>
  <c r="F2521" i="115"/>
  <c r="E2521" i="115"/>
  <c r="A2521" i="115"/>
  <c r="K2520" i="115"/>
  <c r="I2520" i="115"/>
  <c r="H2520" i="115"/>
  <c r="G2520" i="115"/>
  <c r="F2520" i="115"/>
  <c r="E2520" i="115"/>
  <c r="A2520" i="115"/>
  <c r="K2519" i="115"/>
  <c r="I2519" i="115"/>
  <c r="H2519" i="115"/>
  <c r="G2519" i="115"/>
  <c r="F2519" i="115"/>
  <c r="E2519" i="115"/>
  <c r="A2519" i="115"/>
  <c r="K2518" i="115"/>
  <c r="I2518" i="115"/>
  <c r="H2518" i="115"/>
  <c r="G2518" i="115"/>
  <c r="F2518" i="115"/>
  <c r="E2518" i="115"/>
  <c r="A2518" i="115"/>
  <c r="K2517" i="115"/>
  <c r="I2517" i="115"/>
  <c r="H2517" i="115"/>
  <c r="G2517" i="115"/>
  <c r="F2517" i="115"/>
  <c r="E2517" i="115"/>
  <c r="A2517" i="115"/>
  <c r="K2516" i="115"/>
  <c r="I2516" i="115"/>
  <c r="H2516" i="115"/>
  <c r="G2516" i="115"/>
  <c r="F2516" i="115"/>
  <c r="E2516" i="115"/>
  <c r="A2516" i="115"/>
  <c r="K2515" i="115"/>
  <c r="I2515" i="115"/>
  <c r="H2515" i="115"/>
  <c r="G2515" i="115"/>
  <c r="F2515" i="115"/>
  <c r="E2515" i="115"/>
  <c r="A2515" i="115"/>
  <c r="K2514" i="115"/>
  <c r="I2514" i="115"/>
  <c r="H2514" i="115"/>
  <c r="G2514" i="115"/>
  <c r="F2514" i="115"/>
  <c r="E2514" i="115"/>
  <c r="A2514" i="115"/>
  <c r="K2513" i="115"/>
  <c r="I2513" i="115"/>
  <c r="H2513" i="115"/>
  <c r="G2513" i="115"/>
  <c r="F2513" i="115"/>
  <c r="E2513" i="115"/>
  <c r="A2513" i="115"/>
  <c r="K2512" i="115"/>
  <c r="I2512" i="115"/>
  <c r="H2512" i="115"/>
  <c r="G2512" i="115"/>
  <c r="F2512" i="115"/>
  <c r="E2512" i="115"/>
  <c r="A2512" i="115"/>
  <c r="K2511" i="115"/>
  <c r="I2511" i="115"/>
  <c r="H2511" i="115"/>
  <c r="G2511" i="115"/>
  <c r="F2511" i="115"/>
  <c r="E2511" i="115"/>
  <c r="A2511" i="115"/>
  <c r="K2510" i="115"/>
  <c r="I2510" i="115"/>
  <c r="H2510" i="115"/>
  <c r="G2510" i="115"/>
  <c r="F2510" i="115"/>
  <c r="E2510" i="115"/>
  <c r="A2510" i="115"/>
  <c r="K2509" i="115"/>
  <c r="I2509" i="115"/>
  <c r="H2509" i="115"/>
  <c r="G2509" i="115"/>
  <c r="F2509" i="115"/>
  <c r="E2509" i="115"/>
  <c r="A2509" i="115"/>
  <c r="K2508" i="115"/>
  <c r="I2508" i="115"/>
  <c r="H2508" i="115"/>
  <c r="G2508" i="115"/>
  <c r="F2508" i="115"/>
  <c r="E2508" i="115"/>
  <c r="A2508" i="115"/>
  <c r="K2507" i="115"/>
  <c r="I2507" i="115"/>
  <c r="H2507" i="115"/>
  <c r="G2507" i="115"/>
  <c r="F2507" i="115"/>
  <c r="E2507" i="115"/>
  <c r="A2507" i="115"/>
  <c r="K2506" i="115"/>
  <c r="I2506" i="115"/>
  <c r="H2506" i="115"/>
  <c r="G2506" i="115"/>
  <c r="F2506" i="115"/>
  <c r="E2506" i="115"/>
  <c r="A2506" i="115"/>
  <c r="K2505" i="115"/>
  <c r="I2505" i="115"/>
  <c r="H2505" i="115"/>
  <c r="G2505" i="115"/>
  <c r="F2505" i="115"/>
  <c r="E2505" i="115"/>
  <c r="A2505" i="115"/>
  <c r="K2504" i="115"/>
  <c r="I2504" i="115"/>
  <c r="H2504" i="115"/>
  <c r="G2504" i="115"/>
  <c r="F2504" i="115"/>
  <c r="E2504" i="115"/>
  <c r="A2504" i="115"/>
  <c r="K2503" i="115"/>
  <c r="I2503" i="115"/>
  <c r="H2503" i="115"/>
  <c r="G2503" i="115"/>
  <c r="F2503" i="115"/>
  <c r="E2503" i="115"/>
  <c r="A2503" i="115"/>
  <c r="K2502" i="115"/>
  <c r="I2502" i="115"/>
  <c r="H2502" i="115"/>
  <c r="G2502" i="115"/>
  <c r="F2502" i="115"/>
  <c r="E2502" i="115"/>
  <c r="A2502" i="115"/>
  <c r="K2501" i="115"/>
  <c r="I2501" i="115"/>
  <c r="H2501" i="115"/>
  <c r="G2501" i="115"/>
  <c r="F2501" i="115"/>
  <c r="E2501" i="115"/>
  <c r="A2501" i="115"/>
  <c r="K2500" i="115"/>
  <c r="I2500" i="115"/>
  <c r="H2500" i="115"/>
  <c r="G2500" i="115"/>
  <c r="F2500" i="115"/>
  <c r="E2500" i="115"/>
  <c r="A2500" i="115"/>
  <c r="K2499" i="115"/>
  <c r="I2499" i="115"/>
  <c r="H2499" i="115"/>
  <c r="G2499" i="115"/>
  <c r="F2499" i="115"/>
  <c r="E2499" i="115"/>
  <c r="A2499" i="115"/>
  <c r="K2498" i="115"/>
  <c r="I2498" i="115"/>
  <c r="H2498" i="115"/>
  <c r="G2498" i="115"/>
  <c r="F2498" i="115"/>
  <c r="E2498" i="115"/>
  <c r="A2498" i="115"/>
  <c r="K2497" i="115"/>
  <c r="I2497" i="115"/>
  <c r="H2497" i="115"/>
  <c r="G2497" i="115"/>
  <c r="F2497" i="115"/>
  <c r="E2497" i="115"/>
  <c r="A2497" i="115"/>
  <c r="K2496" i="115"/>
  <c r="I2496" i="115"/>
  <c r="H2496" i="115"/>
  <c r="G2496" i="115"/>
  <c r="F2496" i="115"/>
  <c r="E2496" i="115"/>
  <c r="A2496" i="115"/>
  <c r="K2495" i="115"/>
  <c r="I2495" i="115"/>
  <c r="H2495" i="115"/>
  <c r="G2495" i="115"/>
  <c r="F2495" i="115"/>
  <c r="E2495" i="115"/>
  <c r="A2495" i="115"/>
  <c r="K2494" i="115"/>
  <c r="I2494" i="115"/>
  <c r="H2494" i="115"/>
  <c r="G2494" i="115"/>
  <c r="F2494" i="115"/>
  <c r="E2494" i="115"/>
  <c r="A2494" i="115"/>
  <c r="K2493" i="115"/>
  <c r="I2493" i="115"/>
  <c r="H2493" i="115"/>
  <c r="G2493" i="115"/>
  <c r="F2493" i="115"/>
  <c r="E2493" i="115"/>
  <c r="A2493" i="115"/>
  <c r="K2492" i="115"/>
  <c r="I2492" i="115"/>
  <c r="H2492" i="115"/>
  <c r="G2492" i="115"/>
  <c r="F2492" i="115"/>
  <c r="E2492" i="115"/>
  <c r="A2492" i="115"/>
  <c r="K2491" i="115"/>
  <c r="I2491" i="115"/>
  <c r="H2491" i="115"/>
  <c r="G2491" i="115"/>
  <c r="F2491" i="115"/>
  <c r="E2491" i="115"/>
  <c r="A2491" i="115"/>
  <c r="K2490" i="115"/>
  <c r="I2490" i="115"/>
  <c r="H2490" i="115"/>
  <c r="G2490" i="115"/>
  <c r="F2490" i="115"/>
  <c r="E2490" i="115"/>
  <c r="A2490" i="115"/>
  <c r="K2489" i="115"/>
  <c r="I2489" i="115"/>
  <c r="H2489" i="115"/>
  <c r="G2489" i="115"/>
  <c r="F2489" i="115"/>
  <c r="E2489" i="115"/>
  <c r="A2489" i="115"/>
  <c r="K2488" i="115"/>
  <c r="I2488" i="115"/>
  <c r="H2488" i="115"/>
  <c r="G2488" i="115"/>
  <c r="F2488" i="115"/>
  <c r="E2488" i="115"/>
  <c r="A2488" i="115"/>
  <c r="K2487" i="115"/>
  <c r="I2487" i="115"/>
  <c r="H2487" i="115"/>
  <c r="G2487" i="115"/>
  <c r="F2487" i="115"/>
  <c r="E2487" i="115"/>
  <c r="A2487" i="115"/>
  <c r="K2486" i="115"/>
  <c r="I2486" i="115"/>
  <c r="H2486" i="115"/>
  <c r="G2486" i="115"/>
  <c r="F2486" i="115"/>
  <c r="E2486" i="115"/>
  <c r="A2486" i="115"/>
  <c r="K2485" i="115"/>
  <c r="I2485" i="115"/>
  <c r="H2485" i="115"/>
  <c r="G2485" i="115"/>
  <c r="F2485" i="115"/>
  <c r="E2485" i="115"/>
  <c r="A2485" i="115"/>
  <c r="K2484" i="115"/>
  <c r="I2484" i="115"/>
  <c r="H2484" i="115"/>
  <c r="G2484" i="115"/>
  <c r="F2484" i="115"/>
  <c r="E2484" i="115"/>
  <c r="A2484" i="115"/>
  <c r="K2483" i="115"/>
  <c r="I2483" i="115"/>
  <c r="H2483" i="115"/>
  <c r="G2483" i="115"/>
  <c r="F2483" i="115"/>
  <c r="E2483" i="115"/>
  <c r="A2483" i="115"/>
  <c r="K2482" i="115"/>
  <c r="I2482" i="115"/>
  <c r="H2482" i="115"/>
  <c r="G2482" i="115"/>
  <c r="F2482" i="115"/>
  <c r="E2482" i="115"/>
  <c r="A2482" i="115"/>
  <c r="K2481" i="115"/>
  <c r="I2481" i="115"/>
  <c r="H2481" i="115"/>
  <c r="G2481" i="115"/>
  <c r="F2481" i="115"/>
  <c r="E2481" i="115"/>
  <c r="A2481" i="115"/>
  <c r="K2480" i="115"/>
  <c r="I2480" i="115"/>
  <c r="H2480" i="115"/>
  <c r="G2480" i="115"/>
  <c r="F2480" i="115"/>
  <c r="E2480" i="115"/>
  <c r="A2480" i="115"/>
  <c r="K2479" i="115"/>
  <c r="I2479" i="115"/>
  <c r="H2479" i="115"/>
  <c r="G2479" i="115"/>
  <c r="F2479" i="115"/>
  <c r="E2479" i="115"/>
  <c r="A2479" i="115"/>
  <c r="K2478" i="115"/>
  <c r="I2478" i="115"/>
  <c r="H2478" i="115"/>
  <c r="G2478" i="115"/>
  <c r="F2478" i="115"/>
  <c r="E2478" i="115"/>
  <c r="A2478" i="115"/>
  <c r="K2477" i="115"/>
  <c r="I2477" i="115"/>
  <c r="H2477" i="115"/>
  <c r="G2477" i="115"/>
  <c r="F2477" i="115"/>
  <c r="E2477" i="115"/>
  <c r="A2477" i="115"/>
  <c r="K2476" i="115"/>
  <c r="I2476" i="115"/>
  <c r="H2476" i="115"/>
  <c r="G2476" i="115"/>
  <c r="F2476" i="115"/>
  <c r="E2476" i="115"/>
  <c r="A2476" i="115"/>
  <c r="K2475" i="115"/>
  <c r="I2475" i="115"/>
  <c r="H2475" i="115"/>
  <c r="G2475" i="115"/>
  <c r="F2475" i="115"/>
  <c r="E2475" i="115"/>
  <c r="A2475" i="115"/>
  <c r="K2474" i="115"/>
  <c r="I2474" i="115"/>
  <c r="H2474" i="115"/>
  <c r="G2474" i="115"/>
  <c r="F2474" i="115"/>
  <c r="E2474" i="115"/>
  <c r="A2474" i="115"/>
  <c r="K2473" i="115"/>
  <c r="I2473" i="115"/>
  <c r="H2473" i="115"/>
  <c r="G2473" i="115"/>
  <c r="F2473" i="115"/>
  <c r="E2473" i="115"/>
  <c r="A2473" i="115"/>
  <c r="K2472" i="115"/>
  <c r="I2472" i="115"/>
  <c r="H2472" i="115"/>
  <c r="G2472" i="115"/>
  <c r="F2472" i="115"/>
  <c r="E2472" i="115"/>
  <c r="A2472" i="115"/>
  <c r="K2471" i="115"/>
  <c r="I2471" i="115"/>
  <c r="H2471" i="115"/>
  <c r="G2471" i="115"/>
  <c r="F2471" i="115"/>
  <c r="E2471" i="115"/>
  <c r="A2471" i="115"/>
  <c r="K2470" i="115"/>
  <c r="I2470" i="115"/>
  <c r="H2470" i="115"/>
  <c r="G2470" i="115"/>
  <c r="F2470" i="115"/>
  <c r="E2470" i="115"/>
  <c r="A2470" i="115"/>
  <c r="K2469" i="115"/>
  <c r="I2469" i="115"/>
  <c r="H2469" i="115"/>
  <c r="G2469" i="115"/>
  <c r="F2469" i="115"/>
  <c r="E2469" i="115"/>
  <c r="A2469" i="115"/>
  <c r="K2468" i="115"/>
  <c r="I2468" i="115"/>
  <c r="H2468" i="115"/>
  <c r="G2468" i="115"/>
  <c r="F2468" i="115"/>
  <c r="E2468" i="115"/>
  <c r="A2468" i="115"/>
  <c r="K2467" i="115"/>
  <c r="I2467" i="115"/>
  <c r="H2467" i="115"/>
  <c r="G2467" i="115"/>
  <c r="F2467" i="115"/>
  <c r="E2467" i="115"/>
  <c r="A2467" i="115"/>
  <c r="K2466" i="115"/>
  <c r="I2466" i="115"/>
  <c r="H2466" i="115"/>
  <c r="G2466" i="115"/>
  <c r="F2466" i="115"/>
  <c r="E2466" i="115"/>
  <c r="A2466" i="115"/>
  <c r="K2465" i="115"/>
  <c r="I2465" i="115"/>
  <c r="H2465" i="115"/>
  <c r="G2465" i="115"/>
  <c r="F2465" i="115"/>
  <c r="E2465" i="115"/>
  <c r="A2465" i="115"/>
  <c r="K2464" i="115"/>
  <c r="I2464" i="115"/>
  <c r="H2464" i="115"/>
  <c r="G2464" i="115"/>
  <c r="F2464" i="115"/>
  <c r="E2464" i="115"/>
  <c r="A2464" i="115"/>
  <c r="K2463" i="115"/>
  <c r="I2463" i="115"/>
  <c r="H2463" i="115"/>
  <c r="G2463" i="115"/>
  <c r="F2463" i="115"/>
  <c r="E2463" i="115"/>
  <c r="A2463" i="115"/>
  <c r="K2462" i="115"/>
  <c r="I2462" i="115"/>
  <c r="H2462" i="115"/>
  <c r="G2462" i="115"/>
  <c r="F2462" i="115"/>
  <c r="E2462" i="115"/>
  <c r="A2462" i="115"/>
  <c r="K2461" i="115"/>
  <c r="I2461" i="115"/>
  <c r="H2461" i="115"/>
  <c r="G2461" i="115"/>
  <c r="F2461" i="115"/>
  <c r="E2461" i="115"/>
  <c r="A2461" i="115"/>
  <c r="K2460" i="115"/>
  <c r="I2460" i="115"/>
  <c r="H2460" i="115"/>
  <c r="G2460" i="115"/>
  <c r="F2460" i="115"/>
  <c r="E2460" i="115"/>
  <c r="A2460" i="115"/>
  <c r="K2459" i="115"/>
  <c r="I2459" i="115"/>
  <c r="H2459" i="115"/>
  <c r="G2459" i="115"/>
  <c r="F2459" i="115"/>
  <c r="E2459" i="115"/>
  <c r="A2459" i="115"/>
  <c r="K2458" i="115"/>
  <c r="I2458" i="115"/>
  <c r="H2458" i="115"/>
  <c r="G2458" i="115"/>
  <c r="F2458" i="115"/>
  <c r="E2458" i="115"/>
  <c r="A2458" i="115"/>
  <c r="K2457" i="115"/>
  <c r="I2457" i="115"/>
  <c r="H2457" i="115"/>
  <c r="G2457" i="115"/>
  <c r="F2457" i="115"/>
  <c r="E2457" i="115"/>
  <c r="A2457" i="115"/>
  <c r="K2456" i="115"/>
  <c r="I2456" i="115"/>
  <c r="H2456" i="115"/>
  <c r="G2456" i="115"/>
  <c r="F2456" i="115"/>
  <c r="E2456" i="115"/>
  <c r="A2456" i="115"/>
  <c r="K2455" i="115"/>
  <c r="I2455" i="115"/>
  <c r="H2455" i="115"/>
  <c r="G2455" i="115"/>
  <c r="F2455" i="115"/>
  <c r="E2455" i="115"/>
  <c r="A2455" i="115"/>
  <c r="K2454" i="115"/>
  <c r="I2454" i="115"/>
  <c r="H2454" i="115"/>
  <c r="G2454" i="115"/>
  <c r="F2454" i="115"/>
  <c r="E2454" i="115"/>
  <c r="A2454" i="115"/>
  <c r="K2453" i="115"/>
  <c r="I2453" i="115"/>
  <c r="H2453" i="115"/>
  <c r="G2453" i="115"/>
  <c r="F2453" i="115"/>
  <c r="E2453" i="115"/>
  <c r="A2453" i="115"/>
  <c r="K2452" i="115"/>
  <c r="I2452" i="115"/>
  <c r="H2452" i="115"/>
  <c r="G2452" i="115"/>
  <c r="F2452" i="115"/>
  <c r="E2452" i="115"/>
  <c r="A2452" i="115"/>
  <c r="K2451" i="115"/>
  <c r="I2451" i="115"/>
  <c r="H2451" i="115"/>
  <c r="G2451" i="115"/>
  <c r="F2451" i="115"/>
  <c r="E2451" i="115"/>
  <c r="A2451" i="115"/>
  <c r="K2450" i="115"/>
  <c r="I2450" i="115"/>
  <c r="H2450" i="115"/>
  <c r="G2450" i="115"/>
  <c r="F2450" i="115"/>
  <c r="E2450" i="115"/>
  <c r="A2450" i="115"/>
  <c r="K2449" i="115"/>
  <c r="I2449" i="115"/>
  <c r="H2449" i="115"/>
  <c r="G2449" i="115"/>
  <c r="F2449" i="115"/>
  <c r="E2449" i="115"/>
  <c r="A2449" i="115"/>
  <c r="K2448" i="115"/>
  <c r="I2448" i="115"/>
  <c r="H2448" i="115"/>
  <c r="G2448" i="115"/>
  <c r="F2448" i="115"/>
  <c r="E2448" i="115"/>
  <c r="A2448" i="115"/>
  <c r="K2447" i="115"/>
  <c r="I2447" i="115"/>
  <c r="H2447" i="115"/>
  <c r="G2447" i="115"/>
  <c r="F2447" i="115"/>
  <c r="E2447" i="115"/>
  <c r="A2447" i="115"/>
  <c r="K2446" i="115"/>
  <c r="I2446" i="115"/>
  <c r="H2446" i="115"/>
  <c r="G2446" i="115"/>
  <c r="F2446" i="115"/>
  <c r="E2446" i="115"/>
  <c r="A2446" i="115"/>
  <c r="K2445" i="115"/>
  <c r="I2445" i="115"/>
  <c r="H2445" i="115"/>
  <c r="G2445" i="115"/>
  <c r="F2445" i="115"/>
  <c r="E2445" i="115"/>
  <c r="A2445" i="115"/>
  <c r="K2444" i="115"/>
  <c r="I2444" i="115"/>
  <c r="H2444" i="115"/>
  <c r="G2444" i="115"/>
  <c r="F2444" i="115"/>
  <c r="E2444" i="115"/>
  <c r="A2444" i="115"/>
  <c r="K2443" i="115"/>
  <c r="I2443" i="115"/>
  <c r="H2443" i="115"/>
  <c r="G2443" i="115"/>
  <c r="F2443" i="115"/>
  <c r="E2443" i="115"/>
  <c r="A2443" i="115"/>
  <c r="K2442" i="115"/>
  <c r="I2442" i="115"/>
  <c r="H2442" i="115"/>
  <c r="G2442" i="115"/>
  <c r="F2442" i="115"/>
  <c r="E2442" i="115"/>
  <c r="A2442" i="115"/>
  <c r="K2441" i="115"/>
  <c r="I2441" i="115"/>
  <c r="H2441" i="115"/>
  <c r="G2441" i="115"/>
  <c r="F2441" i="115"/>
  <c r="E2441" i="115"/>
  <c r="A2441" i="115"/>
  <c r="K2440" i="115"/>
  <c r="I2440" i="115"/>
  <c r="H2440" i="115"/>
  <c r="G2440" i="115"/>
  <c r="F2440" i="115"/>
  <c r="E2440" i="115"/>
  <c r="A2440" i="115"/>
  <c r="K2439" i="115"/>
  <c r="I2439" i="115"/>
  <c r="H2439" i="115"/>
  <c r="G2439" i="115"/>
  <c r="F2439" i="115"/>
  <c r="E2439" i="115"/>
  <c r="A2439" i="115"/>
  <c r="K2438" i="115"/>
  <c r="I2438" i="115"/>
  <c r="H2438" i="115"/>
  <c r="G2438" i="115"/>
  <c r="F2438" i="115"/>
  <c r="E2438" i="115"/>
  <c r="A2438" i="115"/>
  <c r="K2437" i="115"/>
  <c r="I2437" i="115"/>
  <c r="H2437" i="115"/>
  <c r="G2437" i="115"/>
  <c r="F2437" i="115"/>
  <c r="E2437" i="115"/>
  <c r="A2437" i="115"/>
  <c r="K2436" i="115"/>
  <c r="I2436" i="115"/>
  <c r="H2436" i="115"/>
  <c r="G2436" i="115"/>
  <c r="F2436" i="115"/>
  <c r="E2436" i="115"/>
  <c r="A2436" i="115"/>
  <c r="K2435" i="115"/>
  <c r="I2435" i="115"/>
  <c r="H2435" i="115"/>
  <c r="G2435" i="115"/>
  <c r="F2435" i="115"/>
  <c r="E2435" i="115"/>
  <c r="A2435" i="115"/>
  <c r="K2434" i="115"/>
  <c r="I2434" i="115"/>
  <c r="H2434" i="115"/>
  <c r="G2434" i="115"/>
  <c r="F2434" i="115"/>
  <c r="E2434" i="115"/>
  <c r="A2434" i="115"/>
  <c r="K2433" i="115"/>
  <c r="I2433" i="115"/>
  <c r="H2433" i="115"/>
  <c r="G2433" i="115"/>
  <c r="F2433" i="115"/>
  <c r="E2433" i="115"/>
  <c r="A2433" i="115"/>
  <c r="K2432" i="115"/>
  <c r="I2432" i="115"/>
  <c r="H2432" i="115"/>
  <c r="G2432" i="115"/>
  <c r="F2432" i="115"/>
  <c r="E2432" i="115"/>
  <c r="A2432" i="115"/>
  <c r="K2431" i="115"/>
  <c r="I2431" i="115"/>
  <c r="H2431" i="115"/>
  <c r="G2431" i="115"/>
  <c r="F2431" i="115"/>
  <c r="E2431" i="115"/>
  <c r="A2431" i="115"/>
  <c r="K2430" i="115"/>
  <c r="I2430" i="115"/>
  <c r="H2430" i="115"/>
  <c r="G2430" i="115"/>
  <c r="F2430" i="115"/>
  <c r="E2430" i="115"/>
  <c r="A2430" i="115"/>
  <c r="K2429" i="115"/>
  <c r="I2429" i="115"/>
  <c r="H2429" i="115"/>
  <c r="G2429" i="115"/>
  <c r="F2429" i="115"/>
  <c r="E2429" i="115"/>
  <c r="A2429" i="115"/>
  <c r="K2428" i="115"/>
  <c r="I2428" i="115"/>
  <c r="H2428" i="115"/>
  <c r="G2428" i="115"/>
  <c r="F2428" i="115"/>
  <c r="E2428" i="115"/>
  <c r="A2428" i="115"/>
  <c r="K2427" i="115"/>
  <c r="I2427" i="115"/>
  <c r="H2427" i="115"/>
  <c r="G2427" i="115"/>
  <c r="F2427" i="115"/>
  <c r="E2427" i="115"/>
  <c r="A2427" i="115"/>
  <c r="K2426" i="115"/>
  <c r="I2426" i="115"/>
  <c r="H2426" i="115"/>
  <c r="G2426" i="115"/>
  <c r="F2426" i="115"/>
  <c r="E2426" i="115"/>
  <c r="A2426" i="115"/>
  <c r="K2425" i="115"/>
  <c r="I2425" i="115"/>
  <c r="H2425" i="115"/>
  <c r="G2425" i="115"/>
  <c r="F2425" i="115"/>
  <c r="E2425" i="115"/>
  <c r="A2425" i="115"/>
  <c r="K2424" i="115"/>
  <c r="I2424" i="115"/>
  <c r="H2424" i="115"/>
  <c r="G2424" i="115"/>
  <c r="F2424" i="115"/>
  <c r="E2424" i="115"/>
  <c r="A2424" i="115"/>
  <c r="K2423" i="115"/>
  <c r="I2423" i="115"/>
  <c r="H2423" i="115"/>
  <c r="G2423" i="115"/>
  <c r="F2423" i="115"/>
  <c r="E2423" i="115"/>
  <c r="A2423" i="115"/>
  <c r="K2422" i="115"/>
  <c r="I2422" i="115"/>
  <c r="H2422" i="115"/>
  <c r="G2422" i="115"/>
  <c r="F2422" i="115"/>
  <c r="E2422" i="115"/>
  <c r="A2422" i="115"/>
  <c r="K2421" i="115"/>
  <c r="I2421" i="115"/>
  <c r="H2421" i="115"/>
  <c r="G2421" i="115"/>
  <c r="F2421" i="115"/>
  <c r="E2421" i="115"/>
  <c r="A2421" i="115"/>
  <c r="K2420" i="115"/>
  <c r="I2420" i="115"/>
  <c r="H2420" i="115"/>
  <c r="G2420" i="115"/>
  <c r="F2420" i="115"/>
  <c r="E2420" i="115"/>
  <c r="A2420" i="115"/>
  <c r="K2419" i="115"/>
  <c r="I2419" i="115"/>
  <c r="H2419" i="115"/>
  <c r="G2419" i="115"/>
  <c r="F2419" i="115"/>
  <c r="E2419" i="115"/>
  <c r="A2419" i="115"/>
  <c r="K2418" i="115"/>
  <c r="I2418" i="115"/>
  <c r="H2418" i="115"/>
  <c r="G2418" i="115"/>
  <c r="F2418" i="115"/>
  <c r="E2418" i="115"/>
  <c r="A2418" i="115"/>
  <c r="K2417" i="115"/>
  <c r="I2417" i="115"/>
  <c r="H2417" i="115"/>
  <c r="G2417" i="115"/>
  <c r="F2417" i="115"/>
  <c r="E2417" i="115"/>
  <c r="A2417" i="115"/>
  <c r="K2416" i="115"/>
  <c r="I2416" i="115"/>
  <c r="H2416" i="115"/>
  <c r="G2416" i="115"/>
  <c r="F2416" i="115"/>
  <c r="E2416" i="115"/>
  <c r="A2416" i="115"/>
  <c r="K2415" i="115"/>
  <c r="I2415" i="115"/>
  <c r="H2415" i="115"/>
  <c r="G2415" i="115"/>
  <c r="F2415" i="115"/>
  <c r="E2415" i="115"/>
  <c r="A2415" i="115"/>
  <c r="K2414" i="115"/>
  <c r="I2414" i="115"/>
  <c r="H2414" i="115"/>
  <c r="G2414" i="115"/>
  <c r="F2414" i="115"/>
  <c r="E2414" i="115"/>
  <c r="A2414" i="115"/>
  <c r="K2413" i="115"/>
  <c r="I2413" i="115"/>
  <c r="H2413" i="115"/>
  <c r="G2413" i="115"/>
  <c r="F2413" i="115"/>
  <c r="E2413" i="115"/>
  <c r="A2413" i="115"/>
  <c r="K2412" i="115"/>
  <c r="I2412" i="115"/>
  <c r="H2412" i="115"/>
  <c r="G2412" i="115"/>
  <c r="F2412" i="115"/>
  <c r="E2412" i="115"/>
  <c r="A2412" i="115"/>
  <c r="K2411" i="115"/>
  <c r="I2411" i="115"/>
  <c r="H2411" i="115"/>
  <c r="G2411" i="115"/>
  <c r="F2411" i="115"/>
  <c r="E2411" i="115"/>
  <c r="A2411" i="115"/>
  <c r="K2410" i="115"/>
  <c r="I2410" i="115"/>
  <c r="H2410" i="115"/>
  <c r="G2410" i="115"/>
  <c r="F2410" i="115"/>
  <c r="E2410" i="115"/>
  <c r="A2410" i="115"/>
  <c r="K2409" i="115"/>
  <c r="I2409" i="115"/>
  <c r="H2409" i="115"/>
  <c r="G2409" i="115"/>
  <c r="F2409" i="115"/>
  <c r="E2409" i="115"/>
  <c r="A2409" i="115"/>
  <c r="K2408" i="115"/>
  <c r="I2408" i="115"/>
  <c r="H2408" i="115"/>
  <c r="G2408" i="115"/>
  <c r="F2408" i="115"/>
  <c r="E2408" i="115"/>
  <c r="A2408" i="115"/>
  <c r="K2407" i="115"/>
  <c r="I2407" i="115"/>
  <c r="H2407" i="115"/>
  <c r="G2407" i="115"/>
  <c r="F2407" i="115"/>
  <c r="E2407" i="115"/>
  <c r="A2407" i="115"/>
  <c r="K2406" i="115"/>
  <c r="I2406" i="115"/>
  <c r="H2406" i="115"/>
  <c r="G2406" i="115"/>
  <c r="F2406" i="115"/>
  <c r="E2406" i="115"/>
  <c r="A2406" i="115"/>
  <c r="K2405" i="115"/>
  <c r="I2405" i="115"/>
  <c r="H2405" i="115"/>
  <c r="G2405" i="115"/>
  <c r="F2405" i="115"/>
  <c r="E2405" i="115"/>
  <c r="A2405" i="115"/>
  <c r="K2404" i="115"/>
  <c r="I2404" i="115"/>
  <c r="H2404" i="115"/>
  <c r="G2404" i="115"/>
  <c r="F2404" i="115"/>
  <c r="E2404" i="115"/>
  <c r="A2404" i="115"/>
  <c r="K2403" i="115"/>
  <c r="I2403" i="115"/>
  <c r="H2403" i="115"/>
  <c r="G2403" i="115"/>
  <c r="F2403" i="115"/>
  <c r="E2403" i="115"/>
  <c r="A2403" i="115"/>
  <c r="K2402" i="115"/>
  <c r="I2402" i="115"/>
  <c r="H2402" i="115"/>
  <c r="G2402" i="115"/>
  <c r="F2402" i="115"/>
  <c r="E2402" i="115"/>
  <c r="A2402" i="115"/>
  <c r="K2401" i="115"/>
  <c r="I2401" i="115"/>
  <c r="H2401" i="115"/>
  <c r="G2401" i="115"/>
  <c r="F2401" i="115"/>
  <c r="E2401" i="115"/>
  <c r="A2401" i="115"/>
  <c r="K2400" i="115"/>
  <c r="I2400" i="115"/>
  <c r="H2400" i="115"/>
  <c r="G2400" i="115"/>
  <c r="F2400" i="115"/>
  <c r="E2400" i="115"/>
  <c r="A2400" i="115"/>
  <c r="K2399" i="115"/>
  <c r="I2399" i="115"/>
  <c r="H2399" i="115"/>
  <c r="G2399" i="115"/>
  <c r="F2399" i="115"/>
  <c r="E2399" i="115"/>
  <c r="A2399" i="115"/>
  <c r="K2398" i="115"/>
  <c r="I2398" i="115"/>
  <c r="H2398" i="115"/>
  <c r="G2398" i="115"/>
  <c r="F2398" i="115"/>
  <c r="E2398" i="115"/>
  <c r="A2398" i="115"/>
  <c r="K2397" i="115"/>
  <c r="I2397" i="115"/>
  <c r="H2397" i="115"/>
  <c r="G2397" i="115"/>
  <c r="F2397" i="115"/>
  <c r="E2397" i="115"/>
  <c r="A2397" i="115"/>
  <c r="K2396" i="115"/>
  <c r="I2396" i="115"/>
  <c r="H2396" i="115"/>
  <c r="G2396" i="115"/>
  <c r="F2396" i="115"/>
  <c r="E2396" i="115"/>
  <c r="A2396" i="115"/>
  <c r="K2395" i="115"/>
  <c r="I2395" i="115"/>
  <c r="H2395" i="115"/>
  <c r="G2395" i="115"/>
  <c r="F2395" i="115"/>
  <c r="E2395" i="115"/>
  <c r="A2395" i="115"/>
  <c r="K2394" i="115"/>
  <c r="I2394" i="115"/>
  <c r="H2394" i="115"/>
  <c r="G2394" i="115"/>
  <c r="F2394" i="115"/>
  <c r="E2394" i="115"/>
  <c r="A2394" i="115"/>
  <c r="K2393" i="115"/>
  <c r="I2393" i="115"/>
  <c r="H2393" i="115"/>
  <c r="G2393" i="115"/>
  <c r="F2393" i="115"/>
  <c r="E2393" i="115"/>
  <c r="A2393" i="115"/>
  <c r="K2392" i="115"/>
  <c r="I2392" i="115"/>
  <c r="H2392" i="115"/>
  <c r="G2392" i="115"/>
  <c r="F2392" i="115"/>
  <c r="E2392" i="115"/>
  <c r="A2392" i="115"/>
  <c r="K2391" i="115"/>
  <c r="I2391" i="115"/>
  <c r="H2391" i="115"/>
  <c r="G2391" i="115"/>
  <c r="F2391" i="115"/>
  <c r="E2391" i="115"/>
  <c r="A2391" i="115"/>
  <c r="K2390" i="115"/>
  <c r="I2390" i="115"/>
  <c r="H2390" i="115"/>
  <c r="G2390" i="115"/>
  <c r="F2390" i="115"/>
  <c r="E2390" i="115"/>
  <c r="A2390" i="115"/>
  <c r="K2389" i="115"/>
  <c r="I2389" i="115"/>
  <c r="H2389" i="115"/>
  <c r="G2389" i="115"/>
  <c r="F2389" i="115"/>
  <c r="E2389" i="115"/>
  <c r="A2389" i="115"/>
  <c r="K2388" i="115"/>
  <c r="I2388" i="115"/>
  <c r="H2388" i="115"/>
  <c r="G2388" i="115"/>
  <c r="F2388" i="115"/>
  <c r="E2388" i="115"/>
  <c r="A2388" i="115"/>
  <c r="K2387" i="115"/>
  <c r="I2387" i="115"/>
  <c r="H2387" i="115"/>
  <c r="G2387" i="115"/>
  <c r="F2387" i="115"/>
  <c r="E2387" i="115"/>
  <c r="A2387" i="115"/>
  <c r="K2386" i="115"/>
  <c r="I2386" i="115"/>
  <c r="H2386" i="115"/>
  <c r="G2386" i="115"/>
  <c r="F2386" i="115"/>
  <c r="E2386" i="115"/>
  <c r="A2386" i="115"/>
  <c r="K2385" i="115"/>
  <c r="I2385" i="115"/>
  <c r="H2385" i="115"/>
  <c r="G2385" i="115"/>
  <c r="F2385" i="115"/>
  <c r="E2385" i="115"/>
  <c r="A2385" i="115"/>
  <c r="K2384" i="115"/>
  <c r="I2384" i="115"/>
  <c r="H2384" i="115"/>
  <c r="G2384" i="115"/>
  <c r="F2384" i="115"/>
  <c r="E2384" i="115"/>
  <c r="A2384" i="115"/>
  <c r="K2383" i="115"/>
  <c r="I2383" i="115"/>
  <c r="H2383" i="115"/>
  <c r="G2383" i="115"/>
  <c r="F2383" i="115"/>
  <c r="E2383" i="115"/>
  <c r="A2383" i="115"/>
  <c r="K2382" i="115"/>
  <c r="I2382" i="115"/>
  <c r="H2382" i="115"/>
  <c r="G2382" i="115"/>
  <c r="F2382" i="115"/>
  <c r="E2382" i="115"/>
  <c r="A2382" i="115"/>
  <c r="K2381" i="115"/>
  <c r="I2381" i="115"/>
  <c r="H2381" i="115"/>
  <c r="G2381" i="115"/>
  <c r="F2381" i="115"/>
  <c r="E2381" i="115"/>
  <c r="A2381" i="115"/>
  <c r="K2380" i="115"/>
  <c r="I2380" i="115"/>
  <c r="H2380" i="115"/>
  <c r="G2380" i="115"/>
  <c r="F2380" i="115"/>
  <c r="E2380" i="115"/>
  <c r="A2380" i="115"/>
  <c r="K2379" i="115"/>
  <c r="I2379" i="115"/>
  <c r="H2379" i="115"/>
  <c r="G2379" i="115"/>
  <c r="F2379" i="115"/>
  <c r="E2379" i="115"/>
  <c r="A2379" i="115"/>
  <c r="K2378" i="115"/>
  <c r="I2378" i="115"/>
  <c r="H2378" i="115"/>
  <c r="G2378" i="115"/>
  <c r="F2378" i="115"/>
  <c r="E2378" i="115"/>
  <c r="A2378" i="115"/>
  <c r="K2377" i="115"/>
  <c r="I2377" i="115"/>
  <c r="H2377" i="115"/>
  <c r="G2377" i="115"/>
  <c r="F2377" i="115"/>
  <c r="E2377" i="115"/>
  <c r="A2377" i="115"/>
  <c r="K2376" i="115"/>
  <c r="I2376" i="115"/>
  <c r="H2376" i="115"/>
  <c r="G2376" i="115"/>
  <c r="F2376" i="115"/>
  <c r="E2376" i="115"/>
  <c r="A2376" i="115"/>
  <c r="K2375" i="115"/>
  <c r="I2375" i="115"/>
  <c r="H2375" i="115"/>
  <c r="G2375" i="115"/>
  <c r="F2375" i="115"/>
  <c r="E2375" i="115"/>
  <c r="A2375" i="115"/>
  <c r="K2374" i="115"/>
  <c r="I2374" i="115"/>
  <c r="H2374" i="115"/>
  <c r="G2374" i="115"/>
  <c r="F2374" i="115"/>
  <c r="E2374" i="115"/>
  <c r="A2374" i="115"/>
  <c r="K2373" i="115"/>
  <c r="I2373" i="115"/>
  <c r="H2373" i="115"/>
  <c r="G2373" i="115"/>
  <c r="F2373" i="115"/>
  <c r="E2373" i="115"/>
  <c r="A2373" i="115"/>
  <c r="K2372" i="115"/>
  <c r="I2372" i="115"/>
  <c r="H2372" i="115"/>
  <c r="G2372" i="115"/>
  <c r="F2372" i="115"/>
  <c r="E2372" i="115"/>
  <c r="A2372" i="115"/>
  <c r="K2371" i="115"/>
  <c r="I2371" i="115"/>
  <c r="H2371" i="115"/>
  <c r="G2371" i="115"/>
  <c r="F2371" i="115"/>
  <c r="E2371" i="115"/>
  <c r="A2371" i="115"/>
  <c r="K2370" i="115"/>
  <c r="I2370" i="115"/>
  <c r="H2370" i="115"/>
  <c r="G2370" i="115"/>
  <c r="F2370" i="115"/>
  <c r="E2370" i="115"/>
  <c r="A2370" i="115"/>
  <c r="K2369" i="115"/>
  <c r="I2369" i="115"/>
  <c r="H2369" i="115"/>
  <c r="G2369" i="115"/>
  <c r="F2369" i="115"/>
  <c r="E2369" i="115"/>
  <c r="A2369" i="115"/>
  <c r="K2368" i="115"/>
  <c r="I2368" i="115"/>
  <c r="H2368" i="115"/>
  <c r="G2368" i="115"/>
  <c r="F2368" i="115"/>
  <c r="E2368" i="115"/>
  <c r="A2368" i="115"/>
  <c r="K2367" i="115"/>
  <c r="I2367" i="115"/>
  <c r="H2367" i="115"/>
  <c r="G2367" i="115"/>
  <c r="F2367" i="115"/>
  <c r="E2367" i="115"/>
  <c r="A2367" i="115"/>
  <c r="K2366" i="115"/>
  <c r="I2366" i="115"/>
  <c r="H2366" i="115"/>
  <c r="G2366" i="115"/>
  <c r="F2366" i="115"/>
  <c r="E2366" i="115"/>
  <c r="A2366" i="115"/>
  <c r="K2365" i="115"/>
  <c r="I2365" i="115"/>
  <c r="H2365" i="115"/>
  <c r="G2365" i="115"/>
  <c r="F2365" i="115"/>
  <c r="E2365" i="115"/>
  <c r="A2365" i="115"/>
  <c r="K2364" i="115"/>
  <c r="I2364" i="115"/>
  <c r="H2364" i="115"/>
  <c r="G2364" i="115"/>
  <c r="F2364" i="115"/>
  <c r="E2364" i="115"/>
  <c r="A2364" i="115"/>
  <c r="K2363" i="115"/>
  <c r="I2363" i="115"/>
  <c r="H2363" i="115"/>
  <c r="G2363" i="115"/>
  <c r="F2363" i="115"/>
  <c r="E2363" i="115"/>
  <c r="A2363" i="115"/>
  <c r="K2362" i="115"/>
  <c r="I2362" i="115"/>
  <c r="H2362" i="115"/>
  <c r="G2362" i="115"/>
  <c r="F2362" i="115"/>
  <c r="E2362" i="115"/>
  <c r="A2362" i="115"/>
  <c r="K2361" i="115"/>
  <c r="I2361" i="115"/>
  <c r="H2361" i="115"/>
  <c r="G2361" i="115"/>
  <c r="F2361" i="115"/>
  <c r="E2361" i="115"/>
  <c r="A2361" i="115"/>
  <c r="K2360" i="115"/>
  <c r="I2360" i="115"/>
  <c r="H2360" i="115"/>
  <c r="G2360" i="115"/>
  <c r="F2360" i="115"/>
  <c r="E2360" i="115"/>
  <c r="A2360" i="115"/>
  <c r="K2359" i="115"/>
  <c r="I2359" i="115"/>
  <c r="H2359" i="115"/>
  <c r="G2359" i="115"/>
  <c r="F2359" i="115"/>
  <c r="E2359" i="115"/>
  <c r="A2359" i="115"/>
  <c r="K2358" i="115"/>
  <c r="I2358" i="115"/>
  <c r="H2358" i="115"/>
  <c r="G2358" i="115"/>
  <c r="F2358" i="115"/>
  <c r="E2358" i="115"/>
  <c r="A2358" i="115"/>
  <c r="K2357" i="115"/>
  <c r="I2357" i="115"/>
  <c r="H2357" i="115"/>
  <c r="G2357" i="115"/>
  <c r="F2357" i="115"/>
  <c r="E2357" i="115"/>
  <c r="A2357" i="115"/>
  <c r="K2356" i="115"/>
  <c r="I2356" i="115"/>
  <c r="H2356" i="115"/>
  <c r="G2356" i="115"/>
  <c r="F2356" i="115"/>
  <c r="E2356" i="115"/>
  <c r="A2356" i="115"/>
  <c r="K2355" i="115"/>
  <c r="I2355" i="115"/>
  <c r="H2355" i="115"/>
  <c r="G2355" i="115"/>
  <c r="F2355" i="115"/>
  <c r="E2355" i="115"/>
  <c r="A2355" i="115"/>
  <c r="K2354" i="115"/>
  <c r="I2354" i="115"/>
  <c r="H2354" i="115"/>
  <c r="G2354" i="115"/>
  <c r="F2354" i="115"/>
  <c r="E2354" i="115"/>
  <c r="A2354" i="115"/>
  <c r="K2353" i="115"/>
  <c r="I2353" i="115"/>
  <c r="H2353" i="115"/>
  <c r="G2353" i="115"/>
  <c r="F2353" i="115"/>
  <c r="E2353" i="115"/>
  <c r="A2353" i="115"/>
  <c r="K2352" i="115"/>
  <c r="I2352" i="115"/>
  <c r="H2352" i="115"/>
  <c r="G2352" i="115"/>
  <c r="F2352" i="115"/>
  <c r="E2352" i="115"/>
  <c r="A2352" i="115"/>
  <c r="K2351" i="115"/>
  <c r="I2351" i="115"/>
  <c r="H2351" i="115"/>
  <c r="G2351" i="115"/>
  <c r="F2351" i="115"/>
  <c r="E2351" i="115"/>
  <c r="A2351" i="115"/>
  <c r="K2350" i="115"/>
  <c r="I2350" i="115"/>
  <c r="H2350" i="115"/>
  <c r="G2350" i="115"/>
  <c r="F2350" i="115"/>
  <c r="E2350" i="115"/>
  <c r="A2350" i="115"/>
  <c r="K2349" i="115"/>
  <c r="I2349" i="115"/>
  <c r="H2349" i="115"/>
  <c r="G2349" i="115"/>
  <c r="F2349" i="115"/>
  <c r="E2349" i="115"/>
  <c r="A2349" i="115"/>
  <c r="K2348" i="115"/>
  <c r="I2348" i="115"/>
  <c r="H2348" i="115"/>
  <c r="G2348" i="115"/>
  <c r="F2348" i="115"/>
  <c r="E2348" i="115"/>
  <c r="A2348" i="115"/>
  <c r="K2347" i="115"/>
  <c r="I2347" i="115"/>
  <c r="H2347" i="115"/>
  <c r="G2347" i="115"/>
  <c r="F2347" i="115"/>
  <c r="E2347" i="115"/>
  <c r="A2347" i="115"/>
  <c r="K2346" i="115"/>
  <c r="I2346" i="115"/>
  <c r="H2346" i="115"/>
  <c r="G2346" i="115"/>
  <c r="F2346" i="115"/>
  <c r="E2346" i="115"/>
  <c r="A2346" i="115"/>
  <c r="K2345" i="115"/>
  <c r="I2345" i="115"/>
  <c r="H2345" i="115"/>
  <c r="G2345" i="115"/>
  <c r="F2345" i="115"/>
  <c r="E2345" i="115"/>
  <c r="A2345" i="115"/>
  <c r="K2344" i="115"/>
  <c r="I2344" i="115"/>
  <c r="H2344" i="115"/>
  <c r="G2344" i="115"/>
  <c r="F2344" i="115"/>
  <c r="E2344" i="115"/>
  <c r="A2344" i="115"/>
  <c r="K2343" i="115"/>
  <c r="I2343" i="115"/>
  <c r="H2343" i="115"/>
  <c r="G2343" i="115"/>
  <c r="F2343" i="115"/>
  <c r="E2343" i="115"/>
  <c r="A2343" i="115"/>
  <c r="K2342" i="115"/>
  <c r="I2342" i="115"/>
  <c r="H2342" i="115"/>
  <c r="G2342" i="115"/>
  <c r="F2342" i="115"/>
  <c r="E2342" i="115"/>
  <c r="A2342" i="115"/>
  <c r="K2341" i="115"/>
  <c r="I2341" i="115"/>
  <c r="H2341" i="115"/>
  <c r="G2341" i="115"/>
  <c r="F2341" i="115"/>
  <c r="E2341" i="115"/>
  <c r="A2341" i="115"/>
  <c r="K2340" i="115"/>
  <c r="I2340" i="115"/>
  <c r="H2340" i="115"/>
  <c r="G2340" i="115"/>
  <c r="F2340" i="115"/>
  <c r="E2340" i="115"/>
  <c r="A2340" i="115"/>
  <c r="K2339" i="115"/>
  <c r="I2339" i="115"/>
  <c r="H2339" i="115"/>
  <c r="G2339" i="115"/>
  <c r="F2339" i="115"/>
  <c r="E2339" i="115"/>
  <c r="A2339" i="115"/>
  <c r="K2338" i="115"/>
  <c r="I2338" i="115"/>
  <c r="H2338" i="115"/>
  <c r="G2338" i="115"/>
  <c r="F2338" i="115"/>
  <c r="E2338" i="115"/>
  <c r="A2338" i="115"/>
  <c r="K2337" i="115"/>
  <c r="I2337" i="115"/>
  <c r="H2337" i="115"/>
  <c r="G2337" i="115"/>
  <c r="F2337" i="115"/>
  <c r="E2337" i="115"/>
  <c r="A2337" i="115"/>
  <c r="K2336" i="115"/>
  <c r="I2336" i="115"/>
  <c r="H2336" i="115"/>
  <c r="G2336" i="115"/>
  <c r="F2336" i="115"/>
  <c r="E2336" i="115"/>
  <c r="A2336" i="115"/>
  <c r="K2335" i="115"/>
  <c r="I2335" i="115"/>
  <c r="H2335" i="115"/>
  <c r="G2335" i="115"/>
  <c r="F2335" i="115"/>
  <c r="E2335" i="115"/>
  <c r="A2335" i="115"/>
  <c r="K2334" i="115"/>
  <c r="I2334" i="115"/>
  <c r="H2334" i="115"/>
  <c r="G2334" i="115"/>
  <c r="F2334" i="115"/>
  <c r="E2334" i="115"/>
  <c r="A2334" i="115"/>
  <c r="K2333" i="115"/>
  <c r="I2333" i="115"/>
  <c r="H2333" i="115"/>
  <c r="G2333" i="115"/>
  <c r="F2333" i="115"/>
  <c r="E2333" i="115"/>
  <c r="A2333" i="115"/>
  <c r="K2332" i="115"/>
  <c r="I2332" i="115"/>
  <c r="H2332" i="115"/>
  <c r="G2332" i="115"/>
  <c r="F2332" i="115"/>
  <c r="E2332" i="115"/>
  <c r="A2332" i="115"/>
  <c r="K2331" i="115"/>
  <c r="I2331" i="115"/>
  <c r="H2331" i="115"/>
  <c r="G2331" i="115"/>
  <c r="F2331" i="115"/>
  <c r="E2331" i="115"/>
  <c r="A2331" i="115"/>
  <c r="K2330" i="115"/>
  <c r="I2330" i="115"/>
  <c r="H2330" i="115"/>
  <c r="G2330" i="115"/>
  <c r="F2330" i="115"/>
  <c r="E2330" i="115"/>
  <c r="A2330" i="115"/>
  <c r="K2329" i="115"/>
  <c r="I2329" i="115"/>
  <c r="H2329" i="115"/>
  <c r="G2329" i="115"/>
  <c r="F2329" i="115"/>
  <c r="E2329" i="115"/>
  <c r="A2329" i="115"/>
  <c r="K2328" i="115"/>
  <c r="I2328" i="115"/>
  <c r="H2328" i="115"/>
  <c r="G2328" i="115"/>
  <c r="F2328" i="115"/>
  <c r="E2328" i="115"/>
  <c r="A2328" i="115"/>
  <c r="K2327" i="115"/>
  <c r="I2327" i="115"/>
  <c r="H2327" i="115"/>
  <c r="G2327" i="115"/>
  <c r="F2327" i="115"/>
  <c r="E2327" i="115"/>
  <c r="A2327" i="115"/>
  <c r="K2326" i="115"/>
  <c r="I2326" i="115"/>
  <c r="H2326" i="115"/>
  <c r="G2326" i="115"/>
  <c r="F2326" i="115"/>
  <c r="E2326" i="115"/>
  <c r="A2326" i="115"/>
  <c r="K2325" i="115"/>
  <c r="I2325" i="115"/>
  <c r="H2325" i="115"/>
  <c r="G2325" i="115"/>
  <c r="F2325" i="115"/>
  <c r="E2325" i="115"/>
  <c r="A2325" i="115"/>
  <c r="K2324" i="115"/>
  <c r="I2324" i="115"/>
  <c r="H2324" i="115"/>
  <c r="G2324" i="115"/>
  <c r="F2324" i="115"/>
  <c r="E2324" i="115"/>
  <c r="A2324" i="115"/>
  <c r="K2323" i="115"/>
  <c r="I2323" i="115"/>
  <c r="H2323" i="115"/>
  <c r="G2323" i="115"/>
  <c r="F2323" i="115"/>
  <c r="E2323" i="115"/>
  <c r="A2323" i="115"/>
  <c r="K2322" i="115"/>
  <c r="I2322" i="115"/>
  <c r="H2322" i="115"/>
  <c r="G2322" i="115"/>
  <c r="F2322" i="115"/>
  <c r="E2322" i="115"/>
  <c r="A2322" i="115"/>
  <c r="K2321" i="115"/>
  <c r="I2321" i="115"/>
  <c r="H2321" i="115"/>
  <c r="G2321" i="115"/>
  <c r="F2321" i="115"/>
  <c r="E2321" i="115"/>
  <c r="A2321" i="115"/>
  <c r="K2320" i="115"/>
  <c r="I2320" i="115"/>
  <c r="H2320" i="115"/>
  <c r="G2320" i="115"/>
  <c r="F2320" i="115"/>
  <c r="E2320" i="115"/>
  <c r="A2320" i="115"/>
  <c r="K2319" i="115"/>
  <c r="I2319" i="115"/>
  <c r="H2319" i="115"/>
  <c r="G2319" i="115"/>
  <c r="F2319" i="115"/>
  <c r="E2319" i="115"/>
  <c r="A2319" i="115"/>
  <c r="K2318" i="115"/>
  <c r="I2318" i="115"/>
  <c r="H2318" i="115"/>
  <c r="G2318" i="115"/>
  <c r="F2318" i="115"/>
  <c r="E2318" i="115"/>
  <c r="A2318" i="115"/>
  <c r="K2317" i="115"/>
  <c r="I2317" i="115"/>
  <c r="H2317" i="115"/>
  <c r="G2317" i="115"/>
  <c r="F2317" i="115"/>
  <c r="E2317" i="115"/>
  <c r="A2317" i="115"/>
  <c r="K2316" i="115"/>
  <c r="I2316" i="115"/>
  <c r="H2316" i="115"/>
  <c r="G2316" i="115"/>
  <c r="F2316" i="115"/>
  <c r="E2316" i="115"/>
  <c r="A2316" i="115"/>
  <c r="K2315" i="115"/>
  <c r="I2315" i="115"/>
  <c r="H2315" i="115"/>
  <c r="G2315" i="115"/>
  <c r="F2315" i="115"/>
  <c r="E2315" i="115"/>
  <c r="A2315" i="115"/>
  <c r="K2314" i="115"/>
  <c r="I2314" i="115"/>
  <c r="H2314" i="115"/>
  <c r="G2314" i="115"/>
  <c r="F2314" i="115"/>
  <c r="E2314" i="115"/>
  <c r="A2314" i="115"/>
  <c r="K2313" i="115"/>
  <c r="I2313" i="115"/>
  <c r="H2313" i="115"/>
  <c r="G2313" i="115"/>
  <c r="F2313" i="115"/>
  <c r="E2313" i="115"/>
  <c r="A2313" i="115"/>
  <c r="K2312" i="115"/>
  <c r="I2312" i="115"/>
  <c r="H2312" i="115"/>
  <c r="G2312" i="115"/>
  <c r="F2312" i="115"/>
  <c r="E2312" i="115"/>
  <c r="A2312" i="115"/>
  <c r="K2311" i="115"/>
  <c r="I2311" i="115"/>
  <c r="H2311" i="115"/>
  <c r="G2311" i="115"/>
  <c r="F2311" i="115"/>
  <c r="E2311" i="115"/>
  <c r="A2311" i="115"/>
  <c r="K2310" i="115"/>
  <c r="I2310" i="115"/>
  <c r="H2310" i="115"/>
  <c r="G2310" i="115"/>
  <c r="F2310" i="115"/>
  <c r="E2310" i="115"/>
  <c r="A2310" i="115"/>
  <c r="K2309" i="115"/>
  <c r="I2309" i="115"/>
  <c r="H2309" i="115"/>
  <c r="G2309" i="115"/>
  <c r="F2309" i="115"/>
  <c r="E2309" i="115"/>
  <c r="A2309" i="115"/>
  <c r="K2308" i="115"/>
  <c r="I2308" i="115"/>
  <c r="H2308" i="115"/>
  <c r="G2308" i="115"/>
  <c r="F2308" i="115"/>
  <c r="E2308" i="115"/>
  <c r="A2308" i="115"/>
  <c r="K2307" i="115"/>
  <c r="I2307" i="115"/>
  <c r="H2307" i="115"/>
  <c r="G2307" i="115"/>
  <c r="F2307" i="115"/>
  <c r="E2307" i="115"/>
  <c r="A2307" i="115"/>
  <c r="K2306" i="115"/>
  <c r="I2306" i="115"/>
  <c r="H2306" i="115"/>
  <c r="G2306" i="115"/>
  <c r="F2306" i="115"/>
  <c r="E2306" i="115"/>
  <c r="A2306" i="115"/>
  <c r="K2305" i="115"/>
  <c r="I2305" i="115"/>
  <c r="H2305" i="115"/>
  <c r="G2305" i="115"/>
  <c r="F2305" i="115"/>
  <c r="E2305" i="115"/>
  <c r="A2305" i="115"/>
  <c r="K2304" i="115"/>
  <c r="I2304" i="115"/>
  <c r="H2304" i="115"/>
  <c r="G2304" i="115"/>
  <c r="F2304" i="115"/>
  <c r="E2304" i="115"/>
  <c r="A2304" i="115"/>
  <c r="K2303" i="115"/>
  <c r="I2303" i="115"/>
  <c r="H2303" i="115"/>
  <c r="G2303" i="115"/>
  <c r="F2303" i="115"/>
  <c r="E2303" i="115"/>
  <c r="A2303" i="115"/>
  <c r="K2302" i="115"/>
  <c r="I2302" i="115"/>
  <c r="H2302" i="115"/>
  <c r="G2302" i="115"/>
  <c r="F2302" i="115"/>
  <c r="E2302" i="115"/>
  <c r="A2302" i="115"/>
  <c r="K2301" i="115"/>
  <c r="I2301" i="115"/>
  <c r="H2301" i="115"/>
  <c r="G2301" i="115"/>
  <c r="F2301" i="115"/>
  <c r="E2301" i="115"/>
  <c r="A2301" i="115"/>
  <c r="K2300" i="115"/>
  <c r="I2300" i="115"/>
  <c r="H2300" i="115"/>
  <c r="G2300" i="115"/>
  <c r="F2300" i="115"/>
  <c r="E2300" i="115"/>
  <c r="A2300" i="115"/>
  <c r="K2299" i="115"/>
  <c r="I2299" i="115"/>
  <c r="H2299" i="115"/>
  <c r="G2299" i="115"/>
  <c r="F2299" i="115"/>
  <c r="E2299" i="115"/>
  <c r="A2299" i="115"/>
  <c r="K2298" i="115"/>
  <c r="I2298" i="115"/>
  <c r="H2298" i="115"/>
  <c r="G2298" i="115"/>
  <c r="F2298" i="115"/>
  <c r="E2298" i="115"/>
  <c r="A2298" i="115"/>
  <c r="K2297" i="115"/>
  <c r="I2297" i="115"/>
  <c r="H2297" i="115"/>
  <c r="G2297" i="115"/>
  <c r="F2297" i="115"/>
  <c r="E2297" i="115"/>
  <c r="A2297" i="115"/>
  <c r="K2296" i="115"/>
  <c r="I2296" i="115"/>
  <c r="H2296" i="115"/>
  <c r="G2296" i="115"/>
  <c r="F2296" i="115"/>
  <c r="E2296" i="115"/>
  <c r="A2296" i="115"/>
  <c r="K2295" i="115"/>
  <c r="I2295" i="115"/>
  <c r="H2295" i="115"/>
  <c r="G2295" i="115"/>
  <c r="F2295" i="115"/>
  <c r="E2295" i="115"/>
  <c r="A2295" i="115"/>
  <c r="K2294" i="115"/>
  <c r="I2294" i="115"/>
  <c r="H2294" i="115"/>
  <c r="G2294" i="115"/>
  <c r="F2294" i="115"/>
  <c r="E2294" i="115"/>
  <c r="A2294" i="115"/>
  <c r="K2293" i="115"/>
  <c r="I2293" i="115"/>
  <c r="H2293" i="115"/>
  <c r="G2293" i="115"/>
  <c r="F2293" i="115"/>
  <c r="E2293" i="115"/>
  <c r="A2293" i="115"/>
  <c r="K2292" i="115"/>
  <c r="I2292" i="115"/>
  <c r="H2292" i="115"/>
  <c r="G2292" i="115"/>
  <c r="F2292" i="115"/>
  <c r="E2292" i="115"/>
  <c r="A2292" i="115"/>
  <c r="K2291" i="115"/>
  <c r="I2291" i="115"/>
  <c r="H2291" i="115"/>
  <c r="G2291" i="115"/>
  <c r="F2291" i="115"/>
  <c r="E2291" i="115"/>
  <c r="A2291" i="115"/>
  <c r="K2290" i="115"/>
  <c r="I2290" i="115"/>
  <c r="H2290" i="115"/>
  <c r="G2290" i="115"/>
  <c r="F2290" i="115"/>
  <c r="E2290" i="115"/>
  <c r="A2290" i="115"/>
  <c r="K2289" i="115"/>
  <c r="I2289" i="115"/>
  <c r="H2289" i="115"/>
  <c r="G2289" i="115"/>
  <c r="F2289" i="115"/>
  <c r="E2289" i="115"/>
  <c r="A2289" i="115"/>
  <c r="K2288" i="115"/>
  <c r="I2288" i="115"/>
  <c r="H2288" i="115"/>
  <c r="G2288" i="115"/>
  <c r="F2288" i="115"/>
  <c r="E2288" i="115"/>
  <c r="A2288" i="115"/>
  <c r="K2287" i="115"/>
  <c r="I2287" i="115"/>
  <c r="H2287" i="115"/>
  <c r="G2287" i="115"/>
  <c r="F2287" i="115"/>
  <c r="E2287" i="115"/>
  <c r="A2287" i="115"/>
  <c r="K2286" i="115"/>
  <c r="I2286" i="115"/>
  <c r="H2286" i="115"/>
  <c r="G2286" i="115"/>
  <c r="F2286" i="115"/>
  <c r="E2286" i="115"/>
  <c r="A2286" i="115"/>
  <c r="K2285" i="115"/>
  <c r="I2285" i="115"/>
  <c r="H2285" i="115"/>
  <c r="G2285" i="115"/>
  <c r="F2285" i="115"/>
  <c r="E2285" i="115"/>
  <c r="A2285" i="115"/>
  <c r="K2284" i="115"/>
  <c r="I2284" i="115"/>
  <c r="H2284" i="115"/>
  <c r="G2284" i="115"/>
  <c r="F2284" i="115"/>
  <c r="E2284" i="115"/>
  <c r="A2284" i="115"/>
  <c r="K2283" i="115"/>
  <c r="I2283" i="115"/>
  <c r="H2283" i="115"/>
  <c r="G2283" i="115"/>
  <c r="F2283" i="115"/>
  <c r="E2283" i="115"/>
  <c r="A2283" i="115"/>
  <c r="K2282" i="115"/>
  <c r="I2282" i="115"/>
  <c r="H2282" i="115"/>
  <c r="G2282" i="115"/>
  <c r="F2282" i="115"/>
  <c r="E2282" i="115"/>
  <c r="A2282" i="115"/>
  <c r="K2281" i="115"/>
  <c r="I2281" i="115"/>
  <c r="H2281" i="115"/>
  <c r="G2281" i="115"/>
  <c r="F2281" i="115"/>
  <c r="E2281" i="115"/>
  <c r="A2281" i="115"/>
  <c r="K2280" i="115"/>
  <c r="I2280" i="115"/>
  <c r="H2280" i="115"/>
  <c r="G2280" i="115"/>
  <c r="F2280" i="115"/>
  <c r="E2280" i="115"/>
  <c r="A2280" i="115"/>
  <c r="K2279" i="115"/>
  <c r="I2279" i="115"/>
  <c r="H2279" i="115"/>
  <c r="G2279" i="115"/>
  <c r="F2279" i="115"/>
  <c r="E2279" i="115"/>
  <c r="A2279" i="115"/>
  <c r="K2278" i="115"/>
  <c r="I2278" i="115"/>
  <c r="H2278" i="115"/>
  <c r="G2278" i="115"/>
  <c r="F2278" i="115"/>
  <c r="E2278" i="115"/>
  <c r="A2278" i="115"/>
  <c r="K2277" i="115"/>
  <c r="I2277" i="115"/>
  <c r="H2277" i="115"/>
  <c r="G2277" i="115"/>
  <c r="F2277" i="115"/>
  <c r="E2277" i="115"/>
  <c r="A2277" i="115"/>
  <c r="K2276" i="115"/>
  <c r="I2276" i="115"/>
  <c r="H2276" i="115"/>
  <c r="G2276" i="115"/>
  <c r="F2276" i="115"/>
  <c r="E2276" i="115"/>
  <c r="A2276" i="115"/>
  <c r="K2275" i="115"/>
  <c r="I2275" i="115"/>
  <c r="H2275" i="115"/>
  <c r="G2275" i="115"/>
  <c r="F2275" i="115"/>
  <c r="E2275" i="115"/>
  <c r="A2275" i="115"/>
  <c r="K2274" i="115"/>
  <c r="I2274" i="115"/>
  <c r="H2274" i="115"/>
  <c r="G2274" i="115"/>
  <c r="F2274" i="115"/>
  <c r="E2274" i="115"/>
  <c r="A2274" i="115"/>
  <c r="K2273" i="115"/>
  <c r="I2273" i="115"/>
  <c r="H2273" i="115"/>
  <c r="G2273" i="115"/>
  <c r="F2273" i="115"/>
  <c r="E2273" i="115"/>
  <c r="A2273" i="115"/>
  <c r="K2272" i="115"/>
  <c r="I2272" i="115"/>
  <c r="H2272" i="115"/>
  <c r="G2272" i="115"/>
  <c r="F2272" i="115"/>
  <c r="E2272" i="115"/>
  <c r="A2272" i="115"/>
  <c r="K2271" i="115"/>
  <c r="I2271" i="115"/>
  <c r="H2271" i="115"/>
  <c r="G2271" i="115"/>
  <c r="F2271" i="115"/>
  <c r="E2271" i="115"/>
  <c r="A2271" i="115"/>
  <c r="K2270" i="115"/>
  <c r="I2270" i="115"/>
  <c r="H2270" i="115"/>
  <c r="G2270" i="115"/>
  <c r="F2270" i="115"/>
  <c r="E2270" i="115"/>
  <c r="A2270" i="115"/>
  <c r="K2269" i="115"/>
  <c r="I2269" i="115"/>
  <c r="H2269" i="115"/>
  <c r="G2269" i="115"/>
  <c r="F2269" i="115"/>
  <c r="E2269" i="115"/>
  <c r="A2269" i="115"/>
  <c r="K2268" i="115"/>
  <c r="I2268" i="115"/>
  <c r="H2268" i="115"/>
  <c r="G2268" i="115"/>
  <c r="F2268" i="115"/>
  <c r="E2268" i="115"/>
  <c r="A2268" i="115"/>
  <c r="K2267" i="115"/>
  <c r="I2267" i="115"/>
  <c r="H2267" i="115"/>
  <c r="G2267" i="115"/>
  <c r="F2267" i="115"/>
  <c r="E2267" i="115"/>
  <c r="A2267" i="115"/>
  <c r="K2266" i="115"/>
  <c r="I2266" i="115"/>
  <c r="H2266" i="115"/>
  <c r="G2266" i="115"/>
  <c r="F2266" i="115"/>
  <c r="E2266" i="115"/>
  <c r="A2266" i="115"/>
  <c r="K2265" i="115"/>
  <c r="I2265" i="115"/>
  <c r="H2265" i="115"/>
  <c r="G2265" i="115"/>
  <c r="F2265" i="115"/>
  <c r="E2265" i="115"/>
  <c r="A2265" i="115"/>
  <c r="K2264" i="115"/>
  <c r="I2264" i="115"/>
  <c r="H2264" i="115"/>
  <c r="G2264" i="115"/>
  <c r="F2264" i="115"/>
  <c r="E2264" i="115"/>
  <c r="A2264" i="115"/>
  <c r="K2263" i="115"/>
  <c r="I2263" i="115"/>
  <c r="H2263" i="115"/>
  <c r="G2263" i="115"/>
  <c r="F2263" i="115"/>
  <c r="E2263" i="115"/>
  <c r="A2263" i="115"/>
  <c r="K2262" i="115"/>
  <c r="I2262" i="115"/>
  <c r="H2262" i="115"/>
  <c r="G2262" i="115"/>
  <c r="F2262" i="115"/>
  <c r="E2262" i="115"/>
  <c r="A2262" i="115"/>
  <c r="K2261" i="115"/>
  <c r="I2261" i="115"/>
  <c r="H2261" i="115"/>
  <c r="G2261" i="115"/>
  <c r="F2261" i="115"/>
  <c r="E2261" i="115"/>
  <c r="A2261" i="115"/>
  <c r="K2260" i="115"/>
  <c r="I2260" i="115"/>
  <c r="H2260" i="115"/>
  <c r="G2260" i="115"/>
  <c r="F2260" i="115"/>
  <c r="E2260" i="115"/>
  <c r="A2260" i="115"/>
  <c r="K2259" i="115"/>
  <c r="I2259" i="115"/>
  <c r="H2259" i="115"/>
  <c r="G2259" i="115"/>
  <c r="F2259" i="115"/>
  <c r="E2259" i="115"/>
  <c r="A2259" i="115"/>
  <c r="K2258" i="115"/>
  <c r="I2258" i="115"/>
  <c r="H2258" i="115"/>
  <c r="G2258" i="115"/>
  <c r="F2258" i="115"/>
  <c r="E2258" i="115"/>
  <c r="A2258" i="115"/>
  <c r="K2257" i="115"/>
  <c r="I2257" i="115"/>
  <c r="H2257" i="115"/>
  <c r="G2257" i="115"/>
  <c r="F2257" i="115"/>
  <c r="E2257" i="115"/>
  <c r="A2257" i="115"/>
  <c r="K2256" i="115"/>
  <c r="I2256" i="115"/>
  <c r="H2256" i="115"/>
  <c r="G2256" i="115"/>
  <c r="F2256" i="115"/>
  <c r="E2256" i="115"/>
  <c r="A2256" i="115"/>
  <c r="K2255" i="115"/>
  <c r="I2255" i="115"/>
  <c r="H2255" i="115"/>
  <c r="G2255" i="115"/>
  <c r="F2255" i="115"/>
  <c r="E2255" i="115"/>
  <c r="A2255" i="115"/>
  <c r="K2254" i="115"/>
  <c r="I2254" i="115"/>
  <c r="H2254" i="115"/>
  <c r="G2254" i="115"/>
  <c r="F2254" i="115"/>
  <c r="E2254" i="115"/>
  <c r="A2254" i="115"/>
  <c r="K2253" i="115"/>
  <c r="I2253" i="115"/>
  <c r="H2253" i="115"/>
  <c r="G2253" i="115"/>
  <c r="F2253" i="115"/>
  <c r="E2253" i="115"/>
  <c r="A2253" i="115"/>
  <c r="K2252" i="115"/>
  <c r="I2252" i="115"/>
  <c r="H2252" i="115"/>
  <c r="G2252" i="115"/>
  <c r="F2252" i="115"/>
  <c r="E2252" i="115"/>
  <c r="A2252" i="115"/>
  <c r="K2251" i="115"/>
  <c r="I2251" i="115"/>
  <c r="H2251" i="115"/>
  <c r="G2251" i="115"/>
  <c r="F2251" i="115"/>
  <c r="E2251" i="115"/>
  <c r="A2251" i="115"/>
  <c r="K2250" i="115"/>
  <c r="I2250" i="115"/>
  <c r="H2250" i="115"/>
  <c r="G2250" i="115"/>
  <c r="F2250" i="115"/>
  <c r="E2250" i="115"/>
  <c r="A2250" i="115"/>
  <c r="K2249" i="115"/>
  <c r="I2249" i="115"/>
  <c r="H2249" i="115"/>
  <c r="G2249" i="115"/>
  <c r="F2249" i="115"/>
  <c r="E2249" i="115"/>
  <c r="A2249" i="115"/>
  <c r="K2248" i="115"/>
  <c r="I2248" i="115"/>
  <c r="H2248" i="115"/>
  <c r="G2248" i="115"/>
  <c r="F2248" i="115"/>
  <c r="E2248" i="115"/>
  <c r="A2248" i="115"/>
  <c r="K2247" i="115"/>
  <c r="I2247" i="115"/>
  <c r="H2247" i="115"/>
  <c r="G2247" i="115"/>
  <c r="F2247" i="115"/>
  <c r="E2247" i="115"/>
  <c r="A2247" i="115"/>
  <c r="K2246" i="115"/>
  <c r="I2246" i="115"/>
  <c r="H2246" i="115"/>
  <c r="G2246" i="115"/>
  <c r="F2246" i="115"/>
  <c r="E2246" i="115"/>
  <c r="A2246" i="115"/>
  <c r="K2245" i="115"/>
  <c r="I2245" i="115"/>
  <c r="H2245" i="115"/>
  <c r="G2245" i="115"/>
  <c r="F2245" i="115"/>
  <c r="E2245" i="115"/>
  <c r="A2245" i="115"/>
  <c r="K2244" i="115"/>
  <c r="I2244" i="115"/>
  <c r="H2244" i="115"/>
  <c r="G2244" i="115"/>
  <c r="F2244" i="115"/>
  <c r="E2244" i="115"/>
  <c r="A2244" i="115"/>
  <c r="K2243" i="115"/>
  <c r="I2243" i="115"/>
  <c r="H2243" i="115"/>
  <c r="G2243" i="115"/>
  <c r="F2243" i="115"/>
  <c r="E2243" i="115"/>
  <c r="A2243" i="115"/>
  <c r="K2242" i="115"/>
  <c r="I2242" i="115"/>
  <c r="H2242" i="115"/>
  <c r="G2242" i="115"/>
  <c r="F2242" i="115"/>
  <c r="E2242" i="115"/>
  <c r="A2242" i="115"/>
  <c r="K2241" i="115"/>
  <c r="I2241" i="115"/>
  <c r="H2241" i="115"/>
  <c r="G2241" i="115"/>
  <c r="F2241" i="115"/>
  <c r="E2241" i="115"/>
  <c r="A2241" i="115"/>
  <c r="K2240" i="115"/>
  <c r="I2240" i="115"/>
  <c r="H2240" i="115"/>
  <c r="G2240" i="115"/>
  <c r="F2240" i="115"/>
  <c r="E2240" i="115"/>
  <c r="A2240" i="115"/>
  <c r="K2239" i="115"/>
  <c r="I2239" i="115"/>
  <c r="H2239" i="115"/>
  <c r="G2239" i="115"/>
  <c r="F2239" i="115"/>
  <c r="E2239" i="115"/>
  <c r="A2239" i="115"/>
  <c r="K2238" i="115"/>
  <c r="I2238" i="115"/>
  <c r="H2238" i="115"/>
  <c r="G2238" i="115"/>
  <c r="F2238" i="115"/>
  <c r="E2238" i="115"/>
  <c r="A2238" i="115"/>
  <c r="K2237" i="115"/>
  <c r="I2237" i="115"/>
  <c r="H2237" i="115"/>
  <c r="G2237" i="115"/>
  <c r="F2237" i="115"/>
  <c r="E2237" i="115"/>
  <c r="A2237" i="115"/>
  <c r="K2236" i="115"/>
  <c r="I2236" i="115"/>
  <c r="H2236" i="115"/>
  <c r="G2236" i="115"/>
  <c r="F2236" i="115"/>
  <c r="E2236" i="115"/>
  <c r="A2236" i="115"/>
  <c r="K2235" i="115"/>
  <c r="I2235" i="115"/>
  <c r="H2235" i="115"/>
  <c r="G2235" i="115"/>
  <c r="F2235" i="115"/>
  <c r="E2235" i="115"/>
  <c r="A2235" i="115"/>
  <c r="K2234" i="115"/>
  <c r="I2234" i="115"/>
  <c r="H2234" i="115"/>
  <c r="G2234" i="115"/>
  <c r="F2234" i="115"/>
  <c r="E2234" i="115"/>
  <c r="A2234" i="115"/>
  <c r="K2233" i="115"/>
  <c r="I2233" i="115"/>
  <c r="H2233" i="115"/>
  <c r="G2233" i="115"/>
  <c r="F2233" i="115"/>
  <c r="E2233" i="115"/>
  <c r="A2233" i="115"/>
  <c r="K2232" i="115"/>
  <c r="I2232" i="115"/>
  <c r="H2232" i="115"/>
  <c r="G2232" i="115"/>
  <c r="F2232" i="115"/>
  <c r="E2232" i="115"/>
  <c r="A2232" i="115"/>
  <c r="K2231" i="115"/>
  <c r="I2231" i="115"/>
  <c r="H2231" i="115"/>
  <c r="G2231" i="115"/>
  <c r="F2231" i="115"/>
  <c r="E2231" i="115"/>
  <c r="A2231" i="115"/>
  <c r="K2230" i="115"/>
  <c r="I2230" i="115"/>
  <c r="H2230" i="115"/>
  <c r="G2230" i="115"/>
  <c r="F2230" i="115"/>
  <c r="E2230" i="115"/>
  <c r="A2230" i="115"/>
  <c r="K2229" i="115"/>
  <c r="I2229" i="115"/>
  <c r="H2229" i="115"/>
  <c r="G2229" i="115"/>
  <c r="F2229" i="115"/>
  <c r="E2229" i="115"/>
  <c r="A2229" i="115"/>
  <c r="K2228" i="115"/>
  <c r="I2228" i="115"/>
  <c r="H2228" i="115"/>
  <c r="G2228" i="115"/>
  <c r="F2228" i="115"/>
  <c r="E2228" i="115"/>
  <c r="A2228" i="115"/>
  <c r="K2227" i="115"/>
  <c r="I2227" i="115"/>
  <c r="H2227" i="115"/>
  <c r="G2227" i="115"/>
  <c r="F2227" i="115"/>
  <c r="E2227" i="115"/>
  <c r="A2227" i="115"/>
  <c r="K2226" i="115"/>
  <c r="I2226" i="115"/>
  <c r="H2226" i="115"/>
  <c r="G2226" i="115"/>
  <c r="F2226" i="115"/>
  <c r="E2226" i="115"/>
  <c r="A2226" i="115"/>
  <c r="K2225" i="115"/>
  <c r="I2225" i="115"/>
  <c r="H2225" i="115"/>
  <c r="G2225" i="115"/>
  <c r="F2225" i="115"/>
  <c r="E2225" i="115"/>
  <c r="A2225" i="115"/>
  <c r="K2224" i="115"/>
  <c r="I2224" i="115"/>
  <c r="H2224" i="115"/>
  <c r="G2224" i="115"/>
  <c r="F2224" i="115"/>
  <c r="E2224" i="115"/>
  <c r="A2224" i="115"/>
  <c r="K2223" i="115"/>
  <c r="I2223" i="115"/>
  <c r="H2223" i="115"/>
  <c r="G2223" i="115"/>
  <c r="F2223" i="115"/>
  <c r="E2223" i="115"/>
  <c r="A2223" i="115"/>
  <c r="K2222" i="115"/>
  <c r="I2222" i="115"/>
  <c r="H2222" i="115"/>
  <c r="G2222" i="115"/>
  <c r="F2222" i="115"/>
  <c r="E2222" i="115"/>
  <c r="A2222" i="115"/>
  <c r="K2221" i="115"/>
  <c r="I2221" i="115"/>
  <c r="H2221" i="115"/>
  <c r="G2221" i="115"/>
  <c r="F2221" i="115"/>
  <c r="E2221" i="115"/>
  <c r="A2221" i="115"/>
  <c r="K2220" i="115"/>
  <c r="I2220" i="115"/>
  <c r="H2220" i="115"/>
  <c r="G2220" i="115"/>
  <c r="F2220" i="115"/>
  <c r="E2220" i="115"/>
  <c r="A2220" i="115"/>
  <c r="K2219" i="115"/>
  <c r="I2219" i="115"/>
  <c r="H2219" i="115"/>
  <c r="G2219" i="115"/>
  <c r="F2219" i="115"/>
  <c r="E2219" i="115"/>
  <c r="A2219" i="115"/>
  <c r="K2218" i="115"/>
  <c r="I2218" i="115"/>
  <c r="H2218" i="115"/>
  <c r="G2218" i="115"/>
  <c r="F2218" i="115"/>
  <c r="E2218" i="115"/>
  <c r="A2218" i="115"/>
  <c r="K2217" i="115"/>
  <c r="I2217" i="115"/>
  <c r="H2217" i="115"/>
  <c r="G2217" i="115"/>
  <c r="F2217" i="115"/>
  <c r="E2217" i="115"/>
  <c r="A2217" i="115"/>
  <c r="K2216" i="115"/>
  <c r="I2216" i="115"/>
  <c r="H2216" i="115"/>
  <c r="G2216" i="115"/>
  <c r="F2216" i="115"/>
  <c r="E2216" i="115"/>
  <c r="A2216" i="115"/>
  <c r="K2215" i="115"/>
  <c r="I2215" i="115"/>
  <c r="H2215" i="115"/>
  <c r="G2215" i="115"/>
  <c r="F2215" i="115"/>
  <c r="E2215" i="115"/>
  <c r="A2215" i="115"/>
  <c r="K2214" i="115"/>
  <c r="I2214" i="115"/>
  <c r="H2214" i="115"/>
  <c r="G2214" i="115"/>
  <c r="F2214" i="115"/>
  <c r="E2214" i="115"/>
  <c r="A2214" i="115"/>
  <c r="K2213" i="115"/>
  <c r="I2213" i="115"/>
  <c r="H2213" i="115"/>
  <c r="G2213" i="115"/>
  <c r="F2213" i="115"/>
  <c r="E2213" i="115"/>
  <c r="A2213" i="115"/>
  <c r="K2212" i="115"/>
  <c r="I2212" i="115"/>
  <c r="H2212" i="115"/>
  <c r="G2212" i="115"/>
  <c r="F2212" i="115"/>
  <c r="E2212" i="115"/>
  <c r="A2212" i="115"/>
  <c r="K2211" i="115"/>
  <c r="I2211" i="115"/>
  <c r="H2211" i="115"/>
  <c r="G2211" i="115"/>
  <c r="F2211" i="115"/>
  <c r="E2211" i="115"/>
  <c r="A2211" i="115"/>
  <c r="K2210" i="115"/>
  <c r="I2210" i="115"/>
  <c r="H2210" i="115"/>
  <c r="G2210" i="115"/>
  <c r="F2210" i="115"/>
  <c r="E2210" i="115"/>
  <c r="A2210" i="115"/>
  <c r="K2209" i="115"/>
  <c r="I2209" i="115"/>
  <c r="H2209" i="115"/>
  <c r="G2209" i="115"/>
  <c r="F2209" i="115"/>
  <c r="E2209" i="115"/>
  <c r="A2209" i="115"/>
  <c r="K2208" i="115"/>
  <c r="I2208" i="115"/>
  <c r="H2208" i="115"/>
  <c r="G2208" i="115"/>
  <c r="F2208" i="115"/>
  <c r="E2208" i="115"/>
  <c r="A2208" i="115"/>
  <c r="K2207" i="115"/>
  <c r="I2207" i="115"/>
  <c r="H2207" i="115"/>
  <c r="G2207" i="115"/>
  <c r="F2207" i="115"/>
  <c r="E2207" i="115"/>
  <c r="A2207" i="115"/>
  <c r="K2206" i="115"/>
  <c r="I2206" i="115"/>
  <c r="H2206" i="115"/>
  <c r="G2206" i="115"/>
  <c r="F2206" i="115"/>
  <c r="E2206" i="115"/>
  <c r="A2206" i="115"/>
  <c r="K2205" i="115"/>
  <c r="I2205" i="115"/>
  <c r="H2205" i="115"/>
  <c r="G2205" i="115"/>
  <c r="F2205" i="115"/>
  <c r="E2205" i="115"/>
  <c r="A2205" i="115"/>
  <c r="K2204" i="115"/>
  <c r="I2204" i="115"/>
  <c r="H2204" i="115"/>
  <c r="G2204" i="115"/>
  <c r="F2204" i="115"/>
  <c r="E2204" i="115"/>
  <c r="A2204" i="115"/>
  <c r="K2203" i="115"/>
  <c r="I2203" i="115"/>
  <c r="H2203" i="115"/>
  <c r="G2203" i="115"/>
  <c r="F2203" i="115"/>
  <c r="E2203" i="115"/>
  <c r="A2203" i="115"/>
  <c r="K2202" i="115"/>
  <c r="I2202" i="115"/>
  <c r="H2202" i="115"/>
  <c r="G2202" i="115"/>
  <c r="F2202" i="115"/>
  <c r="E2202" i="115"/>
  <c r="A2202" i="115"/>
  <c r="K2201" i="115"/>
  <c r="I2201" i="115"/>
  <c r="H2201" i="115"/>
  <c r="G2201" i="115"/>
  <c r="F2201" i="115"/>
  <c r="E2201" i="115"/>
  <c r="A2201" i="115"/>
  <c r="K2200" i="115"/>
  <c r="I2200" i="115"/>
  <c r="H2200" i="115"/>
  <c r="G2200" i="115"/>
  <c r="F2200" i="115"/>
  <c r="E2200" i="115"/>
  <c r="A2200" i="115"/>
  <c r="K2199" i="115"/>
  <c r="I2199" i="115"/>
  <c r="H2199" i="115"/>
  <c r="G2199" i="115"/>
  <c r="F2199" i="115"/>
  <c r="E2199" i="115"/>
  <c r="A2199" i="115"/>
  <c r="K2198" i="115"/>
  <c r="I2198" i="115"/>
  <c r="H2198" i="115"/>
  <c r="G2198" i="115"/>
  <c r="F2198" i="115"/>
  <c r="E2198" i="115"/>
  <c r="A2198" i="115"/>
  <c r="K2197" i="115"/>
  <c r="I2197" i="115"/>
  <c r="H2197" i="115"/>
  <c r="G2197" i="115"/>
  <c r="F2197" i="115"/>
  <c r="E2197" i="115"/>
  <c r="A2197" i="115"/>
  <c r="K2196" i="115"/>
  <c r="I2196" i="115"/>
  <c r="H2196" i="115"/>
  <c r="G2196" i="115"/>
  <c r="F2196" i="115"/>
  <c r="E2196" i="115"/>
  <c r="A2196" i="115"/>
  <c r="K2195" i="115"/>
  <c r="I2195" i="115"/>
  <c r="H2195" i="115"/>
  <c r="G2195" i="115"/>
  <c r="F2195" i="115"/>
  <c r="E2195" i="115"/>
  <c r="A2195" i="115"/>
  <c r="K2194" i="115"/>
  <c r="I2194" i="115"/>
  <c r="H2194" i="115"/>
  <c r="G2194" i="115"/>
  <c r="F2194" i="115"/>
  <c r="E2194" i="115"/>
  <c r="A2194" i="115"/>
  <c r="K2193" i="115"/>
  <c r="I2193" i="115"/>
  <c r="H2193" i="115"/>
  <c r="G2193" i="115"/>
  <c r="F2193" i="115"/>
  <c r="E2193" i="115"/>
  <c r="A2193" i="115"/>
  <c r="K2192" i="115"/>
  <c r="I2192" i="115"/>
  <c r="H2192" i="115"/>
  <c r="G2192" i="115"/>
  <c r="F2192" i="115"/>
  <c r="E2192" i="115"/>
  <c r="A2192" i="115"/>
  <c r="K2191" i="115"/>
  <c r="I2191" i="115"/>
  <c r="H2191" i="115"/>
  <c r="G2191" i="115"/>
  <c r="F2191" i="115"/>
  <c r="E2191" i="115"/>
  <c r="A2191" i="115"/>
  <c r="K2190" i="115"/>
  <c r="I2190" i="115"/>
  <c r="H2190" i="115"/>
  <c r="G2190" i="115"/>
  <c r="F2190" i="115"/>
  <c r="E2190" i="115"/>
  <c r="A2190" i="115"/>
  <c r="K2189" i="115"/>
  <c r="I2189" i="115"/>
  <c r="H2189" i="115"/>
  <c r="G2189" i="115"/>
  <c r="F2189" i="115"/>
  <c r="E2189" i="115"/>
  <c r="A2189" i="115"/>
  <c r="K2188" i="115"/>
  <c r="I2188" i="115"/>
  <c r="H2188" i="115"/>
  <c r="G2188" i="115"/>
  <c r="F2188" i="115"/>
  <c r="E2188" i="115"/>
  <c r="A2188" i="115"/>
  <c r="K2187" i="115"/>
  <c r="I2187" i="115"/>
  <c r="H2187" i="115"/>
  <c r="G2187" i="115"/>
  <c r="F2187" i="115"/>
  <c r="E2187" i="115"/>
  <c r="A2187" i="115"/>
  <c r="K2186" i="115"/>
  <c r="I2186" i="115"/>
  <c r="H2186" i="115"/>
  <c r="G2186" i="115"/>
  <c r="F2186" i="115"/>
  <c r="E2186" i="115"/>
  <c r="A2186" i="115"/>
  <c r="K2185" i="115"/>
  <c r="I2185" i="115"/>
  <c r="H2185" i="115"/>
  <c r="G2185" i="115"/>
  <c r="F2185" i="115"/>
  <c r="E2185" i="115"/>
  <c r="A2185" i="115"/>
  <c r="K2184" i="115"/>
  <c r="I2184" i="115"/>
  <c r="H2184" i="115"/>
  <c r="G2184" i="115"/>
  <c r="F2184" i="115"/>
  <c r="E2184" i="115"/>
  <c r="A2184" i="115"/>
  <c r="K2183" i="115"/>
  <c r="I2183" i="115"/>
  <c r="H2183" i="115"/>
  <c r="G2183" i="115"/>
  <c r="F2183" i="115"/>
  <c r="E2183" i="115"/>
  <c r="A2183" i="115"/>
  <c r="K2182" i="115"/>
  <c r="I2182" i="115"/>
  <c r="H2182" i="115"/>
  <c r="G2182" i="115"/>
  <c r="F2182" i="115"/>
  <c r="E2182" i="115"/>
  <c r="A2182" i="115"/>
  <c r="K2181" i="115"/>
  <c r="I2181" i="115"/>
  <c r="H2181" i="115"/>
  <c r="G2181" i="115"/>
  <c r="F2181" i="115"/>
  <c r="E2181" i="115"/>
  <c r="A2181" i="115"/>
  <c r="K2180" i="115"/>
  <c r="I2180" i="115"/>
  <c r="H2180" i="115"/>
  <c r="G2180" i="115"/>
  <c r="F2180" i="115"/>
  <c r="E2180" i="115"/>
  <c r="A2180" i="115"/>
  <c r="K2179" i="115"/>
  <c r="I2179" i="115"/>
  <c r="H2179" i="115"/>
  <c r="G2179" i="115"/>
  <c r="F2179" i="115"/>
  <c r="E2179" i="115"/>
  <c r="A2179" i="115"/>
  <c r="K2178" i="115"/>
  <c r="I2178" i="115"/>
  <c r="H2178" i="115"/>
  <c r="G2178" i="115"/>
  <c r="F2178" i="115"/>
  <c r="E2178" i="115"/>
  <c r="A2178" i="115"/>
  <c r="K2177" i="115"/>
  <c r="I2177" i="115"/>
  <c r="H2177" i="115"/>
  <c r="G2177" i="115"/>
  <c r="F2177" i="115"/>
  <c r="E2177" i="115"/>
  <c r="A2177" i="115"/>
  <c r="K2176" i="115"/>
  <c r="I2176" i="115"/>
  <c r="H2176" i="115"/>
  <c r="G2176" i="115"/>
  <c r="F2176" i="115"/>
  <c r="E2176" i="115"/>
  <c r="A2176" i="115"/>
  <c r="K2175" i="115"/>
  <c r="I2175" i="115"/>
  <c r="H2175" i="115"/>
  <c r="G2175" i="115"/>
  <c r="F2175" i="115"/>
  <c r="E2175" i="115"/>
  <c r="A2175" i="115"/>
  <c r="K2174" i="115"/>
  <c r="I2174" i="115"/>
  <c r="H2174" i="115"/>
  <c r="G2174" i="115"/>
  <c r="F2174" i="115"/>
  <c r="E2174" i="115"/>
  <c r="A2174" i="115"/>
  <c r="K2173" i="115"/>
  <c r="I2173" i="115"/>
  <c r="H2173" i="115"/>
  <c r="G2173" i="115"/>
  <c r="F2173" i="115"/>
  <c r="E2173" i="115"/>
  <c r="A2173" i="115"/>
  <c r="K2172" i="115"/>
  <c r="I2172" i="115"/>
  <c r="H2172" i="115"/>
  <c r="G2172" i="115"/>
  <c r="F2172" i="115"/>
  <c r="E2172" i="115"/>
  <c r="A2172" i="115"/>
  <c r="K2171" i="115"/>
  <c r="I2171" i="115"/>
  <c r="H2171" i="115"/>
  <c r="G2171" i="115"/>
  <c r="F2171" i="115"/>
  <c r="E2171" i="115"/>
  <c r="A2171" i="115"/>
  <c r="K2170" i="115"/>
  <c r="I2170" i="115"/>
  <c r="H2170" i="115"/>
  <c r="G2170" i="115"/>
  <c r="F2170" i="115"/>
  <c r="E2170" i="115"/>
  <c r="A2170" i="115"/>
  <c r="K2169" i="115"/>
  <c r="I2169" i="115"/>
  <c r="H2169" i="115"/>
  <c r="G2169" i="115"/>
  <c r="F2169" i="115"/>
  <c r="E2169" i="115"/>
  <c r="A2169" i="115"/>
  <c r="K2168" i="115"/>
  <c r="I2168" i="115"/>
  <c r="H2168" i="115"/>
  <c r="G2168" i="115"/>
  <c r="F2168" i="115"/>
  <c r="E2168" i="115"/>
  <c r="A2168" i="115"/>
  <c r="K2167" i="115"/>
  <c r="I2167" i="115"/>
  <c r="H2167" i="115"/>
  <c r="G2167" i="115"/>
  <c r="F2167" i="115"/>
  <c r="E2167" i="115"/>
  <c r="A2167" i="115"/>
  <c r="K2166" i="115"/>
  <c r="I2166" i="115"/>
  <c r="H2166" i="115"/>
  <c r="G2166" i="115"/>
  <c r="F2166" i="115"/>
  <c r="E2166" i="115"/>
  <c r="A2166" i="115"/>
  <c r="K2165" i="115"/>
  <c r="I2165" i="115"/>
  <c r="H2165" i="115"/>
  <c r="G2165" i="115"/>
  <c r="F2165" i="115"/>
  <c r="E2165" i="115"/>
  <c r="A2165" i="115"/>
  <c r="K2164" i="115"/>
  <c r="I2164" i="115"/>
  <c r="H2164" i="115"/>
  <c r="G2164" i="115"/>
  <c r="F2164" i="115"/>
  <c r="E2164" i="115"/>
  <c r="A2164" i="115"/>
  <c r="K2163" i="115"/>
  <c r="I2163" i="115"/>
  <c r="H2163" i="115"/>
  <c r="G2163" i="115"/>
  <c r="F2163" i="115"/>
  <c r="E2163" i="115"/>
  <c r="A2163" i="115"/>
  <c r="K2162" i="115"/>
  <c r="I2162" i="115"/>
  <c r="H2162" i="115"/>
  <c r="G2162" i="115"/>
  <c r="F2162" i="115"/>
  <c r="E2162" i="115"/>
  <c r="A2162" i="115"/>
  <c r="K2161" i="115"/>
  <c r="I2161" i="115"/>
  <c r="H2161" i="115"/>
  <c r="G2161" i="115"/>
  <c r="F2161" i="115"/>
  <c r="E2161" i="115"/>
  <c r="A2161" i="115"/>
  <c r="K2160" i="115"/>
  <c r="I2160" i="115"/>
  <c r="H2160" i="115"/>
  <c r="G2160" i="115"/>
  <c r="F2160" i="115"/>
  <c r="E2160" i="115"/>
  <c r="A2160" i="115"/>
  <c r="K2159" i="115"/>
  <c r="I2159" i="115"/>
  <c r="H2159" i="115"/>
  <c r="G2159" i="115"/>
  <c r="F2159" i="115"/>
  <c r="E2159" i="115"/>
  <c r="A2159" i="115"/>
  <c r="K2158" i="115"/>
  <c r="I2158" i="115"/>
  <c r="H2158" i="115"/>
  <c r="G2158" i="115"/>
  <c r="F2158" i="115"/>
  <c r="E2158" i="115"/>
  <c r="A2158" i="115"/>
  <c r="K2157" i="115"/>
  <c r="I2157" i="115"/>
  <c r="H2157" i="115"/>
  <c r="G2157" i="115"/>
  <c r="F2157" i="115"/>
  <c r="E2157" i="115"/>
  <c r="A2157" i="115"/>
  <c r="K2156" i="115"/>
  <c r="I2156" i="115"/>
  <c r="H2156" i="115"/>
  <c r="G2156" i="115"/>
  <c r="F2156" i="115"/>
  <c r="E2156" i="115"/>
  <c r="A2156" i="115"/>
  <c r="K2155" i="115"/>
  <c r="I2155" i="115"/>
  <c r="H2155" i="115"/>
  <c r="G2155" i="115"/>
  <c r="F2155" i="115"/>
  <c r="E2155" i="115"/>
  <c r="A2155" i="115"/>
  <c r="K2154" i="115"/>
  <c r="I2154" i="115"/>
  <c r="H2154" i="115"/>
  <c r="G2154" i="115"/>
  <c r="F2154" i="115"/>
  <c r="E2154" i="115"/>
  <c r="A2154" i="115"/>
  <c r="K2153" i="115"/>
  <c r="I2153" i="115"/>
  <c r="H2153" i="115"/>
  <c r="G2153" i="115"/>
  <c r="F2153" i="115"/>
  <c r="E2153" i="115"/>
  <c r="A2153" i="115"/>
  <c r="K2152" i="115"/>
  <c r="I2152" i="115"/>
  <c r="H2152" i="115"/>
  <c r="G2152" i="115"/>
  <c r="F2152" i="115"/>
  <c r="E2152" i="115"/>
  <c r="A2152" i="115"/>
  <c r="K2151" i="115"/>
  <c r="I2151" i="115"/>
  <c r="H2151" i="115"/>
  <c r="G2151" i="115"/>
  <c r="F2151" i="115"/>
  <c r="E2151" i="115"/>
  <c r="A2151" i="115"/>
  <c r="K2150" i="115"/>
  <c r="I2150" i="115"/>
  <c r="H2150" i="115"/>
  <c r="G2150" i="115"/>
  <c r="F2150" i="115"/>
  <c r="E2150" i="115"/>
  <c r="A2150" i="115"/>
  <c r="K2149" i="115"/>
  <c r="I2149" i="115"/>
  <c r="H2149" i="115"/>
  <c r="G2149" i="115"/>
  <c r="F2149" i="115"/>
  <c r="E2149" i="115"/>
  <c r="A2149" i="115"/>
  <c r="K2148" i="115"/>
  <c r="I2148" i="115"/>
  <c r="H2148" i="115"/>
  <c r="G2148" i="115"/>
  <c r="F2148" i="115"/>
  <c r="E2148" i="115"/>
  <c r="A2148" i="115"/>
  <c r="K2147" i="115"/>
  <c r="I2147" i="115"/>
  <c r="H2147" i="115"/>
  <c r="G2147" i="115"/>
  <c r="F2147" i="115"/>
  <c r="E2147" i="115"/>
  <c r="A2147" i="115"/>
  <c r="K2146" i="115"/>
  <c r="I2146" i="115"/>
  <c r="H2146" i="115"/>
  <c r="G2146" i="115"/>
  <c r="F2146" i="115"/>
  <c r="E2146" i="115"/>
  <c r="A2146" i="115"/>
  <c r="K2145" i="115"/>
  <c r="I2145" i="115"/>
  <c r="H2145" i="115"/>
  <c r="G2145" i="115"/>
  <c r="F2145" i="115"/>
  <c r="E2145" i="115"/>
  <c r="A2145" i="115"/>
  <c r="K2144" i="115"/>
  <c r="I2144" i="115"/>
  <c r="H2144" i="115"/>
  <c r="G2144" i="115"/>
  <c r="F2144" i="115"/>
  <c r="E2144" i="115"/>
  <c r="A2144" i="115"/>
  <c r="K2143" i="115"/>
  <c r="I2143" i="115"/>
  <c r="H2143" i="115"/>
  <c r="G2143" i="115"/>
  <c r="F2143" i="115"/>
  <c r="E2143" i="115"/>
  <c r="A2143" i="115"/>
  <c r="K2142" i="115"/>
  <c r="I2142" i="115"/>
  <c r="H2142" i="115"/>
  <c r="G2142" i="115"/>
  <c r="F2142" i="115"/>
  <c r="E2142" i="115"/>
  <c r="A2142" i="115"/>
  <c r="K2141" i="115"/>
  <c r="I2141" i="115"/>
  <c r="H2141" i="115"/>
  <c r="G2141" i="115"/>
  <c r="F2141" i="115"/>
  <c r="E2141" i="115"/>
  <c r="A2141" i="115"/>
  <c r="K2140" i="115"/>
  <c r="I2140" i="115"/>
  <c r="H2140" i="115"/>
  <c r="G2140" i="115"/>
  <c r="F2140" i="115"/>
  <c r="E2140" i="115"/>
  <c r="A2140" i="115"/>
  <c r="K2139" i="115"/>
  <c r="I2139" i="115"/>
  <c r="H2139" i="115"/>
  <c r="G2139" i="115"/>
  <c r="F2139" i="115"/>
  <c r="E2139" i="115"/>
  <c r="A2139" i="115"/>
  <c r="K2138" i="115"/>
  <c r="I2138" i="115"/>
  <c r="H2138" i="115"/>
  <c r="G2138" i="115"/>
  <c r="F2138" i="115"/>
  <c r="E2138" i="115"/>
  <c r="A2138" i="115"/>
  <c r="K2137" i="115"/>
  <c r="I2137" i="115"/>
  <c r="H2137" i="115"/>
  <c r="G2137" i="115"/>
  <c r="F2137" i="115"/>
  <c r="E2137" i="115"/>
  <c r="A2137" i="115"/>
  <c r="K2136" i="115"/>
  <c r="I2136" i="115"/>
  <c r="H2136" i="115"/>
  <c r="G2136" i="115"/>
  <c r="F2136" i="115"/>
  <c r="E2136" i="115"/>
  <c r="A2136" i="115"/>
  <c r="K2135" i="115"/>
  <c r="I2135" i="115"/>
  <c r="H2135" i="115"/>
  <c r="G2135" i="115"/>
  <c r="F2135" i="115"/>
  <c r="E2135" i="115"/>
  <c r="A2135" i="115"/>
  <c r="K2134" i="115"/>
  <c r="I2134" i="115"/>
  <c r="H2134" i="115"/>
  <c r="G2134" i="115"/>
  <c r="F2134" i="115"/>
  <c r="E2134" i="115"/>
  <c r="A2134" i="115"/>
  <c r="K2133" i="115"/>
  <c r="I2133" i="115"/>
  <c r="H2133" i="115"/>
  <c r="G2133" i="115"/>
  <c r="F2133" i="115"/>
  <c r="E2133" i="115"/>
  <c r="A2133" i="115"/>
  <c r="K2132" i="115"/>
  <c r="I2132" i="115"/>
  <c r="H2132" i="115"/>
  <c r="G2132" i="115"/>
  <c r="F2132" i="115"/>
  <c r="E2132" i="115"/>
  <c r="A2132" i="115"/>
  <c r="K2131" i="115"/>
  <c r="I2131" i="115"/>
  <c r="H2131" i="115"/>
  <c r="G2131" i="115"/>
  <c r="F2131" i="115"/>
  <c r="E2131" i="115"/>
  <c r="A2131" i="115"/>
  <c r="K2130" i="115"/>
  <c r="I2130" i="115"/>
  <c r="H2130" i="115"/>
  <c r="G2130" i="115"/>
  <c r="F2130" i="115"/>
  <c r="E2130" i="115"/>
  <c r="A2130" i="115"/>
  <c r="K2129" i="115"/>
  <c r="I2129" i="115"/>
  <c r="H2129" i="115"/>
  <c r="G2129" i="115"/>
  <c r="F2129" i="115"/>
  <c r="E2129" i="115"/>
  <c r="A2129" i="115"/>
  <c r="K2128" i="115"/>
  <c r="I2128" i="115"/>
  <c r="H2128" i="115"/>
  <c r="G2128" i="115"/>
  <c r="F2128" i="115"/>
  <c r="E2128" i="115"/>
  <c r="A2128" i="115"/>
  <c r="K2127" i="115"/>
  <c r="I2127" i="115"/>
  <c r="H2127" i="115"/>
  <c r="G2127" i="115"/>
  <c r="F2127" i="115"/>
  <c r="E2127" i="115"/>
  <c r="A2127" i="115"/>
  <c r="K2126" i="115"/>
  <c r="I2126" i="115"/>
  <c r="H2126" i="115"/>
  <c r="G2126" i="115"/>
  <c r="F2126" i="115"/>
  <c r="E2126" i="115"/>
  <c r="A2126" i="115"/>
  <c r="K2125" i="115"/>
  <c r="I2125" i="115"/>
  <c r="H2125" i="115"/>
  <c r="G2125" i="115"/>
  <c r="F2125" i="115"/>
  <c r="E2125" i="115"/>
  <c r="A2125" i="115"/>
  <c r="K2124" i="115"/>
  <c r="I2124" i="115"/>
  <c r="H2124" i="115"/>
  <c r="G2124" i="115"/>
  <c r="F2124" i="115"/>
  <c r="E2124" i="115"/>
  <c r="A2124" i="115"/>
  <c r="K2123" i="115"/>
  <c r="I2123" i="115"/>
  <c r="H2123" i="115"/>
  <c r="G2123" i="115"/>
  <c r="F2123" i="115"/>
  <c r="E2123" i="115"/>
  <c r="A2123" i="115"/>
  <c r="K2122" i="115"/>
  <c r="I2122" i="115"/>
  <c r="H2122" i="115"/>
  <c r="G2122" i="115"/>
  <c r="F2122" i="115"/>
  <c r="E2122" i="115"/>
  <c r="A2122" i="115"/>
  <c r="K2121" i="115"/>
  <c r="I2121" i="115"/>
  <c r="H2121" i="115"/>
  <c r="G2121" i="115"/>
  <c r="F2121" i="115"/>
  <c r="E2121" i="115"/>
  <c r="A2121" i="115"/>
  <c r="K2120" i="115"/>
  <c r="I2120" i="115"/>
  <c r="H2120" i="115"/>
  <c r="G2120" i="115"/>
  <c r="F2120" i="115"/>
  <c r="E2120" i="115"/>
  <c r="A2120" i="115"/>
  <c r="K2119" i="115"/>
  <c r="I2119" i="115"/>
  <c r="H2119" i="115"/>
  <c r="G2119" i="115"/>
  <c r="F2119" i="115"/>
  <c r="E2119" i="115"/>
  <c r="A2119" i="115"/>
  <c r="K2118" i="115"/>
  <c r="I2118" i="115"/>
  <c r="H2118" i="115"/>
  <c r="G2118" i="115"/>
  <c r="F2118" i="115"/>
  <c r="E2118" i="115"/>
  <c r="A2118" i="115"/>
  <c r="K2117" i="115"/>
  <c r="I2117" i="115"/>
  <c r="H2117" i="115"/>
  <c r="G2117" i="115"/>
  <c r="F2117" i="115"/>
  <c r="E2117" i="115"/>
  <c r="A2117" i="115"/>
  <c r="K2116" i="115"/>
  <c r="I2116" i="115"/>
  <c r="H2116" i="115"/>
  <c r="G2116" i="115"/>
  <c r="F2116" i="115"/>
  <c r="E2116" i="115"/>
  <c r="A2116" i="115"/>
  <c r="K2115" i="115"/>
  <c r="I2115" i="115"/>
  <c r="H2115" i="115"/>
  <c r="G2115" i="115"/>
  <c r="F2115" i="115"/>
  <c r="E2115" i="115"/>
  <c r="A2115" i="115"/>
  <c r="K2114" i="115"/>
  <c r="I2114" i="115"/>
  <c r="H2114" i="115"/>
  <c r="G2114" i="115"/>
  <c r="F2114" i="115"/>
  <c r="E2114" i="115"/>
  <c r="A2114" i="115"/>
  <c r="K2113" i="115"/>
  <c r="I2113" i="115"/>
  <c r="H2113" i="115"/>
  <c r="G2113" i="115"/>
  <c r="F2113" i="115"/>
  <c r="E2113" i="115"/>
  <c r="A2113" i="115"/>
  <c r="K2112" i="115"/>
  <c r="I2112" i="115"/>
  <c r="H2112" i="115"/>
  <c r="G2112" i="115"/>
  <c r="F2112" i="115"/>
  <c r="E2112" i="115"/>
  <c r="A2112" i="115"/>
  <c r="K2111" i="115"/>
  <c r="I2111" i="115"/>
  <c r="H2111" i="115"/>
  <c r="G2111" i="115"/>
  <c r="F2111" i="115"/>
  <c r="E2111" i="115"/>
  <c r="A2111" i="115"/>
  <c r="K2110" i="115"/>
  <c r="I2110" i="115"/>
  <c r="H2110" i="115"/>
  <c r="G2110" i="115"/>
  <c r="F2110" i="115"/>
  <c r="E2110" i="115"/>
  <c r="A2110" i="115"/>
  <c r="K2109" i="115"/>
  <c r="I2109" i="115"/>
  <c r="H2109" i="115"/>
  <c r="G2109" i="115"/>
  <c r="F2109" i="115"/>
  <c r="E2109" i="115"/>
  <c r="A2109" i="115"/>
  <c r="K2108" i="115"/>
  <c r="I2108" i="115"/>
  <c r="H2108" i="115"/>
  <c r="G2108" i="115"/>
  <c r="F2108" i="115"/>
  <c r="E2108" i="115"/>
  <c r="A2108" i="115"/>
  <c r="K2107" i="115"/>
  <c r="I2107" i="115"/>
  <c r="H2107" i="115"/>
  <c r="G2107" i="115"/>
  <c r="F2107" i="115"/>
  <c r="E2107" i="115"/>
  <c r="A2107" i="115"/>
  <c r="K2106" i="115"/>
  <c r="I2106" i="115"/>
  <c r="H2106" i="115"/>
  <c r="G2106" i="115"/>
  <c r="F2106" i="115"/>
  <c r="E2106" i="115"/>
  <c r="A2106" i="115"/>
  <c r="K2105" i="115"/>
  <c r="I2105" i="115"/>
  <c r="H2105" i="115"/>
  <c r="G2105" i="115"/>
  <c r="F2105" i="115"/>
  <c r="E2105" i="115"/>
  <c r="A2105" i="115"/>
  <c r="K2104" i="115"/>
  <c r="I2104" i="115"/>
  <c r="H2104" i="115"/>
  <c r="G2104" i="115"/>
  <c r="F2104" i="115"/>
  <c r="E2104" i="115"/>
  <c r="A2104" i="115"/>
  <c r="K2103" i="115"/>
  <c r="I2103" i="115"/>
  <c r="H2103" i="115"/>
  <c r="G2103" i="115"/>
  <c r="F2103" i="115"/>
  <c r="E2103" i="115"/>
  <c r="A2103" i="115"/>
  <c r="K2102" i="115"/>
  <c r="I2102" i="115"/>
  <c r="H2102" i="115"/>
  <c r="G2102" i="115"/>
  <c r="F2102" i="115"/>
  <c r="E2102" i="115"/>
  <c r="A2102" i="115"/>
  <c r="K2101" i="115"/>
  <c r="I2101" i="115"/>
  <c r="H2101" i="115"/>
  <c r="G2101" i="115"/>
  <c r="F2101" i="115"/>
  <c r="E2101" i="115"/>
  <c r="A2101" i="115"/>
  <c r="K2100" i="115"/>
  <c r="I2100" i="115"/>
  <c r="H2100" i="115"/>
  <c r="G2100" i="115"/>
  <c r="F2100" i="115"/>
  <c r="E2100" i="115"/>
  <c r="A2100" i="115"/>
  <c r="K2099" i="115"/>
  <c r="I2099" i="115"/>
  <c r="H2099" i="115"/>
  <c r="G2099" i="115"/>
  <c r="F2099" i="115"/>
  <c r="E2099" i="115"/>
  <c r="A2099" i="115"/>
  <c r="K2098" i="115"/>
  <c r="I2098" i="115"/>
  <c r="H2098" i="115"/>
  <c r="G2098" i="115"/>
  <c r="F2098" i="115"/>
  <c r="E2098" i="115"/>
  <c r="A2098" i="115"/>
  <c r="K2097" i="115"/>
  <c r="I2097" i="115"/>
  <c r="H2097" i="115"/>
  <c r="G2097" i="115"/>
  <c r="F2097" i="115"/>
  <c r="E2097" i="115"/>
  <c r="A2097" i="115"/>
  <c r="K2096" i="115"/>
  <c r="I2096" i="115"/>
  <c r="H2096" i="115"/>
  <c r="G2096" i="115"/>
  <c r="F2096" i="115"/>
  <c r="E2096" i="115"/>
  <c r="A2096" i="115"/>
  <c r="K2095" i="115"/>
  <c r="I2095" i="115"/>
  <c r="H2095" i="115"/>
  <c r="G2095" i="115"/>
  <c r="F2095" i="115"/>
  <c r="E2095" i="115"/>
  <c r="A2095" i="115"/>
  <c r="K2094" i="115"/>
  <c r="I2094" i="115"/>
  <c r="H2094" i="115"/>
  <c r="G2094" i="115"/>
  <c r="F2094" i="115"/>
  <c r="E2094" i="115"/>
  <c r="A2094" i="115"/>
  <c r="K2093" i="115"/>
  <c r="I2093" i="115"/>
  <c r="H2093" i="115"/>
  <c r="G2093" i="115"/>
  <c r="F2093" i="115"/>
  <c r="E2093" i="115"/>
  <c r="A2093" i="115"/>
  <c r="K2092" i="115"/>
  <c r="I2092" i="115"/>
  <c r="H2092" i="115"/>
  <c r="G2092" i="115"/>
  <c r="F2092" i="115"/>
  <c r="E2092" i="115"/>
  <c r="A2092" i="115"/>
  <c r="K2091" i="115"/>
  <c r="I2091" i="115"/>
  <c r="H2091" i="115"/>
  <c r="G2091" i="115"/>
  <c r="F2091" i="115"/>
  <c r="E2091" i="115"/>
  <c r="A2091" i="115"/>
  <c r="K2090" i="115"/>
  <c r="I2090" i="115"/>
  <c r="H2090" i="115"/>
  <c r="G2090" i="115"/>
  <c r="F2090" i="115"/>
  <c r="E2090" i="115"/>
  <c r="A2090" i="115"/>
  <c r="K2089" i="115"/>
  <c r="I2089" i="115"/>
  <c r="H2089" i="115"/>
  <c r="G2089" i="115"/>
  <c r="F2089" i="115"/>
  <c r="E2089" i="115"/>
  <c r="A2089" i="115"/>
  <c r="K2088" i="115"/>
  <c r="I2088" i="115"/>
  <c r="H2088" i="115"/>
  <c r="G2088" i="115"/>
  <c r="F2088" i="115"/>
  <c r="E2088" i="115"/>
  <c r="A2088" i="115"/>
  <c r="K2087" i="115"/>
  <c r="I2087" i="115"/>
  <c r="H2087" i="115"/>
  <c r="G2087" i="115"/>
  <c r="F2087" i="115"/>
  <c r="E2087" i="115"/>
  <c r="A2087" i="115"/>
  <c r="K2086" i="115"/>
  <c r="I2086" i="115"/>
  <c r="H2086" i="115"/>
  <c r="G2086" i="115"/>
  <c r="F2086" i="115"/>
  <c r="E2086" i="115"/>
  <c r="A2086" i="115"/>
  <c r="K2085" i="115"/>
  <c r="I2085" i="115"/>
  <c r="H2085" i="115"/>
  <c r="G2085" i="115"/>
  <c r="F2085" i="115"/>
  <c r="E2085" i="115"/>
  <c r="A2085" i="115"/>
  <c r="K2084" i="115"/>
  <c r="I2084" i="115"/>
  <c r="H2084" i="115"/>
  <c r="G2084" i="115"/>
  <c r="F2084" i="115"/>
  <c r="E2084" i="115"/>
  <c r="A2084" i="115"/>
  <c r="K2083" i="115"/>
  <c r="I2083" i="115"/>
  <c r="H2083" i="115"/>
  <c r="G2083" i="115"/>
  <c r="F2083" i="115"/>
  <c r="E2083" i="115"/>
  <c r="A2083" i="115"/>
  <c r="K2082" i="115"/>
  <c r="I2082" i="115"/>
  <c r="H2082" i="115"/>
  <c r="G2082" i="115"/>
  <c r="F2082" i="115"/>
  <c r="E2082" i="115"/>
  <c r="A2082" i="115"/>
  <c r="K2081" i="115"/>
  <c r="I2081" i="115"/>
  <c r="H2081" i="115"/>
  <c r="G2081" i="115"/>
  <c r="F2081" i="115"/>
  <c r="E2081" i="115"/>
  <c r="A2081" i="115"/>
  <c r="K2080" i="115"/>
  <c r="I2080" i="115"/>
  <c r="H2080" i="115"/>
  <c r="G2080" i="115"/>
  <c r="F2080" i="115"/>
  <c r="E2080" i="115"/>
  <c r="A2080" i="115"/>
  <c r="K2079" i="115"/>
  <c r="I2079" i="115"/>
  <c r="H2079" i="115"/>
  <c r="G2079" i="115"/>
  <c r="F2079" i="115"/>
  <c r="E2079" i="115"/>
  <c r="A2079" i="115"/>
  <c r="K2078" i="115"/>
  <c r="I2078" i="115"/>
  <c r="H2078" i="115"/>
  <c r="G2078" i="115"/>
  <c r="F2078" i="115"/>
  <c r="E2078" i="115"/>
  <c r="A2078" i="115"/>
  <c r="K2077" i="115"/>
  <c r="I2077" i="115"/>
  <c r="H2077" i="115"/>
  <c r="G2077" i="115"/>
  <c r="F2077" i="115"/>
  <c r="E2077" i="115"/>
  <c r="A2077" i="115"/>
  <c r="K2076" i="115"/>
  <c r="I2076" i="115"/>
  <c r="H2076" i="115"/>
  <c r="G2076" i="115"/>
  <c r="F2076" i="115"/>
  <c r="E2076" i="115"/>
  <c r="A2076" i="115"/>
  <c r="K2075" i="115"/>
  <c r="I2075" i="115"/>
  <c r="H2075" i="115"/>
  <c r="G2075" i="115"/>
  <c r="F2075" i="115"/>
  <c r="E2075" i="115"/>
  <c r="A2075" i="115"/>
  <c r="K2074" i="115"/>
  <c r="I2074" i="115"/>
  <c r="H2074" i="115"/>
  <c r="G2074" i="115"/>
  <c r="F2074" i="115"/>
  <c r="E2074" i="115"/>
  <c r="A2074" i="115"/>
  <c r="K2073" i="115"/>
  <c r="I2073" i="115"/>
  <c r="H2073" i="115"/>
  <c r="G2073" i="115"/>
  <c r="F2073" i="115"/>
  <c r="E2073" i="115"/>
  <c r="A2073" i="115"/>
  <c r="K2072" i="115"/>
  <c r="I2072" i="115"/>
  <c r="H2072" i="115"/>
  <c r="G2072" i="115"/>
  <c r="F2072" i="115"/>
  <c r="E2072" i="115"/>
  <c r="A2072" i="115"/>
  <c r="K2071" i="115"/>
  <c r="I2071" i="115"/>
  <c r="H2071" i="115"/>
  <c r="G2071" i="115"/>
  <c r="F2071" i="115"/>
  <c r="E2071" i="115"/>
  <c r="A2071" i="115"/>
  <c r="K2070" i="115"/>
  <c r="I2070" i="115"/>
  <c r="H2070" i="115"/>
  <c r="G2070" i="115"/>
  <c r="F2070" i="115"/>
  <c r="E2070" i="115"/>
  <c r="A2070" i="115"/>
  <c r="K2069" i="115"/>
  <c r="I2069" i="115"/>
  <c r="H2069" i="115"/>
  <c r="G2069" i="115"/>
  <c r="F2069" i="115"/>
  <c r="E2069" i="115"/>
  <c r="A2069" i="115"/>
  <c r="K2068" i="115"/>
  <c r="I2068" i="115"/>
  <c r="H2068" i="115"/>
  <c r="G2068" i="115"/>
  <c r="F2068" i="115"/>
  <c r="E2068" i="115"/>
  <c r="A2068" i="115"/>
  <c r="K2067" i="115"/>
  <c r="I2067" i="115"/>
  <c r="H2067" i="115"/>
  <c r="G2067" i="115"/>
  <c r="F2067" i="115"/>
  <c r="E2067" i="115"/>
  <c r="A2067" i="115"/>
  <c r="K2066" i="115"/>
  <c r="I2066" i="115"/>
  <c r="H2066" i="115"/>
  <c r="G2066" i="115"/>
  <c r="F2066" i="115"/>
  <c r="E2066" i="115"/>
  <c r="A2066" i="115"/>
  <c r="K2065" i="115"/>
  <c r="I2065" i="115"/>
  <c r="H2065" i="115"/>
  <c r="G2065" i="115"/>
  <c r="F2065" i="115"/>
  <c r="E2065" i="115"/>
  <c r="A2065" i="115"/>
  <c r="K2064" i="115"/>
  <c r="I2064" i="115"/>
  <c r="H2064" i="115"/>
  <c r="G2064" i="115"/>
  <c r="F2064" i="115"/>
  <c r="E2064" i="115"/>
  <c r="A2064" i="115"/>
  <c r="K2063" i="115"/>
  <c r="I2063" i="115"/>
  <c r="H2063" i="115"/>
  <c r="G2063" i="115"/>
  <c r="F2063" i="115"/>
  <c r="E2063" i="115"/>
  <c r="A2063" i="115"/>
  <c r="K2062" i="115"/>
  <c r="I2062" i="115"/>
  <c r="H2062" i="115"/>
  <c r="G2062" i="115"/>
  <c r="F2062" i="115"/>
  <c r="E2062" i="115"/>
  <c r="A2062" i="115"/>
  <c r="K2061" i="115"/>
  <c r="I2061" i="115"/>
  <c r="H2061" i="115"/>
  <c r="G2061" i="115"/>
  <c r="F2061" i="115"/>
  <c r="E2061" i="115"/>
  <c r="A2061" i="115"/>
  <c r="K2060" i="115"/>
  <c r="I2060" i="115"/>
  <c r="H2060" i="115"/>
  <c r="G2060" i="115"/>
  <c r="F2060" i="115"/>
  <c r="E2060" i="115"/>
  <c r="A2060" i="115"/>
  <c r="K2059" i="115"/>
  <c r="I2059" i="115"/>
  <c r="H2059" i="115"/>
  <c r="G2059" i="115"/>
  <c r="F2059" i="115"/>
  <c r="E2059" i="115"/>
  <c r="A2059" i="115"/>
  <c r="K2058" i="115"/>
  <c r="I2058" i="115"/>
  <c r="H2058" i="115"/>
  <c r="G2058" i="115"/>
  <c r="F2058" i="115"/>
  <c r="E2058" i="115"/>
  <c r="A2058" i="115"/>
  <c r="K2057" i="115"/>
  <c r="I2057" i="115"/>
  <c r="H2057" i="115"/>
  <c r="G2057" i="115"/>
  <c r="F2057" i="115"/>
  <c r="E2057" i="115"/>
  <c r="A2057" i="115"/>
  <c r="K2056" i="115"/>
  <c r="I2056" i="115"/>
  <c r="H2056" i="115"/>
  <c r="G2056" i="115"/>
  <c r="F2056" i="115"/>
  <c r="E2056" i="115"/>
  <c r="A2056" i="115"/>
  <c r="K2055" i="115"/>
  <c r="I2055" i="115"/>
  <c r="H2055" i="115"/>
  <c r="G2055" i="115"/>
  <c r="F2055" i="115"/>
  <c r="E2055" i="115"/>
  <c r="A2055" i="115"/>
  <c r="K2054" i="115"/>
  <c r="I2054" i="115"/>
  <c r="H2054" i="115"/>
  <c r="G2054" i="115"/>
  <c r="F2054" i="115"/>
  <c r="E2054" i="115"/>
  <c r="A2054" i="115"/>
  <c r="K2053" i="115"/>
  <c r="I2053" i="115"/>
  <c r="H2053" i="115"/>
  <c r="G2053" i="115"/>
  <c r="F2053" i="115"/>
  <c r="E2053" i="115"/>
  <c r="A2053" i="115"/>
  <c r="K2052" i="115"/>
  <c r="I2052" i="115"/>
  <c r="H2052" i="115"/>
  <c r="G2052" i="115"/>
  <c r="F2052" i="115"/>
  <c r="E2052" i="115"/>
  <c r="A2052" i="115"/>
  <c r="K2051" i="115"/>
  <c r="I2051" i="115"/>
  <c r="H2051" i="115"/>
  <c r="G2051" i="115"/>
  <c r="F2051" i="115"/>
  <c r="E2051" i="115"/>
  <c r="A2051" i="115"/>
  <c r="K2050" i="115"/>
  <c r="I2050" i="115"/>
  <c r="H2050" i="115"/>
  <c r="G2050" i="115"/>
  <c r="F2050" i="115"/>
  <c r="E2050" i="115"/>
  <c r="A2050" i="115"/>
  <c r="K2049" i="115"/>
  <c r="I2049" i="115"/>
  <c r="H2049" i="115"/>
  <c r="G2049" i="115"/>
  <c r="F2049" i="115"/>
  <c r="E2049" i="115"/>
  <c r="A2049" i="115"/>
  <c r="K2048" i="115"/>
  <c r="I2048" i="115"/>
  <c r="H2048" i="115"/>
  <c r="G2048" i="115"/>
  <c r="F2048" i="115"/>
  <c r="E2048" i="115"/>
  <c r="A2048" i="115"/>
  <c r="K2047" i="115"/>
  <c r="I2047" i="115"/>
  <c r="H2047" i="115"/>
  <c r="G2047" i="115"/>
  <c r="F2047" i="115"/>
  <c r="E2047" i="115"/>
  <c r="A2047" i="115"/>
  <c r="K2046" i="115"/>
  <c r="I2046" i="115"/>
  <c r="H2046" i="115"/>
  <c r="G2046" i="115"/>
  <c r="F2046" i="115"/>
  <c r="E2046" i="115"/>
  <c r="A2046" i="115"/>
  <c r="K2045" i="115"/>
  <c r="I2045" i="115"/>
  <c r="H2045" i="115"/>
  <c r="G2045" i="115"/>
  <c r="F2045" i="115"/>
  <c r="E2045" i="115"/>
  <c r="A2045" i="115"/>
  <c r="K2044" i="115"/>
  <c r="I2044" i="115"/>
  <c r="H2044" i="115"/>
  <c r="G2044" i="115"/>
  <c r="F2044" i="115"/>
  <c r="E2044" i="115"/>
  <c r="A2044" i="115"/>
  <c r="K2043" i="115"/>
  <c r="I2043" i="115"/>
  <c r="H2043" i="115"/>
  <c r="G2043" i="115"/>
  <c r="F2043" i="115"/>
  <c r="E2043" i="115"/>
  <c r="A2043" i="115"/>
  <c r="K2042" i="115"/>
  <c r="I2042" i="115"/>
  <c r="H2042" i="115"/>
  <c r="G2042" i="115"/>
  <c r="F2042" i="115"/>
  <c r="E2042" i="115"/>
  <c r="A2042" i="115"/>
  <c r="K2041" i="115"/>
  <c r="I2041" i="115"/>
  <c r="H2041" i="115"/>
  <c r="G2041" i="115"/>
  <c r="F2041" i="115"/>
  <c r="E2041" i="115"/>
  <c r="A2041" i="115"/>
  <c r="K2040" i="115"/>
  <c r="I2040" i="115"/>
  <c r="H2040" i="115"/>
  <c r="G2040" i="115"/>
  <c r="F2040" i="115"/>
  <c r="E2040" i="115"/>
  <c r="A2040" i="115"/>
  <c r="K2039" i="115"/>
  <c r="I2039" i="115"/>
  <c r="H2039" i="115"/>
  <c r="G2039" i="115"/>
  <c r="F2039" i="115"/>
  <c r="E2039" i="115"/>
  <c r="A2039" i="115"/>
  <c r="K2038" i="115"/>
  <c r="I2038" i="115"/>
  <c r="H2038" i="115"/>
  <c r="G2038" i="115"/>
  <c r="F2038" i="115"/>
  <c r="E2038" i="115"/>
  <c r="A2038" i="115"/>
  <c r="K2037" i="115"/>
  <c r="I2037" i="115"/>
  <c r="H2037" i="115"/>
  <c r="G2037" i="115"/>
  <c r="F2037" i="115"/>
  <c r="E2037" i="115"/>
  <c r="A2037" i="115"/>
  <c r="K2036" i="115"/>
  <c r="I2036" i="115"/>
  <c r="H2036" i="115"/>
  <c r="G2036" i="115"/>
  <c r="F2036" i="115"/>
  <c r="E2036" i="115"/>
  <c r="A2036" i="115"/>
  <c r="K2035" i="115"/>
  <c r="I2035" i="115"/>
  <c r="H2035" i="115"/>
  <c r="G2035" i="115"/>
  <c r="F2035" i="115"/>
  <c r="E2035" i="115"/>
  <c r="A2035" i="115"/>
  <c r="K2034" i="115"/>
  <c r="I2034" i="115"/>
  <c r="H2034" i="115"/>
  <c r="G2034" i="115"/>
  <c r="F2034" i="115"/>
  <c r="E2034" i="115"/>
  <c r="A2034" i="115"/>
  <c r="K2033" i="115"/>
  <c r="I2033" i="115"/>
  <c r="H2033" i="115"/>
  <c r="G2033" i="115"/>
  <c r="F2033" i="115"/>
  <c r="E2033" i="115"/>
  <c r="A2033" i="115"/>
  <c r="K2032" i="115"/>
  <c r="I2032" i="115"/>
  <c r="H2032" i="115"/>
  <c r="G2032" i="115"/>
  <c r="F2032" i="115"/>
  <c r="E2032" i="115"/>
  <c r="A2032" i="115"/>
  <c r="K2031" i="115"/>
  <c r="I2031" i="115"/>
  <c r="H2031" i="115"/>
  <c r="G2031" i="115"/>
  <c r="F2031" i="115"/>
  <c r="E2031" i="115"/>
  <c r="A2031" i="115"/>
  <c r="K2030" i="115"/>
  <c r="I2030" i="115"/>
  <c r="H2030" i="115"/>
  <c r="G2030" i="115"/>
  <c r="F2030" i="115"/>
  <c r="E2030" i="115"/>
  <c r="A2030" i="115"/>
  <c r="K2029" i="115"/>
  <c r="I2029" i="115"/>
  <c r="H2029" i="115"/>
  <c r="G2029" i="115"/>
  <c r="F2029" i="115"/>
  <c r="E2029" i="115"/>
  <c r="A2029" i="115"/>
  <c r="K2028" i="115"/>
  <c r="I2028" i="115"/>
  <c r="H2028" i="115"/>
  <c r="G2028" i="115"/>
  <c r="F2028" i="115"/>
  <c r="E2028" i="115"/>
  <c r="A2028" i="115"/>
  <c r="K2027" i="115"/>
  <c r="I2027" i="115"/>
  <c r="H2027" i="115"/>
  <c r="G2027" i="115"/>
  <c r="F2027" i="115"/>
  <c r="E2027" i="115"/>
  <c r="A2027" i="115"/>
  <c r="K2026" i="115"/>
  <c r="I2026" i="115"/>
  <c r="H2026" i="115"/>
  <c r="G2026" i="115"/>
  <c r="F2026" i="115"/>
  <c r="E2026" i="115"/>
  <c r="A2026" i="115"/>
  <c r="K2025" i="115"/>
  <c r="I2025" i="115"/>
  <c r="H2025" i="115"/>
  <c r="G2025" i="115"/>
  <c r="F2025" i="115"/>
  <c r="E2025" i="115"/>
  <c r="A2025" i="115"/>
  <c r="K2024" i="115"/>
  <c r="I2024" i="115"/>
  <c r="H2024" i="115"/>
  <c r="G2024" i="115"/>
  <c r="F2024" i="115"/>
  <c r="E2024" i="115"/>
  <c r="A2024" i="115"/>
  <c r="K2023" i="115"/>
  <c r="I2023" i="115"/>
  <c r="H2023" i="115"/>
  <c r="G2023" i="115"/>
  <c r="F2023" i="115"/>
  <c r="E2023" i="115"/>
  <c r="A2023" i="115"/>
  <c r="K2022" i="115"/>
  <c r="I2022" i="115"/>
  <c r="H2022" i="115"/>
  <c r="G2022" i="115"/>
  <c r="F2022" i="115"/>
  <c r="E2022" i="115"/>
  <c r="A2022" i="115"/>
  <c r="K2021" i="115"/>
  <c r="I2021" i="115"/>
  <c r="H2021" i="115"/>
  <c r="G2021" i="115"/>
  <c r="F2021" i="115"/>
  <c r="E2021" i="115"/>
  <c r="A2021" i="115"/>
  <c r="K2020" i="115"/>
  <c r="I2020" i="115"/>
  <c r="H2020" i="115"/>
  <c r="G2020" i="115"/>
  <c r="F2020" i="115"/>
  <c r="E2020" i="115"/>
  <c r="A2020" i="115"/>
  <c r="K2019" i="115"/>
  <c r="I2019" i="115"/>
  <c r="H2019" i="115"/>
  <c r="G2019" i="115"/>
  <c r="F2019" i="115"/>
  <c r="E2019" i="115"/>
  <c r="A2019" i="115"/>
  <c r="K2018" i="115"/>
  <c r="I2018" i="115"/>
  <c r="H2018" i="115"/>
  <c r="G2018" i="115"/>
  <c r="F2018" i="115"/>
  <c r="E2018" i="115"/>
  <c r="A2018" i="115"/>
  <c r="K2017" i="115"/>
  <c r="I2017" i="115"/>
  <c r="H2017" i="115"/>
  <c r="G2017" i="115"/>
  <c r="F2017" i="115"/>
  <c r="E2017" i="115"/>
  <c r="A2017" i="115"/>
  <c r="K2016" i="115"/>
  <c r="I2016" i="115"/>
  <c r="H2016" i="115"/>
  <c r="G2016" i="115"/>
  <c r="F2016" i="115"/>
  <c r="E2016" i="115"/>
  <c r="A2016" i="115"/>
  <c r="K2015" i="115"/>
  <c r="I2015" i="115"/>
  <c r="H2015" i="115"/>
  <c r="G2015" i="115"/>
  <c r="F2015" i="115"/>
  <c r="E2015" i="115"/>
  <c r="A2015" i="115"/>
  <c r="K2014" i="115"/>
  <c r="I2014" i="115"/>
  <c r="H2014" i="115"/>
  <c r="G2014" i="115"/>
  <c r="F2014" i="115"/>
  <c r="E2014" i="115"/>
  <c r="A2014" i="115"/>
  <c r="K2013" i="115"/>
  <c r="I2013" i="115"/>
  <c r="H2013" i="115"/>
  <c r="G2013" i="115"/>
  <c r="F2013" i="115"/>
  <c r="E2013" i="115"/>
  <c r="A2013" i="115"/>
  <c r="K2012" i="115"/>
  <c r="I2012" i="115"/>
  <c r="H2012" i="115"/>
  <c r="G2012" i="115"/>
  <c r="F2012" i="115"/>
  <c r="E2012" i="115"/>
  <c r="A2012" i="115"/>
  <c r="K2011" i="115"/>
  <c r="I2011" i="115"/>
  <c r="H2011" i="115"/>
  <c r="G2011" i="115"/>
  <c r="F2011" i="115"/>
  <c r="E2011" i="115"/>
  <c r="A2011" i="115"/>
  <c r="K2010" i="115"/>
  <c r="I2010" i="115"/>
  <c r="H2010" i="115"/>
  <c r="G2010" i="115"/>
  <c r="F2010" i="115"/>
  <c r="E2010" i="115"/>
  <c r="A2010" i="115"/>
  <c r="K2009" i="115"/>
  <c r="I2009" i="115"/>
  <c r="H2009" i="115"/>
  <c r="G2009" i="115"/>
  <c r="F2009" i="115"/>
  <c r="E2009" i="115"/>
  <c r="A2009" i="115"/>
  <c r="K2008" i="115"/>
  <c r="I2008" i="115"/>
  <c r="H2008" i="115"/>
  <c r="G2008" i="115"/>
  <c r="F2008" i="115"/>
  <c r="E2008" i="115"/>
  <c r="A2008" i="115"/>
  <c r="K2007" i="115"/>
  <c r="I2007" i="115"/>
  <c r="H2007" i="115"/>
  <c r="G2007" i="115"/>
  <c r="F2007" i="115"/>
  <c r="E2007" i="115"/>
  <c r="A2007" i="115"/>
  <c r="K2006" i="115"/>
  <c r="I2006" i="115"/>
  <c r="H2006" i="115"/>
  <c r="G2006" i="115"/>
  <c r="F2006" i="115"/>
  <c r="E2006" i="115"/>
  <c r="A2006" i="115"/>
  <c r="K2005" i="115"/>
  <c r="I2005" i="115"/>
  <c r="H2005" i="115"/>
  <c r="G2005" i="115"/>
  <c r="F2005" i="115"/>
  <c r="E2005" i="115"/>
  <c r="A2005" i="115"/>
  <c r="K2004" i="115"/>
  <c r="I2004" i="115"/>
  <c r="H2004" i="115"/>
  <c r="G2004" i="115"/>
  <c r="F2004" i="115"/>
  <c r="E2004" i="115"/>
  <c r="A2004" i="115"/>
  <c r="K2003" i="115"/>
  <c r="I2003" i="115"/>
  <c r="H2003" i="115"/>
  <c r="G2003" i="115"/>
  <c r="F2003" i="115"/>
  <c r="E2003" i="115"/>
  <c r="A2003" i="115"/>
  <c r="K2002" i="115"/>
  <c r="I2002" i="115"/>
  <c r="H2002" i="115"/>
  <c r="G2002" i="115"/>
  <c r="F2002" i="115"/>
  <c r="E2002" i="115"/>
  <c r="A2002" i="115"/>
  <c r="K2001" i="115"/>
  <c r="I2001" i="115"/>
  <c r="H2001" i="115"/>
  <c r="G2001" i="115"/>
  <c r="F2001" i="115"/>
  <c r="E2001" i="115"/>
  <c r="A2001" i="115"/>
  <c r="K2000" i="115"/>
  <c r="I2000" i="115"/>
  <c r="H2000" i="115"/>
  <c r="G2000" i="115"/>
  <c r="F2000" i="115"/>
  <c r="E2000" i="115"/>
  <c r="A2000" i="115"/>
  <c r="K1999" i="115"/>
  <c r="I1999" i="115"/>
  <c r="H1999" i="115"/>
  <c r="G1999" i="115"/>
  <c r="F1999" i="115"/>
  <c r="E1999" i="115"/>
  <c r="A1999" i="115"/>
  <c r="K1998" i="115"/>
  <c r="I1998" i="115"/>
  <c r="H1998" i="115"/>
  <c r="G1998" i="115"/>
  <c r="F1998" i="115"/>
  <c r="E1998" i="115"/>
  <c r="A1998" i="115"/>
  <c r="K1997" i="115"/>
  <c r="I1997" i="115"/>
  <c r="H1997" i="115"/>
  <c r="G1997" i="115"/>
  <c r="F1997" i="115"/>
  <c r="E1997" i="115"/>
  <c r="A1997" i="115"/>
  <c r="K1996" i="115"/>
  <c r="I1996" i="115"/>
  <c r="H1996" i="115"/>
  <c r="G1996" i="115"/>
  <c r="F1996" i="115"/>
  <c r="E1996" i="115"/>
  <c r="A1996" i="115"/>
  <c r="K1995" i="115"/>
  <c r="I1995" i="115"/>
  <c r="H1995" i="115"/>
  <c r="G1995" i="115"/>
  <c r="F1995" i="115"/>
  <c r="E1995" i="115"/>
  <c r="A1995" i="115"/>
  <c r="K1994" i="115"/>
  <c r="I1994" i="115"/>
  <c r="H1994" i="115"/>
  <c r="G1994" i="115"/>
  <c r="F1994" i="115"/>
  <c r="E1994" i="115"/>
  <c r="A1994" i="115"/>
  <c r="K1993" i="115"/>
  <c r="I1993" i="115"/>
  <c r="H1993" i="115"/>
  <c r="G1993" i="115"/>
  <c r="F1993" i="115"/>
  <c r="E1993" i="115"/>
  <c r="A1993" i="115"/>
  <c r="K1992" i="115"/>
  <c r="I1992" i="115"/>
  <c r="H1992" i="115"/>
  <c r="G1992" i="115"/>
  <c r="F1992" i="115"/>
  <c r="E1992" i="115"/>
  <c r="A1992" i="115"/>
  <c r="K1991" i="115"/>
  <c r="I1991" i="115"/>
  <c r="H1991" i="115"/>
  <c r="G1991" i="115"/>
  <c r="F1991" i="115"/>
  <c r="E1991" i="115"/>
  <c r="A1991" i="115"/>
  <c r="K1990" i="115"/>
  <c r="I1990" i="115"/>
  <c r="H1990" i="115"/>
  <c r="G1990" i="115"/>
  <c r="F1990" i="115"/>
  <c r="E1990" i="115"/>
  <c r="A1990" i="115"/>
  <c r="K1989" i="115"/>
  <c r="I1989" i="115"/>
  <c r="H1989" i="115"/>
  <c r="G1989" i="115"/>
  <c r="F1989" i="115"/>
  <c r="E1989" i="115"/>
  <c r="A1989" i="115"/>
  <c r="K1988" i="115"/>
  <c r="I1988" i="115"/>
  <c r="H1988" i="115"/>
  <c r="G1988" i="115"/>
  <c r="F1988" i="115"/>
  <c r="E1988" i="115"/>
  <c r="A1988" i="115"/>
  <c r="K1987" i="115"/>
  <c r="I1987" i="115"/>
  <c r="H1987" i="115"/>
  <c r="G1987" i="115"/>
  <c r="F1987" i="115"/>
  <c r="E1987" i="115"/>
  <c r="A1987" i="115"/>
  <c r="K1986" i="115"/>
  <c r="I1986" i="115"/>
  <c r="H1986" i="115"/>
  <c r="G1986" i="115"/>
  <c r="F1986" i="115"/>
  <c r="E1986" i="115"/>
  <c r="A1986" i="115"/>
  <c r="K1985" i="115"/>
  <c r="I1985" i="115"/>
  <c r="H1985" i="115"/>
  <c r="G1985" i="115"/>
  <c r="F1985" i="115"/>
  <c r="E1985" i="115"/>
  <c r="A1985" i="115"/>
  <c r="K1984" i="115"/>
  <c r="I1984" i="115"/>
  <c r="H1984" i="115"/>
  <c r="G1984" i="115"/>
  <c r="F1984" i="115"/>
  <c r="E1984" i="115"/>
  <c r="A1984" i="115"/>
  <c r="K1983" i="115"/>
  <c r="I1983" i="115"/>
  <c r="H1983" i="115"/>
  <c r="G1983" i="115"/>
  <c r="F1983" i="115"/>
  <c r="E1983" i="115"/>
  <c r="A1983" i="115"/>
  <c r="K1982" i="115"/>
  <c r="I1982" i="115"/>
  <c r="H1982" i="115"/>
  <c r="G1982" i="115"/>
  <c r="F1982" i="115"/>
  <c r="E1982" i="115"/>
  <c r="A1982" i="115"/>
  <c r="K1981" i="115"/>
  <c r="I1981" i="115"/>
  <c r="H1981" i="115"/>
  <c r="G1981" i="115"/>
  <c r="F1981" i="115"/>
  <c r="E1981" i="115"/>
  <c r="A1981" i="115"/>
  <c r="K1980" i="115"/>
  <c r="I1980" i="115"/>
  <c r="H1980" i="115"/>
  <c r="G1980" i="115"/>
  <c r="F1980" i="115"/>
  <c r="E1980" i="115"/>
  <c r="A1980" i="115"/>
  <c r="K1979" i="115"/>
  <c r="I1979" i="115"/>
  <c r="H1979" i="115"/>
  <c r="G1979" i="115"/>
  <c r="F1979" i="115"/>
  <c r="E1979" i="115"/>
  <c r="A1979" i="115"/>
  <c r="K1978" i="115"/>
  <c r="I1978" i="115"/>
  <c r="H1978" i="115"/>
  <c r="G1978" i="115"/>
  <c r="F1978" i="115"/>
  <c r="E1978" i="115"/>
  <c r="A1978" i="115"/>
  <c r="K1977" i="115"/>
  <c r="I1977" i="115"/>
  <c r="H1977" i="115"/>
  <c r="G1977" i="115"/>
  <c r="F1977" i="115"/>
  <c r="E1977" i="115"/>
  <c r="A1977" i="115"/>
  <c r="K1976" i="115"/>
  <c r="I1976" i="115"/>
  <c r="H1976" i="115"/>
  <c r="G1976" i="115"/>
  <c r="F1976" i="115"/>
  <c r="E1976" i="115"/>
  <c r="A1976" i="115"/>
  <c r="K1975" i="115"/>
  <c r="I1975" i="115"/>
  <c r="H1975" i="115"/>
  <c r="G1975" i="115"/>
  <c r="F1975" i="115"/>
  <c r="E1975" i="115"/>
  <c r="A1975" i="115"/>
  <c r="K1974" i="115"/>
  <c r="I1974" i="115"/>
  <c r="H1974" i="115"/>
  <c r="G1974" i="115"/>
  <c r="F1974" i="115"/>
  <c r="E1974" i="115"/>
  <c r="A1974" i="115"/>
  <c r="K1973" i="115"/>
  <c r="I1973" i="115"/>
  <c r="H1973" i="115"/>
  <c r="G1973" i="115"/>
  <c r="F1973" i="115"/>
  <c r="E1973" i="115"/>
  <c r="A1973" i="115"/>
  <c r="K1972" i="115"/>
  <c r="I1972" i="115"/>
  <c r="H1972" i="115"/>
  <c r="G1972" i="115"/>
  <c r="F1972" i="115"/>
  <c r="E1972" i="115"/>
  <c r="A1972" i="115"/>
  <c r="K1971" i="115"/>
  <c r="I1971" i="115"/>
  <c r="H1971" i="115"/>
  <c r="G1971" i="115"/>
  <c r="F1971" i="115"/>
  <c r="E1971" i="115"/>
  <c r="A1971" i="115"/>
  <c r="K1970" i="115"/>
  <c r="I1970" i="115"/>
  <c r="H1970" i="115"/>
  <c r="G1970" i="115"/>
  <c r="F1970" i="115"/>
  <c r="E1970" i="115"/>
  <c r="A1970" i="115"/>
  <c r="K1969" i="115"/>
  <c r="I1969" i="115"/>
  <c r="H1969" i="115"/>
  <c r="G1969" i="115"/>
  <c r="F1969" i="115"/>
  <c r="E1969" i="115"/>
  <c r="A1969" i="115"/>
  <c r="K1968" i="115"/>
  <c r="I1968" i="115"/>
  <c r="H1968" i="115"/>
  <c r="G1968" i="115"/>
  <c r="F1968" i="115"/>
  <c r="E1968" i="115"/>
  <c r="A1968" i="115"/>
  <c r="K1967" i="115"/>
  <c r="I1967" i="115"/>
  <c r="H1967" i="115"/>
  <c r="G1967" i="115"/>
  <c r="F1967" i="115"/>
  <c r="E1967" i="115"/>
  <c r="A1967" i="115"/>
  <c r="K1966" i="115"/>
  <c r="I1966" i="115"/>
  <c r="H1966" i="115"/>
  <c r="G1966" i="115"/>
  <c r="F1966" i="115"/>
  <c r="E1966" i="115"/>
  <c r="A1966" i="115"/>
  <c r="K1965" i="115"/>
  <c r="I1965" i="115"/>
  <c r="H1965" i="115"/>
  <c r="G1965" i="115"/>
  <c r="F1965" i="115"/>
  <c r="E1965" i="115"/>
  <c r="A1965" i="115"/>
  <c r="K1964" i="115"/>
  <c r="I1964" i="115"/>
  <c r="H1964" i="115"/>
  <c r="G1964" i="115"/>
  <c r="F1964" i="115"/>
  <c r="E1964" i="115"/>
  <c r="A1964" i="115"/>
  <c r="K1963" i="115"/>
  <c r="I1963" i="115"/>
  <c r="H1963" i="115"/>
  <c r="G1963" i="115"/>
  <c r="F1963" i="115"/>
  <c r="E1963" i="115"/>
  <c r="A1963" i="115"/>
  <c r="K1962" i="115"/>
  <c r="I1962" i="115"/>
  <c r="H1962" i="115"/>
  <c r="G1962" i="115"/>
  <c r="F1962" i="115"/>
  <c r="E1962" i="115"/>
  <c r="A1962" i="115"/>
  <c r="K1961" i="115"/>
  <c r="I1961" i="115"/>
  <c r="H1961" i="115"/>
  <c r="G1961" i="115"/>
  <c r="F1961" i="115"/>
  <c r="E1961" i="115"/>
  <c r="A1961" i="115"/>
  <c r="K1960" i="115"/>
  <c r="I1960" i="115"/>
  <c r="H1960" i="115"/>
  <c r="G1960" i="115"/>
  <c r="F1960" i="115"/>
  <c r="E1960" i="115"/>
  <c r="A1960" i="115"/>
  <c r="K1959" i="115"/>
  <c r="I1959" i="115"/>
  <c r="H1959" i="115"/>
  <c r="G1959" i="115"/>
  <c r="F1959" i="115"/>
  <c r="E1959" i="115"/>
  <c r="A1959" i="115"/>
  <c r="K1958" i="115"/>
  <c r="I1958" i="115"/>
  <c r="H1958" i="115"/>
  <c r="G1958" i="115"/>
  <c r="F1958" i="115"/>
  <c r="E1958" i="115"/>
  <c r="A1958" i="115"/>
  <c r="K1957" i="115"/>
  <c r="I1957" i="115"/>
  <c r="H1957" i="115"/>
  <c r="G1957" i="115"/>
  <c r="F1957" i="115"/>
  <c r="E1957" i="115"/>
  <c r="A1957" i="115"/>
  <c r="K1956" i="115"/>
  <c r="I1956" i="115"/>
  <c r="H1956" i="115"/>
  <c r="G1956" i="115"/>
  <c r="F1956" i="115"/>
  <c r="E1956" i="115"/>
  <c r="A1956" i="115"/>
  <c r="K1955" i="115"/>
  <c r="I1955" i="115"/>
  <c r="H1955" i="115"/>
  <c r="G1955" i="115"/>
  <c r="F1955" i="115"/>
  <c r="E1955" i="115"/>
  <c r="A1955" i="115"/>
  <c r="K1954" i="115"/>
  <c r="I1954" i="115"/>
  <c r="H1954" i="115"/>
  <c r="G1954" i="115"/>
  <c r="F1954" i="115"/>
  <c r="E1954" i="115"/>
  <c r="A1954" i="115"/>
  <c r="K1953" i="115"/>
  <c r="I1953" i="115"/>
  <c r="H1953" i="115"/>
  <c r="G1953" i="115"/>
  <c r="F1953" i="115"/>
  <c r="E1953" i="115"/>
  <c r="A1953" i="115"/>
  <c r="K1952" i="115"/>
  <c r="I1952" i="115"/>
  <c r="H1952" i="115"/>
  <c r="G1952" i="115"/>
  <c r="F1952" i="115"/>
  <c r="E1952" i="115"/>
  <c r="A1952" i="115"/>
  <c r="K1951" i="115"/>
  <c r="I1951" i="115"/>
  <c r="H1951" i="115"/>
  <c r="G1951" i="115"/>
  <c r="F1951" i="115"/>
  <c r="E1951" i="115"/>
  <c r="A1951" i="115"/>
  <c r="K1950" i="115"/>
  <c r="I1950" i="115"/>
  <c r="H1950" i="115"/>
  <c r="G1950" i="115"/>
  <c r="F1950" i="115"/>
  <c r="E1950" i="115"/>
  <c r="A1950" i="115"/>
  <c r="K1949" i="115"/>
  <c r="I1949" i="115"/>
  <c r="H1949" i="115"/>
  <c r="G1949" i="115"/>
  <c r="F1949" i="115"/>
  <c r="E1949" i="115"/>
  <c r="A1949" i="115"/>
  <c r="K1948" i="115"/>
  <c r="I1948" i="115"/>
  <c r="H1948" i="115"/>
  <c r="G1948" i="115"/>
  <c r="F1948" i="115"/>
  <c r="E1948" i="115"/>
  <c r="A1948" i="115"/>
  <c r="K1947" i="115"/>
  <c r="I1947" i="115"/>
  <c r="H1947" i="115"/>
  <c r="G1947" i="115"/>
  <c r="F1947" i="115"/>
  <c r="E1947" i="115"/>
  <c r="A1947" i="115"/>
  <c r="K1946" i="115"/>
  <c r="I1946" i="115"/>
  <c r="H1946" i="115"/>
  <c r="G1946" i="115"/>
  <c r="F1946" i="115"/>
  <c r="E1946" i="115"/>
  <c r="A1946" i="115"/>
  <c r="K1945" i="115"/>
  <c r="I1945" i="115"/>
  <c r="H1945" i="115"/>
  <c r="G1945" i="115"/>
  <c r="F1945" i="115"/>
  <c r="E1945" i="115"/>
  <c r="A1945" i="115"/>
  <c r="K1944" i="115"/>
  <c r="I1944" i="115"/>
  <c r="H1944" i="115"/>
  <c r="G1944" i="115"/>
  <c r="F1944" i="115"/>
  <c r="E1944" i="115"/>
  <c r="A1944" i="115"/>
  <c r="K1943" i="115"/>
  <c r="I1943" i="115"/>
  <c r="H1943" i="115"/>
  <c r="G1943" i="115"/>
  <c r="F1943" i="115"/>
  <c r="E1943" i="115"/>
  <c r="A1943" i="115"/>
  <c r="K1942" i="115"/>
  <c r="I1942" i="115"/>
  <c r="H1942" i="115"/>
  <c r="G1942" i="115"/>
  <c r="F1942" i="115"/>
  <c r="E1942" i="115"/>
  <c r="A1942" i="115"/>
  <c r="K1941" i="115"/>
  <c r="I1941" i="115"/>
  <c r="H1941" i="115"/>
  <c r="G1941" i="115"/>
  <c r="F1941" i="115"/>
  <c r="E1941" i="115"/>
  <c r="A1941" i="115"/>
  <c r="K1940" i="115"/>
  <c r="I1940" i="115"/>
  <c r="H1940" i="115"/>
  <c r="G1940" i="115"/>
  <c r="F1940" i="115"/>
  <c r="E1940" i="115"/>
  <c r="A1940" i="115"/>
  <c r="K1939" i="115"/>
  <c r="I1939" i="115"/>
  <c r="H1939" i="115"/>
  <c r="G1939" i="115"/>
  <c r="F1939" i="115"/>
  <c r="E1939" i="115"/>
  <c r="A1939" i="115"/>
  <c r="K1938" i="115"/>
  <c r="I1938" i="115"/>
  <c r="H1938" i="115"/>
  <c r="G1938" i="115"/>
  <c r="F1938" i="115"/>
  <c r="E1938" i="115"/>
  <c r="A1938" i="115"/>
  <c r="K1937" i="115"/>
  <c r="I1937" i="115"/>
  <c r="H1937" i="115"/>
  <c r="G1937" i="115"/>
  <c r="F1937" i="115"/>
  <c r="E1937" i="115"/>
  <c r="A1937" i="115"/>
  <c r="K1936" i="115"/>
  <c r="I1936" i="115"/>
  <c r="H1936" i="115"/>
  <c r="G1936" i="115"/>
  <c r="F1936" i="115"/>
  <c r="E1936" i="115"/>
  <c r="A1936" i="115"/>
  <c r="K1935" i="115"/>
  <c r="I1935" i="115"/>
  <c r="H1935" i="115"/>
  <c r="G1935" i="115"/>
  <c r="F1935" i="115"/>
  <c r="E1935" i="115"/>
  <c r="A1935" i="115"/>
  <c r="K1934" i="115"/>
  <c r="I1934" i="115"/>
  <c r="H1934" i="115"/>
  <c r="G1934" i="115"/>
  <c r="F1934" i="115"/>
  <c r="E1934" i="115"/>
  <c r="A1934" i="115"/>
  <c r="K1933" i="115"/>
  <c r="I1933" i="115"/>
  <c r="H1933" i="115"/>
  <c r="G1933" i="115"/>
  <c r="F1933" i="115"/>
  <c r="E1933" i="115"/>
  <c r="A1933" i="115"/>
  <c r="K1932" i="115"/>
  <c r="I1932" i="115"/>
  <c r="H1932" i="115"/>
  <c r="G1932" i="115"/>
  <c r="F1932" i="115"/>
  <c r="E1932" i="115"/>
  <c r="A1932" i="115"/>
  <c r="K1931" i="115"/>
  <c r="I1931" i="115"/>
  <c r="H1931" i="115"/>
  <c r="G1931" i="115"/>
  <c r="F1931" i="115"/>
  <c r="E1931" i="115"/>
  <c r="A1931" i="115"/>
  <c r="K1930" i="115"/>
  <c r="I1930" i="115"/>
  <c r="H1930" i="115"/>
  <c r="G1930" i="115"/>
  <c r="F1930" i="115"/>
  <c r="E1930" i="115"/>
  <c r="A1930" i="115"/>
  <c r="K1929" i="115"/>
  <c r="I1929" i="115"/>
  <c r="H1929" i="115"/>
  <c r="G1929" i="115"/>
  <c r="F1929" i="115"/>
  <c r="E1929" i="115"/>
  <c r="A1929" i="115"/>
  <c r="K1928" i="115"/>
  <c r="I1928" i="115"/>
  <c r="H1928" i="115"/>
  <c r="G1928" i="115"/>
  <c r="F1928" i="115"/>
  <c r="E1928" i="115"/>
  <c r="A1928" i="115"/>
  <c r="K1927" i="115"/>
  <c r="I1927" i="115"/>
  <c r="H1927" i="115"/>
  <c r="G1927" i="115"/>
  <c r="F1927" i="115"/>
  <c r="E1927" i="115"/>
  <c r="A1927" i="115"/>
  <c r="K1926" i="115"/>
  <c r="I1926" i="115"/>
  <c r="H1926" i="115"/>
  <c r="G1926" i="115"/>
  <c r="F1926" i="115"/>
  <c r="E1926" i="115"/>
  <c r="A1926" i="115"/>
  <c r="K1925" i="115"/>
  <c r="I1925" i="115"/>
  <c r="H1925" i="115"/>
  <c r="G1925" i="115"/>
  <c r="F1925" i="115"/>
  <c r="E1925" i="115"/>
  <c r="A1925" i="115"/>
  <c r="K1924" i="115"/>
  <c r="I1924" i="115"/>
  <c r="H1924" i="115"/>
  <c r="G1924" i="115"/>
  <c r="F1924" i="115"/>
  <c r="E1924" i="115"/>
  <c r="A1924" i="115"/>
  <c r="K1923" i="115"/>
  <c r="I1923" i="115"/>
  <c r="H1923" i="115"/>
  <c r="G1923" i="115"/>
  <c r="F1923" i="115"/>
  <c r="E1923" i="115"/>
  <c r="A1923" i="115"/>
  <c r="K1922" i="115"/>
  <c r="I1922" i="115"/>
  <c r="H1922" i="115"/>
  <c r="G1922" i="115"/>
  <c r="F1922" i="115"/>
  <c r="E1922" i="115"/>
  <c r="A1922" i="115"/>
  <c r="K1921" i="115"/>
  <c r="I1921" i="115"/>
  <c r="H1921" i="115"/>
  <c r="G1921" i="115"/>
  <c r="F1921" i="115"/>
  <c r="E1921" i="115"/>
  <c r="A1921" i="115"/>
  <c r="K1920" i="115"/>
  <c r="I1920" i="115"/>
  <c r="H1920" i="115"/>
  <c r="G1920" i="115"/>
  <c r="F1920" i="115"/>
  <c r="E1920" i="115"/>
  <c r="A1920" i="115"/>
  <c r="K1919" i="115"/>
  <c r="I1919" i="115"/>
  <c r="H1919" i="115"/>
  <c r="G1919" i="115"/>
  <c r="F1919" i="115"/>
  <c r="E1919" i="115"/>
  <c r="A1919" i="115"/>
  <c r="K1918" i="115"/>
  <c r="I1918" i="115"/>
  <c r="H1918" i="115"/>
  <c r="G1918" i="115"/>
  <c r="F1918" i="115"/>
  <c r="E1918" i="115"/>
  <c r="A1918" i="115"/>
  <c r="K1917" i="115"/>
  <c r="I1917" i="115"/>
  <c r="H1917" i="115"/>
  <c r="G1917" i="115"/>
  <c r="F1917" i="115"/>
  <c r="E1917" i="115"/>
  <c r="A1917" i="115"/>
  <c r="K1916" i="115"/>
  <c r="I1916" i="115"/>
  <c r="H1916" i="115"/>
  <c r="G1916" i="115"/>
  <c r="F1916" i="115"/>
  <c r="E1916" i="115"/>
  <c r="A1916" i="115"/>
  <c r="K1915" i="115"/>
  <c r="I1915" i="115"/>
  <c r="H1915" i="115"/>
  <c r="G1915" i="115"/>
  <c r="F1915" i="115"/>
  <c r="E1915" i="115"/>
  <c r="A1915" i="115"/>
  <c r="K1914" i="115"/>
  <c r="I1914" i="115"/>
  <c r="H1914" i="115"/>
  <c r="G1914" i="115"/>
  <c r="F1914" i="115"/>
  <c r="E1914" i="115"/>
  <c r="A1914" i="115"/>
  <c r="K1913" i="115"/>
  <c r="I1913" i="115"/>
  <c r="H1913" i="115"/>
  <c r="G1913" i="115"/>
  <c r="F1913" i="115"/>
  <c r="E1913" i="115"/>
  <c r="A1913" i="115"/>
  <c r="K1912" i="115"/>
  <c r="I1912" i="115"/>
  <c r="H1912" i="115"/>
  <c r="G1912" i="115"/>
  <c r="F1912" i="115"/>
  <c r="E1912" i="115"/>
  <c r="A1912" i="115"/>
  <c r="K1911" i="115"/>
  <c r="I1911" i="115"/>
  <c r="H1911" i="115"/>
  <c r="G1911" i="115"/>
  <c r="F1911" i="115"/>
  <c r="E1911" i="115"/>
  <c r="A1911" i="115"/>
  <c r="K1910" i="115"/>
  <c r="I1910" i="115"/>
  <c r="H1910" i="115"/>
  <c r="G1910" i="115"/>
  <c r="F1910" i="115"/>
  <c r="E1910" i="115"/>
  <c r="A1910" i="115"/>
  <c r="K1909" i="115"/>
  <c r="I1909" i="115"/>
  <c r="H1909" i="115"/>
  <c r="G1909" i="115"/>
  <c r="F1909" i="115"/>
  <c r="E1909" i="115"/>
  <c r="A1909" i="115"/>
  <c r="K1908" i="115"/>
  <c r="I1908" i="115"/>
  <c r="H1908" i="115"/>
  <c r="G1908" i="115"/>
  <c r="F1908" i="115"/>
  <c r="E1908" i="115"/>
  <c r="A1908" i="115"/>
  <c r="K1907" i="115"/>
  <c r="I1907" i="115"/>
  <c r="H1907" i="115"/>
  <c r="G1907" i="115"/>
  <c r="F1907" i="115"/>
  <c r="E1907" i="115"/>
  <c r="A1907" i="115"/>
  <c r="K1906" i="115"/>
  <c r="I1906" i="115"/>
  <c r="H1906" i="115"/>
  <c r="G1906" i="115"/>
  <c r="F1906" i="115"/>
  <c r="E1906" i="115"/>
  <c r="A1906" i="115"/>
  <c r="K1905" i="115"/>
  <c r="I1905" i="115"/>
  <c r="H1905" i="115"/>
  <c r="G1905" i="115"/>
  <c r="F1905" i="115"/>
  <c r="E1905" i="115"/>
  <c r="A1905" i="115"/>
  <c r="K1904" i="115"/>
  <c r="I1904" i="115"/>
  <c r="H1904" i="115"/>
  <c r="G1904" i="115"/>
  <c r="F1904" i="115"/>
  <c r="E1904" i="115"/>
  <c r="A1904" i="115"/>
  <c r="K1903" i="115"/>
  <c r="I1903" i="115"/>
  <c r="H1903" i="115"/>
  <c r="G1903" i="115"/>
  <c r="F1903" i="115"/>
  <c r="E1903" i="115"/>
  <c r="A1903" i="115"/>
  <c r="K1902" i="115"/>
  <c r="I1902" i="115"/>
  <c r="H1902" i="115"/>
  <c r="G1902" i="115"/>
  <c r="F1902" i="115"/>
  <c r="E1902" i="115"/>
  <c r="A1902" i="115"/>
  <c r="K1901" i="115"/>
  <c r="I1901" i="115"/>
  <c r="H1901" i="115"/>
  <c r="G1901" i="115"/>
  <c r="F1901" i="115"/>
  <c r="E1901" i="115"/>
  <c r="A1901" i="115"/>
  <c r="K1900" i="115"/>
  <c r="I1900" i="115"/>
  <c r="H1900" i="115"/>
  <c r="G1900" i="115"/>
  <c r="F1900" i="115"/>
  <c r="E1900" i="115"/>
  <c r="A1900" i="115"/>
  <c r="K1899" i="115"/>
  <c r="I1899" i="115"/>
  <c r="H1899" i="115"/>
  <c r="G1899" i="115"/>
  <c r="F1899" i="115"/>
  <c r="E1899" i="115"/>
  <c r="A1899" i="115"/>
  <c r="K1898" i="115"/>
  <c r="I1898" i="115"/>
  <c r="H1898" i="115"/>
  <c r="G1898" i="115"/>
  <c r="F1898" i="115"/>
  <c r="E1898" i="115"/>
  <c r="A1898" i="115"/>
  <c r="K1897" i="115"/>
  <c r="I1897" i="115"/>
  <c r="H1897" i="115"/>
  <c r="G1897" i="115"/>
  <c r="F1897" i="115"/>
  <c r="E1897" i="115"/>
  <c r="A1897" i="115"/>
  <c r="K1896" i="115"/>
  <c r="I1896" i="115"/>
  <c r="H1896" i="115"/>
  <c r="G1896" i="115"/>
  <c r="F1896" i="115"/>
  <c r="E1896" i="115"/>
  <c r="A1896" i="115"/>
  <c r="K1895" i="115"/>
  <c r="I1895" i="115"/>
  <c r="H1895" i="115"/>
  <c r="G1895" i="115"/>
  <c r="F1895" i="115"/>
  <c r="E1895" i="115"/>
  <c r="A1895" i="115"/>
  <c r="K1894" i="115"/>
  <c r="I1894" i="115"/>
  <c r="H1894" i="115"/>
  <c r="G1894" i="115"/>
  <c r="F1894" i="115"/>
  <c r="E1894" i="115"/>
  <c r="A1894" i="115"/>
  <c r="K1893" i="115"/>
  <c r="I1893" i="115"/>
  <c r="H1893" i="115"/>
  <c r="G1893" i="115"/>
  <c r="F1893" i="115"/>
  <c r="E1893" i="115"/>
  <c r="A1893" i="115"/>
  <c r="K1892" i="115"/>
  <c r="I1892" i="115"/>
  <c r="H1892" i="115"/>
  <c r="G1892" i="115"/>
  <c r="F1892" i="115"/>
  <c r="E1892" i="115"/>
  <c r="A1892" i="115"/>
  <c r="K1891" i="115"/>
  <c r="I1891" i="115"/>
  <c r="H1891" i="115"/>
  <c r="G1891" i="115"/>
  <c r="F1891" i="115"/>
  <c r="E1891" i="115"/>
  <c r="A1891" i="115"/>
  <c r="K1890" i="115"/>
  <c r="I1890" i="115"/>
  <c r="H1890" i="115"/>
  <c r="G1890" i="115"/>
  <c r="F1890" i="115"/>
  <c r="E1890" i="115"/>
  <c r="A1890" i="115"/>
  <c r="K1889" i="115"/>
  <c r="I1889" i="115"/>
  <c r="H1889" i="115"/>
  <c r="G1889" i="115"/>
  <c r="F1889" i="115"/>
  <c r="E1889" i="115"/>
  <c r="A1889" i="115"/>
  <c r="K1888" i="115"/>
  <c r="I1888" i="115"/>
  <c r="H1888" i="115"/>
  <c r="G1888" i="115"/>
  <c r="F1888" i="115"/>
  <c r="E1888" i="115"/>
  <c r="A1888" i="115"/>
  <c r="K1887" i="115"/>
  <c r="I1887" i="115"/>
  <c r="H1887" i="115"/>
  <c r="G1887" i="115"/>
  <c r="F1887" i="115"/>
  <c r="E1887" i="115"/>
  <c r="A1887" i="115"/>
  <c r="K1886" i="115"/>
  <c r="I1886" i="115"/>
  <c r="H1886" i="115"/>
  <c r="G1886" i="115"/>
  <c r="F1886" i="115"/>
  <c r="E1886" i="115"/>
  <c r="A1886" i="115"/>
  <c r="K1885" i="115"/>
  <c r="I1885" i="115"/>
  <c r="H1885" i="115"/>
  <c r="G1885" i="115"/>
  <c r="F1885" i="115"/>
  <c r="E1885" i="115"/>
  <c r="A1885" i="115"/>
  <c r="K1884" i="115"/>
  <c r="I1884" i="115"/>
  <c r="H1884" i="115"/>
  <c r="G1884" i="115"/>
  <c r="F1884" i="115"/>
  <c r="E1884" i="115"/>
  <c r="A1884" i="115"/>
  <c r="K1883" i="115"/>
  <c r="I1883" i="115"/>
  <c r="H1883" i="115"/>
  <c r="G1883" i="115"/>
  <c r="F1883" i="115"/>
  <c r="E1883" i="115"/>
  <c r="A1883" i="115"/>
  <c r="K1882" i="115"/>
  <c r="I1882" i="115"/>
  <c r="H1882" i="115"/>
  <c r="G1882" i="115"/>
  <c r="F1882" i="115"/>
  <c r="E1882" i="115"/>
  <c r="A1882" i="115"/>
  <c r="K1881" i="115"/>
  <c r="I1881" i="115"/>
  <c r="H1881" i="115"/>
  <c r="G1881" i="115"/>
  <c r="F1881" i="115"/>
  <c r="E1881" i="115"/>
  <c r="A1881" i="115"/>
  <c r="K1880" i="115"/>
  <c r="I1880" i="115"/>
  <c r="H1880" i="115"/>
  <c r="G1880" i="115"/>
  <c r="F1880" i="115"/>
  <c r="E1880" i="115"/>
  <c r="A1880" i="115"/>
  <c r="K1879" i="115"/>
  <c r="I1879" i="115"/>
  <c r="H1879" i="115"/>
  <c r="G1879" i="115"/>
  <c r="F1879" i="115"/>
  <c r="E1879" i="115"/>
  <c r="A1879" i="115"/>
  <c r="K1878" i="115"/>
  <c r="I1878" i="115"/>
  <c r="H1878" i="115"/>
  <c r="G1878" i="115"/>
  <c r="F1878" i="115"/>
  <c r="E1878" i="115"/>
  <c r="A1878" i="115"/>
  <c r="K1877" i="115"/>
  <c r="I1877" i="115"/>
  <c r="H1877" i="115"/>
  <c r="G1877" i="115"/>
  <c r="F1877" i="115"/>
  <c r="E1877" i="115"/>
  <c r="A1877" i="115"/>
  <c r="K1876" i="115"/>
  <c r="I1876" i="115"/>
  <c r="H1876" i="115"/>
  <c r="G1876" i="115"/>
  <c r="F1876" i="115"/>
  <c r="E1876" i="115"/>
  <c r="A1876" i="115"/>
  <c r="K1875" i="115"/>
  <c r="I1875" i="115"/>
  <c r="H1875" i="115"/>
  <c r="G1875" i="115"/>
  <c r="F1875" i="115"/>
  <c r="E1875" i="115"/>
  <c r="A1875" i="115"/>
  <c r="K1874" i="115"/>
  <c r="I1874" i="115"/>
  <c r="H1874" i="115"/>
  <c r="G1874" i="115"/>
  <c r="F1874" i="115"/>
  <c r="E1874" i="115"/>
  <c r="A1874" i="115"/>
  <c r="K1873" i="115"/>
  <c r="I1873" i="115"/>
  <c r="H1873" i="115"/>
  <c r="G1873" i="115"/>
  <c r="F1873" i="115"/>
  <c r="E1873" i="115"/>
  <c r="A1873" i="115"/>
  <c r="K1872" i="115"/>
  <c r="I1872" i="115"/>
  <c r="H1872" i="115"/>
  <c r="G1872" i="115"/>
  <c r="F1872" i="115"/>
  <c r="E1872" i="115"/>
  <c r="A1872" i="115"/>
  <c r="K1871" i="115"/>
  <c r="I1871" i="115"/>
  <c r="H1871" i="115"/>
  <c r="G1871" i="115"/>
  <c r="F1871" i="115"/>
  <c r="E1871" i="115"/>
  <c r="A1871" i="115"/>
  <c r="K1870" i="115"/>
  <c r="I1870" i="115"/>
  <c r="H1870" i="115"/>
  <c r="G1870" i="115"/>
  <c r="F1870" i="115"/>
  <c r="E1870" i="115"/>
  <c r="A1870" i="115"/>
  <c r="K1869" i="115"/>
  <c r="I1869" i="115"/>
  <c r="H1869" i="115"/>
  <c r="G1869" i="115"/>
  <c r="F1869" i="115"/>
  <c r="E1869" i="115"/>
  <c r="A1869" i="115"/>
  <c r="K1868" i="115"/>
  <c r="I1868" i="115"/>
  <c r="H1868" i="115"/>
  <c r="G1868" i="115"/>
  <c r="F1868" i="115"/>
  <c r="E1868" i="115"/>
  <c r="A1868" i="115"/>
  <c r="K1867" i="115"/>
  <c r="I1867" i="115"/>
  <c r="H1867" i="115"/>
  <c r="G1867" i="115"/>
  <c r="F1867" i="115"/>
  <c r="E1867" i="115"/>
  <c r="A1867" i="115"/>
  <c r="K1866" i="115"/>
  <c r="I1866" i="115"/>
  <c r="H1866" i="115"/>
  <c r="G1866" i="115"/>
  <c r="F1866" i="115"/>
  <c r="E1866" i="115"/>
  <c r="A1866" i="115"/>
  <c r="K1865" i="115"/>
  <c r="I1865" i="115"/>
  <c r="H1865" i="115"/>
  <c r="G1865" i="115"/>
  <c r="F1865" i="115"/>
  <c r="E1865" i="115"/>
  <c r="A1865" i="115"/>
  <c r="K1864" i="115"/>
  <c r="I1864" i="115"/>
  <c r="H1864" i="115"/>
  <c r="G1864" i="115"/>
  <c r="F1864" i="115"/>
  <c r="E1864" i="115"/>
  <c r="A1864" i="115"/>
  <c r="K1863" i="115"/>
  <c r="I1863" i="115"/>
  <c r="H1863" i="115"/>
  <c r="G1863" i="115"/>
  <c r="F1863" i="115"/>
  <c r="E1863" i="115"/>
  <c r="A1863" i="115"/>
  <c r="K1862" i="115"/>
  <c r="I1862" i="115"/>
  <c r="H1862" i="115"/>
  <c r="G1862" i="115"/>
  <c r="F1862" i="115"/>
  <c r="E1862" i="115"/>
  <c r="A1862" i="115"/>
  <c r="K1861" i="115"/>
  <c r="I1861" i="115"/>
  <c r="H1861" i="115"/>
  <c r="G1861" i="115"/>
  <c r="F1861" i="115"/>
  <c r="E1861" i="115"/>
  <c r="A1861" i="115"/>
  <c r="K1860" i="115"/>
  <c r="I1860" i="115"/>
  <c r="H1860" i="115"/>
  <c r="G1860" i="115"/>
  <c r="F1860" i="115"/>
  <c r="E1860" i="115"/>
  <c r="A1860" i="115"/>
  <c r="K1859" i="115"/>
  <c r="I1859" i="115"/>
  <c r="H1859" i="115"/>
  <c r="G1859" i="115"/>
  <c r="F1859" i="115"/>
  <c r="E1859" i="115"/>
  <c r="A1859" i="115"/>
  <c r="K1858" i="115"/>
  <c r="I1858" i="115"/>
  <c r="H1858" i="115"/>
  <c r="G1858" i="115"/>
  <c r="F1858" i="115"/>
  <c r="E1858" i="115"/>
  <c r="A1858" i="115"/>
  <c r="K1857" i="115"/>
  <c r="I1857" i="115"/>
  <c r="H1857" i="115"/>
  <c r="G1857" i="115"/>
  <c r="F1857" i="115"/>
  <c r="E1857" i="115"/>
  <c r="A1857" i="115"/>
  <c r="K1856" i="115"/>
  <c r="I1856" i="115"/>
  <c r="H1856" i="115"/>
  <c r="G1856" i="115"/>
  <c r="F1856" i="115"/>
  <c r="E1856" i="115"/>
  <c r="A1856" i="115"/>
  <c r="K1855" i="115"/>
  <c r="I1855" i="115"/>
  <c r="H1855" i="115"/>
  <c r="G1855" i="115"/>
  <c r="F1855" i="115"/>
  <c r="E1855" i="115"/>
  <c r="A1855" i="115"/>
  <c r="K1854" i="115"/>
  <c r="I1854" i="115"/>
  <c r="H1854" i="115"/>
  <c r="G1854" i="115"/>
  <c r="F1854" i="115"/>
  <c r="E1854" i="115"/>
  <c r="A1854" i="115"/>
  <c r="K1853" i="115"/>
  <c r="I1853" i="115"/>
  <c r="H1853" i="115"/>
  <c r="G1853" i="115"/>
  <c r="F1853" i="115"/>
  <c r="E1853" i="115"/>
  <c r="A1853" i="115"/>
  <c r="K1852" i="115"/>
  <c r="I1852" i="115"/>
  <c r="H1852" i="115"/>
  <c r="G1852" i="115"/>
  <c r="F1852" i="115"/>
  <c r="E1852" i="115"/>
  <c r="A1852" i="115"/>
  <c r="K1851" i="115"/>
  <c r="I1851" i="115"/>
  <c r="H1851" i="115"/>
  <c r="G1851" i="115"/>
  <c r="F1851" i="115"/>
  <c r="E1851" i="115"/>
  <c r="A1851" i="115"/>
  <c r="K1850" i="115"/>
  <c r="I1850" i="115"/>
  <c r="H1850" i="115"/>
  <c r="G1850" i="115"/>
  <c r="F1850" i="115"/>
  <c r="E1850" i="115"/>
  <c r="A1850" i="115"/>
  <c r="K1849" i="115"/>
  <c r="I1849" i="115"/>
  <c r="H1849" i="115"/>
  <c r="G1849" i="115"/>
  <c r="F1849" i="115"/>
  <c r="E1849" i="115"/>
  <c r="A1849" i="115"/>
  <c r="K1848" i="115"/>
  <c r="I1848" i="115"/>
  <c r="H1848" i="115"/>
  <c r="G1848" i="115"/>
  <c r="F1848" i="115"/>
  <c r="E1848" i="115"/>
  <c r="A1848" i="115"/>
  <c r="K1847" i="115"/>
  <c r="I1847" i="115"/>
  <c r="H1847" i="115"/>
  <c r="G1847" i="115"/>
  <c r="F1847" i="115"/>
  <c r="E1847" i="115"/>
  <c r="A1847" i="115"/>
  <c r="K1846" i="115"/>
  <c r="I1846" i="115"/>
  <c r="H1846" i="115"/>
  <c r="G1846" i="115"/>
  <c r="F1846" i="115"/>
  <c r="E1846" i="115"/>
  <c r="A1846" i="115"/>
  <c r="K1845" i="115"/>
  <c r="I1845" i="115"/>
  <c r="H1845" i="115"/>
  <c r="G1845" i="115"/>
  <c r="F1845" i="115"/>
  <c r="E1845" i="115"/>
  <c r="A1845" i="115"/>
  <c r="K1844" i="115"/>
  <c r="I1844" i="115"/>
  <c r="H1844" i="115"/>
  <c r="G1844" i="115"/>
  <c r="F1844" i="115"/>
  <c r="E1844" i="115"/>
  <c r="A1844" i="115"/>
  <c r="K1843" i="115"/>
  <c r="I1843" i="115"/>
  <c r="H1843" i="115"/>
  <c r="G1843" i="115"/>
  <c r="F1843" i="115"/>
  <c r="E1843" i="115"/>
  <c r="A1843" i="115"/>
  <c r="K1842" i="115"/>
  <c r="I1842" i="115"/>
  <c r="H1842" i="115"/>
  <c r="G1842" i="115"/>
  <c r="F1842" i="115"/>
  <c r="E1842" i="115"/>
  <c r="A1842" i="115"/>
  <c r="K1841" i="115"/>
  <c r="I1841" i="115"/>
  <c r="H1841" i="115"/>
  <c r="G1841" i="115"/>
  <c r="F1841" i="115"/>
  <c r="E1841" i="115"/>
  <c r="A1841" i="115"/>
  <c r="K1840" i="115"/>
  <c r="I1840" i="115"/>
  <c r="H1840" i="115"/>
  <c r="G1840" i="115"/>
  <c r="F1840" i="115"/>
  <c r="E1840" i="115"/>
  <c r="A1840" i="115"/>
  <c r="K1839" i="115"/>
  <c r="I1839" i="115"/>
  <c r="H1839" i="115"/>
  <c r="G1839" i="115"/>
  <c r="F1839" i="115"/>
  <c r="E1839" i="115"/>
  <c r="A1839" i="115"/>
  <c r="K1838" i="115"/>
  <c r="I1838" i="115"/>
  <c r="H1838" i="115"/>
  <c r="G1838" i="115"/>
  <c r="F1838" i="115"/>
  <c r="E1838" i="115"/>
  <c r="A1838" i="115"/>
  <c r="K1837" i="115"/>
  <c r="I1837" i="115"/>
  <c r="H1837" i="115"/>
  <c r="G1837" i="115"/>
  <c r="F1837" i="115"/>
  <c r="E1837" i="115"/>
  <c r="A1837" i="115"/>
  <c r="K1836" i="115"/>
  <c r="I1836" i="115"/>
  <c r="H1836" i="115"/>
  <c r="G1836" i="115"/>
  <c r="F1836" i="115"/>
  <c r="E1836" i="115"/>
  <c r="A1836" i="115"/>
  <c r="K1835" i="115"/>
  <c r="I1835" i="115"/>
  <c r="H1835" i="115"/>
  <c r="G1835" i="115"/>
  <c r="F1835" i="115"/>
  <c r="E1835" i="115"/>
  <c r="A1835" i="115"/>
  <c r="K1834" i="115"/>
  <c r="I1834" i="115"/>
  <c r="H1834" i="115"/>
  <c r="G1834" i="115"/>
  <c r="F1834" i="115"/>
  <c r="E1834" i="115"/>
  <c r="A1834" i="115"/>
  <c r="K1833" i="115"/>
  <c r="I1833" i="115"/>
  <c r="H1833" i="115"/>
  <c r="G1833" i="115"/>
  <c r="F1833" i="115"/>
  <c r="E1833" i="115"/>
  <c r="A1833" i="115"/>
  <c r="K1832" i="115"/>
  <c r="I1832" i="115"/>
  <c r="H1832" i="115"/>
  <c r="G1832" i="115"/>
  <c r="F1832" i="115"/>
  <c r="E1832" i="115"/>
  <c r="A1832" i="115"/>
  <c r="K1831" i="115"/>
  <c r="I1831" i="115"/>
  <c r="H1831" i="115"/>
  <c r="G1831" i="115"/>
  <c r="F1831" i="115"/>
  <c r="E1831" i="115"/>
  <c r="A1831" i="115"/>
  <c r="K1830" i="115"/>
  <c r="I1830" i="115"/>
  <c r="H1830" i="115"/>
  <c r="G1830" i="115"/>
  <c r="F1830" i="115"/>
  <c r="E1830" i="115"/>
  <c r="A1830" i="115"/>
  <c r="K1829" i="115"/>
  <c r="I1829" i="115"/>
  <c r="H1829" i="115"/>
  <c r="G1829" i="115"/>
  <c r="F1829" i="115"/>
  <c r="E1829" i="115"/>
  <c r="A1829" i="115"/>
  <c r="K1828" i="115"/>
  <c r="I1828" i="115"/>
  <c r="H1828" i="115"/>
  <c r="G1828" i="115"/>
  <c r="F1828" i="115"/>
  <c r="E1828" i="115"/>
  <c r="A1828" i="115"/>
  <c r="K1827" i="115"/>
  <c r="I1827" i="115"/>
  <c r="H1827" i="115"/>
  <c r="G1827" i="115"/>
  <c r="F1827" i="115"/>
  <c r="E1827" i="115"/>
  <c r="A1827" i="115"/>
  <c r="K1826" i="115"/>
  <c r="I1826" i="115"/>
  <c r="H1826" i="115"/>
  <c r="G1826" i="115"/>
  <c r="F1826" i="115"/>
  <c r="E1826" i="115"/>
  <c r="A1826" i="115"/>
  <c r="K1825" i="115"/>
  <c r="I1825" i="115"/>
  <c r="H1825" i="115"/>
  <c r="G1825" i="115"/>
  <c r="F1825" i="115"/>
  <c r="E1825" i="115"/>
  <c r="A1825" i="115"/>
  <c r="K1824" i="115"/>
  <c r="I1824" i="115"/>
  <c r="H1824" i="115"/>
  <c r="G1824" i="115"/>
  <c r="F1824" i="115"/>
  <c r="E1824" i="115"/>
  <c r="A1824" i="115"/>
  <c r="K1823" i="115"/>
  <c r="I1823" i="115"/>
  <c r="H1823" i="115"/>
  <c r="G1823" i="115"/>
  <c r="F1823" i="115"/>
  <c r="E1823" i="115"/>
  <c r="A1823" i="115"/>
  <c r="K1822" i="115"/>
  <c r="I1822" i="115"/>
  <c r="H1822" i="115"/>
  <c r="G1822" i="115"/>
  <c r="F1822" i="115"/>
  <c r="E1822" i="115"/>
  <c r="A1822" i="115"/>
  <c r="K1821" i="115"/>
  <c r="I1821" i="115"/>
  <c r="H1821" i="115"/>
  <c r="G1821" i="115"/>
  <c r="F1821" i="115"/>
  <c r="E1821" i="115"/>
  <c r="A1821" i="115"/>
  <c r="K1820" i="115"/>
  <c r="I1820" i="115"/>
  <c r="H1820" i="115"/>
  <c r="G1820" i="115"/>
  <c r="F1820" i="115"/>
  <c r="E1820" i="115"/>
  <c r="A1820" i="115"/>
  <c r="K1819" i="115"/>
  <c r="I1819" i="115"/>
  <c r="H1819" i="115"/>
  <c r="G1819" i="115"/>
  <c r="F1819" i="115"/>
  <c r="E1819" i="115"/>
  <c r="A1819" i="115"/>
  <c r="K1818" i="115"/>
  <c r="I1818" i="115"/>
  <c r="H1818" i="115"/>
  <c r="G1818" i="115"/>
  <c r="F1818" i="115"/>
  <c r="E1818" i="115"/>
  <c r="A1818" i="115"/>
  <c r="K1817" i="115"/>
  <c r="I1817" i="115"/>
  <c r="H1817" i="115"/>
  <c r="G1817" i="115"/>
  <c r="F1817" i="115"/>
  <c r="E1817" i="115"/>
  <c r="A1817" i="115"/>
  <c r="K1816" i="115"/>
  <c r="I1816" i="115"/>
  <c r="H1816" i="115"/>
  <c r="G1816" i="115"/>
  <c r="F1816" i="115"/>
  <c r="E1816" i="115"/>
  <c r="A1816" i="115"/>
  <c r="K1815" i="115"/>
  <c r="I1815" i="115"/>
  <c r="H1815" i="115"/>
  <c r="G1815" i="115"/>
  <c r="F1815" i="115"/>
  <c r="E1815" i="115"/>
  <c r="A1815" i="115"/>
  <c r="K1814" i="115"/>
  <c r="I1814" i="115"/>
  <c r="H1814" i="115"/>
  <c r="G1814" i="115"/>
  <c r="F1814" i="115"/>
  <c r="E1814" i="115"/>
  <c r="A1814" i="115"/>
  <c r="K1813" i="115"/>
  <c r="I1813" i="115"/>
  <c r="H1813" i="115"/>
  <c r="G1813" i="115"/>
  <c r="F1813" i="115"/>
  <c r="E1813" i="115"/>
  <c r="A1813" i="115"/>
  <c r="K1812" i="115"/>
  <c r="I1812" i="115"/>
  <c r="H1812" i="115"/>
  <c r="G1812" i="115"/>
  <c r="F1812" i="115"/>
  <c r="E1812" i="115"/>
  <c r="A1812" i="115"/>
  <c r="K1811" i="115"/>
  <c r="I1811" i="115"/>
  <c r="H1811" i="115"/>
  <c r="G1811" i="115"/>
  <c r="F1811" i="115"/>
  <c r="E1811" i="115"/>
  <c r="A1811" i="115"/>
  <c r="K1810" i="115"/>
  <c r="I1810" i="115"/>
  <c r="H1810" i="115"/>
  <c r="G1810" i="115"/>
  <c r="F1810" i="115"/>
  <c r="E1810" i="115"/>
  <c r="A1810" i="115"/>
  <c r="K1809" i="115"/>
  <c r="I1809" i="115"/>
  <c r="H1809" i="115"/>
  <c r="G1809" i="115"/>
  <c r="F1809" i="115"/>
  <c r="E1809" i="115"/>
  <c r="A1809" i="115"/>
  <c r="K1808" i="115"/>
  <c r="I1808" i="115"/>
  <c r="H1808" i="115"/>
  <c r="G1808" i="115"/>
  <c r="F1808" i="115"/>
  <c r="E1808" i="115"/>
  <c r="A1808" i="115"/>
  <c r="K1807" i="115"/>
  <c r="I1807" i="115"/>
  <c r="H1807" i="115"/>
  <c r="G1807" i="115"/>
  <c r="F1807" i="115"/>
  <c r="E1807" i="115"/>
  <c r="A1807" i="115"/>
  <c r="K1806" i="115"/>
  <c r="I1806" i="115"/>
  <c r="H1806" i="115"/>
  <c r="G1806" i="115"/>
  <c r="F1806" i="115"/>
  <c r="E1806" i="115"/>
  <c r="A1806" i="115"/>
  <c r="K1805" i="115"/>
  <c r="I1805" i="115"/>
  <c r="H1805" i="115"/>
  <c r="G1805" i="115"/>
  <c r="F1805" i="115"/>
  <c r="E1805" i="115"/>
  <c r="A1805" i="115"/>
  <c r="K1804" i="115"/>
  <c r="I1804" i="115"/>
  <c r="H1804" i="115"/>
  <c r="G1804" i="115"/>
  <c r="F1804" i="115"/>
  <c r="E1804" i="115"/>
  <c r="A1804" i="115"/>
  <c r="K1803" i="115"/>
  <c r="I1803" i="115"/>
  <c r="H1803" i="115"/>
  <c r="G1803" i="115"/>
  <c r="F1803" i="115"/>
  <c r="E1803" i="115"/>
  <c r="A1803" i="115"/>
  <c r="K1802" i="115"/>
  <c r="I1802" i="115"/>
  <c r="H1802" i="115"/>
  <c r="G1802" i="115"/>
  <c r="F1802" i="115"/>
  <c r="E1802" i="115"/>
  <c r="A1802" i="115"/>
  <c r="K1801" i="115"/>
  <c r="I1801" i="115"/>
  <c r="H1801" i="115"/>
  <c r="G1801" i="115"/>
  <c r="F1801" i="115"/>
  <c r="E1801" i="115"/>
  <c r="A1801" i="115"/>
  <c r="K1800" i="115"/>
  <c r="I1800" i="115"/>
  <c r="H1800" i="115"/>
  <c r="G1800" i="115"/>
  <c r="F1800" i="115"/>
  <c r="E1800" i="115"/>
  <c r="A1800" i="115"/>
  <c r="K1799" i="115"/>
  <c r="I1799" i="115"/>
  <c r="H1799" i="115"/>
  <c r="G1799" i="115"/>
  <c r="F1799" i="115"/>
  <c r="E1799" i="115"/>
  <c r="A1799" i="115"/>
  <c r="K1798" i="115"/>
  <c r="I1798" i="115"/>
  <c r="H1798" i="115"/>
  <c r="G1798" i="115"/>
  <c r="F1798" i="115"/>
  <c r="E1798" i="115"/>
  <c r="A1798" i="115"/>
  <c r="K1797" i="115"/>
  <c r="I1797" i="115"/>
  <c r="H1797" i="115"/>
  <c r="G1797" i="115"/>
  <c r="F1797" i="115"/>
  <c r="E1797" i="115"/>
  <c r="A1797" i="115"/>
  <c r="K1796" i="115"/>
  <c r="I1796" i="115"/>
  <c r="H1796" i="115"/>
  <c r="G1796" i="115"/>
  <c r="F1796" i="115"/>
  <c r="E1796" i="115"/>
  <c r="A1796" i="115"/>
  <c r="K1795" i="115"/>
  <c r="I1795" i="115"/>
  <c r="H1795" i="115"/>
  <c r="G1795" i="115"/>
  <c r="F1795" i="115"/>
  <c r="E1795" i="115"/>
  <c r="A1795" i="115"/>
  <c r="K1794" i="115"/>
  <c r="I1794" i="115"/>
  <c r="H1794" i="115"/>
  <c r="G1794" i="115"/>
  <c r="F1794" i="115"/>
  <c r="E1794" i="115"/>
  <c r="A1794" i="115"/>
  <c r="K1793" i="115"/>
  <c r="I1793" i="115"/>
  <c r="H1793" i="115"/>
  <c r="G1793" i="115"/>
  <c r="F1793" i="115"/>
  <c r="E1793" i="115"/>
  <c r="A1793" i="115"/>
  <c r="K1792" i="115"/>
  <c r="I1792" i="115"/>
  <c r="H1792" i="115"/>
  <c r="G1792" i="115"/>
  <c r="F1792" i="115"/>
  <c r="E1792" i="115"/>
  <c r="A1792" i="115"/>
  <c r="K1791" i="115"/>
  <c r="I1791" i="115"/>
  <c r="H1791" i="115"/>
  <c r="G1791" i="115"/>
  <c r="F1791" i="115"/>
  <c r="E1791" i="115"/>
  <c r="A1791" i="115"/>
  <c r="K1790" i="115"/>
  <c r="I1790" i="115"/>
  <c r="H1790" i="115"/>
  <c r="G1790" i="115"/>
  <c r="F1790" i="115"/>
  <c r="E1790" i="115"/>
  <c r="A1790" i="115"/>
  <c r="K1789" i="115"/>
  <c r="I1789" i="115"/>
  <c r="H1789" i="115"/>
  <c r="G1789" i="115"/>
  <c r="F1789" i="115"/>
  <c r="E1789" i="115"/>
  <c r="A1789" i="115"/>
  <c r="K1788" i="115"/>
  <c r="I1788" i="115"/>
  <c r="H1788" i="115"/>
  <c r="G1788" i="115"/>
  <c r="F1788" i="115"/>
  <c r="E1788" i="115"/>
  <c r="A1788" i="115"/>
  <c r="K1787" i="115"/>
  <c r="I1787" i="115"/>
  <c r="H1787" i="115"/>
  <c r="G1787" i="115"/>
  <c r="F1787" i="115"/>
  <c r="E1787" i="115"/>
  <c r="A1787" i="115"/>
  <c r="K1786" i="115"/>
  <c r="I1786" i="115"/>
  <c r="H1786" i="115"/>
  <c r="G1786" i="115"/>
  <c r="F1786" i="115"/>
  <c r="E1786" i="115"/>
  <c r="A1786" i="115"/>
  <c r="K1785" i="115"/>
  <c r="I1785" i="115"/>
  <c r="H1785" i="115"/>
  <c r="G1785" i="115"/>
  <c r="F1785" i="115"/>
  <c r="E1785" i="115"/>
  <c r="A1785" i="115"/>
  <c r="K1784" i="115"/>
  <c r="I1784" i="115"/>
  <c r="H1784" i="115"/>
  <c r="G1784" i="115"/>
  <c r="F1784" i="115"/>
  <c r="E1784" i="115"/>
  <c r="A1784" i="115"/>
  <c r="K1783" i="115"/>
  <c r="I1783" i="115"/>
  <c r="H1783" i="115"/>
  <c r="G1783" i="115"/>
  <c r="F1783" i="115"/>
  <c r="E1783" i="115"/>
  <c r="A1783" i="115"/>
  <c r="K1782" i="115"/>
  <c r="I1782" i="115"/>
  <c r="H1782" i="115"/>
  <c r="G1782" i="115"/>
  <c r="F1782" i="115"/>
  <c r="E1782" i="115"/>
  <c r="A1782" i="115"/>
  <c r="K1781" i="115"/>
  <c r="I1781" i="115"/>
  <c r="H1781" i="115"/>
  <c r="G1781" i="115"/>
  <c r="F1781" i="115"/>
  <c r="E1781" i="115"/>
  <c r="A1781" i="115"/>
  <c r="K1780" i="115"/>
  <c r="I1780" i="115"/>
  <c r="H1780" i="115"/>
  <c r="G1780" i="115"/>
  <c r="F1780" i="115"/>
  <c r="E1780" i="115"/>
  <c r="A1780" i="115"/>
  <c r="K1779" i="115"/>
  <c r="I1779" i="115"/>
  <c r="H1779" i="115"/>
  <c r="G1779" i="115"/>
  <c r="F1779" i="115"/>
  <c r="E1779" i="115"/>
  <c r="A1779" i="115"/>
  <c r="K1778" i="115"/>
  <c r="I1778" i="115"/>
  <c r="H1778" i="115"/>
  <c r="G1778" i="115"/>
  <c r="F1778" i="115"/>
  <c r="E1778" i="115"/>
  <c r="A1778" i="115"/>
  <c r="K1777" i="115"/>
  <c r="I1777" i="115"/>
  <c r="H1777" i="115"/>
  <c r="G1777" i="115"/>
  <c r="F1777" i="115"/>
  <c r="E1777" i="115"/>
  <c r="A1777" i="115"/>
  <c r="K1776" i="115"/>
  <c r="I1776" i="115"/>
  <c r="H1776" i="115"/>
  <c r="G1776" i="115"/>
  <c r="F1776" i="115"/>
  <c r="E1776" i="115"/>
  <c r="A1776" i="115"/>
  <c r="K1775" i="115"/>
  <c r="I1775" i="115"/>
  <c r="H1775" i="115"/>
  <c r="G1775" i="115"/>
  <c r="F1775" i="115"/>
  <c r="E1775" i="115"/>
  <c r="A1775" i="115"/>
  <c r="K1774" i="115"/>
  <c r="I1774" i="115"/>
  <c r="H1774" i="115"/>
  <c r="G1774" i="115"/>
  <c r="F1774" i="115"/>
  <c r="E1774" i="115"/>
  <c r="A1774" i="115"/>
  <c r="K1773" i="115"/>
  <c r="I1773" i="115"/>
  <c r="H1773" i="115"/>
  <c r="G1773" i="115"/>
  <c r="F1773" i="115"/>
  <c r="E1773" i="115"/>
  <c r="A1773" i="115"/>
  <c r="K1772" i="115"/>
  <c r="I1772" i="115"/>
  <c r="H1772" i="115"/>
  <c r="G1772" i="115"/>
  <c r="F1772" i="115"/>
  <c r="E1772" i="115"/>
  <c r="A1772" i="115"/>
  <c r="K1771" i="115"/>
  <c r="I1771" i="115"/>
  <c r="H1771" i="115"/>
  <c r="G1771" i="115"/>
  <c r="F1771" i="115"/>
  <c r="E1771" i="115"/>
  <c r="A1771" i="115"/>
  <c r="K1770" i="115"/>
  <c r="I1770" i="115"/>
  <c r="H1770" i="115"/>
  <c r="G1770" i="115"/>
  <c r="F1770" i="115"/>
  <c r="E1770" i="115"/>
  <c r="A1770" i="115"/>
  <c r="K1769" i="115"/>
  <c r="I1769" i="115"/>
  <c r="H1769" i="115"/>
  <c r="G1769" i="115"/>
  <c r="F1769" i="115"/>
  <c r="E1769" i="115"/>
  <c r="A1769" i="115"/>
  <c r="K1768" i="115"/>
  <c r="I1768" i="115"/>
  <c r="H1768" i="115"/>
  <c r="G1768" i="115"/>
  <c r="F1768" i="115"/>
  <c r="E1768" i="115"/>
  <c r="A1768" i="115"/>
  <c r="K1767" i="115"/>
  <c r="I1767" i="115"/>
  <c r="H1767" i="115"/>
  <c r="G1767" i="115"/>
  <c r="F1767" i="115"/>
  <c r="E1767" i="115"/>
  <c r="A1767" i="115"/>
  <c r="K1766" i="115"/>
  <c r="I1766" i="115"/>
  <c r="H1766" i="115"/>
  <c r="G1766" i="115"/>
  <c r="F1766" i="115"/>
  <c r="E1766" i="115"/>
  <c r="A1766" i="115"/>
  <c r="K1765" i="115"/>
  <c r="I1765" i="115"/>
  <c r="H1765" i="115"/>
  <c r="G1765" i="115"/>
  <c r="F1765" i="115"/>
  <c r="E1765" i="115"/>
  <c r="A1765" i="115"/>
  <c r="K1764" i="115"/>
  <c r="I1764" i="115"/>
  <c r="H1764" i="115"/>
  <c r="G1764" i="115"/>
  <c r="F1764" i="115"/>
  <c r="E1764" i="115"/>
  <c r="A1764" i="115"/>
  <c r="K1763" i="115"/>
  <c r="I1763" i="115"/>
  <c r="H1763" i="115"/>
  <c r="G1763" i="115"/>
  <c r="F1763" i="115"/>
  <c r="E1763" i="115"/>
  <c r="A1763" i="115"/>
  <c r="K1762" i="115"/>
  <c r="I1762" i="115"/>
  <c r="H1762" i="115"/>
  <c r="G1762" i="115"/>
  <c r="F1762" i="115"/>
  <c r="E1762" i="115"/>
  <c r="A1762" i="115"/>
  <c r="K1761" i="115"/>
  <c r="I1761" i="115"/>
  <c r="H1761" i="115"/>
  <c r="G1761" i="115"/>
  <c r="F1761" i="115"/>
  <c r="E1761" i="115"/>
  <c r="A1761" i="115"/>
  <c r="K1760" i="115"/>
  <c r="I1760" i="115"/>
  <c r="H1760" i="115"/>
  <c r="G1760" i="115"/>
  <c r="F1760" i="115"/>
  <c r="E1760" i="115"/>
  <c r="A1760" i="115"/>
  <c r="K1759" i="115"/>
  <c r="I1759" i="115"/>
  <c r="H1759" i="115"/>
  <c r="G1759" i="115"/>
  <c r="F1759" i="115"/>
  <c r="E1759" i="115"/>
  <c r="A1759" i="115"/>
  <c r="K1758" i="115"/>
  <c r="I1758" i="115"/>
  <c r="H1758" i="115"/>
  <c r="G1758" i="115"/>
  <c r="F1758" i="115"/>
  <c r="E1758" i="115"/>
  <c r="A1758" i="115"/>
  <c r="K1757" i="115"/>
  <c r="I1757" i="115"/>
  <c r="H1757" i="115"/>
  <c r="G1757" i="115"/>
  <c r="F1757" i="115"/>
  <c r="E1757" i="115"/>
  <c r="A1757" i="115"/>
  <c r="K1756" i="115"/>
  <c r="I1756" i="115"/>
  <c r="H1756" i="115"/>
  <c r="G1756" i="115"/>
  <c r="F1756" i="115"/>
  <c r="E1756" i="115"/>
  <c r="A1756" i="115"/>
  <c r="K1755" i="115"/>
  <c r="I1755" i="115"/>
  <c r="H1755" i="115"/>
  <c r="G1755" i="115"/>
  <c r="F1755" i="115"/>
  <c r="E1755" i="115"/>
  <c r="A1755" i="115"/>
  <c r="K1754" i="115"/>
  <c r="I1754" i="115"/>
  <c r="H1754" i="115"/>
  <c r="G1754" i="115"/>
  <c r="F1754" i="115"/>
  <c r="E1754" i="115"/>
  <c r="A1754" i="115"/>
  <c r="K1753" i="115"/>
  <c r="I1753" i="115"/>
  <c r="H1753" i="115"/>
  <c r="G1753" i="115"/>
  <c r="F1753" i="115"/>
  <c r="E1753" i="115"/>
  <c r="A1753" i="115"/>
  <c r="K1752" i="115"/>
  <c r="I1752" i="115"/>
  <c r="H1752" i="115"/>
  <c r="G1752" i="115"/>
  <c r="F1752" i="115"/>
  <c r="E1752" i="115"/>
  <c r="A1752" i="115"/>
  <c r="K1751" i="115"/>
  <c r="I1751" i="115"/>
  <c r="H1751" i="115"/>
  <c r="G1751" i="115"/>
  <c r="F1751" i="115"/>
  <c r="E1751" i="115"/>
  <c r="A1751" i="115"/>
  <c r="K1750" i="115"/>
  <c r="I1750" i="115"/>
  <c r="H1750" i="115"/>
  <c r="G1750" i="115"/>
  <c r="F1750" i="115"/>
  <c r="E1750" i="115"/>
  <c r="A1750" i="115"/>
  <c r="K1749" i="115"/>
  <c r="I1749" i="115"/>
  <c r="H1749" i="115"/>
  <c r="G1749" i="115"/>
  <c r="F1749" i="115"/>
  <c r="E1749" i="115"/>
  <c r="A1749" i="115"/>
  <c r="K1748" i="115"/>
  <c r="I1748" i="115"/>
  <c r="H1748" i="115"/>
  <c r="G1748" i="115"/>
  <c r="F1748" i="115"/>
  <c r="E1748" i="115"/>
  <c r="A1748" i="115"/>
  <c r="K1747" i="115"/>
  <c r="I1747" i="115"/>
  <c r="H1747" i="115"/>
  <c r="G1747" i="115"/>
  <c r="F1747" i="115"/>
  <c r="E1747" i="115"/>
  <c r="A1747" i="115"/>
  <c r="K1746" i="115"/>
  <c r="I1746" i="115"/>
  <c r="H1746" i="115"/>
  <c r="G1746" i="115"/>
  <c r="F1746" i="115"/>
  <c r="E1746" i="115"/>
  <c r="A1746" i="115"/>
  <c r="K1745" i="115"/>
  <c r="I1745" i="115"/>
  <c r="H1745" i="115"/>
  <c r="G1745" i="115"/>
  <c r="F1745" i="115"/>
  <c r="E1745" i="115"/>
  <c r="A1745" i="115"/>
  <c r="K1744" i="115"/>
  <c r="I1744" i="115"/>
  <c r="H1744" i="115"/>
  <c r="G1744" i="115"/>
  <c r="F1744" i="115"/>
  <c r="E1744" i="115"/>
  <c r="A1744" i="115"/>
  <c r="K1743" i="115"/>
  <c r="I1743" i="115"/>
  <c r="H1743" i="115"/>
  <c r="G1743" i="115"/>
  <c r="F1743" i="115"/>
  <c r="E1743" i="115"/>
  <c r="A1743" i="115"/>
  <c r="K1742" i="115"/>
  <c r="I1742" i="115"/>
  <c r="H1742" i="115"/>
  <c r="G1742" i="115"/>
  <c r="F1742" i="115"/>
  <c r="E1742" i="115"/>
  <c r="A1742" i="115"/>
  <c r="K1741" i="115"/>
  <c r="I1741" i="115"/>
  <c r="H1741" i="115"/>
  <c r="G1741" i="115"/>
  <c r="F1741" i="115"/>
  <c r="E1741" i="115"/>
  <c r="A1741" i="115"/>
  <c r="K1740" i="115"/>
  <c r="I1740" i="115"/>
  <c r="H1740" i="115"/>
  <c r="G1740" i="115"/>
  <c r="F1740" i="115"/>
  <c r="E1740" i="115"/>
  <c r="A1740" i="115"/>
  <c r="K1739" i="115"/>
  <c r="I1739" i="115"/>
  <c r="H1739" i="115"/>
  <c r="G1739" i="115"/>
  <c r="F1739" i="115"/>
  <c r="E1739" i="115"/>
  <c r="A1739" i="115"/>
  <c r="K1738" i="115"/>
  <c r="I1738" i="115"/>
  <c r="H1738" i="115"/>
  <c r="G1738" i="115"/>
  <c r="F1738" i="115"/>
  <c r="E1738" i="115"/>
  <c r="A1738" i="115"/>
  <c r="K1737" i="115"/>
  <c r="I1737" i="115"/>
  <c r="H1737" i="115"/>
  <c r="G1737" i="115"/>
  <c r="F1737" i="115"/>
  <c r="E1737" i="115"/>
  <c r="A1737" i="115"/>
  <c r="K1736" i="115"/>
  <c r="I1736" i="115"/>
  <c r="H1736" i="115"/>
  <c r="G1736" i="115"/>
  <c r="F1736" i="115"/>
  <c r="E1736" i="115"/>
  <c r="A1736" i="115"/>
  <c r="K1735" i="115"/>
  <c r="I1735" i="115"/>
  <c r="H1735" i="115"/>
  <c r="G1735" i="115"/>
  <c r="F1735" i="115"/>
  <c r="E1735" i="115"/>
  <c r="A1735" i="115"/>
  <c r="K1734" i="115"/>
  <c r="I1734" i="115"/>
  <c r="H1734" i="115"/>
  <c r="G1734" i="115"/>
  <c r="F1734" i="115"/>
  <c r="E1734" i="115"/>
  <c r="A1734" i="115"/>
  <c r="K1733" i="115"/>
  <c r="I1733" i="115"/>
  <c r="H1733" i="115"/>
  <c r="G1733" i="115"/>
  <c r="F1733" i="115"/>
  <c r="E1733" i="115"/>
  <c r="A1733" i="115"/>
  <c r="K1732" i="115"/>
  <c r="I1732" i="115"/>
  <c r="H1732" i="115"/>
  <c r="G1732" i="115"/>
  <c r="F1732" i="115"/>
  <c r="E1732" i="115"/>
  <c r="A1732" i="115"/>
  <c r="K1731" i="115"/>
  <c r="I1731" i="115"/>
  <c r="H1731" i="115"/>
  <c r="G1731" i="115"/>
  <c r="F1731" i="115"/>
  <c r="E1731" i="115"/>
  <c r="A1731" i="115"/>
  <c r="K1730" i="115"/>
  <c r="I1730" i="115"/>
  <c r="H1730" i="115"/>
  <c r="G1730" i="115"/>
  <c r="F1730" i="115"/>
  <c r="E1730" i="115"/>
  <c r="A1730" i="115"/>
  <c r="K1729" i="115"/>
  <c r="I1729" i="115"/>
  <c r="H1729" i="115"/>
  <c r="G1729" i="115"/>
  <c r="F1729" i="115"/>
  <c r="E1729" i="115"/>
  <c r="A1729" i="115"/>
  <c r="K1728" i="115"/>
  <c r="I1728" i="115"/>
  <c r="H1728" i="115"/>
  <c r="G1728" i="115"/>
  <c r="F1728" i="115"/>
  <c r="E1728" i="115"/>
  <c r="A1728" i="115"/>
  <c r="K1727" i="115"/>
  <c r="I1727" i="115"/>
  <c r="H1727" i="115"/>
  <c r="G1727" i="115"/>
  <c r="F1727" i="115"/>
  <c r="E1727" i="115"/>
  <c r="A1727" i="115"/>
  <c r="K1726" i="115"/>
  <c r="I1726" i="115"/>
  <c r="H1726" i="115"/>
  <c r="G1726" i="115"/>
  <c r="F1726" i="115"/>
  <c r="E1726" i="115"/>
  <c r="A1726" i="115"/>
  <c r="K1725" i="115"/>
  <c r="I1725" i="115"/>
  <c r="H1725" i="115"/>
  <c r="G1725" i="115"/>
  <c r="F1725" i="115"/>
  <c r="E1725" i="115"/>
  <c r="A1725" i="115"/>
  <c r="K1724" i="115"/>
  <c r="I1724" i="115"/>
  <c r="H1724" i="115"/>
  <c r="G1724" i="115"/>
  <c r="F1724" i="115"/>
  <c r="E1724" i="115"/>
  <c r="A1724" i="115"/>
  <c r="K1723" i="115"/>
  <c r="I1723" i="115"/>
  <c r="H1723" i="115"/>
  <c r="G1723" i="115"/>
  <c r="F1723" i="115"/>
  <c r="E1723" i="115"/>
  <c r="A1723" i="115"/>
  <c r="K1722" i="115"/>
  <c r="I1722" i="115"/>
  <c r="H1722" i="115"/>
  <c r="G1722" i="115"/>
  <c r="F1722" i="115"/>
  <c r="E1722" i="115"/>
  <c r="A1722" i="115"/>
  <c r="K1721" i="115"/>
  <c r="I1721" i="115"/>
  <c r="H1721" i="115"/>
  <c r="G1721" i="115"/>
  <c r="F1721" i="115"/>
  <c r="E1721" i="115"/>
  <c r="A1721" i="115"/>
  <c r="K1720" i="115"/>
  <c r="I1720" i="115"/>
  <c r="H1720" i="115"/>
  <c r="G1720" i="115"/>
  <c r="F1720" i="115"/>
  <c r="E1720" i="115"/>
  <c r="A1720" i="115"/>
  <c r="K1719" i="115"/>
  <c r="I1719" i="115"/>
  <c r="H1719" i="115"/>
  <c r="G1719" i="115"/>
  <c r="F1719" i="115"/>
  <c r="E1719" i="115"/>
  <c r="A1719" i="115"/>
  <c r="K1718" i="115"/>
  <c r="I1718" i="115"/>
  <c r="H1718" i="115"/>
  <c r="G1718" i="115"/>
  <c r="F1718" i="115"/>
  <c r="E1718" i="115"/>
  <c r="A1718" i="115"/>
  <c r="K1717" i="115"/>
  <c r="I1717" i="115"/>
  <c r="H1717" i="115"/>
  <c r="G1717" i="115"/>
  <c r="F1717" i="115"/>
  <c r="E1717" i="115"/>
  <c r="A1717" i="115"/>
  <c r="K1716" i="115"/>
  <c r="I1716" i="115"/>
  <c r="H1716" i="115"/>
  <c r="G1716" i="115"/>
  <c r="F1716" i="115"/>
  <c r="E1716" i="115"/>
  <c r="A1716" i="115"/>
  <c r="K1715" i="115"/>
  <c r="I1715" i="115"/>
  <c r="H1715" i="115"/>
  <c r="G1715" i="115"/>
  <c r="F1715" i="115"/>
  <c r="E1715" i="115"/>
  <c r="A1715" i="115"/>
  <c r="K1714" i="115"/>
  <c r="I1714" i="115"/>
  <c r="H1714" i="115"/>
  <c r="G1714" i="115"/>
  <c r="F1714" i="115"/>
  <c r="E1714" i="115"/>
  <c r="A1714" i="115"/>
  <c r="K1713" i="115"/>
  <c r="I1713" i="115"/>
  <c r="H1713" i="115"/>
  <c r="G1713" i="115"/>
  <c r="F1713" i="115"/>
  <c r="E1713" i="115"/>
  <c r="A1713" i="115"/>
  <c r="K1712" i="115"/>
  <c r="I1712" i="115"/>
  <c r="H1712" i="115"/>
  <c r="G1712" i="115"/>
  <c r="F1712" i="115"/>
  <c r="E1712" i="115"/>
  <c r="A1712" i="115"/>
  <c r="K1711" i="115"/>
  <c r="I1711" i="115"/>
  <c r="H1711" i="115"/>
  <c r="G1711" i="115"/>
  <c r="F1711" i="115"/>
  <c r="E1711" i="115"/>
  <c r="A1711" i="115"/>
  <c r="K1710" i="115"/>
  <c r="I1710" i="115"/>
  <c r="H1710" i="115"/>
  <c r="G1710" i="115"/>
  <c r="F1710" i="115"/>
  <c r="E1710" i="115"/>
  <c r="A1710" i="115"/>
  <c r="K1709" i="115"/>
  <c r="I1709" i="115"/>
  <c r="H1709" i="115"/>
  <c r="G1709" i="115"/>
  <c r="F1709" i="115"/>
  <c r="E1709" i="115"/>
  <c r="A1709" i="115"/>
  <c r="K1708" i="115"/>
  <c r="I1708" i="115"/>
  <c r="H1708" i="115"/>
  <c r="G1708" i="115"/>
  <c r="F1708" i="115"/>
  <c r="E1708" i="115"/>
  <c r="A1708" i="115"/>
  <c r="K1707" i="115"/>
  <c r="I1707" i="115"/>
  <c r="H1707" i="115"/>
  <c r="G1707" i="115"/>
  <c r="F1707" i="115"/>
  <c r="E1707" i="115"/>
  <c r="A1707" i="115"/>
  <c r="K1706" i="115"/>
  <c r="I1706" i="115"/>
  <c r="H1706" i="115"/>
  <c r="G1706" i="115"/>
  <c r="F1706" i="115"/>
  <c r="E1706" i="115"/>
  <c r="A1706" i="115"/>
  <c r="K1705" i="115"/>
  <c r="I1705" i="115"/>
  <c r="H1705" i="115"/>
  <c r="G1705" i="115"/>
  <c r="F1705" i="115"/>
  <c r="E1705" i="115"/>
  <c r="A1705" i="115"/>
  <c r="K1704" i="115"/>
  <c r="I1704" i="115"/>
  <c r="H1704" i="115"/>
  <c r="G1704" i="115"/>
  <c r="F1704" i="115"/>
  <c r="E1704" i="115"/>
  <c r="A1704" i="115"/>
  <c r="K1703" i="115"/>
  <c r="I1703" i="115"/>
  <c r="H1703" i="115"/>
  <c r="G1703" i="115"/>
  <c r="F1703" i="115"/>
  <c r="E1703" i="115"/>
  <c r="A1703" i="115"/>
  <c r="K1702" i="115"/>
  <c r="I1702" i="115"/>
  <c r="H1702" i="115"/>
  <c r="G1702" i="115"/>
  <c r="F1702" i="115"/>
  <c r="E1702" i="115"/>
  <c r="A1702" i="115"/>
  <c r="K1701" i="115"/>
  <c r="I1701" i="115"/>
  <c r="H1701" i="115"/>
  <c r="G1701" i="115"/>
  <c r="F1701" i="115"/>
  <c r="E1701" i="115"/>
  <c r="A1701" i="115"/>
  <c r="K1700" i="115"/>
  <c r="I1700" i="115"/>
  <c r="H1700" i="115"/>
  <c r="G1700" i="115"/>
  <c r="F1700" i="115"/>
  <c r="E1700" i="115"/>
  <c r="A1700" i="115"/>
  <c r="K1699" i="115"/>
  <c r="I1699" i="115"/>
  <c r="H1699" i="115"/>
  <c r="G1699" i="115"/>
  <c r="F1699" i="115"/>
  <c r="E1699" i="115"/>
  <c r="A1699" i="115"/>
  <c r="K1698" i="115"/>
  <c r="I1698" i="115"/>
  <c r="H1698" i="115"/>
  <c r="G1698" i="115"/>
  <c r="F1698" i="115"/>
  <c r="E1698" i="115"/>
  <c r="A1698" i="115"/>
  <c r="K1697" i="115"/>
  <c r="I1697" i="115"/>
  <c r="H1697" i="115"/>
  <c r="G1697" i="115"/>
  <c r="F1697" i="115"/>
  <c r="E1697" i="115"/>
  <c r="A1697" i="115"/>
  <c r="K1696" i="115"/>
  <c r="I1696" i="115"/>
  <c r="H1696" i="115"/>
  <c r="G1696" i="115"/>
  <c r="F1696" i="115"/>
  <c r="E1696" i="115"/>
  <c r="A1696" i="115"/>
  <c r="K1695" i="115"/>
  <c r="I1695" i="115"/>
  <c r="H1695" i="115"/>
  <c r="G1695" i="115"/>
  <c r="F1695" i="115"/>
  <c r="E1695" i="115"/>
  <c r="A1695" i="115"/>
  <c r="K1694" i="115"/>
  <c r="I1694" i="115"/>
  <c r="H1694" i="115"/>
  <c r="G1694" i="115"/>
  <c r="F1694" i="115"/>
  <c r="E1694" i="115"/>
  <c r="A1694" i="115"/>
  <c r="K1693" i="115"/>
  <c r="I1693" i="115"/>
  <c r="H1693" i="115"/>
  <c r="G1693" i="115"/>
  <c r="F1693" i="115"/>
  <c r="E1693" i="115"/>
  <c r="A1693" i="115"/>
  <c r="K1692" i="115"/>
  <c r="I1692" i="115"/>
  <c r="H1692" i="115"/>
  <c r="G1692" i="115"/>
  <c r="F1692" i="115"/>
  <c r="E1692" i="115"/>
  <c r="A1692" i="115"/>
  <c r="K1691" i="115"/>
  <c r="I1691" i="115"/>
  <c r="H1691" i="115"/>
  <c r="G1691" i="115"/>
  <c r="F1691" i="115"/>
  <c r="E1691" i="115"/>
  <c r="A1691" i="115"/>
  <c r="K1690" i="115"/>
  <c r="I1690" i="115"/>
  <c r="H1690" i="115"/>
  <c r="G1690" i="115"/>
  <c r="F1690" i="115"/>
  <c r="E1690" i="115"/>
  <c r="A1690" i="115"/>
  <c r="K1689" i="115"/>
  <c r="I1689" i="115"/>
  <c r="H1689" i="115"/>
  <c r="G1689" i="115"/>
  <c r="F1689" i="115"/>
  <c r="E1689" i="115"/>
  <c r="A1689" i="115"/>
  <c r="K1688" i="115"/>
  <c r="I1688" i="115"/>
  <c r="H1688" i="115"/>
  <c r="G1688" i="115"/>
  <c r="F1688" i="115"/>
  <c r="E1688" i="115"/>
  <c r="A1688" i="115"/>
  <c r="K1687" i="115"/>
  <c r="I1687" i="115"/>
  <c r="H1687" i="115"/>
  <c r="G1687" i="115"/>
  <c r="F1687" i="115"/>
  <c r="E1687" i="115"/>
  <c r="A1687" i="115"/>
  <c r="K1686" i="115"/>
  <c r="I1686" i="115"/>
  <c r="H1686" i="115"/>
  <c r="G1686" i="115"/>
  <c r="F1686" i="115"/>
  <c r="E1686" i="115"/>
  <c r="A1686" i="115"/>
  <c r="K1685" i="115"/>
  <c r="I1685" i="115"/>
  <c r="H1685" i="115"/>
  <c r="G1685" i="115"/>
  <c r="F1685" i="115"/>
  <c r="E1685" i="115"/>
  <c r="A1685" i="115"/>
  <c r="K1684" i="115"/>
  <c r="I1684" i="115"/>
  <c r="H1684" i="115"/>
  <c r="G1684" i="115"/>
  <c r="F1684" i="115"/>
  <c r="E1684" i="115"/>
  <c r="A1684" i="115"/>
  <c r="K1683" i="115"/>
  <c r="I1683" i="115"/>
  <c r="H1683" i="115"/>
  <c r="G1683" i="115"/>
  <c r="F1683" i="115"/>
  <c r="E1683" i="115"/>
  <c r="A1683" i="115"/>
  <c r="K1682" i="115"/>
  <c r="I1682" i="115"/>
  <c r="H1682" i="115"/>
  <c r="G1682" i="115"/>
  <c r="F1682" i="115"/>
  <c r="E1682" i="115"/>
  <c r="A1682" i="115"/>
  <c r="K1681" i="115"/>
  <c r="I1681" i="115"/>
  <c r="H1681" i="115"/>
  <c r="G1681" i="115"/>
  <c r="F1681" i="115"/>
  <c r="E1681" i="115"/>
  <c r="A1681" i="115"/>
  <c r="K1680" i="115"/>
  <c r="I1680" i="115"/>
  <c r="H1680" i="115"/>
  <c r="G1680" i="115"/>
  <c r="F1680" i="115"/>
  <c r="E1680" i="115"/>
  <c r="A1680" i="115"/>
  <c r="K1679" i="115"/>
  <c r="I1679" i="115"/>
  <c r="H1679" i="115"/>
  <c r="G1679" i="115"/>
  <c r="F1679" i="115"/>
  <c r="E1679" i="115"/>
  <c r="A1679" i="115"/>
  <c r="K1678" i="115"/>
  <c r="I1678" i="115"/>
  <c r="H1678" i="115"/>
  <c r="G1678" i="115"/>
  <c r="F1678" i="115"/>
  <c r="E1678" i="115"/>
  <c r="A1678" i="115"/>
  <c r="K1677" i="115"/>
  <c r="I1677" i="115"/>
  <c r="H1677" i="115"/>
  <c r="G1677" i="115"/>
  <c r="F1677" i="115"/>
  <c r="E1677" i="115"/>
  <c r="A1677" i="115"/>
  <c r="K1676" i="115"/>
  <c r="I1676" i="115"/>
  <c r="H1676" i="115"/>
  <c r="G1676" i="115"/>
  <c r="F1676" i="115"/>
  <c r="E1676" i="115"/>
  <c r="A1676" i="115"/>
  <c r="K1675" i="115"/>
  <c r="I1675" i="115"/>
  <c r="H1675" i="115"/>
  <c r="G1675" i="115"/>
  <c r="F1675" i="115"/>
  <c r="E1675" i="115"/>
  <c r="A1675" i="115"/>
  <c r="K1674" i="115"/>
  <c r="I1674" i="115"/>
  <c r="H1674" i="115"/>
  <c r="G1674" i="115"/>
  <c r="F1674" i="115"/>
  <c r="E1674" i="115"/>
  <c r="A1674" i="115"/>
  <c r="K1673" i="115"/>
  <c r="I1673" i="115"/>
  <c r="H1673" i="115"/>
  <c r="G1673" i="115"/>
  <c r="F1673" i="115"/>
  <c r="E1673" i="115"/>
  <c r="A1673" i="115"/>
  <c r="K1672" i="115"/>
  <c r="I1672" i="115"/>
  <c r="H1672" i="115"/>
  <c r="G1672" i="115"/>
  <c r="F1672" i="115"/>
  <c r="E1672" i="115"/>
  <c r="A1672" i="115"/>
  <c r="K1671" i="115"/>
  <c r="I1671" i="115"/>
  <c r="H1671" i="115"/>
  <c r="G1671" i="115"/>
  <c r="F1671" i="115"/>
  <c r="E1671" i="115"/>
  <c r="A1671" i="115"/>
  <c r="K1670" i="115"/>
  <c r="I1670" i="115"/>
  <c r="H1670" i="115"/>
  <c r="G1670" i="115"/>
  <c r="F1670" i="115"/>
  <c r="E1670" i="115"/>
  <c r="A1670" i="115"/>
  <c r="K1669" i="115"/>
  <c r="I1669" i="115"/>
  <c r="H1669" i="115"/>
  <c r="G1669" i="115"/>
  <c r="F1669" i="115"/>
  <c r="E1669" i="115"/>
  <c r="A1669" i="115"/>
  <c r="K1668" i="115"/>
  <c r="I1668" i="115"/>
  <c r="H1668" i="115"/>
  <c r="G1668" i="115"/>
  <c r="F1668" i="115"/>
  <c r="E1668" i="115"/>
  <c r="A1668" i="115"/>
  <c r="K1667" i="115"/>
  <c r="I1667" i="115"/>
  <c r="H1667" i="115"/>
  <c r="G1667" i="115"/>
  <c r="F1667" i="115"/>
  <c r="E1667" i="115"/>
  <c r="A1667" i="115"/>
  <c r="K1666" i="115"/>
  <c r="I1666" i="115"/>
  <c r="H1666" i="115"/>
  <c r="G1666" i="115"/>
  <c r="F1666" i="115"/>
  <c r="E1666" i="115"/>
  <c r="A1666" i="115"/>
  <c r="K1665" i="115"/>
  <c r="I1665" i="115"/>
  <c r="H1665" i="115"/>
  <c r="G1665" i="115"/>
  <c r="F1665" i="115"/>
  <c r="E1665" i="115"/>
  <c r="A1665" i="115"/>
  <c r="K1664" i="115"/>
  <c r="I1664" i="115"/>
  <c r="H1664" i="115"/>
  <c r="G1664" i="115"/>
  <c r="F1664" i="115"/>
  <c r="E1664" i="115"/>
  <c r="A1664" i="115"/>
  <c r="K1663" i="115"/>
  <c r="I1663" i="115"/>
  <c r="H1663" i="115"/>
  <c r="G1663" i="115"/>
  <c r="F1663" i="115"/>
  <c r="E1663" i="115"/>
  <c r="A1663" i="115"/>
  <c r="K1662" i="115"/>
  <c r="I1662" i="115"/>
  <c r="H1662" i="115"/>
  <c r="G1662" i="115"/>
  <c r="F1662" i="115"/>
  <c r="E1662" i="115"/>
  <c r="A1662" i="115"/>
  <c r="K1661" i="115"/>
  <c r="I1661" i="115"/>
  <c r="H1661" i="115"/>
  <c r="G1661" i="115"/>
  <c r="F1661" i="115"/>
  <c r="E1661" i="115"/>
  <c r="A1661" i="115"/>
  <c r="K1660" i="115"/>
  <c r="I1660" i="115"/>
  <c r="H1660" i="115"/>
  <c r="G1660" i="115"/>
  <c r="F1660" i="115"/>
  <c r="E1660" i="115"/>
  <c r="A1660" i="115"/>
  <c r="K1659" i="115"/>
  <c r="I1659" i="115"/>
  <c r="H1659" i="115"/>
  <c r="G1659" i="115"/>
  <c r="F1659" i="115"/>
  <c r="E1659" i="115"/>
  <c r="A1659" i="115"/>
  <c r="K1658" i="115"/>
  <c r="I1658" i="115"/>
  <c r="H1658" i="115"/>
  <c r="G1658" i="115"/>
  <c r="F1658" i="115"/>
  <c r="E1658" i="115"/>
  <c r="A1658" i="115"/>
  <c r="K1657" i="115"/>
  <c r="I1657" i="115"/>
  <c r="H1657" i="115"/>
  <c r="G1657" i="115"/>
  <c r="F1657" i="115"/>
  <c r="E1657" i="115"/>
  <c r="A1657" i="115"/>
  <c r="K1656" i="115"/>
  <c r="I1656" i="115"/>
  <c r="H1656" i="115"/>
  <c r="G1656" i="115"/>
  <c r="F1656" i="115"/>
  <c r="E1656" i="115"/>
  <c r="A1656" i="115"/>
  <c r="K1655" i="115"/>
  <c r="I1655" i="115"/>
  <c r="H1655" i="115"/>
  <c r="G1655" i="115"/>
  <c r="F1655" i="115"/>
  <c r="E1655" i="115"/>
  <c r="A1655" i="115"/>
  <c r="K1654" i="115"/>
  <c r="I1654" i="115"/>
  <c r="H1654" i="115"/>
  <c r="G1654" i="115"/>
  <c r="F1654" i="115"/>
  <c r="E1654" i="115"/>
  <c r="A1654" i="115"/>
  <c r="K1653" i="115"/>
  <c r="I1653" i="115"/>
  <c r="H1653" i="115"/>
  <c r="G1653" i="115"/>
  <c r="F1653" i="115"/>
  <c r="E1653" i="115"/>
  <c r="A1653" i="115"/>
  <c r="K1652" i="115"/>
  <c r="I1652" i="115"/>
  <c r="H1652" i="115"/>
  <c r="G1652" i="115"/>
  <c r="F1652" i="115"/>
  <c r="E1652" i="115"/>
  <c r="A1652" i="115"/>
  <c r="K1651" i="115"/>
  <c r="I1651" i="115"/>
  <c r="H1651" i="115"/>
  <c r="G1651" i="115"/>
  <c r="F1651" i="115"/>
  <c r="E1651" i="115"/>
  <c r="A1651" i="115"/>
  <c r="K1650" i="115"/>
  <c r="I1650" i="115"/>
  <c r="H1650" i="115"/>
  <c r="G1650" i="115"/>
  <c r="F1650" i="115"/>
  <c r="E1650" i="115"/>
  <c r="A1650" i="115"/>
  <c r="K1649" i="115"/>
  <c r="I1649" i="115"/>
  <c r="H1649" i="115"/>
  <c r="G1649" i="115"/>
  <c r="F1649" i="115"/>
  <c r="E1649" i="115"/>
  <c r="A1649" i="115"/>
  <c r="K1648" i="115"/>
  <c r="I1648" i="115"/>
  <c r="H1648" i="115"/>
  <c r="G1648" i="115"/>
  <c r="F1648" i="115"/>
  <c r="E1648" i="115"/>
  <c r="A1648" i="115"/>
  <c r="K1647" i="115"/>
  <c r="I1647" i="115"/>
  <c r="H1647" i="115"/>
  <c r="G1647" i="115"/>
  <c r="F1647" i="115"/>
  <c r="E1647" i="115"/>
  <c r="A1647" i="115"/>
  <c r="K1646" i="115"/>
  <c r="I1646" i="115"/>
  <c r="H1646" i="115"/>
  <c r="G1646" i="115"/>
  <c r="F1646" i="115"/>
  <c r="E1646" i="115"/>
  <c r="A1646" i="115"/>
  <c r="K1645" i="115"/>
  <c r="I1645" i="115"/>
  <c r="H1645" i="115"/>
  <c r="G1645" i="115"/>
  <c r="F1645" i="115"/>
  <c r="E1645" i="115"/>
  <c r="A1645" i="115"/>
  <c r="K1644" i="115"/>
  <c r="I1644" i="115"/>
  <c r="H1644" i="115"/>
  <c r="G1644" i="115"/>
  <c r="F1644" i="115"/>
  <c r="E1644" i="115"/>
  <c r="A1644" i="115"/>
  <c r="K1643" i="115"/>
  <c r="I1643" i="115"/>
  <c r="H1643" i="115"/>
  <c r="G1643" i="115"/>
  <c r="F1643" i="115"/>
  <c r="E1643" i="115"/>
  <c r="A1643" i="115"/>
  <c r="K1642" i="115"/>
  <c r="I1642" i="115"/>
  <c r="H1642" i="115"/>
  <c r="G1642" i="115"/>
  <c r="F1642" i="115"/>
  <c r="E1642" i="115"/>
  <c r="A1642" i="115"/>
  <c r="K1641" i="115"/>
  <c r="I1641" i="115"/>
  <c r="H1641" i="115"/>
  <c r="G1641" i="115"/>
  <c r="F1641" i="115"/>
  <c r="E1641" i="115"/>
  <c r="A1641" i="115"/>
  <c r="K1640" i="115"/>
  <c r="I1640" i="115"/>
  <c r="H1640" i="115"/>
  <c r="G1640" i="115"/>
  <c r="F1640" i="115"/>
  <c r="E1640" i="115"/>
  <c r="A1640" i="115"/>
  <c r="K1639" i="115"/>
  <c r="I1639" i="115"/>
  <c r="H1639" i="115"/>
  <c r="G1639" i="115"/>
  <c r="F1639" i="115"/>
  <c r="E1639" i="115"/>
  <c r="A1639" i="115"/>
  <c r="K1638" i="115"/>
  <c r="I1638" i="115"/>
  <c r="H1638" i="115"/>
  <c r="G1638" i="115"/>
  <c r="F1638" i="115"/>
  <c r="E1638" i="115"/>
  <c r="A1638" i="115"/>
  <c r="K1637" i="115"/>
  <c r="I1637" i="115"/>
  <c r="H1637" i="115"/>
  <c r="G1637" i="115"/>
  <c r="F1637" i="115"/>
  <c r="E1637" i="115"/>
  <c r="A1637" i="115"/>
  <c r="K1636" i="115"/>
  <c r="I1636" i="115"/>
  <c r="H1636" i="115"/>
  <c r="G1636" i="115"/>
  <c r="F1636" i="115"/>
  <c r="E1636" i="115"/>
  <c r="A1636" i="115"/>
  <c r="K1635" i="115"/>
  <c r="I1635" i="115"/>
  <c r="H1635" i="115"/>
  <c r="G1635" i="115"/>
  <c r="F1635" i="115"/>
  <c r="E1635" i="115"/>
  <c r="A1635" i="115"/>
  <c r="K1634" i="115"/>
  <c r="I1634" i="115"/>
  <c r="H1634" i="115"/>
  <c r="G1634" i="115"/>
  <c r="F1634" i="115"/>
  <c r="E1634" i="115"/>
  <c r="A1634" i="115"/>
  <c r="K1633" i="115"/>
  <c r="I1633" i="115"/>
  <c r="H1633" i="115"/>
  <c r="G1633" i="115"/>
  <c r="F1633" i="115"/>
  <c r="E1633" i="115"/>
  <c r="A1633" i="115"/>
  <c r="K1632" i="115"/>
  <c r="I1632" i="115"/>
  <c r="H1632" i="115"/>
  <c r="G1632" i="115"/>
  <c r="F1632" i="115"/>
  <c r="E1632" i="115"/>
  <c r="A1632" i="115"/>
  <c r="K1631" i="115"/>
  <c r="I1631" i="115"/>
  <c r="H1631" i="115"/>
  <c r="G1631" i="115"/>
  <c r="F1631" i="115"/>
  <c r="E1631" i="115"/>
  <c r="A1631" i="115"/>
  <c r="K1630" i="115"/>
  <c r="I1630" i="115"/>
  <c r="H1630" i="115"/>
  <c r="G1630" i="115"/>
  <c r="F1630" i="115"/>
  <c r="E1630" i="115"/>
  <c r="A1630" i="115"/>
  <c r="K1629" i="115"/>
  <c r="I1629" i="115"/>
  <c r="H1629" i="115"/>
  <c r="G1629" i="115"/>
  <c r="F1629" i="115"/>
  <c r="E1629" i="115"/>
  <c r="A1629" i="115"/>
  <c r="K1628" i="115"/>
  <c r="I1628" i="115"/>
  <c r="H1628" i="115"/>
  <c r="G1628" i="115"/>
  <c r="F1628" i="115"/>
  <c r="E1628" i="115"/>
  <c r="A1628" i="115"/>
  <c r="K1627" i="115"/>
  <c r="I1627" i="115"/>
  <c r="H1627" i="115"/>
  <c r="G1627" i="115"/>
  <c r="F1627" i="115"/>
  <c r="E1627" i="115"/>
  <c r="A1627" i="115"/>
  <c r="K1626" i="115"/>
  <c r="I1626" i="115"/>
  <c r="H1626" i="115"/>
  <c r="G1626" i="115"/>
  <c r="F1626" i="115"/>
  <c r="E1626" i="115"/>
  <c r="A1626" i="115"/>
  <c r="K1625" i="115"/>
  <c r="I1625" i="115"/>
  <c r="H1625" i="115"/>
  <c r="G1625" i="115"/>
  <c r="F1625" i="115"/>
  <c r="E1625" i="115"/>
  <c r="A1625" i="115"/>
  <c r="K1624" i="115"/>
  <c r="I1624" i="115"/>
  <c r="H1624" i="115"/>
  <c r="G1624" i="115"/>
  <c r="F1624" i="115"/>
  <c r="E1624" i="115"/>
  <c r="A1624" i="115"/>
  <c r="K1623" i="115"/>
  <c r="I1623" i="115"/>
  <c r="H1623" i="115"/>
  <c r="G1623" i="115"/>
  <c r="F1623" i="115"/>
  <c r="E1623" i="115"/>
  <c r="A1623" i="115"/>
  <c r="K1622" i="115"/>
  <c r="I1622" i="115"/>
  <c r="H1622" i="115"/>
  <c r="G1622" i="115"/>
  <c r="F1622" i="115"/>
  <c r="E1622" i="115"/>
  <c r="A1622" i="115"/>
  <c r="K1621" i="115"/>
  <c r="I1621" i="115"/>
  <c r="H1621" i="115"/>
  <c r="G1621" i="115"/>
  <c r="F1621" i="115"/>
  <c r="E1621" i="115"/>
  <c r="A1621" i="115"/>
  <c r="K1620" i="115"/>
  <c r="I1620" i="115"/>
  <c r="H1620" i="115"/>
  <c r="G1620" i="115"/>
  <c r="F1620" i="115"/>
  <c r="E1620" i="115"/>
  <c r="A1620" i="115"/>
  <c r="K1619" i="115"/>
  <c r="I1619" i="115"/>
  <c r="H1619" i="115"/>
  <c r="G1619" i="115"/>
  <c r="F1619" i="115"/>
  <c r="E1619" i="115"/>
  <c r="A1619" i="115"/>
  <c r="K1618" i="115"/>
  <c r="I1618" i="115"/>
  <c r="H1618" i="115"/>
  <c r="G1618" i="115"/>
  <c r="F1618" i="115"/>
  <c r="E1618" i="115"/>
  <c r="A1618" i="115"/>
  <c r="K1617" i="115"/>
  <c r="I1617" i="115"/>
  <c r="H1617" i="115"/>
  <c r="G1617" i="115"/>
  <c r="F1617" i="115"/>
  <c r="E1617" i="115"/>
  <c r="A1617" i="115"/>
  <c r="K1616" i="115"/>
  <c r="I1616" i="115"/>
  <c r="H1616" i="115"/>
  <c r="G1616" i="115"/>
  <c r="F1616" i="115"/>
  <c r="E1616" i="115"/>
  <c r="A1616" i="115"/>
  <c r="K1615" i="115"/>
  <c r="I1615" i="115"/>
  <c r="H1615" i="115"/>
  <c r="G1615" i="115"/>
  <c r="F1615" i="115"/>
  <c r="E1615" i="115"/>
  <c r="A1615" i="115"/>
  <c r="K1614" i="115"/>
  <c r="I1614" i="115"/>
  <c r="H1614" i="115"/>
  <c r="G1614" i="115"/>
  <c r="F1614" i="115"/>
  <c r="E1614" i="115"/>
  <c r="A1614" i="115"/>
  <c r="K1613" i="115"/>
  <c r="I1613" i="115"/>
  <c r="H1613" i="115"/>
  <c r="G1613" i="115"/>
  <c r="F1613" i="115"/>
  <c r="E1613" i="115"/>
  <c r="A1613" i="115"/>
  <c r="K1612" i="115"/>
  <c r="I1612" i="115"/>
  <c r="H1612" i="115"/>
  <c r="G1612" i="115"/>
  <c r="F1612" i="115"/>
  <c r="E1612" i="115"/>
  <c r="A1612" i="115"/>
  <c r="K1611" i="115"/>
  <c r="I1611" i="115"/>
  <c r="H1611" i="115"/>
  <c r="G1611" i="115"/>
  <c r="F1611" i="115"/>
  <c r="E1611" i="115"/>
  <c r="A1611" i="115"/>
  <c r="K1610" i="115"/>
  <c r="I1610" i="115"/>
  <c r="H1610" i="115"/>
  <c r="G1610" i="115"/>
  <c r="F1610" i="115"/>
  <c r="E1610" i="115"/>
  <c r="A1610" i="115"/>
  <c r="K1609" i="115"/>
  <c r="I1609" i="115"/>
  <c r="H1609" i="115"/>
  <c r="G1609" i="115"/>
  <c r="F1609" i="115"/>
  <c r="E1609" i="115"/>
  <c r="A1609" i="115"/>
  <c r="K1608" i="115"/>
  <c r="I1608" i="115"/>
  <c r="H1608" i="115"/>
  <c r="G1608" i="115"/>
  <c r="F1608" i="115"/>
  <c r="E1608" i="115"/>
  <c r="A1608" i="115"/>
  <c r="K1607" i="115"/>
  <c r="I1607" i="115"/>
  <c r="H1607" i="115"/>
  <c r="G1607" i="115"/>
  <c r="F1607" i="115"/>
  <c r="E1607" i="115"/>
  <c r="A1607" i="115"/>
  <c r="K1606" i="115"/>
  <c r="I1606" i="115"/>
  <c r="H1606" i="115"/>
  <c r="G1606" i="115"/>
  <c r="F1606" i="115"/>
  <c r="E1606" i="115"/>
  <c r="A1606" i="115"/>
  <c r="K1605" i="115"/>
  <c r="I1605" i="115"/>
  <c r="H1605" i="115"/>
  <c r="G1605" i="115"/>
  <c r="F1605" i="115"/>
  <c r="E1605" i="115"/>
  <c r="A1605" i="115"/>
  <c r="K1604" i="115"/>
  <c r="I1604" i="115"/>
  <c r="H1604" i="115"/>
  <c r="G1604" i="115"/>
  <c r="F1604" i="115"/>
  <c r="E1604" i="115"/>
  <c r="A1604" i="115"/>
  <c r="K1603" i="115"/>
  <c r="I1603" i="115"/>
  <c r="H1603" i="115"/>
  <c r="G1603" i="115"/>
  <c r="F1603" i="115"/>
  <c r="E1603" i="115"/>
  <c r="A1603" i="115"/>
  <c r="K1602" i="115"/>
  <c r="I1602" i="115"/>
  <c r="H1602" i="115"/>
  <c r="G1602" i="115"/>
  <c r="F1602" i="115"/>
  <c r="E1602" i="115"/>
  <c r="A1602" i="115"/>
  <c r="K1601" i="115"/>
  <c r="I1601" i="115"/>
  <c r="H1601" i="115"/>
  <c r="G1601" i="115"/>
  <c r="F1601" i="115"/>
  <c r="E1601" i="115"/>
  <c r="A1601" i="115"/>
  <c r="K1600" i="115"/>
  <c r="I1600" i="115"/>
  <c r="H1600" i="115"/>
  <c r="G1600" i="115"/>
  <c r="F1600" i="115"/>
  <c r="E1600" i="115"/>
  <c r="A1600" i="115"/>
  <c r="K1599" i="115"/>
  <c r="I1599" i="115"/>
  <c r="H1599" i="115"/>
  <c r="G1599" i="115"/>
  <c r="F1599" i="115"/>
  <c r="E1599" i="115"/>
  <c r="A1599" i="115"/>
  <c r="K1598" i="115"/>
  <c r="I1598" i="115"/>
  <c r="H1598" i="115"/>
  <c r="G1598" i="115"/>
  <c r="F1598" i="115"/>
  <c r="E1598" i="115"/>
  <c r="A1598" i="115"/>
  <c r="K1597" i="115"/>
  <c r="I1597" i="115"/>
  <c r="H1597" i="115"/>
  <c r="G1597" i="115"/>
  <c r="F1597" i="115"/>
  <c r="E1597" i="115"/>
  <c r="A1597" i="115"/>
  <c r="K1596" i="115"/>
  <c r="I1596" i="115"/>
  <c r="H1596" i="115"/>
  <c r="G1596" i="115"/>
  <c r="F1596" i="115"/>
  <c r="E1596" i="115"/>
  <c r="A1596" i="115"/>
  <c r="K1595" i="115"/>
  <c r="I1595" i="115"/>
  <c r="H1595" i="115"/>
  <c r="G1595" i="115"/>
  <c r="F1595" i="115"/>
  <c r="E1595" i="115"/>
  <c r="A1595" i="115"/>
  <c r="K1594" i="115"/>
  <c r="I1594" i="115"/>
  <c r="H1594" i="115"/>
  <c r="G1594" i="115"/>
  <c r="F1594" i="115"/>
  <c r="E1594" i="115"/>
  <c r="A1594" i="115"/>
  <c r="K1593" i="115"/>
  <c r="I1593" i="115"/>
  <c r="H1593" i="115"/>
  <c r="G1593" i="115"/>
  <c r="F1593" i="115"/>
  <c r="E1593" i="115"/>
  <c r="A1593" i="115"/>
  <c r="K1592" i="115"/>
  <c r="I1592" i="115"/>
  <c r="H1592" i="115"/>
  <c r="G1592" i="115"/>
  <c r="F1592" i="115"/>
  <c r="E1592" i="115"/>
  <c r="A1592" i="115"/>
  <c r="K1591" i="115"/>
  <c r="I1591" i="115"/>
  <c r="H1591" i="115"/>
  <c r="G1591" i="115"/>
  <c r="F1591" i="115"/>
  <c r="E1591" i="115"/>
  <c r="A1591" i="115"/>
  <c r="K1590" i="115"/>
  <c r="I1590" i="115"/>
  <c r="H1590" i="115"/>
  <c r="G1590" i="115"/>
  <c r="F1590" i="115"/>
  <c r="E1590" i="115"/>
  <c r="A1590" i="115"/>
  <c r="K1589" i="115"/>
  <c r="I1589" i="115"/>
  <c r="H1589" i="115"/>
  <c r="G1589" i="115"/>
  <c r="F1589" i="115"/>
  <c r="E1589" i="115"/>
  <c r="A1589" i="115"/>
  <c r="K1588" i="115"/>
  <c r="I1588" i="115"/>
  <c r="H1588" i="115"/>
  <c r="G1588" i="115"/>
  <c r="F1588" i="115"/>
  <c r="E1588" i="115"/>
  <c r="A1588" i="115"/>
  <c r="K1587" i="115"/>
  <c r="I1587" i="115"/>
  <c r="H1587" i="115"/>
  <c r="G1587" i="115"/>
  <c r="F1587" i="115"/>
  <c r="E1587" i="115"/>
  <c r="A1587" i="115"/>
  <c r="K1586" i="115"/>
  <c r="I1586" i="115"/>
  <c r="H1586" i="115"/>
  <c r="G1586" i="115"/>
  <c r="F1586" i="115"/>
  <c r="E1586" i="115"/>
  <c r="A1586" i="115"/>
  <c r="K1585" i="115"/>
  <c r="I1585" i="115"/>
  <c r="H1585" i="115"/>
  <c r="G1585" i="115"/>
  <c r="F1585" i="115"/>
  <c r="E1585" i="115"/>
  <c r="A1585" i="115"/>
  <c r="K1584" i="115"/>
  <c r="I1584" i="115"/>
  <c r="H1584" i="115"/>
  <c r="G1584" i="115"/>
  <c r="F1584" i="115"/>
  <c r="E1584" i="115"/>
  <c r="A1584" i="115"/>
  <c r="K1583" i="115"/>
  <c r="I1583" i="115"/>
  <c r="H1583" i="115"/>
  <c r="G1583" i="115"/>
  <c r="F1583" i="115"/>
  <c r="E1583" i="115"/>
  <c r="A1583" i="115"/>
  <c r="K1582" i="115"/>
  <c r="I1582" i="115"/>
  <c r="H1582" i="115"/>
  <c r="G1582" i="115"/>
  <c r="F1582" i="115"/>
  <c r="E1582" i="115"/>
  <c r="A1582" i="115"/>
  <c r="K1581" i="115"/>
  <c r="I1581" i="115"/>
  <c r="H1581" i="115"/>
  <c r="G1581" i="115"/>
  <c r="F1581" i="115"/>
  <c r="E1581" i="115"/>
  <c r="A1581" i="115"/>
  <c r="K1580" i="115"/>
  <c r="I1580" i="115"/>
  <c r="H1580" i="115"/>
  <c r="G1580" i="115"/>
  <c r="F1580" i="115"/>
  <c r="E1580" i="115"/>
  <c r="A1580" i="115"/>
  <c r="K1579" i="115"/>
  <c r="I1579" i="115"/>
  <c r="H1579" i="115"/>
  <c r="G1579" i="115"/>
  <c r="F1579" i="115"/>
  <c r="E1579" i="115"/>
  <c r="A1579" i="115"/>
  <c r="K1578" i="115"/>
  <c r="I1578" i="115"/>
  <c r="H1578" i="115"/>
  <c r="G1578" i="115"/>
  <c r="F1578" i="115"/>
  <c r="E1578" i="115"/>
  <c r="A1578" i="115"/>
  <c r="K1577" i="115"/>
  <c r="I1577" i="115"/>
  <c r="H1577" i="115"/>
  <c r="G1577" i="115"/>
  <c r="F1577" i="115"/>
  <c r="E1577" i="115"/>
  <c r="A1577" i="115"/>
  <c r="K1576" i="115"/>
  <c r="I1576" i="115"/>
  <c r="H1576" i="115"/>
  <c r="G1576" i="115"/>
  <c r="F1576" i="115"/>
  <c r="E1576" i="115"/>
  <c r="A1576" i="115"/>
  <c r="K1575" i="115"/>
  <c r="I1575" i="115"/>
  <c r="H1575" i="115"/>
  <c r="G1575" i="115"/>
  <c r="F1575" i="115"/>
  <c r="E1575" i="115"/>
  <c r="A1575" i="115"/>
  <c r="K1574" i="115"/>
  <c r="I1574" i="115"/>
  <c r="H1574" i="115"/>
  <c r="G1574" i="115"/>
  <c r="F1574" i="115"/>
  <c r="E1574" i="115"/>
  <c r="A1574" i="115"/>
  <c r="K1573" i="115"/>
  <c r="I1573" i="115"/>
  <c r="H1573" i="115"/>
  <c r="G1573" i="115"/>
  <c r="F1573" i="115"/>
  <c r="E1573" i="115"/>
  <c r="A1573" i="115"/>
  <c r="K1572" i="115"/>
  <c r="I1572" i="115"/>
  <c r="H1572" i="115"/>
  <c r="G1572" i="115"/>
  <c r="F1572" i="115"/>
  <c r="E1572" i="115"/>
  <c r="A1572" i="115"/>
  <c r="K1571" i="115"/>
  <c r="I1571" i="115"/>
  <c r="H1571" i="115"/>
  <c r="G1571" i="115"/>
  <c r="F1571" i="115"/>
  <c r="E1571" i="115"/>
  <c r="A1571" i="115"/>
  <c r="K1570" i="115"/>
  <c r="I1570" i="115"/>
  <c r="H1570" i="115"/>
  <c r="G1570" i="115"/>
  <c r="F1570" i="115"/>
  <c r="E1570" i="115"/>
  <c r="A1570" i="115"/>
  <c r="K1569" i="115"/>
  <c r="I1569" i="115"/>
  <c r="H1569" i="115"/>
  <c r="G1569" i="115"/>
  <c r="F1569" i="115"/>
  <c r="E1569" i="115"/>
  <c r="A1569" i="115"/>
  <c r="K1568" i="115"/>
  <c r="I1568" i="115"/>
  <c r="H1568" i="115"/>
  <c r="G1568" i="115"/>
  <c r="F1568" i="115"/>
  <c r="E1568" i="115"/>
  <c r="A1568" i="115"/>
  <c r="K1567" i="115"/>
  <c r="I1567" i="115"/>
  <c r="H1567" i="115"/>
  <c r="G1567" i="115"/>
  <c r="F1567" i="115"/>
  <c r="E1567" i="115"/>
  <c r="A1567" i="115"/>
  <c r="K1566" i="115"/>
  <c r="I1566" i="115"/>
  <c r="H1566" i="115"/>
  <c r="G1566" i="115"/>
  <c r="F1566" i="115"/>
  <c r="E1566" i="115"/>
  <c r="A1566" i="115"/>
  <c r="K1565" i="115"/>
  <c r="I1565" i="115"/>
  <c r="H1565" i="115"/>
  <c r="G1565" i="115"/>
  <c r="F1565" i="115"/>
  <c r="E1565" i="115"/>
  <c r="A1565" i="115"/>
  <c r="K1564" i="115"/>
  <c r="I1564" i="115"/>
  <c r="H1564" i="115"/>
  <c r="G1564" i="115"/>
  <c r="F1564" i="115"/>
  <c r="E1564" i="115"/>
  <c r="A1564" i="115"/>
  <c r="K1563" i="115"/>
  <c r="I1563" i="115"/>
  <c r="H1563" i="115"/>
  <c r="G1563" i="115"/>
  <c r="F1563" i="115"/>
  <c r="E1563" i="115"/>
  <c r="A1563" i="115"/>
  <c r="K1562" i="115"/>
  <c r="I1562" i="115"/>
  <c r="H1562" i="115"/>
  <c r="G1562" i="115"/>
  <c r="F1562" i="115"/>
  <c r="E1562" i="115"/>
  <c r="A1562" i="115"/>
  <c r="K1561" i="115"/>
  <c r="I1561" i="115"/>
  <c r="H1561" i="115"/>
  <c r="G1561" i="115"/>
  <c r="F1561" i="115"/>
  <c r="E1561" i="115"/>
  <c r="A1561" i="115"/>
  <c r="K1560" i="115"/>
  <c r="I1560" i="115"/>
  <c r="H1560" i="115"/>
  <c r="G1560" i="115"/>
  <c r="F1560" i="115"/>
  <c r="E1560" i="115"/>
  <c r="A1560" i="115"/>
  <c r="K1559" i="115"/>
  <c r="I1559" i="115"/>
  <c r="H1559" i="115"/>
  <c r="G1559" i="115"/>
  <c r="F1559" i="115"/>
  <c r="E1559" i="115"/>
  <c r="A1559" i="115"/>
  <c r="K1558" i="115"/>
  <c r="I1558" i="115"/>
  <c r="H1558" i="115"/>
  <c r="G1558" i="115"/>
  <c r="F1558" i="115"/>
  <c r="E1558" i="115"/>
  <c r="A1558" i="115"/>
  <c r="K1557" i="115"/>
  <c r="I1557" i="115"/>
  <c r="H1557" i="115"/>
  <c r="G1557" i="115"/>
  <c r="F1557" i="115"/>
  <c r="E1557" i="115"/>
  <c r="A1557" i="115"/>
  <c r="K1556" i="115"/>
  <c r="I1556" i="115"/>
  <c r="H1556" i="115"/>
  <c r="G1556" i="115"/>
  <c r="F1556" i="115"/>
  <c r="E1556" i="115"/>
  <c r="A1556" i="115"/>
  <c r="K1555" i="115"/>
  <c r="I1555" i="115"/>
  <c r="H1555" i="115"/>
  <c r="G1555" i="115"/>
  <c r="F1555" i="115"/>
  <c r="E1555" i="115"/>
  <c r="A1555" i="115"/>
  <c r="K1554" i="115"/>
  <c r="I1554" i="115"/>
  <c r="H1554" i="115"/>
  <c r="G1554" i="115"/>
  <c r="F1554" i="115"/>
  <c r="E1554" i="115"/>
  <c r="A1554" i="115"/>
  <c r="K1553" i="115"/>
  <c r="I1553" i="115"/>
  <c r="H1553" i="115"/>
  <c r="G1553" i="115"/>
  <c r="F1553" i="115"/>
  <c r="E1553" i="115"/>
  <c r="A1553" i="115"/>
  <c r="K1552" i="115"/>
  <c r="I1552" i="115"/>
  <c r="H1552" i="115"/>
  <c r="G1552" i="115"/>
  <c r="F1552" i="115"/>
  <c r="E1552" i="115"/>
  <c r="A1552" i="115"/>
  <c r="K1551" i="115"/>
  <c r="I1551" i="115"/>
  <c r="H1551" i="115"/>
  <c r="G1551" i="115"/>
  <c r="F1551" i="115"/>
  <c r="E1551" i="115"/>
  <c r="A1551" i="115"/>
  <c r="K1550" i="115"/>
  <c r="I1550" i="115"/>
  <c r="H1550" i="115"/>
  <c r="G1550" i="115"/>
  <c r="F1550" i="115"/>
  <c r="E1550" i="115"/>
  <c r="A1550" i="115"/>
  <c r="K1549" i="115"/>
  <c r="I1549" i="115"/>
  <c r="H1549" i="115"/>
  <c r="G1549" i="115"/>
  <c r="F1549" i="115"/>
  <c r="E1549" i="115"/>
  <c r="A1549" i="115"/>
  <c r="K1548" i="115"/>
  <c r="I1548" i="115"/>
  <c r="H1548" i="115"/>
  <c r="G1548" i="115"/>
  <c r="F1548" i="115"/>
  <c r="E1548" i="115"/>
  <c r="A1548" i="115"/>
  <c r="K1547" i="115"/>
  <c r="I1547" i="115"/>
  <c r="H1547" i="115"/>
  <c r="G1547" i="115"/>
  <c r="F1547" i="115"/>
  <c r="E1547" i="115"/>
  <c r="A1547" i="115"/>
  <c r="K1546" i="115"/>
  <c r="I1546" i="115"/>
  <c r="H1546" i="115"/>
  <c r="G1546" i="115"/>
  <c r="F1546" i="115"/>
  <c r="E1546" i="115"/>
  <c r="A1546" i="115"/>
  <c r="K1545" i="115"/>
  <c r="I1545" i="115"/>
  <c r="H1545" i="115"/>
  <c r="G1545" i="115"/>
  <c r="F1545" i="115"/>
  <c r="E1545" i="115"/>
  <c r="A1545" i="115"/>
  <c r="K1544" i="115"/>
  <c r="I1544" i="115"/>
  <c r="H1544" i="115"/>
  <c r="G1544" i="115"/>
  <c r="F1544" i="115"/>
  <c r="E1544" i="115"/>
  <c r="A1544" i="115"/>
  <c r="K1543" i="115"/>
  <c r="I1543" i="115"/>
  <c r="H1543" i="115"/>
  <c r="G1543" i="115"/>
  <c r="F1543" i="115"/>
  <c r="E1543" i="115"/>
  <c r="A1543" i="115"/>
  <c r="K1542" i="115"/>
  <c r="I1542" i="115"/>
  <c r="H1542" i="115"/>
  <c r="G1542" i="115"/>
  <c r="F1542" i="115"/>
  <c r="E1542" i="115"/>
  <c r="A1542" i="115"/>
  <c r="K1541" i="115"/>
  <c r="I1541" i="115"/>
  <c r="H1541" i="115"/>
  <c r="G1541" i="115"/>
  <c r="F1541" i="115"/>
  <c r="E1541" i="115"/>
  <c r="A1541" i="115"/>
  <c r="K1540" i="115"/>
  <c r="I1540" i="115"/>
  <c r="H1540" i="115"/>
  <c r="G1540" i="115"/>
  <c r="F1540" i="115"/>
  <c r="E1540" i="115"/>
  <c r="A1540" i="115"/>
  <c r="K1539" i="115"/>
  <c r="I1539" i="115"/>
  <c r="H1539" i="115"/>
  <c r="G1539" i="115"/>
  <c r="F1539" i="115"/>
  <c r="E1539" i="115"/>
  <c r="A1539" i="115"/>
  <c r="K1538" i="115"/>
  <c r="I1538" i="115"/>
  <c r="H1538" i="115"/>
  <c r="G1538" i="115"/>
  <c r="F1538" i="115"/>
  <c r="E1538" i="115"/>
  <c r="A1538" i="115"/>
  <c r="K1537" i="115"/>
  <c r="I1537" i="115"/>
  <c r="H1537" i="115"/>
  <c r="G1537" i="115"/>
  <c r="F1537" i="115"/>
  <c r="E1537" i="115"/>
  <c r="A1537" i="115"/>
  <c r="K1536" i="115"/>
  <c r="I1536" i="115"/>
  <c r="H1536" i="115"/>
  <c r="G1536" i="115"/>
  <c r="F1536" i="115"/>
  <c r="E1536" i="115"/>
  <c r="A1536" i="115"/>
  <c r="K1535" i="115"/>
  <c r="I1535" i="115"/>
  <c r="H1535" i="115"/>
  <c r="G1535" i="115"/>
  <c r="F1535" i="115"/>
  <c r="E1535" i="115"/>
  <c r="A1535" i="115"/>
  <c r="K1534" i="115"/>
  <c r="I1534" i="115"/>
  <c r="H1534" i="115"/>
  <c r="G1534" i="115"/>
  <c r="F1534" i="115"/>
  <c r="E1534" i="115"/>
  <c r="A1534" i="115"/>
  <c r="K1533" i="115"/>
  <c r="I1533" i="115"/>
  <c r="H1533" i="115"/>
  <c r="G1533" i="115"/>
  <c r="F1533" i="115"/>
  <c r="E1533" i="115"/>
  <c r="A1533" i="115"/>
  <c r="K1532" i="115"/>
  <c r="I1532" i="115"/>
  <c r="H1532" i="115"/>
  <c r="G1532" i="115"/>
  <c r="F1532" i="115"/>
  <c r="E1532" i="115"/>
  <c r="A1532" i="115"/>
  <c r="K1531" i="115"/>
  <c r="I1531" i="115"/>
  <c r="H1531" i="115"/>
  <c r="G1531" i="115"/>
  <c r="F1531" i="115"/>
  <c r="E1531" i="115"/>
  <c r="A1531" i="115"/>
  <c r="K1530" i="115"/>
  <c r="I1530" i="115"/>
  <c r="H1530" i="115"/>
  <c r="G1530" i="115"/>
  <c r="F1530" i="115"/>
  <c r="E1530" i="115"/>
  <c r="A1530" i="115"/>
  <c r="K1529" i="115"/>
  <c r="I1529" i="115"/>
  <c r="H1529" i="115"/>
  <c r="G1529" i="115"/>
  <c r="F1529" i="115"/>
  <c r="E1529" i="115"/>
  <c r="A1529" i="115"/>
  <c r="K1528" i="115"/>
  <c r="I1528" i="115"/>
  <c r="H1528" i="115"/>
  <c r="G1528" i="115"/>
  <c r="F1528" i="115"/>
  <c r="E1528" i="115"/>
  <c r="A1528" i="115"/>
  <c r="K1527" i="115"/>
  <c r="I1527" i="115"/>
  <c r="H1527" i="115"/>
  <c r="G1527" i="115"/>
  <c r="F1527" i="115"/>
  <c r="E1527" i="115"/>
  <c r="A1527" i="115"/>
  <c r="K1526" i="115"/>
  <c r="I1526" i="115"/>
  <c r="H1526" i="115"/>
  <c r="G1526" i="115"/>
  <c r="F1526" i="115"/>
  <c r="E1526" i="115"/>
  <c r="A1526" i="115"/>
  <c r="K1525" i="115"/>
  <c r="I1525" i="115"/>
  <c r="H1525" i="115"/>
  <c r="G1525" i="115"/>
  <c r="F1525" i="115"/>
  <c r="E1525" i="115"/>
  <c r="A1525" i="115"/>
  <c r="K1524" i="115"/>
  <c r="I1524" i="115"/>
  <c r="H1524" i="115"/>
  <c r="G1524" i="115"/>
  <c r="F1524" i="115"/>
  <c r="E1524" i="115"/>
  <c r="A1524" i="115"/>
  <c r="K1523" i="115"/>
  <c r="I1523" i="115"/>
  <c r="H1523" i="115"/>
  <c r="G1523" i="115"/>
  <c r="F1523" i="115"/>
  <c r="E1523" i="115"/>
  <c r="A1523" i="115"/>
  <c r="K1522" i="115"/>
  <c r="I1522" i="115"/>
  <c r="H1522" i="115"/>
  <c r="G1522" i="115"/>
  <c r="F1522" i="115"/>
  <c r="E1522" i="115"/>
  <c r="A1522" i="115"/>
  <c r="K1521" i="115"/>
  <c r="I1521" i="115"/>
  <c r="H1521" i="115"/>
  <c r="G1521" i="115"/>
  <c r="F1521" i="115"/>
  <c r="E1521" i="115"/>
  <c r="A1521" i="115"/>
  <c r="K1520" i="115"/>
  <c r="I1520" i="115"/>
  <c r="H1520" i="115"/>
  <c r="G1520" i="115"/>
  <c r="F1520" i="115"/>
  <c r="E1520" i="115"/>
  <c r="A1520" i="115"/>
  <c r="K1519" i="115"/>
  <c r="I1519" i="115"/>
  <c r="H1519" i="115"/>
  <c r="G1519" i="115"/>
  <c r="F1519" i="115"/>
  <c r="E1519" i="115"/>
  <c r="A1519" i="115"/>
  <c r="K1518" i="115"/>
  <c r="I1518" i="115"/>
  <c r="H1518" i="115"/>
  <c r="G1518" i="115"/>
  <c r="F1518" i="115"/>
  <c r="E1518" i="115"/>
  <c r="A1518" i="115"/>
  <c r="K1517" i="115"/>
  <c r="I1517" i="115"/>
  <c r="H1517" i="115"/>
  <c r="G1517" i="115"/>
  <c r="F1517" i="115"/>
  <c r="E1517" i="115"/>
  <c r="A1517" i="115"/>
  <c r="K1516" i="115"/>
  <c r="I1516" i="115"/>
  <c r="H1516" i="115"/>
  <c r="G1516" i="115"/>
  <c r="F1516" i="115"/>
  <c r="E1516" i="115"/>
  <c r="A1516" i="115"/>
  <c r="K1515" i="115"/>
  <c r="I1515" i="115"/>
  <c r="H1515" i="115"/>
  <c r="G1515" i="115"/>
  <c r="F1515" i="115"/>
  <c r="E1515" i="115"/>
  <c r="A1515" i="115"/>
  <c r="K1514" i="115"/>
  <c r="I1514" i="115"/>
  <c r="H1514" i="115"/>
  <c r="G1514" i="115"/>
  <c r="F1514" i="115"/>
  <c r="E1514" i="115"/>
  <c r="A1514" i="115"/>
  <c r="K1513" i="115"/>
  <c r="I1513" i="115"/>
  <c r="H1513" i="115"/>
  <c r="G1513" i="115"/>
  <c r="F1513" i="115"/>
  <c r="E1513" i="115"/>
  <c r="A1513" i="115"/>
  <c r="K1512" i="115"/>
  <c r="I1512" i="115"/>
  <c r="H1512" i="115"/>
  <c r="G1512" i="115"/>
  <c r="F1512" i="115"/>
  <c r="E1512" i="115"/>
  <c r="A1512" i="115"/>
  <c r="K1511" i="115"/>
  <c r="I1511" i="115"/>
  <c r="H1511" i="115"/>
  <c r="G1511" i="115"/>
  <c r="F1511" i="115"/>
  <c r="E1511" i="115"/>
  <c r="A1511" i="115"/>
  <c r="K1510" i="115"/>
  <c r="I1510" i="115"/>
  <c r="H1510" i="115"/>
  <c r="G1510" i="115"/>
  <c r="F1510" i="115"/>
  <c r="E1510" i="115"/>
  <c r="A1510" i="115"/>
  <c r="K1509" i="115"/>
  <c r="I1509" i="115"/>
  <c r="H1509" i="115"/>
  <c r="G1509" i="115"/>
  <c r="F1509" i="115"/>
  <c r="E1509" i="115"/>
  <c r="A1509" i="115"/>
  <c r="K1508" i="115"/>
  <c r="I1508" i="115"/>
  <c r="H1508" i="115"/>
  <c r="G1508" i="115"/>
  <c r="F1508" i="115"/>
  <c r="E1508" i="115"/>
  <c r="A1508" i="115"/>
  <c r="K1507" i="115"/>
  <c r="I1507" i="115"/>
  <c r="H1507" i="115"/>
  <c r="G1507" i="115"/>
  <c r="F1507" i="115"/>
  <c r="E1507" i="115"/>
  <c r="A1507" i="115"/>
  <c r="K1506" i="115"/>
  <c r="I1506" i="115"/>
  <c r="H1506" i="115"/>
  <c r="G1506" i="115"/>
  <c r="F1506" i="115"/>
  <c r="E1506" i="115"/>
  <c r="A1506" i="115"/>
  <c r="K1505" i="115"/>
  <c r="I1505" i="115"/>
  <c r="H1505" i="115"/>
  <c r="G1505" i="115"/>
  <c r="F1505" i="115"/>
  <c r="E1505" i="115"/>
  <c r="A1505" i="115"/>
  <c r="K1504" i="115"/>
  <c r="I1504" i="115"/>
  <c r="H1504" i="115"/>
  <c r="G1504" i="115"/>
  <c r="F1504" i="115"/>
  <c r="E1504" i="115"/>
  <c r="A1504" i="115"/>
  <c r="K1503" i="115"/>
  <c r="I1503" i="115"/>
  <c r="H1503" i="115"/>
  <c r="G1503" i="115"/>
  <c r="F1503" i="115"/>
  <c r="E1503" i="115"/>
  <c r="A1503" i="115"/>
  <c r="K1502" i="115"/>
  <c r="I1502" i="115"/>
  <c r="H1502" i="115"/>
  <c r="G1502" i="115"/>
  <c r="F1502" i="115"/>
  <c r="E1502" i="115"/>
  <c r="A1502" i="115"/>
  <c r="K1501" i="115"/>
  <c r="I1501" i="115"/>
  <c r="H1501" i="115"/>
  <c r="G1501" i="115"/>
  <c r="F1501" i="115"/>
  <c r="E1501" i="115"/>
  <c r="A1501" i="115"/>
  <c r="K1500" i="115"/>
  <c r="I1500" i="115"/>
  <c r="H1500" i="115"/>
  <c r="G1500" i="115"/>
  <c r="F1500" i="115"/>
  <c r="E1500" i="115"/>
  <c r="A1500" i="115"/>
  <c r="K1499" i="115"/>
  <c r="I1499" i="115"/>
  <c r="H1499" i="115"/>
  <c r="G1499" i="115"/>
  <c r="F1499" i="115"/>
  <c r="E1499" i="115"/>
  <c r="A1499" i="115"/>
  <c r="K1498" i="115"/>
  <c r="I1498" i="115"/>
  <c r="H1498" i="115"/>
  <c r="G1498" i="115"/>
  <c r="F1498" i="115"/>
  <c r="E1498" i="115"/>
  <c r="A1498" i="115"/>
  <c r="K1497" i="115"/>
  <c r="I1497" i="115"/>
  <c r="H1497" i="115"/>
  <c r="G1497" i="115"/>
  <c r="F1497" i="115"/>
  <c r="E1497" i="115"/>
  <c r="A1497" i="115"/>
  <c r="K1496" i="115"/>
  <c r="I1496" i="115"/>
  <c r="H1496" i="115"/>
  <c r="G1496" i="115"/>
  <c r="F1496" i="115"/>
  <c r="E1496" i="115"/>
  <c r="A1496" i="115"/>
  <c r="K1495" i="115"/>
  <c r="I1495" i="115"/>
  <c r="H1495" i="115"/>
  <c r="G1495" i="115"/>
  <c r="F1495" i="115"/>
  <c r="E1495" i="115"/>
  <c r="A1495" i="115"/>
  <c r="K1494" i="115"/>
  <c r="I1494" i="115"/>
  <c r="H1494" i="115"/>
  <c r="G1494" i="115"/>
  <c r="F1494" i="115"/>
  <c r="E1494" i="115"/>
  <c r="A1494" i="115"/>
  <c r="K1493" i="115"/>
  <c r="I1493" i="115"/>
  <c r="H1493" i="115"/>
  <c r="G1493" i="115"/>
  <c r="F1493" i="115"/>
  <c r="E1493" i="115"/>
  <c r="A1493" i="115"/>
  <c r="K1492" i="115"/>
  <c r="I1492" i="115"/>
  <c r="H1492" i="115"/>
  <c r="G1492" i="115"/>
  <c r="F1492" i="115"/>
  <c r="E1492" i="115"/>
  <c r="A1492" i="115"/>
  <c r="K1491" i="115"/>
  <c r="I1491" i="115"/>
  <c r="H1491" i="115"/>
  <c r="G1491" i="115"/>
  <c r="F1491" i="115"/>
  <c r="E1491" i="115"/>
  <c r="A1491" i="115"/>
  <c r="K1490" i="115"/>
  <c r="I1490" i="115"/>
  <c r="H1490" i="115"/>
  <c r="G1490" i="115"/>
  <c r="F1490" i="115"/>
  <c r="E1490" i="115"/>
  <c r="A1490" i="115"/>
  <c r="K1489" i="115"/>
  <c r="I1489" i="115"/>
  <c r="H1489" i="115"/>
  <c r="G1489" i="115"/>
  <c r="F1489" i="115"/>
  <c r="E1489" i="115"/>
  <c r="A1489" i="115"/>
  <c r="K1488" i="115"/>
  <c r="I1488" i="115"/>
  <c r="H1488" i="115"/>
  <c r="G1488" i="115"/>
  <c r="F1488" i="115"/>
  <c r="E1488" i="115"/>
  <c r="A1488" i="115"/>
  <c r="K1487" i="115"/>
  <c r="I1487" i="115"/>
  <c r="H1487" i="115"/>
  <c r="G1487" i="115"/>
  <c r="F1487" i="115"/>
  <c r="E1487" i="115"/>
  <c r="A1487" i="115"/>
  <c r="K1486" i="115"/>
  <c r="I1486" i="115"/>
  <c r="H1486" i="115"/>
  <c r="G1486" i="115"/>
  <c r="F1486" i="115"/>
  <c r="E1486" i="115"/>
  <c r="A1486" i="115"/>
  <c r="K1485" i="115"/>
  <c r="I1485" i="115"/>
  <c r="H1485" i="115"/>
  <c r="G1485" i="115"/>
  <c r="F1485" i="115"/>
  <c r="E1485" i="115"/>
  <c r="A1485" i="115"/>
  <c r="K1484" i="115"/>
  <c r="I1484" i="115"/>
  <c r="H1484" i="115"/>
  <c r="G1484" i="115"/>
  <c r="F1484" i="115"/>
  <c r="E1484" i="115"/>
  <c r="A1484" i="115"/>
  <c r="K1483" i="115"/>
  <c r="I1483" i="115"/>
  <c r="H1483" i="115"/>
  <c r="G1483" i="115"/>
  <c r="F1483" i="115"/>
  <c r="E1483" i="115"/>
  <c r="A1483" i="115"/>
  <c r="K1482" i="115"/>
  <c r="I1482" i="115"/>
  <c r="H1482" i="115"/>
  <c r="G1482" i="115"/>
  <c r="F1482" i="115"/>
  <c r="E1482" i="115"/>
  <c r="A1482" i="115"/>
  <c r="K1481" i="115"/>
  <c r="I1481" i="115"/>
  <c r="H1481" i="115"/>
  <c r="G1481" i="115"/>
  <c r="F1481" i="115"/>
  <c r="E1481" i="115"/>
  <c r="A1481" i="115"/>
  <c r="K1480" i="115"/>
  <c r="I1480" i="115"/>
  <c r="H1480" i="115"/>
  <c r="G1480" i="115"/>
  <c r="F1480" i="115"/>
  <c r="E1480" i="115"/>
  <c r="A1480" i="115"/>
  <c r="K1479" i="115"/>
  <c r="I1479" i="115"/>
  <c r="H1479" i="115"/>
  <c r="G1479" i="115"/>
  <c r="F1479" i="115"/>
  <c r="E1479" i="115"/>
  <c r="A1479" i="115"/>
  <c r="K1478" i="115"/>
  <c r="I1478" i="115"/>
  <c r="H1478" i="115"/>
  <c r="G1478" i="115"/>
  <c r="F1478" i="115"/>
  <c r="E1478" i="115"/>
  <c r="A1478" i="115"/>
  <c r="K1477" i="115"/>
  <c r="I1477" i="115"/>
  <c r="H1477" i="115"/>
  <c r="G1477" i="115"/>
  <c r="F1477" i="115"/>
  <c r="E1477" i="115"/>
  <c r="A1477" i="115"/>
  <c r="K1476" i="115"/>
  <c r="I1476" i="115"/>
  <c r="H1476" i="115"/>
  <c r="G1476" i="115"/>
  <c r="F1476" i="115"/>
  <c r="E1476" i="115"/>
  <c r="A1476" i="115"/>
  <c r="K1475" i="115"/>
  <c r="I1475" i="115"/>
  <c r="H1475" i="115"/>
  <c r="G1475" i="115"/>
  <c r="F1475" i="115"/>
  <c r="E1475" i="115"/>
  <c r="A1475" i="115"/>
  <c r="K1474" i="115"/>
  <c r="I1474" i="115"/>
  <c r="H1474" i="115"/>
  <c r="G1474" i="115"/>
  <c r="F1474" i="115"/>
  <c r="E1474" i="115"/>
  <c r="A1474" i="115"/>
  <c r="K1473" i="115"/>
  <c r="I1473" i="115"/>
  <c r="H1473" i="115"/>
  <c r="G1473" i="115"/>
  <c r="F1473" i="115"/>
  <c r="E1473" i="115"/>
  <c r="A1473" i="115"/>
  <c r="K1472" i="115"/>
  <c r="I1472" i="115"/>
  <c r="H1472" i="115"/>
  <c r="G1472" i="115"/>
  <c r="F1472" i="115"/>
  <c r="E1472" i="115"/>
  <c r="A1472" i="115"/>
  <c r="K1471" i="115"/>
  <c r="I1471" i="115"/>
  <c r="H1471" i="115"/>
  <c r="G1471" i="115"/>
  <c r="F1471" i="115"/>
  <c r="E1471" i="115"/>
  <c r="A1471" i="115"/>
  <c r="K1470" i="115"/>
  <c r="I1470" i="115"/>
  <c r="H1470" i="115"/>
  <c r="G1470" i="115"/>
  <c r="F1470" i="115"/>
  <c r="E1470" i="115"/>
  <c r="A1470" i="115"/>
  <c r="K1469" i="115"/>
  <c r="I1469" i="115"/>
  <c r="H1469" i="115"/>
  <c r="G1469" i="115"/>
  <c r="F1469" i="115"/>
  <c r="E1469" i="115"/>
  <c r="A1469" i="115"/>
  <c r="K1468" i="115"/>
  <c r="I1468" i="115"/>
  <c r="H1468" i="115"/>
  <c r="G1468" i="115"/>
  <c r="F1468" i="115"/>
  <c r="E1468" i="115"/>
  <c r="A1468" i="115"/>
  <c r="K1467" i="115"/>
  <c r="I1467" i="115"/>
  <c r="H1467" i="115"/>
  <c r="G1467" i="115"/>
  <c r="F1467" i="115"/>
  <c r="E1467" i="115"/>
  <c r="A1467" i="115"/>
  <c r="K1466" i="115"/>
  <c r="I1466" i="115"/>
  <c r="H1466" i="115"/>
  <c r="G1466" i="115"/>
  <c r="F1466" i="115"/>
  <c r="E1466" i="115"/>
  <c r="A1466" i="115"/>
  <c r="K1465" i="115"/>
  <c r="I1465" i="115"/>
  <c r="H1465" i="115"/>
  <c r="G1465" i="115"/>
  <c r="F1465" i="115"/>
  <c r="E1465" i="115"/>
  <c r="A1465" i="115"/>
  <c r="K1464" i="115"/>
  <c r="I1464" i="115"/>
  <c r="H1464" i="115"/>
  <c r="G1464" i="115"/>
  <c r="F1464" i="115"/>
  <c r="E1464" i="115"/>
  <c r="A1464" i="115"/>
  <c r="K1463" i="115"/>
  <c r="I1463" i="115"/>
  <c r="H1463" i="115"/>
  <c r="G1463" i="115"/>
  <c r="F1463" i="115"/>
  <c r="E1463" i="115"/>
  <c r="A1463" i="115"/>
  <c r="K1462" i="115"/>
  <c r="I1462" i="115"/>
  <c r="H1462" i="115"/>
  <c r="G1462" i="115"/>
  <c r="F1462" i="115"/>
  <c r="E1462" i="115"/>
  <c r="A1462" i="115"/>
  <c r="K1461" i="115"/>
  <c r="I1461" i="115"/>
  <c r="H1461" i="115"/>
  <c r="G1461" i="115"/>
  <c r="F1461" i="115"/>
  <c r="E1461" i="115"/>
  <c r="A1461" i="115"/>
  <c r="K1460" i="115"/>
  <c r="I1460" i="115"/>
  <c r="H1460" i="115"/>
  <c r="G1460" i="115"/>
  <c r="F1460" i="115"/>
  <c r="E1460" i="115"/>
  <c r="A1460" i="115"/>
  <c r="K1459" i="115"/>
  <c r="I1459" i="115"/>
  <c r="H1459" i="115"/>
  <c r="G1459" i="115"/>
  <c r="F1459" i="115"/>
  <c r="E1459" i="115"/>
  <c r="A1459" i="115"/>
  <c r="K1458" i="115"/>
  <c r="I1458" i="115"/>
  <c r="H1458" i="115"/>
  <c r="G1458" i="115"/>
  <c r="F1458" i="115"/>
  <c r="E1458" i="115"/>
  <c r="A1458" i="115"/>
  <c r="K1457" i="115"/>
  <c r="I1457" i="115"/>
  <c r="H1457" i="115"/>
  <c r="G1457" i="115"/>
  <c r="F1457" i="115"/>
  <c r="E1457" i="115"/>
  <c r="A1457" i="115"/>
  <c r="K1456" i="115"/>
  <c r="I1456" i="115"/>
  <c r="H1456" i="115"/>
  <c r="G1456" i="115"/>
  <c r="F1456" i="115"/>
  <c r="E1456" i="115"/>
  <c r="A1456" i="115"/>
  <c r="K1455" i="115"/>
  <c r="I1455" i="115"/>
  <c r="H1455" i="115"/>
  <c r="G1455" i="115"/>
  <c r="F1455" i="115"/>
  <c r="E1455" i="115"/>
  <c r="A1455" i="115"/>
  <c r="K1454" i="115"/>
  <c r="I1454" i="115"/>
  <c r="H1454" i="115"/>
  <c r="G1454" i="115"/>
  <c r="F1454" i="115"/>
  <c r="E1454" i="115"/>
  <c r="A1454" i="115"/>
  <c r="K1453" i="115"/>
  <c r="I1453" i="115"/>
  <c r="H1453" i="115"/>
  <c r="G1453" i="115"/>
  <c r="F1453" i="115"/>
  <c r="E1453" i="115"/>
  <c r="A1453" i="115"/>
  <c r="K1452" i="115"/>
  <c r="I1452" i="115"/>
  <c r="H1452" i="115"/>
  <c r="G1452" i="115"/>
  <c r="F1452" i="115"/>
  <c r="E1452" i="115"/>
  <c r="A1452" i="115"/>
  <c r="K1451" i="115"/>
  <c r="I1451" i="115"/>
  <c r="H1451" i="115"/>
  <c r="G1451" i="115"/>
  <c r="F1451" i="115"/>
  <c r="E1451" i="115"/>
  <c r="A1451" i="115"/>
  <c r="K1450" i="115"/>
  <c r="I1450" i="115"/>
  <c r="H1450" i="115"/>
  <c r="G1450" i="115"/>
  <c r="F1450" i="115"/>
  <c r="E1450" i="115"/>
  <c r="A1450" i="115"/>
  <c r="K1449" i="115"/>
  <c r="I1449" i="115"/>
  <c r="H1449" i="115"/>
  <c r="G1449" i="115"/>
  <c r="F1449" i="115"/>
  <c r="E1449" i="115"/>
  <c r="A1449" i="115"/>
  <c r="K1448" i="115"/>
  <c r="I1448" i="115"/>
  <c r="H1448" i="115"/>
  <c r="G1448" i="115"/>
  <c r="F1448" i="115"/>
  <c r="E1448" i="115"/>
  <c r="A1448" i="115"/>
  <c r="K1447" i="115"/>
  <c r="I1447" i="115"/>
  <c r="H1447" i="115"/>
  <c r="G1447" i="115"/>
  <c r="F1447" i="115"/>
  <c r="E1447" i="115"/>
  <c r="A1447" i="115"/>
  <c r="K1446" i="115"/>
  <c r="I1446" i="115"/>
  <c r="H1446" i="115"/>
  <c r="G1446" i="115"/>
  <c r="F1446" i="115"/>
  <c r="E1446" i="115"/>
  <c r="A1446" i="115"/>
  <c r="K1445" i="115"/>
  <c r="I1445" i="115"/>
  <c r="H1445" i="115"/>
  <c r="G1445" i="115"/>
  <c r="F1445" i="115"/>
  <c r="E1445" i="115"/>
  <c r="A1445" i="115"/>
  <c r="K1444" i="115"/>
  <c r="I1444" i="115"/>
  <c r="H1444" i="115"/>
  <c r="G1444" i="115"/>
  <c r="F1444" i="115"/>
  <c r="E1444" i="115"/>
  <c r="A1444" i="115"/>
  <c r="K1443" i="115"/>
  <c r="I1443" i="115"/>
  <c r="H1443" i="115"/>
  <c r="G1443" i="115"/>
  <c r="F1443" i="115"/>
  <c r="E1443" i="115"/>
  <c r="A1443" i="115"/>
  <c r="K1442" i="115"/>
  <c r="I1442" i="115"/>
  <c r="H1442" i="115"/>
  <c r="G1442" i="115"/>
  <c r="F1442" i="115"/>
  <c r="E1442" i="115"/>
  <c r="A1442" i="115"/>
  <c r="K1441" i="115"/>
  <c r="I1441" i="115"/>
  <c r="H1441" i="115"/>
  <c r="G1441" i="115"/>
  <c r="F1441" i="115"/>
  <c r="E1441" i="115"/>
  <c r="A1441" i="115"/>
  <c r="K1440" i="115"/>
  <c r="I1440" i="115"/>
  <c r="H1440" i="115"/>
  <c r="G1440" i="115"/>
  <c r="F1440" i="115"/>
  <c r="E1440" i="115"/>
  <c r="A1440" i="115"/>
  <c r="K1439" i="115"/>
  <c r="I1439" i="115"/>
  <c r="H1439" i="115"/>
  <c r="G1439" i="115"/>
  <c r="F1439" i="115"/>
  <c r="E1439" i="115"/>
  <c r="A1439" i="115"/>
  <c r="K1438" i="115"/>
  <c r="I1438" i="115"/>
  <c r="H1438" i="115"/>
  <c r="G1438" i="115"/>
  <c r="F1438" i="115"/>
  <c r="E1438" i="115"/>
  <c r="A1438" i="115"/>
  <c r="K1437" i="115"/>
  <c r="I1437" i="115"/>
  <c r="H1437" i="115"/>
  <c r="G1437" i="115"/>
  <c r="F1437" i="115"/>
  <c r="E1437" i="115"/>
  <c r="A1437" i="115"/>
  <c r="K1436" i="115"/>
  <c r="I1436" i="115"/>
  <c r="H1436" i="115"/>
  <c r="G1436" i="115"/>
  <c r="F1436" i="115"/>
  <c r="E1436" i="115"/>
  <c r="A1436" i="115"/>
  <c r="K1435" i="115"/>
  <c r="I1435" i="115"/>
  <c r="H1435" i="115"/>
  <c r="G1435" i="115"/>
  <c r="F1435" i="115"/>
  <c r="E1435" i="115"/>
  <c r="A1435" i="115"/>
  <c r="K1434" i="115"/>
  <c r="I1434" i="115"/>
  <c r="H1434" i="115"/>
  <c r="G1434" i="115"/>
  <c r="F1434" i="115"/>
  <c r="E1434" i="115"/>
  <c r="A1434" i="115"/>
  <c r="K1433" i="115"/>
  <c r="I1433" i="115"/>
  <c r="H1433" i="115"/>
  <c r="G1433" i="115"/>
  <c r="F1433" i="115"/>
  <c r="E1433" i="115"/>
  <c r="A1433" i="115"/>
  <c r="K1432" i="115"/>
  <c r="I1432" i="115"/>
  <c r="H1432" i="115"/>
  <c r="G1432" i="115"/>
  <c r="F1432" i="115"/>
  <c r="E1432" i="115"/>
  <c r="A1432" i="115"/>
  <c r="K1431" i="115"/>
  <c r="I1431" i="115"/>
  <c r="H1431" i="115"/>
  <c r="G1431" i="115"/>
  <c r="F1431" i="115"/>
  <c r="E1431" i="115"/>
  <c r="A1431" i="115"/>
  <c r="K1430" i="115"/>
  <c r="I1430" i="115"/>
  <c r="H1430" i="115"/>
  <c r="G1430" i="115"/>
  <c r="F1430" i="115"/>
  <c r="E1430" i="115"/>
  <c r="A1430" i="115"/>
  <c r="K1429" i="115"/>
  <c r="I1429" i="115"/>
  <c r="H1429" i="115"/>
  <c r="G1429" i="115"/>
  <c r="F1429" i="115"/>
  <c r="E1429" i="115"/>
  <c r="A1429" i="115"/>
  <c r="K1428" i="115"/>
  <c r="I1428" i="115"/>
  <c r="H1428" i="115"/>
  <c r="G1428" i="115"/>
  <c r="F1428" i="115"/>
  <c r="E1428" i="115"/>
  <c r="A1428" i="115"/>
  <c r="K1427" i="115"/>
  <c r="I1427" i="115"/>
  <c r="H1427" i="115"/>
  <c r="G1427" i="115"/>
  <c r="F1427" i="115"/>
  <c r="E1427" i="115"/>
  <c r="A1427" i="115"/>
  <c r="K1426" i="115"/>
  <c r="I1426" i="115"/>
  <c r="H1426" i="115"/>
  <c r="G1426" i="115"/>
  <c r="F1426" i="115"/>
  <c r="E1426" i="115"/>
  <c r="A1426" i="115"/>
  <c r="K1425" i="115"/>
  <c r="I1425" i="115"/>
  <c r="H1425" i="115"/>
  <c r="G1425" i="115"/>
  <c r="F1425" i="115"/>
  <c r="E1425" i="115"/>
  <c r="A1425" i="115"/>
  <c r="K1424" i="115"/>
  <c r="I1424" i="115"/>
  <c r="H1424" i="115"/>
  <c r="G1424" i="115"/>
  <c r="F1424" i="115"/>
  <c r="E1424" i="115"/>
  <c r="A1424" i="115"/>
  <c r="K1423" i="115"/>
  <c r="I1423" i="115"/>
  <c r="H1423" i="115"/>
  <c r="G1423" i="115"/>
  <c r="F1423" i="115"/>
  <c r="E1423" i="115"/>
  <c r="A1423" i="115"/>
  <c r="K1422" i="115"/>
  <c r="I1422" i="115"/>
  <c r="H1422" i="115"/>
  <c r="G1422" i="115"/>
  <c r="F1422" i="115"/>
  <c r="E1422" i="115"/>
  <c r="A1422" i="115"/>
  <c r="K1421" i="115"/>
  <c r="I1421" i="115"/>
  <c r="H1421" i="115"/>
  <c r="G1421" i="115"/>
  <c r="F1421" i="115"/>
  <c r="E1421" i="115"/>
  <c r="A1421" i="115"/>
  <c r="K1420" i="115"/>
  <c r="I1420" i="115"/>
  <c r="H1420" i="115"/>
  <c r="G1420" i="115"/>
  <c r="F1420" i="115"/>
  <c r="E1420" i="115"/>
  <c r="A1420" i="115"/>
  <c r="K1419" i="115"/>
  <c r="I1419" i="115"/>
  <c r="H1419" i="115"/>
  <c r="G1419" i="115"/>
  <c r="F1419" i="115"/>
  <c r="E1419" i="115"/>
  <c r="A1419" i="115"/>
  <c r="K1418" i="115"/>
  <c r="I1418" i="115"/>
  <c r="H1418" i="115"/>
  <c r="G1418" i="115"/>
  <c r="F1418" i="115"/>
  <c r="E1418" i="115"/>
  <c r="A1418" i="115"/>
  <c r="K1417" i="115"/>
  <c r="I1417" i="115"/>
  <c r="H1417" i="115"/>
  <c r="G1417" i="115"/>
  <c r="F1417" i="115"/>
  <c r="E1417" i="115"/>
  <c r="A1417" i="115"/>
  <c r="K1416" i="115"/>
  <c r="I1416" i="115"/>
  <c r="H1416" i="115"/>
  <c r="G1416" i="115"/>
  <c r="F1416" i="115"/>
  <c r="E1416" i="115"/>
  <c r="A1416" i="115"/>
  <c r="K1415" i="115"/>
  <c r="I1415" i="115"/>
  <c r="H1415" i="115"/>
  <c r="G1415" i="115"/>
  <c r="F1415" i="115"/>
  <c r="E1415" i="115"/>
  <c r="A1415" i="115"/>
  <c r="K1414" i="115"/>
  <c r="I1414" i="115"/>
  <c r="H1414" i="115"/>
  <c r="G1414" i="115"/>
  <c r="F1414" i="115"/>
  <c r="E1414" i="115"/>
  <c r="A1414" i="115"/>
  <c r="K1413" i="115"/>
  <c r="I1413" i="115"/>
  <c r="H1413" i="115"/>
  <c r="G1413" i="115"/>
  <c r="F1413" i="115"/>
  <c r="E1413" i="115"/>
  <c r="A1413" i="115"/>
  <c r="K1412" i="115"/>
  <c r="I1412" i="115"/>
  <c r="H1412" i="115"/>
  <c r="G1412" i="115"/>
  <c r="F1412" i="115"/>
  <c r="E1412" i="115"/>
  <c r="A1412" i="115"/>
  <c r="K1411" i="115"/>
  <c r="I1411" i="115"/>
  <c r="H1411" i="115"/>
  <c r="G1411" i="115"/>
  <c r="F1411" i="115"/>
  <c r="E1411" i="115"/>
  <c r="A1411" i="115"/>
  <c r="K1410" i="115"/>
  <c r="I1410" i="115"/>
  <c r="H1410" i="115"/>
  <c r="G1410" i="115"/>
  <c r="F1410" i="115"/>
  <c r="E1410" i="115"/>
  <c r="A1410" i="115"/>
  <c r="K1409" i="115"/>
  <c r="I1409" i="115"/>
  <c r="H1409" i="115"/>
  <c r="G1409" i="115"/>
  <c r="F1409" i="115"/>
  <c r="E1409" i="115"/>
  <c r="A1409" i="115"/>
  <c r="K1408" i="115"/>
  <c r="I1408" i="115"/>
  <c r="H1408" i="115"/>
  <c r="G1408" i="115"/>
  <c r="F1408" i="115"/>
  <c r="E1408" i="115"/>
  <c r="A1408" i="115"/>
  <c r="K1407" i="115"/>
  <c r="I1407" i="115"/>
  <c r="H1407" i="115"/>
  <c r="G1407" i="115"/>
  <c r="F1407" i="115"/>
  <c r="E1407" i="115"/>
  <c r="A1407" i="115"/>
  <c r="K1406" i="115"/>
  <c r="I1406" i="115"/>
  <c r="H1406" i="115"/>
  <c r="G1406" i="115"/>
  <c r="F1406" i="115"/>
  <c r="E1406" i="115"/>
  <c r="A1406" i="115"/>
  <c r="K1405" i="115"/>
  <c r="I1405" i="115"/>
  <c r="H1405" i="115"/>
  <c r="G1405" i="115"/>
  <c r="F1405" i="115"/>
  <c r="E1405" i="115"/>
  <c r="A1405" i="115"/>
  <c r="K1404" i="115"/>
  <c r="I1404" i="115"/>
  <c r="H1404" i="115"/>
  <c r="G1404" i="115"/>
  <c r="F1404" i="115"/>
  <c r="E1404" i="115"/>
  <c r="A1404" i="115"/>
  <c r="K1403" i="115"/>
  <c r="I1403" i="115"/>
  <c r="H1403" i="115"/>
  <c r="G1403" i="115"/>
  <c r="F1403" i="115"/>
  <c r="E1403" i="115"/>
  <c r="A1403" i="115"/>
  <c r="K1402" i="115"/>
  <c r="I1402" i="115"/>
  <c r="H1402" i="115"/>
  <c r="G1402" i="115"/>
  <c r="F1402" i="115"/>
  <c r="E1402" i="115"/>
  <c r="A1402" i="115"/>
  <c r="K1401" i="115"/>
  <c r="I1401" i="115"/>
  <c r="H1401" i="115"/>
  <c r="G1401" i="115"/>
  <c r="F1401" i="115"/>
  <c r="E1401" i="115"/>
  <c r="A1401" i="115"/>
  <c r="K1400" i="115"/>
  <c r="I1400" i="115"/>
  <c r="H1400" i="115"/>
  <c r="G1400" i="115"/>
  <c r="F1400" i="115"/>
  <c r="E1400" i="115"/>
  <c r="A1400" i="115"/>
  <c r="K1399" i="115"/>
  <c r="I1399" i="115"/>
  <c r="H1399" i="115"/>
  <c r="G1399" i="115"/>
  <c r="F1399" i="115"/>
  <c r="E1399" i="115"/>
  <c r="A1399" i="115"/>
  <c r="K1398" i="115"/>
  <c r="I1398" i="115"/>
  <c r="H1398" i="115"/>
  <c r="G1398" i="115"/>
  <c r="F1398" i="115"/>
  <c r="E1398" i="115"/>
  <c r="A1398" i="115"/>
  <c r="K1397" i="115"/>
  <c r="I1397" i="115"/>
  <c r="H1397" i="115"/>
  <c r="G1397" i="115"/>
  <c r="F1397" i="115"/>
  <c r="E1397" i="115"/>
  <c r="A1397" i="115"/>
  <c r="K1396" i="115"/>
  <c r="I1396" i="115"/>
  <c r="H1396" i="115"/>
  <c r="G1396" i="115"/>
  <c r="F1396" i="115"/>
  <c r="E1396" i="115"/>
  <c r="A1396" i="115"/>
  <c r="K1395" i="115"/>
  <c r="I1395" i="115"/>
  <c r="H1395" i="115"/>
  <c r="G1395" i="115"/>
  <c r="F1395" i="115"/>
  <c r="E1395" i="115"/>
  <c r="A1395" i="115"/>
  <c r="K1394" i="115"/>
  <c r="I1394" i="115"/>
  <c r="H1394" i="115"/>
  <c r="G1394" i="115"/>
  <c r="F1394" i="115"/>
  <c r="E1394" i="115"/>
  <c r="A1394" i="115"/>
  <c r="K1393" i="115"/>
  <c r="I1393" i="115"/>
  <c r="H1393" i="115"/>
  <c r="G1393" i="115"/>
  <c r="F1393" i="115"/>
  <c r="E1393" i="115"/>
  <c r="A1393" i="115"/>
  <c r="K1392" i="115"/>
  <c r="I1392" i="115"/>
  <c r="H1392" i="115"/>
  <c r="G1392" i="115"/>
  <c r="F1392" i="115"/>
  <c r="E1392" i="115"/>
  <c r="A1392" i="115"/>
  <c r="K1391" i="115"/>
  <c r="I1391" i="115"/>
  <c r="H1391" i="115"/>
  <c r="G1391" i="115"/>
  <c r="F1391" i="115"/>
  <c r="E1391" i="115"/>
  <c r="A1391" i="115"/>
  <c r="K1390" i="115"/>
  <c r="I1390" i="115"/>
  <c r="H1390" i="115"/>
  <c r="G1390" i="115"/>
  <c r="F1390" i="115"/>
  <c r="E1390" i="115"/>
  <c r="A1390" i="115"/>
  <c r="K1389" i="115"/>
  <c r="I1389" i="115"/>
  <c r="H1389" i="115"/>
  <c r="G1389" i="115"/>
  <c r="F1389" i="115"/>
  <c r="E1389" i="115"/>
  <c r="A1389" i="115"/>
  <c r="K1388" i="115"/>
  <c r="I1388" i="115"/>
  <c r="H1388" i="115"/>
  <c r="G1388" i="115"/>
  <c r="F1388" i="115"/>
  <c r="E1388" i="115"/>
  <c r="A1388" i="115"/>
  <c r="K1387" i="115"/>
  <c r="I1387" i="115"/>
  <c r="H1387" i="115"/>
  <c r="G1387" i="115"/>
  <c r="F1387" i="115"/>
  <c r="E1387" i="115"/>
  <c r="A1387" i="115"/>
  <c r="K1386" i="115"/>
  <c r="I1386" i="115"/>
  <c r="H1386" i="115"/>
  <c r="G1386" i="115"/>
  <c r="F1386" i="115"/>
  <c r="E1386" i="115"/>
  <c r="A1386" i="115"/>
  <c r="K1385" i="115"/>
  <c r="I1385" i="115"/>
  <c r="H1385" i="115"/>
  <c r="G1385" i="115"/>
  <c r="F1385" i="115"/>
  <c r="E1385" i="115"/>
  <c r="A1385" i="115"/>
  <c r="K1384" i="115"/>
  <c r="I1384" i="115"/>
  <c r="H1384" i="115"/>
  <c r="G1384" i="115"/>
  <c r="F1384" i="115"/>
  <c r="E1384" i="115"/>
  <c r="A1384" i="115"/>
  <c r="K1383" i="115"/>
  <c r="I1383" i="115"/>
  <c r="H1383" i="115"/>
  <c r="G1383" i="115"/>
  <c r="F1383" i="115"/>
  <c r="E1383" i="115"/>
  <c r="A1383" i="115"/>
  <c r="K1382" i="115"/>
  <c r="I1382" i="115"/>
  <c r="H1382" i="115"/>
  <c r="G1382" i="115"/>
  <c r="F1382" i="115"/>
  <c r="E1382" i="115"/>
  <c r="A1382" i="115"/>
  <c r="K1381" i="115"/>
  <c r="I1381" i="115"/>
  <c r="H1381" i="115"/>
  <c r="G1381" i="115"/>
  <c r="F1381" i="115"/>
  <c r="E1381" i="115"/>
  <c r="A1381" i="115"/>
  <c r="K1380" i="115"/>
  <c r="I1380" i="115"/>
  <c r="H1380" i="115"/>
  <c r="G1380" i="115"/>
  <c r="F1380" i="115"/>
  <c r="E1380" i="115"/>
  <c r="A1380" i="115"/>
  <c r="K1379" i="115"/>
  <c r="I1379" i="115"/>
  <c r="H1379" i="115"/>
  <c r="G1379" i="115"/>
  <c r="F1379" i="115"/>
  <c r="E1379" i="115"/>
  <c r="A1379" i="115"/>
  <c r="K1378" i="115"/>
  <c r="I1378" i="115"/>
  <c r="H1378" i="115"/>
  <c r="G1378" i="115"/>
  <c r="F1378" i="115"/>
  <c r="E1378" i="115"/>
  <c r="A1378" i="115"/>
  <c r="K1377" i="115"/>
  <c r="I1377" i="115"/>
  <c r="H1377" i="115"/>
  <c r="G1377" i="115"/>
  <c r="F1377" i="115"/>
  <c r="E1377" i="115"/>
  <c r="A1377" i="115"/>
  <c r="K1376" i="115"/>
  <c r="I1376" i="115"/>
  <c r="H1376" i="115"/>
  <c r="G1376" i="115"/>
  <c r="F1376" i="115"/>
  <c r="E1376" i="115"/>
  <c r="A1376" i="115"/>
  <c r="K1375" i="115"/>
  <c r="I1375" i="115"/>
  <c r="H1375" i="115"/>
  <c r="G1375" i="115"/>
  <c r="F1375" i="115"/>
  <c r="E1375" i="115"/>
  <c r="A1375" i="115"/>
  <c r="K1374" i="115"/>
  <c r="I1374" i="115"/>
  <c r="H1374" i="115"/>
  <c r="G1374" i="115"/>
  <c r="F1374" i="115"/>
  <c r="E1374" i="115"/>
  <c r="A1374" i="115"/>
  <c r="K1373" i="115"/>
  <c r="I1373" i="115"/>
  <c r="H1373" i="115"/>
  <c r="G1373" i="115"/>
  <c r="F1373" i="115"/>
  <c r="E1373" i="115"/>
  <c r="A1373" i="115"/>
  <c r="K1372" i="115"/>
  <c r="I1372" i="115"/>
  <c r="H1372" i="115"/>
  <c r="G1372" i="115"/>
  <c r="F1372" i="115"/>
  <c r="E1372" i="115"/>
  <c r="A1372" i="115"/>
  <c r="K1371" i="115"/>
  <c r="I1371" i="115"/>
  <c r="H1371" i="115"/>
  <c r="G1371" i="115"/>
  <c r="F1371" i="115"/>
  <c r="E1371" i="115"/>
  <c r="A1371" i="115"/>
  <c r="K1370" i="115"/>
  <c r="I1370" i="115"/>
  <c r="H1370" i="115"/>
  <c r="G1370" i="115"/>
  <c r="F1370" i="115"/>
  <c r="E1370" i="115"/>
  <c r="A1370" i="115"/>
  <c r="K1369" i="115"/>
  <c r="I1369" i="115"/>
  <c r="H1369" i="115"/>
  <c r="G1369" i="115"/>
  <c r="F1369" i="115"/>
  <c r="E1369" i="115"/>
  <c r="A1369" i="115"/>
  <c r="K1368" i="115"/>
  <c r="I1368" i="115"/>
  <c r="H1368" i="115"/>
  <c r="G1368" i="115"/>
  <c r="F1368" i="115"/>
  <c r="E1368" i="115"/>
  <c r="A1368" i="115"/>
  <c r="K1367" i="115"/>
  <c r="I1367" i="115"/>
  <c r="H1367" i="115"/>
  <c r="G1367" i="115"/>
  <c r="F1367" i="115"/>
  <c r="E1367" i="115"/>
  <c r="A1367" i="115"/>
  <c r="K1366" i="115"/>
  <c r="I1366" i="115"/>
  <c r="H1366" i="115"/>
  <c r="G1366" i="115"/>
  <c r="F1366" i="115"/>
  <c r="E1366" i="115"/>
  <c r="A1366" i="115"/>
  <c r="K1365" i="115"/>
  <c r="I1365" i="115"/>
  <c r="H1365" i="115"/>
  <c r="G1365" i="115"/>
  <c r="F1365" i="115"/>
  <c r="E1365" i="115"/>
  <c r="A1365" i="115"/>
  <c r="K1364" i="115"/>
  <c r="I1364" i="115"/>
  <c r="H1364" i="115"/>
  <c r="G1364" i="115"/>
  <c r="F1364" i="115"/>
  <c r="E1364" i="115"/>
  <c r="A1364" i="115"/>
  <c r="K1363" i="115"/>
  <c r="I1363" i="115"/>
  <c r="H1363" i="115"/>
  <c r="G1363" i="115"/>
  <c r="F1363" i="115"/>
  <c r="E1363" i="115"/>
  <c r="A1363" i="115"/>
  <c r="K1362" i="115"/>
  <c r="I1362" i="115"/>
  <c r="H1362" i="115"/>
  <c r="G1362" i="115"/>
  <c r="F1362" i="115"/>
  <c r="E1362" i="115"/>
  <c r="A1362" i="115"/>
  <c r="K1361" i="115"/>
  <c r="I1361" i="115"/>
  <c r="H1361" i="115"/>
  <c r="G1361" i="115"/>
  <c r="F1361" i="115"/>
  <c r="E1361" i="115"/>
  <c r="A1361" i="115"/>
  <c r="K1360" i="115"/>
  <c r="I1360" i="115"/>
  <c r="H1360" i="115"/>
  <c r="G1360" i="115"/>
  <c r="F1360" i="115"/>
  <c r="E1360" i="115"/>
  <c r="A1360" i="115"/>
  <c r="K1359" i="115"/>
  <c r="I1359" i="115"/>
  <c r="H1359" i="115"/>
  <c r="G1359" i="115"/>
  <c r="F1359" i="115"/>
  <c r="E1359" i="115"/>
  <c r="A1359" i="115"/>
  <c r="K1358" i="115"/>
  <c r="I1358" i="115"/>
  <c r="H1358" i="115"/>
  <c r="G1358" i="115"/>
  <c r="F1358" i="115"/>
  <c r="E1358" i="115"/>
  <c r="A1358" i="115"/>
  <c r="K1357" i="115"/>
  <c r="I1357" i="115"/>
  <c r="H1357" i="115"/>
  <c r="G1357" i="115"/>
  <c r="F1357" i="115"/>
  <c r="E1357" i="115"/>
  <c r="A1357" i="115"/>
  <c r="K1356" i="115"/>
  <c r="I1356" i="115"/>
  <c r="H1356" i="115"/>
  <c r="G1356" i="115"/>
  <c r="F1356" i="115"/>
  <c r="E1356" i="115"/>
  <c r="A1356" i="115"/>
  <c r="K1355" i="115"/>
  <c r="I1355" i="115"/>
  <c r="H1355" i="115"/>
  <c r="G1355" i="115"/>
  <c r="F1355" i="115"/>
  <c r="E1355" i="115"/>
  <c r="A1355" i="115"/>
  <c r="K1354" i="115"/>
  <c r="I1354" i="115"/>
  <c r="H1354" i="115"/>
  <c r="G1354" i="115"/>
  <c r="F1354" i="115"/>
  <c r="E1354" i="115"/>
  <c r="A1354" i="115"/>
  <c r="K1353" i="115"/>
  <c r="I1353" i="115"/>
  <c r="H1353" i="115"/>
  <c r="G1353" i="115"/>
  <c r="F1353" i="115"/>
  <c r="E1353" i="115"/>
  <c r="A1353" i="115"/>
  <c r="K1352" i="115"/>
  <c r="I1352" i="115"/>
  <c r="H1352" i="115"/>
  <c r="G1352" i="115"/>
  <c r="F1352" i="115"/>
  <c r="E1352" i="115"/>
  <c r="A1352" i="115"/>
  <c r="K1351" i="115"/>
  <c r="I1351" i="115"/>
  <c r="H1351" i="115"/>
  <c r="G1351" i="115"/>
  <c r="F1351" i="115"/>
  <c r="E1351" i="115"/>
  <c r="A1351" i="115"/>
  <c r="K1350" i="115"/>
  <c r="I1350" i="115"/>
  <c r="H1350" i="115"/>
  <c r="G1350" i="115"/>
  <c r="F1350" i="115"/>
  <c r="E1350" i="115"/>
  <c r="A1350" i="115"/>
  <c r="K1349" i="115"/>
  <c r="I1349" i="115"/>
  <c r="H1349" i="115"/>
  <c r="G1349" i="115"/>
  <c r="F1349" i="115"/>
  <c r="E1349" i="115"/>
  <c r="A1349" i="115"/>
  <c r="K1348" i="115"/>
  <c r="I1348" i="115"/>
  <c r="H1348" i="115"/>
  <c r="G1348" i="115"/>
  <c r="F1348" i="115"/>
  <c r="E1348" i="115"/>
  <c r="A1348" i="115"/>
  <c r="K1347" i="115"/>
  <c r="I1347" i="115"/>
  <c r="H1347" i="115"/>
  <c r="G1347" i="115"/>
  <c r="F1347" i="115"/>
  <c r="E1347" i="115"/>
  <c r="A1347" i="115"/>
  <c r="K1346" i="115"/>
  <c r="I1346" i="115"/>
  <c r="H1346" i="115"/>
  <c r="G1346" i="115"/>
  <c r="F1346" i="115"/>
  <c r="E1346" i="115"/>
  <c r="A1346" i="115"/>
  <c r="K1345" i="115"/>
  <c r="I1345" i="115"/>
  <c r="H1345" i="115"/>
  <c r="G1345" i="115"/>
  <c r="F1345" i="115"/>
  <c r="E1345" i="115"/>
  <c r="A1345" i="115"/>
  <c r="K1344" i="115"/>
  <c r="I1344" i="115"/>
  <c r="H1344" i="115"/>
  <c r="G1344" i="115"/>
  <c r="F1344" i="115"/>
  <c r="E1344" i="115"/>
  <c r="A1344" i="115"/>
  <c r="K1343" i="115"/>
  <c r="I1343" i="115"/>
  <c r="H1343" i="115"/>
  <c r="G1343" i="115"/>
  <c r="F1343" i="115"/>
  <c r="E1343" i="115"/>
  <c r="A1343" i="115"/>
  <c r="K1342" i="115"/>
  <c r="I1342" i="115"/>
  <c r="H1342" i="115"/>
  <c r="G1342" i="115"/>
  <c r="F1342" i="115"/>
  <c r="E1342" i="115"/>
  <c r="A1342" i="115"/>
  <c r="K1341" i="115"/>
  <c r="I1341" i="115"/>
  <c r="H1341" i="115"/>
  <c r="G1341" i="115"/>
  <c r="F1341" i="115"/>
  <c r="E1341" i="115"/>
  <c r="A1341" i="115"/>
  <c r="K1340" i="115"/>
  <c r="I1340" i="115"/>
  <c r="H1340" i="115"/>
  <c r="G1340" i="115"/>
  <c r="F1340" i="115"/>
  <c r="E1340" i="115"/>
  <c r="A1340" i="115"/>
  <c r="K1339" i="115"/>
  <c r="I1339" i="115"/>
  <c r="H1339" i="115"/>
  <c r="G1339" i="115"/>
  <c r="F1339" i="115"/>
  <c r="E1339" i="115"/>
  <c r="A1339" i="115"/>
  <c r="K1338" i="115"/>
  <c r="I1338" i="115"/>
  <c r="H1338" i="115"/>
  <c r="G1338" i="115"/>
  <c r="F1338" i="115"/>
  <c r="E1338" i="115"/>
  <c r="A1338" i="115"/>
  <c r="K1337" i="115"/>
  <c r="I1337" i="115"/>
  <c r="H1337" i="115"/>
  <c r="G1337" i="115"/>
  <c r="F1337" i="115"/>
  <c r="E1337" i="115"/>
  <c r="A1337" i="115"/>
  <c r="K1336" i="115"/>
  <c r="I1336" i="115"/>
  <c r="H1336" i="115"/>
  <c r="G1336" i="115"/>
  <c r="F1336" i="115"/>
  <c r="E1336" i="115"/>
  <c r="A1336" i="115"/>
  <c r="K1335" i="115"/>
  <c r="I1335" i="115"/>
  <c r="H1335" i="115"/>
  <c r="G1335" i="115"/>
  <c r="F1335" i="115"/>
  <c r="E1335" i="115"/>
  <c r="A1335" i="115"/>
  <c r="K1334" i="115"/>
  <c r="I1334" i="115"/>
  <c r="H1334" i="115"/>
  <c r="G1334" i="115"/>
  <c r="F1334" i="115"/>
  <c r="E1334" i="115"/>
  <c r="A1334" i="115"/>
  <c r="K1333" i="115"/>
  <c r="I1333" i="115"/>
  <c r="H1333" i="115"/>
  <c r="G1333" i="115"/>
  <c r="F1333" i="115"/>
  <c r="E1333" i="115"/>
  <c r="A1333" i="115"/>
  <c r="K1332" i="115"/>
  <c r="I1332" i="115"/>
  <c r="H1332" i="115"/>
  <c r="G1332" i="115"/>
  <c r="F1332" i="115"/>
  <c r="E1332" i="115"/>
  <c r="A1332" i="115"/>
  <c r="K1331" i="115"/>
  <c r="I1331" i="115"/>
  <c r="H1331" i="115"/>
  <c r="G1331" i="115"/>
  <c r="F1331" i="115"/>
  <c r="E1331" i="115"/>
  <c r="A1331" i="115"/>
  <c r="K1330" i="115"/>
  <c r="I1330" i="115"/>
  <c r="H1330" i="115"/>
  <c r="G1330" i="115"/>
  <c r="F1330" i="115"/>
  <c r="E1330" i="115"/>
  <c r="A1330" i="115"/>
  <c r="K1329" i="115"/>
  <c r="I1329" i="115"/>
  <c r="H1329" i="115"/>
  <c r="G1329" i="115"/>
  <c r="F1329" i="115"/>
  <c r="E1329" i="115"/>
  <c r="A1329" i="115"/>
  <c r="K1328" i="115"/>
  <c r="I1328" i="115"/>
  <c r="H1328" i="115"/>
  <c r="G1328" i="115"/>
  <c r="F1328" i="115"/>
  <c r="E1328" i="115"/>
  <c r="A1328" i="115"/>
  <c r="K1327" i="115"/>
  <c r="I1327" i="115"/>
  <c r="H1327" i="115"/>
  <c r="G1327" i="115"/>
  <c r="F1327" i="115"/>
  <c r="E1327" i="115"/>
  <c r="A1327" i="115"/>
  <c r="K1326" i="115"/>
  <c r="I1326" i="115"/>
  <c r="H1326" i="115"/>
  <c r="G1326" i="115"/>
  <c r="F1326" i="115"/>
  <c r="E1326" i="115"/>
  <c r="A1326" i="115"/>
  <c r="K1325" i="115"/>
  <c r="I1325" i="115"/>
  <c r="H1325" i="115"/>
  <c r="G1325" i="115"/>
  <c r="F1325" i="115"/>
  <c r="E1325" i="115"/>
  <c r="A1325" i="115"/>
  <c r="K1324" i="115"/>
  <c r="I1324" i="115"/>
  <c r="H1324" i="115"/>
  <c r="G1324" i="115"/>
  <c r="F1324" i="115"/>
  <c r="E1324" i="115"/>
  <c r="A1324" i="115"/>
  <c r="K1323" i="115"/>
  <c r="I1323" i="115"/>
  <c r="H1323" i="115"/>
  <c r="G1323" i="115"/>
  <c r="F1323" i="115"/>
  <c r="E1323" i="115"/>
  <c r="A1323" i="115"/>
  <c r="K1322" i="115"/>
  <c r="I1322" i="115"/>
  <c r="H1322" i="115"/>
  <c r="G1322" i="115"/>
  <c r="F1322" i="115"/>
  <c r="E1322" i="115"/>
  <c r="A1322" i="115"/>
  <c r="K1321" i="115"/>
  <c r="I1321" i="115"/>
  <c r="H1321" i="115"/>
  <c r="G1321" i="115"/>
  <c r="F1321" i="115"/>
  <c r="E1321" i="115"/>
  <c r="A1321" i="115"/>
  <c r="K1320" i="115"/>
  <c r="I1320" i="115"/>
  <c r="H1320" i="115"/>
  <c r="G1320" i="115"/>
  <c r="F1320" i="115"/>
  <c r="E1320" i="115"/>
  <c r="A1320" i="115"/>
  <c r="K1319" i="115"/>
  <c r="I1319" i="115"/>
  <c r="H1319" i="115"/>
  <c r="G1319" i="115"/>
  <c r="F1319" i="115"/>
  <c r="E1319" i="115"/>
  <c r="A1319" i="115"/>
  <c r="K1318" i="115"/>
  <c r="I1318" i="115"/>
  <c r="H1318" i="115"/>
  <c r="G1318" i="115"/>
  <c r="F1318" i="115"/>
  <c r="E1318" i="115"/>
  <c r="A1318" i="115"/>
  <c r="K1317" i="115"/>
  <c r="I1317" i="115"/>
  <c r="H1317" i="115"/>
  <c r="G1317" i="115"/>
  <c r="F1317" i="115"/>
  <c r="E1317" i="115"/>
  <c r="A1317" i="115"/>
  <c r="K1316" i="115"/>
  <c r="I1316" i="115"/>
  <c r="H1316" i="115"/>
  <c r="G1316" i="115"/>
  <c r="F1316" i="115"/>
  <c r="E1316" i="115"/>
  <c r="A1316" i="115"/>
  <c r="K1315" i="115"/>
  <c r="I1315" i="115"/>
  <c r="H1315" i="115"/>
  <c r="G1315" i="115"/>
  <c r="F1315" i="115"/>
  <c r="E1315" i="115"/>
  <c r="A1315" i="115"/>
  <c r="K1314" i="115"/>
  <c r="I1314" i="115"/>
  <c r="H1314" i="115"/>
  <c r="G1314" i="115"/>
  <c r="F1314" i="115"/>
  <c r="E1314" i="115"/>
  <c r="A1314" i="115"/>
  <c r="K1313" i="115"/>
  <c r="I1313" i="115"/>
  <c r="H1313" i="115"/>
  <c r="G1313" i="115"/>
  <c r="F1313" i="115"/>
  <c r="E1313" i="115"/>
  <c r="A1313" i="115"/>
  <c r="K1312" i="115"/>
  <c r="I1312" i="115"/>
  <c r="H1312" i="115"/>
  <c r="G1312" i="115"/>
  <c r="F1312" i="115"/>
  <c r="E1312" i="115"/>
  <c r="A1312" i="115"/>
  <c r="K1311" i="115"/>
  <c r="I1311" i="115"/>
  <c r="H1311" i="115"/>
  <c r="G1311" i="115"/>
  <c r="F1311" i="115"/>
  <c r="E1311" i="115"/>
  <c r="A1311" i="115"/>
  <c r="K1310" i="115"/>
  <c r="I1310" i="115"/>
  <c r="H1310" i="115"/>
  <c r="G1310" i="115"/>
  <c r="F1310" i="115"/>
  <c r="E1310" i="115"/>
  <c r="A1310" i="115"/>
  <c r="K1309" i="115"/>
  <c r="I1309" i="115"/>
  <c r="H1309" i="115"/>
  <c r="G1309" i="115"/>
  <c r="F1309" i="115"/>
  <c r="E1309" i="115"/>
  <c r="A1309" i="115"/>
  <c r="K1308" i="115"/>
  <c r="I1308" i="115"/>
  <c r="H1308" i="115"/>
  <c r="G1308" i="115"/>
  <c r="F1308" i="115"/>
  <c r="E1308" i="115"/>
  <c r="A1308" i="115"/>
  <c r="K1307" i="115"/>
  <c r="I1307" i="115"/>
  <c r="H1307" i="115"/>
  <c r="G1307" i="115"/>
  <c r="F1307" i="115"/>
  <c r="E1307" i="115"/>
  <c r="A1307" i="115"/>
  <c r="K1306" i="115"/>
  <c r="I1306" i="115"/>
  <c r="H1306" i="115"/>
  <c r="G1306" i="115"/>
  <c r="F1306" i="115"/>
  <c r="E1306" i="115"/>
  <c r="A1306" i="115"/>
  <c r="K1305" i="115"/>
  <c r="I1305" i="115"/>
  <c r="H1305" i="115"/>
  <c r="G1305" i="115"/>
  <c r="F1305" i="115"/>
  <c r="E1305" i="115"/>
  <c r="A1305" i="115"/>
  <c r="K1304" i="115"/>
  <c r="I1304" i="115"/>
  <c r="H1304" i="115"/>
  <c r="G1304" i="115"/>
  <c r="F1304" i="115"/>
  <c r="E1304" i="115"/>
  <c r="A1304" i="115"/>
  <c r="K1303" i="115"/>
  <c r="I1303" i="115"/>
  <c r="H1303" i="115"/>
  <c r="G1303" i="115"/>
  <c r="F1303" i="115"/>
  <c r="E1303" i="115"/>
  <c r="A1303" i="115"/>
  <c r="K1302" i="115"/>
  <c r="I1302" i="115"/>
  <c r="H1302" i="115"/>
  <c r="G1302" i="115"/>
  <c r="F1302" i="115"/>
  <c r="E1302" i="115"/>
  <c r="A1302" i="115"/>
  <c r="K1301" i="115"/>
  <c r="I1301" i="115"/>
  <c r="H1301" i="115"/>
  <c r="G1301" i="115"/>
  <c r="F1301" i="115"/>
  <c r="E1301" i="115"/>
  <c r="A1301" i="115"/>
  <c r="K1300" i="115"/>
  <c r="I1300" i="115"/>
  <c r="H1300" i="115"/>
  <c r="G1300" i="115"/>
  <c r="F1300" i="115"/>
  <c r="E1300" i="115"/>
  <c r="A1300" i="115"/>
  <c r="K1299" i="115"/>
  <c r="I1299" i="115"/>
  <c r="H1299" i="115"/>
  <c r="G1299" i="115"/>
  <c r="F1299" i="115"/>
  <c r="E1299" i="115"/>
  <c r="A1299" i="115"/>
  <c r="K1298" i="115"/>
  <c r="I1298" i="115"/>
  <c r="H1298" i="115"/>
  <c r="G1298" i="115"/>
  <c r="F1298" i="115"/>
  <c r="E1298" i="115"/>
  <c r="A1298" i="115"/>
  <c r="K1297" i="115"/>
  <c r="I1297" i="115"/>
  <c r="H1297" i="115"/>
  <c r="G1297" i="115"/>
  <c r="F1297" i="115"/>
  <c r="E1297" i="115"/>
  <c r="A1297" i="115"/>
  <c r="K1296" i="115"/>
  <c r="I1296" i="115"/>
  <c r="H1296" i="115"/>
  <c r="G1296" i="115"/>
  <c r="F1296" i="115"/>
  <c r="E1296" i="115"/>
  <c r="A1296" i="115"/>
  <c r="K1295" i="115"/>
  <c r="I1295" i="115"/>
  <c r="H1295" i="115"/>
  <c r="G1295" i="115"/>
  <c r="F1295" i="115"/>
  <c r="E1295" i="115"/>
  <c r="A1295" i="115"/>
  <c r="K1294" i="115"/>
  <c r="I1294" i="115"/>
  <c r="H1294" i="115"/>
  <c r="G1294" i="115"/>
  <c r="F1294" i="115"/>
  <c r="E1294" i="115"/>
  <c r="A1294" i="115"/>
  <c r="K1293" i="115"/>
  <c r="I1293" i="115"/>
  <c r="H1293" i="115"/>
  <c r="G1293" i="115"/>
  <c r="F1293" i="115"/>
  <c r="E1293" i="115"/>
  <c r="A1293" i="115"/>
  <c r="K1292" i="115"/>
  <c r="I1292" i="115"/>
  <c r="H1292" i="115"/>
  <c r="G1292" i="115"/>
  <c r="F1292" i="115"/>
  <c r="E1292" i="115"/>
  <c r="A1292" i="115"/>
  <c r="K1291" i="115"/>
  <c r="I1291" i="115"/>
  <c r="H1291" i="115"/>
  <c r="G1291" i="115"/>
  <c r="F1291" i="115"/>
  <c r="E1291" i="115"/>
  <c r="A1291" i="115"/>
  <c r="K1290" i="115"/>
  <c r="I1290" i="115"/>
  <c r="H1290" i="115"/>
  <c r="G1290" i="115"/>
  <c r="F1290" i="115"/>
  <c r="E1290" i="115"/>
  <c r="A1290" i="115"/>
  <c r="K1289" i="115"/>
  <c r="I1289" i="115"/>
  <c r="H1289" i="115"/>
  <c r="G1289" i="115"/>
  <c r="F1289" i="115"/>
  <c r="E1289" i="115"/>
  <c r="A1289" i="115"/>
  <c r="K1288" i="115"/>
  <c r="I1288" i="115"/>
  <c r="H1288" i="115"/>
  <c r="G1288" i="115"/>
  <c r="F1288" i="115"/>
  <c r="E1288" i="115"/>
  <c r="A1288" i="115"/>
  <c r="K1287" i="115"/>
  <c r="I1287" i="115"/>
  <c r="H1287" i="115"/>
  <c r="G1287" i="115"/>
  <c r="F1287" i="115"/>
  <c r="E1287" i="115"/>
  <c r="A1287" i="115"/>
  <c r="K1286" i="115"/>
  <c r="I1286" i="115"/>
  <c r="H1286" i="115"/>
  <c r="G1286" i="115"/>
  <c r="F1286" i="115"/>
  <c r="E1286" i="115"/>
  <c r="A1286" i="115"/>
  <c r="K1285" i="115"/>
  <c r="I1285" i="115"/>
  <c r="H1285" i="115"/>
  <c r="G1285" i="115"/>
  <c r="F1285" i="115"/>
  <c r="E1285" i="115"/>
  <c r="A1285" i="115"/>
  <c r="K1284" i="115"/>
  <c r="I1284" i="115"/>
  <c r="H1284" i="115"/>
  <c r="G1284" i="115"/>
  <c r="F1284" i="115"/>
  <c r="E1284" i="115"/>
  <c r="A1284" i="115"/>
  <c r="K1283" i="115"/>
  <c r="I1283" i="115"/>
  <c r="H1283" i="115"/>
  <c r="G1283" i="115"/>
  <c r="F1283" i="115"/>
  <c r="E1283" i="115"/>
  <c r="A1283" i="115"/>
  <c r="K1282" i="115"/>
  <c r="I1282" i="115"/>
  <c r="H1282" i="115"/>
  <c r="G1282" i="115"/>
  <c r="F1282" i="115"/>
  <c r="E1282" i="115"/>
  <c r="A1282" i="115"/>
  <c r="K1281" i="115"/>
  <c r="I1281" i="115"/>
  <c r="H1281" i="115"/>
  <c r="G1281" i="115"/>
  <c r="F1281" i="115"/>
  <c r="E1281" i="115"/>
  <c r="A1281" i="115"/>
  <c r="K1280" i="115"/>
  <c r="I1280" i="115"/>
  <c r="H1280" i="115"/>
  <c r="G1280" i="115"/>
  <c r="F1280" i="115"/>
  <c r="E1280" i="115"/>
  <c r="A1280" i="115"/>
  <c r="K1279" i="115"/>
  <c r="I1279" i="115"/>
  <c r="H1279" i="115"/>
  <c r="G1279" i="115"/>
  <c r="F1279" i="115"/>
  <c r="E1279" i="115"/>
  <c r="A1279" i="115"/>
  <c r="K1278" i="115"/>
  <c r="I1278" i="115"/>
  <c r="H1278" i="115"/>
  <c r="G1278" i="115"/>
  <c r="F1278" i="115"/>
  <c r="E1278" i="115"/>
  <c r="A1278" i="115"/>
  <c r="K1277" i="115"/>
  <c r="I1277" i="115"/>
  <c r="H1277" i="115"/>
  <c r="G1277" i="115"/>
  <c r="F1277" i="115"/>
  <c r="E1277" i="115"/>
  <c r="A1277" i="115"/>
  <c r="K1276" i="115"/>
  <c r="I1276" i="115"/>
  <c r="H1276" i="115"/>
  <c r="G1276" i="115"/>
  <c r="F1276" i="115"/>
  <c r="E1276" i="115"/>
  <c r="A1276" i="115"/>
  <c r="K1275" i="115"/>
  <c r="I1275" i="115"/>
  <c r="H1275" i="115"/>
  <c r="G1275" i="115"/>
  <c r="F1275" i="115"/>
  <c r="E1275" i="115"/>
  <c r="A1275" i="115"/>
  <c r="K1274" i="115"/>
  <c r="I1274" i="115"/>
  <c r="H1274" i="115"/>
  <c r="G1274" i="115"/>
  <c r="F1274" i="115"/>
  <c r="E1274" i="115"/>
  <c r="A1274" i="115"/>
  <c r="K1273" i="115"/>
  <c r="I1273" i="115"/>
  <c r="H1273" i="115"/>
  <c r="G1273" i="115"/>
  <c r="F1273" i="115"/>
  <c r="E1273" i="115"/>
  <c r="A1273" i="115"/>
  <c r="K1272" i="115"/>
  <c r="I1272" i="115"/>
  <c r="H1272" i="115"/>
  <c r="G1272" i="115"/>
  <c r="F1272" i="115"/>
  <c r="E1272" i="115"/>
  <c r="A1272" i="115"/>
  <c r="K1271" i="115"/>
  <c r="I1271" i="115"/>
  <c r="H1271" i="115"/>
  <c r="G1271" i="115"/>
  <c r="F1271" i="115"/>
  <c r="E1271" i="115"/>
  <c r="A1271" i="115"/>
  <c r="K1270" i="115"/>
  <c r="I1270" i="115"/>
  <c r="H1270" i="115"/>
  <c r="G1270" i="115"/>
  <c r="F1270" i="115"/>
  <c r="E1270" i="115"/>
  <c r="A1270" i="115"/>
  <c r="K1269" i="115"/>
  <c r="I1269" i="115"/>
  <c r="H1269" i="115"/>
  <c r="G1269" i="115"/>
  <c r="F1269" i="115"/>
  <c r="E1269" i="115"/>
  <c r="A1269" i="115"/>
  <c r="K1268" i="115"/>
  <c r="I1268" i="115"/>
  <c r="H1268" i="115"/>
  <c r="G1268" i="115"/>
  <c r="F1268" i="115"/>
  <c r="E1268" i="115"/>
  <c r="A1268" i="115"/>
  <c r="K1267" i="115"/>
  <c r="I1267" i="115"/>
  <c r="H1267" i="115"/>
  <c r="G1267" i="115"/>
  <c r="F1267" i="115"/>
  <c r="E1267" i="115"/>
  <c r="A1267" i="115"/>
  <c r="K1266" i="115"/>
  <c r="I1266" i="115"/>
  <c r="H1266" i="115"/>
  <c r="G1266" i="115"/>
  <c r="F1266" i="115"/>
  <c r="E1266" i="115"/>
  <c r="A1266" i="115"/>
  <c r="K1265" i="115"/>
  <c r="I1265" i="115"/>
  <c r="H1265" i="115"/>
  <c r="G1265" i="115"/>
  <c r="F1265" i="115"/>
  <c r="E1265" i="115"/>
  <c r="A1265" i="115"/>
  <c r="K1264" i="115"/>
  <c r="I1264" i="115"/>
  <c r="H1264" i="115"/>
  <c r="G1264" i="115"/>
  <c r="F1264" i="115"/>
  <c r="E1264" i="115"/>
  <c r="A1264" i="115"/>
  <c r="K1263" i="115"/>
  <c r="I1263" i="115"/>
  <c r="H1263" i="115"/>
  <c r="G1263" i="115"/>
  <c r="F1263" i="115"/>
  <c r="E1263" i="115"/>
  <c r="A1263" i="115"/>
  <c r="K1262" i="115"/>
  <c r="I1262" i="115"/>
  <c r="H1262" i="115"/>
  <c r="G1262" i="115"/>
  <c r="F1262" i="115"/>
  <c r="E1262" i="115"/>
  <c r="A1262" i="115"/>
  <c r="K1261" i="115"/>
  <c r="I1261" i="115"/>
  <c r="H1261" i="115"/>
  <c r="G1261" i="115"/>
  <c r="F1261" i="115"/>
  <c r="E1261" i="115"/>
  <c r="A1261" i="115"/>
  <c r="K1260" i="115"/>
  <c r="I1260" i="115"/>
  <c r="H1260" i="115"/>
  <c r="G1260" i="115"/>
  <c r="F1260" i="115"/>
  <c r="E1260" i="115"/>
  <c r="A1260" i="115"/>
  <c r="K1259" i="115"/>
  <c r="I1259" i="115"/>
  <c r="H1259" i="115"/>
  <c r="G1259" i="115"/>
  <c r="F1259" i="115"/>
  <c r="E1259" i="115"/>
  <c r="A1259" i="115"/>
  <c r="K1258" i="115"/>
  <c r="I1258" i="115"/>
  <c r="H1258" i="115"/>
  <c r="G1258" i="115"/>
  <c r="F1258" i="115"/>
  <c r="E1258" i="115"/>
  <c r="A1258" i="115"/>
  <c r="K1257" i="115"/>
  <c r="I1257" i="115"/>
  <c r="H1257" i="115"/>
  <c r="G1257" i="115"/>
  <c r="F1257" i="115"/>
  <c r="E1257" i="115"/>
  <c r="A1257" i="115"/>
  <c r="K1256" i="115"/>
  <c r="I1256" i="115"/>
  <c r="H1256" i="115"/>
  <c r="G1256" i="115"/>
  <c r="F1256" i="115"/>
  <c r="E1256" i="115"/>
  <c r="A1256" i="115"/>
  <c r="K1255" i="115"/>
  <c r="I1255" i="115"/>
  <c r="H1255" i="115"/>
  <c r="G1255" i="115"/>
  <c r="F1255" i="115"/>
  <c r="E1255" i="115"/>
  <c r="A1255" i="115"/>
  <c r="K1254" i="115"/>
  <c r="I1254" i="115"/>
  <c r="H1254" i="115"/>
  <c r="G1254" i="115"/>
  <c r="F1254" i="115"/>
  <c r="E1254" i="115"/>
  <c r="A1254" i="115"/>
  <c r="K1253" i="115"/>
  <c r="I1253" i="115"/>
  <c r="H1253" i="115"/>
  <c r="G1253" i="115"/>
  <c r="F1253" i="115"/>
  <c r="E1253" i="115"/>
  <c r="A1253" i="115"/>
  <c r="K1252" i="115"/>
  <c r="I1252" i="115"/>
  <c r="H1252" i="115"/>
  <c r="G1252" i="115"/>
  <c r="F1252" i="115"/>
  <c r="E1252" i="115"/>
  <c r="A1252" i="115"/>
  <c r="K1251" i="115"/>
  <c r="I1251" i="115"/>
  <c r="H1251" i="115"/>
  <c r="G1251" i="115"/>
  <c r="F1251" i="115"/>
  <c r="E1251" i="115"/>
  <c r="A1251" i="115"/>
  <c r="K1250" i="115"/>
  <c r="I1250" i="115"/>
  <c r="H1250" i="115"/>
  <c r="G1250" i="115"/>
  <c r="F1250" i="115"/>
  <c r="E1250" i="115"/>
  <c r="A1250" i="115"/>
  <c r="K1249" i="115"/>
  <c r="I1249" i="115"/>
  <c r="H1249" i="115"/>
  <c r="G1249" i="115"/>
  <c r="F1249" i="115"/>
  <c r="E1249" i="115"/>
  <c r="A1249" i="115"/>
  <c r="K1248" i="115"/>
  <c r="I1248" i="115"/>
  <c r="H1248" i="115"/>
  <c r="G1248" i="115"/>
  <c r="F1248" i="115"/>
  <c r="E1248" i="115"/>
  <c r="A1248" i="115"/>
  <c r="K1247" i="115"/>
  <c r="I1247" i="115"/>
  <c r="H1247" i="115"/>
  <c r="G1247" i="115"/>
  <c r="F1247" i="115"/>
  <c r="E1247" i="115"/>
  <c r="A1247" i="115"/>
  <c r="K1246" i="115"/>
  <c r="I1246" i="115"/>
  <c r="H1246" i="115"/>
  <c r="G1246" i="115"/>
  <c r="F1246" i="115"/>
  <c r="E1246" i="115"/>
  <c r="A1246" i="115"/>
  <c r="K1245" i="115"/>
  <c r="I1245" i="115"/>
  <c r="H1245" i="115"/>
  <c r="G1245" i="115"/>
  <c r="F1245" i="115"/>
  <c r="E1245" i="115"/>
  <c r="A1245" i="115"/>
  <c r="K1244" i="115"/>
  <c r="I1244" i="115"/>
  <c r="H1244" i="115"/>
  <c r="G1244" i="115"/>
  <c r="F1244" i="115"/>
  <c r="E1244" i="115"/>
  <c r="A1244" i="115"/>
  <c r="K1243" i="115"/>
  <c r="I1243" i="115"/>
  <c r="H1243" i="115"/>
  <c r="G1243" i="115"/>
  <c r="F1243" i="115"/>
  <c r="E1243" i="115"/>
  <c r="A1243" i="115"/>
  <c r="K1242" i="115"/>
  <c r="I1242" i="115"/>
  <c r="H1242" i="115"/>
  <c r="G1242" i="115"/>
  <c r="F1242" i="115"/>
  <c r="E1242" i="115"/>
  <c r="A1242" i="115"/>
  <c r="K1241" i="115"/>
  <c r="I1241" i="115"/>
  <c r="H1241" i="115"/>
  <c r="G1241" i="115"/>
  <c r="F1241" i="115"/>
  <c r="E1241" i="115"/>
  <c r="A1241" i="115"/>
  <c r="K1240" i="115"/>
  <c r="I1240" i="115"/>
  <c r="H1240" i="115"/>
  <c r="G1240" i="115"/>
  <c r="F1240" i="115"/>
  <c r="E1240" i="115"/>
  <c r="A1240" i="115"/>
  <c r="K1239" i="115"/>
  <c r="I1239" i="115"/>
  <c r="H1239" i="115"/>
  <c r="G1239" i="115"/>
  <c r="F1239" i="115"/>
  <c r="E1239" i="115"/>
  <c r="A1239" i="115"/>
  <c r="K1238" i="115"/>
  <c r="I1238" i="115"/>
  <c r="H1238" i="115"/>
  <c r="G1238" i="115"/>
  <c r="F1238" i="115"/>
  <c r="E1238" i="115"/>
  <c r="A1238" i="115"/>
  <c r="K1237" i="115"/>
  <c r="I1237" i="115"/>
  <c r="H1237" i="115"/>
  <c r="G1237" i="115"/>
  <c r="F1237" i="115"/>
  <c r="E1237" i="115"/>
  <c r="A1237" i="115"/>
  <c r="K1236" i="115"/>
  <c r="I1236" i="115"/>
  <c r="H1236" i="115"/>
  <c r="G1236" i="115"/>
  <c r="F1236" i="115"/>
  <c r="E1236" i="115"/>
  <c r="A1236" i="115"/>
  <c r="K1235" i="115"/>
  <c r="I1235" i="115"/>
  <c r="H1235" i="115"/>
  <c r="G1235" i="115"/>
  <c r="F1235" i="115"/>
  <c r="E1235" i="115"/>
  <c r="A1235" i="115"/>
  <c r="K1234" i="115"/>
  <c r="I1234" i="115"/>
  <c r="H1234" i="115"/>
  <c r="G1234" i="115"/>
  <c r="F1234" i="115"/>
  <c r="E1234" i="115"/>
  <c r="A1234" i="115"/>
  <c r="K1233" i="115"/>
  <c r="I1233" i="115"/>
  <c r="H1233" i="115"/>
  <c r="G1233" i="115"/>
  <c r="F1233" i="115"/>
  <c r="E1233" i="115"/>
  <c r="A1233" i="115"/>
  <c r="K1232" i="115"/>
  <c r="I1232" i="115"/>
  <c r="H1232" i="115"/>
  <c r="G1232" i="115"/>
  <c r="F1232" i="115"/>
  <c r="E1232" i="115"/>
  <c r="A1232" i="115"/>
  <c r="K1231" i="115"/>
  <c r="I1231" i="115"/>
  <c r="H1231" i="115"/>
  <c r="G1231" i="115"/>
  <c r="F1231" i="115"/>
  <c r="E1231" i="115"/>
  <c r="A1231" i="115"/>
  <c r="K1230" i="115"/>
  <c r="I1230" i="115"/>
  <c r="H1230" i="115"/>
  <c r="G1230" i="115"/>
  <c r="F1230" i="115"/>
  <c r="E1230" i="115"/>
  <c r="A1230" i="115"/>
  <c r="K1229" i="115"/>
  <c r="I1229" i="115"/>
  <c r="H1229" i="115"/>
  <c r="G1229" i="115"/>
  <c r="F1229" i="115"/>
  <c r="E1229" i="115"/>
  <c r="A1229" i="115"/>
  <c r="K1228" i="115"/>
  <c r="I1228" i="115"/>
  <c r="H1228" i="115"/>
  <c r="G1228" i="115"/>
  <c r="F1228" i="115"/>
  <c r="E1228" i="115"/>
  <c r="A1228" i="115"/>
  <c r="K1227" i="115"/>
  <c r="I1227" i="115"/>
  <c r="H1227" i="115"/>
  <c r="G1227" i="115"/>
  <c r="F1227" i="115"/>
  <c r="E1227" i="115"/>
  <c r="A1227" i="115"/>
  <c r="K1226" i="115"/>
  <c r="I1226" i="115"/>
  <c r="H1226" i="115"/>
  <c r="G1226" i="115"/>
  <c r="F1226" i="115"/>
  <c r="E1226" i="115"/>
  <c r="A1226" i="115"/>
  <c r="K1225" i="115"/>
  <c r="I1225" i="115"/>
  <c r="H1225" i="115"/>
  <c r="G1225" i="115"/>
  <c r="F1225" i="115"/>
  <c r="E1225" i="115"/>
  <c r="A1225" i="115"/>
  <c r="K1224" i="115"/>
  <c r="I1224" i="115"/>
  <c r="H1224" i="115"/>
  <c r="G1224" i="115"/>
  <c r="F1224" i="115"/>
  <c r="E1224" i="115"/>
  <c r="A1224" i="115"/>
  <c r="K1223" i="115"/>
  <c r="I1223" i="115"/>
  <c r="H1223" i="115"/>
  <c r="G1223" i="115"/>
  <c r="F1223" i="115"/>
  <c r="E1223" i="115"/>
  <c r="A1223" i="115"/>
  <c r="K1222" i="115"/>
  <c r="I1222" i="115"/>
  <c r="H1222" i="115"/>
  <c r="G1222" i="115"/>
  <c r="F1222" i="115"/>
  <c r="E1222" i="115"/>
  <c r="A1222" i="115"/>
  <c r="K1221" i="115"/>
  <c r="I1221" i="115"/>
  <c r="H1221" i="115"/>
  <c r="G1221" i="115"/>
  <c r="F1221" i="115"/>
  <c r="E1221" i="115"/>
  <c r="A1221" i="115"/>
  <c r="K1220" i="115"/>
  <c r="I1220" i="115"/>
  <c r="H1220" i="115"/>
  <c r="G1220" i="115"/>
  <c r="F1220" i="115"/>
  <c r="E1220" i="115"/>
  <c r="A1220" i="115"/>
  <c r="K1219" i="115"/>
  <c r="I1219" i="115"/>
  <c r="H1219" i="115"/>
  <c r="G1219" i="115"/>
  <c r="F1219" i="115"/>
  <c r="E1219" i="115"/>
  <c r="A1219" i="115"/>
  <c r="K1218" i="115"/>
  <c r="I1218" i="115"/>
  <c r="H1218" i="115"/>
  <c r="G1218" i="115"/>
  <c r="F1218" i="115"/>
  <c r="E1218" i="115"/>
  <c r="A1218" i="115"/>
  <c r="K1217" i="115"/>
  <c r="I1217" i="115"/>
  <c r="H1217" i="115"/>
  <c r="G1217" i="115"/>
  <c r="F1217" i="115"/>
  <c r="E1217" i="115"/>
  <c r="A1217" i="115"/>
  <c r="K1216" i="115"/>
  <c r="I1216" i="115"/>
  <c r="H1216" i="115"/>
  <c r="G1216" i="115"/>
  <c r="F1216" i="115"/>
  <c r="E1216" i="115"/>
  <c r="A1216" i="115"/>
  <c r="K1215" i="115"/>
  <c r="I1215" i="115"/>
  <c r="H1215" i="115"/>
  <c r="G1215" i="115"/>
  <c r="F1215" i="115"/>
  <c r="E1215" i="115"/>
  <c r="A1215" i="115"/>
  <c r="K1214" i="115"/>
  <c r="I1214" i="115"/>
  <c r="H1214" i="115"/>
  <c r="G1214" i="115"/>
  <c r="F1214" i="115"/>
  <c r="E1214" i="115"/>
  <c r="A1214" i="115"/>
  <c r="K1213" i="115"/>
  <c r="I1213" i="115"/>
  <c r="H1213" i="115"/>
  <c r="G1213" i="115"/>
  <c r="F1213" i="115"/>
  <c r="E1213" i="115"/>
  <c r="A1213" i="115"/>
  <c r="K1212" i="115"/>
  <c r="I1212" i="115"/>
  <c r="H1212" i="115"/>
  <c r="G1212" i="115"/>
  <c r="F1212" i="115"/>
  <c r="E1212" i="115"/>
  <c r="A1212" i="115"/>
  <c r="K1211" i="115"/>
  <c r="I1211" i="115"/>
  <c r="H1211" i="115"/>
  <c r="G1211" i="115"/>
  <c r="F1211" i="115"/>
  <c r="E1211" i="115"/>
  <c r="A1211" i="115"/>
  <c r="K1210" i="115"/>
  <c r="I1210" i="115"/>
  <c r="H1210" i="115"/>
  <c r="G1210" i="115"/>
  <c r="F1210" i="115"/>
  <c r="E1210" i="115"/>
  <c r="A1210" i="115"/>
  <c r="K1209" i="115"/>
  <c r="I1209" i="115"/>
  <c r="H1209" i="115"/>
  <c r="G1209" i="115"/>
  <c r="F1209" i="115"/>
  <c r="E1209" i="115"/>
  <c r="A1209" i="115"/>
  <c r="K1208" i="115"/>
  <c r="I1208" i="115"/>
  <c r="H1208" i="115"/>
  <c r="G1208" i="115"/>
  <c r="F1208" i="115"/>
  <c r="E1208" i="115"/>
  <c r="A1208" i="115"/>
  <c r="K1207" i="115"/>
  <c r="I1207" i="115"/>
  <c r="H1207" i="115"/>
  <c r="G1207" i="115"/>
  <c r="F1207" i="115"/>
  <c r="E1207" i="115"/>
  <c r="A1207" i="115"/>
  <c r="K1206" i="115"/>
  <c r="I1206" i="115"/>
  <c r="H1206" i="115"/>
  <c r="G1206" i="115"/>
  <c r="F1206" i="115"/>
  <c r="E1206" i="115"/>
  <c r="A1206" i="115"/>
  <c r="K1205" i="115"/>
  <c r="I1205" i="115"/>
  <c r="H1205" i="115"/>
  <c r="G1205" i="115"/>
  <c r="F1205" i="115"/>
  <c r="E1205" i="115"/>
  <c r="A1205" i="115"/>
  <c r="K1204" i="115"/>
  <c r="I1204" i="115"/>
  <c r="H1204" i="115"/>
  <c r="G1204" i="115"/>
  <c r="F1204" i="115"/>
  <c r="E1204" i="115"/>
  <c r="A1204" i="115"/>
  <c r="K1203" i="115"/>
  <c r="I1203" i="115"/>
  <c r="H1203" i="115"/>
  <c r="G1203" i="115"/>
  <c r="F1203" i="115"/>
  <c r="E1203" i="115"/>
  <c r="A1203" i="115"/>
  <c r="K1202" i="115"/>
  <c r="I1202" i="115"/>
  <c r="H1202" i="115"/>
  <c r="G1202" i="115"/>
  <c r="F1202" i="115"/>
  <c r="E1202" i="115"/>
  <c r="A1202" i="115"/>
  <c r="K1201" i="115"/>
  <c r="I1201" i="115"/>
  <c r="H1201" i="115"/>
  <c r="G1201" i="115"/>
  <c r="F1201" i="115"/>
  <c r="E1201" i="115"/>
  <c r="A1201" i="115"/>
  <c r="K1200" i="115"/>
  <c r="I1200" i="115"/>
  <c r="H1200" i="115"/>
  <c r="G1200" i="115"/>
  <c r="F1200" i="115"/>
  <c r="E1200" i="115"/>
  <c r="A1200" i="115"/>
  <c r="K1199" i="115"/>
  <c r="I1199" i="115"/>
  <c r="H1199" i="115"/>
  <c r="G1199" i="115"/>
  <c r="F1199" i="115"/>
  <c r="E1199" i="115"/>
  <c r="A1199" i="115"/>
  <c r="K1198" i="115"/>
  <c r="I1198" i="115"/>
  <c r="H1198" i="115"/>
  <c r="G1198" i="115"/>
  <c r="F1198" i="115"/>
  <c r="E1198" i="115"/>
  <c r="A1198" i="115"/>
  <c r="K1197" i="115"/>
  <c r="I1197" i="115"/>
  <c r="H1197" i="115"/>
  <c r="G1197" i="115"/>
  <c r="F1197" i="115"/>
  <c r="E1197" i="115"/>
  <c r="A1197" i="115"/>
  <c r="K1196" i="115"/>
  <c r="I1196" i="115"/>
  <c r="H1196" i="115"/>
  <c r="G1196" i="115"/>
  <c r="F1196" i="115"/>
  <c r="E1196" i="115"/>
  <c r="A1196" i="115"/>
  <c r="K1195" i="115"/>
  <c r="I1195" i="115"/>
  <c r="H1195" i="115"/>
  <c r="G1195" i="115"/>
  <c r="F1195" i="115"/>
  <c r="E1195" i="115"/>
  <c r="A1195" i="115"/>
  <c r="K1194" i="115"/>
  <c r="I1194" i="115"/>
  <c r="H1194" i="115"/>
  <c r="G1194" i="115"/>
  <c r="F1194" i="115"/>
  <c r="E1194" i="115"/>
  <c r="A1194" i="115"/>
  <c r="K1193" i="115"/>
  <c r="I1193" i="115"/>
  <c r="H1193" i="115"/>
  <c r="G1193" i="115"/>
  <c r="F1193" i="115"/>
  <c r="E1193" i="115"/>
  <c r="A1193" i="115"/>
  <c r="K1192" i="115"/>
  <c r="I1192" i="115"/>
  <c r="H1192" i="115"/>
  <c r="G1192" i="115"/>
  <c r="F1192" i="115"/>
  <c r="E1192" i="115"/>
  <c r="A1192" i="115"/>
  <c r="K1191" i="115"/>
  <c r="I1191" i="115"/>
  <c r="H1191" i="115"/>
  <c r="G1191" i="115"/>
  <c r="F1191" i="115"/>
  <c r="E1191" i="115"/>
  <c r="A1191" i="115"/>
  <c r="K1190" i="115"/>
  <c r="I1190" i="115"/>
  <c r="H1190" i="115"/>
  <c r="G1190" i="115"/>
  <c r="F1190" i="115"/>
  <c r="E1190" i="115"/>
  <c r="A1190" i="115"/>
  <c r="K1189" i="115"/>
  <c r="I1189" i="115"/>
  <c r="H1189" i="115"/>
  <c r="G1189" i="115"/>
  <c r="F1189" i="115"/>
  <c r="E1189" i="115"/>
  <c r="A1189" i="115"/>
  <c r="K1188" i="115"/>
  <c r="I1188" i="115"/>
  <c r="H1188" i="115"/>
  <c r="G1188" i="115"/>
  <c r="F1188" i="115"/>
  <c r="E1188" i="115"/>
  <c r="A1188" i="115"/>
  <c r="K1187" i="115"/>
  <c r="I1187" i="115"/>
  <c r="H1187" i="115"/>
  <c r="G1187" i="115"/>
  <c r="F1187" i="115"/>
  <c r="E1187" i="115"/>
  <c r="A1187" i="115"/>
  <c r="K1186" i="115"/>
  <c r="I1186" i="115"/>
  <c r="H1186" i="115"/>
  <c r="G1186" i="115"/>
  <c r="F1186" i="115"/>
  <c r="E1186" i="115"/>
  <c r="A1186" i="115"/>
  <c r="K1185" i="115"/>
  <c r="I1185" i="115"/>
  <c r="H1185" i="115"/>
  <c r="G1185" i="115"/>
  <c r="F1185" i="115"/>
  <c r="E1185" i="115"/>
  <c r="A1185" i="115"/>
  <c r="K1184" i="115"/>
  <c r="I1184" i="115"/>
  <c r="H1184" i="115"/>
  <c r="G1184" i="115"/>
  <c r="F1184" i="115"/>
  <c r="E1184" i="115"/>
  <c r="A1184" i="115"/>
  <c r="K1183" i="115"/>
  <c r="I1183" i="115"/>
  <c r="H1183" i="115"/>
  <c r="G1183" i="115"/>
  <c r="F1183" i="115"/>
  <c r="E1183" i="115"/>
  <c r="A1183" i="115"/>
  <c r="K1182" i="115"/>
  <c r="I1182" i="115"/>
  <c r="H1182" i="115"/>
  <c r="G1182" i="115"/>
  <c r="F1182" i="115"/>
  <c r="E1182" i="115"/>
  <c r="A1182" i="115"/>
  <c r="K1181" i="115"/>
  <c r="I1181" i="115"/>
  <c r="H1181" i="115"/>
  <c r="G1181" i="115"/>
  <c r="F1181" i="115"/>
  <c r="E1181" i="115"/>
  <c r="A1181" i="115"/>
  <c r="K1180" i="115"/>
  <c r="I1180" i="115"/>
  <c r="H1180" i="115"/>
  <c r="G1180" i="115"/>
  <c r="F1180" i="115"/>
  <c r="E1180" i="115"/>
  <c r="A1180" i="115"/>
  <c r="K1179" i="115"/>
  <c r="I1179" i="115"/>
  <c r="H1179" i="115"/>
  <c r="G1179" i="115"/>
  <c r="F1179" i="115"/>
  <c r="E1179" i="115"/>
  <c r="A1179" i="115"/>
  <c r="K1178" i="115"/>
  <c r="I1178" i="115"/>
  <c r="H1178" i="115"/>
  <c r="G1178" i="115"/>
  <c r="F1178" i="115"/>
  <c r="E1178" i="115"/>
  <c r="A1178" i="115"/>
  <c r="K1177" i="115"/>
  <c r="I1177" i="115"/>
  <c r="H1177" i="115"/>
  <c r="G1177" i="115"/>
  <c r="F1177" i="115"/>
  <c r="E1177" i="115"/>
  <c r="A1177" i="115"/>
  <c r="K1176" i="115"/>
  <c r="I1176" i="115"/>
  <c r="H1176" i="115"/>
  <c r="G1176" i="115"/>
  <c r="F1176" i="115"/>
  <c r="E1176" i="115"/>
  <c r="A1176" i="115"/>
  <c r="K1175" i="115"/>
  <c r="I1175" i="115"/>
  <c r="H1175" i="115"/>
  <c r="G1175" i="115"/>
  <c r="F1175" i="115"/>
  <c r="E1175" i="115"/>
  <c r="A1175" i="115"/>
  <c r="K1174" i="115"/>
  <c r="I1174" i="115"/>
  <c r="H1174" i="115"/>
  <c r="G1174" i="115"/>
  <c r="F1174" i="115"/>
  <c r="E1174" i="115"/>
  <c r="A1174" i="115"/>
  <c r="K1173" i="115"/>
  <c r="I1173" i="115"/>
  <c r="H1173" i="115"/>
  <c r="G1173" i="115"/>
  <c r="F1173" i="115"/>
  <c r="E1173" i="115"/>
  <c r="A1173" i="115"/>
  <c r="K1172" i="115"/>
  <c r="I1172" i="115"/>
  <c r="H1172" i="115"/>
  <c r="G1172" i="115"/>
  <c r="F1172" i="115"/>
  <c r="E1172" i="115"/>
  <c r="A1172" i="115"/>
  <c r="K1171" i="115"/>
  <c r="I1171" i="115"/>
  <c r="H1171" i="115"/>
  <c r="G1171" i="115"/>
  <c r="F1171" i="115"/>
  <c r="E1171" i="115"/>
  <c r="A1171" i="115"/>
  <c r="K1170" i="115"/>
  <c r="I1170" i="115"/>
  <c r="H1170" i="115"/>
  <c r="G1170" i="115"/>
  <c r="F1170" i="115"/>
  <c r="E1170" i="115"/>
  <c r="A1170" i="115"/>
  <c r="K1169" i="115"/>
  <c r="I1169" i="115"/>
  <c r="H1169" i="115"/>
  <c r="G1169" i="115"/>
  <c r="F1169" i="115"/>
  <c r="E1169" i="115"/>
  <c r="A1169" i="115"/>
  <c r="K1168" i="115"/>
  <c r="I1168" i="115"/>
  <c r="H1168" i="115"/>
  <c r="G1168" i="115"/>
  <c r="F1168" i="115"/>
  <c r="E1168" i="115"/>
  <c r="A1168" i="115"/>
  <c r="K1167" i="115"/>
  <c r="I1167" i="115"/>
  <c r="H1167" i="115"/>
  <c r="G1167" i="115"/>
  <c r="F1167" i="115"/>
  <c r="E1167" i="115"/>
  <c r="A1167" i="115"/>
  <c r="K1166" i="115"/>
  <c r="I1166" i="115"/>
  <c r="H1166" i="115"/>
  <c r="G1166" i="115"/>
  <c r="F1166" i="115"/>
  <c r="E1166" i="115"/>
  <c r="A1166" i="115"/>
  <c r="K1165" i="115"/>
  <c r="I1165" i="115"/>
  <c r="H1165" i="115"/>
  <c r="G1165" i="115"/>
  <c r="F1165" i="115"/>
  <c r="E1165" i="115"/>
  <c r="A1165" i="115"/>
  <c r="K1164" i="115"/>
  <c r="I1164" i="115"/>
  <c r="H1164" i="115"/>
  <c r="G1164" i="115"/>
  <c r="F1164" i="115"/>
  <c r="E1164" i="115"/>
  <c r="A1164" i="115"/>
  <c r="K1163" i="115"/>
  <c r="I1163" i="115"/>
  <c r="H1163" i="115"/>
  <c r="G1163" i="115"/>
  <c r="F1163" i="115"/>
  <c r="E1163" i="115"/>
  <c r="A1163" i="115"/>
  <c r="K1162" i="115"/>
  <c r="I1162" i="115"/>
  <c r="H1162" i="115"/>
  <c r="G1162" i="115"/>
  <c r="F1162" i="115"/>
  <c r="E1162" i="115"/>
  <c r="A1162" i="115"/>
  <c r="K1161" i="115"/>
  <c r="I1161" i="115"/>
  <c r="H1161" i="115"/>
  <c r="G1161" i="115"/>
  <c r="F1161" i="115"/>
  <c r="E1161" i="115"/>
  <c r="A1161" i="115"/>
  <c r="K1160" i="115"/>
  <c r="I1160" i="115"/>
  <c r="H1160" i="115"/>
  <c r="G1160" i="115"/>
  <c r="F1160" i="115"/>
  <c r="E1160" i="115"/>
  <c r="A1160" i="115"/>
  <c r="K1159" i="115"/>
  <c r="I1159" i="115"/>
  <c r="H1159" i="115"/>
  <c r="G1159" i="115"/>
  <c r="F1159" i="115"/>
  <c r="E1159" i="115"/>
  <c r="A1159" i="115"/>
  <c r="K1158" i="115"/>
  <c r="I1158" i="115"/>
  <c r="H1158" i="115"/>
  <c r="G1158" i="115"/>
  <c r="F1158" i="115"/>
  <c r="E1158" i="115"/>
  <c r="A1158" i="115"/>
  <c r="K1157" i="115"/>
  <c r="I1157" i="115"/>
  <c r="H1157" i="115"/>
  <c r="G1157" i="115"/>
  <c r="F1157" i="115"/>
  <c r="E1157" i="115"/>
  <c r="A1157" i="115"/>
  <c r="K1156" i="115"/>
  <c r="I1156" i="115"/>
  <c r="H1156" i="115"/>
  <c r="G1156" i="115"/>
  <c r="F1156" i="115"/>
  <c r="E1156" i="115"/>
  <c r="A1156" i="115"/>
  <c r="K1155" i="115"/>
  <c r="I1155" i="115"/>
  <c r="H1155" i="115"/>
  <c r="G1155" i="115"/>
  <c r="F1155" i="115"/>
  <c r="E1155" i="115"/>
  <c r="A1155" i="115"/>
  <c r="K1154" i="115"/>
  <c r="I1154" i="115"/>
  <c r="H1154" i="115"/>
  <c r="G1154" i="115"/>
  <c r="F1154" i="115"/>
  <c r="E1154" i="115"/>
  <c r="A1154" i="115"/>
  <c r="K1153" i="115"/>
  <c r="I1153" i="115"/>
  <c r="H1153" i="115"/>
  <c r="G1153" i="115"/>
  <c r="F1153" i="115"/>
  <c r="E1153" i="115"/>
  <c r="A1153" i="115"/>
  <c r="K1152" i="115"/>
  <c r="I1152" i="115"/>
  <c r="H1152" i="115"/>
  <c r="G1152" i="115"/>
  <c r="F1152" i="115"/>
  <c r="E1152" i="115"/>
  <c r="A1152" i="115"/>
  <c r="K1151" i="115"/>
  <c r="I1151" i="115"/>
  <c r="H1151" i="115"/>
  <c r="G1151" i="115"/>
  <c r="F1151" i="115"/>
  <c r="E1151" i="115"/>
  <c r="A1151" i="115"/>
  <c r="K1150" i="115"/>
  <c r="I1150" i="115"/>
  <c r="H1150" i="115"/>
  <c r="G1150" i="115"/>
  <c r="F1150" i="115"/>
  <c r="E1150" i="115"/>
  <c r="A1150" i="115"/>
  <c r="K1149" i="115"/>
  <c r="I1149" i="115"/>
  <c r="H1149" i="115"/>
  <c r="G1149" i="115"/>
  <c r="F1149" i="115"/>
  <c r="E1149" i="115"/>
  <c r="A1149" i="115"/>
  <c r="K1148" i="115"/>
  <c r="I1148" i="115"/>
  <c r="H1148" i="115"/>
  <c r="G1148" i="115"/>
  <c r="F1148" i="115"/>
  <c r="E1148" i="115"/>
  <c r="A1148" i="115"/>
  <c r="K1147" i="115"/>
  <c r="I1147" i="115"/>
  <c r="H1147" i="115"/>
  <c r="G1147" i="115"/>
  <c r="F1147" i="115"/>
  <c r="E1147" i="115"/>
  <c r="A1147" i="115"/>
  <c r="K1146" i="115"/>
  <c r="I1146" i="115"/>
  <c r="H1146" i="115"/>
  <c r="G1146" i="115"/>
  <c r="F1146" i="115"/>
  <c r="E1146" i="115"/>
  <c r="A1146" i="115"/>
  <c r="K1145" i="115"/>
  <c r="I1145" i="115"/>
  <c r="H1145" i="115"/>
  <c r="G1145" i="115"/>
  <c r="F1145" i="115"/>
  <c r="E1145" i="115"/>
  <c r="A1145" i="115"/>
  <c r="K1144" i="115"/>
  <c r="I1144" i="115"/>
  <c r="H1144" i="115"/>
  <c r="G1144" i="115"/>
  <c r="F1144" i="115"/>
  <c r="E1144" i="115"/>
  <c r="A1144" i="115"/>
  <c r="K1143" i="115"/>
  <c r="I1143" i="115"/>
  <c r="H1143" i="115"/>
  <c r="G1143" i="115"/>
  <c r="F1143" i="115"/>
  <c r="E1143" i="115"/>
  <c r="A1143" i="115"/>
  <c r="K1142" i="115"/>
  <c r="I1142" i="115"/>
  <c r="H1142" i="115"/>
  <c r="G1142" i="115"/>
  <c r="F1142" i="115"/>
  <c r="E1142" i="115"/>
  <c r="A1142" i="115"/>
  <c r="K1141" i="115"/>
  <c r="I1141" i="115"/>
  <c r="H1141" i="115"/>
  <c r="G1141" i="115"/>
  <c r="F1141" i="115"/>
  <c r="E1141" i="115"/>
  <c r="A1141" i="115"/>
  <c r="K1140" i="115"/>
  <c r="I1140" i="115"/>
  <c r="H1140" i="115"/>
  <c r="G1140" i="115"/>
  <c r="F1140" i="115"/>
  <c r="E1140" i="115"/>
  <c r="A1140" i="115"/>
  <c r="K1139" i="115"/>
  <c r="I1139" i="115"/>
  <c r="H1139" i="115"/>
  <c r="G1139" i="115"/>
  <c r="F1139" i="115"/>
  <c r="E1139" i="115"/>
  <c r="A1139" i="115"/>
  <c r="K1138" i="115"/>
  <c r="I1138" i="115"/>
  <c r="H1138" i="115"/>
  <c r="G1138" i="115"/>
  <c r="F1138" i="115"/>
  <c r="E1138" i="115"/>
  <c r="A1138" i="115"/>
  <c r="K1137" i="115"/>
  <c r="I1137" i="115"/>
  <c r="H1137" i="115"/>
  <c r="G1137" i="115"/>
  <c r="F1137" i="115"/>
  <c r="E1137" i="115"/>
  <c r="A1137" i="115"/>
  <c r="K1136" i="115"/>
  <c r="I1136" i="115"/>
  <c r="H1136" i="115"/>
  <c r="G1136" i="115"/>
  <c r="F1136" i="115"/>
  <c r="E1136" i="115"/>
  <c r="A1136" i="115"/>
  <c r="K1135" i="115"/>
  <c r="I1135" i="115"/>
  <c r="H1135" i="115"/>
  <c r="G1135" i="115"/>
  <c r="F1135" i="115"/>
  <c r="E1135" i="115"/>
  <c r="A1135" i="115"/>
  <c r="K1134" i="115"/>
  <c r="I1134" i="115"/>
  <c r="H1134" i="115"/>
  <c r="G1134" i="115"/>
  <c r="F1134" i="115"/>
  <c r="E1134" i="115"/>
  <c r="A1134" i="115"/>
  <c r="K1133" i="115"/>
  <c r="I1133" i="115"/>
  <c r="H1133" i="115"/>
  <c r="G1133" i="115"/>
  <c r="F1133" i="115"/>
  <c r="E1133" i="115"/>
  <c r="A1133" i="115"/>
  <c r="K1132" i="115"/>
  <c r="I1132" i="115"/>
  <c r="H1132" i="115"/>
  <c r="G1132" i="115"/>
  <c r="F1132" i="115"/>
  <c r="E1132" i="115"/>
  <c r="A1132" i="115"/>
  <c r="K1131" i="115"/>
  <c r="I1131" i="115"/>
  <c r="H1131" i="115"/>
  <c r="G1131" i="115"/>
  <c r="F1131" i="115"/>
  <c r="E1131" i="115"/>
  <c r="A1131" i="115"/>
  <c r="K1130" i="115"/>
  <c r="I1130" i="115"/>
  <c r="H1130" i="115"/>
  <c r="G1130" i="115"/>
  <c r="F1130" i="115"/>
  <c r="E1130" i="115"/>
  <c r="A1130" i="115"/>
  <c r="K1129" i="115"/>
  <c r="I1129" i="115"/>
  <c r="H1129" i="115"/>
  <c r="G1129" i="115"/>
  <c r="F1129" i="115"/>
  <c r="E1129" i="115"/>
  <c r="A1129" i="115"/>
  <c r="K1128" i="115"/>
  <c r="I1128" i="115"/>
  <c r="H1128" i="115"/>
  <c r="G1128" i="115"/>
  <c r="F1128" i="115"/>
  <c r="E1128" i="115"/>
  <c r="A1128" i="115"/>
  <c r="K1127" i="115"/>
  <c r="I1127" i="115"/>
  <c r="H1127" i="115"/>
  <c r="G1127" i="115"/>
  <c r="F1127" i="115"/>
  <c r="E1127" i="115"/>
  <c r="A1127" i="115"/>
  <c r="K1126" i="115"/>
  <c r="I1126" i="115"/>
  <c r="H1126" i="115"/>
  <c r="G1126" i="115"/>
  <c r="F1126" i="115"/>
  <c r="E1126" i="115"/>
  <c r="A1126" i="115"/>
  <c r="K1125" i="115"/>
  <c r="I1125" i="115"/>
  <c r="H1125" i="115"/>
  <c r="G1125" i="115"/>
  <c r="F1125" i="115"/>
  <c r="E1125" i="115"/>
  <c r="A1125" i="115"/>
  <c r="K1124" i="115"/>
  <c r="I1124" i="115"/>
  <c r="H1124" i="115"/>
  <c r="G1124" i="115"/>
  <c r="F1124" i="115"/>
  <c r="E1124" i="115"/>
  <c r="A1124" i="115"/>
  <c r="K1123" i="115"/>
  <c r="I1123" i="115"/>
  <c r="H1123" i="115"/>
  <c r="G1123" i="115"/>
  <c r="F1123" i="115"/>
  <c r="E1123" i="115"/>
  <c r="A1123" i="115"/>
  <c r="K1122" i="115"/>
  <c r="I1122" i="115"/>
  <c r="H1122" i="115"/>
  <c r="G1122" i="115"/>
  <c r="F1122" i="115"/>
  <c r="E1122" i="115"/>
  <c r="A1122" i="115"/>
  <c r="K1121" i="115"/>
  <c r="I1121" i="115"/>
  <c r="H1121" i="115"/>
  <c r="G1121" i="115"/>
  <c r="F1121" i="115"/>
  <c r="E1121" i="115"/>
  <c r="A1121" i="115"/>
  <c r="K1120" i="115"/>
  <c r="I1120" i="115"/>
  <c r="H1120" i="115"/>
  <c r="G1120" i="115"/>
  <c r="F1120" i="115"/>
  <c r="E1120" i="115"/>
  <c r="A1120" i="115"/>
  <c r="K1119" i="115"/>
  <c r="I1119" i="115"/>
  <c r="H1119" i="115"/>
  <c r="G1119" i="115"/>
  <c r="F1119" i="115"/>
  <c r="E1119" i="115"/>
  <c r="A1119" i="115"/>
  <c r="K1118" i="115"/>
  <c r="I1118" i="115"/>
  <c r="H1118" i="115"/>
  <c r="G1118" i="115"/>
  <c r="F1118" i="115"/>
  <c r="E1118" i="115"/>
  <c r="A1118" i="115"/>
  <c r="K1117" i="115"/>
  <c r="I1117" i="115"/>
  <c r="H1117" i="115"/>
  <c r="G1117" i="115"/>
  <c r="F1117" i="115"/>
  <c r="E1117" i="115"/>
  <c r="A1117" i="115"/>
  <c r="K1116" i="115"/>
  <c r="I1116" i="115"/>
  <c r="H1116" i="115"/>
  <c r="G1116" i="115"/>
  <c r="F1116" i="115"/>
  <c r="E1116" i="115"/>
  <c r="A1116" i="115"/>
  <c r="K1115" i="115"/>
  <c r="I1115" i="115"/>
  <c r="H1115" i="115"/>
  <c r="G1115" i="115"/>
  <c r="F1115" i="115"/>
  <c r="E1115" i="115"/>
  <c r="A1115" i="115"/>
  <c r="K1114" i="115"/>
  <c r="I1114" i="115"/>
  <c r="H1114" i="115"/>
  <c r="G1114" i="115"/>
  <c r="F1114" i="115"/>
  <c r="E1114" i="115"/>
  <c r="A1114" i="115"/>
  <c r="K1113" i="115"/>
  <c r="I1113" i="115"/>
  <c r="H1113" i="115"/>
  <c r="G1113" i="115"/>
  <c r="F1113" i="115"/>
  <c r="E1113" i="115"/>
  <c r="A1113" i="115"/>
  <c r="K1112" i="115"/>
  <c r="I1112" i="115"/>
  <c r="H1112" i="115"/>
  <c r="G1112" i="115"/>
  <c r="F1112" i="115"/>
  <c r="E1112" i="115"/>
  <c r="A1112" i="115"/>
  <c r="K1111" i="115"/>
  <c r="I1111" i="115"/>
  <c r="H1111" i="115"/>
  <c r="G1111" i="115"/>
  <c r="F1111" i="115"/>
  <c r="E1111" i="115"/>
  <c r="A1111" i="115"/>
  <c r="K1110" i="115"/>
  <c r="I1110" i="115"/>
  <c r="H1110" i="115"/>
  <c r="G1110" i="115"/>
  <c r="F1110" i="115"/>
  <c r="E1110" i="115"/>
  <c r="A1110" i="115"/>
  <c r="K1109" i="115"/>
  <c r="I1109" i="115"/>
  <c r="H1109" i="115"/>
  <c r="G1109" i="115"/>
  <c r="F1109" i="115"/>
  <c r="E1109" i="115"/>
  <c r="A1109" i="115"/>
  <c r="K1108" i="115"/>
  <c r="I1108" i="115"/>
  <c r="H1108" i="115"/>
  <c r="G1108" i="115"/>
  <c r="F1108" i="115"/>
  <c r="E1108" i="115"/>
  <c r="A1108" i="115"/>
  <c r="K1107" i="115"/>
  <c r="I1107" i="115"/>
  <c r="H1107" i="115"/>
  <c r="G1107" i="115"/>
  <c r="F1107" i="115"/>
  <c r="E1107" i="115"/>
  <c r="A1107" i="115"/>
  <c r="K1106" i="115"/>
  <c r="I1106" i="115"/>
  <c r="H1106" i="115"/>
  <c r="G1106" i="115"/>
  <c r="F1106" i="115"/>
  <c r="E1106" i="115"/>
  <c r="A1106" i="115"/>
  <c r="K1105" i="115"/>
  <c r="I1105" i="115"/>
  <c r="H1105" i="115"/>
  <c r="G1105" i="115"/>
  <c r="F1105" i="115"/>
  <c r="E1105" i="115"/>
  <c r="A1105" i="115"/>
  <c r="K1104" i="115"/>
  <c r="I1104" i="115"/>
  <c r="H1104" i="115"/>
  <c r="G1104" i="115"/>
  <c r="F1104" i="115"/>
  <c r="E1104" i="115"/>
  <c r="A1104" i="115"/>
  <c r="K1103" i="115"/>
  <c r="I1103" i="115"/>
  <c r="H1103" i="115"/>
  <c r="G1103" i="115"/>
  <c r="F1103" i="115"/>
  <c r="E1103" i="115"/>
  <c r="A1103" i="115"/>
  <c r="K1102" i="115"/>
  <c r="I1102" i="115"/>
  <c r="H1102" i="115"/>
  <c r="G1102" i="115"/>
  <c r="F1102" i="115"/>
  <c r="E1102" i="115"/>
  <c r="A1102" i="115"/>
  <c r="K1101" i="115"/>
  <c r="I1101" i="115"/>
  <c r="H1101" i="115"/>
  <c r="G1101" i="115"/>
  <c r="F1101" i="115"/>
  <c r="E1101" i="115"/>
  <c r="A1101" i="115"/>
  <c r="K1100" i="115"/>
  <c r="I1100" i="115"/>
  <c r="H1100" i="115"/>
  <c r="G1100" i="115"/>
  <c r="F1100" i="115"/>
  <c r="E1100" i="115"/>
  <c r="A1100" i="115"/>
  <c r="K1099" i="115"/>
  <c r="I1099" i="115"/>
  <c r="H1099" i="115"/>
  <c r="G1099" i="115"/>
  <c r="F1099" i="115"/>
  <c r="E1099" i="115"/>
  <c r="A1099" i="115"/>
  <c r="K1098" i="115"/>
  <c r="I1098" i="115"/>
  <c r="H1098" i="115"/>
  <c r="G1098" i="115"/>
  <c r="F1098" i="115"/>
  <c r="E1098" i="115"/>
  <c r="A1098" i="115"/>
  <c r="K1097" i="115"/>
  <c r="I1097" i="115"/>
  <c r="H1097" i="115"/>
  <c r="G1097" i="115"/>
  <c r="F1097" i="115"/>
  <c r="E1097" i="115"/>
  <c r="A1097" i="115"/>
  <c r="K1096" i="115"/>
  <c r="I1096" i="115"/>
  <c r="H1096" i="115"/>
  <c r="G1096" i="115"/>
  <c r="F1096" i="115"/>
  <c r="E1096" i="115"/>
  <c r="A1096" i="115"/>
  <c r="K1095" i="115"/>
  <c r="I1095" i="115"/>
  <c r="H1095" i="115"/>
  <c r="G1095" i="115"/>
  <c r="F1095" i="115"/>
  <c r="E1095" i="115"/>
  <c r="A1095" i="115"/>
  <c r="K1094" i="115"/>
  <c r="I1094" i="115"/>
  <c r="H1094" i="115"/>
  <c r="G1094" i="115"/>
  <c r="F1094" i="115"/>
  <c r="E1094" i="115"/>
  <c r="A1094" i="115"/>
  <c r="K1093" i="115"/>
  <c r="I1093" i="115"/>
  <c r="H1093" i="115"/>
  <c r="G1093" i="115"/>
  <c r="F1093" i="115"/>
  <c r="E1093" i="115"/>
  <c r="A1093" i="115"/>
  <c r="K1092" i="115"/>
  <c r="I1092" i="115"/>
  <c r="H1092" i="115"/>
  <c r="G1092" i="115"/>
  <c r="F1092" i="115"/>
  <c r="E1092" i="115"/>
  <c r="A1092" i="115"/>
  <c r="K1091" i="115"/>
  <c r="I1091" i="115"/>
  <c r="H1091" i="115"/>
  <c r="G1091" i="115"/>
  <c r="F1091" i="115"/>
  <c r="E1091" i="115"/>
  <c r="A1091" i="115"/>
  <c r="K1090" i="115"/>
  <c r="I1090" i="115"/>
  <c r="H1090" i="115"/>
  <c r="G1090" i="115"/>
  <c r="F1090" i="115"/>
  <c r="E1090" i="115"/>
  <c r="A1090" i="115"/>
  <c r="K1089" i="115"/>
  <c r="I1089" i="115"/>
  <c r="H1089" i="115"/>
  <c r="G1089" i="115"/>
  <c r="F1089" i="115"/>
  <c r="E1089" i="115"/>
  <c r="A1089" i="115"/>
  <c r="K1088" i="115"/>
  <c r="I1088" i="115"/>
  <c r="H1088" i="115"/>
  <c r="G1088" i="115"/>
  <c r="F1088" i="115"/>
  <c r="E1088" i="115"/>
  <c r="A1088" i="115"/>
  <c r="K1087" i="115"/>
  <c r="I1087" i="115"/>
  <c r="H1087" i="115"/>
  <c r="G1087" i="115"/>
  <c r="F1087" i="115"/>
  <c r="E1087" i="115"/>
  <c r="A1087" i="115"/>
  <c r="K1086" i="115"/>
  <c r="I1086" i="115"/>
  <c r="H1086" i="115"/>
  <c r="G1086" i="115"/>
  <c r="F1086" i="115"/>
  <c r="E1086" i="115"/>
  <c r="A1086" i="115"/>
  <c r="K1085" i="115"/>
  <c r="I1085" i="115"/>
  <c r="H1085" i="115"/>
  <c r="G1085" i="115"/>
  <c r="F1085" i="115"/>
  <c r="E1085" i="115"/>
  <c r="A1085" i="115"/>
  <c r="K1084" i="115"/>
  <c r="I1084" i="115"/>
  <c r="H1084" i="115"/>
  <c r="G1084" i="115"/>
  <c r="F1084" i="115"/>
  <c r="E1084" i="115"/>
  <c r="A1084" i="115"/>
  <c r="K1083" i="115"/>
  <c r="I1083" i="115"/>
  <c r="H1083" i="115"/>
  <c r="G1083" i="115"/>
  <c r="F1083" i="115"/>
  <c r="E1083" i="115"/>
  <c r="A1083" i="115"/>
  <c r="K1082" i="115"/>
  <c r="I1082" i="115"/>
  <c r="H1082" i="115"/>
  <c r="G1082" i="115"/>
  <c r="F1082" i="115"/>
  <c r="E1082" i="115"/>
  <c r="A1082" i="115"/>
  <c r="K1081" i="115"/>
  <c r="I1081" i="115"/>
  <c r="H1081" i="115"/>
  <c r="G1081" i="115"/>
  <c r="F1081" i="115"/>
  <c r="E1081" i="115"/>
  <c r="A1081" i="115"/>
  <c r="K1080" i="115"/>
  <c r="I1080" i="115"/>
  <c r="H1080" i="115"/>
  <c r="G1080" i="115"/>
  <c r="F1080" i="115"/>
  <c r="E1080" i="115"/>
  <c r="A1080" i="115"/>
  <c r="K1079" i="115"/>
  <c r="I1079" i="115"/>
  <c r="H1079" i="115"/>
  <c r="G1079" i="115"/>
  <c r="F1079" i="115"/>
  <c r="E1079" i="115"/>
  <c r="A1079" i="115"/>
  <c r="K1078" i="115"/>
  <c r="I1078" i="115"/>
  <c r="H1078" i="115"/>
  <c r="G1078" i="115"/>
  <c r="F1078" i="115"/>
  <c r="E1078" i="115"/>
  <c r="A1078" i="115"/>
  <c r="K1077" i="115"/>
  <c r="I1077" i="115"/>
  <c r="H1077" i="115"/>
  <c r="G1077" i="115"/>
  <c r="F1077" i="115"/>
  <c r="E1077" i="115"/>
  <c r="A1077" i="115"/>
  <c r="K1076" i="115"/>
  <c r="I1076" i="115"/>
  <c r="H1076" i="115"/>
  <c r="G1076" i="115"/>
  <c r="F1076" i="115"/>
  <c r="E1076" i="115"/>
  <c r="A1076" i="115"/>
  <c r="K1075" i="115"/>
  <c r="I1075" i="115"/>
  <c r="H1075" i="115"/>
  <c r="G1075" i="115"/>
  <c r="F1075" i="115"/>
  <c r="E1075" i="115"/>
  <c r="A1075" i="115"/>
  <c r="K1074" i="115"/>
  <c r="I1074" i="115"/>
  <c r="H1074" i="115"/>
  <c r="G1074" i="115"/>
  <c r="F1074" i="115"/>
  <c r="E1074" i="115"/>
  <c r="A1074" i="115"/>
  <c r="K1073" i="115"/>
  <c r="I1073" i="115"/>
  <c r="H1073" i="115"/>
  <c r="G1073" i="115"/>
  <c r="F1073" i="115"/>
  <c r="E1073" i="115"/>
  <c r="A1073" i="115"/>
  <c r="K1072" i="115"/>
  <c r="I1072" i="115"/>
  <c r="H1072" i="115"/>
  <c r="G1072" i="115"/>
  <c r="F1072" i="115"/>
  <c r="E1072" i="115"/>
  <c r="A1072" i="115"/>
  <c r="K1071" i="115"/>
  <c r="I1071" i="115"/>
  <c r="H1071" i="115"/>
  <c r="G1071" i="115"/>
  <c r="F1071" i="115"/>
  <c r="E1071" i="115"/>
  <c r="A1071" i="115"/>
  <c r="K1070" i="115"/>
  <c r="I1070" i="115"/>
  <c r="H1070" i="115"/>
  <c r="G1070" i="115"/>
  <c r="F1070" i="115"/>
  <c r="E1070" i="115"/>
  <c r="A1070" i="115"/>
  <c r="K1069" i="115"/>
  <c r="I1069" i="115"/>
  <c r="H1069" i="115"/>
  <c r="G1069" i="115"/>
  <c r="F1069" i="115"/>
  <c r="E1069" i="115"/>
  <c r="A1069" i="115"/>
  <c r="K1068" i="115"/>
  <c r="I1068" i="115"/>
  <c r="H1068" i="115"/>
  <c r="G1068" i="115"/>
  <c r="F1068" i="115"/>
  <c r="E1068" i="115"/>
  <c r="A1068" i="115"/>
  <c r="K1067" i="115"/>
  <c r="I1067" i="115"/>
  <c r="H1067" i="115"/>
  <c r="G1067" i="115"/>
  <c r="F1067" i="115"/>
  <c r="E1067" i="115"/>
  <c r="A1067" i="115"/>
  <c r="K1066" i="115"/>
  <c r="I1066" i="115"/>
  <c r="H1066" i="115"/>
  <c r="G1066" i="115"/>
  <c r="F1066" i="115"/>
  <c r="E1066" i="115"/>
  <c r="A1066" i="115"/>
  <c r="K1065" i="115"/>
  <c r="I1065" i="115"/>
  <c r="H1065" i="115"/>
  <c r="G1065" i="115"/>
  <c r="F1065" i="115"/>
  <c r="E1065" i="115"/>
  <c r="A1065" i="115"/>
  <c r="K1064" i="115"/>
  <c r="I1064" i="115"/>
  <c r="H1064" i="115"/>
  <c r="G1064" i="115"/>
  <c r="F1064" i="115"/>
  <c r="E1064" i="115"/>
  <c r="A1064" i="115"/>
  <c r="K1063" i="115"/>
  <c r="I1063" i="115"/>
  <c r="H1063" i="115"/>
  <c r="G1063" i="115"/>
  <c r="F1063" i="115"/>
  <c r="E1063" i="115"/>
  <c r="A1063" i="115"/>
  <c r="K1062" i="115"/>
  <c r="I1062" i="115"/>
  <c r="H1062" i="115"/>
  <c r="G1062" i="115"/>
  <c r="F1062" i="115"/>
  <c r="E1062" i="115"/>
  <c r="A1062" i="115"/>
  <c r="K1061" i="115"/>
  <c r="I1061" i="115"/>
  <c r="H1061" i="115"/>
  <c r="G1061" i="115"/>
  <c r="F1061" i="115"/>
  <c r="E1061" i="115"/>
  <c r="A1061" i="115"/>
  <c r="K1060" i="115"/>
  <c r="I1060" i="115"/>
  <c r="H1060" i="115"/>
  <c r="G1060" i="115"/>
  <c r="F1060" i="115"/>
  <c r="E1060" i="115"/>
  <c r="A1060" i="115"/>
  <c r="K1059" i="115"/>
  <c r="I1059" i="115"/>
  <c r="H1059" i="115"/>
  <c r="G1059" i="115"/>
  <c r="F1059" i="115"/>
  <c r="E1059" i="115"/>
  <c r="A1059" i="115"/>
  <c r="K1058" i="115"/>
  <c r="I1058" i="115"/>
  <c r="H1058" i="115"/>
  <c r="G1058" i="115"/>
  <c r="F1058" i="115"/>
  <c r="E1058" i="115"/>
  <c r="A1058" i="115"/>
  <c r="K1057" i="115"/>
  <c r="I1057" i="115"/>
  <c r="H1057" i="115"/>
  <c r="G1057" i="115"/>
  <c r="F1057" i="115"/>
  <c r="E1057" i="115"/>
  <c r="A1057" i="115"/>
  <c r="K1056" i="115"/>
  <c r="I1056" i="115"/>
  <c r="H1056" i="115"/>
  <c r="G1056" i="115"/>
  <c r="F1056" i="115"/>
  <c r="E1056" i="115"/>
  <c r="A1056" i="115"/>
  <c r="K1055" i="115"/>
  <c r="I1055" i="115"/>
  <c r="H1055" i="115"/>
  <c r="G1055" i="115"/>
  <c r="F1055" i="115"/>
  <c r="E1055" i="115"/>
  <c r="A1055" i="115"/>
  <c r="K1054" i="115"/>
  <c r="I1054" i="115"/>
  <c r="H1054" i="115"/>
  <c r="G1054" i="115"/>
  <c r="F1054" i="115"/>
  <c r="E1054" i="115"/>
  <c r="A1054" i="115"/>
  <c r="K1053" i="115"/>
  <c r="I1053" i="115"/>
  <c r="H1053" i="115"/>
  <c r="G1053" i="115"/>
  <c r="F1053" i="115"/>
  <c r="E1053" i="115"/>
  <c r="A1053" i="115"/>
  <c r="K1052" i="115"/>
  <c r="I1052" i="115"/>
  <c r="H1052" i="115"/>
  <c r="G1052" i="115"/>
  <c r="F1052" i="115"/>
  <c r="E1052" i="115"/>
  <c r="A1052" i="115"/>
  <c r="K1051" i="115"/>
  <c r="I1051" i="115"/>
  <c r="H1051" i="115"/>
  <c r="G1051" i="115"/>
  <c r="F1051" i="115"/>
  <c r="E1051" i="115"/>
  <c r="A1051" i="115"/>
  <c r="K1050" i="115"/>
  <c r="I1050" i="115"/>
  <c r="H1050" i="115"/>
  <c r="G1050" i="115"/>
  <c r="F1050" i="115"/>
  <c r="E1050" i="115"/>
  <c r="A1050" i="115"/>
  <c r="K1049" i="115"/>
  <c r="I1049" i="115"/>
  <c r="H1049" i="115"/>
  <c r="G1049" i="115"/>
  <c r="F1049" i="115"/>
  <c r="E1049" i="115"/>
  <c r="A1049" i="115"/>
  <c r="K1048" i="115"/>
  <c r="I1048" i="115"/>
  <c r="H1048" i="115"/>
  <c r="G1048" i="115"/>
  <c r="F1048" i="115"/>
  <c r="E1048" i="115"/>
  <c r="A1048" i="115"/>
  <c r="K1047" i="115"/>
  <c r="I1047" i="115"/>
  <c r="H1047" i="115"/>
  <c r="G1047" i="115"/>
  <c r="F1047" i="115"/>
  <c r="E1047" i="115"/>
  <c r="A1047" i="115"/>
  <c r="K1046" i="115"/>
  <c r="I1046" i="115"/>
  <c r="H1046" i="115"/>
  <c r="G1046" i="115"/>
  <c r="F1046" i="115"/>
  <c r="E1046" i="115"/>
  <c r="A1046" i="115"/>
  <c r="K1045" i="115"/>
  <c r="I1045" i="115"/>
  <c r="H1045" i="115"/>
  <c r="G1045" i="115"/>
  <c r="F1045" i="115"/>
  <c r="E1045" i="115"/>
  <c r="A1045" i="115"/>
  <c r="K1044" i="115"/>
  <c r="I1044" i="115"/>
  <c r="H1044" i="115"/>
  <c r="G1044" i="115"/>
  <c r="F1044" i="115"/>
  <c r="E1044" i="115"/>
  <c r="A1044" i="115"/>
  <c r="K1043" i="115"/>
  <c r="I1043" i="115"/>
  <c r="H1043" i="115"/>
  <c r="G1043" i="115"/>
  <c r="F1043" i="115"/>
  <c r="E1043" i="115"/>
  <c r="A1043" i="115"/>
  <c r="K1042" i="115"/>
  <c r="I1042" i="115"/>
  <c r="H1042" i="115"/>
  <c r="G1042" i="115"/>
  <c r="F1042" i="115"/>
  <c r="E1042" i="115"/>
  <c r="A1042" i="115"/>
  <c r="K1041" i="115"/>
  <c r="I1041" i="115"/>
  <c r="H1041" i="115"/>
  <c r="G1041" i="115"/>
  <c r="F1041" i="115"/>
  <c r="E1041" i="115"/>
  <c r="A1041" i="115"/>
  <c r="K1040" i="115"/>
  <c r="I1040" i="115"/>
  <c r="H1040" i="115"/>
  <c r="G1040" i="115"/>
  <c r="F1040" i="115"/>
  <c r="E1040" i="115"/>
  <c r="A1040" i="115"/>
  <c r="K1039" i="115"/>
  <c r="I1039" i="115"/>
  <c r="H1039" i="115"/>
  <c r="G1039" i="115"/>
  <c r="F1039" i="115"/>
  <c r="E1039" i="115"/>
  <c r="A1039" i="115"/>
  <c r="K1038" i="115"/>
  <c r="I1038" i="115"/>
  <c r="H1038" i="115"/>
  <c r="G1038" i="115"/>
  <c r="F1038" i="115"/>
  <c r="E1038" i="115"/>
  <c r="A1038" i="115"/>
  <c r="K1037" i="115"/>
  <c r="I1037" i="115"/>
  <c r="H1037" i="115"/>
  <c r="G1037" i="115"/>
  <c r="F1037" i="115"/>
  <c r="E1037" i="115"/>
  <c r="A1037" i="115"/>
  <c r="K1036" i="115"/>
  <c r="I1036" i="115"/>
  <c r="H1036" i="115"/>
  <c r="G1036" i="115"/>
  <c r="F1036" i="115"/>
  <c r="E1036" i="115"/>
  <c r="A1036" i="115"/>
  <c r="K1035" i="115"/>
  <c r="I1035" i="115"/>
  <c r="H1035" i="115"/>
  <c r="G1035" i="115"/>
  <c r="F1035" i="115"/>
  <c r="E1035" i="115"/>
  <c r="A1035" i="115"/>
  <c r="K1034" i="115"/>
  <c r="I1034" i="115"/>
  <c r="H1034" i="115"/>
  <c r="G1034" i="115"/>
  <c r="F1034" i="115"/>
  <c r="E1034" i="115"/>
  <c r="A1034" i="115"/>
  <c r="K1033" i="115"/>
  <c r="I1033" i="115"/>
  <c r="H1033" i="115"/>
  <c r="G1033" i="115"/>
  <c r="F1033" i="115"/>
  <c r="E1033" i="115"/>
  <c r="A1033" i="115"/>
  <c r="K1032" i="115"/>
  <c r="I1032" i="115"/>
  <c r="H1032" i="115"/>
  <c r="G1032" i="115"/>
  <c r="F1032" i="115"/>
  <c r="E1032" i="115"/>
  <c r="A1032" i="115"/>
  <c r="K1031" i="115"/>
  <c r="I1031" i="115"/>
  <c r="H1031" i="115"/>
  <c r="G1031" i="115"/>
  <c r="F1031" i="115"/>
  <c r="E1031" i="115"/>
  <c r="A1031" i="115"/>
  <c r="K1030" i="115"/>
  <c r="I1030" i="115"/>
  <c r="H1030" i="115"/>
  <c r="G1030" i="115"/>
  <c r="F1030" i="115"/>
  <c r="E1030" i="115"/>
  <c r="A1030" i="115"/>
  <c r="K1029" i="115"/>
  <c r="I1029" i="115"/>
  <c r="H1029" i="115"/>
  <c r="G1029" i="115"/>
  <c r="F1029" i="115"/>
  <c r="E1029" i="115"/>
  <c r="A1029" i="115"/>
  <c r="K1028" i="115"/>
  <c r="I1028" i="115"/>
  <c r="H1028" i="115"/>
  <c r="G1028" i="115"/>
  <c r="F1028" i="115"/>
  <c r="E1028" i="115"/>
  <c r="A1028" i="115"/>
  <c r="K1027" i="115"/>
  <c r="I1027" i="115"/>
  <c r="H1027" i="115"/>
  <c r="G1027" i="115"/>
  <c r="F1027" i="115"/>
  <c r="E1027" i="115"/>
  <c r="A1027" i="115"/>
  <c r="K1026" i="115"/>
  <c r="I1026" i="115"/>
  <c r="H1026" i="115"/>
  <c r="G1026" i="115"/>
  <c r="F1026" i="115"/>
  <c r="E1026" i="115"/>
  <c r="A1026" i="115"/>
  <c r="K1025" i="115"/>
  <c r="I1025" i="115"/>
  <c r="H1025" i="115"/>
  <c r="G1025" i="115"/>
  <c r="F1025" i="115"/>
  <c r="E1025" i="115"/>
  <c r="A1025" i="115"/>
  <c r="K1024" i="115"/>
  <c r="I1024" i="115"/>
  <c r="H1024" i="115"/>
  <c r="G1024" i="115"/>
  <c r="F1024" i="115"/>
  <c r="E1024" i="115"/>
  <c r="A1024" i="115"/>
  <c r="K1023" i="115"/>
  <c r="I1023" i="115"/>
  <c r="H1023" i="115"/>
  <c r="G1023" i="115"/>
  <c r="F1023" i="115"/>
  <c r="E1023" i="115"/>
  <c r="A1023" i="115"/>
  <c r="K1022" i="115"/>
  <c r="I1022" i="115"/>
  <c r="H1022" i="115"/>
  <c r="G1022" i="115"/>
  <c r="F1022" i="115"/>
  <c r="E1022" i="115"/>
  <c r="A1022" i="115"/>
  <c r="K1021" i="115"/>
  <c r="I1021" i="115"/>
  <c r="H1021" i="115"/>
  <c r="G1021" i="115"/>
  <c r="F1021" i="115"/>
  <c r="E1021" i="115"/>
  <c r="A1021" i="115"/>
  <c r="K1020" i="115"/>
  <c r="I1020" i="115"/>
  <c r="H1020" i="115"/>
  <c r="G1020" i="115"/>
  <c r="F1020" i="115"/>
  <c r="E1020" i="115"/>
  <c r="A1020" i="115"/>
  <c r="K1019" i="115"/>
  <c r="I1019" i="115"/>
  <c r="H1019" i="115"/>
  <c r="G1019" i="115"/>
  <c r="F1019" i="115"/>
  <c r="E1019" i="115"/>
  <c r="A1019" i="115"/>
  <c r="K1018" i="115"/>
  <c r="I1018" i="115"/>
  <c r="H1018" i="115"/>
  <c r="G1018" i="115"/>
  <c r="F1018" i="115"/>
  <c r="E1018" i="115"/>
  <c r="A1018" i="115"/>
  <c r="K1017" i="115"/>
  <c r="I1017" i="115"/>
  <c r="H1017" i="115"/>
  <c r="G1017" i="115"/>
  <c r="F1017" i="115"/>
  <c r="E1017" i="115"/>
  <c r="A1017" i="115"/>
  <c r="K1016" i="115"/>
  <c r="I1016" i="115"/>
  <c r="H1016" i="115"/>
  <c r="G1016" i="115"/>
  <c r="F1016" i="115"/>
  <c r="E1016" i="115"/>
  <c r="A1016" i="115"/>
  <c r="K1015" i="115"/>
  <c r="I1015" i="115"/>
  <c r="H1015" i="115"/>
  <c r="G1015" i="115"/>
  <c r="F1015" i="115"/>
  <c r="E1015" i="115"/>
  <c r="A1015" i="115"/>
  <c r="K1014" i="115"/>
  <c r="I1014" i="115"/>
  <c r="H1014" i="115"/>
  <c r="G1014" i="115"/>
  <c r="F1014" i="115"/>
  <c r="E1014" i="115"/>
  <c r="A1014" i="115"/>
  <c r="K1013" i="115"/>
  <c r="I1013" i="115"/>
  <c r="H1013" i="115"/>
  <c r="G1013" i="115"/>
  <c r="F1013" i="115"/>
  <c r="E1013" i="115"/>
  <c r="A1013" i="115"/>
  <c r="K1012" i="115"/>
  <c r="I1012" i="115"/>
  <c r="H1012" i="115"/>
  <c r="G1012" i="115"/>
  <c r="F1012" i="115"/>
  <c r="E1012" i="115"/>
  <c r="A1012" i="115"/>
  <c r="K1011" i="115"/>
  <c r="I1011" i="115"/>
  <c r="H1011" i="115"/>
  <c r="G1011" i="115"/>
  <c r="F1011" i="115"/>
  <c r="E1011" i="115"/>
  <c r="A1011" i="115"/>
  <c r="K1010" i="115"/>
  <c r="I1010" i="115"/>
  <c r="H1010" i="115"/>
  <c r="G1010" i="115"/>
  <c r="F1010" i="115"/>
  <c r="E1010" i="115"/>
  <c r="A1010" i="115"/>
  <c r="K1009" i="115"/>
  <c r="I1009" i="115"/>
  <c r="H1009" i="115"/>
  <c r="G1009" i="115"/>
  <c r="F1009" i="115"/>
  <c r="E1009" i="115"/>
  <c r="A1009" i="115"/>
  <c r="K1008" i="115"/>
  <c r="I1008" i="115"/>
  <c r="H1008" i="115"/>
  <c r="G1008" i="115"/>
  <c r="F1008" i="115"/>
  <c r="E1008" i="115"/>
  <c r="A1008" i="115"/>
  <c r="K1007" i="115"/>
  <c r="I1007" i="115"/>
  <c r="H1007" i="115"/>
  <c r="G1007" i="115"/>
  <c r="F1007" i="115"/>
  <c r="E1007" i="115"/>
  <c r="A1007" i="115"/>
  <c r="K1006" i="115"/>
  <c r="I1006" i="115"/>
  <c r="H1006" i="115"/>
  <c r="G1006" i="115"/>
  <c r="F1006" i="115"/>
  <c r="E1006" i="115"/>
  <c r="A1006" i="115"/>
  <c r="K1005" i="115"/>
  <c r="I1005" i="115"/>
  <c r="H1005" i="115"/>
  <c r="G1005" i="115"/>
  <c r="F1005" i="115"/>
  <c r="E1005" i="115"/>
  <c r="A1005" i="115"/>
  <c r="K1004" i="115"/>
  <c r="I1004" i="115"/>
  <c r="H1004" i="115"/>
  <c r="G1004" i="115"/>
  <c r="F1004" i="115"/>
  <c r="E1004" i="115"/>
  <c r="A1004" i="115"/>
  <c r="K1003" i="115"/>
  <c r="I1003" i="115"/>
  <c r="H1003" i="115"/>
  <c r="G1003" i="115"/>
  <c r="F1003" i="115"/>
  <c r="E1003" i="115"/>
  <c r="A1003" i="115"/>
  <c r="K1002" i="115"/>
  <c r="I1002" i="115"/>
  <c r="H1002" i="115"/>
  <c r="G1002" i="115"/>
  <c r="F1002" i="115"/>
  <c r="E1002" i="115"/>
  <c r="A1002" i="115"/>
  <c r="K1001" i="115"/>
  <c r="I1001" i="115"/>
  <c r="H1001" i="115"/>
  <c r="G1001" i="115"/>
  <c r="F1001" i="115"/>
  <c r="E1001" i="115"/>
  <c r="A1001" i="115"/>
  <c r="K1000" i="115"/>
  <c r="I1000" i="115"/>
  <c r="H1000" i="115"/>
  <c r="G1000" i="115"/>
  <c r="F1000" i="115"/>
  <c r="E1000" i="115"/>
  <c r="A1000" i="115"/>
  <c r="K999" i="115"/>
  <c r="I999" i="115"/>
  <c r="H999" i="115"/>
  <c r="G999" i="115"/>
  <c r="F999" i="115"/>
  <c r="E999" i="115"/>
  <c r="A999" i="115"/>
  <c r="K998" i="115"/>
  <c r="I998" i="115"/>
  <c r="H998" i="115"/>
  <c r="G998" i="115"/>
  <c r="F998" i="115"/>
  <c r="E998" i="115"/>
  <c r="A998" i="115"/>
  <c r="K997" i="115"/>
  <c r="I997" i="115"/>
  <c r="H997" i="115"/>
  <c r="G997" i="115"/>
  <c r="F997" i="115"/>
  <c r="E997" i="115"/>
  <c r="A997" i="115"/>
  <c r="K996" i="115"/>
  <c r="I996" i="115"/>
  <c r="H996" i="115"/>
  <c r="G996" i="115"/>
  <c r="F996" i="115"/>
  <c r="E996" i="115"/>
  <c r="A996" i="115"/>
  <c r="K995" i="115"/>
  <c r="I995" i="115"/>
  <c r="H995" i="115"/>
  <c r="G995" i="115"/>
  <c r="F995" i="115"/>
  <c r="E995" i="115"/>
  <c r="A995" i="115"/>
  <c r="K994" i="115"/>
  <c r="I994" i="115"/>
  <c r="H994" i="115"/>
  <c r="G994" i="115"/>
  <c r="F994" i="115"/>
  <c r="E994" i="115"/>
  <c r="A994" i="115"/>
  <c r="K993" i="115"/>
  <c r="I993" i="115"/>
  <c r="H993" i="115"/>
  <c r="G993" i="115"/>
  <c r="F993" i="115"/>
  <c r="E993" i="115"/>
  <c r="A993" i="115"/>
  <c r="K992" i="115"/>
  <c r="I992" i="115"/>
  <c r="H992" i="115"/>
  <c r="G992" i="115"/>
  <c r="F992" i="115"/>
  <c r="E992" i="115"/>
  <c r="A992" i="115"/>
  <c r="K991" i="115"/>
  <c r="I991" i="115"/>
  <c r="H991" i="115"/>
  <c r="G991" i="115"/>
  <c r="F991" i="115"/>
  <c r="E991" i="115"/>
  <c r="A991" i="115"/>
  <c r="K990" i="115"/>
  <c r="I990" i="115"/>
  <c r="H990" i="115"/>
  <c r="G990" i="115"/>
  <c r="F990" i="115"/>
  <c r="E990" i="115"/>
  <c r="A990" i="115"/>
  <c r="K989" i="115"/>
  <c r="I989" i="115"/>
  <c r="H989" i="115"/>
  <c r="G989" i="115"/>
  <c r="F989" i="115"/>
  <c r="E989" i="115"/>
  <c r="A989" i="115"/>
  <c r="K988" i="115"/>
  <c r="I988" i="115"/>
  <c r="H988" i="115"/>
  <c r="G988" i="115"/>
  <c r="F988" i="115"/>
  <c r="E988" i="115"/>
  <c r="A988" i="115"/>
  <c r="K987" i="115"/>
  <c r="I987" i="115"/>
  <c r="H987" i="115"/>
  <c r="G987" i="115"/>
  <c r="F987" i="115"/>
  <c r="E987" i="115"/>
  <c r="A987" i="115"/>
  <c r="K986" i="115"/>
  <c r="I986" i="115"/>
  <c r="H986" i="115"/>
  <c r="G986" i="115"/>
  <c r="F986" i="115"/>
  <c r="E986" i="115"/>
  <c r="A986" i="115"/>
  <c r="K985" i="115"/>
  <c r="I985" i="115"/>
  <c r="H985" i="115"/>
  <c r="G985" i="115"/>
  <c r="F985" i="115"/>
  <c r="E985" i="115"/>
  <c r="A985" i="115"/>
  <c r="K984" i="115"/>
  <c r="I984" i="115"/>
  <c r="H984" i="115"/>
  <c r="G984" i="115"/>
  <c r="F984" i="115"/>
  <c r="E984" i="115"/>
  <c r="A984" i="115"/>
  <c r="K983" i="115"/>
  <c r="I983" i="115"/>
  <c r="H983" i="115"/>
  <c r="G983" i="115"/>
  <c r="F983" i="115"/>
  <c r="E983" i="115"/>
  <c r="A983" i="115"/>
  <c r="K982" i="115"/>
  <c r="I982" i="115"/>
  <c r="H982" i="115"/>
  <c r="G982" i="115"/>
  <c r="F982" i="115"/>
  <c r="E982" i="115"/>
  <c r="A982" i="115"/>
  <c r="K981" i="115"/>
  <c r="I981" i="115"/>
  <c r="H981" i="115"/>
  <c r="G981" i="115"/>
  <c r="F981" i="115"/>
  <c r="E981" i="115"/>
  <c r="A981" i="115"/>
  <c r="K980" i="115"/>
  <c r="I980" i="115"/>
  <c r="H980" i="115"/>
  <c r="G980" i="115"/>
  <c r="F980" i="115"/>
  <c r="E980" i="115"/>
  <c r="A980" i="115"/>
  <c r="K979" i="115"/>
  <c r="I979" i="115"/>
  <c r="H979" i="115"/>
  <c r="G979" i="115"/>
  <c r="F979" i="115"/>
  <c r="E979" i="115"/>
  <c r="A979" i="115"/>
  <c r="K978" i="115"/>
  <c r="I978" i="115"/>
  <c r="H978" i="115"/>
  <c r="G978" i="115"/>
  <c r="F978" i="115"/>
  <c r="E978" i="115"/>
  <c r="A978" i="115"/>
  <c r="K977" i="115"/>
  <c r="I977" i="115"/>
  <c r="H977" i="115"/>
  <c r="G977" i="115"/>
  <c r="F977" i="115"/>
  <c r="E977" i="115"/>
  <c r="A977" i="115"/>
  <c r="K976" i="115"/>
  <c r="I976" i="115"/>
  <c r="H976" i="115"/>
  <c r="G976" i="115"/>
  <c r="F976" i="115"/>
  <c r="E976" i="115"/>
  <c r="A976" i="115"/>
  <c r="K975" i="115"/>
  <c r="I975" i="115"/>
  <c r="H975" i="115"/>
  <c r="G975" i="115"/>
  <c r="F975" i="115"/>
  <c r="E975" i="115"/>
  <c r="A975" i="115"/>
  <c r="K974" i="115"/>
  <c r="I974" i="115"/>
  <c r="H974" i="115"/>
  <c r="G974" i="115"/>
  <c r="F974" i="115"/>
  <c r="E974" i="115"/>
  <c r="A974" i="115"/>
  <c r="K973" i="115"/>
  <c r="I973" i="115"/>
  <c r="H973" i="115"/>
  <c r="G973" i="115"/>
  <c r="F973" i="115"/>
  <c r="E973" i="115"/>
  <c r="A973" i="115"/>
  <c r="K972" i="115"/>
  <c r="I972" i="115"/>
  <c r="H972" i="115"/>
  <c r="G972" i="115"/>
  <c r="F972" i="115"/>
  <c r="E972" i="115"/>
  <c r="A972" i="115"/>
  <c r="K971" i="115"/>
  <c r="I971" i="115"/>
  <c r="H971" i="115"/>
  <c r="G971" i="115"/>
  <c r="F971" i="115"/>
  <c r="E971" i="115"/>
  <c r="A971" i="115"/>
  <c r="K970" i="115"/>
  <c r="I970" i="115"/>
  <c r="H970" i="115"/>
  <c r="G970" i="115"/>
  <c r="F970" i="115"/>
  <c r="E970" i="115"/>
  <c r="A970" i="115"/>
  <c r="K969" i="115"/>
  <c r="I969" i="115"/>
  <c r="H969" i="115"/>
  <c r="G969" i="115"/>
  <c r="F969" i="115"/>
  <c r="E969" i="115"/>
  <c r="A969" i="115"/>
  <c r="K968" i="115"/>
  <c r="I968" i="115"/>
  <c r="H968" i="115"/>
  <c r="G968" i="115"/>
  <c r="F968" i="115"/>
  <c r="E968" i="115"/>
  <c r="A968" i="115"/>
  <c r="K967" i="115"/>
  <c r="I967" i="115"/>
  <c r="H967" i="115"/>
  <c r="G967" i="115"/>
  <c r="F967" i="115"/>
  <c r="E967" i="115"/>
  <c r="A967" i="115"/>
  <c r="K966" i="115"/>
  <c r="I966" i="115"/>
  <c r="H966" i="115"/>
  <c r="G966" i="115"/>
  <c r="F966" i="115"/>
  <c r="E966" i="115"/>
  <c r="A966" i="115"/>
  <c r="K965" i="115"/>
  <c r="I965" i="115"/>
  <c r="H965" i="115"/>
  <c r="G965" i="115"/>
  <c r="F965" i="115"/>
  <c r="E965" i="115"/>
  <c r="A965" i="115"/>
  <c r="K964" i="115"/>
  <c r="I964" i="115"/>
  <c r="H964" i="115"/>
  <c r="G964" i="115"/>
  <c r="F964" i="115"/>
  <c r="E964" i="115"/>
  <c r="A964" i="115"/>
  <c r="K963" i="115"/>
  <c r="I963" i="115"/>
  <c r="H963" i="115"/>
  <c r="G963" i="115"/>
  <c r="F963" i="115"/>
  <c r="E963" i="115"/>
  <c r="A963" i="115"/>
  <c r="K962" i="115"/>
  <c r="I962" i="115"/>
  <c r="H962" i="115"/>
  <c r="G962" i="115"/>
  <c r="F962" i="115"/>
  <c r="E962" i="115"/>
  <c r="A962" i="115"/>
  <c r="K961" i="115"/>
  <c r="I961" i="115"/>
  <c r="H961" i="115"/>
  <c r="G961" i="115"/>
  <c r="F961" i="115"/>
  <c r="E961" i="115"/>
  <c r="A961" i="115"/>
  <c r="K960" i="115"/>
  <c r="I960" i="115"/>
  <c r="H960" i="115"/>
  <c r="G960" i="115"/>
  <c r="F960" i="115"/>
  <c r="E960" i="115"/>
  <c r="A960" i="115"/>
  <c r="K959" i="115"/>
  <c r="I959" i="115"/>
  <c r="H959" i="115"/>
  <c r="G959" i="115"/>
  <c r="F959" i="115"/>
  <c r="E959" i="115"/>
  <c r="A959" i="115"/>
  <c r="K958" i="115"/>
  <c r="I958" i="115"/>
  <c r="H958" i="115"/>
  <c r="G958" i="115"/>
  <c r="F958" i="115"/>
  <c r="E958" i="115"/>
  <c r="A958" i="115"/>
  <c r="K957" i="115"/>
  <c r="I957" i="115"/>
  <c r="H957" i="115"/>
  <c r="G957" i="115"/>
  <c r="F957" i="115"/>
  <c r="E957" i="115"/>
  <c r="A957" i="115"/>
  <c r="K956" i="115"/>
  <c r="I956" i="115"/>
  <c r="H956" i="115"/>
  <c r="G956" i="115"/>
  <c r="F956" i="115"/>
  <c r="E956" i="115"/>
  <c r="A956" i="115"/>
  <c r="K955" i="115"/>
  <c r="I955" i="115"/>
  <c r="H955" i="115"/>
  <c r="G955" i="115"/>
  <c r="F955" i="115"/>
  <c r="E955" i="115"/>
  <c r="A955" i="115"/>
  <c r="K954" i="115"/>
  <c r="I954" i="115"/>
  <c r="H954" i="115"/>
  <c r="G954" i="115"/>
  <c r="F954" i="115"/>
  <c r="E954" i="115"/>
  <c r="A954" i="115"/>
  <c r="K953" i="115"/>
  <c r="I953" i="115"/>
  <c r="H953" i="115"/>
  <c r="G953" i="115"/>
  <c r="F953" i="115"/>
  <c r="E953" i="115"/>
  <c r="A953" i="115"/>
  <c r="K952" i="115"/>
  <c r="I952" i="115"/>
  <c r="H952" i="115"/>
  <c r="G952" i="115"/>
  <c r="F952" i="115"/>
  <c r="E952" i="115"/>
  <c r="A952" i="115"/>
  <c r="K951" i="115"/>
  <c r="I951" i="115"/>
  <c r="H951" i="115"/>
  <c r="G951" i="115"/>
  <c r="F951" i="115"/>
  <c r="E951" i="115"/>
  <c r="A951" i="115"/>
  <c r="K950" i="115"/>
  <c r="I950" i="115"/>
  <c r="H950" i="115"/>
  <c r="G950" i="115"/>
  <c r="F950" i="115"/>
  <c r="E950" i="115"/>
  <c r="A950" i="115"/>
  <c r="K949" i="115"/>
  <c r="I949" i="115"/>
  <c r="H949" i="115"/>
  <c r="G949" i="115"/>
  <c r="F949" i="115"/>
  <c r="E949" i="115"/>
  <c r="A949" i="115"/>
  <c r="K948" i="115"/>
  <c r="I948" i="115"/>
  <c r="H948" i="115"/>
  <c r="G948" i="115"/>
  <c r="F948" i="115"/>
  <c r="E948" i="115"/>
  <c r="A948" i="115"/>
  <c r="K947" i="115"/>
  <c r="I947" i="115"/>
  <c r="H947" i="115"/>
  <c r="G947" i="115"/>
  <c r="F947" i="115"/>
  <c r="E947" i="115"/>
  <c r="A947" i="115"/>
  <c r="K946" i="115"/>
  <c r="I946" i="115"/>
  <c r="H946" i="115"/>
  <c r="G946" i="115"/>
  <c r="F946" i="115"/>
  <c r="E946" i="115"/>
  <c r="A946" i="115"/>
  <c r="K945" i="115"/>
  <c r="I945" i="115"/>
  <c r="H945" i="115"/>
  <c r="G945" i="115"/>
  <c r="F945" i="115"/>
  <c r="E945" i="115"/>
  <c r="A945" i="115"/>
  <c r="K944" i="115"/>
  <c r="I944" i="115"/>
  <c r="H944" i="115"/>
  <c r="G944" i="115"/>
  <c r="F944" i="115"/>
  <c r="E944" i="115"/>
  <c r="A944" i="115"/>
  <c r="K943" i="115"/>
  <c r="I943" i="115"/>
  <c r="H943" i="115"/>
  <c r="G943" i="115"/>
  <c r="F943" i="115"/>
  <c r="E943" i="115"/>
  <c r="A943" i="115"/>
  <c r="K942" i="115"/>
  <c r="I942" i="115"/>
  <c r="H942" i="115"/>
  <c r="G942" i="115"/>
  <c r="F942" i="115"/>
  <c r="E942" i="115"/>
  <c r="A942" i="115"/>
  <c r="K941" i="115"/>
  <c r="I941" i="115"/>
  <c r="H941" i="115"/>
  <c r="G941" i="115"/>
  <c r="F941" i="115"/>
  <c r="E941" i="115"/>
  <c r="A941" i="115"/>
  <c r="K940" i="115"/>
  <c r="I940" i="115"/>
  <c r="H940" i="115"/>
  <c r="G940" i="115"/>
  <c r="F940" i="115"/>
  <c r="E940" i="115"/>
  <c r="A940" i="115"/>
  <c r="K939" i="115"/>
  <c r="I939" i="115"/>
  <c r="H939" i="115"/>
  <c r="G939" i="115"/>
  <c r="F939" i="115"/>
  <c r="E939" i="115"/>
  <c r="A939" i="115"/>
  <c r="K938" i="115"/>
  <c r="I938" i="115"/>
  <c r="H938" i="115"/>
  <c r="G938" i="115"/>
  <c r="F938" i="115"/>
  <c r="E938" i="115"/>
  <c r="A938" i="115"/>
  <c r="K937" i="115"/>
  <c r="I937" i="115"/>
  <c r="H937" i="115"/>
  <c r="G937" i="115"/>
  <c r="F937" i="115"/>
  <c r="E937" i="115"/>
  <c r="A937" i="115"/>
  <c r="K936" i="115"/>
  <c r="I936" i="115"/>
  <c r="H936" i="115"/>
  <c r="G936" i="115"/>
  <c r="F936" i="115"/>
  <c r="E936" i="115"/>
  <c r="A936" i="115"/>
  <c r="K935" i="115"/>
  <c r="I935" i="115"/>
  <c r="H935" i="115"/>
  <c r="G935" i="115"/>
  <c r="F935" i="115"/>
  <c r="E935" i="115"/>
  <c r="A935" i="115"/>
  <c r="K934" i="115"/>
  <c r="I934" i="115"/>
  <c r="H934" i="115"/>
  <c r="G934" i="115"/>
  <c r="F934" i="115"/>
  <c r="E934" i="115"/>
  <c r="A934" i="115"/>
  <c r="K933" i="115"/>
  <c r="I933" i="115"/>
  <c r="H933" i="115"/>
  <c r="G933" i="115"/>
  <c r="F933" i="115"/>
  <c r="E933" i="115"/>
  <c r="A933" i="115"/>
  <c r="K932" i="115"/>
  <c r="I932" i="115"/>
  <c r="H932" i="115"/>
  <c r="G932" i="115"/>
  <c r="F932" i="115"/>
  <c r="E932" i="115"/>
  <c r="A932" i="115"/>
  <c r="K931" i="115"/>
  <c r="I931" i="115"/>
  <c r="H931" i="115"/>
  <c r="G931" i="115"/>
  <c r="F931" i="115"/>
  <c r="E931" i="115"/>
  <c r="A931" i="115"/>
  <c r="K930" i="115"/>
  <c r="I930" i="115"/>
  <c r="H930" i="115"/>
  <c r="G930" i="115"/>
  <c r="F930" i="115"/>
  <c r="E930" i="115"/>
  <c r="A930" i="115"/>
  <c r="K929" i="115"/>
  <c r="I929" i="115"/>
  <c r="H929" i="115"/>
  <c r="G929" i="115"/>
  <c r="F929" i="115"/>
  <c r="E929" i="115"/>
  <c r="A929" i="115"/>
  <c r="K928" i="115"/>
  <c r="I928" i="115"/>
  <c r="H928" i="115"/>
  <c r="G928" i="115"/>
  <c r="F928" i="115"/>
  <c r="E928" i="115"/>
  <c r="A928" i="115"/>
  <c r="K927" i="115"/>
  <c r="I927" i="115"/>
  <c r="H927" i="115"/>
  <c r="G927" i="115"/>
  <c r="F927" i="115"/>
  <c r="E927" i="115"/>
  <c r="A927" i="115"/>
  <c r="K926" i="115"/>
  <c r="I926" i="115"/>
  <c r="H926" i="115"/>
  <c r="G926" i="115"/>
  <c r="F926" i="115"/>
  <c r="E926" i="115"/>
  <c r="A926" i="115"/>
  <c r="K925" i="115"/>
  <c r="I925" i="115"/>
  <c r="H925" i="115"/>
  <c r="G925" i="115"/>
  <c r="F925" i="115"/>
  <c r="E925" i="115"/>
  <c r="A925" i="115"/>
  <c r="K924" i="115"/>
  <c r="I924" i="115"/>
  <c r="H924" i="115"/>
  <c r="G924" i="115"/>
  <c r="F924" i="115"/>
  <c r="E924" i="115"/>
  <c r="A924" i="115"/>
  <c r="K923" i="115"/>
  <c r="I923" i="115"/>
  <c r="H923" i="115"/>
  <c r="G923" i="115"/>
  <c r="F923" i="115"/>
  <c r="E923" i="115"/>
  <c r="A923" i="115"/>
  <c r="K922" i="115"/>
  <c r="I922" i="115"/>
  <c r="H922" i="115"/>
  <c r="G922" i="115"/>
  <c r="F922" i="115"/>
  <c r="E922" i="115"/>
  <c r="A922" i="115"/>
  <c r="K921" i="115"/>
  <c r="I921" i="115"/>
  <c r="H921" i="115"/>
  <c r="G921" i="115"/>
  <c r="F921" i="115"/>
  <c r="E921" i="115"/>
  <c r="A921" i="115"/>
  <c r="K920" i="115"/>
  <c r="I920" i="115"/>
  <c r="H920" i="115"/>
  <c r="G920" i="115"/>
  <c r="F920" i="115"/>
  <c r="E920" i="115"/>
  <c r="A920" i="115"/>
  <c r="K919" i="115"/>
  <c r="I919" i="115"/>
  <c r="H919" i="115"/>
  <c r="G919" i="115"/>
  <c r="F919" i="115"/>
  <c r="E919" i="115"/>
  <c r="A919" i="115"/>
  <c r="K918" i="115"/>
  <c r="I918" i="115"/>
  <c r="H918" i="115"/>
  <c r="G918" i="115"/>
  <c r="F918" i="115"/>
  <c r="E918" i="115"/>
  <c r="A918" i="115"/>
  <c r="K917" i="115"/>
  <c r="I917" i="115"/>
  <c r="H917" i="115"/>
  <c r="G917" i="115"/>
  <c r="F917" i="115"/>
  <c r="E917" i="115"/>
  <c r="A917" i="115"/>
  <c r="K916" i="115"/>
  <c r="I916" i="115"/>
  <c r="H916" i="115"/>
  <c r="G916" i="115"/>
  <c r="F916" i="115"/>
  <c r="E916" i="115"/>
  <c r="A916" i="115"/>
  <c r="K915" i="115"/>
  <c r="I915" i="115"/>
  <c r="H915" i="115"/>
  <c r="G915" i="115"/>
  <c r="F915" i="115"/>
  <c r="E915" i="115"/>
  <c r="A915" i="115"/>
  <c r="K914" i="115"/>
  <c r="I914" i="115"/>
  <c r="H914" i="115"/>
  <c r="G914" i="115"/>
  <c r="F914" i="115"/>
  <c r="E914" i="115"/>
  <c r="A914" i="115"/>
  <c r="K913" i="115"/>
  <c r="I913" i="115"/>
  <c r="H913" i="115"/>
  <c r="G913" i="115"/>
  <c r="F913" i="115"/>
  <c r="E913" i="115"/>
  <c r="A913" i="115"/>
  <c r="K912" i="115"/>
  <c r="I912" i="115"/>
  <c r="H912" i="115"/>
  <c r="G912" i="115"/>
  <c r="F912" i="115"/>
  <c r="E912" i="115"/>
  <c r="A912" i="115"/>
  <c r="K911" i="115"/>
  <c r="I911" i="115"/>
  <c r="H911" i="115"/>
  <c r="G911" i="115"/>
  <c r="F911" i="115"/>
  <c r="E911" i="115"/>
  <c r="A911" i="115"/>
  <c r="K910" i="115"/>
  <c r="I910" i="115"/>
  <c r="H910" i="115"/>
  <c r="G910" i="115"/>
  <c r="F910" i="115"/>
  <c r="E910" i="115"/>
  <c r="A910" i="115"/>
  <c r="K909" i="115"/>
  <c r="I909" i="115"/>
  <c r="H909" i="115"/>
  <c r="G909" i="115"/>
  <c r="F909" i="115"/>
  <c r="E909" i="115"/>
  <c r="A909" i="115"/>
  <c r="K908" i="115"/>
  <c r="I908" i="115"/>
  <c r="H908" i="115"/>
  <c r="G908" i="115"/>
  <c r="F908" i="115"/>
  <c r="E908" i="115"/>
  <c r="A908" i="115"/>
  <c r="K907" i="115"/>
  <c r="I907" i="115"/>
  <c r="H907" i="115"/>
  <c r="G907" i="115"/>
  <c r="F907" i="115"/>
  <c r="E907" i="115"/>
  <c r="A907" i="115"/>
  <c r="K906" i="115"/>
  <c r="I906" i="115"/>
  <c r="H906" i="115"/>
  <c r="G906" i="115"/>
  <c r="F906" i="115"/>
  <c r="E906" i="115"/>
  <c r="A906" i="115"/>
  <c r="K905" i="115"/>
  <c r="I905" i="115"/>
  <c r="H905" i="115"/>
  <c r="G905" i="115"/>
  <c r="F905" i="115"/>
  <c r="E905" i="115"/>
  <c r="A905" i="115"/>
  <c r="K904" i="115"/>
  <c r="I904" i="115"/>
  <c r="H904" i="115"/>
  <c r="G904" i="115"/>
  <c r="F904" i="115"/>
  <c r="E904" i="115"/>
  <c r="A904" i="115"/>
  <c r="K903" i="115"/>
  <c r="I903" i="115"/>
  <c r="H903" i="115"/>
  <c r="G903" i="115"/>
  <c r="F903" i="115"/>
  <c r="E903" i="115"/>
  <c r="A903" i="115"/>
  <c r="K902" i="115"/>
  <c r="I902" i="115"/>
  <c r="H902" i="115"/>
  <c r="G902" i="115"/>
  <c r="F902" i="115"/>
  <c r="E902" i="115"/>
  <c r="A902" i="115"/>
  <c r="K901" i="115"/>
  <c r="I901" i="115"/>
  <c r="H901" i="115"/>
  <c r="G901" i="115"/>
  <c r="F901" i="115"/>
  <c r="E901" i="115"/>
  <c r="A901" i="115"/>
  <c r="K900" i="115"/>
  <c r="I900" i="115"/>
  <c r="H900" i="115"/>
  <c r="G900" i="115"/>
  <c r="F900" i="115"/>
  <c r="E900" i="115"/>
  <c r="A900" i="115"/>
  <c r="K899" i="115"/>
  <c r="I899" i="115"/>
  <c r="H899" i="115"/>
  <c r="G899" i="115"/>
  <c r="F899" i="115"/>
  <c r="E899" i="115"/>
  <c r="A899" i="115"/>
  <c r="K898" i="115"/>
  <c r="I898" i="115"/>
  <c r="H898" i="115"/>
  <c r="G898" i="115"/>
  <c r="F898" i="115"/>
  <c r="E898" i="115"/>
  <c r="A898" i="115"/>
  <c r="K897" i="115"/>
  <c r="I897" i="115"/>
  <c r="H897" i="115"/>
  <c r="G897" i="115"/>
  <c r="F897" i="115"/>
  <c r="E897" i="115"/>
  <c r="A897" i="115"/>
  <c r="K896" i="115"/>
  <c r="I896" i="115"/>
  <c r="H896" i="115"/>
  <c r="G896" i="115"/>
  <c r="F896" i="115"/>
  <c r="E896" i="115"/>
  <c r="A896" i="115"/>
  <c r="K895" i="115"/>
  <c r="I895" i="115"/>
  <c r="H895" i="115"/>
  <c r="G895" i="115"/>
  <c r="F895" i="115"/>
  <c r="E895" i="115"/>
  <c r="A895" i="115"/>
  <c r="K894" i="115"/>
  <c r="I894" i="115"/>
  <c r="H894" i="115"/>
  <c r="G894" i="115"/>
  <c r="F894" i="115"/>
  <c r="E894" i="115"/>
  <c r="A894" i="115"/>
  <c r="K893" i="115"/>
  <c r="I893" i="115"/>
  <c r="H893" i="115"/>
  <c r="G893" i="115"/>
  <c r="F893" i="115"/>
  <c r="E893" i="115"/>
  <c r="A893" i="115"/>
  <c r="K892" i="115"/>
  <c r="I892" i="115"/>
  <c r="H892" i="115"/>
  <c r="G892" i="115"/>
  <c r="F892" i="115"/>
  <c r="E892" i="115"/>
  <c r="A892" i="115"/>
  <c r="K891" i="115"/>
  <c r="I891" i="115"/>
  <c r="H891" i="115"/>
  <c r="G891" i="115"/>
  <c r="F891" i="115"/>
  <c r="E891" i="115"/>
  <c r="A891" i="115"/>
  <c r="K890" i="115"/>
  <c r="I890" i="115"/>
  <c r="H890" i="115"/>
  <c r="G890" i="115"/>
  <c r="F890" i="115"/>
  <c r="E890" i="115"/>
  <c r="A890" i="115"/>
  <c r="K889" i="115"/>
  <c r="I889" i="115"/>
  <c r="H889" i="115"/>
  <c r="G889" i="115"/>
  <c r="F889" i="115"/>
  <c r="E889" i="115"/>
  <c r="A889" i="115"/>
  <c r="K888" i="115"/>
  <c r="I888" i="115"/>
  <c r="H888" i="115"/>
  <c r="G888" i="115"/>
  <c r="F888" i="115"/>
  <c r="E888" i="115"/>
  <c r="A888" i="115"/>
  <c r="K887" i="115"/>
  <c r="I887" i="115"/>
  <c r="H887" i="115"/>
  <c r="G887" i="115"/>
  <c r="F887" i="115"/>
  <c r="E887" i="115"/>
  <c r="A887" i="115"/>
  <c r="K886" i="115"/>
  <c r="I886" i="115"/>
  <c r="H886" i="115"/>
  <c r="G886" i="115"/>
  <c r="F886" i="115"/>
  <c r="E886" i="115"/>
  <c r="A886" i="115"/>
  <c r="K885" i="115"/>
  <c r="I885" i="115"/>
  <c r="H885" i="115"/>
  <c r="G885" i="115"/>
  <c r="F885" i="115"/>
  <c r="E885" i="115"/>
  <c r="A885" i="115"/>
  <c r="K884" i="115"/>
  <c r="I884" i="115"/>
  <c r="H884" i="115"/>
  <c r="G884" i="115"/>
  <c r="F884" i="115"/>
  <c r="E884" i="115"/>
  <c r="A884" i="115"/>
  <c r="K883" i="115"/>
  <c r="I883" i="115"/>
  <c r="H883" i="115"/>
  <c r="G883" i="115"/>
  <c r="F883" i="115"/>
  <c r="E883" i="115"/>
  <c r="A883" i="115"/>
  <c r="K882" i="115"/>
  <c r="I882" i="115"/>
  <c r="H882" i="115"/>
  <c r="G882" i="115"/>
  <c r="F882" i="115"/>
  <c r="E882" i="115"/>
  <c r="A882" i="115"/>
  <c r="K881" i="115"/>
  <c r="I881" i="115"/>
  <c r="H881" i="115"/>
  <c r="G881" i="115"/>
  <c r="F881" i="115"/>
  <c r="E881" i="115"/>
  <c r="A881" i="115"/>
  <c r="K880" i="115"/>
  <c r="I880" i="115"/>
  <c r="H880" i="115"/>
  <c r="G880" i="115"/>
  <c r="F880" i="115"/>
  <c r="E880" i="115"/>
  <c r="A880" i="115"/>
  <c r="K879" i="115"/>
  <c r="I879" i="115"/>
  <c r="H879" i="115"/>
  <c r="G879" i="115"/>
  <c r="F879" i="115"/>
  <c r="E879" i="115"/>
  <c r="A879" i="115"/>
  <c r="K878" i="115"/>
  <c r="I878" i="115"/>
  <c r="H878" i="115"/>
  <c r="G878" i="115"/>
  <c r="F878" i="115"/>
  <c r="E878" i="115"/>
  <c r="A878" i="115"/>
  <c r="K877" i="115"/>
  <c r="I877" i="115"/>
  <c r="H877" i="115"/>
  <c r="G877" i="115"/>
  <c r="F877" i="115"/>
  <c r="E877" i="115"/>
  <c r="A877" i="115"/>
  <c r="K876" i="115"/>
  <c r="I876" i="115"/>
  <c r="H876" i="115"/>
  <c r="G876" i="115"/>
  <c r="F876" i="115"/>
  <c r="E876" i="115"/>
  <c r="A876" i="115"/>
  <c r="K875" i="115"/>
  <c r="I875" i="115"/>
  <c r="H875" i="115"/>
  <c r="G875" i="115"/>
  <c r="F875" i="115"/>
  <c r="E875" i="115"/>
  <c r="A875" i="115"/>
  <c r="K874" i="115"/>
  <c r="I874" i="115"/>
  <c r="H874" i="115"/>
  <c r="G874" i="115"/>
  <c r="F874" i="115"/>
  <c r="E874" i="115"/>
  <c r="A874" i="115"/>
  <c r="K873" i="115"/>
  <c r="I873" i="115"/>
  <c r="H873" i="115"/>
  <c r="G873" i="115"/>
  <c r="F873" i="115"/>
  <c r="E873" i="115"/>
  <c r="A873" i="115"/>
  <c r="K872" i="115"/>
  <c r="I872" i="115"/>
  <c r="H872" i="115"/>
  <c r="G872" i="115"/>
  <c r="F872" i="115"/>
  <c r="E872" i="115"/>
  <c r="A872" i="115"/>
  <c r="K871" i="115"/>
  <c r="I871" i="115"/>
  <c r="H871" i="115"/>
  <c r="G871" i="115"/>
  <c r="F871" i="115"/>
  <c r="E871" i="115"/>
  <c r="A871" i="115"/>
  <c r="K870" i="115"/>
  <c r="I870" i="115"/>
  <c r="H870" i="115"/>
  <c r="G870" i="115"/>
  <c r="F870" i="115"/>
  <c r="E870" i="115"/>
  <c r="A870" i="115"/>
  <c r="K869" i="115"/>
  <c r="I869" i="115"/>
  <c r="H869" i="115"/>
  <c r="G869" i="115"/>
  <c r="F869" i="115"/>
  <c r="E869" i="115"/>
  <c r="A869" i="115"/>
  <c r="K868" i="115"/>
  <c r="I868" i="115"/>
  <c r="H868" i="115"/>
  <c r="G868" i="115"/>
  <c r="F868" i="115"/>
  <c r="E868" i="115"/>
  <c r="A868" i="115"/>
  <c r="K867" i="115"/>
  <c r="I867" i="115"/>
  <c r="H867" i="115"/>
  <c r="G867" i="115"/>
  <c r="F867" i="115"/>
  <c r="E867" i="115"/>
  <c r="A867" i="115"/>
  <c r="K866" i="115"/>
  <c r="I866" i="115"/>
  <c r="H866" i="115"/>
  <c r="G866" i="115"/>
  <c r="F866" i="115"/>
  <c r="E866" i="115"/>
  <c r="A866" i="115"/>
  <c r="K865" i="115"/>
  <c r="I865" i="115"/>
  <c r="H865" i="115"/>
  <c r="G865" i="115"/>
  <c r="F865" i="115"/>
  <c r="E865" i="115"/>
  <c r="A865" i="115"/>
  <c r="K864" i="115"/>
  <c r="I864" i="115"/>
  <c r="H864" i="115"/>
  <c r="G864" i="115"/>
  <c r="F864" i="115"/>
  <c r="E864" i="115"/>
  <c r="A864" i="115"/>
  <c r="K863" i="115"/>
  <c r="I863" i="115"/>
  <c r="H863" i="115"/>
  <c r="G863" i="115"/>
  <c r="F863" i="115"/>
  <c r="E863" i="115"/>
  <c r="A863" i="115"/>
  <c r="K862" i="115"/>
  <c r="I862" i="115"/>
  <c r="H862" i="115"/>
  <c r="G862" i="115"/>
  <c r="F862" i="115"/>
  <c r="E862" i="115"/>
  <c r="A862" i="115"/>
  <c r="K861" i="115"/>
  <c r="I861" i="115"/>
  <c r="H861" i="115"/>
  <c r="G861" i="115"/>
  <c r="F861" i="115"/>
  <c r="E861" i="115"/>
  <c r="A861" i="115"/>
  <c r="K860" i="115"/>
  <c r="I860" i="115"/>
  <c r="H860" i="115"/>
  <c r="G860" i="115"/>
  <c r="F860" i="115"/>
  <c r="E860" i="115"/>
  <c r="A860" i="115"/>
  <c r="K859" i="115"/>
  <c r="I859" i="115"/>
  <c r="H859" i="115"/>
  <c r="G859" i="115"/>
  <c r="F859" i="115"/>
  <c r="E859" i="115"/>
  <c r="A859" i="115"/>
  <c r="K858" i="115"/>
  <c r="I858" i="115"/>
  <c r="H858" i="115"/>
  <c r="G858" i="115"/>
  <c r="F858" i="115"/>
  <c r="E858" i="115"/>
  <c r="A858" i="115"/>
  <c r="K857" i="115"/>
  <c r="I857" i="115"/>
  <c r="H857" i="115"/>
  <c r="G857" i="115"/>
  <c r="F857" i="115"/>
  <c r="E857" i="115"/>
  <c r="A857" i="115"/>
  <c r="K856" i="115"/>
  <c r="I856" i="115"/>
  <c r="H856" i="115"/>
  <c r="G856" i="115"/>
  <c r="F856" i="115"/>
  <c r="E856" i="115"/>
  <c r="A856" i="115"/>
  <c r="K855" i="115"/>
  <c r="I855" i="115"/>
  <c r="H855" i="115"/>
  <c r="G855" i="115"/>
  <c r="F855" i="115"/>
  <c r="E855" i="115"/>
  <c r="A855" i="115"/>
  <c r="K854" i="115"/>
  <c r="I854" i="115"/>
  <c r="H854" i="115"/>
  <c r="G854" i="115"/>
  <c r="F854" i="115"/>
  <c r="E854" i="115"/>
  <c r="A854" i="115"/>
  <c r="K853" i="115"/>
  <c r="I853" i="115"/>
  <c r="H853" i="115"/>
  <c r="G853" i="115"/>
  <c r="F853" i="115"/>
  <c r="E853" i="115"/>
  <c r="A853" i="115"/>
  <c r="K852" i="115"/>
  <c r="I852" i="115"/>
  <c r="H852" i="115"/>
  <c r="G852" i="115"/>
  <c r="F852" i="115"/>
  <c r="E852" i="115"/>
  <c r="A852" i="115"/>
  <c r="K851" i="115"/>
  <c r="I851" i="115"/>
  <c r="H851" i="115"/>
  <c r="G851" i="115"/>
  <c r="F851" i="115"/>
  <c r="E851" i="115"/>
  <c r="A851" i="115"/>
  <c r="K850" i="115"/>
  <c r="I850" i="115"/>
  <c r="H850" i="115"/>
  <c r="G850" i="115"/>
  <c r="F850" i="115"/>
  <c r="E850" i="115"/>
  <c r="A850" i="115"/>
  <c r="K849" i="115"/>
  <c r="I849" i="115"/>
  <c r="H849" i="115"/>
  <c r="G849" i="115"/>
  <c r="F849" i="115"/>
  <c r="E849" i="115"/>
  <c r="A849" i="115"/>
  <c r="K848" i="115"/>
  <c r="I848" i="115"/>
  <c r="H848" i="115"/>
  <c r="G848" i="115"/>
  <c r="F848" i="115"/>
  <c r="E848" i="115"/>
  <c r="A848" i="115"/>
  <c r="K847" i="115"/>
  <c r="I847" i="115"/>
  <c r="H847" i="115"/>
  <c r="G847" i="115"/>
  <c r="F847" i="115"/>
  <c r="E847" i="115"/>
  <c r="A847" i="115"/>
  <c r="K846" i="115"/>
  <c r="I846" i="115"/>
  <c r="H846" i="115"/>
  <c r="G846" i="115"/>
  <c r="F846" i="115"/>
  <c r="E846" i="115"/>
  <c r="A846" i="115"/>
  <c r="K845" i="115"/>
  <c r="I845" i="115"/>
  <c r="H845" i="115"/>
  <c r="G845" i="115"/>
  <c r="F845" i="115"/>
  <c r="E845" i="115"/>
  <c r="A845" i="115"/>
  <c r="K844" i="115"/>
  <c r="I844" i="115"/>
  <c r="H844" i="115"/>
  <c r="G844" i="115"/>
  <c r="F844" i="115"/>
  <c r="E844" i="115"/>
  <c r="A844" i="115"/>
  <c r="K843" i="115"/>
  <c r="I843" i="115"/>
  <c r="H843" i="115"/>
  <c r="G843" i="115"/>
  <c r="F843" i="115"/>
  <c r="E843" i="115"/>
  <c r="A843" i="115"/>
  <c r="K842" i="115"/>
  <c r="I842" i="115"/>
  <c r="H842" i="115"/>
  <c r="G842" i="115"/>
  <c r="F842" i="115"/>
  <c r="E842" i="115"/>
  <c r="A842" i="115"/>
  <c r="K841" i="115"/>
  <c r="I841" i="115"/>
  <c r="H841" i="115"/>
  <c r="G841" i="115"/>
  <c r="F841" i="115"/>
  <c r="E841" i="115"/>
  <c r="A841" i="115"/>
  <c r="K840" i="115"/>
  <c r="I840" i="115"/>
  <c r="H840" i="115"/>
  <c r="G840" i="115"/>
  <c r="F840" i="115"/>
  <c r="E840" i="115"/>
  <c r="A840" i="115"/>
  <c r="K839" i="115"/>
  <c r="I839" i="115"/>
  <c r="H839" i="115"/>
  <c r="G839" i="115"/>
  <c r="F839" i="115"/>
  <c r="E839" i="115"/>
  <c r="A839" i="115"/>
  <c r="K838" i="115"/>
  <c r="I838" i="115"/>
  <c r="H838" i="115"/>
  <c r="G838" i="115"/>
  <c r="F838" i="115"/>
  <c r="E838" i="115"/>
  <c r="A838" i="115"/>
  <c r="K837" i="115"/>
  <c r="I837" i="115"/>
  <c r="H837" i="115"/>
  <c r="G837" i="115"/>
  <c r="F837" i="115"/>
  <c r="E837" i="115"/>
  <c r="A837" i="115"/>
  <c r="K836" i="115"/>
  <c r="I836" i="115"/>
  <c r="H836" i="115"/>
  <c r="G836" i="115"/>
  <c r="F836" i="115"/>
  <c r="E836" i="115"/>
  <c r="A836" i="115"/>
  <c r="K835" i="115"/>
  <c r="I835" i="115"/>
  <c r="H835" i="115"/>
  <c r="G835" i="115"/>
  <c r="F835" i="115"/>
  <c r="E835" i="115"/>
  <c r="A835" i="115"/>
  <c r="K834" i="115"/>
  <c r="I834" i="115"/>
  <c r="H834" i="115"/>
  <c r="G834" i="115"/>
  <c r="F834" i="115"/>
  <c r="E834" i="115"/>
  <c r="A834" i="115"/>
  <c r="K833" i="115"/>
  <c r="I833" i="115"/>
  <c r="H833" i="115"/>
  <c r="G833" i="115"/>
  <c r="F833" i="115"/>
  <c r="E833" i="115"/>
  <c r="A833" i="115"/>
  <c r="K832" i="115"/>
  <c r="I832" i="115"/>
  <c r="H832" i="115"/>
  <c r="G832" i="115"/>
  <c r="F832" i="115"/>
  <c r="E832" i="115"/>
  <c r="A832" i="115"/>
  <c r="K831" i="115"/>
  <c r="I831" i="115"/>
  <c r="H831" i="115"/>
  <c r="G831" i="115"/>
  <c r="F831" i="115"/>
  <c r="E831" i="115"/>
  <c r="A831" i="115"/>
  <c r="K830" i="115"/>
  <c r="I830" i="115"/>
  <c r="H830" i="115"/>
  <c r="G830" i="115"/>
  <c r="F830" i="115"/>
  <c r="E830" i="115"/>
  <c r="A830" i="115"/>
  <c r="K829" i="115"/>
  <c r="I829" i="115"/>
  <c r="H829" i="115"/>
  <c r="G829" i="115"/>
  <c r="F829" i="115"/>
  <c r="E829" i="115"/>
  <c r="A829" i="115"/>
  <c r="K828" i="115"/>
  <c r="I828" i="115"/>
  <c r="H828" i="115"/>
  <c r="G828" i="115"/>
  <c r="F828" i="115"/>
  <c r="E828" i="115"/>
  <c r="A828" i="115"/>
  <c r="K827" i="115"/>
  <c r="I827" i="115"/>
  <c r="H827" i="115"/>
  <c r="G827" i="115"/>
  <c r="F827" i="115"/>
  <c r="E827" i="115"/>
  <c r="A827" i="115"/>
  <c r="K826" i="115"/>
  <c r="I826" i="115"/>
  <c r="H826" i="115"/>
  <c r="G826" i="115"/>
  <c r="F826" i="115"/>
  <c r="E826" i="115"/>
  <c r="A826" i="115"/>
  <c r="K825" i="115"/>
  <c r="I825" i="115"/>
  <c r="H825" i="115"/>
  <c r="G825" i="115"/>
  <c r="F825" i="115"/>
  <c r="E825" i="115"/>
  <c r="A825" i="115"/>
  <c r="K824" i="115"/>
  <c r="I824" i="115"/>
  <c r="H824" i="115"/>
  <c r="G824" i="115"/>
  <c r="F824" i="115"/>
  <c r="E824" i="115"/>
  <c r="A824" i="115"/>
  <c r="K823" i="115"/>
  <c r="I823" i="115"/>
  <c r="H823" i="115"/>
  <c r="G823" i="115"/>
  <c r="F823" i="115"/>
  <c r="E823" i="115"/>
  <c r="A823" i="115"/>
  <c r="K822" i="115"/>
  <c r="I822" i="115"/>
  <c r="H822" i="115"/>
  <c r="G822" i="115"/>
  <c r="F822" i="115"/>
  <c r="E822" i="115"/>
  <c r="A822" i="115"/>
  <c r="K821" i="115"/>
  <c r="I821" i="115"/>
  <c r="H821" i="115"/>
  <c r="G821" i="115"/>
  <c r="F821" i="115"/>
  <c r="E821" i="115"/>
  <c r="A821" i="115"/>
  <c r="K820" i="115"/>
  <c r="I820" i="115"/>
  <c r="H820" i="115"/>
  <c r="G820" i="115"/>
  <c r="F820" i="115"/>
  <c r="E820" i="115"/>
  <c r="A820" i="115"/>
  <c r="K819" i="115"/>
  <c r="I819" i="115"/>
  <c r="H819" i="115"/>
  <c r="G819" i="115"/>
  <c r="F819" i="115"/>
  <c r="E819" i="115"/>
  <c r="A819" i="115"/>
  <c r="K818" i="115"/>
  <c r="I818" i="115"/>
  <c r="H818" i="115"/>
  <c r="G818" i="115"/>
  <c r="F818" i="115"/>
  <c r="E818" i="115"/>
  <c r="A818" i="115"/>
  <c r="K817" i="115"/>
  <c r="I817" i="115"/>
  <c r="H817" i="115"/>
  <c r="G817" i="115"/>
  <c r="F817" i="115"/>
  <c r="E817" i="115"/>
  <c r="A817" i="115"/>
  <c r="K816" i="115"/>
  <c r="I816" i="115"/>
  <c r="H816" i="115"/>
  <c r="G816" i="115"/>
  <c r="F816" i="115"/>
  <c r="E816" i="115"/>
  <c r="A816" i="115"/>
  <c r="K815" i="115"/>
  <c r="I815" i="115"/>
  <c r="H815" i="115"/>
  <c r="G815" i="115"/>
  <c r="F815" i="115"/>
  <c r="E815" i="115"/>
  <c r="A815" i="115"/>
  <c r="K814" i="115"/>
  <c r="I814" i="115"/>
  <c r="H814" i="115"/>
  <c r="G814" i="115"/>
  <c r="F814" i="115"/>
  <c r="E814" i="115"/>
  <c r="A814" i="115"/>
  <c r="K813" i="115"/>
  <c r="I813" i="115"/>
  <c r="H813" i="115"/>
  <c r="G813" i="115"/>
  <c r="F813" i="115"/>
  <c r="E813" i="115"/>
  <c r="A813" i="115"/>
  <c r="K812" i="115"/>
  <c r="I812" i="115"/>
  <c r="H812" i="115"/>
  <c r="G812" i="115"/>
  <c r="F812" i="115"/>
  <c r="E812" i="115"/>
  <c r="A812" i="115"/>
  <c r="K811" i="115"/>
  <c r="I811" i="115"/>
  <c r="H811" i="115"/>
  <c r="G811" i="115"/>
  <c r="F811" i="115"/>
  <c r="E811" i="115"/>
  <c r="A811" i="115"/>
  <c r="K810" i="115"/>
  <c r="I810" i="115"/>
  <c r="H810" i="115"/>
  <c r="G810" i="115"/>
  <c r="F810" i="115"/>
  <c r="E810" i="115"/>
  <c r="A810" i="115"/>
  <c r="K809" i="115"/>
  <c r="I809" i="115"/>
  <c r="H809" i="115"/>
  <c r="G809" i="115"/>
  <c r="F809" i="115"/>
  <c r="E809" i="115"/>
  <c r="A809" i="115"/>
  <c r="K808" i="115"/>
  <c r="I808" i="115"/>
  <c r="H808" i="115"/>
  <c r="G808" i="115"/>
  <c r="F808" i="115"/>
  <c r="E808" i="115"/>
  <c r="A808" i="115"/>
  <c r="K807" i="115"/>
  <c r="I807" i="115"/>
  <c r="H807" i="115"/>
  <c r="G807" i="115"/>
  <c r="F807" i="115"/>
  <c r="E807" i="115"/>
  <c r="A807" i="115"/>
  <c r="K806" i="115"/>
  <c r="I806" i="115"/>
  <c r="H806" i="115"/>
  <c r="G806" i="115"/>
  <c r="F806" i="115"/>
  <c r="E806" i="115"/>
  <c r="A806" i="115"/>
  <c r="K805" i="115"/>
  <c r="I805" i="115"/>
  <c r="H805" i="115"/>
  <c r="G805" i="115"/>
  <c r="F805" i="115"/>
  <c r="E805" i="115"/>
  <c r="A805" i="115"/>
  <c r="K804" i="115"/>
  <c r="I804" i="115"/>
  <c r="H804" i="115"/>
  <c r="G804" i="115"/>
  <c r="F804" i="115"/>
  <c r="E804" i="115"/>
  <c r="A804" i="115"/>
  <c r="K803" i="115"/>
  <c r="I803" i="115"/>
  <c r="H803" i="115"/>
  <c r="G803" i="115"/>
  <c r="F803" i="115"/>
  <c r="E803" i="115"/>
  <c r="A803" i="115"/>
  <c r="K802" i="115"/>
  <c r="I802" i="115"/>
  <c r="H802" i="115"/>
  <c r="G802" i="115"/>
  <c r="F802" i="115"/>
  <c r="E802" i="115"/>
  <c r="A802" i="115"/>
  <c r="K801" i="115"/>
  <c r="I801" i="115"/>
  <c r="H801" i="115"/>
  <c r="G801" i="115"/>
  <c r="F801" i="115"/>
  <c r="E801" i="115"/>
  <c r="A801" i="115"/>
  <c r="K800" i="115"/>
  <c r="I800" i="115"/>
  <c r="H800" i="115"/>
  <c r="G800" i="115"/>
  <c r="F800" i="115"/>
  <c r="E800" i="115"/>
  <c r="A800" i="115"/>
  <c r="K799" i="115"/>
  <c r="I799" i="115"/>
  <c r="H799" i="115"/>
  <c r="G799" i="115"/>
  <c r="F799" i="115"/>
  <c r="E799" i="115"/>
  <c r="A799" i="115"/>
  <c r="K798" i="115"/>
  <c r="I798" i="115"/>
  <c r="H798" i="115"/>
  <c r="G798" i="115"/>
  <c r="F798" i="115"/>
  <c r="E798" i="115"/>
  <c r="A798" i="115"/>
  <c r="K797" i="115"/>
  <c r="I797" i="115"/>
  <c r="H797" i="115"/>
  <c r="G797" i="115"/>
  <c r="F797" i="115"/>
  <c r="E797" i="115"/>
  <c r="A797" i="115"/>
  <c r="K796" i="115"/>
  <c r="I796" i="115"/>
  <c r="H796" i="115"/>
  <c r="G796" i="115"/>
  <c r="F796" i="115"/>
  <c r="E796" i="115"/>
  <c r="A796" i="115"/>
  <c r="K795" i="115"/>
  <c r="I795" i="115"/>
  <c r="H795" i="115"/>
  <c r="G795" i="115"/>
  <c r="F795" i="115"/>
  <c r="E795" i="115"/>
  <c r="A795" i="115"/>
  <c r="K794" i="115"/>
  <c r="I794" i="115"/>
  <c r="H794" i="115"/>
  <c r="G794" i="115"/>
  <c r="F794" i="115"/>
  <c r="E794" i="115"/>
  <c r="A794" i="115"/>
  <c r="K793" i="115"/>
  <c r="I793" i="115"/>
  <c r="H793" i="115"/>
  <c r="G793" i="115"/>
  <c r="F793" i="115"/>
  <c r="E793" i="115"/>
  <c r="A793" i="115"/>
  <c r="K792" i="115"/>
  <c r="I792" i="115"/>
  <c r="H792" i="115"/>
  <c r="G792" i="115"/>
  <c r="F792" i="115"/>
  <c r="E792" i="115"/>
  <c r="A792" i="115"/>
  <c r="K791" i="115"/>
  <c r="I791" i="115"/>
  <c r="H791" i="115"/>
  <c r="G791" i="115"/>
  <c r="F791" i="115"/>
  <c r="E791" i="115"/>
  <c r="A791" i="115"/>
  <c r="K790" i="115"/>
  <c r="I790" i="115"/>
  <c r="H790" i="115"/>
  <c r="G790" i="115"/>
  <c r="F790" i="115"/>
  <c r="E790" i="115"/>
  <c r="A790" i="115"/>
  <c r="K789" i="115"/>
  <c r="I789" i="115"/>
  <c r="H789" i="115"/>
  <c r="G789" i="115"/>
  <c r="F789" i="115"/>
  <c r="E789" i="115"/>
  <c r="A789" i="115"/>
  <c r="K788" i="115"/>
  <c r="I788" i="115"/>
  <c r="H788" i="115"/>
  <c r="G788" i="115"/>
  <c r="F788" i="115"/>
  <c r="E788" i="115"/>
  <c r="A788" i="115"/>
  <c r="K787" i="115"/>
  <c r="I787" i="115"/>
  <c r="H787" i="115"/>
  <c r="G787" i="115"/>
  <c r="F787" i="115"/>
  <c r="E787" i="115"/>
  <c r="A787" i="115"/>
  <c r="K786" i="115"/>
  <c r="I786" i="115"/>
  <c r="H786" i="115"/>
  <c r="G786" i="115"/>
  <c r="F786" i="115"/>
  <c r="E786" i="115"/>
  <c r="A786" i="115"/>
  <c r="K785" i="115"/>
  <c r="I785" i="115"/>
  <c r="H785" i="115"/>
  <c r="G785" i="115"/>
  <c r="F785" i="115"/>
  <c r="E785" i="115"/>
  <c r="A785" i="115"/>
  <c r="K784" i="115"/>
  <c r="I784" i="115"/>
  <c r="H784" i="115"/>
  <c r="G784" i="115"/>
  <c r="F784" i="115"/>
  <c r="E784" i="115"/>
  <c r="A784" i="115"/>
  <c r="K783" i="115"/>
  <c r="I783" i="115"/>
  <c r="H783" i="115"/>
  <c r="G783" i="115"/>
  <c r="F783" i="115"/>
  <c r="E783" i="115"/>
  <c r="A783" i="115"/>
  <c r="K782" i="115"/>
  <c r="I782" i="115"/>
  <c r="H782" i="115"/>
  <c r="G782" i="115"/>
  <c r="F782" i="115"/>
  <c r="E782" i="115"/>
  <c r="A782" i="115"/>
  <c r="K781" i="115"/>
  <c r="I781" i="115"/>
  <c r="H781" i="115"/>
  <c r="G781" i="115"/>
  <c r="F781" i="115"/>
  <c r="E781" i="115"/>
  <c r="A781" i="115"/>
  <c r="K780" i="115"/>
  <c r="I780" i="115"/>
  <c r="H780" i="115"/>
  <c r="G780" i="115"/>
  <c r="F780" i="115"/>
  <c r="E780" i="115"/>
  <c r="A780" i="115"/>
  <c r="K779" i="115"/>
  <c r="I779" i="115"/>
  <c r="H779" i="115"/>
  <c r="G779" i="115"/>
  <c r="F779" i="115"/>
  <c r="E779" i="115"/>
  <c r="A779" i="115"/>
  <c r="K778" i="115"/>
  <c r="I778" i="115"/>
  <c r="H778" i="115"/>
  <c r="G778" i="115"/>
  <c r="F778" i="115"/>
  <c r="E778" i="115"/>
  <c r="A778" i="115"/>
  <c r="K777" i="115"/>
  <c r="I777" i="115"/>
  <c r="H777" i="115"/>
  <c r="G777" i="115"/>
  <c r="F777" i="115"/>
  <c r="E777" i="115"/>
  <c r="A777" i="115"/>
  <c r="K776" i="115"/>
  <c r="I776" i="115"/>
  <c r="H776" i="115"/>
  <c r="G776" i="115"/>
  <c r="F776" i="115"/>
  <c r="E776" i="115"/>
  <c r="A776" i="115"/>
  <c r="K775" i="115"/>
  <c r="I775" i="115"/>
  <c r="H775" i="115"/>
  <c r="G775" i="115"/>
  <c r="F775" i="115"/>
  <c r="E775" i="115"/>
  <c r="A775" i="115"/>
  <c r="K774" i="115"/>
  <c r="I774" i="115"/>
  <c r="H774" i="115"/>
  <c r="G774" i="115"/>
  <c r="F774" i="115"/>
  <c r="E774" i="115"/>
  <c r="A774" i="115"/>
  <c r="K773" i="115"/>
  <c r="I773" i="115"/>
  <c r="H773" i="115"/>
  <c r="G773" i="115"/>
  <c r="F773" i="115"/>
  <c r="E773" i="115"/>
  <c r="A773" i="115"/>
  <c r="K772" i="115"/>
  <c r="I772" i="115"/>
  <c r="H772" i="115"/>
  <c r="G772" i="115"/>
  <c r="F772" i="115"/>
  <c r="E772" i="115"/>
  <c r="A772" i="115"/>
  <c r="K771" i="115"/>
  <c r="I771" i="115"/>
  <c r="H771" i="115"/>
  <c r="G771" i="115"/>
  <c r="F771" i="115"/>
  <c r="E771" i="115"/>
  <c r="A771" i="115"/>
  <c r="K770" i="115"/>
  <c r="I770" i="115"/>
  <c r="H770" i="115"/>
  <c r="G770" i="115"/>
  <c r="F770" i="115"/>
  <c r="E770" i="115"/>
  <c r="A770" i="115"/>
  <c r="K769" i="115"/>
  <c r="I769" i="115"/>
  <c r="H769" i="115"/>
  <c r="G769" i="115"/>
  <c r="F769" i="115"/>
  <c r="E769" i="115"/>
  <c r="A769" i="115"/>
  <c r="K768" i="115"/>
  <c r="I768" i="115"/>
  <c r="H768" i="115"/>
  <c r="G768" i="115"/>
  <c r="F768" i="115"/>
  <c r="E768" i="115"/>
  <c r="A768" i="115"/>
  <c r="K767" i="115"/>
  <c r="I767" i="115"/>
  <c r="H767" i="115"/>
  <c r="G767" i="115"/>
  <c r="F767" i="115"/>
  <c r="E767" i="115"/>
  <c r="A767" i="115"/>
  <c r="K766" i="115"/>
  <c r="I766" i="115"/>
  <c r="H766" i="115"/>
  <c r="G766" i="115"/>
  <c r="F766" i="115"/>
  <c r="E766" i="115"/>
  <c r="A766" i="115"/>
  <c r="K765" i="115"/>
  <c r="I765" i="115"/>
  <c r="H765" i="115"/>
  <c r="G765" i="115"/>
  <c r="F765" i="115"/>
  <c r="E765" i="115"/>
  <c r="A765" i="115"/>
  <c r="K764" i="115"/>
  <c r="I764" i="115"/>
  <c r="H764" i="115"/>
  <c r="G764" i="115"/>
  <c r="F764" i="115"/>
  <c r="E764" i="115"/>
  <c r="A764" i="115"/>
  <c r="K763" i="115"/>
  <c r="I763" i="115"/>
  <c r="H763" i="115"/>
  <c r="G763" i="115"/>
  <c r="F763" i="115"/>
  <c r="E763" i="115"/>
  <c r="A763" i="115"/>
  <c r="K762" i="115"/>
  <c r="I762" i="115"/>
  <c r="H762" i="115"/>
  <c r="G762" i="115"/>
  <c r="F762" i="115"/>
  <c r="E762" i="115"/>
  <c r="A762" i="115"/>
  <c r="K761" i="115"/>
  <c r="I761" i="115"/>
  <c r="H761" i="115"/>
  <c r="G761" i="115"/>
  <c r="F761" i="115"/>
  <c r="E761" i="115"/>
  <c r="A761" i="115"/>
  <c r="K760" i="115"/>
  <c r="I760" i="115"/>
  <c r="H760" i="115"/>
  <c r="G760" i="115"/>
  <c r="F760" i="115"/>
  <c r="E760" i="115"/>
  <c r="A760" i="115"/>
  <c r="K759" i="115"/>
  <c r="I759" i="115"/>
  <c r="H759" i="115"/>
  <c r="G759" i="115"/>
  <c r="F759" i="115"/>
  <c r="E759" i="115"/>
  <c r="A759" i="115"/>
  <c r="K758" i="115"/>
  <c r="I758" i="115"/>
  <c r="H758" i="115"/>
  <c r="G758" i="115"/>
  <c r="F758" i="115"/>
  <c r="E758" i="115"/>
  <c r="A758" i="115"/>
  <c r="K757" i="115"/>
  <c r="I757" i="115"/>
  <c r="H757" i="115"/>
  <c r="G757" i="115"/>
  <c r="F757" i="115"/>
  <c r="E757" i="115"/>
  <c r="A757" i="115"/>
  <c r="K756" i="115"/>
  <c r="I756" i="115"/>
  <c r="H756" i="115"/>
  <c r="G756" i="115"/>
  <c r="F756" i="115"/>
  <c r="E756" i="115"/>
  <c r="A756" i="115"/>
  <c r="K755" i="115"/>
  <c r="I755" i="115"/>
  <c r="H755" i="115"/>
  <c r="G755" i="115"/>
  <c r="F755" i="115"/>
  <c r="E755" i="115"/>
  <c r="A755" i="115"/>
  <c r="K754" i="115"/>
  <c r="I754" i="115"/>
  <c r="H754" i="115"/>
  <c r="G754" i="115"/>
  <c r="F754" i="115"/>
  <c r="E754" i="115"/>
  <c r="A754" i="115"/>
  <c r="K753" i="115"/>
  <c r="I753" i="115"/>
  <c r="H753" i="115"/>
  <c r="G753" i="115"/>
  <c r="F753" i="115"/>
  <c r="E753" i="115"/>
  <c r="A753" i="115"/>
  <c r="K752" i="115"/>
  <c r="I752" i="115"/>
  <c r="H752" i="115"/>
  <c r="G752" i="115"/>
  <c r="F752" i="115"/>
  <c r="E752" i="115"/>
  <c r="A752" i="115"/>
  <c r="K751" i="115"/>
  <c r="I751" i="115"/>
  <c r="H751" i="115"/>
  <c r="G751" i="115"/>
  <c r="F751" i="115"/>
  <c r="E751" i="115"/>
  <c r="A751" i="115"/>
  <c r="K750" i="115"/>
  <c r="I750" i="115"/>
  <c r="H750" i="115"/>
  <c r="G750" i="115"/>
  <c r="F750" i="115"/>
  <c r="E750" i="115"/>
  <c r="A750" i="115"/>
  <c r="K749" i="115"/>
  <c r="I749" i="115"/>
  <c r="H749" i="115"/>
  <c r="G749" i="115"/>
  <c r="F749" i="115"/>
  <c r="E749" i="115"/>
  <c r="A749" i="115"/>
  <c r="K748" i="115"/>
  <c r="I748" i="115"/>
  <c r="H748" i="115"/>
  <c r="G748" i="115"/>
  <c r="F748" i="115"/>
  <c r="E748" i="115"/>
  <c r="A748" i="115"/>
  <c r="K747" i="115"/>
  <c r="I747" i="115"/>
  <c r="H747" i="115"/>
  <c r="G747" i="115"/>
  <c r="F747" i="115"/>
  <c r="E747" i="115"/>
  <c r="A747" i="115"/>
  <c r="K746" i="115"/>
  <c r="I746" i="115"/>
  <c r="H746" i="115"/>
  <c r="G746" i="115"/>
  <c r="F746" i="115"/>
  <c r="E746" i="115"/>
  <c r="A746" i="115"/>
  <c r="K745" i="115"/>
  <c r="I745" i="115"/>
  <c r="H745" i="115"/>
  <c r="G745" i="115"/>
  <c r="F745" i="115"/>
  <c r="E745" i="115"/>
  <c r="A745" i="115"/>
  <c r="K744" i="115"/>
  <c r="I744" i="115"/>
  <c r="H744" i="115"/>
  <c r="G744" i="115"/>
  <c r="F744" i="115"/>
  <c r="E744" i="115"/>
  <c r="A744" i="115"/>
  <c r="K743" i="115"/>
  <c r="I743" i="115"/>
  <c r="H743" i="115"/>
  <c r="G743" i="115"/>
  <c r="F743" i="115"/>
  <c r="E743" i="115"/>
  <c r="A743" i="115"/>
  <c r="K742" i="115"/>
  <c r="I742" i="115"/>
  <c r="H742" i="115"/>
  <c r="G742" i="115"/>
  <c r="F742" i="115"/>
  <c r="E742" i="115"/>
  <c r="A742" i="115"/>
  <c r="K741" i="115"/>
  <c r="I741" i="115"/>
  <c r="H741" i="115"/>
  <c r="G741" i="115"/>
  <c r="F741" i="115"/>
  <c r="E741" i="115"/>
  <c r="A741" i="115"/>
  <c r="K740" i="115"/>
  <c r="I740" i="115"/>
  <c r="H740" i="115"/>
  <c r="G740" i="115"/>
  <c r="F740" i="115"/>
  <c r="E740" i="115"/>
  <c r="A740" i="115"/>
  <c r="K739" i="115"/>
  <c r="I739" i="115"/>
  <c r="H739" i="115"/>
  <c r="G739" i="115"/>
  <c r="F739" i="115"/>
  <c r="E739" i="115"/>
  <c r="A739" i="115"/>
  <c r="K738" i="115"/>
  <c r="I738" i="115"/>
  <c r="H738" i="115"/>
  <c r="G738" i="115"/>
  <c r="F738" i="115"/>
  <c r="E738" i="115"/>
  <c r="A738" i="115"/>
  <c r="K737" i="115"/>
  <c r="I737" i="115"/>
  <c r="H737" i="115"/>
  <c r="G737" i="115"/>
  <c r="F737" i="115"/>
  <c r="E737" i="115"/>
  <c r="A737" i="115"/>
  <c r="K736" i="115"/>
  <c r="I736" i="115"/>
  <c r="H736" i="115"/>
  <c r="G736" i="115"/>
  <c r="F736" i="115"/>
  <c r="E736" i="115"/>
  <c r="A736" i="115"/>
  <c r="K735" i="115"/>
  <c r="I735" i="115"/>
  <c r="H735" i="115"/>
  <c r="G735" i="115"/>
  <c r="F735" i="115"/>
  <c r="E735" i="115"/>
  <c r="A735" i="115"/>
  <c r="K734" i="115"/>
  <c r="I734" i="115"/>
  <c r="H734" i="115"/>
  <c r="G734" i="115"/>
  <c r="F734" i="115"/>
  <c r="E734" i="115"/>
  <c r="A734" i="115"/>
  <c r="K733" i="115"/>
  <c r="I733" i="115"/>
  <c r="H733" i="115"/>
  <c r="G733" i="115"/>
  <c r="F733" i="115"/>
  <c r="E733" i="115"/>
  <c r="A733" i="115"/>
  <c r="K732" i="115"/>
  <c r="I732" i="115"/>
  <c r="H732" i="115"/>
  <c r="G732" i="115"/>
  <c r="F732" i="115"/>
  <c r="E732" i="115"/>
  <c r="A732" i="115"/>
  <c r="K731" i="115"/>
  <c r="I731" i="115"/>
  <c r="H731" i="115"/>
  <c r="G731" i="115"/>
  <c r="F731" i="115"/>
  <c r="E731" i="115"/>
  <c r="A731" i="115"/>
  <c r="K730" i="115"/>
  <c r="I730" i="115"/>
  <c r="H730" i="115"/>
  <c r="G730" i="115"/>
  <c r="F730" i="115"/>
  <c r="E730" i="115"/>
  <c r="A730" i="115"/>
  <c r="K729" i="115"/>
  <c r="I729" i="115"/>
  <c r="H729" i="115"/>
  <c r="G729" i="115"/>
  <c r="F729" i="115"/>
  <c r="E729" i="115"/>
  <c r="A729" i="115"/>
  <c r="K728" i="115"/>
  <c r="I728" i="115"/>
  <c r="H728" i="115"/>
  <c r="G728" i="115"/>
  <c r="F728" i="115"/>
  <c r="E728" i="115"/>
  <c r="A728" i="115"/>
  <c r="K727" i="115"/>
  <c r="I727" i="115"/>
  <c r="H727" i="115"/>
  <c r="G727" i="115"/>
  <c r="F727" i="115"/>
  <c r="E727" i="115"/>
  <c r="A727" i="115"/>
  <c r="K726" i="115"/>
  <c r="I726" i="115"/>
  <c r="H726" i="115"/>
  <c r="G726" i="115"/>
  <c r="F726" i="115"/>
  <c r="E726" i="115"/>
  <c r="A726" i="115"/>
  <c r="K725" i="115"/>
  <c r="I725" i="115"/>
  <c r="H725" i="115"/>
  <c r="G725" i="115"/>
  <c r="F725" i="115"/>
  <c r="E725" i="115"/>
  <c r="A725" i="115"/>
  <c r="K724" i="115"/>
  <c r="I724" i="115"/>
  <c r="H724" i="115"/>
  <c r="G724" i="115"/>
  <c r="F724" i="115"/>
  <c r="E724" i="115"/>
  <c r="A724" i="115"/>
  <c r="K723" i="115"/>
  <c r="I723" i="115"/>
  <c r="H723" i="115"/>
  <c r="G723" i="115"/>
  <c r="F723" i="115"/>
  <c r="E723" i="115"/>
  <c r="A723" i="115"/>
  <c r="K722" i="115"/>
  <c r="I722" i="115"/>
  <c r="H722" i="115"/>
  <c r="G722" i="115"/>
  <c r="F722" i="115"/>
  <c r="E722" i="115"/>
  <c r="A722" i="115"/>
  <c r="K721" i="115"/>
  <c r="I721" i="115"/>
  <c r="H721" i="115"/>
  <c r="G721" i="115"/>
  <c r="F721" i="115"/>
  <c r="E721" i="115"/>
  <c r="A721" i="115"/>
  <c r="K720" i="115"/>
  <c r="I720" i="115"/>
  <c r="H720" i="115"/>
  <c r="G720" i="115"/>
  <c r="F720" i="115"/>
  <c r="E720" i="115"/>
  <c r="A720" i="115"/>
  <c r="K719" i="115"/>
  <c r="I719" i="115"/>
  <c r="H719" i="115"/>
  <c r="G719" i="115"/>
  <c r="F719" i="115"/>
  <c r="E719" i="115"/>
  <c r="A719" i="115"/>
  <c r="K718" i="115"/>
  <c r="I718" i="115"/>
  <c r="H718" i="115"/>
  <c r="G718" i="115"/>
  <c r="F718" i="115"/>
  <c r="E718" i="115"/>
  <c r="A718" i="115"/>
  <c r="K717" i="115"/>
  <c r="I717" i="115"/>
  <c r="H717" i="115"/>
  <c r="G717" i="115"/>
  <c r="F717" i="115"/>
  <c r="E717" i="115"/>
  <c r="A717" i="115"/>
  <c r="K716" i="115"/>
  <c r="I716" i="115"/>
  <c r="H716" i="115"/>
  <c r="G716" i="115"/>
  <c r="F716" i="115"/>
  <c r="E716" i="115"/>
  <c r="A716" i="115"/>
  <c r="K715" i="115"/>
  <c r="I715" i="115"/>
  <c r="H715" i="115"/>
  <c r="G715" i="115"/>
  <c r="F715" i="115"/>
  <c r="E715" i="115"/>
  <c r="A715" i="115"/>
  <c r="K714" i="115"/>
  <c r="I714" i="115"/>
  <c r="H714" i="115"/>
  <c r="G714" i="115"/>
  <c r="F714" i="115"/>
  <c r="E714" i="115"/>
  <c r="A714" i="115"/>
  <c r="K713" i="115"/>
  <c r="I713" i="115"/>
  <c r="H713" i="115"/>
  <c r="G713" i="115"/>
  <c r="F713" i="115"/>
  <c r="E713" i="115"/>
  <c r="A713" i="115"/>
  <c r="K712" i="115"/>
  <c r="I712" i="115"/>
  <c r="H712" i="115"/>
  <c r="G712" i="115"/>
  <c r="F712" i="115"/>
  <c r="E712" i="115"/>
  <c r="A712" i="115"/>
  <c r="K711" i="115"/>
  <c r="I711" i="115"/>
  <c r="H711" i="115"/>
  <c r="G711" i="115"/>
  <c r="F711" i="115"/>
  <c r="E711" i="115"/>
  <c r="A711" i="115"/>
  <c r="K710" i="115"/>
  <c r="I710" i="115"/>
  <c r="H710" i="115"/>
  <c r="G710" i="115"/>
  <c r="F710" i="115"/>
  <c r="E710" i="115"/>
  <c r="A710" i="115"/>
  <c r="K709" i="115"/>
  <c r="I709" i="115"/>
  <c r="H709" i="115"/>
  <c r="G709" i="115"/>
  <c r="F709" i="115"/>
  <c r="E709" i="115"/>
  <c r="A709" i="115"/>
  <c r="K708" i="115"/>
  <c r="I708" i="115"/>
  <c r="H708" i="115"/>
  <c r="G708" i="115"/>
  <c r="F708" i="115"/>
  <c r="E708" i="115"/>
  <c r="A708" i="115"/>
  <c r="K707" i="115"/>
  <c r="I707" i="115"/>
  <c r="H707" i="115"/>
  <c r="G707" i="115"/>
  <c r="F707" i="115"/>
  <c r="E707" i="115"/>
  <c r="A707" i="115"/>
  <c r="K706" i="115"/>
  <c r="I706" i="115"/>
  <c r="H706" i="115"/>
  <c r="G706" i="115"/>
  <c r="F706" i="115"/>
  <c r="E706" i="115"/>
  <c r="A706" i="115"/>
  <c r="K705" i="115"/>
  <c r="I705" i="115"/>
  <c r="H705" i="115"/>
  <c r="G705" i="115"/>
  <c r="F705" i="115"/>
  <c r="E705" i="115"/>
  <c r="A705" i="115"/>
  <c r="K704" i="115"/>
  <c r="I704" i="115"/>
  <c r="H704" i="115"/>
  <c r="G704" i="115"/>
  <c r="F704" i="115"/>
  <c r="E704" i="115"/>
  <c r="A704" i="115"/>
  <c r="K703" i="115"/>
  <c r="I703" i="115"/>
  <c r="H703" i="115"/>
  <c r="G703" i="115"/>
  <c r="F703" i="115"/>
  <c r="E703" i="115"/>
  <c r="A703" i="115"/>
  <c r="K702" i="115"/>
  <c r="I702" i="115"/>
  <c r="H702" i="115"/>
  <c r="G702" i="115"/>
  <c r="F702" i="115"/>
  <c r="E702" i="115"/>
  <c r="A702" i="115"/>
  <c r="K701" i="115"/>
  <c r="I701" i="115"/>
  <c r="H701" i="115"/>
  <c r="G701" i="115"/>
  <c r="F701" i="115"/>
  <c r="E701" i="115"/>
  <c r="A701" i="115"/>
  <c r="K700" i="115"/>
  <c r="I700" i="115"/>
  <c r="H700" i="115"/>
  <c r="G700" i="115"/>
  <c r="F700" i="115"/>
  <c r="E700" i="115"/>
  <c r="A700" i="115"/>
  <c r="K699" i="115"/>
  <c r="I699" i="115"/>
  <c r="H699" i="115"/>
  <c r="G699" i="115"/>
  <c r="F699" i="115"/>
  <c r="E699" i="115"/>
  <c r="A699" i="115"/>
  <c r="K698" i="115"/>
  <c r="I698" i="115"/>
  <c r="H698" i="115"/>
  <c r="G698" i="115"/>
  <c r="F698" i="115"/>
  <c r="E698" i="115"/>
  <c r="A698" i="115"/>
  <c r="K697" i="115"/>
  <c r="I697" i="115"/>
  <c r="H697" i="115"/>
  <c r="G697" i="115"/>
  <c r="F697" i="115"/>
  <c r="E697" i="115"/>
  <c r="A697" i="115"/>
  <c r="K696" i="115"/>
  <c r="I696" i="115"/>
  <c r="H696" i="115"/>
  <c r="G696" i="115"/>
  <c r="F696" i="115"/>
  <c r="E696" i="115"/>
  <c r="A696" i="115"/>
  <c r="K695" i="115"/>
  <c r="I695" i="115"/>
  <c r="H695" i="115"/>
  <c r="G695" i="115"/>
  <c r="F695" i="115"/>
  <c r="E695" i="115"/>
  <c r="A695" i="115"/>
  <c r="K694" i="115"/>
  <c r="I694" i="115"/>
  <c r="H694" i="115"/>
  <c r="G694" i="115"/>
  <c r="F694" i="115"/>
  <c r="E694" i="115"/>
  <c r="A694" i="115"/>
  <c r="K693" i="115"/>
  <c r="I693" i="115"/>
  <c r="H693" i="115"/>
  <c r="G693" i="115"/>
  <c r="F693" i="115"/>
  <c r="E693" i="115"/>
  <c r="A693" i="115"/>
  <c r="K692" i="115"/>
  <c r="I692" i="115"/>
  <c r="H692" i="115"/>
  <c r="G692" i="115"/>
  <c r="F692" i="115"/>
  <c r="E692" i="115"/>
  <c r="A692" i="115"/>
  <c r="K691" i="115"/>
  <c r="I691" i="115"/>
  <c r="H691" i="115"/>
  <c r="G691" i="115"/>
  <c r="F691" i="115"/>
  <c r="E691" i="115"/>
  <c r="A691" i="115"/>
  <c r="K690" i="115"/>
  <c r="I690" i="115"/>
  <c r="H690" i="115"/>
  <c r="G690" i="115"/>
  <c r="F690" i="115"/>
  <c r="E690" i="115"/>
  <c r="A690" i="115"/>
  <c r="K689" i="115"/>
  <c r="I689" i="115"/>
  <c r="H689" i="115"/>
  <c r="G689" i="115"/>
  <c r="F689" i="115"/>
  <c r="E689" i="115"/>
  <c r="A689" i="115"/>
  <c r="K688" i="115"/>
  <c r="I688" i="115"/>
  <c r="H688" i="115"/>
  <c r="G688" i="115"/>
  <c r="F688" i="115"/>
  <c r="E688" i="115"/>
  <c r="A688" i="115"/>
  <c r="K687" i="115"/>
  <c r="I687" i="115"/>
  <c r="H687" i="115"/>
  <c r="G687" i="115"/>
  <c r="F687" i="115"/>
  <c r="E687" i="115"/>
  <c r="A687" i="115"/>
  <c r="K686" i="115"/>
  <c r="I686" i="115"/>
  <c r="H686" i="115"/>
  <c r="G686" i="115"/>
  <c r="F686" i="115"/>
  <c r="E686" i="115"/>
  <c r="A686" i="115"/>
  <c r="K685" i="115"/>
  <c r="I685" i="115"/>
  <c r="H685" i="115"/>
  <c r="G685" i="115"/>
  <c r="F685" i="115"/>
  <c r="E685" i="115"/>
  <c r="A685" i="115"/>
  <c r="K684" i="115"/>
  <c r="I684" i="115"/>
  <c r="H684" i="115"/>
  <c r="G684" i="115"/>
  <c r="F684" i="115"/>
  <c r="E684" i="115"/>
  <c r="A684" i="115"/>
  <c r="K683" i="115"/>
  <c r="I683" i="115"/>
  <c r="H683" i="115"/>
  <c r="G683" i="115"/>
  <c r="F683" i="115"/>
  <c r="E683" i="115"/>
  <c r="A683" i="115"/>
  <c r="K682" i="115"/>
  <c r="I682" i="115"/>
  <c r="H682" i="115"/>
  <c r="G682" i="115"/>
  <c r="F682" i="115"/>
  <c r="E682" i="115"/>
  <c r="A682" i="115"/>
  <c r="K681" i="115"/>
  <c r="I681" i="115"/>
  <c r="H681" i="115"/>
  <c r="G681" i="115"/>
  <c r="F681" i="115"/>
  <c r="E681" i="115"/>
  <c r="A681" i="115"/>
  <c r="K680" i="115"/>
  <c r="I680" i="115"/>
  <c r="H680" i="115"/>
  <c r="G680" i="115"/>
  <c r="F680" i="115"/>
  <c r="E680" i="115"/>
  <c r="A680" i="115"/>
  <c r="K679" i="115"/>
  <c r="I679" i="115"/>
  <c r="H679" i="115"/>
  <c r="G679" i="115"/>
  <c r="F679" i="115"/>
  <c r="E679" i="115"/>
  <c r="A679" i="115"/>
  <c r="K678" i="115"/>
  <c r="I678" i="115"/>
  <c r="H678" i="115"/>
  <c r="G678" i="115"/>
  <c r="F678" i="115"/>
  <c r="E678" i="115"/>
  <c r="A678" i="115"/>
  <c r="K677" i="115"/>
  <c r="I677" i="115"/>
  <c r="H677" i="115"/>
  <c r="G677" i="115"/>
  <c r="F677" i="115"/>
  <c r="E677" i="115"/>
  <c r="A677" i="115"/>
  <c r="K676" i="115"/>
  <c r="I676" i="115"/>
  <c r="H676" i="115"/>
  <c r="G676" i="115"/>
  <c r="F676" i="115"/>
  <c r="E676" i="115"/>
  <c r="A676" i="115"/>
  <c r="K675" i="115"/>
  <c r="I675" i="115"/>
  <c r="H675" i="115"/>
  <c r="G675" i="115"/>
  <c r="F675" i="115"/>
  <c r="E675" i="115"/>
  <c r="A675" i="115"/>
  <c r="K674" i="115"/>
  <c r="I674" i="115"/>
  <c r="H674" i="115"/>
  <c r="G674" i="115"/>
  <c r="F674" i="115"/>
  <c r="E674" i="115"/>
  <c r="A674" i="115"/>
  <c r="K673" i="115"/>
  <c r="I673" i="115"/>
  <c r="H673" i="115"/>
  <c r="G673" i="115"/>
  <c r="F673" i="115"/>
  <c r="E673" i="115"/>
  <c r="A673" i="115"/>
  <c r="K672" i="115"/>
  <c r="I672" i="115"/>
  <c r="H672" i="115"/>
  <c r="G672" i="115"/>
  <c r="F672" i="115"/>
  <c r="E672" i="115"/>
  <c r="A672" i="115"/>
  <c r="K671" i="115"/>
  <c r="I671" i="115"/>
  <c r="H671" i="115"/>
  <c r="G671" i="115"/>
  <c r="F671" i="115"/>
  <c r="E671" i="115"/>
  <c r="A671" i="115"/>
  <c r="K670" i="115"/>
  <c r="I670" i="115"/>
  <c r="H670" i="115"/>
  <c r="G670" i="115"/>
  <c r="F670" i="115"/>
  <c r="E670" i="115"/>
  <c r="A670" i="115"/>
  <c r="K669" i="115"/>
  <c r="I669" i="115"/>
  <c r="H669" i="115"/>
  <c r="G669" i="115"/>
  <c r="F669" i="115"/>
  <c r="E669" i="115"/>
  <c r="A669" i="115"/>
  <c r="K668" i="115"/>
  <c r="I668" i="115"/>
  <c r="H668" i="115"/>
  <c r="G668" i="115"/>
  <c r="F668" i="115"/>
  <c r="E668" i="115"/>
  <c r="A668" i="115"/>
  <c r="K667" i="115"/>
  <c r="I667" i="115"/>
  <c r="H667" i="115"/>
  <c r="G667" i="115"/>
  <c r="F667" i="115"/>
  <c r="E667" i="115"/>
  <c r="A667" i="115"/>
  <c r="K666" i="115"/>
  <c r="I666" i="115"/>
  <c r="H666" i="115"/>
  <c r="G666" i="115"/>
  <c r="F666" i="115"/>
  <c r="E666" i="115"/>
  <c r="A666" i="115"/>
  <c r="K665" i="115"/>
  <c r="I665" i="115"/>
  <c r="H665" i="115"/>
  <c r="G665" i="115"/>
  <c r="F665" i="115"/>
  <c r="E665" i="115"/>
  <c r="A665" i="115"/>
  <c r="K664" i="115"/>
  <c r="I664" i="115"/>
  <c r="H664" i="115"/>
  <c r="G664" i="115"/>
  <c r="F664" i="115"/>
  <c r="E664" i="115"/>
  <c r="A664" i="115"/>
  <c r="K663" i="115"/>
  <c r="I663" i="115"/>
  <c r="H663" i="115"/>
  <c r="G663" i="115"/>
  <c r="F663" i="115"/>
  <c r="E663" i="115"/>
  <c r="A663" i="115"/>
  <c r="K662" i="115"/>
  <c r="I662" i="115"/>
  <c r="H662" i="115"/>
  <c r="G662" i="115"/>
  <c r="F662" i="115"/>
  <c r="E662" i="115"/>
  <c r="A662" i="115"/>
  <c r="K661" i="115"/>
  <c r="I661" i="115"/>
  <c r="H661" i="115"/>
  <c r="G661" i="115"/>
  <c r="F661" i="115"/>
  <c r="E661" i="115"/>
  <c r="A661" i="115"/>
  <c r="K660" i="115"/>
  <c r="I660" i="115"/>
  <c r="H660" i="115"/>
  <c r="G660" i="115"/>
  <c r="F660" i="115"/>
  <c r="E660" i="115"/>
  <c r="A660" i="115"/>
  <c r="K659" i="115"/>
  <c r="I659" i="115"/>
  <c r="H659" i="115"/>
  <c r="G659" i="115"/>
  <c r="F659" i="115"/>
  <c r="E659" i="115"/>
  <c r="A659" i="115"/>
  <c r="K658" i="115"/>
  <c r="I658" i="115"/>
  <c r="H658" i="115"/>
  <c r="G658" i="115"/>
  <c r="F658" i="115"/>
  <c r="E658" i="115"/>
  <c r="A658" i="115"/>
  <c r="K657" i="115"/>
  <c r="I657" i="115"/>
  <c r="H657" i="115"/>
  <c r="G657" i="115"/>
  <c r="F657" i="115"/>
  <c r="E657" i="115"/>
  <c r="A657" i="115"/>
  <c r="K656" i="115"/>
  <c r="I656" i="115"/>
  <c r="H656" i="115"/>
  <c r="G656" i="115"/>
  <c r="F656" i="115"/>
  <c r="E656" i="115"/>
  <c r="A656" i="115"/>
  <c r="K655" i="115"/>
  <c r="I655" i="115"/>
  <c r="H655" i="115"/>
  <c r="G655" i="115"/>
  <c r="F655" i="115"/>
  <c r="E655" i="115"/>
  <c r="A655" i="115"/>
  <c r="K654" i="115"/>
  <c r="I654" i="115"/>
  <c r="H654" i="115"/>
  <c r="G654" i="115"/>
  <c r="F654" i="115"/>
  <c r="E654" i="115"/>
  <c r="A654" i="115"/>
  <c r="K653" i="115"/>
  <c r="I653" i="115"/>
  <c r="H653" i="115"/>
  <c r="G653" i="115"/>
  <c r="F653" i="115"/>
  <c r="E653" i="115"/>
  <c r="A653" i="115"/>
  <c r="K652" i="115"/>
  <c r="I652" i="115"/>
  <c r="H652" i="115"/>
  <c r="G652" i="115"/>
  <c r="F652" i="115"/>
  <c r="E652" i="115"/>
  <c r="A652" i="115"/>
  <c r="K651" i="115"/>
  <c r="I651" i="115"/>
  <c r="H651" i="115"/>
  <c r="G651" i="115"/>
  <c r="F651" i="115"/>
  <c r="E651" i="115"/>
  <c r="A651" i="115"/>
  <c r="K650" i="115"/>
  <c r="I650" i="115"/>
  <c r="H650" i="115"/>
  <c r="G650" i="115"/>
  <c r="F650" i="115"/>
  <c r="E650" i="115"/>
  <c r="A650" i="115"/>
  <c r="K649" i="115"/>
  <c r="I649" i="115"/>
  <c r="H649" i="115"/>
  <c r="G649" i="115"/>
  <c r="F649" i="115"/>
  <c r="E649" i="115"/>
  <c r="A649" i="115"/>
  <c r="K648" i="115"/>
  <c r="I648" i="115"/>
  <c r="H648" i="115"/>
  <c r="G648" i="115"/>
  <c r="F648" i="115"/>
  <c r="E648" i="115"/>
  <c r="A648" i="115"/>
  <c r="K647" i="115"/>
  <c r="I647" i="115"/>
  <c r="H647" i="115"/>
  <c r="G647" i="115"/>
  <c r="F647" i="115"/>
  <c r="E647" i="115"/>
  <c r="A647" i="115"/>
  <c r="K646" i="115"/>
  <c r="I646" i="115"/>
  <c r="H646" i="115"/>
  <c r="G646" i="115"/>
  <c r="F646" i="115"/>
  <c r="E646" i="115"/>
  <c r="A646" i="115"/>
  <c r="K645" i="115"/>
  <c r="I645" i="115"/>
  <c r="H645" i="115"/>
  <c r="G645" i="115"/>
  <c r="F645" i="115"/>
  <c r="E645" i="115"/>
  <c r="A645" i="115"/>
  <c r="K644" i="115"/>
  <c r="I644" i="115"/>
  <c r="H644" i="115"/>
  <c r="G644" i="115"/>
  <c r="F644" i="115"/>
  <c r="E644" i="115"/>
  <c r="A644" i="115"/>
  <c r="K643" i="115"/>
  <c r="I643" i="115"/>
  <c r="H643" i="115"/>
  <c r="G643" i="115"/>
  <c r="F643" i="115"/>
  <c r="E643" i="115"/>
  <c r="A643" i="115"/>
  <c r="K642" i="115"/>
  <c r="I642" i="115"/>
  <c r="H642" i="115"/>
  <c r="G642" i="115"/>
  <c r="F642" i="115"/>
  <c r="E642" i="115"/>
  <c r="A642" i="115"/>
  <c r="K641" i="115"/>
  <c r="I641" i="115"/>
  <c r="H641" i="115"/>
  <c r="G641" i="115"/>
  <c r="F641" i="115"/>
  <c r="E641" i="115"/>
  <c r="A641" i="115"/>
  <c r="K640" i="115"/>
  <c r="I640" i="115"/>
  <c r="H640" i="115"/>
  <c r="G640" i="115"/>
  <c r="F640" i="115"/>
  <c r="E640" i="115"/>
  <c r="A640" i="115"/>
  <c r="K639" i="115"/>
  <c r="I639" i="115"/>
  <c r="H639" i="115"/>
  <c r="G639" i="115"/>
  <c r="F639" i="115"/>
  <c r="E639" i="115"/>
  <c r="A639" i="115"/>
  <c r="K638" i="115"/>
  <c r="I638" i="115"/>
  <c r="H638" i="115"/>
  <c r="G638" i="115"/>
  <c r="F638" i="115"/>
  <c r="E638" i="115"/>
  <c r="A638" i="115"/>
  <c r="K637" i="115"/>
  <c r="I637" i="115"/>
  <c r="H637" i="115"/>
  <c r="G637" i="115"/>
  <c r="F637" i="115"/>
  <c r="E637" i="115"/>
  <c r="A637" i="115"/>
  <c r="K636" i="115"/>
  <c r="I636" i="115"/>
  <c r="H636" i="115"/>
  <c r="G636" i="115"/>
  <c r="F636" i="115"/>
  <c r="E636" i="115"/>
  <c r="A636" i="115"/>
  <c r="K635" i="115"/>
  <c r="I635" i="115"/>
  <c r="H635" i="115"/>
  <c r="G635" i="115"/>
  <c r="F635" i="115"/>
  <c r="E635" i="115"/>
  <c r="A635" i="115"/>
  <c r="K634" i="115"/>
  <c r="I634" i="115"/>
  <c r="H634" i="115"/>
  <c r="G634" i="115"/>
  <c r="F634" i="115"/>
  <c r="E634" i="115"/>
  <c r="A634" i="115"/>
  <c r="K633" i="115"/>
  <c r="I633" i="115"/>
  <c r="H633" i="115"/>
  <c r="G633" i="115"/>
  <c r="F633" i="115"/>
  <c r="E633" i="115"/>
  <c r="A633" i="115"/>
  <c r="K632" i="115"/>
  <c r="I632" i="115"/>
  <c r="H632" i="115"/>
  <c r="G632" i="115"/>
  <c r="F632" i="115"/>
  <c r="E632" i="115"/>
  <c r="A632" i="115"/>
  <c r="K631" i="115"/>
  <c r="I631" i="115"/>
  <c r="H631" i="115"/>
  <c r="G631" i="115"/>
  <c r="F631" i="115"/>
  <c r="E631" i="115"/>
  <c r="A631" i="115"/>
  <c r="K630" i="115"/>
  <c r="I630" i="115"/>
  <c r="H630" i="115"/>
  <c r="G630" i="115"/>
  <c r="F630" i="115"/>
  <c r="E630" i="115"/>
  <c r="A630" i="115"/>
  <c r="K629" i="115"/>
  <c r="I629" i="115"/>
  <c r="H629" i="115"/>
  <c r="G629" i="115"/>
  <c r="F629" i="115"/>
  <c r="E629" i="115"/>
  <c r="A629" i="115"/>
  <c r="K628" i="115"/>
  <c r="I628" i="115"/>
  <c r="H628" i="115"/>
  <c r="G628" i="115"/>
  <c r="F628" i="115"/>
  <c r="E628" i="115"/>
  <c r="A628" i="115"/>
  <c r="K627" i="115"/>
  <c r="I627" i="115"/>
  <c r="H627" i="115"/>
  <c r="G627" i="115"/>
  <c r="F627" i="115"/>
  <c r="E627" i="115"/>
  <c r="A627" i="115"/>
  <c r="K626" i="115"/>
  <c r="I626" i="115"/>
  <c r="H626" i="115"/>
  <c r="G626" i="115"/>
  <c r="F626" i="115"/>
  <c r="E626" i="115"/>
  <c r="A626" i="115"/>
  <c r="K625" i="115"/>
  <c r="I625" i="115"/>
  <c r="H625" i="115"/>
  <c r="G625" i="115"/>
  <c r="F625" i="115"/>
  <c r="E625" i="115"/>
  <c r="A625" i="115"/>
  <c r="K624" i="115"/>
  <c r="I624" i="115"/>
  <c r="H624" i="115"/>
  <c r="G624" i="115"/>
  <c r="F624" i="115"/>
  <c r="E624" i="115"/>
  <c r="A624" i="115"/>
  <c r="K623" i="115"/>
  <c r="I623" i="115"/>
  <c r="H623" i="115"/>
  <c r="G623" i="115"/>
  <c r="F623" i="115"/>
  <c r="E623" i="115"/>
  <c r="A623" i="115"/>
  <c r="K622" i="115"/>
  <c r="I622" i="115"/>
  <c r="H622" i="115"/>
  <c r="G622" i="115"/>
  <c r="F622" i="115"/>
  <c r="E622" i="115"/>
  <c r="A622" i="115"/>
  <c r="K621" i="115"/>
  <c r="I621" i="115"/>
  <c r="H621" i="115"/>
  <c r="G621" i="115"/>
  <c r="F621" i="115"/>
  <c r="E621" i="115"/>
  <c r="A621" i="115"/>
  <c r="K620" i="115"/>
  <c r="I620" i="115"/>
  <c r="H620" i="115"/>
  <c r="G620" i="115"/>
  <c r="F620" i="115"/>
  <c r="E620" i="115"/>
  <c r="A620" i="115"/>
  <c r="K619" i="115"/>
  <c r="I619" i="115"/>
  <c r="H619" i="115"/>
  <c r="G619" i="115"/>
  <c r="F619" i="115"/>
  <c r="E619" i="115"/>
  <c r="A619" i="115"/>
  <c r="K618" i="115"/>
  <c r="I618" i="115"/>
  <c r="H618" i="115"/>
  <c r="G618" i="115"/>
  <c r="F618" i="115"/>
  <c r="E618" i="115"/>
  <c r="A618" i="115"/>
  <c r="K617" i="115"/>
  <c r="I617" i="115"/>
  <c r="H617" i="115"/>
  <c r="G617" i="115"/>
  <c r="F617" i="115"/>
  <c r="E617" i="115"/>
  <c r="A617" i="115"/>
  <c r="K616" i="115"/>
  <c r="I616" i="115"/>
  <c r="H616" i="115"/>
  <c r="G616" i="115"/>
  <c r="F616" i="115"/>
  <c r="E616" i="115"/>
  <c r="A616" i="115"/>
  <c r="K615" i="115"/>
  <c r="I615" i="115"/>
  <c r="H615" i="115"/>
  <c r="G615" i="115"/>
  <c r="F615" i="115"/>
  <c r="E615" i="115"/>
  <c r="A615" i="115"/>
  <c r="K614" i="115"/>
  <c r="I614" i="115"/>
  <c r="H614" i="115"/>
  <c r="G614" i="115"/>
  <c r="F614" i="115"/>
  <c r="E614" i="115"/>
  <c r="A614" i="115"/>
  <c r="K613" i="115"/>
  <c r="I613" i="115"/>
  <c r="H613" i="115"/>
  <c r="G613" i="115"/>
  <c r="F613" i="115"/>
  <c r="E613" i="115"/>
  <c r="A613" i="115"/>
  <c r="K612" i="115"/>
  <c r="I612" i="115"/>
  <c r="H612" i="115"/>
  <c r="G612" i="115"/>
  <c r="F612" i="115"/>
  <c r="E612" i="115"/>
  <c r="A612" i="115"/>
  <c r="K611" i="115"/>
  <c r="I611" i="115"/>
  <c r="H611" i="115"/>
  <c r="G611" i="115"/>
  <c r="F611" i="115"/>
  <c r="E611" i="115"/>
  <c r="A611" i="115"/>
  <c r="K610" i="115"/>
  <c r="I610" i="115"/>
  <c r="H610" i="115"/>
  <c r="G610" i="115"/>
  <c r="F610" i="115"/>
  <c r="E610" i="115"/>
  <c r="A610" i="115"/>
  <c r="K609" i="115"/>
  <c r="I609" i="115"/>
  <c r="H609" i="115"/>
  <c r="G609" i="115"/>
  <c r="F609" i="115"/>
  <c r="E609" i="115"/>
  <c r="A609" i="115"/>
  <c r="K608" i="115"/>
  <c r="I608" i="115"/>
  <c r="H608" i="115"/>
  <c r="G608" i="115"/>
  <c r="F608" i="115"/>
  <c r="E608" i="115"/>
  <c r="A608" i="115"/>
  <c r="K607" i="115"/>
  <c r="I607" i="115"/>
  <c r="H607" i="115"/>
  <c r="G607" i="115"/>
  <c r="F607" i="115"/>
  <c r="E607" i="115"/>
  <c r="A607" i="115"/>
  <c r="K606" i="115"/>
  <c r="I606" i="115"/>
  <c r="H606" i="115"/>
  <c r="G606" i="115"/>
  <c r="F606" i="115"/>
  <c r="E606" i="115"/>
  <c r="A606" i="115"/>
  <c r="K605" i="115"/>
  <c r="I605" i="115"/>
  <c r="H605" i="115"/>
  <c r="G605" i="115"/>
  <c r="F605" i="115"/>
  <c r="E605" i="115"/>
  <c r="A605" i="115"/>
  <c r="K604" i="115"/>
  <c r="I604" i="115"/>
  <c r="H604" i="115"/>
  <c r="G604" i="115"/>
  <c r="F604" i="115"/>
  <c r="E604" i="115"/>
  <c r="A604" i="115"/>
  <c r="K603" i="115"/>
  <c r="I603" i="115"/>
  <c r="H603" i="115"/>
  <c r="G603" i="115"/>
  <c r="F603" i="115"/>
  <c r="E603" i="115"/>
  <c r="A603" i="115"/>
  <c r="K602" i="115"/>
  <c r="I602" i="115"/>
  <c r="H602" i="115"/>
  <c r="G602" i="115"/>
  <c r="F602" i="115"/>
  <c r="E602" i="115"/>
  <c r="A602" i="115"/>
  <c r="K601" i="115"/>
  <c r="I601" i="115"/>
  <c r="H601" i="115"/>
  <c r="G601" i="115"/>
  <c r="F601" i="115"/>
  <c r="E601" i="115"/>
  <c r="A601" i="115"/>
  <c r="K600" i="115"/>
  <c r="I600" i="115"/>
  <c r="H600" i="115"/>
  <c r="G600" i="115"/>
  <c r="F600" i="115"/>
  <c r="E600" i="115"/>
  <c r="A600" i="115"/>
  <c r="K599" i="115"/>
  <c r="I599" i="115"/>
  <c r="H599" i="115"/>
  <c r="G599" i="115"/>
  <c r="F599" i="115"/>
  <c r="E599" i="115"/>
  <c r="A599" i="115"/>
  <c r="K598" i="115"/>
  <c r="I598" i="115"/>
  <c r="H598" i="115"/>
  <c r="G598" i="115"/>
  <c r="F598" i="115"/>
  <c r="E598" i="115"/>
  <c r="A598" i="115"/>
  <c r="K597" i="115"/>
  <c r="I597" i="115"/>
  <c r="H597" i="115"/>
  <c r="G597" i="115"/>
  <c r="F597" i="115"/>
  <c r="E597" i="115"/>
  <c r="A597" i="115"/>
  <c r="K596" i="115"/>
  <c r="I596" i="115"/>
  <c r="H596" i="115"/>
  <c r="G596" i="115"/>
  <c r="F596" i="115"/>
  <c r="E596" i="115"/>
  <c r="A596" i="115"/>
  <c r="K595" i="115"/>
  <c r="I595" i="115"/>
  <c r="H595" i="115"/>
  <c r="G595" i="115"/>
  <c r="F595" i="115"/>
  <c r="E595" i="115"/>
  <c r="A595" i="115"/>
  <c r="K594" i="115"/>
  <c r="I594" i="115"/>
  <c r="H594" i="115"/>
  <c r="G594" i="115"/>
  <c r="F594" i="115"/>
  <c r="E594" i="115"/>
  <c r="A594" i="115"/>
  <c r="K593" i="115"/>
  <c r="I593" i="115"/>
  <c r="H593" i="115"/>
  <c r="G593" i="115"/>
  <c r="F593" i="115"/>
  <c r="E593" i="115"/>
  <c r="A593" i="115"/>
  <c r="K592" i="115"/>
  <c r="I592" i="115"/>
  <c r="H592" i="115"/>
  <c r="G592" i="115"/>
  <c r="F592" i="115"/>
  <c r="E592" i="115"/>
  <c r="A592" i="115"/>
  <c r="K591" i="115"/>
  <c r="I591" i="115"/>
  <c r="H591" i="115"/>
  <c r="G591" i="115"/>
  <c r="F591" i="115"/>
  <c r="E591" i="115"/>
  <c r="A591" i="115"/>
  <c r="K590" i="115"/>
  <c r="I590" i="115"/>
  <c r="H590" i="115"/>
  <c r="G590" i="115"/>
  <c r="F590" i="115"/>
  <c r="E590" i="115"/>
  <c r="A590" i="115"/>
  <c r="K589" i="115"/>
  <c r="I589" i="115"/>
  <c r="H589" i="115"/>
  <c r="G589" i="115"/>
  <c r="F589" i="115"/>
  <c r="E589" i="115"/>
  <c r="A589" i="115"/>
  <c r="K588" i="115"/>
  <c r="I588" i="115"/>
  <c r="H588" i="115"/>
  <c r="G588" i="115"/>
  <c r="F588" i="115"/>
  <c r="E588" i="115"/>
  <c r="A588" i="115"/>
  <c r="K587" i="115"/>
  <c r="I587" i="115"/>
  <c r="H587" i="115"/>
  <c r="G587" i="115"/>
  <c r="F587" i="115"/>
  <c r="E587" i="115"/>
  <c r="A587" i="115"/>
  <c r="K586" i="115"/>
  <c r="I586" i="115"/>
  <c r="H586" i="115"/>
  <c r="G586" i="115"/>
  <c r="F586" i="115"/>
  <c r="E586" i="115"/>
  <c r="A586" i="115"/>
  <c r="K585" i="115"/>
  <c r="I585" i="115"/>
  <c r="H585" i="115"/>
  <c r="G585" i="115"/>
  <c r="F585" i="115"/>
  <c r="E585" i="115"/>
  <c r="A585" i="115"/>
  <c r="K584" i="115"/>
  <c r="I584" i="115"/>
  <c r="H584" i="115"/>
  <c r="G584" i="115"/>
  <c r="F584" i="115"/>
  <c r="E584" i="115"/>
  <c r="A584" i="115"/>
  <c r="K583" i="115"/>
  <c r="I583" i="115"/>
  <c r="H583" i="115"/>
  <c r="G583" i="115"/>
  <c r="F583" i="115"/>
  <c r="E583" i="115"/>
  <c r="A583" i="115"/>
  <c r="K582" i="115"/>
  <c r="I582" i="115"/>
  <c r="H582" i="115"/>
  <c r="G582" i="115"/>
  <c r="F582" i="115"/>
  <c r="E582" i="115"/>
  <c r="A582" i="115"/>
  <c r="K581" i="115"/>
  <c r="I581" i="115"/>
  <c r="H581" i="115"/>
  <c r="G581" i="115"/>
  <c r="F581" i="115"/>
  <c r="E581" i="115"/>
  <c r="A581" i="115"/>
  <c r="K580" i="115"/>
  <c r="I580" i="115"/>
  <c r="H580" i="115"/>
  <c r="G580" i="115"/>
  <c r="F580" i="115"/>
  <c r="E580" i="115"/>
  <c r="A580" i="115"/>
  <c r="K579" i="115"/>
  <c r="I579" i="115"/>
  <c r="H579" i="115"/>
  <c r="G579" i="115"/>
  <c r="F579" i="115"/>
  <c r="E579" i="115"/>
  <c r="A579" i="115"/>
  <c r="K578" i="115"/>
  <c r="I578" i="115"/>
  <c r="H578" i="115"/>
  <c r="G578" i="115"/>
  <c r="F578" i="115"/>
  <c r="E578" i="115"/>
  <c r="A578" i="115"/>
  <c r="K577" i="115"/>
  <c r="I577" i="115"/>
  <c r="H577" i="115"/>
  <c r="G577" i="115"/>
  <c r="F577" i="115"/>
  <c r="E577" i="115"/>
  <c r="A577" i="115"/>
  <c r="K576" i="115"/>
  <c r="I576" i="115"/>
  <c r="H576" i="115"/>
  <c r="G576" i="115"/>
  <c r="F576" i="115"/>
  <c r="E576" i="115"/>
  <c r="A576" i="115"/>
  <c r="K575" i="115"/>
  <c r="I575" i="115"/>
  <c r="H575" i="115"/>
  <c r="G575" i="115"/>
  <c r="F575" i="115"/>
  <c r="E575" i="115"/>
  <c r="A575" i="115"/>
  <c r="K574" i="115"/>
  <c r="I574" i="115"/>
  <c r="H574" i="115"/>
  <c r="G574" i="115"/>
  <c r="F574" i="115"/>
  <c r="E574" i="115"/>
  <c r="A574" i="115"/>
  <c r="K573" i="115"/>
  <c r="I573" i="115"/>
  <c r="H573" i="115"/>
  <c r="G573" i="115"/>
  <c r="F573" i="115"/>
  <c r="E573" i="115"/>
  <c r="A573" i="115"/>
  <c r="K572" i="115"/>
  <c r="I572" i="115"/>
  <c r="H572" i="115"/>
  <c r="G572" i="115"/>
  <c r="F572" i="115"/>
  <c r="E572" i="115"/>
  <c r="A572" i="115"/>
  <c r="K571" i="115"/>
  <c r="I571" i="115"/>
  <c r="H571" i="115"/>
  <c r="G571" i="115"/>
  <c r="F571" i="115"/>
  <c r="E571" i="115"/>
  <c r="A571" i="115"/>
  <c r="K570" i="115"/>
  <c r="I570" i="115"/>
  <c r="H570" i="115"/>
  <c r="G570" i="115"/>
  <c r="F570" i="115"/>
  <c r="E570" i="115"/>
  <c r="A570" i="115"/>
  <c r="K569" i="115"/>
  <c r="I569" i="115"/>
  <c r="H569" i="115"/>
  <c r="G569" i="115"/>
  <c r="F569" i="115"/>
  <c r="E569" i="115"/>
  <c r="A569" i="115"/>
  <c r="K568" i="115"/>
  <c r="I568" i="115"/>
  <c r="H568" i="115"/>
  <c r="G568" i="115"/>
  <c r="F568" i="115"/>
  <c r="E568" i="115"/>
  <c r="A568" i="115"/>
  <c r="K567" i="115"/>
  <c r="I567" i="115"/>
  <c r="H567" i="115"/>
  <c r="G567" i="115"/>
  <c r="F567" i="115"/>
  <c r="E567" i="115"/>
  <c r="A567" i="115"/>
  <c r="K566" i="115"/>
  <c r="I566" i="115"/>
  <c r="H566" i="115"/>
  <c r="G566" i="115"/>
  <c r="F566" i="115"/>
  <c r="E566" i="115"/>
  <c r="A566" i="115"/>
  <c r="K565" i="115"/>
  <c r="I565" i="115"/>
  <c r="H565" i="115"/>
  <c r="G565" i="115"/>
  <c r="F565" i="115"/>
  <c r="E565" i="115"/>
  <c r="A565" i="115"/>
  <c r="K564" i="115"/>
  <c r="I564" i="115"/>
  <c r="H564" i="115"/>
  <c r="G564" i="115"/>
  <c r="F564" i="115"/>
  <c r="E564" i="115"/>
  <c r="A564" i="115"/>
  <c r="K563" i="115"/>
  <c r="I563" i="115"/>
  <c r="H563" i="115"/>
  <c r="G563" i="115"/>
  <c r="F563" i="115"/>
  <c r="E563" i="115"/>
  <c r="A563" i="115"/>
  <c r="K562" i="115"/>
  <c r="I562" i="115"/>
  <c r="H562" i="115"/>
  <c r="G562" i="115"/>
  <c r="F562" i="115"/>
  <c r="E562" i="115"/>
  <c r="A562" i="115"/>
  <c r="K561" i="115"/>
  <c r="I561" i="115"/>
  <c r="H561" i="115"/>
  <c r="G561" i="115"/>
  <c r="F561" i="115"/>
  <c r="E561" i="115"/>
  <c r="A561" i="115"/>
  <c r="K560" i="115"/>
  <c r="I560" i="115"/>
  <c r="H560" i="115"/>
  <c r="G560" i="115"/>
  <c r="F560" i="115"/>
  <c r="E560" i="115"/>
  <c r="A560" i="115"/>
  <c r="K559" i="115"/>
  <c r="I559" i="115"/>
  <c r="H559" i="115"/>
  <c r="G559" i="115"/>
  <c r="F559" i="115"/>
  <c r="E559" i="115"/>
  <c r="A559" i="115"/>
  <c r="K558" i="115"/>
  <c r="I558" i="115"/>
  <c r="H558" i="115"/>
  <c r="G558" i="115"/>
  <c r="F558" i="115"/>
  <c r="E558" i="115"/>
  <c r="A558" i="115"/>
  <c r="K557" i="115"/>
  <c r="I557" i="115"/>
  <c r="H557" i="115"/>
  <c r="G557" i="115"/>
  <c r="F557" i="115"/>
  <c r="E557" i="115"/>
  <c r="A557" i="115"/>
  <c r="K556" i="115"/>
  <c r="I556" i="115"/>
  <c r="H556" i="115"/>
  <c r="G556" i="115"/>
  <c r="F556" i="115"/>
  <c r="E556" i="115"/>
  <c r="A556" i="115"/>
  <c r="K555" i="115"/>
  <c r="I555" i="115"/>
  <c r="H555" i="115"/>
  <c r="G555" i="115"/>
  <c r="F555" i="115"/>
  <c r="E555" i="115"/>
  <c r="A555" i="115"/>
  <c r="K554" i="115"/>
  <c r="I554" i="115"/>
  <c r="H554" i="115"/>
  <c r="G554" i="115"/>
  <c r="F554" i="115"/>
  <c r="E554" i="115"/>
  <c r="A554" i="115"/>
  <c r="K553" i="115"/>
  <c r="I553" i="115"/>
  <c r="H553" i="115"/>
  <c r="G553" i="115"/>
  <c r="F553" i="115"/>
  <c r="E553" i="115"/>
  <c r="A553" i="115"/>
  <c r="K552" i="115"/>
  <c r="I552" i="115"/>
  <c r="H552" i="115"/>
  <c r="G552" i="115"/>
  <c r="F552" i="115"/>
  <c r="E552" i="115"/>
  <c r="A552" i="115"/>
  <c r="K551" i="115"/>
  <c r="I551" i="115"/>
  <c r="H551" i="115"/>
  <c r="G551" i="115"/>
  <c r="F551" i="115"/>
  <c r="E551" i="115"/>
  <c r="A551" i="115"/>
  <c r="K550" i="115"/>
  <c r="I550" i="115"/>
  <c r="H550" i="115"/>
  <c r="G550" i="115"/>
  <c r="F550" i="115"/>
  <c r="E550" i="115"/>
  <c r="A550" i="115"/>
  <c r="K549" i="115"/>
  <c r="I549" i="115"/>
  <c r="H549" i="115"/>
  <c r="G549" i="115"/>
  <c r="F549" i="115"/>
  <c r="E549" i="115"/>
  <c r="A549" i="115"/>
  <c r="K548" i="115"/>
  <c r="I548" i="115"/>
  <c r="H548" i="115"/>
  <c r="G548" i="115"/>
  <c r="F548" i="115"/>
  <c r="E548" i="115"/>
  <c r="A548" i="115"/>
  <c r="K547" i="115"/>
  <c r="I547" i="115"/>
  <c r="H547" i="115"/>
  <c r="G547" i="115"/>
  <c r="F547" i="115"/>
  <c r="E547" i="115"/>
  <c r="A547" i="115"/>
  <c r="K546" i="115"/>
  <c r="I546" i="115"/>
  <c r="H546" i="115"/>
  <c r="G546" i="115"/>
  <c r="F546" i="115"/>
  <c r="E546" i="115"/>
  <c r="A546" i="115"/>
  <c r="K545" i="115"/>
  <c r="I545" i="115"/>
  <c r="H545" i="115"/>
  <c r="G545" i="115"/>
  <c r="F545" i="115"/>
  <c r="E545" i="115"/>
  <c r="A545" i="115"/>
  <c r="K544" i="115"/>
  <c r="I544" i="115"/>
  <c r="H544" i="115"/>
  <c r="G544" i="115"/>
  <c r="F544" i="115"/>
  <c r="E544" i="115"/>
  <c r="A544" i="115"/>
  <c r="K543" i="115"/>
  <c r="I543" i="115"/>
  <c r="H543" i="115"/>
  <c r="G543" i="115"/>
  <c r="F543" i="115"/>
  <c r="E543" i="115"/>
  <c r="A543" i="115"/>
  <c r="K542" i="115"/>
  <c r="I542" i="115"/>
  <c r="H542" i="115"/>
  <c r="G542" i="115"/>
  <c r="F542" i="115"/>
  <c r="E542" i="115"/>
  <c r="A542" i="115"/>
  <c r="K541" i="115"/>
  <c r="I541" i="115"/>
  <c r="H541" i="115"/>
  <c r="G541" i="115"/>
  <c r="F541" i="115"/>
  <c r="E541" i="115"/>
  <c r="A541" i="115"/>
  <c r="K540" i="115"/>
  <c r="I540" i="115"/>
  <c r="H540" i="115"/>
  <c r="G540" i="115"/>
  <c r="F540" i="115"/>
  <c r="E540" i="115"/>
  <c r="A540" i="115"/>
  <c r="K539" i="115"/>
  <c r="I539" i="115"/>
  <c r="H539" i="115"/>
  <c r="G539" i="115"/>
  <c r="F539" i="115"/>
  <c r="E539" i="115"/>
  <c r="A539" i="115"/>
  <c r="K538" i="115"/>
  <c r="I538" i="115"/>
  <c r="H538" i="115"/>
  <c r="G538" i="115"/>
  <c r="F538" i="115"/>
  <c r="E538" i="115"/>
  <c r="A538" i="115"/>
  <c r="K537" i="115"/>
  <c r="I537" i="115"/>
  <c r="H537" i="115"/>
  <c r="G537" i="115"/>
  <c r="F537" i="115"/>
  <c r="E537" i="115"/>
  <c r="A537" i="115"/>
  <c r="K536" i="115"/>
  <c r="I536" i="115"/>
  <c r="H536" i="115"/>
  <c r="G536" i="115"/>
  <c r="F536" i="115"/>
  <c r="E536" i="115"/>
  <c r="A536" i="115"/>
  <c r="K535" i="115"/>
  <c r="I535" i="115"/>
  <c r="H535" i="115"/>
  <c r="G535" i="115"/>
  <c r="F535" i="115"/>
  <c r="E535" i="115"/>
  <c r="A535" i="115"/>
  <c r="K534" i="115"/>
  <c r="I534" i="115"/>
  <c r="H534" i="115"/>
  <c r="G534" i="115"/>
  <c r="F534" i="115"/>
  <c r="E534" i="115"/>
  <c r="A534" i="115"/>
  <c r="K533" i="115"/>
  <c r="I533" i="115"/>
  <c r="H533" i="115"/>
  <c r="G533" i="115"/>
  <c r="F533" i="115"/>
  <c r="E533" i="115"/>
  <c r="A533" i="115"/>
  <c r="K532" i="115"/>
  <c r="I532" i="115"/>
  <c r="H532" i="115"/>
  <c r="G532" i="115"/>
  <c r="F532" i="115"/>
  <c r="E532" i="115"/>
  <c r="A532" i="115"/>
  <c r="K531" i="115"/>
  <c r="I531" i="115"/>
  <c r="H531" i="115"/>
  <c r="G531" i="115"/>
  <c r="F531" i="115"/>
  <c r="E531" i="115"/>
  <c r="A531" i="115"/>
  <c r="K530" i="115"/>
  <c r="I530" i="115"/>
  <c r="H530" i="115"/>
  <c r="G530" i="115"/>
  <c r="F530" i="115"/>
  <c r="E530" i="115"/>
  <c r="A530" i="115"/>
  <c r="K529" i="115"/>
  <c r="I529" i="115"/>
  <c r="H529" i="115"/>
  <c r="G529" i="115"/>
  <c r="F529" i="115"/>
  <c r="E529" i="115"/>
  <c r="A529" i="115"/>
  <c r="K528" i="115"/>
  <c r="I528" i="115"/>
  <c r="H528" i="115"/>
  <c r="G528" i="115"/>
  <c r="F528" i="115"/>
  <c r="E528" i="115"/>
  <c r="A528" i="115"/>
  <c r="K527" i="115"/>
  <c r="I527" i="115"/>
  <c r="H527" i="115"/>
  <c r="G527" i="115"/>
  <c r="F527" i="115"/>
  <c r="E527" i="115"/>
  <c r="A527" i="115"/>
  <c r="K526" i="115"/>
  <c r="I526" i="115"/>
  <c r="H526" i="115"/>
  <c r="G526" i="115"/>
  <c r="F526" i="115"/>
  <c r="E526" i="115"/>
  <c r="A526" i="115"/>
  <c r="K525" i="115"/>
  <c r="I525" i="115"/>
  <c r="H525" i="115"/>
  <c r="G525" i="115"/>
  <c r="F525" i="115"/>
  <c r="E525" i="115"/>
  <c r="A525" i="115"/>
  <c r="K524" i="115"/>
  <c r="I524" i="115"/>
  <c r="H524" i="115"/>
  <c r="G524" i="115"/>
  <c r="F524" i="115"/>
  <c r="E524" i="115"/>
  <c r="A524" i="115"/>
  <c r="K523" i="115"/>
  <c r="I523" i="115"/>
  <c r="H523" i="115"/>
  <c r="G523" i="115"/>
  <c r="F523" i="115"/>
  <c r="E523" i="115"/>
  <c r="A523" i="115"/>
  <c r="K522" i="115"/>
  <c r="I522" i="115"/>
  <c r="H522" i="115"/>
  <c r="G522" i="115"/>
  <c r="F522" i="115"/>
  <c r="E522" i="115"/>
  <c r="A522" i="115"/>
  <c r="K521" i="115"/>
  <c r="I521" i="115"/>
  <c r="H521" i="115"/>
  <c r="G521" i="115"/>
  <c r="F521" i="115"/>
  <c r="E521" i="115"/>
  <c r="A521" i="115"/>
  <c r="K520" i="115"/>
  <c r="I520" i="115"/>
  <c r="H520" i="115"/>
  <c r="G520" i="115"/>
  <c r="F520" i="115"/>
  <c r="E520" i="115"/>
  <c r="A520" i="115"/>
  <c r="K519" i="115"/>
  <c r="I519" i="115"/>
  <c r="H519" i="115"/>
  <c r="G519" i="115"/>
  <c r="F519" i="115"/>
  <c r="E519" i="115"/>
  <c r="A519" i="115"/>
  <c r="K518" i="115"/>
  <c r="I518" i="115"/>
  <c r="H518" i="115"/>
  <c r="G518" i="115"/>
  <c r="F518" i="115"/>
  <c r="E518" i="115"/>
  <c r="A518" i="115"/>
  <c r="K517" i="115"/>
  <c r="I517" i="115"/>
  <c r="H517" i="115"/>
  <c r="G517" i="115"/>
  <c r="F517" i="115"/>
  <c r="E517" i="115"/>
  <c r="A517" i="115"/>
  <c r="K516" i="115"/>
  <c r="I516" i="115"/>
  <c r="H516" i="115"/>
  <c r="G516" i="115"/>
  <c r="F516" i="115"/>
  <c r="E516" i="115"/>
  <c r="A516" i="115"/>
  <c r="K515" i="115"/>
  <c r="I515" i="115"/>
  <c r="H515" i="115"/>
  <c r="G515" i="115"/>
  <c r="F515" i="115"/>
  <c r="E515" i="115"/>
  <c r="A515" i="115"/>
  <c r="K514" i="115"/>
  <c r="I514" i="115"/>
  <c r="H514" i="115"/>
  <c r="G514" i="115"/>
  <c r="F514" i="115"/>
  <c r="E514" i="115"/>
  <c r="A514" i="115"/>
  <c r="K513" i="115"/>
  <c r="I513" i="115"/>
  <c r="H513" i="115"/>
  <c r="G513" i="115"/>
  <c r="F513" i="115"/>
  <c r="E513" i="115"/>
  <c r="A513" i="115"/>
  <c r="K512" i="115"/>
  <c r="I512" i="115"/>
  <c r="H512" i="115"/>
  <c r="G512" i="115"/>
  <c r="F512" i="115"/>
  <c r="E512" i="115"/>
  <c r="A512" i="115"/>
  <c r="K511" i="115"/>
  <c r="I511" i="115"/>
  <c r="H511" i="115"/>
  <c r="G511" i="115"/>
  <c r="F511" i="115"/>
  <c r="E511" i="115"/>
  <c r="A511" i="115"/>
  <c r="K510" i="115"/>
  <c r="I510" i="115"/>
  <c r="H510" i="115"/>
  <c r="G510" i="115"/>
  <c r="F510" i="115"/>
  <c r="E510" i="115"/>
  <c r="A510" i="115"/>
  <c r="K509" i="115"/>
  <c r="I509" i="115"/>
  <c r="H509" i="115"/>
  <c r="G509" i="115"/>
  <c r="F509" i="115"/>
  <c r="E509" i="115"/>
  <c r="A509" i="115"/>
  <c r="K508" i="115"/>
  <c r="I508" i="115"/>
  <c r="H508" i="115"/>
  <c r="G508" i="115"/>
  <c r="F508" i="115"/>
  <c r="E508" i="115"/>
  <c r="A508" i="115"/>
  <c r="K507" i="115"/>
  <c r="I507" i="115"/>
  <c r="H507" i="115"/>
  <c r="G507" i="115"/>
  <c r="F507" i="115"/>
  <c r="E507" i="115"/>
  <c r="A507" i="115"/>
  <c r="K506" i="115"/>
  <c r="I506" i="115"/>
  <c r="H506" i="115"/>
  <c r="G506" i="115"/>
  <c r="F506" i="115"/>
  <c r="E506" i="115"/>
  <c r="A506" i="115"/>
  <c r="K505" i="115"/>
  <c r="I505" i="115"/>
  <c r="H505" i="115"/>
  <c r="G505" i="115"/>
  <c r="F505" i="115"/>
  <c r="E505" i="115"/>
  <c r="A505" i="115"/>
  <c r="K504" i="115"/>
  <c r="I504" i="115"/>
  <c r="H504" i="115"/>
  <c r="G504" i="115"/>
  <c r="F504" i="115"/>
  <c r="E504" i="115"/>
  <c r="A504" i="115"/>
  <c r="K503" i="115"/>
  <c r="I503" i="115"/>
  <c r="H503" i="115"/>
  <c r="G503" i="115"/>
  <c r="F503" i="115"/>
  <c r="E503" i="115"/>
  <c r="A503" i="115"/>
  <c r="K502" i="115"/>
  <c r="I502" i="115"/>
  <c r="H502" i="115"/>
  <c r="G502" i="115"/>
  <c r="F502" i="115"/>
  <c r="E502" i="115"/>
  <c r="A502" i="115"/>
  <c r="K501" i="115"/>
  <c r="I501" i="115"/>
  <c r="H501" i="115"/>
  <c r="G501" i="115"/>
  <c r="F501" i="115"/>
  <c r="E501" i="115"/>
  <c r="A501" i="115"/>
  <c r="K500" i="115"/>
  <c r="I500" i="115"/>
  <c r="H500" i="115"/>
  <c r="G500" i="115"/>
  <c r="F500" i="115"/>
  <c r="E500" i="115"/>
  <c r="A500" i="115"/>
  <c r="K499" i="115"/>
  <c r="I499" i="115"/>
  <c r="H499" i="115"/>
  <c r="G499" i="115"/>
  <c r="F499" i="115"/>
  <c r="E499" i="115"/>
  <c r="A499" i="115"/>
  <c r="K498" i="115"/>
  <c r="I498" i="115"/>
  <c r="H498" i="115"/>
  <c r="G498" i="115"/>
  <c r="F498" i="115"/>
  <c r="E498" i="115"/>
  <c r="A498" i="115"/>
  <c r="K497" i="115"/>
  <c r="I497" i="115"/>
  <c r="H497" i="115"/>
  <c r="G497" i="115"/>
  <c r="F497" i="115"/>
  <c r="E497" i="115"/>
  <c r="A497" i="115"/>
  <c r="K496" i="115"/>
  <c r="I496" i="115"/>
  <c r="H496" i="115"/>
  <c r="G496" i="115"/>
  <c r="F496" i="115"/>
  <c r="E496" i="115"/>
  <c r="A496" i="115"/>
  <c r="K495" i="115"/>
  <c r="I495" i="115"/>
  <c r="H495" i="115"/>
  <c r="G495" i="115"/>
  <c r="F495" i="115"/>
  <c r="E495" i="115"/>
  <c r="A495" i="115"/>
  <c r="K494" i="115"/>
  <c r="I494" i="115"/>
  <c r="H494" i="115"/>
  <c r="G494" i="115"/>
  <c r="F494" i="115"/>
  <c r="E494" i="115"/>
  <c r="A494" i="115"/>
  <c r="K493" i="115"/>
  <c r="I493" i="115"/>
  <c r="H493" i="115"/>
  <c r="G493" i="115"/>
  <c r="F493" i="115"/>
  <c r="E493" i="115"/>
  <c r="A493" i="115"/>
  <c r="K492" i="115"/>
  <c r="I492" i="115"/>
  <c r="H492" i="115"/>
  <c r="G492" i="115"/>
  <c r="F492" i="115"/>
  <c r="E492" i="115"/>
  <c r="A492" i="115"/>
  <c r="K491" i="115"/>
  <c r="I491" i="115"/>
  <c r="H491" i="115"/>
  <c r="G491" i="115"/>
  <c r="F491" i="115"/>
  <c r="E491" i="115"/>
  <c r="A491" i="115"/>
  <c r="K490" i="115"/>
  <c r="I490" i="115"/>
  <c r="H490" i="115"/>
  <c r="G490" i="115"/>
  <c r="F490" i="115"/>
  <c r="E490" i="115"/>
  <c r="A490" i="115"/>
  <c r="K489" i="115"/>
  <c r="I489" i="115"/>
  <c r="H489" i="115"/>
  <c r="G489" i="115"/>
  <c r="F489" i="115"/>
  <c r="E489" i="115"/>
  <c r="A489" i="115"/>
  <c r="K488" i="115"/>
  <c r="I488" i="115"/>
  <c r="H488" i="115"/>
  <c r="G488" i="115"/>
  <c r="F488" i="115"/>
  <c r="E488" i="115"/>
  <c r="A488" i="115"/>
  <c r="K487" i="115"/>
  <c r="I487" i="115"/>
  <c r="H487" i="115"/>
  <c r="G487" i="115"/>
  <c r="F487" i="115"/>
  <c r="E487" i="115"/>
  <c r="A487" i="115"/>
  <c r="K486" i="115"/>
  <c r="I486" i="115"/>
  <c r="H486" i="115"/>
  <c r="G486" i="115"/>
  <c r="F486" i="115"/>
  <c r="E486" i="115"/>
  <c r="A486" i="115"/>
  <c r="K485" i="115"/>
  <c r="I485" i="115"/>
  <c r="H485" i="115"/>
  <c r="G485" i="115"/>
  <c r="F485" i="115"/>
  <c r="E485" i="115"/>
  <c r="A485" i="115"/>
  <c r="K484" i="115"/>
  <c r="I484" i="115"/>
  <c r="H484" i="115"/>
  <c r="G484" i="115"/>
  <c r="F484" i="115"/>
  <c r="E484" i="115"/>
  <c r="A484" i="115"/>
  <c r="K483" i="115"/>
  <c r="I483" i="115"/>
  <c r="H483" i="115"/>
  <c r="G483" i="115"/>
  <c r="F483" i="115"/>
  <c r="E483" i="115"/>
  <c r="A483" i="115"/>
  <c r="K482" i="115"/>
  <c r="I482" i="115"/>
  <c r="H482" i="115"/>
  <c r="G482" i="115"/>
  <c r="F482" i="115"/>
  <c r="E482" i="115"/>
  <c r="A482" i="115"/>
  <c r="K481" i="115"/>
  <c r="I481" i="115"/>
  <c r="H481" i="115"/>
  <c r="G481" i="115"/>
  <c r="F481" i="115"/>
  <c r="E481" i="115"/>
  <c r="A481" i="115"/>
  <c r="K480" i="115"/>
  <c r="I480" i="115"/>
  <c r="H480" i="115"/>
  <c r="G480" i="115"/>
  <c r="F480" i="115"/>
  <c r="E480" i="115"/>
  <c r="A480" i="115"/>
  <c r="K479" i="115"/>
  <c r="I479" i="115"/>
  <c r="H479" i="115"/>
  <c r="G479" i="115"/>
  <c r="F479" i="115"/>
  <c r="E479" i="115"/>
  <c r="A479" i="115"/>
  <c r="K478" i="115"/>
  <c r="I478" i="115"/>
  <c r="H478" i="115"/>
  <c r="G478" i="115"/>
  <c r="F478" i="115"/>
  <c r="E478" i="115"/>
  <c r="A478" i="115"/>
  <c r="K477" i="115"/>
  <c r="I477" i="115"/>
  <c r="H477" i="115"/>
  <c r="G477" i="115"/>
  <c r="F477" i="115"/>
  <c r="E477" i="115"/>
  <c r="A477" i="115"/>
  <c r="K476" i="115"/>
  <c r="I476" i="115"/>
  <c r="H476" i="115"/>
  <c r="G476" i="115"/>
  <c r="F476" i="115"/>
  <c r="E476" i="115"/>
  <c r="A476" i="115"/>
  <c r="K475" i="115"/>
  <c r="I475" i="115"/>
  <c r="H475" i="115"/>
  <c r="G475" i="115"/>
  <c r="F475" i="115"/>
  <c r="E475" i="115"/>
  <c r="A475" i="115"/>
  <c r="K474" i="115"/>
  <c r="I474" i="115"/>
  <c r="H474" i="115"/>
  <c r="G474" i="115"/>
  <c r="F474" i="115"/>
  <c r="E474" i="115"/>
  <c r="A474" i="115"/>
  <c r="K473" i="115"/>
  <c r="I473" i="115"/>
  <c r="H473" i="115"/>
  <c r="G473" i="115"/>
  <c r="F473" i="115"/>
  <c r="E473" i="115"/>
  <c r="A473" i="115"/>
  <c r="K472" i="115"/>
  <c r="I472" i="115"/>
  <c r="H472" i="115"/>
  <c r="G472" i="115"/>
  <c r="F472" i="115"/>
  <c r="E472" i="115"/>
  <c r="A472" i="115"/>
  <c r="K471" i="115"/>
  <c r="I471" i="115"/>
  <c r="H471" i="115"/>
  <c r="G471" i="115"/>
  <c r="F471" i="115"/>
  <c r="E471" i="115"/>
  <c r="A471" i="115"/>
  <c r="K470" i="115"/>
  <c r="I470" i="115"/>
  <c r="H470" i="115"/>
  <c r="G470" i="115"/>
  <c r="F470" i="115"/>
  <c r="E470" i="115"/>
  <c r="A470" i="115"/>
  <c r="K469" i="115"/>
  <c r="I469" i="115"/>
  <c r="H469" i="115"/>
  <c r="G469" i="115"/>
  <c r="F469" i="115"/>
  <c r="E469" i="115"/>
  <c r="A469" i="115"/>
  <c r="K468" i="115"/>
  <c r="I468" i="115"/>
  <c r="H468" i="115"/>
  <c r="G468" i="115"/>
  <c r="F468" i="115"/>
  <c r="E468" i="115"/>
  <c r="A468" i="115"/>
  <c r="K467" i="115"/>
  <c r="I467" i="115"/>
  <c r="H467" i="115"/>
  <c r="G467" i="115"/>
  <c r="F467" i="115"/>
  <c r="E467" i="115"/>
  <c r="A467" i="115"/>
  <c r="K466" i="115"/>
  <c r="I466" i="115"/>
  <c r="H466" i="115"/>
  <c r="G466" i="115"/>
  <c r="F466" i="115"/>
  <c r="E466" i="115"/>
  <c r="A466" i="115"/>
  <c r="K465" i="115"/>
  <c r="I465" i="115"/>
  <c r="H465" i="115"/>
  <c r="G465" i="115"/>
  <c r="F465" i="115"/>
  <c r="E465" i="115"/>
  <c r="A465" i="115"/>
  <c r="K464" i="115"/>
  <c r="I464" i="115"/>
  <c r="H464" i="115"/>
  <c r="G464" i="115"/>
  <c r="F464" i="115"/>
  <c r="E464" i="115"/>
  <c r="A464" i="115"/>
  <c r="K463" i="115"/>
  <c r="I463" i="115"/>
  <c r="H463" i="115"/>
  <c r="G463" i="115"/>
  <c r="F463" i="115"/>
  <c r="E463" i="115"/>
  <c r="A463" i="115"/>
  <c r="K462" i="115"/>
  <c r="I462" i="115"/>
  <c r="H462" i="115"/>
  <c r="G462" i="115"/>
  <c r="F462" i="115"/>
  <c r="E462" i="115"/>
  <c r="A462" i="115"/>
  <c r="K461" i="115"/>
  <c r="I461" i="115"/>
  <c r="H461" i="115"/>
  <c r="G461" i="115"/>
  <c r="F461" i="115"/>
  <c r="E461" i="115"/>
  <c r="A461" i="115"/>
  <c r="K460" i="115"/>
  <c r="I460" i="115"/>
  <c r="H460" i="115"/>
  <c r="G460" i="115"/>
  <c r="F460" i="115"/>
  <c r="E460" i="115"/>
  <c r="A460" i="115"/>
  <c r="K459" i="115"/>
  <c r="I459" i="115"/>
  <c r="H459" i="115"/>
  <c r="G459" i="115"/>
  <c r="F459" i="115"/>
  <c r="E459" i="115"/>
  <c r="A459" i="115"/>
  <c r="K458" i="115"/>
  <c r="I458" i="115"/>
  <c r="H458" i="115"/>
  <c r="G458" i="115"/>
  <c r="F458" i="115"/>
  <c r="E458" i="115"/>
  <c r="A458" i="115"/>
  <c r="K457" i="115"/>
  <c r="I457" i="115"/>
  <c r="H457" i="115"/>
  <c r="G457" i="115"/>
  <c r="F457" i="115"/>
  <c r="E457" i="115"/>
  <c r="A457" i="115"/>
  <c r="K456" i="115"/>
  <c r="I456" i="115"/>
  <c r="H456" i="115"/>
  <c r="G456" i="115"/>
  <c r="F456" i="115"/>
  <c r="E456" i="115"/>
  <c r="A456" i="115"/>
  <c r="K455" i="115"/>
  <c r="I455" i="115"/>
  <c r="H455" i="115"/>
  <c r="G455" i="115"/>
  <c r="F455" i="115"/>
  <c r="E455" i="115"/>
  <c r="A455" i="115"/>
  <c r="K454" i="115"/>
  <c r="I454" i="115"/>
  <c r="H454" i="115"/>
  <c r="G454" i="115"/>
  <c r="F454" i="115"/>
  <c r="E454" i="115"/>
  <c r="A454" i="115"/>
  <c r="K453" i="115"/>
  <c r="I453" i="115"/>
  <c r="H453" i="115"/>
  <c r="G453" i="115"/>
  <c r="F453" i="115"/>
  <c r="E453" i="115"/>
  <c r="A453" i="115"/>
  <c r="K452" i="115"/>
  <c r="I452" i="115"/>
  <c r="H452" i="115"/>
  <c r="G452" i="115"/>
  <c r="F452" i="115"/>
  <c r="E452" i="115"/>
  <c r="A452" i="115"/>
  <c r="K451" i="115"/>
  <c r="I451" i="115"/>
  <c r="H451" i="115"/>
  <c r="G451" i="115"/>
  <c r="F451" i="115"/>
  <c r="E451" i="115"/>
  <c r="A451" i="115"/>
  <c r="K450" i="115"/>
  <c r="I450" i="115"/>
  <c r="H450" i="115"/>
  <c r="G450" i="115"/>
  <c r="F450" i="115"/>
  <c r="E450" i="115"/>
  <c r="A450" i="115"/>
  <c r="K449" i="115"/>
  <c r="I449" i="115"/>
  <c r="H449" i="115"/>
  <c r="G449" i="115"/>
  <c r="F449" i="115"/>
  <c r="E449" i="115"/>
  <c r="A449" i="115"/>
  <c r="K448" i="115"/>
  <c r="I448" i="115"/>
  <c r="H448" i="115"/>
  <c r="G448" i="115"/>
  <c r="F448" i="115"/>
  <c r="E448" i="115"/>
  <c r="A448" i="115"/>
  <c r="K447" i="115"/>
  <c r="I447" i="115"/>
  <c r="H447" i="115"/>
  <c r="G447" i="115"/>
  <c r="F447" i="115"/>
  <c r="E447" i="115"/>
  <c r="A447" i="115"/>
  <c r="K446" i="115"/>
  <c r="I446" i="115"/>
  <c r="H446" i="115"/>
  <c r="G446" i="115"/>
  <c r="F446" i="115"/>
  <c r="E446" i="115"/>
  <c r="A446" i="115"/>
  <c r="K445" i="115"/>
  <c r="I445" i="115"/>
  <c r="H445" i="115"/>
  <c r="G445" i="115"/>
  <c r="F445" i="115"/>
  <c r="E445" i="115"/>
  <c r="A445" i="115"/>
  <c r="K444" i="115"/>
  <c r="I444" i="115"/>
  <c r="H444" i="115"/>
  <c r="G444" i="115"/>
  <c r="F444" i="115"/>
  <c r="E444" i="115"/>
  <c r="A444" i="115"/>
  <c r="K443" i="115"/>
  <c r="I443" i="115"/>
  <c r="H443" i="115"/>
  <c r="G443" i="115"/>
  <c r="F443" i="115"/>
  <c r="E443" i="115"/>
  <c r="A443" i="115"/>
  <c r="K442" i="115"/>
  <c r="I442" i="115"/>
  <c r="H442" i="115"/>
  <c r="G442" i="115"/>
  <c r="F442" i="115"/>
  <c r="E442" i="115"/>
  <c r="A442" i="115"/>
  <c r="K441" i="115"/>
  <c r="I441" i="115"/>
  <c r="H441" i="115"/>
  <c r="G441" i="115"/>
  <c r="F441" i="115"/>
  <c r="E441" i="115"/>
  <c r="A441" i="115"/>
  <c r="K440" i="115"/>
  <c r="I440" i="115"/>
  <c r="H440" i="115"/>
  <c r="G440" i="115"/>
  <c r="F440" i="115"/>
  <c r="E440" i="115"/>
  <c r="A440" i="115"/>
  <c r="K439" i="115"/>
  <c r="I439" i="115"/>
  <c r="H439" i="115"/>
  <c r="G439" i="115"/>
  <c r="F439" i="115"/>
  <c r="E439" i="115"/>
  <c r="A439" i="115"/>
  <c r="K438" i="115"/>
  <c r="I438" i="115"/>
  <c r="H438" i="115"/>
  <c r="G438" i="115"/>
  <c r="F438" i="115"/>
  <c r="E438" i="115"/>
  <c r="A438" i="115"/>
  <c r="K437" i="115"/>
  <c r="I437" i="115"/>
  <c r="H437" i="115"/>
  <c r="G437" i="115"/>
  <c r="F437" i="115"/>
  <c r="E437" i="115"/>
  <c r="A437" i="115"/>
  <c r="K436" i="115"/>
  <c r="I436" i="115"/>
  <c r="H436" i="115"/>
  <c r="G436" i="115"/>
  <c r="F436" i="115"/>
  <c r="E436" i="115"/>
  <c r="A436" i="115"/>
  <c r="K435" i="115"/>
  <c r="I435" i="115"/>
  <c r="H435" i="115"/>
  <c r="G435" i="115"/>
  <c r="F435" i="115"/>
  <c r="E435" i="115"/>
  <c r="A435" i="115"/>
  <c r="K434" i="115"/>
  <c r="I434" i="115"/>
  <c r="H434" i="115"/>
  <c r="G434" i="115"/>
  <c r="F434" i="115"/>
  <c r="E434" i="115"/>
  <c r="A434" i="115"/>
  <c r="K433" i="115"/>
  <c r="I433" i="115"/>
  <c r="H433" i="115"/>
  <c r="G433" i="115"/>
  <c r="F433" i="115"/>
  <c r="E433" i="115"/>
  <c r="A433" i="115"/>
  <c r="K432" i="115"/>
  <c r="I432" i="115"/>
  <c r="H432" i="115"/>
  <c r="G432" i="115"/>
  <c r="F432" i="115"/>
  <c r="E432" i="115"/>
  <c r="A432" i="115"/>
  <c r="K431" i="115"/>
  <c r="I431" i="115"/>
  <c r="H431" i="115"/>
  <c r="G431" i="115"/>
  <c r="F431" i="115"/>
  <c r="E431" i="115"/>
  <c r="A431" i="115"/>
  <c r="K430" i="115"/>
  <c r="I430" i="115"/>
  <c r="H430" i="115"/>
  <c r="G430" i="115"/>
  <c r="F430" i="115"/>
  <c r="E430" i="115"/>
  <c r="A430" i="115"/>
  <c r="K429" i="115"/>
  <c r="I429" i="115"/>
  <c r="H429" i="115"/>
  <c r="G429" i="115"/>
  <c r="F429" i="115"/>
  <c r="E429" i="115"/>
  <c r="A429" i="115"/>
  <c r="K428" i="115"/>
  <c r="I428" i="115"/>
  <c r="H428" i="115"/>
  <c r="G428" i="115"/>
  <c r="F428" i="115"/>
  <c r="E428" i="115"/>
  <c r="A428" i="115"/>
  <c r="K427" i="115"/>
  <c r="I427" i="115"/>
  <c r="H427" i="115"/>
  <c r="G427" i="115"/>
  <c r="F427" i="115"/>
  <c r="E427" i="115"/>
  <c r="A427" i="115"/>
  <c r="K426" i="115"/>
  <c r="I426" i="115"/>
  <c r="H426" i="115"/>
  <c r="G426" i="115"/>
  <c r="F426" i="115"/>
  <c r="E426" i="115"/>
  <c r="A426" i="115"/>
  <c r="K425" i="115"/>
  <c r="I425" i="115"/>
  <c r="H425" i="115"/>
  <c r="G425" i="115"/>
  <c r="F425" i="115"/>
  <c r="E425" i="115"/>
  <c r="A425" i="115"/>
  <c r="K424" i="115"/>
  <c r="I424" i="115"/>
  <c r="H424" i="115"/>
  <c r="G424" i="115"/>
  <c r="F424" i="115"/>
  <c r="E424" i="115"/>
  <c r="A424" i="115"/>
  <c r="K423" i="115"/>
  <c r="I423" i="115"/>
  <c r="H423" i="115"/>
  <c r="G423" i="115"/>
  <c r="F423" i="115"/>
  <c r="E423" i="115"/>
  <c r="A423" i="115"/>
  <c r="K422" i="115"/>
  <c r="I422" i="115"/>
  <c r="H422" i="115"/>
  <c r="G422" i="115"/>
  <c r="F422" i="115"/>
  <c r="E422" i="115"/>
  <c r="A422" i="115"/>
  <c r="K421" i="115"/>
  <c r="I421" i="115"/>
  <c r="H421" i="115"/>
  <c r="G421" i="115"/>
  <c r="F421" i="115"/>
  <c r="E421" i="115"/>
  <c r="A421" i="115"/>
  <c r="K420" i="115"/>
  <c r="I420" i="115"/>
  <c r="H420" i="115"/>
  <c r="G420" i="115"/>
  <c r="F420" i="115"/>
  <c r="E420" i="115"/>
  <c r="A420" i="115"/>
  <c r="K419" i="115"/>
  <c r="I419" i="115"/>
  <c r="H419" i="115"/>
  <c r="G419" i="115"/>
  <c r="F419" i="115"/>
  <c r="E419" i="115"/>
  <c r="A419" i="115"/>
  <c r="K418" i="115"/>
  <c r="I418" i="115"/>
  <c r="H418" i="115"/>
  <c r="G418" i="115"/>
  <c r="F418" i="115"/>
  <c r="E418" i="115"/>
  <c r="A418" i="115"/>
  <c r="K417" i="115"/>
  <c r="I417" i="115"/>
  <c r="H417" i="115"/>
  <c r="G417" i="115"/>
  <c r="F417" i="115"/>
  <c r="E417" i="115"/>
  <c r="A417" i="115"/>
  <c r="K416" i="115"/>
  <c r="I416" i="115"/>
  <c r="H416" i="115"/>
  <c r="G416" i="115"/>
  <c r="F416" i="115"/>
  <c r="E416" i="115"/>
  <c r="A416" i="115"/>
  <c r="K415" i="115"/>
  <c r="I415" i="115"/>
  <c r="H415" i="115"/>
  <c r="G415" i="115"/>
  <c r="F415" i="115"/>
  <c r="E415" i="115"/>
  <c r="A415" i="115"/>
  <c r="K414" i="115"/>
  <c r="I414" i="115"/>
  <c r="H414" i="115"/>
  <c r="G414" i="115"/>
  <c r="F414" i="115"/>
  <c r="E414" i="115"/>
  <c r="A414" i="115"/>
  <c r="K413" i="115"/>
  <c r="I413" i="115"/>
  <c r="H413" i="115"/>
  <c r="G413" i="115"/>
  <c r="F413" i="115"/>
  <c r="E413" i="115"/>
  <c r="A413" i="115"/>
  <c r="K412" i="115"/>
  <c r="I412" i="115"/>
  <c r="H412" i="115"/>
  <c r="G412" i="115"/>
  <c r="F412" i="115"/>
  <c r="E412" i="115"/>
  <c r="A412" i="115"/>
  <c r="K411" i="115"/>
  <c r="I411" i="115"/>
  <c r="H411" i="115"/>
  <c r="G411" i="115"/>
  <c r="F411" i="115"/>
  <c r="E411" i="115"/>
  <c r="A411" i="115"/>
  <c r="K410" i="115"/>
  <c r="I410" i="115"/>
  <c r="H410" i="115"/>
  <c r="G410" i="115"/>
  <c r="F410" i="115"/>
  <c r="E410" i="115"/>
  <c r="A410" i="115"/>
  <c r="K409" i="115"/>
  <c r="I409" i="115"/>
  <c r="H409" i="115"/>
  <c r="G409" i="115"/>
  <c r="F409" i="115"/>
  <c r="E409" i="115"/>
  <c r="A409" i="115"/>
  <c r="K408" i="115"/>
  <c r="I408" i="115"/>
  <c r="H408" i="115"/>
  <c r="G408" i="115"/>
  <c r="F408" i="115"/>
  <c r="E408" i="115"/>
  <c r="A408" i="115"/>
  <c r="K407" i="115"/>
  <c r="I407" i="115"/>
  <c r="H407" i="115"/>
  <c r="G407" i="115"/>
  <c r="F407" i="115"/>
  <c r="E407" i="115"/>
  <c r="A407" i="115"/>
  <c r="K406" i="115"/>
  <c r="I406" i="115"/>
  <c r="H406" i="115"/>
  <c r="G406" i="115"/>
  <c r="F406" i="115"/>
  <c r="E406" i="115"/>
  <c r="A406" i="115"/>
  <c r="K405" i="115"/>
  <c r="I405" i="115"/>
  <c r="H405" i="115"/>
  <c r="G405" i="115"/>
  <c r="F405" i="115"/>
  <c r="E405" i="115"/>
  <c r="A405" i="115"/>
  <c r="K404" i="115"/>
  <c r="I404" i="115"/>
  <c r="H404" i="115"/>
  <c r="G404" i="115"/>
  <c r="F404" i="115"/>
  <c r="E404" i="115"/>
  <c r="A404" i="115"/>
  <c r="K403" i="115"/>
  <c r="I403" i="115"/>
  <c r="H403" i="115"/>
  <c r="G403" i="115"/>
  <c r="F403" i="115"/>
  <c r="E403" i="115"/>
  <c r="A403" i="115"/>
  <c r="K402" i="115"/>
  <c r="I402" i="115"/>
  <c r="H402" i="115"/>
  <c r="G402" i="115"/>
  <c r="F402" i="115"/>
  <c r="E402" i="115"/>
  <c r="A402" i="115"/>
  <c r="K401" i="115"/>
  <c r="I401" i="115"/>
  <c r="H401" i="115"/>
  <c r="G401" i="115"/>
  <c r="F401" i="115"/>
  <c r="E401" i="115"/>
  <c r="A401" i="115"/>
  <c r="K400" i="115"/>
  <c r="I400" i="115"/>
  <c r="H400" i="115"/>
  <c r="G400" i="115"/>
  <c r="F400" i="115"/>
  <c r="E400" i="115"/>
  <c r="A400" i="115"/>
  <c r="K399" i="115"/>
  <c r="I399" i="115"/>
  <c r="H399" i="115"/>
  <c r="G399" i="115"/>
  <c r="F399" i="115"/>
  <c r="E399" i="115"/>
  <c r="A399" i="115"/>
  <c r="K398" i="115"/>
  <c r="I398" i="115"/>
  <c r="H398" i="115"/>
  <c r="G398" i="115"/>
  <c r="F398" i="115"/>
  <c r="E398" i="115"/>
  <c r="A398" i="115"/>
  <c r="K397" i="115"/>
  <c r="I397" i="115"/>
  <c r="H397" i="115"/>
  <c r="G397" i="115"/>
  <c r="F397" i="115"/>
  <c r="E397" i="115"/>
  <c r="A397" i="115"/>
  <c r="K396" i="115"/>
  <c r="I396" i="115"/>
  <c r="H396" i="115"/>
  <c r="G396" i="115"/>
  <c r="F396" i="115"/>
  <c r="E396" i="115"/>
  <c r="A396" i="115"/>
  <c r="K395" i="115"/>
  <c r="I395" i="115"/>
  <c r="H395" i="115"/>
  <c r="G395" i="115"/>
  <c r="F395" i="115"/>
  <c r="E395" i="115"/>
  <c r="A395" i="115"/>
  <c r="K394" i="115"/>
  <c r="I394" i="115"/>
  <c r="H394" i="115"/>
  <c r="G394" i="115"/>
  <c r="F394" i="115"/>
  <c r="E394" i="115"/>
  <c r="A394" i="115"/>
  <c r="K393" i="115"/>
  <c r="I393" i="115"/>
  <c r="H393" i="115"/>
  <c r="G393" i="115"/>
  <c r="F393" i="115"/>
  <c r="E393" i="115"/>
  <c r="A393" i="115"/>
  <c r="K392" i="115"/>
  <c r="I392" i="115"/>
  <c r="H392" i="115"/>
  <c r="G392" i="115"/>
  <c r="F392" i="115"/>
  <c r="E392" i="115"/>
  <c r="A392" i="115"/>
  <c r="K391" i="115"/>
  <c r="I391" i="115"/>
  <c r="H391" i="115"/>
  <c r="G391" i="115"/>
  <c r="F391" i="115"/>
  <c r="E391" i="115"/>
  <c r="A391" i="115"/>
  <c r="K390" i="115"/>
  <c r="I390" i="115"/>
  <c r="H390" i="115"/>
  <c r="G390" i="115"/>
  <c r="F390" i="115"/>
  <c r="E390" i="115"/>
  <c r="A390" i="115"/>
  <c r="K389" i="115"/>
  <c r="I389" i="115"/>
  <c r="H389" i="115"/>
  <c r="G389" i="115"/>
  <c r="F389" i="115"/>
  <c r="E389" i="115"/>
  <c r="A389" i="115"/>
  <c r="K388" i="115"/>
  <c r="I388" i="115"/>
  <c r="H388" i="115"/>
  <c r="G388" i="115"/>
  <c r="F388" i="115"/>
  <c r="E388" i="115"/>
  <c r="A388" i="115"/>
  <c r="K387" i="115"/>
  <c r="I387" i="115"/>
  <c r="H387" i="115"/>
  <c r="G387" i="115"/>
  <c r="F387" i="115"/>
  <c r="E387" i="115"/>
  <c r="A387" i="115"/>
  <c r="K386" i="115"/>
  <c r="I386" i="115"/>
  <c r="H386" i="115"/>
  <c r="G386" i="115"/>
  <c r="F386" i="115"/>
  <c r="E386" i="115"/>
  <c r="A386" i="115"/>
  <c r="K385" i="115"/>
  <c r="I385" i="115"/>
  <c r="H385" i="115"/>
  <c r="G385" i="115"/>
  <c r="F385" i="115"/>
  <c r="E385" i="115"/>
  <c r="A385" i="115"/>
  <c r="K384" i="115"/>
  <c r="I384" i="115"/>
  <c r="H384" i="115"/>
  <c r="G384" i="115"/>
  <c r="F384" i="115"/>
  <c r="E384" i="115"/>
  <c r="A384" i="115"/>
  <c r="K383" i="115"/>
  <c r="I383" i="115"/>
  <c r="H383" i="115"/>
  <c r="G383" i="115"/>
  <c r="F383" i="115"/>
  <c r="E383" i="115"/>
  <c r="A383" i="115"/>
  <c r="K382" i="115"/>
  <c r="I382" i="115"/>
  <c r="H382" i="115"/>
  <c r="G382" i="115"/>
  <c r="F382" i="115"/>
  <c r="E382" i="115"/>
  <c r="A382" i="115"/>
  <c r="K381" i="115"/>
  <c r="I381" i="115"/>
  <c r="H381" i="115"/>
  <c r="G381" i="115"/>
  <c r="F381" i="115"/>
  <c r="E381" i="115"/>
  <c r="A381" i="115"/>
  <c r="K380" i="115"/>
  <c r="I380" i="115"/>
  <c r="H380" i="115"/>
  <c r="G380" i="115"/>
  <c r="F380" i="115"/>
  <c r="E380" i="115"/>
  <c r="A380" i="115"/>
  <c r="K379" i="115"/>
  <c r="I379" i="115"/>
  <c r="H379" i="115"/>
  <c r="G379" i="115"/>
  <c r="F379" i="115"/>
  <c r="E379" i="115"/>
  <c r="A379" i="115"/>
  <c r="K378" i="115"/>
  <c r="I378" i="115"/>
  <c r="H378" i="115"/>
  <c r="G378" i="115"/>
  <c r="F378" i="115"/>
  <c r="E378" i="115"/>
  <c r="A378" i="115"/>
  <c r="K377" i="115"/>
  <c r="I377" i="115"/>
  <c r="H377" i="115"/>
  <c r="G377" i="115"/>
  <c r="F377" i="115"/>
  <c r="E377" i="115"/>
  <c r="A377" i="115"/>
  <c r="K376" i="115"/>
  <c r="I376" i="115"/>
  <c r="H376" i="115"/>
  <c r="G376" i="115"/>
  <c r="F376" i="115"/>
  <c r="E376" i="115"/>
  <c r="A376" i="115"/>
  <c r="K375" i="115"/>
  <c r="I375" i="115"/>
  <c r="H375" i="115"/>
  <c r="G375" i="115"/>
  <c r="F375" i="115"/>
  <c r="E375" i="115"/>
  <c r="A375" i="115"/>
  <c r="K374" i="115"/>
  <c r="I374" i="115"/>
  <c r="H374" i="115"/>
  <c r="G374" i="115"/>
  <c r="F374" i="115"/>
  <c r="E374" i="115"/>
  <c r="A374" i="115"/>
  <c r="K373" i="115"/>
  <c r="I373" i="115"/>
  <c r="H373" i="115"/>
  <c r="G373" i="115"/>
  <c r="F373" i="115"/>
  <c r="E373" i="115"/>
  <c r="A373" i="115"/>
  <c r="K372" i="115"/>
  <c r="I372" i="115"/>
  <c r="H372" i="115"/>
  <c r="G372" i="115"/>
  <c r="F372" i="115"/>
  <c r="E372" i="115"/>
  <c r="A372" i="115"/>
  <c r="K371" i="115"/>
  <c r="I371" i="115"/>
  <c r="H371" i="115"/>
  <c r="G371" i="115"/>
  <c r="F371" i="115"/>
  <c r="E371" i="115"/>
  <c r="A371" i="115"/>
  <c r="K370" i="115"/>
  <c r="I370" i="115"/>
  <c r="H370" i="115"/>
  <c r="G370" i="115"/>
  <c r="F370" i="115"/>
  <c r="E370" i="115"/>
  <c r="A370" i="115"/>
  <c r="K369" i="115"/>
  <c r="I369" i="115"/>
  <c r="H369" i="115"/>
  <c r="G369" i="115"/>
  <c r="F369" i="115"/>
  <c r="E369" i="115"/>
  <c r="A369" i="115"/>
  <c r="K368" i="115"/>
  <c r="I368" i="115"/>
  <c r="H368" i="115"/>
  <c r="G368" i="115"/>
  <c r="F368" i="115"/>
  <c r="E368" i="115"/>
  <c r="A368" i="115"/>
  <c r="K367" i="115"/>
  <c r="I367" i="115"/>
  <c r="H367" i="115"/>
  <c r="G367" i="115"/>
  <c r="F367" i="115"/>
  <c r="E367" i="115"/>
  <c r="A367" i="115"/>
  <c r="K366" i="115"/>
  <c r="I366" i="115"/>
  <c r="H366" i="115"/>
  <c r="G366" i="115"/>
  <c r="F366" i="115"/>
  <c r="E366" i="115"/>
  <c r="A366" i="115"/>
  <c r="K365" i="115"/>
  <c r="I365" i="115"/>
  <c r="H365" i="115"/>
  <c r="G365" i="115"/>
  <c r="F365" i="115"/>
  <c r="E365" i="115"/>
  <c r="A365" i="115"/>
  <c r="K364" i="115"/>
  <c r="I364" i="115"/>
  <c r="H364" i="115"/>
  <c r="G364" i="115"/>
  <c r="F364" i="115"/>
  <c r="E364" i="115"/>
  <c r="A364" i="115"/>
  <c r="K363" i="115"/>
  <c r="I363" i="115"/>
  <c r="H363" i="115"/>
  <c r="G363" i="115"/>
  <c r="F363" i="115"/>
  <c r="E363" i="115"/>
  <c r="A363" i="115"/>
  <c r="K362" i="115"/>
  <c r="I362" i="115"/>
  <c r="H362" i="115"/>
  <c r="G362" i="115"/>
  <c r="F362" i="115"/>
  <c r="E362" i="115"/>
  <c r="A362" i="115"/>
  <c r="K361" i="115"/>
  <c r="I361" i="115"/>
  <c r="H361" i="115"/>
  <c r="G361" i="115"/>
  <c r="F361" i="115"/>
  <c r="E361" i="115"/>
  <c r="A361" i="115"/>
  <c r="K360" i="115"/>
  <c r="I360" i="115"/>
  <c r="H360" i="115"/>
  <c r="G360" i="115"/>
  <c r="F360" i="115"/>
  <c r="E360" i="115"/>
  <c r="A360" i="115"/>
  <c r="K359" i="115"/>
  <c r="I359" i="115"/>
  <c r="H359" i="115"/>
  <c r="G359" i="115"/>
  <c r="F359" i="115"/>
  <c r="E359" i="115"/>
  <c r="A359" i="115"/>
  <c r="K358" i="115"/>
  <c r="I358" i="115"/>
  <c r="H358" i="115"/>
  <c r="G358" i="115"/>
  <c r="F358" i="115"/>
  <c r="E358" i="115"/>
  <c r="A358" i="115"/>
  <c r="K357" i="115"/>
  <c r="I357" i="115"/>
  <c r="H357" i="115"/>
  <c r="G357" i="115"/>
  <c r="F357" i="115"/>
  <c r="E357" i="115"/>
  <c r="A357" i="115"/>
  <c r="K356" i="115"/>
  <c r="I356" i="115"/>
  <c r="H356" i="115"/>
  <c r="G356" i="115"/>
  <c r="F356" i="115"/>
  <c r="E356" i="115"/>
  <c r="A356" i="115"/>
  <c r="K355" i="115"/>
  <c r="I355" i="115"/>
  <c r="H355" i="115"/>
  <c r="G355" i="115"/>
  <c r="F355" i="115"/>
  <c r="E355" i="115"/>
  <c r="A355" i="115"/>
  <c r="K354" i="115"/>
  <c r="I354" i="115"/>
  <c r="H354" i="115"/>
  <c r="G354" i="115"/>
  <c r="F354" i="115"/>
  <c r="E354" i="115"/>
  <c r="A354" i="115"/>
  <c r="K353" i="115"/>
  <c r="I353" i="115"/>
  <c r="H353" i="115"/>
  <c r="G353" i="115"/>
  <c r="F353" i="115"/>
  <c r="E353" i="115"/>
  <c r="A353" i="115"/>
  <c r="K352" i="115"/>
  <c r="I352" i="115"/>
  <c r="H352" i="115"/>
  <c r="G352" i="115"/>
  <c r="F352" i="115"/>
  <c r="E352" i="115"/>
  <c r="A352" i="115"/>
  <c r="K351" i="115"/>
  <c r="I351" i="115"/>
  <c r="H351" i="115"/>
  <c r="G351" i="115"/>
  <c r="F351" i="115"/>
  <c r="E351" i="115"/>
  <c r="A351" i="115"/>
  <c r="K350" i="115"/>
  <c r="I350" i="115"/>
  <c r="H350" i="115"/>
  <c r="G350" i="115"/>
  <c r="F350" i="115"/>
  <c r="E350" i="115"/>
  <c r="A350" i="115"/>
  <c r="K349" i="115"/>
  <c r="I349" i="115"/>
  <c r="H349" i="115"/>
  <c r="G349" i="115"/>
  <c r="F349" i="115"/>
  <c r="E349" i="115"/>
  <c r="A349" i="115"/>
  <c r="K348" i="115"/>
  <c r="I348" i="115"/>
  <c r="H348" i="115"/>
  <c r="G348" i="115"/>
  <c r="F348" i="115"/>
  <c r="E348" i="115"/>
  <c r="A348" i="115"/>
  <c r="K347" i="115"/>
  <c r="I347" i="115"/>
  <c r="H347" i="115"/>
  <c r="G347" i="115"/>
  <c r="F347" i="115"/>
  <c r="E347" i="115"/>
  <c r="A347" i="115"/>
  <c r="K346" i="115"/>
  <c r="I346" i="115"/>
  <c r="H346" i="115"/>
  <c r="G346" i="115"/>
  <c r="F346" i="115"/>
  <c r="E346" i="115"/>
  <c r="A346" i="115"/>
  <c r="K345" i="115"/>
  <c r="I345" i="115"/>
  <c r="H345" i="115"/>
  <c r="G345" i="115"/>
  <c r="F345" i="115"/>
  <c r="E345" i="115"/>
  <c r="A345" i="115"/>
  <c r="K344" i="115"/>
  <c r="I344" i="115"/>
  <c r="H344" i="115"/>
  <c r="G344" i="115"/>
  <c r="F344" i="115"/>
  <c r="E344" i="115"/>
  <c r="A344" i="115"/>
  <c r="K343" i="115"/>
  <c r="I343" i="115"/>
  <c r="H343" i="115"/>
  <c r="G343" i="115"/>
  <c r="F343" i="115"/>
  <c r="E343" i="115"/>
  <c r="A343" i="115"/>
  <c r="K342" i="115"/>
  <c r="I342" i="115"/>
  <c r="H342" i="115"/>
  <c r="G342" i="115"/>
  <c r="F342" i="115"/>
  <c r="E342" i="115"/>
  <c r="A342" i="115"/>
  <c r="K341" i="115"/>
  <c r="I341" i="115"/>
  <c r="H341" i="115"/>
  <c r="G341" i="115"/>
  <c r="F341" i="115"/>
  <c r="E341" i="115"/>
  <c r="A341" i="115"/>
  <c r="K340" i="115"/>
  <c r="I340" i="115"/>
  <c r="H340" i="115"/>
  <c r="G340" i="115"/>
  <c r="F340" i="115"/>
  <c r="E340" i="115"/>
  <c r="A340" i="115"/>
  <c r="K339" i="115"/>
  <c r="I339" i="115"/>
  <c r="H339" i="115"/>
  <c r="G339" i="115"/>
  <c r="F339" i="115"/>
  <c r="E339" i="115"/>
  <c r="A339" i="115"/>
  <c r="K338" i="115"/>
  <c r="I338" i="115"/>
  <c r="H338" i="115"/>
  <c r="G338" i="115"/>
  <c r="F338" i="115"/>
  <c r="E338" i="115"/>
  <c r="A338" i="115"/>
  <c r="K337" i="115"/>
  <c r="I337" i="115"/>
  <c r="H337" i="115"/>
  <c r="G337" i="115"/>
  <c r="F337" i="115"/>
  <c r="E337" i="115"/>
  <c r="A337" i="115"/>
  <c r="K336" i="115"/>
  <c r="I336" i="115"/>
  <c r="H336" i="115"/>
  <c r="G336" i="115"/>
  <c r="F336" i="115"/>
  <c r="E336" i="115"/>
  <c r="A336" i="115"/>
  <c r="K335" i="115"/>
  <c r="I335" i="115"/>
  <c r="H335" i="115"/>
  <c r="G335" i="115"/>
  <c r="F335" i="115"/>
  <c r="E335" i="115"/>
  <c r="A335" i="115"/>
  <c r="K334" i="115"/>
  <c r="I334" i="115"/>
  <c r="H334" i="115"/>
  <c r="G334" i="115"/>
  <c r="F334" i="115"/>
  <c r="E334" i="115"/>
  <c r="A334" i="115"/>
  <c r="K333" i="115"/>
  <c r="I333" i="115"/>
  <c r="H333" i="115"/>
  <c r="G333" i="115"/>
  <c r="F333" i="115"/>
  <c r="E333" i="115"/>
  <c r="A333" i="115"/>
  <c r="K332" i="115"/>
  <c r="I332" i="115"/>
  <c r="H332" i="115"/>
  <c r="G332" i="115"/>
  <c r="F332" i="115"/>
  <c r="E332" i="115"/>
  <c r="A332" i="115"/>
  <c r="K331" i="115"/>
  <c r="I331" i="115"/>
  <c r="H331" i="115"/>
  <c r="G331" i="115"/>
  <c r="F331" i="115"/>
  <c r="E331" i="115"/>
  <c r="A331" i="115"/>
  <c r="K330" i="115"/>
  <c r="I330" i="115"/>
  <c r="H330" i="115"/>
  <c r="G330" i="115"/>
  <c r="F330" i="115"/>
  <c r="E330" i="115"/>
  <c r="A330" i="115"/>
  <c r="K329" i="115"/>
  <c r="I329" i="115"/>
  <c r="H329" i="115"/>
  <c r="G329" i="115"/>
  <c r="F329" i="115"/>
  <c r="E329" i="115"/>
  <c r="A329" i="115"/>
  <c r="K328" i="115"/>
  <c r="I328" i="115"/>
  <c r="H328" i="115"/>
  <c r="G328" i="115"/>
  <c r="F328" i="115"/>
  <c r="E328" i="115"/>
  <c r="A328" i="115"/>
  <c r="K327" i="115"/>
  <c r="I327" i="115"/>
  <c r="H327" i="115"/>
  <c r="G327" i="115"/>
  <c r="F327" i="115"/>
  <c r="E327" i="115"/>
  <c r="A327" i="115"/>
  <c r="K326" i="115"/>
  <c r="I326" i="115"/>
  <c r="H326" i="115"/>
  <c r="G326" i="115"/>
  <c r="F326" i="115"/>
  <c r="E326" i="115"/>
  <c r="A326" i="115"/>
  <c r="K325" i="115"/>
  <c r="I325" i="115"/>
  <c r="H325" i="115"/>
  <c r="G325" i="115"/>
  <c r="F325" i="115"/>
  <c r="E325" i="115"/>
  <c r="A325" i="115"/>
  <c r="K324" i="115"/>
  <c r="I324" i="115"/>
  <c r="H324" i="115"/>
  <c r="G324" i="115"/>
  <c r="F324" i="115"/>
  <c r="E324" i="115"/>
  <c r="A324" i="115"/>
  <c r="K323" i="115"/>
  <c r="I323" i="115"/>
  <c r="H323" i="115"/>
  <c r="G323" i="115"/>
  <c r="F323" i="115"/>
  <c r="E323" i="115"/>
  <c r="A323" i="115"/>
  <c r="K322" i="115"/>
  <c r="I322" i="115"/>
  <c r="H322" i="115"/>
  <c r="G322" i="115"/>
  <c r="F322" i="115"/>
  <c r="E322" i="115"/>
  <c r="A322" i="115"/>
  <c r="K321" i="115"/>
  <c r="I321" i="115"/>
  <c r="H321" i="115"/>
  <c r="G321" i="115"/>
  <c r="F321" i="115"/>
  <c r="E321" i="115"/>
  <c r="A321" i="115"/>
  <c r="K320" i="115"/>
  <c r="I320" i="115"/>
  <c r="H320" i="115"/>
  <c r="G320" i="115"/>
  <c r="F320" i="115"/>
  <c r="E320" i="115"/>
  <c r="A320" i="115"/>
  <c r="K319" i="115"/>
  <c r="I319" i="115"/>
  <c r="H319" i="115"/>
  <c r="G319" i="115"/>
  <c r="F319" i="115"/>
  <c r="E319" i="115"/>
  <c r="A319" i="115"/>
  <c r="K318" i="115"/>
  <c r="I318" i="115"/>
  <c r="H318" i="115"/>
  <c r="G318" i="115"/>
  <c r="F318" i="115"/>
  <c r="E318" i="115"/>
  <c r="A318" i="115"/>
  <c r="K317" i="115"/>
  <c r="I317" i="115"/>
  <c r="H317" i="115"/>
  <c r="G317" i="115"/>
  <c r="F317" i="115"/>
  <c r="E317" i="115"/>
  <c r="A317" i="115"/>
  <c r="K316" i="115"/>
  <c r="I316" i="115"/>
  <c r="H316" i="115"/>
  <c r="G316" i="115"/>
  <c r="F316" i="115"/>
  <c r="E316" i="115"/>
  <c r="A316" i="115"/>
  <c r="K315" i="115"/>
  <c r="I315" i="115"/>
  <c r="H315" i="115"/>
  <c r="G315" i="115"/>
  <c r="F315" i="115"/>
  <c r="E315" i="115"/>
  <c r="A315" i="115"/>
  <c r="K314" i="115"/>
  <c r="I314" i="115"/>
  <c r="H314" i="115"/>
  <c r="G314" i="115"/>
  <c r="F314" i="115"/>
  <c r="E314" i="115"/>
  <c r="A314" i="115"/>
  <c r="K313" i="115"/>
  <c r="I313" i="115"/>
  <c r="H313" i="115"/>
  <c r="G313" i="115"/>
  <c r="F313" i="115"/>
  <c r="E313" i="115"/>
  <c r="A313" i="115"/>
  <c r="K312" i="115"/>
  <c r="I312" i="115"/>
  <c r="H312" i="115"/>
  <c r="G312" i="115"/>
  <c r="F312" i="115"/>
  <c r="E312" i="115"/>
  <c r="A312" i="115"/>
  <c r="K311" i="115"/>
  <c r="I311" i="115"/>
  <c r="H311" i="115"/>
  <c r="G311" i="115"/>
  <c r="F311" i="115"/>
  <c r="E311" i="115"/>
  <c r="A311" i="115"/>
  <c r="K310" i="115"/>
  <c r="I310" i="115"/>
  <c r="H310" i="115"/>
  <c r="G310" i="115"/>
  <c r="F310" i="115"/>
  <c r="E310" i="115"/>
  <c r="A310" i="115"/>
  <c r="K309" i="115"/>
  <c r="I309" i="115"/>
  <c r="H309" i="115"/>
  <c r="G309" i="115"/>
  <c r="F309" i="115"/>
  <c r="E309" i="115"/>
  <c r="A309" i="115"/>
  <c r="K308" i="115"/>
  <c r="I308" i="115"/>
  <c r="H308" i="115"/>
  <c r="G308" i="115"/>
  <c r="F308" i="115"/>
  <c r="E308" i="115"/>
  <c r="A308" i="115"/>
  <c r="K307" i="115"/>
  <c r="I307" i="115"/>
  <c r="H307" i="115"/>
  <c r="G307" i="115"/>
  <c r="F307" i="115"/>
  <c r="E307" i="115"/>
  <c r="A307" i="115"/>
  <c r="K306" i="115"/>
  <c r="I306" i="115"/>
  <c r="H306" i="115"/>
  <c r="G306" i="115"/>
  <c r="F306" i="115"/>
  <c r="E306" i="115"/>
  <c r="A306" i="115"/>
  <c r="K305" i="115"/>
  <c r="I305" i="115"/>
  <c r="H305" i="115"/>
  <c r="G305" i="115"/>
  <c r="F305" i="115"/>
  <c r="E305" i="115"/>
  <c r="A305" i="115"/>
  <c r="K304" i="115"/>
  <c r="I304" i="115"/>
  <c r="H304" i="115"/>
  <c r="G304" i="115"/>
  <c r="F304" i="115"/>
  <c r="E304" i="115"/>
  <c r="A304" i="115"/>
  <c r="K303" i="115"/>
  <c r="I303" i="115"/>
  <c r="H303" i="115"/>
  <c r="G303" i="115"/>
  <c r="F303" i="115"/>
  <c r="E303" i="115"/>
  <c r="A303" i="115"/>
  <c r="K302" i="115"/>
  <c r="I302" i="115"/>
  <c r="H302" i="115"/>
  <c r="G302" i="115"/>
  <c r="F302" i="115"/>
  <c r="E302" i="115"/>
  <c r="A302" i="115"/>
  <c r="K301" i="115"/>
  <c r="I301" i="115"/>
  <c r="H301" i="115"/>
  <c r="G301" i="115"/>
  <c r="F301" i="115"/>
  <c r="E301" i="115"/>
  <c r="A301" i="115"/>
  <c r="K300" i="115"/>
  <c r="I300" i="115"/>
  <c r="H300" i="115"/>
  <c r="G300" i="115"/>
  <c r="F300" i="115"/>
  <c r="E300" i="115"/>
  <c r="A300" i="115"/>
  <c r="K299" i="115"/>
  <c r="I299" i="115"/>
  <c r="H299" i="115"/>
  <c r="G299" i="115"/>
  <c r="F299" i="115"/>
  <c r="E299" i="115"/>
  <c r="A299" i="115"/>
  <c r="K298" i="115"/>
  <c r="I298" i="115"/>
  <c r="H298" i="115"/>
  <c r="G298" i="115"/>
  <c r="F298" i="115"/>
  <c r="E298" i="115"/>
  <c r="A298" i="115"/>
  <c r="K297" i="115"/>
  <c r="I297" i="115"/>
  <c r="H297" i="115"/>
  <c r="G297" i="115"/>
  <c r="F297" i="115"/>
  <c r="E297" i="115"/>
  <c r="A297" i="115"/>
  <c r="K296" i="115"/>
  <c r="I296" i="115"/>
  <c r="H296" i="115"/>
  <c r="G296" i="115"/>
  <c r="F296" i="115"/>
  <c r="E296" i="115"/>
  <c r="A296" i="115"/>
  <c r="K295" i="115"/>
  <c r="I295" i="115"/>
  <c r="H295" i="115"/>
  <c r="G295" i="115"/>
  <c r="F295" i="115"/>
  <c r="E295" i="115"/>
  <c r="A295" i="115"/>
  <c r="K294" i="115"/>
  <c r="I294" i="115"/>
  <c r="H294" i="115"/>
  <c r="G294" i="115"/>
  <c r="F294" i="115"/>
  <c r="E294" i="115"/>
  <c r="A294" i="115"/>
  <c r="K293" i="115"/>
  <c r="I293" i="115"/>
  <c r="H293" i="115"/>
  <c r="G293" i="115"/>
  <c r="F293" i="115"/>
  <c r="E293" i="115"/>
  <c r="A293" i="115"/>
  <c r="K292" i="115"/>
  <c r="I292" i="115"/>
  <c r="H292" i="115"/>
  <c r="G292" i="115"/>
  <c r="F292" i="115"/>
  <c r="E292" i="115"/>
  <c r="A292" i="115"/>
  <c r="K291" i="115"/>
  <c r="I291" i="115"/>
  <c r="H291" i="115"/>
  <c r="G291" i="115"/>
  <c r="F291" i="115"/>
  <c r="E291" i="115"/>
  <c r="A291" i="115"/>
  <c r="K290" i="115"/>
  <c r="I290" i="115"/>
  <c r="H290" i="115"/>
  <c r="G290" i="115"/>
  <c r="F290" i="115"/>
  <c r="E290" i="115"/>
  <c r="A290" i="115"/>
  <c r="K289" i="115"/>
  <c r="I289" i="115"/>
  <c r="H289" i="115"/>
  <c r="G289" i="115"/>
  <c r="F289" i="115"/>
  <c r="E289" i="115"/>
  <c r="A289" i="115"/>
  <c r="K288" i="115"/>
  <c r="I288" i="115"/>
  <c r="H288" i="115"/>
  <c r="G288" i="115"/>
  <c r="F288" i="115"/>
  <c r="E288" i="115"/>
  <c r="A288" i="115"/>
  <c r="K287" i="115"/>
  <c r="I287" i="115"/>
  <c r="H287" i="115"/>
  <c r="G287" i="115"/>
  <c r="F287" i="115"/>
  <c r="E287" i="115"/>
  <c r="A287" i="115"/>
  <c r="K286" i="115"/>
  <c r="I286" i="115"/>
  <c r="H286" i="115"/>
  <c r="G286" i="115"/>
  <c r="F286" i="115"/>
  <c r="E286" i="115"/>
  <c r="A286" i="115"/>
  <c r="K285" i="115"/>
  <c r="I285" i="115"/>
  <c r="H285" i="115"/>
  <c r="G285" i="115"/>
  <c r="F285" i="115"/>
  <c r="E285" i="115"/>
  <c r="A285" i="115"/>
  <c r="K284" i="115"/>
  <c r="I284" i="115"/>
  <c r="H284" i="115"/>
  <c r="G284" i="115"/>
  <c r="F284" i="115"/>
  <c r="E284" i="115"/>
  <c r="A284" i="115"/>
  <c r="K283" i="115"/>
  <c r="I283" i="115"/>
  <c r="H283" i="115"/>
  <c r="G283" i="115"/>
  <c r="F283" i="115"/>
  <c r="E283" i="115"/>
  <c r="A283" i="115"/>
  <c r="K282" i="115"/>
  <c r="I282" i="115"/>
  <c r="H282" i="115"/>
  <c r="G282" i="115"/>
  <c r="F282" i="115"/>
  <c r="E282" i="115"/>
  <c r="A282" i="115"/>
  <c r="K281" i="115"/>
  <c r="I281" i="115"/>
  <c r="H281" i="115"/>
  <c r="G281" i="115"/>
  <c r="F281" i="115"/>
  <c r="E281" i="115"/>
  <c r="A281" i="115"/>
  <c r="K280" i="115"/>
  <c r="I280" i="115"/>
  <c r="H280" i="115"/>
  <c r="G280" i="115"/>
  <c r="F280" i="115"/>
  <c r="E280" i="115"/>
  <c r="A280" i="115"/>
  <c r="K279" i="115"/>
  <c r="I279" i="115"/>
  <c r="H279" i="115"/>
  <c r="G279" i="115"/>
  <c r="F279" i="115"/>
  <c r="E279" i="115"/>
  <c r="A279" i="115"/>
  <c r="K278" i="115"/>
  <c r="I278" i="115"/>
  <c r="H278" i="115"/>
  <c r="G278" i="115"/>
  <c r="F278" i="115"/>
  <c r="E278" i="115"/>
  <c r="A278" i="115"/>
  <c r="K277" i="115"/>
  <c r="I277" i="115"/>
  <c r="H277" i="115"/>
  <c r="G277" i="115"/>
  <c r="F277" i="115"/>
  <c r="E277" i="115"/>
  <c r="A277" i="115"/>
  <c r="K276" i="115"/>
  <c r="I276" i="115"/>
  <c r="H276" i="115"/>
  <c r="G276" i="115"/>
  <c r="F276" i="115"/>
  <c r="E276" i="115"/>
  <c r="A276" i="115"/>
  <c r="K275" i="115"/>
  <c r="I275" i="115"/>
  <c r="H275" i="115"/>
  <c r="G275" i="115"/>
  <c r="F275" i="115"/>
  <c r="E275" i="115"/>
  <c r="A275" i="115"/>
  <c r="K274" i="115"/>
  <c r="I274" i="115"/>
  <c r="H274" i="115"/>
  <c r="G274" i="115"/>
  <c r="F274" i="115"/>
  <c r="E274" i="115"/>
  <c r="A274" i="115"/>
  <c r="K273" i="115"/>
  <c r="I273" i="115"/>
  <c r="H273" i="115"/>
  <c r="G273" i="115"/>
  <c r="F273" i="115"/>
  <c r="E273" i="115"/>
  <c r="A273" i="115"/>
  <c r="K272" i="115"/>
  <c r="I272" i="115"/>
  <c r="H272" i="115"/>
  <c r="G272" i="115"/>
  <c r="F272" i="115"/>
  <c r="E272" i="115"/>
  <c r="A272" i="115"/>
  <c r="K271" i="115"/>
  <c r="I271" i="115"/>
  <c r="H271" i="115"/>
  <c r="G271" i="115"/>
  <c r="F271" i="115"/>
  <c r="E271" i="115"/>
  <c r="A271" i="115"/>
  <c r="K270" i="115"/>
  <c r="I270" i="115"/>
  <c r="H270" i="115"/>
  <c r="G270" i="115"/>
  <c r="F270" i="115"/>
  <c r="E270" i="115"/>
  <c r="A270" i="115"/>
  <c r="K269" i="115"/>
  <c r="I269" i="115"/>
  <c r="H269" i="115"/>
  <c r="G269" i="115"/>
  <c r="F269" i="115"/>
  <c r="E269" i="115"/>
  <c r="A269" i="115"/>
  <c r="K268" i="115"/>
  <c r="I268" i="115"/>
  <c r="H268" i="115"/>
  <c r="G268" i="115"/>
  <c r="F268" i="115"/>
  <c r="E268" i="115"/>
  <c r="A268" i="115"/>
  <c r="K267" i="115"/>
  <c r="I267" i="115"/>
  <c r="H267" i="115"/>
  <c r="G267" i="115"/>
  <c r="F267" i="115"/>
  <c r="E267" i="115"/>
  <c r="A267" i="115"/>
  <c r="K266" i="115"/>
  <c r="I266" i="115"/>
  <c r="H266" i="115"/>
  <c r="G266" i="115"/>
  <c r="F266" i="115"/>
  <c r="E266" i="115"/>
  <c r="A266" i="115"/>
  <c r="K265" i="115"/>
  <c r="I265" i="115"/>
  <c r="H265" i="115"/>
  <c r="G265" i="115"/>
  <c r="F265" i="115"/>
  <c r="E265" i="115"/>
  <c r="A265" i="115"/>
  <c r="K264" i="115"/>
  <c r="I264" i="115"/>
  <c r="H264" i="115"/>
  <c r="G264" i="115"/>
  <c r="F264" i="115"/>
  <c r="E264" i="115"/>
  <c r="A264" i="115"/>
  <c r="K263" i="115"/>
  <c r="I263" i="115"/>
  <c r="H263" i="115"/>
  <c r="G263" i="115"/>
  <c r="F263" i="115"/>
  <c r="E263" i="115"/>
  <c r="A263" i="115"/>
  <c r="K262" i="115"/>
  <c r="I262" i="115"/>
  <c r="H262" i="115"/>
  <c r="G262" i="115"/>
  <c r="F262" i="115"/>
  <c r="E262" i="115"/>
  <c r="A262" i="115"/>
  <c r="K261" i="115"/>
  <c r="I261" i="115"/>
  <c r="H261" i="115"/>
  <c r="G261" i="115"/>
  <c r="F261" i="115"/>
  <c r="E261" i="115"/>
  <c r="A261" i="115"/>
  <c r="K260" i="115"/>
  <c r="I260" i="115"/>
  <c r="H260" i="115"/>
  <c r="G260" i="115"/>
  <c r="F260" i="115"/>
  <c r="E260" i="115"/>
  <c r="A260" i="115"/>
  <c r="K259" i="115"/>
  <c r="I259" i="115"/>
  <c r="H259" i="115"/>
  <c r="G259" i="115"/>
  <c r="F259" i="115"/>
  <c r="E259" i="115"/>
  <c r="A259" i="115"/>
  <c r="K258" i="115"/>
  <c r="I258" i="115"/>
  <c r="H258" i="115"/>
  <c r="G258" i="115"/>
  <c r="F258" i="115"/>
  <c r="E258" i="115"/>
  <c r="A258" i="115"/>
  <c r="K257" i="115"/>
  <c r="I257" i="115"/>
  <c r="H257" i="115"/>
  <c r="G257" i="115"/>
  <c r="F257" i="115"/>
  <c r="E257" i="115"/>
  <c r="A257" i="115"/>
  <c r="K256" i="115"/>
  <c r="I256" i="115"/>
  <c r="H256" i="115"/>
  <c r="G256" i="115"/>
  <c r="F256" i="115"/>
  <c r="E256" i="115"/>
  <c r="A256" i="115"/>
  <c r="K255" i="115"/>
  <c r="I255" i="115"/>
  <c r="H255" i="115"/>
  <c r="G255" i="115"/>
  <c r="F255" i="115"/>
  <c r="E255" i="115"/>
  <c r="A255" i="115"/>
  <c r="K254" i="115"/>
  <c r="I254" i="115"/>
  <c r="H254" i="115"/>
  <c r="G254" i="115"/>
  <c r="F254" i="115"/>
  <c r="E254" i="115"/>
  <c r="A254" i="115"/>
  <c r="K253" i="115"/>
  <c r="I253" i="115"/>
  <c r="H253" i="115"/>
  <c r="G253" i="115"/>
  <c r="F253" i="115"/>
  <c r="E253" i="115"/>
  <c r="A253" i="115"/>
  <c r="K252" i="115"/>
  <c r="I252" i="115"/>
  <c r="H252" i="115"/>
  <c r="G252" i="115"/>
  <c r="F252" i="115"/>
  <c r="E252" i="115"/>
  <c r="A252" i="115"/>
  <c r="K251" i="115"/>
  <c r="I251" i="115"/>
  <c r="H251" i="115"/>
  <c r="G251" i="115"/>
  <c r="F251" i="115"/>
  <c r="E251" i="115"/>
  <c r="A251" i="115"/>
  <c r="K250" i="115"/>
  <c r="I250" i="115"/>
  <c r="H250" i="115"/>
  <c r="G250" i="115"/>
  <c r="F250" i="115"/>
  <c r="E250" i="115"/>
  <c r="A250" i="115"/>
  <c r="K249" i="115"/>
  <c r="I249" i="115"/>
  <c r="H249" i="115"/>
  <c r="G249" i="115"/>
  <c r="F249" i="115"/>
  <c r="E249" i="115"/>
  <c r="A249" i="115"/>
  <c r="K248" i="115"/>
  <c r="I248" i="115"/>
  <c r="H248" i="115"/>
  <c r="G248" i="115"/>
  <c r="F248" i="115"/>
  <c r="E248" i="115"/>
  <c r="A248" i="115"/>
  <c r="K247" i="115"/>
  <c r="I247" i="115"/>
  <c r="H247" i="115"/>
  <c r="G247" i="115"/>
  <c r="F247" i="115"/>
  <c r="E247" i="115"/>
  <c r="A247" i="115"/>
  <c r="K246" i="115"/>
  <c r="I246" i="115"/>
  <c r="H246" i="115"/>
  <c r="G246" i="115"/>
  <c r="F246" i="115"/>
  <c r="E246" i="115"/>
  <c r="A246" i="115"/>
  <c r="K245" i="115"/>
  <c r="I245" i="115"/>
  <c r="H245" i="115"/>
  <c r="G245" i="115"/>
  <c r="F245" i="115"/>
  <c r="E245" i="115"/>
  <c r="A245" i="115"/>
  <c r="K244" i="115"/>
  <c r="I244" i="115"/>
  <c r="H244" i="115"/>
  <c r="G244" i="115"/>
  <c r="F244" i="115"/>
  <c r="E244" i="115"/>
  <c r="A244" i="115"/>
  <c r="K243" i="115"/>
  <c r="I243" i="115"/>
  <c r="H243" i="115"/>
  <c r="G243" i="115"/>
  <c r="F243" i="115"/>
  <c r="E243" i="115"/>
  <c r="A243" i="115"/>
  <c r="K242" i="115"/>
  <c r="I242" i="115"/>
  <c r="H242" i="115"/>
  <c r="G242" i="115"/>
  <c r="F242" i="115"/>
  <c r="E242" i="115"/>
  <c r="A242" i="115"/>
  <c r="K241" i="115"/>
  <c r="I241" i="115"/>
  <c r="H241" i="115"/>
  <c r="G241" i="115"/>
  <c r="F241" i="115"/>
  <c r="E241" i="115"/>
  <c r="A241" i="115"/>
  <c r="K240" i="115"/>
  <c r="I240" i="115"/>
  <c r="H240" i="115"/>
  <c r="G240" i="115"/>
  <c r="F240" i="115"/>
  <c r="E240" i="115"/>
  <c r="A240" i="115"/>
  <c r="K239" i="115"/>
  <c r="I239" i="115"/>
  <c r="H239" i="115"/>
  <c r="G239" i="115"/>
  <c r="F239" i="115"/>
  <c r="E239" i="115"/>
  <c r="A239" i="115"/>
  <c r="K238" i="115"/>
  <c r="I238" i="115"/>
  <c r="H238" i="115"/>
  <c r="G238" i="115"/>
  <c r="F238" i="115"/>
  <c r="E238" i="115"/>
  <c r="A238" i="115"/>
  <c r="K237" i="115"/>
  <c r="I237" i="115"/>
  <c r="H237" i="115"/>
  <c r="G237" i="115"/>
  <c r="F237" i="115"/>
  <c r="E237" i="115"/>
  <c r="A237" i="115"/>
  <c r="K236" i="115"/>
  <c r="I236" i="115"/>
  <c r="H236" i="115"/>
  <c r="G236" i="115"/>
  <c r="F236" i="115"/>
  <c r="E236" i="115"/>
  <c r="A236" i="115"/>
  <c r="K235" i="115"/>
  <c r="I235" i="115"/>
  <c r="H235" i="115"/>
  <c r="G235" i="115"/>
  <c r="F235" i="115"/>
  <c r="E235" i="115"/>
  <c r="A235" i="115"/>
  <c r="K234" i="115"/>
  <c r="I234" i="115"/>
  <c r="H234" i="115"/>
  <c r="G234" i="115"/>
  <c r="F234" i="115"/>
  <c r="E234" i="115"/>
  <c r="A234" i="115"/>
  <c r="K233" i="115"/>
  <c r="I233" i="115"/>
  <c r="H233" i="115"/>
  <c r="G233" i="115"/>
  <c r="F233" i="115"/>
  <c r="E233" i="115"/>
  <c r="A233" i="115"/>
  <c r="K232" i="115"/>
  <c r="I232" i="115"/>
  <c r="H232" i="115"/>
  <c r="G232" i="115"/>
  <c r="F232" i="115"/>
  <c r="E232" i="115"/>
  <c r="A232" i="115"/>
  <c r="K231" i="115"/>
  <c r="I231" i="115"/>
  <c r="H231" i="115"/>
  <c r="G231" i="115"/>
  <c r="F231" i="115"/>
  <c r="E231" i="115"/>
  <c r="A231" i="115"/>
  <c r="K230" i="115"/>
  <c r="I230" i="115"/>
  <c r="H230" i="115"/>
  <c r="G230" i="115"/>
  <c r="F230" i="115"/>
  <c r="E230" i="115"/>
  <c r="A230" i="115"/>
  <c r="K229" i="115"/>
  <c r="I229" i="115"/>
  <c r="H229" i="115"/>
  <c r="G229" i="115"/>
  <c r="F229" i="115"/>
  <c r="E229" i="115"/>
  <c r="A229" i="115"/>
  <c r="K228" i="115"/>
  <c r="I228" i="115"/>
  <c r="H228" i="115"/>
  <c r="G228" i="115"/>
  <c r="F228" i="115"/>
  <c r="E228" i="115"/>
  <c r="A228" i="115"/>
  <c r="K227" i="115"/>
  <c r="I227" i="115"/>
  <c r="H227" i="115"/>
  <c r="G227" i="115"/>
  <c r="F227" i="115"/>
  <c r="E227" i="115"/>
  <c r="A227" i="115"/>
  <c r="K226" i="115"/>
  <c r="I226" i="115"/>
  <c r="H226" i="115"/>
  <c r="G226" i="115"/>
  <c r="F226" i="115"/>
  <c r="E226" i="115"/>
  <c r="A226" i="115"/>
  <c r="K225" i="115"/>
  <c r="I225" i="115"/>
  <c r="H225" i="115"/>
  <c r="G225" i="115"/>
  <c r="F225" i="115"/>
  <c r="E225" i="115"/>
  <c r="A225" i="115"/>
  <c r="K224" i="115"/>
  <c r="I224" i="115"/>
  <c r="H224" i="115"/>
  <c r="G224" i="115"/>
  <c r="F224" i="115"/>
  <c r="E224" i="115"/>
  <c r="A224" i="115"/>
  <c r="K223" i="115"/>
  <c r="I223" i="115"/>
  <c r="H223" i="115"/>
  <c r="G223" i="115"/>
  <c r="F223" i="115"/>
  <c r="E223" i="115"/>
  <c r="A223" i="115"/>
  <c r="K222" i="115"/>
  <c r="I222" i="115"/>
  <c r="H222" i="115"/>
  <c r="G222" i="115"/>
  <c r="F222" i="115"/>
  <c r="E222" i="115"/>
  <c r="A222" i="115"/>
  <c r="K221" i="115"/>
  <c r="I221" i="115"/>
  <c r="H221" i="115"/>
  <c r="G221" i="115"/>
  <c r="F221" i="115"/>
  <c r="E221" i="115"/>
  <c r="A221" i="115"/>
  <c r="K220" i="115"/>
  <c r="I220" i="115"/>
  <c r="H220" i="115"/>
  <c r="G220" i="115"/>
  <c r="F220" i="115"/>
  <c r="E220" i="115"/>
  <c r="A220" i="115"/>
  <c r="K219" i="115"/>
  <c r="I219" i="115"/>
  <c r="H219" i="115"/>
  <c r="G219" i="115"/>
  <c r="F219" i="115"/>
  <c r="E219" i="115"/>
  <c r="A219" i="115"/>
  <c r="K218" i="115"/>
  <c r="I218" i="115"/>
  <c r="H218" i="115"/>
  <c r="G218" i="115"/>
  <c r="F218" i="115"/>
  <c r="E218" i="115"/>
  <c r="A218" i="115"/>
  <c r="K217" i="115"/>
  <c r="I217" i="115"/>
  <c r="H217" i="115"/>
  <c r="G217" i="115"/>
  <c r="F217" i="115"/>
  <c r="E217" i="115"/>
  <c r="A217" i="115"/>
  <c r="K216" i="115"/>
  <c r="I216" i="115"/>
  <c r="H216" i="115"/>
  <c r="G216" i="115"/>
  <c r="F216" i="115"/>
  <c r="E216" i="115"/>
  <c r="A216" i="115"/>
  <c r="K215" i="115"/>
  <c r="I215" i="115"/>
  <c r="H215" i="115"/>
  <c r="G215" i="115"/>
  <c r="F215" i="115"/>
  <c r="E215" i="115"/>
  <c r="A215" i="115"/>
  <c r="K214" i="115"/>
  <c r="I214" i="115"/>
  <c r="H214" i="115"/>
  <c r="G214" i="115"/>
  <c r="F214" i="115"/>
  <c r="E214" i="115"/>
  <c r="A214" i="115"/>
  <c r="K213" i="115"/>
  <c r="I213" i="115"/>
  <c r="H213" i="115"/>
  <c r="G213" i="115"/>
  <c r="F213" i="115"/>
  <c r="E213" i="115"/>
  <c r="A213" i="115"/>
  <c r="K212" i="115"/>
  <c r="I212" i="115"/>
  <c r="H212" i="115"/>
  <c r="G212" i="115"/>
  <c r="F212" i="115"/>
  <c r="E212" i="115"/>
  <c r="A212" i="115"/>
  <c r="K211" i="115"/>
  <c r="I211" i="115"/>
  <c r="H211" i="115"/>
  <c r="G211" i="115"/>
  <c r="F211" i="115"/>
  <c r="E211" i="115"/>
  <c r="A211" i="115"/>
  <c r="K210" i="115"/>
  <c r="I210" i="115"/>
  <c r="H210" i="115"/>
  <c r="G210" i="115"/>
  <c r="F210" i="115"/>
  <c r="E210" i="115"/>
  <c r="A210" i="115"/>
  <c r="K209" i="115"/>
  <c r="I209" i="115"/>
  <c r="H209" i="115"/>
  <c r="G209" i="115"/>
  <c r="F209" i="115"/>
  <c r="E209" i="115"/>
  <c r="A209" i="115"/>
  <c r="K208" i="115"/>
  <c r="I208" i="115"/>
  <c r="H208" i="115"/>
  <c r="G208" i="115"/>
  <c r="F208" i="115"/>
  <c r="E208" i="115"/>
  <c r="A208" i="115"/>
  <c r="K207" i="115"/>
  <c r="I207" i="115"/>
  <c r="H207" i="115"/>
  <c r="G207" i="115"/>
  <c r="F207" i="115"/>
  <c r="E207" i="115"/>
  <c r="A207" i="115"/>
  <c r="K206" i="115"/>
  <c r="I206" i="115"/>
  <c r="H206" i="115"/>
  <c r="G206" i="115"/>
  <c r="F206" i="115"/>
  <c r="E206" i="115"/>
  <c r="A206" i="115"/>
  <c r="K205" i="115"/>
  <c r="I205" i="115"/>
  <c r="H205" i="115"/>
  <c r="G205" i="115"/>
  <c r="F205" i="115"/>
  <c r="E205" i="115"/>
  <c r="A205" i="115"/>
  <c r="K204" i="115"/>
  <c r="I204" i="115"/>
  <c r="H204" i="115"/>
  <c r="G204" i="115"/>
  <c r="F204" i="115"/>
  <c r="E204" i="115"/>
  <c r="A204" i="115"/>
  <c r="K203" i="115"/>
  <c r="I203" i="115"/>
  <c r="H203" i="115"/>
  <c r="G203" i="115"/>
  <c r="F203" i="115"/>
  <c r="E203" i="115"/>
  <c r="A203" i="115"/>
  <c r="K202" i="115"/>
  <c r="I202" i="115"/>
  <c r="H202" i="115"/>
  <c r="G202" i="115"/>
  <c r="F202" i="115"/>
  <c r="E202" i="115"/>
  <c r="A202" i="115"/>
  <c r="K201" i="115"/>
  <c r="I201" i="115"/>
  <c r="H201" i="115"/>
  <c r="G201" i="115"/>
  <c r="F201" i="115"/>
  <c r="E201" i="115"/>
  <c r="A201" i="115"/>
  <c r="K200" i="115"/>
  <c r="I200" i="115"/>
  <c r="H200" i="115"/>
  <c r="G200" i="115"/>
  <c r="F200" i="115"/>
  <c r="E200" i="115"/>
  <c r="A200" i="115"/>
  <c r="K199" i="115"/>
  <c r="I199" i="115"/>
  <c r="H199" i="115"/>
  <c r="G199" i="115"/>
  <c r="F199" i="115"/>
  <c r="E199" i="115"/>
  <c r="A199" i="115"/>
  <c r="K198" i="115"/>
  <c r="I198" i="115"/>
  <c r="H198" i="115"/>
  <c r="G198" i="115"/>
  <c r="F198" i="115"/>
  <c r="E198" i="115"/>
  <c r="A198" i="115"/>
  <c r="K197" i="115"/>
  <c r="I197" i="115"/>
  <c r="H197" i="115"/>
  <c r="G197" i="115"/>
  <c r="F197" i="115"/>
  <c r="E197" i="115"/>
  <c r="A197" i="115"/>
  <c r="K196" i="115"/>
  <c r="I196" i="115"/>
  <c r="H196" i="115"/>
  <c r="G196" i="115"/>
  <c r="F196" i="115"/>
  <c r="E196" i="115"/>
  <c r="A196" i="115"/>
  <c r="K195" i="115"/>
  <c r="I195" i="115"/>
  <c r="H195" i="115"/>
  <c r="G195" i="115"/>
  <c r="F195" i="115"/>
  <c r="E195" i="115"/>
  <c r="A195" i="115"/>
  <c r="K194" i="115"/>
  <c r="I194" i="115"/>
  <c r="H194" i="115"/>
  <c r="G194" i="115"/>
  <c r="F194" i="115"/>
  <c r="E194" i="115"/>
  <c r="A194" i="115"/>
  <c r="K193" i="115"/>
  <c r="I193" i="115"/>
  <c r="H193" i="115"/>
  <c r="G193" i="115"/>
  <c r="F193" i="115"/>
  <c r="E193" i="115"/>
  <c r="A193" i="115"/>
  <c r="K192" i="115"/>
  <c r="I192" i="115"/>
  <c r="H192" i="115"/>
  <c r="G192" i="115"/>
  <c r="F192" i="115"/>
  <c r="E192" i="115"/>
  <c r="A192" i="115"/>
  <c r="K191" i="115"/>
  <c r="I191" i="115"/>
  <c r="H191" i="115"/>
  <c r="G191" i="115"/>
  <c r="F191" i="115"/>
  <c r="E191" i="115"/>
  <c r="A191" i="115"/>
  <c r="K190" i="115"/>
  <c r="I190" i="115"/>
  <c r="H190" i="115"/>
  <c r="G190" i="115"/>
  <c r="F190" i="115"/>
  <c r="E190" i="115"/>
  <c r="A190" i="115"/>
  <c r="K189" i="115"/>
  <c r="I189" i="115"/>
  <c r="H189" i="115"/>
  <c r="G189" i="115"/>
  <c r="F189" i="115"/>
  <c r="E189" i="115"/>
  <c r="A189" i="115"/>
  <c r="K188" i="115"/>
  <c r="I188" i="115"/>
  <c r="H188" i="115"/>
  <c r="G188" i="115"/>
  <c r="F188" i="115"/>
  <c r="E188" i="115"/>
  <c r="A188" i="115"/>
  <c r="K187" i="115"/>
  <c r="I187" i="115"/>
  <c r="H187" i="115"/>
  <c r="G187" i="115"/>
  <c r="F187" i="115"/>
  <c r="E187" i="115"/>
  <c r="A187" i="115"/>
  <c r="K186" i="115"/>
  <c r="I186" i="115"/>
  <c r="H186" i="115"/>
  <c r="G186" i="115"/>
  <c r="F186" i="115"/>
  <c r="E186" i="115"/>
  <c r="A186" i="115"/>
  <c r="K185" i="115"/>
  <c r="I185" i="115"/>
  <c r="H185" i="115"/>
  <c r="G185" i="115"/>
  <c r="F185" i="115"/>
  <c r="E185" i="115"/>
  <c r="A185" i="115"/>
  <c r="K184" i="115"/>
  <c r="I184" i="115"/>
  <c r="H184" i="115"/>
  <c r="G184" i="115"/>
  <c r="F184" i="115"/>
  <c r="E184" i="115"/>
  <c r="A184" i="115"/>
  <c r="K183" i="115"/>
  <c r="I183" i="115"/>
  <c r="H183" i="115"/>
  <c r="G183" i="115"/>
  <c r="F183" i="115"/>
  <c r="E183" i="115"/>
  <c r="A183" i="115"/>
  <c r="K182" i="115"/>
  <c r="I182" i="115"/>
  <c r="H182" i="115"/>
  <c r="G182" i="115"/>
  <c r="F182" i="115"/>
  <c r="E182" i="115"/>
  <c r="A182" i="115"/>
  <c r="K181" i="115"/>
  <c r="I181" i="115"/>
  <c r="H181" i="115"/>
  <c r="G181" i="115"/>
  <c r="F181" i="115"/>
  <c r="E181" i="115"/>
  <c r="A181" i="115"/>
  <c r="K180" i="115"/>
  <c r="I180" i="115"/>
  <c r="H180" i="115"/>
  <c r="G180" i="115"/>
  <c r="F180" i="115"/>
  <c r="E180" i="115"/>
  <c r="A180" i="115"/>
  <c r="K179" i="115"/>
  <c r="I179" i="115"/>
  <c r="H179" i="115"/>
  <c r="G179" i="115"/>
  <c r="F179" i="115"/>
  <c r="E179" i="115"/>
  <c r="A179" i="115"/>
  <c r="K178" i="115"/>
  <c r="I178" i="115"/>
  <c r="H178" i="115"/>
  <c r="G178" i="115"/>
  <c r="F178" i="115"/>
  <c r="E178" i="115"/>
  <c r="A178" i="115"/>
  <c r="K177" i="115"/>
  <c r="I177" i="115"/>
  <c r="H177" i="115"/>
  <c r="G177" i="115"/>
  <c r="F177" i="115"/>
  <c r="E177" i="115"/>
  <c r="A177" i="115"/>
  <c r="K176" i="115"/>
  <c r="I176" i="115"/>
  <c r="H176" i="115"/>
  <c r="G176" i="115"/>
  <c r="F176" i="115"/>
  <c r="E176" i="115"/>
  <c r="A176" i="115"/>
  <c r="K175" i="115"/>
  <c r="I175" i="115"/>
  <c r="H175" i="115"/>
  <c r="G175" i="115"/>
  <c r="F175" i="115"/>
  <c r="E175" i="115"/>
  <c r="A175" i="115"/>
  <c r="K174" i="115"/>
  <c r="I174" i="115"/>
  <c r="H174" i="115"/>
  <c r="G174" i="115"/>
  <c r="F174" i="115"/>
  <c r="E174" i="115"/>
  <c r="A174" i="115"/>
  <c r="K173" i="115"/>
  <c r="I173" i="115"/>
  <c r="H173" i="115"/>
  <c r="G173" i="115"/>
  <c r="F173" i="115"/>
  <c r="E173" i="115"/>
  <c r="A173" i="115"/>
  <c r="K172" i="115"/>
  <c r="I172" i="115"/>
  <c r="H172" i="115"/>
  <c r="G172" i="115"/>
  <c r="F172" i="115"/>
  <c r="E172" i="115"/>
  <c r="A172" i="115"/>
  <c r="K171" i="115"/>
  <c r="I171" i="115"/>
  <c r="H171" i="115"/>
  <c r="G171" i="115"/>
  <c r="F171" i="115"/>
  <c r="E171" i="115"/>
  <c r="A171" i="115"/>
  <c r="K170" i="115"/>
  <c r="I170" i="115"/>
  <c r="H170" i="115"/>
  <c r="G170" i="115"/>
  <c r="F170" i="115"/>
  <c r="E170" i="115"/>
  <c r="A170" i="115"/>
  <c r="K169" i="115"/>
  <c r="I169" i="115"/>
  <c r="H169" i="115"/>
  <c r="G169" i="115"/>
  <c r="F169" i="115"/>
  <c r="E169" i="115"/>
  <c r="A169" i="115"/>
  <c r="K168" i="115"/>
  <c r="I168" i="115"/>
  <c r="H168" i="115"/>
  <c r="G168" i="115"/>
  <c r="F168" i="115"/>
  <c r="E168" i="115"/>
  <c r="A168" i="115"/>
  <c r="K167" i="115"/>
  <c r="I167" i="115"/>
  <c r="H167" i="115"/>
  <c r="G167" i="115"/>
  <c r="F167" i="115"/>
  <c r="E167" i="115"/>
  <c r="A167" i="115"/>
  <c r="K166" i="115"/>
  <c r="I166" i="115"/>
  <c r="H166" i="115"/>
  <c r="G166" i="115"/>
  <c r="F166" i="115"/>
  <c r="E166" i="115"/>
  <c r="A166" i="115"/>
  <c r="K165" i="115"/>
  <c r="I165" i="115"/>
  <c r="H165" i="115"/>
  <c r="G165" i="115"/>
  <c r="F165" i="115"/>
  <c r="E165" i="115"/>
  <c r="A165" i="115"/>
  <c r="K164" i="115"/>
  <c r="I164" i="115"/>
  <c r="H164" i="115"/>
  <c r="G164" i="115"/>
  <c r="F164" i="115"/>
  <c r="E164" i="115"/>
  <c r="A164" i="115"/>
  <c r="K163" i="115"/>
  <c r="I163" i="115"/>
  <c r="H163" i="115"/>
  <c r="G163" i="115"/>
  <c r="F163" i="115"/>
  <c r="E163" i="115"/>
  <c r="A163" i="115"/>
  <c r="K162" i="115"/>
  <c r="I162" i="115"/>
  <c r="H162" i="115"/>
  <c r="G162" i="115"/>
  <c r="F162" i="115"/>
  <c r="E162" i="115"/>
  <c r="A162" i="115"/>
  <c r="K161" i="115"/>
  <c r="I161" i="115"/>
  <c r="H161" i="115"/>
  <c r="G161" i="115"/>
  <c r="F161" i="115"/>
  <c r="E161" i="115"/>
  <c r="A161" i="115"/>
  <c r="K160" i="115"/>
  <c r="I160" i="115"/>
  <c r="H160" i="115"/>
  <c r="G160" i="115"/>
  <c r="F160" i="115"/>
  <c r="E160" i="115"/>
  <c r="A160" i="115"/>
  <c r="K159" i="115"/>
  <c r="I159" i="115"/>
  <c r="H159" i="115"/>
  <c r="G159" i="115"/>
  <c r="F159" i="115"/>
  <c r="E159" i="115"/>
  <c r="A159" i="115"/>
  <c r="K158" i="115"/>
  <c r="I158" i="115"/>
  <c r="H158" i="115"/>
  <c r="G158" i="115"/>
  <c r="F158" i="115"/>
  <c r="E158" i="115"/>
  <c r="A158" i="115"/>
  <c r="K157" i="115"/>
  <c r="I157" i="115"/>
  <c r="H157" i="115"/>
  <c r="G157" i="115"/>
  <c r="F157" i="115"/>
  <c r="E157" i="115"/>
  <c r="A157" i="115"/>
  <c r="K156" i="115"/>
  <c r="I156" i="115"/>
  <c r="H156" i="115"/>
  <c r="G156" i="115"/>
  <c r="F156" i="115"/>
  <c r="E156" i="115"/>
  <c r="A156" i="115"/>
  <c r="K155" i="115"/>
  <c r="I155" i="115"/>
  <c r="H155" i="115"/>
  <c r="G155" i="115"/>
  <c r="F155" i="115"/>
  <c r="E155" i="115"/>
  <c r="A155" i="115"/>
  <c r="K154" i="115"/>
  <c r="I154" i="115"/>
  <c r="H154" i="115"/>
  <c r="G154" i="115"/>
  <c r="F154" i="115"/>
  <c r="E154" i="115"/>
  <c r="A154" i="115"/>
  <c r="K153" i="115"/>
  <c r="I153" i="115"/>
  <c r="H153" i="115"/>
  <c r="G153" i="115"/>
  <c r="F153" i="115"/>
  <c r="E153" i="115"/>
  <c r="A153" i="115"/>
  <c r="K152" i="115"/>
  <c r="I152" i="115"/>
  <c r="H152" i="115"/>
  <c r="G152" i="115"/>
  <c r="F152" i="115"/>
  <c r="E152" i="115"/>
  <c r="A152" i="115"/>
  <c r="K151" i="115"/>
  <c r="I151" i="115"/>
  <c r="H151" i="115"/>
  <c r="G151" i="115"/>
  <c r="F151" i="115"/>
  <c r="E151" i="115"/>
  <c r="A151" i="115"/>
  <c r="K150" i="115"/>
  <c r="I150" i="115"/>
  <c r="H150" i="115"/>
  <c r="G150" i="115"/>
  <c r="F150" i="115"/>
  <c r="E150" i="115"/>
  <c r="A150" i="115"/>
  <c r="K149" i="115"/>
  <c r="I149" i="115"/>
  <c r="H149" i="115"/>
  <c r="G149" i="115"/>
  <c r="F149" i="115"/>
  <c r="E149" i="115"/>
  <c r="A149" i="115"/>
  <c r="K148" i="115"/>
  <c r="I148" i="115"/>
  <c r="H148" i="115"/>
  <c r="G148" i="115"/>
  <c r="F148" i="115"/>
  <c r="E148" i="115"/>
  <c r="A148" i="115"/>
  <c r="K147" i="115"/>
  <c r="I147" i="115"/>
  <c r="H147" i="115"/>
  <c r="G147" i="115"/>
  <c r="F147" i="115"/>
  <c r="E147" i="115"/>
  <c r="A147" i="115"/>
  <c r="K146" i="115"/>
  <c r="I146" i="115"/>
  <c r="H146" i="115"/>
  <c r="G146" i="115"/>
  <c r="F146" i="115"/>
  <c r="E146" i="115"/>
  <c r="A146" i="115"/>
  <c r="K145" i="115"/>
  <c r="I145" i="115"/>
  <c r="H145" i="115"/>
  <c r="G145" i="115"/>
  <c r="F145" i="115"/>
  <c r="E145" i="115"/>
  <c r="A145" i="115"/>
  <c r="K144" i="115"/>
  <c r="I144" i="115"/>
  <c r="H144" i="115"/>
  <c r="G144" i="115"/>
  <c r="F144" i="115"/>
  <c r="E144" i="115"/>
  <c r="A144" i="115"/>
  <c r="K143" i="115"/>
  <c r="I143" i="115"/>
  <c r="H143" i="115"/>
  <c r="G143" i="115"/>
  <c r="F143" i="115"/>
  <c r="E143" i="115"/>
  <c r="A143" i="115"/>
  <c r="K142" i="115"/>
  <c r="I142" i="115"/>
  <c r="H142" i="115"/>
  <c r="G142" i="115"/>
  <c r="F142" i="115"/>
  <c r="E142" i="115"/>
  <c r="A142" i="115"/>
  <c r="K141" i="115"/>
  <c r="I141" i="115"/>
  <c r="H141" i="115"/>
  <c r="G141" i="115"/>
  <c r="F141" i="115"/>
  <c r="E141" i="115"/>
  <c r="A141" i="115"/>
  <c r="K140" i="115"/>
  <c r="I140" i="115"/>
  <c r="H140" i="115"/>
  <c r="G140" i="115"/>
  <c r="F140" i="115"/>
  <c r="E140" i="115"/>
  <c r="A140" i="115"/>
  <c r="K139" i="115"/>
  <c r="I139" i="115"/>
  <c r="H139" i="115"/>
  <c r="G139" i="115"/>
  <c r="F139" i="115"/>
  <c r="E139" i="115"/>
  <c r="A139" i="115"/>
  <c r="K138" i="115"/>
  <c r="I138" i="115"/>
  <c r="H138" i="115"/>
  <c r="G138" i="115"/>
  <c r="F138" i="115"/>
  <c r="E138" i="115"/>
  <c r="A138" i="115"/>
  <c r="K137" i="115"/>
  <c r="I137" i="115"/>
  <c r="H137" i="115"/>
  <c r="G137" i="115"/>
  <c r="F137" i="115"/>
  <c r="E137" i="115"/>
  <c r="A137" i="115"/>
  <c r="K136" i="115"/>
  <c r="I136" i="115"/>
  <c r="H136" i="115"/>
  <c r="G136" i="115"/>
  <c r="F136" i="115"/>
  <c r="E136" i="115"/>
  <c r="A136" i="115"/>
  <c r="K135" i="115"/>
  <c r="I135" i="115"/>
  <c r="H135" i="115"/>
  <c r="G135" i="115"/>
  <c r="F135" i="115"/>
  <c r="E135" i="115"/>
  <c r="A135" i="115"/>
  <c r="K134" i="115"/>
  <c r="I134" i="115"/>
  <c r="H134" i="115"/>
  <c r="G134" i="115"/>
  <c r="F134" i="115"/>
  <c r="E134" i="115"/>
  <c r="A134" i="115"/>
  <c r="K133" i="115"/>
  <c r="I133" i="115"/>
  <c r="H133" i="115"/>
  <c r="G133" i="115"/>
  <c r="F133" i="115"/>
  <c r="E133" i="115"/>
  <c r="A133" i="115"/>
  <c r="K132" i="115"/>
  <c r="I132" i="115"/>
  <c r="H132" i="115"/>
  <c r="G132" i="115"/>
  <c r="F132" i="115"/>
  <c r="E132" i="115"/>
  <c r="A132" i="115"/>
  <c r="K131" i="115"/>
  <c r="I131" i="115"/>
  <c r="H131" i="115"/>
  <c r="G131" i="115"/>
  <c r="F131" i="115"/>
  <c r="E131" i="115"/>
  <c r="A131" i="115"/>
  <c r="K130" i="115"/>
  <c r="I130" i="115"/>
  <c r="H130" i="115"/>
  <c r="G130" i="115"/>
  <c r="F130" i="115"/>
  <c r="E130" i="115"/>
  <c r="A130" i="115"/>
  <c r="K129" i="115"/>
  <c r="I129" i="115"/>
  <c r="H129" i="115"/>
  <c r="G129" i="115"/>
  <c r="F129" i="115"/>
  <c r="E129" i="115"/>
  <c r="A129" i="115"/>
  <c r="K128" i="115"/>
  <c r="I128" i="115"/>
  <c r="H128" i="115"/>
  <c r="G128" i="115"/>
  <c r="F128" i="115"/>
  <c r="E128" i="115"/>
  <c r="A128" i="115"/>
  <c r="K127" i="115"/>
  <c r="I127" i="115"/>
  <c r="H127" i="115"/>
  <c r="G127" i="115"/>
  <c r="F127" i="115"/>
  <c r="E127" i="115"/>
  <c r="A127" i="115"/>
  <c r="K126" i="115"/>
  <c r="I126" i="115"/>
  <c r="H126" i="115"/>
  <c r="G126" i="115"/>
  <c r="F126" i="115"/>
  <c r="E126" i="115"/>
  <c r="A126" i="115"/>
  <c r="K125" i="115"/>
  <c r="I125" i="115"/>
  <c r="H125" i="115"/>
  <c r="G125" i="115"/>
  <c r="F125" i="115"/>
  <c r="E125" i="115"/>
  <c r="A125" i="115"/>
  <c r="K124" i="115"/>
  <c r="I124" i="115"/>
  <c r="H124" i="115"/>
  <c r="G124" i="115"/>
  <c r="F124" i="115"/>
  <c r="E124" i="115"/>
  <c r="A124" i="115"/>
  <c r="K123" i="115"/>
  <c r="I123" i="115"/>
  <c r="H123" i="115"/>
  <c r="G123" i="115"/>
  <c r="F123" i="115"/>
  <c r="E123" i="115"/>
  <c r="A123" i="115"/>
  <c r="K122" i="115"/>
  <c r="I122" i="115"/>
  <c r="H122" i="115"/>
  <c r="G122" i="115"/>
  <c r="F122" i="115"/>
  <c r="E122" i="115"/>
  <c r="A122" i="115"/>
  <c r="K121" i="115"/>
  <c r="I121" i="115"/>
  <c r="H121" i="115"/>
  <c r="G121" i="115"/>
  <c r="F121" i="115"/>
  <c r="E121" i="115"/>
  <c r="A121" i="115"/>
  <c r="K120" i="115"/>
  <c r="I120" i="115"/>
  <c r="H120" i="115"/>
  <c r="G120" i="115"/>
  <c r="F120" i="115"/>
  <c r="E120" i="115"/>
  <c r="A120" i="115"/>
  <c r="K119" i="115"/>
  <c r="I119" i="115"/>
  <c r="H119" i="115"/>
  <c r="G119" i="115"/>
  <c r="F119" i="115"/>
  <c r="E119" i="115"/>
  <c r="A119" i="115"/>
  <c r="K118" i="115"/>
  <c r="I118" i="115"/>
  <c r="H118" i="115"/>
  <c r="G118" i="115"/>
  <c r="F118" i="115"/>
  <c r="E118" i="115"/>
  <c r="A118" i="115"/>
  <c r="K117" i="115"/>
  <c r="I117" i="115"/>
  <c r="H117" i="115"/>
  <c r="G117" i="115"/>
  <c r="F117" i="115"/>
  <c r="E117" i="115"/>
  <c r="A117" i="115"/>
  <c r="K116" i="115"/>
  <c r="I116" i="115"/>
  <c r="H116" i="115"/>
  <c r="G116" i="115"/>
  <c r="F116" i="115"/>
  <c r="E116" i="115"/>
  <c r="A116" i="115"/>
  <c r="K115" i="115"/>
  <c r="I115" i="115"/>
  <c r="H115" i="115"/>
  <c r="G115" i="115"/>
  <c r="F115" i="115"/>
  <c r="E115" i="115"/>
  <c r="A115" i="115"/>
  <c r="K114" i="115"/>
  <c r="I114" i="115"/>
  <c r="H114" i="115"/>
  <c r="G114" i="115"/>
  <c r="F114" i="115"/>
  <c r="E114" i="115"/>
  <c r="A114" i="115"/>
  <c r="K113" i="115"/>
  <c r="I113" i="115"/>
  <c r="H113" i="115"/>
  <c r="G113" i="115"/>
  <c r="F113" i="115"/>
  <c r="E113" i="115"/>
  <c r="A113" i="115"/>
  <c r="K112" i="115"/>
  <c r="I112" i="115"/>
  <c r="H112" i="115"/>
  <c r="G112" i="115"/>
  <c r="F112" i="115"/>
  <c r="E112" i="115"/>
  <c r="A112" i="115"/>
  <c r="K111" i="115"/>
  <c r="I111" i="115"/>
  <c r="H111" i="115"/>
  <c r="G111" i="115"/>
  <c r="F111" i="115"/>
  <c r="E111" i="115"/>
  <c r="A111" i="115"/>
  <c r="K110" i="115"/>
  <c r="I110" i="115"/>
  <c r="H110" i="115"/>
  <c r="G110" i="115"/>
  <c r="F110" i="115"/>
  <c r="E110" i="115"/>
  <c r="A110" i="115"/>
  <c r="K109" i="115"/>
  <c r="I109" i="115"/>
  <c r="H109" i="115"/>
  <c r="G109" i="115"/>
  <c r="F109" i="115"/>
  <c r="E109" i="115"/>
  <c r="A109" i="115"/>
  <c r="K108" i="115"/>
  <c r="I108" i="115"/>
  <c r="H108" i="115"/>
  <c r="G108" i="115"/>
  <c r="F108" i="115"/>
  <c r="E108" i="115"/>
  <c r="A108" i="115"/>
  <c r="K107" i="115"/>
  <c r="I107" i="115"/>
  <c r="H107" i="115"/>
  <c r="G107" i="115"/>
  <c r="F107" i="115"/>
  <c r="E107" i="115"/>
  <c r="A107" i="115"/>
  <c r="K106" i="115"/>
  <c r="I106" i="115"/>
  <c r="H106" i="115"/>
  <c r="G106" i="115"/>
  <c r="F106" i="115"/>
  <c r="E106" i="115"/>
  <c r="A106" i="115"/>
  <c r="K105" i="115"/>
  <c r="I105" i="115"/>
  <c r="H105" i="115"/>
  <c r="G105" i="115"/>
  <c r="F105" i="115"/>
  <c r="E105" i="115"/>
  <c r="A105" i="115"/>
  <c r="K104" i="115"/>
  <c r="I104" i="115"/>
  <c r="H104" i="115"/>
  <c r="G104" i="115"/>
  <c r="F104" i="115"/>
  <c r="E104" i="115"/>
  <c r="A104" i="115"/>
  <c r="K103" i="115"/>
  <c r="I103" i="115"/>
  <c r="H103" i="115"/>
  <c r="G103" i="115"/>
  <c r="F103" i="115"/>
  <c r="E103" i="115"/>
  <c r="A103" i="115"/>
  <c r="K102" i="115"/>
  <c r="I102" i="115"/>
  <c r="H102" i="115"/>
  <c r="G102" i="115"/>
  <c r="F102" i="115"/>
  <c r="E102" i="115"/>
  <c r="A102" i="115"/>
  <c r="K101" i="115"/>
  <c r="I101" i="115"/>
  <c r="H101" i="115"/>
  <c r="G101" i="115"/>
  <c r="F101" i="115"/>
  <c r="E101" i="115"/>
  <c r="A101" i="115"/>
  <c r="K100" i="115"/>
  <c r="I100" i="115"/>
  <c r="H100" i="115"/>
  <c r="G100" i="115"/>
  <c r="F100" i="115"/>
  <c r="E100" i="115"/>
  <c r="A100" i="115"/>
  <c r="K99" i="115"/>
  <c r="I99" i="115"/>
  <c r="H99" i="115"/>
  <c r="G99" i="115"/>
  <c r="F99" i="115"/>
  <c r="E99" i="115"/>
  <c r="A99" i="115"/>
  <c r="K98" i="115"/>
  <c r="I98" i="115"/>
  <c r="H98" i="115"/>
  <c r="G98" i="115"/>
  <c r="F98" i="115"/>
  <c r="E98" i="115"/>
  <c r="A98" i="115"/>
  <c r="K97" i="115"/>
  <c r="I97" i="115"/>
  <c r="H97" i="115"/>
  <c r="G97" i="115"/>
  <c r="F97" i="115"/>
  <c r="E97" i="115"/>
  <c r="A97" i="115"/>
  <c r="K96" i="115"/>
  <c r="I96" i="115"/>
  <c r="H96" i="115"/>
  <c r="G96" i="115"/>
  <c r="F96" i="115"/>
  <c r="E96" i="115"/>
  <c r="A96" i="115"/>
  <c r="K95" i="115"/>
  <c r="I95" i="115"/>
  <c r="H95" i="115"/>
  <c r="G95" i="115"/>
  <c r="F95" i="115"/>
  <c r="E95" i="115"/>
  <c r="A95" i="115"/>
  <c r="K94" i="115"/>
  <c r="I94" i="115"/>
  <c r="H94" i="115"/>
  <c r="G94" i="115"/>
  <c r="F94" i="115"/>
  <c r="E94" i="115"/>
  <c r="A94" i="115"/>
  <c r="K93" i="115"/>
  <c r="I93" i="115"/>
  <c r="H93" i="115"/>
  <c r="G93" i="115"/>
  <c r="F93" i="115"/>
  <c r="E93" i="115"/>
  <c r="A93" i="115"/>
  <c r="K92" i="115"/>
  <c r="I92" i="115"/>
  <c r="H92" i="115"/>
  <c r="G92" i="115"/>
  <c r="F92" i="115"/>
  <c r="E92" i="115"/>
  <c r="A92" i="115"/>
  <c r="K91" i="115"/>
  <c r="I91" i="115"/>
  <c r="H91" i="115"/>
  <c r="G91" i="115"/>
  <c r="F91" i="115"/>
  <c r="E91" i="115"/>
  <c r="A91" i="115"/>
  <c r="K90" i="115"/>
  <c r="I90" i="115"/>
  <c r="H90" i="115"/>
  <c r="G90" i="115"/>
  <c r="F90" i="115"/>
  <c r="E90" i="115"/>
  <c r="A90" i="115"/>
  <c r="K89" i="115"/>
  <c r="I89" i="115"/>
  <c r="H89" i="115"/>
  <c r="G89" i="115"/>
  <c r="F89" i="115"/>
  <c r="E89" i="115"/>
  <c r="A89" i="115"/>
  <c r="K88" i="115"/>
  <c r="I88" i="115"/>
  <c r="H88" i="115"/>
  <c r="G88" i="115"/>
  <c r="F88" i="115"/>
  <c r="E88" i="115"/>
  <c r="A88" i="115"/>
  <c r="K87" i="115"/>
  <c r="I87" i="115"/>
  <c r="H87" i="115"/>
  <c r="G87" i="115"/>
  <c r="F87" i="115"/>
  <c r="E87" i="115"/>
  <c r="A87" i="115"/>
  <c r="K86" i="115"/>
  <c r="I86" i="115"/>
  <c r="H86" i="115"/>
  <c r="G86" i="115"/>
  <c r="F86" i="115"/>
  <c r="E86" i="115"/>
  <c r="A86" i="115"/>
  <c r="K85" i="115"/>
  <c r="I85" i="115"/>
  <c r="H85" i="115"/>
  <c r="G85" i="115"/>
  <c r="F85" i="115"/>
  <c r="E85" i="115"/>
  <c r="A85" i="115"/>
  <c r="K84" i="115"/>
  <c r="I84" i="115"/>
  <c r="H84" i="115"/>
  <c r="G84" i="115"/>
  <c r="F84" i="115"/>
  <c r="E84" i="115"/>
  <c r="A84" i="115"/>
  <c r="K83" i="115"/>
  <c r="I83" i="115"/>
  <c r="H83" i="115"/>
  <c r="G83" i="115"/>
  <c r="F83" i="115"/>
  <c r="E83" i="115"/>
  <c r="A83" i="115"/>
  <c r="K82" i="115"/>
  <c r="I82" i="115"/>
  <c r="H82" i="115"/>
  <c r="G82" i="115"/>
  <c r="F82" i="115"/>
  <c r="E82" i="115"/>
  <c r="A82" i="115"/>
  <c r="K81" i="115"/>
  <c r="I81" i="115"/>
  <c r="H81" i="115"/>
  <c r="G81" i="115"/>
  <c r="F81" i="115"/>
  <c r="E81" i="115"/>
  <c r="A81" i="115"/>
  <c r="K80" i="115"/>
  <c r="I80" i="115"/>
  <c r="H80" i="115"/>
  <c r="G80" i="115"/>
  <c r="F80" i="115"/>
  <c r="E80" i="115"/>
  <c r="A80" i="115"/>
  <c r="K79" i="115"/>
  <c r="I79" i="115"/>
  <c r="H79" i="115"/>
  <c r="G79" i="115"/>
  <c r="F79" i="115"/>
  <c r="E79" i="115"/>
  <c r="A79" i="115"/>
  <c r="K78" i="115"/>
  <c r="I78" i="115"/>
  <c r="H78" i="115"/>
  <c r="G78" i="115"/>
  <c r="F78" i="115"/>
  <c r="E78" i="115"/>
  <c r="A78" i="115"/>
  <c r="K77" i="115"/>
  <c r="I77" i="115"/>
  <c r="H77" i="115"/>
  <c r="G77" i="115"/>
  <c r="F77" i="115"/>
  <c r="E77" i="115"/>
  <c r="A77" i="115"/>
  <c r="K76" i="115"/>
  <c r="I76" i="115"/>
  <c r="H76" i="115"/>
  <c r="G76" i="115"/>
  <c r="F76" i="115"/>
  <c r="E76" i="115"/>
  <c r="A76" i="115"/>
  <c r="K75" i="115"/>
  <c r="I75" i="115"/>
  <c r="H75" i="115"/>
  <c r="G75" i="115"/>
  <c r="F75" i="115"/>
  <c r="E75" i="115"/>
  <c r="A75" i="115"/>
  <c r="K74" i="115"/>
  <c r="I74" i="115"/>
  <c r="H74" i="115"/>
  <c r="G74" i="115"/>
  <c r="F74" i="115"/>
  <c r="E74" i="115"/>
  <c r="A74" i="115"/>
  <c r="K73" i="115"/>
  <c r="I73" i="115"/>
  <c r="H73" i="115"/>
  <c r="G73" i="115"/>
  <c r="F73" i="115"/>
  <c r="E73" i="115"/>
  <c r="A73" i="115"/>
  <c r="K72" i="115"/>
  <c r="I72" i="115"/>
  <c r="H72" i="115"/>
  <c r="G72" i="115"/>
  <c r="F72" i="115"/>
  <c r="E72" i="115"/>
  <c r="A72" i="115"/>
  <c r="K71" i="115"/>
  <c r="I71" i="115"/>
  <c r="H71" i="115"/>
  <c r="G71" i="115"/>
  <c r="F71" i="115"/>
  <c r="E71" i="115"/>
  <c r="A71" i="115"/>
  <c r="K70" i="115"/>
  <c r="I70" i="115"/>
  <c r="H70" i="115"/>
  <c r="G70" i="115"/>
  <c r="F70" i="115"/>
  <c r="E70" i="115"/>
  <c r="A70" i="115"/>
  <c r="K69" i="115"/>
  <c r="I69" i="115"/>
  <c r="H69" i="115"/>
  <c r="G69" i="115"/>
  <c r="F69" i="115"/>
  <c r="E69" i="115"/>
  <c r="A69" i="115"/>
  <c r="K68" i="115"/>
  <c r="I68" i="115"/>
  <c r="H68" i="115"/>
  <c r="G68" i="115"/>
  <c r="F68" i="115"/>
  <c r="E68" i="115"/>
  <c r="A68" i="115"/>
  <c r="K67" i="115"/>
  <c r="I67" i="115"/>
  <c r="H67" i="115"/>
  <c r="G67" i="115"/>
  <c r="F67" i="115"/>
  <c r="E67" i="115"/>
  <c r="A67" i="115"/>
  <c r="K66" i="115"/>
  <c r="I66" i="115"/>
  <c r="H66" i="115"/>
  <c r="G66" i="115"/>
  <c r="F66" i="115"/>
  <c r="E66" i="115"/>
  <c r="A66" i="115"/>
  <c r="K65" i="115"/>
  <c r="I65" i="115"/>
  <c r="H65" i="115"/>
  <c r="G65" i="115"/>
  <c r="F65" i="115"/>
  <c r="E65" i="115"/>
  <c r="A65" i="115"/>
  <c r="K64" i="115"/>
  <c r="I64" i="115"/>
  <c r="H64" i="115"/>
  <c r="G64" i="115"/>
  <c r="F64" i="115"/>
  <c r="E64" i="115"/>
  <c r="A64" i="115"/>
  <c r="K63" i="115"/>
  <c r="I63" i="115"/>
  <c r="H63" i="115"/>
  <c r="G63" i="115"/>
  <c r="F63" i="115"/>
  <c r="E63" i="115"/>
  <c r="A63" i="115"/>
  <c r="K62" i="115"/>
  <c r="I62" i="115"/>
  <c r="H62" i="115"/>
  <c r="G62" i="115"/>
  <c r="F62" i="115"/>
  <c r="E62" i="115"/>
  <c r="A62" i="115"/>
  <c r="K61" i="115"/>
  <c r="I61" i="115"/>
  <c r="H61" i="115"/>
  <c r="G61" i="115"/>
  <c r="F61" i="115"/>
  <c r="E61" i="115"/>
  <c r="A61" i="115"/>
  <c r="K60" i="115"/>
  <c r="I60" i="115"/>
  <c r="H60" i="115"/>
  <c r="G60" i="115"/>
  <c r="F60" i="115"/>
  <c r="E60" i="115"/>
  <c r="A60" i="115"/>
  <c r="K59" i="115"/>
  <c r="I59" i="115"/>
  <c r="H59" i="115"/>
  <c r="G59" i="115"/>
  <c r="F59" i="115"/>
  <c r="E59" i="115"/>
  <c r="A59" i="115"/>
  <c r="K58" i="115"/>
  <c r="I58" i="115"/>
  <c r="H58" i="115"/>
  <c r="G58" i="115"/>
  <c r="F58" i="115"/>
  <c r="E58" i="115"/>
  <c r="A58" i="115"/>
  <c r="K57" i="115"/>
  <c r="I57" i="115"/>
  <c r="H57" i="115"/>
  <c r="G57" i="115"/>
  <c r="F57" i="115"/>
  <c r="E57" i="115"/>
  <c r="A57" i="115"/>
  <c r="K56" i="115"/>
  <c r="I56" i="115"/>
  <c r="H56" i="115"/>
  <c r="G56" i="115"/>
  <c r="F56" i="115"/>
  <c r="E56" i="115"/>
  <c r="A56" i="115"/>
  <c r="K55" i="115"/>
  <c r="I55" i="115"/>
  <c r="H55" i="115"/>
  <c r="G55" i="115"/>
  <c r="F55" i="115"/>
  <c r="E55" i="115"/>
  <c r="A55" i="115"/>
  <c r="K54" i="115"/>
  <c r="I54" i="115"/>
  <c r="H54" i="115"/>
  <c r="G54" i="115"/>
  <c r="F54" i="115"/>
  <c r="E54" i="115"/>
  <c r="A54" i="115"/>
  <c r="K53" i="115"/>
  <c r="I53" i="115"/>
  <c r="H53" i="115"/>
  <c r="G53" i="115"/>
  <c r="F53" i="115"/>
  <c r="E53" i="115"/>
  <c r="A53" i="115"/>
  <c r="K52" i="115"/>
  <c r="I52" i="115"/>
  <c r="H52" i="115"/>
  <c r="G52" i="115"/>
  <c r="F52" i="115"/>
  <c r="E52" i="115"/>
  <c r="A52" i="115"/>
  <c r="K51" i="115"/>
  <c r="I51" i="115"/>
  <c r="H51" i="115"/>
  <c r="G51" i="115"/>
  <c r="F51" i="115"/>
  <c r="E51" i="115"/>
  <c r="A51" i="115"/>
  <c r="K50" i="115"/>
  <c r="I50" i="115"/>
  <c r="H50" i="115"/>
  <c r="G50" i="115"/>
  <c r="F50" i="115"/>
  <c r="E50" i="115"/>
  <c r="A50" i="115"/>
  <c r="K49" i="115"/>
  <c r="I49" i="115"/>
  <c r="H49" i="115"/>
  <c r="G49" i="115"/>
  <c r="F49" i="115"/>
  <c r="E49" i="115"/>
  <c r="A49" i="115"/>
  <c r="K48" i="115"/>
  <c r="I48" i="115"/>
  <c r="H48" i="115"/>
  <c r="G48" i="115"/>
  <c r="F48" i="115"/>
  <c r="E48" i="115"/>
  <c r="A48" i="115"/>
  <c r="K47" i="115"/>
  <c r="I47" i="115"/>
  <c r="H47" i="115"/>
  <c r="G47" i="115"/>
  <c r="F47" i="115"/>
  <c r="E47" i="115"/>
  <c r="A47" i="115"/>
  <c r="K46" i="115"/>
  <c r="I46" i="115"/>
  <c r="H46" i="115"/>
  <c r="G46" i="115"/>
  <c r="F46" i="115"/>
  <c r="E46" i="115"/>
  <c r="A46" i="115"/>
  <c r="K45" i="115"/>
  <c r="I45" i="115"/>
  <c r="H45" i="115"/>
  <c r="G45" i="115"/>
  <c r="F45" i="115"/>
  <c r="E45" i="115"/>
  <c r="A45" i="115"/>
  <c r="K44" i="115"/>
  <c r="I44" i="115"/>
  <c r="H44" i="115"/>
  <c r="G44" i="115"/>
  <c r="F44" i="115"/>
  <c r="E44" i="115"/>
  <c r="A44" i="115"/>
  <c r="K43" i="115"/>
  <c r="I43" i="115"/>
  <c r="H43" i="115"/>
  <c r="G43" i="115"/>
  <c r="F43" i="115"/>
  <c r="E43" i="115"/>
  <c r="A43" i="115"/>
  <c r="K42" i="115"/>
  <c r="I42" i="115"/>
  <c r="H42" i="115"/>
  <c r="G42" i="115"/>
  <c r="F42" i="115"/>
  <c r="E42" i="115"/>
  <c r="A42" i="115"/>
  <c r="K41" i="115"/>
  <c r="I41" i="115"/>
  <c r="H41" i="115"/>
  <c r="G41" i="115"/>
  <c r="F41" i="115"/>
  <c r="E41" i="115"/>
  <c r="A41" i="115"/>
  <c r="K40" i="115"/>
  <c r="I40" i="115"/>
  <c r="H40" i="115"/>
  <c r="G40" i="115"/>
  <c r="F40" i="115"/>
  <c r="E40" i="115"/>
  <c r="A40" i="115"/>
  <c r="K39" i="115"/>
  <c r="I39" i="115"/>
  <c r="H39" i="115"/>
  <c r="G39" i="115"/>
  <c r="F39" i="115"/>
  <c r="E39" i="115"/>
  <c r="A39" i="115"/>
  <c r="K38" i="115"/>
  <c r="I38" i="115"/>
  <c r="H38" i="115"/>
  <c r="G38" i="115"/>
  <c r="F38" i="115"/>
  <c r="E38" i="115"/>
  <c r="A38" i="115"/>
  <c r="K37" i="115"/>
  <c r="I37" i="115"/>
  <c r="H37" i="115"/>
  <c r="G37" i="115"/>
  <c r="F37" i="115"/>
  <c r="E37" i="115"/>
  <c r="A37" i="115"/>
  <c r="K36" i="115"/>
  <c r="I36" i="115"/>
  <c r="H36" i="115"/>
  <c r="G36" i="115"/>
  <c r="F36" i="115"/>
  <c r="E36" i="115"/>
  <c r="A36" i="115"/>
  <c r="K35" i="115"/>
  <c r="I35" i="115"/>
  <c r="H35" i="115"/>
  <c r="G35" i="115"/>
  <c r="F35" i="115"/>
  <c r="E35" i="115"/>
  <c r="A35" i="115"/>
  <c r="K34" i="115"/>
  <c r="I34" i="115"/>
  <c r="H34" i="115"/>
  <c r="G34" i="115"/>
  <c r="F34" i="115"/>
  <c r="E34" i="115"/>
  <c r="A34" i="115"/>
  <c r="K33" i="115"/>
  <c r="I33" i="115"/>
  <c r="H33" i="115"/>
  <c r="G33" i="115"/>
  <c r="F33" i="115"/>
  <c r="E33" i="115"/>
  <c r="A33" i="115"/>
  <c r="K32" i="115"/>
  <c r="I32" i="115"/>
  <c r="H32" i="115"/>
  <c r="G32" i="115"/>
  <c r="F32" i="115"/>
  <c r="E32" i="115"/>
  <c r="A32" i="115"/>
  <c r="K31" i="115"/>
  <c r="I31" i="115"/>
  <c r="H31" i="115"/>
  <c r="G31" i="115"/>
  <c r="F31" i="115"/>
  <c r="E31" i="115"/>
  <c r="A31" i="115"/>
  <c r="K30" i="115"/>
  <c r="I30" i="115"/>
  <c r="H30" i="115"/>
  <c r="G30" i="115"/>
  <c r="F30" i="115"/>
  <c r="E30" i="115"/>
  <c r="A30" i="115"/>
  <c r="K29" i="115"/>
  <c r="I29" i="115"/>
  <c r="H29" i="115"/>
  <c r="G29" i="115"/>
  <c r="F29" i="115"/>
  <c r="E29" i="115"/>
  <c r="A29" i="115"/>
  <c r="K28" i="115"/>
  <c r="I28" i="115"/>
  <c r="H28" i="115"/>
  <c r="G28" i="115"/>
  <c r="F28" i="115"/>
  <c r="E28" i="115"/>
  <c r="A28" i="115"/>
  <c r="K27" i="115"/>
  <c r="I27" i="115"/>
  <c r="H27" i="115"/>
  <c r="G27" i="115"/>
  <c r="F27" i="115"/>
  <c r="E27" i="115"/>
  <c r="A27" i="115"/>
  <c r="K26" i="115"/>
  <c r="I26" i="115"/>
  <c r="H26" i="115"/>
  <c r="G26" i="115"/>
  <c r="F26" i="115"/>
  <c r="E26" i="115"/>
  <c r="A26" i="115"/>
  <c r="K25" i="115"/>
  <c r="I25" i="115"/>
  <c r="H25" i="115"/>
  <c r="G25" i="115"/>
  <c r="F25" i="115"/>
  <c r="E25" i="115"/>
  <c r="A25" i="115"/>
  <c r="K24" i="115"/>
  <c r="I24" i="115"/>
  <c r="H24" i="115"/>
  <c r="G24" i="115"/>
  <c r="F24" i="115"/>
  <c r="E24" i="115"/>
  <c r="A24" i="115"/>
  <c r="K23" i="115"/>
  <c r="I23" i="115"/>
  <c r="H23" i="115"/>
  <c r="G23" i="115"/>
  <c r="F23" i="115"/>
  <c r="E23" i="115"/>
  <c r="A23" i="115"/>
  <c r="K22" i="115"/>
  <c r="I22" i="115"/>
  <c r="H22" i="115"/>
  <c r="G22" i="115"/>
  <c r="F22" i="115"/>
  <c r="E22" i="115"/>
  <c r="A22" i="115"/>
  <c r="K21" i="115"/>
  <c r="I21" i="115"/>
  <c r="H21" i="115"/>
  <c r="G21" i="115"/>
  <c r="F21" i="115"/>
  <c r="E21" i="115"/>
  <c r="A21" i="115"/>
  <c r="K20" i="115"/>
  <c r="I20" i="115"/>
  <c r="H20" i="115"/>
  <c r="G20" i="115"/>
  <c r="F20" i="115"/>
  <c r="E20" i="115"/>
  <c r="A20" i="115"/>
  <c r="K19" i="115"/>
  <c r="I19" i="115"/>
  <c r="H19" i="115"/>
  <c r="G19" i="115"/>
  <c r="F19" i="115"/>
  <c r="E19" i="115"/>
  <c r="A19" i="115"/>
  <c r="K18" i="115"/>
  <c r="I18" i="115"/>
  <c r="H18" i="115"/>
  <c r="G18" i="115"/>
  <c r="F18" i="115"/>
  <c r="E18" i="115"/>
  <c r="A18" i="115"/>
  <c r="K17" i="115"/>
  <c r="I17" i="115"/>
  <c r="H17" i="115"/>
  <c r="G17" i="115"/>
  <c r="F17" i="115"/>
  <c r="E17" i="115"/>
  <c r="A17" i="115"/>
  <c r="K16" i="115"/>
  <c r="I16" i="115"/>
  <c r="H16" i="115"/>
  <c r="G16" i="115"/>
  <c r="F16" i="115"/>
  <c r="E16" i="115"/>
  <c r="A16" i="115"/>
  <c r="K15" i="115"/>
  <c r="I15" i="115"/>
  <c r="H15" i="115"/>
  <c r="G15" i="115"/>
  <c r="F15" i="115"/>
  <c r="E15" i="115"/>
  <c r="A15" i="115"/>
  <c r="K14" i="115"/>
  <c r="I14" i="115"/>
  <c r="H14" i="115"/>
  <c r="G14" i="115"/>
  <c r="F14" i="115"/>
  <c r="E14" i="115"/>
  <c r="A14" i="115"/>
  <c r="K13" i="115"/>
  <c r="I13" i="115"/>
  <c r="H13" i="115"/>
  <c r="G13" i="115"/>
  <c r="F13" i="115"/>
  <c r="E13" i="115"/>
  <c r="A13" i="115"/>
  <c r="K12" i="115"/>
  <c r="I12" i="115"/>
  <c r="H12" i="115"/>
  <c r="G12" i="115"/>
  <c r="F12" i="115"/>
  <c r="E12" i="115"/>
  <c r="A12" i="115"/>
  <c r="K11" i="115"/>
  <c r="I11" i="115"/>
  <c r="H11" i="115"/>
  <c r="G11" i="115"/>
  <c r="F11" i="115"/>
  <c r="E11" i="115"/>
  <c r="A11" i="115"/>
  <c r="K10" i="115"/>
  <c r="I10" i="115"/>
  <c r="H10" i="115"/>
  <c r="G10" i="115"/>
  <c r="F10" i="115"/>
  <c r="E10" i="115"/>
  <c r="A10" i="115"/>
  <c r="K9" i="115"/>
  <c r="I9" i="115"/>
  <c r="H9" i="115"/>
  <c r="G9" i="115"/>
  <c r="F9" i="115"/>
  <c r="E9" i="115"/>
  <c r="A9" i="115"/>
  <c r="K8" i="115"/>
  <c r="I8" i="115"/>
  <c r="H8" i="115"/>
  <c r="G8" i="115"/>
  <c r="F8" i="115"/>
  <c r="E8" i="115"/>
  <c r="A8" i="115"/>
  <c r="K7" i="115"/>
  <c r="I7" i="115"/>
  <c r="H7" i="115"/>
  <c r="G7" i="115"/>
  <c r="F7" i="115"/>
  <c r="E7" i="115"/>
  <c r="A7" i="115"/>
  <c r="K6" i="115"/>
  <c r="I6" i="115"/>
  <c r="H6" i="115"/>
  <c r="G6" i="115"/>
  <c r="F6" i="115"/>
  <c r="E6" i="115"/>
  <c r="A6" i="115"/>
  <c r="K5" i="115"/>
  <c r="I5" i="115"/>
  <c r="H5" i="115"/>
  <c r="G5" i="115"/>
  <c r="F5" i="115"/>
  <c r="E5" i="115"/>
  <c r="A5" i="115"/>
  <c r="K4" i="115"/>
  <c r="I4" i="115"/>
  <c r="H4" i="115"/>
  <c r="G4" i="115"/>
  <c r="F4" i="115"/>
  <c r="E4" i="115"/>
  <c r="A4" i="115"/>
  <c r="K3" i="115"/>
  <c r="I3" i="115"/>
  <c r="H3" i="115"/>
  <c r="G3" i="115"/>
  <c r="F3" i="115"/>
  <c r="E3" i="115"/>
  <c r="A3" i="115"/>
  <c r="K2" i="115"/>
  <c r="I2" i="115"/>
  <c r="H2" i="115"/>
  <c r="G2" i="115"/>
  <c r="F2" i="115"/>
  <c r="E2" i="115"/>
  <c r="A2" i="115"/>
  <c r="F255" i="128"/>
  <c r="F249" i="128"/>
  <c r="F244" i="128"/>
  <c r="F228" i="128"/>
  <c r="F224" i="128"/>
  <c r="F222" i="128"/>
  <c r="F219" i="128"/>
  <c r="F189" i="128"/>
  <c r="F179" i="128"/>
  <c r="F175" i="128"/>
  <c r="F165" i="128"/>
  <c r="F124" i="128"/>
  <c r="F101" i="128"/>
  <c r="F95" i="128"/>
  <c r="F91" i="128"/>
  <c r="F61" i="128"/>
  <c r="F20" i="128"/>
  <c r="F19" i="128"/>
  <c r="F2" i="128"/>
</calcChain>
</file>

<file path=xl/sharedStrings.xml><?xml version="1.0" encoding="utf-8"?>
<sst xmlns="http://schemas.openxmlformats.org/spreadsheetml/2006/main" count="8878" uniqueCount="792">
  <si>
    <t>ZH</t>
  </si>
  <si>
    <t>Trends Junior</t>
  </si>
  <si>
    <t>Trends Woman</t>
  </si>
  <si>
    <t>Trends Sarees</t>
  </si>
  <si>
    <t>Payless</t>
  </si>
  <si>
    <t>Trends Man</t>
  </si>
  <si>
    <t>Trends</t>
  </si>
  <si>
    <t>Performax</t>
  </si>
  <si>
    <t>Grand Total</t>
  </si>
  <si>
    <t>Zone</t>
  </si>
  <si>
    <t>State</t>
  </si>
  <si>
    <t>Format</t>
  </si>
  <si>
    <t>Site Name</t>
  </si>
  <si>
    <t>A</t>
  </si>
  <si>
    <t>FBB to Trends</t>
  </si>
  <si>
    <t>FBB to Saree</t>
  </si>
  <si>
    <t>Smart Bazar</t>
  </si>
  <si>
    <t>Brand Factory to Fashion Factory</t>
  </si>
  <si>
    <t>Zivame EBO</t>
  </si>
  <si>
    <t>F. SCM</t>
  </si>
  <si>
    <t>Value DC</t>
  </si>
  <si>
    <t>Digital DC</t>
  </si>
  <si>
    <t>F&amp;L DC</t>
  </si>
  <si>
    <t>PCS</t>
  </si>
  <si>
    <t>Smart Hub - DC</t>
  </si>
  <si>
    <t>Pharma-DC</t>
  </si>
  <si>
    <t>Smart Net - DC</t>
  </si>
  <si>
    <t>Urban Ladder DC</t>
  </si>
  <si>
    <t>G. GreenField and Other Large Scale Projects</t>
  </si>
  <si>
    <t>Greenfield</t>
  </si>
  <si>
    <t>My Jio Store</t>
  </si>
  <si>
    <t>Smart</t>
  </si>
  <si>
    <t>Signature</t>
  </si>
  <si>
    <t>7-Eleven</t>
  </si>
  <si>
    <t>Johnplayer EBO</t>
  </si>
  <si>
    <t>Furniture - Mid Premium Store (UL)</t>
  </si>
  <si>
    <t>Launched Date</t>
  </si>
  <si>
    <t>A. Consumer Electronics</t>
  </si>
  <si>
    <t>B. Fashion &amp; Lifestyle</t>
  </si>
  <si>
    <t>I. Petro</t>
  </si>
  <si>
    <t>H. New Energy Business</t>
  </si>
  <si>
    <t>C. Grocery</t>
  </si>
  <si>
    <t>E. Other Business</t>
  </si>
  <si>
    <t>Urban ladder in Smart Bazar</t>
  </si>
  <si>
    <t>Digital Stores</t>
  </si>
  <si>
    <t>Resque ( COCO + COFO+FOFO)</t>
  </si>
  <si>
    <t>MINIDX Refit</t>
  </si>
  <si>
    <t xml:space="preserve">Digital- Refit </t>
  </si>
  <si>
    <t>Jewels SAS</t>
  </si>
  <si>
    <t>Digital in Smart Bazar</t>
  </si>
  <si>
    <t>Petro</t>
  </si>
  <si>
    <t>Mini Depo - Aug</t>
  </si>
  <si>
    <t>Terminal Aug</t>
  </si>
  <si>
    <t>J. Jio Business</t>
  </si>
  <si>
    <t>Jio Mart - Kirana</t>
  </si>
  <si>
    <t>JAISURYA</t>
  </si>
  <si>
    <t>Trends Footwear SIS</t>
  </si>
  <si>
    <t>Lee Cooper EBO</t>
  </si>
  <si>
    <t>Trends - Refit</t>
  </si>
  <si>
    <t>Trends Small Town</t>
  </si>
  <si>
    <t>Trends Footwear</t>
  </si>
  <si>
    <t>EV Battery Swapping</t>
  </si>
  <si>
    <t>Small Store/Easyday to Signature Fresh</t>
  </si>
  <si>
    <t>D. Pharma Format</t>
  </si>
  <si>
    <t>Netmed</t>
  </si>
  <si>
    <t>SCM BF</t>
  </si>
  <si>
    <t>Central to Centro</t>
  </si>
  <si>
    <t>Trends in Smart Bazar</t>
  </si>
  <si>
    <t xml:space="preserve">Small Store/Easyday to Footwear </t>
  </si>
  <si>
    <t>Small Store/Easyday to Man</t>
  </si>
  <si>
    <t>Small Store/Easyday to Woman</t>
  </si>
  <si>
    <t>FBB to Fashion Factory</t>
  </si>
  <si>
    <t>TDSC</t>
  </si>
  <si>
    <t>7 Eleven in Smart Bazar</t>
  </si>
  <si>
    <t>Milk Basket</t>
  </si>
  <si>
    <t>Small Store/Easyday to Smart  Point</t>
  </si>
  <si>
    <t>Other Fashion &amp; Lifestyle Formats</t>
  </si>
  <si>
    <t>Beauty &amp; Cosmetic EBO</t>
  </si>
  <si>
    <t>Amante</t>
  </si>
  <si>
    <t>GAP EBO</t>
  </si>
  <si>
    <t>FBB TO Footwear</t>
  </si>
  <si>
    <t>FBB to Portico</t>
  </si>
  <si>
    <t>Zivame in Smart Bazar</t>
  </si>
  <si>
    <t>Jio Point</t>
  </si>
  <si>
    <t>Jewels Refit</t>
  </si>
  <si>
    <t>Smart Bazar NSO</t>
  </si>
  <si>
    <t>Sl. No.</t>
  </si>
  <si>
    <t>Azorte in Smart Bazar</t>
  </si>
  <si>
    <t>FBB TO Woman</t>
  </si>
  <si>
    <t>Site Type</t>
  </si>
  <si>
    <t>GAP in Smart Bazar</t>
  </si>
  <si>
    <t>Milk basket in Smart Bazar</t>
  </si>
  <si>
    <t>Portico EBO</t>
  </si>
  <si>
    <t>Admin Office (Corporate Services)</t>
  </si>
  <si>
    <t>Smart Bazar DC</t>
  </si>
  <si>
    <t>3P- Market Place</t>
  </si>
  <si>
    <t>Smart Point</t>
  </si>
  <si>
    <t>Clovia</t>
  </si>
  <si>
    <t>Cover Story</t>
  </si>
  <si>
    <t>B2B</t>
  </si>
  <si>
    <t>CPC</t>
  </si>
  <si>
    <t>Sub Format</t>
  </si>
  <si>
    <t>EPC Status</t>
  </si>
  <si>
    <t>Business Format</t>
  </si>
  <si>
    <t>GAP in Centro</t>
  </si>
  <si>
    <t>RFC Date</t>
  </si>
  <si>
    <t>RFC Weekwise Bucket</t>
  </si>
  <si>
    <t>Actual Start Weekwise</t>
  </si>
  <si>
    <t>Ajio</t>
  </si>
  <si>
    <t>Beauty (TIRA)</t>
  </si>
  <si>
    <t>Standard Duration</t>
  </si>
  <si>
    <t>EIC</t>
  </si>
  <si>
    <t xml:space="preserve">Digital Store - Dehire </t>
  </si>
  <si>
    <t>AOP</t>
  </si>
  <si>
    <t>October</t>
  </si>
  <si>
    <t>Footwear Refit</t>
  </si>
  <si>
    <t>Swadesh</t>
  </si>
  <si>
    <t>November</t>
  </si>
  <si>
    <t>Jewels SIS</t>
  </si>
  <si>
    <t>Ancestry</t>
  </si>
  <si>
    <t xml:space="preserve">Smart point Conversion </t>
  </si>
  <si>
    <t xml:space="preserve">SKDS - Value Format </t>
  </si>
  <si>
    <t>B2C</t>
  </si>
  <si>
    <t>Beauty DC</t>
  </si>
  <si>
    <t>Jewels DC</t>
  </si>
  <si>
    <t>Milkbasket in SmartNET</t>
  </si>
  <si>
    <t>Market Place</t>
  </si>
  <si>
    <t>Food DC</t>
  </si>
  <si>
    <t>Transport HUB- F&amp;L</t>
  </si>
  <si>
    <t>Record Room</t>
  </si>
  <si>
    <t>CNC</t>
  </si>
  <si>
    <t>NDC</t>
  </si>
  <si>
    <t>HoReCa</t>
  </si>
  <si>
    <t>Collection centre</t>
  </si>
  <si>
    <t>Groceries</t>
  </si>
  <si>
    <t>Mall Revamp</t>
  </si>
  <si>
    <t>Consumer Pump</t>
  </si>
  <si>
    <t>K. Other Office Infrastructure</t>
  </si>
  <si>
    <t>FBB TO Junior</t>
  </si>
  <si>
    <t>WH Property</t>
  </si>
  <si>
    <t>WH</t>
  </si>
  <si>
    <t>Fashion Factory</t>
  </si>
  <si>
    <t>Jio Store (SSST)</t>
  </si>
  <si>
    <t>Kalanikethan Conversion</t>
  </si>
  <si>
    <t>Signature Conversion</t>
  </si>
  <si>
    <t>Digital 3K</t>
  </si>
  <si>
    <t>Digital Lab</t>
  </si>
  <si>
    <t>B</t>
  </si>
  <si>
    <t>a</t>
  </si>
  <si>
    <t>GAP_Azorte SIS</t>
  </si>
  <si>
    <t>GAP_Mens SIS</t>
  </si>
  <si>
    <t>GAP KIDS SIS</t>
  </si>
  <si>
    <t>GAP WOMAN SIS</t>
  </si>
  <si>
    <t>Johnplayer SIS</t>
  </si>
  <si>
    <t>Payless SIS</t>
  </si>
  <si>
    <t>b</t>
  </si>
  <si>
    <t>Jewels &amp; Allied Formats</t>
  </si>
  <si>
    <t>Jewels Flagship</t>
  </si>
  <si>
    <t>c</t>
  </si>
  <si>
    <t>Beauty &amp; Cosmetic SIS</t>
  </si>
  <si>
    <t>Interior and Kitchen Fitouts</t>
  </si>
  <si>
    <t>Furniture - SIS - SimplyWud</t>
  </si>
  <si>
    <t>Brands India</t>
  </si>
  <si>
    <t>Brands UK</t>
  </si>
  <si>
    <t>C</t>
  </si>
  <si>
    <t>FreshPik</t>
  </si>
  <si>
    <t>R&amp;D FMCG Lab</t>
  </si>
  <si>
    <t>D</t>
  </si>
  <si>
    <t>Smart Point Pharma</t>
  </si>
  <si>
    <t>HN OP Pharmacy</t>
  </si>
  <si>
    <t>HN IP Pharmacy</t>
  </si>
  <si>
    <t>Seven Hills</t>
  </si>
  <si>
    <t>E</t>
  </si>
  <si>
    <t>F</t>
  </si>
  <si>
    <t>Staple HUB</t>
  </si>
  <si>
    <t>G</t>
  </si>
  <si>
    <t>H</t>
  </si>
  <si>
    <t>I</t>
  </si>
  <si>
    <t>Other Petro Projects</t>
  </si>
  <si>
    <t>AFS Aug</t>
  </si>
  <si>
    <t>AFS New</t>
  </si>
  <si>
    <t>ALDS</t>
  </si>
  <si>
    <t>Driveway</t>
  </si>
  <si>
    <t>Highmast</t>
  </si>
  <si>
    <t>MDU</t>
  </si>
  <si>
    <t>NH Affected</t>
  </si>
  <si>
    <t>NRO</t>
  </si>
  <si>
    <t>PFC</t>
  </si>
  <si>
    <t>R&amp;H-Canopy</t>
  </si>
  <si>
    <t>R&amp;H-Driveway</t>
  </si>
  <si>
    <t>RO Augmentation</t>
  </si>
  <si>
    <t>QwikMart</t>
  </si>
  <si>
    <t>Railway Consumer Depot</t>
  </si>
  <si>
    <t>RO ReCommissioning</t>
  </si>
  <si>
    <t>J</t>
  </si>
  <si>
    <t>Jio Centre</t>
  </si>
  <si>
    <t>K</t>
  </si>
  <si>
    <t>Zivame Office</t>
  </si>
  <si>
    <t>Beauty in Smart Bazar</t>
  </si>
  <si>
    <t>BWS in Smart Bazar</t>
  </si>
  <si>
    <t>Fresh food in Smart Bazar</t>
  </si>
  <si>
    <t>Sweet in Smart Bazar</t>
  </si>
  <si>
    <t>SIS in Smart Bazar</t>
  </si>
  <si>
    <t>d</t>
  </si>
  <si>
    <t>FBB to Signature</t>
  </si>
  <si>
    <t>FBB to Smart Point</t>
  </si>
  <si>
    <t>Packhouse</t>
  </si>
  <si>
    <t>Ecom</t>
  </si>
  <si>
    <t>MSR</t>
  </si>
  <si>
    <t>FC</t>
  </si>
  <si>
    <t>Kalanikethan / VRK Heritage</t>
  </si>
  <si>
    <t>Value Refit (Inc. CNC Conversion)</t>
  </si>
  <si>
    <t>Pharma COCO Store (SP Fix Setup)</t>
  </si>
  <si>
    <t>Forecasted Finish Weekwise</t>
  </si>
  <si>
    <t>Maintenance &amp; Service Location (MSL)</t>
  </si>
  <si>
    <t>Trends &amp; Allied Formats (Part A)</t>
  </si>
  <si>
    <t>Trends &amp; Allied Formats (Part B)</t>
  </si>
  <si>
    <t>Digital Bismi</t>
  </si>
  <si>
    <t>Blushlace</t>
  </si>
  <si>
    <t>Blushlace in Smart Bazar</t>
  </si>
  <si>
    <t xml:space="preserve">Trends 3.0 </t>
  </si>
  <si>
    <t>SCM</t>
  </si>
  <si>
    <t>Grocery</t>
  </si>
  <si>
    <t>Consumer Electronics</t>
  </si>
  <si>
    <t>Pharma Format</t>
  </si>
  <si>
    <t>Other Business</t>
  </si>
  <si>
    <t>GreenField and Other Large Scale Projects</t>
  </si>
  <si>
    <t>Jio Business</t>
  </si>
  <si>
    <t>Other Office Infrastructure</t>
  </si>
  <si>
    <t>POS Migration</t>
  </si>
  <si>
    <t>Smart Bazar Refit</t>
  </si>
  <si>
    <t>ResQ Training Lab</t>
  </si>
  <si>
    <t>Training Centre</t>
  </si>
  <si>
    <t>MINI DX</t>
  </si>
  <si>
    <t>Digital Bismi - Refit</t>
  </si>
  <si>
    <t>Catwalk</t>
  </si>
  <si>
    <t>Fashion Factory NEW Design</t>
  </si>
  <si>
    <t>Centro New Design</t>
  </si>
  <si>
    <t>Centro FAÇADE Refurbishment</t>
  </si>
  <si>
    <t>Trends Small Town 3.0</t>
  </si>
  <si>
    <t>Trends WIW 3.0</t>
  </si>
  <si>
    <t>New Independent Ivory Mall Centro</t>
  </si>
  <si>
    <t>Kalanikethan New Design</t>
  </si>
  <si>
    <t>Kalanikethan Chennai -Old Design</t>
  </si>
  <si>
    <t>New Jewels 3K</t>
  </si>
  <si>
    <t>Cover Story SIS</t>
  </si>
  <si>
    <t>Signature Fresh Plus</t>
  </si>
  <si>
    <t>Smart 3.O</t>
  </si>
  <si>
    <t>Mall Food courts</t>
  </si>
  <si>
    <t>BWS IN SMART</t>
  </si>
  <si>
    <t>Autonomous Store @ Experience Center</t>
  </si>
  <si>
    <t>New  Whole sale store Format</t>
  </si>
  <si>
    <t>BB to Smart</t>
  </si>
  <si>
    <t>Green Field Malls with Seamless Stores 
With Format Allocation</t>
  </si>
  <si>
    <t>Jio Mart Digital</t>
  </si>
  <si>
    <t>Cover Story Office</t>
  </si>
  <si>
    <t>Office Areas in Malls</t>
  </si>
  <si>
    <t>Date</t>
  </si>
  <si>
    <t>Month</t>
  </si>
  <si>
    <t>Day</t>
  </si>
  <si>
    <t>No.</t>
  </si>
  <si>
    <t>Week No.</t>
  </si>
  <si>
    <t>Concatenate Month &amp; Week</t>
  </si>
  <si>
    <t>Year</t>
  </si>
  <si>
    <t>April</t>
  </si>
  <si>
    <t>May</t>
  </si>
  <si>
    <t>June</t>
  </si>
  <si>
    <t>July</t>
  </si>
  <si>
    <t>August</t>
  </si>
  <si>
    <t>September</t>
  </si>
  <si>
    <t>December</t>
  </si>
  <si>
    <t>January</t>
  </si>
  <si>
    <t>February</t>
  </si>
  <si>
    <t>March</t>
  </si>
  <si>
    <t>PLANNED</t>
  </si>
  <si>
    <t>Month for Plan</t>
  </si>
  <si>
    <t>Plan</t>
  </si>
  <si>
    <t>Concatenate Month &amp; Plan</t>
  </si>
  <si>
    <t>Actual Start Date</t>
  </si>
  <si>
    <t>Planned Finish Date</t>
  </si>
  <si>
    <t>Planned Finish Weekwise Bucket</t>
  </si>
  <si>
    <t>Actual Finish Date</t>
  </si>
  <si>
    <t>Actual Finish Weekwise Bucket</t>
  </si>
  <si>
    <t>Forecasted Finish Date</t>
  </si>
  <si>
    <t>Planned (Month) Bucket</t>
  </si>
  <si>
    <t>City</t>
  </si>
  <si>
    <t>Area (Sqft)</t>
  </si>
  <si>
    <t>PD</t>
  </si>
  <si>
    <t>Ancestry SIS</t>
  </si>
  <si>
    <t>Portico SIS</t>
  </si>
  <si>
    <t>Actual (Month) Bucket</t>
  </si>
  <si>
    <t>Device DC</t>
  </si>
  <si>
    <t>Misc Toilet Works @ SBZ</t>
  </si>
  <si>
    <t>Avantara Façade Replacement Works</t>
  </si>
  <si>
    <t>Blushlace in Smart</t>
  </si>
  <si>
    <t>Pharma-Partition Modi. Work (Refit)</t>
  </si>
  <si>
    <t>Catwalk SIS</t>
  </si>
  <si>
    <t>Centro Footwear (V Retail)</t>
  </si>
  <si>
    <t>Centro Footwear (V Retail) - Refit</t>
  </si>
  <si>
    <t>Centro NSO</t>
  </si>
  <si>
    <t>GAP SIS</t>
  </si>
  <si>
    <t>F&amp;L Wholesale Formats</t>
  </si>
  <si>
    <t>Wholesale Store</t>
  </si>
  <si>
    <t>B2B2C</t>
  </si>
  <si>
    <t>Sambandam Store</t>
  </si>
  <si>
    <t>e</t>
  </si>
  <si>
    <t>Rise Hub (Swadesh)</t>
  </si>
  <si>
    <t>CNC to Metro</t>
  </si>
  <si>
    <t>Pharma SIS</t>
  </si>
  <si>
    <t>Office at IBC (TDSC+Office+Cafeteria+Design Studio)</t>
  </si>
  <si>
    <t>Grocery Bismi DC</t>
  </si>
  <si>
    <t>Grocery Bismi</t>
  </si>
  <si>
    <t>Grocery Bismi - Refit</t>
  </si>
  <si>
    <t>VRK Silks</t>
  </si>
  <si>
    <t>Pharma SKDS - Refit</t>
  </si>
  <si>
    <t>AOP / NON AOP</t>
  </si>
  <si>
    <t>NON AOP</t>
  </si>
  <si>
    <t>Centro Footwear (V Retail) in Smart Bazar</t>
  </si>
  <si>
    <t>Smart Point to Bismi</t>
  </si>
  <si>
    <t>Women's World @ SBZ</t>
  </si>
  <si>
    <t>Lift</t>
  </si>
  <si>
    <t>New Energy Business</t>
  </si>
  <si>
    <t>Fashion World</t>
  </si>
  <si>
    <t>SCM - Dehire</t>
  </si>
  <si>
    <t>Centro - Refit</t>
  </si>
  <si>
    <t>FMCG Manufacturing</t>
  </si>
  <si>
    <t>Azorte</t>
  </si>
  <si>
    <t>Azorte SIS</t>
  </si>
  <si>
    <t>Yousta</t>
  </si>
  <si>
    <t>Trends to Yousta</t>
  </si>
  <si>
    <t>FBB to Yousta</t>
  </si>
  <si>
    <t>F&amp;L - Dehire</t>
  </si>
  <si>
    <t>Misc - Dehire</t>
  </si>
  <si>
    <t>Grocery - Dehire</t>
  </si>
  <si>
    <t>Apex ID</t>
  </si>
  <si>
    <t>PM Head</t>
  </si>
  <si>
    <t>Ketan Shah</t>
  </si>
  <si>
    <t>Srinivas P</t>
  </si>
  <si>
    <t>Anand P</t>
  </si>
  <si>
    <t>Shahaji Gohatre</t>
  </si>
  <si>
    <t>PHSmarS321</t>
  </si>
  <si>
    <t>NSO</t>
  </si>
  <si>
    <t>West</t>
  </si>
  <si>
    <t>BK</t>
  </si>
  <si>
    <t>North</t>
  </si>
  <si>
    <t>RT</t>
  </si>
  <si>
    <t>East</t>
  </si>
  <si>
    <t>SD</t>
  </si>
  <si>
    <t>South</t>
  </si>
  <si>
    <t>AS</t>
  </si>
  <si>
    <t>KC</t>
  </si>
  <si>
    <t>AK</t>
  </si>
  <si>
    <t>Refit</t>
  </si>
  <si>
    <t>Maharashtra</t>
  </si>
  <si>
    <t>Rajasthan</t>
  </si>
  <si>
    <t>Delhi &amp; NCR</t>
  </si>
  <si>
    <t>Gujarat</t>
  </si>
  <si>
    <t>West Bengal</t>
  </si>
  <si>
    <t>Kerala</t>
  </si>
  <si>
    <t>Tamil Nadu</t>
  </si>
  <si>
    <t>Haryana</t>
  </si>
  <si>
    <t>Karnataka</t>
  </si>
  <si>
    <t>Bihar</t>
  </si>
  <si>
    <t>Assam &amp; NE</t>
  </si>
  <si>
    <t>Andhra Pradesh</t>
  </si>
  <si>
    <t>Pune</t>
  </si>
  <si>
    <t>Bangalore</t>
  </si>
  <si>
    <t>Delhi</t>
  </si>
  <si>
    <t>Guwahati</t>
  </si>
  <si>
    <t>Patna</t>
  </si>
  <si>
    <t>Karur</t>
  </si>
  <si>
    <t>Tirupati</t>
  </si>
  <si>
    <t>Dibrugarh</t>
  </si>
  <si>
    <t>Ongole</t>
  </si>
  <si>
    <t>Gavisiddappa Banikatti Gadag Road  , Koppal , Ward No 21 Next To Patanjali  , KOPPAL , 583231</t>
  </si>
  <si>
    <t>KOPPAL</t>
  </si>
  <si>
    <t>NETMKQB3O00</t>
  </si>
  <si>
    <t>Sreekanth.Bijjhalli-9900039061</t>
  </si>
  <si>
    <t>Mr. Sudhakar Veerla</t>
  </si>
  <si>
    <t>EPC Ready</t>
  </si>
  <si>
    <t>WIP</t>
  </si>
  <si>
    <t>Column Labels</t>
  </si>
  <si>
    <t>Count of Site Name</t>
  </si>
  <si>
    <t>Formats</t>
  </si>
  <si>
    <t>PM Team End To End Monitoring Dashboard</t>
  </si>
  <si>
    <t>OVERALL SUMMARY OF MISC FORMATS</t>
  </si>
  <si>
    <t>GUJARAT</t>
  </si>
  <si>
    <t>NETMAS10520</t>
  </si>
  <si>
    <t>NETMAS10546</t>
  </si>
  <si>
    <t>NETMAS10547</t>
  </si>
  <si>
    <t>NETMAS10548</t>
  </si>
  <si>
    <t>NETMBK10549</t>
  </si>
  <si>
    <t>NETMBK10550</t>
  </si>
  <si>
    <t>NETMBK10551</t>
  </si>
  <si>
    <t>NETMSD10552</t>
  </si>
  <si>
    <t>PHCOAS10497</t>
  </si>
  <si>
    <t>PHCOSD10498</t>
  </si>
  <si>
    <t>PHCOAS10499</t>
  </si>
  <si>
    <t>PHCOSD10500</t>
  </si>
  <si>
    <t>PHCOSD10501</t>
  </si>
  <si>
    <t>PHCOAS10502</t>
  </si>
  <si>
    <t>PHCOSD10503</t>
  </si>
  <si>
    <t>PHCOSD10504</t>
  </si>
  <si>
    <t>PHCOSD10505</t>
  </si>
  <si>
    <t>PHCOAS10507</t>
  </si>
  <si>
    <t>PHCOAS10508</t>
  </si>
  <si>
    <t>PHCOBK10509</t>
  </si>
  <si>
    <t>PHCOAS10510</t>
  </si>
  <si>
    <t>PHCOAS10511</t>
  </si>
  <si>
    <t>PHCOAS10512</t>
  </si>
  <si>
    <t>PHCOAS10513</t>
  </si>
  <si>
    <t>PHCOAS10514</t>
  </si>
  <si>
    <t>PHCOAS10516</t>
  </si>
  <si>
    <t>PHCOAS10517</t>
  </si>
  <si>
    <t>SEVEBK10609</t>
  </si>
  <si>
    <t>SEVEBK10611</t>
  </si>
  <si>
    <t>SEVEBK10612</t>
  </si>
  <si>
    <t>SEVEBK10628</t>
  </si>
  <si>
    <t>SEVEBK10630</t>
  </si>
  <si>
    <t>Mumbai</t>
  </si>
  <si>
    <t>Mr.Jahir Hussain &amp; Others, No.1-B, Srinivasa Nagar, 1st Main Road, Srinivasa Nagar, Kolathur, Chennai  - 600 099</t>
  </si>
  <si>
    <t>Anand Patil Property – BIET Collage Rd – Davanagere</t>
  </si>
  <si>
    <t>Sathyanarayan property - RR Nagar</t>
  </si>
  <si>
    <t>Arun Kumar -NO 10/2 9th Cross Jp nagar 1st phase Bangalore 560078</t>
  </si>
  <si>
    <t>Grace business park, sola road,ahmedabad</t>
  </si>
  <si>
    <t>Ahmedabad</t>
  </si>
  <si>
    <t>Neelsidhi Amrante, Roadpali ,Kalamboli,Navi Mumbai</t>
  </si>
  <si>
    <t>Navi Mumbai</t>
  </si>
  <si>
    <t xml:space="preserve">Ganraya Krupa Bldg - Next to Wellness Pharmacy, Katrap, Badlapur </t>
  </si>
  <si>
    <t>Thane</t>
  </si>
  <si>
    <t>Barasaat Taki Road</t>
  </si>
  <si>
    <t>Barasaat</t>
  </si>
  <si>
    <t>Alfiya Business Centre Abc Alamcode  , Thiruvananthapuram , Attingal Market Road  , ALAMCODE , 695102</t>
  </si>
  <si>
    <t>Arambagh Taltala Bazar  , Hooghly Nr B K Ray Super Market , Ward No 5 Po Ps Arambag  , ARAMBAG , 712601</t>
  </si>
  <si>
    <t>Chungath Building  , Chavara P O , N H 66  , KOLLAM , 690524</t>
  </si>
  <si>
    <t>GF Hukuta Gaon Mouza  , Circle Duliajan Dist Dibrugarh , Tipling Tengakhat Revenue  , DULIAJAN , 786602</t>
  </si>
  <si>
    <t>GF JSB Pavillion Dag no339 P P Patta  , Dibrugarh Dist Dibrugarh , 5 Old 13 New Niz Kadamini gaon Mouza  , DIBRUGARH , 786003</t>
  </si>
  <si>
    <t>Vinayaka Plaza Near Kerala Gramin Bank  , Pathanamthitta , Mannadi Road Enathu Adoor  , Enathu , 691526</t>
  </si>
  <si>
    <t>GF Haryana Bhawan Narayan Nagar Dag No  , Kumarpara , 1438 &amp; 2104 Periodic Patta No 1209 , Mouza Guwahati Dist Kamrup , GUWAHATI , 781009</t>
  </si>
  <si>
    <t>GF Village No41 Chingamathak Patta 41 94  , Sbi Bank Manipur , Old 132 569 New Dag No 1204 1297 1204 , 1300 Sub Division &amp; Tehsil Lamphel Centr , IMPHAL , 795001</t>
  </si>
  <si>
    <t>GFVilaage No26 Wangkheirakpam Leikai Sub  , Imphal East , Division Tehsil Porompat District  , IMPHAL , 795005</t>
  </si>
  <si>
    <t>GF Malar Complex Door No 37 A  , KVB Thanthonimalai Dist Karur , Collectorate Road Near  , KARUR , 639005</t>
  </si>
  <si>
    <t>Ground Floor SATHYA LAKSHMI COMPLEX  , Rural &amp; District- Ankapalle , Dno 1SYno 110/2NH16 MAIN ROAD KASIMKOTA  , KASIMKOTA , 531031</t>
  </si>
  <si>
    <t>Gat No 1 2 3 Plot No 01 Nira Baramati  , Malegaon Budruk Pune , Road Near Ss Computers  , MALEGAON , 413115</t>
  </si>
  <si>
    <t>Satvikam Arcade Opp to Siva Parvathy  , Kottayam , Temple Mariapalli Natakom PO  , Nattakom , 686013</t>
  </si>
  <si>
    <t>Sri Lakshmi Talkies  , Medarmetla , Near Ysr Circle  , Medarametla , 523212</t>
  </si>
  <si>
    <t>Murali Complex Pakala  ,  , Andhra Pradesh  , PAKALA , 517112</t>
  </si>
  <si>
    <t>Shamil Tower Opposite Federal Bank  ,  , Kizhakethala Karuvarukund Malappuram  , PERINTHALMANNA , 676523</t>
  </si>
  <si>
    <t>SP Pharma SRINIVASAPURAM PROPERTY</t>
  </si>
  <si>
    <t>GF, Unit/Shop No. 4/978/A,B,C &amp; D  , Stop, PO. Vadasserikkara, Pathanamthitta , Universal  Tower,Opp.Vadasserikkara Bus  , Vadasserikkara , 689662</t>
  </si>
  <si>
    <t>Srinivas Complex Lingamparthi Main Road  ,  , Besides Apsrtc Bus Stand Yeleswaram  , YELESWARAM , 533429</t>
  </si>
  <si>
    <t>Ashirwad High Street</t>
  </si>
  <si>
    <t>Surat</t>
  </si>
  <si>
    <t>Aum Supreme, Kalyan</t>
  </si>
  <si>
    <t>Avadh Kontina</t>
  </si>
  <si>
    <t>Marathon Future X</t>
  </si>
  <si>
    <t>Adi Elementis</t>
  </si>
  <si>
    <t>Budget Submitted - Approval Awaited</t>
  </si>
  <si>
    <t>Budget Approved - RFC Awaited</t>
  </si>
  <si>
    <t>Column12</t>
  </si>
  <si>
    <t>Dehire</t>
  </si>
  <si>
    <t>Chenai</t>
  </si>
  <si>
    <t>ALAMCODE</t>
  </si>
  <si>
    <t>Arambag</t>
  </si>
  <si>
    <t>Chavera</t>
  </si>
  <si>
    <t>DHULIAJAN</t>
  </si>
  <si>
    <t>ENATHU</t>
  </si>
  <si>
    <t>Imphal</t>
  </si>
  <si>
    <t>KASIMKOTA</t>
  </si>
  <si>
    <t>Malegaon</t>
  </si>
  <si>
    <t>NATTAKOM</t>
  </si>
  <si>
    <t>Pakala</t>
  </si>
  <si>
    <t>Perinthalmanna</t>
  </si>
  <si>
    <t>VADASSERIKKARA</t>
  </si>
  <si>
    <t>YELESWARAM</t>
  </si>
  <si>
    <t>Times Square - Stall 1</t>
  </si>
  <si>
    <t>SEVEBK11344</t>
  </si>
  <si>
    <t>SEVEBK11345</t>
  </si>
  <si>
    <t>Office</t>
  </si>
  <si>
    <t>ADOFRT10637</t>
  </si>
  <si>
    <t>Okhla Office</t>
  </si>
  <si>
    <t>ADOFRT10638</t>
  </si>
  <si>
    <t>Delhi NCR</t>
  </si>
  <si>
    <t>ADOFAS11354</t>
  </si>
  <si>
    <t>Additional Work</t>
  </si>
  <si>
    <t>IBC Knowledge Park-Category room- Tower D Additional Work</t>
  </si>
  <si>
    <t>CBD Shahadra</t>
  </si>
  <si>
    <t>ADOFAS11458</t>
  </si>
  <si>
    <t>Performax Category room – At IBC Tower B, 4th Floor</t>
  </si>
  <si>
    <t>Ajio Studio</t>
  </si>
  <si>
    <t>ADOFAS11743</t>
  </si>
  <si>
    <t>NRFC</t>
  </si>
  <si>
    <t>7th floor (Prakshdeep Building )</t>
  </si>
  <si>
    <t>SEVEBK12642</t>
  </si>
  <si>
    <t>ADOFRT12644</t>
  </si>
  <si>
    <t>SEVEBK12858</t>
  </si>
  <si>
    <t>Kiosk-Avanche 1, Hinjewadi</t>
  </si>
  <si>
    <t>NSO 7-Eleven-Dehire</t>
  </si>
  <si>
    <t>Urban Ladder -Dehiring</t>
  </si>
  <si>
    <t>Urban Ladder -SIS</t>
  </si>
  <si>
    <t>Additional Work-NETMED COCO</t>
  </si>
  <si>
    <t>Dropped</t>
  </si>
  <si>
    <t>JioMart digital</t>
  </si>
  <si>
    <t>Kiosk 247 Embassy, Vikhroli, Mumbai-1</t>
  </si>
  <si>
    <t>NSO 7-Eleven</t>
  </si>
  <si>
    <t>On Hold</t>
  </si>
  <si>
    <t>SDR Done - ML Pending</t>
  </si>
  <si>
    <t>SEVEBK13813</t>
  </si>
  <si>
    <t xml:space="preserve">DCDCKQ5EU00 </t>
  </si>
  <si>
    <t>Kiosk Marathon, FutureX, Lower Parel -Mumbai-1</t>
  </si>
  <si>
    <t>SEVEBK14014</t>
  </si>
  <si>
    <t>RIL- Jamnagar Retail Mall</t>
  </si>
  <si>
    <t>Jamnagar</t>
  </si>
  <si>
    <t>URBLKC14062</t>
  </si>
  <si>
    <t>NA</t>
  </si>
  <si>
    <t>Design in Progress</t>
  </si>
  <si>
    <t>SEVEBK13812</t>
  </si>
  <si>
    <t>% Completion</t>
  </si>
  <si>
    <t>Centro Bellandur, Bangalore (Partial area Partition &amp; Fixture Works)</t>
  </si>
  <si>
    <t>Kiosk Commerzone Yerwada</t>
  </si>
  <si>
    <t>Kiosk Commerzone Kharadi</t>
  </si>
  <si>
    <t>Kiosk Fortis Mulund</t>
  </si>
  <si>
    <t>URBSAS14526</t>
  </si>
  <si>
    <t>SEVEBK14527</t>
  </si>
  <si>
    <t>SEVEBK14528</t>
  </si>
  <si>
    <t>SEVEBK14529</t>
  </si>
  <si>
    <t>SEVEBK14530</t>
  </si>
  <si>
    <t>Kiosk Panchshil Business Tech Park ,Viman Nagar</t>
  </si>
  <si>
    <t>Kiosk Panchshil EON W-Wakad</t>
  </si>
  <si>
    <t>SEVEBK14548</t>
  </si>
  <si>
    <t>SEVEBK14549</t>
  </si>
  <si>
    <t>Pending</t>
  </si>
  <si>
    <t>NETMTQH1F00</t>
  </si>
  <si>
    <t>NETMKQHTT00</t>
  </si>
  <si>
    <t>NETMKQ3T200</t>
  </si>
  <si>
    <t>NETMGQIJJ00</t>
  </si>
  <si>
    <t>NETMVQECU00</t>
  </si>
  <si>
    <t>NETMWQDWN00</t>
  </si>
  <si>
    <t>NETMVQ9W500</t>
  </si>
  <si>
    <t>NETMFQB7S00</t>
  </si>
  <si>
    <t>NETMFQ6ON00</t>
  </si>
  <si>
    <t>NETMVQB1O00</t>
  </si>
  <si>
    <t>NETMPQDWF00</t>
  </si>
  <si>
    <t>NETMPQCZO00</t>
  </si>
  <si>
    <t>NETMTQBIW00</t>
  </si>
  <si>
    <t>NETMAQDPV00</t>
  </si>
  <si>
    <t>NETMVQB1G00</t>
  </si>
  <si>
    <t>NETMAQCXP00</t>
  </si>
  <si>
    <t>NETMAQ7Z800</t>
  </si>
  <si>
    <t>NETMVQCEZ00</t>
  </si>
  <si>
    <t>NETMAQ7Z900</t>
  </si>
  <si>
    <t>NETMVQBUB00</t>
  </si>
  <si>
    <t>NETMAQ6KH00</t>
  </si>
  <si>
    <t>ML Received - Design WIP</t>
  </si>
  <si>
    <t>Sector 14, Gurgoan</t>
  </si>
  <si>
    <t>Gurgoan</t>
  </si>
  <si>
    <t>MIRERT14584</t>
  </si>
  <si>
    <t>Urban Ladder - Refit</t>
  </si>
  <si>
    <t>SEVEBK14678</t>
  </si>
  <si>
    <t>SEVEBK14695</t>
  </si>
  <si>
    <t>SEVEBK14696</t>
  </si>
  <si>
    <t>ONLINE NETMED STORE_BHANDUP METRO</t>
  </si>
  <si>
    <t>PHCOKC14704</t>
  </si>
  <si>
    <t>Mindspace Gigaplex , Airoli W</t>
  </si>
  <si>
    <t>URLAKQX7E00</t>
  </si>
  <si>
    <t>Hareshprasad M</t>
  </si>
  <si>
    <t>BITS Kalyan shop no 6&amp;7</t>
  </si>
  <si>
    <t>Office-Dehire</t>
  </si>
  <si>
    <t>NETMED COCO</t>
  </si>
  <si>
    <t>Dehire-D'Victoria Mall, Borivali</t>
  </si>
  <si>
    <t>Dehire-Smart Bazaar, Kothrud Road, Pune</t>
  </si>
  <si>
    <t>7-Eleven - Additional Work</t>
  </si>
  <si>
    <t>Kiosk Panchshil Vantage, Kharadi, Pune</t>
  </si>
  <si>
    <t>SEVEBK15001</t>
  </si>
  <si>
    <t>SEVDKC15002</t>
  </si>
  <si>
    <t>SEVDKC15003</t>
  </si>
  <si>
    <t>SEVDKC15004</t>
  </si>
  <si>
    <t>SEVDKC15005</t>
  </si>
  <si>
    <t>Rupa Solitare, Koparkhairane - Relay Work</t>
  </si>
  <si>
    <t>Home and Décor, Kumaranalloor Store</t>
  </si>
  <si>
    <t>Kottayam</t>
  </si>
  <si>
    <t>7ICRMQHMT00</t>
  </si>
  <si>
    <t>One International, Lower Parel, Mumbai</t>
  </si>
  <si>
    <t>MIREBK15075</t>
  </si>
  <si>
    <t>MIDHAK15077</t>
  </si>
  <si>
    <t>SEVEBK15078</t>
  </si>
  <si>
    <t>SEVEBK15079</t>
  </si>
  <si>
    <t>SEVEBK15080</t>
  </si>
  <si>
    <t>HVAC Initiative _Chaturbhuj Kharghar</t>
  </si>
  <si>
    <t>HVAC Initiative _Samrin Heritage</t>
  </si>
  <si>
    <t>HVAC Initiative _Sai Miracle In homes Kharghar</t>
  </si>
  <si>
    <t>MIREBK15280</t>
  </si>
  <si>
    <t>MIREBK15281</t>
  </si>
  <si>
    <t>MIREBK15282</t>
  </si>
  <si>
    <t>Urmi Real Estate, Lower Parel, Mumbai</t>
  </si>
  <si>
    <t xml:space="preserve">HVAC-Haware Centurion </t>
  </si>
  <si>
    <t>SEVEBK15459</t>
  </si>
  <si>
    <t>SEVEBK15462</t>
  </si>
  <si>
    <t>MIREBK15463</t>
  </si>
  <si>
    <t>Nishant narsapur</t>
  </si>
  <si>
    <t>HVAC Initiative _Giriraj Seawoods</t>
  </si>
  <si>
    <t>HVAC Initiative _Platinum Experio Kalamboli</t>
  </si>
  <si>
    <t xml:space="preserve">HVAC Initiative _Mulund Munish Apartment </t>
  </si>
  <si>
    <t>Count of EPC Status</t>
  </si>
  <si>
    <t>Total</t>
  </si>
  <si>
    <t>7-Eleven
(COCO+FOFO)</t>
  </si>
  <si>
    <t>JMD ( Jio Mart Digital )</t>
  </si>
  <si>
    <t>Netmeds</t>
  </si>
  <si>
    <t>Total Projects</t>
  </si>
  <si>
    <t>Misc. Formats - AOP Plan FY 26-27</t>
  </si>
  <si>
    <t>Misc Formats - Zone Wise Summary</t>
  </si>
  <si>
    <t>MIREBK15560</t>
  </si>
  <si>
    <t>MIREBK15561</t>
  </si>
  <si>
    <t>MIREBK15562</t>
  </si>
  <si>
    <t>MIREBK15563</t>
  </si>
  <si>
    <t>Kiosk Reliable Tech Park(Empire Tower), Airoli-1</t>
  </si>
  <si>
    <t>Bhavan's College  Andheri</t>
  </si>
  <si>
    <t>RPS More , Patna - Second Floor</t>
  </si>
  <si>
    <t>Dehire-Smart Bazaar, Orion mall,Panvel</t>
  </si>
  <si>
    <t>SEVEBK15761</t>
  </si>
  <si>
    <t>URBLSD15762</t>
  </si>
  <si>
    <t>Rajesh Nikalaje</t>
  </si>
  <si>
    <t>Twin Tower- RCP, Ghansoli .</t>
  </si>
  <si>
    <t>Sh. Debkamal B</t>
  </si>
  <si>
    <t>SEVEBK16026</t>
  </si>
  <si>
    <t xml:space="preserve">HVAC Initiative _Shree Siddhivinayak Koparkhairane </t>
  </si>
  <si>
    <t>DH-7ICR-451-9132-MH-T1IY</t>
  </si>
  <si>
    <t>DH-7ICR-451-9132-MH-T1JL</t>
  </si>
  <si>
    <t>DH-7ICR-451-9132-MH-T52V</t>
  </si>
  <si>
    <t>Ajay Kumar</t>
  </si>
  <si>
    <t>Prashant Wankhede</t>
  </si>
  <si>
    <t>DH-7ICR-451-9132-MH-TAXP</t>
  </si>
  <si>
    <t>Dehire-Smart Bazaar, Xperia Mall, Dombivali</t>
  </si>
  <si>
    <t>Kiosk Kohinoor World Tower, Pimpri Chinchwad</t>
  </si>
  <si>
    <t>Kiosk One World, Lower Parel, Mumbai</t>
  </si>
  <si>
    <t>Kiosk AIMS Hospital, Dombivli</t>
  </si>
  <si>
    <t>RFC Offered</t>
  </si>
  <si>
    <t>Rx Stores - New</t>
  </si>
  <si>
    <t>Rx Stores - Existing</t>
  </si>
  <si>
    <t>COCO Stores</t>
  </si>
  <si>
    <t>Non Rx Stores</t>
  </si>
  <si>
    <t>SEVEBK16192</t>
  </si>
  <si>
    <t>7ICRMQIBY00</t>
  </si>
  <si>
    <t>Godrej II, Vikhroli</t>
  </si>
  <si>
    <t>Cosmoss Gadget</t>
  </si>
  <si>
    <t>DB DIGITAL MART</t>
  </si>
  <si>
    <t>Panipat</t>
  </si>
  <si>
    <t>Dholpur</t>
  </si>
  <si>
    <t>JMDHR000650</t>
  </si>
  <si>
    <t>JMDRJ000675</t>
  </si>
  <si>
    <t>YTS</t>
  </si>
  <si>
    <t>SEVEBK16290</t>
  </si>
  <si>
    <t>JIDGKC16291</t>
  </si>
  <si>
    <t>JIDGKC16292</t>
  </si>
  <si>
    <t>FY</t>
  </si>
  <si>
    <t>2026-2027</t>
  </si>
  <si>
    <t>EA Office Space - 5th Floor - Netmeds Office, Chennai</t>
  </si>
  <si>
    <t>Chennai</t>
  </si>
  <si>
    <t>Kiosk Pune Metro Wipro Station</t>
  </si>
  <si>
    <t>Kiosk Pune Metro Infosys Station</t>
  </si>
  <si>
    <t>Kiosk Pune Metro Pall India Station</t>
  </si>
  <si>
    <t>Kiosk Pune Metro Wakad Chowk</t>
  </si>
  <si>
    <t>Kiosk Pune Metro- Agriculture Station</t>
  </si>
  <si>
    <t>Bhumi World, Bhiwandi Bypass</t>
  </si>
  <si>
    <t>Snooze House, Amantran, Dombivli</t>
  </si>
  <si>
    <t>Gabi Business Park, Bhivandi Bypass</t>
  </si>
  <si>
    <t>MIDHAK16420</t>
  </si>
  <si>
    <t>SEVEBK16421</t>
  </si>
  <si>
    <t>SEVEBK16422</t>
  </si>
  <si>
    <t>SEVEBK16423</t>
  </si>
  <si>
    <t>SEVEBK16424</t>
  </si>
  <si>
    <t>SEVEBK16425</t>
  </si>
  <si>
    <t>SEVEBK16426</t>
  </si>
  <si>
    <t>SEVEBK16427</t>
  </si>
  <si>
    <t>SEVEBK16428</t>
  </si>
  <si>
    <t>ADOFAS10639</t>
  </si>
  <si>
    <t>IBC Knowledge Park-Tower B
1st, 3rd &amp; 7th Floor</t>
  </si>
  <si>
    <t>DCDCKQCDJ00</t>
  </si>
  <si>
    <t>ADOFAS10640</t>
  </si>
  <si>
    <t>IBC Knowledge Park Tower A - 5th</t>
  </si>
  <si>
    <t>DCDCKQ5EV00</t>
  </si>
  <si>
    <t>SESBBK10620</t>
  </si>
  <si>
    <t>Metro Mall, Kalyan</t>
  </si>
  <si>
    <t>Chaitanya ,Viman Nagar -Pune.</t>
  </si>
  <si>
    <t>Keppel Tensteps Kharadi Pune</t>
  </si>
  <si>
    <t>Godrej, Koregaon Park, Pune</t>
  </si>
  <si>
    <t>Mumbai Metro -Aqua Line - MIDC</t>
  </si>
  <si>
    <t>Mumbai Metro -Aqua Line  - BKC</t>
  </si>
  <si>
    <t>Mumbai Metro -Aqua Line - Dadar</t>
  </si>
  <si>
    <t>Mumbai Metro -Aqua Line  - Worli</t>
  </si>
  <si>
    <t>Mumbai Metro -Aqua Line  - CSMT</t>
  </si>
  <si>
    <t>Mumbai Metro -Line 2&amp;7  - Andheri W</t>
  </si>
  <si>
    <t>Mumbai Metro -Line 2&amp;7 - Gundavali</t>
  </si>
  <si>
    <t>Mumbai Metro -Line 2&amp;7  - Dahisar</t>
  </si>
  <si>
    <t>SDR In Progress</t>
  </si>
  <si>
    <t>JMDKA000666</t>
  </si>
  <si>
    <t>Nanjangud</t>
  </si>
  <si>
    <t>Sri Electronics</t>
  </si>
  <si>
    <t>SIS</t>
  </si>
  <si>
    <t>Centro, Patna</t>
  </si>
  <si>
    <t>Centro, Thakur Mall Dahisar</t>
  </si>
  <si>
    <t>SEVEBK16515</t>
  </si>
  <si>
    <t>SEVEBK16516</t>
  </si>
  <si>
    <t>SEVEBK16517</t>
  </si>
  <si>
    <t>SEVEBK16518</t>
  </si>
  <si>
    <t>SEVEBK16519</t>
  </si>
  <si>
    <t>SEVEBK16520</t>
  </si>
  <si>
    <t>SEVEBK16521</t>
  </si>
  <si>
    <t>SEVEBK16522</t>
  </si>
  <si>
    <t>SEVEBK16523</t>
  </si>
  <si>
    <t>SEVEBK16524</t>
  </si>
  <si>
    <t>SEVEBK16525</t>
  </si>
  <si>
    <t>JIDGAK16526</t>
  </si>
  <si>
    <t>URBSSD16527</t>
  </si>
  <si>
    <t>URBSBK16528</t>
  </si>
  <si>
    <t>Creaticity - Pune</t>
  </si>
  <si>
    <t>Electronic City, Hosur Road</t>
  </si>
  <si>
    <t>Agastya Corporate Park, Piramal Realty, Kurla</t>
  </si>
  <si>
    <t>Wah Punjab, Pune</t>
  </si>
  <si>
    <t>Runwal Garden, Dombivli</t>
  </si>
  <si>
    <t>One BKC, Mumbai</t>
  </si>
  <si>
    <t>Yashwant Prestige, Virar</t>
  </si>
  <si>
    <t>Capital Mall, Vasai  1</t>
  </si>
  <si>
    <t>ANJANEYA MOBILES</t>
  </si>
  <si>
    <t>METHI INDUSTRIES</t>
  </si>
  <si>
    <t>Telangana</t>
  </si>
  <si>
    <t>Gadwal</t>
  </si>
  <si>
    <t>Sawaimadhopur</t>
  </si>
  <si>
    <t>JMDTG000669</t>
  </si>
  <si>
    <t>JMDRJ000676</t>
  </si>
  <si>
    <t>Airport road , Hunsmaranhalli, Bangalore</t>
  </si>
  <si>
    <t>Rk salai - 8105 Trends 2nd floor, Chennai</t>
  </si>
  <si>
    <t>Tamilnadu</t>
  </si>
  <si>
    <t>Pizza Hut, Versova- Mumbai</t>
  </si>
  <si>
    <t>Vastu Viva Building, Wakad, Pune</t>
  </si>
  <si>
    <t>Idukki</t>
  </si>
  <si>
    <t>Impulse Mobiles</t>
  </si>
  <si>
    <t>JMDKL000661</t>
  </si>
  <si>
    <t>93 Avenue, Pune</t>
  </si>
  <si>
    <t>Capital Mall, Vasai/Nalasopara</t>
  </si>
  <si>
    <t>Kiosk DAKC, Ghansoli</t>
  </si>
  <si>
    <t>Kiosk Peninsula Business Park, Lower Parel, Mumbai</t>
  </si>
  <si>
    <t>Piramal Mahalaxmi , Mumbai</t>
  </si>
  <si>
    <t>Piramal Byculla , Mumbai</t>
  </si>
  <si>
    <t xml:space="preserve">Flame University, Pune Campus. </t>
  </si>
  <si>
    <t>KIMS, Hospital -Thane</t>
  </si>
  <si>
    <t>Plutonium Business Park, Turbhe</t>
  </si>
  <si>
    <t>Ace Signature, Thane</t>
  </si>
  <si>
    <t>Mumbai Metro Station, Andheri (W), Line2A - Yellow Line</t>
  </si>
  <si>
    <t>Sandesh Agencies</t>
  </si>
  <si>
    <t>NEXUS ENTERPRISES</t>
  </si>
  <si>
    <t>JMDMH000658</t>
  </si>
  <si>
    <t>JMDKA000670</t>
  </si>
  <si>
    <t>URBLBK16607</t>
  </si>
  <si>
    <t>URBLSZ FO16608</t>
  </si>
  <si>
    <t>SEVEBK16617</t>
  </si>
  <si>
    <t>SEVEBK16618</t>
  </si>
  <si>
    <t>SEVEBK16619</t>
  </si>
  <si>
    <t>SEVEBK16620</t>
  </si>
  <si>
    <t>SEVEBK16621</t>
  </si>
  <si>
    <t>SEVEBK16694</t>
  </si>
  <si>
    <t>JIDGAK16636</t>
  </si>
  <si>
    <t>JIDGKC16637</t>
  </si>
  <si>
    <t>URBLSZ FO16679</t>
  </si>
  <si>
    <t>ADOFSZ FO16680</t>
  </si>
  <si>
    <t>SEVEBK16681</t>
  </si>
  <si>
    <t>SEVEBK16682</t>
  </si>
  <si>
    <t>SEVEBK16683</t>
  </si>
  <si>
    <t>JIDGAK16684</t>
  </si>
  <si>
    <t>SEVEBK16685</t>
  </si>
  <si>
    <t>SEVEBK16686</t>
  </si>
  <si>
    <t>SEVEBK16687</t>
  </si>
  <si>
    <t>SEVEBK16688</t>
  </si>
  <si>
    <t>SEVEBK16689</t>
  </si>
  <si>
    <t>SEVEBK16690</t>
  </si>
  <si>
    <t>SEVEBK16691</t>
  </si>
  <si>
    <t>JIDGKC16692</t>
  </si>
  <si>
    <t>JIDGAK16693</t>
  </si>
  <si>
    <t>Urban Ladder (NSO + Refit)</t>
  </si>
  <si>
    <t>Panchshil Business Hub (Kharadi 40) Kharadi, Pune</t>
  </si>
  <si>
    <t>Kiosk-Solitaire Business Hub ,Viman Nagar 2</t>
  </si>
  <si>
    <t>Ghatkopar Line 1 Mumbai Metro Station</t>
  </si>
  <si>
    <t>Saki Naka Line 1 Mumbai Metro</t>
  </si>
  <si>
    <t>Chakala Line 1 Mumbai Metro Store 2</t>
  </si>
  <si>
    <t>Chakala Line 1 Mumbai Metro</t>
  </si>
  <si>
    <t>Airport Road Line 1 Mumbai Metro Station</t>
  </si>
  <si>
    <t>Soho Shop No 2,3 , Shastri Nagar, Pune</t>
  </si>
  <si>
    <t>Hermes Complex, Shastri Nagar, Pune</t>
  </si>
  <si>
    <t xml:space="preserve">VI Store, Ratan Height, Mahim </t>
  </si>
  <si>
    <t>God Gift, LJ Road, Mahim</t>
  </si>
  <si>
    <t>Queens Lawn CHS, Vile Parle</t>
  </si>
  <si>
    <t>VTP Atherus, Mahalunge, Pune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</si>
</sst>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 #,##0.00_ ;_ * \-#,##0.00_ ;_ * &quot;-&quot;??_ ;_ @_ "/>
    <numFmt numFmtId="164" formatCode="#;#;\-"/>
    <numFmt numFmtId="165" formatCode="_(* #,##0.00_);_(* \(#,##0.00\);_(* &quot;-&quot;??_);_(@_)"/>
  </numFmts>
  <fonts count="21" x14ac:knownFonts="1">
    <font>
      <sz val="11"/>
      <color theme="1"/>
      <name val="Calibri"/>
      <family val="2"/>
      <scheme val="minor"/>
    </font>
    <font>
      <sz val="11"/>
      <color theme="1"/>
      <name val="Calibri"/>
      <family val="2"/>
      <scheme val="minor"/>
    </font>
    <font>
      <sz val="10"/>
      <color theme="1"/>
      <name val="Calibri"/>
      <family val="2"/>
      <scheme val="minor"/>
    </font>
    <font>
      <sz val="10"/>
      <name val="Arial"/>
      <family val="2"/>
    </font>
    <font>
      <b/>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b/>
      <sz val="14"/>
      <color theme="1"/>
      <name val="Calibri"/>
      <family val="2"/>
      <scheme val="minor"/>
    </font>
    <font>
      <sz val="11"/>
      <name val="Calibri"/>
      <family val="2"/>
      <scheme val="minor"/>
    </font>
    <font>
      <sz val="12"/>
      <color theme="1"/>
      <name val="Calibri"/>
      <family val="2"/>
      <scheme val="minor"/>
    </font>
    <font>
      <sz val="14"/>
      <color theme="1"/>
      <name val="Calibri"/>
      <family val="2"/>
      <scheme val="minor"/>
    </font>
    <font>
      <b/>
      <u/>
      <sz val="16"/>
      <name val="Bahnschrift"/>
      <family val="2"/>
    </font>
    <font>
      <b/>
      <sz val="12"/>
      <color theme="0"/>
      <name val="Calibri"/>
      <family val="2"/>
      <scheme val="minor"/>
    </font>
    <font>
      <b/>
      <sz val="12"/>
      <color rgb="FFFF0000"/>
      <name val="Calibri"/>
      <family val="2"/>
      <scheme val="minor"/>
    </font>
    <font>
      <b/>
      <sz val="12"/>
      <name val="Calibri"/>
      <family val="2"/>
      <scheme val="minor"/>
    </font>
    <font>
      <sz val="12"/>
      <color rgb="FF000000"/>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theme="5" tint="0.59999389629810485"/>
        <bgColor indexed="64"/>
      </patternFill>
    </fill>
    <fill>
      <patternFill patternType="solid">
        <fgColor theme="4" tint="0.59999389629810485"/>
        <bgColor theme="4" tint="0.79998168889431442"/>
      </patternFill>
    </fill>
    <fill>
      <patternFill patternType="solid">
        <fgColor theme="9"/>
        <bgColor indexed="64"/>
      </patternFill>
    </fill>
    <fill>
      <patternFill patternType="solid">
        <fgColor theme="3" tint="0.59999389629810485"/>
        <bgColor indexed="64"/>
      </patternFill>
    </fill>
    <fill>
      <patternFill patternType="solid">
        <fgColor theme="5" tint="0.79998168889431442"/>
        <bgColor indexed="64"/>
      </patternFill>
    </fill>
    <fill>
      <patternFill patternType="solid">
        <fgColor rgb="FF00B0F0"/>
        <bgColor indexed="64"/>
      </patternFill>
    </fill>
    <fill>
      <patternFill patternType="solid">
        <fgColor theme="7" tint="0.79998168889431442"/>
        <bgColor indexed="64"/>
      </patternFill>
    </fill>
    <fill>
      <patternFill patternType="solid">
        <fgColor theme="7" tint="0.39997558519241921"/>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s>
  <cellStyleXfs count="8">
    <xf numFmtId="0" fontId="0" fillId="0" borderId="0"/>
    <xf numFmtId="0" fontId="3" fillId="0" borderId="0" applyNumberForma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175">
    <xf numFmtId="0" fontId="0" fillId="0" borderId="0" xfId="0"/>
    <xf numFmtId="0" fontId="2" fillId="0" borderId="0" xfId="0" applyFont="1" applyAlignment="1">
      <alignment horizontal="center" vertical="center" wrapText="1"/>
    </xf>
    <xf numFmtId="15" fontId="2" fillId="0" borderId="0" xfId="0" applyNumberFormat="1" applyFont="1" applyAlignment="1">
      <alignment horizontal="center" vertical="center" wrapText="1"/>
    </xf>
    <xf numFmtId="1" fontId="2" fillId="0" borderId="0" xfId="0" applyNumberFormat="1" applyFont="1" applyAlignment="1">
      <alignment horizontal="center" vertical="center" wrapText="1"/>
    </xf>
    <xf numFmtId="0" fontId="2" fillId="0" borderId="0" xfId="0" applyFont="1" applyAlignment="1">
      <alignment horizontal="center" vertical="center"/>
    </xf>
    <xf numFmtId="15" fontId="2" fillId="0" borderId="0" xfId="0" applyNumberFormat="1" applyFont="1" applyAlignment="1">
      <alignment horizontal="center" vertical="center"/>
    </xf>
    <xf numFmtId="1" fontId="2" fillId="0" borderId="0" xfId="0" applyNumberFormat="1" applyFont="1" applyAlignment="1">
      <alignment horizontal="center" vertical="center"/>
    </xf>
    <xf numFmtId="0" fontId="2" fillId="0" borderId="0" xfId="0" applyNumberFormat="1" applyFont="1" applyAlignment="1">
      <alignment horizontal="center" vertical="center"/>
    </xf>
    <xf numFmtId="0" fontId="4" fillId="4" borderId="3" xfId="0" applyNumberFormat="1" applyFont="1" applyFill="1" applyBorder="1" applyAlignment="1">
      <alignment horizontal="center" vertical="center" wrapText="1"/>
    </xf>
    <xf numFmtId="0" fontId="4" fillId="3" borderId="1" xfId="0" applyFont="1" applyFill="1" applyBorder="1" applyAlignment="1">
      <alignment horizontal="left" vertical="center"/>
    </xf>
    <xf numFmtId="164" fontId="4" fillId="3" borderId="1" xfId="0" applyNumberFormat="1" applyFont="1" applyFill="1" applyBorder="1" applyAlignment="1">
      <alignment horizontal="center" vertical="center"/>
    </xf>
    <xf numFmtId="0" fontId="2" fillId="0" borderId="1" xfId="0" applyFont="1" applyBorder="1" applyAlignment="1">
      <alignment horizontal="left" vertical="center"/>
    </xf>
    <xf numFmtId="164" fontId="2" fillId="0" borderId="1" xfId="0" applyNumberFormat="1" applyFont="1" applyBorder="1" applyAlignment="1">
      <alignment horizontal="center" vertical="center"/>
    </xf>
    <xf numFmtId="0" fontId="2" fillId="0" borderId="1" xfId="0" applyFont="1" applyFill="1" applyBorder="1" applyAlignment="1">
      <alignment horizontal="left" vertical="center"/>
    </xf>
    <xf numFmtId="164" fontId="2" fillId="0" borderId="1" xfId="0" applyNumberFormat="1" applyFont="1" applyFill="1" applyBorder="1" applyAlignment="1">
      <alignment horizontal="center" vertical="center"/>
    </xf>
    <xf numFmtId="0" fontId="2" fillId="6" borderId="1" xfId="0" applyFont="1" applyFill="1" applyBorder="1" applyAlignment="1">
      <alignment horizontal="left" vertical="center"/>
    </xf>
    <xf numFmtId="164" fontId="2" fillId="6" borderId="1" xfId="0" applyNumberFormat="1" applyFont="1" applyFill="1" applyBorder="1" applyAlignment="1">
      <alignment horizontal="center" vertical="center"/>
    </xf>
    <xf numFmtId="0" fontId="4" fillId="3" borderId="4" xfId="0" applyFont="1" applyFill="1" applyBorder="1" applyAlignment="1">
      <alignment horizontal="center" vertical="center"/>
    </xf>
    <xf numFmtId="0" fontId="2" fillId="5" borderId="4" xfId="0" applyFont="1" applyFill="1" applyBorder="1" applyAlignment="1">
      <alignment horizontal="center" vertical="center"/>
    </xf>
    <xf numFmtId="0" fontId="2" fillId="6" borderId="4" xfId="0" applyFont="1" applyFill="1" applyBorder="1" applyAlignment="1">
      <alignment horizontal="center" vertical="center"/>
    </xf>
    <xf numFmtId="0" fontId="2" fillId="0" borderId="4" xfId="0" applyFont="1" applyFill="1" applyBorder="1" applyAlignment="1">
      <alignment horizontal="center" vertical="center"/>
    </xf>
    <xf numFmtId="0" fontId="2" fillId="0" borderId="4" xfId="0" applyFont="1" applyBorder="1" applyAlignment="1">
      <alignment horizontal="center" vertical="center"/>
    </xf>
    <xf numFmtId="0" fontId="4" fillId="4" borderId="5" xfId="0" applyFont="1" applyFill="1" applyBorder="1" applyAlignment="1">
      <alignment horizontal="center" vertical="center" wrapText="1"/>
    </xf>
    <xf numFmtId="0" fontId="4" fillId="4" borderId="6" xfId="0" applyFont="1" applyFill="1" applyBorder="1" applyAlignment="1">
      <alignment horizontal="center" vertical="center"/>
    </xf>
    <xf numFmtId="0" fontId="4" fillId="7" borderId="2" xfId="0" applyFont="1" applyFill="1" applyBorder="1" applyAlignment="1">
      <alignment horizontal="left" vertical="center"/>
    </xf>
    <xf numFmtId="164" fontId="4" fillId="4" borderId="2" xfId="0" applyNumberFormat="1" applyFont="1" applyFill="1" applyBorder="1" applyAlignment="1">
      <alignment horizontal="center" vertical="center" wrapText="1"/>
    </xf>
    <xf numFmtId="0" fontId="5" fillId="0" borderId="1" xfId="0" applyFont="1" applyBorder="1" applyAlignment="1">
      <alignment horizontal="left" vertical="center"/>
    </xf>
    <xf numFmtId="0" fontId="5" fillId="0" borderId="1" xfId="0" applyFont="1" applyFill="1" applyBorder="1" applyAlignment="1">
      <alignment horizontal="left" vertical="center"/>
    </xf>
    <xf numFmtId="0" fontId="6" fillId="0" borderId="1" xfId="0" applyFont="1" applyBorder="1" applyAlignment="1">
      <alignment horizontal="left" vertical="center"/>
    </xf>
    <xf numFmtId="0" fontId="6" fillId="0" borderId="1" xfId="0" applyFont="1" applyFill="1" applyBorder="1" applyAlignment="1">
      <alignment horizontal="left" vertical="center"/>
    </xf>
    <xf numFmtId="164" fontId="6" fillId="0" borderId="1" xfId="0" applyNumberFormat="1" applyFont="1" applyBorder="1" applyAlignment="1">
      <alignment horizontal="center" vertical="center"/>
    </xf>
    <xf numFmtId="0" fontId="7" fillId="0" borderId="1" xfId="0" applyFont="1" applyBorder="1" applyAlignment="1">
      <alignment horizontal="left" vertical="center"/>
    </xf>
    <xf numFmtId="0" fontId="8" fillId="0" borderId="0" xfId="0" applyNumberFormat="1" applyFont="1" applyAlignment="1">
      <alignment horizontal="center" vertical="center"/>
    </xf>
    <xf numFmtId="15" fontId="8" fillId="0" borderId="0" xfId="0" applyNumberFormat="1" applyFont="1" applyAlignment="1">
      <alignment horizontal="center" vertical="center"/>
    </xf>
    <xf numFmtId="1" fontId="8" fillId="0" borderId="0" xfId="0" applyNumberFormat="1" applyFont="1" applyAlignment="1">
      <alignment horizontal="center" vertical="center"/>
    </xf>
    <xf numFmtId="0" fontId="10" fillId="3" borderId="1" xfId="0" applyFont="1" applyFill="1" applyBorder="1" applyAlignment="1">
      <alignment horizontal="center" vertical="center"/>
    </xf>
    <xf numFmtId="0" fontId="10" fillId="3" borderId="1" xfId="0" applyNumberFormat="1" applyFont="1" applyFill="1" applyBorder="1" applyAlignment="1">
      <alignment horizontal="center" vertical="center"/>
    </xf>
    <xf numFmtId="0" fontId="10" fillId="3" borderId="1" xfId="0" applyNumberFormat="1" applyFont="1" applyFill="1" applyBorder="1" applyAlignment="1">
      <alignment horizontal="center" vertical="center" wrapText="1"/>
    </xf>
    <xf numFmtId="0" fontId="0" fillId="0" borderId="0" xfId="0" applyFont="1"/>
    <xf numFmtId="0" fontId="0" fillId="0" borderId="0" xfId="0" applyFont="1" applyAlignment="1">
      <alignment wrapText="1"/>
    </xf>
    <xf numFmtId="0" fontId="0" fillId="0" borderId="0" xfId="0" pivotButton="1" applyFont="1"/>
    <xf numFmtId="0" fontId="0" fillId="0" borderId="0" xfId="0" pivotButton="1" applyFont="1" applyAlignment="1">
      <alignment wrapText="1"/>
    </xf>
    <xf numFmtId="0" fontId="0" fillId="0" borderId="1" xfId="0" applyFont="1" applyBorder="1" applyAlignment="1">
      <alignment horizontal="left" vertical="center"/>
    </xf>
    <xf numFmtId="0" fontId="0" fillId="0" borderId="1" xfId="0" applyNumberFormat="1" applyFont="1" applyBorder="1" applyAlignment="1">
      <alignment horizontal="center" vertical="center" wrapText="1"/>
    </xf>
    <xf numFmtId="0" fontId="0" fillId="0" borderId="1" xfId="0" applyNumberFormat="1" applyFont="1" applyBorder="1" applyAlignment="1">
      <alignment horizontal="center" vertical="center"/>
    </xf>
    <xf numFmtId="0" fontId="0" fillId="0" borderId="0" xfId="0" applyFont="1" applyAlignment="1">
      <alignment horizontal="center" vertical="center" wrapText="1"/>
    </xf>
    <xf numFmtId="0" fontId="0" fillId="0" borderId="0" xfId="0" applyFont="1" applyAlignment="1">
      <alignment horizontal="center" vertical="center"/>
    </xf>
    <xf numFmtId="0" fontId="0" fillId="0" borderId="0" xfId="0" applyAlignment="1">
      <alignment wrapText="1"/>
    </xf>
    <xf numFmtId="0" fontId="11" fillId="0" borderId="1" xfId="0" applyFont="1" applyBorder="1" applyAlignment="1">
      <alignment horizontal="center" vertical="center" wrapText="1"/>
    </xf>
    <xf numFmtId="0" fontId="14" fillId="0" borderId="1" xfId="2" applyNumberFormat="1" applyFont="1" applyFill="1" applyBorder="1" applyAlignment="1">
      <alignment horizontal="center" vertical="center" wrapText="1"/>
    </xf>
    <xf numFmtId="14" fontId="14" fillId="0" borderId="1" xfId="2" applyNumberFormat="1" applyFont="1" applyFill="1" applyBorder="1" applyAlignment="1">
      <alignment horizontal="center" vertical="center" wrapText="1"/>
    </xf>
    <xf numFmtId="0" fontId="15" fillId="2" borderId="1" xfId="2" applyNumberFormat="1" applyFont="1" applyFill="1" applyBorder="1" applyAlignment="1">
      <alignment horizontal="center" vertical="center" wrapText="1"/>
    </xf>
    <xf numFmtId="0" fontId="16" fillId="8" borderId="1" xfId="2" applyNumberFormat="1" applyFont="1" applyFill="1" applyBorder="1" applyAlignment="1">
      <alignment horizontal="center" vertical="center" wrapText="1"/>
    </xf>
    <xf numFmtId="0" fontId="11" fillId="0" borderId="1" xfId="0" applyFont="1" applyBorder="1" applyAlignment="1">
      <alignment horizontal="center" vertical="center"/>
    </xf>
    <xf numFmtId="0" fontId="16" fillId="11" borderId="1" xfId="2" applyNumberFormat="1" applyFont="1" applyFill="1" applyBorder="1" applyAlignment="1">
      <alignment horizontal="center" vertical="center" wrapText="1"/>
    </xf>
    <xf numFmtId="0" fontId="10" fillId="3" borderId="6" xfId="0" applyFont="1" applyFill="1" applyBorder="1" applyAlignment="1">
      <alignment horizontal="center" vertical="center" wrapText="1"/>
    </xf>
    <xf numFmtId="0" fontId="10" fillId="3" borderId="8" xfId="0" applyFont="1" applyFill="1" applyBorder="1" applyAlignment="1">
      <alignment horizontal="center" vertical="center"/>
    </xf>
    <xf numFmtId="0" fontId="10" fillId="3" borderId="2" xfId="0" applyFont="1" applyFill="1" applyBorder="1" applyAlignment="1">
      <alignment horizontal="center" vertical="center" wrapText="1"/>
    </xf>
    <xf numFmtId="0" fontId="10" fillId="3" borderId="8" xfId="0" applyFont="1" applyFill="1" applyBorder="1" applyAlignment="1">
      <alignment horizontal="center" vertical="center" wrapText="1"/>
    </xf>
    <xf numFmtId="0" fontId="11" fillId="0" borderId="1" xfId="0" applyFont="1" applyFill="1" applyBorder="1" applyAlignment="1">
      <alignment horizontal="left" vertical="center" wrapText="1"/>
    </xf>
    <xf numFmtId="0" fontId="11" fillId="0" borderId="0" xfId="0" applyFont="1" applyFill="1" applyBorder="1"/>
    <xf numFmtId="0" fontId="10" fillId="3" borderId="9" xfId="0" applyFont="1" applyFill="1" applyBorder="1" applyAlignment="1">
      <alignment horizontal="center" vertical="center" wrapText="1"/>
    </xf>
    <xf numFmtId="9" fontId="16" fillId="11" borderId="1" xfId="2" applyNumberFormat="1" applyFont="1" applyFill="1" applyBorder="1" applyAlignment="1">
      <alignment horizontal="center" vertical="center" wrapText="1"/>
    </xf>
    <xf numFmtId="0" fontId="11" fillId="0" borderId="1" xfId="0" applyFont="1" applyFill="1" applyBorder="1" applyAlignment="1">
      <alignment horizontal="left" vertical="center"/>
    </xf>
    <xf numFmtId="0" fontId="11" fillId="0" borderId="1" xfId="0" applyFont="1" applyFill="1" applyBorder="1" applyAlignment="1">
      <alignment horizontal="center" vertical="center"/>
    </xf>
    <xf numFmtId="0" fontId="11" fillId="0" borderId="1" xfId="0" applyFont="1" applyFill="1" applyBorder="1" applyAlignment="1">
      <alignment horizontal="center" vertical="center" wrapText="1"/>
    </xf>
    <xf numFmtId="0" fontId="11" fillId="0" borderId="1" xfId="0" applyNumberFormat="1" applyFont="1" applyFill="1" applyBorder="1" applyAlignment="1">
      <alignment horizontal="center" vertical="center"/>
    </xf>
    <xf numFmtId="3" fontId="11" fillId="0" borderId="1" xfId="0" applyNumberFormat="1" applyFont="1" applyFill="1" applyBorder="1" applyAlignment="1">
      <alignment horizontal="center" vertical="center" wrapText="1"/>
    </xf>
    <xf numFmtId="14" fontId="11" fillId="0" borderId="1" xfId="0" applyNumberFormat="1" applyFont="1" applyFill="1" applyBorder="1" applyAlignment="1">
      <alignment horizontal="center" vertical="center" wrapText="1"/>
    </xf>
    <xf numFmtId="0" fontId="11" fillId="0" borderId="1" xfId="0" applyNumberFormat="1" applyFont="1" applyFill="1" applyBorder="1" applyAlignment="1">
      <alignment horizontal="center" vertical="center" wrapText="1"/>
    </xf>
    <xf numFmtId="0" fontId="11" fillId="0" borderId="1" xfId="0" applyFont="1" applyBorder="1" applyAlignment="1">
      <alignment vertical="center"/>
    </xf>
    <xf numFmtId="10" fontId="11" fillId="0" borderId="1" xfId="0" applyNumberFormat="1" applyFont="1" applyFill="1" applyBorder="1" applyAlignment="1">
      <alignment horizontal="left" vertical="center"/>
    </xf>
    <xf numFmtId="0" fontId="17" fillId="0" borderId="1" xfId="0" applyFont="1" applyBorder="1" applyAlignment="1">
      <alignment horizontal="center" vertical="center" wrapText="1"/>
    </xf>
    <xf numFmtId="0" fontId="11" fillId="0" borderId="1" xfId="0" applyFont="1" applyBorder="1" applyAlignment="1">
      <alignment horizontal="left" vertical="center"/>
    </xf>
    <xf numFmtId="0" fontId="17" fillId="0" borderId="1" xfId="0" applyFont="1" applyBorder="1" applyAlignment="1">
      <alignment horizontal="center" vertical="center"/>
    </xf>
    <xf numFmtId="0" fontId="11" fillId="0" borderId="0" xfId="0" applyFont="1" applyFill="1" applyBorder="1" applyAlignment="1">
      <alignment horizontal="center"/>
    </xf>
    <xf numFmtId="0" fontId="11" fillId="0" borderId="0" xfId="0" applyFont="1" applyFill="1" applyBorder="1" applyAlignment="1">
      <alignment horizontal="center" vertical="center" wrapText="1"/>
    </xf>
    <xf numFmtId="0" fontId="11" fillId="0" borderId="0" xfId="0" applyFont="1" applyFill="1" applyBorder="1" applyAlignment="1">
      <alignment vertical="center"/>
    </xf>
    <xf numFmtId="9" fontId="11" fillId="0" borderId="0" xfId="0" applyNumberFormat="1" applyFont="1" applyFill="1" applyBorder="1"/>
    <xf numFmtId="0" fontId="12" fillId="0" borderId="0" xfId="0" applyFont="1"/>
    <xf numFmtId="9" fontId="11" fillId="0" borderId="1" xfId="0" applyNumberFormat="1" applyFont="1" applyFill="1" applyBorder="1" applyAlignment="1">
      <alignment horizontal="left" vertical="center"/>
    </xf>
    <xf numFmtId="0" fontId="11" fillId="0" borderId="0" xfId="0" applyFont="1" applyFill="1" applyBorder="1" applyAlignment="1">
      <alignment horizontal="left"/>
    </xf>
    <xf numFmtId="0" fontId="11" fillId="0" borderId="1" xfId="0" applyFont="1" applyFill="1" applyBorder="1" applyAlignment="1">
      <alignment vertical="center"/>
    </xf>
    <xf numFmtId="0" fontId="11" fillId="0" borderId="1" xfId="2" applyNumberFormat="1" applyFont="1" applyFill="1" applyBorder="1" applyAlignment="1">
      <alignment horizontal="left" vertical="center"/>
    </xf>
    <xf numFmtId="0" fontId="11" fillId="0" borderId="1" xfId="0" applyNumberFormat="1" applyFont="1" applyBorder="1" applyAlignment="1">
      <alignment horizontal="center" vertical="center"/>
    </xf>
    <xf numFmtId="0" fontId="12" fillId="0" borderId="1" xfId="0" applyNumberFormat="1" applyFont="1" applyBorder="1" applyAlignment="1">
      <alignment horizontal="center" vertical="center"/>
    </xf>
    <xf numFmtId="0" fontId="12" fillId="0" borderId="1" xfId="0" applyNumberFormat="1" applyFont="1" applyBorder="1" applyAlignment="1">
      <alignment horizontal="center" vertical="center" wrapText="1"/>
    </xf>
    <xf numFmtId="0" fontId="11" fillId="0" borderId="1" xfId="0" applyNumberFormat="1" applyFont="1" applyFill="1" applyBorder="1" applyAlignment="1">
      <alignment horizontal="left" vertical="center"/>
    </xf>
    <xf numFmtId="0" fontId="12" fillId="0" borderId="13" xfId="0" applyNumberFormat="1" applyFont="1" applyBorder="1" applyAlignment="1">
      <alignment horizontal="center" vertical="center"/>
    </xf>
    <xf numFmtId="0" fontId="12" fillId="0" borderId="13" xfId="0" applyNumberFormat="1" applyFont="1" applyBorder="1" applyAlignment="1">
      <alignment horizontal="center" vertical="center" wrapText="1"/>
    </xf>
    <xf numFmtId="0" fontId="11" fillId="0" borderId="1" xfId="0" applyFont="1" applyBorder="1" applyAlignment="1">
      <alignment horizontal="center"/>
    </xf>
    <xf numFmtId="0" fontId="12" fillId="0" borderId="14" xfId="0" applyNumberFormat="1" applyFont="1" applyBorder="1" applyAlignment="1">
      <alignment horizontal="center" vertical="center" wrapText="1"/>
    </xf>
    <xf numFmtId="0" fontId="12" fillId="0" borderId="14" xfId="0" applyNumberFormat="1" applyFont="1" applyBorder="1" applyAlignment="1">
      <alignment horizontal="center" vertical="center"/>
    </xf>
    <xf numFmtId="0" fontId="12" fillId="0" borderId="1" xfId="0" pivotButton="1" applyFont="1" applyBorder="1" applyAlignment="1">
      <alignment wrapText="1"/>
    </xf>
    <xf numFmtId="0" fontId="12" fillId="0" borderId="1" xfId="0" pivotButton="1" applyFont="1" applyBorder="1"/>
    <xf numFmtId="0" fontId="12" fillId="0" borderId="1" xfId="0" applyFont="1" applyBorder="1" applyAlignment="1">
      <alignment wrapText="1"/>
    </xf>
    <xf numFmtId="0" fontId="12" fillId="0" borderId="17" xfId="0" applyFont="1" applyBorder="1" applyAlignment="1">
      <alignment horizontal="left" vertical="center" wrapText="1"/>
    </xf>
    <xf numFmtId="0" fontId="12" fillId="0" borderId="18" xfId="0" applyFont="1" applyBorder="1" applyAlignment="1">
      <alignment horizontal="left" vertical="center" wrapText="1"/>
    </xf>
    <xf numFmtId="0" fontId="12" fillId="0" borderId="19" xfId="0" applyFont="1" applyBorder="1" applyAlignment="1">
      <alignment horizontal="left" vertical="center" wrapText="1"/>
    </xf>
    <xf numFmtId="0" fontId="12" fillId="0" borderId="17" xfId="0" applyNumberFormat="1" applyFont="1" applyBorder="1" applyAlignment="1">
      <alignment horizontal="center" vertical="center" wrapText="1"/>
    </xf>
    <xf numFmtId="0" fontId="12" fillId="0" borderId="19" xfId="0" applyNumberFormat="1" applyFont="1" applyBorder="1" applyAlignment="1">
      <alignment horizontal="center" vertical="center" wrapText="1"/>
    </xf>
    <xf numFmtId="0" fontId="12" fillId="0" borderId="18" xfId="0" applyNumberFormat="1" applyFont="1" applyBorder="1" applyAlignment="1">
      <alignment horizontal="center" vertical="center" wrapText="1"/>
    </xf>
    <xf numFmtId="0" fontId="9" fillId="0" borderId="15" xfId="0" applyFont="1" applyBorder="1" applyAlignment="1">
      <alignment horizontal="center" vertical="center"/>
    </xf>
    <xf numFmtId="0" fontId="18" fillId="0" borderId="15" xfId="0" applyNumberFormat="1" applyFont="1" applyBorder="1" applyAlignment="1">
      <alignment horizontal="center" vertical="center"/>
    </xf>
    <xf numFmtId="0" fontId="0" fillId="0" borderId="1" xfId="0" pivotButton="1" applyBorder="1"/>
    <xf numFmtId="0" fontId="11" fillId="0" borderId="23" xfId="0" applyNumberFormat="1" applyFont="1" applyBorder="1" applyAlignment="1">
      <alignment horizontal="center" vertical="center"/>
    </xf>
    <xf numFmtId="0" fontId="11" fillId="0" borderId="13" xfId="0" applyNumberFormat="1" applyFont="1" applyBorder="1" applyAlignment="1">
      <alignment horizontal="center" vertical="center"/>
    </xf>
    <xf numFmtId="0" fontId="11" fillId="0" borderId="22" xfId="0" applyNumberFormat="1" applyFont="1" applyBorder="1" applyAlignment="1">
      <alignment horizontal="center" vertical="center"/>
    </xf>
    <xf numFmtId="0" fontId="9" fillId="0" borderId="16" xfId="0" pivotButton="1" applyFont="1" applyBorder="1" applyAlignment="1">
      <alignment horizontal="center" vertical="center"/>
    </xf>
    <xf numFmtId="0" fontId="11" fillId="0" borderId="17" xfId="0" applyFont="1" applyBorder="1" applyAlignment="1">
      <alignment horizontal="left" vertical="center"/>
    </xf>
    <xf numFmtId="0" fontId="11" fillId="0" borderId="19" xfId="0" applyFont="1" applyBorder="1" applyAlignment="1">
      <alignment horizontal="left" vertical="center"/>
    </xf>
    <xf numFmtId="0" fontId="11" fillId="0" borderId="18" xfId="0" applyFont="1" applyBorder="1" applyAlignment="1">
      <alignment horizontal="left" vertical="center"/>
    </xf>
    <xf numFmtId="0" fontId="18" fillId="0" borderId="16" xfId="0" applyFont="1" applyBorder="1" applyAlignment="1">
      <alignment horizontal="left" vertical="center"/>
    </xf>
    <xf numFmtId="0" fontId="9" fillId="0" borderId="20" xfId="0" applyFont="1" applyBorder="1" applyAlignment="1">
      <alignment horizontal="center" vertical="center"/>
    </xf>
    <xf numFmtId="0" fontId="9" fillId="0" borderId="16" xfId="0" applyFont="1" applyBorder="1" applyAlignment="1">
      <alignment horizontal="center" vertical="center"/>
    </xf>
    <xf numFmtId="0" fontId="18" fillId="0" borderId="20" xfId="0" applyNumberFormat="1" applyFont="1" applyBorder="1" applyAlignment="1">
      <alignment horizontal="center" vertical="center"/>
    </xf>
    <xf numFmtId="0" fontId="11" fillId="0" borderId="17" xfId="0" applyNumberFormat="1" applyFont="1" applyBorder="1" applyAlignment="1">
      <alignment horizontal="center" vertical="center"/>
    </xf>
    <xf numFmtId="0" fontId="11" fillId="0" borderId="19" xfId="0" applyNumberFormat="1" applyFont="1" applyBorder="1" applyAlignment="1">
      <alignment horizontal="center" vertical="center"/>
    </xf>
    <xf numFmtId="0" fontId="18" fillId="0" borderId="16" xfId="0" applyNumberFormat="1" applyFont="1" applyBorder="1" applyAlignment="1">
      <alignment horizontal="center" vertical="center"/>
    </xf>
    <xf numFmtId="0" fontId="9" fillId="0" borderId="21" xfId="0" applyFont="1" applyBorder="1" applyAlignment="1">
      <alignment horizontal="center" vertical="center"/>
    </xf>
    <xf numFmtId="0" fontId="9" fillId="4" borderId="16" xfId="0" applyFont="1" applyFill="1" applyBorder="1" applyAlignment="1">
      <alignment horizontal="center" vertical="center"/>
    </xf>
    <xf numFmtId="0" fontId="9" fillId="4" borderId="12" xfId="0" applyFont="1" applyFill="1" applyBorder="1" applyAlignment="1">
      <alignment horizontal="center" vertical="center"/>
    </xf>
    <xf numFmtId="0" fontId="12" fillId="0" borderId="19" xfId="0" applyFont="1" applyBorder="1" applyAlignment="1">
      <alignment horizontal="right" vertical="center"/>
    </xf>
    <xf numFmtId="0" fontId="12" fillId="0" borderId="19" xfId="0" applyFont="1" applyBorder="1" applyAlignment="1">
      <alignment horizontal="center" vertical="center"/>
    </xf>
    <xf numFmtId="0" fontId="12" fillId="0" borderId="27" xfId="0" applyFont="1" applyBorder="1" applyAlignment="1">
      <alignment horizontal="center" vertical="center"/>
    </xf>
    <xf numFmtId="0" fontId="9" fillId="4" borderId="24" xfId="0" applyFont="1" applyFill="1" applyBorder="1" applyAlignment="1">
      <alignment horizontal="center" vertical="center"/>
    </xf>
    <xf numFmtId="0" fontId="9" fillId="4" borderId="28" xfId="0" applyFont="1" applyFill="1" applyBorder="1" applyAlignment="1">
      <alignment horizontal="center" vertical="center"/>
    </xf>
    <xf numFmtId="0" fontId="11" fillId="0" borderId="1" xfId="0" applyFont="1" applyFill="1" applyBorder="1" applyAlignment="1">
      <alignment horizontal="left" vertical="top" wrapText="1"/>
    </xf>
    <xf numFmtId="0" fontId="12" fillId="0" borderId="15" xfId="0" applyNumberFormat="1" applyFont="1" applyBorder="1" applyAlignment="1">
      <alignment horizontal="center" vertical="center"/>
    </xf>
    <xf numFmtId="0" fontId="12" fillId="0" borderId="15" xfId="0" applyNumberFormat="1" applyFont="1" applyBorder="1" applyAlignment="1">
      <alignment horizontal="center" vertical="center" wrapText="1"/>
    </xf>
    <xf numFmtId="0" fontId="12" fillId="0" borderId="16" xfId="0" applyNumberFormat="1" applyFont="1" applyBorder="1" applyAlignment="1">
      <alignment horizontal="center" vertical="center" wrapText="1"/>
    </xf>
    <xf numFmtId="0" fontId="18" fillId="0" borderId="0" xfId="0" applyNumberFormat="1" applyFont="1" applyBorder="1" applyAlignment="1">
      <alignment horizontal="center" vertical="center"/>
    </xf>
    <xf numFmtId="0" fontId="11" fillId="0" borderId="7" xfId="0" applyFont="1" applyFill="1" applyBorder="1" applyAlignment="1">
      <alignment horizontal="center" vertical="center"/>
    </xf>
    <xf numFmtId="0" fontId="11" fillId="0" borderId="0" xfId="0" applyNumberFormat="1" applyFont="1" applyFill="1" applyBorder="1"/>
    <xf numFmtId="0" fontId="0" fillId="0" borderId="1" xfId="0" applyBorder="1"/>
    <xf numFmtId="0" fontId="12" fillId="13" borderId="25" xfId="0" applyFont="1" applyFill="1" applyBorder="1" applyAlignment="1">
      <alignment horizontal="left" vertical="center"/>
    </xf>
    <xf numFmtId="0" fontId="12" fillId="13" borderId="25" xfId="0" applyFont="1" applyFill="1" applyBorder="1" applyAlignment="1">
      <alignment horizontal="center" vertical="center"/>
    </xf>
    <xf numFmtId="0" fontId="12" fillId="13" borderId="26" xfId="0" applyFont="1" applyFill="1" applyBorder="1" applyAlignment="1">
      <alignment horizontal="center" vertical="center"/>
    </xf>
    <xf numFmtId="0" fontId="12" fillId="13" borderId="19" xfId="0" applyFont="1" applyFill="1" applyBorder="1" applyAlignment="1">
      <alignment horizontal="left" vertical="center"/>
    </xf>
    <xf numFmtId="0" fontId="12" fillId="13" borderId="19" xfId="0" applyFont="1" applyFill="1" applyBorder="1" applyAlignment="1">
      <alignment horizontal="center" vertical="center"/>
    </xf>
    <xf numFmtId="0" fontId="18" fillId="0" borderId="1" xfId="2" applyNumberFormat="1" applyFont="1" applyFill="1" applyBorder="1" applyAlignment="1">
      <alignment horizontal="center" vertical="center" wrapText="1"/>
    </xf>
    <xf numFmtId="0" fontId="11" fillId="0" borderId="1" xfId="2" applyNumberFormat="1" applyFont="1" applyFill="1" applyBorder="1" applyAlignment="1">
      <alignment horizontal="center" vertical="center" wrapText="1"/>
    </xf>
    <xf numFmtId="14" fontId="11" fillId="0" borderId="1" xfId="2" applyNumberFormat="1" applyFont="1" applyFill="1" applyBorder="1" applyAlignment="1">
      <alignment horizontal="center" vertical="center" wrapText="1"/>
    </xf>
    <xf numFmtId="14" fontId="18" fillId="0" borderId="1" xfId="2" applyNumberFormat="1" applyFont="1" applyFill="1" applyBorder="1" applyAlignment="1">
      <alignment horizontal="center" vertical="center" wrapText="1"/>
    </xf>
    <xf numFmtId="10" fontId="11" fillId="0" borderId="1" xfId="2" applyNumberFormat="1" applyFont="1" applyFill="1" applyBorder="1" applyAlignment="1">
      <alignment horizontal="left" vertical="center"/>
    </xf>
    <xf numFmtId="0" fontId="11" fillId="0" borderId="0" xfId="0" applyNumberFormat="1" applyFont="1" applyFill="1" applyBorder="1" applyAlignment="1">
      <alignment horizontal="center" vertical="center"/>
    </xf>
    <xf numFmtId="0" fontId="12" fillId="0" borderId="15" xfId="0" applyFont="1" applyBorder="1" applyAlignment="1">
      <alignment horizontal="center" vertical="center" wrapText="1"/>
    </xf>
    <xf numFmtId="0" fontId="12" fillId="0" borderId="15" xfId="0" applyFont="1" applyBorder="1" applyAlignment="1">
      <alignment horizontal="center" vertical="center"/>
    </xf>
    <xf numFmtId="0" fontId="12" fillId="0" borderId="16" xfId="0" pivotButton="1" applyFont="1" applyBorder="1" applyAlignment="1">
      <alignment horizontal="center" vertical="center" wrapText="1"/>
    </xf>
    <xf numFmtId="0" fontId="12" fillId="0" borderId="16" xfId="0" applyFont="1" applyBorder="1" applyAlignment="1">
      <alignment horizontal="center" vertical="center" wrapText="1"/>
    </xf>
    <xf numFmtId="0" fontId="12" fillId="0" borderId="23" xfId="0" applyNumberFormat="1" applyFont="1" applyBorder="1" applyAlignment="1">
      <alignment horizontal="center" vertical="center"/>
    </xf>
    <xf numFmtId="0" fontId="12" fillId="0" borderId="22" xfId="0" applyNumberFormat="1" applyFont="1" applyBorder="1" applyAlignment="1">
      <alignment horizontal="center" vertical="center"/>
    </xf>
    <xf numFmtId="0" fontId="12" fillId="0" borderId="29" xfId="0" applyNumberFormat="1" applyFont="1" applyBorder="1" applyAlignment="1">
      <alignment horizontal="center" vertical="center"/>
    </xf>
    <xf numFmtId="0" fontId="12" fillId="0" borderId="19" xfId="0" applyFont="1" applyFill="1" applyBorder="1" applyAlignment="1">
      <alignment horizontal="left" vertical="center" wrapText="1"/>
    </xf>
    <xf numFmtId="0" fontId="11" fillId="0" borderId="2" xfId="0" applyNumberFormat="1" applyFont="1" applyFill="1" applyBorder="1" applyAlignment="1">
      <alignment horizontal="left" vertical="center"/>
    </xf>
    <xf numFmtId="3" fontId="11" fillId="0" borderId="2" xfId="0" applyNumberFormat="1" applyFont="1" applyFill="1" applyBorder="1" applyAlignment="1">
      <alignment horizontal="center" vertical="center" wrapText="1"/>
    </xf>
    <xf numFmtId="0" fontId="11" fillId="0" borderId="2" xfId="0" applyNumberFormat="1" applyFont="1" applyFill="1" applyBorder="1" applyAlignment="1">
      <alignment horizontal="center" vertical="center" wrapText="1"/>
    </xf>
    <xf numFmtId="14" fontId="11" fillId="0" borderId="2" xfId="0" applyNumberFormat="1" applyFont="1" applyFill="1" applyBorder="1" applyAlignment="1">
      <alignment horizontal="center" vertical="center" wrapText="1"/>
    </xf>
    <xf numFmtId="10" fontId="11" fillId="0" borderId="2" xfId="0" applyNumberFormat="1" applyFont="1" applyFill="1" applyBorder="1" applyAlignment="1">
      <alignment horizontal="left" vertical="center"/>
    </xf>
    <xf numFmtId="1" fontId="17" fillId="0" borderId="1" xfId="0" applyNumberFormat="1" applyFont="1" applyBorder="1" applyAlignment="1">
      <alignment horizontal="center" vertical="center" wrapText="1"/>
    </xf>
    <xf numFmtId="0" fontId="11" fillId="0" borderId="2" xfId="0" applyFont="1" applyFill="1" applyBorder="1" applyAlignment="1">
      <alignment horizontal="center" vertical="center"/>
    </xf>
    <xf numFmtId="0" fontId="0" fillId="0" borderId="1" xfId="0" applyFont="1" applyFill="1" applyBorder="1" applyAlignment="1">
      <alignment vertical="center"/>
    </xf>
    <xf numFmtId="0" fontId="0" fillId="0" borderId="1" xfId="0" applyFont="1" applyFill="1" applyBorder="1" applyAlignment="1">
      <alignment horizontal="center" vertical="center"/>
    </xf>
    <xf numFmtId="0" fontId="11" fillId="0" borderId="1" xfId="0" applyNumberFormat="1" applyFont="1" applyBorder="1" applyAlignment="1">
      <alignment horizontal="left" vertical="center"/>
    </xf>
    <xf numFmtId="0" fontId="11" fillId="0" borderId="2" xfId="0" applyFont="1" applyFill="1" applyBorder="1" applyAlignment="1">
      <alignment horizontal="left" vertical="center" wrapText="1"/>
    </xf>
    <xf numFmtId="0" fontId="0" fillId="0" borderId="1" xfId="0" applyFont="1" applyBorder="1" applyAlignment="1">
      <alignment horizontal="center" vertical="center"/>
    </xf>
    <xf numFmtId="0" fontId="11" fillId="0" borderId="2" xfId="0" applyFont="1" applyFill="1" applyBorder="1" applyAlignment="1">
      <alignment horizontal="center" vertical="center" wrapText="1"/>
    </xf>
    <xf numFmtId="0" fontId="0" fillId="0" borderId="1" xfId="0" applyFont="1" applyBorder="1" applyAlignment="1">
      <alignment horizontal="center" vertical="center" wrapText="1"/>
    </xf>
    <xf numFmtId="0" fontId="13" fillId="9" borderId="1" xfId="0" applyFont="1" applyFill="1" applyBorder="1" applyAlignment="1">
      <alignment horizontal="center" vertical="center" wrapText="1"/>
    </xf>
    <xf numFmtId="0" fontId="20" fillId="10" borderId="10" xfId="0" applyFont="1" applyFill="1" applyBorder="1" applyAlignment="1">
      <alignment horizontal="center" vertical="center"/>
    </xf>
    <xf numFmtId="0" fontId="20" fillId="10" borderId="11" xfId="0" applyFont="1" applyFill="1" applyBorder="1" applyAlignment="1">
      <alignment horizontal="center" vertical="center"/>
    </xf>
    <xf numFmtId="0" fontId="20" fillId="10" borderId="12" xfId="0" applyFont="1" applyFill="1" applyBorder="1" applyAlignment="1">
      <alignment horizontal="center" vertical="center"/>
    </xf>
    <xf numFmtId="0" fontId="19" fillId="12" borderId="10" xfId="0" applyFont="1" applyFill="1" applyBorder="1" applyAlignment="1">
      <alignment horizontal="center" vertical="center"/>
    </xf>
    <xf numFmtId="0" fontId="19" fillId="12" borderId="11" xfId="0" applyFont="1" applyFill="1" applyBorder="1" applyAlignment="1">
      <alignment horizontal="center" vertical="center"/>
    </xf>
    <xf numFmtId="0" fontId="19" fillId="12" borderId="12" xfId="0" applyFont="1" applyFill="1" applyBorder="1" applyAlignment="1">
      <alignment horizontal="center" vertical="center"/>
    </xf>
  </cellXfs>
  <cellStyles count="8">
    <cellStyle name="=C:\WINNT\SYSTEM32\COMMAND.COM 3" xfId="1" xr:uid="{00000000-0005-0000-0000-000000000000}"/>
    <cellStyle name="Comma 2" xfId="3" xr:uid="{00000000-0005-0000-0000-000002000000}"/>
    <cellStyle name="Comma 2 2" xfId="5" xr:uid="{00000000-0005-0000-0000-000002000000}"/>
    <cellStyle name="Comma 3" xfId="4" xr:uid="{00000000-0005-0000-0000-000003000000}"/>
    <cellStyle name="Comma 3 2" xfId="6" xr:uid="{00000000-0005-0000-0000-000003000000}"/>
    <cellStyle name="Comma 4" xfId="7" xr:uid="{00000000-0005-0000-0000-000034000000}"/>
    <cellStyle name="Normal" xfId="0" builtinId="0"/>
    <cellStyle name="Percent" xfId="2" builtinId="5"/>
  </cellStyles>
  <dxfs count="1214">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vertical="center"/>
    </dxf>
    <dxf>
      <alignment vertical="center"/>
    </dxf>
    <dxf>
      <alignment vertical="center"/>
    </dxf>
    <dxf>
      <font>
        <b/>
      </font>
    </dxf>
    <dxf>
      <font>
        <b/>
      </font>
    </dxf>
    <dxf>
      <font>
        <b/>
      </font>
    </dxf>
    <dxf>
      <font>
        <sz val="14"/>
      </font>
    </dxf>
    <dxf>
      <font>
        <sz val="14"/>
      </font>
    </dxf>
    <dxf>
      <font>
        <sz val="14"/>
      </font>
    </dxf>
    <dxf>
      <alignment vertical="center"/>
    </dxf>
    <dxf>
      <alignment vertical="center"/>
    </dxf>
    <dxf>
      <font>
        <b/>
      </font>
    </dxf>
    <dxf>
      <font>
        <b/>
      </font>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medium">
          <color indexed="64"/>
        </left>
      </border>
    </dxf>
    <dxf>
      <border>
        <left style="medium">
          <color indexed="64"/>
        </left>
      </border>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readingOrder="0"/>
    </dxf>
    <dxf>
      <alignment horizontal="center" readingOrder="0"/>
    </dxf>
    <dxf>
      <border>
        <left style="thin">
          <color indexed="64"/>
        </left>
        <vertical style="thin">
          <color indexed="64"/>
        </vertical>
      </border>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bottom" readingOrder="0"/>
    </dxf>
    <dxf>
      <alignment vertical="bottom" readingOrder="0"/>
    </dxf>
    <dxf>
      <alignment vertical="bottom" readingOrder="0"/>
    </dxf>
    <dxf>
      <alignment vertical="bottom" readingOrder="0"/>
    </dxf>
    <dxf>
      <alignment vertical="bottom" readingOrder="0"/>
    </dxf>
    <dxf>
      <alignment vertical="center" readingOrder="0"/>
    </dxf>
    <dxf>
      <alignment vertical="center" readingOrder="0"/>
    </dxf>
    <dxf>
      <alignment vertical="center" readingOrder="0"/>
    </dxf>
    <dxf>
      <alignment vertical="center" readingOrder="0"/>
    </dxf>
    <dxf>
      <alignment vertical="center" readingOrder="0"/>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border>
        <left style="thin">
          <color indexed="64"/>
        </left>
        <right style="thin">
          <color indexed="64"/>
        </right>
        <vertical style="thin">
          <color indexed="64"/>
        </vertical>
        <horizontal style="thin">
          <color indexed="64"/>
        </horizontal>
      </border>
    </dxf>
    <dxf>
      <alignment wrapText="1" readingOrder="0"/>
    </dxf>
    <dxf>
      <border>
        <vertical style="thin">
          <color indexed="64"/>
        </vertical>
        <horizontal style="thin">
          <color indexed="64"/>
        </horizontal>
      </border>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1" readingOrder="0"/>
    </dxf>
    <dxf>
      <alignment wrapText="1" readingOrder="0"/>
    </dxf>
    <dxf>
      <alignment wrapText="1" readingOrder="0"/>
    </dxf>
    <dxf>
      <alignment wrapText="0" readingOrder="0"/>
    </dxf>
    <dxf>
      <alignment wrapText="1" readingOrder="0"/>
    </dxf>
    <dxf>
      <alignment wrapText="0" readingOrder="0"/>
    </dxf>
    <dxf>
      <alignment wrapText="1" readingOrder="0"/>
    </dxf>
    <dxf>
      <font>
        <sz val="12"/>
      </font>
    </dxf>
    <dxf>
      <font>
        <sz val="12"/>
      </font>
    </dxf>
    <dxf>
      <font>
        <sz val="12"/>
      </font>
    </dxf>
    <dxf>
      <font>
        <sz val="12"/>
      </font>
    </dxf>
    <dxf>
      <font>
        <sz val="12"/>
      </font>
    </dxf>
    <dxf>
      <font>
        <sz val="12"/>
      </font>
    </dxf>
    <dxf>
      <font>
        <sz val="12"/>
      </font>
    </dxf>
    <dxf>
      <font>
        <sz val="12"/>
      </font>
    </dxf>
    <dxf>
      <font>
        <sz val="12"/>
      </font>
    </dxf>
    <dxf>
      <font>
        <sz val="12"/>
      </font>
    </dxf>
    <dxf>
      <alignment wrapText="1" readingOrder="0"/>
    </dxf>
    <dxf>
      <font>
        <sz val="11"/>
      </font>
    </dxf>
    <dxf>
      <font>
        <sz val="11"/>
      </font>
    </dxf>
    <dxf>
      <font>
        <sz val="11"/>
      </font>
    </dxf>
    <dxf>
      <font>
        <sz val="11"/>
      </font>
    </dxf>
    <dxf>
      <font>
        <sz val="11"/>
      </font>
    </dxf>
    <dxf>
      <font>
        <sz val="11"/>
      </font>
    </dxf>
    <dxf>
      <font>
        <sz val="11"/>
      </font>
    </dxf>
    <dxf>
      <font>
        <sz val="11"/>
      </font>
    </dxf>
    <dxf>
      <font>
        <sz val="11"/>
      </font>
    </dxf>
    <dxf>
      <font>
        <sz val="11"/>
      </font>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sz val="14"/>
      </font>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font>
        <sz val="12"/>
      </font>
      <alignment horizontal="center" vertical="center"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1" readingOrder="0"/>
    </dxf>
    <dxf>
      <alignment wrapText="0" readingOrder="0"/>
    </dxf>
    <dxf>
      <alignment wrapText="1" readingOrder="0"/>
    </dxf>
    <dxf>
      <alignment wrapText="0" readingOrder="0"/>
    </dxf>
    <dxf>
      <alignment wrapText="1" readingOrder="0"/>
    </dxf>
    <dxf>
      <border>
        <top style="thin">
          <color indexed="64"/>
        </top>
        <vertical style="thin">
          <color indexed="64"/>
        </vertical>
        <horizontal style="thin">
          <color indexed="64"/>
        </horizontal>
      </border>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1" readingOrder="0"/>
    </dxf>
    <dxf>
      <alignment wrapText="0" readingOrder="0"/>
    </dxf>
    <dxf>
      <alignment wrapText="1" readingOrder="0"/>
    </dxf>
    <dxf>
      <alignment vertical="center" readingOrder="0"/>
    </dxf>
    <dxf>
      <border>
        <right style="thin">
          <color indexed="64"/>
        </right>
        <top style="thin">
          <color indexed="64"/>
        </top>
        <vertical style="thin">
          <color indexed="64"/>
        </vertical>
        <horizontal style="thin">
          <color indexed="64"/>
        </horizontal>
      </border>
    </dxf>
    <dxf>
      <alignment wrapText="0" readingOrder="0"/>
    </dxf>
    <dxf>
      <alignment wrapText="1" readingOrder="0"/>
    </dxf>
    <dxf>
      <alignment wrapText="0" readingOrder="0"/>
    </dxf>
    <dxf>
      <alignment wrapText="1" readingOrder="0"/>
    </dxf>
    <dxf>
      <alignment wrapText="1" readingOrder="0"/>
    </dxf>
    <dxf>
      <alignment horizontal="center"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font>
        <sz val="12"/>
      </font>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border>
        <vertical style="thin">
          <color indexed="64"/>
        </vertical>
      </border>
    </dxf>
    <dxf>
      <border>
        <vertical style="thin">
          <color indexed="64"/>
        </vertical>
      </border>
    </dxf>
    <dxf>
      <alignment wrapText="0" readingOrder="0"/>
    </dxf>
    <dxf>
      <alignment wrapText="1" readingOrder="0"/>
    </dxf>
    <dxf>
      <alignment wrapText="1" readingOrder="0"/>
    </dxf>
    <dxf>
      <alignment wrapText="1" readingOrder="0"/>
    </dxf>
    <dxf>
      <alignment wrapText="1" readingOrder="0"/>
    </dxf>
    <dxf>
      <alignment wrapText="1" readingOrder="0"/>
    </dxf>
    <dxf>
      <border>
        <vertical style="thin">
          <color indexed="64"/>
        </vertical>
      </border>
    </dxf>
    <dxf>
      <alignment wrapText="0" readingOrder="0"/>
    </dxf>
    <dxf>
      <alignment wrapText="1" readingOrder="0"/>
    </dxf>
    <dxf>
      <border>
        <vertical style="thin">
          <color indexed="64"/>
        </vertical>
      </border>
    </dxf>
    <dxf>
      <alignment wrapText="0" readingOrder="0"/>
    </dxf>
    <dxf>
      <alignment wrapText="1" readingOrder="0"/>
    </dxf>
    <dxf>
      <border>
        <vertical style="thin">
          <color indexed="64"/>
        </vertical>
      </border>
    </dxf>
    <dxf>
      <alignment wrapText="0" readingOrder="0"/>
    </dxf>
    <dxf>
      <alignment wrapText="1" readingOrder="0"/>
    </dxf>
    <dxf>
      <border>
        <vertical style="thin">
          <color indexed="64"/>
        </vertical>
      </border>
    </dxf>
    <dxf>
      <alignment wrapText="0" readingOrder="0"/>
    </dxf>
    <dxf>
      <alignment wrapText="1" readingOrder="0"/>
    </dxf>
    <dxf>
      <border>
        <vertical style="thin">
          <color indexed="64"/>
        </vertical>
      </border>
    </dxf>
    <dxf>
      <alignment wrapText="0" readingOrder="0"/>
    </dxf>
    <dxf>
      <alignment wrapText="1" readingOrder="0"/>
    </dxf>
    <dxf>
      <alignment wrapText="0" readingOrder="0"/>
    </dxf>
    <dxf>
      <alignment wrapText="0"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border>
        <top style="thin">
          <color indexed="64"/>
        </top>
        <horizontal style="thin">
          <color indexed="64"/>
        </horizontal>
      </border>
    </dxf>
    <dxf>
      <border>
        <top style="thin">
          <color indexed="64"/>
        </top>
        <horizontal style="thin">
          <color indexed="64"/>
        </horizontal>
      </border>
    </dxf>
    <dxf>
      <alignment vertical="bottom" readingOrder="0"/>
    </dxf>
    <dxf>
      <alignment vertical="bottom" readingOrder="0"/>
    </dxf>
    <dxf>
      <alignment vertical="center" readingOrder="0"/>
    </dxf>
    <dxf>
      <alignment vertical="center" readingOrder="0"/>
    </dxf>
    <dxf>
      <alignment horizontal="general" readingOrder="0"/>
    </dxf>
    <dxf>
      <alignment horizontal="general" readingOrder="0"/>
    </dxf>
    <dxf>
      <alignment horizontal="center" readingOrder="0"/>
    </dxf>
    <dxf>
      <alignment horizontal="center" readingOrder="0"/>
    </dxf>
    <dxf>
      <alignment wrapText="0" readingOrder="0"/>
    </dxf>
    <dxf>
      <alignment wrapText="1" readingOrder="0"/>
    </dxf>
    <dxf>
      <alignment wrapText="0" readingOrder="0"/>
    </dxf>
    <dxf>
      <alignment wrapText="1" readingOrder="0"/>
    </dxf>
    <dxf>
      <font>
        <sz val="12"/>
      </font>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1"/>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alignment wrapText="1"/>
    </dxf>
    <dxf>
      <alignment wrapText="1"/>
    </dxf>
    <dxf>
      <alignment wrapText="1"/>
    </dxf>
    <dxf>
      <alignment wrapText="1"/>
    </dxf>
    <dxf>
      <border>
        <top style="thin">
          <color indexed="64"/>
        </top>
        <horizontal style="thin">
          <color indexed="64"/>
        </horizontal>
      </border>
    </dxf>
    <dxf>
      <border>
        <top style="thin">
          <color indexed="64"/>
        </top>
      </border>
    </dxf>
    <dxf>
      <border>
        <top style="thin">
          <color indexed="64"/>
        </top>
      </border>
    </dxf>
    <dxf>
      <border>
        <top style="thin">
          <color indexed="64"/>
        </top>
      </border>
    </dxf>
    <dxf>
      <fill>
        <patternFill>
          <bgColor auto="1"/>
        </patternFill>
      </fill>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alignment horizontal="left"/>
    </dxf>
    <dxf>
      <alignment horizontal="center"/>
    </dxf>
    <dxf>
      <alignment horizontal="center"/>
    </dxf>
    <dxf>
      <alignment horizontal="center"/>
    </dxf>
    <dxf>
      <alignment vertical="center"/>
    </dxf>
    <dxf>
      <alignment vertical="center"/>
    </dxf>
    <dxf>
      <alignment vertical="center"/>
    </dxf>
    <dxf>
      <font>
        <sz val="14"/>
      </font>
    </dxf>
    <dxf>
      <font>
        <sz val="14"/>
      </font>
    </dxf>
    <dxf>
      <font>
        <sz val="14"/>
      </font>
    </dxf>
    <dxf>
      <font>
        <sz val="14"/>
      </font>
    </dxf>
    <dxf>
      <font>
        <sz val="14"/>
      </font>
    </dxf>
    <dxf>
      <font>
        <sz val="14"/>
      </font>
    </dxf>
    <dxf>
      <font>
        <sz val="14"/>
      </font>
    </dxf>
    <dxf>
      <font>
        <sz val="14"/>
      </font>
    </dxf>
    <dxf>
      <font>
        <sz val="14"/>
      </font>
    </dxf>
    <dxf>
      <font>
        <sz val="14"/>
      </font>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wrapText="1"/>
    </dxf>
    <dxf>
      <alignment wrapText="1"/>
    </dxf>
    <dxf>
      <alignment horizontal="center"/>
    </dxf>
    <dxf>
      <border>
        <left style="thin">
          <color indexed="64"/>
        </left>
        <right style="thin">
          <color indexed="64"/>
        </right>
        <bottom style="thin">
          <color indexed="64"/>
        </bottom>
        <vertical style="thin">
          <color indexed="64"/>
        </vertical>
        <horizontal style="thin">
          <color indexed="64"/>
        </horizontal>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horizontal="cent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medium">
          <color indexed="64"/>
        </left>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left style="medium">
          <color indexed="64"/>
        </left>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border>
    </dxf>
    <dxf>
      <border>
        <left style="medium">
          <color indexed="64"/>
        </left>
      </border>
    </dxf>
    <dxf>
      <border>
        <right style="medium">
          <color indexed="64"/>
        </righ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left style="medium">
          <color indexed="64"/>
        </left>
      </border>
    </dxf>
    <dxf>
      <font>
        <strike val="0"/>
        <outline val="0"/>
        <shadow val="0"/>
        <u val="none"/>
        <vertAlign val="baseline"/>
        <sz val="10"/>
        <color theme="1"/>
        <name val="Calibri"/>
        <scheme val="minor"/>
      </font>
      <numFmt numFmtId="0" formatCode="General"/>
      <alignment horizontal="center" vertical="center" textRotation="0" wrapText="0" indent="0" justifyLastLine="0" shrinkToFit="0" readingOrder="0"/>
    </dxf>
    <dxf>
      <font>
        <strike val="0"/>
        <outline val="0"/>
        <shadow val="0"/>
        <u val="none"/>
        <vertAlign val="baseline"/>
        <sz val="10"/>
        <color theme="1"/>
        <name val="Calibri"/>
        <scheme val="minor"/>
      </font>
      <numFmt numFmtId="0" formatCode="General"/>
      <alignment horizontal="center" vertical="center" textRotation="0" wrapText="0" indent="0" justifyLastLine="0" shrinkToFit="0" readingOrder="0"/>
    </dxf>
    <dxf>
      <font>
        <strike val="0"/>
        <outline val="0"/>
        <shadow val="0"/>
        <u val="none"/>
        <vertAlign val="baseline"/>
        <sz val="10"/>
        <color theme="1"/>
        <name val="Calibri"/>
        <scheme val="minor"/>
      </font>
      <numFmt numFmtId="0" formatCode="General"/>
      <alignment horizontal="center" vertical="center" textRotation="0" wrapText="0" indent="0" justifyLastLine="0" shrinkToFit="0" readingOrder="0"/>
    </dxf>
    <dxf>
      <font>
        <strike val="0"/>
        <outline val="0"/>
        <shadow val="0"/>
        <u val="none"/>
        <vertAlign val="baseline"/>
        <sz val="10"/>
        <color theme="1"/>
        <name val="Calibri"/>
        <scheme val="minor"/>
      </font>
      <numFmt numFmtId="0" formatCode="General"/>
      <alignment horizontal="center" vertical="center" textRotation="0" wrapText="0" indent="0" justifyLastLine="0" shrinkToFit="0" readingOrder="0"/>
    </dxf>
    <dxf>
      <font>
        <strike val="0"/>
        <outline val="0"/>
        <shadow val="0"/>
        <u val="none"/>
        <vertAlign val="baseline"/>
        <sz val="10"/>
        <color theme="1"/>
        <name val="Calibri"/>
        <scheme val="minor"/>
      </font>
      <numFmt numFmtId="0" formatCode="General"/>
      <alignment horizontal="center" vertical="center" textRotation="0" wrapText="0" indent="0" justifyLastLine="0" shrinkToFit="0" readingOrder="0"/>
    </dxf>
    <dxf>
      <font>
        <strike val="0"/>
        <outline val="0"/>
        <shadow val="0"/>
        <u val="none"/>
        <vertAlign val="baseline"/>
        <sz val="10"/>
        <color theme="1"/>
        <name val="Calibri"/>
        <scheme val="minor"/>
      </font>
      <numFmt numFmtId="0" formatCode="General"/>
      <alignment horizontal="center" vertical="center" textRotation="0" wrapText="0" indent="0" justifyLastLine="0" shrinkToFit="0" readingOrder="0"/>
    </dxf>
    <dxf>
      <font>
        <strike val="0"/>
        <outline val="0"/>
        <shadow val="0"/>
        <u val="none"/>
        <vertAlign val="baseline"/>
        <sz val="10"/>
        <color theme="1"/>
        <name val="Calibri"/>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1" formatCode="0"/>
      <alignment horizontal="center" vertical="center" textRotation="0" wrapText="0" indent="0" justifyLastLine="0" shrinkToFit="0" readingOrder="0"/>
    </dxf>
    <dxf>
      <font>
        <strike val="0"/>
        <outline val="0"/>
        <shadow val="0"/>
        <u val="none"/>
        <vertAlign val="baseline"/>
        <sz val="10"/>
        <color theme="1"/>
        <name val="Calibri"/>
        <scheme val="minor"/>
      </font>
      <numFmt numFmtId="1" formatCode="0"/>
      <alignment horizontal="center" vertical="center" textRotation="0" wrapText="0" indent="0" justifyLastLine="0" shrinkToFit="0" readingOrder="0"/>
    </dxf>
    <dxf>
      <font>
        <strike val="0"/>
        <outline val="0"/>
        <shadow val="0"/>
        <u val="none"/>
        <vertAlign val="baseline"/>
        <sz val="10"/>
        <color theme="1"/>
        <name val="Calibri"/>
        <scheme val="minor"/>
      </font>
      <numFmt numFmtId="20" formatCode="dd/mmm/yy"/>
      <alignment horizontal="center" vertical="center" textRotation="0" wrapText="0" indent="0" justifyLastLine="0" shrinkToFit="0" readingOrder="0"/>
    </dxf>
    <dxf>
      <font>
        <strike val="0"/>
        <outline val="0"/>
        <shadow val="0"/>
        <u val="none"/>
        <vertAlign val="baseline"/>
        <sz val="10"/>
        <color theme="1"/>
        <name val="Calibri"/>
        <scheme val="minor"/>
      </font>
      <numFmt numFmtId="0" formatCode="General"/>
      <alignment horizontal="center" vertical="center" textRotation="0" wrapText="0" indent="0" justifyLastLine="0" shrinkToFit="0" readingOrder="0"/>
    </dxf>
    <dxf>
      <font>
        <strike val="0"/>
        <outline val="0"/>
        <shadow val="0"/>
        <u val="none"/>
        <vertAlign val="baseline"/>
        <sz val="10"/>
        <color theme="1"/>
        <name val="Calibri"/>
        <scheme val="minor"/>
      </font>
      <alignment horizontal="center" vertical="center" textRotation="0" wrapText="0" indent="0" justifyLastLine="0" shrinkToFit="0" readingOrder="0"/>
    </dxf>
    <dxf>
      <font>
        <strike val="0"/>
        <outline val="0"/>
        <shadow val="0"/>
        <u val="none"/>
        <vertAlign val="baseline"/>
        <sz val="10"/>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scheme val="minor"/>
      </font>
      <numFmt numFmtId="164"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theme="1"/>
        <name val="Calibri"/>
        <scheme val="minor"/>
      </font>
      <numFmt numFmtId="0" formatCode="General"/>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2"/>
        <name val="Calibri"/>
        <family val="2"/>
        <scheme val="minor"/>
      </font>
      <numFmt numFmtId="0" formatCode="General"/>
    </dxf>
    <dxf>
      <font>
        <b val="0"/>
        <i val="0"/>
        <strike val="0"/>
        <condense val="0"/>
        <extend val="0"/>
        <outline val="0"/>
        <shadow val="0"/>
        <u val="none"/>
        <vertAlign val="baseline"/>
        <sz val="12"/>
        <color theme="1"/>
        <name val="Calibri"/>
        <family val="2"/>
        <scheme val="minor"/>
      </font>
      <numFmt numFmtId="14" formatCode="0.00%"/>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19" formatCode="dd/mm/yyyy"/>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numFmt numFmtId="19" formatCode="dd/mm/yyyy"/>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19" formatCode="dd/mm/yyyy"/>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2"/>
        <color theme="1"/>
        <name val="Calibri"/>
        <family val="2"/>
        <scheme val="minor"/>
      </font>
      <numFmt numFmtId="19" formatCode="dd/mm/yyyy"/>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19" formatCode="dd/mm/yyyy"/>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numFmt numFmtId="19" formatCode="dd/mm/yyyy"/>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3" formatCode="#,##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border diagonalUp="0" diagonalDown="0" outline="0">
        <left style="thin">
          <color indexed="64"/>
        </left>
        <right style="thin">
          <color indexed="64"/>
        </right>
        <top/>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medium">
          <color indexed="64"/>
        </left>
      </border>
    </dxf>
    <dxf>
      <border>
        <left style="medium">
          <color indexed="64"/>
        </left>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font>
        <b/>
      </font>
    </dxf>
    <dxf>
      <font>
        <b/>
      </font>
    </dxf>
    <dxf>
      <alignment vertical="center"/>
    </dxf>
    <dxf>
      <alignment vertical="center"/>
    </dxf>
    <dxf>
      <font>
        <sz val="14"/>
      </font>
    </dxf>
    <dxf>
      <font>
        <sz val="14"/>
      </font>
    </dxf>
    <dxf>
      <font>
        <sz val="14"/>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border>
        <right style="medium">
          <color indexed="64"/>
        </right>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border>
        <right style="medium">
          <color indexed="64"/>
        </right>
      </border>
    </dxf>
    <dxf>
      <border>
        <left style="medium">
          <color indexed="64"/>
        </left>
      </border>
    </dxf>
    <dxf>
      <border>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medium">
          <color indexed="64"/>
        </left>
      </border>
    </dxf>
    <dxf>
      <border>
        <right style="medium">
          <color indexed="64"/>
        </right>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border>
        <left style="medium">
          <color indexed="64"/>
        </left>
      </border>
    </dxf>
    <dxf>
      <border>
        <left style="thin">
          <color indexed="64"/>
        </left>
        <right style="thin">
          <color indexed="64"/>
        </right>
        <bottom style="thin">
          <color indexed="64"/>
        </bottom>
        <vertical style="thin">
          <color indexed="64"/>
        </vertical>
        <horizontal style="thin">
          <color indexed="64"/>
        </horizontal>
      </border>
    </dxf>
    <dxf>
      <alignment horizontal="center"/>
    </dxf>
    <dxf>
      <alignment wrapText="1"/>
    </dxf>
    <dxf>
      <alignment wrapText="1"/>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font>
        <sz val="14"/>
      </font>
    </dxf>
    <dxf>
      <font>
        <sz val="14"/>
      </font>
    </dxf>
    <dxf>
      <font>
        <sz val="14"/>
      </font>
    </dxf>
    <dxf>
      <font>
        <sz val="14"/>
      </font>
    </dxf>
    <dxf>
      <font>
        <sz val="14"/>
      </font>
    </dxf>
    <dxf>
      <font>
        <sz val="14"/>
      </font>
    </dxf>
    <dxf>
      <font>
        <sz val="14"/>
      </font>
    </dxf>
    <dxf>
      <font>
        <sz val="14"/>
      </font>
    </dxf>
    <dxf>
      <font>
        <sz val="14"/>
      </font>
    </dxf>
    <dxf>
      <font>
        <sz val="14"/>
      </font>
    </dxf>
    <dxf>
      <alignment vertical="center"/>
    </dxf>
    <dxf>
      <alignment vertical="center"/>
    </dxf>
    <dxf>
      <alignment vertical="center"/>
    </dxf>
    <dxf>
      <alignment horizontal="center"/>
    </dxf>
    <dxf>
      <alignment horizontal="center"/>
    </dxf>
    <dxf>
      <alignment horizontal="center"/>
    </dxf>
    <dxf>
      <alignment horizontal="left"/>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ill>
        <patternFill>
          <bgColor auto="1"/>
        </patternFill>
      </fill>
    </dxf>
    <dxf>
      <border>
        <top style="thin">
          <color indexed="64"/>
        </top>
      </border>
    </dxf>
    <dxf>
      <border>
        <top style="thin">
          <color indexed="64"/>
        </top>
      </border>
    </dxf>
    <dxf>
      <border>
        <top style="thin">
          <color indexed="64"/>
        </top>
      </border>
    </dxf>
    <dxf>
      <border>
        <top style="thin">
          <color indexed="64"/>
        </top>
        <horizontal style="thin">
          <color indexed="64"/>
        </horizontal>
      </border>
    </dxf>
    <dxf>
      <alignment wrapText="1"/>
    </dxf>
    <dxf>
      <alignment wrapText="1"/>
    </dxf>
    <dxf>
      <alignment wrapText="1"/>
    </dxf>
    <dxf>
      <alignment wrapText="1"/>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alignment wrapText="1"/>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font>
        <sz val="12"/>
      </font>
      <alignment wrapText="1" readingOrder="0"/>
    </dxf>
    <dxf>
      <alignment wrapText="1" readingOrder="0"/>
    </dxf>
    <dxf>
      <alignment wrapText="0" readingOrder="0"/>
    </dxf>
    <dxf>
      <alignment wrapText="1" readingOrder="0"/>
    </dxf>
    <dxf>
      <alignment wrapText="0" readingOrder="0"/>
    </dxf>
    <dxf>
      <alignment horizontal="center" readingOrder="0"/>
    </dxf>
    <dxf>
      <alignment horizontal="center" readingOrder="0"/>
    </dxf>
    <dxf>
      <alignment horizontal="general" readingOrder="0"/>
    </dxf>
    <dxf>
      <alignment horizontal="general" readingOrder="0"/>
    </dxf>
    <dxf>
      <alignment vertical="center" readingOrder="0"/>
    </dxf>
    <dxf>
      <alignment vertical="center" readingOrder="0"/>
    </dxf>
    <dxf>
      <alignment vertical="bottom" readingOrder="0"/>
    </dxf>
    <dxf>
      <alignment vertical="bottom" readingOrder="0"/>
    </dxf>
    <dxf>
      <border>
        <top style="thin">
          <color indexed="64"/>
        </top>
        <horizontal style="thin">
          <color indexed="64"/>
        </horizontal>
      </border>
    </dxf>
    <dxf>
      <border>
        <top style="thin">
          <color indexed="64"/>
        </top>
        <horizontal style="thin">
          <color indexed="64"/>
        </horizontal>
      </border>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1" readingOrder="0"/>
    </dxf>
    <dxf>
      <alignment wrapText="1" readingOrder="0"/>
    </dxf>
    <dxf>
      <alignment wrapText="1" readingOrder="0"/>
    </dxf>
    <dxf>
      <alignment wrapText="0" readingOrder="0"/>
    </dxf>
    <dxf>
      <alignment wrapText="0" readingOrder="0"/>
    </dxf>
    <dxf>
      <alignment wrapText="0" readingOrder="0"/>
    </dxf>
    <dxf>
      <alignment wrapText="0" readingOrder="0"/>
    </dxf>
    <dxf>
      <alignment wrapText="1" readingOrder="0"/>
    </dxf>
    <dxf>
      <alignment wrapText="0" readingOrder="0"/>
    </dxf>
    <dxf>
      <border>
        <vertical style="thin">
          <color indexed="64"/>
        </vertical>
      </border>
    </dxf>
    <dxf>
      <alignment wrapText="1" readingOrder="0"/>
    </dxf>
    <dxf>
      <alignment wrapText="0" readingOrder="0"/>
    </dxf>
    <dxf>
      <border>
        <vertical style="thin">
          <color indexed="64"/>
        </vertical>
      </border>
    </dxf>
    <dxf>
      <alignment wrapText="1" readingOrder="0"/>
    </dxf>
    <dxf>
      <alignment wrapText="0" readingOrder="0"/>
    </dxf>
    <dxf>
      <border>
        <vertical style="thin">
          <color indexed="64"/>
        </vertical>
      </border>
    </dxf>
    <dxf>
      <alignment wrapText="1" readingOrder="0"/>
    </dxf>
    <dxf>
      <alignment wrapText="0" readingOrder="0"/>
    </dxf>
    <dxf>
      <border>
        <vertical style="thin">
          <color indexed="64"/>
        </vertical>
      </border>
    </dxf>
    <dxf>
      <alignment wrapText="1" readingOrder="0"/>
    </dxf>
    <dxf>
      <alignment wrapText="0" readingOrder="0"/>
    </dxf>
    <dxf>
      <border>
        <vertical style="thin">
          <color indexed="64"/>
        </vertical>
      </border>
    </dxf>
    <dxf>
      <alignment wrapText="1" readingOrder="0"/>
    </dxf>
    <dxf>
      <alignment wrapText="1" readingOrder="0"/>
    </dxf>
    <dxf>
      <alignment wrapText="1" readingOrder="0"/>
    </dxf>
    <dxf>
      <alignment wrapText="1" readingOrder="0"/>
    </dxf>
    <dxf>
      <alignment wrapText="1" readingOrder="0"/>
    </dxf>
    <dxf>
      <alignment wrapText="0" readingOrder="0"/>
    </dxf>
    <dxf>
      <border>
        <vertical style="thin">
          <color indexed="64"/>
        </vertical>
      </border>
    </dxf>
    <dxf>
      <border>
        <vertical style="thin">
          <color indexed="64"/>
        </vertical>
      </border>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font>
        <sz val="12"/>
      </font>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horizontal="center" readingOrder="0"/>
    </dxf>
    <dxf>
      <alignment wrapText="1" readingOrder="0"/>
    </dxf>
    <dxf>
      <alignment wrapText="1" readingOrder="0"/>
    </dxf>
    <dxf>
      <alignment wrapText="0" readingOrder="0"/>
    </dxf>
    <dxf>
      <alignment wrapText="1" readingOrder="0"/>
    </dxf>
    <dxf>
      <alignment wrapText="0" readingOrder="0"/>
    </dxf>
    <dxf>
      <border>
        <right style="thin">
          <color indexed="64"/>
        </right>
        <top style="thin">
          <color indexed="64"/>
        </top>
        <vertical style="thin">
          <color indexed="64"/>
        </vertical>
        <horizontal style="thin">
          <color indexed="64"/>
        </horizontal>
      </border>
    </dxf>
    <dxf>
      <alignment vertical="center" readingOrder="0"/>
    </dxf>
    <dxf>
      <alignment wrapText="1" readingOrder="0"/>
    </dxf>
    <dxf>
      <alignment wrapText="0" readingOrder="0"/>
    </dxf>
    <dxf>
      <alignment wrapText="1"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border>
        <top style="thin">
          <color indexed="64"/>
        </top>
        <vertical style="thin">
          <color indexed="64"/>
        </vertical>
        <horizontal style="thin">
          <color indexed="64"/>
        </horizontal>
      </border>
    </dxf>
    <dxf>
      <alignment wrapText="1" readingOrder="0"/>
    </dxf>
    <dxf>
      <alignment wrapText="0" readingOrder="0"/>
    </dxf>
    <dxf>
      <alignment wrapText="1" readingOrder="0"/>
    </dxf>
    <dxf>
      <alignment wrapText="0" readingOrder="0"/>
    </dxf>
    <dxf>
      <alignment wrapText="1"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font>
        <sz val="12"/>
      </font>
      <alignment horizontal="center" vertical="center"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font>
        <sz val="14"/>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font>
        <sz val="11"/>
      </font>
    </dxf>
    <dxf>
      <font>
        <sz val="11"/>
      </font>
    </dxf>
    <dxf>
      <font>
        <sz val="11"/>
      </font>
    </dxf>
    <dxf>
      <font>
        <sz val="11"/>
      </font>
    </dxf>
    <dxf>
      <font>
        <sz val="11"/>
      </font>
    </dxf>
    <dxf>
      <font>
        <sz val="11"/>
      </font>
    </dxf>
    <dxf>
      <font>
        <sz val="11"/>
      </font>
    </dxf>
    <dxf>
      <font>
        <sz val="11"/>
      </font>
    </dxf>
    <dxf>
      <font>
        <sz val="11"/>
      </font>
    </dxf>
    <dxf>
      <font>
        <sz val="11"/>
      </font>
    </dxf>
    <dxf>
      <alignment wrapText="1" readingOrder="0"/>
    </dxf>
    <dxf>
      <font>
        <sz val="12"/>
      </font>
    </dxf>
    <dxf>
      <font>
        <sz val="12"/>
      </font>
    </dxf>
    <dxf>
      <font>
        <sz val="12"/>
      </font>
    </dxf>
    <dxf>
      <font>
        <sz val="12"/>
      </font>
    </dxf>
    <dxf>
      <font>
        <sz val="12"/>
      </font>
    </dxf>
    <dxf>
      <font>
        <sz val="12"/>
      </font>
    </dxf>
    <dxf>
      <font>
        <sz val="12"/>
      </font>
    </dxf>
    <dxf>
      <font>
        <sz val="12"/>
      </font>
    </dxf>
    <dxf>
      <font>
        <sz val="12"/>
      </font>
    </dxf>
    <dxf>
      <font>
        <sz val="12"/>
      </font>
    </dxf>
    <dxf>
      <alignment wrapText="1" readingOrder="0"/>
    </dxf>
    <dxf>
      <alignment wrapText="0" readingOrder="0"/>
    </dxf>
    <dxf>
      <alignment wrapText="1" readingOrder="0"/>
    </dxf>
    <dxf>
      <alignment wrapText="0" readingOrder="0"/>
    </dxf>
    <dxf>
      <alignment wrapText="1" readingOrder="0"/>
    </dxf>
    <dxf>
      <alignment wrapText="1" readingOrder="0"/>
    </dxf>
    <dxf>
      <alignment wrapText="1"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alignment wrapText="1" readingOrder="0"/>
    </dxf>
    <dxf>
      <alignment wrapText="0" readingOrder="0"/>
    </dxf>
    <dxf>
      <border>
        <vertical style="thin">
          <color indexed="64"/>
        </vertical>
        <horizontal style="thin">
          <color indexed="64"/>
        </horizontal>
      </border>
    </dxf>
    <dxf>
      <alignment wrapText="1" readingOrder="0"/>
    </dxf>
    <dxf>
      <border>
        <left style="thin">
          <color indexed="64"/>
        </left>
        <right style="thin">
          <color indexed="64"/>
        </right>
        <vertical style="thin">
          <color indexed="64"/>
        </vertical>
        <horizontal style="thin">
          <color indexed="64"/>
        </horizontal>
      </border>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general" readingOrder="0"/>
    </dxf>
    <dxf>
      <alignment horizontal="general" readingOrder="0"/>
    </dxf>
    <dxf>
      <alignment horizontal="general" readingOrder="0"/>
    </dxf>
    <dxf>
      <alignment horizontal="general" readingOrder="0"/>
    </dxf>
    <dxf>
      <alignment horizontal="general" readingOrder="0"/>
    </dxf>
    <dxf>
      <border>
        <left style="thin">
          <color indexed="64"/>
        </left>
        <vertical style="thin">
          <color indexed="64"/>
        </vertical>
      </border>
    </dxf>
    <dxf>
      <alignment horizontal="center" readingOrder="0"/>
    </dxf>
    <dxf>
      <alignment horizontal="general"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border>
        <left style="thin">
          <color indexed="64"/>
        </left>
        <vertical style="thin">
          <color indexed="64"/>
        </vertical>
        <horizontal style="thin">
          <color indexed="64"/>
        </horizontal>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alignment wrapText="1" readingOrder="0"/>
    </dxf>
    <dxf>
      <alignment wrapText="0" readingOrder="0"/>
    </dxf>
    <dxf>
      <border>
        <left style="thin">
          <color indexed="64"/>
        </left>
        <right style="thin">
          <color indexed="64"/>
        </right>
        <top style="thin">
          <color indexed="64"/>
        </top>
        <vertical style="thin">
          <color indexed="64"/>
        </vertical>
        <horizontal style="thin">
          <color indexed="64"/>
        </horizontal>
      </border>
    </dxf>
    <dxf>
      <alignment wrapText="1" readingOrder="0"/>
    </dxf>
    <dxf>
      <alignment wrapText="0" readingOrder="0"/>
    </dxf>
    <dxf>
      <border>
        <left style="thin">
          <color indexed="64"/>
        </left>
        <top style="thin">
          <color indexed="64"/>
        </top>
        <vertical style="thin">
          <color indexed="64"/>
        </vertical>
        <horizontal style="thin">
          <color indexed="64"/>
        </horizontal>
      </border>
    </dxf>
    <dxf>
      <alignment wrapText="1" readingOrder="0"/>
    </dxf>
    <dxf>
      <border>
        <right style="thin">
          <color indexed="64"/>
        </right>
        <vertical style="thin">
          <color indexed="64"/>
        </vertical>
        <horizontal style="thin">
          <color indexed="64"/>
        </horizontal>
      </border>
    </dxf>
    <dxf>
      <border>
        <left style="thin">
          <color indexed="64"/>
        </left>
        <vertical style="thin">
          <color indexed="64"/>
        </vertical>
        <horizontal style="thin">
          <color indexed="64"/>
        </horizontal>
      </border>
    </dxf>
    <dxf>
      <alignment wrapText="1" readingOrder="0"/>
    </dxf>
    <dxf>
      <alignment wrapText="0" readingOrder="0"/>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alignment wrapText="1" readingOrder="0"/>
    </dxf>
    <dxf>
      <alignment wrapText="1" readingOrder="0"/>
    </dxf>
    <dxf>
      <alignment wrapText="0" readingOrder="0"/>
    </dxf>
    <dxf>
      <alignment wrapText="0" readingOrder="0"/>
    </dxf>
    <dxf>
      <border>
        <vertical style="thin">
          <color indexed="64"/>
        </vertical>
        <horizontal style="thin">
          <color indexed="64"/>
        </horizontal>
      </border>
    </dxf>
    <dxf>
      <border>
        <vertical style="thin">
          <color indexed="64"/>
        </vertical>
        <horizontal style="thin">
          <color indexed="64"/>
        </horizontal>
      </border>
    </dxf>
    <dxf>
      <alignment wrapText="1" readingOrder="0"/>
    </dxf>
    <dxf>
      <alignment wrapText="1" readingOrder="0"/>
    </dxf>
    <dxf>
      <alignment wrapText="1" readingOrder="0"/>
    </dxf>
    <dxf>
      <alignment wrapText="0" readingOrder="0"/>
    </dxf>
    <dxf>
      <alignment wrapText="0" readingOrder="0"/>
    </dxf>
    <dxf>
      <alignment wrapText="0" readingOrder="0"/>
    </dxf>
    <dxf>
      <alignment wrapText="1" readingOrder="0"/>
    </dxf>
    <dxf>
      <alignment wrapText="0" readingOrder="0"/>
    </dxf>
    <dxf>
      <border>
        <top style="thin">
          <color indexed="64"/>
        </top>
        <horizontal style="thin">
          <color indexed="64"/>
        </horizontal>
      </border>
    </dxf>
    <dxf>
      <font>
        <color auto="1"/>
      </font>
      <fill>
        <patternFill patternType="solid">
          <fgColor indexed="64"/>
          <bgColor theme="4" tint="0.39997558519241921"/>
        </patternFill>
      </fill>
      <alignment horizontal="center" vertical="center" readingOrder="0"/>
    </dxf>
    <dxf>
      <font>
        <sz val="11"/>
      </font>
    </dxf>
    <dxf>
      <font>
        <sz val="11"/>
      </font>
    </dxf>
    <dxf>
      <font>
        <sz val="11"/>
      </font>
    </dxf>
    <dxf>
      <font>
        <sz val="11"/>
      </font>
    </dxf>
    <dxf>
      <font>
        <sz val="11"/>
      </font>
    </dxf>
    <dxf>
      <font>
        <sz val="11"/>
      </font>
    </dxf>
    <dxf>
      <font>
        <sz val="11"/>
      </font>
    </dxf>
    <dxf>
      <font>
        <sz val="11"/>
      </font>
    </dxf>
    <dxf>
      <font>
        <sz val="11"/>
      </font>
    </dxf>
    <dxf>
      <border>
        <vertical style="thin">
          <color indexed="64"/>
        </vertical>
        <horizontal style="thin">
          <color indexed="64"/>
        </horizontal>
      </border>
    </dxf>
    <dxf>
      <border>
        <vertical style="thin">
          <color indexed="64"/>
        </vertical>
        <horizontal style="thin">
          <color indexed="64"/>
        </horizontal>
      </border>
    </dxf>
    <dxf>
      <font>
        <sz val="12"/>
      </font>
    </dxf>
    <dxf>
      <font>
        <sz val="12"/>
      </font>
    </dxf>
    <dxf>
      <font>
        <sz val="12"/>
      </font>
    </dxf>
    <dxf>
      <font>
        <sz val="12"/>
      </font>
    </dxf>
    <dxf>
      <font>
        <sz val="12"/>
      </font>
    </dxf>
    <dxf>
      <font>
        <color auto="1"/>
      </font>
    </dxf>
    <dxf>
      <font>
        <color auto="1"/>
      </font>
    </dxf>
    <dxf>
      <font>
        <color auto="1"/>
      </font>
    </dxf>
    <dxf>
      <font>
        <color auto="1"/>
      </font>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alignment wrapText="1" readingOrder="0"/>
    </dxf>
    <dxf>
      <alignment wrapText="1" readingOrder="0"/>
    </dxf>
    <dxf>
      <alignment wrapText="0" readingOrder="0"/>
    </dxf>
    <dxf>
      <alignment wrapText="0" readingOrder="0"/>
    </dxf>
    <dxf>
      <alignment wrapText="1" readingOrder="0"/>
    </dxf>
    <dxf>
      <alignment wrapText="1" readingOrder="0"/>
    </dxf>
    <dxf>
      <font>
        <color theme="0"/>
      </font>
    </dxf>
    <dxf>
      <font>
        <color theme="0"/>
      </font>
    </dxf>
    <dxf>
      <font>
        <color theme="0"/>
      </font>
    </dxf>
    <dxf>
      <font>
        <color theme="0"/>
      </font>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alignment horizontal="right" readingOrder="0"/>
    </dxf>
    <dxf>
      <alignment horizontal="lef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left style="medium">
          <color auto="1"/>
        </left>
        <right style="medium">
          <color auto="1"/>
        </right>
        <top style="medium">
          <color auto="1"/>
        </top>
        <bottom style="medium">
          <color auto="1"/>
        </bottom>
        <vertical style="medium">
          <color auto="1"/>
        </vertical>
        <horizontal style="thin">
          <color auto="1"/>
        </horizontal>
      </border>
    </dxf>
    <dxf>
      <font>
        <b/>
        <color theme="1"/>
      </font>
      <fill>
        <patternFill patternType="solid">
          <fgColor theme="4" tint="0.79998168889431442"/>
          <bgColor theme="4" tint="0.79998168889431442"/>
        </patternFill>
      </fill>
      <border>
        <left style="medium">
          <color auto="1"/>
        </left>
        <right style="medium">
          <color auto="1"/>
        </right>
        <top style="medium">
          <color auto="1"/>
        </top>
        <bottom style="medium">
          <color auto="1"/>
        </bottom>
        <vertical style="medium">
          <color auto="1"/>
        </vertical>
        <horizontal style="thin">
          <color auto="1"/>
        </horizontal>
      </border>
    </dxf>
    <dxf>
      <border>
        <left style="medium">
          <color auto="1"/>
        </left>
        <right style="medium">
          <color auto="1"/>
        </right>
        <top style="medium">
          <color auto="1"/>
        </top>
        <bottom style="medium">
          <color auto="1"/>
        </bottom>
        <vertical style="medium">
          <color auto="1"/>
        </vertical>
        <horizontal style="thin">
          <color auto="1"/>
        </horizontal>
      </border>
    </dxf>
  </dxfs>
  <tableStyles count="1" defaultTableStyle="TableStyleMedium2" defaultPivotStyle="PivotStyleLight16">
    <tableStyle name="PivotStyleLight16 2" table="0" count="12" xr9:uid="{00000000-0011-0000-FFFF-FFFF00000000}">
      <tableStyleElement type="wholeTable" dxfId="1213"/>
      <tableStyleElement type="headerRow" dxfId="1212"/>
      <tableStyleElement type="totalRow" dxfId="1211"/>
      <tableStyleElement type="firstRowStripe" dxfId="1210"/>
      <tableStyleElement type="firstColumnStripe" dxfId="1209"/>
      <tableStyleElement type="firstSubtotalColumn" dxfId="1208"/>
      <tableStyleElement type="firstSubtotalRow" dxfId="1207"/>
      <tableStyleElement type="secondSubtotalRow" dxfId="1206"/>
      <tableStyleElement type="firstRowSubheading" dxfId="1205"/>
      <tableStyleElement type="secondRowSubheading" dxfId="1204"/>
      <tableStyleElement type="pageFieldLabels" dxfId="1203"/>
      <tableStyleElement type="pageFieldValues" dxfId="1202"/>
    </tableStyle>
  </tableStyles>
  <colors>
    <mruColors>
      <color rgb="FFFF99FF"/>
      <color rgb="FFFFCCFF"/>
      <color rgb="FF00FF00"/>
      <color rgb="FF2DD2F3"/>
      <color rgb="FFCCFFCC"/>
      <color rgb="FFDC82DE"/>
      <color rgb="FFD260D5"/>
      <color rgb="FFC73FD5"/>
      <color rgb="FF66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26" Type="http://schemas.openxmlformats.org/officeDocument/2006/relationships/pivotCacheDefinition" Target="pivotCache/pivotCacheDefinition3.xml"/><Relationship Id="rId3" Type="http://schemas.openxmlformats.org/officeDocument/2006/relationships/worksheet" Target="worksheets/sheet3.xml"/><Relationship Id="rId21" Type="http://schemas.openxmlformats.org/officeDocument/2006/relationships/externalLink" Target="externalLinks/externalLink15.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5" Type="http://schemas.openxmlformats.org/officeDocument/2006/relationships/pivotCacheDefinition" Target="pivotCache/pivotCacheDefinition2.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10.xml"/><Relationship Id="rId20" Type="http://schemas.openxmlformats.org/officeDocument/2006/relationships/externalLink" Target="externalLinks/externalLink14.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24" Type="http://schemas.openxmlformats.org/officeDocument/2006/relationships/pivotCacheDefinition" Target="pivotCache/pivotCacheDefinition1.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9.xml"/><Relationship Id="rId23" Type="http://schemas.openxmlformats.org/officeDocument/2006/relationships/externalLink" Target="externalLinks/externalLink17.xml"/><Relationship Id="rId28" Type="http://schemas.openxmlformats.org/officeDocument/2006/relationships/styles" Target="styles.xml"/><Relationship Id="rId10" Type="http://schemas.openxmlformats.org/officeDocument/2006/relationships/externalLink" Target="externalLinks/externalLink4.xml"/><Relationship Id="rId19" Type="http://schemas.openxmlformats.org/officeDocument/2006/relationships/externalLink" Target="externalLinks/externalLink13.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 Id="rId22" Type="http://schemas.openxmlformats.org/officeDocument/2006/relationships/externalLink" Target="externalLinks/externalLink16.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New%20Folder\ALL%20M&amp;A%20Projects\Spark%20Revived!\Indurain\BC\Indurain%20BC%20v2%208_Graph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RGERT\Flas9900\FD%20Report\TEDGraph.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8.35.74\work\Pricing%20cell\Pricedata\NorthRegion.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cebffps\group\WINDOWS\TEMP\RESERV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Bcebffps\group\Contabil\Relatorios%20Gerenciais%202004\Gerencial\BRASCAN\Fev\M&#243;dulo%20Base%20Gerencial%200402%2004030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msad\root\CorpNY\Finance\BUDGET\2009\2009%20BFP%20Business%20Plan%20Budget%20Files\One%20Liberty%20Plaza%2009%20BP%2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M:\HBC%20Accounting%202002\Budget%202003\2002%20Reforecast\Allocation%20of%20Shared%20Cost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RCFH01\d\My%20Documents\LoanPKG\Drafts\Drafts\valuation.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msad\root\Basic_Reports\Analyst\Properties\Property's\Kensington\Ken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hrikhandews\DDRIVE\Harpreet\9CrudeProp.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msad\root\Metro%20Capital\2003%20Sale\Debt\Existing\1150-1200%20Kingston%20Amort%20Table%20(rev%20I-O).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mpxsydpaf2\MPXShare\Commercial%20Property\Finance\Overheads%20-%20restricted\Commercial%20Forecasting%20Summary%20&amp;%20Analysis%20Revised%20Jan09.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HATHWAY_NT\USR\FILING\HATHINV\ACCS9596\JAYESH\DEL1.XLS"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Worksheet%20in%205611%20Fixed%20Assets%20Sub%20lead%20sheet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Clients\Standard\Standard%20Ind%20Ltd\Standard%20Ind%20Ltd\Standard\March%202005\Standard-PRS\march05\8140%20Revenue%20-%20Substantive%20Test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Aster%20File%20-%20Misc%20Formats%20PB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al "/>
      <sheetName val="NPO Customers"/>
      <sheetName val="NPO - Model"/>
      <sheetName val="NPO - 2G market"/>
      <sheetName val="NPO - 3G Market"/>
      <sheetName val="Total NPO"/>
      <sheetName val="Graphs"/>
      <sheetName val="ROI"/>
      <sheetName val="NPO Customers (2)"/>
      <sheetName val="Validation"/>
      <sheetName val="Sheet3"/>
      <sheetName val="Sheet4"/>
      <sheetName val="MCH Coding (Buying)"/>
      <sheetName val="Allowed Values"/>
      <sheetName val="Color Code"/>
      <sheetName val="Allowed Values GSV"/>
      <sheetName val="Att Values GSV"/>
      <sheetName val="Validations"/>
      <sheetName val="Article Validation"/>
      <sheetName val="Sheet2"/>
      <sheetName val="Independent DD Master"/>
      <sheetName val="Sheet1"/>
      <sheetName val="Conditional DD"/>
      <sheetName val="__hidden__"/>
      <sheetName val="hidden"/>
      <sheetName val="Noida"/>
      <sheetName val="Future Grocery"/>
      <sheetName val="CLovia P&amp;L"/>
      <sheetName val="Indurain BC v2 8_Graphs"/>
      <sheetName val="WB0203-OLDLOAN"/>
      <sheetName val="rate"/>
    </sheetNames>
    <sheetDataSet>
      <sheetData sheetId="0">
        <row r="8">
          <cell r="H8">
            <v>45792999.999999993</v>
          </cell>
        </row>
      </sheetData>
      <sheetData sheetId="1">
        <row r="8">
          <cell r="H8">
            <v>45792999.999999993</v>
          </cell>
        </row>
      </sheetData>
      <sheetData sheetId="2">
        <row r="8">
          <cell r="H8">
            <v>45792999.999999993</v>
          </cell>
        </row>
      </sheetData>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B"/>
      <sheetName val="Reporting Levels"/>
      <sheetName val="Investments"/>
      <sheetName val="weighted averages"/>
      <sheetName val="Spread"/>
      <sheetName val="Consolidated Model (Detailed)"/>
      <sheetName val="$ DPU"/>
      <sheetName val="DPU in cents"/>
      <sheetName val="Issue Price"/>
      <sheetName val="NTA or closing prices"/>
      <sheetName val="WA Issue Price"/>
      <sheetName val="TEDGraph"/>
      <sheetName val="CF Checks"/>
      <sheetName val="Entities"/>
      <sheetName val="Prop_List"/>
      <sheetName val="Sheet3"/>
      <sheetName val="Controls"/>
      <sheetName val="HR BP15"/>
      <sheetName val="Charge_Code"/>
      <sheetName val="Charge Code"/>
      <sheetName val="Cashflow"/>
      <sheetName val="SUMMARY"/>
      <sheetName val="Drop down lists"/>
      <sheetName val="SELECTIONS"/>
      <sheetName val="Listing"/>
      <sheetName val="HFM"/>
      <sheetName val="Reporting_Levels"/>
      <sheetName val="weighted_averages"/>
      <sheetName val="Consolidated_Model_(Detailed)"/>
      <sheetName val="$_DPU"/>
      <sheetName val="DPU_in_cents"/>
      <sheetName val="Issue_Price"/>
      <sheetName val="NTA_or_closing_prices"/>
      <sheetName val="WA_Issue_Price"/>
      <sheetName val="CF_Checks"/>
      <sheetName val="Charge_Code1"/>
      <sheetName val="HR_BP15"/>
      <sheetName val="Drop_down_lists"/>
      <sheetName val="DoNotDelete"/>
      <sheetName val="Mapping"/>
      <sheetName val="Entitlement"/>
      <sheetName val="Control"/>
      <sheetName val="Legend"/>
      <sheetName val="Downdrops"/>
      <sheetName val="Mapping - Investments"/>
      <sheetName val="Dropdowns"/>
      <sheetName val="TIMELINES"/>
      <sheetName val="TownsendInfo"/>
      <sheetName val="Lookups &amp; Dropdowns"/>
      <sheetName val="#REF"/>
      <sheetName val="List"/>
      <sheetName val="Wall"/>
      <sheetName val="col-reinft1"/>
      <sheetName val="Waterfall - APAC"/>
      <sheetName val="Blad1"/>
      <sheetName val="Data List"/>
      <sheetName val="QonQ Movement"/>
      <sheetName val="HFM_GL Breakdown CQ"/>
      <sheetName val="Reporting_Levels1"/>
      <sheetName val="weighted_averages1"/>
      <sheetName val="Consolidated_Model_(Detailed)1"/>
      <sheetName val="$_DPU1"/>
      <sheetName val="DPU_in_cents1"/>
      <sheetName val="Issue_Price1"/>
      <sheetName val="NTA_or_closing_prices1"/>
      <sheetName val="WA_Issue_Price1"/>
      <sheetName val="CF_Checks1"/>
      <sheetName val="HR_BP151"/>
      <sheetName val="Charge_Code2"/>
      <sheetName val="Drop_down_lists1"/>
      <sheetName val="Mapping_-_Investments"/>
      <sheetName val="Waterfall_-_APAC"/>
      <sheetName val="Lookups_&amp;_Dropdowns"/>
      <sheetName val="rate"/>
      <sheetName val="Progress Reoprt"/>
      <sheetName val="Plan"/>
    </sheetNames>
    <sheetDataSet>
      <sheetData sheetId="0" refreshError="1"/>
      <sheetData sheetId="1" refreshError="1">
        <row r="3">
          <cell r="D3" t="str">
            <v>MONTHLY BROKER'S PROFIT FORECASTS</v>
          </cell>
        </row>
        <row r="7">
          <cell r="D7">
            <v>288.60000000000002</v>
          </cell>
          <cell r="E7">
            <v>288.60000000000002</v>
          </cell>
          <cell r="F7">
            <v>291.8</v>
          </cell>
          <cell r="G7">
            <v>302.89999999999998</v>
          </cell>
          <cell r="H7">
            <v>302.89999999999998</v>
          </cell>
          <cell r="I7">
            <v>302.89999999999998</v>
          </cell>
          <cell r="J7">
            <v>302.89999999999998</v>
          </cell>
          <cell r="K7">
            <v>306.10000000000002</v>
          </cell>
          <cell r="L7">
            <v>315.2</v>
          </cell>
          <cell r="M7">
            <v>314</v>
          </cell>
          <cell r="N7">
            <v>314</v>
          </cell>
          <cell r="O7">
            <v>314</v>
          </cell>
          <cell r="P7">
            <v>313</v>
          </cell>
          <cell r="Q7">
            <v>319</v>
          </cell>
          <cell r="R7">
            <v>319</v>
          </cell>
          <cell r="S7">
            <v>325</v>
          </cell>
          <cell r="T7">
            <v>323</v>
          </cell>
          <cell r="U7">
            <v>323</v>
          </cell>
        </row>
        <row r="8">
          <cell r="D8">
            <v>310.85000000000002</v>
          </cell>
          <cell r="E8">
            <v>310.85000000000002</v>
          </cell>
          <cell r="F8">
            <v>311.7</v>
          </cell>
          <cell r="G8">
            <v>314</v>
          </cell>
          <cell r="H8">
            <v>315.31</v>
          </cell>
          <cell r="I8">
            <v>315.31</v>
          </cell>
          <cell r="J8">
            <v>317</v>
          </cell>
          <cell r="K8">
            <v>317.8</v>
          </cell>
          <cell r="L8">
            <v>319.3</v>
          </cell>
          <cell r="M8">
            <v>318</v>
          </cell>
          <cell r="N8">
            <v>327</v>
          </cell>
          <cell r="O8">
            <v>327</v>
          </cell>
          <cell r="P8">
            <v>327</v>
          </cell>
          <cell r="Q8">
            <v>330</v>
          </cell>
          <cell r="R8">
            <v>330</v>
          </cell>
          <cell r="S8">
            <v>331</v>
          </cell>
          <cell r="T8">
            <v>332</v>
          </cell>
          <cell r="U8">
            <v>332</v>
          </cell>
        </row>
        <row r="9">
          <cell r="D9">
            <v>330.4</v>
          </cell>
          <cell r="E9">
            <v>330.4</v>
          </cell>
          <cell r="F9">
            <v>330.4</v>
          </cell>
          <cell r="G9">
            <v>341.2</v>
          </cell>
          <cell r="H9">
            <v>338.9</v>
          </cell>
          <cell r="I9">
            <v>338.9</v>
          </cell>
          <cell r="J9">
            <v>338.9</v>
          </cell>
          <cell r="K9">
            <v>330</v>
          </cell>
          <cell r="L9">
            <v>345.9</v>
          </cell>
          <cell r="M9">
            <v>329</v>
          </cell>
          <cell r="N9">
            <v>332</v>
          </cell>
          <cell r="O9">
            <v>332</v>
          </cell>
          <cell r="P9">
            <v>345</v>
          </cell>
          <cell r="Q9">
            <v>339</v>
          </cell>
          <cell r="R9">
            <v>342</v>
          </cell>
          <cell r="S9">
            <v>342</v>
          </cell>
          <cell r="T9">
            <v>342</v>
          </cell>
          <cell r="U9">
            <v>343</v>
          </cell>
        </row>
        <row r="10">
          <cell r="P10">
            <v>385</v>
          </cell>
          <cell r="Q10">
            <v>385</v>
          </cell>
          <cell r="R10">
            <v>386</v>
          </cell>
          <cell r="S10">
            <v>386</v>
          </cell>
          <cell r="T10">
            <v>386</v>
          </cell>
          <cell r="U10">
            <v>397</v>
          </cell>
        </row>
        <row r="11">
          <cell r="P11">
            <v>375</v>
          </cell>
          <cell r="Q11">
            <v>375</v>
          </cell>
          <cell r="R11">
            <v>375</v>
          </cell>
          <cell r="S11">
            <v>377</v>
          </cell>
          <cell r="T11">
            <v>372</v>
          </cell>
          <cell r="U11">
            <v>380</v>
          </cell>
        </row>
        <row r="12">
          <cell r="P12">
            <v>363</v>
          </cell>
          <cell r="Q12">
            <v>363</v>
          </cell>
          <cell r="R12">
            <v>360</v>
          </cell>
          <cell r="S12">
            <v>360</v>
          </cell>
          <cell r="T12">
            <v>360</v>
          </cell>
          <cell r="U12">
            <v>363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ow r="7">
          <cell r="D7" t="str">
            <v>HP</v>
          </cell>
        </row>
      </sheetData>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refreshError="1"/>
      <sheetData sheetId="75" refreshError="1"/>
      <sheetData sheetId="7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e"/>
      <sheetName val="rpo"/>
      <sheetName val="JOSH"/>
      <sheetName val="SHAKTI"/>
      <sheetName val="UTMAP001"/>
      <sheetName val="WB0203-OLDLOAN"/>
      <sheetName val="COMPLEXALL"/>
      <sheetName val="Drop Downs"/>
      <sheetName val="NorthRegion"/>
      <sheetName val="Progress Reoprt"/>
      <sheetName val="Plan"/>
      <sheetName val="#REF"/>
      <sheetName val="BLK2"/>
      <sheetName val="BLK3"/>
      <sheetName val="E &amp; R"/>
      <sheetName val="radar"/>
      <sheetName val="U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s Cèdres"/>
      <sheetName val="apports"/>
      <sheetName val="RESERVE"/>
      <sheetName val="6M DEC FORECAST FUM"/>
      <sheetName val="FMV Breakdown"/>
      <sheetName val="Les_Cèdres"/>
      <sheetName val="Les_Cèdres1"/>
      <sheetName val="6M_DEC_FORECAST_FUM"/>
      <sheetName val="FMV_Breakdown"/>
      <sheetName val="PDFLO_WK"/>
      <sheetName val="Les_Cèdres2"/>
      <sheetName val="6M_DEC_FORECAST_FUM1"/>
      <sheetName val="FMV_Breakdown1"/>
      <sheetName val="Valerie Falls"/>
      <sheetName val="Wawa"/>
      <sheetName val="Sault Power"/>
      <sheetName val="Mississagi"/>
      <sheetName val="Lievre"/>
      <sheetName val="Hydro Pontiac"/>
      <sheetName val="Groundhog"/>
      <sheetName val="Nagagami"/>
      <sheetName val="Beaver"/>
      <sheetName val="Powell River"/>
      <sheetName val="Pingston"/>
      <sheetName val="East Twin"/>
      <sheetName val="Prince I"/>
      <sheetName val="Prince II"/>
      <sheetName val="Comber"/>
      <sheetName val="Gosfield"/>
      <sheetName val="LSP"/>
      <sheetName val="Financials"/>
      <sheetName val="CF_Ratio"/>
      <sheetName val="TESTE"/>
      <sheetName val="HFLOR"/>
      <sheetName val="TaxReportInclAdjustment.Report"/>
      <sheetName val="Konsolidierungsbuchungen"/>
      <sheetName val="(KPMG Mod) Entity List"/>
      <sheetName val="Les_Cèdres3"/>
      <sheetName val="6M_DEC_FORECAST_FUM2"/>
      <sheetName val="FMV_Breakdown2"/>
      <sheetName val="Valerie_Falls"/>
      <sheetName val="Sault_Power"/>
      <sheetName val="Hydro_Pontiac"/>
      <sheetName val="Powell_River"/>
      <sheetName val="East_Twin"/>
      <sheetName val="Prince_I"/>
      <sheetName val="Prince_II"/>
      <sheetName val="#REF"/>
      <sheetName val="INFO"/>
      <sheetName val="NOTES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a"/>
      <sheetName val="BS"/>
      <sheetName val="LE Balance 2004"/>
      <sheetName val="LE Balance 2005"/>
      <sheetName val="Balanço 2003 - Plano - LE "/>
      <sheetName val="Balanço 2004"/>
      <sheetName val="CF"/>
      <sheetName val="CF 2004"/>
      <sheetName val="CF 2005"/>
      <sheetName val="Fluxo"/>
      <sheetName val="DRE"/>
      <sheetName val="P&amp;L"/>
      <sheetName val="LE P&amp;L 2004"/>
      <sheetName val="LE P&amp;L 2005"/>
      <sheetName val="P&amp;L Breakdown"/>
      <sheetName val="IS"/>
      <sheetName val="IS 2004"/>
      <sheetName val="IS 2005"/>
      <sheetName val="FCF"/>
      <sheetName val="LE FCF 2004"/>
      <sheetName val="LE FCF 2005"/>
      <sheetName val="Vol &amp; PV"/>
      <sheetName val="Vol &amp; PV 2004"/>
      <sheetName val="COSTS"/>
      <sheetName val="COSTS 2004"/>
      <sheetName val="COSTS 2005"/>
      <sheetName val="OPEX"/>
      <sheetName val="OPEX 2004"/>
      <sheetName val="OPEX 2005"/>
      <sheetName val="Base Opex 2004"/>
      <sheetName val="CAPEX"/>
      <sheetName val="CAPEX 2004"/>
      <sheetName val="CAPEX 2005"/>
      <sheetName val="CFFO Budget"/>
      <sheetName val="FCF Budget 2004"/>
      <sheetName val="FCF Budget 2005"/>
      <sheetName val="CF Budget"/>
      <sheetName val="P&amp;L Budget"/>
      <sheetName val="Vol &amp; PV Budget"/>
      <sheetName val="COSTS Budget"/>
      <sheetName val="OPEX Budget"/>
      <sheetName val="CAPEX Budget"/>
      <sheetName val="CFFO 2003"/>
      <sheetName val="P&amp;L 2003"/>
      <sheetName val="FCF 2003"/>
      <sheetName val="Vol &amp; PV 2003"/>
      <sheetName val="Breakdown 2003"/>
      <sheetName val="Costs 2003"/>
      <sheetName val="OPEX 2003"/>
      <sheetName val="Tabela"/>
      <sheetName val="DESP_ADM"/>
      <sheetName val="METALS"/>
      <sheetName val="SOLDERS"/>
      <sheetName val="Les Cèdres"/>
      <sheetName val="Changes in shareholders"/>
      <sheetName val="BRL TB"/>
      <sheetName val="LYData"/>
      <sheetName val="Links"/>
      <sheetName val="Lead"/>
      <sheetName val="Investments"/>
      <sheetName val="Nature"/>
      <sheetName val="Assumptions"/>
      <sheetName val="01"/>
      <sheetName val="macrovar"/>
      <sheetName val="Cover Page"/>
      <sheetName val="A2"/>
      <sheetName val="Check"/>
      <sheetName val="Tab-Infra"/>
      <sheetName val="Upper-Hudson River"/>
      <sheetName val="Lower L-O Other Rivers"/>
      <sheetName val="Lower L-O Oswego River"/>
      <sheetName val="Upper L-O Beaver River"/>
      <sheetName val="Upper L-O Black River"/>
      <sheetName val="Lower-Hudson River"/>
      <sheetName val="St.Lawrence Raquette River"/>
      <sheetName val="St.Lawrence Oswegatchie River"/>
      <sheetName val="Inputs"/>
      <sheetName val="Plant Database"/>
      <sheetName val="revenue"/>
      <sheetName val="Ops report charts"/>
      <sheetName val="EXCHANGE RATE"/>
      <sheetName val="A1"/>
      <sheetName val="Forward Prices"/>
      <sheetName val="LPERDAS (2)"/>
      <sheetName val="LE_Balance_2004"/>
      <sheetName val="LE_Balance_2005"/>
      <sheetName val="Balanço_2003_-_Plano_-_LE_"/>
      <sheetName val="Balanço_2004"/>
      <sheetName val="CF_2004"/>
      <sheetName val="CF_2005"/>
      <sheetName val="LE_P&amp;L_2004"/>
      <sheetName val="LE_P&amp;L_2005"/>
      <sheetName val="P&amp;L_Breakdown"/>
      <sheetName val="IS_2004"/>
      <sheetName val="IS_2005"/>
      <sheetName val="LE_FCF_2004"/>
      <sheetName val="LE_FCF_2005"/>
      <sheetName val="Vol_&amp;_PV"/>
      <sheetName val="Vol_&amp;_PV_2004"/>
      <sheetName val="COSTS_2004"/>
      <sheetName val="COSTS_2005"/>
      <sheetName val="OPEX_2004"/>
      <sheetName val="OPEX_2005"/>
      <sheetName val="Base_Opex_2004"/>
      <sheetName val="CAPEX_2004"/>
      <sheetName val="CAPEX_2005"/>
      <sheetName val="CFFO_Budget"/>
      <sheetName val="FCF_Budget_2004"/>
      <sheetName val="FCF_Budget_2005"/>
      <sheetName val="CF_Budget"/>
      <sheetName val="P&amp;L_Budget"/>
      <sheetName val="Vol_&amp;_PV_Budget"/>
      <sheetName val="COSTS_Budget"/>
      <sheetName val="OPEX_Budget"/>
      <sheetName val="CAPEX_Budget"/>
      <sheetName val="CFFO_2003"/>
      <sheetName val="P&amp;L_2003"/>
      <sheetName val="FCF_2003"/>
      <sheetName val="Vol_&amp;_PV_2003"/>
      <sheetName val="Breakdown_2003"/>
      <sheetName val="Costs_2003"/>
      <sheetName val="OPEX_2003"/>
      <sheetName val="IS - Annual"/>
      <sheetName val="NPV Breakdown "/>
      <sheetName val="Control Sheet"/>
      <sheetName val="Info"/>
      <sheetName val="FX rates"/>
      <sheetName val="Consolidated Revenue Q3"/>
      <sheetName val="FS&gt;&gt;"/>
      <sheetName val=""/>
      <sheetName val="LE_Balance_20041"/>
      <sheetName val="LE_Balance_20051"/>
      <sheetName val="Balanço_2003_-_Plano_-_LE_1"/>
      <sheetName val="Balanço_20041"/>
      <sheetName val="CF_20041"/>
      <sheetName val="CF_20051"/>
      <sheetName val="LE_P&amp;L_20041"/>
      <sheetName val="LE_P&amp;L_20051"/>
      <sheetName val="P&amp;L_Breakdown1"/>
      <sheetName val="IS_20041"/>
      <sheetName val="IS_20051"/>
      <sheetName val="LE_FCF_20041"/>
      <sheetName val="LE_FCF_20051"/>
      <sheetName val="Vol_&amp;_PV1"/>
      <sheetName val="Vol_&amp;_PV_20041"/>
      <sheetName val="COSTS_20041"/>
      <sheetName val="COSTS_20051"/>
      <sheetName val="OPEX_20041"/>
      <sheetName val="OPEX_20051"/>
      <sheetName val="Base_Opex_20041"/>
      <sheetName val="CAPEX_20041"/>
      <sheetName val="CAPEX_20051"/>
      <sheetName val="CFFO_Budget1"/>
      <sheetName val="FCF_Budget_20041"/>
      <sheetName val="FCF_Budget_20051"/>
      <sheetName val="CF_Budget1"/>
      <sheetName val="P&amp;L_Budget1"/>
      <sheetName val="Vol_&amp;_PV_Budget1"/>
      <sheetName val="COSTS_Budget1"/>
      <sheetName val="OPEX_Budget1"/>
      <sheetName val="CAPEX_Budget1"/>
      <sheetName val="CFFO_20031"/>
      <sheetName val="P&amp;L_20031"/>
      <sheetName val="FCF_20031"/>
      <sheetName val="Vol_&amp;_PV_20031"/>
      <sheetName val="Breakdown_20031"/>
      <sheetName val="Costs_20031"/>
      <sheetName val="OPEX_20031"/>
      <sheetName val="Les_Cèdres"/>
      <sheetName val="BRL_TB"/>
      <sheetName val="Changes_in_shareholders"/>
      <sheetName val="Cover_Page"/>
      <sheetName val="Upper-Hudson_River"/>
      <sheetName val="Lower_L-O_Other_Rivers"/>
      <sheetName val="Lower_L-O_Oswego_River"/>
      <sheetName val="Upper_L-O_Beaver_River"/>
      <sheetName val="Upper_L-O_Black_River"/>
      <sheetName val="Lower-Hudson_River"/>
      <sheetName val="St_Lawrence_Raquette_River"/>
      <sheetName val="St_Lawrence_Oswegatchie_River"/>
      <sheetName val="Plant_Database"/>
      <sheetName val="Ops_report_charts"/>
      <sheetName val="EXCHANGE_RATE"/>
      <sheetName val="Forward_Prices"/>
      <sheetName val="LPERDAS_(2)"/>
      <sheetName val="IS_-_Annual"/>
      <sheetName val="NPV_Breakdown_"/>
      <sheetName val="Control_Sheet"/>
      <sheetName val="FX_rates"/>
      <sheetName val="Consolidated_Revenue_Q3"/>
      <sheetName val="apports"/>
      <sheetName val="A PARAMETROS"/>
      <sheetName val="B"/>
      <sheetName val="NOTES "/>
      <sheetName val="SC-E-02-03"/>
      <sheetName val="TB-JUNE-2003-18.7.0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LEXALL"/>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Phase-1_4th-Addition(Sector)"/>
      <sheetName val="JC Database"/>
      <sheetName val=" Values"/>
      <sheetName val="Data Val."/>
      <sheetName val="Sheet1"/>
      <sheetName val="Const_QMS_Dash_Board2"/>
      <sheetName val="Site_Findings_Status_Sheet"/>
      <sheetName val="daywork-_Tham_khao"/>
      <sheetName val="Data_Valid2"/>
      <sheetName val="MAG1_tracker1"/>
      <sheetName val="NLD_AG11"/>
      <sheetName val="Valid_Inputs1"/>
      <sheetName val="_Values"/>
      <sheetName val="EZ"/>
      <sheetName val="Tag"/>
      <sheetName val="Conditions"/>
      <sheetName val="Ins Erection"/>
      <sheetName val="Consequences Categories"/>
      <sheetName val="Cause Categories"/>
      <sheetName val="Note"/>
      <sheetName val="Dropdown"/>
      <sheetName val="Sheet3"/>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JC_Database"/>
      <sheetName val="Data_Val_"/>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gVL"/>
      <sheetName val="Estimate"/>
      <sheetName val="EMPL-ETIME"/>
      <sheetName val="Risk"/>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Invoices"/>
      <sheetName val="Evaluate"/>
      <sheetName val="FitOutConfCentre"/>
      <sheetName val="Pass-Thru Income JE"/>
      <sheetName val="#REF"/>
      <sheetName val="COLUMN"/>
      <sheetName val="Data Dictionery"/>
      <sheetName val="New Drop Down Menu"/>
      <sheetName val="Earnings model"/>
      <sheetName val="IIb"/>
      <sheetName val="Calculations"/>
      <sheetName val="Civil Boq"/>
      <sheetName val="L-Planks"/>
      <sheetName val="Pre-cast Qty"/>
      <sheetName val="precast RC element"/>
      <sheetName val="Typical floor on 3BHK -STD"/>
      <sheetName val="Loads"/>
      <sheetName val="1"/>
      <sheetName val="CASHFLOWS"/>
      <sheetName val="BS"/>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SPT vs PHI"/>
      <sheetName val="Overview"/>
      <sheetName val="JAN91"/>
      <sheetName val="Assum"/>
      <sheetName val="BSHEET"/>
      <sheetName val="DATA 91-98"/>
      <sheetName val="NPO - Model"/>
      <sheetName val="upa"/>
      <sheetName val="hist&amp;proj"/>
      <sheetName val="Rate Analysis"/>
      <sheetName val="InputPO_Del"/>
      <sheetName val="Material "/>
      <sheetName val="Complex_F"/>
      <sheetName val="98Price"/>
      <sheetName val="Intro"/>
      <sheetName val="UK Report"/>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SPT_vs_PHI"/>
      <sheetName val="Earnings_model"/>
      <sheetName val="Civil_Boq"/>
      <sheetName val="Pre-cast_Qty"/>
      <sheetName val="precast_RC_element"/>
      <sheetName val="Typical_floor_on_3BHK_-STD"/>
      <sheetName val="DATA_91-98"/>
      <sheetName val="NPO_-_Model"/>
      <sheetName val="Rate_Analysis"/>
      <sheetName val="Material_"/>
      <sheetName val="UK_Report"/>
      <sheetName val="PROCTOR"/>
      <sheetName val="CP-R0"/>
      <sheetName val="Back up"/>
      <sheetName val="Summary"/>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Coalmine"/>
      <sheetName val="Aus&amp; Sing"/>
      <sheetName val="duct1"/>
      <sheetName val="Cash Flow Working"/>
      <sheetName val="Labor abs-NMR"/>
      <sheetName val="Design"/>
      <sheetName val="sheet6"/>
      <sheetName val="SC Cost FEB 03"/>
      <sheetName val="Eq. Mobilization"/>
      <sheetName val="purpose&amp;input"/>
      <sheetName val="Proposed"/>
      <sheetName val="Pro Pavement"/>
      <sheetName val="17"/>
      <sheetName val="Cost of O &amp; O"/>
      <sheetName val="Diesel Analysis"/>
      <sheetName val="Mix Design"/>
      <sheetName val="P-Ins &amp; Bonds"/>
      <sheetName val="63611648"/>
      <sheetName val="Const_QMS_Dash_Board7"/>
      <sheetName val="Data_Valid7"/>
      <sheetName val="MAG1_tracker6"/>
      <sheetName val="NLD_AG16"/>
      <sheetName val="Valid_Inputs6"/>
      <sheetName val="Site_Findings_Status_Sheet5"/>
      <sheetName val="daywork-_Tham_khao5"/>
      <sheetName val="JC_Database5"/>
      <sheetName val="Data_Val_5"/>
      <sheetName val="_Values5"/>
      <sheetName val="Ins_Erection2"/>
      <sheetName val="Consequences_Categories2"/>
      <sheetName val="Cause_Categories2"/>
      <sheetName val="City_Codes2"/>
      <sheetName val="Fiber_Work2"/>
      <sheetName val="SCO_Support_Sites2"/>
      <sheetName val="FTTH_Fiber_Work2"/>
      <sheetName val="Additional_96F_Blowing2"/>
      <sheetName val="Inside_Premises2"/>
      <sheetName val="Distribution_College_only2"/>
      <sheetName val="Scope_Productivity2"/>
      <sheetName val="MP_Productivity2"/>
      <sheetName val="Pass-Thru_Income_JE2"/>
      <sheetName val="Data_Dictionery2"/>
      <sheetName val="New_Drop_Down_Menu2"/>
      <sheetName val="SPT_vs_PHI1"/>
      <sheetName val="Earnings_model1"/>
      <sheetName val="Civil_Boq1"/>
      <sheetName val="Pre-cast_Qty1"/>
      <sheetName val="precast_RC_element1"/>
      <sheetName val="Typical_floor_on_3BHK_-STD1"/>
      <sheetName val="DATA_91-981"/>
      <sheetName val="Material_1"/>
      <sheetName val="IIIa"/>
      <sheetName val="xSeries255"/>
      <sheetName val="Input sheet"/>
      <sheetName val="Section_by_layers_old"/>
      <sheetName val="Section_by_layers"/>
      <sheetName val="Torsion_Properties"/>
      <sheetName val="02"/>
      <sheetName val="08"/>
      <sheetName val="03"/>
      <sheetName val="04"/>
      <sheetName val="05"/>
      <sheetName val="FT-05-02IsoBOM"/>
      <sheetName val="BASIC RATES"/>
      <sheetName val="data"/>
      <sheetName val="Rate_Analysis1"/>
      <sheetName val="NPO_-_Model1"/>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UK_Report1"/>
      <sheetName val="Aus&amp;_Sing"/>
      <sheetName val="BOQ-for Main DB"/>
      <sheetName val="Labour &amp; Plant"/>
      <sheetName val="Const_QMS_Dash_Board8"/>
      <sheetName val="Site_Findings_Status_Sheet6"/>
      <sheetName val="daywork-_Tham_khao6"/>
      <sheetName val="Data_Valid8"/>
      <sheetName val="MAG1_tracker7"/>
      <sheetName val="NLD_AG17"/>
      <sheetName val="Valid_Inputs7"/>
      <sheetName val="_Values6"/>
      <sheetName val="JC_Database6"/>
      <sheetName val="Data_Val_6"/>
      <sheetName val="Consequences_Categories3"/>
      <sheetName val="Cause_Categories3"/>
      <sheetName val="City_Codes3"/>
      <sheetName val="Ins_Erection3"/>
      <sheetName val="Fiber_Work3"/>
      <sheetName val="SCO_Support_Sites3"/>
      <sheetName val="FTTH_Fiber_Work3"/>
      <sheetName val="Additional_96F_Blowing3"/>
      <sheetName val="Inside_Premises3"/>
      <sheetName val="Distribution_College_only3"/>
      <sheetName val="Scope_Productivity3"/>
      <sheetName val="MP_Productivity3"/>
      <sheetName val="Pass-Thru_Income_JE3"/>
      <sheetName val="Data_Dictionery3"/>
      <sheetName val="New_Drop_Down_Menu3"/>
      <sheetName val="SPT_vs_PHI2"/>
      <sheetName val="Earnings_model2"/>
      <sheetName val="Civil_Boq2"/>
      <sheetName val="Pre-cast_Qty2"/>
      <sheetName val="precast_RC_element2"/>
      <sheetName val="Typical_floor_on_3BHK_-STD2"/>
      <sheetName val="DATA_91-982"/>
      <sheetName val="Rate_Analysis2"/>
      <sheetName val="Material_2"/>
      <sheetName val="NPO_-_Model2"/>
      <sheetName val="Back_up1"/>
      <sheetName val="Summary_MEP1"/>
      <sheetName val="Summary_MEP_(2)1"/>
      <sheetName val="Electrical__(2)1"/>
      <sheetName val="Fire_(2)1"/>
      <sheetName val="Plumbing_(2)1"/>
      <sheetName val="All_Assumptions1"/>
      <sheetName val="Finishing_Schedule1"/>
      <sheetName val="KP_MALL-Area_Take_Off1"/>
      <sheetName val="Arera,_Peri_Basement1"/>
      <sheetName val="BOH_Area1"/>
      <sheetName val="Bulk_Head1"/>
      <sheetName val="Retail_Area_(TI)1"/>
      <sheetName val="KPM-Rate_Analysis1"/>
      <sheetName val="Electrical_1"/>
      <sheetName val="Elevator_&amp;_Escalator1"/>
      <sheetName val="MP_Working1"/>
      <sheetName val="UK_Report2"/>
      <sheetName val="Aus&amp;_Sing1"/>
      <sheetName val="No-5"/>
      <sheetName val="SC_Cost_FEB_03"/>
      <sheetName val="SC_Cost_FEB_031"/>
      <sheetName val="BLK2"/>
      <sheetName val="BLK3"/>
      <sheetName val="E &amp; R"/>
      <sheetName val="radar"/>
      <sheetName val="UG"/>
      <sheetName val="01.11.2004"/>
      <sheetName val="Sump"/>
      <sheetName val="Activity"/>
      <sheetName val="Crew"/>
      <sheetName val="Piping"/>
      <sheetName val="Pipe Supports"/>
      <sheetName val="GF Columns"/>
      <sheetName val="beam-reinft-machine rm"/>
      <sheetName val="Cash_Flow_Working"/>
      <sheetName val="Labor_abs-NMR"/>
      <sheetName val="SALES"/>
      <sheetName val="x-rate"/>
      <sheetName val="Const_QMS_Dash_Board9"/>
      <sheetName val="Data_Valid9"/>
      <sheetName val="MAG1_tracker8"/>
      <sheetName val="NLD_AG18"/>
      <sheetName val="Valid_Inputs8"/>
      <sheetName val="Site_Findings_Status_Sheet7"/>
      <sheetName val="daywork-_Tham_khao7"/>
      <sheetName val="JC_Database7"/>
      <sheetName val="Data_Val_7"/>
      <sheetName val="_Values7"/>
      <sheetName val="Ins_Erection4"/>
      <sheetName val="Consequences_Categories4"/>
      <sheetName val="Cause_Categories4"/>
      <sheetName val="City_Codes4"/>
      <sheetName val="Fiber_Work4"/>
      <sheetName val="SCO_Support_Sites4"/>
      <sheetName val="FTTH_Fiber_Work4"/>
      <sheetName val="Additional_96F_Blowing4"/>
      <sheetName val="Inside_Premises4"/>
      <sheetName val="Distribution_College_only4"/>
      <sheetName val="Scope_Productivity4"/>
      <sheetName val="MP_Productivity4"/>
      <sheetName val="Pass-Thru_Income_JE4"/>
      <sheetName val="Data_Dictionery4"/>
      <sheetName val="New_Drop_Down_Menu4"/>
      <sheetName val="SPT_vs_PHI3"/>
      <sheetName val="Earnings_model3"/>
      <sheetName val="Civil_Boq3"/>
      <sheetName val="Pre-cast_Qty3"/>
      <sheetName val="precast_RC_element3"/>
      <sheetName val="Typical_floor_on_3BHK_-STD3"/>
      <sheetName val="DATA_91-983"/>
      <sheetName val="Material_3"/>
      <sheetName val="Cash_Flow_Working1"/>
      <sheetName val="Labor_abs-NMR1"/>
      <sheetName val="Const_QMS_Dash_Board10"/>
      <sheetName val="Data_Valid10"/>
      <sheetName val="MAG1_tracker9"/>
      <sheetName val="NLD_AG19"/>
      <sheetName val="Valid_Inputs9"/>
      <sheetName val="Site_Findings_Status_Sheet8"/>
      <sheetName val="daywork-_Tham_khao8"/>
      <sheetName val="JC_Database8"/>
      <sheetName val="_Values8"/>
      <sheetName val="Data_Val_8"/>
      <sheetName val="Ins_Erection5"/>
      <sheetName val="Consequences_Categories5"/>
      <sheetName val="Cause_Categories5"/>
      <sheetName val="City_Codes5"/>
      <sheetName val="Fiber_Work5"/>
      <sheetName val="SCO_Support_Sites5"/>
      <sheetName val="FTTH_Fiber_Work5"/>
      <sheetName val="Additional_96F_Blowing5"/>
      <sheetName val="Inside_Premises5"/>
      <sheetName val="Distribution_College_only5"/>
      <sheetName val="Scope_Productivity5"/>
      <sheetName val="MP_Productivity5"/>
      <sheetName val="Pass-Thru_Income_JE5"/>
      <sheetName val="Data_Dictionery5"/>
      <sheetName val="New_Drop_Down_Menu5"/>
      <sheetName val="SPT_vs_PHI4"/>
      <sheetName val="Earnings_model4"/>
      <sheetName val="Civil_Boq4"/>
      <sheetName val="Pre-cast_Qty4"/>
      <sheetName val="precast_RC_element4"/>
      <sheetName val="Typical_floor_on_3BHK_-STD4"/>
      <sheetName val="DATA_91-984"/>
      <sheetName val="Material_4"/>
      <sheetName val="Back_up2"/>
      <sheetName val="Summary_MEP2"/>
      <sheetName val="Summary_MEP_(2)2"/>
      <sheetName val="Electrical__(2)2"/>
      <sheetName val="Fire_(2)2"/>
      <sheetName val="Plumbing_(2)2"/>
      <sheetName val="All_Assumptions2"/>
      <sheetName val="Finishing_Schedule2"/>
      <sheetName val="KP_MALL-Area_Take_Off2"/>
      <sheetName val="Arera,_Peri_Basement2"/>
      <sheetName val="BOH_Area2"/>
      <sheetName val="Bulk_Head2"/>
      <sheetName val="Retail_Area_(TI)2"/>
      <sheetName val="KPM-Rate_Analysis2"/>
      <sheetName val="Electrical_2"/>
      <sheetName val="Elevator_&amp;_Escalator2"/>
      <sheetName val="MP_Working2"/>
      <sheetName val="SC_Cost_FEB_032"/>
      <sheetName val="Cash_Flow_Working2"/>
      <sheetName val="Labor_abs-NMR2"/>
      <sheetName val="Eq__Mobilization"/>
      <sheetName val="Pro_Pavement"/>
      <sheetName val="Cost_of_O_&amp;_O"/>
      <sheetName val="Diesel_Analysis"/>
      <sheetName val="Mix_Design"/>
      <sheetName val="P-Ins_&amp;_Bonds"/>
      <sheetName val="입찰내역 발주처 양식"/>
      <sheetName val="old_serial no."/>
      <sheetName val="tot_ass_9697"/>
      <sheetName val="ancillary"/>
      <sheetName val="BASIS -DEC 08"/>
      <sheetName val="MASTER_RATE ANALYSIS"/>
      <sheetName val="col-reinft1"/>
      <sheetName val="BFS"/>
      <sheetName val="CASH-FLOW"/>
      <sheetName val="TB"/>
      <sheetName val="PRECAST lightconc-II"/>
      <sheetName val="MSP Distrbution Linking to S-1"/>
      <sheetName val="RateAnalysis"/>
      <sheetName val="Combined Results "/>
      <sheetName val="Cashflow"/>
      <sheetName val="pile Fabrication"/>
      <sheetName val="BQMPALOC"/>
      <sheetName val="abst-of -cost"/>
      <sheetName val="P &amp; l "/>
      <sheetName val="shanghai計算BASE10"/>
      <sheetName val="Price Working -SRP"/>
      <sheetName val="Sheet4"/>
      <sheetName val="entitlements"/>
      <sheetName val="Mat.Cost"/>
      <sheetName val="PLC"/>
      <sheetName val="Costing"/>
      <sheetName val="ABB_Alt1"/>
      <sheetName val="Price Schedule_ME"/>
      <sheetName val="Price Schedule_ME (2)"/>
      <sheetName val="DetEst"/>
      <sheetName val="labour"/>
      <sheetName val="Fill this out first..."/>
      <sheetName val="Lead"/>
      <sheetName val="Mat_Cost"/>
      <sheetName val="Price_Schedule_ME"/>
      <sheetName val="Price_Schedule_ME_(2)"/>
      <sheetName val="Fill_this_out_first___"/>
      <sheetName val="Debits as on 12.04.08"/>
      <sheetName val="Debits_as_on_12_04_08"/>
      <sheetName val="Chennai"/>
      <sheetName val="MN T.B."/>
      <sheetName val="Cost_any"/>
      <sheetName val="inWords"/>
      <sheetName val="220Kv (2)"/>
      <sheetName val="starter"/>
      <sheetName val="Mat_Cost1"/>
      <sheetName val="Price_Schedule_ME1"/>
      <sheetName val="Price_Schedule_ME_(2)1"/>
      <sheetName val="Debits_as_on_12_04_081"/>
      <sheetName val="Fill_this_out_first___1"/>
      <sheetName val="Mat_Cost2"/>
      <sheetName val="Price_Schedule_ME2"/>
      <sheetName val="Price_Schedule_ME_(2)2"/>
      <sheetName val="Debits_as_on_12_04_082"/>
      <sheetName val="Fill_this_out_first___2"/>
      <sheetName val="Measurements"/>
      <sheetName val="Tables"/>
      <sheetName val="Flooring"/>
      <sheetName val="Ceilings"/>
      <sheetName val="ACAD Finishes"/>
      <sheetName val="Site Details"/>
      <sheetName val="Chair"/>
      <sheetName val="Site Area Statement"/>
      <sheetName val="Doors"/>
      <sheetName val="Quote Sheet"/>
      <sheetName val="Key Ratios"/>
      <sheetName val="Table"/>
      <sheetName val="SUPPORT1"/>
      <sheetName val="Historical IS"/>
      <sheetName val="Rate_Analysis4"/>
      <sheetName val="NPO_-_Model4"/>
      <sheetName val="Back_up3"/>
      <sheetName val="Summary_MEP3"/>
      <sheetName val="Summary_MEP_(2)3"/>
      <sheetName val="Electrical__(2)3"/>
      <sheetName val="Fire_(2)3"/>
      <sheetName val="Plumbing_(2)3"/>
      <sheetName val="All_Assumptions3"/>
      <sheetName val="Finishing_Schedule3"/>
      <sheetName val="KP_MALL-Area_Take_Off3"/>
      <sheetName val="Arera,_Peri_Basement3"/>
      <sheetName val="BOH_Area3"/>
      <sheetName val="Bulk_Head3"/>
      <sheetName val="Retail_Area_(TI)3"/>
      <sheetName val="KPM-Rate_Analysis3"/>
      <sheetName val="Electrical_3"/>
      <sheetName val="Elevator_&amp;_Escalator3"/>
      <sheetName val="MP_Working3"/>
      <sheetName val="UK_Report4"/>
      <sheetName val="Aus&amp;_Sing3"/>
      <sheetName val="Cash_Flow_Working3"/>
      <sheetName val="Labor_abs-NMR3"/>
      <sheetName val="SC_Cost_FEB_033"/>
      <sheetName val="Eq__Mobilization3"/>
      <sheetName val="Pro_Pavement3"/>
      <sheetName val="Cost_of_O_&amp;_O3"/>
      <sheetName val="Diesel_Analysis3"/>
      <sheetName val="Mix_Design3"/>
      <sheetName val="P-Ins_&amp;_Bonds3"/>
      <sheetName val="Eq__Mobilization1"/>
      <sheetName val="Pro_Pavement1"/>
      <sheetName val="Cost_of_O_&amp;_O1"/>
      <sheetName val="Diesel_Analysis1"/>
      <sheetName val="Mix_Design1"/>
      <sheetName val="P-Ins_&amp;_Bonds1"/>
      <sheetName val="Rate_Analysis3"/>
      <sheetName val="NPO_-_Model3"/>
      <sheetName val="UK_Report3"/>
      <sheetName val="Aus&amp;_Sing2"/>
      <sheetName val="Eq__Mobilization2"/>
      <sheetName val="Pro_Pavement2"/>
      <sheetName val="Cost_of_O_&amp;_O2"/>
      <sheetName val="Diesel_Analysis2"/>
      <sheetName val="Mix_Design2"/>
      <sheetName val="P-Ins_&amp;_Bonds2"/>
      <sheetName val="Const_QMS_Dash_Board13"/>
      <sheetName val="Data_Valid13"/>
      <sheetName val="MAG1_tracker12"/>
      <sheetName val="NLD_AG112"/>
      <sheetName val="Valid_Inputs12"/>
      <sheetName val="Site_Findings_Status_Sheet11"/>
      <sheetName val="daywork-_Tham_khao11"/>
      <sheetName val="JC_Database11"/>
      <sheetName val="_Values11"/>
      <sheetName val="Data_Val_11"/>
      <sheetName val="Ins_Erection8"/>
      <sheetName val="City_Codes8"/>
      <sheetName val="Consequences_Categories8"/>
      <sheetName val="Cause_Categories8"/>
      <sheetName val="Fiber_Work8"/>
      <sheetName val="SCO_Support_Sites8"/>
      <sheetName val="FTTH_Fiber_Work8"/>
      <sheetName val="Additional_96F_Blowing8"/>
      <sheetName val="Inside_Premises8"/>
      <sheetName val="Distribution_College_only8"/>
      <sheetName val="Scope_Productivity8"/>
      <sheetName val="MP_Productivity8"/>
      <sheetName val="Pass-Thru_Income_JE8"/>
      <sheetName val="Data_Dictionery8"/>
      <sheetName val="New_Drop_Down_Menu8"/>
      <sheetName val="SPT_vs_PHI7"/>
      <sheetName val="Earnings_model7"/>
      <sheetName val="Civil_Boq7"/>
      <sheetName val="Pre-cast_Qty7"/>
      <sheetName val="precast_RC_element7"/>
      <sheetName val="Typical_floor_on_3BHK_-STD7"/>
      <sheetName val="DATA_91-987"/>
      <sheetName val="Rate_Analysis7"/>
      <sheetName val="Material_7"/>
      <sheetName val="NPO_-_Model7"/>
      <sheetName val="Back_up6"/>
      <sheetName val="Summary_MEP6"/>
      <sheetName val="Summary_MEP_(2)6"/>
      <sheetName val="Electrical__(2)6"/>
      <sheetName val="Fire_(2)6"/>
      <sheetName val="Plumbing_(2)6"/>
      <sheetName val="All_Assumptions6"/>
      <sheetName val="Finishing_Schedule6"/>
      <sheetName val="KP_MALL-Area_Take_Off6"/>
      <sheetName val="Arera,_Peri_Basement6"/>
      <sheetName val="BOH_Area6"/>
      <sheetName val="Bulk_Head6"/>
      <sheetName val="Retail_Area_(TI)6"/>
      <sheetName val="KPM-Rate_Analysis6"/>
      <sheetName val="Electrical_6"/>
      <sheetName val="Elevator_&amp;_Escalator6"/>
      <sheetName val="MP_Working6"/>
      <sheetName val="UK_Report7"/>
      <sheetName val="Aus&amp;_Sing6"/>
      <sheetName val="Cash_Flow_Working6"/>
      <sheetName val="Labor_abs-NMR6"/>
      <sheetName val="SC_Cost_FEB_036"/>
      <sheetName val="Eq__Mobilization6"/>
      <sheetName val="Pro_Pavement6"/>
      <sheetName val="Cost_of_O_&amp;_O6"/>
      <sheetName val="Diesel_Analysis6"/>
      <sheetName val="Mix_Design6"/>
      <sheetName val="P-Ins_&amp;_Bonds6"/>
      <sheetName val="Input_sheet2"/>
      <sheetName val="BASIC_RATES2"/>
      <sheetName val="BOQ-for_Main_DB1"/>
      <sheetName val="Labour_&amp;_Plant1"/>
      <sheetName val="E_&amp;_R1"/>
      <sheetName val="01_11_20041"/>
      <sheetName val="Pipe_Supports1"/>
      <sheetName val="GF_Columns1"/>
      <sheetName val="beam-reinft-machine_rm1"/>
      <sheetName val="P_&amp;_l_1"/>
      <sheetName val="Const_QMS_Dash_Board11"/>
      <sheetName val="Data_Valid11"/>
      <sheetName val="MAG1_tracker10"/>
      <sheetName val="NLD_AG110"/>
      <sheetName val="Valid_Inputs10"/>
      <sheetName val="Site_Findings_Status_Sheet9"/>
      <sheetName val="daywork-_Tham_khao9"/>
      <sheetName val="JC_Database9"/>
      <sheetName val="_Values9"/>
      <sheetName val="Data_Val_9"/>
      <sheetName val="Ins_Erection6"/>
      <sheetName val="City_Codes6"/>
      <sheetName val="Consequences_Categories6"/>
      <sheetName val="Cause_Categories6"/>
      <sheetName val="Fiber_Work6"/>
      <sheetName val="SCO_Support_Sites6"/>
      <sheetName val="FTTH_Fiber_Work6"/>
      <sheetName val="Additional_96F_Blowing6"/>
      <sheetName val="Inside_Premises6"/>
      <sheetName val="Distribution_College_only6"/>
      <sheetName val="Scope_Productivity6"/>
      <sheetName val="MP_Productivity6"/>
      <sheetName val="Pass-Thru_Income_JE6"/>
      <sheetName val="Data_Dictionery6"/>
      <sheetName val="New_Drop_Down_Menu6"/>
      <sheetName val="SPT_vs_PHI5"/>
      <sheetName val="Earnings_model5"/>
      <sheetName val="Civil_Boq5"/>
      <sheetName val="Pre-cast_Qty5"/>
      <sheetName val="precast_RC_element5"/>
      <sheetName val="Typical_floor_on_3BHK_-STD5"/>
      <sheetName val="DATA_91-985"/>
      <sheetName val="Rate_Analysis5"/>
      <sheetName val="Material_5"/>
      <sheetName val="NPO_-_Model5"/>
      <sheetName val="Back_up4"/>
      <sheetName val="Summary_MEP4"/>
      <sheetName val="Summary_MEP_(2)4"/>
      <sheetName val="Electrical__(2)4"/>
      <sheetName val="Fire_(2)4"/>
      <sheetName val="Plumbing_(2)4"/>
      <sheetName val="All_Assumptions4"/>
      <sheetName val="Finishing_Schedule4"/>
      <sheetName val="KP_MALL-Area_Take_Off4"/>
      <sheetName val="Arera,_Peri_Basement4"/>
      <sheetName val="BOH_Area4"/>
      <sheetName val="Bulk_Head4"/>
      <sheetName val="Retail_Area_(TI)4"/>
      <sheetName val="KPM-Rate_Analysis4"/>
      <sheetName val="Electrical_4"/>
      <sheetName val="Elevator_&amp;_Escalator4"/>
      <sheetName val="MP_Working4"/>
      <sheetName val="UK_Report5"/>
      <sheetName val="Aus&amp;_Sing4"/>
      <sheetName val="Cash_Flow_Working4"/>
      <sheetName val="Labor_abs-NMR4"/>
      <sheetName val="SC_Cost_FEB_034"/>
      <sheetName val="Eq__Mobilization4"/>
      <sheetName val="Pro_Pavement4"/>
      <sheetName val="Cost_of_O_&amp;_O4"/>
      <sheetName val="Diesel_Analysis4"/>
      <sheetName val="Mix_Design4"/>
      <sheetName val="P-Ins_&amp;_Bonds4"/>
      <sheetName val="Input_sheet"/>
      <sheetName val="BASIC_RATES"/>
      <sheetName val="Const_QMS_Dash_Board12"/>
      <sheetName val="Data_Valid12"/>
      <sheetName val="MAG1_tracker11"/>
      <sheetName val="NLD_AG111"/>
      <sheetName val="Valid_Inputs11"/>
      <sheetName val="Site_Findings_Status_Sheet10"/>
      <sheetName val="daywork-_Tham_khao10"/>
      <sheetName val="JC_Database10"/>
      <sheetName val="_Values10"/>
      <sheetName val="Data_Val_10"/>
      <sheetName val="Ins_Erection7"/>
      <sheetName val="City_Codes7"/>
      <sheetName val="Consequences_Categories7"/>
      <sheetName val="Cause_Categories7"/>
      <sheetName val="Fiber_Work7"/>
      <sheetName val="SCO_Support_Sites7"/>
      <sheetName val="FTTH_Fiber_Work7"/>
      <sheetName val="Additional_96F_Blowing7"/>
      <sheetName val="Inside_Premises7"/>
      <sheetName val="Distribution_College_only7"/>
      <sheetName val="Scope_Productivity7"/>
      <sheetName val="MP_Productivity7"/>
      <sheetName val="Pass-Thru_Income_JE7"/>
      <sheetName val="Data_Dictionery7"/>
      <sheetName val="New_Drop_Down_Menu7"/>
      <sheetName val="SPT_vs_PHI6"/>
      <sheetName val="Earnings_model6"/>
      <sheetName val="Civil_Boq6"/>
      <sheetName val="Pre-cast_Qty6"/>
      <sheetName val="precast_RC_element6"/>
      <sheetName val="Typical_floor_on_3BHK_-STD6"/>
      <sheetName val="DATA_91-986"/>
      <sheetName val="Rate_Analysis6"/>
      <sheetName val="Material_6"/>
      <sheetName val="NPO_-_Model6"/>
      <sheetName val="Back_up5"/>
      <sheetName val="Summary_MEP5"/>
      <sheetName val="Summary_MEP_(2)5"/>
      <sheetName val="Electrical__(2)5"/>
      <sheetName val="Fire_(2)5"/>
      <sheetName val="Plumbing_(2)5"/>
      <sheetName val="All_Assumptions5"/>
      <sheetName val="Finishing_Schedule5"/>
      <sheetName val="KP_MALL-Area_Take_Off5"/>
      <sheetName val="Arera,_Peri_Basement5"/>
      <sheetName val="BOH_Area5"/>
      <sheetName val="Bulk_Head5"/>
      <sheetName val="Retail_Area_(TI)5"/>
      <sheetName val="KPM-Rate_Analysis5"/>
      <sheetName val="Electrical_5"/>
      <sheetName val="Elevator_&amp;_Escalator5"/>
      <sheetName val="MP_Working5"/>
      <sheetName val="UK_Report6"/>
      <sheetName val="Aus&amp;_Sing5"/>
      <sheetName val="Cash_Flow_Working5"/>
      <sheetName val="Labor_abs-NMR5"/>
      <sheetName val="SC_Cost_FEB_035"/>
      <sheetName val="Eq__Mobilization5"/>
      <sheetName val="Pro_Pavement5"/>
      <sheetName val="Cost_of_O_&amp;_O5"/>
      <sheetName val="Diesel_Analysis5"/>
      <sheetName val="Mix_Design5"/>
      <sheetName val="P-Ins_&amp;_Bonds5"/>
      <sheetName val="Input_sheet1"/>
      <sheetName val="BASIC_RATES1"/>
      <sheetName val="BOQ-for_Main_DB"/>
      <sheetName val="Labour_&amp;_Plant"/>
      <sheetName val="E_&amp;_R"/>
      <sheetName val="01_11_2004"/>
      <sheetName val="Pipe_Supports"/>
      <sheetName val="GF_Columns"/>
      <sheetName val="beam-reinft-machine_rm"/>
      <sheetName val="P_&amp;_l_"/>
      <sheetName val="Const_QMS_Dash_Board14"/>
      <sheetName val="Data_Valid14"/>
      <sheetName val="MAG1_tracker13"/>
      <sheetName val="NLD_AG113"/>
      <sheetName val="Valid_Inputs13"/>
      <sheetName val="Site_Findings_Status_Sheet12"/>
      <sheetName val="daywork-_Tham_khao12"/>
      <sheetName val="JC_Database12"/>
      <sheetName val="_Values12"/>
      <sheetName val="Data_Val_12"/>
      <sheetName val="Ins_Erection9"/>
      <sheetName val="City_Codes9"/>
      <sheetName val="Consequences_Categories9"/>
      <sheetName val="Cause_Categories9"/>
      <sheetName val="Fiber_Work9"/>
      <sheetName val="SCO_Support_Sites9"/>
      <sheetName val="FTTH_Fiber_Work9"/>
      <sheetName val="Additional_96F_Blowing9"/>
      <sheetName val="Inside_Premises9"/>
      <sheetName val="Distribution_College_only9"/>
      <sheetName val="Scope_Productivity9"/>
      <sheetName val="MP_Productivity9"/>
      <sheetName val="Pass-Thru_Income_JE9"/>
      <sheetName val="Data_Dictionery9"/>
      <sheetName val="New_Drop_Down_Menu9"/>
      <sheetName val="SPT_vs_PHI8"/>
      <sheetName val="Earnings_model8"/>
      <sheetName val="Civil_Boq8"/>
      <sheetName val="Pre-cast_Qty8"/>
      <sheetName val="precast_RC_element8"/>
      <sheetName val="Typical_floor_on_3BHK_-STD8"/>
      <sheetName val="DATA_91-988"/>
      <sheetName val="Rate_Analysis8"/>
      <sheetName val="Material_8"/>
      <sheetName val="NPO_-_Model8"/>
      <sheetName val="Back_up7"/>
      <sheetName val="Summary_MEP7"/>
      <sheetName val="Summary_MEP_(2)7"/>
      <sheetName val="Electrical__(2)7"/>
      <sheetName val="Fire_(2)7"/>
      <sheetName val="Plumbing_(2)7"/>
      <sheetName val="All_Assumptions7"/>
      <sheetName val="Finishing_Schedule7"/>
      <sheetName val="KP_MALL-Area_Take_Off7"/>
      <sheetName val="Arera,_Peri_Basement7"/>
      <sheetName val="BOH_Area7"/>
      <sheetName val="Bulk_Head7"/>
      <sheetName val="Retail_Area_(TI)7"/>
      <sheetName val="KPM-Rate_Analysis7"/>
      <sheetName val="Electrical_7"/>
      <sheetName val="Elevator_&amp;_Escalator7"/>
      <sheetName val="MP_Working7"/>
      <sheetName val="UK_Report8"/>
      <sheetName val="Aus&amp;_Sing7"/>
      <sheetName val="Cash_Flow_Working7"/>
      <sheetName val="Labor_abs-NMR7"/>
      <sheetName val="SC_Cost_FEB_037"/>
      <sheetName val="Eq__Mobilization7"/>
      <sheetName val="Pro_Pavement7"/>
      <sheetName val="Cost_of_O_&amp;_O7"/>
      <sheetName val="Diesel_Analysis7"/>
      <sheetName val="Mix_Design7"/>
      <sheetName val="P-Ins_&amp;_Bonds7"/>
      <sheetName val="Const_QMS_Dash_Board16"/>
      <sheetName val="Data_Valid16"/>
      <sheetName val="MAG1_tracker15"/>
      <sheetName val="NLD_AG115"/>
      <sheetName val="Valid_Inputs15"/>
      <sheetName val="Site_Findings_Status_Sheet14"/>
      <sheetName val="daywork-_Tham_khao14"/>
      <sheetName val="JC_Database14"/>
      <sheetName val="_Values14"/>
      <sheetName val="Data_Val_14"/>
      <sheetName val="Ins_Erection11"/>
      <sheetName val="City_Codes11"/>
      <sheetName val="Consequences_Categories11"/>
      <sheetName val="Cause_Categories11"/>
      <sheetName val="Fiber_Work11"/>
      <sheetName val="SCO_Support_Sites11"/>
      <sheetName val="FTTH_Fiber_Work11"/>
      <sheetName val="Additional_96F_Blowing11"/>
      <sheetName val="Inside_Premises11"/>
      <sheetName val="Distribution_College_only11"/>
      <sheetName val="Scope_Productivity11"/>
      <sheetName val="MP_Productivity11"/>
      <sheetName val="Pass-Thru_Income_JE11"/>
      <sheetName val="Data_Dictionery11"/>
      <sheetName val="New_Drop_Down_Menu11"/>
      <sheetName val="SPT_vs_PHI10"/>
      <sheetName val="Earnings_model10"/>
      <sheetName val="Civil_Boq10"/>
      <sheetName val="Pre-cast_Qty10"/>
      <sheetName val="precast_RC_element10"/>
      <sheetName val="Typical_floor_on_3BHK_-STD10"/>
      <sheetName val="DATA_91-9810"/>
      <sheetName val="Rate_Analysis10"/>
      <sheetName val="Material_10"/>
      <sheetName val="NPO_-_Model10"/>
      <sheetName val="Back_up9"/>
      <sheetName val="Summary_MEP9"/>
      <sheetName val="Summary_MEP_(2)9"/>
      <sheetName val="Electrical__(2)9"/>
      <sheetName val="Fire_(2)9"/>
      <sheetName val="Plumbing_(2)9"/>
      <sheetName val="All_Assumptions9"/>
      <sheetName val="Finishing_Schedule9"/>
      <sheetName val="KP_MALL-Area_Take_Off9"/>
      <sheetName val="Arera,_Peri_Basement9"/>
      <sheetName val="BOH_Area9"/>
      <sheetName val="Bulk_Head9"/>
      <sheetName val="Retail_Area_(TI)9"/>
      <sheetName val="KPM-Rate_Analysis9"/>
      <sheetName val="Electrical_9"/>
      <sheetName val="Elevator_&amp;_Escalator9"/>
      <sheetName val="MP_Working9"/>
      <sheetName val="UK_Report10"/>
      <sheetName val="Aus&amp;_Sing9"/>
      <sheetName val="Cash_Flow_Working9"/>
      <sheetName val="Labor_abs-NMR9"/>
      <sheetName val="SC_Cost_FEB_039"/>
      <sheetName val="Eq__Mobilization9"/>
      <sheetName val="Pro_Pavement9"/>
      <sheetName val="Cost_of_O_&amp;_O9"/>
      <sheetName val="Diesel_Analysis9"/>
      <sheetName val="Mix_Design9"/>
      <sheetName val="P-Ins_&amp;_Bonds9"/>
      <sheetName val="Input_sheet4"/>
      <sheetName val="BASIC_RATES4"/>
      <sheetName val="BOQ-for_Main_DB3"/>
      <sheetName val="Labour_&amp;_Plant3"/>
      <sheetName val="E_&amp;_R3"/>
      <sheetName val="01_11_20043"/>
      <sheetName val="Pipe_Supports3"/>
      <sheetName val="GF_Columns3"/>
      <sheetName val="beam-reinft-machine_rm3"/>
      <sheetName val="P_&amp;_l_3"/>
      <sheetName val="입찰내역_발주처_양식1"/>
      <sheetName val="old_serial_no_1"/>
      <sheetName val="BASIS_-DEC_081"/>
      <sheetName val="pile_Fabrication1"/>
      <sheetName val="PRECAST_lightconc-II1"/>
      <sheetName val="MSP_Distrbution_Linking_to_S-11"/>
      <sheetName val="Combined_Results_1"/>
      <sheetName val="MASTER_RATE_ANALYSIS1"/>
      <sheetName val="abst-of_-cost1"/>
      <sheetName val="Const_QMS_Dash_Board15"/>
      <sheetName val="Data_Valid15"/>
      <sheetName val="MAG1_tracker14"/>
      <sheetName val="NLD_AG114"/>
      <sheetName val="Valid_Inputs14"/>
      <sheetName val="Site_Findings_Status_Sheet13"/>
      <sheetName val="daywork-_Tham_khao13"/>
      <sheetName val="JC_Database13"/>
      <sheetName val="_Values13"/>
      <sheetName val="Data_Val_13"/>
      <sheetName val="Ins_Erection10"/>
      <sheetName val="City_Codes10"/>
      <sheetName val="Consequences_Categories10"/>
      <sheetName val="Cause_Categories10"/>
      <sheetName val="Fiber_Work10"/>
      <sheetName val="SCO_Support_Sites10"/>
      <sheetName val="FTTH_Fiber_Work10"/>
      <sheetName val="Additional_96F_Blowing10"/>
      <sheetName val="Inside_Premises10"/>
      <sheetName val="Distribution_College_only10"/>
      <sheetName val="Scope_Productivity10"/>
      <sheetName val="MP_Productivity10"/>
      <sheetName val="Pass-Thru_Income_JE10"/>
      <sheetName val="Data_Dictionery10"/>
      <sheetName val="New_Drop_Down_Menu10"/>
      <sheetName val="SPT_vs_PHI9"/>
      <sheetName val="Earnings_model9"/>
      <sheetName val="Civil_Boq9"/>
      <sheetName val="Pre-cast_Qty9"/>
      <sheetName val="precast_RC_element9"/>
      <sheetName val="Typical_floor_on_3BHK_-STD9"/>
      <sheetName val="DATA_91-989"/>
      <sheetName val="Rate_Analysis9"/>
      <sheetName val="Material_9"/>
      <sheetName val="NPO_-_Model9"/>
      <sheetName val="Back_up8"/>
      <sheetName val="Summary_MEP8"/>
      <sheetName val="Summary_MEP_(2)8"/>
      <sheetName val="Electrical__(2)8"/>
      <sheetName val="Fire_(2)8"/>
      <sheetName val="Plumbing_(2)8"/>
      <sheetName val="All_Assumptions8"/>
      <sheetName val="Finishing_Schedule8"/>
      <sheetName val="KP_MALL-Area_Take_Off8"/>
      <sheetName val="Arera,_Peri_Basement8"/>
      <sheetName val="BOH_Area8"/>
      <sheetName val="Bulk_Head8"/>
      <sheetName val="Retail_Area_(TI)8"/>
      <sheetName val="KPM-Rate_Analysis8"/>
      <sheetName val="Electrical_8"/>
      <sheetName val="Elevator_&amp;_Escalator8"/>
      <sheetName val="MP_Working8"/>
      <sheetName val="UK_Report9"/>
      <sheetName val="Aus&amp;_Sing8"/>
      <sheetName val="Cash_Flow_Working8"/>
      <sheetName val="Labor_abs-NMR8"/>
      <sheetName val="SC_Cost_FEB_038"/>
      <sheetName val="Eq__Mobilization8"/>
      <sheetName val="Pro_Pavement8"/>
      <sheetName val="Cost_of_O_&amp;_O8"/>
      <sheetName val="Diesel_Analysis8"/>
      <sheetName val="Mix_Design8"/>
      <sheetName val="P-Ins_&amp;_Bonds8"/>
      <sheetName val="Input_sheet3"/>
      <sheetName val="BASIC_RATES3"/>
      <sheetName val="BOQ-for_Main_DB2"/>
      <sheetName val="Labour_&amp;_Plant2"/>
      <sheetName val="E_&amp;_R2"/>
      <sheetName val="01_11_20042"/>
      <sheetName val="Pipe_Supports2"/>
      <sheetName val="GF_Columns2"/>
      <sheetName val="beam-reinft-machine_rm2"/>
      <sheetName val="P_&amp;_l_2"/>
      <sheetName val="입찰내역_발주처_양식"/>
      <sheetName val="old_serial_no_"/>
      <sheetName val="BASIS_-DEC_08"/>
      <sheetName val="pile_Fabrication"/>
      <sheetName val="PRECAST_lightconc-II"/>
      <sheetName val="MSP_Distrbution_Linking_to_S-1"/>
      <sheetName val="Combined_Results_"/>
      <sheetName val="MASTER_RATE_ANALYSIS"/>
      <sheetName val="abst-of_-cost"/>
      <sheetName val="Contractor Details"/>
      <sheetName val="Template"/>
      <sheetName val="Headings"/>
      <sheetName val="India F&amp;S Template"/>
      <sheetName val="Core Data"/>
      <sheetName val="Settings"/>
      <sheetName val="Mezzanine Floor Beam"/>
      <sheetName val="Detailed Summary (4)"/>
      <sheetName val="p&amp;m"/>
      <sheetName val="Fee Rate Summary"/>
      <sheetName val="feasi"/>
      <sheetName val="INDIGINEOUS ITEMS "/>
      <sheetName val="BHANDUP"/>
      <sheetName val="cost Sft"/>
      <sheetName val="calcul"/>
      <sheetName val="activit-graph  "/>
      <sheetName val=" "/>
      <sheetName val="Internal Plaster-FTP-Block D4"/>
      <sheetName val="CABLERET"/>
      <sheetName val="11-hsd"/>
      <sheetName val="Drop Down"/>
      <sheetName val="TBAL9697 -group wise  sdpl"/>
      <sheetName val="Fin Sum"/>
      <sheetName val="Steel-Circular"/>
      <sheetName val="Original"/>
      <sheetName val="Process"/>
      <sheetName val="Chart2 Tornado"/>
      <sheetName val="PAN INDIA DETAILS"/>
      <sheetName val="BULK"/>
      <sheetName val="Bill No-11"/>
      <sheetName val="WAGERATE BY CRAFT"/>
      <sheetName val="Direct_Lbr"/>
      <sheetName val="Rates"/>
      <sheetName val="Bech_Lab"/>
      <sheetName val="Detail"/>
      <sheetName val="A"/>
      <sheetName val="B"/>
      <sheetName val="FORM-16"/>
      <sheetName val="대비표"/>
      <sheetName val="FI"/>
      <sheetName val="PCA"/>
      <sheetName val="oresreqsum"/>
      <sheetName val="C &amp; G RHS"/>
      <sheetName val="LTG-STG"/>
      <sheetName val="Pier-H"/>
      <sheetName val="REL"/>
      <sheetName val="ncp"/>
      <sheetName val="Final Basic rate"/>
      <sheetName val="basdat"/>
      <sheetName val="doq"/>
      <sheetName val="Materials Cost(PCC)"/>
      <sheetName val="ANX3A70R"/>
      <sheetName val="PRECAST CONCRETE"/>
      <sheetName val="Status"/>
      <sheetName val="Project ODC_NDEU"/>
      <sheetName val="SC-E-02-03"/>
      <sheetName val="TB-JUNE-2003-18.7.03"/>
      <sheetName val="计算表（TF-54)"/>
      <sheetName val="计算表（PS-18)"/>
      <sheetName val="土方计算表（PS-18)"/>
      <sheetName val="计算表（TF-8)"/>
      <sheetName val="土方计算表（TF-8)"/>
      <sheetName val="计算表（TF-51)"/>
      <sheetName val="土方计算表（TF-51)"/>
      <sheetName val="计算表（TF-44)"/>
      <sheetName val="土方计算表（TF-44)"/>
      <sheetName val="土方计算表（TF-54)"/>
      <sheetName val="计算表（GANTRY)"/>
      <sheetName val="土方计算表（GANTRY)"/>
      <sheetName val="计算表（TF-35电缆沟)"/>
      <sheetName val="土方计算表（TF-35电缆沟)"/>
      <sheetName val="License Area"/>
      <sheetName val="Form 6"/>
      <sheetName val="analysis"/>
      <sheetName val="Const_QMS_Dash_Board17"/>
      <sheetName val="Data_Valid17"/>
      <sheetName val="MAG1_tracker16"/>
      <sheetName val="NLD_AG116"/>
      <sheetName val="Valid_Inputs16"/>
      <sheetName val="Site_Findings_Status_Sheet15"/>
      <sheetName val="daywork-_Tham_khao15"/>
      <sheetName val="JC_Database15"/>
      <sheetName val="Data_Val_15"/>
      <sheetName val="_Values15"/>
      <sheetName val="City_Codes12"/>
      <sheetName val="Ins_Erection12"/>
      <sheetName val="Fiber_Work12"/>
      <sheetName val="SCO_Support_Sites12"/>
      <sheetName val="FTTH_Fiber_Work12"/>
      <sheetName val="Additional_96F_Blowing12"/>
      <sheetName val="Inside_Premises12"/>
      <sheetName val="Distribution_College_only12"/>
      <sheetName val="Scope_Productivity12"/>
      <sheetName val="MP_Productivity12"/>
      <sheetName val="Consequences_Categories12"/>
      <sheetName val="Cause_Categories12"/>
      <sheetName val="Pass-Thru_Income_JE12"/>
      <sheetName val="Data_Dictionery12"/>
      <sheetName val="New_Drop_Down_Menu12"/>
      <sheetName val="SPT_vs_PHI11"/>
      <sheetName val="Earnings_model11"/>
      <sheetName val="Civil_Boq11"/>
      <sheetName val="Pre-cast_Qty11"/>
      <sheetName val="precast_RC_element11"/>
      <sheetName val="Typical_floor_on_3BHK_-STD11"/>
      <sheetName val="DATA_91-9811"/>
      <sheetName val="Rate_Analysis11"/>
      <sheetName val="Material_11"/>
      <sheetName val="NPO_-_Model11"/>
      <sheetName val="Back_up10"/>
      <sheetName val="Summary_MEP10"/>
      <sheetName val="Summary_MEP_(2)10"/>
      <sheetName val="Electrical__(2)10"/>
      <sheetName val="Fire_(2)10"/>
      <sheetName val="Plumbing_(2)10"/>
      <sheetName val="All_Assumptions10"/>
      <sheetName val="Finishing_Schedule10"/>
      <sheetName val="KP_MALL-Area_Take_Off10"/>
      <sheetName val="Arera,_Peri_Basement10"/>
      <sheetName val="BOH_Area10"/>
      <sheetName val="Bulk_Head10"/>
      <sheetName val="Retail_Area_(TI)10"/>
      <sheetName val="KPM-Rate_Analysis10"/>
      <sheetName val="Electrical_10"/>
      <sheetName val="Elevator_&amp;_Escalator10"/>
      <sheetName val="MP_Working10"/>
      <sheetName val="UK_Report11"/>
      <sheetName val="Aus&amp;_Sing10"/>
      <sheetName val="Cash_Flow_Working10"/>
      <sheetName val="Labor_abs-NMR10"/>
      <sheetName val="SC_Cost_FEB_0310"/>
      <sheetName val="Eq__Mobilization10"/>
      <sheetName val="Pro_Pavement10"/>
      <sheetName val="Cost_of_O_&amp;_O10"/>
      <sheetName val="Diesel_Analysis10"/>
      <sheetName val="Mix_Design10"/>
      <sheetName val="P-Ins_&amp;_Bonds10"/>
      <sheetName val="Input_sheet5"/>
      <sheetName val="BASIC_RATES5"/>
      <sheetName val="BOQ-for_Main_DB4"/>
      <sheetName val="Labour_&amp;_Plant4"/>
      <sheetName val="E_&amp;_R4"/>
      <sheetName val="01_11_20044"/>
      <sheetName val="Pipe_Supports4"/>
      <sheetName val="GF_Columns4"/>
      <sheetName val="beam-reinft-machine_rm4"/>
      <sheetName val="P_&amp;_l_4"/>
      <sheetName val="입찰내역_발주처_양식2"/>
      <sheetName val="old_serial_no_2"/>
      <sheetName val="BASIS_-DEC_082"/>
      <sheetName val="pile_Fabrication2"/>
      <sheetName val="PRECAST_lightconc-II2"/>
      <sheetName val="MSP_Distrbution_Linking_to_S-12"/>
      <sheetName val="Combined_Results_2"/>
      <sheetName val="MASTER_RATE_ANALYSIS2"/>
      <sheetName val="abst-of_-cost2"/>
      <sheetName val="Categories"/>
      <sheetName val="Category"/>
      <sheetName val="UK"/>
      <sheetName val="15"/>
      <sheetName val="NN"/>
      <sheetName val="Summary year Plan"/>
      <sheetName val="SBI(Siliguri)"/>
      <sheetName val="RES-PLANNING"/>
      <sheetName val="Material List "/>
      <sheetName val="beam-reinft-IIInd floor"/>
      <sheetName val="Set"/>
      <sheetName val="RCC Rates"/>
      <sheetName val="Flooring1"/>
      <sheetName val="Civil Works"/>
      <sheetName val="factors"/>
      <sheetName val="NPV"/>
      <sheetName val="Costcal"/>
      <sheetName val="Mat_Cost3"/>
      <sheetName val="Price_Schedule_ME3"/>
      <sheetName val="Price_Schedule_ME_(2)3"/>
      <sheetName val="Fill_this_out_first___3"/>
      <sheetName val="Debits_as_on_12_04_083"/>
      <sheetName val="MN_T_B_"/>
      <sheetName val="220Kv_(2)"/>
      <sheetName val="ACAD_Finishes"/>
      <sheetName val="Site_Details"/>
      <sheetName val="Site_Area_Statement"/>
      <sheetName val="Mat_Cost4"/>
      <sheetName val="Price_Schedule_ME4"/>
      <sheetName val="Price_Schedule_ME_(2)4"/>
      <sheetName val="Fill_this_out_first___4"/>
      <sheetName val="Debits_as_on_12_04_084"/>
      <sheetName val="MN_T_B_1"/>
      <sheetName val="220Kv_(2)1"/>
      <sheetName val="ACAD_Finishes1"/>
      <sheetName val="Site_Details1"/>
      <sheetName val="Site_Area_Statement1"/>
      <sheetName val="Price_Working_-SRP"/>
      <sheetName val="Const_QMS_Dash_Board18"/>
      <sheetName val="Site_Findings_Status_Sheet16"/>
      <sheetName val="Data_Valid18"/>
      <sheetName val="MAG1_tracker17"/>
      <sheetName val="NLD_AG117"/>
      <sheetName val="Valid_Inputs17"/>
      <sheetName val="daywork-_Tham_khao16"/>
      <sheetName val="JC_Database16"/>
      <sheetName val="_Values16"/>
      <sheetName val="Data_Val_16"/>
      <sheetName val="Ins_Erection13"/>
      <sheetName val="City_Codes13"/>
      <sheetName val="Consequences_Categories13"/>
      <sheetName val="Cause_Categories13"/>
      <sheetName val="Fiber_Work13"/>
      <sheetName val="SCO_Support_Sites13"/>
      <sheetName val="FTTH_Fiber_Work13"/>
      <sheetName val="Additional_96F_Blowing13"/>
      <sheetName val="Inside_Premises13"/>
      <sheetName val="Distribution_College_only13"/>
      <sheetName val="Scope_Productivity13"/>
      <sheetName val="MP_Productivity13"/>
      <sheetName val="Pass-Thru_Income_JE13"/>
      <sheetName val="Data_Dictionery13"/>
      <sheetName val="New_Drop_Down_Menu13"/>
      <sheetName val="SPT_vs_PHI12"/>
      <sheetName val="Earnings_model12"/>
      <sheetName val="Civil_Boq12"/>
      <sheetName val="Pre-cast_Qty12"/>
      <sheetName val="precast_RC_element12"/>
      <sheetName val="Typical_floor_on_3BHK_-STD12"/>
      <sheetName val="DATA_91-9812"/>
      <sheetName val="Rate_Analysis12"/>
      <sheetName val="Material_12"/>
      <sheetName val="NPO_-_Model12"/>
      <sheetName val="Back_up11"/>
      <sheetName val="Summary_MEP11"/>
      <sheetName val="Summary_MEP_(2)11"/>
      <sheetName val="Electrical__(2)11"/>
      <sheetName val="Fire_(2)11"/>
      <sheetName val="Plumbing_(2)11"/>
      <sheetName val="All_Assumptions11"/>
      <sheetName val="Finishing_Schedule11"/>
      <sheetName val="KP_MALL-Area_Take_Off11"/>
      <sheetName val="Arera,_Peri_Basement11"/>
      <sheetName val="BOH_Area11"/>
      <sheetName val="Bulk_Head11"/>
      <sheetName val="Retail_Area_(TI)11"/>
      <sheetName val="KPM-Rate_Analysis11"/>
      <sheetName val="Electrical_11"/>
      <sheetName val="Elevator_&amp;_Escalator11"/>
      <sheetName val="MP_Working11"/>
      <sheetName val="UK_Report12"/>
      <sheetName val="Aus&amp;_Sing11"/>
      <sheetName val="Cash_Flow_Working11"/>
      <sheetName val="Labor_abs-NMR11"/>
      <sheetName val="SC_Cost_FEB_0311"/>
      <sheetName val="Eq__Mobilization11"/>
      <sheetName val="Pro_Pavement11"/>
      <sheetName val="Cost_of_O_&amp;_O11"/>
      <sheetName val="Diesel_Analysis11"/>
      <sheetName val="Mix_Design11"/>
      <sheetName val="P-Ins_&amp;_Bonds11"/>
      <sheetName val="Input_sheet6"/>
      <sheetName val="BASIC_RATES6"/>
      <sheetName val="BOQ-for_Main_DB5"/>
      <sheetName val="Labour_&amp;_Plant5"/>
      <sheetName val="E_&amp;_R5"/>
      <sheetName val="01_11_20045"/>
      <sheetName val="Pipe_Supports5"/>
      <sheetName val="GF_Columns5"/>
      <sheetName val="beam-reinft-machine_rm5"/>
      <sheetName val="P_&amp;_l_5"/>
      <sheetName val="입찰내역_발주처_양식3"/>
      <sheetName val="old_serial_no_3"/>
      <sheetName val="BASIS_-DEC_083"/>
      <sheetName val="pile_Fabrication3"/>
      <sheetName val="PRECAST_lightconc-II3"/>
      <sheetName val="MSP_Distrbution_Linking_to_S-13"/>
      <sheetName val="Combined_Results_3"/>
      <sheetName val="MASTER_RATE_ANALYSIS3"/>
      <sheetName val="abst-of_-cost3"/>
      <sheetName val="Price_Working_-SRP1"/>
      <sheetName val="Historical_IS"/>
      <sheetName val="Chart2_Tornado"/>
      <sheetName val="VARIABLE"/>
      <sheetName val="13-septic"/>
      <sheetName val="7-ug"/>
      <sheetName val="2-utility"/>
      <sheetName val="storm water1"/>
      <sheetName val="std-rates"/>
      <sheetName val="SB_SCH_A3"/>
      <sheetName val="SB SCH_A7"/>
      <sheetName val="Stub Col"/>
      <sheetName val="F.Slab"/>
      <sheetName val="Plinth Beam1"/>
      <sheetName val="Frist Floor"/>
      <sheetName val="Col up to plinth (RL)"/>
      <sheetName val="FORM7"/>
      <sheetName val="BLOCK WORK B2"/>
      <sheetName val="FF SlabBeam"/>
      <sheetName val="Detailed Summary (5)"/>
      <sheetName val="Pipe Bedding"/>
      <sheetName val="SGS ACQ"/>
      <sheetName val="switch"/>
      <sheetName val="PPA Summary"/>
      <sheetName val="Plinth beam"/>
      <sheetName val="Bed Class"/>
      <sheetName val="Cd"/>
      <sheetName val="BOQ"/>
      <sheetName val="TOTCO"/>
      <sheetName val="EXPENSES"/>
      <sheetName val="Drop_Down"/>
      <sheetName val="License_Area"/>
      <sheetName val="Const_QMS_Dash_Board19"/>
      <sheetName val="Data_Valid19"/>
      <sheetName val="MAG1_tracker18"/>
      <sheetName val="NLD_AG118"/>
      <sheetName val="Valid_Inputs18"/>
      <sheetName val="Site_Findings_Status_Sheet17"/>
      <sheetName val="daywork-_Tham_khao17"/>
      <sheetName val="JC_Database17"/>
      <sheetName val="_Values17"/>
      <sheetName val="Data_Val_17"/>
      <sheetName val="Ins_Erection14"/>
      <sheetName val="City_Codes14"/>
      <sheetName val="Consequences_Categories14"/>
      <sheetName val="Cause_Categories14"/>
      <sheetName val="Fiber_Work14"/>
      <sheetName val="SCO_Support_Sites14"/>
      <sheetName val="FTTH_Fiber_Work14"/>
      <sheetName val="Additional_96F_Blowing14"/>
      <sheetName val="Inside_Premises14"/>
      <sheetName val="Distribution_College_only14"/>
      <sheetName val="Scope_Productivity14"/>
      <sheetName val="MP_Productivity14"/>
      <sheetName val="Pass-Thru_Income_JE14"/>
      <sheetName val="Data_Dictionery14"/>
      <sheetName val="New_Drop_Down_Menu14"/>
      <sheetName val="SPT_vs_PHI13"/>
      <sheetName val="Earnings_model13"/>
      <sheetName val="Civil_Boq13"/>
      <sheetName val="Pre-cast_Qty13"/>
      <sheetName val="precast_RC_element13"/>
      <sheetName val="Typical_floor_on_3BHK_-STD13"/>
      <sheetName val="DATA_91-9813"/>
      <sheetName val="Rate_Analysis13"/>
      <sheetName val="Material_13"/>
      <sheetName val="NPO_-_Model13"/>
      <sheetName val="Back_up12"/>
      <sheetName val="Summary_MEP12"/>
      <sheetName val="Summary_MEP_(2)12"/>
      <sheetName val="Electrical__(2)12"/>
      <sheetName val="Fire_(2)12"/>
      <sheetName val="Plumbing_(2)12"/>
      <sheetName val="All_Assumptions12"/>
      <sheetName val="Finishing_Schedule12"/>
      <sheetName val="KP_MALL-Area_Take_Off12"/>
      <sheetName val="Arera,_Peri_Basement12"/>
      <sheetName val="BOH_Area12"/>
      <sheetName val="Bulk_Head12"/>
      <sheetName val="Retail_Area_(TI)12"/>
      <sheetName val="KPM-Rate_Analysis12"/>
      <sheetName val="Electrical_12"/>
      <sheetName val="Elevator_&amp;_Escalator12"/>
      <sheetName val="MP_Working12"/>
      <sheetName val="UK_Report13"/>
      <sheetName val="Aus&amp;_Sing12"/>
      <sheetName val="Cash_Flow_Working12"/>
      <sheetName val="Labor_abs-NMR12"/>
      <sheetName val="SC_Cost_FEB_0312"/>
      <sheetName val="Eq__Mobilization12"/>
      <sheetName val="Pro_Pavement12"/>
      <sheetName val="Cost_of_O_&amp;_O12"/>
      <sheetName val="Diesel_Analysis12"/>
      <sheetName val="Mix_Design12"/>
      <sheetName val="P-Ins_&amp;_Bonds12"/>
      <sheetName val="Input_sheet7"/>
      <sheetName val="BASIC_RATES7"/>
      <sheetName val="BOQ-for_Main_DB6"/>
      <sheetName val="Labour_&amp;_Plant6"/>
      <sheetName val="E_&amp;_R6"/>
      <sheetName val="01_11_20046"/>
      <sheetName val="Pipe_Supports6"/>
      <sheetName val="GF_Columns6"/>
      <sheetName val="beam-reinft-machine_rm6"/>
      <sheetName val="P_&amp;_l_6"/>
      <sheetName val="입찰내역_발주처_양식4"/>
      <sheetName val="old_serial_no_4"/>
      <sheetName val="BASIS_-DEC_084"/>
      <sheetName val="pile_Fabrication4"/>
      <sheetName val="PRECAST_lightconc-II4"/>
      <sheetName val="MSP_Distrbution_Linking_to_S-14"/>
      <sheetName val="Combined_Results_4"/>
      <sheetName val="MASTER_RATE_ANALYSIS4"/>
      <sheetName val="abst-of_-cost4"/>
      <sheetName val="Price_Working_-SRP2"/>
      <sheetName val="Historical_IS1"/>
      <sheetName val="Chart2_Tornado1"/>
      <sheetName val="Drop_Down1"/>
      <sheetName val="License_Area1"/>
      <sheetName val="Contractor_Details"/>
      <sheetName val="Mezzanine_Floor_Beam"/>
      <sheetName val="Detailed_Summary_(4)"/>
      <sheetName val="Fee_Rate_Summary"/>
      <sheetName val="INDIGINEOUS_ITEMS_"/>
      <sheetName val="cost_Sft"/>
      <sheetName val="activit-graph__"/>
      <sheetName val="_"/>
      <sheetName val="Internal_Plaster-FTP-Block_D4"/>
      <sheetName val="TBAL9697_-group_wise__sdpl"/>
      <sheetName val="Fin_Sum"/>
      <sheetName val="Quote_Sheet"/>
      <sheetName val="Form_6"/>
      <sheetName val="Summary_year_Plan"/>
      <sheetName val="Material_List_"/>
      <sheetName val="beam-reinft-IIInd_floor"/>
      <sheetName val="RCC_Rates"/>
      <sheetName val="Civil_Works"/>
      <sheetName val="storm_water1"/>
      <sheetName val="SB_SCH_A7"/>
      <sheetName val="Stub_Col"/>
      <sheetName val="F_Slab"/>
      <sheetName val="Plinth_Beam1"/>
      <sheetName val="Frist_Floor"/>
      <sheetName val="Col_up_to_plinth_(RL)"/>
      <sheetName val="BLOCK_WORK_B2"/>
      <sheetName val="FF_SlabBeam"/>
      <sheetName val="Detailed_Summary_(5)"/>
      <sheetName val="Pipe_Bedding"/>
      <sheetName val="SGS_ACQ"/>
      <sheetName val="PPA_Summary"/>
      <sheetName val="Plinth_beam"/>
      <sheetName val="Bed_Class"/>
      <sheetName val="PAN_INDIA_DETAILS"/>
      <sheetName val="Bus Ways"/>
      <sheetName val="ANAL"/>
      <sheetName val="DATA SHEET"/>
      <sheetName val="Achievements_Highlights "/>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Base Data"/>
      <sheetName val="North Zone-Total"/>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refreshError="1"/>
      <sheetData sheetId="3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ow r="179">
          <cell r="H179">
            <v>540</v>
          </cell>
        </row>
      </sheetData>
      <sheetData sheetId="151">
        <row r="179">
          <cell r="H179">
            <v>540</v>
          </cell>
        </row>
      </sheetData>
      <sheetData sheetId="152"/>
      <sheetData sheetId="153"/>
      <sheetData sheetId="154">
        <row r="179">
          <cell r="H179">
            <v>540</v>
          </cell>
        </row>
      </sheetData>
      <sheetData sheetId="155">
        <row r="179">
          <cell r="H179">
            <v>540</v>
          </cell>
        </row>
      </sheetData>
      <sheetData sheetId="156">
        <row r="179">
          <cell r="H179">
            <v>540</v>
          </cell>
        </row>
      </sheetData>
      <sheetData sheetId="157">
        <row r="179">
          <cell r="H179">
            <v>540</v>
          </cell>
        </row>
      </sheetData>
      <sheetData sheetId="158"/>
      <sheetData sheetId="159"/>
      <sheetData sheetId="160">
        <row r="179">
          <cell r="H179">
            <v>540</v>
          </cell>
        </row>
      </sheetData>
      <sheetData sheetId="161">
        <row r="179">
          <cell r="H179">
            <v>540</v>
          </cell>
        </row>
      </sheetData>
      <sheetData sheetId="162">
        <row r="179">
          <cell r="H179">
            <v>540</v>
          </cell>
        </row>
      </sheetData>
      <sheetData sheetId="163"/>
      <sheetData sheetId="164"/>
      <sheetData sheetId="165"/>
      <sheetData sheetId="166">
        <row r="179">
          <cell r="H179">
            <v>540</v>
          </cell>
        </row>
      </sheetData>
      <sheetData sheetId="167">
        <row r="179">
          <cell r="H179">
            <v>540</v>
          </cell>
        </row>
      </sheetData>
      <sheetData sheetId="168">
        <row r="179">
          <cell r="H179">
            <v>540</v>
          </cell>
        </row>
      </sheetData>
      <sheetData sheetId="169"/>
      <sheetData sheetId="170"/>
      <sheetData sheetId="171"/>
      <sheetData sheetId="172">
        <row r="179">
          <cell r="H179">
            <v>540</v>
          </cell>
        </row>
      </sheetData>
      <sheetData sheetId="173">
        <row r="179">
          <cell r="H179">
            <v>540</v>
          </cell>
        </row>
      </sheetData>
      <sheetData sheetId="174"/>
      <sheetData sheetId="175"/>
      <sheetData sheetId="176"/>
      <sheetData sheetId="177"/>
      <sheetData sheetId="178">
        <row r="179">
          <cell r="H179">
            <v>540</v>
          </cell>
        </row>
      </sheetData>
      <sheetData sheetId="179">
        <row r="179">
          <cell r="H179">
            <v>540</v>
          </cell>
        </row>
      </sheetData>
      <sheetData sheetId="180"/>
      <sheetData sheetId="181"/>
      <sheetData sheetId="182">
        <row r="179">
          <cell r="H179">
            <v>540</v>
          </cell>
        </row>
      </sheetData>
      <sheetData sheetId="183">
        <row r="179">
          <cell r="H179">
            <v>540</v>
          </cell>
        </row>
      </sheetData>
      <sheetData sheetId="184"/>
      <sheetData sheetId="185"/>
      <sheetData sheetId="186" refreshError="1"/>
      <sheetData sheetId="187"/>
      <sheetData sheetId="188">
        <row r="179">
          <cell r="H179">
            <v>540</v>
          </cell>
        </row>
      </sheetData>
      <sheetData sheetId="189">
        <row r="179">
          <cell r="H179">
            <v>540</v>
          </cell>
        </row>
      </sheetData>
      <sheetData sheetId="190">
        <row r="179">
          <cell r="H179">
            <v>540</v>
          </cell>
        </row>
      </sheetData>
      <sheetData sheetId="191"/>
      <sheetData sheetId="192"/>
      <sheetData sheetId="193">
        <row r="179">
          <cell r="H179">
            <v>540</v>
          </cell>
        </row>
      </sheetData>
      <sheetData sheetId="194">
        <row r="179">
          <cell r="H179">
            <v>540</v>
          </cell>
        </row>
      </sheetData>
      <sheetData sheetId="195">
        <row r="179">
          <cell r="H179">
            <v>540</v>
          </cell>
        </row>
      </sheetData>
      <sheetData sheetId="196">
        <row r="179">
          <cell r="H179">
            <v>540</v>
          </cell>
        </row>
      </sheetData>
      <sheetData sheetId="197"/>
      <sheetData sheetId="198"/>
      <sheetData sheetId="199">
        <row r="179">
          <cell r="H179">
            <v>540</v>
          </cell>
        </row>
      </sheetData>
      <sheetData sheetId="200">
        <row r="179">
          <cell r="H179">
            <v>540</v>
          </cell>
        </row>
      </sheetData>
      <sheetData sheetId="201">
        <row r="179">
          <cell r="H179">
            <v>540</v>
          </cell>
        </row>
      </sheetData>
      <sheetData sheetId="202"/>
      <sheetData sheetId="203"/>
      <sheetData sheetId="204"/>
      <sheetData sheetId="205"/>
      <sheetData sheetId="206">
        <row r="179">
          <cell r="H179">
            <v>540</v>
          </cell>
        </row>
      </sheetData>
      <sheetData sheetId="207">
        <row r="179">
          <cell r="H179">
            <v>540</v>
          </cell>
        </row>
      </sheetData>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ow r="179">
          <cell r="H179">
            <v>540</v>
          </cell>
        </row>
      </sheetData>
      <sheetData sheetId="228">
        <row r="179">
          <cell r="H179">
            <v>540</v>
          </cell>
        </row>
      </sheetData>
      <sheetData sheetId="229"/>
      <sheetData sheetId="230"/>
      <sheetData sheetId="231"/>
      <sheetData sheetId="232">
        <row r="179">
          <cell r="H179">
            <v>540</v>
          </cell>
        </row>
      </sheetData>
      <sheetData sheetId="233">
        <row r="179">
          <cell r="H179">
            <v>540</v>
          </cell>
        </row>
      </sheetData>
      <sheetData sheetId="234"/>
      <sheetData sheetId="235"/>
      <sheetData sheetId="236"/>
      <sheetData sheetId="237"/>
      <sheetData sheetId="238">
        <row r="179">
          <cell r="H179">
            <v>540</v>
          </cell>
        </row>
      </sheetData>
      <sheetData sheetId="239">
        <row r="179">
          <cell r="H179">
            <v>540</v>
          </cell>
        </row>
      </sheetData>
      <sheetData sheetId="240">
        <row r="179">
          <cell r="H179">
            <v>540</v>
          </cell>
        </row>
      </sheetData>
      <sheetData sheetId="241"/>
      <sheetData sheetId="242"/>
      <sheetData sheetId="243"/>
      <sheetData sheetId="244">
        <row r="179">
          <cell r="H179">
            <v>540</v>
          </cell>
        </row>
      </sheetData>
      <sheetData sheetId="245">
        <row r="179">
          <cell r="H179">
            <v>540</v>
          </cell>
        </row>
      </sheetData>
      <sheetData sheetId="246">
        <row r="179">
          <cell r="H179">
            <v>540</v>
          </cell>
        </row>
      </sheetData>
      <sheetData sheetId="247"/>
      <sheetData sheetId="248"/>
      <sheetData sheetId="249"/>
      <sheetData sheetId="250">
        <row r="179">
          <cell r="H179">
            <v>540</v>
          </cell>
        </row>
      </sheetData>
      <sheetData sheetId="251">
        <row r="179">
          <cell r="H179">
            <v>540</v>
          </cell>
        </row>
      </sheetData>
      <sheetData sheetId="252"/>
      <sheetData sheetId="253"/>
      <sheetData sheetId="254"/>
      <sheetData sheetId="255"/>
      <sheetData sheetId="256">
        <row r="179">
          <cell r="H179">
            <v>540</v>
          </cell>
        </row>
      </sheetData>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refreshError="1"/>
      <sheetData sheetId="296" refreshError="1"/>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sheetData sheetId="353"/>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sheetData sheetId="368"/>
      <sheetData sheetId="369">
        <row r="179">
          <cell r="H179">
            <v>540</v>
          </cell>
        </row>
      </sheetData>
      <sheetData sheetId="370" refreshError="1"/>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ow r="179">
          <cell r="H179">
            <v>540</v>
          </cell>
        </row>
      </sheetData>
      <sheetData sheetId="489">
        <row r="179">
          <cell r="H179">
            <v>540</v>
          </cell>
        </row>
      </sheetData>
      <sheetData sheetId="490" refreshError="1"/>
      <sheetData sheetId="491">
        <row r="179">
          <cell r="H179">
            <v>540</v>
          </cell>
        </row>
      </sheetData>
      <sheetData sheetId="492">
        <row r="179">
          <cell r="H179">
            <v>540</v>
          </cell>
        </row>
      </sheetData>
      <sheetData sheetId="493">
        <row r="179">
          <cell r="H179">
            <v>540</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ow r="179">
          <cell r="H179">
            <v>540</v>
          </cell>
        </row>
      </sheetData>
      <sheetData sheetId="504" refreshError="1"/>
      <sheetData sheetId="505" refreshError="1"/>
      <sheetData sheetId="506" refreshError="1"/>
      <sheetData sheetId="507" refreshError="1"/>
      <sheetData sheetId="508" refreshError="1"/>
      <sheetData sheetId="509" refreshError="1"/>
      <sheetData sheetId="510">
        <row r="179">
          <cell r="H179">
            <v>540</v>
          </cell>
        </row>
      </sheetData>
      <sheetData sheetId="511">
        <row r="179">
          <cell r="H179">
            <v>540</v>
          </cell>
        </row>
      </sheetData>
      <sheetData sheetId="512">
        <row r="179">
          <cell r="H179">
            <v>540</v>
          </cell>
        </row>
      </sheetData>
      <sheetData sheetId="513">
        <row r="179">
          <cell r="H179">
            <v>540</v>
          </cell>
        </row>
      </sheetData>
      <sheetData sheetId="514">
        <row r="179">
          <cell r="H179">
            <v>540</v>
          </cell>
        </row>
      </sheetData>
      <sheetData sheetId="515" refreshError="1"/>
      <sheetData sheetId="516" refreshError="1"/>
      <sheetData sheetId="517"/>
      <sheetData sheetId="518"/>
      <sheetData sheetId="519"/>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ow r="179">
          <cell r="H179">
            <v>540</v>
          </cell>
        </row>
      </sheetData>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yna"/>
      <sheetName val="Adjust"/>
      <sheetName val="CFlow"/>
      <sheetName val="Mnthly Oper Exp"/>
      <sheetName val="CFlow2"/>
      <sheetName val="CFlow3"/>
      <sheetName val="IRR"/>
      <sheetName val="Quarterly CF"/>
      <sheetName val="Variance"/>
      <sheetName val="Debt"/>
      <sheetName val="Debt 2"/>
      <sheetName val="L"/>
      <sheetName val="Exec Sum"/>
      <sheetName val="Asset Sum"/>
      <sheetName val="dyna cash flow"/>
      <sheetName val="Value"/>
      <sheetName val="Value 2"/>
      <sheetName val="Budget"/>
      <sheetName val="Sheet1"/>
      <sheetName val="Credit Ten CF"/>
      <sheetName val="SC-E-02-03"/>
      <sheetName val="TB-JUNE-2003-18.7.03"/>
      <sheetName val="INFO"/>
      <sheetName val="NOTES "/>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ared Cost %"/>
      <sheetName val="Hyperion Roll-up"/>
      <sheetName val="Hyperion Roll-up (2)"/>
      <sheetName val="Ownership split"/>
      <sheetName val="Owners %  Excl Hotel in 840"/>
      <sheetName val="Bay &amp; Parking Rev Alloc"/>
      <sheetName val="105 Adelaide"/>
      <sheetName val="Royal Centre (Standard Life)"/>
      <sheetName val="Hudson Bay Centre Amort"/>
      <sheetName val="Validation"/>
      <sheetName val="PDFLO_WK"/>
      <sheetName val="Expense Adjustments"/>
      <sheetName val="Les Cèdres"/>
      <sheetName val="B"/>
      <sheetName val="ecc_res"/>
      <sheetName val="Do Not Delete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valuation"/>
      <sheetName val="Prop_List"/>
      <sheetName val="Parameters"/>
      <sheetName val="resumo"/>
      <sheetName val="NPV_Combo"/>
      <sheetName val="Fund Waterfall"/>
      <sheetName val="taxcalcs"/>
      <sheetName val="Community List"/>
      <sheetName val="F9_Hidden_Lists"/>
      <sheetName val="by Bucket (Hol)"/>
      <sheetName val="LISTS"/>
      <sheetName val="by Bucket (Timber)"/>
      <sheetName val="ago03"/>
      <sheetName val="Sheet1"/>
      <sheetName val="apports"/>
      <sheetName val="B_Sheet_1lacs"/>
      <sheetName val="B_Sheet"/>
      <sheetName val="Stabilized"/>
      <sheetName val="Stats"/>
      <sheetName val="Operating Assets"/>
      <sheetName val="Margin Check"/>
      <sheetName val="Sorts"/>
      <sheetName val="Revs"/>
      <sheetName val="SS mkts"/>
      <sheetName val="Budg compare"/>
      <sheetName val="Rollup"/>
      <sheetName val="SS64"/>
      <sheetName val="SS63"/>
      <sheetName val="SS81"/>
      <sheetName val="SS85"/>
      <sheetName val="Stab87"/>
      <sheetName val="14LU"/>
      <sheetName val="Transit"/>
      <sheetName val="22218"/>
      <sheetName val="Virtus"/>
      <sheetName val="Wst"/>
      <sheetName val="Core"/>
      <sheetName val="20111"/>
      <sheetName val="20128"/>
      <sheetName val="20152"/>
      <sheetName val="20153"/>
      <sheetName val="20154"/>
      <sheetName val="20155"/>
      <sheetName val="20156"/>
      <sheetName val="20157"/>
      <sheetName val="20501"/>
      <sheetName val="20502"/>
      <sheetName val="20516"/>
      <sheetName val="20604"/>
      <sheetName val="20612"/>
      <sheetName val="20613"/>
      <sheetName val="20614"/>
      <sheetName val="20615"/>
      <sheetName val="20616"/>
      <sheetName val="20619"/>
      <sheetName val="20620"/>
      <sheetName val="20712"/>
      <sheetName val="20713"/>
      <sheetName val="20714"/>
      <sheetName val="20715"/>
      <sheetName val="20716"/>
      <sheetName val="20807"/>
      <sheetName val="20905"/>
      <sheetName val="20907"/>
      <sheetName val="20908"/>
      <sheetName val="20909"/>
      <sheetName val="20916"/>
      <sheetName val="20921"/>
      <sheetName val="20922"/>
      <sheetName val="20923"/>
      <sheetName val="20924"/>
      <sheetName val="20925"/>
      <sheetName val="20926"/>
      <sheetName val="20929"/>
      <sheetName val="20931"/>
      <sheetName val="22002"/>
      <sheetName val="22109"/>
      <sheetName val="22207"/>
      <sheetName val="22212"/>
      <sheetName val="22215"/>
      <sheetName val="22216"/>
      <sheetName val="22217"/>
      <sheetName val="22409"/>
      <sheetName val="22410"/>
      <sheetName val="22601"/>
      <sheetName val="22820"/>
      <sheetName val="22821"/>
      <sheetName val="22822"/>
      <sheetName val="22823"/>
      <sheetName val="22824"/>
      <sheetName val="22825"/>
      <sheetName val="22826"/>
      <sheetName val="22900"/>
      <sheetName val="22901"/>
      <sheetName val="22902"/>
      <sheetName val="23313"/>
      <sheetName val="23314"/>
      <sheetName val="23317"/>
      <sheetName val="23318"/>
      <sheetName val="23319"/>
      <sheetName val="23320"/>
      <sheetName val="23501"/>
      <sheetName val="20305"/>
      <sheetName val="Trans"/>
      <sheetName val="20309"/>
      <sheetName val="20310"/>
      <sheetName val="20503"/>
      <sheetName val="20805"/>
      <sheetName val="20808"/>
      <sheetName val="20809"/>
      <sheetName val="20810"/>
      <sheetName val="20811"/>
      <sheetName val="20906"/>
      <sheetName val="20936"/>
      <sheetName val="20934"/>
      <sheetName val="22310"/>
      <sheetName val="22520"/>
      <sheetName val="22521"/>
      <sheetName val="22522"/>
      <sheetName val="22827"/>
      <sheetName val="22828"/>
      <sheetName val="23315"/>
      <sheetName val="23316"/>
      <sheetName val="Virt"/>
      <sheetName val="20804"/>
      <sheetName val="20927"/>
      <sheetName val="20928"/>
      <sheetName val="22903"/>
      <sheetName val="23200"/>
      <sheetName val="23300"/>
      <sheetName val="23301"/>
      <sheetName val="23302"/>
      <sheetName val="23303"/>
      <sheetName val="23304"/>
      <sheetName val="23305"/>
      <sheetName val="23306"/>
      <sheetName val="West"/>
      <sheetName val="23106"/>
      <sheetName val="23107"/>
      <sheetName val="23108"/>
      <sheetName val="23500"/>
      <sheetName val="Portfolio Op_ALL CF"/>
      <sheetName val="Financials&gt;"/>
      <sheetName val="Jan17"/>
      <sheetName val="Feb17"/>
      <sheetName val="Mar17"/>
      <sheetName val="Apr17"/>
      <sheetName val="May17"/>
      <sheetName val="Jun17"/>
      <sheetName val="Jul17"/>
      <sheetName val="Aug17"/>
      <sheetName val="Sep17"/>
      <sheetName val="Oct17"/>
      <sheetName val="Nov17"/>
      <sheetName val="Dec17"/>
      <sheetName val="Jan17E"/>
      <sheetName val="Feb17E"/>
      <sheetName val="Mar17E"/>
      <sheetName val="Apr17E"/>
      <sheetName val="May17E"/>
      <sheetName val="Jun17E"/>
      <sheetName val="Jul17E"/>
      <sheetName val="Aug17E"/>
      <sheetName val="Sep17E"/>
      <sheetName val="Oct17E"/>
      <sheetName val="Nov17E"/>
      <sheetName val="Dec17E"/>
      <sheetName val="Jan18E"/>
      <sheetName val="Feb18E"/>
      <sheetName val="Mar18E"/>
      <sheetName val="Apr18E"/>
      <sheetName val="May18E"/>
      <sheetName val="Jun18E"/>
      <sheetName val="Jul18E"/>
      <sheetName val="Aug18E"/>
      <sheetName val="Sep18E"/>
      <sheetName val="Oct18E"/>
      <sheetName val="Nov18E"/>
      <sheetName val="Dec18E"/>
      <sheetName val="Jan18"/>
      <sheetName val="Feb18"/>
      <sheetName val="Mar18"/>
      <sheetName val="Apr18"/>
      <sheetName val="May18"/>
      <sheetName val="Jun18"/>
      <sheetName val="Jul18"/>
      <sheetName val="Aug18"/>
      <sheetName val="Sep18"/>
      <sheetName val="Oct18"/>
      <sheetName val="Nov18"/>
      <sheetName val="Dec18"/>
      <sheetName val="Jan19E"/>
      <sheetName val="Feb19E"/>
      <sheetName val="Mar19E"/>
      <sheetName val="Apr19E"/>
      <sheetName val="May19E"/>
      <sheetName val="Jun19E"/>
      <sheetName val="Jul19E"/>
      <sheetName val="Aug19E"/>
      <sheetName val="Sep19E"/>
      <sheetName val="Oct19E"/>
      <sheetName val="Nov19E"/>
      <sheetName val="Dec19E"/>
      <sheetName val="Jan19"/>
      <sheetName val="Feb19"/>
      <sheetName val="Mar19"/>
      <sheetName val="Apr19"/>
      <sheetName val="May19"/>
      <sheetName val="Jun19"/>
      <sheetName val="Jul19"/>
      <sheetName val="Jan20E"/>
      <sheetName val="Feb20E"/>
      <sheetName val="Mar20E"/>
      <sheetName val="Apr20E"/>
      <sheetName val="May20E"/>
      <sheetName val="Jun20E"/>
      <sheetName val="Jul20E"/>
      <sheetName val="Aug20E"/>
      <sheetName val="Sep20E"/>
      <sheetName val="Oct20E"/>
      <sheetName val="Nov20E"/>
      <sheetName val="Dec20E"/>
      <sheetName val="Fund_Waterfall"/>
      <sheetName val="Community_List"/>
      <sheetName val="by_Bucket_(Hol)"/>
      <sheetName val="by_Bucket_(Timber)"/>
      <sheetName val="Les Cèdres"/>
      <sheetName val="Site Details"/>
      <sheetName val="Services"/>
    </sheetNames>
    <sheetDataSet>
      <sheetData sheetId="0" refreshError="1">
        <row r="1">
          <cell r="A1" t="str">
            <v>DATE</v>
          </cell>
        </row>
        <row r="106">
          <cell r="E106" t="str">
            <v xml:space="preserve"> Assisted Living</v>
          </cell>
          <cell r="F106">
            <v>0</v>
          </cell>
        </row>
        <row r="107">
          <cell r="E107" t="str">
            <v xml:space="preserve"> Res. Rel./Mkt.</v>
          </cell>
          <cell r="F107">
            <v>2.5869693980707278E-2</v>
          </cell>
        </row>
        <row r="108">
          <cell r="E108" t="str">
            <v xml:space="preserve"> Dietary</v>
          </cell>
          <cell r="F108">
            <v>0.23784987771234778</v>
          </cell>
        </row>
        <row r="109">
          <cell r="E109" t="str">
            <v xml:space="preserve"> Housekeeping</v>
          </cell>
          <cell r="F109">
            <v>5.3033171685964067E-2</v>
          </cell>
        </row>
        <row r="110">
          <cell r="E110" t="str">
            <v xml:space="preserve"> Emp. Ben.</v>
          </cell>
          <cell r="F110">
            <v>9.5140947836652945E-2</v>
          </cell>
        </row>
        <row r="111">
          <cell r="E111" t="str">
            <v xml:space="preserve"> Maint. &amp; Rep.</v>
          </cell>
          <cell r="F111">
            <v>5.9996479158770613E-2</v>
          </cell>
        </row>
        <row r="112">
          <cell r="E112" t="str">
            <v xml:space="preserve"> Plant</v>
          </cell>
          <cell r="F112">
            <v>0.12025809427341963</v>
          </cell>
        </row>
        <row r="113">
          <cell r="E113" t="str">
            <v xml:space="preserve"> Gen. &amp; Admin.</v>
          </cell>
          <cell r="F113">
            <v>9.8079371889019634E-2</v>
          </cell>
        </row>
        <row r="114">
          <cell r="E114" t="str">
            <v xml:space="preserve"> Mgmnt.Fee</v>
          </cell>
          <cell r="F114">
            <v>0.13105478117365144</v>
          </cell>
        </row>
        <row r="115">
          <cell r="E115" t="str">
            <v xml:space="preserve"> Property Taxes</v>
          </cell>
          <cell r="F115">
            <v>0.15519424184311179</v>
          </cell>
        </row>
        <row r="116">
          <cell r="E116" t="str">
            <v xml:space="preserve"> Reserves</v>
          </cell>
          <cell r="F116">
            <v>2.3523340446354773E-2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06">
          <cell r="E106">
            <v>3.1582547886895629E-2</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refreshError="1"/>
      <sheetData sheetId="228" refreshError="1"/>
      <sheetData sheetId="22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Sensitivity"/>
      <sheetName val="Assume"/>
      <sheetName val="Tenancy"/>
      <sheetName val="RENT"/>
      <sheetName val="Fut_Perf"/>
      <sheetName val="Entities"/>
      <sheetName val="A"/>
      <sheetName val="SUMMARY"/>
      <sheetName val="B_Sheet_1lacs"/>
      <sheetName val="B_Sheet"/>
      <sheetName val="TESTE"/>
      <sheetName val="COMPLEXALL"/>
      <sheetName val="COA-IPC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CrudeProp"/>
      <sheetName val="#REF"/>
      <sheetName val="Selprices1"/>
      <sheetName val="AC"/>
      <sheetName val="27 Value Scenarios"/>
      <sheetName val="03 Detailed"/>
      <sheetName val="01 Bid Price summary"/>
      <sheetName val="Level-1-3 WBDS"/>
      <sheetName val="COMPLEXALL"/>
      <sheetName val="BS_RSLACS"/>
      <sheetName val="Satyen"/>
      <sheetName val="27_Value_Scenarios"/>
      <sheetName val="03_Detailed"/>
      <sheetName val="01_Bid_Price_summary"/>
      <sheetName val="Level-1-3_WBDS"/>
      <sheetName val="Bspl Main"/>
      <sheetName val="Progress Reoprt"/>
      <sheetName val="Plan"/>
      <sheetName val="rate"/>
      <sheetName val="PANDU"/>
      <sheetName val="A"/>
      <sheetName val="Services"/>
      <sheetName val="Summary"/>
      <sheetName val="AFL"/>
      <sheetName val="CIPL"/>
      <sheetName val="IPL"/>
      <sheetName val="OPL"/>
      <sheetName val="RSL"/>
      <sheetName val="SIPL"/>
      <sheetName val="CRUDE UPD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ingston 1st Amort Table"/>
      <sheetName val="Hudson Bay Centre Amort"/>
      <sheetName val="#REF"/>
      <sheetName val="105 Adelaide"/>
      <sheetName val="Mapping - Investments"/>
      <sheetName val="PARKING"/>
      <sheetName val="Tables"/>
      <sheetName val="Inputs"/>
      <sheetName val="CORPACT"/>
      <sheetName val="Prepaid expenses"/>
      <sheetName val="Title"/>
      <sheetName val="Valuation"/>
      <sheetName val="13TH SKYLINE"/>
      <sheetName val="BS"/>
      <sheetName val="1150-1200 Kingston Amort Table "/>
      <sheetName val="JV"/>
      <sheetName val="Page 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rmation"/>
      <sheetName val="Budget Summary"/>
      <sheetName val="Rent &amp; Shared Service Costs"/>
      <sheetName val="Depreciation &amp; FBT"/>
      <sheetName val="Account Codes"/>
      <sheetName val="Account Mapping to BAM"/>
      <sheetName val="Macro1"/>
      <sheetName val="Contents"/>
      <sheetName val="Entities"/>
      <sheetName val="SUMMARY"/>
      <sheetName val="SELECTIONS"/>
      <sheetName val="BPY SUM"/>
      <sheetName val="Current Vs Prior"/>
      <sheetName val="PY ANNUAL"/>
      <sheetName val="Personnel"/>
      <sheetName val="1. Main Sheet"/>
      <sheetName val="PickLists"/>
      <sheetName val="Data"/>
      <sheetName val="Budget_Summary"/>
      <sheetName val="Rent_&amp;_Shared_Service_Costs"/>
      <sheetName val="Depreciation_&amp;_FBT"/>
      <sheetName val="Account_Codes"/>
      <sheetName val="Account_Mapping_to_BAM"/>
      <sheetName val="1__Main_Sheet"/>
      <sheetName val="Inputs"/>
      <sheetName val="Reference Tables"/>
      <sheetName val="leasdat"/>
      <sheetName val="Commercial Forecasting Summary "/>
      <sheetName val="Comp"/>
      <sheetName val="COLUMN"/>
      <sheetName val="Conditions"/>
      <sheetName val="Liability Mgmt"/>
      <sheetName val="Shell Future_18Feb"/>
      <sheetName val="Sheet1"/>
    </sheetNames>
    <sheetDataSet>
      <sheetData sheetId="0" refreshError="1">
        <row r="1">
          <cell r="E1" t="str">
            <v>&lt;Region&gt;</v>
          </cell>
        </row>
        <row r="2">
          <cell r="E2" t="str">
            <v>NSW</v>
          </cell>
        </row>
        <row r="3">
          <cell r="E3" t="str">
            <v>VIC</v>
          </cell>
        </row>
        <row r="4">
          <cell r="E4" t="str">
            <v>QLD</v>
          </cell>
        </row>
        <row r="5">
          <cell r="E5" t="str">
            <v>WA</v>
          </cell>
        </row>
        <row r="6">
          <cell r="E6" t="str">
            <v>Asset Management</v>
          </cell>
        </row>
        <row r="7">
          <cell r="E7" t="str">
            <v xml:space="preserve">Executive </v>
          </cell>
        </row>
        <row r="8">
          <cell r="E8" t="str">
            <v>Accounting Shared Services</v>
          </cell>
        </row>
        <row r="9">
          <cell r="E9" t="str">
            <v>Legal</v>
          </cell>
        </row>
        <row r="10">
          <cell r="E10" t="str">
            <v>Project Solutions</v>
          </cell>
        </row>
        <row r="11">
          <cell r="E11" t="str">
            <v>Marketing</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OPY (3)"/>
      <sheetName val="ORIGINAL"/>
      <sheetName val="INT.INV. "/>
      <sheetName val="BS"/>
      <sheetName val="PL"/>
      <sheetName val="Dep Sch"/>
      <sheetName val="BSSCH"/>
      <sheetName val="PLSCH"/>
      <sheetName val="Dep Cal"/>
      <sheetName val="Smry Dep"/>
      <sheetName val="Groupings"/>
      <sheetName val="Trial Bal HM 31-03-2004"/>
      <sheetName val="FA"/>
      <sheetName val="Data"/>
      <sheetName val="Summary"/>
      <sheetName val="Other"/>
      <sheetName val="TB-New"/>
      <sheetName val="Final Inc Tax computation"/>
      <sheetName val="Drilling"/>
      <sheetName val="Assum"/>
      <sheetName val="115JB"/>
      <sheetName val="Main"/>
      <sheetName val="TBCOPY_(3)"/>
      <sheetName val="INT_INV__"/>
      <sheetName val="Dep_Sch"/>
      <sheetName val="Dep_Cal"/>
      <sheetName val="Smry_Dep"/>
      <sheetName val="Trial_Bal_HM_31-03-2004"/>
      <sheetName val="RES"/>
      <sheetName val="P &amp; L"/>
      <sheetName val="Reserves &amp; Surplus"/>
      <sheetName val="Other Expenses"/>
      <sheetName val="200B"/>
      <sheetName val="INDORAMA Group June 02"/>
      <sheetName val="entitlements"/>
      <sheetName val="Grouping"/>
      <sheetName val="Profit &amp; Loss Account"/>
      <sheetName val="Macro"/>
      <sheetName val="Invest"/>
      <sheetName val="tower"/>
      <sheetName val="Addi Jan - Dec 99"/>
      <sheetName val="sep01"/>
      <sheetName val="IG-fixed ROIC"/>
      <sheetName val="IG fixed RONIC"/>
      <sheetName val="CASH FLOW AND BALANCE SHEET"/>
      <sheetName val="DCF Analysis"/>
      <sheetName val="Sheet1"/>
      <sheetName val="Delhi"/>
      <sheetName val="PGW"/>
      <sheetName val="BudgetVsActualFY2014"/>
      <sheetName val="Ann IS"/>
      <sheetName val="2.Valuation"/>
      <sheetName val="3.Summary"/>
      <sheetName val="HBI NCD"/>
      <sheetName val="Occupancy &amp; Trade density wkng"/>
      <sheetName val="Parameter"/>
      <sheetName val="Agency BS"/>
      <sheetName val="Détails plans d'actions"/>
      <sheetName val="inve"/>
      <sheetName val="Base Info"/>
      <sheetName val="Vivarea"/>
      <sheetName val="KEY INPUTS"/>
      <sheetName val="DEL1"/>
      <sheetName val="TB"/>
      <sheetName val="Bal Sheet"/>
      <sheetName val="Rising Main"/>
      <sheetName val="Revenue-Invoicewise"/>
      <sheetName val="CAPITAL ADV"/>
      <sheetName val="Cover"/>
      <sheetName val="CUSTOMER STRATEGIES"/>
      <sheetName val="CustOrg"/>
      <sheetName val="#REF"/>
      <sheetName val="BS-oct-01-mar-03"/>
      <sheetName val="SysNavigation"/>
      <sheetName val="dec98"/>
      <sheetName val="Key"/>
      <sheetName val="OC5-Push Diag"/>
      <sheetName val="Franchise Input"/>
      <sheetName val="Register"/>
      <sheetName val="STORE MANAGEMENT"/>
      <sheetName val="Depn chart"/>
      <sheetName val="COMBSCHEDULE"/>
      <sheetName val="TESORERIA"/>
      <sheetName val="a-4"/>
      <sheetName val="CockPit"/>
      <sheetName val="cell rel"/>
      <sheetName val="Information"/>
      <sheetName val="Return to Provision"/>
      <sheetName val="14"/>
      <sheetName val="Ledg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S-Sch-E"/>
      <sheetName val="Leasehold "/>
      <sheetName val="Freehold land"/>
      <sheetName val="Building"/>
      <sheetName val="P&amp;M"/>
      <sheetName val="Elect Instal"/>
      <sheetName val="Equipment"/>
      <sheetName val="F&amp;F"/>
      <sheetName val="Vehicle"/>
      <sheetName val="Ship"/>
      <sheetName val="Aircrafts"/>
      <sheetName val="Jetties"/>
      <sheetName val="Develp"/>
      <sheetName val="Reserve"/>
      <sheetName val="FA Register"/>
      <sheetName val="Manual Posting"/>
      <sheetName val="Tech"/>
      <sheetName val="lease"/>
      <sheetName val="techwork"/>
      <sheetName val="software"/>
      <sheetName val="softlist"/>
      <sheetName val="XREF"/>
      <sheetName val="EA"/>
      <sheetName val="Conditions"/>
      <sheetName val="Liability Mgmt"/>
      <sheetName val="Total"/>
      <sheetName val="Cap.Com.Wk"/>
      <sheetName val="Consolidated"/>
      <sheetName val="NETTING OFF-Mar-15"/>
      <sheetName val="Data"/>
      <sheetName val="Home"/>
      <sheetName val="Base"/>
      <sheetName val="NOTES "/>
      <sheetName val="INFO"/>
      <sheetName val="SCH A-G"/>
      <sheetName val="SCH D"/>
      <sheetName val="JV"/>
      <sheetName val="ZSM37"/>
      <sheetName val="REFORMATE"/>
      <sheetName val="Realised Brkg"/>
      <sheetName val="MIS DUMP"/>
      <sheetName val="TRECUC"/>
      <sheetName val="TRENCP"/>
      <sheetName val="TREDSLPCI"/>
      <sheetName val="PF"/>
      <sheetName val="ECR &amp; IDC - LOI"/>
      <sheetName val="SUMM"/>
      <sheetName val="MONTH 1"/>
      <sheetName val="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ance"/>
      <sheetName val="GP Analysis"/>
      <sheetName val="Sales"/>
      <sheetName val="LS"/>
      <sheetName val="Obsv"/>
      <sheetName val="control"/>
      <sheetName val="codes"/>
      <sheetName val="Analytical"/>
      <sheetName val="Avg Rate"/>
      <sheetName val="Detail"/>
      <sheetName val="CN  Cut-off"/>
      <sheetName val="Cut off"/>
      <sheetName val="Sample-Monthwise"/>
      <sheetName val="Sample-Productwise"/>
      <sheetName val="Excess Calc"/>
      <sheetName val="XREF"/>
      <sheetName val="Tickmarks"/>
      <sheetName val="Threshold Calc"/>
      <sheetName val="ROMM Data for Validation"/>
      <sheetName val="Sheet1"/>
      <sheetName val="PDN"/>
      <sheetName val="TAB 1"/>
      <sheetName val="2.Control Sheet"/>
      <sheetName val=""/>
      <sheetName val="Home"/>
      <sheetName val="GP_Analysis"/>
      <sheetName val="Avg_Rate"/>
      <sheetName val="CN__Cut-off"/>
      <sheetName val="Cut_off"/>
      <sheetName val="Excess_Calc"/>
      <sheetName val="Threshold_Calc"/>
      <sheetName val="ROMM_Data_for_Validation"/>
      <sheetName val="TAB_1"/>
      <sheetName val="2_Control_Sheet"/>
      <sheetName val="#REF"/>
      <sheetName val="Service Function"/>
      <sheetName val="TB-WORK "/>
      <sheetName val="Leadsheet"/>
      <sheetName val="8140 Revenue - Substantive Test"/>
      <sheetName val="Testing"/>
      <sheetName val="XLR_NoRangeSheet"/>
      <sheetName val="BS-Sch-E"/>
      <sheetName val="oresreqs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ummary"/>
      <sheetName val="Main Dashboard"/>
      <sheetName val="Sheet1"/>
      <sheetName val="Sheet8"/>
      <sheetName val="YTS Summary"/>
      <sheetName val="RA1 Billing Status"/>
      <sheetName val="Backup"/>
      <sheetName val="Week Plan"/>
      <sheetName val="Design Summary"/>
      <sheetName val="WIP Delay"/>
      <sheetName val="Dead Rent Summary"/>
      <sheetName val="HOTO Summary"/>
      <sheetName val="S"/>
      <sheetName val="Project Specific File"/>
    </sheetNames>
    <sheetDataSet>
      <sheetData sheetId="0"/>
      <sheetData sheetId="1"/>
      <sheetData sheetId="2"/>
      <sheetData sheetId="3"/>
      <sheetData sheetId="4"/>
      <sheetData sheetId="5"/>
      <sheetData sheetId="6">
        <row r="1">
          <cell r="E1" t="str">
            <v>Site name</v>
          </cell>
          <cell r="F1" t="str">
            <v>EPC STATUS</v>
          </cell>
          <cell r="G1" t="str">
            <v>Unique ID</v>
          </cell>
          <cell r="H1" t="str">
            <v>Land Code</v>
          </cell>
          <cell r="I1" t="str">
            <v>9008 Code</v>
          </cell>
          <cell r="J1" t="str">
            <v>Plant code (NP01)</v>
          </cell>
          <cell r="K1" t="str">
            <v>Zone</v>
          </cell>
          <cell r="L1" t="str">
            <v>ZH</v>
          </cell>
          <cell r="M1" t="str">
            <v>EPCR Status</v>
          </cell>
          <cell r="N1" t="str">
            <v>ZL</v>
          </cell>
          <cell r="O1" t="str">
            <v>SH</v>
          </cell>
          <cell r="P1" t="str">
            <v>EIC</v>
          </cell>
          <cell r="Q1" t="str">
            <v>PM</v>
          </cell>
          <cell r="R1" t="str">
            <v>PM Responsible</v>
          </cell>
          <cell r="S1" t="str">
            <v>State</v>
          </cell>
          <cell r="T1" t="str">
            <v>City</v>
          </cell>
          <cell r="U1" t="str">
            <v>Premium / Non Premium</v>
          </cell>
          <cell r="V1" t="str">
            <v>Main Format</v>
          </cell>
          <cell r="W1" t="str">
            <v>Area (sq.ft)</v>
          </cell>
          <cell r="X1" t="str">
            <v>Address</v>
          </cell>
          <cell r="Y1" t="str">
            <v>Budget Upload in PD (Date)</v>
          </cell>
          <cell r="Z1" t="str">
            <v>Security Deployment</v>
          </cell>
          <cell r="AA1" t="str">
            <v>APOB (Date)</v>
          </cell>
          <cell r="AB1" t="str">
            <v>SDR Callout (Date)</v>
          </cell>
          <cell r="AC1" t="str">
            <v>SDR Visit (Date)</v>
          </cell>
          <cell r="AD1" t="str">
            <v>SDR Release (Date)</v>
          </cell>
          <cell r="AE1" t="str">
            <v>SDR report check at NHQ by Design team and Release to NSO</v>
          </cell>
          <cell r="AF1" t="str">
            <v>SDR Status</v>
          </cell>
          <cell r="AG1" t="str">
            <v>SDR Ageing</v>
          </cell>
          <cell r="AH1" t="str">
            <v>SDR Exception Points</v>
          </cell>
          <cell r="AI1" t="str">
            <v>R0 ML received (Date)</v>
          </cell>
          <cell r="AJ1" t="str">
            <v>No of ML revisions</v>
          </cell>
          <cell r="AK1" t="str">
            <v>Latest ML received (Date)</v>
          </cell>
          <cell r="AL1" t="str">
            <v>ML Status</v>
          </cell>
          <cell r="AM1" t="str">
            <v>ML release Ageing wrt SDR</v>
          </cell>
          <cell r="AN1" t="str">
            <v>ML Remarks</v>
          </cell>
          <cell r="AO1" t="str">
            <v>CVL GFC / BOQ Plan</v>
          </cell>
          <cell r="AP1" t="str">
            <v>R0 CVL GFC / BOQ</v>
          </cell>
          <cell r="AQ1" t="str">
            <v>No of Rev. CVL</v>
          </cell>
          <cell r="AR1" t="str">
            <v>Latest CVL GFC / BOQ Actual</v>
          </cell>
          <cell r="AS1" t="str">
            <v>Delay Arch. BOQ</v>
          </cell>
          <cell r="AT1" t="str">
            <v>CVL Design Remarks</v>
          </cell>
          <cell r="AU1" t="str">
            <v>STR. BOQ / GFC Plan</v>
          </cell>
          <cell r="AV1" t="str">
            <v>R0 STR GFC / BOQ</v>
          </cell>
          <cell r="AW1" t="str">
            <v>No of Rev. Str</v>
          </cell>
          <cell r="AX1" t="str">
            <v>Latest STR GFC / BOQ Actual</v>
          </cell>
          <cell r="AY1" t="str">
            <v>Delay STR. BOQ</v>
          </cell>
          <cell r="AZ1" t="str">
            <v>STR Design Remarks</v>
          </cell>
          <cell r="BA1" t="str">
            <v>HVAC/PLB/FF. BOQ / GFC Plan</v>
          </cell>
          <cell r="BB1" t="str">
            <v xml:space="preserve">R0 HVAC/PLB/FF GFC / BOQ </v>
          </cell>
          <cell r="BC1" t="str">
            <v>No of Rev. HVAC/PLB/FF</v>
          </cell>
          <cell r="BD1" t="str">
            <v>Latest HVAC/PLB/FF GFC / BOQ Actual</v>
          </cell>
          <cell r="BE1" t="str">
            <v>Delay HVAC/PLB/FF BOQ</v>
          </cell>
          <cell r="BF1" t="str">
            <v>HVAC/PLB/FF Remarks</v>
          </cell>
          <cell r="BG1" t="str">
            <v>ELE BOQ / GFC Plan</v>
          </cell>
          <cell r="BH1" t="str">
            <v>ELE GFC / BOQ Actual</v>
          </cell>
          <cell r="BI1" t="str">
            <v>No of Rev. ELE</v>
          </cell>
          <cell r="BJ1" t="str">
            <v>Latest ELE GFC / BOQ Actual</v>
          </cell>
          <cell r="BK1" t="str">
            <v>Delay ELE. BOQ</v>
          </cell>
          <cell r="BL1" t="str">
            <v>ELE Remarks</v>
          </cell>
          <cell r="BM1" t="str">
            <v>IT BOQ/ GFC Plan</v>
          </cell>
          <cell r="BN1" t="str">
            <v>IT BOQ/ GFC Actual</v>
          </cell>
          <cell r="BO1" t="str">
            <v>IT Remarks</v>
          </cell>
          <cell r="BP1" t="str">
            <v>SLP BOQ/ GFC Plan</v>
          </cell>
          <cell r="BQ1" t="str">
            <v>SLP BOQ/ GFC Actual</v>
          </cell>
          <cell r="BR1" t="str">
            <v>SLP Remarks</v>
          </cell>
          <cell r="BS1" t="str">
            <v>Fixtures BOQ Plan</v>
          </cell>
          <cell r="BT1" t="str">
            <v>Fixtures BOQ Actual</v>
          </cell>
          <cell r="BU1" t="str">
            <v>Overall Design exception bucket</v>
          </cell>
          <cell r="BV1" t="str">
            <v>Design Package Plan</v>
          </cell>
          <cell r="BW1" t="str">
            <v>Budget shared to Business</v>
          </cell>
          <cell r="BX1" t="str">
            <v>Budget Approval Date</v>
          </cell>
          <cell r="BY1" t="str">
            <v>Budget Approval Status (Done / Pending)</v>
          </cell>
          <cell r="BZ1" t="str">
            <v>WO approval status</v>
          </cell>
          <cell r="CA1" t="str">
            <v>PO approval status</v>
          </cell>
          <cell r="CB1" t="str">
            <v>GFC released to Site</v>
          </cell>
          <cell r="CC1" t="str">
            <v>Delay Design Overall</v>
          </cell>
          <cell r="CD1" t="str">
            <v>BOQ Shared to contracts</v>
          </cell>
          <cell r="CE1" t="str">
            <v>LOA to Vendors</v>
          </cell>
          <cell r="CF1" t="str">
            <v xml:space="preserve">CVL Vendor </v>
          </cell>
          <cell r="CG1" t="str">
            <v>ELE Vendor</v>
          </cell>
          <cell r="CH1" t="str">
            <v>HVAC Vendor</v>
          </cell>
          <cell r="CI1" t="str">
            <v>Contracts Remarks</v>
          </cell>
          <cell r="CJ1" t="str">
            <v>LoA 
CIVIL</v>
          </cell>
          <cell r="CK1" t="str">
            <v>LoA 
ELECTRICAL</v>
          </cell>
          <cell r="CL1" t="str">
            <v>LoA 
HVAC</v>
          </cell>
          <cell r="CM1" t="str">
            <v>Contracts Ageing</v>
          </cell>
          <cell r="CN1" t="str">
            <v>R1 CVL received from Zone</v>
          </cell>
          <cell r="CO1" t="str">
            <v>R1 ELE received from Zone</v>
          </cell>
          <cell r="CP1" t="str">
            <v>R1 HVAC received from Zone</v>
          </cell>
          <cell r="CQ1" t="str">
            <v>R1 BOQ CVL NHQ validation Date</v>
          </cell>
          <cell r="CR1" t="str">
            <v>R1 BOQ ELE NHQ validation Date</v>
          </cell>
          <cell r="CS1" t="str">
            <v>R1 BOQ HVAC NHQ validation Date</v>
          </cell>
          <cell r="CT1" t="str">
            <v>PR R1 BOQ Arch</v>
          </cell>
          <cell r="CU1" t="str">
            <v>PR R1 BOQ ELE</v>
          </cell>
          <cell r="CV1" t="str">
            <v>PR R1 BOQ HVA</v>
          </cell>
          <cell r="CW1" t="str">
            <v>PR NO Remarks</v>
          </cell>
          <cell r="CX1" t="str">
            <v>CVL WO (Date)</v>
          </cell>
          <cell r="CY1" t="str">
            <v>ELE WO (Date)</v>
          </cell>
          <cell r="CZ1" t="str">
            <v>HVAC WO (Date)</v>
          </cell>
          <cell r="DA1" t="str">
            <v>CVL SSB Status</v>
          </cell>
          <cell r="DB1" t="str">
            <v>ELE SSB Status</v>
          </cell>
          <cell r="DC1" t="str">
            <v>HVAC SSB Status</v>
          </cell>
          <cell r="DD1" t="str">
            <v>RFC Callout Date</v>
          </cell>
          <cell r="DE1" t="str">
            <v>RFP (Days)</v>
          </cell>
          <cell r="DF1" t="str">
            <v>Rent start Date</v>
          </cell>
          <cell r="DG1" t="str">
            <v>Under Dead Rent / Not Under Dead Rent</v>
          </cell>
          <cell r="DH1" t="str">
            <v>RFC offered but details awaited from business</v>
          </cell>
          <cell r="DI1" t="str">
            <v>LL scope of works budget under approval with Business / Not Vacated.</v>
          </cell>
          <cell r="DJ1" t="str">
            <v>RFC acceptance Delay Remarks</v>
          </cell>
          <cell r="DK1" t="str">
            <v>RFC acceptance date</v>
          </cell>
          <cell r="DL1" t="str">
            <v>PR Creation for FIM Date</v>
          </cell>
          <cell r="DM1" t="str">
            <v>YTS Delay</v>
          </cell>
          <cell r="DN1" t="str">
            <v>YTS Delay Bucket</v>
          </cell>
          <cell r="DO1" t="str">
            <v>YTS Delay rematks</v>
          </cell>
          <cell r="DP1" t="str">
            <v>Plan Start Date</v>
          </cell>
          <cell r="DQ1" t="str">
            <v>Actual START DATE</v>
          </cell>
          <cell r="DR1" t="str">
            <v>STD Timeline (Internal)</v>
          </cell>
          <cell r="DS1" t="str">
            <v>STD Timeline (Business)</v>
          </cell>
          <cell r="DT1" t="str">
            <v>Change note signoff (Days)</v>
          </cell>
          <cell r="DU1" t="str">
            <v>Plan Completion Date (Internal)</v>
          </cell>
          <cell r="DV1" t="str">
            <v>Plan Completion Date (Business)</v>
          </cell>
          <cell r="DW1" t="str">
            <v>Plan Completion (Change note)</v>
          </cell>
          <cell r="DX1" t="str">
            <v>Plan Completion Week</v>
          </cell>
          <cell r="DY1" t="str">
            <v>Forcaste completion Date</v>
          </cell>
          <cell r="DZ1" t="str">
            <v>Actual Completion DATE</v>
          </cell>
          <cell r="EA1" t="str">
            <v>Actual Completion Week</v>
          </cell>
          <cell r="EB1" t="str">
            <v>Backlog</v>
          </cell>
          <cell r="EC1" t="str">
            <v>WIP - Delay Aging</v>
          </cell>
          <cell r="ED1" t="str">
            <v>WIP - Delay Aging Bucket</v>
          </cell>
          <cell r="EE1" t="str">
            <v>Critical/ On Track/ Need Push</v>
          </cell>
          <cell r="EF1" t="str">
            <v>Plan % Completion</v>
          </cell>
          <cell r="EG1" t="str">
            <v>Actual % completed</v>
          </cell>
          <cell r="EH1" t="str">
            <v>EPC Exception Issues</v>
          </cell>
          <cell r="EI1" t="str">
            <v>LL Exception issues</v>
          </cell>
          <cell r="EJ1" t="str">
            <v>M1 Plan</v>
          </cell>
          <cell r="EK1" t="str">
            <v>M1 Actual</v>
          </cell>
          <cell r="EL1" t="str">
            <v>M1 Remarks</v>
          </cell>
          <cell r="EM1" t="str">
            <v>M2 Plan</v>
          </cell>
          <cell r="EN1" t="str">
            <v>M2 Actual</v>
          </cell>
          <cell r="EO1" t="str">
            <v>M2 Remarks</v>
          </cell>
          <cell r="EP1" t="str">
            <v>M3 Plan</v>
          </cell>
          <cell r="EQ1" t="str">
            <v>M3 Actual</v>
          </cell>
          <cell r="ER1" t="str">
            <v>M3 Remarks</v>
          </cell>
          <cell r="ES1" t="str">
            <v>M4 Plan</v>
          </cell>
          <cell r="ET1" t="str">
            <v>M4 Actual</v>
          </cell>
          <cell r="EU1" t="str">
            <v>M4 Remarks</v>
          </cell>
          <cell r="EV1" t="str">
            <v>M5 Plan</v>
          </cell>
          <cell r="EW1" t="str">
            <v>M5 Actual</v>
          </cell>
          <cell r="EX1" t="str">
            <v>M5 Remarks</v>
          </cell>
          <cell r="EY1" t="str">
            <v>Quality Audit Visit</v>
          </cell>
          <cell r="EZ1" t="str">
            <v>Safety Audit Visit</v>
          </cell>
          <cell r="FA1" t="str">
            <v>Third party audit status</v>
          </cell>
          <cell r="FB1" t="str">
            <v>Const. Delay attributed to</v>
          </cell>
          <cell r="FC1" t="str">
            <v>Construction Status ( On Time / Delayed)</v>
          </cell>
          <cell r="FD1" t="str">
            <v>Delay in Completion</v>
          </cell>
          <cell r="FE1" t="str">
            <v>Const. Delay bucket</v>
          </cell>
          <cell r="FF1" t="str">
            <v>RFC Plan Completion</v>
          </cell>
          <cell r="FG1" t="str">
            <v>RFC Delay Bucket</v>
          </cell>
          <cell r="FH1" t="str">
            <v>HOTO status (Done / Pending)</v>
          </cell>
          <cell r="FI1" t="str">
            <v>Operations HOTO</v>
          </cell>
          <cell r="FJ1" t="str">
            <v>FM HOTO</v>
          </cell>
          <cell r="FK1" t="str">
            <v>HOTO date</v>
          </cell>
          <cell r="FL1" t="str">
            <v>HOTO Ageing</v>
          </cell>
          <cell r="FM1" t="str">
            <v>HOTO Ageing Bucket</v>
          </cell>
          <cell r="FN1" t="str">
            <v>HOTO Remarks</v>
          </cell>
          <cell r="FO1" t="str">
            <v>As Built Drawing</v>
          </cell>
          <cell r="FP1" t="str">
            <v>Snag Status(Open/Closed/Snag Free)</v>
          </cell>
          <cell r="FQ1" t="str">
            <v>No of Snags</v>
          </cell>
          <cell r="FR1" t="str">
            <v>Snag List</v>
          </cell>
          <cell r="FS1" t="str">
            <v>Target snag Liquidation Dates</v>
          </cell>
          <cell r="FT1" t="str">
            <v>RA 1 Bill Status Plan Date</v>
          </cell>
          <cell r="FU1" t="str">
            <v>RA 1 Bill Status Actual Date</v>
          </cell>
          <cell r="FV1" t="str">
            <v>Std. Cost/Sqft (Formatwise)</v>
          </cell>
          <cell r="FW1" t="str">
            <v>Project Budget (RO)</v>
          </cell>
          <cell r="FX1" t="str">
            <v>Project Budget (R1)</v>
          </cell>
          <cell r="FY1" t="str">
            <v>Project Budget (Final)</v>
          </cell>
          <cell r="FZ1" t="str">
            <v>Status</v>
          </cell>
          <cell r="GA1" t="str">
            <v>IT lock and key-</v>
          </cell>
          <cell r="GB1" t="str">
            <v>Fixture delivery callout-</v>
          </cell>
          <cell r="GC1" t="str">
            <v>Fixture installation callout-</v>
          </cell>
          <cell r="GD1" t="str">
            <v>VM installation sizes</v>
          </cell>
          <cell r="GE1" t="str">
            <v>RA1</v>
          </cell>
          <cell r="GF1" t="str">
            <v>Apex ID</v>
          </cell>
          <cell r="GG1" t="str">
            <v>FY</v>
          </cell>
        </row>
        <row r="2">
          <cell r="E2" t="str">
            <v>24x7 Embassy, Vikhroli</v>
          </cell>
          <cell r="F2" t="str">
            <v>14. Dropped</v>
          </cell>
          <cell r="G2" t="str">
            <v>NA</v>
          </cell>
          <cell r="H2" t="str">
            <v>_</v>
          </cell>
          <cell r="I2" t="str">
            <v>_</v>
          </cell>
          <cell r="K2" t="str">
            <v>W</v>
          </cell>
          <cell r="L2" t="str">
            <v>BK</v>
          </cell>
          <cell r="N2" t="str">
            <v>Sh Nitin Dawange</v>
          </cell>
          <cell r="O2" t="str">
            <v>Sh Atul M sawant</v>
          </cell>
          <cell r="P2" t="str">
            <v/>
          </cell>
          <cell r="Q2" t="str">
            <v>Arju Tiwari</v>
          </cell>
          <cell r="R2" t="str">
            <v>Kiran Patil</v>
          </cell>
          <cell r="S2" t="str">
            <v>Maharashtra</v>
          </cell>
          <cell r="T2" t="str">
            <v>Mumbai</v>
          </cell>
          <cell r="U2" t="str">
            <v>Premium</v>
          </cell>
          <cell r="V2" t="str">
            <v>Misc Formats</v>
          </cell>
          <cell r="W2">
            <v>1407</v>
          </cell>
          <cell r="X2" t="str">
            <v>247 Embassy, Unit no.KA1,  202, Lal Bahadur Shastri Rd, Gandhi Nagar, Vikhroli West, Mumbai</v>
          </cell>
          <cell r="Z2" t="str">
            <v>_</v>
          </cell>
          <cell r="AB2">
            <v>45085</v>
          </cell>
          <cell r="AC2">
            <v>45093</v>
          </cell>
          <cell r="AD2">
            <v>45100</v>
          </cell>
          <cell r="AE2">
            <v>45100</v>
          </cell>
          <cell r="AF2" t="str">
            <v>SDR DONE</v>
          </cell>
          <cell r="AG2">
            <v>10</v>
          </cell>
          <cell r="AH2" t="str">
            <v>_</v>
          </cell>
          <cell r="AJ2">
            <v>4</v>
          </cell>
          <cell r="AK2">
            <v>45674</v>
          </cell>
          <cell r="AL2" t="str">
            <v>Received</v>
          </cell>
          <cell r="AM2">
            <v>569</v>
          </cell>
          <cell r="AO2">
            <v>45677</v>
          </cell>
          <cell r="AQ2">
            <v>1</v>
          </cell>
          <cell r="AR2">
            <v>45679</v>
          </cell>
          <cell r="AS2">
            <v>2</v>
          </cell>
          <cell r="AU2">
            <v>45678</v>
          </cell>
          <cell r="AV2" t="str">
            <v/>
          </cell>
          <cell r="BA2">
            <v>45679</v>
          </cell>
          <cell r="BB2">
            <v>45183</v>
          </cell>
          <cell r="BD2">
            <v>45686</v>
          </cell>
          <cell r="BE2">
            <v>6</v>
          </cell>
          <cell r="BG2">
            <v>45679</v>
          </cell>
          <cell r="BH2">
            <v>45187</v>
          </cell>
          <cell r="BJ2">
            <v>45680</v>
          </cell>
          <cell r="BK2">
            <v>0</v>
          </cell>
          <cell r="BM2">
            <v>45677</v>
          </cell>
          <cell r="BN2">
            <v>45126</v>
          </cell>
          <cell r="BP2">
            <v>45677</v>
          </cell>
          <cell r="BQ2">
            <v>45134</v>
          </cell>
          <cell r="BR2" t="str">
            <v>Received</v>
          </cell>
          <cell r="BT2">
            <v>45178</v>
          </cell>
          <cell r="BU2" t="str">
            <v>Revised GFC awaited</v>
          </cell>
          <cell r="BW2" t="str">
            <v>02-10-2023</v>
          </cell>
          <cell r="BX2">
            <v>45226</v>
          </cell>
          <cell r="BY2" t="str">
            <v>Done</v>
          </cell>
          <cell r="BZ2" t="str">
            <v>Approved</v>
          </cell>
          <cell r="CA2" t="str">
            <v>Approved</v>
          </cell>
          <cell r="CE2" t="str">
            <v/>
          </cell>
          <cell r="CF2" t="str">
            <v/>
          </cell>
          <cell r="CG2" t="str">
            <v/>
          </cell>
          <cell r="CH2" t="str">
            <v/>
          </cell>
          <cell r="CN2" t="str">
            <v/>
          </cell>
          <cell r="CO2">
            <v>45364</v>
          </cell>
          <cell r="CP2" t="str">
            <v/>
          </cell>
          <cell r="CR2">
            <v>45365</v>
          </cell>
          <cell r="DG2" t="str">
            <v>14. Dropped</v>
          </cell>
          <cell r="DJ2" t="str">
            <v>RFC visit plan on 10-01-2025</v>
          </cell>
          <cell r="DP2" t="str">
            <v/>
          </cell>
          <cell r="DR2">
            <v>35</v>
          </cell>
          <cell r="DS2">
            <v>45</v>
          </cell>
          <cell r="DX2" t="str">
            <v/>
          </cell>
          <cell r="DY2" t="str">
            <v/>
          </cell>
          <cell r="EA2" t="str">
            <v/>
          </cell>
          <cell r="ED2" t="str">
            <v/>
          </cell>
          <cell r="EE2" t="str">
            <v/>
          </cell>
          <cell r="FM2" t="str">
            <v/>
          </cell>
          <cell r="GG2" t="str">
            <v>2024-2025</v>
          </cell>
        </row>
        <row r="3">
          <cell r="E3" t="str">
            <v>72 Empire, Andheri</v>
          </cell>
          <cell r="F3" t="str">
            <v>10. Launched</v>
          </cell>
          <cell r="G3" t="str">
            <v>NA</v>
          </cell>
          <cell r="H3" t="str">
            <v>MU-SM-GMU-596/SE</v>
          </cell>
          <cell r="I3" t="str">
            <v>_</v>
          </cell>
          <cell r="J3" t="str">
            <v>QF5J</v>
          </cell>
          <cell r="K3" t="str">
            <v>W</v>
          </cell>
          <cell r="L3" t="str">
            <v>BK</v>
          </cell>
          <cell r="N3" t="str">
            <v>Sh Sanjiv Johari</v>
          </cell>
          <cell r="O3" t="str">
            <v>Sh. Atul M Sawant</v>
          </cell>
          <cell r="P3" t="str">
            <v>Sh. Sagar Sahani</v>
          </cell>
          <cell r="Q3" t="str">
            <v>Shahaji Gohatre</v>
          </cell>
          <cell r="R3" t="str">
            <v>Parth Sharma</v>
          </cell>
          <cell r="S3" t="str">
            <v>Maharashtra</v>
          </cell>
          <cell r="T3" t="str">
            <v>Mumbai</v>
          </cell>
          <cell r="U3" t="str">
            <v>Premium</v>
          </cell>
          <cell r="V3" t="str">
            <v>Misc Formats</v>
          </cell>
          <cell r="W3">
            <v>898</v>
          </cell>
          <cell r="X3" t="str">
            <v>72 Empire At Andheri – Kurla Road, Andheri East</v>
          </cell>
          <cell r="Z3" t="str">
            <v>Done</v>
          </cell>
          <cell r="AB3">
            <v>44627</v>
          </cell>
          <cell r="AC3">
            <v>44649</v>
          </cell>
          <cell r="AD3">
            <v>44660</v>
          </cell>
          <cell r="AE3">
            <v>44660</v>
          </cell>
          <cell r="AF3" t="str">
            <v>SDR DONE</v>
          </cell>
          <cell r="AG3">
            <v>28</v>
          </cell>
          <cell r="AH3" t="str">
            <v>_</v>
          </cell>
          <cell r="AJ3">
            <v>1</v>
          </cell>
          <cell r="AK3">
            <v>44790</v>
          </cell>
          <cell r="AL3" t="str">
            <v>Received</v>
          </cell>
          <cell r="AM3">
            <v>125</v>
          </cell>
          <cell r="AO3">
            <v>44793</v>
          </cell>
          <cell r="AP3">
            <v>44707</v>
          </cell>
          <cell r="AR3">
            <v>44798</v>
          </cell>
          <cell r="AS3">
            <v>5</v>
          </cell>
          <cell r="AT3" t="str">
            <v>Received</v>
          </cell>
          <cell r="AU3">
            <v>44794</v>
          </cell>
          <cell r="AV3" t="str">
            <v>NA</v>
          </cell>
          <cell r="AW3" t="str">
            <v>NA</v>
          </cell>
          <cell r="AX3" t="str">
            <v>NA</v>
          </cell>
          <cell r="AZ3" t="str">
            <v>Received</v>
          </cell>
          <cell r="BA3">
            <v>44795</v>
          </cell>
          <cell r="BB3">
            <v>44721</v>
          </cell>
          <cell r="BC3">
            <v>0</v>
          </cell>
          <cell r="BD3">
            <v>44721</v>
          </cell>
          <cell r="BF3" t="str">
            <v>Received</v>
          </cell>
          <cell r="BG3">
            <v>44795</v>
          </cell>
          <cell r="BH3">
            <v>44725</v>
          </cell>
          <cell r="BJ3">
            <v>44725</v>
          </cell>
          <cell r="BK3">
            <v>-70</v>
          </cell>
          <cell r="BL3" t="str">
            <v>Received</v>
          </cell>
          <cell r="BM3">
            <v>44793</v>
          </cell>
          <cell r="BN3">
            <v>44686</v>
          </cell>
          <cell r="BO3" t="str">
            <v>Received</v>
          </cell>
          <cell r="BP3">
            <v>44793</v>
          </cell>
          <cell r="BQ3">
            <v>44706</v>
          </cell>
          <cell r="BR3" t="str">
            <v>Received</v>
          </cell>
          <cell r="BT3">
            <v>44715</v>
          </cell>
          <cell r="BU3" t="str">
            <v>Received</v>
          </cell>
          <cell r="BV3" t="str">
            <v>Done</v>
          </cell>
          <cell r="BW3" t="str">
            <v>11-12-2021</v>
          </cell>
          <cell r="BX3">
            <v>44544</v>
          </cell>
          <cell r="BY3" t="str">
            <v>Done</v>
          </cell>
          <cell r="CD3" t="str">
            <v>Done</v>
          </cell>
          <cell r="CE3">
            <v>44737</v>
          </cell>
          <cell r="CF3" t="str">
            <v>Hirfalinteriors</v>
          </cell>
          <cell r="CG3" t="str">
            <v>Crystal Engg</v>
          </cell>
          <cell r="CH3" t="str">
            <v>Mansoor corporation</v>
          </cell>
          <cell r="CJ3">
            <v>44737</v>
          </cell>
          <cell r="CK3">
            <v>44739</v>
          </cell>
          <cell r="CN3" t="str">
            <v/>
          </cell>
          <cell r="CO3" t="str">
            <v/>
          </cell>
          <cell r="CP3" t="str">
            <v/>
          </cell>
          <cell r="CR3" t="str">
            <v/>
          </cell>
          <cell r="DD3">
            <v>44727</v>
          </cell>
          <cell r="DE3">
            <v>60</v>
          </cell>
          <cell r="DF3">
            <v>44789</v>
          </cell>
          <cell r="DG3" t="str">
            <v>10. Launched</v>
          </cell>
          <cell r="DJ3" t="str">
            <v/>
          </cell>
          <cell r="DK3">
            <v>44729</v>
          </cell>
          <cell r="DP3">
            <v>44731</v>
          </cell>
          <cell r="DQ3">
            <v>44741</v>
          </cell>
          <cell r="DR3">
            <v>35</v>
          </cell>
          <cell r="DS3">
            <v>45</v>
          </cell>
          <cell r="DU3">
            <v>44776</v>
          </cell>
          <cell r="DV3">
            <v>44786</v>
          </cell>
          <cell r="DW3">
            <v>44776</v>
          </cell>
          <cell r="DY3" t="str">
            <v/>
          </cell>
          <cell r="DZ3">
            <v>44828</v>
          </cell>
          <cell r="ED3" t="str">
            <v/>
          </cell>
          <cell r="EE3" t="str">
            <v/>
          </cell>
          <cell r="EF3">
            <v>1</v>
          </cell>
          <cell r="EG3">
            <v>1</v>
          </cell>
          <cell r="EJ3">
            <v>44748</v>
          </cell>
          <cell r="EM3">
            <v>44755</v>
          </cell>
          <cell r="EP3">
            <v>44762</v>
          </cell>
          <cell r="ES3">
            <v>44769</v>
          </cell>
          <cell r="EV3">
            <v>44776</v>
          </cell>
          <cell r="FD3">
            <v>52</v>
          </cell>
          <cell r="FE3" t="str">
            <v>31 to 61 Days</v>
          </cell>
          <cell r="FF3">
            <v>62</v>
          </cell>
          <cell r="FG3" t="str">
            <v>62 to 90 Days</v>
          </cell>
          <cell r="FH3" t="str">
            <v>Done</v>
          </cell>
          <cell r="FI3" t="str">
            <v>Done</v>
          </cell>
          <cell r="FJ3" t="str">
            <v>Done</v>
          </cell>
          <cell r="FM3" t="str">
            <v/>
          </cell>
          <cell r="GG3" t="str">
            <v>2022-2023</v>
          </cell>
        </row>
        <row r="4">
          <cell r="E4" t="str">
            <v>Ace Almighty, Wakad</v>
          </cell>
          <cell r="F4" t="str">
            <v>14. Dropped</v>
          </cell>
          <cell r="G4" t="str">
            <v>NA</v>
          </cell>
          <cell r="H4" t="str">
            <v>_</v>
          </cell>
          <cell r="I4" t="str">
            <v>_</v>
          </cell>
          <cell r="K4" t="str">
            <v>W</v>
          </cell>
          <cell r="L4" t="str">
            <v>BK</v>
          </cell>
          <cell r="N4" t="str">
            <v>Sh Shashi Pardesi</v>
          </cell>
          <cell r="O4" t="str">
            <v>Sh Shashi Pardesi</v>
          </cell>
          <cell r="P4" t="str">
            <v/>
          </cell>
          <cell r="Q4" t="str">
            <v>Shahaji Gohatre</v>
          </cell>
          <cell r="R4" t="str">
            <v>Parth Sharma</v>
          </cell>
          <cell r="S4" t="str">
            <v>Maharashtra</v>
          </cell>
          <cell r="T4" t="str">
            <v>Pune</v>
          </cell>
          <cell r="U4" t="str">
            <v>Premium</v>
          </cell>
          <cell r="V4" t="str">
            <v>Misc Formats</v>
          </cell>
          <cell r="W4">
            <v>1628</v>
          </cell>
          <cell r="X4" t="str">
            <v>Shop 1, Ace Almighty, Behind Indira College Off Pune - Mumbai By-Pass Rd Tathawade, Wakad, Pune, Maharashtra 411033</v>
          </cell>
          <cell r="Z4" t="str">
            <v>_</v>
          </cell>
          <cell r="AB4">
            <v>45093</v>
          </cell>
          <cell r="AC4">
            <v>45095</v>
          </cell>
          <cell r="AD4">
            <v>45098</v>
          </cell>
          <cell r="AE4">
            <v>45098</v>
          </cell>
          <cell r="AF4" t="str">
            <v>SDR DONE</v>
          </cell>
          <cell r="AG4">
            <v>0</v>
          </cell>
          <cell r="AH4" t="str">
            <v>_</v>
          </cell>
          <cell r="AI4">
            <v>45170</v>
          </cell>
          <cell r="AJ4">
            <v>0</v>
          </cell>
          <cell r="AK4">
            <v>45170</v>
          </cell>
          <cell r="AL4" t="str">
            <v>Received</v>
          </cell>
          <cell r="AM4">
            <v>67</v>
          </cell>
          <cell r="AO4">
            <v>45173</v>
          </cell>
          <cell r="AP4">
            <v>45184</v>
          </cell>
          <cell r="AR4">
            <v>45184</v>
          </cell>
          <cell r="AS4">
            <v>11</v>
          </cell>
          <cell r="AU4">
            <v>45174</v>
          </cell>
          <cell r="AV4">
            <v>45191</v>
          </cell>
          <cell r="BA4">
            <v>45175</v>
          </cell>
          <cell r="BB4">
            <v>45208</v>
          </cell>
          <cell r="BD4">
            <v>45208</v>
          </cell>
          <cell r="BE4">
            <v>32</v>
          </cell>
          <cell r="BG4">
            <v>45175</v>
          </cell>
          <cell r="BJ4" t="str">
            <v/>
          </cell>
          <cell r="BM4">
            <v>45173</v>
          </cell>
          <cell r="BN4">
            <v>45175</v>
          </cell>
          <cell r="BP4">
            <v>45173</v>
          </cell>
          <cell r="BQ4">
            <v>45176</v>
          </cell>
          <cell r="BR4" t="str">
            <v>Received</v>
          </cell>
          <cell r="BT4">
            <v>45178</v>
          </cell>
          <cell r="BW4" t="str">
            <v/>
          </cell>
          <cell r="CD4">
            <v>45103</v>
          </cell>
          <cell r="CE4" t="str">
            <v/>
          </cell>
          <cell r="CF4" t="str">
            <v/>
          </cell>
          <cell r="CG4" t="str">
            <v/>
          </cell>
          <cell r="CH4" t="str">
            <v/>
          </cell>
          <cell r="CN4" t="str">
            <v/>
          </cell>
          <cell r="CO4" t="str">
            <v/>
          </cell>
          <cell r="CP4" t="str">
            <v/>
          </cell>
          <cell r="CR4" t="str">
            <v/>
          </cell>
          <cell r="DG4" t="str">
            <v>14. Dropped</v>
          </cell>
          <cell r="DJ4" t="str">
            <v/>
          </cell>
          <cell r="DP4" t="str">
            <v/>
          </cell>
          <cell r="DR4">
            <v>35</v>
          </cell>
          <cell r="DS4">
            <v>45</v>
          </cell>
          <cell r="DX4" t="str">
            <v/>
          </cell>
          <cell r="DY4" t="str">
            <v/>
          </cell>
          <cell r="EA4" t="str">
            <v/>
          </cell>
          <cell r="ED4" t="str">
            <v/>
          </cell>
          <cell r="EE4" t="str">
            <v/>
          </cell>
          <cell r="FM4" t="str">
            <v/>
          </cell>
          <cell r="GG4" t="str">
            <v>2024-2025</v>
          </cell>
        </row>
        <row r="5">
          <cell r="E5" t="str">
            <v>Aero Mall, Pebbles Plaza</v>
          </cell>
          <cell r="F5" t="str">
            <v>10. Launched</v>
          </cell>
          <cell r="G5" t="str">
            <v>NA</v>
          </cell>
          <cell r="H5" t="str">
            <v>MH-SM-PUN-981</v>
          </cell>
          <cell r="I5" t="str">
            <v>_</v>
          </cell>
          <cell r="J5" t="str">
            <v>QZMG</v>
          </cell>
          <cell r="K5" t="str">
            <v>W</v>
          </cell>
          <cell r="L5" t="str">
            <v>BK</v>
          </cell>
          <cell r="N5" t="str">
            <v>Sh Shashi Pardesi</v>
          </cell>
          <cell r="O5" t="str">
            <v>Sh Shashi Pardesi</v>
          </cell>
          <cell r="P5" t="str">
            <v>Sh. Akshay Kshirsagar</v>
          </cell>
          <cell r="Q5" t="str">
            <v>Shahaji Gohatre</v>
          </cell>
          <cell r="R5" t="str">
            <v>Parth Sharma</v>
          </cell>
          <cell r="S5" t="str">
            <v>Maharashtra</v>
          </cell>
          <cell r="T5" t="str">
            <v>Pune</v>
          </cell>
          <cell r="U5" t="str">
            <v>Premium</v>
          </cell>
          <cell r="V5" t="str">
            <v>Misc Formats</v>
          </cell>
          <cell r="W5">
            <v>906</v>
          </cell>
          <cell r="X5" t="str">
            <v>Shop No 3, Ground Floor, opp. Pune International Airport, Lohagaon, Pune-411032</v>
          </cell>
          <cell r="Z5" t="str">
            <v>Done</v>
          </cell>
          <cell r="AB5">
            <v>45032</v>
          </cell>
          <cell r="AC5">
            <v>45038</v>
          </cell>
          <cell r="AD5">
            <v>45044</v>
          </cell>
          <cell r="AE5">
            <v>45044</v>
          </cell>
          <cell r="AF5" t="str">
            <v>SDR DONE</v>
          </cell>
          <cell r="AG5">
            <v>7</v>
          </cell>
          <cell r="AH5" t="str">
            <v>_</v>
          </cell>
          <cell r="AJ5">
            <v>5</v>
          </cell>
          <cell r="AK5">
            <v>45147</v>
          </cell>
          <cell r="AL5" t="str">
            <v>Received</v>
          </cell>
          <cell r="AM5">
            <v>98</v>
          </cell>
          <cell r="AO5">
            <v>45150</v>
          </cell>
          <cell r="AP5">
            <v>45098</v>
          </cell>
          <cell r="AQ5">
            <v>1</v>
          </cell>
          <cell r="AR5">
            <v>45110</v>
          </cell>
          <cell r="AS5">
            <v>-40</v>
          </cell>
          <cell r="AT5" t="str">
            <v>Received</v>
          </cell>
          <cell r="AU5">
            <v>45151</v>
          </cell>
          <cell r="AV5">
            <v>45099</v>
          </cell>
          <cell r="AW5">
            <v>0</v>
          </cell>
          <cell r="AX5">
            <v>45099</v>
          </cell>
          <cell r="AY5">
            <v>-52</v>
          </cell>
          <cell r="AZ5" t="str">
            <v>Received</v>
          </cell>
          <cell r="BA5">
            <v>45152</v>
          </cell>
          <cell r="BB5">
            <v>45100</v>
          </cell>
          <cell r="BC5">
            <v>0</v>
          </cell>
          <cell r="BD5">
            <v>45100</v>
          </cell>
          <cell r="BE5">
            <v>-52</v>
          </cell>
          <cell r="BF5" t="str">
            <v>Received</v>
          </cell>
          <cell r="BG5">
            <v>45152</v>
          </cell>
          <cell r="BH5">
            <v>45103</v>
          </cell>
          <cell r="BJ5">
            <v>45103</v>
          </cell>
          <cell r="BK5">
            <v>-49</v>
          </cell>
          <cell r="BL5" t="str">
            <v>Received</v>
          </cell>
          <cell r="BM5">
            <v>45150</v>
          </cell>
          <cell r="BN5">
            <v>45084</v>
          </cell>
          <cell r="BO5" t="str">
            <v>Received</v>
          </cell>
          <cell r="BP5">
            <v>45150</v>
          </cell>
          <cell r="BQ5">
            <v>45096</v>
          </cell>
          <cell r="BR5" t="str">
            <v>Received</v>
          </cell>
          <cell r="BU5" t="str">
            <v>Received</v>
          </cell>
          <cell r="BV5" t="str">
            <v>Done</v>
          </cell>
          <cell r="BW5" t="str">
            <v>Done</v>
          </cell>
          <cell r="BY5" t="str">
            <v>Done</v>
          </cell>
          <cell r="CD5" t="str">
            <v>Done</v>
          </cell>
          <cell r="CE5">
            <v>45123</v>
          </cell>
          <cell r="CF5" t="str">
            <v>Aditya Infrasafety Ltd</v>
          </cell>
          <cell r="CG5" t="str">
            <v>Vignesh Electrical</v>
          </cell>
          <cell r="CH5" t="str">
            <v>AirSmart HVAC systems</v>
          </cell>
          <cell r="CJ5">
            <v>45123</v>
          </cell>
          <cell r="CK5">
            <v>45107</v>
          </cell>
          <cell r="CL5">
            <v>45121</v>
          </cell>
          <cell r="CN5">
            <v>45169</v>
          </cell>
          <cell r="CO5" t="str">
            <v>Pending</v>
          </cell>
          <cell r="CP5">
            <v>45129</v>
          </cell>
          <cell r="CR5" t="str">
            <v/>
          </cell>
          <cell r="CS5">
            <v>45131</v>
          </cell>
          <cell r="DD5">
            <v>45114</v>
          </cell>
          <cell r="DE5">
            <v>60</v>
          </cell>
          <cell r="DF5">
            <v>45178</v>
          </cell>
          <cell r="DG5" t="str">
            <v>10. Launched</v>
          </cell>
          <cell r="DJ5" t="str">
            <v/>
          </cell>
          <cell r="DK5">
            <v>45118</v>
          </cell>
          <cell r="DP5">
            <v>45120</v>
          </cell>
          <cell r="DQ5">
            <v>45124</v>
          </cell>
          <cell r="DR5">
            <v>35</v>
          </cell>
          <cell r="DS5">
            <v>45</v>
          </cell>
          <cell r="DU5">
            <v>45159</v>
          </cell>
          <cell r="DV5">
            <v>45169</v>
          </cell>
          <cell r="DW5">
            <v>45159</v>
          </cell>
          <cell r="DX5" t="str">
            <v>Aug 23 Week 3</v>
          </cell>
          <cell r="DY5" t="str">
            <v/>
          </cell>
          <cell r="DZ5">
            <v>45169</v>
          </cell>
          <cell r="EA5" t="str">
            <v>Aug 23 Week 5</v>
          </cell>
          <cell r="ED5" t="str">
            <v/>
          </cell>
          <cell r="EE5" t="str">
            <v/>
          </cell>
          <cell r="EF5">
            <v>1</v>
          </cell>
          <cell r="EG5">
            <v>1</v>
          </cell>
          <cell r="EJ5">
            <v>45131</v>
          </cell>
          <cell r="EM5">
            <v>45138</v>
          </cell>
          <cell r="EP5">
            <v>45145</v>
          </cell>
          <cell r="ES5">
            <v>45152</v>
          </cell>
          <cell r="EV5">
            <v>45159</v>
          </cell>
          <cell r="FD5">
            <v>10</v>
          </cell>
          <cell r="FE5" t="str">
            <v>8 to 15 Days</v>
          </cell>
          <cell r="FF5">
            <v>14</v>
          </cell>
          <cell r="FG5" t="str">
            <v>8 to 15 Days</v>
          </cell>
          <cell r="FH5" t="str">
            <v>Done</v>
          </cell>
          <cell r="FI5" t="str">
            <v>Done</v>
          </cell>
          <cell r="FJ5" t="str">
            <v>Done</v>
          </cell>
          <cell r="FM5" t="str">
            <v/>
          </cell>
          <cell r="GF5" t="str">
            <v>SEVEBK32</v>
          </cell>
          <cell r="GG5" t="str">
            <v>2023-2024</v>
          </cell>
        </row>
        <row r="6">
          <cell r="E6" t="str">
            <v>Aishwarya Trade Centre</v>
          </cell>
          <cell r="F6" t="str">
            <v>10. Launched</v>
          </cell>
          <cell r="G6" t="str">
            <v>NA</v>
          </cell>
          <cell r="H6" t="str">
            <v>MH-SM-PUN-998</v>
          </cell>
          <cell r="I6" t="str">
            <v>_</v>
          </cell>
          <cell r="J6" t="str">
            <v>QJ8H</v>
          </cell>
          <cell r="K6" t="str">
            <v>W</v>
          </cell>
          <cell r="L6" t="str">
            <v>BK</v>
          </cell>
          <cell r="N6" t="str">
            <v>Sh Shashi Pardesi</v>
          </cell>
          <cell r="O6" t="str">
            <v>Sh Ashish M</v>
          </cell>
          <cell r="P6" t="str">
            <v>Sh. Danyeshwar P</v>
          </cell>
          <cell r="Q6" t="str">
            <v>Arju Tiwari</v>
          </cell>
          <cell r="R6" t="str">
            <v>Parth Sharma</v>
          </cell>
          <cell r="S6" t="str">
            <v>Maharashtra</v>
          </cell>
          <cell r="T6" t="str">
            <v>Pune</v>
          </cell>
          <cell r="U6" t="str">
            <v>Premium</v>
          </cell>
          <cell r="V6" t="str">
            <v>Misc Formats</v>
          </cell>
          <cell r="W6">
            <v>1128</v>
          </cell>
          <cell r="X6" t="str">
            <v>Shop NO:01, Aishwarya Trade Centre ,Vishal Nagar , Pimple Nilakh , Pune -411 027.</v>
          </cell>
          <cell r="Z6" t="str">
            <v>Done</v>
          </cell>
          <cell r="AB6">
            <v>45103</v>
          </cell>
          <cell r="AC6">
            <v>45107</v>
          </cell>
          <cell r="AD6">
            <v>45109</v>
          </cell>
          <cell r="AE6">
            <v>45109</v>
          </cell>
          <cell r="AF6" t="str">
            <v>SDR DONE</v>
          </cell>
          <cell r="AG6">
            <v>1</v>
          </cell>
          <cell r="AH6" t="str">
            <v>_</v>
          </cell>
          <cell r="AJ6">
            <v>3</v>
          </cell>
          <cell r="AK6">
            <v>45379</v>
          </cell>
          <cell r="AL6" t="str">
            <v>Received</v>
          </cell>
          <cell r="AM6">
            <v>265</v>
          </cell>
          <cell r="AO6">
            <v>45382</v>
          </cell>
          <cell r="AP6">
            <v>45215</v>
          </cell>
          <cell r="AQ6">
            <v>0</v>
          </cell>
          <cell r="AR6">
            <v>45215</v>
          </cell>
          <cell r="AS6">
            <v>-167</v>
          </cell>
          <cell r="AT6" t="str">
            <v>Received</v>
          </cell>
          <cell r="AU6">
            <v>45383</v>
          </cell>
          <cell r="AV6">
            <v>45216</v>
          </cell>
          <cell r="AW6">
            <v>0</v>
          </cell>
          <cell r="AX6">
            <v>45216</v>
          </cell>
          <cell r="AY6">
            <v>-167</v>
          </cell>
          <cell r="AZ6" t="str">
            <v>Received</v>
          </cell>
          <cell r="BA6">
            <v>45384</v>
          </cell>
          <cell r="BB6">
            <v>45210</v>
          </cell>
          <cell r="BC6">
            <v>1</v>
          </cell>
          <cell r="BD6">
            <v>45384</v>
          </cell>
          <cell r="BE6">
            <v>0</v>
          </cell>
          <cell r="BF6" t="str">
            <v>Received</v>
          </cell>
          <cell r="BG6">
            <v>45384</v>
          </cell>
          <cell r="BH6">
            <v>45198</v>
          </cell>
          <cell r="BJ6">
            <v>45198</v>
          </cell>
          <cell r="BK6">
            <v>-186</v>
          </cell>
          <cell r="BL6" t="str">
            <v>Received</v>
          </cell>
          <cell r="BM6">
            <v>45382</v>
          </cell>
          <cell r="BN6">
            <v>45194</v>
          </cell>
          <cell r="BO6" t="str">
            <v>Received</v>
          </cell>
          <cell r="BP6">
            <v>45382</v>
          </cell>
          <cell r="BQ6">
            <v>45191</v>
          </cell>
          <cell r="BR6" t="str">
            <v>Received</v>
          </cell>
          <cell r="BT6">
            <v>45214</v>
          </cell>
          <cell r="BU6" t="str">
            <v>Received</v>
          </cell>
          <cell r="BV6" t="str">
            <v>Done</v>
          </cell>
          <cell r="BW6" t="str">
            <v>07-11-2023</v>
          </cell>
          <cell r="BX6">
            <v>45278</v>
          </cell>
          <cell r="BY6" t="str">
            <v>Done</v>
          </cell>
          <cell r="CD6" t="str">
            <v>Done</v>
          </cell>
          <cell r="CE6">
            <v>45390</v>
          </cell>
          <cell r="CF6" t="str">
            <v>Raptor Infra</v>
          </cell>
          <cell r="CG6" t="str">
            <v>Vighnesh Electrical</v>
          </cell>
          <cell r="CH6" t="str">
            <v>AirSmart HVAC systems</v>
          </cell>
          <cell r="CJ6">
            <v>45390</v>
          </cell>
          <cell r="CK6">
            <v>45387</v>
          </cell>
          <cell r="CL6">
            <v>45387</v>
          </cell>
          <cell r="CN6" t="str">
            <v/>
          </cell>
          <cell r="CO6">
            <v>45398</v>
          </cell>
          <cell r="CP6">
            <v>45405</v>
          </cell>
          <cell r="CR6">
            <v>45406</v>
          </cell>
          <cell r="CS6">
            <v>45405</v>
          </cell>
          <cell r="CT6">
            <v>45409</v>
          </cell>
          <cell r="CU6">
            <v>45407</v>
          </cell>
          <cell r="CV6">
            <v>45407</v>
          </cell>
          <cell r="DA6" t="str">
            <v>PR Done WO Pending</v>
          </cell>
          <cell r="DB6" t="str">
            <v>WO Done RA1 Pending</v>
          </cell>
          <cell r="DC6" t="str">
            <v>WO Done RA1 Pending</v>
          </cell>
          <cell r="DD6">
            <v>45379</v>
          </cell>
          <cell r="DE6">
            <v>60</v>
          </cell>
          <cell r="DF6">
            <v>45450</v>
          </cell>
          <cell r="DG6" t="str">
            <v>10. Launched</v>
          </cell>
          <cell r="DJ6" t="str">
            <v/>
          </cell>
          <cell r="DK6">
            <v>45390</v>
          </cell>
          <cell r="DO6" t="str">
            <v>Plan Start 10/04/2024</v>
          </cell>
          <cell r="DP6">
            <v>45392</v>
          </cell>
          <cell r="DQ6">
            <v>45392</v>
          </cell>
          <cell r="DR6">
            <v>35</v>
          </cell>
          <cell r="DS6">
            <v>45</v>
          </cell>
          <cell r="DU6">
            <v>45427</v>
          </cell>
          <cell r="DV6">
            <v>45437</v>
          </cell>
          <cell r="DW6">
            <v>45427</v>
          </cell>
          <cell r="DX6" t="str">
            <v>May 24 Week 3</v>
          </cell>
          <cell r="DY6">
            <v>45438</v>
          </cell>
          <cell r="DZ6">
            <v>45440</v>
          </cell>
          <cell r="EA6" t="str">
            <v>May 24 Week 4</v>
          </cell>
          <cell r="EB6" t="str">
            <v>Backlog</v>
          </cell>
          <cell r="ED6" t="str">
            <v/>
          </cell>
          <cell r="EE6" t="str">
            <v/>
          </cell>
          <cell r="EF6">
            <v>1</v>
          </cell>
          <cell r="EG6">
            <v>1</v>
          </cell>
          <cell r="EI6" t="str">
            <v xml:space="preserve">1. EPC readiness declared in absence of Permanent power awaited
</v>
          </cell>
          <cell r="EJ6">
            <v>45399</v>
          </cell>
          <cell r="EM6">
            <v>45406</v>
          </cell>
          <cell r="EP6">
            <v>45413</v>
          </cell>
          <cell r="ES6">
            <v>45420</v>
          </cell>
          <cell r="EV6">
            <v>45427</v>
          </cell>
          <cell r="FD6">
            <v>13</v>
          </cell>
          <cell r="FE6" t="str">
            <v>8 to 15 Days</v>
          </cell>
          <cell r="FF6">
            <v>13</v>
          </cell>
          <cell r="FG6" t="str">
            <v>8 to 15 Days</v>
          </cell>
          <cell r="FH6" t="str">
            <v>Done</v>
          </cell>
          <cell r="FI6" t="str">
            <v>Done</v>
          </cell>
          <cell r="FJ6" t="str">
            <v>Done</v>
          </cell>
          <cell r="FK6">
            <v>45443</v>
          </cell>
          <cell r="FM6" t="str">
            <v/>
          </cell>
          <cell r="GG6" t="str">
            <v>2024-2025</v>
          </cell>
        </row>
        <row r="7">
          <cell r="E7" t="str">
            <v>Amanora Park, Pune</v>
          </cell>
          <cell r="F7" t="str">
            <v>10. Launched</v>
          </cell>
          <cell r="G7" t="str">
            <v>NA</v>
          </cell>
          <cell r="H7" t="str">
            <v>_</v>
          </cell>
          <cell r="I7" t="str">
            <v>_</v>
          </cell>
          <cell r="J7" t="str">
            <v>QQMM</v>
          </cell>
          <cell r="K7" t="str">
            <v>W</v>
          </cell>
          <cell r="L7" t="str">
            <v>KC</v>
          </cell>
          <cell r="N7" t="str">
            <v>Sh Dharmendra Sargaonkar</v>
          </cell>
          <cell r="O7" t="str">
            <v>Sh Dharmendra Sargaonkar</v>
          </cell>
          <cell r="P7" t="str">
            <v>Sh. Anant Gosavi</v>
          </cell>
          <cell r="Q7" t="str">
            <v>Shahaji Gohatre</v>
          </cell>
          <cell r="R7" t="str">
            <v>Parth Sharma</v>
          </cell>
          <cell r="S7" t="str">
            <v>Maharashtra</v>
          </cell>
          <cell r="T7" t="str">
            <v>Pune</v>
          </cell>
          <cell r="U7" t="str">
            <v>Premium</v>
          </cell>
          <cell r="V7" t="str">
            <v>Misc Formats</v>
          </cell>
          <cell r="W7">
            <v>612</v>
          </cell>
          <cell r="X7" t="str">
            <v>Smart Bazaar, Amanora Park, Pune</v>
          </cell>
          <cell r="Z7" t="str">
            <v>Done</v>
          </cell>
          <cell r="AB7">
            <v>44876</v>
          </cell>
          <cell r="AC7">
            <v>44882</v>
          </cell>
          <cell r="AD7">
            <v>44886</v>
          </cell>
          <cell r="AE7">
            <v>44886</v>
          </cell>
          <cell r="AF7" t="str">
            <v>SDR DONE</v>
          </cell>
          <cell r="AG7">
            <v>5</v>
          </cell>
          <cell r="AH7" t="str">
            <v>_</v>
          </cell>
          <cell r="AI7">
            <v>44921</v>
          </cell>
          <cell r="AJ7">
            <v>0</v>
          </cell>
          <cell r="AK7">
            <v>44921</v>
          </cell>
          <cell r="AL7" t="str">
            <v>Received</v>
          </cell>
          <cell r="AM7">
            <v>30</v>
          </cell>
          <cell r="AO7">
            <v>44924</v>
          </cell>
          <cell r="AP7">
            <v>44925</v>
          </cell>
          <cell r="AR7">
            <v>44925</v>
          </cell>
          <cell r="AS7">
            <v>1</v>
          </cell>
          <cell r="AT7" t="str">
            <v>Received</v>
          </cell>
          <cell r="AU7">
            <v>44925</v>
          </cell>
          <cell r="AV7" t="str">
            <v>NA</v>
          </cell>
          <cell r="AW7" t="str">
            <v>NA</v>
          </cell>
          <cell r="AX7" t="str">
            <v>NA</v>
          </cell>
          <cell r="AZ7" t="str">
            <v>Received</v>
          </cell>
          <cell r="BA7">
            <v>44926</v>
          </cell>
          <cell r="BB7">
            <v>44949</v>
          </cell>
          <cell r="BC7">
            <v>0</v>
          </cell>
          <cell r="BD7">
            <v>44949</v>
          </cell>
          <cell r="BE7">
            <v>22</v>
          </cell>
          <cell r="BF7" t="str">
            <v>Received</v>
          </cell>
          <cell r="BG7">
            <v>44926</v>
          </cell>
          <cell r="BJ7" t="str">
            <v/>
          </cell>
          <cell r="BL7" t="str">
            <v>Received</v>
          </cell>
          <cell r="BM7">
            <v>44924</v>
          </cell>
          <cell r="BN7" t="str">
            <v/>
          </cell>
          <cell r="BO7" t="str">
            <v>Received</v>
          </cell>
          <cell r="BP7">
            <v>44924</v>
          </cell>
          <cell r="BR7" t="str">
            <v>Received</v>
          </cell>
          <cell r="BT7">
            <v>44986</v>
          </cell>
          <cell r="BU7" t="str">
            <v>Received</v>
          </cell>
          <cell r="BV7" t="str">
            <v>Done</v>
          </cell>
          <cell r="BW7" t="str">
            <v>Done</v>
          </cell>
          <cell r="BY7" t="str">
            <v>Done</v>
          </cell>
          <cell r="CD7" t="str">
            <v>Done</v>
          </cell>
          <cell r="CE7" t="str">
            <v/>
          </cell>
          <cell r="CF7" t="str">
            <v/>
          </cell>
          <cell r="CG7" t="str">
            <v/>
          </cell>
          <cell r="CH7" t="str">
            <v/>
          </cell>
          <cell r="CN7" t="str">
            <v/>
          </cell>
          <cell r="CO7" t="str">
            <v/>
          </cell>
          <cell r="CP7" t="str">
            <v/>
          </cell>
          <cell r="CR7" t="str">
            <v/>
          </cell>
          <cell r="DG7" t="str">
            <v>10. Launched</v>
          </cell>
          <cell r="DJ7" t="str">
            <v/>
          </cell>
          <cell r="DP7" t="str">
            <v/>
          </cell>
          <cell r="DQ7">
            <v>44960</v>
          </cell>
          <cell r="DR7">
            <v>35</v>
          </cell>
          <cell r="DS7">
            <v>45</v>
          </cell>
          <cell r="DU7">
            <v>44995</v>
          </cell>
          <cell r="DV7">
            <v>45005</v>
          </cell>
          <cell r="DW7">
            <v>44995</v>
          </cell>
          <cell r="DX7" t="str">
            <v>March 23 Week 2</v>
          </cell>
          <cell r="DY7" t="str">
            <v/>
          </cell>
          <cell r="DZ7">
            <v>45012</v>
          </cell>
          <cell r="EA7" t="str">
            <v>March 23 Week 4</v>
          </cell>
          <cell r="ED7" t="str">
            <v/>
          </cell>
          <cell r="EE7" t="str">
            <v/>
          </cell>
          <cell r="EF7">
            <v>1</v>
          </cell>
          <cell r="EG7">
            <v>1</v>
          </cell>
          <cell r="EJ7">
            <v>44967</v>
          </cell>
          <cell r="EM7">
            <v>44974</v>
          </cell>
          <cell r="EP7">
            <v>44981</v>
          </cell>
          <cell r="ES7">
            <v>44988</v>
          </cell>
          <cell r="EV7">
            <v>44995</v>
          </cell>
          <cell r="FD7">
            <v>17</v>
          </cell>
          <cell r="FE7" t="str">
            <v>16 to 31 Days</v>
          </cell>
          <cell r="FF7">
            <v>17</v>
          </cell>
          <cell r="FG7" t="str">
            <v>16 to 31 Days</v>
          </cell>
          <cell r="FH7" t="str">
            <v>Done</v>
          </cell>
          <cell r="FI7" t="str">
            <v>Done</v>
          </cell>
          <cell r="FJ7" t="str">
            <v>Done</v>
          </cell>
          <cell r="FM7" t="str">
            <v/>
          </cell>
          <cell r="GG7" t="str">
            <v>2022-2023</v>
          </cell>
        </row>
        <row r="8">
          <cell r="E8" t="str">
            <v>Ameya Classic Club</v>
          </cell>
          <cell r="F8" t="str">
            <v>10. Launched</v>
          </cell>
          <cell r="G8" t="str">
            <v>NA</v>
          </cell>
          <cell r="H8" t="str">
            <v>_</v>
          </cell>
          <cell r="I8" t="str">
            <v>_</v>
          </cell>
          <cell r="J8" t="str">
            <v>QI8I</v>
          </cell>
          <cell r="K8" t="str">
            <v>W</v>
          </cell>
          <cell r="L8" t="str">
            <v>BK</v>
          </cell>
          <cell r="N8" t="str">
            <v>Sh Mrudang Shah</v>
          </cell>
          <cell r="O8" t="str">
            <v>Sh Nitin Dawange</v>
          </cell>
          <cell r="P8" t="str">
            <v>Sh. Mojim Pathan</v>
          </cell>
          <cell r="Q8" t="str">
            <v>Shahaji Gohatre</v>
          </cell>
          <cell r="R8" t="str">
            <v>Parth Sharma</v>
          </cell>
          <cell r="S8" t="str">
            <v>Maharashtra</v>
          </cell>
          <cell r="T8" t="str">
            <v>Pune</v>
          </cell>
          <cell r="U8" t="str">
            <v>Premium</v>
          </cell>
          <cell r="V8" t="str">
            <v>Misc Formats</v>
          </cell>
          <cell r="W8">
            <v>903</v>
          </cell>
          <cell r="X8" t="str">
            <v>Ameya Classic Club, Shop No.1, Yashwant Nagar, Virar West, Palghar – 401303</v>
          </cell>
          <cell r="Z8" t="str">
            <v>Done</v>
          </cell>
          <cell r="AB8">
            <v>45117</v>
          </cell>
          <cell r="AC8">
            <v>45119</v>
          </cell>
          <cell r="AD8">
            <v>45121</v>
          </cell>
          <cell r="AE8">
            <v>45121</v>
          </cell>
          <cell r="AF8" t="str">
            <v>SDR DONE</v>
          </cell>
          <cell r="AG8">
            <v>0</v>
          </cell>
          <cell r="AH8" t="str">
            <v>_</v>
          </cell>
          <cell r="AJ8">
            <v>2</v>
          </cell>
          <cell r="AK8">
            <v>45320</v>
          </cell>
          <cell r="AL8" t="str">
            <v>Received</v>
          </cell>
          <cell r="AM8">
            <v>194</v>
          </cell>
          <cell r="AO8">
            <v>45323</v>
          </cell>
          <cell r="AP8">
            <v>45191</v>
          </cell>
          <cell r="AQ8">
            <v>0</v>
          </cell>
          <cell r="AR8">
            <v>45191</v>
          </cell>
          <cell r="AS8">
            <v>-132</v>
          </cell>
          <cell r="AT8" t="str">
            <v>Received</v>
          </cell>
          <cell r="AU8">
            <v>45324</v>
          </cell>
          <cell r="AV8">
            <v>45203</v>
          </cell>
          <cell r="AW8">
            <v>0</v>
          </cell>
          <cell r="AX8">
            <v>45203</v>
          </cell>
          <cell r="AY8">
            <v>-121</v>
          </cell>
          <cell r="AZ8" t="str">
            <v>Received</v>
          </cell>
          <cell r="BA8">
            <v>45325</v>
          </cell>
          <cell r="BB8">
            <v>45204</v>
          </cell>
          <cell r="BC8">
            <v>1</v>
          </cell>
          <cell r="BD8">
            <v>45208</v>
          </cell>
          <cell r="BE8">
            <v>-117</v>
          </cell>
          <cell r="BF8" t="str">
            <v>Received</v>
          </cell>
          <cell r="BG8">
            <v>45325</v>
          </cell>
          <cell r="BH8">
            <v>45215</v>
          </cell>
          <cell r="BJ8">
            <v>45215</v>
          </cell>
          <cell r="BK8">
            <v>-110</v>
          </cell>
          <cell r="BL8" t="str">
            <v>Received</v>
          </cell>
          <cell r="BM8">
            <v>45323</v>
          </cell>
          <cell r="BN8">
            <v>45180</v>
          </cell>
          <cell r="BO8" t="str">
            <v>Received</v>
          </cell>
          <cell r="BP8">
            <v>45323</v>
          </cell>
          <cell r="BQ8">
            <v>45183</v>
          </cell>
          <cell r="BR8" t="str">
            <v>Received</v>
          </cell>
          <cell r="BT8">
            <v>45178</v>
          </cell>
          <cell r="BU8" t="str">
            <v>Received</v>
          </cell>
          <cell r="BV8" t="str">
            <v>Done</v>
          </cell>
          <cell r="BW8" t="str">
            <v>03-11-2023</v>
          </cell>
          <cell r="BX8">
            <v>45259</v>
          </cell>
          <cell r="BY8" t="str">
            <v>Done</v>
          </cell>
          <cell r="CD8" t="str">
            <v>Done</v>
          </cell>
          <cell r="CE8">
            <v>45303</v>
          </cell>
          <cell r="CF8" t="str">
            <v>3Desire</v>
          </cell>
          <cell r="CG8" t="str">
            <v/>
          </cell>
          <cell r="CH8" t="str">
            <v>Sark Corp</v>
          </cell>
          <cell r="CJ8">
            <v>45303</v>
          </cell>
          <cell r="CL8">
            <v>45303</v>
          </cell>
          <cell r="CN8" t="str">
            <v/>
          </cell>
          <cell r="CO8">
            <v>45327</v>
          </cell>
          <cell r="CP8">
            <v>45324</v>
          </cell>
          <cell r="CR8">
            <v>45328</v>
          </cell>
          <cell r="CS8">
            <v>45331</v>
          </cell>
          <cell r="CX8">
            <v>45329</v>
          </cell>
          <cell r="CY8">
            <v>45329</v>
          </cell>
          <cell r="CZ8">
            <v>45329</v>
          </cell>
          <cell r="DA8" t="str">
            <v>Under Design Validation NHQ</v>
          </cell>
          <cell r="DB8" t="str">
            <v>BOQ pending from contracts for PR</v>
          </cell>
          <cell r="DC8" t="str">
            <v>BOQ pending from contracts for PR</v>
          </cell>
          <cell r="DD8">
            <v>45302</v>
          </cell>
          <cell r="DE8">
            <v>60</v>
          </cell>
          <cell r="DF8">
            <v>45366</v>
          </cell>
          <cell r="DG8" t="str">
            <v>10. Launched</v>
          </cell>
          <cell r="DJ8" t="str">
            <v/>
          </cell>
          <cell r="DK8">
            <v>45306</v>
          </cell>
          <cell r="DP8">
            <v>45318</v>
          </cell>
          <cell r="DQ8">
            <v>45318</v>
          </cell>
          <cell r="DR8">
            <v>35</v>
          </cell>
          <cell r="DS8">
            <v>45</v>
          </cell>
          <cell r="DU8">
            <v>45353</v>
          </cell>
          <cell r="DV8">
            <v>45363</v>
          </cell>
          <cell r="DW8">
            <v>45353</v>
          </cell>
          <cell r="DX8" t="str">
            <v>March 24 Week 1</v>
          </cell>
          <cell r="DY8" t="str">
            <v/>
          </cell>
          <cell r="DZ8">
            <v>45355</v>
          </cell>
          <cell r="EA8" t="str">
            <v>March 24 Week 1</v>
          </cell>
          <cell r="EB8" t="str">
            <v>Backlog</v>
          </cell>
          <cell r="ED8" t="str">
            <v/>
          </cell>
          <cell r="EE8" t="str">
            <v/>
          </cell>
          <cell r="EF8">
            <v>1</v>
          </cell>
          <cell r="EG8">
            <v>1</v>
          </cell>
          <cell r="EJ8">
            <v>45325</v>
          </cell>
          <cell r="EM8">
            <v>45332</v>
          </cell>
          <cell r="EP8">
            <v>45339</v>
          </cell>
          <cell r="ES8">
            <v>45346</v>
          </cell>
          <cell r="EV8">
            <v>45353</v>
          </cell>
          <cell r="FD8">
            <v>2</v>
          </cell>
          <cell r="FE8" t="str">
            <v>0 to 3 Days</v>
          </cell>
          <cell r="FF8">
            <v>2</v>
          </cell>
          <cell r="FG8" t="str">
            <v>0 to 3 Days</v>
          </cell>
          <cell r="FH8" t="str">
            <v>Done</v>
          </cell>
          <cell r="FI8" t="str">
            <v>Done</v>
          </cell>
          <cell r="FJ8" t="str">
            <v>Done</v>
          </cell>
          <cell r="FK8">
            <v>45388</v>
          </cell>
          <cell r="FM8" t="str">
            <v/>
          </cell>
          <cell r="FZ8" t="str">
            <v>Launched on 29/03/24</v>
          </cell>
          <cell r="GF8" t="str">
            <v>SEVEBK4604</v>
          </cell>
          <cell r="GG8" t="str">
            <v>2023-2024</v>
          </cell>
        </row>
        <row r="9">
          <cell r="E9" t="str">
            <v>ANP Landmark</v>
          </cell>
          <cell r="F9" t="str">
            <v>10. Launched</v>
          </cell>
          <cell r="G9" t="str">
            <v>NA</v>
          </cell>
          <cell r="H9" t="str">
            <v>MH-SM-PUN-1002</v>
          </cell>
          <cell r="I9" t="str">
            <v>_</v>
          </cell>
          <cell r="J9" t="str">
            <v>QK8B</v>
          </cell>
          <cell r="K9" t="str">
            <v>W</v>
          </cell>
          <cell r="L9" t="str">
            <v>BK</v>
          </cell>
          <cell r="M9" t="str">
            <v>15th August'24 Target</v>
          </cell>
          <cell r="N9" t="str">
            <v>Sh Shashi Pardesi</v>
          </cell>
          <cell r="O9" t="str">
            <v>Sh Shashi Pardesi</v>
          </cell>
          <cell r="P9" t="str">
            <v>Sh. Nishant Narsapur</v>
          </cell>
          <cell r="Q9" t="str">
            <v>Arju Tiwari</v>
          </cell>
          <cell r="R9" t="str">
            <v>Kiran Patil</v>
          </cell>
          <cell r="S9" t="str">
            <v>Maharashtra</v>
          </cell>
          <cell r="T9" t="str">
            <v>Pune</v>
          </cell>
          <cell r="U9" t="str">
            <v>Premium</v>
          </cell>
          <cell r="V9" t="str">
            <v>Misc Formats</v>
          </cell>
          <cell r="W9">
            <v>1223</v>
          </cell>
          <cell r="X9" t="str">
            <v>SHOP NO –102 , ANP LAND MARK, Bhumkar Chowk, Opposite Golden Care Hospital, next to Royal Entrada, Wakad, Pune, Maharashtra- 411057</v>
          </cell>
          <cell r="Z9" t="str">
            <v>Done</v>
          </cell>
          <cell r="AB9">
            <v>45116</v>
          </cell>
          <cell r="AC9">
            <v>45121</v>
          </cell>
          <cell r="AD9">
            <v>45127</v>
          </cell>
          <cell r="AE9">
            <v>45128</v>
          </cell>
          <cell r="AF9" t="str">
            <v>SDR DONE</v>
          </cell>
          <cell r="AG9">
            <v>6</v>
          </cell>
          <cell r="AH9" t="str">
            <v>_</v>
          </cell>
          <cell r="AJ9">
            <v>2</v>
          </cell>
          <cell r="AK9">
            <v>45468</v>
          </cell>
          <cell r="AL9" t="str">
            <v>Received</v>
          </cell>
          <cell r="AM9">
            <v>336</v>
          </cell>
          <cell r="AN9" t="str">
            <v>Due to revise concept of cash counter front glass ML Revised on 25-06-2024</v>
          </cell>
          <cell r="AO9">
            <v>45471</v>
          </cell>
          <cell r="AQ9">
            <v>2</v>
          </cell>
          <cell r="AR9">
            <v>45470</v>
          </cell>
          <cell r="AS9">
            <v>-1</v>
          </cell>
          <cell r="AT9" t="str">
            <v>Received</v>
          </cell>
          <cell r="AU9">
            <v>45472</v>
          </cell>
          <cell r="AV9">
            <v>45440</v>
          </cell>
          <cell r="AW9">
            <v>0</v>
          </cell>
          <cell r="AX9">
            <v>45440</v>
          </cell>
          <cell r="AY9">
            <v>-32</v>
          </cell>
          <cell r="AZ9" t="str">
            <v>Received</v>
          </cell>
          <cell r="BA9">
            <v>45473</v>
          </cell>
          <cell r="BC9">
            <v>1</v>
          </cell>
          <cell r="BD9">
            <v>45429</v>
          </cell>
          <cell r="BE9">
            <v>-44</v>
          </cell>
          <cell r="BF9" t="str">
            <v>Received</v>
          </cell>
          <cell r="BG9">
            <v>45473</v>
          </cell>
          <cell r="BH9">
            <v>45268</v>
          </cell>
          <cell r="BJ9">
            <v>45434</v>
          </cell>
          <cell r="BK9">
            <v>-39</v>
          </cell>
          <cell r="BL9" t="str">
            <v>Received</v>
          </cell>
          <cell r="BM9">
            <v>45471</v>
          </cell>
          <cell r="BN9">
            <v>45254</v>
          </cell>
          <cell r="BO9" t="str">
            <v>Received</v>
          </cell>
          <cell r="BP9">
            <v>45471</v>
          </cell>
          <cell r="BQ9">
            <v>45427</v>
          </cell>
          <cell r="BR9" t="str">
            <v>Received</v>
          </cell>
          <cell r="BU9" t="str">
            <v>Received</v>
          </cell>
          <cell r="BV9" t="str">
            <v>Done</v>
          </cell>
          <cell r="BW9" t="str">
            <v>11-12-2023</v>
          </cell>
          <cell r="BX9">
            <v>45352</v>
          </cell>
          <cell r="BY9" t="str">
            <v>Done</v>
          </cell>
          <cell r="CD9" t="str">
            <v>Done</v>
          </cell>
          <cell r="CE9">
            <v>45435</v>
          </cell>
          <cell r="CF9" t="str">
            <v>Mudra associates</v>
          </cell>
          <cell r="CG9" t="str">
            <v>Dynamic electricals</v>
          </cell>
          <cell r="CH9" t="str">
            <v>AM cooling soultions</v>
          </cell>
          <cell r="CJ9">
            <v>45435</v>
          </cell>
          <cell r="CK9">
            <v>45435</v>
          </cell>
          <cell r="CL9">
            <v>45435</v>
          </cell>
          <cell r="CN9">
            <v>45450</v>
          </cell>
          <cell r="CO9">
            <v>45453</v>
          </cell>
          <cell r="CP9">
            <v>45450</v>
          </cell>
          <cell r="CQ9">
            <v>45451</v>
          </cell>
          <cell r="CR9">
            <v>45461</v>
          </cell>
          <cell r="CS9">
            <v>45454</v>
          </cell>
          <cell r="CT9">
            <v>45460</v>
          </cell>
          <cell r="CU9">
            <v>45463</v>
          </cell>
          <cell r="CV9">
            <v>45458</v>
          </cell>
          <cell r="DA9" t="str">
            <v>WO Done RA1 Pending</v>
          </cell>
          <cell r="DB9" t="str">
            <v>WO Done RA1 Pending</v>
          </cell>
          <cell r="DC9" t="str">
            <v>WO Done RA1 Pending</v>
          </cell>
          <cell r="DD9">
            <v>45428</v>
          </cell>
          <cell r="DE9">
            <v>60</v>
          </cell>
          <cell r="DF9">
            <v>45496</v>
          </cell>
          <cell r="DG9" t="str">
            <v>10. Launched</v>
          </cell>
          <cell r="DJ9" t="str">
            <v/>
          </cell>
          <cell r="DK9">
            <v>45436</v>
          </cell>
          <cell r="DN9" t="str">
            <v xml:space="preserve">1. LOA issues Mobilizatio pending
2. Site specific drawings WIP </v>
          </cell>
          <cell r="DP9">
            <v>45438</v>
          </cell>
          <cell r="DQ9">
            <v>45442</v>
          </cell>
          <cell r="DR9">
            <v>35</v>
          </cell>
          <cell r="DS9">
            <v>45</v>
          </cell>
          <cell r="DU9">
            <v>45477</v>
          </cell>
          <cell r="DV9">
            <v>45487</v>
          </cell>
          <cell r="DW9">
            <v>45477</v>
          </cell>
          <cell r="DX9" t="str">
            <v>July 24 Week 1</v>
          </cell>
          <cell r="DY9">
            <v>45479</v>
          </cell>
          <cell r="DZ9">
            <v>45483</v>
          </cell>
          <cell r="EA9" t="str">
            <v>July 24 Week 2</v>
          </cell>
          <cell r="EB9" t="str">
            <v>Backlog</v>
          </cell>
          <cell r="ED9" t="str">
            <v/>
          </cell>
          <cell r="EE9" t="str">
            <v/>
          </cell>
          <cell r="EF9">
            <v>1</v>
          </cell>
          <cell r="EG9">
            <v>1</v>
          </cell>
          <cell r="EJ9">
            <v>45449</v>
          </cell>
          <cell r="EM9">
            <v>45456</v>
          </cell>
          <cell r="EP9">
            <v>45463</v>
          </cell>
          <cell r="ES9">
            <v>45470</v>
          </cell>
          <cell r="EV9">
            <v>45477</v>
          </cell>
          <cell r="FD9">
            <v>6</v>
          </cell>
          <cell r="FE9" t="str">
            <v>4 to 7 Days</v>
          </cell>
          <cell r="FF9">
            <v>10</v>
          </cell>
          <cell r="FG9" t="str">
            <v>8 to 15 Days</v>
          </cell>
          <cell r="FH9" t="str">
            <v>Done</v>
          </cell>
          <cell r="FI9" t="str">
            <v>Done</v>
          </cell>
          <cell r="FJ9">
            <v>45502</v>
          </cell>
          <cell r="FK9">
            <v>45489</v>
          </cell>
          <cell r="FM9" t="str">
            <v/>
          </cell>
          <cell r="FZ9" t="str">
            <v>Video Call Done on 10-06-2024
ELE:- Conduiting work-Done
           Switches installation - Done
           Earthing -WIP
           DB Dressing/Termination-Done
          LT Panel Installation - Done
           Light Installation -Done
Civil :-Kitchen /BOH area Partition Done
           LOFT Work -Done
           Hung Partition/BWS Glass installation -Done
           Front Glass door with takeway window installation Done
Structure : MS Structure for LOFT Done
                      Valence Wall Framing Done
HVAC :- Cu Piping Done
               Ducting -Done
               IDU &amp; ODU installation Done
Plumbing :- Done
FIM: KIT 1 - Delivered
Toughened Glass -Delivered
LOFT Material-Exp to deliver on 10-06-2024
Callouts: IT Lock &amp; Key Received on 08-06-2024
                   SLP Callout Received on 18-06-2024
                   Stabilizer Installation Callout received  0n 24-06-2024
                     Pest Control Certificate awaited
              Fire Extinguisher certificate submitted on 25-06-2024
 Ro instllation Callout received on 27-06-2024
Inverter Installation Callout received on 03-07-2024
Kitchen Eqp testing and commissiong callout/Bluestar Freezer callout received on 02-07-2024
 Kitchen SS EQP Dispatch callout received on 25-06-2024
Change Note Scope shared to business on 18-06-2024
Pest control certificate submitted on 04-07-2024
Fixture Installation WIP From -01-07-2024</v>
          </cell>
          <cell r="GA9">
            <v>45451</v>
          </cell>
          <cell r="GB9">
            <v>45467</v>
          </cell>
          <cell r="GC9">
            <v>45471</v>
          </cell>
          <cell r="GD9">
            <v>45483</v>
          </cell>
          <cell r="GG9" t="str">
            <v>2024-2025</v>
          </cell>
        </row>
        <row r="10">
          <cell r="E10" t="str">
            <v>Arihant Aura</v>
          </cell>
          <cell r="F10" t="str">
            <v>10. Launched</v>
          </cell>
          <cell r="G10" t="str">
            <v>NA</v>
          </cell>
          <cell r="H10" t="str">
            <v>_</v>
          </cell>
          <cell r="I10" t="str">
            <v>_</v>
          </cell>
          <cell r="J10" t="str">
            <v>QH8W</v>
          </cell>
          <cell r="K10" t="str">
            <v>W</v>
          </cell>
          <cell r="L10" t="str">
            <v>BK</v>
          </cell>
          <cell r="N10" t="str">
            <v>Sh Nitin Dawange</v>
          </cell>
          <cell r="O10" t="str">
            <v>Sh Nitin Dawange</v>
          </cell>
          <cell r="P10" t="str">
            <v>Sh. Rajesh Gavale</v>
          </cell>
          <cell r="Q10" t="str">
            <v>Arju Tiwari</v>
          </cell>
          <cell r="R10" t="str">
            <v>Parth Sharma</v>
          </cell>
          <cell r="S10" t="str">
            <v>Maharashtra</v>
          </cell>
          <cell r="T10" t="str">
            <v>Mumbai</v>
          </cell>
          <cell r="U10" t="str">
            <v>Premium</v>
          </cell>
          <cell r="V10" t="str">
            <v>Misc Formats</v>
          </cell>
          <cell r="W10">
            <v>1051</v>
          </cell>
          <cell r="X10" t="str">
            <v>Shop No.1A, Arihant AuraThane - Belapur Rd, Turbhe MIDC, Turbhe, Navi Mumbai, Maharashtra 400705</v>
          </cell>
          <cell r="Z10" t="str">
            <v>Done</v>
          </cell>
          <cell r="AB10">
            <v>45152</v>
          </cell>
          <cell r="AC10">
            <v>45157</v>
          </cell>
          <cell r="AD10">
            <v>45159</v>
          </cell>
          <cell r="AE10">
            <v>45160</v>
          </cell>
          <cell r="AF10" t="str">
            <v>SDR DONE</v>
          </cell>
          <cell r="AG10">
            <v>2</v>
          </cell>
          <cell r="AH10" t="str">
            <v>_</v>
          </cell>
          <cell r="AJ10">
            <v>6</v>
          </cell>
          <cell r="AK10">
            <v>45365</v>
          </cell>
          <cell r="AL10" t="str">
            <v>Received</v>
          </cell>
          <cell r="AM10">
            <v>201</v>
          </cell>
          <cell r="AO10">
            <v>45368</v>
          </cell>
          <cell r="AP10">
            <v>45181</v>
          </cell>
          <cell r="AR10">
            <v>45181</v>
          </cell>
          <cell r="AS10">
            <v>-187</v>
          </cell>
          <cell r="AT10" t="str">
            <v>Received</v>
          </cell>
          <cell r="AU10">
            <v>45369</v>
          </cell>
          <cell r="AV10" t="str">
            <v>NA</v>
          </cell>
          <cell r="AW10" t="str">
            <v>NA</v>
          </cell>
          <cell r="AX10" t="str">
            <v>NA</v>
          </cell>
          <cell r="AZ10" t="str">
            <v>Received</v>
          </cell>
          <cell r="BA10">
            <v>45370</v>
          </cell>
          <cell r="BB10">
            <v>45188</v>
          </cell>
          <cell r="BC10">
            <v>0</v>
          </cell>
          <cell r="BD10">
            <v>45188</v>
          </cell>
          <cell r="BE10">
            <v>-182</v>
          </cell>
          <cell r="BF10" t="str">
            <v>Received</v>
          </cell>
          <cell r="BG10">
            <v>45370</v>
          </cell>
          <cell r="BH10">
            <v>45194</v>
          </cell>
          <cell r="BJ10">
            <v>45194</v>
          </cell>
          <cell r="BK10">
            <v>-176</v>
          </cell>
          <cell r="BL10" t="str">
            <v>Received</v>
          </cell>
          <cell r="BM10">
            <v>45368</v>
          </cell>
          <cell r="BN10">
            <v>45168</v>
          </cell>
          <cell r="BO10" t="str">
            <v>Received</v>
          </cell>
          <cell r="BP10">
            <v>45368</v>
          </cell>
          <cell r="BQ10">
            <v>45169</v>
          </cell>
          <cell r="BR10" t="str">
            <v>Received</v>
          </cell>
          <cell r="BT10">
            <v>45178</v>
          </cell>
          <cell r="BU10" t="str">
            <v>Received</v>
          </cell>
          <cell r="BV10" t="str">
            <v>Done</v>
          </cell>
          <cell r="BW10" t="str">
            <v>09-10-2023</v>
          </cell>
          <cell r="BX10">
            <v>45225</v>
          </cell>
          <cell r="BY10" t="str">
            <v>Done</v>
          </cell>
          <cell r="CD10" t="str">
            <v>Done</v>
          </cell>
          <cell r="CE10">
            <v>45349</v>
          </cell>
          <cell r="CF10" t="str">
            <v>3desire</v>
          </cell>
          <cell r="CG10" t="str">
            <v>3desire</v>
          </cell>
          <cell r="CH10" t="str">
            <v>Aecon Airconditioning</v>
          </cell>
          <cell r="CJ10">
            <v>45349</v>
          </cell>
          <cell r="CK10">
            <v>45349</v>
          </cell>
          <cell r="CL10">
            <v>45355</v>
          </cell>
          <cell r="CN10">
            <v>45371</v>
          </cell>
          <cell r="CO10">
            <v>45364</v>
          </cell>
          <cell r="CP10">
            <v>45363</v>
          </cell>
          <cell r="CR10">
            <v>45366</v>
          </cell>
          <cell r="CS10">
            <v>45364</v>
          </cell>
          <cell r="DA10" t="str">
            <v>WO Done RA1 Pending</v>
          </cell>
          <cell r="DB10" t="str">
            <v>WO Done RA1 Pending</v>
          </cell>
          <cell r="DC10" t="str">
            <v>WO Done RA1 Pending</v>
          </cell>
          <cell r="DD10">
            <v>45348</v>
          </cell>
          <cell r="DE10">
            <v>90</v>
          </cell>
          <cell r="DF10">
            <v>45440</v>
          </cell>
          <cell r="DG10" t="str">
            <v>10. Launched</v>
          </cell>
          <cell r="DJ10" t="str">
            <v/>
          </cell>
          <cell r="DK10">
            <v>45350</v>
          </cell>
          <cell r="DP10">
            <v>45352</v>
          </cell>
          <cell r="DQ10">
            <v>45353</v>
          </cell>
          <cell r="DR10">
            <v>35</v>
          </cell>
          <cell r="DS10">
            <v>45</v>
          </cell>
          <cell r="DU10">
            <v>45388</v>
          </cell>
          <cell r="DV10">
            <v>45398</v>
          </cell>
          <cell r="DW10">
            <v>45388</v>
          </cell>
          <cell r="DX10" t="str">
            <v>April 24 Week 1</v>
          </cell>
          <cell r="DY10" t="str">
            <v/>
          </cell>
          <cell r="DZ10">
            <v>45390</v>
          </cell>
          <cell r="EA10" t="str">
            <v>April 24 Week 2</v>
          </cell>
          <cell r="EB10" t="str">
            <v>Backlog</v>
          </cell>
          <cell r="ED10" t="str">
            <v/>
          </cell>
          <cell r="EE10" t="str">
            <v/>
          </cell>
          <cell r="EF10">
            <v>1</v>
          </cell>
          <cell r="EG10">
            <v>1</v>
          </cell>
          <cell r="EI10" t="str">
            <v>1. LL confirmation on collapsable shutter and installation of in line fan.</v>
          </cell>
          <cell r="EJ10">
            <v>45360</v>
          </cell>
          <cell r="EM10">
            <v>45367</v>
          </cell>
          <cell r="EP10">
            <v>45374</v>
          </cell>
          <cell r="ES10">
            <v>45381</v>
          </cell>
          <cell r="EV10">
            <v>45388</v>
          </cell>
          <cell r="FD10">
            <v>2</v>
          </cell>
          <cell r="FE10" t="str">
            <v>0 to 3 Days</v>
          </cell>
          <cell r="FF10">
            <v>3</v>
          </cell>
          <cell r="FG10" t="str">
            <v>0 to 3 Days</v>
          </cell>
          <cell r="FH10" t="str">
            <v>Done</v>
          </cell>
          <cell r="FI10" t="str">
            <v>Done</v>
          </cell>
          <cell r="FJ10" t="str">
            <v>Done</v>
          </cell>
          <cell r="FK10">
            <v>45405</v>
          </cell>
          <cell r="FM10" t="str">
            <v/>
          </cell>
          <cell r="GA10">
            <v>45364</v>
          </cell>
          <cell r="GB10">
            <v>45379</v>
          </cell>
          <cell r="GC10">
            <v>45383</v>
          </cell>
          <cell r="GF10" t="str">
            <v>SEVEBK44</v>
          </cell>
          <cell r="GG10" t="str">
            <v>2024-2025</v>
          </cell>
        </row>
        <row r="11">
          <cell r="E11" t="str">
            <v>Ashapuradham, Sanpada</v>
          </cell>
          <cell r="F11" t="str">
            <v>10. Launched</v>
          </cell>
          <cell r="G11" t="str">
            <v>NA</v>
          </cell>
          <cell r="H11" t="str">
            <v>MU-SM-GMU-620</v>
          </cell>
          <cell r="I11" t="str">
            <v>_</v>
          </cell>
          <cell r="J11" t="str">
            <v>Q1I6</v>
          </cell>
          <cell r="K11" t="str">
            <v>W</v>
          </cell>
          <cell r="L11" t="str">
            <v>BK</v>
          </cell>
          <cell r="N11" t="str">
            <v>Sh Sanjiv Johari</v>
          </cell>
          <cell r="O11" t="str">
            <v>Sh. Atul M Sawant</v>
          </cell>
          <cell r="P11" t="str">
            <v>Sh. Rajesh Gavale</v>
          </cell>
          <cell r="Q11" t="str">
            <v>Shahaji Gohatre</v>
          </cell>
          <cell r="R11" t="str">
            <v>Parth Sharma</v>
          </cell>
          <cell r="S11" t="str">
            <v>Maharashtra</v>
          </cell>
          <cell r="T11" t="str">
            <v>Navi Mumbai</v>
          </cell>
          <cell r="U11" t="str">
            <v>Premium</v>
          </cell>
          <cell r="V11" t="str">
            <v>Misc Formats</v>
          </cell>
          <cell r="W11">
            <v>740</v>
          </cell>
          <cell r="X11" t="str">
            <v>Shop no. 26/27,Ground Floor, Ashapuradham CHS, Plot No.3, Sector-16, Next to Moraj Residency, Sanpada, Navi Mumbai, 400705</v>
          </cell>
          <cell r="Z11" t="str">
            <v>Done</v>
          </cell>
          <cell r="AB11">
            <v>44743</v>
          </cell>
          <cell r="AC11">
            <v>44750</v>
          </cell>
          <cell r="AD11">
            <v>44756</v>
          </cell>
          <cell r="AE11">
            <v>44756</v>
          </cell>
          <cell r="AF11" t="str">
            <v>SDR DONE</v>
          </cell>
          <cell r="AG11">
            <v>8</v>
          </cell>
          <cell r="AH11" t="str">
            <v>_</v>
          </cell>
          <cell r="AI11">
            <v>44776</v>
          </cell>
          <cell r="AJ11">
            <v>1</v>
          </cell>
          <cell r="AK11">
            <v>44780</v>
          </cell>
          <cell r="AL11" t="str">
            <v>Received</v>
          </cell>
          <cell r="AM11">
            <v>19</v>
          </cell>
          <cell r="AO11">
            <v>44783</v>
          </cell>
          <cell r="AP11">
            <v>44844</v>
          </cell>
          <cell r="AR11">
            <v>44805</v>
          </cell>
          <cell r="AS11">
            <v>22</v>
          </cell>
          <cell r="AT11" t="str">
            <v>Received</v>
          </cell>
          <cell r="AU11">
            <v>44784</v>
          </cell>
          <cell r="AV11" t="str">
            <v>NA</v>
          </cell>
          <cell r="AW11" t="str">
            <v>NA</v>
          </cell>
          <cell r="AX11" t="str">
            <v>NA</v>
          </cell>
          <cell r="AZ11" t="str">
            <v>Received</v>
          </cell>
          <cell r="BA11">
            <v>44785</v>
          </cell>
          <cell r="BB11">
            <v>44812</v>
          </cell>
          <cell r="BC11">
            <v>0</v>
          </cell>
          <cell r="BD11">
            <v>44812</v>
          </cell>
          <cell r="BF11" t="str">
            <v>Received</v>
          </cell>
          <cell r="BG11">
            <v>44785</v>
          </cell>
          <cell r="BH11">
            <v>44794</v>
          </cell>
          <cell r="BJ11">
            <v>44794</v>
          </cell>
          <cell r="BK11">
            <v>8</v>
          </cell>
          <cell r="BL11" t="str">
            <v>Received</v>
          </cell>
          <cell r="BM11">
            <v>44783</v>
          </cell>
          <cell r="BN11">
            <v>44778</v>
          </cell>
          <cell r="BO11" t="str">
            <v>Received</v>
          </cell>
          <cell r="BP11">
            <v>44783</v>
          </cell>
          <cell r="BQ11">
            <v>44789</v>
          </cell>
          <cell r="BR11" t="str">
            <v>Received</v>
          </cell>
          <cell r="BT11">
            <v>44827</v>
          </cell>
          <cell r="BU11" t="str">
            <v>Received</v>
          </cell>
          <cell r="BV11" t="str">
            <v>Done</v>
          </cell>
          <cell r="BW11" t="str">
            <v>11-12-2021</v>
          </cell>
          <cell r="BX11">
            <v>44544</v>
          </cell>
          <cell r="BY11" t="str">
            <v>Done</v>
          </cell>
          <cell r="CD11" t="str">
            <v>Done</v>
          </cell>
          <cell r="CE11">
            <v>44783</v>
          </cell>
          <cell r="CF11" t="str">
            <v>CSS</v>
          </cell>
          <cell r="CG11" t="str">
            <v>CSS</v>
          </cell>
          <cell r="CH11" t="str">
            <v>Weather Guard</v>
          </cell>
          <cell r="CJ11">
            <v>44783</v>
          </cell>
          <cell r="CK11">
            <v>44782</v>
          </cell>
          <cell r="CN11" t="str">
            <v/>
          </cell>
          <cell r="CO11" t="str">
            <v/>
          </cell>
          <cell r="CP11" t="str">
            <v/>
          </cell>
          <cell r="CR11" t="str">
            <v/>
          </cell>
          <cell r="DD11">
            <v>44770</v>
          </cell>
          <cell r="DG11" t="str">
            <v>10. Launched</v>
          </cell>
          <cell r="DJ11" t="str">
            <v/>
          </cell>
          <cell r="DK11">
            <v>44781</v>
          </cell>
          <cell r="DP11">
            <v>44783</v>
          </cell>
          <cell r="DQ11">
            <v>44784</v>
          </cell>
          <cell r="DR11">
            <v>35</v>
          </cell>
          <cell r="DS11">
            <v>45</v>
          </cell>
          <cell r="DU11">
            <v>44819</v>
          </cell>
          <cell r="DV11">
            <v>44829</v>
          </cell>
          <cell r="DW11">
            <v>44819</v>
          </cell>
          <cell r="DY11" t="str">
            <v/>
          </cell>
          <cell r="DZ11">
            <v>44858</v>
          </cell>
          <cell r="ED11" t="str">
            <v/>
          </cell>
          <cell r="EE11" t="str">
            <v/>
          </cell>
          <cell r="EF11">
            <v>1</v>
          </cell>
          <cell r="EG11">
            <v>1</v>
          </cell>
          <cell r="EJ11">
            <v>44791</v>
          </cell>
          <cell r="EM11">
            <v>44798</v>
          </cell>
          <cell r="EP11">
            <v>44805</v>
          </cell>
          <cell r="ES11">
            <v>44812</v>
          </cell>
          <cell r="EV11">
            <v>44819</v>
          </cell>
          <cell r="FD11">
            <v>39</v>
          </cell>
          <cell r="FE11" t="str">
            <v>31 to 61 Days</v>
          </cell>
          <cell r="FF11">
            <v>40</v>
          </cell>
          <cell r="FG11" t="str">
            <v>31 to 61 Days</v>
          </cell>
          <cell r="FH11" t="str">
            <v>Done</v>
          </cell>
          <cell r="FI11" t="str">
            <v>Done</v>
          </cell>
          <cell r="FJ11" t="str">
            <v>Done</v>
          </cell>
          <cell r="FM11" t="str">
            <v/>
          </cell>
          <cell r="GG11" t="str">
            <v>2022-2023</v>
          </cell>
        </row>
        <row r="12">
          <cell r="E12" t="str">
            <v>Ashirwad High Street</v>
          </cell>
          <cell r="F12" t="str">
            <v>11. HOLD</v>
          </cell>
          <cell r="G12" t="str">
            <v>SEVEBK10609</v>
          </cell>
          <cell r="H12" t="str">
            <v>_</v>
          </cell>
          <cell r="I12" t="str">
            <v>_</v>
          </cell>
          <cell r="K12" t="str">
            <v>W</v>
          </cell>
          <cell r="L12" t="str">
            <v>BK</v>
          </cell>
          <cell r="N12" t="str">
            <v>Sh Mrudang Shah</v>
          </cell>
          <cell r="O12" t="str">
            <v/>
          </cell>
          <cell r="P12" t="str">
            <v/>
          </cell>
          <cell r="Q12" t="str">
            <v>Shahaji Gohatre</v>
          </cell>
          <cell r="R12" t="str">
            <v>Parth Sharma</v>
          </cell>
          <cell r="S12" t="str">
            <v>Gujarat</v>
          </cell>
          <cell r="T12" t="str">
            <v>Surat</v>
          </cell>
          <cell r="U12" t="str">
            <v>Premium</v>
          </cell>
          <cell r="V12" t="str">
            <v>Misc Formats</v>
          </cell>
          <cell r="W12" t="str">
            <v/>
          </cell>
          <cell r="X12" t="str">
            <v>Ashirwad High Street</v>
          </cell>
          <cell r="Z12" t="str">
            <v>_</v>
          </cell>
          <cell r="AB12" t="str">
            <v/>
          </cell>
          <cell r="AF12" t="str">
            <v/>
          </cell>
          <cell r="AG12" t="str">
            <v/>
          </cell>
          <cell r="AH12" t="str">
            <v>_</v>
          </cell>
          <cell r="AL12" t="str">
            <v>Pending</v>
          </cell>
          <cell r="BJ12" t="str">
            <v/>
          </cell>
          <cell r="BN12" t="str">
            <v/>
          </cell>
          <cell r="BW12" t="str">
            <v/>
          </cell>
          <cell r="CE12" t="str">
            <v/>
          </cell>
          <cell r="CF12" t="str">
            <v/>
          </cell>
          <cell r="CG12" t="str">
            <v/>
          </cell>
          <cell r="CH12" t="str">
            <v/>
          </cell>
          <cell r="CN12" t="str">
            <v/>
          </cell>
          <cell r="CO12" t="str">
            <v/>
          </cell>
          <cell r="CP12" t="str">
            <v/>
          </cell>
          <cell r="CR12" t="str">
            <v/>
          </cell>
          <cell r="DG12" t="str">
            <v>11. HOLD</v>
          </cell>
          <cell r="DJ12" t="str">
            <v/>
          </cell>
          <cell r="DP12" t="str">
            <v/>
          </cell>
          <cell r="DR12">
            <v>35</v>
          </cell>
          <cell r="DS12">
            <v>45</v>
          </cell>
          <cell r="DX12" t="str">
            <v/>
          </cell>
          <cell r="DY12" t="str">
            <v/>
          </cell>
          <cell r="EA12" t="str">
            <v/>
          </cell>
          <cell r="ED12" t="str">
            <v/>
          </cell>
          <cell r="EE12" t="str">
            <v/>
          </cell>
          <cell r="FM12" t="str">
            <v/>
          </cell>
          <cell r="GG12" t="str">
            <v>2026-2027</v>
          </cell>
        </row>
        <row r="13">
          <cell r="E13" t="str">
            <v>Atlanta III</v>
          </cell>
          <cell r="F13" t="str">
            <v>14. Dropped</v>
          </cell>
          <cell r="G13" t="str">
            <v>NA</v>
          </cell>
          <cell r="H13" t="str">
            <v>_</v>
          </cell>
          <cell r="I13" t="str">
            <v>_</v>
          </cell>
          <cell r="K13" t="str">
            <v>W</v>
          </cell>
          <cell r="L13" t="str">
            <v>BK</v>
          </cell>
          <cell r="N13" t="str">
            <v>Sh Shashi Pardesi</v>
          </cell>
          <cell r="O13" t="str">
            <v>Sh. Ashish M</v>
          </cell>
          <cell r="P13" t="str">
            <v/>
          </cell>
          <cell r="Q13" t="str">
            <v>Shahaji Gohatre</v>
          </cell>
          <cell r="R13" t="str">
            <v>Parth Sharma</v>
          </cell>
          <cell r="S13" t="str">
            <v>Maharashtra</v>
          </cell>
          <cell r="T13" t="str">
            <v>Pune</v>
          </cell>
          <cell r="U13" t="str">
            <v>Premium</v>
          </cell>
          <cell r="V13" t="str">
            <v>Misc Formats</v>
          </cell>
          <cell r="W13">
            <v>1344</v>
          </cell>
          <cell r="X13" t="str">
            <v>Shop No. 19,20 &amp; 21 Ground &amp; Mezzanine Floor, 53/1 &amp; 2, New Wakad - Hinjewadi Link Rd, near Indian Oil Petrol Pump, Hinjewadi Village, Wakad, Pimpri-Chinchwad, Maharashtra 411057</v>
          </cell>
          <cell r="Z13" t="str">
            <v>_</v>
          </cell>
          <cell r="AB13">
            <v>45176</v>
          </cell>
          <cell r="AC13">
            <v>45181</v>
          </cell>
          <cell r="AD13">
            <v>45190</v>
          </cell>
          <cell r="AE13">
            <v>45191</v>
          </cell>
          <cell r="AF13" t="str">
            <v>SDR DONE</v>
          </cell>
          <cell r="AG13">
            <v>9</v>
          </cell>
          <cell r="AH13" t="str">
            <v>_</v>
          </cell>
          <cell r="AL13" t="str">
            <v>Pending</v>
          </cell>
          <cell r="AM13">
            <v>982</v>
          </cell>
          <cell r="BJ13" t="str">
            <v/>
          </cell>
          <cell r="BN13" t="str">
            <v/>
          </cell>
          <cell r="BW13" t="str">
            <v/>
          </cell>
          <cell r="CE13" t="str">
            <v/>
          </cell>
          <cell r="CF13" t="str">
            <v/>
          </cell>
          <cell r="CG13" t="str">
            <v/>
          </cell>
          <cell r="CH13" t="str">
            <v/>
          </cell>
          <cell r="CN13" t="str">
            <v/>
          </cell>
          <cell r="CO13" t="str">
            <v/>
          </cell>
          <cell r="CP13" t="str">
            <v/>
          </cell>
          <cell r="CR13" t="str">
            <v/>
          </cell>
          <cell r="DG13" t="str">
            <v>14. Dropped</v>
          </cell>
          <cell r="DJ13" t="str">
            <v/>
          </cell>
          <cell r="DP13" t="str">
            <v/>
          </cell>
          <cell r="DR13">
            <v>35</v>
          </cell>
          <cell r="DS13">
            <v>45</v>
          </cell>
          <cell r="DX13" t="str">
            <v/>
          </cell>
          <cell r="DY13" t="str">
            <v/>
          </cell>
          <cell r="EA13" t="str">
            <v/>
          </cell>
          <cell r="ED13" t="str">
            <v/>
          </cell>
          <cell r="EE13" t="str">
            <v/>
          </cell>
          <cell r="FM13" t="str">
            <v/>
          </cell>
          <cell r="GG13" t="str">
            <v>2024-2025</v>
          </cell>
        </row>
        <row r="14">
          <cell r="E14" t="str">
            <v>Aum Supreme, Kalyan</v>
          </cell>
          <cell r="F14" t="str">
            <v>11. HOLD</v>
          </cell>
          <cell r="G14" t="str">
            <v>SEVEBK10611</v>
          </cell>
          <cell r="H14" t="str">
            <v>_</v>
          </cell>
          <cell r="I14" t="str">
            <v>_</v>
          </cell>
          <cell r="K14" t="str">
            <v>W</v>
          </cell>
          <cell r="L14" t="str">
            <v>BK</v>
          </cell>
          <cell r="N14" t="str">
            <v>Sh Nitin Dawange</v>
          </cell>
          <cell r="O14" t="str">
            <v>Sh Nitin Dawange</v>
          </cell>
          <cell r="P14" t="str">
            <v/>
          </cell>
          <cell r="Q14" t="str">
            <v>Shahaji Gohatre</v>
          </cell>
          <cell r="R14" t="str">
            <v>Parth Sharma</v>
          </cell>
          <cell r="S14" t="str">
            <v>Maharashtra</v>
          </cell>
          <cell r="T14" t="str">
            <v>Mumbai</v>
          </cell>
          <cell r="U14" t="str">
            <v>Premium</v>
          </cell>
          <cell r="V14" t="str">
            <v>Misc Formats</v>
          </cell>
          <cell r="W14" t="str">
            <v/>
          </cell>
          <cell r="X14" t="str">
            <v>Shop No 11, Ground Floor, Aum Supreme Chs, Near D- Mart, Bail Bazar, Kalyan West 421301</v>
          </cell>
          <cell r="Z14" t="str">
            <v>_</v>
          </cell>
          <cell r="AB14">
            <v>45044</v>
          </cell>
          <cell r="AF14" t="str">
            <v>SITE NOT READY FOR SDR</v>
          </cell>
          <cell r="AG14">
            <v>1128</v>
          </cell>
          <cell r="AH14" t="str">
            <v>_</v>
          </cell>
          <cell r="AL14" t="str">
            <v>Pending</v>
          </cell>
          <cell r="BJ14" t="str">
            <v/>
          </cell>
          <cell r="BN14" t="str">
            <v/>
          </cell>
          <cell r="BW14" t="str">
            <v/>
          </cell>
          <cell r="CE14" t="str">
            <v/>
          </cell>
          <cell r="CF14" t="str">
            <v/>
          </cell>
          <cell r="CG14" t="str">
            <v/>
          </cell>
          <cell r="CH14" t="str">
            <v/>
          </cell>
          <cell r="CN14" t="str">
            <v/>
          </cell>
          <cell r="CO14" t="str">
            <v/>
          </cell>
          <cell r="CP14" t="str">
            <v/>
          </cell>
          <cell r="CR14" t="str">
            <v/>
          </cell>
          <cell r="DG14" t="str">
            <v>11. HOLD</v>
          </cell>
          <cell r="DJ14" t="str">
            <v/>
          </cell>
          <cell r="DP14" t="str">
            <v/>
          </cell>
          <cell r="DR14">
            <v>35</v>
          </cell>
          <cell r="DS14">
            <v>45</v>
          </cell>
          <cell r="DX14" t="str">
            <v/>
          </cell>
          <cell r="DY14" t="str">
            <v/>
          </cell>
          <cell r="EA14" t="str">
            <v/>
          </cell>
          <cell r="ED14" t="str">
            <v/>
          </cell>
          <cell r="EE14" t="str">
            <v/>
          </cell>
          <cell r="FM14" t="str">
            <v/>
          </cell>
          <cell r="GG14" t="str">
            <v>2026-2027</v>
          </cell>
        </row>
        <row r="15">
          <cell r="E15" t="str">
            <v>Aurum Q2</v>
          </cell>
          <cell r="F15" t="str">
            <v>14. Dropped</v>
          </cell>
          <cell r="G15" t="str">
            <v>NA</v>
          </cell>
          <cell r="H15" t="str">
            <v>_</v>
          </cell>
          <cell r="I15" t="str">
            <v>_</v>
          </cell>
          <cell r="K15" t="str">
            <v>W</v>
          </cell>
          <cell r="L15" t="str">
            <v>BK</v>
          </cell>
          <cell r="N15" t="str">
            <v>Sh Mrudang Shah</v>
          </cell>
          <cell r="O15" t="str">
            <v>Sh Nitin Dawange</v>
          </cell>
          <cell r="P15" t="str">
            <v/>
          </cell>
          <cell r="Q15" t="str">
            <v>Shahaji Gohatre</v>
          </cell>
          <cell r="R15" t="str">
            <v>Parth Sharma</v>
          </cell>
          <cell r="S15" t="str">
            <v>Maharashtra</v>
          </cell>
          <cell r="T15" t="str">
            <v>Navi Mumbai</v>
          </cell>
          <cell r="U15" t="str">
            <v>Premium</v>
          </cell>
          <cell r="V15" t="str">
            <v>Misc Formats</v>
          </cell>
          <cell r="W15">
            <v>829.04</v>
          </cell>
          <cell r="X15" t="str">
            <v>Aurum Q2 Park, Thane – Belapur Road, Next to RCP, Ghansoli, Navi Mumbai 400710</v>
          </cell>
          <cell r="Z15" t="str">
            <v>_</v>
          </cell>
          <cell r="AB15">
            <v>45264</v>
          </cell>
          <cell r="AC15">
            <v>45265</v>
          </cell>
          <cell r="AD15">
            <v>45271</v>
          </cell>
          <cell r="AE15">
            <v>45271</v>
          </cell>
          <cell r="AF15" t="str">
            <v>SDR DONE</v>
          </cell>
          <cell r="AG15">
            <v>2</v>
          </cell>
          <cell r="AH15" t="str">
            <v>_</v>
          </cell>
          <cell r="AJ15">
            <v>1</v>
          </cell>
          <cell r="AK15">
            <v>45300</v>
          </cell>
          <cell r="AL15" t="str">
            <v>Received</v>
          </cell>
          <cell r="AM15">
            <v>24</v>
          </cell>
          <cell r="AO15">
            <v>45303</v>
          </cell>
          <cell r="AP15">
            <v>45327</v>
          </cell>
          <cell r="AR15">
            <v>45327</v>
          </cell>
          <cell r="AS15">
            <v>24</v>
          </cell>
          <cell r="AU15">
            <v>45304</v>
          </cell>
          <cell r="AV15">
            <v>45330</v>
          </cell>
          <cell r="BA15">
            <v>45305</v>
          </cell>
          <cell r="BB15">
            <v>45315</v>
          </cell>
          <cell r="BD15">
            <v>45327</v>
          </cell>
          <cell r="BE15">
            <v>21</v>
          </cell>
          <cell r="BG15">
            <v>45305</v>
          </cell>
          <cell r="BH15">
            <v>45316</v>
          </cell>
          <cell r="BJ15">
            <v>45316</v>
          </cell>
          <cell r="BK15">
            <v>10</v>
          </cell>
          <cell r="BM15">
            <v>45303</v>
          </cell>
          <cell r="BN15">
            <v>45301</v>
          </cell>
          <cell r="BP15">
            <v>45303</v>
          </cell>
          <cell r="BQ15">
            <v>45314</v>
          </cell>
          <cell r="BR15" t="str">
            <v>Received</v>
          </cell>
          <cell r="BW15" t="str">
            <v>27-02-2024</v>
          </cell>
          <cell r="BY15" t="str">
            <v>Pending</v>
          </cell>
          <cell r="CE15" t="str">
            <v/>
          </cell>
          <cell r="CF15" t="str">
            <v/>
          </cell>
          <cell r="CG15" t="str">
            <v/>
          </cell>
          <cell r="CH15" t="str">
            <v/>
          </cell>
          <cell r="CN15" t="str">
            <v/>
          </cell>
          <cell r="CO15" t="str">
            <v/>
          </cell>
          <cell r="CP15" t="str">
            <v/>
          </cell>
          <cell r="CR15" t="str">
            <v/>
          </cell>
          <cell r="CT15">
            <v>45300</v>
          </cell>
          <cell r="CU15">
            <v>45300</v>
          </cell>
          <cell r="CV15">
            <v>45300</v>
          </cell>
          <cell r="DA15" t="str">
            <v>WO Done RA1 Pending</v>
          </cell>
          <cell r="DB15" t="str">
            <v>WO Done RA1 Pending</v>
          </cell>
          <cell r="DC15" t="str">
            <v>WO Done RA1 Pending</v>
          </cell>
          <cell r="DG15" t="str">
            <v>14. Dropped</v>
          </cell>
          <cell r="DJ15" t="str">
            <v/>
          </cell>
          <cell r="DP15" t="str">
            <v/>
          </cell>
          <cell r="DR15">
            <v>35</v>
          </cell>
          <cell r="DS15">
            <v>45</v>
          </cell>
          <cell r="DX15" t="str">
            <v/>
          </cell>
          <cell r="DY15" t="str">
            <v/>
          </cell>
          <cell r="EA15" t="str">
            <v/>
          </cell>
          <cell r="ED15" t="str">
            <v/>
          </cell>
          <cell r="EE15" t="str">
            <v/>
          </cell>
          <cell r="FM15" t="str">
            <v/>
          </cell>
          <cell r="GG15" t="str">
            <v>2024-2025</v>
          </cell>
        </row>
        <row r="16">
          <cell r="E16" t="str">
            <v>Avadh Kontina</v>
          </cell>
          <cell r="F16" t="str">
            <v>11. HOLD</v>
          </cell>
          <cell r="G16" t="str">
            <v>SEVEBK10612</v>
          </cell>
          <cell r="H16" t="str">
            <v>_</v>
          </cell>
          <cell r="I16" t="str">
            <v>_</v>
          </cell>
          <cell r="K16" t="str">
            <v>W</v>
          </cell>
          <cell r="L16" t="str">
            <v>BK</v>
          </cell>
          <cell r="N16" t="str">
            <v>Sh Mrudang Shah</v>
          </cell>
          <cell r="O16" t="str">
            <v/>
          </cell>
          <cell r="P16" t="str">
            <v/>
          </cell>
          <cell r="Q16" t="str">
            <v>Shahaji Gohatre</v>
          </cell>
          <cell r="R16" t="str">
            <v>Parth Sharma</v>
          </cell>
          <cell r="S16" t="str">
            <v>Gujarat</v>
          </cell>
          <cell r="T16" t="str">
            <v>Surat</v>
          </cell>
          <cell r="U16" t="str">
            <v>Premium</v>
          </cell>
          <cell r="V16" t="str">
            <v>Misc Formats</v>
          </cell>
          <cell r="W16" t="str">
            <v/>
          </cell>
          <cell r="X16" t="str">
            <v>Avadh Kontina</v>
          </cell>
          <cell r="Z16" t="str">
            <v>_</v>
          </cell>
          <cell r="AB16" t="str">
            <v/>
          </cell>
          <cell r="AF16" t="str">
            <v/>
          </cell>
          <cell r="AG16" t="str">
            <v/>
          </cell>
          <cell r="AH16" t="str">
            <v>_</v>
          </cell>
          <cell r="AL16" t="str">
            <v>Received</v>
          </cell>
          <cell r="BJ16" t="str">
            <v/>
          </cell>
          <cell r="BN16" t="str">
            <v/>
          </cell>
          <cell r="BW16" t="str">
            <v/>
          </cell>
          <cell r="CE16" t="str">
            <v/>
          </cell>
          <cell r="CF16" t="str">
            <v/>
          </cell>
          <cell r="CG16" t="str">
            <v/>
          </cell>
          <cell r="CH16" t="str">
            <v/>
          </cell>
          <cell r="CN16" t="str">
            <v/>
          </cell>
          <cell r="CO16" t="str">
            <v/>
          </cell>
          <cell r="CP16" t="str">
            <v/>
          </cell>
          <cell r="CR16" t="str">
            <v/>
          </cell>
          <cell r="DG16" t="str">
            <v>11. HOLD</v>
          </cell>
          <cell r="DJ16" t="str">
            <v/>
          </cell>
          <cell r="DP16" t="str">
            <v/>
          </cell>
          <cell r="DR16">
            <v>35</v>
          </cell>
          <cell r="DS16">
            <v>45</v>
          </cell>
          <cell r="DX16" t="str">
            <v/>
          </cell>
          <cell r="DY16" t="str">
            <v/>
          </cell>
          <cell r="EA16" t="str">
            <v/>
          </cell>
          <cell r="ED16" t="str">
            <v/>
          </cell>
          <cell r="EE16" t="str">
            <v/>
          </cell>
          <cell r="FM16" t="str">
            <v/>
          </cell>
          <cell r="GG16" t="str">
            <v>2026-2027</v>
          </cell>
        </row>
        <row r="17">
          <cell r="E17" t="str">
            <v>Avance-1</v>
          </cell>
          <cell r="F17" t="str">
            <v>14. Dropped</v>
          </cell>
          <cell r="G17" t="str">
            <v>NA</v>
          </cell>
          <cell r="H17" t="str">
            <v>_</v>
          </cell>
          <cell r="I17" t="str">
            <v>_</v>
          </cell>
          <cell r="K17" t="str">
            <v>W</v>
          </cell>
          <cell r="L17" t="str">
            <v>BK</v>
          </cell>
          <cell r="N17" t="str">
            <v>Sh Shashi Pardesi</v>
          </cell>
          <cell r="O17" t="str">
            <v>Sh Ashish M</v>
          </cell>
          <cell r="P17" t="str">
            <v/>
          </cell>
          <cell r="Q17" t="str">
            <v>Shahaji Gohatre</v>
          </cell>
          <cell r="R17" t="str">
            <v>Parth Sharma</v>
          </cell>
          <cell r="S17" t="str">
            <v>Maharashtra</v>
          </cell>
          <cell r="T17" t="str">
            <v>Pune</v>
          </cell>
          <cell r="U17" t="str">
            <v>Premium</v>
          </cell>
          <cell r="V17" t="str">
            <v>Misc Formats</v>
          </cell>
          <cell r="W17">
            <v>906.54</v>
          </cell>
          <cell r="X17" t="str">
            <v>Blue Ridge Town Pune, Phase 1, Hinjawadi Rajiv Gandhi Infotech Park, Hinjawadi</v>
          </cell>
          <cell r="Z17" t="str">
            <v>_</v>
          </cell>
          <cell r="AB17">
            <v>45252</v>
          </cell>
          <cell r="AC17">
            <v>45265</v>
          </cell>
          <cell r="AD17">
            <v>45268</v>
          </cell>
          <cell r="AE17">
            <v>45268</v>
          </cell>
          <cell r="AF17" t="str">
            <v>SDR DONE</v>
          </cell>
          <cell r="AG17">
            <v>11</v>
          </cell>
          <cell r="AH17" t="str">
            <v>_</v>
          </cell>
          <cell r="AJ17">
            <v>3</v>
          </cell>
          <cell r="AK17">
            <v>45442</v>
          </cell>
          <cell r="AL17" t="str">
            <v>Received</v>
          </cell>
          <cell r="AM17">
            <v>169</v>
          </cell>
          <cell r="AO17">
            <v>45445</v>
          </cell>
          <cell r="AR17">
            <v>45462</v>
          </cell>
          <cell r="AS17">
            <v>17</v>
          </cell>
          <cell r="AU17">
            <v>45446</v>
          </cell>
          <cell r="AV17">
            <v>45617</v>
          </cell>
          <cell r="AX17">
            <v>45468</v>
          </cell>
          <cell r="AY17">
            <v>21</v>
          </cell>
          <cell r="BA17">
            <v>45447</v>
          </cell>
          <cell r="BB17">
            <v>45481</v>
          </cell>
          <cell r="BD17">
            <v>45481</v>
          </cell>
          <cell r="BE17">
            <v>33</v>
          </cell>
          <cell r="BF17" t="str">
            <v>PLB received on -08-07-2024
HVAC&amp;FF Received on 30-07-2024</v>
          </cell>
          <cell r="BG17">
            <v>45447</v>
          </cell>
          <cell r="BH17">
            <v>45302</v>
          </cell>
          <cell r="BJ17">
            <v>45516</v>
          </cell>
          <cell r="BK17">
            <v>69</v>
          </cell>
          <cell r="BM17">
            <v>45445</v>
          </cell>
          <cell r="BN17" t="str">
            <v>R0 - 12-10-2023
R1 - 31-05-2024</v>
          </cell>
          <cell r="BP17">
            <v>45445</v>
          </cell>
          <cell r="BR17" t="str">
            <v>Received</v>
          </cell>
          <cell r="BU17" t="str">
            <v>Done</v>
          </cell>
          <cell r="BW17" t="str">
            <v>24-01-2024</v>
          </cell>
          <cell r="BY17" t="str">
            <v>Pending</v>
          </cell>
          <cell r="CE17" t="str">
            <v/>
          </cell>
          <cell r="CF17" t="str">
            <v/>
          </cell>
          <cell r="CG17" t="str">
            <v/>
          </cell>
          <cell r="CH17" t="str">
            <v/>
          </cell>
          <cell r="CN17" t="str">
            <v/>
          </cell>
          <cell r="CO17" t="str">
            <v/>
          </cell>
          <cell r="CP17" t="str">
            <v/>
          </cell>
          <cell r="CR17" t="str">
            <v/>
          </cell>
          <cell r="DG17" t="str">
            <v>14. Dropped</v>
          </cell>
          <cell r="DJ17" t="str">
            <v/>
          </cell>
          <cell r="DP17" t="str">
            <v/>
          </cell>
          <cell r="DR17">
            <v>35</v>
          </cell>
          <cell r="DS17">
            <v>45</v>
          </cell>
          <cell r="DX17" t="str">
            <v/>
          </cell>
          <cell r="DY17" t="str">
            <v/>
          </cell>
          <cell r="EA17" t="str">
            <v/>
          </cell>
          <cell r="ED17" t="str">
            <v/>
          </cell>
          <cell r="EE17" t="str">
            <v/>
          </cell>
          <cell r="FM17" t="str">
            <v/>
          </cell>
          <cell r="GG17" t="str">
            <v>2024-2025</v>
          </cell>
        </row>
        <row r="18">
          <cell r="E18" t="str">
            <v>Azure builiding</v>
          </cell>
          <cell r="F18" t="str">
            <v>14. Dropped</v>
          </cell>
          <cell r="G18" t="str">
            <v>NA</v>
          </cell>
          <cell r="H18" t="str">
            <v>_</v>
          </cell>
          <cell r="I18" t="str">
            <v>_</v>
          </cell>
          <cell r="K18" t="str">
            <v>W</v>
          </cell>
          <cell r="L18" t="str">
            <v>BK</v>
          </cell>
          <cell r="N18" t="str">
            <v>Sh Shashi Pardesi</v>
          </cell>
          <cell r="O18" t="str">
            <v>Sh Shashi Pardesi</v>
          </cell>
          <cell r="P18" t="str">
            <v/>
          </cell>
          <cell r="Q18" t="str">
            <v>Shahaji Gohatre</v>
          </cell>
          <cell r="R18" t="str">
            <v>Parth Sharma</v>
          </cell>
          <cell r="S18" t="str">
            <v>Maharashtra</v>
          </cell>
          <cell r="T18" t="str">
            <v>Mumbai</v>
          </cell>
          <cell r="U18" t="str">
            <v>Premium</v>
          </cell>
          <cell r="V18" t="str">
            <v>Misc Formats</v>
          </cell>
          <cell r="W18">
            <v>1380</v>
          </cell>
          <cell r="X18" t="str">
            <v>Shop No 34, Azure, Building C, S No 84/1B, 84/2B, 84/3B (part), 84/4 (part), Tathawade, Pune 411033</v>
          </cell>
          <cell r="Z18" t="str">
            <v>_</v>
          </cell>
          <cell r="AB18">
            <v>45082</v>
          </cell>
          <cell r="AC18">
            <v>45086</v>
          </cell>
          <cell r="AD18">
            <v>45089</v>
          </cell>
          <cell r="AE18">
            <v>45090</v>
          </cell>
          <cell r="AF18" t="str">
            <v>SDR DONE</v>
          </cell>
          <cell r="AG18">
            <v>2</v>
          </cell>
          <cell r="AH18" t="str">
            <v>_</v>
          </cell>
          <cell r="AJ18">
            <v>2</v>
          </cell>
          <cell r="AK18">
            <v>45154</v>
          </cell>
          <cell r="AL18" t="str">
            <v>Received</v>
          </cell>
          <cell r="AM18">
            <v>60</v>
          </cell>
          <cell r="AO18">
            <v>45157</v>
          </cell>
          <cell r="AP18">
            <v>45118</v>
          </cell>
          <cell r="AR18">
            <v>45118</v>
          </cell>
          <cell r="AS18">
            <v>-39</v>
          </cell>
          <cell r="AU18">
            <v>45158</v>
          </cell>
          <cell r="AV18">
            <v>45124</v>
          </cell>
          <cell r="BA18">
            <v>45159</v>
          </cell>
          <cell r="BB18">
            <v>45156</v>
          </cell>
          <cell r="BD18">
            <v>45156</v>
          </cell>
          <cell r="BE18">
            <v>-3</v>
          </cell>
          <cell r="BG18">
            <v>45159</v>
          </cell>
          <cell r="BH18">
            <v>45148</v>
          </cell>
          <cell r="BJ18">
            <v>45169</v>
          </cell>
          <cell r="BK18">
            <v>9</v>
          </cell>
          <cell r="BM18">
            <v>45157</v>
          </cell>
          <cell r="BN18">
            <v>45112</v>
          </cell>
          <cell r="BP18">
            <v>45157</v>
          </cell>
          <cell r="BQ18">
            <v>45114</v>
          </cell>
          <cell r="BR18" t="str">
            <v>Received</v>
          </cell>
          <cell r="BW18" t="str">
            <v>Done</v>
          </cell>
          <cell r="CE18" t="str">
            <v/>
          </cell>
          <cell r="CF18" t="str">
            <v/>
          </cell>
          <cell r="CG18" t="str">
            <v/>
          </cell>
          <cell r="CH18" t="str">
            <v/>
          </cell>
          <cell r="CN18" t="str">
            <v/>
          </cell>
          <cell r="CO18" t="str">
            <v/>
          </cell>
          <cell r="CP18" t="str">
            <v/>
          </cell>
          <cell r="CR18" t="str">
            <v/>
          </cell>
          <cell r="DG18" t="str">
            <v>14. Dropped</v>
          </cell>
          <cell r="DJ18" t="str">
            <v/>
          </cell>
          <cell r="DP18" t="str">
            <v/>
          </cell>
          <cell r="DR18">
            <v>35</v>
          </cell>
          <cell r="DS18">
            <v>45</v>
          </cell>
          <cell r="DX18" t="str">
            <v/>
          </cell>
          <cell r="DY18" t="str">
            <v/>
          </cell>
          <cell r="EA18" t="str">
            <v/>
          </cell>
          <cell r="ED18" t="str">
            <v/>
          </cell>
          <cell r="EE18" t="str">
            <v/>
          </cell>
          <cell r="FM18" t="str">
            <v/>
          </cell>
          <cell r="GG18" t="str">
            <v>2024-2025</v>
          </cell>
        </row>
        <row r="19">
          <cell r="E19" t="str">
            <v>Balaji Bhawan, Belapur</v>
          </cell>
          <cell r="F19" t="str">
            <v>14. Dropped</v>
          </cell>
          <cell r="G19" t="str">
            <v>NA</v>
          </cell>
          <cell r="H19" t="str">
            <v>_</v>
          </cell>
          <cell r="I19" t="str">
            <v>_</v>
          </cell>
          <cell r="K19" t="str">
            <v>W</v>
          </cell>
          <cell r="L19" t="str">
            <v>BK</v>
          </cell>
          <cell r="N19" t="str">
            <v>Sh Mrudang Shah</v>
          </cell>
          <cell r="O19" t="str">
            <v>Sh Nitin Dawange</v>
          </cell>
          <cell r="P19" t="str">
            <v/>
          </cell>
          <cell r="Q19" t="str">
            <v>Arju Tiwari</v>
          </cell>
          <cell r="R19" t="str">
            <v>Kiran Patil</v>
          </cell>
          <cell r="S19" t="str">
            <v>Maharashtra</v>
          </cell>
          <cell r="T19" t="str">
            <v>Navi Mumbai</v>
          </cell>
          <cell r="U19" t="str">
            <v>Premium</v>
          </cell>
          <cell r="V19" t="str">
            <v>Misc Formats</v>
          </cell>
          <cell r="W19">
            <v>813</v>
          </cell>
          <cell r="X19" t="str">
            <v>Shop No.8, Balaji Bhavan, Plot No.42A, Sector 11, CBD Belapur, Navi Mumbai, Maharashtra 400614</v>
          </cell>
          <cell r="Z19" t="str">
            <v>_</v>
          </cell>
          <cell r="AB19">
            <v>45173</v>
          </cell>
          <cell r="AC19">
            <v>45174</v>
          </cell>
          <cell r="AD19">
            <v>45189</v>
          </cell>
          <cell r="AE19">
            <v>45189</v>
          </cell>
          <cell r="AF19" t="str">
            <v>SDR DONE</v>
          </cell>
          <cell r="AG19">
            <v>11</v>
          </cell>
          <cell r="AH19" t="str">
            <v>_</v>
          </cell>
          <cell r="AJ19">
            <v>2</v>
          </cell>
          <cell r="AK19">
            <v>45444</v>
          </cell>
          <cell r="AL19" t="str">
            <v>Received</v>
          </cell>
          <cell r="AM19">
            <v>250</v>
          </cell>
          <cell r="AO19">
            <v>45447</v>
          </cell>
          <cell r="AR19">
            <v>45461</v>
          </cell>
          <cell r="AS19">
            <v>14</v>
          </cell>
          <cell r="AU19">
            <v>45448</v>
          </cell>
          <cell r="AV19">
            <v>45236</v>
          </cell>
          <cell r="AX19">
            <v>45468</v>
          </cell>
          <cell r="AY19">
            <v>19</v>
          </cell>
          <cell r="BA19">
            <v>45449</v>
          </cell>
          <cell r="BB19">
            <v>45216</v>
          </cell>
          <cell r="BD19">
            <v>45466</v>
          </cell>
          <cell r="BE19">
            <v>16</v>
          </cell>
          <cell r="BF19" t="str">
            <v>HVAC Received on 23-06-2024
PLB Received on 08-07-2024</v>
          </cell>
          <cell r="BG19">
            <v>45449</v>
          </cell>
          <cell r="BJ19">
            <v>45496</v>
          </cell>
          <cell r="BK19">
            <v>46</v>
          </cell>
          <cell r="BM19">
            <v>45447</v>
          </cell>
          <cell r="BN19" t="str">
            <v>06-10-2023
04-06-2024</v>
          </cell>
          <cell r="BP19">
            <v>45447</v>
          </cell>
          <cell r="BR19" t="str">
            <v>Received</v>
          </cell>
          <cell r="BU19" t="str">
            <v>Done</v>
          </cell>
          <cell r="BW19" t="str">
            <v>03-05-2024</v>
          </cell>
          <cell r="BX19">
            <v>45439</v>
          </cell>
          <cell r="BY19" t="str">
            <v>Done</v>
          </cell>
          <cell r="CE19" t="str">
            <v/>
          </cell>
          <cell r="CF19" t="str">
            <v/>
          </cell>
          <cell r="CG19" t="str">
            <v/>
          </cell>
          <cell r="CH19" t="str">
            <v/>
          </cell>
          <cell r="CN19" t="str">
            <v/>
          </cell>
          <cell r="CO19" t="str">
            <v/>
          </cell>
          <cell r="CP19" t="str">
            <v/>
          </cell>
          <cell r="CR19" t="str">
            <v/>
          </cell>
          <cell r="DG19" t="str">
            <v>14. Dropped</v>
          </cell>
          <cell r="DJ19" t="str">
            <v/>
          </cell>
          <cell r="DP19" t="str">
            <v/>
          </cell>
          <cell r="DR19">
            <v>35</v>
          </cell>
          <cell r="DS19">
            <v>45</v>
          </cell>
          <cell r="DX19" t="str">
            <v/>
          </cell>
          <cell r="DY19" t="str">
            <v/>
          </cell>
          <cell r="EA19" t="str">
            <v/>
          </cell>
          <cell r="ED19" t="str">
            <v/>
          </cell>
          <cell r="EE19" t="str">
            <v/>
          </cell>
          <cell r="FM19" t="str">
            <v/>
          </cell>
          <cell r="GG19" t="str">
            <v>2024-2025</v>
          </cell>
        </row>
        <row r="20">
          <cell r="E20" t="str">
            <v>Balaji Empress</v>
          </cell>
          <cell r="F20" t="str">
            <v>14. Dropped</v>
          </cell>
          <cell r="G20" t="str">
            <v>NA</v>
          </cell>
          <cell r="H20" t="str">
            <v>_</v>
          </cell>
          <cell r="I20" t="str">
            <v>_</v>
          </cell>
          <cell r="K20" t="str">
            <v>W</v>
          </cell>
          <cell r="L20" t="str">
            <v>BK</v>
          </cell>
          <cell r="N20" t="str">
            <v>Sh Mrudang Shah</v>
          </cell>
          <cell r="O20" t="str">
            <v>Sh Nitin Dawange</v>
          </cell>
          <cell r="P20" t="str">
            <v/>
          </cell>
          <cell r="Q20" t="str">
            <v>Shahaji Gohatre</v>
          </cell>
          <cell r="R20" t="str">
            <v>Parth Sharma</v>
          </cell>
          <cell r="S20" t="str">
            <v>Maharashtra</v>
          </cell>
          <cell r="T20" t="str">
            <v>Navi Mumbai</v>
          </cell>
          <cell r="U20" t="str">
            <v>Premium</v>
          </cell>
          <cell r="V20" t="str">
            <v>Misc Formats</v>
          </cell>
          <cell r="W20">
            <v>852</v>
          </cell>
          <cell r="X20" t="str">
            <v>Ground Floor, Balaji Empress, Near Central Bank, Chittranjan Das Rd, Ramnagar, Dombivli East 421301</v>
          </cell>
          <cell r="Z20" t="str">
            <v>_</v>
          </cell>
          <cell r="AB20">
            <v>45316</v>
          </cell>
          <cell r="AC20">
            <v>45320</v>
          </cell>
          <cell r="AD20">
            <v>45327</v>
          </cell>
          <cell r="AE20">
            <v>45327</v>
          </cell>
          <cell r="AF20" t="str">
            <v>SDR DONE</v>
          </cell>
          <cell r="AG20">
            <v>6</v>
          </cell>
          <cell r="AH20" t="str">
            <v>_</v>
          </cell>
          <cell r="AL20" t="str">
            <v>Received</v>
          </cell>
          <cell r="AM20">
            <v>845</v>
          </cell>
          <cell r="BJ20" t="str">
            <v/>
          </cell>
          <cell r="BN20" t="str">
            <v/>
          </cell>
          <cell r="BW20" t="str">
            <v/>
          </cell>
          <cell r="CD20">
            <v>45093</v>
          </cell>
          <cell r="CE20" t="str">
            <v/>
          </cell>
          <cell r="CF20" t="str">
            <v/>
          </cell>
          <cell r="CG20" t="str">
            <v/>
          </cell>
          <cell r="CH20" t="str">
            <v/>
          </cell>
          <cell r="CN20" t="str">
            <v/>
          </cell>
          <cell r="CO20" t="str">
            <v/>
          </cell>
          <cell r="CP20" t="str">
            <v/>
          </cell>
          <cell r="CR20" t="str">
            <v/>
          </cell>
          <cell r="DG20" t="str">
            <v>14. Dropped</v>
          </cell>
          <cell r="DJ20" t="str">
            <v/>
          </cell>
          <cell r="DP20" t="str">
            <v/>
          </cell>
          <cell r="DR20">
            <v>35</v>
          </cell>
          <cell r="DS20">
            <v>45</v>
          </cell>
          <cell r="DX20" t="str">
            <v/>
          </cell>
          <cell r="DY20" t="str">
            <v/>
          </cell>
          <cell r="EA20" t="str">
            <v/>
          </cell>
          <cell r="ED20" t="str">
            <v/>
          </cell>
          <cell r="EE20" t="str">
            <v/>
          </cell>
          <cell r="FM20" t="str">
            <v/>
          </cell>
          <cell r="GG20" t="str">
            <v>2024-2025</v>
          </cell>
        </row>
        <row r="21">
          <cell r="E21" t="str">
            <v>Basant Bahar Baner</v>
          </cell>
          <cell r="F21" t="str">
            <v>14. Dropped</v>
          </cell>
          <cell r="G21" t="str">
            <v>NA</v>
          </cell>
          <cell r="H21" t="str">
            <v>_</v>
          </cell>
          <cell r="I21" t="str">
            <v>_</v>
          </cell>
          <cell r="K21" t="str">
            <v>W</v>
          </cell>
          <cell r="L21" t="str">
            <v>BK</v>
          </cell>
          <cell r="N21" t="str">
            <v>Sh Shashi Pardesi</v>
          </cell>
          <cell r="O21" t="str">
            <v>Sh Shashi Pardesi</v>
          </cell>
          <cell r="P21" t="str">
            <v/>
          </cell>
          <cell r="Q21" t="str">
            <v>Shahaji Gohatre</v>
          </cell>
          <cell r="R21" t="str">
            <v>Parth Sharma</v>
          </cell>
          <cell r="S21" t="str">
            <v>Maharashtra</v>
          </cell>
          <cell r="T21" t="str">
            <v>Pune</v>
          </cell>
          <cell r="U21" t="str">
            <v>Premium</v>
          </cell>
          <cell r="V21" t="str">
            <v>Misc Formats</v>
          </cell>
          <cell r="W21">
            <v>383</v>
          </cell>
          <cell r="X21" t="str">
            <v>Shop No.1&amp;2 Basant Bahar,Baner Pashan Link road, Pashan, Pune 411 027.</v>
          </cell>
          <cell r="Z21" t="str">
            <v>_</v>
          </cell>
          <cell r="AB21">
            <v>45033</v>
          </cell>
          <cell r="AC21">
            <v>45042</v>
          </cell>
          <cell r="AD21">
            <v>45048</v>
          </cell>
          <cell r="AE21">
            <v>45048</v>
          </cell>
          <cell r="AF21" t="str">
            <v>SDR DONE</v>
          </cell>
          <cell r="AG21">
            <v>10</v>
          </cell>
          <cell r="AH21" t="str">
            <v>_</v>
          </cell>
          <cell r="AJ21">
            <v>2</v>
          </cell>
          <cell r="AK21">
            <v>45117</v>
          </cell>
          <cell r="AL21" t="str">
            <v>Received</v>
          </cell>
          <cell r="AM21">
            <v>64</v>
          </cell>
          <cell r="AO21">
            <v>45120</v>
          </cell>
          <cell r="AP21">
            <v>45084</v>
          </cell>
          <cell r="AR21">
            <v>45100</v>
          </cell>
          <cell r="AS21">
            <v>-20</v>
          </cell>
          <cell r="AU21">
            <v>45121</v>
          </cell>
          <cell r="AV21">
            <v>45105</v>
          </cell>
          <cell r="BA21">
            <v>45122</v>
          </cell>
          <cell r="BG21">
            <v>45122</v>
          </cell>
          <cell r="BJ21" t="str">
            <v/>
          </cell>
          <cell r="BM21">
            <v>45120</v>
          </cell>
          <cell r="BN21">
            <v>45083</v>
          </cell>
          <cell r="BP21">
            <v>45120</v>
          </cell>
          <cell r="BQ21">
            <v>45093</v>
          </cell>
          <cell r="BR21" t="str">
            <v>Received</v>
          </cell>
          <cell r="BT21">
            <v>45092</v>
          </cell>
          <cell r="BW21" t="str">
            <v/>
          </cell>
          <cell r="CE21" t="str">
            <v/>
          </cell>
          <cell r="CF21" t="str">
            <v/>
          </cell>
          <cell r="CG21" t="str">
            <v/>
          </cell>
          <cell r="CH21" t="str">
            <v/>
          </cell>
          <cell r="CN21" t="str">
            <v/>
          </cell>
          <cell r="CO21" t="str">
            <v/>
          </cell>
          <cell r="CP21" t="str">
            <v/>
          </cell>
          <cell r="CR21" t="str">
            <v/>
          </cell>
          <cell r="DG21" t="str">
            <v>14. Dropped</v>
          </cell>
          <cell r="DJ21" t="str">
            <v/>
          </cell>
          <cell r="DP21" t="str">
            <v/>
          </cell>
          <cell r="DR21">
            <v>35</v>
          </cell>
          <cell r="DS21">
            <v>45</v>
          </cell>
          <cell r="DX21" t="str">
            <v/>
          </cell>
          <cell r="DY21" t="str">
            <v/>
          </cell>
          <cell r="EA21" t="str">
            <v/>
          </cell>
          <cell r="ED21" t="str">
            <v/>
          </cell>
          <cell r="EE21" t="str">
            <v/>
          </cell>
          <cell r="FM21" t="str">
            <v/>
          </cell>
          <cell r="GG21" t="str">
            <v>2024-2025</v>
          </cell>
        </row>
        <row r="22">
          <cell r="E22" t="str">
            <v>Bhoomi Colossal</v>
          </cell>
          <cell r="F22" t="str">
            <v>14. Dropped</v>
          </cell>
          <cell r="G22" t="str">
            <v>NA</v>
          </cell>
          <cell r="H22" t="str">
            <v>_</v>
          </cell>
          <cell r="I22" t="str">
            <v>_</v>
          </cell>
          <cell r="K22" t="str">
            <v>W</v>
          </cell>
          <cell r="L22" t="str">
            <v>BK</v>
          </cell>
          <cell r="N22" t="str">
            <v>Sh Sanjiv Johari</v>
          </cell>
          <cell r="O22" t="str">
            <v>Sh. Atul M Sawant</v>
          </cell>
          <cell r="P22" t="str">
            <v/>
          </cell>
          <cell r="Q22" t="str">
            <v>Shahaji Gohatre</v>
          </cell>
          <cell r="R22" t="str">
            <v>Parth Sharma</v>
          </cell>
          <cell r="S22" t="str">
            <v>Maharashtra</v>
          </cell>
          <cell r="T22" t="str">
            <v>Mumbai</v>
          </cell>
          <cell r="U22" t="str">
            <v>Premium</v>
          </cell>
          <cell r="V22" t="str">
            <v>Misc Formats</v>
          </cell>
          <cell r="W22">
            <v>634</v>
          </cell>
          <cell r="X22" t="str">
            <v>Trishul Co. Trading, Bhoomi Colossa, Sector 19, Plot No 4, Sector-19, Airoli, Navi Mumbai, Maharashtra 400708</v>
          </cell>
          <cell r="Z22" t="str">
            <v>_</v>
          </cell>
          <cell r="AB22">
            <v>44778</v>
          </cell>
          <cell r="AC22">
            <v>44787</v>
          </cell>
          <cell r="AD22">
            <v>44789</v>
          </cell>
          <cell r="AE22">
            <v>44789</v>
          </cell>
          <cell r="AF22" t="str">
            <v>SDR DONE</v>
          </cell>
          <cell r="AG22">
            <v>6</v>
          </cell>
          <cell r="AH22" t="str">
            <v>_</v>
          </cell>
          <cell r="AJ22">
            <v>1</v>
          </cell>
          <cell r="AK22">
            <v>44902</v>
          </cell>
          <cell r="AL22" t="str">
            <v>Received</v>
          </cell>
          <cell r="AM22">
            <v>108</v>
          </cell>
          <cell r="AO22">
            <v>44905</v>
          </cell>
          <cell r="AU22">
            <v>44906</v>
          </cell>
          <cell r="AV22" t="str">
            <v/>
          </cell>
          <cell r="BA22">
            <v>44907</v>
          </cell>
          <cell r="BG22">
            <v>44907</v>
          </cell>
          <cell r="BJ22">
            <v>44936</v>
          </cell>
          <cell r="BK22">
            <v>28</v>
          </cell>
          <cell r="BM22">
            <v>44905</v>
          </cell>
          <cell r="BN22" t="str">
            <v/>
          </cell>
          <cell r="BP22">
            <v>44905</v>
          </cell>
          <cell r="BW22" t="str">
            <v/>
          </cell>
          <cell r="CE22" t="str">
            <v/>
          </cell>
          <cell r="CF22" t="str">
            <v/>
          </cell>
          <cell r="CG22" t="str">
            <v/>
          </cell>
          <cell r="CH22" t="str">
            <v/>
          </cell>
          <cell r="CN22" t="str">
            <v/>
          </cell>
          <cell r="CO22" t="str">
            <v/>
          </cell>
          <cell r="CP22" t="str">
            <v/>
          </cell>
          <cell r="CR22" t="str">
            <v/>
          </cell>
          <cell r="DG22" t="str">
            <v>14. Dropped</v>
          </cell>
          <cell r="DJ22" t="str">
            <v/>
          </cell>
          <cell r="DP22" t="str">
            <v/>
          </cell>
          <cell r="DR22">
            <v>35</v>
          </cell>
          <cell r="DS22">
            <v>45</v>
          </cell>
          <cell r="DX22" t="str">
            <v/>
          </cell>
          <cell r="DY22" t="str">
            <v/>
          </cell>
          <cell r="EA22" t="str">
            <v/>
          </cell>
          <cell r="ED22" t="str">
            <v/>
          </cell>
          <cell r="EE22" t="str">
            <v/>
          </cell>
          <cell r="FM22" t="str">
            <v/>
          </cell>
          <cell r="GG22" t="str">
            <v>2024-2025</v>
          </cell>
        </row>
        <row r="23">
          <cell r="E23" t="str">
            <v>Bombay Burgers, fort</v>
          </cell>
          <cell r="F23" t="str">
            <v>10. Launched</v>
          </cell>
          <cell r="G23" t="str">
            <v>NA</v>
          </cell>
          <cell r="H23" t="str">
            <v xml:space="preserve">MU-SM-GMU-607/SE  </v>
          </cell>
          <cell r="I23" t="str">
            <v>_</v>
          </cell>
          <cell r="J23" t="str">
            <v>QY1E</v>
          </cell>
          <cell r="K23" t="str">
            <v>W</v>
          </cell>
          <cell r="L23" t="str">
            <v>BK</v>
          </cell>
          <cell r="N23" t="str">
            <v>Sh Sanjiv Johari</v>
          </cell>
          <cell r="O23" t="str">
            <v>Sh. Atul M Sawant</v>
          </cell>
          <cell r="P23" t="str">
            <v>Sh. Sunil Grandhe</v>
          </cell>
          <cell r="Q23" t="str">
            <v>Shahaji Gohatre</v>
          </cell>
          <cell r="R23" t="str">
            <v>Parth Sharma</v>
          </cell>
          <cell r="S23" t="str">
            <v>Maharashtra</v>
          </cell>
          <cell r="T23" t="str">
            <v>Mumbai</v>
          </cell>
          <cell r="U23" t="str">
            <v>Premium</v>
          </cell>
          <cell r="V23" t="str">
            <v>Misc Formats</v>
          </cell>
          <cell r="W23">
            <v>1080</v>
          </cell>
          <cell r="X23" t="str">
            <v>Bombay Burgers- BNG House, DN Road, Fort</v>
          </cell>
          <cell r="Z23" t="str">
            <v>Done</v>
          </cell>
          <cell r="AB23">
            <v>44683</v>
          </cell>
          <cell r="AC23">
            <v>44686</v>
          </cell>
          <cell r="AD23">
            <v>44697</v>
          </cell>
          <cell r="AE23">
            <v>44697</v>
          </cell>
          <cell r="AF23" t="str">
            <v>SDR DONE</v>
          </cell>
          <cell r="AG23">
            <v>9</v>
          </cell>
          <cell r="AH23" t="str">
            <v>_</v>
          </cell>
          <cell r="AI23">
            <v>44805</v>
          </cell>
          <cell r="AJ23">
            <v>1</v>
          </cell>
          <cell r="AK23">
            <v>44909</v>
          </cell>
          <cell r="AL23" t="str">
            <v>Received</v>
          </cell>
          <cell r="AM23">
            <v>207</v>
          </cell>
          <cell r="AO23">
            <v>44912</v>
          </cell>
          <cell r="AT23" t="str">
            <v>Received</v>
          </cell>
          <cell r="AU23">
            <v>44913</v>
          </cell>
          <cell r="AV23" t="str">
            <v>NA</v>
          </cell>
          <cell r="AW23" t="str">
            <v>NA</v>
          </cell>
          <cell r="AX23" t="str">
            <v>NA</v>
          </cell>
          <cell r="AZ23" t="str">
            <v>Received</v>
          </cell>
          <cell r="BA23">
            <v>44914</v>
          </cell>
          <cell r="BB23">
            <v>44924</v>
          </cell>
          <cell r="BC23">
            <v>0</v>
          </cell>
          <cell r="BD23">
            <v>44959</v>
          </cell>
          <cell r="BE23">
            <v>44</v>
          </cell>
          <cell r="BF23" t="str">
            <v>Received</v>
          </cell>
          <cell r="BG23">
            <v>44914</v>
          </cell>
          <cell r="BJ23" t="str">
            <v/>
          </cell>
          <cell r="BL23" t="str">
            <v>Received</v>
          </cell>
          <cell r="BM23">
            <v>44912</v>
          </cell>
          <cell r="BN23" t="str">
            <v/>
          </cell>
          <cell r="BO23" t="str">
            <v>Received</v>
          </cell>
          <cell r="BP23">
            <v>44912</v>
          </cell>
          <cell r="BR23" t="str">
            <v>Received</v>
          </cell>
          <cell r="BU23" t="str">
            <v>Received</v>
          </cell>
          <cell r="BV23" t="str">
            <v>Done</v>
          </cell>
          <cell r="BW23" t="str">
            <v>11-08-2022</v>
          </cell>
          <cell r="BX23">
            <v>44798</v>
          </cell>
          <cell r="BY23" t="str">
            <v>Done</v>
          </cell>
          <cell r="CD23" t="str">
            <v>Done</v>
          </cell>
          <cell r="CE23" t="str">
            <v/>
          </cell>
          <cell r="CF23" t="str">
            <v>Hirfal Interiors</v>
          </cell>
          <cell r="CG23" t="str">
            <v>Ravisha Electricals</v>
          </cell>
          <cell r="CH23" t="str">
            <v>Arithmatic</v>
          </cell>
          <cell r="CN23" t="str">
            <v/>
          </cell>
          <cell r="CO23" t="str">
            <v/>
          </cell>
          <cell r="CP23" t="str">
            <v/>
          </cell>
          <cell r="CR23" t="str">
            <v/>
          </cell>
          <cell r="DD23">
            <v>44896</v>
          </cell>
          <cell r="DG23" t="str">
            <v>10. Launched</v>
          </cell>
          <cell r="DJ23" t="str">
            <v/>
          </cell>
          <cell r="DK23">
            <v>44898</v>
          </cell>
          <cell r="DP23">
            <v>44900</v>
          </cell>
          <cell r="DQ23">
            <v>44936</v>
          </cell>
          <cell r="DR23">
            <v>35</v>
          </cell>
          <cell r="DS23">
            <v>45</v>
          </cell>
          <cell r="DU23">
            <v>44971</v>
          </cell>
          <cell r="DV23">
            <v>44981</v>
          </cell>
          <cell r="DW23">
            <v>44971</v>
          </cell>
          <cell r="DX23" t="str">
            <v>Feb 23 Week 2</v>
          </cell>
          <cell r="DY23" t="str">
            <v/>
          </cell>
          <cell r="DZ23">
            <v>44999</v>
          </cell>
          <cell r="EA23" t="str">
            <v>March 23 Week 2</v>
          </cell>
          <cell r="ED23" t="str">
            <v/>
          </cell>
          <cell r="EE23" t="str">
            <v/>
          </cell>
          <cell r="EF23">
            <v>1</v>
          </cell>
          <cell r="EG23">
            <v>1</v>
          </cell>
          <cell r="EH23" t="str">
            <v>*TVS  Vendor 31 item delivery Pending
Steel men Vendor 13 item delivery Pending
* Delay in fixture callout from Zonal Team</v>
          </cell>
          <cell r="EJ23">
            <v>44943</v>
          </cell>
          <cell r="EM23">
            <v>44950</v>
          </cell>
          <cell r="EP23">
            <v>44957</v>
          </cell>
          <cell r="ES23">
            <v>44964</v>
          </cell>
          <cell r="EV23">
            <v>44971</v>
          </cell>
          <cell r="FD23">
            <v>28</v>
          </cell>
          <cell r="FE23" t="str">
            <v>16 to 31 Days</v>
          </cell>
          <cell r="FF23">
            <v>64</v>
          </cell>
          <cell r="FG23" t="str">
            <v>62 to 90 Days</v>
          </cell>
          <cell r="FH23" t="str">
            <v>Done</v>
          </cell>
          <cell r="FI23" t="str">
            <v>Done</v>
          </cell>
          <cell r="FJ23" t="str">
            <v>Done</v>
          </cell>
          <cell r="FM23" t="str">
            <v/>
          </cell>
          <cell r="GG23" t="str">
            <v>2022-2023</v>
          </cell>
        </row>
        <row r="24">
          <cell r="E24" t="str">
            <v>Brewing Harmony - Satra Plaza</v>
          </cell>
          <cell r="F24" t="str">
            <v>10. Launched</v>
          </cell>
          <cell r="G24" t="str">
            <v>NA</v>
          </cell>
          <cell r="H24" t="str">
            <v>MU-SM-GMU-571/SE</v>
          </cell>
          <cell r="I24" t="str">
            <v>_</v>
          </cell>
          <cell r="J24" t="str">
            <v>QEVN</v>
          </cell>
          <cell r="K24" t="str">
            <v>W</v>
          </cell>
          <cell r="L24" t="str">
            <v>BK</v>
          </cell>
          <cell r="N24" t="str">
            <v>Sh Sanjiv Johari</v>
          </cell>
          <cell r="O24" t="str">
            <v>Sh. Atul M Sawant</v>
          </cell>
          <cell r="P24" t="str">
            <v>Sh. Majid Hassan</v>
          </cell>
          <cell r="Q24" t="str">
            <v>Shahaji Gohatre</v>
          </cell>
          <cell r="R24" t="str">
            <v>Parth Sharma</v>
          </cell>
          <cell r="S24" t="str">
            <v>Maharashtra</v>
          </cell>
          <cell r="T24" t="str">
            <v>Navi Mumbai</v>
          </cell>
          <cell r="U24" t="str">
            <v>Premium</v>
          </cell>
          <cell r="V24" t="str">
            <v>Misc Formats</v>
          </cell>
          <cell r="W24">
            <v>1900</v>
          </cell>
          <cell r="X24" t="str">
            <v>  Shop 9, Satra Plaza, Palm Beach Road, Vashi</v>
          </cell>
          <cell r="Z24" t="str">
            <v>Done</v>
          </cell>
          <cell r="AB24">
            <v>44485</v>
          </cell>
          <cell r="AC24">
            <v>44487</v>
          </cell>
          <cell r="AD24">
            <v>44490</v>
          </cell>
          <cell r="AE24">
            <v>44490</v>
          </cell>
          <cell r="AF24" t="str">
            <v>SDR DONE</v>
          </cell>
          <cell r="AG24">
            <v>0</v>
          </cell>
          <cell r="AH24" t="str">
            <v>_</v>
          </cell>
          <cell r="AI24">
            <v>44533</v>
          </cell>
          <cell r="AJ24">
            <v>0</v>
          </cell>
          <cell r="AK24">
            <v>44533</v>
          </cell>
          <cell r="AL24" t="str">
            <v>Received</v>
          </cell>
          <cell r="AM24">
            <v>38</v>
          </cell>
          <cell r="AO24">
            <v>44536</v>
          </cell>
          <cell r="AP24">
            <v>44655</v>
          </cell>
          <cell r="AR24">
            <v>44698</v>
          </cell>
          <cell r="AS24">
            <v>162</v>
          </cell>
          <cell r="AT24" t="str">
            <v>Received</v>
          </cell>
          <cell r="AU24">
            <v>44537</v>
          </cell>
          <cell r="AV24" t="str">
            <v>NA</v>
          </cell>
          <cell r="AW24" t="str">
            <v>NA</v>
          </cell>
          <cell r="AX24" t="str">
            <v>NA</v>
          </cell>
          <cell r="AZ24" t="str">
            <v>Received</v>
          </cell>
          <cell r="BA24">
            <v>44538</v>
          </cell>
          <cell r="BB24">
            <v>44572</v>
          </cell>
          <cell r="BC24">
            <v>0</v>
          </cell>
          <cell r="BD24">
            <v>44572</v>
          </cell>
          <cell r="BE24">
            <v>33</v>
          </cell>
          <cell r="BF24" t="str">
            <v>Received</v>
          </cell>
          <cell r="BG24">
            <v>44538</v>
          </cell>
          <cell r="BH24">
            <v>44574</v>
          </cell>
          <cell r="BJ24">
            <v>44658</v>
          </cell>
          <cell r="BK24">
            <v>120</v>
          </cell>
          <cell r="BL24" t="str">
            <v>Received</v>
          </cell>
          <cell r="BM24">
            <v>44536</v>
          </cell>
          <cell r="BN24">
            <v>44530</v>
          </cell>
          <cell r="BO24" t="str">
            <v>Received</v>
          </cell>
          <cell r="BP24">
            <v>44536</v>
          </cell>
          <cell r="BQ24">
            <v>44544</v>
          </cell>
          <cell r="BR24" t="str">
            <v>Received</v>
          </cell>
          <cell r="BT24">
            <v>44644</v>
          </cell>
          <cell r="BU24" t="str">
            <v>Received</v>
          </cell>
          <cell r="BV24" t="str">
            <v>Done</v>
          </cell>
          <cell r="BW24" t="str">
            <v>11-12-2021</v>
          </cell>
          <cell r="BX24">
            <v>44544</v>
          </cell>
          <cell r="BY24" t="str">
            <v>Done</v>
          </cell>
          <cell r="CD24" t="str">
            <v>Done</v>
          </cell>
          <cell r="CE24">
            <v>44582</v>
          </cell>
          <cell r="CF24" t="str">
            <v>Nutek Creations</v>
          </cell>
          <cell r="CG24" t="str">
            <v>Sitara Electricals</v>
          </cell>
          <cell r="CH24" t="str">
            <v>Aditya Air conditioning</v>
          </cell>
          <cell r="CJ24">
            <v>44582</v>
          </cell>
          <cell r="CK24">
            <v>44585</v>
          </cell>
          <cell r="CN24" t="str">
            <v/>
          </cell>
          <cell r="CO24" t="str">
            <v/>
          </cell>
          <cell r="CP24" t="str">
            <v/>
          </cell>
          <cell r="CR24" t="str">
            <v/>
          </cell>
          <cell r="DG24" t="str">
            <v>10. Launched</v>
          </cell>
          <cell r="DJ24" t="str">
            <v/>
          </cell>
          <cell r="DK24">
            <v>44642</v>
          </cell>
          <cell r="DP24">
            <v>44644</v>
          </cell>
          <cell r="DQ24">
            <v>44645</v>
          </cell>
          <cell r="DR24">
            <v>35</v>
          </cell>
          <cell r="DS24">
            <v>45</v>
          </cell>
          <cell r="DU24">
            <v>44680</v>
          </cell>
          <cell r="DV24">
            <v>44690</v>
          </cell>
          <cell r="DW24">
            <v>44680</v>
          </cell>
          <cell r="DY24" t="str">
            <v/>
          </cell>
          <cell r="DZ24">
            <v>44772</v>
          </cell>
          <cell r="ED24" t="str">
            <v/>
          </cell>
          <cell r="EE24" t="str">
            <v/>
          </cell>
          <cell r="EF24">
            <v>1</v>
          </cell>
          <cell r="EG24">
            <v>1</v>
          </cell>
          <cell r="EJ24">
            <v>44652</v>
          </cell>
          <cell r="EM24">
            <v>44659</v>
          </cell>
          <cell r="EP24">
            <v>44666</v>
          </cell>
          <cell r="ES24">
            <v>44673</v>
          </cell>
          <cell r="EV24">
            <v>44680</v>
          </cell>
          <cell r="FD24">
            <v>92</v>
          </cell>
          <cell r="FE24" t="str">
            <v>More Than 90  Days</v>
          </cell>
          <cell r="FF24">
            <v>93</v>
          </cell>
          <cell r="FG24" t="str">
            <v>More Than 90  Days</v>
          </cell>
          <cell r="FH24" t="str">
            <v>Done</v>
          </cell>
          <cell r="FI24" t="str">
            <v>Done</v>
          </cell>
          <cell r="FJ24" t="str">
            <v>Done</v>
          </cell>
          <cell r="FM24" t="str">
            <v/>
          </cell>
          <cell r="GG24" t="str">
            <v>2022-2023</v>
          </cell>
        </row>
        <row r="25">
          <cell r="E25" t="str">
            <v>Capital Mall, Vasai  1</v>
          </cell>
          <cell r="F25" t="str">
            <v>14. Dropped</v>
          </cell>
          <cell r="G25" t="str">
            <v>SEVEBK11344</v>
          </cell>
          <cell r="H25" t="str">
            <v>_</v>
          </cell>
          <cell r="I25" t="str">
            <v>_</v>
          </cell>
          <cell r="K25" t="str">
            <v>W</v>
          </cell>
          <cell r="L25" t="str">
            <v>BK</v>
          </cell>
          <cell r="N25" t="str">
            <v>Sh Mrudang Shah</v>
          </cell>
          <cell r="O25" t="str">
            <v>Sh Nitin Dawange</v>
          </cell>
          <cell r="P25" t="str">
            <v/>
          </cell>
          <cell r="Q25" t="str">
            <v>Shahaji Gohatre</v>
          </cell>
          <cell r="R25" t="str">
            <v>Parth Sharma</v>
          </cell>
          <cell r="S25" t="str">
            <v>Maharashtra</v>
          </cell>
          <cell r="T25" t="str">
            <v>Navi Mumbai</v>
          </cell>
          <cell r="U25" t="str">
            <v>Premium</v>
          </cell>
          <cell r="V25" t="str">
            <v>Misc Formats</v>
          </cell>
          <cell r="W25">
            <v>523</v>
          </cell>
          <cell r="X25" t="str">
            <v>The Capital Mall Off New Link Road Village, Achole Rd, Nalasopara East, Maharashtra 401209</v>
          </cell>
          <cell r="Z25" t="str">
            <v>_</v>
          </cell>
          <cell r="AB25">
            <v>45300</v>
          </cell>
          <cell r="AC25">
            <v>45303</v>
          </cell>
          <cell r="AD25">
            <v>45310</v>
          </cell>
          <cell r="AE25">
            <v>45310</v>
          </cell>
          <cell r="AF25" t="str">
            <v>SDR DONE</v>
          </cell>
          <cell r="AG25">
            <v>5</v>
          </cell>
          <cell r="AH25" t="str">
            <v>_</v>
          </cell>
          <cell r="AL25" t="str">
            <v>Pending</v>
          </cell>
          <cell r="AM25">
            <v>862</v>
          </cell>
          <cell r="BJ25" t="str">
            <v/>
          </cell>
          <cell r="BN25" t="str">
            <v/>
          </cell>
          <cell r="BW25" t="str">
            <v/>
          </cell>
          <cell r="CE25" t="str">
            <v/>
          </cell>
          <cell r="CF25" t="str">
            <v/>
          </cell>
          <cell r="CG25" t="str">
            <v/>
          </cell>
          <cell r="CH25" t="str">
            <v/>
          </cell>
          <cell r="CN25" t="str">
            <v/>
          </cell>
          <cell r="CO25" t="str">
            <v/>
          </cell>
          <cell r="CP25" t="str">
            <v/>
          </cell>
          <cell r="CR25" t="str">
            <v/>
          </cell>
          <cell r="DG25" t="str">
            <v>14. Dropped</v>
          </cell>
          <cell r="DJ25" t="str">
            <v/>
          </cell>
          <cell r="DP25" t="str">
            <v/>
          </cell>
          <cell r="DR25">
            <v>35</v>
          </cell>
          <cell r="DS25">
            <v>45</v>
          </cell>
          <cell r="DX25" t="str">
            <v/>
          </cell>
          <cell r="DY25" t="str">
            <v/>
          </cell>
          <cell r="EA25" t="str">
            <v/>
          </cell>
          <cell r="ED25" t="str">
            <v/>
          </cell>
          <cell r="EE25" t="str">
            <v/>
          </cell>
          <cell r="FM25" t="str">
            <v/>
          </cell>
          <cell r="GG25" t="str">
            <v>2026-2027</v>
          </cell>
        </row>
        <row r="26">
          <cell r="E26" t="str">
            <v>Chaturbhuj Tower</v>
          </cell>
          <cell r="F26" t="str">
            <v>10. Launched</v>
          </cell>
          <cell r="G26" t="str">
            <v>NA</v>
          </cell>
          <cell r="H26" t="str">
            <v>MU-SM-GMU-615</v>
          </cell>
          <cell r="I26" t="str">
            <v>_</v>
          </cell>
          <cell r="J26" t="str">
            <v>QG6I</v>
          </cell>
          <cell r="K26" t="str">
            <v>W</v>
          </cell>
          <cell r="L26" t="str">
            <v>BK</v>
          </cell>
          <cell r="N26" t="str">
            <v>Sh Sanjiv Johari</v>
          </cell>
          <cell r="O26" t="str">
            <v>Sh. Atul M Sawant</v>
          </cell>
          <cell r="P26" t="str">
            <v>Sh. Rajesh Gavale</v>
          </cell>
          <cell r="Q26" t="str">
            <v>Shahaji Gohatre</v>
          </cell>
          <cell r="R26" t="str">
            <v>Parth Sharma</v>
          </cell>
          <cell r="S26" t="str">
            <v>Maharashtra</v>
          </cell>
          <cell r="T26" t="str">
            <v>Mumbai</v>
          </cell>
          <cell r="U26" t="str">
            <v>Premium</v>
          </cell>
          <cell r="V26" t="str">
            <v>Misc Formats</v>
          </cell>
          <cell r="W26">
            <v>864</v>
          </cell>
          <cell r="X26" t="str">
            <v>Shop No 56 &amp; 57, Ground Floor, Chartubhuj Tower, Javalyu Road, Shilp Chowk, Sector 21, Next to ICICI Bank, Kharghar, Navi Mumbai 410210</v>
          </cell>
          <cell r="Z26" t="str">
            <v>Done</v>
          </cell>
          <cell r="AB26">
            <v>44708</v>
          </cell>
          <cell r="AC26">
            <v>44712</v>
          </cell>
          <cell r="AD26">
            <v>44714</v>
          </cell>
          <cell r="AE26">
            <v>44714</v>
          </cell>
          <cell r="AF26" t="str">
            <v>SDR DONE</v>
          </cell>
          <cell r="AG26">
            <v>1</v>
          </cell>
          <cell r="AH26" t="str">
            <v>_</v>
          </cell>
          <cell r="AI26">
            <v>44775</v>
          </cell>
          <cell r="AJ26">
            <v>0</v>
          </cell>
          <cell r="AK26">
            <v>44775</v>
          </cell>
          <cell r="AL26" t="str">
            <v>Received</v>
          </cell>
          <cell r="AM26">
            <v>56</v>
          </cell>
          <cell r="AO26">
            <v>44778</v>
          </cell>
          <cell r="AP26">
            <v>44789</v>
          </cell>
          <cell r="AR26">
            <v>44798</v>
          </cell>
          <cell r="AS26">
            <v>20</v>
          </cell>
          <cell r="AT26" t="str">
            <v>Received</v>
          </cell>
          <cell r="AU26">
            <v>44779</v>
          </cell>
          <cell r="AV26" t="str">
            <v>NA</v>
          </cell>
          <cell r="AW26" t="str">
            <v>NA</v>
          </cell>
          <cell r="AX26" t="str">
            <v>NA</v>
          </cell>
          <cell r="AZ26" t="str">
            <v>Received</v>
          </cell>
          <cell r="BA26">
            <v>44780</v>
          </cell>
          <cell r="BB26">
            <v>44807</v>
          </cell>
          <cell r="BC26">
            <v>0</v>
          </cell>
          <cell r="BD26">
            <v>44807</v>
          </cell>
          <cell r="BE26">
            <v>26</v>
          </cell>
          <cell r="BF26" t="str">
            <v>Received</v>
          </cell>
          <cell r="BG26">
            <v>44780</v>
          </cell>
          <cell r="BH26">
            <v>44817</v>
          </cell>
          <cell r="BJ26">
            <v>44817</v>
          </cell>
          <cell r="BK26">
            <v>36</v>
          </cell>
          <cell r="BL26" t="str">
            <v>Received</v>
          </cell>
          <cell r="BM26">
            <v>44778</v>
          </cell>
          <cell r="BN26">
            <v>44785</v>
          </cell>
          <cell r="BO26" t="str">
            <v>Received</v>
          </cell>
          <cell r="BP26">
            <v>44778</v>
          </cell>
          <cell r="BQ26">
            <v>44812</v>
          </cell>
          <cell r="BR26" t="str">
            <v>Received</v>
          </cell>
          <cell r="BT26">
            <v>44827</v>
          </cell>
          <cell r="BU26" t="str">
            <v>Received</v>
          </cell>
          <cell r="BV26" t="str">
            <v>Done</v>
          </cell>
          <cell r="BW26" t="str">
            <v>11-12-2021</v>
          </cell>
          <cell r="BX26">
            <v>44544</v>
          </cell>
          <cell r="BY26" t="str">
            <v>Done</v>
          </cell>
          <cell r="CD26" t="str">
            <v>Done</v>
          </cell>
          <cell r="CE26">
            <v>44790</v>
          </cell>
          <cell r="CF26" t="str">
            <v>Otex design LLP</v>
          </cell>
          <cell r="CG26" t="str">
            <v>Otex Design LLP</v>
          </cell>
          <cell r="CH26" t="str">
            <v>Weatherguard</v>
          </cell>
          <cell r="CJ26">
            <v>44790</v>
          </cell>
          <cell r="CK26">
            <v>44789</v>
          </cell>
          <cell r="CN26" t="str">
            <v/>
          </cell>
          <cell r="CO26" t="str">
            <v/>
          </cell>
          <cell r="CP26" t="str">
            <v/>
          </cell>
          <cell r="CR26" t="str">
            <v/>
          </cell>
          <cell r="DA26" t="str">
            <v>Under Design Validation NHQ</v>
          </cell>
          <cell r="DB26" t="str">
            <v>WO Done RA1 Pending</v>
          </cell>
          <cell r="DC26" t="str">
            <v>WO Done RA1 Pending</v>
          </cell>
          <cell r="DD26">
            <v>44781</v>
          </cell>
          <cell r="DG26" t="str">
            <v>10. Launched</v>
          </cell>
          <cell r="DJ26" t="str">
            <v/>
          </cell>
          <cell r="DK26">
            <v>44789</v>
          </cell>
          <cell r="DP26">
            <v>44791</v>
          </cell>
          <cell r="DQ26">
            <v>44798</v>
          </cell>
          <cell r="DR26">
            <v>35</v>
          </cell>
          <cell r="DS26">
            <v>45</v>
          </cell>
          <cell r="DU26">
            <v>44833</v>
          </cell>
          <cell r="DV26">
            <v>44843</v>
          </cell>
          <cell r="DW26">
            <v>44833</v>
          </cell>
          <cell r="DY26" t="str">
            <v/>
          </cell>
          <cell r="DZ26">
            <v>44911</v>
          </cell>
          <cell r="EB26" t="str">
            <v>Backlog</v>
          </cell>
          <cell r="ED26" t="str">
            <v/>
          </cell>
          <cell r="EE26" t="str">
            <v/>
          </cell>
          <cell r="EF26">
            <v>1</v>
          </cell>
          <cell r="EG26">
            <v>1</v>
          </cell>
          <cell r="EJ26">
            <v>44805</v>
          </cell>
          <cell r="EM26">
            <v>44812</v>
          </cell>
          <cell r="EP26">
            <v>44819</v>
          </cell>
          <cell r="ES26">
            <v>44826</v>
          </cell>
          <cell r="EV26">
            <v>44833</v>
          </cell>
          <cell r="FD26">
            <v>78</v>
          </cell>
          <cell r="FE26" t="str">
            <v>62 to 90 Days</v>
          </cell>
          <cell r="FF26">
            <v>85</v>
          </cell>
          <cell r="FG26" t="str">
            <v>62 to 90 Days</v>
          </cell>
          <cell r="FH26" t="str">
            <v>Done</v>
          </cell>
          <cell r="FI26" t="str">
            <v>Done</v>
          </cell>
          <cell r="FJ26" t="str">
            <v>Done</v>
          </cell>
          <cell r="FM26" t="str">
            <v/>
          </cell>
          <cell r="GF26" t="str">
            <v>SEVEBK37</v>
          </cell>
          <cell r="GG26" t="str">
            <v>2022-2023</v>
          </cell>
        </row>
        <row r="27">
          <cell r="E27" t="str">
            <v>City Center, Hinjewadi</v>
          </cell>
          <cell r="F27" t="str">
            <v>10. Launched</v>
          </cell>
          <cell r="G27" t="str">
            <v>NA</v>
          </cell>
          <cell r="H27" t="str">
            <v>_</v>
          </cell>
          <cell r="I27" t="str">
            <v>_</v>
          </cell>
          <cell r="J27" t="str">
            <v>QI3O</v>
          </cell>
          <cell r="K27" t="str">
            <v>W</v>
          </cell>
          <cell r="L27" t="str">
            <v>BK</v>
          </cell>
          <cell r="N27" t="str">
            <v>Sh Shashi Pardesi</v>
          </cell>
          <cell r="O27" t="str">
            <v>Sh Shashi Pardesi</v>
          </cell>
          <cell r="P27" t="str">
            <v>Sh. Shivkumar Goswani</v>
          </cell>
          <cell r="Q27" t="str">
            <v>Shahaji Gohatre</v>
          </cell>
          <cell r="R27" t="str">
            <v>Parth Sharma</v>
          </cell>
          <cell r="S27" t="str">
            <v>Maharashtra</v>
          </cell>
          <cell r="T27" t="str">
            <v>Pune</v>
          </cell>
          <cell r="U27" t="str">
            <v>Premium</v>
          </cell>
          <cell r="V27" t="str">
            <v>Misc Formats</v>
          </cell>
          <cell r="W27">
            <v>1443</v>
          </cell>
          <cell r="X27" t="str">
            <v>711 PMR Hinjewadi City Centre N Hinjewadi road Mulshi road 138/1 Showroom No1 Grd flr, City centre apt Wakad Maharashtra 411057 </v>
          </cell>
          <cell r="Z27" t="str">
            <v>Done</v>
          </cell>
          <cell r="AB27">
            <v>45033</v>
          </cell>
          <cell r="AC27">
            <v>45041</v>
          </cell>
          <cell r="AD27">
            <v>45048</v>
          </cell>
          <cell r="AE27">
            <v>45048</v>
          </cell>
          <cell r="AF27" t="str">
            <v>SDR DONE</v>
          </cell>
          <cell r="AG27">
            <v>10</v>
          </cell>
          <cell r="AH27" t="str">
            <v>_</v>
          </cell>
          <cell r="AJ27">
            <v>4</v>
          </cell>
          <cell r="AK27">
            <v>45281</v>
          </cell>
          <cell r="AL27" t="str">
            <v>Received</v>
          </cell>
          <cell r="AM27">
            <v>228</v>
          </cell>
          <cell r="AO27">
            <v>45284</v>
          </cell>
          <cell r="AP27">
            <v>45187</v>
          </cell>
          <cell r="AQ27">
            <v>0</v>
          </cell>
          <cell r="AR27">
            <v>45187</v>
          </cell>
          <cell r="AS27">
            <v>-97</v>
          </cell>
          <cell r="AT27" t="str">
            <v>Received</v>
          </cell>
          <cell r="AU27">
            <v>45285</v>
          </cell>
          <cell r="AV27">
            <v>45293</v>
          </cell>
          <cell r="AW27">
            <v>0</v>
          </cell>
          <cell r="AX27">
            <v>45293</v>
          </cell>
          <cell r="AY27">
            <v>7</v>
          </cell>
          <cell r="AZ27" t="str">
            <v>Received</v>
          </cell>
          <cell r="BA27">
            <v>45286</v>
          </cell>
          <cell r="BB27">
            <v>45097</v>
          </cell>
          <cell r="BC27">
            <v>0</v>
          </cell>
          <cell r="BD27">
            <v>45205</v>
          </cell>
          <cell r="BE27">
            <v>-81</v>
          </cell>
          <cell r="BF27" t="str">
            <v>Received</v>
          </cell>
          <cell r="BG27">
            <v>45286</v>
          </cell>
          <cell r="BH27">
            <v>45200</v>
          </cell>
          <cell r="BJ27">
            <v>45203</v>
          </cell>
          <cell r="BK27">
            <v>-83</v>
          </cell>
          <cell r="BL27" t="str">
            <v>Received</v>
          </cell>
          <cell r="BM27">
            <v>45284</v>
          </cell>
          <cell r="BN27">
            <v>45177</v>
          </cell>
          <cell r="BO27" t="str">
            <v>Received</v>
          </cell>
          <cell r="BP27">
            <v>45284</v>
          </cell>
          <cell r="BQ27">
            <v>45181</v>
          </cell>
          <cell r="BR27" t="str">
            <v>Received</v>
          </cell>
          <cell r="BT27">
            <v>45187</v>
          </cell>
          <cell r="BU27" t="str">
            <v>Received</v>
          </cell>
          <cell r="BV27" t="str">
            <v>Done</v>
          </cell>
          <cell r="BW27" t="str">
            <v>16-10-2023</v>
          </cell>
          <cell r="BX27">
            <v>45243</v>
          </cell>
          <cell r="BY27" t="str">
            <v>Done</v>
          </cell>
          <cell r="CD27" t="str">
            <v>Done</v>
          </cell>
          <cell r="CE27">
            <v>45282</v>
          </cell>
          <cell r="CF27" t="str">
            <v>KP projects</v>
          </cell>
          <cell r="CG27" t="str">
            <v>Vighnesh Electricals</v>
          </cell>
          <cell r="CH27" t="str">
            <v>Shree SVS Systems</v>
          </cell>
          <cell r="CJ27">
            <v>45282</v>
          </cell>
          <cell r="CK27">
            <v>45280</v>
          </cell>
          <cell r="CL27">
            <v>45280</v>
          </cell>
          <cell r="CN27">
            <v>45336</v>
          </cell>
          <cell r="CO27">
            <v>45332</v>
          </cell>
          <cell r="CP27">
            <v>45309</v>
          </cell>
          <cell r="CR27">
            <v>45335</v>
          </cell>
          <cell r="CS27">
            <v>45315</v>
          </cell>
          <cell r="CX27">
            <v>45334</v>
          </cell>
          <cell r="CY27">
            <v>45303</v>
          </cell>
          <cell r="CZ27">
            <v>45303</v>
          </cell>
          <cell r="DD27">
            <v>45280</v>
          </cell>
          <cell r="DE27">
            <v>60</v>
          </cell>
          <cell r="DF27">
            <v>45346</v>
          </cell>
          <cell r="DG27" t="str">
            <v>10. Launched</v>
          </cell>
          <cell r="DJ27" t="str">
            <v/>
          </cell>
          <cell r="DK27">
            <v>45286</v>
          </cell>
          <cell r="DP27">
            <v>45288</v>
          </cell>
          <cell r="DQ27">
            <v>45294</v>
          </cell>
          <cell r="DR27">
            <v>35</v>
          </cell>
          <cell r="DS27">
            <v>45</v>
          </cell>
          <cell r="DU27">
            <v>45329</v>
          </cell>
          <cell r="DV27">
            <v>45339</v>
          </cell>
          <cell r="DW27">
            <v>45329</v>
          </cell>
          <cell r="DX27" t="str">
            <v>Feb 24 Week 1</v>
          </cell>
          <cell r="DY27" t="str">
            <v/>
          </cell>
          <cell r="DZ27">
            <v>45345</v>
          </cell>
          <cell r="EA27" t="str">
            <v>Feb 24 Week 4</v>
          </cell>
          <cell r="ED27" t="str">
            <v/>
          </cell>
          <cell r="EE27" t="str">
            <v/>
          </cell>
          <cell r="EF27">
            <v>1</v>
          </cell>
          <cell r="EG27">
            <v>1</v>
          </cell>
          <cell r="EJ27">
            <v>45301</v>
          </cell>
          <cell r="EM27">
            <v>45308</v>
          </cell>
          <cell r="EP27">
            <v>45315</v>
          </cell>
          <cell r="ES27">
            <v>45322</v>
          </cell>
          <cell r="EV27">
            <v>45329</v>
          </cell>
          <cell r="FD27">
            <v>16</v>
          </cell>
          <cell r="FE27" t="str">
            <v>16 to 31 Days</v>
          </cell>
          <cell r="FF27">
            <v>22</v>
          </cell>
          <cell r="FG27" t="str">
            <v>16 to 31 Days</v>
          </cell>
          <cell r="FH27" t="str">
            <v>Done</v>
          </cell>
          <cell r="FI27" t="str">
            <v>Done</v>
          </cell>
          <cell r="FJ27" t="str">
            <v>Done</v>
          </cell>
          <cell r="FK27">
            <v>45399</v>
          </cell>
          <cell r="FM27" t="str">
            <v/>
          </cell>
          <cell r="GG27" t="str">
            <v>2023-2024</v>
          </cell>
        </row>
        <row r="28">
          <cell r="E28" t="str">
            <v>CJ Store - Pranjee Marina</v>
          </cell>
          <cell r="F28" t="str">
            <v>10. Launched</v>
          </cell>
          <cell r="G28" t="str">
            <v>NA</v>
          </cell>
          <cell r="H28" t="str">
            <v>MU-SM-GMU-569/SE</v>
          </cell>
          <cell r="I28" t="str">
            <v>F1ZR</v>
          </cell>
          <cell r="J28" t="str">
            <v>QC5O</v>
          </cell>
          <cell r="K28" t="str">
            <v>W</v>
          </cell>
          <cell r="L28" t="str">
            <v>BK</v>
          </cell>
          <cell r="N28" t="str">
            <v>Sh Sanjiv Johari</v>
          </cell>
          <cell r="O28" t="str">
            <v>Sh. Atul M Sawant</v>
          </cell>
          <cell r="P28" t="str">
            <v>Sh. Majid Hassan</v>
          </cell>
          <cell r="Q28" t="str">
            <v>Shahaji Gohatre</v>
          </cell>
          <cell r="R28" t="str">
            <v>Parth Sharma</v>
          </cell>
          <cell r="S28" t="str">
            <v>Maharashtra</v>
          </cell>
          <cell r="T28" t="str">
            <v>Navi Mumbai</v>
          </cell>
          <cell r="U28" t="str">
            <v>Premium</v>
          </cell>
          <cell r="V28" t="str">
            <v>Misc Formats</v>
          </cell>
          <cell r="W28">
            <v>676</v>
          </cell>
          <cell r="X28" t="str">
            <v xml:space="preserve"> Shop No - 07, Pranjee Marina, Sector - 13, Koparkhairane, Vashi 400709</v>
          </cell>
          <cell r="Z28" t="str">
            <v>Done</v>
          </cell>
          <cell r="AB28">
            <v>44481</v>
          </cell>
          <cell r="AC28">
            <v>44483</v>
          </cell>
          <cell r="AD28">
            <v>44485</v>
          </cell>
          <cell r="AE28">
            <v>44485</v>
          </cell>
          <cell r="AF28" t="str">
            <v>SDR DONE</v>
          </cell>
          <cell r="AG28">
            <v>0</v>
          </cell>
          <cell r="AH28" t="str">
            <v>_</v>
          </cell>
          <cell r="AI28">
            <v>44519</v>
          </cell>
          <cell r="AJ28">
            <v>0</v>
          </cell>
          <cell r="AK28">
            <v>44519</v>
          </cell>
          <cell r="AL28" t="str">
            <v>Received</v>
          </cell>
          <cell r="AM28">
            <v>29</v>
          </cell>
          <cell r="AO28">
            <v>44522</v>
          </cell>
          <cell r="AP28">
            <v>44529</v>
          </cell>
          <cell r="AR28">
            <v>44529</v>
          </cell>
          <cell r="AS28">
            <v>7</v>
          </cell>
          <cell r="AT28" t="str">
            <v>Received</v>
          </cell>
          <cell r="AU28">
            <v>44523</v>
          </cell>
          <cell r="AV28" t="str">
            <v>NA</v>
          </cell>
          <cell r="AW28" t="str">
            <v>NA</v>
          </cell>
          <cell r="AX28" t="str">
            <v>NA</v>
          </cell>
          <cell r="AZ28" t="str">
            <v>Received</v>
          </cell>
          <cell r="BA28">
            <v>44524</v>
          </cell>
          <cell r="BB28">
            <v>44541</v>
          </cell>
          <cell r="BC28">
            <v>0</v>
          </cell>
          <cell r="BD28">
            <v>44541</v>
          </cell>
          <cell r="BE28">
            <v>16</v>
          </cell>
          <cell r="BF28" t="str">
            <v>Received</v>
          </cell>
          <cell r="BG28">
            <v>44524</v>
          </cell>
          <cell r="BH28">
            <v>44541</v>
          </cell>
          <cell r="BJ28">
            <v>44541</v>
          </cell>
          <cell r="BK28">
            <v>16</v>
          </cell>
          <cell r="BL28" t="str">
            <v>Received</v>
          </cell>
          <cell r="BM28">
            <v>44522</v>
          </cell>
          <cell r="BN28">
            <v>44530</v>
          </cell>
          <cell r="BO28" t="str">
            <v>Received</v>
          </cell>
          <cell r="BP28">
            <v>44522</v>
          </cell>
          <cell r="BQ28">
            <v>44529</v>
          </cell>
          <cell r="BR28" t="str">
            <v>Received</v>
          </cell>
          <cell r="BT28">
            <v>44547</v>
          </cell>
          <cell r="BU28" t="str">
            <v>Received</v>
          </cell>
          <cell r="BV28" t="str">
            <v>Done</v>
          </cell>
          <cell r="BW28" t="str">
            <v>11-12-2021</v>
          </cell>
          <cell r="BX28">
            <v>44544</v>
          </cell>
          <cell r="BY28" t="str">
            <v>Done</v>
          </cell>
          <cell r="CD28" t="str">
            <v>Done</v>
          </cell>
          <cell r="CE28" t="str">
            <v>Done</v>
          </cell>
          <cell r="CF28" t="str">
            <v>K J Interiors</v>
          </cell>
          <cell r="CG28" t="str">
            <v>K j Interiors</v>
          </cell>
          <cell r="CH28" t="str">
            <v>Elevate Group</v>
          </cell>
          <cell r="CN28" t="str">
            <v/>
          </cell>
          <cell r="CO28" t="str">
            <v/>
          </cell>
          <cell r="CP28" t="str">
            <v/>
          </cell>
          <cell r="CR28" t="str">
            <v/>
          </cell>
          <cell r="DE28">
            <v>120</v>
          </cell>
          <cell r="DF28">
            <v>44643</v>
          </cell>
          <cell r="DG28" t="str">
            <v>10. Launched</v>
          </cell>
          <cell r="DJ28" t="str">
            <v/>
          </cell>
          <cell r="DK28">
            <v>44523</v>
          </cell>
          <cell r="DP28">
            <v>44525</v>
          </cell>
          <cell r="DQ28">
            <v>44545</v>
          </cell>
          <cell r="DR28">
            <v>35</v>
          </cell>
          <cell r="DS28">
            <v>45</v>
          </cell>
          <cell r="DU28">
            <v>44580</v>
          </cell>
          <cell r="DV28">
            <v>44590</v>
          </cell>
          <cell r="DW28">
            <v>44580</v>
          </cell>
          <cell r="DY28" t="str">
            <v/>
          </cell>
          <cell r="DZ28">
            <v>44604</v>
          </cell>
          <cell r="ED28" t="str">
            <v/>
          </cell>
          <cell r="EE28" t="str">
            <v/>
          </cell>
          <cell r="EF28">
            <v>1</v>
          </cell>
          <cell r="EG28">
            <v>1</v>
          </cell>
          <cell r="EJ28">
            <v>44552</v>
          </cell>
          <cell r="EM28">
            <v>44559</v>
          </cell>
          <cell r="EP28">
            <v>44566</v>
          </cell>
          <cell r="ES28">
            <v>44573</v>
          </cell>
          <cell r="EV28">
            <v>44580</v>
          </cell>
          <cell r="FD28">
            <v>24</v>
          </cell>
          <cell r="FE28" t="str">
            <v>16 to 31 Days</v>
          </cell>
          <cell r="FF28">
            <v>44</v>
          </cell>
          <cell r="FG28" t="str">
            <v>31 to 61 Days</v>
          </cell>
          <cell r="FH28" t="str">
            <v>Done</v>
          </cell>
          <cell r="FI28" t="str">
            <v>Done</v>
          </cell>
          <cell r="FJ28" t="str">
            <v>Done</v>
          </cell>
          <cell r="FK28">
            <v>45243</v>
          </cell>
          <cell r="FM28" t="str">
            <v/>
          </cell>
          <cell r="GG28" t="str">
            <v>2021-2022</v>
          </cell>
        </row>
        <row r="29">
          <cell r="E29" t="str">
            <v>Coffee Shop no - 1, Mindspace (West)</v>
          </cell>
          <cell r="F29" t="str">
            <v>11. HOLD</v>
          </cell>
          <cell r="G29" t="str">
            <v>NA</v>
          </cell>
          <cell r="H29" t="str">
            <v>_</v>
          </cell>
          <cell r="I29" t="str">
            <v>_</v>
          </cell>
          <cell r="K29" t="str">
            <v>W</v>
          </cell>
          <cell r="L29" t="str">
            <v>BK</v>
          </cell>
          <cell r="N29" t="str">
            <v>Sh Mrudang Shah</v>
          </cell>
          <cell r="O29" t="str">
            <v>Sh Nitin Dawange</v>
          </cell>
          <cell r="P29" t="str">
            <v/>
          </cell>
          <cell r="Q29" t="str">
            <v>Shahaji Gohatre</v>
          </cell>
          <cell r="R29" t="str">
            <v>Parth Sharma</v>
          </cell>
          <cell r="S29" t="str">
            <v>Maharashtra</v>
          </cell>
          <cell r="T29" t="str">
            <v>Navi Mumbai</v>
          </cell>
          <cell r="U29" t="str">
            <v>Premium</v>
          </cell>
          <cell r="V29" t="str">
            <v>Misc Formats</v>
          </cell>
          <cell r="W29" t="str">
            <v/>
          </cell>
          <cell r="X29" t="str">
            <v>Coffee Shop no. 01, Bldg. no.09, Mindspace Airoli (West)</v>
          </cell>
          <cell r="Z29" t="str">
            <v>_</v>
          </cell>
          <cell r="AB29">
            <v>45181</v>
          </cell>
          <cell r="AC29">
            <v>45183</v>
          </cell>
          <cell r="AF29" t="str">
            <v>DROP</v>
          </cell>
          <cell r="AG29">
            <v>991</v>
          </cell>
          <cell r="AH29" t="str">
            <v>_</v>
          </cell>
          <cell r="AL29" t="str">
            <v>Received</v>
          </cell>
          <cell r="BJ29" t="str">
            <v/>
          </cell>
          <cell r="BN29" t="str">
            <v/>
          </cell>
          <cell r="BW29" t="str">
            <v/>
          </cell>
          <cell r="CD29">
            <v>44985</v>
          </cell>
          <cell r="CE29" t="str">
            <v/>
          </cell>
          <cell r="CF29" t="str">
            <v/>
          </cell>
          <cell r="CG29" t="str">
            <v/>
          </cell>
          <cell r="CH29" t="str">
            <v/>
          </cell>
          <cell r="CN29" t="str">
            <v/>
          </cell>
          <cell r="CO29" t="str">
            <v/>
          </cell>
          <cell r="CP29" t="str">
            <v/>
          </cell>
          <cell r="CR29" t="str">
            <v/>
          </cell>
          <cell r="DG29" t="str">
            <v>11. HOLD</v>
          </cell>
          <cell r="DJ29" t="str">
            <v/>
          </cell>
          <cell r="DP29" t="str">
            <v/>
          </cell>
          <cell r="DR29">
            <v>35</v>
          </cell>
          <cell r="DS29">
            <v>45</v>
          </cell>
          <cell r="DX29" t="str">
            <v/>
          </cell>
          <cell r="DY29" t="str">
            <v/>
          </cell>
          <cell r="EA29" t="str">
            <v/>
          </cell>
          <cell r="ED29" t="str">
            <v/>
          </cell>
          <cell r="EE29" t="str">
            <v/>
          </cell>
          <cell r="FM29" t="str">
            <v/>
          </cell>
          <cell r="GG29" t="str">
            <v>2026-2027</v>
          </cell>
        </row>
        <row r="30">
          <cell r="E30" t="str">
            <v>Commerzone yearwada</v>
          </cell>
          <cell r="F30" t="str">
            <v>14. Dropped</v>
          </cell>
          <cell r="G30" t="str">
            <v>NA</v>
          </cell>
          <cell r="H30" t="str">
            <v>_</v>
          </cell>
          <cell r="I30" t="str">
            <v>_</v>
          </cell>
          <cell r="K30" t="str">
            <v>W</v>
          </cell>
          <cell r="L30" t="str">
            <v>BK</v>
          </cell>
          <cell r="N30" t="str">
            <v>Sh Shashi Pardesi</v>
          </cell>
          <cell r="O30" t="str">
            <v>Sh Ashish M</v>
          </cell>
          <cell r="P30" t="str">
            <v/>
          </cell>
          <cell r="Q30" t="str">
            <v>Shahaji Gohatre</v>
          </cell>
          <cell r="R30" t="str">
            <v>Parth Sharma</v>
          </cell>
          <cell r="S30" t="str">
            <v>Maharashtra</v>
          </cell>
          <cell r="T30" t="str">
            <v>Pune</v>
          </cell>
          <cell r="U30" t="str">
            <v>Premium</v>
          </cell>
          <cell r="V30" t="str">
            <v>Misc Formats</v>
          </cell>
          <cell r="W30">
            <v>710</v>
          </cell>
          <cell r="X30" t="str">
            <v>Unit 002 , building 8 Commerzone IT Park, Yerawada, Pune,  Maharashtra</v>
          </cell>
          <cell r="Z30" t="str">
            <v>_</v>
          </cell>
          <cell r="AB30">
            <v>45180</v>
          </cell>
          <cell r="AC30">
            <v>45184</v>
          </cell>
          <cell r="AD30">
            <v>45191</v>
          </cell>
          <cell r="AE30">
            <v>45191</v>
          </cell>
          <cell r="AF30" t="str">
            <v>SDR DONE</v>
          </cell>
          <cell r="AG30">
            <v>6</v>
          </cell>
          <cell r="AH30" t="str">
            <v>_</v>
          </cell>
          <cell r="AJ30">
            <v>1</v>
          </cell>
          <cell r="AK30">
            <v>45455</v>
          </cell>
          <cell r="AL30" t="str">
            <v>Received</v>
          </cell>
          <cell r="AM30">
            <v>259</v>
          </cell>
          <cell r="AO30">
            <v>45458</v>
          </cell>
          <cell r="AP30">
            <v>45218</v>
          </cell>
          <cell r="AR30">
            <v>45492</v>
          </cell>
          <cell r="AS30">
            <v>34</v>
          </cell>
          <cell r="AU30">
            <v>45459</v>
          </cell>
          <cell r="AV30">
            <v>45225</v>
          </cell>
          <cell r="AX30">
            <v>45495</v>
          </cell>
          <cell r="AY30">
            <v>35</v>
          </cell>
          <cell r="AZ30" t="str">
            <v>C&amp; I Structural support Received on 22-07-2024</v>
          </cell>
          <cell r="BA30">
            <v>45460</v>
          </cell>
          <cell r="BB30">
            <v>45481</v>
          </cell>
          <cell r="BD30">
            <v>45481</v>
          </cell>
          <cell r="BE30">
            <v>20</v>
          </cell>
          <cell r="BF30" t="str">
            <v>PLB received on 04-07-2024
HVAC/FF received on 08-07-2024</v>
          </cell>
          <cell r="BG30">
            <v>45460</v>
          </cell>
          <cell r="BH30">
            <v>45280</v>
          </cell>
          <cell r="BJ30">
            <v>45504</v>
          </cell>
          <cell r="BK30">
            <v>43</v>
          </cell>
          <cell r="BM30">
            <v>45458</v>
          </cell>
          <cell r="BN30" t="str">
            <v>06-10-2023
13-06-2024</v>
          </cell>
          <cell r="BP30">
            <v>45458</v>
          </cell>
          <cell r="BR30" t="str">
            <v>Received</v>
          </cell>
          <cell r="BU30" t="str">
            <v>C&amp;I/IT/SLP/Plumbing/HVAC/FF GFC/Fixture &amp; Component BOQ Received</v>
          </cell>
          <cell r="BW30" t="str">
            <v>27-12-2023</v>
          </cell>
          <cell r="BY30" t="str">
            <v>Pending</v>
          </cell>
          <cell r="CD30">
            <v>45083</v>
          </cell>
          <cell r="CE30" t="str">
            <v/>
          </cell>
          <cell r="CF30" t="str">
            <v/>
          </cell>
          <cell r="CG30" t="str">
            <v/>
          </cell>
          <cell r="CH30" t="str">
            <v/>
          </cell>
          <cell r="CN30" t="str">
            <v/>
          </cell>
          <cell r="CO30" t="str">
            <v/>
          </cell>
          <cell r="CP30" t="str">
            <v/>
          </cell>
          <cell r="CR30" t="str">
            <v/>
          </cell>
          <cell r="DG30" t="str">
            <v>14. Dropped</v>
          </cell>
          <cell r="DJ30" t="str">
            <v/>
          </cell>
          <cell r="DP30" t="str">
            <v/>
          </cell>
          <cell r="DR30">
            <v>35</v>
          </cell>
          <cell r="DS30">
            <v>45</v>
          </cell>
          <cell r="DX30" t="str">
            <v/>
          </cell>
          <cell r="DY30" t="str">
            <v/>
          </cell>
          <cell r="EA30" t="str">
            <v/>
          </cell>
          <cell r="ED30" t="str">
            <v/>
          </cell>
          <cell r="EE30" t="str">
            <v/>
          </cell>
          <cell r="FM30" t="str">
            <v/>
          </cell>
          <cell r="GG30" t="str">
            <v>2024-2025</v>
          </cell>
        </row>
        <row r="31">
          <cell r="E31" t="str">
            <v>Cornerstone Anselm</v>
          </cell>
          <cell r="F31" t="str">
            <v>10. Launched</v>
          </cell>
          <cell r="G31" t="str">
            <v>NA</v>
          </cell>
          <cell r="H31" t="str">
            <v>MU-SM-GMU-608 </v>
          </cell>
          <cell r="I31" t="str">
            <v>_</v>
          </cell>
          <cell r="J31" t="str">
            <v>QG6K</v>
          </cell>
          <cell r="K31" t="str">
            <v>W</v>
          </cell>
          <cell r="L31" t="str">
            <v>BK</v>
          </cell>
          <cell r="N31" t="str">
            <v>Sh Sanjiv Johari</v>
          </cell>
          <cell r="O31" t="str">
            <v>Sh. Atul M Sawant</v>
          </cell>
          <cell r="P31" t="str">
            <v>Sh. Ajinkya More</v>
          </cell>
          <cell r="Q31" t="str">
            <v>Shahaji Gohatre</v>
          </cell>
          <cell r="R31" t="str">
            <v>Parth Sharma</v>
          </cell>
          <cell r="S31" t="str">
            <v>Maharashtra</v>
          </cell>
          <cell r="T31" t="str">
            <v>Mumbai</v>
          </cell>
          <cell r="U31" t="str">
            <v>Premium</v>
          </cell>
          <cell r="V31" t="str">
            <v>Misc Formats</v>
          </cell>
          <cell r="W31">
            <v>987</v>
          </cell>
          <cell r="X31" t="str">
            <v>Shop No.05, Ground Floor, SB Cornerstone, Anselm, Gurunath warda Marg, Christian Gaon, Kurla-West, Mumbai- 400070</v>
          </cell>
          <cell r="Z31" t="str">
            <v>Done</v>
          </cell>
          <cell r="AB31">
            <v>44667</v>
          </cell>
          <cell r="AC31">
            <v>44671</v>
          </cell>
          <cell r="AD31">
            <v>44672</v>
          </cell>
          <cell r="AE31">
            <v>44672</v>
          </cell>
          <cell r="AF31" t="str">
            <v>SDR DONE</v>
          </cell>
          <cell r="AG31">
            <v>0</v>
          </cell>
          <cell r="AH31" t="str">
            <v>_</v>
          </cell>
          <cell r="AI31">
            <v>44747</v>
          </cell>
          <cell r="AJ31">
            <v>0</v>
          </cell>
          <cell r="AK31">
            <v>44747</v>
          </cell>
          <cell r="AL31" t="str">
            <v>Received</v>
          </cell>
          <cell r="AM31">
            <v>70</v>
          </cell>
          <cell r="AO31">
            <v>44750</v>
          </cell>
          <cell r="AP31">
            <v>44780</v>
          </cell>
          <cell r="AR31">
            <v>44837</v>
          </cell>
          <cell r="AS31">
            <v>87</v>
          </cell>
          <cell r="AT31" t="str">
            <v>Received</v>
          </cell>
          <cell r="AU31">
            <v>44751</v>
          </cell>
          <cell r="AV31" t="str">
            <v>NA</v>
          </cell>
          <cell r="AW31" t="str">
            <v>NA</v>
          </cell>
          <cell r="AX31" t="str">
            <v>NA</v>
          </cell>
          <cell r="AZ31" t="str">
            <v>Received</v>
          </cell>
          <cell r="BA31">
            <v>44752</v>
          </cell>
          <cell r="BB31">
            <v>44772</v>
          </cell>
          <cell r="BC31">
            <v>0</v>
          </cell>
          <cell r="BD31">
            <v>44772</v>
          </cell>
          <cell r="BE31">
            <v>19</v>
          </cell>
          <cell r="BF31" t="str">
            <v>Received</v>
          </cell>
          <cell r="BG31">
            <v>44752</v>
          </cell>
          <cell r="BH31">
            <v>44776</v>
          </cell>
          <cell r="BJ31">
            <v>44776</v>
          </cell>
          <cell r="BK31">
            <v>23</v>
          </cell>
          <cell r="BL31" t="str">
            <v>Received</v>
          </cell>
          <cell r="BM31">
            <v>44750</v>
          </cell>
          <cell r="BN31">
            <v>44753</v>
          </cell>
          <cell r="BO31" t="str">
            <v>Received</v>
          </cell>
          <cell r="BP31">
            <v>44750</v>
          </cell>
          <cell r="BQ31">
            <v>44774</v>
          </cell>
          <cell r="BR31" t="str">
            <v>Received</v>
          </cell>
          <cell r="BT31">
            <v>44822</v>
          </cell>
          <cell r="BU31" t="str">
            <v>Received</v>
          </cell>
          <cell r="BV31" t="str">
            <v>Done</v>
          </cell>
          <cell r="BW31" t="str">
            <v>11-12-2021</v>
          </cell>
          <cell r="BX31">
            <v>44544</v>
          </cell>
          <cell r="BY31" t="str">
            <v>Done</v>
          </cell>
          <cell r="CD31" t="str">
            <v>Done</v>
          </cell>
          <cell r="CE31">
            <v>44771</v>
          </cell>
          <cell r="CF31" t="str">
            <v>R.K Interiors</v>
          </cell>
          <cell r="CG31" t="str">
            <v>R.K Interiors</v>
          </cell>
          <cell r="CH31" t="str">
            <v>R.K Interiors</v>
          </cell>
          <cell r="CJ31">
            <v>44771</v>
          </cell>
          <cell r="CK31">
            <v>44765</v>
          </cell>
          <cell r="CN31" t="str">
            <v/>
          </cell>
          <cell r="CO31" t="str">
            <v/>
          </cell>
          <cell r="CP31" t="str">
            <v/>
          </cell>
          <cell r="CR31" t="str">
            <v/>
          </cell>
          <cell r="DD31">
            <v>44789</v>
          </cell>
          <cell r="DG31" t="str">
            <v>10. Launched</v>
          </cell>
          <cell r="DJ31" t="str">
            <v/>
          </cell>
          <cell r="DK31">
            <v>44796</v>
          </cell>
          <cell r="DP31">
            <v>44798</v>
          </cell>
          <cell r="DQ31">
            <v>44803</v>
          </cell>
          <cell r="DR31">
            <v>35</v>
          </cell>
          <cell r="DS31">
            <v>45</v>
          </cell>
          <cell r="DU31">
            <v>44838</v>
          </cell>
          <cell r="DV31">
            <v>44848</v>
          </cell>
          <cell r="DW31">
            <v>44838</v>
          </cell>
          <cell r="DY31" t="str">
            <v/>
          </cell>
          <cell r="DZ31">
            <v>44883</v>
          </cell>
          <cell r="ED31" t="str">
            <v/>
          </cell>
          <cell r="EE31" t="str">
            <v/>
          </cell>
          <cell r="EF31">
            <v>1</v>
          </cell>
          <cell r="EG31">
            <v>1</v>
          </cell>
          <cell r="EJ31">
            <v>44810</v>
          </cell>
          <cell r="EM31">
            <v>44817</v>
          </cell>
          <cell r="EP31">
            <v>44824</v>
          </cell>
          <cell r="ES31">
            <v>44831</v>
          </cell>
          <cell r="EV31">
            <v>44838</v>
          </cell>
          <cell r="FD31">
            <v>45</v>
          </cell>
          <cell r="FE31" t="str">
            <v>31 to 61 Days</v>
          </cell>
          <cell r="FF31">
            <v>50</v>
          </cell>
          <cell r="FG31" t="str">
            <v>31 to 61 Days</v>
          </cell>
          <cell r="FH31" t="str">
            <v>Done</v>
          </cell>
          <cell r="FI31" t="str">
            <v>Done</v>
          </cell>
          <cell r="FJ31" t="str">
            <v>Done</v>
          </cell>
          <cell r="FM31" t="str">
            <v/>
          </cell>
          <cell r="GG31" t="str">
            <v>2022-2023</v>
          </cell>
        </row>
        <row r="32">
          <cell r="E32" t="str">
            <v>Dev Ashoka</v>
          </cell>
          <cell r="F32" t="str">
            <v>10. Launched</v>
          </cell>
          <cell r="G32" t="str">
            <v>NA</v>
          </cell>
          <cell r="H32" t="str">
            <v>_</v>
          </cell>
          <cell r="I32" t="str">
            <v>_</v>
          </cell>
          <cell r="J32" t="str">
            <v>Q1I5</v>
          </cell>
          <cell r="K32" t="str">
            <v>W</v>
          </cell>
          <cell r="L32" t="str">
            <v>BK</v>
          </cell>
          <cell r="N32" t="str">
            <v>Sh Sanjiv Johari</v>
          </cell>
          <cell r="O32" t="str">
            <v>Sh. Atul M Sawant</v>
          </cell>
          <cell r="P32" t="str">
            <v>Sh. Dharmendra Mahtre</v>
          </cell>
          <cell r="Q32" t="str">
            <v>Shahaji Gohatre</v>
          </cell>
          <cell r="R32" t="str">
            <v>Parth Sharma</v>
          </cell>
          <cell r="S32" t="str">
            <v>Maharashtra</v>
          </cell>
          <cell r="T32" t="str">
            <v>Thane</v>
          </cell>
          <cell r="U32" t="str">
            <v>Premium</v>
          </cell>
          <cell r="V32" t="str">
            <v>Misc Formats</v>
          </cell>
          <cell r="W32">
            <v>668</v>
          </cell>
          <cell r="X32" t="str">
            <v>Shop No.06 &amp; 07, Dev Ashoka, Near Nitin Company Signal, Thane-West.</v>
          </cell>
          <cell r="Z32" t="str">
            <v>Done</v>
          </cell>
          <cell r="AB32">
            <v>44730</v>
          </cell>
          <cell r="AC32">
            <v>44733</v>
          </cell>
          <cell r="AD32">
            <v>44734</v>
          </cell>
          <cell r="AE32">
            <v>44734</v>
          </cell>
          <cell r="AF32" t="str">
            <v>SDR DONE</v>
          </cell>
          <cell r="AG32">
            <v>0</v>
          </cell>
          <cell r="AH32" t="str">
            <v>_</v>
          </cell>
          <cell r="AI32">
            <v>44797</v>
          </cell>
          <cell r="AJ32">
            <v>0</v>
          </cell>
          <cell r="AK32">
            <v>44797</v>
          </cell>
          <cell r="AL32" t="str">
            <v>Received</v>
          </cell>
          <cell r="AM32">
            <v>58</v>
          </cell>
          <cell r="AO32">
            <v>44800</v>
          </cell>
          <cell r="AP32">
            <v>44806</v>
          </cell>
          <cell r="AR32">
            <v>44889</v>
          </cell>
          <cell r="AS32">
            <v>89</v>
          </cell>
          <cell r="AT32" t="str">
            <v>Received</v>
          </cell>
          <cell r="AU32">
            <v>44801</v>
          </cell>
          <cell r="AV32" t="str">
            <v>NA</v>
          </cell>
          <cell r="AW32" t="str">
            <v>NA</v>
          </cell>
          <cell r="AX32" t="str">
            <v>NA</v>
          </cell>
          <cell r="AZ32" t="str">
            <v>Received</v>
          </cell>
          <cell r="BA32">
            <v>44802</v>
          </cell>
          <cell r="BB32">
            <v>44833</v>
          </cell>
          <cell r="BC32">
            <v>0</v>
          </cell>
          <cell r="BD32">
            <v>44833</v>
          </cell>
          <cell r="BE32">
            <v>30</v>
          </cell>
          <cell r="BF32" t="str">
            <v>Received</v>
          </cell>
          <cell r="BG32">
            <v>44802</v>
          </cell>
          <cell r="BH32">
            <v>44837</v>
          </cell>
          <cell r="BJ32">
            <v>44837</v>
          </cell>
          <cell r="BK32">
            <v>34</v>
          </cell>
          <cell r="BL32" t="str">
            <v>Received</v>
          </cell>
          <cell r="BM32">
            <v>44800</v>
          </cell>
          <cell r="BN32">
            <v>44798</v>
          </cell>
          <cell r="BO32" t="str">
            <v>Received</v>
          </cell>
          <cell r="BP32">
            <v>44800</v>
          </cell>
          <cell r="BQ32">
            <v>44830</v>
          </cell>
          <cell r="BR32" t="str">
            <v>Received</v>
          </cell>
          <cell r="BT32">
            <v>44874</v>
          </cell>
          <cell r="BU32" t="str">
            <v>Received</v>
          </cell>
          <cell r="BV32" t="str">
            <v>Done</v>
          </cell>
          <cell r="BW32" t="str">
            <v>11-12-2021</v>
          </cell>
          <cell r="BX32">
            <v>44544</v>
          </cell>
          <cell r="BY32" t="str">
            <v>Done</v>
          </cell>
          <cell r="CD32" t="str">
            <v>Done</v>
          </cell>
          <cell r="CE32">
            <v>44837</v>
          </cell>
          <cell r="CF32" t="str">
            <v>R.K Interiors</v>
          </cell>
          <cell r="CG32" t="str">
            <v>R.K Interiors</v>
          </cell>
          <cell r="CH32" t="str">
            <v>R.K Interiors</v>
          </cell>
          <cell r="CJ32">
            <v>44837</v>
          </cell>
          <cell r="CK32">
            <v>44834</v>
          </cell>
          <cell r="CN32">
            <v>44907</v>
          </cell>
          <cell r="CO32" t="str">
            <v/>
          </cell>
          <cell r="CP32" t="str">
            <v/>
          </cell>
          <cell r="CR32" t="str">
            <v/>
          </cell>
          <cell r="DD32">
            <v>44826</v>
          </cell>
          <cell r="DG32" t="str">
            <v>10. Launched</v>
          </cell>
          <cell r="DJ32" t="str">
            <v/>
          </cell>
          <cell r="DK32">
            <v>44830</v>
          </cell>
          <cell r="DP32">
            <v>44832</v>
          </cell>
          <cell r="DQ32">
            <v>44835</v>
          </cell>
          <cell r="DR32">
            <v>35</v>
          </cell>
          <cell r="DS32">
            <v>45</v>
          </cell>
          <cell r="DU32">
            <v>44870</v>
          </cell>
          <cell r="DV32">
            <v>44880</v>
          </cell>
          <cell r="DW32">
            <v>44870</v>
          </cell>
          <cell r="DY32" t="str">
            <v/>
          </cell>
          <cell r="DZ32">
            <v>44923</v>
          </cell>
          <cell r="ED32" t="str">
            <v/>
          </cell>
          <cell r="EE32" t="str">
            <v/>
          </cell>
          <cell r="EF32">
            <v>1</v>
          </cell>
          <cell r="EG32">
            <v>1</v>
          </cell>
          <cell r="EJ32">
            <v>44842</v>
          </cell>
          <cell r="EM32">
            <v>44849</v>
          </cell>
          <cell r="EP32">
            <v>44856</v>
          </cell>
          <cell r="ES32">
            <v>44863</v>
          </cell>
          <cell r="EV32">
            <v>44870</v>
          </cell>
          <cell r="FD32">
            <v>53</v>
          </cell>
          <cell r="FE32" t="str">
            <v>31 to 61 Days</v>
          </cell>
          <cell r="FF32">
            <v>56</v>
          </cell>
          <cell r="FG32" t="str">
            <v>31 to 61 Days</v>
          </cell>
          <cell r="FH32" t="str">
            <v>Done</v>
          </cell>
          <cell r="FI32" t="str">
            <v>Done</v>
          </cell>
          <cell r="FJ32" t="str">
            <v>Done</v>
          </cell>
          <cell r="FM32" t="str">
            <v/>
          </cell>
          <cell r="GG32" t="str">
            <v>2022-2023</v>
          </cell>
        </row>
        <row r="33">
          <cell r="E33" t="str">
            <v>Durga Dham, Thane</v>
          </cell>
          <cell r="F33" t="str">
            <v>14. Dropped</v>
          </cell>
          <cell r="G33" t="str">
            <v>NA</v>
          </cell>
          <cell r="H33" t="str">
            <v>_</v>
          </cell>
          <cell r="I33" t="str">
            <v>_</v>
          </cell>
          <cell r="K33" t="str">
            <v>W</v>
          </cell>
          <cell r="L33" t="str">
            <v>BK</v>
          </cell>
          <cell r="N33" t="str">
            <v>Sh Mrudang Shah</v>
          </cell>
          <cell r="O33" t="str">
            <v>Sh Nitin Dawange</v>
          </cell>
          <cell r="P33" t="str">
            <v/>
          </cell>
          <cell r="Q33" t="str">
            <v>Shahaji Gohatre</v>
          </cell>
          <cell r="R33" t="str">
            <v>Parth Sharma</v>
          </cell>
          <cell r="S33" t="str">
            <v>Maharashtra</v>
          </cell>
          <cell r="T33" t="str">
            <v>Thane</v>
          </cell>
          <cell r="U33" t="str">
            <v>Premium</v>
          </cell>
          <cell r="V33" t="str">
            <v>Misc Formats</v>
          </cell>
          <cell r="W33">
            <v>1084</v>
          </cell>
          <cell r="X33" t="str">
            <v>Shop No. 1 &amp; 2, Durga Dham, Ghantali, Thane West, Thane, Maharashtra 400602</v>
          </cell>
          <cell r="Z33" t="str">
            <v>_</v>
          </cell>
          <cell r="AB33">
            <v>45198</v>
          </cell>
          <cell r="AC33">
            <v>45212</v>
          </cell>
          <cell r="AD33">
            <v>45226</v>
          </cell>
          <cell r="AE33">
            <v>45226</v>
          </cell>
          <cell r="AF33" t="str">
            <v>SDR DONE</v>
          </cell>
          <cell r="AG33">
            <v>23</v>
          </cell>
          <cell r="AH33" t="str">
            <v>_</v>
          </cell>
          <cell r="AK33">
            <v>45258</v>
          </cell>
          <cell r="AL33" t="str">
            <v>Received</v>
          </cell>
          <cell r="AM33">
            <v>27</v>
          </cell>
          <cell r="AO33">
            <v>45261</v>
          </cell>
          <cell r="AP33">
            <v>45265</v>
          </cell>
          <cell r="AR33">
            <v>45265</v>
          </cell>
          <cell r="AS33">
            <v>4</v>
          </cell>
          <cell r="AU33">
            <v>45262</v>
          </cell>
          <cell r="AV33" t="str">
            <v/>
          </cell>
          <cell r="BA33">
            <v>45263</v>
          </cell>
          <cell r="BB33">
            <v>45278</v>
          </cell>
          <cell r="BD33">
            <v>45278</v>
          </cell>
          <cell r="BE33">
            <v>14</v>
          </cell>
          <cell r="BG33">
            <v>45263</v>
          </cell>
          <cell r="BH33">
            <v>45285</v>
          </cell>
          <cell r="BJ33">
            <v>45285</v>
          </cell>
          <cell r="BK33">
            <v>21</v>
          </cell>
          <cell r="BM33">
            <v>45261</v>
          </cell>
          <cell r="BN33">
            <v>45259</v>
          </cell>
          <cell r="BP33">
            <v>45261</v>
          </cell>
          <cell r="BQ33">
            <v>45260</v>
          </cell>
          <cell r="BR33" t="str">
            <v>Received</v>
          </cell>
          <cell r="BT33">
            <v>45277</v>
          </cell>
          <cell r="BW33" t="str">
            <v/>
          </cell>
          <cell r="CE33" t="str">
            <v/>
          </cell>
          <cell r="CF33" t="str">
            <v/>
          </cell>
          <cell r="CG33" t="str">
            <v/>
          </cell>
          <cell r="CH33" t="str">
            <v/>
          </cell>
          <cell r="CN33" t="str">
            <v/>
          </cell>
          <cell r="CO33" t="str">
            <v/>
          </cell>
          <cell r="CP33" t="str">
            <v/>
          </cell>
          <cell r="CR33" t="str">
            <v/>
          </cell>
          <cell r="DG33" t="str">
            <v>14. Dropped</v>
          </cell>
          <cell r="DJ33" t="str">
            <v/>
          </cell>
          <cell r="DP33" t="str">
            <v/>
          </cell>
          <cell r="DR33">
            <v>35</v>
          </cell>
          <cell r="DS33">
            <v>45</v>
          </cell>
          <cell r="DX33" t="str">
            <v/>
          </cell>
          <cell r="DY33" t="str">
            <v/>
          </cell>
          <cell r="EA33" t="str">
            <v/>
          </cell>
          <cell r="ED33" t="str">
            <v/>
          </cell>
          <cell r="EE33" t="str">
            <v/>
          </cell>
          <cell r="FM33" t="str">
            <v/>
          </cell>
          <cell r="GG33" t="str">
            <v>2024-2025</v>
          </cell>
        </row>
        <row r="34">
          <cell r="E34" t="str">
            <v>D'Victoria Mall, Borivali</v>
          </cell>
          <cell r="F34" t="str">
            <v>10. Launched</v>
          </cell>
          <cell r="G34" t="str">
            <v>NA</v>
          </cell>
          <cell r="H34" t="str">
            <v>MU-HM-GMU-004-711</v>
          </cell>
          <cell r="I34" t="str">
            <v>_</v>
          </cell>
          <cell r="J34" t="str">
            <v>QGLJ</v>
          </cell>
          <cell r="K34" t="str">
            <v>W</v>
          </cell>
          <cell r="L34" t="str">
            <v>BK</v>
          </cell>
          <cell r="N34" t="str">
            <v>Sh Sanjiv Johari</v>
          </cell>
          <cell r="O34" t="str">
            <v>Sh. Atul M Sawant</v>
          </cell>
          <cell r="P34" t="str">
            <v>Sh. Rafique Khan</v>
          </cell>
          <cell r="Q34" t="str">
            <v>Shahaji Gohatre</v>
          </cell>
          <cell r="R34" t="str">
            <v>Parth Sharma</v>
          </cell>
          <cell r="S34" t="str">
            <v>Maharashtra</v>
          </cell>
          <cell r="T34" t="str">
            <v>Mumbai</v>
          </cell>
          <cell r="U34" t="str">
            <v>Premium</v>
          </cell>
          <cell r="V34" t="str">
            <v>Misc Formats</v>
          </cell>
          <cell r="W34">
            <v>425</v>
          </cell>
          <cell r="X34" t="str">
            <v>Devpooja Builders D'Victoria Mall, Shimpoli Rd, Borivali West, Mumbai, Maharashtra 400092</v>
          </cell>
          <cell r="Z34" t="str">
            <v>Done</v>
          </cell>
          <cell r="AB34">
            <v>44655</v>
          </cell>
          <cell r="AC34">
            <v>44657</v>
          </cell>
          <cell r="AD34">
            <v>44661</v>
          </cell>
          <cell r="AE34">
            <v>44661</v>
          </cell>
          <cell r="AF34" t="str">
            <v>SDR DONE</v>
          </cell>
          <cell r="AG34">
            <v>1</v>
          </cell>
          <cell r="AH34" t="str">
            <v>_</v>
          </cell>
          <cell r="AI34">
            <v>44692</v>
          </cell>
          <cell r="AJ34">
            <v>1</v>
          </cell>
          <cell r="AK34">
            <v>44768</v>
          </cell>
          <cell r="AL34" t="str">
            <v>Received</v>
          </cell>
          <cell r="AM34">
            <v>102</v>
          </cell>
          <cell r="AO34">
            <v>44771</v>
          </cell>
          <cell r="AP34">
            <v>44791</v>
          </cell>
          <cell r="AR34">
            <v>44800</v>
          </cell>
          <cell r="AS34">
            <v>29</v>
          </cell>
          <cell r="AT34" t="str">
            <v>Received</v>
          </cell>
          <cell r="AU34">
            <v>44772</v>
          </cell>
          <cell r="AV34" t="str">
            <v>NA</v>
          </cell>
          <cell r="AW34" t="str">
            <v>NA</v>
          </cell>
          <cell r="AX34" t="str">
            <v>NA</v>
          </cell>
          <cell r="AZ34" t="str">
            <v>Received</v>
          </cell>
          <cell r="BA34">
            <v>44773</v>
          </cell>
          <cell r="BB34">
            <v>44820</v>
          </cell>
          <cell r="BC34">
            <v>0</v>
          </cell>
          <cell r="BD34">
            <v>44833</v>
          </cell>
          <cell r="BE34">
            <v>59</v>
          </cell>
          <cell r="BF34" t="str">
            <v>Received</v>
          </cell>
          <cell r="BG34">
            <v>44773</v>
          </cell>
          <cell r="BH34">
            <v>44822</v>
          </cell>
          <cell r="BJ34">
            <v>44822</v>
          </cell>
          <cell r="BK34">
            <v>48</v>
          </cell>
          <cell r="BL34" t="str">
            <v>Received</v>
          </cell>
          <cell r="BM34">
            <v>44771</v>
          </cell>
          <cell r="BN34">
            <v>44779</v>
          </cell>
          <cell r="BO34" t="str">
            <v>Received</v>
          </cell>
          <cell r="BP34">
            <v>44771</v>
          </cell>
          <cell r="BQ34">
            <v>44796</v>
          </cell>
          <cell r="BR34" t="str">
            <v>Received</v>
          </cell>
          <cell r="BT34">
            <v>44798</v>
          </cell>
          <cell r="BU34" t="str">
            <v>Received</v>
          </cell>
          <cell r="BV34" t="str">
            <v>Done</v>
          </cell>
          <cell r="BW34" t="str">
            <v>Done</v>
          </cell>
          <cell r="BX34">
            <v>44544</v>
          </cell>
          <cell r="BY34" t="str">
            <v>Done</v>
          </cell>
          <cell r="CD34" t="str">
            <v>Done</v>
          </cell>
          <cell r="CE34">
            <v>44796</v>
          </cell>
          <cell r="CF34" t="str">
            <v>Sai Enterprises</v>
          </cell>
          <cell r="CG34" t="str">
            <v>Sai Enterprises</v>
          </cell>
          <cell r="CH34" t="str">
            <v>Sai Enterprises</v>
          </cell>
          <cell r="CJ34">
            <v>44796</v>
          </cell>
          <cell r="CK34">
            <v>44792</v>
          </cell>
          <cell r="CN34" t="str">
            <v/>
          </cell>
          <cell r="CO34" t="str">
            <v/>
          </cell>
          <cell r="CP34" t="str">
            <v/>
          </cell>
          <cell r="CR34" t="str">
            <v/>
          </cell>
          <cell r="DD34">
            <v>44840</v>
          </cell>
          <cell r="DG34" t="str">
            <v>10. Launched</v>
          </cell>
          <cell r="DJ34" t="str">
            <v/>
          </cell>
          <cell r="DK34">
            <v>44840</v>
          </cell>
          <cell r="DP34">
            <v>44842</v>
          </cell>
          <cell r="DQ34">
            <v>44862</v>
          </cell>
          <cell r="DR34">
            <v>35</v>
          </cell>
          <cell r="DS34">
            <v>45</v>
          </cell>
          <cell r="DU34">
            <v>44897</v>
          </cell>
          <cell r="DV34">
            <v>44907</v>
          </cell>
          <cell r="DW34">
            <v>44897</v>
          </cell>
          <cell r="DY34" t="str">
            <v/>
          </cell>
          <cell r="DZ34">
            <v>44979</v>
          </cell>
          <cell r="EA34" t="str">
            <v>Feb 23 Week 4</v>
          </cell>
          <cell r="ED34" t="str">
            <v/>
          </cell>
          <cell r="EE34" t="str">
            <v/>
          </cell>
          <cell r="EF34">
            <v>1</v>
          </cell>
          <cell r="EG34">
            <v>1</v>
          </cell>
          <cell r="EJ34">
            <v>44869</v>
          </cell>
          <cell r="EM34">
            <v>44876</v>
          </cell>
          <cell r="EP34">
            <v>44883</v>
          </cell>
          <cell r="ES34">
            <v>44890</v>
          </cell>
          <cell r="EV34">
            <v>44897</v>
          </cell>
          <cell r="FD34">
            <v>82</v>
          </cell>
          <cell r="FE34" t="str">
            <v>62 to 90 Days</v>
          </cell>
          <cell r="FF34">
            <v>102</v>
          </cell>
          <cell r="FG34" t="str">
            <v>More Than 90  Days</v>
          </cell>
          <cell r="FH34" t="str">
            <v>Done</v>
          </cell>
          <cell r="FI34" t="str">
            <v>Done</v>
          </cell>
          <cell r="FJ34" t="str">
            <v>Done</v>
          </cell>
          <cell r="FM34" t="str">
            <v/>
          </cell>
          <cell r="GF34" t="str">
            <v>7 ElW61</v>
          </cell>
          <cell r="GG34" t="str">
            <v>2022-2023</v>
          </cell>
        </row>
        <row r="35">
          <cell r="E35" t="str">
            <v>Elite Grandeur, Kharghar</v>
          </cell>
          <cell r="F35" t="str">
            <v>10. Launched</v>
          </cell>
          <cell r="G35" t="str">
            <v>NA</v>
          </cell>
          <cell r="H35" t="str">
            <v>_</v>
          </cell>
          <cell r="I35" t="str">
            <v>_</v>
          </cell>
          <cell r="J35" t="str">
            <v>QOSC</v>
          </cell>
          <cell r="K35" t="str">
            <v>W</v>
          </cell>
          <cell r="L35" t="str">
            <v>BK</v>
          </cell>
          <cell r="N35" t="str">
            <v>Sh Sanjiv Johari</v>
          </cell>
          <cell r="O35" t="str">
            <v>Sh. Atul M Sawant</v>
          </cell>
          <cell r="P35" t="str">
            <v>Sh. Rajesh Gavale</v>
          </cell>
          <cell r="Q35" t="str">
            <v>Shahaji Gohatre</v>
          </cell>
          <cell r="R35" t="str">
            <v>Parth Sharma</v>
          </cell>
          <cell r="S35" t="str">
            <v>Maharashtra</v>
          </cell>
          <cell r="T35" t="str">
            <v>Navi Mumbai</v>
          </cell>
          <cell r="U35" t="str">
            <v>Premium</v>
          </cell>
          <cell r="V35" t="str">
            <v>Misc Formats</v>
          </cell>
          <cell r="W35">
            <v>900.8</v>
          </cell>
          <cell r="X35" t="str">
            <v>Elite Heights CHS, PLOT 176/178/191 SECT 10 KHARGHAR, Navi Mumbai, Maharashtra - 410210</v>
          </cell>
          <cell r="Z35" t="str">
            <v>Done</v>
          </cell>
          <cell r="AB35">
            <v>44935</v>
          </cell>
          <cell r="AC35">
            <v>44940</v>
          </cell>
          <cell r="AD35">
            <v>44942</v>
          </cell>
          <cell r="AE35">
            <v>44942</v>
          </cell>
          <cell r="AF35" t="str">
            <v>SDR DONE</v>
          </cell>
          <cell r="AG35">
            <v>2</v>
          </cell>
          <cell r="AH35" t="str">
            <v>_</v>
          </cell>
          <cell r="AI35">
            <v>44959</v>
          </cell>
          <cell r="AJ35">
            <v>0</v>
          </cell>
          <cell r="AK35">
            <v>44959</v>
          </cell>
          <cell r="AL35" t="str">
            <v>Received</v>
          </cell>
          <cell r="AM35">
            <v>12</v>
          </cell>
          <cell r="AO35">
            <v>44962</v>
          </cell>
          <cell r="AT35" t="str">
            <v>Received</v>
          </cell>
          <cell r="AU35">
            <v>44963</v>
          </cell>
          <cell r="AV35" t="str">
            <v>NA</v>
          </cell>
          <cell r="AW35" t="str">
            <v>NA</v>
          </cell>
          <cell r="AX35" t="str">
            <v>NA</v>
          </cell>
          <cell r="AZ35" t="str">
            <v>Received</v>
          </cell>
          <cell r="BA35">
            <v>44964</v>
          </cell>
          <cell r="BB35">
            <v>44968</v>
          </cell>
          <cell r="BC35">
            <v>0</v>
          </cell>
          <cell r="BD35">
            <v>44968</v>
          </cell>
          <cell r="BE35">
            <v>3</v>
          </cell>
          <cell r="BF35" t="str">
            <v>Received</v>
          </cell>
          <cell r="BG35">
            <v>44964</v>
          </cell>
          <cell r="BH35">
            <v>44973</v>
          </cell>
          <cell r="BJ35">
            <v>44973</v>
          </cell>
          <cell r="BK35">
            <v>8</v>
          </cell>
          <cell r="BL35" t="str">
            <v>Received</v>
          </cell>
          <cell r="BM35">
            <v>44962</v>
          </cell>
          <cell r="BN35">
            <v>44961</v>
          </cell>
          <cell r="BO35" t="str">
            <v>Received</v>
          </cell>
          <cell r="BP35">
            <v>44962</v>
          </cell>
          <cell r="BQ35">
            <v>44971</v>
          </cell>
          <cell r="BR35" t="str">
            <v>Received</v>
          </cell>
          <cell r="BT35">
            <v>44977</v>
          </cell>
          <cell r="BU35" t="str">
            <v>Received</v>
          </cell>
          <cell r="BV35" t="str">
            <v>Done</v>
          </cell>
          <cell r="BW35" t="str">
            <v>Done</v>
          </cell>
          <cell r="BY35" t="str">
            <v>Done</v>
          </cell>
          <cell r="CD35" t="str">
            <v>Done</v>
          </cell>
          <cell r="CE35" t="str">
            <v/>
          </cell>
          <cell r="CF35" t="str">
            <v/>
          </cell>
          <cell r="CG35" t="str">
            <v/>
          </cell>
          <cell r="CH35" t="str">
            <v/>
          </cell>
          <cell r="CN35" t="str">
            <v/>
          </cell>
          <cell r="CO35" t="str">
            <v/>
          </cell>
          <cell r="CP35" t="str">
            <v/>
          </cell>
          <cell r="CR35" t="str">
            <v/>
          </cell>
          <cell r="DG35" t="str">
            <v>10. Launched</v>
          </cell>
          <cell r="DJ35" t="str">
            <v/>
          </cell>
          <cell r="DK35">
            <v>44960</v>
          </cell>
          <cell r="DP35">
            <v>44962</v>
          </cell>
          <cell r="DQ35">
            <v>44981</v>
          </cell>
          <cell r="DR35">
            <v>35</v>
          </cell>
          <cell r="DS35">
            <v>45</v>
          </cell>
          <cell r="DU35">
            <v>45016</v>
          </cell>
          <cell r="DV35">
            <v>45026</v>
          </cell>
          <cell r="DW35">
            <v>45016</v>
          </cell>
          <cell r="DX35" t="str">
            <v>March 23 Week 5</v>
          </cell>
          <cell r="DY35" t="str">
            <v/>
          </cell>
          <cell r="DZ35">
            <v>45016</v>
          </cell>
          <cell r="EA35" t="str">
            <v>March 23 Week 5</v>
          </cell>
          <cell r="ED35" t="str">
            <v/>
          </cell>
          <cell r="EE35" t="str">
            <v/>
          </cell>
          <cell r="EF35">
            <v>1</v>
          </cell>
          <cell r="EG35">
            <v>1</v>
          </cell>
          <cell r="EJ35">
            <v>44988</v>
          </cell>
          <cell r="EM35">
            <v>44995</v>
          </cell>
          <cell r="EP35">
            <v>45002</v>
          </cell>
          <cell r="ES35">
            <v>45009</v>
          </cell>
          <cell r="EV35">
            <v>45016</v>
          </cell>
          <cell r="FD35">
            <v>0</v>
          </cell>
          <cell r="FE35" t="str">
            <v>On Time</v>
          </cell>
          <cell r="FF35">
            <v>19</v>
          </cell>
          <cell r="FG35" t="str">
            <v>16 to 31 Days</v>
          </cell>
          <cell r="FH35" t="str">
            <v>Done</v>
          </cell>
          <cell r="FI35" t="str">
            <v>Done</v>
          </cell>
          <cell r="FJ35" t="str">
            <v>Done</v>
          </cell>
          <cell r="FM35" t="str">
            <v/>
          </cell>
          <cell r="GG35" t="str">
            <v>2022-2023</v>
          </cell>
        </row>
        <row r="36">
          <cell r="E36" t="str">
            <v>Empire Tower, Airoli</v>
          </cell>
          <cell r="F36" t="str">
            <v>14. Dropped</v>
          </cell>
          <cell r="G36" t="str">
            <v>NA</v>
          </cell>
          <cell r="H36" t="str">
            <v>_</v>
          </cell>
          <cell r="I36" t="str">
            <v>_</v>
          </cell>
          <cell r="K36" t="str">
            <v>W</v>
          </cell>
          <cell r="L36" t="str">
            <v>BK</v>
          </cell>
          <cell r="N36" t="str">
            <v>Sh Nitin Dawange</v>
          </cell>
          <cell r="O36" t="str">
            <v>Sh Rajesh Gavale</v>
          </cell>
          <cell r="P36" t="str">
            <v/>
          </cell>
          <cell r="Q36" t="str">
            <v>Shahaji Gohatre</v>
          </cell>
          <cell r="R36" t="str">
            <v>Parth Sharma</v>
          </cell>
          <cell r="S36" t="str">
            <v>Maharashtra</v>
          </cell>
          <cell r="T36" t="str">
            <v>Navi Mumbai</v>
          </cell>
          <cell r="U36" t="str">
            <v>Premium</v>
          </cell>
          <cell r="V36" t="str">
            <v>Misc Formats</v>
          </cell>
          <cell r="W36">
            <v>847</v>
          </cell>
          <cell r="X36" t="str">
            <v>Ground Floor, Empire Tower, Airoli, Thane Belapur Road, Airoli, Navi Mumbai 400708</v>
          </cell>
          <cell r="Z36" t="str">
            <v>_</v>
          </cell>
          <cell r="AB36">
            <v>45007</v>
          </cell>
          <cell r="AC36">
            <v>45021</v>
          </cell>
          <cell r="AD36">
            <v>45022</v>
          </cell>
          <cell r="AE36">
            <v>45027</v>
          </cell>
          <cell r="AF36" t="str">
            <v>SDR DONE</v>
          </cell>
          <cell r="AG36">
            <v>10</v>
          </cell>
          <cell r="AH36" t="str">
            <v>_</v>
          </cell>
          <cell r="AL36" t="str">
            <v>Received</v>
          </cell>
          <cell r="AM36">
            <v>1150</v>
          </cell>
          <cell r="BJ36" t="str">
            <v/>
          </cell>
          <cell r="BN36" t="str">
            <v/>
          </cell>
          <cell r="BW36" t="str">
            <v/>
          </cell>
          <cell r="CE36" t="str">
            <v/>
          </cell>
          <cell r="CF36" t="str">
            <v/>
          </cell>
          <cell r="CG36" t="str">
            <v/>
          </cell>
          <cell r="CH36" t="str">
            <v/>
          </cell>
          <cell r="CN36" t="str">
            <v/>
          </cell>
          <cell r="CO36" t="str">
            <v/>
          </cell>
          <cell r="CP36" t="str">
            <v/>
          </cell>
          <cell r="CR36" t="str">
            <v/>
          </cell>
          <cell r="DG36" t="str">
            <v>14. Dropped</v>
          </cell>
          <cell r="DJ36" t="str">
            <v/>
          </cell>
          <cell r="DP36" t="str">
            <v/>
          </cell>
          <cell r="DR36">
            <v>35</v>
          </cell>
          <cell r="DS36">
            <v>45</v>
          </cell>
          <cell r="DX36" t="str">
            <v/>
          </cell>
          <cell r="DY36" t="str">
            <v/>
          </cell>
          <cell r="EA36" t="str">
            <v/>
          </cell>
          <cell r="ED36" t="str">
            <v/>
          </cell>
          <cell r="EE36" t="str">
            <v/>
          </cell>
          <cell r="FM36" t="str">
            <v/>
          </cell>
          <cell r="GF36" t="str">
            <v>SEVEBK47</v>
          </cell>
          <cell r="GG36" t="str">
            <v>2024-2025</v>
          </cell>
        </row>
        <row r="37">
          <cell r="E37" t="str">
            <v>Gauripada, Yogidham, Kalyan</v>
          </cell>
          <cell r="F37" t="str">
            <v>10. Launched</v>
          </cell>
          <cell r="G37" t="str">
            <v>NA</v>
          </cell>
          <cell r="H37" t="str">
            <v>MU-SM-GMU-734</v>
          </cell>
          <cell r="I37" t="str">
            <v>_</v>
          </cell>
          <cell r="J37" t="str">
            <v>Q5BH</v>
          </cell>
          <cell r="K37" t="str">
            <v>W</v>
          </cell>
          <cell r="L37" t="str">
            <v>BK</v>
          </cell>
          <cell r="N37" t="str">
            <v>Sh Rajesh Nikalje</v>
          </cell>
          <cell r="O37" t="str">
            <v>Sh Nitin Dawange</v>
          </cell>
          <cell r="P37" t="str">
            <v>Sh. Dharmendra Mahtre</v>
          </cell>
          <cell r="Q37" t="str">
            <v>Shahaji Gohatre</v>
          </cell>
          <cell r="R37" t="str">
            <v>Parth Sharma</v>
          </cell>
          <cell r="S37" t="str">
            <v>Maharashtra</v>
          </cell>
          <cell r="T37" t="str">
            <v>Mumbai</v>
          </cell>
          <cell r="U37" t="str">
            <v>Premium</v>
          </cell>
          <cell r="V37" t="str">
            <v>Misc Formats</v>
          </cell>
          <cell r="W37">
            <v>982</v>
          </cell>
          <cell r="X37" t="str">
            <v>Shop No 1, 2 &amp; 3, Ground Floor, Midtown W-90, Gauripada, Yogidham, Kalyan West 421301</v>
          </cell>
          <cell r="Z37" t="str">
            <v>Done</v>
          </cell>
          <cell r="AB37">
            <v>45043</v>
          </cell>
          <cell r="AC37">
            <v>45048</v>
          </cell>
          <cell r="AD37">
            <v>45050</v>
          </cell>
          <cell r="AE37">
            <v>45050</v>
          </cell>
          <cell r="AF37" t="str">
            <v>SDR DONE</v>
          </cell>
          <cell r="AG37">
            <v>2</v>
          </cell>
          <cell r="AH37" t="str">
            <v>_</v>
          </cell>
          <cell r="AJ37">
            <v>3</v>
          </cell>
          <cell r="AK37">
            <v>45231</v>
          </cell>
          <cell r="AL37" t="str">
            <v>Received</v>
          </cell>
          <cell r="AM37">
            <v>176</v>
          </cell>
          <cell r="AO37">
            <v>45234</v>
          </cell>
          <cell r="AP37">
            <v>45097</v>
          </cell>
          <cell r="AQ37">
            <v>0</v>
          </cell>
          <cell r="AR37">
            <v>45097</v>
          </cell>
          <cell r="AS37">
            <v>-137</v>
          </cell>
          <cell r="AT37" t="str">
            <v>Received</v>
          </cell>
          <cell r="AU37">
            <v>45235</v>
          </cell>
          <cell r="AV37">
            <v>45099</v>
          </cell>
          <cell r="AW37">
            <v>0</v>
          </cell>
          <cell r="AX37">
            <v>45099</v>
          </cell>
          <cell r="AY37">
            <v>-136</v>
          </cell>
          <cell r="AZ37" t="str">
            <v>Received</v>
          </cell>
          <cell r="BA37">
            <v>45236</v>
          </cell>
          <cell r="BB37">
            <v>45114</v>
          </cell>
          <cell r="BC37">
            <v>0</v>
          </cell>
          <cell r="BD37">
            <v>45114</v>
          </cell>
          <cell r="BE37">
            <v>-122</v>
          </cell>
          <cell r="BF37" t="str">
            <v>Received</v>
          </cell>
          <cell r="BG37">
            <v>45236</v>
          </cell>
          <cell r="BH37">
            <v>45119</v>
          </cell>
          <cell r="BJ37">
            <v>45119</v>
          </cell>
          <cell r="BK37">
            <v>-117</v>
          </cell>
          <cell r="BL37" t="str">
            <v>Received</v>
          </cell>
          <cell r="BM37">
            <v>45234</v>
          </cell>
          <cell r="BN37">
            <v>45084</v>
          </cell>
          <cell r="BO37" t="str">
            <v>Received</v>
          </cell>
          <cell r="BP37">
            <v>45234</v>
          </cell>
          <cell r="BQ37">
            <v>45093</v>
          </cell>
          <cell r="BR37" t="str">
            <v>Received</v>
          </cell>
          <cell r="BU37" t="str">
            <v>Received</v>
          </cell>
          <cell r="BV37" t="str">
            <v>Done</v>
          </cell>
          <cell r="BW37" t="str">
            <v>13-09-2023</v>
          </cell>
          <cell r="BX37">
            <v>45216</v>
          </cell>
          <cell r="BY37" t="str">
            <v>Done</v>
          </cell>
          <cell r="CD37" t="str">
            <v>Done</v>
          </cell>
          <cell r="CE37">
            <v>45229</v>
          </cell>
          <cell r="CF37" t="str">
            <v>Veritas Infra</v>
          </cell>
          <cell r="CG37" t="str">
            <v/>
          </cell>
          <cell r="CH37" t="str">
            <v>High Tech HVAC</v>
          </cell>
          <cell r="CJ37">
            <v>45229</v>
          </cell>
          <cell r="CN37">
            <v>45263</v>
          </cell>
          <cell r="CO37">
            <v>45264</v>
          </cell>
          <cell r="CP37">
            <v>45254</v>
          </cell>
          <cell r="CQ37">
            <v>45266</v>
          </cell>
          <cell r="CR37">
            <v>45265</v>
          </cell>
          <cell r="CS37">
            <v>45260</v>
          </cell>
          <cell r="DD37">
            <v>45220</v>
          </cell>
          <cell r="DE37">
            <v>90</v>
          </cell>
          <cell r="DF37">
            <v>45316</v>
          </cell>
          <cell r="DG37" t="str">
            <v>10. Launched</v>
          </cell>
          <cell r="DJ37" t="str">
            <v/>
          </cell>
          <cell r="DK37">
            <v>45226</v>
          </cell>
          <cell r="DP37">
            <v>45228</v>
          </cell>
          <cell r="DQ37">
            <v>45234</v>
          </cell>
          <cell r="DR37">
            <v>35</v>
          </cell>
          <cell r="DS37">
            <v>45</v>
          </cell>
          <cell r="DU37">
            <v>45269</v>
          </cell>
          <cell r="DV37">
            <v>45279</v>
          </cell>
          <cell r="DW37">
            <v>45269</v>
          </cell>
          <cell r="DX37" t="str">
            <v>Dec 23 Week 2</v>
          </cell>
          <cell r="DY37" t="str">
            <v/>
          </cell>
          <cell r="DZ37">
            <v>45277</v>
          </cell>
          <cell r="EA37" t="str">
            <v>Dec 23 Week 3</v>
          </cell>
          <cell r="ED37" t="str">
            <v/>
          </cell>
          <cell r="EE37" t="str">
            <v/>
          </cell>
          <cell r="EF37">
            <v>1</v>
          </cell>
          <cell r="EG37">
            <v>1</v>
          </cell>
          <cell r="EJ37">
            <v>45241</v>
          </cell>
          <cell r="EM37">
            <v>45248</v>
          </cell>
          <cell r="EP37">
            <v>45255</v>
          </cell>
          <cell r="ES37">
            <v>45262</v>
          </cell>
          <cell r="EV37">
            <v>45269</v>
          </cell>
          <cell r="FD37">
            <v>8</v>
          </cell>
          <cell r="FE37" t="str">
            <v>8 to 15 Days</v>
          </cell>
          <cell r="FF37">
            <v>14</v>
          </cell>
          <cell r="FG37" t="str">
            <v>8 to 15 Days</v>
          </cell>
          <cell r="FH37" t="str">
            <v>Done</v>
          </cell>
          <cell r="FI37" t="str">
            <v>Done</v>
          </cell>
          <cell r="FJ37" t="str">
            <v>Done</v>
          </cell>
          <cell r="FM37" t="str">
            <v/>
          </cell>
          <cell r="GG37" t="str">
            <v>2023-2024</v>
          </cell>
        </row>
        <row r="38">
          <cell r="E38" t="str">
            <v>Gera Commerzone</v>
          </cell>
          <cell r="F38" t="str">
            <v>14. Dropped</v>
          </cell>
          <cell r="G38" t="str">
            <v>NA</v>
          </cell>
          <cell r="H38" t="str">
            <v>_</v>
          </cell>
          <cell r="I38" t="str">
            <v>_</v>
          </cell>
          <cell r="K38" t="str">
            <v>W</v>
          </cell>
          <cell r="L38" t="str">
            <v>BK</v>
          </cell>
          <cell r="N38" t="str">
            <v>Sh Shashi Pardesi</v>
          </cell>
          <cell r="O38" t="str">
            <v>Sh Ashish m</v>
          </cell>
          <cell r="P38" t="str">
            <v/>
          </cell>
          <cell r="Q38" t="str">
            <v>Shahaji Gohatre</v>
          </cell>
          <cell r="R38" t="str">
            <v>Parth Sharma</v>
          </cell>
          <cell r="S38" t="str">
            <v>Maharashtra</v>
          </cell>
          <cell r="T38" t="str">
            <v>Pune</v>
          </cell>
          <cell r="U38" t="str">
            <v>Premium</v>
          </cell>
          <cell r="V38" t="str">
            <v>Misc Formats</v>
          </cell>
          <cell r="W38">
            <v>458</v>
          </cell>
          <cell r="X38" t="str">
            <v>Kiosk 08, Gera Commerzone Kharadi 411014</v>
          </cell>
          <cell r="Z38" t="str">
            <v>_</v>
          </cell>
          <cell r="AB38">
            <v>45148</v>
          </cell>
          <cell r="AC38">
            <v>45174</v>
          </cell>
          <cell r="AD38">
            <v>45183</v>
          </cell>
          <cell r="AE38">
            <v>45183</v>
          </cell>
          <cell r="AF38" t="str">
            <v>SDR DONE</v>
          </cell>
          <cell r="AG38">
            <v>30</v>
          </cell>
          <cell r="AH38" t="str">
            <v>_</v>
          </cell>
          <cell r="AL38" t="str">
            <v>Received</v>
          </cell>
          <cell r="AM38">
            <v>989</v>
          </cell>
          <cell r="BJ38" t="str">
            <v/>
          </cell>
          <cell r="BN38" t="str">
            <v/>
          </cell>
          <cell r="BW38" t="str">
            <v/>
          </cell>
          <cell r="CE38" t="str">
            <v/>
          </cell>
          <cell r="CF38" t="str">
            <v/>
          </cell>
          <cell r="CG38" t="str">
            <v/>
          </cell>
          <cell r="CH38" t="str">
            <v/>
          </cell>
          <cell r="CN38" t="str">
            <v/>
          </cell>
          <cell r="CO38" t="str">
            <v/>
          </cell>
          <cell r="CP38" t="str">
            <v/>
          </cell>
          <cell r="CR38" t="str">
            <v/>
          </cell>
          <cell r="DG38" t="str">
            <v>14. Dropped</v>
          </cell>
          <cell r="DJ38" t="str">
            <v/>
          </cell>
          <cell r="DP38" t="str">
            <v/>
          </cell>
          <cell r="DR38">
            <v>35</v>
          </cell>
          <cell r="DS38">
            <v>45</v>
          </cell>
          <cell r="DX38" t="str">
            <v/>
          </cell>
          <cell r="DY38" t="str">
            <v/>
          </cell>
          <cell r="EA38" t="str">
            <v/>
          </cell>
          <cell r="ED38" t="str">
            <v/>
          </cell>
          <cell r="EE38" t="str">
            <v/>
          </cell>
          <cell r="FM38" t="str">
            <v/>
          </cell>
          <cell r="GG38" t="str">
            <v>2024-2025</v>
          </cell>
        </row>
        <row r="39">
          <cell r="E39" t="str">
            <v>Gera Empirium Alfa</v>
          </cell>
          <cell r="F39" t="str">
            <v>14. Dropped</v>
          </cell>
          <cell r="G39" t="str">
            <v>NA</v>
          </cell>
          <cell r="H39" t="str">
            <v>_</v>
          </cell>
          <cell r="I39" t="str">
            <v>_</v>
          </cell>
          <cell r="K39" t="str">
            <v>W</v>
          </cell>
          <cell r="L39" t="str">
            <v>BK</v>
          </cell>
          <cell r="N39" t="str">
            <v>Sh Shashi Pardesi</v>
          </cell>
          <cell r="O39" t="str">
            <v>Sh Ashish m</v>
          </cell>
          <cell r="P39" t="str">
            <v/>
          </cell>
          <cell r="Q39" t="str">
            <v>Shahaji Gohatre</v>
          </cell>
          <cell r="R39" t="str">
            <v>Parth Sharma</v>
          </cell>
          <cell r="S39" t="str">
            <v>Maharashtra</v>
          </cell>
          <cell r="T39" t="str">
            <v>Pune</v>
          </cell>
          <cell r="U39" t="str">
            <v>Premium</v>
          </cell>
          <cell r="V39" t="str">
            <v>Misc Formats</v>
          </cell>
          <cell r="W39">
            <v>1001</v>
          </cell>
          <cell r="X39" t="str">
            <v>Shop No 116, Gera Imperial Alpha Kharadi Pune - 411014</v>
          </cell>
          <cell r="Z39" t="str">
            <v>_</v>
          </cell>
          <cell r="AB39">
            <v>45169</v>
          </cell>
          <cell r="AC39">
            <v>45174</v>
          </cell>
          <cell r="AD39">
            <v>45196</v>
          </cell>
          <cell r="AE39">
            <v>45196</v>
          </cell>
          <cell r="AF39" t="str">
            <v>SDR DONE</v>
          </cell>
          <cell r="AG39">
            <v>22</v>
          </cell>
          <cell r="AH39" t="str">
            <v>_</v>
          </cell>
          <cell r="AJ39">
            <v>1</v>
          </cell>
          <cell r="AK39">
            <v>45442</v>
          </cell>
          <cell r="AL39" t="str">
            <v>Received</v>
          </cell>
          <cell r="AM39">
            <v>241</v>
          </cell>
          <cell r="AO39">
            <v>45445</v>
          </cell>
          <cell r="AR39">
            <v>45463</v>
          </cell>
          <cell r="AS39">
            <v>18</v>
          </cell>
          <cell r="AU39">
            <v>45446</v>
          </cell>
          <cell r="AV39" t="str">
            <v/>
          </cell>
          <cell r="AX39">
            <v>45469</v>
          </cell>
          <cell r="AY39">
            <v>22</v>
          </cell>
          <cell r="BA39">
            <v>45447</v>
          </cell>
          <cell r="BD39">
            <v>45501</v>
          </cell>
          <cell r="BE39">
            <v>53</v>
          </cell>
          <cell r="BF39" t="str">
            <v>HVAC Received on 23-06-2024
PLB Received on 04-07-2024</v>
          </cell>
          <cell r="BG39">
            <v>45447</v>
          </cell>
          <cell r="BH39">
            <v>45294</v>
          </cell>
          <cell r="BJ39">
            <v>45490</v>
          </cell>
          <cell r="BK39">
            <v>42</v>
          </cell>
          <cell r="BM39">
            <v>45445</v>
          </cell>
          <cell r="BN39" t="str">
            <v>R0 - 09-12-2024
R1 - 31-05-2024</v>
          </cell>
          <cell r="BP39">
            <v>45445</v>
          </cell>
          <cell r="BR39" t="str">
            <v>Received</v>
          </cell>
          <cell r="BU39" t="str">
            <v>Done</v>
          </cell>
          <cell r="BW39" t="str">
            <v>11-01-2024</v>
          </cell>
          <cell r="BX39">
            <v>45398</v>
          </cell>
          <cell r="BY39" t="str">
            <v>Done</v>
          </cell>
          <cell r="CE39" t="str">
            <v/>
          </cell>
          <cell r="CF39" t="str">
            <v/>
          </cell>
          <cell r="CG39" t="str">
            <v/>
          </cell>
          <cell r="CH39" t="str">
            <v/>
          </cell>
          <cell r="CN39" t="str">
            <v/>
          </cell>
          <cell r="CO39" t="str">
            <v/>
          </cell>
          <cell r="CP39" t="str">
            <v/>
          </cell>
          <cell r="CR39" t="str">
            <v/>
          </cell>
          <cell r="DG39" t="str">
            <v>14. Dropped</v>
          </cell>
          <cell r="DJ39" t="str">
            <v/>
          </cell>
          <cell r="DP39" t="str">
            <v/>
          </cell>
          <cell r="DR39">
            <v>35</v>
          </cell>
          <cell r="DS39">
            <v>45</v>
          </cell>
          <cell r="DX39" t="str">
            <v/>
          </cell>
          <cell r="DY39" t="str">
            <v/>
          </cell>
          <cell r="EA39" t="str">
            <v/>
          </cell>
          <cell r="ED39" t="str">
            <v/>
          </cell>
          <cell r="EE39" t="str">
            <v/>
          </cell>
          <cell r="FM39" t="str">
            <v/>
          </cell>
          <cell r="GG39" t="str">
            <v>2024-2025</v>
          </cell>
        </row>
        <row r="40">
          <cell r="E40" t="str">
            <v>Giriraj Society, Seawoods</v>
          </cell>
          <cell r="F40" t="str">
            <v>10. Launched</v>
          </cell>
          <cell r="G40" t="str">
            <v>NA</v>
          </cell>
          <cell r="H40" t="str">
            <v>_</v>
          </cell>
          <cell r="I40" t="str">
            <v>_</v>
          </cell>
          <cell r="J40" t="str">
            <v>QGJW</v>
          </cell>
          <cell r="K40" t="str">
            <v>W</v>
          </cell>
          <cell r="L40" t="str">
            <v>BK</v>
          </cell>
          <cell r="N40" t="str">
            <v>Sh Sanjiv Johari</v>
          </cell>
          <cell r="O40" t="str">
            <v>Sh. Atul M Sawant</v>
          </cell>
          <cell r="P40" t="str">
            <v>Sh. Rajesh Gavale</v>
          </cell>
          <cell r="Q40" t="str">
            <v>Shahaji Gohatre</v>
          </cell>
          <cell r="R40" t="str">
            <v>Parth Sharma</v>
          </cell>
          <cell r="S40" t="str">
            <v>Maharashtra</v>
          </cell>
          <cell r="T40" t="str">
            <v>Mumbai</v>
          </cell>
          <cell r="U40" t="str">
            <v>Premium</v>
          </cell>
          <cell r="V40" t="str">
            <v>Misc Formats</v>
          </cell>
          <cell r="W40">
            <v>1200</v>
          </cell>
          <cell r="X40" t="str">
            <v>Giriraj Society, Sector 44, Seawoods</v>
          </cell>
          <cell r="Z40" t="str">
            <v>Done</v>
          </cell>
          <cell r="AB40">
            <v>44653</v>
          </cell>
          <cell r="AC40">
            <v>44653</v>
          </cell>
          <cell r="AD40">
            <v>44655</v>
          </cell>
          <cell r="AE40">
            <v>44655</v>
          </cell>
          <cell r="AF40" t="str">
            <v>SDR DONE</v>
          </cell>
          <cell r="AG40">
            <v>0</v>
          </cell>
          <cell r="AH40" t="str">
            <v>_</v>
          </cell>
          <cell r="AJ40">
            <v>3</v>
          </cell>
          <cell r="AK40">
            <v>44796</v>
          </cell>
          <cell r="AL40" t="str">
            <v>Received</v>
          </cell>
          <cell r="AM40">
            <v>136</v>
          </cell>
          <cell r="AO40">
            <v>44799</v>
          </cell>
          <cell r="AT40" t="str">
            <v>Received</v>
          </cell>
          <cell r="AU40">
            <v>44800</v>
          </cell>
          <cell r="AV40" t="str">
            <v>NA</v>
          </cell>
          <cell r="AW40" t="str">
            <v>NA</v>
          </cell>
          <cell r="AX40" t="str">
            <v>NA</v>
          </cell>
          <cell r="AZ40" t="str">
            <v>Received</v>
          </cell>
          <cell r="BA40">
            <v>44801</v>
          </cell>
          <cell r="BF40" t="str">
            <v>Received</v>
          </cell>
          <cell r="BG40">
            <v>44801</v>
          </cell>
          <cell r="BJ40" t="str">
            <v/>
          </cell>
          <cell r="BL40" t="str">
            <v>Received</v>
          </cell>
          <cell r="BM40">
            <v>44799</v>
          </cell>
          <cell r="BN40" t="str">
            <v/>
          </cell>
          <cell r="BO40" t="str">
            <v>Received</v>
          </cell>
          <cell r="BP40">
            <v>44799</v>
          </cell>
          <cell r="BR40" t="str">
            <v>Received</v>
          </cell>
          <cell r="BU40" t="str">
            <v>Received</v>
          </cell>
          <cell r="BV40" t="str">
            <v>Done</v>
          </cell>
          <cell r="BW40" t="str">
            <v>Done</v>
          </cell>
          <cell r="BY40" t="str">
            <v>Done</v>
          </cell>
          <cell r="CD40" t="str">
            <v>Done</v>
          </cell>
          <cell r="CE40" t="str">
            <v/>
          </cell>
          <cell r="CF40" t="str">
            <v/>
          </cell>
          <cell r="CG40" t="str">
            <v/>
          </cell>
          <cell r="CH40" t="str">
            <v/>
          </cell>
          <cell r="CN40" t="str">
            <v/>
          </cell>
          <cell r="CO40" t="str">
            <v/>
          </cell>
          <cell r="CP40" t="str">
            <v/>
          </cell>
          <cell r="CR40" t="str">
            <v/>
          </cell>
          <cell r="DG40" t="str">
            <v>10. Launched</v>
          </cell>
          <cell r="DJ40" t="str">
            <v/>
          </cell>
          <cell r="DK40">
            <v>44722</v>
          </cell>
          <cell r="DP40" t="str">
            <v/>
          </cell>
          <cell r="DQ40">
            <v>45100</v>
          </cell>
          <cell r="DR40">
            <v>35</v>
          </cell>
          <cell r="DS40">
            <v>45</v>
          </cell>
          <cell r="DU40">
            <v>45135</v>
          </cell>
          <cell r="DV40">
            <v>45145</v>
          </cell>
          <cell r="DW40">
            <v>45135</v>
          </cell>
          <cell r="DX40" t="str">
            <v>July 23 Week 4</v>
          </cell>
          <cell r="DY40" t="str">
            <v/>
          </cell>
          <cell r="DZ40">
            <v>44963</v>
          </cell>
          <cell r="EA40" t="str">
            <v>Feb 23 Week 1</v>
          </cell>
          <cell r="ED40" t="str">
            <v/>
          </cell>
          <cell r="EE40" t="str">
            <v/>
          </cell>
          <cell r="EF40">
            <v>1</v>
          </cell>
          <cell r="EG40">
            <v>1</v>
          </cell>
          <cell r="EJ40">
            <v>45107</v>
          </cell>
          <cell r="EM40">
            <v>45114</v>
          </cell>
          <cell r="EP40">
            <v>45121</v>
          </cell>
          <cell r="ES40">
            <v>45128</v>
          </cell>
          <cell r="EV40">
            <v>45135</v>
          </cell>
          <cell r="FD40">
            <v>-172</v>
          </cell>
          <cell r="FE40" t="str">
            <v>On Time</v>
          </cell>
          <cell r="FH40" t="str">
            <v>Done</v>
          </cell>
          <cell r="FI40" t="str">
            <v>Done</v>
          </cell>
          <cell r="FJ40" t="str">
            <v>Done</v>
          </cell>
          <cell r="FM40" t="str">
            <v/>
          </cell>
          <cell r="GG40" t="str">
            <v>2022-2023</v>
          </cell>
        </row>
        <row r="41">
          <cell r="E41" t="str">
            <v>Gokul Regency</v>
          </cell>
          <cell r="F41" t="str">
            <v>14. Dropped</v>
          </cell>
          <cell r="G41" t="str">
            <v>NA</v>
          </cell>
          <cell r="H41" t="str">
            <v>_</v>
          </cell>
          <cell r="I41" t="str">
            <v>_</v>
          </cell>
          <cell r="K41" t="str">
            <v>W</v>
          </cell>
          <cell r="L41" t="str">
            <v>BK</v>
          </cell>
          <cell r="N41" t="str">
            <v>Sh Nitin Dawange</v>
          </cell>
          <cell r="O41" t="str">
            <v>Sh Atul M Sawant</v>
          </cell>
          <cell r="P41" t="str">
            <v/>
          </cell>
          <cell r="Q41" t="str">
            <v>Shahaji Gohatre</v>
          </cell>
          <cell r="R41" t="str">
            <v>Parth Sharma</v>
          </cell>
          <cell r="S41" t="str">
            <v>Maharashtra</v>
          </cell>
          <cell r="T41" t="str">
            <v>Mumbai</v>
          </cell>
          <cell r="U41" t="str">
            <v>Premium</v>
          </cell>
          <cell r="V41" t="str">
            <v>Misc Formats</v>
          </cell>
          <cell r="W41">
            <v>734</v>
          </cell>
          <cell r="X41" t="str">
            <v>Shop No.1, Gokul Regency, V. M. Shah Marg, Sahar, Andheri East, Near J. B. Nagar Circle, Mumbai - 400 099</v>
          </cell>
          <cell r="Z41" t="str">
            <v>_</v>
          </cell>
          <cell r="AB41">
            <v>45146</v>
          </cell>
          <cell r="AC41">
            <v>45149</v>
          </cell>
          <cell r="AD41">
            <v>45167</v>
          </cell>
          <cell r="AE41">
            <v>45167</v>
          </cell>
          <cell r="AF41" t="str">
            <v>SDR DONE</v>
          </cell>
          <cell r="AG41">
            <v>16</v>
          </cell>
          <cell r="AH41" t="str">
            <v>_</v>
          </cell>
          <cell r="AL41" t="str">
            <v>Received</v>
          </cell>
          <cell r="AM41">
            <v>1005</v>
          </cell>
          <cell r="BJ41" t="str">
            <v/>
          </cell>
          <cell r="BN41" t="str">
            <v/>
          </cell>
          <cell r="CD41">
            <v>45040</v>
          </cell>
          <cell r="CE41" t="str">
            <v/>
          </cell>
          <cell r="CF41" t="str">
            <v/>
          </cell>
          <cell r="CG41" t="str">
            <v/>
          </cell>
          <cell r="CH41" t="str">
            <v/>
          </cell>
          <cell r="CN41" t="str">
            <v/>
          </cell>
          <cell r="CO41" t="str">
            <v/>
          </cell>
          <cell r="CP41" t="str">
            <v/>
          </cell>
          <cell r="CR41" t="str">
            <v/>
          </cell>
          <cell r="DG41" t="str">
            <v>14. Dropped</v>
          </cell>
          <cell r="DJ41" t="str">
            <v/>
          </cell>
          <cell r="DP41" t="str">
            <v/>
          </cell>
          <cell r="DR41">
            <v>35</v>
          </cell>
          <cell r="DS41">
            <v>45</v>
          </cell>
          <cell r="DX41" t="str">
            <v/>
          </cell>
          <cell r="DY41" t="str">
            <v/>
          </cell>
          <cell r="EA41" t="str">
            <v/>
          </cell>
          <cell r="ED41" t="str">
            <v/>
          </cell>
          <cell r="EE41" t="str">
            <v/>
          </cell>
          <cell r="EH41" t="str">
            <v>1. Additional demolition and modification works LL scope 
2. Slow works progress at site.</v>
          </cell>
          <cell r="FM41" t="str">
            <v/>
          </cell>
          <cell r="GF41" t="str">
            <v>SEVEBK39</v>
          </cell>
          <cell r="GG41" t="str">
            <v>2024-2025</v>
          </cell>
        </row>
        <row r="42">
          <cell r="E42" t="str">
            <v>Goodwill Paradise,</v>
          </cell>
          <cell r="F42" t="str">
            <v>10. Launched</v>
          </cell>
          <cell r="G42" t="str">
            <v>NA</v>
          </cell>
          <cell r="H42" t="str">
            <v>MU-SM-GMU-731</v>
          </cell>
          <cell r="I42" t="str">
            <v>_</v>
          </cell>
          <cell r="J42" t="str">
            <v>QZMF</v>
          </cell>
          <cell r="K42" t="str">
            <v>W</v>
          </cell>
          <cell r="L42" t="str">
            <v>BK</v>
          </cell>
          <cell r="N42" t="str">
            <v>Sh Nitin Dawange</v>
          </cell>
          <cell r="O42" t="str">
            <v>Sh Nitin Dawange</v>
          </cell>
          <cell r="P42" t="str">
            <v>Sh. Prashant Naik</v>
          </cell>
          <cell r="Q42" t="str">
            <v>Shahaji Gohatre</v>
          </cell>
          <cell r="R42" t="str">
            <v>Parth Sharma</v>
          </cell>
          <cell r="S42" t="str">
            <v>Maharashtra</v>
          </cell>
          <cell r="T42" t="str">
            <v>Mumbai</v>
          </cell>
          <cell r="U42" t="str">
            <v>Premium</v>
          </cell>
          <cell r="V42" t="str">
            <v>Misc Formats</v>
          </cell>
          <cell r="W42">
            <v>992</v>
          </cell>
          <cell r="X42" t="str">
            <v>Shop No.3,GOODWILL PARADISE, Plot No.24, Sector No.15, Sion - Panvel Expy, Gharkul, Sector 15, Kharghar, Navi Mumbai, Maharashtra 410210</v>
          </cell>
          <cell r="Z42" t="str">
            <v>Done</v>
          </cell>
          <cell r="AB42">
            <v>45048</v>
          </cell>
          <cell r="AC42">
            <v>45061</v>
          </cell>
          <cell r="AD42">
            <v>45063</v>
          </cell>
          <cell r="AE42">
            <v>45064</v>
          </cell>
          <cell r="AF42" t="str">
            <v>SDR DONE</v>
          </cell>
          <cell r="AG42">
            <v>10</v>
          </cell>
          <cell r="AH42" t="str">
            <v>_</v>
          </cell>
          <cell r="AJ42">
            <v>2</v>
          </cell>
          <cell r="AK42">
            <v>45119</v>
          </cell>
          <cell r="AL42" t="str">
            <v>Received</v>
          </cell>
          <cell r="AM42">
            <v>51</v>
          </cell>
          <cell r="AO42">
            <v>45122</v>
          </cell>
          <cell r="AP42">
            <v>45092</v>
          </cell>
          <cell r="AQ42">
            <v>0</v>
          </cell>
          <cell r="AR42">
            <v>45092</v>
          </cell>
          <cell r="AS42">
            <v>-30</v>
          </cell>
          <cell r="AT42" t="str">
            <v>Received</v>
          </cell>
          <cell r="AU42">
            <v>45123</v>
          </cell>
          <cell r="AV42">
            <v>45104</v>
          </cell>
          <cell r="AW42">
            <v>0</v>
          </cell>
          <cell r="AX42">
            <v>45104</v>
          </cell>
          <cell r="AY42">
            <v>-19</v>
          </cell>
          <cell r="AZ42" t="str">
            <v>Received</v>
          </cell>
          <cell r="BA42">
            <v>45124</v>
          </cell>
          <cell r="BB42">
            <v>45092</v>
          </cell>
          <cell r="BD42">
            <v>45120</v>
          </cell>
          <cell r="BE42">
            <v>-4</v>
          </cell>
          <cell r="BF42" t="str">
            <v>Received</v>
          </cell>
          <cell r="BG42">
            <v>45124</v>
          </cell>
          <cell r="BH42">
            <v>45093</v>
          </cell>
          <cell r="BJ42">
            <v>45107</v>
          </cell>
          <cell r="BK42">
            <v>-17</v>
          </cell>
          <cell r="BL42" t="str">
            <v>Received</v>
          </cell>
          <cell r="BM42">
            <v>45122</v>
          </cell>
          <cell r="BN42">
            <v>45089</v>
          </cell>
          <cell r="BO42" t="str">
            <v>Received</v>
          </cell>
          <cell r="BP42">
            <v>45122</v>
          </cell>
          <cell r="BQ42">
            <v>45093</v>
          </cell>
          <cell r="BR42" t="str">
            <v>Received</v>
          </cell>
          <cell r="BU42" t="str">
            <v>Received</v>
          </cell>
          <cell r="BV42" t="str">
            <v>Done</v>
          </cell>
          <cell r="BW42" t="str">
            <v>Done</v>
          </cell>
          <cell r="BY42" t="str">
            <v>Done</v>
          </cell>
          <cell r="CD42" t="str">
            <v>Done</v>
          </cell>
          <cell r="CE42">
            <v>45110</v>
          </cell>
          <cell r="CF42" t="str">
            <v>Nexa Telecom</v>
          </cell>
          <cell r="CG42" t="str">
            <v>Bhakti Electricals</v>
          </cell>
          <cell r="CH42" t="str">
            <v>Arithmetic</v>
          </cell>
          <cell r="CJ42">
            <v>45110</v>
          </cell>
          <cell r="CK42">
            <v>45110</v>
          </cell>
          <cell r="CL42">
            <v>45110</v>
          </cell>
          <cell r="CN42" t="str">
            <v>Pending</v>
          </cell>
          <cell r="CO42" t="str">
            <v>Pending</v>
          </cell>
          <cell r="CP42">
            <v>45132</v>
          </cell>
          <cell r="CR42" t="str">
            <v>Pending</v>
          </cell>
          <cell r="CS42">
            <v>45135</v>
          </cell>
          <cell r="CT42">
            <v>0</v>
          </cell>
          <cell r="CU42">
            <v>0</v>
          </cell>
          <cell r="CV42">
            <v>0</v>
          </cell>
          <cell r="DA42" t="str">
            <v>R1 Pending from Zone</v>
          </cell>
          <cell r="DB42" t="str">
            <v>Under Design Validation NHQ</v>
          </cell>
          <cell r="DC42" t="str">
            <v>R1 Pending from Zone</v>
          </cell>
          <cell r="DD42">
            <v>45089</v>
          </cell>
          <cell r="DE42">
            <v>60</v>
          </cell>
          <cell r="DF42">
            <v>45153</v>
          </cell>
          <cell r="DG42" t="str">
            <v>10. Launched</v>
          </cell>
          <cell r="DJ42" t="str">
            <v/>
          </cell>
          <cell r="DK42">
            <v>45093</v>
          </cell>
          <cell r="DO42" t="str">
            <v>1) LOA Issued Design Released/ Mobilisation Awaited</v>
          </cell>
          <cell r="DP42">
            <v>45095</v>
          </cell>
          <cell r="DQ42">
            <v>45111</v>
          </cell>
          <cell r="DR42">
            <v>35</v>
          </cell>
          <cell r="DS42">
            <v>45</v>
          </cell>
          <cell r="DU42">
            <v>45146</v>
          </cell>
          <cell r="DV42">
            <v>45156</v>
          </cell>
          <cell r="DW42">
            <v>45146</v>
          </cell>
          <cell r="DX42" t="str">
            <v>Aug 23 Week 2</v>
          </cell>
          <cell r="DY42" t="str">
            <v/>
          </cell>
          <cell r="DZ42">
            <v>45159</v>
          </cell>
          <cell r="EA42" t="str">
            <v>Aug 23 Week 3</v>
          </cell>
          <cell r="EB42" t="str">
            <v>Plan</v>
          </cell>
          <cell r="ED42" t="str">
            <v/>
          </cell>
          <cell r="EE42" t="str">
            <v/>
          </cell>
          <cell r="EF42">
            <v>1</v>
          </cell>
          <cell r="EG42">
            <v>1</v>
          </cell>
          <cell r="EJ42">
            <v>45118</v>
          </cell>
          <cell r="EM42">
            <v>45125</v>
          </cell>
          <cell r="EP42">
            <v>45132</v>
          </cell>
          <cell r="ES42">
            <v>45139</v>
          </cell>
          <cell r="EV42">
            <v>45146</v>
          </cell>
          <cell r="FD42">
            <v>13</v>
          </cell>
          <cell r="FE42" t="str">
            <v>8 to 15 Days</v>
          </cell>
          <cell r="FF42">
            <v>29</v>
          </cell>
          <cell r="FG42" t="str">
            <v>16 to 31 Days</v>
          </cell>
          <cell r="FH42" t="str">
            <v>Done</v>
          </cell>
          <cell r="FI42" t="str">
            <v>Done</v>
          </cell>
          <cell r="FJ42" t="str">
            <v>Done</v>
          </cell>
          <cell r="FM42" t="str">
            <v/>
          </cell>
          <cell r="GF42" t="str">
            <v>7-ElW31</v>
          </cell>
          <cell r="GG42" t="str">
            <v>2023-2024</v>
          </cell>
        </row>
        <row r="43">
          <cell r="E43" t="str">
            <v>Grand central, Seawoods</v>
          </cell>
          <cell r="F43" t="str">
            <v>10. Launched</v>
          </cell>
          <cell r="G43" t="str">
            <v>NA</v>
          </cell>
          <cell r="H43" t="str">
            <v>_</v>
          </cell>
          <cell r="I43" t="str">
            <v>T1AS</v>
          </cell>
          <cell r="J43" t="str">
            <v>QG6L</v>
          </cell>
          <cell r="K43" t="str">
            <v>W</v>
          </cell>
          <cell r="L43" t="str">
            <v>BK</v>
          </cell>
          <cell r="N43" t="str">
            <v>Sh Sanjiv Johari</v>
          </cell>
          <cell r="O43" t="str">
            <v>Sh. Atul M Sawant</v>
          </cell>
          <cell r="P43" t="str">
            <v>Sh. Tejas Kadam</v>
          </cell>
          <cell r="Q43" t="str">
            <v>Shahaji Gohatre</v>
          </cell>
          <cell r="R43" t="str">
            <v>Parth Sharma</v>
          </cell>
          <cell r="S43" t="str">
            <v>Maharashtra</v>
          </cell>
          <cell r="T43" t="str">
            <v>Navi Mumbai</v>
          </cell>
          <cell r="U43" t="str">
            <v>Premium</v>
          </cell>
          <cell r="V43" t="str">
            <v>Misc Formats</v>
          </cell>
          <cell r="W43">
            <v>488</v>
          </cell>
          <cell r="X43" t="str">
            <v>Grand Central Mall, Plot No R, 1, Seawoods Station Rd, near Railway Station, Nerul East, Sector 40, Nerul, Navi Mumbai, Maharashtra 400706</v>
          </cell>
          <cell r="Z43" t="str">
            <v>Done</v>
          </cell>
          <cell r="AB43">
            <v>44762</v>
          </cell>
          <cell r="AC43">
            <v>44764</v>
          </cell>
          <cell r="AD43">
            <v>44766</v>
          </cell>
          <cell r="AE43">
            <v>44766</v>
          </cell>
          <cell r="AF43" t="str">
            <v>SDR DONE</v>
          </cell>
          <cell r="AG43">
            <v>0</v>
          </cell>
          <cell r="AH43" t="str">
            <v>_</v>
          </cell>
          <cell r="AJ43">
            <v>2</v>
          </cell>
          <cell r="AK43">
            <v>44999</v>
          </cell>
          <cell r="AL43" t="str">
            <v>Received</v>
          </cell>
          <cell r="AM43">
            <v>228</v>
          </cell>
          <cell r="AO43">
            <v>45002</v>
          </cell>
          <cell r="AP43">
            <v>44782</v>
          </cell>
          <cell r="AR43">
            <v>44904</v>
          </cell>
          <cell r="AS43">
            <v>-98</v>
          </cell>
          <cell r="AT43" t="str">
            <v>Received</v>
          </cell>
          <cell r="AU43">
            <v>45003</v>
          </cell>
          <cell r="AV43" t="str">
            <v>NA</v>
          </cell>
          <cell r="AW43" t="str">
            <v>NA</v>
          </cell>
          <cell r="AX43" t="str">
            <v>NA</v>
          </cell>
          <cell r="AZ43" t="str">
            <v>Received</v>
          </cell>
          <cell r="BA43">
            <v>45004</v>
          </cell>
          <cell r="BB43">
            <v>44937</v>
          </cell>
          <cell r="BD43">
            <v>44999</v>
          </cell>
          <cell r="BE43">
            <v>-5</v>
          </cell>
          <cell r="BF43" t="str">
            <v>Received</v>
          </cell>
          <cell r="BG43">
            <v>45004</v>
          </cell>
          <cell r="BH43">
            <v>44957</v>
          </cell>
          <cell r="BJ43">
            <v>44957</v>
          </cell>
          <cell r="BK43">
            <v>-47</v>
          </cell>
          <cell r="BL43" t="str">
            <v>Received</v>
          </cell>
          <cell r="BM43">
            <v>45002</v>
          </cell>
          <cell r="BN43">
            <v>44797</v>
          </cell>
          <cell r="BO43" t="str">
            <v>Received</v>
          </cell>
          <cell r="BP43">
            <v>45002</v>
          </cell>
          <cell r="BQ43">
            <v>44921</v>
          </cell>
          <cell r="BR43" t="str">
            <v>Received</v>
          </cell>
          <cell r="BT43">
            <v>44985</v>
          </cell>
          <cell r="BU43" t="str">
            <v>Received</v>
          </cell>
          <cell r="BV43" t="str">
            <v>Done</v>
          </cell>
          <cell r="BW43" t="str">
            <v>11-08-2022</v>
          </cell>
          <cell r="BX43">
            <v>44798</v>
          </cell>
          <cell r="BY43" t="str">
            <v>Done</v>
          </cell>
          <cell r="CD43" t="str">
            <v>Done</v>
          </cell>
          <cell r="CE43" t="str">
            <v/>
          </cell>
          <cell r="CF43" t="str">
            <v>Neelam Enterprises</v>
          </cell>
          <cell r="CG43" t="str">
            <v>Bhakti Electricals</v>
          </cell>
          <cell r="CH43" t="str">
            <v/>
          </cell>
          <cell r="CN43" t="str">
            <v/>
          </cell>
          <cell r="CO43" t="str">
            <v/>
          </cell>
          <cell r="CP43" t="str">
            <v/>
          </cell>
          <cell r="CR43" t="str">
            <v/>
          </cell>
          <cell r="DD43">
            <v>44899</v>
          </cell>
          <cell r="DG43" t="str">
            <v>10. Launched</v>
          </cell>
          <cell r="DJ43" t="str">
            <v/>
          </cell>
          <cell r="DK43">
            <v>44899</v>
          </cell>
          <cell r="DP43">
            <v>44901</v>
          </cell>
          <cell r="DQ43">
            <v>44977</v>
          </cell>
          <cell r="DR43">
            <v>35</v>
          </cell>
          <cell r="DS43">
            <v>45</v>
          </cell>
          <cell r="DU43">
            <v>45012</v>
          </cell>
          <cell r="DV43">
            <v>45022</v>
          </cell>
          <cell r="DW43">
            <v>45012</v>
          </cell>
          <cell r="DX43" t="str">
            <v>March 23 Week 4</v>
          </cell>
          <cell r="DY43" t="str">
            <v/>
          </cell>
          <cell r="DZ43">
            <v>45036</v>
          </cell>
          <cell r="EA43" t="str">
            <v>April 23 Week 3</v>
          </cell>
          <cell r="ED43" t="str">
            <v/>
          </cell>
          <cell r="EE43" t="str">
            <v/>
          </cell>
          <cell r="EF43">
            <v>1</v>
          </cell>
          <cell r="EG43">
            <v>1</v>
          </cell>
          <cell r="EJ43">
            <v>44984</v>
          </cell>
          <cell r="EM43">
            <v>44991</v>
          </cell>
          <cell r="EP43">
            <v>44998</v>
          </cell>
          <cell r="ES43">
            <v>45005</v>
          </cell>
          <cell r="EV43">
            <v>45012</v>
          </cell>
          <cell r="FD43">
            <v>24</v>
          </cell>
          <cell r="FE43" t="str">
            <v>16 to 31 Days</v>
          </cell>
          <cell r="FF43">
            <v>100</v>
          </cell>
          <cell r="FG43" t="str">
            <v>More Than 90  Days</v>
          </cell>
          <cell r="FH43" t="str">
            <v>Done</v>
          </cell>
          <cell r="FI43" t="str">
            <v>Done</v>
          </cell>
          <cell r="FJ43" t="str">
            <v>Done</v>
          </cell>
          <cell r="FM43" t="str">
            <v/>
          </cell>
          <cell r="GG43" t="str">
            <v>2023-2024</v>
          </cell>
        </row>
        <row r="44">
          <cell r="E44" t="str">
            <v>Green Park, Ghansoli</v>
          </cell>
          <cell r="F44" t="str">
            <v>14. Dropped</v>
          </cell>
          <cell r="G44" t="str">
            <v>NA</v>
          </cell>
          <cell r="H44" t="str">
            <v>_</v>
          </cell>
          <cell r="I44" t="str">
            <v>_</v>
          </cell>
          <cell r="K44" t="str">
            <v>W</v>
          </cell>
          <cell r="L44" t="str">
            <v>BK</v>
          </cell>
          <cell r="N44" t="str">
            <v>Sh Mrudang Shah</v>
          </cell>
          <cell r="O44" t="str">
            <v>Sh Nitin Dawange</v>
          </cell>
          <cell r="P44" t="str">
            <v/>
          </cell>
          <cell r="Q44" t="str">
            <v>Shahaji Gohatre</v>
          </cell>
          <cell r="R44" t="str">
            <v>Parth Sharma</v>
          </cell>
          <cell r="S44" t="str">
            <v>Maharashtra</v>
          </cell>
          <cell r="T44" t="str">
            <v>Navi Mumbai</v>
          </cell>
          <cell r="U44" t="str">
            <v>Premium</v>
          </cell>
          <cell r="V44" t="str">
            <v>Misc Formats</v>
          </cell>
          <cell r="W44">
            <v>934</v>
          </cell>
          <cell r="X44" t="str">
            <v>Shop No 12,13 Green Park CHS, Plot No. 2 and 3, Sector 3, Ghansoli ,Navi Mumbai, Maharashtra 400701</v>
          </cell>
          <cell r="Z44" t="str">
            <v>_</v>
          </cell>
          <cell r="AB44">
            <v>45208</v>
          </cell>
          <cell r="AC44">
            <v>45210</v>
          </cell>
          <cell r="AD44">
            <v>45221</v>
          </cell>
          <cell r="AE44">
            <v>45222</v>
          </cell>
          <cell r="AF44" t="str">
            <v>SDR DONE</v>
          </cell>
          <cell r="AG44">
            <v>8</v>
          </cell>
          <cell r="AH44" t="str">
            <v>_</v>
          </cell>
          <cell r="AJ44">
            <v>2</v>
          </cell>
          <cell r="AK44">
            <v>45303</v>
          </cell>
          <cell r="AL44" t="str">
            <v>Received</v>
          </cell>
          <cell r="AM44">
            <v>77</v>
          </cell>
          <cell r="AO44">
            <v>45306</v>
          </cell>
          <cell r="AP44">
            <v>45281</v>
          </cell>
          <cell r="AR44">
            <v>45281</v>
          </cell>
          <cell r="AS44">
            <v>-25</v>
          </cell>
          <cell r="AU44">
            <v>45307</v>
          </cell>
          <cell r="AV44">
            <v>45287</v>
          </cell>
          <cell r="BA44">
            <v>45308</v>
          </cell>
          <cell r="BG44">
            <v>45308</v>
          </cell>
          <cell r="BJ44" t="str">
            <v/>
          </cell>
          <cell r="BM44">
            <v>45306</v>
          </cell>
          <cell r="BN44">
            <v>45276</v>
          </cell>
          <cell r="BP44">
            <v>45306</v>
          </cell>
          <cell r="BW44" t="str">
            <v/>
          </cell>
          <cell r="CE44" t="str">
            <v/>
          </cell>
          <cell r="CF44" t="str">
            <v/>
          </cell>
          <cell r="CG44" t="str">
            <v/>
          </cell>
          <cell r="CH44" t="str">
            <v/>
          </cell>
          <cell r="CN44" t="str">
            <v/>
          </cell>
          <cell r="CO44" t="str">
            <v/>
          </cell>
          <cell r="CP44" t="str">
            <v/>
          </cell>
          <cell r="CR44" t="str">
            <v/>
          </cell>
          <cell r="DG44" t="str">
            <v>14. Dropped</v>
          </cell>
          <cell r="DJ44" t="str">
            <v/>
          </cell>
          <cell r="DP44" t="str">
            <v/>
          </cell>
          <cell r="DR44">
            <v>35</v>
          </cell>
          <cell r="DS44">
            <v>45</v>
          </cell>
          <cell r="DX44" t="str">
            <v/>
          </cell>
          <cell r="DY44" t="str">
            <v/>
          </cell>
          <cell r="EA44" t="str">
            <v/>
          </cell>
          <cell r="ED44" t="str">
            <v/>
          </cell>
          <cell r="EE44" t="str">
            <v/>
          </cell>
          <cell r="FM44" t="str">
            <v/>
          </cell>
          <cell r="GG44" t="str">
            <v>2024-2025</v>
          </cell>
        </row>
        <row r="45">
          <cell r="E45" t="str">
            <v>Haware Centurian</v>
          </cell>
          <cell r="F45" t="str">
            <v>10. Launched</v>
          </cell>
          <cell r="G45" t="str">
            <v>NA</v>
          </cell>
          <cell r="H45" t="str">
            <v>MU-SM-GMU-573/SE</v>
          </cell>
          <cell r="I45" t="str">
            <v>_</v>
          </cell>
          <cell r="J45" t="str">
            <v>QDNN</v>
          </cell>
          <cell r="K45" t="str">
            <v>W</v>
          </cell>
          <cell r="L45" t="str">
            <v>BK</v>
          </cell>
          <cell r="N45" t="str">
            <v>Sh Sanjiv Johari</v>
          </cell>
          <cell r="O45" t="str">
            <v>Sh. Atul M Sawant</v>
          </cell>
          <cell r="P45" t="str">
            <v>Sh. Majid Hassan</v>
          </cell>
          <cell r="Q45" t="str">
            <v>Shahaji Gohatre</v>
          </cell>
          <cell r="R45" t="str">
            <v>Parth Sharma</v>
          </cell>
          <cell r="S45" t="str">
            <v>Maharashtra</v>
          </cell>
          <cell r="T45" t="str">
            <v>Navi Mumbai</v>
          </cell>
          <cell r="U45" t="str">
            <v>Premium</v>
          </cell>
          <cell r="V45" t="str">
            <v>Misc Formats</v>
          </cell>
          <cell r="W45">
            <v>983</v>
          </cell>
          <cell r="X45" t="str">
            <v xml:space="preserve"> Shop No.26B, Haware Centurian,Below Mcdonalds,Plot No.88/91,Sector19A,Nerul 400706</v>
          </cell>
          <cell r="Z45" t="str">
            <v>Done</v>
          </cell>
          <cell r="AB45">
            <v>44488</v>
          </cell>
          <cell r="AC45">
            <v>44490</v>
          </cell>
          <cell r="AD45">
            <v>44494</v>
          </cell>
          <cell r="AE45">
            <v>44494</v>
          </cell>
          <cell r="AF45" t="str">
            <v>SDR DONE</v>
          </cell>
          <cell r="AG45">
            <v>1</v>
          </cell>
          <cell r="AH45" t="str">
            <v>_</v>
          </cell>
          <cell r="AI45">
            <v>44520</v>
          </cell>
          <cell r="AJ45">
            <v>3</v>
          </cell>
          <cell r="AK45">
            <v>44643</v>
          </cell>
          <cell r="AL45" t="str">
            <v>Received</v>
          </cell>
          <cell r="AM45">
            <v>144</v>
          </cell>
          <cell r="AO45">
            <v>44646</v>
          </cell>
          <cell r="AP45">
            <v>44548</v>
          </cell>
          <cell r="AR45">
            <v>44776</v>
          </cell>
          <cell r="AS45">
            <v>130</v>
          </cell>
          <cell r="AT45" t="str">
            <v>Received</v>
          </cell>
          <cell r="AU45">
            <v>44647</v>
          </cell>
          <cell r="AV45" t="str">
            <v>NA</v>
          </cell>
          <cell r="AW45" t="str">
            <v>NA</v>
          </cell>
          <cell r="AX45" t="str">
            <v>NA</v>
          </cell>
          <cell r="AZ45" t="str">
            <v>Received</v>
          </cell>
          <cell r="BA45">
            <v>44648</v>
          </cell>
          <cell r="BB45">
            <v>44572</v>
          </cell>
          <cell r="BD45">
            <v>44663</v>
          </cell>
          <cell r="BE45">
            <v>14</v>
          </cell>
          <cell r="BF45" t="str">
            <v>Received</v>
          </cell>
          <cell r="BG45">
            <v>44648</v>
          </cell>
          <cell r="BH45">
            <v>44572</v>
          </cell>
          <cell r="BJ45">
            <v>44674</v>
          </cell>
          <cell r="BK45">
            <v>25</v>
          </cell>
          <cell r="BL45" t="str">
            <v>Received</v>
          </cell>
          <cell r="BM45">
            <v>44646</v>
          </cell>
          <cell r="BN45">
            <v>44530</v>
          </cell>
          <cell r="BO45" t="str">
            <v>Received</v>
          </cell>
          <cell r="BP45">
            <v>44646</v>
          </cell>
          <cell r="BQ45">
            <v>44560</v>
          </cell>
          <cell r="BR45" t="str">
            <v>Received</v>
          </cell>
          <cell r="BT45">
            <v>44670</v>
          </cell>
          <cell r="BU45" t="str">
            <v>Received</v>
          </cell>
          <cell r="BV45" t="str">
            <v>Done</v>
          </cell>
          <cell r="BW45" t="str">
            <v>Done</v>
          </cell>
          <cell r="BX45">
            <v>44544</v>
          </cell>
          <cell r="BY45" t="str">
            <v>Done</v>
          </cell>
          <cell r="CD45">
            <v>44987</v>
          </cell>
          <cell r="CE45">
            <v>44571</v>
          </cell>
          <cell r="CF45" t="str">
            <v>Nutek Creations</v>
          </cell>
          <cell r="CG45" t="str">
            <v>Sitara Electricals</v>
          </cell>
          <cell r="CH45" t="str">
            <v>Aditya Air conditioning</v>
          </cell>
          <cell r="CJ45">
            <v>44571</v>
          </cell>
          <cell r="CK45">
            <v>44617</v>
          </cell>
          <cell r="CN45" t="str">
            <v/>
          </cell>
          <cell r="CO45" t="str">
            <v/>
          </cell>
          <cell r="CP45" t="str">
            <v/>
          </cell>
          <cell r="CR45" t="str">
            <v/>
          </cell>
          <cell r="DG45" t="str">
            <v>10. Launched</v>
          </cell>
          <cell r="DJ45" t="str">
            <v/>
          </cell>
          <cell r="DK45">
            <v>44648</v>
          </cell>
          <cell r="DP45">
            <v>44650</v>
          </cell>
          <cell r="DQ45">
            <v>44650</v>
          </cell>
          <cell r="DR45">
            <v>35</v>
          </cell>
          <cell r="DS45">
            <v>45</v>
          </cell>
          <cell r="DU45">
            <v>44685</v>
          </cell>
          <cell r="DV45">
            <v>44695</v>
          </cell>
          <cell r="DW45">
            <v>44685</v>
          </cell>
          <cell r="DY45" t="str">
            <v/>
          </cell>
          <cell r="DZ45">
            <v>44799</v>
          </cell>
          <cell r="ED45" t="str">
            <v/>
          </cell>
          <cell r="EE45" t="str">
            <v/>
          </cell>
          <cell r="EF45">
            <v>1</v>
          </cell>
          <cell r="EG45">
            <v>1</v>
          </cell>
          <cell r="EJ45">
            <v>44657</v>
          </cell>
          <cell r="EM45">
            <v>44664</v>
          </cell>
          <cell r="EP45">
            <v>44671</v>
          </cell>
          <cell r="ES45">
            <v>44678</v>
          </cell>
          <cell r="EV45">
            <v>44685</v>
          </cell>
          <cell r="FD45">
            <v>114</v>
          </cell>
          <cell r="FE45" t="str">
            <v>More Than 90  Days</v>
          </cell>
          <cell r="FF45">
            <v>114</v>
          </cell>
          <cell r="FG45" t="str">
            <v>More Than 90  Days</v>
          </cell>
          <cell r="FH45" t="str">
            <v>Done</v>
          </cell>
          <cell r="FI45" t="str">
            <v>Done</v>
          </cell>
          <cell r="FJ45" t="str">
            <v>Done</v>
          </cell>
          <cell r="FK45">
            <v>45083</v>
          </cell>
          <cell r="FM45" t="str">
            <v/>
          </cell>
          <cell r="GF45" t="str">
            <v>7-ElW591</v>
          </cell>
          <cell r="GG45" t="str">
            <v>2022-2023</v>
          </cell>
        </row>
        <row r="46">
          <cell r="E46" t="str">
            <v>Health Springs, Mulund</v>
          </cell>
          <cell r="F46" t="str">
            <v>10. Launched</v>
          </cell>
          <cell r="G46" t="str">
            <v>NA</v>
          </cell>
          <cell r="H46" t="str">
            <v>_</v>
          </cell>
          <cell r="I46" t="str">
            <v>_</v>
          </cell>
          <cell r="J46" t="str">
            <v>QA7S</v>
          </cell>
          <cell r="K46" t="str">
            <v>W</v>
          </cell>
          <cell r="L46" t="str">
            <v>BK</v>
          </cell>
          <cell r="N46" t="str">
            <v>Sh Sanjiv Johari</v>
          </cell>
          <cell r="O46" t="str">
            <v>Sh. Atul M Sawant</v>
          </cell>
          <cell r="P46" t="str">
            <v>Sh. Ajinkya More</v>
          </cell>
          <cell r="Q46" t="str">
            <v>Shahaji Gohatre</v>
          </cell>
          <cell r="R46" t="str">
            <v>Parth Sharma</v>
          </cell>
          <cell r="S46" t="str">
            <v>Maharashtra</v>
          </cell>
          <cell r="T46" t="str">
            <v>Mumbai</v>
          </cell>
          <cell r="U46" t="str">
            <v>Premium</v>
          </cell>
          <cell r="V46" t="str">
            <v>Misc Formats</v>
          </cell>
          <cell r="W46">
            <v>566</v>
          </cell>
          <cell r="X46" t="str">
            <v>Shop no.01, 02 &amp; 03, Ground Floor, Health Spring, LBS Road, Near. Johnson &amp; Johnson, Mulund-West, Mumbai-400080</v>
          </cell>
          <cell r="Z46" t="str">
            <v>Done</v>
          </cell>
          <cell r="AB46">
            <v>44784</v>
          </cell>
          <cell r="AC46">
            <v>44823</v>
          </cell>
          <cell r="AD46">
            <v>44827</v>
          </cell>
          <cell r="AE46">
            <v>44827</v>
          </cell>
          <cell r="AF46" t="str">
            <v>SDR DONE</v>
          </cell>
          <cell r="AG46">
            <v>38</v>
          </cell>
          <cell r="AH46" t="str">
            <v>_</v>
          </cell>
          <cell r="AJ46">
            <v>3</v>
          </cell>
          <cell r="AK46">
            <v>44984</v>
          </cell>
          <cell r="AL46" t="str">
            <v>Received</v>
          </cell>
          <cell r="AM46">
            <v>152</v>
          </cell>
          <cell r="AO46">
            <v>44987</v>
          </cell>
          <cell r="AT46" t="str">
            <v>Received</v>
          </cell>
          <cell r="AU46">
            <v>44988</v>
          </cell>
          <cell r="AV46" t="str">
            <v>NA</v>
          </cell>
          <cell r="AW46" t="str">
            <v>NA</v>
          </cell>
          <cell r="AX46" t="str">
            <v>NA</v>
          </cell>
          <cell r="AZ46" t="str">
            <v>Received</v>
          </cell>
          <cell r="BA46">
            <v>44989</v>
          </cell>
          <cell r="BF46" t="str">
            <v>Received</v>
          </cell>
          <cell r="BG46">
            <v>44989</v>
          </cell>
          <cell r="BJ46" t="str">
            <v/>
          </cell>
          <cell r="BL46" t="str">
            <v>Received</v>
          </cell>
          <cell r="BM46">
            <v>44987</v>
          </cell>
          <cell r="BN46" t="str">
            <v/>
          </cell>
          <cell r="BO46" t="str">
            <v>Received</v>
          </cell>
          <cell r="BP46">
            <v>44987</v>
          </cell>
          <cell r="BR46" t="str">
            <v>Received</v>
          </cell>
          <cell r="BU46" t="str">
            <v>Received</v>
          </cell>
          <cell r="BV46" t="str">
            <v>Done</v>
          </cell>
          <cell r="BW46" t="str">
            <v>Done</v>
          </cell>
          <cell r="BY46" t="str">
            <v>Done</v>
          </cell>
          <cell r="CD46" t="str">
            <v>Done</v>
          </cell>
          <cell r="CE46" t="str">
            <v/>
          </cell>
          <cell r="CF46" t="str">
            <v/>
          </cell>
          <cell r="CG46" t="str">
            <v/>
          </cell>
          <cell r="CH46" t="str">
            <v/>
          </cell>
          <cell r="CN46" t="str">
            <v/>
          </cell>
          <cell r="CO46" t="str">
            <v/>
          </cell>
          <cell r="CP46" t="str">
            <v/>
          </cell>
          <cell r="CR46" t="str">
            <v/>
          </cell>
          <cell r="DG46" t="str">
            <v>10. Launched</v>
          </cell>
          <cell r="DJ46" t="str">
            <v/>
          </cell>
          <cell r="DK46">
            <v>44910</v>
          </cell>
          <cell r="DP46" t="str">
            <v/>
          </cell>
          <cell r="DQ46">
            <v>44945</v>
          </cell>
          <cell r="DR46">
            <v>35</v>
          </cell>
          <cell r="DS46">
            <v>45</v>
          </cell>
          <cell r="DU46">
            <v>44980</v>
          </cell>
          <cell r="DV46">
            <v>44990</v>
          </cell>
          <cell r="DW46">
            <v>44980</v>
          </cell>
          <cell r="DX46" t="str">
            <v>Feb 23 Week 4</v>
          </cell>
          <cell r="DY46" t="str">
            <v/>
          </cell>
          <cell r="DZ46">
            <v>45013</v>
          </cell>
          <cell r="EA46" t="str">
            <v>March 23 Week 4</v>
          </cell>
          <cell r="ED46" t="str">
            <v/>
          </cell>
          <cell r="EE46" t="str">
            <v/>
          </cell>
          <cell r="EF46">
            <v>1</v>
          </cell>
          <cell r="EG46">
            <v>1</v>
          </cell>
          <cell r="EJ46">
            <v>44952</v>
          </cell>
          <cell r="EM46">
            <v>44959</v>
          </cell>
          <cell r="EP46">
            <v>44966</v>
          </cell>
          <cell r="ES46">
            <v>44973</v>
          </cell>
          <cell r="EV46">
            <v>44980</v>
          </cell>
          <cell r="FD46">
            <v>33</v>
          </cell>
          <cell r="FE46" t="str">
            <v>31 to 61 Days</v>
          </cell>
          <cell r="FH46" t="str">
            <v>Done</v>
          </cell>
          <cell r="FI46" t="str">
            <v>Done</v>
          </cell>
          <cell r="FJ46" t="str">
            <v>Done</v>
          </cell>
          <cell r="FM46" t="str">
            <v/>
          </cell>
          <cell r="GG46" t="str">
            <v>2022-2023</v>
          </cell>
        </row>
        <row r="47">
          <cell r="E47" t="str">
            <v>Hill Crest</v>
          </cell>
          <cell r="F47" t="str">
            <v>11. HOLD</v>
          </cell>
          <cell r="G47" t="str">
            <v>NA</v>
          </cell>
          <cell r="H47" t="str">
            <v>_</v>
          </cell>
          <cell r="I47" t="str">
            <v>_</v>
          </cell>
          <cell r="K47" t="str">
            <v>W</v>
          </cell>
          <cell r="L47" t="str">
            <v>BK</v>
          </cell>
          <cell r="N47" t="str">
            <v>Sh Shashi Pardesi</v>
          </cell>
          <cell r="O47" t="str">
            <v>Sh Ashish M</v>
          </cell>
          <cell r="P47" t="str">
            <v/>
          </cell>
          <cell r="Q47" t="str">
            <v>Shahaji Gohatre</v>
          </cell>
          <cell r="R47" t="str">
            <v>Parth Sharma</v>
          </cell>
          <cell r="S47" t="str">
            <v>Maharashtra</v>
          </cell>
          <cell r="T47" t="str">
            <v>Pune</v>
          </cell>
          <cell r="U47" t="str">
            <v>Premium</v>
          </cell>
          <cell r="V47" t="str">
            <v>Misc Formats</v>
          </cell>
          <cell r="W47">
            <v>1126</v>
          </cell>
          <cell r="X47" t="str">
            <v>Shop No. 3 &amp; 4 Near PK international School, Jarvari Road, Kunal Icon Rd, Pimple Saudagar, Pune, Maharashtra 411027</v>
          </cell>
          <cell r="Z47" t="str">
            <v>_</v>
          </cell>
          <cell r="AB47">
            <v>45279</v>
          </cell>
          <cell r="AC47">
            <v>45282</v>
          </cell>
          <cell r="AD47">
            <v>45295</v>
          </cell>
          <cell r="AE47">
            <v>45296</v>
          </cell>
          <cell r="AF47" t="str">
            <v>SDR DONE</v>
          </cell>
          <cell r="AG47">
            <v>11</v>
          </cell>
          <cell r="AH47" t="str">
            <v>_</v>
          </cell>
          <cell r="AK47">
            <v>45320</v>
          </cell>
          <cell r="AL47" t="str">
            <v>Received</v>
          </cell>
          <cell r="AM47">
            <v>20</v>
          </cell>
          <cell r="AO47">
            <v>45323</v>
          </cell>
          <cell r="AU47">
            <v>45324</v>
          </cell>
          <cell r="AV47" t="str">
            <v/>
          </cell>
          <cell r="BA47">
            <v>45325</v>
          </cell>
          <cell r="BG47">
            <v>45325</v>
          </cell>
          <cell r="BJ47" t="str">
            <v/>
          </cell>
          <cell r="BM47">
            <v>45323</v>
          </cell>
          <cell r="BN47">
            <v>45322</v>
          </cell>
          <cell r="BP47">
            <v>45323</v>
          </cell>
          <cell r="BW47" t="str">
            <v/>
          </cell>
          <cell r="CD47">
            <v>45040</v>
          </cell>
          <cell r="CE47" t="str">
            <v/>
          </cell>
          <cell r="CF47" t="str">
            <v/>
          </cell>
          <cell r="CG47" t="str">
            <v/>
          </cell>
          <cell r="CH47" t="str">
            <v/>
          </cell>
          <cell r="CN47" t="str">
            <v/>
          </cell>
          <cell r="CO47" t="str">
            <v/>
          </cell>
          <cell r="CP47" t="str">
            <v/>
          </cell>
          <cell r="CR47" t="str">
            <v/>
          </cell>
          <cell r="DG47" t="str">
            <v>11. HOLD</v>
          </cell>
          <cell r="DJ47" t="str">
            <v/>
          </cell>
          <cell r="DP47" t="str">
            <v/>
          </cell>
          <cell r="DR47">
            <v>35</v>
          </cell>
          <cell r="DS47">
            <v>45</v>
          </cell>
          <cell r="DX47" t="str">
            <v/>
          </cell>
          <cell r="DY47" t="str">
            <v/>
          </cell>
          <cell r="EA47" t="str">
            <v/>
          </cell>
          <cell r="ED47" t="str">
            <v/>
          </cell>
          <cell r="EE47" t="str">
            <v/>
          </cell>
          <cell r="FM47" t="str">
            <v/>
          </cell>
          <cell r="GG47" t="str">
            <v>2026-2027</v>
          </cell>
        </row>
        <row r="48">
          <cell r="E48" t="str">
            <v>Hub Town Sunmist, Teli Galli</v>
          </cell>
          <cell r="F48" t="str">
            <v>10. Launched</v>
          </cell>
          <cell r="G48" t="str">
            <v>NA</v>
          </cell>
          <cell r="H48" t="str">
            <v>MU-SM-GMU-577/SE</v>
          </cell>
          <cell r="I48" t="str">
            <v>_</v>
          </cell>
          <cell r="J48" t="str">
            <v>QEAT</v>
          </cell>
          <cell r="K48" t="str">
            <v>W</v>
          </cell>
          <cell r="L48" t="str">
            <v>BK</v>
          </cell>
          <cell r="N48" t="str">
            <v>Sh Sanjiv Johari</v>
          </cell>
          <cell r="O48" t="str">
            <v>Sh. Atul M Sawant</v>
          </cell>
          <cell r="P48" t="str">
            <v>Sh. Sunil Grandhe</v>
          </cell>
          <cell r="Q48" t="str">
            <v>Shahaji Gohatre</v>
          </cell>
          <cell r="R48" t="str">
            <v>Parth Sharma</v>
          </cell>
          <cell r="S48" t="str">
            <v>Maharashtra</v>
          </cell>
          <cell r="T48" t="str">
            <v>Mumbai</v>
          </cell>
          <cell r="U48" t="str">
            <v>Premium</v>
          </cell>
          <cell r="V48" t="str">
            <v>Misc Formats</v>
          </cell>
          <cell r="W48">
            <v>606</v>
          </cell>
          <cell r="X48" t="str">
            <v xml:space="preserve"> Hubtown Sunmist, Shop No 2A, N.S. phadke marg, opp Teli galli, Andheri E - 400053</v>
          </cell>
          <cell r="Z48" t="str">
            <v>Done</v>
          </cell>
          <cell r="AB48">
            <v>44515</v>
          </cell>
          <cell r="AC48">
            <v>44517</v>
          </cell>
          <cell r="AD48">
            <v>44529</v>
          </cell>
          <cell r="AE48">
            <v>44529</v>
          </cell>
          <cell r="AF48" t="str">
            <v>SDR DONE</v>
          </cell>
          <cell r="AG48">
            <v>9</v>
          </cell>
          <cell r="AH48" t="str">
            <v>_</v>
          </cell>
          <cell r="AI48">
            <v>44548</v>
          </cell>
          <cell r="AJ48">
            <v>0</v>
          </cell>
          <cell r="AK48">
            <v>44548</v>
          </cell>
          <cell r="AL48" t="str">
            <v>Received</v>
          </cell>
          <cell r="AM48">
            <v>14</v>
          </cell>
          <cell r="AO48">
            <v>44551</v>
          </cell>
          <cell r="AP48">
            <v>44657</v>
          </cell>
          <cell r="AR48">
            <v>44658</v>
          </cell>
          <cell r="AS48">
            <v>107</v>
          </cell>
          <cell r="AT48" t="str">
            <v>Received</v>
          </cell>
          <cell r="AU48">
            <v>44552</v>
          </cell>
          <cell r="AV48" t="str">
            <v>NA</v>
          </cell>
          <cell r="AW48" t="str">
            <v>NA</v>
          </cell>
          <cell r="AX48" t="str">
            <v>NA</v>
          </cell>
          <cell r="AZ48" t="str">
            <v>Received</v>
          </cell>
          <cell r="BA48">
            <v>44553</v>
          </cell>
          <cell r="BB48">
            <v>44617</v>
          </cell>
          <cell r="BF48" t="str">
            <v>Received</v>
          </cell>
          <cell r="BG48">
            <v>44553</v>
          </cell>
          <cell r="BH48">
            <v>44618</v>
          </cell>
          <cell r="BJ48">
            <v>44657</v>
          </cell>
          <cell r="BK48">
            <v>104</v>
          </cell>
          <cell r="BL48" t="str">
            <v>Received</v>
          </cell>
          <cell r="BM48">
            <v>44551</v>
          </cell>
          <cell r="BN48">
            <v>44621</v>
          </cell>
          <cell r="BO48" t="str">
            <v>Received</v>
          </cell>
          <cell r="BP48">
            <v>44551</v>
          </cell>
          <cell r="BQ48">
            <v>44628</v>
          </cell>
          <cell r="BR48" t="str">
            <v>Received</v>
          </cell>
          <cell r="BT48">
            <v>44641</v>
          </cell>
          <cell r="BU48" t="str">
            <v>Received</v>
          </cell>
          <cell r="BV48" t="str">
            <v>Done</v>
          </cell>
          <cell r="BW48" t="str">
            <v>11-12-2021</v>
          </cell>
          <cell r="BX48">
            <v>44544</v>
          </cell>
          <cell r="BY48" t="str">
            <v>Done</v>
          </cell>
          <cell r="CD48">
            <v>45040</v>
          </cell>
          <cell r="CE48">
            <v>44613</v>
          </cell>
          <cell r="CF48" t="str">
            <v>Nutek Creations</v>
          </cell>
          <cell r="CG48" t="str">
            <v>Sitara Electricals</v>
          </cell>
          <cell r="CH48" t="str">
            <v>Arithmetic</v>
          </cell>
          <cell r="CJ48">
            <v>44613</v>
          </cell>
          <cell r="CK48">
            <v>44610</v>
          </cell>
          <cell r="CN48" t="str">
            <v/>
          </cell>
          <cell r="CO48" t="str">
            <v/>
          </cell>
          <cell r="CP48" t="str">
            <v/>
          </cell>
          <cell r="CR48" t="str">
            <v/>
          </cell>
          <cell r="DG48" t="str">
            <v>10. Launched</v>
          </cell>
          <cell r="DJ48" t="str">
            <v/>
          </cell>
          <cell r="DK48">
            <v>44607</v>
          </cell>
          <cell r="DP48">
            <v>44609</v>
          </cell>
          <cell r="DQ48">
            <v>44620</v>
          </cell>
          <cell r="DR48">
            <v>35</v>
          </cell>
          <cell r="DS48">
            <v>45</v>
          </cell>
          <cell r="DU48">
            <v>44655</v>
          </cell>
          <cell r="DV48">
            <v>44665</v>
          </cell>
          <cell r="DW48">
            <v>44655</v>
          </cell>
          <cell r="DY48" t="str">
            <v/>
          </cell>
          <cell r="DZ48">
            <v>44705</v>
          </cell>
          <cell r="ED48" t="str">
            <v/>
          </cell>
          <cell r="EE48" t="str">
            <v/>
          </cell>
          <cell r="EF48">
            <v>1</v>
          </cell>
          <cell r="EG48">
            <v>1</v>
          </cell>
          <cell r="EJ48">
            <v>44627</v>
          </cell>
          <cell r="EM48">
            <v>44634</v>
          </cell>
          <cell r="EP48">
            <v>44641</v>
          </cell>
          <cell r="ES48">
            <v>44648</v>
          </cell>
          <cell r="EV48">
            <v>44655</v>
          </cell>
          <cell r="FD48">
            <v>50</v>
          </cell>
          <cell r="FE48" t="str">
            <v>31 to 61 Days</v>
          </cell>
          <cell r="FF48">
            <v>61</v>
          </cell>
          <cell r="FG48" t="str">
            <v>31 to 61 Days</v>
          </cell>
          <cell r="FH48" t="str">
            <v>Done</v>
          </cell>
          <cell r="FI48" t="str">
            <v>Done</v>
          </cell>
          <cell r="FJ48" t="str">
            <v>Done</v>
          </cell>
          <cell r="FK48">
            <v>45180</v>
          </cell>
          <cell r="FM48" t="str">
            <v/>
          </cell>
          <cell r="GF48" t="str">
            <v>SEVEBK48</v>
          </cell>
          <cell r="GG48" t="str">
            <v>2022-2023</v>
          </cell>
        </row>
        <row r="49">
          <cell r="E49" t="str">
            <v xml:space="preserve">Huma Mall </v>
          </cell>
          <cell r="F49" t="str">
            <v>10. Launched</v>
          </cell>
          <cell r="G49" t="str">
            <v>NA</v>
          </cell>
          <cell r="H49" t="str">
            <v>_</v>
          </cell>
          <cell r="I49" t="str">
            <v>_</v>
          </cell>
          <cell r="J49" t="str">
            <v>Q4GD</v>
          </cell>
          <cell r="K49" t="str">
            <v>W</v>
          </cell>
          <cell r="L49" t="str">
            <v>BK</v>
          </cell>
          <cell r="N49" t="str">
            <v>Sh Atul M Sawant</v>
          </cell>
          <cell r="O49" t="str">
            <v>Sh Atul M Sawant</v>
          </cell>
          <cell r="P49" t="str">
            <v>Sh. Rajesh Gavale</v>
          </cell>
          <cell r="Q49" t="str">
            <v>Shahaji Gohatre</v>
          </cell>
          <cell r="R49" t="str">
            <v>Parth Sharma</v>
          </cell>
          <cell r="S49" t="str">
            <v>Maharashtra</v>
          </cell>
          <cell r="T49" t="str">
            <v>Mumbai</v>
          </cell>
          <cell r="U49" t="str">
            <v>Premium</v>
          </cell>
          <cell r="V49" t="str">
            <v>Misc Formats</v>
          </cell>
          <cell r="W49">
            <v>891</v>
          </cell>
          <cell r="X49" t="str">
            <v>Shop No. 04,05 &amp; 06, Huma Mall, LBS Road, Kanjurmarg</v>
          </cell>
          <cell r="Z49" t="str">
            <v>Done</v>
          </cell>
          <cell r="AB49">
            <v>45082</v>
          </cell>
          <cell r="AC49">
            <v>45083</v>
          </cell>
          <cell r="AD49">
            <v>45085</v>
          </cell>
          <cell r="AE49">
            <v>45085</v>
          </cell>
          <cell r="AF49" t="str">
            <v>SDR DONE</v>
          </cell>
          <cell r="AG49">
            <v>0</v>
          </cell>
          <cell r="AH49" t="str">
            <v>_</v>
          </cell>
          <cell r="AJ49">
            <v>1</v>
          </cell>
          <cell r="AK49">
            <v>45154</v>
          </cell>
          <cell r="AL49" t="str">
            <v>Received</v>
          </cell>
          <cell r="AM49">
            <v>64</v>
          </cell>
          <cell r="AO49">
            <v>45157</v>
          </cell>
          <cell r="AP49">
            <v>45114</v>
          </cell>
          <cell r="AQ49">
            <v>0</v>
          </cell>
          <cell r="AR49">
            <v>45114</v>
          </cell>
          <cell r="AS49">
            <v>-43</v>
          </cell>
          <cell r="AT49" t="str">
            <v>Received</v>
          </cell>
          <cell r="AU49">
            <v>45158</v>
          </cell>
          <cell r="AV49">
            <v>45124</v>
          </cell>
          <cell r="AW49">
            <v>0</v>
          </cell>
          <cell r="AX49">
            <v>45124</v>
          </cell>
          <cell r="AY49">
            <v>-34</v>
          </cell>
          <cell r="AZ49" t="str">
            <v>Received</v>
          </cell>
          <cell r="BA49">
            <v>45159</v>
          </cell>
          <cell r="BB49">
            <v>45125</v>
          </cell>
          <cell r="BD49">
            <v>45196</v>
          </cell>
          <cell r="BE49">
            <v>36</v>
          </cell>
          <cell r="BF49" t="str">
            <v>Received</v>
          </cell>
          <cell r="BG49">
            <v>45159</v>
          </cell>
          <cell r="BH49">
            <v>45129</v>
          </cell>
          <cell r="BJ49">
            <v>45222</v>
          </cell>
          <cell r="BK49">
            <v>63</v>
          </cell>
          <cell r="BL49" t="str">
            <v>Received</v>
          </cell>
          <cell r="BM49">
            <v>45157</v>
          </cell>
          <cell r="BN49">
            <v>45105</v>
          </cell>
          <cell r="BO49" t="str">
            <v>Received</v>
          </cell>
          <cell r="BP49">
            <v>45157</v>
          </cell>
          <cell r="BQ49">
            <v>45114</v>
          </cell>
          <cell r="BR49" t="str">
            <v>Received</v>
          </cell>
          <cell r="BT49">
            <v>45157</v>
          </cell>
          <cell r="BU49" t="str">
            <v>Received</v>
          </cell>
          <cell r="BV49" t="str">
            <v>Done</v>
          </cell>
          <cell r="BW49" t="str">
            <v>29-08-2023</v>
          </cell>
          <cell r="BX49">
            <v>45206</v>
          </cell>
          <cell r="BY49" t="str">
            <v>Done</v>
          </cell>
          <cell r="CD49" t="str">
            <v>Done</v>
          </cell>
          <cell r="CE49">
            <v>45266</v>
          </cell>
          <cell r="CF49" t="str">
            <v>3Desire</v>
          </cell>
          <cell r="CG49" t="str">
            <v>Sitara Electricals</v>
          </cell>
          <cell r="CH49" t="str">
            <v>Weatherguard HVAC</v>
          </cell>
          <cell r="CJ49">
            <v>45266</v>
          </cell>
          <cell r="CL49">
            <v>45266</v>
          </cell>
          <cell r="CN49">
            <v>45295</v>
          </cell>
          <cell r="CO49">
            <v>45281</v>
          </cell>
          <cell r="CP49">
            <v>45280</v>
          </cell>
          <cell r="CQ49">
            <v>45296</v>
          </cell>
          <cell r="CR49">
            <v>45282</v>
          </cell>
          <cell r="CS49">
            <v>45285</v>
          </cell>
          <cell r="DD49">
            <v>45271</v>
          </cell>
          <cell r="DG49" t="str">
            <v>10. Launched</v>
          </cell>
          <cell r="DJ49" t="str">
            <v/>
          </cell>
          <cell r="DK49">
            <v>45273</v>
          </cell>
          <cell r="DP49">
            <v>45275</v>
          </cell>
          <cell r="DQ49">
            <v>45276</v>
          </cell>
          <cell r="DR49">
            <v>35</v>
          </cell>
          <cell r="DS49">
            <v>45</v>
          </cell>
          <cell r="DU49">
            <v>45311</v>
          </cell>
          <cell r="DV49">
            <v>45321</v>
          </cell>
          <cell r="DW49">
            <v>45311</v>
          </cell>
          <cell r="DX49" t="str">
            <v>Jan 24 Week 3</v>
          </cell>
          <cell r="DY49" t="str">
            <v/>
          </cell>
          <cell r="DZ49">
            <v>45313</v>
          </cell>
          <cell r="EA49" t="str">
            <v>Jan 24 Week 4</v>
          </cell>
          <cell r="ED49" t="str">
            <v/>
          </cell>
          <cell r="EE49" t="str">
            <v/>
          </cell>
          <cell r="EF49">
            <v>1</v>
          </cell>
          <cell r="EG49">
            <v>1</v>
          </cell>
          <cell r="EJ49">
            <v>45283</v>
          </cell>
          <cell r="EM49">
            <v>45290</v>
          </cell>
          <cell r="EP49">
            <v>45297</v>
          </cell>
          <cell r="ES49">
            <v>45304</v>
          </cell>
          <cell r="EV49">
            <v>45311</v>
          </cell>
          <cell r="FD49">
            <v>2</v>
          </cell>
          <cell r="FE49" t="str">
            <v>0 to 3 Days</v>
          </cell>
          <cell r="FF49">
            <v>3</v>
          </cell>
          <cell r="FG49" t="str">
            <v>0 to 3 Days</v>
          </cell>
          <cell r="FH49" t="str">
            <v>Done</v>
          </cell>
          <cell r="FI49" t="str">
            <v>Done</v>
          </cell>
          <cell r="FJ49" t="str">
            <v>Done</v>
          </cell>
          <cell r="FM49" t="str">
            <v/>
          </cell>
          <cell r="GG49" t="str">
            <v>2023-2024</v>
          </cell>
        </row>
        <row r="50">
          <cell r="E50" t="str">
            <v>International Tech Park, Pune</v>
          </cell>
          <cell r="F50" t="str">
            <v>10. Launched</v>
          </cell>
          <cell r="G50" t="str">
            <v>NA</v>
          </cell>
          <cell r="H50" t="str">
            <v>MH-SM-PUN-990</v>
          </cell>
          <cell r="I50" t="str">
            <v>_</v>
          </cell>
          <cell r="J50" t="str">
            <v>QM7M</v>
          </cell>
          <cell r="K50" t="str">
            <v>W</v>
          </cell>
          <cell r="L50" t="str">
            <v>BK</v>
          </cell>
          <cell r="M50" t="str">
            <v>15th August'24 Target</v>
          </cell>
          <cell r="N50" t="str">
            <v>Sh Shashi Pardesi</v>
          </cell>
          <cell r="O50" t="str">
            <v>Sh Shashi Pardesi</v>
          </cell>
          <cell r="P50" t="str">
            <v>Mojim Pathan</v>
          </cell>
          <cell r="Q50" t="str">
            <v>Arju Tiwari</v>
          </cell>
          <cell r="R50" t="str">
            <v>Kiran Patil</v>
          </cell>
          <cell r="S50" t="str">
            <v>Maharashtra</v>
          </cell>
          <cell r="T50" t="str">
            <v>Pune</v>
          </cell>
          <cell r="U50" t="str">
            <v>Premium</v>
          </cell>
          <cell r="V50" t="str">
            <v>Misc Formats</v>
          </cell>
          <cell r="W50">
            <v>1015.05</v>
          </cell>
          <cell r="X50" t="str">
            <v>International Tech Park Grant Rd, Unit 09, Stilt Floor, Podium Level Ubale Nagar, Kharadi, Pune 411 014</v>
          </cell>
          <cell r="Y50">
            <v>45478</v>
          </cell>
          <cell r="Z50" t="str">
            <v>Done</v>
          </cell>
          <cell r="AA50">
            <v>45485</v>
          </cell>
          <cell r="AB50">
            <v>45106</v>
          </cell>
          <cell r="AC50">
            <v>45108</v>
          </cell>
          <cell r="AD50">
            <v>45112</v>
          </cell>
          <cell r="AE50">
            <v>45112</v>
          </cell>
          <cell r="AF50" t="str">
            <v>SDR DONE</v>
          </cell>
          <cell r="AG50">
            <v>1</v>
          </cell>
          <cell r="AH50" t="str">
            <v>_</v>
          </cell>
          <cell r="AJ50">
            <v>1</v>
          </cell>
          <cell r="AK50">
            <v>45471</v>
          </cell>
          <cell r="AL50" t="str">
            <v>Received</v>
          </cell>
          <cell r="AM50">
            <v>354</v>
          </cell>
          <cell r="AN50" t="str">
            <v>Due to revise concept of cash counter front glass ML Revised on 28-06-2024</v>
          </cell>
          <cell r="AO50">
            <v>45474</v>
          </cell>
          <cell r="AR50">
            <v>45485</v>
          </cell>
          <cell r="AS50">
            <v>11</v>
          </cell>
          <cell r="AT50" t="str">
            <v>Received</v>
          </cell>
          <cell r="AU50">
            <v>45475</v>
          </cell>
          <cell r="AV50" t="str">
            <v>25-08-2023
13-06-2024</v>
          </cell>
          <cell r="AW50">
            <v>2</v>
          </cell>
          <cell r="AX50" t="str">
            <v xml:space="preserve">
04-07-2024</v>
          </cell>
          <cell r="AZ50" t="str">
            <v>Received</v>
          </cell>
          <cell r="BA50">
            <v>45476</v>
          </cell>
          <cell r="BD50">
            <v>45500</v>
          </cell>
          <cell r="BE50">
            <v>23</v>
          </cell>
          <cell r="BF50" t="str">
            <v>PLB Received on 26-06-2024
HVAC &amp; FF Received -28-06-2024</v>
          </cell>
          <cell r="BG50">
            <v>45476</v>
          </cell>
          <cell r="BJ50">
            <v>45485</v>
          </cell>
          <cell r="BK50">
            <v>8</v>
          </cell>
          <cell r="BL50" t="str">
            <v>Received</v>
          </cell>
          <cell r="BM50">
            <v>45474</v>
          </cell>
          <cell r="BN50" t="str">
            <v>01-08-2023
15-05-2024</v>
          </cell>
          <cell r="BO50" t="str">
            <v>Received</v>
          </cell>
          <cell r="BP50">
            <v>45474</v>
          </cell>
          <cell r="BR50" t="str">
            <v>Received</v>
          </cell>
          <cell r="BU50" t="str">
            <v>Received</v>
          </cell>
          <cell r="BV50" t="str">
            <v>Done</v>
          </cell>
          <cell r="BW50" t="str">
            <v>26-09-2023</v>
          </cell>
          <cell r="BX50">
            <v>45211</v>
          </cell>
          <cell r="BY50" t="str">
            <v>Done</v>
          </cell>
          <cell r="CD50">
            <v>45470</v>
          </cell>
          <cell r="CE50">
            <v>45481</v>
          </cell>
          <cell r="CF50" t="str">
            <v xml:space="preserve">M/s Raptor Infra </v>
          </cell>
          <cell r="CG50" t="str">
            <v xml:space="preserve">M/s Vighnesh elect </v>
          </cell>
          <cell r="CH50" t="str">
            <v xml:space="preserve">M/s VRF Aircon 
M/s Shree SVS systems </v>
          </cell>
          <cell r="CJ50">
            <v>45481</v>
          </cell>
          <cell r="CK50">
            <v>45481</v>
          </cell>
          <cell r="CL50">
            <v>45481</v>
          </cell>
          <cell r="CN50">
            <v>45502</v>
          </cell>
          <cell r="CO50">
            <v>45491</v>
          </cell>
          <cell r="CP50" t="str">
            <v/>
          </cell>
          <cell r="CR50" t="str">
            <v/>
          </cell>
          <cell r="DA50" t="str">
            <v>PR Done WO Pending</v>
          </cell>
          <cell r="DB50" t="str">
            <v>PR Done WO Pending</v>
          </cell>
          <cell r="DC50" t="str">
            <v>PR Done WO Pending</v>
          </cell>
          <cell r="DD50">
            <v>45469</v>
          </cell>
          <cell r="DE50">
            <v>60</v>
          </cell>
          <cell r="DF50">
            <v>45549</v>
          </cell>
          <cell r="DG50" t="str">
            <v>10. Launched</v>
          </cell>
          <cell r="DJ50" t="str">
            <v/>
          </cell>
          <cell r="DK50">
            <v>45489</v>
          </cell>
          <cell r="DL50">
            <v>45491</v>
          </cell>
          <cell r="DO50" t="str">
            <v xml:space="preserve">APOB Received on 12-07-2024
</v>
          </cell>
          <cell r="DP50">
            <v>45492</v>
          </cell>
          <cell r="DQ50">
            <v>45491</v>
          </cell>
          <cell r="DR50">
            <v>35</v>
          </cell>
          <cell r="DS50">
            <v>45</v>
          </cell>
          <cell r="DU50">
            <v>45526</v>
          </cell>
          <cell r="DV50">
            <v>45536</v>
          </cell>
          <cell r="DW50">
            <v>45526</v>
          </cell>
          <cell r="DX50" t="str">
            <v>Aug 24 Week 4</v>
          </cell>
          <cell r="DY50">
            <v>45514</v>
          </cell>
          <cell r="DZ50">
            <v>45515</v>
          </cell>
          <cell r="EA50" t="str">
            <v>Aug 24 Week 2</v>
          </cell>
          <cell r="EB50" t="str">
            <v>Plan</v>
          </cell>
          <cell r="ED50" t="str">
            <v/>
          </cell>
          <cell r="EE50" t="str">
            <v/>
          </cell>
          <cell r="EF50">
            <v>1</v>
          </cell>
          <cell r="EG50">
            <v>1</v>
          </cell>
          <cell r="EJ50">
            <v>45498</v>
          </cell>
          <cell r="EM50">
            <v>45505</v>
          </cell>
          <cell r="EP50">
            <v>45512</v>
          </cell>
          <cell r="ES50">
            <v>45519</v>
          </cell>
          <cell r="EV50">
            <v>45526</v>
          </cell>
          <cell r="FD50">
            <v>-11</v>
          </cell>
          <cell r="FE50" t="str">
            <v>On Time</v>
          </cell>
          <cell r="FF50">
            <v>-12</v>
          </cell>
          <cell r="FG50" t="str">
            <v>On Time</v>
          </cell>
          <cell r="FH50" t="str">
            <v>Done</v>
          </cell>
          <cell r="FI50" t="str">
            <v>Done</v>
          </cell>
          <cell r="FJ50">
            <v>45532</v>
          </cell>
          <cell r="FK50">
            <v>45525</v>
          </cell>
          <cell r="FM50" t="str">
            <v/>
          </cell>
          <cell r="FZ50" t="str">
            <v xml:space="preserve">LOFT Approval from LL Received on 22-07-2024
Electrical:- Conduiting 75% Done &amp; Wiring 70 % completed WIP
cable tray - 100% completed.
 DB Installation -WIP
Civil:- Partition Work WIP
 Painting - WIP
Structure - Valence Wall Structure -WIP
                        LOFT Structure WIP
HVAC- Cu piping - to be start by 29-07-2024
                IDU Unit Installed.
Pest Control certificate Received on 29-07-2024
RO Installation Callout Received on 08-08-2024
SLP Final Callout - 08-08-2024 
Fire Extinguisher Certificate submiited on 08-08-2024
Final IT Callout - 11-08-2024
Inverter Installation Callout -13-08-2024
</v>
          </cell>
          <cell r="GA50">
            <v>45506</v>
          </cell>
          <cell r="GB50">
            <v>45506</v>
          </cell>
          <cell r="GC50">
            <v>45512</v>
          </cell>
          <cell r="GD50">
            <v>45512</v>
          </cell>
          <cell r="GG50" t="str">
            <v>2024-2025</v>
          </cell>
        </row>
        <row r="51">
          <cell r="E51" t="str">
            <v>Ivory Mall, Malad</v>
          </cell>
          <cell r="F51" t="str">
            <v>14. Dropped</v>
          </cell>
          <cell r="G51" t="str">
            <v>NA</v>
          </cell>
          <cell r="H51" t="str">
            <v>MU-SM-GMU-625</v>
          </cell>
          <cell r="I51" t="str">
            <v>_</v>
          </cell>
          <cell r="J51" t="str">
            <v>QZDX</v>
          </cell>
          <cell r="K51" t="str">
            <v>W</v>
          </cell>
          <cell r="L51" t="str">
            <v>BK</v>
          </cell>
          <cell r="N51" t="str">
            <v>Sh Atul M Sawant</v>
          </cell>
          <cell r="O51" t="str">
            <v>Sh Atul M Sawant</v>
          </cell>
          <cell r="P51" t="str">
            <v/>
          </cell>
          <cell r="Q51" t="str">
            <v>Shahaji Gohatre</v>
          </cell>
          <cell r="R51" t="str">
            <v>Parth Sharma</v>
          </cell>
          <cell r="S51" t="str">
            <v>Maharashtra</v>
          </cell>
          <cell r="T51" t="str">
            <v>Mumbai</v>
          </cell>
          <cell r="U51" t="str">
            <v>Premium</v>
          </cell>
          <cell r="V51" t="str">
            <v>Misc Formats</v>
          </cell>
          <cell r="W51">
            <v>497</v>
          </cell>
          <cell r="X51" t="str">
            <v>Mumbai, Maharashtra 400064, West, Malad, HYPERCITY-MUMBAI-MALAD-IVORY MALL VORY MALL New Link Road NEXT TO INORBIT MALL</v>
          </cell>
          <cell r="Z51" t="str">
            <v>_</v>
          </cell>
          <cell r="AB51">
            <v>45030</v>
          </cell>
          <cell r="AC51">
            <v>45034</v>
          </cell>
          <cell r="AD51">
            <v>45037</v>
          </cell>
          <cell r="AE51">
            <v>45037</v>
          </cell>
          <cell r="AF51" t="str">
            <v>SDR DONE</v>
          </cell>
          <cell r="AG51">
            <v>2</v>
          </cell>
          <cell r="AH51" t="str">
            <v>_</v>
          </cell>
          <cell r="AK51">
            <v>45068</v>
          </cell>
          <cell r="AL51" t="str">
            <v>Received</v>
          </cell>
          <cell r="AM51">
            <v>26</v>
          </cell>
          <cell r="AO51">
            <v>45071</v>
          </cell>
          <cell r="AP51">
            <v>45076</v>
          </cell>
          <cell r="AR51">
            <v>45076</v>
          </cell>
          <cell r="AS51">
            <v>5</v>
          </cell>
          <cell r="AU51">
            <v>45072</v>
          </cell>
          <cell r="AV51" t="str">
            <v/>
          </cell>
          <cell r="BA51">
            <v>45073</v>
          </cell>
          <cell r="BB51">
            <v>45103</v>
          </cell>
          <cell r="BD51">
            <v>45103</v>
          </cell>
          <cell r="BE51">
            <v>29</v>
          </cell>
          <cell r="BG51">
            <v>45073</v>
          </cell>
          <cell r="BJ51" t="str">
            <v/>
          </cell>
          <cell r="BM51">
            <v>45071</v>
          </cell>
          <cell r="BN51">
            <v>45084</v>
          </cell>
          <cell r="BP51">
            <v>45071</v>
          </cell>
          <cell r="BQ51">
            <v>45073</v>
          </cell>
          <cell r="BR51" t="str">
            <v>Received</v>
          </cell>
          <cell r="BT51">
            <v>45092</v>
          </cell>
          <cell r="BW51" t="str">
            <v/>
          </cell>
          <cell r="CE51" t="str">
            <v/>
          </cell>
          <cell r="CF51" t="str">
            <v/>
          </cell>
          <cell r="CG51" t="str">
            <v/>
          </cell>
          <cell r="CH51" t="str">
            <v/>
          </cell>
          <cell r="CN51" t="str">
            <v/>
          </cell>
          <cell r="CO51" t="str">
            <v/>
          </cell>
          <cell r="CP51" t="str">
            <v/>
          </cell>
          <cell r="CR51" t="str">
            <v/>
          </cell>
          <cell r="DG51" t="str">
            <v>14. Dropped</v>
          </cell>
          <cell r="DJ51" t="str">
            <v/>
          </cell>
          <cell r="DP51" t="str">
            <v/>
          </cell>
          <cell r="DR51">
            <v>35</v>
          </cell>
          <cell r="DS51">
            <v>45</v>
          </cell>
          <cell r="DX51" t="str">
            <v/>
          </cell>
          <cell r="DY51" t="str">
            <v/>
          </cell>
          <cell r="EA51" t="str">
            <v/>
          </cell>
          <cell r="ED51" t="str">
            <v/>
          </cell>
          <cell r="EE51" t="str">
            <v/>
          </cell>
          <cell r="FM51" t="str">
            <v/>
          </cell>
          <cell r="GG51" t="str">
            <v>2024-2025</v>
          </cell>
        </row>
        <row r="52">
          <cell r="E52" t="str">
            <v>Joy Valencia, Jogeshwari</v>
          </cell>
          <cell r="F52" t="str">
            <v>10. Launched</v>
          </cell>
          <cell r="G52" t="str">
            <v>NA</v>
          </cell>
          <cell r="H52" t="str">
            <v>_</v>
          </cell>
          <cell r="I52" t="str">
            <v>_</v>
          </cell>
          <cell r="J52" t="str">
            <v>Q2U7</v>
          </cell>
          <cell r="K52" t="str">
            <v>W</v>
          </cell>
          <cell r="L52" t="str">
            <v>BK</v>
          </cell>
          <cell r="N52" t="str">
            <v>Sh Sanjiv Johari</v>
          </cell>
          <cell r="O52" t="str">
            <v>Sh. Atul M Sawant</v>
          </cell>
          <cell r="P52" t="str">
            <v>Sh. Sagar Sahani</v>
          </cell>
          <cell r="Q52" t="str">
            <v>Shahaji Gohatre</v>
          </cell>
          <cell r="R52" t="str">
            <v>Parth Sharma</v>
          </cell>
          <cell r="S52" t="str">
            <v>Maharashtra</v>
          </cell>
          <cell r="T52" t="str">
            <v>Mumbai</v>
          </cell>
          <cell r="U52" t="str">
            <v>Premium</v>
          </cell>
          <cell r="V52" t="str">
            <v>Misc Formats</v>
          </cell>
          <cell r="W52">
            <v>1033</v>
          </cell>
          <cell r="X52" t="str">
            <v>Shop no.01, Joy Valencia, JVLR, Behind Majas Depot, Jogeshwari - East, Mumbai-400060.</v>
          </cell>
          <cell r="Z52" t="str">
            <v>Done</v>
          </cell>
          <cell r="AB52">
            <v>44795</v>
          </cell>
          <cell r="AC52">
            <v>44800</v>
          </cell>
          <cell r="AD52">
            <v>44803</v>
          </cell>
          <cell r="AE52">
            <v>44803</v>
          </cell>
          <cell r="AF52" t="str">
            <v>SDR DONE</v>
          </cell>
          <cell r="AG52">
            <v>3</v>
          </cell>
          <cell r="AH52" t="str">
            <v>_</v>
          </cell>
          <cell r="AI52">
            <v>44811</v>
          </cell>
          <cell r="AJ52">
            <v>1</v>
          </cell>
          <cell r="AK52">
            <v>44865</v>
          </cell>
          <cell r="AL52" t="str">
            <v>Received</v>
          </cell>
          <cell r="AM52">
            <v>57</v>
          </cell>
          <cell r="AO52">
            <v>44868</v>
          </cell>
          <cell r="AP52">
            <v>44844</v>
          </cell>
          <cell r="AR52">
            <v>44888</v>
          </cell>
          <cell r="AS52">
            <v>20</v>
          </cell>
          <cell r="AT52" t="str">
            <v>Received</v>
          </cell>
          <cell r="AU52">
            <v>44869</v>
          </cell>
          <cell r="AV52" t="str">
            <v>NA</v>
          </cell>
          <cell r="AW52" t="str">
            <v>NA</v>
          </cell>
          <cell r="AX52" t="str">
            <v>NA</v>
          </cell>
          <cell r="AZ52" t="str">
            <v>Received</v>
          </cell>
          <cell r="BA52">
            <v>44870</v>
          </cell>
          <cell r="BB52">
            <v>44845</v>
          </cell>
          <cell r="BD52">
            <v>44887</v>
          </cell>
          <cell r="BE52">
            <v>16</v>
          </cell>
          <cell r="BF52" t="str">
            <v>Received</v>
          </cell>
          <cell r="BG52">
            <v>44870</v>
          </cell>
          <cell r="BH52">
            <v>44879</v>
          </cell>
          <cell r="BJ52">
            <v>44879</v>
          </cell>
          <cell r="BK52">
            <v>8</v>
          </cell>
          <cell r="BL52" t="str">
            <v>Received</v>
          </cell>
          <cell r="BM52">
            <v>44868</v>
          </cell>
          <cell r="BN52">
            <v>44819</v>
          </cell>
          <cell r="BO52" t="str">
            <v>Received</v>
          </cell>
          <cell r="BP52">
            <v>44868</v>
          </cell>
          <cell r="BQ52">
            <v>44845</v>
          </cell>
          <cell r="BR52" t="str">
            <v>Received</v>
          </cell>
          <cell r="BT52">
            <v>44827</v>
          </cell>
          <cell r="BU52" t="str">
            <v>Received</v>
          </cell>
          <cell r="BV52" t="str">
            <v>Done</v>
          </cell>
          <cell r="BW52" t="str">
            <v>11-12-2021</v>
          </cell>
          <cell r="BX52">
            <v>44544</v>
          </cell>
          <cell r="BY52" t="str">
            <v>Done</v>
          </cell>
          <cell r="CD52" t="str">
            <v>Done</v>
          </cell>
          <cell r="CE52">
            <v>44851</v>
          </cell>
          <cell r="CF52" t="str">
            <v>Sai Enterprises</v>
          </cell>
          <cell r="CG52" t="str">
            <v>Origin technical</v>
          </cell>
          <cell r="CH52" t="str">
            <v/>
          </cell>
          <cell r="CJ52">
            <v>44851</v>
          </cell>
          <cell r="CK52">
            <v>44851</v>
          </cell>
          <cell r="CN52" t="str">
            <v/>
          </cell>
          <cell r="CO52" t="str">
            <v/>
          </cell>
          <cell r="CP52" t="str">
            <v/>
          </cell>
          <cell r="CR52" t="str">
            <v/>
          </cell>
          <cell r="DD52">
            <v>44800</v>
          </cell>
          <cell r="DG52" t="str">
            <v>10. Launched</v>
          </cell>
          <cell r="DJ52" t="str">
            <v/>
          </cell>
          <cell r="DK52">
            <v>44801</v>
          </cell>
          <cell r="DP52">
            <v>44803</v>
          </cell>
          <cell r="DQ52">
            <v>44872</v>
          </cell>
          <cell r="DR52">
            <v>35</v>
          </cell>
          <cell r="DS52">
            <v>45</v>
          </cell>
          <cell r="DU52">
            <v>44907</v>
          </cell>
          <cell r="DV52">
            <v>44917</v>
          </cell>
          <cell r="DW52">
            <v>44907</v>
          </cell>
          <cell r="DY52" t="str">
            <v/>
          </cell>
          <cell r="DZ52">
            <v>44995</v>
          </cell>
          <cell r="EA52" t="str">
            <v>March 23 Week 2</v>
          </cell>
          <cell r="ED52" t="str">
            <v/>
          </cell>
          <cell r="EE52" t="str">
            <v/>
          </cell>
          <cell r="EF52">
            <v>1</v>
          </cell>
          <cell r="EG52">
            <v>1</v>
          </cell>
          <cell r="EJ52">
            <v>44879</v>
          </cell>
          <cell r="EM52">
            <v>44886</v>
          </cell>
          <cell r="EP52">
            <v>44893</v>
          </cell>
          <cell r="ES52">
            <v>44900</v>
          </cell>
          <cell r="EV52">
            <v>44907</v>
          </cell>
          <cell r="FD52">
            <v>88</v>
          </cell>
          <cell r="FE52" t="str">
            <v>62 to 90 Days</v>
          </cell>
          <cell r="FF52">
            <v>157</v>
          </cell>
          <cell r="FG52" t="str">
            <v>More Than 90  Days</v>
          </cell>
          <cell r="FH52" t="str">
            <v>Done</v>
          </cell>
          <cell r="FI52" t="str">
            <v>Done</v>
          </cell>
          <cell r="FJ52" t="str">
            <v>Done</v>
          </cell>
          <cell r="FM52" t="str">
            <v/>
          </cell>
          <cell r="GG52" t="str">
            <v>2022-2023</v>
          </cell>
        </row>
        <row r="53">
          <cell r="E53" t="str">
            <v>Kakkad Madhukosh</v>
          </cell>
          <cell r="F53" t="str">
            <v>14. Dropped</v>
          </cell>
          <cell r="G53" t="str">
            <v>NA</v>
          </cell>
          <cell r="H53" t="str">
            <v>_</v>
          </cell>
          <cell r="I53" t="str">
            <v>_</v>
          </cell>
          <cell r="K53" t="str">
            <v>W</v>
          </cell>
          <cell r="L53" t="str">
            <v>BK</v>
          </cell>
          <cell r="N53" t="str">
            <v>Sh Shashi Pardesi</v>
          </cell>
          <cell r="O53" t="str">
            <v>Sh Ashish M</v>
          </cell>
          <cell r="P53" t="str">
            <v/>
          </cell>
          <cell r="Q53" t="str">
            <v>Shahaji Gohatre</v>
          </cell>
          <cell r="R53" t="str">
            <v>Parth Sharma</v>
          </cell>
          <cell r="S53" t="str">
            <v>Maharashtra</v>
          </cell>
          <cell r="T53" t="str">
            <v>Pune</v>
          </cell>
          <cell r="U53" t="str">
            <v>Premium</v>
          </cell>
          <cell r="V53" t="str">
            <v>Misc Formats</v>
          </cell>
          <cell r="W53">
            <v>1467</v>
          </cell>
          <cell r="X53" t="str">
            <v>Shop No 7 &amp; 8 Kakkad madhukosh Madhuban Society Rd, opp. Madhuban Housing Society, Balewadi, Pune, Maharashtra 411045</v>
          </cell>
          <cell r="Z53" t="str">
            <v>_</v>
          </cell>
          <cell r="AB53">
            <v>45222</v>
          </cell>
          <cell r="AC53">
            <v>45225</v>
          </cell>
          <cell r="AD53">
            <v>45230</v>
          </cell>
          <cell r="AE53">
            <v>45231</v>
          </cell>
          <cell r="AF53" t="str">
            <v>SDR DONE</v>
          </cell>
          <cell r="AG53">
            <v>3</v>
          </cell>
          <cell r="AH53" t="str">
            <v>_</v>
          </cell>
          <cell r="AL53" t="str">
            <v>Received</v>
          </cell>
          <cell r="AM53">
            <v>942</v>
          </cell>
          <cell r="BJ53" t="str">
            <v/>
          </cell>
          <cell r="BN53" t="str">
            <v/>
          </cell>
          <cell r="BW53" t="str">
            <v/>
          </cell>
          <cell r="CE53" t="str">
            <v/>
          </cell>
          <cell r="CF53" t="str">
            <v/>
          </cell>
          <cell r="CG53" t="str">
            <v/>
          </cell>
          <cell r="CH53" t="str">
            <v/>
          </cell>
          <cell r="CN53" t="str">
            <v/>
          </cell>
          <cell r="CO53" t="str">
            <v/>
          </cell>
          <cell r="CP53" t="str">
            <v/>
          </cell>
          <cell r="CR53" t="str">
            <v/>
          </cell>
          <cell r="DG53" t="str">
            <v>14. Dropped</v>
          </cell>
          <cell r="DJ53" t="str">
            <v/>
          </cell>
          <cell r="DP53" t="str">
            <v/>
          </cell>
          <cell r="DR53">
            <v>35</v>
          </cell>
          <cell r="DS53">
            <v>45</v>
          </cell>
          <cell r="DX53" t="str">
            <v/>
          </cell>
          <cell r="DY53" t="str">
            <v/>
          </cell>
          <cell r="EA53" t="str">
            <v/>
          </cell>
          <cell r="ED53" t="str">
            <v/>
          </cell>
          <cell r="EE53" t="str">
            <v/>
          </cell>
          <cell r="FM53" t="str">
            <v/>
          </cell>
          <cell r="GG53" t="str">
            <v>2024-2025</v>
          </cell>
        </row>
        <row r="54">
          <cell r="E54" t="str">
            <v>Keystone Altura</v>
          </cell>
          <cell r="F54" t="str">
            <v>14. Dropped</v>
          </cell>
          <cell r="G54" t="str">
            <v>NA</v>
          </cell>
          <cell r="H54" t="str">
            <v>_</v>
          </cell>
          <cell r="I54" t="str">
            <v>_</v>
          </cell>
          <cell r="K54" t="str">
            <v>W</v>
          </cell>
          <cell r="L54" t="str">
            <v>BK</v>
          </cell>
          <cell r="N54" t="str">
            <v>Sh Shashi Pardesi</v>
          </cell>
          <cell r="O54" t="str">
            <v>Sh Ashish M</v>
          </cell>
          <cell r="P54" t="str">
            <v/>
          </cell>
          <cell r="Q54" t="str">
            <v>Shahaji Gohatre</v>
          </cell>
          <cell r="R54" t="str">
            <v>Parth Sharma</v>
          </cell>
          <cell r="S54" t="str">
            <v>Maharashtra</v>
          </cell>
          <cell r="T54" t="str">
            <v>Pune</v>
          </cell>
          <cell r="U54" t="str">
            <v>Premium</v>
          </cell>
          <cell r="V54" t="str">
            <v>Misc Formats</v>
          </cell>
          <cell r="W54">
            <v>1061</v>
          </cell>
          <cell r="X54" t="str">
            <v>Shop No. 11 - 15, keystone Altura Survey no 123 , Near Ginger Hotel, opp Bhumkar Chowk, Wakad, Taluka Mulshi, Pune, Maharashtra 411057</v>
          </cell>
          <cell r="Z54" t="str">
            <v>_</v>
          </cell>
          <cell r="AB54">
            <v>45194</v>
          </cell>
          <cell r="AC54">
            <v>45198</v>
          </cell>
          <cell r="AD54">
            <v>45208</v>
          </cell>
          <cell r="AE54">
            <v>45208</v>
          </cell>
          <cell r="AF54" t="str">
            <v>SDR DONE</v>
          </cell>
          <cell r="AG54">
            <v>9</v>
          </cell>
          <cell r="AH54" t="str">
            <v>_</v>
          </cell>
          <cell r="AJ54">
            <v>1</v>
          </cell>
          <cell r="AK54">
            <v>45468</v>
          </cell>
          <cell r="AL54" t="str">
            <v>Received</v>
          </cell>
          <cell r="AM54">
            <v>255</v>
          </cell>
          <cell r="AN54" t="str">
            <v>Due to revise concept of cash counter front glass ML Revised on 25-06-2024</v>
          </cell>
          <cell r="AO54">
            <v>45471</v>
          </cell>
          <cell r="AP54">
            <v>45258</v>
          </cell>
          <cell r="AR54">
            <v>45477</v>
          </cell>
          <cell r="AS54">
            <v>6</v>
          </cell>
          <cell r="AU54">
            <v>45472</v>
          </cell>
          <cell r="AV54">
            <v>45265</v>
          </cell>
          <cell r="AX54">
            <v>45489</v>
          </cell>
          <cell r="AY54">
            <v>16</v>
          </cell>
          <cell r="BA54">
            <v>45473</v>
          </cell>
          <cell r="BD54">
            <v>45482</v>
          </cell>
          <cell r="BE54">
            <v>8</v>
          </cell>
          <cell r="BF54" t="str">
            <v>Plumbing Received on 04-07-2024
HVAC GFC Received on -09-07-2024</v>
          </cell>
          <cell r="BG54">
            <v>45473</v>
          </cell>
          <cell r="BJ54">
            <v>45491</v>
          </cell>
          <cell r="BK54">
            <v>17</v>
          </cell>
          <cell r="BM54">
            <v>45471</v>
          </cell>
          <cell r="BN54" t="str">
            <v>24-11-2023
11-06-2024</v>
          </cell>
          <cell r="BP54">
            <v>45471</v>
          </cell>
          <cell r="BR54" t="str">
            <v>Received</v>
          </cell>
          <cell r="BU54" t="str">
            <v>Done</v>
          </cell>
          <cell r="BW54" t="str">
            <v>17-12-2023</v>
          </cell>
          <cell r="BX54">
            <v>45357</v>
          </cell>
          <cell r="BY54" t="str">
            <v>Done</v>
          </cell>
          <cell r="CD54">
            <v>44991</v>
          </cell>
          <cell r="CE54" t="str">
            <v/>
          </cell>
          <cell r="CF54" t="str">
            <v/>
          </cell>
          <cell r="CG54" t="str">
            <v/>
          </cell>
          <cell r="CH54" t="str">
            <v/>
          </cell>
          <cell r="CN54" t="str">
            <v/>
          </cell>
          <cell r="CO54" t="str">
            <v/>
          </cell>
          <cell r="CP54" t="str">
            <v/>
          </cell>
          <cell r="CR54" t="str">
            <v/>
          </cell>
          <cell r="DG54" t="str">
            <v>14. Dropped</v>
          </cell>
          <cell r="DJ54" t="str">
            <v/>
          </cell>
          <cell r="DP54" t="str">
            <v/>
          </cell>
          <cell r="DR54">
            <v>35</v>
          </cell>
          <cell r="DS54">
            <v>45</v>
          </cell>
          <cell r="DX54" t="str">
            <v/>
          </cell>
          <cell r="DY54" t="str">
            <v/>
          </cell>
          <cell r="EA54" t="str">
            <v/>
          </cell>
          <cell r="ED54" t="str">
            <v/>
          </cell>
          <cell r="EE54" t="str">
            <v/>
          </cell>
          <cell r="FM54" t="str">
            <v/>
          </cell>
          <cell r="GG54" t="str">
            <v>2024-2025</v>
          </cell>
        </row>
        <row r="55">
          <cell r="E55" t="str">
            <v>Kohinoor B Zone</v>
          </cell>
          <cell r="F55" t="str">
            <v>14. Dropped</v>
          </cell>
          <cell r="G55" t="str">
            <v>NA</v>
          </cell>
          <cell r="H55" t="str">
            <v>_</v>
          </cell>
          <cell r="I55" t="str">
            <v>_</v>
          </cell>
          <cell r="K55" t="str">
            <v>W</v>
          </cell>
          <cell r="L55" t="str">
            <v>BK</v>
          </cell>
          <cell r="N55" t="str">
            <v>Sh Shashi Pardesi</v>
          </cell>
          <cell r="O55" t="str">
            <v>Sh Ashish M</v>
          </cell>
          <cell r="P55" t="str">
            <v/>
          </cell>
          <cell r="Q55" t="str">
            <v>Arju Tiwari</v>
          </cell>
          <cell r="R55" t="str">
            <v>Parth Sharma</v>
          </cell>
          <cell r="S55" t="str">
            <v>Maharashtra</v>
          </cell>
          <cell r="T55" t="str">
            <v>Pune</v>
          </cell>
          <cell r="U55" t="str">
            <v>Premium</v>
          </cell>
          <cell r="V55" t="str">
            <v>Misc Formats</v>
          </cell>
          <cell r="W55">
            <v>1098</v>
          </cell>
          <cell r="X55" t="str">
            <v>Shop no 1,2 &amp; 3 Kohinoor B Zone Shivajinagar Bus Stand Rd, Shivajinagar, Pune, Maharashtra 411005</v>
          </cell>
          <cell r="Z55" t="str">
            <v>_</v>
          </cell>
          <cell r="AB55">
            <v>45315</v>
          </cell>
          <cell r="AC55">
            <v>45321</v>
          </cell>
          <cell r="AD55">
            <v>45330</v>
          </cell>
          <cell r="AE55">
            <v>45330</v>
          </cell>
          <cell r="AF55" t="str">
            <v>SDR DONE</v>
          </cell>
          <cell r="AG55">
            <v>10</v>
          </cell>
          <cell r="AH55" t="str">
            <v>_</v>
          </cell>
          <cell r="AK55">
            <v>45379</v>
          </cell>
          <cell r="AL55" t="str">
            <v>Received</v>
          </cell>
          <cell r="AM55">
            <v>44</v>
          </cell>
          <cell r="AO55">
            <v>45382</v>
          </cell>
          <cell r="AP55">
            <v>45390</v>
          </cell>
          <cell r="AR55">
            <v>45390</v>
          </cell>
          <cell r="AS55">
            <v>8</v>
          </cell>
          <cell r="AT55" t="str">
            <v>Done</v>
          </cell>
          <cell r="AU55">
            <v>45383</v>
          </cell>
          <cell r="AV55" t="str">
            <v/>
          </cell>
          <cell r="AZ55" t="str">
            <v>Pending</v>
          </cell>
          <cell r="BA55">
            <v>45384</v>
          </cell>
          <cell r="BB55">
            <v>45387</v>
          </cell>
          <cell r="BD55">
            <v>45387</v>
          </cell>
          <cell r="BE55">
            <v>2</v>
          </cell>
          <cell r="BF55" t="str">
            <v>Pending</v>
          </cell>
          <cell r="BG55">
            <v>45384</v>
          </cell>
          <cell r="BH55">
            <v>45388</v>
          </cell>
          <cell r="BJ55">
            <v>45388</v>
          </cell>
          <cell r="BK55">
            <v>3</v>
          </cell>
          <cell r="BL55" t="str">
            <v>Pending</v>
          </cell>
          <cell r="BM55">
            <v>45382</v>
          </cell>
          <cell r="BN55">
            <v>45374</v>
          </cell>
          <cell r="BP55">
            <v>45382</v>
          </cell>
          <cell r="BQ55">
            <v>45379</v>
          </cell>
          <cell r="BR55" t="str">
            <v>Received</v>
          </cell>
          <cell r="BV55" t="str">
            <v>Pending</v>
          </cell>
          <cell r="BW55" t="str">
            <v>11-04-2024</v>
          </cell>
          <cell r="CD55">
            <v>45071</v>
          </cell>
          <cell r="CE55" t="str">
            <v/>
          </cell>
          <cell r="CF55" t="str">
            <v/>
          </cell>
          <cell r="CG55" t="str">
            <v/>
          </cell>
          <cell r="CH55" t="str">
            <v/>
          </cell>
          <cell r="CN55" t="str">
            <v/>
          </cell>
          <cell r="CO55" t="str">
            <v/>
          </cell>
          <cell r="CP55" t="str">
            <v/>
          </cell>
          <cell r="CR55" t="str">
            <v/>
          </cell>
          <cell r="DG55" t="str">
            <v>14. Dropped</v>
          </cell>
          <cell r="DJ55" t="str">
            <v/>
          </cell>
          <cell r="DP55" t="str">
            <v/>
          </cell>
          <cell r="DR55">
            <v>35</v>
          </cell>
          <cell r="DS55">
            <v>45</v>
          </cell>
          <cell r="DX55" t="str">
            <v/>
          </cell>
          <cell r="DY55" t="str">
            <v/>
          </cell>
          <cell r="EA55" t="str">
            <v/>
          </cell>
          <cell r="ED55" t="str">
            <v/>
          </cell>
          <cell r="EE55" t="str">
            <v/>
          </cell>
          <cell r="FM55" t="str">
            <v/>
          </cell>
          <cell r="GF55" t="str">
            <v>SEVEBK3682</v>
          </cell>
          <cell r="GG55" t="str">
            <v>2024-2025</v>
          </cell>
        </row>
        <row r="56">
          <cell r="E56" t="str">
            <v>Kokilaben Hospital, Andheri</v>
          </cell>
          <cell r="F56" t="str">
            <v>10. Launched</v>
          </cell>
          <cell r="G56" t="str">
            <v>NA</v>
          </cell>
          <cell r="H56" t="str">
            <v>_</v>
          </cell>
          <cell r="I56" t="str">
            <v>_</v>
          </cell>
          <cell r="J56" t="str">
            <v>QZYZ</v>
          </cell>
          <cell r="K56" t="str">
            <v>W</v>
          </cell>
          <cell r="L56" t="str">
            <v>BK</v>
          </cell>
          <cell r="N56" t="str">
            <v>Sh Nitin Dawange</v>
          </cell>
          <cell r="O56" t="str">
            <v>Sh Nitin Dawange</v>
          </cell>
          <cell r="P56" t="str">
            <v>Sh. Rafique Khan</v>
          </cell>
          <cell r="Q56" t="str">
            <v>Shahaji Gohatre</v>
          </cell>
          <cell r="R56" t="str">
            <v>Parth Sharma</v>
          </cell>
          <cell r="S56" t="str">
            <v>Maharashtra</v>
          </cell>
          <cell r="T56" t="str">
            <v>Mumbai</v>
          </cell>
          <cell r="U56" t="str">
            <v>Premium</v>
          </cell>
          <cell r="V56" t="str">
            <v>Misc Formats</v>
          </cell>
          <cell r="W56">
            <v>584</v>
          </cell>
          <cell r="X56" t="str">
            <v>Ground floor, Gift Shop, Kokilaben Dhirubai Ambani Hospital, Achutrao Patwardhan Marg, Four Bungalows, Andheri West, Mumbai, Maharashtra 400053.</v>
          </cell>
          <cell r="Z56" t="str">
            <v>Done</v>
          </cell>
          <cell r="AB56">
            <v>45056</v>
          </cell>
          <cell r="AC56">
            <v>45061</v>
          </cell>
          <cell r="AD56">
            <v>45068</v>
          </cell>
          <cell r="AE56">
            <v>45068</v>
          </cell>
          <cell r="AF56" t="str">
            <v>SDR DONE</v>
          </cell>
          <cell r="AG56">
            <v>7</v>
          </cell>
          <cell r="AH56" t="str">
            <v>_</v>
          </cell>
          <cell r="AJ56">
            <v>1</v>
          </cell>
          <cell r="AK56">
            <v>45163</v>
          </cell>
          <cell r="AL56" t="str">
            <v>Received</v>
          </cell>
          <cell r="AM56">
            <v>90</v>
          </cell>
          <cell r="AO56">
            <v>45166</v>
          </cell>
          <cell r="AP56">
            <v>45129</v>
          </cell>
          <cell r="AR56">
            <v>45112</v>
          </cell>
          <cell r="AS56">
            <v>-54</v>
          </cell>
          <cell r="AT56" t="str">
            <v>Received</v>
          </cell>
          <cell r="AU56">
            <v>45167</v>
          </cell>
          <cell r="AV56" t="str">
            <v>NA</v>
          </cell>
          <cell r="AW56" t="str">
            <v>NA</v>
          </cell>
          <cell r="AX56" t="str">
            <v>NA</v>
          </cell>
          <cell r="AZ56" t="str">
            <v>Received</v>
          </cell>
          <cell r="BA56">
            <v>45168</v>
          </cell>
          <cell r="BB56">
            <v>45156</v>
          </cell>
          <cell r="BD56">
            <v>45156</v>
          </cell>
          <cell r="BE56">
            <v>-12</v>
          </cell>
          <cell r="BF56" t="str">
            <v>Received</v>
          </cell>
          <cell r="BG56">
            <v>45168</v>
          </cell>
          <cell r="BH56">
            <v>45198</v>
          </cell>
          <cell r="BJ56">
            <v>45198</v>
          </cell>
          <cell r="BK56">
            <v>29</v>
          </cell>
          <cell r="BL56" t="str">
            <v>Received</v>
          </cell>
          <cell r="BM56">
            <v>45166</v>
          </cell>
          <cell r="BN56">
            <v>45104</v>
          </cell>
          <cell r="BO56" t="str">
            <v>Received</v>
          </cell>
          <cell r="BP56">
            <v>45166</v>
          </cell>
          <cell r="BQ56">
            <v>45114</v>
          </cell>
          <cell r="BR56" t="str">
            <v>Received</v>
          </cell>
          <cell r="BU56" t="str">
            <v>Received</v>
          </cell>
          <cell r="BV56" t="str">
            <v>Done</v>
          </cell>
          <cell r="BW56" t="str">
            <v>Done</v>
          </cell>
          <cell r="BX56">
            <v>45173</v>
          </cell>
          <cell r="BY56" t="str">
            <v>Done</v>
          </cell>
          <cell r="CD56" t="str">
            <v>Done</v>
          </cell>
          <cell r="CE56">
            <v>45175</v>
          </cell>
          <cell r="CF56" t="str">
            <v>3 Desire</v>
          </cell>
          <cell r="CG56" t="str">
            <v>3 Desire</v>
          </cell>
          <cell r="CH56" t="str">
            <v>Arithmetic corporation</v>
          </cell>
          <cell r="CJ56">
            <v>45175</v>
          </cell>
          <cell r="CK56">
            <v>45175</v>
          </cell>
          <cell r="CL56">
            <v>45185</v>
          </cell>
          <cell r="CN56">
            <v>45206</v>
          </cell>
          <cell r="CO56">
            <v>45217</v>
          </cell>
          <cell r="CP56">
            <v>45216</v>
          </cell>
          <cell r="CR56">
            <v>45218</v>
          </cell>
          <cell r="DD56">
            <v>45177</v>
          </cell>
          <cell r="DE56">
            <v>60</v>
          </cell>
          <cell r="DF56">
            <v>45224</v>
          </cell>
          <cell r="DG56" t="str">
            <v>10. Launched</v>
          </cell>
          <cell r="DJ56" t="str">
            <v/>
          </cell>
          <cell r="DK56">
            <v>45164</v>
          </cell>
          <cell r="DP56">
            <v>45166</v>
          </cell>
          <cell r="DQ56">
            <v>45197</v>
          </cell>
          <cell r="DR56">
            <v>35</v>
          </cell>
          <cell r="DS56">
            <v>45</v>
          </cell>
          <cell r="DU56">
            <v>45232</v>
          </cell>
          <cell r="DV56">
            <v>45242</v>
          </cell>
          <cell r="DW56">
            <v>45232</v>
          </cell>
          <cell r="DX56" t="str">
            <v>Nov 23 Week 1</v>
          </cell>
          <cell r="DY56" t="str">
            <v/>
          </cell>
          <cell r="DZ56">
            <v>45151</v>
          </cell>
          <cell r="EA56" t="str">
            <v>Aug 23 Week 2</v>
          </cell>
          <cell r="ED56" t="str">
            <v/>
          </cell>
          <cell r="EE56" t="str">
            <v/>
          </cell>
          <cell r="EF56">
            <v>1</v>
          </cell>
          <cell r="EG56">
            <v>1</v>
          </cell>
          <cell r="EJ56">
            <v>45204</v>
          </cell>
          <cell r="EM56">
            <v>45211</v>
          </cell>
          <cell r="EP56">
            <v>45218</v>
          </cell>
          <cell r="ES56">
            <v>45225</v>
          </cell>
          <cell r="EV56">
            <v>45232</v>
          </cell>
          <cell r="FD56">
            <v>-81</v>
          </cell>
          <cell r="FE56" t="str">
            <v>On Time</v>
          </cell>
          <cell r="FF56">
            <v>-50</v>
          </cell>
          <cell r="FG56" t="str">
            <v>On Time</v>
          </cell>
          <cell r="FH56" t="str">
            <v>Done</v>
          </cell>
          <cell r="FI56" t="str">
            <v>Done</v>
          </cell>
          <cell r="FJ56" t="str">
            <v>Done</v>
          </cell>
          <cell r="FM56" t="str">
            <v/>
          </cell>
          <cell r="GF56" t="str">
            <v>SEVEBK38</v>
          </cell>
          <cell r="GG56" t="str">
            <v>2023-2024</v>
          </cell>
        </row>
        <row r="57">
          <cell r="E57" t="str">
            <v>Laxcon Plaza, Nerul</v>
          </cell>
          <cell r="F57" t="str">
            <v>10. Launched</v>
          </cell>
          <cell r="G57" t="str">
            <v>NA</v>
          </cell>
          <cell r="H57" t="str">
            <v>MU-SM-GMU-730</v>
          </cell>
          <cell r="I57" t="str">
            <v>_</v>
          </cell>
          <cell r="J57" t="str">
            <v>QZKX</v>
          </cell>
          <cell r="K57" t="str">
            <v>W</v>
          </cell>
          <cell r="L57" t="str">
            <v>BK</v>
          </cell>
          <cell r="N57" t="str">
            <v>Sh Rajesh Gavale</v>
          </cell>
          <cell r="O57" t="str">
            <v>Sh Nitin Dawange</v>
          </cell>
          <cell r="P57" t="str">
            <v>Sh. Prashant Naik</v>
          </cell>
          <cell r="Q57" t="str">
            <v>Shahaji Gohatre</v>
          </cell>
          <cell r="R57" t="str">
            <v>Parth Sharma</v>
          </cell>
          <cell r="S57" t="str">
            <v>Maharashtra</v>
          </cell>
          <cell r="T57" t="str">
            <v>Mumbai</v>
          </cell>
          <cell r="U57" t="str">
            <v>Premium</v>
          </cell>
          <cell r="V57" t="str">
            <v>Misc Formats</v>
          </cell>
          <cell r="W57">
            <v>1011</v>
          </cell>
          <cell r="X57" t="str">
            <v>Shop No.5  Laxcon, Plaza,Jagadguru Chandrasekhara Saraswathi Marg, Nerul East, Sector 29, Nerul, Navi Mumbai, Maharashtra 400706</v>
          </cell>
          <cell r="Z57" t="str">
            <v>Done</v>
          </cell>
          <cell r="AB57">
            <v>45042</v>
          </cell>
          <cell r="AC57">
            <v>45043</v>
          </cell>
          <cell r="AD57">
            <v>45049</v>
          </cell>
          <cell r="AE57">
            <v>45049</v>
          </cell>
          <cell r="AF57" t="str">
            <v>SDR DONE</v>
          </cell>
          <cell r="AG57">
            <v>2</v>
          </cell>
          <cell r="AH57" t="str">
            <v>_</v>
          </cell>
          <cell r="AJ57">
            <v>1</v>
          </cell>
          <cell r="AK57">
            <v>45119</v>
          </cell>
          <cell r="AL57" t="str">
            <v>Received</v>
          </cell>
          <cell r="AM57">
            <v>65</v>
          </cell>
          <cell r="AO57">
            <v>45122</v>
          </cell>
          <cell r="AP57">
            <v>45075</v>
          </cell>
          <cell r="AQ57">
            <v>0</v>
          </cell>
          <cell r="AR57">
            <v>45075</v>
          </cell>
          <cell r="AS57">
            <v>-47</v>
          </cell>
          <cell r="AT57" t="str">
            <v>Received</v>
          </cell>
          <cell r="AU57">
            <v>45123</v>
          </cell>
          <cell r="AV57">
            <v>45084</v>
          </cell>
          <cell r="AW57">
            <v>0</v>
          </cell>
          <cell r="AX57">
            <v>45084</v>
          </cell>
          <cell r="AY57">
            <v>-39</v>
          </cell>
          <cell r="AZ57" t="str">
            <v>Received</v>
          </cell>
          <cell r="BA57">
            <v>45124</v>
          </cell>
          <cell r="BB57">
            <v>45079</v>
          </cell>
          <cell r="BD57">
            <v>45079</v>
          </cell>
          <cell r="BE57">
            <v>-45</v>
          </cell>
          <cell r="BF57" t="str">
            <v>Received</v>
          </cell>
          <cell r="BG57">
            <v>45124</v>
          </cell>
          <cell r="BH57">
            <v>45082</v>
          </cell>
          <cell r="BJ57">
            <v>45082</v>
          </cell>
          <cell r="BK57">
            <v>-42</v>
          </cell>
          <cell r="BL57" t="str">
            <v>Received</v>
          </cell>
          <cell r="BM57">
            <v>45122</v>
          </cell>
          <cell r="BN57">
            <v>45083</v>
          </cell>
          <cell r="BO57" t="str">
            <v>Received</v>
          </cell>
          <cell r="BP57">
            <v>45122</v>
          </cell>
          <cell r="BQ57">
            <v>45075</v>
          </cell>
          <cell r="BR57" t="str">
            <v>Received</v>
          </cell>
          <cell r="BU57" t="str">
            <v>Received</v>
          </cell>
          <cell r="BV57" t="str">
            <v>Done</v>
          </cell>
          <cell r="BW57" t="str">
            <v>Done</v>
          </cell>
          <cell r="BY57" t="str">
            <v>Done</v>
          </cell>
          <cell r="CD57" t="str">
            <v>Done</v>
          </cell>
          <cell r="CE57">
            <v>45106</v>
          </cell>
          <cell r="CF57" t="str">
            <v>Veritas Infra</v>
          </cell>
          <cell r="CG57" t="str">
            <v>Veritas Infra</v>
          </cell>
          <cell r="CH57" t="str">
            <v>Weatherguard</v>
          </cell>
          <cell r="CJ57">
            <v>45106</v>
          </cell>
          <cell r="CK57">
            <v>45106</v>
          </cell>
          <cell r="CL57">
            <v>45106</v>
          </cell>
          <cell r="CN57" t="str">
            <v>Pending</v>
          </cell>
          <cell r="CO57">
            <v>45131</v>
          </cell>
          <cell r="CP57">
            <v>45118</v>
          </cell>
          <cell r="CR57">
            <v>45132</v>
          </cell>
          <cell r="CS57">
            <v>45120</v>
          </cell>
          <cell r="DD57">
            <v>45083</v>
          </cell>
          <cell r="DE57">
            <v>75</v>
          </cell>
          <cell r="DF57">
            <v>45161</v>
          </cell>
          <cell r="DG57" t="str">
            <v>10. Launched</v>
          </cell>
          <cell r="DJ57" t="str">
            <v>LL works completed
Revised RFC callout date on 06/06</v>
          </cell>
          <cell r="DK57">
            <v>45086</v>
          </cell>
          <cell r="DP57">
            <v>45088</v>
          </cell>
          <cell r="DQ57">
            <v>45107</v>
          </cell>
          <cell r="DR57">
            <v>35</v>
          </cell>
          <cell r="DS57">
            <v>45</v>
          </cell>
          <cell r="DU57">
            <v>45142</v>
          </cell>
          <cell r="DV57">
            <v>45152</v>
          </cell>
          <cell r="DW57">
            <v>45142</v>
          </cell>
          <cell r="DX57" t="str">
            <v>Aug 23 Week 1</v>
          </cell>
          <cell r="DY57" t="str">
            <v/>
          </cell>
          <cell r="DZ57">
            <v>45151</v>
          </cell>
          <cell r="EA57" t="str">
            <v>Aug 23 Week 2</v>
          </cell>
          <cell r="ED57" t="str">
            <v/>
          </cell>
          <cell r="EE57" t="str">
            <v/>
          </cell>
          <cell r="EF57">
            <v>1</v>
          </cell>
          <cell r="EG57">
            <v>1</v>
          </cell>
          <cell r="EJ57">
            <v>45114</v>
          </cell>
          <cell r="EM57">
            <v>45121</v>
          </cell>
          <cell r="EP57">
            <v>45128</v>
          </cell>
          <cell r="ES57">
            <v>45135</v>
          </cell>
          <cell r="EV57">
            <v>45142</v>
          </cell>
          <cell r="FD57">
            <v>9</v>
          </cell>
          <cell r="FE57" t="str">
            <v>8 to 15 Days</v>
          </cell>
          <cell r="FF57">
            <v>28</v>
          </cell>
          <cell r="FG57" t="str">
            <v>16 to 31 Days</v>
          </cell>
          <cell r="FH57" t="str">
            <v>Done</v>
          </cell>
          <cell r="FI57" t="str">
            <v>Done</v>
          </cell>
          <cell r="FJ57" t="str">
            <v>Done</v>
          </cell>
          <cell r="FM57" t="str">
            <v/>
          </cell>
          <cell r="GG57" t="str">
            <v>2023-2024</v>
          </cell>
        </row>
        <row r="58">
          <cell r="E58" t="str">
            <v xml:space="preserve">Legacy Ivy </v>
          </cell>
          <cell r="F58" t="str">
            <v>14. Dropped</v>
          </cell>
          <cell r="G58" t="str">
            <v>NA</v>
          </cell>
          <cell r="H58" t="str">
            <v>_</v>
          </cell>
          <cell r="I58" t="str">
            <v>_</v>
          </cell>
          <cell r="K58" t="str">
            <v>W</v>
          </cell>
          <cell r="L58" t="str">
            <v>BK</v>
          </cell>
          <cell r="N58" t="str">
            <v>Sh Shashi Pardesi</v>
          </cell>
          <cell r="O58" t="str">
            <v>Sh Shashi Pardesi</v>
          </cell>
          <cell r="P58" t="str">
            <v/>
          </cell>
          <cell r="Q58" t="str">
            <v>Shahaji Gohatre</v>
          </cell>
          <cell r="R58" t="str">
            <v>Parth Sharma</v>
          </cell>
          <cell r="S58" t="str">
            <v>Maharashtra</v>
          </cell>
          <cell r="T58" t="str">
            <v>Pune</v>
          </cell>
          <cell r="U58" t="str">
            <v>Premium</v>
          </cell>
          <cell r="V58" t="str">
            <v>Misc Formats</v>
          </cell>
          <cell r="W58">
            <v>1124</v>
          </cell>
          <cell r="X58" t="str">
            <v>Legacy Ivy Punawale, Kate Wasti, Hinjawadi, Pimpri-Chinchwad, Maharashtra 411033</v>
          </cell>
          <cell r="Z58" t="str">
            <v>_</v>
          </cell>
          <cell r="AB58">
            <v>45112</v>
          </cell>
          <cell r="AC58">
            <v>45118</v>
          </cell>
          <cell r="AD58">
            <v>45128</v>
          </cell>
          <cell r="AE58">
            <v>45129</v>
          </cell>
          <cell r="AF58" t="str">
            <v>SDR DONE</v>
          </cell>
          <cell r="AG58">
            <v>11</v>
          </cell>
          <cell r="AH58" t="str">
            <v>_</v>
          </cell>
          <cell r="AJ58">
            <v>1</v>
          </cell>
          <cell r="AK58">
            <v>45196</v>
          </cell>
          <cell r="AL58" t="str">
            <v>Pending</v>
          </cell>
          <cell r="AM58">
            <v>63</v>
          </cell>
          <cell r="AO58">
            <v>45199</v>
          </cell>
          <cell r="AP58">
            <v>45171</v>
          </cell>
          <cell r="AR58">
            <v>45171</v>
          </cell>
          <cell r="AS58">
            <v>-28</v>
          </cell>
          <cell r="AU58">
            <v>45200</v>
          </cell>
          <cell r="AV58">
            <v>45183</v>
          </cell>
          <cell r="BA58">
            <v>45201</v>
          </cell>
          <cell r="BB58">
            <v>45181</v>
          </cell>
          <cell r="BD58">
            <v>45181</v>
          </cell>
          <cell r="BE58">
            <v>-20</v>
          </cell>
          <cell r="BG58">
            <v>45201</v>
          </cell>
          <cell r="BH58">
            <v>45184</v>
          </cell>
          <cell r="BJ58">
            <v>45184</v>
          </cell>
          <cell r="BK58">
            <v>-17</v>
          </cell>
          <cell r="BM58">
            <v>45199</v>
          </cell>
          <cell r="BN58">
            <v>45166</v>
          </cell>
          <cell r="BP58">
            <v>45199</v>
          </cell>
          <cell r="BQ58">
            <v>45162</v>
          </cell>
          <cell r="BR58" t="str">
            <v>Received</v>
          </cell>
          <cell r="BW58" t="str">
            <v>04-10-2023</v>
          </cell>
          <cell r="BX58">
            <v>45243</v>
          </cell>
          <cell r="BY58" t="str">
            <v>Done</v>
          </cell>
          <cell r="CE58" t="str">
            <v/>
          </cell>
          <cell r="CF58" t="str">
            <v/>
          </cell>
          <cell r="CG58" t="str">
            <v/>
          </cell>
          <cell r="CH58" t="str">
            <v/>
          </cell>
          <cell r="CN58" t="str">
            <v/>
          </cell>
          <cell r="CO58" t="str">
            <v/>
          </cell>
          <cell r="CP58" t="str">
            <v/>
          </cell>
          <cell r="CR58" t="str">
            <v/>
          </cell>
          <cell r="CT58">
            <v>45300</v>
          </cell>
          <cell r="CU58">
            <v>45300</v>
          </cell>
          <cell r="CV58">
            <v>45300</v>
          </cell>
          <cell r="DA58" t="str">
            <v>WO Done RA1 Pending</v>
          </cell>
          <cell r="DB58" t="str">
            <v>WO Done RA1 Pending</v>
          </cell>
          <cell r="DC58" t="str">
            <v>WO Done RA1 Pending</v>
          </cell>
          <cell r="DG58" t="str">
            <v>14. Dropped</v>
          </cell>
          <cell r="DJ58" t="str">
            <v/>
          </cell>
          <cell r="DO58" t="str">
            <v>05-01-2024</v>
          </cell>
          <cell r="DP58" t="str">
            <v/>
          </cell>
          <cell r="DR58">
            <v>35</v>
          </cell>
          <cell r="DS58">
            <v>45</v>
          </cell>
          <cell r="DX58" t="str">
            <v/>
          </cell>
          <cell r="DY58" t="str">
            <v/>
          </cell>
          <cell r="EA58" t="str">
            <v/>
          </cell>
          <cell r="ED58" t="str">
            <v/>
          </cell>
          <cell r="EE58" t="str">
            <v/>
          </cell>
          <cell r="FM58" t="str">
            <v/>
          </cell>
          <cell r="GG58" t="str">
            <v>2024-2025</v>
          </cell>
        </row>
        <row r="59">
          <cell r="E59" t="str">
            <v>Liberty Tower, Airoli</v>
          </cell>
          <cell r="F59" t="str">
            <v>14. Dropped</v>
          </cell>
          <cell r="G59" t="str">
            <v>NA</v>
          </cell>
          <cell r="H59" t="str">
            <v>_</v>
          </cell>
          <cell r="I59" t="str">
            <v>_</v>
          </cell>
          <cell r="K59" t="str">
            <v>W</v>
          </cell>
          <cell r="L59" t="str">
            <v>BK</v>
          </cell>
          <cell r="N59" t="str">
            <v>Sh Nitin Dawange</v>
          </cell>
          <cell r="O59" t="str">
            <v>Sh Rajesh Gavale</v>
          </cell>
          <cell r="P59" t="str">
            <v/>
          </cell>
          <cell r="Q59" t="str">
            <v>Shahaji Gohatre</v>
          </cell>
          <cell r="R59" t="str">
            <v>Parth Sharma</v>
          </cell>
          <cell r="S59" t="str">
            <v>Maharashtra</v>
          </cell>
          <cell r="T59" t="str">
            <v>Navi Mumbai</v>
          </cell>
          <cell r="U59" t="str">
            <v>Premium</v>
          </cell>
          <cell r="V59" t="str">
            <v>Misc Formats</v>
          </cell>
          <cell r="W59">
            <v>785</v>
          </cell>
          <cell r="X59" t="str">
            <v>Ground Floor, Liberty Tower, Airoli, Thane Belapur Road, Airoli, Navi Mumbai 400708</v>
          </cell>
          <cell r="Z59" t="str">
            <v>_</v>
          </cell>
          <cell r="AB59">
            <v>45007</v>
          </cell>
          <cell r="AC59">
            <v>45022</v>
          </cell>
          <cell r="AD59">
            <v>45024</v>
          </cell>
          <cell r="AE59">
            <v>45390</v>
          </cell>
          <cell r="AF59" t="str">
            <v>SDR DONE</v>
          </cell>
          <cell r="AG59">
            <v>12</v>
          </cell>
          <cell r="AH59" t="str">
            <v>_</v>
          </cell>
          <cell r="AL59" t="str">
            <v>Received</v>
          </cell>
          <cell r="AM59">
            <v>1148</v>
          </cell>
          <cell r="BJ59" t="str">
            <v/>
          </cell>
          <cell r="BN59" t="str">
            <v/>
          </cell>
          <cell r="BW59" t="str">
            <v/>
          </cell>
          <cell r="CE59" t="str">
            <v/>
          </cell>
          <cell r="CF59" t="str">
            <v/>
          </cell>
          <cell r="CG59" t="str">
            <v/>
          </cell>
          <cell r="CH59" t="str">
            <v/>
          </cell>
          <cell r="CN59" t="str">
            <v/>
          </cell>
          <cell r="CO59" t="str">
            <v/>
          </cell>
          <cell r="CP59" t="str">
            <v/>
          </cell>
          <cell r="CR59" t="str">
            <v/>
          </cell>
          <cell r="DG59" t="str">
            <v>14. Dropped</v>
          </cell>
          <cell r="DJ59" t="str">
            <v/>
          </cell>
          <cell r="DP59" t="str">
            <v/>
          </cell>
          <cell r="DR59">
            <v>35</v>
          </cell>
          <cell r="DS59">
            <v>45</v>
          </cell>
          <cell r="DX59" t="str">
            <v/>
          </cell>
          <cell r="DY59" t="str">
            <v/>
          </cell>
          <cell r="EA59" t="str">
            <v/>
          </cell>
          <cell r="ED59" t="str">
            <v/>
          </cell>
          <cell r="EE59" t="str">
            <v/>
          </cell>
          <cell r="FM59" t="str">
            <v/>
          </cell>
          <cell r="GG59" t="str">
            <v>2024-2025</v>
          </cell>
        </row>
        <row r="60">
          <cell r="E60" t="str">
            <v>M-Agile, Pune</v>
          </cell>
          <cell r="F60" t="str">
            <v>14. Dropped</v>
          </cell>
          <cell r="G60" t="str">
            <v>NA</v>
          </cell>
          <cell r="H60" t="str">
            <v>_</v>
          </cell>
          <cell r="I60" t="str">
            <v>_</v>
          </cell>
          <cell r="K60" t="str">
            <v>W</v>
          </cell>
          <cell r="L60" t="str">
            <v>BK</v>
          </cell>
          <cell r="N60" t="str">
            <v>Sh Shashi Pardesi</v>
          </cell>
          <cell r="O60" t="str">
            <v>Sh Ashish m</v>
          </cell>
          <cell r="P60" t="str">
            <v/>
          </cell>
          <cell r="Q60" t="str">
            <v>Arju Tiwari</v>
          </cell>
          <cell r="R60" t="str">
            <v>Kiran Patil</v>
          </cell>
          <cell r="S60" t="str">
            <v>Maharashtra</v>
          </cell>
          <cell r="T60" t="str">
            <v>Pune</v>
          </cell>
          <cell r="U60" t="str">
            <v>Premium</v>
          </cell>
          <cell r="V60" t="str">
            <v>Misc Formats</v>
          </cell>
          <cell r="W60">
            <v>889</v>
          </cell>
          <cell r="X60" t="str">
            <v>M-Agile ,Counter No 4 Malpani Agile, Baner Road, Pan Card Club Rd, Pune, Maharashtra 411045.</v>
          </cell>
          <cell r="Z60" t="str">
            <v>_</v>
          </cell>
          <cell r="AB60">
            <v>45204</v>
          </cell>
          <cell r="AC60">
            <v>45231</v>
          </cell>
          <cell r="AD60">
            <v>45233</v>
          </cell>
          <cell r="AE60">
            <v>45233</v>
          </cell>
          <cell r="AF60" t="str">
            <v>SDR DONE</v>
          </cell>
          <cell r="AG60">
            <v>24</v>
          </cell>
          <cell r="AH60" t="str">
            <v>_</v>
          </cell>
          <cell r="AJ60">
            <v>3</v>
          </cell>
          <cell r="AK60">
            <v>45511</v>
          </cell>
          <cell r="AL60" t="str">
            <v>Received</v>
          </cell>
          <cell r="AM60">
            <v>273</v>
          </cell>
          <cell r="AO60">
            <v>45514</v>
          </cell>
          <cell r="AR60">
            <v>45551</v>
          </cell>
          <cell r="AS60">
            <v>37</v>
          </cell>
          <cell r="AU60">
            <v>45515</v>
          </cell>
          <cell r="AV60" t="str">
            <v>22-11-2023
20-06-2024</v>
          </cell>
          <cell r="AX60">
            <v>45463</v>
          </cell>
          <cell r="AY60">
            <v>-52</v>
          </cell>
          <cell r="BA60">
            <v>45516</v>
          </cell>
          <cell r="BD60">
            <v>45569</v>
          </cell>
          <cell r="BE60">
            <v>52</v>
          </cell>
          <cell r="BF60" t="str">
            <v>HVAC Received on 24-06-2024
PLB Received on 04-07-2024</v>
          </cell>
          <cell r="BG60">
            <v>45516</v>
          </cell>
          <cell r="BJ60">
            <v>45572</v>
          </cell>
          <cell r="BK60">
            <v>55</v>
          </cell>
          <cell r="BM60">
            <v>45514</v>
          </cell>
          <cell r="BN60" t="str">
            <v>R0 -16-10-2023
R1 - 31-05-2024</v>
          </cell>
          <cell r="BP60">
            <v>45514</v>
          </cell>
          <cell r="BR60" t="str">
            <v>Received</v>
          </cell>
          <cell r="BU60" t="str">
            <v>IT /SLP/C&amp;I/Structure/HVAC/FF/Electrical GFC /Fixture /Component BOQ Received</v>
          </cell>
          <cell r="BV60" t="str">
            <v>Done</v>
          </cell>
          <cell r="BW60" t="str">
            <v>25-12-2023</v>
          </cell>
          <cell r="BX60">
            <v>45357</v>
          </cell>
          <cell r="BY60" t="str">
            <v>Done</v>
          </cell>
          <cell r="CE60" t="str">
            <v/>
          </cell>
          <cell r="CF60" t="str">
            <v/>
          </cell>
          <cell r="CG60" t="str">
            <v/>
          </cell>
          <cell r="CH60" t="str">
            <v/>
          </cell>
          <cell r="CN60" t="str">
            <v/>
          </cell>
          <cell r="CO60" t="str">
            <v/>
          </cell>
          <cell r="CP60" t="str">
            <v/>
          </cell>
          <cell r="CR60" t="str">
            <v/>
          </cell>
          <cell r="DG60" t="str">
            <v>14. Dropped</v>
          </cell>
          <cell r="DJ60" t="str">
            <v/>
          </cell>
          <cell r="DP60" t="str">
            <v/>
          </cell>
          <cell r="DR60">
            <v>35</v>
          </cell>
          <cell r="DS60">
            <v>45</v>
          </cell>
          <cell r="DX60" t="str">
            <v/>
          </cell>
          <cell r="DY60" t="str">
            <v/>
          </cell>
          <cell r="EA60" t="str">
            <v/>
          </cell>
          <cell r="ED60" t="str">
            <v/>
          </cell>
          <cell r="EE60" t="str">
            <v/>
          </cell>
          <cell r="FM60" t="str">
            <v/>
          </cell>
          <cell r="GG60" t="str">
            <v>2024-2025</v>
          </cell>
        </row>
        <row r="61">
          <cell r="E61" t="str">
            <v>Metro Mall, Kalyan</v>
          </cell>
          <cell r="F61" t="str">
            <v>11. HOLD</v>
          </cell>
          <cell r="G61" t="str">
            <v>SESBBK10620</v>
          </cell>
          <cell r="H61" t="str">
            <v>_</v>
          </cell>
          <cell r="I61" t="str">
            <v>_</v>
          </cell>
          <cell r="K61" t="str">
            <v>W</v>
          </cell>
          <cell r="L61" t="str">
            <v>BK</v>
          </cell>
          <cell r="N61" t="str">
            <v>Sh Nitin Dawange</v>
          </cell>
          <cell r="O61" t="str">
            <v>Sh Nitin Dawange</v>
          </cell>
          <cell r="P61" t="str">
            <v/>
          </cell>
          <cell r="Q61" t="str">
            <v>Shahaji Gohatre</v>
          </cell>
          <cell r="R61" t="str">
            <v>Parth Sharma</v>
          </cell>
          <cell r="S61" t="str">
            <v>Maharashtra</v>
          </cell>
          <cell r="T61" t="str">
            <v>Mumbai</v>
          </cell>
          <cell r="U61" t="str">
            <v>Premium</v>
          </cell>
          <cell r="V61" t="str">
            <v>Misc Formats</v>
          </cell>
          <cell r="W61">
            <v>601</v>
          </cell>
          <cell r="X61" t="str">
            <v>Metro Mall, Kalyan</v>
          </cell>
          <cell r="Z61" t="str">
            <v>_</v>
          </cell>
          <cell r="AB61">
            <v>45002</v>
          </cell>
          <cell r="AC61">
            <v>45010</v>
          </cell>
          <cell r="AD61">
            <v>45017</v>
          </cell>
          <cell r="AE61">
            <v>45019</v>
          </cell>
          <cell r="AF61" t="str">
            <v>SDR DONE</v>
          </cell>
          <cell r="AG61">
            <v>10</v>
          </cell>
          <cell r="AH61" t="str">
            <v>_</v>
          </cell>
          <cell r="AL61" t="str">
            <v>Received</v>
          </cell>
          <cell r="AM61">
            <v>1155</v>
          </cell>
          <cell r="BJ61" t="str">
            <v/>
          </cell>
          <cell r="BN61" t="str">
            <v/>
          </cell>
          <cell r="BW61" t="str">
            <v/>
          </cell>
          <cell r="CE61" t="str">
            <v/>
          </cell>
          <cell r="CF61" t="str">
            <v/>
          </cell>
          <cell r="CG61" t="str">
            <v/>
          </cell>
          <cell r="CH61" t="str">
            <v/>
          </cell>
          <cell r="CN61" t="str">
            <v/>
          </cell>
          <cell r="CO61" t="str">
            <v/>
          </cell>
          <cell r="CP61" t="str">
            <v/>
          </cell>
          <cell r="CR61" t="str">
            <v/>
          </cell>
          <cell r="DG61" t="str">
            <v>11. HOLD</v>
          </cell>
          <cell r="DJ61" t="str">
            <v/>
          </cell>
          <cell r="DP61" t="str">
            <v/>
          </cell>
          <cell r="DR61">
            <v>35</v>
          </cell>
          <cell r="DS61">
            <v>45</v>
          </cell>
          <cell r="DX61" t="str">
            <v/>
          </cell>
          <cell r="DY61" t="str">
            <v/>
          </cell>
          <cell r="EA61" t="str">
            <v/>
          </cell>
          <cell r="ED61" t="str">
            <v/>
          </cell>
          <cell r="EE61" t="str">
            <v/>
          </cell>
          <cell r="FM61" t="str">
            <v/>
          </cell>
          <cell r="GG61" t="str">
            <v>2026-2027</v>
          </cell>
        </row>
        <row r="62">
          <cell r="E62" t="str">
            <v>Millenium Star</v>
          </cell>
          <cell r="F62" t="str">
            <v>10. Launched</v>
          </cell>
          <cell r="G62" t="str">
            <v>NA</v>
          </cell>
          <cell r="H62" t="str">
            <v>MH-SM-PUN-1003</v>
          </cell>
          <cell r="I62" t="str">
            <v>_</v>
          </cell>
          <cell r="J62" t="str">
            <v>QL0A</v>
          </cell>
          <cell r="K62" t="str">
            <v>W</v>
          </cell>
          <cell r="L62" t="str">
            <v>BK</v>
          </cell>
          <cell r="M62" t="str">
            <v>15th August'24 Target</v>
          </cell>
          <cell r="N62" t="str">
            <v>Sh Shashi Pardesi</v>
          </cell>
          <cell r="O62" t="str">
            <v>Sh Ashish M</v>
          </cell>
          <cell r="P62" t="str">
            <v>Sh. Nishant Narsapur</v>
          </cell>
          <cell r="Q62" t="str">
            <v>Arju Tiwari</v>
          </cell>
          <cell r="R62" t="str">
            <v>Kiran Patil</v>
          </cell>
          <cell r="S62" t="str">
            <v>Maharashtra</v>
          </cell>
          <cell r="T62" t="str">
            <v>Pune</v>
          </cell>
          <cell r="U62" t="str">
            <v>Premium</v>
          </cell>
          <cell r="V62" t="str">
            <v>Misc Formats</v>
          </cell>
          <cell r="W62">
            <v>1322</v>
          </cell>
          <cell r="X62" t="str">
            <v>Shop No. 11, Millennium Star, Rd, Balkrishna Sakharam Dhole Patil Rd, near ruby hall clinic, Sangamwadi, Pune, Maharashtra 411001</v>
          </cell>
          <cell r="Y62">
            <v>45453</v>
          </cell>
          <cell r="Z62" t="str">
            <v>Done</v>
          </cell>
          <cell r="AA62">
            <v>45461</v>
          </cell>
          <cell r="AB62">
            <v>45187</v>
          </cell>
          <cell r="AC62">
            <v>45191</v>
          </cell>
          <cell r="AD62">
            <v>45199</v>
          </cell>
          <cell r="AE62">
            <v>45202</v>
          </cell>
          <cell r="AF62" t="str">
            <v>SDR DONE</v>
          </cell>
          <cell r="AG62">
            <v>7</v>
          </cell>
          <cell r="AH62" t="str">
            <v>_</v>
          </cell>
          <cell r="AJ62">
            <v>4</v>
          </cell>
          <cell r="AK62">
            <v>45469</v>
          </cell>
          <cell r="AL62" t="str">
            <v>Received</v>
          </cell>
          <cell r="AM62">
            <v>265</v>
          </cell>
          <cell r="AN62" t="str">
            <v>Due to revise concept of cash counter front glass ML Revised on 26-06-2024/03-07-2024</v>
          </cell>
          <cell r="AO62">
            <v>45472</v>
          </cell>
          <cell r="AR62">
            <v>45442</v>
          </cell>
          <cell r="AS62">
            <v>-30</v>
          </cell>
          <cell r="AT62" t="str">
            <v>Received</v>
          </cell>
          <cell r="AU62">
            <v>45473</v>
          </cell>
          <cell r="AV62">
            <v>45266</v>
          </cell>
          <cell r="AW62">
            <v>1</v>
          </cell>
          <cell r="AX62">
            <v>45448</v>
          </cell>
          <cell r="AY62">
            <v>-25</v>
          </cell>
          <cell r="AZ62" t="str">
            <v>Received</v>
          </cell>
          <cell r="BA62">
            <v>45474</v>
          </cell>
          <cell r="BD62">
            <v>45446</v>
          </cell>
          <cell r="BE62">
            <v>-28</v>
          </cell>
          <cell r="BF62" t="str">
            <v>Received</v>
          </cell>
          <cell r="BG62">
            <v>45474</v>
          </cell>
          <cell r="BJ62">
            <v>45450</v>
          </cell>
          <cell r="BK62">
            <v>-24</v>
          </cell>
          <cell r="BL62" t="str">
            <v>Received</v>
          </cell>
          <cell r="BM62">
            <v>45472</v>
          </cell>
          <cell r="BN62" t="str">
            <v>R0-22-12-2023
R1-24-05-2024</v>
          </cell>
          <cell r="BO62" t="str">
            <v>Received</v>
          </cell>
          <cell r="BP62">
            <v>45472</v>
          </cell>
          <cell r="BR62" t="str">
            <v>Received</v>
          </cell>
          <cell r="BU62" t="str">
            <v>Received</v>
          </cell>
          <cell r="BV62" t="str">
            <v>Done</v>
          </cell>
          <cell r="BW62" t="str">
            <v>18-12-2023</v>
          </cell>
          <cell r="BX62">
            <v>45356</v>
          </cell>
          <cell r="BY62" t="str">
            <v>Done</v>
          </cell>
          <cell r="CD62" t="str">
            <v>Done</v>
          </cell>
          <cell r="CE62">
            <v>45453</v>
          </cell>
          <cell r="CF62" t="str">
            <v>M/s. JAB INTERIOR</v>
          </cell>
          <cell r="CG62" t="str">
            <v>M/s. VIGHNESH ELECTRICALS,</v>
          </cell>
          <cell r="CH62" t="str">
            <v>M/s. Shree SVS Systems,</v>
          </cell>
          <cell r="CJ62">
            <v>45453</v>
          </cell>
          <cell r="CK62">
            <v>45453</v>
          </cell>
          <cell r="CL62">
            <v>45456</v>
          </cell>
          <cell r="CN62">
            <v>45460</v>
          </cell>
          <cell r="CO62">
            <v>45460</v>
          </cell>
          <cell r="CP62">
            <v>45471</v>
          </cell>
          <cell r="CQ62">
            <v>45462</v>
          </cell>
          <cell r="CR62">
            <v>45461</v>
          </cell>
          <cell r="CT62">
            <v>45468</v>
          </cell>
          <cell r="CU62">
            <v>45462</v>
          </cell>
          <cell r="CV62">
            <v>45481</v>
          </cell>
          <cell r="DA62" t="str">
            <v>WO Done RA1 Pending</v>
          </cell>
          <cell r="DB62" t="str">
            <v>WO Done RA1 Pending</v>
          </cell>
          <cell r="DC62" t="str">
            <v>WO Done RA1 Pending</v>
          </cell>
          <cell r="DD62">
            <v>45446</v>
          </cell>
          <cell r="DE62">
            <v>60</v>
          </cell>
          <cell r="DF62">
            <v>45518</v>
          </cell>
          <cell r="DG62" t="str">
            <v>10. Launched</v>
          </cell>
          <cell r="DJ62" t="str">
            <v/>
          </cell>
          <cell r="DK62">
            <v>45458</v>
          </cell>
          <cell r="DL62">
            <v>45458</v>
          </cell>
          <cell r="DP62">
            <v>45461</v>
          </cell>
          <cell r="DQ62">
            <v>45461</v>
          </cell>
          <cell r="DR62">
            <v>35</v>
          </cell>
          <cell r="DS62">
            <v>45</v>
          </cell>
          <cell r="DU62">
            <v>45496</v>
          </cell>
          <cell r="DV62">
            <v>45506</v>
          </cell>
          <cell r="DW62">
            <v>45496</v>
          </cell>
          <cell r="DX62" t="str">
            <v>July 24 Week 4</v>
          </cell>
          <cell r="DY62">
            <v>45496</v>
          </cell>
          <cell r="DZ62">
            <v>45497</v>
          </cell>
          <cell r="EA62" t="str">
            <v>July 24 Week 4</v>
          </cell>
          <cell r="EB62" t="str">
            <v>Plan</v>
          </cell>
          <cell r="ED62" t="str">
            <v/>
          </cell>
          <cell r="EE62" t="str">
            <v/>
          </cell>
          <cell r="EF62">
            <v>1</v>
          </cell>
          <cell r="EG62">
            <v>1</v>
          </cell>
          <cell r="EH62" t="str">
            <v>Vendor is unable to procure sand due to strike issues-24-06-2024
Earthing Iocation not finalize -05-07-2024 new location likely to have financial implication</v>
          </cell>
          <cell r="EJ62">
            <v>45468</v>
          </cell>
          <cell r="EM62">
            <v>45475</v>
          </cell>
          <cell r="EP62">
            <v>45482</v>
          </cell>
          <cell r="ES62">
            <v>45489</v>
          </cell>
          <cell r="EV62">
            <v>45496</v>
          </cell>
          <cell r="FD62">
            <v>1</v>
          </cell>
          <cell r="FE62" t="str">
            <v>0 to 3 Days</v>
          </cell>
          <cell r="FF62">
            <v>1</v>
          </cell>
          <cell r="FG62" t="str">
            <v>0 to 3 Days</v>
          </cell>
          <cell r="FH62" t="str">
            <v>Done</v>
          </cell>
          <cell r="FI62" t="str">
            <v>Done</v>
          </cell>
          <cell r="FJ62">
            <v>45506</v>
          </cell>
          <cell r="FK62">
            <v>45502</v>
          </cell>
          <cell r="FM62" t="str">
            <v/>
          </cell>
          <cell r="FU62">
            <v>45470</v>
          </cell>
          <cell r="FW62">
            <v>2672953</v>
          </cell>
          <cell r="FX62">
            <v>2223703.1500000004</v>
          </cell>
          <cell r="FZ62" t="str">
            <v xml:space="preserve">Pest Control Certificate Received on 25-06-2024
Fire Extinguisher Certificate submitted on 04-07-2024
Civil : Partition/panelling-Done
           150*150 mm Bund wall done
             Hung partition - Done
Glass partition with Door Done
Tiling/Painting /skirting-Done
    PLB - Toilet work WIP
Electrical : Conduiting/cabling/wiring -Done
Light instllation Done
LT Panel Charged.
Server Rack Installation Done
HVAC : Ducting Done/IDU Installation Done/Ceiling Fan Instllation Done/Diffuser Installation Done/wall Mounted fan Installation Done
Structure: Valence wall work Done/Overhead storage Done
SLP &amp; PA Callout Received on 15-07-2024
Inverter and Stabilizer Installation Callout  given on 19-07-2024
R0 Installation Callout - 22-07-2024
Fixture Installation Done - 22-07-2024
ACP signage Callout-24-07-2024
Final IT Callout - 23-07-2024
</v>
          </cell>
          <cell r="GA62">
            <v>45470</v>
          </cell>
          <cell r="GB62">
            <v>45485</v>
          </cell>
          <cell r="GC62">
            <v>45491</v>
          </cell>
          <cell r="GD62">
            <v>45491</v>
          </cell>
          <cell r="GG62" t="str">
            <v>2024-2025</v>
          </cell>
        </row>
        <row r="63">
          <cell r="E63" t="str">
            <v>Mindspace - Coffee shopno -2, Airoli</v>
          </cell>
          <cell r="F63" t="str">
            <v>14. Dropped</v>
          </cell>
          <cell r="G63" t="str">
            <v>NA</v>
          </cell>
          <cell r="H63" t="str">
            <v>_</v>
          </cell>
          <cell r="I63" t="str">
            <v>_</v>
          </cell>
          <cell r="K63" t="str">
            <v>W</v>
          </cell>
          <cell r="L63" t="str">
            <v>BK</v>
          </cell>
          <cell r="N63" t="str">
            <v>Sh Mrudang Shah</v>
          </cell>
          <cell r="O63" t="str">
            <v>Sh Nitin Dawange</v>
          </cell>
          <cell r="P63" t="str">
            <v/>
          </cell>
          <cell r="Q63" t="str">
            <v>Arju Tiwari</v>
          </cell>
          <cell r="R63" t="str">
            <v>Kiran Patil</v>
          </cell>
          <cell r="S63" t="str">
            <v>Maharashtra</v>
          </cell>
          <cell r="T63" t="str">
            <v>Navi Mumbai</v>
          </cell>
          <cell r="U63" t="str">
            <v>Premium</v>
          </cell>
          <cell r="V63" t="str">
            <v>Misc Formats</v>
          </cell>
          <cell r="W63">
            <v>944</v>
          </cell>
          <cell r="X63" t="str">
            <v>Shop no - 2, Building no -09, Mindspace Airoli West  MSEB Staff Colony, TTC Industrial Area, Airoli, Navi Mumbai</v>
          </cell>
          <cell r="Z63" t="str">
            <v>_</v>
          </cell>
          <cell r="AB63">
            <v>45197</v>
          </cell>
          <cell r="AC63">
            <v>45208</v>
          </cell>
          <cell r="AD63">
            <v>45220</v>
          </cell>
          <cell r="AE63">
            <v>45222</v>
          </cell>
          <cell r="AF63" t="str">
            <v>SDR DONE</v>
          </cell>
          <cell r="AG63">
            <v>18</v>
          </cell>
          <cell r="AH63" t="str">
            <v>_</v>
          </cell>
          <cell r="AJ63">
            <v>2</v>
          </cell>
          <cell r="AK63">
            <v>45474</v>
          </cell>
          <cell r="AL63" t="str">
            <v>Received</v>
          </cell>
          <cell r="AM63">
            <v>249</v>
          </cell>
          <cell r="AN63" t="str">
            <v>Due to revise concept of cash counter front glass ML Revised on 01-07-2024</v>
          </cell>
          <cell r="AO63">
            <v>45477</v>
          </cell>
          <cell r="AR63">
            <v>45490</v>
          </cell>
          <cell r="AS63">
            <v>13</v>
          </cell>
          <cell r="AU63">
            <v>45478</v>
          </cell>
          <cell r="AV63">
            <v>45261</v>
          </cell>
          <cell r="AX63">
            <v>45493</v>
          </cell>
          <cell r="AY63">
            <v>14</v>
          </cell>
          <cell r="AZ63" t="str">
            <v>C&amp;I Structural Support Received on 20-07-2024</v>
          </cell>
          <cell r="BA63">
            <v>45479</v>
          </cell>
          <cell r="BB63">
            <v>45293</v>
          </cell>
          <cell r="BD63">
            <v>45469</v>
          </cell>
          <cell r="BE63">
            <v>-10</v>
          </cell>
          <cell r="BF63" t="str">
            <v>HVAC/FF Received on 26-06-2024
PLB Received on 04-07-2024</v>
          </cell>
          <cell r="BG63">
            <v>45479</v>
          </cell>
          <cell r="BH63">
            <v>45295</v>
          </cell>
          <cell r="BJ63">
            <v>45358</v>
          </cell>
          <cell r="BK63">
            <v>-121</v>
          </cell>
          <cell r="BM63">
            <v>45477</v>
          </cell>
          <cell r="BN63">
            <v>45455</v>
          </cell>
          <cell r="BP63">
            <v>45477</v>
          </cell>
          <cell r="BR63" t="str">
            <v>Received</v>
          </cell>
          <cell r="BU63" t="str">
            <v>SLP/IT/PLB/HVAC/FF/C&amp;I GFC/Fixture &amp; Component BOQ Received</v>
          </cell>
          <cell r="BW63" t="str">
            <v>09-01-2024</v>
          </cell>
          <cell r="BX63">
            <v>45352</v>
          </cell>
          <cell r="BY63" t="str">
            <v>Done</v>
          </cell>
          <cell r="CE63" t="str">
            <v/>
          </cell>
          <cell r="CF63" t="str">
            <v/>
          </cell>
          <cell r="CG63" t="str">
            <v/>
          </cell>
          <cell r="CH63" t="str">
            <v/>
          </cell>
          <cell r="CN63" t="str">
            <v/>
          </cell>
          <cell r="CO63" t="str">
            <v/>
          </cell>
          <cell r="CP63" t="str">
            <v/>
          </cell>
          <cell r="CR63" t="str">
            <v/>
          </cell>
          <cell r="DG63" t="str">
            <v>14. Dropped</v>
          </cell>
          <cell r="DJ63" t="str">
            <v/>
          </cell>
          <cell r="DP63" t="str">
            <v/>
          </cell>
          <cell r="DR63">
            <v>35</v>
          </cell>
          <cell r="DS63">
            <v>45</v>
          </cell>
          <cell r="DX63" t="str">
            <v/>
          </cell>
          <cell r="DY63" t="str">
            <v/>
          </cell>
          <cell r="EA63" t="str">
            <v/>
          </cell>
          <cell r="ED63" t="str">
            <v/>
          </cell>
          <cell r="EE63" t="str">
            <v/>
          </cell>
          <cell r="FM63" t="str">
            <v/>
          </cell>
          <cell r="GG63" t="str">
            <v>2024-2025</v>
          </cell>
        </row>
        <row r="64">
          <cell r="E64" t="str">
            <v>Mindspace Airoli - 1</v>
          </cell>
          <cell r="F64" t="str">
            <v>11. HOLD</v>
          </cell>
          <cell r="G64" t="str">
            <v>NA</v>
          </cell>
          <cell r="H64" t="str">
            <v>_</v>
          </cell>
          <cell r="I64" t="str">
            <v>_</v>
          </cell>
          <cell r="K64" t="str">
            <v>W</v>
          </cell>
          <cell r="L64" t="str">
            <v>BK</v>
          </cell>
          <cell r="N64" t="str">
            <v>Sh Nitin Dawange</v>
          </cell>
          <cell r="O64" t="str">
            <v>Sh Atul M Sawant</v>
          </cell>
          <cell r="P64" t="str">
            <v/>
          </cell>
          <cell r="Q64" t="str">
            <v>Shahaji Gohatre</v>
          </cell>
          <cell r="R64" t="str">
            <v>Parth Sharma</v>
          </cell>
          <cell r="S64" t="str">
            <v>Maharashtra</v>
          </cell>
          <cell r="T64" t="str">
            <v>Mumbai</v>
          </cell>
          <cell r="U64" t="str">
            <v>Premium</v>
          </cell>
          <cell r="V64" t="str">
            <v>Misc Formats</v>
          </cell>
          <cell r="W64">
            <v>189</v>
          </cell>
          <cell r="X64" t="str">
            <v>Plot No. 3, (Part) Kalwa TTC Industrial Area, MIDC Railway Station, Airoli East, Navi Mumbai</v>
          </cell>
          <cell r="Z64" t="str">
            <v>_</v>
          </cell>
          <cell r="AB64">
            <v>45147</v>
          </cell>
          <cell r="AC64">
            <v>45157</v>
          </cell>
          <cell r="AD64">
            <v>45175</v>
          </cell>
          <cell r="AE64">
            <v>45175</v>
          </cell>
          <cell r="AF64" t="str">
            <v>SDR DONE</v>
          </cell>
          <cell r="AG64">
            <v>23</v>
          </cell>
          <cell r="AH64" t="str">
            <v>_</v>
          </cell>
          <cell r="AL64" t="str">
            <v>Received</v>
          </cell>
          <cell r="AM64">
            <v>997</v>
          </cell>
          <cell r="BJ64" t="str">
            <v/>
          </cell>
          <cell r="BN64" t="str">
            <v/>
          </cell>
          <cell r="CE64" t="str">
            <v/>
          </cell>
          <cell r="CF64" t="str">
            <v/>
          </cell>
          <cell r="CG64" t="str">
            <v/>
          </cell>
          <cell r="CH64" t="str">
            <v/>
          </cell>
          <cell r="CN64" t="str">
            <v/>
          </cell>
          <cell r="CO64" t="str">
            <v/>
          </cell>
          <cell r="CP64" t="str">
            <v/>
          </cell>
          <cell r="CR64" t="str">
            <v/>
          </cell>
          <cell r="DG64" t="str">
            <v>11. HOLD</v>
          </cell>
          <cell r="DJ64" t="str">
            <v/>
          </cell>
          <cell r="DP64" t="str">
            <v/>
          </cell>
          <cell r="DR64">
            <v>35</v>
          </cell>
          <cell r="DS64">
            <v>45</v>
          </cell>
          <cell r="DX64" t="str">
            <v/>
          </cell>
          <cell r="DY64" t="str">
            <v/>
          </cell>
          <cell r="EA64" t="str">
            <v/>
          </cell>
          <cell r="ED64" t="str">
            <v/>
          </cell>
          <cell r="EE64" t="str">
            <v/>
          </cell>
          <cell r="FM64" t="str">
            <v/>
          </cell>
          <cell r="GG64" t="str">
            <v>2026-2027</v>
          </cell>
        </row>
        <row r="65">
          <cell r="E65" t="str">
            <v>Mindspace Airoli - 2</v>
          </cell>
          <cell r="F65" t="str">
            <v>11. HOLD</v>
          </cell>
          <cell r="G65" t="str">
            <v>NA</v>
          </cell>
          <cell r="H65" t="str">
            <v>_</v>
          </cell>
          <cell r="I65" t="str">
            <v>_</v>
          </cell>
          <cell r="K65" t="str">
            <v>W</v>
          </cell>
          <cell r="L65" t="str">
            <v>BK</v>
          </cell>
          <cell r="N65" t="str">
            <v>Sh Nitin Dawange</v>
          </cell>
          <cell r="O65" t="str">
            <v>Sh Atul M Sawant</v>
          </cell>
          <cell r="P65" t="str">
            <v/>
          </cell>
          <cell r="Q65" t="str">
            <v>Shahaji Gohatre</v>
          </cell>
          <cell r="R65" t="str">
            <v>Parth Sharma</v>
          </cell>
          <cell r="S65" t="str">
            <v>Maharashtra</v>
          </cell>
          <cell r="T65" t="str">
            <v>Mumbai</v>
          </cell>
          <cell r="U65" t="str">
            <v>Premium</v>
          </cell>
          <cell r="V65" t="str">
            <v>Misc Formats</v>
          </cell>
          <cell r="W65">
            <v>802</v>
          </cell>
          <cell r="X65" t="str">
            <v>Shop No.3, Building #2, Mindspace Gigaplex Estates, Plot IT - 5,, Airoli Knowledge Park, Opposite i-Gate Capgemini, Digha – Airoli West, MSEB Staff Colony, TTC Industrial Area, Navi Mumbai, Maharashtra 400708</v>
          </cell>
          <cell r="Z65" t="str">
            <v>_</v>
          </cell>
          <cell r="AB65">
            <v>45147</v>
          </cell>
          <cell r="AC65">
            <v>45157</v>
          </cell>
          <cell r="AD65">
            <v>45161</v>
          </cell>
          <cell r="AE65">
            <v>45161</v>
          </cell>
          <cell r="AF65" t="str">
            <v>SDR DONE</v>
          </cell>
          <cell r="AG65">
            <v>9</v>
          </cell>
          <cell r="AH65" t="str">
            <v>_</v>
          </cell>
          <cell r="AJ65">
            <v>1</v>
          </cell>
          <cell r="AK65">
            <v>45208</v>
          </cell>
          <cell r="AL65" t="str">
            <v>Received</v>
          </cell>
          <cell r="AM65">
            <v>42</v>
          </cell>
          <cell r="AO65">
            <v>45211</v>
          </cell>
          <cell r="AP65">
            <v>45184</v>
          </cell>
          <cell r="AR65">
            <v>45184</v>
          </cell>
          <cell r="AS65">
            <v>-27</v>
          </cell>
          <cell r="AU65">
            <v>45212</v>
          </cell>
          <cell r="AV65">
            <v>45194</v>
          </cell>
          <cell r="BA65">
            <v>45213</v>
          </cell>
          <cell r="BB65">
            <v>45204</v>
          </cell>
          <cell r="BD65">
            <v>45204</v>
          </cell>
          <cell r="BE65">
            <v>-9</v>
          </cell>
          <cell r="BG65">
            <v>45213</v>
          </cell>
          <cell r="BH65">
            <v>45208</v>
          </cell>
          <cell r="BJ65">
            <v>45208</v>
          </cell>
          <cell r="BK65">
            <v>-5</v>
          </cell>
          <cell r="BM65">
            <v>45211</v>
          </cell>
          <cell r="BN65">
            <v>45177</v>
          </cell>
          <cell r="BP65">
            <v>45211</v>
          </cell>
          <cell r="BQ65">
            <v>45177</v>
          </cell>
          <cell r="BR65" t="str">
            <v>Received</v>
          </cell>
          <cell r="BT65">
            <v>45178</v>
          </cell>
          <cell r="BW65" t="str">
            <v/>
          </cell>
          <cell r="CE65" t="str">
            <v/>
          </cell>
          <cell r="CF65" t="str">
            <v/>
          </cell>
          <cell r="CG65" t="str">
            <v/>
          </cell>
          <cell r="CH65" t="str">
            <v/>
          </cell>
          <cell r="CN65" t="str">
            <v/>
          </cell>
          <cell r="CO65" t="str">
            <v/>
          </cell>
          <cell r="CP65" t="str">
            <v/>
          </cell>
          <cell r="CR65" t="str">
            <v/>
          </cell>
          <cell r="DG65" t="str">
            <v>11. HOLD</v>
          </cell>
          <cell r="DJ65" t="str">
            <v/>
          </cell>
          <cell r="DP65" t="str">
            <v/>
          </cell>
          <cell r="DR65">
            <v>35</v>
          </cell>
          <cell r="DS65">
            <v>45</v>
          </cell>
          <cell r="DX65" t="str">
            <v/>
          </cell>
          <cell r="DY65" t="str">
            <v/>
          </cell>
          <cell r="EA65" t="str">
            <v/>
          </cell>
          <cell r="ED65" t="str">
            <v/>
          </cell>
          <cell r="EE65" t="str">
            <v/>
          </cell>
          <cell r="FM65" t="str">
            <v/>
          </cell>
          <cell r="GG65" t="str">
            <v>2026-2027</v>
          </cell>
        </row>
        <row r="66">
          <cell r="E66" t="str">
            <v>Mindspace, Samruddhi, Malad</v>
          </cell>
          <cell r="F66" t="str">
            <v>10. Launched</v>
          </cell>
          <cell r="G66" t="str">
            <v>NA</v>
          </cell>
          <cell r="H66" t="str">
            <v>I-MU-MUMB-AG2-0020</v>
          </cell>
          <cell r="I66" t="str">
            <v>_</v>
          </cell>
          <cell r="J66" t="str">
            <v>QJ1O
QM5R</v>
          </cell>
          <cell r="K66" t="str">
            <v>W</v>
          </cell>
          <cell r="L66" t="str">
            <v>BK</v>
          </cell>
          <cell r="N66" t="str">
            <v>Sh Atul M Sawant</v>
          </cell>
          <cell r="O66" t="str">
            <v>Sh Atul M Sawant</v>
          </cell>
          <cell r="P66" t="str">
            <v>Sh Rafique Khan</v>
          </cell>
          <cell r="Q66" t="str">
            <v>Arju Tiwari</v>
          </cell>
          <cell r="R66" t="str">
            <v>Kiran Patil</v>
          </cell>
          <cell r="S66" t="str">
            <v>Maharashtra</v>
          </cell>
          <cell r="T66" t="str">
            <v>Mumbai</v>
          </cell>
          <cell r="U66" t="str">
            <v>Premium</v>
          </cell>
          <cell r="V66" t="str">
            <v>Misc Formats</v>
          </cell>
          <cell r="W66">
            <v>922</v>
          </cell>
          <cell r="X66" t="str">
            <v>Shop No. 3,4, 19 and 20, Samruddhi Commercial Complex, Opp. Magnus Tower, Mindspace, Malad West.</v>
          </cell>
          <cell r="Y66">
            <v>45618</v>
          </cell>
          <cell r="Z66" t="str">
            <v>Done</v>
          </cell>
          <cell r="AA66">
            <v>45470</v>
          </cell>
          <cell r="AB66">
            <v>44782</v>
          </cell>
          <cell r="AC66">
            <v>44789</v>
          </cell>
          <cell r="AD66">
            <v>45652</v>
          </cell>
          <cell r="AF66" t="str">
            <v>SDR DONE</v>
          </cell>
          <cell r="AG66">
            <v>865</v>
          </cell>
          <cell r="AH66" t="str">
            <v>NA</v>
          </cell>
          <cell r="AJ66">
            <v>5</v>
          </cell>
          <cell r="AK66">
            <v>45653</v>
          </cell>
          <cell r="AL66" t="str">
            <v>Received</v>
          </cell>
          <cell r="AM66">
            <v>0</v>
          </cell>
          <cell r="AN66" t="str">
            <v>Due to revise concept of cash counter front glass ML Revised on 25-06-2024</v>
          </cell>
          <cell r="AO66">
            <v>45656</v>
          </cell>
          <cell r="AQ66">
            <v>4</v>
          </cell>
          <cell r="AR66">
            <v>45644</v>
          </cell>
          <cell r="AS66">
            <v>-12</v>
          </cell>
          <cell r="AT66" t="str">
            <v>Received</v>
          </cell>
          <cell r="AU66">
            <v>45657</v>
          </cell>
          <cell r="AV66">
            <v>45450</v>
          </cell>
          <cell r="AW66">
            <v>0</v>
          </cell>
          <cell r="AX66">
            <v>45450</v>
          </cell>
          <cell r="AY66">
            <v>-207</v>
          </cell>
          <cell r="AZ66" t="str">
            <v>LOFT Final GFC Received on 18-12-2024</v>
          </cell>
          <cell r="BA66">
            <v>45658</v>
          </cell>
          <cell r="BC66">
            <v>3</v>
          </cell>
          <cell r="BD66">
            <v>45657</v>
          </cell>
          <cell r="BE66">
            <v>-1</v>
          </cell>
          <cell r="BF66" t="str">
            <v>PLB Received on 20-06-2024</v>
          </cell>
          <cell r="BG66">
            <v>45658</v>
          </cell>
          <cell r="BI66">
            <v>3</v>
          </cell>
          <cell r="BJ66">
            <v>45657</v>
          </cell>
          <cell r="BK66">
            <v>-1</v>
          </cell>
          <cell r="BL66" t="str">
            <v>Received</v>
          </cell>
          <cell r="BM66">
            <v>45656</v>
          </cell>
          <cell r="BN66" t="str">
            <v>R0 - 11-02-2023
R1 - 17-08-2023
R2 - 31-05-2024</v>
          </cell>
          <cell r="BO66" t="str">
            <v>Received</v>
          </cell>
          <cell r="BP66">
            <v>45656</v>
          </cell>
          <cell r="BR66" t="str">
            <v>Received</v>
          </cell>
          <cell r="BS66">
            <v>45655</v>
          </cell>
          <cell r="BT66">
            <v>45456</v>
          </cell>
          <cell r="BU66" t="str">
            <v>Done</v>
          </cell>
          <cell r="BV66" t="str">
            <v>Done</v>
          </cell>
          <cell r="BW66" t="str">
            <v>26-10-2023</v>
          </cell>
          <cell r="BX66">
            <v>45253</v>
          </cell>
          <cell r="BY66" t="str">
            <v>Done</v>
          </cell>
          <cell r="BZ66" t="str">
            <v>Approved</v>
          </cell>
          <cell r="CA66" t="str">
            <v>Approved</v>
          </cell>
          <cell r="CB66">
            <v>45634</v>
          </cell>
          <cell r="CC66" t="str">
            <v>_</v>
          </cell>
          <cell r="CD66">
            <v>45566</v>
          </cell>
          <cell r="CE66">
            <v>45624</v>
          </cell>
          <cell r="CF66" t="str">
            <v>3DESIRE NETWORKS AND SOLUTIONS</v>
          </cell>
          <cell r="CG66" t="str">
            <v>3DESIRE NETWORKS AND SOLUTIONS</v>
          </cell>
          <cell r="CH66" t="str">
            <v xml:space="preserve">M/s Mansoor Corporation  </v>
          </cell>
          <cell r="CI66" t="str">
            <v>_</v>
          </cell>
          <cell r="CJ66">
            <v>45624</v>
          </cell>
          <cell r="CK66">
            <v>45624</v>
          </cell>
          <cell r="CL66">
            <v>45624</v>
          </cell>
          <cell r="CM66">
            <v>58</v>
          </cell>
          <cell r="CN66">
            <v>45297</v>
          </cell>
          <cell r="CO66">
            <v>45651</v>
          </cell>
          <cell r="CP66" t="str">
            <v>Plumbing SSB Received-11-12-2024
HVAC SSB Received - 25-12-2024</v>
          </cell>
          <cell r="CQ66">
            <v>45665</v>
          </cell>
          <cell r="CR66">
            <v>45303</v>
          </cell>
          <cell r="CS66">
            <v>45652</v>
          </cell>
          <cell r="CU66" t="str">
            <v>_</v>
          </cell>
          <cell r="CW66" t="str">
            <v>_</v>
          </cell>
          <cell r="DA66" t="str">
            <v>WO Done RA1 Pending</v>
          </cell>
          <cell r="DB66" t="str">
            <v>WO Done RA1 Pending</v>
          </cell>
          <cell r="DC66" t="str">
            <v>WO Done RA1 Pending</v>
          </cell>
          <cell r="DD66">
            <v>45617</v>
          </cell>
          <cell r="DG66" t="str">
            <v>10. Launched</v>
          </cell>
          <cell r="DH66" t="str">
            <v>_</v>
          </cell>
          <cell r="DI66" t="str">
            <v>_</v>
          </cell>
          <cell r="DJ66" t="str">
            <v>1. RFC callout not received from NSO
2. As per NSO - RFC to be done by 10-06-2024
3. Revised Capex to be submitted as per revised ML</v>
          </cell>
          <cell r="DK66">
            <v>45636</v>
          </cell>
          <cell r="DL66">
            <v>45642</v>
          </cell>
          <cell r="DM66" t="str">
            <v>_</v>
          </cell>
          <cell r="DN66" t="str">
            <v>_</v>
          </cell>
          <cell r="DO66" t="str">
            <v>LL Work Pending
HVAC WO released on 30-11-2024</v>
          </cell>
          <cell r="DP66">
            <v>45629</v>
          </cell>
          <cell r="DQ66">
            <v>45636</v>
          </cell>
          <cell r="DR66">
            <v>35</v>
          </cell>
          <cell r="DS66">
            <v>45</v>
          </cell>
          <cell r="DT66">
            <v>60</v>
          </cell>
          <cell r="DU66">
            <v>45671</v>
          </cell>
          <cell r="DV66">
            <v>45681</v>
          </cell>
          <cell r="DW66">
            <v>45731</v>
          </cell>
          <cell r="DX66" t="str">
            <v>March 25 Week 3</v>
          </cell>
          <cell r="DY66">
            <v>45694</v>
          </cell>
          <cell r="DZ66">
            <v>45695</v>
          </cell>
          <cell r="EA66" t="str">
            <v>Feb 25 Week 1</v>
          </cell>
          <cell r="EB66" t="str">
            <v>Plan</v>
          </cell>
          <cell r="ED66" t="str">
            <v/>
          </cell>
          <cell r="EE66" t="str">
            <v/>
          </cell>
          <cell r="EF66">
            <v>1</v>
          </cell>
          <cell r="EG66">
            <v>1</v>
          </cell>
          <cell r="EH66" t="str">
            <v xml:space="preserve">ML revision due to (incorrect site measurement  received on-25-12-2024)
</v>
          </cell>
          <cell r="EJ66">
            <v>45643</v>
          </cell>
          <cell r="EM66">
            <v>45650</v>
          </cell>
          <cell r="EP66">
            <v>45657</v>
          </cell>
          <cell r="ES66">
            <v>45664</v>
          </cell>
          <cell r="EV66">
            <v>45671</v>
          </cell>
          <cell r="FD66">
            <v>-36</v>
          </cell>
          <cell r="FE66" t="str">
            <v>On Time</v>
          </cell>
          <cell r="FF66">
            <v>-29</v>
          </cell>
          <cell r="FG66" t="str">
            <v>On Time</v>
          </cell>
          <cell r="FH66" t="str">
            <v>Done</v>
          </cell>
          <cell r="FI66" t="str">
            <v>Done</v>
          </cell>
          <cell r="FJ66">
            <v>45719</v>
          </cell>
          <cell r="FK66">
            <v>45719</v>
          </cell>
          <cell r="FM66" t="str">
            <v/>
          </cell>
          <cell r="FR66" t="str">
            <v>7ICRMQJ1O00
7ICRMQM5R00</v>
          </cell>
          <cell r="FV66">
            <v>8834</v>
          </cell>
          <cell r="FW66">
            <v>10719060.412292102</v>
          </cell>
          <cell r="FX66">
            <v>7371977.1600000001</v>
          </cell>
          <cell r="FZ66" t="str">
            <v>Dismantling  Work - Done
Brick Work -Done
Debris Removal Done, Scarp removal Done
Waterproofing vendor plan on 12-12-2024- Quotation received on 14-12-2024
Water line route Finalization awaited
Eartpit location finalization done on 07-01-2025
Civil &amp; Interior - Tiling - Done , Aluminium framing - done
Struture Work - Done
Plumbing - Toilet work Done
Electrical - Cable tray , cabling and wiring -Done
Facade Work - completed
Fixture Installation Done
Final IT Callout Received on 07-02-2025</v>
          </cell>
          <cell r="GA66">
            <v>45682</v>
          </cell>
          <cell r="GB66">
            <v>45683</v>
          </cell>
          <cell r="GC66">
            <v>45683</v>
          </cell>
          <cell r="GD66">
            <v>45688</v>
          </cell>
          <cell r="GG66" t="str">
            <v>2024-2025</v>
          </cell>
        </row>
        <row r="67">
          <cell r="E67" t="str">
            <v>Montclaire - Baner- Pashan Link Road</v>
          </cell>
          <cell r="F67" t="str">
            <v>10. Launched</v>
          </cell>
          <cell r="G67" t="str">
            <v>NA</v>
          </cell>
          <cell r="H67" t="str">
            <v>MH-SM-PUN-996</v>
          </cell>
          <cell r="I67" t="str">
            <v>_</v>
          </cell>
          <cell r="J67" t="str">
            <v>QL5D</v>
          </cell>
          <cell r="K67" t="str">
            <v>W</v>
          </cell>
          <cell r="L67" t="str">
            <v>BK</v>
          </cell>
          <cell r="M67" t="str">
            <v>15th August'24 Target</v>
          </cell>
          <cell r="N67" t="str">
            <v>Sh Shashi Pardesi</v>
          </cell>
          <cell r="O67" t="str">
            <v>Sh Shashi Pardesi</v>
          </cell>
          <cell r="P67" t="str">
            <v>Dnyaneshwar Patil</v>
          </cell>
          <cell r="Q67" t="str">
            <v>Arju Tiwari</v>
          </cell>
          <cell r="R67" t="str">
            <v>Kiran Patil</v>
          </cell>
          <cell r="S67" t="str">
            <v>Maharashtra</v>
          </cell>
          <cell r="T67" t="str">
            <v>Pune</v>
          </cell>
          <cell r="U67" t="str">
            <v>Premium</v>
          </cell>
          <cell r="V67" t="str">
            <v>Misc Formats</v>
          </cell>
          <cell r="W67">
            <v>1224</v>
          </cell>
          <cell r="X67" t="str">
            <v>Shop no.01A  , Montclair , Baner-Pashan Link road, Pune-411021</v>
          </cell>
          <cell r="Y67">
            <v>45478</v>
          </cell>
          <cell r="Z67" t="str">
            <v>Done</v>
          </cell>
          <cell r="AA67">
            <v>45461</v>
          </cell>
          <cell r="AB67">
            <v>45145</v>
          </cell>
          <cell r="AC67">
            <v>45150</v>
          </cell>
          <cell r="AD67">
            <v>45155</v>
          </cell>
          <cell r="AE67">
            <v>45155</v>
          </cell>
          <cell r="AF67" t="str">
            <v>SDR DONE</v>
          </cell>
          <cell r="AG67">
            <v>5</v>
          </cell>
          <cell r="AH67" t="str">
            <v>_</v>
          </cell>
          <cell r="AJ67">
            <v>3</v>
          </cell>
          <cell r="AK67">
            <v>45468</v>
          </cell>
          <cell r="AL67" t="str">
            <v>Received</v>
          </cell>
          <cell r="AM67">
            <v>308</v>
          </cell>
          <cell r="AN67" t="str">
            <v>Due to revise concept of cash counter front glass ML Revised on 25-06-2024</v>
          </cell>
          <cell r="AO67">
            <v>45471</v>
          </cell>
          <cell r="AR67">
            <v>45485</v>
          </cell>
          <cell r="AS67">
            <v>14</v>
          </cell>
          <cell r="AT67" t="str">
            <v>Received</v>
          </cell>
          <cell r="AU67">
            <v>45472</v>
          </cell>
          <cell r="AV67">
            <v>45287</v>
          </cell>
          <cell r="AW67">
            <v>1</v>
          </cell>
          <cell r="AX67">
            <v>45477</v>
          </cell>
          <cell r="AY67">
            <v>4</v>
          </cell>
          <cell r="AZ67" t="str">
            <v>Received</v>
          </cell>
          <cell r="BA67">
            <v>45473</v>
          </cell>
          <cell r="BD67">
            <v>45435</v>
          </cell>
          <cell r="BE67">
            <v>-38</v>
          </cell>
          <cell r="BF67" t="str">
            <v>Received</v>
          </cell>
          <cell r="BG67">
            <v>45473</v>
          </cell>
          <cell r="BH67">
            <v>45217</v>
          </cell>
          <cell r="BJ67">
            <v>45435</v>
          </cell>
          <cell r="BK67">
            <v>-38</v>
          </cell>
          <cell r="BL67" t="str">
            <v>Received</v>
          </cell>
          <cell r="BM67">
            <v>45471</v>
          </cell>
          <cell r="BN67" t="str">
            <v>25-09-2023
15-05-2024</v>
          </cell>
          <cell r="BO67" t="str">
            <v>Received</v>
          </cell>
          <cell r="BP67">
            <v>45471</v>
          </cell>
          <cell r="BQ67">
            <v>45435</v>
          </cell>
          <cell r="BR67" t="str">
            <v>Received</v>
          </cell>
          <cell r="BT67">
            <v>45214</v>
          </cell>
          <cell r="BU67" t="str">
            <v>Received</v>
          </cell>
          <cell r="BV67" t="str">
            <v>Done</v>
          </cell>
          <cell r="BW67" t="str">
            <v>08-11-2023</v>
          </cell>
          <cell r="BX67">
            <v>45272</v>
          </cell>
          <cell r="BY67" t="str">
            <v>Done</v>
          </cell>
          <cell r="CD67">
            <v>45478</v>
          </cell>
          <cell r="CE67">
            <v>45484</v>
          </cell>
          <cell r="CF67" t="str">
            <v xml:space="preserve">M/s Vertex Infra </v>
          </cell>
          <cell r="CG67" t="str">
            <v xml:space="preserve">M/s Leosara World </v>
          </cell>
          <cell r="CH67" t="str">
            <v xml:space="preserve">M/s A M Cooling </v>
          </cell>
          <cell r="CJ67">
            <v>45484</v>
          </cell>
          <cell r="CK67">
            <v>45484</v>
          </cell>
          <cell r="CL67">
            <v>45484</v>
          </cell>
          <cell r="CN67">
            <v>45493</v>
          </cell>
          <cell r="CO67">
            <v>45499</v>
          </cell>
          <cell r="CP67" t="str">
            <v/>
          </cell>
          <cell r="CQ67">
            <v>45498</v>
          </cell>
          <cell r="CR67">
            <v>45501</v>
          </cell>
          <cell r="DA67" t="str">
            <v>WO Done RA1 Pending</v>
          </cell>
          <cell r="DB67" t="str">
            <v>WO Done RA1 Pending</v>
          </cell>
          <cell r="DC67" t="str">
            <v>PR Done WO Pending</v>
          </cell>
          <cell r="DD67">
            <v>45477</v>
          </cell>
          <cell r="DE67">
            <v>75</v>
          </cell>
          <cell r="DF67">
            <v>45560</v>
          </cell>
          <cell r="DG67" t="str">
            <v>10. Launched</v>
          </cell>
          <cell r="DJ67" t="str">
            <v/>
          </cell>
          <cell r="DK67">
            <v>45485</v>
          </cell>
          <cell r="DL67">
            <v>45489</v>
          </cell>
          <cell r="DP67">
            <v>45488</v>
          </cell>
          <cell r="DQ67">
            <v>45489</v>
          </cell>
          <cell r="DR67">
            <v>35</v>
          </cell>
          <cell r="DS67">
            <v>45</v>
          </cell>
          <cell r="DU67">
            <v>45524</v>
          </cell>
          <cell r="DV67">
            <v>45534</v>
          </cell>
          <cell r="DW67">
            <v>45524</v>
          </cell>
          <cell r="DX67" t="str">
            <v>Aug 24 Week 3</v>
          </cell>
          <cell r="DY67">
            <v>45514</v>
          </cell>
          <cell r="DZ67">
            <v>45515</v>
          </cell>
          <cell r="EA67" t="str">
            <v>Aug 24 Week 2</v>
          </cell>
          <cell r="EB67" t="str">
            <v>Plan</v>
          </cell>
          <cell r="ED67" t="str">
            <v/>
          </cell>
          <cell r="EE67" t="str">
            <v/>
          </cell>
          <cell r="EF67">
            <v>1</v>
          </cell>
          <cell r="EG67">
            <v>1</v>
          </cell>
          <cell r="EJ67">
            <v>45496</v>
          </cell>
          <cell r="EM67">
            <v>45503</v>
          </cell>
          <cell r="EP67">
            <v>45510</v>
          </cell>
          <cell r="ES67">
            <v>45517</v>
          </cell>
          <cell r="EV67">
            <v>45524</v>
          </cell>
          <cell r="FC67" t="str">
            <v>On Time</v>
          </cell>
          <cell r="FD67">
            <v>-9</v>
          </cell>
          <cell r="FE67" t="str">
            <v>On Time</v>
          </cell>
          <cell r="FF67">
            <v>-8</v>
          </cell>
          <cell r="FG67" t="str">
            <v>On Time</v>
          </cell>
          <cell r="FH67" t="str">
            <v>Done</v>
          </cell>
          <cell r="FI67" t="str">
            <v>Done</v>
          </cell>
          <cell r="FJ67">
            <v>45533</v>
          </cell>
          <cell r="FK67">
            <v>45530</v>
          </cell>
          <cell r="FM67" t="str">
            <v/>
          </cell>
          <cell r="FZ67" t="str">
            <v>Electrical:- Conduiting &amp; Wiring -Done
 Cable tray installation - Done
Light Installation -Done
Earthing-WIP
Civil:- Aluminium Framing &amp; Ply Partition Work -Done
Tiling -WIP
BWS Hung Partition-Completed
Painting  - 1st coat Done
HVAC - AHU Hanged 
 CU Piping Done
Ducting Painting -Done
Strcture : LOFT Structure WIP
Valence Wall Structure - Completed
Plumbing -WIP
Fire : Material delivered (LL issue)
Pest Control Certificate received on 02-08-2024
R0 installation Callout received on 09-08-2024
SLP Final Callout - 09-08-2024
Inverter &amp; Stabilizer installation Callout -14-08-2024
Final IT Callout -19-08-2024</v>
          </cell>
          <cell r="GA67">
            <v>45502</v>
          </cell>
          <cell r="GB67">
            <v>45509</v>
          </cell>
          <cell r="GC67">
            <v>45512</v>
          </cell>
          <cell r="GD67">
            <v>45513</v>
          </cell>
          <cell r="GG67" t="str">
            <v>2024-2025</v>
          </cell>
        </row>
        <row r="68">
          <cell r="E68" t="str">
            <v>My Divine, Chembur</v>
          </cell>
          <cell r="F68" t="str">
            <v>14. Dropped</v>
          </cell>
          <cell r="G68" t="str">
            <v>NA</v>
          </cell>
          <cell r="H68" t="str">
            <v>_</v>
          </cell>
          <cell r="I68" t="str">
            <v>_</v>
          </cell>
          <cell r="K68" t="str">
            <v>W</v>
          </cell>
          <cell r="L68" t="str">
            <v>BK</v>
          </cell>
          <cell r="N68" t="str">
            <v>Sh Atul M Sawant</v>
          </cell>
          <cell r="O68" t="str">
            <v>Sh Atul M Sawant</v>
          </cell>
          <cell r="P68" t="str">
            <v/>
          </cell>
          <cell r="Q68" t="str">
            <v>Shahaji Gohatre</v>
          </cell>
          <cell r="R68" t="str">
            <v>Parth Sharma</v>
          </cell>
          <cell r="S68" t="str">
            <v>Maharashtra</v>
          </cell>
          <cell r="T68" t="str">
            <v>Mumbai</v>
          </cell>
          <cell r="U68" t="str">
            <v>Premium</v>
          </cell>
          <cell r="V68" t="str">
            <v>Misc Formats</v>
          </cell>
          <cell r="W68">
            <v>1219</v>
          </cell>
          <cell r="X68" t="str">
            <v>Shop no.02, My Divine, RC Marg, Opposite Bharat Petroleum, Chembur-400071.</v>
          </cell>
          <cell r="Z68" t="str">
            <v>_</v>
          </cell>
          <cell r="AB68">
            <v>45078</v>
          </cell>
          <cell r="AC68">
            <v>45081</v>
          </cell>
          <cell r="AD68">
            <v>45107</v>
          </cell>
          <cell r="AE68">
            <v>45107</v>
          </cell>
          <cell r="AF68" t="str">
            <v>SDR DONE</v>
          </cell>
          <cell r="AG68">
            <v>24</v>
          </cell>
          <cell r="AH68" t="str">
            <v>_</v>
          </cell>
          <cell r="AL68" t="str">
            <v>Received</v>
          </cell>
          <cell r="AM68">
            <v>1065</v>
          </cell>
          <cell r="BJ68" t="str">
            <v/>
          </cell>
          <cell r="BN68" t="str">
            <v/>
          </cell>
          <cell r="BW68" t="str">
            <v/>
          </cell>
          <cell r="CE68" t="str">
            <v/>
          </cell>
          <cell r="CF68" t="str">
            <v/>
          </cell>
          <cell r="CG68" t="str">
            <v/>
          </cell>
          <cell r="CH68" t="str">
            <v/>
          </cell>
          <cell r="CN68" t="str">
            <v/>
          </cell>
          <cell r="CO68" t="str">
            <v/>
          </cell>
          <cell r="CP68" t="str">
            <v/>
          </cell>
          <cell r="CR68" t="str">
            <v/>
          </cell>
          <cell r="DG68" t="str">
            <v>14. Dropped</v>
          </cell>
          <cell r="DJ68" t="str">
            <v/>
          </cell>
          <cell r="DP68" t="str">
            <v/>
          </cell>
          <cell r="DR68">
            <v>35</v>
          </cell>
          <cell r="DS68">
            <v>45</v>
          </cell>
          <cell r="DX68" t="str">
            <v/>
          </cell>
          <cell r="DY68" t="str">
            <v/>
          </cell>
          <cell r="EA68" t="str">
            <v/>
          </cell>
          <cell r="ED68" t="str">
            <v/>
          </cell>
          <cell r="EE68" t="str">
            <v/>
          </cell>
          <cell r="FM68" t="str">
            <v/>
          </cell>
          <cell r="GG68" t="str">
            <v>2024-2025</v>
          </cell>
        </row>
        <row r="69">
          <cell r="E69" t="str">
            <v>Nirman Altius</v>
          </cell>
          <cell r="F69" t="str">
            <v>10. Launched</v>
          </cell>
          <cell r="G69" t="str">
            <v>NA</v>
          </cell>
          <cell r="H69" t="str">
            <v>MH-SM-PUN-997</v>
          </cell>
          <cell r="I69" t="str">
            <v>_</v>
          </cell>
          <cell r="J69" t="str">
            <v>QK4K</v>
          </cell>
          <cell r="K69" t="str">
            <v>W</v>
          </cell>
          <cell r="L69" t="str">
            <v>BK</v>
          </cell>
          <cell r="M69" t="str">
            <v>15th August'24 Target</v>
          </cell>
          <cell r="N69" t="str">
            <v>Sh Shashi Pardesi</v>
          </cell>
          <cell r="O69" t="str">
            <v>Sh Shashi Pardesi</v>
          </cell>
          <cell r="P69" t="str">
            <v xml:space="preserve">Sh. Akshay Kshirsagar </v>
          </cell>
          <cell r="Q69" t="str">
            <v>Arju Tiwari</v>
          </cell>
          <cell r="R69" t="str">
            <v>Kiran Patil</v>
          </cell>
          <cell r="S69" t="str">
            <v>Maharashtra</v>
          </cell>
          <cell r="T69" t="str">
            <v>Pune</v>
          </cell>
          <cell r="U69" t="str">
            <v>Premium</v>
          </cell>
          <cell r="V69" t="str">
            <v>Misc Formats</v>
          </cell>
          <cell r="W69">
            <v>1315</v>
          </cell>
          <cell r="X69" t="str">
            <v>Shop No:02, A wing , Nirman Altius ,Kharadi , Pune -411 014.</v>
          </cell>
          <cell r="Z69" t="str">
            <v>Done</v>
          </cell>
          <cell r="AB69">
            <v>45120</v>
          </cell>
          <cell r="AC69">
            <v>45132</v>
          </cell>
          <cell r="AD69">
            <v>45137</v>
          </cell>
          <cell r="AE69">
            <v>45138</v>
          </cell>
          <cell r="AF69" t="str">
            <v>SDR DONE</v>
          </cell>
          <cell r="AG69">
            <v>12</v>
          </cell>
          <cell r="AH69" t="str">
            <v>_</v>
          </cell>
          <cell r="AJ69">
            <v>1</v>
          </cell>
          <cell r="AK69">
            <v>45468</v>
          </cell>
          <cell r="AL69" t="str">
            <v>Received</v>
          </cell>
          <cell r="AM69">
            <v>326</v>
          </cell>
          <cell r="AN69" t="str">
            <v>Due to revise concept of cash counter front glass ML Revised on 25-06-2024</v>
          </cell>
          <cell r="AO69">
            <v>45471</v>
          </cell>
          <cell r="AP69">
            <v>45211</v>
          </cell>
          <cell r="AQ69">
            <v>0</v>
          </cell>
          <cell r="AR69">
            <v>45406</v>
          </cell>
          <cell r="AS69">
            <v>-65</v>
          </cell>
          <cell r="AT69" t="str">
            <v>Received</v>
          </cell>
          <cell r="AU69">
            <v>45472</v>
          </cell>
          <cell r="AV69">
            <v>45215</v>
          </cell>
          <cell r="AW69">
            <v>0</v>
          </cell>
          <cell r="AX69">
            <v>45215</v>
          </cell>
          <cell r="AY69">
            <v>-257</v>
          </cell>
          <cell r="AZ69" t="str">
            <v>Received</v>
          </cell>
          <cell r="BA69">
            <v>45473</v>
          </cell>
          <cell r="BB69">
            <v>45212</v>
          </cell>
          <cell r="BD69">
            <v>45212</v>
          </cell>
          <cell r="BE69">
            <v>-261</v>
          </cell>
          <cell r="BF69" t="str">
            <v>Received</v>
          </cell>
          <cell r="BG69">
            <v>45473</v>
          </cell>
          <cell r="BI69">
            <v>4</v>
          </cell>
          <cell r="BJ69">
            <v>45450</v>
          </cell>
          <cell r="BK69">
            <v>-23</v>
          </cell>
          <cell r="BL69" t="str">
            <v>Received</v>
          </cell>
          <cell r="BM69">
            <v>45471</v>
          </cell>
          <cell r="BN69" t="str">
            <v>R0 - 14-09-2023
R1 - 18-04-2024
R2 - 08-05-2024
R3-05-06-2024</v>
          </cell>
          <cell r="BO69" t="str">
            <v>Received</v>
          </cell>
          <cell r="BP69">
            <v>45471</v>
          </cell>
          <cell r="BQ69">
            <v>45401</v>
          </cell>
          <cell r="BR69" t="str">
            <v>Received</v>
          </cell>
          <cell r="BU69" t="str">
            <v>Received</v>
          </cell>
          <cell r="BV69" t="str">
            <v>Done</v>
          </cell>
          <cell r="BW69" t="str">
            <v>Done</v>
          </cell>
          <cell r="BX69">
            <v>45275</v>
          </cell>
          <cell r="BY69" t="str">
            <v>Done</v>
          </cell>
          <cell r="CD69" t="str">
            <v>Done</v>
          </cell>
          <cell r="CE69">
            <v>45435</v>
          </cell>
          <cell r="CF69" t="str">
            <v>Raptor Infra</v>
          </cell>
          <cell r="CG69" t="str">
            <v>Dynamic Electricals</v>
          </cell>
          <cell r="CH69" t="str">
            <v xml:space="preserve">AM cooling </v>
          </cell>
          <cell r="CJ69">
            <v>45435</v>
          </cell>
          <cell r="CK69">
            <v>45435</v>
          </cell>
          <cell r="CL69">
            <v>45435</v>
          </cell>
          <cell r="CN69">
            <v>45460</v>
          </cell>
          <cell r="CO69">
            <v>45458</v>
          </cell>
          <cell r="CP69">
            <v>45453</v>
          </cell>
          <cell r="CQ69">
            <v>45461</v>
          </cell>
          <cell r="CR69" t="str">
            <v/>
          </cell>
          <cell r="CS69">
            <v>45460</v>
          </cell>
          <cell r="CT69">
            <v>45467</v>
          </cell>
          <cell r="CU69">
            <v>45463</v>
          </cell>
          <cell r="CV69">
            <v>45460</v>
          </cell>
          <cell r="DA69" t="str">
            <v>WO Done RA1 Pending</v>
          </cell>
          <cell r="DB69" t="str">
            <v>WO Done RA1 Pending</v>
          </cell>
          <cell r="DC69" t="str">
            <v>WO Done RA1 Pending</v>
          </cell>
          <cell r="DD69">
            <v>45433</v>
          </cell>
          <cell r="DE69">
            <v>60</v>
          </cell>
          <cell r="DF69">
            <v>45496</v>
          </cell>
          <cell r="DG69" t="str">
            <v>10. Launched</v>
          </cell>
          <cell r="DJ69" t="str">
            <v/>
          </cell>
          <cell r="DK69">
            <v>45436</v>
          </cell>
          <cell r="DN69" t="str">
            <v xml:space="preserve">1. LOA issues Mobilizatio pending
2. Site specific drawings WIP </v>
          </cell>
          <cell r="DP69">
            <v>45438</v>
          </cell>
          <cell r="DQ69">
            <v>45439</v>
          </cell>
          <cell r="DR69">
            <v>35</v>
          </cell>
          <cell r="DS69">
            <v>45</v>
          </cell>
          <cell r="DU69">
            <v>45474</v>
          </cell>
          <cell r="DV69">
            <v>45484</v>
          </cell>
          <cell r="DW69">
            <v>45474</v>
          </cell>
          <cell r="DX69" t="str">
            <v>July 24 Week 1</v>
          </cell>
          <cell r="DY69">
            <v>45482</v>
          </cell>
          <cell r="DZ69">
            <v>45485</v>
          </cell>
          <cell r="EA69" t="str">
            <v>July 24 Week 2</v>
          </cell>
          <cell r="EB69" t="str">
            <v>Backlog</v>
          </cell>
          <cell r="ED69" t="str">
            <v/>
          </cell>
          <cell r="EE69" t="str">
            <v/>
          </cell>
          <cell r="EF69">
            <v>1</v>
          </cell>
          <cell r="EG69">
            <v>1</v>
          </cell>
          <cell r="EH69" t="str">
            <v xml:space="preserve">ML Revised on 05-06-2024
Valence wall drawing and shop front structure reqd-25-06-2024
</v>
          </cell>
          <cell r="EI69" t="str">
            <v>Permanent Power available - 05-07-2024
LL to be provided cable for permanent power by 11-07-2024</v>
          </cell>
          <cell r="EJ69">
            <v>45446</v>
          </cell>
          <cell r="EM69">
            <v>45453</v>
          </cell>
          <cell r="EP69">
            <v>45460</v>
          </cell>
          <cell r="ES69">
            <v>45467</v>
          </cell>
          <cell r="EV69">
            <v>45474</v>
          </cell>
          <cell r="FD69">
            <v>11</v>
          </cell>
          <cell r="FE69" t="str">
            <v>8 to 15 Days</v>
          </cell>
          <cell r="FF69">
            <v>12</v>
          </cell>
          <cell r="FG69" t="str">
            <v>8 to 15 Days</v>
          </cell>
          <cell r="FH69" t="str">
            <v>Done</v>
          </cell>
          <cell r="FI69" t="str">
            <v>Done</v>
          </cell>
          <cell r="FJ69">
            <v>45493</v>
          </cell>
          <cell r="FK69">
            <v>45490</v>
          </cell>
          <cell r="FM69" t="str">
            <v/>
          </cell>
          <cell r="FZ69" t="str">
            <v>Video Call Done on 10-06-2024/24-06-2024
Permanent Power awaited
Facade signage decision received from Business on 28-06-2024
Revised ML Received on 05-06-2024
Civil :- Partition Work -WIP -80% Done
            Painting -WIP
Ceiling Painting -Done
Struture : MS Structure for valence wall done
Electrical :- Conduiting/Wiring -Done
                    Light Installation -WIP
                   Earthing - 30% Completed
HVAC:Cu Piping -Done
             Ducting -Done
            IDU &amp; ODU Installation Done
PLB - WIP
Light Installation- WIP
FIM :- Kit 1 -Delivered
Change Note Scope shared to business on 18-06-2024
Callouts:Ro Installation callout received on 20-06-2024
                  Kitchen SS EQP Dispatch callout received on 25-06-2024
Kitchen Eqp Dispatch Callout-03-07-2024
SLP installation Callout received on 04-07-2024
Stabilizer installation &amp; commissioning callout-06-07-2024
Inverter  installation &amp; commissioning callout -08-07-2024</v>
          </cell>
          <cell r="GA69">
            <v>45457</v>
          </cell>
          <cell r="GB69">
            <v>45476</v>
          </cell>
          <cell r="GC69">
            <v>45479</v>
          </cell>
          <cell r="GD69">
            <v>45476</v>
          </cell>
          <cell r="GF69" t="str">
            <v>7-ElW46</v>
          </cell>
          <cell r="GG69" t="str">
            <v>2024-2025</v>
          </cell>
        </row>
        <row r="70">
          <cell r="E70" t="str">
            <v>Nirmann CHS</v>
          </cell>
          <cell r="F70" t="str">
            <v>10. Launched</v>
          </cell>
          <cell r="G70" t="str">
            <v>NA</v>
          </cell>
          <cell r="H70" t="str">
            <v>_</v>
          </cell>
          <cell r="I70" t="str">
            <v>_</v>
          </cell>
          <cell r="J70" t="str">
            <v>QPZZ</v>
          </cell>
          <cell r="K70" t="str">
            <v>W</v>
          </cell>
          <cell r="L70" t="str">
            <v>BK</v>
          </cell>
          <cell r="N70" t="str">
            <v>Sh Sanjiv Johari</v>
          </cell>
          <cell r="O70" t="str">
            <v>Sh. Atul M Sawant</v>
          </cell>
          <cell r="P70" t="str">
            <v/>
          </cell>
          <cell r="Q70" t="str">
            <v>Shahaji Gohatre</v>
          </cell>
          <cell r="R70" t="str">
            <v>Parth Sharma</v>
          </cell>
          <cell r="S70" t="str">
            <v>Maharashtra</v>
          </cell>
          <cell r="T70" t="str">
            <v>Mumbai</v>
          </cell>
          <cell r="U70" t="str">
            <v>Premium</v>
          </cell>
          <cell r="V70" t="str">
            <v>Misc Formats</v>
          </cell>
          <cell r="W70">
            <v>591</v>
          </cell>
          <cell r="X70" t="str">
            <v>Shop No. 1&amp;2, Nirmal CHS, S.V Road, Malad West.400064</v>
          </cell>
          <cell r="Z70" t="str">
            <v>Done</v>
          </cell>
          <cell r="AB70">
            <v>44795</v>
          </cell>
          <cell r="AC70">
            <v>44798</v>
          </cell>
          <cell r="AD70">
            <v>44805</v>
          </cell>
          <cell r="AE70">
            <v>44805</v>
          </cell>
          <cell r="AF70" t="str">
            <v>SDR DONE</v>
          </cell>
          <cell r="AG70">
            <v>5</v>
          </cell>
          <cell r="AH70" t="str">
            <v>_</v>
          </cell>
          <cell r="AJ70">
            <v>4</v>
          </cell>
          <cell r="AK70">
            <v>45187</v>
          </cell>
          <cell r="AL70" t="str">
            <v>Received</v>
          </cell>
          <cell r="AM70">
            <v>377</v>
          </cell>
          <cell r="AO70">
            <v>45190</v>
          </cell>
          <cell r="AP70">
            <v>45035</v>
          </cell>
          <cell r="AQ70">
            <v>0</v>
          </cell>
          <cell r="AR70">
            <v>45035</v>
          </cell>
          <cell r="AS70">
            <v>-155</v>
          </cell>
          <cell r="AT70" t="str">
            <v>Received</v>
          </cell>
          <cell r="AU70">
            <v>45191</v>
          </cell>
          <cell r="AV70">
            <v>45075</v>
          </cell>
          <cell r="AW70">
            <v>0</v>
          </cell>
          <cell r="AX70">
            <v>45075</v>
          </cell>
          <cell r="AY70">
            <v>-116</v>
          </cell>
          <cell r="AZ70" t="str">
            <v>Received</v>
          </cell>
          <cell r="BA70">
            <v>45192</v>
          </cell>
          <cell r="BB70">
            <v>45064</v>
          </cell>
          <cell r="BD70">
            <v>45076</v>
          </cell>
          <cell r="BE70">
            <v>-116</v>
          </cell>
          <cell r="BF70" t="str">
            <v>Received</v>
          </cell>
          <cell r="BG70">
            <v>45192</v>
          </cell>
          <cell r="BJ70">
            <v>45069</v>
          </cell>
          <cell r="BK70">
            <v>-123</v>
          </cell>
          <cell r="BL70" t="str">
            <v>Received</v>
          </cell>
          <cell r="BM70">
            <v>45190</v>
          </cell>
          <cell r="BN70">
            <v>45191</v>
          </cell>
          <cell r="BO70" t="str">
            <v>Received</v>
          </cell>
          <cell r="BP70">
            <v>45190</v>
          </cell>
          <cell r="BQ70">
            <v>45022</v>
          </cell>
          <cell r="BR70" t="str">
            <v>Received</v>
          </cell>
          <cell r="BU70" t="str">
            <v>Received</v>
          </cell>
          <cell r="BV70" t="str">
            <v>Done</v>
          </cell>
          <cell r="BW70" t="str">
            <v>Done</v>
          </cell>
          <cell r="BY70" t="str">
            <v>Done</v>
          </cell>
          <cell r="CD70" t="str">
            <v>Done</v>
          </cell>
          <cell r="CE70">
            <v>45131</v>
          </cell>
          <cell r="CF70" t="str">
            <v>Beekay Arts</v>
          </cell>
          <cell r="CG70" t="str">
            <v>Beekay Arts</v>
          </cell>
          <cell r="CH70" t="str">
            <v/>
          </cell>
          <cell r="CJ70">
            <v>45131</v>
          </cell>
          <cell r="CK70">
            <v>45131</v>
          </cell>
          <cell r="CL70">
            <v>45131</v>
          </cell>
          <cell r="CN70">
            <v>45195</v>
          </cell>
          <cell r="CO70" t="str">
            <v/>
          </cell>
          <cell r="CP70" t="str">
            <v/>
          </cell>
          <cell r="CQ70">
            <v>45204</v>
          </cell>
          <cell r="CR70" t="str">
            <v/>
          </cell>
          <cell r="DD70">
            <v>45077</v>
          </cell>
          <cell r="DE70">
            <v>75</v>
          </cell>
          <cell r="DF70">
            <v>45203</v>
          </cell>
          <cell r="DG70" t="str">
            <v>10. Launched</v>
          </cell>
          <cell r="DJ70" t="str">
            <v/>
          </cell>
          <cell r="DK70">
            <v>45128</v>
          </cell>
          <cell r="DP70">
            <v>45130</v>
          </cell>
          <cell r="DQ70">
            <v>45161</v>
          </cell>
          <cell r="DR70">
            <v>35</v>
          </cell>
          <cell r="DS70">
            <v>45</v>
          </cell>
          <cell r="DU70">
            <v>45196</v>
          </cell>
          <cell r="DV70">
            <v>45206</v>
          </cell>
          <cell r="DW70">
            <v>45196</v>
          </cell>
          <cell r="DX70" t="str">
            <v>Sep 23 Week 4</v>
          </cell>
          <cell r="DY70" t="str">
            <v/>
          </cell>
          <cell r="DZ70">
            <v>45201</v>
          </cell>
          <cell r="EA70" t="str">
            <v>Oct 23 Week 1</v>
          </cell>
          <cell r="ED70" t="str">
            <v/>
          </cell>
          <cell r="EE70" t="str">
            <v/>
          </cell>
          <cell r="EF70">
            <v>1</v>
          </cell>
          <cell r="EG70">
            <v>1</v>
          </cell>
          <cell r="EJ70">
            <v>45168</v>
          </cell>
          <cell r="EM70">
            <v>45175</v>
          </cell>
          <cell r="EP70">
            <v>45182</v>
          </cell>
          <cell r="ES70">
            <v>45189</v>
          </cell>
          <cell r="EV70">
            <v>45196</v>
          </cell>
          <cell r="FD70">
            <v>5</v>
          </cell>
          <cell r="FE70" t="str">
            <v>4 to 7 Days</v>
          </cell>
          <cell r="FF70">
            <v>36</v>
          </cell>
          <cell r="FG70" t="str">
            <v>31 to 61 Days</v>
          </cell>
          <cell r="FH70" t="str">
            <v>Done</v>
          </cell>
          <cell r="FI70" t="str">
            <v>Done</v>
          </cell>
          <cell r="FJ70" t="str">
            <v>Done</v>
          </cell>
          <cell r="FM70" t="str">
            <v/>
          </cell>
          <cell r="GG70" t="str">
            <v>2023-2024</v>
          </cell>
        </row>
        <row r="71">
          <cell r="E71" t="str">
            <v>Phulora, Powai</v>
          </cell>
          <cell r="F71" t="str">
            <v>10. Launched</v>
          </cell>
          <cell r="G71" t="str">
            <v>NA</v>
          </cell>
          <cell r="H71" t="str">
            <v>_</v>
          </cell>
          <cell r="I71" t="str">
            <v>_</v>
          </cell>
          <cell r="J71" t="str">
            <v>QS1V</v>
          </cell>
          <cell r="K71" t="str">
            <v>W</v>
          </cell>
          <cell r="L71" t="str">
            <v>BK</v>
          </cell>
          <cell r="N71" t="str">
            <v>Sh Nitin Dawange</v>
          </cell>
          <cell r="O71" t="str">
            <v>Sh Atul M Sawant</v>
          </cell>
          <cell r="P71" t="str">
            <v>Sh. Sagar Sahani</v>
          </cell>
          <cell r="Q71" t="str">
            <v>Shahaji Gohatre</v>
          </cell>
          <cell r="R71" t="str">
            <v>Parth Sharma</v>
          </cell>
          <cell r="S71" t="str">
            <v>Maharashtra</v>
          </cell>
          <cell r="T71" t="str">
            <v>Mumbai</v>
          </cell>
          <cell r="U71" t="str">
            <v>Premium</v>
          </cell>
          <cell r="V71" t="str">
            <v>Misc Formats</v>
          </cell>
          <cell r="W71">
            <v>602</v>
          </cell>
          <cell r="X71" t="str">
            <v>Shop no. 3 &amp; 4, Phulora, Co. op. hsg Society, aadi Shankaracharya Road, Opp Powai IIT, Powai, Mumbai - 400076.</v>
          </cell>
          <cell r="Z71" t="str">
            <v>Done</v>
          </cell>
          <cell r="AB71">
            <v>44982</v>
          </cell>
          <cell r="AC71">
            <v>44994</v>
          </cell>
          <cell r="AD71">
            <v>44997</v>
          </cell>
          <cell r="AE71">
            <v>44997</v>
          </cell>
          <cell r="AF71" t="str">
            <v>SDR DONE</v>
          </cell>
          <cell r="AG71">
            <v>10</v>
          </cell>
          <cell r="AH71" t="str">
            <v>_</v>
          </cell>
          <cell r="AJ71">
            <v>2</v>
          </cell>
          <cell r="AK71">
            <v>45104</v>
          </cell>
          <cell r="AL71" t="str">
            <v>Received</v>
          </cell>
          <cell r="AM71">
            <v>102</v>
          </cell>
          <cell r="AO71">
            <v>45107</v>
          </cell>
          <cell r="AP71">
            <v>45016</v>
          </cell>
          <cell r="AQ71">
            <v>0</v>
          </cell>
          <cell r="AR71">
            <v>45016</v>
          </cell>
          <cell r="AS71">
            <v>-91</v>
          </cell>
          <cell r="AT71" t="str">
            <v>Received</v>
          </cell>
          <cell r="AU71">
            <v>45108</v>
          </cell>
          <cell r="AV71">
            <v>45021</v>
          </cell>
          <cell r="AW71">
            <v>0</v>
          </cell>
          <cell r="AX71">
            <v>45021</v>
          </cell>
          <cell r="AY71">
            <v>-87</v>
          </cell>
          <cell r="AZ71" t="str">
            <v>Received</v>
          </cell>
          <cell r="BA71">
            <v>45109</v>
          </cell>
          <cell r="BB71">
            <v>45033</v>
          </cell>
          <cell r="BD71">
            <v>45036</v>
          </cell>
          <cell r="BE71">
            <v>-73</v>
          </cell>
          <cell r="BF71" t="str">
            <v>Received</v>
          </cell>
          <cell r="BG71">
            <v>45109</v>
          </cell>
          <cell r="BH71">
            <v>45033</v>
          </cell>
          <cell r="BJ71">
            <v>45049</v>
          </cell>
          <cell r="BK71">
            <v>-60</v>
          </cell>
          <cell r="BL71" t="str">
            <v>Received</v>
          </cell>
          <cell r="BM71">
            <v>45107</v>
          </cell>
          <cell r="BN71">
            <v>45006</v>
          </cell>
          <cell r="BO71" t="str">
            <v>Received</v>
          </cell>
          <cell r="BP71">
            <v>45107</v>
          </cell>
          <cell r="BQ71">
            <v>45058</v>
          </cell>
          <cell r="BR71" t="str">
            <v>Received</v>
          </cell>
          <cell r="BT71">
            <v>45005</v>
          </cell>
          <cell r="BU71" t="str">
            <v>Received</v>
          </cell>
          <cell r="BV71" t="str">
            <v>Done</v>
          </cell>
          <cell r="BW71" t="str">
            <v>Done</v>
          </cell>
          <cell r="BY71" t="str">
            <v>Done</v>
          </cell>
          <cell r="CD71" t="str">
            <v>Done</v>
          </cell>
          <cell r="CE71">
            <v>45051</v>
          </cell>
          <cell r="CF71" t="str">
            <v>Exemplar</v>
          </cell>
          <cell r="CG71" t="str">
            <v>Exemplar</v>
          </cell>
          <cell r="CH71" t="str">
            <v>Air Magnate</v>
          </cell>
          <cell r="CJ71">
            <v>45051</v>
          </cell>
          <cell r="CK71">
            <v>45051</v>
          </cell>
          <cell r="CL71">
            <v>45068</v>
          </cell>
          <cell r="CN71">
            <v>45075</v>
          </cell>
          <cell r="CO71">
            <v>45078</v>
          </cell>
          <cell r="CP71">
            <v>45076</v>
          </cell>
          <cell r="CQ71">
            <v>45086</v>
          </cell>
          <cell r="CR71">
            <v>45085</v>
          </cell>
          <cell r="CS71">
            <v>45085</v>
          </cell>
          <cell r="DD71">
            <v>45051</v>
          </cell>
          <cell r="DE71">
            <v>90</v>
          </cell>
          <cell r="DF71">
            <v>45144</v>
          </cell>
          <cell r="DG71" t="str">
            <v>10. Launched</v>
          </cell>
          <cell r="DJ71" t="str">
            <v/>
          </cell>
          <cell r="DK71">
            <v>45054</v>
          </cell>
          <cell r="DP71">
            <v>45056</v>
          </cell>
          <cell r="DQ71">
            <v>45072</v>
          </cell>
          <cell r="DR71">
            <v>35</v>
          </cell>
          <cell r="DS71">
            <v>45</v>
          </cell>
          <cell r="DU71">
            <v>45107</v>
          </cell>
          <cell r="DV71">
            <v>45117</v>
          </cell>
          <cell r="DW71">
            <v>45107</v>
          </cell>
          <cell r="DX71" t="str">
            <v>June 23 Week 5</v>
          </cell>
          <cell r="DY71" t="str">
            <v/>
          </cell>
          <cell r="DZ71">
            <v>45138</v>
          </cell>
          <cell r="EA71" t="str">
            <v>July 23 Week 5</v>
          </cell>
          <cell r="ED71" t="str">
            <v/>
          </cell>
          <cell r="EE71" t="str">
            <v/>
          </cell>
          <cell r="EF71">
            <v>1</v>
          </cell>
          <cell r="EG71">
            <v>1</v>
          </cell>
          <cell r="EJ71">
            <v>45079</v>
          </cell>
          <cell r="EM71">
            <v>45086</v>
          </cell>
          <cell r="EP71">
            <v>45093</v>
          </cell>
          <cell r="ES71">
            <v>45100</v>
          </cell>
          <cell r="EV71">
            <v>45107</v>
          </cell>
          <cell r="FD71">
            <v>31</v>
          </cell>
          <cell r="FE71" t="str">
            <v>16 to 31 Days</v>
          </cell>
          <cell r="FF71">
            <v>47</v>
          </cell>
          <cell r="FG71" t="str">
            <v>31 to 61 Days</v>
          </cell>
          <cell r="FH71" t="str">
            <v>Done</v>
          </cell>
          <cell r="FI71" t="str">
            <v>Done</v>
          </cell>
          <cell r="FJ71" t="str">
            <v>Done</v>
          </cell>
          <cell r="FM71" t="str">
            <v/>
          </cell>
          <cell r="GG71" t="str">
            <v>2023-2024</v>
          </cell>
        </row>
        <row r="72">
          <cell r="E72" t="str">
            <v>Pimple Saudagar</v>
          </cell>
          <cell r="F72" t="str">
            <v>14. Dropped</v>
          </cell>
          <cell r="G72" t="str">
            <v>NA</v>
          </cell>
          <cell r="H72" t="str">
            <v>_</v>
          </cell>
          <cell r="I72" t="str">
            <v>_</v>
          </cell>
          <cell r="K72" t="str">
            <v>W</v>
          </cell>
          <cell r="L72" t="str">
            <v>BK</v>
          </cell>
          <cell r="N72" t="str">
            <v>Sh Shashi Pardesi</v>
          </cell>
          <cell r="O72" t="str">
            <v>Sh Shashi Pardesi</v>
          </cell>
          <cell r="P72" t="str">
            <v/>
          </cell>
          <cell r="Q72" t="str">
            <v>Shahaji Gohatre</v>
          </cell>
          <cell r="R72" t="str">
            <v>Parth Sharma</v>
          </cell>
          <cell r="S72" t="str">
            <v>Maharashtra</v>
          </cell>
          <cell r="T72" t="str">
            <v>Pune</v>
          </cell>
          <cell r="U72" t="str">
            <v>Premium</v>
          </cell>
          <cell r="V72" t="str">
            <v>Misc Formats</v>
          </cell>
          <cell r="W72">
            <v>1268</v>
          </cell>
          <cell r="X72" t="str">
            <v>Shop No.23, Javari co-op HSg. So., Javari Road,Opp PK International School, Pimple sudagar Pune. 411 027.</v>
          </cell>
          <cell r="Z72" t="str">
            <v>_</v>
          </cell>
          <cell r="AB72">
            <v>45033</v>
          </cell>
          <cell r="AC72">
            <v>45042</v>
          </cell>
          <cell r="AD72">
            <v>45045</v>
          </cell>
          <cell r="AE72">
            <v>45045</v>
          </cell>
          <cell r="AF72" t="str">
            <v>SDR DONE</v>
          </cell>
          <cell r="AG72">
            <v>7</v>
          </cell>
          <cell r="AH72" t="str">
            <v>_</v>
          </cell>
          <cell r="AJ72">
            <v>2</v>
          </cell>
          <cell r="AK72">
            <v>45128</v>
          </cell>
          <cell r="AL72" t="str">
            <v>Received</v>
          </cell>
          <cell r="AM72">
            <v>78</v>
          </cell>
          <cell r="AO72">
            <v>45131</v>
          </cell>
          <cell r="AP72">
            <v>45084</v>
          </cell>
          <cell r="AR72">
            <v>45097</v>
          </cell>
          <cell r="AS72">
            <v>-34</v>
          </cell>
          <cell r="AU72">
            <v>45132</v>
          </cell>
          <cell r="AV72">
            <v>45086</v>
          </cell>
          <cell r="BA72">
            <v>45133</v>
          </cell>
          <cell r="BB72">
            <v>45104</v>
          </cell>
          <cell r="BD72">
            <v>45121</v>
          </cell>
          <cell r="BE72">
            <v>-12</v>
          </cell>
          <cell r="BG72">
            <v>45133</v>
          </cell>
          <cell r="BH72">
            <v>45131</v>
          </cell>
          <cell r="BJ72">
            <v>45131</v>
          </cell>
          <cell r="BK72">
            <v>-2</v>
          </cell>
          <cell r="BM72">
            <v>45131</v>
          </cell>
          <cell r="BN72" t="str">
            <v>R0 - 07-06-2023
R1 - 24-07-2023</v>
          </cell>
          <cell r="BP72">
            <v>45131</v>
          </cell>
          <cell r="BQ72">
            <v>45093</v>
          </cell>
          <cell r="BR72" t="str">
            <v>Received</v>
          </cell>
          <cell r="BT72">
            <v>45092</v>
          </cell>
          <cell r="BW72" t="str">
            <v/>
          </cell>
          <cell r="CE72" t="str">
            <v/>
          </cell>
          <cell r="CF72" t="str">
            <v/>
          </cell>
          <cell r="CG72" t="str">
            <v/>
          </cell>
          <cell r="CH72" t="str">
            <v/>
          </cell>
          <cell r="CN72" t="str">
            <v/>
          </cell>
          <cell r="CO72" t="str">
            <v/>
          </cell>
          <cell r="CP72" t="str">
            <v/>
          </cell>
          <cell r="CR72" t="str">
            <v/>
          </cell>
          <cell r="DG72" t="str">
            <v>14. Dropped</v>
          </cell>
          <cell r="DJ72" t="str">
            <v/>
          </cell>
          <cell r="DP72" t="str">
            <v/>
          </cell>
          <cell r="DR72">
            <v>35</v>
          </cell>
          <cell r="DS72">
            <v>45</v>
          </cell>
          <cell r="DX72" t="str">
            <v/>
          </cell>
          <cell r="DY72" t="str">
            <v/>
          </cell>
          <cell r="EA72" t="str">
            <v/>
          </cell>
          <cell r="ED72" t="str">
            <v/>
          </cell>
          <cell r="EE72" t="str">
            <v/>
          </cell>
          <cell r="FM72" t="str">
            <v/>
          </cell>
          <cell r="GG72" t="str">
            <v>2024-2025</v>
          </cell>
        </row>
        <row r="73">
          <cell r="E73" t="str">
            <v>Pinnacle Buisness Park, Andheri</v>
          </cell>
          <cell r="F73" t="str">
            <v>10. Launched</v>
          </cell>
          <cell r="G73" t="str">
            <v>NA</v>
          </cell>
          <cell r="H73" t="str">
            <v>MU-SM-GMU-606</v>
          </cell>
          <cell r="I73" t="str">
            <v>_</v>
          </cell>
          <cell r="J73" t="str">
            <v>QGJV</v>
          </cell>
          <cell r="K73" t="str">
            <v>W</v>
          </cell>
          <cell r="L73" t="str">
            <v>BK</v>
          </cell>
          <cell r="N73" t="str">
            <v>Sh Sanjiv Johari</v>
          </cell>
          <cell r="O73" t="str">
            <v>Sh. Atul M Sawant</v>
          </cell>
          <cell r="P73" t="str">
            <v>Sh. Sagar Sahani</v>
          </cell>
          <cell r="Q73" t="str">
            <v>Shahaji Gohatre</v>
          </cell>
          <cell r="R73" t="str">
            <v>Parth Sharma</v>
          </cell>
          <cell r="S73" t="str">
            <v>Maharashtra</v>
          </cell>
          <cell r="T73" t="str">
            <v>Mumbai</v>
          </cell>
          <cell r="U73" t="str">
            <v>Premium</v>
          </cell>
          <cell r="V73" t="str">
            <v>Misc Formats</v>
          </cell>
          <cell r="W73">
            <v>1075</v>
          </cell>
          <cell r="X73" t="str">
            <v>Pinnacle Business Park, Mahakali Caves Road, Andheri East.</v>
          </cell>
          <cell r="Z73" t="str">
            <v>Done</v>
          </cell>
          <cell r="AB73">
            <v>44655</v>
          </cell>
          <cell r="AC73">
            <v>44658</v>
          </cell>
          <cell r="AD73">
            <v>44661</v>
          </cell>
          <cell r="AE73">
            <v>44661</v>
          </cell>
          <cell r="AF73" t="str">
            <v>SDR DONE</v>
          </cell>
          <cell r="AG73">
            <v>1</v>
          </cell>
          <cell r="AH73" t="str">
            <v>_</v>
          </cell>
          <cell r="AJ73">
            <v>2</v>
          </cell>
          <cell r="AK73">
            <v>44820</v>
          </cell>
          <cell r="AL73" t="str">
            <v>Received</v>
          </cell>
          <cell r="AM73">
            <v>154</v>
          </cell>
          <cell r="AO73">
            <v>44823</v>
          </cell>
          <cell r="AP73">
            <v>44789</v>
          </cell>
          <cell r="AR73">
            <v>44830</v>
          </cell>
          <cell r="AS73">
            <v>7</v>
          </cell>
          <cell r="AT73" t="str">
            <v>Received</v>
          </cell>
          <cell r="AU73">
            <v>44824</v>
          </cell>
          <cell r="AV73" t="str">
            <v>NA</v>
          </cell>
          <cell r="AW73" t="str">
            <v>NA</v>
          </cell>
          <cell r="AX73" t="str">
            <v>NA</v>
          </cell>
          <cell r="AZ73" t="str">
            <v>Received</v>
          </cell>
          <cell r="BA73">
            <v>44825</v>
          </cell>
          <cell r="BB73">
            <v>44797</v>
          </cell>
          <cell r="BD73">
            <v>44833</v>
          </cell>
          <cell r="BE73">
            <v>7</v>
          </cell>
          <cell r="BF73" t="str">
            <v>Received</v>
          </cell>
          <cell r="BG73">
            <v>44825</v>
          </cell>
          <cell r="BH73">
            <v>44812</v>
          </cell>
          <cell r="BJ73">
            <v>44812</v>
          </cell>
          <cell r="BK73">
            <v>-13</v>
          </cell>
          <cell r="BL73" t="str">
            <v>Received</v>
          </cell>
          <cell r="BM73">
            <v>44823</v>
          </cell>
          <cell r="BN73">
            <v>44737</v>
          </cell>
          <cell r="BO73" t="str">
            <v>Received</v>
          </cell>
          <cell r="BP73">
            <v>44823</v>
          </cell>
          <cell r="BQ73">
            <v>44790</v>
          </cell>
          <cell r="BR73" t="str">
            <v>Received</v>
          </cell>
          <cell r="BT73">
            <v>44827</v>
          </cell>
          <cell r="BU73" t="str">
            <v>Received</v>
          </cell>
          <cell r="BV73" t="str">
            <v>Done</v>
          </cell>
          <cell r="BW73" t="str">
            <v>11-12-2021</v>
          </cell>
          <cell r="BX73">
            <v>44544</v>
          </cell>
          <cell r="BY73" t="str">
            <v>Done</v>
          </cell>
          <cell r="CD73" t="str">
            <v>Done</v>
          </cell>
          <cell r="CE73">
            <v>44799</v>
          </cell>
          <cell r="CF73" t="str">
            <v>Gurukripa Enterprises</v>
          </cell>
          <cell r="CG73" t="str">
            <v>Gurrukripa enterprises</v>
          </cell>
          <cell r="CH73" t="str">
            <v>Hitesh HVAC</v>
          </cell>
          <cell r="CJ73">
            <v>44799</v>
          </cell>
          <cell r="CK73">
            <v>44799</v>
          </cell>
          <cell r="CN73" t="str">
            <v/>
          </cell>
          <cell r="CO73" t="str">
            <v/>
          </cell>
          <cell r="CP73" t="str">
            <v/>
          </cell>
          <cell r="CR73" t="str">
            <v/>
          </cell>
          <cell r="DA73" t="str">
            <v>PR Done WO Pending</v>
          </cell>
          <cell r="DB73" t="str">
            <v>WO Done RA1 Pending</v>
          </cell>
          <cell r="DC73" t="str">
            <v>WO Done RA1 Pending</v>
          </cell>
          <cell r="DD73">
            <v>44795</v>
          </cell>
          <cell r="DG73" t="str">
            <v>10. Launched</v>
          </cell>
          <cell r="DJ73" t="str">
            <v/>
          </cell>
          <cell r="DK73">
            <v>44796</v>
          </cell>
          <cell r="DP73">
            <v>44798</v>
          </cell>
          <cell r="DQ73">
            <v>44799</v>
          </cell>
          <cell r="DR73">
            <v>35</v>
          </cell>
          <cell r="DS73">
            <v>45</v>
          </cell>
          <cell r="DU73">
            <v>44834</v>
          </cell>
          <cell r="DV73">
            <v>44844</v>
          </cell>
          <cell r="DW73">
            <v>44834</v>
          </cell>
          <cell r="DY73" t="str">
            <v/>
          </cell>
          <cell r="DZ73">
            <v>44921</v>
          </cell>
          <cell r="EB73" t="str">
            <v>Backlog</v>
          </cell>
          <cell r="ED73" t="str">
            <v/>
          </cell>
          <cell r="EE73" t="str">
            <v/>
          </cell>
          <cell r="EF73">
            <v>1</v>
          </cell>
          <cell r="EG73">
            <v>1</v>
          </cell>
          <cell r="EJ73">
            <v>44806</v>
          </cell>
          <cell r="EM73">
            <v>44813</v>
          </cell>
          <cell r="EP73">
            <v>44820</v>
          </cell>
          <cell r="ES73">
            <v>44827</v>
          </cell>
          <cell r="EV73">
            <v>44834</v>
          </cell>
          <cell r="FD73">
            <v>87</v>
          </cell>
          <cell r="FE73" t="str">
            <v>62 to 90 Days</v>
          </cell>
          <cell r="FF73">
            <v>88</v>
          </cell>
          <cell r="FG73" t="str">
            <v>62 to 90 Days</v>
          </cell>
          <cell r="FH73" t="str">
            <v>Done</v>
          </cell>
          <cell r="FI73" t="str">
            <v>Done</v>
          </cell>
          <cell r="FJ73" t="str">
            <v>Done</v>
          </cell>
          <cell r="FM73" t="str">
            <v/>
          </cell>
          <cell r="GF73" t="str">
            <v>SEVEBK4614</v>
          </cell>
          <cell r="GG73" t="str">
            <v>2022-2023</v>
          </cell>
        </row>
        <row r="74">
          <cell r="E74" t="str">
            <v>Platinum Experio</v>
          </cell>
          <cell r="F74" t="str">
            <v>10. Launched</v>
          </cell>
          <cell r="G74" t="str">
            <v>NA</v>
          </cell>
          <cell r="H74" t="str">
            <v>_</v>
          </cell>
          <cell r="I74" t="str">
            <v>_</v>
          </cell>
          <cell r="J74" t="str">
            <v>QI9V</v>
          </cell>
          <cell r="K74" t="str">
            <v>W</v>
          </cell>
          <cell r="L74" t="str">
            <v>BK</v>
          </cell>
          <cell r="N74" t="str">
            <v>Sh Mrudang Shah</v>
          </cell>
          <cell r="O74" t="str">
            <v>Sh Nitin Dawange</v>
          </cell>
          <cell r="P74" t="str">
            <v>Sh. Hitesh Mahtre</v>
          </cell>
          <cell r="Q74" t="str">
            <v>Shahaji Gohatre</v>
          </cell>
          <cell r="R74" t="str">
            <v>Parth Sharma</v>
          </cell>
          <cell r="S74" t="str">
            <v>Maharashtra</v>
          </cell>
          <cell r="T74" t="str">
            <v>Navi Mumbai</v>
          </cell>
          <cell r="U74" t="str">
            <v>Premium</v>
          </cell>
          <cell r="V74" t="str">
            <v>Misc Formats</v>
          </cell>
          <cell r="W74">
            <v>845</v>
          </cell>
          <cell r="X74" t="str">
            <v>Platinum Experio, Plot No 82, Sector- 17, Roadpali, Kalamboli, Panvel, Navi Mumbai, Maharashtra 410218</v>
          </cell>
          <cell r="Z74" t="str">
            <v>Done</v>
          </cell>
          <cell r="AB74">
            <v>45173</v>
          </cell>
          <cell r="AC74">
            <v>45174</v>
          </cell>
          <cell r="AD74">
            <v>45191</v>
          </cell>
          <cell r="AE74">
            <v>45191</v>
          </cell>
          <cell r="AF74" t="str">
            <v>SDR DONE</v>
          </cell>
          <cell r="AG74">
            <v>13</v>
          </cell>
          <cell r="AH74" t="str">
            <v>_</v>
          </cell>
          <cell r="AJ74">
            <v>2</v>
          </cell>
          <cell r="AK74">
            <v>45258</v>
          </cell>
          <cell r="AL74" t="str">
            <v>Received</v>
          </cell>
          <cell r="AM74">
            <v>62</v>
          </cell>
          <cell r="AO74">
            <v>45261</v>
          </cell>
          <cell r="AP74">
            <v>45219</v>
          </cell>
          <cell r="AQ74">
            <v>0</v>
          </cell>
          <cell r="AR74">
            <v>45219</v>
          </cell>
          <cell r="AS74">
            <v>-42</v>
          </cell>
          <cell r="AT74" t="str">
            <v>Received</v>
          </cell>
          <cell r="AU74">
            <v>45262</v>
          </cell>
          <cell r="AV74">
            <v>45252</v>
          </cell>
          <cell r="AW74">
            <v>0</v>
          </cell>
          <cell r="AX74">
            <v>45252</v>
          </cell>
          <cell r="AY74">
            <v>-10</v>
          </cell>
          <cell r="AZ74" t="str">
            <v>Received</v>
          </cell>
          <cell r="BA74">
            <v>45263</v>
          </cell>
          <cell r="BB74">
            <v>45229</v>
          </cell>
          <cell r="BD74">
            <v>45229</v>
          </cell>
          <cell r="BE74">
            <v>-34</v>
          </cell>
          <cell r="BF74" t="str">
            <v>Received</v>
          </cell>
          <cell r="BG74">
            <v>45263</v>
          </cell>
          <cell r="BH74">
            <v>45231</v>
          </cell>
          <cell r="BJ74">
            <v>45231</v>
          </cell>
          <cell r="BK74">
            <v>-32</v>
          </cell>
          <cell r="BL74" t="str">
            <v>Received</v>
          </cell>
          <cell r="BM74">
            <v>45261</v>
          </cell>
          <cell r="BN74">
            <v>45205</v>
          </cell>
          <cell r="BO74" t="str">
            <v>Received</v>
          </cell>
          <cell r="BP74">
            <v>45261</v>
          </cell>
          <cell r="BQ74">
            <v>45211</v>
          </cell>
          <cell r="BR74" t="str">
            <v>Received</v>
          </cell>
          <cell r="BU74" t="str">
            <v>Received</v>
          </cell>
          <cell r="BV74" t="str">
            <v>Done</v>
          </cell>
          <cell r="BW74" t="str">
            <v>07-11-2023</v>
          </cell>
          <cell r="BX74">
            <v>45278</v>
          </cell>
          <cell r="BY74" t="str">
            <v>Done</v>
          </cell>
          <cell r="CD74" t="str">
            <v>Done</v>
          </cell>
          <cell r="CE74">
            <v>45314</v>
          </cell>
          <cell r="CF74" t="str">
            <v>Jyoti D3</v>
          </cell>
          <cell r="CG74" t="str">
            <v>Bhakti Enterprises</v>
          </cell>
          <cell r="CH74" t="str">
            <v/>
          </cell>
          <cell r="CJ74">
            <v>45314</v>
          </cell>
          <cell r="CK74">
            <v>45314</v>
          </cell>
          <cell r="CL74">
            <v>45316</v>
          </cell>
          <cell r="CN74">
            <v>45330</v>
          </cell>
          <cell r="CO74">
            <v>45322</v>
          </cell>
          <cell r="CP74">
            <v>45324</v>
          </cell>
          <cell r="CQ74">
            <v>45337</v>
          </cell>
          <cell r="CR74">
            <v>45327</v>
          </cell>
          <cell r="CS74">
            <v>45331</v>
          </cell>
          <cell r="CY74">
            <v>45328</v>
          </cell>
          <cell r="CZ74">
            <v>45328</v>
          </cell>
          <cell r="DD74">
            <v>45310</v>
          </cell>
          <cell r="DE74">
            <v>60</v>
          </cell>
          <cell r="DF74">
            <v>45374</v>
          </cell>
          <cell r="DG74" t="str">
            <v>10. Launched</v>
          </cell>
          <cell r="DJ74" t="str">
            <v/>
          </cell>
          <cell r="DK74">
            <v>45314</v>
          </cell>
          <cell r="DP74">
            <v>45316</v>
          </cell>
          <cell r="DQ74">
            <v>45317</v>
          </cell>
          <cell r="DR74">
            <v>35</v>
          </cell>
          <cell r="DS74">
            <v>45</v>
          </cell>
          <cell r="DU74">
            <v>45352</v>
          </cell>
          <cell r="DV74">
            <v>45362</v>
          </cell>
          <cell r="DW74">
            <v>45352</v>
          </cell>
          <cell r="DX74" t="str">
            <v>March 24 Week 1</v>
          </cell>
          <cell r="DY74" t="str">
            <v/>
          </cell>
          <cell r="DZ74">
            <v>45359</v>
          </cell>
          <cell r="EA74" t="str">
            <v>March 24 Week 2</v>
          </cell>
          <cell r="ED74" t="str">
            <v/>
          </cell>
          <cell r="EE74" t="str">
            <v/>
          </cell>
          <cell r="EF74">
            <v>1</v>
          </cell>
          <cell r="EG74">
            <v>1</v>
          </cell>
          <cell r="EJ74">
            <v>45324</v>
          </cell>
          <cell r="EM74">
            <v>45331</v>
          </cell>
          <cell r="EP74">
            <v>45338</v>
          </cell>
          <cell r="ES74">
            <v>45345</v>
          </cell>
          <cell r="EV74">
            <v>45352</v>
          </cell>
          <cell r="FD74">
            <v>7</v>
          </cell>
          <cell r="FE74" t="str">
            <v>4 to 7 Days</v>
          </cell>
          <cell r="FF74">
            <v>8</v>
          </cell>
          <cell r="FG74" t="str">
            <v>8 to 15 Days</v>
          </cell>
          <cell r="FH74" t="str">
            <v>Done</v>
          </cell>
          <cell r="FI74" t="str">
            <v>Done</v>
          </cell>
          <cell r="FJ74" t="str">
            <v>Done</v>
          </cell>
          <cell r="FK74">
            <v>45371</v>
          </cell>
          <cell r="FM74" t="str">
            <v/>
          </cell>
          <cell r="GG74" t="str">
            <v>2023-2024</v>
          </cell>
        </row>
        <row r="75">
          <cell r="E75" t="str">
            <v>PMC, Kurla</v>
          </cell>
          <cell r="F75" t="str">
            <v>10. Launched</v>
          </cell>
          <cell r="G75" t="str">
            <v>NA</v>
          </cell>
          <cell r="H75" t="str">
            <v>MU-HM-GMU-014-711</v>
          </cell>
          <cell r="I75" t="str">
            <v>_</v>
          </cell>
          <cell r="J75" t="str">
            <v>QGAE</v>
          </cell>
          <cell r="K75" t="str">
            <v>W</v>
          </cell>
          <cell r="L75" t="str">
            <v>BK</v>
          </cell>
          <cell r="N75" t="str">
            <v>Sh Sanjiv Johari</v>
          </cell>
          <cell r="O75" t="str">
            <v>Sh. Atul M Sawant</v>
          </cell>
          <cell r="P75" t="str">
            <v>Sh. Ajinkya More</v>
          </cell>
          <cell r="Q75" t="str">
            <v>Shahaji Gohatre</v>
          </cell>
          <cell r="R75" t="str">
            <v>Parth Sharma</v>
          </cell>
          <cell r="S75" t="str">
            <v>Maharashtra</v>
          </cell>
          <cell r="T75" t="str">
            <v>Mumbai</v>
          </cell>
          <cell r="U75" t="str">
            <v>Premium</v>
          </cell>
          <cell r="V75" t="str">
            <v>Misc Formats</v>
          </cell>
          <cell r="W75">
            <v>1340</v>
          </cell>
          <cell r="X75" t="str">
            <v>PMC, Kurla</v>
          </cell>
          <cell r="Z75" t="str">
            <v>Done</v>
          </cell>
          <cell r="AB75">
            <v>44567</v>
          </cell>
          <cell r="AC75">
            <v>44570</v>
          </cell>
          <cell r="AD75">
            <v>44574</v>
          </cell>
          <cell r="AE75">
            <v>44574</v>
          </cell>
          <cell r="AF75" t="str">
            <v>SDR DONE</v>
          </cell>
          <cell r="AG75">
            <v>2</v>
          </cell>
          <cell r="AH75" t="str">
            <v>_</v>
          </cell>
          <cell r="AI75">
            <v>44600</v>
          </cell>
          <cell r="AJ75">
            <v>0</v>
          </cell>
          <cell r="AK75">
            <v>44600</v>
          </cell>
          <cell r="AL75" t="str">
            <v>Received</v>
          </cell>
          <cell r="AM75">
            <v>21</v>
          </cell>
          <cell r="AO75">
            <v>44603</v>
          </cell>
          <cell r="AP75">
            <v>44658</v>
          </cell>
          <cell r="AR75">
            <v>44700</v>
          </cell>
          <cell r="AS75">
            <v>97</v>
          </cell>
          <cell r="AT75" t="str">
            <v>Received</v>
          </cell>
          <cell r="AU75">
            <v>44604</v>
          </cell>
          <cell r="AV75" t="str">
            <v>NA</v>
          </cell>
          <cell r="AW75" t="str">
            <v>NA</v>
          </cell>
          <cell r="AX75" t="str">
            <v>NA</v>
          </cell>
          <cell r="AZ75" t="str">
            <v>Received</v>
          </cell>
          <cell r="BA75">
            <v>44605</v>
          </cell>
          <cell r="BB75">
            <v>44674</v>
          </cell>
          <cell r="BF75" t="str">
            <v>Received</v>
          </cell>
          <cell r="BG75">
            <v>44605</v>
          </cell>
          <cell r="BH75">
            <v>44671</v>
          </cell>
          <cell r="BJ75">
            <v>44671</v>
          </cell>
          <cell r="BK75">
            <v>66</v>
          </cell>
          <cell r="BL75" t="str">
            <v>Received</v>
          </cell>
          <cell r="BM75">
            <v>44603</v>
          </cell>
          <cell r="BN75">
            <v>44642</v>
          </cell>
          <cell r="BO75" t="str">
            <v>Received</v>
          </cell>
          <cell r="BP75">
            <v>44603</v>
          </cell>
          <cell r="BQ75">
            <v>44712</v>
          </cell>
          <cell r="BR75" t="str">
            <v>Received</v>
          </cell>
          <cell r="BT75">
            <v>44687</v>
          </cell>
          <cell r="BU75" t="str">
            <v>Received</v>
          </cell>
          <cell r="BV75" t="str">
            <v>Done</v>
          </cell>
          <cell r="BW75" t="str">
            <v>11-12-2021</v>
          </cell>
          <cell r="BX75">
            <v>44544</v>
          </cell>
          <cell r="BY75" t="str">
            <v>Done</v>
          </cell>
          <cell r="CD75" t="str">
            <v>Done</v>
          </cell>
          <cell r="CE75">
            <v>44734</v>
          </cell>
          <cell r="CF75" t="str">
            <v>R.K Interiors</v>
          </cell>
          <cell r="CG75" t="str">
            <v>R.K Interiors</v>
          </cell>
          <cell r="CH75" t="str">
            <v>Noble Aircon</v>
          </cell>
          <cell r="CJ75">
            <v>44734</v>
          </cell>
          <cell r="CK75">
            <v>44734</v>
          </cell>
          <cell r="CN75" t="str">
            <v/>
          </cell>
          <cell r="CO75" t="str">
            <v/>
          </cell>
          <cell r="CP75" t="str">
            <v/>
          </cell>
          <cell r="CR75" t="str">
            <v/>
          </cell>
          <cell r="DG75" t="str">
            <v>10. Launched</v>
          </cell>
          <cell r="DJ75" t="str">
            <v/>
          </cell>
          <cell r="DK75">
            <v>44754</v>
          </cell>
          <cell r="DP75">
            <v>44756</v>
          </cell>
          <cell r="DQ75">
            <v>44754</v>
          </cell>
          <cell r="DR75">
            <v>35</v>
          </cell>
          <cell r="DS75">
            <v>45</v>
          </cell>
          <cell r="DU75">
            <v>44789</v>
          </cell>
          <cell r="DV75">
            <v>44799</v>
          </cell>
          <cell r="DW75">
            <v>44789</v>
          </cell>
          <cell r="DY75" t="str">
            <v/>
          </cell>
          <cell r="DZ75">
            <v>44835</v>
          </cell>
          <cell r="ED75" t="str">
            <v/>
          </cell>
          <cell r="EE75" t="str">
            <v/>
          </cell>
          <cell r="EF75">
            <v>1</v>
          </cell>
          <cell r="EG75">
            <v>1</v>
          </cell>
          <cell r="EJ75">
            <v>44761</v>
          </cell>
          <cell r="EM75">
            <v>44768</v>
          </cell>
          <cell r="EP75">
            <v>44775</v>
          </cell>
          <cell r="ES75">
            <v>44782</v>
          </cell>
          <cell r="EV75">
            <v>44789</v>
          </cell>
          <cell r="FD75">
            <v>46</v>
          </cell>
          <cell r="FE75" t="str">
            <v>31 to 61 Days</v>
          </cell>
          <cell r="FF75">
            <v>44</v>
          </cell>
          <cell r="FG75" t="str">
            <v>31 to 61 Days</v>
          </cell>
          <cell r="FH75" t="str">
            <v>Done</v>
          </cell>
          <cell r="FI75" t="str">
            <v>Done</v>
          </cell>
          <cell r="FJ75" t="str">
            <v>Done</v>
          </cell>
          <cell r="FM75" t="str">
            <v/>
          </cell>
          <cell r="GG75" t="str">
            <v>2022-2023</v>
          </cell>
        </row>
        <row r="76">
          <cell r="E76" t="str">
            <v>Premier Plaza, Pune</v>
          </cell>
          <cell r="F76" t="str">
            <v>14. Dropped</v>
          </cell>
          <cell r="G76" t="str">
            <v>NA</v>
          </cell>
          <cell r="H76" t="str">
            <v>_</v>
          </cell>
          <cell r="I76" t="str">
            <v>_</v>
          </cell>
          <cell r="K76" t="str">
            <v>W</v>
          </cell>
          <cell r="L76" t="str">
            <v>BK</v>
          </cell>
          <cell r="N76" t="str">
            <v>Sh Nitin Dawange</v>
          </cell>
          <cell r="O76" t="str">
            <v>Sh Nitin Dawange</v>
          </cell>
          <cell r="P76" t="str">
            <v/>
          </cell>
          <cell r="Q76" t="str">
            <v>Shahaji Gohatre</v>
          </cell>
          <cell r="R76" t="str">
            <v>Parth Sharma</v>
          </cell>
          <cell r="S76" t="str">
            <v>Maharashtra</v>
          </cell>
          <cell r="T76" t="str">
            <v>Mumbai</v>
          </cell>
          <cell r="U76" t="str">
            <v>Premium</v>
          </cell>
          <cell r="V76" t="str">
            <v>Misc Formats</v>
          </cell>
          <cell r="W76">
            <v>569</v>
          </cell>
          <cell r="X76" t="str">
            <v>Mumbai-Pune Road, Pimpri-Chinchwad, Maharashtra 411019</v>
          </cell>
          <cell r="Z76" t="str">
            <v>_</v>
          </cell>
          <cell r="AB76">
            <v>45076</v>
          </cell>
          <cell r="AC76">
            <v>45081</v>
          </cell>
          <cell r="AD76">
            <v>45083</v>
          </cell>
          <cell r="AE76">
            <v>45083</v>
          </cell>
          <cell r="AF76" t="str">
            <v>SDR DONE</v>
          </cell>
          <cell r="AG76">
            <v>2</v>
          </cell>
          <cell r="AH76" t="str">
            <v>_</v>
          </cell>
          <cell r="AL76" t="str">
            <v>Received</v>
          </cell>
          <cell r="AM76">
            <v>1089</v>
          </cell>
          <cell r="BJ76" t="str">
            <v/>
          </cell>
          <cell r="BN76" t="str">
            <v/>
          </cell>
          <cell r="BW76" t="str">
            <v/>
          </cell>
          <cell r="CE76" t="str">
            <v/>
          </cell>
          <cell r="CF76" t="str">
            <v/>
          </cell>
          <cell r="CG76" t="str">
            <v/>
          </cell>
          <cell r="CH76" t="str">
            <v/>
          </cell>
          <cell r="CN76" t="str">
            <v/>
          </cell>
          <cell r="CO76" t="str">
            <v/>
          </cell>
          <cell r="CP76" t="str">
            <v/>
          </cell>
          <cell r="CR76" t="str">
            <v/>
          </cell>
          <cell r="DG76" t="str">
            <v>14. Dropped</v>
          </cell>
          <cell r="DJ76" t="str">
            <v/>
          </cell>
          <cell r="DP76" t="str">
            <v/>
          </cell>
          <cell r="DR76">
            <v>35</v>
          </cell>
          <cell r="DS76">
            <v>45</v>
          </cell>
          <cell r="DX76" t="str">
            <v/>
          </cell>
          <cell r="DY76" t="str">
            <v/>
          </cell>
          <cell r="EA76" t="str">
            <v/>
          </cell>
          <cell r="ED76" t="str">
            <v/>
          </cell>
          <cell r="EE76" t="str">
            <v/>
          </cell>
          <cell r="FM76" t="str">
            <v/>
          </cell>
          <cell r="GG76" t="str">
            <v>2024-2025</v>
          </cell>
        </row>
        <row r="77">
          <cell r="E77" t="str">
            <v>Qubix Business Park</v>
          </cell>
          <cell r="F77" t="str">
            <v>14. Dropped</v>
          </cell>
          <cell r="G77" t="str">
            <v>NA</v>
          </cell>
          <cell r="H77" t="str">
            <v>_</v>
          </cell>
          <cell r="I77" t="str">
            <v>_</v>
          </cell>
          <cell r="K77" t="str">
            <v>W</v>
          </cell>
          <cell r="L77" t="str">
            <v>BK</v>
          </cell>
          <cell r="N77" t="str">
            <v>Sh Shashi Pardesi</v>
          </cell>
          <cell r="O77" t="str">
            <v>Sh Shashi Pardesi</v>
          </cell>
          <cell r="P77" t="str">
            <v/>
          </cell>
          <cell r="Q77" t="str">
            <v>Shahaji Gohatre</v>
          </cell>
          <cell r="R77" t="str">
            <v>Parth Sharma</v>
          </cell>
          <cell r="S77" t="str">
            <v>Maharashtra</v>
          </cell>
          <cell r="T77" t="str">
            <v>Pune</v>
          </cell>
          <cell r="U77" t="str">
            <v>Premium</v>
          </cell>
          <cell r="V77" t="str">
            <v>Misc Formats</v>
          </cell>
          <cell r="W77">
            <v>796</v>
          </cell>
          <cell r="X77" t="str">
            <v>Qubix Business Park Pvt, Ltd. Plot No.2, Blue Ridge Town ship,  Behind Cognizant, Near Rajiv Gandhi InfoTech Park , Phase 1,Hinjewadi , Pune. 411 057</v>
          </cell>
          <cell r="Z77" t="str">
            <v>_</v>
          </cell>
          <cell r="AB77">
            <v>45022</v>
          </cell>
          <cell r="AC77">
            <v>45027</v>
          </cell>
          <cell r="AD77">
            <v>45037</v>
          </cell>
          <cell r="AE77">
            <v>45037</v>
          </cell>
          <cell r="AF77" t="str">
            <v>SDR DONE</v>
          </cell>
          <cell r="AG77">
            <v>10</v>
          </cell>
          <cell r="AH77" t="str">
            <v>_</v>
          </cell>
          <cell r="AK77">
            <v>45070</v>
          </cell>
          <cell r="AL77" t="str">
            <v>Received</v>
          </cell>
          <cell r="AM77">
            <v>28</v>
          </cell>
          <cell r="AO77">
            <v>45073</v>
          </cell>
          <cell r="AP77">
            <v>45079</v>
          </cell>
          <cell r="AR77">
            <v>45079</v>
          </cell>
          <cell r="AS77">
            <v>6</v>
          </cell>
          <cell r="AU77">
            <v>45074</v>
          </cell>
          <cell r="AV77">
            <v>45085</v>
          </cell>
          <cell r="BA77">
            <v>45075</v>
          </cell>
          <cell r="BG77">
            <v>45075</v>
          </cell>
          <cell r="BJ77" t="str">
            <v/>
          </cell>
          <cell r="BM77">
            <v>45073</v>
          </cell>
          <cell r="BN77">
            <v>45075</v>
          </cell>
          <cell r="BP77">
            <v>45073</v>
          </cell>
          <cell r="BQ77">
            <v>45075</v>
          </cell>
          <cell r="BR77" t="str">
            <v>Received</v>
          </cell>
          <cell r="BW77" t="str">
            <v/>
          </cell>
          <cell r="CE77" t="str">
            <v/>
          </cell>
          <cell r="CF77" t="str">
            <v/>
          </cell>
          <cell r="CG77" t="str">
            <v/>
          </cell>
          <cell r="CH77" t="str">
            <v/>
          </cell>
          <cell r="CN77" t="str">
            <v/>
          </cell>
          <cell r="CO77" t="str">
            <v/>
          </cell>
          <cell r="CP77" t="str">
            <v/>
          </cell>
          <cell r="CR77" t="str">
            <v/>
          </cell>
          <cell r="DG77" t="str">
            <v>14. Dropped</v>
          </cell>
          <cell r="DJ77" t="str">
            <v/>
          </cell>
          <cell r="DP77" t="str">
            <v/>
          </cell>
          <cell r="DR77">
            <v>35</v>
          </cell>
          <cell r="DS77">
            <v>45</v>
          </cell>
          <cell r="DX77" t="str">
            <v/>
          </cell>
          <cell r="DY77" t="str">
            <v/>
          </cell>
          <cell r="EA77" t="str">
            <v/>
          </cell>
          <cell r="ED77" t="str">
            <v/>
          </cell>
          <cell r="EE77" t="str">
            <v/>
          </cell>
          <cell r="FM77" t="str">
            <v/>
          </cell>
          <cell r="GF77" t="str">
            <v>7 ElW63</v>
          </cell>
          <cell r="GG77" t="str">
            <v>2024-2025</v>
          </cell>
        </row>
        <row r="78">
          <cell r="E78" t="str">
            <v>Raj Infinia</v>
          </cell>
          <cell r="F78" t="str">
            <v>10. Launched</v>
          </cell>
          <cell r="G78" t="str">
            <v>NA</v>
          </cell>
          <cell r="H78" t="str">
            <v>_</v>
          </cell>
          <cell r="I78" t="str">
            <v>_</v>
          </cell>
          <cell r="J78" t="str">
            <v>QRII</v>
          </cell>
          <cell r="K78" t="str">
            <v>W</v>
          </cell>
          <cell r="L78" t="str">
            <v>BK</v>
          </cell>
          <cell r="N78" t="str">
            <v>Sh Atul M Sawant</v>
          </cell>
          <cell r="O78" t="str">
            <v>Sh Atul M Sawant</v>
          </cell>
          <cell r="P78" t="str">
            <v>Sh. Sagar Sahani</v>
          </cell>
          <cell r="Q78" t="str">
            <v>Shahaji Gohatre</v>
          </cell>
          <cell r="R78" t="str">
            <v>Parth Sharma</v>
          </cell>
          <cell r="S78" t="str">
            <v>Maharashtra</v>
          </cell>
          <cell r="T78" t="str">
            <v>Mumbai</v>
          </cell>
          <cell r="U78" t="str">
            <v>Premium</v>
          </cell>
          <cell r="V78" t="str">
            <v>Misc Formats</v>
          </cell>
          <cell r="W78">
            <v>985</v>
          </cell>
          <cell r="X78" t="str">
            <v>Shop No. 8, Raj Infinia, Evershine Nagar, Malad West- 400064</v>
          </cell>
          <cell r="Z78" t="str">
            <v>Done</v>
          </cell>
          <cell r="AB78">
            <v>44872</v>
          </cell>
          <cell r="AC78">
            <v>44877</v>
          </cell>
          <cell r="AD78">
            <v>44880</v>
          </cell>
          <cell r="AE78">
            <v>44880</v>
          </cell>
          <cell r="AF78" t="str">
            <v>SDR Done</v>
          </cell>
          <cell r="AG78">
            <v>3</v>
          </cell>
          <cell r="AH78" t="str">
            <v>_</v>
          </cell>
          <cell r="AJ78">
            <v>3</v>
          </cell>
          <cell r="AK78">
            <v>45000</v>
          </cell>
          <cell r="AL78" t="str">
            <v>Received</v>
          </cell>
          <cell r="AM78">
            <v>115</v>
          </cell>
          <cell r="AO78">
            <v>45003</v>
          </cell>
          <cell r="AP78">
            <v>44950</v>
          </cell>
          <cell r="AR78">
            <v>45013</v>
          </cell>
          <cell r="AS78">
            <v>10</v>
          </cell>
          <cell r="AT78" t="str">
            <v>Received</v>
          </cell>
          <cell r="AU78">
            <v>45004</v>
          </cell>
          <cell r="AV78" t="str">
            <v>NA</v>
          </cell>
          <cell r="AW78" t="str">
            <v>NA</v>
          </cell>
          <cell r="AX78" t="str">
            <v>NA</v>
          </cell>
          <cell r="AZ78" t="str">
            <v>Received</v>
          </cell>
          <cell r="BA78">
            <v>45005</v>
          </cell>
          <cell r="BB78">
            <v>44959</v>
          </cell>
          <cell r="BD78">
            <v>45012</v>
          </cell>
          <cell r="BE78">
            <v>6</v>
          </cell>
          <cell r="BF78" t="str">
            <v>Received</v>
          </cell>
          <cell r="BG78">
            <v>45005</v>
          </cell>
          <cell r="BH78">
            <v>44980</v>
          </cell>
          <cell r="BJ78">
            <v>45010</v>
          </cell>
          <cell r="BK78">
            <v>4</v>
          </cell>
          <cell r="BL78" t="str">
            <v>Received</v>
          </cell>
          <cell r="BM78">
            <v>45003</v>
          </cell>
          <cell r="BN78">
            <v>44950</v>
          </cell>
          <cell r="BO78" t="str">
            <v>Received</v>
          </cell>
          <cell r="BP78">
            <v>45003</v>
          </cell>
          <cell r="BQ78">
            <v>45006</v>
          </cell>
          <cell r="BR78" t="str">
            <v>Received</v>
          </cell>
          <cell r="BU78" t="str">
            <v>Received</v>
          </cell>
          <cell r="BV78" t="str">
            <v>Done</v>
          </cell>
          <cell r="BW78" t="str">
            <v>11-12-2021</v>
          </cell>
          <cell r="BX78">
            <v>44544</v>
          </cell>
          <cell r="BY78" t="str">
            <v>Done</v>
          </cell>
          <cell r="CD78" t="str">
            <v>Done</v>
          </cell>
          <cell r="CE78">
            <v>44998</v>
          </cell>
          <cell r="CF78" t="str">
            <v>3Desire</v>
          </cell>
          <cell r="CG78" t="str">
            <v>3Desire</v>
          </cell>
          <cell r="CH78" t="str">
            <v>Sark Corporation</v>
          </cell>
          <cell r="CJ78">
            <v>44998</v>
          </cell>
          <cell r="CK78">
            <v>44998</v>
          </cell>
          <cell r="CN78" t="str">
            <v/>
          </cell>
          <cell r="CO78" t="str">
            <v/>
          </cell>
          <cell r="CP78" t="str">
            <v/>
          </cell>
          <cell r="CR78" t="str">
            <v/>
          </cell>
          <cell r="DD78">
            <v>44998</v>
          </cell>
          <cell r="DE78">
            <v>75</v>
          </cell>
          <cell r="DF78">
            <v>45080</v>
          </cell>
          <cell r="DG78" t="str">
            <v>10. Launched</v>
          </cell>
          <cell r="DJ78" t="str">
            <v/>
          </cell>
          <cell r="DK78">
            <v>45005</v>
          </cell>
          <cell r="DP78">
            <v>45007</v>
          </cell>
          <cell r="DQ78">
            <v>45011</v>
          </cell>
          <cell r="DR78">
            <v>35</v>
          </cell>
          <cell r="DS78">
            <v>45</v>
          </cell>
          <cell r="DU78">
            <v>45046</v>
          </cell>
          <cell r="DV78">
            <v>45056</v>
          </cell>
          <cell r="DW78">
            <v>45046</v>
          </cell>
          <cell r="DX78" t="str">
            <v>April 23 Week 5</v>
          </cell>
          <cell r="DY78" t="str">
            <v/>
          </cell>
          <cell r="DZ78">
            <v>45069</v>
          </cell>
          <cell r="EA78" t="str">
            <v>May 23 Week 4</v>
          </cell>
          <cell r="ED78" t="str">
            <v/>
          </cell>
          <cell r="EE78" t="str">
            <v/>
          </cell>
          <cell r="EF78">
            <v>1</v>
          </cell>
          <cell r="EG78">
            <v>1</v>
          </cell>
          <cell r="EJ78">
            <v>45018</v>
          </cell>
          <cell r="EM78">
            <v>45025</v>
          </cell>
          <cell r="EP78">
            <v>45032</v>
          </cell>
          <cell r="ES78">
            <v>45039</v>
          </cell>
          <cell r="EV78">
            <v>45046</v>
          </cell>
          <cell r="FD78">
            <v>23</v>
          </cell>
          <cell r="FE78" t="str">
            <v>16 to 31 Days</v>
          </cell>
          <cell r="FF78">
            <v>27</v>
          </cell>
          <cell r="FG78" t="str">
            <v>16 to 31 Days</v>
          </cell>
          <cell r="FH78" t="str">
            <v>Done</v>
          </cell>
          <cell r="FI78" t="str">
            <v>Done</v>
          </cell>
          <cell r="FJ78" t="str">
            <v>Done</v>
          </cell>
          <cell r="FM78" t="str">
            <v/>
          </cell>
          <cell r="GG78" t="str">
            <v>2023-2024</v>
          </cell>
        </row>
        <row r="79">
          <cell r="E79" t="str">
            <v>Embassy,Rio Grande, Hinjewadi</v>
          </cell>
          <cell r="F79" t="str">
            <v>14. Dropped</v>
          </cell>
          <cell r="G79" t="str">
            <v>NA</v>
          </cell>
          <cell r="H79" t="str">
            <v>_</v>
          </cell>
          <cell r="I79" t="str">
            <v>_</v>
          </cell>
          <cell r="K79" t="str">
            <v>W</v>
          </cell>
          <cell r="L79" t="str">
            <v>BK</v>
          </cell>
          <cell r="N79" t="str">
            <v>Sh Shashi Pardesi</v>
          </cell>
          <cell r="O79" t="str">
            <v>Sh Shashi Pardesi</v>
          </cell>
          <cell r="P79" t="str">
            <v/>
          </cell>
          <cell r="Q79" t="str">
            <v>Arju Tiwari</v>
          </cell>
          <cell r="R79" t="str">
            <v>Kiran Patil</v>
          </cell>
          <cell r="S79" t="str">
            <v>Maharashtra</v>
          </cell>
          <cell r="T79" t="str">
            <v>Pune</v>
          </cell>
          <cell r="U79" t="str">
            <v>Premium</v>
          </cell>
          <cell r="V79" t="str">
            <v>Misc Formats</v>
          </cell>
          <cell r="W79">
            <v>1097</v>
          </cell>
          <cell r="X79" t="str">
            <v>Embassy, RIO GRANDE, Building 2.0,PL03A, Rajiv Gandhi InfoTech Park, Phase 2 Hinjewadi, Pune, Maharashtra-411057</v>
          </cell>
          <cell r="Z79" t="str">
            <v>_</v>
          </cell>
          <cell r="AB79">
            <v>45141</v>
          </cell>
          <cell r="AC79">
            <v>45150</v>
          </cell>
          <cell r="AD79">
            <v>45159</v>
          </cell>
          <cell r="AE79">
            <v>45160</v>
          </cell>
          <cell r="AF79" t="str">
            <v>SDR DONE</v>
          </cell>
          <cell r="AG79">
            <v>13</v>
          </cell>
          <cell r="AH79" t="str">
            <v>_</v>
          </cell>
          <cell r="AJ79">
            <v>2</v>
          </cell>
          <cell r="AK79">
            <v>45481</v>
          </cell>
          <cell r="AL79" t="str">
            <v>Received</v>
          </cell>
          <cell r="AM79">
            <v>317</v>
          </cell>
          <cell r="AO79">
            <v>45484</v>
          </cell>
          <cell r="AP79">
            <v>45205</v>
          </cell>
          <cell r="AR79">
            <v>45495</v>
          </cell>
          <cell r="AS79">
            <v>11</v>
          </cell>
          <cell r="AU79">
            <v>45485</v>
          </cell>
          <cell r="AV79" t="str">
            <v/>
          </cell>
          <cell r="AX79">
            <v>45497</v>
          </cell>
          <cell r="AY79">
            <v>11</v>
          </cell>
          <cell r="BA79">
            <v>45486</v>
          </cell>
          <cell r="BB79">
            <v>45207</v>
          </cell>
          <cell r="BD79">
            <v>45518</v>
          </cell>
          <cell r="BE79">
            <v>31</v>
          </cell>
          <cell r="BF79" t="str">
            <v>HVAC&amp;FF GFC Received on 14-08-2024</v>
          </cell>
          <cell r="BG79">
            <v>45486</v>
          </cell>
          <cell r="BH79">
            <v>45212</v>
          </cell>
          <cell r="BJ79">
            <v>45520</v>
          </cell>
          <cell r="BK79">
            <v>33</v>
          </cell>
          <cell r="BM79">
            <v>45484</v>
          </cell>
          <cell r="BN79" t="str">
            <v>R0-02-09-2023
R1-09-07-2024</v>
          </cell>
          <cell r="BP79">
            <v>45484</v>
          </cell>
          <cell r="BR79" t="str">
            <v>Received</v>
          </cell>
          <cell r="BU79" t="str">
            <v>C&amp;I/IT/SLP/structure GFC/Fixture &amp; Component BOQ Received</v>
          </cell>
          <cell r="BW79" t="str">
            <v>Done</v>
          </cell>
          <cell r="BX79">
            <v>45258</v>
          </cell>
          <cell r="BY79" t="str">
            <v>Done</v>
          </cell>
          <cell r="CE79" t="str">
            <v/>
          </cell>
          <cell r="CF79" t="str">
            <v/>
          </cell>
          <cell r="CG79" t="str">
            <v/>
          </cell>
          <cell r="CH79" t="str">
            <v/>
          </cell>
          <cell r="CN79" t="str">
            <v/>
          </cell>
          <cell r="CO79" t="str">
            <v/>
          </cell>
          <cell r="CP79" t="str">
            <v/>
          </cell>
          <cell r="CR79" t="str">
            <v/>
          </cell>
          <cell r="DG79" t="str">
            <v>14. Dropped</v>
          </cell>
          <cell r="DJ79" t="str">
            <v/>
          </cell>
          <cell r="DP79" t="str">
            <v/>
          </cell>
          <cell r="DR79">
            <v>35</v>
          </cell>
          <cell r="DS79">
            <v>45</v>
          </cell>
          <cell r="DX79" t="str">
            <v/>
          </cell>
          <cell r="DY79" t="str">
            <v/>
          </cell>
          <cell r="EA79" t="str">
            <v/>
          </cell>
          <cell r="ED79" t="str">
            <v/>
          </cell>
          <cell r="EE79" t="str">
            <v/>
          </cell>
          <cell r="FM79" t="str">
            <v/>
          </cell>
          <cell r="GF79" t="str">
            <v>SEVEBK31</v>
          </cell>
          <cell r="GG79" t="str">
            <v>2024-2025</v>
          </cell>
        </row>
        <row r="80">
          <cell r="E80" t="str">
            <v>Rupa Renaissance</v>
          </cell>
          <cell r="F80" t="str">
            <v>10. Launched</v>
          </cell>
          <cell r="G80" t="str">
            <v>NA</v>
          </cell>
          <cell r="H80" t="str">
            <v>_</v>
          </cell>
          <cell r="I80" t="str">
            <v>_</v>
          </cell>
          <cell r="J80" t="str">
            <v>QXPD</v>
          </cell>
          <cell r="K80" t="str">
            <v>W</v>
          </cell>
          <cell r="L80" t="str">
            <v>BK</v>
          </cell>
          <cell r="N80" t="str">
            <v>Sh Nitin Dawange</v>
          </cell>
          <cell r="O80" t="str">
            <v>Sh Nitin Dawange</v>
          </cell>
          <cell r="P80" t="str">
            <v>Sh. Rajesh Gavale</v>
          </cell>
          <cell r="Q80" t="str">
            <v>Shahaji Gohatre</v>
          </cell>
          <cell r="R80" t="str">
            <v>Parth Sharma</v>
          </cell>
          <cell r="S80" t="str">
            <v>Maharashtra</v>
          </cell>
          <cell r="T80" t="str">
            <v>Navi Mumbai</v>
          </cell>
          <cell r="U80" t="str">
            <v>Premium</v>
          </cell>
          <cell r="V80" t="str">
            <v>Misc Formats</v>
          </cell>
          <cell r="W80">
            <v>1110</v>
          </cell>
          <cell r="X80" t="str">
            <v>Rupa Renaissance, Midc Main Road, Navi Mumbai, Maharashtra 400703</v>
          </cell>
          <cell r="Z80" t="str">
            <v>Done</v>
          </cell>
          <cell r="AB80">
            <v>44988</v>
          </cell>
          <cell r="AC80">
            <v>44991</v>
          </cell>
          <cell r="AD80">
            <v>44994</v>
          </cell>
          <cell r="AE80">
            <v>44994</v>
          </cell>
          <cell r="AF80" t="str">
            <v>SDR DONE</v>
          </cell>
          <cell r="AG80">
            <v>1</v>
          </cell>
          <cell r="AH80" t="str">
            <v>_</v>
          </cell>
          <cell r="AJ80">
            <v>0</v>
          </cell>
          <cell r="AK80">
            <v>45100</v>
          </cell>
          <cell r="AL80" t="str">
            <v>Received</v>
          </cell>
          <cell r="AM80">
            <v>101</v>
          </cell>
          <cell r="AO80">
            <v>45103</v>
          </cell>
          <cell r="AP80">
            <v>45019</v>
          </cell>
          <cell r="AR80">
            <v>45019</v>
          </cell>
          <cell r="AS80">
            <v>-84</v>
          </cell>
          <cell r="AT80" t="str">
            <v>Received</v>
          </cell>
          <cell r="AU80">
            <v>45104</v>
          </cell>
          <cell r="AV80" t="str">
            <v>NA</v>
          </cell>
          <cell r="AW80" t="str">
            <v>NA</v>
          </cell>
          <cell r="AX80" t="str">
            <v>NA</v>
          </cell>
          <cell r="AZ80" t="str">
            <v>Received</v>
          </cell>
          <cell r="BA80">
            <v>45105</v>
          </cell>
          <cell r="BB80">
            <v>45026</v>
          </cell>
          <cell r="BD80">
            <v>45026</v>
          </cell>
          <cell r="BE80">
            <v>-79</v>
          </cell>
          <cell r="BF80" t="str">
            <v>Received</v>
          </cell>
          <cell r="BG80">
            <v>45105</v>
          </cell>
          <cell r="BH80">
            <v>45017</v>
          </cell>
          <cell r="BJ80">
            <v>45029</v>
          </cell>
          <cell r="BK80">
            <v>-76</v>
          </cell>
          <cell r="BL80" t="str">
            <v>Received</v>
          </cell>
          <cell r="BM80">
            <v>45103</v>
          </cell>
          <cell r="BN80">
            <v>45008</v>
          </cell>
          <cell r="BO80" t="str">
            <v>Received</v>
          </cell>
          <cell r="BP80">
            <v>45103</v>
          </cell>
          <cell r="BQ80">
            <v>45019</v>
          </cell>
          <cell r="BR80" t="str">
            <v>Received</v>
          </cell>
          <cell r="BT80">
            <v>45011</v>
          </cell>
          <cell r="BU80" t="str">
            <v>Received</v>
          </cell>
          <cell r="BV80" t="str">
            <v>Done</v>
          </cell>
          <cell r="BW80" t="str">
            <v>Done</v>
          </cell>
          <cell r="BY80" t="str">
            <v>Done</v>
          </cell>
          <cell r="CD80" t="str">
            <v>Done</v>
          </cell>
          <cell r="CE80">
            <v>45051</v>
          </cell>
          <cell r="CF80" t="str">
            <v>Nexa Telecom</v>
          </cell>
          <cell r="CG80" t="str">
            <v>Bhakti Enterprises</v>
          </cell>
          <cell r="CH80" t="str">
            <v>Noble Aircon</v>
          </cell>
          <cell r="CJ80">
            <v>45051</v>
          </cell>
          <cell r="CK80">
            <v>45051</v>
          </cell>
          <cell r="CL80">
            <v>45063</v>
          </cell>
          <cell r="CN80">
            <v>45092</v>
          </cell>
          <cell r="CO80">
            <v>45091</v>
          </cell>
          <cell r="CP80">
            <v>45078</v>
          </cell>
          <cell r="CQ80">
            <v>45121</v>
          </cell>
          <cell r="CR80">
            <v>45111</v>
          </cell>
          <cell r="CS80">
            <v>45093</v>
          </cell>
          <cell r="DD80">
            <v>45051</v>
          </cell>
          <cell r="DE80">
            <v>90</v>
          </cell>
          <cell r="DF80">
            <v>45147</v>
          </cell>
          <cell r="DG80" t="str">
            <v>10. Launched</v>
          </cell>
          <cell r="DJ80" t="str">
            <v/>
          </cell>
          <cell r="DK80">
            <v>45057</v>
          </cell>
          <cell r="DP80">
            <v>45059</v>
          </cell>
          <cell r="DQ80">
            <v>45071</v>
          </cell>
          <cell r="DR80">
            <v>35</v>
          </cell>
          <cell r="DS80">
            <v>45</v>
          </cell>
          <cell r="DU80">
            <v>45106</v>
          </cell>
          <cell r="DV80">
            <v>45116</v>
          </cell>
          <cell r="DW80">
            <v>45106</v>
          </cell>
          <cell r="DX80" t="str">
            <v>June 23 Week 5</v>
          </cell>
          <cell r="DY80" t="str">
            <v/>
          </cell>
          <cell r="DZ80">
            <v>45127</v>
          </cell>
          <cell r="EA80" t="str">
            <v>July 23 Week 3</v>
          </cell>
          <cell r="ED80" t="str">
            <v/>
          </cell>
          <cell r="EE80" t="str">
            <v/>
          </cell>
          <cell r="EF80">
            <v>1</v>
          </cell>
          <cell r="EG80">
            <v>1</v>
          </cell>
          <cell r="EJ80">
            <v>45078</v>
          </cell>
          <cell r="EM80">
            <v>45085</v>
          </cell>
          <cell r="EP80">
            <v>45092</v>
          </cell>
          <cell r="ES80">
            <v>45099</v>
          </cell>
          <cell r="EV80">
            <v>45106</v>
          </cell>
          <cell r="FD80">
            <v>21</v>
          </cell>
          <cell r="FE80" t="str">
            <v>16 to 31 Days</v>
          </cell>
          <cell r="FF80">
            <v>33</v>
          </cell>
          <cell r="FG80" t="str">
            <v>31 to 61 Days</v>
          </cell>
          <cell r="FH80" t="str">
            <v>Done</v>
          </cell>
          <cell r="FI80" t="str">
            <v>Done</v>
          </cell>
          <cell r="FJ80" t="str">
            <v>Done</v>
          </cell>
          <cell r="FM80" t="str">
            <v/>
          </cell>
          <cell r="GF80" t="str">
            <v>SEVEBK30</v>
          </cell>
          <cell r="GG80" t="str">
            <v>2023-2024</v>
          </cell>
        </row>
        <row r="81">
          <cell r="E81" t="str">
            <v>Rupa Solitare</v>
          </cell>
          <cell r="F81" t="str">
            <v>10. Launched</v>
          </cell>
          <cell r="G81" t="str">
            <v>NA</v>
          </cell>
          <cell r="H81" t="str">
            <v>_</v>
          </cell>
          <cell r="I81" t="str">
            <v>_</v>
          </cell>
          <cell r="J81" t="str">
            <v>QXPE</v>
          </cell>
          <cell r="K81" t="str">
            <v>W</v>
          </cell>
          <cell r="L81" t="str">
            <v>BK</v>
          </cell>
          <cell r="N81" t="str">
            <v>Sh Nitin Dawange</v>
          </cell>
          <cell r="O81" t="str">
            <v>Sh Nitin Dawange</v>
          </cell>
          <cell r="P81" t="str">
            <v>Sh. Rajesh Gavale</v>
          </cell>
          <cell r="Q81" t="str">
            <v>Shahaji Gohatre</v>
          </cell>
          <cell r="R81" t="str">
            <v>Parth Sharma</v>
          </cell>
          <cell r="S81" t="str">
            <v>Maharashtra</v>
          </cell>
          <cell r="T81" t="str">
            <v>Navi Mumbai</v>
          </cell>
          <cell r="U81" t="str">
            <v>Premium</v>
          </cell>
          <cell r="V81" t="str">
            <v>Misc Formats</v>
          </cell>
          <cell r="W81">
            <v>929</v>
          </cell>
          <cell r="X81" t="str">
            <v>Shop no. 6, Rupa Solitaire, MBP, Koperkhairne, Navi Mumbai, 400710</v>
          </cell>
          <cell r="Z81" t="str">
            <v>Done</v>
          </cell>
          <cell r="AB81">
            <v>44988</v>
          </cell>
          <cell r="AC81">
            <v>44994</v>
          </cell>
          <cell r="AD81">
            <v>44997</v>
          </cell>
          <cell r="AE81">
            <v>44997</v>
          </cell>
          <cell r="AF81" t="str">
            <v>SDR DONE</v>
          </cell>
          <cell r="AG81">
            <v>4</v>
          </cell>
          <cell r="AH81" t="str">
            <v>_</v>
          </cell>
          <cell r="AJ81">
            <v>1</v>
          </cell>
          <cell r="AK81">
            <v>45104</v>
          </cell>
          <cell r="AL81" t="str">
            <v>Received</v>
          </cell>
          <cell r="AM81">
            <v>102</v>
          </cell>
          <cell r="AO81">
            <v>45107</v>
          </cell>
          <cell r="AP81">
            <v>45032</v>
          </cell>
          <cell r="AR81">
            <v>45064</v>
          </cell>
          <cell r="AS81">
            <v>-43</v>
          </cell>
          <cell r="AT81" t="str">
            <v>Received</v>
          </cell>
          <cell r="AU81">
            <v>45108</v>
          </cell>
          <cell r="AV81" t="str">
            <v>NA</v>
          </cell>
          <cell r="AW81" t="str">
            <v>NA</v>
          </cell>
          <cell r="AX81" t="str">
            <v>NA</v>
          </cell>
          <cell r="AZ81" t="str">
            <v>Received</v>
          </cell>
          <cell r="BA81">
            <v>45109</v>
          </cell>
          <cell r="BB81">
            <v>45042</v>
          </cell>
          <cell r="BD81">
            <v>45075</v>
          </cell>
          <cell r="BE81">
            <v>-34</v>
          </cell>
          <cell r="BF81" t="str">
            <v>Received</v>
          </cell>
          <cell r="BG81">
            <v>45109</v>
          </cell>
          <cell r="BH81">
            <v>45051</v>
          </cell>
          <cell r="BJ81">
            <v>45051</v>
          </cell>
          <cell r="BK81">
            <v>-58</v>
          </cell>
          <cell r="BL81" t="str">
            <v>Received</v>
          </cell>
          <cell r="BM81">
            <v>45107</v>
          </cell>
          <cell r="BN81">
            <v>45017</v>
          </cell>
          <cell r="BO81" t="str">
            <v>Received</v>
          </cell>
          <cell r="BP81">
            <v>45107</v>
          </cell>
          <cell r="BQ81">
            <v>45041</v>
          </cell>
          <cell r="BR81" t="str">
            <v>Received</v>
          </cell>
          <cell r="BT81">
            <v>45024</v>
          </cell>
          <cell r="BU81" t="str">
            <v>Received</v>
          </cell>
          <cell r="BV81" t="str">
            <v>Done</v>
          </cell>
          <cell r="BW81" t="str">
            <v>Done</v>
          </cell>
          <cell r="BY81" t="str">
            <v>Done</v>
          </cell>
          <cell r="CD81" t="str">
            <v>Done</v>
          </cell>
          <cell r="CE81">
            <v>45063</v>
          </cell>
          <cell r="CF81" t="str">
            <v>CSS pvt ltd</v>
          </cell>
          <cell r="CG81" t="str">
            <v>CSS Pvt LTD</v>
          </cell>
          <cell r="CH81" t="str">
            <v>Aditya Aircon</v>
          </cell>
          <cell r="CJ81">
            <v>45063</v>
          </cell>
          <cell r="CK81">
            <v>45063</v>
          </cell>
          <cell r="CL81">
            <v>45070</v>
          </cell>
          <cell r="CN81">
            <v>45093</v>
          </cell>
          <cell r="CO81">
            <v>45091</v>
          </cell>
          <cell r="CP81">
            <v>45089</v>
          </cell>
          <cell r="CQ81">
            <v>45110</v>
          </cell>
          <cell r="CR81">
            <v>45093</v>
          </cell>
          <cell r="CS81">
            <v>45097</v>
          </cell>
          <cell r="DD81">
            <v>45051</v>
          </cell>
          <cell r="DE81">
            <v>90</v>
          </cell>
          <cell r="DF81">
            <v>45145</v>
          </cell>
          <cell r="DG81" t="str">
            <v>10. Launched</v>
          </cell>
          <cell r="DJ81" t="str">
            <v/>
          </cell>
          <cell r="DK81">
            <v>45055</v>
          </cell>
          <cell r="DP81">
            <v>45057</v>
          </cell>
          <cell r="DQ81">
            <v>45071</v>
          </cell>
          <cell r="DR81">
            <v>35</v>
          </cell>
          <cell r="DS81">
            <v>45</v>
          </cell>
          <cell r="DU81">
            <v>45106</v>
          </cell>
          <cell r="DV81">
            <v>45116</v>
          </cell>
          <cell r="DW81">
            <v>45106</v>
          </cell>
          <cell r="DX81" t="str">
            <v>June 23 Week 5</v>
          </cell>
          <cell r="DY81" t="str">
            <v/>
          </cell>
          <cell r="DZ81">
            <v>45127</v>
          </cell>
          <cell r="EA81" t="str">
            <v>July 23 Week 3</v>
          </cell>
          <cell r="ED81" t="str">
            <v/>
          </cell>
          <cell r="EE81" t="str">
            <v/>
          </cell>
          <cell r="EF81">
            <v>1</v>
          </cell>
          <cell r="EG81">
            <v>1</v>
          </cell>
          <cell r="EJ81">
            <v>45078</v>
          </cell>
          <cell r="EM81">
            <v>45085</v>
          </cell>
          <cell r="EP81">
            <v>45092</v>
          </cell>
          <cell r="ES81">
            <v>45099</v>
          </cell>
          <cell r="EV81">
            <v>45106</v>
          </cell>
          <cell r="FD81">
            <v>21</v>
          </cell>
          <cell r="FE81" t="str">
            <v>16 to 31 Days</v>
          </cell>
          <cell r="FF81">
            <v>35</v>
          </cell>
          <cell r="FG81" t="str">
            <v>31 to 61 Days</v>
          </cell>
          <cell r="FH81" t="str">
            <v>Done</v>
          </cell>
          <cell r="FI81" t="str">
            <v>Done</v>
          </cell>
          <cell r="FJ81" t="str">
            <v>Done</v>
          </cell>
          <cell r="FM81" t="str">
            <v/>
          </cell>
          <cell r="GG81" t="str">
            <v>2023-2024</v>
          </cell>
        </row>
        <row r="82">
          <cell r="E82" t="str">
            <v>Sagar Tech plaza, Sakinaka</v>
          </cell>
          <cell r="F82" t="str">
            <v>10. Launched</v>
          </cell>
          <cell r="G82" t="str">
            <v>NA</v>
          </cell>
          <cell r="H82" t="str">
            <v>MU-SM-GMU-587/SE</v>
          </cell>
          <cell r="I82" t="str">
            <v>_</v>
          </cell>
          <cell r="J82" t="str">
            <v>QFLR</v>
          </cell>
          <cell r="K82" t="str">
            <v>W</v>
          </cell>
          <cell r="L82" t="str">
            <v>BK</v>
          </cell>
          <cell r="N82" t="str">
            <v>Sh Sanjiv Johari</v>
          </cell>
          <cell r="O82" t="str">
            <v>Sh. Atul M Sawant</v>
          </cell>
          <cell r="P82" t="str">
            <v>Sh. Sagar Sahani</v>
          </cell>
          <cell r="Q82" t="str">
            <v>Shahaji Gohatre</v>
          </cell>
          <cell r="R82" t="str">
            <v>Parth Sharma</v>
          </cell>
          <cell r="S82" t="str">
            <v>Maharashtra</v>
          </cell>
          <cell r="T82" t="str">
            <v>Mumbai</v>
          </cell>
          <cell r="U82" t="str">
            <v>Premium</v>
          </cell>
          <cell r="V82" t="str">
            <v>Misc Formats</v>
          </cell>
          <cell r="W82">
            <v>716</v>
          </cell>
          <cell r="X82" t="str">
            <v>Shop No 3, Ground floor, Sagar Tech Plaza, next to Yes Bank, Indusind, ICICI Bank, Saki Naka, Andheri, 400072</v>
          </cell>
          <cell r="Z82" t="str">
            <v>Done</v>
          </cell>
          <cell r="AB82">
            <v>44524</v>
          </cell>
          <cell r="AC82">
            <v>44526</v>
          </cell>
          <cell r="AD82">
            <v>44531</v>
          </cell>
          <cell r="AE82">
            <v>44531</v>
          </cell>
          <cell r="AF82" t="str">
            <v>SDR DONE</v>
          </cell>
          <cell r="AG82">
            <v>2</v>
          </cell>
          <cell r="AH82" t="str">
            <v>_</v>
          </cell>
          <cell r="AI82">
            <v>44548</v>
          </cell>
          <cell r="AJ82">
            <v>1</v>
          </cell>
          <cell r="AK82">
            <v>44712</v>
          </cell>
          <cell r="AL82" t="str">
            <v>Received</v>
          </cell>
          <cell r="AM82">
            <v>176</v>
          </cell>
          <cell r="AO82">
            <v>44715</v>
          </cell>
          <cell r="AP82">
            <v>44568</v>
          </cell>
          <cell r="AR82">
            <v>44751</v>
          </cell>
          <cell r="AS82">
            <v>36</v>
          </cell>
          <cell r="AT82" t="str">
            <v>Received</v>
          </cell>
          <cell r="AU82">
            <v>44716</v>
          </cell>
          <cell r="AV82" t="str">
            <v>NA</v>
          </cell>
          <cell r="AW82" t="str">
            <v>NA</v>
          </cell>
          <cell r="AX82" t="str">
            <v>NA</v>
          </cell>
          <cell r="AZ82" t="str">
            <v>Received</v>
          </cell>
          <cell r="BA82">
            <v>44717</v>
          </cell>
          <cell r="BB82">
            <v>44672</v>
          </cell>
          <cell r="BF82" t="str">
            <v>Received</v>
          </cell>
          <cell r="BG82">
            <v>44717</v>
          </cell>
          <cell r="BH82">
            <v>44679</v>
          </cell>
          <cell r="BJ82">
            <v>44725</v>
          </cell>
          <cell r="BK82">
            <v>7</v>
          </cell>
          <cell r="BL82" t="str">
            <v>Received</v>
          </cell>
          <cell r="BM82">
            <v>44715</v>
          </cell>
          <cell r="BN82">
            <v>44644</v>
          </cell>
          <cell r="BO82" t="str">
            <v>Received</v>
          </cell>
          <cell r="BP82">
            <v>44715</v>
          </cell>
          <cell r="BQ82">
            <v>44685</v>
          </cell>
          <cell r="BR82" t="str">
            <v>Received</v>
          </cell>
          <cell r="BT82">
            <v>44683</v>
          </cell>
          <cell r="BU82" t="str">
            <v>Received</v>
          </cell>
          <cell r="BV82" t="str">
            <v>Done</v>
          </cell>
          <cell r="BW82" t="str">
            <v>11-12-2021</v>
          </cell>
          <cell r="BX82">
            <v>44544</v>
          </cell>
          <cell r="BY82" t="str">
            <v>Done</v>
          </cell>
          <cell r="CD82" t="str">
            <v>Done</v>
          </cell>
          <cell r="CE82">
            <v>44708</v>
          </cell>
          <cell r="CF82" t="str">
            <v>Leosara World</v>
          </cell>
          <cell r="CG82" t="str">
            <v>Leosara World</v>
          </cell>
          <cell r="CH82" t="str">
            <v>Mansoor corporation</v>
          </cell>
          <cell r="CJ82">
            <v>44708</v>
          </cell>
          <cell r="CK82">
            <v>44705</v>
          </cell>
          <cell r="CN82" t="str">
            <v/>
          </cell>
          <cell r="CO82" t="str">
            <v/>
          </cell>
          <cell r="CP82" t="str">
            <v/>
          </cell>
          <cell r="CR82" t="str">
            <v/>
          </cell>
          <cell r="DD82">
            <v>44704</v>
          </cell>
          <cell r="DG82" t="str">
            <v>10. Launched</v>
          </cell>
          <cell r="DJ82" t="str">
            <v/>
          </cell>
          <cell r="DK82">
            <v>44709</v>
          </cell>
          <cell r="DP82">
            <v>44711</v>
          </cell>
          <cell r="DQ82">
            <v>44718</v>
          </cell>
          <cell r="DR82">
            <v>35</v>
          </cell>
          <cell r="DS82">
            <v>45</v>
          </cell>
          <cell r="DU82">
            <v>44753</v>
          </cell>
          <cell r="DV82">
            <v>44763</v>
          </cell>
          <cell r="DW82">
            <v>44753</v>
          </cell>
          <cell r="DY82" t="str">
            <v/>
          </cell>
          <cell r="DZ82">
            <v>44803</v>
          </cell>
          <cell r="ED82" t="str">
            <v/>
          </cell>
          <cell r="EE82" t="str">
            <v/>
          </cell>
          <cell r="EF82">
            <v>1</v>
          </cell>
          <cell r="EG82">
            <v>1</v>
          </cell>
          <cell r="EJ82">
            <v>44725</v>
          </cell>
          <cell r="EM82">
            <v>44732</v>
          </cell>
          <cell r="EP82">
            <v>44739</v>
          </cell>
          <cell r="ES82">
            <v>44746</v>
          </cell>
          <cell r="EV82">
            <v>44753</v>
          </cell>
          <cell r="FD82">
            <v>50</v>
          </cell>
          <cell r="FE82" t="str">
            <v>31 to 61 Days</v>
          </cell>
          <cell r="FF82">
            <v>57</v>
          </cell>
          <cell r="FG82" t="str">
            <v>31 to 61 Days</v>
          </cell>
          <cell r="FH82" t="str">
            <v>Done</v>
          </cell>
          <cell r="FI82" t="str">
            <v>Done</v>
          </cell>
          <cell r="FJ82" t="str">
            <v>Done</v>
          </cell>
          <cell r="FM82" t="str">
            <v/>
          </cell>
          <cell r="GG82" t="str">
            <v>2022-2023</v>
          </cell>
        </row>
        <row r="83">
          <cell r="E83" t="str">
            <v>Sai Miracle, Khargar</v>
          </cell>
          <cell r="F83" t="str">
            <v>10. Launched</v>
          </cell>
          <cell r="G83" t="str">
            <v>NA</v>
          </cell>
          <cell r="H83" t="str">
            <v>MU-SM-GMU-603/SE</v>
          </cell>
          <cell r="I83" t="str">
            <v>_</v>
          </cell>
          <cell r="J83" t="str">
            <v>QF5K</v>
          </cell>
          <cell r="K83" t="str">
            <v>W</v>
          </cell>
          <cell r="L83" t="str">
            <v>BK</v>
          </cell>
          <cell r="N83" t="str">
            <v>Sh Sanjiv Johari</v>
          </cell>
          <cell r="O83" t="str">
            <v>Sh. Atul M Sawant</v>
          </cell>
          <cell r="P83" t="str">
            <v>Sh,. Samir Patel</v>
          </cell>
          <cell r="Q83" t="str">
            <v>Shahaji Gohatre</v>
          </cell>
          <cell r="R83" t="str">
            <v>Parth Sharma</v>
          </cell>
          <cell r="S83" t="str">
            <v>Maharashtra</v>
          </cell>
          <cell r="T83" t="str">
            <v>Mumbai</v>
          </cell>
          <cell r="U83" t="str">
            <v>Premium</v>
          </cell>
          <cell r="V83" t="str">
            <v>Misc Formats</v>
          </cell>
          <cell r="W83">
            <v>715</v>
          </cell>
          <cell r="X83" t="str">
            <v>In Homes, Shop No-7, Ground Floor, Sai Miracle, Sector 35E, Near Bank Of India, Kharghar, Navi Mumbai, 410210</v>
          </cell>
          <cell r="Z83" t="str">
            <v>Done</v>
          </cell>
          <cell r="AB83">
            <v>44635</v>
          </cell>
          <cell r="AC83">
            <v>44646</v>
          </cell>
          <cell r="AD83">
            <v>44655</v>
          </cell>
          <cell r="AE83">
            <v>44655</v>
          </cell>
          <cell r="AF83" t="str">
            <v>SDR DONE</v>
          </cell>
          <cell r="AG83">
            <v>15</v>
          </cell>
          <cell r="AH83" t="str">
            <v>_</v>
          </cell>
          <cell r="AI83">
            <v>44677</v>
          </cell>
          <cell r="AJ83">
            <v>1</v>
          </cell>
          <cell r="AK83">
            <v>44699</v>
          </cell>
          <cell r="AL83" t="str">
            <v>Received</v>
          </cell>
          <cell r="AM83">
            <v>39</v>
          </cell>
          <cell r="AO83">
            <v>44702</v>
          </cell>
          <cell r="AP83">
            <v>44694</v>
          </cell>
          <cell r="AR83">
            <v>44720</v>
          </cell>
          <cell r="AS83">
            <v>18</v>
          </cell>
          <cell r="AT83" t="str">
            <v>Received</v>
          </cell>
          <cell r="AU83">
            <v>44703</v>
          </cell>
          <cell r="AV83" t="str">
            <v>NA</v>
          </cell>
          <cell r="AW83" t="str">
            <v>NA</v>
          </cell>
          <cell r="AX83" t="str">
            <v>NA</v>
          </cell>
          <cell r="AZ83" t="str">
            <v>Received</v>
          </cell>
          <cell r="BA83">
            <v>44704</v>
          </cell>
          <cell r="BB83">
            <v>44691</v>
          </cell>
          <cell r="BF83" t="str">
            <v>Received</v>
          </cell>
          <cell r="BG83">
            <v>44704</v>
          </cell>
          <cell r="BH83">
            <v>44714</v>
          </cell>
          <cell r="BJ83">
            <v>44714</v>
          </cell>
          <cell r="BK83">
            <v>9</v>
          </cell>
          <cell r="BL83" t="str">
            <v>Received</v>
          </cell>
          <cell r="BM83">
            <v>44702</v>
          </cell>
          <cell r="BN83">
            <v>44686</v>
          </cell>
          <cell r="BO83" t="str">
            <v>Received</v>
          </cell>
          <cell r="BP83">
            <v>44702</v>
          </cell>
          <cell r="BQ83">
            <v>44712</v>
          </cell>
          <cell r="BR83" t="str">
            <v>Received</v>
          </cell>
          <cell r="BT83">
            <v>44687</v>
          </cell>
          <cell r="BU83" t="str">
            <v>Received</v>
          </cell>
          <cell r="BV83" t="str">
            <v>Done</v>
          </cell>
          <cell r="BW83" t="str">
            <v>11-12-2021</v>
          </cell>
          <cell r="BX83">
            <v>44544</v>
          </cell>
          <cell r="BY83" t="str">
            <v>Done</v>
          </cell>
          <cell r="CD83" t="str">
            <v>Done</v>
          </cell>
          <cell r="CE83">
            <v>44711</v>
          </cell>
          <cell r="CF83" t="str">
            <v>Hirfal interiors</v>
          </cell>
          <cell r="CG83" t="str">
            <v>Bhakti Electricals</v>
          </cell>
          <cell r="CH83" t="str">
            <v>Weather guard</v>
          </cell>
          <cell r="CJ83">
            <v>44711</v>
          </cell>
          <cell r="CK83">
            <v>44705</v>
          </cell>
          <cell r="CN83" t="str">
            <v/>
          </cell>
          <cell r="CO83" t="str">
            <v/>
          </cell>
          <cell r="CP83" t="str">
            <v/>
          </cell>
          <cell r="CR83" t="str">
            <v/>
          </cell>
          <cell r="DD83">
            <v>44704</v>
          </cell>
          <cell r="DG83" t="str">
            <v>10. Launched</v>
          </cell>
          <cell r="DJ83" t="str">
            <v/>
          </cell>
          <cell r="DK83">
            <v>44704</v>
          </cell>
          <cell r="DP83">
            <v>44706</v>
          </cell>
          <cell r="DQ83">
            <v>44720</v>
          </cell>
          <cell r="DR83">
            <v>35</v>
          </cell>
          <cell r="DS83">
            <v>45</v>
          </cell>
          <cell r="DU83">
            <v>44755</v>
          </cell>
          <cell r="DV83">
            <v>44765</v>
          </cell>
          <cell r="DW83">
            <v>44755</v>
          </cell>
          <cell r="DY83" t="str">
            <v/>
          </cell>
          <cell r="DZ83">
            <v>44828</v>
          </cell>
          <cell r="ED83" t="str">
            <v/>
          </cell>
          <cell r="EE83" t="str">
            <v/>
          </cell>
          <cell r="EF83">
            <v>1</v>
          </cell>
          <cell r="EG83">
            <v>1</v>
          </cell>
          <cell r="EJ83">
            <v>44727</v>
          </cell>
          <cell r="EM83">
            <v>44734</v>
          </cell>
          <cell r="EP83">
            <v>44741</v>
          </cell>
          <cell r="ES83">
            <v>44748</v>
          </cell>
          <cell r="EV83">
            <v>44755</v>
          </cell>
          <cell r="FD83">
            <v>73</v>
          </cell>
          <cell r="FE83" t="str">
            <v>62 to 90 Days</v>
          </cell>
          <cell r="FF83">
            <v>87</v>
          </cell>
          <cell r="FG83" t="str">
            <v>62 to 90 Days</v>
          </cell>
          <cell r="FH83" t="str">
            <v>Done</v>
          </cell>
          <cell r="FI83" t="str">
            <v>Done</v>
          </cell>
          <cell r="FJ83" t="str">
            <v>Done</v>
          </cell>
          <cell r="FM83" t="str">
            <v/>
          </cell>
          <cell r="GG83" t="str">
            <v>2022-2023</v>
          </cell>
        </row>
        <row r="84">
          <cell r="E84" t="str">
            <v>Samarpan Building</v>
          </cell>
          <cell r="F84" t="str">
            <v>10. Launched</v>
          </cell>
          <cell r="G84" t="str">
            <v>NA</v>
          </cell>
          <cell r="H84" t="str">
            <v>MU-SM-GMU-617</v>
          </cell>
          <cell r="I84" t="str">
            <v>_</v>
          </cell>
          <cell r="J84" t="str">
            <v>QG8L</v>
          </cell>
          <cell r="K84" t="str">
            <v>W</v>
          </cell>
          <cell r="L84" t="str">
            <v>BK</v>
          </cell>
          <cell r="N84" t="str">
            <v>Sh Sanjiv Johari</v>
          </cell>
          <cell r="O84" t="str">
            <v>Sh. Atul M Sawant</v>
          </cell>
          <cell r="P84" t="str">
            <v>Sh. Sagar Sahani</v>
          </cell>
          <cell r="Q84" t="str">
            <v>Shahaji Gohatre</v>
          </cell>
          <cell r="R84" t="str">
            <v>Parth Sharma</v>
          </cell>
          <cell r="S84" t="str">
            <v>Maharashtra</v>
          </cell>
          <cell r="T84" t="str">
            <v>Mumbai</v>
          </cell>
          <cell r="U84" t="str">
            <v>Premium</v>
          </cell>
          <cell r="V84" t="str">
            <v>Misc Formats</v>
          </cell>
          <cell r="W84">
            <v>1150</v>
          </cell>
          <cell r="X84" t="str">
            <v>Shop No. 8, Samarpan Building, Near Jogeshwari Station, Jogeshwari, East - Mumbai – 400060</v>
          </cell>
          <cell r="Z84" t="str">
            <v>Done</v>
          </cell>
          <cell r="AB84">
            <v>44727</v>
          </cell>
          <cell r="AC84">
            <v>44734</v>
          </cell>
          <cell r="AD84">
            <v>44739</v>
          </cell>
          <cell r="AE84">
            <v>44739</v>
          </cell>
          <cell r="AF84" t="str">
            <v>SDR DONE</v>
          </cell>
          <cell r="AG84">
            <v>7</v>
          </cell>
          <cell r="AH84" t="str">
            <v>_</v>
          </cell>
          <cell r="AI84">
            <v>44784</v>
          </cell>
          <cell r="AJ84">
            <v>1</v>
          </cell>
          <cell r="AK84">
            <v>44867</v>
          </cell>
          <cell r="AL84" t="str">
            <v>Received</v>
          </cell>
          <cell r="AM84">
            <v>123</v>
          </cell>
          <cell r="AO84">
            <v>44870</v>
          </cell>
          <cell r="AP84">
            <v>44789</v>
          </cell>
          <cell r="AR84">
            <v>44867</v>
          </cell>
          <cell r="AS84">
            <v>-3</v>
          </cell>
          <cell r="AT84" t="str">
            <v>Received</v>
          </cell>
          <cell r="AU84">
            <v>44871</v>
          </cell>
          <cell r="AV84" t="str">
            <v>NA</v>
          </cell>
          <cell r="AW84" t="str">
            <v>NA</v>
          </cell>
          <cell r="AX84" t="str">
            <v>NA</v>
          </cell>
          <cell r="AZ84" t="str">
            <v>Received</v>
          </cell>
          <cell r="BA84">
            <v>44872</v>
          </cell>
          <cell r="BB84">
            <v>44801</v>
          </cell>
          <cell r="BF84" t="str">
            <v>Received</v>
          </cell>
          <cell r="BG84">
            <v>44872</v>
          </cell>
          <cell r="BH84">
            <v>44812</v>
          </cell>
          <cell r="BJ84">
            <v>44812</v>
          </cell>
          <cell r="BK84">
            <v>-60</v>
          </cell>
          <cell r="BL84" t="str">
            <v>Received</v>
          </cell>
          <cell r="BM84">
            <v>44870</v>
          </cell>
          <cell r="BN84">
            <v>44792</v>
          </cell>
          <cell r="BO84" t="str">
            <v>Received</v>
          </cell>
          <cell r="BP84">
            <v>44870</v>
          </cell>
          <cell r="BQ84">
            <v>44812</v>
          </cell>
          <cell r="BR84" t="str">
            <v>Received</v>
          </cell>
          <cell r="BT84">
            <v>44828</v>
          </cell>
          <cell r="BU84" t="str">
            <v>Received</v>
          </cell>
          <cell r="BV84" t="str">
            <v>Done</v>
          </cell>
          <cell r="BW84" t="str">
            <v>Done</v>
          </cell>
          <cell r="BX84">
            <v>44544</v>
          </cell>
          <cell r="BY84" t="str">
            <v>Done</v>
          </cell>
          <cell r="CD84" t="str">
            <v>Done</v>
          </cell>
          <cell r="CE84">
            <v>44796</v>
          </cell>
          <cell r="CF84" t="str">
            <v>ANK Interiors</v>
          </cell>
          <cell r="CG84" t="str">
            <v>ANK interiors</v>
          </cell>
          <cell r="CH84" t="str">
            <v>Arithmetic</v>
          </cell>
          <cell r="CJ84">
            <v>44796</v>
          </cell>
          <cell r="CK84">
            <v>44792</v>
          </cell>
          <cell r="CN84" t="str">
            <v/>
          </cell>
          <cell r="CO84" t="str">
            <v/>
          </cell>
          <cell r="CP84" t="str">
            <v/>
          </cell>
          <cell r="CR84" t="str">
            <v/>
          </cell>
          <cell r="DD84">
            <v>44787</v>
          </cell>
          <cell r="DG84" t="str">
            <v>10. Launched</v>
          </cell>
          <cell r="DJ84" t="str">
            <v/>
          </cell>
          <cell r="DK84">
            <v>44790</v>
          </cell>
          <cell r="DP84">
            <v>44792</v>
          </cell>
          <cell r="DQ84">
            <v>44799</v>
          </cell>
          <cell r="DR84">
            <v>35</v>
          </cell>
          <cell r="DS84">
            <v>45</v>
          </cell>
          <cell r="DU84">
            <v>44834</v>
          </cell>
          <cell r="DV84">
            <v>44844</v>
          </cell>
          <cell r="DW84">
            <v>44834</v>
          </cell>
          <cell r="DY84" t="str">
            <v/>
          </cell>
          <cell r="DZ84">
            <v>44857</v>
          </cell>
          <cell r="ED84" t="str">
            <v/>
          </cell>
          <cell r="EE84" t="str">
            <v/>
          </cell>
          <cell r="EF84">
            <v>1</v>
          </cell>
          <cell r="EG84">
            <v>1</v>
          </cell>
          <cell r="EJ84">
            <v>44806</v>
          </cell>
          <cell r="EM84">
            <v>44813</v>
          </cell>
          <cell r="EP84">
            <v>44820</v>
          </cell>
          <cell r="ES84">
            <v>44827</v>
          </cell>
          <cell r="EV84">
            <v>44834</v>
          </cell>
          <cell r="FD84">
            <v>23</v>
          </cell>
          <cell r="FE84" t="str">
            <v>16 to 31 Days</v>
          </cell>
          <cell r="FF84">
            <v>30</v>
          </cell>
          <cell r="FG84" t="str">
            <v>16 to 31 Days</v>
          </cell>
          <cell r="FH84" t="str">
            <v>Done</v>
          </cell>
          <cell r="FI84" t="str">
            <v>Done</v>
          </cell>
          <cell r="FJ84" t="str">
            <v>Done</v>
          </cell>
          <cell r="FM84" t="str">
            <v/>
          </cell>
          <cell r="GG84" t="str">
            <v>2022-2023</v>
          </cell>
        </row>
        <row r="85">
          <cell r="E85" t="str">
            <v>Samrin Heritage, Thane West</v>
          </cell>
          <cell r="F85" t="str">
            <v>10. Launched</v>
          </cell>
          <cell r="G85" t="str">
            <v>NA</v>
          </cell>
          <cell r="H85" t="str">
            <v>_</v>
          </cell>
          <cell r="I85" t="str">
            <v>_</v>
          </cell>
          <cell r="J85" t="str">
            <v>QCAV</v>
          </cell>
          <cell r="K85" t="str">
            <v>W</v>
          </cell>
          <cell r="L85" t="str">
            <v>BK</v>
          </cell>
          <cell r="N85" t="str">
            <v>Sh Sanjiv Johari</v>
          </cell>
          <cell r="O85" t="str">
            <v>Sh. Atul M Sawant</v>
          </cell>
          <cell r="P85" t="str">
            <v>Sh. Dindayal Maurya</v>
          </cell>
          <cell r="Q85" t="str">
            <v>Shahaji Gohatre</v>
          </cell>
          <cell r="R85" t="str">
            <v>Parth Sharma</v>
          </cell>
          <cell r="S85" t="str">
            <v>Maharashtra</v>
          </cell>
          <cell r="T85" t="str">
            <v>Thane</v>
          </cell>
          <cell r="U85" t="str">
            <v>Premium</v>
          </cell>
          <cell r="V85" t="str">
            <v>Misc Formats</v>
          </cell>
          <cell r="W85">
            <v>957</v>
          </cell>
          <cell r="X85" t="str">
            <v>Shop no.34 &amp; 34A, Samrin Heritage, Dr.Almeda Road, Panchpakhadi, Thane-West</v>
          </cell>
          <cell r="Z85" t="str">
            <v>Done</v>
          </cell>
          <cell r="AB85">
            <v>44801</v>
          </cell>
          <cell r="AC85">
            <v>44811</v>
          </cell>
          <cell r="AD85">
            <v>44813</v>
          </cell>
          <cell r="AE85">
            <v>44813</v>
          </cell>
          <cell r="AF85" t="str">
            <v>SDR DONE</v>
          </cell>
          <cell r="AG85">
            <v>7</v>
          </cell>
          <cell r="AH85" t="str">
            <v>_</v>
          </cell>
          <cell r="AI85">
            <v>44882</v>
          </cell>
          <cell r="AJ85">
            <v>0</v>
          </cell>
          <cell r="AK85">
            <v>44882</v>
          </cell>
          <cell r="AL85" t="str">
            <v>Received</v>
          </cell>
          <cell r="AM85">
            <v>64</v>
          </cell>
          <cell r="AO85">
            <v>44885</v>
          </cell>
          <cell r="AT85" t="str">
            <v>Received</v>
          </cell>
          <cell r="AU85">
            <v>44886</v>
          </cell>
          <cell r="AV85" t="str">
            <v>NA</v>
          </cell>
          <cell r="AW85" t="str">
            <v>NA</v>
          </cell>
          <cell r="AX85" t="str">
            <v>NA</v>
          </cell>
          <cell r="AZ85" t="str">
            <v>Received</v>
          </cell>
          <cell r="BA85">
            <v>44887</v>
          </cell>
          <cell r="BF85" t="str">
            <v>Received</v>
          </cell>
          <cell r="BG85">
            <v>44887</v>
          </cell>
          <cell r="BJ85" t="str">
            <v/>
          </cell>
          <cell r="BL85" t="str">
            <v>Received</v>
          </cell>
          <cell r="BM85">
            <v>44885</v>
          </cell>
          <cell r="BN85" t="str">
            <v/>
          </cell>
          <cell r="BO85" t="str">
            <v>Received</v>
          </cell>
          <cell r="BP85">
            <v>44885</v>
          </cell>
          <cell r="BR85" t="str">
            <v>Received</v>
          </cell>
          <cell r="BU85" t="str">
            <v>Received</v>
          </cell>
          <cell r="BV85" t="str">
            <v>Done</v>
          </cell>
          <cell r="BW85" t="str">
            <v>Done</v>
          </cell>
          <cell r="BY85" t="str">
            <v>Done</v>
          </cell>
          <cell r="CD85" t="str">
            <v>Done</v>
          </cell>
          <cell r="CE85" t="str">
            <v/>
          </cell>
          <cell r="CF85" t="str">
            <v/>
          </cell>
          <cell r="CG85" t="str">
            <v/>
          </cell>
          <cell r="CH85" t="str">
            <v/>
          </cell>
          <cell r="CN85" t="str">
            <v/>
          </cell>
          <cell r="CO85" t="str">
            <v/>
          </cell>
          <cell r="CP85" t="str">
            <v/>
          </cell>
          <cell r="CR85" t="str">
            <v/>
          </cell>
          <cell r="DD85">
            <v>44909</v>
          </cell>
          <cell r="DG85" t="str">
            <v>10. Launched</v>
          </cell>
          <cell r="DJ85" t="str">
            <v/>
          </cell>
          <cell r="DK85">
            <v>44911</v>
          </cell>
          <cell r="DP85">
            <v>44913</v>
          </cell>
          <cell r="DQ85">
            <v>44933</v>
          </cell>
          <cell r="DR85">
            <v>35</v>
          </cell>
          <cell r="DS85">
            <v>45</v>
          </cell>
          <cell r="DU85">
            <v>44968</v>
          </cell>
          <cell r="DV85">
            <v>44978</v>
          </cell>
          <cell r="DW85">
            <v>44968</v>
          </cell>
          <cell r="DX85" t="str">
            <v>Feb 23 Week 2</v>
          </cell>
          <cell r="DY85" t="str">
            <v/>
          </cell>
          <cell r="DZ85">
            <v>44917</v>
          </cell>
          <cell r="ED85" t="str">
            <v/>
          </cell>
          <cell r="EE85" t="str">
            <v/>
          </cell>
          <cell r="EF85">
            <v>1</v>
          </cell>
          <cell r="EG85">
            <v>1</v>
          </cell>
          <cell r="EJ85">
            <v>44940</v>
          </cell>
          <cell r="EM85">
            <v>44947</v>
          </cell>
          <cell r="EP85">
            <v>44954</v>
          </cell>
          <cell r="ES85">
            <v>44961</v>
          </cell>
          <cell r="EV85">
            <v>44968</v>
          </cell>
          <cell r="FD85">
            <v>-51</v>
          </cell>
          <cell r="FE85" t="str">
            <v>On Time</v>
          </cell>
          <cell r="FF85">
            <v>-31</v>
          </cell>
          <cell r="FG85" t="str">
            <v>On Time</v>
          </cell>
          <cell r="FH85" t="str">
            <v>Done</v>
          </cell>
          <cell r="FI85" t="str">
            <v>Done</v>
          </cell>
          <cell r="FJ85" t="str">
            <v>Done</v>
          </cell>
          <cell r="FM85" t="str">
            <v/>
          </cell>
          <cell r="GG85" t="str">
            <v>2022-2023</v>
          </cell>
        </row>
        <row r="86">
          <cell r="E86" t="str">
            <v>Sarisha Society</v>
          </cell>
          <cell r="F86" t="str">
            <v>14. Dropped</v>
          </cell>
          <cell r="G86" t="str">
            <v>NA</v>
          </cell>
          <cell r="H86" t="str">
            <v>_</v>
          </cell>
          <cell r="I86" t="str">
            <v>_</v>
          </cell>
          <cell r="K86" t="str">
            <v>W</v>
          </cell>
          <cell r="L86" t="str">
            <v>BK</v>
          </cell>
          <cell r="N86" t="str">
            <v>Sh Shashi Pardesi</v>
          </cell>
          <cell r="O86" t="str">
            <v>Sh Shashi Pardesi</v>
          </cell>
          <cell r="P86" t="str">
            <v/>
          </cell>
          <cell r="Q86" t="str">
            <v>Shahaji Gohatre</v>
          </cell>
          <cell r="R86" t="str">
            <v>Parth Sharma</v>
          </cell>
          <cell r="S86" t="str">
            <v>Maharashtra</v>
          </cell>
          <cell r="T86" t="str">
            <v>Pune</v>
          </cell>
          <cell r="U86" t="str">
            <v>Premium</v>
          </cell>
          <cell r="V86" t="str">
            <v>Misc Formats</v>
          </cell>
          <cell r="W86">
            <v>1426</v>
          </cell>
          <cell r="X86" t="str">
            <v>Shop no 9 &amp; 10 Sarisha Society, jambe Road, Malwadi Punawale, Pimpri Chinchwad - 411033</v>
          </cell>
          <cell r="Z86" t="str">
            <v>_</v>
          </cell>
          <cell r="AB86">
            <v>45126</v>
          </cell>
          <cell r="AC86">
            <v>45131</v>
          </cell>
          <cell r="AD86">
            <v>45135</v>
          </cell>
          <cell r="AE86">
            <v>45135</v>
          </cell>
          <cell r="AF86" t="str">
            <v>SDR DONE</v>
          </cell>
          <cell r="AG86">
            <v>4</v>
          </cell>
          <cell r="AH86" t="str">
            <v>_</v>
          </cell>
          <cell r="AJ86">
            <v>1</v>
          </cell>
          <cell r="AK86">
            <v>45267</v>
          </cell>
          <cell r="AL86" t="str">
            <v>Pending</v>
          </cell>
          <cell r="AM86">
            <v>127</v>
          </cell>
          <cell r="AO86">
            <v>45270</v>
          </cell>
          <cell r="AP86">
            <v>45211</v>
          </cell>
          <cell r="AR86">
            <v>45211</v>
          </cell>
          <cell r="AS86">
            <v>-59</v>
          </cell>
          <cell r="AU86">
            <v>45271</v>
          </cell>
          <cell r="AV86">
            <v>45225</v>
          </cell>
          <cell r="BA86">
            <v>45272</v>
          </cell>
          <cell r="BB86">
            <v>45215</v>
          </cell>
          <cell r="BD86">
            <v>45282</v>
          </cell>
          <cell r="BE86">
            <v>9</v>
          </cell>
          <cell r="BG86">
            <v>45272</v>
          </cell>
          <cell r="BJ86">
            <v>45282</v>
          </cell>
          <cell r="BK86">
            <v>9</v>
          </cell>
          <cell r="BM86">
            <v>45270</v>
          </cell>
          <cell r="BN86">
            <v>45194</v>
          </cell>
          <cell r="BP86">
            <v>45270</v>
          </cell>
          <cell r="BQ86">
            <v>45202</v>
          </cell>
          <cell r="BR86" t="str">
            <v>Received</v>
          </cell>
          <cell r="BT86">
            <v>45214</v>
          </cell>
          <cell r="BW86" t="str">
            <v>26-10-2023</v>
          </cell>
          <cell r="CE86" t="str">
            <v/>
          </cell>
          <cell r="CF86" t="str">
            <v/>
          </cell>
          <cell r="CG86" t="str">
            <v/>
          </cell>
          <cell r="CH86" t="str">
            <v/>
          </cell>
          <cell r="CN86" t="str">
            <v/>
          </cell>
          <cell r="CO86" t="str">
            <v/>
          </cell>
          <cell r="CP86" t="str">
            <v/>
          </cell>
          <cell r="CR86" t="str">
            <v/>
          </cell>
          <cell r="DG86" t="str">
            <v>14. Dropped</v>
          </cell>
          <cell r="DJ86" t="str">
            <v/>
          </cell>
          <cell r="DP86" t="str">
            <v/>
          </cell>
          <cell r="DR86">
            <v>35</v>
          </cell>
          <cell r="DS86">
            <v>45</v>
          </cell>
          <cell r="DX86" t="str">
            <v/>
          </cell>
          <cell r="DY86" t="str">
            <v/>
          </cell>
          <cell r="EA86" t="str">
            <v/>
          </cell>
          <cell r="ED86" t="str">
            <v/>
          </cell>
          <cell r="EE86" t="str">
            <v/>
          </cell>
          <cell r="FM86" t="str">
            <v/>
          </cell>
          <cell r="GG86" t="str">
            <v>2024-2025</v>
          </cell>
        </row>
        <row r="87">
          <cell r="E87" t="str">
            <v>Shantivan, CBD Belapur</v>
          </cell>
          <cell r="F87" t="str">
            <v>14. Dropped</v>
          </cell>
          <cell r="G87" t="str">
            <v>NA</v>
          </cell>
          <cell r="H87" t="str">
            <v>_</v>
          </cell>
          <cell r="I87" t="str">
            <v>_</v>
          </cell>
          <cell r="K87" t="str">
            <v>W</v>
          </cell>
          <cell r="L87" t="str">
            <v>BK</v>
          </cell>
          <cell r="N87" t="str">
            <v>Sh Nitin Dawange</v>
          </cell>
          <cell r="O87" t="str">
            <v>Sh Atul M Sawant</v>
          </cell>
          <cell r="P87" t="str">
            <v/>
          </cell>
          <cell r="Q87" t="str">
            <v>Shahaji Gohatre</v>
          </cell>
          <cell r="R87" t="str">
            <v>Parth Sharma</v>
          </cell>
          <cell r="S87" t="str">
            <v>Maharashtra</v>
          </cell>
          <cell r="T87" t="str">
            <v>Mumbai</v>
          </cell>
          <cell r="U87" t="str">
            <v>Premium</v>
          </cell>
          <cell r="V87" t="str">
            <v>Misc Formats</v>
          </cell>
          <cell r="W87">
            <v>541</v>
          </cell>
          <cell r="X87" t="str">
            <v>F-2, Vaman Rao Pai Marg, Sector-6, CBD Belapur, Navi Mumbai</v>
          </cell>
          <cell r="Z87" t="str">
            <v>_</v>
          </cell>
          <cell r="AB87">
            <v>45146</v>
          </cell>
          <cell r="AC87">
            <v>45154</v>
          </cell>
          <cell r="AD87">
            <v>45175</v>
          </cell>
          <cell r="AE87">
            <v>45175</v>
          </cell>
          <cell r="AF87" t="str">
            <v>SDR DONE</v>
          </cell>
          <cell r="AG87">
            <v>24</v>
          </cell>
          <cell r="AH87" t="str">
            <v>_</v>
          </cell>
          <cell r="AL87" t="str">
            <v>Received</v>
          </cell>
          <cell r="AM87">
            <v>997</v>
          </cell>
          <cell r="BJ87" t="str">
            <v/>
          </cell>
          <cell r="BN87" t="str">
            <v/>
          </cell>
          <cell r="BW87" t="str">
            <v/>
          </cell>
          <cell r="CE87" t="str">
            <v/>
          </cell>
          <cell r="CF87" t="str">
            <v/>
          </cell>
          <cell r="CG87" t="str">
            <v/>
          </cell>
          <cell r="CH87" t="str">
            <v/>
          </cell>
          <cell r="CN87" t="str">
            <v/>
          </cell>
          <cell r="CO87" t="str">
            <v/>
          </cell>
          <cell r="CP87" t="str">
            <v/>
          </cell>
          <cell r="CR87" t="str">
            <v/>
          </cell>
          <cell r="DG87" t="str">
            <v>14. Dropped</v>
          </cell>
          <cell r="DJ87" t="str">
            <v/>
          </cell>
          <cell r="DP87" t="str">
            <v/>
          </cell>
          <cell r="DR87">
            <v>35</v>
          </cell>
          <cell r="DS87">
            <v>45</v>
          </cell>
          <cell r="DX87" t="str">
            <v/>
          </cell>
          <cell r="DY87" t="str">
            <v/>
          </cell>
          <cell r="EA87" t="str">
            <v/>
          </cell>
          <cell r="ED87" t="str">
            <v/>
          </cell>
          <cell r="EE87" t="str">
            <v/>
          </cell>
          <cell r="FM87" t="str">
            <v/>
          </cell>
          <cell r="GG87" t="str">
            <v>2024-2025</v>
          </cell>
        </row>
        <row r="88">
          <cell r="E88" t="str">
            <v>Shop no - 1, Mindspace (East), Airoli</v>
          </cell>
          <cell r="F88" t="str">
            <v>10. Launched</v>
          </cell>
          <cell r="G88" t="str">
            <v>SEVEBK10532</v>
          </cell>
          <cell r="H88" t="str">
            <v>MU-SM-GMU-761</v>
          </cell>
          <cell r="I88" t="str">
            <v>_</v>
          </cell>
          <cell r="J88" t="str">
            <v>QV7O</v>
          </cell>
          <cell r="K88" t="str">
            <v>W</v>
          </cell>
          <cell r="L88" t="str">
            <v>BK</v>
          </cell>
          <cell r="N88" t="str">
            <v>Sh Jaisingh Desai</v>
          </cell>
          <cell r="O88" t="str">
            <v>Sh Nitin Dawange</v>
          </cell>
          <cell r="P88" t="str">
            <v>Mr. Abhishek Mishra</v>
          </cell>
          <cell r="Q88" t="str">
            <v>Arju Tiwari</v>
          </cell>
          <cell r="R88" t="str">
            <v>Kiran Patil</v>
          </cell>
          <cell r="S88" t="str">
            <v>Maharashtra</v>
          </cell>
          <cell r="T88" t="str">
            <v>Navi Mumbai</v>
          </cell>
          <cell r="U88" t="str">
            <v>Premium</v>
          </cell>
          <cell r="V88" t="str">
            <v>Misc Formats</v>
          </cell>
          <cell r="W88">
            <v>747</v>
          </cell>
          <cell r="X88" t="str">
            <v>Shop no.01, Ground floor, bldg no.05 &amp; 06, Mindspace, Airoli (East)</v>
          </cell>
          <cell r="Y88">
            <v>45722</v>
          </cell>
          <cell r="Z88" t="str">
            <v>16-04-2025</v>
          </cell>
          <cell r="AA88">
            <v>45714</v>
          </cell>
          <cell r="AB88">
            <v>45181</v>
          </cell>
          <cell r="AC88">
            <v>45183</v>
          </cell>
          <cell r="AD88">
            <v>45197</v>
          </cell>
          <cell r="AE88">
            <v>45197</v>
          </cell>
          <cell r="AF88" t="str">
            <v>SDR DONE</v>
          </cell>
          <cell r="AG88">
            <v>11</v>
          </cell>
          <cell r="AH88" t="str">
            <v>NA</v>
          </cell>
          <cell r="AJ88">
            <v>1</v>
          </cell>
          <cell r="AK88">
            <v>45688</v>
          </cell>
          <cell r="AL88" t="str">
            <v>Received</v>
          </cell>
          <cell r="AM88">
            <v>486</v>
          </cell>
          <cell r="AN88" t="str">
            <v>Due to revise concept of cash counter front glass ML Revised on 25-06-2024 with revised ML on 01-07-2024</v>
          </cell>
          <cell r="AO88">
            <v>45691</v>
          </cell>
          <cell r="AQ88">
            <v>3</v>
          </cell>
          <cell r="AR88">
            <v>45693</v>
          </cell>
          <cell r="AS88">
            <v>2</v>
          </cell>
          <cell r="AT88" t="str">
            <v>Received</v>
          </cell>
          <cell r="AU88">
            <v>45692</v>
          </cell>
          <cell r="AV88" t="str">
            <v>31-10-2023
14-02-2025</v>
          </cell>
          <cell r="AW88">
            <v>2</v>
          </cell>
          <cell r="AX88">
            <v>45773</v>
          </cell>
          <cell r="AY88">
            <v>81</v>
          </cell>
          <cell r="AZ88" t="str">
            <v>Received</v>
          </cell>
          <cell r="BA88">
            <v>45693</v>
          </cell>
          <cell r="BC88">
            <v>3</v>
          </cell>
          <cell r="BD88">
            <v>45692</v>
          </cell>
          <cell r="BE88">
            <v>-1</v>
          </cell>
          <cell r="BF88" t="str">
            <v>PLB received on 04-07-2024</v>
          </cell>
          <cell r="BG88">
            <v>45693</v>
          </cell>
          <cell r="BI88">
            <v>2</v>
          </cell>
          <cell r="BJ88">
            <v>45693</v>
          </cell>
          <cell r="BK88">
            <v>0</v>
          </cell>
          <cell r="BL88" t="str">
            <v>Received</v>
          </cell>
          <cell r="BM88">
            <v>45691</v>
          </cell>
          <cell r="BN88" t="str">
            <v>14-10-2023
02-07-2024
05-02-2025</v>
          </cell>
          <cell r="BO88" t="str">
            <v>Received</v>
          </cell>
          <cell r="BP88">
            <v>45691</v>
          </cell>
          <cell r="BR88" t="str">
            <v>Received</v>
          </cell>
          <cell r="BS88">
            <v>45690</v>
          </cell>
          <cell r="BU88" t="str">
            <v>IT/SLP/Plumbing/C&amp;I GFC /Fixture &amp; component BOQ Received</v>
          </cell>
          <cell r="BV88" t="str">
            <v>Done</v>
          </cell>
          <cell r="BW88" t="str">
            <v>25-12-2023</v>
          </cell>
          <cell r="BX88">
            <v>45352</v>
          </cell>
          <cell r="BY88" t="str">
            <v>Done</v>
          </cell>
          <cell r="BZ88" t="str">
            <v>Approved</v>
          </cell>
          <cell r="CA88" t="str">
            <v>Approved</v>
          </cell>
          <cell r="CC88" t="str">
            <v>_</v>
          </cell>
          <cell r="CD88">
            <v>45700</v>
          </cell>
          <cell r="CE88">
            <v>45726</v>
          </cell>
          <cell r="CF88" t="str">
            <v>3DESIRE NETWORKS AND SOLUTIONS</v>
          </cell>
          <cell r="CG88" t="str">
            <v>3DESIRE NETWORKS AND SOLUTIONS</v>
          </cell>
          <cell r="CH88" t="str">
            <v>ADITYA AIR CONDITIONING</v>
          </cell>
          <cell r="CI88" t="str">
            <v>_</v>
          </cell>
          <cell r="CJ88">
            <v>45726</v>
          </cell>
          <cell r="CK88">
            <v>45726</v>
          </cell>
          <cell r="CL88">
            <v>45726</v>
          </cell>
          <cell r="CM88">
            <v>26</v>
          </cell>
          <cell r="CN88" t="str">
            <v>25-04-2025
Structure SSB shared by EIC on 02-05-2025</v>
          </cell>
          <cell r="CO88">
            <v>45786</v>
          </cell>
          <cell r="CP88" t="str">
            <v>FF-12-05-2025</v>
          </cell>
          <cell r="CQ88">
            <v>45775</v>
          </cell>
          <cell r="CR88">
            <v>45821</v>
          </cell>
          <cell r="CS88">
            <v>45790</v>
          </cell>
          <cell r="CU88" t="str">
            <v>_</v>
          </cell>
          <cell r="CW88" t="str">
            <v>_</v>
          </cell>
          <cell r="CX88">
            <v>45726</v>
          </cell>
          <cell r="CY88">
            <v>45726</v>
          </cell>
          <cell r="CZ88">
            <v>45726</v>
          </cell>
          <cell r="DA88" t="str">
            <v>R0 Work Order Done , R1 Pending with Contracts</v>
          </cell>
          <cell r="DB88" t="str">
            <v>R0 Work Order Done , R1 Pending with Contracts</v>
          </cell>
          <cell r="DC88" t="str">
            <v>R0 Work Order Done , R1 Pending with Contracts</v>
          </cell>
          <cell r="DD88">
            <v>45757</v>
          </cell>
          <cell r="DE88">
            <v>60</v>
          </cell>
          <cell r="DF88">
            <v>45822</v>
          </cell>
          <cell r="DG88" t="str">
            <v>10. Launched</v>
          </cell>
          <cell r="DH88" t="str">
            <v>RFC Signoff Done on 11-03-2025
Plan start 13-03-2025</v>
          </cell>
          <cell r="DI88" t="str">
            <v>_</v>
          </cell>
          <cell r="DJ88" t="str">
            <v>RFC visit Done on 17-02-2025</v>
          </cell>
          <cell r="DK88">
            <v>45762</v>
          </cell>
          <cell r="DL88">
            <v>45726</v>
          </cell>
          <cell r="DM88" t="str">
            <v>_</v>
          </cell>
          <cell r="DN88" t="str">
            <v>_</v>
          </cell>
          <cell r="DO88" t="str">
            <v xml:space="preserve">PO-WO Approval awaited
site is on Hold as per Business confirmation on 12-03-2025
Revised RFC Visit Plan on 14-04-2025
</v>
          </cell>
          <cell r="DP88">
            <v>45765</v>
          </cell>
          <cell r="DQ88">
            <v>45765</v>
          </cell>
          <cell r="DR88">
            <v>35</v>
          </cell>
          <cell r="DS88">
            <v>45</v>
          </cell>
          <cell r="DT88">
            <v>33</v>
          </cell>
          <cell r="DU88">
            <v>45800</v>
          </cell>
          <cell r="DV88">
            <v>45810</v>
          </cell>
          <cell r="DW88">
            <v>45833</v>
          </cell>
          <cell r="DX88" t="str">
            <v>June 25 Week 4</v>
          </cell>
          <cell r="DY88" t="str">
            <v>23-05-2025
10-06-2025
18-06-2025</v>
          </cell>
          <cell r="DZ88">
            <v>45826</v>
          </cell>
          <cell r="EA88" t="str">
            <v>June 25 Week 3</v>
          </cell>
          <cell r="EB88" t="str">
            <v>Plan</v>
          </cell>
          <cell r="ED88" t="str">
            <v/>
          </cell>
          <cell r="EE88" t="str">
            <v/>
          </cell>
          <cell r="EF88">
            <v>1</v>
          </cell>
          <cell r="EG88">
            <v>1</v>
          </cell>
          <cell r="EJ88">
            <v>45772</v>
          </cell>
          <cell r="EM88">
            <v>45779</v>
          </cell>
          <cell r="EP88">
            <v>45786</v>
          </cell>
          <cell r="ES88">
            <v>45793</v>
          </cell>
          <cell r="EV88">
            <v>45800</v>
          </cell>
          <cell r="FD88">
            <v>-7</v>
          </cell>
          <cell r="FE88" t="str">
            <v>On Time</v>
          </cell>
          <cell r="FF88">
            <v>-7</v>
          </cell>
          <cell r="FG88" t="str">
            <v>On Time</v>
          </cell>
          <cell r="FH88" t="str">
            <v>Done</v>
          </cell>
          <cell r="FI88">
            <v>45835</v>
          </cell>
          <cell r="FJ88">
            <v>45868</v>
          </cell>
          <cell r="FK88">
            <v>45868</v>
          </cell>
          <cell r="FM88" t="str">
            <v/>
          </cell>
          <cell r="FZ88" t="str">
            <v xml:space="preserve">Vendor Material Mobilization started on 16-04-2025
Flex Barrigating work BOQ to be submitted by 17-04-2025
Pest Control done on 18-04-2025 and Pest Control certificate provided to NSO.
Fire Extinguisher certificate shared on 30-04-2025
Civil : PCC - Done - Curing -Done
Flex Partition - Done- 21-04-2025
Tiling Work -Done skirting -WIP
Partition- Framing Work - Done / Ply installation-WIP
Painting - WIP
Electrical : Conduiting/Wiring/Cabeling -WIP
UG Conduiting - Done
Light FIM delivered on 22-04-2025
HVAC: Vendor visited on 22-04-2025 - Measurement done - Ducting Material delivered.
Ducting - WIP
Copper Piping - WIP
IDU Hanged / floor mounted ODU placement done
Plumbing - WIP
Structure - LT Panel Structural Work - WIP
          Loft Structural Work - WIP
Branding bos structure - WIP
Structural material delivered on 06-05-2025
FF - WIP
Power supply cutoff from 08-05-2025- Power resumed on dated 23-05-2025
SLP Callout received on 06-06-2025
Final IT callout given on 12-06-2025
</v>
          </cell>
          <cell r="GA88">
            <v>45784</v>
          </cell>
          <cell r="GB88">
            <v>45812</v>
          </cell>
          <cell r="GC88">
            <v>45812</v>
          </cell>
          <cell r="GD88" t="str">
            <v>Done</v>
          </cell>
          <cell r="GG88" t="str">
            <v>2025-2026</v>
          </cell>
        </row>
        <row r="89">
          <cell r="E89" t="str">
            <v>Shree Ambika Heritage, Khargar</v>
          </cell>
          <cell r="F89" t="str">
            <v>10. Launched</v>
          </cell>
          <cell r="G89" t="str">
            <v>NA</v>
          </cell>
          <cell r="H89" t="str">
            <v>_</v>
          </cell>
          <cell r="I89" t="str">
            <v>_</v>
          </cell>
          <cell r="J89" t="str">
            <v>Q2U6</v>
          </cell>
          <cell r="K89" t="str">
            <v>W</v>
          </cell>
          <cell r="L89" t="str">
            <v>BK</v>
          </cell>
          <cell r="N89" t="str">
            <v>Sh Sanjiv Johari</v>
          </cell>
          <cell r="O89" t="str">
            <v>Sh. Atul M Sawant</v>
          </cell>
          <cell r="P89" t="str">
            <v>Sh. Rajesh Gavale</v>
          </cell>
          <cell r="Q89" t="str">
            <v>Shahaji Gohatre</v>
          </cell>
          <cell r="R89" t="str">
            <v>Parth Sharma</v>
          </cell>
          <cell r="S89" t="str">
            <v>Maharashtra</v>
          </cell>
          <cell r="T89" t="str">
            <v>Mumbai</v>
          </cell>
          <cell r="U89" t="str">
            <v>Premium</v>
          </cell>
          <cell r="V89" t="str">
            <v>Misc Formats</v>
          </cell>
          <cell r="W89">
            <v>1054</v>
          </cell>
          <cell r="X89" t="str">
            <v>Shop 13,14, Shree Ambika Heritage Sector 1, Plot 1, Kharghar, Maharashtra 410210</v>
          </cell>
          <cell r="Z89" t="str">
            <v>Done</v>
          </cell>
          <cell r="AB89">
            <v>44778</v>
          </cell>
          <cell r="AC89">
            <v>44784</v>
          </cell>
          <cell r="AD89">
            <v>44785</v>
          </cell>
          <cell r="AE89">
            <v>44785</v>
          </cell>
          <cell r="AF89" t="str">
            <v>SDR DONE</v>
          </cell>
          <cell r="AG89">
            <v>2</v>
          </cell>
          <cell r="AH89" t="str">
            <v>_</v>
          </cell>
          <cell r="AI89">
            <v>44797</v>
          </cell>
          <cell r="AJ89">
            <v>1</v>
          </cell>
          <cell r="AK89">
            <v>44872</v>
          </cell>
          <cell r="AL89" t="str">
            <v>Received</v>
          </cell>
          <cell r="AM89">
            <v>82</v>
          </cell>
          <cell r="AO89">
            <v>44875</v>
          </cell>
          <cell r="AP89">
            <v>44805</v>
          </cell>
          <cell r="AR89">
            <v>44875</v>
          </cell>
          <cell r="AS89">
            <v>0</v>
          </cell>
          <cell r="AT89" t="str">
            <v>Received</v>
          </cell>
          <cell r="AU89">
            <v>44876</v>
          </cell>
          <cell r="AV89" t="str">
            <v>NA</v>
          </cell>
          <cell r="AW89" t="str">
            <v>NA</v>
          </cell>
          <cell r="AX89" t="str">
            <v>NA</v>
          </cell>
          <cell r="AZ89" t="str">
            <v>Received</v>
          </cell>
          <cell r="BA89">
            <v>44877</v>
          </cell>
          <cell r="BB89">
            <v>44817</v>
          </cell>
          <cell r="BD89">
            <v>44817</v>
          </cell>
          <cell r="BE89">
            <v>-60</v>
          </cell>
          <cell r="BF89" t="str">
            <v>Received</v>
          </cell>
          <cell r="BG89">
            <v>44877</v>
          </cell>
          <cell r="BH89">
            <v>44818</v>
          </cell>
          <cell r="BJ89">
            <v>44818</v>
          </cell>
          <cell r="BK89">
            <v>-59</v>
          </cell>
          <cell r="BL89" t="str">
            <v>Received</v>
          </cell>
          <cell r="BM89">
            <v>44875</v>
          </cell>
          <cell r="BN89">
            <v>44798</v>
          </cell>
          <cell r="BO89" t="str">
            <v>Received</v>
          </cell>
          <cell r="BP89">
            <v>44875</v>
          </cell>
          <cell r="BQ89">
            <v>44819</v>
          </cell>
          <cell r="BR89" t="str">
            <v>Received</v>
          </cell>
          <cell r="BT89">
            <v>44828</v>
          </cell>
          <cell r="BU89" t="str">
            <v>Received</v>
          </cell>
          <cell r="BV89" t="str">
            <v>Done</v>
          </cell>
          <cell r="BW89" t="str">
            <v>11-12-2021</v>
          </cell>
          <cell r="BX89">
            <v>44544</v>
          </cell>
          <cell r="BY89" t="str">
            <v>Done</v>
          </cell>
          <cell r="CD89" t="str">
            <v>Done</v>
          </cell>
          <cell r="CE89">
            <v>44813</v>
          </cell>
          <cell r="CF89" t="str">
            <v>Hirfal Interiors</v>
          </cell>
          <cell r="CG89" t="str">
            <v>Kailath Engineers</v>
          </cell>
          <cell r="CH89" t="str">
            <v/>
          </cell>
          <cell r="CJ89">
            <v>44813</v>
          </cell>
          <cell r="CK89">
            <v>44813</v>
          </cell>
          <cell r="CN89" t="str">
            <v/>
          </cell>
          <cell r="CO89" t="str">
            <v/>
          </cell>
          <cell r="CP89" t="str">
            <v/>
          </cell>
          <cell r="CR89" t="str">
            <v/>
          </cell>
          <cell r="DD89">
            <v>44796</v>
          </cell>
          <cell r="DG89" t="str">
            <v>10. Launched</v>
          </cell>
          <cell r="DJ89" t="str">
            <v/>
          </cell>
          <cell r="DK89">
            <v>44802</v>
          </cell>
          <cell r="DP89">
            <v>44804</v>
          </cell>
          <cell r="DQ89">
            <v>44824</v>
          </cell>
          <cell r="DR89">
            <v>35</v>
          </cell>
          <cell r="DS89">
            <v>45</v>
          </cell>
          <cell r="DU89">
            <v>44859</v>
          </cell>
          <cell r="DV89">
            <v>44869</v>
          </cell>
          <cell r="DW89">
            <v>44859</v>
          </cell>
          <cell r="DY89" t="str">
            <v/>
          </cell>
          <cell r="DZ89">
            <v>44922</v>
          </cell>
          <cell r="ED89" t="str">
            <v/>
          </cell>
          <cell r="EE89" t="str">
            <v/>
          </cell>
          <cell r="EF89">
            <v>1</v>
          </cell>
          <cell r="EG89">
            <v>1</v>
          </cell>
          <cell r="EJ89">
            <v>44831</v>
          </cell>
          <cell r="EM89">
            <v>44838</v>
          </cell>
          <cell r="EP89">
            <v>44845</v>
          </cell>
          <cell r="ES89">
            <v>44852</v>
          </cell>
          <cell r="EV89">
            <v>44859</v>
          </cell>
          <cell r="FD89">
            <v>63</v>
          </cell>
          <cell r="FE89" t="str">
            <v>62 to 90 Days</v>
          </cell>
          <cell r="FF89">
            <v>83</v>
          </cell>
          <cell r="FG89" t="str">
            <v>62 to 90 Days</v>
          </cell>
          <cell r="FH89" t="str">
            <v>Done</v>
          </cell>
          <cell r="FI89" t="str">
            <v>Done</v>
          </cell>
          <cell r="FJ89" t="str">
            <v>Done</v>
          </cell>
          <cell r="FM89" t="str">
            <v/>
          </cell>
          <cell r="GG89" t="str">
            <v>2022-2023</v>
          </cell>
        </row>
        <row r="90">
          <cell r="E90" t="str">
            <v>Shree Praful, Kandivile</v>
          </cell>
          <cell r="F90" t="str">
            <v>10. Launched</v>
          </cell>
          <cell r="G90" t="str">
            <v>NA</v>
          </cell>
          <cell r="H90" t="str">
            <v>MU-SM-GMU-602/SE</v>
          </cell>
          <cell r="I90" t="str">
            <v>_</v>
          </cell>
          <cell r="J90" t="str">
            <v>QGJU</v>
          </cell>
          <cell r="K90" t="str">
            <v>W</v>
          </cell>
          <cell r="L90" t="str">
            <v>BK</v>
          </cell>
          <cell r="N90" t="str">
            <v>Sh Sanjiv Johari</v>
          </cell>
          <cell r="O90" t="str">
            <v>Sh. Atul M Sawant</v>
          </cell>
          <cell r="P90" t="str">
            <v>Sh. Abhijit Patil</v>
          </cell>
          <cell r="Q90" t="str">
            <v>Shahaji Gohatre</v>
          </cell>
          <cell r="R90" t="str">
            <v>Parth Sharma</v>
          </cell>
          <cell r="S90" t="str">
            <v>Maharashtra</v>
          </cell>
          <cell r="T90" t="str">
            <v>Mumbai</v>
          </cell>
          <cell r="U90" t="str">
            <v>Premium</v>
          </cell>
          <cell r="V90" t="str">
            <v>Misc Formats</v>
          </cell>
          <cell r="W90">
            <v>650</v>
          </cell>
          <cell r="X90" t="str">
            <v>Shop No. 3, Shree Praful, Dahanukar wadi, M.G Road, Kandivali-West</v>
          </cell>
          <cell r="Z90" t="str">
            <v>Done</v>
          </cell>
          <cell r="AB90">
            <v>44662</v>
          </cell>
          <cell r="AC90">
            <v>44664</v>
          </cell>
          <cell r="AD90">
            <v>44664</v>
          </cell>
          <cell r="AE90">
            <v>44664</v>
          </cell>
          <cell r="AF90" t="str">
            <v>SDR DONE</v>
          </cell>
          <cell r="AG90">
            <v>0</v>
          </cell>
          <cell r="AH90" t="str">
            <v>_</v>
          </cell>
          <cell r="AI90">
            <v>44698</v>
          </cell>
          <cell r="AJ90">
            <v>1</v>
          </cell>
          <cell r="AK90">
            <v>44739</v>
          </cell>
          <cell r="AL90" t="str">
            <v>Received</v>
          </cell>
          <cell r="AM90">
            <v>70</v>
          </cell>
          <cell r="AO90">
            <v>44742</v>
          </cell>
          <cell r="AP90">
            <v>44755</v>
          </cell>
          <cell r="AR90">
            <v>44841</v>
          </cell>
          <cell r="AS90">
            <v>99</v>
          </cell>
          <cell r="AT90" t="str">
            <v>Received</v>
          </cell>
          <cell r="AU90">
            <v>44743</v>
          </cell>
          <cell r="AV90" t="str">
            <v>NA</v>
          </cell>
          <cell r="AW90" t="str">
            <v>NA</v>
          </cell>
          <cell r="AX90" t="str">
            <v>NA</v>
          </cell>
          <cell r="AZ90" t="str">
            <v>Received</v>
          </cell>
          <cell r="BA90">
            <v>44744</v>
          </cell>
          <cell r="BB90">
            <v>44761</v>
          </cell>
          <cell r="BF90" t="str">
            <v>Received</v>
          </cell>
          <cell r="BG90">
            <v>44744</v>
          </cell>
          <cell r="BH90">
            <v>44762</v>
          </cell>
          <cell r="BJ90">
            <v>44762</v>
          </cell>
          <cell r="BK90">
            <v>17</v>
          </cell>
          <cell r="BL90" t="str">
            <v>Received</v>
          </cell>
          <cell r="BM90">
            <v>44742</v>
          </cell>
          <cell r="BN90">
            <v>44737</v>
          </cell>
          <cell r="BO90" t="str">
            <v>Received</v>
          </cell>
          <cell r="BP90">
            <v>44742</v>
          </cell>
          <cell r="BQ90">
            <v>44761</v>
          </cell>
          <cell r="BR90" t="str">
            <v>Received</v>
          </cell>
          <cell r="BT90">
            <v>44796</v>
          </cell>
          <cell r="BU90" t="str">
            <v>Received</v>
          </cell>
          <cell r="BV90" t="str">
            <v>Done</v>
          </cell>
          <cell r="BW90" t="str">
            <v>Done</v>
          </cell>
          <cell r="BX90">
            <v>44544</v>
          </cell>
          <cell r="BY90" t="str">
            <v>Done</v>
          </cell>
          <cell r="CD90" t="str">
            <v>Done</v>
          </cell>
          <cell r="CE90">
            <v>44761</v>
          </cell>
          <cell r="CF90" t="str">
            <v>Leosara World</v>
          </cell>
          <cell r="CG90" t="str">
            <v>Leosara world</v>
          </cell>
          <cell r="CH90" t="str">
            <v>Mansoor corporation</v>
          </cell>
          <cell r="CJ90">
            <v>44761</v>
          </cell>
          <cell r="CK90">
            <v>44757</v>
          </cell>
          <cell r="CN90" t="str">
            <v/>
          </cell>
          <cell r="CO90" t="str">
            <v/>
          </cell>
          <cell r="CP90" t="str">
            <v/>
          </cell>
          <cell r="CR90" t="str">
            <v/>
          </cell>
          <cell r="DD90">
            <v>44754</v>
          </cell>
          <cell r="DG90" t="str">
            <v>10. Launched</v>
          </cell>
          <cell r="DJ90" t="str">
            <v/>
          </cell>
          <cell r="DK90">
            <v>44755</v>
          </cell>
          <cell r="DP90">
            <v>44757</v>
          </cell>
          <cell r="DQ90">
            <v>44767</v>
          </cell>
          <cell r="DR90">
            <v>35</v>
          </cell>
          <cell r="DS90">
            <v>45</v>
          </cell>
          <cell r="DU90">
            <v>44802</v>
          </cell>
          <cell r="DV90">
            <v>44812</v>
          </cell>
          <cell r="DW90">
            <v>44802</v>
          </cell>
          <cell r="DY90" t="str">
            <v/>
          </cell>
          <cell r="DZ90">
            <v>44853</v>
          </cell>
          <cell r="ED90" t="str">
            <v/>
          </cell>
          <cell r="EE90" t="str">
            <v/>
          </cell>
          <cell r="EF90">
            <v>1</v>
          </cell>
          <cell r="EG90">
            <v>1</v>
          </cell>
          <cell r="EJ90">
            <v>44774</v>
          </cell>
          <cell r="EM90">
            <v>44781</v>
          </cell>
          <cell r="EP90">
            <v>44788</v>
          </cell>
          <cell r="ES90">
            <v>44795</v>
          </cell>
          <cell r="EV90">
            <v>44802</v>
          </cell>
          <cell r="FD90">
            <v>51</v>
          </cell>
          <cell r="FE90" t="str">
            <v>31 to 61 Days</v>
          </cell>
          <cell r="FF90">
            <v>61</v>
          </cell>
          <cell r="FG90" t="str">
            <v>31 to 61 Days</v>
          </cell>
          <cell r="FH90" t="str">
            <v>Done</v>
          </cell>
          <cell r="FI90" t="str">
            <v>Done</v>
          </cell>
          <cell r="FJ90" t="str">
            <v>Done</v>
          </cell>
          <cell r="FM90" t="str">
            <v/>
          </cell>
          <cell r="GG90" t="str">
            <v>2022-2023</v>
          </cell>
        </row>
        <row r="91">
          <cell r="E91" t="str">
            <v>Siddesh Optimus</v>
          </cell>
          <cell r="F91" t="str">
            <v>14. Dropped</v>
          </cell>
          <cell r="G91" t="str">
            <v>NA</v>
          </cell>
          <cell r="H91" t="str">
            <v>_</v>
          </cell>
          <cell r="I91" t="str">
            <v>_</v>
          </cell>
          <cell r="K91" t="str">
            <v>W</v>
          </cell>
          <cell r="L91" t="str">
            <v>BK</v>
          </cell>
          <cell r="N91" t="str">
            <v>Sh Shashi Pardesi</v>
          </cell>
          <cell r="O91" t="str">
            <v>Sh Ashish M</v>
          </cell>
          <cell r="P91" t="str">
            <v/>
          </cell>
          <cell r="Q91" t="str">
            <v>Shahaji Gohatre</v>
          </cell>
          <cell r="R91" t="str">
            <v>Parth Sharma</v>
          </cell>
          <cell r="S91" t="str">
            <v>Maharashtra</v>
          </cell>
          <cell r="T91" t="str">
            <v>Navi Mumbai</v>
          </cell>
          <cell r="U91" t="str">
            <v>Premium</v>
          </cell>
          <cell r="V91" t="str">
            <v>Misc Formats</v>
          </cell>
          <cell r="W91">
            <v>935</v>
          </cell>
          <cell r="X91" t="str">
            <v>Shop no 2 &amp; 3 Siddesh Optimus Konark Nagar, Mhada Colony, Viman Nagar, Pune, Maharashtra 411014</v>
          </cell>
          <cell r="Z91" t="str">
            <v>_</v>
          </cell>
          <cell r="AB91">
            <v>45268</v>
          </cell>
          <cell r="AC91">
            <v>45272</v>
          </cell>
          <cell r="AD91">
            <v>45280</v>
          </cell>
          <cell r="AE91">
            <v>45280</v>
          </cell>
          <cell r="AF91" t="str">
            <v>SDR DONE</v>
          </cell>
          <cell r="AG91">
            <v>7</v>
          </cell>
          <cell r="AH91" t="str">
            <v>_</v>
          </cell>
          <cell r="AJ91">
            <v>1</v>
          </cell>
          <cell r="AK91">
            <v>45302</v>
          </cell>
          <cell r="AL91" t="str">
            <v>Received</v>
          </cell>
          <cell r="AM91">
            <v>17</v>
          </cell>
          <cell r="AO91">
            <v>45305</v>
          </cell>
          <cell r="AP91">
            <v>45327</v>
          </cell>
          <cell r="AR91">
            <v>45345</v>
          </cell>
          <cell r="AS91">
            <v>40</v>
          </cell>
          <cell r="AU91">
            <v>45306</v>
          </cell>
          <cell r="AV91">
            <v>45341</v>
          </cell>
          <cell r="BA91">
            <v>45307</v>
          </cell>
          <cell r="BB91">
            <v>45320</v>
          </cell>
          <cell r="BD91">
            <v>45350</v>
          </cell>
          <cell r="BE91">
            <v>42</v>
          </cell>
          <cell r="BG91">
            <v>45307</v>
          </cell>
          <cell r="BH91">
            <v>45322</v>
          </cell>
          <cell r="BJ91">
            <v>45322</v>
          </cell>
          <cell r="BK91">
            <v>14</v>
          </cell>
          <cell r="BM91">
            <v>45305</v>
          </cell>
          <cell r="BN91">
            <v>45301</v>
          </cell>
          <cell r="BP91">
            <v>45305</v>
          </cell>
          <cell r="BQ91">
            <v>45306</v>
          </cell>
          <cell r="BR91" t="str">
            <v>Received</v>
          </cell>
          <cell r="BT91">
            <v>45329</v>
          </cell>
          <cell r="BW91" t="str">
            <v>20-03-2024</v>
          </cell>
          <cell r="BX91">
            <v>45398</v>
          </cell>
          <cell r="BY91" t="str">
            <v>Done</v>
          </cell>
          <cell r="CE91" t="str">
            <v/>
          </cell>
          <cell r="CF91" t="str">
            <v/>
          </cell>
          <cell r="CG91" t="str">
            <v/>
          </cell>
          <cell r="CH91" t="str">
            <v/>
          </cell>
          <cell r="CN91" t="str">
            <v/>
          </cell>
          <cell r="CO91" t="str">
            <v/>
          </cell>
          <cell r="CP91" t="str">
            <v/>
          </cell>
          <cell r="CR91" t="str">
            <v/>
          </cell>
          <cell r="DG91" t="str">
            <v>14. Dropped</v>
          </cell>
          <cell r="DJ91" t="str">
            <v/>
          </cell>
          <cell r="DP91" t="str">
            <v/>
          </cell>
          <cell r="DR91">
            <v>35</v>
          </cell>
          <cell r="DS91">
            <v>45</v>
          </cell>
          <cell r="DX91" t="str">
            <v/>
          </cell>
          <cell r="DY91" t="str">
            <v/>
          </cell>
          <cell r="EA91" t="str">
            <v/>
          </cell>
          <cell r="ED91" t="str">
            <v/>
          </cell>
          <cell r="EE91" t="str">
            <v/>
          </cell>
          <cell r="FM91" t="str">
            <v/>
          </cell>
          <cell r="GG91" t="str">
            <v>2024-2025</v>
          </cell>
        </row>
        <row r="92">
          <cell r="E92" t="str">
            <v>Shree Siddhivinayak Tower, Koparkhairane</v>
          </cell>
          <cell r="F92" t="str">
            <v>10. Launched</v>
          </cell>
          <cell r="G92" t="str">
            <v>NA</v>
          </cell>
          <cell r="H92" t="str">
            <v>_</v>
          </cell>
          <cell r="I92" t="str">
            <v>_</v>
          </cell>
          <cell r="J92" t="str">
            <v>Q1U3</v>
          </cell>
          <cell r="K92" t="str">
            <v>W</v>
          </cell>
          <cell r="L92" t="str">
            <v>BK</v>
          </cell>
          <cell r="N92" t="str">
            <v>Sh Sanjiv Johari</v>
          </cell>
          <cell r="O92" t="str">
            <v>Sh. Atul M Sawant</v>
          </cell>
          <cell r="P92" t="str">
            <v>Sh. Prashant Naik</v>
          </cell>
          <cell r="Q92" t="str">
            <v>Shahaji Gohatre</v>
          </cell>
          <cell r="R92" t="str">
            <v>Parth Sharma</v>
          </cell>
          <cell r="S92" t="str">
            <v>Maharashtra</v>
          </cell>
          <cell r="T92" t="str">
            <v>Navi Mumbai</v>
          </cell>
          <cell r="U92" t="str">
            <v>Premium</v>
          </cell>
          <cell r="V92" t="str">
            <v>Misc Formats</v>
          </cell>
          <cell r="W92">
            <v>1118</v>
          </cell>
          <cell r="X92" t="str">
            <v>Shop No 14,15 &amp; 16, Ground &amp; First Floor, Shree Siddhivinayak Tower, opp. to SBI Bank, Sector 5, Koparkhairne, Navi Mumbai, 400709</v>
          </cell>
          <cell r="Z92" t="str">
            <v>Done</v>
          </cell>
          <cell r="AB92">
            <v>44732</v>
          </cell>
          <cell r="AC92">
            <v>44734</v>
          </cell>
          <cell r="AD92">
            <v>44736</v>
          </cell>
          <cell r="AE92">
            <v>44736</v>
          </cell>
          <cell r="AF92" t="str">
            <v>SDR DONE</v>
          </cell>
          <cell r="AG92">
            <v>0</v>
          </cell>
          <cell r="AH92" t="str">
            <v>_</v>
          </cell>
          <cell r="AI92">
            <v>44867</v>
          </cell>
          <cell r="AJ92">
            <v>0</v>
          </cell>
          <cell r="AK92">
            <v>44796</v>
          </cell>
          <cell r="AL92" t="str">
            <v>Received</v>
          </cell>
          <cell r="AM92">
            <v>55</v>
          </cell>
          <cell r="AO92">
            <v>44799</v>
          </cell>
          <cell r="AP92">
            <v>44802</v>
          </cell>
          <cell r="AR92">
            <v>44802</v>
          </cell>
          <cell r="AS92">
            <v>3</v>
          </cell>
          <cell r="AT92" t="str">
            <v>Received</v>
          </cell>
          <cell r="AU92">
            <v>44800</v>
          </cell>
          <cell r="AV92" t="str">
            <v>NA</v>
          </cell>
          <cell r="AW92" t="str">
            <v>NA</v>
          </cell>
          <cell r="AX92" t="str">
            <v>NA</v>
          </cell>
          <cell r="AZ92" t="str">
            <v>Received</v>
          </cell>
          <cell r="BA92">
            <v>44801</v>
          </cell>
          <cell r="BB92">
            <v>44810</v>
          </cell>
          <cell r="BD92">
            <v>44817</v>
          </cell>
          <cell r="BE92">
            <v>15</v>
          </cell>
          <cell r="BF92" t="str">
            <v>Received</v>
          </cell>
          <cell r="BG92">
            <v>44801</v>
          </cell>
          <cell r="BH92">
            <v>44818</v>
          </cell>
          <cell r="BJ92">
            <v>44818</v>
          </cell>
          <cell r="BK92">
            <v>16</v>
          </cell>
          <cell r="BL92" t="str">
            <v>Received</v>
          </cell>
          <cell r="BM92">
            <v>44799</v>
          </cell>
          <cell r="BN92">
            <v>44793</v>
          </cell>
          <cell r="BO92" t="str">
            <v>Received</v>
          </cell>
          <cell r="BP92">
            <v>44799</v>
          </cell>
          <cell r="BQ92">
            <v>44819</v>
          </cell>
          <cell r="BR92" t="str">
            <v>Received</v>
          </cell>
          <cell r="BT92">
            <v>44828</v>
          </cell>
          <cell r="BU92" t="str">
            <v>Received</v>
          </cell>
          <cell r="BV92" t="str">
            <v>Done</v>
          </cell>
          <cell r="BW92" t="str">
            <v>11-12-2021</v>
          </cell>
          <cell r="BX92">
            <v>44544</v>
          </cell>
          <cell r="BY92" t="str">
            <v>Done</v>
          </cell>
          <cell r="CD92" t="str">
            <v>Done</v>
          </cell>
          <cell r="CE92">
            <v>44806</v>
          </cell>
          <cell r="CF92" t="str">
            <v>3Desire</v>
          </cell>
          <cell r="CG92" t="str">
            <v>3Desire</v>
          </cell>
          <cell r="CH92" t="str">
            <v>New Lucky Aircon</v>
          </cell>
          <cell r="CJ92">
            <v>44806</v>
          </cell>
          <cell r="CK92">
            <v>44806</v>
          </cell>
          <cell r="CN92" t="str">
            <v/>
          </cell>
          <cell r="CO92" t="str">
            <v/>
          </cell>
          <cell r="CP92">
            <v>44899</v>
          </cell>
          <cell r="CR92" t="str">
            <v/>
          </cell>
          <cell r="CS92">
            <v>44899</v>
          </cell>
          <cell r="DD92">
            <v>44797</v>
          </cell>
          <cell r="DG92" t="str">
            <v>10. Launched</v>
          </cell>
          <cell r="DJ92" t="str">
            <v/>
          </cell>
          <cell r="DK92">
            <v>44799</v>
          </cell>
          <cell r="DP92">
            <v>44801</v>
          </cell>
          <cell r="DQ92">
            <v>44830</v>
          </cell>
          <cell r="DR92">
            <v>35</v>
          </cell>
          <cell r="DS92">
            <v>45</v>
          </cell>
          <cell r="DU92">
            <v>44865</v>
          </cell>
          <cell r="DV92">
            <v>44875</v>
          </cell>
          <cell r="DW92">
            <v>44865</v>
          </cell>
          <cell r="DY92" t="str">
            <v/>
          </cell>
          <cell r="DZ92">
            <v>44939</v>
          </cell>
          <cell r="EA92" t="str">
            <v>Jan 23 Week 2</v>
          </cell>
          <cell r="ED92" t="str">
            <v/>
          </cell>
          <cell r="EE92" t="str">
            <v/>
          </cell>
          <cell r="EF92">
            <v>1</v>
          </cell>
          <cell r="EG92">
            <v>1</v>
          </cell>
          <cell r="EJ92">
            <v>44837</v>
          </cell>
          <cell r="EM92">
            <v>44844</v>
          </cell>
          <cell r="EP92">
            <v>44851</v>
          </cell>
          <cell r="ES92">
            <v>44858</v>
          </cell>
          <cell r="EV92">
            <v>44865</v>
          </cell>
          <cell r="FD92">
            <v>74</v>
          </cell>
          <cell r="FE92" t="str">
            <v>62 to 90 Days</v>
          </cell>
          <cell r="FF92">
            <v>103</v>
          </cell>
          <cell r="FG92" t="str">
            <v>More Than 90  Days</v>
          </cell>
          <cell r="FH92" t="str">
            <v>Done</v>
          </cell>
          <cell r="FI92" t="str">
            <v>Done</v>
          </cell>
          <cell r="FJ92" t="str">
            <v>Done</v>
          </cell>
          <cell r="FM92" t="str">
            <v/>
          </cell>
          <cell r="GG92" t="str">
            <v>2022-2023</v>
          </cell>
        </row>
        <row r="93">
          <cell r="E93" t="str">
            <v>Smart Bazaar, Atria Mall, Worli</v>
          </cell>
          <cell r="F93" t="str">
            <v>10. Launched</v>
          </cell>
          <cell r="G93" t="str">
            <v>NA</v>
          </cell>
          <cell r="H93" t="str">
            <v>MU-SM-GMU-555-FG-711</v>
          </cell>
          <cell r="I93" t="str">
            <v>_</v>
          </cell>
          <cell r="J93" t="str">
            <v>QG6J</v>
          </cell>
          <cell r="K93" t="str">
            <v>W</v>
          </cell>
          <cell r="L93" t="str">
            <v>BK</v>
          </cell>
          <cell r="N93" t="str">
            <v>Sh Sanjiv Johari</v>
          </cell>
          <cell r="O93" t="str">
            <v>Sh. Atul M Sawant</v>
          </cell>
          <cell r="P93" t="str">
            <v>Sh. Sunil Grandhe</v>
          </cell>
          <cell r="Q93" t="str">
            <v>Shahaji Gohatre</v>
          </cell>
          <cell r="R93" t="str">
            <v>Parth Sharma</v>
          </cell>
          <cell r="S93" t="str">
            <v>Maharashtra</v>
          </cell>
          <cell r="T93" t="str">
            <v>Mumbai</v>
          </cell>
          <cell r="U93" t="str">
            <v>Premium</v>
          </cell>
          <cell r="V93" t="str">
            <v>Misc Formats</v>
          </cell>
          <cell r="W93">
            <v>405</v>
          </cell>
          <cell r="X93" t="str">
            <v>Dr. Annie Beasant Road, Next to Royal Garden, Worli, Mumbai, Maharashtra 400018</v>
          </cell>
          <cell r="Z93" t="str">
            <v>Done</v>
          </cell>
          <cell r="AB93">
            <v>44732</v>
          </cell>
          <cell r="AC93">
            <v>44743</v>
          </cell>
          <cell r="AD93">
            <v>44746</v>
          </cell>
          <cell r="AE93">
            <v>44746</v>
          </cell>
          <cell r="AF93" t="str">
            <v>SDR DONE</v>
          </cell>
          <cell r="AG93">
            <v>9</v>
          </cell>
          <cell r="AH93" t="str">
            <v>_</v>
          </cell>
          <cell r="AI93">
            <v>44784</v>
          </cell>
          <cell r="AJ93">
            <v>0</v>
          </cell>
          <cell r="AK93">
            <v>44784</v>
          </cell>
          <cell r="AL93" t="str">
            <v>Received</v>
          </cell>
          <cell r="AM93">
            <v>33</v>
          </cell>
          <cell r="AO93">
            <v>44787</v>
          </cell>
          <cell r="AP93">
            <v>44806</v>
          </cell>
          <cell r="AR93">
            <v>44806</v>
          </cell>
          <cell r="AS93">
            <v>19</v>
          </cell>
          <cell r="AT93" t="str">
            <v>Received</v>
          </cell>
          <cell r="AU93">
            <v>44788</v>
          </cell>
          <cell r="AV93" t="str">
            <v>NA</v>
          </cell>
          <cell r="AW93" t="str">
            <v>NA</v>
          </cell>
          <cell r="AX93" t="str">
            <v>NA</v>
          </cell>
          <cell r="AZ93" t="str">
            <v>Received</v>
          </cell>
          <cell r="BA93">
            <v>44789</v>
          </cell>
          <cell r="BB93">
            <v>44810</v>
          </cell>
          <cell r="BD93">
            <v>44810</v>
          </cell>
          <cell r="BE93">
            <v>20</v>
          </cell>
          <cell r="BF93" t="str">
            <v>Received</v>
          </cell>
          <cell r="BG93">
            <v>44789</v>
          </cell>
          <cell r="BH93">
            <v>44807</v>
          </cell>
          <cell r="BJ93">
            <v>44807</v>
          </cell>
          <cell r="BK93">
            <v>17</v>
          </cell>
          <cell r="BL93" t="str">
            <v>Received</v>
          </cell>
          <cell r="BM93">
            <v>44787</v>
          </cell>
          <cell r="BN93">
            <v>44785</v>
          </cell>
          <cell r="BO93" t="str">
            <v>Received</v>
          </cell>
          <cell r="BP93">
            <v>44787</v>
          </cell>
          <cell r="BQ93">
            <v>44845</v>
          </cell>
          <cell r="BR93" t="str">
            <v>Received</v>
          </cell>
          <cell r="BT93">
            <v>44822</v>
          </cell>
          <cell r="BU93" t="str">
            <v>Received</v>
          </cell>
          <cell r="BV93" t="str">
            <v>Done</v>
          </cell>
          <cell r="BW93" t="str">
            <v>11-12-2021</v>
          </cell>
          <cell r="BX93">
            <v>44544</v>
          </cell>
          <cell r="BY93" t="str">
            <v>Done</v>
          </cell>
          <cell r="CD93" t="str">
            <v>Done</v>
          </cell>
          <cell r="CE93" t="str">
            <v/>
          </cell>
          <cell r="CF93" t="str">
            <v>Hirafal Interiors</v>
          </cell>
          <cell r="CG93" t="str">
            <v>Sitara Electricals</v>
          </cell>
          <cell r="CH93" t="str">
            <v xml:space="preserve">Powertech </v>
          </cell>
          <cell r="CN93" t="str">
            <v/>
          </cell>
          <cell r="CO93" t="str">
            <v/>
          </cell>
          <cell r="CP93" t="str">
            <v/>
          </cell>
          <cell r="CR93" t="str">
            <v/>
          </cell>
          <cell r="DD93">
            <v>44840</v>
          </cell>
          <cell r="DG93" t="str">
            <v>10. Launched</v>
          </cell>
          <cell r="DJ93" t="str">
            <v/>
          </cell>
          <cell r="DK93">
            <v>44840</v>
          </cell>
          <cell r="DP93">
            <v>44842</v>
          </cell>
          <cell r="DQ93">
            <v>44875</v>
          </cell>
          <cell r="DR93">
            <v>35</v>
          </cell>
          <cell r="DS93">
            <v>45</v>
          </cell>
          <cell r="DU93">
            <v>44910</v>
          </cell>
          <cell r="DV93">
            <v>44920</v>
          </cell>
          <cell r="DW93">
            <v>44910</v>
          </cell>
          <cell r="DY93" t="str">
            <v/>
          </cell>
          <cell r="DZ93">
            <v>44980</v>
          </cell>
          <cell r="EA93" t="str">
            <v>Feb 23 Week 4</v>
          </cell>
          <cell r="ED93" t="str">
            <v/>
          </cell>
          <cell r="EE93" t="str">
            <v/>
          </cell>
          <cell r="EF93">
            <v>1</v>
          </cell>
          <cell r="EG93">
            <v>1</v>
          </cell>
          <cell r="EJ93">
            <v>44882</v>
          </cell>
          <cell r="EM93">
            <v>44889</v>
          </cell>
          <cell r="EP93">
            <v>44896</v>
          </cell>
          <cell r="ES93">
            <v>44903</v>
          </cell>
          <cell r="EV93">
            <v>44910</v>
          </cell>
          <cell r="FD93">
            <v>70</v>
          </cell>
          <cell r="FE93" t="str">
            <v>62 to 90 Days</v>
          </cell>
          <cell r="FF93">
            <v>103</v>
          </cell>
          <cell r="FG93" t="str">
            <v>More Than 90  Days</v>
          </cell>
          <cell r="FH93" t="str">
            <v>Done</v>
          </cell>
          <cell r="FI93" t="str">
            <v>Done</v>
          </cell>
          <cell r="FJ93" t="str">
            <v>Done</v>
          </cell>
          <cell r="FM93" t="str">
            <v/>
          </cell>
          <cell r="GG93" t="str">
            <v>2022-2023</v>
          </cell>
        </row>
        <row r="94">
          <cell r="E94" t="str">
            <v>Smart Bazaar, Dahisar</v>
          </cell>
          <cell r="F94" t="str">
            <v>10. Launched</v>
          </cell>
          <cell r="G94" t="str">
            <v>NA</v>
          </cell>
          <cell r="H94" t="str">
            <v>_</v>
          </cell>
          <cell r="I94" t="str">
            <v>_</v>
          </cell>
          <cell r="J94" t="str">
            <v>Q1W9</v>
          </cell>
          <cell r="K94" t="str">
            <v>W</v>
          </cell>
          <cell r="L94" t="str">
            <v>BK</v>
          </cell>
          <cell r="N94" t="str">
            <v>Sh Sanjiv Johari</v>
          </cell>
          <cell r="O94" t="str">
            <v>Sh. Atul M Sawant</v>
          </cell>
          <cell r="P94" t="str">
            <v>Sh. Abhijit Patil</v>
          </cell>
          <cell r="Q94" t="str">
            <v>Shahaji Gohatre</v>
          </cell>
          <cell r="R94" t="str">
            <v>Parth Sharma</v>
          </cell>
          <cell r="S94" t="str">
            <v>Maharashtra</v>
          </cell>
          <cell r="T94" t="str">
            <v>Mumbai</v>
          </cell>
          <cell r="U94" t="str">
            <v>Premium</v>
          </cell>
          <cell r="V94" t="str">
            <v>Misc Formats</v>
          </cell>
          <cell r="W94">
            <v>393</v>
          </cell>
          <cell r="X94" t="str">
            <v>Smart Bazaar, Thakur Mall, Dahisar</v>
          </cell>
          <cell r="Z94" t="str">
            <v>Done</v>
          </cell>
          <cell r="AB94">
            <v>44764</v>
          </cell>
          <cell r="AC94">
            <v>44772</v>
          </cell>
          <cell r="AD94">
            <v>44774</v>
          </cell>
          <cell r="AE94">
            <v>44774</v>
          </cell>
          <cell r="AF94" t="str">
            <v>SDR DONE</v>
          </cell>
          <cell r="AG94">
            <v>5</v>
          </cell>
          <cell r="AH94" t="str">
            <v>_</v>
          </cell>
          <cell r="AI94">
            <v>44784</v>
          </cell>
          <cell r="AJ94">
            <v>0</v>
          </cell>
          <cell r="AK94">
            <v>44784</v>
          </cell>
          <cell r="AL94" t="str">
            <v>Received</v>
          </cell>
          <cell r="AM94">
            <v>5</v>
          </cell>
          <cell r="AO94">
            <v>44787</v>
          </cell>
          <cell r="AP94">
            <v>44803</v>
          </cell>
          <cell r="AR94">
            <v>44835</v>
          </cell>
          <cell r="AS94">
            <v>48</v>
          </cell>
          <cell r="AT94" t="str">
            <v>Received</v>
          </cell>
          <cell r="AU94">
            <v>44788</v>
          </cell>
          <cell r="AV94" t="str">
            <v>NA</v>
          </cell>
          <cell r="AW94" t="str">
            <v>NA</v>
          </cell>
          <cell r="AX94" t="str">
            <v>NA</v>
          </cell>
          <cell r="AZ94" t="str">
            <v>Received</v>
          </cell>
          <cell r="BA94">
            <v>44789</v>
          </cell>
          <cell r="BB94">
            <v>44807</v>
          </cell>
          <cell r="BD94">
            <v>44807</v>
          </cell>
          <cell r="BE94">
            <v>17</v>
          </cell>
          <cell r="BF94" t="str">
            <v>Received</v>
          </cell>
          <cell r="BG94">
            <v>44789</v>
          </cell>
          <cell r="BH94">
            <v>44806</v>
          </cell>
          <cell r="BJ94">
            <v>44806</v>
          </cell>
          <cell r="BK94">
            <v>16</v>
          </cell>
          <cell r="BL94" t="str">
            <v>Received</v>
          </cell>
          <cell r="BM94">
            <v>44787</v>
          </cell>
          <cell r="BN94">
            <v>44797</v>
          </cell>
          <cell r="BO94" t="str">
            <v>Received</v>
          </cell>
          <cell r="BP94">
            <v>44787</v>
          </cell>
          <cell r="BQ94">
            <v>44837</v>
          </cell>
          <cell r="BR94" t="str">
            <v>Received</v>
          </cell>
          <cell r="BT94">
            <v>44822</v>
          </cell>
          <cell r="BU94" t="str">
            <v>Received</v>
          </cell>
          <cell r="BV94" t="str">
            <v>Done</v>
          </cell>
          <cell r="BW94" t="str">
            <v>11-12-2021</v>
          </cell>
          <cell r="BX94">
            <v>44544</v>
          </cell>
          <cell r="BY94" t="str">
            <v>Done</v>
          </cell>
          <cell r="CD94" t="str">
            <v>Done</v>
          </cell>
          <cell r="CE94" t="str">
            <v/>
          </cell>
          <cell r="CF94" t="str">
            <v/>
          </cell>
          <cell r="CG94" t="str">
            <v/>
          </cell>
          <cell r="CH94" t="str">
            <v/>
          </cell>
          <cell r="CN94" t="str">
            <v/>
          </cell>
          <cell r="CO94" t="str">
            <v/>
          </cell>
          <cell r="CP94" t="str">
            <v/>
          </cell>
          <cell r="CR94" t="str">
            <v/>
          </cell>
          <cell r="DD94">
            <v>44793</v>
          </cell>
          <cell r="DG94" t="str">
            <v>10. Launched</v>
          </cell>
          <cell r="DJ94" t="str">
            <v/>
          </cell>
          <cell r="DK94">
            <v>44819</v>
          </cell>
          <cell r="DP94">
            <v>44821</v>
          </cell>
          <cell r="DQ94">
            <v>44828</v>
          </cell>
          <cell r="DR94">
            <v>35</v>
          </cell>
          <cell r="DS94">
            <v>45</v>
          </cell>
          <cell r="DU94">
            <v>44863</v>
          </cell>
          <cell r="DV94">
            <v>44873</v>
          </cell>
          <cell r="DW94">
            <v>44863</v>
          </cell>
          <cell r="DY94" t="str">
            <v/>
          </cell>
          <cell r="DZ94">
            <v>44911</v>
          </cell>
          <cell r="ED94" t="str">
            <v/>
          </cell>
          <cell r="EE94" t="str">
            <v/>
          </cell>
          <cell r="EF94">
            <v>1</v>
          </cell>
          <cell r="EG94">
            <v>1</v>
          </cell>
          <cell r="EJ94">
            <v>44835</v>
          </cell>
          <cell r="EM94">
            <v>44842</v>
          </cell>
          <cell r="EP94">
            <v>44849</v>
          </cell>
          <cell r="ES94">
            <v>44856</v>
          </cell>
          <cell r="EV94">
            <v>44863</v>
          </cell>
          <cell r="FD94">
            <v>48</v>
          </cell>
          <cell r="FE94" t="str">
            <v>31 to 61 Days</v>
          </cell>
          <cell r="FF94">
            <v>55</v>
          </cell>
          <cell r="FG94" t="str">
            <v>31 to 61 Days</v>
          </cell>
          <cell r="FH94" t="str">
            <v>Done</v>
          </cell>
          <cell r="FI94" t="str">
            <v>Done</v>
          </cell>
          <cell r="FJ94" t="str">
            <v>Done</v>
          </cell>
          <cell r="FM94" t="str">
            <v/>
          </cell>
          <cell r="GG94" t="str">
            <v>2022-2023</v>
          </cell>
        </row>
        <row r="95">
          <cell r="E95" t="str">
            <v xml:space="preserve">Smart Bazaar, Dattani </v>
          </cell>
          <cell r="F95" t="str">
            <v>10. Launched</v>
          </cell>
          <cell r="G95" t="str">
            <v>NA</v>
          </cell>
          <cell r="H95" t="str">
            <v>MU-SM-GMU-549/FG</v>
          </cell>
          <cell r="I95" t="str">
            <v>_</v>
          </cell>
          <cell r="J95" t="str">
            <v>Q1N6</v>
          </cell>
          <cell r="K95" t="str">
            <v>W</v>
          </cell>
          <cell r="L95" t="str">
            <v>BK</v>
          </cell>
          <cell r="N95" t="str">
            <v>Sh Sanjiv Johari</v>
          </cell>
          <cell r="O95" t="str">
            <v>Sh. Atul M Sawant</v>
          </cell>
          <cell r="P95" t="str">
            <v>Sh. Abhijit Patil</v>
          </cell>
          <cell r="Q95" t="str">
            <v>Shahaji Gohatre</v>
          </cell>
          <cell r="R95" t="str">
            <v>Parth Sharma</v>
          </cell>
          <cell r="S95" t="str">
            <v>Maharashtra</v>
          </cell>
          <cell r="T95" t="str">
            <v>Navi Mumbai</v>
          </cell>
          <cell r="U95" t="str">
            <v>Premium</v>
          </cell>
          <cell r="V95" t="str">
            <v>Misc Formats</v>
          </cell>
          <cell r="W95">
            <v>613</v>
          </cell>
          <cell r="X95" t="str">
            <v>Smart bazzar, Vasai Dattani Village</v>
          </cell>
          <cell r="Z95" t="str">
            <v>Done</v>
          </cell>
          <cell r="AB95">
            <v>44865</v>
          </cell>
          <cell r="AC95">
            <v>44866</v>
          </cell>
          <cell r="AD95">
            <v>44869</v>
          </cell>
          <cell r="AE95">
            <v>44869</v>
          </cell>
          <cell r="AF95" t="str">
            <v>SDR DONE</v>
          </cell>
          <cell r="AG95">
            <v>0</v>
          </cell>
          <cell r="AH95" t="str">
            <v>_</v>
          </cell>
          <cell r="AJ95">
            <v>1</v>
          </cell>
          <cell r="AK95">
            <v>44898</v>
          </cell>
          <cell r="AL95" t="str">
            <v>Received</v>
          </cell>
          <cell r="AM95">
            <v>24</v>
          </cell>
          <cell r="AO95">
            <v>44901</v>
          </cell>
          <cell r="AP95">
            <v>44907</v>
          </cell>
          <cell r="AR95">
            <v>44907</v>
          </cell>
          <cell r="AS95">
            <v>6</v>
          </cell>
          <cell r="AT95" t="str">
            <v>Received</v>
          </cell>
          <cell r="AU95">
            <v>44902</v>
          </cell>
          <cell r="AV95" t="str">
            <v>NA</v>
          </cell>
          <cell r="AW95" t="str">
            <v>NA</v>
          </cell>
          <cell r="AX95" t="str">
            <v>NA</v>
          </cell>
          <cell r="AZ95" t="str">
            <v>Received</v>
          </cell>
          <cell r="BA95">
            <v>44903</v>
          </cell>
          <cell r="BF95" t="str">
            <v>Received</v>
          </cell>
          <cell r="BG95">
            <v>44903</v>
          </cell>
          <cell r="BJ95" t="str">
            <v/>
          </cell>
          <cell r="BL95" t="str">
            <v>Received</v>
          </cell>
          <cell r="BM95">
            <v>44901</v>
          </cell>
          <cell r="BN95">
            <v>44891</v>
          </cell>
          <cell r="BO95" t="str">
            <v>Received</v>
          </cell>
          <cell r="BP95">
            <v>44901</v>
          </cell>
          <cell r="BR95" t="str">
            <v>Received</v>
          </cell>
          <cell r="BU95" t="str">
            <v>Received</v>
          </cell>
          <cell r="BV95" t="str">
            <v>Done</v>
          </cell>
          <cell r="BW95" t="str">
            <v>11-08-2022</v>
          </cell>
          <cell r="BX95">
            <v>44798</v>
          </cell>
          <cell r="BY95" t="str">
            <v>Done</v>
          </cell>
          <cell r="CD95" t="str">
            <v>Done</v>
          </cell>
          <cell r="CE95" t="str">
            <v/>
          </cell>
          <cell r="CF95" t="str">
            <v>Beekay Arts</v>
          </cell>
          <cell r="CG95" t="str">
            <v>Beekay Arts</v>
          </cell>
          <cell r="CH95" t="str">
            <v/>
          </cell>
          <cell r="CN95" t="str">
            <v/>
          </cell>
          <cell r="CO95" t="str">
            <v/>
          </cell>
          <cell r="CP95" t="str">
            <v/>
          </cell>
          <cell r="CR95" t="str">
            <v/>
          </cell>
          <cell r="DD95">
            <v>44900</v>
          </cell>
          <cell r="DG95" t="str">
            <v>10. Launched</v>
          </cell>
          <cell r="DJ95" t="str">
            <v/>
          </cell>
          <cell r="DK95">
            <v>44900</v>
          </cell>
          <cell r="DP95">
            <v>44902</v>
          </cell>
          <cell r="DQ95">
            <v>44968</v>
          </cell>
          <cell r="DR95">
            <v>35</v>
          </cell>
          <cell r="DS95">
            <v>45</v>
          </cell>
          <cell r="DU95">
            <v>45003</v>
          </cell>
          <cell r="DV95">
            <v>45013</v>
          </cell>
          <cell r="DW95">
            <v>45003</v>
          </cell>
          <cell r="DX95" t="str">
            <v>March 23 Week 3</v>
          </cell>
          <cell r="DY95" t="str">
            <v/>
          </cell>
          <cell r="DZ95">
            <v>45006</v>
          </cell>
          <cell r="EA95" t="str">
            <v>March 23 Week 3</v>
          </cell>
          <cell r="ED95" t="str">
            <v/>
          </cell>
          <cell r="EE95" t="str">
            <v/>
          </cell>
          <cell r="EF95">
            <v>1</v>
          </cell>
          <cell r="EG95">
            <v>1</v>
          </cell>
          <cell r="EJ95">
            <v>44975</v>
          </cell>
          <cell r="EM95">
            <v>44982</v>
          </cell>
          <cell r="EP95">
            <v>44989</v>
          </cell>
          <cell r="ES95">
            <v>44996</v>
          </cell>
          <cell r="EV95">
            <v>45003</v>
          </cell>
          <cell r="FD95">
            <v>3</v>
          </cell>
          <cell r="FE95" t="str">
            <v>0 to 3 Days</v>
          </cell>
          <cell r="FF95">
            <v>69</v>
          </cell>
          <cell r="FG95" t="str">
            <v>62 to 90 Days</v>
          </cell>
          <cell r="FH95" t="str">
            <v>Done</v>
          </cell>
          <cell r="FI95" t="str">
            <v>Done</v>
          </cell>
          <cell r="FJ95" t="str">
            <v>Done</v>
          </cell>
          <cell r="FM95" t="str">
            <v/>
          </cell>
          <cell r="GG95" t="str">
            <v>2022-2023</v>
          </cell>
        </row>
        <row r="96">
          <cell r="E96" t="str">
            <v>Smart Bazaar, Inorbit mall, Vashi</v>
          </cell>
          <cell r="F96" t="str">
            <v>14. Dropped</v>
          </cell>
          <cell r="G96" t="str">
            <v>NA</v>
          </cell>
          <cell r="H96" t="str">
            <v>_</v>
          </cell>
          <cell r="I96" t="str">
            <v>_</v>
          </cell>
          <cell r="K96" t="str">
            <v>W</v>
          </cell>
          <cell r="L96" t="str">
            <v>BK</v>
          </cell>
          <cell r="N96" t="str">
            <v>Sh Nitin Dawange</v>
          </cell>
          <cell r="O96" t="str">
            <v>Sh Nitin Dawange</v>
          </cell>
          <cell r="P96" t="str">
            <v/>
          </cell>
          <cell r="Q96" t="str">
            <v>Shahaji Gohatre</v>
          </cell>
          <cell r="R96" t="str">
            <v>Parth Sharma</v>
          </cell>
          <cell r="S96" t="str">
            <v>Maharashtra</v>
          </cell>
          <cell r="T96" t="str">
            <v>Mumbai</v>
          </cell>
          <cell r="U96" t="str">
            <v>Premium</v>
          </cell>
          <cell r="V96" t="str">
            <v>Misc Formats</v>
          </cell>
          <cell r="W96">
            <v>731</v>
          </cell>
          <cell r="X96" t="str">
            <v>Sector 30A, Vashi, Navi Mumbai, Maharashtra 400705 </v>
          </cell>
          <cell r="Z96" t="str">
            <v>_</v>
          </cell>
          <cell r="AB96">
            <v>45079</v>
          </cell>
          <cell r="AC96">
            <v>45085</v>
          </cell>
          <cell r="AD96">
            <v>45090</v>
          </cell>
          <cell r="AE96">
            <v>45090</v>
          </cell>
          <cell r="AF96" t="str">
            <v>SDR DONE</v>
          </cell>
          <cell r="AG96">
            <v>6</v>
          </cell>
          <cell r="AH96" t="str">
            <v>_</v>
          </cell>
          <cell r="AL96" t="str">
            <v>Received</v>
          </cell>
          <cell r="AM96">
            <v>1082</v>
          </cell>
          <cell r="BJ96" t="str">
            <v/>
          </cell>
          <cell r="BN96" t="str">
            <v/>
          </cell>
          <cell r="BW96" t="str">
            <v/>
          </cell>
          <cell r="CE96" t="str">
            <v/>
          </cell>
          <cell r="CF96" t="str">
            <v/>
          </cell>
          <cell r="CG96" t="str">
            <v/>
          </cell>
          <cell r="CH96" t="str">
            <v/>
          </cell>
          <cell r="CN96" t="str">
            <v/>
          </cell>
          <cell r="CO96" t="str">
            <v/>
          </cell>
          <cell r="CP96" t="str">
            <v/>
          </cell>
          <cell r="CR96" t="str">
            <v/>
          </cell>
          <cell r="DG96" t="str">
            <v>14. Dropped</v>
          </cell>
          <cell r="DJ96" t="str">
            <v/>
          </cell>
          <cell r="DP96" t="str">
            <v/>
          </cell>
          <cell r="DR96">
            <v>35</v>
          </cell>
          <cell r="DS96">
            <v>45</v>
          </cell>
          <cell r="DX96" t="str">
            <v/>
          </cell>
          <cell r="DY96" t="str">
            <v/>
          </cell>
          <cell r="EA96" t="str">
            <v/>
          </cell>
          <cell r="ED96" t="str">
            <v/>
          </cell>
          <cell r="EE96" t="str">
            <v/>
          </cell>
          <cell r="FM96" t="str">
            <v/>
          </cell>
          <cell r="GF96" t="str">
            <v>7 ElW62</v>
          </cell>
          <cell r="GG96" t="str">
            <v>2024-2025</v>
          </cell>
        </row>
        <row r="97">
          <cell r="E97" t="str">
            <v>Smart Bazaar, Kothrud Road, Pune</v>
          </cell>
          <cell r="F97" t="str">
            <v>10. Launched</v>
          </cell>
          <cell r="G97" t="str">
            <v>NA</v>
          </cell>
          <cell r="H97" t="str">
            <v>_</v>
          </cell>
          <cell r="I97" t="str">
            <v>_</v>
          </cell>
          <cell r="J97" t="str">
            <v>QQLL</v>
          </cell>
          <cell r="K97" t="str">
            <v>W</v>
          </cell>
          <cell r="L97" t="str">
            <v>BK</v>
          </cell>
          <cell r="N97" t="str">
            <v>Sh Shashi Pardesi</v>
          </cell>
          <cell r="O97" t="str">
            <v>Sh Nilesh Nagpure</v>
          </cell>
          <cell r="P97" t="str">
            <v>Sh. Amarnath haveshette</v>
          </cell>
          <cell r="Q97" t="str">
            <v>Shahaji Gohatre</v>
          </cell>
          <cell r="R97" t="str">
            <v>Parth Sharma</v>
          </cell>
          <cell r="S97" t="str">
            <v>Maharashtra</v>
          </cell>
          <cell r="T97" t="str">
            <v>Pune</v>
          </cell>
          <cell r="U97" t="str">
            <v>Premium</v>
          </cell>
          <cell r="V97" t="str">
            <v>Misc Formats</v>
          </cell>
          <cell r="W97">
            <v>513</v>
          </cell>
          <cell r="X97" t="str">
            <v>Kothrud Survey No.20/1, 2, Near Tara Residency, Kothrud, Pune, Maharashtra 411038</v>
          </cell>
          <cell r="Z97" t="str">
            <v>Done</v>
          </cell>
          <cell r="AB97">
            <v>44832</v>
          </cell>
          <cell r="AC97">
            <v>44846</v>
          </cell>
          <cell r="AD97">
            <v>44848</v>
          </cell>
          <cell r="AE97">
            <v>44848</v>
          </cell>
          <cell r="AF97" t="str">
            <v>SDR DONE</v>
          </cell>
          <cell r="AG97">
            <v>11</v>
          </cell>
          <cell r="AH97" t="str">
            <v>_</v>
          </cell>
          <cell r="AI97">
            <v>44980</v>
          </cell>
          <cell r="AJ97">
            <v>1</v>
          </cell>
          <cell r="AK97">
            <v>44995</v>
          </cell>
          <cell r="AL97" t="str">
            <v>Received</v>
          </cell>
          <cell r="AM97">
            <v>142</v>
          </cell>
          <cell r="AO97">
            <v>44998</v>
          </cell>
          <cell r="AP97">
            <v>44986</v>
          </cell>
          <cell r="AR97">
            <v>44986</v>
          </cell>
          <cell r="AS97">
            <v>-12</v>
          </cell>
          <cell r="AT97" t="str">
            <v>Received</v>
          </cell>
          <cell r="AU97">
            <v>44999</v>
          </cell>
          <cell r="AV97" t="str">
            <v>NA</v>
          </cell>
          <cell r="AW97" t="str">
            <v>NA</v>
          </cell>
          <cell r="AX97" t="str">
            <v>NA</v>
          </cell>
          <cell r="AZ97" t="str">
            <v>Received</v>
          </cell>
          <cell r="BA97">
            <v>45000</v>
          </cell>
          <cell r="BB97">
            <v>44999</v>
          </cell>
          <cell r="BD97">
            <v>44999</v>
          </cell>
          <cell r="BE97">
            <v>-1</v>
          </cell>
          <cell r="BF97" t="str">
            <v>Received</v>
          </cell>
          <cell r="BG97">
            <v>45000</v>
          </cell>
          <cell r="BH97">
            <v>45001</v>
          </cell>
          <cell r="BJ97">
            <v>45011</v>
          </cell>
          <cell r="BK97">
            <v>10</v>
          </cell>
          <cell r="BL97" t="str">
            <v>Received</v>
          </cell>
          <cell r="BM97">
            <v>44998</v>
          </cell>
          <cell r="BN97">
            <v>44985</v>
          </cell>
          <cell r="BO97" t="str">
            <v>Received</v>
          </cell>
          <cell r="BP97">
            <v>44998</v>
          </cell>
          <cell r="BR97" t="str">
            <v>Received</v>
          </cell>
          <cell r="BT97">
            <v>44986</v>
          </cell>
          <cell r="BU97" t="str">
            <v>Received</v>
          </cell>
          <cell r="BV97" t="str">
            <v>Done</v>
          </cell>
          <cell r="BW97" t="str">
            <v>11-08-2022</v>
          </cell>
          <cell r="BX97">
            <v>44798</v>
          </cell>
          <cell r="BY97" t="str">
            <v>Done</v>
          </cell>
          <cell r="CD97" t="str">
            <v>Done</v>
          </cell>
          <cell r="CE97">
            <v>44991</v>
          </cell>
          <cell r="CF97" t="str">
            <v>R and M</v>
          </cell>
          <cell r="CG97" t="str">
            <v>R And M</v>
          </cell>
          <cell r="CH97" t="str">
            <v>VRF Aircon</v>
          </cell>
          <cell r="CJ97">
            <v>44991</v>
          </cell>
          <cell r="CK97">
            <v>44991</v>
          </cell>
          <cell r="CN97" t="str">
            <v/>
          </cell>
          <cell r="CO97" t="str">
            <v/>
          </cell>
          <cell r="CP97" t="str">
            <v/>
          </cell>
          <cell r="CR97" t="str">
            <v/>
          </cell>
          <cell r="DG97" t="str">
            <v>10. Launched</v>
          </cell>
          <cell r="DJ97" t="str">
            <v/>
          </cell>
          <cell r="DP97">
            <v>45014</v>
          </cell>
          <cell r="DQ97">
            <v>45014</v>
          </cell>
          <cell r="DR97">
            <v>35</v>
          </cell>
          <cell r="DS97">
            <v>45</v>
          </cell>
          <cell r="DU97">
            <v>45049</v>
          </cell>
          <cell r="DV97">
            <v>45059</v>
          </cell>
          <cell r="DW97">
            <v>45049</v>
          </cell>
          <cell r="DX97" t="str">
            <v>May 23 Week 1</v>
          </cell>
          <cell r="DY97" t="str">
            <v/>
          </cell>
          <cell r="DZ97">
            <v>45061</v>
          </cell>
          <cell r="EA97" t="str">
            <v>May 23 Week 3</v>
          </cell>
          <cell r="ED97" t="str">
            <v/>
          </cell>
          <cell r="EE97" t="str">
            <v/>
          </cell>
          <cell r="EF97">
            <v>1</v>
          </cell>
          <cell r="EG97">
            <v>1</v>
          </cell>
          <cell r="EJ97">
            <v>45021</v>
          </cell>
          <cell r="EM97">
            <v>45028</v>
          </cell>
          <cell r="EP97">
            <v>45035</v>
          </cell>
          <cell r="ES97">
            <v>45042</v>
          </cell>
          <cell r="EV97">
            <v>45049</v>
          </cell>
          <cell r="FD97">
            <v>12</v>
          </cell>
          <cell r="FE97" t="str">
            <v>8 to 15 Days</v>
          </cell>
          <cell r="FF97">
            <v>12</v>
          </cell>
          <cell r="FG97" t="str">
            <v>8 to 15 Days</v>
          </cell>
          <cell r="FH97" t="str">
            <v>Done</v>
          </cell>
          <cell r="FI97" t="str">
            <v>Done</v>
          </cell>
          <cell r="FJ97" t="str">
            <v>Done</v>
          </cell>
          <cell r="FM97" t="str">
            <v/>
          </cell>
          <cell r="GG97" t="str">
            <v>2023-2024</v>
          </cell>
        </row>
        <row r="98">
          <cell r="E98" t="str">
            <v>Smart Bazaar, Orion mall</v>
          </cell>
          <cell r="F98" t="str">
            <v>10. Launched</v>
          </cell>
          <cell r="G98" t="str">
            <v>NA</v>
          </cell>
          <cell r="H98" t="str">
            <v>MU-SM-GMU-528/FG</v>
          </cell>
          <cell r="I98" t="str">
            <v>_</v>
          </cell>
          <cell r="J98" t="str">
            <v>Q1Q5</v>
          </cell>
          <cell r="K98" t="str">
            <v>W</v>
          </cell>
          <cell r="L98" t="str">
            <v>BK</v>
          </cell>
          <cell r="N98" t="str">
            <v>Sh Sanjiv Johari</v>
          </cell>
          <cell r="O98" t="str">
            <v>Sh. Atul M Sawant</v>
          </cell>
          <cell r="P98" t="str">
            <v>Sh. Hitesh Mahtre</v>
          </cell>
          <cell r="Q98" t="str">
            <v>Shahaji Gohatre</v>
          </cell>
          <cell r="R98" t="str">
            <v>Parth Sharma</v>
          </cell>
          <cell r="S98" t="str">
            <v>Maharashtra</v>
          </cell>
          <cell r="T98" t="str">
            <v>Navi Mumbai</v>
          </cell>
          <cell r="U98" t="str">
            <v>Premium</v>
          </cell>
          <cell r="V98" t="str">
            <v>Misc Formats</v>
          </cell>
          <cell r="W98">
            <v>509</v>
          </cell>
          <cell r="X98" t="str">
            <v>Smart Bazaar, Orion Mall, Panvel</v>
          </cell>
          <cell r="Z98" t="str">
            <v>Done</v>
          </cell>
          <cell r="AB98">
            <v>44755</v>
          </cell>
          <cell r="AC98">
            <v>44776</v>
          </cell>
          <cell r="AD98">
            <v>44778</v>
          </cell>
          <cell r="AE98">
            <v>44778</v>
          </cell>
          <cell r="AF98" t="str">
            <v>SDR DONE</v>
          </cell>
          <cell r="AG98">
            <v>18</v>
          </cell>
          <cell r="AH98" t="str">
            <v>_</v>
          </cell>
          <cell r="AI98">
            <v>44780</v>
          </cell>
          <cell r="AJ98">
            <v>0</v>
          </cell>
          <cell r="AK98">
            <v>44780</v>
          </cell>
          <cell r="AL98" t="str">
            <v>Received</v>
          </cell>
          <cell r="AM98">
            <v>0</v>
          </cell>
          <cell r="AO98">
            <v>44783</v>
          </cell>
          <cell r="AP98">
            <v>44782</v>
          </cell>
          <cell r="AR98">
            <v>44786</v>
          </cell>
          <cell r="AS98">
            <v>3</v>
          </cell>
          <cell r="AT98" t="str">
            <v>Received</v>
          </cell>
          <cell r="AU98">
            <v>44784</v>
          </cell>
          <cell r="AV98" t="str">
            <v>NA</v>
          </cell>
          <cell r="AW98" t="str">
            <v>NA</v>
          </cell>
          <cell r="AX98" t="str">
            <v>NA</v>
          </cell>
          <cell r="AZ98" t="str">
            <v>Received</v>
          </cell>
          <cell r="BA98">
            <v>44785</v>
          </cell>
          <cell r="BB98">
            <v>44785</v>
          </cell>
          <cell r="BF98" t="str">
            <v>Received</v>
          </cell>
          <cell r="BG98">
            <v>44785</v>
          </cell>
          <cell r="BH98">
            <v>44784</v>
          </cell>
          <cell r="BJ98">
            <v>44784</v>
          </cell>
          <cell r="BK98">
            <v>-1</v>
          </cell>
          <cell r="BL98" t="str">
            <v>Received</v>
          </cell>
          <cell r="BM98">
            <v>44783</v>
          </cell>
          <cell r="BN98">
            <v>44785</v>
          </cell>
          <cell r="BO98" t="str">
            <v>Received</v>
          </cell>
          <cell r="BP98">
            <v>44783</v>
          </cell>
          <cell r="BQ98">
            <v>44784</v>
          </cell>
          <cell r="BR98" t="str">
            <v>Received</v>
          </cell>
          <cell r="BT98">
            <v>44822</v>
          </cell>
          <cell r="BU98" t="str">
            <v>Received</v>
          </cell>
          <cell r="BV98" t="str">
            <v>Done</v>
          </cell>
          <cell r="BW98" t="str">
            <v>11-12-2021</v>
          </cell>
          <cell r="BX98">
            <v>44544</v>
          </cell>
          <cell r="BY98" t="str">
            <v>Done</v>
          </cell>
          <cell r="CD98" t="str">
            <v>Done</v>
          </cell>
          <cell r="CE98" t="str">
            <v/>
          </cell>
          <cell r="CF98" t="str">
            <v/>
          </cell>
          <cell r="CG98" t="str">
            <v/>
          </cell>
          <cell r="CH98" t="str">
            <v/>
          </cell>
          <cell r="CN98" t="str">
            <v/>
          </cell>
          <cell r="CO98" t="str">
            <v/>
          </cell>
          <cell r="CP98" t="str">
            <v/>
          </cell>
          <cell r="CR98" t="str">
            <v/>
          </cell>
          <cell r="DD98">
            <v>44793</v>
          </cell>
          <cell r="DG98" t="str">
            <v>10. Launched</v>
          </cell>
          <cell r="DJ98" t="str">
            <v/>
          </cell>
          <cell r="DK98">
            <v>44793</v>
          </cell>
          <cell r="DP98">
            <v>44795</v>
          </cell>
          <cell r="DQ98">
            <v>44794</v>
          </cell>
          <cell r="DR98">
            <v>35</v>
          </cell>
          <cell r="DS98">
            <v>45</v>
          </cell>
          <cell r="DU98">
            <v>44829</v>
          </cell>
          <cell r="DV98">
            <v>44839</v>
          </cell>
          <cell r="DW98">
            <v>44829</v>
          </cell>
          <cell r="DY98" t="str">
            <v/>
          </cell>
          <cell r="DZ98">
            <v>44852</v>
          </cell>
          <cell r="ED98" t="str">
            <v/>
          </cell>
          <cell r="EE98" t="str">
            <v/>
          </cell>
          <cell r="EF98">
            <v>1</v>
          </cell>
          <cell r="EG98">
            <v>1</v>
          </cell>
          <cell r="EJ98">
            <v>44801</v>
          </cell>
          <cell r="EM98">
            <v>44808</v>
          </cell>
          <cell r="EP98">
            <v>44815</v>
          </cell>
          <cell r="ES98">
            <v>44822</v>
          </cell>
          <cell r="EV98">
            <v>44829</v>
          </cell>
          <cell r="FD98">
            <v>23</v>
          </cell>
          <cell r="FE98" t="str">
            <v>16 to 31 Days</v>
          </cell>
          <cell r="FF98">
            <v>22</v>
          </cell>
          <cell r="FG98" t="str">
            <v>16 to 31 Days</v>
          </cell>
          <cell r="FH98" t="str">
            <v>Done</v>
          </cell>
          <cell r="FI98" t="str">
            <v>Done</v>
          </cell>
          <cell r="FJ98" t="str">
            <v>Done</v>
          </cell>
          <cell r="FM98" t="str">
            <v/>
          </cell>
          <cell r="GG98" t="str">
            <v>2022-2023</v>
          </cell>
        </row>
        <row r="99">
          <cell r="E99" t="str">
            <v>Smart Bazaar, Raghuleela Mall</v>
          </cell>
          <cell r="F99" t="str">
            <v>10. Launched</v>
          </cell>
          <cell r="G99" t="str">
            <v>NA</v>
          </cell>
          <cell r="H99" t="str">
            <v>MU-SM-GMU-565/FG</v>
          </cell>
          <cell r="I99" t="str">
            <v>_</v>
          </cell>
          <cell r="J99" t="str">
            <v>Q1W7</v>
          </cell>
          <cell r="K99" t="str">
            <v>W</v>
          </cell>
          <cell r="L99" t="str">
            <v>BK</v>
          </cell>
          <cell r="N99" t="str">
            <v>Sh Sanjiv Johari</v>
          </cell>
          <cell r="O99" t="str">
            <v>Sh. Atul M Sawant</v>
          </cell>
          <cell r="P99" t="str">
            <v>Sh. Prashant Naik</v>
          </cell>
          <cell r="Q99" t="str">
            <v>Shahaji Gohatre</v>
          </cell>
          <cell r="R99" t="str">
            <v>Parth Sharma</v>
          </cell>
          <cell r="S99" t="str">
            <v>Maharashtra</v>
          </cell>
          <cell r="T99" t="str">
            <v>Navi Mumbai</v>
          </cell>
          <cell r="U99" t="str">
            <v>Premium</v>
          </cell>
          <cell r="V99" t="str">
            <v>Misc Formats</v>
          </cell>
          <cell r="W99">
            <v>624</v>
          </cell>
          <cell r="X99" t="str">
            <v>Smart Bazaar, Raghuleela Mall, Vashi</v>
          </cell>
          <cell r="Z99" t="str">
            <v>Done</v>
          </cell>
          <cell r="AB99">
            <v>44754</v>
          </cell>
          <cell r="AC99">
            <v>44758</v>
          </cell>
          <cell r="AD99">
            <v>44761</v>
          </cell>
          <cell r="AE99">
            <v>44761</v>
          </cell>
          <cell r="AF99" t="str">
            <v>SDR DONE</v>
          </cell>
          <cell r="AG99">
            <v>2</v>
          </cell>
          <cell r="AH99" t="str">
            <v>_</v>
          </cell>
          <cell r="AI99">
            <v>44779</v>
          </cell>
          <cell r="AJ99">
            <v>0</v>
          </cell>
          <cell r="AK99">
            <v>44779</v>
          </cell>
          <cell r="AL99" t="str">
            <v>Received</v>
          </cell>
          <cell r="AM99">
            <v>13</v>
          </cell>
          <cell r="AO99">
            <v>44782</v>
          </cell>
          <cell r="AP99">
            <v>44782</v>
          </cell>
          <cell r="AR99">
            <v>44792</v>
          </cell>
          <cell r="AS99">
            <v>10</v>
          </cell>
          <cell r="AT99" t="str">
            <v>Received</v>
          </cell>
          <cell r="AU99">
            <v>44783</v>
          </cell>
          <cell r="AV99" t="str">
            <v>NA</v>
          </cell>
          <cell r="AW99" t="str">
            <v>NA</v>
          </cell>
          <cell r="AX99" t="str">
            <v>NA</v>
          </cell>
          <cell r="AZ99" t="str">
            <v>Received</v>
          </cell>
          <cell r="BA99">
            <v>44784</v>
          </cell>
          <cell r="BB99">
            <v>44785</v>
          </cell>
          <cell r="BF99" t="str">
            <v>Received</v>
          </cell>
          <cell r="BG99">
            <v>44784</v>
          </cell>
          <cell r="BH99">
            <v>44784</v>
          </cell>
          <cell r="BJ99">
            <v>44784</v>
          </cell>
          <cell r="BK99">
            <v>0</v>
          </cell>
          <cell r="BL99" t="str">
            <v>Received</v>
          </cell>
          <cell r="BM99">
            <v>44782</v>
          </cell>
          <cell r="BN99">
            <v>44797</v>
          </cell>
          <cell r="BO99" t="str">
            <v>Received</v>
          </cell>
          <cell r="BP99">
            <v>44782</v>
          </cell>
          <cell r="BQ99">
            <v>44784</v>
          </cell>
          <cell r="BR99" t="str">
            <v>Received</v>
          </cell>
          <cell r="BT99">
            <v>44822</v>
          </cell>
          <cell r="BU99" t="str">
            <v>Received</v>
          </cell>
          <cell r="BV99" t="str">
            <v>Done</v>
          </cell>
          <cell r="BW99" t="str">
            <v>11-12-2021</v>
          </cell>
          <cell r="BX99">
            <v>44544</v>
          </cell>
          <cell r="BY99" t="str">
            <v>Done</v>
          </cell>
          <cell r="CD99" t="str">
            <v>Done</v>
          </cell>
          <cell r="CE99" t="str">
            <v/>
          </cell>
          <cell r="CF99" t="str">
            <v/>
          </cell>
          <cell r="CG99" t="str">
            <v/>
          </cell>
          <cell r="CH99" t="str">
            <v/>
          </cell>
          <cell r="CN99" t="str">
            <v/>
          </cell>
          <cell r="CO99" t="str">
            <v/>
          </cell>
          <cell r="CP99" t="str">
            <v/>
          </cell>
          <cell r="CR99" t="str">
            <v/>
          </cell>
          <cell r="DD99">
            <v>44793</v>
          </cell>
          <cell r="DG99" t="str">
            <v>10. Launched</v>
          </cell>
          <cell r="DJ99" t="str">
            <v/>
          </cell>
          <cell r="DK99">
            <v>44793</v>
          </cell>
          <cell r="DP99">
            <v>44795</v>
          </cell>
          <cell r="DQ99">
            <v>44794</v>
          </cell>
          <cell r="DR99">
            <v>35</v>
          </cell>
          <cell r="DS99">
            <v>45</v>
          </cell>
          <cell r="DU99">
            <v>44829</v>
          </cell>
          <cell r="DV99">
            <v>44839</v>
          </cell>
          <cell r="DW99">
            <v>44829</v>
          </cell>
          <cell r="DY99" t="str">
            <v/>
          </cell>
          <cell r="DZ99">
            <v>44850</v>
          </cell>
          <cell r="ED99" t="str">
            <v/>
          </cell>
          <cell r="EE99" t="str">
            <v/>
          </cell>
          <cell r="EF99">
            <v>1</v>
          </cell>
          <cell r="EG99">
            <v>1</v>
          </cell>
          <cell r="EJ99">
            <v>44801</v>
          </cell>
          <cell r="EM99">
            <v>44808</v>
          </cell>
          <cell r="EP99">
            <v>44815</v>
          </cell>
          <cell r="ES99">
            <v>44822</v>
          </cell>
          <cell r="EV99">
            <v>44829</v>
          </cell>
          <cell r="FD99">
            <v>21</v>
          </cell>
          <cell r="FE99" t="str">
            <v>16 to 31 Days</v>
          </cell>
          <cell r="FF99">
            <v>20</v>
          </cell>
          <cell r="FG99" t="str">
            <v>16 to 31 Days</v>
          </cell>
          <cell r="FH99" t="str">
            <v>Done</v>
          </cell>
          <cell r="FI99" t="str">
            <v>Done</v>
          </cell>
          <cell r="FJ99" t="str">
            <v>Done</v>
          </cell>
          <cell r="FM99" t="str">
            <v/>
          </cell>
          <cell r="GG99" t="str">
            <v>2022-2023</v>
          </cell>
        </row>
        <row r="100">
          <cell r="E100" t="str">
            <v>Smart Bazaar, Virar</v>
          </cell>
          <cell r="F100" t="str">
            <v>10. Launched</v>
          </cell>
          <cell r="G100" t="str">
            <v>NA</v>
          </cell>
          <cell r="H100" t="str">
            <v>MU-SM-GMU-528/FG</v>
          </cell>
          <cell r="I100" t="str">
            <v>_</v>
          </cell>
          <cell r="J100" t="str">
            <v>Q1X1</v>
          </cell>
          <cell r="K100" t="str">
            <v>W</v>
          </cell>
          <cell r="L100" t="str">
            <v>BK</v>
          </cell>
          <cell r="N100" t="str">
            <v>Sh Sanjiv Johari</v>
          </cell>
          <cell r="O100" t="str">
            <v>Sh. Atul M Sawant</v>
          </cell>
          <cell r="P100" t="str">
            <v>Sh. Mojim Pathan</v>
          </cell>
          <cell r="Q100" t="str">
            <v>Shahaji Gohatre</v>
          </cell>
          <cell r="R100" t="str">
            <v>Parth Sharma</v>
          </cell>
          <cell r="S100" t="str">
            <v>Maharashtra</v>
          </cell>
          <cell r="T100" t="str">
            <v>Mumbai</v>
          </cell>
          <cell r="U100" t="str">
            <v>Premium</v>
          </cell>
          <cell r="V100" t="str">
            <v>Misc Formats</v>
          </cell>
          <cell r="W100">
            <v>491</v>
          </cell>
          <cell r="X100" t="str">
            <v>Smart Bazaar, Yashwanth Building, VIRAR</v>
          </cell>
          <cell r="Z100" t="str">
            <v>Done</v>
          </cell>
          <cell r="AB100">
            <v>44764</v>
          </cell>
          <cell r="AC100">
            <v>44770</v>
          </cell>
          <cell r="AD100">
            <v>44771</v>
          </cell>
          <cell r="AE100">
            <v>44771</v>
          </cell>
          <cell r="AF100" t="str">
            <v>SDR DONE</v>
          </cell>
          <cell r="AG100">
            <v>2</v>
          </cell>
          <cell r="AH100" t="str">
            <v>_</v>
          </cell>
          <cell r="AI100">
            <v>44784</v>
          </cell>
          <cell r="AJ100">
            <v>0</v>
          </cell>
          <cell r="AK100">
            <v>44784</v>
          </cell>
          <cell r="AL100" t="str">
            <v>Received</v>
          </cell>
          <cell r="AM100">
            <v>8</v>
          </cell>
          <cell r="AO100">
            <v>44787</v>
          </cell>
          <cell r="AP100">
            <v>44806</v>
          </cell>
          <cell r="AR100">
            <v>44889</v>
          </cell>
          <cell r="AS100">
            <v>102</v>
          </cell>
          <cell r="AT100" t="str">
            <v>Received</v>
          </cell>
          <cell r="AU100">
            <v>44788</v>
          </cell>
          <cell r="AV100" t="str">
            <v>NA</v>
          </cell>
          <cell r="AW100" t="str">
            <v>NA</v>
          </cell>
          <cell r="AX100" t="str">
            <v>NA</v>
          </cell>
          <cell r="AZ100" t="str">
            <v>Received</v>
          </cell>
          <cell r="BA100">
            <v>44789</v>
          </cell>
          <cell r="BB100">
            <v>44809</v>
          </cell>
          <cell r="BD100">
            <v>44809</v>
          </cell>
          <cell r="BE100">
            <v>19</v>
          </cell>
          <cell r="BF100" t="str">
            <v>Received</v>
          </cell>
          <cell r="BG100">
            <v>44789</v>
          </cell>
          <cell r="BH100">
            <v>44809</v>
          </cell>
          <cell r="BJ100">
            <v>44809</v>
          </cell>
          <cell r="BK100">
            <v>19</v>
          </cell>
          <cell r="BL100" t="str">
            <v>Received</v>
          </cell>
          <cell r="BM100">
            <v>44787</v>
          </cell>
          <cell r="BN100">
            <v>44785</v>
          </cell>
          <cell r="BO100" t="str">
            <v>Received</v>
          </cell>
          <cell r="BP100">
            <v>44787</v>
          </cell>
          <cell r="BQ100">
            <v>44827</v>
          </cell>
          <cell r="BR100" t="str">
            <v>Received</v>
          </cell>
          <cell r="BT100">
            <v>44822</v>
          </cell>
          <cell r="BU100" t="str">
            <v>Received</v>
          </cell>
          <cell r="BV100" t="str">
            <v>Done</v>
          </cell>
          <cell r="BW100" t="str">
            <v>11-12-2021</v>
          </cell>
          <cell r="BX100">
            <v>44544</v>
          </cell>
          <cell r="BY100" t="str">
            <v>Done</v>
          </cell>
          <cell r="CD100" t="str">
            <v>Done</v>
          </cell>
          <cell r="CE100" t="str">
            <v/>
          </cell>
          <cell r="CF100" t="str">
            <v/>
          </cell>
          <cell r="CG100" t="str">
            <v/>
          </cell>
          <cell r="CH100" t="str">
            <v/>
          </cell>
          <cell r="CN100" t="str">
            <v/>
          </cell>
          <cell r="CO100" t="str">
            <v/>
          </cell>
          <cell r="CP100" t="str">
            <v/>
          </cell>
          <cell r="CR100" t="str">
            <v/>
          </cell>
          <cell r="DD100">
            <v>44793</v>
          </cell>
          <cell r="DG100" t="str">
            <v>10. Launched</v>
          </cell>
          <cell r="DJ100" t="str">
            <v/>
          </cell>
          <cell r="DK100">
            <v>44815</v>
          </cell>
          <cell r="DP100">
            <v>44817</v>
          </cell>
          <cell r="DQ100">
            <v>44817</v>
          </cell>
          <cell r="DR100">
            <v>35</v>
          </cell>
          <cell r="DS100">
            <v>45</v>
          </cell>
          <cell r="DU100">
            <v>44852</v>
          </cell>
          <cell r="DV100">
            <v>44862</v>
          </cell>
          <cell r="DW100">
            <v>44852</v>
          </cell>
          <cell r="DY100" t="str">
            <v/>
          </cell>
          <cell r="DZ100">
            <v>44979</v>
          </cell>
          <cell r="EA100" t="str">
            <v>Feb 23 Week 4</v>
          </cell>
          <cell r="ED100" t="str">
            <v/>
          </cell>
          <cell r="EE100" t="str">
            <v/>
          </cell>
          <cell r="EF100">
            <v>1</v>
          </cell>
          <cell r="EG100">
            <v>1</v>
          </cell>
          <cell r="EJ100">
            <v>44824</v>
          </cell>
          <cell r="EM100">
            <v>44831</v>
          </cell>
          <cell r="EP100">
            <v>44838</v>
          </cell>
          <cell r="ES100">
            <v>44845</v>
          </cell>
          <cell r="EV100">
            <v>44852</v>
          </cell>
          <cell r="FD100">
            <v>127</v>
          </cell>
          <cell r="FE100" t="str">
            <v>More Than 90  Days</v>
          </cell>
          <cell r="FF100">
            <v>127</v>
          </cell>
          <cell r="FG100" t="str">
            <v>More Than 90  Days</v>
          </cell>
          <cell r="FH100" t="str">
            <v>Done</v>
          </cell>
          <cell r="FI100" t="str">
            <v>Done</v>
          </cell>
          <cell r="FJ100" t="str">
            <v>Done</v>
          </cell>
          <cell r="FM100" t="str">
            <v/>
          </cell>
          <cell r="GG100" t="str">
            <v>2022-2023</v>
          </cell>
        </row>
        <row r="101">
          <cell r="E101" t="str">
            <v>Smart Bazaar, Xperial Mall, Dombivali</v>
          </cell>
          <cell r="F101" t="str">
            <v>10. Launched</v>
          </cell>
          <cell r="G101" t="str">
            <v>NA</v>
          </cell>
          <cell r="H101" t="str">
            <v>MU-SM-GMU-539/FG</v>
          </cell>
          <cell r="I101" t="str">
            <v>_</v>
          </cell>
          <cell r="J101" t="str">
            <v>Q1S3</v>
          </cell>
          <cell r="K101" t="str">
            <v>W</v>
          </cell>
          <cell r="L101" t="str">
            <v>BK</v>
          </cell>
          <cell r="N101" t="str">
            <v>Sh Sanjiv Johari</v>
          </cell>
          <cell r="O101" t="str">
            <v>Sh. Atul M Sawant</v>
          </cell>
          <cell r="P101" t="str">
            <v>Sh. Dharmendra Mahtre</v>
          </cell>
          <cell r="Q101" t="str">
            <v>Shahaji Gohatre</v>
          </cell>
          <cell r="R101" t="str">
            <v>Parth Sharma</v>
          </cell>
          <cell r="S101" t="str">
            <v>Maharashtra</v>
          </cell>
          <cell r="T101" t="str">
            <v>Thane</v>
          </cell>
          <cell r="U101" t="str">
            <v>Premium</v>
          </cell>
          <cell r="V101" t="str">
            <v>Misc Formats</v>
          </cell>
          <cell r="W101">
            <v>663</v>
          </cell>
          <cell r="X101" t="str">
            <v>4</v>
          </cell>
          <cell r="Z101" t="str">
            <v>Done</v>
          </cell>
          <cell r="AB101">
            <v>44754</v>
          </cell>
          <cell r="AC101">
            <v>44761</v>
          </cell>
          <cell r="AD101">
            <v>44766</v>
          </cell>
          <cell r="AE101">
            <v>44766</v>
          </cell>
          <cell r="AF101" t="str">
            <v>SDR DONE</v>
          </cell>
          <cell r="AG101">
            <v>7</v>
          </cell>
          <cell r="AH101" t="str">
            <v>_</v>
          </cell>
          <cell r="AI101">
            <v>44780</v>
          </cell>
          <cell r="AJ101">
            <v>0</v>
          </cell>
          <cell r="AK101">
            <v>44780</v>
          </cell>
          <cell r="AL101" t="str">
            <v>Received</v>
          </cell>
          <cell r="AM101">
            <v>9</v>
          </cell>
          <cell r="AO101">
            <v>44783</v>
          </cell>
          <cell r="AP101">
            <v>44784</v>
          </cell>
          <cell r="AR101">
            <v>44835</v>
          </cell>
          <cell r="AS101">
            <v>52</v>
          </cell>
          <cell r="AT101" t="str">
            <v>Received</v>
          </cell>
          <cell r="AU101">
            <v>44784</v>
          </cell>
          <cell r="AV101" t="str">
            <v>NA</v>
          </cell>
          <cell r="AW101" t="str">
            <v>NA</v>
          </cell>
          <cell r="AX101" t="str">
            <v>NA</v>
          </cell>
          <cell r="AZ101" t="str">
            <v>Received</v>
          </cell>
          <cell r="BA101">
            <v>44785</v>
          </cell>
          <cell r="BB101">
            <v>44806</v>
          </cell>
          <cell r="BF101" t="str">
            <v>Received</v>
          </cell>
          <cell r="BG101">
            <v>44785</v>
          </cell>
          <cell r="BH101">
            <v>44807</v>
          </cell>
          <cell r="BJ101">
            <v>44807</v>
          </cell>
          <cell r="BK101">
            <v>21</v>
          </cell>
          <cell r="BL101" t="str">
            <v>Received</v>
          </cell>
          <cell r="BM101">
            <v>44783</v>
          </cell>
          <cell r="BN101">
            <v>44797</v>
          </cell>
          <cell r="BO101" t="str">
            <v>Received</v>
          </cell>
          <cell r="BP101">
            <v>44783</v>
          </cell>
          <cell r="BQ101">
            <v>44847</v>
          </cell>
          <cell r="BR101" t="str">
            <v>Received</v>
          </cell>
          <cell r="BT101">
            <v>44822</v>
          </cell>
          <cell r="BU101" t="str">
            <v>Received</v>
          </cell>
          <cell r="BV101" t="str">
            <v>Done</v>
          </cell>
          <cell r="BW101" t="str">
            <v>11-12-2021</v>
          </cell>
          <cell r="BX101">
            <v>44544</v>
          </cell>
          <cell r="BY101" t="str">
            <v>Done</v>
          </cell>
          <cell r="CD101" t="str">
            <v>Done</v>
          </cell>
          <cell r="CE101" t="str">
            <v/>
          </cell>
          <cell r="CF101" t="str">
            <v/>
          </cell>
          <cell r="CG101" t="str">
            <v/>
          </cell>
          <cell r="CH101" t="str">
            <v/>
          </cell>
          <cell r="CN101" t="str">
            <v/>
          </cell>
          <cell r="CO101" t="str">
            <v/>
          </cell>
          <cell r="CP101" t="str">
            <v/>
          </cell>
          <cell r="CR101" t="str">
            <v/>
          </cell>
          <cell r="DD101">
            <v>44793</v>
          </cell>
          <cell r="DG101" t="str">
            <v>10. Launched</v>
          </cell>
          <cell r="DJ101" t="str">
            <v/>
          </cell>
          <cell r="DK101">
            <v>44831</v>
          </cell>
          <cell r="DP101">
            <v>44833</v>
          </cell>
          <cell r="DQ101">
            <v>44831</v>
          </cell>
          <cell r="DR101">
            <v>35</v>
          </cell>
          <cell r="DS101">
            <v>45</v>
          </cell>
          <cell r="DU101">
            <v>44866</v>
          </cell>
          <cell r="DV101">
            <v>44876</v>
          </cell>
          <cell r="DW101">
            <v>44866</v>
          </cell>
          <cell r="DY101" t="str">
            <v/>
          </cell>
          <cell r="DZ101">
            <v>44893</v>
          </cell>
          <cell r="ED101" t="str">
            <v/>
          </cell>
          <cell r="EE101" t="str">
            <v/>
          </cell>
          <cell r="EF101">
            <v>1</v>
          </cell>
          <cell r="EG101">
            <v>1</v>
          </cell>
          <cell r="EJ101">
            <v>44838</v>
          </cell>
          <cell r="EM101">
            <v>44845</v>
          </cell>
          <cell r="EP101">
            <v>44852</v>
          </cell>
          <cell r="ES101">
            <v>44859</v>
          </cell>
          <cell r="EV101">
            <v>44866</v>
          </cell>
          <cell r="FD101">
            <v>27</v>
          </cell>
          <cell r="FE101" t="str">
            <v>16 to 31 Days</v>
          </cell>
          <cell r="FF101">
            <v>25</v>
          </cell>
          <cell r="FG101" t="str">
            <v>16 to 31 Days</v>
          </cell>
          <cell r="FH101" t="str">
            <v>Done</v>
          </cell>
          <cell r="FI101" t="str">
            <v>Done</v>
          </cell>
          <cell r="FJ101" t="str">
            <v>Done</v>
          </cell>
          <cell r="FM101" t="str">
            <v/>
          </cell>
          <cell r="GG101" t="str">
            <v>2022-2023</v>
          </cell>
        </row>
        <row r="102">
          <cell r="E102" t="str">
            <v>Sukhwani Pacific II</v>
          </cell>
          <cell r="F102" t="str">
            <v>14. Dropped</v>
          </cell>
          <cell r="G102" t="str">
            <v>NA</v>
          </cell>
          <cell r="H102" t="str">
            <v>_</v>
          </cell>
          <cell r="I102" t="str">
            <v>_</v>
          </cell>
          <cell r="K102" t="str">
            <v>W</v>
          </cell>
          <cell r="L102" t="str">
            <v>BK</v>
          </cell>
          <cell r="N102" t="str">
            <v>Sh Shashi Pardesi</v>
          </cell>
          <cell r="O102" t="str">
            <v>Sh Ashish M</v>
          </cell>
          <cell r="P102" t="str">
            <v/>
          </cell>
          <cell r="Q102" t="str">
            <v>Shahaji Gohatre</v>
          </cell>
          <cell r="R102" t="str">
            <v>Parth Sharma</v>
          </cell>
          <cell r="S102" t="str">
            <v>Maharashtra</v>
          </cell>
          <cell r="T102" t="str">
            <v>Pune</v>
          </cell>
          <cell r="U102" t="str">
            <v>Premium</v>
          </cell>
          <cell r="V102" t="str">
            <v>Misc Formats</v>
          </cell>
          <cell r="W102">
            <v>1193</v>
          </cell>
          <cell r="X102" t="str">
            <v>Shop No. 17 Ground &amp; Mezzanine Floor, 31, Aditya Birla Hospital Marg, opp. Aditya Birla Hospital, Thergaon, Pimpri-Chinchwad, Maharashtra 411033</v>
          </cell>
          <cell r="Z102" t="str">
            <v>_</v>
          </cell>
          <cell r="AB102">
            <v>45180</v>
          </cell>
          <cell r="AC102">
            <v>45184</v>
          </cell>
          <cell r="AD102">
            <v>45195</v>
          </cell>
          <cell r="AE102">
            <v>45195</v>
          </cell>
          <cell r="AF102" t="str">
            <v>SDR DONE</v>
          </cell>
          <cell r="AG102">
            <v>10</v>
          </cell>
          <cell r="AH102" t="str">
            <v>_</v>
          </cell>
          <cell r="AL102" t="str">
            <v>Received</v>
          </cell>
          <cell r="AM102">
            <v>977</v>
          </cell>
          <cell r="BJ102" t="str">
            <v/>
          </cell>
          <cell r="BN102" t="str">
            <v/>
          </cell>
          <cell r="CE102" t="str">
            <v/>
          </cell>
          <cell r="CF102" t="str">
            <v/>
          </cell>
          <cell r="CG102" t="str">
            <v/>
          </cell>
          <cell r="CH102" t="str">
            <v/>
          </cell>
          <cell r="CN102" t="str">
            <v/>
          </cell>
          <cell r="CO102" t="str">
            <v/>
          </cell>
          <cell r="CP102" t="str">
            <v/>
          </cell>
          <cell r="CR102" t="str">
            <v/>
          </cell>
          <cell r="DG102" t="str">
            <v>14. Dropped</v>
          </cell>
          <cell r="DJ102" t="str">
            <v/>
          </cell>
          <cell r="DP102" t="str">
            <v/>
          </cell>
          <cell r="DR102">
            <v>35</v>
          </cell>
          <cell r="DS102">
            <v>45</v>
          </cell>
          <cell r="DX102" t="str">
            <v/>
          </cell>
          <cell r="DY102" t="str">
            <v/>
          </cell>
          <cell r="EA102" t="str">
            <v/>
          </cell>
          <cell r="ED102" t="str">
            <v/>
          </cell>
          <cell r="EE102" t="str">
            <v/>
          </cell>
          <cell r="FM102" t="str">
            <v/>
          </cell>
          <cell r="GF102" t="str">
            <v>7-ElW39</v>
          </cell>
          <cell r="GG102" t="str">
            <v>2024-2025</v>
          </cell>
        </row>
        <row r="103">
          <cell r="E103" t="str">
            <v>Sumer Life</v>
          </cell>
          <cell r="F103" t="str">
            <v>10. Launched</v>
          </cell>
          <cell r="G103" t="str">
            <v>NA</v>
          </cell>
          <cell r="H103" t="str">
            <v>_</v>
          </cell>
          <cell r="I103" t="str">
            <v>_</v>
          </cell>
          <cell r="J103" t="str">
            <v>QGVA</v>
          </cell>
          <cell r="K103" t="str">
            <v>W</v>
          </cell>
          <cell r="L103" t="str">
            <v>BK</v>
          </cell>
          <cell r="N103" t="str">
            <v>Sh Sagar Sahani</v>
          </cell>
          <cell r="O103" t="str">
            <v>Sh Atul M Sawant</v>
          </cell>
          <cell r="P103" t="str">
            <v>Sh. Sagar Sahani</v>
          </cell>
          <cell r="Q103" t="str">
            <v>Shahaji Gohatre</v>
          </cell>
          <cell r="R103" t="str">
            <v>Parth Sharma</v>
          </cell>
          <cell r="S103" t="str">
            <v>Maharashtra</v>
          </cell>
          <cell r="T103" t="str">
            <v>Mumbai</v>
          </cell>
          <cell r="U103" t="str">
            <v>Premium</v>
          </cell>
          <cell r="V103" t="str">
            <v>Misc Formats</v>
          </cell>
          <cell r="W103">
            <v>1309</v>
          </cell>
          <cell r="X103" t="str">
            <v>Shop No. 50, Sumer Life, Chandivali, Near Nahar Amrit Shakti, Near Powai - Mumbai – 400072</v>
          </cell>
          <cell r="Z103" t="str">
            <v>Done</v>
          </cell>
          <cell r="AB103">
            <v>44767</v>
          </cell>
          <cell r="AC103">
            <v>44778</v>
          </cell>
          <cell r="AD103">
            <v>44781</v>
          </cell>
          <cell r="AE103">
            <v>44750</v>
          </cell>
          <cell r="AF103" t="str">
            <v>SDR DONE</v>
          </cell>
          <cell r="AG103">
            <v>9</v>
          </cell>
          <cell r="AH103" t="str">
            <v>_</v>
          </cell>
          <cell r="AJ103">
            <v>2</v>
          </cell>
          <cell r="AK103">
            <v>45098</v>
          </cell>
          <cell r="AL103" t="str">
            <v>Received</v>
          </cell>
          <cell r="AM103">
            <v>312</v>
          </cell>
          <cell r="AO103">
            <v>45101</v>
          </cell>
          <cell r="AP103">
            <v>44916</v>
          </cell>
          <cell r="AR103">
            <v>45015</v>
          </cell>
          <cell r="AS103">
            <v>-86</v>
          </cell>
          <cell r="AT103" t="str">
            <v>Received</v>
          </cell>
          <cell r="AU103">
            <v>45102</v>
          </cell>
          <cell r="AV103" t="str">
            <v>NA</v>
          </cell>
          <cell r="AW103" t="str">
            <v>NA</v>
          </cell>
          <cell r="AX103" t="str">
            <v>NA</v>
          </cell>
          <cell r="AZ103" t="str">
            <v>Received</v>
          </cell>
          <cell r="BA103">
            <v>45103</v>
          </cell>
          <cell r="BB103">
            <v>45013</v>
          </cell>
          <cell r="BD103">
            <v>45014</v>
          </cell>
          <cell r="BE103">
            <v>-89</v>
          </cell>
          <cell r="BF103" t="str">
            <v>Received</v>
          </cell>
          <cell r="BG103">
            <v>45103</v>
          </cell>
          <cell r="BH103">
            <v>45016</v>
          </cell>
          <cell r="BJ103">
            <v>45016</v>
          </cell>
          <cell r="BK103">
            <v>-87</v>
          </cell>
          <cell r="BL103" t="str">
            <v>Received</v>
          </cell>
          <cell r="BM103">
            <v>45101</v>
          </cell>
          <cell r="BN103">
            <v>44909</v>
          </cell>
          <cell r="BO103" t="str">
            <v>Received</v>
          </cell>
          <cell r="BP103">
            <v>45101</v>
          </cell>
          <cell r="BR103" t="str">
            <v>Received</v>
          </cell>
          <cell r="BU103" t="str">
            <v>Received</v>
          </cell>
          <cell r="BV103" t="str">
            <v>Done</v>
          </cell>
          <cell r="BW103" t="str">
            <v>Done</v>
          </cell>
          <cell r="BY103" t="str">
            <v>Done</v>
          </cell>
          <cell r="CD103" t="str">
            <v>Done</v>
          </cell>
          <cell r="CE103" t="str">
            <v/>
          </cell>
          <cell r="CF103" t="str">
            <v>3Desire Networks</v>
          </cell>
          <cell r="CG103" t="str">
            <v>Origin Technical</v>
          </cell>
          <cell r="CH103" t="str">
            <v>Aditya Aircon</v>
          </cell>
          <cell r="CN103">
            <v>45070</v>
          </cell>
          <cell r="CO103">
            <v>45096</v>
          </cell>
          <cell r="CP103">
            <v>45078</v>
          </cell>
          <cell r="CQ103">
            <v>45075</v>
          </cell>
          <cell r="CR103">
            <v>45097</v>
          </cell>
          <cell r="CS103">
            <v>45080</v>
          </cell>
          <cell r="DD103">
            <v>45005</v>
          </cell>
          <cell r="DG103" t="str">
            <v>10. Launched</v>
          </cell>
          <cell r="DJ103" t="str">
            <v/>
          </cell>
          <cell r="DK103">
            <v>45009</v>
          </cell>
          <cell r="DP103">
            <v>45011</v>
          </cell>
          <cell r="DQ103">
            <v>45049</v>
          </cell>
          <cell r="DR103">
            <v>35</v>
          </cell>
          <cell r="DS103">
            <v>45</v>
          </cell>
          <cell r="DU103">
            <v>45084</v>
          </cell>
          <cell r="DV103">
            <v>45094</v>
          </cell>
          <cell r="DW103">
            <v>45084</v>
          </cell>
          <cell r="DX103" t="str">
            <v>June 23 Week 1</v>
          </cell>
          <cell r="DY103" t="str">
            <v/>
          </cell>
          <cell r="DZ103">
            <v>45104</v>
          </cell>
          <cell r="EA103" t="str">
            <v>June 23 Week 4</v>
          </cell>
          <cell r="ED103" t="str">
            <v/>
          </cell>
          <cell r="EE103" t="str">
            <v/>
          </cell>
          <cell r="EF103">
            <v>1</v>
          </cell>
          <cell r="EG103">
            <v>1</v>
          </cell>
          <cell r="EJ103">
            <v>45056</v>
          </cell>
          <cell r="EM103">
            <v>45063</v>
          </cell>
          <cell r="EP103">
            <v>45070</v>
          </cell>
          <cell r="ES103">
            <v>45077</v>
          </cell>
          <cell r="EV103">
            <v>45084</v>
          </cell>
          <cell r="FD103">
            <v>20</v>
          </cell>
          <cell r="FE103" t="str">
            <v>16 to 31 Days</v>
          </cell>
          <cell r="FF103">
            <v>58</v>
          </cell>
          <cell r="FG103" t="str">
            <v>31 to 61 Days</v>
          </cell>
          <cell r="FH103" t="str">
            <v>Done</v>
          </cell>
          <cell r="FI103" t="str">
            <v>Done</v>
          </cell>
          <cell r="FJ103" t="str">
            <v>Done</v>
          </cell>
          <cell r="FM103" t="str">
            <v/>
          </cell>
          <cell r="GG103" t="str">
            <v>2023-2024</v>
          </cell>
        </row>
        <row r="104">
          <cell r="E104" t="str">
            <v>Suyog Space</v>
          </cell>
          <cell r="F104" t="str">
            <v>14. Dropped</v>
          </cell>
          <cell r="G104" t="str">
            <v>NA</v>
          </cell>
          <cell r="H104" t="str">
            <v>MH-SM-PUN-1006</v>
          </cell>
          <cell r="I104" t="str">
            <v>_</v>
          </cell>
          <cell r="J104" t="str">
            <v>QM5Q</v>
          </cell>
          <cell r="K104" t="str">
            <v>W</v>
          </cell>
          <cell r="L104" t="str">
            <v>BK</v>
          </cell>
          <cell r="N104" t="str">
            <v>Sh Shashi Pardesi</v>
          </cell>
          <cell r="O104" t="str">
            <v>Sh Shashi Pardesi</v>
          </cell>
          <cell r="P104" t="str">
            <v/>
          </cell>
          <cell r="Q104" t="str">
            <v>Arju Tiwari</v>
          </cell>
          <cell r="R104" t="str">
            <v>Kiran Patil</v>
          </cell>
          <cell r="S104" t="str">
            <v>Maharashtra</v>
          </cell>
          <cell r="T104" t="str">
            <v>Pune</v>
          </cell>
          <cell r="U104" t="str">
            <v>Premium</v>
          </cell>
          <cell r="V104" t="str">
            <v>Misc Formats</v>
          </cell>
          <cell r="W104">
            <v>1305</v>
          </cell>
          <cell r="X104" t="str">
            <v>Shop No 14 &amp; 15, Suyog Space, D-Wing, Wakad</v>
          </cell>
          <cell r="Z104" t="str">
            <v>_</v>
          </cell>
          <cell r="AB104">
            <v>45125</v>
          </cell>
          <cell r="AC104">
            <v>45127</v>
          </cell>
          <cell r="AD104">
            <v>45132</v>
          </cell>
          <cell r="AE104">
            <v>45133</v>
          </cell>
          <cell r="AF104" t="str">
            <v>SDR DONE</v>
          </cell>
          <cell r="AG104">
            <v>2</v>
          </cell>
          <cell r="AH104" t="str">
            <v>_</v>
          </cell>
          <cell r="AJ104">
            <v>5</v>
          </cell>
          <cell r="AK104">
            <v>45517</v>
          </cell>
          <cell r="AL104" t="str">
            <v>Received</v>
          </cell>
          <cell r="AM104">
            <v>380</v>
          </cell>
          <cell r="AO104">
            <v>45520</v>
          </cell>
          <cell r="AR104">
            <v>45524</v>
          </cell>
          <cell r="AS104">
            <v>4</v>
          </cell>
          <cell r="AU104">
            <v>45521</v>
          </cell>
          <cell r="AV104">
            <v>45257</v>
          </cell>
          <cell r="AX104">
            <v>45504</v>
          </cell>
          <cell r="AY104">
            <v>-17</v>
          </cell>
          <cell r="BA104">
            <v>45522</v>
          </cell>
          <cell r="BD104">
            <v>45501</v>
          </cell>
          <cell r="BE104">
            <v>-21</v>
          </cell>
          <cell r="BF104" t="str">
            <v>HVAC Received on 24-06-2024
PLB Received on 31-07-2024</v>
          </cell>
          <cell r="BG104">
            <v>45522</v>
          </cell>
          <cell r="BJ104">
            <v>45525</v>
          </cell>
          <cell r="BK104">
            <v>2</v>
          </cell>
          <cell r="BM104">
            <v>45520</v>
          </cell>
          <cell r="BN104" t="str">
            <v>17-10-2023
19-06-2024
22-06-2024</v>
          </cell>
          <cell r="BP104">
            <v>45520</v>
          </cell>
          <cell r="BR104" t="str">
            <v>Received</v>
          </cell>
          <cell r="BU104" t="str">
            <v>IT/HVAC/FF/SLP/Electrical/C&amp;I GFC/Fixture &amp; Component BOQ Received</v>
          </cell>
          <cell r="BW104" t="str">
            <v>22-12-2023</v>
          </cell>
          <cell r="BX104">
            <v>45393</v>
          </cell>
          <cell r="BY104" t="str">
            <v>Done</v>
          </cell>
          <cell r="CE104" t="str">
            <v/>
          </cell>
          <cell r="CF104" t="str">
            <v/>
          </cell>
          <cell r="CG104" t="str">
            <v/>
          </cell>
          <cell r="CH104" t="str">
            <v/>
          </cell>
          <cell r="CN104" t="str">
            <v/>
          </cell>
          <cell r="CO104" t="str">
            <v/>
          </cell>
          <cell r="CP104" t="str">
            <v/>
          </cell>
          <cell r="CR104" t="str">
            <v/>
          </cell>
          <cell r="DG104" t="str">
            <v>14. Dropped</v>
          </cell>
          <cell r="DJ104" t="str">
            <v/>
          </cell>
          <cell r="DP104" t="str">
            <v/>
          </cell>
          <cell r="DR104">
            <v>35</v>
          </cell>
          <cell r="DS104">
            <v>45</v>
          </cell>
          <cell r="DX104" t="str">
            <v/>
          </cell>
          <cell r="DY104" t="str">
            <v/>
          </cell>
          <cell r="EA104" t="str">
            <v/>
          </cell>
          <cell r="ED104" t="str">
            <v/>
          </cell>
          <cell r="EE104" t="str">
            <v/>
          </cell>
          <cell r="FM104" t="str">
            <v/>
          </cell>
          <cell r="GF104" t="str">
            <v>SEVEBK29</v>
          </cell>
          <cell r="GG104" t="str">
            <v>2024-2025</v>
          </cell>
        </row>
        <row r="105">
          <cell r="E105" t="str">
            <v>Tapovan CHS</v>
          </cell>
          <cell r="F105" t="str">
            <v>10. Launched</v>
          </cell>
          <cell r="G105" t="str">
            <v>NA</v>
          </cell>
          <cell r="H105" t="str">
            <v>MU-SM-GMU-725</v>
          </cell>
          <cell r="I105" t="str">
            <v>_</v>
          </cell>
          <cell r="J105" t="str">
            <v>QZCR</v>
          </cell>
          <cell r="K105" t="str">
            <v>W</v>
          </cell>
          <cell r="L105" t="str">
            <v>BK</v>
          </cell>
          <cell r="N105" t="str">
            <v>Sh Atul M Sawant</v>
          </cell>
          <cell r="O105" t="str">
            <v>Sh Atul M Sawant</v>
          </cell>
          <cell r="P105" t="str">
            <v>Sh. Prashant Kumar</v>
          </cell>
          <cell r="Q105" t="str">
            <v>Shahaji Gohatre</v>
          </cell>
          <cell r="R105" t="str">
            <v>Parth Sharma</v>
          </cell>
          <cell r="S105" t="str">
            <v>Maharashtra</v>
          </cell>
          <cell r="T105" t="str">
            <v>Mumbai</v>
          </cell>
          <cell r="U105" t="str">
            <v>Premium</v>
          </cell>
          <cell r="V105" t="str">
            <v>Misc Formats</v>
          </cell>
          <cell r="W105">
            <v>758</v>
          </cell>
          <cell r="X105" t="str">
            <v>Shop No.01 &amp; 22, Tapovan CHS, Nahur-West, Mumbai- 400080</v>
          </cell>
          <cell r="Z105" t="str">
            <v>Done</v>
          </cell>
          <cell r="AB105">
            <v>44965</v>
          </cell>
          <cell r="AC105">
            <v>44987</v>
          </cell>
          <cell r="AD105">
            <v>44994</v>
          </cell>
          <cell r="AE105">
            <v>44994</v>
          </cell>
          <cell r="AF105" t="str">
            <v>SDR DONE</v>
          </cell>
          <cell r="AG105">
            <v>24</v>
          </cell>
          <cell r="AH105" t="str">
            <v>_</v>
          </cell>
          <cell r="AJ105">
            <v>2</v>
          </cell>
          <cell r="AK105">
            <v>45089</v>
          </cell>
          <cell r="AL105" t="str">
            <v>Received</v>
          </cell>
          <cell r="AM105">
            <v>90</v>
          </cell>
          <cell r="AO105">
            <v>45092</v>
          </cell>
          <cell r="AP105">
            <v>45049</v>
          </cell>
          <cell r="AQ105">
            <v>0</v>
          </cell>
          <cell r="AR105">
            <v>45049</v>
          </cell>
          <cell r="AS105">
            <v>-43</v>
          </cell>
          <cell r="AT105" t="str">
            <v>Received</v>
          </cell>
          <cell r="AU105">
            <v>45093</v>
          </cell>
          <cell r="AV105">
            <v>45037</v>
          </cell>
          <cell r="AW105">
            <v>0</v>
          </cell>
          <cell r="AX105">
            <v>45037</v>
          </cell>
          <cell r="AY105">
            <v>-56</v>
          </cell>
          <cell r="AZ105" t="str">
            <v>Received</v>
          </cell>
          <cell r="BA105">
            <v>45094</v>
          </cell>
          <cell r="BB105">
            <v>45039</v>
          </cell>
          <cell r="BD105">
            <v>45075</v>
          </cell>
          <cell r="BE105">
            <v>-19</v>
          </cell>
          <cell r="BF105" t="str">
            <v>Received</v>
          </cell>
          <cell r="BG105">
            <v>45094</v>
          </cell>
          <cell r="BH105">
            <v>45056</v>
          </cell>
          <cell r="BJ105">
            <v>45119</v>
          </cell>
          <cell r="BK105">
            <v>24</v>
          </cell>
          <cell r="BL105" t="str">
            <v>Received</v>
          </cell>
          <cell r="BM105">
            <v>45092</v>
          </cell>
          <cell r="BN105" t="str">
            <v>R0 -01-04-2023
R1 - 01-08-2023</v>
          </cell>
          <cell r="BO105" t="str">
            <v>Received</v>
          </cell>
          <cell r="BP105">
            <v>45092</v>
          </cell>
          <cell r="BQ105">
            <v>45021</v>
          </cell>
          <cell r="BR105" t="str">
            <v>Received</v>
          </cell>
          <cell r="BU105" t="str">
            <v>Received</v>
          </cell>
          <cell r="BV105" t="str">
            <v>Done</v>
          </cell>
          <cell r="BW105" t="str">
            <v>Done</v>
          </cell>
          <cell r="BX105">
            <v>45274</v>
          </cell>
          <cell r="BY105" t="str">
            <v>Done</v>
          </cell>
          <cell r="CD105" t="str">
            <v>Done</v>
          </cell>
          <cell r="CE105">
            <v>45094</v>
          </cell>
          <cell r="CF105" t="str">
            <v>Mahi Construction</v>
          </cell>
          <cell r="CG105" t="str">
            <v>Somaria Electrical</v>
          </cell>
          <cell r="CH105" t="str">
            <v>Arithmetic</v>
          </cell>
          <cell r="CJ105">
            <v>45094</v>
          </cell>
          <cell r="CK105">
            <v>45094</v>
          </cell>
          <cell r="CL105">
            <v>45106</v>
          </cell>
          <cell r="CN105">
            <v>45148</v>
          </cell>
          <cell r="CO105">
            <v>45149</v>
          </cell>
          <cell r="CP105">
            <v>45147</v>
          </cell>
          <cell r="CQ105">
            <v>45163</v>
          </cell>
          <cell r="CR105">
            <v>45152</v>
          </cell>
          <cell r="CS105">
            <v>45151</v>
          </cell>
          <cell r="DD105">
            <v>45083</v>
          </cell>
          <cell r="DE105">
            <v>60</v>
          </cell>
          <cell r="DF105">
            <v>45151</v>
          </cell>
          <cell r="DG105" t="str">
            <v>10. Launched</v>
          </cell>
          <cell r="DK105">
            <v>45091</v>
          </cell>
          <cell r="DP105">
            <v>45093</v>
          </cell>
          <cell r="DQ105">
            <v>45106</v>
          </cell>
          <cell r="DR105">
            <v>35</v>
          </cell>
          <cell r="DS105">
            <v>45</v>
          </cell>
          <cell r="DU105">
            <v>45141</v>
          </cell>
          <cell r="DV105">
            <v>45151</v>
          </cell>
          <cell r="DW105">
            <v>45141</v>
          </cell>
          <cell r="DX105" t="str">
            <v>Aug 23 Week 1</v>
          </cell>
          <cell r="DY105" t="str">
            <v/>
          </cell>
          <cell r="DZ105">
            <v>45197</v>
          </cell>
          <cell r="EA105" t="str">
            <v>Sep 23 Week 4</v>
          </cell>
          <cell r="ED105" t="str">
            <v/>
          </cell>
          <cell r="EE105" t="str">
            <v/>
          </cell>
          <cell r="EF105">
            <v>1</v>
          </cell>
          <cell r="EG105">
            <v>1</v>
          </cell>
          <cell r="EJ105">
            <v>45113</v>
          </cell>
          <cell r="EM105">
            <v>45120</v>
          </cell>
          <cell r="EP105">
            <v>45127</v>
          </cell>
          <cell r="ES105">
            <v>45134</v>
          </cell>
          <cell r="EV105">
            <v>45141</v>
          </cell>
          <cell r="FD105">
            <v>56</v>
          </cell>
          <cell r="FE105" t="str">
            <v>31 to 61 Days</v>
          </cell>
          <cell r="FF105">
            <v>69</v>
          </cell>
          <cell r="FG105" t="str">
            <v>62 to 90 Days</v>
          </cell>
          <cell r="FH105" t="str">
            <v>Done</v>
          </cell>
          <cell r="FI105" t="str">
            <v>Done</v>
          </cell>
          <cell r="FJ105" t="str">
            <v>Done</v>
          </cell>
          <cell r="FM105" t="str">
            <v/>
          </cell>
          <cell r="GG105" t="str">
            <v>2023-2024</v>
          </cell>
        </row>
        <row r="106">
          <cell r="E106" t="str">
            <v>Tulsi Heights,Ulwe</v>
          </cell>
          <cell r="F106" t="str">
            <v>11. HOLD</v>
          </cell>
          <cell r="G106" t="str">
            <v>NA</v>
          </cell>
          <cell r="H106" t="str">
            <v>_</v>
          </cell>
          <cell r="I106" t="str">
            <v>_</v>
          </cell>
          <cell r="K106" t="str">
            <v>W</v>
          </cell>
          <cell r="L106" t="str">
            <v>BK</v>
          </cell>
          <cell r="N106" t="str">
            <v>Sh Mrudang Shah</v>
          </cell>
          <cell r="O106" t="str">
            <v>Sh Nitin Dawange</v>
          </cell>
          <cell r="P106" t="str">
            <v/>
          </cell>
          <cell r="Q106" t="str">
            <v>Shahaji Gohatre</v>
          </cell>
          <cell r="R106" t="str">
            <v>Parth Sharma</v>
          </cell>
          <cell r="S106" t="str">
            <v>Maharashtra</v>
          </cell>
          <cell r="T106" t="str">
            <v>Navi Mumbai</v>
          </cell>
          <cell r="U106" t="str">
            <v>Premium</v>
          </cell>
          <cell r="V106" t="str">
            <v>Misc Formats</v>
          </cell>
          <cell r="W106">
            <v>606</v>
          </cell>
          <cell r="X106" t="str">
            <v>Shop No. 1, Tulsi Heights, Thakur Marg, Sector 8, Ulwe, Navi Mumbai, Maharashtra 410206</v>
          </cell>
          <cell r="Z106" t="str">
            <v>_</v>
          </cell>
          <cell r="AB106">
            <v>45300</v>
          </cell>
          <cell r="AC106">
            <v>45302</v>
          </cell>
          <cell r="AD106">
            <v>45309</v>
          </cell>
          <cell r="AE106">
            <v>45309</v>
          </cell>
          <cell r="AF106" t="str">
            <v>SDR DONE</v>
          </cell>
          <cell r="AG106">
            <v>4</v>
          </cell>
          <cell r="AH106" t="str">
            <v>_</v>
          </cell>
          <cell r="AK106">
            <v>45323</v>
          </cell>
          <cell r="AL106" t="str">
            <v>Received</v>
          </cell>
          <cell r="AM106">
            <v>9</v>
          </cell>
          <cell r="AO106">
            <v>45326</v>
          </cell>
          <cell r="AU106">
            <v>45327</v>
          </cell>
          <cell r="AV106" t="str">
            <v/>
          </cell>
          <cell r="BA106">
            <v>45328</v>
          </cell>
          <cell r="BG106">
            <v>45328</v>
          </cell>
          <cell r="BJ106" t="str">
            <v/>
          </cell>
          <cell r="BM106">
            <v>45326</v>
          </cell>
          <cell r="BN106">
            <v>45324</v>
          </cell>
          <cell r="BP106">
            <v>45326</v>
          </cell>
          <cell r="BQ106">
            <v>45330</v>
          </cell>
          <cell r="BR106" t="str">
            <v>Received</v>
          </cell>
          <cell r="BW106" t="str">
            <v/>
          </cell>
          <cell r="CE106" t="str">
            <v/>
          </cell>
          <cell r="CF106" t="str">
            <v/>
          </cell>
          <cell r="CG106" t="str">
            <v/>
          </cell>
          <cell r="CH106" t="str">
            <v/>
          </cell>
          <cell r="CN106" t="str">
            <v/>
          </cell>
          <cell r="CO106" t="str">
            <v/>
          </cell>
          <cell r="CP106" t="str">
            <v/>
          </cell>
          <cell r="CR106" t="str">
            <v/>
          </cell>
          <cell r="DG106" t="str">
            <v>11. HOLD</v>
          </cell>
          <cell r="DJ106" t="str">
            <v/>
          </cell>
          <cell r="DP106" t="str">
            <v/>
          </cell>
          <cell r="DR106">
            <v>35</v>
          </cell>
          <cell r="DS106">
            <v>45</v>
          </cell>
          <cell r="DX106" t="str">
            <v/>
          </cell>
          <cell r="DY106" t="str">
            <v/>
          </cell>
          <cell r="EA106" t="str">
            <v/>
          </cell>
          <cell r="ED106" t="str">
            <v/>
          </cell>
          <cell r="EE106" t="str">
            <v/>
          </cell>
          <cell r="FM106" t="str">
            <v/>
          </cell>
          <cell r="GG106" t="str">
            <v>2026-2027</v>
          </cell>
        </row>
        <row r="107">
          <cell r="E107" t="str">
            <v>Varun Arcade</v>
          </cell>
          <cell r="F107" t="str">
            <v>14. Dropped</v>
          </cell>
          <cell r="G107" t="str">
            <v>NA</v>
          </cell>
          <cell r="H107" t="str">
            <v>_</v>
          </cell>
          <cell r="I107" t="str">
            <v>_</v>
          </cell>
          <cell r="K107" t="str">
            <v>W</v>
          </cell>
          <cell r="L107" t="str">
            <v>BK</v>
          </cell>
          <cell r="N107" t="str">
            <v>Sh Sanjiv Johari</v>
          </cell>
          <cell r="O107" t="str">
            <v>Sh. Atul M Sawant</v>
          </cell>
          <cell r="P107" t="str">
            <v/>
          </cell>
          <cell r="Q107" t="str">
            <v>Shahaji Gohatre</v>
          </cell>
          <cell r="R107" t="str">
            <v>Parth Sharma</v>
          </cell>
          <cell r="S107" t="str">
            <v>Maharashtra</v>
          </cell>
          <cell r="T107" t="str">
            <v>Mumbai</v>
          </cell>
          <cell r="U107" t="str">
            <v>Premium</v>
          </cell>
          <cell r="V107" t="str">
            <v>Misc Formats</v>
          </cell>
          <cell r="W107">
            <v>737</v>
          </cell>
          <cell r="X107" t="str">
            <v>Shop No.06, Varun Arcade, Chitalsar, manpada, Thane-West</v>
          </cell>
          <cell r="Z107" t="str">
            <v>_</v>
          </cell>
          <cell r="AB107">
            <v>44756</v>
          </cell>
          <cell r="AC107">
            <v>44758</v>
          </cell>
          <cell r="AD107">
            <v>44763</v>
          </cell>
          <cell r="AE107">
            <v>44763</v>
          </cell>
          <cell r="AF107" t="str">
            <v>SDR DONE</v>
          </cell>
          <cell r="AG107">
            <v>2</v>
          </cell>
          <cell r="AH107" t="str">
            <v>_</v>
          </cell>
          <cell r="AK107">
            <v>44784</v>
          </cell>
          <cell r="AL107" t="str">
            <v>Received</v>
          </cell>
          <cell r="AM107">
            <v>16</v>
          </cell>
          <cell r="AO107">
            <v>44787</v>
          </cell>
          <cell r="AU107">
            <v>44788</v>
          </cell>
          <cell r="AV107" t="str">
            <v/>
          </cell>
          <cell r="BA107">
            <v>44789</v>
          </cell>
          <cell r="BG107">
            <v>44789</v>
          </cell>
          <cell r="BJ107" t="str">
            <v/>
          </cell>
          <cell r="BM107">
            <v>44787</v>
          </cell>
          <cell r="BN107" t="str">
            <v/>
          </cell>
          <cell r="BP107">
            <v>44787</v>
          </cell>
          <cell r="BW107" t="str">
            <v/>
          </cell>
          <cell r="CE107" t="str">
            <v/>
          </cell>
          <cell r="CF107" t="str">
            <v/>
          </cell>
          <cell r="CG107" t="str">
            <v/>
          </cell>
          <cell r="CH107" t="str">
            <v/>
          </cell>
          <cell r="CN107" t="str">
            <v/>
          </cell>
          <cell r="CO107" t="str">
            <v/>
          </cell>
          <cell r="CP107" t="str">
            <v/>
          </cell>
          <cell r="CR107" t="str">
            <v/>
          </cell>
          <cell r="DG107" t="str">
            <v>14. Dropped</v>
          </cell>
          <cell r="DJ107" t="str">
            <v/>
          </cell>
          <cell r="DP107" t="str">
            <v/>
          </cell>
          <cell r="DR107">
            <v>35</v>
          </cell>
          <cell r="DS107">
            <v>45</v>
          </cell>
          <cell r="DX107" t="str">
            <v/>
          </cell>
          <cell r="DY107" t="str">
            <v/>
          </cell>
          <cell r="EA107" t="str">
            <v/>
          </cell>
          <cell r="ED107" t="str">
            <v/>
          </cell>
          <cell r="EE107" t="str">
            <v/>
          </cell>
          <cell r="FM107" t="str">
            <v/>
          </cell>
          <cell r="GG107" t="str">
            <v>2024-2025</v>
          </cell>
        </row>
        <row r="108">
          <cell r="E108" t="str">
            <v>Viman Nagar, Nyati Express</v>
          </cell>
          <cell r="F108" t="str">
            <v>14. Dropped</v>
          </cell>
          <cell r="G108" t="str">
            <v>NA</v>
          </cell>
          <cell r="H108" t="str">
            <v>_</v>
          </cell>
          <cell r="I108" t="str">
            <v>_</v>
          </cell>
          <cell r="K108" t="str">
            <v>W</v>
          </cell>
          <cell r="L108" t="str">
            <v>BK</v>
          </cell>
          <cell r="N108" t="str">
            <v>Sh Shashi Pardesi</v>
          </cell>
          <cell r="O108" t="str">
            <v>Sh Shashi Pardesi</v>
          </cell>
          <cell r="P108" t="str">
            <v/>
          </cell>
          <cell r="Q108" t="str">
            <v>Shahaji Gohatre</v>
          </cell>
          <cell r="R108" t="str">
            <v>Parth Sharma</v>
          </cell>
          <cell r="S108" t="str">
            <v>Maharashtra</v>
          </cell>
          <cell r="T108" t="str">
            <v>Pune</v>
          </cell>
          <cell r="U108" t="str">
            <v>Premium</v>
          </cell>
          <cell r="V108" t="str">
            <v>Misc Formats</v>
          </cell>
          <cell r="W108">
            <v>1012</v>
          </cell>
          <cell r="X108" t="str">
            <v>Nyati Empress ,Showroom No.20 &amp; 21, Viman Nagar , Pune</v>
          </cell>
          <cell r="Z108" t="str">
            <v>_</v>
          </cell>
          <cell r="AB108">
            <v>45097</v>
          </cell>
          <cell r="AC108">
            <v>45098</v>
          </cell>
          <cell r="AD108">
            <v>45106</v>
          </cell>
          <cell r="AE108">
            <v>45106</v>
          </cell>
          <cell r="AF108" t="str">
            <v>SDR DONE</v>
          </cell>
          <cell r="AG108">
            <v>4</v>
          </cell>
          <cell r="AH108" t="str">
            <v>_</v>
          </cell>
          <cell r="AI108">
            <v>45131</v>
          </cell>
          <cell r="AK108">
            <v>45131</v>
          </cell>
          <cell r="AL108" t="str">
            <v>Received</v>
          </cell>
          <cell r="AM108">
            <v>20</v>
          </cell>
          <cell r="AO108">
            <v>45134</v>
          </cell>
          <cell r="AU108">
            <v>45135</v>
          </cell>
          <cell r="AV108" t="str">
            <v/>
          </cell>
          <cell r="BA108">
            <v>45136</v>
          </cell>
          <cell r="BG108">
            <v>45136</v>
          </cell>
          <cell r="BJ108" t="str">
            <v/>
          </cell>
          <cell r="BM108">
            <v>45134</v>
          </cell>
          <cell r="BN108" t="str">
            <v/>
          </cell>
          <cell r="BP108">
            <v>45134</v>
          </cell>
          <cell r="BQ108">
            <v>45142</v>
          </cell>
          <cell r="BR108" t="str">
            <v>Received</v>
          </cell>
          <cell r="BW108" t="str">
            <v/>
          </cell>
          <cell r="CE108" t="str">
            <v/>
          </cell>
          <cell r="CF108" t="str">
            <v/>
          </cell>
          <cell r="CG108" t="str">
            <v/>
          </cell>
          <cell r="CH108" t="str">
            <v/>
          </cell>
          <cell r="CN108" t="str">
            <v/>
          </cell>
          <cell r="CO108" t="str">
            <v/>
          </cell>
          <cell r="CP108" t="str">
            <v/>
          </cell>
          <cell r="CR108" t="str">
            <v/>
          </cell>
          <cell r="DG108" t="str">
            <v>14. Dropped</v>
          </cell>
          <cell r="DJ108" t="str">
            <v/>
          </cell>
          <cell r="DP108" t="str">
            <v/>
          </cell>
          <cell r="DR108">
            <v>35</v>
          </cell>
          <cell r="DS108">
            <v>45</v>
          </cell>
          <cell r="DX108" t="str">
            <v/>
          </cell>
          <cell r="DY108" t="str">
            <v/>
          </cell>
          <cell r="EA108" t="str">
            <v/>
          </cell>
          <cell r="ED108" t="str">
            <v/>
          </cell>
          <cell r="EE108" t="str">
            <v/>
          </cell>
          <cell r="FM108" t="str">
            <v/>
          </cell>
          <cell r="GG108" t="str">
            <v>2024-2025</v>
          </cell>
        </row>
        <row r="109">
          <cell r="E109" t="str">
            <v>Viviana Mall, Thane</v>
          </cell>
          <cell r="F109" t="str">
            <v>14. Dropped</v>
          </cell>
          <cell r="G109" t="str">
            <v>NA</v>
          </cell>
          <cell r="H109" t="str">
            <v>MU-SM-GMU-546-FG-711</v>
          </cell>
          <cell r="I109" t="str">
            <v>_</v>
          </cell>
          <cell r="J109" t="str">
            <v>Q4M4</v>
          </cell>
          <cell r="K109" t="str">
            <v>W</v>
          </cell>
          <cell r="L109" t="str">
            <v>BK</v>
          </cell>
          <cell r="M109" t="str">
            <v>EPC Ready received on 18-02-2024
PPT under review</v>
          </cell>
          <cell r="N109" t="str">
            <v>Sh Nitin Dawange</v>
          </cell>
          <cell r="O109" t="str">
            <v>Sh Nitin Dawange</v>
          </cell>
          <cell r="P109" t="str">
            <v/>
          </cell>
          <cell r="Q109" t="str">
            <v>Shahaji Gohatre</v>
          </cell>
          <cell r="R109" t="str">
            <v>Parth Sharma</v>
          </cell>
          <cell r="S109" t="str">
            <v>Maharashtra</v>
          </cell>
          <cell r="T109" t="str">
            <v>Thane</v>
          </cell>
          <cell r="U109" t="str">
            <v>Premium</v>
          </cell>
          <cell r="V109" t="str">
            <v>Misc Formats</v>
          </cell>
          <cell r="W109">
            <v>643</v>
          </cell>
          <cell r="X109" t="str">
            <v>Eastern Express Highway, On Service Road, Next To Jupiter Hospital, Laxmi Nagar, Thane West, Thane, Mumbai, Maharashtra 400601 </v>
          </cell>
          <cell r="Z109" t="str">
            <v>_</v>
          </cell>
          <cell r="AB109">
            <v>45073</v>
          </cell>
          <cell r="AC109">
            <v>45202</v>
          </cell>
          <cell r="AD109">
            <v>45204</v>
          </cell>
          <cell r="AE109">
            <v>45204</v>
          </cell>
          <cell r="AF109" t="str">
            <v>SDR DONE</v>
          </cell>
          <cell r="AG109">
            <v>126</v>
          </cell>
          <cell r="AH109" t="str">
            <v>_</v>
          </cell>
          <cell r="AK109">
            <v>44955</v>
          </cell>
          <cell r="AL109" t="str">
            <v>Received</v>
          </cell>
          <cell r="AM109">
            <v>0</v>
          </cell>
          <cell r="AO109">
            <v>44958</v>
          </cell>
          <cell r="AP109">
            <v>45251</v>
          </cell>
          <cell r="AR109">
            <v>45251</v>
          </cell>
          <cell r="AS109">
            <v>293</v>
          </cell>
          <cell r="AU109">
            <v>44959</v>
          </cell>
          <cell r="AV109">
            <v>45260</v>
          </cell>
          <cell r="BA109">
            <v>44960</v>
          </cell>
          <cell r="BB109">
            <v>45254</v>
          </cell>
          <cell r="BD109">
            <v>45254</v>
          </cell>
          <cell r="BE109">
            <v>294</v>
          </cell>
          <cell r="BG109">
            <v>44960</v>
          </cell>
          <cell r="BH109">
            <v>45258</v>
          </cell>
          <cell r="BJ109">
            <v>45258</v>
          </cell>
          <cell r="BK109">
            <v>298</v>
          </cell>
          <cell r="BM109">
            <v>44958</v>
          </cell>
          <cell r="BN109" t="str">
            <v/>
          </cell>
          <cell r="BP109">
            <v>44958</v>
          </cell>
          <cell r="BQ109">
            <v>45257</v>
          </cell>
          <cell r="BR109" t="str">
            <v>Received</v>
          </cell>
          <cell r="BT109">
            <v>45258</v>
          </cell>
          <cell r="BW109" t="str">
            <v>04-12-2023</v>
          </cell>
          <cell r="CE109" t="str">
            <v/>
          </cell>
          <cell r="CF109" t="str">
            <v/>
          </cell>
          <cell r="CG109" t="str">
            <v/>
          </cell>
          <cell r="CH109" t="str">
            <v/>
          </cell>
          <cell r="CN109" t="str">
            <v/>
          </cell>
          <cell r="CO109" t="str">
            <v/>
          </cell>
          <cell r="CP109" t="str">
            <v/>
          </cell>
          <cell r="CR109" t="str">
            <v/>
          </cell>
          <cell r="DA109" t="str">
            <v>WO Done RA1 Pending</v>
          </cell>
          <cell r="DB109" t="str">
            <v>WO Done RA1 Pending</v>
          </cell>
          <cell r="DC109" t="str">
            <v>WO Done RA1 Pending</v>
          </cell>
          <cell r="DG109" t="str">
            <v>14. Dropped</v>
          </cell>
          <cell r="DJ109" t="str">
            <v/>
          </cell>
          <cell r="DP109" t="str">
            <v/>
          </cell>
          <cell r="DR109">
            <v>35</v>
          </cell>
          <cell r="DS109">
            <v>45</v>
          </cell>
          <cell r="DX109" t="str">
            <v/>
          </cell>
          <cell r="DY109" t="str">
            <v/>
          </cell>
          <cell r="EA109" t="str">
            <v/>
          </cell>
          <cell r="ED109" t="str">
            <v/>
          </cell>
          <cell r="EE109" t="str">
            <v/>
          </cell>
          <cell r="FM109" t="str">
            <v/>
          </cell>
          <cell r="GF109" t="str">
            <v>SEVEBK53</v>
          </cell>
          <cell r="GG109" t="str">
            <v>2024-2025</v>
          </cell>
        </row>
        <row r="110">
          <cell r="E110" t="str">
            <v>WTC kharandi, Tower - 1</v>
          </cell>
          <cell r="F110" t="str">
            <v>10. Launched</v>
          </cell>
          <cell r="G110" t="str">
            <v>NA</v>
          </cell>
          <cell r="H110" t="str">
            <v>_</v>
          </cell>
          <cell r="I110" t="str">
            <v>_</v>
          </cell>
          <cell r="J110" t="str">
            <v>QI3R</v>
          </cell>
          <cell r="K110" t="str">
            <v>W</v>
          </cell>
          <cell r="L110" t="str">
            <v>BK</v>
          </cell>
          <cell r="N110" t="str">
            <v>Sh Shashi Pardesi</v>
          </cell>
          <cell r="O110" t="str">
            <v>Sh Shashi Pardesi</v>
          </cell>
          <cell r="P110" t="str">
            <v>Sh. Shivkumar Goswami</v>
          </cell>
          <cell r="Q110" t="str">
            <v>Shahaji Gohatre</v>
          </cell>
          <cell r="R110" t="str">
            <v>Parth Sharma</v>
          </cell>
          <cell r="S110" t="str">
            <v>Maharashtra</v>
          </cell>
          <cell r="T110" t="str">
            <v>Pune</v>
          </cell>
          <cell r="U110" t="str">
            <v>Premium</v>
          </cell>
          <cell r="V110" t="str">
            <v>Misc Formats</v>
          </cell>
          <cell r="W110">
            <v>726</v>
          </cell>
          <cell r="X110" t="str">
            <v>Retail Unit No. 5, Ground floor, WTC T-I, Kharadi 411014</v>
          </cell>
          <cell r="Z110" t="str">
            <v>Done</v>
          </cell>
          <cell r="AB110">
            <v>45120</v>
          </cell>
          <cell r="AC110">
            <v>45127</v>
          </cell>
          <cell r="AD110">
            <v>45129</v>
          </cell>
          <cell r="AE110">
            <v>45130</v>
          </cell>
          <cell r="AF110" t="str">
            <v>SDR DONE</v>
          </cell>
          <cell r="AG110">
            <v>4</v>
          </cell>
          <cell r="AH110" t="str">
            <v>_</v>
          </cell>
          <cell r="AJ110">
            <v>2</v>
          </cell>
          <cell r="AK110">
            <v>45308</v>
          </cell>
          <cell r="AL110" t="str">
            <v>Received</v>
          </cell>
          <cell r="AM110">
            <v>174</v>
          </cell>
          <cell r="AO110">
            <v>45311</v>
          </cell>
          <cell r="AP110">
            <v>45168</v>
          </cell>
          <cell r="AQ110">
            <v>0</v>
          </cell>
          <cell r="AR110">
            <v>45168</v>
          </cell>
          <cell r="AS110">
            <v>-143</v>
          </cell>
          <cell r="AT110" t="str">
            <v>Received</v>
          </cell>
          <cell r="AU110">
            <v>45312</v>
          </cell>
          <cell r="AV110">
            <v>45180</v>
          </cell>
          <cell r="AW110">
            <v>0</v>
          </cell>
          <cell r="AX110">
            <v>45180</v>
          </cell>
          <cell r="AY110">
            <v>-132</v>
          </cell>
          <cell r="AZ110" t="str">
            <v>Received</v>
          </cell>
          <cell r="BA110">
            <v>45313</v>
          </cell>
          <cell r="BB110">
            <v>45182</v>
          </cell>
          <cell r="BD110">
            <v>45182</v>
          </cell>
          <cell r="BE110">
            <v>-131</v>
          </cell>
          <cell r="BF110" t="str">
            <v>Received</v>
          </cell>
          <cell r="BG110">
            <v>45313</v>
          </cell>
          <cell r="BH110">
            <v>45190</v>
          </cell>
          <cell r="BJ110">
            <v>45190</v>
          </cell>
          <cell r="BK110">
            <v>-123</v>
          </cell>
          <cell r="BL110" t="str">
            <v>Received</v>
          </cell>
          <cell r="BM110">
            <v>45311</v>
          </cell>
          <cell r="BN110">
            <v>45155</v>
          </cell>
          <cell r="BO110" t="str">
            <v>Received</v>
          </cell>
          <cell r="BP110">
            <v>45311</v>
          </cell>
          <cell r="BQ110">
            <v>45166</v>
          </cell>
          <cell r="BR110" t="str">
            <v>Received</v>
          </cell>
          <cell r="BT110">
            <v>45157</v>
          </cell>
          <cell r="BU110" t="str">
            <v>Received</v>
          </cell>
          <cell r="BV110" t="str">
            <v>Done</v>
          </cell>
          <cell r="BW110" t="str">
            <v>04-10-2023</v>
          </cell>
          <cell r="BX110">
            <v>45228</v>
          </cell>
          <cell r="BY110" t="str">
            <v>Done</v>
          </cell>
          <cell r="CD110" t="str">
            <v>Done</v>
          </cell>
          <cell r="CE110">
            <v>45282</v>
          </cell>
          <cell r="CF110" t="str">
            <v/>
          </cell>
          <cell r="CG110" t="str">
            <v>SR electricals</v>
          </cell>
          <cell r="CH110" t="str">
            <v>Swastik Airsystems</v>
          </cell>
          <cell r="CJ110">
            <v>45282</v>
          </cell>
          <cell r="CK110">
            <v>45282</v>
          </cell>
          <cell r="CN110">
            <v>45315</v>
          </cell>
          <cell r="CO110">
            <v>45307</v>
          </cell>
          <cell r="CP110">
            <v>45310</v>
          </cell>
          <cell r="CQ110">
            <v>45320</v>
          </cell>
          <cell r="CR110">
            <v>45309</v>
          </cell>
          <cell r="CS110">
            <v>45315</v>
          </cell>
          <cell r="CX110">
            <v>45303</v>
          </cell>
          <cell r="CY110">
            <v>45303</v>
          </cell>
          <cell r="CZ110">
            <v>45303</v>
          </cell>
          <cell r="DD110">
            <v>45280</v>
          </cell>
          <cell r="DE110">
            <v>90</v>
          </cell>
          <cell r="DF110">
            <v>45372</v>
          </cell>
          <cell r="DG110" t="str">
            <v>10. Launched</v>
          </cell>
          <cell r="DJ110" t="str">
            <v/>
          </cell>
          <cell r="DK110">
            <v>45282</v>
          </cell>
          <cell r="DP110">
            <v>45284</v>
          </cell>
          <cell r="DQ110">
            <v>45296</v>
          </cell>
          <cell r="DR110">
            <v>35</v>
          </cell>
          <cell r="DS110">
            <v>45</v>
          </cell>
          <cell r="DU110">
            <v>45331</v>
          </cell>
          <cell r="DV110">
            <v>45341</v>
          </cell>
          <cell r="DW110">
            <v>45331</v>
          </cell>
          <cell r="DX110" t="str">
            <v>Feb 24 Week 2</v>
          </cell>
          <cell r="DY110" t="str">
            <v/>
          </cell>
          <cell r="DZ110">
            <v>45343</v>
          </cell>
          <cell r="EA110" t="str">
            <v>Feb 24 Week 3</v>
          </cell>
          <cell r="ED110" t="str">
            <v/>
          </cell>
          <cell r="EE110" t="str">
            <v/>
          </cell>
          <cell r="EF110">
            <v>1</v>
          </cell>
          <cell r="EG110">
            <v>1</v>
          </cell>
          <cell r="EJ110">
            <v>45303</v>
          </cell>
          <cell r="EM110">
            <v>45310</v>
          </cell>
          <cell r="EP110">
            <v>45317</v>
          </cell>
          <cell r="ES110">
            <v>45324</v>
          </cell>
          <cell r="EV110">
            <v>45331</v>
          </cell>
          <cell r="FD110">
            <v>12</v>
          </cell>
          <cell r="FE110" t="str">
            <v>8 to 15 Days</v>
          </cell>
          <cell r="FF110">
            <v>24</v>
          </cell>
          <cell r="FG110" t="str">
            <v>16 to 31 Days</v>
          </cell>
          <cell r="FH110" t="str">
            <v>Done</v>
          </cell>
          <cell r="FI110" t="str">
            <v>Done</v>
          </cell>
          <cell r="FJ110" t="str">
            <v>Done</v>
          </cell>
          <cell r="FK110">
            <v>45348</v>
          </cell>
          <cell r="FM110" t="str">
            <v/>
          </cell>
          <cell r="GG110" t="str">
            <v>2023-2024</v>
          </cell>
        </row>
        <row r="111">
          <cell r="E111" t="str">
            <v>WTC, Kharandi</v>
          </cell>
          <cell r="F111" t="str">
            <v>14. Dropped</v>
          </cell>
          <cell r="G111" t="str">
            <v>NA</v>
          </cell>
          <cell r="H111" t="str">
            <v>_</v>
          </cell>
          <cell r="I111" t="str">
            <v>_</v>
          </cell>
          <cell r="K111" t="str">
            <v>W</v>
          </cell>
          <cell r="L111" t="str">
            <v>BK</v>
          </cell>
          <cell r="N111" t="str">
            <v>Sh Shashi Pardesi</v>
          </cell>
          <cell r="O111" t="str">
            <v>Sh Shashi Pardesi</v>
          </cell>
          <cell r="P111" t="str">
            <v/>
          </cell>
          <cell r="Q111" t="str">
            <v>Shahaji Gohatre</v>
          </cell>
          <cell r="R111" t="str">
            <v>Parth Sharma</v>
          </cell>
          <cell r="S111" t="str">
            <v>Maharashtra</v>
          </cell>
          <cell r="T111" t="str">
            <v>Pune</v>
          </cell>
          <cell r="U111" t="str">
            <v>Premium</v>
          </cell>
          <cell r="V111" t="str">
            <v>Misc Formats</v>
          </cell>
          <cell r="W111">
            <v>817</v>
          </cell>
          <cell r="X111" t="str">
            <v>FNB unit 5, tower II WTC kharadi, Pune-411032</v>
          </cell>
          <cell r="Z111" t="str">
            <v>_</v>
          </cell>
          <cell r="AB111">
            <v>44993</v>
          </cell>
          <cell r="AC111">
            <v>44996</v>
          </cell>
          <cell r="AD111">
            <v>44998</v>
          </cell>
          <cell r="AE111">
            <v>44999</v>
          </cell>
          <cell r="AF111" t="str">
            <v>SDR DONE</v>
          </cell>
          <cell r="AG111">
            <v>0</v>
          </cell>
          <cell r="AH111" t="str">
            <v>_</v>
          </cell>
          <cell r="AL111" t="str">
            <v>Pending</v>
          </cell>
          <cell r="AM111">
            <v>1174</v>
          </cell>
          <cell r="BJ111" t="str">
            <v/>
          </cell>
          <cell r="BN111" t="str">
            <v/>
          </cell>
          <cell r="BW111" t="str">
            <v/>
          </cell>
          <cell r="CE111" t="str">
            <v/>
          </cell>
          <cell r="CF111" t="str">
            <v/>
          </cell>
          <cell r="CG111" t="str">
            <v/>
          </cell>
          <cell r="CH111" t="str">
            <v/>
          </cell>
          <cell r="CN111" t="str">
            <v/>
          </cell>
          <cell r="CO111" t="str">
            <v/>
          </cell>
          <cell r="CP111" t="str">
            <v/>
          </cell>
          <cell r="CR111" t="str">
            <v/>
          </cell>
          <cell r="DG111" t="str">
            <v>14. Dropped</v>
          </cell>
          <cell r="DJ111" t="str">
            <v/>
          </cell>
          <cell r="DP111" t="str">
            <v/>
          </cell>
          <cell r="DR111">
            <v>35</v>
          </cell>
          <cell r="DS111">
            <v>45</v>
          </cell>
          <cell r="DX111" t="str">
            <v/>
          </cell>
          <cell r="DY111" t="str">
            <v/>
          </cell>
          <cell r="EA111" t="str">
            <v/>
          </cell>
          <cell r="ED111" t="str">
            <v/>
          </cell>
          <cell r="EE111" t="str">
            <v/>
          </cell>
          <cell r="FM111" t="str">
            <v/>
          </cell>
          <cell r="GG111" t="str">
            <v>2024-2025</v>
          </cell>
        </row>
        <row r="112">
          <cell r="E112" t="str">
            <v>Ashar IT Park</v>
          </cell>
          <cell r="F112" t="str">
            <v>14. Dropped</v>
          </cell>
          <cell r="G112" t="str">
            <v>NA</v>
          </cell>
          <cell r="H112" t="str">
            <v>_</v>
          </cell>
          <cell r="I112" t="str">
            <v>_</v>
          </cell>
          <cell r="K112" t="str">
            <v>W</v>
          </cell>
          <cell r="L112" t="str">
            <v>BK</v>
          </cell>
          <cell r="N112" t="str">
            <v>Sh Mrudang Shah</v>
          </cell>
          <cell r="O112" t="str">
            <v>Sh Nitin Dawange</v>
          </cell>
          <cell r="P112" t="str">
            <v/>
          </cell>
          <cell r="Q112" t="str">
            <v>Shahaji Gohatre</v>
          </cell>
          <cell r="R112" t="str">
            <v>Parth Sharma</v>
          </cell>
          <cell r="S112" t="str">
            <v>Maharashtra</v>
          </cell>
          <cell r="T112" t="str">
            <v>Thane</v>
          </cell>
          <cell r="U112" t="str">
            <v>Premium</v>
          </cell>
          <cell r="V112" t="str">
            <v>Misc Formats</v>
          </cell>
          <cell r="W112">
            <v>793</v>
          </cell>
          <cell r="X112" t="str">
            <v>Road No. 16/Z, Neheru Nagar, Wagle Industrial Estate, Thane West, Thane</v>
          </cell>
          <cell r="Z112" t="str">
            <v>_</v>
          </cell>
          <cell r="AB112">
            <v>45336</v>
          </cell>
          <cell r="AC112">
            <v>45338</v>
          </cell>
          <cell r="AD112">
            <v>45346</v>
          </cell>
          <cell r="AE112">
            <v>45348</v>
          </cell>
          <cell r="AF112" t="str">
            <v>SDR DONE</v>
          </cell>
          <cell r="AG112">
            <v>5</v>
          </cell>
          <cell r="AH112" t="str">
            <v>_</v>
          </cell>
          <cell r="AL112" t="str">
            <v>Pending</v>
          </cell>
          <cell r="AM112">
            <v>826</v>
          </cell>
          <cell r="BJ112" t="str">
            <v/>
          </cell>
          <cell r="BN112" t="str">
            <v/>
          </cell>
          <cell r="BW112" t="str">
            <v/>
          </cell>
          <cell r="CE112" t="str">
            <v/>
          </cell>
          <cell r="CF112" t="str">
            <v/>
          </cell>
          <cell r="CG112" t="str">
            <v/>
          </cell>
          <cell r="CH112" t="str">
            <v/>
          </cell>
          <cell r="CN112" t="str">
            <v/>
          </cell>
          <cell r="CO112" t="str">
            <v/>
          </cell>
          <cell r="CP112" t="str">
            <v/>
          </cell>
          <cell r="CR112" t="str">
            <v/>
          </cell>
          <cell r="DG112" t="str">
            <v>14. Dropped</v>
          </cell>
          <cell r="DJ112" t="str">
            <v/>
          </cell>
          <cell r="DP112" t="str">
            <v/>
          </cell>
          <cell r="DR112">
            <v>35</v>
          </cell>
          <cell r="DS112">
            <v>45</v>
          </cell>
          <cell r="DX112" t="str">
            <v/>
          </cell>
          <cell r="DY112" t="str">
            <v/>
          </cell>
          <cell r="EA112" t="str">
            <v/>
          </cell>
          <cell r="ED112" t="str">
            <v/>
          </cell>
          <cell r="EE112" t="str">
            <v/>
          </cell>
          <cell r="FM112" t="str">
            <v/>
          </cell>
          <cell r="GG112" t="str">
            <v>2024-2025</v>
          </cell>
        </row>
        <row r="113">
          <cell r="E113" t="str">
            <v>Marathon Future X</v>
          </cell>
          <cell r="F113" t="str">
            <v>11. HOLD</v>
          </cell>
          <cell r="G113" t="str">
            <v>SEVEBK10628</v>
          </cell>
          <cell r="H113" t="str">
            <v>_</v>
          </cell>
          <cell r="I113" t="str">
            <v>_</v>
          </cell>
          <cell r="K113" t="str">
            <v>W</v>
          </cell>
          <cell r="L113" t="str">
            <v>BK</v>
          </cell>
          <cell r="N113" t="str">
            <v>Sh Mrudang Shah</v>
          </cell>
          <cell r="O113" t="str">
            <v>Sh Nitin Dawange</v>
          </cell>
          <cell r="P113" t="str">
            <v/>
          </cell>
          <cell r="Q113" t="str">
            <v>Shahaji Gohatre</v>
          </cell>
          <cell r="R113" t="str">
            <v>Parth Sharma</v>
          </cell>
          <cell r="S113" t="str">
            <v>Maharashtra</v>
          </cell>
          <cell r="T113" t="str">
            <v>Mumbai</v>
          </cell>
          <cell r="U113" t="str">
            <v>Premium</v>
          </cell>
          <cell r="V113" t="str">
            <v>Misc Formats</v>
          </cell>
          <cell r="W113">
            <v>666</v>
          </cell>
          <cell r="X113" t="str">
            <v>Marathon Futurex Mafatlal Mills Compound, NM Joshi Marg, Lower Parel, Mumbai</v>
          </cell>
          <cell r="Z113" t="str">
            <v>_</v>
          </cell>
          <cell r="AB113">
            <v>45343</v>
          </cell>
          <cell r="AC113">
            <v>45348</v>
          </cell>
          <cell r="AD113">
            <v>45369</v>
          </cell>
          <cell r="AE113">
            <v>45369</v>
          </cell>
          <cell r="AF113" t="str">
            <v>SDR DONE</v>
          </cell>
          <cell r="AG113">
            <v>21</v>
          </cell>
          <cell r="AH113" t="str">
            <v>_</v>
          </cell>
          <cell r="AJ113">
            <v>0</v>
          </cell>
          <cell r="AK113">
            <v>45488</v>
          </cell>
          <cell r="AL113" t="str">
            <v>Received</v>
          </cell>
          <cell r="AM113">
            <v>114</v>
          </cell>
          <cell r="AO113">
            <v>45491</v>
          </cell>
          <cell r="AP113">
            <v>45490</v>
          </cell>
          <cell r="AR113">
            <v>45490</v>
          </cell>
          <cell r="AU113">
            <v>45492</v>
          </cell>
          <cell r="AV113">
            <v>45495</v>
          </cell>
          <cell r="AX113">
            <v>45495</v>
          </cell>
          <cell r="AY113">
            <v>2</v>
          </cell>
          <cell r="AZ113" t="str">
            <v>C&amp; I Structural support Received on 22-07-2024</v>
          </cell>
          <cell r="BA113">
            <v>45493</v>
          </cell>
          <cell r="BG113">
            <v>45493</v>
          </cell>
          <cell r="BJ113" t="str">
            <v/>
          </cell>
          <cell r="BM113">
            <v>45491</v>
          </cell>
          <cell r="BN113">
            <v>45488</v>
          </cell>
          <cell r="BP113">
            <v>45491</v>
          </cell>
          <cell r="BQ113">
            <v>45491</v>
          </cell>
          <cell r="BR113" t="str">
            <v>Received</v>
          </cell>
          <cell r="BU113" t="str">
            <v>IT/C&amp;I/SLP/Structure GFC Received</v>
          </cell>
          <cell r="BW113" t="str">
            <v/>
          </cell>
          <cell r="CE113" t="str">
            <v/>
          </cell>
          <cell r="CF113" t="str">
            <v/>
          </cell>
          <cell r="CG113" t="str">
            <v/>
          </cell>
          <cell r="CH113" t="str">
            <v/>
          </cell>
          <cell r="CN113" t="str">
            <v/>
          </cell>
          <cell r="CO113" t="str">
            <v/>
          </cell>
          <cell r="CP113" t="str">
            <v/>
          </cell>
          <cell r="CR113" t="str">
            <v/>
          </cell>
          <cell r="DG113" t="str">
            <v>11. HOLD</v>
          </cell>
          <cell r="DJ113" t="str">
            <v/>
          </cell>
          <cell r="DP113" t="str">
            <v/>
          </cell>
          <cell r="DR113">
            <v>35</v>
          </cell>
          <cell r="DS113">
            <v>45</v>
          </cell>
          <cell r="DX113" t="str">
            <v/>
          </cell>
          <cell r="DY113" t="str">
            <v/>
          </cell>
          <cell r="EA113" t="str">
            <v/>
          </cell>
          <cell r="ED113" t="str">
            <v/>
          </cell>
          <cell r="EE113" t="str">
            <v/>
          </cell>
          <cell r="FM113" t="str">
            <v/>
          </cell>
          <cell r="GG113" t="str">
            <v>2026-2027</v>
          </cell>
        </row>
        <row r="114">
          <cell r="E114" t="str">
            <v>G Corp, Thane</v>
          </cell>
          <cell r="F114" t="str">
            <v>10. Launched</v>
          </cell>
          <cell r="G114" t="str">
            <v>SEVEBK10629</v>
          </cell>
          <cell r="H114" t="str">
            <v>_</v>
          </cell>
          <cell r="I114" t="str">
            <v>_</v>
          </cell>
          <cell r="J114" t="str">
            <v>QY3T</v>
          </cell>
          <cell r="K114" t="str">
            <v>W</v>
          </cell>
          <cell r="L114" t="str">
            <v>BK</v>
          </cell>
          <cell r="N114" t="str">
            <v>Sh Anand Patade</v>
          </cell>
          <cell r="O114" t="str">
            <v>Sh Nitin Dawange</v>
          </cell>
          <cell r="P114" t="str">
            <v>Sh Abhishek Velhal</v>
          </cell>
          <cell r="Q114" t="str">
            <v>Arju Tiwari</v>
          </cell>
          <cell r="R114" t="str">
            <v>Kiran Patil</v>
          </cell>
          <cell r="S114" t="str">
            <v>Maharashtra</v>
          </cell>
          <cell r="T114" t="str">
            <v>Thane</v>
          </cell>
          <cell r="U114" t="str">
            <v>Premium</v>
          </cell>
          <cell r="V114" t="str">
            <v>Misc Formats</v>
          </cell>
          <cell r="W114">
            <v>180</v>
          </cell>
          <cell r="X114" t="str">
            <v>G Corp  Ghodbunder Rd, Sai Nagar, Anand Nagar, Thane West</v>
          </cell>
          <cell r="Y114">
            <v>45833</v>
          </cell>
          <cell r="Z114" t="str">
            <v>_</v>
          </cell>
          <cell r="AA114">
            <v>45845</v>
          </cell>
          <cell r="AB114">
            <v>45343</v>
          </cell>
          <cell r="AC114">
            <v>45352</v>
          </cell>
          <cell r="AD114">
            <v>45358</v>
          </cell>
          <cell r="AE114">
            <v>45359</v>
          </cell>
          <cell r="AF114" t="str">
            <v>SDR DONE</v>
          </cell>
          <cell r="AG114">
            <v>10</v>
          </cell>
          <cell r="AH114" t="str">
            <v>_</v>
          </cell>
          <cell r="AJ114">
            <v>2</v>
          </cell>
          <cell r="AK114">
            <v>45855</v>
          </cell>
          <cell r="AL114" t="str">
            <v>Received</v>
          </cell>
          <cell r="AM114">
            <v>492</v>
          </cell>
          <cell r="AN114" t="str">
            <v>Revised SDR Done</v>
          </cell>
          <cell r="AO114">
            <v>45858</v>
          </cell>
          <cell r="AP114">
            <v>45671</v>
          </cell>
          <cell r="AQ114">
            <v>1</v>
          </cell>
          <cell r="AR114">
            <v>45688</v>
          </cell>
          <cell r="AS114">
            <v>-170</v>
          </cell>
          <cell r="AT114" t="str">
            <v>BOQ Received / GFC awaited</v>
          </cell>
          <cell r="AU114">
            <v>45859</v>
          </cell>
          <cell r="AV114">
            <v>45671</v>
          </cell>
          <cell r="AW114" t="str">
            <v>_</v>
          </cell>
          <cell r="AX114">
            <v>45679</v>
          </cell>
          <cell r="AY114">
            <v>-180</v>
          </cell>
          <cell r="AZ114" t="str">
            <v xml:space="preserve">Approval Received from Business on 06-01-2024
</v>
          </cell>
          <cell r="BA114">
            <v>45860</v>
          </cell>
          <cell r="BB114">
            <v>45688</v>
          </cell>
          <cell r="BC114">
            <v>0</v>
          </cell>
          <cell r="BD114">
            <v>45924</v>
          </cell>
          <cell r="BE114">
            <v>64</v>
          </cell>
          <cell r="BF114" t="str">
            <v>Plumbing GFC received on 05-02-2025</v>
          </cell>
          <cell r="BG114">
            <v>45860</v>
          </cell>
          <cell r="BH114">
            <v>45694</v>
          </cell>
          <cell r="BI114">
            <v>0</v>
          </cell>
          <cell r="BJ114">
            <v>45694</v>
          </cell>
          <cell r="BK114">
            <v>-166</v>
          </cell>
          <cell r="BL114" t="str">
            <v>Received</v>
          </cell>
          <cell r="BM114">
            <v>45858</v>
          </cell>
          <cell r="BN114" t="str">
            <v>NA</v>
          </cell>
          <cell r="BO114" t="str">
            <v>NA</v>
          </cell>
          <cell r="BP114">
            <v>45858</v>
          </cell>
          <cell r="BQ114">
            <v>45643</v>
          </cell>
          <cell r="BR114" t="str">
            <v>Received</v>
          </cell>
          <cell r="BS114">
            <v>45857</v>
          </cell>
          <cell r="BU114" t="str">
            <v>Done</v>
          </cell>
          <cell r="BV114" t="str">
            <v>Done</v>
          </cell>
          <cell r="BW114" t="str">
            <v>07-02-2025
21-03-2025</v>
          </cell>
          <cell r="BX114">
            <v>45777</v>
          </cell>
          <cell r="BY114" t="str">
            <v>Done</v>
          </cell>
          <cell r="BZ114" t="str">
            <v>Approved</v>
          </cell>
          <cell r="CA114" t="str">
            <v>Approved</v>
          </cell>
          <cell r="CB114">
            <v>45833</v>
          </cell>
          <cell r="CC114" t="str">
            <v>Done</v>
          </cell>
          <cell r="CD114">
            <v>45833</v>
          </cell>
          <cell r="CE114">
            <v>45849</v>
          </cell>
          <cell r="CF114" t="str">
            <v>VERITAS INFRATECH PVT LTD</v>
          </cell>
          <cell r="CG114" t="str">
            <v>VERITAS INFRATECH PVT LTD</v>
          </cell>
          <cell r="CH114" t="str">
            <v>WEATHER GUARD AIRCON PVT LTD</v>
          </cell>
          <cell r="CJ114">
            <v>45849</v>
          </cell>
          <cell r="CK114">
            <v>45849</v>
          </cell>
          <cell r="CL114">
            <v>45849</v>
          </cell>
          <cell r="CM114">
            <v>16</v>
          </cell>
          <cell r="CN114">
            <v>45917</v>
          </cell>
          <cell r="CO114" t="str">
            <v/>
          </cell>
          <cell r="CP114" t="str">
            <v>Plumbing SSB shared on 19-09-2025</v>
          </cell>
          <cell r="CQ114">
            <v>45919</v>
          </cell>
          <cell r="CR114" t="str">
            <v/>
          </cell>
          <cell r="DA114" t="str">
            <v>WO Done RA1 Pending</v>
          </cell>
          <cell r="DB114" t="str">
            <v>WO Done RA1 Pending</v>
          </cell>
          <cell r="DC114" t="str">
            <v>WO Done RA1 Pending</v>
          </cell>
          <cell r="DD114">
            <v>45848</v>
          </cell>
          <cell r="DE114">
            <v>30</v>
          </cell>
          <cell r="DF114">
            <v>45878</v>
          </cell>
          <cell r="DG114" t="str">
            <v>10. Launched</v>
          </cell>
          <cell r="DJ114" t="str">
            <v>_</v>
          </cell>
          <cell r="DK114">
            <v>45848</v>
          </cell>
          <cell r="DL114">
            <v>45834</v>
          </cell>
          <cell r="DN114" t="str">
            <v>Procurement</v>
          </cell>
          <cell r="DO114" t="str">
            <v>Kiosk Material Delivery awaited exp by 08-09-2025
Shed installation work to be started by 05-09-2025</v>
          </cell>
          <cell r="DP114">
            <v>45905</v>
          </cell>
          <cell r="DQ114">
            <v>45910</v>
          </cell>
          <cell r="DR114">
            <v>21</v>
          </cell>
          <cell r="DS114">
            <v>21</v>
          </cell>
          <cell r="DU114">
            <v>45931</v>
          </cell>
          <cell r="DV114">
            <v>45931</v>
          </cell>
          <cell r="DW114">
            <v>45931</v>
          </cell>
          <cell r="DX114" t="str">
            <v>Oct 25 Week 1</v>
          </cell>
          <cell r="DY114">
            <v>45931</v>
          </cell>
          <cell r="DZ114">
            <v>45930</v>
          </cell>
          <cell r="EA114" t="str">
            <v>Sept 25 Week 5</v>
          </cell>
          <cell r="EB114" t="str">
            <v>Plan</v>
          </cell>
          <cell r="ED114" t="str">
            <v/>
          </cell>
          <cell r="EE114" t="str">
            <v/>
          </cell>
          <cell r="EF114">
            <v>1</v>
          </cell>
          <cell r="EG114">
            <v>1</v>
          </cell>
          <cell r="FC114" t="str">
            <v>On Time</v>
          </cell>
          <cell r="FD114">
            <v>-1</v>
          </cell>
          <cell r="FE114" t="str">
            <v>On Time</v>
          </cell>
          <cell r="FF114">
            <v>4</v>
          </cell>
          <cell r="FG114" t="str">
            <v>4 to 7 Days</v>
          </cell>
          <cell r="FH114" t="str">
            <v>Done</v>
          </cell>
          <cell r="FI114">
            <v>45933</v>
          </cell>
          <cell r="FJ114">
            <v>45946</v>
          </cell>
          <cell r="FK114">
            <v>45946</v>
          </cell>
          <cell r="FM114" t="str">
            <v/>
          </cell>
          <cell r="FZ114" t="str">
            <v>Temporary Shed Installation done
Kiosk Material Delivered on 09-09-2025
Kiosk structure work WIP from 11-09-2025
Conduiting Work Done</v>
          </cell>
          <cell r="GA114">
            <v>45925</v>
          </cell>
          <cell r="GB114" t="str">
            <v>Done</v>
          </cell>
          <cell r="GC114" t="str">
            <v>Done</v>
          </cell>
          <cell r="GD114" t="str">
            <v>Done</v>
          </cell>
          <cell r="GG114" t="str">
            <v>2025-2026</v>
          </cell>
        </row>
        <row r="115">
          <cell r="E115" t="str">
            <v>Adi Elementis</v>
          </cell>
          <cell r="F115" t="str">
            <v>11. HOLD</v>
          </cell>
          <cell r="G115" t="str">
            <v>SEVEBK10630</v>
          </cell>
          <cell r="H115" t="str">
            <v>_</v>
          </cell>
          <cell r="I115" t="str">
            <v>_</v>
          </cell>
          <cell r="K115" t="str">
            <v>W</v>
          </cell>
          <cell r="L115" t="str">
            <v>BK</v>
          </cell>
          <cell r="N115" t="str">
            <v>Sh Shashi Pardesi</v>
          </cell>
          <cell r="O115" t="str">
            <v>Sh Ashish M</v>
          </cell>
          <cell r="P115" t="str">
            <v/>
          </cell>
          <cell r="Q115" t="str">
            <v>Arju Tiwari</v>
          </cell>
          <cell r="R115" t="str">
            <v>Parth Sharma</v>
          </cell>
          <cell r="S115" t="str">
            <v>Maharashtra</v>
          </cell>
          <cell r="T115" t="str">
            <v>Pune</v>
          </cell>
          <cell r="U115" t="str">
            <v>Premium</v>
          </cell>
          <cell r="V115" t="str">
            <v>Misc Formats</v>
          </cell>
          <cell r="W115">
            <v>1245</v>
          </cell>
          <cell r="X115" t="str">
            <v>Adi Elementis Shop no 3 &amp; 4 Plot No 7, Sector 32 A, Ravet, Pradhikaran Pune, Maharashtra 411033</v>
          </cell>
          <cell r="Z115" t="str">
            <v>_</v>
          </cell>
          <cell r="AB115">
            <v>45352</v>
          </cell>
          <cell r="AC115">
            <v>45356</v>
          </cell>
          <cell r="AD115">
            <v>45362</v>
          </cell>
          <cell r="AE115">
            <v>45363</v>
          </cell>
          <cell r="AF115" t="str">
            <v>SDR DONE</v>
          </cell>
          <cell r="AG115">
            <v>5</v>
          </cell>
          <cell r="AH115" t="str">
            <v>_</v>
          </cell>
          <cell r="AL115" t="str">
            <v>Pending</v>
          </cell>
          <cell r="AM115">
            <v>810</v>
          </cell>
          <cell r="BJ115" t="str">
            <v/>
          </cell>
          <cell r="BN115" t="str">
            <v/>
          </cell>
          <cell r="BW115" t="str">
            <v/>
          </cell>
          <cell r="CE115" t="str">
            <v/>
          </cell>
          <cell r="CF115" t="str">
            <v/>
          </cell>
          <cell r="CG115" t="str">
            <v/>
          </cell>
          <cell r="CH115" t="str">
            <v/>
          </cell>
          <cell r="CN115" t="str">
            <v/>
          </cell>
          <cell r="CO115" t="str">
            <v/>
          </cell>
          <cell r="CP115" t="str">
            <v/>
          </cell>
          <cell r="CR115" t="str">
            <v/>
          </cell>
          <cell r="DG115" t="str">
            <v>11. HOLD</v>
          </cell>
          <cell r="DJ115" t="str">
            <v/>
          </cell>
          <cell r="DP115" t="str">
            <v/>
          </cell>
          <cell r="DR115">
            <v>35</v>
          </cell>
          <cell r="DS115">
            <v>45</v>
          </cell>
          <cell r="DX115" t="str">
            <v/>
          </cell>
          <cell r="DY115" t="str">
            <v/>
          </cell>
          <cell r="EA115" t="str">
            <v/>
          </cell>
          <cell r="ED115" t="str">
            <v/>
          </cell>
          <cell r="EE115" t="str">
            <v/>
          </cell>
          <cell r="FM115" t="str">
            <v/>
          </cell>
          <cell r="GG115" t="str">
            <v>2026-2027</v>
          </cell>
        </row>
        <row r="116">
          <cell r="E116" t="str">
            <v>Kiosk RCP</v>
          </cell>
          <cell r="F116" t="str">
            <v>10. Launched</v>
          </cell>
          <cell r="G116" t="str">
            <v>NA</v>
          </cell>
          <cell r="H116" t="str">
            <v>MU-SM-GMU-769   </v>
          </cell>
          <cell r="I116" t="str">
            <v>_</v>
          </cell>
          <cell r="J116" t="str">
            <v>QK8M</v>
          </cell>
          <cell r="K116" t="str">
            <v>W</v>
          </cell>
          <cell r="L116" t="str">
            <v>BK</v>
          </cell>
          <cell r="N116" t="str">
            <v>Sh Mrudang Shah</v>
          </cell>
          <cell r="O116" t="str">
            <v>Sh Nitin Dawange</v>
          </cell>
          <cell r="P116" t="str">
            <v>Sh. Prashant Naik</v>
          </cell>
          <cell r="Q116" t="str">
            <v>Arju Tiwari</v>
          </cell>
          <cell r="R116" t="str">
            <v>Kiran Patil</v>
          </cell>
          <cell r="S116" t="str">
            <v>Maharashtra</v>
          </cell>
          <cell r="T116" t="str">
            <v>Navi Mumbai</v>
          </cell>
          <cell r="U116" t="str">
            <v>Premium</v>
          </cell>
          <cell r="V116" t="str">
            <v>Misc Formats</v>
          </cell>
          <cell r="W116">
            <v>100</v>
          </cell>
          <cell r="X116" t="str">
            <v>RCP , Ground floor near SBI bank, 3B and 4B</v>
          </cell>
          <cell r="Z116" t="str">
            <v>Done</v>
          </cell>
          <cell r="AB116">
            <v>45373</v>
          </cell>
          <cell r="AC116">
            <v>45378</v>
          </cell>
          <cell r="AD116">
            <v>45399</v>
          </cell>
          <cell r="AE116">
            <v>45387</v>
          </cell>
          <cell r="AF116" t="str">
            <v>SDR DONE</v>
          </cell>
          <cell r="AG116">
            <v>21</v>
          </cell>
          <cell r="AH116" t="str">
            <v>_</v>
          </cell>
          <cell r="AI116">
            <v>45439</v>
          </cell>
          <cell r="AJ116">
            <v>0</v>
          </cell>
          <cell r="AK116">
            <v>45439</v>
          </cell>
          <cell r="AL116" t="str">
            <v>Received</v>
          </cell>
          <cell r="AM116">
            <v>35</v>
          </cell>
          <cell r="AO116">
            <v>45442</v>
          </cell>
          <cell r="AT116" t="str">
            <v>Received</v>
          </cell>
          <cell r="AU116">
            <v>45443</v>
          </cell>
          <cell r="AV116" t="str">
            <v>NA</v>
          </cell>
          <cell r="AW116" t="str">
            <v>NA</v>
          </cell>
          <cell r="AX116" t="str">
            <v>NA</v>
          </cell>
          <cell r="AZ116" t="str">
            <v>Received</v>
          </cell>
          <cell r="BA116">
            <v>45444</v>
          </cell>
          <cell r="BF116" t="str">
            <v>Received</v>
          </cell>
          <cell r="BG116">
            <v>45444</v>
          </cell>
          <cell r="BJ116" t="str">
            <v/>
          </cell>
          <cell r="BL116" t="str">
            <v>Received</v>
          </cell>
          <cell r="BM116">
            <v>45442</v>
          </cell>
          <cell r="BN116" t="str">
            <v/>
          </cell>
          <cell r="BO116" t="str">
            <v>Received</v>
          </cell>
          <cell r="BP116">
            <v>45442</v>
          </cell>
          <cell r="BQ116">
            <v>45447</v>
          </cell>
          <cell r="BR116" t="str">
            <v>Received</v>
          </cell>
          <cell r="BU116" t="str">
            <v>Received</v>
          </cell>
          <cell r="BV116" t="str">
            <v>Done</v>
          </cell>
          <cell r="BW116" t="str">
            <v>27-03-2024</v>
          </cell>
          <cell r="BX116">
            <v>45408</v>
          </cell>
          <cell r="BY116" t="str">
            <v>Done</v>
          </cell>
          <cell r="CD116" t="str">
            <v>Done</v>
          </cell>
          <cell r="CE116" t="str">
            <v/>
          </cell>
          <cell r="CF116" t="str">
            <v>M/s Bhakti Enterprises</v>
          </cell>
          <cell r="CG116" t="str">
            <v>M/s Bhakti Enterprises</v>
          </cell>
          <cell r="CH116" t="str">
            <v/>
          </cell>
          <cell r="CK116">
            <v>45450</v>
          </cell>
          <cell r="CN116" t="str">
            <v/>
          </cell>
          <cell r="CO116" t="str">
            <v/>
          </cell>
          <cell r="CP116" t="str">
            <v/>
          </cell>
          <cell r="CR116" t="str">
            <v/>
          </cell>
          <cell r="DA116" t="str">
            <v>R1 Pending from Zone</v>
          </cell>
          <cell r="DB116" t="str">
            <v>R1 Pending from Zone</v>
          </cell>
          <cell r="DC116" t="str">
            <v>R1 Pending from Zone</v>
          </cell>
          <cell r="DG116" t="str">
            <v>10. Launched</v>
          </cell>
          <cell r="DJ116" t="str">
            <v/>
          </cell>
          <cell r="DP116">
            <v>45467</v>
          </cell>
          <cell r="DQ116">
            <v>45467</v>
          </cell>
          <cell r="DR116">
            <v>7</v>
          </cell>
          <cell r="DS116">
            <v>15</v>
          </cell>
          <cell r="DU116">
            <v>45474</v>
          </cell>
          <cell r="DV116">
            <v>45482</v>
          </cell>
          <cell r="DW116">
            <v>45474</v>
          </cell>
          <cell r="DX116" t="str">
            <v>July 24 Week 1</v>
          </cell>
          <cell r="DY116">
            <v>45474</v>
          </cell>
          <cell r="DZ116">
            <v>45473</v>
          </cell>
          <cell r="EA116" t="str">
            <v>June 24 Week 5</v>
          </cell>
          <cell r="EB116" t="str">
            <v>Plan</v>
          </cell>
          <cell r="ED116" t="str">
            <v/>
          </cell>
          <cell r="EE116" t="str">
            <v/>
          </cell>
          <cell r="EF116">
            <v>1</v>
          </cell>
          <cell r="EG116">
            <v>1</v>
          </cell>
          <cell r="EJ116">
            <v>45474</v>
          </cell>
          <cell r="EM116">
            <v>45481</v>
          </cell>
          <cell r="EP116">
            <v>45488</v>
          </cell>
          <cell r="ES116">
            <v>45495</v>
          </cell>
          <cell r="EV116">
            <v>45502</v>
          </cell>
          <cell r="FD116">
            <v>-1</v>
          </cell>
          <cell r="FE116" t="str">
            <v>On Time</v>
          </cell>
          <cell r="FF116">
            <v>-1</v>
          </cell>
          <cell r="FG116" t="str">
            <v>On Time</v>
          </cell>
          <cell r="FH116" t="str">
            <v>Done</v>
          </cell>
          <cell r="FI116" t="str">
            <v>Done</v>
          </cell>
          <cell r="FJ116">
            <v>45478</v>
          </cell>
          <cell r="FK116">
            <v>45478</v>
          </cell>
          <cell r="FM116" t="str">
            <v/>
          </cell>
          <cell r="FZ116" t="str">
            <v>Boardout Done</v>
          </cell>
          <cell r="GG116" t="str">
            <v>2024-2025</v>
          </cell>
        </row>
        <row r="117">
          <cell r="E117" t="str">
            <v>Nyati Empress</v>
          </cell>
          <cell r="F117" t="str">
            <v>14. Dropped</v>
          </cell>
          <cell r="G117" t="str">
            <v>NA</v>
          </cell>
          <cell r="H117" t="str">
            <v>_</v>
          </cell>
          <cell r="I117" t="str">
            <v>_</v>
          </cell>
          <cell r="K117" t="str">
            <v>W</v>
          </cell>
          <cell r="L117" t="str">
            <v>BK</v>
          </cell>
          <cell r="N117" t="str">
            <v>Sh Shashi Pardesi</v>
          </cell>
          <cell r="O117" t="str">
            <v>Sh Ashish M</v>
          </cell>
          <cell r="P117" t="str">
            <v/>
          </cell>
          <cell r="Q117" t="str">
            <v>Arju Tiwari</v>
          </cell>
          <cell r="R117" t="str">
            <v>Parth Sharma</v>
          </cell>
          <cell r="S117" t="str">
            <v>Maharashtra</v>
          </cell>
          <cell r="T117" t="str">
            <v>Pune</v>
          </cell>
          <cell r="U117" t="str">
            <v>Premium</v>
          </cell>
          <cell r="V117" t="str">
            <v>Misc Formats</v>
          </cell>
          <cell r="W117">
            <v>923</v>
          </cell>
          <cell r="X117" t="str">
            <v>Shop no 8 &amp; 9 Nyati Empress, Viman Nagar Rd, Next to Baker Gauges India Pvt. Ltd, Clover Park, Viman Nagar, Pune -411014</v>
          </cell>
          <cell r="Z117" t="str">
            <v>_</v>
          </cell>
          <cell r="AB117">
            <v>45372</v>
          </cell>
          <cell r="AC117">
            <v>45380</v>
          </cell>
          <cell r="AD117">
            <v>45387</v>
          </cell>
          <cell r="AE117">
            <v>45387</v>
          </cell>
          <cell r="AF117" t="str">
            <v>SDR DONE</v>
          </cell>
          <cell r="AG117">
            <v>10</v>
          </cell>
          <cell r="AH117" t="str">
            <v>_</v>
          </cell>
          <cell r="AI117">
            <v>45475</v>
          </cell>
          <cell r="AK117">
            <v>45475</v>
          </cell>
          <cell r="AL117" t="str">
            <v>Received</v>
          </cell>
          <cell r="AM117">
            <v>83</v>
          </cell>
          <cell r="AN117" t="str">
            <v>BOQ Received from Business on 12-07-2024</v>
          </cell>
          <cell r="AO117">
            <v>45478</v>
          </cell>
          <cell r="AR117">
            <v>45497</v>
          </cell>
          <cell r="AS117">
            <v>19</v>
          </cell>
          <cell r="AU117">
            <v>45479</v>
          </cell>
          <cell r="AV117" t="str">
            <v>R0-13-07-2024</v>
          </cell>
          <cell r="AX117">
            <v>45486</v>
          </cell>
          <cell r="AY117">
            <v>6</v>
          </cell>
          <cell r="AZ117" t="str">
            <v>ODU Platform Drawing Received on 16-07-2024</v>
          </cell>
          <cell r="BA117">
            <v>45480</v>
          </cell>
          <cell r="BB117">
            <v>45481</v>
          </cell>
          <cell r="BD117">
            <v>45500</v>
          </cell>
          <cell r="BE117">
            <v>19</v>
          </cell>
          <cell r="BF117" t="str">
            <v>PLB received on 08-07-2024
HVAC/FF Received on 09-07-2024</v>
          </cell>
          <cell r="BG117">
            <v>45480</v>
          </cell>
          <cell r="BJ117">
            <v>45489</v>
          </cell>
          <cell r="BK117">
            <v>8</v>
          </cell>
          <cell r="BM117">
            <v>45478</v>
          </cell>
          <cell r="BN117">
            <v>45476</v>
          </cell>
          <cell r="BP117">
            <v>45478</v>
          </cell>
          <cell r="BQ117">
            <v>45478</v>
          </cell>
          <cell r="BR117" t="str">
            <v>Received</v>
          </cell>
          <cell r="BT117">
            <v>45486</v>
          </cell>
          <cell r="BU117" t="str">
            <v>Done</v>
          </cell>
          <cell r="BW117" t="str">
            <v>17-07-2024</v>
          </cell>
          <cell r="BY117" t="str">
            <v>Pending</v>
          </cell>
          <cell r="CE117" t="str">
            <v/>
          </cell>
          <cell r="CF117" t="str">
            <v/>
          </cell>
          <cell r="CG117" t="str">
            <v/>
          </cell>
          <cell r="CH117" t="str">
            <v/>
          </cell>
          <cell r="CN117" t="str">
            <v/>
          </cell>
          <cell r="CO117" t="str">
            <v/>
          </cell>
          <cell r="CP117" t="str">
            <v/>
          </cell>
          <cell r="CR117" t="str">
            <v/>
          </cell>
          <cell r="DG117" t="str">
            <v>14. Dropped</v>
          </cell>
          <cell r="DJ117" t="str">
            <v/>
          </cell>
          <cell r="DP117" t="str">
            <v/>
          </cell>
          <cell r="DR117">
            <v>35</v>
          </cell>
          <cell r="DS117">
            <v>45</v>
          </cell>
          <cell r="DX117" t="str">
            <v/>
          </cell>
          <cell r="DY117" t="str">
            <v/>
          </cell>
          <cell r="EA117" t="str">
            <v/>
          </cell>
          <cell r="ED117" t="str">
            <v/>
          </cell>
          <cell r="EE117" t="str">
            <v/>
          </cell>
          <cell r="FM117" t="str">
            <v/>
          </cell>
          <cell r="GG117" t="str">
            <v>2024-2025</v>
          </cell>
        </row>
        <row r="118">
          <cell r="E118" t="str">
            <v>Mandke Anubhav</v>
          </cell>
          <cell r="F118" t="str">
            <v>14. Dropped</v>
          </cell>
          <cell r="G118" t="str">
            <v>NA</v>
          </cell>
          <cell r="H118" t="str">
            <v>_</v>
          </cell>
          <cell r="I118" t="str">
            <v>_</v>
          </cell>
          <cell r="K118" t="str">
            <v>W</v>
          </cell>
          <cell r="L118" t="str">
            <v>BK</v>
          </cell>
          <cell r="N118" t="str">
            <v>Sh Shashi Pardesi</v>
          </cell>
          <cell r="O118" t="str">
            <v>Sh Ashish M</v>
          </cell>
          <cell r="P118" t="str">
            <v/>
          </cell>
          <cell r="Q118" t="str">
            <v>Arju Tiwari</v>
          </cell>
          <cell r="R118" t="str">
            <v>Parth Sharma</v>
          </cell>
          <cell r="S118" t="str">
            <v>Maharashtra</v>
          </cell>
          <cell r="T118" t="str">
            <v>Pune</v>
          </cell>
          <cell r="U118" t="str">
            <v>Premium</v>
          </cell>
          <cell r="V118" t="str">
            <v>Misc Formats</v>
          </cell>
          <cell r="W118">
            <v>921</v>
          </cell>
          <cell r="X118" t="str">
            <v>Shop No. 20,21 &amp; 22, Mandke Anubhav Co-Opposite Housing, Society, Near Mit College, Kothrud, Pune, Maharashtra 411038</v>
          </cell>
          <cell r="Z118" t="str">
            <v>_</v>
          </cell>
          <cell r="AB118">
            <v>45378</v>
          </cell>
          <cell r="AC118">
            <v>45380</v>
          </cell>
          <cell r="AD118">
            <v>45387</v>
          </cell>
          <cell r="AE118">
            <v>45387</v>
          </cell>
          <cell r="AF118" t="str">
            <v>SDR DONE</v>
          </cell>
          <cell r="AG118">
            <v>4</v>
          </cell>
          <cell r="AH118" t="str">
            <v>_</v>
          </cell>
          <cell r="AL118" t="str">
            <v>Pending</v>
          </cell>
          <cell r="AM118">
            <v>785</v>
          </cell>
          <cell r="BJ118" t="str">
            <v/>
          </cell>
          <cell r="BN118" t="str">
            <v/>
          </cell>
          <cell r="BW118" t="str">
            <v/>
          </cell>
          <cell r="CE118" t="str">
            <v/>
          </cell>
          <cell r="CF118" t="str">
            <v/>
          </cell>
          <cell r="CG118" t="str">
            <v/>
          </cell>
          <cell r="CH118" t="str">
            <v/>
          </cell>
          <cell r="CN118" t="str">
            <v/>
          </cell>
          <cell r="CO118" t="str">
            <v/>
          </cell>
          <cell r="CP118" t="str">
            <v/>
          </cell>
          <cell r="CR118" t="str">
            <v/>
          </cell>
          <cell r="DG118" t="str">
            <v>14. Dropped</v>
          </cell>
          <cell r="DJ118" t="str">
            <v/>
          </cell>
          <cell r="DP118" t="str">
            <v/>
          </cell>
          <cell r="DR118">
            <v>35</v>
          </cell>
          <cell r="DS118">
            <v>45</v>
          </cell>
          <cell r="DX118" t="str">
            <v/>
          </cell>
          <cell r="DY118" t="str">
            <v/>
          </cell>
          <cell r="EA118" t="str">
            <v/>
          </cell>
          <cell r="ED118" t="str">
            <v/>
          </cell>
          <cell r="EE118" t="str">
            <v/>
          </cell>
          <cell r="FM118" t="str">
            <v/>
          </cell>
          <cell r="GG118" t="str">
            <v>2024-2025</v>
          </cell>
        </row>
        <row r="119">
          <cell r="E119" t="str">
            <v>Times Square - Stall 1</v>
          </cell>
          <cell r="F119" t="str">
            <v>11. HOLD</v>
          </cell>
          <cell r="G119" t="str">
            <v>SEVEBK11345</v>
          </cell>
          <cell r="H119" t="str">
            <v>_</v>
          </cell>
          <cell r="I119" t="str">
            <v>_</v>
          </cell>
          <cell r="K119" t="str">
            <v>W</v>
          </cell>
          <cell r="L119" t="str">
            <v>BK</v>
          </cell>
          <cell r="N119" t="str">
            <v>Sh Mrudang Shah</v>
          </cell>
          <cell r="O119" t="str">
            <v>Sh Nitin Dawange</v>
          </cell>
          <cell r="P119" t="str">
            <v/>
          </cell>
          <cell r="Q119" t="str">
            <v>Arju Tiwari</v>
          </cell>
          <cell r="R119" t="str">
            <v>Parth Sharma</v>
          </cell>
          <cell r="S119" t="str">
            <v>Maharashtra</v>
          </cell>
          <cell r="T119" t="str">
            <v>Mumbai</v>
          </cell>
          <cell r="U119" t="str">
            <v>Premium</v>
          </cell>
          <cell r="V119" t="str">
            <v>Misc Formats</v>
          </cell>
          <cell r="W119">
            <v>251</v>
          </cell>
          <cell r="X119" t="str">
            <v>Time Square Building Andheri - Kurla Rd, Gamdevi, Marol, Andheri East, Mumbai</v>
          </cell>
          <cell r="Z119" t="str">
            <v>_</v>
          </cell>
          <cell r="AB119">
            <v>45383</v>
          </cell>
          <cell r="AC119">
            <v>45392</v>
          </cell>
          <cell r="AD119">
            <v>45399</v>
          </cell>
          <cell r="AE119">
            <v>45399</v>
          </cell>
          <cell r="AF119" t="str">
            <v>SDR DONE</v>
          </cell>
          <cell r="AG119">
            <v>11</v>
          </cell>
          <cell r="AH119" t="str">
            <v>_</v>
          </cell>
          <cell r="AL119" t="str">
            <v>Pending</v>
          </cell>
          <cell r="AM119">
            <v>773</v>
          </cell>
          <cell r="BJ119" t="str">
            <v/>
          </cell>
          <cell r="BN119" t="str">
            <v/>
          </cell>
          <cell r="BW119" t="str">
            <v/>
          </cell>
          <cell r="CE119" t="str">
            <v/>
          </cell>
          <cell r="CF119" t="str">
            <v/>
          </cell>
          <cell r="CG119" t="str">
            <v/>
          </cell>
          <cell r="CH119" t="str">
            <v/>
          </cell>
          <cell r="CN119" t="str">
            <v/>
          </cell>
          <cell r="CO119" t="str">
            <v/>
          </cell>
          <cell r="CP119" t="str">
            <v/>
          </cell>
          <cell r="CR119" t="str">
            <v/>
          </cell>
          <cell r="DG119" t="str">
            <v>11. HOLD</v>
          </cell>
          <cell r="DJ119" t="str">
            <v/>
          </cell>
          <cell r="DP119" t="str">
            <v/>
          </cell>
          <cell r="DR119">
            <v>35</v>
          </cell>
          <cell r="DS119">
            <v>45</v>
          </cell>
          <cell r="DX119" t="str">
            <v/>
          </cell>
          <cell r="DY119" t="str">
            <v/>
          </cell>
          <cell r="EA119" t="str">
            <v/>
          </cell>
          <cell r="ED119" t="str">
            <v/>
          </cell>
          <cell r="EE119" t="str">
            <v/>
          </cell>
          <cell r="FM119" t="str">
            <v/>
          </cell>
          <cell r="GG119" t="str">
            <v>2026-2027</v>
          </cell>
        </row>
        <row r="120">
          <cell r="E120" t="str">
            <v>Times Square - Stall 2</v>
          </cell>
          <cell r="F120" t="str">
            <v>11. HOLD</v>
          </cell>
          <cell r="G120" t="str">
            <v>NA</v>
          </cell>
          <cell r="H120" t="str">
            <v>_</v>
          </cell>
          <cell r="I120" t="str">
            <v>_</v>
          </cell>
          <cell r="K120" t="str">
            <v>W</v>
          </cell>
          <cell r="L120" t="str">
            <v>BK</v>
          </cell>
          <cell r="N120" t="str">
            <v>Sh Mrudang Shah</v>
          </cell>
          <cell r="O120" t="str">
            <v>Sh Nitin Dawange</v>
          </cell>
          <cell r="P120" t="str">
            <v/>
          </cell>
          <cell r="Q120" t="str">
            <v>Arju Tiwari</v>
          </cell>
          <cell r="R120" t="str">
            <v>Parth Sharma</v>
          </cell>
          <cell r="S120" t="str">
            <v>Maharashtra</v>
          </cell>
          <cell r="T120" t="str">
            <v>Mumbai</v>
          </cell>
          <cell r="U120" t="str">
            <v>Premium</v>
          </cell>
          <cell r="V120" t="str">
            <v>Misc Formats</v>
          </cell>
          <cell r="W120" t="str">
            <v/>
          </cell>
          <cell r="X120" t="str">
            <v>Time Square Building Andheri - Kurla Rd, Gamdevi, Marol, Andheri East, Mumbai</v>
          </cell>
          <cell r="Z120" t="str">
            <v>_</v>
          </cell>
          <cell r="AB120">
            <v>45383</v>
          </cell>
          <cell r="AC120">
            <v>45392</v>
          </cell>
          <cell r="AF120" t="str">
            <v>SITE NOT READY FOR SDR</v>
          </cell>
          <cell r="AG120">
            <v>789</v>
          </cell>
          <cell r="AH120" t="str">
            <v>Site not ready for SDR</v>
          </cell>
          <cell r="AL120" t="str">
            <v>Pending</v>
          </cell>
          <cell r="BJ120" t="str">
            <v/>
          </cell>
          <cell r="BN120" t="str">
            <v/>
          </cell>
          <cell r="BW120" t="str">
            <v/>
          </cell>
          <cell r="CE120" t="str">
            <v/>
          </cell>
          <cell r="CF120" t="str">
            <v/>
          </cell>
          <cell r="CG120" t="str">
            <v/>
          </cell>
          <cell r="CH120" t="str">
            <v/>
          </cell>
          <cell r="CN120" t="str">
            <v/>
          </cell>
          <cell r="CO120" t="str">
            <v/>
          </cell>
          <cell r="CP120" t="str">
            <v/>
          </cell>
          <cell r="CR120" t="str">
            <v/>
          </cell>
          <cell r="DG120" t="str">
            <v>11. HOLD</v>
          </cell>
          <cell r="DJ120" t="str">
            <v/>
          </cell>
          <cell r="DP120" t="str">
            <v/>
          </cell>
          <cell r="DR120">
            <v>35</v>
          </cell>
          <cell r="DS120">
            <v>45</v>
          </cell>
          <cell r="DX120" t="str">
            <v/>
          </cell>
          <cell r="DY120" t="str">
            <v/>
          </cell>
          <cell r="EA120" t="str">
            <v/>
          </cell>
          <cell r="ED120" t="str">
            <v/>
          </cell>
          <cell r="EE120" t="str">
            <v/>
          </cell>
          <cell r="FM120" t="str">
            <v/>
          </cell>
          <cell r="GG120" t="str">
            <v>2026-2027</v>
          </cell>
        </row>
        <row r="121">
          <cell r="E121" t="str">
            <v>Akshar Business Park</v>
          </cell>
          <cell r="F121" t="str">
            <v>14. Dropped</v>
          </cell>
          <cell r="G121" t="str">
            <v>NA</v>
          </cell>
          <cell r="H121" t="str">
            <v>_</v>
          </cell>
          <cell r="I121" t="str">
            <v>_</v>
          </cell>
          <cell r="K121" t="str">
            <v>W</v>
          </cell>
          <cell r="L121" t="str">
            <v>BK</v>
          </cell>
          <cell r="N121" t="str">
            <v>Sh Mrudang Shah</v>
          </cell>
          <cell r="O121" t="str">
            <v>Sh Nitin Dawange</v>
          </cell>
          <cell r="P121" t="str">
            <v/>
          </cell>
          <cell r="Q121" t="str">
            <v>Arju Tiwari</v>
          </cell>
          <cell r="R121" t="str">
            <v>Parth Sharma</v>
          </cell>
          <cell r="S121" t="str">
            <v>Maharashtra</v>
          </cell>
          <cell r="T121" t="str">
            <v>Mumbai</v>
          </cell>
          <cell r="U121" t="str">
            <v>Premium</v>
          </cell>
          <cell r="V121" t="str">
            <v>Misc Formats</v>
          </cell>
          <cell r="W121">
            <v>766</v>
          </cell>
          <cell r="X121" t="str">
            <v>Akshar business parkJanta Market Rd, opposite APMC Fruits and Vegetable Market, Sector 25, Turbhe, Navi Mumbai</v>
          </cell>
          <cell r="Z121" t="str">
            <v>_</v>
          </cell>
          <cell r="AB121">
            <v>45384</v>
          </cell>
          <cell r="AC121">
            <v>45387</v>
          </cell>
          <cell r="AD121">
            <v>45392</v>
          </cell>
          <cell r="AE121">
            <v>45393</v>
          </cell>
          <cell r="AF121" t="str">
            <v>SDR DONE</v>
          </cell>
          <cell r="AG121">
            <v>3</v>
          </cell>
          <cell r="AH121" t="str">
            <v>_</v>
          </cell>
          <cell r="AK121">
            <v>45469</v>
          </cell>
          <cell r="AL121" t="str">
            <v>Received</v>
          </cell>
          <cell r="AM121">
            <v>72</v>
          </cell>
          <cell r="AN121" t="str">
            <v>Due to revise concept of cash counter front glass ML Revised on 26-06-2024</v>
          </cell>
          <cell r="AO121">
            <v>45472</v>
          </cell>
          <cell r="AP121">
            <v>45443</v>
          </cell>
          <cell r="AR121">
            <v>45443</v>
          </cell>
          <cell r="AU121">
            <v>45473</v>
          </cell>
          <cell r="AV121">
            <v>45448</v>
          </cell>
          <cell r="AX121">
            <v>45448</v>
          </cell>
          <cell r="AY121">
            <v>-25</v>
          </cell>
          <cell r="BA121">
            <v>45474</v>
          </cell>
          <cell r="BB121">
            <v>45457</v>
          </cell>
          <cell r="BD121">
            <v>45501</v>
          </cell>
          <cell r="BE121">
            <v>26</v>
          </cell>
          <cell r="BG121">
            <v>45474</v>
          </cell>
          <cell r="BH121">
            <v>45457</v>
          </cell>
          <cell r="BJ121">
            <v>45457</v>
          </cell>
          <cell r="BK121">
            <v>-17</v>
          </cell>
          <cell r="BM121">
            <v>45472</v>
          </cell>
          <cell r="BN121">
            <v>45440</v>
          </cell>
          <cell r="BP121">
            <v>45472</v>
          </cell>
          <cell r="BQ121">
            <v>45444</v>
          </cell>
          <cell r="BR121" t="str">
            <v>Received</v>
          </cell>
          <cell r="BT121">
            <v>45446</v>
          </cell>
          <cell r="BU121" t="str">
            <v>Civil&amp; Interior/SLP /IT /Validated Fixture BOQ/Structure/HVAC/FF/Electrical/PLB Received</v>
          </cell>
          <cell r="BW121" t="str">
            <v>21-06-2024</v>
          </cell>
          <cell r="BY121" t="str">
            <v>Pending</v>
          </cell>
          <cell r="CE121" t="str">
            <v/>
          </cell>
          <cell r="CF121" t="str">
            <v/>
          </cell>
          <cell r="CG121" t="str">
            <v/>
          </cell>
          <cell r="CH121" t="str">
            <v/>
          </cell>
          <cell r="CN121" t="str">
            <v/>
          </cell>
          <cell r="CO121" t="str">
            <v/>
          </cell>
          <cell r="CP121" t="str">
            <v/>
          </cell>
          <cell r="CR121" t="str">
            <v/>
          </cell>
          <cell r="DG121" t="str">
            <v>14. Dropped</v>
          </cell>
          <cell r="DJ121" t="str">
            <v/>
          </cell>
          <cell r="DP121" t="str">
            <v/>
          </cell>
          <cell r="DR121">
            <v>35</v>
          </cell>
          <cell r="DS121">
            <v>45</v>
          </cell>
          <cell r="DX121" t="str">
            <v/>
          </cell>
          <cell r="DY121" t="str">
            <v/>
          </cell>
          <cell r="EA121" t="str">
            <v/>
          </cell>
          <cell r="ED121" t="str">
            <v/>
          </cell>
          <cell r="EE121" t="str">
            <v/>
          </cell>
          <cell r="FM121" t="str">
            <v/>
          </cell>
          <cell r="GG121" t="str">
            <v>2024-2025</v>
          </cell>
        </row>
        <row r="122">
          <cell r="E122" t="str">
            <v>Solitaire Business Hub</v>
          </cell>
          <cell r="F122" t="str">
            <v>14. Dropped</v>
          </cell>
          <cell r="G122" t="str">
            <v>NA</v>
          </cell>
          <cell r="H122" t="str">
            <v>_</v>
          </cell>
          <cell r="I122" t="str">
            <v>_</v>
          </cell>
          <cell r="K122" t="str">
            <v>W</v>
          </cell>
          <cell r="L122" t="str">
            <v>BK</v>
          </cell>
          <cell r="N122" t="str">
            <v>Sh Shashi Pardesi</v>
          </cell>
          <cell r="O122" t="str">
            <v>Sh Ashish M</v>
          </cell>
          <cell r="P122" t="str">
            <v/>
          </cell>
          <cell r="Q122" t="str">
            <v>Arju Tiwari</v>
          </cell>
          <cell r="R122" t="str">
            <v>Parth Sharma</v>
          </cell>
          <cell r="S122" t="str">
            <v>Maharashtra</v>
          </cell>
          <cell r="T122" t="str">
            <v>Pune</v>
          </cell>
          <cell r="U122" t="str">
            <v>Premium</v>
          </cell>
          <cell r="V122" t="str">
            <v>Misc Formats</v>
          </cell>
          <cell r="W122">
            <v>614</v>
          </cell>
          <cell r="X122" t="str">
            <v>Shop No. H-13,H-14, Sr. No.207, Solitaire Business Hub, opp. NECO Garden Society, Clover Park, Viman Nagar, Pune, Maharashtra 411014</v>
          </cell>
          <cell r="Z122" t="str">
            <v>_</v>
          </cell>
          <cell r="AB122">
            <v>45407</v>
          </cell>
          <cell r="AC122">
            <v>45415</v>
          </cell>
          <cell r="AD122">
            <v>45424</v>
          </cell>
          <cell r="AE122">
            <v>45425</v>
          </cell>
          <cell r="AF122" t="str">
            <v>SDR DONE</v>
          </cell>
          <cell r="AG122">
            <v>12</v>
          </cell>
          <cell r="AH122" t="str">
            <v>_</v>
          </cell>
          <cell r="AL122" t="str">
            <v>Pending</v>
          </cell>
          <cell r="AM122">
            <v>748</v>
          </cell>
          <cell r="BJ122" t="str">
            <v/>
          </cell>
          <cell r="BN122" t="str">
            <v/>
          </cell>
          <cell r="BW122" t="str">
            <v/>
          </cell>
          <cell r="CE122" t="str">
            <v/>
          </cell>
          <cell r="CF122" t="str">
            <v/>
          </cell>
          <cell r="CG122" t="str">
            <v/>
          </cell>
          <cell r="CH122" t="str">
            <v/>
          </cell>
          <cell r="CN122" t="str">
            <v/>
          </cell>
          <cell r="CO122" t="str">
            <v/>
          </cell>
          <cell r="CP122" t="str">
            <v/>
          </cell>
          <cell r="CR122" t="str">
            <v/>
          </cell>
          <cell r="DG122" t="str">
            <v>14. Dropped</v>
          </cell>
          <cell r="DJ122" t="str">
            <v/>
          </cell>
          <cell r="DP122" t="str">
            <v/>
          </cell>
          <cell r="DR122">
            <v>35</v>
          </cell>
          <cell r="DS122">
            <v>45</v>
          </cell>
          <cell r="DX122" t="str">
            <v/>
          </cell>
          <cell r="DY122" t="str">
            <v/>
          </cell>
          <cell r="EA122" t="str">
            <v/>
          </cell>
          <cell r="ED122" t="str">
            <v/>
          </cell>
          <cell r="EE122" t="str">
            <v/>
          </cell>
          <cell r="FM122" t="str">
            <v/>
          </cell>
          <cell r="GG122" t="str">
            <v>2024-2025</v>
          </cell>
        </row>
        <row r="123">
          <cell r="E123" t="str">
            <v>Kiosk Lobby Bld 23</v>
          </cell>
          <cell r="F123" t="str">
            <v>10. Launched</v>
          </cell>
          <cell r="G123" t="str">
            <v>NA</v>
          </cell>
          <cell r="H123" t="str">
            <v>_</v>
          </cell>
          <cell r="I123" t="str">
            <v>_</v>
          </cell>
          <cell r="J123" t="str">
            <v xml:space="preserve">QN7C </v>
          </cell>
          <cell r="K123" t="str">
            <v>W</v>
          </cell>
          <cell r="L123" t="str">
            <v>BK</v>
          </cell>
          <cell r="N123" t="str">
            <v>Nitin dawange</v>
          </cell>
          <cell r="O123" t="str">
            <v>Nitin dawange</v>
          </cell>
          <cell r="Q123" t="str">
            <v>Arju Tiwari</v>
          </cell>
          <cell r="R123" t="str">
            <v>Kiran Patil</v>
          </cell>
          <cell r="S123" t="str">
            <v>Maharashtra</v>
          </cell>
          <cell r="T123" t="str">
            <v>Mumbai</v>
          </cell>
          <cell r="U123" t="str">
            <v>Premium</v>
          </cell>
          <cell r="V123" t="str">
            <v>Misc Formats</v>
          </cell>
          <cell r="W123">
            <v>100</v>
          </cell>
          <cell r="X123" t="str">
            <v>Ground Floor, Lobby, Building 23, RCP, Ghansoli, Navi Mumbai - 400701</v>
          </cell>
          <cell r="Y123">
            <v>45513</v>
          </cell>
          <cell r="Z123" t="str">
            <v>Done</v>
          </cell>
          <cell r="AB123">
            <v>45484</v>
          </cell>
          <cell r="AC123">
            <v>45489</v>
          </cell>
          <cell r="AD123">
            <v>45498</v>
          </cell>
          <cell r="AE123">
            <v>45498</v>
          </cell>
          <cell r="AF123" t="str">
            <v>SDR DONE</v>
          </cell>
          <cell r="AG123">
            <v>9</v>
          </cell>
          <cell r="AH123" t="str">
            <v>_</v>
          </cell>
          <cell r="AJ123">
            <v>4</v>
          </cell>
          <cell r="AK123">
            <v>45510</v>
          </cell>
          <cell r="AL123" t="str">
            <v>Received</v>
          </cell>
          <cell r="AM123">
            <v>7</v>
          </cell>
          <cell r="AO123">
            <v>45513</v>
          </cell>
          <cell r="AP123">
            <v>45512</v>
          </cell>
          <cell r="AR123">
            <v>45512</v>
          </cell>
          <cell r="AS123">
            <v>-1</v>
          </cell>
          <cell r="AT123" t="str">
            <v>Received</v>
          </cell>
          <cell r="AU123">
            <v>45514</v>
          </cell>
          <cell r="AV123" t="str">
            <v>NA</v>
          </cell>
          <cell r="AW123" t="str">
            <v>NA</v>
          </cell>
          <cell r="AX123" t="str">
            <v>NA</v>
          </cell>
          <cell r="AZ123" t="str">
            <v>Received</v>
          </cell>
          <cell r="BA123">
            <v>45515</v>
          </cell>
          <cell r="BD123">
            <v>45505</v>
          </cell>
          <cell r="BE123">
            <v>-10</v>
          </cell>
          <cell r="BF123" t="str">
            <v>PLB Received on 06-08-2024</v>
          </cell>
          <cell r="BG123">
            <v>45515</v>
          </cell>
          <cell r="BH123">
            <v>45512</v>
          </cell>
          <cell r="BJ123">
            <v>45512</v>
          </cell>
          <cell r="BK123">
            <v>-3</v>
          </cell>
          <cell r="BL123" t="str">
            <v>Received</v>
          </cell>
          <cell r="BM123">
            <v>45513</v>
          </cell>
          <cell r="BO123" t="str">
            <v>Received</v>
          </cell>
          <cell r="BP123">
            <v>45513</v>
          </cell>
          <cell r="BQ123">
            <v>45495</v>
          </cell>
          <cell r="BR123" t="str">
            <v>Received</v>
          </cell>
          <cell r="BU123" t="str">
            <v>Received</v>
          </cell>
          <cell r="BV123" t="str">
            <v>Done</v>
          </cell>
          <cell r="BW123" t="str">
            <v>Done</v>
          </cell>
          <cell r="BX123">
            <v>45505</v>
          </cell>
          <cell r="BY123" t="str">
            <v>Done</v>
          </cell>
          <cell r="CB123">
            <v>45525</v>
          </cell>
          <cell r="CD123">
            <v>45513</v>
          </cell>
          <cell r="CE123">
            <v>45525</v>
          </cell>
          <cell r="CF123" t="str">
            <v>M/s BHAKTI ENTERPRISES</v>
          </cell>
          <cell r="CG123" t="str">
            <v>M/s BHAKTI ENTERPRISES</v>
          </cell>
          <cell r="CJ123">
            <v>45525</v>
          </cell>
          <cell r="CK123">
            <v>45525</v>
          </cell>
          <cell r="CN123">
            <v>45530</v>
          </cell>
          <cell r="CQ123">
            <v>45531</v>
          </cell>
          <cell r="DA123" t="str">
            <v>PR Done WO Pending</v>
          </cell>
          <cell r="DB123" t="str">
            <v>PR Done WO Pending</v>
          </cell>
          <cell r="DG123" t="str">
            <v>10. Launched</v>
          </cell>
          <cell r="DK123">
            <v>45526</v>
          </cell>
          <cell r="DL123">
            <v>45526</v>
          </cell>
          <cell r="DO123" t="str">
            <v>Plan Start 23/08/2024</v>
          </cell>
          <cell r="DP123">
            <v>45527</v>
          </cell>
          <cell r="DQ123">
            <v>45527</v>
          </cell>
          <cell r="DR123">
            <v>10</v>
          </cell>
          <cell r="DS123">
            <v>15</v>
          </cell>
          <cell r="DU123">
            <v>45537</v>
          </cell>
          <cell r="DV123">
            <v>45542</v>
          </cell>
          <cell r="DW123">
            <v>45537</v>
          </cell>
          <cell r="DX123" t="str">
            <v>Sep 24 Week 1</v>
          </cell>
          <cell r="DY123">
            <v>45537</v>
          </cell>
          <cell r="DZ123">
            <v>45538</v>
          </cell>
          <cell r="EA123" t="str">
            <v>Sep 24 Week 1</v>
          </cell>
          <cell r="EB123" t="str">
            <v>Plan</v>
          </cell>
          <cell r="ED123" t="str">
            <v/>
          </cell>
          <cell r="EE123" t="str">
            <v/>
          </cell>
          <cell r="EF123">
            <v>1</v>
          </cell>
          <cell r="EG123">
            <v>1</v>
          </cell>
          <cell r="EJ123">
            <v>45534</v>
          </cell>
          <cell r="EM123">
            <v>45541</v>
          </cell>
          <cell r="EP123">
            <v>45548</v>
          </cell>
          <cell r="ES123">
            <v>45555</v>
          </cell>
          <cell r="EV123">
            <v>45562</v>
          </cell>
          <cell r="FC123" t="str">
            <v>On Time</v>
          </cell>
          <cell r="FD123">
            <v>1</v>
          </cell>
          <cell r="FE123" t="str">
            <v>0 to 3 Days</v>
          </cell>
          <cell r="FF123">
            <v>1</v>
          </cell>
          <cell r="FG123" t="str">
            <v>0 to 3 Days</v>
          </cell>
          <cell r="FH123" t="str">
            <v>Done</v>
          </cell>
          <cell r="FI123" t="str">
            <v>Done</v>
          </cell>
          <cell r="FJ123">
            <v>45558</v>
          </cell>
          <cell r="FK123">
            <v>45539</v>
          </cell>
          <cell r="FM123" t="str">
            <v/>
          </cell>
          <cell r="FZ123" t="str">
            <v>Boardout Done
Floor Protection Done
Below staircase Partition-WIP</v>
          </cell>
          <cell r="GA123">
            <v>45536</v>
          </cell>
          <cell r="GB123" t="str">
            <v>Done</v>
          </cell>
          <cell r="GC123" t="str">
            <v>Done</v>
          </cell>
          <cell r="GD123" t="str">
            <v>Done</v>
          </cell>
          <cell r="GG123" t="str">
            <v>2024-2025</v>
          </cell>
        </row>
        <row r="124">
          <cell r="E124" t="str">
            <v>Dehire-Raghuleela Mall, Vashi</v>
          </cell>
          <cell r="F124" t="str">
            <v>9. EPC Ready</v>
          </cell>
          <cell r="G124" t="str">
            <v>NA</v>
          </cell>
          <cell r="H124" t="str">
            <v>_</v>
          </cell>
          <cell r="I124" t="str">
            <v>T1KL</v>
          </cell>
          <cell r="K124" t="str">
            <v>W</v>
          </cell>
          <cell r="L124" t="str">
            <v>KC</v>
          </cell>
          <cell r="N124" t="str">
            <v>Sangram Shinde</v>
          </cell>
          <cell r="O124" t="str">
            <v>Sangram Shinde</v>
          </cell>
          <cell r="P124" t="str">
            <v>Prashant Kumar</v>
          </cell>
          <cell r="Q124" t="str">
            <v>Arju Tiwari</v>
          </cell>
          <cell r="R124" t="str">
            <v>Kiran Patil</v>
          </cell>
          <cell r="S124" t="str">
            <v>Maharashtra</v>
          </cell>
          <cell r="T124" t="str">
            <v>Mumbai</v>
          </cell>
          <cell r="U124" t="str">
            <v>Premium</v>
          </cell>
          <cell r="V124" t="str">
            <v>Misc Formats</v>
          </cell>
          <cell r="W124">
            <v>624</v>
          </cell>
          <cell r="X124" t="str">
            <v>Raghuleela Mall, Vashi</v>
          </cell>
          <cell r="Y124">
            <v>45610</v>
          </cell>
          <cell r="Z124" t="str">
            <v>NA</v>
          </cell>
          <cell r="AB124" t="str">
            <v>NA</v>
          </cell>
          <cell r="AF124" t="str">
            <v>NA</v>
          </cell>
          <cell r="AG124" t="str">
            <v>NA</v>
          </cell>
          <cell r="AH124" t="str">
            <v>NA</v>
          </cell>
          <cell r="AL124" t="str">
            <v>NA</v>
          </cell>
          <cell r="AN124" t="str">
            <v>NA</v>
          </cell>
          <cell r="AS124" t="str">
            <v>NA</v>
          </cell>
          <cell r="AT124" t="str">
            <v>NA</v>
          </cell>
          <cell r="AV124" t="str">
            <v>NA</v>
          </cell>
          <cell r="AW124" t="str">
            <v>NA</v>
          </cell>
          <cell r="AX124" t="str">
            <v>NA</v>
          </cell>
          <cell r="AZ124" t="str">
            <v>NA</v>
          </cell>
          <cell r="BF124" t="str">
            <v>NA</v>
          </cell>
          <cell r="BJ124" t="str">
            <v>NA</v>
          </cell>
          <cell r="BL124" t="str">
            <v>NA</v>
          </cell>
          <cell r="BN124" t="str">
            <v>NA</v>
          </cell>
          <cell r="BO124" t="str">
            <v>NA</v>
          </cell>
          <cell r="BR124" t="str">
            <v>NA</v>
          </cell>
          <cell r="BS124" t="str">
            <v>NA</v>
          </cell>
          <cell r="BU124" t="str">
            <v>Warehouse confirmation received from Business on 04-11-2024</v>
          </cell>
          <cell r="BV124" t="str">
            <v>Done</v>
          </cell>
          <cell r="BW124" t="str">
            <v>31-07-2024</v>
          </cell>
          <cell r="BX124">
            <v>45609</v>
          </cell>
          <cell r="BY124" t="str">
            <v>Done</v>
          </cell>
          <cell r="BZ124" t="str">
            <v>Approved</v>
          </cell>
          <cell r="CA124" t="str">
            <v>Approved</v>
          </cell>
          <cell r="CC124" t="str">
            <v>NA</v>
          </cell>
          <cell r="CD124">
            <v>45609</v>
          </cell>
          <cell r="CE124">
            <v>45615</v>
          </cell>
          <cell r="CF124" t="str">
            <v>BHAKTI ENTERPRISES</v>
          </cell>
          <cell r="CG124" t="str">
            <v>BHAKTI ENTERPRISES</v>
          </cell>
          <cell r="CH124" t="str">
            <v>BHAKTI ENTERPRISES</v>
          </cell>
          <cell r="CI124" t="str">
            <v>_</v>
          </cell>
          <cell r="CJ124">
            <v>45615</v>
          </cell>
          <cell r="CK124">
            <v>45615</v>
          </cell>
          <cell r="CL124">
            <v>45615</v>
          </cell>
          <cell r="CM124">
            <v>6</v>
          </cell>
          <cell r="CN124" t="str">
            <v>NA</v>
          </cell>
          <cell r="CO124" t="str">
            <v>NA</v>
          </cell>
          <cell r="CP124" t="str">
            <v>NA</v>
          </cell>
          <cell r="CR124" t="str">
            <v>NA</v>
          </cell>
          <cell r="CU124" t="str">
            <v>NA</v>
          </cell>
          <cell r="CW124" t="str">
            <v>NA</v>
          </cell>
          <cell r="DA124" t="str">
            <v>RA1 Done</v>
          </cell>
          <cell r="DB124" t="str">
            <v>RA1 Done</v>
          </cell>
          <cell r="DC124" t="str">
            <v>RA1 Done</v>
          </cell>
          <cell r="DD124">
            <v>45664</v>
          </cell>
          <cell r="DG124" t="str">
            <v>9. EPC Ready</v>
          </cell>
          <cell r="DH124" t="str">
            <v>_</v>
          </cell>
          <cell r="DI124" t="str">
            <v>_</v>
          </cell>
          <cell r="DJ124" t="str">
            <v>_</v>
          </cell>
          <cell r="DK124">
            <v>45664</v>
          </cell>
          <cell r="DM124" t="str">
            <v>_</v>
          </cell>
          <cell r="DN124" t="str">
            <v>_</v>
          </cell>
          <cell r="DO124" t="str">
            <v xml:space="preserve">Assest Code Creation awaited/Fixture team awaited for dismantling/tagging and Packing
</v>
          </cell>
          <cell r="DP124">
            <v>45664</v>
          </cell>
          <cell r="DQ124">
            <v>45665</v>
          </cell>
          <cell r="DR124">
            <v>15</v>
          </cell>
          <cell r="DS124">
            <v>25</v>
          </cell>
          <cell r="DT124" t="str">
            <v>_</v>
          </cell>
          <cell r="DU124">
            <v>45680</v>
          </cell>
          <cell r="DV124">
            <v>45690</v>
          </cell>
          <cell r="DX124" t="str">
            <v>_</v>
          </cell>
          <cell r="DY124">
            <v>45691</v>
          </cell>
          <cell r="DZ124">
            <v>45691</v>
          </cell>
          <cell r="EA124" t="str">
            <v>Feb 25 Week 1</v>
          </cell>
          <cell r="EB124" t="str">
            <v>Backlog</v>
          </cell>
          <cell r="ED124" t="str">
            <v/>
          </cell>
          <cell r="EE124" t="str">
            <v/>
          </cell>
          <cell r="EF124">
            <v>1</v>
          </cell>
          <cell r="EG124">
            <v>1</v>
          </cell>
          <cell r="EJ124">
            <v>45672</v>
          </cell>
          <cell r="EM124">
            <v>45679</v>
          </cell>
          <cell r="EP124">
            <v>45686</v>
          </cell>
          <cell r="ES124">
            <v>45693</v>
          </cell>
          <cell r="EV124">
            <v>45700</v>
          </cell>
          <cell r="EY124" t="str">
            <v>_</v>
          </cell>
          <cell r="EZ124" t="str">
            <v>_</v>
          </cell>
          <cell r="FA124" t="str">
            <v>_</v>
          </cell>
          <cell r="FB124" t="str">
            <v>_</v>
          </cell>
          <cell r="FC124" t="str">
            <v>_</v>
          </cell>
          <cell r="FE124" t="str">
            <v>_</v>
          </cell>
          <cell r="FF124" t="str">
            <v>_</v>
          </cell>
          <cell r="FG124" t="str">
            <v>_</v>
          </cell>
          <cell r="FH124" t="str">
            <v>Done</v>
          </cell>
          <cell r="FI124" t="str">
            <v>Done</v>
          </cell>
          <cell r="FJ124" t="str">
            <v>NA</v>
          </cell>
          <cell r="FK124">
            <v>45699</v>
          </cell>
          <cell r="FM124" t="str">
            <v/>
          </cell>
          <cell r="FZ124" t="str">
            <v>Fixture/SLP/IT/EPC team to be aligned on 08-01-2025
Dismanting - WIP
Restoration Scope pending
Fixture/Asset removed on 14-01-2025</v>
          </cell>
          <cell r="GG124" t="str">
            <v>2024-2025</v>
          </cell>
        </row>
        <row r="125">
          <cell r="E125" t="str">
            <v>Kiosk - D.Y Patil Hospital, PCMC-Pune</v>
          </cell>
          <cell r="F125" t="str">
            <v>10. Launched</v>
          </cell>
          <cell r="G125" t="str">
            <v>NA</v>
          </cell>
          <cell r="H125" t="str">
            <v>_</v>
          </cell>
          <cell r="I125" t="str">
            <v>_</v>
          </cell>
          <cell r="J125" t="str">
            <v>QV8R</v>
          </cell>
          <cell r="K125" t="str">
            <v>W</v>
          </cell>
          <cell r="L125" t="str">
            <v>BK</v>
          </cell>
          <cell r="N125" t="str">
            <v>Jaisingh Desai</v>
          </cell>
          <cell r="O125" t="str">
            <v>Ashish M</v>
          </cell>
          <cell r="P125" t="str">
            <v>Mojim Pathan - +919372776026</v>
          </cell>
          <cell r="Q125" t="str">
            <v>Arju Tiwari</v>
          </cell>
          <cell r="R125" t="str">
            <v>Kiran Patil</v>
          </cell>
          <cell r="S125" t="str">
            <v>Maharashtra</v>
          </cell>
          <cell r="T125" t="str">
            <v>Pune</v>
          </cell>
          <cell r="U125" t="str">
            <v>Premium</v>
          </cell>
          <cell r="V125" t="str">
            <v>Misc Formats</v>
          </cell>
          <cell r="W125">
            <v>160</v>
          </cell>
          <cell r="X125" t="str">
            <v>D Y Patil Medical College Hospital and Research Centre , Ground Floor, Sant Tukaram Nagar, Pimpri Chinchwad, Pune-411018</v>
          </cell>
          <cell r="Y125">
            <v>45706</v>
          </cell>
          <cell r="Z125" t="str">
            <v>Done</v>
          </cell>
          <cell r="AA125">
            <v>45705</v>
          </cell>
          <cell r="AB125">
            <v>45502</v>
          </cell>
          <cell r="AC125">
            <v>45503</v>
          </cell>
          <cell r="AD125">
            <v>45513</v>
          </cell>
          <cell r="AE125">
            <v>45513</v>
          </cell>
          <cell r="AF125" t="str">
            <v>SDR DONE</v>
          </cell>
          <cell r="AG125">
            <v>6</v>
          </cell>
          <cell r="AH125" t="str">
            <v>Revised SDR submitted on 20-08-2024</v>
          </cell>
          <cell r="AJ125">
            <v>2</v>
          </cell>
          <cell r="AK125">
            <v>45610</v>
          </cell>
          <cell r="AL125" t="str">
            <v>Received</v>
          </cell>
          <cell r="AM125">
            <v>92</v>
          </cell>
          <cell r="AN125" t="str">
            <v>Updated BOQ Received on 26-09-2024</v>
          </cell>
          <cell r="AO125">
            <v>45613</v>
          </cell>
          <cell r="AP125">
            <v>45546</v>
          </cell>
          <cell r="AQ125">
            <v>0</v>
          </cell>
          <cell r="AR125">
            <v>45546</v>
          </cell>
          <cell r="AS125">
            <v>-67</v>
          </cell>
          <cell r="AT125" t="str">
            <v>Received</v>
          </cell>
          <cell r="AU125">
            <v>45614</v>
          </cell>
          <cell r="AV125" t="str">
            <v>NA</v>
          </cell>
          <cell r="AW125" t="str">
            <v>NA</v>
          </cell>
          <cell r="AX125" t="str">
            <v>NA</v>
          </cell>
          <cell r="AZ125" t="str">
            <v>NA</v>
          </cell>
          <cell r="BA125">
            <v>45615</v>
          </cell>
          <cell r="BC125">
            <v>2</v>
          </cell>
          <cell r="BD125">
            <v>45690</v>
          </cell>
          <cell r="BE125">
            <v>75</v>
          </cell>
          <cell r="BF125" t="str">
            <v>HVAC GFC Received on 30-08-2024
Plumbing GFC Received on 30-08-2024</v>
          </cell>
          <cell r="BG125">
            <v>45615</v>
          </cell>
          <cell r="BI125">
            <v>3</v>
          </cell>
          <cell r="BJ125">
            <v>45637</v>
          </cell>
          <cell r="BK125">
            <v>21</v>
          </cell>
          <cell r="BL125" t="str">
            <v>Received</v>
          </cell>
          <cell r="BM125">
            <v>45613</v>
          </cell>
          <cell r="BN125" t="str">
            <v>NA</v>
          </cell>
          <cell r="BO125" t="str">
            <v>NA</v>
          </cell>
          <cell r="BP125">
            <v>45613</v>
          </cell>
          <cell r="BQ125">
            <v>45531</v>
          </cell>
          <cell r="BR125" t="str">
            <v>Received</v>
          </cell>
          <cell r="BS125">
            <v>45612</v>
          </cell>
          <cell r="BU125" t="str">
            <v>Done</v>
          </cell>
          <cell r="BV125" t="str">
            <v>Done</v>
          </cell>
          <cell r="BW125" t="str">
            <v>12-09-2024</v>
          </cell>
          <cell r="BX125">
            <v>45622</v>
          </cell>
          <cell r="BY125" t="str">
            <v>Done</v>
          </cell>
          <cell r="BZ125" t="str">
            <v>Approved</v>
          </cell>
          <cell r="CA125" t="str">
            <v>Approved</v>
          </cell>
          <cell r="CB125">
            <v>45723</v>
          </cell>
          <cell r="CC125" t="str">
            <v>_</v>
          </cell>
          <cell r="CD125">
            <v>45546</v>
          </cell>
          <cell r="CE125">
            <v>45714</v>
          </cell>
          <cell r="CF125" t="str">
            <v>RAPTOR INFRASTRUCTURES</v>
          </cell>
          <cell r="CG125" t="str">
            <v>RAPTOR INFRASTRUCTURES</v>
          </cell>
          <cell r="CH125" t="str">
            <v>NA</v>
          </cell>
          <cell r="CI125" t="str">
            <v>_</v>
          </cell>
          <cell r="CJ125">
            <v>45714</v>
          </cell>
          <cell r="CK125">
            <v>45714</v>
          </cell>
          <cell r="CM125">
            <v>168</v>
          </cell>
          <cell r="CN125">
            <v>45729</v>
          </cell>
          <cell r="CO125" t="str">
            <v>_</v>
          </cell>
          <cell r="CP125">
            <v>45735</v>
          </cell>
          <cell r="CQ125">
            <v>45729</v>
          </cell>
          <cell r="CR125" t="str">
            <v>_</v>
          </cell>
          <cell r="CS125">
            <v>45736</v>
          </cell>
          <cell r="CT125">
            <v>45729</v>
          </cell>
          <cell r="CU125" t="str">
            <v>_</v>
          </cell>
          <cell r="CW125" t="str">
            <v>_</v>
          </cell>
          <cell r="DA125" t="str">
            <v>R0 Work Order Done , R1 amendment WO pending with Contracts</v>
          </cell>
          <cell r="DB125" t="str">
            <v>R0 Work Order Done , R1 amendment WO pending with Contracts</v>
          </cell>
          <cell r="DC125" t="str">
            <v>R0 Work Order Done , R1 amendment WO pending with Contracts</v>
          </cell>
          <cell r="DD125">
            <v>45712</v>
          </cell>
          <cell r="DE125">
            <v>60</v>
          </cell>
          <cell r="DF125">
            <v>45791</v>
          </cell>
          <cell r="DG125" t="str">
            <v>10. Launched</v>
          </cell>
          <cell r="DH125" t="str">
            <v>_</v>
          </cell>
          <cell r="DI125" t="str">
            <v>_</v>
          </cell>
          <cell r="DJ125" t="str">
            <v>_</v>
          </cell>
          <cell r="DK125">
            <v>45731</v>
          </cell>
          <cell r="DL125">
            <v>45710</v>
          </cell>
          <cell r="DM125" t="str">
            <v>_</v>
          </cell>
          <cell r="DN125" t="str">
            <v>_</v>
          </cell>
          <cell r="DO125" t="str">
            <v>LL work Final confirmation awaited from Business
Caracass to be dispatched by 20-03-2025</v>
          </cell>
          <cell r="DP125">
            <v>45734</v>
          </cell>
          <cell r="DQ125">
            <v>45734</v>
          </cell>
          <cell r="DR125">
            <v>13</v>
          </cell>
          <cell r="DS125">
            <v>15</v>
          </cell>
          <cell r="DT125" t="str">
            <v>_</v>
          </cell>
          <cell r="DU125">
            <v>45747</v>
          </cell>
          <cell r="DV125">
            <v>45749</v>
          </cell>
          <cell r="DX125" t="str">
            <v>_</v>
          </cell>
          <cell r="DY125">
            <v>45747</v>
          </cell>
          <cell r="DZ125">
            <v>45745</v>
          </cell>
          <cell r="EA125" t="str">
            <v>March 25 Week 5</v>
          </cell>
          <cell r="EB125" t="str">
            <v>Plan</v>
          </cell>
          <cell r="ED125" t="str">
            <v/>
          </cell>
          <cell r="EE125" t="str">
            <v/>
          </cell>
          <cell r="EF125">
            <v>1</v>
          </cell>
          <cell r="EG125">
            <v>1</v>
          </cell>
          <cell r="EJ125">
            <v>45741</v>
          </cell>
          <cell r="EM125">
            <v>45748</v>
          </cell>
          <cell r="EP125">
            <v>45755</v>
          </cell>
          <cell r="ES125">
            <v>45762</v>
          </cell>
          <cell r="EV125">
            <v>45769</v>
          </cell>
          <cell r="FE125" t="str">
            <v>_</v>
          </cell>
          <cell r="FF125" t="str">
            <v>_</v>
          </cell>
          <cell r="FG125" t="str">
            <v>_</v>
          </cell>
          <cell r="FH125" t="str">
            <v>Done</v>
          </cell>
          <cell r="FI125" t="str">
            <v>Done</v>
          </cell>
          <cell r="FJ125">
            <v>45794</v>
          </cell>
          <cell r="FK125">
            <v>45745</v>
          </cell>
          <cell r="FM125" t="str">
            <v/>
          </cell>
          <cell r="FZ125" t="str">
            <v>PD Received on 17 Feb 25</v>
          </cell>
          <cell r="GA125" t="str">
            <v>Done</v>
          </cell>
          <cell r="GB125" t="str">
            <v>Done</v>
          </cell>
          <cell r="GC125" t="str">
            <v>Done</v>
          </cell>
          <cell r="GD125" t="str">
            <v>Done</v>
          </cell>
          <cell r="GG125" t="str">
            <v>2024-2025</v>
          </cell>
        </row>
        <row r="126">
          <cell r="E126" t="str">
            <v xml:space="preserve"> Avance 2, Hinjewadi</v>
          </cell>
          <cell r="F126" t="str">
            <v>10. Launched</v>
          </cell>
          <cell r="G126" t="str">
            <v>SEVEBK11726</v>
          </cell>
          <cell r="H126" t="str">
            <v>MH-SM-PUN-1016 </v>
          </cell>
          <cell r="I126" t="str">
            <v>_</v>
          </cell>
          <cell r="J126" t="str">
            <v>QX8K</v>
          </cell>
          <cell r="K126" t="str">
            <v>W</v>
          </cell>
          <cell r="L126" t="str">
            <v>BK</v>
          </cell>
          <cell r="N126" t="str">
            <v>Jaisingh Desai</v>
          </cell>
          <cell r="O126" t="str">
            <v>Sh Ashish M</v>
          </cell>
          <cell r="P126" t="str">
            <v>Dnyaneshwar Patil</v>
          </cell>
          <cell r="Q126" t="str">
            <v>Arju Tiwari</v>
          </cell>
          <cell r="R126" t="str">
            <v>Kiran Patil</v>
          </cell>
          <cell r="S126" t="str">
            <v>Maharashtra</v>
          </cell>
          <cell r="T126" t="str">
            <v>Pune</v>
          </cell>
          <cell r="U126" t="str">
            <v>Premium</v>
          </cell>
          <cell r="V126" t="str">
            <v>Misc Formats</v>
          </cell>
          <cell r="W126">
            <v>184</v>
          </cell>
          <cell r="X126" t="str">
            <v>Nalanda SEZ IT park (Avance II) Ground Floor,Tower A, serial no.128/2/A Hinjewadi phase I,Rajivgandhi Inflo tech park Blueridge towinship Pune -411057</v>
          </cell>
          <cell r="Y126">
            <v>45813</v>
          </cell>
          <cell r="Z126" t="str">
            <v>12-06-2025</v>
          </cell>
          <cell r="AA126">
            <v>45814</v>
          </cell>
          <cell r="AB126">
            <v>45509</v>
          </cell>
          <cell r="AC126">
            <v>45511</v>
          </cell>
          <cell r="AD126">
            <v>45516</v>
          </cell>
          <cell r="AE126">
            <v>45516</v>
          </cell>
          <cell r="AF126" t="str">
            <v>SDR DONE</v>
          </cell>
          <cell r="AG126">
            <v>2</v>
          </cell>
          <cell r="AH126" t="str">
            <v>R0 SDR Received on 12-08-2024
Revised SDR submitted on 21-08-2024
21-11-2024</v>
          </cell>
          <cell r="AJ126">
            <v>4</v>
          </cell>
          <cell r="AK126">
            <v>45708</v>
          </cell>
          <cell r="AL126" t="str">
            <v>Received</v>
          </cell>
          <cell r="AM126">
            <v>187</v>
          </cell>
          <cell r="AN126" t="str">
            <v>NA</v>
          </cell>
          <cell r="AO126">
            <v>45711</v>
          </cell>
          <cell r="AP126">
            <v>45561</v>
          </cell>
          <cell r="AQ126">
            <v>1</v>
          </cell>
          <cell r="AR126">
            <v>45562</v>
          </cell>
          <cell r="AS126">
            <v>-149</v>
          </cell>
          <cell r="AT126" t="str">
            <v>Received</v>
          </cell>
          <cell r="AU126">
            <v>45712</v>
          </cell>
          <cell r="AV126">
            <v>45565</v>
          </cell>
          <cell r="AW126">
            <v>1</v>
          </cell>
          <cell r="AX126">
            <v>45572</v>
          </cell>
          <cell r="AY126">
            <v>-140</v>
          </cell>
          <cell r="AZ126" t="str">
            <v>Received</v>
          </cell>
          <cell r="BA126">
            <v>45713</v>
          </cell>
          <cell r="BB126">
            <v>45567</v>
          </cell>
          <cell r="BC126">
            <v>1</v>
          </cell>
          <cell r="BD126">
            <v>45691</v>
          </cell>
          <cell r="BE126">
            <v>-22</v>
          </cell>
          <cell r="BF126" t="str">
            <v>HVAC GFC Received
Plumbing GFC Received on 04-10-2024</v>
          </cell>
          <cell r="BG126">
            <v>45713</v>
          </cell>
          <cell r="BI126">
            <v>3</v>
          </cell>
          <cell r="BJ126">
            <v>45723</v>
          </cell>
          <cell r="BK126">
            <v>9</v>
          </cell>
          <cell r="BL126" t="str">
            <v>Received</v>
          </cell>
          <cell r="BM126">
            <v>45711</v>
          </cell>
          <cell r="BN126" t="str">
            <v>NA</v>
          </cell>
          <cell r="BO126" t="str">
            <v>NA</v>
          </cell>
          <cell r="BP126">
            <v>45711</v>
          </cell>
          <cell r="BR126" t="str">
            <v>Received</v>
          </cell>
          <cell r="BS126">
            <v>45710</v>
          </cell>
          <cell r="BT126">
            <v>45813</v>
          </cell>
          <cell r="BU126" t="str">
            <v>C&amp;I/Structure/SLP/HVAC/Electrical/Plumbing GFC Received</v>
          </cell>
          <cell r="BV126" t="str">
            <v>Done</v>
          </cell>
          <cell r="BW126" t="str">
            <v>09-10-2024</v>
          </cell>
          <cell r="BX126">
            <v>45630</v>
          </cell>
          <cell r="BY126" t="str">
            <v>Done</v>
          </cell>
          <cell r="BZ126" t="str">
            <v>Approved</v>
          </cell>
          <cell r="CA126" t="str">
            <v>Approved</v>
          </cell>
          <cell r="CC126" t="str">
            <v>_</v>
          </cell>
          <cell r="CD126" t="str">
            <v>Done</v>
          </cell>
          <cell r="CE126">
            <v>45817</v>
          </cell>
          <cell r="CF126" t="str">
            <v>VERTEX INFRASTUCTURE</v>
          </cell>
          <cell r="CG126" t="str">
            <v>VERTEX INFRASTUCTURE</v>
          </cell>
          <cell r="CH126" t="str">
            <v>VERTEX INFRASTUCTURE</v>
          </cell>
          <cell r="CI126" t="str">
            <v>_</v>
          </cell>
          <cell r="CJ126">
            <v>45817</v>
          </cell>
          <cell r="CK126">
            <v>45817</v>
          </cell>
          <cell r="CL126">
            <v>45817</v>
          </cell>
          <cell r="CN126">
            <v>45825</v>
          </cell>
          <cell r="CO126">
            <v>45833</v>
          </cell>
          <cell r="CP126" t="str">
            <v>Plumbing- 17-06-2025
HVAC - 26-06-2025</v>
          </cell>
          <cell r="CQ126">
            <v>45832</v>
          </cell>
          <cell r="CR126">
            <v>45833</v>
          </cell>
          <cell r="CU126" t="str">
            <v>_</v>
          </cell>
          <cell r="CW126" t="str">
            <v>_</v>
          </cell>
          <cell r="CX126">
            <v>45817</v>
          </cell>
          <cell r="CY126">
            <v>45817</v>
          </cell>
          <cell r="CZ126">
            <v>45817</v>
          </cell>
          <cell r="DA126" t="str">
            <v>WO Done RA1 Pending</v>
          </cell>
          <cell r="DB126" t="str">
            <v>R0 Work Order Done , R1 amendment WO pending with Contracts</v>
          </cell>
          <cell r="DC126" t="str">
            <v>WO Done RA1 Pending</v>
          </cell>
          <cell r="DD126">
            <v>45812</v>
          </cell>
          <cell r="DE126">
            <v>30</v>
          </cell>
          <cell r="DF126">
            <v>45847</v>
          </cell>
          <cell r="DG126" t="str">
            <v>Not under Dead Rent</v>
          </cell>
          <cell r="DH126" t="str">
            <v>_</v>
          </cell>
          <cell r="DI126" t="str">
            <v>_</v>
          </cell>
          <cell r="DJ126" t="str">
            <v>RFC visit plan on 05-06-2025</v>
          </cell>
          <cell r="DK126">
            <v>45817</v>
          </cell>
          <cell r="DL126">
            <v>45816</v>
          </cell>
          <cell r="DM126" t="str">
            <v>_</v>
          </cell>
          <cell r="DN126" t="str">
            <v>_</v>
          </cell>
          <cell r="DO126" t="str">
            <v>_</v>
          </cell>
          <cell r="DP126">
            <v>45820</v>
          </cell>
          <cell r="DQ126">
            <v>45821</v>
          </cell>
          <cell r="DR126">
            <v>30</v>
          </cell>
          <cell r="DS126">
            <v>35</v>
          </cell>
          <cell r="DT126" t="str">
            <v>_</v>
          </cell>
          <cell r="DU126">
            <v>45851</v>
          </cell>
          <cell r="DV126">
            <v>45856</v>
          </cell>
          <cell r="DX126" t="str">
            <v>_</v>
          </cell>
          <cell r="DY126">
            <v>45851</v>
          </cell>
          <cell r="DZ126">
            <v>45852</v>
          </cell>
          <cell r="EA126" t="str">
            <v>July 25 Week 2</v>
          </cell>
          <cell r="EB126" t="str">
            <v>Plan</v>
          </cell>
          <cell r="ED126" t="str">
            <v/>
          </cell>
          <cell r="EE126" t="str">
            <v/>
          </cell>
          <cell r="EF126">
            <v>1</v>
          </cell>
          <cell r="EG126">
            <v>1</v>
          </cell>
          <cell r="EJ126">
            <v>45828</v>
          </cell>
          <cell r="EM126">
            <v>45835</v>
          </cell>
          <cell r="EP126">
            <v>45842</v>
          </cell>
          <cell r="ES126">
            <v>45849</v>
          </cell>
          <cell r="EV126">
            <v>45856</v>
          </cell>
          <cell r="EY126">
            <v>45833</v>
          </cell>
          <cell r="EZ126">
            <v>45833</v>
          </cell>
          <cell r="FA126" t="str">
            <v>Audit Done on - 20 Nov 25
Report received on - 9 Dec 25</v>
          </cell>
          <cell r="FE126" t="str">
            <v>_</v>
          </cell>
          <cell r="FF126" t="str">
            <v>_</v>
          </cell>
          <cell r="FG126" t="str">
            <v>_</v>
          </cell>
          <cell r="FH126" t="str">
            <v>Done</v>
          </cell>
          <cell r="FI126">
            <v>45856</v>
          </cell>
          <cell r="FJ126">
            <v>45856</v>
          </cell>
          <cell r="FK126">
            <v>45856</v>
          </cell>
          <cell r="FM126" t="str">
            <v/>
          </cell>
          <cell r="FZ126" t="str">
            <v>Boardout Done
Structure Loft - Done
 Pest Control certificate submitted on 30-06-2025 
Partition -Done
Painting - Done
Conduiting - Done
DB / wiring - Done
IT Callout Received 10-07-2025</v>
          </cell>
          <cell r="GA126" t="str">
            <v>Done</v>
          </cell>
          <cell r="GB126" t="str">
            <v>Done</v>
          </cell>
          <cell r="GC126">
            <v>45844</v>
          </cell>
          <cell r="GD126" t="str">
            <v>Done</v>
          </cell>
          <cell r="GG126" t="str">
            <v>2025-2026</v>
          </cell>
        </row>
        <row r="127">
          <cell r="E127" t="str">
            <v>Kiosk - SBH -Solitaire Business Hub  ,Viman Nagar Pune</v>
          </cell>
          <cell r="F127" t="str">
            <v>14. Dropped</v>
          </cell>
          <cell r="G127" t="str">
            <v>NA</v>
          </cell>
          <cell r="H127" t="str">
            <v>_</v>
          </cell>
          <cell r="I127" t="str">
            <v>_</v>
          </cell>
          <cell r="K127" t="str">
            <v>W</v>
          </cell>
          <cell r="L127" t="str">
            <v>BK</v>
          </cell>
          <cell r="N127" t="str">
            <v>Sh Shashi Pardesi</v>
          </cell>
          <cell r="O127" t="str">
            <v>Sh Ashish M</v>
          </cell>
          <cell r="Q127" t="str">
            <v>Arju Tiwari</v>
          </cell>
          <cell r="R127" t="str">
            <v>Kiran Patil</v>
          </cell>
          <cell r="S127" t="str">
            <v>Maharashtra</v>
          </cell>
          <cell r="T127" t="str">
            <v>Pune</v>
          </cell>
          <cell r="U127" t="str">
            <v>Premium</v>
          </cell>
          <cell r="V127" t="str">
            <v>Misc Formats</v>
          </cell>
          <cell r="W127">
            <v>160</v>
          </cell>
          <cell r="X127" t="str">
            <v>Kiosk - SBH -Solitaire Business Hub  ,Viman Nagar Pune</v>
          </cell>
          <cell r="Z127" t="str">
            <v>_</v>
          </cell>
          <cell r="AB127">
            <v>45509</v>
          </cell>
          <cell r="AC127">
            <v>45511</v>
          </cell>
          <cell r="AD127">
            <v>45523</v>
          </cell>
          <cell r="AE127">
            <v>45523</v>
          </cell>
          <cell r="AF127" t="str">
            <v>SDR DONE</v>
          </cell>
          <cell r="AG127">
            <v>9</v>
          </cell>
          <cell r="AH127" t="str">
            <v>Revised SDR submitted on 20-08-2024</v>
          </cell>
          <cell r="AL127" t="str">
            <v>Pending</v>
          </cell>
          <cell r="AM127">
            <v>649</v>
          </cell>
          <cell r="DG127" t="str">
            <v>14. Dropped</v>
          </cell>
          <cell r="DX127" t="str">
            <v/>
          </cell>
          <cell r="EA127" t="str">
            <v/>
          </cell>
          <cell r="ED127" t="str">
            <v/>
          </cell>
          <cell r="EE127" t="str">
            <v/>
          </cell>
          <cell r="FM127" t="str">
            <v/>
          </cell>
          <cell r="GG127" t="str">
            <v>2024-2025</v>
          </cell>
        </row>
        <row r="128">
          <cell r="E128" t="str">
            <v xml:space="preserve">Kiosk - Kanakia Zillion, Kurla </v>
          </cell>
          <cell r="F128" t="str">
            <v>10. Launched</v>
          </cell>
          <cell r="G128" t="str">
            <v>SEVEBK11739</v>
          </cell>
          <cell r="H128" t="str">
            <v>MU-SM-GMU-793</v>
          </cell>
          <cell r="I128" t="str">
            <v>_</v>
          </cell>
          <cell r="J128" t="str">
            <v>QW9G</v>
          </cell>
          <cell r="K128" t="str">
            <v>W</v>
          </cell>
          <cell r="L128" t="str">
            <v>BK</v>
          </cell>
          <cell r="N128" t="str">
            <v>Sh Mrudang Shah</v>
          </cell>
          <cell r="O128" t="str">
            <v>Sh Nitin Dawange</v>
          </cell>
          <cell r="P128" t="str">
            <v>Sunil Grandhe</v>
          </cell>
          <cell r="Q128" t="str">
            <v>Arju Tiwari</v>
          </cell>
          <cell r="R128" t="str">
            <v>Kiran Patil</v>
          </cell>
          <cell r="S128" t="str">
            <v>Maharashtra</v>
          </cell>
          <cell r="T128" t="str">
            <v>Mumbai</v>
          </cell>
          <cell r="U128" t="str">
            <v>Premium</v>
          </cell>
          <cell r="V128" t="str">
            <v>Misc Formats</v>
          </cell>
          <cell r="W128">
            <v>160</v>
          </cell>
          <cell r="X128" t="str">
            <v>Zillion Premises CHS Ltd, Kurla</v>
          </cell>
          <cell r="Y128">
            <v>45761</v>
          </cell>
          <cell r="Z128" t="str">
            <v>03-05-2025</v>
          </cell>
          <cell r="AA128">
            <v>45764</v>
          </cell>
          <cell r="AB128">
            <v>45512</v>
          </cell>
          <cell r="AC128">
            <v>45513</v>
          </cell>
          <cell r="AD128">
            <v>45517</v>
          </cell>
          <cell r="AE128">
            <v>45517</v>
          </cell>
          <cell r="AF128" t="str">
            <v>SDR DONE</v>
          </cell>
          <cell r="AG128">
            <v>0</v>
          </cell>
          <cell r="AH128" t="str">
            <v>Revised SDR submitted on 21-08-2024</v>
          </cell>
          <cell r="AJ128">
            <v>2</v>
          </cell>
          <cell r="AK128">
            <v>45610</v>
          </cell>
          <cell r="AL128" t="str">
            <v>Received</v>
          </cell>
          <cell r="AM128">
            <v>88</v>
          </cell>
          <cell r="AN128" t="str">
            <v>NA</v>
          </cell>
          <cell r="AO128">
            <v>45613</v>
          </cell>
          <cell r="AP128">
            <v>45561</v>
          </cell>
          <cell r="AQ128">
            <v>0</v>
          </cell>
          <cell r="AR128">
            <v>45561</v>
          </cell>
          <cell r="AS128">
            <v>-52</v>
          </cell>
          <cell r="AT128" t="str">
            <v>Received</v>
          </cell>
          <cell r="AU128">
            <v>45614</v>
          </cell>
          <cell r="AV128" t="str">
            <v>NA</v>
          </cell>
          <cell r="AW128" t="str">
            <v>NA</v>
          </cell>
          <cell r="AX128" t="str">
            <v>NA</v>
          </cell>
          <cell r="AZ128" t="str">
            <v>NA</v>
          </cell>
          <cell r="BA128">
            <v>45615</v>
          </cell>
          <cell r="BB128">
            <v>45561</v>
          </cell>
          <cell r="BC128">
            <v>1</v>
          </cell>
          <cell r="BD128">
            <v>45705</v>
          </cell>
          <cell r="BE128">
            <v>90</v>
          </cell>
          <cell r="BF128" t="str">
            <v>HVAC GFC Received
Plumbing GFC Received on 04-10-2024</v>
          </cell>
          <cell r="BG128">
            <v>45615</v>
          </cell>
          <cell r="BI128">
            <v>3</v>
          </cell>
          <cell r="BJ128">
            <v>45637</v>
          </cell>
          <cell r="BK128">
            <v>21</v>
          </cell>
          <cell r="BL128" t="str">
            <v>Received</v>
          </cell>
          <cell r="BM128">
            <v>45613</v>
          </cell>
          <cell r="BN128" t="str">
            <v>NA</v>
          </cell>
          <cell r="BO128" t="str">
            <v>NA</v>
          </cell>
          <cell r="BP128">
            <v>45613</v>
          </cell>
          <cell r="BR128" t="str">
            <v>Received</v>
          </cell>
          <cell r="BS128">
            <v>45612</v>
          </cell>
          <cell r="BU128" t="str">
            <v>SLP/ Electrical/HVAC/Plumbing GFC/C&amp;I BOQ Received</v>
          </cell>
          <cell r="BV128" t="str">
            <v>Done</v>
          </cell>
          <cell r="BW128" t="str">
            <v>07-10-2024</v>
          </cell>
          <cell r="BX128">
            <v>45615</v>
          </cell>
          <cell r="BY128" t="str">
            <v>Done</v>
          </cell>
          <cell r="BZ128" t="str">
            <v>Approved</v>
          </cell>
          <cell r="CA128" t="str">
            <v>Approved</v>
          </cell>
          <cell r="CC128" t="str">
            <v>_</v>
          </cell>
          <cell r="CD128">
            <v>45572</v>
          </cell>
          <cell r="CE128">
            <v>45777</v>
          </cell>
          <cell r="CF128" t="str">
            <v>S R Electricals</v>
          </cell>
          <cell r="CG128" t="str">
            <v>S R Electricals</v>
          </cell>
          <cell r="CH128" t="str">
            <v>NA</v>
          </cell>
          <cell r="CI128" t="str">
            <v>_</v>
          </cell>
          <cell r="CJ128">
            <v>45777</v>
          </cell>
          <cell r="CK128">
            <v>45777</v>
          </cell>
          <cell r="CM128">
            <v>205</v>
          </cell>
          <cell r="CN128">
            <v>45785</v>
          </cell>
          <cell r="CO128">
            <v>45783</v>
          </cell>
          <cell r="CP128" t="str">
            <v>_</v>
          </cell>
          <cell r="CR128">
            <v>45783</v>
          </cell>
          <cell r="CU128" t="str">
            <v>_</v>
          </cell>
          <cell r="CW128" t="str">
            <v>_</v>
          </cell>
          <cell r="DA128" t="str">
            <v>Under Design Validation NHQ</v>
          </cell>
          <cell r="DB128" t="str">
            <v>R0 Work Order Done , R1 amendment WO pending with Contracts</v>
          </cell>
          <cell r="DC128" t="str">
            <v>NA</v>
          </cell>
          <cell r="DD128">
            <v>45765</v>
          </cell>
          <cell r="DE128">
            <v>30</v>
          </cell>
          <cell r="DF128">
            <v>45798</v>
          </cell>
          <cell r="DG128" t="str">
            <v>10. Launched</v>
          </cell>
          <cell r="DH128" t="str">
            <v>_</v>
          </cell>
          <cell r="DI128" t="str">
            <v>_</v>
          </cell>
          <cell r="DK128">
            <v>45768</v>
          </cell>
          <cell r="DL128">
            <v>45762</v>
          </cell>
          <cell r="DM128" t="str">
            <v>_</v>
          </cell>
          <cell r="DN128" t="str">
            <v>_</v>
          </cell>
          <cell r="DO128" t="str">
            <v>Kiosk Delivery exp by 05-05-2025
SLP Deployed on 03-05-2025
KOM Done on 02-05-2025</v>
          </cell>
          <cell r="DP128">
            <v>45782</v>
          </cell>
          <cell r="DQ128">
            <v>45782</v>
          </cell>
          <cell r="DR128">
            <v>15</v>
          </cell>
          <cell r="DS128">
            <v>35</v>
          </cell>
          <cell r="DT128" t="str">
            <v>_</v>
          </cell>
          <cell r="DU128">
            <v>45797</v>
          </cell>
          <cell r="DV128">
            <v>45817</v>
          </cell>
          <cell r="DX128" t="str">
            <v>_</v>
          </cell>
          <cell r="DY128">
            <v>45797</v>
          </cell>
          <cell r="DZ128">
            <v>45795</v>
          </cell>
          <cell r="EA128" t="str">
            <v>May 25 Week 3</v>
          </cell>
          <cell r="EB128" t="str">
            <v>Plan</v>
          </cell>
          <cell r="ED128" t="str">
            <v/>
          </cell>
          <cell r="EE128" t="str">
            <v/>
          </cell>
          <cell r="EF128">
            <v>1</v>
          </cell>
          <cell r="EG128">
            <v>1</v>
          </cell>
          <cell r="EJ128">
            <v>45789</v>
          </cell>
          <cell r="EM128">
            <v>45796</v>
          </cell>
          <cell r="EP128">
            <v>45803</v>
          </cell>
          <cell r="ES128">
            <v>45810</v>
          </cell>
          <cell r="EV128">
            <v>45817</v>
          </cell>
          <cell r="FA128" t="str">
            <v>Audit Done on - 29  Nov 25
Report received on - 3 Dec 25</v>
          </cell>
          <cell r="FE128" t="str">
            <v>_</v>
          </cell>
          <cell r="FF128" t="str">
            <v>_</v>
          </cell>
          <cell r="FG128" t="str">
            <v>_</v>
          </cell>
          <cell r="FH128" t="str">
            <v>Done</v>
          </cell>
          <cell r="FI128" t="str">
            <v>Done</v>
          </cell>
          <cell r="FJ128">
            <v>45807</v>
          </cell>
          <cell r="FK128">
            <v>45800</v>
          </cell>
          <cell r="FM128" t="str">
            <v/>
          </cell>
          <cell r="FZ128" t="str">
            <v>Boardout to be done by 04-05-2025
Main cable for power to be layed by 05-05-2025
Kiosk Installation Done - 08-05-2025
IT cabling FIM to be delivered by 09-05-2025
Light and Western Material to be delivered by 09-05-2025
Work Start Delay Signoff done from business on 26-05-2025</v>
          </cell>
          <cell r="GA128" t="str">
            <v>Done</v>
          </cell>
          <cell r="GB128" t="str">
            <v>Done</v>
          </cell>
          <cell r="GC128" t="str">
            <v>Done</v>
          </cell>
          <cell r="GD128" t="str">
            <v>Done</v>
          </cell>
          <cell r="GG128" t="str">
            <v>2025-2026</v>
          </cell>
        </row>
        <row r="129">
          <cell r="E129" t="str">
            <v>Kiosk-HN Reliance Hospital ,Charni Road 1</v>
          </cell>
          <cell r="F129" t="str">
            <v>14. Dropped</v>
          </cell>
          <cell r="G129" t="str">
            <v>SEVEBK12126</v>
          </cell>
          <cell r="H129" t="str">
            <v>_</v>
          </cell>
          <cell r="I129" t="str">
            <v>_</v>
          </cell>
          <cell r="K129" t="str">
            <v>W</v>
          </cell>
          <cell r="L129" t="str">
            <v>BK</v>
          </cell>
          <cell r="N129" t="str">
            <v>Sh Mrudang Shah</v>
          </cell>
          <cell r="O129" t="str">
            <v>Sh Nitin Dawange</v>
          </cell>
          <cell r="Q129" t="str">
            <v>Arju Tiwari</v>
          </cell>
          <cell r="R129" t="str">
            <v>Kiran Patil</v>
          </cell>
          <cell r="S129" t="str">
            <v>Maharashtra</v>
          </cell>
          <cell r="T129" t="str">
            <v>Mumbai</v>
          </cell>
          <cell r="U129" t="str">
            <v>Premium</v>
          </cell>
          <cell r="V129" t="str">
            <v>Misc Formats</v>
          </cell>
          <cell r="W129">
            <v>120</v>
          </cell>
          <cell r="X129" t="str">
            <v>Kiosk-HN Reliance Hospital ,Charni Road 1</v>
          </cell>
          <cell r="Z129" t="str">
            <v>_</v>
          </cell>
          <cell r="AB129">
            <v>45527</v>
          </cell>
          <cell r="AC129">
            <v>45530</v>
          </cell>
          <cell r="AD129">
            <v>45534</v>
          </cell>
          <cell r="AE129">
            <v>45534</v>
          </cell>
          <cell r="AF129" t="str">
            <v>SDR DONE</v>
          </cell>
          <cell r="AG129">
            <v>2</v>
          </cell>
          <cell r="AH129" t="str">
            <v>_</v>
          </cell>
          <cell r="AI129">
            <v>45547</v>
          </cell>
          <cell r="AK129">
            <v>45547</v>
          </cell>
          <cell r="AL129" t="str">
            <v>Pending</v>
          </cell>
          <cell r="AM129">
            <v>8</v>
          </cell>
          <cell r="AO129">
            <v>45550</v>
          </cell>
          <cell r="AU129">
            <v>45551</v>
          </cell>
          <cell r="BA129">
            <v>45552</v>
          </cell>
          <cell r="BE129">
            <v>-45552</v>
          </cell>
          <cell r="BG129">
            <v>45552</v>
          </cell>
          <cell r="BM129">
            <v>45550</v>
          </cell>
          <cell r="BP129">
            <v>45550</v>
          </cell>
          <cell r="BQ129">
            <v>45550</v>
          </cell>
          <cell r="BR129" t="str">
            <v>Received</v>
          </cell>
          <cell r="BU129" t="str">
            <v>Pending</v>
          </cell>
          <cell r="BY129" t="str">
            <v>Pending</v>
          </cell>
          <cell r="DG129" t="str">
            <v>14. Dropped</v>
          </cell>
          <cell r="DX129" t="str">
            <v/>
          </cell>
          <cell r="EA129" t="str">
            <v/>
          </cell>
          <cell r="ED129" t="str">
            <v/>
          </cell>
          <cell r="EE129" t="str">
            <v/>
          </cell>
          <cell r="FM129" t="str">
            <v/>
          </cell>
          <cell r="GG129" t="str">
            <v>2025-2026</v>
          </cell>
        </row>
        <row r="130">
          <cell r="E130" t="str">
            <v>Kiosk-HN Reliance Hospital ,Charni Road 2</v>
          </cell>
          <cell r="F130" t="str">
            <v>14. Dropped</v>
          </cell>
          <cell r="G130" t="str">
            <v>SEVEBK12127</v>
          </cell>
          <cell r="H130" t="str">
            <v>_</v>
          </cell>
          <cell r="I130" t="str">
            <v>_</v>
          </cell>
          <cell r="K130" t="str">
            <v>W</v>
          </cell>
          <cell r="L130" t="str">
            <v>BK</v>
          </cell>
          <cell r="N130" t="str">
            <v>Sh Mrudang Shah</v>
          </cell>
          <cell r="O130" t="str">
            <v>Sh Nitin Dawange</v>
          </cell>
          <cell r="Q130" t="str">
            <v>Arju Tiwari</v>
          </cell>
          <cell r="R130" t="str">
            <v>Kiran Patil</v>
          </cell>
          <cell r="S130" t="str">
            <v>Maharashtra</v>
          </cell>
          <cell r="T130" t="str">
            <v>Mumbai</v>
          </cell>
          <cell r="U130" t="str">
            <v>Premium</v>
          </cell>
          <cell r="V130" t="str">
            <v>Misc Formats</v>
          </cell>
          <cell r="W130">
            <v>100</v>
          </cell>
          <cell r="X130" t="str">
            <v>Kiosk-HN Reliance Hospital ,Charni Road 2</v>
          </cell>
          <cell r="Z130" t="str">
            <v>_</v>
          </cell>
          <cell r="AB130">
            <v>45527</v>
          </cell>
          <cell r="AC130">
            <v>45530</v>
          </cell>
          <cell r="AD130">
            <v>45534</v>
          </cell>
          <cell r="AE130">
            <v>45534</v>
          </cell>
          <cell r="AF130" t="str">
            <v>SDR DONE</v>
          </cell>
          <cell r="AG130">
            <v>2</v>
          </cell>
          <cell r="AH130" t="str">
            <v>_</v>
          </cell>
          <cell r="AL130" t="str">
            <v>Pending</v>
          </cell>
          <cell r="AM130">
            <v>638</v>
          </cell>
          <cell r="DG130" t="str">
            <v>14. Dropped</v>
          </cell>
          <cell r="DX130" t="str">
            <v/>
          </cell>
          <cell r="EA130" t="str">
            <v/>
          </cell>
          <cell r="ED130" t="str">
            <v/>
          </cell>
          <cell r="EE130" t="str">
            <v/>
          </cell>
          <cell r="FM130" t="str">
            <v/>
          </cell>
          <cell r="GG130" t="str">
            <v>2025-2026</v>
          </cell>
        </row>
        <row r="131">
          <cell r="E131" t="str">
            <v>Akshar Business Park , Turbhe</v>
          </cell>
          <cell r="F131" t="str">
            <v>10. Launched</v>
          </cell>
          <cell r="G131" t="str">
            <v>SEVEBK12184</v>
          </cell>
          <cell r="H131" t="str">
            <v>_</v>
          </cell>
          <cell r="I131" t="str">
            <v>TL4R</v>
          </cell>
          <cell r="J131" t="str">
            <v>QY8K</v>
          </cell>
          <cell r="K131" t="str">
            <v>W</v>
          </cell>
          <cell r="L131" t="str">
            <v>BK</v>
          </cell>
          <cell r="N131" t="str">
            <v>Sh Anand Patade</v>
          </cell>
          <cell r="O131" t="str">
            <v>Sh Nitin Dawange</v>
          </cell>
          <cell r="P131" t="str">
            <v xml:space="preserve">Sh.Dharmendra Mhatre </v>
          </cell>
          <cell r="Q131" t="str">
            <v>Arju Tiwari</v>
          </cell>
          <cell r="R131" t="str">
            <v>Kiran Patil</v>
          </cell>
          <cell r="S131" t="str">
            <v>Maharashtra</v>
          </cell>
          <cell r="T131" t="str">
            <v>Mumbai</v>
          </cell>
          <cell r="U131" t="str">
            <v>Premium</v>
          </cell>
          <cell r="V131" t="str">
            <v>Misc Formats</v>
          </cell>
          <cell r="W131">
            <v>197.4</v>
          </cell>
          <cell r="X131" t="str">
            <v>“O” Wing, Ground Floor, Akshar Business Park, Plot No. 03, Sector 25, Vashi Navi Mumbai- 400703</v>
          </cell>
          <cell r="Y131">
            <v>45867</v>
          </cell>
          <cell r="Z131" t="str">
            <v>01-09-2025</v>
          </cell>
          <cell r="AA131">
            <v>45860</v>
          </cell>
          <cell r="AB131">
            <v>45541</v>
          </cell>
          <cell r="AC131">
            <v>45545</v>
          </cell>
          <cell r="AD131">
            <v>45551</v>
          </cell>
          <cell r="AE131">
            <v>45551</v>
          </cell>
          <cell r="AF131" t="str">
            <v>SDR DONE</v>
          </cell>
          <cell r="AG131">
            <v>5</v>
          </cell>
          <cell r="AH131" t="str">
            <v>_</v>
          </cell>
          <cell r="AJ131">
            <v>2</v>
          </cell>
          <cell r="AK131">
            <v>45625</v>
          </cell>
          <cell r="AL131" t="str">
            <v>Received</v>
          </cell>
          <cell r="AM131">
            <v>69</v>
          </cell>
          <cell r="AN131" t="str">
            <v>Business BOQ Received on 10-10-2024/29-11-2024</v>
          </cell>
          <cell r="AO131">
            <v>45628</v>
          </cell>
          <cell r="AP131">
            <v>45566</v>
          </cell>
          <cell r="AQ131">
            <v>1</v>
          </cell>
          <cell r="AR131">
            <v>45628</v>
          </cell>
          <cell r="AS131">
            <v>0</v>
          </cell>
          <cell r="AT131" t="str">
            <v>Received</v>
          </cell>
          <cell r="AU131">
            <v>45629</v>
          </cell>
          <cell r="AV131">
            <v>45574</v>
          </cell>
          <cell r="AW131" t="str">
            <v>NA</v>
          </cell>
          <cell r="AX131">
            <v>45631</v>
          </cell>
          <cell r="AY131">
            <v>1</v>
          </cell>
          <cell r="AZ131" t="str">
            <v>_</v>
          </cell>
          <cell r="BA131">
            <v>45630</v>
          </cell>
          <cell r="BC131">
            <v>2</v>
          </cell>
          <cell r="BD131">
            <v>45691</v>
          </cell>
          <cell r="BE131">
            <v>61</v>
          </cell>
          <cell r="BF131" t="str">
            <v>Plumbing GFC Received on 11-10-2024</v>
          </cell>
          <cell r="BG131">
            <v>45630</v>
          </cell>
          <cell r="BI131">
            <v>2</v>
          </cell>
          <cell r="BJ131">
            <v>45637</v>
          </cell>
          <cell r="BK131">
            <v>6</v>
          </cell>
          <cell r="BL131" t="str">
            <v>Received</v>
          </cell>
          <cell r="BM131">
            <v>45628</v>
          </cell>
          <cell r="BN131" t="str">
            <v>NA</v>
          </cell>
          <cell r="BO131" t="str">
            <v>NA</v>
          </cell>
          <cell r="BP131">
            <v>45628</v>
          </cell>
          <cell r="BR131" t="str">
            <v>Received</v>
          </cell>
          <cell r="BS131">
            <v>45627</v>
          </cell>
          <cell r="BT131">
            <v>45630</v>
          </cell>
          <cell r="BU131" t="str">
            <v>Done</v>
          </cell>
          <cell r="BV131" t="str">
            <v>Done</v>
          </cell>
          <cell r="BW131" t="str">
            <v>14-10-2024</v>
          </cell>
          <cell r="BX131">
            <v>45678</v>
          </cell>
          <cell r="BY131" t="str">
            <v>Done</v>
          </cell>
          <cell r="BZ131" t="str">
            <v>Pending
EPC detail send to business for approval</v>
          </cell>
          <cell r="CA131" t="str">
            <v>Approved</v>
          </cell>
          <cell r="CB131">
            <v>45894</v>
          </cell>
          <cell r="CC131" t="str">
            <v>Done</v>
          </cell>
          <cell r="CD131">
            <v>45861</v>
          </cell>
          <cell r="CE131">
            <v>45875</v>
          </cell>
          <cell r="CF131" t="str">
            <v>Veritas Infratech Pvt Ltd</v>
          </cell>
          <cell r="CG131" t="str">
            <v>Veritas Infratech Pvt Ltd</v>
          </cell>
          <cell r="CH131" t="str">
            <v>Aeon Airconditioning</v>
          </cell>
          <cell r="CJ131">
            <v>45875</v>
          </cell>
          <cell r="CK131">
            <v>45875</v>
          </cell>
          <cell r="CL131">
            <v>45875</v>
          </cell>
          <cell r="CM131">
            <v>14</v>
          </cell>
          <cell r="CN131" t="str">
            <v>Structure:- 11-09-2025
Civil &amp; Interior :- 12-09-2025</v>
          </cell>
          <cell r="CO131">
            <v>45922</v>
          </cell>
          <cell r="CP131" t="str">
            <v>HVAC:08-09-2025
Plumbing: 20-09-2025</v>
          </cell>
          <cell r="CS131">
            <v>45878</v>
          </cell>
          <cell r="DA131" t="str">
            <v>WO Done RA1 Pending</v>
          </cell>
          <cell r="DB131" t="str">
            <v>WO Done RA1 Pending</v>
          </cell>
          <cell r="DC131" t="str">
            <v>WO Done RA1 Pending</v>
          </cell>
          <cell r="DD131">
            <v>45891</v>
          </cell>
          <cell r="DE131">
            <v>30</v>
          </cell>
          <cell r="DF131">
            <v>45924</v>
          </cell>
          <cell r="DG131" t="str">
            <v>10. Launched</v>
          </cell>
          <cell r="DK131">
            <v>45894</v>
          </cell>
          <cell r="DL131">
            <v>45874</v>
          </cell>
          <cell r="DN131" t="str">
            <v>Execution</v>
          </cell>
          <cell r="DP131">
            <v>45897</v>
          </cell>
          <cell r="DQ131">
            <v>45901</v>
          </cell>
          <cell r="DR131">
            <v>30</v>
          </cell>
          <cell r="DS131">
            <v>35</v>
          </cell>
          <cell r="DU131">
            <v>45931</v>
          </cell>
          <cell r="DV131">
            <v>45936</v>
          </cell>
          <cell r="DW131">
            <v>45931</v>
          </cell>
          <cell r="DX131" t="str">
            <v>Oct 25 Week 1</v>
          </cell>
          <cell r="DY131">
            <v>45931</v>
          </cell>
          <cell r="DZ131">
            <v>45929</v>
          </cell>
          <cell r="EA131" t="str">
            <v>Sept 25 Week 5</v>
          </cell>
          <cell r="EB131" t="str">
            <v>Plan</v>
          </cell>
          <cell r="ED131" t="str">
            <v/>
          </cell>
          <cell r="EE131" t="str">
            <v/>
          </cell>
          <cell r="EF131">
            <v>1</v>
          </cell>
          <cell r="EG131">
            <v>1</v>
          </cell>
          <cell r="EJ131">
            <v>45908</v>
          </cell>
          <cell r="EM131">
            <v>45915</v>
          </cell>
          <cell r="EP131">
            <v>45922</v>
          </cell>
          <cell r="ES131">
            <v>45929</v>
          </cell>
          <cell r="EV131">
            <v>45936</v>
          </cell>
          <cell r="FC131" t="str">
            <v>On Time</v>
          </cell>
          <cell r="FD131">
            <v>-2</v>
          </cell>
          <cell r="FE131" t="str">
            <v>On Time</v>
          </cell>
          <cell r="FF131">
            <v>2</v>
          </cell>
          <cell r="FG131" t="str">
            <v>0 to 3 Days</v>
          </cell>
          <cell r="FH131" t="str">
            <v>Done</v>
          </cell>
          <cell r="FI131">
            <v>45947</v>
          </cell>
          <cell r="FJ131" t="str">
            <v>Done</v>
          </cell>
          <cell r="FK131">
            <v>45974</v>
          </cell>
          <cell r="FM131" t="str">
            <v/>
          </cell>
          <cell r="FZ131" t="str">
            <v>Temporary Shed completed on 01-09-2025
	Wall putty &amp; primer – Completed
	Rolling shutter primer – Completed
	HVAC: Copper piping work completed; ODU and IDU unit installation done
Electrical : Conduiting / cabling -WIP
Structure: MS loft  work WIP
Suspended partition done / Hung partition Done
Pest Control Awaited
RO Callout received on 16-09-2025
Water wall leakage issue remains unresolved from work start
Fixture Installation WIP From 25-09-2025
Permanent Power Received on 16-10-2025</v>
          </cell>
          <cell r="GA131">
            <v>45918</v>
          </cell>
          <cell r="GB131">
            <v>45916</v>
          </cell>
          <cell r="GC131">
            <v>45919</v>
          </cell>
          <cell r="GG131" t="str">
            <v>2025-2026</v>
          </cell>
        </row>
        <row r="132">
          <cell r="E132" t="str">
            <v>Kiosk-Solitaire Business Hub ,Viman Nagar 2</v>
          </cell>
          <cell r="F132" t="str">
            <v>7. YTS</v>
          </cell>
          <cell r="G132" t="str">
            <v>SEVEBK12642</v>
          </cell>
          <cell r="H132" t="str">
            <v>MH-SM-PUN-1017</v>
          </cell>
          <cell r="I132" t="str">
            <v>TCFZ</v>
          </cell>
          <cell r="J132" t="str">
            <v>QIKI</v>
          </cell>
          <cell r="K132" t="str">
            <v>W</v>
          </cell>
          <cell r="L132" t="str">
            <v>BK</v>
          </cell>
          <cell r="N132" t="str">
            <v>Sh Shashi Pardesi</v>
          </cell>
          <cell r="O132" t="str">
            <v>Sh Ashish M</v>
          </cell>
          <cell r="Q132" t="str">
            <v>Arju Tiwari</v>
          </cell>
          <cell r="R132" t="str">
            <v>Kiran Patil</v>
          </cell>
          <cell r="S132" t="str">
            <v>Maharashtra</v>
          </cell>
          <cell r="T132" t="str">
            <v>Pune</v>
          </cell>
          <cell r="U132" t="str">
            <v>Premium</v>
          </cell>
          <cell r="V132" t="str">
            <v>Misc Formats</v>
          </cell>
          <cell r="W132">
            <v>160</v>
          </cell>
          <cell r="X132" t="str">
            <v>Kiosk-Solitaire Business Hub ,Viman Nagar 2</v>
          </cell>
          <cell r="Y132">
            <v>46136</v>
          </cell>
          <cell r="Z132" t="str">
            <v>_</v>
          </cell>
          <cell r="AA132">
            <v>46136</v>
          </cell>
          <cell r="AB132">
            <v>45551</v>
          </cell>
          <cell r="AC132">
            <v>45554</v>
          </cell>
          <cell r="AD132">
            <v>45560</v>
          </cell>
          <cell r="AE132">
            <v>45560</v>
          </cell>
          <cell r="AF132" t="str">
            <v>SDR DONE</v>
          </cell>
          <cell r="AG132">
            <v>4</v>
          </cell>
          <cell r="AH132" t="str">
            <v>Revised SDR Revised on 25-10-2024</v>
          </cell>
          <cell r="AJ132">
            <v>1</v>
          </cell>
          <cell r="AK132">
            <v>45636</v>
          </cell>
          <cell r="AL132" t="str">
            <v>Received</v>
          </cell>
          <cell r="AM132">
            <v>71</v>
          </cell>
          <cell r="AN132" t="str">
            <v>BOQ Received from Business on 29-11-2024</v>
          </cell>
          <cell r="AO132">
            <v>45639</v>
          </cell>
          <cell r="AP132">
            <v>45573</v>
          </cell>
          <cell r="AQ132">
            <v>1</v>
          </cell>
          <cell r="AR132">
            <v>45629</v>
          </cell>
          <cell r="AS132">
            <v>-10</v>
          </cell>
          <cell r="AT132" t="str">
            <v>Received</v>
          </cell>
          <cell r="AU132">
            <v>45640</v>
          </cell>
          <cell r="AV132" t="str">
            <v>NA</v>
          </cell>
          <cell r="AW132" t="str">
            <v>NA</v>
          </cell>
          <cell r="AX132" t="str">
            <v>NA</v>
          </cell>
          <cell r="AZ132" t="str">
            <v>_</v>
          </cell>
          <cell r="BA132">
            <v>45641</v>
          </cell>
          <cell r="BC132">
            <v>0</v>
          </cell>
          <cell r="BF132" t="str">
            <v>HVAC GFC Received on 15-10-2024
Plumbing Rev. GFC Received on -29 Apr 2026</v>
          </cell>
          <cell r="BG132">
            <v>45641</v>
          </cell>
          <cell r="BI132">
            <v>3</v>
          </cell>
          <cell r="BJ132">
            <v>46146</v>
          </cell>
          <cell r="BK132">
            <v>505</v>
          </cell>
          <cell r="BL132" t="str">
            <v>Received</v>
          </cell>
          <cell r="BN132" t="str">
            <v>NA</v>
          </cell>
          <cell r="BO132" t="str">
            <v>NA</v>
          </cell>
          <cell r="BP132">
            <v>45639</v>
          </cell>
          <cell r="BR132" t="str">
            <v>Received</v>
          </cell>
          <cell r="BS132">
            <v>45638</v>
          </cell>
          <cell r="BU132" t="str">
            <v>Done</v>
          </cell>
          <cell r="BV132" t="str">
            <v>Done</v>
          </cell>
          <cell r="BW132" t="str">
            <v>25-12-2024</v>
          </cell>
          <cell r="BX132">
            <v>45678</v>
          </cell>
          <cell r="BY132" t="str">
            <v>Done</v>
          </cell>
          <cell r="BZ132" t="str">
            <v>Pending
EPC detail send to business for approval</v>
          </cell>
          <cell r="CA132" t="str">
            <v>Approved</v>
          </cell>
          <cell r="CB132">
            <v>46147</v>
          </cell>
          <cell r="CD132">
            <v>45649</v>
          </cell>
          <cell r="DD132">
            <v>46142</v>
          </cell>
          <cell r="DE132">
            <v>30</v>
          </cell>
          <cell r="DF132">
            <v>46197</v>
          </cell>
          <cell r="DG132" t="str">
            <v>7. YTS</v>
          </cell>
          <cell r="DK132">
            <v>46167</v>
          </cell>
          <cell r="DL132">
            <v>46168</v>
          </cell>
          <cell r="DO132" t="str">
            <v>On HOLD</v>
          </cell>
          <cell r="DR132">
            <v>15</v>
          </cell>
          <cell r="DS132">
            <v>21</v>
          </cell>
          <cell r="DX132" t="str">
            <v/>
          </cell>
          <cell r="EA132" t="str">
            <v/>
          </cell>
          <cell r="ED132" t="str">
            <v/>
          </cell>
          <cell r="EE132" t="str">
            <v/>
          </cell>
          <cell r="EJ132">
            <v>7</v>
          </cell>
          <cell r="EM132">
            <v>14</v>
          </cell>
          <cell r="EP132">
            <v>21</v>
          </cell>
          <cell r="ES132">
            <v>28</v>
          </cell>
          <cell r="EV132">
            <v>35</v>
          </cell>
          <cell r="FF132">
            <v>46162</v>
          </cell>
          <cell r="FM132" t="str">
            <v/>
          </cell>
          <cell r="FZ132" t="str">
            <v>Dropped Mail received from Business on 10-09-2025</v>
          </cell>
          <cell r="GG132" t="str">
            <v>2026-2027</v>
          </cell>
        </row>
        <row r="133">
          <cell r="E133" t="str">
            <v>BITS Kalyan shop no 6&amp;7</v>
          </cell>
          <cell r="F133" t="str">
            <v>10. Launched</v>
          </cell>
          <cell r="G133" t="str">
            <v>SEVEBK13813</v>
          </cell>
          <cell r="H133" t="str">
            <v xml:space="preserve">MU-SM-GMU-811      </v>
          </cell>
          <cell r="I133" t="str">
            <v>TBLG</v>
          </cell>
          <cell r="J133" t="str">
            <v>QHMT</v>
          </cell>
          <cell r="K133" t="str">
            <v>W</v>
          </cell>
          <cell r="L133" t="str">
            <v>BK</v>
          </cell>
          <cell r="N133" t="str">
            <v>Anand Patade</v>
          </cell>
          <cell r="O133" t="str">
            <v>Sh Nitin Dawange</v>
          </cell>
          <cell r="P133" t="str">
            <v>Rajesh Nikalaje</v>
          </cell>
          <cell r="Q133" t="str">
            <v>Arju Tiwari</v>
          </cell>
          <cell r="R133" t="str">
            <v>Kiran Patil</v>
          </cell>
          <cell r="S133" t="str">
            <v>Maharashtra</v>
          </cell>
          <cell r="T133" t="str">
            <v>Mumbai</v>
          </cell>
          <cell r="U133" t="str">
            <v>Premium</v>
          </cell>
          <cell r="V133" t="str">
            <v>Misc Formats</v>
          </cell>
          <cell r="W133">
            <v>675</v>
          </cell>
          <cell r="X133" t="str">
            <v>BITS Kalyan shop no 6&amp;7</v>
          </cell>
          <cell r="Y133">
            <v>46045</v>
          </cell>
          <cell r="Z133" t="str">
            <v>03-03-2026</v>
          </cell>
          <cell r="AB133">
            <v>45812</v>
          </cell>
          <cell r="AC133">
            <v>45814</v>
          </cell>
          <cell r="AD133">
            <v>45821</v>
          </cell>
          <cell r="AE133">
            <v>45821</v>
          </cell>
          <cell r="AF133" t="str">
            <v>Done</v>
          </cell>
          <cell r="AG133">
            <v>4</v>
          </cell>
          <cell r="AH133" t="str">
            <v>_</v>
          </cell>
          <cell r="AJ133">
            <v>2</v>
          </cell>
          <cell r="AK133">
            <v>45873</v>
          </cell>
          <cell r="AL133" t="str">
            <v>Received</v>
          </cell>
          <cell r="AM133">
            <v>47</v>
          </cell>
          <cell r="AN133" t="str">
            <v>_</v>
          </cell>
          <cell r="AO133">
            <v>45876</v>
          </cell>
          <cell r="AQ133">
            <v>3</v>
          </cell>
          <cell r="AR133">
            <v>45886</v>
          </cell>
          <cell r="AS133">
            <v>10</v>
          </cell>
          <cell r="AT133" t="str">
            <v>C&amp;I BOQ Received on 31-07-2025</v>
          </cell>
          <cell r="AU133">
            <v>45877</v>
          </cell>
          <cell r="AV133">
            <v>45847</v>
          </cell>
          <cell r="AW133">
            <v>1</v>
          </cell>
          <cell r="AX133">
            <v>45854</v>
          </cell>
          <cell r="AY133">
            <v>-23</v>
          </cell>
          <cell r="AZ133" t="str">
            <v>Received
ODU support received on 22-07-2025
Loft Drawing received on 24-07-2025</v>
          </cell>
          <cell r="BA133">
            <v>45878</v>
          </cell>
          <cell r="BB133">
            <v>45857</v>
          </cell>
          <cell r="BC133">
            <v>0</v>
          </cell>
          <cell r="BF133" t="str">
            <v>Plumbing GFC received on R0-09-07-2025 / R1-22-07-2025</v>
          </cell>
          <cell r="BG133">
            <v>45878</v>
          </cell>
          <cell r="BH133">
            <v>45859</v>
          </cell>
          <cell r="BI133">
            <v>0</v>
          </cell>
          <cell r="BJ133">
            <v>45859</v>
          </cell>
          <cell r="BK133">
            <v>-19</v>
          </cell>
          <cell r="BL133" t="str">
            <v>Received</v>
          </cell>
          <cell r="BM133">
            <v>45876</v>
          </cell>
          <cell r="BN133" t="str">
            <v>R0-02-07-2025
R1-15-07-2025</v>
          </cell>
          <cell r="BO133" t="str">
            <v>Received</v>
          </cell>
          <cell r="BP133">
            <v>45876</v>
          </cell>
          <cell r="BR133" t="str">
            <v>Received</v>
          </cell>
          <cell r="BS133">
            <v>45875</v>
          </cell>
          <cell r="BU133" t="str">
            <v>IT/C&amp;I /SLP/HVAC/Structure/Electrical/Plumbing Received
Plumbing GFC query resolved on 07-07-2025
Electrical DB location issue pending with Business - Revised ML Received on 14-07-2025</v>
          </cell>
          <cell r="BV133" t="str">
            <v>Done</v>
          </cell>
          <cell r="BW133" t="str">
            <v>29-07-2025</v>
          </cell>
          <cell r="BX133">
            <v>45901</v>
          </cell>
          <cell r="BY133" t="str">
            <v>Done</v>
          </cell>
          <cell r="CB133">
            <v>46069</v>
          </cell>
          <cell r="CD133">
            <v>46030</v>
          </cell>
          <cell r="CE133">
            <v>46073</v>
          </cell>
          <cell r="CF133" t="str">
            <v>M/S Sitara</v>
          </cell>
          <cell r="CG133" t="str">
            <v>M/S Sitara</v>
          </cell>
          <cell r="CH133" t="str">
            <v>M/S Aditya Airconditioning</v>
          </cell>
          <cell r="CJ133">
            <v>46073</v>
          </cell>
          <cell r="CK133">
            <v>46073</v>
          </cell>
          <cell r="CL133">
            <v>46088</v>
          </cell>
          <cell r="CN133">
            <v>46094</v>
          </cell>
          <cell r="CP133">
            <v>46087</v>
          </cell>
          <cell r="CQ133">
            <v>46094</v>
          </cell>
          <cell r="CS133">
            <v>46093</v>
          </cell>
          <cell r="CX133">
            <v>46079</v>
          </cell>
          <cell r="CY133">
            <v>46079</v>
          </cell>
          <cell r="CZ133">
            <v>46088</v>
          </cell>
          <cell r="DA133" t="str">
            <v>R1 BOQ pending from contracts for PR</v>
          </cell>
          <cell r="DB133" t="str">
            <v>R1 Pending from Zone</v>
          </cell>
          <cell r="DC133" t="str">
            <v>R1 BOQ pending from contracts for PR</v>
          </cell>
          <cell r="DD133">
            <v>46069</v>
          </cell>
          <cell r="DE133">
            <v>93</v>
          </cell>
          <cell r="DF133">
            <v>46176</v>
          </cell>
          <cell r="DG133" t="str">
            <v>10. Launched</v>
          </cell>
          <cell r="DK133">
            <v>46083</v>
          </cell>
          <cell r="DL133">
            <v>46055</v>
          </cell>
          <cell r="DP133">
            <v>46086</v>
          </cell>
          <cell r="DQ133">
            <v>46083</v>
          </cell>
          <cell r="DR133">
            <v>35</v>
          </cell>
          <cell r="DS133">
            <v>45</v>
          </cell>
          <cell r="DU133">
            <v>46118</v>
          </cell>
          <cell r="DV133">
            <v>46128</v>
          </cell>
          <cell r="DW133">
            <v>46118</v>
          </cell>
          <cell r="DY133">
            <v>46121</v>
          </cell>
          <cell r="DZ133">
            <v>46121</v>
          </cell>
          <cell r="ED133" t="str">
            <v/>
          </cell>
          <cell r="EE133" t="str">
            <v/>
          </cell>
          <cell r="EF133">
            <v>1</v>
          </cell>
          <cell r="EG133">
            <v>1</v>
          </cell>
          <cell r="EJ133">
            <v>46090</v>
          </cell>
          <cell r="EM133">
            <v>46097</v>
          </cell>
          <cell r="EP133">
            <v>46104</v>
          </cell>
          <cell r="ES133">
            <v>46111</v>
          </cell>
          <cell r="EV133">
            <v>46118</v>
          </cell>
          <cell r="FD133">
            <v>3</v>
          </cell>
          <cell r="FE133" t="str">
            <v>0 to 3 Days</v>
          </cell>
          <cell r="FF133">
            <v>0</v>
          </cell>
          <cell r="FG133" t="str">
            <v>On Time</v>
          </cell>
          <cell r="FH133" t="str">
            <v>Done</v>
          </cell>
          <cell r="FI133">
            <v>46130</v>
          </cell>
          <cell r="FJ133">
            <v>46147</v>
          </cell>
          <cell r="FK133">
            <v>46147</v>
          </cell>
          <cell r="FM133" t="str">
            <v/>
          </cell>
          <cell r="FZ133" t="str">
            <v xml:space="preserve">1) RFC visit done on 19 Feb 26
2) RFC Date 2 March 26
3) Security deployed on  3 Mar 26
4) EPC Vendor Work Started on 2 Mar 26
5) Wall demolition work started on 8 Mar 26 and completed on 9 Mar 26
6) Electrical work started on 5 Mar 26
7) Structural material received on 15 Mar 26
8) HVAC work started on 14 Mar 26
9) Structural fabrication work started on 18 Mar 26 &amp; completed on 29 Mar.
10) Fixture dispatch callout given on 28 Mar
</v>
          </cell>
          <cell r="GG133" t="str">
            <v>2026-2027</v>
          </cell>
        </row>
        <row r="134">
          <cell r="E134" t="str">
            <v>Kiosk-Pancheel Tech Park 1 -Yerwada, Pune</v>
          </cell>
          <cell r="F134" t="str">
            <v>14. Dropped</v>
          </cell>
          <cell r="G134" t="str">
            <v>SEVEBK12857</v>
          </cell>
          <cell r="H134" t="str">
            <v>_</v>
          </cell>
          <cell r="I134" t="str">
            <v>_</v>
          </cell>
          <cell r="K134" t="str">
            <v>W</v>
          </cell>
          <cell r="L134" t="str">
            <v>BK</v>
          </cell>
          <cell r="N134" t="str">
            <v>Jaisingh Desai</v>
          </cell>
          <cell r="O134" t="str">
            <v>Ashish M</v>
          </cell>
          <cell r="Q134" t="str">
            <v>Arju Tiwari</v>
          </cell>
          <cell r="R134" t="str">
            <v>Kiran Patil</v>
          </cell>
          <cell r="S134" t="str">
            <v>Maharashtra</v>
          </cell>
          <cell r="T134" t="str">
            <v>Pune</v>
          </cell>
          <cell r="U134" t="str">
            <v>Premium</v>
          </cell>
          <cell r="V134" t="str">
            <v>Misc Formats</v>
          </cell>
          <cell r="X134" t="str">
            <v>Pancheel Tech Park 1 -Yerwada, Pune</v>
          </cell>
          <cell r="Z134" t="str">
            <v>_</v>
          </cell>
          <cell r="AB134">
            <v>45558</v>
          </cell>
          <cell r="AF134" t="str">
            <v>Pending</v>
          </cell>
          <cell r="AG134">
            <v>614</v>
          </cell>
          <cell r="AH134" t="str">
            <v>_</v>
          </cell>
          <cell r="DG134" t="str">
            <v>14. Dropped</v>
          </cell>
          <cell r="DX134" t="str">
            <v/>
          </cell>
          <cell r="EA134" t="str">
            <v/>
          </cell>
          <cell r="ED134" t="str">
            <v/>
          </cell>
          <cell r="EE134" t="str">
            <v/>
          </cell>
          <cell r="FM134" t="str">
            <v/>
          </cell>
          <cell r="GG134" t="str">
            <v>2025-2026</v>
          </cell>
        </row>
        <row r="135">
          <cell r="E135" t="str">
            <v>Kiosk-Avanche 1, Hinjewadi</v>
          </cell>
          <cell r="F135" t="str">
            <v>7. YTS</v>
          </cell>
          <cell r="G135" t="str">
            <v>SEVEBK12858</v>
          </cell>
          <cell r="H135" t="str">
            <v>MH-SM-PUN-1022</v>
          </cell>
          <cell r="I135" t="str">
            <v>TCGA</v>
          </cell>
          <cell r="J135" t="str">
            <v>QIKL</v>
          </cell>
          <cell r="K135" t="str">
            <v>W</v>
          </cell>
          <cell r="L135" t="str">
            <v>BK</v>
          </cell>
          <cell r="N135" t="str">
            <v>Sh Jaisingh Desai</v>
          </cell>
          <cell r="O135" t="str">
            <v>Sh Ashish M</v>
          </cell>
          <cell r="P135" t="str">
            <v>Nishant Narsapur</v>
          </cell>
          <cell r="Q135" t="str">
            <v>Arju Tiwari</v>
          </cell>
          <cell r="R135" t="str">
            <v>Kiran Patil</v>
          </cell>
          <cell r="S135" t="str">
            <v>Maharashtra</v>
          </cell>
          <cell r="T135" t="str">
            <v>Pune</v>
          </cell>
          <cell r="U135" t="str">
            <v>Premium</v>
          </cell>
          <cell r="V135" t="str">
            <v>Misc Formats</v>
          </cell>
          <cell r="W135">
            <v>160</v>
          </cell>
          <cell r="X135" t="str">
            <v>Avanche 1, Hinjewadi, Pune</v>
          </cell>
          <cell r="Y135">
            <v>46135</v>
          </cell>
          <cell r="Z135" t="str">
            <v>_</v>
          </cell>
          <cell r="AA135">
            <v>46135</v>
          </cell>
          <cell r="AB135">
            <v>45558</v>
          </cell>
          <cell r="AC135">
            <v>45561</v>
          </cell>
          <cell r="AD135">
            <v>45566</v>
          </cell>
          <cell r="AE135">
            <v>45566</v>
          </cell>
          <cell r="AF135" t="str">
            <v>SDR DONE</v>
          </cell>
          <cell r="AG135">
            <v>3</v>
          </cell>
          <cell r="AH135" t="str">
            <v>_</v>
          </cell>
          <cell r="AJ135">
            <v>5</v>
          </cell>
          <cell r="AK135">
            <v>45964</v>
          </cell>
          <cell r="AL135" t="str">
            <v>Received</v>
          </cell>
          <cell r="AM135">
            <v>393</v>
          </cell>
          <cell r="AN135" t="str">
            <v>_</v>
          </cell>
          <cell r="AO135">
            <v>45967</v>
          </cell>
          <cell r="AP135">
            <v>45630</v>
          </cell>
          <cell r="AQ135">
            <v>0</v>
          </cell>
          <cell r="AR135">
            <v>45827</v>
          </cell>
          <cell r="AS135">
            <v>-140</v>
          </cell>
          <cell r="AT135" t="str">
            <v>Received</v>
          </cell>
          <cell r="AU135">
            <v>45968</v>
          </cell>
          <cell r="AV135">
            <v>45652</v>
          </cell>
          <cell r="AW135">
            <v>0</v>
          </cell>
          <cell r="AX135">
            <v>45652</v>
          </cell>
          <cell r="AY135">
            <v>-316</v>
          </cell>
          <cell r="AZ135" t="str">
            <v>_</v>
          </cell>
          <cell r="BA135">
            <v>45969</v>
          </cell>
          <cell r="BB135">
            <v>45636</v>
          </cell>
          <cell r="BC135">
            <v>0</v>
          </cell>
          <cell r="BD135">
            <v>45636</v>
          </cell>
          <cell r="BE135">
            <v>-333</v>
          </cell>
          <cell r="BF135" t="str">
            <v>Plumbing GFC Received on 16-12-2024</v>
          </cell>
          <cell r="BG135">
            <v>45969</v>
          </cell>
          <cell r="BI135">
            <v>0</v>
          </cell>
          <cell r="BJ135">
            <v>46093</v>
          </cell>
          <cell r="BK135">
            <v>124</v>
          </cell>
          <cell r="BL135" t="str">
            <v>Received</v>
          </cell>
          <cell r="BM135">
            <v>45967</v>
          </cell>
          <cell r="BN135" t="str">
            <v>NA</v>
          </cell>
          <cell r="BO135" t="str">
            <v>NA</v>
          </cell>
          <cell r="BP135">
            <v>45967</v>
          </cell>
          <cell r="BR135" t="str">
            <v>Received</v>
          </cell>
          <cell r="BS135">
            <v>45966</v>
          </cell>
          <cell r="BU135" t="str">
            <v>Done</v>
          </cell>
          <cell r="BV135" t="str">
            <v>Done</v>
          </cell>
          <cell r="BW135" t="str">
            <v>08-01-2025</v>
          </cell>
          <cell r="BX135">
            <v>45882</v>
          </cell>
          <cell r="BY135" t="str">
            <v>Done</v>
          </cell>
          <cell r="CB135">
            <v>46134</v>
          </cell>
          <cell r="CD135">
            <v>45663</v>
          </cell>
          <cell r="CE135">
            <v>46142</v>
          </cell>
          <cell r="CF135" t="str">
            <v xml:space="preserve">M/s Mudra Associates </v>
          </cell>
          <cell r="CG135" t="str">
            <v xml:space="preserve">M/s Mudra Associates </v>
          </cell>
          <cell r="CH135" t="str">
            <v>NA</v>
          </cell>
          <cell r="CJ135">
            <v>46142</v>
          </cell>
          <cell r="CK135">
            <v>46142</v>
          </cell>
          <cell r="DD135">
            <v>46134</v>
          </cell>
          <cell r="DE135">
            <v>60</v>
          </cell>
          <cell r="DF135">
            <v>46208</v>
          </cell>
          <cell r="DG135" t="str">
            <v>7. YTS</v>
          </cell>
          <cell r="DK135">
            <v>46148</v>
          </cell>
          <cell r="DL135">
            <v>46136</v>
          </cell>
          <cell r="DR135">
            <v>15</v>
          </cell>
          <cell r="DS135">
            <v>21</v>
          </cell>
          <cell r="DX135" t="str">
            <v/>
          </cell>
          <cell r="EA135" t="str">
            <v/>
          </cell>
          <cell r="ED135" t="str">
            <v/>
          </cell>
          <cell r="EE135" t="str">
            <v/>
          </cell>
          <cell r="EJ135">
            <v>7</v>
          </cell>
          <cell r="EM135">
            <v>14</v>
          </cell>
          <cell r="EP135">
            <v>21</v>
          </cell>
          <cell r="ES135">
            <v>28</v>
          </cell>
          <cell r="EV135">
            <v>35</v>
          </cell>
          <cell r="FF135">
            <v>46162</v>
          </cell>
          <cell r="FM135" t="str">
            <v/>
          </cell>
          <cell r="FZ135" t="str">
            <v xml:space="preserve">1) SLP deployed on 
2) Kisok dispatch call out on 
3) Kiosk delivered on 
4) Kiosk installation work start on 
5) Kiosk and fixture installation work completed on 
6) EPC Vendor work started on 
7) HOTO inspection done on 
8) HOTO sign off done on </v>
          </cell>
          <cell r="GG135" t="str">
            <v>2026-2027</v>
          </cell>
        </row>
        <row r="136">
          <cell r="E136" t="str">
            <v>Dehire-Atria Mall - Worli</v>
          </cell>
          <cell r="F136" t="str">
            <v>9. EPC Ready</v>
          </cell>
          <cell r="G136" t="str">
            <v>NA</v>
          </cell>
          <cell r="H136" t="str">
            <v>MU-SM-GMU-555-FG-711</v>
          </cell>
          <cell r="I136" t="str">
            <v>T1AQ</v>
          </cell>
          <cell r="J136" t="str">
            <v>NA</v>
          </cell>
          <cell r="K136" t="str">
            <v>W</v>
          </cell>
          <cell r="L136" t="str">
            <v>KC</v>
          </cell>
          <cell r="N136" t="str">
            <v>Sangram Shinde</v>
          </cell>
          <cell r="O136" t="str">
            <v>Sangram Shinde</v>
          </cell>
          <cell r="P136" t="str">
            <v>Dindayal Maurya</v>
          </cell>
          <cell r="Q136" t="str">
            <v>Arju Tiwari</v>
          </cell>
          <cell r="R136" t="str">
            <v>Kiran Patil</v>
          </cell>
          <cell r="S136" t="str">
            <v>Maharashtra</v>
          </cell>
          <cell r="T136" t="str">
            <v>Mumbai</v>
          </cell>
          <cell r="U136" t="str">
            <v>Premium</v>
          </cell>
          <cell r="V136" t="str">
            <v>Misc Formats</v>
          </cell>
          <cell r="W136">
            <v>405</v>
          </cell>
          <cell r="X136" t="str">
            <v>Dr. Annie Beasant Road, Next to Royal Garden, Worli, Mumbai, Maharashtra 400018</v>
          </cell>
          <cell r="Y136">
            <v>45610</v>
          </cell>
          <cell r="Z136" t="str">
            <v>NA</v>
          </cell>
          <cell r="AB136" t="str">
            <v>NA</v>
          </cell>
          <cell r="AF136" t="str">
            <v>NA</v>
          </cell>
          <cell r="AG136" t="str">
            <v>NA</v>
          </cell>
          <cell r="AH136" t="str">
            <v>NA</v>
          </cell>
          <cell r="AL136" t="str">
            <v>NA</v>
          </cell>
          <cell r="AN136" t="str">
            <v>NA</v>
          </cell>
          <cell r="AS136" t="str">
            <v>NA</v>
          </cell>
          <cell r="AT136" t="str">
            <v>NA</v>
          </cell>
          <cell r="AV136" t="str">
            <v>NA</v>
          </cell>
          <cell r="AW136" t="str">
            <v>NA</v>
          </cell>
          <cell r="AX136" t="str">
            <v>NA</v>
          </cell>
          <cell r="AZ136" t="str">
            <v>NA</v>
          </cell>
          <cell r="BF136" t="str">
            <v>NA</v>
          </cell>
          <cell r="BJ136" t="str">
            <v>NA</v>
          </cell>
          <cell r="BL136" t="str">
            <v>NA</v>
          </cell>
          <cell r="BN136" t="str">
            <v>NA</v>
          </cell>
          <cell r="BO136" t="str">
            <v>NA</v>
          </cell>
          <cell r="BR136" t="str">
            <v>NA</v>
          </cell>
          <cell r="BS136" t="str">
            <v>NA</v>
          </cell>
          <cell r="BU136" t="str">
            <v>1)Warehouse confirmation received from Business on 04-11-2024
2)Scope of Document Received on 07-10-2024
3) Agreement Copy received on 21-10-2024</v>
          </cell>
          <cell r="BV136" t="str">
            <v>Done</v>
          </cell>
          <cell r="BW136" t="str">
            <v>06-11-2024</v>
          </cell>
          <cell r="BX136">
            <v>45609</v>
          </cell>
          <cell r="BY136" t="str">
            <v>Done</v>
          </cell>
          <cell r="CD136">
            <v>45609</v>
          </cell>
          <cell r="CE136">
            <v>45612</v>
          </cell>
          <cell r="CF136" t="str">
            <v xml:space="preserve">Esquir Interior </v>
          </cell>
          <cell r="CG136" t="str">
            <v xml:space="preserve">Esquir Interior </v>
          </cell>
          <cell r="CH136" t="str">
            <v xml:space="preserve">Esquir Interior </v>
          </cell>
          <cell r="CJ136">
            <v>45612</v>
          </cell>
          <cell r="CK136">
            <v>45612</v>
          </cell>
          <cell r="CL136">
            <v>45612</v>
          </cell>
          <cell r="CN136" t="str">
            <v>NA</v>
          </cell>
          <cell r="CO136" t="str">
            <v>NA</v>
          </cell>
          <cell r="CP136" t="str">
            <v>NA</v>
          </cell>
          <cell r="CR136" t="str">
            <v>NA</v>
          </cell>
          <cell r="CU136" t="str">
            <v>NA</v>
          </cell>
          <cell r="CW136" t="str">
            <v>NA</v>
          </cell>
          <cell r="DA136" t="str">
            <v>WO Done</v>
          </cell>
          <cell r="DB136" t="str">
            <v>WO Done</v>
          </cell>
          <cell r="DC136" t="str">
            <v>WO Done</v>
          </cell>
          <cell r="DG136" t="str">
            <v>9. EPC Ready</v>
          </cell>
          <cell r="DP136">
            <v>45614</v>
          </cell>
          <cell r="DQ136">
            <v>45614</v>
          </cell>
          <cell r="DR136">
            <v>15</v>
          </cell>
          <cell r="DS136">
            <v>25</v>
          </cell>
          <cell r="DU136">
            <v>45629</v>
          </cell>
          <cell r="DV136">
            <v>45639</v>
          </cell>
          <cell r="DW136">
            <v>45629</v>
          </cell>
          <cell r="DX136" t="str">
            <v>Dec 24 Week 1</v>
          </cell>
          <cell r="DY136">
            <v>45629</v>
          </cell>
          <cell r="DZ136">
            <v>45626</v>
          </cell>
          <cell r="EA136" t="str">
            <v>Nov 24 Week 5</v>
          </cell>
          <cell r="EB136" t="str">
            <v>Plan</v>
          </cell>
          <cell r="ED136" t="str">
            <v/>
          </cell>
          <cell r="EE136" t="str">
            <v/>
          </cell>
          <cell r="EF136">
            <v>1</v>
          </cell>
          <cell r="EG136">
            <v>1</v>
          </cell>
          <cell r="EJ136">
            <v>45621</v>
          </cell>
          <cell r="EM136">
            <v>45628</v>
          </cell>
          <cell r="EP136">
            <v>45635</v>
          </cell>
          <cell r="ES136">
            <v>45642</v>
          </cell>
          <cell r="EV136">
            <v>45649</v>
          </cell>
          <cell r="FD136">
            <v>-3</v>
          </cell>
          <cell r="FE136" t="str">
            <v>On Time</v>
          </cell>
          <cell r="FF136">
            <v>-3</v>
          </cell>
          <cell r="FG136" t="str">
            <v>On Time</v>
          </cell>
          <cell r="FH136" t="str">
            <v>Done</v>
          </cell>
          <cell r="FI136" t="str">
            <v>Done</v>
          </cell>
          <cell r="FJ136" t="str">
            <v>NA</v>
          </cell>
          <cell r="FK136">
            <v>45637</v>
          </cell>
          <cell r="FM136" t="str">
            <v/>
          </cell>
          <cell r="GG136" t="str">
            <v>2024-2025</v>
          </cell>
        </row>
        <row r="137">
          <cell r="E137" t="str">
            <v>Dehire-Satra Plaza</v>
          </cell>
          <cell r="F137" t="str">
            <v>9. EPC Ready</v>
          </cell>
          <cell r="G137" t="str">
            <v>NA</v>
          </cell>
          <cell r="H137" t="str">
            <v>_</v>
          </cell>
          <cell r="I137" t="str">
            <v>TABA</v>
          </cell>
          <cell r="J137" t="str">
            <v>NA</v>
          </cell>
          <cell r="K137" t="str">
            <v>W</v>
          </cell>
          <cell r="L137" t="str">
            <v>KC</v>
          </cell>
          <cell r="N137" t="str">
            <v>Sangram Shinde</v>
          </cell>
          <cell r="O137" t="str">
            <v>Sangram Shinde</v>
          </cell>
          <cell r="P137" t="str">
            <v>Prashant Kumar</v>
          </cell>
          <cell r="Q137" t="str">
            <v>Arju Tiwari</v>
          </cell>
          <cell r="R137" t="str">
            <v>Kiran Patil</v>
          </cell>
          <cell r="S137" t="str">
            <v>Maharashtra</v>
          </cell>
          <cell r="T137" t="str">
            <v>Navi Mumbai</v>
          </cell>
          <cell r="U137" t="str">
            <v>Premium</v>
          </cell>
          <cell r="V137" t="str">
            <v>Misc Formats</v>
          </cell>
          <cell r="W137">
            <v>1900</v>
          </cell>
          <cell r="X137" t="str">
            <v>  Shop 9, Satra Plaza, Palm Beach Road, Vashi</v>
          </cell>
          <cell r="Y137">
            <v>45610</v>
          </cell>
          <cell r="Z137" t="str">
            <v>NA</v>
          </cell>
          <cell r="AB137" t="str">
            <v>NA</v>
          </cell>
          <cell r="AF137" t="str">
            <v>NA</v>
          </cell>
          <cell r="AG137" t="str">
            <v>NA</v>
          </cell>
          <cell r="AH137" t="str">
            <v>NA</v>
          </cell>
          <cell r="AL137" t="str">
            <v>NA</v>
          </cell>
          <cell r="AN137" t="str">
            <v>NA</v>
          </cell>
          <cell r="AS137" t="str">
            <v>NA</v>
          </cell>
          <cell r="AT137" t="str">
            <v>NA</v>
          </cell>
          <cell r="AV137" t="str">
            <v>NA</v>
          </cell>
          <cell r="AW137" t="str">
            <v>NA</v>
          </cell>
          <cell r="AX137" t="str">
            <v>NA</v>
          </cell>
          <cell r="AZ137" t="str">
            <v>NA</v>
          </cell>
          <cell r="BF137" t="str">
            <v>NA</v>
          </cell>
          <cell r="BJ137" t="str">
            <v>NA</v>
          </cell>
          <cell r="BL137" t="str">
            <v>NA</v>
          </cell>
          <cell r="BN137" t="str">
            <v>NA</v>
          </cell>
          <cell r="BO137" t="str">
            <v>NA</v>
          </cell>
          <cell r="BR137" t="str">
            <v>NA</v>
          </cell>
          <cell r="BS137" t="str">
            <v>NA</v>
          </cell>
          <cell r="BU137" t="str">
            <v>1)Warehouse confirmation received from Business on 04-11-2024
2)Scope of Document Received on 06-11-2024
3) Agreement Copy received on 21-10-2024</v>
          </cell>
          <cell r="BV137" t="str">
            <v>Done</v>
          </cell>
          <cell r="BW137" t="str">
            <v>11-11-2024</v>
          </cell>
          <cell r="BX137">
            <v>45609</v>
          </cell>
          <cell r="BY137" t="str">
            <v>Done</v>
          </cell>
          <cell r="CD137">
            <v>45609</v>
          </cell>
          <cell r="CE137">
            <v>45615</v>
          </cell>
          <cell r="CF137" t="str">
            <v>VINAYAK FURNITURES</v>
          </cell>
          <cell r="CG137" t="str">
            <v>VINAYAK FURNITURES</v>
          </cell>
          <cell r="CH137" t="str">
            <v>VINAYAK FURNITURES</v>
          </cell>
          <cell r="CJ137">
            <v>45615</v>
          </cell>
          <cell r="CK137">
            <v>45615</v>
          </cell>
          <cell r="CL137">
            <v>45615</v>
          </cell>
          <cell r="CN137" t="str">
            <v>NA</v>
          </cell>
          <cell r="CO137" t="str">
            <v>NA</v>
          </cell>
          <cell r="CP137" t="str">
            <v>NA</v>
          </cell>
          <cell r="CR137" t="str">
            <v>NA</v>
          </cell>
          <cell r="CU137" t="str">
            <v>NA</v>
          </cell>
          <cell r="CW137" t="str">
            <v>NA</v>
          </cell>
          <cell r="DA137" t="str">
            <v>WO Done</v>
          </cell>
          <cell r="DB137" t="str">
            <v>WO Done</v>
          </cell>
          <cell r="DC137" t="str">
            <v>WO Done</v>
          </cell>
          <cell r="DG137" t="str">
            <v>9. EPC Ready</v>
          </cell>
          <cell r="DO137" t="str">
            <v xml:space="preserve"> Merchandise not removed till 22-11-2024
Final lot of Merchandise removed on 28-11-2024</v>
          </cell>
          <cell r="DP137">
            <v>45619</v>
          </cell>
          <cell r="DQ137">
            <v>45619</v>
          </cell>
          <cell r="DR137">
            <v>15</v>
          </cell>
          <cell r="DS137">
            <v>25</v>
          </cell>
          <cell r="DU137">
            <v>45634</v>
          </cell>
          <cell r="DV137">
            <v>45644</v>
          </cell>
          <cell r="DW137">
            <v>45634</v>
          </cell>
          <cell r="DX137" t="str">
            <v>Dec 24 Week 2</v>
          </cell>
          <cell r="DY137">
            <v>45639</v>
          </cell>
          <cell r="DZ137">
            <v>45640</v>
          </cell>
          <cell r="EA137" t="str">
            <v>Dec 24 Week 2</v>
          </cell>
          <cell r="EB137" t="str">
            <v>Plan</v>
          </cell>
          <cell r="ED137" t="str">
            <v/>
          </cell>
          <cell r="EE137" t="str">
            <v/>
          </cell>
          <cell r="EF137">
            <v>1</v>
          </cell>
          <cell r="EG137">
            <v>1</v>
          </cell>
          <cell r="EJ137">
            <v>45626</v>
          </cell>
          <cell r="EM137">
            <v>45633</v>
          </cell>
          <cell r="EP137">
            <v>45640</v>
          </cell>
          <cell r="ES137">
            <v>45647</v>
          </cell>
          <cell r="EV137">
            <v>45654</v>
          </cell>
          <cell r="FD137">
            <v>6</v>
          </cell>
          <cell r="FE137" t="str">
            <v>4 to 7 Days</v>
          </cell>
          <cell r="FF137">
            <v>6</v>
          </cell>
          <cell r="FG137" t="str">
            <v>4 to 7 Days</v>
          </cell>
          <cell r="FH137" t="str">
            <v>Done</v>
          </cell>
          <cell r="FI137" t="str">
            <v>Done</v>
          </cell>
          <cell r="FJ137" t="str">
            <v>NA</v>
          </cell>
          <cell r="FK137">
            <v>45643</v>
          </cell>
          <cell r="FM137" t="str">
            <v/>
          </cell>
          <cell r="FZ137" t="str">
            <v>Fixture removed by procurement on 03-12-2024</v>
          </cell>
          <cell r="GG137" t="str">
            <v>2024-2025</v>
          </cell>
        </row>
        <row r="138">
          <cell r="E138" t="str">
            <v>Dehire-Samarpan</v>
          </cell>
          <cell r="F138" t="str">
            <v>9. EPC Ready</v>
          </cell>
          <cell r="G138" t="str">
            <v>NA</v>
          </cell>
          <cell r="H138" t="str">
            <v>_</v>
          </cell>
          <cell r="I138" t="str">
            <v>T1CY</v>
          </cell>
          <cell r="J138" t="str">
            <v>NA</v>
          </cell>
          <cell r="K138" t="str">
            <v>W</v>
          </cell>
          <cell r="L138" t="str">
            <v>KC</v>
          </cell>
          <cell r="N138" t="str">
            <v>Sangram Shinde</v>
          </cell>
          <cell r="O138" t="str">
            <v>Sangram Shinde</v>
          </cell>
          <cell r="P138" t="str">
            <v>Haresh Mishra</v>
          </cell>
          <cell r="Q138" t="str">
            <v>Arju Tiwari</v>
          </cell>
          <cell r="R138" t="str">
            <v>Kiran Patil</v>
          </cell>
          <cell r="S138" t="str">
            <v>Maharashtra</v>
          </cell>
          <cell r="T138" t="str">
            <v>Mumbai</v>
          </cell>
          <cell r="U138" t="str">
            <v>Premium</v>
          </cell>
          <cell r="V138" t="str">
            <v>Misc Formats</v>
          </cell>
          <cell r="W138">
            <v>1150</v>
          </cell>
          <cell r="X138" t="str">
            <v>Shop No. 8, Samarpan Building, Near Jogeshwari Station, Jogeshwari, East - Mumbai – 400060</v>
          </cell>
          <cell r="Y138">
            <v>45610</v>
          </cell>
          <cell r="Z138" t="str">
            <v>NA</v>
          </cell>
          <cell r="AB138" t="str">
            <v>NA</v>
          </cell>
          <cell r="AF138" t="str">
            <v>NA</v>
          </cell>
          <cell r="AG138" t="str">
            <v>NA</v>
          </cell>
          <cell r="AH138" t="str">
            <v>NA</v>
          </cell>
          <cell r="AL138" t="str">
            <v>NA</v>
          </cell>
          <cell r="AN138" t="str">
            <v>NA</v>
          </cell>
          <cell r="AS138" t="str">
            <v>NA</v>
          </cell>
          <cell r="AT138" t="str">
            <v>NA</v>
          </cell>
          <cell r="AV138" t="str">
            <v>NA</v>
          </cell>
          <cell r="AW138" t="str">
            <v>NA</v>
          </cell>
          <cell r="AX138" t="str">
            <v>NA</v>
          </cell>
          <cell r="AZ138" t="str">
            <v>NA</v>
          </cell>
          <cell r="BF138" t="str">
            <v>NA</v>
          </cell>
          <cell r="BJ138" t="str">
            <v>NA</v>
          </cell>
          <cell r="BL138" t="str">
            <v>NA</v>
          </cell>
          <cell r="BN138" t="str">
            <v>NA</v>
          </cell>
          <cell r="BO138" t="str">
            <v>NA</v>
          </cell>
          <cell r="BR138" t="str">
            <v>NA</v>
          </cell>
          <cell r="BS138" t="str">
            <v>NA</v>
          </cell>
          <cell r="BU138" t="str">
            <v>1)Warehouse confirmation received from Business on 04-11-2024
2)Scope of Document Received on 07-10-2024
3) Agreement Copy received on 21-10-2024</v>
          </cell>
          <cell r="BV138" t="str">
            <v>Done</v>
          </cell>
          <cell r="BW138" t="str">
            <v>11-11-2024</v>
          </cell>
          <cell r="BX138">
            <v>45609</v>
          </cell>
          <cell r="BY138" t="str">
            <v>Done</v>
          </cell>
          <cell r="CD138">
            <v>45609</v>
          </cell>
          <cell r="CE138">
            <v>45615</v>
          </cell>
          <cell r="CF138" t="str">
            <v>KRISHNA INTERIORS AND ASSOCIATES</v>
          </cell>
          <cell r="CG138" t="str">
            <v>KRISHNA INTERIORS AND ASSOCIATES</v>
          </cell>
          <cell r="CH138" t="str">
            <v>KRISHNA INTERIORS AND ASSOCIATES</v>
          </cell>
          <cell r="CJ138">
            <v>45615</v>
          </cell>
          <cell r="CK138">
            <v>45615</v>
          </cell>
          <cell r="CL138">
            <v>45615</v>
          </cell>
          <cell r="CN138" t="str">
            <v>NA</v>
          </cell>
          <cell r="CO138" t="str">
            <v>NA</v>
          </cell>
          <cell r="CP138" t="str">
            <v>NA</v>
          </cell>
          <cell r="CR138" t="str">
            <v>NA</v>
          </cell>
          <cell r="CU138" t="str">
            <v>NA</v>
          </cell>
          <cell r="CW138" t="str">
            <v>NA</v>
          </cell>
          <cell r="DA138" t="str">
            <v>WO Done</v>
          </cell>
          <cell r="DB138" t="str">
            <v>WO Done</v>
          </cell>
          <cell r="DC138" t="str">
            <v>WO Done</v>
          </cell>
          <cell r="DG138" t="str">
            <v>9. EPC Ready</v>
          </cell>
          <cell r="DP138">
            <v>45621</v>
          </cell>
          <cell r="DQ138">
            <v>45621</v>
          </cell>
          <cell r="DR138">
            <v>15</v>
          </cell>
          <cell r="DS138">
            <v>25</v>
          </cell>
          <cell r="DU138">
            <v>45636</v>
          </cell>
          <cell r="DV138">
            <v>45646</v>
          </cell>
          <cell r="DW138">
            <v>45636</v>
          </cell>
          <cell r="DX138" t="str">
            <v>Dec 24 Week 2</v>
          </cell>
          <cell r="DY138">
            <v>45636</v>
          </cell>
          <cell r="DZ138">
            <v>45637</v>
          </cell>
          <cell r="EA138" t="str">
            <v>Dec 24 Week 2</v>
          </cell>
          <cell r="EB138" t="str">
            <v>Plan</v>
          </cell>
          <cell r="ED138" t="str">
            <v/>
          </cell>
          <cell r="EE138" t="str">
            <v/>
          </cell>
          <cell r="EF138">
            <v>1</v>
          </cell>
          <cell r="EG138">
            <v>1</v>
          </cell>
          <cell r="EJ138">
            <v>45628</v>
          </cell>
          <cell r="EM138">
            <v>45635</v>
          </cell>
          <cell r="EP138">
            <v>45642</v>
          </cell>
          <cell r="ES138">
            <v>45649</v>
          </cell>
          <cell r="EV138">
            <v>45656</v>
          </cell>
          <cell r="FD138">
            <v>1</v>
          </cell>
          <cell r="FE138" t="str">
            <v>0 to 3 Days</v>
          </cell>
          <cell r="FF138">
            <v>1</v>
          </cell>
          <cell r="FG138" t="str">
            <v>0 to 3 Days</v>
          </cell>
          <cell r="FH138" t="str">
            <v>Done</v>
          </cell>
          <cell r="FI138" t="str">
            <v>Done</v>
          </cell>
          <cell r="FJ138" t="str">
            <v>NA</v>
          </cell>
          <cell r="FK138">
            <v>45642</v>
          </cell>
          <cell r="FM138" t="str">
            <v/>
          </cell>
          <cell r="FZ138" t="str">
            <v>Fixture removed by procurement on 03-12-2024</v>
          </cell>
          <cell r="GG138" t="str">
            <v>2024-2025</v>
          </cell>
        </row>
        <row r="139">
          <cell r="E139" t="str">
            <v>Dehire-Amanora Mall</v>
          </cell>
          <cell r="F139" t="str">
            <v>9. EPC Ready</v>
          </cell>
          <cell r="G139" t="str">
            <v>NA</v>
          </cell>
          <cell r="H139" t="str">
            <v>_</v>
          </cell>
          <cell r="I139" t="str">
            <v>T52W</v>
          </cell>
          <cell r="J139" t="str">
            <v>NA</v>
          </cell>
          <cell r="K139" t="str">
            <v>W</v>
          </cell>
          <cell r="L139" t="str">
            <v>KC</v>
          </cell>
          <cell r="N139" t="str">
            <v>Sangram Shinde</v>
          </cell>
          <cell r="O139" t="str">
            <v>Sangram Shinde</v>
          </cell>
          <cell r="P139" t="str">
            <v>Prashant Wankhede</v>
          </cell>
          <cell r="Q139" t="str">
            <v>Arju Tiwari</v>
          </cell>
          <cell r="R139" t="str">
            <v>Kiran Patil</v>
          </cell>
          <cell r="S139" t="str">
            <v>Maharashtra</v>
          </cell>
          <cell r="T139" t="str">
            <v>Pune</v>
          </cell>
          <cell r="U139" t="str">
            <v>Premium</v>
          </cell>
          <cell r="V139" t="str">
            <v>Misc Formats</v>
          </cell>
          <cell r="W139">
            <v>612</v>
          </cell>
          <cell r="X139" t="str">
            <v>Smart Bazaar, Amanora Park, Pune</v>
          </cell>
          <cell r="Y139">
            <v>45610</v>
          </cell>
          <cell r="Z139" t="str">
            <v>NA</v>
          </cell>
          <cell r="AB139" t="str">
            <v>NA</v>
          </cell>
          <cell r="AF139" t="str">
            <v>NA</v>
          </cell>
          <cell r="AG139" t="str">
            <v>NA</v>
          </cell>
          <cell r="AH139" t="str">
            <v>NA</v>
          </cell>
          <cell r="AL139" t="str">
            <v>NA</v>
          </cell>
          <cell r="AN139" t="str">
            <v>NA</v>
          </cell>
          <cell r="AS139" t="str">
            <v>NA</v>
          </cell>
          <cell r="AT139" t="str">
            <v>NA</v>
          </cell>
          <cell r="AV139" t="str">
            <v>NA</v>
          </cell>
          <cell r="AW139" t="str">
            <v>NA</v>
          </cell>
          <cell r="AX139" t="str">
            <v>NA</v>
          </cell>
          <cell r="AZ139" t="str">
            <v>NA</v>
          </cell>
          <cell r="BF139" t="str">
            <v>NA</v>
          </cell>
          <cell r="BJ139" t="str">
            <v>NA</v>
          </cell>
          <cell r="BL139" t="str">
            <v>NA</v>
          </cell>
          <cell r="BN139" t="str">
            <v>NA</v>
          </cell>
          <cell r="BO139" t="str">
            <v>NA</v>
          </cell>
          <cell r="BR139" t="str">
            <v>NA</v>
          </cell>
          <cell r="BS139" t="str">
            <v>NA</v>
          </cell>
          <cell r="BU139" t="str">
            <v>1)Warehouse confirmation received from Business on 04-11-2024
2) Agreement Copy received on 22-10-2024</v>
          </cell>
          <cell r="BV139" t="str">
            <v>Done</v>
          </cell>
          <cell r="BW139" t="str">
            <v>06-11-2024</v>
          </cell>
          <cell r="BX139">
            <v>45609</v>
          </cell>
          <cell r="BY139" t="str">
            <v>Done</v>
          </cell>
          <cell r="BZ139" t="str">
            <v>Approved</v>
          </cell>
          <cell r="CA139" t="str">
            <v>Approved</v>
          </cell>
          <cell r="CC139" t="str">
            <v>NA</v>
          </cell>
          <cell r="CD139">
            <v>45609</v>
          </cell>
          <cell r="CE139">
            <v>45612</v>
          </cell>
          <cell r="CF139" t="str">
            <v>D k Enterprise</v>
          </cell>
          <cell r="CG139" t="str">
            <v>D k Enterprise</v>
          </cell>
          <cell r="CH139" t="str">
            <v>D k Enterprise</v>
          </cell>
          <cell r="CI139" t="str">
            <v>_</v>
          </cell>
          <cell r="CJ139">
            <v>45612</v>
          </cell>
          <cell r="CK139">
            <v>45612</v>
          </cell>
          <cell r="CL139">
            <v>45612</v>
          </cell>
          <cell r="CM139">
            <v>3</v>
          </cell>
          <cell r="CN139" t="str">
            <v>NA</v>
          </cell>
          <cell r="CO139" t="str">
            <v>NA</v>
          </cell>
          <cell r="CP139" t="str">
            <v>NA</v>
          </cell>
          <cell r="CR139" t="str">
            <v>NA</v>
          </cell>
          <cell r="CU139" t="str">
            <v>NA</v>
          </cell>
          <cell r="CW139" t="str">
            <v>NA</v>
          </cell>
          <cell r="DA139" t="str">
            <v>WO Done</v>
          </cell>
          <cell r="DB139" t="str">
            <v>WO Done</v>
          </cell>
          <cell r="DC139" t="str">
            <v>WO Done</v>
          </cell>
          <cell r="DG139" t="str">
            <v>9. EPC Ready</v>
          </cell>
          <cell r="DH139" t="str">
            <v>_</v>
          </cell>
          <cell r="DI139" t="str">
            <v>_</v>
          </cell>
          <cell r="DJ139" t="str">
            <v>_</v>
          </cell>
          <cell r="DM139" t="str">
            <v>_</v>
          </cell>
          <cell r="DN139" t="str">
            <v>_</v>
          </cell>
          <cell r="DO139" t="str">
            <v>Fixture Dismantling Team awaited</v>
          </cell>
          <cell r="DP139">
            <v>45614</v>
          </cell>
          <cell r="DQ139">
            <v>45616</v>
          </cell>
          <cell r="DR139">
            <v>15</v>
          </cell>
          <cell r="DS139">
            <v>25</v>
          </cell>
          <cell r="DT139" t="str">
            <v>_</v>
          </cell>
          <cell r="DU139">
            <v>45631</v>
          </cell>
          <cell r="DV139">
            <v>45641</v>
          </cell>
          <cell r="DX139" t="str">
            <v>_</v>
          </cell>
          <cell r="DY139">
            <v>45651</v>
          </cell>
          <cell r="DZ139">
            <v>45659</v>
          </cell>
          <cell r="EA139" t="str">
            <v>Jan 25 Week 1</v>
          </cell>
          <cell r="EB139" t="str">
            <v>Backlog</v>
          </cell>
          <cell r="ED139" t="str">
            <v/>
          </cell>
          <cell r="EE139" t="str">
            <v/>
          </cell>
          <cell r="EF139">
            <v>1</v>
          </cell>
          <cell r="EG139">
            <v>1</v>
          </cell>
          <cell r="EJ139">
            <v>45623</v>
          </cell>
          <cell r="EM139">
            <v>45630</v>
          </cell>
          <cell r="EP139">
            <v>45637</v>
          </cell>
          <cell r="ES139">
            <v>45644</v>
          </cell>
          <cell r="EV139">
            <v>45651</v>
          </cell>
          <cell r="EY139" t="str">
            <v>_</v>
          </cell>
          <cell r="EZ139" t="str">
            <v>_</v>
          </cell>
          <cell r="FA139" t="str">
            <v>_</v>
          </cell>
          <cell r="FB139" t="str">
            <v>_</v>
          </cell>
          <cell r="FC139" t="str">
            <v>_</v>
          </cell>
          <cell r="FE139" t="str">
            <v>_</v>
          </cell>
          <cell r="FF139" t="str">
            <v>_</v>
          </cell>
          <cell r="FG139" t="str">
            <v>_</v>
          </cell>
          <cell r="FH139" t="str">
            <v>Done</v>
          </cell>
          <cell r="FI139" t="str">
            <v>Done</v>
          </cell>
          <cell r="FJ139" t="str">
            <v>NA</v>
          </cell>
          <cell r="FK139">
            <v>45663</v>
          </cell>
          <cell r="FM139" t="str">
            <v/>
          </cell>
          <cell r="FZ139" t="str">
            <v xml:space="preserve">Paint touchup -WIP </v>
          </cell>
          <cell r="GG139" t="str">
            <v>2024-2025</v>
          </cell>
        </row>
        <row r="140">
          <cell r="E140" t="str">
            <v>Kiosk-Reliable Tech Park ,Airoli</v>
          </cell>
          <cell r="F140" t="str">
            <v>14. Dropped</v>
          </cell>
          <cell r="G140" t="str">
            <v>NA</v>
          </cell>
          <cell r="H140" t="str">
            <v>_</v>
          </cell>
          <cell r="I140" t="str">
            <v>_</v>
          </cell>
          <cell r="K140" t="str">
            <v>W</v>
          </cell>
          <cell r="L140" t="str">
            <v>BK</v>
          </cell>
          <cell r="N140" t="str">
            <v>Sh Mrudang Shah</v>
          </cell>
          <cell r="O140" t="str">
            <v>Sh Nitin Dawange</v>
          </cell>
          <cell r="Q140" t="str">
            <v>Arju Tiwari</v>
          </cell>
          <cell r="R140" t="str">
            <v>Kiran Patil</v>
          </cell>
          <cell r="S140" t="str">
            <v>Maharashtra</v>
          </cell>
          <cell r="T140" t="str">
            <v>Mumbai</v>
          </cell>
          <cell r="U140" t="str">
            <v>Premium</v>
          </cell>
          <cell r="V140" t="str">
            <v>Misc Formats</v>
          </cell>
          <cell r="W140">
            <v>160</v>
          </cell>
          <cell r="X140" t="str">
            <v>Kiosk-Reliable Tech Park ,Airoli</v>
          </cell>
          <cell r="Z140" t="str">
            <v>_</v>
          </cell>
          <cell r="AB140">
            <v>45576</v>
          </cell>
          <cell r="AC140">
            <v>45580</v>
          </cell>
          <cell r="AD140">
            <v>45603</v>
          </cell>
          <cell r="AE140">
            <v>45603</v>
          </cell>
          <cell r="AF140" t="str">
            <v>SDR DONE</v>
          </cell>
          <cell r="AG140">
            <v>22</v>
          </cell>
          <cell r="AH140" t="str">
            <v>_</v>
          </cell>
          <cell r="AI140">
            <v>45673</v>
          </cell>
          <cell r="AK140">
            <v>45673</v>
          </cell>
          <cell r="AL140" t="str">
            <v>Received</v>
          </cell>
          <cell r="AM140">
            <v>65</v>
          </cell>
          <cell r="AO140">
            <v>45676</v>
          </cell>
          <cell r="AP140">
            <v>45698</v>
          </cell>
          <cell r="AR140">
            <v>45698</v>
          </cell>
          <cell r="AS140">
            <v>22</v>
          </cell>
          <cell r="AU140">
            <v>45677</v>
          </cell>
          <cell r="BA140">
            <v>45678</v>
          </cell>
          <cell r="BB140">
            <v>45693</v>
          </cell>
          <cell r="BD140">
            <v>45693</v>
          </cell>
          <cell r="BE140">
            <v>14</v>
          </cell>
          <cell r="BG140">
            <v>45678</v>
          </cell>
          <cell r="BM140">
            <v>45676</v>
          </cell>
          <cell r="BP140">
            <v>45676</v>
          </cell>
          <cell r="BQ140">
            <v>45693</v>
          </cell>
          <cell r="BR140" t="str">
            <v>Received</v>
          </cell>
          <cell r="BU140" t="str">
            <v>SLP/HVAC/C&amp;I GFC Received</v>
          </cell>
          <cell r="BV140" t="str">
            <v>Pending</v>
          </cell>
          <cell r="BY140" t="str">
            <v>Pending</v>
          </cell>
          <cell r="DG140" t="str">
            <v>14. Dropped</v>
          </cell>
          <cell r="DX140" t="str">
            <v/>
          </cell>
          <cell r="EA140" t="str">
            <v/>
          </cell>
          <cell r="ED140" t="str">
            <v/>
          </cell>
          <cell r="EE140" t="str">
            <v/>
          </cell>
          <cell r="FM140" t="str">
            <v/>
          </cell>
          <cell r="GG140" t="str">
            <v>2024-2025</v>
          </cell>
        </row>
        <row r="141">
          <cell r="E141" t="str">
            <v xml:space="preserve">Kiosk-Wakefield IT Park </v>
          </cell>
          <cell r="F141" t="str">
            <v>14. Dropped</v>
          </cell>
          <cell r="G141" t="str">
            <v>SEVEBK12989</v>
          </cell>
          <cell r="H141" t="str">
            <v>_</v>
          </cell>
          <cell r="I141" t="str">
            <v>_</v>
          </cell>
          <cell r="K141" t="str">
            <v>W</v>
          </cell>
          <cell r="L141" t="str">
            <v>BK</v>
          </cell>
          <cell r="N141" t="str">
            <v>Sh Ram</v>
          </cell>
          <cell r="O141" t="str">
            <v>Sh Ashish1M</v>
          </cell>
          <cell r="Q141" t="str">
            <v>Arju Tiwari</v>
          </cell>
          <cell r="R141" t="str">
            <v>Kiran Patil</v>
          </cell>
          <cell r="S141" t="str">
            <v>Maharashtra</v>
          </cell>
          <cell r="T141" t="str">
            <v>Pune</v>
          </cell>
          <cell r="U141" t="str">
            <v>Premium</v>
          </cell>
          <cell r="V141" t="str">
            <v>Misc Formats</v>
          </cell>
          <cell r="W141">
            <v>120</v>
          </cell>
          <cell r="X141" t="str">
            <v xml:space="preserve">Kiosk-Wakefield IT Park </v>
          </cell>
          <cell r="Z141" t="str">
            <v>_</v>
          </cell>
          <cell r="AB141">
            <v>45633</v>
          </cell>
          <cell r="AC141">
            <v>45636</v>
          </cell>
          <cell r="AD141">
            <v>45644</v>
          </cell>
          <cell r="AE141">
            <v>45645</v>
          </cell>
          <cell r="AF141" t="str">
            <v>SDR Done</v>
          </cell>
          <cell r="AG141">
            <v>6</v>
          </cell>
          <cell r="AH141" t="str">
            <v>_</v>
          </cell>
          <cell r="AI141">
            <v>45657</v>
          </cell>
          <cell r="AJ141">
            <v>0</v>
          </cell>
          <cell r="AK141">
            <v>45657</v>
          </cell>
          <cell r="AL141" t="str">
            <v>Received</v>
          </cell>
          <cell r="AM141">
            <v>8</v>
          </cell>
          <cell r="AN141" t="str">
            <v>_</v>
          </cell>
          <cell r="AO141">
            <v>45660</v>
          </cell>
          <cell r="AP141">
            <v>45663</v>
          </cell>
          <cell r="AQ141">
            <v>0</v>
          </cell>
          <cell r="AR141">
            <v>45663</v>
          </cell>
          <cell r="AS141">
            <v>3</v>
          </cell>
          <cell r="AT141" t="str">
            <v>Received</v>
          </cell>
          <cell r="AU141">
            <v>45661</v>
          </cell>
          <cell r="AV141" t="str">
            <v>NA</v>
          </cell>
          <cell r="AW141" t="str">
            <v>NA</v>
          </cell>
          <cell r="AX141" t="str">
            <v>NA</v>
          </cell>
          <cell r="AZ141" t="str">
            <v>_</v>
          </cell>
          <cell r="BA141">
            <v>45662</v>
          </cell>
          <cell r="BB141">
            <v>45672</v>
          </cell>
          <cell r="BC141">
            <v>0</v>
          </cell>
          <cell r="BD141">
            <v>45672</v>
          </cell>
          <cell r="BE141">
            <v>9</v>
          </cell>
          <cell r="BF141" t="str">
            <v>Plumbing GFC Received on 22-01-2025</v>
          </cell>
          <cell r="BG141">
            <v>45662</v>
          </cell>
          <cell r="BH141">
            <v>45671</v>
          </cell>
          <cell r="BI141">
            <v>0</v>
          </cell>
          <cell r="BJ141">
            <v>45671</v>
          </cell>
          <cell r="BK141">
            <v>8</v>
          </cell>
          <cell r="BL141" t="str">
            <v>Received</v>
          </cell>
          <cell r="BM141">
            <v>45660</v>
          </cell>
          <cell r="BN141" t="str">
            <v>NA</v>
          </cell>
          <cell r="BO141" t="str">
            <v>NA</v>
          </cell>
          <cell r="BP141">
            <v>45660</v>
          </cell>
          <cell r="BQ141">
            <v>45665</v>
          </cell>
          <cell r="BR141" t="str">
            <v>Received</v>
          </cell>
          <cell r="BS141">
            <v>45659</v>
          </cell>
          <cell r="BT141">
            <v>45694</v>
          </cell>
          <cell r="BU141" t="str">
            <v>Done</v>
          </cell>
          <cell r="BV141" t="str">
            <v>Done</v>
          </cell>
          <cell r="BW141" t="str">
            <v>07-02-2025</v>
          </cell>
          <cell r="BY141" t="str">
            <v>Pending</v>
          </cell>
          <cell r="DG141" t="str">
            <v>14. Dropped</v>
          </cell>
          <cell r="DX141" t="str">
            <v/>
          </cell>
          <cell r="EA141" t="str">
            <v/>
          </cell>
          <cell r="ED141" t="str">
            <v/>
          </cell>
          <cell r="EE141" t="str">
            <v/>
          </cell>
          <cell r="EJ141">
            <v>7</v>
          </cell>
          <cell r="EM141">
            <v>14</v>
          </cell>
          <cell r="EP141">
            <v>21</v>
          </cell>
          <cell r="ES141">
            <v>28</v>
          </cell>
          <cell r="EV141">
            <v>35</v>
          </cell>
          <cell r="FF141">
            <v>46177</v>
          </cell>
          <cell r="FM141" t="str">
            <v/>
          </cell>
          <cell r="FZ141" t="str">
            <v>Dropped Mail received from Business on 10-09-2025</v>
          </cell>
          <cell r="GG141" t="str">
            <v>2025-2026</v>
          </cell>
        </row>
        <row r="142">
          <cell r="E142" t="str">
            <v>Kiosk-Panchshil Tech park One Yerwada Pune</v>
          </cell>
          <cell r="F142" t="str">
            <v>10. Launched</v>
          </cell>
          <cell r="G142" t="str">
            <v>SEVEBK12990</v>
          </cell>
          <cell r="H142" t="str">
            <v>MH-SM-PUN-1018</v>
          </cell>
          <cell r="I142" t="str">
            <v>TL1X</v>
          </cell>
          <cell r="J142" t="str">
            <v>QY6A</v>
          </cell>
          <cell r="K142" t="str">
            <v>W</v>
          </cell>
          <cell r="L142" t="str">
            <v>BK</v>
          </cell>
          <cell r="N142" t="str">
            <v>Sh Jaisingh Desai</v>
          </cell>
          <cell r="O142" t="str">
            <v>Sh Ashish1M</v>
          </cell>
          <cell r="P142" t="str">
            <v>Sh Prajot Achler/ Sh Akshay Kshirsagar</v>
          </cell>
          <cell r="Q142" t="str">
            <v>Arju Tiwari</v>
          </cell>
          <cell r="R142" t="str">
            <v>Kiran Patil</v>
          </cell>
          <cell r="S142" t="str">
            <v>Maharashtra</v>
          </cell>
          <cell r="T142" t="str">
            <v>Pune</v>
          </cell>
          <cell r="U142" t="str">
            <v>Premium</v>
          </cell>
          <cell r="V142" t="str">
            <v>Misc Formats</v>
          </cell>
          <cell r="W142">
            <v>120</v>
          </cell>
          <cell r="X142" t="str">
            <v>Pancheel Tech Park One Tower E,S. no 191 off Airport Road Yearwada Pune - 411006</v>
          </cell>
          <cell r="Y142">
            <v>45867</v>
          </cell>
          <cell r="Z142" t="str">
            <v>08-08-2025</v>
          </cell>
          <cell r="AA142">
            <v>45869</v>
          </cell>
          <cell r="AB142">
            <v>45632</v>
          </cell>
          <cell r="AC142">
            <v>45636</v>
          </cell>
          <cell r="AD142">
            <v>45644</v>
          </cell>
          <cell r="AE142">
            <v>45644</v>
          </cell>
          <cell r="AF142" t="str">
            <v>SDR Done</v>
          </cell>
          <cell r="AG142">
            <v>7</v>
          </cell>
          <cell r="AH142" t="str">
            <v>_</v>
          </cell>
          <cell r="AI142">
            <v>45653</v>
          </cell>
          <cell r="AJ142">
            <v>0</v>
          </cell>
          <cell r="AK142">
            <v>45653</v>
          </cell>
          <cell r="AL142" t="str">
            <v>Received</v>
          </cell>
          <cell r="AM142">
            <v>4</v>
          </cell>
          <cell r="AN142" t="str">
            <v>Updated LL scope received on 23-01-2025</v>
          </cell>
          <cell r="AO142">
            <v>45656</v>
          </cell>
          <cell r="AP142">
            <v>45660</v>
          </cell>
          <cell r="AQ142">
            <v>1</v>
          </cell>
          <cell r="AR142">
            <v>45685</v>
          </cell>
          <cell r="AS142">
            <v>29</v>
          </cell>
          <cell r="AT142" t="str">
            <v>Received</v>
          </cell>
          <cell r="AV142" t="str">
            <v>NA</v>
          </cell>
          <cell r="AW142" t="str">
            <v>NA</v>
          </cell>
          <cell r="AX142" t="str">
            <v>NA</v>
          </cell>
          <cell r="AZ142" t="str">
            <v>NA</v>
          </cell>
          <cell r="BA142">
            <v>45658</v>
          </cell>
          <cell r="BB142">
            <v>45664</v>
          </cell>
          <cell r="BC142">
            <v>0</v>
          </cell>
          <cell r="BD142">
            <v>45664</v>
          </cell>
          <cell r="BE142">
            <v>5</v>
          </cell>
          <cell r="BF142" t="str">
            <v>Plumbing GFC Received on 07-01-2025
HVAC Received on 15-01-2025</v>
          </cell>
          <cell r="BG142">
            <v>45658</v>
          </cell>
          <cell r="BH142">
            <v>45671</v>
          </cell>
          <cell r="BI142">
            <v>0</v>
          </cell>
          <cell r="BJ142">
            <v>45671</v>
          </cell>
          <cell r="BK142">
            <v>12</v>
          </cell>
          <cell r="BL142" t="str">
            <v>Received</v>
          </cell>
          <cell r="BM142">
            <v>45656</v>
          </cell>
          <cell r="BN142" t="str">
            <v>NA</v>
          </cell>
          <cell r="BO142" t="str">
            <v>NA</v>
          </cell>
          <cell r="BP142">
            <v>45656</v>
          </cell>
          <cell r="BQ142">
            <v>45657</v>
          </cell>
          <cell r="BR142" t="str">
            <v>Received</v>
          </cell>
          <cell r="BS142">
            <v>45655</v>
          </cell>
          <cell r="BT142">
            <v>45692</v>
          </cell>
          <cell r="BU142" t="str">
            <v>Done</v>
          </cell>
          <cell r="BV142" t="str">
            <v>Done</v>
          </cell>
          <cell r="BW142" t="str">
            <v>04-02-2025</v>
          </cell>
          <cell r="BX142">
            <v>45783</v>
          </cell>
          <cell r="BY142" t="str">
            <v>Done</v>
          </cell>
          <cell r="BZ142" t="str">
            <v>Approved</v>
          </cell>
          <cell r="CA142" t="str">
            <v>Approved</v>
          </cell>
          <cell r="CC142" t="str">
            <v>Done</v>
          </cell>
          <cell r="CD142">
            <v>45860</v>
          </cell>
          <cell r="CE142">
            <v>45874</v>
          </cell>
          <cell r="CF142" t="str">
            <v>ROYAL ENTERPRISES</v>
          </cell>
          <cell r="CG142" t="str">
            <v>ROYAL ENTERPRISES</v>
          </cell>
          <cell r="CH142" t="str">
            <v>Shree SVS Systems</v>
          </cell>
          <cell r="CI142" t="str">
            <v>_</v>
          </cell>
          <cell r="CJ142">
            <v>45874</v>
          </cell>
          <cell r="CK142">
            <v>45874</v>
          </cell>
          <cell r="CL142">
            <v>45881</v>
          </cell>
          <cell r="CM142">
            <v>14</v>
          </cell>
          <cell r="CN142">
            <v>45887</v>
          </cell>
          <cell r="CO142">
            <v>45889</v>
          </cell>
          <cell r="CP142">
            <v>45882</v>
          </cell>
          <cell r="CQ142">
            <v>45888</v>
          </cell>
          <cell r="CR142">
            <v>45891</v>
          </cell>
          <cell r="CS142">
            <v>45883</v>
          </cell>
          <cell r="DA142" t="str">
            <v>WO Done RA1 Pending</v>
          </cell>
          <cell r="DB142" t="str">
            <v>WO Done RA1 Pending</v>
          </cell>
          <cell r="DC142" t="str">
            <v>WO Done RA1 Pending</v>
          </cell>
          <cell r="DD142">
            <v>45870</v>
          </cell>
          <cell r="DE142">
            <v>30</v>
          </cell>
          <cell r="DF142">
            <v>45905</v>
          </cell>
          <cell r="DG142" t="str">
            <v>10. Launched</v>
          </cell>
          <cell r="DH142" t="str">
            <v>_</v>
          </cell>
          <cell r="DI142" t="str">
            <v>_</v>
          </cell>
          <cell r="DJ142" t="str">
            <v>RFC Pre-Visit Done on 17-07-2025</v>
          </cell>
          <cell r="DK142">
            <v>45875</v>
          </cell>
          <cell r="DL142">
            <v>45869</v>
          </cell>
          <cell r="DM142" t="str">
            <v>_</v>
          </cell>
          <cell r="DN142" t="str">
            <v>Contract</v>
          </cell>
          <cell r="DO142" t="str">
            <v>Plan start 08-08-2025</v>
          </cell>
          <cell r="DP142">
            <v>45877</v>
          </cell>
          <cell r="DQ142">
            <v>45878</v>
          </cell>
          <cell r="DR142">
            <v>21</v>
          </cell>
          <cell r="DS142">
            <v>35</v>
          </cell>
          <cell r="DU142">
            <v>45899</v>
          </cell>
          <cell r="DV142">
            <v>45913</v>
          </cell>
          <cell r="DW142">
            <v>45899</v>
          </cell>
          <cell r="DX142" t="str">
            <v>Aug 25 Week 5</v>
          </cell>
          <cell r="DY142">
            <v>45905</v>
          </cell>
          <cell r="DZ142">
            <v>45906</v>
          </cell>
          <cell r="EA142" t="str">
            <v>Sept 25 Week 1</v>
          </cell>
          <cell r="EB142" t="str">
            <v>Backlog</v>
          </cell>
          <cell r="ED142" t="str">
            <v/>
          </cell>
          <cell r="EE142" t="str">
            <v/>
          </cell>
          <cell r="EF142">
            <v>1</v>
          </cell>
          <cell r="EG142">
            <v>1</v>
          </cell>
          <cell r="EJ142">
            <v>45885</v>
          </cell>
          <cell r="FA142" t="str">
            <v>Audit Done on - 20 Nov 25
Report received on - 27 Nov 25</v>
          </cell>
          <cell r="FC142" t="str">
            <v>Delayed</v>
          </cell>
          <cell r="FD142">
            <v>7</v>
          </cell>
          <cell r="FE142" t="str">
            <v>4 to 7 Days</v>
          </cell>
          <cell r="FF142">
            <v>8</v>
          </cell>
          <cell r="FG142" t="str">
            <v>8 to 15 Days</v>
          </cell>
          <cell r="FH142" t="str">
            <v>Done</v>
          </cell>
          <cell r="FI142">
            <v>45908</v>
          </cell>
          <cell r="FJ142">
            <v>45912</v>
          </cell>
          <cell r="FK142">
            <v>45912</v>
          </cell>
          <cell r="FM142" t="str">
            <v/>
          </cell>
          <cell r="FZ142" t="str">
            <v>1) Temp shed completed on 9 Aug 25
2) PCC completed on 12 Aug 25
3) Flooring completed on 16-08-2025
4) Kiosk delivered on 19-08-2025
5) Kiosk installation started on 20-08-2025 &amp; Completed on 30-08-2025
RO Installation Callout Received 30-08-2025
SLP Final Callout / western equipment testing &amp; commissioning callout/Hot water dispenser installation callout given on 03-09-2025
Scrap removed on 04-09-2025</v>
          </cell>
          <cell r="GG142" t="str">
            <v>2025-2026</v>
          </cell>
        </row>
        <row r="143">
          <cell r="E143" t="str">
            <v>Kiosk Aurum ,Ghansoli - Old Location</v>
          </cell>
          <cell r="F143" t="str">
            <v>14. Dropped</v>
          </cell>
          <cell r="G143" t="str">
            <v>NA</v>
          </cell>
          <cell r="H143" t="str">
            <v>_</v>
          </cell>
          <cell r="I143" t="str">
            <v>_</v>
          </cell>
          <cell r="K143" t="str">
            <v>W</v>
          </cell>
          <cell r="L143" t="str">
            <v>BK</v>
          </cell>
          <cell r="N143" t="str">
            <v>Nitin dawange</v>
          </cell>
          <cell r="O143" t="str">
            <v>Nitin Dawange</v>
          </cell>
          <cell r="Q143" t="str">
            <v>Arju Tiwari</v>
          </cell>
          <cell r="R143" t="str">
            <v>Kiran Patil</v>
          </cell>
          <cell r="S143" t="str">
            <v>Maharashtra</v>
          </cell>
          <cell r="T143" t="str">
            <v>Mumbai</v>
          </cell>
          <cell r="U143" t="str">
            <v>Premium</v>
          </cell>
          <cell r="V143" t="str">
            <v>Misc Formats</v>
          </cell>
          <cell r="X143" t="str">
            <v>Kiosk Aurum ,Ghansoli - Old Location</v>
          </cell>
          <cell r="Z143" t="str">
            <v>_</v>
          </cell>
          <cell r="AF143" t="str">
            <v>Pending</v>
          </cell>
          <cell r="AG143" t="str">
            <v/>
          </cell>
          <cell r="AH143" t="str">
            <v>Visit Plan on 9th jan 2025</v>
          </cell>
          <cell r="DG143" t="str">
            <v>14. Dropped</v>
          </cell>
          <cell r="DX143" t="str">
            <v/>
          </cell>
          <cell r="EA143" t="str">
            <v/>
          </cell>
          <cell r="ED143" t="str">
            <v/>
          </cell>
          <cell r="EE143" t="str">
            <v/>
          </cell>
          <cell r="FM143" t="str">
            <v/>
          </cell>
          <cell r="GG143" t="str">
            <v>2025-2026</v>
          </cell>
        </row>
        <row r="144">
          <cell r="E144" t="str">
            <v>Mumbai Metro Stations -Line 1 -Versova</v>
          </cell>
          <cell r="F144" t="str">
            <v>10. Launched</v>
          </cell>
          <cell r="G144" t="str">
            <v>SEVEBK13379</v>
          </cell>
          <cell r="H144" t="str">
            <v>MU-SM-GMU-805</v>
          </cell>
          <cell r="I144" t="str">
            <v>_</v>
          </cell>
          <cell r="J144" t="str">
            <v>QZ4I</v>
          </cell>
          <cell r="K144" t="str">
            <v>W</v>
          </cell>
          <cell r="L144" t="str">
            <v>BK</v>
          </cell>
          <cell r="N144" t="str">
            <v>Sh Mrudang Shah</v>
          </cell>
          <cell r="O144" t="str">
            <v>Sh Nitin Dawange</v>
          </cell>
          <cell r="Q144" t="str">
            <v>Arju Tiwari</v>
          </cell>
          <cell r="R144" t="str">
            <v>Kiran Patil</v>
          </cell>
          <cell r="S144" t="str">
            <v>Maharashtra</v>
          </cell>
          <cell r="T144" t="str">
            <v>Mumbai</v>
          </cell>
          <cell r="U144" t="str">
            <v>Premium</v>
          </cell>
          <cell r="V144" t="str">
            <v>Misc Formats</v>
          </cell>
          <cell r="W144">
            <v>120</v>
          </cell>
          <cell r="X144" t="str">
            <v>Versova Metro Statlon, Andheri West</v>
          </cell>
          <cell r="Y144">
            <v>45905</v>
          </cell>
          <cell r="Z144" t="str">
            <v>_</v>
          </cell>
          <cell r="AA144">
            <v>45918</v>
          </cell>
          <cell r="AB144">
            <v>45660</v>
          </cell>
          <cell r="AC144">
            <v>45664</v>
          </cell>
          <cell r="AD144">
            <v>45673</v>
          </cell>
          <cell r="AE144">
            <v>45673</v>
          </cell>
          <cell r="AF144" t="str">
            <v>SDR DONE</v>
          </cell>
          <cell r="AG144">
            <v>8</v>
          </cell>
          <cell r="AH144" t="str">
            <v>_</v>
          </cell>
          <cell r="AI144">
            <v>45700</v>
          </cell>
          <cell r="AJ144">
            <v>0</v>
          </cell>
          <cell r="AK144">
            <v>45700</v>
          </cell>
          <cell r="AL144" t="str">
            <v>Received</v>
          </cell>
          <cell r="AM144">
            <v>22</v>
          </cell>
          <cell r="AN144" t="str">
            <v>Updated remarks received from Business on 18-02-2025</v>
          </cell>
          <cell r="AO144">
            <v>45703</v>
          </cell>
          <cell r="AP144">
            <v>45719</v>
          </cell>
          <cell r="AQ144">
            <v>0</v>
          </cell>
          <cell r="AR144">
            <v>45719</v>
          </cell>
          <cell r="AS144">
            <v>16</v>
          </cell>
          <cell r="AT144" t="str">
            <v>Received</v>
          </cell>
          <cell r="AU144">
            <v>45704</v>
          </cell>
          <cell r="AV144" t="str">
            <v>NA</v>
          </cell>
          <cell r="AW144" t="str">
            <v>NA</v>
          </cell>
          <cell r="AX144" t="str">
            <v>NA</v>
          </cell>
          <cell r="AZ144" t="str">
            <v>_</v>
          </cell>
          <cell r="BA144">
            <v>45705</v>
          </cell>
          <cell r="BB144">
            <v>45723</v>
          </cell>
          <cell r="BC144">
            <v>0</v>
          </cell>
          <cell r="BD144">
            <v>45723</v>
          </cell>
          <cell r="BE144">
            <v>17</v>
          </cell>
          <cell r="BF144" t="str">
            <v>Plumbing GFC Received on 10-03-2025</v>
          </cell>
          <cell r="BG144">
            <v>45705</v>
          </cell>
          <cell r="BH144">
            <v>45729</v>
          </cell>
          <cell r="BI144">
            <v>0</v>
          </cell>
          <cell r="BJ144">
            <v>45729</v>
          </cell>
          <cell r="BK144">
            <v>23</v>
          </cell>
          <cell r="BL144" t="str">
            <v>Received</v>
          </cell>
          <cell r="BM144">
            <v>45703</v>
          </cell>
          <cell r="BN144" t="str">
            <v>NA</v>
          </cell>
          <cell r="BO144" t="str">
            <v>NA</v>
          </cell>
          <cell r="BP144">
            <v>45703</v>
          </cell>
          <cell r="BQ144">
            <v>45712</v>
          </cell>
          <cell r="BR144" t="str">
            <v>Received</v>
          </cell>
          <cell r="BS144">
            <v>45702</v>
          </cell>
          <cell r="BT144">
            <v>45771</v>
          </cell>
          <cell r="BU144" t="str">
            <v xml:space="preserve">Business Fixture BOQ Received on 13-02-2025
</v>
          </cell>
          <cell r="BV144" t="str">
            <v>Done</v>
          </cell>
          <cell r="BW144" t="str">
            <v>05-04-2025</v>
          </cell>
          <cell r="BX144">
            <v>45818</v>
          </cell>
          <cell r="BY144" t="str">
            <v>Done</v>
          </cell>
          <cell r="CB144">
            <v>45909</v>
          </cell>
          <cell r="CD144">
            <v>45729</v>
          </cell>
          <cell r="CE144">
            <v>45922</v>
          </cell>
          <cell r="CF144" t="str">
            <v>GAYATRI ENTERPRISES</v>
          </cell>
          <cell r="CG144" t="str">
            <v>GAYATRI ENTERPRISES</v>
          </cell>
          <cell r="CH144" t="str">
            <v>NA</v>
          </cell>
          <cell r="CJ144">
            <v>45911</v>
          </cell>
          <cell r="CK144">
            <v>45911</v>
          </cell>
          <cell r="DA144" t="str">
            <v>R0 Work Order Done , R1 Pending with Zone</v>
          </cell>
          <cell r="DB144" t="str">
            <v>R0 Work Order Done , R1 Pending with Zone</v>
          </cell>
          <cell r="DC144" t="str">
            <v>NA</v>
          </cell>
          <cell r="DD144">
            <v>45922</v>
          </cell>
          <cell r="DE144">
            <v>30</v>
          </cell>
          <cell r="DF144">
            <v>45954</v>
          </cell>
          <cell r="DG144" t="str">
            <v>10. Launched</v>
          </cell>
          <cell r="DK144">
            <v>45924</v>
          </cell>
          <cell r="DL144">
            <v>45905</v>
          </cell>
          <cell r="DO144" t="str">
            <v>RFC Signoff done on 24-09-2025</v>
          </cell>
          <cell r="DP144">
            <v>45927</v>
          </cell>
          <cell r="DQ144">
            <v>45939</v>
          </cell>
          <cell r="DR144">
            <v>21</v>
          </cell>
          <cell r="DS144">
            <v>21</v>
          </cell>
          <cell r="DU144">
            <v>45960</v>
          </cell>
          <cell r="DV144">
            <v>45960</v>
          </cell>
          <cell r="DW144">
            <v>45960</v>
          </cell>
          <cell r="DX144" t="str">
            <v>Oct 25 Week 5</v>
          </cell>
          <cell r="DY144">
            <v>45960</v>
          </cell>
          <cell r="DZ144">
            <v>45964</v>
          </cell>
          <cell r="EA144" t="str">
            <v>Nov 25 Week 1</v>
          </cell>
          <cell r="EB144" t="str">
            <v>Plan</v>
          </cell>
          <cell r="ED144" t="str">
            <v/>
          </cell>
          <cell r="EE144" t="str">
            <v/>
          </cell>
          <cell r="EF144">
            <v>1</v>
          </cell>
          <cell r="EG144">
            <v>1</v>
          </cell>
          <cell r="EJ144">
            <v>45946</v>
          </cell>
          <cell r="EM144">
            <v>45953</v>
          </cell>
          <cell r="EP144">
            <v>45960</v>
          </cell>
          <cell r="ES144">
            <v>45967</v>
          </cell>
          <cell r="EV144">
            <v>45974</v>
          </cell>
          <cell r="FD144">
            <v>4</v>
          </cell>
          <cell r="FE144" t="str">
            <v>4 to 7 Days</v>
          </cell>
          <cell r="FF144">
            <v>16</v>
          </cell>
          <cell r="FG144" t="str">
            <v>16 to 31 Days</v>
          </cell>
          <cell r="FH144" t="str">
            <v>Done</v>
          </cell>
          <cell r="FI144">
            <v>45967</v>
          </cell>
          <cell r="FJ144">
            <v>45968</v>
          </cell>
          <cell r="FK144">
            <v>45968</v>
          </cell>
          <cell r="FM144" t="str">
            <v/>
          </cell>
          <cell r="FZ144" t="str">
            <v>Boardout done on 09-10-2025
Kiosk Structure Material delivered on 11-10-2025
Kiosk Installation Start on 11-10-2025
POS Glass Delivery and Installation to be planned for 17-10-2025</v>
          </cell>
          <cell r="GA144">
            <v>45964</v>
          </cell>
          <cell r="GB144" t="str">
            <v>Done</v>
          </cell>
          <cell r="GC144" t="str">
            <v>Done</v>
          </cell>
          <cell r="GD144" t="str">
            <v>Done</v>
          </cell>
          <cell r="GG144" t="str">
            <v>2025-2026</v>
          </cell>
        </row>
        <row r="145">
          <cell r="E145" t="str">
            <v>Mumbai Metro Stations -Line 1-DN Nagar</v>
          </cell>
          <cell r="F145" t="str">
            <v>10. Launched</v>
          </cell>
          <cell r="G145" t="str">
            <v>SEVEBK13380</v>
          </cell>
          <cell r="H145" t="str">
            <v>MU-SM-GMU-804</v>
          </cell>
          <cell r="I145" t="str">
            <v>_</v>
          </cell>
          <cell r="J145" t="str">
            <v>QZ4K</v>
          </cell>
          <cell r="K145" t="str">
            <v>W</v>
          </cell>
          <cell r="L145" t="str">
            <v>BK</v>
          </cell>
          <cell r="N145" t="str">
            <v>Sh Mrudang Shah</v>
          </cell>
          <cell r="O145" t="str">
            <v>Sh Nitin Dawange</v>
          </cell>
          <cell r="Q145" t="str">
            <v>Arju Tiwari</v>
          </cell>
          <cell r="R145" t="str">
            <v>Kiran Patil</v>
          </cell>
          <cell r="S145" t="str">
            <v>Maharashtra</v>
          </cell>
          <cell r="T145" t="str">
            <v>Mumbai</v>
          </cell>
          <cell r="U145" t="str">
            <v>Premium</v>
          </cell>
          <cell r="V145" t="str">
            <v>Misc Formats</v>
          </cell>
          <cell r="W145">
            <v>120</v>
          </cell>
          <cell r="X145" t="str">
            <v>DN Nagar Metro Station, Andheri West</v>
          </cell>
          <cell r="Y145">
            <v>45905</v>
          </cell>
          <cell r="Z145" t="str">
            <v>_</v>
          </cell>
          <cell r="AA145">
            <v>45918</v>
          </cell>
          <cell r="AB145">
            <v>45660</v>
          </cell>
          <cell r="AC145">
            <v>45664</v>
          </cell>
          <cell r="AD145">
            <v>45673</v>
          </cell>
          <cell r="AE145">
            <v>45673</v>
          </cell>
          <cell r="AF145" t="str">
            <v>SDR DONE</v>
          </cell>
          <cell r="AG145">
            <v>8</v>
          </cell>
          <cell r="AH145" t="str">
            <v>_</v>
          </cell>
          <cell r="AI145">
            <v>45699</v>
          </cell>
          <cell r="AJ145">
            <v>0</v>
          </cell>
          <cell r="AK145">
            <v>45699</v>
          </cell>
          <cell r="AL145" t="str">
            <v>Received</v>
          </cell>
          <cell r="AM145">
            <v>21</v>
          </cell>
          <cell r="AN145" t="str">
            <v>Updated remarks received from Business on 18-02-2025</v>
          </cell>
          <cell r="AO145">
            <v>45702</v>
          </cell>
          <cell r="AP145">
            <v>45719</v>
          </cell>
          <cell r="AQ145">
            <v>0</v>
          </cell>
          <cell r="AR145">
            <v>45719</v>
          </cell>
          <cell r="AS145">
            <v>17</v>
          </cell>
          <cell r="AT145" t="str">
            <v>Received</v>
          </cell>
          <cell r="AU145">
            <v>45703</v>
          </cell>
          <cell r="AV145" t="str">
            <v>NA</v>
          </cell>
          <cell r="AW145" t="str">
            <v>NA</v>
          </cell>
          <cell r="AX145" t="str">
            <v>NA</v>
          </cell>
          <cell r="AZ145" t="str">
            <v>_</v>
          </cell>
          <cell r="BA145">
            <v>45704</v>
          </cell>
          <cell r="BB145">
            <v>45723</v>
          </cell>
          <cell r="BC145">
            <v>0</v>
          </cell>
          <cell r="BD145">
            <v>45723</v>
          </cell>
          <cell r="BE145">
            <v>18</v>
          </cell>
          <cell r="BF145" t="str">
            <v>Plumbing GFC Received on 10-03-2025</v>
          </cell>
          <cell r="BG145">
            <v>45704</v>
          </cell>
          <cell r="BH145">
            <v>45727</v>
          </cell>
          <cell r="BI145">
            <v>0</v>
          </cell>
          <cell r="BJ145">
            <v>45727</v>
          </cell>
          <cell r="BK145">
            <v>22</v>
          </cell>
          <cell r="BL145" t="str">
            <v>Received</v>
          </cell>
          <cell r="BM145">
            <v>45702</v>
          </cell>
          <cell r="BN145" t="str">
            <v>NA</v>
          </cell>
          <cell r="BO145" t="str">
            <v>NA</v>
          </cell>
          <cell r="BP145">
            <v>45702</v>
          </cell>
          <cell r="BR145" t="str">
            <v>Received</v>
          </cell>
          <cell r="BS145">
            <v>45701</v>
          </cell>
          <cell r="BT145">
            <v>45771</v>
          </cell>
          <cell r="BU145" t="str">
            <v xml:space="preserve">Business Fixture BOQ Received on 13-02-2025
</v>
          </cell>
          <cell r="BV145" t="str">
            <v>Done</v>
          </cell>
          <cell r="BW145" t="str">
            <v>05-04-2025</v>
          </cell>
          <cell r="BX145">
            <v>45818</v>
          </cell>
          <cell r="BY145" t="str">
            <v>Done</v>
          </cell>
          <cell r="CB145">
            <v>45909</v>
          </cell>
          <cell r="CD145">
            <v>45728</v>
          </cell>
          <cell r="CE145">
            <v>45922</v>
          </cell>
          <cell r="CF145" t="str">
            <v>GAYATRI ENTERPRISES</v>
          </cell>
          <cell r="CG145" t="str">
            <v>GAYATRI ENTERPRISES</v>
          </cell>
          <cell r="CH145" t="str">
            <v>NA</v>
          </cell>
          <cell r="CJ145">
            <v>45911</v>
          </cell>
          <cell r="CK145">
            <v>45911</v>
          </cell>
          <cell r="DA145" t="str">
            <v>R0 Work Order Done , R1 Pending with Zone</v>
          </cell>
          <cell r="DB145" t="str">
            <v>R0 Work Order Done , R1 Pending with Zone</v>
          </cell>
          <cell r="DC145" t="str">
            <v>NA</v>
          </cell>
          <cell r="DD145">
            <v>45922</v>
          </cell>
          <cell r="DE145">
            <v>30</v>
          </cell>
          <cell r="DF145">
            <v>45954</v>
          </cell>
          <cell r="DG145" t="str">
            <v>10. Launched</v>
          </cell>
          <cell r="DK145">
            <v>45924</v>
          </cell>
          <cell r="DL145">
            <v>45905</v>
          </cell>
          <cell r="DO145" t="str">
            <v>RFC Signoff done on 24-09-2025</v>
          </cell>
          <cell r="DP145">
            <v>45927</v>
          </cell>
          <cell r="DQ145">
            <v>45939</v>
          </cell>
          <cell r="DR145">
            <v>21</v>
          </cell>
          <cell r="DS145">
            <v>21</v>
          </cell>
          <cell r="DU145">
            <v>45960</v>
          </cell>
          <cell r="DV145">
            <v>45960</v>
          </cell>
          <cell r="DW145">
            <v>45960</v>
          </cell>
          <cell r="DX145" t="str">
            <v>Oct 25 Week 5</v>
          </cell>
          <cell r="DY145">
            <v>45960</v>
          </cell>
          <cell r="DZ145">
            <v>45961</v>
          </cell>
          <cell r="EA145" t="str">
            <v>Oct 25 Week 5</v>
          </cell>
          <cell r="EB145" t="str">
            <v>Plan</v>
          </cell>
          <cell r="ED145" t="str">
            <v/>
          </cell>
          <cell r="EE145" t="str">
            <v/>
          </cell>
          <cell r="EF145">
            <v>1</v>
          </cell>
          <cell r="EG145">
            <v>1</v>
          </cell>
          <cell r="EJ145">
            <v>45946</v>
          </cell>
          <cell r="EM145">
            <v>45953</v>
          </cell>
          <cell r="EP145">
            <v>45960</v>
          </cell>
          <cell r="ES145">
            <v>45967</v>
          </cell>
          <cell r="EV145">
            <v>45974</v>
          </cell>
          <cell r="FD145">
            <v>1</v>
          </cell>
          <cell r="FE145" t="str">
            <v>0 to 3 Days</v>
          </cell>
          <cell r="FF145">
            <v>13</v>
          </cell>
          <cell r="FG145" t="str">
            <v>8 to 15 Days</v>
          </cell>
          <cell r="FH145" t="str">
            <v>Done</v>
          </cell>
          <cell r="FI145">
            <v>45965</v>
          </cell>
          <cell r="FJ145">
            <v>45968</v>
          </cell>
          <cell r="FK145">
            <v>45968</v>
          </cell>
          <cell r="FM145" t="str">
            <v/>
          </cell>
          <cell r="FZ145" t="str">
            <v>Boardout done on 09-10-2025
Kiosk Structure Material delivered on 10-10-2025
Kiosk Installation Start on 10-10-2025
POS Glass Delivery and Installation to be planned for 17-10-2025</v>
          </cell>
          <cell r="GA145">
            <v>45960</v>
          </cell>
          <cell r="GB145" t="str">
            <v>Done</v>
          </cell>
          <cell r="GC145" t="str">
            <v>Done</v>
          </cell>
          <cell r="GD145" t="str">
            <v>Done</v>
          </cell>
          <cell r="GG145" t="str">
            <v>2025-2026</v>
          </cell>
        </row>
        <row r="146">
          <cell r="E146" t="str">
            <v>Mumbai Metro Stations -Line 1 -Azad Nagar</v>
          </cell>
          <cell r="F146" t="str">
            <v>10. Launched</v>
          </cell>
          <cell r="G146" t="str">
            <v>SEVEBK13381</v>
          </cell>
          <cell r="H146" t="str">
            <v>MU-SM-GMU-803</v>
          </cell>
          <cell r="I146" t="str">
            <v>_</v>
          </cell>
          <cell r="J146" t="str">
            <v>QZ4L</v>
          </cell>
          <cell r="K146" t="str">
            <v>W</v>
          </cell>
          <cell r="L146" t="str">
            <v>BK</v>
          </cell>
          <cell r="N146" t="str">
            <v>Sh Mrudang Shah</v>
          </cell>
          <cell r="O146" t="str">
            <v>Sh Nitin Dawange</v>
          </cell>
          <cell r="Q146" t="str">
            <v>Arju Tiwari</v>
          </cell>
          <cell r="R146" t="str">
            <v>Kiran Patil</v>
          </cell>
          <cell r="S146" t="str">
            <v>Maharashtra</v>
          </cell>
          <cell r="T146" t="str">
            <v>Mumbai</v>
          </cell>
          <cell r="U146" t="str">
            <v>Premium</v>
          </cell>
          <cell r="V146" t="str">
            <v>Misc Formats</v>
          </cell>
          <cell r="W146">
            <v>120</v>
          </cell>
          <cell r="X146" t="str">
            <v>Azand Nagar Metro Station, Andheri West</v>
          </cell>
          <cell r="Y146">
            <v>45905</v>
          </cell>
          <cell r="Z146" t="str">
            <v>_</v>
          </cell>
          <cell r="AA146">
            <v>45918</v>
          </cell>
          <cell r="AB146">
            <v>45660</v>
          </cell>
          <cell r="AC146">
            <v>45664</v>
          </cell>
          <cell r="AD146">
            <v>45671</v>
          </cell>
          <cell r="AE146">
            <v>45671</v>
          </cell>
          <cell r="AF146" t="str">
            <v>SDR DONE</v>
          </cell>
          <cell r="AG146">
            <v>6</v>
          </cell>
          <cell r="AH146" t="str">
            <v>_</v>
          </cell>
          <cell r="AI146">
            <v>45700</v>
          </cell>
          <cell r="AJ146">
            <v>0</v>
          </cell>
          <cell r="AK146">
            <v>45700</v>
          </cell>
          <cell r="AL146" t="str">
            <v>Received</v>
          </cell>
          <cell r="AM146">
            <v>24</v>
          </cell>
          <cell r="AN146" t="str">
            <v>Updated remarks received from Business on 18-02-2025</v>
          </cell>
          <cell r="AO146">
            <v>45703</v>
          </cell>
          <cell r="AP146">
            <v>45719</v>
          </cell>
          <cell r="AQ146">
            <v>0</v>
          </cell>
          <cell r="AR146">
            <v>45719</v>
          </cell>
          <cell r="AS146">
            <v>16</v>
          </cell>
          <cell r="AT146" t="str">
            <v>Received</v>
          </cell>
          <cell r="AU146">
            <v>45704</v>
          </cell>
          <cell r="AV146" t="str">
            <v>NA</v>
          </cell>
          <cell r="AW146" t="str">
            <v>NA</v>
          </cell>
          <cell r="AX146" t="str">
            <v>NA</v>
          </cell>
          <cell r="AZ146" t="str">
            <v>_</v>
          </cell>
          <cell r="BA146">
            <v>45705</v>
          </cell>
          <cell r="BB146">
            <v>45723</v>
          </cell>
          <cell r="BC146">
            <v>0</v>
          </cell>
          <cell r="BD146">
            <v>45723</v>
          </cell>
          <cell r="BE146">
            <v>17</v>
          </cell>
          <cell r="BF146" t="str">
            <v>Plumbing GFC Received on 13-03-2025</v>
          </cell>
          <cell r="BG146">
            <v>45705</v>
          </cell>
          <cell r="BH146">
            <v>45729</v>
          </cell>
          <cell r="BI146">
            <v>0</v>
          </cell>
          <cell r="BJ146">
            <v>45729</v>
          </cell>
          <cell r="BK146">
            <v>23</v>
          </cell>
          <cell r="BL146" t="str">
            <v>Received</v>
          </cell>
          <cell r="BM146">
            <v>45703</v>
          </cell>
          <cell r="BN146" t="str">
            <v>NA</v>
          </cell>
          <cell r="BO146" t="str">
            <v>NA</v>
          </cell>
          <cell r="BP146">
            <v>45703</v>
          </cell>
          <cell r="BR146" t="str">
            <v>Received</v>
          </cell>
          <cell r="BS146">
            <v>45702</v>
          </cell>
          <cell r="BT146">
            <v>45771</v>
          </cell>
          <cell r="BU146" t="str">
            <v xml:space="preserve">Business Fixture BOQ Received on 13-02-2025
</v>
          </cell>
          <cell r="BV146" t="str">
            <v>Done</v>
          </cell>
          <cell r="BW146" t="str">
            <v>01-04-2025</v>
          </cell>
          <cell r="BX146">
            <v>45818</v>
          </cell>
          <cell r="BY146" t="str">
            <v>Done</v>
          </cell>
          <cell r="CB146">
            <v>45909</v>
          </cell>
          <cell r="CD146">
            <v>45729</v>
          </cell>
          <cell r="CE146">
            <v>45911</v>
          </cell>
          <cell r="CF146" t="str">
            <v>3DESIRE NETWORKS AND SOLUTIONS</v>
          </cell>
          <cell r="CG146" t="str">
            <v>3DESIRE NETWORKS AND SOLUTIONS</v>
          </cell>
          <cell r="CH146" t="str">
            <v>NA</v>
          </cell>
          <cell r="CJ146">
            <v>45911</v>
          </cell>
          <cell r="CK146">
            <v>45911</v>
          </cell>
          <cell r="DA146" t="str">
            <v>R0 Work Order Done , R1 Pending with Zone</v>
          </cell>
          <cell r="DB146" t="str">
            <v>R0 Work Order Done , R1 Pending with Zone</v>
          </cell>
          <cell r="DC146" t="str">
            <v>NA</v>
          </cell>
          <cell r="DD146">
            <v>45922</v>
          </cell>
          <cell r="DE146">
            <v>30</v>
          </cell>
          <cell r="DF146">
            <v>45954</v>
          </cell>
          <cell r="DG146" t="str">
            <v>10. Launched</v>
          </cell>
          <cell r="DK146">
            <v>45924</v>
          </cell>
          <cell r="DL146">
            <v>45905</v>
          </cell>
          <cell r="DO146" t="str">
            <v>RFC Signoff done on 24-09-2025</v>
          </cell>
          <cell r="DP146">
            <v>45927</v>
          </cell>
          <cell r="DQ146">
            <v>45937</v>
          </cell>
          <cell r="DR146">
            <v>21</v>
          </cell>
          <cell r="DS146">
            <v>21</v>
          </cell>
          <cell r="DU146">
            <v>45958</v>
          </cell>
          <cell r="DV146">
            <v>45958</v>
          </cell>
          <cell r="DW146">
            <v>45958</v>
          </cell>
          <cell r="DX146" t="str">
            <v>Oct 25 Week 4</v>
          </cell>
          <cell r="DY146">
            <v>45958</v>
          </cell>
          <cell r="DZ146">
            <v>45957</v>
          </cell>
          <cell r="EA146" t="str">
            <v>Oct 25 Week 4</v>
          </cell>
          <cell r="EB146" t="str">
            <v>Plan</v>
          </cell>
          <cell r="ED146" t="str">
            <v/>
          </cell>
          <cell r="EE146" t="str">
            <v/>
          </cell>
          <cell r="EF146">
            <v>1</v>
          </cell>
          <cell r="EG146">
            <v>1</v>
          </cell>
          <cell r="EJ146">
            <v>45944</v>
          </cell>
          <cell r="EM146">
            <v>45951</v>
          </cell>
          <cell r="EP146">
            <v>45958</v>
          </cell>
          <cell r="ES146">
            <v>45965</v>
          </cell>
          <cell r="EV146">
            <v>45972</v>
          </cell>
          <cell r="FD146">
            <v>-1</v>
          </cell>
          <cell r="FE146" t="str">
            <v>On Time</v>
          </cell>
          <cell r="FF146">
            <v>9</v>
          </cell>
          <cell r="FG146" t="str">
            <v>8 to 15 Days</v>
          </cell>
          <cell r="FH146" t="str">
            <v>Done</v>
          </cell>
          <cell r="FI146">
            <v>45960</v>
          </cell>
          <cell r="FJ146">
            <v>45968</v>
          </cell>
          <cell r="FK146">
            <v>45968</v>
          </cell>
          <cell r="FM146" t="str">
            <v/>
          </cell>
          <cell r="FZ146" t="str">
            <v>Boardout Done
Kiosk Structure Material delivered on 08-10-2025 
Kiosk Installation start on 08-10-2025
POS Glass Delivery and Installation to be planned for 17-10-2025</v>
          </cell>
          <cell r="GA146">
            <v>45957</v>
          </cell>
          <cell r="GB146" t="str">
            <v>Done</v>
          </cell>
          <cell r="GC146" t="str">
            <v>Done</v>
          </cell>
          <cell r="GD146" t="str">
            <v>Done</v>
          </cell>
          <cell r="GG146" t="str">
            <v>2025-2026</v>
          </cell>
        </row>
        <row r="147">
          <cell r="E147" t="str">
            <v>Mumbai Metro Stations -Line 1-Marol Naka</v>
          </cell>
          <cell r="F147" t="str">
            <v>10. Launched</v>
          </cell>
          <cell r="G147" t="str">
            <v>SEVEBK13382</v>
          </cell>
          <cell r="H147" t="str">
            <v>MU-SM-GMU-806</v>
          </cell>
          <cell r="I147" t="str">
            <v>_</v>
          </cell>
          <cell r="J147" t="str">
            <v>QZ4H</v>
          </cell>
          <cell r="K147" t="str">
            <v>W</v>
          </cell>
          <cell r="L147" t="str">
            <v>BK</v>
          </cell>
          <cell r="N147" t="str">
            <v>Sh Mrudang Shah</v>
          </cell>
          <cell r="O147" t="str">
            <v>Sh Nitin Dawange</v>
          </cell>
          <cell r="Q147" t="str">
            <v>Arju Tiwari</v>
          </cell>
          <cell r="R147" t="str">
            <v>Kiran Patil</v>
          </cell>
          <cell r="S147" t="str">
            <v>Maharashtra</v>
          </cell>
          <cell r="T147" t="str">
            <v>Mumbai</v>
          </cell>
          <cell r="U147" t="str">
            <v>Premium</v>
          </cell>
          <cell r="V147" t="str">
            <v>Misc Formats</v>
          </cell>
          <cell r="W147">
            <v>120</v>
          </cell>
          <cell r="X147" t="str">
            <v>Marol Naka Metro Station, Andheri East</v>
          </cell>
          <cell r="Y147">
            <v>45905</v>
          </cell>
          <cell r="Z147" t="str">
            <v>_</v>
          </cell>
          <cell r="AA147">
            <v>45918</v>
          </cell>
          <cell r="AB147">
            <v>45660</v>
          </cell>
          <cell r="AC147">
            <v>45664</v>
          </cell>
          <cell r="AD147">
            <v>45671</v>
          </cell>
          <cell r="AE147">
            <v>45671</v>
          </cell>
          <cell r="AF147" t="str">
            <v>SDR DONE</v>
          </cell>
          <cell r="AG147">
            <v>6</v>
          </cell>
          <cell r="AH147" t="str">
            <v>_</v>
          </cell>
          <cell r="AI147">
            <v>45699</v>
          </cell>
          <cell r="AJ147">
            <v>0</v>
          </cell>
          <cell r="AK147">
            <v>45699</v>
          </cell>
          <cell r="AL147" t="str">
            <v>Received</v>
          </cell>
          <cell r="AM147">
            <v>23</v>
          </cell>
          <cell r="AN147" t="str">
            <v>Updated remarks received from Business on 18-02-2025
Kiosk Structure Approved by business on 12-03-2025</v>
          </cell>
          <cell r="AO147">
            <v>45702</v>
          </cell>
          <cell r="AP147">
            <v>45719</v>
          </cell>
          <cell r="AQ147">
            <v>0</v>
          </cell>
          <cell r="AR147">
            <v>45719</v>
          </cell>
          <cell r="AS147">
            <v>17</v>
          </cell>
          <cell r="AT147" t="str">
            <v>Received</v>
          </cell>
          <cell r="AU147">
            <v>45703</v>
          </cell>
          <cell r="AV147" t="str">
            <v>NA</v>
          </cell>
          <cell r="AW147" t="str">
            <v>NA</v>
          </cell>
          <cell r="AX147" t="str">
            <v>NA</v>
          </cell>
          <cell r="AZ147" t="str">
            <v>NA</v>
          </cell>
          <cell r="BA147">
            <v>45704</v>
          </cell>
          <cell r="BB147">
            <v>45719</v>
          </cell>
          <cell r="BC147">
            <v>0</v>
          </cell>
          <cell r="BD147">
            <v>45719</v>
          </cell>
          <cell r="BE147">
            <v>14</v>
          </cell>
          <cell r="BF147" t="str">
            <v>Plumbing GFC Received on 10-03-2025</v>
          </cell>
          <cell r="BG147">
            <v>45704</v>
          </cell>
          <cell r="BH147">
            <v>45727</v>
          </cell>
          <cell r="BI147">
            <v>0</v>
          </cell>
          <cell r="BJ147">
            <v>45727</v>
          </cell>
          <cell r="BK147">
            <v>22</v>
          </cell>
          <cell r="BL147" t="str">
            <v>Received</v>
          </cell>
          <cell r="BM147">
            <v>45702</v>
          </cell>
          <cell r="BN147" t="str">
            <v>NA</v>
          </cell>
          <cell r="BO147" t="str">
            <v>NA</v>
          </cell>
          <cell r="BP147">
            <v>45702</v>
          </cell>
          <cell r="BR147" t="str">
            <v>Received</v>
          </cell>
          <cell r="BS147">
            <v>45701</v>
          </cell>
          <cell r="BT147">
            <v>45768</v>
          </cell>
          <cell r="BU147" t="str">
            <v xml:space="preserve">Business Fixture BOQ Received on 13-02-2025
</v>
          </cell>
          <cell r="BV147" t="str">
            <v>Done</v>
          </cell>
          <cell r="BW147" t="str">
            <v>26-03-2025</v>
          </cell>
          <cell r="BX147">
            <v>45818</v>
          </cell>
          <cell r="BY147" t="str">
            <v>Done</v>
          </cell>
          <cell r="CB147">
            <v>45909</v>
          </cell>
          <cell r="CD147">
            <v>45727</v>
          </cell>
          <cell r="CE147">
            <v>45911</v>
          </cell>
          <cell r="CF147" t="str">
            <v>3DESIRE NETWORKS AND SOLUTIONS</v>
          </cell>
          <cell r="CG147" t="str">
            <v>3DESIRE NETWORKS AND SOLUTIONS</v>
          </cell>
          <cell r="CH147" t="str">
            <v>NA</v>
          </cell>
          <cell r="CJ147">
            <v>45911</v>
          </cell>
          <cell r="CK147">
            <v>45911</v>
          </cell>
          <cell r="DA147" t="str">
            <v>R0 Work Order Done , R1 Pending with Zone</v>
          </cell>
          <cell r="DB147" t="str">
            <v>R0 Work Order Done , R1 Pending with Zone</v>
          </cell>
          <cell r="DC147" t="str">
            <v>NA</v>
          </cell>
          <cell r="DD147">
            <v>45922</v>
          </cell>
          <cell r="DE147">
            <v>30</v>
          </cell>
          <cell r="DF147">
            <v>45954</v>
          </cell>
          <cell r="DG147" t="str">
            <v>10. Launched</v>
          </cell>
          <cell r="DK147">
            <v>45924</v>
          </cell>
          <cell r="DL147">
            <v>45905</v>
          </cell>
          <cell r="DO147" t="str">
            <v>RFC Signoff done on 24-09-2025</v>
          </cell>
          <cell r="DP147">
            <v>45927</v>
          </cell>
          <cell r="DQ147">
            <v>45937</v>
          </cell>
          <cell r="DR147">
            <v>21</v>
          </cell>
          <cell r="DS147">
            <v>21</v>
          </cell>
          <cell r="DU147">
            <v>45958</v>
          </cell>
          <cell r="DV147">
            <v>45958</v>
          </cell>
          <cell r="DW147">
            <v>45958</v>
          </cell>
          <cell r="DX147" t="str">
            <v>Oct 25 Week 4</v>
          </cell>
          <cell r="DY147">
            <v>45958</v>
          </cell>
          <cell r="DZ147">
            <v>45958</v>
          </cell>
          <cell r="EA147" t="str">
            <v>Oct 25 Week 4</v>
          </cell>
          <cell r="EB147" t="str">
            <v>Plan</v>
          </cell>
          <cell r="ED147" t="str">
            <v/>
          </cell>
          <cell r="EE147" t="str">
            <v/>
          </cell>
          <cell r="EF147">
            <v>1</v>
          </cell>
          <cell r="EG147">
            <v>1</v>
          </cell>
          <cell r="EJ147">
            <v>45944</v>
          </cell>
          <cell r="EM147">
            <v>45951</v>
          </cell>
          <cell r="EP147">
            <v>45958</v>
          </cell>
          <cell r="ES147">
            <v>45965</v>
          </cell>
          <cell r="EV147">
            <v>45972</v>
          </cell>
          <cell r="FD147">
            <v>0</v>
          </cell>
          <cell r="FE147" t="str">
            <v>On Time</v>
          </cell>
          <cell r="FF147">
            <v>10</v>
          </cell>
          <cell r="FG147" t="str">
            <v>8 to 15 Days</v>
          </cell>
          <cell r="FH147" t="str">
            <v>Done</v>
          </cell>
          <cell r="FI147">
            <v>45960</v>
          </cell>
          <cell r="FJ147">
            <v>45968</v>
          </cell>
          <cell r="FK147">
            <v>45968</v>
          </cell>
          <cell r="FM147" t="str">
            <v/>
          </cell>
          <cell r="FZ147" t="str">
            <v>Boardout Done
Kiosk Structure Material delivered on 08-10-2025
Kiosk Installation Start on 09-10-2025
POS Glass Delivery and Installation to be planned for 17-10-2025</v>
          </cell>
          <cell r="GA147">
            <v>45948</v>
          </cell>
          <cell r="GB147" t="str">
            <v>Done</v>
          </cell>
          <cell r="GC147" t="str">
            <v>Done</v>
          </cell>
          <cell r="GD147" t="str">
            <v>Done</v>
          </cell>
          <cell r="GG147" t="str">
            <v>2025-2026</v>
          </cell>
        </row>
        <row r="148">
          <cell r="E148" t="str">
            <v>Kiosk One BKC, Mumbai</v>
          </cell>
          <cell r="F148" t="str">
            <v>14. Dropped</v>
          </cell>
          <cell r="G148" t="str">
            <v>SEVEBK13433</v>
          </cell>
          <cell r="H148" t="str">
            <v>_</v>
          </cell>
          <cell r="I148" t="str">
            <v>_</v>
          </cell>
          <cell r="K148" t="str">
            <v>W</v>
          </cell>
          <cell r="L148" t="str">
            <v>BK</v>
          </cell>
          <cell r="N148" t="str">
            <v>Nitin dawange</v>
          </cell>
          <cell r="O148" t="str">
            <v>Nitin Dawange</v>
          </cell>
          <cell r="Q148" t="str">
            <v>Arju Tiwari</v>
          </cell>
          <cell r="R148" t="str">
            <v>Kiran Patil</v>
          </cell>
          <cell r="S148" t="str">
            <v>Maharashtra</v>
          </cell>
          <cell r="T148" t="str">
            <v>Mumbai</v>
          </cell>
          <cell r="U148" t="str">
            <v>Premium</v>
          </cell>
          <cell r="V148" t="str">
            <v>Misc Formats</v>
          </cell>
          <cell r="W148">
            <v>160</v>
          </cell>
          <cell r="X148" t="str">
            <v>Kiosk One BKC, Mumbai</v>
          </cell>
          <cell r="Z148" t="str">
            <v>_</v>
          </cell>
          <cell r="AB148">
            <v>45677</v>
          </cell>
          <cell r="AC148">
            <v>45680</v>
          </cell>
          <cell r="AD148">
            <v>45686</v>
          </cell>
          <cell r="AE148">
            <v>45686</v>
          </cell>
          <cell r="AF148" t="str">
            <v>SDR Done</v>
          </cell>
          <cell r="AG148">
            <v>4</v>
          </cell>
          <cell r="AH148" t="str">
            <v>_</v>
          </cell>
          <cell r="AL148" t="str">
            <v>Pending</v>
          </cell>
          <cell r="AM148">
            <v>486</v>
          </cell>
          <cell r="DG148" t="str">
            <v>14. Dropped</v>
          </cell>
          <cell r="DX148" t="str">
            <v/>
          </cell>
          <cell r="EA148" t="str">
            <v/>
          </cell>
          <cell r="ED148" t="str">
            <v/>
          </cell>
          <cell r="EE148" t="str">
            <v/>
          </cell>
          <cell r="FM148" t="str">
            <v/>
          </cell>
          <cell r="GG148" t="str">
            <v>2025-2026</v>
          </cell>
        </row>
        <row r="149">
          <cell r="E149" t="str">
            <v>Dehire Shree Praful, Kandivali</v>
          </cell>
          <cell r="F149" t="str">
            <v>9. EPC Ready</v>
          </cell>
          <cell r="G149" t="str">
            <v>MIDHKC13589</v>
          </cell>
          <cell r="H149" t="str">
            <v>MU-SM-GMU-602</v>
          </cell>
          <cell r="I149" t="str">
            <v>TAD1</v>
          </cell>
          <cell r="J149" t="str">
            <v>NA</v>
          </cell>
          <cell r="K149" t="str">
            <v>W</v>
          </cell>
          <cell r="L149" t="str">
            <v>KC</v>
          </cell>
          <cell r="N149" t="str">
            <v>Sh Sangram Shinde</v>
          </cell>
          <cell r="O149" t="str">
            <v>Sh Sangram Shinde</v>
          </cell>
          <cell r="P149" t="str">
            <v>Hareshprasad M</v>
          </cell>
          <cell r="Q149" t="str">
            <v>Arju Tiwari</v>
          </cell>
          <cell r="R149" t="str">
            <v>Kiran Patil</v>
          </cell>
          <cell r="S149" t="str">
            <v>Maharashtra</v>
          </cell>
          <cell r="T149" t="str">
            <v>Mumbai</v>
          </cell>
          <cell r="U149" t="str">
            <v>Premium</v>
          </cell>
          <cell r="V149" t="str">
            <v>Misc Formats</v>
          </cell>
          <cell r="W149">
            <v>650</v>
          </cell>
          <cell r="X149" t="str">
            <v>Shop No. 3, Shree Praful, Dahanukar wadi, M.G Road, Kandivali-West</v>
          </cell>
          <cell r="Y149">
            <v>45763</v>
          </cell>
          <cell r="Z149" t="str">
            <v>NA</v>
          </cell>
          <cell r="AB149">
            <v>45734</v>
          </cell>
          <cell r="AC149">
            <v>45736</v>
          </cell>
          <cell r="AD149">
            <v>45760</v>
          </cell>
          <cell r="AE149">
            <v>45760</v>
          </cell>
          <cell r="AF149" t="str">
            <v>SDR DONE</v>
          </cell>
          <cell r="AG149">
            <v>21</v>
          </cell>
          <cell r="AH149" t="str">
            <v>NA</v>
          </cell>
          <cell r="AL149" t="str">
            <v>NA</v>
          </cell>
          <cell r="AN149" t="str">
            <v>NA</v>
          </cell>
          <cell r="AS149" t="str">
            <v>NA</v>
          </cell>
          <cell r="AT149" t="str">
            <v>NA</v>
          </cell>
          <cell r="AV149" t="str">
            <v>NA</v>
          </cell>
          <cell r="AW149" t="str">
            <v>NA</v>
          </cell>
          <cell r="AX149" t="str">
            <v>NA</v>
          </cell>
          <cell r="AZ149" t="str">
            <v>NA</v>
          </cell>
          <cell r="BF149" t="str">
            <v>NA</v>
          </cell>
          <cell r="BJ149" t="str">
            <v>NA</v>
          </cell>
          <cell r="BL149" t="str">
            <v>NA</v>
          </cell>
          <cell r="BN149" t="str">
            <v>NA</v>
          </cell>
          <cell r="BO149" t="str">
            <v>NA</v>
          </cell>
          <cell r="BR149" t="str">
            <v>NA</v>
          </cell>
          <cell r="BS149" t="str">
            <v>NA</v>
          </cell>
          <cell r="BU149" t="str">
            <v>NA</v>
          </cell>
          <cell r="BV149" t="str">
            <v>Done</v>
          </cell>
          <cell r="BW149" t="str">
            <v>31-03-2025</v>
          </cell>
          <cell r="BX149">
            <v>45758</v>
          </cell>
          <cell r="BY149" t="str">
            <v>Done</v>
          </cell>
          <cell r="BZ149" t="str">
            <v>Approved</v>
          </cell>
          <cell r="CA149" t="str">
            <v>Approved</v>
          </cell>
          <cell r="CC149" t="str">
            <v>NA</v>
          </cell>
          <cell r="CD149">
            <v>45397</v>
          </cell>
          <cell r="CE149">
            <v>45764</v>
          </cell>
          <cell r="CF149" t="str">
            <v>Origin Technical</v>
          </cell>
          <cell r="CG149" t="str">
            <v>Origin Technical</v>
          </cell>
          <cell r="CH149" t="str">
            <v>Origin Technical</v>
          </cell>
          <cell r="CI149" t="str">
            <v>_</v>
          </cell>
          <cell r="CJ149">
            <v>45769</v>
          </cell>
          <cell r="CK149">
            <v>45769</v>
          </cell>
          <cell r="CL149">
            <v>45769</v>
          </cell>
          <cell r="CM149">
            <v>372</v>
          </cell>
          <cell r="CN149" t="str">
            <v>NA</v>
          </cell>
          <cell r="CO149" t="str">
            <v>NA</v>
          </cell>
          <cell r="CP149" t="str">
            <v>NA</v>
          </cell>
          <cell r="CR149" t="str">
            <v>NA</v>
          </cell>
          <cell r="CU149" t="str">
            <v>NA</v>
          </cell>
          <cell r="CW149" t="str">
            <v>NA</v>
          </cell>
          <cell r="DA149" t="str">
            <v>WO Done</v>
          </cell>
          <cell r="DB149" t="str">
            <v>WO Done</v>
          </cell>
          <cell r="DC149" t="str">
            <v>WO Done</v>
          </cell>
          <cell r="DD149">
            <v>45759</v>
          </cell>
          <cell r="DG149" t="str">
            <v>9. EPC Ready</v>
          </cell>
          <cell r="DH149" t="str">
            <v>_</v>
          </cell>
          <cell r="DI149" t="str">
            <v>_</v>
          </cell>
          <cell r="DJ149" t="str">
            <v>_</v>
          </cell>
          <cell r="DK149">
            <v>45762</v>
          </cell>
          <cell r="DM149" t="str">
            <v>_</v>
          </cell>
          <cell r="DN149" t="str">
            <v>_</v>
          </cell>
          <cell r="DO149" t="str">
            <v xml:space="preserve">Shared for WBS creation on 11-04-2025
</v>
          </cell>
          <cell r="DP149">
            <v>45765</v>
          </cell>
          <cell r="DQ149">
            <v>45765</v>
          </cell>
          <cell r="DR149">
            <v>15</v>
          </cell>
          <cell r="DS149">
            <v>35</v>
          </cell>
          <cell r="DT149" t="str">
            <v>_</v>
          </cell>
          <cell r="DU149">
            <v>45780</v>
          </cell>
          <cell r="DV149">
            <v>45800</v>
          </cell>
          <cell r="DX149" t="str">
            <v>_</v>
          </cell>
          <cell r="DY149">
            <v>45800</v>
          </cell>
          <cell r="DZ149">
            <v>45800</v>
          </cell>
          <cell r="EA149" t="str">
            <v>May 25 Week 4</v>
          </cell>
          <cell r="EB149" t="str">
            <v>Backlog</v>
          </cell>
          <cell r="ED149" t="str">
            <v/>
          </cell>
          <cell r="EE149" t="str">
            <v/>
          </cell>
          <cell r="EF149">
            <v>1</v>
          </cell>
          <cell r="EG149">
            <v>1</v>
          </cell>
          <cell r="EJ149">
            <v>45772</v>
          </cell>
          <cell r="EM149">
            <v>45779</v>
          </cell>
          <cell r="EP149">
            <v>45786</v>
          </cell>
          <cell r="ES149">
            <v>45793</v>
          </cell>
          <cell r="EV149">
            <v>45800</v>
          </cell>
          <cell r="EY149" t="str">
            <v>_</v>
          </cell>
          <cell r="EZ149" t="str">
            <v>_</v>
          </cell>
          <cell r="FA149" t="str">
            <v>_</v>
          </cell>
          <cell r="FB149" t="str">
            <v>_</v>
          </cell>
          <cell r="FC149" t="str">
            <v>_</v>
          </cell>
          <cell r="FE149" t="str">
            <v>_</v>
          </cell>
          <cell r="FF149" t="str">
            <v>_</v>
          </cell>
          <cell r="FG149" t="str">
            <v>_</v>
          </cell>
          <cell r="FH149" t="str">
            <v>Done</v>
          </cell>
          <cell r="FI149" t="str">
            <v>Done</v>
          </cell>
          <cell r="FJ149" t="str">
            <v>NA</v>
          </cell>
          <cell r="FK149">
            <v>45803</v>
          </cell>
          <cell r="FM149" t="str">
            <v/>
          </cell>
          <cell r="FZ149" t="str">
            <v>WBS Created on 16-04-2025
Store vacated on 15-04-2025
Logistic aligned for FIM Movement on 17-04-2025
Mail shared Contract team for vendor mobilization on 16-04-2025
80% Packing done on 19-04-2025
Total Packing done on 21-04-2025
Equipment Removed on 21-04-2025
Store Front not available to EPC Work on 24-04-2025 due to FIM shifting not done as it planned on 25-04-2025 (night)
Workfront issue - No manpower at site - 28-04-2024
80% asset removed on 29-04-2025 / All asset removed on 05-05-2025
Remaining asset removal date plan on 05-05-2025
Scrap list exp by 10-05-2025 | Handover exp by 15-05-2025
Dismantling - 50% work done
Scrap approval mail shared to NHQ Design Team on 12-05-2025- approval received on 14-05-2025
Scrap &amp; Debris removed on 17-05-2025</v>
          </cell>
          <cell r="GG149" t="str">
            <v>2025-2026</v>
          </cell>
        </row>
        <row r="150">
          <cell r="E150" t="str">
            <v>Dehire-Phulora Pawai</v>
          </cell>
          <cell r="F150" t="str">
            <v>9. EPC Ready</v>
          </cell>
          <cell r="G150" t="str">
            <v>MIDHBK13590</v>
          </cell>
          <cell r="H150" t="str">
            <v>MU-SM-GMU-655</v>
          </cell>
          <cell r="I150" t="str">
            <v>T24M</v>
          </cell>
          <cell r="J150" t="str">
            <v>NA</v>
          </cell>
          <cell r="K150" t="str">
            <v>W</v>
          </cell>
          <cell r="L150" t="str">
            <v>KC</v>
          </cell>
          <cell r="N150" t="str">
            <v>Sh Sangram Shinde</v>
          </cell>
          <cell r="O150" t="str">
            <v>Sh Sangram Shinde</v>
          </cell>
          <cell r="P150" t="str">
            <v>Dindayal Maurya</v>
          </cell>
          <cell r="Q150" t="str">
            <v>Arju Tiwari</v>
          </cell>
          <cell r="R150" t="str">
            <v>Kiran Patil</v>
          </cell>
          <cell r="S150" t="str">
            <v>Maharashtra</v>
          </cell>
          <cell r="T150" t="str">
            <v>Mumbai</v>
          </cell>
          <cell r="U150" t="str">
            <v>Premium</v>
          </cell>
          <cell r="V150" t="str">
            <v>Misc Formats</v>
          </cell>
          <cell r="W150">
            <v>602</v>
          </cell>
          <cell r="X150" t="str">
            <v>Shop no. 3 &amp; 4, Phulora, Co. op. hsg Society, aadi Shankaracharya Road, Opp Powai IIT, Powai, Mumbai - 400076.</v>
          </cell>
          <cell r="Y150">
            <v>45762</v>
          </cell>
          <cell r="Z150" t="str">
            <v>NA</v>
          </cell>
          <cell r="AB150">
            <v>45737</v>
          </cell>
          <cell r="AC150">
            <v>45741</v>
          </cell>
          <cell r="AD150">
            <v>45759</v>
          </cell>
          <cell r="AE150">
            <v>45759</v>
          </cell>
          <cell r="AF150" t="str">
            <v>SDR DONE</v>
          </cell>
          <cell r="AG150">
            <v>17</v>
          </cell>
          <cell r="AH150" t="str">
            <v>NA</v>
          </cell>
          <cell r="AL150" t="str">
            <v>NA</v>
          </cell>
          <cell r="AN150" t="str">
            <v>NA</v>
          </cell>
          <cell r="AS150" t="str">
            <v>NA</v>
          </cell>
          <cell r="AT150" t="str">
            <v>NA</v>
          </cell>
          <cell r="AV150" t="str">
            <v>NA</v>
          </cell>
          <cell r="AW150" t="str">
            <v>NA</v>
          </cell>
          <cell r="AX150" t="str">
            <v>NA</v>
          </cell>
          <cell r="AZ150" t="str">
            <v>NA</v>
          </cell>
          <cell r="BF150" t="str">
            <v>NA</v>
          </cell>
          <cell r="BJ150" t="str">
            <v>NA</v>
          </cell>
          <cell r="BL150" t="str">
            <v>NA</v>
          </cell>
          <cell r="BN150" t="str">
            <v>NA</v>
          </cell>
          <cell r="BO150" t="str">
            <v>NA</v>
          </cell>
          <cell r="BR150" t="str">
            <v>NA</v>
          </cell>
          <cell r="BS150" t="str">
            <v>NA</v>
          </cell>
          <cell r="BU150" t="str">
            <v>NA</v>
          </cell>
          <cell r="BV150" t="str">
            <v>Done</v>
          </cell>
          <cell r="BW150" t="str">
            <v>07-04-2025</v>
          </cell>
          <cell r="BX150">
            <v>45758</v>
          </cell>
          <cell r="BY150" t="str">
            <v>Done</v>
          </cell>
          <cell r="BZ150" t="str">
            <v>Approved</v>
          </cell>
          <cell r="CA150" t="str">
            <v>Approved</v>
          </cell>
          <cell r="CC150" t="str">
            <v>NA</v>
          </cell>
          <cell r="CD150">
            <v>45398</v>
          </cell>
          <cell r="CE150">
            <v>45764</v>
          </cell>
          <cell r="CF150" t="str">
            <v>SARK CORPORATION</v>
          </cell>
          <cell r="CG150" t="str">
            <v>SARK CORPORATION</v>
          </cell>
          <cell r="CH150" t="str">
            <v>SARK CORPORATION</v>
          </cell>
          <cell r="CI150" t="str">
            <v>_</v>
          </cell>
          <cell r="CJ150">
            <v>45769</v>
          </cell>
          <cell r="CK150">
            <v>45769</v>
          </cell>
          <cell r="CL150">
            <v>45769</v>
          </cell>
          <cell r="CM150">
            <v>371</v>
          </cell>
          <cell r="CN150" t="str">
            <v>NA</v>
          </cell>
          <cell r="CO150" t="str">
            <v>NA</v>
          </cell>
          <cell r="CP150" t="str">
            <v>NA</v>
          </cell>
          <cell r="CR150" t="str">
            <v>NA</v>
          </cell>
          <cell r="CU150" t="str">
            <v>NA</v>
          </cell>
          <cell r="CW150" t="str">
            <v>NA</v>
          </cell>
          <cell r="DA150" t="str">
            <v>WO Done</v>
          </cell>
          <cell r="DB150" t="str">
            <v>WO Done</v>
          </cell>
          <cell r="DC150" t="str">
            <v>WO Done</v>
          </cell>
          <cell r="DD150">
            <v>45760</v>
          </cell>
          <cell r="DG150" t="str">
            <v>9. EPC Ready</v>
          </cell>
          <cell r="DH150" t="str">
            <v>_</v>
          </cell>
          <cell r="DI150" t="str">
            <v>_</v>
          </cell>
          <cell r="DJ150" t="str">
            <v>_</v>
          </cell>
          <cell r="DK150">
            <v>45762</v>
          </cell>
          <cell r="DM150" t="str">
            <v>_</v>
          </cell>
          <cell r="DN150" t="str">
            <v>_</v>
          </cell>
          <cell r="DO150" t="str">
            <v>Shared for WBS creation on 11-04-2025
Vendor Mobilization awaited</v>
          </cell>
          <cell r="DP150">
            <v>45765</v>
          </cell>
          <cell r="DQ150">
            <v>45765</v>
          </cell>
          <cell r="DR150">
            <v>15</v>
          </cell>
          <cell r="DS150">
            <v>35</v>
          </cell>
          <cell r="DT150" t="str">
            <v>_</v>
          </cell>
          <cell r="DU150">
            <v>45780</v>
          </cell>
          <cell r="DV150">
            <v>45800</v>
          </cell>
          <cell r="DX150" t="str">
            <v>_</v>
          </cell>
          <cell r="DY150">
            <v>45799</v>
          </cell>
          <cell r="DZ150">
            <v>45798</v>
          </cell>
          <cell r="EA150" t="str">
            <v>May 25 Week 3</v>
          </cell>
          <cell r="EB150" t="str">
            <v>Backlog</v>
          </cell>
          <cell r="ED150" t="str">
            <v/>
          </cell>
          <cell r="EE150" t="str">
            <v/>
          </cell>
          <cell r="EF150">
            <v>1</v>
          </cell>
          <cell r="EG150">
            <v>1</v>
          </cell>
          <cell r="EJ150">
            <v>45772</v>
          </cell>
          <cell r="EM150">
            <v>45779</v>
          </cell>
          <cell r="EP150">
            <v>45786</v>
          </cell>
          <cell r="ES150">
            <v>45793</v>
          </cell>
          <cell r="EV150">
            <v>45800</v>
          </cell>
          <cell r="EY150" t="str">
            <v>_</v>
          </cell>
          <cell r="EZ150" t="str">
            <v>_</v>
          </cell>
          <cell r="FA150" t="str">
            <v>_</v>
          </cell>
          <cell r="FB150" t="str">
            <v>_</v>
          </cell>
          <cell r="FC150" t="str">
            <v>_</v>
          </cell>
          <cell r="FE150" t="str">
            <v>_</v>
          </cell>
          <cell r="FF150" t="str">
            <v>_</v>
          </cell>
          <cell r="FG150" t="str">
            <v>_</v>
          </cell>
          <cell r="FH150" t="str">
            <v>Done</v>
          </cell>
          <cell r="FI150" t="str">
            <v>Done</v>
          </cell>
          <cell r="FJ150" t="str">
            <v>NA</v>
          </cell>
          <cell r="FK150">
            <v>45800</v>
          </cell>
          <cell r="FM150" t="str">
            <v/>
          </cell>
          <cell r="FZ150" t="str">
            <v>Store vacated from NSO on 15-04-2025
WBS Created by commercial o 15-04-2025
BOQ shared for vendor finalization on 15-04-2025
IT/SLP Packing done on 18-04-2025
Fixture &amp; Eqp dismantling and packing done on 18-04-2025
MOM is done by EPC vendor on 22-04-2025 at 6 PM
EPC Work  started from 24-04-2025
Plumbing Work dismantling - WIP (Manpower -01)
26-04-2025 - Manpower Count - 05
Dismantling - 90% done
Mathadi  Issue - filled Vehicle unload by mathadi on 29-04-2025
Phulora Powari site work is on hold from 29-04-2025 due to Mathadi issue
Assest removed by procurement on 07-05-2025 (Night)
Scrap approval mail shared to NHQ Design Team on 12-05-2025-approval received on 14-05-2025 - scrap removed on 14-05-2025</v>
          </cell>
          <cell r="GG150" t="str">
            <v>2025-2026</v>
          </cell>
        </row>
        <row r="151">
          <cell r="E151" t="str">
            <v>Dehire Goodwill Paradise,</v>
          </cell>
          <cell r="F151" t="str">
            <v>9. EPC Ready</v>
          </cell>
          <cell r="G151" t="str">
            <v>MIDHKC13591</v>
          </cell>
          <cell r="H151" t="str">
            <v>MU-SM-GMU-731</v>
          </cell>
          <cell r="I151" t="str">
            <v>TI1P</v>
          </cell>
          <cell r="J151" t="str">
            <v>NA</v>
          </cell>
          <cell r="K151" t="str">
            <v>W</v>
          </cell>
          <cell r="L151" t="str">
            <v>KC</v>
          </cell>
          <cell r="N151" t="str">
            <v>Sangram Shinde</v>
          </cell>
          <cell r="O151" t="str">
            <v>Sangram Shinde</v>
          </cell>
          <cell r="P151" t="str">
            <v>Prashant 38 kumar/Rahulkumar Mishra</v>
          </cell>
          <cell r="Q151" t="str">
            <v>Arju Tiwari</v>
          </cell>
          <cell r="R151" t="str">
            <v>Kiran Patil</v>
          </cell>
          <cell r="S151" t="str">
            <v>Maharashtra</v>
          </cell>
          <cell r="T151" t="str">
            <v>Mumbai</v>
          </cell>
          <cell r="U151" t="str">
            <v>Premium</v>
          </cell>
          <cell r="V151" t="str">
            <v>Misc Formats</v>
          </cell>
          <cell r="W151">
            <v>992</v>
          </cell>
          <cell r="X151" t="str">
            <v>Shop No.3,GOODWILL PARADISE, Plot No.24, Sector No.15, Sion - Panvel Expy, Gharkul, Sector 15, Kharghar, Navi Mumbai, Maharashtra 410210</v>
          </cell>
          <cell r="Y151">
            <v>45786</v>
          </cell>
          <cell r="Z151" t="str">
            <v>NA</v>
          </cell>
          <cell r="AB151">
            <v>45737</v>
          </cell>
          <cell r="AC151">
            <v>45742</v>
          </cell>
          <cell r="AD151">
            <v>45707</v>
          </cell>
          <cell r="AE151">
            <v>45707</v>
          </cell>
          <cell r="AF151" t="str">
            <v>Done</v>
          </cell>
          <cell r="AG151">
            <v>0</v>
          </cell>
          <cell r="AH151" t="str">
            <v>Visit Done, BOQ awaited from Site Team</v>
          </cell>
          <cell r="AL151" t="str">
            <v>NA</v>
          </cell>
          <cell r="AN151" t="str">
            <v>NA</v>
          </cell>
          <cell r="AS151" t="str">
            <v>NA</v>
          </cell>
          <cell r="AT151" t="str">
            <v>NA</v>
          </cell>
          <cell r="AV151" t="str">
            <v>NA</v>
          </cell>
          <cell r="AW151" t="str">
            <v>NA</v>
          </cell>
          <cell r="AX151" t="str">
            <v>NA</v>
          </cell>
          <cell r="AZ151" t="str">
            <v>NA</v>
          </cell>
          <cell r="BF151" t="str">
            <v>NA</v>
          </cell>
          <cell r="BJ151" t="str">
            <v>NA</v>
          </cell>
          <cell r="BL151" t="str">
            <v>NA</v>
          </cell>
          <cell r="BN151" t="str">
            <v>NA</v>
          </cell>
          <cell r="BO151" t="str">
            <v>NA</v>
          </cell>
          <cell r="BR151" t="str">
            <v>NA</v>
          </cell>
          <cell r="BS151" t="str">
            <v>NA</v>
          </cell>
          <cell r="BU151" t="str">
            <v>NA</v>
          </cell>
          <cell r="BV151" t="str">
            <v>Done</v>
          </cell>
          <cell r="BW151" t="str">
            <v>02-04-2025</v>
          </cell>
          <cell r="BX151">
            <v>45758</v>
          </cell>
          <cell r="BY151" t="str">
            <v>Done</v>
          </cell>
          <cell r="BZ151" t="str">
            <v>Approved</v>
          </cell>
          <cell r="CA151" t="str">
            <v>Approved</v>
          </cell>
          <cell r="CC151" t="str">
            <v>NA</v>
          </cell>
          <cell r="CD151">
            <v>45747</v>
          </cell>
          <cell r="CE151">
            <v>45792</v>
          </cell>
          <cell r="CF151" t="str">
            <v>BHAKTI ENTERPRISES</v>
          </cell>
          <cell r="CG151" t="str">
            <v>BHAKTI ENTERPRISES</v>
          </cell>
          <cell r="CH151" t="str">
            <v>BHAKTI ENTERPRISES</v>
          </cell>
          <cell r="CI151" t="str">
            <v>_</v>
          </cell>
          <cell r="CJ151">
            <v>45762</v>
          </cell>
          <cell r="CK151">
            <v>45762</v>
          </cell>
          <cell r="CL151">
            <v>45762</v>
          </cell>
          <cell r="CM151">
            <v>15</v>
          </cell>
          <cell r="CN151" t="str">
            <v>NA</v>
          </cell>
          <cell r="CO151" t="str">
            <v>NA</v>
          </cell>
          <cell r="CP151" t="str">
            <v>NA</v>
          </cell>
          <cell r="CR151" t="str">
            <v>NA</v>
          </cell>
          <cell r="CU151" t="str">
            <v>NA</v>
          </cell>
          <cell r="CW151" t="str">
            <v>NA</v>
          </cell>
          <cell r="DA151" t="str">
            <v>WO Done</v>
          </cell>
          <cell r="DB151" t="str">
            <v>WO Done</v>
          </cell>
          <cell r="DC151" t="str">
            <v>WO Done</v>
          </cell>
          <cell r="DD151">
            <v>45778</v>
          </cell>
          <cell r="DG151" t="str">
            <v>9. EPC Ready</v>
          </cell>
          <cell r="DH151" t="str">
            <v>_</v>
          </cell>
          <cell r="DI151" t="str">
            <v>_</v>
          </cell>
          <cell r="DJ151" t="str">
            <v>_</v>
          </cell>
          <cell r="DK151">
            <v>45789</v>
          </cell>
          <cell r="DM151" t="str">
            <v>_</v>
          </cell>
          <cell r="DN151" t="str">
            <v>_</v>
          </cell>
          <cell r="DO151" t="str">
            <v>Shared for WBS creation on 11-04-2025
WBS Creation pending due to Business return STO pendency</v>
          </cell>
          <cell r="DP151">
            <v>45792</v>
          </cell>
          <cell r="DQ151">
            <v>45790</v>
          </cell>
          <cell r="DR151">
            <v>15</v>
          </cell>
          <cell r="DS151">
            <v>35</v>
          </cell>
          <cell r="DT151" t="str">
            <v>_</v>
          </cell>
          <cell r="DU151">
            <v>45805</v>
          </cell>
          <cell r="DV151">
            <v>45825</v>
          </cell>
          <cell r="DX151" t="str">
            <v>_</v>
          </cell>
          <cell r="DY151">
            <v>45807</v>
          </cell>
          <cell r="DZ151">
            <v>45811</v>
          </cell>
          <cell r="EA151" t="str">
            <v>June 25 Week 1</v>
          </cell>
          <cell r="EB151" t="str">
            <v>Plan</v>
          </cell>
          <cell r="ED151" t="str">
            <v/>
          </cell>
          <cell r="EE151" t="str">
            <v/>
          </cell>
          <cell r="EF151">
            <v>1</v>
          </cell>
          <cell r="EG151">
            <v>1</v>
          </cell>
          <cell r="EJ151">
            <v>45797</v>
          </cell>
          <cell r="EM151">
            <v>45804</v>
          </cell>
          <cell r="EP151">
            <v>45811</v>
          </cell>
          <cell r="ES151">
            <v>45818</v>
          </cell>
          <cell r="EV151">
            <v>45825</v>
          </cell>
          <cell r="EY151" t="str">
            <v>_</v>
          </cell>
          <cell r="EZ151" t="str">
            <v>_</v>
          </cell>
          <cell r="FA151" t="str">
            <v>_</v>
          </cell>
          <cell r="FB151" t="str">
            <v>_</v>
          </cell>
          <cell r="FC151" t="str">
            <v>_</v>
          </cell>
          <cell r="FE151" t="str">
            <v>_</v>
          </cell>
          <cell r="FF151" t="str">
            <v>_</v>
          </cell>
          <cell r="FG151" t="str">
            <v>_</v>
          </cell>
          <cell r="FH151" t="str">
            <v>Done</v>
          </cell>
          <cell r="FI151" t="str">
            <v>Done</v>
          </cell>
          <cell r="FJ151" t="str">
            <v>NA</v>
          </cell>
          <cell r="FK151">
            <v>45812</v>
          </cell>
          <cell r="FM151" t="str">
            <v/>
          </cell>
          <cell r="FZ151" t="str">
            <v>FIM Dismantling- Done 25-04-2025 and packing - WIP - 29-04-2025
WBS created on 12-05-2025
IT/SLP assest movement done for warehouse - on dated 13-05-2025
02 vehicle asset removed on 20-05-2025
EPC Vendor visit plan on 22-05-2025
Scrap approval received on 26-05-2025
75% scrap removed on 29-05-2025- Total scrap removed on 30-05-2025
Debris removed on 31-05-2025
Restoration work wip</v>
          </cell>
          <cell r="GG151" t="str">
            <v>2025-2026</v>
          </cell>
        </row>
        <row r="152">
          <cell r="E152" t="str">
            <v>Kiosk 247 Embassy, Vikhroli, Mumbai-Old Location</v>
          </cell>
          <cell r="F152" t="str">
            <v>14. Dropped</v>
          </cell>
          <cell r="G152" t="str">
            <v>NA</v>
          </cell>
          <cell r="H152" t="str">
            <v>_</v>
          </cell>
          <cell r="I152" t="str">
            <v>_</v>
          </cell>
          <cell r="K152" t="str">
            <v>W</v>
          </cell>
          <cell r="L152" t="str">
            <v>BK</v>
          </cell>
          <cell r="N152" t="str">
            <v>Sh Mrudang Shah</v>
          </cell>
          <cell r="O152" t="str">
            <v>Sh Nitin Dawange</v>
          </cell>
          <cell r="Q152" t="str">
            <v>Arju Tiwari</v>
          </cell>
          <cell r="R152" t="str">
            <v>Kiran Patil</v>
          </cell>
          <cell r="S152" t="str">
            <v>Maharashtra</v>
          </cell>
          <cell r="T152" t="str">
            <v>Mumbai</v>
          </cell>
          <cell r="U152" t="str">
            <v>Premium</v>
          </cell>
          <cell r="V152" t="str">
            <v>Misc Formats</v>
          </cell>
          <cell r="X152" t="str">
            <v>Surya Nagar, Gandhi Nagar, Vikhroli West, Mumbai</v>
          </cell>
          <cell r="Z152" t="str">
            <v>_</v>
          </cell>
          <cell r="AB152">
            <v>45750</v>
          </cell>
          <cell r="AC152">
            <v>45751</v>
          </cell>
          <cell r="AD152">
            <v>45757</v>
          </cell>
          <cell r="AE152">
            <v>45757</v>
          </cell>
          <cell r="AF152" t="str">
            <v>Done</v>
          </cell>
          <cell r="AG152">
            <v>2</v>
          </cell>
          <cell r="AH152" t="str">
            <v>PFR Received on 09-04-2025</v>
          </cell>
          <cell r="AL152" t="str">
            <v>Pending</v>
          </cell>
          <cell r="AM152">
            <v>415</v>
          </cell>
          <cell r="DG152" t="str">
            <v>14. Dropped</v>
          </cell>
          <cell r="DX152" t="str">
            <v/>
          </cell>
          <cell r="EA152" t="str">
            <v/>
          </cell>
          <cell r="ED152" t="str">
            <v/>
          </cell>
          <cell r="EE152" t="str">
            <v/>
          </cell>
          <cell r="FM152" t="str">
            <v/>
          </cell>
          <cell r="GG152" t="str">
            <v>2025-2026</v>
          </cell>
        </row>
        <row r="153">
          <cell r="E153" t="str">
            <v>Kiosk Aurum ,Ghansoli- Navi Mumbai</v>
          </cell>
          <cell r="F153" t="str">
            <v>10. Launched</v>
          </cell>
          <cell r="G153" t="str">
            <v>SEVEBK13378</v>
          </cell>
          <cell r="H153" t="str">
            <v>MU-SM-GMU-810</v>
          </cell>
          <cell r="I153" t="str">
            <v>TM7Y</v>
          </cell>
          <cell r="J153" t="str">
            <v>QZ9N</v>
          </cell>
          <cell r="K153" t="str">
            <v>W</v>
          </cell>
          <cell r="L153" t="str">
            <v>BK</v>
          </cell>
          <cell r="N153" t="str">
            <v>Sh Mrudang Shah</v>
          </cell>
          <cell r="O153" t="str">
            <v>Sh Nitin Dawange</v>
          </cell>
          <cell r="P153" t="str">
            <v>Dharmendra Mhatre</v>
          </cell>
          <cell r="Q153" t="str">
            <v>Arju Tiwari</v>
          </cell>
          <cell r="R153" t="str">
            <v>Kiran Patil</v>
          </cell>
          <cell r="S153" t="str">
            <v>Maharashtra</v>
          </cell>
          <cell r="T153" t="str">
            <v>Mumbai</v>
          </cell>
          <cell r="U153" t="str">
            <v>Premium</v>
          </cell>
          <cell r="V153" t="str">
            <v>Misc Formats</v>
          </cell>
          <cell r="W153">
            <v>160</v>
          </cell>
          <cell r="X153" t="str">
            <v>Aurum Q Park, MIDC Industrial Area, Ghansoli, Navi Mumbai</v>
          </cell>
          <cell r="Y153">
            <v>45933</v>
          </cell>
          <cell r="Z153" t="str">
            <v>_</v>
          </cell>
          <cell r="AB153">
            <v>45750</v>
          </cell>
          <cell r="AC153">
            <v>45755</v>
          </cell>
          <cell r="AD153">
            <v>45758</v>
          </cell>
          <cell r="AE153">
            <v>45758</v>
          </cell>
          <cell r="AF153" t="str">
            <v>SDR DONE</v>
          </cell>
          <cell r="AG153">
            <v>3</v>
          </cell>
          <cell r="AH153" t="str">
            <v>_</v>
          </cell>
          <cell r="AJ153">
            <v>1</v>
          </cell>
          <cell r="AK153">
            <v>45912</v>
          </cell>
          <cell r="AL153" t="str">
            <v>Received</v>
          </cell>
          <cell r="AM153">
            <v>149</v>
          </cell>
          <cell r="AN153" t="str">
            <v>_</v>
          </cell>
          <cell r="AO153">
            <v>45915</v>
          </cell>
          <cell r="AP153">
            <v>45815</v>
          </cell>
          <cell r="AQ153">
            <v>0</v>
          </cell>
          <cell r="AR153">
            <v>45815</v>
          </cell>
          <cell r="AS153">
            <v>-100</v>
          </cell>
          <cell r="AT153" t="str">
            <v>Received</v>
          </cell>
          <cell r="AU153">
            <v>45916</v>
          </cell>
          <cell r="AV153" t="str">
            <v>NA</v>
          </cell>
          <cell r="AW153" t="str">
            <v>NA</v>
          </cell>
          <cell r="AX153" t="str">
            <v>NA</v>
          </cell>
          <cell r="AZ153" t="str">
            <v>_</v>
          </cell>
          <cell r="BA153">
            <v>45917</v>
          </cell>
          <cell r="BB153">
            <v>45809</v>
          </cell>
          <cell r="BC153">
            <v>0</v>
          </cell>
          <cell r="BD153">
            <v>45809</v>
          </cell>
          <cell r="BE153">
            <v>-108</v>
          </cell>
          <cell r="BF153" t="str">
            <v>Plumbing BOQ Received on 05-06-2025
Plumbing R1  Docket - 14 Nov 25</v>
          </cell>
          <cell r="BG153">
            <v>45917</v>
          </cell>
          <cell r="BI153">
            <v>0</v>
          </cell>
          <cell r="BJ153">
            <v>45966</v>
          </cell>
          <cell r="BK153">
            <v>48</v>
          </cell>
          <cell r="BL153" t="str">
            <v>Received</v>
          </cell>
          <cell r="BM153">
            <v>45915</v>
          </cell>
          <cell r="BN153" t="str">
            <v>NA</v>
          </cell>
          <cell r="BO153" t="str">
            <v>NA</v>
          </cell>
          <cell r="BP153">
            <v>45915</v>
          </cell>
          <cell r="BQ153">
            <v>45807</v>
          </cell>
          <cell r="BR153" t="str">
            <v>Received</v>
          </cell>
          <cell r="BS153">
            <v>45914</v>
          </cell>
          <cell r="BU153" t="str">
            <v xml:space="preserve"> (Fixture BOQ received from Business on 30-05-2025 )
the Kiosk roof should be non-perforated metal sheet cladding due to pigeon issue.- 09-06-2025
</v>
          </cell>
          <cell r="BV153" t="str">
            <v>Done</v>
          </cell>
          <cell r="BW153" t="str">
            <v>24-06-2025</v>
          </cell>
          <cell r="BX153">
            <v>45902</v>
          </cell>
          <cell r="BY153" t="str">
            <v>Done</v>
          </cell>
          <cell r="CB153">
            <v>45944</v>
          </cell>
          <cell r="CD153">
            <v>45817</v>
          </cell>
          <cell r="CE153">
            <v>45966</v>
          </cell>
          <cell r="CF153" t="str">
            <v>BHAKTI ENTERPRISES</v>
          </cell>
          <cell r="CG153" t="str">
            <v>BHAKTI ENTERPRISES</v>
          </cell>
          <cell r="CH153" t="str">
            <v>NA</v>
          </cell>
          <cell r="CJ153">
            <v>45967</v>
          </cell>
          <cell r="CK153">
            <v>45967</v>
          </cell>
          <cell r="CN153">
            <v>45988</v>
          </cell>
          <cell r="CO153">
            <v>45992</v>
          </cell>
          <cell r="CQ153">
            <v>45989</v>
          </cell>
          <cell r="CR153">
            <v>45992</v>
          </cell>
          <cell r="DA153" t="str">
            <v>R1 BOQ pending from contracts for PR</v>
          </cell>
          <cell r="DB153" t="str">
            <v>R1 BOQ pending from contracts for PR</v>
          </cell>
          <cell r="DC153" t="str">
            <v>NA</v>
          </cell>
          <cell r="DD153">
            <v>45944</v>
          </cell>
          <cell r="DE153">
            <v>30</v>
          </cell>
          <cell r="DF153">
            <v>45975</v>
          </cell>
          <cell r="DG153" t="str">
            <v>10. Launched</v>
          </cell>
          <cell r="DK153">
            <v>45945</v>
          </cell>
          <cell r="DL153">
            <v>45937</v>
          </cell>
          <cell r="DN153" t="str">
            <v>Procurement</v>
          </cell>
          <cell r="DO153" t="str">
            <v>1) RFC Visit done on 15-10-2025
2)Kiosk structure to be delivered by 20-11-2025
3)SLP deployed on 18 Nov 25
4)Boardout done on 18 Nov 25</v>
          </cell>
          <cell r="DP153">
            <v>45948</v>
          </cell>
          <cell r="DQ153">
            <v>45980</v>
          </cell>
          <cell r="DR153">
            <v>15</v>
          </cell>
          <cell r="DS153">
            <v>21</v>
          </cell>
          <cell r="DU153">
            <v>45995</v>
          </cell>
          <cell r="DV153">
            <v>46001</v>
          </cell>
          <cell r="DW153">
            <v>45995</v>
          </cell>
          <cell r="DX153" t="str">
            <v>Dec 25 Week 1</v>
          </cell>
          <cell r="DY153">
            <v>46001</v>
          </cell>
          <cell r="DZ153">
            <v>45996</v>
          </cell>
          <cell r="EA153" t="str">
            <v>Dec 25 Week 1</v>
          </cell>
          <cell r="EB153" t="str">
            <v>Plan</v>
          </cell>
          <cell r="ED153" t="str">
            <v/>
          </cell>
          <cell r="EE153" t="str">
            <v/>
          </cell>
          <cell r="EF153">
            <v>1</v>
          </cell>
          <cell r="EG153">
            <v>1</v>
          </cell>
          <cell r="EJ153">
            <v>45987</v>
          </cell>
          <cell r="EM153">
            <v>45994</v>
          </cell>
          <cell r="EP153">
            <v>46001</v>
          </cell>
          <cell r="ES153">
            <v>46008</v>
          </cell>
          <cell r="EV153">
            <v>46015</v>
          </cell>
          <cell r="FD153">
            <v>1</v>
          </cell>
          <cell r="FE153" t="str">
            <v>0 to 3 Days</v>
          </cell>
          <cell r="FF153">
            <v>33</v>
          </cell>
          <cell r="FG153" t="str">
            <v>31 to 61 Days</v>
          </cell>
          <cell r="FH153" t="str">
            <v>Done</v>
          </cell>
          <cell r="FI153">
            <v>45996</v>
          </cell>
          <cell r="FJ153">
            <v>46007</v>
          </cell>
          <cell r="FK153">
            <v>46007</v>
          </cell>
          <cell r="FM153" t="str">
            <v/>
          </cell>
          <cell r="FZ153" t="str">
            <v>1) SLP deployed on 19 Nov 25
2) Kiosk delivered at Site on 21 Nov 25 
3) Kiosk installation  started on 21 Nov 25
4) Kiosk installation  finished  on 25 Nov 25 
5) Electrical conduiting work started on 25 Nov 25 amd completed
6) SLP callout given on 29 Nov 25
7) Plumbing work started on 1 Dec 25 and completed
8) IT Call out given on 4 Dec 25</v>
          </cell>
          <cell r="GB153">
            <v>45979</v>
          </cell>
          <cell r="GC153">
            <v>45979</v>
          </cell>
          <cell r="GG153" t="str">
            <v>2025-2026</v>
          </cell>
        </row>
        <row r="154">
          <cell r="E154" t="str">
            <v>Dehire - Smart Bazaar, Thakur Mall, Dahisar</v>
          </cell>
          <cell r="F154" t="str">
            <v>9. EPC Ready</v>
          </cell>
          <cell r="G154" t="str">
            <v>SEVDKC13715</v>
          </cell>
          <cell r="H154" t="str">
            <v>_</v>
          </cell>
          <cell r="I154" t="str">
            <v>_</v>
          </cell>
          <cell r="J154" t="str">
            <v>NA</v>
          </cell>
          <cell r="K154" t="str">
            <v>W</v>
          </cell>
          <cell r="L154" t="str">
            <v>KC</v>
          </cell>
          <cell r="N154" t="str">
            <v>Sh Sangram Shinde</v>
          </cell>
          <cell r="O154" t="str">
            <v>Sh Sangram Shinde</v>
          </cell>
          <cell r="P154" t="str">
            <v>Dindayal Maurya</v>
          </cell>
          <cell r="Q154" t="str">
            <v>Arju Tiwari</v>
          </cell>
          <cell r="R154" t="str">
            <v>Kiran Patil</v>
          </cell>
          <cell r="S154" t="str">
            <v>Maharashtra</v>
          </cell>
          <cell r="T154" t="str">
            <v>Mumbai</v>
          </cell>
          <cell r="U154" t="str">
            <v>Premium</v>
          </cell>
          <cell r="V154" t="str">
            <v>Misc Formats</v>
          </cell>
          <cell r="W154">
            <v>393</v>
          </cell>
          <cell r="X154" t="str">
            <v>Smart Bazaar, Thakur Mall, Dahisar</v>
          </cell>
          <cell r="Z154" t="str">
            <v>NA</v>
          </cell>
          <cell r="AB154" t="str">
            <v>NA</v>
          </cell>
          <cell r="AF154" t="str">
            <v>NA</v>
          </cell>
          <cell r="AG154" t="str">
            <v>NA</v>
          </cell>
          <cell r="AH154" t="str">
            <v>Site Visit Plan on 17-04-2025 - site visit cancelled as SM was not available</v>
          </cell>
          <cell r="AL154" t="str">
            <v>NA</v>
          </cell>
          <cell r="AN154" t="str">
            <v>NA</v>
          </cell>
          <cell r="AS154" t="str">
            <v>NA</v>
          </cell>
          <cell r="AT154" t="str">
            <v>NA</v>
          </cell>
          <cell r="AV154" t="str">
            <v>NA</v>
          </cell>
          <cell r="AW154" t="str">
            <v>NA</v>
          </cell>
          <cell r="AX154" t="str">
            <v>NA</v>
          </cell>
          <cell r="AZ154" t="str">
            <v>NA</v>
          </cell>
          <cell r="BF154" t="str">
            <v>NA</v>
          </cell>
          <cell r="BJ154" t="str">
            <v>NA</v>
          </cell>
          <cell r="BL154" t="str">
            <v>NA</v>
          </cell>
          <cell r="BN154" t="str">
            <v>NA</v>
          </cell>
          <cell r="BO154" t="str">
            <v>NA</v>
          </cell>
          <cell r="BR154" t="str">
            <v>NA</v>
          </cell>
          <cell r="BS154" t="str">
            <v>NA</v>
          </cell>
          <cell r="BU154" t="str">
            <v>Scope of work shared by Business on 29-04-2025
Budget awaited from Zonal Team</v>
          </cell>
          <cell r="BV154" t="str">
            <v>Done</v>
          </cell>
          <cell r="BW154" t="str">
            <v>07-05-2025</v>
          </cell>
          <cell r="BX154">
            <v>45797</v>
          </cell>
          <cell r="BY154" t="str">
            <v>Done</v>
          </cell>
          <cell r="BZ154" t="str">
            <v>Approved</v>
          </cell>
          <cell r="CA154" t="str">
            <v>Approved</v>
          </cell>
          <cell r="CC154" t="str">
            <v>NA</v>
          </cell>
          <cell r="CD154">
            <v>45783</v>
          </cell>
          <cell r="CE154">
            <v>45804</v>
          </cell>
          <cell r="CF154" t="str">
            <v>Sark Corporation</v>
          </cell>
          <cell r="CG154" t="str">
            <v>Sark Corporation</v>
          </cell>
          <cell r="CH154" t="str">
            <v>Sark Corporation</v>
          </cell>
          <cell r="CI154" t="str">
            <v>_</v>
          </cell>
          <cell r="CJ154">
            <v>45804</v>
          </cell>
          <cell r="CK154">
            <v>45804</v>
          </cell>
          <cell r="CL154">
            <v>45804</v>
          </cell>
          <cell r="CM154">
            <v>21</v>
          </cell>
          <cell r="CN154" t="str">
            <v>NA</v>
          </cell>
          <cell r="CO154" t="str">
            <v>NA</v>
          </cell>
          <cell r="CP154" t="str">
            <v>NA</v>
          </cell>
          <cell r="CR154" t="str">
            <v>NA</v>
          </cell>
          <cell r="CU154" t="str">
            <v>NA</v>
          </cell>
          <cell r="CW154" t="str">
            <v>NA</v>
          </cell>
          <cell r="DA154" t="str">
            <v>WO Done</v>
          </cell>
          <cell r="DB154" t="str">
            <v>WO Done</v>
          </cell>
          <cell r="DC154" t="str">
            <v>WO Done</v>
          </cell>
          <cell r="DG154" t="str">
            <v>9. EPC Ready</v>
          </cell>
          <cell r="DH154" t="str">
            <v>_</v>
          </cell>
          <cell r="DI154" t="str">
            <v>_</v>
          </cell>
          <cell r="DJ154" t="str">
            <v>_</v>
          </cell>
          <cell r="DM154" t="str">
            <v>_</v>
          </cell>
          <cell r="DN154" t="str">
            <v>_</v>
          </cell>
          <cell r="DO154" t="str">
            <v>Vendor Mobilization Awaited</v>
          </cell>
          <cell r="DP154">
            <v>45806</v>
          </cell>
          <cell r="DQ154">
            <v>45806</v>
          </cell>
          <cell r="DR154">
            <v>15</v>
          </cell>
          <cell r="DS154">
            <v>35</v>
          </cell>
          <cell r="DT154" t="str">
            <v>_</v>
          </cell>
          <cell r="DU154">
            <v>45821</v>
          </cell>
          <cell r="DV154">
            <v>45841</v>
          </cell>
          <cell r="DX154" t="str">
            <v>_</v>
          </cell>
          <cell r="DY154">
            <v>45825</v>
          </cell>
          <cell r="DZ154">
            <v>45826</v>
          </cell>
          <cell r="EA154" t="str">
            <v>June 25 Week 3</v>
          </cell>
          <cell r="EB154" t="str">
            <v>Backlog</v>
          </cell>
          <cell r="ED154" t="str">
            <v/>
          </cell>
          <cell r="EE154" t="str">
            <v/>
          </cell>
          <cell r="EF154">
            <v>1</v>
          </cell>
          <cell r="EG154">
            <v>1</v>
          </cell>
          <cell r="EJ154">
            <v>45813</v>
          </cell>
          <cell r="EM154">
            <v>45820</v>
          </cell>
          <cell r="EP154">
            <v>45827</v>
          </cell>
          <cell r="ES154">
            <v>45834</v>
          </cell>
          <cell r="EV154">
            <v>45841</v>
          </cell>
          <cell r="EY154" t="str">
            <v>_</v>
          </cell>
          <cell r="EZ154" t="str">
            <v>_</v>
          </cell>
          <cell r="FA154" t="str">
            <v>_</v>
          </cell>
          <cell r="FB154" t="str">
            <v>_</v>
          </cell>
          <cell r="FC154" t="str">
            <v>_</v>
          </cell>
          <cell r="FE154" t="str">
            <v>_</v>
          </cell>
          <cell r="FF154" t="str">
            <v>_</v>
          </cell>
          <cell r="FG154" t="str">
            <v>_</v>
          </cell>
          <cell r="FH154" t="str">
            <v>Done</v>
          </cell>
          <cell r="FI154">
            <v>45828</v>
          </cell>
          <cell r="FJ154" t="str">
            <v>NA</v>
          </cell>
          <cell r="FK154">
            <v>45828</v>
          </cell>
          <cell r="FM154" t="str">
            <v/>
          </cell>
          <cell r="FZ154" t="str">
            <v>Site Visit Plan on 17-04-2025 - site visit cancelled as SM was not available
Scope of work shared by Business on 29-04-2025
WBS created on 21-05-2025
Merchandise removed on 23-05-2025
01 vehicle Assest  removed from store on 28-05-2025
Scrap PPT received on 09-06-2025-approval done on 10-06-2025
Dismantling work completed on 10-06-2025
Local scrap vendor quotation awaited-all scrap removed on 12-06-2025 (night)</v>
          </cell>
          <cell r="GG154" t="str">
            <v>2025-2026</v>
          </cell>
        </row>
        <row r="155">
          <cell r="E155" t="str">
            <v>Kiosk BITS- Kalyan 8&amp;9-Old Location</v>
          </cell>
          <cell r="F155" t="str">
            <v>14. Dropped</v>
          </cell>
          <cell r="G155" t="str">
            <v>NA</v>
          </cell>
          <cell r="H155" t="str">
            <v>_</v>
          </cell>
          <cell r="I155" t="str">
            <v>_</v>
          </cell>
          <cell r="K155" t="str">
            <v>W</v>
          </cell>
          <cell r="L155" t="str">
            <v>BK</v>
          </cell>
          <cell r="N155" t="str">
            <v>Nitin dawange</v>
          </cell>
          <cell r="O155" t="str">
            <v>Nitin Dawange</v>
          </cell>
          <cell r="Q155" t="str">
            <v>Arju Tiwari</v>
          </cell>
          <cell r="R155" t="str">
            <v>Kiran Patil</v>
          </cell>
          <cell r="S155" t="str">
            <v>Maharashtra</v>
          </cell>
          <cell r="T155" t="str">
            <v>Mumbai</v>
          </cell>
          <cell r="U155" t="str">
            <v>Premium</v>
          </cell>
          <cell r="V155" t="str">
            <v>Misc Formats</v>
          </cell>
          <cell r="X155" t="str">
            <v>Kiosk BITS- Kalyan 8&amp;9-Old Location</v>
          </cell>
          <cell r="Z155" t="str">
            <v>_</v>
          </cell>
          <cell r="AB155">
            <v>45776</v>
          </cell>
          <cell r="AC155">
            <v>45779</v>
          </cell>
          <cell r="AD155">
            <v>45785</v>
          </cell>
          <cell r="AF155" t="str">
            <v>Done</v>
          </cell>
          <cell r="AG155">
            <v>4</v>
          </cell>
          <cell r="AH155" t="str">
            <v>_</v>
          </cell>
          <cell r="AL155" t="str">
            <v>Pending</v>
          </cell>
          <cell r="AM155">
            <v>387</v>
          </cell>
          <cell r="BU155" t="str">
            <v>Pending</v>
          </cell>
          <cell r="DG155" t="str">
            <v>14. Dropped</v>
          </cell>
          <cell r="DX155" t="str">
            <v/>
          </cell>
          <cell r="EA155" t="str">
            <v/>
          </cell>
          <cell r="ED155" t="str">
            <v/>
          </cell>
          <cell r="EE155" t="str">
            <v/>
          </cell>
          <cell r="FM155" t="str">
            <v/>
          </cell>
          <cell r="GG155" t="str">
            <v>2024-2025</v>
          </cell>
        </row>
        <row r="156">
          <cell r="E156" t="str">
            <v>Kiosk 247 Embassy, Vikhroli, Mumbai-1</v>
          </cell>
          <cell r="F156" t="str">
            <v>5. Budget approved RFC awaited</v>
          </cell>
          <cell r="G156" t="str">
            <v>SEVEBK13812</v>
          </cell>
          <cell r="H156" t="str">
            <v>_</v>
          </cell>
          <cell r="I156" t="str">
            <v>_</v>
          </cell>
          <cell r="J156" t="str">
            <v>_</v>
          </cell>
          <cell r="K156" t="str">
            <v>W</v>
          </cell>
          <cell r="L156" t="str">
            <v>BK</v>
          </cell>
          <cell r="N156" t="str">
            <v>Sh Anand Patade</v>
          </cell>
          <cell r="O156" t="str">
            <v>Sh Nitin Dawange</v>
          </cell>
          <cell r="Q156" t="str">
            <v>Arju Tiwari</v>
          </cell>
          <cell r="R156" t="str">
            <v>Kiran Patil</v>
          </cell>
          <cell r="S156" t="str">
            <v>Maharashtra</v>
          </cell>
          <cell r="T156" t="str">
            <v>Mumbai</v>
          </cell>
          <cell r="U156" t="str">
            <v>Premium</v>
          </cell>
          <cell r="V156" t="str">
            <v>Misc Formats</v>
          </cell>
          <cell r="W156">
            <v>200</v>
          </cell>
          <cell r="X156" t="str">
            <v>Kiosk 247 Embassy, Vikhroli, Mumbai-1</v>
          </cell>
          <cell r="Z156" t="str">
            <v>_</v>
          </cell>
          <cell r="AB156">
            <v>45784</v>
          </cell>
          <cell r="AC156">
            <v>45789</v>
          </cell>
          <cell r="AD156">
            <v>45797</v>
          </cell>
          <cell r="AE156">
            <v>45797</v>
          </cell>
          <cell r="AF156" t="str">
            <v>Done</v>
          </cell>
          <cell r="AG156">
            <v>8</v>
          </cell>
          <cell r="AH156" t="str">
            <v>PFR Received on 16-05-2025</v>
          </cell>
          <cell r="AJ156">
            <v>4</v>
          </cell>
          <cell r="AK156">
            <v>46007</v>
          </cell>
          <cell r="AL156" t="str">
            <v>Received</v>
          </cell>
          <cell r="AM156">
            <v>205</v>
          </cell>
          <cell r="AN156" t="str">
            <v>_</v>
          </cell>
          <cell r="AO156">
            <v>46010</v>
          </cell>
          <cell r="AP156">
            <v>45846</v>
          </cell>
          <cell r="AQ156">
            <v>0</v>
          </cell>
          <cell r="AR156">
            <v>45846</v>
          </cell>
          <cell r="AS156">
            <v>-164</v>
          </cell>
          <cell r="AT156" t="str">
            <v>Revised BOQ received on 31-07-2025</v>
          </cell>
          <cell r="AU156">
            <v>46011</v>
          </cell>
          <cell r="AV156" t="str">
            <v>NA</v>
          </cell>
          <cell r="AW156" t="str">
            <v>_</v>
          </cell>
          <cell r="AX156" t="str">
            <v>NA</v>
          </cell>
          <cell r="AZ156" t="str">
            <v>NA</v>
          </cell>
          <cell r="BA156">
            <v>46012</v>
          </cell>
          <cell r="BB156">
            <v>45857</v>
          </cell>
          <cell r="BC156">
            <v>1</v>
          </cell>
          <cell r="BD156">
            <v>45861</v>
          </cell>
          <cell r="BE156">
            <v>-151</v>
          </cell>
          <cell r="BF156" t="str">
            <v xml:space="preserve">Plumbing Received on 25-07-2025
</v>
          </cell>
          <cell r="BG156">
            <v>46012</v>
          </cell>
          <cell r="BI156">
            <v>0</v>
          </cell>
          <cell r="BJ156">
            <v>45923</v>
          </cell>
          <cell r="BK156">
            <v>-89</v>
          </cell>
          <cell r="BL156" t="str">
            <v>Received</v>
          </cell>
          <cell r="BM156">
            <v>46010</v>
          </cell>
          <cell r="BN156" t="str">
            <v>NA</v>
          </cell>
          <cell r="BO156" t="str">
            <v>NA</v>
          </cell>
          <cell r="BP156">
            <v>46010</v>
          </cell>
          <cell r="BQ156">
            <v>45868</v>
          </cell>
          <cell r="BR156" t="str">
            <v>Received</v>
          </cell>
          <cell r="BS156">
            <v>46009</v>
          </cell>
          <cell r="BU156" t="str">
            <v>Done</v>
          </cell>
          <cell r="BV156" t="str">
            <v>Done</v>
          </cell>
          <cell r="BW156" t="str">
            <v>14-08-2025</v>
          </cell>
          <cell r="BX156">
            <v>45929</v>
          </cell>
          <cell r="BY156" t="str">
            <v>Done</v>
          </cell>
          <cell r="CD156">
            <v>45868</v>
          </cell>
          <cell r="DG156" t="str">
            <v>5. Budget approved RFC awaited</v>
          </cell>
          <cell r="DX156" t="str">
            <v/>
          </cell>
          <cell r="EA156" t="str">
            <v/>
          </cell>
          <cell r="ED156" t="str">
            <v/>
          </cell>
          <cell r="EE156" t="str">
            <v/>
          </cell>
          <cell r="FM156" t="str">
            <v/>
          </cell>
          <cell r="GG156" t="str">
            <v>2026-2027</v>
          </cell>
        </row>
        <row r="157">
          <cell r="E157" t="str">
            <v>Kiosk Times Square, Marol</v>
          </cell>
          <cell r="F157" t="str">
            <v>14. Dropped</v>
          </cell>
          <cell r="G157" t="str">
            <v>SEVEBK13848</v>
          </cell>
          <cell r="H157" t="str">
            <v>_</v>
          </cell>
          <cell r="I157" t="str">
            <v>_</v>
          </cell>
          <cell r="K157" t="str">
            <v>W</v>
          </cell>
          <cell r="L157" t="str">
            <v>BK</v>
          </cell>
          <cell r="N157" t="str">
            <v>Nitin dawange</v>
          </cell>
          <cell r="O157" t="str">
            <v>Nitin Dawange</v>
          </cell>
          <cell r="Q157" t="str">
            <v>Arju Tiwari</v>
          </cell>
          <cell r="R157" t="str">
            <v>Kiran Patil</v>
          </cell>
          <cell r="S157" t="str">
            <v>Maharashtra</v>
          </cell>
          <cell r="T157" t="str">
            <v>Mumbai</v>
          </cell>
          <cell r="U157" t="str">
            <v>Premium</v>
          </cell>
          <cell r="V157" t="str">
            <v>Misc Formats</v>
          </cell>
          <cell r="W157">
            <v>120</v>
          </cell>
          <cell r="X157" t="str">
            <v>Kiosk Times Square, Marol</v>
          </cell>
          <cell r="Z157" t="str">
            <v>_</v>
          </cell>
          <cell r="AB157">
            <v>45799</v>
          </cell>
          <cell r="AC157">
            <v>45803</v>
          </cell>
          <cell r="AD157">
            <v>45806</v>
          </cell>
          <cell r="AE157">
            <v>45806</v>
          </cell>
          <cell r="AF157" t="str">
            <v>Done</v>
          </cell>
          <cell r="AG157">
            <v>2</v>
          </cell>
          <cell r="AH157" t="str">
            <v>_</v>
          </cell>
          <cell r="AL157" t="str">
            <v>Pending</v>
          </cell>
          <cell r="AM157">
            <v>366</v>
          </cell>
          <cell r="DG157" t="str">
            <v>14. Dropped</v>
          </cell>
          <cell r="DX157" t="str">
            <v/>
          </cell>
          <cell r="EA157" t="str">
            <v/>
          </cell>
          <cell r="ED157" t="str">
            <v/>
          </cell>
          <cell r="EE157" t="str">
            <v/>
          </cell>
          <cell r="EJ157">
            <v>7</v>
          </cell>
          <cell r="EM157">
            <v>14</v>
          </cell>
          <cell r="EP157">
            <v>21</v>
          </cell>
          <cell r="ES157">
            <v>28</v>
          </cell>
          <cell r="EV157">
            <v>35</v>
          </cell>
          <cell r="FF157">
            <v>46177</v>
          </cell>
          <cell r="FM157" t="str">
            <v/>
          </cell>
          <cell r="GG157" t="str">
            <v>2025-2026</v>
          </cell>
        </row>
        <row r="158">
          <cell r="E158" t="str">
            <v xml:space="preserve">Kiosk-Embassy Qubix, Hinjewadi </v>
          </cell>
          <cell r="F158" t="str">
            <v>10. Launched</v>
          </cell>
          <cell r="G158" t="str">
            <v>SEVEBK12643</v>
          </cell>
          <cell r="H158" t="str">
            <v>MH-SM-PUN-1019 </v>
          </cell>
          <cell r="I158" t="str">
            <v>TBLF</v>
          </cell>
          <cell r="J158" t="str">
            <v>QHMS</v>
          </cell>
          <cell r="K158" t="str">
            <v>W</v>
          </cell>
          <cell r="L158" t="str">
            <v>BK</v>
          </cell>
          <cell r="N158" t="str">
            <v>Jaysingh Desai</v>
          </cell>
          <cell r="O158" t="str">
            <v>Sh Ashish M</v>
          </cell>
          <cell r="P158" t="str">
            <v>Nishant Narsapur</v>
          </cell>
          <cell r="Q158" t="str">
            <v>Arju Tiwari</v>
          </cell>
          <cell r="R158" t="str">
            <v>Kiran Patil</v>
          </cell>
          <cell r="S158" t="str">
            <v>Maharashtra</v>
          </cell>
          <cell r="T158" t="str">
            <v>Pune</v>
          </cell>
          <cell r="U158" t="str">
            <v>Premium</v>
          </cell>
          <cell r="V158" t="str">
            <v>Misc Formats</v>
          </cell>
          <cell r="W158">
            <v>160</v>
          </cell>
          <cell r="X158" t="str">
            <v xml:space="preserve">Kiosk-Embassy Qubix, Hinjewadi </v>
          </cell>
          <cell r="Y158">
            <v>46045</v>
          </cell>
          <cell r="Z158" t="str">
            <v>11-02-2026</v>
          </cell>
          <cell r="AA158">
            <v>46055</v>
          </cell>
          <cell r="AB158">
            <v>45551</v>
          </cell>
          <cell r="AC158">
            <v>45554</v>
          </cell>
          <cell r="AD158">
            <v>45559</v>
          </cell>
          <cell r="AE158">
            <v>45559</v>
          </cell>
          <cell r="AF158" t="str">
            <v>SDR DONE</v>
          </cell>
          <cell r="AG158">
            <v>3</v>
          </cell>
          <cell r="AH158" t="str">
            <v>Revised SDR Revised on 25-10-2024</v>
          </cell>
          <cell r="AJ158">
            <v>1</v>
          </cell>
          <cell r="AK158">
            <v>45916</v>
          </cell>
          <cell r="AL158" t="str">
            <v>Received</v>
          </cell>
          <cell r="AM158">
            <v>352</v>
          </cell>
          <cell r="AN158" t="str">
            <v>Revised SDR awaited</v>
          </cell>
          <cell r="AO158">
            <v>45919</v>
          </cell>
          <cell r="AP158">
            <v>45629</v>
          </cell>
          <cell r="AQ158">
            <v>0</v>
          </cell>
          <cell r="AR158">
            <v>45629</v>
          </cell>
          <cell r="AS158">
            <v>-290</v>
          </cell>
          <cell r="AT158" t="str">
            <v>Received</v>
          </cell>
          <cell r="AU158">
            <v>45920</v>
          </cell>
          <cell r="AV158" t="str">
            <v>NA</v>
          </cell>
          <cell r="AW158" t="str">
            <v>NA</v>
          </cell>
          <cell r="AX158" t="str">
            <v>NA</v>
          </cell>
          <cell r="AZ158" t="str">
            <v>_</v>
          </cell>
          <cell r="BA158">
            <v>45921</v>
          </cell>
          <cell r="BC158">
            <v>0</v>
          </cell>
          <cell r="BF158" t="str">
            <v>Plumbing Received on 16-12-2024
HVAC GFC Received on 17-12-2024
HVAC R1 - 23 Dec 25
Plumbing R1 Received on 16-Jan 2026</v>
          </cell>
          <cell r="BG158">
            <v>45921</v>
          </cell>
          <cell r="BI158">
            <v>2</v>
          </cell>
          <cell r="BJ158">
            <v>45995</v>
          </cell>
          <cell r="BK158">
            <v>74</v>
          </cell>
          <cell r="BL158" t="str">
            <v>Received</v>
          </cell>
          <cell r="BM158">
            <v>45919</v>
          </cell>
          <cell r="BN158" t="str">
            <v>NA</v>
          </cell>
          <cell r="BO158" t="str">
            <v>NA</v>
          </cell>
          <cell r="BP158">
            <v>45919</v>
          </cell>
          <cell r="BR158" t="str">
            <v>Received</v>
          </cell>
          <cell r="BS158">
            <v>45918</v>
          </cell>
          <cell r="BU158" t="str">
            <v>Done</v>
          </cell>
          <cell r="BV158" t="str">
            <v>Done</v>
          </cell>
          <cell r="BW158" t="str">
            <v>10-01-2025</v>
          </cell>
          <cell r="BX158">
            <v>45776</v>
          </cell>
          <cell r="BY158" t="str">
            <v>Done</v>
          </cell>
          <cell r="CB158">
            <v>46051</v>
          </cell>
          <cell r="CD158">
            <v>46031</v>
          </cell>
          <cell r="CE158">
            <v>46058</v>
          </cell>
          <cell r="CF158" t="str">
            <v>M/S Vertex</v>
          </cell>
          <cell r="CG158" t="str">
            <v>M/S Vertex</v>
          </cell>
          <cell r="CH158" t="str">
            <v>M/S SVS</v>
          </cell>
          <cell r="CJ158">
            <v>46058</v>
          </cell>
          <cell r="CK158">
            <v>46058</v>
          </cell>
          <cell r="CL158">
            <v>46058</v>
          </cell>
          <cell r="CN158">
            <v>46064</v>
          </cell>
          <cell r="CO158">
            <v>46060</v>
          </cell>
          <cell r="CP158">
            <v>46078</v>
          </cell>
          <cell r="CQ158">
            <v>46065</v>
          </cell>
          <cell r="CR158">
            <v>46070</v>
          </cell>
          <cell r="CS158">
            <v>46082</v>
          </cell>
          <cell r="CX158">
            <v>46058</v>
          </cell>
          <cell r="CY158">
            <v>46058</v>
          </cell>
          <cell r="CZ158">
            <v>46079</v>
          </cell>
          <cell r="DA158" t="str">
            <v>R1 BOQ pending from contracts for PR</v>
          </cell>
          <cell r="DB158" t="str">
            <v>R1 BOQ pending from contracts for PR</v>
          </cell>
          <cell r="DC158" t="str">
            <v>R1 BOQ pending from contracts for PR</v>
          </cell>
          <cell r="DD158">
            <v>46051</v>
          </cell>
          <cell r="DF158">
            <v>46062</v>
          </cell>
          <cell r="DG158" t="str">
            <v>10. Launched</v>
          </cell>
          <cell r="DK158">
            <v>46062</v>
          </cell>
          <cell r="DL158">
            <v>46050</v>
          </cell>
          <cell r="DP158">
            <v>46065</v>
          </cell>
          <cell r="DQ158">
            <v>46068</v>
          </cell>
          <cell r="DR158">
            <v>15</v>
          </cell>
          <cell r="DS158">
            <v>21</v>
          </cell>
          <cell r="DU158">
            <v>46083</v>
          </cell>
          <cell r="DV158">
            <v>46089</v>
          </cell>
          <cell r="DW158">
            <v>46083</v>
          </cell>
          <cell r="DX158" t="str">
            <v>Mar 26 Week 1</v>
          </cell>
          <cell r="DZ158">
            <v>46094</v>
          </cell>
          <cell r="EA158" t="str">
            <v>Mar 26 Week 2</v>
          </cell>
          <cell r="ED158" t="str">
            <v/>
          </cell>
          <cell r="EE158" t="str">
            <v/>
          </cell>
          <cell r="EF158">
            <v>1</v>
          </cell>
          <cell r="EG158">
            <v>1</v>
          </cell>
          <cell r="EJ158">
            <v>46075</v>
          </cell>
          <cell r="EM158">
            <v>46082</v>
          </cell>
          <cell r="EP158">
            <v>46089</v>
          </cell>
          <cell r="ES158">
            <v>46096</v>
          </cell>
          <cell r="EV158">
            <v>46103</v>
          </cell>
          <cell r="FD158">
            <v>11</v>
          </cell>
          <cell r="FE158" t="str">
            <v>8 to 15 Days</v>
          </cell>
          <cell r="FF158">
            <v>14</v>
          </cell>
          <cell r="FG158" t="str">
            <v>8 to 15 Days</v>
          </cell>
          <cell r="FH158" t="str">
            <v>Done</v>
          </cell>
          <cell r="FI158">
            <v>46095</v>
          </cell>
          <cell r="FJ158">
            <v>46095</v>
          </cell>
          <cell r="FK158">
            <v>46095</v>
          </cell>
          <cell r="FM158" t="str">
            <v/>
          </cell>
          <cell r="FZ158" t="str">
            <v xml:space="preserve">1) SLP deployed on 10 Feb 25
2) Kisok dispatch call out on 9 Feb 26
3) Kiosk delivered on 13 Feb 26 
4) Kiosk installation work start on 14 Feb 26
5) Kiosk and fixture installation work completed on 9 Mar 26
6) EPC Vendor work started on 25 Feb 26
7) HOTO inspection done on 12 Mar 26
8) HOTO sign off done on 14 March 26
</v>
          </cell>
          <cell r="GB158">
            <v>46062</v>
          </cell>
          <cell r="GC158">
            <v>46062</v>
          </cell>
          <cell r="GG158" t="str">
            <v>2025-2026</v>
          </cell>
        </row>
        <row r="159">
          <cell r="E159" t="str">
            <v>Kiosk Marathon, FutureX, Lower Parel -Mumbai-1</v>
          </cell>
          <cell r="F159" t="str">
            <v>11. HOLD</v>
          </cell>
          <cell r="G159" t="str">
            <v>SEVEBK14014</v>
          </cell>
          <cell r="H159" t="str">
            <v>_</v>
          </cell>
          <cell r="I159" t="str">
            <v>_</v>
          </cell>
          <cell r="K159" t="str">
            <v>W</v>
          </cell>
          <cell r="L159" t="str">
            <v>BK</v>
          </cell>
          <cell r="N159" t="str">
            <v>Sh Anand Patade</v>
          </cell>
          <cell r="O159" t="str">
            <v>Sh Nitin Dawange</v>
          </cell>
          <cell r="Q159" t="str">
            <v>Arju Tiwari</v>
          </cell>
          <cell r="R159" t="str">
            <v>Kiran Patil</v>
          </cell>
          <cell r="S159" t="str">
            <v>Maharashtra</v>
          </cell>
          <cell r="T159" t="str">
            <v>Mumbai</v>
          </cell>
          <cell r="U159" t="str">
            <v>Premium</v>
          </cell>
          <cell r="V159" t="str">
            <v>Misc Formats</v>
          </cell>
          <cell r="W159">
            <v>287.61</v>
          </cell>
          <cell r="X159" t="str">
            <v>Kiosk Marathon, FutureX, Lower Parel -Mumbai-1</v>
          </cell>
          <cell r="Z159" t="str">
            <v>_</v>
          </cell>
          <cell r="AB159">
            <v>45821</v>
          </cell>
          <cell r="AC159">
            <v>45825</v>
          </cell>
          <cell r="AD159">
            <v>45831</v>
          </cell>
          <cell r="AE159">
            <v>45831</v>
          </cell>
          <cell r="AF159" t="str">
            <v>Done</v>
          </cell>
          <cell r="AG159">
            <v>5</v>
          </cell>
          <cell r="AH159" t="str">
            <v>Revised SDR shared on 15-07-2025</v>
          </cell>
          <cell r="AI159">
            <v>45862</v>
          </cell>
          <cell r="AJ159">
            <v>0</v>
          </cell>
          <cell r="AK159">
            <v>45862</v>
          </cell>
          <cell r="AL159" t="str">
            <v>Received</v>
          </cell>
          <cell r="AM159">
            <v>26</v>
          </cell>
          <cell r="AN159" t="str">
            <v>_</v>
          </cell>
          <cell r="AO159">
            <v>45865</v>
          </cell>
          <cell r="AP159">
            <v>45869</v>
          </cell>
          <cell r="AQ159">
            <v>1</v>
          </cell>
          <cell r="AR159">
            <v>45883</v>
          </cell>
          <cell r="AS159">
            <v>18</v>
          </cell>
          <cell r="AT159" t="str">
            <v>Received</v>
          </cell>
          <cell r="AU159">
            <v>45885</v>
          </cell>
          <cell r="AV159">
            <v>45874</v>
          </cell>
          <cell r="AW159">
            <v>0</v>
          </cell>
          <cell r="AX159">
            <v>45874</v>
          </cell>
          <cell r="AY159">
            <v>-11</v>
          </cell>
          <cell r="AZ159" t="str">
            <v>Mesh Grid Supporting Drawing Received on 13-08-2025</v>
          </cell>
          <cell r="BA159">
            <v>45867</v>
          </cell>
          <cell r="BB159">
            <v>45883</v>
          </cell>
          <cell r="BC159">
            <v>0</v>
          </cell>
          <cell r="BD159">
            <v>45883</v>
          </cell>
          <cell r="BE159">
            <v>15</v>
          </cell>
          <cell r="BF159" t="str">
            <v>PLB - 8 Aug 25
HVAC - 14 Aug 25
FF - 14 Aug 25</v>
          </cell>
          <cell r="BG159">
            <v>45867</v>
          </cell>
          <cell r="BH159">
            <v>45889</v>
          </cell>
          <cell r="BI159">
            <v>0</v>
          </cell>
          <cell r="BJ159">
            <v>45889</v>
          </cell>
          <cell r="BK159">
            <v>21</v>
          </cell>
          <cell r="BL159" t="str">
            <v>Received</v>
          </cell>
          <cell r="BM159">
            <v>45865</v>
          </cell>
          <cell r="BN159" t="str">
            <v>NA</v>
          </cell>
          <cell r="BO159" t="str">
            <v>NA</v>
          </cell>
          <cell r="BP159">
            <v>45865</v>
          </cell>
          <cell r="BQ159">
            <v>45876</v>
          </cell>
          <cell r="BR159" t="str">
            <v>Received</v>
          </cell>
          <cell r="BS159">
            <v>45864</v>
          </cell>
          <cell r="BT159">
            <v>45901</v>
          </cell>
          <cell r="BU159" t="str">
            <v>Done</v>
          </cell>
          <cell r="BV159" t="str">
            <v>Done</v>
          </cell>
          <cell r="BW159" t="str">
            <v>22-08-2025</v>
          </cell>
          <cell r="BX159">
            <v>45989</v>
          </cell>
          <cell r="BY159" t="str">
            <v>Done</v>
          </cell>
          <cell r="CD159">
            <v>45890</v>
          </cell>
          <cell r="DG159" t="str">
            <v>11. HOLD</v>
          </cell>
          <cell r="DX159" t="str">
            <v/>
          </cell>
          <cell r="EA159" t="str">
            <v/>
          </cell>
          <cell r="ED159" t="str">
            <v/>
          </cell>
          <cell r="EE159" t="str">
            <v/>
          </cell>
          <cell r="EJ159">
            <v>7</v>
          </cell>
          <cell r="EM159">
            <v>14</v>
          </cell>
          <cell r="EP159">
            <v>21</v>
          </cell>
          <cell r="ES159">
            <v>28</v>
          </cell>
          <cell r="EV159">
            <v>35</v>
          </cell>
          <cell r="FF159">
            <v>46177</v>
          </cell>
          <cell r="FM159" t="str">
            <v/>
          </cell>
          <cell r="GG159" t="str">
            <v>2026-2027</v>
          </cell>
        </row>
        <row r="160">
          <cell r="E160" t="str">
            <v>Kiosk Reliable Tech Park(Empire Tower), Airoli-1</v>
          </cell>
          <cell r="F160" t="str">
            <v>5. Budget approved RFC awaited</v>
          </cell>
          <cell r="G160" t="str">
            <v>SEVEBK14527</v>
          </cell>
          <cell r="K160" t="str">
            <v>W</v>
          </cell>
          <cell r="L160" t="str">
            <v>BK</v>
          </cell>
          <cell r="N160" t="str">
            <v>Anand Patade</v>
          </cell>
          <cell r="O160" t="str">
            <v>Nitin Dawange</v>
          </cell>
          <cell r="Q160" t="str">
            <v>Arju Tiwari</v>
          </cell>
          <cell r="R160" t="str">
            <v>Kiran Patil</v>
          </cell>
          <cell r="S160" t="str">
            <v>Maharashtra</v>
          </cell>
          <cell r="T160" t="str">
            <v>Mumbai</v>
          </cell>
          <cell r="U160" t="str">
            <v>Premium</v>
          </cell>
          <cell r="V160" t="str">
            <v>Misc Formats</v>
          </cell>
          <cell r="W160">
            <v>219</v>
          </cell>
          <cell r="X160" t="str">
            <v>Kiosk Reliable Tech Park(Empire Tower), Airoli-1</v>
          </cell>
          <cell r="AB160">
            <v>45917</v>
          </cell>
          <cell r="AC160">
            <v>45923</v>
          </cell>
          <cell r="AD160">
            <v>45929</v>
          </cell>
          <cell r="AE160">
            <v>45929</v>
          </cell>
          <cell r="AF160" t="str">
            <v>SDR DONE</v>
          </cell>
          <cell r="AG160">
            <v>7</v>
          </cell>
          <cell r="AH160" t="str">
            <v>SDR Visit Done on 23-09-2025,Markp up received from NSO on 25-09-2025
R1 SDR Received on 07-11-2025</v>
          </cell>
          <cell r="AI160">
            <v>45945</v>
          </cell>
          <cell r="AJ160">
            <v>0</v>
          </cell>
          <cell r="AK160">
            <v>45945</v>
          </cell>
          <cell r="AL160" t="str">
            <v>Received</v>
          </cell>
          <cell r="AM160">
            <v>11</v>
          </cell>
          <cell r="AO160">
            <v>45948</v>
          </cell>
          <cell r="AP160">
            <v>45947</v>
          </cell>
          <cell r="AQ160">
            <v>0</v>
          </cell>
          <cell r="AR160">
            <v>45947</v>
          </cell>
          <cell r="AS160">
            <v>-1</v>
          </cell>
          <cell r="AT160" t="str">
            <v>Revised BOQ Received on 29-10-2025</v>
          </cell>
          <cell r="AU160">
            <v>45949</v>
          </cell>
          <cell r="AV160" t="str">
            <v>NA</v>
          </cell>
          <cell r="AW160" t="str">
            <v>NA</v>
          </cell>
          <cell r="AX160" t="str">
            <v>NA</v>
          </cell>
          <cell r="AZ160" t="str">
            <v>NA</v>
          </cell>
          <cell r="BB160">
            <v>45959</v>
          </cell>
          <cell r="BC160">
            <v>0</v>
          </cell>
          <cell r="BD160">
            <v>45959</v>
          </cell>
          <cell r="BF160" t="str">
            <v>Plumbing GFC Received on 03-11-2025</v>
          </cell>
          <cell r="BH160">
            <v>45961</v>
          </cell>
          <cell r="BI160">
            <v>0</v>
          </cell>
          <cell r="BJ160">
            <v>45961</v>
          </cell>
          <cell r="BL160" t="str">
            <v>Lighting Layout Received on 28-10-2025</v>
          </cell>
          <cell r="BO160" t="str">
            <v>NA</v>
          </cell>
          <cell r="BQ160">
            <v>45958</v>
          </cell>
          <cell r="BR160" t="str">
            <v>Received</v>
          </cell>
          <cell r="BT160">
            <v>45999</v>
          </cell>
          <cell r="BU160" t="str">
            <v>Civil&amp; Interior/SLP/HVAC/Electrical/Plumbing GFC Received</v>
          </cell>
          <cell r="BV160" t="str">
            <v>Done</v>
          </cell>
          <cell r="BW160" t="str">
            <v>10-11-2025</v>
          </cell>
          <cell r="BX160">
            <v>46076</v>
          </cell>
          <cell r="BY160" t="str">
            <v>Done</v>
          </cell>
          <cell r="CD160">
            <v>45967</v>
          </cell>
          <cell r="GG160" t="str">
            <v>2026-2027</v>
          </cell>
        </row>
        <row r="161">
          <cell r="E161" t="str">
            <v>Kiosk Commerzone Yerwada</v>
          </cell>
          <cell r="F161" t="str">
            <v>5. Budget approved RFC awaited</v>
          </cell>
          <cell r="G161" t="str">
            <v>SEVEBK14528</v>
          </cell>
          <cell r="K161" t="str">
            <v>W</v>
          </cell>
          <cell r="L161" t="str">
            <v>BK</v>
          </cell>
          <cell r="N161" t="str">
            <v>Jaysingh Desai</v>
          </cell>
          <cell r="O161" t="str">
            <v>Ashish 1 M</v>
          </cell>
          <cell r="Q161" t="str">
            <v>Arju Tiwari</v>
          </cell>
          <cell r="R161" t="str">
            <v>Kiran Patil</v>
          </cell>
          <cell r="S161" t="str">
            <v>Maharashtra</v>
          </cell>
          <cell r="T161" t="str">
            <v>Pune</v>
          </cell>
          <cell r="U161" t="str">
            <v>Premium</v>
          </cell>
          <cell r="V161" t="str">
            <v>Misc Formats</v>
          </cell>
          <cell r="W161">
            <v>160</v>
          </cell>
          <cell r="X161" t="str">
            <v>Kiosk Commerzone Yerwada</v>
          </cell>
          <cell r="AB161">
            <v>45917</v>
          </cell>
          <cell r="AC161">
            <v>45926</v>
          </cell>
          <cell r="AD161">
            <v>45960</v>
          </cell>
          <cell r="AE161">
            <v>45960</v>
          </cell>
          <cell r="AF161" t="str">
            <v>SDR DONE</v>
          </cell>
          <cell r="AG161">
            <v>38</v>
          </cell>
          <cell r="AH161" t="str">
            <v>SDR Visit Done on 26-09-2025
R0 SDR Received on 01-10-2025</v>
          </cell>
          <cell r="AJ161">
            <v>1</v>
          </cell>
          <cell r="AK161">
            <v>45965</v>
          </cell>
          <cell r="AL161" t="str">
            <v>Received</v>
          </cell>
          <cell r="AM161">
            <v>0</v>
          </cell>
          <cell r="AO161">
            <v>45968</v>
          </cell>
          <cell r="AQ161">
            <v>0</v>
          </cell>
          <cell r="AR161">
            <v>45966</v>
          </cell>
          <cell r="AS161">
            <v>-2</v>
          </cell>
          <cell r="AT161" t="str">
            <v>Received</v>
          </cell>
          <cell r="AU161">
            <v>45968</v>
          </cell>
          <cell r="AV161" t="str">
            <v>NA</v>
          </cell>
          <cell r="AW161" t="str">
            <v>NA</v>
          </cell>
          <cell r="AX161" t="str">
            <v>NA</v>
          </cell>
          <cell r="AZ161" t="str">
            <v>NA</v>
          </cell>
          <cell r="BA161">
            <v>45970</v>
          </cell>
          <cell r="BB161">
            <v>45972</v>
          </cell>
          <cell r="BD161">
            <v>45971</v>
          </cell>
          <cell r="BE161">
            <v>0</v>
          </cell>
          <cell r="BF161" t="str">
            <v>Plumbing GFC Received on 10-11-2025
HVAC GFC Received on 11-11-2025</v>
          </cell>
          <cell r="BH161">
            <v>45964</v>
          </cell>
          <cell r="BI161">
            <v>1</v>
          </cell>
          <cell r="BJ161">
            <v>45974</v>
          </cell>
          <cell r="BL161" t="str">
            <v>Received</v>
          </cell>
          <cell r="BO161" t="str">
            <v>NA</v>
          </cell>
          <cell r="BQ161">
            <v>45958</v>
          </cell>
          <cell r="BR161" t="str">
            <v>R1 - 13 Nov 25</v>
          </cell>
          <cell r="BT161">
            <v>45999</v>
          </cell>
          <cell r="BU161" t="str">
            <v>Civil&amp; Interior/SLP/Electrical/Plumbing GFC Received</v>
          </cell>
          <cell r="BV161" t="str">
            <v>Done</v>
          </cell>
          <cell r="BW161" t="str">
            <v>11-11-2025</v>
          </cell>
          <cell r="BX161">
            <v>46076</v>
          </cell>
          <cell r="BY161" t="str">
            <v>Done</v>
          </cell>
          <cell r="CD161">
            <v>45972</v>
          </cell>
          <cell r="GG161" t="str">
            <v>2026-2027</v>
          </cell>
        </row>
        <row r="162">
          <cell r="E162" t="str">
            <v>Kiosk Commerzone Kharadi</v>
          </cell>
          <cell r="F162" t="str">
            <v>5. Budget approved RFC awaited</v>
          </cell>
          <cell r="G162" t="str">
            <v>SEVEBK14529</v>
          </cell>
          <cell r="K162" t="str">
            <v>W</v>
          </cell>
          <cell r="L162" t="str">
            <v>BK</v>
          </cell>
          <cell r="N162" t="str">
            <v>Jaysingh Desai</v>
          </cell>
          <cell r="O162" t="str">
            <v>Ashish 1 M</v>
          </cell>
          <cell r="Q162" t="str">
            <v>Arju Tiwari</v>
          </cell>
          <cell r="R162" t="str">
            <v>Kiran Patil</v>
          </cell>
          <cell r="S162" t="str">
            <v>Maharashtra</v>
          </cell>
          <cell r="T162" t="str">
            <v>Pune</v>
          </cell>
          <cell r="U162" t="str">
            <v>Premium</v>
          </cell>
          <cell r="V162" t="str">
            <v>Misc Formats</v>
          </cell>
          <cell r="W162">
            <v>160</v>
          </cell>
          <cell r="X162" t="str">
            <v>Kiosk Commerzone Kharadi</v>
          </cell>
          <cell r="AB162">
            <v>45917</v>
          </cell>
          <cell r="AC162">
            <v>45926</v>
          </cell>
          <cell r="AD162">
            <v>45960</v>
          </cell>
          <cell r="AE162">
            <v>45960</v>
          </cell>
          <cell r="AF162" t="str">
            <v>SDR DONE</v>
          </cell>
          <cell r="AG162">
            <v>38</v>
          </cell>
          <cell r="AH162" t="str">
            <v>SDR Visit Done on 26-09-2025
R0 SDR Received on 01-10-2025</v>
          </cell>
          <cell r="AJ162">
            <v>0</v>
          </cell>
          <cell r="AK162">
            <v>45966</v>
          </cell>
          <cell r="AL162" t="str">
            <v>Received</v>
          </cell>
          <cell r="AM162">
            <v>1</v>
          </cell>
          <cell r="AO162">
            <v>45969</v>
          </cell>
          <cell r="AP162">
            <v>45960</v>
          </cell>
          <cell r="AQ162">
            <v>0</v>
          </cell>
          <cell r="AR162">
            <v>45960</v>
          </cell>
          <cell r="AS162">
            <v>-9</v>
          </cell>
          <cell r="AT162" t="str">
            <v>Received</v>
          </cell>
          <cell r="AV162" t="str">
            <v>NA</v>
          </cell>
          <cell r="AW162" t="str">
            <v>NA</v>
          </cell>
          <cell r="AX162" t="str">
            <v>NA</v>
          </cell>
          <cell r="AZ162" t="str">
            <v>NA</v>
          </cell>
          <cell r="BF162" t="str">
            <v>Received</v>
          </cell>
          <cell r="BG162">
            <v>45971</v>
          </cell>
          <cell r="BH162">
            <v>45962</v>
          </cell>
          <cell r="BI162">
            <v>1</v>
          </cell>
          <cell r="BJ162">
            <v>45979</v>
          </cell>
          <cell r="BK162">
            <v>7</v>
          </cell>
          <cell r="BL162" t="str">
            <v>R1 - 18 Nov 25</v>
          </cell>
          <cell r="BO162" t="str">
            <v>NA</v>
          </cell>
          <cell r="BP162">
            <v>45969</v>
          </cell>
          <cell r="BQ162">
            <v>45957</v>
          </cell>
          <cell r="BR162" t="str">
            <v>R1 - 13 Nov 25</v>
          </cell>
          <cell r="BS162">
            <v>45968</v>
          </cell>
          <cell r="BT162">
            <v>46014</v>
          </cell>
          <cell r="BU162" t="str">
            <v>Civil&amp; Interior/SLP/Electrical GFC Received</v>
          </cell>
          <cell r="BV162" t="str">
            <v>Done</v>
          </cell>
          <cell r="BW162" t="str">
            <v>20-11-2025</v>
          </cell>
          <cell r="BX162">
            <v>46076</v>
          </cell>
          <cell r="BY162" t="str">
            <v>Done</v>
          </cell>
          <cell r="CD162">
            <v>45981</v>
          </cell>
          <cell r="GG162" t="str">
            <v>2026-2027</v>
          </cell>
        </row>
        <row r="163">
          <cell r="E163" t="str">
            <v>Kiosk Fortis Mulund</v>
          </cell>
          <cell r="F163" t="str">
            <v>5. Budget approved RFC awaited</v>
          </cell>
          <cell r="G163" t="str">
            <v>SEVEBK14530</v>
          </cell>
          <cell r="K163" t="str">
            <v>W</v>
          </cell>
          <cell r="L163" t="str">
            <v>BK</v>
          </cell>
          <cell r="N163" t="str">
            <v>Sh Anand Patade</v>
          </cell>
          <cell r="O163" t="str">
            <v>Sh Nitin Dawange</v>
          </cell>
          <cell r="Q163" t="str">
            <v>Arju Tiwari</v>
          </cell>
          <cell r="R163" t="str">
            <v>Kiran Patil</v>
          </cell>
          <cell r="S163" t="str">
            <v>Maharashtra</v>
          </cell>
          <cell r="T163" t="str">
            <v>Mumbai</v>
          </cell>
          <cell r="U163" t="str">
            <v>Premium</v>
          </cell>
          <cell r="V163" t="str">
            <v>Misc Formats</v>
          </cell>
          <cell r="W163">
            <v>200</v>
          </cell>
          <cell r="X163" t="str">
            <v>Kiosk Fortis Mulund</v>
          </cell>
          <cell r="AB163">
            <v>45925</v>
          </cell>
          <cell r="AC163">
            <v>45929</v>
          </cell>
          <cell r="AD163">
            <v>45936</v>
          </cell>
          <cell r="AE163">
            <v>45936</v>
          </cell>
          <cell r="AF163" t="str">
            <v>SDR DONE</v>
          </cell>
          <cell r="AG163">
            <v>6</v>
          </cell>
          <cell r="AI163">
            <v>45960</v>
          </cell>
          <cell r="AJ163">
            <v>0</v>
          </cell>
          <cell r="AK163">
            <v>45960</v>
          </cell>
          <cell r="AL163" t="str">
            <v>Received</v>
          </cell>
          <cell r="AM163">
            <v>19</v>
          </cell>
          <cell r="AN163" t="str">
            <v>Design Team Query shared to Business on 05-11-2025</v>
          </cell>
          <cell r="AO163">
            <v>45963</v>
          </cell>
          <cell r="AP163">
            <v>45974</v>
          </cell>
          <cell r="AQ163">
            <v>0</v>
          </cell>
          <cell r="AR163">
            <v>45974</v>
          </cell>
          <cell r="AS163">
            <v>11</v>
          </cell>
          <cell r="AT163" t="str">
            <v>Received</v>
          </cell>
          <cell r="AU163">
            <v>45964</v>
          </cell>
          <cell r="AV163">
            <v>45975</v>
          </cell>
          <cell r="AW163">
            <v>0</v>
          </cell>
          <cell r="AX163">
            <v>45975</v>
          </cell>
          <cell r="AY163">
            <v>10</v>
          </cell>
          <cell r="BA163">
            <v>45965</v>
          </cell>
          <cell r="BC163">
            <v>0</v>
          </cell>
          <cell r="BF163" t="str">
            <v>Received</v>
          </cell>
          <cell r="BG163">
            <v>45965</v>
          </cell>
          <cell r="BH163">
            <v>45981</v>
          </cell>
          <cell r="BI163">
            <v>0</v>
          </cell>
          <cell r="BJ163">
            <v>45981</v>
          </cell>
          <cell r="BK163">
            <v>15</v>
          </cell>
          <cell r="BL163" t="str">
            <v>Received</v>
          </cell>
          <cell r="BO163" t="str">
            <v>NA</v>
          </cell>
          <cell r="BP163">
            <v>45963</v>
          </cell>
          <cell r="BQ163">
            <v>45974</v>
          </cell>
          <cell r="BR163" t="str">
            <v>Received</v>
          </cell>
          <cell r="BS163">
            <v>45962</v>
          </cell>
          <cell r="BT163">
            <v>46020</v>
          </cell>
          <cell r="BU163" t="str">
            <v>Design Query shared Business on 05-11-2025</v>
          </cell>
          <cell r="BV163" t="str">
            <v>Done</v>
          </cell>
          <cell r="BW163" t="str">
            <v>18-11-2025</v>
          </cell>
          <cell r="BX163">
            <v>46022</v>
          </cell>
          <cell r="BY163" t="str">
            <v>Done</v>
          </cell>
          <cell r="CD163">
            <v>45978</v>
          </cell>
          <cell r="GG163" t="str">
            <v>2026-2027</v>
          </cell>
        </row>
        <row r="164">
          <cell r="E164" t="str">
            <v>Kiosk Panchshil Business Tech Park ,Viman Nagar</v>
          </cell>
          <cell r="F164" t="str">
            <v>8. WIP</v>
          </cell>
          <cell r="G164" t="str">
            <v>SEVEBK14548</v>
          </cell>
          <cell r="H164" t="str">
            <v>MH-SM-PUN-1026</v>
          </cell>
          <cell r="I164" t="str">
            <v>TBZI</v>
          </cell>
          <cell r="J164" t="str">
            <v>QIBY</v>
          </cell>
          <cell r="K164" t="str">
            <v>W</v>
          </cell>
          <cell r="L164" t="str">
            <v>BK</v>
          </cell>
          <cell r="N164" t="str">
            <v>Sh Jaisingh Desai</v>
          </cell>
          <cell r="O164" t="str">
            <v>Sh Ashish1M</v>
          </cell>
          <cell r="P164" t="str">
            <v>Nishant Narsapur</v>
          </cell>
          <cell r="Q164" t="str">
            <v>Arju Tiwari</v>
          </cell>
          <cell r="R164" t="str">
            <v>Kiran Patil</v>
          </cell>
          <cell r="S164" t="str">
            <v>Maharashtra</v>
          </cell>
          <cell r="T164" t="str">
            <v>Pune</v>
          </cell>
          <cell r="U164" t="str">
            <v>Premium</v>
          </cell>
          <cell r="V164" t="str">
            <v>Misc Formats</v>
          </cell>
          <cell r="W164">
            <v>731.74</v>
          </cell>
          <cell r="X164" t="str">
            <v>Kiosk Panchshil Business Tech Park ,Viman Nagar</v>
          </cell>
          <cell r="Y164">
            <v>46106</v>
          </cell>
          <cell r="Z164" t="str">
            <v>14-05-2026</v>
          </cell>
          <cell r="AA164">
            <v>46106</v>
          </cell>
          <cell r="AB164">
            <v>45933</v>
          </cell>
          <cell r="AC164">
            <v>45938</v>
          </cell>
          <cell r="AD164">
            <v>45945</v>
          </cell>
          <cell r="AE164">
            <v>45945</v>
          </cell>
          <cell r="AF164" t="str">
            <v>SDR DONE</v>
          </cell>
          <cell r="AG164">
            <v>7</v>
          </cell>
          <cell r="AH164" t="str">
            <v xml:space="preserve">
PFR Received on 13-10-2025</v>
          </cell>
          <cell r="AI164">
            <v>45992</v>
          </cell>
          <cell r="AJ164">
            <v>0</v>
          </cell>
          <cell r="AK164">
            <v>45992</v>
          </cell>
          <cell r="AL164" t="str">
            <v>Received</v>
          </cell>
          <cell r="AM164">
            <v>42</v>
          </cell>
          <cell r="AN164" t="str">
            <v>Approved LL scope received on 16 Dec 2025</v>
          </cell>
          <cell r="AO164">
            <v>45995</v>
          </cell>
          <cell r="AP164">
            <v>46006</v>
          </cell>
          <cell r="AQ164">
            <v>0</v>
          </cell>
          <cell r="AR164">
            <v>46006</v>
          </cell>
          <cell r="AS164">
            <v>11</v>
          </cell>
          <cell r="AT164" t="str">
            <v>Received</v>
          </cell>
          <cell r="AV164" t="str">
            <v>NA</v>
          </cell>
          <cell r="AW164" t="str">
            <v>NA</v>
          </cell>
          <cell r="AX164" t="str">
            <v>NA</v>
          </cell>
          <cell r="BA164">
            <v>45997</v>
          </cell>
          <cell r="BC164">
            <v>0</v>
          </cell>
          <cell r="BF164" t="str">
            <v>Received</v>
          </cell>
          <cell r="BG164">
            <v>45997</v>
          </cell>
          <cell r="BH164">
            <v>46102</v>
          </cell>
          <cell r="BI164">
            <v>0</v>
          </cell>
          <cell r="BJ164">
            <v>46102</v>
          </cell>
          <cell r="BK164">
            <v>105</v>
          </cell>
          <cell r="BL164" t="str">
            <v>Received</v>
          </cell>
          <cell r="BN164" t="str">
            <v>NA</v>
          </cell>
          <cell r="BO164" t="str">
            <v>NA</v>
          </cell>
          <cell r="BP164">
            <v>45995</v>
          </cell>
          <cell r="BQ164">
            <v>46001</v>
          </cell>
          <cell r="BR164" t="str">
            <v>Received</v>
          </cell>
          <cell r="BS164">
            <v>45994</v>
          </cell>
          <cell r="BT164">
            <v>46056</v>
          </cell>
          <cell r="BU164" t="str">
            <v>Approved LL scope received on 16 Dec 2025</v>
          </cell>
          <cell r="BV164" t="str">
            <v>Done</v>
          </cell>
          <cell r="BW164" t="str">
            <v>17-12-2025</v>
          </cell>
          <cell r="BX164">
            <v>46040</v>
          </cell>
          <cell r="BY164" t="str">
            <v>Done</v>
          </cell>
          <cell r="CB164">
            <v>46101</v>
          </cell>
          <cell r="CD164">
            <v>46007</v>
          </cell>
          <cell r="CE164">
            <v>46112</v>
          </cell>
          <cell r="CF164" t="str">
            <v>M/S Vertex</v>
          </cell>
          <cell r="CG164" t="str">
            <v>M/S Vertex</v>
          </cell>
          <cell r="CH164" t="str">
            <v>NA</v>
          </cell>
          <cell r="CJ164">
            <v>46112</v>
          </cell>
          <cell r="CK164">
            <v>46112</v>
          </cell>
          <cell r="CX164">
            <v>46112</v>
          </cell>
          <cell r="CY164">
            <v>46112</v>
          </cell>
          <cell r="DD164">
            <v>46127</v>
          </cell>
          <cell r="DE164">
            <v>60</v>
          </cell>
          <cell r="DF164">
            <v>46193</v>
          </cell>
          <cell r="DG164" t="str">
            <v>Under Dead Rent</v>
          </cell>
          <cell r="DK164">
            <v>46133</v>
          </cell>
          <cell r="DL164">
            <v>46108</v>
          </cell>
          <cell r="DP164">
            <v>46136</v>
          </cell>
          <cell r="DQ164">
            <v>46167</v>
          </cell>
          <cell r="DR164">
            <v>15</v>
          </cell>
          <cell r="DS164">
            <v>21</v>
          </cell>
          <cell r="DU164">
            <v>46182</v>
          </cell>
          <cell r="DV164">
            <v>46188</v>
          </cell>
          <cell r="DX164" t="str">
            <v/>
          </cell>
          <cell r="EF164">
            <v>0.47619047619047616</v>
          </cell>
          <cell r="EG164">
            <v>0.22</v>
          </cell>
          <cell r="FZ164" t="str">
            <v xml:space="preserve">1) SLP deployed on 14 May 26
2) Kisok dispatch call out on 13 May 26
3) Kiosk delivered on 23 May 26
4) Kiosk installation work start on 15 May 26
5) Kiosk and fixture installation work completed on 
6) EPC Vendor work started on 
7) HOTO inspection done on 
8) HOTO sign off done on </v>
          </cell>
          <cell r="GG164" t="str">
            <v>2026-2027</v>
          </cell>
        </row>
        <row r="165">
          <cell r="E165" t="str">
            <v>Kiosk Panchshil EON W-Wakad</v>
          </cell>
          <cell r="F165" t="str">
            <v>1. SDR in Progress</v>
          </cell>
          <cell r="G165" t="str">
            <v>SEVEBK14549</v>
          </cell>
          <cell r="K165" t="str">
            <v>W</v>
          </cell>
          <cell r="L165" t="str">
            <v>BK</v>
          </cell>
          <cell r="N165" t="str">
            <v>Sh Jaisingh Desai</v>
          </cell>
          <cell r="O165" t="str">
            <v>Sh Ashish1M</v>
          </cell>
          <cell r="Q165" t="str">
            <v>Arju Tiwari</v>
          </cell>
          <cell r="R165" t="str">
            <v>Kiran Patil</v>
          </cell>
          <cell r="S165" t="str">
            <v>Maharashtra</v>
          </cell>
          <cell r="T165" t="str">
            <v>Pune</v>
          </cell>
          <cell r="U165" t="str">
            <v>Premium</v>
          </cell>
          <cell r="V165" t="str">
            <v>Misc Formats</v>
          </cell>
          <cell r="W165">
            <v>147.25</v>
          </cell>
          <cell r="X165" t="str">
            <v>Kiosk Panchshil EON W-Wakad</v>
          </cell>
          <cell r="AB165" t="str">
            <v>03-10-2025
5 Jun 26</v>
          </cell>
          <cell r="AC165">
            <v>45938</v>
          </cell>
          <cell r="AD165">
            <v>45944</v>
          </cell>
          <cell r="AF165" t="str">
            <v>SDR DONE</v>
          </cell>
          <cell r="AH165" t="str">
            <v xml:space="preserve">
PFR Received on 14-10-2025</v>
          </cell>
          <cell r="AL165" t="str">
            <v>Pending</v>
          </cell>
          <cell r="AM165">
            <v>228</v>
          </cell>
          <cell r="GG165" t="str">
            <v>2026-2027</v>
          </cell>
        </row>
        <row r="166">
          <cell r="E166" t="str">
            <v>Mindspace Gigaplex , Airoli W</v>
          </cell>
          <cell r="F166" t="str">
            <v>5. Budget approved RFC awaited</v>
          </cell>
          <cell r="G166" t="str">
            <v>SEVEBK14678</v>
          </cell>
          <cell r="K166" t="str">
            <v>W</v>
          </cell>
          <cell r="L166" t="str">
            <v>BK</v>
          </cell>
          <cell r="N166" t="str">
            <v>Sh Anand Patade</v>
          </cell>
          <cell r="O166" t="str">
            <v>Sh Nitin Dawange</v>
          </cell>
          <cell r="Q166" t="str">
            <v>Arju Tiwari</v>
          </cell>
          <cell r="R166" t="str">
            <v>Kiran Patil</v>
          </cell>
          <cell r="S166" t="str">
            <v>Maharashtra</v>
          </cell>
          <cell r="T166" t="str">
            <v>Mumbai</v>
          </cell>
          <cell r="U166" t="str">
            <v>Premium</v>
          </cell>
          <cell r="V166" t="str">
            <v>Misc Formats</v>
          </cell>
          <cell r="W166">
            <v>431</v>
          </cell>
          <cell r="X166" t="str">
            <v>Mindspace Gigaplex , Airoli W</v>
          </cell>
          <cell r="AB166">
            <v>45965</v>
          </cell>
          <cell r="AC166">
            <v>45965</v>
          </cell>
          <cell r="AD166">
            <v>45969</v>
          </cell>
          <cell r="AE166">
            <v>45969</v>
          </cell>
          <cell r="AF166" t="str">
            <v>SDR DONE</v>
          </cell>
          <cell r="AG166">
            <v>0</v>
          </cell>
          <cell r="AH166" t="str">
            <v>Done</v>
          </cell>
          <cell r="AI166">
            <v>45995</v>
          </cell>
          <cell r="AJ166">
            <v>1</v>
          </cell>
          <cell r="AK166">
            <v>46010</v>
          </cell>
          <cell r="AL166" t="str">
            <v>Received</v>
          </cell>
          <cell r="AM166">
            <v>36</v>
          </cell>
          <cell r="AO166">
            <v>46013</v>
          </cell>
          <cell r="AP166">
            <v>46014</v>
          </cell>
          <cell r="AQ166">
            <v>0</v>
          </cell>
          <cell r="AR166">
            <v>46014</v>
          </cell>
          <cell r="AS166">
            <v>1</v>
          </cell>
          <cell r="AT166" t="str">
            <v>Received</v>
          </cell>
          <cell r="AU166">
            <v>46014</v>
          </cell>
          <cell r="AV166">
            <v>46014</v>
          </cell>
          <cell r="AW166">
            <v>0</v>
          </cell>
          <cell r="AX166">
            <v>46014</v>
          </cell>
          <cell r="AY166">
            <v>0</v>
          </cell>
          <cell r="AZ166" t="str">
            <v>Received</v>
          </cell>
          <cell r="BA166">
            <v>46015</v>
          </cell>
          <cell r="BC166">
            <v>1</v>
          </cell>
          <cell r="BG166">
            <v>46015</v>
          </cell>
          <cell r="BH166">
            <v>46021</v>
          </cell>
          <cell r="BI166">
            <v>0</v>
          </cell>
          <cell r="BJ166">
            <v>46021</v>
          </cell>
          <cell r="BK166">
            <v>5</v>
          </cell>
          <cell r="BL166" t="str">
            <v>Received</v>
          </cell>
          <cell r="BM166">
            <v>46013</v>
          </cell>
          <cell r="BN166">
            <v>46016</v>
          </cell>
          <cell r="BO166" t="str">
            <v>Received</v>
          </cell>
          <cell r="BP166">
            <v>46013</v>
          </cell>
          <cell r="BR166" t="str">
            <v>Received</v>
          </cell>
          <cell r="BS166">
            <v>46012</v>
          </cell>
          <cell r="BV166" t="str">
            <v>Done</v>
          </cell>
          <cell r="BW166" t="str">
            <v>30-12-2025</v>
          </cell>
          <cell r="BX166">
            <v>46076</v>
          </cell>
          <cell r="BY166" t="str">
            <v>Done</v>
          </cell>
          <cell r="CD166">
            <v>46021</v>
          </cell>
          <cell r="EJ166">
            <v>7</v>
          </cell>
          <cell r="EM166">
            <v>14</v>
          </cell>
          <cell r="EP166">
            <v>21</v>
          </cell>
          <cell r="ES166">
            <v>28</v>
          </cell>
          <cell r="EV166">
            <v>35</v>
          </cell>
          <cell r="GG166" t="str">
            <v>2026-2027</v>
          </cell>
        </row>
        <row r="167">
          <cell r="E167" t="str">
            <v>Kiosk Panchshil Vantage, Kharadi, Pune</v>
          </cell>
          <cell r="F167" t="str">
            <v>11. HOLD</v>
          </cell>
          <cell r="G167" t="str">
            <v>SEVEBK14695</v>
          </cell>
          <cell r="K167" t="str">
            <v>W</v>
          </cell>
          <cell r="L167" t="str">
            <v>BK</v>
          </cell>
          <cell r="N167" t="str">
            <v>Jaysingh Desai</v>
          </cell>
          <cell r="O167" t="str">
            <v>Ashish 1 M</v>
          </cell>
          <cell r="Q167" t="str">
            <v>Arju Tiwari</v>
          </cell>
          <cell r="R167" t="str">
            <v>Kiran Patil</v>
          </cell>
          <cell r="S167" t="str">
            <v>Maharashtra</v>
          </cell>
          <cell r="T167" t="str">
            <v>Pune</v>
          </cell>
          <cell r="U167" t="str">
            <v>Premium</v>
          </cell>
          <cell r="V167" t="str">
            <v>Misc Formats</v>
          </cell>
          <cell r="X167" t="str">
            <v>Kiosk Panchshil Vantage, Kharadi, Pune</v>
          </cell>
          <cell r="AB167">
            <v>45967</v>
          </cell>
          <cell r="AC167">
            <v>45967</v>
          </cell>
          <cell r="AF167" t="str">
            <v>Pending</v>
          </cell>
          <cell r="AG167">
            <v>205</v>
          </cell>
          <cell r="AH167" t="str">
            <v xml:space="preserve">Visit Done, Report Awaited
the location is not ready for SDR since  (LL) work is still pending as per Panchshil finishing guidelines. </v>
          </cell>
          <cell r="AI167">
            <v>46020</v>
          </cell>
          <cell r="AM167">
            <v>46172</v>
          </cell>
          <cell r="AO167">
            <v>3</v>
          </cell>
          <cell r="AP167">
            <v>46028</v>
          </cell>
          <cell r="AQ167">
            <v>0</v>
          </cell>
          <cell r="AR167">
            <v>46028</v>
          </cell>
          <cell r="AS167">
            <v>46025</v>
          </cell>
          <cell r="AV167">
            <v>46031</v>
          </cell>
          <cell r="BC167">
            <v>0</v>
          </cell>
          <cell r="BG167">
            <v>5</v>
          </cell>
          <cell r="BH167">
            <v>46035</v>
          </cell>
          <cell r="BI167">
            <v>1</v>
          </cell>
          <cell r="BJ167">
            <v>46035</v>
          </cell>
          <cell r="BK167">
            <v>46030</v>
          </cell>
          <cell r="BP167">
            <v>3</v>
          </cell>
          <cell r="BQ167">
            <v>46029</v>
          </cell>
          <cell r="BS167">
            <v>2</v>
          </cell>
          <cell r="GG167" t="str">
            <v>2026-2027</v>
          </cell>
        </row>
        <row r="168">
          <cell r="E168" t="str">
            <v>Panchshil Business Hub (Kharadi 40) Kharadi, Pune</v>
          </cell>
          <cell r="F168" t="str">
            <v>6. RFC offered</v>
          </cell>
          <cell r="G168" t="str">
            <v>SEVEBK14696</v>
          </cell>
          <cell r="H168" t="str">
            <v>MH-SM-PUN-1030</v>
          </cell>
          <cell r="I168" t="str">
            <v>TCJY</v>
          </cell>
          <cell r="J168" t="str">
            <v>QINQ</v>
          </cell>
          <cell r="K168" t="str">
            <v>W</v>
          </cell>
          <cell r="L168" t="str">
            <v>BK</v>
          </cell>
          <cell r="N168" t="str">
            <v>Jaysingh Desai</v>
          </cell>
          <cell r="O168" t="str">
            <v>Ashish 1 M</v>
          </cell>
          <cell r="Q168" t="str">
            <v>Arju Tiwari</v>
          </cell>
          <cell r="R168" t="str">
            <v>Kiran Patil</v>
          </cell>
          <cell r="S168" t="str">
            <v>Maharashtra</v>
          </cell>
          <cell r="T168" t="str">
            <v>Pune</v>
          </cell>
          <cell r="U168" t="str">
            <v>Premium</v>
          </cell>
          <cell r="V168" t="str">
            <v>Misc Formats</v>
          </cell>
          <cell r="W168">
            <v>292.18</v>
          </cell>
          <cell r="X168" t="str">
            <v>Panchshil Business Hub (Kharadi 40) Kharadi, Pune</v>
          </cell>
          <cell r="Y168">
            <v>46168</v>
          </cell>
          <cell r="AA168">
            <v>46168</v>
          </cell>
          <cell r="AB168">
            <v>45967</v>
          </cell>
          <cell r="AC168">
            <v>45967</v>
          </cell>
          <cell r="AD168">
            <v>45974</v>
          </cell>
          <cell r="AF168" t="str">
            <v>SDR DONE</v>
          </cell>
          <cell r="AG168">
            <v>2</v>
          </cell>
          <cell r="AI168">
            <v>46035</v>
          </cell>
          <cell r="AJ168">
            <v>0</v>
          </cell>
          <cell r="AK168">
            <v>46035</v>
          </cell>
          <cell r="AL168" t="str">
            <v>Received</v>
          </cell>
          <cell r="AM168">
            <v>56</v>
          </cell>
          <cell r="AO168">
            <v>46038</v>
          </cell>
          <cell r="AP168">
            <v>46042</v>
          </cell>
          <cell r="AQ168">
            <v>0</v>
          </cell>
          <cell r="AR168">
            <v>46042</v>
          </cell>
          <cell r="AS168">
            <v>4</v>
          </cell>
          <cell r="AT168" t="str">
            <v>Received</v>
          </cell>
          <cell r="AV168">
            <v>46043</v>
          </cell>
          <cell r="BG168">
            <v>46040</v>
          </cell>
          <cell r="BH168">
            <v>46045</v>
          </cell>
          <cell r="BI168">
            <v>1</v>
          </cell>
          <cell r="BJ168">
            <v>46045</v>
          </cell>
          <cell r="BK168">
            <v>4</v>
          </cell>
          <cell r="BL168" t="str">
            <v>Received</v>
          </cell>
          <cell r="BP168">
            <v>46038</v>
          </cell>
          <cell r="BQ168">
            <v>46043</v>
          </cell>
          <cell r="BR168" t="str">
            <v>Received</v>
          </cell>
          <cell r="BS168">
            <v>46037</v>
          </cell>
          <cell r="BT168">
            <v>46044</v>
          </cell>
          <cell r="BV168" t="str">
            <v>Done</v>
          </cell>
          <cell r="BW168" t="str">
            <v>28-01-2026</v>
          </cell>
          <cell r="BX168">
            <v>46104</v>
          </cell>
          <cell r="BY168" t="str">
            <v>Done</v>
          </cell>
          <cell r="CB168">
            <v>46169</v>
          </cell>
          <cell r="CD168">
            <v>46049</v>
          </cell>
          <cell r="DD168">
            <v>46171</v>
          </cell>
          <cell r="DE168">
            <v>60</v>
          </cell>
          <cell r="DL168">
            <v>46170</v>
          </cell>
          <cell r="GG168" t="str">
            <v>2026-2027</v>
          </cell>
        </row>
        <row r="169">
          <cell r="E169" t="str">
            <v>Dehire-Pranjee Marina, Koparkhairne</v>
          </cell>
          <cell r="F169" t="str">
            <v>9. EPC Ready</v>
          </cell>
          <cell r="G169" t="str">
            <v>SEVDKC14702</v>
          </cell>
          <cell r="K169" t="str">
            <v>W</v>
          </cell>
          <cell r="L169" t="str">
            <v>KC</v>
          </cell>
          <cell r="N169" t="str">
            <v>Sh Sangram Shinde</v>
          </cell>
          <cell r="O169" t="str">
            <v>Sh Sangram Shinde</v>
          </cell>
          <cell r="P169" t="str">
            <v>Prashant Kumar</v>
          </cell>
          <cell r="Q169" t="str">
            <v>Arju Tiwari</v>
          </cell>
          <cell r="R169" t="str">
            <v>Kiran Patil</v>
          </cell>
          <cell r="S169" t="str">
            <v>Maharashtra</v>
          </cell>
          <cell r="T169" t="str">
            <v>Mumbai</v>
          </cell>
          <cell r="U169" t="str">
            <v>Premium</v>
          </cell>
          <cell r="V169" t="str">
            <v>Misc Formats</v>
          </cell>
          <cell r="W169">
            <v>700</v>
          </cell>
          <cell r="X169" t="str">
            <v xml:space="preserve"> Shop No - 07, Pranjee Marina, Sector - 13, Koparkhairane, Vashi 400709</v>
          </cell>
          <cell r="Y169">
            <v>45999</v>
          </cell>
          <cell r="Z169" t="str">
            <v>11-12-2025</v>
          </cell>
          <cell r="AB169">
            <v>45985</v>
          </cell>
          <cell r="AC169">
            <v>45985</v>
          </cell>
          <cell r="AG169" t="str">
            <v>NA</v>
          </cell>
          <cell r="BV169" t="str">
            <v>Done</v>
          </cell>
          <cell r="BW169" t="str">
            <v>01-12-2025</v>
          </cell>
          <cell r="BX169">
            <v>45995</v>
          </cell>
          <cell r="BY169" t="str">
            <v>Done</v>
          </cell>
          <cell r="CD169">
            <v>45999</v>
          </cell>
          <cell r="CE169">
            <v>46003</v>
          </cell>
          <cell r="CF169" t="str">
            <v>Bhakti Enterprises</v>
          </cell>
          <cell r="CG169" t="str">
            <v>Bhakti Enterprises</v>
          </cell>
          <cell r="CH169" t="str">
            <v>NA</v>
          </cell>
          <cell r="CJ169">
            <v>46003</v>
          </cell>
          <cell r="CK169">
            <v>46003</v>
          </cell>
          <cell r="CL169">
            <v>46003</v>
          </cell>
          <cell r="DP169">
            <v>46002</v>
          </cell>
          <cell r="DQ169">
            <v>46002</v>
          </cell>
          <cell r="DR169">
            <v>21</v>
          </cell>
          <cell r="DS169">
            <v>21</v>
          </cell>
          <cell r="DU169">
            <v>46023</v>
          </cell>
          <cell r="DV169">
            <v>46023</v>
          </cell>
          <cell r="DW169">
            <v>46023</v>
          </cell>
          <cell r="DX169" t="str">
            <v>Jan 26 Week 1</v>
          </cell>
          <cell r="DY169">
            <v>46042</v>
          </cell>
          <cell r="DZ169">
            <v>46049</v>
          </cell>
          <cell r="EF169">
            <v>1</v>
          </cell>
          <cell r="EG169">
            <v>1</v>
          </cell>
          <cell r="FH169" t="str">
            <v>Done</v>
          </cell>
          <cell r="FI169">
            <v>46056</v>
          </cell>
          <cell r="FJ169" t="str">
            <v>NA</v>
          </cell>
          <cell r="FK169">
            <v>46056</v>
          </cell>
          <cell r="FZ169" t="str">
            <v>1) Joint site visit done on 24 Nov 25.
2) WBS and Budget upload on 8 Dec 25
3) Procurement Vendor started work on 10 Dec 25
4) SLP equipment dismantling done on 12  Dec 25
5) 1  No. vehicle for FIM tranport to WH reported on 18 Dec 25 and FIM material taken from site on 18 Dec 25. 
6)  1  No. vehicle for FIM tranport to WH reported on 22 Dec 25 and FIM material taken from site on 22 Dec 25. 
7) Before dismantling video taken on 23 Dec 25
8) Dismantling work started on 24 Dec 25
9) Dismantling work on hold from 27 Dec to 4 Dec due to NSO/Ops person at Site.
10) Scrap removed from Site by Procurement Vendor on 17 Jan 26</v>
          </cell>
          <cell r="GG169" t="str">
            <v>2025-2026</v>
          </cell>
        </row>
        <row r="170">
          <cell r="E170" t="str">
            <v>Dehire-SIS -Smart Bazaar -Seawoods</v>
          </cell>
          <cell r="F170" t="str">
            <v>9. EPC Ready</v>
          </cell>
          <cell r="G170" t="str">
            <v>SEVDKC14703</v>
          </cell>
          <cell r="K170" t="str">
            <v>W</v>
          </cell>
          <cell r="L170" t="str">
            <v>KC</v>
          </cell>
          <cell r="N170" t="str">
            <v>Sh Sangram Shinde</v>
          </cell>
          <cell r="O170" t="str">
            <v>Sh Sangram Shinde</v>
          </cell>
          <cell r="P170" t="str">
            <v>Prashant Kumar</v>
          </cell>
          <cell r="Q170" t="str">
            <v>Arju Tiwari</v>
          </cell>
          <cell r="R170" t="str">
            <v>Kiran Patil</v>
          </cell>
          <cell r="S170" t="str">
            <v>Maharashtra</v>
          </cell>
          <cell r="T170" t="str">
            <v>Mumbai</v>
          </cell>
          <cell r="U170" t="str">
            <v>Premium</v>
          </cell>
          <cell r="V170" t="str">
            <v>Misc Formats</v>
          </cell>
          <cell r="W170">
            <v>488</v>
          </cell>
          <cell r="X170" t="str">
            <v>Grand Central Mall, Plot No R, 1, Seawoods Station Rd, near Railway Station, Nerul East, Sector 40, Nerul, Navi Mumbai, Maharashtra 400706</v>
          </cell>
          <cell r="Y170">
            <v>46029</v>
          </cell>
          <cell r="Z170" t="str">
            <v>07-01-2026</v>
          </cell>
          <cell r="AB170">
            <v>45971</v>
          </cell>
          <cell r="AC170">
            <v>45971</v>
          </cell>
          <cell r="AG170" t="str">
            <v>NA</v>
          </cell>
          <cell r="BW170" t="str">
            <v>18-12-2025</v>
          </cell>
          <cell r="BX170">
            <v>46028</v>
          </cell>
          <cell r="BY170" t="str">
            <v>Done</v>
          </cell>
          <cell r="CD170">
            <v>45663</v>
          </cell>
          <cell r="CE170">
            <v>46041</v>
          </cell>
          <cell r="CF170" t="str">
            <v>Sark Corporation</v>
          </cell>
          <cell r="CG170" t="str">
            <v>Sark Corporation</v>
          </cell>
          <cell r="CH170" t="str">
            <v>NA</v>
          </cell>
          <cell r="CJ170">
            <v>46041</v>
          </cell>
          <cell r="CK170">
            <v>46041</v>
          </cell>
          <cell r="CL170">
            <v>46041</v>
          </cell>
          <cell r="DP170">
            <v>46034</v>
          </cell>
          <cell r="DQ170">
            <v>46034</v>
          </cell>
          <cell r="DR170">
            <v>21</v>
          </cell>
          <cell r="DS170">
            <v>21</v>
          </cell>
          <cell r="DU170">
            <v>46055</v>
          </cell>
          <cell r="DV170">
            <v>46055</v>
          </cell>
          <cell r="DW170">
            <v>46055</v>
          </cell>
          <cell r="DX170" t="str">
            <v>Feb 26 Week 1</v>
          </cell>
          <cell r="DY170">
            <v>46071</v>
          </cell>
          <cell r="DZ170">
            <v>46071</v>
          </cell>
          <cell r="EA170" t="str">
            <v>Feb 26 Week 3</v>
          </cell>
          <cell r="ED170" t="str">
            <v/>
          </cell>
          <cell r="EE170" t="str">
            <v/>
          </cell>
          <cell r="EF170">
            <v>1</v>
          </cell>
          <cell r="EG170">
            <v>1</v>
          </cell>
          <cell r="FH170" t="str">
            <v>Done</v>
          </cell>
          <cell r="FI170">
            <v>46072</v>
          </cell>
          <cell r="FJ170" t="str">
            <v>NA</v>
          </cell>
          <cell r="FK170">
            <v>46072</v>
          </cell>
          <cell r="FZ170" t="str">
            <v>1) Joint site visit done on 8 Dec 25
2) Dehire scope received from NSO/Business on 11  Dec 2025 
3) WBS and Budget Uploaded on 7 Jan 26
4) Procurement vendor started work on 9 Jan 26
5) FIM shifted on 22 Jan 26
6) Scrap PPT approved by NSO on 11 Feb 26
7) Scrap removed by procurement vendor  on 15 Feb 26
8) EPC Ready done on 18 Feb 26</v>
          </cell>
          <cell r="GG170" t="str">
            <v>2025-2026</v>
          </cell>
        </row>
        <row r="171">
          <cell r="E171" t="str">
            <v>Kiosk - D.Y Patil Hospital, PCMC-Pune - Relay Work</v>
          </cell>
          <cell r="F171" t="str">
            <v>9. EPC Ready</v>
          </cell>
          <cell r="G171" t="str">
            <v>SEVEBK14935</v>
          </cell>
          <cell r="J171" t="str">
            <v>QV8R</v>
          </cell>
          <cell r="K171" t="str">
            <v>W</v>
          </cell>
          <cell r="L171" t="str">
            <v>BK</v>
          </cell>
          <cell r="N171" t="str">
            <v>Jaysingh Desai</v>
          </cell>
          <cell r="O171" t="str">
            <v>Ashish 1 M</v>
          </cell>
          <cell r="Q171" t="str">
            <v>Arju Tiwari</v>
          </cell>
          <cell r="R171" t="str">
            <v>Kiran Patil</v>
          </cell>
          <cell r="S171" t="str">
            <v>Maharashtra</v>
          </cell>
          <cell r="T171" t="str">
            <v>Pune</v>
          </cell>
          <cell r="U171" t="str">
            <v>Premium</v>
          </cell>
          <cell r="V171" t="str">
            <v>Misc Formats</v>
          </cell>
          <cell r="W171">
            <v>160</v>
          </cell>
          <cell r="X171" t="str">
            <v>D Y Patil Medical College Hospital and Research Centre , Ground Floor, Sant Tukaram Nagar, Pimpri Chinchwad, Pune-411018</v>
          </cell>
          <cell r="Y171">
            <v>46035</v>
          </cell>
          <cell r="AB171" t="str">
            <v>NA</v>
          </cell>
          <cell r="AG171" t="str">
            <v>NA</v>
          </cell>
          <cell r="AI171">
            <v>46008</v>
          </cell>
          <cell r="AJ171">
            <v>0</v>
          </cell>
          <cell r="AK171">
            <v>46008</v>
          </cell>
          <cell r="BW171" t="str">
            <v>22-12-2025</v>
          </cell>
          <cell r="BX171">
            <v>46003</v>
          </cell>
          <cell r="BY171" t="str">
            <v>Done</v>
          </cell>
          <cell r="DJ171" t="str">
            <v>NA</v>
          </cell>
          <cell r="DL171">
            <v>46035</v>
          </cell>
          <cell r="DP171">
            <v>46069</v>
          </cell>
          <cell r="DQ171">
            <v>46069</v>
          </cell>
          <cell r="DR171">
            <v>7</v>
          </cell>
          <cell r="DS171">
            <v>7</v>
          </cell>
          <cell r="DU171">
            <v>46076</v>
          </cell>
          <cell r="DV171">
            <v>46076</v>
          </cell>
          <cell r="DZ171">
            <v>46071</v>
          </cell>
          <cell r="EA171" t="str">
            <v>Feb 26 Week 3</v>
          </cell>
          <cell r="EF171">
            <v>1</v>
          </cell>
          <cell r="EG171">
            <v>1</v>
          </cell>
          <cell r="FH171" t="str">
            <v>Done</v>
          </cell>
          <cell r="FI171">
            <v>46071</v>
          </cell>
          <cell r="FJ171" t="str">
            <v>NA</v>
          </cell>
          <cell r="FK171">
            <v>46071</v>
          </cell>
          <cell r="GG171" t="str">
            <v>2025-2026</v>
          </cell>
        </row>
        <row r="172">
          <cell r="E172" t="str">
            <v>Kiosk Kohinoor World Tower, Pimpri Chinchwad</v>
          </cell>
          <cell r="F172" t="str">
            <v>6. RFC offered</v>
          </cell>
          <cell r="G172" t="str">
            <v>SEVEBK15001</v>
          </cell>
          <cell r="H172" t="str">
            <v>MH-SM-PUN-1032</v>
          </cell>
          <cell r="I172" t="str">
            <v>TCKI</v>
          </cell>
          <cell r="J172" t="str">
            <v>QINS</v>
          </cell>
          <cell r="K172" t="str">
            <v>W</v>
          </cell>
          <cell r="L172" t="str">
            <v>BK</v>
          </cell>
          <cell r="N172" t="str">
            <v>Jaisingh Desai</v>
          </cell>
          <cell r="O172" t="str">
            <v>Ashish 1 M</v>
          </cell>
          <cell r="Q172" t="str">
            <v>Arju Tiwari</v>
          </cell>
          <cell r="R172" t="str">
            <v>Kiran Patil</v>
          </cell>
          <cell r="S172" t="str">
            <v>Maharashtra</v>
          </cell>
          <cell r="T172" t="str">
            <v>Pune</v>
          </cell>
          <cell r="U172" t="str">
            <v>Premium</v>
          </cell>
          <cell r="V172" t="str">
            <v>Misc Formats</v>
          </cell>
          <cell r="W172">
            <v>120</v>
          </cell>
          <cell r="X172" t="str">
            <v>Kohinoor World Tower, Pimpri Chinchwad, Pune</v>
          </cell>
          <cell r="Y172">
            <v>46168</v>
          </cell>
          <cell r="AA172">
            <v>46168</v>
          </cell>
          <cell r="AB172">
            <v>46038</v>
          </cell>
          <cell r="AC172">
            <v>46038</v>
          </cell>
          <cell r="AD172">
            <v>46042</v>
          </cell>
          <cell r="AE172">
            <v>46042</v>
          </cell>
          <cell r="AF172" t="str">
            <v>SDR DONE</v>
          </cell>
          <cell r="AG172">
            <v>0</v>
          </cell>
          <cell r="AI172">
            <v>46087</v>
          </cell>
          <cell r="AJ172">
            <v>1</v>
          </cell>
          <cell r="AK172">
            <v>46101</v>
          </cell>
          <cell r="AL172" t="str">
            <v>Received</v>
          </cell>
          <cell r="AM172">
            <v>54</v>
          </cell>
          <cell r="AO172">
            <v>46104</v>
          </cell>
          <cell r="AP172">
            <v>46108</v>
          </cell>
          <cell r="AQ172">
            <v>0</v>
          </cell>
          <cell r="AR172">
            <v>46108</v>
          </cell>
          <cell r="AS172">
            <v>4</v>
          </cell>
          <cell r="AT172" t="str">
            <v>Received</v>
          </cell>
          <cell r="AV172" t="str">
            <v>NA</v>
          </cell>
          <cell r="AW172" t="str">
            <v>NA</v>
          </cell>
          <cell r="AX172" t="str">
            <v>NA</v>
          </cell>
          <cell r="AZ172" t="str">
            <v>NA</v>
          </cell>
          <cell r="BA172">
            <v>46106</v>
          </cell>
          <cell r="BC172">
            <v>0</v>
          </cell>
          <cell r="BF172" t="str">
            <v>HVAC - 19-03-2026
PLB - 20-03-2026</v>
          </cell>
          <cell r="BG172">
            <v>46106</v>
          </cell>
          <cell r="BH172">
            <v>46105</v>
          </cell>
          <cell r="BI172">
            <v>0</v>
          </cell>
          <cell r="BJ172">
            <v>46108</v>
          </cell>
          <cell r="BK172">
            <v>1</v>
          </cell>
          <cell r="BL172" t="str">
            <v>Received</v>
          </cell>
          <cell r="BM172">
            <v>46104</v>
          </cell>
          <cell r="BN172" t="str">
            <v>NA</v>
          </cell>
          <cell r="BP172">
            <v>46104</v>
          </cell>
          <cell r="BQ172">
            <v>46097</v>
          </cell>
          <cell r="BR172" t="str">
            <v>Received</v>
          </cell>
          <cell r="BS172">
            <v>46103</v>
          </cell>
          <cell r="BV172" t="str">
            <v>Done</v>
          </cell>
          <cell r="BW172" t="str">
            <v>25-04-2026</v>
          </cell>
          <cell r="BX172">
            <v>46134</v>
          </cell>
          <cell r="BY172" t="str">
            <v>Done</v>
          </cell>
          <cell r="CB172">
            <v>46169</v>
          </cell>
          <cell r="CD172">
            <v>46106</v>
          </cell>
          <cell r="DD172">
            <v>46171</v>
          </cell>
          <cell r="DE172">
            <v>60</v>
          </cell>
          <cell r="DL172">
            <v>46175</v>
          </cell>
          <cell r="GG172" t="str">
            <v>2026-2027</v>
          </cell>
        </row>
        <row r="173">
          <cell r="E173" t="str">
            <v>Dehire-D'Victoria Mall, Borivali</v>
          </cell>
          <cell r="F173" t="str">
            <v>9. EPC Ready</v>
          </cell>
          <cell r="G173" t="str">
            <v>SEVDKC15002</v>
          </cell>
          <cell r="K173" t="str">
            <v>W</v>
          </cell>
          <cell r="L173" t="str">
            <v>KC</v>
          </cell>
          <cell r="N173" t="str">
            <v>Sh Sangram Shinde</v>
          </cell>
          <cell r="O173" t="str">
            <v>Sh Sangram Shinde</v>
          </cell>
          <cell r="P173" t="str">
            <v>Hareshprasad M</v>
          </cell>
          <cell r="Q173" t="str">
            <v>Arju Tiwari</v>
          </cell>
          <cell r="R173" t="str">
            <v>Kiran Patil</v>
          </cell>
          <cell r="S173" t="str">
            <v>Maharashtra</v>
          </cell>
          <cell r="T173" t="str">
            <v>Mumbai</v>
          </cell>
          <cell r="W173">
            <v>450</v>
          </cell>
          <cell r="X173" t="str">
            <v>D'Victoria Mall, Borivali</v>
          </cell>
          <cell r="Y173">
            <v>46080</v>
          </cell>
          <cell r="Z173" t="str">
            <v>09-03-2026</v>
          </cell>
          <cell r="AB173">
            <v>46043</v>
          </cell>
          <cell r="AC173">
            <v>46043</v>
          </cell>
          <cell r="AG173" t="str">
            <v>NA</v>
          </cell>
          <cell r="BW173" t="str">
            <v>30-01-2026</v>
          </cell>
          <cell r="BX173">
            <v>46078</v>
          </cell>
          <cell r="BY173" t="str">
            <v>Done</v>
          </cell>
          <cell r="CD173">
            <v>46080</v>
          </cell>
          <cell r="CE173">
            <v>46090</v>
          </cell>
          <cell r="CF173" t="str">
            <v>M/S Sark</v>
          </cell>
          <cell r="CJ173">
            <v>46090</v>
          </cell>
          <cell r="DP173">
            <v>46097</v>
          </cell>
          <cell r="DQ173">
            <v>46097</v>
          </cell>
          <cell r="DR173">
            <v>21</v>
          </cell>
          <cell r="DS173">
            <v>21</v>
          </cell>
          <cell r="DU173">
            <v>46118</v>
          </cell>
          <cell r="DV173">
            <v>46118</v>
          </cell>
          <cell r="DY173">
            <v>46142</v>
          </cell>
          <cell r="DZ173">
            <v>46142</v>
          </cell>
          <cell r="EF173">
            <v>1</v>
          </cell>
          <cell r="EG173">
            <v>1</v>
          </cell>
          <cell r="FH173" t="str">
            <v>Done</v>
          </cell>
          <cell r="FI173" t="str">
            <v>Done</v>
          </cell>
          <cell r="FJ173" t="str">
            <v>NA</v>
          </cell>
          <cell r="FK173">
            <v>46153</v>
          </cell>
          <cell r="FZ173" t="str">
            <v>a</v>
          </cell>
          <cell r="GG173" t="str">
            <v>2026-2027</v>
          </cell>
        </row>
        <row r="174">
          <cell r="E174" t="str">
            <v>Dehire-Smart Bazaar, Orion mall,Panvel</v>
          </cell>
          <cell r="F174" t="str">
            <v>9. EPC Ready</v>
          </cell>
          <cell r="G174" t="str">
            <v>SEVDKC15003</v>
          </cell>
          <cell r="K174" t="str">
            <v>W</v>
          </cell>
          <cell r="L174" t="str">
            <v>KC</v>
          </cell>
          <cell r="N174" t="str">
            <v>Sh Sangram Shinde</v>
          </cell>
          <cell r="O174" t="str">
            <v>Sh Sangram Shinde</v>
          </cell>
          <cell r="P174" t="str">
            <v>Ajay Kumar</v>
          </cell>
          <cell r="Q174" t="str">
            <v>Arju Tiwari</v>
          </cell>
          <cell r="R174" t="str">
            <v>Kiran Patil</v>
          </cell>
          <cell r="S174" t="str">
            <v>Maharashtra</v>
          </cell>
          <cell r="T174" t="str">
            <v>Mumbai</v>
          </cell>
          <cell r="W174">
            <v>600</v>
          </cell>
          <cell r="X174" t="str">
            <v>Smart Bazaar, Orion Mall, Panvel</v>
          </cell>
          <cell r="Y174">
            <v>46080</v>
          </cell>
          <cell r="Z174" t="str">
            <v>04-03-2026</v>
          </cell>
          <cell r="AB174">
            <v>46041</v>
          </cell>
          <cell r="AC174">
            <v>46041</v>
          </cell>
          <cell r="AG174" t="str">
            <v>NA</v>
          </cell>
          <cell r="BW174" t="str">
            <v>30-01-2026</v>
          </cell>
          <cell r="BX174">
            <v>46078</v>
          </cell>
          <cell r="BY174" t="str">
            <v>Done</v>
          </cell>
          <cell r="CD174">
            <v>46080</v>
          </cell>
          <cell r="CE174">
            <v>46090</v>
          </cell>
          <cell r="CF174" t="str">
            <v>M/S D K Enterprises</v>
          </cell>
          <cell r="CJ174">
            <v>46090</v>
          </cell>
          <cell r="DP174">
            <v>46093</v>
          </cell>
          <cell r="DQ174">
            <v>46093</v>
          </cell>
          <cell r="DR174">
            <v>21</v>
          </cell>
          <cell r="DS174">
            <v>21</v>
          </cell>
          <cell r="DU174">
            <v>46114</v>
          </cell>
          <cell r="DV174">
            <v>46114</v>
          </cell>
          <cell r="DY174">
            <v>46125</v>
          </cell>
          <cell r="DZ174">
            <v>46133</v>
          </cell>
          <cell r="EF174">
            <v>1</v>
          </cell>
          <cell r="EG174">
            <v>1</v>
          </cell>
          <cell r="FH174" t="str">
            <v>Done</v>
          </cell>
          <cell r="FI174" t="str">
            <v>Done</v>
          </cell>
          <cell r="FJ174" t="str">
            <v>NA</v>
          </cell>
          <cell r="FK174">
            <v>46134</v>
          </cell>
          <cell r="FZ174" t="str">
            <v>1) Dehire scope received on 19 Jan 26
2) Dehire scope received on 23 Jan 26
3) Budget approved on 25 Feb 26
4) WBS received on 27 Feb 26
5) Board out done on 12 Mar 26
6) Dismantling and packing started on
7) FIM removed from store by procurement Vendor on 24 Mar
8) Dismantling work started on 25 Mar
9) Scrap removed on 16 April 26</v>
          </cell>
          <cell r="GG174" t="str">
            <v>2026-2027</v>
          </cell>
        </row>
        <row r="175">
          <cell r="E175" t="str">
            <v>Dehire-Smart Bazaar, Xperia Mall, Dombivali</v>
          </cell>
          <cell r="F175" t="str">
            <v>9. EPC Ready</v>
          </cell>
          <cell r="G175" t="str">
            <v>SEVDKC15004</v>
          </cell>
          <cell r="K175" t="str">
            <v>W</v>
          </cell>
          <cell r="L175" t="str">
            <v>KC</v>
          </cell>
          <cell r="N175" t="str">
            <v>Sh Sangram Shinde</v>
          </cell>
          <cell r="O175" t="str">
            <v>Sh Sangram Shinde</v>
          </cell>
          <cell r="P175" t="str">
            <v>Ajay Kumar</v>
          </cell>
          <cell r="Q175" t="str">
            <v>Arju Tiwari</v>
          </cell>
          <cell r="R175" t="str">
            <v>Kiran Patil</v>
          </cell>
          <cell r="S175" t="str">
            <v>Maharashtra</v>
          </cell>
          <cell r="T175" t="str">
            <v>Mumbai</v>
          </cell>
          <cell r="W175">
            <v>698</v>
          </cell>
          <cell r="X175" t="str">
            <v>Smart Bazaar, Xperial Mall, Dombivli</v>
          </cell>
          <cell r="Y175">
            <v>46080</v>
          </cell>
          <cell r="AB175">
            <v>46035</v>
          </cell>
          <cell r="AC175">
            <v>46035</v>
          </cell>
          <cell r="AG175" t="str">
            <v>NA</v>
          </cell>
          <cell r="BW175" t="str">
            <v>22-01-2026</v>
          </cell>
          <cell r="BX175">
            <v>46078</v>
          </cell>
          <cell r="BY175" t="str">
            <v>Done</v>
          </cell>
          <cell r="CD175">
            <v>46080</v>
          </cell>
          <cell r="CE175">
            <v>46090</v>
          </cell>
          <cell r="CF175" t="str">
            <v>M/S Sark</v>
          </cell>
          <cell r="CJ175">
            <v>46090</v>
          </cell>
          <cell r="DP175">
            <v>46095</v>
          </cell>
          <cell r="DQ175">
            <v>46095</v>
          </cell>
          <cell r="DR175">
            <v>21</v>
          </cell>
          <cell r="DS175">
            <v>21</v>
          </cell>
          <cell r="DU175">
            <v>46116</v>
          </cell>
          <cell r="DV175">
            <v>46116</v>
          </cell>
          <cell r="DY175">
            <v>46142</v>
          </cell>
          <cell r="DZ175">
            <v>46170</v>
          </cell>
          <cell r="EF175">
            <v>1</v>
          </cell>
          <cell r="EG175">
            <v>1</v>
          </cell>
          <cell r="FH175" t="str">
            <v>Pending</v>
          </cell>
          <cell r="FI175" t="str">
            <v>Pending</v>
          </cell>
          <cell r="FJ175" t="str">
            <v>NA</v>
          </cell>
          <cell r="FZ175" t="str">
            <v>1) Joint site visit done by NSO, SM and EPC on 13 Jan 26
2) Dehired scope shared by NSO on 15 Jan 26
3) Budget approved on 25 Feb 26
4) WBS received on 27 Feb 26
5) Boardout done on 14 Mar 26
6) Dismantling and packing started on 
7) FIM removed from store by procurement Vendor on 7 Apri
8) Dismantling work started on 11 April
9) Scrap removed from store by procurement on 16 May
10) Debris local monopoly issue from 18 May to 27 May</v>
          </cell>
          <cell r="GG175" t="str">
            <v>2026-2027</v>
          </cell>
        </row>
        <row r="176">
          <cell r="E176" t="str">
            <v>Dehire-Smart Bazaar, Kothrud Road, Pune</v>
          </cell>
          <cell r="F176" t="str">
            <v>9. EPC Ready</v>
          </cell>
          <cell r="G176" t="str">
            <v>SEVDKC15005</v>
          </cell>
          <cell r="K176" t="str">
            <v>W</v>
          </cell>
          <cell r="L176" t="str">
            <v>KC</v>
          </cell>
          <cell r="N176" t="str">
            <v>Sh Sangram Shinde</v>
          </cell>
          <cell r="O176" t="str">
            <v>Sh Sangram Shinde</v>
          </cell>
          <cell r="P176" t="str">
            <v>Prashant Wankhede</v>
          </cell>
          <cell r="Q176" t="str">
            <v>Arju Tiwari</v>
          </cell>
          <cell r="R176" t="str">
            <v>Kiran Patil</v>
          </cell>
          <cell r="S176" t="str">
            <v>Maharashtra</v>
          </cell>
          <cell r="T176" t="str">
            <v>Pune</v>
          </cell>
          <cell r="W176">
            <v>495</v>
          </cell>
          <cell r="X176" t="str">
            <v>Kothrud Survey No.20/1, 2, Near Tara Residency, Kothrud, Pune, Maharashtra 411038</v>
          </cell>
          <cell r="Y176">
            <v>46080</v>
          </cell>
          <cell r="AB176">
            <v>46045</v>
          </cell>
          <cell r="AC176">
            <v>46045</v>
          </cell>
          <cell r="AG176" t="str">
            <v>NA</v>
          </cell>
          <cell r="BW176" t="str">
            <v>02-02-2026</v>
          </cell>
          <cell r="BX176">
            <v>46078</v>
          </cell>
          <cell r="BY176" t="str">
            <v>Done</v>
          </cell>
          <cell r="CD176">
            <v>46080</v>
          </cell>
          <cell r="CE176">
            <v>46094</v>
          </cell>
          <cell r="CF176" t="str">
            <v>M/S Vertex</v>
          </cell>
          <cell r="CJ176">
            <v>46094</v>
          </cell>
          <cell r="DP176">
            <v>46096</v>
          </cell>
          <cell r="DQ176">
            <v>46096</v>
          </cell>
          <cell r="DR176">
            <v>21</v>
          </cell>
          <cell r="DS176">
            <v>21</v>
          </cell>
          <cell r="DU176">
            <v>46117</v>
          </cell>
          <cell r="DV176">
            <v>46117</v>
          </cell>
          <cell r="DY176">
            <v>46142</v>
          </cell>
          <cell r="DZ176">
            <v>46158</v>
          </cell>
          <cell r="EF176">
            <v>1</v>
          </cell>
          <cell r="EG176">
            <v>1</v>
          </cell>
          <cell r="FH176" t="str">
            <v>Done</v>
          </cell>
          <cell r="FI176">
            <v>46164</v>
          </cell>
          <cell r="FJ176" t="str">
            <v>NA</v>
          </cell>
          <cell r="FZ176" t="str">
            <v>1) Joint site visit done on 23 Jan 26
2) Dehire scope received on 30 Jan 2026
3) Budget approved on 25 Feb 26
4) WBS received on 27 Feb 26
5) Boardout done on
6) Dismantling and packing started on 19 Mar 26
7) FIM removed from store by procurement Vendor on 16 April 
8) Scrap removed from store by procurement on 7 May</v>
          </cell>
          <cell r="GG176" t="str">
            <v>2026-2027</v>
          </cell>
        </row>
        <row r="177">
          <cell r="E177" t="str">
            <v>Rupa Solitare, Koparkhairane - Relay Work</v>
          </cell>
          <cell r="F177" t="str">
            <v>4. Budget Approval Pending</v>
          </cell>
          <cell r="G177" t="str">
            <v>MIREBK15075</v>
          </cell>
          <cell r="J177" t="str">
            <v>QXPE</v>
          </cell>
          <cell r="K177" t="str">
            <v>W</v>
          </cell>
          <cell r="L177" t="str">
            <v>BK</v>
          </cell>
          <cell r="N177" t="str">
            <v>Sh Anand Patade</v>
          </cell>
          <cell r="O177" t="str">
            <v>Sh Nitin Dawange</v>
          </cell>
          <cell r="Q177" t="str">
            <v>Arju Tiwari</v>
          </cell>
          <cell r="R177" t="str">
            <v>Kiran Patil</v>
          </cell>
          <cell r="S177" t="str">
            <v>Maharashtra</v>
          </cell>
          <cell r="T177" t="str">
            <v>Mumbai</v>
          </cell>
          <cell r="U177" t="str">
            <v>Premium</v>
          </cell>
          <cell r="V177" t="str">
            <v>Misc Formats</v>
          </cell>
          <cell r="W177">
            <v>847</v>
          </cell>
          <cell r="X177" t="str">
            <v>Shop no. 6, Rupa Solitaire, MBP, Koperkhairne, Navi Mumbai, 400710</v>
          </cell>
          <cell r="AB177" t="str">
            <v>NA</v>
          </cell>
          <cell r="AF177" t="str">
            <v>NA</v>
          </cell>
          <cell r="AG177" t="str">
            <v>NA</v>
          </cell>
          <cell r="AI177">
            <v>46050</v>
          </cell>
          <cell r="AJ177">
            <v>0</v>
          </cell>
          <cell r="AK177">
            <v>46050</v>
          </cell>
          <cell r="AL177" t="str">
            <v>Received</v>
          </cell>
          <cell r="AN177" t="str">
            <v>Scope clarity given by Business on 28 Jan 26</v>
          </cell>
          <cell r="AO177">
            <v>46053</v>
          </cell>
          <cell r="AP177">
            <v>46056</v>
          </cell>
          <cell r="AQ177">
            <v>0</v>
          </cell>
          <cell r="AR177">
            <v>46056</v>
          </cell>
          <cell r="AS177">
            <v>3</v>
          </cell>
          <cell r="AT177" t="str">
            <v>Received</v>
          </cell>
          <cell r="AV177" t="str">
            <v>NA</v>
          </cell>
          <cell r="AW177" t="str">
            <v>NA</v>
          </cell>
          <cell r="AX177" t="str">
            <v>NA</v>
          </cell>
          <cell r="AZ177" t="str">
            <v>NA</v>
          </cell>
          <cell r="BF177" t="str">
            <v>NA</v>
          </cell>
          <cell r="BG177">
            <v>46055</v>
          </cell>
          <cell r="BH177">
            <v>46063</v>
          </cell>
          <cell r="BI177">
            <v>0</v>
          </cell>
          <cell r="BJ177">
            <v>46063</v>
          </cell>
          <cell r="BM177">
            <v>46053</v>
          </cell>
          <cell r="BN177">
            <v>46062</v>
          </cell>
          <cell r="BO177" t="str">
            <v>Received</v>
          </cell>
          <cell r="BP177">
            <v>46053</v>
          </cell>
          <cell r="BQ177">
            <v>46057</v>
          </cell>
          <cell r="BR177" t="str">
            <v>Received</v>
          </cell>
          <cell r="BT177">
            <v>45691</v>
          </cell>
          <cell r="BW177" t="str">
            <v>12-02-2026</v>
          </cell>
          <cell r="BY177" t="str">
            <v>Pending</v>
          </cell>
          <cell r="CD177" t="str">
            <v>NA</v>
          </cell>
          <cell r="GG177" t="str">
            <v>2026-2027</v>
          </cell>
        </row>
        <row r="178">
          <cell r="E178" t="str">
            <v>Kiosk One World, Lower Parel, Mumbai</v>
          </cell>
          <cell r="F178" t="str">
            <v>4. Budget Approval Pending</v>
          </cell>
          <cell r="G178" t="str">
            <v>SEVEBK15078</v>
          </cell>
          <cell r="K178" t="str">
            <v>W</v>
          </cell>
          <cell r="L178" t="str">
            <v>BK</v>
          </cell>
          <cell r="N178" t="str">
            <v>Sh Anand Patade</v>
          </cell>
          <cell r="O178" t="str">
            <v>Sh Nitin Dawange</v>
          </cell>
          <cell r="Q178" t="str">
            <v>Arju Tiwari</v>
          </cell>
          <cell r="R178" t="str">
            <v>Kiran Patil</v>
          </cell>
          <cell r="S178" t="str">
            <v>Maharashtra</v>
          </cell>
          <cell r="T178" t="str">
            <v>Mumbai</v>
          </cell>
          <cell r="U178" t="str">
            <v>Premium</v>
          </cell>
          <cell r="V178" t="str">
            <v>Misc Formats</v>
          </cell>
          <cell r="W178">
            <v>200</v>
          </cell>
          <cell r="X178" t="str">
            <v>One World, Lower Parel, Mumbai</v>
          </cell>
          <cell r="AB178">
            <v>46058</v>
          </cell>
          <cell r="AC178">
            <v>46058</v>
          </cell>
          <cell r="AD178">
            <v>46063</v>
          </cell>
          <cell r="AE178">
            <v>46063</v>
          </cell>
          <cell r="AF178" t="str">
            <v>SDR DONE</v>
          </cell>
          <cell r="AG178">
            <v>0</v>
          </cell>
          <cell r="AI178">
            <v>46094</v>
          </cell>
          <cell r="AJ178">
            <v>0</v>
          </cell>
          <cell r="AK178">
            <v>46094</v>
          </cell>
          <cell r="AL178" t="str">
            <v>Received</v>
          </cell>
          <cell r="AM178">
            <v>26</v>
          </cell>
          <cell r="AN178" t="str">
            <v>Updated scope received on 2 April 26</v>
          </cell>
          <cell r="AO178">
            <v>46097</v>
          </cell>
          <cell r="AP178">
            <v>46125</v>
          </cell>
          <cell r="AQ178">
            <v>0</v>
          </cell>
          <cell r="AR178">
            <v>46125</v>
          </cell>
          <cell r="AS178">
            <v>28</v>
          </cell>
          <cell r="AT178" t="str">
            <v>Received</v>
          </cell>
          <cell r="AV178" t="str">
            <v>NA</v>
          </cell>
          <cell r="AW178" t="str">
            <v>NA</v>
          </cell>
          <cell r="AX178" t="str">
            <v>NA</v>
          </cell>
          <cell r="AZ178" t="str">
            <v>NA</v>
          </cell>
          <cell r="BA178">
            <v>46099</v>
          </cell>
          <cell r="BC178">
            <v>0</v>
          </cell>
          <cell r="BF178" t="str">
            <v>HVAC - 20-03-2026
PLB-8.04.2026</v>
          </cell>
          <cell r="BG178">
            <v>46099</v>
          </cell>
          <cell r="BH178">
            <v>46127</v>
          </cell>
          <cell r="BI178">
            <v>0</v>
          </cell>
          <cell r="BJ178">
            <v>46127</v>
          </cell>
          <cell r="BM178">
            <v>46097</v>
          </cell>
          <cell r="BN178" t="str">
            <v>NA</v>
          </cell>
          <cell r="BP178">
            <v>46097</v>
          </cell>
          <cell r="BQ178">
            <v>46097</v>
          </cell>
          <cell r="BR178" t="str">
            <v>Received</v>
          </cell>
          <cell r="BW178" t="str">
            <v>15-04-2026</v>
          </cell>
          <cell r="BY178" t="str">
            <v>Pending</v>
          </cell>
          <cell r="CD178">
            <v>46134</v>
          </cell>
          <cell r="GG178" t="str">
            <v>2026-2027</v>
          </cell>
        </row>
        <row r="179">
          <cell r="E179" t="str">
            <v>One International, Lower Parel, Mumbai</v>
          </cell>
          <cell r="F179" t="str">
            <v>2. ML Awaited</v>
          </cell>
          <cell r="G179" t="str">
            <v>SEVEBK15079</v>
          </cell>
          <cell r="K179" t="str">
            <v>W</v>
          </cell>
          <cell r="L179" t="str">
            <v>BK</v>
          </cell>
          <cell r="N179" t="str">
            <v>Sh Anand Patade</v>
          </cell>
          <cell r="O179" t="str">
            <v>Sh Nitin Dawange</v>
          </cell>
          <cell r="Q179" t="str">
            <v>Arju Tiwari</v>
          </cell>
          <cell r="R179" t="str">
            <v>Kiran Patil</v>
          </cell>
          <cell r="S179" t="str">
            <v>Maharashtra</v>
          </cell>
          <cell r="T179" t="str">
            <v>Mumbai</v>
          </cell>
          <cell r="U179" t="str">
            <v>Premium</v>
          </cell>
          <cell r="V179" t="str">
            <v>Misc Formats</v>
          </cell>
          <cell r="X179" t="str">
            <v>One International, Lower Parel, Mumbai</v>
          </cell>
          <cell r="AB179">
            <v>46058</v>
          </cell>
          <cell r="AC179">
            <v>46058</v>
          </cell>
          <cell r="AD179">
            <v>46076</v>
          </cell>
          <cell r="AE179">
            <v>46076</v>
          </cell>
          <cell r="AF179" t="str">
            <v>SDR DONE</v>
          </cell>
          <cell r="AG179">
            <v>13</v>
          </cell>
          <cell r="AM179">
            <v>96</v>
          </cell>
          <cell r="GG179" t="str">
            <v>2026-2027</v>
          </cell>
        </row>
        <row r="180">
          <cell r="E180" t="str">
            <v>Kiosk AIMS Hospital, Dombivli</v>
          </cell>
          <cell r="F180" t="str">
            <v>5. Budget approved RFC awaited</v>
          </cell>
          <cell r="G180" t="str">
            <v>SEVEBK15080</v>
          </cell>
          <cell r="K180" t="str">
            <v>W</v>
          </cell>
          <cell r="L180" t="str">
            <v>BK</v>
          </cell>
          <cell r="N180" t="str">
            <v>Sh Anand Patade</v>
          </cell>
          <cell r="O180" t="str">
            <v>Sh Nitin Dawange</v>
          </cell>
          <cell r="Q180" t="str">
            <v>Arju Tiwari</v>
          </cell>
          <cell r="R180" t="str">
            <v>Kiran Patil</v>
          </cell>
          <cell r="S180" t="str">
            <v>Maharashtra</v>
          </cell>
          <cell r="T180" t="str">
            <v>Mumbai</v>
          </cell>
          <cell r="U180" t="str">
            <v>Premium</v>
          </cell>
          <cell r="V180" t="str">
            <v>Misc Formats</v>
          </cell>
          <cell r="W180">
            <v>144</v>
          </cell>
          <cell r="X180" t="str">
            <v>AIMS Hospital, Dombivli</v>
          </cell>
          <cell r="AB180">
            <v>46056</v>
          </cell>
          <cell r="AC180">
            <v>46056</v>
          </cell>
          <cell r="AD180">
            <v>46077</v>
          </cell>
          <cell r="AE180">
            <v>46077</v>
          </cell>
          <cell r="AF180" t="str">
            <v>SDR DONE</v>
          </cell>
          <cell r="AG180">
            <v>16</v>
          </cell>
          <cell r="AI180">
            <v>46098</v>
          </cell>
          <cell r="AJ180">
            <v>1</v>
          </cell>
          <cell r="AK180">
            <v>46099</v>
          </cell>
          <cell r="AL180" t="str">
            <v>Received</v>
          </cell>
          <cell r="AM180">
            <v>17</v>
          </cell>
          <cell r="AO180">
            <v>46102</v>
          </cell>
          <cell r="AP180">
            <v>46111</v>
          </cell>
          <cell r="AQ180">
            <v>0</v>
          </cell>
          <cell r="AR180">
            <v>46111</v>
          </cell>
          <cell r="AS180">
            <v>9</v>
          </cell>
          <cell r="AT180" t="str">
            <v>Received</v>
          </cell>
          <cell r="AV180" t="str">
            <v>NA</v>
          </cell>
          <cell r="AW180" t="str">
            <v>NA</v>
          </cell>
          <cell r="AX180" t="str">
            <v>NA</v>
          </cell>
          <cell r="AZ180" t="str">
            <v>NA</v>
          </cell>
          <cell r="BA180">
            <v>46104</v>
          </cell>
          <cell r="BC180">
            <v>0</v>
          </cell>
          <cell r="BF180" t="str">
            <v>HVAC - 27-03 -2026
PLB - 31-03-2026</v>
          </cell>
          <cell r="BG180">
            <v>46104</v>
          </cell>
          <cell r="BH180">
            <v>46113</v>
          </cell>
          <cell r="BI180">
            <v>0</v>
          </cell>
          <cell r="BJ180">
            <v>46113</v>
          </cell>
          <cell r="BM180">
            <v>46102</v>
          </cell>
          <cell r="BN180" t="str">
            <v>NA</v>
          </cell>
          <cell r="BP180">
            <v>46102</v>
          </cell>
          <cell r="BQ180">
            <v>46107</v>
          </cell>
          <cell r="BR180" t="str">
            <v>Received</v>
          </cell>
          <cell r="BW180" t="str">
            <v>01-04-2026</v>
          </cell>
          <cell r="BX180">
            <v>46141</v>
          </cell>
          <cell r="BY180" t="str">
            <v>Done</v>
          </cell>
          <cell r="CD180">
            <v>46112</v>
          </cell>
          <cell r="GG180" t="str">
            <v>2026-2027</v>
          </cell>
        </row>
        <row r="181">
          <cell r="E181" t="str">
            <v>HVAC Initiative _Chaturbhuj Kharghar</v>
          </cell>
          <cell r="F181" t="str">
            <v>5. Budget approved RFC awaited</v>
          </cell>
          <cell r="G181" t="str">
            <v>MIREBK15280</v>
          </cell>
          <cell r="J181" t="str">
            <v>QG6I</v>
          </cell>
          <cell r="K181" t="str">
            <v>W</v>
          </cell>
          <cell r="L181" t="str">
            <v>BK</v>
          </cell>
          <cell r="N181" t="str">
            <v>Sh Anand Patade</v>
          </cell>
          <cell r="O181" t="str">
            <v>Sh Nitin Dawange</v>
          </cell>
          <cell r="Q181" t="str">
            <v>Arju Tiwari</v>
          </cell>
          <cell r="R181" t="str">
            <v>Kiran Patil</v>
          </cell>
          <cell r="S181" t="str">
            <v>Maharashtra</v>
          </cell>
          <cell r="T181" t="str">
            <v>Mumbai</v>
          </cell>
          <cell r="U181" t="str">
            <v>Premium</v>
          </cell>
          <cell r="V181" t="str">
            <v>Misc Formats</v>
          </cell>
          <cell r="W181">
            <v>863</v>
          </cell>
          <cell r="AB181" t="str">
            <v>NA</v>
          </cell>
          <cell r="AF181" t="str">
            <v>NA</v>
          </cell>
          <cell r="AG181" t="str">
            <v>NA</v>
          </cell>
          <cell r="AI181">
            <v>46058</v>
          </cell>
          <cell r="AJ181">
            <v>0</v>
          </cell>
          <cell r="AK181">
            <v>46058</v>
          </cell>
          <cell r="AL181" t="str">
            <v>Received</v>
          </cell>
          <cell r="AN181" t="str">
            <v>Scope clarity given by Business on 10 Feb 26</v>
          </cell>
          <cell r="AO181">
            <v>46061</v>
          </cell>
          <cell r="AP181">
            <v>46071</v>
          </cell>
          <cell r="AQ181">
            <v>0</v>
          </cell>
          <cell r="AR181">
            <v>46071</v>
          </cell>
          <cell r="AT181" t="str">
            <v>Received</v>
          </cell>
          <cell r="AU181">
            <v>46062</v>
          </cell>
          <cell r="AZ181" t="str">
            <v>Budget BOQ received GFC pending</v>
          </cell>
          <cell r="BA181">
            <v>46063</v>
          </cell>
          <cell r="BB181">
            <v>46071</v>
          </cell>
          <cell r="BC181">
            <v>0</v>
          </cell>
          <cell r="BD181">
            <v>46071</v>
          </cell>
          <cell r="BF181" t="str">
            <v>HVAC - 18.02.2026
PLB- NA</v>
          </cell>
          <cell r="BG181">
            <v>46063</v>
          </cell>
          <cell r="BH181">
            <v>46079</v>
          </cell>
          <cell r="BI181">
            <v>0</v>
          </cell>
          <cell r="BJ181">
            <v>46079</v>
          </cell>
          <cell r="BL181" t="str">
            <v>Received</v>
          </cell>
          <cell r="BM181">
            <v>46061</v>
          </cell>
          <cell r="BN181">
            <v>46073</v>
          </cell>
          <cell r="BO181" t="str">
            <v>Received</v>
          </cell>
          <cell r="BP181">
            <v>46061</v>
          </cell>
          <cell r="BQ181">
            <v>46073</v>
          </cell>
          <cell r="BR181" t="str">
            <v>Received</v>
          </cell>
          <cell r="BW181" t="str">
            <v>25-02-2026</v>
          </cell>
          <cell r="BX181">
            <v>46126</v>
          </cell>
          <cell r="BY181" t="str">
            <v>Done</v>
          </cell>
          <cell r="CD181">
            <v>46076</v>
          </cell>
          <cell r="GG181" t="str">
            <v>2026-2027</v>
          </cell>
        </row>
        <row r="182">
          <cell r="E182" t="str">
            <v>HVAC Initiative _Samrin Heritage</v>
          </cell>
          <cell r="F182" t="str">
            <v>5. Budget approved RFC awaited</v>
          </cell>
          <cell r="G182" t="str">
            <v>MIREBK15281</v>
          </cell>
          <cell r="J182" t="str">
            <v>QCAV</v>
          </cell>
          <cell r="K182" t="str">
            <v>W</v>
          </cell>
          <cell r="L182" t="str">
            <v>BK</v>
          </cell>
          <cell r="N182" t="str">
            <v>Sh Anand Patade</v>
          </cell>
          <cell r="O182" t="str">
            <v>Sh Nitin Dawange</v>
          </cell>
          <cell r="Q182" t="str">
            <v>Arju Tiwari</v>
          </cell>
          <cell r="R182" t="str">
            <v>Kiran Patil</v>
          </cell>
          <cell r="S182" t="str">
            <v>Maharashtra</v>
          </cell>
          <cell r="T182" t="str">
            <v>Mumbai</v>
          </cell>
          <cell r="U182" t="str">
            <v>Premium</v>
          </cell>
          <cell r="V182" t="str">
            <v>Misc Formats</v>
          </cell>
          <cell r="W182">
            <v>1000</v>
          </cell>
          <cell r="X182" t="str">
            <v>Shop no.34 &amp; 34A, Samrin Heritage, Dr.Almeda Road, Panchpakhadi, Thane-West</v>
          </cell>
          <cell r="AB182" t="str">
            <v>NA</v>
          </cell>
          <cell r="AF182" t="str">
            <v>NA</v>
          </cell>
          <cell r="AG182" t="str">
            <v>NA</v>
          </cell>
          <cell r="AI182">
            <v>46058</v>
          </cell>
          <cell r="AJ182">
            <v>0</v>
          </cell>
          <cell r="AK182">
            <v>46058</v>
          </cell>
          <cell r="AL182" t="str">
            <v>Received</v>
          </cell>
          <cell r="AN182" t="str">
            <v>Scope clarity given by Business on 10 Feb 26</v>
          </cell>
          <cell r="AO182">
            <v>46061</v>
          </cell>
          <cell r="AP182">
            <v>46198</v>
          </cell>
          <cell r="AQ182">
            <v>0</v>
          </cell>
          <cell r="AR182">
            <v>46198</v>
          </cell>
          <cell r="AT182" t="str">
            <v>Received</v>
          </cell>
          <cell r="AU182">
            <v>46062</v>
          </cell>
          <cell r="AV182">
            <v>46144</v>
          </cell>
          <cell r="AW182">
            <v>0</v>
          </cell>
          <cell r="AX182">
            <v>46144</v>
          </cell>
          <cell r="AZ182" t="str">
            <v>Received</v>
          </cell>
          <cell r="BA182">
            <v>46063</v>
          </cell>
          <cell r="BC182">
            <v>0</v>
          </cell>
          <cell r="BF182" t="str">
            <v>HVAC-Budget BOQ received GFC pending
PLB-NA</v>
          </cell>
          <cell r="BG182">
            <v>46063</v>
          </cell>
          <cell r="BL182" t="str">
            <v>Budget BOQ received GFC pending</v>
          </cell>
          <cell r="BM182">
            <v>46061</v>
          </cell>
          <cell r="BN182">
            <v>46059</v>
          </cell>
          <cell r="BO182" t="str">
            <v>Received</v>
          </cell>
          <cell r="BP182">
            <v>46061</v>
          </cell>
          <cell r="BQ182">
            <v>46073</v>
          </cell>
          <cell r="BR182" t="str">
            <v>Received</v>
          </cell>
          <cell r="BW182" t="str">
            <v>11-03-2026</v>
          </cell>
          <cell r="BX182">
            <v>46126</v>
          </cell>
          <cell r="BY182" t="str">
            <v>Done</v>
          </cell>
          <cell r="CD182">
            <v>46092</v>
          </cell>
          <cell r="GG182" t="str">
            <v>2026-2027</v>
          </cell>
        </row>
        <row r="183">
          <cell r="E183" t="str">
            <v>HVAC Initiative _Sai Miracle In homes Kharghar</v>
          </cell>
          <cell r="F183" t="str">
            <v>5. Budget approved RFC awaited</v>
          </cell>
          <cell r="G183" t="str">
            <v>MIREBK15282</v>
          </cell>
          <cell r="J183" t="str">
            <v>QF5K</v>
          </cell>
          <cell r="K183" t="str">
            <v>W</v>
          </cell>
          <cell r="L183" t="str">
            <v>BK</v>
          </cell>
          <cell r="N183" t="str">
            <v>Sh Anand Patade</v>
          </cell>
          <cell r="O183" t="str">
            <v>Sh Nitin Dawange</v>
          </cell>
          <cell r="Q183" t="str">
            <v>Arju Tiwari</v>
          </cell>
          <cell r="R183" t="str">
            <v>Kiran Patil</v>
          </cell>
          <cell r="S183" t="str">
            <v>Maharashtra</v>
          </cell>
          <cell r="T183" t="str">
            <v>Mumbai</v>
          </cell>
          <cell r="U183" t="str">
            <v>Premium</v>
          </cell>
          <cell r="V183" t="str">
            <v>Misc Formats</v>
          </cell>
          <cell r="W183">
            <v>715</v>
          </cell>
          <cell r="AB183" t="str">
            <v>NA</v>
          </cell>
          <cell r="AF183" t="str">
            <v>NA</v>
          </cell>
          <cell r="AG183" t="str">
            <v>NA</v>
          </cell>
          <cell r="AI183">
            <v>46058</v>
          </cell>
          <cell r="AJ183">
            <v>0</v>
          </cell>
          <cell r="AK183">
            <v>46058</v>
          </cell>
          <cell r="AL183" t="str">
            <v>Received</v>
          </cell>
          <cell r="AN183" t="str">
            <v>Scope clarity given by Business on 10 Feb 26</v>
          </cell>
          <cell r="AO183">
            <v>46061</v>
          </cell>
          <cell r="AP183">
            <v>46079</v>
          </cell>
          <cell r="AQ183">
            <v>0</v>
          </cell>
          <cell r="AR183">
            <v>46079</v>
          </cell>
          <cell r="AT183" t="str">
            <v>Received</v>
          </cell>
          <cell r="AU183">
            <v>46062</v>
          </cell>
          <cell r="AV183">
            <v>46083</v>
          </cell>
          <cell r="AW183">
            <v>0</v>
          </cell>
          <cell r="AX183">
            <v>46083</v>
          </cell>
          <cell r="AZ183" t="str">
            <v>Received</v>
          </cell>
          <cell r="BA183">
            <v>46063</v>
          </cell>
          <cell r="BB183">
            <v>46079</v>
          </cell>
          <cell r="BC183">
            <v>0</v>
          </cell>
          <cell r="BD183">
            <v>46079</v>
          </cell>
          <cell r="BF183" t="str">
            <v>HVAC - 26.02.2026
PLB- NA</v>
          </cell>
          <cell r="BG183">
            <v>46063</v>
          </cell>
          <cell r="BH183">
            <v>46080</v>
          </cell>
          <cell r="BI183">
            <v>0</v>
          </cell>
          <cell r="BJ183">
            <v>46080</v>
          </cell>
          <cell r="BL183" t="str">
            <v>Received</v>
          </cell>
          <cell r="BM183">
            <v>46061</v>
          </cell>
          <cell r="BN183">
            <v>46074</v>
          </cell>
          <cell r="BO183" t="str">
            <v>Received</v>
          </cell>
          <cell r="BP183">
            <v>46061</v>
          </cell>
          <cell r="BQ183">
            <v>46073</v>
          </cell>
          <cell r="BR183" t="str">
            <v>Received</v>
          </cell>
          <cell r="BU183" t="str">
            <v>Received</v>
          </cell>
          <cell r="BV183" t="str">
            <v>Done</v>
          </cell>
          <cell r="BW183" t="str">
            <v>25-02-2026</v>
          </cell>
          <cell r="BX183">
            <v>46126</v>
          </cell>
          <cell r="BY183" t="str">
            <v>Done</v>
          </cell>
          <cell r="CD183">
            <v>46076</v>
          </cell>
          <cell r="GG183" t="str">
            <v>2026-2027</v>
          </cell>
        </row>
        <row r="184">
          <cell r="E184" t="str">
            <v xml:space="preserve">HVAC-Haware Centurion </v>
          </cell>
          <cell r="F184" t="str">
            <v>5. Budget approved RFC awaited</v>
          </cell>
          <cell r="G184" t="str">
            <v>MIREBK15463</v>
          </cell>
          <cell r="J184" t="str">
            <v>QDNN</v>
          </cell>
          <cell r="K184" t="str">
            <v>W</v>
          </cell>
          <cell r="L184" t="str">
            <v>BK</v>
          </cell>
          <cell r="N184" t="str">
            <v>Sh Anand Patade</v>
          </cell>
          <cell r="O184" t="str">
            <v>Sh Nitin Dawange</v>
          </cell>
          <cell r="Q184" t="str">
            <v>Arju Tiwari</v>
          </cell>
          <cell r="R184" t="str">
            <v>Kiran Patil</v>
          </cell>
          <cell r="S184" t="str">
            <v>Maharashtra</v>
          </cell>
          <cell r="T184" t="str">
            <v>Mumbai</v>
          </cell>
          <cell r="U184" t="str">
            <v>Premium</v>
          </cell>
          <cell r="V184" t="str">
            <v>Misc Formats</v>
          </cell>
          <cell r="W184">
            <v>1230</v>
          </cell>
          <cell r="X184" t="str">
            <v xml:space="preserve"> Shop No.26B, Haware Centurian,Below Mcdonalds,Plot No.88/91,Sector19A,Nerul 400706</v>
          </cell>
          <cell r="Y184">
            <v>46136</v>
          </cell>
          <cell r="AB184" t="str">
            <v>NA</v>
          </cell>
          <cell r="AF184" t="str">
            <v>NA</v>
          </cell>
          <cell r="AG184" t="str">
            <v>NA</v>
          </cell>
          <cell r="AI184">
            <v>46058</v>
          </cell>
          <cell r="AJ184">
            <v>0</v>
          </cell>
          <cell r="AK184">
            <v>46058</v>
          </cell>
          <cell r="AL184" t="str">
            <v>Received</v>
          </cell>
          <cell r="AN184" t="str">
            <v>Scope clarity given by Business on 10 Feb 26</v>
          </cell>
          <cell r="AO184">
            <v>46061</v>
          </cell>
          <cell r="AP184">
            <v>46080</v>
          </cell>
          <cell r="AQ184">
            <v>0</v>
          </cell>
          <cell r="AR184">
            <v>46080</v>
          </cell>
          <cell r="AT184" t="str">
            <v>Received</v>
          </cell>
          <cell r="AU184">
            <v>46062</v>
          </cell>
          <cell r="AV184">
            <v>46085</v>
          </cell>
          <cell r="AW184">
            <v>0</v>
          </cell>
          <cell r="AX184">
            <v>46085</v>
          </cell>
          <cell r="AZ184" t="str">
            <v>Received</v>
          </cell>
          <cell r="BA184">
            <v>46063</v>
          </cell>
          <cell r="BB184">
            <v>46083</v>
          </cell>
          <cell r="BC184">
            <v>0</v>
          </cell>
          <cell r="BD184">
            <v>46083</v>
          </cell>
          <cell r="BF184" t="str">
            <v>HVAC - 2.03.2026
PLB- NA</v>
          </cell>
          <cell r="BG184">
            <v>46063</v>
          </cell>
          <cell r="BH184">
            <v>46080</v>
          </cell>
          <cell r="BI184">
            <v>0</v>
          </cell>
          <cell r="BJ184">
            <v>46080</v>
          </cell>
          <cell r="BL184" t="str">
            <v>Received</v>
          </cell>
          <cell r="BM184">
            <v>46061</v>
          </cell>
          <cell r="BN184">
            <v>46076</v>
          </cell>
          <cell r="BO184" t="str">
            <v>Received</v>
          </cell>
          <cell r="BP184">
            <v>46061</v>
          </cell>
          <cell r="BQ184">
            <v>46076</v>
          </cell>
          <cell r="BR184" t="str">
            <v>Received</v>
          </cell>
          <cell r="BU184" t="str">
            <v>Received</v>
          </cell>
          <cell r="BV184" t="str">
            <v>Done</v>
          </cell>
          <cell r="BW184" t="str">
            <v>26-02-2026</v>
          </cell>
          <cell r="BX184">
            <v>46126</v>
          </cell>
          <cell r="BY184" t="str">
            <v>Done</v>
          </cell>
          <cell r="CB184">
            <v>46133</v>
          </cell>
          <cell r="CD184">
            <v>46080</v>
          </cell>
          <cell r="GG184" t="str">
            <v>2026-2027</v>
          </cell>
        </row>
        <row r="185">
          <cell r="E185" t="str">
            <v>Urmi Real Estate, Lower Parel, Mumbai</v>
          </cell>
          <cell r="F185" t="str">
            <v>2. ML Awaited</v>
          </cell>
          <cell r="G185" t="str">
            <v>SEVEBK15459</v>
          </cell>
          <cell r="K185" t="str">
            <v>W</v>
          </cell>
          <cell r="L185" t="str">
            <v>BK</v>
          </cell>
          <cell r="N185" t="str">
            <v>Sh Anand Patade</v>
          </cell>
          <cell r="O185" t="str">
            <v>Sh Nitin Dawange</v>
          </cell>
          <cell r="Q185" t="str">
            <v>Arju Tiwari</v>
          </cell>
          <cell r="R185" t="str">
            <v>Kiran Patil</v>
          </cell>
          <cell r="S185" t="str">
            <v>Maharashtra</v>
          </cell>
          <cell r="T185" t="str">
            <v>Mumbai</v>
          </cell>
          <cell r="U185" t="str">
            <v>Premium</v>
          </cell>
          <cell r="V185" t="str">
            <v>Misc Formats</v>
          </cell>
          <cell r="X185" t="str">
            <v>Urmi Real Estate, Lower Parel, Mumbai</v>
          </cell>
          <cell r="AB185">
            <v>46066</v>
          </cell>
          <cell r="AC185">
            <v>46066</v>
          </cell>
          <cell r="AD185">
            <v>46072</v>
          </cell>
          <cell r="AE185">
            <v>46072</v>
          </cell>
          <cell r="AF185" t="str">
            <v>SDR DONE</v>
          </cell>
          <cell r="AG185">
            <v>1</v>
          </cell>
          <cell r="AM185">
            <v>100</v>
          </cell>
          <cell r="GG185" t="str">
            <v>2026-2027</v>
          </cell>
        </row>
        <row r="186">
          <cell r="E186" t="str">
            <v>Kiosk Peninsula Business Park, Lower Parel, Mumbai</v>
          </cell>
          <cell r="F186" t="str">
            <v>4. Budget Approval Pending</v>
          </cell>
          <cell r="G186" t="str">
            <v>SEVEBK15462</v>
          </cell>
          <cell r="K186" t="str">
            <v>W</v>
          </cell>
          <cell r="L186" t="str">
            <v>BK</v>
          </cell>
          <cell r="N186" t="str">
            <v>Sh Anand Patade</v>
          </cell>
          <cell r="O186" t="str">
            <v>Sh Nitin Dawange</v>
          </cell>
          <cell r="Q186" t="str">
            <v>Arju Tiwari</v>
          </cell>
          <cell r="R186" t="str">
            <v>Kiran Patil</v>
          </cell>
          <cell r="S186" t="str">
            <v>Maharashtra</v>
          </cell>
          <cell r="T186" t="str">
            <v>Mumbai</v>
          </cell>
          <cell r="U186" t="str">
            <v>Premium</v>
          </cell>
          <cell r="V186" t="str">
            <v>Misc Formats</v>
          </cell>
          <cell r="W186">
            <v>200</v>
          </cell>
          <cell r="X186" t="str">
            <v>Peninsula Business Park, Lower Parel, Mumbai</v>
          </cell>
          <cell r="AB186">
            <v>46066</v>
          </cell>
          <cell r="AC186">
            <v>46066</v>
          </cell>
          <cell r="AD186">
            <v>46077</v>
          </cell>
          <cell r="AE186">
            <v>46077</v>
          </cell>
          <cell r="AF186" t="str">
            <v>SDR DONE</v>
          </cell>
          <cell r="AG186">
            <v>6</v>
          </cell>
          <cell r="AI186">
            <v>46141</v>
          </cell>
          <cell r="AJ186">
            <v>0</v>
          </cell>
          <cell r="AK186">
            <v>46141</v>
          </cell>
          <cell r="AL186" t="str">
            <v>Received</v>
          </cell>
          <cell r="AM186">
            <v>59</v>
          </cell>
          <cell r="AO186">
            <v>46144</v>
          </cell>
          <cell r="AP186">
            <v>46146</v>
          </cell>
          <cell r="AQ186">
            <v>0</v>
          </cell>
          <cell r="AR186">
            <v>46146</v>
          </cell>
          <cell r="AS186">
            <v>2</v>
          </cell>
          <cell r="AT186" t="str">
            <v>Received</v>
          </cell>
          <cell r="AV186" t="str">
            <v>NA</v>
          </cell>
          <cell r="AW186" t="str">
            <v>NA</v>
          </cell>
          <cell r="AX186" t="str">
            <v>NA</v>
          </cell>
          <cell r="AZ186" t="str">
            <v>NA</v>
          </cell>
          <cell r="BA186">
            <v>46146</v>
          </cell>
          <cell r="BC186">
            <v>0</v>
          </cell>
          <cell r="BF186" t="str">
            <v>Received</v>
          </cell>
          <cell r="BG186">
            <v>46146</v>
          </cell>
          <cell r="BL186" t="str">
            <v>Budget BOQ received GFC pending</v>
          </cell>
          <cell r="BM186">
            <v>46144</v>
          </cell>
          <cell r="BN186" t="str">
            <v>NA</v>
          </cell>
          <cell r="BO186" t="str">
            <v>NA</v>
          </cell>
          <cell r="BP186">
            <v>46144</v>
          </cell>
          <cell r="BQ186">
            <v>46156</v>
          </cell>
          <cell r="BR186" t="str">
            <v>Received</v>
          </cell>
          <cell r="BU186" t="str">
            <v>Pending</v>
          </cell>
          <cell r="BW186" t="str">
            <v>18-05-2026</v>
          </cell>
          <cell r="BY186" t="str">
            <v>Pending</v>
          </cell>
          <cell r="CD186">
            <v>46156</v>
          </cell>
          <cell r="GG186" t="str">
            <v>2026-2027</v>
          </cell>
        </row>
        <row r="187">
          <cell r="E187" t="str">
            <v>HVAC Initiative _Giriraj Seawoods</v>
          </cell>
          <cell r="F187" t="str">
            <v>5. Budget approved RFC awaited</v>
          </cell>
          <cell r="G187" t="str">
            <v>MIREBK15560</v>
          </cell>
          <cell r="J187" t="str">
            <v>QGJW</v>
          </cell>
          <cell r="K187" t="str">
            <v>W</v>
          </cell>
          <cell r="L187" t="str">
            <v>BK</v>
          </cell>
          <cell r="N187" t="str">
            <v>Sh Anand Patade</v>
          </cell>
          <cell r="O187" t="str">
            <v>Sh Nitin Dawange</v>
          </cell>
          <cell r="Q187" t="str">
            <v>Arju Tiwari</v>
          </cell>
          <cell r="R187" t="str">
            <v>Kiran Patil</v>
          </cell>
          <cell r="S187" t="str">
            <v>Maharashtra</v>
          </cell>
          <cell r="T187" t="str">
            <v>Mumbai</v>
          </cell>
          <cell r="U187" t="str">
            <v>Premium</v>
          </cell>
          <cell r="V187" t="str">
            <v>Misc Formats</v>
          </cell>
          <cell r="W187">
            <v>1200</v>
          </cell>
          <cell r="X187" t="str">
            <v>Giriraj Society, Sector 44, Seawoods</v>
          </cell>
          <cell r="Y187">
            <v>46136</v>
          </cell>
          <cell r="AB187" t="str">
            <v>NA</v>
          </cell>
          <cell r="AF187" t="str">
            <v>NA</v>
          </cell>
          <cell r="AG187" t="str">
            <v>NA</v>
          </cell>
          <cell r="AI187">
            <v>46069</v>
          </cell>
          <cell r="AJ187">
            <v>0</v>
          </cell>
          <cell r="AK187">
            <v>46069</v>
          </cell>
          <cell r="AL187" t="str">
            <v>Received</v>
          </cell>
          <cell r="AO187">
            <v>46072</v>
          </cell>
          <cell r="AP187">
            <v>46080</v>
          </cell>
          <cell r="AQ187">
            <v>0</v>
          </cell>
          <cell r="AR187">
            <v>46080</v>
          </cell>
          <cell r="AT187" t="str">
            <v>Received</v>
          </cell>
          <cell r="AU187">
            <v>46073</v>
          </cell>
          <cell r="AV187">
            <v>46083</v>
          </cell>
          <cell r="AW187">
            <v>0</v>
          </cell>
          <cell r="AX187">
            <v>46083</v>
          </cell>
          <cell r="AZ187" t="str">
            <v>Received</v>
          </cell>
          <cell r="BA187">
            <v>46074</v>
          </cell>
          <cell r="BB187">
            <v>46078</v>
          </cell>
          <cell r="BC187">
            <v>0</v>
          </cell>
          <cell r="BD187">
            <v>46078</v>
          </cell>
          <cell r="BF187" t="str">
            <v>HVAC - 25.02.2026
PLB- NA</v>
          </cell>
          <cell r="BG187">
            <v>46074</v>
          </cell>
          <cell r="BH187">
            <v>46080</v>
          </cell>
          <cell r="BI187">
            <v>0</v>
          </cell>
          <cell r="BJ187">
            <v>46080</v>
          </cell>
          <cell r="BL187" t="str">
            <v>Received</v>
          </cell>
          <cell r="BM187">
            <v>46072</v>
          </cell>
          <cell r="BN187">
            <v>46078</v>
          </cell>
          <cell r="BO187" t="str">
            <v>Received</v>
          </cell>
          <cell r="BP187">
            <v>46072</v>
          </cell>
          <cell r="BQ187">
            <v>46076</v>
          </cell>
          <cell r="BR187" t="str">
            <v>Received</v>
          </cell>
          <cell r="BU187" t="str">
            <v>Received</v>
          </cell>
          <cell r="BV187" t="str">
            <v>Done</v>
          </cell>
          <cell r="BW187" t="str">
            <v>26-02-2026</v>
          </cell>
          <cell r="BX187">
            <v>46126</v>
          </cell>
          <cell r="BY187" t="str">
            <v>Done</v>
          </cell>
          <cell r="CB187">
            <v>46133</v>
          </cell>
          <cell r="CD187">
            <v>46080</v>
          </cell>
          <cell r="GG187" t="str">
            <v>2026-2027</v>
          </cell>
        </row>
        <row r="188">
          <cell r="E188" t="str">
            <v>HVAC Initiative _Platinum Experio Kalamboli</v>
          </cell>
          <cell r="F188" t="str">
            <v>5. Budget approved RFC awaited</v>
          </cell>
          <cell r="G188" t="str">
            <v>MIREBK15561</v>
          </cell>
          <cell r="J188" t="str">
            <v>QI9V</v>
          </cell>
          <cell r="K188" t="str">
            <v>W</v>
          </cell>
          <cell r="L188" t="str">
            <v>BK</v>
          </cell>
          <cell r="N188" t="str">
            <v>Sh Anand Patade</v>
          </cell>
          <cell r="O188" t="str">
            <v>Sh Nitin Dawange</v>
          </cell>
          <cell r="Q188" t="str">
            <v>Arju Tiwari</v>
          </cell>
          <cell r="R188" t="str">
            <v>Kiran Patil</v>
          </cell>
          <cell r="S188" t="str">
            <v>Maharashtra</v>
          </cell>
          <cell r="T188" t="str">
            <v>Mumbai</v>
          </cell>
          <cell r="U188" t="str">
            <v>Premium</v>
          </cell>
          <cell r="V188" t="str">
            <v>Misc Formats</v>
          </cell>
          <cell r="W188">
            <v>860</v>
          </cell>
          <cell r="X188" t="str">
            <v>Platinum Experio, Plot No 82, Sector- 17, Roadpali, Kalamboli, Panvel, Navi Mumbai, Maharashtra 410218</v>
          </cell>
          <cell r="AB188" t="str">
            <v>NA</v>
          </cell>
          <cell r="AF188" t="str">
            <v>NA</v>
          </cell>
          <cell r="AG188" t="str">
            <v>NA</v>
          </cell>
          <cell r="AI188">
            <v>46069</v>
          </cell>
          <cell r="AJ188">
            <v>0</v>
          </cell>
          <cell r="AK188">
            <v>46069</v>
          </cell>
          <cell r="AL188" t="str">
            <v>Received</v>
          </cell>
          <cell r="AO188">
            <v>46072</v>
          </cell>
          <cell r="AP188">
            <v>46139</v>
          </cell>
          <cell r="AQ188">
            <v>0</v>
          </cell>
          <cell r="AR188">
            <v>46139</v>
          </cell>
          <cell r="AT188" t="str">
            <v>Received</v>
          </cell>
          <cell r="AU188">
            <v>46073</v>
          </cell>
          <cell r="AV188">
            <v>46144</v>
          </cell>
          <cell r="AW188">
            <v>0</v>
          </cell>
          <cell r="AX188">
            <v>46144</v>
          </cell>
          <cell r="AZ188" t="str">
            <v>Received</v>
          </cell>
          <cell r="BA188">
            <v>46074</v>
          </cell>
          <cell r="BC188">
            <v>0</v>
          </cell>
          <cell r="BD188">
            <v>46140</v>
          </cell>
          <cell r="BF188" t="str">
            <v>HVAC - 28.04.2026
PLB- NA</v>
          </cell>
          <cell r="BG188">
            <v>46074</v>
          </cell>
          <cell r="BL188" t="str">
            <v>Budget BOQ received GFC pending</v>
          </cell>
          <cell r="BM188">
            <v>46072</v>
          </cell>
          <cell r="BN188">
            <v>46090</v>
          </cell>
          <cell r="BO188" t="str">
            <v>Received</v>
          </cell>
          <cell r="BP188">
            <v>46072</v>
          </cell>
          <cell r="BQ188">
            <v>46090</v>
          </cell>
          <cell r="BR188" t="str">
            <v>Received</v>
          </cell>
          <cell r="BW188" t="str">
            <v>11-03-2026</v>
          </cell>
          <cell r="BX188">
            <v>46126</v>
          </cell>
          <cell r="BY188" t="str">
            <v>Done</v>
          </cell>
          <cell r="CD188">
            <v>46092</v>
          </cell>
          <cell r="GG188" t="str">
            <v>2026-2027</v>
          </cell>
        </row>
        <row r="189">
          <cell r="E189" t="str">
            <v xml:space="preserve">HVAC Initiative _Shree Siddhivinayak Koparkhairane </v>
          </cell>
          <cell r="F189" t="str">
            <v>5. Budget approved RFC awaited</v>
          </cell>
          <cell r="G189" t="str">
            <v>MIREBK15562</v>
          </cell>
          <cell r="J189" t="str">
            <v>Q1U3</v>
          </cell>
          <cell r="K189" t="str">
            <v>W</v>
          </cell>
          <cell r="L189" t="str">
            <v>BK</v>
          </cell>
          <cell r="N189" t="str">
            <v>Sh Anand Patade</v>
          </cell>
          <cell r="O189" t="str">
            <v>Sh Nitin Dawange</v>
          </cell>
          <cell r="Q189" t="str">
            <v>Arju Tiwari</v>
          </cell>
          <cell r="R189" t="str">
            <v>Kiran Patil</v>
          </cell>
          <cell r="S189" t="str">
            <v>Maharashtra</v>
          </cell>
          <cell r="T189" t="str">
            <v>Mumbai</v>
          </cell>
          <cell r="U189" t="str">
            <v>Premium</v>
          </cell>
          <cell r="V189" t="str">
            <v>Misc Formats</v>
          </cell>
          <cell r="W189">
            <v>1118</v>
          </cell>
          <cell r="AB189" t="str">
            <v>NA</v>
          </cell>
          <cell r="AF189" t="str">
            <v>NA</v>
          </cell>
          <cell r="AG189" t="str">
            <v>NA</v>
          </cell>
          <cell r="AI189">
            <v>46069</v>
          </cell>
          <cell r="AJ189">
            <v>0</v>
          </cell>
          <cell r="AK189">
            <v>46069</v>
          </cell>
          <cell r="AL189" t="str">
            <v>Received</v>
          </cell>
          <cell r="AO189">
            <v>46072</v>
          </cell>
          <cell r="AP189">
            <v>46140</v>
          </cell>
          <cell r="AQ189">
            <v>0</v>
          </cell>
          <cell r="AR189">
            <v>46140</v>
          </cell>
          <cell r="AT189" t="str">
            <v>Received</v>
          </cell>
          <cell r="AU189">
            <v>46073</v>
          </cell>
          <cell r="AV189">
            <v>46144</v>
          </cell>
          <cell r="AW189">
            <v>0</v>
          </cell>
          <cell r="AX189">
            <v>46144</v>
          </cell>
          <cell r="AZ189" t="str">
            <v>Received</v>
          </cell>
          <cell r="BA189">
            <v>46074</v>
          </cell>
          <cell r="BC189">
            <v>0</v>
          </cell>
          <cell r="BF189" t="str">
            <v>HVAC-Budget BOQ received GFC pending
PLB-NA</v>
          </cell>
          <cell r="BG189">
            <v>46074</v>
          </cell>
          <cell r="BL189" t="str">
            <v>Budget BOQ received GFC pending</v>
          </cell>
          <cell r="BM189">
            <v>46072</v>
          </cell>
          <cell r="BN189">
            <v>46090</v>
          </cell>
          <cell r="BO189" t="str">
            <v>Received</v>
          </cell>
          <cell r="BP189">
            <v>46072</v>
          </cell>
          <cell r="BQ189">
            <v>46090</v>
          </cell>
          <cell r="BR189" t="str">
            <v>Received</v>
          </cell>
          <cell r="BW189" t="str">
            <v>11-03-2026</v>
          </cell>
          <cell r="BX189">
            <v>46126</v>
          </cell>
          <cell r="BY189" t="str">
            <v>Done</v>
          </cell>
          <cell r="CD189">
            <v>46093</v>
          </cell>
          <cell r="GG189" t="str">
            <v>2026-2027</v>
          </cell>
        </row>
        <row r="190">
          <cell r="E190" t="str">
            <v xml:space="preserve">HVAC Initiative _Mulund Munish Apartment </v>
          </cell>
          <cell r="F190" t="str">
            <v>5. Budget approved RFC awaited</v>
          </cell>
          <cell r="G190" t="str">
            <v>MIREBK15563</v>
          </cell>
          <cell r="J190" t="str">
            <v>QA7S</v>
          </cell>
          <cell r="K190" t="str">
            <v>W</v>
          </cell>
          <cell r="L190" t="str">
            <v>BK</v>
          </cell>
          <cell r="N190" t="str">
            <v>Sh Anand Patade</v>
          </cell>
          <cell r="O190" t="str">
            <v>Sh Nitin Dawange</v>
          </cell>
          <cell r="Q190" t="str">
            <v>Arju Tiwari</v>
          </cell>
          <cell r="R190" t="str">
            <v>Kiran Patil</v>
          </cell>
          <cell r="S190" t="str">
            <v>Maharashtra</v>
          </cell>
          <cell r="T190" t="str">
            <v>Mumbai</v>
          </cell>
          <cell r="U190" t="str">
            <v>Premium</v>
          </cell>
          <cell r="V190" t="str">
            <v>Misc Formats</v>
          </cell>
          <cell r="W190">
            <v>940</v>
          </cell>
          <cell r="AB190" t="str">
            <v>NA</v>
          </cell>
          <cell r="AF190" t="str">
            <v>NA</v>
          </cell>
          <cell r="AG190" t="str">
            <v>NA</v>
          </cell>
          <cell r="AI190">
            <v>46069</v>
          </cell>
          <cell r="AJ190">
            <v>0</v>
          </cell>
          <cell r="AK190">
            <v>46069</v>
          </cell>
          <cell r="AL190" t="str">
            <v>Received</v>
          </cell>
          <cell r="AO190">
            <v>46072</v>
          </cell>
          <cell r="AP190">
            <v>46140</v>
          </cell>
          <cell r="AQ190">
            <v>0</v>
          </cell>
          <cell r="AR190">
            <v>46140</v>
          </cell>
          <cell r="AT190" t="str">
            <v>Received</v>
          </cell>
          <cell r="AU190">
            <v>46073</v>
          </cell>
          <cell r="AZ190" t="str">
            <v>Budget BOQ received GFC pending</v>
          </cell>
          <cell r="BA190">
            <v>46074</v>
          </cell>
          <cell r="BB190">
            <v>46128</v>
          </cell>
          <cell r="BC190">
            <v>0</v>
          </cell>
          <cell r="BD190">
            <v>46128</v>
          </cell>
          <cell r="BF190" t="str">
            <v>HVAC - 16.04.2026
PLB- NA</v>
          </cell>
          <cell r="BG190">
            <v>46074</v>
          </cell>
          <cell r="BL190" t="str">
            <v>Budget BOQ received GFC pending</v>
          </cell>
          <cell r="BM190">
            <v>46072</v>
          </cell>
          <cell r="BN190">
            <v>46091</v>
          </cell>
          <cell r="BO190" t="str">
            <v>Received</v>
          </cell>
          <cell r="BP190">
            <v>46072</v>
          </cell>
          <cell r="BQ190">
            <v>46090</v>
          </cell>
          <cell r="BR190" t="str">
            <v>Received</v>
          </cell>
          <cell r="BW190" t="str">
            <v>11-03-2026</v>
          </cell>
          <cell r="BX190">
            <v>46126</v>
          </cell>
          <cell r="BY190" t="str">
            <v>Done</v>
          </cell>
          <cell r="CD190">
            <v>46093</v>
          </cell>
          <cell r="GG190" t="str">
            <v>2026-2027</v>
          </cell>
        </row>
        <row r="191">
          <cell r="E191" t="str">
            <v>Bhavan's College  Andheri</v>
          </cell>
          <cell r="F191" t="str">
            <v>11. HOLD</v>
          </cell>
          <cell r="G191" t="str">
            <v>SEVEBK15761</v>
          </cell>
          <cell r="K191" t="str">
            <v>W</v>
          </cell>
          <cell r="L191" t="str">
            <v>BK</v>
          </cell>
          <cell r="N191" t="str">
            <v>Sh Anand Patade</v>
          </cell>
          <cell r="O191" t="str">
            <v>Sh Nitin Dawange</v>
          </cell>
          <cell r="Q191" t="str">
            <v>Arju Tiwari</v>
          </cell>
          <cell r="R191" t="str">
            <v>Kiran Patil</v>
          </cell>
          <cell r="S191" t="str">
            <v>Maharashtra</v>
          </cell>
          <cell r="T191" t="str">
            <v>Mumbai</v>
          </cell>
          <cell r="U191" t="str">
            <v>Premium</v>
          </cell>
          <cell r="V191" t="str">
            <v>Misc Formats</v>
          </cell>
          <cell r="X191" t="str">
            <v>Bhavan's College  Andheri</v>
          </cell>
          <cell r="AB191">
            <v>46073</v>
          </cell>
          <cell r="AC191">
            <v>46073</v>
          </cell>
          <cell r="AF191" t="str">
            <v>SDR drawing shared to NSO on 2 Mar 26</v>
          </cell>
          <cell r="GG191" t="str">
            <v>2026-2027</v>
          </cell>
        </row>
        <row r="192">
          <cell r="E192" t="str">
            <v>Twin Tower- RCP, Ghansoli .</v>
          </cell>
          <cell r="F192" t="str">
            <v>5. Budget approved RFC awaited</v>
          </cell>
          <cell r="G192" t="str">
            <v>SEVEBK16026</v>
          </cell>
          <cell r="K192" t="str">
            <v>W</v>
          </cell>
          <cell r="L192" t="str">
            <v>BK</v>
          </cell>
          <cell r="N192" t="str">
            <v>Sh Anand Patade</v>
          </cell>
          <cell r="O192" t="str">
            <v>Sh Nitin Dawange</v>
          </cell>
          <cell r="Q192" t="str">
            <v>Arju Tiwari</v>
          </cell>
          <cell r="R192" t="str">
            <v>Kiran Patil</v>
          </cell>
          <cell r="S192" t="str">
            <v>Maharashtra</v>
          </cell>
          <cell r="T192" t="str">
            <v>Mumbai</v>
          </cell>
          <cell r="U192" t="str">
            <v>Premium</v>
          </cell>
          <cell r="V192" t="str">
            <v>Misc Formats</v>
          </cell>
          <cell r="W192">
            <v>505</v>
          </cell>
          <cell r="X192" t="str">
            <v>Twin Tower, RCP, Ghansoli</v>
          </cell>
          <cell r="AB192">
            <v>46090</v>
          </cell>
          <cell r="AC192">
            <v>46090</v>
          </cell>
          <cell r="AD192">
            <v>46093</v>
          </cell>
          <cell r="AE192">
            <v>46093</v>
          </cell>
          <cell r="AF192" t="str">
            <v>SDR DONE</v>
          </cell>
          <cell r="AG192">
            <v>0</v>
          </cell>
          <cell r="AI192">
            <v>46118</v>
          </cell>
          <cell r="AJ192">
            <v>0</v>
          </cell>
          <cell r="AK192">
            <v>46118</v>
          </cell>
          <cell r="AL192" t="str">
            <v>Received</v>
          </cell>
          <cell r="AM192">
            <v>20</v>
          </cell>
          <cell r="AO192">
            <v>46121</v>
          </cell>
          <cell r="AP192">
            <v>46128</v>
          </cell>
          <cell r="AQ192">
            <v>0</v>
          </cell>
          <cell r="AR192">
            <v>46128</v>
          </cell>
          <cell r="AS192">
            <v>7</v>
          </cell>
          <cell r="AT192" t="str">
            <v>Received</v>
          </cell>
          <cell r="AV192" t="str">
            <v>NA</v>
          </cell>
          <cell r="AW192" t="str">
            <v>NA</v>
          </cell>
          <cell r="AX192" t="str">
            <v>NA</v>
          </cell>
          <cell r="AZ192" t="str">
            <v>NA</v>
          </cell>
          <cell r="BA192">
            <v>46123</v>
          </cell>
          <cell r="BF192" t="str">
            <v>HVAC- NA
PLB - 20-04-2026</v>
          </cell>
          <cell r="BG192">
            <v>46123</v>
          </cell>
          <cell r="BH192">
            <v>46177</v>
          </cell>
          <cell r="BI192">
            <v>0</v>
          </cell>
          <cell r="BJ192">
            <v>46177</v>
          </cell>
          <cell r="BM192">
            <v>46121</v>
          </cell>
          <cell r="BN192">
            <v>46119</v>
          </cell>
          <cell r="BO192" t="str">
            <v>Received</v>
          </cell>
          <cell r="BP192">
            <v>46121</v>
          </cell>
          <cell r="BQ192">
            <v>46132</v>
          </cell>
          <cell r="BR192" t="str">
            <v>Received</v>
          </cell>
          <cell r="BT192">
            <v>46176</v>
          </cell>
          <cell r="BW192" t="str">
            <v>21-04-2026</v>
          </cell>
          <cell r="BX192">
            <v>46162</v>
          </cell>
          <cell r="BY192" t="str">
            <v>Done</v>
          </cell>
          <cell r="CD192">
            <v>46134</v>
          </cell>
          <cell r="GG192" t="str">
            <v>2026-2027</v>
          </cell>
        </row>
        <row r="193">
          <cell r="E193" t="str">
            <v>Godrej II, Vikhroli</v>
          </cell>
          <cell r="F193" t="str">
            <v>11. HOLD</v>
          </cell>
          <cell r="G193" t="str">
            <v>SEVEBK16290</v>
          </cell>
          <cell r="K193" t="str">
            <v>W</v>
          </cell>
          <cell r="L193" t="str">
            <v>BK</v>
          </cell>
          <cell r="N193" t="str">
            <v>Sh Anand Patade</v>
          </cell>
          <cell r="O193" t="str">
            <v>Sh Nitin Dawange</v>
          </cell>
          <cell r="Q193" t="str">
            <v>Arju Tiwari</v>
          </cell>
          <cell r="R193" t="str">
            <v>Kiran Patil</v>
          </cell>
          <cell r="S193" t="str">
            <v>Maharashtra</v>
          </cell>
          <cell r="T193" t="str">
            <v>Mumbai</v>
          </cell>
          <cell r="U193" t="str">
            <v>Premium</v>
          </cell>
          <cell r="V193" t="str">
            <v>Misc Formats</v>
          </cell>
          <cell r="X193" t="str">
            <v>Godrej II, Vikhroli</v>
          </cell>
          <cell r="AB193">
            <v>46114</v>
          </cell>
          <cell r="GG193" t="str">
            <v>2026-2027</v>
          </cell>
        </row>
        <row r="194">
          <cell r="E194" t="str">
            <v>Kiosk DAKC, Ghansoli</v>
          </cell>
          <cell r="F194" t="str">
            <v>5. Budget approved RFC awaited</v>
          </cell>
          <cell r="G194" t="str">
            <v>SEVEBK16192</v>
          </cell>
          <cell r="H194" t="str">
            <v>MU-SM-GMU-830</v>
          </cell>
          <cell r="I194" t="str">
            <v>TCOT</v>
          </cell>
          <cell r="J194" t="str">
            <v>QIPT</v>
          </cell>
          <cell r="K194" t="str">
            <v>W</v>
          </cell>
          <cell r="L194" t="str">
            <v>BK</v>
          </cell>
          <cell r="N194" t="str">
            <v>Sh Anand Patade</v>
          </cell>
          <cell r="O194" t="str">
            <v>Sh Nitin Dawange</v>
          </cell>
          <cell r="Q194" t="str">
            <v>Arju Tiwari</v>
          </cell>
          <cell r="R194" t="str">
            <v>Kiran Patil</v>
          </cell>
          <cell r="S194" t="str">
            <v>Maharashtra</v>
          </cell>
          <cell r="T194" t="str">
            <v>Mumbai</v>
          </cell>
          <cell r="U194" t="str">
            <v>Premium</v>
          </cell>
          <cell r="V194" t="str">
            <v>Misc Formats</v>
          </cell>
          <cell r="W194">
            <v>464</v>
          </cell>
          <cell r="X194" t="str">
            <v>DAKC, Ghansoli</v>
          </cell>
          <cell r="AB194">
            <v>46106</v>
          </cell>
          <cell r="AC194">
            <v>46106</v>
          </cell>
          <cell r="AD194">
            <v>46109</v>
          </cell>
          <cell r="AE194">
            <v>46109</v>
          </cell>
          <cell r="AF194" t="str">
            <v>SDR DONE</v>
          </cell>
          <cell r="AG194">
            <v>0</v>
          </cell>
          <cell r="AI194">
            <v>46126</v>
          </cell>
          <cell r="AJ194">
            <v>0</v>
          </cell>
          <cell r="AK194">
            <v>46126</v>
          </cell>
          <cell r="AL194" t="str">
            <v>Received</v>
          </cell>
          <cell r="AM194">
            <v>12</v>
          </cell>
          <cell r="AO194">
            <v>46129</v>
          </cell>
          <cell r="AP194">
            <v>46128</v>
          </cell>
          <cell r="AQ194">
            <v>0</v>
          </cell>
          <cell r="AR194">
            <v>46128</v>
          </cell>
          <cell r="AS194">
            <v>-1</v>
          </cell>
          <cell r="AT194" t="str">
            <v>Received</v>
          </cell>
          <cell r="AV194" t="str">
            <v>NA</v>
          </cell>
          <cell r="AW194" t="str">
            <v>NA</v>
          </cell>
          <cell r="AX194" t="str">
            <v>NA</v>
          </cell>
          <cell r="AZ194" t="str">
            <v>NA</v>
          </cell>
          <cell r="BA194">
            <v>46131</v>
          </cell>
          <cell r="BF194" t="str">
            <v>HVAC-NA
PLB-21-03-2026</v>
          </cell>
          <cell r="BG194">
            <v>46131</v>
          </cell>
          <cell r="BL194" t="str">
            <v>Budget BOQ received GFC pending</v>
          </cell>
          <cell r="BN194" t="str">
            <v>NA</v>
          </cell>
          <cell r="BO194" t="str">
            <v>NA</v>
          </cell>
          <cell r="BP194">
            <v>46129</v>
          </cell>
          <cell r="BQ194">
            <v>46132</v>
          </cell>
          <cell r="BR194" t="str">
            <v>Received</v>
          </cell>
          <cell r="BW194" t="str">
            <v>22-04-2026</v>
          </cell>
          <cell r="BX194">
            <v>46162</v>
          </cell>
          <cell r="BY194" t="str">
            <v>Done</v>
          </cell>
          <cell r="CD194">
            <v>46136</v>
          </cell>
          <cell r="GG194" t="str">
            <v>2026-2027</v>
          </cell>
        </row>
        <row r="195">
          <cell r="E195" t="str">
            <v>Kiosk Pune Metro Wipro Station</v>
          </cell>
          <cell r="F195" t="str">
            <v>2. ML Awaited</v>
          </cell>
          <cell r="K195" t="str">
            <v>W</v>
          </cell>
          <cell r="L195" t="str">
            <v>BK</v>
          </cell>
          <cell r="N195" t="str">
            <v>Jaysingh Desai</v>
          </cell>
          <cell r="O195" t="str">
            <v>Ashish 1 M</v>
          </cell>
          <cell r="Q195" t="str">
            <v>Arju Tiwari</v>
          </cell>
          <cell r="R195" t="str">
            <v>Kiran Patil</v>
          </cell>
          <cell r="S195" t="str">
            <v>Maharashtra</v>
          </cell>
          <cell r="T195" t="str">
            <v>Pune</v>
          </cell>
          <cell r="U195" t="str">
            <v>Premium</v>
          </cell>
          <cell r="V195" t="str">
            <v>Misc Formats</v>
          </cell>
          <cell r="AB195">
            <v>46121</v>
          </cell>
          <cell r="AC195">
            <v>46121</v>
          </cell>
          <cell r="AD195">
            <v>46129</v>
          </cell>
          <cell r="AE195">
            <v>46129</v>
          </cell>
          <cell r="AF195" t="str">
            <v>SDR DONE</v>
          </cell>
          <cell r="AG195">
            <v>3</v>
          </cell>
        </row>
        <row r="196">
          <cell r="E196" t="str">
            <v>Kiosk Pune Metro Infosys Station</v>
          </cell>
          <cell r="F196" t="str">
            <v>2. ML Awaited</v>
          </cell>
          <cell r="K196" t="str">
            <v>W</v>
          </cell>
          <cell r="L196" t="str">
            <v>BK</v>
          </cell>
          <cell r="N196" t="str">
            <v>Jaysingh Desai</v>
          </cell>
          <cell r="O196" t="str">
            <v>Ashish 1 M</v>
          </cell>
          <cell r="Q196" t="str">
            <v>Arju Tiwari</v>
          </cell>
          <cell r="R196" t="str">
            <v>Kiran Patil</v>
          </cell>
          <cell r="S196" t="str">
            <v>Maharashtra</v>
          </cell>
          <cell r="T196" t="str">
            <v>Pune</v>
          </cell>
          <cell r="U196" t="str">
            <v>Premium</v>
          </cell>
          <cell r="V196" t="str">
            <v>Misc Formats</v>
          </cell>
          <cell r="AB196">
            <v>46121</v>
          </cell>
          <cell r="AC196">
            <v>46121</v>
          </cell>
          <cell r="AD196">
            <v>46129</v>
          </cell>
          <cell r="AE196">
            <v>46129</v>
          </cell>
          <cell r="AF196" t="str">
            <v>SDR DONE</v>
          </cell>
          <cell r="AG196">
            <v>3</v>
          </cell>
        </row>
        <row r="197">
          <cell r="E197" t="str">
            <v>Kiosk Pune Metro Pall India Station</v>
          </cell>
          <cell r="F197" t="str">
            <v>2. ML Awaited</v>
          </cell>
          <cell r="K197" t="str">
            <v>W</v>
          </cell>
          <cell r="L197" t="str">
            <v>BK</v>
          </cell>
          <cell r="N197" t="str">
            <v>Jaysingh Desai</v>
          </cell>
          <cell r="O197" t="str">
            <v>Ashish 1 M</v>
          </cell>
          <cell r="Q197" t="str">
            <v>Arju Tiwari</v>
          </cell>
          <cell r="R197" t="str">
            <v>Kiran Patil</v>
          </cell>
          <cell r="S197" t="str">
            <v>Maharashtra</v>
          </cell>
          <cell r="T197" t="str">
            <v>Pune</v>
          </cell>
          <cell r="U197" t="str">
            <v>Premium</v>
          </cell>
          <cell r="V197" t="str">
            <v>Misc Formats</v>
          </cell>
          <cell r="AB197">
            <v>46121</v>
          </cell>
          <cell r="AC197">
            <v>46121</v>
          </cell>
          <cell r="AD197">
            <v>46129</v>
          </cell>
          <cell r="AE197">
            <v>46129</v>
          </cell>
          <cell r="AF197" t="str">
            <v>SDR DONE</v>
          </cell>
          <cell r="AG197">
            <v>3</v>
          </cell>
        </row>
        <row r="198">
          <cell r="E198" t="str">
            <v>Kiosk Pune Metro Wakad Chowk</v>
          </cell>
          <cell r="F198" t="str">
            <v>2. ML Awaited</v>
          </cell>
          <cell r="K198" t="str">
            <v>W</v>
          </cell>
          <cell r="L198" t="str">
            <v>BK</v>
          </cell>
          <cell r="N198" t="str">
            <v>Jaysingh Desai</v>
          </cell>
          <cell r="O198" t="str">
            <v>Ashish 1 M</v>
          </cell>
          <cell r="Q198" t="str">
            <v>Arju Tiwari</v>
          </cell>
          <cell r="R198" t="str">
            <v>Kiran Patil</v>
          </cell>
          <cell r="S198" t="str">
            <v>Maharashtra</v>
          </cell>
          <cell r="T198" t="str">
            <v>Pune</v>
          </cell>
          <cell r="U198" t="str">
            <v>Premium</v>
          </cell>
          <cell r="V198" t="str">
            <v>Misc Formats</v>
          </cell>
          <cell r="AB198">
            <v>46121</v>
          </cell>
          <cell r="AC198">
            <v>46121</v>
          </cell>
          <cell r="AD198">
            <v>46129</v>
          </cell>
          <cell r="AE198">
            <v>46129</v>
          </cell>
          <cell r="AF198" t="str">
            <v>SDR DONE</v>
          </cell>
          <cell r="AG198">
            <v>3</v>
          </cell>
        </row>
        <row r="199">
          <cell r="E199" t="str">
            <v>Kiosk Pune Metro- Agriculture Station</v>
          </cell>
          <cell r="F199" t="str">
            <v>11. HOLD</v>
          </cell>
          <cell r="K199" t="str">
            <v>W</v>
          </cell>
          <cell r="L199" t="str">
            <v>BK</v>
          </cell>
          <cell r="N199" t="str">
            <v>Jaysingh Desai</v>
          </cell>
          <cell r="O199" t="str">
            <v>Ashish 1 M</v>
          </cell>
          <cell r="Q199" t="str">
            <v>Arju Tiwari</v>
          </cell>
          <cell r="R199" t="str">
            <v>Kiran Patil</v>
          </cell>
          <cell r="S199" t="str">
            <v>Maharashtra</v>
          </cell>
          <cell r="T199" t="str">
            <v>Pune</v>
          </cell>
          <cell r="U199" t="str">
            <v>Premium</v>
          </cell>
          <cell r="V199" t="str">
            <v>Misc Formats</v>
          </cell>
          <cell r="AB199">
            <v>46121</v>
          </cell>
        </row>
        <row r="200">
          <cell r="E200" t="str">
            <v>Bhumi World, Bhiwandi Bypass</v>
          </cell>
          <cell r="F200" t="str">
            <v>2. ML Awaited</v>
          </cell>
          <cell r="K200" t="str">
            <v>W</v>
          </cell>
          <cell r="L200" t="str">
            <v>BK</v>
          </cell>
          <cell r="N200" t="str">
            <v>Sh Anand Patade</v>
          </cell>
          <cell r="O200" t="str">
            <v>Sh Nitin Dawange</v>
          </cell>
          <cell r="Q200" t="str">
            <v>Arju Tiwari</v>
          </cell>
          <cell r="R200" t="str">
            <v>Kiran Patil</v>
          </cell>
          <cell r="S200" t="str">
            <v>Maharashtra</v>
          </cell>
          <cell r="T200" t="str">
            <v>Mumbai</v>
          </cell>
          <cell r="U200" t="str">
            <v>Premium</v>
          </cell>
          <cell r="V200" t="str">
            <v>Misc Formats</v>
          </cell>
          <cell r="AB200">
            <v>46119</v>
          </cell>
          <cell r="AC200">
            <v>46119</v>
          </cell>
          <cell r="AD200">
            <v>46129</v>
          </cell>
          <cell r="AE200">
            <v>46129</v>
          </cell>
          <cell r="AF200" t="str">
            <v>SDR DONE</v>
          </cell>
          <cell r="AG200">
            <v>5</v>
          </cell>
        </row>
        <row r="201">
          <cell r="E201" t="str">
            <v>Snooze House, Amantran, Dombivli</v>
          </cell>
          <cell r="F201" t="str">
            <v>11. HOLD</v>
          </cell>
          <cell r="K201" t="str">
            <v>W</v>
          </cell>
          <cell r="L201" t="str">
            <v>BK</v>
          </cell>
          <cell r="N201" t="str">
            <v>Sh Anand Patade</v>
          </cell>
          <cell r="O201" t="str">
            <v>Sh Nitin Dawange</v>
          </cell>
          <cell r="Q201" t="str">
            <v>Arju Tiwari</v>
          </cell>
          <cell r="R201" t="str">
            <v>Kiran Patil</v>
          </cell>
          <cell r="S201" t="str">
            <v>Maharashtra</v>
          </cell>
          <cell r="T201" t="str">
            <v>Mumbai</v>
          </cell>
          <cell r="U201" t="str">
            <v>Premium</v>
          </cell>
          <cell r="V201" t="str">
            <v>Misc Formats</v>
          </cell>
          <cell r="AB201">
            <v>46119</v>
          </cell>
        </row>
        <row r="202">
          <cell r="E202" t="str">
            <v>Gabi Business Park, Bhivandi Bypass</v>
          </cell>
          <cell r="F202" t="str">
            <v>11. HOLD</v>
          </cell>
          <cell r="K202" t="str">
            <v>W</v>
          </cell>
          <cell r="L202" t="str">
            <v>BK</v>
          </cell>
          <cell r="N202" t="str">
            <v>Sh Anand Patade</v>
          </cell>
          <cell r="O202" t="str">
            <v>Sh Nitin Dawange</v>
          </cell>
          <cell r="Q202" t="str">
            <v>Arju Tiwari</v>
          </cell>
          <cell r="R202" t="str">
            <v>Kiran Patil</v>
          </cell>
          <cell r="S202" t="str">
            <v>Maharashtra</v>
          </cell>
          <cell r="T202" t="str">
            <v>Mumbai</v>
          </cell>
          <cell r="U202" t="str">
            <v>Premium</v>
          </cell>
          <cell r="V202" t="str">
            <v>Misc Formats</v>
          </cell>
          <cell r="AB202">
            <v>46119</v>
          </cell>
          <cell r="AC202">
            <v>46119</v>
          </cell>
          <cell r="AH202" t="str">
            <v>Details from NSO Awaited</v>
          </cell>
        </row>
        <row r="203">
          <cell r="E203" t="str">
            <v>Chaitanya ,Viman Nagar -Pune.</v>
          </cell>
          <cell r="F203" t="str">
            <v>2. ML Awaited</v>
          </cell>
          <cell r="K203" t="str">
            <v>W</v>
          </cell>
          <cell r="L203" t="str">
            <v>BK</v>
          </cell>
          <cell r="N203" t="str">
            <v>Jaisingh Desai</v>
          </cell>
          <cell r="O203" t="str">
            <v>Ashish M</v>
          </cell>
          <cell r="Q203" t="str">
            <v>Arju Tiwari</v>
          </cell>
          <cell r="R203" t="str">
            <v>Kiran Patil</v>
          </cell>
          <cell r="S203" t="str">
            <v>Maharashtra</v>
          </cell>
          <cell r="T203" t="str">
            <v>Pune</v>
          </cell>
          <cell r="U203" t="str">
            <v>Premium</v>
          </cell>
          <cell r="V203" t="str">
            <v>Misc Formats</v>
          </cell>
          <cell r="AB203">
            <v>46135</v>
          </cell>
          <cell r="AC203">
            <v>46135</v>
          </cell>
          <cell r="AD203">
            <v>46150</v>
          </cell>
          <cell r="AE203">
            <v>46150</v>
          </cell>
          <cell r="AF203" t="str">
            <v>SDR DONE</v>
          </cell>
          <cell r="AG203">
            <v>10</v>
          </cell>
          <cell r="AH203" t="str">
            <v>Visit done report pending</v>
          </cell>
        </row>
        <row r="204">
          <cell r="E204" t="str">
            <v>Keppel Tensteps Kharadi Pune</v>
          </cell>
          <cell r="F204" t="str">
            <v>2. ML Awaited</v>
          </cell>
          <cell r="K204" t="str">
            <v>W</v>
          </cell>
          <cell r="L204" t="str">
            <v>BK</v>
          </cell>
          <cell r="N204" t="str">
            <v>Jaisingh Desai</v>
          </cell>
          <cell r="O204" t="str">
            <v>Ashish M</v>
          </cell>
          <cell r="Q204" t="str">
            <v>Arju Tiwari</v>
          </cell>
          <cell r="R204" t="str">
            <v>Kiran Patil</v>
          </cell>
          <cell r="S204" t="str">
            <v>Maharashtra</v>
          </cell>
          <cell r="T204" t="str">
            <v>Pune</v>
          </cell>
          <cell r="U204" t="str">
            <v>Premium</v>
          </cell>
          <cell r="V204" t="str">
            <v>Misc Formats</v>
          </cell>
          <cell r="X204" t="str">
            <v>Keppel Tensteps Kharadi Pune</v>
          </cell>
          <cell r="AB204">
            <v>46135</v>
          </cell>
          <cell r="AC204">
            <v>46135</v>
          </cell>
          <cell r="AD204">
            <v>46160</v>
          </cell>
          <cell r="AE204">
            <v>46160</v>
          </cell>
          <cell r="AF204" t="str">
            <v>SDR DONE</v>
          </cell>
          <cell r="AG204">
            <v>20</v>
          </cell>
          <cell r="AH204" t="str">
            <v>LL details for check list data received on 16 May 26</v>
          </cell>
        </row>
        <row r="205">
          <cell r="E205" t="str">
            <v>Godrej, Koregaon Park, Pune</v>
          </cell>
          <cell r="F205" t="str">
            <v>2. ML Awaited</v>
          </cell>
          <cell r="K205" t="str">
            <v>W</v>
          </cell>
          <cell r="L205" t="str">
            <v>BK</v>
          </cell>
          <cell r="N205" t="str">
            <v>Jaisingh Desai</v>
          </cell>
          <cell r="O205" t="str">
            <v>Ashish M</v>
          </cell>
          <cell r="Q205" t="str">
            <v>Arju Tiwari</v>
          </cell>
          <cell r="R205" t="str">
            <v>Kiran Patil</v>
          </cell>
          <cell r="S205" t="str">
            <v>Maharashtra</v>
          </cell>
          <cell r="T205" t="str">
            <v>Pune</v>
          </cell>
          <cell r="U205" t="str">
            <v>Premium</v>
          </cell>
          <cell r="V205" t="str">
            <v>Misc Formats</v>
          </cell>
          <cell r="AB205">
            <v>46136</v>
          </cell>
          <cell r="AC205">
            <v>46136</v>
          </cell>
          <cell r="AD205">
            <v>46151</v>
          </cell>
          <cell r="AE205">
            <v>46151</v>
          </cell>
          <cell r="AF205" t="str">
            <v>SDR DONE</v>
          </cell>
          <cell r="AG205">
            <v>10</v>
          </cell>
        </row>
        <row r="206">
          <cell r="E206" t="str">
            <v>Mumbai Metro -Aqua Line - MIDC</v>
          </cell>
          <cell r="F206" t="str">
            <v>11. HOLD</v>
          </cell>
          <cell r="K206" t="str">
            <v>W</v>
          </cell>
          <cell r="L206" t="str">
            <v>BK</v>
          </cell>
          <cell r="N206" t="str">
            <v>Anand Patade</v>
          </cell>
          <cell r="O206" t="str">
            <v>Sh Nitin Dawange</v>
          </cell>
          <cell r="Q206" t="str">
            <v>Arju Tiwari</v>
          </cell>
          <cell r="R206" t="str">
            <v>Kiran Patil</v>
          </cell>
          <cell r="S206" t="str">
            <v>Maharashtra</v>
          </cell>
          <cell r="T206" t="str">
            <v>Mumbai</v>
          </cell>
          <cell r="U206" t="str">
            <v>Premium</v>
          </cell>
          <cell r="V206" t="str">
            <v>Misc Formats</v>
          </cell>
          <cell r="X206" t="str">
            <v>Mumbai Metro -Aqua Line - MIDC</v>
          </cell>
          <cell r="AB206">
            <v>46156</v>
          </cell>
        </row>
        <row r="207">
          <cell r="E207" t="str">
            <v>Mumbai Metro -Aqua Line  - BKC</v>
          </cell>
          <cell r="F207" t="str">
            <v>11. HOLD</v>
          </cell>
          <cell r="K207" t="str">
            <v>W</v>
          </cell>
          <cell r="L207" t="str">
            <v>BK</v>
          </cell>
          <cell r="N207" t="str">
            <v>Anand Patade</v>
          </cell>
          <cell r="O207" t="str">
            <v>Sh Nitin Dawange</v>
          </cell>
          <cell r="Q207" t="str">
            <v>Arju Tiwari</v>
          </cell>
          <cell r="R207" t="str">
            <v>Kiran Patil</v>
          </cell>
          <cell r="S207" t="str">
            <v>Maharashtra</v>
          </cell>
          <cell r="T207" t="str">
            <v>Mumbai</v>
          </cell>
          <cell r="U207" t="str">
            <v>Premium</v>
          </cell>
          <cell r="V207" t="str">
            <v>Misc Formats</v>
          </cell>
          <cell r="X207" t="str">
            <v>Mumbai Metro -Aqua Line  - BKC</v>
          </cell>
          <cell r="AB207">
            <v>46156</v>
          </cell>
        </row>
        <row r="208">
          <cell r="E208" t="str">
            <v>Mumbai Metro -Aqua Line - Dadar</v>
          </cell>
          <cell r="F208" t="str">
            <v>11. HOLD</v>
          </cell>
          <cell r="K208" t="str">
            <v>W</v>
          </cell>
          <cell r="L208" t="str">
            <v>BK</v>
          </cell>
          <cell r="N208" t="str">
            <v>Anand Patade</v>
          </cell>
          <cell r="O208" t="str">
            <v>Sh Nitin Dawange</v>
          </cell>
          <cell r="Q208" t="str">
            <v>Arju Tiwari</v>
          </cell>
          <cell r="R208" t="str">
            <v>Kiran Patil</v>
          </cell>
          <cell r="S208" t="str">
            <v>Maharashtra</v>
          </cell>
          <cell r="T208" t="str">
            <v>Mumbai</v>
          </cell>
          <cell r="U208" t="str">
            <v>Premium</v>
          </cell>
          <cell r="V208" t="str">
            <v>Misc Formats</v>
          </cell>
          <cell r="X208" t="str">
            <v>Mumbai Metro -Aqua Line - Dadar</v>
          </cell>
          <cell r="AB208">
            <v>46156</v>
          </cell>
        </row>
        <row r="209">
          <cell r="E209" t="str">
            <v>Mumbai Metro -Aqua Line  - Worli</v>
          </cell>
          <cell r="F209" t="str">
            <v>11. HOLD</v>
          </cell>
          <cell r="K209" t="str">
            <v>W</v>
          </cell>
          <cell r="L209" t="str">
            <v>BK</v>
          </cell>
          <cell r="N209" t="str">
            <v>Anand Patade</v>
          </cell>
          <cell r="O209" t="str">
            <v>Sh Nitin Dawange</v>
          </cell>
          <cell r="Q209" t="str">
            <v>Arju Tiwari</v>
          </cell>
          <cell r="R209" t="str">
            <v>Kiran Patil</v>
          </cell>
          <cell r="S209" t="str">
            <v>Maharashtra</v>
          </cell>
          <cell r="T209" t="str">
            <v>Mumbai</v>
          </cell>
          <cell r="U209" t="str">
            <v>Premium</v>
          </cell>
          <cell r="V209" t="str">
            <v>Misc Formats</v>
          </cell>
          <cell r="X209" t="str">
            <v>Mumbai Metro -Aqua Line  - Worli</v>
          </cell>
          <cell r="AB209">
            <v>46156</v>
          </cell>
        </row>
        <row r="210">
          <cell r="E210" t="str">
            <v>Mumbai Metro -Aqua Line  - CSMT</v>
          </cell>
          <cell r="F210" t="str">
            <v>11. HOLD</v>
          </cell>
          <cell r="K210" t="str">
            <v>W</v>
          </cell>
          <cell r="L210" t="str">
            <v>BK</v>
          </cell>
          <cell r="N210" t="str">
            <v>Anand Patade</v>
          </cell>
          <cell r="O210" t="str">
            <v>Sh Nitin Dawange</v>
          </cell>
          <cell r="Q210" t="str">
            <v>Arju Tiwari</v>
          </cell>
          <cell r="R210" t="str">
            <v>Kiran Patil</v>
          </cell>
          <cell r="S210" t="str">
            <v>Maharashtra</v>
          </cell>
          <cell r="T210" t="str">
            <v>Mumbai</v>
          </cell>
          <cell r="U210" t="str">
            <v>Premium</v>
          </cell>
          <cell r="V210" t="str">
            <v>Misc Formats</v>
          </cell>
          <cell r="X210" t="str">
            <v>Mumbai Metro -Aqua Line  - CSMT</v>
          </cell>
          <cell r="AB210">
            <v>46156</v>
          </cell>
        </row>
        <row r="211">
          <cell r="E211" t="str">
            <v>Mumbai Metro -Line 2&amp;7  - Andheri W</v>
          </cell>
          <cell r="F211" t="str">
            <v>11. HOLD</v>
          </cell>
          <cell r="K211" t="str">
            <v>W</v>
          </cell>
          <cell r="L211" t="str">
            <v>BK</v>
          </cell>
          <cell r="N211" t="str">
            <v>Anand Patade</v>
          </cell>
          <cell r="O211" t="str">
            <v>Sh Nitin Dawange</v>
          </cell>
          <cell r="Q211" t="str">
            <v>Arju Tiwari</v>
          </cell>
          <cell r="R211" t="str">
            <v>Kiran Patil</v>
          </cell>
          <cell r="S211" t="str">
            <v>Maharashtra</v>
          </cell>
          <cell r="T211" t="str">
            <v>Mumbai</v>
          </cell>
          <cell r="U211" t="str">
            <v>Premium</v>
          </cell>
          <cell r="V211" t="str">
            <v>Misc Formats</v>
          </cell>
          <cell r="AB211">
            <v>46142</v>
          </cell>
        </row>
        <row r="212">
          <cell r="E212" t="str">
            <v>Mumbai Metro -Line 2&amp;7 - Gundavali</v>
          </cell>
          <cell r="F212" t="str">
            <v>11. HOLD</v>
          </cell>
          <cell r="K212" t="str">
            <v>W</v>
          </cell>
          <cell r="L212" t="str">
            <v>BK</v>
          </cell>
          <cell r="N212" t="str">
            <v>Anand Patade</v>
          </cell>
          <cell r="O212" t="str">
            <v>Sh Nitin Dawange</v>
          </cell>
          <cell r="Q212" t="str">
            <v>Arju Tiwari</v>
          </cell>
          <cell r="R212" t="str">
            <v>Kiran Patil</v>
          </cell>
          <cell r="S212" t="str">
            <v>Maharashtra</v>
          </cell>
          <cell r="T212" t="str">
            <v>Mumbai</v>
          </cell>
          <cell r="U212" t="str">
            <v>Premium</v>
          </cell>
          <cell r="V212" t="str">
            <v>Misc Formats</v>
          </cell>
          <cell r="AB212">
            <v>46142</v>
          </cell>
        </row>
        <row r="213">
          <cell r="E213" t="str">
            <v>Mumbai Metro -Line 2&amp;7  - Dahisar</v>
          </cell>
          <cell r="F213" t="str">
            <v>11. HOLD</v>
          </cell>
          <cell r="K213" t="str">
            <v>W</v>
          </cell>
          <cell r="L213" t="str">
            <v>BK</v>
          </cell>
          <cell r="N213" t="str">
            <v>Anand Patade</v>
          </cell>
          <cell r="O213" t="str">
            <v>Sh Nitin Dawange</v>
          </cell>
          <cell r="Q213" t="str">
            <v>Arju Tiwari</v>
          </cell>
          <cell r="R213" t="str">
            <v>Kiran Patil</v>
          </cell>
          <cell r="S213" t="str">
            <v>Maharashtra</v>
          </cell>
          <cell r="T213" t="str">
            <v>Mumbai</v>
          </cell>
          <cell r="U213" t="str">
            <v>Premium</v>
          </cell>
          <cell r="V213" t="str">
            <v>Misc Formats</v>
          </cell>
          <cell r="AB213">
            <v>46142</v>
          </cell>
        </row>
        <row r="214">
          <cell r="E214" t="str">
            <v>Agastya Corporate Park, Piramal Realty, Kurla</v>
          </cell>
          <cell r="F214" t="str">
            <v>2. ML Awaited</v>
          </cell>
          <cell r="K214" t="str">
            <v>W</v>
          </cell>
          <cell r="L214" t="str">
            <v>BK</v>
          </cell>
          <cell r="N214" t="str">
            <v>Anand Patade</v>
          </cell>
          <cell r="O214" t="str">
            <v>Sh Nitin Dawange</v>
          </cell>
          <cell r="Q214" t="str">
            <v>Arju Tiwari</v>
          </cell>
          <cell r="R214" t="str">
            <v>Kiran Patil</v>
          </cell>
          <cell r="S214" t="str">
            <v>Maharashtra</v>
          </cell>
          <cell r="T214" t="str">
            <v>Mumbai</v>
          </cell>
          <cell r="U214" t="str">
            <v>Premium</v>
          </cell>
          <cell r="V214" t="str">
            <v>Misc Formats</v>
          </cell>
          <cell r="AB214">
            <v>46140</v>
          </cell>
          <cell r="AC214">
            <v>46140</v>
          </cell>
          <cell r="AD214">
            <v>46147</v>
          </cell>
          <cell r="AE214">
            <v>46147</v>
          </cell>
          <cell r="AF214" t="str">
            <v>SDR DONE</v>
          </cell>
          <cell r="AG214">
            <v>2</v>
          </cell>
        </row>
        <row r="215">
          <cell r="E215" t="str">
            <v>Wah Punjab, Pune</v>
          </cell>
          <cell r="F215" t="str">
            <v>14. Dropped</v>
          </cell>
          <cell r="K215" t="str">
            <v>W</v>
          </cell>
          <cell r="L215" t="str">
            <v>BK</v>
          </cell>
          <cell r="N215" t="str">
            <v>Jaisingh Desai</v>
          </cell>
          <cell r="O215" t="str">
            <v>Ashish M</v>
          </cell>
          <cell r="Q215" t="str">
            <v>Arju Tiwari</v>
          </cell>
          <cell r="R215" t="str">
            <v>Kiran Patil</v>
          </cell>
          <cell r="S215" t="str">
            <v>Maharashtra</v>
          </cell>
          <cell r="T215" t="str">
            <v>Pune</v>
          </cell>
          <cell r="U215" t="str">
            <v>Premium</v>
          </cell>
          <cell r="V215" t="str">
            <v>Misc Formats</v>
          </cell>
          <cell r="AB215">
            <v>46136</v>
          </cell>
          <cell r="AC215">
            <v>46136</v>
          </cell>
          <cell r="AH215" t="str">
            <v>Visit done report pending</v>
          </cell>
        </row>
        <row r="216">
          <cell r="E216" t="str">
            <v>Runwal Garden, Dombivli</v>
          </cell>
          <cell r="F216" t="str">
            <v>2. ML Awaited</v>
          </cell>
          <cell r="K216" t="str">
            <v>W</v>
          </cell>
          <cell r="L216" t="str">
            <v>BK</v>
          </cell>
          <cell r="N216" t="str">
            <v>Anand Patade</v>
          </cell>
          <cell r="O216" t="str">
            <v>Sh Nitin Dawange</v>
          </cell>
          <cell r="Q216" t="str">
            <v>Arju Tiwari</v>
          </cell>
          <cell r="R216" t="str">
            <v>Kiran Patil</v>
          </cell>
          <cell r="S216" t="str">
            <v>Maharashtra</v>
          </cell>
          <cell r="T216" t="str">
            <v>Mumbai</v>
          </cell>
          <cell r="U216" t="str">
            <v>Premium</v>
          </cell>
          <cell r="V216" t="str">
            <v>Misc Formats</v>
          </cell>
          <cell r="X216" t="str">
            <v>Runwal Garden, Dombivli</v>
          </cell>
          <cell r="AB216">
            <v>46149</v>
          </cell>
          <cell r="AC216">
            <v>46149</v>
          </cell>
          <cell r="AD216">
            <v>46154</v>
          </cell>
          <cell r="AE216">
            <v>46154</v>
          </cell>
          <cell r="AF216" t="str">
            <v>SDR DONE</v>
          </cell>
          <cell r="AG216">
            <v>0</v>
          </cell>
        </row>
        <row r="217">
          <cell r="E217" t="str">
            <v>One BKC, Mumbai</v>
          </cell>
          <cell r="F217" t="str">
            <v>2. ML Awaited</v>
          </cell>
          <cell r="K217" t="str">
            <v>W</v>
          </cell>
          <cell r="L217" t="str">
            <v>BK</v>
          </cell>
          <cell r="N217" t="str">
            <v>Anand Patade</v>
          </cell>
          <cell r="O217" t="str">
            <v>Sh Nitin Dawange</v>
          </cell>
          <cell r="Q217" t="str">
            <v>Arju Tiwari</v>
          </cell>
          <cell r="R217" t="str">
            <v>Kiran Patil</v>
          </cell>
          <cell r="S217" t="str">
            <v>Maharashtra</v>
          </cell>
          <cell r="T217" t="str">
            <v>Mumbai</v>
          </cell>
          <cell r="U217" t="str">
            <v>Premium</v>
          </cell>
          <cell r="V217" t="str">
            <v>Misc Formats</v>
          </cell>
          <cell r="X217" t="str">
            <v>One BKC, Mumbai</v>
          </cell>
          <cell r="AB217">
            <v>46153</v>
          </cell>
          <cell r="AC217">
            <v>46153</v>
          </cell>
          <cell r="AD217">
            <v>46162</v>
          </cell>
          <cell r="AE217">
            <v>46162</v>
          </cell>
          <cell r="AF217" t="str">
            <v>SDR DONE</v>
          </cell>
          <cell r="AG217">
            <v>4</v>
          </cell>
        </row>
        <row r="218">
          <cell r="E218" t="str">
            <v>Yashwant Prestige, Virar</v>
          </cell>
          <cell r="F218" t="str">
            <v>2. ML Awaited</v>
          </cell>
          <cell r="K218" t="str">
            <v>W</v>
          </cell>
          <cell r="L218" t="str">
            <v>BK</v>
          </cell>
          <cell r="N218" t="str">
            <v>Anand Patade</v>
          </cell>
          <cell r="O218" t="str">
            <v>Sh Nitin Dawange</v>
          </cell>
          <cell r="Q218" t="str">
            <v>Arju Tiwari</v>
          </cell>
          <cell r="R218" t="str">
            <v>Kiran Patil</v>
          </cell>
          <cell r="S218" t="str">
            <v>Maharashtra</v>
          </cell>
          <cell r="T218" t="str">
            <v>Mumbai</v>
          </cell>
          <cell r="U218" t="str">
            <v>Premium</v>
          </cell>
          <cell r="V218" t="str">
            <v>Misc Formats</v>
          </cell>
          <cell r="X218" t="str">
            <v>Yashwant Prestige, Virar</v>
          </cell>
          <cell r="AB218">
            <v>46147</v>
          </cell>
          <cell r="AC218">
            <v>46147</v>
          </cell>
          <cell r="AD218">
            <v>46156</v>
          </cell>
          <cell r="AE218">
            <v>46156</v>
          </cell>
          <cell r="AF218" t="str">
            <v>SDR DONE</v>
          </cell>
          <cell r="AG218">
            <v>4</v>
          </cell>
        </row>
        <row r="219">
          <cell r="E219" t="str">
            <v>Capital Mall, Vasai/Nalasopara</v>
          </cell>
          <cell r="F219" t="str">
            <v>2. ML Awaited</v>
          </cell>
          <cell r="K219" t="str">
            <v>W</v>
          </cell>
          <cell r="L219" t="str">
            <v>BK</v>
          </cell>
          <cell r="N219" t="str">
            <v>Anand Patade</v>
          </cell>
          <cell r="O219" t="str">
            <v>Sh Nitin Dawange</v>
          </cell>
          <cell r="Q219" t="str">
            <v>Arju Tiwari</v>
          </cell>
          <cell r="R219" t="str">
            <v>Kiran Patil</v>
          </cell>
          <cell r="S219" t="str">
            <v>Maharashtra</v>
          </cell>
          <cell r="T219" t="str">
            <v>Mumbai</v>
          </cell>
          <cell r="U219" t="str">
            <v>Premium</v>
          </cell>
          <cell r="V219" t="str">
            <v>Misc Formats</v>
          </cell>
          <cell r="X219" t="str">
            <v>Capital Mall, Vasai/Nalasopara</v>
          </cell>
          <cell r="AB219">
            <v>46147</v>
          </cell>
          <cell r="AC219">
            <v>46147</v>
          </cell>
          <cell r="AD219">
            <v>46155</v>
          </cell>
          <cell r="AE219">
            <v>46155</v>
          </cell>
          <cell r="AF219" t="str">
            <v>SDR DONE</v>
          </cell>
          <cell r="AG219">
            <v>3</v>
          </cell>
        </row>
        <row r="220">
          <cell r="E220" t="str">
            <v>Pizza Hut, Versova- Mumbai</v>
          </cell>
          <cell r="F220" t="str">
            <v>2. ML Awaited</v>
          </cell>
          <cell r="K220" t="str">
            <v>W</v>
          </cell>
          <cell r="L220" t="str">
            <v>BK</v>
          </cell>
          <cell r="N220" t="str">
            <v>Anand Patade</v>
          </cell>
          <cell r="O220" t="str">
            <v>Sh Nitin Dawange</v>
          </cell>
          <cell r="Q220" t="str">
            <v>Arju Tiwari</v>
          </cell>
          <cell r="R220" t="str">
            <v>Kiran Patil</v>
          </cell>
          <cell r="S220" t="str">
            <v>Maharashtra</v>
          </cell>
          <cell r="T220" t="str">
            <v>Mumbai</v>
          </cell>
          <cell r="U220" t="str">
            <v>Premium</v>
          </cell>
          <cell r="V220" t="str">
            <v>Misc Formats</v>
          </cell>
          <cell r="X220" t="str">
            <v>Pizza Hut, Versova- Mumbai</v>
          </cell>
          <cell r="AB220">
            <v>46153</v>
          </cell>
          <cell r="AC220">
            <v>46153</v>
          </cell>
          <cell r="AD220">
            <v>46162</v>
          </cell>
          <cell r="AE220">
            <v>46162</v>
          </cell>
          <cell r="AF220" t="str">
            <v>SDR DONE</v>
          </cell>
          <cell r="AG220">
            <v>4</v>
          </cell>
        </row>
        <row r="221">
          <cell r="E221" t="str">
            <v>Vastu Viva Building, Wakad, Pune</v>
          </cell>
          <cell r="F221" t="str">
            <v>2. ML Awaited</v>
          </cell>
          <cell r="K221" t="str">
            <v>W</v>
          </cell>
          <cell r="L221" t="str">
            <v>BK</v>
          </cell>
          <cell r="N221" t="str">
            <v>Jaisingh Desai</v>
          </cell>
          <cell r="O221" t="str">
            <v>Ashish M</v>
          </cell>
          <cell r="Q221" t="str">
            <v>Arju Tiwari</v>
          </cell>
          <cell r="R221" t="str">
            <v>Kiran Patil</v>
          </cell>
          <cell r="S221" t="str">
            <v>Maharashtra</v>
          </cell>
          <cell r="T221" t="str">
            <v>Pune</v>
          </cell>
          <cell r="U221" t="str">
            <v>Premium</v>
          </cell>
          <cell r="V221" t="str">
            <v>Misc Formats</v>
          </cell>
          <cell r="X221" t="str">
            <v>Vastu Viva Building, Wakad, Pune</v>
          </cell>
          <cell r="AB221">
            <v>46154</v>
          </cell>
          <cell r="AC221">
            <v>46154</v>
          </cell>
          <cell r="AD221">
            <v>46167</v>
          </cell>
          <cell r="AE221">
            <v>46167</v>
          </cell>
          <cell r="AF221" t="str">
            <v>SDR DONE</v>
          </cell>
          <cell r="AG221">
            <v>8</v>
          </cell>
        </row>
        <row r="222">
          <cell r="E222" t="str">
            <v>93 Avenue, Pune</v>
          </cell>
          <cell r="F222" t="str">
            <v>2. ML Awaited</v>
          </cell>
          <cell r="K222" t="str">
            <v>W</v>
          </cell>
          <cell r="L222" t="str">
            <v>BK</v>
          </cell>
          <cell r="N222" t="str">
            <v>Jaisingh Desai</v>
          </cell>
          <cell r="O222" t="str">
            <v>Ashish M</v>
          </cell>
          <cell r="Q222" t="str">
            <v>Arju Tiwari</v>
          </cell>
          <cell r="R222" t="str">
            <v>Kiran Patil</v>
          </cell>
          <cell r="S222" t="str">
            <v>Maharashtra</v>
          </cell>
          <cell r="T222" t="str">
            <v>Pune</v>
          </cell>
          <cell r="U222" t="str">
            <v>Premium</v>
          </cell>
          <cell r="V222" t="str">
            <v>Misc Formats</v>
          </cell>
          <cell r="X222" t="str">
            <v>93 Avenue, Pune</v>
          </cell>
          <cell r="AB222">
            <v>46154</v>
          </cell>
          <cell r="AC222">
            <v>46154</v>
          </cell>
          <cell r="AD222">
            <v>46168</v>
          </cell>
          <cell r="AE222">
            <v>46168</v>
          </cell>
          <cell r="AF222" t="str">
            <v>SDR DONE</v>
          </cell>
          <cell r="AG222">
            <v>9</v>
          </cell>
        </row>
        <row r="223">
          <cell r="E223" t="str">
            <v>Piramal Mahalaxmi , Mumbai</v>
          </cell>
          <cell r="F223" t="str">
            <v>2. ML Awaited</v>
          </cell>
          <cell r="K223" t="str">
            <v>W</v>
          </cell>
          <cell r="L223" t="str">
            <v>BK</v>
          </cell>
          <cell r="N223" t="str">
            <v>Anand Patade</v>
          </cell>
          <cell r="O223" t="str">
            <v>Sh Nitin Dawange</v>
          </cell>
          <cell r="Q223" t="str">
            <v>Arju Tiwari</v>
          </cell>
          <cell r="R223" t="str">
            <v>Kiran Patil</v>
          </cell>
          <cell r="S223" t="str">
            <v>Maharashtra</v>
          </cell>
          <cell r="T223" t="str">
            <v>Mumbai</v>
          </cell>
          <cell r="U223" t="str">
            <v>Premium</v>
          </cell>
          <cell r="V223" t="str">
            <v>Misc Formats</v>
          </cell>
          <cell r="X223" t="str">
            <v>Piramal Mahalaxmi , Mumbai</v>
          </cell>
          <cell r="AB223">
            <v>46162</v>
          </cell>
          <cell r="AC223">
            <v>46162</v>
          </cell>
          <cell r="AD223">
            <v>46169</v>
          </cell>
          <cell r="AE223">
            <v>46169</v>
          </cell>
          <cell r="AF223" t="str">
            <v>SDR DONE</v>
          </cell>
          <cell r="AG223">
            <v>2</v>
          </cell>
        </row>
        <row r="224">
          <cell r="E224" t="str">
            <v>Piramal Byculla , Mumbai</v>
          </cell>
          <cell r="F224" t="str">
            <v>2. ML Awaited</v>
          </cell>
          <cell r="K224" t="str">
            <v>W</v>
          </cell>
          <cell r="L224" t="str">
            <v>BK</v>
          </cell>
          <cell r="N224" t="str">
            <v>Anand Patade</v>
          </cell>
          <cell r="O224" t="str">
            <v>Sh Nitin Dawange</v>
          </cell>
          <cell r="Q224" t="str">
            <v>Arju Tiwari</v>
          </cell>
          <cell r="R224" t="str">
            <v>Kiran Patil</v>
          </cell>
          <cell r="S224" t="str">
            <v>Maharashtra</v>
          </cell>
          <cell r="T224" t="str">
            <v>Mumbai</v>
          </cell>
          <cell r="U224" t="str">
            <v>Premium</v>
          </cell>
          <cell r="V224" t="str">
            <v>Misc Formats</v>
          </cell>
          <cell r="X224" t="str">
            <v>Piramal Byculla , Mumbai</v>
          </cell>
          <cell r="AB224">
            <v>46162</v>
          </cell>
          <cell r="AC224">
            <v>46162</v>
          </cell>
          <cell r="AD224">
            <v>46169</v>
          </cell>
          <cell r="AE224">
            <v>46169</v>
          </cell>
          <cell r="AF224" t="str">
            <v>SDR DONE</v>
          </cell>
          <cell r="AG224">
            <v>2</v>
          </cell>
        </row>
        <row r="225">
          <cell r="E225" t="str">
            <v xml:space="preserve">Flame University, Pune Campus. </v>
          </cell>
          <cell r="F225" t="str">
            <v>11. HOLD</v>
          </cell>
          <cell r="K225" t="str">
            <v>W</v>
          </cell>
          <cell r="L225" t="str">
            <v>BK</v>
          </cell>
          <cell r="N225" t="str">
            <v>Jaisingh Desai</v>
          </cell>
          <cell r="O225" t="str">
            <v>Ashish M</v>
          </cell>
          <cell r="Q225" t="str">
            <v>Arju Tiwari</v>
          </cell>
          <cell r="R225" t="str">
            <v>Kiran Patil</v>
          </cell>
          <cell r="S225" t="str">
            <v>Maharashtra</v>
          </cell>
          <cell r="T225" t="str">
            <v>Pune</v>
          </cell>
          <cell r="U225" t="str">
            <v>Premium</v>
          </cell>
          <cell r="V225" t="str">
            <v>Misc Formats</v>
          </cell>
          <cell r="X225" t="str">
            <v xml:space="preserve">Flame University, Pune Campus. </v>
          </cell>
          <cell r="AB225">
            <v>46168</v>
          </cell>
          <cell r="AG225">
            <v>4</v>
          </cell>
        </row>
        <row r="226">
          <cell r="E226" t="str">
            <v>KIMS, Hospital -Thane</v>
          </cell>
          <cell r="F226" t="str">
            <v>2. ML Awaited</v>
          </cell>
          <cell r="K226" t="str">
            <v>W</v>
          </cell>
          <cell r="L226" t="str">
            <v>BK</v>
          </cell>
          <cell r="N226" t="str">
            <v>Anand Patade</v>
          </cell>
          <cell r="O226" t="str">
            <v>Sh Nitin Dawange</v>
          </cell>
          <cell r="Q226" t="str">
            <v>Arju Tiwari</v>
          </cell>
          <cell r="R226" t="str">
            <v>Kiran Patil</v>
          </cell>
          <cell r="S226" t="str">
            <v>Maharashtra</v>
          </cell>
          <cell r="T226" t="str">
            <v>Mumbai</v>
          </cell>
          <cell r="U226" t="str">
            <v>Premium</v>
          </cell>
          <cell r="V226" t="str">
            <v>Misc Formats</v>
          </cell>
          <cell r="X226" t="str">
            <v>KIMS, Hospital -Thane</v>
          </cell>
          <cell r="AB226">
            <v>46162</v>
          </cell>
          <cell r="AC226">
            <v>46162</v>
          </cell>
          <cell r="AD226">
            <v>46168</v>
          </cell>
          <cell r="AE226">
            <v>46168</v>
          </cell>
          <cell r="AF226" t="str">
            <v>SDR DONE</v>
          </cell>
          <cell r="AG226">
            <v>1</v>
          </cell>
        </row>
        <row r="227">
          <cell r="E227" t="str">
            <v>Plutonium Business Park, Turbhe</v>
          </cell>
          <cell r="F227" t="str">
            <v>2. ML Awaited</v>
          </cell>
          <cell r="K227" t="str">
            <v>W</v>
          </cell>
          <cell r="L227" t="str">
            <v>BK</v>
          </cell>
          <cell r="N227" t="str">
            <v>Anand Patade</v>
          </cell>
          <cell r="O227" t="str">
            <v>Sh Nitin Dawange</v>
          </cell>
          <cell r="Q227" t="str">
            <v>Arju Tiwari</v>
          </cell>
          <cell r="R227" t="str">
            <v>Kiran Patil</v>
          </cell>
          <cell r="S227" t="str">
            <v>Maharashtra</v>
          </cell>
          <cell r="T227" t="str">
            <v>Mumbai</v>
          </cell>
          <cell r="U227" t="str">
            <v>Premium</v>
          </cell>
          <cell r="V227" t="str">
            <v>Misc Formats</v>
          </cell>
          <cell r="X227" t="str">
            <v>Plutonium Business Park, Turbhe</v>
          </cell>
          <cell r="AB227">
            <v>46168</v>
          </cell>
          <cell r="AC227">
            <v>46171</v>
          </cell>
          <cell r="AD227">
            <v>46171</v>
          </cell>
          <cell r="AE227">
            <v>46171</v>
          </cell>
          <cell r="AF227" t="str">
            <v>SDR DONE</v>
          </cell>
          <cell r="AG227">
            <v>0</v>
          </cell>
        </row>
        <row r="228">
          <cell r="E228" t="str">
            <v>Ace Signature, Thane</v>
          </cell>
          <cell r="F228" t="str">
            <v>2. ML Awaited</v>
          </cell>
          <cell r="K228" t="str">
            <v>W</v>
          </cell>
          <cell r="L228" t="str">
            <v>BK</v>
          </cell>
          <cell r="N228" t="str">
            <v>Anand Patade</v>
          </cell>
          <cell r="O228" t="str">
            <v>Sh Nitin Dawange</v>
          </cell>
          <cell r="Q228" t="str">
            <v>Arju Tiwari</v>
          </cell>
          <cell r="R228" t="str">
            <v>Kiran Patil</v>
          </cell>
          <cell r="S228" t="str">
            <v>Maharashtra</v>
          </cell>
          <cell r="T228" t="str">
            <v>Mumbai</v>
          </cell>
          <cell r="U228" t="str">
            <v>Premium</v>
          </cell>
          <cell r="V228" t="str">
            <v>Misc Formats</v>
          </cell>
          <cell r="X228" t="str">
            <v>Ace Signature, Thane</v>
          </cell>
          <cell r="AB228">
            <v>46168</v>
          </cell>
          <cell r="AC228">
            <v>46171</v>
          </cell>
          <cell r="AD228">
            <v>46171</v>
          </cell>
          <cell r="AE228">
            <v>46171</v>
          </cell>
          <cell r="AF228" t="str">
            <v>SDR DONE</v>
          </cell>
          <cell r="AG228">
            <v>0</v>
          </cell>
        </row>
        <row r="229">
          <cell r="E229" t="str">
            <v>Mumbai Metro Station, Andheri (W), Line2A - Yellow Line</v>
          </cell>
          <cell r="F229" t="str">
            <v>2. ML Awaited</v>
          </cell>
          <cell r="K229" t="str">
            <v>W</v>
          </cell>
          <cell r="L229" t="str">
            <v>BK</v>
          </cell>
          <cell r="N229" t="str">
            <v>Anand Patade</v>
          </cell>
          <cell r="O229" t="str">
            <v>Sh Nitin Dawange</v>
          </cell>
          <cell r="Q229" t="str">
            <v>Arju Tiwari</v>
          </cell>
          <cell r="R229" t="str">
            <v>Kiran Patil</v>
          </cell>
          <cell r="S229" t="str">
            <v>Maharashtra</v>
          </cell>
          <cell r="T229" t="str">
            <v>Mumbai</v>
          </cell>
          <cell r="U229" t="str">
            <v>Premium</v>
          </cell>
          <cell r="V229" t="str">
            <v>Misc Formats</v>
          </cell>
          <cell r="X229" t="str">
            <v>Mumbai Metro Station, Andheri (W), Line2A - Yellow Line</v>
          </cell>
          <cell r="AB229">
            <v>46167</v>
          </cell>
          <cell r="AC229">
            <v>46167</v>
          </cell>
          <cell r="AD229">
            <v>46175</v>
          </cell>
          <cell r="AE229">
            <v>46175</v>
          </cell>
          <cell r="AF229" t="str">
            <v>SDR DONE</v>
          </cell>
          <cell r="AG229">
            <v>3</v>
          </cell>
          <cell r="AH229" t="str">
            <v>Details from NSO received on 1 Jun 26</v>
          </cell>
        </row>
        <row r="230">
          <cell r="E230" t="str">
            <v>Ghatkopar Line 1 Mumbai Metro Station</v>
          </cell>
          <cell r="F230" t="str">
            <v>1. SDR in Progress</v>
          </cell>
          <cell r="K230" t="str">
            <v>W</v>
          </cell>
          <cell r="L230" t="str">
            <v>BK</v>
          </cell>
          <cell r="N230" t="str">
            <v>Anand Patade</v>
          </cell>
          <cell r="O230" t="str">
            <v>Sh Nitin Dawange</v>
          </cell>
          <cell r="Q230" t="str">
            <v>Arju Tiwari</v>
          </cell>
          <cell r="R230" t="str">
            <v>Kiran Patil</v>
          </cell>
          <cell r="S230" t="str">
            <v>Maharashtra</v>
          </cell>
          <cell r="T230" t="str">
            <v>Mumbai</v>
          </cell>
          <cell r="U230" t="str">
            <v>Premium</v>
          </cell>
          <cell r="V230" t="str">
            <v>Misc Formats</v>
          </cell>
          <cell r="X230" t="str">
            <v>Ghatkopar Line 1 Mumbai Metro Station</v>
          </cell>
          <cell r="AB230">
            <v>46182</v>
          </cell>
          <cell r="AG230">
            <v>0</v>
          </cell>
        </row>
        <row r="231">
          <cell r="E231" t="str">
            <v>Saki Naka Line 1 Mumbai Metro</v>
          </cell>
          <cell r="F231" t="str">
            <v>1. SDR in Progress</v>
          </cell>
          <cell r="K231" t="str">
            <v>W</v>
          </cell>
          <cell r="L231" t="str">
            <v>BK</v>
          </cell>
          <cell r="N231" t="str">
            <v>Anand Patade</v>
          </cell>
          <cell r="O231" t="str">
            <v>Sh Nitin Dawange</v>
          </cell>
          <cell r="Q231" t="str">
            <v>Arju Tiwari</v>
          </cell>
          <cell r="R231" t="str">
            <v>Kiran Patil</v>
          </cell>
          <cell r="S231" t="str">
            <v>Maharashtra</v>
          </cell>
          <cell r="T231" t="str">
            <v>Mumbai</v>
          </cell>
          <cell r="U231" t="str">
            <v>Premium</v>
          </cell>
          <cell r="V231" t="str">
            <v>Misc Formats</v>
          </cell>
          <cell r="X231" t="str">
            <v>Saki Naka Line 1 Mumbai Metro</v>
          </cell>
          <cell r="AB231">
            <v>46182</v>
          </cell>
          <cell r="AG231">
            <v>0</v>
          </cell>
        </row>
        <row r="232">
          <cell r="E232" t="str">
            <v>Chakala Line 1 Mumbai Metro Store 2</v>
          </cell>
          <cell r="F232" t="str">
            <v>1. SDR in Progress</v>
          </cell>
          <cell r="K232" t="str">
            <v>W</v>
          </cell>
          <cell r="L232" t="str">
            <v>BK</v>
          </cell>
          <cell r="N232" t="str">
            <v>Anand Patade</v>
          </cell>
          <cell r="O232" t="str">
            <v>Sh Nitin Dawange</v>
          </cell>
          <cell r="Q232" t="str">
            <v>Arju Tiwari</v>
          </cell>
          <cell r="R232" t="str">
            <v>Kiran Patil</v>
          </cell>
          <cell r="S232" t="str">
            <v>Maharashtra</v>
          </cell>
          <cell r="T232" t="str">
            <v>Mumbai</v>
          </cell>
          <cell r="U232" t="str">
            <v>Premium</v>
          </cell>
          <cell r="V232" t="str">
            <v>Misc Formats</v>
          </cell>
          <cell r="X232" t="str">
            <v>Chakala Line 1 Mumbai Metro Store 2</v>
          </cell>
          <cell r="AB232">
            <v>46182</v>
          </cell>
          <cell r="AG232">
            <v>0</v>
          </cell>
        </row>
        <row r="233">
          <cell r="E233" t="str">
            <v>Chakala Line 1 Mumbai Metro</v>
          </cell>
          <cell r="F233" t="str">
            <v>1. SDR in Progress</v>
          </cell>
          <cell r="K233" t="str">
            <v>W</v>
          </cell>
          <cell r="L233" t="str">
            <v>BK</v>
          </cell>
          <cell r="N233" t="str">
            <v>Anand Patade</v>
          </cell>
          <cell r="O233" t="str">
            <v>Sh Nitin Dawange</v>
          </cell>
          <cell r="Q233" t="str">
            <v>Arju Tiwari</v>
          </cell>
          <cell r="R233" t="str">
            <v>Kiran Patil</v>
          </cell>
          <cell r="S233" t="str">
            <v>Maharashtra</v>
          </cell>
          <cell r="T233" t="str">
            <v>Mumbai</v>
          </cell>
          <cell r="U233" t="str">
            <v>Premium</v>
          </cell>
          <cell r="V233" t="str">
            <v>Misc Formats</v>
          </cell>
          <cell r="X233" t="str">
            <v>Chakala Line 1 Mumbai Metro</v>
          </cell>
          <cell r="AB233">
            <v>46182</v>
          </cell>
          <cell r="AG233">
            <v>0</v>
          </cell>
        </row>
        <row r="234">
          <cell r="E234" t="str">
            <v>Airport Road Line 1 Mumbai Metro Station</v>
          </cell>
          <cell r="F234" t="str">
            <v>1. SDR in Progress</v>
          </cell>
          <cell r="K234" t="str">
            <v>W</v>
          </cell>
          <cell r="L234" t="str">
            <v>BK</v>
          </cell>
          <cell r="N234" t="str">
            <v>Anand Patade</v>
          </cell>
          <cell r="O234" t="str">
            <v>Sh Nitin Dawange</v>
          </cell>
          <cell r="Q234" t="str">
            <v>Arju Tiwari</v>
          </cell>
          <cell r="R234" t="str">
            <v>Kiran Patil</v>
          </cell>
          <cell r="S234" t="str">
            <v>Maharashtra</v>
          </cell>
          <cell r="T234" t="str">
            <v>Mumbai</v>
          </cell>
          <cell r="U234" t="str">
            <v>Premium</v>
          </cell>
          <cell r="V234" t="str">
            <v>Misc Formats</v>
          </cell>
          <cell r="X234" t="str">
            <v>Airport Road Line 1 Mumbai Metro Station</v>
          </cell>
          <cell r="AB234">
            <v>46182</v>
          </cell>
          <cell r="AG234">
            <v>0</v>
          </cell>
        </row>
        <row r="235">
          <cell r="E235" t="str">
            <v>Soho Shop No 2,3 , Shastri Nagar, Pune</v>
          </cell>
          <cell r="F235" t="str">
            <v>1. SDR in Progress</v>
          </cell>
          <cell r="K235" t="str">
            <v>W</v>
          </cell>
          <cell r="L235" t="str">
            <v>BK</v>
          </cell>
          <cell r="N235" t="str">
            <v>Jaisingh Desai</v>
          </cell>
          <cell r="O235" t="str">
            <v>Ashish M</v>
          </cell>
          <cell r="Q235" t="str">
            <v>Arju Tiwari</v>
          </cell>
          <cell r="R235" t="str">
            <v>Kiran Patil</v>
          </cell>
          <cell r="S235" t="str">
            <v>Maharashtra</v>
          </cell>
          <cell r="T235" t="str">
            <v>Pune</v>
          </cell>
          <cell r="U235" t="str">
            <v>Premium</v>
          </cell>
          <cell r="V235" t="str">
            <v>Misc Formats</v>
          </cell>
          <cell r="X235" t="str">
            <v>Soho Shop No 2,3 , Shastri Nagar, Pune</v>
          </cell>
          <cell r="AB235">
            <v>46181</v>
          </cell>
          <cell r="AG235">
            <v>0</v>
          </cell>
        </row>
        <row r="236">
          <cell r="E236" t="str">
            <v>Hermes Complex, Shastri Nagar, Pune</v>
          </cell>
          <cell r="F236" t="str">
            <v>1. SDR in Progress</v>
          </cell>
          <cell r="K236" t="str">
            <v>W</v>
          </cell>
          <cell r="L236" t="str">
            <v>BK</v>
          </cell>
          <cell r="N236" t="str">
            <v>Jaisingh Desai</v>
          </cell>
          <cell r="O236" t="str">
            <v>Ashish M</v>
          </cell>
          <cell r="Q236" t="str">
            <v>Arju Tiwari</v>
          </cell>
          <cell r="R236" t="str">
            <v>Kiran Patil</v>
          </cell>
          <cell r="S236" t="str">
            <v>Maharashtra</v>
          </cell>
          <cell r="T236" t="str">
            <v>Pune</v>
          </cell>
          <cell r="U236" t="str">
            <v>Premium</v>
          </cell>
          <cell r="V236" t="str">
            <v>Misc Formats</v>
          </cell>
          <cell r="X236" t="str">
            <v>Hermes Complex, Shastri Nagar, Pune</v>
          </cell>
          <cell r="AB236">
            <v>46181</v>
          </cell>
          <cell r="AG236">
            <v>0</v>
          </cell>
        </row>
        <row r="237">
          <cell r="E237" t="str">
            <v xml:space="preserve">VI Store, Ratan Height, Mahim </v>
          </cell>
          <cell r="F237" t="str">
            <v>1. SDR in Progress</v>
          </cell>
          <cell r="K237" t="str">
            <v>W</v>
          </cell>
          <cell r="L237" t="str">
            <v>BK</v>
          </cell>
          <cell r="N237" t="str">
            <v>Anand Patade</v>
          </cell>
          <cell r="O237" t="str">
            <v>Sh Nitin Dawange</v>
          </cell>
          <cell r="Q237" t="str">
            <v>Arju Tiwari</v>
          </cell>
          <cell r="R237" t="str">
            <v>Kiran Patil</v>
          </cell>
          <cell r="S237" t="str">
            <v>Maharashtra</v>
          </cell>
          <cell r="T237" t="str">
            <v>Mumbai</v>
          </cell>
          <cell r="U237" t="str">
            <v>Premium</v>
          </cell>
          <cell r="V237" t="str">
            <v>Misc Formats</v>
          </cell>
          <cell r="X237" t="str">
            <v xml:space="preserve">VI Store, Ratan Height, Mahim </v>
          </cell>
          <cell r="AB237">
            <v>46183</v>
          </cell>
          <cell r="AG237">
            <v>0</v>
          </cell>
        </row>
        <row r="238">
          <cell r="E238" t="str">
            <v>God Gift, LJ Road, Mahim</v>
          </cell>
          <cell r="F238" t="str">
            <v>1. SDR in Progress</v>
          </cell>
          <cell r="K238" t="str">
            <v>W</v>
          </cell>
          <cell r="L238" t="str">
            <v>BK</v>
          </cell>
          <cell r="N238" t="str">
            <v>Anand Patade</v>
          </cell>
          <cell r="O238" t="str">
            <v>Sh Nitin Dawange</v>
          </cell>
          <cell r="Q238" t="str">
            <v>Arju Tiwari</v>
          </cell>
          <cell r="R238" t="str">
            <v>Kiran Patil</v>
          </cell>
          <cell r="S238" t="str">
            <v>Maharashtra</v>
          </cell>
          <cell r="T238" t="str">
            <v>Mumbai</v>
          </cell>
          <cell r="U238" t="str">
            <v>Premium</v>
          </cell>
          <cell r="V238" t="str">
            <v>Misc Formats</v>
          </cell>
          <cell r="X238" t="str">
            <v>God Gift, LJ Road, Mahim</v>
          </cell>
          <cell r="AB238">
            <v>46183</v>
          </cell>
          <cell r="AG238">
            <v>0</v>
          </cell>
        </row>
        <row r="239">
          <cell r="E239" t="str">
            <v>Queens Lawn CHS, Vile Parle</v>
          </cell>
          <cell r="F239" t="str">
            <v>1. SDR in Progress</v>
          </cell>
          <cell r="K239" t="str">
            <v>W</v>
          </cell>
          <cell r="L239" t="str">
            <v>BK</v>
          </cell>
          <cell r="N239" t="str">
            <v>Anand Patade</v>
          </cell>
          <cell r="O239" t="str">
            <v>Sh Nitin Dawange</v>
          </cell>
          <cell r="Q239" t="str">
            <v>Arju Tiwari</v>
          </cell>
          <cell r="R239" t="str">
            <v>Kiran Patil</v>
          </cell>
          <cell r="S239" t="str">
            <v>Maharashtra</v>
          </cell>
          <cell r="T239" t="str">
            <v>Mumbai</v>
          </cell>
          <cell r="U239" t="str">
            <v>Premium</v>
          </cell>
          <cell r="V239" t="str">
            <v>Misc Formats</v>
          </cell>
          <cell r="X239" t="str">
            <v>Queens Lawn CHS, Vile Parle</v>
          </cell>
          <cell r="AB239">
            <v>46183</v>
          </cell>
          <cell r="AG239">
            <v>0</v>
          </cell>
        </row>
        <row r="240">
          <cell r="E240" t="str">
            <v>VTP Atherus, Mahalunge, Pune</v>
          </cell>
          <cell r="F240" t="str">
            <v>1. SDR in Progress</v>
          </cell>
          <cell r="K240" t="str">
            <v>W</v>
          </cell>
          <cell r="L240" t="str">
            <v>BK</v>
          </cell>
          <cell r="N240" t="str">
            <v>Anand Patade</v>
          </cell>
          <cell r="O240" t="str">
            <v>Sh Nitin Dawange</v>
          </cell>
          <cell r="Q240" t="str">
            <v>Arju Tiwari</v>
          </cell>
          <cell r="R240" t="str">
            <v>Kiran Patil</v>
          </cell>
          <cell r="S240" t="str">
            <v>Maharashtra</v>
          </cell>
          <cell r="T240" t="str">
            <v>Mumbai</v>
          </cell>
          <cell r="U240" t="str">
            <v>Premium</v>
          </cell>
          <cell r="V240" t="str">
            <v>Misc Formats</v>
          </cell>
          <cell r="X240" t="str">
            <v>VTP Atherus, Mahalunge, Pune</v>
          </cell>
          <cell r="AB240">
            <v>46184</v>
          </cell>
          <cell r="AG240">
            <v>0</v>
          </cell>
        </row>
        <row r="241">
          <cell r="E241" t="str">
            <v>GF Plot No 4 5 Plot No 15 2  , Tehsil &amp; Dist Bilaspur , Ward No 9 Jarhabhata  , BILASPUR , 495001</v>
          </cell>
          <cell r="F241" t="str">
            <v>10. Launched</v>
          </cell>
          <cell r="G241" t="str">
            <v>SPCGBIB3292</v>
          </cell>
          <cell r="H241" t="str">
            <v>MP-SM-BIL-3004</v>
          </cell>
          <cell r="I241" t="str">
            <v>TYHY</v>
          </cell>
          <cell r="J241" t="str">
            <v>QBNO</v>
          </cell>
          <cell r="K241" t="str">
            <v>W</v>
          </cell>
          <cell r="L241" t="str">
            <v>KC</v>
          </cell>
          <cell r="M241" t="str">
            <v>EPC Ready</v>
          </cell>
          <cell r="P241" t="str">
            <v>Vivek Surjagade-9770016041</v>
          </cell>
          <cell r="Q241" t="str">
            <v>Gaurav Shinde</v>
          </cell>
          <cell r="S241" t="str">
            <v>Chattisgarh</v>
          </cell>
          <cell r="T241" t="str">
            <v>Bilaspur</v>
          </cell>
          <cell r="U241" t="str">
            <v>Non Premium</v>
          </cell>
          <cell r="V241" t="str">
            <v>Pharma Format</v>
          </cell>
          <cell r="W241">
            <v>400</v>
          </cell>
          <cell r="X241" t="str">
            <v>GF Plot No 4 5 Plot No 15 2  , Tehsil &amp; Dist Bilaspur , Ward No 9 Jarhabhata  , BILASPUR , 495001</v>
          </cell>
          <cell r="Y241">
            <v>45104</v>
          </cell>
          <cell r="Z241" t="str">
            <v>NA</v>
          </cell>
          <cell r="AB241" t="str">
            <v>NA</v>
          </cell>
          <cell r="AF241" t="str">
            <v>NA</v>
          </cell>
          <cell r="AK241">
            <v>45133</v>
          </cell>
          <cell r="AL241" t="str">
            <v>Received</v>
          </cell>
          <cell r="AM241">
            <v>45128</v>
          </cell>
          <cell r="AO241">
            <v>3</v>
          </cell>
          <cell r="AS241">
            <v>-3</v>
          </cell>
          <cell r="AU241">
            <v>4</v>
          </cell>
          <cell r="AY241">
            <v>-4</v>
          </cell>
          <cell r="BA241">
            <v>5</v>
          </cell>
          <cell r="BE241">
            <v>-5</v>
          </cell>
          <cell r="BG241">
            <v>5</v>
          </cell>
          <cell r="BK241">
            <v>-5</v>
          </cell>
          <cell r="BM241">
            <v>3</v>
          </cell>
          <cell r="BW241" t="str">
            <v>Done</v>
          </cell>
          <cell r="BX241">
            <v>45079</v>
          </cell>
          <cell r="BY241" t="str">
            <v>Approved</v>
          </cell>
          <cell r="CD241">
            <v>45103</v>
          </cell>
          <cell r="CE241">
            <v>45110</v>
          </cell>
          <cell r="CG241" t="str">
            <v>M/s VAIBHAVI ENTERPRISES</v>
          </cell>
          <cell r="CI241" t="str">
            <v>Issued</v>
          </cell>
          <cell r="DG241" t="str">
            <v>Netmed SDP - Not in Dead Rental</v>
          </cell>
          <cell r="DK241">
            <v>45130</v>
          </cell>
          <cell r="DL241">
            <v>45105</v>
          </cell>
          <cell r="DM241">
            <v>2</v>
          </cell>
          <cell r="DN241" t="str">
            <v>0 to 3 Days</v>
          </cell>
          <cell r="DP241">
            <v>45113</v>
          </cell>
          <cell r="DQ241">
            <v>45132</v>
          </cell>
          <cell r="DR241">
            <v>7</v>
          </cell>
          <cell r="DS241">
            <v>7</v>
          </cell>
          <cell r="DU241">
            <v>45139</v>
          </cell>
          <cell r="DV241">
            <v>45120</v>
          </cell>
          <cell r="DW241">
            <v>45139</v>
          </cell>
          <cell r="DX241" t="str">
            <v>Aug 23 Week 1</v>
          </cell>
          <cell r="DY241">
            <v>45120</v>
          </cell>
          <cell r="DZ241">
            <v>45150</v>
          </cell>
          <cell r="EA241" t="str">
            <v>Aug 23 Week 2</v>
          </cell>
          <cell r="EB241" t="str">
            <v>Backlog</v>
          </cell>
          <cell r="ED241" t="str">
            <v/>
          </cell>
          <cell r="EE241" t="str">
            <v/>
          </cell>
          <cell r="EF241">
            <v>1</v>
          </cell>
          <cell r="EG241">
            <v>1</v>
          </cell>
          <cell r="FD241">
            <v>11</v>
          </cell>
          <cell r="FE241" t="str">
            <v>8 to 15 Days</v>
          </cell>
          <cell r="FF241">
            <v>30</v>
          </cell>
          <cell r="FG241" t="str">
            <v>16 to 31 Days</v>
          </cell>
          <cell r="FH241" t="str">
            <v>Done</v>
          </cell>
          <cell r="FI241" t="str">
            <v>Done</v>
          </cell>
          <cell r="FJ241" t="str">
            <v>NA</v>
          </cell>
          <cell r="FK241">
            <v>45219</v>
          </cell>
          <cell r="FM241" t="str">
            <v/>
          </cell>
          <cell r="GA241">
            <v>45163</v>
          </cell>
          <cell r="GC241">
            <v>45140</v>
          </cell>
          <cell r="GG241" t="str">
            <v>2023-2024</v>
          </cell>
        </row>
        <row r="242">
          <cell r="E242" t="str">
            <v>GF, Mouza- Urwa, Thana no 321  , Plot no 2976, Anchal Chandwara , Thana Chandwara, Khata no 24 , Dist Koderma , JHUMRI TILAIYA , 825413</v>
          </cell>
          <cell r="F242" t="str">
            <v>10. Launched</v>
          </cell>
          <cell r="G242" t="str">
            <v>SPJHKOC3311</v>
          </cell>
          <cell r="H242" t="str">
            <v>JH-SM-JMR-3001</v>
          </cell>
          <cell r="I242" t="str">
            <v>TYFB</v>
          </cell>
          <cell r="J242" t="str">
            <v>QBKU</v>
          </cell>
          <cell r="K242" t="str">
            <v xml:space="preserve">E </v>
          </cell>
          <cell r="L242" t="str">
            <v>AK</v>
          </cell>
          <cell r="M242" t="str">
            <v>EPC Ready</v>
          </cell>
          <cell r="P242" t="str">
            <v>Mr. Amal Gopal Dey-9558811809</v>
          </cell>
          <cell r="Q242" t="str">
            <v>Gaurav Shinde</v>
          </cell>
          <cell r="S242" t="str">
            <v>Jharkhand</v>
          </cell>
          <cell r="T242" t="str">
            <v>JHUMRI TILAIYA</v>
          </cell>
          <cell r="U242" t="str">
            <v>Non Premium</v>
          </cell>
          <cell r="V242" t="str">
            <v>Pharma Format</v>
          </cell>
          <cell r="W242">
            <v>395</v>
          </cell>
          <cell r="X242" t="str">
            <v>GF, Mouza- Urwa, Thana no 321  , Plot no 2976, Anchal Chandwara , Thana Chandwara, Khata no 24 , Dist Koderma , JHUMRI TILAIYA , 825413</v>
          </cell>
          <cell r="Y242">
            <v>45104</v>
          </cell>
          <cell r="Z242" t="str">
            <v>NA</v>
          </cell>
          <cell r="AB242" t="str">
            <v>NA</v>
          </cell>
          <cell r="AF242" t="str">
            <v>NA</v>
          </cell>
          <cell r="AK242">
            <v>45090</v>
          </cell>
          <cell r="AL242" t="str">
            <v>Received</v>
          </cell>
          <cell r="AM242">
            <v>45085</v>
          </cell>
          <cell r="AO242">
            <v>3</v>
          </cell>
          <cell r="AS242">
            <v>-3</v>
          </cell>
          <cell r="AU242">
            <v>4</v>
          </cell>
          <cell r="AY242">
            <v>-4</v>
          </cell>
          <cell r="BA242">
            <v>5</v>
          </cell>
          <cell r="BE242">
            <v>-5</v>
          </cell>
          <cell r="BG242">
            <v>5</v>
          </cell>
          <cell r="BK242">
            <v>-5</v>
          </cell>
          <cell r="BM242">
            <v>3</v>
          </cell>
          <cell r="BW242" t="str">
            <v>Done</v>
          </cell>
          <cell r="BX242">
            <v>45079</v>
          </cell>
          <cell r="BY242" t="str">
            <v>Approved</v>
          </cell>
          <cell r="CD242">
            <v>45103</v>
          </cell>
          <cell r="CE242">
            <v>45112</v>
          </cell>
          <cell r="CG242" t="str">
            <v>M/S VISHWAKARMA ENGINEERING</v>
          </cell>
          <cell r="CI242" t="str">
            <v>Issued</v>
          </cell>
          <cell r="DG242" t="str">
            <v>Netmed SDP - Not in Dead Rental</v>
          </cell>
          <cell r="DK242">
            <v>45129</v>
          </cell>
          <cell r="DM242">
            <v>2</v>
          </cell>
          <cell r="DN242" t="str">
            <v>0 to 3 Days</v>
          </cell>
          <cell r="DP242">
            <v>45115</v>
          </cell>
          <cell r="DQ242">
            <v>45131</v>
          </cell>
          <cell r="DR242">
            <v>7</v>
          </cell>
          <cell r="DS242">
            <v>7</v>
          </cell>
          <cell r="DU242">
            <v>45138</v>
          </cell>
          <cell r="DV242">
            <v>45122</v>
          </cell>
          <cell r="DW242">
            <v>45138</v>
          </cell>
          <cell r="DX242" t="str">
            <v>July 23 Week 5</v>
          </cell>
          <cell r="DY242">
            <v>45137</v>
          </cell>
          <cell r="DZ242">
            <v>45136</v>
          </cell>
          <cell r="EA242" t="str">
            <v>July 23 Week 5</v>
          </cell>
          <cell r="EB242" t="str">
            <v>Plan</v>
          </cell>
          <cell r="ED242" t="str">
            <v/>
          </cell>
          <cell r="EE242" t="str">
            <v/>
          </cell>
          <cell r="EF242">
            <v>1</v>
          </cell>
          <cell r="EG242">
            <v>1</v>
          </cell>
          <cell r="FD242">
            <v>-2</v>
          </cell>
          <cell r="FE242" t="str">
            <v>On Time</v>
          </cell>
          <cell r="FF242">
            <v>14</v>
          </cell>
          <cell r="FG242" t="str">
            <v>8 to 15 Days</v>
          </cell>
          <cell r="FH242" t="str">
            <v>Done</v>
          </cell>
          <cell r="FI242" t="str">
            <v>Done</v>
          </cell>
          <cell r="FJ242" t="str">
            <v>NA</v>
          </cell>
          <cell r="FK242">
            <v>45138</v>
          </cell>
          <cell r="FM242" t="str">
            <v/>
          </cell>
          <cell r="GA242">
            <v>45139</v>
          </cell>
          <cell r="GC242">
            <v>45131</v>
          </cell>
          <cell r="GG242" t="str">
            <v>2023-2024</v>
          </cell>
        </row>
        <row r="243">
          <cell r="E243" t="str">
            <v>Shamita Towers D No 1 10 6 3 Sriram Nagr  , Godavari Dist , Bhanugudi Center Kakinada East  , KAKINADA , 533003</v>
          </cell>
          <cell r="F243" t="str">
            <v>9. EPC Ready</v>
          </cell>
          <cell r="G243" t="str">
            <v>SPAPKAB3877</v>
          </cell>
          <cell r="H243" t="str">
            <v>AP-SM-KAK-3004</v>
          </cell>
          <cell r="I243" t="str">
            <v>TYOJ</v>
          </cell>
          <cell r="J243" t="str">
            <v>QBVM</v>
          </cell>
          <cell r="K243" t="str">
            <v xml:space="preserve">E </v>
          </cell>
          <cell r="L243" t="str">
            <v>JD</v>
          </cell>
          <cell r="M243" t="str">
            <v>EPC Ready</v>
          </cell>
          <cell r="N243" t="str">
            <v>Jaisingh Desai</v>
          </cell>
          <cell r="P243" t="str">
            <v>Mr. Chandrashekhar-6361753671</v>
          </cell>
          <cell r="Q243" t="str">
            <v>Gaurav Shinde</v>
          </cell>
          <cell r="S243" t="str">
            <v>Andhra Pradesh</v>
          </cell>
          <cell r="T243" t="str">
            <v>Kakinada</v>
          </cell>
          <cell r="U243" t="str">
            <v>Non Premium</v>
          </cell>
          <cell r="V243" t="str">
            <v>Pharma Format</v>
          </cell>
          <cell r="W243">
            <v>400</v>
          </cell>
          <cell r="X243" t="str">
            <v>Shamita Towers D No 1 10 6 3 Sriram Nagr  , Godavari Dist , Bhanugudi Center Kakinada East  , KAKINADA , 533003</v>
          </cell>
          <cell r="Y243">
            <v>45104</v>
          </cell>
          <cell r="Z243" t="str">
            <v>NA</v>
          </cell>
          <cell r="AB243" t="str">
            <v>NA</v>
          </cell>
          <cell r="AF243" t="str">
            <v>NA</v>
          </cell>
          <cell r="AK243">
            <v>45136</v>
          </cell>
          <cell r="AL243" t="str">
            <v>Received</v>
          </cell>
          <cell r="AM243">
            <v>45131</v>
          </cell>
          <cell r="AO243">
            <v>3</v>
          </cell>
          <cell r="AS243">
            <v>-3</v>
          </cell>
          <cell r="AU243">
            <v>4</v>
          </cell>
          <cell r="AY243">
            <v>-4</v>
          </cell>
          <cell r="BA243">
            <v>5</v>
          </cell>
          <cell r="BE243">
            <v>-5</v>
          </cell>
          <cell r="BG243">
            <v>5</v>
          </cell>
          <cell r="BK243">
            <v>-5</v>
          </cell>
          <cell r="BM243">
            <v>3</v>
          </cell>
          <cell r="BP243">
            <v>3</v>
          </cell>
          <cell r="BW243" t="str">
            <v>Done</v>
          </cell>
          <cell r="BX243">
            <v>45079</v>
          </cell>
          <cell r="BY243" t="str">
            <v>Approved</v>
          </cell>
          <cell r="CD243">
            <v>45103</v>
          </cell>
          <cell r="CE243">
            <v>45118</v>
          </cell>
          <cell r="CG243" t="str">
            <v>M/S INFINITY AUTOMATION SOLUTIONS</v>
          </cell>
          <cell r="CI243" t="str">
            <v>Issued</v>
          </cell>
          <cell r="DG243" t="str">
            <v>Netmed SDP - Not in Dead Rental</v>
          </cell>
          <cell r="DK243">
            <v>45131</v>
          </cell>
          <cell r="DM243">
            <v>2</v>
          </cell>
          <cell r="DN243" t="str">
            <v>0 to 3 Days</v>
          </cell>
          <cell r="DP243">
            <v>45121</v>
          </cell>
          <cell r="DQ243">
            <v>45133</v>
          </cell>
          <cell r="DR243">
            <v>7</v>
          </cell>
          <cell r="DS243">
            <v>7</v>
          </cell>
          <cell r="DU243">
            <v>45140</v>
          </cell>
          <cell r="DV243">
            <v>45128</v>
          </cell>
          <cell r="DW243">
            <v>45140</v>
          </cell>
          <cell r="DX243" t="str">
            <v>Aug 23 Week 1</v>
          </cell>
          <cell r="DY243">
            <v>45137</v>
          </cell>
          <cell r="DZ243">
            <v>45138</v>
          </cell>
          <cell r="EA243" t="str">
            <v>July 23 Week 5</v>
          </cell>
          <cell r="EB243" t="str">
            <v>Plan</v>
          </cell>
          <cell r="ED243" t="str">
            <v/>
          </cell>
          <cell r="EE243" t="str">
            <v/>
          </cell>
          <cell r="EF243">
            <v>1</v>
          </cell>
          <cell r="EG243">
            <v>1</v>
          </cell>
          <cell r="FD243">
            <v>-2</v>
          </cell>
          <cell r="FE243" t="str">
            <v>On Time</v>
          </cell>
          <cell r="FF243">
            <v>10</v>
          </cell>
          <cell r="FG243" t="str">
            <v>8 to 15 Days</v>
          </cell>
          <cell r="FH243" t="str">
            <v>Done</v>
          </cell>
          <cell r="FI243" t="str">
            <v>Done</v>
          </cell>
          <cell r="FJ243" t="str">
            <v>NA</v>
          </cell>
          <cell r="FK243">
            <v>45159</v>
          </cell>
          <cell r="FM243" t="str">
            <v/>
          </cell>
          <cell r="GA243">
            <v>45142</v>
          </cell>
          <cell r="GC243">
            <v>45133</v>
          </cell>
          <cell r="GG243" t="str">
            <v>2023-2024</v>
          </cell>
        </row>
        <row r="244">
          <cell r="E244" t="str">
            <v>GF Patta No 550 Ward No 08 23  , Suratgarh Shri Ganganagar , Bhadoper Road Peeple Chowk  , SURATGARH , 335804</v>
          </cell>
          <cell r="F244" t="str">
            <v>9. EPC Ready</v>
          </cell>
          <cell r="G244" t="str">
            <v>SPRJGAG4168</v>
          </cell>
          <cell r="H244" t="str">
            <v>RJ-SM-SRG-3000</v>
          </cell>
          <cell r="I244" t="str">
            <v>TYN9</v>
          </cell>
          <cell r="J244" t="str">
            <v>QB9J</v>
          </cell>
          <cell r="K244" t="str">
            <v xml:space="preserve">N </v>
          </cell>
          <cell r="L244" t="str">
            <v>KC</v>
          </cell>
          <cell r="M244" t="str">
            <v>EPC Ready</v>
          </cell>
          <cell r="P244" t="str">
            <v>Sujeet Kumar - 9631476696/Haresh Patil</v>
          </cell>
          <cell r="Q244" t="str">
            <v>Gaurav Shinde</v>
          </cell>
          <cell r="S244" t="str">
            <v>Rajasthan</v>
          </cell>
          <cell r="T244" t="str">
            <v>Suratgarh</v>
          </cell>
          <cell r="U244" t="str">
            <v>Non Premium</v>
          </cell>
          <cell r="V244" t="str">
            <v>Pharma Format</v>
          </cell>
          <cell r="W244">
            <v>400</v>
          </cell>
          <cell r="X244" t="str">
            <v>GF Patta No 550 Ward No 08 23  , Suratgarh Shri Ganganagar , Bhadoper Road Peeple Chowk  , SURATGARH , 335804</v>
          </cell>
          <cell r="Y244">
            <v>45104</v>
          </cell>
          <cell r="Z244" t="str">
            <v>NA</v>
          </cell>
          <cell r="AB244" t="str">
            <v>NA</v>
          </cell>
          <cell r="AF244" t="str">
            <v>NA</v>
          </cell>
          <cell r="AK244">
            <v>45138</v>
          </cell>
          <cell r="AL244" t="str">
            <v>Received</v>
          </cell>
          <cell r="AM244">
            <v>45133</v>
          </cell>
          <cell r="AO244">
            <v>3</v>
          </cell>
          <cell r="AS244">
            <v>-3</v>
          </cell>
          <cell r="AU244">
            <v>4</v>
          </cell>
          <cell r="AY244">
            <v>-4</v>
          </cell>
          <cell r="BA244">
            <v>5</v>
          </cell>
          <cell r="BE244">
            <v>-5</v>
          </cell>
          <cell r="BG244">
            <v>5</v>
          </cell>
          <cell r="BK244">
            <v>-5</v>
          </cell>
          <cell r="BM244">
            <v>3</v>
          </cell>
          <cell r="BP244">
            <v>3</v>
          </cell>
          <cell r="BW244" t="str">
            <v>Done</v>
          </cell>
          <cell r="BX244">
            <v>45079</v>
          </cell>
          <cell r="BY244" t="str">
            <v>Approved</v>
          </cell>
          <cell r="CD244">
            <v>45103</v>
          </cell>
          <cell r="CE244">
            <v>45113</v>
          </cell>
          <cell r="CG244" t="str">
            <v>Shri Brothers Interiors</v>
          </cell>
          <cell r="CI244" t="str">
            <v>Issued</v>
          </cell>
          <cell r="DG244" t="str">
            <v>Netmed SDP - Not in Dead Rental</v>
          </cell>
          <cell r="DK244">
            <v>45130</v>
          </cell>
          <cell r="DL244">
            <v>45166</v>
          </cell>
          <cell r="DM244">
            <v>2</v>
          </cell>
          <cell r="DN244" t="str">
            <v>0 to 3 Days</v>
          </cell>
          <cell r="DP244">
            <v>45116</v>
          </cell>
          <cell r="DQ244">
            <v>45132</v>
          </cell>
          <cell r="DR244">
            <v>7</v>
          </cell>
          <cell r="DS244">
            <v>7</v>
          </cell>
          <cell r="DU244">
            <v>45139</v>
          </cell>
          <cell r="DV244">
            <v>45123</v>
          </cell>
          <cell r="DW244">
            <v>45139</v>
          </cell>
          <cell r="DX244" t="str">
            <v>Aug 23 Week 1</v>
          </cell>
          <cell r="DY244">
            <v>45148</v>
          </cell>
          <cell r="DZ244">
            <v>45143</v>
          </cell>
          <cell r="EA244" t="str">
            <v>Aug 23 Week 1</v>
          </cell>
          <cell r="EB244" t="str">
            <v>Backlog</v>
          </cell>
          <cell r="ED244" t="str">
            <v/>
          </cell>
          <cell r="EE244" t="str">
            <v/>
          </cell>
          <cell r="EF244">
            <v>1</v>
          </cell>
          <cell r="EG244">
            <v>1</v>
          </cell>
          <cell r="FD244">
            <v>4</v>
          </cell>
          <cell r="FE244" t="str">
            <v>4 to 7 Days</v>
          </cell>
          <cell r="FF244">
            <v>20</v>
          </cell>
          <cell r="FG244" t="str">
            <v>16 to 31 Days</v>
          </cell>
          <cell r="FH244" t="str">
            <v>Done</v>
          </cell>
          <cell r="FI244" t="str">
            <v>Done</v>
          </cell>
          <cell r="FJ244" t="str">
            <v>NA</v>
          </cell>
          <cell r="FK244">
            <v>45271</v>
          </cell>
          <cell r="FM244" t="str">
            <v/>
          </cell>
          <cell r="GA244">
            <v>45142</v>
          </cell>
          <cell r="GC244">
            <v>45138</v>
          </cell>
          <cell r="GG244" t="str">
            <v>2023-2024</v>
          </cell>
        </row>
        <row r="245">
          <cell r="E245" t="str">
            <v>Main Road</v>
          </cell>
          <cell r="F245" t="str">
            <v>10. Launched</v>
          </cell>
          <cell r="G245" t="str">
            <v>SPJHSEM3847</v>
          </cell>
          <cell r="H245" t="str">
            <v>JH-SM-SNH-3000</v>
          </cell>
          <cell r="I245" t="str">
            <v>TYUG</v>
          </cell>
          <cell r="J245" t="str">
            <v>QB2K</v>
          </cell>
          <cell r="K245" t="str">
            <v xml:space="preserve">E </v>
          </cell>
          <cell r="L245" t="str">
            <v>AK</v>
          </cell>
          <cell r="M245" t="str">
            <v>EPC Ready</v>
          </cell>
          <cell r="P245" t="str">
            <v>Mr. Amal Gopal Dey-9558811809</v>
          </cell>
          <cell r="Q245" t="str">
            <v>Gaurav Shinde</v>
          </cell>
          <cell r="S245" t="str">
            <v>Jharkhand</v>
          </cell>
          <cell r="T245" t="str">
            <v>Senha</v>
          </cell>
          <cell r="U245" t="str">
            <v>Non Premium</v>
          </cell>
          <cell r="V245" t="str">
            <v>Pharma Format</v>
          </cell>
          <cell r="W245">
            <v>400</v>
          </cell>
          <cell r="X245" t="str">
            <v>Main Road</v>
          </cell>
          <cell r="Z245" t="str">
            <v>NA</v>
          </cell>
          <cell r="AB245" t="str">
            <v>NA</v>
          </cell>
          <cell r="AF245" t="str">
            <v>NA</v>
          </cell>
          <cell r="AL245" t="str">
            <v>Received</v>
          </cell>
          <cell r="AM245">
            <v>46116</v>
          </cell>
          <cell r="AO245">
            <v>3</v>
          </cell>
          <cell r="AS245">
            <v>-3</v>
          </cell>
          <cell r="AU245">
            <v>4</v>
          </cell>
          <cell r="AY245">
            <v>-4</v>
          </cell>
          <cell r="BA245">
            <v>5</v>
          </cell>
          <cell r="BE245">
            <v>-5</v>
          </cell>
          <cell r="BG245">
            <v>5</v>
          </cell>
          <cell r="BK245">
            <v>-5</v>
          </cell>
          <cell r="BM245">
            <v>3</v>
          </cell>
          <cell r="BP245">
            <v>3</v>
          </cell>
          <cell r="BW245" t="str">
            <v>Done</v>
          </cell>
          <cell r="BX245">
            <v>45079</v>
          </cell>
          <cell r="BY245" t="str">
            <v>Approved</v>
          </cell>
          <cell r="CD245">
            <v>45103</v>
          </cell>
          <cell r="CE245">
            <v>45112</v>
          </cell>
          <cell r="CG245" t="str">
            <v>M/S SK ENTERPRISE</v>
          </cell>
          <cell r="CI245" t="str">
            <v>Issued</v>
          </cell>
          <cell r="DG245" t="str">
            <v>Netmed SDP - Not in Dead Rental</v>
          </cell>
          <cell r="DK245">
            <v>45133</v>
          </cell>
          <cell r="DL245">
            <v>45107</v>
          </cell>
          <cell r="DM245">
            <v>2</v>
          </cell>
          <cell r="DN245" t="str">
            <v>0 to 3 Days</v>
          </cell>
          <cell r="DP245">
            <v>45115</v>
          </cell>
          <cell r="DQ245">
            <v>45135</v>
          </cell>
          <cell r="DR245">
            <v>7</v>
          </cell>
          <cell r="DS245">
            <v>7</v>
          </cell>
          <cell r="DU245">
            <v>45142</v>
          </cell>
          <cell r="DV245">
            <v>45122</v>
          </cell>
          <cell r="DW245">
            <v>45142</v>
          </cell>
          <cell r="DX245" t="str">
            <v>Aug 23 Week 1</v>
          </cell>
          <cell r="DY245">
            <v>45153</v>
          </cell>
          <cell r="DZ245">
            <v>45155</v>
          </cell>
          <cell r="EA245" t="str">
            <v>Aug 23 Week 3</v>
          </cell>
          <cell r="EB245" t="str">
            <v>Backlog</v>
          </cell>
          <cell r="ED245" t="str">
            <v/>
          </cell>
          <cell r="EE245" t="str">
            <v/>
          </cell>
          <cell r="EF245">
            <v>1</v>
          </cell>
          <cell r="EG245">
            <v>1</v>
          </cell>
          <cell r="FD245">
            <v>13</v>
          </cell>
          <cell r="FE245" t="str">
            <v>8 to 15 Days</v>
          </cell>
          <cell r="FF245">
            <v>33</v>
          </cell>
          <cell r="FG245" t="str">
            <v>31 to 61 Days</v>
          </cell>
          <cell r="FH245" t="str">
            <v>Done</v>
          </cell>
          <cell r="FI245" t="str">
            <v>Done</v>
          </cell>
          <cell r="FJ245" t="str">
            <v>NA</v>
          </cell>
          <cell r="FK245">
            <v>45159</v>
          </cell>
          <cell r="FM245" t="str">
            <v/>
          </cell>
          <cell r="GA245">
            <v>45155</v>
          </cell>
          <cell r="GC245">
            <v>45135</v>
          </cell>
          <cell r="GG245" t="str">
            <v>2023-2024</v>
          </cell>
        </row>
        <row r="246">
          <cell r="E246" t="str">
            <v>GF RB Soni Complex Plot No.1903  , Village - Balia PS &amp; Dist - Begusari , Khata No. 647 Revenue Thana No. 627  , Lakhminiya(Balia Bazar) , 851211</v>
          </cell>
          <cell r="F246" t="str">
            <v>9. EPC Ready</v>
          </cell>
          <cell r="G246" t="str">
            <v>SPBHLAB3429</v>
          </cell>
          <cell r="H246" t="str">
            <v>BH-SM-LKY-3000</v>
          </cell>
          <cell r="I246" t="str">
            <v>TYIM</v>
          </cell>
          <cell r="J246" t="str">
            <v>QBOL</v>
          </cell>
          <cell r="K246" t="str">
            <v xml:space="preserve">E </v>
          </cell>
          <cell r="L246" t="str">
            <v>AK</v>
          </cell>
          <cell r="M246" t="str">
            <v>EPC Ready</v>
          </cell>
          <cell r="P246" t="str">
            <v>Mr. Avinandan Kumar-6201750418</v>
          </cell>
          <cell r="Q246" t="str">
            <v>Gaurav Shinde</v>
          </cell>
          <cell r="S246" t="str">
            <v>Bihar</v>
          </cell>
          <cell r="T246" t="str">
            <v>Balia</v>
          </cell>
          <cell r="U246" t="str">
            <v>Non Premium</v>
          </cell>
          <cell r="V246" t="str">
            <v>Pharma Format</v>
          </cell>
          <cell r="W246">
            <v>400</v>
          </cell>
          <cell r="X246" t="str">
            <v>GF RB Soni Complex Plot No.1903  , Village - Balia PS &amp; Dist - Begusari , Khata No. 647 Revenue Thana No. 627  , Lakhminiya(Balia Bazar) , 851211</v>
          </cell>
          <cell r="Y246">
            <v>45104</v>
          </cell>
          <cell r="Z246" t="str">
            <v>NA</v>
          </cell>
          <cell r="AB246" t="str">
            <v>NA</v>
          </cell>
          <cell r="AF246" t="str">
            <v>NA</v>
          </cell>
          <cell r="AK246">
            <v>45090</v>
          </cell>
          <cell r="AL246" t="str">
            <v>Received</v>
          </cell>
          <cell r="AM246">
            <v>45085</v>
          </cell>
          <cell r="AO246">
            <v>3</v>
          </cell>
          <cell r="AS246">
            <v>-3</v>
          </cell>
          <cell r="AU246">
            <v>4</v>
          </cell>
          <cell r="AY246">
            <v>-4</v>
          </cell>
          <cell r="BA246">
            <v>5</v>
          </cell>
          <cell r="BE246">
            <v>-5</v>
          </cell>
          <cell r="BG246">
            <v>5</v>
          </cell>
          <cell r="BK246">
            <v>-5</v>
          </cell>
          <cell r="BM246">
            <v>3</v>
          </cell>
          <cell r="BP246">
            <v>3</v>
          </cell>
          <cell r="BW246" t="str">
            <v>Done</v>
          </cell>
          <cell r="BX246">
            <v>45079</v>
          </cell>
          <cell r="BY246" t="str">
            <v>Approved</v>
          </cell>
          <cell r="CD246">
            <v>45103</v>
          </cell>
          <cell r="CE246">
            <v>45113</v>
          </cell>
          <cell r="CG246" t="str">
            <v>M/S Rahul Kumar</v>
          </cell>
          <cell r="CI246" t="str">
            <v>Issued</v>
          </cell>
          <cell r="DG246" t="str">
            <v>Netmed SDP - Not in Dead Rental</v>
          </cell>
          <cell r="DK246">
            <v>45134</v>
          </cell>
          <cell r="DL246">
            <v>45108</v>
          </cell>
          <cell r="DM246">
            <v>2</v>
          </cell>
          <cell r="DN246" t="str">
            <v>0 to 3 Days</v>
          </cell>
          <cell r="DP246">
            <v>45116</v>
          </cell>
          <cell r="DQ246">
            <v>45136</v>
          </cell>
          <cell r="DR246">
            <v>7</v>
          </cell>
          <cell r="DS246">
            <v>7</v>
          </cell>
          <cell r="DU246">
            <v>45143</v>
          </cell>
          <cell r="DV246">
            <v>45123</v>
          </cell>
          <cell r="DW246">
            <v>45143</v>
          </cell>
          <cell r="DX246" t="str">
            <v>Aug 23 Week 1</v>
          </cell>
          <cell r="DY246">
            <v>45154</v>
          </cell>
          <cell r="DZ246">
            <v>45155</v>
          </cell>
          <cell r="EA246" t="str">
            <v>Aug 23 Week 3</v>
          </cell>
          <cell r="EB246" t="str">
            <v>Backlog</v>
          </cell>
          <cell r="ED246" t="str">
            <v/>
          </cell>
          <cell r="EE246" t="str">
            <v/>
          </cell>
          <cell r="EF246">
            <v>1</v>
          </cell>
          <cell r="EG246">
            <v>1</v>
          </cell>
          <cell r="FD246">
            <v>12</v>
          </cell>
          <cell r="FE246" t="str">
            <v>8 to 15 Days</v>
          </cell>
          <cell r="FF246">
            <v>32</v>
          </cell>
          <cell r="FG246" t="str">
            <v>31 to 61 Days</v>
          </cell>
          <cell r="FH246" t="str">
            <v>Done</v>
          </cell>
          <cell r="FI246" t="str">
            <v>Done</v>
          </cell>
          <cell r="FJ246" t="str">
            <v>NA</v>
          </cell>
          <cell r="FK246">
            <v>45163</v>
          </cell>
          <cell r="FM246" t="str">
            <v/>
          </cell>
          <cell r="GA246">
            <v>45258</v>
          </cell>
          <cell r="GC246">
            <v>45136</v>
          </cell>
          <cell r="GG246" t="str">
            <v>2023-2024</v>
          </cell>
        </row>
        <row r="247">
          <cell r="E247" t="str">
            <v>GF Prince Complex Plot No 4399 3684  , Mafi Mohalla PS Warisiliganj Dist Nawada , Khata No 480 Revenue Thana No 479 Vill  , WARISALIGANJ , 805130</v>
          </cell>
          <cell r="F247" t="str">
            <v>9. EPC Ready</v>
          </cell>
          <cell r="G247" t="str">
            <v>SPBHWAM4126</v>
          </cell>
          <cell r="H247" t="str">
            <v>BH-SM-WAR-3000</v>
          </cell>
          <cell r="I247" t="str">
            <v>TYIK</v>
          </cell>
          <cell r="J247" t="str">
            <v>QBOJ</v>
          </cell>
          <cell r="K247" t="str">
            <v xml:space="preserve">E </v>
          </cell>
          <cell r="L247" t="str">
            <v>AK</v>
          </cell>
          <cell r="M247" t="str">
            <v>EPC Ready</v>
          </cell>
          <cell r="P247" t="str">
            <v>Mr. Jitendra Kumar-6201750698</v>
          </cell>
          <cell r="Q247" t="str">
            <v>Gaurav Shinde</v>
          </cell>
          <cell r="S247" t="str">
            <v>Bihar</v>
          </cell>
          <cell r="T247" t="str">
            <v>Warsiliganj</v>
          </cell>
          <cell r="U247" t="str">
            <v>Non Premium</v>
          </cell>
          <cell r="V247" t="str">
            <v>Pharma Format</v>
          </cell>
          <cell r="W247">
            <v>400</v>
          </cell>
          <cell r="X247" t="str">
            <v>GF Prince Complex Plot No 4399 3684  , Mafi Mohalla PS Warisiliganj Dist Nawada , Khata No 480 Revenue Thana No 479 Vill  , WARISALIGANJ , 805130</v>
          </cell>
          <cell r="Y247">
            <v>45106</v>
          </cell>
          <cell r="Z247" t="str">
            <v>NA</v>
          </cell>
          <cell r="AB247" t="str">
            <v>NA</v>
          </cell>
          <cell r="AF247" t="str">
            <v>NA</v>
          </cell>
          <cell r="AK247">
            <v>45184</v>
          </cell>
          <cell r="AL247" t="str">
            <v>Received</v>
          </cell>
          <cell r="AM247">
            <v>0</v>
          </cell>
          <cell r="AO247">
            <v>3</v>
          </cell>
          <cell r="AS247">
            <v>-3</v>
          </cell>
          <cell r="AU247">
            <v>4</v>
          </cell>
          <cell r="AY247">
            <v>-4</v>
          </cell>
          <cell r="BA247">
            <v>5</v>
          </cell>
          <cell r="BE247">
            <v>-5</v>
          </cell>
          <cell r="BG247">
            <v>5</v>
          </cell>
          <cell r="BK247">
            <v>-5</v>
          </cell>
          <cell r="BM247">
            <v>3</v>
          </cell>
          <cell r="BP247">
            <v>3</v>
          </cell>
          <cell r="BW247" t="str">
            <v>Done</v>
          </cell>
          <cell r="BX247">
            <v>45079</v>
          </cell>
          <cell r="BY247" t="str">
            <v>Approved</v>
          </cell>
          <cell r="CD247">
            <v>45103</v>
          </cell>
          <cell r="CE247">
            <v>45113</v>
          </cell>
          <cell r="CG247" t="str">
            <v>M/S Rahul Kumar</v>
          </cell>
          <cell r="CI247" t="str">
            <v>Issued</v>
          </cell>
          <cell r="DG247" t="str">
            <v>Netmed SDP - Not in Dead Rental</v>
          </cell>
          <cell r="DK247">
            <v>45152</v>
          </cell>
          <cell r="DM247">
            <v>2</v>
          </cell>
          <cell r="DN247" t="str">
            <v>0 to 3 Days</v>
          </cell>
          <cell r="DP247">
            <v>45116</v>
          </cell>
          <cell r="DQ247">
            <v>45154</v>
          </cell>
          <cell r="DR247">
            <v>7</v>
          </cell>
          <cell r="DS247">
            <v>7</v>
          </cell>
          <cell r="DU247">
            <v>45161</v>
          </cell>
          <cell r="DV247">
            <v>45123</v>
          </cell>
          <cell r="DW247">
            <v>45161</v>
          </cell>
          <cell r="DX247" t="str">
            <v>Aug 23 Week 4</v>
          </cell>
          <cell r="DY247">
            <v>45160</v>
          </cell>
          <cell r="DZ247">
            <v>45160</v>
          </cell>
          <cell r="EA247" t="str">
            <v>Aug 23 Week 4</v>
          </cell>
          <cell r="EB247" t="str">
            <v>Plan</v>
          </cell>
          <cell r="ED247" t="str">
            <v/>
          </cell>
          <cell r="EE247" t="str">
            <v/>
          </cell>
          <cell r="EF247">
            <v>1</v>
          </cell>
          <cell r="EG247">
            <v>1</v>
          </cell>
          <cell r="FD247">
            <v>-1</v>
          </cell>
          <cell r="FE247" t="str">
            <v>On Time</v>
          </cell>
          <cell r="FF247">
            <v>37</v>
          </cell>
          <cell r="FG247" t="str">
            <v>31 to 61 Days</v>
          </cell>
          <cell r="FH247" t="str">
            <v>Done</v>
          </cell>
          <cell r="FI247" t="str">
            <v>Done</v>
          </cell>
          <cell r="FJ247" t="str">
            <v>NA</v>
          </cell>
          <cell r="FK247">
            <v>45178</v>
          </cell>
          <cell r="FM247" t="str">
            <v/>
          </cell>
          <cell r="GC247">
            <v>45154</v>
          </cell>
          <cell r="GG247" t="str">
            <v>2023-2024</v>
          </cell>
        </row>
        <row r="248">
          <cell r="E248" t="str">
            <v>Jitendra House 11 Gandhi Tola  ,  , Main Road Rafuigunj  , RAFIGANJ , 824125</v>
          </cell>
          <cell r="F248" t="str">
            <v>9. EPC Ready</v>
          </cell>
          <cell r="G248" t="str">
            <v>SPBHRAG3498</v>
          </cell>
          <cell r="H248" t="str">
            <v>BH-SM-RAF-3000</v>
          </cell>
          <cell r="I248" t="str">
            <v>TY2P</v>
          </cell>
          <cell r="J248" t="str">
            <v>QCFD</v>
          </cell>
          <cell r="K248" t="str">
            <v xml:space="preserve">E </v>
          </cell>
          <cell r="L248" t="str">
            <v>AK</v>
          </cell>
          <cell r="M248" t="str">
            <v>EPC Ready</v>
          </cell>
          <cell r="P248" t="str">
            <v>Mr. Jitendra Gupta - 6201750698</v>
          </cell>
          <cell r="Q248" t="str">
            <v>Gaurav Shinde</v>
          </cell>
          <cell r="S248" t="str">
            <v>Bihar</v>
          </cell>
          <cell r="T248" t="str">
            <v>Rafigunj</v>
          </cell>
          <cell r="U248" t="str">
            <v>Non Premium</v>
          </cell>
          <cell r="V248" t="str">
            <v>Pharma Format</v>
          </cell>
          <cell r="W248">
            <v>400</v>
          </cell>
          <cell r="X248" t="str">
            <v>Jitendra House 11 Gandhi Tola  ,  , Main Road Rafuigunj  , RAFIGANJ , 824125</v>
          </cell>
          <cell r="Y248">
            <v>45106</v>
          </cell>
          <cell r="Z248" t="str">
            <v>NA</v>
          </cell>
          <cell r="AB248" t="str">
            <v>NA</v>
          </cell>
          <cell r="AF248" t="str">
            <v>NA</v>
          </cell>
          <cell r="AK248">
            <v>45189</v>
          </cell>
          <cell r="AL248" t="str">
            <v>Received</v>
          </cell>
          <cell r="AM248">
            <v>45184</v>
          </cell>
          <cell r="AO248">
            <v>3</v>
          </cell>
          <cell r="AS248">
            <v>-3</v>
          </cell>
          <cell r="AU248">
            <v>4</v>
          </cell>
          <cell r="AY248">
            <v>-4</v>
          </cell>
          <cell r="BA248">
            <v>5</v>
          </cell>
          <cell r="BE248">
            <v>-5</v>
          </cell>
          <cell r="BG248">
            <v>5</v>
          </cell>
          <cell r="BK248">
            <v>-5</v>
          </cell>
          <cell r="BM248">
            <v>3</v>
          </cell>
          <cell r="BP248">
            <v>3</v>
          </cell>
          <cell r="BW248" t="str">
            <v>Done</v>
          </cell>
          <cell r="BX248">
            <v>45079</v>
          </cell>
          <cell r="BY248" t="str">
            <v>Approved</v>
          </cell>
          <cell r="CD248">
            <v>45103</v>
          </cell>
          <cell r="CE248">
            <v>45113</v>
          </cell>
          <cell r="CG248" t="str">
            <v>M/S Rahul Kumar</v>
          </cell>
          <cell r="CI248" t="str">
            <v>Issued</v>
          </cell>
          <cell r="DG248" t="str">
            <v>Netmed SDP - Not in Dead Rental</v>
          </cell>
          <cell r="DK248">
            <v>45152</v>
          </cell>
          <cell r="DM248">
            <v>2</v>
          </cell>
          <cell r="DN248" t="str">
            <v>0 to 3 Days</v>
          </cell>
          <cell r="DP248">
            <v>45116</v>
          </cell>
          <cell r="DQ248">
            <v>45154</v>
          </cell>
          <cell r="DR248">
            <v>7</v>
          </cell>
          <cell r="DS248">
            <v>7</v>
          </cell>
          <cell r="DU248">
            <v>45161</v>
          </cell>
          <cell r="DV248">
            <v>45123</v>
          </cell>
          <cell r="DW248">
            <v>45161</v>
          </cell>
          <cell r="DX248" t="str">
            <v>Aug 23 Week 4</v>
          </cell>
          <cell r="DY248">
            <v>45162</v>
          </cell>
          <cell r="DZ248">
            <v>45160</v>
          </cell>
          <cell r="EA248" t="str">
            <v>Aug 23 Week 4</v>
          </cell>
          <cell r="EB248" t="str">
            <v>Plan</v>
          </cell>
          <cell r="ED248" t="str">
            <v/>
          </cell>
          <cell r="EE248" t="str">
            <v/>
          </cell>
          <cell r="EF248">
            <v>1</v>
          </cell>
          <cell r="EG248">
            <v>1</v>
          </cell>
          <cell r="FD248">
            <v>-1</v>
          </cell>
          <cell r="FE248" t="str">
            <v>On Time</v>
          </cell>
          <cell r="FF248">
            <v>37</v>
          </cell>
          <cell r="FG248" t="str">
            <v>31 to 61 Days</v>
          </cell>
          <cell r="FH248" t="str">
            <v>Done</v>
          </cell>
          <cell r="FI248" t="str">
            <v>Done</v>
          </cell>
          <cell r="FJ248" t="str">
            <v>NA</v>
          </cell>
          <cell r="FK248">
            <v>45160</v>
          </cell>
          <cell r="FM248" t="str">
            <v/>
          </cell>
          <cell r="GA248">
            <v>45160</v>
          </cell>
          <cell r="GC248">
            <v>45154</v>
          </cell>
          <cell r="GG248" t="str">
            <v>2023-2024</v>
          </cell>
        </row>
        <row r="249">
          <cell r="E249" t="str">
            <v>Gf L K Corporates &amp; Logitic Park Block E  , Village Dumartarai New Dhamtari Rd , Khasra N193 12 193 14 193 27&amp;193 32 Nh30  , RAIPUR , 492015</v>
          </cell>
          <cell r="F249" t="str">
            <v>9. EPC Ready</v>
          </cell>
          <cell r="G249" t="str">
            <v>SPCGRaR4226</v>
          </cell>
          <cell r="H249" t="str">
            <v>MP-SM-RAI-3019</v>
          </cell>
          <cell r="I249" t="str">
            <v>T1WP</v>
          </cell>
          <cell r="J249" t="str">
            <v>Q3I1</v>
          </cell>
          <cell r="K249" t="str">
            <v>W</v>
          </cell>
          <cell r="L249" t="str">
            <v>KC</v>
          </cell>
          <cell r="M249" t="str">
            <v>EPC Ready</v>
          </cell>
          <cell r="P249" t="str">
            <v>Vivek Surjagade-9770016041</v>
          </cell>
          <cell r="Q249" t="str">
            <v>Gaurav Shinde</v>
          </cell>
          <cell r="S249" t="str">
            <v>Chattisgarh</v>
          </cell>
          <cell r="T249" t="str">
            <v>RAIPUR</v>
          </cell>
          <cell r="U249" t="str">
            <v>Non Premium</v>
          </cell>
          <cell r="V249" t="str">
            <v>Pharma Format</v>
          </cell>
          <cell r="W249">
            <v>400</v>
          </cell>
          <cell r="X249" t="str">
            <v>Gf L K Corporates &amp; Logitic Park Block E  , Village Dumartarai New Dhamtari Rd , Khasra N193 12 193 14 193 27&amp;193 32 Nh30  , RAIPUR , 492015</v>
          </cell>
          <cell r="Y249">
            <v>45111</v>
          </cell>
          <cell r="Z249" t="str">
            <v>NA</v>
          </cell>
          <cell r="AB249" t="str">
            <v>NA</v>
          </cell>
          <cell r="AF249" t="str">
            <v>NA</v>
          </cell>
          <cell r="AK249">
            <v>45133</v>
          </cell>
          <cell r="AL249" t="str">
            <v>Received</v>
          </cell>
          <cell r="AM249">
            <v>45128</v>
          </cell>
          <cell r="AO249">
            <v>3</v>
          </cell>
          <cell r="AS249">
            <v>-3</v>
          </cell>
          <cell r="AU249">
            <v>4</v>
          </cell>
          <cell r="AY249">
            <v>-4</v>
          </cell>
          <cell r="BA249">
            <v>5</v>
          </cell>
          <cell r="BE249">
            <v>-5</v>
          </cell>
          <cell r="BG249">
            <v>5</v>
          </cell>
          <cell r="BK249">
            <v>-5</v>
          </cell>
          <cell r="BM249">
            <v>3</v>
          </cell>
          <cell r="BP249">
            <v>3</v>
          </cell>
          <cell r="BW249" t="str">
            <v>Done</v>
          </cell>
          <cell r="BX249">
            <v>45079</v>
          </cell>
          <cell r="BY249" t="str">
            <v>Approved</v>
          </cell>
          <cell r="CD249">
            <v>45103</v>
          </cell>
          <cell r="CE249">
            <v>45110</v>
          </cell>
          <cell r="CG249" t="str">
            <v>M/s VAIBHAVI ENTERPRISES</v>
          </cell>
          <cell r="CI249" t="str">
            <v>Issued</v>
          </cell>
          <cell r="DG249" t="str">
            <v>Netmed SDP - Not in Dead Rental</v>
          </cell>
          <cell r="DK249">
            <v>45130</v>
          </cell>
          <cell r="DL249">
            <v>45166</v>
          </cell>
          <cell r="DM249">
            <v>2</v>
          </cell>
          <cell r="DN249" t="str">
            <v>0 to 3 Days</v>
          </cell>
          <cell r="DP249">
            <v>45113</v>
          </cell>
          <cell r="DQ249">
            <v>45132</v>
          </cell>
          <cell r="DR249">
            <v>7</v>
          </cell>
          <cell r="DS249">
            <v>7</v>
          </cell>
          <cell r="DU249">
            <v>45139</v>
          </cell>
          <cell r="DV249">
            <v>45120</v>
          </cell>
          <cell r="DW249">
            <v>45139</v>
          </cell>
          <cell r="DX249" t="str">
            <v>Aug 23 Week 1</v>
          </cell>
          <cell r="DY249">
            <v>45169</v>
          </cell>
          <cell r="DZ249">
            <v>45138</v>
          </cell>
          <cell r="EA249" t="str">
            <v>July 23 Week 5</v>
          </cell>
          <cell r="EB249" t="str">
            <v>Plan</v>
          </cell>
          <cell r="ED249" t="str">
            <v/>
          </cell>
          <cell r="EE249" t="str">
            <v/>
          </cell>
          <cell r="EF249">
            <v>1</v>
          </cell>
          <cell r="EG249">
            <v>1</v>
          </cell>
          <cell r="FD249">
            <v>-1</v>
          </cell>
          <cell r="FE249" t="str">
            <v>On Time</v>
          </cell>
          <cell r="FF249">
            <v>18</v>
          </cell>
          <cell r="FG249" t="str">
            <v>16 to 31 Days</v>
          </cell>
          <cell r="FH249" t="str">
            <v>Done</v>
          </cell>
          <cell r="FI249" t="str">
            <v>Done</v>
          </cell>
          <cell r="FJ249" t="str">
            <v>NA</v>
          </cell>
          <cell r="FK249">
            <v>45219</v>
          </cell>
          <cell r="FM249" t="str">
            <v/>
          </cell>
          <cell r="GA249">
            <v>45139</v>
          </cell>
          <cell r="GC249">
            <v>45132</v>
          </cell>
          <cell r="GG249" t="str">
            <v>2023-2024</v>
          </cell>
        </row>
        <row r="250">
          <cell r="E250" t="str">
            <v>GF Survey No 49 2Plot No 2 3 4 17 18  , Distt Nagpur , Mouza Ramtek Taluka Ramtek  , RAMTEK , 440009</v>
          </cell>
          <cell r="F250" t="str">
            <v>9. EPC Ready</v>
          </cell>
          <cell r="G250" t="str">
            <v>SPMHNAN2037</v>
          </cell>
          <cell r="H250" t="str">
            <v>MH-SM-RTK-3000</v>
          </cell>
          <cell r="I250" t="str">
            <v>TXAT</v>
          </cell>
          <cell r="J250" t="str">
            <v>Q8BH</v>
          </cell>
          <cell r="K250" t="str">
            <v>W</v>
          </cell>
          <cell r="L250" t="str">
            <v>KC</v>
          </cell>
          <cell r="M250" t="str">
            <v>EPC Ready</v>
          </cell>
          <cell r="P250" t="str">
            <v>Rahulkumar Mishra-9226099710</v>
          </cell>
          <cell r="Q250" t="str">
            <v>Gaurav Shinde</v>
          </cell>
          <cell r="S250" t="str">
            <v>Maharashtra</v>
          </cell>
          <cell r="T250" t="str">
            <v>Ramtek</v>
          </cell>
          <cell r="U250" t="str">
            <v>Non Premium</v>
          </cell>
          <cell r="V250" t="str">
            <v>Pharma Format</v>
          </cell>
          <cell r="W250">
            <v>400</v>
          </cell>
          <cell r="X250" t="str">
            <v>GF Survey No 49 2Plot No 2 3 4 17 18  , Distt Nagpur , Mouza Ramtek Taluka Ramtek  , RAMTEK , 440009</v>
          </cell>
          <cell r="Y250">
            <v>45159</v>
          </cell>
          <cell r="Z250" t="str">
            <v>NA</v>
          </cell>
          <cell r="AB250" t="str">
            <v>NA</v>
          </cell>
          <cell r="AF250" t="str">
            <v>NA</v>
          </cell>
          <cell r="AK250">
            <v>45198</v>
          </cell>
          <cell r="AL250" t="str">
            <v>Received</v>
          </cell>
          <cell r="AM250">
            <v>0</v>
          </cell>
          <cell r="AO250">
            <v>3</v>
          </cell>
          <cell r="AS250">
            <v>-3</v>
          </cell>
          <cell r="AU250">
            <v>4</v>
          </cell>
          <cell r="AY250">
            <v>-4</v>
          </cell>
          <cell r="BA250">
            <v>5</v>
          </cell>
          <cell r="BE250">
            <v>-5</v>
          </cell>
          <cell r="BG250">
            <v>5</v>
          </cell>
          <cell r="BK250">
            <v>-5</v>
          </cell>
          <cell r="BM250">
            <v>3</v>
          </cell>
          <cell r="BP250">
            <v>3</v>
          </cell>
          <cell r="BW250" t="str">
            <v>Done</v>
          </cell>
          <cell r="BX250">
            <v>45079</v>
          </cell>
          <cell r="BY250" t="str">
            <v>Approved</v>
          </cell>
          <cell r="CD250">
            <v>45146</v>
          </cell>
          <cell r="CE250">
            <v>45152</v>
          </cell>
          <cell r="CG250" t="str">
            <v>M/s. Nayab Electricals</v>
          </cell>
          <cell r="CI250" t="str">
            <v>Issued</v>
          </cell>
          <cell r="DG250" t="str">
            <v>Netmed SDP - Not in Dead Rental</v>
          </cell>
          <cell r="DK250">
            <v>45167</v>
          </cell>
          <cell r="DL250">
            <v>45165</v>
          </cell>
          <cell r="DM250">
            <v>2</v>
          </cell>
          <cell r="DN250" t="str">
            <v>0 to 3 Days</v>
          </cell>
          <cell r="DP250">
            <v>45155</v>
          </cell>
          <cell r="DQ250">
            <v>45169</v>
          </cell>
          <cell r="DR250">
            <v>7</v>
          </cell>
          <cell r="DS250">
            <v>7</v>
          </cell>
          <cell r="DU250">
            <v>45176</v>
          </cell>
          <cell r="DV250">
            <v>45162</v>
          </cell>
          <cell r="DW250">
            <v>45176</v>
          </cell>
          <cell r="DX250" t="str">
            <v>Sep 23 Week 1</v>
          </cell>
          <cell r="DY250">
            <v>45175</v>
          </cell>
          <cell r="DZ250">
            <v>45175</v>
          </cell>
          <cell r="EA250" t="str">
            <v>Sep 23 Week 1</v>
          </cell>
          <cell r="EB250" t="str">
            <v>Plan</v>
          </cell>
          <cell r="ED250" t="str">
            <v/>
          </cell>
          <cell r="EE250" t="str">
            <v/>
          </cell>
          <cell r="EF250">
            <v>1</v>
          </cell>
          <cell r="EG250">
            <v>1</v>
          </cell>
          <cell r="FD250">
            <v>-1</v>
          </cell>
          <cell r="FE250" t="str">
            <v>On Time</v>
          </cell>
          <cell r="FF250">
            <v>13</v>
          </cell>
          <cell r="FG250" t="str">
            <v>8 to 15 Days</v>
          </cell>
          <cell r="FH250" t="str">
            <v>Done</v>
          </cell>
          <cell r="FI250" t="str">
            <v>Done</v>
          </cell>
          <cell r="FJ250" t="str">
            <v>NA</v>
          </cell>
          <cell r="FK250">
            <v>45221</v>
          </cell>
          <cell r="FM250" t="str">
            <v/>
          </cell>
          <cell r="GA250">
            <v>45175</v>
          </cell>
          <cell r="GC250">
            <v>45169</v>
          </cell>
          <cell r="GG250" t="str">
            <v>2023-2024</v>
          </cell>
        </row>
        <row r="251">
          <cell r="E251" t="str">
            <v>GF, Plot No 4 A &amp; 26, SyNo 29, Village &amp;  , Dist - Amravati , Taluka - Chandur (Railway)  , AMRAVATI , 444904</v>
          </cell>
          <cell r="F251" t="str">
            <v>9. EPC Ready</v>
          </cell>
          <cell r="G251" t="str">
            <v>SPMHCHC3713</v>
          </cell>
          <cell r="H251" t="str">
            <v>MH-SM-CNY-3000</v>
          </cell>
          <cell r="I251" t="str">
            <v>TYPR</v>
          </cell>
          <cell r="J251" t="str">
            <v>QBWT</v>
          </cell>
          <cell r="K251" t="str">
            <v>W</v>
          </cell>
          <cell r="L251" t="str">
            <v>KC</v>
          </cell>
          <cell r="M251" t="str">
            <v>EPC Ready</v>
          </cell>
          <cell r="P251" t="str">
            <v>Rahulkumar Mishra-9226099710</v>
          </cell>
          <cell r="Q251" t="str">
            <v>Gaurav Shinde</v>
          </cell>
          <cell r="S251" t="str">
            <v>Maharashtra</v>
          </cell>
          <cell r="T251" t="str">
            <v>CHANDUR</v>
          </cell>
          <cell r="U251" t="str">
            <v>Non Premium</v>
          </cell>
          <cell r="V251" t="str">
            <v>Pharma Format</v>
          </cell>
          <cell r="W251">
            <v>400</v>
          </cell>
          <cell r="X251" t="str">
            <v>GF, Plot No 4 A &amp; 26, SyNo 29, Village &amp;  , Dist - Amravati , Taluka - Chandur (Railway)  , AMRAVATI , 444904</v>
          </cell>
          <cell r="Y251">
            <v>45159</v>
          </cell>
          <cell r="Z251" t="str">
            <v>NA</v>
          </cell>
          <cell r="AB251" t="str">
            <v>NA</v>
          </cell>
          <cell r="AF251" t="str">
            <v>NA</v>
          </cell>
          <cell r="AK251">
            <v>45149</v>
          </cell>
          <cell r="AL251" t="str">
            <v>Received</v>
          </cell>
          <cell r="AM251">
            <v>0</v>
          </cell>
          <cell r="AO251">
            <v>3</v>
          </cell>
          <cell r="AS251">
            <v>-3</v>
          </cell>
          <cell r="AU251">
            <v>4</v>
          </cell>
          <cell r="AY251">
            <v>-4</v>
          </cell>
          <cell r="BA251">
            <v>5</v>
          </cell>
          <cell r="BE251">
            <v>-5</v>
          </cell>
          <cell r="BG251">
            <v>5</v>
          </cell>
          <cell r="BK251">
            <v>-5</v>
          </cell>
          <cell r="BM251">
            <v>3</v>
          </cell>
          <cell r="BP251">
            <v>3</v>
          </cell>
          <cell r="BW251" t="str">
            <v>Done</v>
          </cell>
          <cell r="BX251">
            <v>45079</v>
          </cell>
          <cell r="BY251" t="str">
            <v>Approved</v>
          </cell>
          <cell r="CD251">
            <v>45146</v>
          </cell>
          <cell r="CE251">
            <v>45152</v>
          </cell>
          <cell r="CG251" t="str">
            <v>M/s. Nayab Electricals</v>
          </cell>
          <cell r="CI251" t="str">
            <v>Issued</v>
          </cell>
          <cell r="DG251" t="str">
            <v>Netmed SDP - Not in Dead Rental</v>
          </cell>
          <cell r="DK251">
            <v>45167</v>
          </cell>
          <cell r="DL251">
            <v>45160</v>
          </cell>
          <cell r="DM251">
            <v>2</v>
          </cell>
          <cell r="DN251" t="str">
            <v>0 to 3 Days</v>
          </cell>
          <cell r="DP251">
            <v>45155</v>
          </cell>
          <cell r="DQ251">
            <v>45169</v>
          </cell>
          <cell r="DR251">
            <v>7</v>
          </cell>
          <cell r="DS251">
            <v>7</v>
          </cell>
          <cell r="DU251">
            <v>45176</v>
          </cell>
          <cell r="DV251">
            <v>45162</v>
          </cell>
          <cell r="DW251">
            <v>45176</v>
          </cell>
          <cell r="DX251" t="str">
            <v>Sep 23 Week 1</v>
          </cell>
          <cell r="DY251">
            <v>45180</v>
          </cell>
          <cell r="DZ251">
            <v>45180</v>
          </cell>
          <cell r="EA251" t="str">
            <v>Sep 23 Week 2</v>
          </cell>
          <cell r="EB251" t="str">
            <v>Backlog</v>
          </cell>
          <cell r="ED251" t="str">
            <v/>
          </cell>
          <cell r="EE251" t="str">
            <v/>
          </cell>
          <cell r="EF251">
            <v>1</v>
          </cell>
          <cell r="EG251">
            <v>1</v>
          </cell>
          <cell r="FD251">
            <v>4</v>
          </cell>
          <cell r="FE251" t="str">
            <v>4 to 7 Days</v>
          </cell>
          <cell r="FF251">
            <v>18</v>
          </cell>
          <cell r="FG251" t="str">
            <v>16 to 31 Days</v>
          </cell>
          <cell r="FH251" t="str">
            <v>Done</v>
          </cell>
          <cell r="FI251" t="str">
            <v>Done</v>
          </cell>
          <cell r="FJ251" t="str">
            <v>NA</v>
          </cell>
          <cell r="FK251">
            <v>45363</v>
          </cell>
          <cell r="FM251" t="str">
            <v/>
          </cell>
          <cell r="GA251">
            <v>45180</v>
          </cell>
          <cell r="GC251">
            <v>45169</v>
          </cell>
          <cell r="GG251" t="str">
            <v>2023-2024</v>
          </cell>
        </row>
        <row r="252">
          <cell r="E252" t="str">
            <v>GF, Ward No41 Mohalla, Ramdwar Ke Samne,  ,  , Nimbahera, Distt Chittorgarh  , NIMBAHERA , 312601</v>
          </cell>
          <cell r="F252" t="str">
            <v>9. EPC Ready</v>
          </cell>
          <cell r="G252" t="str">
            <v>SPRJCHC4249</v>
          </cell>
          <cell r="H252" t="str">
            <v>RJ-SM-NMB-3000</v>
          </cell>
          <cell r="I252" t="str">
            <v>TYXT</v>
          </cell>
          <cell r="J252" t="str">
            <v>QB5X</v>
          </cell>
          <cell r="K252" t="str">
            <v xml:space="preserve">N </v>
          </cell>
          <cell r="L252" t="str">
            <v>KC</v>
          </cell>
          <cell r="M252" t="str">
            <v>EPC Ready</v>
          </cell>
          <cell r="P252" t="str">
            <v>Mr.Balram Soni-8003293109</v>
          </cell>
          <cell r="Q252" t="str">
            <v>Gaurav Shinde</v>
          </cell>
          <cell r="S252" t="str">
            <v>Rajasthan</v>
          </cell>
          <cell r="T252" t="str">
            <v>Nimbahera</v>
          </cell>
          <cell r="U252" t="str">
            <v>Non Premium</v>
          </cell>
          <cell r="V252" t="str">
            <v>Pharma Format</v>
          </cell>
          <cell r="W252">
            <v>420</v>
          </cell>
          <cell r="X252" t="str">
            <v>GF, Ward No41 Mohalla, Ramdwar Ke Samne,  ,  , Nimbahera, Distt Chittorgarh  , NIMBAHERA , 312601</v>
          </cell>
          <cell r="Y252">
            <v>45125</v>
          </cell>
          <cell r="Z252" t="str">
            <v>NA</v>
          </cell>
          <cell r="AB252" t="str">
            <v>NA</v>
          </cell>
          <cell r="AF252" t="str">
            <v>NA</v>
          </cell>
          <cell r="AK252">
            <v>45162</v>
          </cell>
          <cell r="AL252" t="str">
            <v>Received</v>
          </cell>
          <cell r="AM252">
            <v>0</v>
          </cell>
          <cell r="AO252">
            <v>3</v>
          </cell>
          <cell r="AS252">
            <v>-3</v>
          </cell>
          <cell r="AU252">
            <v>4</v>
          </cell>
          <cell r="AY252">
            <v>-4</v>
          </cell>
          <cell r="BA252">
            <v>5</v>
          </cell>
          <cell r="BE252">
            <v>-5</v>
          </cell>
          <cell r="BG252">
            <v>5</v>
          </cell>
          <cell r="BK252">
            <v>-5</v>
          </cell>
          <cell r="BM252">
            <v>3</v>
          </cell>
          <cell r="BP252">
            <v>3</v>
          </cell>
          <cell r="BW252" t="str">
            <v>Done</v>
          </cell>
          <cell r="BX252">
            <v>45079</v>
          </cell>
          <cell r="BY252" t="str">
            <v>Approved</v>
          </cell>
          <cell r="CD252">
            <v>45126</v>
          </cell>
          <cell r="CE252">
            <v>45156</v>
          </cell>
          <cell r="CG252" t="str">
            <v>M/s    Barso Solution</v>
          </cell>
          <cell r="CI252" t="str">
            <v>Issued</v>
          </cell>
          <cell r="DG252" t="str">
            <v>Netmed SDP - Not in Dead Rental</v>
          </cell>
          <cell r="DK252">
            <v>45171</v>
          </cell>
          <cell r="DL252">
            <v>45164</v>
          </cell>
          <cell r="DM252">
            <v>2</v>
          </cell>
          <cell r="DN252" t="str">
            <v>0 to 3 Days</v>
          </cell>
          <cell r="DP252">
            <v>45159</v>
          </cell>
          <cell r="DQ252">
            <v>45173</v>
          </cell>
          <cell r="DR252">
            <v>7</v>
          </cell>
          <cell r="DS252">
            <v>7</v>
          </cell>
          <cell r="DU252">
            <v>45180</v>
          </cell>
          <cell r="DV252">
            <v>45166</v>
          </cell>
          <cell r="DW252">
            <v>45180</v>
          </cell>
          <cell r="DX252" t="str">
            <v>Sep 23 Week 2</v>
          </cell>
          <cell r="DY252">
            <v>45181</v>
          </cell>
          <cell r="DZ252">
            <v>45181</v>
          </cell>
          <cell r="EA252" t="str">
            <v>Sep 23 Week 2</v>
          </cell>
          <cell r="EB252" t="str">
            <v>Backlog</v>
          </cell>
          <cell r="ED252" t="str">
            <v/>
          </cell>
          <cell r="EE252" t="str">
            <v/>
          </cell>
          <cell r="EF252">
            <v>1</v>
          </cell>
          <cell r="EG252">
            <v>1</v>
          </cell>
          <cell r="FD252">
            <v>1</v>
          </cell>
          <cell r="FE252" t="str">
            <v>0 to 3 Days</v>
          </cell>
          <cell r="FF252">
            <v>15</v>
          </cell>
          <cell r="FG252" t="str">
            <v>8 to 15 Days</v>
          </cell>
          <cell r="FH252" t="str">
            <v>Done</v>
          </cell>
          <cell r="FI252" t="str">
            <v>Done</v>
          </cell>
          <cell r="FJ252" t="str">
            <v>NA</v>
          </cell>
          <cell r="FK252">
            <v>45282</v>
          </cell>
          <cell r="FM252" t="str">
            <v/>
          </cell>
          <cell r="GA252">
            <v>45181</v>
          </cell>
          <cell r="GC252">
            <v>45173</v>
          </cell>
          <cell r="GG252" t="str">
            <v>2023-2024</v>
          </cell>
        </row>
        <row r="253">
          <cell r="E253" t="str">
            <v> GF CTS No 1950 1957 1958 1959 1960 1961  , Councial Tashil No Chopada Distt Jalgoan , Chopada Taluka Chopada Chopada Municpal  , CHOPDA , 425107</v>
          </cell>
          <cell r="F253" t="str">
            <v>9. EPC Ready</v>
          </cell>
          <cell r="G253" t="str">
            <v>SPMHJAJ3583</v>
          </cell>
          <cell r="H253" t="str">
            <v>MH-SM-CHO-3000</v>
          </cell>
          <cell r="I253" t="str">
            <v>TXZ2</v>
          </cell>
          <cell r="J253" t="str">
            <v>Q9Q1</v>
          </cell>
          <cell r="K253" t="str">
            <v>W</v>
          </cell>
          <cell r="L253" t="str">
            <v>KC</v>
          </cell>
          <cell r="M253" t="str">
            <v>EPC Ready</v>
          </cell>
          <cell r="P253" t="str">
            <v>Mr Prashant Wankhede-9284862994</v>
          </cell>
          <cell r="Q253" t="str">
            <v>Gaurav Shinde</v>
          </cell>
          <cell r="S253" t="str">
            <v>Maharashtra</v>
          </cell>
          <cell r="T253" t="str">
            <v>Chopda</v>
          </cell>
          <cell r="U253" t="str">
            <v>Non Premium</v>
          </cell>
          <cell r="V253" t="str">
            <v>Pharma Format</v>
          </cell>
          <cell r="W253">
            <v>401</v>
          </cell>
          <cell r="X253" t="str">
            <v> GF CTS No 1950 1957 1958 1959 1960 1961  , Councial Tashil No Chopada Distt Jalgoan , Chopada Taluka Chopada Chopada Municpal  , CHOPDA , 425107</v>
          </cell>
          <cell r="Y253">
            <v>45159</v>
          </cell>
          <cell r="Z253" t="str">
            <v>NA</v>
          </cell>
          <cell r="AB253" t="str">
            <v>NA</v>
          </cell>
          <cell r="AF253" t="str">
            <v>NA</v>
          </cell>
          <cell r="AK253">
            <v>45184</v>
          </cell>
          <cell r="AL253" t="str">
            <v>Received</v>
          </cell>
          <cell r="AM253">
            <v>0</v>
          </cell>
          <cell r="AO253">
            <v>3</v>
          </cell>
          <cell r="AS253">
            <v>-3</v>
          </cell>
          <cell r="AU253">
            <v>4</v>
          </cell>
          <cell r="AY253">
            <v>-4</v>
          </cell>
          <cell r="BA253">
            <v>5</v>
          </cell>
          <cell r="BE253">
            <v>-5</v>
          </cell>
          <cell r="BG253">
            <v>5</v>
          </cell>
          <cell r="BK253">
            <v>-5</v>
          </cell>
          <cell r="BM253">
            <v>3</v>
          </cell>
          <cell r="BP253">
            <v>3</v>
          </cell>
          <cell r="BW253" t="str">
            <v>Done</v>
          </cell>
          <cell r="BX253">
            <v>45079</v>
          </cell>
          <cell r="BY253" t="str">
            <v>Approved</v>
          </cell>
          <cell r="CD253">
            <v>45146</v>
          </cell>
          <cell r="CE253">
            <v>45155</v>
          </cell>
          <cell r="CG253" t="str">
            <v>M/s. Saitech Electricals</v>
          </cell>
          <cell r="CI253" t="str">
            <v>Issued</v>
          </cell>
          <cell r="DG253" t="str">
            <v>Netmed SDP - Not in Dead Rental</v>
          </cell>
          <cell r="DK253">
            <v>45171</v>
          </cell>
          <cell r="DL253">
            <v>45166</v>
          </cell>
          <cell r="DM253">
            <v>2</v>
          </cell>
          <cell r="DN253" t="str">
            <v>0 to 3 Days</v>
          </cell>
          <cell r="DP253">
            <v>45158</v>
          </cell>
          <cell r="DQ253">
            <v>45173</v>
          </cell>
          <cell r="DR253">
            <v>7</v>
          </cell>
          <cell r="DS253">
            <v>7</v>
          </cell>
          <cell r="DU253">
            <v>45180</v>
          </cell>
          <cell r="DV253">
            <v>45165</v>
          </cell>
          <cell r="DW253">
            <v>45180</v>
          </cell>
          <cell r="DX253" t="str">
            <v>Sep 23 Week 2</v>
          </cell>
          <cell r="DY253">
            <v>45182</v>
          </cell>
          <cell r="DZ253">
            <v>45182</v>
          </cell>
          <cell r="EA253" t="str">
            <v>Sep 23 Week 2</v>
          </cell>
          <cell r="EB253" t="str">
            <v>Backlog</v>
          </cell>
          <cell r="ED253" t="str">
            <v/>
          </cell>
          <cell r="EE253" t="str">
            <v/>
          </cell>
          <cell r="EF253">
            <v>1</v>
          </cell>
          <cell r="EG253">
            <v>1</v>
          </cell>
          <cell r="FD253">
            <v>2</v>
          </cell>
          <cell r="FE253" t="str">
            <v>0 to 3 Days</v>
          </cell>
          <cell r="FF253">
            <v>17</v>
          </cell>
          <cell r="FG253" t="str">
            <v>16 to 31 Days</v>
          </cell>
          <cell r="FH253" t="str">
            <v>Done</v>
          </cell>
          <cell r="FI253" t="str">
            <v>Done</v>
          </cell>
          <cell r="FJ253" t="str">
            <v>NA</v>
          </cell>
          <cell r="FK253">
            <v>45219</v>
          </cell>
          <cell r="FM253" t="str">
            <v/>
          </cell>
          <cell r="GA253">
            <v>45183</v>
          </cell>
          <cell r="GC253">
            <v>45173</v>
          </cell>
          <cell r="GG253" t="str">
            <v>2023-2024</v>
          </cell>
        </row>
        <row r="254">
          <cell r="E254" t="str">
            <v>GF Plot No 52 Dilip Auto Sy Gat No 572  , Dist Jalgaon , 2A22A At Tongaon Tal Bhadgaon  , BHADGAON , 424105</v>
          </cell>
          <cell r="F254" t="str">
            <v>9. EPC Ready</v>
          </cell>
          <cell r="G254" t="str">
            <v>SPMHJAJ3582</v>
          </cell>
          <cell r="H254" t="str">
            <v>MH-SM-BDN-3000</v>
          </cell>
          <cell r="I254" t="str">
            <v>TYLL</v>
          </cell>
          <cell r="J254" t="str">
            <v>QBRW</v>
          </cell>
          <cell r="K254" t="str">
            <v>W</v>
          </cell>
          <cell r="L254" t="str">
            <v>KC</v>
          </cell>
          <cell r="M254" t="str">
            <v>EPC Ready</v>
          </cell>
          <cell r="P254" t="str">
            <v>Mr Prashant Wankhede-9284862994</v>
          </cell>
          <cell r="Q254" t="str">
            <v>Gaurav Shinde</v>
          </cell>
          <cell r="S254" t="str">
            <v>Maharashtra</v>
          </cell>
          <cell r="T254" t="str">
            <v>Bhadgaon</v>
          </cell>
          <cell r="U254" t="str">
            <v>Non Premium</v>
          </cell>
          <cell r="V254" t="str">
            <v>Pharma Format</v>
          </cell>
          <cell r="W254">
            <v>401</v>
          </cell>
          <cell r="X254" t="str">
            <v>GF Plot No 52 Dilip Auto Sy Gat No 572  , Dist Jalgaon , 2A22A At Tongaon Tal Bhadgaon  , BHADGAON , 424105</v>
          </cell>
          <cell r="Y254">
            <v>45159</v>
          </cell>
          <cell r="Z254" t="str">
            <v>NA</v>
          </cell>
          <cell r="AB254" t="str">
            <v>NA</v>
          </cell>
          <cell r="AF254" t="str">
            <v>NA</v>
          </cell>
          <cell r="AK254">
            <v>45184</v>
          </cell>
          <cell r="AL254" t="str">
            <v>Received</v>
          </cell>
          <cell r="AM254">
            <v>45179</v>
          </cell>
          <cell r="AO254">
            <v>3</v>
          </cell>
          <cell r="AS254">
            <v>-3</v>
          </cell>
          <cell r="AU254">
            <v>4</v>
          </cell>
          <cell r="AY254">
            <v>-4</v>
          </cell>
          <cell r="BA254">
            <v>5</v>
          </cell>
          <cell r="BE254">
            <v>-5</v>
          </cell>
          <cell r="BG254">
            <v>5</v>
          </cell>
          <cell r="BK254">
            <v>-5</v>
          </cell>
          <cell r="BM254">
            <v>3</v>
          </cell>
          <cell r="BP254">
            <v>3</v>
          </cell>
          <cell r="BW254" t="str">
            <v>Done</v>
          </cell>
          <cell r="BX254">
            <v>45079</v>
          </cell>
          <cell r="BY254" t="str">
            <v>Approved</v>
          </cell>
          <cell r="CD254">
            <v>45146</v>
          </cell>
          <cell r="CE254">
            <v>45155</v>
          </cell>
          <cell r="CG254" t="str">
            <v>M/s. Saitech Electricals</v>
          </cell>
          <cell r="CI254" t="str">
            <v>Issued</v>
          </cell>
          <cell r="DG254" t="str">
            <v>Netmed SDP - Not in Dead Rental</v>
          </cell>
          <cell r="DK254">
            <v>45171</v>
          </cell>
          <cell r="DL254">
            <v>45167</v>
          </cell>
          <cell r="DM254">
            <v>2</v>
          </cell>
          <cell r="DN254" t="str">
            <v>0 to 3 Days</v>
          </cell>
          <cell r="DP254">
            <v>45158</v>
          </cell>
          <cell r="DQ254">
            <v>45173</v>
          </cell>
          <cell r="DR254">
            <v>7</v>
          </cell>
          <cell r="DS254">
            <v>7</v>
          </cell>
          <cell r="DU254">
            <v>45180</v>
          </cell>
          <cell r="DV254">
            <v>45165</v>
          </cell>
          <cell r="DW254">
            <v>45180</v>
          </cell>
          <cell r="DX254" t="str">
            <v>Sep 23 Week 2</v>
          </cell>
          <cell r="DY254">
            <v>45183</v>
          </cell>
          <cell r="DZ254">
            <v>45183</v>
          </cell>
          <cell r="EA254" t="str">
            <v>Sep 23 Week 2</v>
          </cell>
          <cell r="EB254" t="str">
            <v>Backlog</v>
          </cell>
          <cell r="ED254" t="str">
            <v/>
          </cell>
          <cell r="EE254" t="str">
            <v/>
          </cell>
          <cell r="EF254">
            <v>1</v>
          </cell>
          <cell r="EG254">
            <v>1</v>
          </cell>
          <cell r="FD254">
            <v>3</v>
          </cell>
          <cell r="FE254" t="str">
            <v>0 to 3 Days</v>
          </cell>
          <cell r="FF254">
            <v>18</v>
          </cell>
          <cell r="FG254" t="str">
            <v>16 to 31 Days</v>
          </cell>
          <cell r="FH254" t="str">
            <v>Done</v>
          </cell>
          <cell r="FI254" t="str">
            <v>Done</v>
          </cell>
          <cell r="FJ254" t="str">
            <v>NA</v>
          </cell>
          <cell r="FK254">
            <v>45285</v>
          </cell>
          <cell r="FM254" t="str">
            <v/>
          </cell>
          <cell r="GA254">
            <v>45183</v>
          </cell>
          <cell r="GC254">
            <v>45173</v>
          </cell>
          <cell r="GG254" t="str">
            <v>2023-2024</v>
          </cell>
        </row>
        <row r="255">
          <cell r="E255" t="str">
            <v>Ground Floor Rajkamal Hall SurveyNo.225  , 143 Igatpuri Tal &amp; dist- Nashik , Property No. W01000308 CTS No 142 &amp;  , IGATPURI , 422403</v>
          </cell>
          <cell r="F255" t="str">
            <v>9. EPC Ready</v>
          </cell>
          <cell r="G255" t="str">
            <v>SPMHNAN3791</v>
          </cell>
          <cell r="H255" t="str">
            <v>MH-SM-ITI-3000</v>
          </cell>
          <cell r="I255" t="str">
            <v>TYYO</v>
          </cell>
          <cell r="J255" t="str">
            <v>QB6S</v>
          </cell>
          <cell r="K255" t="str">
            <v>W</v>
          </cell>
          <cell r="L255" t="str">
            <v>KC</v>
          </cell>
          <cell r="M255" t="str">
            <v>EPC Ready</v>
          </cell>
          <cell r="P255" t="str">
            <v>Mr Prashant Wankhede-9284862994</v>
          </cell>
          <cell r="Q255" t="str">
            <v>Gaurav Shinde</v>
          </cell>
          <cell r="S255" t="str">
            <v>Maharashtra</v>
          </cell>
          <cell r="T255" t="str">
            <v>IGATPURI</v>
          </cell>
          <cell r="U255" t="str">
            <v>Non Premium</v>
          </cell>
          <cell r="V255" t="str">
            <v>Pharma Format</v>
          </cell>
          <cell r="W255">
            <v>400</v>
          </cell>
          <cell r="X255" t="str">
            <v>Ground Floor Rajkamal Hall SurveyNo.225  , 143 Igatpuri Tal &amp; dist- Nashik , Property No. W01000308 CTS No 142 &amp;  , IGATPURI , 422403</v>
          </cell>
          <cell r="Y255">
            <v>45159</v>
          </cell>
          <cell r="Z255" t="str">
            <v>NA</v>
          </cell>
          <cell r="AB255" t="str">
            <v>NA</v>
          </cell>
          <cell r="AF255" t="str">
            <v>NA</v>
          </cell>
          <cell r="AK255">
            <v>45184</v>
          </cell>
          <cell r="AL255" t="str">
            <v>Received</v>
          </cell>
          <cell r="AM255">
            <v>0</v>
          </cell>
          <cell r="AO255">
            <v>3</v>
          </cell>
          <cell r="AS255">
            <v>-3</v>
          </cell>
          <cell r="AU255">
            <v>4</v>
          </cell>
          <cell r="AY255">
            <v>-4</v>
          </cell>
          <cell r="BA255">
            <v>5</v>
          </cell>
          <cell r="BE255">
            <v>-5</v>
          </cell>
          <cell r="BG255">
            <v>5</v>
          </cell>
          <cell r="BK255">
            <v>-5</v>
          </cell>
          <cell r="BM255">
            <v>3</v>
          </cell>
          <cell r="BP255">
            <v>3</v>
          </cell>
          <cell r="BW255" t="str">
            <v>Done</v>
          </cell>
          <cell r="BX255">
            <v>45079</v>
          </cell>
          <cell r="BY255" t="str">
            <v>Approved</v>
          </cell>
          <cell r="CD255">
            <v>45146</v>
          </cell>
          <cell r="CE255">
            <v>45152</v>
          </cell>
          <cell r="CG255" t="str">
            <v>M/s. Vighnesh Electricals</v>
          </cell>
          <cell r="CI255" t="str">
            <v>Issued</v>
          </cell>
          <cell r="DG255" t="str">
            <v>Netmed SDP - Not in Dead Rental</v>
          </cell>
          <cell r="DK255">
            <v>45171</v>
          </cell>
          <cell r="DL255">
            <v>45165</v>
          </cell>
          <cell r="DM255">
            <v>2</v>
          </cell>
          <cell r="DN255" t="str">
            <v>0 to 3 Days</v>
          </cell>
          <cell r="DP255">
            <v>45155</v>
          </cell>
          <cell r="DQ255">
            <v>45173</v>
          </cell>
          <cell r="DR255">
            <v>7</v>
          </cell>
          <cell r="DS255">
            <v>7</v>
          </cell>
          <cell r="DU255">
            <v>45180</v>
          </cell>
          <cell r="DV255">
            <v>45162</v>
          </cell>
          <cell r="DW255">
            <v>45180</v>
          </cell>
          <cell r="DX255" t="str">
            <v>Sep 23 Week 2</v>
          </cell>
          <cell r="DY255">
            <v>45183</v>
          </cell>
          <cell r="DZ255">
            <v>45183</v>
          </cell>
          <cell r="EA255" t="str">
            <v>Sep 23 Week 2</v>
          </cell>
          <cell r="EB255" t="str">
            <v>Backlog</v>
          </cell>
          <cell r="ED255" t="str">
            <v/>
          </cell>
          <cell r="EE255" t="str">
            <v/>
          </cell>
          <cell r="EF255">
            <v>1</v>
          </cell>
          <cell r="EG255">
            <v>1</v>
          </cell>
          <cell r="FD255">
            <v>3</v>
          </cell>
          <cell r="FE255" t="str">
            <v>0 to 3 Days</v>
          </cell>
          <cell r="FF255">
            <v>21</v>
          </cell>
          <cell r="FG255" t="str">
            <v>16 to 31 Days</v>
          </cell>
          <cell r="FH255" t="str">
            <v>Done</v>
          </cell>
          <cell r="FI255" t="str">
            <v>Done</v>
          </cell>
          <cell r="FJ255" t="str">
            <v>NA</v>
          </cell>
          <cell r="FK255">
            <v>45363</v>
          </cell>
          <cell r="FM255" t="str">
            <v/>
          </cell>
          <cell r="GA255">
            <v>45183</v>
          </cell>
          <cell r="GC255">
            <v>45173</v>
          </cell>
          <cell r="GG255" t="str">
            <v>2023-2024</v>
          </cell>
        </row>
        <row r="256">
          <cell r="E256" t="str">
            <v>GF &amp; FF 61 Bazar No 02  ,  , Ramganjmandi Kota  , RAMGANJ MANDI , 326519</v>
          </cell>
          <cell r="F256" t="str">
            <v>9. EPC Ready</v>
          </cell>
          <cell r="G256" t="str">
            <v>SPRJKOK3826</v>
          </cell>
          <cell r="H256" t="str">
            <v>RJ-SM-RGI-3000</v>
          </cell>
          <cell r="I256" t="str">
            <v>TYRV</v>
          </cell>
          <cell r="J256" t="str">
            <v>QBYZ</v>
          </cell>
          <cell r="K256" t="str">
            <v xml:space="preserve">N </v>
          </cell>
          <cell r="L256" t="str">
            <v>KC</v>
          </cell>
          <cell r="M256" t="str">
            <v>EPC Ready</v>
          </cell>
          <cell r="P256" t="str">
            <v>Balram Soni-8003293109</v>
          </cell>
          <cell r="Q256" t="str">
            <v>Gaurav Shinde</v>
          </cell>
          <cell r="S256" t="str">
            <v>Rajasthan</v>
          </cell>
          <cell r="T256" t="str">
            <v>Ramganj mandi</v>
          </cell>
          <cell r="U256" t="str">
            <v>Non Premium</v>
          </cell>
          <cell r="V256" t="str">
            <v>Pharma Format</v>
          </cell>
          <cell r="W256">
            <v>396</v>
          </cell>
          <cell r="X256" t="str">
            <v>GF &amp; FF 61 Bazar No 02  ,  , Ramganjmandi Kota  , RAMGANJ MANDI , 326519</v>
          </cell>
          <cell r="Y256">
            <v>45125</v>
          </cell>
          <cell r="Z256" t="str">
            <v>NA</v>
          </cell>
          <cell r="AB256" t="str">
            <v>NA</v>
          </cell>
          <cell r="AF256" t="str">
            <v>NA</v>
          </cell>
          <cell r="AK256">
            <v>45192</v>
          </cell>
          <cell r="AL256" t="str">
            <v>Received</v>
          </cell>
          <cell r="AM256">
            <v>45187</v>
          </cell>
          <cell r="AO256">
            <v>3</v>
          </cell>
          <cell r="AS256">
            <v>-3</v>
          </cell>
          <cell r="AU256">
            <v>4</v>
          </cell>
          <cell r="AY256">
            <v>-4</v>
          </cell>
          <cell r="BA256">
            <v>5</v>
          </cell>
          <cell r="BE256">
            <v>-5</v>
          </cell>
          <cell r="BG256">
            <v>5</v>
          </cell>
          <cell r="BK256">
            <v>-5</v>
          </cell>
          <cell r="BM256">
            <v>3</v>
          </cell>
          <cell r="BP256">
            <v>3</v>
          </cell>
          <cell r="BW256" t="str">
            <v>Done</v>
          </cell>
          <cell r="BX256">
            <v>45079</v>
          </cell>
          <cell r="BY256" t="str">
            <v>Approved</v>
          </cell>
          <cell r="CD256">
            <v>45126</v>
          </cell>
          <cell r="CE256">
            <v>45156</v>
          </cell>
          <cell r="CG256" t="str">
            <v>M/s    Barso Solution</v>
          </cell>
          <cell r="CI256" t="str">
            <v>Issued</v>
          </cell>
          <cell r="DG256" t="str">
            <v>Netmed SDP - Not in Dead Rental</v>
          </cell>
          <cell r="DK256">
            <v>45169</v>
          </cell>
          <cell r="DL256">
            <v>45160</v>
          </cell>
          <cell r="DM256">
            <v>2</v>
          </cell>
          <cell r="DN256" t="str">
            <v>0 to 3 Days</v>
          </cell>
          <cell r="DP256">
            <v>45159</v>
          </cell>
          <cell r="DQ256">
            <v>45171</v>
          </cell>
          <cell r="DR256">
            <v>7</v>
          </cell>
          <cell r="DS256">
            <v>7</v>
          </cell>
          <cell r="DU256">
            <v>45178</v>
          </cell>
          <cell r="DV256">
            <v>45166</v>
          </cell>
          <cell r="DW256">
            <v>45178</v>
          </cell>
          <cell r="DX256" t="str">
            <v>Sep 23 Week 2</v>
          </cell>
          <cell r="DY256">
            <v>45183</v>
          </cell>
          <cell r="DZ256">
            <v>45183</v>
          </cell>
          <cell r="EA256" t="str">
            <v>Sep 23 Week 2</v>
          </cell>
          <cell r="EB256" t="str">
            <v>Backlog</v>
          </cell>
          <cell r="ED256" t="str">
            <v/>
          </cell>
          <cell r="EE256" t="str">
            <v/>
          </cell>
          <cell r="EF256">
            <v>1</v>
          </cell>
          <cell r="EG256">
            <v>1</v>
          </cell>
          <cell r="FD256">
            <v>5</v>
          </cell>
          <cell r="FE256" t="str">
            <v>4 to 7 Days</v>
          </cell>
          <cell r="FF256">
            <v>17</v>
          </cell>
          <cell r="FG256" t="str">
            <v>16 to 31 Days</v>
          </cell>
          <cell r="FH256" t="str">
            <v>Done</v>
          </cell>
          <cell r="FI256" t="str">
            <v>Done</v>
          </cell>
          <cell r="FJ256" t="str">
            <v>NA</v>
          </cell>
          <cell r="FK256">
            <v>45219</v>
          </cell>
          <cell r="FM256" t="str">
            <v/>
          </cell>
          <cell r="GA256">
            <v>45211</v>
          </cell>
          <cell r="GC256">
            <v>45171</v>
          </cell>
          <cell r="GG256" t="str">
            <v>2023-2024</v>
          </cell>
        </row>
        <row r="257">
          <cell r="E257" t="str">
            <v>Plot no 813/C/20  sheet no 20 Village  , Daryapur Banosa , Daryapur- taluka-Daryapur Dis-Yavatmal  , Daryapur , 444803</v>
          </cell>
          <cell r="F257" t="str">
            <v>9. EPC Ready</v>
          </cell>
          <cell r="G257" t="str">
            <v>SPMHDaD4171</v>
          </cell>
          <cell r="H257" t="str">
            <v>MH-SM-DYA-3000</v>
          </cell>
          <cell r="I257" t="str">
            <v>TXCC</v>
          </cell>
          <cell r="J257" t="str">
            <v>Q8FY</v>
          </cell>
          <cell r="K257" t="str">
            <v>W</v>
          </cell>
          <cell r="L257" t="str">
            <v>KC</v>
          </cell>
          <cell r="M257" t="str">
            <v>EPC Ready</v>
          </cell>
          <cell r="P257" t="str">
            <v>Mr Rahulkumar Mishra-9226099710</v>
          </cell>
          <cell r="Q257" t="str">
            <v>Gaurav Shinde</v>
          </cell>
          <cell r="S257" t="str">
            <v>Maharashtra</v>
          </cell>
          <cell r="T257" t="str">
            <v>Daryapur</v>
          </cell>
          <cell r="U257" t="str">
            <v>Non Premium</v>
          </cell>
          <cell r="V257" t="str">
            <v>Pharma Format</v>
          </cell>
          <cell r="W257">
            <v>400</v>
          </cell>
          <cell r="X257" t="str">
            <v>Plot no 813/C/20  sheet no 20 Village  , Daryapur Banosa , Daryapur- taluka-Daryapur Dis-Yavatmal  , Daryapur , 444803</v>
          </cell>
          <cell r="Y257">
            <v>45159</v>
          </cell>
          <cell r="Z257" t="str">
            <v>NA</v>
          </cell>
          <cell r="AB257" t="str">
            <v>NA</v>
          </cell>
          <cell r="AF257" t="str">
            <v>NA</v>
          </cell>
          <cell r="AK257">
            <v>45166</v>
          </cell>
          <cell r="AL257" t="str">
            <v>Received</v>
          </cell>
          <cell r="AM257">
            <v>45161</v>
          </cell>
          <cell r="AO257">
            <v>3</v>
          </cell>
          <cell r="AS257">
            <v>-3</v>
          </cell>
          <cell r="AU257">
            <v>4</v>
          </cell>
          <cell r="AY257">
            <v>-4</v>
          </cell>
          <cell r="BA257">
            <v>5</v>
          </cell>
          <cell r="BE257">
            <v>-5</v>
          </cell>
          <cell r="BG257">
            <v>5</v>
          </cell>
          <cell r="BK257">
            <v>-5</v>
          </cell>
          <cell r="BM257">
            <v>3</v>
          </cell>
          <cell r="BP257">
            <v>3</v>
          </cell>
          <cell r="BW257" t="str">
            <v>Done</v>
          </cell>
          <cell r="BX257">
            <v>45079</v>
          </cell>
          <cell r="BY257" t="str">
            <v>Approved</v>
          </cell>
          <cell r="CD257">
            <v>45146</v>
          </cell>
          <cell r="CE257">
            <v>45152</v>
          </cell>
          <cell r="CG257" t="str">
            <v>M/s. Nayab Electricals</v>
          </cell>
          <cell r="CI257" t="str">
            <v>Issued</v>
          </cell>
          <cell r="DG257" t="str">
            <v>Netmed SDP - Not in Dead Rental</v>
          </cell>
          <cell r="DK257">
            <v>45173</v>
          </cell>
          <cell r="DL257">
            <v>45167</v>
          </cell>
          <cell r="DM257">
            <v>2</v>
          </cell>
          <cell r="DN257" t="str">
            <v>0 to 3 Days</v>
          </cell>
          <cell r="DP257">
            <v>45155</v>
          </cell>
          <cell r="DQ257">
            <v>45175</v>
          </cell>
          <cell r="DR257">
            <v>7</v>
          </cell>
          <cell r="DS257">
            <v>7</v>
          </cell>
          <cell r="DU257">
            <v>45182</v>
          </cell>
          <cell r="DV257">
            <v>45162</v>
          </cell>
          <cell r="DW257">
            <v>45182</v>
          </cell>
          <cell r="DX257" t="str">
            <v>Sep 23 Week 2</v>
          </cell>
          <cell r="DY257">
            <v>45185</v>
          </cell>
          <cell r="DZ257">
            <v>45184</v>
          </cell>
          <cell r="EA257" t="str">
            <v>Sep 23 Week 3</v>
          </cell>
          <cell r="EB257" t="str">
            <v>Backlog</v>
          </cell>
          <cell r="ED257" t="str">
            <v/>
          </cell>
          <cell r="EE257" t="str">
            <v/>
          </cell>
          <cell r="EF257">
            <v>1</v>
          </cell>
          <cell r="EG257">
            <v>1</v>
          </cell>
          <cell r="FD257">
            <v>2</v>
          </cell>
          <cell r="FE257" t="str">
            <v>0 to 3 Days</v>
          </cell>
          <cell r="FF257">
            <v>22</v>
          </cell>
          <cell r="FG257" t="str">
            <v>16 to 31 Days</v>
          </cell>
          <cell r="FH257" t="str">
            <v>Done</v>
          </cell>
          <cell r="FI257" t="str">
            <v>Done</v>
          </cell>
          <cell r="FJ257" t="str">
            <v>NA</v>
          </cell>
          <cell r="FK257">
            <v>45219</v>
          </cell>
          <cell r="FM257" t="str">
            <v/>
          </cell>
          <cell r="GA257">
            <v>45184</v>
          </cell>
          <cell r="GC257">
            <v>45175</v>
          </cell>
          <cell r="GG257" t="str">
            <v>2023-2024</v>
          </cell>
        </row>
        <row r="258">
          <cell r="E258" t="str">
            <v>Mahindre Complex Sr 54 55 Plot No 12  , Digras Yawatmal , Digras Darvha Rd Near Bus Stand  , DIGRAS , 445203</v>
          </cell>
          <cell r="F258" t="str">
            <v>9. EPC Ready</v>
          </cell>
          <cell r="G258" t="str">
            <v>SPMHNAY4303</v>
          </cell>
          <cell r="H258" t="str">
            <v>MH-SM-DRS-3000</v>
          </cell>
          <cell r="I258" t="str">
            <v>TYMB</v>
          </cell>
          <cell r="J258" t="str">
            <v>QBSM</v>
          </cell>
          <cell r="K258" t="str">
            <v>W</v>
          </cell>
          <cell r="L258" t="str">
            <v>KC</v>
          </cell>
          <cell r="M258" t="str">
            <v>EPC Ready</v>
          </cell>
          <cell r="P258" t="str">
            <v>Mr Rahul Mishra- 9226099710</v>
          </cell>
          <cell r="Q258" t="str">
            <v>Gaurav Shinde</v>
          </cell>
          <cell r="S258" t="str">
            <v>Maharashtra</v>
          </cell>
          <cell r="T258" t="str">
            <v>Digras</v>
          </cell>
          <cell r="U258" t="str">
            <v>Non Premium</v>
          </cell>
          <cell r="V258" t="str">
            <v>Pharma Format</v>
          </cell>
          <cell r="W258">
            <v>392</v>
          </cell>
          <cell r="X258" t="str">
            <v>Mahindre Complex Sr 54 55 Plot No 12  , Digras Yawatmal , Digras Darvha Rd Near Bus Stand  , DIGRAS , 445203</v>
          </cell>
          <cell r="Y258">
            <v>45166</v>
          </cell>
          <cell r="Z258" t="str">
            <v>NA</v>
          </cell>
          <cell r="AB258" t="str">
            <v>NA</v>
          </cell>
          <cell r="AF258" t="str">
            <v>NA</v>
          </cell>
          <cell r="AK258">
            <v>45170</v>
          </cell>
          <cell r="AL258" t="str">
            <v>Received</v>
          </cell>
          <cell r="AM258">
            <v>45165</v>
          </cell>
          <cell r="AO258">
            <v>3</v>
          </cell>
          <cell r="AS258">
            <v>-3</v>
          </cell>
          <cell r="AU258">
            <v>4</v>
          </cell>
          <cell r="AY258">
            <v>-4</v>
          </cell>
          <cell r="BA258">
            <v>5</v>
          </cell>
          <cell r="BE258">
            <v>-5</v>
          </cell>
          <cell r="BG258">
            <v>5</v>
          </cell>
          <cell r="BK258">
            <v>-5</v>
          </cell>
          <cell r="BM258">
            <v>3</v>
          </cell>
          <cell r="BP258">
            <v>3</v>
          </cell>
          <cell r="BW258" t="str">
            <v>Done</v>
          </cell>
          <cell r="BX258">
            <v>45079</v>
          </cell>
          <cell r="BY258" t="str">
            <v>Approved</v>
          </cell>
          <cell r="CD258">
            <v>45163</v>
          </cell>
          <cell r="CE258">
            <v>45169</v>
          </cell>
          <cell r="CG258" t="str">
            <v>M/s. Nayab Electricals</v>
          </cell>
          <cell r="CI258" t="str">
            <v>Issued</v>
          </cell>
          <cell r="DG258" t="str">
            <v>Netmed SDP - Not in Dead Rental</v>
          </cell>
          <cell r="DK258">
            <v>45173</v>
          </cell>
          <cell r="DL258">
            <v>45173</v>
          </cell>
          <cell r="DM258">
            <v>2</v>
          </cell>
          <cell r="DN258" t="str">
            <v>0 to 3 Days</v>
          </cell>
          <cell r="DP258">
            <v>45172</v>
          </cell>
          <cell r="DQ258">
            <v>45175</v>
          </cell>
          <cell r="DR258">
            <v>7</v>
          </cell>
          <cell r="DS258">
            <v>7</v>
          </cell>
          <cell r="DU258">
            <v>45182</v>
          </cell>
          <cell r="DV258">
            <v>45179</v>
          </cell>
          <cell r="DW258">
            <v>45182</v>
          </cell>
          <cell r="DX258" t="str">
            <v>Sep 23 Week 2</v>
          </cell>
          <cell r="DY258">
            <v>45189</v>
          </cell>
          <cell r="DZ258">
            <v>45189</v>
          </cell>
          <cell r="EA258" t="str">
            <v>Sep 23 Week 3</v>
          </cell>
          <cell r="EB258" t="str">
            <v>Backlog</v>
          </cell>
          <cell r="ED258" t="str">
            <v/>
          </cell>
          <cell r="EE258" t="str">
            <v/>
          </cell>
          <cell r="EF258">
            <v>1</v>
          </cell>
          <cell r="EG258">
            <v>1</v>
          </cell>
          <cell r="FD258">
            <v>7</v>
          </cell>
          <cell r="FE258" t="str">
            <v>4 to 7 Days</v>
          </cell>
          <cell r="FF258">
            <v>10</v>
          </cell>
          <cell r="FG258" t="str">
            <v>8 to 15 Days</v>
          </cell>
          <cell r="FH258" t="str">
            <v>Done</v>
          </cell>
          <cell r="FI258" t="str">
            <v>Done</v>
          </cell>
          <cell r="FJ258" t="str">
            <v>NA</v>
          </cell>
          <cell r="FK258">
            <v>45294</v>
          </cell>
          <cell r="FM258" t="str">
            <v/>
          </cell>
          <cell r="GA258">
            <v>45189</v>
          </cell>
          <cell r="GC258">
            <v>45175</v>
          </cell>
          <cell r="GG258" t="str">
            <v>2023-2024</v>
          </cell>
        </row>
        <row r="259">
          <cell r="E259" t="str">
            <v>GF Plot No 1007 Khasra 1129 5 To 1132 3  , 27 Madan Mohan Choubey Ward Dist Katni , PH No 43 NB 493 Vill Halka Murwara Ward  , KATNI , 483501</v>
          </cell>
          <cell r="F259" t="str">
            <v>9. EPC Ready</v>
          </cell>
          <cell r="G259" t="str">
            <v>SPMPKaK3843</v>
          </cell>
          <cell r="H259" t="str">
            <v>MP-SM-MUK-3001</v>
          </cell>
          <cell r="I259" t="str">
            <v>TAXY</v>
          </cell>
          <cell r="J259" t="str">
            <v>QGHC</v>
          </cell>
          <cell r="K259" t="str">
            <v>W</v>
          </cell>
          <cell r="L259" t="str">
            <v>KC</v>
          </cell>
          <cell r="M259" t="str">
            <v>EPC Ready</v>
          </cell>
          <cell r="P259" t="str">
            <v>Mahendra Baghel-6264914751</v>
          </cell>
          <cell r="Q259" t="str">
            <v>Gaurav Shinde</v>
          </cell>
          <cell r="S259" t="str">
            <v>Madhya Pradesh</v>
          </cell>
          <cell r="T259" t="str">
            <v>Murwara(Katni)</v>
          </cell>
          <cell r="U259" t="str">
            <v>Non Premium</v>
          </cell>
          <cell r="V259" t="str">
            <v>Pharma Format</v>
          </cell>
          <cell r="W259">
            <v>400</v>
          </cell>
          <cell r="X259" t="str">
            <v>GF Plot No 1007 Khasra 1129 5 To 1132 3  , 27 Madan Mohan Choubey Ward Dist Katni , PH No 43 NB 493 Vill Halka Murwara Ward  , KATNI , 483501</v>
          </cell>
          <cell r="Y259">
            <v>45166</v>
          </cell>
          <cell r="Z259" t="str">
            <v>NA</v>
          </cell>
          <cell r="AB259" t="str">
            <v>NA</v>
          </cell>
          <cell r="AF259" t="str">
            <v>NA</v>
          </cell>
          <cell r="AK259">
            <v>45163</v>
          </cell>
          <cell r="AL259" t="str">
            <v>Received</v>
          </cell>
          <cell r="AM259">
            <v>45158</v>
          </cell>
          <cell r="AO259">
            <v>3</v>
          </cell>
          <cell r="AS259">
            <v>-3</v>
          </cell>
          <cell r="AU259">
            <v>4</v>
          </cell>
          <cell r="AY259">
            <v>-4</v>
          </cell>
          <cell r="BA259">
            <v>5</v>
          </cell>
          <cell r="BE259">
            <v>-5</v>
          </cell>
          <cell r="BG259">
            <v>5</v>
          </cell>
          <cell r="BK259">
            <v>-5</v>
          </cell>
          <cell r="BM259">
            <v>3</v>
          </cell>
          <cell r="BP259">
            <v>3</v>
          </cell>
          <cell r="BW259" t="str">
            <v>Done</v>
          </cell>
          <cell r="BX259">
            <v>45079</v>
          </cell>
          <cell r="BY259" t="str">
            <v>Approved</v>
          </cell>
          <cell r="CD259">
            <v>45163</v>
          </cell>
          <cell r="CE259">
            <v>45169</v>
          </cell>
          <cell r="CG259" t="str">
            <v>M/s. KP Enterprises</v>
          </cell>
          <cell r="CI259" t="str">
            <v>Issued</v>
          </cell>
          <cell r="DG259" t="str">
            <v>Netmed SDP - Not in Dead Rental</v>
          </cell>
          <cell r="DK259">
            <v>45181</v>
          </cell>
          <cell r="DL259">
            <v>45166</v>
          </cell>
          <cell r="DM259">
            <v>2</v>
          </cell>
          <cell r="DN259" t="str">
            <v>0 to 3 Days</v>
          </cell>
          <cell r="DP259">
            <v>45172</v>
          </cell>
          <cell r="DQ259">
            <v>45183</v>
          </cell>
          <cell r="DR259">
            <v>7</v>
          </cell>
          <cell r="DS259">
            <v>7</v>
          </cell>
          <cell r="DU259">
            <v>45190</v>
          </cell>
          <cell r="DV259">
            <v>45179</v>
          </cell>
          <cell r="DW259">
            <v>45190</v>
          </cell>
          <cell r="DX259" t="str">
            <v>Sep 23 Week 3</v>
          </cell>
          <cell r="DY259">
            <v>45197</v>
          </cell>
          <cell r="DZ259">
            <v>45197</v>
          </cell>
          <cell r="EA259" t="str">
            <v>Sep 23 Week 4</v>
          </cell>
          <cell r="EB259" t="str">
            <v>Backlog</v>
          </cell>
          <cell r="ED259" t="str">
            <v/>
          </cell>
          <cell r="EE259" t="str">
            <v/>
          </cell>
          <cell r="EF259">
            <v>1</v>
          </cell>
          <cell r="EG259">
            <v>1</v>
          </cell>
          <cell r="FD259">
            <v>7</v>
          </cell>
          <cell r="FE259" t="str">
            <v>4 to 7 Days</v>
          </cell>
          <cell r="FF259">
            <v>18</v>
          </cell>
          <cell r="FG259" t="str">
            <v>16 to 31 Days</v>
          </cell>
          <cell r="FH259" t="str">
            <v>Done</v>
          </cell>
          <cell r="FI259" t="str">
            <v>Done</v>
          </cell>
          <cell r="FJ259" t="str">
            <v>NA</v>
          </cell>
          <cell r="FK259">
            <v>45220</v>
          </cell>
          <cell r="FM259" t="str">
            <v/>
          </cell>
          <cell r="GA259">
            <v>45202</v>
          </cell>
          <cell r="GC259">
            <v>45183</v>
          </cell>
          <cell r="GG259" t="str">
            <v>2023-2024</v>
          </cell>
        </row>
        <row r="260">
          <cell r="E260" t="str">
            <v>GF Khasra No 2464  , Tehsil Vikas Nagar Dist Dehradun , Village Atanbagh Pargana Pachwadoon  , VIKASNAGAR , 248198</v>
          </cell>
          <cell r="F260" t="str">
            <v>9. EPC Ready</v>
          </cell>
          <cell r="G260" t="str">
            <v>SPUKDED3907</v>
          </cell>
          <cell r="H260" t="str">
            <v>UT-SM-VAR-3001</v>
          </cell>
          <cell r="I260" t="str">
            <v>TYYN</v>
          </cell>
          <cell r="J260" t="str">
            <v>QB6R</v>
          </cell>
          <cell r="K260" t="str">
            <v xml:space="preserve">N </v>
          </cell>
          <cell r="L260" t="str">
            <v>KC</v>
          </cell>
          <cell r="M260" t="str">
            <v>EPC Ready</v>
          </cell>
          <cell r="P260" t="str">
            <v>Manoj Agarwal-8811031166</v>
          </cell>
          <cell r="Q260" t="str">
            <v>Gaurav Shinde</v>
          </cell>
          <cell r="S260" t="str">
            <v>Uttarakhand</v>
          </cell>
          <cell r="T260" t="str">
            <v>VikasNagar</v>
          </cell>
          <cell r="U260" t="str">
            <v>Non Premium</v>
          </cell>
          <cell r="V260" t="str">
            <v>Pharma Format</v>
          </cell>
          <cell r="W260">
            <v>400</v>
          </cell>
          <cell r="X260" t="str">
            <v>GF Khasra No 2464  , Tehsil Vikas Nagar Dist Dehradun , Village Atanbagh Pargana Pachwadoon  , VIKASNAGAR , 248198</v>
          </cell>
          <cell r="Y260">
            <v>45166</v>
          </cell>
          <cell r="Z260" t="str">
            <v>NA</v>
          </cell>
          <cell r="AB260" t="str">
            <v>NA</v>
          </cell>
          <cell r="AF260" t="str">
            <v>NA</v>
          </cell>
          <cell r="AK260">
            <v>45183</v>
          </cell>
          <cell r="AL260" t="str">
            <v>Received</v>
          </cell>
          <cell r="AM260">
            <v>0</v>
          </cell>
          <cell r="AO260">
            <v>3</v>
          </cell>
          <cell r="AS260">
            <v>-3</v>
          </cell>
          <cell r="AU260">
            <v>4</v>
          </cell>
          <cell r="AY260">
            <v>-4</v>
          </cell>
          <cell r="BA260">
            <v>5</v>
          </cell>
          <cell r="BE260">
            <v>-5</v>
          </cell>
          <cell r="BG260">
            <v>5</v>
          </cell>
          <cell r="BK260">
            <v>-5</v>
          </cell>
          <cell r="BM260">
            <v>3</v>
          </cell>
          <cell r="BP260">
            <v>3</v>
          </cell>
          <cell r="BW260" t="str">
            <v>Done</v>
          </cell>
          <cell r="BX260">
            <v>45079</v>
          </cell>
          <cell r="BY260" t="str">
            <v>Approved</v>
          </cell>
          <cell r="CD260">
            <v>45163</v>
          </cell>
          <cell r="CE260">
            <v>45177</v>
          </cell>
          <cell r="CG260" t="str">
            <v>M/s     SHOURYA INFRATECH</v>
          </cell>
          <cell r="CI260" t="str">
            <v>Issued</v>
          </cell>
          <cell r="DG260" t="str">
            <v>Netmed SDP - Not in Dead Rental</v>
          </cell>
          <cell r="DK260">
            <v>45191</v>
          </cell>
          <cell r="DL260">
            <v>45166</v>
          </cell>
          <cell r="DM260">
            <v>2</v>
          </cell>
          <cell r="DN260" t="str">
            <v>0 to 3 Days</v>
          </cell>
          <cell r="DP260">
            <v>45180</v>
          </cell>
          <cell r="DQ260">
            <v>45193</v>
          </cell>
          <cell r="DR260">
            <v>7</v>
          </cell>
          <cell r="DS260">
            <v>7</v>
          </cell>
          <cell r="DU260">
            <v>45200</v>
          </cell>
          <cell r="DV260">
            <v>45187</v>
          </cell>
          <cell r="DW260">
            <v>45200</v>
          </cell>
          <cell r="DX260" t="str">
            <v>Oct 23 Week 1</v>
          </cell>
          <cell r="DY260">
            <v>45197</v>
          </cell>
          <cell r="DZ260">
            <v>45197</v>
          </cell>
          <cell r="EA260" t="str">
            <v>Sep 23 Week 4</v>
          </cell>
          <cell r="EB260" t="str">
            <v>Plan</v>
          </cell>
          <cell r="ED260" t="str">
            <v/>
          </cell>
          <cell r="EE260" t="str">
            <v/>
          </cell>
          <cell r="EF260">
            <v>1</v>
          </cell>
          <cell r="EG260">
            <v>1</v>
          </cell>
          <cell r="FD260">
            <v>-3</v>
          </cell>
          <cell r="FE260" t="str">
            <v>On Time</v>
          </cell>
          <cell r="FF260">
            <v>10</v>
          </cell>
          <cell r="FG260" t="str">
            <v>8 to 15 Days</v>
          </cell>
          <cell r="FH260" t="str">
            <v>Done</v>
          </cell>
          <cell r="FI260" t="str">
            <v>Done</v>
          </cell>
          <cell r="FJ260" t="str">
            <v>NA</v>
          </cell>
          <cell r="FK260">
            <v>45272</v>
          </cell>
          <cell r="FM260" t="str">
            <v/>
          </cell>
          <cell r="GA260">
            <v>45199</v>
          </cell>
          <cell r="GC260">
            <v>45193</v>
          </cell>
          <cell r="GG260" t="str">
            <v>2023-2024</v>
          </cell>
        </row>
        <row r="261">
          <cell r="E261" t="str">
            <v>Gf Om Sai Complex Sai Road Near  , Dist Solan , Arisht Spinning Mill  , BADDI , 173205</v>
          </cell>
          <cell r="F261" t="str">
            <v>9. EPC Ready</v>
          </cell>
          <cell r="G261" t="str">
            <v>SPHPSOS4097</v>
          </cell>
          <cell r="H261" t="str">
            <v>HP-SM-BDI-3001</v>
          </cell>
          <cell r="I261" t="str">
            <v>TAR2</v>
          </cell>
          <cell r="J261" t="str">
            <v>QGQP</v>
          </cell>
          <cell r="K261" t="str">
            <v xml:space="preserve">N </v>
          </cell>
          <cell r="L261" t="str">
            <v>KC</v>
          </cell>
          <cell r="M261" t="str">
            <v>EPC Ready</v>
          </cell>
          <cell r="P261" t="str">
            <v>Surender Dhaka-7009328484</v>
          </cell>
          <cell r="Q261" t="str">
            <v>Gaurav Shinde</v>
          </cell>
          <cell r="S261" t="str">
            <v>Himachal Pradesh</v>
          </cell>
          <cell r="T261" t="str">
            <v>Baddi</v>
          </cell>
          <cell r="U261" t="str">
            <v>Non Premium</v>
          </cell>
          <cell r="V261" t="str">
            <v>Pharma Format</v>
          </cell>
          <cell r="W261">
            <v>400</v>
          </cell>
          <cell r="X261" t="str">
            <v>Gf Om Sai Complex Sai Road Near  , Dist Solan , Arisht Spinning Mill  , BADDI , 173205</v>
          </cell>
          <cell r="Y261">
            <v>45166</v>
          </cell>
          <cell r="Z261" t="str">
            <v>NA</v>
          </cell>
          <cell r="AB261" t="str">
            <v>NA</v>
          </cell>
          <cell r="AF261" t="str">
            <v>NA</v>
          </cell>
          <cell r="AK261">
            <v>45163</v>
          </cell>
          <cell r="AL261" t="str">
            <v>Received</v>
          </cell>
          <cell r="AM261">
            <v>45158</v>
          </cell>
          <cell r="AO261">
            <v>3</v>
          </cell>
          <cell r="AS261">
            <v>-3</v>
          </cell>
          <cell r="AU261">
            <v>4</v>
          </cell>
          <cell r="AY261">
            <v>-4</v>
          </cell>
          <cell r="BA261">
            <v>5</v>
          </cell>
          <cell r="BE261">
            <v>-5</v>
          </cell>
          <cell r="BG261">
            <v>5</v>
          </cell>
          <cell r="BK261">
            <v>-5</v>
          </cell>
          <cell r="BM261">
            <v>3</v>
          </cell>
          <cell r="BP261">
            <v>3</v>
          </cell>
          <cell r="BW261" t="str">
            <v>Done</v>
          </cell>
          <cell r="BX261">
            <v>45079</v>
          </cell>
          <cell r="BY261" t="str">
            <v>Approved</v>
          </cell>
          <cell r="CD261">
            <v>45163</v>
          </cell>
          <cell r="CE261">
            <v>45166</v>
          </cell>
          <cell r="CG261" t="str">
            <v>M/s     Suncap Telecom Private Limited</v>
          </cell>
          <cell r="CI261" t="str">
            <v>Issued</v>
          </cell>
          <cell r="DG261" t="str">
            <v>Netmed SDP - Not in Dead Rental</v>
          </cell>
          <cell r="DK261">
            <v>45181</v>
          </cell>
          <cell r="DL261">
            <v>45166</v>
          </cell>
          <cell r="DM261">
            <v>2</v>
          </cell>
          <cell r="DN261" t="str">
            <v>0 to 3 Days</v>
          </cell>
          <cell r="DP261">
            <v>45169</v>
          </cell>
          <cell r="DQ261">
            <v>45183</v>
          </cell>
          <cell r="DR261">
            <v>7</v>
          </cell>
          <cell r="DS261">
            <v>7</v>
          </cell>
          <cell r="DU261">
            <v>45190</v>
          </cell>
          <cell r="DV261">
            <v>45176</v>
          </cell>
          <cell r="DW261">
            <v>45190</v>
          </cell>
          <cell r="DX261" t="str">
            <v>Sep 23 Week 3</v>
          </cell>
          <cell r="DY261">
            <v>45198</v>
          </cell>
          <cell r="DZ261">
            <v>45198</v>
          </cell>
          <cell r="EA261" t="str">
            <v>Sep 23 Week 5</v>
          </cell>
          <cell r="EB261" t="str">
            <v>Backlog</v>
          </cell>
          <cell r="ED261" t="str">
            <v/>
          </cell>
          <cell r="EE261" t="str">
            <v/>
          </cell>
          <cell r="EF261">
            <v>1</v>
          </cell>
          <cell r="EG261">
            <v>1</v>
          </cell>
          <cell r="FD261">
            <v>8</v>
          </cell>
          <cell r="FE261" t="str">
            <v>8 to 15 Days</v>
          </cell>
          <cell r="FF261">
            <v>22</v>
          </cell>
          <cell r="FG261" t="str">
            <v>16 to 31 Days</v>
          </cell>
          <cell r="FH261" t="str">
            <v>Done</v>
          </cell>
          <cell r="FI261" t="str">
            <v>Done</v>
          </cell>
          <cell r="FJ261" t="str">
            <v>NA</v>
          </cell>
          <cell r="FK261">
            <v>45225</v>
          </cell>
          <cell r="FM261" t="str">
            <v/>
          </cell>
          <cell r="GA261">
            <v>45204</v>
          </cell>
          <cell r="GC261">
            <v>45183</v>
          </cell>
          <cell r="GG261" t="str">
            <v>2023-2024</v>
          </cell>
        </row>
        <row r="262">
          <cell r="E262" t="str">
            <v>GF RHP Complex Khasra No 7  , Tehsil &amp; Dist Haridwar , Village Sultanpur Majri Pargana Jwalapur  , HARIDWAR , 249403</v>
          </cell>
          <cell r="F262" t="str">
            <v>9. EPC Ready</v>
          </cell>
          <cell r="G262" t="str">
            <v>SPUKHAH3651</v>
          </cell>
          <cell r="H262" t="str">
            <v>UT-SM-HAR-3005</v>
          </cell>
          <cell r="I262" t="str">
            <v>TYQE</v>
          </cell>
          <cell r="J262" t="str">
            <v>QBXG</v>
          </cell>
          <cell r="K262" t="str">
            <v xml:space="preserve">N </v>
          </cell>
          <cell r="L262" t="str">
            <v>KC</v>
          </cell>
          <cell r="M262" t="str">
            <v>EPC Ready</v>
          </cell>
          <cell r="P262" t="str">
            <v>Manoj Agarwal-8811031166</v>
          </cell>
          <cell r="Q262" t="str">
            <v>Gaurav Shinde</v>
          </cell>
          <cell r="S262" t="str">
            <v>Uttarakhand</v>
          </cell>
          <cell r="T262" t="str">
            <v>HARIDWAR</v>
          </cell>
          <cell r="U262" t="str">
            <v>Non Premium</v>
          </cell>
          <cell r="V262" t="str">
            <v>Pharma Format</v>
          </cell>
          <cell r="W262">
            <v>400</v>
          </cell>
          <cell r="X262" t="str">
            <v>GF RHP Complex Khasra No 7  , Tehsil &amp; Dist Haridwar , Village Sultanpur Majri Pargana Jwalapur  , HARIDWAR , 249403</v>
          </cell>
          <cell r="Y262">
            <v>45166</v>
          </cell>
          <cell r="Z262" t="str">
            <v>NA</v>
          </cell>
          <cell r="AB262" t="str">
            <v>NA</v>
          </cell>
          <cell r="AF262" t="str">
            <v>NA</v>
          </cell>
          <cell r="AK262">
            <v>45167</v>
          </cell>
          <cell r="AL262" t="str">
            <v>Received</v>
          </cell>
          <cell r="AO262">
            <v>3</v>
          </cell>
          <cell r="AS262">
            <v>-3</v>
          </cell>
          <cell r="AU262">
            <v>4</v>
          </cell>
          <cell r="AY262">
            <v>-4</v>
          </cell>
          <cell r="BA262">
            <v>5</v>
          </cell>
          <cell r="BE262">
            <v>-5</v>
          </cell>
          <cell r="BG262">
            <v>5</v>
          </cell>
          <cell r="BK262">
            <v>-5</v>
          </cell>
          <cell r="BM262">
            <v>3</v>
          </cell>
          <cell r="BP262">
            <v>3</v>
          </cell>
          <cell r="BW262" t="str">
            <v>Done</v>
          </cell>
          <cell r="BX262">
            <v>45079</v>
          </cell>
          <cell r="BY262" t="str">
            <v>Approved</v>
          </cell>
          <cell r="CD262">
            <v>45163</v>
          </cell>
          <cell r="CE262">
            <v>45177</v>
          </cell>
          <cell r="CG262" t="str">
            <v>M/s     SHOURYA INFRATECH</v>
          </cell>
          <cell r="CI262" t="str">
            <v>Issued</v>
          </cell>
          <cell r="DG262" t="str">
            <v>Netmed SDP - Not in Dead Rental</v>
          </cell>
          <cell r="DK262">
            <v>45188</v>
          </cell>
          <cell r="DL262">
            <v>45168</v>
          </cell>
          <cell r="DM262">
            <v>2</v>
          </cell>
          <cell r="DN262" t="str">
            <v>0 to 3 Days</v>
          </cell>
          <cell r="DP262">
            <v>45180</v>
          </cell>
          <cell r="DQ262">
            <v>45190</v>
          </cell>
          <cell r="DR262">
            <v>7</v>
          </cell>
          <cell r="DS262">
            <v>7</v>
          </cell>
          <cell r="DU262">
            <v>45197</v>
          </cell>
          <cell r="DV262">
            <v>45187</v>
          </cell>
          <cell r="DW262">
            <v>45197</v>
          </cell>
          <cell r="DX262" t="str">
            <v>Sep 23 Week 4</v>
          </cell>
          <cell r="DY262">
            <v>45198</v>
          </cell>
          <cell r="DZ262">
            <v>45198</v>
          </cell>
          <cell r="EA262" t="str">
            <v>Sep 23 Week 5</v>
          </cell>
          <cell r="EB262" t="str">
            <v>Backlog</v>
          </cell>
          <cell r="ED262" t="str">
            <v/>
          </cell>
          <cell r="EE262" t="str">
            <v/>
          </cell>
          <cell r="EF262">
            <v>1</v>
          </cell>
          <cell r="EG262">
            <v>1</v>
          </cell>
          <cell r="FD262">
            <v>1</v>
          </cell>
          <cell r="FE262" t="str">
            <v>0 to 3 Days</v>
          </cell>
          <cell r="FF262">
            <v>11</v>
          </cell>
          <cell r="FG262" t="str">
            <v>8 to 15 Days</v>
          </cell>
          <cell r="FH262" t="str">
            <v>Done</v>
          </cell>
          <cell r="FI262" t="str">
            <v>Done</v>
          </cell>
          <cell r="FJ262" t="str">
            <v>NA</v>
          </cell>
          <cell r="FK262">
            <v>45274</v>
          </cell>
          <cell r="FM262" t="str">
            <v/>
          </cell>
          <cell r="GA262">
            <v>45199</v>
          </cell>
          <cell r="GC262">
            <v>45190</v>
          </cell>
          <cell r="GG262" t="str">
            <v>2023-2024</v>
          </cell>
        </row>
        <row r="263">
          <cell r="E263" t="str">
            <v>SP Pharma Sadar Thana Rd</v>
          </cell>
          <cell r="F263" t="str">
            <v>9. EPC Ready</v>
          </cell>
          <cell r="G263" t="str">
            <v>SPPBABA1374</v>
          </cell>
          <cell r="H263" t="str">
            <v>PB-SM-FZL-3000</v>
          </cell>
          <cell r="I263" t="str">
            <v>TYIP</v>
          </cell>
          <cell r="J263" t="str">
            <v>QBOO</v>
          </cell>
          <cell r="K263" t="str">
            <v xml:space="preserve">N </v>
          </cell>
          <cell r="L263" t="str">
            <v>KC</v>
          </cell>
          <cell r="M263" t="str">
            <v>EPC Ready</v>
          </cell>
          <cell r="P263" t="str">
            <v>Yogesh Kapoor-7888699608</v>
          </cell>
          <cell r="Q263" t="str">
            <v>Gaurav Shinde</v>
          </cell>
          <cell r="S263" t="str">
            <v>Punjab</v>
          </cell>
          <cell r="T263" t="str">
            <v>Abohar</v>
          </cell>
          <cell r="U263" t="str">
            <v>Non Premium</v>
          </cell>
          <cell r="V263" t="str">
            <v>Pharma Format</v>
          </cell>
          <cell r="W263">
            <v>400</v>
          </cell>
          <cell r="X263" t="str">
            <v>SP Pharma Sadar Thana Rd</v>
          </cell>
          <cell r="Y263">
            <v>45124</v>
          </cell>
          <cell r="Z263" t="str">
            <v>NA</v>
          </cell>
          <cell r="AB263" t="str">
            <v>NA</v>
          </cell>
          <cell r="AF263" t="str">
            <v>NA</v>
          </cell>
          <cell r="AK263">
            <v>45144</v>
          </cell>
          <cell r="AL263" t="str">
            <v>Received</v>
          </cell>
          <cell r="AM263">
            <v>0</v>
          </cell>
          <cell r="AO263">
            <v>3</v>
          </cell>
          <cell r="AS263">
            <v>-3</v>
          </cell>
          <cell r="AU263">
            <v>4</v>
          </cell>
          <cell r="AY263">
            <v>-4</v>
          </cell>
          <cell r="BA263">
            <v>5</v>
          </cell>
          <cell r="BE263">
            <v>-5</v>
          </cell>
          <cell r="BG263">
            <v>5</v>
          </cell>
          <cell r="BK263">
            <v>-5</v>
          </cell>
          <cell r="BM263">
            <v>3</v>
          </cell>
          <cell r="BP263">
            <v>3</v>
          </cell>
          <cell r="BW263" t="str">
            <v>Done</v>
          </cell>
          <cell r="BX263">
            <v>45079</v>
          </cell>
          <cell r="BY263" t="str">
            <v>Approved</v>
          </cell>
          <cell r="CD263">
            <v>45126</v>
          </cell>
          <cell r="CE263">
            <v>45169</v>
          </cell>
          <cell r="CG263" t="str">
            <v xml:space="preserve">M/s     PREFER RACK ENGINEERS </v>
          </cell>
          <cell r="CI263" t="str">
            <v>Issued</v>
          </cell>
          <cell r="DG263" t="str">
            <v>Netmed SDP - Not in Dead Rental</v>
          </cell>
          <cell r="DK263">
            <v>45168</v>
          </cell>
          <cell r="DL263">
            <v>45146</v>
          </cell>
          <cell r="DM263">
            <v>2</v>
          </cell>
          <cell r="DN263" t="str">
            <v>0 to 3 Days</v>
          </cell>
          <cell r="DP263">
            <v>45172</v>
          </cell>
          <cell r="DQ263">
            <v>45170</v>
          </cell>
          <cell r="DR263">
            <v>7</v>
          </cell>
          <cell r="DS263">
            <v>7</v>
          </cell>
          <cell r="DU263">
            <v>45177</v>
          </cell>
          <cell r="DV263">
            <v>45179</v>
          </cell>
          <cell r="DW263">
            <v>45177</v>
          </cell>
          <cell r="DX263" t="str">
            <v>Sep 23 Week 2</v>
          </cell>
          <cell r="DY263" t="str">
            <v>30-09-2023
10-10-2023
17-10-2023</v>
          </cell>
          <cell r="DZ263">
            <v>45233</v>
          </cell>
          <cell r="EA263" t="str">
            <v>Nov 23 Week 1</v>
          </cell>
          <cell r="EB263" t="str">
            <v>Backlog</v>
          </cell>
          <cell r="ED263" t="str">
            <v/>
          </cell>
          <cell r="EE263" t="str">
            <v/>
          </cell>
          <cell r="EF263">
            <v>1</v>
          </cell>
          <cell r="EG263">
            <v>1</v>
          </cell>
          <cell r="FD263">
            <v>56</v>
          </cell>
          <cell r="FE263" t="str">
            <v>31 to 61 Days</v>
          </cell>
          <cell r="FF263">
            <v>54</v>
          </cell>
          <cell r="FG263" t="str">
            <v>31 to 61 Days</v>
          </cell>
          <cell r="FH263" t="str">
            <v>Done</v>
          </cell>
          <cell r="FJ263" t="str">
            <v>NA</v>
          </cell>
          <cell r="FK263">
            <v>45453</v>
          </cell>
          <cell r="FM263" t="str">
            <v/>
          </cell>
          <cell r="GA263">
            <v>45204</v>
          </cell>
          <cell r="GC263">
            <v>45170</v>
          </cell>
          <cell r="GG263" t="str">
            <v>2023-2024</v>
          </cell>
        </row>
        <row r="264">
          <cell r="E264" t="str">
            <v>GF, Waje Complex, Plot No. 1 &amp; 4  , Tal-kopargaon, Dist- Ahmadnagar , Surevey No. 214/71/1 &amp; 2  , Kopargaon , 423601</v>
          </cell>
          <cell r="F264" t="str">
            <v>9. EPC Ready</v>
          </cell>
          <cell r="G264" t="str">
            <v>SPMHAHA0000</v>
          </cell>
          <cell r="H264" t="str">
            <v>MH-SM-KPR-3000</v>
          </cell>
          <cell r="I264" t="str">
            <v>TYKK</v>
          </cell>
          <cell r="J264" t="str">
            <v>QBQV</v>
          </cell>
          <cell r="K264" t="str">
            <v>W</v>
          </cell>
          <cell r="L264" t="str">
            <v>KC</v>
          </cell>
          <cell r="M264" t="str">
            <v>EPC Ready</v>
          </cell>
          <cell r="P264" t="str">
            <v>Mr Prashant Wankhede-9284862994</v>
          </cell>
          <cell r="Q264" t="str">
            <v>Gaurav Shinde</v>
          </cell>
          <cell r="S264" t="str">
            <v>Maharashtra</v>
          </cell>
          <cell r="T264" t="str">
            <v>Kopargaon</v>
          </cell>
          <cell r="U264" t="str">
            <v>Non Premium</v>
          </cell>
          <cell r="V264" t="str">
            <v>Pharma Format</v>
          </cell>
          <cell r="W264">
            <v>412</v>
          </cell>
          <cell r="X264" t="str">
            <v>GF, Waje Complex, Plot No. 1 &amp; 4  , Tal-kopargaon, Dist- Ahmadnagar , Surevey No. 214/71/1 &amp; 2  , Kopargaon , 423601</v>
          </cell>
          <cell r="Y264">
            <v>45163</v>
          </cell>
          <cell r="Z264" t="str">
            <v>NA</v>
          </cell>
          <cell r="AB264" t="str">
            <v>NA</v>
          </cell>
          <cell r="AF264" t="str">
            <v>NA</v>
          </cell>
          <cell r="AK264">
            <v>45164</v>
          </cell>
          <cell r="AL264" t="str">
            <v>Received</v>
          </cell>
          <cell r="AM264">
            <v>45159</v>
          </cell>
          <cell r="AO264">
            <v>3</v>
          </cell>
          <cell r="AS264">
            <v>-3</v>
          </cell>
          <cell r="AU264">
            <v>4</v>
          </cell>
          <cell r="AY264">
            <v>-4</v>
          </cell>
          <cell r="BA264">
            <v>5</v>
          </cell>
          <cell r="BE264">
            <v>-5</v>
          </cell>
          <cell r="BG264">
            <v>5</v>
          </cell>
          <cell r="BK264">
            <v>-5</v>
          </cell>
          <cell r="BM264">
            <v>3</v>
          </cell>
          <cell r="BP264">
            <v>3</v>
          </cell>
          <cell r="BW264" t="str">
            <v>Done</v>
          </cell>
          <cell r="BX264">
            <v>45079</v>
          </cell>
          <cell r="BY264" t="str">
            <v>Approved</v>
          </cell>
          <cell r="CD264">
            <v>45161</v>
          </cell>
          <cell r="CE264">
            <v>45169</v>
          </cell>
          <cell r="CG264" t="str">
            <v>M/s. Harsiddhi Electrical</v>
          </cell>
          <cell r="CI264" t="str">
            <v>Issued</v>
          </cell>
          <cell r="DG264" t="str">
            <v>Netmed SDP - Not in Dead Rental</v>
          </cell>
          <cell r="DK264">
            <v>45182</v>
          </cell>
          <cell r="DL264">
            <v>45165</v>
          </cell>
          <cell r="DM264">
            <v>2</v>
          </cell>
          <cell r="DN264" t="str">
            <v>0 to 3 Days</v>
          </cell>
          <cell r="DP264">
            <v>45172</v>
          </cell>
          <cell r="DQ264">
            <v>45184</v>
          </cell>
          <cell r="DR264">
            <v>7</v>
          </cell>
          <cell r="DS264">
            <v>7</v>
          </cell>
          <cell r="DU264">
            <v>45191</v>
          </cell>
          <cell r="DV264">
            <v>45179</v>
          </cell>
          <cell r="DW264">
            <v>45191</v>
          </cell>
          <cell r="DX264" t="str">
            <v>Sep 23 Week 4</v>
          </cell>
          <cell r="DY264">
            <v>45199</v>
          </cell>
          <cell r="DZ264">
            <v>45202</v>
          </cell>
          <cell r="EA264" t="str">
            <v>Oct 23 Week 1</v>
          </cell>
          <cell r="EB264" t="str">
            <v>Backlog</v>
          </cell>
          <cell r="ED264" t="str">
            <v/>
          </cell>
          <cell r="EE264" t="str">
            <v/>
          </cell>
          <cell r="EF264">
            <v>1</v>
          </cell>
          <cell r="EG264">
            <v>1</v>
          </cell>
          <cell r="FD264">
            <v>11</v>
          </cell>
          <cell r="FE264" t="str">
            <v>8 to 15 Days</v>
          </cell>
          <cell r="FF264">
            <v>23</v>
          </cell>
          <cell r="FG264" t="str">
            <v>16 to 31 Days</v>
          </cell>
          <cell r="FH264" t="str">
            <v>Done</v>
          </cell>
          <cell r="FI264" t="str">
            <v>Done</v>
          </cell>
          <cell r="FJ264" t="str">
            <v>NA</v>
          </cell>
          <cell r="FK264">
            <v>45285</v>
          </cell>
          <cell r="FM264" t="str">
            <v/>
          </cell>
          <cell r="GA264">
            <v>45215</v>
          </cell>
          <cell r="GC264">
            <v>45184</v>
          </cell>
          <cell r="GG264" t="str">
            <v>2023-2024</v>
          </cell>
        </row>
        <row r="265">
          <cell r="E265" t="str">
            <v>Royal Plaza Veer Gas Agency Building  , Behjam Road Lakhimpur Kheri , Jaydev Nagar  , LAKHIMPUR , 262701</v>
          </cell>
          <cell r="F265" t="str">
            <v>9. EPC Ready</v>
          </cell>
          <cell r="G265" t="str">
            <v>SPUPLAL3814</v>
          </cell>
          <cell r="H265" t="str">
            <v>UP-SM-LKH-3003</v>
          </cell>
          <cell r="I265" t="str">
            <v>TZ5A</v>
          </cell>
          <cell r="J265" t="str">
            <v>QEGZ</v>
          </cell>
          <cell r="K265" t="str">
            <v xml:space="preserve">N </v>
          </cell>
          <cell r="L265" t="str">
            <v>KC</v>
          </cell>
          <cell r="M265" t="str">
            <v>EPC Ready</v>
          </cell>
          <cell r="P265" t="str">
            <v>Abhay Srivastav-9305109175</v>
          </cell>
          <cell r="Q265" t="str">
            <v>Gaurav Shinde</v>
          </cell>
          <cell r="S265" t="str">
            <v>Uttar Pradesh</v>
          </cell>
          <cell r="T265" t="str">
            <v>Lakhimpur</v>
          </cell>
          <cell r="U265" t="str">
            <v>Non Premium</v>
          </cell>
          <cell r="V265" t="str">
            <v>Pharma Format</v>
          </cell>
          <cell r="W265">
            <v>400</v>
          </cell>
          <cell r="X265" t="str">
            <v>Royal Plaza Veer Gas Agency Building  , Behjam Road Lakhimpur Kheri , Jaydev Nagar  , LAKHIMPUR , 262701</v>
          </cell>
          <cell r="Y265">
            <v>45159</v>
          </cell>
          <cell r="Z265" t="str">
            <v>NA</v>
          </cell>
          <cell r="AB265" t="str">
            <v>NA</v>
          </cell>
          <cell r="AF265" t="str">
            <v>NA</v>
          </cell>
          <cell r="AK265">
            <v>45147</v>
          </cell>
          <cell r="AL265" t="str">
            <v>Received</v>
          </cell>
          <cell r="AM265">
            <v>45142</v>
          </cell>
          <cell r="AO265">
            <v>3</v>
          </cell>
          <cell r="AS265">
            <v>-3</v>
          </cell>
          <cell r="AU265">
            <v>4</v>
          </cell>
          <cell r="AY265">
            <v>-4</v>
          </cell>
          <cell r="BA265">
            <v>5</v>
          </cell>
          <cell r="BE265">
            <v>-5</v>
          </cell>
          <cell r="BG265">
            <v>5</v>
          </cell>
          <cell r="BK265">
            <v>-5</v>
          </cell>
          <cell r="BM265">
            <v>3</v>
          </cell>
          <cell r="BP265">
            <v>3</v>
          </cell>
          <cell r="BW265" t="str">
            <v>Done</v>
          </cell>
          <cell r="BX265">
            <v>45079</v>
          </cell>
          <cell r="BY265" t="str">
            <v>Approved</v>
          </cell>
          <cell r="CD265">
            <v>45161</v>
          </cell>
          <cell r="CE265">
            <v>45169</v>
          </cell>
          <cell r="CG265" t="str">
            <v>M/s     KAUSAR CONSTRUCTIONS</v>
          </cell>
          <cell r="CI265" t="str">
            <v>Issued</v>
          </cell>
          <cell r="DG265" t="str">
            <v>Netmed SDP - Not in Dead Rental</v>
          </cell>
          <cell r="DK265">
            <v>45188</v>
          </cell>
          <cell r="DL265">
            <v>45162</v>
          </cell>
          <cell r="DM265">
            <v>2</v>
          </cell>
          <cell r="DN265" t="str">
            <v>0 to 3 Days</v>
          </cell>
          <cell r="DP265">
            <v>45172</v>
          </cell>
          <cell r="DQ265">
            <v>45190</v>
          </cell>
          <cell r="DR265">
            <v>7</v>
          </cell>
          <cell r="DS265">
            <v>7</v>
          </cell>
          <cell r="DU265">
            <v>45197</v>
          </cell>
          <cell r="DV265">
            <v>45179</v>
          </cell>
          <cell r="DW265">
            <v>45197</v>
          </cell>
          <cell r="DX265" t="str">
            <v>Sep 23 Week 4</v>
          </cell>
          <cell r="DY265">
            <v>45199</v>
          </cell>
          <cell r="DZ265">
            <v>45198</v>
          </cell>
          <cell r="EA265" t="str">
            <v>Sep 23 Week 5</v>
          </cell>
          <cell r="EB265" t="str">
            <v>Backlog</v>
          </cell>
          <cell r="ED265" t="str">
            <v/>
          </cell>
          <cell r="EE265" t="str">
            <v/>
          </cell>
          <cell r="EF265">
            <v>1</v>
          </cell>
          <cell r="EG265">
            <v>1</v>
          </cell>
          <cell r="FD265">
            <v>1</v>
          </cell>
          <cell r="FE265" t="str">
            <v>0 to 3 Days</v>
          </cell>
          <cell r="FF265">
            <v>19</v>
          </cell>
          <cell r="FG265" t="str">
            <v>16 to 31 Days</v>
          </cell>
          <cell r="FH265" t="str">
            <v>Done</v>
          </cell>
          <cell r="FI265" t="str">
            <v>Done</v>
          </cell>
          <cell r="FJ265" t="str">
            <v>NA</v>
          </cell>
          <cell r="FK265">
            <v>45222</v>
          </cell>
          <cell r="FM265" t="str">
            <v/>
          </cell>
          <cell r="GA265">
            <v>45199</v>
          </cell>
          <cell r="GC265">
            <v>45190</v>
          </cell>
          <cell r="GG265" t="str">
            <v>2023-2024</v>
          </cell>
        </row>
        <row r="266">
          <cell r="E266" t="str">
            <v>Psm Complex Near Kathuria  , Gharaunda Karnal , Hotel Gt Road  , Gharaunda , 132114</v>
          </cell>
          <cell r="F266" t="str">
            <v>9. EPC Ready</v>
          </cell>
          <cell r="G266" t="str">
            <v>SPHRKAK4248</v>
          </cell>
          <cell r="H266" t="str">
            <v>HR-SM-GHD-3000</v>
          </cell>
          <cell r="I266" t="str">
            <v>TYKN</v>
          </cell>
          <cell r="J266" t="str">
            <v>QBQY</v>
          </cell>
          <cell r="K266" t="str">
            <v xml:space="preserve">N </v>
          </cell>
          <cell r="L266" t="str">
            <v>KC</v>
          </cell>
          <cell r="M266" t="str">
            <v>EPC Ready</v>
          </cell>
          <cell r="P266" t="str">
            <v>Surender Dhaka-7009328484</v>
          </cell>
          <cell r="Q266" t="str">
            <v>Gaurav Shinde</v>
          </cell>
          <cell r="S266" t="str">
            <v>Haryana</v>
          </cell>
          <cell r="T266" t="str">
            <v>GHARAUNDA</v>
          </cell>
          <cell r="U266" t="str">
            <v>Non Premium</v>
          </cell>
          <cell r="V266" t="str">
            <v>Pharma Format</v>
          </cell>
          <cell r="W266">
            <v>398</v>
          </cell>
          <cell r="X266" t="str">
            <v>Psm Complex Near Kathuria  , Gharaunda Karnal , Hotel Gt Road  , Gharaunda , 132114</v>
          </cell>
          <cell r="Y266">
            <v>45166</v>
          </cell>
          <cell r="Z266" t="str">
            <v>NA</v>
          </cell>
          <cell r="AB266" t="str">
            <v>NA</v>
          </cell>
          <cell r="AF266" t="str">
            <v>NA</v>
          </cell>
          <cell r="AK266">
            <v>45170</v>
          </cell>
          <cell r="AL266" t="str">
            <v>Received</v>
          </cell>
          <cell r="AO266">
            <v>3</v>
          </cell>
          <cell r="AS266">
            <v>-3</v>
          </cell>
          <cell r="AU266">
            <v>4</v>
          </cell>
          <cell r="AY266">
            <v>-4</v>
          </cell>
          <cell r="BA266">
            <v>5</v>
          </cell>
          <cell r="BE266">
            <v>-5</v>
          </cell>
          <cell r="BG266">
            <v>5</v>
          </cell>
          <cell r="BK266">
            <v>-5</v>
          </cell>
          <cell r="BM266">
            <v>3</v>
          </cell>
          <cell r="BP266">
            <v>3</v>
          </cell>
          <cell r="BW266" t="str">
            <v>Done</v>
          </cell>
          <cell r="BX266">
            <v>45079</v>
          </cell>
          <cell r="BY266" t="str">
            <v>Approved</v>
          </cell>
          <cell r="CD266">
            <v>45163</v>
          </cell>
          <cell r="CE266">
            <v>45167</v>
          </cell>
          <cell r="CG266" t="str">
            <v>M/s     Gopal Enterprises</v>
          </cell>
          <cell r="CI266" t="str">
            <v>Issued</v>
          </cell>
          <cell r="DG266" t="str">
            <v>Netmed SDP - Not in Dead Rental</v>
          </cell>
          <cell r="DK266">
            <v>45192</v>
          </cell>
          <cell r="DL266">
            <v>45171</v>
          </cell>
          <cell r="DM266">
            <v>2</v>
          </cell>
          <cell r="DN266" t="str">
            <v>0 to 3 Days</v>
          </cell>
          <cell r="DP266">
            <v>45170</v>
          </cell>
          <cell r="DQ266">
            <v>45194</v>
          </cell>
          <cell r="DR266">
            <v>7</v>
          </cell>
          <cell r="DS266">
            <v>7</v>
          </cell>
          <cell r="DU266">
            <v>45201</v>
          </cell>
          <cell r="DV266">
            <v>45177</v>
          </cell>
          <cell r="DW266">
            <v>45201</v>
          </cell>
          <cell r="DX266" t="str">
            <v>Oct 23 Week 1</v>
          </cell>
          <cell r="DY266">
            <v>45200</v>
          </cell>
          <cell r="DZ266">
            <v>45202</v>
          </cell>
          <cell r="EA266" t="str">
            <v>Oct 23 Week 1</v>
          </cell>
          <cell r="EB266" t="str">
            <v>Backlog</v>
          </cell>
          <cell r="ED266" t="str">
            <v/>
          </cell>
          <cell r="EE266" t="str">
            <v/>
          </cell>
          <cell r="EF266">
            <v>1</v>
          </cell>
          <cell r="EG266">
            <v>1</v>
          </cell>
          <cell r="FD266">
            <v>1</v>
          </cell>
          <cell r="FE266" t="str">
            <v>0 to 3 Days</v>
          </cell>
          <cell r="FF266">
            <v>25</v>
          </cell>
          <cell r="FG266" t="str">
            <v>16 to 31 Days</v>
          </cell>
          <cell r="FH266" t="str">
            <v>Done</v>
          </cell>
          <cell r="FI266" t="str">
            <v>Done</v>
          </cell>
          <cell r="FJ266" t="str">
            <v>NA</v>
          </cell>
          <cell r="FK266">
            <v>45273</v>
          </cell>
          <cell r="FM266" t="str">
            <v/>
          </cell>
          <cell r="GA266">
            <v>45204</v>
          </cell>
          <cell r="GC266">
            <v>45191</v>
          </cell>
          <cell r="GG266" t="str">
            <v>2023-2024</v>
          </cell>
        </row>
        <row r="267">
          <cell r="E267" t="str">
            <v>Goyal Complex New Bus Stand Road  , Narwana Jind , Near Indian Oil Petrol Pump  , NARWANA , 126116</v>
          </cell>
          <cell r="F267" t="str">
            <v>9. EPC Ready</v>
          </cell>
          <cell r="G267" t="str">
            <v>SPHRNAN4254</v>
          </cell>
          <cell r="H267" t="str">
            <v>HR-SM-NRW-3000</v>
          </cell>
          <cell r="I267" t="str">
            <v>TYZE</v>
          </cell>
          <cell r="J267" t="str">
            <v>QB7G</v>
          </cell>
          <cell r="K267" t="str">
            <v xml:space="preserve">N </v>
          </cell>
          <cell r="L267" t="str">
            <v>KC</v>
          </cell>
          <cell r="M267" t="str">
            <v>EPC Ready</v>
          </cell>
          <cell r="P267" t="str">
            <v>Surender Dhaka-7009328484</v>
          </cell>
          <cell r="Q267" t="str">
            <v>Gaurav Shinde</v>
          </cell>
          <cell r="S267" t="str">
            <v>Haryana</v>
          </cell>
          <cell r="T267" t="str">
            <v>Narwana</v>
          </cell>
          <cell r="U267" t="str">
            <v>Non Premium</v>
          </cell>
          <cell r="V267" t="str">
            <v>Pharma Format</v>
          </cell>
          <cell r="W267">
            <v>400</v>
          </cell>
          <cell r="X267" t="str">
            <v>Goyal Complex New Bus Stand Road  , Narwana Jind , Near Indian Oil Petrol Pump  , NARWANA , 126116</v>
          </cell>
          <cell r="Y267">
            <v>45166</v>
          </cell>
          <cell r="Z267" t="str">
            <v>NA</v>
          </cell>
          <cell r="AB267" t="str">
            <v>NA</v>
          </cell>
          <cell r="AF267" t="str">
            <v>NA</v>
          </cell>
          <cell r="AK267">
            <v>45184</v>
          </cell>
          <cell r="AL267" t="str">
            <v>Received</v>
          </cell>
          <cell r="AM267">
            <v>45179</v>
          </cell>
          <cell r="AO267">
            <v>3</v>
          </cell>
          <cell r="AS267">
            <v>-3</v>
          </cell>
          <cell r="AU267">
            <v>4</v>
          </cell>
          <cell r="AY267">
            <v>-4</v>
          </cell>
          <cell r="BA267">
            <v>5</v>
          </cell>
          <cell r="BE267">
            <v>-5</v>
          </cell>
          <cell r="BG267">
            <v>5</v>
          </cell>
          <cell r="BK267">
            <v>-5</v>
          </cell>
          <cell r="BM267">
            <v>3</v>
          </cell>
          <cell r="BP267">
            <v>3</v>
          </cell>
          <cell r="BW267" t="str">
            <v>Done</v>
          </cell>
          <cell r="BX267">
            <v>45079</v>
          </cell>
          <cell r="BY267" t="str">
            <v>Approved</v>
          </cell>
          <cell r="CD267">
            <v>45163</v>
          </cell>
          <cell r="CE267">
            <v>45167</v>
          </cell>
          <cell r="CG267" t="str">
            <v>M/s Gopal Enterprises</v>
          </cell>
          <cell r="CI267" t="str">
            <v>Issued</v>
          </cell>
          <cell r="DG267" t="str">
            <v>Netmed SDP - Not in Dead Rental</v>
          </cell>
          <cell r="DK267">
            <v>45182</v>
          </cell>
          <cell r="DL267">
            <v>45170</v>
          </cell>
          <cell r="DM267">
            <v>2</v>
          </cell>
          <cell r="DN267" t="str">
            <v>0 to 3 Days</v>
          </cell>
          <cell r="DP267">
            <v>45170</v>
          </cell>
          <cell r="DQ267">
            <v>45184</v>
          </cell>
          <cell r="DR267">
            <v>7</v>
          </cell>
          <cell r="DS267">
            <v>7</v>
          </cell>
          <cell r="DU267">
            <v>45191</v>
          </cell>
          <cell r="DV267">
            <v>45177</v>
          </cell>
          <cell r="DW267">
            <v>45191</v>
          </cell>
          <cell r="DX267" t="str">
            <v>Sep 23 Week 4</v>
          </cell>
          <cell r="DY267">
            <v>45200</v>
          </cell>
          <cell r="DZ267">
            <v>45197</v>
          </cell>
          <cell r="EA267" t="str">
            <v>Sep 23 Week 4</v>
          </cell>
          <cell r="EB267" t="str">
            <v>Backlog</v>
          </cell>
          <cell r="ED267" t="str">
            <v/>
          </cell>
          <cell r="EE267" t="str">
            <v/>
          </cell>
          <cell r="EF267">
            <v>1</v>
          </cell>
          <cell r="EG267">
            <v>1</v>
          </cell>
          <cell r="FD267">
            <v>6</v>
          </cell>
          <cell r="FE267" t="str">
            <v>4 to 7 Days</v>
          </cell>
          <cell r="FF267">
            <v>20</v>
          </cell>
          <cell r="FG267" t="str">
            <v>16 to 31 Days</v>
          </cell>
          <cell r="FH267" t="str">
            <v>Done</v>
          </cell>
          <cell r="FI267" t="str">
            <v>Done</v>
          </cell>
          <cell r="FJ267" t="str">
            <v>NA</v>
          </cell>
          <cell r="FK267">
            <v>45273</v>
          </cell>
          <cell r="FM267" t="str">
            <v/>
          </cell>
          <cell r="GA267">
            <v>45202</v>
          </cell>
          <cell r="GC267">
            <v>45184</v>
          </cell>
          <cell r="GG267" t="str">
            <v>2023-2024</v>
          </cell>
        </row>
        <row r="268">
          <cell r="E268" t="str">
            <v>Gf Garg Complex Property No B 04  , Opp Hp Gas Agency Dis Mansa , B 041056 1 Sirsa Road  , Mansa , 151507</v>
          </cell>
          <cell r="F268" t="str">
            <v>9. EPC Ready</v>
          </cell>
          <cell r="G268" t="str">
            <v>SPPBMAM3938</v>
          </cell>
          <cell r="H268" t="str">
            <v>PB-SM-SDH-3000</v>
          </cell>
          <cell r="I268" t="str">
            <v>TYT7</v>
          </cell>
          <cell r="J268" t="str">
            <v>QI1Q</v>
          </cell>
          <cell r="K268" t="str">
            <v xml:space="preserve">N </v>
          </cell>
          <cell r="L268" t="str">
            <v>KC</v>
          </cell>
          <cell r="M268" t="str">
            <v>EPC Ready</v>
          </cell>
          <cell r="P268" t="str">
            <v>Surender Dhaka-7009328484</v>
          </cell>
          <cell r="Q268" t="str">
            <v>Gaurav Shinde</v>
          </cell>
          <cell r="S268" t="str">
            <v>Punjab</v>
          </cell>
          <cell r="T268" t="str">
            <v>Sardulgarh</v>
          </cell>
          <cell r="U268" t="str">
            <v>Non Premium</v>
          </cell>
          <cell r="V268" t="str">
            <v>Pharma Format</v>
          </cell>
          <cell r="W268">
            <v>400</v>
          </cell>
          <cell r="X268" t="str">
            <v>Gf Garg Complex Property No B 04  , Opp Hp Gas Agency Dis Mansa , B 041056 1 Sirsa Road  , Mansa , 151507</v>
          </cell>
          <cell r="Y268">
            <v>45166</v>
          </cell>
          <cell r="Z268" t="str">
            <v>NA</v>
          </cell>
          <cell r="AB268" t="str">
            <v>NA</v>
          </cell>
          <cell r="AF268" t="str">
            <v>NA</v>
          </cell>
          <cell r="AK268">
            <v>45184</v>
          </cell>
          <cell r="AL268" t="str">
            <v>Received</v>
          </cell>
          <cell r="AM268">
            <v>45179</v>
          </cell>
          <cell r="AO268">
            <v>3</v>
          </cell>
          <cell r="AS268">
            <v>-3</v>
          </cell>
          <cell r="AU268">
            <v>4</v>
          </cell>
          <cell r="AY268">
            <v>-4</v>
          </cell>
          <cell r="BA268">
            <v>5</v>
          </cell>
          <cell r="BE268">
            <v>-5</v>
          </cell>
          <cell r="BG268">
            <v>5</v>
          </cell>
          <cell r="BK268">
            <v>-5</v>
          </cell>
          <cell r="BM268">
            <v>3</v>
          </cell>
          <cell r="BP268">
            <v>3</v>
          </cell>
          <cell r="BW268" t="str">
            <v>Done</v>
          </cell>
          <cell r="BX268">
            <v>45079</v>
          </cell>
          <cell r="BY268" t="str">
            <v>Approved</v>
          </cell>
          <cell r="CD268">
            <v>45163</v>
          </cell>
          <cell r="CE268">
            <v>45177</v>
          </cell>
          <cell r="CG268" t="str">
            <v>M/s     Brickwood global infracon Pvt. Ltd.</v>
          </cell>
          <cell r="CI268" t="str">
            <v>Issued</v>
          </cell>
          <cell r="DG268" t="str">
            <v>Netmed SDP - Not in Dead Rental</v>
          </cell>
          <cell r="DK268">
            <v>45193</v>
          </cell>
          <cell r="DL268">
            <v>45166</v>
          </cell>
          <cell r="DM268">
            <v>2</v>
          </cell>
          <cell r="DN268" t="str">
            <v>0 to 3 Days</v>
          </cell>
          <cell r="DP268">
            <v>45180</v>
          </cell>
          <cell r="DQ268">
            <v>45195</v>
          </cell>
          <cell r="DR268">
            <v>7</v>
          </cell>
          <cell r="DS268">
            <v>7</v>
          </cell>
          <cell r="DU268">
            <v>45202</v>
          </cell>
          <cell r="DV268">
            <v>45187</v>
          </cell>
          <cell r="DW268">
            <v>45202</v>
          </cell>
          <cell r="DX268" t="str">
            <v>Oct 23 Week 1</v>
          </cell>
          <cell r="DY268">
            <v>45202</v>
          </cell>
          <cell r="DZ268">
            <v>45205</v>
          </cell>
          <cell r="EA268" t="str">
            <v>Oct 23 Week 1</v>
          </cell>
          <cell r="EB268" t="str">
            <v>Backlog</v>
          </cell>
          <cell r="ED268" t="str">
            <v/>
          </cell>
          <cell r="EE268" t="str">
            <v/>
          </cell>
          <cell r="EF268">
            <v>1</v>
          </cell>
          <cell r="EG268">
            <v>1</v>
          </cell>
          <cell r="FD268">
            <v>3</v>
          </cell>
          <cell r="FE268" t="str">
            <v>0 to 3 Days</v>
          </cell>
          <cell r="FF268">
            <v>18</v>
          </cell>
          <cell r="FG268" t="str">
            <v>16 to 31 Days</v>
          </cell>
          <cell r="FH268" t="str">
            <v>Done</v>
          </cell>
          <cell r="FI268" t="str">
            <v>Done</v>
          </cell>
          <cell r="FJ268" t="str">
            <v>NA</v>
          </cell>
          <cell r="FK268">
            <v>45364</v>
          </cell>
          <cell r="FM268" t="str">
            <v/>
          </cell>
          <cell r="GA268" t="str">
            <v>05-10-2023
06-01-2024</v>
          </cell>
          <cell r="GC268">
            <v>45195</v>
          </cell>
          <cell r="GG268" t="str">
            <v>2023-2024</v>
          </cell>
        </row>
        <row r="269">
          <cell r="E269" t="str">
            <v>Brij Petrol Pump Khata no 0015 Gata no  , Dibiyapur Auraiya , 462 Pargana kakarahi  , DIBIYAPUR , 226244</v>
          </cell>
          <cell r="F269" t="str">
            <v>9. EPC Ready</v>
          </cell>
          <cell r="G269" t="str">
            <v>SPUPDID3833</v>
          </cell>
          <cell r="H269" t="str">
            <v>UP-SM-DYR-3000</v>
          </cell>
          <cell r="I269" t="str">
            <v>TJ6D</v>
          </cell>
          <cell r="J269" t="str">
            <v>QZYW</v>
          </cell>
          <cell r="K269" t="str">
            <v xml:space="preserve">N </v>
          </cell>
          <cell r="L269" t="str">
            <v>KC</v>
          </cell>
          <cell r="M269" t="str">
            <v>EPC Ready</v>
          </cell>
          <cell r="P269" t="str">
            <v>Ashok Kumar-8511199017</v>
          </cell>
          <cell r="Q269" t="str">
            <v>Gaurav Shinde</v>
          </cell>
          <cell r="S269" t="str">
            <v>Uttar Pradesh</v>
          </cell>
          <cell r="T269" t="str">
            <v>Dibiyapur</v>
          </cell>
          <cell r="U269" t="str">
            <v>Non Premium</v>
          </cell>
          <cell r="V269" t="str">
            <v>Pharma Format</v>
          </cell>
          <cell r="W269">
            <v>397</v>
          </cell>
          <cell r="X269" t="str">
            <v>Brij Petrol Pump Khata no 0015 Gata no  , Dibiyapur Auraiya , 462 Pargana kakarahi  , DIBIYAPUR , 226244</v>
          </cell>
          <cell r="Y269">
            <v>45159</v>
          </cell>
          <cell r="Z269" t="str">
            <v>NA</v>
          </cell>
          <cell r="AB269" t="str">
            <v>NA</v>
          </cell>
          <cell r="AF269" t="str">
            <v>NA</v>
          </cell>
          <cell r="AK269">
            <v>45147</v>
          </cell>
          <cell r="AL269" t="str">
            <v>Received</v>
          </cell>
          <cell r="AM269">
            <v>45142</v>
          </cell>
          <cell r="AO269">
            <v>3</v>
          </cell>
          <cell r="AS269">
            <v>-3</v>
          </cell>
          <cell r="AU269">
            <v>4</v>
          </cell>
          <cell r="AY269">
            <v>-4</v>
          </cell>
          <cell r="BA269">
            <v>5</v>
          </cell>
          <cell r="BE269">
            <v>-5</v>
          </cell>
          <cell r="BG269">
            <v>5</v>
          </cell>
          <cell r="BK269">
            <v>-5</v>
          </cell>
          <cell r="BM269">
            <v>3</v>
          </cell>
          <cell r="BP269">
            <v>3</v>
          </cell>
          <cell r="BW269" t="str">
            <v>Done</v>
          </cell>
          <cell r="BX269">
            <v>45079</v>
          </cell>
          <cell r="BY269" t="str">
            <v>Approved</v>
          </cell>
          <cell r="CD269">
            <v>45161</v>
          </cell>
          <cell r="CE269">
            <v>45177</v>
          </cell>
          <cell r="CG269" t="str">
            <v>M/s     TCA Infra</v>
          </cell>
          <cell r="CI269" t="str">
            <v>Issued</v>
          </cell>
          <cell r="DG269" t="str">
            <v>Netmed SDP - Not in Dead Rental</v>
          </cell>
          <cell r="DK269">
            <v>45196</v>
          </cell>
          <cell r="DL269">
            <v>45162</v>
          </cell>
          <cell r="DM269">
            <v>2</v>
          </cell>
          <cell r="DN269" t="str">
            <v>0 to 3 Days</v>
          </cell>
          <cell r="DP269">
            <v>45198</v>
          </cell>
          <cell r="DQ269">
            <v>45198</v>
          </cell>
          <cell r="DR269">
            <v>7</v>
          </cell>
          <cell r="DS269">
            <v>7</v>
          </cell>
          <cell r="DU269">
            <v>45205</v>
          </cell>
          <cell r="DV269">
            <v>45205</v>
          </cell>
          <cell r="DW269">
            <v>45205</v>
          </cell>
          <cell r="DX269" t="str">
            <v>Oct 23 Week 1</v>
          </cell>
          <cell r="DY269">
            <v>45204</v>
          </cell>
          <cell r="DZ269">
            <v>45204</v>
          </cell>
          <cell r="EA269" t="str">
            <v>Oct 23 Week 1</v>
          </cell>
          <cell r="EB269" t="str">
            <v>Plan</v>
          </cell>
          <cell r="ED269" t="str">
            <v/>
          </cell>
          <cell r="EE269" t="str">
            <v/>
          </cell>
          <cell r="EF269">
            <v>1</v>
          </cell>
          <cell r="EG269">
            <v>1</v>
          </cell>
          <cell r="FD269">
            <v>-1</v>
          </cell>
          <cell r="FE269" t="str">
            <v>On Time</v>
          </cell>
          <cell r="FF269">
            <v>-1</v>
          </cell>
          <cell r="FG269" t="str">
            <v>On Time</v>
          </cell>
          <cell r="FH269" t="str">
            <v>Done</v>
          </cell>
          <cell r="FI269" t="str">
            <v>Done</v>
          </cell>
          <cell r="FJ269" t="str">
            <v>NA</v>
          </cell>
          <cell r="FK269">
            <v>45286</v>
          </cell>
          <cell r="FM269" t="str">
            <v/>
          </cell>
          <cell r="GA269">
            <v>45215</v>
          </cell>
          <cell r="GC269">
            <v>45198</v>
          </cell>
          <cell r="GG269" t="str">
            <v>2023-2024</v>
          </cell>
        </row>
        <row r="270">
          <cell r="E270" t="str">
            <v>GF Khasra No 669  , Dasna Pilkhuwa Dist Hapur , Mauja Kheda Pargana  , PILKHUWA , 245304</v>
          </cell>
          <cell r="F270" t="str">
            <v>9. EPC Ready</v>
          </cell>
          <cell r="G270" t="str">
            <v>SPUPPIP4269</v>
          </cell>
          <cell r="H270" t="str">
            <v>UP-SM-PKH-3000</v>
          </cell>
          <cell r="I270" t="str">
            <v>TZYW</v>
          </cell>
          <cell r="J270" t="str">
            <v>QDPW</v>
          </cell>
          <cell r="K270" t="str">
            <v xml:space="preserve">N </v>
          </cell>
          <cell r="L270" t="str">
            <v>KC</v>
          </cell>
          <cell r="M270" t="str">
            <v>EPC Ready</v>
          </cell>
          <cell r="P270" t="str">
            <v>Sh.Akhilesh K Singh-9910029870</v>
          </cell>
          <cell r="Q270" t="str">
            <v>Gaurav Shinde</v>
          </cell>
          <cell r="S270" t="str">
            <v>Uttar Pradesh</v>
          </cell>
          <cell r="T270" t="str">
            <v>Pilkhuva</v>
          </cell>
          <cell r="U270" t="str">
            <v>Non Premium</v>
          </cell>
          <cell r="V270" t="str">
            <v>Pharma Format</v>
          </cell>
          <cell r="W270">
            <v>407</v>
          </cell>
          <cell r="X270" t="str">
            <v>GF Khasra No 669  , Dasna Pilkhuwa Dist Hapur , Mauja Kheda Pargana  , PILKHUWA , 245304</v>
          </cell>
          <cell r="Y270">
            <v>45163</v>
          </cell>
          <cell r="Z270" t="str">
            <v>NA</v>
          </cell>
          <cell r="AB270" t="str">
            <v>NA</v>
          </cell>
          <cell r="AF270" t="str">
            <v>NA</v>
          </cell>
          <cell r="AK270">
            <v>45184</v>
          </cell>
          <cell r="AL270" t="str">
            <v>Received</v>
          </cell>
          <cell r="AM270">
            <v>0</v>
          </cell>
          <cell r="AO270">
            <v>3</v>
          </cell>
          <cell r="AS270">
            <v>-3</v>
          </cell>
          <cell r="AU270">
            <v>4</v>
          </cell>
          <cell r="AY270">
            <v>-4</v>
          </cell>
          <cell r="BA270">
            <v>5</v>
          </cell>
          <cell r="BE270">
            <v>-5</v>
          </cell>
          <cell r="BG270">
            <v>5</v>
          </cell>
          <cell r="BK270">
            <v>-5</v>
          </cell>
          <cell r="BM270">
            <v>3</v>
          </cell>
          <cell r="BP270">
            <v>3</v>
          </cell>
          <cell r="BW270" t="str">
            <v>Done</v>
          </cell>
          <cell r="BX270">
            <v>45079</v>
          </cell>
          <cell r="BY270" t="str">
            <v>Approved</v>
          </cell>
          <cell r="CD270">
            <v>45161</v>
          </cell>
          <cell r="CE270">
            <v>45170</v>
          </cell>
          <cell r="CG270" t="str">
            <v>M/s     SHOURYA INFRATECH</v>
          </cell>
          <cell r="CI270" t="str">
            <v>Issued</v>
          </cell>
          <cell r="DG270" t="str">
            <v>Netmed SDP - Not in Dead Rental</v>
          </cell>
          <cell r="DK270">
            <v>45178</v>
          </cell>
          <cell r="DL270">
            <v>45163</v>
          </cell>
          <cell r="DM270">
            <v>2</v>
          </cell>
          <cell r="DN270" t="str">
            <v>0 to 3 Days</v>
          </cell>
          <cell r="DP270">
            <v>45173</v>
          </cell>
          <cell r="DQ270">
            <v>45180</v>
          </cell>
          <cell r="DR270">
            <v>7</v>
          </cell>
          <cell r="DS270">
            <v>7</v>
          </cell>
          <cell r="DU270">
            <v>45187</v>
          </cell>
          <cell r="DV270">
            <v>45180</v>
          </cell>
          <cell r="DW270">
            <v>45187</v>
          </cell>
          <cell r="DX270" t="str">
            <v>Sep 23 Week 3</v>
          </cell>
          <cell r="DY270">
            <v>45204</v>
          </cell>
          <cell r="DZ270">
            <v>45231</v>
          </cell>
          <cell r="EA270" t="str">
            <v>Nov 23 Week 1</v>
          </cell>
          <cell r="EB270" t="str">
            <v>Backlog</v>
          </cell>
          <cell r="ED270" t="str">
            <v/>
          </cell>
          <cell r="EE270" t="str">
            <v/>
          </cell>
          <cell r="EF270">
            <v>1</v>
          </cell>
          <cell r="EG270">
            <v>1</v>
          </cell>
          <cell r="FD270">
            <v>44</v>
          </cell>
          <cell r="FE270" t="str">
            <v>31 to 61 Days</v>
          </cell>
          <cell r="FF270">
            <v>51</v>
          </cell>
          <cell r="FG270" t="str">
            <v>31 to 61 Days</v>
          </cell>
          <cell r="FH270" t="str">
            <v>Done</v>
          </cell>
          <cell r="FI270" t="str">
            <v>Done</v>
          </cell>
          <cell r="FJ270" t="str">
            <v>NA</v>
          </cell>
          <cell r="FK270">
            <v>45272</v>
          </cell>
          <cell r="FM270" t="str">
            <v/>
          </cell>
          <cell r="GA270">
            <v>45232</v>
          </cell>
          <cell r="GC270">
            <v>45180</v>
          </cell>
          <cell r="GG270" t="str">
            <v>2023-2024</v>
          </cell>
        </row>
        <row r="271">
          <cell r="E271" t="str">
            <v>Gf Sarpanch Complex  , Kanta Saha Dist Ambala , Sahabad Road Near Fouji Dharma  , AMBALA , 133104</v>
          </cell>
          <cell r="F271" t="str">
            <v>10. Launched</v>
          </cell>
          <cell r="G271" t="str">
            <v>SPHRSAS3989</v>
          </cell>
          <cell r="H271" t="str">
            <v>HR-SM-SAH-3000</v>
          </cell>
          <cell r="I271" t="str">
            <v>T1XB</v>
          </cell>
          <cell r="J271" t="str">
            <v>Q3J4</v>
          </cell>
          <cell r="K271" t="str">
            <v xml:space="preserve">N </v>
          </cell>
          <cell r="L271" t="str">
            <v>KC</v>
          </cell>
          <cell r="M271" t="str">
            <v>EPC Ready</v>
          </cell>
          <cell r="P271" t="str">
            <v>Surender Dhaka-7009328484</v>
          </cell>
          <cell r="Q271" t="str">
            <v>Gaurav Shinde</v>
          </cell>
          <cell r="S271" t="str">
            <v>Haryana</v>
          </cell>
          <cell r="T271" t="str">
            <v>Saha</v>
          </cell>
          <cell r="U271" t="str">
            <v>Non Premium</v>
          </cell>
          <cell r="V271" t="str">
            <v>Pharma Format</v>
          </cell>
          <cell r="W271">
            <v>400</v>
          </cell>
          <cell r="X271" t="str">
            <v>Gf Sarpanch Complex  , Kanta Saha Dist Ambala , Sahabad Road Near Fouji Dharma  , AMBALA , 133104</v>
          </cell>
          <cell r="Y271">
            <v>45159</v>
          </cell>
          <cell r="Z271" t="str">
            <v>NA</v>
          </cell>
          <cell r="AB271" t="str">
            <v>NA</v>
          </cell>
          <cell r="AF271" t="str">
            <v>NA</v>
          </cell>
          <cell r="AK271">
            <v>45147</v>
          </cell>
          <cell r="AL271" t="str">
            <v>Received</v>
          </cell>
          <cell r="AO271">
            <v>3</v>
          </cell>
          <cell r="AS271">
            <v>-3</v>
          </cell>
          <cell r="AU271">
            <v>4</v>
          </cell>
          <cell r="AY271">
            <v>-4</v>
          </cell>
          <cell r="BA271">
            <v>5</v>
          </cell>
          <cell r="BE271">
            <v>-5</v>
          </cell>
          <cell r="BG271">
            <v>5</v>
          </cell>
          <cell r="BK271">
            <v>-5</v>
          </cell>
          <cell r="BM271">
            <v>3</v>
          </cell>
          <cell r="BW271" t="str">
            <v>Done</v>
          </cell>
          <cell r="BX271">
            <v>45079</v>
          </cell>
          <cell r="BY271" t="str">
            <v>Approved</v>
          </cell>
          <cell r="CD271">
            <v>45161</v>
          </cell>
          <cell r="CE271">
            <v>45170</v>
          </cell>
          <cell r="CG271" t="str">
            <v>M/s     Gopal Enterprises</v>
          </cell>
          <cell r="CI271" t="str">
            <v>Issued</v>
          </cell>
          <cell r="DG271" t="str">
            <v>Netmed SDP - Not in Dead Rental</v>
          </cell>
          <cell r="DK271">
            <v>45192</v>
          </cell>
          <cell r="DL271">
            <v>45166</v>
          </cell>
          <cell r="DM271">
            <v>2</v>
          </cell>
          <cell r="DN271" t="str">
            <v>0 to 3 Days</v>
          </cell>
          <cell r="DP271">
            <v>45173</v>
          </cell>
          <cell r="DQ271">
            <v>45194</v>
          </cell>
          <cell r="DR271">
            <v>7</v>
          </cell>
          <cell r="DS271">
            <v>7</v>
          </cell>
          <cell r="DU271">
            <v>45201</v>
          </cell>
          <cell r="DV271">
            <v>45180</v>
          </cell>
          <cell r="DW271">
            <v>45201</v>
          </cell>
          <cell r="DX271" t="str">
            <v>Oct 23 Week 1</v>
          </cell>
          <cell r="DY271">
            <v>45204</v>
          </cell>
          <cell r="DZ271">
            <v>45217</v>
          </cell>
          <cell r="EA271" t="str">
            <v>Oct 23 Week 3</v>
          </cell>
          <cell r="EB271" t="str">
            <v>Backlog</v>
          </cell>
          <cell r="ED271" t="str">
            <v/>
          </cell>
          <cell r="EE271" t="str">
            <v/>
          </cell>
          <cell r="EF271">
            <v>1</v>
          </cell>
          <cell r="EG271">
            <v>1</v>
          </cell>
          <cell r="FD271">
            <v>16</v>
          </cell>
          <cell r="FE271" t="str">
            <v>16 to 31 Days</v>
          </cell>
          <cell r="FF271">
            <v>37</v>
          </cell>
          <cell r="FG271" t="str">
            <v>31 to 61 Days</v>
          </cell>
          <cell r="FH271" t="str">
            <v>Done</v>
          </cell>
          <cell r="FI271" t="str">
            <v>Done</v>
          </cell>
          <cell r="FJ271" t="str">
            <v>NA</v>
          </cell>
          <cell r="FK271">
            <v>45272</v>
          </cell>
          <cell r="FM271" t="str">
            <v/>
          </cell>
          <cell r="GA271">
            <v>45224</v>
          </cell>
          <cell r="GC271">
            <v>45194</v>
          </cell>
          <cell r="GG271" t="str">
            <v>2023-2024</v>
          </cell>
        </row>
        <row r="272">
          <cell r="E272" t="str">
            <v>GF, Unit No.1, Survey.No. 2/1/1A  , Dairy Dighi Pune , Vill- Dighi, Tal-Haveli, Dist- Pune  , Dighi , 411015</v>
          </cell>
          <cell r="F272" t="str">
            <v>9. EPC Ready</v>
          </cell>
          <cell r="G272" t="str">
            <v>SPMHDID4235</v>
          </cell>
          <cell r="H272" t="str">
            <v>MH-SM-DIG-3000</v>
          </cell>
          <cell r="I272" t="str">
            <v>TYPD</v>
          </cell>
          <cell r="J272" t="str">
            <v>QBWF</v>
          </cell>
          <cell r="K272" t="str">
            <v>W</v>
          </cell>
          <cell r="L272" t="str">
            <v>KC</v>
          </cell>
          <cell r="M272" t="str">
            <v>EPC Ready</v>
          </cell>
          <cell r="P272" t="str">
            <v>Mr Prashant Wankhede-9284862994</v>
          </cell>
          <cell r="Q272" t="str">
            <v>Gaurav Shinde</v>
          </cell>
          <cell r="S272" t="str">
            <v>Maharashtra</v>
          </cell>
          <cell r="T272" t="str">
            <v>DIGHI</v>
          </cell>
          <cell r="U272" t="str">
            <v>Non Premium</v>
          </cell>
          <cell r="V272" t="str">
            <v>Pharma Format</v>
          </cell>
          <cell r="W272">
            <v>400</v>
          </cell>
          <cell r="X272" t="str">
            <v>GF, Unit No.1, Survey.No. 2/1/1A  , Dairy Dighi Pune , Vill- Dighi, Tal-Haveli, Dist- Pune  , Dighi , 411015</v>
          </cell>
          <cell r="Y272">
            <v>45168</v>
          </cell>
          <cell r="Z272" t="str">
            <v>NA</v>
          </cell>
          <cell r="AB272" t="str">
            <v>NA</v>
          </cell>
          <cell r="AF272" t="str">
            <v>NA</v>
          </cell>
          <cell r="AK272">
            <v>45166</v>
          </cell>
          <cell r="AL272" t="str">
            <v>Received</v>
          </cell>
          <cell r="AM272">
            <v>45161</v>
          </cell>
          <cell r="AO272">
            <v>3</v>
          </cell>
          <cell r="AS272">
            <v>-3</v>
          </cell>
          <cell r="AU272">
            <v>4</v>
          </cell>
          <cell r="AY272">
            <v>-4</v>
          </cell>
          <cell r="BA272">
            <v>5</v>
          </cell>
          <cell r="BE272">
            <v>-5</v>
          </cell>
          <cell r="BG272">
            <v>5</v>
          </cell>
          <cell r="BK272">
            <v>-5</v>
          </cell>
          <cell r="BM272">
            <v>3</v>
          </cell>
          <cell r="BP272">
            <v>3</v>
          </cell>
          <cell r="BW272" t="str">
            <v>Done</v>
          </cell>
          <cell r="BX272">
            <v>45079</v>
          </cell>
          <cell r="BY272" t="str">
            <v>Approved</v>
          </cell>
          <cell r="CD272">
            <v>45168</v>
          </cell>
          <cell r="CE272">
            <v>45169</v>
          </cell>
          <cell r="CG272" t="str">
            <v>M/s. Vighnesh Electricals</v>
          </cell>
          <cell r="CI272" t="str">
            <v>Issued</v>
          </cell>
          <cell r="DG272" t="str">
            <v>Netmed SDP - Not in Dead Rental</v>
          </cell>
          <cell r="DK272">
            <v>45192</v>
          </cell>
          <cell r="DL272">
            <v>45169</v>
          </cell>
          <cell r="DM272">
            <v>2</v>
          </cell>
          <cell r="DN272" t="str">
            <v>0 to 3 Days</v>
          </cell>
          <cell r="DP272">
            <v>45172</v>
          </cell>
          <cell r="DQ272">
            <v>45194</v>
          </cell>
          <cell r="DR272">
            <v>7</v>
          </cell>
          <cell r="DS272">
            <v>7</v>
          </cell>
          <cell r="DU272">
            <v>45201</v>
          </cell>
          <cell r="DV272">
            <v>45179</v>
          </cell>
          <cell r="DW272">
            <v>45201</v>
          </cell>
          <cell r="DX272" t="str">
            <v>Oct 23 Week 1</v>
          </cell>
          <cell r="DY272">
            <v>45205</v>
          </cell>
          <cell r="DZ272">
            <v>45208</v>
          </cell>
          <cell r="EA272" t="str">
            <v>Oct 23 Week 2</v>
          </cell>
          <cell r="EB272" t="str">
            <v>Backlog</v>
          </cell>
          <cell r="ED272" t="str">
            <v/>
          </cell>
          <cell r="EE272" t="str">
            <v/>
          </cell>
          <cell r="EF272">
            <v>1</v>
          </cell>
          <cell r="EG272">
            <v>1</v>
          </cell>
          <cell r="FD272">
            <v>7</v>
          </cell>
          <cell r="FE272" t="str">
            <v>4 to 7 Days</v>
          </cell>
          <cell r="FF272">
            <v>29</v>
          </cell>
          <cell r="FG272" t="str">
            <v>16 to 31 Days</v>
          </cell>
          <cell r="FH272" t="str">
            <v>Done</v>
          </cell>
          <cell r="FI272" t="str">
            <v>Done</v>
          </cell>
          <cell r="FJ272" t="str">
            <v>NA</v>
          </cell>
          <cell r="FK272">
            <v>45219</v>
          </cell>
          <cell r="FM272" t="str">
            <v/>
          </cell>
          <cell r="GA272">
            <v>45215</v>
          </cell>
          <cell r="GC272">
            <v>45194</v>
          </cell>
          <cell r="GG272" t="str">
            <v>2023-2024</v>
          </cell>
        </row>
        <row r="273">
          <cell r="E273" t="str">
            <v>Opposite To Indain Oil Petrol Pump  ,  , Near Ashoka Tailor Sarna  , PATHANKOT , 145001</v>
          </cell>
          <cell r="F273" t="str">
            <v>9. EPC Ready</v>
          </cell>
          <cell r="G273" t="str">
            <v>SPPBPAP4077</v>
          </cell>
          <cell r="H273" t="str">
            <v>PB-SM-SAR-3000</v>
          </cell>
          <cell r="I273" t="str">
            <v>TYU4</v>
          </cell>
          <cell r="J273" t="str">
            <v>QCCO</v>
          </cell>
          <cell r="K273" t="str">
            <v xml:space="preserve">N </v>
          </cell>
          <cell r="L273" t="str">
            <v>KC</v>
          </cell>
          <cell r="M273" t="str">
            <v>EPC Ready</v>
          </cell>
          <cell r="P273" t="str">
            <v>Yogesh Kapoor-7888699608</v>
          </cell>
          <cell r="Q273" t="str">
            <v>Gaurav Shinde</v>
          </cell>
          <cell r="S273" t="str">
            <v>Punjab</v>
          </cell>
          <cell r="T273" t="str">
            <v>Sarna</v>
          </cell>
          <cell r="U273" t="str">
            <v>Non Premium</v>
          </cell>
          <cell r="V273" t="str">
            <v>Pharma Format</v>
          </cell>
          <cell r="W273">
            <v>400</v>
          </cell>
          <cell r="X273" t="str">
            <v>Opposite To Indain Oil Petrol Pump  ,  , Near Ashoka Tailor Sarna  , PATHANKOT , 145001</v>
          </cell>
          <cell r="Y273">
            <v>45124</v>
          </cell>
          <cell r="Z273" t="str">
            <v>NA</v>
          </cell>
          <cell r="AB273" t="str">
            <v>NA</v>
          </cell>
          <cell r="AF273" t="str">
            <v>NA</v>
          </cell>
          <cell r="AK273">
            <v>45161</v>
          </cell>
          <cell r="AL273" t="str">
            <v>Received</v>
          </cell>
          <cell r="AM273">
            <v>45156</v>
          </cell>
          <cell r="AO273">
            <v>3</v>
          </cell>
          <cell r="AS273">
            <v>-3</v>
          </cell>
          <cell r="AU273">
            <v>4</v>
          </cell>
          <cell r="AY273">
            <v>-4</v>
          </cell>
          <cell r="BA273">
            <v>5</v>
          </cell>
          <cell r="BE273">
            <v>-5</v>
          </cell>
          <cell r="BG273">
            <v>5</v>
          </cell>
          <cell r="BK273">
            <v>-5</v>
          </cell>
          <cell r="BM273">
            <v>3</v>
          </cell>
          <cell r="BP273">
            <v>3</v>
          </cell>
          <cell r="BW273" t="str">
            <v>Done</v>
          </cell>
          <cell r="BX273">
            <v>45079</v>
          </cell>
          <cell r="BY273" t="str">
            <v>Approved</v>
          </cell>
          <cell r="CD273">
            <v>45126</v>
          </cell>
          <cell r="CE273">
            <v>45169</v>
          </cell>
          <cell r="CG273" t="str">
            <v xml:space="preserve">M/s     PREFER RACK ENGINEERS </v>
          </cell>
          <cell r="CI273" t="str">
            <v>Issued</v>
          </cell>
          <cell r="DG273" t="str">
            <v>Netmed SDP - Not in Dead Rental</v>
          </cell>
          <cell r="DK273">
            <v>45180</v>
          </cell>
          <cell r="DM273">
            <v>2</v>
          </cell>
          <cell r="DN273" t="str">
            <v>0 to 3 Days</v>
          </cell>
          <cell r="DP273">
            <v>45172</v>
          </cell>
          <cell r="DQ273">
            <v>45182</v>
          </cell>
          <cell r="DR273">
            <v>7</v>
          </cell>
          <cell r="DS273">
            <v>7</v>
          </cell>
          <cell r="DU273">
            <v>45189</v>
          </cell>
          <cell r="DV273">
            <v>45179</v>
          </cell>
          <cell r="DW273">
            <v>45189</v>
          </cell>
          <cell r="DX273" t="str">
            <v>Sep 23 Week 3</v>
          </cell>
          <cell r="DY273">
            <v>45205</v>
          </cell>
          <cell r="DZ273">
            <v>45205</v>
          </cell>
          <cell r="EA273" t="str">
            <v>Oct 23 Week 1</v>
          </cell>
          <cell r="EB273" t="str">
            <v>Backlog</v>
          </cell>
          <cell r="ED273" t="str">
            <v/>
          </cell>
          <cell r="EE273" t="str">
            <v/>
          </cell>
          <cell r="EF273">
            <v>1</v>
          </cell>
          <cell r="EG273">
            <v>1</v>
          </cell>
          <cell r="FD273">
            <v>16</v>
          </cell>
          <cell r="FE273" t="str">
            <v>16 to 31 Days</v>
          </cell>
          <cell r="FF273">
            <v>26</v>
          </cell>
          <cell r="FG273" t="str">
            <v>16 to 31 Days</v>
          </cell>
          <cell r="FH273" t="str">
            <v>Done</v>
          </cell>
          <cell r="FI273" t="str">
            <v>Done</v>
          </cell>
          <cell r="FJ273" t="str">
            <v>NA</v>
          </cell>
          <cell r="FK273">
            <v>45363</v>
          </cell>
          <cell r="FM273" t="str">
            <v/>
          </cell>
          <cell r="GA273">
            <v>45204</v>
          </cell>
          <cell r="GC273">
            <v>45182</v>
          </cell>
          <cell r="GG273" t="str">
            <v>2023-2024</v>
          </cell>
        </row>
        <row r="274">
          <cell r="E274" t="str">
            <v>GF, Sr. No.29/1/2/3, Plot No. 1  , Garden Shirpur Dhule , Vill- Madhal, Tal-Shirpur, Dist- Dhule  , Shirpur , 425405</v>
          </cell>
          <cell r="F274" t="str">
            <v>9. EPC Ready</v>
          </cell>
          <cell r="G274" t="str">
            <v>SPMHDHD3740</v>
          </cell>
          <cell r="H274" t="str">
            <v>MH-SM-SHI-3000</v>
          </cell>
          <cell r="I274" t="str">
            <v>TAOO</v>
          </cell>
          <cell r="J274" t="str">
            <v>QF4R</v>
          </cell>
          <cell r="K274" t="str">
            <v>W</v>
          </cell>
          <cell r="L274" t="str">
            <v>KC</v>
          </cell>
          <cell r="M274" t="str">
            <v>EPC Ready</v>
          </cell>
          <cell r="P274" t="str">
            <v>Mr Prashant Wankhede-9284862994</v>
          </cell>
          <cell r="Q274" t="str">
            <v>Gaurav Shinde</v>
          </cell>
          <cell r="S274" t="str">
            <v>Maharashtra</v>
          </cell>
          <cell r="T274" t="str">
            <v>SHIRPUR</v>
          </cell>
          <cell r="U274" t="str">
            <v>Non Premium</v>
          </cell>
          <cell r="V274" t="str">
            <v>Pharma Format</v>
          </cell>
          <cell r="W274">
            <v>400</v>
          </cell>
          <cell r="X274" t="str">
            <v>GF, Sr. No.29/1/2/3, Plot No. 1  , Garden Shirpur Dhule , Vill- Madhal, Tal-Shirpur, Dist- Dhule  , Shirpur , 425405</v>
          </cell>
          <cell r="Y274">
            <v>45166</v>
          </cell>
          <cell r="Z274" t="str">
            <v>NA</v>
          </cell>
          <cell r="AB274" t="str">
            <v>NA</v>
          </cell>
          <cell r="AF274" t="str">
            <v>NA</v>
          </cell>
          <cell r="AK274">
            <v>45166</v>
          </cell>
          <cell r="AL274" t="str">
            <v>Received</v>
          </cell>
          <cell r="AM274">
            <v>0</v>
          </cell>
          <cell r="AO274">
            <v>3</v>
          </cell>
          <cell r="AS274">
            <v>-3</v>
          </cell>
          <cell r="AU274">
            <v>4</v>
          </cell>
          <cell r="AY274">
            <v>-4</v>
          </cell>
          <cell r="BA274">
            <v>5</v>
          </cell>
          <cell r="BE274">
            <v>-5</v>
          </cell>
          <cell r="BG274">
            <v>5</v>
          </cell>
          <cell r="BK274">
            <v>-5</v>
          </cell>
          <cell r="BM274">
            <v>3</v>
          </cell>
          <cell r="BP274">
            <v>3</v>
          </cell>
          <cell r="BW274" t="str">
            <v>Done</v>
          </cell>
          <cell r="BX274">
            <v>45079</v>
          </cell>
          <cell r="BY274" t="str">
            <v>Approved</v>
          </cell>
          <cell r="CD274">
            <v>45163</v>
          </cell>
          <cell r="CE274">
            <v>45169</v>
          </cell>
          <cell r="CG274" t="str">
            <v>M/s. Saitech Electricals</v>
          </cell>
          <cell r="CI274" t="str">
            <v>Issued</v>
          </cell>
          <cell r="DG274" t="str">
            <v>Netmed SDP - Not in Dead Rental</v>
          </cell>
          <cell r="DK274">
            <v>45192</v>
          </cell>
          <cell r="DL274">
            <v>45169</v>
          </cell>
          <cell r="DM274">
            <v>2</v>
          </cell>
          <cell r="DN274" t="str">
            <v>0 to 3 Days</v>
          </cell>
          <cell r="DP274">
            <v>45172</v>
          </cell>
          <cell r="DQ274">
            <v>45194</v>
          </cell>
          <cell r="DR274">
            <v>7</v>
          </cell>
          <cell r="DS274">
            <v>7</v>
          </cell>
          <cell r="DU274">
            <v>45201</v>
          </cell>
          <cell r="DV274">
            <v>45179</v>
          </cell>
          <cell r="DW274">
            <v>45201</v>
          </cell>
          <cell r="DX274" t="str">
            <v>Oct 23 Week 1</v>
          </cell>
          <cell r="DY274">
            <v>45205</v>
          </cell>
          <cell r="DZ274">
            <v>45206</v>
          </cell>
          <cell r="EA274" t="str">
            <v>Oct 23 Week 1</v>
          </cell>
          <cell r="EB274" t="str">
            <v>Backlog</v>
          </cell>
          <cell r="ED274" t="str">
            <v/>
          </cell>
          <cell r="EE274" t="str">
            <v/>
          </cell>
          <cell r="EF274">
            <v>1</v>
          </cell>
          <cell r="EG274">
            <v>1</v>
          </cell>
          <cell r="FD274">
            <v>5</v>
          </cell>
          <cell r="FE274" t="str">
            <v>4 to 7 Days</v>
          </cell>
          <cell r="FF274">
            <v>27</v>
          </cell>
          <cell r="FG274" t="str">
            <v>16 to 31 Days</v>
          </cell>
          <cell r="FH274" t="str">
            <v>Done</v>
          </cell>
          <cell r="FI274" t="str">
            <v>Done</v>
          </cell>
          <cell r="FJ274" t="str">
            <v>NA</v>
          </cell>
          <cell r="FK274">
            <v>45221</v>
          </cell>
          <cell r="FM274" t="str">
            <v/>
          </cell>
          <cell r="GA274">
            <v>45215</v>
          </cell>
          <cell r="GC274">
            <v>45194</v>
          </cell>
          <cell r="GG274" t="str">
            <v>2023-2024</v>
          </cell>
        </row>
        <row r="275">
          <cell r="E275" t="str">
            <v>Surjan Singh Tower  , Haidergarh , 546 Auswaneshar Road  , BARABANKI , 225124</v>
          </cell>
          <cell r="F275" t="str">
            <v>9. EPC Ready</v>
          </cell>
          <cell r="G275" t="str">
            <v>SPUPBAB2622</v>
          </cell>
          <cell r="H275" t="str">
            <v>UP-SM-BNK-3002</v>
          </cell>
          <cell r="I275" t="str">
            <v>TWH7</v>
          </cell>
          <cell r="J275" t="str">
            <v>Q6JQ</v>
          </cell>
          <cell r="K275" t="str">
            <v xml:space="preserve">N </v>
          </cell>
          <cell r="L275" t="str">
            <v>KC</v>
          </cell>
          <cell r="M275" t="str">
            <v>EPC Ready</v>
          </cell>
          <cell r="Q275" t="str">
            <v>Gaurav Shinde</v>
          </cell>
          <cell r="S275" t="str">
            <v>Uttar Pradesh</v>
          </cell>
          <cell r="T275" t="str">
            <v>Barabanki</v>
          </cell>
          <cell r="U275" t="str">
            <v>Non Premium</v>
          </cell>
          <cell r="V275" t="str">
            <v>Pharma Format</v>
          </cell>
          <cell r="W275">
            <v>402</v>
          </cell>
          <cell r="X275" t="str">
            <v>Surjan Singh Tower  , Haidergarh , 546 Auswaneshar Road  , BARABANKI , 225124</v>
          </cell>
          <cell r="Y275">
            <v>45166</v>
          </cell>
          <cell r="Z275" t="str">
            <v>NA</v>
          </cell>
          <cell r="AB275" t="str">
            <v>NA</v>
          </cell>
          <cell r="AF275" t="str">
            <v>NA</v>
          </cell>
          <cell r="AK275">
            <v>45183</v>
          </cell>
          <cell r="AL275" t="str">
            <v>Received</v>
          </cell>
          <cell r="AM275">
            <v>0</v>
          </cell>
          <cell r="AO275">
            <v>3</v>
          </cell>
          <cell r="AS275">
            <v>-3</v>
          </cell>
          <cell r="AU275">
            <v>4</v>
          </cell>
          <cell r="AY275">
            <v>-4</v>
          </cell>
          <cell r="BA275">
            <v>5</v>
          </cell>
          <cell r="BE275">
            <v>-5</v>
          </cell>
          <cell r="BG275">
            <v>5</v>
          </cell>
          <cell r="BK275">
            <v>-5</v>
          </cell>
          <cell r="BM275">
            <v>3</v>
          </cell>
          <cell r="BP275">
            <v>3</v>
          </cell>
          <cell r="BW275" t="str">
            <v>Done</v>
          </cell>
          <cell r="BX275">
            <v>45079</v>
          </cell>
          <cell r="BY275" t="str">
            <v>Approved</v>
          </cell>
          <cell r="CD275">
            <v>45163</v>
          </cell>
          <cell r="CE275">
            <v>45169</v>
          </cell>
          <cell r="CG275" t="str">
            <v>M/s     KAUSAR CONSTRUCTIONS</v>
          </cell>
          <cell r="CI275" t="str">
            <v>Issued</v>
          </cell>
          <cell r="DG275" t="str">
            <v>Netmed SDP - Not in Dead Rental</v>
          </cell>
          <cell r="DK275">
            <v>45211</v>
          </cell>
          <cell r="DL275">
            <v>45171</v>
          </cell>
          <cell r="DM275">
            <v>2</v>
          </cell>
          <cell r="DN275" t="str">
            <v>0 to 3 Days</v>
          </cell>
          <cell r="DP275">
            <v>45172</v>
          </cell>
          <cell r="DQ275">
            <v>45213</v>
          </cell>
          <cell r="DR275">
            <v>7</v>
          </cell>
          <cell r="DS275">
            <v>7</v>
          </cell>
          <cell r="DU275">
            <v>45220</v>
          </cell>
          <cell r="DV275">
            <v>45179</v>
          </cell>
          <cell r="DW275">
            <v>45220</v>
          </cell>
          <cell r="DX275" t="str">
            <v>Oct 23 Week 3</v>
          </cell>
          <cell r="DY275">
            <v>45209</v>
          </cell>
          <cell r="DZ275">
            <v>45224</v>
          </cell>
          <cell r="EA275" t="str">
            <v>Oct 23 Week 4</v>
          </cell>
          <cell r="EB275" t="str">
            <v>Backlog</v>
          </cell>
          <cell r="ED275" t="str">
            <v/>
          </cell>
          <cell r="EE275" t="str">
            <v/>
          </cell>
          <cell r="EF275">
            <v>1</v>
          </cell>
          <cell r="EG275">
            <v>1</v>
          </cell>
          <cell r="FD275">
            <v>4</v>
          </cell>
          <cell r="FE275" t="str">
            <v>4 to 7 Days</v>
          </cell>
          <cell r="FF275">
            <v>45</v>
          </cell>
          <cell r="FG275" t="str">
            <v>31 to 61 Days</v>
          </cell>
          <cell r="FH275" t="str">
            <v>Done</v>
          </cell>
          <cell r="FI275" t="str">
            <v>Done</v>
          </cell>
          <cell r="FJ275" t="str">
            <v>NA</v>
          </cell>
          <cell r="FK275">
            <v>45286</v>
          </cell>
          <cell r="FM275" t="str">
            <v/>
          </cell>
          <cell r="GA275">
            <v>45225</v>
          </cell>
          <cell r="GC275">
            <v>45195</v>
          </cell>
          <cell r="GG275" t="str">
            <v>2023-2024</v>
          </cell>
        </row>
        <row r="276">
          <cell r="E276" t="str">
            <v>H No 415 Mohalla Boarding House  , Sandi Road Hardoi , Subhash Nagar  , HARDOI , 241001</v>
          </cell>
          <cell r="F276" t="str">
            <v>9. EPC Ready</v>
          </cell>
          <cell r="G276" t="str">
            <v>SPUPHAH3443</v>
          </cell>
          <cell r="H276" t="str">
            <v>UP-SM-HRO-3002</v>
          </cell>
          <cell r="I276" t="str">
            <v>TZ3J</v>
          </cell>
          <cell r="J276" t="str">
            <v>QEEC</v>
          </cell>
          <cell r="K276" t="str">
            <v xml:space="preserve">N </v>
          </cell>
          <cell r="L276" t="str">
            <v>KC</v>
          </cell>
          <cell r="M276" t="str">
            <v>EPC Ready</v>
          </cell>
          <cell r="P276" t="str">
            <v>Manoj Agarwal-8811031166</v>
          </cell>
          <cell r="Q276" t="str">
            <v>Gaurav Shinde</v>
          </cell>
          <cell r="S276" t="str">
            <v>Uttar Pradesh</v>
          </cell>
          <cell r="T276" t="str">
            <v>Hardoi</v>
          </cell>
          <cell r="U276" t="str">
            <v>Non Premium</v>
          </cell>
          <cell r="V276" t="str">
            <v>Pharma Format</v>
          </cell>
          <cell r="W276">
            <v>400</v>
          </cell>
          <cell r="X276" t="str">
            <v>H No 415 Mohalla Boarding House  , Sandi Road Hardoi , Subhash Nagar  , HARDOI , 241001</v>
          </cell>
          <cell r="Y276">
            <v>45166</v>
          </cell>
          <cell r="Z276" t="str">
            <v>NA</v>
          </cell>
          <cell r="AB276" t="str">
            <v>NA</v>
          </cell>
          <cell r="AF276" t="str">
            <v>NA</v>
          </cell>
          <cell r="AK276">
            <v>45164</v>
          </cell>
          <cell r="AL276" t="str">
            <v>Received</v>
          </cell>
          <cell r="AM276">
            <v>45159</v>
          </cell>
          <cell r="AO276">
            <v>3</v>
          </cell>
          <cell r="AS276">
            <v>-3</v>
          </cell>
          <cell r="AU276">
            <v>4</v>
          </cell>
          <cell r="AY276">
            <v>-4</v>
          </cell>
          <cell r="BA276">
            <v>5</v>
          </cell>
          <cell r="BE276">
            <v>-5</v>
          </cell>
          <cell r="BG276">
            <v>5</v>
          </cell>
          <cell r="BK276">
            <v>-5</v>
          </cell>
          <cell r="BM276">
            <v>3</v>
          </cell>
          <cell r="BP276">
            <v>3</v>
          </cell>
          <cell r="BW276" t="str">
            <v>Done</v>
          </cell>
          <cell r="BX276">
            <v>45079</v>
          </cell>
          <cell r="BY276" t="str">
            <v>Approved</v>
          </cell>
          <cell r="CD276">
            <v>45163</v>
          </cell>
          <cell r="CE276">
            <v>45177</v>
          </cell>
          <cell r="CG276" t="str">
            <v>M/s     TCA Infra</v>
          </cell>
          <cell r="CI276" t="str">
            <v>Issued</v>
          </cell>
          <cell r="DG276" t="str">
            <v>Netmed SDP - Not in Dead Rental</v>
          </cell>
          <cell r="DK276">
            <v>45200</v>
          </cell>
          <cell r="DL276">
            <v>45167</v>
          </cell>
          <cell r="DM276">
            <v>2</v>
          </cell>
          <cell r="DN276" t="str">
            <v>0 to 3 Days</v>
          </cell>
          <cell r="DP276">
            <v>45202</v>
          </cell>
          <cell r="DQ276">
            <v>45202</v>
          </cell>
          <cell r="DR276">
            <v>7</v>
          </cell>
          <cell r="DS276">
            <v>7</v>
          </cell>
          <cell r="DU276">
            <v>45209</v>
          </cell>
          <cell r="DV276">
            <v>45209</v>
          </cell>
          <cell r="DW276">
            <v>45209</v>
          </cell>
          <cell r="DX276" t="str">
            <v>Oct 23 Week 2</v>
          </cell>
          <cell r="DY276">
            <v>45209</v>
          </cell>
          <cell r="DZ276">
            <v>45209</v>
          </cell>
          <cell r="EA276" t="str">
            <v>Oct 23 Week 2</v>
          </cell>
          <cell r="EB276" t="str">
            <v>Plan</v>
          </cell>
          <cell r="ED276" t="str">
            <v/>
          </cell>
          <cell r="EE276" t="str">
            <v/>
          </cell>
          <cell r="EF276">
            <v>1</v>
          </cell>
          <cell r="EG276">
            <v>1</v>
          </cell>
          <cell r="FD276">
            <v>0</v>
          </cell>
          <cell r="FE276" t="str">
            <v>On Time</v>
          </cell>
          <cell r="FF276">
            <v>0</v>
          </cell>
          <cell r="FG276" t="str">
            <v>On Time</v>
          </cell>
          <cell r="FH276" t="str">
            <v>Done</v>
          </cell>
          <cell r="FI276" t="str">
            <v>Done</v>
          </cell>
          <cell r="FJ276" t="str">
            <v>NA</v>
          </cell>
          <cell r="FK276">
            <v>45278</v>
          </cell>
          <cell r="FM276" t="str">
            <v/>
          </cell>
          <cell r="GA276">
            <v>45215</v>
          </cell>
          <cell r="GC276">
            <v>45202</v>
          </cell>
          <cell r="GG276" t="str">
            <v>2023-2024</v>
          </cell>
        </row>
        <row r="277">
          <cell r="E277" t="str">
            <v>Gf Mustil No 97 111 Khasra No 24  , Dist Rewari , 2 2/3 4 1 4 4 Dharuheda Gurugram  , DHARUHERA , 122106</v>
          </cell>
          <cell r="F277" t="str">
            <v>9. EPC Ready</v>
          </cell>
          <cell r="G277" t="str">
            <v>SPHRDHD3777</v>
          </cell>
          <cell r="H277" t="str">
            <v>DE-SM-GUR-3005</v>
          </cell>
          <cell r="I277" t="str">
            <v>TYV1</v>
          </cell>
          <cell r="J277" t="str">
            <v>QKZZ</v>
          </cell>
          <cell r="K277" t="str">
            <v xml:space="preserve">N </v>
          </cell>
          <cell r="L277" t="str">
            <v>KC</v>
          </cell>
          <cell r="M277" t="str">
            <v>EPC Ready</v>
          </cell>
          <cell r="P277" t="str">
            <v>Sushil Sahu-8750322424</v>
          </cell>
          <cell r="Q277" t="str">
            <v>Gaurav Shinde</v>
          </cell>
          <cell r="S277" t="str">
            <v>Delhi NCR</v>
          </cell>
          <cell r="T277" t="str">
            <v>Delhi</v>
          </cell>
          <cell r="U277" t="str">
            <v>Non Premium</v>
          </cell>
          <cell r="V277" t="str">
            <v>Pharma Format</v>
          </cell>
          <cell r="W277">
            <v>400</v>
          </cell>
          <cell r="X277" t="str">
            <v>Gf Mustil No 97 111 Khasra No 24  , Dist Rewari , 2 2/3 4 1 4 4 Dharuheda Gurugram  , DHARUHERA , 122106</v>
          </cell>
          <cell r="Y277">
            <v>45163</v>
          </cell>
          <cell r="Z277" t="str">
            <v>NA</v>
          </cell>
          <cell r="AB277" t="str">
            <v>NA</v>
          </cell>
          <cell r="AF277" t="str">
            <v>NA</v>
          </cell>
          <cell r="AK277">
            <v>45192</v>
          </cell>
          <cell r="AL277" t="str">
            <v>Received</v>
          </cell>
          <cell r="AO277">
            <v>3</v>
          </cell>
          <cell r="AS277">
            <v>-3</v>
          </cell>
          <cell r="AU277">
            <v>4</v>
          </cell>
          <cell r="AY277">
            <v>-4</v>
          </cell>
          <cell r="BA277">
            <v>5</v>
          </cell>
          <cell r="BE277">
            <v>-5</v>
          </cell>
          <cell r="BG277">
            <v>5</v>
          </cell>
          <cell r="BK277">
            <v>-5</v>
          </cell>
          <cell r="BM277">
            <v>3</v>
          </cell>
          <cell r="BP277">
            <v>3</v>
          </cell>
          <cell r="BW277" t="str">
            <v>Done</v>
          </cell>
          <cell r="BX277">
            <v>45079</v>
          </cell>
          <cell r="BY277" t="str">
            <v>Approved</v>
          </cell>
          <cell r="CD277">
            <v>45161</v>
          </cell>
          <cell r="CE277">
            <v>45167</v>
          </cell>
          <cell r="CG277" t="str">
            <v>M/s     Kamna Buildtech Pvt Ltd
M/s     Paluck Technologies Pvt Ltd</v>
          </cell>
          <cell r="CI277" t="str">
            <v>Issued</v>
          </cell>
          <cell r="DG277" t="str">
            <v>Netmed SDP - Not in Dead Rental</v>
          </cell>
          <cell r="DK277">
            <v>45192</v>
          </cell>
          <cell r="DL277">
            <v>45163</v>
          </cell>
          <cell r="DM277">
            <v>2</v>
          </cell>
          <cell r="DN277" t="str">
            <v>0 to 3 Days</v>
          </cell>
          <cell r="DP277">
            <v>45170</v>
          </cell>
          <cell r="DQ277">
            <v>45194</v>
          </cell>
          <cell r="DR277">
            <v>7</v>
          </cell>
          <cell r="DS277">
            <v>7</v>
          </cell>
          <cell r="DU277">
            <v>45201</v>
          </cell>
          <cell r="DV277">
            <v>45177</v>
          </cell>
          <cell r="DW277">
            <v>45201</v>
          </cell>
          <cell r="DX277" t="str">
            <v>Oct 23 Week 1</v>
          </cell>
          <cell r="DY277">
            <v>45211</v>
          </cell>
          <cell r="DZ277">
            <v>45230</v>
          </cell>
          <cell r="EA277" t="str">
            <v>Oct 23 Week 5</v>
          </cell>
          <cell r="EB277" t="str">
            <v>Backlog</v>
          </cell>
          <cell r="ED277" t="str">
            <v/>
          </cell>
          <cell r="EE277" t="str">
            <v/>
          </cell>
          <cell r="EF277">
            <v>1</v>
          </cell>
          <cell r="EG277">
            <v>1</v>
          </cell>
          <cell r="FD277">
            <v>29</v>
          </cell>
          <cell r="FE277" t="str">
            <v>16 to 31 Days</v>
          </cell>
          <cell r="FF277">
            <v>53</v>
          </cell>
          <cell r="FG277" t="str">
            <v>31 to 61 Days</v>
          </cell>
          <cell r="FH277" t="str">
            <v>Done</v>
          </cell>
          <cell r="FI277" t="str">
            <v>Done</v>
          </cell>
          <cell r="FJ277" t="str">
            <v>NA</v>
          </cell>
          <cell r="FK277">
            <v>45271</v>
          </cell>
          <cell r="FM277" t="str">
            <v/>
          </cell>
          <cell r="GA277">
            <v>45233</v>
          </cell>
          <cell r="GC277">
            <v>45194</v>
          </cell>
          <cell r="GG277" t="str">
            <v>2023-2024</v>
          </cell>
        </row>
        <row r="278">
          <cell r="E278" t="str">
            <v>GF  Nityanand Complex Survey NO 476/1/2  , Tehsil- Itarsi Dist- Narmadapuram , &amp;476/2 Nr Gagan Magan Hotelold Betul Rd  , Itarsi , 461111</v>
          </cell>
          <cell r="F278" t="str">
            <v>9. EPC Ready</v>
          </cell>
          <cell r="G278" t="str">
            <v>SPMPHOH3256</v>
          </cell>
          <cell r="H278" t="str">
            <v>MP-SM-ITS-3000</v>
          </cell>
          <cell r="I278" t="str">
            <v>TYIE</v>
          </cell>
          <cell r="J278" t="str">
            <v>QBOD</v>
          </cell>
          <cell r="K278" t="str">
            <v>W</v>
          </cell>
          <cell r="L278" t="str">
            <v>KC</v>
          </cell>
          <cell r="M278" t="str">
            <v>EPC Ready</v>
          </cell>
          <cell r="P278" t="str">
            <v>Manish Singare-9201986104</v>
          </cell>
          <cell r="Q278" t="str">
            <v>Gaurav Shinde</v>
          </cell>
          <cell r="S278" t="str">
            <v>Madhya Pradesh</v>
          </cell>
          <cell r="T278" t="str">
            <v>Itarsi</v>
          </cell>
          <cell r="U278" t="str">
            <v>Non Premium</v>
          </cell>
          <cell r="V278" t="str">
            <v>Pharma Format</v>
          </cell>
          <cell r="W278">
            <v>400</v>
          </cell>
          <cell r="X278" t="str">
            <v>GF  Nityanand Complex Survey NO 476/1/2  , Tehsil- Itarsi Dist- Narmadapuram , &amp;476/2 Nr Gagan Magan Hotelold Betul Rd  , Itarsi , 461111</v>
          </cell>
          <cell r="Y278">
            <v>45159</v>
          </cell>
          <cell r="Z278" t="str">
            <v>NA</v>
          </cell>
          <cell r="AB278" t="str">
            <v>NA</v>
          </cell>
          <cell r="AF278" t="str">
            <v>NA</v>
          </cell>
          <cell r="AK278">
            <v>45162</v>
          </cell>
          <cell r="AL278" t="str">
            <v>Received</v>
          </cell>
          <cell r="AM278">
            <v>45157</v>
          </cell>
          <cell r="AO278">
            <v>3</v>
          </cell>
          <cell r="AS278">
            <v>-3</v>
          </cell>
          <cell r="AU278">
            <v>4</v>
          </cell>
          <cell r="AY278">
            <v>-4</v>
          </cell>
          <cell r="BA278">
            <v>5</v>
          </cell>
          <cell r="BE278">
            <v>-5</v>
          </cell>
          <cell r="BG278">
            <v>5</v>
          </cell>
          <cell r="BK278">
            <v>-5</v>
          </cell>
          <cell r="BM278">
            <v>3</v>
          </cell>
          <cell r="BP278">
            <v>3</v>
          </cell>
          <cell r="BW278" t="str">
            <v>Done</v>
          </cell>
          <cell r="BX278">
            <v>45079</v>
          </cell>
          <cell r="BY278" t="str">
            <v>Approved</v>
          </cell>
          <cell r="CD278">
            <v>45146</v>
          </cell>
          <cell r="CE278">
            <v>45150</v>
          </cell>
          <cell r="CG278" t="str">
            <v>M/s. KP Enterprises</v>
          </cell>
          <cell r="CI278" t="str">
            <v>Issued</v>
          </cell>
          <cell r="DG278" t="str">
            <v>Netmed SDP - Not in Dead Rental</v>
          </cell>
          <cell r="DK278">
            <v>45205</v>
          </cell>
          <cell r="DL278">
            <v>45164</v>
          </cell>
          <cell r="DM278">
            <v>2</v>
          </cell>
          <cell r="DN278" t="str">
            <v>0 to 3 Days</v>
          </cell>
          <cell r="DP278">
            <v>45153</v>
          </cell>
          <cell r="DQ278">
            <v>45207</v>
          </cell>
          <cell r="DR278">
            <v>7</v>
          </cell>
          <cell r="DS278">
            <v>7</v>
          </cell>
          <cell r="DU278">
            <v>45214</v>
          </cell>
          <cell r="DV278">
            <v>45160</v>
          </cell>
          <cell r="DW278">
            <v>45214</v>
          </cell>
          <cell r="DX278" t="str">
            <v>Oct 23 Week 3</v>
          </cell>
          <cell r="DY278">
            <v>45211</v>
          </cell>
          <cell r="DZ278">
            <v>45211</v>
          </cell>
          <cell r="EA278" t="str">
            <v>Oct 23 Week 2</v>
          </cell>
          <cell r="EB278" t="str">
            <v>Plan</v>
          </cell>
          <cell r="ED278" t="str">
            <v/>
          </cell>
          <cell r="EE278" t="str">
            <v/>
          </cell>
          <cell r="EF278">
            <v>1</v>
          </cell>
          <cell r="EG278">
            <v>1</v>
          </cell>
          <cell r="FD278">
            <v>-3</v>
          </cell>
          <cell r="FE278" t="str">
            <v>On Time</v>
          </cell>
          <cell r="FF278">
            <v>51</v>
          </cell>
          <cell r="FG278" t="str">
            <v>31 to 61 Days</v>
          </cell>
          <cell r="FH278" t="str">
            <v>done</v>
          </cell>
          <cell r="FJ278" t="str">
            <v>NA</v>
          </cell>
          <cell r="FK278">
            <v>45406</v>
          </cell>
          <cell r="FM278" t="str">
            <v/>
          </cell>
          <cell r="GA278">
            <v>45211</v>
          </cell>
          <cell r="GC278">
            <v>45183</v>
          </cell>
          <cell r="GG278" t="str">
            <v>2023-2024</v>
          </cell>
        </row>
        <row r="279">
          <cell r="E279" t="str">
            <v>GF, Patta No128, Plot No12, Kishangarh  ,  , Renwal, Dist - Jaipur  , KISHANGARH , 303603</v>
          </cell>
          <cell r="F279" t="str">
            <v>9. EPC Ready</v>
          </cell>
          <cell r="G279" t="str">
            <v>SPRJKIK4317</v>
          </cell>
          <cell r="H279" t="str">
            <v>RJ-SM-KIS-3000</v>
          </cell>
          <cell r="I279" t="str">
            <v>TYO7</v>
          </cell>
          <cell r="J279" t="str">
            <v>QB9Q</v>
          </cell>
          <cell r="K279" t="str">
            <v xml:space="preserve">N </v>
          </cell>
          <cell r="L279" t="str">
            <v>KC</v>
          </cell>
          <cell r="M279" t="str">
            <v>EPC Ready</v>
          </cell>
          <cell r="P279" t="str">
            <v>Mr.Balram Soni-8003293109</v>
          </cell>
          <cell r="Q279" t="str">
            <v>Gaurav Shinde</v>
          </cell>
          <cell r="S279" t="str">
            <v>Rajasthan</v>
          </cell>
          <cell r="T279" t="str">
            <v>Kishangarh Renwal</v>
          </cell>
          <cell r="U279" t="str">
            <v>Non Premium</v>
          </cell>
          <cell r="V279" t="str">
            <v>Pharma Format</v>
          </cell>
          <cell r="W279">
            <v>400</v>
          </cell>
          <cell r="X279" t="str">
            <v>GF, Patta No128, Plot No12, Kishangarh  ,  , Renwal, Dist - Jaipur  , KISHANGARH , 303603</v>
          </cell>
          <cell r="Y279">
            <v>45125</v>
          </cell>
          <cell r="Z279" t="str">
            <v>NA</v>
          </cell>
          <cell r="AB279" t="str">
            <v>NA</v>
          </cell>
          <cell r="AF279" t="str">
            <v>NA</v>
          </cell>
          <cell r="AK279">
            <v>45194</v>
          </cell>
          <cell r="AL279" t="str">
            <v>Received</v>
          </cell>
          <cell r="AM279">
            <v>45189</v>
          </cell>
          <cell r="AO279">
            <v>3</v>
          </cell>
          <cell r="AS279">
            <v>-3</v>
          </cell>
          <cell r="AU279">
            <v>4</v>
          </cell>
          <cell r="AY279">
            <v>-4</v>
          </cell>
          <cell r="BA279">
            <v>5</v>
          </cell>
          <cell r="BE279">
            <v>-5</v>
          </cell>
          <cell r="BG279">
            <v>5</v>
          </cell>
          <cell r="BK279">
            <v>-5</v>
          </cell>
          <cell r="BM279">
            <v>3</v>
          </cell>
          <cell r="BP279">
            <v>3</v>
          </cell>
          <cell r="BW279" t="str">
            <v>Done</v>
          </cell>
          <cell r="BX279">
            <v>45079</v>
          </cell>
          <cell r="BY279" t="str">
            <v>Approved</v>
          </cell>
          <cell r="CD279">
            <v>45126</v>
          </cell>
          <cell r="CE279">
            <v>45156</v>
          </cell>
          <cell r="CG279" t="str">
            <v>M/s    TLP SERVICE PRIVATE LIMITED</v>
          </cell>
          <cell r="CI279" t="str">
            <v>Issued</v>
          </cell>
          <cell r="DG279" t="str">
            <v>Netmed SDP - Not in Dead Rental</v>
          </cell>
          <cell r="DK279">
            <v>45166</v>
          </cell>
          <cell r="DL279">
            <v>45155</v>
          </cell>
          <cell r="DM279">
            <v>2</v>
          </cell>
          <cell r="DN279" t="str">
            <v>0 to 3 Days</v>
          </cell>
          <cell r="DP279">
            <v>45159</v>
          </cell>
          <cell r="DQ279">
            <v>45168</v>
          </cell>
          <cell r="DR279">
            <v>7</v>
          </cell>
          <cell r="DS279">
            <v>7</v>
          </cell>
          <cell r="DU279">
            <v>45175</v>
          </cell>
          <cell r="DV279">
            <v>45166</v>
          </cell>
          <cell r="DW279">
            <v>45175</v>
          </cell>
          <cell r="DX279" t="str">
            <v>Sep 23 Week 1</v>
          </cell>
          <cell r="DY279" t="str">
            <v xml:space="preserve">
06-09-2023
10-09-2023
</v>
          </cell>
          <cell r="DZ279">
            <v>45180</v>
          </cell>
          <cell r="EA279" t="str">
            <v>Sep 23 Week 2</v>
          </cell>
          <cell r="EB279" t="str">
            <v>Backlog</v>
          </cell>
          <cell r="ED279" t="str">
            <v/>
          </cell>
          <cell r="EE279" t="str">
            <v/>
          </cell>
          <cell r="EF279">
            <v>1</v>
          </cell>
          <cell r="EG279">
            <v>1</v>
          </cell>
          <cell r="FD279">
            <v>5</v>
          </cell>
          <cell r="FE279" t="str">
            <v>4 to 7 Days</v>
          </cell>
          <cell r="FF279">
            <v>14</v>
          </cell>
          <cell r="FG279" t="str">
            <v>8 to 15 Days</v>
          </cell>
          <cell r="FH279" t="str">
            <v>Done</v>
          </cell>
          <cell r="FI279" t="str">
            <v>Done</v>
          </cell>
          <cell r="FJ279" t="str">
            <v>NA</v>
          </cell>
          <cell r="FK279">
            <v>45392</v>
          </cell>
          <cell r="FM279" t="str">
            <v/>
          </cell>
          <cell r="GA279">
            <v>45266</v>
          </cell>
          <cell r="GC279">
            <v>45165</v>
          </cell>
          <cell r="GG279" t="str">
            <v>2023-2024</v>
          </cell>
        </row>
        <row r="280">
          <cell r="E280" t="str">
            <v>GF &amp; FF Khasra No 5559 &amp; 5560 Near  , Sagwar , Nursary Mod Dungarpur Road Sagwara , Dungarpur , SAGWARA , 314025</v>
          </cell>
          <cell r="F280" t="str">
            <v>9. EPC Ready</v>
          </cell>
          <cell r="G280" t="str">
            <v>SPRJDUD4270</v>
          </cell>
          <cell r="H280" t="str">
            <v>RJ-SM-SWA-3000</v>
          </cell>
          <cell r="I280" t="str">
            <v>TG9H</v>
          </cell>
          <cell r="J280" t="str">
            <v>QZBM</v>
          </cell>
          <cell r="K280" t="str">
            <v xml:space="preserve">N </v>
          </cell>
          <cell r="L280" t="str">
            <v>KC</v>
          </cell>
          <cell r="M280" t="str">
            <v>EPC Ready</v>
          </cell>
          <cell r="P280" t="str">
            <v>Mr.Balram Soni-8003293109</v>
          </cell>
          <cell r="Q280" t="str">
            <v>Gaurav Shinde</v>
          </cell>
          <cell r="S280" t="str">
            <v>Rajasthan</v>
          </cell>
          <cell r="T280" t="str">
            <v>Sagwara</v>
          </cell>
          <cell r="U280" t="str">
            <v>Non Premium</v>
          </cell>
          <cell r="V280" t="str">
            <v>Pharma Format</v>
          </cell>
          <cell r="W280">
            <v>400</v>
          </cell>
          <cell r="X280" t="str">
            <v>GF &amp; FF Khasra No 5559 &amp; 5560 Near  , Sagwar , Nursary Mod Dungarpur Road Sagwara , Dungarpur , SAGWARA , 314025</v>
          </cell>
          <cell r="Y280">
            <v>45166</v>
          </cell>
          <cell r="Z280" t="str">
            <v>NA</v>
          </cell>
          <cell r="AB280" t="str">
            <v>NA</v>
          </cell>
          <cell r="AF280" t="str">
            <v>NA</v>
          </cell>
          <cell r="AK280">
            <v>45162</v>
          </cell>
          <cell r="AL280" t="str">
            <v>Received</v>
          </cell>
          <cell r="AM280">
            <v>45157</v>
          </cell>
          <cell r="AO280">
            <v>3</v>
          </cell>
          <cell r="AS280">
            <v>-3</v>
          </cell>
          <cell r="AU280">
            <v>4</v>
          </cell>
          <cell r="AY280">
            <v>-4</v>
          </cell>
          <cell r="BA280">
            <v>5</v>
          </cell>
          <cell r="BE280">
            <v>-5</v>
          </cell>
          <cell r="BG280">
            <v>5</v>
          </cell>
          <cell r="BK280">
            <v>-5</v>
          </cell>
          <cell r="BM280">
            <v>3</v>
          </cell>
          <cell r="BP280">
            <v>3</v>
          </cell>
          <cell r="BW280" t="str">
            <v>Done</v>
          </cell>
          <cell r="BX280">
            <v>45079</v>
          </cell>
          <cell r="BY280" t="str">
            <v>Approved</v>
          </cell>
          <cell r="CD280">
            <v>45163</v>
          </cell>
          <cell r="CE280">
            <v>45169</v>
          </cell>
          <cell r="CG280" t="str">
            <v>M/s     AVADH BUSINESS SERVICES (I) PVT. LTD</v>
          </cell>
          <cell r="CI280" t="str">
            <v>Issued</v>
          </cell>
          <cell r="DG280" t="str">
            <v>Netmed SDP - Not in Dead Rental</v>
          </cell>
          <cell r="DK280">
            <v>45192</v>
          </cell>
          <cell r="DL280">
            <v>45166</v>
          </cell>
          <cell r="DM280">
            <v>2</v>
          </cell>
          <cell r="DN280" t="str">
            <v>0 to 3 Days</v>
          </cell>
          <cell r="DP280">
            <v>45172</v>
          </cell>
          <cell r="DQ280">
            <v>45194</v>
          </cell>
          <cell r="DR280">
            <v>7</v>
          </cell>
          <cell r="DS280">
            <v>7</v>
          </cell>
          <cell r="DU280">
            <v>45201</v>
          </cell>
          <cell r="DV280">
            <v>45179</v>
          </cell>
          <cell r="DW280">
            <v>45201</v>
          </cell>
          <cell r="DX280" t="str">
            <v>Oct 23 Week 1</v>
          </cell>
          <cell r="DY280" t="str">
            <v>02-10-2023
07-10-2023</v>
          </cell>
          <cell r="DZ280">
            <v>45206</v>
          </cell>
          <cell r="EA280" t="str">
            <v>Oct 23 Week 1</v>
          </cell>
          <cell r="EB280" t="str">
            <v>Backlog</v>
          </cell>
          <cell r="ED280" t="str">
            <v/>
          </cell>
          <cell r="EE280" t="str">
            <v/>
          </cell>
          <cell r="EF280">
            <v>1</v>
          </cell>
          <cell r="EG280">
            <v>1</v>
          </cell>
          <cell r="FD280">
            <v>5</v>
          </cell>
          <cell r="FE280" t="str">
            <v>4 to 7 Days</v>
          </cell>
          <cell r="FF280">
            <v>27</v>
          </cell>
          <cell r="FG280" t="str">
            <v>16 to 31 Days</v>
          </cell>
          <cell r="FH280" t="str">
            <v>Done</v>
          </cell>
          <cell r="FI280" t="str">
            <v>Done</v>
          </cell>
          <cell r="FJ280" t="str">
            <v>NA</v>
          </cell>
          <cell r="FK280">
            <v>45275</v>
          </cell>
          <cell r="FM280" t="str">
            <v/>
          </cell>
          <cell r="GA280">
            <v>45211</v>
          </cell>
          <cell r="GC280">
            <v>45194</v>
          </cell>
          <cell r="GG280" t="str">
            <v>2023-2024</v>
          </cell>
        </row>
        <row r="281">
          <cell r="E281" t="str">
            <v>GF Khasra No 260 Village - Shahgarh  , Dist - Bareilly , Pargana - Chaumahla Tehsil - Baheri  , BAHERI , 243201</v>
          </cell>
          <cell r="F281" t="str">
            <v>9. EPC Ready</v>
          </cell>
          <cell r="G281" t="str">
            <v>SPUPMOB3899</v>
          </cell>
          <cell r="H281" t="str">
            <v>UP-SM-BEH-3000</v>
          </cell>
          <cell r="I281" t="str">
            <v>TYJY</v>
          </cell>
          <cell r="J281" t="str">
            <v>QBQG</v>
          </cell>
          <cell r="K281" t="str">
            <v xml:space="preserve">N </v>
          </cell>
          <cell r="L281" t="str">
            <v>KC</v>
          </cell>
          <cell r="M281" t="str">
            <v>EPC Ready</v>
          </cell>
          <cell r="P281" t="str">
            <v>Abhay Srivastav-9305109175</v>
          </cell>
          <cell r="Q281" t="str">
            <v>Gaurav Shinde</v>
          </cell>
          <cell r="S281" t="str">
            <v>Uttar Pradesh</v>
          </cell>
          <cell r="T281" t="str">
            <v>BAHERI</v>
          </cell>
          <cell r="U281" t="str">
            <v>Non Premium</v>
          </cell>
          <cell r="V281" t="str">
            <v>Pharma Format</v>
          </cell>
          <cell r="W281">
            <v>400</v>
          </cell>
          <cell r="X281" t="str">
            <v>GF Khasra No 260 Village - Shahgarh  , Dist - Bareilly , Pargana - Chaumahla Tehsil - Baheri  , BAHERI , 243201</v>
          </cell>
          <cell r="Y281">
            <v>45166</v>
          </cell>
          <cell r="Z281" t="str">
            <v>NA</v>
          </cell>
          <cell r="AB281" t="str">
            <v>NA</v>
          </cell>
          <cell r="AF281" t="str">
            <v>NA</v>
          </cell>
          <cell r="AK281">
            <v>45170</v>
          </cell>
          <cell r="AL281" t="str">
            <v>Received</v>
          </cell>
          <cell r="AM281">
            <v>45165</v>
          </cell>
          <cell r="AO281">
            <v>3</v>
          </cell>
          <cell r="AS281">
            <v>-3</v>
          </cell>
          <cell r="AU281">
            <v>4</v>
          </cell>
          <cell r="AY281">
            <v>-4</v>
          </cell>
          <cell r="BA281">
            <v>5</v>
          </cell>
          <cell r="BE281">
            <v>-5</v>
          </cell>
          <cell r="BG281">
            <v>5</v>
          </cell>
          <cell r="BK281">
            <v>-5</v>
          </cell>
          <cell r="BM281">
            <v>3</v>
          </cell>
          <cell r="BP281">
            <v>3</v>
          </cell>
          <cell r="BW281" t="str">
            <v>Done</v>
          </cell>
          <cell r="BX281">
            <v>45079</v>
          </cell>
          <cell r="BY281" t="str">
            <v>Approved</v>
          </cell>
          <cell r="CD281">
            <v>45163</v>
          </cell>
          <cell r="CE281">
            <v>45170</v>
          </cell>
          <cell r="CG281" t="str">
            <v>M/s     SHOURYA INFRATECH</v>
          </cell>
          <cell r="CI281" t="str">
            <v>Issued</v>
          </cell>
          <cell r="DG281" t="str">
            <v>Netmed SDP - Not in Dead Rental</v>
          </cell>
          <cell r="DK281">
            <v>45194</v>
          </cell>
          <cell r="DL281">
            <v>45171</v>
          </cell>
          <cell r="DM281">
            <v>2</v>
          </cell>
          <cell r="DN281" t="str">
            <v>0 to 3 Days</v>
          </cell>
          <cell r="DP281">
            <v>45173</v>
          </cell>
          <cell r="DQ281">
            <v>45196</v>
          </cell>
          <cell r="DR281">
            <v>7</v>
          </cell>
          <cell r="DS281">
            <v>7</v>
          </cell>
          <cell r="DU281">
            <v>45203</v>
          </cell>
          <cell r="DV281">
            <v>45180</v>
          </cell>
          <cell r="DW281">
            <v>45203</v>
          </cell>
          <cell r="DX281" t="str">
            <v>Oct 23 Week 1</v>
          </cell>
          <cell r="DY281" t="str">
            <v xml:space="preserve">03-10-2023
07-10-2023
</v>
          </cell>
          <cell r="DZ281">
            <v>45205</v>
          </cell>
          <cell r="EA281" t="str">
            <v>Oct 23 Week 1</v>
          </cell>
          <cell r="EB281" t="str">
            <v>Backlog</v>
          </cell>
          <cell r="ED281" t="str">
            <v/>
          </cell>
          <cell r="EE281" t="str">
            <v/>
          </cell>
          <cell r="EF281">
            <v>1</v>
          </cell>
          <cell r="EG281">
            <v>1</v>
          </cell>
          <cell r="FD281">
            <v>2</v>
          </cell>
          <cell r="FE281" t="str">
            <v>0 to 3 Days</v>
          </cell>
          <cell r="FF281">
            <v>25</v>
          </cell>
          <cell r="FG281" t="str">
            <v>16 to 31 Days</v>
          </cell>
          <cell r="FH281" t="str">
            <v>Done</v>
          </cell>
          <cell r="FI281" t="str">
            <v>Done</v>
          </cell>
          <cell r="FJ281" t="str">
            <v>NA</v>
          </cell>
          <cell r="FK281">
            <v>45225</v>
          </cell>
          <cell r="FM281" t="str">
            <v/>
          </cell>
          <cell r="GA281">
            <v>45215</v>
          </cell>
          <cell r="GC281">
            <v>45196</v>
          </cell>
          <cell r="GG281" t="str">
            <v>2023-2024</v>
          </cell>
        </row>
        <row r="282">
          <cell r="E282" t="str">
            <v>J Loganayaki Jlr Complex Mbt Road  , Walajapet Ranipet , Tnhb Housing Board  , WALAJAPET , 632513</v>
          </cell>
          <cell r="F282" t="str">
            <v>10. Launched</v>
          </cell>
          <cell r="G282" t="str">
            <v>SPTNWAJ3557</v>
          </cell>
          <cell r="H282" t="str">
            <v>TN-SM-WAT-3000</v>
          </cell>
          <cell r="I282" t="str">
            <v>TYPI</v>
          </cell>
          <cell r="J282" t="str">
            <v>QBWK</v>
          </cell>
          <cell r="K282" t="str">
            <v>S</v>
          </cell>
          <cell r="L282" t="str">
            <v>AK</v>
          </cell>
          <cell r="M282" t="str">
            <v>EPC Ready</v>
          </cell>
          <cell r="N282" t="str">
            <v>N Kalyankumar</v>
          </cell>
          <cell r="O282" t="str">
            <v>Muthuvelu Minnal /
Vijayakumar Muthusamy</v>
          </cell>
          <cell r="P282" t="str">
            <v>Muthuvelu Minnal-9998215484</v>
          </cell>
          <cell r="Q282" t="str">
            <v>Gaurav Shinde</v>
          </cell>
          <cell r="S282" t="str">
            <v>Tamil Nadu</v>
          </cell>
          <cell r="T282" t="str">
            <v>Wallajah</v>
          </cell>
          <cell r="U282" t="str">
            <v>Non Premium</v>
          </cell>
          <cell r="V282" t="str">
            <v>Pharma Format</v>
          </cell>
          <cell r="W282">
            <v>401</v>
          </cell>
          <cell r="X282" t="str">
            <v>J Loganayaki Jlr Complex Mbt Road  , Walajapet Ranipet , Tnhb Housing Board  , WALAJAPET , 632513</v>
          </cell>
          <cell r="Y282">
            <v>45104</v>
          </cell>
          <cell r="Z282" t="str">
            <v>NA</v>
          </cell>
          <cell r="AB282" t="str">
            <v>NA</v>
          </cell>
          <cell r="AF282" t="str">
            <v>NA</v>
          </cell>
          <cell r="AK282">
            <v>45090</v>
          </cell>
          <cell r="AL282" t="str">
            <v>Received</v>
          </cell>
          <cell r="AM282">
            <v>45085</v>
          </cell>
          <cell r="AO282">
            <v>3</v>
          </cell>
          <cell r="AS282">
            <v>-3</v>
          </cell>
          <cell r="AU282">
            <v>4</v>
          </cell>
          <cell r="AY282">
            <v>-4</v>
          </cell>
          <cell r="BA282">
            <v>5</v>
          </cell>
          <cell r="BE282">
            <v>-5</v>
          </cell>
          <cell r="BG282">
            <v>5</v>
          </cell>
          <cell r="BK282">
            <v>-5</v>
          </cell>
          <cell r="BM282">
            <v>3</v>
          </cell>
          <cell r="BW282" t="str">
            <v>Done</v>
          </cell>
          <cell r="BX282">
            <v>45079</v>
          </cell>
          <cell r="BY282" t="str">
            <v>Approved</v>
          </cell>
          <cell r="CD282">
            <v>45103</v>
          </cell>
          <cell r="CE282">
            <v>45128</v>
          </cell>
          <cell r="CG282" t="str">
            <v>M/s Infinity Tech Enterprises</v>
          </cell>
          <cell r="CI282" t="str">
            <v>Issued</v>
          </cell>
          <cell r="DG282" t="str">
            <v>Netmed SDP - Not in Dead Rental</v>
          </cell>
          <cell r="DK282">
            <v>45132</v>
          </cell>
          <cell r="DL282">
            <v>45108</v>
          </cell>
          <cell r="DM282">
            <v>2</v>
          </cell>
          <cell r="DN282" t="str">
            <v>0 to 3 Days</v>
          </cell>
          <cell r="DP282">
            <v>45131</v>
          </cell>
          <cell r="DQ282">
            <v>45134</v>
          </cell>
          <cell r="DR282">
            <v>7</v>
          </cell>
          <cell r="DS282">
            <v>7</v>
          </cell>
          <cell r="DU282">
            <v>45141</v>
          </cell>
          <cell r="DV282">
            <v>45138</v>
          </cell>
          <cell r="DW282">
            <v>45141</v>
          </cell>
          <cell r="DX282" t="str">
            <v>Aug 23 Week 1</v>
          </cell>
          <cell r="DY282" t="str">
            <v>05-08-2023
30-08-2023
13-09-2023</v>
          </cell>
          <cell r="DZ282">
            <v>45230</v>
          </cell>
          <cell r="EA282" t="str">
            <v>Oct 23 Week 5</v>
          </cell>
          <cell r="EB282" t="str">
            <v>Backlog</v>
          </cell>
          <cell r="ED282" t="str">
            <v/>
          </cell>
          <cell r="EE282" t="str">
            <v/>
          </cell>
          <cell r="EF282">
            <v>1</v>
          </cell>
          <cell r="EG282">
            <v>1</v>
          </cell>
          <cell r="FD282">
            <v>89</v>
          </cell>
          <cell r="FE282" t="str">
            <v>62 to 90 Days</v>
          </cell>
          <cell r="FF282">
            <v>92</v>
          </cell>
          <cell r="FG282" t="str">
            <v>More Than 90  Days</v>
          </cell>
          <cell r="FH282" t="str">
            <v>Done</v>
          </cell>
          <cell r="FI282" t="str">
            <v>Done</v>
          </cell>
          <cell r="FJ282" t="str">
            <v>NA</v>
          </cell>
          <cell r="FK282">
            <v>45274</v>
          </cell>
          <cell r="FM282" t="str">
            <v/>
          </cell>
          <cell r="GA282" t="str">
            <v>Done</v>
          </cell>
          <cell r="GC282" t="str">
            <v>27-07-2023
21-10-2023</v>
          </cell>
          <cell r="GG282" t="str">
            <v>2023-2024</v>
          </cell>
        </row>
        <row r="283">
          <cell r="E283" t="str">
            <v>GF &amp; FF Khasra No 2009  , Bheevrajo Ki Bawari Bilara Jodhpur , Patta No 95/2004 &amp; 96/2004 Chak No 01  , BILARA , 342602</v>
          </cell>
          <cell r="F283" t="str">
            <v>9. EPC Ready</v>
          </cell>
          <cell r="G283" t="str">
            <v>SPRJJOJ4218</v>
          </cell>
          <cell r="H283" t="str">
            <v>RJ-SM-BLA-3000</v>
          </cell>
          <cell r="I283" t="str">
            <v>TYQQ</v>
          </cell>
          <cell r="J283" t="str">
            <v>QBXU</v>
          </cell>
          <cell r="K283" t="str">
            <v xml:space="preserve">N </v>
          </cell>
          <cell r="L283" t="str">
            <v>KC</v>
          </cell>
          <cell r="M283" t="str">
            <v>EPC Ready</v>
          </cell>
          <cell r="P283" t="str">
            <v>Sujeet5 Kumar-9631476696</v>
          </cell>
          <cell r="Q283" t="str">
            <v>Gaurav Shinde</v>
          </cell>
          <cell r="S283" t="str">
            <v>Rajasthan</v>
          </cell>
          <cell r="T283" t="str">
            <v>Bilara</v>
          </cell>
          <cell r="U283" t="str">
            <v>Non Premium</v>
          </cell>
          <cell r="V283" t="str">
            <v>Pharma Format</v>
          </cell>
          <cell r="W283">
            <v>390</v>
          </cell>
          <cell r="X283" t="str">
            <v>GF &amp; FF Khasra No 2009  , Bheevrajo Ki Bawari Bilara Jodhpur , Patta No 95/2004 &amp; 96/2004 Chak No 01  , BILARA , 342602</v>
          </cell>
          <cell r="Y283">
            <v>45125</v>
          </cell>
          <cell r="Z283" t="str">
            <v>NA</v>
          </cell>
          <cell r="AB283" t="str">
            <v>NA</v>
          </cell>
          <cell r="AF283" t="str">
            <v>NA</v>
          </cell>
          <cell r="AK283">
            <v>45267</v>
          </cell>
          <cell r="AL283" t="str">
            <v>Received</v>
          </cell>
          <cell r="AO283">
            <v>3</v>
          </cell>
          <cell r="AS283">
            <v>-3</v>
          </cell>
          <cell r="AU283">
            <v>4</v>
          </cell>
          <cell r="AY283">
            <v>-4</v>
          </cell>
          <cell r="BA283">
            <v>5</v>
          </cell>
          <cell r="BE283">
            <v>-5</v>
          </cell>
          <cell r="BG283">
            <v>5</v>
          </cell>
          <cell r="BK283">
            <v>-5</v>
          </cell>
          <cell r="BM283">
            <v>3</v>
          </cell>
          <cell r="BP283">
            <v>3</v>
          </cell>
          <cell r="BW283" t="str">
            <v>Done</v>
          </cell>
          <cell r="BX283">
            <v>45079</v>
          </cell>
          <cell r="BY283" t="str">
            <v>Approved</v>
          </cell>
          <cell r="CD283">
            <v>45126</v>
          </cell>
          <cell r="CE283">
            <v>45156</v>
          </cell>
          <cell r="CG283" t="str">
            <v>M/s    AVADH BUSINESS SERVICES (I) PVT. LTD</v>
          </cell>
          <cell r="CI283" t="str">
            <v>Issued</v>
          </cell>
          <cell r="DG283" t="str">
            <v>Netmed SDP - Not in Dead Rental</v>
          </cell>
          <cell r="DK283">
            <v>45165</v>
          </cell>
          <cell r="DL283">
            <v>45152</v>
          </cell>
          <cell r="DM283">
            <v>2</v>
          </cell>
          <cell r="DN283" t="str">
            <v>0 to 3 Days</v>
          </cell>
          <cell r="DP283">
            <v>45159</v>
          </cell>
          <cell r="DQ283">
            <v>45167</v>
          </cell>
          <cell r="DR283">
            <v>7</v>
          </cell>
          <cell r="DS283">
            <v>7</v>
          </cell>
          <cell r="DU283">
            <v>45174</v>
          </cell>
          <cell r="DV283">
            <v>45166</v>
          </cell>
          <cell r="DW283">
            <v>45174</v>
          </cell>
          <cell r="DX283" t="str">
            <v>Sep 23 Week 1</v>
          </cell>
          <cell r="DY283" t="str">
            <v>05-09-2023
15-09-2023</v>
          </cell>
          <cell r="DZ283">
            <v>45187</v>
          </cell>
          <cell r="EA283" t="str">
            <v>Sep 23 Week 3</v>
          </cell>
          <cell r="EB283" t="str">
            <v>Backlog</v>
          </cell>
          <cell r="ED283" t="str">
            <v/>
          </cell>
          <cell r="EE283" t="str">
            <v/>
          </cell>
          <cell r="EF283">
            <v>1</v>
          </cell>
          <cell r="EG283">
            <v>1</v>
          </cell>
          <cell r="FD283">
            <v>13</v>
          </cell>
          <cell r="FE283" t="str">
            <v>8 to 15 Days</v>
          </cell>
          <cell r="FF283">
            <v>21</v>
          </cell>
          <cell r="FG283" t="str">
            <v>16 to 31 Days</v>
          </cell>
          <cell r="FH283" t="str">
            <v>Done</v>
          </cell>
          <cell r="FI283" t="str">
            <v>Done</v>
          </cell>
          <cell r="FJ283" t="str">
            <v>NA</v>
          </cell>
          <cell r="FK283">
            <v>45286</v>
          </cell>
          <cell r="FM283" t="str">
            <v/>
          </cell>
          <cell r="GA283">
            <v>45197</v>
          </cell>
          <cell r="GC283">
            <v>45166</v>
          </cell>
          <cell r="GG283" t="str">
            <v>2023-2024</v>
          </cell>
        </row>
        <row r="284">
          <cell r="E284" t="str">
            <v>Ground Floor Shyam complex Plot no. 13  ,  Chowk khandwa , block No.67 Baikunth Nagar Near Indira  , KHANDWA , 450001</v>
          </cell>
          <cell r="F284" t="str">
            <v>9. EPC Ready</v>
          </cell>
          <cell r="G284" t="str">
            <v>SPMPKHK3439</v>
          </cell>
          <cell r="H284" t="str">
            <v>MP-SM-KDW-3001</v>
          </cell>
          <cell r="I284" t="str">
            <v>TWNG</v>
          </cell>
          <cell r="J284" t="str">
            <v>Q6ZF</v>
          </cell>
          <cell r="K284" t="str">
            <v>W</v>
          </cell>
          <cell r="L284" t="str">
            <v>KC</v>
          </cell>
          <cell r="M284" t="str">
            <v>EPC Ready</v>
          </cell>
          <cell r="P284" t="str">
            <v>Subhro Ghosh-7595025194</v>
          </cell>
          <cell r="Q284" t="str">
            <v>Gaurav Shinde</v>
          </cell>
          <cell r="S284" t="str">
            <v>Madhya Pradesh</v>
          </cell>
          <cell r="T284" t="str">
            <v>Khandwa</v>
          </cell>
          <cell r="U284" t="str">
            <v>Non Premium</v>
          </cell>
          <cell r="V284" t="str">
            <v>Pharma Format</v>
          </cell>
          <cell r="W284">
            <v>408</v>
          </cell>
          <cell r="X284" t="str">
            <v>Ground Floor Shyam complex Plot no. 13  ,  Chowk khandwa , block No.67 Baikunth Nagar Near Indira  , KHANDWA , 450001</v>
          </cell>
          <cell r="Y284">
            <v>45159</v>
          </cell>
          <cell r="Z284" t="str">
            <v>NA</v>
          </cell>
          <cell r="AB284" t="str">
            <v>NA</v>
          </cell>
          <cell r="AF284" t="str">
            <v>NA</v>
          </cell>
          <cell r="AK284">
            <v>45157</v>
          </cell>
          <cell r="AL284" t="str">
            <v>Received</v>
          </cell>
          <cell r="AO284">
            <v>3</v>
          </cell>
          <cell r="AS284">
            <v>-3</v>
          </cell>
          <cell r="AU284">
            <v>4</v>
          </cell>
          <cell r="AY284">
            <v>-4</v>
          </cell>
          <cell r="BA284">
            <v>5</v>
          </cell>
          <cell r="BE284">
            <v>-5</v>
          </cell>
          <cell r="BG284">
            <v>5</v>
          </cell>
          <cell r="BK284">
            <v>-5</v>
          </cell>
          <cell r="BM284">
            <v>3</v>
          </cell>
          <cell r="BP284">
            <v>3</v>
          </cell>
          <cell r="BW284" t="str">
            <v>Done</v>
          </cell>
          <cell r="BX284">
            <v>45079</v>
          </cell>
          <cell r="BY284" t="str">
            <v>Approved</v>
          </cell>
          <cell r="CD284">
            <v>45146</v>
          </cell>
          <cell r="CE284">
            <v>45150</v>
          </cell>
          <cell r="CG284" t="str">
            <v>M/s. Easy Way</v>
          </cell>
          <cell r="CI284" t="str">
            <v>Issued</v>
          </cell>
          <cell r="DG284" t="str">
            <v>Netmed SDP - Not in Dead Rental</v>
          </cell>
          <cell r="DK284">
            <v>45197</v>
          </cell>
          <cell r="DL284">
            <v>45160</v>
          </cell>
          <cell r="DM284">
            <v>2</v>
          </cell>
          <cell r="DN284" t="str">
            <v>0 to 3 Days</v>
          </cell>
          <cell r="DP284">
            <v>45153</v>
          </cell>
          <cell r="DQ284">
            <v>45199</v>
          </cell>
          <cell r="DR284">
            <v>7</v>
          </cell>
          <cell r="DS284">
            <v>7</v>
          </cell>
          <cell r="DU284">
            <v>45206</v>
          </cell>
          <cell r="DV284">
            <v>45160</v>
          </cell>
          <cell r="DW284">
            <v>45206</v>
          </cell>
          <cell r="DX284" t="str">
            <v>Oct 23 Week 1</v>
          </cell>
          <cell r="DY284" t="str">
            <v>06-10-2023
12-10-2023</v>
          </cell>
          <cell r="DZ284">
            <v>45218</v>
          </cell>
          <cell r="EA284" t="str">
            <v>Oct 23 Week 3</v>
          </cell>
          <cell r="EB284" t="str">
            <v>Backlog</v>
          </cell>
          <cell r="ED284" t="str">
            <v/>
          </cell>
          <cell r="EE284" t="str">
            <v/>
          </cell>
          <cell r="EF284">
            <v>1</v>
          </cell>
          <cell r="EG284">
            <v>1</v>
          </cell>
          <cell r="FD284">
            <v>12</v>
          </cell>
          <cell r="FE284" t="str">
            <v>8 to 15 Days</v>
          </cell>
          <cell r="FF284">
            <v>58</v>
          </cell>
          <cell r="FG284" t="str">
            <v>31 to 61 Days</v>
          </cell>
          <cell r="FH284" t="str">
            <v>Done</v>
          </cell>
          <cell r="FI284" t="str">
            <v>Done</v>
          </cell>
          <cell r="FJ284" t="str">
            <v>NA</v>
          </cell>
          <cell r="FK284">
            <v>45302</v>
          </cell>
          <cell r="FM284" t="str">
            <v/>
          </cell>
          <cell r="GA284">
            <v>45218</v>
          </cell>
          <cell r="GC284">
            <v>45199</v>
          </cell>
          <cell r="GG284" t="str">
            <v>2023-2024</v>
          </cell>
        </row>
        <row r="285">
          <cell r="E285" t="str">
            <v>Gf Patta No 1345 Khasra No 177 Plot No24  , Shyalawas Khurd Tehsil Bandikui , Ward No 13 Sikandra Road Vill  , BANDIKUI , 303313</v>
          </cell>
          <cell r="F285" t="str">
            <v>9. EPC Ready</v>
          </cell>
          <cell r="G285" t="str">
            <v>SPRJDAD4268</v>
          </cell>
          <cell r="H285" t="str">
            <v>RJ-SM-BDI-3001</v>
          </cell>
          <cell r="I285" t="str">
            <v>TAQ4</v>
          </cell>
          <cell r="J285" t="str">
            <v>QGQI</v>
          </cell>
          <cell r="K285" t="str">
            <v xml:space="preserve">N </v>
          </cell>
          <cell r="L285" t="str">
            <v>KC</v>
          </cell>
          <cell r="M285" t="str">
            <v>EPC Ready</v>
          </cell>
          <cell r="P285" t="str">
            <v>Mr.Balram Soni-8003293109</v>
          </cell>
          <cell r="Q285" t="str">
            <v>Gaurav Shinde</v>
          </cell>
          <cell r="S285" t="str">
            <v>Rajasthan</v>
          </cell>
          <cell r="T285" t="str">
            <v>Bandikui</v>
          </cell>
          <cell r="U285" t="str">
            <v>Non Premium</v>
          </cell>
          <cell r="V285" t="str">
            <v>Pharma Format</v>
          </cell>
          <cell r="W285">
            <v>400</v>
          </cell>
          <cell r="X285" t="str">
            <v>Gf Patta No 1345 Khasra No 177 Plot No24  , Shyalawas Khurd Tehsil Bandikui , Ward No 13 Sikandra Road Vill  , BANDIKUI , 303313</v>
          </cell>
          <cell r="Y285">
            <v>45125</v>
          </cell>
          <cell r="Z285" t="str">
            <v>NA</v>
          </cell>
          <cell r="AB285" t="str">
            <v>NA</v>
          </cell>
          <cell r="AF285" t="str">
            <v>NA</v>
          </cell>
          <cell r="AK285">
            <v>45168</v>
          </cell>
          <cell r="AL285" t="str">
            <v>Received</v>
          </cell>
          <cell r="AO285">
            <v>3</v>
          </cell>
          <cell r="AS285">
            <v>-3</v>
          </cell>
          <cell r="AU285">
            <v>4</v>
          </cell>
          <cell r="AY285">
            <v>-4</v>
          </cell>
          <cell r="BA285">
            <v>5</v>
          </cell>
          <cell r="BE285">
            <v>-5</v>
          </cell>
          <cell r="BG285">
            <v>5</v>
          </cell>
          <cell r="BK285">
            <v>-5</v>
          </cell>
          <cell r="BM285">
            <v>3</v>
          </cell>
          <cell r="BP285">
            <v>3</v>
          </cell>
          <cell r="BW285" t="str">
            <v>Done</v>
          </cell>
          <cell r="BX285">
            <v>45079</v>
          </cell>
          <cell r="BY285" t="str">
            <v>Approved</v>
          </cell>
          <cell r="CD285">
            <v>45126</v>
          </cell>
          <cell r="CE285">
            <v>45156</v>
          </cell>
          <cell r="CG285" t="str">
            <v>M/s    TLP SERVICE PRIVATE LIMITED</v>
          </cell>
          <cell r="CI285" t="str">
            <v>Issued</v>
          </cell>
          <cell r="DG285" t="str">
            <v>Netmed SDP - Not in Dead Rental</v>
          </cell>
          <cell r="DK285">
            <v>45167</v>
          </cell>
          <cell r="DL285">
            <v>45153</v>
          </cell>
          <cell r="DM285">
            <v>2</v>
          </cell>
          <cell r="DN285" t="str">
            <v>0 to 3 Days</v>
          </cell>
          <cell r="DP285">
            <v>45159</v>
          </cell>
          <cell r="DQ285">
            <v>45169</v>
          </cell>
          <cell r="DR285">
            <v>7</v>
          </cell>
          <cell r="DS285">
            <v>7</v>
          </cell>
          <cell r="DU285">
            <v>45176</v>
          </cell>
          <cell r="DV285">
            <v>45166</v>
          </cell>
          <cell r="DW285">
            <v>45176</v>
          </cell>
          <cell r="DX285" t="str">
            <v>Sep 23 Week 1</v>
          </cell>
          <cell r="DY285" t="str">
            <v>10-09-2023
11-09-2023</v>
          </cell>
          <cell r="DZ285">
            <v>45180</v>
          </cell>
          <cell r="EA285" t="str">
            <v>Sep 23 Week 2</v>
          </cell>
          <cell r="EB285" t="str">
            <v>Backlog</v>
          </cell>
          <cell r="ED285" t="str">
            <v/>
          </cell>
          <cell r="EE285" t="str">
            <v/>
          </cell>
          <cell r="EF285">
            <v>1</v>
          </cell>
          <cell r="EG285">
            <v>1</v>
          </cell>
          <cell r="FD285">
            <v>4</v>
          </cell>
          <cell r="FE285" t="str">
            <v>4 to 7 Days</v>
          </cell>
          <cell r="FF285">
            <v>14</v>
          </cell>
          <cell r="FG285" t="str">
            <v>8 to 15 Days</v>
          </cell>
          <cell r="FH285" t="str">
            <v>Done</v>
          </cell>
          <cell r="FI285" t="str">
            <v>Done</v>
          </cell>
          <cell r="FJ285" t="str">
            <v>NA</v>
          </cell>
          <cell r="FK285">
            <v>45282</v>
          </cell>
          <cell r="FM285" t="str">
            <v/>
          </cell>
          <cell r="GA285" t="str">
            <v>Done</v>
          </cell>
          <cell r="GC285">
            <v>45165</v>
          </cell>
          <cell r="GG285" t="str">
            <v>2023-2024</v>
          </cell>
        </row>
        <row r="286">
          <cell r="E286" t="str">
            <v>Gf Sanjay Motors Dhuri Road Near  , Dist Malerkotla , Near Truck Uniontehsil  , MALERKOTLA , 148023</v>
          </cell>
          <cell r="F286" t="str">
            <v>9. EPC Ready</v>
          </cell>
          <cell r="G286" t="str">
            <v>SPPBMAM4259</v>
          </cell>
          <cell r="H286" t="str">
            <v>PB-SM-MLK-3002</v>
          </cell>
          <cell r="I286" t="str">
            <v>TAP9</v>
          </cell>
          <cell r="J286" t="str">
            <v>QGQE</v>
          </cell>
          <cell r="K286" t="str">
            <v xml:space="preserve">N </v>
          </cell>
          <cell r="L286" t="str">
            <v>KC</v>
          </cell>
          <cell r="M286" t="str">
            <v>EPC Ready</v>
          </cell>
          <cell r="P286" t="str">
            <v>Pranao Shrivastava-6239504134</v>
          </cell>
          <cell r="Q286" t="str">
            <v>Gaurav Shinde</v>
          </cell>
          <cell r="S286" t="str">
            <v>Punjab</v>
          </cell>
          <cell r="T286" t="str">
            <v>Malerkotla</v>
          </cell>
          <cell r="U286" t="str">
            <v>Non Premium</v>
          </cell>
          <cell r="V286" t="str">
            <v>Pharma Format</v>
          </cell>
          <cell r="W286">
            <v>400</v>
          </cell>
          <cell r="X286" t="str">
            <v>Gf Sanjay Motors Dhuri Road Near  , Dist Malerkotla , Near Truck Uniontehsil  , MALERKOTLA , 148023</v>
          </cell>
          <cell r="Y286">
            <v>45125</v>
          </cell>
          <cell r="Z286" t="str">
            <v>NA</v>
          </cell>
          <cell r="AB286" t="str">
            <v>NA</v>
          </cell>
          <cell r="AF286" t="str">
            <v>NA</v>
          </cell>
          <cell r="AK286">
            <v>45143</v>
          </cell>
          <cell r="AL286" t="str">
            <v>Received</v>
          </cell>
          <cell r="AO286">
            <v>3</v>
          </cell>
          <cell r="AS286">
            <v>-3</v>
          </cell>
          <cell r="AU286">
            <v>4</v>
          </cell>
          <cell r="AY286">
            <v>-4</v>
          </cell>
          <cell r="BA286">
            <v>5</v>
          </cell>
          <cell r="BE286">
            <v>-5</v>
          </cell>
          <cell r="BG286">
            <v>5</v>
          </cell>
          <cell r="BK286">
            <v>-5</v>
          </cell>
          <cell r="BM286">
            <v>3</v>
          </cell>
          <cell r="BP286">
            <v>3</v>
          </cell>
          <cell r="BW286" t="str">
            <v>Done</v>
          </cell>
          <cell r="BX286">
            <v>45079</v>
          </cell>
          <cell r="BY286" t="str">
            <v>Approved</v>
          </cell>
          <cell r="CD286">
            <v>45126</v>
          </cell>
          <cell r="CE286">
            <v>45163</v>
          </cell>
          <cell r="CG286" t="str">
            <v xml:space="preserve">M/s     PREFER RACK ENGINEERS </v>
          </cell>
          <cell r="CI286" t="str">
            <v>Issued</v>
          </cell>
          <cell r="DG286" t="str">
            <v>Netmed SDP - Not in Dead Rental</v>
          </cell>
          <cell r="DK286">
            <v>45167</v>
          </cell>
          <cell r="DL286">
            <v>45166</v>
          </cell>
          <cell r="DM286">
            <v>2</v>
          </cell>
          <cell r="DN286" t="str">
            <v>0 to 3 Days</v>
          </cell>
          <cell r="DP286">
            <v>45166</v>
          </cell>
          <cell r="DQ286">
            <v>45169</v>
          </cell>
          <cell r="DR286">
            <v>7</v>
          </cell>
          <cell r="DS286">
            <v>7</v>
          </cell>
          <cell r="DU286">
            <v>45176</v>
          </cell>
          <cell r="DV286">
            <v>45173</v>
          </cell>
          <cell r="DW286">
            <v>45176</v>
          </cell>
          <cell r="DX286" t="str">
            <v>Sep 23 Week 1</v>
          </cell>
          <cell r="DY286" t="str">
            <v>10-09-2023
15-09-2023</v>
          </cell>
          <cell r="DZ286">
            <v>45182</v>
          </cell>
          <cell r="EA286" t="str">
            <v>Sep 23 Week 2</v>
          </cell>
          <cell r="EB286" t="str">
            <v>Backlog</v>
          </cell>
          <cell r="ED286" t="str">
            <v/>
          </cell>
          <cell r="EE286" t="str">
            <v/>
          </cell>
          <cell r="EF286">
            <v>1</v>
          </cell>
          <cell r="EG286">
            <v>1</v>
          </cell>
          <cell r="FD286">
            <v>6</v>
          </cell>
          <cell r="FE286" t="str">
            <v>4 to 7 Days</v>
          </cell>
          <cell r="FF286">
            <v>9</v>
          </cell>
          <cell r="FG286" t="str">
            <v>8 to 15 Days</v>
          </cell>
          <cell r="FH286" t="str">
            <v>Done</v>
          </cell>
          <cell r="FI286" t="str">
            <v>Done</v>
          </cell>
          <cell r="FJ286" t="str">
            <v>NA</v>
          </cell>
          <cell r="FK286">
            <v>45364</v>
          </cell>
          <cell r="FM286" t="str">
            <v/>
          </cell>
          <cell r="GA286">
            <v>45204</v>
          </cell>
          <cell r="GC286">
            <v>45170</v>
          </cell>
          <cell r="GG286" t="str">
            <v>2023-2024</v>
          </cell>
        </row>
        <row r="287">
          <cell r="E287" t="str">
            <v>Plot No 7 Sy No 158 2A Beside Jio Store  , Anantapur , Opp Sk Univercity Akuthotapalli  , Akuthotapally , 515003</v>
          </cell>
          <cell r="F287" t="str">
            <v>9. EPC Ready</v>
          </cell>
          <cell r="G287" t="str">
            <v>SPAPAKO3563</v>
          </cell>
          <cell r="H287" t="str">
            <v>AP-SM-AKT-3000</v>
          </cell>
          <cell r="I287" t="str">
            <v>TYVS</v>
          </cell>
          <cell r="J287" t="str">
            <v>QB3W</v>
          </cell>
          <cell r="K287" t="str">
            <v xml:space="preserve">E </v>
          </cell>
          <cell r="L287" t="str">
            <v>JD</v>
          </cell>
          <cell r="M287" t="str">
            <v>EPC Ready</v>
          </cell>
          <cell r="N287" t="str">
            <v>Jaisingh Desai</v>
          </cell>
          <cell r="P287" t="str">
            <v>Mr. Deepti Chandrashekhar</v>
          </cell>
          <cell r="Q287" t="str">
            <v>Gaurav Shinde</v>
          </cell>
          <cell r="S287" t="str">
            <v>Andhra Pradesh</v>
          </cell>
          <cell r="T287" t="str">
            <v>Akthotapalli</v>
          </cell>
          <cell r="U287" t="str">
            <v>Non Premium</v>
          </cell>
          <cell r="V287" t="str">
            <v>Pharma Format</v>
          </cell>
          <cell r="W287">
            <v>403</v>
          </cell>
          <cell r="X287" t="str">
            <v>Plot No 7 Sy No 158 2A Beside Jio Store  , Anantapur , Opp Sk Univercity Akuthotapalli  , Akuthotapally , 515003</v>
          </cell>
          <cell r="Y287">
            <v>45125</v>
          </cell>
          <cell r="Z287" t="str">
            <v>NA</v>
          </cell>
          <cell r="AB287" t="str">
            <v>NA</v>
          </cell>
          <cell r="AF287" t="str">
            <v>NA</v>
          </cell>
          <cell r="AK287">
            <v>45141</v>
          </cell>
          <cell r="AL287" t="str">
            <v>Received</v>
          </cell>
          <cell r="AM287">
            <v>45136</v>
          </cell>
          <cell r="AO287">
            <v>3</v>
          </cell>
          <cell r="AS287">
            <v>-3</v>
          </cell>
          <cell r="AU287">
            <v>4</v>
          </cell>
          <cell r="AY287">
            <v>-4</v>
          </cell>
          <cell r="BA287">
            <v>5</v>
          </cell>
          <cell r="BE287">
            <v>-5</v>
          </cell>
          <cell r="BG287">
            <v>5</v>
          </cell>
          <cell r="BK287">
            <v>-5</v>
          </cell>
          <cell r="BM287">
            <v>3</v>
          </cell>
          <cell r="BP287">
            <v>3</v>
          </cell>
          <cell r="BW287" t="str">
            <v>Done</v>
          </cell>
          <cell r="BX287">
            <v>45079</v>
          </cell>
          <cell r="BY287" t="str">
            <v>Approved</v>
          </cell>
          <cell r="CD287">
            <v>45126</v>
          </cell>
          <cell r="CE287">
            <v>45159</v>
          </cell>
          <cell r="CG287" t="str">
            <v>M/s INDIAN COMPUTER CORPORATION    </v>
          </cell>
          <cell r="CI287" t="str">
            <v>Issued</v>
          </cell>
          <cell r="DG287" t="str">
            <v>Netmed SDP - Not in Dead Rental</v>
          </cell>
          <cell r="DK287">
            <v>45200</v>
          </cell>
          <cell r="DM287">
            <v>2</v>
          </cell>
          <cell r="DN287" t="str">
            <v>0 to 3 Days</v>
          </cell>
          <cell r="DP287">
            <v>45162</v>
          </cell>
          <cell r="DQ287">
            <v>45202</v>
          </cell>
          <cell r="DR287">
            <v>7</v>
          </cell>
          <cell r="DS287">
            <v>7</v>
          </cell>
          <cell r="DU287">
            <v>45209</v>
          </cell>
          <cell r="DV287">
            <v>45169</v>
          </cell>
          <cell r="DW287">
            <v>45209</v>
          </cell>
          <cell r="DX287" t="str">
            <v>Oct 23 Week 2</v>
          </cell>
          <cell r="DZ287">
            <v>45257</v>
          </cell>
          <cell r="EA287" t="str">
            <v>Nov 23 Week 4</v>
          </cell>
          <cell r="EB287" t="str">
            <v>Backlog</v>
          </cell>
          <cell r="ED287" t="str">
            <v/>
          </cell>
          <cell r="EE287" t="str">
            <v/>
          </cell>
          <cell r="EF287">
            <v>1</v>
          </cell>
          <cell r="EG287">
            <v>1</v>
          </cell>
          <cell r="FD287">
            <v>48</v>
          </cell>
          <cell r="FE287" t="str">
            <v>31 to 61 Days</v>
          </cell>
          <cell r="FF287">
            <v>88</v>
          </cell>
          <cell r="FG287" t="str">
            <v>62 to 90 Days</v>
          </cell>
          <cell r="FH287" t="str">
            <v>Done</v>
          </cell>
          <cell r="FJ287" t="str">
            <v>NA</v>
          </cell>
          <cell r="FK287">
            <v>45454</v>
          </cell>
          <cell r="FM287" t="str">
            <v/>
          </cell>
          <cell r="GA287">
            <v>45262</v>
          </cell>
          <cell r="GC287">
            <v>45230</v>
          </cell>
          <cell r="GG287" t="str">
            <v>2023-2024</v>
          </cell>
        </row>
        <row r="288">
          <cell r="E288" t="str">
            <v>Gf Jrt Tower Dhangu Road Near  , Dist Gurdaspur Punjab , Tilak Nursing Home Pathankot  , PATHANKOT , 145001</v>
          </cell>
          <cell r="F288" t="str">
            <v>9. EPC Ready</v>
          </cell>
          <cell r="G288" t="str">
            <v>SPPBPAP3931</v>
          </cell>
          <cell r="H288" t="str">
            <v>PB-SM-PAH-3005</v>
          </cell>
          <cell r="I288" t="str">
            <v>TYV2</v>
          </cell>
          <cell r="J288" t="str">
            <v>QLAA</v>
          </cell>
          <cell r="K288" t="str">
            <v xml:space="preserve">N </v>
          </cell>
          <cell r="L288" t="str">
            <v>KC</v>
          </cell>
          <cell r="M288" t="str">
            <v>EPC Ready</v>
          </cell>
          <cell r="P288" t="str">
            <v>Yogesh Kapoor-7888699608</v>
          </cell>
          <cell r="Q288" t="str">
            <v>Gaurav Shinde</v>
          </cell>
          <cell r="S288" t="str">
            <v>Punjab</v>
          </cell>
          <cell r="T288" t="str">
            <v>Pathankot</v>
          </cell>
          <cell r="U288" t="str">
            <v>Non Premium</v>
          </cell>
          <cell r="V288" t="str">
            <v>Pharma Format</v>
          </cell>
          <cell r="W288">
            <v>401</v>
          </cell>
          <cell r="X288" t="str">
            <v>Gf Jrt Tower Dhangu Road Near  , Dist Gurdaspur Punjab , Tilak Nursing Home Pathankot  , PATHANKOT , 145001</v>
          </cell>
          <cell r="Y288">
            <v>45124</v>
          </cell>
          <cell r="Z288" t="str">
            <v>NA</v>
          </cell>
          <cell r="AB288" t="str">
            <v>NA</v>
          </cell>
          <cell r="AF288" t="str">
            <v>NA</v>
          </cell>
          <cell r="AK288">
            <v>45194</v>
          </cell>
          <cell r="AL288" t="str">
            <v>Received</v>
          </cell>
          <cell r="AM288">
            <v>0</v>
          </cell>
          <cell r="AO288">
            <v>3</v>
          </cell>
          <cell r="AS288">
            <v>-3</v>
          </cell>
          <cell r="AU288">
            <v>4</v>
          </cell>
          <cell r="AY288">
            <v>-4</v>
          </cell>
          <cell r="BA288">
            <v>5</v>
          </cell>
          <cell r="BE288">
            <v>-5</v>
          </cell>
          <cell r="BG288">
            <v>5</v>
          </cell>
          <cell r="BK288">
            <v>-5</v>
          </cell>
          <cell r="BM288">
            <v>3</v>
          </cell>
          <cell r="BP288">
            <v>3</v>
          </cell>
          <cell r="BW288" t="str">
            <v>Done</v>
          </cell>
          <cell r="BX288">
            <v>45079</v>
          </cell>
          <cell r="BY288" t="str">
            <v>Approved</v>
          </cell>
          <cell r="CD288">
            <v>45126</v>
          </cell>
          <cell r="CE288">
            <v>45163</v>
          </cell>
          <cell r="CG288" t="str">
            <v xml:space="preserve">M/s     PREFER RACK ENGINEERS </v>
          </cell>
          <cell r="CI288" t="str">
            <v>Issued</v>
          </cell>
          <cell r="DG288" t="str">
            <v>Netmed SDP - Not in Dead Rental</v>
          </cell>
          <cell r="DK288">
            <v>45167</v>
          </cell>
          <cell r="DL288">
            <v>45166</v>
          </cell>
          <cell r="DM288">
            <v>2</v>
          </cell>
          <cell r="DN288" t="str">
            <v>0 to 3 Days</v>
          </cell>
          <cell r="DP288">
            <v>45166</v>
          </cell>
          <cell r="DQ288">
            <v>45169</v>
          </cell>
          <cell r="DR288">
            <v>7</v>
          </cell>
          <cell r="DS288">
            <v>7</v>
          </cell>
          <cell r="DU288">
            <v>45176</v>
          </cell>
          <cell r="DV288">
            <v>45173</v>
          </cell>
          <cell r="DW288">
            <v>45176</v>
          </cell>
          <cell r="DX288" t="str">
            <v>Sep 23 Week 1</v>
          </cell>
          <cell r="DY288" t="str">
            <v>10-09-2023
15-09-2023</v>
          </cell>
          <cell r="DZ288">
            <v>45187</v>
          </cell>
          <cell r="EA288" t="str">
            <v>Sep 23 Week 3</v>
          </cell>
          <cell r="EB288" t="str">
            <v>Backlog</v>
          </cell>
          <cell r="ED288" t="str">
            <v/>
          </cell>
          <cell r="EE288" t="str">
            <v/>
          </cell>
          <cell r="EF288">
            <v>1</v>
          </cell>
          <cell r="EG288">
            <v>1</v>
          </cell>
          <cell r="FD288">
            <v>11</v>
          </cell>
          <cell r="FE288" t="str">
            <v>8 to 15 Days</v>
          </cell>
          <cell r="FF288">
            <v>14</v>
          </cell>
          <cell r="FG288" t="str">
            <v>8 to 15 Days</v>
          </cell>
          <cell r="FH288" t="str">
            <v>Done</v>
          </cell>
          <cell r="FI288" t="str">
            <v>Done</v>
          </cell>
          <cell r="FJ288" t="str">
            <v>NA</v>
          </cell>
          <cell r="FK288">
            <v>45392</v>
          </cell>
          <cell r="FM288" t="str">
            <v/>
          </cell>
          <cell r="GA288">
            <v>45204</v>
          </cell>
          <cell r="GC288">
            <v>45170</v>
          </cell>
          <cell r="GG288" t="str">
            <v>2023-2024</v>
          </cell>
        </row>
        <row r="289">
          <cell r="E289" t="str">
            <v>Basement &amp; GF Plot No08 Ward No11  , BK Plaza, Chirawa, Dist - Jhunjhunu , Jherli Vidha Vihar Siri Road Pilani  , PILANI , 333031</v>
          </cell>
          <cell r="F289" t="str">
            <v>9. EPC Ready</v>
          </cell>
          <cell r="G289" t="str">
            <v>SPRJJHJ4109</v>
          </cell>
          <cell r="H289" t="str">
            <v>RJ-SM-PIL-3000</v>
          </cell>
          <cell r="I289" t="str">
            <v>TYO1</v>
          </cell>
          <cell r="J289" t="str">
            <v>QB9K</v>
          </cell>
          <cell r="K289" t="str">
            <v xml:space="preserve">N </v>
          </cell>
          <cell r="L289" t="str">
            <v>KC</v>
          </cell>
          <cell r="M289" t="str">
            <v>EPC Ready</v>
          </cell>
          <cell r="P289" t="str">
            <v>Sujeet Kumar - 9631476696</v>
          </cell>
          <cell r="Q289" t="str">
            <v>Gaurav Shinde</v>
          </cell>
          <cell r="S289" t="str">
            <v>Rajasthan</v>
          </cell>
          <cell r="T289" t="str">
            <v>Pilani</v>
          </cell>
          <cell r="U289" t="str">
            <v>Non Premium</v>
          </cell>
          <cell r="V289" t="str">
            <v>Pharma Format</v>
          </cell>
          <cell r="W289">
            <v>400</v>
          </cell>
          <cell r="X289" t="str">
            <v>Basement &amp; GF Plot No08 Ward No11  , BK Plaza, Chirawa, Dist - Jhunjhunu , Jherli Vidha Vihar Siri Road Pilani  , PILANI , 333031</v>
          </cell>
          <cell r="Y289">
            <v>45125</v>
          </cell>
          <cell r="Z289" t="str">
            <v>NA</v>
          </cell>
          <cell r="AB289" t="str">
            <v>NA</v>
          </cell>
          <cell r="AF289" t="str">
            <v>NA</v>
          </cell>
          <cell r="AK289">
            <v>45143</v>
          </cell>
          <cell r="AL289" t="str">
            <v>Received</v>
          </cell>
          <cell r="AM289">
            <v>0</v>
          </cell>
          <cell r="AO289">
            <v>3</v>
          </cell>
          <cell r="AS289">
            <v>-3</v>
          </cell>
          <cell r="AU289">
            <v>4</v>
          </cell>
          <cell r="AY289">
            <v>-4</v>
          </cell>
          <cell r="BA289">
            <v>5</v>
          </cell>
          <cell r="BE289">
            <v>-5</v>
          </cell>
          <cell r="BG289">
            <v>5</v>
          </cell>
          <cell r="BK289">
            <v>-5</v>
          </cell>
          <cell r="BM289">
            <v>3</v>
          </cell>
          <cell r="BP289">
            <v>3</v>
          </cell>
          <cell r="BW289" t="str">
            <v>Done</v>
          </cell>
          <cell r="BX289">
            <v>45079</v>
          </cell>
          <cell r="BY289" t="str">
            <v>Approved</v>
          </cell>
          <cell r="CD289">
            <v>45126</v>
          </cell>
          <cell r="CE289">
            <v>45156</v>
          </cell>
          <cell r="CG289" t="str">
            <v>M/s AVADH BUSINESS SERVICES (I) PVT. LTD</v>
          </cell>
          <cell r="CI289" t="str">
            <v>Issued</v>
          </cell>
          <cell r="DG289" t="str">
            <v>Netmed SDP - Not in Dead Rental</v>
          </cell>
          <cell r="DK289">
            <v>45167</v>
          </cell>
          <cell r="DL289">
            <v>45161</v>
          </cell>
          <cell r="DM289">
            <v>2</v>
          </cell>
          <cell r="DN289" t="str">
            <v>0 to 3 Days</v>
          </cell>
          <cell r="DP289">
            <v>45159</v>
          </cell>
          <cell r="DQ289">
            <v>45169</v>
          </cell>
          <cell r="DR289">
            <v>7</v>
          </cell>
          <cell r="DS289">
            <v>7</v>
          </cell>
          <cell r="DU289">
            <v>45176</v>
          </cell>
          <cell r="DV289">
            <v>45166</v>
          </cell>
          <cell r="DW289">
            <v>45176</v>
          </cell>
          <cell r="DX289" t="str">
            <v>Sep 23 Week 1</v>
          </cell>
          <cell r="DY289" t="str">
            <v>10-09-2023
15-09-2023</v>
          </cell>
          <cell r="DZ289">
            <v>45187</v>
          </cell>
          <cell r="EA289" t="str">
            <v>Sep 23 Week 3</v>
          </cell>
          <cell r="EB289" t="str">
            <v>Backlog</v>
          </cell>
          <cell r="ED289" t="str">
            <v/>
          </cell>
          <cell r="EE289" t="str">
            <v/>
          </cell>
          <cell r="EF289">
            <v>1</v>
          </cell>
          <cell r="EG289">
            <v>1</v>
          </cell>
          <cell r="FD289">
            <v>11</v>
          </cell>
          <cell r="FE289" t="str">
            <v>8 to 15 Days</v>
          </cell>
          <cell r="FF289">
            <v>21</v>
          </cell>
          <cell r="FG289" t="str">
            <v>16 to 31 Days</v>
          </cell>
          <cell r="FH289" t="str">
            <v>Done</v>
          </cell>
          <cell r="FI289" t="str">
            <v>Done</v>
          </cell>
          <cell r="FJ289" t="str">
            <v>NA</v>
          </cell>
          <cell r="FK289">
            <v>45282</v>
          </cell>
          <cell r="FM289" t="str">
            <v/>
          </cell>
          <cell r="GA289">
            <v>45197</v>
          </cell>
          <cell r="GC289">
            <v>45169</v>
          </cell>
          <cell r="GG289" t="str">
            <v>2023-2024</v>
          </cell>
        </row>
        <row r="290">
          <cell r="E290" t="str">
            <v>Shakti Market Saket Nagar  , Sawai Madhopur , Opp Anaj Mandi Alanpur Link Road  , SAWAI MADHOPUR , 322021</v>
          </cell>
          <cell r="F290" t="str">
            <v>9. EPC Ready</v>
          </cell>
          <cell r="G290" t="str">
            <v>SPRJSAS3952</v>
          </cell>
          <cell r="H290" t="str">
            <v>RJ-SM-SMD-3000</v>
          </cell>
          <cell r="I290" t="str">
            <v>TZQ1</v>
          </cell>
          <cell r="J290" t="str">
            <v>QD1H</v>
          </cell>
          <cell r="K290" t="str">
            <v xml:space="preserve">N </v>
          </cell>
          <cell r="L290" t="str">
            <v>KC</v>
          </cell>
          <cell r="M290" t="str">
            <v>EPC Ready</v>
          </cell>
          <cell r="P290" t="str">
            <v>Balram Soni-8003293109</v>
          </cell>
          <cell r="Q290" t="str">
            <v>Gaurav Shinde</v>
          </cell>
          <cell r="S290" t="str">
            <v>Rajasthan</v>
          </cell>
          <cell r="T290" t="str">
            <v>SAWAI MADHOPUR</v>
          </cell>
          <cell r="U290" t="str">
            <v>Non Premium</v>
          </cell>
          <cell r="V290" t="str">
            <v>Pharma Format</v>
          </cell>
          <cell r="W290">
            <v>400</v>
          </cell>
          <cell r="X290" t="str">
            <v>Shakti Market Saket Nagar  , Sawai Madhopur , Opp Anaj Mandi Alanpur Link Road  , SAWAI MADHOPUR , 322021</v>
          </cell>
          <cell r="Y290">
            <v>45125</v>
          </cell>
          <cell r="Z290" t="str">
            <v>NA</v>
          </cell>
          <cell r="AB290" t="str">
            <v>NA</v>
          </cell>
          <cell r="AF290" t="str">
            <v>NA</v>
          </cell>
          <cell r="AK290">
            <v>45161</v>
          </cell>
          <cell r="AL290" t="str">
            <v>Received</v>
          </cell>
          <cell r="AM290">
            <v>45156</v>
          </cell>
          <cell r="AO290">
            <v>3</v>
          </cell>
          <cell r="AS290">
            <v>-3</v>
          </cell>
          <cell r="AU290">
            <v>4</v>
          </cell>
          <cell r="AY290">
            <v>-4</v>
          </cell>
          <cell r="BA290">
            <v>5</v>
          </cell>
          <cell r="BE290">
            <v>-5</v>
          </cell>
          <cell r="BG290">
            <v>5</v>
          </cell>
          <cell r="BK290">
            <v>-5</v>
          </cell>
          <cell r="BM290">
            <v>3</v>
          </cell>
          <cell r="BP290">
            <v>3</v>
          </cell>
          <cell r="BW290" t="str">
            <v>Done</v>
          </cell>
          <cell r="BX290">
            <v>45079</v>
          </cell>
          <cell r="BY290" t="str">
            <v>Approved</v>
          </cell>
          <cell r="CD290">
            <v>45126</v>
          </cell>
          <cell r="CE290">
            <v>45156</v>
          </cell>
          <cell r="CG290" t="str">
            <v>M/s    Barso Solution</v>
          </cell>
          <cell r="CI290" t="str">
            <v>Issued</v>
          </cell>
          <cell r="DG290" t="str">
            <v>Netmed SDP - Not in Dead Rental</v>
          </cell>
          <cell r="DK290">
            <v>45171</v>
          </cell>
          <cell r="DL290">
            <v>45162</v>
          </cell>
          <cell r="DM290">
            <v>2</v>
          </cell>
          <cell r="DN290" t="str">
            <v>0 to 3 Days</v>
          </cell>
          <cell r="DP290">
            <v>45159</v>
          </cell>
          <cell r="DQ290">
            <v>45173</v>
          </cell>
          <cell r="DR290">
            <v>7</v>
          </cell>
          <cell r="DS290">
            <v>7</v>
          </cell>
          <cell r="DU290">
            <v>45180</v>
          </cell>
          <cell r="DV290">
            <v>45166</v>
          </cell>
          <cell r="DW290">
            <v>45180</v>
          </cell>
          <cell r="DX290" t="str">
            <v>Sep 23 Week 2</v>
          </cell>
          <cell r="DY290" t="str">
            <v>12-09-2023
15-09-2023</v>
          </cell>
          <cell r="DZ290">
            <v>45186</v>
          </cell>
          <cell r="EA290" t="str">
            <v>Sep 23 Week 3</v>
          </cell>
          <cell r="EB290" t="str">
            <v>Backlog</v>
          </cell>
          <cell r="ED290" t="str">
            <v/>
          </cell>
          <cell r="EE290" t="str">
            <v/>
          </cell>
          <cell r="EF290">
            <v>1</v>
          </cell>
          <cell r="EG290">
            <v>1</v>
          </cell>
          <cell r="FD290">
            <v>6</v>
          </cell>
          <cell r="FE290" t="str">
            <v>4 to 7 Days</v>
          </cell>
          <cell r="FF290">
            <v>20</v>
          </cell>
          <cell r="FG290" t="str">
            <v>16 to 31 Days</v>
          </cell>
          <cell r="FH290" t="str">
            <v>Done</v>
          </cell>
          <cell r="FI290" t="str">
            <v>Done</v>
          </cell>
          <cell r="FJ290" t="str">
            <v>NA</v>
          </cell>
          <cell r="FK290">
            <v>45222</v>
          </cell>
          <cell r="FM290" t="str">
            <v/>
          </cell>
          <cell r="GA290">
            <v>45211</v>
          </cell>
          <cell r="GC290">
            <v>45173</v>
          </cell>
          <cell r="GG290" t="str">
            <v>2023-2024</v>
          </cell>
        </row>
        <row r="291">
          <cell r="E291" t="str">
            <v>Shrinath Palace Near Ktm Deoghar  , Deoghar , Shahid Ashram Road  , DEOGHAR , 814112</v>
          </cell>
          <cell r="F291" t="str">
            <v>10. Launched</v>
          </cell>
          <cell r="G291" t="str">
            <v>SPJHDES3435</v>
          </cell>
          <cell r="H291" t="str">
            <v>JH-SM-DEO-3003</v>
          </cell>
          <cell r="I291" t="str">
            <v>TYQJ</v>
          </cell>
          <cell r="J291" t="str">
            <v>QBXL</v>
          </cell>
          <cell r="K291" t="str">
            <v xml:space="preserve">E </v>
          </cell>
          <cell r="L291" t="str">
            <v>AK</v>
          </cell>
          <cell r="M291" t="str">
            <v>EPC Ready</v>
          </cell>
          <cell r="P291" t="str">
            <v>Mr. Amal Gopal Dey-9558811809</v>
          </cell>
          <cell r="Q291" t="str">
            <v>Gaurav Shinde</v>
          </cell>
          <cell r="S291" t="str">
            <v>Jharkhand</v>
          </cell>
          <cell r="T291" t="str">
            <v>DEOGHAR</v>
          </cell>
          <cell r="U291" t="str">
            <v>Non Premium</v>
          </cell>
          <cell r="V291" t="str">
            <v>Pharma Format</v>
          </cell>
          <cell r="W291">
            <v>418</v>
          </cell>
          <cell r="X291" t="str">
            <v>Shrinath Palace Near Ktm Deoghar  , Deoghar , Shahid Ashram Road  , DEOGHAR , 814112</v>
          </cell>
          <cell r="Y291">
            <v>45104</v>
          </cell>
          <cell r="Z291" t="str">
            <v>NA</v>
          </cell>
          <cell r="AB291" t="str">
            <v>NA</v>
          </cell>
          <cell r="AF291" t="str">
            <v>NA</v>
          </cell>
          <cell r="AK291">
            <v>45090</v>
          </cell>
          <cell r="AL291" t="str">
            <v>Received</v>
          </cell>
          <cell r="AM291">
            <v>45085</v>
          </cell>
          <cell r="AO291">
            <v>3</v>
          </cell>
          <cell r="AS291">
            <v>-3</v>
          </cell>
          <cell r="AU291">
            <v>4</v>
          </cell>
          <cell r="AY291">
            <v>-4</v>
          </cell>
          <cell r="BA291">
            <v>5</v>
          </cell>
          <cell r="BE291">
            <v>-5</v>
          </cell>
          <cell r="BG291">
            <v>5</v>
          </cell>
          <cell r="BK291">
            <v>-5</v>
          </cell>
          <cell r="BM291">
            <v>3</v>
          </cell>
          <cell r="BW291" t="str">
            <v>Done</v>
          </cell>
          <cell r="BX291">
            <v>45079</v>
          </cell>
          <cell r="BY291" t="str">
            <v>Approved</v>
          </cell>
          <cell r="CD291">
            <v>45103</v>
          </cell>
          <cell r="CE291">
            <v>45112</v>
          </cell>
          <cell r="CG291" t="str">
            <v>M/S SK ENTERPRISE</v>
          </cell>
          <cell r="CI291" t="str">
            <v>Issued</v>
          </cell>
          <cell r="DG291" t="str">
            <v>Netmed SDP - Not in Dead Rental</v>
          </cell>
          <cell r="DK291">
            <v>45144</v>
          </cell>
          <cell r="DM291">
            <v>2</v>
          </cell>
          <cell r="DN291" t="str">
            <v>0 to 3 Days</v>
          </cell>
          <cell r="DP291">
            <v>45115</v>
          </cell>
          <cell r="DQ291">
            <v>45146</v>
          </cell>
          <cell r="DR291">
            <v>7</v>
          </cell>
          <cell r="DS291">
            <v>7</v>
          </cell>
          <cell r="DU291">
            <v>45153</v>
          </cell>
          <cell r="DV291">
            <v>45122</v>
          </cell>
          <cell r="DW291">
            <v>45153</v>
          </cell>
          <cell r="DX291" t="str">
            <v>Aug 23 Week 3</v>
          </cell>
          <cell r="DY291" t="str">
            <v>20-08-2023
21-08-2023</v>
          </cell>
          <cell r="DZ291">
            <v>45159</v>
          </cell>
          <cell r="EA291" t="str">
            <v>Aug 23 Week 3</v>
          </cell>
          <cell r="EB291" t="str">
            <v>Backlog</v>
          </cell>
          <cell r="ED291" t="str">
            <v/>
          </cell>
          <cell r="EE291" t="str">
            <v/>
          </cell>
          <cell r="EF291">
            <v>1</v>
          </cell>
          <cell r="EG291">
            <v>1</v>
          </cell>
          <cell r="FD291">
            <v>6</v>
          </cell>
          <cell r="FE291" t="str">
            <v>4 to 7 Days</v>
          </cell>
          <cell r="FF291">
            <v>37</v>
          </cell>
          <cell r="FG291" t="str">
            <v>31 to 61 Days</v>
          </cell>
          <cell r="FH291" t="str">
            <v>Done</v>
          </cell>
          <cell r="FI291" t="str">
            <v>Done</v>
          </cell>
          <cell r="FJ291" t="str">
            <v>NA</v>
          </cell>
          <cell r="FK291">
            <v>45170</v>
          </cell>
          <cell r="FM291" t="str">
            <v/>
          </cell>
          <cell r="GA291">
            <v>45159</v>
          </cell>
          <cell r="GC291">
            <v>45146</v>
          </cell>
          <cell r="GG291" t="str">
            <v>2023-2024</v>
          </cell>
        </row>
        <row r="292">
          <cell r="E292" t="str">
            <v>Mauza Pupri Thana No 151  , Khesra no 1820 Sitamarhi , Khata No 136 Jamabandi No 119  , SITAMARHI , 843320</v>
          </cell>
          <cell r="F292" t="str">
            <v>9. EPC Ready</v>
          </cell>
          <cell r="G292" t="str">
            <v>SPBHPUS2538</v>
          </cell>
          <cell r="H292" t="str">
            <v>BH-SM-SIT-3001</v>
          </cell>
          <cell r="I292" t="str">
            <v>TXU5</v>
          </cell>
          <cell r="J292" t="str">
            <v>Q9I4</v>
          </cell>
          <cell r="K292" t="str">
            <v xml:space="preserve">E </v>
          </cell>
          <cell r="L292" t="str">
            <v>AK</v>
          </cell>
          <cell r="M292" t="str">
            <v>EPC Ready Pharmacy 200 SFT</v>
          </cell>
          <cell r="Q292" t="str">
            <v>Gaurav Shinde</v>
          </cell>
          <cell r="S292" t="str">
            <v>Bihar</v>
          </cell>
          <cell r="T292" t="str">
            <v>Sitamarhi</v>
          </cell>
          <cell r="U292" t="str">
            <v>Non Premium</v>
          </cell>
          <cell r="V292" t="str">
            <v>Pharma Format</v>
          </cell>
          <cell r="W292">
            <v>250</v>
          </cell>
          <cell r="X292" t="str">
            <v>Mauza Pupri Thana No 151  , Khesra no 1820 Sitamarhi , Khata No 136 Jamabandi No 119  , SITAMARHI , 843320</v>
          </cell>
          <cell r="Y292">
            <v>45163</v>
          </cell>
          <cell r="Z292" t="str">
            <v>NA</v>
          </cell>
          <cell r="AB292" t="str">
            <v>NA</v>
          </cell>
          <cell r="AF292" t="str">
            <v>NA</v>
          </cell>
          <cell r="AL292" t="str">
            <v>Received</v>
          </cell>
          <cell r="AM292">
            <v>0</v>
          </cell>
          <cell r="AO292">
            <v>3</v>
          </cell>
          <cell r="AS292">
            <v>-3</v>
          </cell>
          <cell r="AU292">
            <v>4</v>
          </cell>
          <cell r="AY292">
            <v>-4</v>
          </cell>
          <cell r="BA292">
            <v>5</v>
          </cell>
          <cell r="BE292">
            <v>-5</v>
          </cell>
          <cell r="BG292">
            <v>5</v>
          </cell>
          <cell r="BK292">
            <v>-5</v>
          </cell>
          <cell r="BM292">
            <v>3</v>
          </cell>
          <cell r="BP292">
            <v>3</v>
          </cell>
          <cell r="BW292" t="str">
            <v>Done</v>
          </cell>
          <cell r="BX292">
            <v>45079</v>
          </cell>
          <cell r="BY292" t="str">
            <v>Approved</v>
          </cell>
          <cell r="CD292">
            <v>45163</v>
          </cell>
          <cell r="CI292" t="str">
            <v>Issued</v>
          </cell>
          <cell r="DG292" t="str">
            <v>Netmed SDP - Not in Dead Rental</v>
          </cell>
          <cell r="DK292">
            <v>45205</v>
          </cell>
          <cell r="DM292">
            <v>2</v>
          </cell>
          <cell r="DN292" t="str">
            <v>0 to 3 Days</v>
          </cell>
          <cell r="DQ292">
            <v>45207</v>
          </cell>
          <cell r="DR292">
            <v>7</v>
          </cell>
          <cell r="DS292">
            <v>7</v>
          </cell>
          <cell r="DU292">
            <v>45214</v>
          </cell>
          <cell r="DV292">
            <v>7</v>
          </cell>
          <cell r="DW292">
            <v>45214</v>
          </cell>
          <cell r="DX292" t="str">
            <v>Oct 23 Week 3</v>
          </cell>
          <cell r="DY292" t="str">
            <v>21-08-2023
22-08-2023
24-08-2023
28-08-2023
30-08-2023
02-09-2023
04-09-2023</v>
          </cell>
          <cell r="DZ292">
            <v>45224</v>
          </cell>
          <cell r="EA292" t="str">
            <v>Oct 23 Week 4</v>
          </cell>
          <cell r="EB292" t="str">
            <v>Backlog</v>
          </cell>
          <cell r="ED292" t="str">
            <v/>
          </cell>
          <cell r="EE292" t="str">
            <v/>
          </cell>
          <cell r="EF292">
            <v>1</v>
          </cell>
          <cell r="EG292">
            <v>1</v>
          </cell>
          <cell r="FD292">
            <v>10</v>
          </cell>
          <cell r="FE292" t="str">
            <v>8 to 15 Days</v>
          </cell>
          <cell r="FF292">
            <v>45217</v>
          </cell>
          <cell r="FH292" t="str">
            <v>Done</v>
          </cell>
          <cell r="FI292" t="str">
            <v>Done</v>
          </cell>
          <cell r="FJ292" t="str">
            <v>NA</v>
          </cell>
          <cell r="FM292" t="str">
            <v/>
          </cell>
          <cell r="GG292" t="str">
            <v>2023-2024</v>
          </cell>
        </row>
        <row r="293">
          <cell r="E293" t="str">
            <v>GF  Plot No 3766 Katha 569 Thana No 160  , Village Ibrahimpur City &amp; PS Naubatpur , Tauzi No 2865 Opp Referral Hospita , Dist Patna , PATNA , 801109</v>
          </cell>
          <cell r="F293" t="str">
            <v>9. EPC Ready</v>
          </cell>
          <cell r="G293" t="str">
            <v>SPBHNAO3910</v>
          </cell>
          <cell r="H293" t="str">
            <v>BH-SM-PAT-3009</v>
          </cell>
          <cell r="I293" t="str">
            <v>TZBA</v>
          </cell>
          <cell r="J293" t="str">
            <v>QCSX</v>
          </cell>
          <cell r="K293" t="str">
            <v xml:space="preserve">E </v>
          </cell>
          <cell r="L293" t="str">
            <v>AK</v>
          </cell>
          <cell r="M293" t="str">
            <v>EPC Ready</v>
          </cell>
          <cell r="P293" t="str">
            <v>Mr. Jitendra Kumar-6201750698</v>
          </cell>
          <cell r="Q293" t="str">
            <v>Gaurav Shinde</v>
          </cell>
          <cell r="S293" t="str">
            <v>Bihar</v>
          </cell>
          <cell r="T293" t="str">
            <v>Patna</v>
          </cell>
          <cell r="U293" t="str">
            <v>Non Premium</v>
          </cell>
          <cell r="V293" t="str">
            <v>Pharma Format</v>
          </cell>
          <cell r="W293">
            <v>400</v>
          </cell>
          <cell r="X293" t="str">
            <v>GF  Plot No 3766 Katha 569 Thana No 160  , Village Ibrahimpur City &amp; PS Naubatpur , Tauzi No 2865 Opp Referral Hospita , Dist Patna , PATNA , 801109</v>
          </cell>
          <cell r="Y293">
            <v>45106</v>
          </cell>
          <cell r="Z293" t="str">
            <v>NA</v>
          </cell>
          <cell r="AB293" t="str">
            <v>NA</v>
          </cell>
          <cell r="AF293" t="str">
            <v>NA</v>
          </cell>
          <cell r="AK293">
            <v>45147</v>
          </cell>
          <cell r="AL293" t="str">
            <v>Received</v>
          </cell>
          <cell r="AM293">
            <v>45142</v>
          </cell>
          <cell r="AO293">
            <v>3</v>
          </cell>
          <cell r="AS293">
            <v>-3</v>
          </cell>
          <cell r="AU293">
            <v>4</v>
          </cell>
          <cell r="AY293">
            <v>-4</v>
          </cell>
          <cell r="BA293">
            <v>5</v>
          </cell>
          <cell r="BE293">
            <v>-5</v>
          </cell>
          <cell r="BG293">
            <v>5</v>
          </cell>
          <cell r="BK293">
            <v>-5</v>
          </cell>
          <cell r="BM293">
            <v>3</v>
          </cell>
          <cell r="BP293">
            <v>3</v>
          </cell>
          <cell r="BW293" t="str">
            <v>Done</v>
          </cell>
          <cell r="BX293">
            <v>45079</v>
          </cell>
          <cell r="BY293" t="str">
            <v>Approved</v>
          </cell>
          <cell r="CD293">
            <v>45103</v>
          </cell>
          <cell r="CE293">
            <v>45113</v>
          </cell>
          <cell r="CG293" t="str">
            <v>M/S Rahul Kumar</v>
          </cell>
          <cell r="CI293" t="str">
            <v>Issued</v>
          </cell>
          <cell r="DG293" t="str">
            <v>Netmed SDP - Not in Dead Rental</v>
          </cell>
          <cell r="DK293">
            <v>45146</v>
          </cell>
          <cell r="DL293">
            <v>45112</v>
          </cell>
          <cell r="DM293">
            <v>2</v>
          </cell>
          <cell r="DN293" t="str">
            <v>0 to 3 Days</v>
          </cell>
          <cell r="DP293">
            <v>45116</v>
          </cell>
          <cell r="DQ293">
            <v>45148</v>
          </cell>
          <cell r="DR293">
            <v>7</v>
          </cell>
          <cell r="DS293">
            <v>7</v>
          </cell>
          <cell r="DU293">
            <v>45155</v>
          </cell>
          <cell r="DV293">
            <v>45123</v>
          </cell>
          <cell r="DW293">
            <v>45155</v>
          </cell>
          <cell r="DX293" t="str">
            <v>Aug 23 Week 3</v>
          </cell>
          <cell r="DY293" t="str">
            <v>21-08-2023
24-08-2023
26-08-2023</v>
          </cell>
          <cell r="DZ293">
            <v>45166</v>
          </cell>
          <cell r="EA293" t="str">
            <v>Aug 23 Week 4</v>
          </cell>
          <cell r="EB293" t="str">
            <v>Backlog</v>
          </cell>
          <cell r="ED293" t="str">
            <v/>
          </cell>
          <cell r="EE293" t="str">
            <v/>
          </cell>
          <cell r="EF293">
            <v>1</v>
          </cell>
          <cell r="EG293">
            <v>1</v>
          </cell>
          <cell r="FD293">
            <v>11</v>
          </cell>
          <cell r="FE293" t="str">
            <v>8 to 15 Days</v>
          </cell>
          <cell r="FF293">
            <v>43</v>
          </cell>
          <cell r="FG293" t="str">
            <v>31 to 61 Days</v>
          </cell>
          <cell r="FH293" t="str">
            <v>Done</v>
          </cell>
          <cell r="FI293" t="str">
            <v>Done</v>
          </cell>
          <cell r="FJ293" t="str">
            <v>NA</v>
          </cell>
          <cell r="FK293">
            <v>45166</v>
          </cell>
          <cell r="FM293" t="str">
            <v/>
          </cell>
          <cell r="GA293">
            <v>45148</v>
          </cell>
          <cell r="GC293">
            <v>45148</v>
          </cell>
          <cell r="GG293" t="str">
            <v>2023-2024</v>
          </cell>
        </row>
        <row r="294">
          <cell r="E294" t="str">
            <v>Jay Kumari Chanpatia Main Road  , West Champaran , Tikuliya Chowk Chanpatia  , CHANPATIA , 845449</v>
          </cell>
          <cell r="F294" t="str">
            <v>9. EPC Ready</v>
          </cell>
          <cell r="G294" t="str">
            <v>SPBHCHT3352</v>
          </cell>
          <cell r="H294" t="str">
            <v>BH-SM-CPA-3000</v>
          </cell>
          <cell r="I294" t="str">
            <v>TYKI</v>
          </cell>
          <cell r="J294" t="str">
            <v>QBQT</v>
          </cell>
          <cell r="K294" t="str">
            <v xml:space="preserve">E </v>
          </cell>
          <cell r="L294" t="str">
            <v>AK</v>
          </cell>
          <cell r="M294" t="str">
            <v>EPC Ready</v>
          </cell>
          <cell r="P294" t="str">
            <v>Mr. Jitendra Kumar-6201750698</v>
          </cell>
          <cell r="Q294" t="str">
            <v>Gaurav Shinde</v>
          </cell>
          <cell r="S294" t="str">
            <v>Bihar</v>
          </cell>
          <cell r="T294" t="str">
            <v>Chanpatia</v>
          </cell>
          <cell r="U294" t="str">
            <v>Non Premium</v>
          </cell>
          <cell r="V294" t="str">
            <v>Pharma Format</v>
          </cell>
          <cell r="W294">
            <v>405</v>
          </cell>
          <cell r="X294" t="str">
            <v>Jay Kumari Chanpatia Main Road  , West Champaran , Tikuliya Chowk Chanpatia  , CHANPATIA , 845449</v>
          </cell>
          <cell r="Y294">
            <v>45119</v>
          </cell>
          <cell r="Z294" t="str">
            <v>NA</v>
          </cell>
          <cell r="AB294" t="str">
            <v>NA</v>
          </cell>
          <cell r="AF294" t="str">
            <v>NA</v>
          </cell>
          <cell r="AK294">
            <v>45117</v>
          </cell>
          <cell r="AL294" t="str">
            <v>Received</v>
          </cell>
          <cell r="AM294">
            <v>45112</v>
          </cell>
          <cell r="AO294">
            <v>3</v>
          </cell>
          <cell r="AS294">
            <v>-3</v>
          </cell>
          <cell r="AU294">
            <v>4</v>
          </cell>
          <cell r="AY294">
            <v>-4</v>
          </cell>
          <cell r="BA294">
            <v>5</v>
          </cell>
          <cell r="BE294">
            <v>-5</v>
          </cell>
          <cell r="BG294">
            <v>5</v>
          </cell>
          <cell r="BK294">
            <v>-5</v>
          </cell>
          <cell r="BM294">
            <v>3</v>
          </cell>
          <cell r="BP294">
            <v>3</v>
          </cell>
          <cell r="BW294" t="str">
            <v>Done</v>
          </cell>
          <cell r="BX294">
            <v>45079</v>
          </cell>
          <cell r="BY294" t="str">
            <v>Approved</v>
          </cell>
          <cell r="CD294">
            <v>45103</v>
          </cell>
          <cell r="CE294">
            <v>45113</v>
          </cell>
          <cell r="CG294" t="str">
            <v>M/S Rahul Kumar</v>
          </cell>
          <cell r="CI294" t="str">
            <v>Issued</v>
          </cell>
          <cell r="DG294" t="str">
            <v>Netmed SDP - Not in Dead Rental</v>
          </cell>
          <cell r="DK294">
            <v>45153</v>
          </cell>
          <cell r="DL294">
            <v>45121</v>
          </cell>
          <cell r="DM294">
            <v>2</v>
          </cell>
          <cell r="DN294" t="str">
            <v>0 to 3 Days</v>
          </cell>
          <cell r="DP294">
            <v>45116</v>
          </cell>
          <cell r="DQ294">
            <v>45155</v>
          </cell>
          <cell r="DR294">
            <v>7</v>
          </cell>
          <cell r="DS294">
            <v>7</v>
          </cell>
          <cell r="DU294">
            <v>45162</v>
          </cell>
          <cell r="DV294">
            <v>45123</v>
          </cell>
          <cell r="DW294">
            <v>45162</v>
          </cell>
          <cell r="DX294" t="str">
            <v>Aug 23 Week 4</v>
          </cell>
          <cell r="DY294" t="str">
            <v>21-08-2023
25-08-2023
30-08-2023
01-09-2023</v>
          </cell>
          <cell r="DZ294">
            <v>45170</v>
          </cell>
          <cell r="EA294" t="str">
            <v>Sep 23 Week 1</v>
          </cell>
          <cell r="EB294" t="str">
            <v>Backlog</v>
          </cell>
          <cell r="ED294" t="str">
            <v/>
          </cell>
          <cell r="EE294" t="str">
            <v/>
          </cell>
          <cell r="EF294">
            <v>1</v>
          </cell>
          <cell r="EG294">
            <v>1</v>
          </cell>
          <cell r="FD294">
            <v>8</v>
          </cell>
          <cell r="FE294" t="str">
            <v>8 to 15 Days</v>
          </cell>
          <cell r="FF294">
            <v>47</v>
          </cell>
          <cell r="FG294" t="str">
            <v>31 to 61 Days</v>
          </cell>
          <cell r="FH294" t="str">
            <v>Done</v>
          </cell>
          <cell r="FI294" t="str">
            <v>Done</v>
          </cell>
          <cell r="FJ294" t="str">
            <v>NA</v>
          </cell>
          <cell r="FK294">
            <v>45170</v>
          </cell>
          <cell r="FM294" t="str">
            <v/>
          </cell>
          <cell r="GA294">
            <v>45155</v>
          </cell>
          <cell r="GC294">
            <v>45155</v>
          </cell>
          <cell r="GG294" t="str">
            <v>2023-2024</v>
          </cell>
        </row>
        <row r="295">
          <cell r="E295" t="str">
            <v>GF Village Khutikatia Dag No 967  ,  , Patta No 379 Mouza  Kasomari , Dist  Nagaon , NAGAON , 782002</v>
          </cell>
          <cell r="F295" t="str">
            <v>14. Dropped</v>
          </cell>
          <cell r="G295" t="str">
            <v>SPASNAN3230</v>
          </cell>
          <cell r="H295" t="str">
            <v>WB-SM-NGO-3002</v>
          </cell>
          <cell r="I295" t="str">
            <v>TZPI</v>
          </cell>
          <cell r="J295" t="str">
            <v>QDCN</v>
          </cell>
          <cell r="K295" t="str">
            <v xml:space="preserve">E </v>
          </cell>
          <cell r="L295" t="str">
            <v>SD</v>
          </cell>
          <cell r="M295" t="str">
            <v>Dropped</v>
          </cell>
          <cell r="N295" t="str">
            <v>Mahendrakumar Warma</v>
          </cell>
          <cell r="O295" t="str">
            <v>Anup das (EXCEPT SIKKIM)</v>
          </cell>
          <cell r="P295" t="str">
            <v>Suman Das-7044069904</v>
          </cell>
          <cell r="Q295" t="str">
            <v>Gaurav Shinde</v>
          </cell>
          <cell r="S295" t="str">
            <v>Assam</v>
          </cell>
          <cell r="T295" t="str">
            <v>Nagaon</v>
          </cell>
          <cell r="U295" t="str">
            <v>Non Premium</v>
          </cell>
          <cell r="V295" t="str">
            <v>Pharma Format</v>
          </cell>
          <cell r="W295">
            <v>404</v>
          </cell>
          <cell r="X295" t="str">
            <v>GF Village Khutikatia Dag No 967  ,  , Patta No 379 Mouza  Kasomari , Dist  Nagaon , NAGAON , 782002</v>
          </cell>
          <cell r="Y295">
            <v>45104</v>
          </cell>
          <cell r="Z295" t="str">
            <v>NA</v>
          </cell>
          <cell r="AB295" t="str">
            <v>NA</v>
          </cell>
          <cell r="AF295" t="str">
            <v>NA</v>
          </cell>
          <cell r="AK295">
            <v>45090</v>
          </cell>
          <cell r="AL295" t="str">
            <v>Received</v>
          </cell>
          <cell r="AM295">
            <v>45085</v>
          </cell>
          <cell r="AO295">
            <v>3</v>
          </cell>
          <cell r="AS295">
            <v>-3</v>
          </cell>
          <cell r="AU295">
            <v>4</v>
          </cell>
          <cell r="AY295">
            <v>-4</v>
          </cell>
          <cell r="BA295">
            <v>5</v>
          </cell>
          <cell r="BE295">
            <v>-5</v>
          </cell>
          <cell r="BG295">
            <v>5</v>
          </cell>
          <cell r="BK295">
            <v>-5</v>
          </cell>
          <cell r="BM295">
            <v>3</v>
          </cell>
          <cell r="BP295">
            <v>3</v>
          </cell>
          <cell r="BW295" t="str">
            <v>Done</v>
          </cell>
          <cell r="BX295">
            <v>45079</v>
          </cell>
          <cell r="BY295" t="str">
            <v>Approved</v>
          </cell>
          <cell r="CD295">
            <v>45103</v>
          </cell>
          <cell r="CE295">
            <v>45119</v>
          </cell>
          <cell r="CG295" t="str">
            <v>M/s. STAR SOLUTIONS</v>
          </cell>
          <cell r="CI295" t="str">
            <v>Issued</v>
          </cell>
          <cell r="DG295" t="str">
            <v>Netmed SDP - Not in Dead Rental</v>
          </cell>
          <cell r="DK295">
            <v>45145</v>
          </cell>
          <cell r="DM295">
            <v>2</v>
          </cell>
          <cell r="DN295" t="str">
            <v>0 to 3 Days</v>
          </cell>
          <cell r="DP295">
            <v>45122</v>
          </cell>
          <cell r="DQ295">
            <v>45147</v>
          </cell>
          <cell r="DR295">
            <v>7</v>
          </cell>
          <cell r="DS295">
            <v>7</v>
          </cell>
          <cell r="DU295">
            <v>45154</v>
          </cell>
          <cell r="DV295">
            <v>45129</v>
          </cell>
          <cell r="DW295">
            <v>45154</v>
          </cell>
          <cell r="DX295" t="str">
            <v>Aug 23 Week 3</v>
          </cell>
          <cell r="DY295" t="str">
            <v>21-08-2023
26-08-2023</v>
          </cell>
          <cell r="EA295" t="str">
            <v/>
          </cell>
          <cell r="EB295" t="str">
            <v>Plan</v>
          </cell>
          <cell r="ED295" t="str">
            <v/>
          </cell>
          <cell r="EE295" t="str">
            <v/>
          </cell>
          <cell r="EF295">
            <v>1</v>
          </cell>
          <cell r="EG295">
            <v>0.2</v>
          </cell>
          <cell r="FD295">
            <v>967</v>
          </cell>
          <cell r="FF295">
            <v>992</v>
          </cell>
          <cell r="FJ295" t="str">
            <v>NA</v>
          </cell>
          <cell r="FM295" t="str">
            <v/>
          </cell>
          <cell r="GG295" t="str">
            <v>2024-2025</v>
          </cell>
        </row>
        <row r="296">
          <cell r="E296" t="str">
            <v>Dp Complex, D.No: 263 / A1,Sasthri Nagar,Erode,,638002,Tamilnadu</v>
          </cell>
          <cell r="F296" t="str">
            <v>9. EPC Ready</v>
          </cell>
          <cell r="G296" t="str">
            <v>SPTNERD3625</v>
          </cell>
          <cell r="H296" t="str">
            <v>TN-SM-ERO-3002</v>
          </cell>
          <cell r="I296" t="str">
            <v>TYZA</v>
          </cell>
          <cell r="J296" t="str">
            <v>QB7C</v>
          </cell>
          <cell r="K296" t="str">
            <v>S</v>
          </cell>
          <cell r="L296" t="str">
            <v>AK</v>
          </cell>
          <cell r="M296" t="str">
            <v>EPC Ready</v>
          </cell>
          <cell r="N296" t="str">
            <v>N Kalyankumar</v>
          </cell>
          <cell r="O296" t="str">
            <v>Muthuvelu Minnal /
Vijayakumar Muthusamy</v>
          </cell>
          <cell r="P296" t="str">
            <v>Janarthanan Ekambaram-9566241523</v>
          </cell>
          <cell r="Q296" t="str">
            <v>Gaurav Shinde</v>
          </cell>
          <cell r="S296" t="str">
            <v>Tamil Nadu</v>
          </cell>
          <cell r="T296" t="str">
            <v>ERODE</v>
          </cell>
          <cell r="U296" t="str">
            <v>Non Premium</v>
          </cell>
          <cell r="V296" t="str">
            <v>Pharma Format</v>
          </cell>
          <cell r="W296">
            <v>400</v>
          </cell>
          <cell r="X296" t="str">
            <v>Dp Complex, D.No: 263 / A1,Sasthri Nagar,Erode,,638002,Tamilnadu</v>
          </cell>
          <cell r="Y296">
            <v>45106</v>
          </cell>
          <cell r="Z296" t="str">
            <v>NA</v>
          </cell>
          <cell r="AB296" t="str">
            <v>NA</v>
          </cell>
          <cell r="AF296" t="str">
            <v>NA</v>
          </cell>
          <cell r="AK296">
            <v>45147</v>
          </cell>
          <cell r="AL296" t="str">
            <v>Received</v>
          </cell>
          <cell r="AM296">
            <v>0</v>
          </cell>
          <cell r="AO296">
            <v>3</v>
          </cell>
          <cell r="AS296">
            <v>-3</v>
          </cell>
          <cell r="AU296">
            <v>4</v>
          </cell>
          <cell r="AY296">
            <v>-4</v>
          </cell>
          <cell r="BA296">
            <v>5</v>
          </cell>
          <cell r="BE296">
            <v>-5</v>
          </cell>
          <cell r="BG296">
            <v>5</v>
          </cell>
          <cell r="BK296">
            <v>-5</v>
          </cell>
          <cell r="BM296">
            <v>3</v>
          </cell>
          <cell r="BP296">
            <v>3</v>
          </cell>
          <cell r="BW296" t="str">
            <v>Done</v>
          </cell>
          <cell r="BX296">
            <v>45079</v>
          </cell>
          <cell r="BY296" t="str">
            <v>Approved</v>
          </cell>
          <cell r="CD296">
            <v>45103</v>
          </cell>
          <cell r="CE296">
            <v>45125</v>
          </cell>
          <cell r="CG296" t="str">
            <v>M/s Source One Interiors</v>
          </cell>
          <cell r="CI296" t="str">
            <v>Issued</v>
          </cell>
          <cell r="DG296" t="str">
            <v>Netmed SDP - Not in Dead Rental</v>
          </cell>
          <cell r="DK296">
            <v>45140</v>
          </cell>
          <cell r="DL296">
            <v>45107</v>
          </cell>
          <cell r="DM296">
            <v>2</v>
          </cell>
          <cell r="DN296" t="str">
            <v>0 to 3 Days</v>
          </cell>
          <cell r="DP296">
            <v>45128</v>
          </cell>
          <cell r="DQ296">
            <v>45142</v>
          </cell>
          <cell r="DR296">
            <v>7</v>
          </cell>
          <cell r="DS296">
            <v>7</v>
          </cell>
          <cell r="DU296">
            <v>45149</v>
          </cell>
          <cell r="DV296">
            <v>45135</v>
          </cell>
          <cell r="DW296">
            <v>45149</v>
          </cell>
          <cell r="DX296" t="str">
            <v>Aug 23 Week 2</v>
          </cell>
          <cell r="DY296" t="str">
            <v>21-08-2023
28-08-2023
30-08-2023</v>
          </cell>
          <cell r="DZ296">
            <v>45170</v>
          </cell>
          <cell r="EA296" t="str">
            <v>Sep 23 Week 1</v>
          </cell>
          <cell r="EB296" t="str">
            <v>Backlog</v>
          </cell>
          <cell r="ED296" t="str">
            <v/>
          </cell>
          <cell r="EE296" t="str">
            <v/>
          </cell>
          <cell r="EF296">
            <v>1</v>
          </cell>
          <cell r="EG296">
            <v>1</v>
          </cell>
          <cell r="FD296">
            <v>21</v>
          </cell>
          <cell r="FE296" t="str">
            <v>16 to 31 Days</v>
          </cell>
          <cell r="FF296">
            <v>35</v>
          </cell>
          <cell r="FG296" t="str">
            <v>31 to 61 Days</v>
          </cell>
          <cell r="FH296" t="str">
            <v>Done</v>
          </cell>
          <cell r="FI296" t="str">
            <v>Done</v>
          </cell>
          <cell r="FJ296" t="str">
            <v>NA</v>
          </cell>
          <cell r="FK296">
            <v>45189</v>
          </cell>
          <cell r="FM296" t="str">
            <v/>
          </cell>
          <cell r="GA296">
            <v>45169</v>
          </cell>
          <cell r="GC296">
            <v>45142</v>
          </cell>
          <cell r="GG296" t="str">
            <v>2023-2024</v>
          </cell>
        </row>
        <row r="297">
          <cell r="E297" t="str">
            <v>GF Mouza Torpo Thana No 53 Plot No 2907  , Khunti , Khata No 94 Thana Torpo Dist Khunti  , TORPA , 835227</v>
          </cell>
          <cell r="F297" t="str">
            <v>10. Launched</v>
          </cell>
          <cell r="G297" t="str">
            <v>SPJHTOM3802</v>
          </cell>
          <cell r="H297" t="str">
            <v>JH-SM-TPA-3001</v>
          </cell>
          <cell r="I297" t="str">
            <v>TAMZ</v>
          </cell>
          <cell r="J297" t="str">
            <v>QF3C</v>
          </cell>
          <cell r="K297" t="str">
            <v xml:space="preserve">E </v>
          </cell>
          <cell r="L297" t="str">
            <v>AK</v>
          </cell>
          <cell r="M297" t="str">
            <v>EPC Ready</v>
          </cell>
          <cell r="P297" t="str">
            <v>Mr. Amal Gopal Dey-9558811809</v>
          </cell>
          <cell r="Q297" t="str">
            <v>Gaurav Shinde</v>
          </cell>
          <cell r="S297" t="str">
            <v>Jharkhand</v>
          </cell>
          <cell r="T297" t="str">
            <v>Torpa</v>
          </cell>
          <cell r="U297" t="str">
            <v>Non Premium</v>
          </cell>
          <cell r="V297" t="str">
            <v>Pharma Format</v>
          </cell>
          <cell r="W297">
            <v>400</v>
          </cell>
          <cell r="X297" t="str">
            <v>GF Mouza Torpo Thana No 53 Plot No 2907  , Khunti , Khata No 94 Thana Torpo Dist Khunti  , TORPA , 835227</v>
          </cell>
          <cell r="Y297">
            <v>45104</v>
          </cell>
          <cell r="Z297" t="str">
            <v>NA</v>
          </cell>
          <cell r="AB297" t="str">
            <v>NA</v>
          </cell>
          <cell r="AF297" t="str">
            <v>NA</v>
          </cell>
          <cell r="AK297">
            <v>45090</v>
          </cell>
          <cell r="AL297" t="str">
            <v>Received</v>
          </cell>
          <cell r="AM297">
            <v>45085</v>
          </cell>
          <cell r="AO297">
            <v>3</v>
          </cell>
          <cell r="AS297">
            <v>-3</v>
          </cell>
          <cell r="AU297">
            <v>4</v>
          </cell>
          <cell r="AY297">
            <v>-4</v>
          </cell>
          <cell r="BA297">
            <v>5</v>
          </cell>
          <cell r="BE297">
            <v>-5</v>
          </cell>
          <cell r="BG297">
            <v>5</v>
          </cell>
          <cell r="BK297">
            <v>-5</v>
          </cell>
          <cell r="BM297">
            <v>3</v>
          </cell>
          <cell r="BW297" t="str">
            <v>Done</v>
          </cell>
          <cell r="BX297">
            <v>45079</v>
          </cell>
          <cell r="BY297" t="str">
            <v>Approved</v>
          </cell>
          <cell r="CD297">
            <v>45103</v>
          </cell>
          <cell r="CE297">
            <v>45112</v>
          </cell>
          <cell r="CG297" t="str">
            <v>M/S SK ENTERPRISE</v>
          </cell>
          <cell r="CI297" t="str">
            <v>Issued</v>
          </cell>
          <cell r="DG297" t="str">
            <v>Netmed SDP - Not in Dead Rental</v>
          </cell>
          <cell r="DK297">
            <v>45132</v>
          </cell>
          <cell r="DL297">
            <v>45108</v>
          </cell>
          <cell r="DM297">
            <v>2</v>
          </cell>
          <cell r="DN297" t="str">
            <v>0 to 3 Days</v>
          </cell>
          <cell r="DP297">
            <v>45115</v>
          </cell>
          <cell r="DQ297">
            <v>45134</v>
          </cell>
          <cell r="DR297">
            <v>7</v>
          </cell>
          <cell r="DS297">
            <v>7</v>
          </cell>
          <cell r="DU297">
            <v>45141</v>
          </cell>
          <cell r="DV297">
            <v>45122</v>
          </cell>
          <cell r="DW297">
            <v>45141</v>
          </cell>
          <cell r="DX297" t="str">
            <v>Aug 23 Week 1</v>
          </cell>
          <cell r="DY297" t="str">
            <v>21-08-2023
28-08-2023
30-08-2023
02-09-2023</v>
          </cell>
          <cell r="DZ297">
            <v>45173</v>
          </cell>
          <cell r="EA297" t="str">
            <v>Sep 23 Week 1</v>
          </cell>
          <cell r="EB297" t="str">
            <v>Backlog</v>
          </cell>
          <cell r="ED297" t="str">
            <v/>
          </cell>
          <cell r="EE297" t="str">
            <v/>
          </cell>
          <cell r="EF297">
            <v>1</v>
          </cell>
          <cell r="EG297">
            <v>1</v>
          </cell>
          <cell r="FD297">
            <v>32</v>
          </cell>
          <cell r="FE297" t="str">
            <v>31 to 61 Days</v>
          </cell>
          <cell r="FF297">
            <v>51</v>
          </cell>
          <cell r="FG297" t="str">
            <v>31 to 61 Days</v>
          </cell>
          <cell r="FH297" t="str">
            <v>Done</v>
          </cell>
          <cell r="FI297" t="str">
            <v>Done</v>
          </cell>
          <cell r="FJ297" t="str">
            <v>NA</v>
          </cell>
          <cell r="FK297">
            <v>45178</v>
          </cell>
          <cell r="FM297" t="str">
            <v/>
          </cell>
          <cell r="GA297">
            <v>45178</v>
          </cell>
          <cell r="GC297">
            <v>45134</v>
          </cell>
          <cell r="GG297" t="str">
            <v>2023-2024</v>
          </cell>
        </row>
        <row r="298">
          <cell r="E298" t="str">
            <v>GF, Khasra No. 185/3  , Chirmiri , Teshil Chirmiri, distt Koriya , Chirimiri, Ph No. 13, RIC  , CHIRMIRI , 497451</v>
          </cell>
          <cell r="F298" t="str">
            <v>9. EPC Ready</v>
          </cell>
          <cell r="G298" t="str">
            <v>SPCGCHC3769</v>
          </cell>
          <cell r="H298" t="str">
            <v>MP-SM-CRM-3000</v>
          </cell>
          <cell r="I298" t="str">
            <v>TYYL</v>
          </cell>
          <cell r="J298" t="str">
            <v>QB6P</v>
          </cell>
          <cell r="K298" t="str">
            <v>W</v>
          </cell>
          <cell r="L298" t="str">
            <v>KC</v>
          </cell>
          <cell r="M298" t="str">
            <v>EPC Ready</v>
          </cell>
          <cell r="P298" t="str">
            <v>Vivek Surjagade-9770016041</v>
          </cell>
          <cell r="Q298" t="str">
            <v>Gaurav Shinde</v>
          </cell>
          <cell r="S298" t="str">
            <v>Chattisgarh</v>
          </cell>
          <cell r="T298" t="str">
            <v>Chirmiri</v>
          </cell>
          <cell r="U298" t="str">
            <v>Non Premium</v>
          </cell>
          <cell r="V298" t="str">
            <v>Pharma Format</v>
          </cell>
          <cell r="W298">
            <v>400</v>
          </cell>
          <cell r="X298" t="str">
            <v>GF, Khasra No. 185/3  , Chirmiri , Teshil Chirmiri, distt Koriya , Chirimiri, Ph No. 13, RIC  , CHIRMIRI , 497451</v>
          </cell>
          <cell r="Y298">
            <v>45106</v>
          </cell>
          <cell r="Z298" t="str">
            <v>NA</v>
          </cell>
          <cell r="AB298" t="str">
            <v>NA</v>
          </cell>
          <cell r="AF298" t="str">
            <v>NA</v>
          </cell>
          <cell r="AK298">
            <v>45145</v>
          </cell>
          <cell r="AL298" t="str">
            <v>Received</v>
          </cell>
          <cell r="AM298">
            <v>45140</v>
          </cell>
          <cell r="AO298">
            <v>3</v>
          </cell>
          <cell r="AS298">
            <v>-3</v>
          </cell>
          <cell r="AU298">
            <v>4</v>
          </cell>
          <cell r="AY298">
            <v>-4</v>
          </cell>
          <cell r="BA298">
            <v>5</v>
          </cell>
          <cell r="BE298">
            <v>-5</v>
          </cell>
          <cell r="BG298">
            <v>5</v>
          </cell>
          <cell r="BK298">
            <v>-5</v>
          </cell>
          <cell r="BM298">
            <v>3</v>
          </cell>
          <cell r="BP298">
            <v>3</v>
          </cell>
          <cell r="BW298" t="str">
            <v>Done</v>
          </cell>
          <cell r="BX298">
            <v>45079</v>
          </cell>
          <cell r="BY298" t="str">
            <v>Approved</v>
          </cell>
          <cell r="CD298">
            <v>45103</v>
          </cell>
          <cell r="CE298">
            <v>45113</v>
          </cell>
          <cell r="CG298" t="str">
            <v>M/s VAIBHAVI ENTERPRISES</v>
          </cell>
          <cell r="CI298" t="str">
            <v>Issued</v>
          </cell>
          <cell r="DG298" t="str">
            <v>Netmed SDP - Not in Dead Rental</v>
          </cell>
          <cell r="DK298">
            <v>45154</v>
          </cell>
          <cell r="DL298">
            <v>45166</v>
          </cell>
          <cell r="DM298">
            <v>2</v>
          </cell>
          <cell r="DN298" t="str">
            <v>0 to 3 Days</v>
          </cell>
          <cell r="DP298">
            <v>45116</v>
          </cell>
          <cell r="DQ298">
            <v>45156</v>
          </cell>
          <cell r="DR298">
            <v>7</v>
          </cell>
          <cell r="DS298">
            <v>7</v>
          </cell>
          <cell r="DU298">
            <v>45163</v>
          </cell>
          <cell r="DV298">
            <v>45123</v>
          </cell>
          <cell r="DW298">
            <v>45163</v>
          </cell>
          <cell r="DX298" t="str">
            <v>Aug 23 Week 4</v>
          </cell>
          <cell r="DY298" t="str">
            <v>25-08-2023
04-09-2023
05-09-2023
06-09-2023
07-09-2023</v>
          </cell>
          <cell r="DZ298">
            <v>45176</v>
          </cell>
          <cell r="EA298" t="str">
            <v>Sep 23 Week 1</v>
          </cell>
          <cell r="EB298" t="str">
            <v>Backlog</v>
          </cell>
          <cell r="ED298" t="str">
            <v/>
          </cell>
          <cell r="EE298" t="str">
            <v/>
          </cell>
          <cell r="EF298">
            <v>1</v>
          </cell>
          <cell r="EG298">
            <v>1</v>
          </cell>
          <cell r="FD298">
            <v>13</v>
          </cell>
          <cell r="FE298" t="str">
            <v>8 to 15 Days</v>
          </cell>
          <cell r="FF298">
            <v>53</v>
          </cell>
          <cell r="FG298" t="str">
            <v>31 to 61 Days</v>
          </cell>
          <cell r="FH298" t="str">
            <v>Done</v>
          </cell>
          <cell r="FI298" t="str">
            <v>Done</v>
          </cell>
          <cell r="FJ298" t="str">
            <v>NA</v>
          </cell>
          <cell r="FK298">
            <v>45275</v>
          </cell>
          <cell r="FM298" t="str">
            <v/>
          </cell>
          <cell r="GA298">
            <v>45197</v>
          </cell>
          <cell r="GC298">
            <v>45159</v>
          </cell>
          <cell r="GG298" t="str">
            <v>2023-2024</v>
          </cell>
        </row>
        <row r="299">
          <cell r="E299" t="str">
            <v>GF Survey No 266 1  , Taluka Latur Distt Latur , Plot No 41 Village Kasargoan  , LATUR , 413512</v>
          </cell>
          <cell r="F299" t="str">
            <v>9. EPC Ready</v>
          </cell>
          <cell r="G299" t="str">
            <v>SPMHLAL3702</v>
          </cell>
          <cell r="H299" t="str">
            <v>MH-SM-LAT-3001</v>
          </cell>
          <cell r="I299" t="str">
            <v>TZ5I</v>
          </cell>
          <cell r="J299" t="str">
            <v>QEHH</v>
          </cell>
          <cell r="K299" t="str">
            <v>W</v>
          </cell>
          <cell r="L299" t="str">
            <v>KC</v>
          </cell>
          <cell r="M299" t="str">
            <v>EPC Ready</v>
          </cell>
          <cell r="P299" t="str">
            <v>Subhash Chaudhari-8459614618</v>
          </cell>
          <cell r="Q299" t="str">
            <v>Gaurav Shinde</v>
          </cell>
          <cell r="S299" t="str">
            <v>Maharashtra</v>
          </cell>
          <cell r="T299" t="str">
            <v>LATUR</v>
          </cell>
          <cell r="U299" t="str">
            <v>Non Premium</v>
          </cell>
          <cell r="V299" t="str">
            <v>Pharma Format</v>
          </cell>
          <cell r="W299">
            <v>400</v>
          </cell>
          <cell r="X299" t="str">
            <v>GF Survey No 266 1  , Taluka Latur Distt Latur , Plot No 41 Village Kasargoan  , LATUR , 413512</v>
          </cell>
          <cell r="Y299">
            <v>45124</v>
          </cell>
          <cell r="Z299" t="str">
            <v>NA</v>
          </cell>
          <cell r="AB299" t="str">
            <v>NA</v>
          </cell>
          <cell r="AF299" t="str">
            <v>NA</v>
          </cell>
          <cell r="AK299">
            <v>45135</v>
          </cell>
          <cell r="AL299" t="str">
            <v>Received</v>
          </cell>
          <cell r="AM299">
            <v>45130</v>
          </cell>
          <cell r="AO299">
            <v>3</v>
          </cell>
          <cell r="AS299">
            <v>-3</v>
          </cell>
          <cell r="AU299">
            <v>4</v>
          </cell>
          <cell r="AY299">
            <v>-4</v>
          </cell>
          <cell r="BA299">
            <v>5</v>
          </cell>
          <cell r="BE299">
            <v>-5</v>
          </cell>
          <cell r="BG299">
            <v>5</v>
          </cell>
          <cell r="BK299">
            <v>-5</v>
          </cell>
          <cell r="BM299">
            <v>3</v>
          </cell>
          <cell r="BP299">
            <v>3</v>
          </cell>
          <cell r="BW299" t="str">
            <v>Done</v>
          </cell>
          <cell r="BX299">
            <v>45079</v>
          </cell>
          <cell r="BY299" t="str">
            <v>Approved</v>
          </cell>
          <cell r="CD299">
            <v>45103</v>
          </cell>
          <cell r="CE299">
            <v>45113</v>
          </cell>
          <cell r="CG299" t="str">
            <v>M/s Saitech Electricals</v>
          </cell>
          <cell r="CI299" t="str">
            <v>Issued</v>
          </cell>
          <cell r="DG299" t="str">
            <v>Netmed SDP - Not in Dead Rental</v>
          </cell>
          <cell r="DK299">
            <v>45154</v>
          </cell>
          <cell r="DL299">
            <v>45121</v>
          </cell>
          <cell r="DM299">
            <v>2</v>
          </cell>
          <cell r="DN299" t="str">
            <v>0 to 3 Days</v>
          </cell>
          <cell r="DP299">
            <v>45116</v>
          </cell>
          <cell r="DQ299">
            <v>45156</v>
          </cell>
          <cell r="DR299">
            <v>7</v>
          </cell>
          <cell r="DS299">
            <v>7</v>
          </cell>
          <cell r="DU299">
            <v>45163</v>
          </cell>
          <cell r="DV299">
            <v>45123</v>
          </cell>
          <cell r="DW299">
            <v>45163</v>
          </cell>
          <cell r="DX299" t="str">
            <v>Aug 23 Week 4</v>
          </cell>
          <cell r="DY299" t="str">
            <v>25-08-2023
28-08-2023</v>
          </cell>
          <cell r="DZ299">
            <v>45171</v>
          </cell>
          <cell r="EA299" t="str">
            <v>Sep 23 Week 1</v>
          </cell>
          <cell r="EB299" t="str">
            <v>Backlog</v>
          </cell>
          <cell r="ED299" t="str">
            <v/>
          </cell>
          <cell r="EE299" t="str">
            <v/>
          </cell>
          <cell r="EF299">
            <v>1</v>
          </cell>
          <cell r="EG299">
            <v>1</v>
          </cell>
          <cell r="FD299">
            <v>8</v>
          </cell>
          <cell r="FE299" t="str">
            <v>8 to 15 Days</v>
          </cell>
          <cell r="FF299">
            <v>48</v>
          </cell>
          <cell r="FG299" t="str">
            <v>31 to 61 Days</v>
          </cell>
          <cell r="FH299" t="str">
            <v>Done</v>
          </cell>
          <cell r="FI299" t="str">
            <v>Done</v>
          </cell>
          <cell r="FJ299" t="str">
            <v>NA</v>
          </cell>
          <cell r="FK299">
            <v>45363</v>
          </cell>
          <cell r="FM299" t="str">
            <v/>
          </cell>
          <cell r="GA299">
            <v>45174</v>
          </cell>
          <cell r="GC299">
            <v>45156</v>
          </cell>
          <cell r="GG299" t="str">
            <v>2023-2024</v>
          </cell>
        </row>
        <row r="300">
          <cell r="E300" t="str">
            <v>GF Khata No 866 736 Plot No 2581 2579  , Thana-Chandi Thana No 209, Circle-Chandi , Tauzi No 7511,Mauza - Nagarnausha , Dist - Nalanda , NAGAR NAHUSA , 801305</v>
          </cell>
          <cell r="F300" t="str">
            <v>9. EPC Ready</v>
          </cell>
          <cell r="G300" t="str">
            <v>SPBHNAN3481</v>
          </cell>
          <cell r="H300" t="str">
            <v>BH-SM-NAA-3000</v>
          </cell>
          <cell r="I300" t="str">
            <v>TYHK</v>
          </cell>
          <cell r="J300" t="str">
            <v>QBNA</v>
          </cell>
          <cell r="K300" t="str">
            <v xml:space="preserve">E </v>
          </cell>
          <cell r="L300" t="str">
            <v>AK</v>
          </cell>
          <cell r="M300" t="str">
            <v>EPC Ready</v>
          </cell>
          <cell r="P300" t="str">
            <v>Mr. Jitendra Kumar-6201750698</v>
          </cell>
          <cell r="Q300" t="str">
            <v>Gaurav Shinde</v>
          </cell>
          <cell r="S300" t="str">
            <v>Bihar</v>
          </cell>
          <cell r="T300" t="str">
            <v>Nagar Nausa</v>
          </cell>
          <cell r="U300" t="str">
            <v>Non Premium</v>
          </cell>
          <cell r="V300" t="str">
            <v>Pharma Format</v>
          </cell>
          <cell r="W300">
            <v>400</v>
          </cell>
          <cell r="X300" t="str">
            <v>GF Khata No 866 736 Plot No 2581 2579  , Thana-Chandi Thana No 209, Circle-Chandi , Tauzi No 7511,Mauza - Nagarnausha , Dist - Nalanda , NAGAR NAHUSA , 801305</v>
          </cell>
          <cell r="Y300">
            <v>45119</v>
          </cell>
          <cell r="Z300" t="str">
            <v>NA</v>
          </cell>
          <cell r="AB300" t="str">
            <v>NA</v>
          </cell>
          <cell r="AF300" t="str">
            <v>NA</v>
          </cell>
          <cell r="AK300">
            <v>45147</v>
          </cell>
          <cell r="AL300" t="str">
            <v>Received</v>
          </cell>
          <cell r="AO300">
            <v>3</v>
          </cell>
          <cell r="AS300">
            <v>-3</v>
          </cell>
          <cell r="AU300">
            <v>4</v>
          </cell>
          <cell r="AY300">
            <v>-4</v>
          </cell>
          <cell r="BA300">
            <v>5</v>
          </cell>
          <cell r="BE300">
            <v>-5</v>
          </cell>
          <cell r="BG300">
            <v>5</v>
          </cell>
          <cell r="BK300">
            <v>-5</v>
          </cell>
          <cell r="BM300">
            <v>3</v>
          </cell>
          <cell r="BP300">
            <v>3</v>
          </cell>
          <cell r="BW300" t="str">
            <v>Done</v>
          </cell>
          <cell r="BX300">
            <v>45079</v>
          </cell>
          <cell r="BY300" t="str">
            <v>Approved</v>
          </cell>
          <cell r="CD300">
            <v>45103</v>
          </cell>
          <cell r="CE300">
            <v>45113</v>
          </cell>
          <cell r="CG300" t="str">
            <v>M/S Rahul Kumar</v>
          </cell>
          <cell r="CI300" t="str">
            <v>Issued</v>
          </cell>
          <cell r="DG300" t="str">
            <v>Netmed SDP - Not in Dead Rental</v>
          </cell>
          <cell r="DK300">
            <v>45158</v>
          </cell>
          <cell r="DL300">
            <v>45124</v>
          </cell>
          <cell r="DM300">
            <v>2</v>
          </cell>
          <cell r="DN300" t="str">
            <v>0 to 3 Days</v>
          </cell>
          <cell r="DP300">
            <v>45116</v>
          </cell>
          <cell r="DQ300">
            <v>45160</v>
          </cell>
          <cell r="DR300">
            <v>7</v>
          </cell>
          <cell r="DS300">
            <v>7</v>
          </cell>
          <cell r="DU300">
            <v>45167</v>
          </cell>
          <cell r="DV300">
            <v>45123</v>
          </cell>
          <cell r="DW300">
            <v>45167</v>
          </cell>
          <cell r="DX300" t="str">
            <v>Aug 23 Week 5</v>
          </cell>
          <cell r="DY300" t="str">
            <v>28-08-2023
30-08-2023
02-09-2023</v>
          </cell>
          <cell r="DZ300">
            <v>45170</v>
          </cell>
          <cell r="EA300" t="str">
            <v>Sep 23 Week 1</v>
          </cell>
          <cell r="EB300" t="str">
            <v>Backlog</v>
          </cell>
          <cell r="ED300" t="str">
            <v/>
          </cell>
          <cell r="EE300" t="str">
            <v/>
          </cell>
          <cell r="EF300">
            <v>1</v>
          </cell>
          <cell r="EG300">
            <v>1</v>
          </cell>
          <cell r="FD300">
            <v>3</v>
          </cell>
          <cell r="FE300" t="str">
            <v>0 to 3 Days</v>
          </cell>
          <cell r="FF300">
            <v>47</v>
          </cell>
          <cell r="FG300" t="str">
            <v>31 to 61 Days</v>
          </cell>
          <cell r="FH300" t="str">
            <v>Done</v>
          </cell>
          <cell r="FI300" t="str">
            <v>Done</v>
          </cell>
          <cell r="FJ300" t="str">
            <v>NA</v>
          </cell>
          <cell r="FK300">
            <v>45178</v>
          </cell>
          <cell r="FM300" t="str">
            <v/>
          </cell>
          <cell r="GC300">
            <v>45160</v>
          </cell>
          <cell r="GG300" t="str">
            <v>2023-2024</v>
          </cell>
        </row>
        <row r="301">
          <cell r="E301" t="str">
            <v>Mgs Complex S No 1855 6 Ambekar  , Anthiyur Erode , Street Thavittupalayam  , ANTHIYUR , 638501</v>
          </cell>
          <cell r="F301" t="str">
            <v>9. EPC Ready</v>
          </cell>
          <cell r="G301" t="str">
            <v>SPTNANM4242</v>
          </cell>
          <cell r="H301" t="str">
            <v>TN-SM-AHR-3000</v>
          </cell>
          <cell r="I301" t="str">
            <v>T91E</v>
          </cell>
          <cell r="J301" t="str">
            <v>QOXI</v>
          </cell>
          <cell r="K301" t="str">
            <v>S</v>
          </cell>
          <cell r="L301" t="str">
            <v>AK</v>
          </cell>
          <cell r="M301" t="str">
            <v>EPC Ready</v>
          </cell>
          <cell r="N301" t="str">
            <v>N Kalyankumar</v>
          </cell>
          <cell r="O301" t="str">
            <v>Muthuvelu Minnal /
Vijayakumar Muthusamy</v>
          </cell>
          <cell r="P301" t="str">
            <v>Janarthanan Ekambaram-9566241523</v>
          </cell>
          <cell r="Q301" t="str">
            <v>Gaurav Shinde</v>
          </cell>
          <cell r="S301" t="str">
            <v>Tamil Nadu</v>
          </cell>
          <cell r="T301" t="str">
            <v>Anthiyur</v>
          </cell>
          <cell r="U301" t="str">
            <v>Non Premium</v>
          </cell>
          <cell r="V301" t="str">
            <v>Pharma Format</v>
          </cell>
          <cell r="W301">
            <v>400</v>
          </cell>
          <cell r="X301" t="str">
            <v>Mgs Complex S No 1855 6 Ambekar  , Anthiyur Erode , Street Thavittupalayam  , ANTHIYUR , 638501</v>
          </cell>
          <cell r="Y301">
            <v>45163</v>
          </cell>
          <cell r="Z301" t="str">
            <v>NA</v>
          </cell>
          <cell r="AB301" t="str">
            <v>NA</v>
          </cell>
          <cell r="AF301" t="str">
            <v>NA</v>
          </cell>
          <cell r="AK301">
            <v>45230</v>
          </cell>
          <cell r="AL301" t="str">
            <v>Received</v>
          </cell>
          <cell r="AM301">
            <v>45225</v>
          </cell>
          <cell r="AO301">
            <v>3</v>
          </cell>
          <cell r="AS301">
            <v>-3</v>
          </cell>
          <cell r="AU301">
            <v>4</v>
          </cell>
          <cell r="AY301">
            <v>-4</v>
          </cell>
          <cell r="BA301">
            <v>5</v>
          </cell>
          <cell r="BE301">
            <v>-5</v>
          </cell>
          <cell r="BG301">
            <v>5</v>
          </cell>
          <cell r="BK301">
            <v>-5</v>
          </cell>
          <cell r="BM301">
            <v>3</v>
          </cell>
          <cell r="BP301">
            <v>3</v>
          </cell>
          <cell r="BW301" t="str">
            <v>Done</v>
          </cell>
          <cell r="BX301">
            <v>45079</v>
          </cell>
          <cell r="BY301" t="str">
            <v>Approved</v>
          </cell>
          <cell r="CD301">
            <v>45162</v>
          </cell>
          <cell r="CE301">
            <v>45196</v>
          </cell>
          <cell r="CG301" t="str">
            <v>M/s Prayagaa Enterprises Pvt Ltd</v>
          </cell>
          <cell r="CI301" t="str">
            <v>Issued</v>
          </cell>
          <cell r="DG301" t="str">
            <v>Netmed SDP - Not in Dead Rental</v>
          </cell>
          <cell r="DK301">
            <v>45261</v>
          </cell>
          <cell r="DL301">
            <v>-619573</v>
          </cell>
          <cell r="DM301">
            <v>2</v>
          </cell>
          <cell r="DN301" t="str">
            <v>0 to 3 Days</v>
          </cell>
          <cell r="DP301">
            <v>45199</v>
          </cell>
          <cell r="DQ301">
            <v>45263</v>
          </cell>
          <cell r="DR301">
            <v>7</v>
          </cell>
          <cell r="DS301">
            <v>7</v>
          </cell>
          <cell r="DU301">
            <v>45270</v>
          </cell>
          <cell r="DV301">
            <v>45206</v>
          </cell>
          <cell r="DW301">
            <v>45270</v>
          </cell>
          <cell r="DX301" t="str">
            <v>Dec 23 Week 2</v>
          </cell>
          <cell r="DZ301">
            <v>45274</v>
          </cell>
          <cell r="EA301" t="str">
            <v>Dec 23 Week 2</v>
          </cell>
          <cell r="EB301" t="str">
            <v>Backlog</v>
          </cell>
          <cell r="ED301" t="str">
            <v/>
          </cell>
          <cell r="EE301" t="str">
            <v/>
          </cell>
          <cell r="EF301">
            <v>1</v>
          </cell>
          <cell r="EG301">
            <v>1</v>
          </cell>
          <cell r="FD301">
            <v>4</v>
          </cell>
          <cell r="FE301" t="str">
            <v>4 to 7 Days</v>
          </cell>
          <cell r="FF301">
            <v>68</v>
          </cell>
          <cell r="FG301" t="str">
            <v>62 to 90 Days</v>
          </cell>
          <cell r="FH301" t="str">
            <v>Done</v>
          </cell>
          <cell r="FJ301" t="str">
            <v>NA</v>
          </cell>
          <cell r="FK301">
            <v>45453</v>
          </cell>
          <cell r="FM301" t="str">
            <v/>
          </cell>
          <cell r="GA301">
            <v>45275</v>
          </cell>
          <cell r="GC301">
            <v>45252</v>
          </cell>
          <cell r="GG301" t="str">
            <v>2023-2024</v>
          </cell>
        </row>
        <row r="302">
          <cell r="E302" t="str">
            <v>GF, Dag No 78 &amp; 81, Under Patta No 2,  , Dist - Nalbari , Nalbari Gaon, Revenue Circle, Mouza  , NALBARI , 781335</v>
          </cell>
          <cell r="F302" t="str">
            <v>9. EPC Ready</v>
          </cell>
          <cell r="G302" t="str">
            <v>SPASNAN3885</v>
          </cell>
          <cell r="H302" t="str">
            <v>WB-SM-NLB-3002</v>
          </cell>
          <cell r="I302" t="str">
            <v>TAJW</v>
          </cell>
          <cell r="J302" t="str">
            <v>QFXE</v>
          </cell>
          <cell r="K302" t="str">
            <v xml:space="preserve">E </v>
          </cell>
          <cell r="L302" t="str">
            <v>SD</v>
          </cell>
          <cell r="M302" t="str">
            <v>EPC Ready</v>
          </cell>
          <cell r="N302" t="str">
            <v>Mahendrakumar Warma</v>
          </cell>
          <cell r="O302" t="str">
            <v>Anup das (EXCEPT SIKKIM)</v>
          </cell>
          <cell r="P302" t="str">
            <v>Suman Das-7044069904</v>
          </cell>
          <cell r="Q302" t="str">
            <v>Gaurav Shinde</v>
          </cell>
          <cell r="S302" t="str">
            <v>Assam</v>
          </cell>
          <cell r="T302" t="str">
            <v>NALBARI</v>
          </cell>
          <cell r="U302" t="str">
            <v>Non Premium</v>
          </cell>
          <cell r="V302" t="str">
            <v>Pharma Format</v>
          </cell>
          <cell r="W302">
            <v>411</v>
          </cell>
          <cell r="X302" t="str">
            <v>GF, Dag No 78 &amp; 81, Under Patta No 2,  , Dist - Nalbari , Nalbari Gaon, Revenue Circle, Mouza  , NALBARI , 781335</v>
          </cell>
          <cell r="Y302">
            <v>45104</v>
          </cell>
          <cell r="Z302" t="str">
            <v>NA</v>
          </cell>
          <cell r="AB302" t="str">
            <v>NA</v>
          </cell>
          <cell r="AF302" t="str">
            <v>NA</v>
          </cell>
          <cell r="AK302">
            <v>45090</v>
          </cell>
          <cell r="AL302" t="str">
            <v>Received</v>
          </cell>
          <cell r="AO302">
            <v>3</v>
          </cell>
          <cell r="AS302">
            <v>-3</v>
          </cell>
          <cell r="AU302">
            <v>4</v>
          </cell>
          <cell r="AY302">
            <v>-4</v>
          </cell>
          <cell r="BA302">
            <v>5</v>
          </cell>
          <cell r="BE302">
            <v>-5</v>
          </cell>
          <cell r="BG302">
            <v>5</v>
          </cell>
          <cell r="BK302">
            <v>-5</v>
          </cell>
          <cell r="BM302">
            <v>3</v>
          </cell>
          <cell r="BP302">
            <v>3</v>
          </cell>
          <cell r="BW302" t="str">
            <v>Done</v>
          </cell>
          <cell r="BX302">
            <v>45079</v>
          </cell>
          <cell r="BY302" t="str">
            <v>Approved</v>
          </cell>
          <cell r="CD302">
            <v>45103</v>
          </cell>
          <cell r="CE302">
            <v>45119</v>
          </cell>
          <cell r="CG302" t="str">
            <v>M/s. STAR SOLUTIONS</v>
          </cell>
          <cell r="CI302" t="str">
            <v>Issued</v>
          </cell>
          <cell r="DG302" t="str">
            <v>Netmed SDP - Not in Dead Rental</v>
          </cell>
          <cell r="DK302">
            <v>45129</v>
          </cell>
          <cell r="DL302">
            <v>45108</v>
          </cell>
          <cell r="DM302">
            <v>2</v>
          </cell>
          <cell r="DN302" t="str">
            <v>0 to 3 Days</v>
          </cell>
          <cell r="DP302">
            <v>45122</v>
          </cell>
          <cell r="DQ302">
            <v>45131</v>
          </cell>
          <cell r="DR302">
            <v>7</v>
          </cell>
          <cell r="DS302">
            <v>7</v>
          </cell>
          <cell r="DU302">
            <v>45138</v>
          </cell>
          <cell r="DV302">
            <v>45129</v>
          </cell>
          <cell r="DW302">
            <v>45138</v>
          </cell>
          <cell r="DX302" t="str">
            <v>July 23 Week 5</v>
          </cell>
          <cell r="DY302" t="str">
            <v>30-07-2023
01-08-2023</v>
          </cell>
          <cell r="DZ302">
            <v>45140</v>
          </cell>
          <cell r="EA302" t="str">
            <v>Aug 23 Week 1</v>
          </cell>
          <cell r="EB302" t="str">
            <v>Backlog</v>
          </cell>
          <cell r="ED302" t="str">
            <v/>
          </cell>
          <cell r="EE302" t="str">
            <v/>
          </cell>
          <cell r="EF302">
            <v>1</v>
          </cell>
          <cell r="EG302">
            <v>1</v>
          </cell>
          <cell r="FD302">
            <v>2</v>
          </cell>
          <cell r="FE302" t="str">
            <v>0 to 3 Days</v>
          </cell>
          <cell r="FF302">
            <v>11</v>
          </cell>
          <cell r="FG302" t="str">
            <v>8 to 15 Days</v>
          </cell>
          <cell r="FH302" t="str">
            <v>Done</v>
          </cell>
          <cell r="FI302" t="str">
            <v>Done</v>
          </cell>
          <cell r="FJ302" t="str">
            <v>NA</v>
          </cell>
          <cell r="FK302">
            <v>45141</v>
          </cell>
          <cell r="FM302" t="str">
            <v/>
          </cell>
          <cell r="GA302">
            <v>45239</v>
          </cell>
          <cell r="GC302">
            <v>45131</v>
          </cell>
          <cell r="GG302" t="str">
            <v>2023-2024</v>
          </cell>
        </row>
        <row r="303">
          <cell r="E303" t="str">
            <v>GF Revenue vill Sikarhati  , Mouza Bholagaon Dist Kamrup , Dag no 735 Patta no 64  , PALASBARI , 781125</v>
          </cell>
          <cell r="F303" t="str">
            <v>9. EPC Ready</v>
          </cell>
          <cell r="G303" t="str">
            <v>SPASPAB3313</v>
          </cell>
          <cell r="H303" t="str">
            <v>WB-SM-PAL-3000</v>
          </cell>
          <cell r="I303" t="str">
            <v>TZ5G</v>
          </cell>
          <cell r="J303" t="str">
            <v>QEHF</v>
          </cell>
          <cell r="K303" t="str">
            <v xml:space="preserve">E </v>
          </cell>
          <cell r="L303" t="str">
            <v>SD</v>
          </cell>
          <cell r="M303" t="str">
            <v>EPC Ready</v>
          </cell>
          <cell r="N303" t="str">
            <v>Mahendrakumar Warma</v>
          </cell>
          <cell r="O303" t="str">
            <v>Anup das (EXCEPT SIKKIM)</v>
          </cell>
          <cell r="P303" t="str">
            <v>Suman Das-7044069904</v>
          </cell>
          <cell r="Q303" t="str">
            <v>Gaurav Shinde</v>
          </cell>
          <cell r="S303" t="str">
            <v>Assam</v>
          </cell>
          <cell r="T303" t="str">
            <v>Palasbari</v>
          </cell>
          <cell r="U303" t="str">
            <v>Non Premium</v>
          </cell>
          <cell r="V303" t="str">
            <v>Pharma Format</v>
          </cell>
          <cell r="W303">
            <v>437</v>
          </cell>
          <cell r="X303" t="str">
            <v>GF Revenue vill Sikarhati  , Mouza Bholagaon Dist Kamrup , Dag no 735 Patta no 64  , PALASBARI , 781125</v>
          </cell>
          <cell r="Y303">
            <v>45104</v>
          </cell>
          <cell r="Z303" t="str">
            <v>NA</v>
          </cell>
          <cell r="AB303" t="str">
            <v>NA</v>
          </cell>
          <cell r="AF303" t="str">
            <v>NA</v>
          </cell>
          <cell r="AK303">
            <v>45090</v>
          </cell>
          <cell r="AL303" t="str">
            <v>Received</v>
          </cell>
          <cell r="AM303">
            <v>45085</v>
          </cell>
          <cell r="AO303">
            <v>3</v>
          </cell>
          <cell r="AS303">
            <v>-3</v>
          </cell>
          <cell r="AU303">
            <v>4</v>
          </cell>
          <cell r="AY303">
            <v>-4</v>
          </cell>
          <cell r="BA303">
            <v>5</v>
          </cell>
          <cell r="BE303">
            <v>-5</v>
          </cell>
          <cell r="BG303">
            <v>5</v>
          </cell>
          <cell r="BK303">
            <v>-5</v>
          </cell>
          <cell r="BM303">
            <v>3</v>
          </cell>
          <cell r="BP303">
            <v>3</v>
          </cell>
          <cell r="BW303" t="str">
            <v>Done</v>
          </cell>
          <cell r="BX303">
            <v>45079</v>
          </cell>
          <cell r="BY303" t="str">
            <v>Approved</v>
          </cell>
          <cell r="CD303">
            <v>45103</v>
          </cell>
          <cell r="CE303">
            <v>45119</v>
          </cell>
          <cell r="CG303" t="str">
            <v>M/s. STAR SOLUTIONS</v>
          </cell>
          <cell r="CI303" t="str">
            <v>Issued</v>
          </cell>
          <cell r="DG303" t="str">
            <v>Netmed SDP - Not in Dead Rental</v>
          </cell>
          <cell r="DK303">
            <v>45132</v>
          </cell>
          <cell r="DL303">
            <v>45110</v>
          </cell>
          <cell r="DM303">
            <v>2</v>
          </cell>
          <cell r="DN303" t="str">
            <v>0 to 3 Days</v>
          </cell>
          <cell r="DP303">
            <v>45122</v>
          </cell>
          <cell r="DQ303">
            <v>45134</v>
          </cell>
          <cell r="DR303">
            <v>7</v>
          </cell>
          <cell r="DS303">
            <v>7</v>
          </cell>
          <cell r="DU303">
            <v>45141</v>
          </cell>
          <cell r="DV303">
            <v>45129</v>
          </cell>
          <cell r="DW303">
            <v>45141</v>
          </cell>
          <cell r="DX303" t="str">
            <v>Aug 23 Week 1</v>
          </cell>
          <cell r="DY303" t="str">
            <v>30-07-2023
01-08-2023</v>
          </cell>
          <cell r="DZ303">
            <v>45140</v>
          </cell>
          <cell r="EA303" t="str">
            <v>Aug 23 Week 1</v>
          </cell>
          <cell r="EB303" t="str">
            <v>Plan</v>
          </cell>
          <cell r="ED303" t="str">
            <v/>
          </cell>
          <cell r="EE303" t="str">
            <v/>
          </cell>
          <cell r="EF303">
            <v>1</v>
          </cell>
          <cell r="EG303">
            <v>1</v>
          </cell>
          <cell r="FD303">
            <v>-1</v>
          </cell>
          <cell r="FE303" t="str">
            <v>On Time</v>
          </cell>
          <cell r="FF303">
            <v>11</v>
          </cell>
          <cell r="FG303" t="str">
            <v>8 to 15 Days</v>
          </cell>
          <cell r="FH303" t="str">
            <v>Done</v>
          </cell>
          <cell r="FI303" t="str">
            <v>Done</v>
          </cell>
          <cell r="FJ303" t="str">
            <v>NA</v>
          </cell>
          <cell r="FK303">
            <v>45140</v>
          </cell>
          <cell r="FM303" t="str">
            <v/>
          </cell>
          <cell r="GA303">
            <v>45239</v>
          </cell>
          <cell r="GC303">
            <v>45134</v>
          </cell>
          <cell r="GG303" t="str">
            <v>2023-2024</v>
          </cell>
        </row>
        <row r="304">
          <cell r="E304" t="str">
            <v>Domna Mahto Property  , Bundu Bazaar , Sonhatu Road  , RANCHI , 835204</v>
          </cell>
          <cell r="F304" t="str">
            <v>9. EPC Ready</v>
          </cell>
          <cell r="G304" t="str">
            <v>SPJHBUB3274</v>
          </cell>
          <cell r="H304" t="str">
            <v>JH-SM-RAN-3019</v>
          </cell>
          <cell r="I304" t="str">
            <v>TZQS</v>
          </cell>
          <cell r="J304" t="str">
            <v>QDDX</v>
          </cell>
          <cell r="K304" t="str">
            <v xml:space="preserve">E </v>
          </cell>
          <cell r="L304" t="str">
            <v>AK</v>
          </cell>
          <cell r="M304" t="str">
            <v>EPC Ready</v>
          </cell>
          <cell r="P304" t="str">
            <v>Mr. Amal Gopal Dey-9558811809</v>
          </cell>
          <cell r="Q304" t="str">
            <v>Gaurav Shinde</v>
          </cell>
          <cell r="S304" t="str">
            <v>Jharkhand</v>
          </cell>
          <cell r="T304" t="str">
            <v>Ranchi</v>
          </cell>
          <cell r="U304" t="str">
            <v>Non Premium</v>
          </cell>
          <cell r="V304" t="str">
            <v>Pharma Format</v>
          </cell>
          <cell r="W304">
            <v>413</v>
          </cell>
          <cell r="X304" t="str">
            <v>Domna Mahto Property  , Bundu Bazaar , Sonhatu Road  , RANCHI , 835204</v>
          </cell>
          <cell r="Y304">
            <v>45104</v>
          </cell>
          <cell r="Z304" t="str">
            <v>NA</v>
          </cell>
          <cell r="AB304" t="str">
            <v>NA</v>
          </cell>
          <cell r="AF304" t="str">
            <v>NA</v>
          </cell>
          <cell r="AK304">
            <v>45090</v>
          </cell>
          <cell r="AL304" t="str">
            <v>Received</v>
          </cell>
          <cell r="AM304">
            <v>45085</v>
          </cell>
          <cell r="AO304">
            <v>3</v>
          </cell>
          <cell r="AS304">
            <v>-3</v>
          </cell>
          <cell r="AU304">
            <v>4</v>
          </cell>
          <cell r="AY304">
            <v>-4</v>
          </cell>
          <cell r="BA304">
            <v>5</v>
          </cell>
          <cell r="BE304">
            <v>-5</v>
          </cell>
          <cell r="BG304">
            <v>5</v>
          </cell>
          <cell r="BK304">
            <v>-5</v>
          </cell>
          <cell r="BM304">
            <v>3</v>
          </cell>
          <cell r="BP304">
            <v>3</v>
          </cell>
          <cell r="BW304" t="str">
            <v>Done</v>
          </cell>
          <cell r="BX304">
            <v>45079</v>
          </cell>
          <cell r="BY304" t="str">
            <v>Approved</v>
          </cell>
          <cell r="CD304">
            <v>45103</v>
          </cell>
          <cell r="CE304">
            <v>45112</v>
          </cell>
          <cell r="CG304" t="str">
            <v>M/S VISHWAKARMA ENGINEERING</v>
          </cell>
          <cell r="CI304" t="str">
            <v>Issued</v>
          </cell>
          <cell r="DG304" t="str">
            <v>Netmed SDP - Not in Dead Rental</v>
          </cell>
          <cell r="DK304">
            <v>45129</v>
          </cell>
          <cell r="DM304">
            <v>2</v>
          </cell>
          <cell r="DN304" t="str">
            <v>0 to 3 Days</v>
          </cell>
          <cell r="DP304">
            <v>45115</v>
          </cell>
          <cell r="DQ304">
            <v>45131</v>
          </cell>
          <cell r="DR304">
            <v>7</v>
          </cell>
          <cell r="DS304">
            <v>7</v>
          </cell>
          <cell r="DU304">
            <v>45138</v>
          </cell>
          <cell r="DV304">
            <v>45122</v>
          </cell>
          <cell r="DW304">
            <v>45138</v>
          </cell>
          <cell r="DX304" t="str">
            <v>July 23 Week 5</v>
          </cell>
          <cell r="DY304" t="str">
            <v>30-07-2023
01-08-2023</v>
          </cell>
          <cell r="DZ304">
            <v>45140</v>
          </cell>
          <cell r="EA304" t="str">
            <v>Aug 23 Week 1</v>
          </cell>
          <cell r="EB304" t="str">
            <v>Backlog</v>
          </cell>
          <cell r="ED304" t="str">
            <v/>
          </cell>
          <cell r="EE304" t="str">
            <v/>
          </cell>
          <cell r="EF304">
            <v>1</v>
          </cell>
          <cell r="EG304">
            <v>1</v>
          </cell>
          <cell r="FD304">
            <v>2</v>
          </cell>
          <cell r="FE304" t="str">
            <v>0 to 3 Days</v>
          </cell>
          <cell r="FF304">
            <v>18</v>
          </cell>
          <cell r="FG304" t="str">
            <v>16 to 31 Days</v>
          </cell>
          <cell r="FH304" t="str">
            <v>Done</v>
          </cell>
          <cell r="FI304" t="str">
            <v>Done</v>
          </cell>
          <cell r="FJ304" t="str">
            <v>NA</v>
          </cell>
          <cell r="FK304">
            <v>45141</v>
          </cell>
          <cell r="FM304" t="str">
            <v/>
          </cell>
          <cell r="GA304">
            <v>45140</v>
          </cell>
          <cell r="GC304">
            <v>45131</v>
          </cell>
          <cell r="GG304" t="str">
            <v>2023-2024</v>
          </cell>
        </row>
        <row r="305">
          <cell r="E305" t="str">
            <v>GF &amp; FF, Plot No89, 90, Maa Karni  ,  , Nagar-A, Panchyawala, Jaipur  , JAIPUR , 302021</v>
          </cell>
          <cell r="F305" t="str">
            <v>10. Launched</v>
          </cell>
          <cell r="G305" t="str">
            <v>SPRJJAJ3957</v>
          </cell>
          <cell r="H305" t="str">
            <v>RJ-SM-JAI-3018</v>
          </cell>
          <cell r="I305" t="str">
            <v>TAOU</v>
          </cell>
          <cell r="J305" t="str">
            <v>QF4X</v>
          </cell>
          <cell r="K305" t="str">
            <v xml:space="preserve">N </v>
          </cell>
          <cell r="L305" t="str">
            <v>KC</v>
          </cell>
          <cell r="M305" t="str">
            <v>EPC Ready</v>
          </cell>
          <cell r="P305" t="str">
            <v>Dipesh Chavda-7043349558</v>
          </cell>
          <cell r="Q305" t="str">
            <v>Gaurav Shinde</v>
          </cell>
          <cell r="S305" t="str">
            <v>Rajasthan</v>
          </cell>
          <cell r="T305" t="str">
            <v>JAIPUR</v>
          </cell>
          <cell r="U305" t="str">
            <v>Non Premium</v>
          </cell>
          <cell r="V305" t="str">
            <v>Pharma Format</v>
          </cell>
          <cell r="W305">
            <v>400</v>
          </cell>
          <cell r="X305" t="str">
            <v>GF &amp; FF, Plot No89, 90, Maa Karni  ,  , Nagar-A, Panchyawala, Jaipur  , JAIPUR , 302021</v>
          </cell>
          <cell r="Y305">
            <v>45104</v>
          </cell>
          <cell r="Z305" t="str">
            <v>NA</v>
          </cell>
          <cell r="AB305" t="str">
            <v>NA</v>
          </cell>
          <cell r="AF305" t="str">
            <v>NA</v>
          </cell>
          <cell r="AK305">
            <v>45268</v>
          </cell>
          <cell r="AL305" t="str">
            <v>Received</v>
          </cell>
          <cell r="AM305">
            <v>45263</v>
          </cell>
          <cell r="AO305">
            <v>3</v>
          </cell>
          <cell r="AS305">
            <v>-3</v>
          </cell>
          <cell r="AU305">
            <v>4</v>
          </cell>
          <cell r="AY305">
            <v>-4</v>
          </cell>
          <cell r="BA305">
            <v>5</v>
          </cell>
          <cell r="BE305">
            <v>-5</v>
          </cell>
          <cell r="BG305">
            <v>5</v>
          </cell>
          <cell r="BK305">
            <v>-5</v>
          </cell>
          <cell r="BM305">
            <v>3</v>
          </cell>
          <cell r="BW305" t="str">
            <v>Done</v>
          </cell>
          <cell r="BX305">
            <v>45079</v>
          </cell>
          <cell r="BY305" t="str">
            <v>Approved</v>
          </cell>
          <cell r="CD305">
            <v>45103</v>
          </cell>
          <cell r="CE305">
            <v>45111</v>
          </cell>
          <cell r="CG305" t="str">
            <v>M/s Shri Brothers Interiors</v>
          </cell>
          <cell r="CI305" t="str">
            <v>Issued</v>
          </cell>
          <cell r="DG305" t="str">
            <v>Netmed SDP - Not in Dead Rental</v>
          </cell>
          <cell r="DK305">
            <v>45130</v>
          </cell>
          <cell r="DL305">
            <v>45166</v>
          </cell>
          <cell r="DM305">
            <v>2</v>
          </cell>
          <cell r="DN305" t="str">
            <v>0 to 3 Days</v>
          </cell>
          <cell r="DP305">
            <v>45114</v>
          </cell>
          <cell r="DQ305">
            <v>45132</v>
          </cell>
          <cell r="DR305">
            <v>7</v>
          </cell>
          <cell r="DS305">
            <v>7</v>
          </cell>
          <cell r="DU305">
            <v>45139</v>
          </cell>
          <cell r="DV305">
            <v>45121</v>
          </cell>
          <cell r="DW305">
            <v>45139</v>
          </cell>
          <cell r="DX305" t="str">
            <v>Aug 23 Week 1</v>
          </cell>
          <cell r="DY305" t="str">
            <v>30-07-2023
01-08-2023
02-08-2023</v>
          </cell>
          <cell r="DZ305">
            <v>45140</v>
          </cell>
          <cell r="EA305" t="str">
            <v>Aug 23 Week 1</v>
          </cell>
          <cell r="EB305" t="str">
            <v>Backlog</v>
          </cell>
          <cell r="ED305" t="str">
            <v/>
          </cell>
          <cell r="EE305" t="str">
            <v/>
          </cell>
          <cell r="EF305">
            <v>1</v>
          </cell>
          <cell r="EG305">
            <v>1</v>
          </cell>
          <cell r="FD305">
            <v>1</v>
          </cell>
          <cell r="FE305" t="str">
            <v>0 to 3 Days</v>
          </cell>
          <cell r="FF305">
            <v>19</v>
          </cell>
          <cell r="FG305" t="str">
            <v>16 to 31 Days</v>
          </cell>
          <cell r="FH305" t="str">
            <v>Done</v>
          </cell>
          <cell r="FI305" t="str">
            <v>Done</v>
          </cell>
          <cell r="FJ305" t="str">
            <v>NA</v>
          </cell>
          <cell r="FK305">
            <v>45323</v>
          </cell>
          <cell r="FM305" t="str">
            <v/>
          </cell>
          <cell r="GA305" t="str">
            <v>28-07-2023
21-12-2023</v>
          </cell>
          <cell r="GC305">
            <v>45131</v>
          </cell>
          <cell r="GG305" t="str">
            <v>2023-2024</v>
          </cell>
        </row>
        <row r="306">
          <cell r="E306" t="str">
            <v>GF, Jindal Complex, hadbast No204.   , Khasra No34822,349 MIN, Circular Road, , Khewat No. 1109/1072, Khatoni No. 1753 , Adj Indian Village Patiala Punjab , Nabha , 147201</v>
          </cell>
          <cell r="F306" t="str">
            <v>10. Launched</v>
          </cell>
          <cell r="G306" t="str">
            <v>SPPBNAN3898</v>
          </cell>
          <cell r="H306" t="str">
            <v>PB-SM-NBH-3002</v>
          </cell>
          <cell r="I306" t="str">
            <v>TAZB</v>
          </cell>
          <cell r="J306" t="str">
            <v>QGIF</v>
          </cell>
          <cell r="K306" t="str">
            <v xml:space="preserve">N </v>
          </cell>
          <cell r="L306" t="str">
            <v>KC</v>
          </cell>
          <cell r="M306" t="str">
            <v>EPC Ready</v>
          </cell>
          <cell r="P306" t="str">
            <v>Surender Dhaka-7009328484/Yogesh kapoor</v>
          </cell>
          <cell r="Q306" t="str">
            <v>Gaurav Shinde</v>
          </cell>
          <cell r="S306" t="str">
            <v>Punjab</v>
          </cell>
          <cell r="T306" t="str">
            <v>Nabha</v>
          </cell>
          <cell r="U306" t="str">
            <v>Non Premium</v>
          </cell>
          <cell r="V306" t="str">
            <v>Pharma Format</v>
          </cell>
          <cell r="W306">
            <v>400</v>
          </cell>
          <cell r="X306" t="str">
            <v>GF, Jindal Complex, hadbast No204.   , Khasra No34822,349 MIN, Circular Road, , Khewat No. 1109/1072, Khatoni No. 1753 , Adj Indian Village Patiala Punjab , Nabha , 147201</v>
          </cell>
          <cell r="Y306">
            <v>45104</v>
          </cell>
          <cell r="Z306" t="str">
            <v>NA</v>
          </cell>
          <cell r="AB306" t="str">
            <v>NA</v>
          </cell>
          <cell r="AF306" t="str">
            <v>NA</v>
          </cell>
          <cell r="AK306">
            <v>45133</v>
          </cell>
          <cell r="AL306" t="str">
            <v>Received</v>
          </cell>
          <cell r="AM306">
            <v>45128</v>
          </cell>
          <cell r="AO306">
            <v>3</v>
          </cell>
          <cell r="AS306">
            <v>-3</v>
          </cell>
          <cell r="AU306">
            <v>4</v>
          </cell>
          <cell r="AY306">
            <v>-4</v>
          </cell>
          <cell r="BA306">
            <v>5</v>
          </cell>
          <cell r="BE306">
            <v>-5</v>
          </cell>
          <cell r="BG306">
            <v>5</v>
          </cell>
          <cell r="BK306">
            <v>-5</v>
          </cell>
          <cell r="BM306">
            <v>3</v>
          </cell>
          <cell r="BW306" t="str">
            <v>Done</v>
          </cell>
          <cell r="BX306">
            <v>45079</v>
          </cell>
          <cell r="BY306" t="str">
            <v>Approved</v>
          </cell>
          <cell r="CD306">
            <v>45103</v>
          </cell>
          <cell r="CE306">
            <v>45121</v>
          </cell>
          <cell r="CG306" t="str">
            <v>M/s    Brickwood global infracon Pvt. Ltd.</v>
          </cell>
          <cell r="CI306" t="str">
            <v>Issued</v>
          </cell>
          <cell r="DG306" t="str">
            <v>Netmed SDP - Not in Dead Rental</v>
          </cell>
          <cell r="DK306">
            <v>45126</v>
          </cell>
          <cell r="DL306">
            <v>45166</v>
          </cell>
          <cell r="DM306">
            <v>2</v>
          </cell>
          <cell r="DN306" t="str">
            <v>0 to 3 Days</v>
          </cell>
          <cell r="DP306">
            <v>45124</v>
          </cell>
          <cell r="DQ306">
            <v>45128</v>
          </cell>
          <cell r="DR306">
            <v>7</v>
          </cell>
          <cell r="DS306">
            <v>7</v>
          </cell>
          <cell r="DU306">
            <v>45135</v>
          </cell>
          <cell r="DV306">
            <v>45131</v>
          </cell>
          <cell r="DW306">
            <v>45135</v>
          </cell>
          <cell r="DX306" t="str">
            <v>July 23 Week 4</v>
          </cell>
          <cell r="DY306" t="str">
            <v>30-07-2023
01-08-2023
02-08-2023</v>
          </cell>
          <cell r="DZ306">
            <v>45145</v>
          </cell>
          <cell r="EA306" t="str">
            <v>Aug 23 Week 1</v>
          </cell>
          <cell r="EB306" t="str">
            <v>Backlog</v>
          </cell>
          <cell r="ED306" t="str">
            <v/>
          </cell>
          <cell r="EE306" t="str">
            <v/>
          </cell>
          <cell r="EF306">
            <v>1</v>
          </cell>
          <cell r="EG306">
            <v>1</v>
          </cell>
          <cell r="FD306">
            <v>10</v>
          </cell>
          <cell r="FE306" t="str">
            <v>8 to 15 Days</v>
          </cell>
          <cell r="FF306">
            <v>14</v>
          </cell>
          <cell r="FG306" t="str">
            <v>8 to 15 Days</v>
          </cell>
          <cell r="FH306" t="str">
            <v>Done</v>
          </cell>
          <cell r="FI306" t="str">
            <v>Done</v>
          </cell>
          <cell r="FJ306" t="str">
            <v>NA</v>
          </cell>
          <cell r="FK306">
            <v>45307</v>
          </cell>
          <cell r="FM306" t="str">
            <v/>
          </cell>
          <cell r="GA306">
            <v>45141</v>
          </cell>
          <cell r="GC306">
            <v>45128</v>
          </cell>
          <cell r="GG306" t="str">
            <v>2023-2024</v>
          </cell>
        </row>
        <row r="307">
          <cell r="E307" t="str">
            <v>GF Bharti Lawns CTS No11479 15 16 2122  , Tehsil Jalna Distt Jalna , Saklech Nagar Jalna Muncipality  , JALNA , 431203</v>
          </cell>
          <cell r="F307" t="str">
            <v>10. Launched</v>
          </cell>
          <cell r="G307" t="str">
            <v>SPMHJaJ4061</v>
          </cell>
          <cell r="H307" t="str">
            <v>MH-SM-JNA-3002</v>
          </cell>
          <cell r="I307" t="str">
            <v>TXH2</v>
          </cell>
          <cell r="J307" t="str">
            <v>Q9TQ</v>
          </cell>
          <cell r="K307" t="str">
            <v>W</v>
          </cell>
          <cell r="L307" t="str">
            <v>KC</v>
          </cell>
          <cell r="M307" t="str">
            <v>EPC Ready</v>
          </cell>
          <cell r="P307" t="str">
            <v>Subhash Chaudhari-8459614618</v>
          </cell>
          <cell r="Q307" t="str">
            <v>Gaurav Shinde</v>
          </cell>
          <cell r="S307" t="str">
            <v>Maharashtra</v>
          </cell>
          <cell r="T307" t="str">
            <v>Jalna</v>
          </cell>
          <cell r="U307" t="str">
            <v>Non Premium</v>
          </cell>
          <cell r="V307" t="str">
            <v>Pharma Format</v>
          </cell>
          <cell r="W307">
            <v>400</v>
          </cell>
          <cell r="X307" t="str">
            <v>GF Bharti Lawns CTS No11479 15 16 2122  , Tehsil Jalna Distt Jalna , Saklech Nagar Jalna Muncipality  , JALNA , 431203</v>
          </cell>
          <cell r="Y307">
            <v>45104</v>
          </cell>
          <cell r="Z307" t="str">
            <v>NA</v>
          </cell>
          <cell r="AB307" t="str">
            <v>NA</v>
          </cell>
          <cell r="AF307" t="str">
            <v>NA</v>
          </cell>
          <cell r="AK307">
            <v>45133</v>
          </cell>
          <cell r="AL307" t="str">
            <v>Received</v>
          </cell>
          <cell r="AM307">
            <v>45128</v>
          </cell>
          <cell r="AO307">
            <v>3</v>
          </cell>
          <cell r="AS307">
            <v>-3</v>
          </cell>
          <cell r="AU307">
            <v>4</v>
          </cell>
          <cell r="AY307">
            <v>-4</v>
          </cell>
          <cell r="BA307">
            <v>5</v>
          </cell>
          <cell r="BE307">
            <v>-5</v>
          </cell>
          <cell r="BG307">
            <v>5</v>
          </cell>
          <cell r="BK307">
            <v>-5</v>
          </cell>
          <cell r="BM307">
            <v>3</v>
          </cell>
          <cell r="BW307" t="str">
            <v>Done</v>
          </cell>
          <cell r="BX307">
            <v>45079</v>
          </cell>
          <cell r="BY307" t="str">
            <v>Approved</v>
          </cell>
          <cell r="CD307">
            <v>45103</v>
          </cell>
          <cell r="CE307">
            <v>45113</v>
          </cell>
          <cell r="CG307" t="str">
            <v>M/s Saitech Electricals</v>
          </cell>
          <cell r="CI307" t="str">
            <v>Issued</v>
          </cell>
          <cell r="DG307" t="str">
            <v>Netmed SDP - Not in Dead Rental</v>
          </cell>
          <cell r="DK307">
            <v>45120</v>
          </cell>
          <cell r="DL307">
            <v>45106</v>
          </cell>
          <cell r="DM307">
            <v>2</v>
          </cell>
          <cell r="DN307" t="str">
            <v>0 to 3 Days</v>
          </cell>
          <cell r="DP307">
            <v>45116</v>
          </cell>
          <cell r="DQ307">
            <v>45122</v>
          </cell>
          <cell r="DR307">
            <v>7</v>
          </cell>
          <cell r="DS307">
            <v>7</v>
          </cell>
          <cell r="DU307">
            <v>45129</v>
          </cell>
          <cell r="DV307">
            <v>45123</v>
          </cell>
          <cell r="DW307">
            <v>45129</v>
          </cell>
          <cell r="DX307" t="str">
            <v>July 23 Week 4</v>
          </cell>
          <cell r="DY307" t="str">
            <v>30-07-2023
01-08-2023
02-08-2023
03-08-2023</v>
          </cell>
          <cell r="DZ307">
            <v>45141</v>
          </cell>
          <cell r="EA307" t="str">
            <v>Aug 23 Week 1</v>
          </cell>
          <cell r="EB307" t="str">
            <v>Backlog</v>
          </cell>
          <cell r="ED307" t="str">
            <v/>
          </cell>
          <cell r="EE307" t="str">
            <v/>
          </cell>
          <cell r="EF307">
            <v>1</v>
          </cell>
          <cell r="EG307">
            <v>1</v>
          </cell>
          <cell r="FD307">
            <v>12</v>
          </cell>
          <cell r="FE307" t="str">
            <v>8 to 15 Days</v>
          </cell>
          <cell r="FF307">
            <v>18</v>
          </cell>
          <cell r="FG307" t="str">
            <v>16 to 31 Days</v>
          </cell>
          <cell r="FH307" t="str">
            <v>Done</v>
          </cell>
          <cell r="FI307" t="str">
            <v>Done</v>
          </cell>
          <cell r="FJ307" t="str">
            <v>NA</v>
          </cell>
          <cell r="FK307">
            <v>45219</v>
          </cell>
          <cell r="FM307" t="str">
            <v/>
          </cell>
          <cell r="GA307">
            <v>45142</v>
          </cell>
          <cell r="GC307">
            <v>45134</v>
          </cell>
          <cell r="GG307" t="str">
            <v>2023-2024</v>
          </cell>
        </row>
        <row r="308">
          <cell r="E308" t="str">
            <v>GF Patta No 15 Misal No 50/2005-2006  , Tehsil - Phagl Dist - Jaipur , Patta No 92 Village - Renwal  , PHAGI , 303904</v>
          </cell>
          <cell r="F308" t="str">
            <v>9. EPC Ready</v>
          </cell>
          <cell r="G308" t="str">
            <v>SPRJJAJ4134</v>
          </cell>
          <cell r="H308" t="str">
            <v>RJ-SM-PRL-3000</v>
          </cell>
          <cell r="I308" t="str">
            <v>TABP</v>
          </cell>
          <cell r="J308" t="str">
            <v>QEZO</v>
          </cell>
          <cell r="K308" t="str">
            <v xml:space="preserve">N </v>
          </cell>
          <cell r="L308" t="str">
            <v>KC</v>
          </cell>
          <cell r="M308" t="str">
            <v>EPC Ready</v>
          </cell>
          <cell r="P308" t="str">
            <v>Dipesh Chavda-7043349558</v>
          </cell>
          <cell r="Q308" t="str">
            <v>Gaurav Shinde</v>
          </cell>
          <cell r="S308" t="str">
            <v>Rajasthan</v>
          </cell>
          <cell r="T308" t="str">
            <v>Phagi Renwal</v>
          </cell>
          <cell r="U308" t="str">
            <v>Non Premium</v>
          </cell>
          <cell r="V308" t="str">
            <v>Pharma Format</v>
          </cell>
          <cell r="W308">
            <v>400</v>
          </cell>
          <cell r="X308" t="str">
            <v>GF Patta No 15 Misal No 50/2005-2006  , Tehsil - Phagl Dist - Jaipur , Patta No 92 Village - Renwal  , PHAGI , 303904</v>
          </cell>
          <cell r="Y308">
            <v>45104</v>
          </cell>
          <cell r="Z308" t="str">
            <v>NA</v>
          </cell>
          <cell r="AB308" t="str">
            <v>NA</v>
          </cell>
          <cell r="AF308" t="str">
            <v>NA</v>
          </cell>
          <cell r="AK308">
            <v>45133</v>
          </cell>
          <cell r="AL308" t="str">
            <v>Received</v>
          </cell>
          <cell r="AM308">
            <v>45128</v>
          </cell>
          <cell r="AO308">
            <v>3</v>
          </cell>
          <cell r="AS308">
            <v>-3</v>
          </cell>
          <cell r="AU308">
            <v>4</v>
          </cell>
          <cell r="AY308">
            <v>-4</v>
          </cell>
          <cell r="BA308">
            <v>5</v>
          </cell>
          <cell r="BE308">
            <v>-5</v>
          </cell>
          <cell r="BG308">
            <v>5</v>
          </cell>
          <cell r="BK308">
            <v>-5</v>
          </cell>
          <cell r="BM308">
            <v>3</v>
          </cell>
          <cell r="BP308">
            <v>3</v>
          </cell>
          <cell r="BW308" t="str">
            <v>Done</v>
          </cell>
          <cell r="BX308">
            <v>45079</v>
          </cell>
          <cell r="BY308" t="str">
            <v>Approved</v>
          </cell>
          <cell r="CD308">
            <v>45103</v>
          </cell>
          <cell r="CE308">
            <v>45112</v>
          </cell>
          <cell r="CG308" t="str">
            <v>TLP SERVICE PRIVATE LIMITED</v>
          </cell>
          <cell r="CI308" t="str">
            <v>Issued</v>
          </cell>
          <cell r="DG308" t="str">
            <v>Netmed SDP - Not in Dead Rental</v>
          </cell>
          <cell r="DK308">
            <v>45130</v>
          </cell>
          <cell r="DL308">
            <v>45106</v>
          </cell>
          <cell r="DM308">
            <v>2</v>
          </cell>
          <cell r="DN308" t="str">
            <v>0 to 3 Days</v>
          </cell>
          <cell r="DP308">
            <v>45115</v>
          </cell>
          <cell r="DQ308">
            <v>45132</v>
          </cell>
          <cell r="DR308">
            <v>7</v>
          </cell>
          <cell r="DS308">
            <v>7</v>
          </cell>
          <cell r="DU308">
            <v>45139</v>
          </cell>
          <cell r="DV308">
            <v>45122</v>
          </cell>
          <cell r="DW308">
            <v>45139</v>
          </cell>
          <cell r="DX308" t="str">
            <v>Aug 23 Week 1</v>
          </cell>
          <cell r="DY308" t="str">
            <v>30-07-2023
01-08-2023
02-08-2023
03-08-2023
04-08-2023</v>
          </cell>
          <cell r="DZ308">
            <v>45143</v>
          </cell>
          <cell r="EA308" t="str">
            <v>Aug 23 Week 1</v>
          </cell>
          <cell r="EB308" t="str">
            <v>Backlog</v>
          </cell>
          <cell r="ED308" t="str">
            <v/>
          </cell>
          <cell r="EE308" t="str">
            <v/>
          </cell>
          <cell r="EF308">
            <v>1</v>
          </cell>
          <cell r="EG308">
            <v>1</v>
          </cell>
          <cell r="FD308">
            <v>4</v>
          </cell>
          <cell r="FE308" t="str">
            <v>4 to 7 Days</v>
          </cell>
          <cell r="FF308">
            <v>21</v>
          </cell>
          <cell r="FG308" t="str">
            <v>16 to 31 Days</v>
          </cell>
          <cell r="FH308" t="str">
            <v>Done</v>
          </cell>
          <cell r="FI308" t="str">
            <v>Done</v>
          </cell>
          <cell r="FJ308" t="str">
            <v>NA</v>
          </cell>
          <cell r="FK308">
            <v>45222</v>
          </cell>
          <cell r="FM308" t="str">
            <v/>
          </cell>
          <cell r="GA308">
            <v>45142</v>
          </cell>
          <cell r="GC308">
            <v>45131</v>
          </cell>
          <cell r="GG308" t="str">
            <v>2023-2024</v>
          </cell>
        </row>
        <row r="309">
          <cell r="E309" t="str">
            <v>GF  Khata no. 2768/2706 Site No 11/A782  , Hobli Taluk- Bangalore east , Property no. 44/1 Village-Bidarahalli  , BANGALORE , 560049</v>
          </cell>
          <cell r="F309" t="str">
            <v>9. EPC Ready</v>
          </cell>
          <cell r="G309" t="str">
            <v>SPKABAP4196</v>
          </cell>
          <cell r="H309" t="str">
            <v>KR-SM-BAN-3101</v>
          </cell>
          <cell r="I309" t="str">
            <v>T1WN</v>
          </cell>
          <cell r="J309" t="str">
            <v>Q3H8</v>
          </cell>
          <cell r="K309" t="str">
            <v>S</v>
          </cell>
          <cell r="L309" t="str">
            <v>AK</v>
          </cell>
          <cell r="M309" t="str">
            <v>EPC Ready</v>
          </cell>
          <cell r="N309" t="str">
            <v>N Kalyankumar</v>
          </cell>
          <cell r="O309" t="str">
            <v>Sreekanth Bijjhalli</v>
          </cell>
          <cell r="P309" t="str">
            <v>Sreekanth.Bijjhalli-9900039061</v>
          </cell>
          <cell r="Q309" t="str">
            <v>Gaurav Shinde</v>
          </cell>
          <cell r="S309" t="str">
            <v>Karnataka</v>
          </cell>
          <cell r="T309" t="str">
            <v>Bangalore</v>
          </cell>
          <cell r="U309" t="str">
            <v>Non Premium</v>
          </cell>
          <cell r="V309" t="str">
            <v>Pharma Format</v>
          </cell>
          <cell r="W309">
            <v>406</v>
          </cell>
          <cell r="X309" t="str">
            <v>GF  Khata no. 2768/2706 Site No 11/A782  , Hobli Taluk- Bangalore east , Property no. 44/1 Village-Bidarahalli  , BANGALORE , 560049</v>
          </cell>
          <cell r="Y309">
            <v>45166</v>
          </cell>
          <cell r="Z309" t="str">
            <v>NA</v>
          </cell>
          <cell r="AB309" t="str">
            <v>NA</v>
          </cell>
          <cell r="AF309" t="str">
            <v>NA</v>
          </cell>
          <cell r="AK309">
            <v>45184</v>
          </cell>
          <cell r="AL309" t="str">
            <v>Received</v>
          </cell>
          <cell r="AO309">
            <v>3</v>
          </cell>
          <cell r="AS309">
            <v>-3</v>
          </cell>
          <cell r="AU309">
            <v>4</v>
          </cell>
          <cell r="AY309">
            <v>-4</v>
          </cell>
          <cell r="BA309">
            <v>5</v>
          </cell>
          <cell r="BE309">
            <v>-5</v>
          </cell>
          <cell r="BG309">
            <v>5</v>
          </cell>
          <cell r="BK309">
            <v>-5</v>
          </cell>
          <cell r="BM309">
            <v>3</v>
          </cell>
          <cell r="BP309">
            <v>3</v>
          </cell>
          <cell r="BW309" t="str">
            <v>Done</v>
          </cell>
          <cell r="BX309">
            <v>45079</v>
          </cell>
          <cell r="BY309" t="str">
            <v>Approved</v>
          </cell>
          <cell r="CD309">
            <v>45163</v>
          </cell>
          <cell r="CE309">
            <v>45220</v>
          </cell>
          <cell r="CG309" t="str">
            <v>M/s. Aryan Amit</v>
          </cell>
          <cell r="CI309" t="str">
            <v>Issued</v>
          </cell>
          <cell r="DG309" t="str">
            <v>Netmed SDP - Not in Dead Rental</v>
          </cell>
          <cell r="DK309">
            <v>45231</v>
          </cell>
          <cell r="DM309">
            <v>2</v>
          </cell>
          <cell r="DN309" t="str">
            <v>0 to 3 Days</v>
          </cell>
          <cell r="DP309">
            <v>45223</v>
          </cell>
          <cell r="DQ309">
            <v>45233</v>
          </cell>
          <cell r="DR309">
            <v>7</v>
          </cell>
          <cell r="DS309">
            <v>7</v>
          </cell>
          <cell r="DU309">
            <v>45240</v>
          </cell>
          <cell r="DV309">
            <v>45230</v>
          </cell>
          <cell r="DW309">
            <v>45240</v>
          </cell>
          <cell r="DX309" t="str">
            <v>Nov 23 Week 2</v>
          </cell>
          <cell r="DZ309">
            <v>45322</v>
          </cell>
          <cell r="EA309" t="str">
            <v>Jan 24 Week 5</v>
          </cell>
          <cell r="EB309" t="str">
            <v>Backlog</v>
          </cell>
          <cell r="ED309" t="str">
            <v/>
          </cell>
          <cell r="EE309" t="str">
            <v/>
          </cell>
          <cell r="EF309">
            <v>1</v>
          </cell>
          <cell r="EG309">
            <v>1</v>
          </cell>
          <cell r="FD309">
            <v>82</v>
          </cell>
          <cell r="FE309" t="str">
            <v>62 to 90 Days</v>
          </cell>
          <cell r="FF309">
            <v>92</v>
          </cell>
          <cell r="FG309" t="str">
            <v>More Than 90  Days</v>
          </cell>
          <cell r="FH309" t="str">
            <v>Done</v>
          </cell>
          <cell r="FI309" t="str">
            <v>Done</v>
          </cell>
          <cell r="FJ309" t="str">
            <v>NA</v>
          </cell>
          <cell r="FK309">
            <v>45419</v>
          </cell>
          <cell r="FM309" t="str">
            <v/>
          </cell>
          <cell r="GA309">
            <v>45322</v>
          </cell>
          <cell r="GC309">
            <v>45227</v>
          </cell>
          <cell r="GG309" t="str">
            <v>2023-2024</v>
          </cell>
        </row>
        <row r="310">
          <cell r="E310" t="str">
            <v>Radha Krishna Tower  , Bank Chirawa , Pilani Road Near Sbi  , CHIRAWA , 333026</v>
          </cell>
          <cell r="F310" t="str">
            <v>10. Launched</v>
          </cell>
          <cell r="G310" t="str">
            <v>SPRJCHC4100</v>
          </cell>
          <cell r="H310" t="str">
            <v>RJ-SM-CRA-3000</v>
          </cell>
          <cell r="I310" t="str">
            <v>TZP4</v>
          </cell>
          <cell r="J310" t="str">
            <v>QD1B</v>
          </cell>
          <cell r="K310" t="str">
            <v xml:space="preserve">N </v>
          </cell>
          <cell r="L310" t="str">
            <v>KC</v>
          </cell>
          <cell r="M310" t="str">
            <v>EPC Ready</v>
          </cell>
          <cell r="P310" t="str">
            <v>Haresh Patil-9909977160</v>
          </cell>
          <cell r="Q310" t="str">
            <v>Gaurav Shinde</v>
          </cell>
          <cell r="S310" t="str">
            <v>Rajasthan</v>
          </cell>
          <cell r="T310" t="str">
            <v>Chirawa</v>
          </cell>
          <cell r="U310" t="str">
            <v>Non Premium</v>
          </cell>
          <cell r="V310" t="str">
            <v>Pharma Format</v>
          </cell>
          <cell r="W310">
            <v>400</v>
          </cell>
          <cell r="X310" t="str">
            <v>Radha Krishna Tower  , Bank Chirawa , Pilani Road Near Sbi  , CHIRAWA , 333026</v>
          </cell>
          <cell r="Y310">
            <v>45104</v>
          </cell>
          <cell r="Z310" t="str">
            <v>NA</v>
          </cell>
          <cell r="AB310" t="str">
            <v>NA</v>
          </cell>
          <cell r="AF310" t="str">
            <v>NA</v>
          </cell>
          <cell r="AK310">
            <v>45133</v>
          </cell>
          <cell r="AL310" t="str">
            <v>Received</v>
          </cell>
          <cell r="AM310">
            <v>45128</v>
          </cell>
          <cell r="AO310">
            <v>3</v>
          </cell>
          <cell r="AS310">
            <v>-3</v>
          </cell>
          <cell r="AU310">
            <v>4</v>
          </cell>
          <cell r="AY310">
            <v>-4</v>
          </cell>
          <cell r="BA310">
            <v>5</v>
          </cell>
          <cell r="BE310">
            <v>-5</v>
          </cell>
          <cell r="BG310">
            <v>5</v>
          </cell>
          <cell r="BK310">
            <v>-5</v>
          </cell>
          <cell r="BM310">
            <v>3</v>
          </cell>
          <cell r="BW310" t="str">
            <v>Done</v>
          </cell>
          <cell r="BX310">
            <v>45079</v>
          </cell>
          <cell r="BY310" t="str">
            <v>Approved</v>
          </cell>
          <cell r="CD310">
            <v>45103</v>
          </cell>
          <cell r="CE310">
            <v>45113</v>
          </cell>
          <cell r="CG310" t="str">
            <v>KID Corporation</v>
          </cell>
          <cell r="CI310" t="str">
            <v>Issued</v>
          </cell>
          <cell r="DG310" t="str">
            <v>Netmed SDP - Not in Dead Rental</v>
          </cell>
          <cell r="DK310">
            <v>45130</v>
          </cell>
          <cell r="DL310">
            <v>45106</v>
          </cell>
          <cell r="DM310">
            <v>2</v>
          </cell>
          <cell r="DN310" t="str">
            <v>0 to 3 Days</v>
          </cell>
          <cell r="DP310">
            <v>45116</v>
          </cell>
          <cell r="DQ310">
            <v>45132</v>
          </cell>
          <cell r="DR310">
            <v>7</v>
          </cell>
          <cell r="DS310">
            <v>7</v>
          </cell>
          <cell r="DU310">
            <v>45139</v>
          </cell>
          <cell r="DV310">
            <v>45123</v>
          </cell>
          <cell r="DW310">
            <v>45139</v>
          </cell>
          <cell r="DX310" t="str">
            <v>Aug 23 Week 1</v>
          </cell>
          <cell r="DY310" t="str">
            <v>30-07-2023
03-08-2023
04-08-2023</v>
          </cell>
          <cell r="DZ310">
            <v>45142</v>
          </cell>
          <cell r="EA310" t="str">
            <v>Aug 23 Week 1</v>
          </cell>
          <cell r="EB310" t="str">
            <v>Backlog</v>
          </cell>
          <cell r="ED310" t="str">
            <v/>
          </cell>
          <cell r="EE310" t="str">
            <v/>
          </cell>
          <cell r="EF310">
            <v>1</v>
          </cell>
          <cell r="EG310">
            <v>1</v>
          </cell>
          <cell r="FD310">
            <v>3</v>
          </cell>
          <cell r="FE310" t="str">
            <v>0 to 3 Days</v>
          </cell>
          <cell r="FF310">
            <v>19</v>
          </cell>
          <cell r="FG310" t="str">
            <v>16 to 31 Days</v>
          </cell>
          <cell r="FH310" t="str">
            <v>Done</v>
          </cell>
          <cell r="FI310" t="str">
            <v>Done</v>
          </cell>
          <cell r="FJ310" t="str">
            <v>NA</v>
          </cell>
          <cell r="FK310">
            <v>45275</v>
          </cell>
          <cell r="FM310" t="str">
            <v/>
          </cell>
          <cell r="GA310">
            <v>45141</v>
          </cell>
          <cell r="GC310">
            <v>45131</v>
          </cell>
          <cell r="GG310" t="str">
            <v>2023-2024</v>
          </cell>
        </row>
        <row r="311">
          <cell r="E311" t="str">
            <v>Rrl Gf Khasra No 306 20  , Manendragarh Dist Korea , Ph No 27 Village Ric &amp; Tehsil  , MANENDRAGARH , 497442</v>
          </cell>
          <cell r="F311" t="str">
            <v>9. EPC Ready</v>
          </cell>
          <cell r="G311" t="str">
            <v xml:space="preserve">SPCGMAM3888 </v>
          </cell>
          <cell r="H311" t="str">
            <v>MP-SM-MEH-3001</v>
          </cell>
          <cell r="I311" t="str">
            <v>TAWN</v>
          </cell>
          <cell r="J311" t="str">
            <v>QGEA</v>
          </cell>
          <cell r="K311" t="str">
            <v>W</v>
          </cell>
          <cell r="L311" t="str">
            <v>KC</v>
          </cell>
          <cell r="M311" t="str">
            <v>EPC Ready</v>
          </cell>
          <cell r="P311" t="str">
            <v>Vivek Surjagade-9770016041</v>
          </cell>
          <cell r="Q311" t="str">
            <v>Gaurav Shinde</v>
          </cell>
          <cell r="S311" t="str">
            <v>Chattisgarh</v>
          </cell>
          <cell r="T311" t="str">
            <v>Manedragarh</v>
          </cell>
          <cell r="U311" t="str">
            <v>Non Premium</v>
          </cell>
          <cell r="V311" t="str">
            <v>Pharma Format</v>
          </cell>
          <cell r="W311">
            <v>400</v>
          </cell>
          <cell r="X311" t="str">
            <v>Rrl Gf Khasra No 306 20  , Manendragarh Dist Korea , Ph No 27 Village Ric &amp; Tehsil  , MANENDRAGARH , 497442</v>
          </cell>
          <cell r="Y311">
            <v>45111</v>
          </cell>
          <cell r="Z311" t="str">
            <v>NA</v>
          </cell>
          <cell r="AB311" t="str">
            <v>NA</v>
          </cell>
          <cell r="AF311" t="str">
            <v>NA</v>
          </cell>
          <cell r="AK311">
            <v>45133</v>
          </cell>
          <cell r="AL311" t="str">
            <v>Received</v>
          </cell>
          <cell r="AM311">
            <v>45128</v>
          </cell>
          <cell r="AO311">
            <v>3</v>
          </cell>
          <cell r="AS311">
            <v>-3</v>
          </cell>
          <cell r="AU311">
            <v>4</v>
          </cell>
          <cell r="AY311">
            <v>-4</v>
          </cell>
          <cell r="BA311">
            <v>5</v>
          </cell>
          <cell r="BE311">
            <v>-5</v>
          </cell>
          <cell r="BG311">
            <v>5</v>
          </cell>
          <cell r="BK311">
            <v>-5</v>
          </cell>
          <cell r="BM311">
            <v>3</v>
          </cell>
          <cell r="BP311">
            <v>3</v>
          </cell>
          <cell r="BW311" t="str">
            <v>Done</v>
          </cell>
          <cell r="BX311">
            <v>45079</v>
          </cell>
          <cell r="BY311" t="str">
            <v>Approved</v>
          </cell>
          <cell r="CD311">
            <v>45103</v>
          </cell>
          <cell r="CE311">
            <v>45113</v>
          </cell>
          <cell r="CG311" t="str">
            <v>M/s VAIBHAVI ENTERPRISES</v>
          </cell>
          <cell r="CI311" t="str">
            <v>Issued</v>
          </cell>
          <cell r="DG311" t="str">
            <v>Netmed SDP - Not in Dead Rental</v>
          </cell>
          <cell r="DK311">
            <v>45120</v>
          </cell>
          <cell r="DL311">
            <v>45110</v>
          </cell>
          <cell r="DM311">
            <v>2</v>
          </cell>
          <cell r="DN311" t="str">
            <v>0 to 3 Days</v>
          </cell>
          <cell r="DP311">
            <v>45116</v>
          </cell>
          <cell r="DQ311">
            <v>45122</v>
          </cell>
          <cell r="DR311">
            <v>7</v>
          </cell>
          <cell r="DS311">
            <v>7</v>
          </cell>
          <cell r="DU311">
            <v>45129</v>
          </cell>
          <cell r="DV311">
            <v>45123</v>
          </cell>
          <cell r="DW311">
            <v>45129</v>
          </cell>
          <cell r="DX311" t="str">
            <v>July 23 Week 4</v>
          </cell>
          <cell r="DY311" t="str">
            <v>30-07-2023
05-08-2023
10-08-2023
12-08-2023</v>
          </cell>
          <cell r="DZ311">
            <v>45151</v>
          </cell>
          <cell r="EA311" t="str">
            <v>Aug 23 Week 2</v>
          </cell>
          <cell r="EB311" t="str">
            <v>Backlog</v>
          </cell>
          <cell r="ED311" t="str">
            <v/>
          </cell>
          <cell r="EE311" t="str">
            <v/>
          </cell>
          <cell r="EF311">
            <v>1</v>
          </cell>
          <cell r="EG311">
            <v>1</v>
          </cell>
          <cell r="FD311">
            <v>22</v>
          </cell>
          <cell r="FE311" t="str">
            <v>16 to 31 Days</v>
          </cell>
          <cell r="FF311">
            <v>28</v>
          </cell>
          <cell r="FG311" t="str">
            <v>16 to 31 Days</v>
          </cell>
          <cell r="FH311" t="str">
            <v>done</v>
          </cell>
          <cell r="FJ311" t="str">
            <v>NA</v>
          </cell>
          <cell r="FK311">
            <v>45033</v>
          </cell>
          <cell r="FM311" t="str">
            <v/>
          </cell>
          <cell r="GA311">
            <v>45163</v>
          </cell>
          <cell r="GC311">
            <v>45131</v>
          </cell>
          <cell r="GG311" t="str">
            <v>2023-2024</v>
          </cell>
        </row>
        <row r="312">
          <cell r="E312" t="str">
            <v>GF, Annapurna Complex, Khasra No.  , No.21, Ward No. 12, Dist - Satna , 1322/1/G/2, Mouza &amp; Tehsil-Maihar, PC  , Maihar , 485771</v>
          </cell>
          <cell r="F312" t="str">
            <v>10. Launched</v>
          </cell>
          <cell r="G312" t="str">
            <v>SPMPSAS3736</v>
          </cell>
          <cell r="H312" t="str">
            <v>MP-SM-MAI-3000</v>
          </cell>
          <cell r="I312" t="str">
            <v>TZDT</v>
          </cell>
          <cell r="J312" t="str">
            <v>QCXD</v>
          </cell>
          <cell r="K312" t="str">
            <v>W</v>
          </cell>
          <cell r="L312" t="str">
            <v>KC</v>
          </cell>
          <cell r="M312" t="str">
            <v>EPC Ready</v>
          </cell>
          <cell r="P312" t="str">
            <v xml:space="preserve">
Sushil Mishra
-9305110045
</v>
          </cell>
          <cell r="Q312" t="str">
            <v>Gaurav Shinde</v>
          </cell>
          <cell r="S312" t="str">
            <v>Madhya Pradesh</v>
          </cell>
          <cell r="T312" t="str">
            <v>Maihar</v>
          </cell>
          <cell r="U312" t="str">
            <v>Non Premium</v>
          </cell>
          <cell r="V312" t="str">
            <v>Pharma Format</v>
          </cell>
          <cell r="W312">
            <v>400</v>
          </cell>
          <cell r="X312" t="str">
            <v>GF, Annapurna Complex, Khasra No.  , No.21, Ward No. 12, Dist - Satna , 1322/1/G/2, Mouza &amp; Tehsil-Maihar, PC  , Maihar , 485771</v>
          </cell>
          <cell r="Y312">
            <v>45104</v>
          </cell>
          <cell r="Z312" t="str">
            <v>NA</v>
          </cell>
          <cell r="AB312" t="str">
            <v>NA</v>
          </cell>
          <cell r="AF312" t="str">
            <v>NA</v>
          </cell>
          <cell r="AK312">
            <v>45133</v>
          </cell>
          <cell r="AL312" t="str">
            <v>Received</v>
          </cell>
          <cell r="AM312">
            <v>45128</v>
          </cell>
          <cell r="AO312">
            <v>3</v>
          </cell>
          <cell r="AS312">
            <v>-3</v>
          </cell>
          <cell r="AU312">
            <v>4</v>
          </cell>
          <cell r="AY312">
            <v>-4</v>
          </cell>
          <cell r="BA312">
            <v>5</v>
          </cell>
          <cell r="BE312">
            <v>-5</v>
          </cell>
          <cell r="BG312">
            <v>5</v>
          </cell>
          <cell r="BK312">
            <v>-5</v>
          </cell>
          <cell r="BM312">
            <v>3</v>
          </cell>
          <cell r="BW312" t="str">
            <v>Done</v>
          </cell>
          <cell r="BX312">
            <v>45079</v>
          </cell>
          <cell r="BY312" t="str">
            <v>Approved</v>
          </cell>
          <cell r="CD312">
            <v>45103</v>
          </cell>
          <cell r="CE312">
            <v>45110</v>
          </cell>
          <cell r="CG312" t="str">
            <v>M/s. KP Enterprises</v>
          </cell>
          <cell r="CI312" t="str">
            <v>Issued</v>
          </cell>
          <cell r="DG312" t="str">
            <v>Netmed SDP - Not in Dead Rental</v>
          </cell>
          <cell r="DK312">
            <v>45116</v>
          </cell>
          <cell r="DL312">
            <v>45105</v>
          </cell>
          <cell r="DM312">
            <v>2</v>
          </cell>
          <cell r="DN312" t="str">
            <v>0 to 3 Days</v>
          </cell>
          <cell r="DP312">
            <v>45113</v>
          </cell>
          <cell r="DQ312">
            <v>45118</v>
          </cell>
          <cell r="DR312">
            <v>7</v>
          </cell>
          <cell r="DS312">
            <v>7</v>
          </cell>
          <cell r="DU312">
            <v>45125</v>
          </cell>
          <cell r="DV312">
            <v>45120</v>
          </cell>
          <cell r="DW312">
            <v>45125</v>
          </cell>
          <cell r="DX312" t="str">
            <v>July 23 Week 3</v>
          </cell>
          <cell r="DY312" t="str">
            <v>30-07-2023
05-08-2023
10-08-2023
17-08-2023</v>
          </cell>
          <cell r="DZ312">
            <v>45157</v>
          </cell>
          <cell r="EA312" t="str">
            <v>Aug 23 Week 3</v>
          </cell>
          <cell r="EB312" t="str">
            <v>Backlog</v>
          </cell>
          <cell r="ED312" t="str">
            <v/>
          </cell>
          <cell r="EE312" t="str">
            <v/>
          </cell>
          <cell r="EF312">
            <v>1</v>
          </cell>
          <cell r="EG312">
            <v>1</v>
          </cell>
          <cell r="FD312">
            <v>32</v>
          </cell>
          <cell r="FE312" t="str">
            <v>31 to 61 Days</v>
          </cell>
          <cell r="FF312">
            <v>37</v>
          </cell>
          <cell r="FG312" t="str">
            <v>31 to 61 Days</v>
          </cell>
          <cell r="FH312" t="str">
            <v>Done</v>
          </cell>
          <cell r="FI312" t="str">
            <v>Done</v>
          </cell>
          <cell r="FJ312" t="str">
            <v>NA</v>
          </cell>
          <cell r="FK312">
            <v>45219</v>
          </cell>
          <cell r="FM312" t="str">
            <v/>
          </cell>
          <cell r="GA312">
            <v>45139</v>
          </cell>
          <cell r="GC312">
            <v>45131</v>
          </cell>
          <cell r="GG312" t="str">
            <v>2023-2024</v>
          </cell>
        </row>
        <row r="313">
          <cell r="E313" t="str">
            <v>GF, Khasra No 1070/3/1  , Teshil and Distt Jashpur , Jashpur PH No. 7, RIC Jashpur  , Jashpur , 496331</v>
          </cell>
          <cell r="F313" t="str">
            <v>9. EPC Ready</v>
          </cell>
          <cell r="G313" t="str">
            <v>SPCGJAJ4214</v>
          </cell>
          <cell r="H313" t="str">
            <v>MP-SM-JHR-3000</v>
          </cell>
          <cell r="I313" t="str">
            <v>TYSA</v>
          </cell>
          <cell r="J313" t="str">
            <v>QBZE</v>
          </cell>
          <cell r="K313" t="str">
            <v>W</v>
          </cell>
          <cell r="L313" t="str">
            <v>KC</v>
          </cell>
          <cell r="M313" t="str">
            <v>EPC Ready</v>
          </cell>
          <cell r="P313" t="str">
            <v>Vivek Surjagade-9770016041</v>
          </cell>
          <cell r="Q313" t="str">
            <v>Gaurav Shinde</v>
          </cell>
          <cell r="S313" t="str">
            <v>Chattisgarh</v>
          </cell>
          <cell r="T313" t="str">
            <v>JashpurNagar</v>
          </cell>
          <cell r="U313" t="str">
            <v>Non Premium</v>
          </cell>
          <cell r="V313" t="str">
            <v>Pharma Format</v>
          </cell>
          <cell r="W313">
            <v>400</v>
          </cell>
          <cell r="X313" t="str">
            <v>GF, Khasra No 1070/3/1  , Teshil and Distt Jashpur , Jashpur PH No. 7, RIC Jashpur  , Jashpur , 496331</v>
          </cell>
          <cell r="Y313">
            <v>45111</v>
          </cell>
          <cell r="Z313" t="str">
            <v>NA</v>
          </cell>
          <cell r="AB313" t="str">
            <v>NA</v>
          </cell>
          <cell r="AF313" t="str">
            <v>NA</v>
          </cell>
          <cell r="AK313">
            <v>45133</v>
          </cell>
          <cell r="AL313" t="str">
            <v>Received</v>
          </cell>
          <cell r="AM313">
            <v>45128</v>
          </cell>
          <cell r="AO313">
            <v>3</v>
          </cell>
          <cell r="AS313">
            <v>-3</v>
          </cell>
          <cell r="AU313">
            <v>4</v>
          </cell>
          <cell r="AY313">
            <v>-4</v>
          </cell>
          <cell r="BA313">
            <v>5</v>
          </cell>
          <cell r="BE313">
            <v>-5</v>
          </cell>
          <cell r="BG313">
            <v>5</v>
          </cell>
          <cell r="BK313">
            <v>-5</v>
          </cell>
          <cell r="BM313">
            <v>3</v>
          </cell>
          <cell r="BP313">
            <v>3</v>
          </cell>
          <cell r="BW313" t="str">
            <v>Done</v>
          </cell>
          <cell r="BX313">
            <v>45079</v>
          </cell>
          <cell r="BY313" t="str">
            <v>Approved</v>
          </cell>
          <cell r="CD313">
            <v>45103</v>
          </cell>
          <cell r="CE313">
            <v>45113</v>
          </cell>
          <cell r="CG313" t="str">
            <v>M/s VAIBHAVI ENTERPRISES</v>
          </cell>
          <cell r="CI313" t="str">
            <v>Issued</v>
          </cell>
          <cell r="DG313" t="str">
            <v>Netmed SDP - Not in Dead Rental</v>
          </cell>
          <cell r="DK313">
            <v>45130</v>
          </cell>
          <cell r="DL313">
            <v>45166</v>
          </cell>
          <cell r="DM313">
            <v>2</v>
          </cell>
          <cell r="DN313" t="str">
            <v>0 to 3 Days</v>
          </cell>
          <cell r="DP313">
            <v>45116</v>
          </cell>
          <cell r="DQ313">
            <v>45132</v>
          </cell>
          <cell r="DR313">
            <v>7</v>
          </cell>
          <cell r="DS313">
            <v>7</v>
          </cell>
          <cell r="DU313">
            <v>45139</v>
          </cell>
          <cell r="DV313">
            <v>45123</v>
          </cell>
          <cell r="DW313">
            <v>45139</v>
          </cell>
          <cell r="DX313" t="str">
            <v>Aug 23 Week 1</v>
          </cell>
          <cell r="DY313" t="str">
            <v xml:space="preserve">30-07-2023
05-08-2023
10-08-2023
17-08-2023
</v>
          </cell>
          <cell r="DZ313">
            <v>45155</v>
          </cell>
          <cell r="EA313" t="str">
            <v>Aug 23 Week 3</v>
          </cell>
          <cell r="EB313" t="str">
            <v>Backlog</v>
          </cell>
          <cell r="ED313" t="str">
            <v/>
          </cell>
          <cell r="EE313" t="str">
            <v/>
          </cell>
          <cell r="EF313">
            <v>1</v>
          </cell>
          <cell r="EG313">
            <v>1</v>
          </cell>
          <cell r="FD313">
            <v>16</v>
          </cell>
          <cell r="FE313" t="str">
            <v>16 to 31 Days</v>
          </cell>
          <cell r="FF313">
            <v>32</v>
          </cell>
          <cell r="FG313" t="str">
            <v>31 to 61 Days</v>
          </cell>
          <cell r="FH313" t="str">
            <v>Done</v>
          </cell>
          <cell r="FI313" t="str">
            <v>Done</v>
          </cell>
          <cell r="FJ313" t="str">
            <v>NA</v>
          </cell>
          <cell r="FK313">
            <v>45219</v>
          </cell>
          <cell r="FM313" t="str">
            <v/>
          </cell>
          <cell r="GA313">
            <v>45155</v>
          </cell>
          <cell r="GC313">
            <v>45133</v>
          </cell>
          <cell r="GG313" t="str">
            <v>2023-2024</v>
          </cell>
        </row>
        <row r="314">
          <cell r="E314" t="str">
            <v>Suraj Market Barwaha West &amp; East Part Of  , Narmada Road Tehsil Barwaha District , Padat Patha House No 7 Old Vinoba Marg  , BARWAHA , 451115</v>
          </cell>
          <cell r="F314" t="str">
            <v>9. EPC Ready</v>
          </cell>
          <cell r="G314" t="str">
            <v>SPGJBAB3920</v>
          </cell>
          <cell r="H314" t="str">
            <v>MP-SM-BRH-3000</v>
          </cell>
          <cell r="I314" t="str">
            <v>TYIW</v>
          </cell>
          <cell r="J314" t="str">
            <v>QBOV</v>
          </cell>
          <cell r="K314" t="str">
            <v>W</v>
          </cell>
          <cell r="L314" t="str">
            <v>KC</v>
          </cell>
          <cell r="M314" t="str">
            <v>EPC Ready</v>
          </cell>
          <cell r="P314" t="str">
            <v>Subhro Ghosh-7595025194</v>
          </cell>
          <cell r="Q314" t="str">
            <v>Gaurav Shinde</v>
          </cell>
          <cell r="S314" t="str">
            <v>Madhya Pradesh</v>
          </cell>
          <cell r="T314" t="str">
            <v>Barwaha</v>
          </cell>
          <cell r="U314" t="str">
            <v>Non Premium</v>
          </cell>
          <cell r="V314" t="str">
            <v>Pharma Format</v>
          </cell>
          <cell r="W314">
            <v>400</v>
          </cell>
          <cell r="X314" t="str">
            <v>Suraj Market Barwaha West &amp; East Part Of  , Narmada Road Tehsil Barwaha District , Padat Patha House No 7 Old Vinoba Marg  , BARWAHA , 451115</v>
          </cell>
          <cell r="Y314">
            <v>45159</v>
          </cell>
          <cell r="Z314" t="str">
            <v>NA</v>
          </cell>
          <cell r="AB314" t="str">
            <v>NA</v>
          </cell>
          <cell r="AF314" t="str">
            <v>NA</v>
          </cell>
          <cell r="AK314">
            <v>45147</v>
          </cell>
          <cell r="AL314" t="str">
            <v>Received</v>
          </cell>
          <cell r="AM314">
            <v>45142</v>
          </cell>
          <cell r="AO314">
            <v>3</v>
          </cell>
          <cell r="AS314">
            <v>-3</v>
          </cell>
          <cell r="AU314">
            <v>4</v>
          </cell>
          <cell r="AY314">
            <v>-4</v>
          </cell>
          <cell r="BA314">
            <v>5</v>
          </cell>
          <cell r="BE314">
            <v>-5</v>
          </cell>
          <cell r="BG314">
            <v>5</v>
          </cell>
          <cell r="BK314">
            <v>-5</v>
          </cell>
          <cell r="BM314">
            <v>3</v>
          </cell>
          <cell r="BP314">
            <v>3</v>
          </cell>
          <cell r="BW314" t="str">
            <v>Done</v>
          </cell>
          <cell r="BX314">
            <v>45079</v>
          </cell>
          <cell r="BY314" t="str">
            <v>Approved</v>
          </cell>
          <cell r="CD314">
            <v>45163</v>
          </cell>
          <cell r="CE314">
            <v>45169</v>
          </cell>
          <cell r="CG314" t="str">
            <v>kpenterprisesbpl@gmail.com</v>
          </cell>
          <cell r="CI314" t="str">
            <v>Issued</v>
          </cell>
          <cell r="DG314" t="str">
            <v>Netmed SDP - Not in Dead Rental</v>
          </cell>
          <cell r="DK314">
            <v>45185</v>
          </cell>
          <cell r="DL314">
            <v>45165</v>
          </cell>
          <cell r="DM314">
            <v>2</v>
          </cell>
          <cell r="DN314" t="str">
            <v>0 to 3 Days</v>
          </cell>
          <cell r="DP314">
            <v>45172</v>
          </cell>
          <cell r="DQ314">
            <v>45187</v>
          </cell>
          <cell r="DR314">
            <v>7</v>
          </cell>
          <cell r="DS314">
            <v>7</v>
          </cell>
          <cell r="DU314">
            <v>45194</v>
          </cell>
          <cell r="DV314">
            <v>45179</v>
          </cell>
          <cell r="DW314">
            <v>45194</v>
          </cell>
          <cell r="DX314" t="str">
            <v>Sep 23 Week 4</v>
          </cell>
          <cell r="DY314">
            <v>45199</v>
          </cell>
          <cell r="DZ314">
            <v>45200</v>
          </cell>
          <cell r="EA314" t="str">
            <v>Oct 23 Week 1</v>
          </cell>
          <cell r="EB314" t="str">
            <v>Backlog</v>
          </cell>
          <cell r="ED314" t="str">
            <v/>
          </cell>
          <cell r="EE314" t="str">
            <v/>
          </cell>
          <cell r="EF314">
            <v>1</v>
          </cell>
          <cell r="EG314">
            <v>1</v>
          </cell>
          <cell r="FD314">
            <v>6</v>
          </cell>
          <cell r="FE314" t="str">
            <v>4 to 7 Days</v>
          </cell>
          <cell r="FF314">
            <v>21</v>
          </cell>
          <cell r="FG314" t="str">
            <v>16 to 31 Days</v>
          </cell>
          <cell r="FH314" t="str">
            <v>Done</v>
          </cell>
          <cell r="FJ314" t="str">
            <v>NA</v>
          </cell>
          <cell r="FK314">
            <v>45502</v>
          </cell>
          <cell r="FM314" t="str">
            <v/>
          </cell>
          <cell r="GA314">
            <v>45200</v>
          </cell>
          <cell r="GC314">
            <v>45187</v>
          </cell>
          <cell r="GG314" t="str">
            <v>2023-2024</v>
          </cell>
        </row>
        <row r="315">
          <cell r="E315" t="str">
            <v>GF Plot No 15 Sy No 983  , Dist Mancherial , Chennur Town Muncipallity  , CHENNUR , 504201</v>
          </cell>
          <cell r="F315" t="str">
            <v>9. EPC Ready</v>
          </cell>
          <cell r="G315" t="str">
            <v>SPTSCHC4130</v>
          </cell>
          <cell r="H315" t="str">
            <v>AP-SM-CHE-3000</v>
          </cell>
          <cell r="I315" t="str">
            <v>TWE1</v>
          </cell>
          <cell r="J315" t="str">
            <v>Q6IG</v>
          </cell>
          <cell r="K315" t="str">
            <v xml:space="preserve">E </v>
          </cell>
          <cell r="L315" t="str">
            <v>AK</v>
          </cell>
          <cell r="M315" t="str">
            <v>EPC Ready</v>
          </cell>
          <cell r="O315" t="str">
            <v>Rajshekhar M</v>
          </cell>
          <cell r="Q315" t="str">
            <v>Gaurav Shinde</v>
          </cell>
          <cell r="S315" t="str">
            <v>Telangana</v>
          </cell>
          <cell r="T315" t="str">
            <v>Chennur</v>
          </cell>
          <cell r="U315" t="str">
            <v>Non Premium</v>
          </cell>
          <cell r="V315" t="str">
            <v>Pharma Format</v>
          </cell>
          <cell r="W315">
            <v>400</v>
          </cell>
          <cell r="X315" t="str">
            <v>GF Plot No 15 Sy No 983  , Dist Mancherial , Chennur Town Muncipallity  , CHENNUR , 504201</v>
          </cell>
          <cell r="Y315">
            <v>45166</v>
          </cell>
          <cell r="Z315" t="str">
            <v>NA</v>
          </cell>
          <cell r="AB315" t="str">
            <v>NA</v>
          </cell>
          <cell r="AF315" t="str">
            <v>NA</v>
          </cell>
          <cell r="AK315">
            <v>45163</v>
          </cell>
          <cell r="AL315" t="str">
            <v>Received</v>
          </cell>
          <cell r="AO315">
            <v>3</v>
          </cell>
          <cell r="AS315">
            <v>-3</v>
          </cell>
          <cell r="AU315">
            <v>4</v>
          </cell>
          <cell r="AY315">
            <v>-4</v>
          </cell>
          <cell r="BA315">
            <v>5</v>
          </cell>
          <cell r="BE315">
            <v>-5</v>
          </cell>
          <cell r="BG315">
            <v>5</v>
          </cell>
          <cell r="BK315">
            <v>-5</v>
          </cell>
          <cell r="BM315">
            <v>3</v>
          </cell>
          <cell r="BP315">
            <v>3</v>
          </cell>
          <cell r="BW315" t="str">
            <v>Done</v>
          </cell>
          <cell r="BX315">
            <v>45079</v>
          </cell>
          <cell r="BY315" t="str">
            <v>Approved</v>
          </cell>
          <cell r="CD315">
            <v>45163</v>
          </cell>
          <cell r="CE315">
            <v>45173</v>
          </cell>
          <cell r="CG315" t="str">
            <v>M/s SARK CORPORATION</v>
          </cell>
          <cell r="CI315" t="str">
            <v>Issued</v>
          </cell>
          <cell r="DG315" t="str">
            <v>Netmed SDP - Not in Dead Rental</v>
          </cell>
          <cell r="DK315">
            <v>45195</v>
          </cell>
          <cell r="DL315">
            <v>45175</v>
          </cell>
          <cell r="DM315">
            <v>2</v>
          </cell>
          <cell r="DN315" t="str">
            <v>0 to 3 Days</v>
          </cell>
          <cell r="DP315">
            <v>45176</v>
          </cell>
          <cell r="DQ315">
            <v>45197</v>
          </cell>
          <cell r="DR315">
            <v>7</v>
          </cell>
          <cell r="DS315">
            <v>7</v>
          </cell>
          <cell r="DU315">
            <v>45204</v>
          </cell>
          <cell r="DV315">
            <v>45183</v>
          </cell>
          <cell r="DW315">
            <v>45204</v>
          </cell>
          <cell r="DX315" t="str">
            <v>Oct 23 Week 1</v>
          </cell>
          <cell r="DZ315">
            <v>45222</v>
          </cell>
          <cell r="EA315" t="str">
            <v>Oct 23 Week 4</v>
          </cell>
          <cell r="EB315" t="str">
            <v>Backlog</v>
          </cell>
          <cell r="ED315" t="str">
            <v/>
          </cell>
          <cell r="EE315" t="str">
            <v/>
          </cell>
          <cell r="EF315">
            <v>1</v>
          </cell>
          <cell r="EG315">
            <v>1</v>
          </cell>
          <cell r="FD315">
            <v>18</v>
          </cell>
          <cell r="FE315" t="str">
            <v>16 to 31 Days</v>
          </cell>
          <cell r="FF315">
            <v>39</v>
          </cell>
          <cell r="FG315" t="str">
            <v>31 to 61 Days</v>
          </cell>
          <cell r="FH315" t="str">
            <v>done</v>
          </cell>
          <cell r="FJ315" t="str">
            <v>NA</v>
          </cell>
          <cell r="FK315">
            <v>45423</v>
          </cell>
          <cell r="FM315" t="str">
            <v/>
          </cell>
          <cell r="GA315">
            <v>45222</v>
          </cell>
          <cell r="GC315">
            <v>45197</v>
          </cell>
          <cell r="GG315" t="str">
            <v>2023-2024</v>
          </cell>
        </row>
        <row r="316">
          <cell r="E316" t="str">
            <v>GF Plot No B 393 394  , Dist Merrut , Hastinapur  , HASTINAPUR , 250404</v>
          </cell>
          <cell r="F316" t="str">
            <v>9. EPC Ready</v>
          </cell>
          <cell r="G316" t="str">
            <v>SPUPMEM4149</v>
          </cell>
          <cell r="H316" t="str">
            <v>UP-SM-HST-3000</v>
          </cell>
          <cell r="I316" t="str">
            <v>TZP1</v>
          </cell>
          <cell r="J316" t="str">
            <v>QDZX</v>
          </cell>
          <cell r="K316" t="str">
            <v xml:space="preserve">N </v>
          </cell>
          <cell r="L316" t="str">
            <v>KC</v>
          </cell>
          <cell r="M316" t="str">
            <v>EPC Ready</v>
          </cell>
          <cell r="P316" t="str">
            <v>Sh.Akhilesh K Singh-9910029870</v>
          </cell>
          <cell r="Q316" t="str">
            <v>Gaurav Shinde</v>
          </cell>
          <cell r="S316" t="str">
            <v>Uttar Pradesh</v>
          </cell>
          <cell r="T316" t="str">
            <v>HASTINAPUR</v>
          </cell>
          <cell r="U316" t="str">
            <v>Non Premium</v>
          </cell>
          <cell r="V316" t="str">
            <v>Pharma Format</v>
          </cell>
          <cell r="W316">
            <v>400</v>
          </cell>
          <cell r="X316" t="str">
            <v>GF Plot No B 393 394  , Dist Merrut , Hastinapur  , HASTINAPUR , 250404</v>
          </cell>
          <cell r="Y316">
            <v>45163</v>
          </cell>
          <cell r="Z316" t="str">
            <v>NA</v>
          </cell>
          <cell r="AB316" t="str">
            <v>NA</v>
          </cell>
          <cell r="AF316" t="str">
            <v>NA</v>
          </cell>
          <cell r="AK316">
            <v>45149</v>
          </cell>
          <cell r="AL316" t="str">
            <v>Received</v>
          </cell>
          <cell r="AM316">
            <v>45144</v>
          </cell>
          <cell r="AO316">
            <v>3</v>
          </cell>
          <cell r="AS316">
            <v>-3</v>
          </cell>
          <cell r="AU316">
            <v>4</v>
          </cell>
          <cell r="AY316">
            <v>-4</v>
          </cell>
          <cell r="BA316">
            <v>5</v>
          </cell>
          <cell r="BE316">
            <v>-5</v>
          </cell>
          <cell r="BG316">
            <v>5</v>
          </cell>
          <cell r="BK316">
            <v>-5</v>
          </cell>
          <cell r="BM316">
            <v>3</v>
          </cell>
          <cell r="BP316">
            <v>3</v>
          </cell>
          <cell r="BW316" t="str">
            <v>Done</v>
          </cell>
          <cell r="BX316">
            <v>45079</v>
          </cell>
          <cell r="BY316" t="str">
            <v>Approved</v>
          </cell>
          <cell r="CD316">
            <v>45161</v>
          </cell>
          <cell r="CE316">
            <v>45175</v>
          </cell>
          <cell r="CG316" t="str">
            <v>M/s     SHOURYA INFRATECH</v>
          </cell>
          <cell r="CI316" t="str">
            <v>Issued</v>
          </cell>
          <cell r="DG316" t="str">
            <v>Netmed SDP - Not in Dead Rental</v>
          </cell>
          <cell r="DK316">
            <v>45178</v>
          </cell>
          <cell r="DL316">
            <v>45163</v>
          </cell>
          <cell r="DM316">
            <v>2</v>
          </cell>
          <cell r="DN316" t="str">
            <v>0 to 3 Days</v>
          </cell>
          <cell r="DP316">
            <v>45178</v>
          </cell>
          <cell r="DQ316">
            <v>45180</v>
          </cell>
          <cell r="DR316">
            <v>7</v>
          </cell>
          <cell r="DS316">
            <v>7</v>
          </cell>
          <cell r="DU316">
            <v>45187</v>
          </cell>
          <cell r="DV316">
            <v>45185</v>
          </cell>
          <cell r="DW316">
            <v>45187</v>
          </cell>
          <cell r="DX316" t="str">
            <v>Sep 23 Week 3</v>
          </cell>
          <cell r="DY316" t="str">
            <v>TBC</v>
          </cell>
          <cell r="DZ316">
            <v>45190</v>
          </cell>
          <cell r="EA316" t="str">
            <v>Sep 23 Week 3</v>
          </cell>
          <cell r="EB316" t="str">
            <v>Backlog</v>
          </cell>
          <cell r="ED316" t="str">
            <v/>
          </cell>
          <cell r="EE316" t="str">
            <v/>
          </cell>
          <cell r="EF316">
            <v>1</v>
          </cell>
          <cell r="EG316">
            <v>1</v>
          </cell>
          <cell r="FD316">
            <v>3</v>
          </cell>
          <cell r="FE316" t="str">
            <v>0 to 3 Days</v>
          </cell>
          <cell r="FF316">
            <v>5</v>
          </cell>
          <cell r="FG316" t="str">
            <v>4 to 7 Days</v>
          </cell>
          <cell r="FH316" t="str">
            <v>Done</v>
          </cell>
          <cell r="FI316" t="str">
            <v>Done</v>
          </cell>
          <cell r="FJ316" t="str">
            <v>NA</v>
          </cell>
          <cell r="FK316">
            <v>45222</v>
          </cell>
          <cell r="FM316" t="str">
            <v/>
          </cell>
          <cell r="GA316">
            <v>45219</v>
          </cell>
          <cell r="GC316">
            <v>45180</v>
          </cell>
          <cell r="GG316" t="str">
            <v>2023-2024</v>
          </cell>
        </row>
        <row r="317">
          <cell r="E317" t="str">
            <v xml:space="preserve">Jasdan - Rajkot Bypass Circle,
Jasdan - 360 050
</v>
          </cell>
          <cell r="F317" t="str">
            <v>9. EPC Ready</v>
          </cell>
          <cell r="G317" t="str">
            <v>SPGJAJ4253</v>
          </cell>
          <cell r="H317" t="str">
            <v>GJ-SM-JDN-3000</v>
          </cell>
          <cell r="I317" t="str">
            <v>T0Q1</v>
          </cell>
          <cell r="J317" t="str">
            <v>Q4GL</v>
          </cell>
          <cell r="K317" t="str">
            <v>W</v>
          </cell>
          <cell r="L317" t="str">
            <v>KC</v>
          </cell>
          <cell r="M317" t="str">
            <v>EPC Ready</v>
          </cell>
          <cell r="P317" t="str">
            <v>Bhargav Joshi -9099045482</v>
          </cell>
          <cell r="Q317" t="str">
            <v>Gaurav Shinde</v>
          </cell>
          <cell r="S317" t="str">
            <v>Gujarat</v>
          </cell>
          <cell r="T317" t="str">
            <v>Jasdan</v>
          </cell>
          <cell r="U317" t="str">
            <v>Non Premium</v>
          </cell>
          <cell r="V317" t="str">
            <v>Pharma Format</v>
          </cell>
          <cell r="W317">
            <v>400</v>
          </cell>
          <cell r="X317" t="str">
            <v xml:space="preserve">Jasdan - Rajkot Bypass Circle,
Jasdan - 360 050
</v>
          </cell>
          <cell r="Y317">
            <v>45159</v>
          </cell>
          <cell r="Z317" t="str">
            <v>NA</v>
          </cell>
          <cell r="AB317" t="str">
            <v>NA</v>
          </cell>
          <cell r="AF317" t="str">
            <v>NA</v>
          </cell>
          <cell r="AK317">
            <v>45156</v>
          </cell>
          <cell r="AL317" t="str">
            <v>Received</v>
          </cell>
          <cell r="AM317">
            <v>45151</v>
          </cell>
          <cell r="AO317">
            <v>3</v>
          </cell>
          <cell r="AS317">
            <v>-3</v>
          </cell>
          <cell r="AU317">
            <v>4</v>
          </cell>
          <cell r="AY317">
            <v>-4</v>
          </cell>
          <cell r="BA317">
            <v>5</v>
          </cell>
          <cell r="BE317">
            <v>-5</v>
          </cell>
          <cell r="BG317">
            <v>5</v>
          </cell>
          <cell r="BK317">
            <v>-5</v>
          </cell>
          <cell r="BM317">
            <v>3</v>
          </cell>
          <cell r="BP317">
            <v>3</v>
          </cell>
          <cell r="BW317" t="str">
            <v>Done</v>
          </cell>
          <cell r="BX317">
            <v>45079</v>
          </cell>
          <cell r="BY317" t="str">
            <v>Approved</v>
          </cell>
          <cell r="CD317">
            <v>45146</v>
          </cell>
          <cell r="CE317">
            <v>45159</v>
          </cell>
          <cell r="CG317" t="str">
            <v>M/s Karom Corporation</v>
          </cell>
          <cell r="CI317" t="str">
            <v>Issued</v>
          </cell>
          <cell r="DG317" t="str">
            <v>Netmed SDP - Not in Dead Rental</v>
          </cell>
          <cell r="DK317">
            <v>45168</v>
          </cell>
          <cell r="DL317">
            <v>45166</v>
          </cell>
          <cell r="DM317">
            <v>2</v>
          </cell>
          <cell r="DN317" t="str">
            <v>0 to 3 Days</v>
          </cell>
          <cell r="DP317">
            <v>45162</v>
          </cell>
          <cell r="DQ317">
            <v>45170</v>
          </cell>
          <cell r="DR317">
            <v>7</v>
          </cell>
          <cell r="DS317">
            <v>7</v>
          </cell>
          <cell r="DU317">
            <v>45177</v>
          </cell>
          <cell r="DV317">
            <v>45169</v>
          </cell>
          <cell r="DW317">
            <v>45177</v>
          </cell>
          <cell r="DX317" t="str">
            <v>Sep 23 Week 2</v>
          </cell>
          <cell r="DY317" t="str">
            <v>TBC</v>
          </cell>
          <cell r="DZ317">
            <v>45194</v>
          </cell>
          <cell r="EA317" t="str">
            <v>Sep 23 Week 4</v>
          </cell>
          <cell r="EB317" t="str">
            <v>Backlog</v>
          </cell>
          <cell r="ED317" t="str">
            <v/>
          </cell>
          <cell r="EE317" t="str">
            <v/>
          </cell>
          <cell r="EF317">
            <v>1</v>
          </cell>
          <cell r="EG317">
            <v>1</v>
          </cell>
          <cell r="FD317">
            <v>17</v>
          </cell>
          <cell r="FE317" t="str">
            <v>16 to 31 Days</v>
          </cell>
          <cell r="FF317">
            <v>25</v>
          </cell>
          <cell r="FG317" t="str">
            <v>16 to 31 Days</v>
          </cell>
          <cell r="FH317" t="str">
            <v>Done</v>
          </cell>
          <cell r="FI317" t="str">
            <v>Done</v>
          </cell>
          <cell r="FJ317" t="str">
            <v>NA</v>
          </cell>
          <cell r="FK317">
            <v>45208</v>
          </cell>
          <cell r="FM317" t="str">
            <v/>
          </cell>
          <cell r="GA317">
            <v>45197</v>
          </cell>
          <cell r="GC317">
            <v>45170</v>
          </cell>
          <cell r="GG317" t="str">
            <v>2023-2024</v>
          </cell>
        </row>
        <row r="318">
          <cell r="E318" t="str">
            <v>GF, Prasad Complex, Jaunpur - Allahabad  , Badshahpur, Tehsil - Machlishahar , Road, Opp Tulsi Hospital, Mungra , Dist - Jaunpur , JAUNPUR , 222202</v>
          </cell>
          <cell r="F318" t="str">
            <v>9. EPC Ready</v>
          </cell>
          <cell r="G318" t="str">
            <v>SPUPJAJ3735</v>
          </cell>
          <cell r="H318" t="str">
            <v>UP-SM-JAN-3002</v>
          </cell>
          <cell r="I318" t="str">
            <v>TAJM</v>
          </cell>
          <cell r="J318" t="str">
            <v>QFYP</v>
          </cell>
          <cell r="K318" t="str">
            <v xml:space="preserve">N </v>
          </cell>
          <cell r="L318" t="str">
            <v>KC</v>
          </cell>
          <cell r="M318" t="str">
            <v>EPC Ready</v>
          </cell>
          <cell r="P318" t="str">
            <v>Mr.Sushilkumar Mishra</v>
          </cell>
          <cell r="Q318" t="str">
            <v>Gaurav Shinde</v>
          </cell>
          <cell r="S318" t="str">
            <v>Uttar Pradesh</v>
          </cell>
          <cell r="T318" t="str">
            <v>JAUNPUR</v>
          </cell>
          <cell r="U318" t="str">
            <v>Non Premium</v>
          </cell>
          <cell r="V318" t="str">
            <v>Pharma Format</v>
          </cell>
          <cell r="W318">
            <v>406</v>
          </cell>
          <cell r="X318" t="str">
            <v>GF, Prasad Complex, Jaunpur - Allahabad  , Badshahpur, Tehsil - Machlishahar , Road, Opp Tulsi Hospital, Mungra , Dist - Jaunpur , JAUNPUR , 222202</v>
          </cell>
          <cell r="Y318">
            <v>45163</v>
          </cell>
          <cell r="Z318" t="str">
            <v>NA</v>
          </cell>
          <cell r="AB318" t="str">
            <v>NA</v>
          </cell>
          <cell r="AF318" t="str">
            <v>NA</v>
          </cell>
          <cell r="AK318">
            <v>45154</v>
          </cell>
          <cell r="AL318" t="str">
            <v>Received</v>
          </cell>
          <cell r="AM318">
            <v>45149</v>
          </cell>
          <cell r="AO318">
            <v>3</v>
          </cell>
          <cell r="AS318">
            <v>-3</v>
          </cell>
          <cell r="AU318">
            <v>4</v>
          </cell>
          <cell r="AY318">
            <v>-4</v>
          </cell>
          <cell r="BA318">
            <v>5</v>
          </cell>
          <cell r="BE318">
            <v>-5</v>
          </cell>
          <cell r="BG318">
            <v>5</v>
          </cell>
          <cell r="BK318">
            <v>-5</v>
          </cell>
          <cell r="BM318">
            <v>3</v>
          </cell>
          <cell r="BP318">
            <v>3</v>
          </cell>
          <cell r="BW318" t="str">
            <v>Done</v>
          </cell>
          <cell r="BX318">
            <v>45079</v>
          </cell>
          <cell r="BY318" t="str">
            <v>Approved</v>
          </cell>
          <cell r="CD318">
            <v>45161</v>
          </cell>
          <cell r="CE318">
            <v>45180</v>
          </cell>
          <cell r="CG318" t="str">
            <v>M/s     OKEY RIGHT SERVICE</v>
          </cell>
          <cell r="CI318" t="str">
            <v>Issued</v>
          </cell>
          <cell r="DG318" t="str">
            <v>Netmed SDP - Not in Dead Rental</v>
          </cell>
          <cell r="DK318">
            <v>45256</v>
          </cell>
          <cell r="DL318">
            <v>45166</v>
          </cell>
          <cell r="DM318">
            <v>2</v>
          </cell>
          <cell r="DN318" t="str">
            <v>0 to 3 Days</v>
          </cell>
          <cell r="DP318">
            <v>45183</v>
          </cell>
          <cell r="DQ318">
            <v>45258</v>
          </cell>
          <cell r="DR318">
            <v>7</v>
          </cell>
          <cell r="DS318">
            <v>7</v>
          </cell>
          <cell r="DU318">
            <v>45265</v>
          </cell>
          <cell r="DV318">
            <v>45190</v>
          </cell>
          <cell r="DW318">
            <v>45265</v>
          </cell>
          <cell r="DX318" t="str">
            <v>Dec 23 Week 1</v>
          </cell>
          <cell r="DY318" t="str">
            <v>TBC</v>
          </cell>
          <cell r="DZ318">
            <v>45265</v>
          </cell>
          <cell r="EA318" t="str">
            <v>Dec 23 Week 1</v>
          </cell>
          <cell r="EB318" t="str">
            <v>Plan</v>
          </cell>
          <cell r="ED318" t="str">
            <v/>
          </cell>
          <cell r="EE318" t="str">
            <v/>
          </cell>
          <cell r="EF318">
            <v>1</v>
          </cell>
          <cell r="EG318">
            <v>1</v>
          </cell>
          <cell r="FD318">
            <v>0</v>
          </cell>
          <cell r="FE318" t="str">
            <v>On Time</v>
          </cell>
          <cell r="FF318">
            <v>75</v>
          </cell>
          <cell r="FG318" t="str">
            <v>62 to 90 Days</v>
          </cell>
          <cell r="FH318" t="str">
            <v>Done</v>
          </cell>
          <cell r="FI318" t="str">
            <v>Done</v>
          </cell>
          <cell r="FJ318" t="str">
            <v>NA</v>
          </cell>
          <cell r="FK318">
            <v>45286</v>
          </cell>
          <cell r="FM318" t="str">
            <v/>
          </cell>
          <cell r="GA318">
            <v>45265</v>
          </cell>
          <cell r="GC318" t="str">
            <v>20-09-2023
28-11-2023</v>
          </cell>
          <cell r="GG318" t="str">
            <v>2023-2024</v>
          </cell>
        </row>
        <row r="319">
          <cell r="E319" t="str">
            <v>Jiban Chandra Saha Sibalaya Camper Bazar  , Dharma Mission Agartala West , Hospital Road Arundhuti Nagar Sarva  , AGARTALA , 799003</v>
          </cell>
          <cell r="F319" t="str">
            <v>9. EPC Ready</v>
          </cell>
          <cell r="G319" t="str">
            <v>SPTRAGA3788</v>
          </cell>
          <cell r="H319" t="str">
            <v>NE-SM-AGT-3008</v>
          </cell>
          <cell r="I319" t="str">
            <v>TYP2</v>
          </cell>
          <cell r="J319" t="str">
            <v>QB9U</v>
          </cell>
          <cell r="K319" t="str">
            <v xml:space="preserve">E </v>
          </cell>
          <cell r="L319" t="str">
            <v>SD</v>
          </cell>
          <cell r="M319" t="str">
            <v>EPC Ready</v>
          </cell>
          <cell r="N319" t="str">
            <v>Mahendrakumar Warma</v>
          </cell>
          <cell r="O319" t="str">
            <v>Anup das (EXCEPT SIKKIM)</v>
          </cell>
          <cell r="P319" t="str">
            <v>Nirupam Das-9287955307</v>
          </cell>
          <cell r="Q319" t="str">
            <v>Gaurav Shinde</v>
          </cell>
          <cell r="S319" t="str">
            <v>North East</v>
          </cell>
          <cell r="T319" t="str">
            <v>Agartala</v>
          </cell>
          <cell r="U319" t="str">
            <v>Non Premium</v>
          </cell>
          <cell r="V319" t="str">
            <v>Pharma Format</v>
          </cell>
          <cell r="W319">
            <v>401</v>
          </cell>
          <cell r="X319" t="str">
            <v>Jiban Chandra Saha Sibalaya Camper Bazar  , Dharma Mission Agartala West , Hospital Road Arundhuti Nagar Sarva  , AGARTALA , 799003</v>
          </cell>
          <cell r="Y319">
            <v>45163</v>
          </cell>
          <cell r="Z319" t="str">
            <v>NA</v>
          </cell>
          <cell r="AB319" t="str">
            <v>NA</v>
          </cell>
          <cell r="AF319" t="str">
            <v>NA</v>
          </cell>
          <cell r="AK319">
            <v>45149</v>
          </cell>
          <cell r="AL319" t="str">
            <v>Received</v>
          </cell>
          <cell r="AO319">
            <v>3</v>
          </cell>
          <cell r="AS319">
            <v>-3</v>
          </cell>
          <cell r="AU319">
            <v>4</v>
          </cell>
          <cell r="AY319">
            <v>-4</v>
          </cell>
          <cell r="BA319">
            <v>5</v>
          </cell>
          <cell r="BE319">
            <v>-5</v>
          </cell>
          <cell r="BG319">
            <v>5</v>
          </cell>
          <cell r="BK319">
            <v>-5</v>
          </cell>
          <cell r="BM319">
            <v>3</v>
          </cell>
          <cell r="BP319">
            <v>3</v>
          </cell>
          <cell r="BW319" t="str">
            <v>Done</v>
          </cell>
          <cell r="BX319">
            <v>45079</v>
          </cell>
          <cell r="BY319" t="str">
            <v>Approved</v>
          </cell>
          <cell r="CD319">
            <v>45162</v>
          </cell>
          <cell r="CE319">
            <v>45177</v>
          </cell>
          <cell r="CG319" t="str">
            <v>M/s. STAR SOLUTIONS</v>
          </cell>
          <cell r="CI319" t="str">
            <v>Issued</v>
          </cell>
          <cell r="DG319" t="str">
            <v>Netmed SDP - Not in Dead Rental</v>
          </cell>
          <cell r="DK319">
            <v>45192</v>
          </cell>
          <cell r="DL319">
            <v>45167</v>
          </cell>
          <cell r="DM319">
            <v>2</v>
          </cell>
          <cell r="DN319" t="str">
            <v>0 to 3 Days</v>
          </cell>
          <cell r="DP319">
            <v>45180</v>
          </cell>
          <cell r="DQ319">
            <v>45194</v>
          </cell>
          <cell r="DR319">
            <v>7</v>
          </cell>
          <cell r="DS319">
            <v>7</v>
          </cell>
          <cell r="DU319">
            <v>45201</v>
          </cell>
          <cell r="DV319">
            <v>45187</v>
          </cell>
          <cell r="DW319">
            <v>45201</v>
          </cell>
          <cell r="DX319" t="str">
            <v>Oct 23 Week 1</v>
          </cell>
          <cell r="DZ319">
            <v>45220</v>
          </cell>
          <cell r="EA319" t="str">
            <v>Oct 23 Week 3</v>
          </cell>
          <cell r="EB319" t="str">
            <v>Backlog</v>
          </cell>
          <cell r="ED319" t="str">
            <v/>
          </cell>
          <cell r="EE319" t="str">
            <v/>
          </cell>
          <cell r="EF319">
            <v>1</v>
          </cell>
          <cell r="EG319">
            <v>1</v>
          </cell>
          <cell r="FD319">
            <v>19</v>
          </cell>
          <cell r="FE319" t="str">
            <v>16 to 31 Days</v>
          </cell>
          <cell r="FF319">
            <v>33</v>
          </cell>
          <cell r="FG319" t="str">
            <v>31 to 61 Days</v>
          </cell>
          <cell r="FH319" t="str">
            <v>Done</v>
          </cell>
          <cell r="FI319" t="str">
            <v>Done</v>
          </cell>
          <cell r="FJ319" t="str">
            <v>NA</v>
          </cell>
          <cell r="FK319">
            <v>45219</v>
          </cell>
          <cell r="FM319" t="str">
            <v/>
          </cell>
          <cell r="GA319">
            <v>45220</v>
          </cell>
          <cell r="GC319">
            <v>45194</v>
          </cell>
          <cell r="GG319" t="str">
            <v>2023-2024</v>
          </cell>
        </row>
        <row r="320">
          <cell r="E320" t="str">
            <v>Vijaya Bhaskar Theatre D No 177 Sy  , Prakasam , No 202 Vetapalem Town Mandal  , VETAPALEM , 523187</v>
          </cell>
          <cell r="F320" t="str">
            <v>9. EPC Ready</v>
          </cell>
          <cell r="G320" t="str">
            <v>SPAPVER3744</v>
          </cell>
          <cell r="H320" t="str">
            <v>AP-SM-VAM-3000</v>
          </cell>
          <cell r="I320" t="str">
            <v>TWFF</v>
          </cell>
          <cell r="J320" t="str">
            <v>Q6RJ</v>
          </cell>
          <cell r="K320" t="str">
            <v xml:space="preserve">E </v>
          </cell>
          <cell r="L320" t="str">
            <v>JD</v>
          </cell>
          <cell r="M320" t="str">
            <v>EPC Ready</v>
          </cell>
          <cell r="N320" t="str">
            <v>Jaisingh Desai</v>
          </cell>
          <cell r="Q320" t="str">
            <v>Gaurav Shinde</v>
          </cell>
          <cell r="S320" t="str">
            <v>Andhra Pradesh</v>
          </cell>
          <cell r="T320" t="str">
            <v>Chirala</v>
          </cell>
          <cell r="U320" t="str">
            <v>Non Premium</v>
          </cell>
          <cell r="V320" t="str">
            <v>Pharma Format</v>
          </cell>
          <cell r="W320">
            <v>400</v>
          </cell>
          <cell r="X320" t="str">
            <v>Vijaya Bhaskar Theatre D No 177 Sy  , Prakasam , No 202 Vetapalem Town Mandal  , VETAPALEM , 523187</v>
          </cell>
          <cell r="Y320">
            <v>45163</v>
          </cell>
          <cell r="Z320" t="str">
            <v>NA</v>
          </cell>
          <cell r="AB320" t="str">
            <v>NA</v>
          </cell>
          <cell r="AF320" t="str">
            <v>NA</v>
          </cell>
          <cell r="AK320">
            <v>45162</v>
          </cell>
          <cell r="AL320" t="str">
            <v>Received</v>
          </cell>
          <cell r="AO320">
            <v>3</v>
          </cell>
          <cell r="AS320">
            <v>-3</v>
          </cell>
          <cell r="AU320">
            <v>4</v>
          </cell>
          <cell r="AY320">
            <v>-4</v>
          </cell>
          <cell r="BA320">
            <v>5</v>
          </cell>
          <cell r="BE320">
            <v>-5</v>
          </cell>
          <cell r="BG320">
            <v>5</v>
          </cell>
          <cell r="BK320">
            <v>-5</v>
          </cell>
          <cell r="BM320">
            <v>3</v>
          </cell>
          <cell r="BP320">
            <v>3</v>
          </cell>
          <cell r="BW320" t="str">
            <v>Done</v>
          </cell>
          <cell r="BX320">
            <v>45079</v>
          </cell>
          <cell r="BY320" t="str">
            <v>Approved</v>
          </cell>
          <cell r="CD320">
            <v>45163</v>
          </cell>
          <cell r="CE320">
            <v>45173</v>
          </cell>
          <cell r="CG320" t="str">
            <v>M/s VK CONSTRUCTIONS</v>
          </cell>
          <cell r="CI320" t="str">
            <v>Issued</v>
          </cell>
          <cell r="DG320" t="str">
            <v>Netmed SDP - Not in Dead Rental</v>
          </cell>
          <cell r="DK320">
            <v>45294</v>
          </cell>
          <cell r="DL320">
            <v>45205</v>
          </cell>
          <cell r="DM320">
            <v>2</v>
          </cell>
          <cell r="DN320" t="str">
            <v>0 to 3 Days</v>
          </cell>
          <cell r="DP320">
            <v>45176</v>
          </cell>
          <cell r="DQ320">
            <v>45296</v>
          </cell>
          <cell r="DR320">
            <v>7</v>
          </cell>
          <cell r="DS320">
            <v>7</v>
          </cell>
          <cell r="DU320">
            <v>45303</v>
          </cell>
          <cell r="DV320">
            <v>45183</v>
          </cell>
          <cell r="DW320">
            <v>45303</v>
          </cell>
          <cell r="DX320" t="str">
            <v>Jan 24 Week 2</v>
          </cell>
          <cell r="DZ320">
            <v>45307</v>
          </cell>
          <cell r="EA320" t="str">
            <v>Jan 24 Week 3</v>
          </cell>
          <cell r="EB320" t="str">
            <v>Backlog</v>
          </cell>
          <cell r="ED320" t="str">
            <v/>
          </cell>
          <cell r="EE320" t="str">
            <v/>
          </cell>
          <cell r="EF320">
            <v>1</v>
          </cell>
          <cell r="EG320">
            <v>1</v>
          </cell>
          <cell r="FD320">
            <v>4</v>
          </cell>
          <cell r="FE320" t="str">
            <v>4 to 7 Days</v>
          </cell>
          <cell r="FF320">
            <v>124</v>
          </cell>
          <cell r="FG320" t="str">
            <v>More Than 90  Days</v>
          </cell>
          <cell r="FH320" t="str">
            <v>Done</v>
          </cell>
          <cell r="FJ320" t="str">
            <v>NA</v>
          </cell>
          <cell r="FK320">
            <v>45453</v>
          </cell>
          <cell r="FM320" t="str">
            <v/>
          </cell>
          <cell r="GA320">
            <v>45307</v>
          </cell>
          <cell r="GC320">
            <v>45218</v>
          </cell>
          <cell r="GG320" t="str">
            <v>2023-2024</v>
          </cell>
        </row>
        <row r="321">
          <cell r="E321" t="str">
            <v>Garg Complex Badbar Road  , Longowal Sangrur , Near Azaz Mandi  , LONGOWAL , 148106</v>
          </cell>
          <cell r="F321" t="str">
            <v>9. EPC Ready</v>
          </cell>
          <cell r="G321" t="str">
            <v>SPPBLOL3871</v>
          </cell>
          <cell r="H321" t="str">
            <v>PB-SM-LGL-3000</v>
          </cell>
          <cell r="I321" t="str">
            <v>TAZA</v>
          </cell>
          <cell r="J321" t="str">
            <v>QGIE</v>
          </cell>
          <cell r="K321" t="str">
            <v xml:space="preserve">N </v>
          </cell>
          <cell r="L321" t="str">
            <v>KC</v>
          </cell>
          <cell r="M321" t="str">
            <v>EPC Ready</v>
          </cell>
          <cell r="Q321" t="str">
            <v>Gaurav Shinde</v>
          </cell>
          <cell r="S321" t="str">
            <v>Punjab</v>
          </cell>
          <cell r="T321" t="str">
            <v> Longowal</v>
          </cell>
          <cell r="U321" t="str">
            <v>Non Premium</v>
          </cell>
          <cell r="V321" t="str">
            <v>Pharma Format</v>
          </cell>
          <cell r="W321">
            <v>400</v>
          </cell>
          <cell r="X321" t="str">
            <v>Garg Complex Badbar Road  , Longowal Sangrur , Near Azaz Mandi  , LONGOWAL , 148106</v>
          </cell>
          <cell r="Y321">
            <v>45208</v>
          </cell>
          <cell r="Z321" t="str">
            <v>NA</v>
          </cell>
          <cell r="AB321" t="str">
            <v>NA</v>
          </cell>
          <cell r="AF321" t="str">
            <v>NA</v>
          </cell>
          <cell r="AK321">
            <v>45154</v>
          </cell>
          <cell r="AL321" t="str">
            <v>Received</v>
          </cell>
          <cell r="AM321">
            <v>45149</v>
          </cell>
          <cell r="AO321">
            <v>3</v>
          </cell>
          <cell r="AS321">
            <v>-3</v>
          </cell>
          <cell r="AU321">
            <v>4</v>
          </cell>
          <cell r="AY321">
            <v>-4</v>
          </cell>
          <cell r="BA321">
            <v>5</v>
          </cell>
          <cell r="BE321">
            <v>-5</v>
          </cell>
          <cell r="BG321">
            <v>5</v>
          </cell>
          <cell r="BK321">
            <v>-5</v>
          </cell>
          <cell r="BM321">
            <v>3</v>
          </cell>
          <cell r="BP321">
            <v>3</v>
          </cell>
          <cell r="BW321" t="str">
            <v>Done</v>
          </cell>
          <cell r="BX321">
            <v>45079</v>
          </cell>
          <cell r="BY321" t="str">
            <v>Approved</v>
          </cell>
          <cell r="CD321">
            <v>45208</v>
          </cell>
          <cell r="CE321">
            <v>45212</v>
          </cell>
          <cell r="CG321" t="str">
            <v>M/s     Brickwood global infracon Pvt. Ltd</v>
          </cell>
          <cell r="CI321" t="str">
            <v>Issued</v>
          </cell>
          <cell r="DG321" t="str">
            <v>Netmed SDP - Not in Dead Rental</v>
          </cell>
          <cell r="DK321">
            <v>45251</v>
          </cell>
          <cell r="DL321">
            <v>45224</v>
          </cell>
          <cell r="DM321">
            <v>2</v>
          </cell>
          <cell r="DN321" t="str">
            <v>0 to 3 Days</v>
          </cell>
          <cell r="DP321">
            <v>45215</v>
          </cell>
          <cell r="DQ321">
            <v>45253</v>
          </cell>
          <cell r="DR321">
            <v>7</v>
          </cell>
          <cell r="DS321">
            <v>7</v>
          </cell>
          <cell r="DU321">
            <v>45260</v>
          </cell>
          <cell r="DV321">
            <v>45222</v>
          </cell>
          <cell r="DW321">
            <v>45260</v>
          </cell>
          <cell r="DX321" t="str">
            <v>Nov 23 Week 5</v>
          </cell>
          <cell r="DZ321">
            <v>45287</v>
          </cell>
          <cell r="EA321" t="str">
            <v>Dec 23 Week 4</v>
          </cell>
          <cell r="EB321" t="str">
            <v>Backlog</v>
          </cell>
          <cell r="ED321" t="str">
            <v/>
          </cell>
          <cell r="EE321" t="str">
            <v/>
          </cell>
          <cell r="EF321">
            <v>1</v>
          </cell>
          <cell r="EG321">
            <v>1</v>
          </cell>
          <cell r="FD321">
            <v>27</v>
          </cell>
          <cell r="FE321" t="str">
            <v>16 to 31 Days</v>
          </cell>
          <cell r="FF321">
            <v>65</v>
          </cell>
          <cell r="FG321" t="str">
            <v>62 to 90 Days</v>
          </cell>
          <cell r="FH321" t="str">
            <v>Done</v>
          </cell>
          <cell r="FI321" t="str">
            <v>Done</v>
          </cell>
          <cell r="FJ321" t="str">
            <v>NA</v>
          </cell>
          <cell r="FK321">
            <v>45335</v>
          </cell>
          <cell r="FM321" t="str">
            <v/>
          </cell>
          <cell r="GA321">
            <v>45287</v>
          </cell>
          <cell r="GC321">
            <v>45253</v>
          </cell>
          <cell r="GG321" t="str">
            <v>2023-2024</v>
          </cell>
        </row>
        <row r="322">
          <cell r="E322" t="str">
            <v>Geli Ete Sipu Colony Aalo  , Arunachal Pradesh , Aalo West Siang  , AALO , 791001</v>
          </cell>
          <cell r="F322" t="str">
            <v>14. Dropped</v>
          </cell>
          <cell r="G322" t="str">
            <v>SPARAAS4261</v>
          </cell>
          <cell r="H322" t="str">
            <v>WB-SM-AAO-3000</v>
          </cell>
          <cell r="I322" t="str">
            <v>TYDY</v>
          </cell>
          <cell r="J322" t="str">
            <v>QBIZ</v>
          </cell>
          <cell r="K322" t="str">
            <v xml:space="preserve">E </v>
          </cell>
          <cell r="L322" t="str">
            <v>SD</v>
          </cell>
          <cell r="M322" t="str">
            <v>Dropped</v>
          </cell>
          <cell r="N322" t="str">
            <v>Mahendrakumar Warma</v>
          </cell>
          <cell r="Q322" t="str">
            <v>Gaurav Shinde</v>
          </cell>
          <cell r="S322" t="str">
            <v>Arunachal Pradesh</v>
          </cell>
          <cell r="T322" t="str">
            <v>Aalo</v>
          </cell>
          <cell r="U322" t="str">
            <v>Non Premium</v>
          </cell>
          <cell r="V322" t="str">
            <v>Pharma Format</v>
          </cell>
          <cell r="W322">
            <v>398</v>
          </cell>
          <cell r="X322" t="str">
            <v>Geli Ete Sipu Colony Aalo  , Arunachal Pradesh , Aalo West Siang  , AALO , 791001</v>
          </cell>
          <cell r="Z322" t="str">
            <v>NA</v>
          </cell>
          <cell r="AB322" t="str">
            <v>NA</v>
          </cell>
          <cell r="AF322" t="str">
            <v>NA</v>
          </cell>
          <cell r="AK322">
            <v>45164</v>
          </cell>
          <cell r="AL322" t="str">
            <v>Received</v>
          </cell>
          <cell r="AM322">
            <v>45159</v>
          </cell>
          <cell r="AO322">
            <v>3</v>
          </cell>
          <cell r="AS322">
            <v>-3</v>
          </cell>
          <cell r="AU322">
            <v>4</v>
          </cell>
          <cell r="AY322">
            <v>-4</v>
          </cell>
          <cell r="BA322">
            <v>5</v>
          </cell>
          <cell r="BE322">
            <v>-5</v>
          </cell>
          <cell r="BG322">
            <v>5</v>
          </cell>
          <cell r="BK322">
            <v>-5</v>
          </cell>
          <cell r="BM322">
            <v>3</v>
          </cell>
          <cell r="BP322">
            <v>3</v>
          </cell>
          <cell r="BW322" t="str">
            <v>Done</v>
          </cell>
          <cell r="BX322">
            <v>45079</v>
          </cell>
          <cell r="BY322" t="str">
            <v>Approved</v>
          </cell>
          <cell r="DG322" t="str">
            <v>Netmed SDP - Not in Dead Rental</v>
          </cell>
          <cell r="DM322" t="str">
            <v>NA</v>
          </cell>
          <cell r="DN322" t="str">
            <v>NA</v>
          </cell>
          <cell r="DR322">
            <v>7</v>
          </cell>
          <cell r="DS322">
            <v>7</v>
          </cell>
          <cell r="DU322">
            <v>7</v>
          </cell>
          <cell r="DV322">
            <v>7</v>
          </cell>
          <cell r="DW322">
            <v>7</v>
          </cell>
          <cell r="EA322" t="str">
            <v/>
          </cell>
          <cell r="ED322" t="str">
            <v/>
          </cell>
          <cell r="EE322" t="str">
            <v/>
          </cell>
          <cell r="FD322">
            <v>46114</v>
          </cell>
          <cell r="FF322">
            <v>46114</v>
          </cell>
          <cell r="FJ322" t="str">
            <v>NA</v>
          </cell>
          <cell r="FM322" t="str">
            <v/>
          </cell>
          <cell r="GG322" t="str">
            <v>2024-2025</v>
          </cell>
        </row>
        <row r="323">
          <cell r="E323" t="str">
            <v>GF, Shree Shyam Bhawan,   , mauza &amp; PS- Amarpur, Ward no. 10,  , Plot no. 1362/2141, Khata no. 36/183,  , Dist. Banka, Bihar , Amarpur , 813101</v>
          </cell>
          <cell r="F323" t="str">
            <v>9. EPC Ready</v>
          </cell>
          <cell r="G323" t="str">
            <v>SPBHAMN4203</v>
          </cell>
          <cell r="H323" t="str">
            <v>BJ-SM-AMR-3000</v>
          </cell>
          <cell r="I323" t="str">
            <v>TAXW</v>
          </cell>
          <cell r="J323" t="str">
            <v>QGHA</v>
          </cell>
          <cell r="K323" t="str">
            <v xml:space="preserve">E </v>
          </cell>
          <cell r="L323" t="str">
            <v>AK</v>
          </cell>
          <cell r="M323" t="str">
            <v>EPC Ready</v>
          </cell>
          <cell r="Q323" t="str">
            <v>Gaurav Shinde</v>
          </cell>
          <cell r="S323" t="str">
            <v>Bihar</v>
          </cell>
          <cell r="T323" t="str">
            <v>Amarpur</v>
          </cell>
          <cell r="U323" t="str">
            <v>Non Premium</v>
          </cell>
          <cell r="V323" t="str">
            <v>Pharma Format</v>
          </cell>
          <cell r="W323">
            <v>400</v>
          </cell>
          <cell r="X323" t="str">
            <v>GF, Shree Shyam Bhawan,   , mauza &amp; PS- Amarpur, Ward no. 10,  , Plot no. 1362/2141, Khata no. 36/183,  , Dist. Banka, Bihar , Amarpur , 813101</v>
          </cell>
          <cell r="Y323">
            <v>45166</v>
          </cell>
          <cell r="Z323" t="str">
            <v>NA</v>
          </cell>
          <cell r="AB323" t="str">
            <v>NA</v>
          </cell>
          <cell r="AF323" t="str">
            <v>NA</v>
          </cell>
          <cell r="AL323" t="str">
            <v>Received</v>
          </cell>
          <cell r="AM323">
            <v>46116</v>
          </cell>
          <cell r="AO323">
            <v>3</v>
          </cell>
          <cell r="AS323">
            <v>-3</v>
          </cell>
          <cell r="AU323">
            <v>4</v>
          </cell>
          <cell r="AY323">
            <v>-4</v>
          </cell>
          <cell r="BA323">
            <v>5</v>
          </cell>
          <cell r="BE323">
            <v>-5</v>
          </cell>
          <cell r="BG323">
            <v>5</v>
          </cell>
          <cell r="BK323">
            <v>-5</v>
          </cell>
          <cell r="BM323">
            <v>3</v>
          </cell>
          <cell r="BP323">
            <v>3</v>
          </cell>
          <cell r="BW323" t="str">
            <v>Done</v>
          </cell>
          <cell r="BX323">
            <v>45079</v>
          </cell>
          <cell r="BY323" t="str">
            <v>Approved</v>
          </cell>
          <cell r="CD323">
            <v>45163</v>
          </cell>
          <cell r="CE323">
            <v>45175</v>
          </cell>
          <cell r="CG323" t="str">
            <v xml:space="preserve">M/S RECON </v>
          </cell>
          <cell r="CI323" t="str">
            <v>Issued</v>
          </cell>
          <cell r="DG323" t="str">
            <v>Netmed SDP - Not in Dead Rental</v>
          </cell>
          <cell r="DL323">
            <v>45176</v>
          </cell>
          <cell r="DP323">
            <v>45178</v>
          </cell>
          <cell r="DQ323">
            <v>45271</v>
          </cell>
          <cell r="DR323">
            <v>7</v>
          </cell>
          <cell r="DS323">
            <v>7</v>
          </cell>
          <cell r="DV323">
            <v>45185</v>
          </cell>
          <cell r="DZ323">
            <v>45300</v>
          </cell>
          <cell r="EA323" t="str">
            <v>Jan 24 Week 2</v>
          </cell>
          <cell r="ED323" t="str">
            <v/>
          </cell>
          <cell r="EE323" t="str">
            <v/>
          </cell>
          <cell r="EF323">
            <v>1</v>
          </cell>
          <cell r="EG323">
            <v>1</v>
          </cell>
          <cell r="FF323">
            <v>115</v>
          </cell>
          <cell r="FG323" t="str">
            <v>More Than 90  Days</v>
          </cell>
          <cell r="FH323" t="str">
            <v>Done</v>
          </cell>
          <cell r="FI323" t="str">
            <v>Done</v>
          </cell>
          <cell r="FJ323" t="str">
            <v>NA</v>
          </cell>
          <cell r="FK323">
            <v>45300</v>
          </cell>
          <cell r="FM323" t="str">
            <v/>
          </cell>
          <cell r="GA323">
            <v>45299</v>
          </cell>
          <cell r="GC323" t="str">
            <v>29-09-2023
11-12-2023</v>
          </cell>
          <cell r="GG323" t="str">
            <v>2023-2024</v>
          </cell>
        </row>
        <row r="324">
          <cell r="E324" t="str">
            <v>T P 37 Thaltej Final  , Opp Avelon Hotel Thaltej Sindhbhavn Rd , R S No V545 2/1/3 FP No 157 1/9/2  , AHMEDABAD , 380059</v>
          </cell>
          <cell r="F324" t="str">
            <v>14. Dropped</v>
          </cell>
          <cell r="G324" t="str">
            <v>SPGJAHA3438</v>
          </cell>
          <cell r="H324" t="str">
            <v>GJ-SM-AHM-3004</v>
          </cell>
          <cell r="I324" t="str">
            <v>TWII</v>
          </cell>
          <cell r="J324" t="str">
            <v/>
          </cell>
          <cell r="K324" t="str">
            <v>W</v>
          </cell>
          <cell r="L324" t="str">
            <v>KC</v>
          </cell>
          <cell r="M324" t="str">
            <v>Dropped</v>
          </cell>
          <cell r="Q324" t="str">
            <v>Gaurav Shinde</v>
          </cell>
          <cell r="S324" t="str">
            <v>Gujarat</v>
          </cell>
          <cell r="T324" t="str">
            <v>Ahmedabad</v>
          </cell>
          <cell r="U324" t="str">
            <v>Non Premium</v>
          </cell>
          <cell r="V324" t="str">
            <v>Pharma Format</v>
          </cell>
          <cell r="W324">
            <v>400</v>
          </cell>
          <cell r="X324" t="str">
            <v>T P 37 Thaltej Final  , Opp Avelon Hotel Thaltej Sindhbhavn Rd , R S No V545 2/1/3 FP No 157 1/9/2  , AHMEDABAD , 380059</v>
          </cell>
          <cell r="Z324" t="str">
            <v>NA</v>
          </cell>
          <cell r="AB324" t="str">
            <v>NA</v>
          </cell>
          <cell r="AF324" t="str">
            <v>NA</v>
          </cell>
          <cell r="AL324" t="str">
            <v>NA</v>
          </cell>
          <cell r="AO324">
            <v>3</v>
          </cell>
          <cell r="AS324">
            <v>-3</v>
          </cell>
          <cell r="AU324">
            <v>4</v>
          </cell>
          <cell r="AY324">
            <v>-4</v>
          </cell>
          <cell r="BA324">
            <v>5</v>
          </cell>
          <cell r="BE324">
            <v>-5</v>
          </cell>
          <cell r="BG324">
            <v>5</v>
          </cell>
          <cell r="BK324">
            <v>-5</v>
          </cell>
          <cell r="BM324">
            <v>3</v>
          </cell>
          <cell r="BP324">
            <v>3</v>
          </cell>
          <cell r="BW324" t="str">
            <v>Done</v>
          </cell>
          <cell r="BX324">
            <v>45079</v>
          </cell>
          <cell r="BY324" t="str">
            <v>Approved</v>
          </cell>
          <cell r="DG324" t="str">
            <v>Netmed SDP - Not in Dead Rental</v>
          </cell>
          <cell r="DM324" t="str">
            <v>NA</v>
          </cell>
          <cell r="DN324" t="str">
            <v>NA</v>
          </cell>
          <cell r="DR324">
            <v>7</v>
          </cell>
          <cell r="DS324">
            <v>7</v>
          </cell>
          <cell r="DU324">
            <v>7</v>
          </cell>
          <cell r="DV324">
            <v>7</v>
          </cell>
          <cell r="DW324">
            <v>7</v>
          </cell>
          <cell r="EA324" t="str">
            <v/>
          </cell>
          <cell r="ED324" t="str">
            <v/>
          </cell>
          <cell r="EE324" t="str">
            <v/>
          </cell>
          <cell r="FD324">
            <v>46114</v>
          </cell>
          <cell r="FF324">
            <v>46114</v>
          </cell>
          <cell r="FJ324" t="str">
            <v>NA</v>
          </cell>
          <cell r="FM324" t="str">
            <v/>
          </cell>
          <cell r="GG324" t="str">
            <v>2024-2025</v>
          </cell>
        </row>
        <row r="325">
          <cell r="E325" t="str">
            <v>Adya Saran Dwivedi  , Andar siwan , Andar Po Ps Andar City  , ANDAR , 841231</v>
          </cell>
          <cell r="F325" t="str">
            <v>9. EPC Ready</v>
          </cell>
          <cell r="G325" t="str">
            <v>SPBHANA4206</v>
          </cell>
          <cell r="H325" t="str">
            <v>BH-SM-AND-3000</v>
          </cell>
          <cell r="I325" t="str">
            <v>TZC6</v>
          </cell>
          <cell r="J325" t="str">
            <v>QDUO</v>
          </cell>
          <cell r="K325" t="str">
            <v xml:space="preserve">E </v>
          </cell>
          <cell r="L325" t="str">
            <v>AK</v>
          </cell>
          <cell r="M325" t="str">
            <v>EPC Ready</v>
          </cell>
          <cell r="P325" t="str">
            <v xml:space="preserve">Avinandan Kumar </v>
          </cell>
          <cell r="Q325" t="str">
            <v>Gaurav Shinde</v>
          </cell>
          <cell r="S325" t="str">
            <v>Bihar</v>
          </cell>
          <cell r="T325" t="str">
            <v>Andar</v>
          </cell>
          <cell r="U325" t="str">
            <v>Non Premium</v>
          </cell>
          <cell r="V325" t="str">
            <v>Pharma Format</v>
          </cell>
          <cell r="W325">
            <v>401</v>
          </cell>
          <cell r="X325" t="str">
            <v>Adya Saran Dwivedi  , Andar siwan , Andar Po Ps Andar City  , ANDAR , 841231</v>
          </cell>
          <cell r="Y325">
            <v>45166</v>
          </cell>
          <cell r="Z325" t="str">
            <v>NA</v>
          </cell>
          <cell r="AB325" t="str">
            <v>NA</v>
          </cell>
          <cell r="AF325" t="str">
            <v>NA</v>
          </cell>
          <cell r="AK325">
            <v>45163</v>
          </cell>
          <cell r="AL325" t="str">
            <v>Received</v>
          </cell>
          <cell r="AM325">
            <v>45158</v>
          </cell>
          <cell r="AO325">
            <v>3</v>
          </cell>
          <cell r="AS325">
            <v>-3</v>
          </cell>
          <cell r="AU325">
            <v>4</v>
          </cell>
          <cell r="AY325">
            <v>-4</v>
          </cell>
          <cell r="BA325">
            <v>5</v>
          </cell>
          <cell r="BE325">
            <v>-5</v>
          </cell>
          <cell r="BG325">
            <v>5</v>
          </cell>
          <cell r="BK325">
            <v>-5</v>
          </cell>
          <cell r="BM325">
            <v>3</v>
          </cell>
          <cell r="BP325">
            <v>3</v>
          </cell>
          <cell r="BW325" t="str">
            <v>Done</v>
          </cell>
          <cell r="BX325">
            <v>45079</v>
          </cell>
          <cell r="BY325" t="str">
            <v>Approved</v>
          </cell>
          <cell r="CD325">
            <v>45163</v>
          </cell>
          <cell r="CE325">
            <v>45175</v>
          </cell>
          <cell r="CG325" t="str">
            <v xml:space="preserve">M/S Laxmi Enterprises </v>
          </cell>
          <cell r="CI325" t="str">
            <v>Issued</v>
          </cell>
          <cell r="DG325" t="str">
            <v>Netmed SDP - Not in Dead Rental</v>
          </cell>
          <cell r="DK325">
            <v>45198</v>
          </cell>
          <cell r="DL325">
            <v>45174</v>
          </cell>
          <cell r="DM325">
            <v>2</v>
          </cell>
          <cell r="DN325" t="str">
            <v>0 to 3 Days</v>
          </cell>
          <cell r="DP325">
            <v>45178</v>
          </cell>
          <cell r="DQ325">
            <v>45200</v>
          </cell>
          <cell r="DR325">
            <v>7</v>
          </cell>
          <cell r="DS325">
            <v>7</v>
          </cell>
          <cell r="DU325">
            <v>45207</v>
          </cell>
          <cell r="DV325">
            <v>45185</v>
          </cell>
          <cell r="DW325">
            <v>45207</v>
          </cell>
          <cell r="DX325" t="str">
            <v>Oct 23 Week 2</v>
          </cell>
          <cell r="DZ325">
            <v>45224</v>
          </cell>
          <cell r="EA325" t="str">
            <v>Oct 23 Week 4</v>
          </cell>
          <cell r="EB325" t="str">
            <v>Backlog</v>
          </cell>
          <cell r="ED325" t="str">
            <v/>
          </cell>
          <cell r="EE325" t="str">
            <v/>
          </cell>
          <cell r="EF325">
            <v>1</v>
          </cell>
          <cell r="EG325">
            <v>1</v>
          </cell>
          <cell r="FD325">
            <v>17</v>
          </cell>
          <cell r="FE325" t="str">
            <v>16 to 31 Days</v>
          </cell>
          <cell r="FF325">
            <v>39</v>
          </cell>
          <cell r="FG325" t="str">
            <v>31 to 61 Days</v>
          </cell>
          <cell r="FH325" t="str">
            <v>Done</v>
          </cell>
          <cell r="FI325" t="str">
            <v>Done</v>
          </cell>
          <cell r="FJ325" t="str">
            <v>NA</v>
          </cell>
          <cell r="FK325">
            <v>45224</v>
          </cell>
          <cell r="FM325" t="str">
            <v/>
          </cell>
          <cell r="GA325">
            <v>45224</v>
          </cell>
          <cell r="GC325">
            <v>45200</v>
          </cell>
          <cell r="GG325" t="str">
            <v>2023-2024</v>
          </cell>
        </row>
        <row r="326">
          <cell r="E326" t="str">
            <v>Alfiya Business Centre Abc Alamcode  , Thiruvananthapuram , Attingal Market Road  , ALAMCODE , 695102</v>
          </cell>
          <cell r="F326" t="str">
            <v>11. HOLD</v>
          </cell>
          <cell r="G326" t="str">
            <v>PHCOAS10497</v>
          </cell>
          <cell r="H326" t="str">
            <v>KE-SM-ALC-3000</v>
          </cell>
          <cell r="I326" t="str">
            <v>TZ2B</v>
          </cell>
          <cell r="J326" t="str">
            <v>QECU</v>
          </cell>
          <cell r="K326" t="str">
            <v>S</v>
          </cell>
          <cell r="L326" t="str">
            <v>AK</v>
          </cell>
          <cell r="M326" t="str">
            <v>NRFC</v>
          </cell>
          <cell r="N326" t="str">
            <v>N Kalyankumar</v>
          </cell>
          <cell r="O326" t="str">
            <v>Jose Loviece</v>
          </cell>
          <cell r="Q326" t="str">
            <v>Gaurav Shinde</v>
          </cell>
          <cell r="S326" t="str">
            <v>Kerala</v>
          </cell>
          <cell r="T326" t="str">
            <v>ALAMCODE</v>
          </cell>
          <cell r="U326" t="str">
            <v>Non Premium</v>
          </cell>
          <cell r="V326" t="str">
            <v>Pharma Format</v>
          </cell>
          <cell r="W326">
            <v>400</v>
          </cell>
          <cell r="X326" t="str">
            <v>Alfiya Business Centre Abc Alamcode  , Thiruvananthapuram , Attingal Market Road  , ALAMCODE , 695102</v>
          </cell>
          <cell r="Z326" t="str">
            <v>NA</v>
          </cell>
          <cell r="AB326" t="str">
            <v>NA</v>
          </cell>
          <cell r="AF326" t="str">
            <v>NA</v>
          </cell>
          <cell r="AK326">
            <v>45169</v>
          </cell>
          <cell r="AL326" t="str">
            <v>Received</v>
          </cell>
          <cell r="AM326">
            <v>45164</v>
          </cell>
          <cell r="AO326">
            <v>3</v>
          </cell>
          <cell r="AS326">
            <v>-3</v>
          </cell>
          <cell r="AU326">
            <v>4</v>
          </cell>
          <cell r="AY326">
            <v>-4</v>
          </cell>
          <cell r="BA326">
            <v>5</v>
          </cell>
          <cell r="BE326">
            <v>-5</v>
          </cell>
          <cell r="BG326">
            <v>5</v>
          </cell>
          <cell r="BK326">
            <v>-5</v>
          </cell>
          <cell r="BM326">
            <v>3</v>
          </cell>
          <cell r="BP326">
            <v>3</v>
          </cell>
          <cell r="BW326" t="str">
            <v>Done</v>
          </cell>
          <cell r="BX326">
            <v>45079</v>
          </cell>
          <cell r="BY326" t="str">
            <v>Approved</v>
          </cell>
          <cell r="DG326" t="str">
            <v>Netmed SDP - Not in Dead Rental</v>
          </cell>
          <cell r="DM326" t="str">
            <v>NA</v>
          </cell>
          <cell r="DN326" t="str">
            <v>NA</v>
          </cell>
          <cell r="DR326">
            <v>7</v>
          </cell>
          <cell r="DS326">
            <v>7</v>
          </cell>
          <cell r="DU326">
            <v>7</v>
          </cell>
          <cell r="DV326">
            <v>7</v>
          </cell>
          <cell r="DW326">
            <v>7</v>
          </cell>
          <cell r="EA326" t="str">
            <v/>
          </cell>
          <cell r="ED326" t="str">
            <v/>
          </cell>
          <cell r="EE326" t="str">
            <v/>
          </cell>
          <cell r="FD326">
            <v>46114</v>
          </cell>
          <cell r="FF326">
            <v>46114</v>
          </cell>
          <cell r="FJ326" t="str">
            <v>NA</v>
          </cell>
          <cell r="FM326" t="str">
            <v/>
          </cell>
          <cell r="GG326" t="str">
            <v>2026-2027</v>
          </cell>
        </row>
        <row r="327">
          <cell r="E327" t="str">
            <v>Vishwa Raj Vatika Town Areraj  , Motihari , Po Ps Areraj  , ARERAJ , 845411</v>
          </cell>
          <cell r="F327" t="str">
            <v>9. EPC Ready</v>
          </cell>
          <cell r="G327" t="str">
            <v>SPBHARA3259</v>
          </cell>
          <cell r="H327" t="str">
            <v>BH-SM-ARR-3000</v>
          </cell>
          <cell r="I327" t="str">
            <v>TZ4R</v>
          </cell>
          <cell r="J327" t="str">
            <v>QEFK</v>
          </cell>
          <cell r="K327" t="str">
            <v xml:space="preserve">E </v>
          </cell>
          <cell r="L327" t="str">
            <v>AK</v>
          </cell>
          <cell r="M327" t="str">
            <v>EPC Ready</v>
          </cell>
          <cell r="Q327" t="str">
            <v>Gaurav Shinde</v>
          </cell>
          <cell r="S327" t="str">
            <v>Bihar</v>
          </cell>
          <cell r="T327" t="str">
            <v>Arreraj</v>
          </cell>
          <cell r="U327" t="str">
            <v>Non Premium</v>
          </cell>
          <cell r="V327" t="str">
            <v>Pharma Format</v>
          </cell>
          <cell r="W327">
            <v>400</v>
          </cell>
          <cell r="X327" t="str">
            <v>Vishwa Raj Vatika Town Areraj  , Motihari , Po Ps Areraj  , ARERAJ , 845411</v>
          </cell>
          <cell r="Y327">
            <v>45167</v>
          </cell>
          <cell r="Z327" t="str">
            <v>NA</v>
          </cell>
          <cell r="AB327" t="str">
            <v>NA</v>
          </cell>
          <cell r="AF327" t="str">
            <v>NA</v>
          </cell>
          <cell r="AK327">
            <v>45162</v>
          </cell>
          <cell r="AL327" t="str">
            <v>Received</v>
          </cell>
          <cell r="AM327">
            <v>45157</v>
          </cell>
          <cell r="AO327">
            <v>3</v>
          </cell>
          <cell r="AS327">
            <v>-3</v>
          </cell>
          <cell r="AU327">
            <v>4</v>
          </cell>
          <cell r="AY327">
            <v>-4</v>
          </cell>
          <cell r="BA327">
            <v>5</v>
          </cell>
          <cell r="BE327">
            <v>-5</v>
          </cell>
          <cell r="BG327">
            <v>5</v>
          </cell>
          <cell r="BK327">
            <v>-5</v>
          </cell>
          <cell r="BM327">
            <v>3</v>
          </cell>
          <cell r="BP327">
            <v>3</v>
          </cell>
          <cell r="BW327" t="str">
            <v>Done</v>
          </cell>
          <cell r="BX327">
            <v>45079</v>
          </cell>
          <cell r="BY327" t="str">
            <v>Approved</v>
          </cell>
          <cell r="CD327">
            <v>45163</v>
          </cell>
          <cell r="CE327">
            <v>45175</v>
          </cell>
          <cell r="CG327" t="str">
            <v xml:space="preserve">M/S Laxmi Enterprises </v>
          </cell>
          <cell r="CI327" t="str">
            <v>Issued</v>
          </cell>
          <cell r="DG327" t="str">
            <v>Netmed SDP - Not in Dead Rental</v>
          </cell>
          <cell r="DK327">
            <v>45196</v>
          </cell>
          <cell r="DL327">
            <v>45179</v>
          </cell>
          <cell r="DM327">
            <v>2</v>
          </cell>
          <cell r="DN327" t="str">
            <v>0 to 3 Days</v>
          </cell>
          <cell r="DP327">
            <v>45178</v>
          </cell>
          <cell r="DQ327">
            <v>45198</v>
          </cell>
          <cell r="DR327">
            <v>7</v>
          </cell>
          <cell r="DS327">
            <v>7</v>
          </cell>
          <cell r="DU327">
            <v>45205</v>
          </cell>
          <cell r="DV327">
            <v>45185</v>
          </cell>
          <cell r="DW327">
            <v>45205</v>
          </cell>
          <cell r="DX327" t="str">
            <v>Oct 23 Week 1</v>
          </cell>
          <cell r="DZ327">
            <v>45216</v>
          </cell>
          <cell r="EA327" t="str">
            <v>Oct 23 Week 3</v>
          </cell>
          <cell r="EB327" t="str">
            <v>Backlog</v>
          </cell>
          <cell r="ED327" t="str">
            <v/>
          </cell>
          <cell r="EE327" t="str">
            <v/>
          </cell>
          <cell r="EF327">
            <v>1</v>
          </cell>
          <cell r="EG327">
            <v>1</v>
          </cell>
          <cell r="FD327">
            <v>11</v>
          </cell>
          <cell r="FE327" t="str">
            <v>8 to 15 Days</v>
          </cell>
          <cell r="FF327">
            <v>31</v>
          </cell>
          <cell r="FG327" t="str">
            <v>16 to 31 Days</v>
          </cell>
          <cell r="FH327" t="str">
            <v>Done</v>
          </cell>
          <cell r="FI327" t="str">
            <v>Done</v>
          </cell>
          <cell r="FJ327" t="str">
            <v>NA</v>
          </cell>
          <cell r="FK327">
            <v>45216</v>
          </cell>
          <cell r="FM327" t="str">
            <v/>
          </cell>
          <cell r="GA327">
            <v>45216</v>
          </cell>
          <cell r="GC327">
            <v>45198</v>
          </cell>
          <cell r="GG327" t="str">
            <v>2023-2024</v>
          </cell>
        </row>
        <row r="328">
          <cell r="E328" t="str">
            <v>Vill Udang Po  , Ps Amta , Udang Kazipara  , AMTA , 711401</v>
          </cell>
          <cell r="F328" t="str">
            <v>9. EPC Ready</v>
          </cell>
          <cell r="G328" t="str">
            <v>SPWBAMU3548</v>
          </cell>
          <cell r="H328" t="str">
            <v>WB-SM-AMA-3000</v>
          </cell>
          <cell r="I328" t="str">
            <v>TYIX</v>
          </cell>
          <cell r="J328" t="str">
            <v>QBOW</v>
          </cell>
          <cell r="K328" t="str">
            <v xml:space="preserve">E </v>
          </cell>
          <cell r="L328" t="str">
            <v>SD</v>
          </cell>
          <cell r="M328" t="str">
            <v>EPC Ready</v>
          </cell>
          <cell r="N328" t="str">
            <v>Mahendrakumar Warma</v>
          </cell>
          <cell r="O328" t="str">
            <v xml:space="preserve">Sandeepta Gayen </v>
          </cell>
          <cell r="Q328" t="str">
            <v>Gaurav Shinde</v>
          </cell>
          <cell r="S328" t="str">
            <v>West Bengal</v>
          </cell>
          <cell r="T328" t="str">
            <v>Amta</v>
          </cell>
          <cell r="U328" t="str">
            <v>Non Premium</v>
          </cell>
          <cell r="V328" t="str">
            <v>Pharma Format</v>
          </cell>
          <cell r="W328">
            <v>405</v>
          </cell>
          <cell r="X328" t="str">
            <v>Vill Udang Po  , Ps Amta , Udang Kazipara  , AMTA , 711401</v>
          </cell>
          <cell r="Y328">
            <v>45166</v>
          </cell>
          <cell r="Z328" t="str">
            <v>NA</v>
          </cell>
          <cell r="AB328" t="str">
            <v>NA</v>
          </cell>
          <cell r="AF328" t="str">
            <v>NA</v>
          </cell>
          <cell r="AK328">
            <v>45182</v>
          </cell>
          <cell r="AL328" t="str">
            <v>Received</v>
          </cell>
          <cell r="AM328">
            <v>45177</v>
          </cell>
          <cell r="AO328">
            <v>3</v>
          </cell>
          <cell r="AS328">
            <v>-3</v>
          </cell>
          <cell r="AU328">
            <v>4</v>
          </cell>
          <cell r="AY328">
            <v>-4</v>
          </cell>
          <cell r="BA328">
            <v>5</v>
          </cell>
          <cell r="BE328">
            <v>-5</v>
          </cell>
          <cell r="BG328">
            <v>5</v>
          </cell>
          <cell r="BK328">
            <v>-5</v>
          </cell>
          <cell r="BM328">
            <v>3</v>
          </cell>
          <cell r="BP328">
            <v>3</v>
          </cell>
          <cell r="BW328" t="str">
            <v>Done</v>
          </cell>
          <cell r="BX328">
            <v>45079</v>
          </cell>
          <cell r="BY328" t="str">
            <v>Approved</v>
          </cell>
          <cell r="CD328">
            <v>45163</v>
          </cell>
          <cell r="CE328">
            <v>45196</v>
          </cell>
          <cell r="CG328" t="str">
            <v>M/s. ELECTROLEC ENTERPRISE</v>
          </cell>
          <cell r="CI328" t="str">
            <v>Issued</v>
          </cell>
          <cell r="DG328" t="str">
            <v>Netmed SDP - Not in Dead Rental</v>
          </cell>
          <cell r="DK328">
            <v>45207</v>
          </cell>
          <cell r="DL328">
            <v>45201</v>
          </cell>
          <cell r="DM328">
            <v>2</v>
          </cell>
          <cell r="DN328" t="str">
            <v>0 to 3 Days</v>
          </cell>
          <cell r="DP328">
            <v>45199</v>
          </cell>
          <cell r="DQ328">
            <v>45209</v>
          </cell>
          <cell r="DR328">
            <v>7</v>
          </cell>
          <cell r="DS328">
            <v>7</v>
          </cell>
          <cell r="DU328">
            <v>45216</v>
          </cell>
          <cell r="DV328">
            <v>45206</v>
          </cell>
          <cell r="DW328">
            <v>45216</v>
          </cell>
          <cell r="DX328" t="str">
            <v>Oct 23 Week 3</v>
          </cell>
          <cell r="DZ328">
            <v>45251</v>
          </cell>
          <cell r="EA328" t="str">
            <v>Nov 23 Week 3</v>
          </cell>
          <cell r="EB328" t="str">
            <v>Backlog</v>
          </cell>
          <cell r="ED328" t="str">
            <v/>
          </cell>
          <cell r="EE328" t="str">
            <v/>
          </cell>
          <cell r="EF328">
            <v>1</v>
          </cell>
          <cell r="EG328">
            <v>1</v>
          </cell>
          <cell r="FD328">
            <v>35</v>
          </cell>
          <cell r="FE328" t="str">
            <v>31 to 61 Days</v>
          </cell>
          <cell r="FF328">
            <v>45</v>
          </cell>
          <cell r="FG328" t="str">
            <v>31 to 61 Days</v>
          </cell>
          <cell r="FH328" t="str">
            <v>Done</v>
          </cell>
          <cell r="FI328" t="str">
            <v>Done</v>
          </cell>
          <cell r="FJ328" t="str">
            <v>NA</v>
          </cell>
          <cell r="FK328">
            <v>45251</v>
          </cell>
          <cell r="FM328" t="str">
            <v/>
          </cell>
          <cell r="GA328">
            <v>45251</v>
          </cell>
          <cell r="GC328">
            <v>45209</v>
          </cell>
          <cell r="GG328" t="str">
            <v>2023-2024</v>
          </cell>
        </row>
        <row r="329">
          <cell r="E329" t="str">
            <v>Adari Kanaka Ratnam Complex D no 18999  , Ratnam plazza Bashyam School , Sy No771 Chodavaram Mandal Opp  , CHODAVARAM , 531036</v>
          </cell>
          <cell r="F329" t="str">
            <v>9. EPC Ready</v>
          </cell>
          <cell r="G329" t="str">
            <v>SPAPCHB3562</v>
          </cell>
          <cell r="H329" t="str">
            <v>AP-SM-CDM-3000</v>
          </cell>
          <cell r="I329" t="str">
            <v>TWFA</v>
          </cell>
          <cell r="J329" t="str">
            <v>Q6RE</v>
          </cell>
          <cell r="K329" t="str">
            <v xml:space="preserve">E </v>
          </cell>
          <cell r="L329" t="str">
            <v>JD</v>
          </cell>
          <cell r="M329" t="str">
            <v>EPC Ready</v>
          </cell>
          <cell r="N329" t="str">
            <v>Jaisingh Desai</v>
          </cell>
          <cell r="P329" t="str">
            <v>Mr. Sudhakar Veerla</v>
          </cell>
          <cell r="Q329" t="str">
            <v>Gaurav Shinde</v>
          </cell>
          <cell r="S329" t="str">
            <v>Andhra Pradesh</v>
          </cell>
          <cell r="T329" t="str">
            <v>Anakapalle</v>
          </cell>
          <cell r="U329" t="str">
            <v>Non Premium</v>
          </cell>
          <cell r="V329" t="str">
            <v>Pharma Format</v>
          </cell>
          <cell r="W329">
            <v>400</v>
          </cell>
          <cell r="X329" t="str">
            <v>Adari Kanaka Ratnam Complex D no 18999  , Ratnam plazza Bashyam School , Sy No771 Chodavaram Mandal Opp  , CHODAVARAM , 531036</v>
          </cell>
          <cell r="Y329">
            <v>45124</v>
          </cell>
          <cell r="Z329" t="str">
            <v>NA</v>
          </cell>
          <cell r="AB329" t="str">
            <v>NA</v>
          </cell>
          <cell r="AF329" t="str">
            <v>NA</v>
          </cell>
          <cell r="AK329">
            <v>45142</v>
          </cell>
          <cell r="AL329" t="str">
            <v>Received</v>
          </cell>
          <cell r="AM329">
            <v>45137</v>
          </cell>
          <cell r="AO329">
            <v>3</v>
          </cell>
          <cell r="AS329">
            <v>-3</v>
          </cell>
          <cell r="AU329">
            <v>4</v>
          </cell>
          <cell r="AY329">
            <v>-4</v>
          </cell>
          <cell r="BA329">
            <v>5</v>
          </cell>
          <cell r="BE329">
            <v>-5</v>
          </cell>
          <cell r="BG329">
            <v>5</v>
          </cell>
          <cell r="BK329">
            <v>-5</v>
          </cell>
          <cell r="BM329">
            <v>3</v>
          </cell>
          <cell r="BP329">
            <v>3</v>
          </cell>
          <cell r="BW329" t="str">
            <v>Done</v>
          </cell>
          <cell r="BX329">
            <v>45079</v>
          </cell>
          <cell r="BY329" t="str">
            <v>Approved</v>
          </cell>
          <cell r="CD329">
            <v>45126</v>
          </cell>
          <cell r="CE329">
            <v>45159</v>
          </cell>
          <cell r="CG329" t="str">
            <v xml:space="preserve">M/s   SRK Constructions </v>
          </cell>
          <cell r="CI329" t="str">
            <v>Issued</v>
          </cell>
          <cell r="DG329" t="str">
            <v>Netmed SDP - Not in Dead Rental</v>
          </cell>
          <cell r="DK329">
            <v>45174</v>
          </cell>
          <cell r="DM329">
            <v>2</v>
          </cell>
          <cell r="DN329" t="str">
            <v>0 to 3 Days</v>
          </cell>
          <cell r="DP329">
            <v>45162</v>
          </cell>
          <cell r="DQ329">
            <v>45176</v>
          </cell>
          <cell r="DR329">
            <v>7</v>
          </cell>
          <cell r="DS329">
            <v>7</v>
          </cell>
          <cell r="DU329">
            <v>45183</v>
          </cell>
          <cell r="DV329">
            <v>45169</v>
          </cell>
          <cell r="DW329">
            <v>45183</v>
          </cell>
          <cell r="DX329" t="str">
            <v>Sep 23 Week 2</v>
          </cell>
          <cell r="DZ329">
            <v>45187</v>
          </cell>
          <cell r="EA329" t="str">
            <v>Sep 23 Week 3</v>
          </cell>
          <cell r="EB329" t="str">
            <v>Backlog</v>
          </cell>
          <cell r="ED329" t="str">
            <v/>
          </cell>
          <cell r="EE329" t="str">
            <v/>
          </cell>
          <cell r="EF329">
            <v>1</v>
          </cell>
          <cell r="EG329">
            <v>1</v>
          </cell>
          <cell r="FD329">
            <v>4</v>
          </cell>
          <cell r="FE329" t="str">
            <v>4 to 7 Days</v>
          </cell>
          <cell r="FF329">
            <v>18</v>
          </cell>
          <cell r="FG329" t="str">
            <v>16 to 31 Days</v>
          </cell>
          <cell r="FH329" t="str">
            <v>Done</v>
          </cell>
          <cell r="FI329" t="str">
            <v>Done</v>
          </cell>
          <cell r="FJ329" t="str">
            <v>NA</v>
          </cell>
          <cell r="FK329">
            <v>45191</v>
          </cell>
          <cell r="FM329" t="str">
            <v/>
          </cell>
          <cell r="GA329">
            <v>45185</v>
          </cell>
          <cell r="GC329">
            <v>45176</v>
          </cell>
          <cell r="GG329" t="str">
            <v>2023-2024</v>
          </cell>
        </row>
        <row r="330">
          <cell r="E330" t="str">
            <v>Andal To Ukhra Road Shiv Pally Khandra P  , Workshhop Ecl Andal Paschim Burdwan , Khandra PS Andal?Near Ukhra Regional  , ANDAL , 713363</v>
          </cell>
          <cell r="F330" t="str">
            <v>9. EPC Ready</v>
          </cell>
          <cell r="G330" t="str">
            <v>SPWBANS3601</v>
          </cell>
          <cell r="H330" t="str">
            <v>WB-SM-ANA-3000</v>
          </cell>
          <cell r="I330" t="str">
            <v>TYTI</v>
          </cell>
          <cell r="J330" t="str">
            <v>QB1M</v>
          </cell>
          <cell r="K330" t="str">
            <v xml:space="preserve">E </v>
          </cell>
          <cell r="L330" t="str">
            <v>SD</v>
          </cell>
          <cell r="M330" t="str">
            <v>EPC Ready</v>
          </cell>
          <cell r="N330" t="str">
            <v>Mahendrakumar Warma</v>
          </cell>
          <cell r="O330" t="str">
            <v xml:space="preserve">Sandeepta Gayen </v>
          </cell>
          <cell r="Q330" t="str">
            <v>Gaurav Shinde</v>
          </cell>
          <cell r="S330" t="str">
            <v>West Bengal</v>
          </cell>
          <cell r="T330" t="str">
            <v>ANDAL</v>
          </cell>
          <cell r="U330" t="str">
            <v>Non Premium</v>
          </cell>
          <cell r="V330" t="str">
            <v>Pharma Format</v>
          </cell>
          <cell r="W330">
            <v>403</v>
          </cell>
          <cell r="X330" t="str">
            <v>Andal To Ukhra Road Shiv Pally Khandra P  , Workshhop Ecl Andal Paschim Burdwan , Khandra PS Andal?Near Ukhra Regional  , ANDAL , 713363</v>
          </cell>
          <cell r="Y330">
            <v>45166</v>
          </cell>
          <cell r="Z330" t="str">
            <v>NA</v>
          </cell>
          <cell r="AB330" t="str">
            <v>NA</v>
          </cell>
          <cell r="AF330" t="str">
            <v>NA</v>
          </cell>
          <cell r="AK330">
            <v>45183</v>
          </cell>
          <cell r="AL330" t="str">
            <v>Received</v>
          </cell>
          <cell r="AM330">
            <v>45178</v>
          </cell>
          <cell r="AO330">
            <v>3</v>
          </cell>
          <cell r="AS330">
            <v>-3</v>
          </cell>
          <cell r="AU330">
            <v>4</v>
          </cell>
          <cell r="AY330">
            <v>-4</v>
          </cell>
          <cell r="BA330">
            <v>5</v>
          </cell>
          <cell r="BE330">
            <v>-5</v>
          </cell>
          <cell r="BG330">
            <v>5</v>
          </cell>
          <cell r="BK330">
            <v>-5</v>
          </cell>
          <cell r="BM330">
            <v>3</v>
          </cell>
          <cell r="BP330">
            <v>3</v>
          </cell>
          <cell r="BW330" t="str">
            <v>Done</v>
          </cell>
          <cell r="BX330">
            <v>45079</v>
          </cell>
          <cell r="BY330" t="str">
            <v>Approved</v>
          </cell>
          <cell r="CD330">
            <v>45163</v>
          </cell>
          <cell r="CE330">
            <v>45184</v>
          </cell>
          <cell r="CG330" t="str">
            <v>M/s. SNEHANGI TRADERS</v>
          </cell>
          <cell r="CI330" t="str">
            <v>Issued</v>
          </cell>
          <cell r="DG330" t="str">
            <v>Netmed SDP - Not in Dead Rental</v>
          </cell>
          <cell r="DK330">
            <v>45233</v>
          </cell>
          <cell r="DM330">
            <v>2</v>
          </cell>
          <cell r="DN330" t="str">
            <v>0 to 3 Days</v>
          </cell>
          <cell r="DP330">
            <v>45187</v>
          </cell>
          <cell r="DQ330">
            <v>45235</v>
          </cell>
          <cell r="DR330">
            <v>7</v>
          </cell>
          <cell r="DS330">
            <v>7</v>
          </cell>
          <cell r="DU330">
            <v>45242</v>
          </cell>
          <cell r="DV330">
            <v>45194</v>
          </cell>
          <cell r="DW330">
            <v>45242</v>
          </cell>
          <cell r="DX330" t="str">
            <v>Nov 23 Week 2</v>
          </cell>
          <cell r="DZ330">
            <v>45238</v>
          </cell>
          <cell r="EA330" t="str">
            <v>Nov 23 Week 2</v>
          </cell>
          <cell r="EB330" t="str">
            <v>Plan</v>
          </cell>
          <cell r="ED330" t="str">
            <v/>
          </cell>
          <cell r="EE330" t="str">
            <v/>
          </cell>
          <cell r="EF330">
            <v>1</v>
          </cell>
          <cell r="EG330">
            <v>1</v>
          </cell>
          <cell r="FD330">
            <v>-4</v>
          </cell>
          <cell r="FE330" t="str">
            <v>On Time</v>
          </cell>
          <cell r="FF330">
            <v>44</v>
          </cell>
          <cell r="FG330" t="str">
            <v>31 to 61 Days</v>
          </cell>
          <cell r="FH330" t="str">
            <v>Done</v>
          </cell>
          <cell r="FI330" t="str">
            <v>Done</v>
          </cell>
          <cell r="FJ330" t="str">
            <v>NA</v>
          </cell>
          <cell r="FK330">
            <v>45261</v>
          </cell>
          <cell r="FM330" t="str">
            <v/>
          </cell>
          <cell r="GA330">
            <v>45238</v>
          </cell>
          <cell r="GC330">
            <v>45225</v>
          </cell>
          <cell r="GG330" t="str">
            <v>2023-2024</v>
          </cell>
        </row>
        <row r="331">
          <cell r="E331" t="str">
            <v>SP Pharma Boxsirhat Busstand</v>
          </cell>
          <cell r="F331" t="str">
            <v>9. EPC Ready</v>
          </cell>
          <cell r="G331" t="str">
            <v>SPWBBAB3641</v>
          </cell>
          <cell r="H331" t="str">
            <v>WB-SM-BKT-3000</v>
          </cell>
          <cell r="I331" t="str">
            <v>TYYW</v>
          </cell>
          <cell r="J331" t="str">
            <v>QB6Y</v>
          </cell>
          <cell r="K331" t="str">
            <v xml:space="preserve">E </v>
          </cell>
          <cell r="L331" t="str">
            <v>SD</v>
          </cell>
          <cell r="M331" t="str">
            <v>EPC Ready</v>
          </cell>
          <cell r="N331" t="str">
            <v>Mahendrakumar Warma</v>
          </cell>
          <cell r="O331" t="str">
            <v xml:space="preserve">Sandeepta Gayen </v>
          </cell>
          <cell r="Q331" t="str">
            <v>Gaurav Shinde</v>
          </cell>
          <cell r="S331" t="str">
            <v>West Bengal</v>
          </cell>
          <cell r="T331" t="str">
            <v>BAKSHIRHAT</v>
          </cell>
          <cell r="U331" t="str">
            <v>Non Premium</v>
          </cell>
          <cell r="V331" t="str">
            <v>Pharma Format</v>
          </cell>
          <cell r="W331">
            <v>400</v>
          </cell>
          <cell r="X331" t="str">
            <v>SP Pharma Boxsirhat Busstand</v>
          </cell>
          <cell r="Y331">
            <v>45166</v>
          </cell>
          <cell r="Z331" t="str">
            <v>NA</v>
          </cell>
          <cell r="AB331" t="str">
            <v>NA</v>
          </cell>
          <cell r="AF331" t="str">
            <v>NA</v>
          </cell>
          <cell r="AK331">
            <v>45183</v>
          </cell>
          <cell r="AL331" t="str">
            <v>Received</v>
          </cell>
          <cell r="AM331">
            <v>45178</v>
          </cell>
          <cell r="AO331">
            <v>3</v>
          </cell>
          <cell r="AS331">
            <v>-3</v>
          </cell>
          <cell r="AU331">
            <v>4</v>
          </cell>
          <cell r="AY331">
            <v>-4</v>
          </cell>
          <cell r="BA331">
            <v>5</v>
          </cell>
          <cell r="BE331">
            <v>-5</v>
          </cell>
          <cell r="BG331">
            <v>5</v>
          </cell>
          <cell r="BK331">
            <v>-5</v>
          </cell>
          <cell r="BM331">
            <v>3</v>
          </cell>
          <cell r="BP331">
            <v>3</v>
          </cell>
          <cell r="BW331" t="str">
            <v>Done</v>
          </cell>
          <cell r="BX331">
            <v>45079</v>
          </cell>
          <cell r="BY331" t="str">
            <v>Approved</v>
          </cell>
          <cell r="CD331">
            <v>45163</v>
          </cell>
          <cell r="CE331">
            <v>45173</v>
          </cell>
          <cell r="CG331" t="str">
            <v>M/s. 3DESIRE NETWORKS AND SOLUTIONS</v>
          </cell>
          <cell r="CI331" t="str">
            <v>Issued</v>
          </cell>
          <cell r="DG331" t="str">
            <v>Netmed SDP - Not in Dead Rental</v>
          </cell>
          <cell r="DK331">
            <v>45192</v>
          </cell>
          <cell r="DM331">
            <v>2</v>
          </cell>
          <cell r="DN331" t="str">
            <v>0 to 3 Days</v>
          </cell>
          <cell r="DP331">
            <v>45176</v>
          </cell>
          <cell r="DQ331">
            <v>45194</v>
          </cell>
          <cell r="DR331">
            <v>7</v>
          </cell>
          <cell r="DS331">
            <v>7</v>
          </cell>
          <cell r="DU331">
            <v>45201</v>
          </cell>
          <cell r="DV331">
            <v>45183</v>
          </cell>
          <cell r="DW331">
            <v>45201</v>
          </cell>
          <cell r="DX331" t="str">
            <v>Oct 23 Week 1</v>
          </cell>
          <cell r="DZ331">
            <v>45324</v>
          </cell>
          <cell r="EA331" t="str">
            <v>Feb 24 Week 1</v>
          </cell>
          <cell r="EB331" t="str">
            <v>Backlog</v>
          </cell>
          <cell r="ED331" t="str">
            <v/>
          </cell>
          <cell r="EE331" t="str">
            <v/>
          </cell>
          <cell r="EF331">
            <v>1</v>
          </cell>
          <cell r="EG331">
            <v>0.8</v>
          </cell>
          <cell r="FD331">
            <v>123</v>
          </cell>
          <cell r="FE331" t="str">
            <v>More Than 90  Days</v>
          </cell>
          <cell r="FF331">
            <v>141</v>
          </cell>
          <cell r="FG331" t="str">
            <v>More Than 90  Days</v>
          </cell>
          <cell r="FH331" t="str">
            <v>Done</v>
          </cell>
          <cell r="FI331" t="str">
            <v>Done</v>
          </cell>
          <cell r="FJ331" t="str">
            <v>NA</v>
          </cell>
          <cell r="FK331">
            <v>45327</v>
          </cell>
          <cell r="FM331" t="str">
            <v/>
          </cell>
          <cell r="GA331">
            <v>45327</v>
          </cell>
          <cell r="GC331">
            <v>45194</v>
          </cell>
          <cell r="GG331" t="str">
            <v>2023-2024</v>
          </cell>
        </row>
        <row r="332">
          <cell r="E332" t="str">
            <v>Sadashiv Nadavalagudda Complex  , Gadag Betageri , Kalasapura Nandishwar Nagatr  , Gadag , 582103</v>
          </cell>
          <cell r="F332" t="str">
            <v>9. EPC Ready</v>
          </cell>
          <cell r="G332" t="str">
            <v xml:space="preserve">SPKANAG4165 </v>
          </cell>
          <cell r="H332" t="str">
            <v>KR-SM-GAD-3001</v>
          </cell>
          <cell r="I332" t="str">
            <v>TYVT</v>
          </cell>
          <cell r="J332" t="str">
            <v>QB3X</v>
          </cell>
          <cell r="K332" t="str">
            <v>S</v>
          </cell>
          <cell r="L332" t="str">
            <v>AK</v>
          </cell>
          <cell r="M332" t="str">
            <v>EPC Ready</v>
          </cell>
          <cell r="N332" t="str">
            <v>N Kalyankumar</v>
          </cell>
          <cell r="O332" t="str">
            <v>Sreekanth Bijjhalli</v>
          </cell>
          <cell r="P332" t="str">
            <v>Sreekanth.Bijjhalli-9900039061</v>
          </cell>
          <cell r="Q332" t="str">
            <v>Gaurav Shinde</v>
          </cell>
          <cell r="S332" t="str">
            <v>Karnataka</v>
          </cell>
          <cell r="T332" t="str">
            <v>GADAG</v>
          </cell>
          <cell r="U332" t="str">
            <v>Non Premium</v>
          </cell>
          <cell r="V332" t="str">
            <v>Pharma Format</v>
          </cell>
          <cell r="W332">
            <v>400</v>
          </cell>
          <cell r="X332" t="str">
            <v>Sadashiv Nadavalagudda Complex  , Gadag Betageri , Kalasapura Nandishwar Nagatr  , Gadag , 582103</v>
          </cell>
          <cell r="Y332">
            <v>45167</v>
          </cell>
          <cell r="Z332" t="str">
            <v>NA</v>
          </cell>
          <cell r="AB332" t="str">
            <v>NA</v>
          </cell>
          <cell r="AF332" t="str">
            <v>NA</v>
          </cell>
          <cell r="AK332">
            <v>45162</v>
          </cell>
          <cell r="AL332" t="str">
            <v>Received</v>
          </cell>
          <cell r="AO332">
            <v>3</v>
          </cell>
          <cell r="AS332">
            <v>-3</v>
          </cell>
          <cell r="AU332">
            <v>4</v>
          </cell>
          <cell r="AY332">
            <v>-4</v>
          </cell>
          <cell r="BA332">
            <v>5</v>
          </cell>
          <cell r="BE332">
            <v>-5</v>
          </cell>
          <cell r="BG332">
            <v>5</v>
          </cell>
          <cell r="BK332">
            <v>-5</v>
          </cell>
          <cell r="BM332">
            <v>3</v>
          </cell>
          <cell r="BP332">
            <v>3</v>
          </cell>
          <cell r="BW332" t="str">
            <v>Done</v>
          </cell>
          <cell r="BX332">
            <v>45079</v>
          </cell>
          <cell r="BY332" t="str">
            <v>Approved</v>
          </cell>
          <cell r="CD332">
            <v>45163</v>
          </cell>
          <cell r="CE332">
            <v>45229</v>
          </cell>
          <cell r="CG332" t="str">
            <v>M/s. AR Projects</v>
          </cell>
          <cell r="CI332" t="str">
            <v>Issued</v>
          </cell>
          <cell r="DA332" t="str">
            <v>NA</v>
          </cell>
          <cell r="DB332" t="str">
            <v>NA</v>
          </cell>
          <cell r="DC332" t="str">
            <v>NA</v>
          </cell>
          <cell r="DG332" t="str">
            <v>Netmed SDP - Not in Dead Rental</v>
          </cell>
          <cell r="DL332">
            <v>45168</v>
          </cell>
          <cell r="DM332" t="str">
            <v>NA</v>
          </cell>
          <cell r="DN332" t="str">
            <v>NA</v>
          </cell>
          <cell r="DO332" t="str">
            <v>6) LOA Issued Clearance Awaited from Business</v>
          </cell>
          <cell r="DP332">
            <v>45374</v>
          </cell>
          <cell r="DQ332">
            <v>45377</v>
          </cell>
          <cell r="DR332">
            <v>7</v>
          </cell>
          <cell r="DS332">
            <v>7</v>
          </cell>
          <cell r="DU332">
            <v>45384</v>
          </cell>
          <cell r="DV332">
            <v>45381</v>
          </cell>
          <cell r="DW332">
            <v>45384</v>
          </cell>
          <cell r="DX332" t="str">
            <v>April 24 Week 1</v>
          </cell>
          <cell r="DY332">
            <v>45383</v>
          </cell>
          <cell r="DZ332">
            <v>45382</v>
          </cell>
          <cell r="EA332" t="str">
            <v>March 24 Week 5</v>
          </cell>
          <cell r="EB332" t="str">
            <v>Backlog</v>
          </cell>
          <cell r="ED332" t="str">
            <v/>
          </cell>
          <cell r="EE332" t="str">
            <v/>
          </cell>
          <cell r="EF332">
            <v>1</v>
          </cell>
          <cell r="EG332">
            <v>1</v>
          </cell>
          <cell r="FD332">
            <v>-2</v>
          </cell>
          <cell r="FE332" t="str">
            <v>On Time</v>
          </cell>
          <cell r="FF332">
            <v>1</v>
          </cell>
          <cell r="FG332" t="str">
            <v>0 to 3 Days</v>
          </cell>
          <cell r="FH332" t="str">
            <v>done</v>
          </cell>
          <cell r="FJ332" t="str">
            <v>NA</v>
          </cell>
          <cell r="FK332">
            <v>45426</v>
          </cell>
          <cell r="FM332" t="str">
            <v/>
          </cell>
          <cell r="GC332">
            <v>45239</v>
          </cell>
          <cell r="GG332" t="str">
            <v>2023-2024</v>
          </cell>
        </row>
        <row r="333">
          <cell r="E333" t="str">
            <v>Arambagh Taltala Bazar  , Hooghly Nr B K Ray Super Market , Ward No 5 Po Ps Arambag  , ARAMBAG , 712601</v>
          </cell>
          <cell r="F333" t="str">
            <v>11. HOLD</v>
          </cell>
          <cell r="G333" t="str">
            <v>PHCOSD10498</v>
          </cell>
          <cell r="H333" t="str">
            <v>WB-SM-ARM-3000</v>
          </cell>
          <cell r="I333" t="str">
            <v>TZH5</v>
          </cell>
          <cell r="J333" t="str">
            <v>QDWN</v>
          </cell>
          <cell r="K333" t="str">
            <v xml:space="preserve">E </v>
          </cell>
          <cell r="L333" t="str">
            <v>SD</v>
          </cell>
          <cell r="M333" t="str">
            <v>NRFC</v>
          </cell>
          <cell r="N333" t="str">
            <v>Mahendrakumar Warma</v>
          </cell>
          <cell r="O333" t="str">
            <v xml:space="preserve">Sandeepta Gayen </v>
          </cell>
          <cell r="Q333" t="str">
            <v>Gaurav Shinde</v>
          </cell>
          <cell r="S333" t="str">
            <v>West Bengal</v>
          </cell>
          <cell r="T333" t="str">
            <v>Arambag</v>
          </cell>
          <cell r="U333" t="str">
            <v>Non Premium</v>
          </cell>
          <cell r="V333" t="str">
            <v>Pharma Format</v>
          </cell>
          <cell r="W333">
            <v>400</v>
          </cell>
          <cell r="X333" t="str">
            <v>Arambagh Taltala Bazar  , Hooghly Nr B K Ray Super Market , Ward No 5 Po Ps Arambag  , ARAMBAG , 712601</v>
          </cell>
          <cell r="Z333" t="str">
            <v>NA</v>
          </cell>
          <cell r="AB333" t="str">
            <v>NA</v>
          </cell>
          <cell r="AF333" t="str">
            <v>NA</v>
          </cell>
          <cell r="AK333">
            <v>45164</v>
          </cell>
          <cell r="AL333" t="str">
            <v>Received</v>
          </cell>
          <cell r="AM333">
            <v>0</v>
          </cell>
          <cell r="AO333">
            <v>3</v>
          </cell>
          <cell r="AS333">
            <v>-3</v>
          </cell>
          <cell r="AU333">
            <v>4</v>
          </cell>
          <cell r="AY333">
            <v>-4</v>
          </cell>
          <cell r="BA333">
            <v>5</v>
          </cell>
          <cell r="BE333">
            <v>-5</v>
          </cell>
          <cell r="BG333">
            <v>5</v>
          </cell>
          <cell r="BK333">
            <v>-5</v>
          </cell>
          <cell r="BM333">
            <v>3</v>
          </cell>
          <cell r="BP333">
            <v>3</v>
          </cell>
          <cell r="BW333" t="str">
            <v>Done</v>
          </cell>
          <cell r="BX333">
            <v>45079</v>
          </cell>
          <cell r="BY333" t="str">
            <v>Approved</v>
          </cell>
          <cell r="CD333">
            <v>45163</v>
          </cell>
          <cell r="CG333" t="str">
            <v>M/s. ELECTROLEC ENTERPRISE</v>
          </cell>
          <cell r="DG333" t="str">
            <v>Netmed SDP - Not in Dead Rental</v>
          </cell>
          <cell r="DM333" t="str">
            <v>NA</v>
          </cell>
          <cell r="DN333" t="str">
            <v>NA</v>
          </cell>
          <cell r="DR333">
            <v>7</v>
          </cell>
          <cell r="DS333">
            <v>7</v>
          </cell>
          <cell r="DU333">
            <v>7</v>
          </cell>
          <cell r="DV333">
            <v>7</v>
          </cell>
          <cell r="DW333">
            <v>7</v>
          </cell>
          <cell r="EA333" t="str">
            <v/>
          </cell>
          <cell r="ED333" t="str">
            <v/>
          </cell>
          <cell r="EE333" t="str">
            <v/>
          </cell>
          <cell r="FD333">
            <v>46114</v>
          </cell>
          <cell r="FF333">
            <v>46114</v>
          </cell>
          <cell r="FJ333" t="str">
            <v>NA</v>
          </cell>
          <cell r="FM333" t="str">
            <v/>
          </cell>
          <cell r="GG333" t="str">
            <v>2026-2027</v>
          </cell>
        </row>
        <row r="334">
          <cell r="E334" t="str">
            <v>Mrs S Pappathi Ss Thirumana Mahal DoorNo  , Ariyalur , 24 5C Rajeev Nagar Opp Kvs Hospital  , ARIYALUR , 621704</v>
          </cell>
          <cell r="F334" t="str">
            <v>9. EPC Ready</v>
          </cell>
          <cell r="G334" t="str">
            <v>SPTNARS3560</v>
          </cell>
          <cell r="H334" t="str">
            <v>TN-SM-AYR-3000</v>
          </cell>
          <cell r="I334" t="str">
            <v>TYQO</v>
          </cell>
          <cell r="J334" t="str">
            <v>QBXS</v>
          </cell>
          <cell r="K334" t="str">
            <v>S</v>
          </cell>
          <cell r="L334" t="str">
            <v>AK</v>
          </cell>
          <cell r="M334" t="str">
            <v>EPC Ready</v>
          </cell>
          <cell r="N334" t="str">
            <v>N Kalyankumar</v>
          </cell>
          <cell r="O334" t="str">
            <v>Muthuvelu Minnal /
Vijayakumar Muthusamy</v>
          </cell>
          <cell r="Q334" t="str">
            <v>Gaurav Shinde</v>
          </cell>
          <cell r="S334" t="str">
            <v>Tamil Nadu</v>
          </cell>
          <cell r="T334" t="str">
            <v>Ariyalur</v>
          </cell>
          <cell r="U334" t="str">
            <v>Non Premium</v>
          </cell>
          <cell r="V334" t="str">
            <v>Pharma Format</v>
          </cell>
          <cell r="W334">
            <v>400</v>
          </cell>
          <cell r="X334" t="str">
            <v>Mrs S Pappathi Ss Thirumana Mahal DoorNo  , Ariyalur , 24 5C Rajeev Nagar Opp Kvs Hospital  , ARIYALUR , 621704</v>
          </cell>
          <cell r="Y334">
            <v>45166</v>
          </cell>
          <cell r="Z334" t="str">
            <v>NA</v>
          </cell>
          <cell r="AB334" t="str">
            <v>NA</v>
          </cell>
          <cell r="AF334" t="str">
            <v>NA</v>
          </cell>
          <cell r="AK334">
            <v>45231</v>
          </cell>
          <cell r="AL334" t="str">
            <v>Received</v>
          </cell>
          <cell r="AM334">
            <v>0</v>
          </cell>
          <cell r="AO334">
            <v>3</v>
          </cell>
          <cell r="AS334">
            <v>-3</v>
          </cell>
          <cell r="AU334">
            <v>4</v>
          </cell>
          <cell r="AY334">
            <v>-4</v>
          </cell>
          <cell r="BA334">
            <v>5</v>
          </cell>
          <cell r="BE334">
            <v>-5</v>
          </cell>
          <cell r="BG334">
            <v>5</v>
          </cell>
          <cell r="BK334">
            <v>-5</v>
          </cell>
          <cell r="BM334">
            <v>3</v>
          </cell>
          <cell r="BP334">
            <v>3</v>
          </cell>
          <cell r="BW334" t="str">
            <v>Done</v>
          </cell>
          <cell r="BX334">
            <v>45079</v>
          </cell>
          <cell r="BY334" t="str">
            <v>Approved</v>
          </cell>
          <cell r="CD334">
            <v>45163</v>
          </cell>
          <cell r="CE334">
            <v>45192</v>
          </cell>
          <cell r="CG334" t="str">
            <v>M/s MAACON</v>
          </cell>
          <cell r="CI334" t="str">
            <v>Issued</v>
          </cell>
          <cell r="DG334" t="str">
            <v>Netmed SDP - Not in Dead Rental</v>
          </cell>
          <cell r="DK334">
            <v>45262</v>
          </cell>
          <cell r="DL334">
            <v>45181</v>
          </cell>
          <cell r="DM334">
            <v>2</v>
          </cell>
          <cell r="DN334" t="str">
            <v>0 to 3 Days</v>
          </cell>
          <cell r="DP334">
            <v>45195</v>
          </cell>
          <cell r="DQ334">
            <v>45264</v>
          </cell>
          <cell r="DR334">
            <v>7</v>
          </cell>
          <cell r="DS334">
            <v>7</v>
          </cell>
          <cell r="DU334">
            <v>45271</v>
          </cell>
          <cell r="DV334">
            <v>45202</v>
          </cell>
          <cell r="DW334">
            <v>45271</v>
          </cell>
          <cell r="DX334" t="str">
            <v>Dec 23 Week 2</v>
          </cell>
          <cell r="DZ334">
            <v>45286</v>
          </cell>
          <cell r="EA334" t="str">
            <v>Dec 23 Week 4</v>
          </cell>
          <cell r="EB334" t="str">
            <v>Backlog</v>
          </cell>
          <cell r="ED334" t="str">
            <v/>
          </cell>
          <cell r="EE334" t="str">
            <v/>
          </cell>
          <cell r="EF334">
            <v>1</v>
          </cell>
          <cell r="EG334">
            <v>1</v>
          </cell>
          <cell r="FD334">
            <v>15</v>
          </cell>
          <cell r="FE334" t="str">
            <v>8 to 15 Days</v>
          </cell>
          <cell r="FF334">
            <v>84</v>
          </cell>
          <cell r="FG334" t="str">
            <v>62 to 90 Days</v>
          </cell>
          <cell r="FH334" t="str">
            <v>Done</v>
          </cell>
          <cell r="FI334" t="str">
            <v>Done</v>
          </cell>
          <cell r="FJ334" t="str">
            <v>NA</v>
          </cell>
          <cell r="FK334">
            <v>45299</v>
          </cell>
          <cell r="FM334" t="str">
            <v/>
          </cell>
          <cell r="GA334">
            <v>45286</v>
          </cell>
          <cell r="GC334">
            <v>45252</v>
          </cell>
          <cell r="GG334" t="str">
            <v>2023-2024</v>
          </cell>
        </row>
        <row r="335">
          <cell r="E335" t="str">
            <v>RRL GF Piaro House Plot No 1060 1061 1  , Bihar , Khata No 55 25 Revenue Thana No 85 , Katha 10 Dhur 16 Dhurki Village , PIRO , 802207</v>
          </cell>
          <cell r="F335" t="str">
            <v>9. EPC Ready</v>
          </cell>
          <cell r="G335" t="str">
            <v>SPBHARP2922</v>
          </cell>
          <cell r="H335" t="str">
            <v>BH-SM-PIR-3000</v>
          </cell>
          <cell r="I335" t="str">
            <v>TYGD</v>
          </cell>
          <cell r="J335" t="str">
            <v>QBMF</v>
          </cell>
          <cell r="K335" t="str">
            <v xml:space="preserve">E </v>
          </cell>
          <cell r="L335" t="str">
            <v>AK</v>
          </cell>
          <cell r="M335" t="str">
            <v>EPC Ready</v>
          </cell>
          <cell r="P335" t="str">
            <v xml:space="preserve">Avinandan Kumar </v>
          </cell>
          <cell r="Q335" t="str">
            <v>Gaurav Shinde</v>
          </cell>
          <cell r="S335" t="str">
            <v>Bihar</v>
          </cell>
          <cell r="T335" t="str">
            <v>Arrah</v>
          </cell>
          <cell r="U335" t="str">
            <v>Non Premium</v>
          </cell>
          <cell r="V335" t="str">
            <v>Pharma Format</v>
          </cell>
          <cell r="W335">
            <v>400</v>
          </cell>
          <cell r="X335" t="str">
            <v>RRL GF Piaro House Plot No 1060 1061 1  , Bihar , Khata No 55 25 Revenue Thana No 85 , Katha 10 Dhur 16 Dhurki Village , PIRO , 802207</v>
          </cell>
          <cell r="Y335">
            <v>45166</v>
          </cell>
          <cell r="Z335" t="str">
            <v>NA</v>
          </cell>
          <cell r="AB335" t="str">
            <v>NA</v>
          </cell>
          <cell r="AF335" t="str">
            <v>NA</v>
          </cell>
          <cell r="AK335">
            <v>45166</v>
          </cell>
          <cell r="AL335" t="str">
            <v>Received</v>
          </cell>
          <cell r="AM335">
            <v>0</v>
          </cell>
          <cell r="AO335">
            <v>3</v>
          </cell>
          <cell r="AS335">
            <v>-3</v>
          </cell>
          <cell r="AU335">
            <v>4</v>
          </cell>
          <cell r="AY335">
            <v>-4</v>
          </cell>
          <cell r="BA335">
            <v>5</v>
          </cell>
          <cell r="BE335">
            <v>-5</v>
          </cell>
          <cell r="BG335">
            <v>5</v>
          </cell>
          <cell r="BK335">
            <v>-5</v>
          </cell>
          <cell r="BM335">
            <v>3</v>
          </cell>
          <cell r="BP335">
            <v>3</v>
          </cell>
          <cell r="BW335" t="str">
            <v>Done</v>
          </cell>
          <cell r="BX335">
            <v>45079</v>
          </cell>
          <cell r="BY335" t="str">
            <v>Approved</v>
          </cell>
          <cell r="CD335">
            <v>45163</v>
          </cell>
          <cell r="CE335">
            <v>45175</v>
          </cell>
          <cell r="CG335" t="str">
            <v xml:space="preserve">M/S Laxmi Enterprises </v>
          </cell>
          <cell r="CI335" t="str">
            <v>Issued</v>
          </cell>
          <cell r="DG335" t="str">
            <v>Netmed SDP - Not in Dead Rental</v>
          </cell>
          <cell r="DK335">
            <v>45132</v>
          </cell>
          <cell r="DM335">
            <v>2</v>
          </cell>
          <cell r="DN335" t="str">
            <v>0 to 3 Days</v>
          </cell>
          <cell r="DP335">
            <v>45178</v>
          </cell>
          <cell r="DQ335">
            <v>45134</v>
          </cell>
          <cell r="DR335">
            <v>7</v>
          </cell>
          <cell r="DS335">
            <v>7</v>
          </cell>
          <cell r="DU335">
            <v>45141</v>
          </cell>
          <cell r="DV335">
            <v>45185</v>
          </cell>
          <cell r="DW335">
            <v>45141</v>
          </cell>
          <cell r="DX335" t="str">
            <v>Aug 23 Week 1</v>
          </cell>
          <cell r="DZ335">
            <v>45282</v>
          </cell>
          <cell r="EA335" t="str">
            <v>Dec 23 Week 4</v>
          </cell>
          <cell r="EB335" t="str">
            <v>Backlog</v>
          </cell>
          <cell r="ED335" t="str">
            <v/>
          </cell>
          <cell r="EE335" t="str">
            <v/>
          </cell>
          <cell r="EF335">
            <v>1</v>
          </cell>
          <cell r="EG335">
            <v>1</v>
          </cell>
          <cell r="FD335">
            <v>141</v>
          </cell>
          <cell r="FE335" t="str">
            <v>More Than 90  Days</v>
          </cell>
          <cell r="FF335">
            <v>97</v>
          </cell>
          <cell r="FG335" t="str">
            <v>More Than 90  Days</v>
          </cell>
          <cell r="FH335" t="str">
            <v>Done</v>
          </cell>
          <cell r="FI335" t="str">
            <v>Done</v>
          </cell>
          <cell r="FJ335" t="str">
            <v>NA</v>
          </cell>
          <cell r="FK335">
            <v>45281</v>
          </cell>
          <cell r="FM335" t="str">
            <v/>
          </cell>
          <cell r="GA335">
            <v>45282</v>
          </cell>
          <cell r="GC335">
            <v>45187</v>
          </cell>
          <cell r="GG335" t="str">
            <v>2023-2024</v>
          </cell>
        </row>
        <row r="336">
          <cell r="E336" t="str">
            <v>Barobisha Chowpathi Purba Chakchaka  , Barobisha Alipurduar , Po Barobisha Ps Kumargram  , BAROBISHA , 736207</v>
          </cell>
          <cell r="F336" t="str">
            <v>9. EPC Ready</v>
          </cell>
          <cell r="G336" t="str">
            <v>SPWBBAB4047</v>
          </cell>
          <cell r="H336" t="str">
            <v>WB-SM-BBS-3000</v>
          </cell>
          <cell r="I336" t="str">
            <v>TAJQ</v>
          </cell>
          <cell r="J336" t="str">
            <v>QFYT</v>
          </cell>
          <cell r="K336" t="str">
            <v xml:space="preserve">E </v>
          </cell>
          <cell r="L336" t="str">
            <v>SD</v>
          </cell>
          <cell r="M336" t="str">
            <v>EPC Ready</v>
          </cell>
          <cell r="N336" t="str">
            <v>Mahendrakumar Warma</v>
          </cell>
          <cell r="O336" t="str">
            <v xml:space="preserve">Sandeepta Gayen </v>
          </cell>
          <cell r="Q336" t="str">
            <v>Gaurav Shinde</v>
          </cell>
          <cell r="S336" t="str">
            <v>West Bengal</v>
          </cell>
          <cell r="T336" t="str">
            <v>Barobisha</v>
          </cell>
          <cell r="U336" t="str">
            <v>Non Premium</v>
          </cell>
          <cell r="V336" t="str">
            <v>Pharma Format</v>
          </cell>
          <cell r="W336">
            <v>402</v>
          </cell>
          <cell r="X336" t="str">
            <v>Barobisha Chowpathi Purba Chakchaka  , Barobisha Alipurduar , Po Barobisha Ps Kumargram  , BAROBISHA , 736207</v>
          </cell>
          <cell r="Y336">
            <v>45166</v>
          </cell>
          <cell r="Z336" t="str">
            <v>NA</v>
          </cell>
          <cell r="AB336" t="str">
            <v>NA</v>
          </cell>
          <cell r="AF336" t="str">
            <v>NA</v>
          </cell>
          <cell r="AK336">
            <v>45184</v>
          </cell>
          <cell r="AL336" t="str">
            <v>Received</v>
          </cell>
          <cell r="AM336">
            <v>0</v>
          </cell>
          <cell r="AO336">
            <v>3</v>
          </cell>
          <cell r="AS336">
            <v>-3</v>
          </cell>
          <cell r="AU336">
            <v>4</v>
          </cell>
          <cell r="AY336">
            <v>-4</v>
          </cell>
          <cell r="BA336">
            <v>5</v>
          </cell>
          <cell r="BE336">
            <v>-5</v>
          </cell>
          <cell r="BG336">
            <v>5</v>
          </cell>
          <cell r="BK336">
            <v>-5</v>
          </cell>
          <cell r="BM336">
            <v>3</v>
          </cell>
          <cell r="BP336">
            <v>3</v>
          </cell>
          <cell r="BW336" t="str">
            <v>Done</v>
          </cell>
          <cell r="BX336">
            <v>45079</v>
          </cell>
          <cell r="BY336" t="str">
            <v>Approved</v>
          </cell>
          <cell r="CD336">
            <v>45163</v>
          </cell>
          <cell r="CE336">
            <v>45173</v>
          </cell>
          <cell r="CG336" t="str">
            <v>M/s. 3DESIRE NETWORKS AND SOLUTIONS</v>
          </cell>
          <cell r="CI336" t="str">
            <v>Issued</v>
          </cell>
          <cell r="DG336" t="str">
            <v>Netmed SDP - Not in Dead Rental</v>
          </cell>
          <cell r="DK336">
            <v>45200</v>
          </cell>
          <cell r="DL336">
            <v>45175</v>
          </cell>
          <cell r="DM336">
            <v>2</v>
          </cell>
          <cell r="DN336" t="str">
            <v>0 to 3 Days</v>
          </cell>
          <cell r="DP336">
            <v>45176</v>
          </cell>
          <cell r="DQ336">
            <v>45202</v>
          </cell>
          <cell r="DR336">
            <v>7</v>
          </cell>
          <cell r="DS336">
            <v>7</v>
          </cell>
          <cell r="DU336">
            <v>45209</v>
          </cell>
          <cell r="DV336">
            <v>45183</v>
          </cell>
          <cell r="DW336">
            <v>45209</v>
          </cell>
          <cell r="DX336" t="str">
            <v>Oct 23 Week 2</v>
          </cell>
          <cell r="DZ336">
            <v>45252</v>
          </cell>
          <cell r="EA336" t="str">
            <v>Nov 23 Week 4</v>
          </cell>
          <cell r="EB336" t="str">
            <v>Backlog</v>
          </cell>
          <cell r="ED336" t="str">
            <v/>
          </cell>
          <cell r="EE336" t="str">
            <v/>
          </cell>
          <cell r="EF336">
            <v>1</v>
          </cell>
          <cell r="EG336">
            <v>1</v>
          </cell>
          <cell r="FD336">
            <v>43</v>
          </cell>
          <cell r="FE336" t="str">
            <v>31 to 61 Days</v>
          </cell>
          <cell r="FF336">
            <v>69</v>
          </cell>
          <cell r="FG336" t="str">
            <v>62 to 90 Days</v>
          </cell>
          <cell r="FH336" t="str">
            <v>Done</v>
          </cell>
          <cell r="FI336" t="str">
            <v>Done</v>
          </cell>
          <cell r="FJ336" t="str">
            <v>NA</v>
          </cell>
          <cell r="FK336">
            <v>45252</v>
          </cell>
          <cell r="FM336" t="str">
            <v/>
          </cell>
          <cell r="GA336">
            <v>45252</v>
          </cell>
          <cell r="GC336">
            <v>45202</v>
          </cell>
          <cell r="GG336" t="str">
            <v>2023-2024</v>
          </cell>
        </row>
        <row r="337">
          <cell r="E337" t="str">
            <v>RRL GF Parvati House Plot No 71 Khata  , Munger , No 661 Revenue Thana No 199 Village , Dhadhi Belari PS Sultanganj Dist Bhag , MUNGER , 813201</v>
          </cell>
          <cell r="F337" t="str">
            <v>9. EPC Ready</v>
          </cell>
          <cell r="G337" t="str">
            <v>SPBHASA3305</v>
          </cell>
          <cell r="H337" t="str">
            <v>BH-SM-MNG-3001</v>
          </cell>
          <cell r="I337" t="str">
            <v>TYIH</v>
          </cell>
          <cell r="J337" t="str">
            <v>QBOG</v>
          </cell>
          <cell r="K337" t="str">
            <v xml:space="preserve">E </v>
          </cell>
          <cell r="L337" t="str">
            <v>AK</v>
          </cell>
          <cell r="M337" t="str">
            <v>EPC Ready</v>
          </cell>
          <cell r="Q337" t="str">
            <v>Gaurav Shinde</v>
          </cell>
          <cell r="S337" t="str">
            <v>Bihar</v>
          </cell>
          <cell r="T337" t="str">
            <v>Asarganj</v>
          </cell>
          <cell r="U337" t="str">
            <v>Non Premium</v>
          </cell>
          <cell r="V337" t="str">
            <v>Pharma Format</v>
          </cell>
          <cell r="W337">
            <v>400</v>
          </cell>
          <cell r="X337" t="str">
            <v>RRL GF Parvati House Plot No 71 Khata  , Munger , No 661 Revenue Thana No 199 Village , Dhadhi Belari PS Sultanganj Dist Bhag , MUNGER , 813201</v>
          </cell>
          <cell r="Y337">
            <v>45166</v>
          </cell>
          <cell r="Z337" t="str">
            <v>NA</v>
          </cell>
          <cell r="AB337" t="str">
            <v>NA</v>
          </cell>
          <cell r="AF337" t="str">
            <v>NA</v>
          </cell>
          <cell r="AK337">
            <v>45162</v>
          </cell>
          <cell r="AL337" t="str">
            <v>Received</v>
          </cell>
          <cell r="AM337">
            <v>0</v>
          </cell>
          <cell r="AO337">
            <v>3</v>
          </cell>
          <cell r="AS337">
            <v>-3</v>
          </cell>
          <cell r="AU337">
            <v>4</v>
          </cell>
          <cell r="AY337">
            <v>-4</v>
          </cell>
          <cell r="BA337">
            <v>5</v>
          </cell>
          <cell r="BE337">
            <v>-5</v>
          </cell>
          <cell r="BG337">
            <v>5</v>
          </cell>
          <cell r="BK337">
            <v>-5</v>
          </cell>
          <cell r="BM337">
            <v>3</v>
          </cell>
          <cell r="BP337">
            <v>3</v>
          </cell>
          <cell r="BW337" t="str">
            <v>Done</v>
          </cell>
          <cell r="BX337">
            <v>45079</v>
          </cell>
          <cell r="BY337" t="str">
            <v>Approved</v>
          </cell>
          <cell r="CD337">
            <v>45163</v>
          </cell>
          <cell r="CE337">
            <v>45270</v>
          </cell>
          <cell r="CG337" t="str">
            <v xml:space="preserve">M/S RECON </v>
          </cell>
          <cell r="CI337" t="str">
            <v>Issued</v>
          </cell>
          <cell r="DG337" t="str">
            <v>Netmed SDP - Not in Dead Rental</v>
          </cell>
          <cell r="DK337">
            <v>45300</v>
          </cell>
          <cell r="DL337">
            <v>45294</v>
          </cell>
          <cell r="DM337">
            <v>2</v>
          </cell>
          <cell r="DN337" t="str">
            <v>0 to 3 Days</v>
          </cell>
          <cell r="DP337">
            <v>45273</v>
          </cell>
          <cell r="DQ337">
            <v>45302</v>
          </cell>
          <cell r="DR337">
            <v>7</v>
          </cell>
          <cell r="DS337">
            <v>7</v>
          </cell>
          <cell r="DU337">
            <v>45309</v>
          </cell>
          <cell r="DV337">
            <v>45280</v>
          </cell>
          <cell r="DW337">
            <v>45309</v>
          </cell>
          <cell r="DX337" t="str">
            <v>Jan 24 Week 3</v>
          </cell>
          <cell r="DZ337">
            <v>45331</v>
          </cell>
          <cell r="EA337" t="str">
            <v>Feb 24 Week 2</v>
          </cell>
          <cell r="EB337" t="str">
            <v>Plan</v>
          </cell>
          <cell r="ED337" t="str">
            <v/>
          </cell>
          <cell r="EE337" t="str">
            <v/>
          </cell>
          <cell r="FD337">
            <v>22</v>
          </cell>
          <cell r="FE337" t="str">
            <v>16 to 31 Days</v>
          </cell>
          <cell r="FF337">
            <v>51</v>
          </cell>
          <cell r="FG337" t="str">
            <v>31 to 61 Days</v>
          </cell>
          <cell r="FH337" t="str">
            <v>Done</v>
          </cell>
          <cell r="FI337" t="str">
            <v>Done</v>
          </cell>
          <cell r="FJ337" t="str">
            <v>NA</v>
          </cell>
          <cell r="FK337">
            <v>45334</v>
          </cell>
          <cell r="FM337" t="str">
            <v/>
          </cell>
          <cell r="GA337">
            <v>45330</v>
          </cell>
          <cell r="GC337">
            <v>45302</v>
          </cell>
          <cell r="GG337" t="str">
            <v>2023-2024</v>
          </cell>
        </row>
        <row r="338">
          <cell r="E338" t="str">
            <v>Ground Floor Saluja Tower Plot No:1017  , Ashok Nagar Tehsil &amp; Dist-  Ashok Nagar , 10181019Soni Colony By- pass road  , Ashok nagar , 473331</v>
          </cell>
          <cell r="F338" t="str">
            <v>14. Dropped</v>
          </cell>
          <cell r="G338" t="str">
            <v>SPMPGUG3902</v>
          </cell>
          <cell r="H338" t="str">
            <v>MP-SM-AKN-3001</v>
          </cell>
          <cell r="I338" t="str">
            <v>TYM9</v>
          </cell>
          <cell r="J338" t="str">
            <v/>
          </cell>
          <cell r="K338" t="str">
            <v>W</v>
          </cell>
          <cell r="L338" t="str">
            <v>KC</v>
          </cell>
          <cell r="M338" t="str">
            <v>Dropped</v>
          </cell>
          <cell r="Q338" t="str">
            <v>Gaurav Shinde</v>
          </cell>
          <cell r="S338" t="str">
            <v>Madhya Pradesh</v>
          </cell>
          <cell r="T338" t="str">
            <v>Ashok nagar</v>
          </cell>
          <cell r="U338" t="str">
            <v>Non Premium</v>
          </cell>
          <cell r="V338" t="str">
            <v>Pharma Format</v>
          </cell>
          <cell r="W338">
            <v>402</v>
          </cell>
          <cell r="X338" t="str">
            <v>Ground Floor Saluja Tower Plot No:1017  , Ashok Nagar Tehsil &amp; Dist-  Ashok Nagar , 10181019Soni Colony By- pass road  , Ashok nagar , 473331</v>
          </cell>
          <cell r="Z338" t="str">
            <v>NA</v>
          </cell>
          <cell r="AB338" t="str">
            <v>NA</v>
          </cell>
          <cell r="AF338" t="str">
            <v>NA</v>
          </cell>
          <cell r="AL338" t="str">
            <v>NA</v>
          </cell>
          <cell r="AM338">
            <v>0</v>
          </cell>
          <cell r="AO338">
            <v>3</v>
          </cell>
          <cell r="AS338">
            <v>-3</v>
          </cell>
          <cell r="AU338">
            <v>4</v>
          </cell>
          <cell r="AY338">
            <v>-4</v>
          </cell>
          <cell r="BA338">
            <v>5</v>
          </cell>
          <cell r="BE338">
            <v>-5</v>
          </cell>
          <cell r="BG338">
            <v>5</v>
          </cell>
          <cell r="BK338">
            <v>-5</v>
          </cell>
          <cell r="BM338">
            <v>3</v>
          </cell>
          <cell r="BP338">
            <v>3</v>
          </cell>
          <cell r="BW338" t="str">
            <v>Done</v>
          </cell>
          <cell r="BX338">
            <v>45079</v>
          </cell>
          <cell r="BY338" t="str">
            <v>Approved</v>
          </cell>
          <cell r="DG338" t="str">
            <v>Netmed SDP - Not in Dead Rental</v>
          </cell>
          <cell r="DM338" t="str">
            <v>NA</v>
          </cell>
          <cell r="DN338" t="str">
            <v>NA</v>
          </cell>
          <cell r="DR338">
            <v>7</v>
          </cell>
          <cell r="DS338">
            <v>7</v>
          </cell>
          <cell r="DU338">
            <v>7</v>
          </cell>
          <cell r="DV338">
            <v>7</v>
          </cell>
          <cell r="DW338">
            <v>7</v>
          </cell>
          <cell r="EA338" t="str">
            <v/>
          </cell>
          <cell r="ED338" t="str">
            <v/>
          </cell>
          <cell r="EE338" t="str">
            <v/>
          </cell>
          <cell r="FD338">
            <v>46114</v>
          </cell>
          <cell r="FF338">
            <v>46114</v>
          </cell>
          <cell r="FJ338" t="str">
            <v>NA</v>
          </cell>
          <cell r="FM338" t="str">
            <v/>
          </cell>
          <cell r="GG338" t="str">
            <v>2024-2025</v>
          </cell>
        </row>
        <row r="339">
          <cell r="E339" t="str">
            <v>Rudra Complex Main Road Bhawanathpur  , Bhawanathpur Garhwa , Near Block Bhawnathpur  , Bhawanathpur , 822112</v>
          </cell>
          <cell r="F339" t="str">
            <v>9. EPC Ready</v>
          </cell>
          <cell r="G339" t="str">
            <v>SPJHBHM4238</v>
          </cell>
          <cell r="H339" t="str">
            <v>JH-SM-BHW-3000</v>
          </cell>
          <cell r="I339" t="str">
            <v>TAYQ</v>
          </cell>
          <cell r="J339" t="str">
            <v>QGHU</v>
          </cell>
          <cell r="K339" t="str">
            <v xml:space="preserve">E </v>
          </cell>
          <cell r="L339" t="str">
            <v>AK</v>
          </cell>
          <cell r="M339" t="str">
            <v>EPC Ready</v>
          </cell>
          <cell r="P339" t="str">
            <v xml:space="preserve">Avinandan Kumar </v>
          </cell>
          <cell r="Q339" t="str">
            <v>Gaurav Shinde</v>
          </cell>
          <cell r="S339" t="str">
            <v>Jharkhand</v>
          </cell>
          <cell r="T339" t="str">
            <v>Bhawanathpur</v>
          </cell>
          <cell r="U339" t="str">
            <v>Non Premium</v>
          </cell>
          <cell r="V339" t="str">
            <v>Pharma Format</v>
          </cell>
          <cell r="W339">
            <v>400</v>
          </cell>
          <cell r="X339" t="str">
            <v>Rudra Complex Main Road Bhawanathpur  , Bhawanathpur Garhwa , Near Block Bhawnathpur  , Bhawanathpur , 822112</v>
          </cell>
          <cell r="Y339">
            <v>45163</v>
          </cell>
          <cell r="Z339" t="str">
            <v>NA</v>
          </cell>
          <cell r="AB339" t="str">
            <v>NA</v>
          </cell>
          <cell r="AF339" t="str">
            <v>NA</v>
          </cell>
          <cell r="AK339">
            <v>45150</v>
          </cell>
          <cell r="AL339" t="str">
            <v>Received</v>
          </cell>
          <cell r="AM339">
            <v>0</v>
          </cell>
          <cell r="AO339">
            <v>3</v>
          </cell>
          <cell r="AS339">
            <v>-3</v>
          </cell>
          <cell r="AU339">
            <v>4</v>
          </cell>
          <cell r="AY339">
            <v>-4</v>
          </cell>
          <cell r="BA339">
            <v>5</v>
          </cell>
          <cell r="BE339">
            <v>-5</v>
          </cell>
          <cell r="BG339">
            <v>5</v>
          </cell>
          <cell r="BK339">
            <v>-5</v>
          </cell>
          <cell r="BM339">
            <v>3</v>
          </cell>
          <cell r="BP339">
            <v>3</v>
          </cell>
          <cell r="BW339" t="str">
            <v>Done</v>
          </cell>
          <cell r="BX339">
            <v>45079</v>
          </cell>
          <cell r="BY339" t="str">
            <v>Approved</v>
          </cell>
          <cell r="CD339">
            <v>45162</v>
          </cell>
          <cell r="CE339">
            <v>45175</v>
          </cell>
          <cell r="CG339" t="str">
            <v>M/S VISHWAKARMA ENGINEERING</v>
          </cell>
          <cell r="CI339" t="str">
            <v>Issued</v>
          </cell>
          <cell r="DG339" t="str">
            <v>Netmed SDP - Not in Dead Rental</v>
          </cell>
          <cell r="DK339">
            <v>45196</v>
          </cell>
          <cell r="DL339">
            <v>45169</v>
          </cell>
          <cell r="DM339">
            <v>2</v>
          </cell>
          <cell r="DN339" t="str">
            <v>0 to 3 Days</v>
          </cell>
          <cell r="DP339">
            <v>45178</v>
          </cell>
          <cell r="DQ339">
            <v>45198</v>
          </cell>
          <cell r="DR339">
            <v>7</v>
          </cell>
          <cell r="DS339">
            <v>7</v>
          </cell>
          <cell r="DU339">
            <v>45205</v>
          </cell>
          <cell r="DV339">
            <v>45185</v>
          </cell>
          <cell r="DW339">
            <v>45205</v>
          </cell>
          <cell r="DX339" t="str">
            <v>Oct 23 Week 1</v>
          </cell>
          <cell r="DZ339">
            <v>45238</v>
          </cell>
          <cell r="EA339" t="str">
            <v>Nov 23 Week 2</v>
          </cell>
          <cell r="EB339" t="str">
            <v>Backlog</v>
          </cell>
          <cell r="ED339" t="str">
            <v/>
          </cell>
          <cell r="EE339" t="str">
            <v/>
          </cell>
          <cell r="EF339">
            <v>1</v>
          </cell>
          <cell r="EG339">
            <v>1</v>
          </cell>
          <cell r="FD339">
            <v>33</v>
          </cell>
          <cell r="FE339" t="str">
            <v>31 to 61 Days</v>
          </cell>
          <cell r="FF339">
            <v>53</v>
          </cell>
          <cell r="FG339" t="str">
            <v>31 to 61 Days</v>
          </cell>
          <cell r="FH339" t="str">
            <v>Done</v>
          </cell>
          <cell r="FI339" t="str">
            <v>Done</v>
          </cell>
          <cell r="FJ339" t="str">
            <v>NA</v>
          </cell>
          <cell r="FK339">
            <v>45244</v>
          </cell>
          <cell r="FM339" t="str">
            <v/>
          </cell>
          <cell r="GA339">
            <v>45241</v>
          </cell>
          <cell r="GC339">
            <v>45198</v>
          </cell>
          <cell r="GG339" t="str">
            <v>2023-2024</v>
          </cell>
        </row>
        <row r="340">
          <cell r="E340" t="str">
            <v>GF Ajay Complex Badarpur town  , Alakulipur Chapghat Badarpur revenue , Dag no 426 P Patta no 87 Mouza , circle Dist Karimganj , BADARPUR , 788806</v>
          </cell>
          <cell r="F340" t="str">
            <v>14. Dropped</v>
          </cell>
          <cell r="G340" t="str">
            <v>SPASBAS3355</v>
          </cell>
          <cell r="H340" t="str">
            <v>WB-SM-BDR-3000</v>
          </cell>
          <cell r="I340" t="str">
            <v>TZL9</v>
          </cell>
          <cell r="J340" t="str">
            <v>QDYV</v>
          </cell>
          <cell r="K340" t="str">
            <v xml:space="preserve">E </v>
          </cell>
          <cell r="L340" t="str">
            <v>SD</v>
          </cell>
          <cell r="M340" t="str">
            <v>Dropped</v>
          </cell>
          <cell r="N340" t="str">
            <v>Mahendrakumar Warma</v>
          </cell>
          <cell r="O340" t="str">
            <v>Anup das (EXCEPT SIKKIM)</v>
          </cell>
          <cell r="Q340" t="str">
            <v>Gaurav Shinde</v>
          </cell>
          <cell r="S340" t="str">
            <v>Assam</v>
          </cell>
          <cell r="T340" t="str">
            <v>Badarpur</v>
          </cell>
          <cell r="U340" t="str">
            <v>Non Premium</v>
          </cell>
          <cell r="V340" t="str">
            <v>Pharma Format</v>
          </cell>
          <cell r="W340">
            <v>400</v>
          </cell>
          <cell r="X340" t="str">
            <v>GF Ajay Complex Badarpur town  , Alakulipur Chapghat Badarpur revenue , Dag no 426 P Patta no 87 Mouza , circle Dist Karimganj , BADARPUR , 788806</v>
          </cell>
          <cell r="Z340" t="str">
            <v>NA</v>
          </cell>
          <cell r="AB340" t="str">
            <v>NA</v>
          </cell>
          <cell r="AF340" t="str">
            <v>NA</v>
          </cell>
          <cell r="AK340">
            <v>45150</v>
          </cell>
          <cell r="AL340" t="str">
            <v>Received</v>
          </cell>
          <cell r="AM340">
            <v>0</v>
          </cell>
          <cell r="AO340">
            <v>3</v>
          </cell>
          <cell r="AS340">
            <v>-3</v>
          </cell>
          <cell r="AU340">
            <v>4</v>
          </cell>
          <cell r="AY340">
            <v>-4</v>
          </cell>
          <cell r="BA340">
            <v>5</v>
          </cell>
          <cell r="BE340">
            <v>-5</v>
          </cell>
          <cell r="BG340">
            <v>5</v>
          </cell>
          <cell r="BK340">
            <v>-5</v>
          </cell>
          <cell r="BM340">
            <v>3</v>
          </cell>
          <cell r="BP340">
            <v>3</v>
          </cell>
          <cell r="BW340" t="str">
            <v>Done</v>
          </cell>
          <cell r="BX340">
            <v>45079</v>
          </cell>
          <cell r="BY340" t="str">
            <v>Approved</v>
          </cell>
          <cell r="DG340" t="str">
            <v>Netmed SDP - Not in Dead Rental</v>
          </cell>
          <cell r="DM340" t="str">
            <v>NA</v>
          </cell>
          <cell r="DN340" t="str">
            <v>NA</v>
          </cell>
          <cell r="DR340">
            <v>7</v>
          </cell>
          <cell r="DS340">
            <v>7</v>
          </cell>
          <cell r="DU340">
            <v>7</v>
          </cell>
          <cell r="DV340">
            <v>7</v>
          </cell>
          <cell r="DW340">
            <v>7</v>
          </cell>
          <cell r="EA340" t="str">
            <v/>
          </cell>
          <cell r="ED340" t="str">
            <v/>
          </cell>
          <cell r="EE340" t="str">
            <v/>
          </cell>
          <cell r="FD340">
            <v>46114</v>
          </cell>
          <cell r="FF340">
            <v>46114</v>
          </cell>
          <cell r="FJ340" t="str">
            <v>NA</v>
          </cell>
          <cell r="FM340" t="str">
            <v/>
          </cell>
          <cell r="GG340" t="str">
            <v>2024-2025</v>
          </cell>
        </row>
        <row r="341">
          <cell r="E341" t="str">
            <v>Plot No 3 Plot No 4 Navanagar Road Sectr  , Vidayagiri Bagalkote Taluk And Dist , 4 Kalidas Circle Opp Anjuman Callaege  , BAGALKOT , 587103</v>
          </cell>
          <cell r="F341" t="str">
            <v>9. EPC Ready</v>
          </cell>
          <cell r="G341" t="str">
            <v>SPKABAS3505</v>
          </cell>
          <cell r="H341" t="str">
            <v>KR-SM-BGL-3000</v>
          </cell>
          <cell r="I341" t="str">
            <v>TYOR</v>
          </cell>
          <cell r="J341" t="str">
            <v>QBVT</v>
          </cell>
          <cell r="K341" t="str">
            <v>S</v>
          </cell>
          <cell r="L341" t="str">
            <v>AK</v>
          </cell>
          <cell r="M341" t="str">
            <v>EPC Ready</v>
          </cell>
          <cell r="N341" t="str">
            <v>N Kalyankumar</v>
          </cell>
          <cell r="O341" t="str">
            <v>Sreekanth Bijjhalli</v>
          </cell>
          <cell r="P341" t="str">
            <v>Sreekanth.Bijjhalli-9900039061</v>
          </cell>
          <cell r="Q341" t="str">
            <v>Gaurav Shinde</v>
          </cell>
          <cell r="S341" t="str">
            <v>Karnataka</v>
          </cell>
          <cell r="T341" t="str">
            <v>BAGALKOT</v>
          </cell>
          <cell r="U341" t="str">
            <v>Non Premium</v>
          </cell>
          <cell r="V341" t="str">
            <v>Pharma Format</v>
          </cell>
          <cell r="W341">
            <v>405</v>
          </cell>
          <cell r="X341" t="str">
            <v>Plot No 3 Plot No 4 Navanagar Road Sectr  , Vidayagiri Bagalkote Taluk And Dist , 4 Kalidas Circle Opp Anjuman Callaege  , BAGALKOT , 587103</v>
          </cell>
          <cell r="Y341">
            <v>45163</v>
          </cell>
          <cell r="Z341" t="str">
            <v>NA</v>
          </cell>
          <cell r="AB341" t="str">
            <v>NA</v>
          </cell>
          <cell r="AF341" t="str">
            <v>NA</v>
          </cell>
          <cell r="AK341">
            <v>45162</v>
          </cell>
          <cell r="AL341" t="str">
            <v>Received</v>
          </cell>
          <cell r="AM341">
            <v>0</v>
          </cell>
          <cell r="AO341">
            <v>3</v>
          </cell>
          <cell r="AS341">
            <v>-3</v>
          </cell>
          <cell r="AU341">
            <v>4</v>
          </cell>
          <cell r="AY341">
            <v>-4</v>
          </cell>
          <cell r="BA341">
            <v>5</v>
          </cell>
          <cell r="BE341">
            <v>-5</v>
          </cell>
          <cell r="BG341">
            <v>5</v>
          </cell>
          <cell r="BK341">
            <v>-5</v>
          </cell>
          <cell r="BM341">
            <v>3</v>
          </cell>
          <cell r="BP341">
            <v>3</v>
          </cell>
          <cell r="BW341" t="str">
            <v>Done</v>
          </cell>
          <cell r="BX341">
            <v>45079</v>
          </cell>
          <cell r="BY341" t="str">
            <v>Approved</v>
          </cell>
          <cell r="CD341">
            <v>45162</v>
          </cell>
          <cell r="CE341">
            <v>45211</v>
          </cell>
          <cell r="CG341" t="str">
            <v>M/s. LOTIER INTERIOR PRIVATE LIMITED</v>
          </cell>
          <cell r="CI341" t="str">
            <v>Issued</v>
          </cell>
          <cell r="DG341" t="str">
            <v>Netmed SDP - Not in Dead Rental</v>
          </cell>
          <cell r="DK341">
            <v>45222</v>
          </cell>
          <cell r="DM341">
            <v>2</v>
          </cell>
          <cell r="DN341" t="str">
            <v>0 to 3 Days</v>
          </cell>
          <cell r="DP341">
            <v>45214</v>
          </cell>
          <cell r="DQ341">
            <v>45224</v>
          </cell>
          <cell r="DR341">
            <v>7</v>
          </cell>
          <cell r="DS341">
            <v>7</v>
          </cell>
          <cell r="DU341">
            <v>45231</v>
          </cell>
          <cell r="DV341">
            <v>45221</v>
          </cell>
          <cell r="DW341">
            <v>45231</v>
          </cell>
          <cell r="DX341" t="str">
            <v>Nov 23 Week 1</v>
          </cell>
          <cell r="DZ341">
            <v>45250</v>
          </cell>
          <cell r="EA341" t="str">
            <v>Nov 23 Week 3</v>
          </cell>
          <cell r="EB341" t="str">
            <v>Backlog</v>
          </cell>
          <cell r="ED341" t="str">
            <v/>
          </cell>
          <cell r="EE341" t="str">
            <v/>
          </cell>
          <cell r="EF341">
            <v>1</v>
          </cell>
          <cell r="EG341">
            <v>1</v>
          </cell>
          <cell r="FD341">
            <v>19</v>
          </cell>
          <cell r="FE341" t="str">
            <v>16 to 31 Days</v>
          </cell>
          <cell r="FF341">
            <v>29</v>
          </cell>
          <cell r="FG341" t="str">
            <v>16 to 31 Days</v>
          </cell>
          <cell r="FH341" t="str">
            <v>Done</v>
          </cell>
          <cell r="FI341" t="str">
            <v>Done</v>
          </cell>
          <cell r="FJ341" t="str">
            <v>NA</v>
          </cell>
          <cell r="FK341">
            <v>45334</v>
          </cell>
          <cell r="FM341" t="str">
            <v/>
          </cell>
          <cell r="GA341">
            <v>45250</v>
          </cell>
          <cell r="GC341">
            <v>45224</v>
          </cell>
          <cell r="GG341" t="str">
            <v>2023-2024</v>
          </cell>
        </row>
        <row r="342">
          <cell r="E342" t="str">
            <v>GF Mouza Bagodardih  , PS Bagodar Dist Giridih , Thana No 107 Khata No 21 Plot No 4916  , BAGODAR , 815301</v>
          </cell>
          <cell r="F342" t="str">
            <v>14. Dropped</v>
          </cell>
          <cell r="G342" t="str">
            <v>SPJHBAM3457</v>
          </cell>
          <cell r="H342" t="str">
            <v>JH-SM-BOR-3000</v>
          </cell>
          <cell r="I342" t="str">
            <v>TABI</v>
          </cell>
          <cell r="J342" t="str">
            <v>QEZH</v>
          </cell>
          <cell r="K342" t="str">
            <v xml:space="preserve">E </v>
          </cell>
          <cell r="L342" t="str">
            <v>AK</v>
          </cell>
          <cell r="M342" t="str">
            <v>Dropped</v>
          </cell>
          <cell r="Q342" t="str">
            <v>Gaurav Shinde</v>
          </cell>
          <cell r="S342" t="str">
            <v>Jharkhand</v>
          </cell>
          <cell r="T342" t="str">
            <v xml:space="preserve">Bagodar </v>
          </cell>
          <cell r="U342" t="str">
            <v>Non Premium</v>
          </cell>
          <cell r="V342" t="str">
            <v>Pharma Format</v>
          </cell>
          <cell r="W342">
            <v>400</v>
          </cell>
          <cell r="X342" t="str">
            <v>GF Mouza Bagodardih  , PS Bagodar Dist Giridih , Thana No 107 Khata No 21 Plot No 4916  , BAGODAR , 815301</v>
          </cell>
          <cell r="Z342" t="str">
            <v>NA</v>
          </cell>
          <cell r="AB342" t="str">
            <v>NA</v>
          </cell>
          <cell r="AF342" t="str">
            <v>NA</v>
          </cell>
          <cell r="AK342">
            <v>45164</v>
          </cell>
          <cell r="AL342" t="str">
            <v>Received</v>
          </cell>
          <cell r="AM342">
            <v>0</v>
          </cell>
          <cell r="AO342">
            <v>3</v>
          </cell>
          <cell r="AS342">
            <v>-3</v>
          </cell>
          <cell r="AU342">
            <v>4</v>
          </cell>
          <cell r="AY342">
            <v>-4</v>
          </cell>
          <cell r="BA342">
            <v>5</v>
          </cell>
          <cell r="BE342">
            <v>-5</v>
          </cell>
          <cell r="BG342">
            <v>5</v>
          </cell>
          <cell r="BK342">
            <v>-5</v>
          </cell>
          <cell r="BM342">
            <v>3</v>
          </cell>
          <cell r="BP342">
            <v>3</v>
          </cell>
          <cell r="BW342" t="str">
            <v>Done</v>
          </cell>
          <cell r="BX342">
            <v>45079</v>
          </cell>
          <cell r="BY342" t="str">
            <v>Approved</v>
          </cell>
          <cell r="DG342" t="str">
            <v>Netmed SDP - Not in Dead Rental</v>
          </cell>
          <cell r="DM342" t="str">
            <v>NA</v>
          </cell>
          <cell r="DN342" t="str">
            <v>NA</v>
          </cell>
          <cell r="DR342">
            <v>7</v>
          </cell>
          <cell r="DS342">
            <v>7</v>
          </cell>
          <cell r="DU342">
            <v>7</v>
          </cell>
          <cell r="DV342">
            <v>7</v>
          </cell>
          <cell r="DW342">
            <v>7</v>
          </cell>
          <cell r="EA342" t="str">
            <v/>
          </cell>
          <cell r="ED342" t="str">
            <v/>
          </cell>
          <cell r="EE342" t="str">
            <v/>
          </cell>
          <cell r="FD342">
            <v>46114</v>
          </cell>
          <cell r="FF342">
            <v>46114</v>
          </cell>
          <cell r="FJ342" t="str">
            <v>NA</v>
          </cell>
          <cell r="FM342" t="str">
            <v/>
          </cell>
          <cell r="GG342" t="str">
            <v>2024-2025</v>
          </cell>
        </row>
        <row r="343">
          <cell r="E343" t="str">
            <v>GF Bantika Boinchee Gram Panchayat,PO  , Mouza BantikaLR Plot2176 LR Khatian 4637 , Boinchee PS Block &amp; ADSRO Pandua JL No07 , 4645 Sansad 28 , Bainchi , 712134</v>
          </cell>
          <cell r="F343" t="str">
            <v>9. EPC Ready</v>
          </cell>
          <cell r="G343" t="str">
            <v>SPWBBAB3878</v>
          </cell>
          <cell r="H343" t="str">
            <v>WB-SM-BNC-3000</v>
          </cell>
          <cell r="I343" t="str">
            <v>TYUW</v>
          </cell>
          <cell r="J343" t="str">
            <v>QB3A</v>
          </cell>
          <cell r="K343" t="str">
            <v xml:space="preserve">E </v>
          </cell>
          <cell r="L343" t="str">
            <v>SD</v>
          </cell>
          <cell r="M343" t="str">
            <v>EPC Ready</v>
          </cell>
          <cell r="N343" t="str">
            <v>Mahendrakumar Warma</v>
          </cell>
          <cell r="O343" t="str">
            <v xml:space="preserve">Sandeepta Gayen </v>
          </cell>
          <cell r="Q343" t="str">
            <v>Gaurav Shinde</v>
          </cell>
          <cell r="S343" t="str">
            <v>West Bengal</v>
          </cell>
          <cell r="T343" t="str">
            <v>Bainchi</v>
          </cell>
          <cell r="U343" t="str">
            <v>Non Premium</v>
          </cell>
          <cell r="V343" t="str">
            <v>Pharma Format</v>
          </cell>
          <cell r="W343">
            <v>400</v>
          </cell>
          <cell r="X343" t="str">
            <v>GF Bantika Boinchee Gram Panchayat,PO  , Mouza BantikaLR Plot2176 LR Khatian 4637 , Boinchee PS Block &amp; ADSRO Pandua JL No07 , 4645 Sansad 28 , Bainchi , 712134</v>
          </cell>
          <cell r="Y343">
            <v>45166</v>
          </cell>
          <cell r="Z343" t="str">
            <v>NA</v>
          </cell>
          <cell r="AB343" t="str">
            <v>NA</v>
          </cell>
          <cell r="AF343" t="str">
            <v>NA</v>
          </cell>
          <cell r="AK343">
            <v>45184</v>
          </cell>
          <cell r="AL343" t="str">
            <v>Received</v>
          </cell>
          <cell r="AM343">
            <v>0</v>
          </cell>
          <cell r="AO343">
            <v>3</v>
          </cell>
          <cell r="AS343">
            <v>-3</v>
          </cell>
          <cell r="AU343">
            <v>4</v>
          </cell>
          <cell r="AY343">
            <v>-4</v>
          </cell>
          <cell r="BA343">
            <v>5</v>
          </cell>
          <cell r="BE343">
            <v>-5</v>
          </cell>
          <cell r="BG343">
            <v>5</v>
          </cell>
          <cell r="BK343">
            <v>-5</v>
          </cell>
          <cell r="BM343">
            <v>3</v>
          </cell>
          <cell r="BP343">
            <v>3</v>
          </cell>
          <cell r="BW343" t="str">
            <v>Done</v>
          </cell>
          <cell r="BX343">
            <v>45079</v>
          </cell>
          <cell r="BY343" t="str">
            <v>Approved</v>
          </cell>
          <cell r="CD343">
            <v>45163</v>
          </cell>
          <cell r="CE343">
            <v>45196</v>
          </cell>
          <cell r="CG343" t="str">
            <v xml:space="preserve">M/s. EBENEZER </v>
          </cell>
          <cell r="CI343" t="str">
            <v>Issued</v>
          </cell>
          <cell r="DG343" t="str">
            <v>Netmed SDP - Not in Dead Rental</v>
          </cell>
          <cell r="DK343">
            <v>45229</v>
          </cell>
          <cell r="DM343">
            <v>2</v>
          </cell>
          <cell r="DN343" t="str">
            <v>0 to 3 Days</v>
          </cell>
          <cell r="DP343">
            <v>45199</v>
          </cell>
          <cell r="DQ343">
            <v>45231</v>
          </cell>
          <cell r="DR343">
            <v>7</v>
          </cell>
          <cell r="DS343">
            <v>7</v>
          </cell>
          <cell r="DU343">
            <v>45238</v>
          </cell>
          <cell r="DV343">
            <v>45206</v>
          </cell>
          <cell r="DW343">
            <v>45238</v>
          </cell>
          <cell r="DX343" t="str">
            <v>Nov 23 Week 2</v>
          </cell>
          <cell r="DZ343">
            <v>45234</v>
          </cell>
          <cell r="EA343" t="str">
            <v>Nov 23 Week 1</v>
          </cell>
          <cell r="EB343" t="str">
            <v>Plan</v>
          </cell>
          <cell r="ED343" t="str">
            <v/>
          </cell>
          <cell r="EE343" t="str">
            <v/>
          </cell>
          <cell r="EF343">
            <v>1</v>
          </cell>
          <cell r="EG343">
            <v>1</v>
          </cell>
          <cell r="FD343">
            <v>-4</v>
          </cell>
          <cell r="FE343" t="str">
            <v>On Time</v>
          </cell>
          <cell r="FF343">
            <v>28</v>
          </cell>
          <cell r="FG343" t="str">
            <v>16 to 31 Days</v>
          </cell>
          <cell r="FH343" t="str">
            <v>Done</v>
          </cell>
          <cell r="FI343" t="str">
            <v>Done</v>
          </cell>
          <cell r="FJ343" t="str">
            <v>NA</v>
          </cell>
          <cell r="FK343">
            <v>45236</v>
          </cell>
          <cell r="FM343" t="str">
            <v/>
          </cell>
          <cell r="GA343">
            <v>45236</v>
          </cell>
          <cell r="GC343">
            <v>45227</v>
          </cell>
          <cell r="GG343" t="str">
            <v>2023-2024</v>
          </cell>
        </row>
        <row r="344">
          <cell r="E344" t="str">
            <v>Egra Road Bajkul Po Kismat  , Bajkul Purba Medinipur , Bajkul Ps Bhupatinagar  , Bajkul , 721655</v>
          </cell>
          <cell r="F344" t="str">
            <v>9. EPC Ready</v>
          </cell>
          <cell r="G344" t="str">
            <v>SPWBBAE3516</v>
          </cell>
          <cell r="H344" t="str">
            <v>WB-SM-BKU-3000</v>
          </cell>
          <cell r="I344" t="str">
            <v>TYOZ</v>
          </cell>
          <cell r="J344" t="str">
            <v>QBWB</v>
          </cell>
          <cell r="K344" t="str">
            <v xml:space="preserve">E </v>
          </cell>
          <cell r="L344" t="str">
            <v>SD</v>
          </cell>
          <cell r="M344" t="str">
            <v>EPC Ready</v>
          </cell>
          <cell r="N344" t="str">
            <v>Mahendrakumar Warma</v>
          </cell>
          <cell r="O344" t="str">
            <v xml:space="preserve">Sandeepta Gayen </v>
          </cell>
          <cell r="P344" t="str">
            <v>Sagar Neyogi-7980192700</v>
          </cell>
          <cell r="Q344" t="str">
            <v>Gaurav Shinde</v>
          </cell>
          <cell r="S344" t="str">
            <v>West Bengal</v>
          </cell>
          <cell r="T344" t="str">
            <v>BAJKUL</v>
          </cell>
          <cell r="U344" t="str">
            <v>Non Premium</v>
          </cell>
          <cell r="V344" t="str">
            <v>Pharma Format</v>
          </cell>
          <cell r="W344">
            <v>419</v>
          </cell>
          <cell r="X344" t="str">
            <v>Egra Road Bajkul Po Kismat  , Bajkul Purba Medinipur , Bajkul Ps Bhupatinagar  , Bajkul , 721655</v>
          </cell>
          <cell r="Y344">
            <v>45159</v>
          </cell>
          <cell r="Z344" t="str">
            <v>NA</v>
          </cell>
          <cell r="AB344" t="str">
            <v>NA</v>
          </cell>
          <cell r="AF344" t="str">
            <v>NA</v>
          </cell>
          <cell r="AK344">
            <v>45148</v>
          </cell>
          <cell r="AL344" t="str">
            <v>Received</v>
          </cell>
          <cell r="AM344">
            <v>0</v>
          </cell>
          <cell r="AO344">
            <v>3</v>
          </cell>
          <cell r="AS344">
            <v>-3</v>
          </cell>
          <cell r="AU344">
            <v>4</v>
          </cell>
          <cell r="AY344">
            <v>-4</v>
          </cell>
          <cell r="BA344">
            <v>5</v>
          </cell>
          <cell r="BE344">
            <v>-5</v>
          </cell>
          <cell r="BG344">
            <v>5</v>
          </cell>
          <cell r="BK344">
            <v>-5</v>
          </cell>
          <cell r="BM344">
            <v>3</v>
          </cell>
          <cell r="BP344">
            <v>3</v>
          </cell>
          <cell r="BW344" t="str">
            <v>Done</v>
          </cell>
          <cell r="BX344">
            <v>45079</v>
          </cell>
          <cell r="BY344" t="str">
            <v>Approved</v>
          </cell>
          <cell r="CD344">
            <v>45162</v>
          </cell>
          <cell r="CE344">
            <v>45167</v>
          </cell>
          <cell r="CG344" t="str">
            <v>M/s. STEELMAN TELECOM PVT LTD</v>
          </cell>
          <cell r="CI344" t="str">
            <v>Issued</v>
          </cell>
          <cell r="DA344" t="str">
            <v>NA</v>
          </cell>
          <cell r="DB344" t="str">
            <v>NA</v>
          </cell>
          <cell r="DC344" t="str">
            <v>NA</v>
          </cell>
          <cell r="DG344" t="str">
            <v>Netmed SDP - Not in Dead Rental</v>
          </cell>
          <cell r="DK344">
            <v>45385</v>
          </cell>
          <cell r="DM344">
            <v>2</v>
          </cell>
          <cell r="DN344" t="str">
            <v>0 to 3 Days</v>
          </cell>
          <cell r="DO344" t="str">
            <v>Excess Fixture removal pending</v>
          </cell>
          <cell r="DP344">
            <v>45388</v>
          </cell>
          <cell r="DQ344">
            <v>45387</v>
          </cell>
          <cell r="DR344">
            <v>7</v>
          </cell>
          <cell r="DS344">
            <v>7</v>
          </cell>
          <cell r="DU344">
            <v>45394</v>
          </cell>
          <cell r="DV344">
            <v>45395</v>
          </cell>
          <cell r="DW344">
            <v>45394</v>
          </cell>
          <cell r="DX344" t="str">
            <v>April 24 Week 2</v>
          </cell>
          <cell r="DY344">
            <v>45392</v>
          </cell>
          <cell r="DZ344">
            <v>45393</v>
          </cell>
          <cell r="EA344" t="str">
            <v>April 24 Week 2</v>
          </cell>
          <cell r="EB344" t="str">
            <v>Backlog</v>
          </cell>
          <cell r="ED344" t="str">
            <v/>
          </cell>
          <cell r="EE344" t="str">
            <v/>
          </cell>
          <cell r="EF344">
            <v>1</v>
          </cell>
          <cell r="EG344">
            <v>0.8</v>
          </cell>
          <cell r="EH344" t="str">
            <v>Old Fixtures need to remove</v>
          </cell>
          <cell r="FD344">
            <v>-1</v>
          </cell>
          <cell r="FE344" t="str">
            <v>On Time</v>
          </cell>
          <cell r="FF344">
            <v>-2</v>
          </cell>
          <cell r="FG344" t="str">
            <v>On Time</v>
          </cell>
          <cell r="FH344" t="str">
            <v>done</v>
          </cell>
          <cell r="FJ344" t="str">
            <v>NA</v>
          </cell>
          <cell r="FK344">
            <v>45406</v>
          </cell>
          <cell r="FM344" t="str">
            <v/>
          </cell>
          <cell r="FZ344" t="str">
            <v>Fixture Installation Completed
Excess Fixture need to remove</v>
          </cell>
          <cell r="GC344">
            <v>45212</v>
          </cell>
          <cell r="GG344" t="str">
            <v>2024-2025</v>
          </cell>
        </row>
        <row r="345">
          <cell r="E345" t="str">
            <v>Ethelbari - Near BOI</v>
          </cell>
          <cell r="F345" t="str">
            <v>9. EPC Ready</v>
          </cell>
          <cell r="G345" t="str">
            <v>SPWBBIE3705</v>
          </cell>
          <cell r="H345" t="str">
            <v>WB-SM-BPR-3000</v>
          </cell>
          <cell r="I345" t="str">
            <v>TYJ7</v>
          </cell>
          <cell r="J345" t="str">
            <v>QBPF</v>
          </cell>
          <cell r="K345" t="str">
            <v xml:space="preserve">E </v>
          </cell>
          <cell r="L345" t="str">
            <v>SD</v>
          </cell>
          <cell r="M345" t="str">
            <v>EPC Ready</v>
          </cell>
          <cell r="N345" t="str">
            <v>Mahendrakumar Warma</v>
          </cell>
          <cell r="O345" t="str">
            <v xml:space="preserve">Sandeepta Gayen </v>
          </cell>
          <cell r="Q345" t="str">
            <v>Gaurav Shinde</v>
          </cell>
          <cell r="S345" t="str">
            <v>West Bengal</v>
          </cell>
          <cell r="T345" t="str">
            <v>Birpara</v>
          </cell>
          <cell r="U345" t="str">
            <v>Non Premium</v>
          </cell>
          <cell r="V345" t="str">
            <v>Pharma Format</v>
          </cell>
          <cell r="W345">
            <v>401</v>
          </cell>
          <cell r="X345" t="str">
            <v>Ethelbari - Near BOI</v>
          </cell>
          <cell r="Y345">
            <v>45159</v>
          </cell>
          <cell r="Z345" t="str">
            <v>NA</v>
          </cell>
          <cell r="AB345" t="str">
            <v>NA</v>
          </cell>
          <cell r="AF345" t="str">
            <v>NA</v>
          </cell>
          <cell r="AK345">
            <v>45187</v>
          </cell>
          <cell r="AL345" t="str">
            <v>Received</v>
          </cell>
          <cell r="AM345">
            <v>0</v>
          </cell>
          <cell r="AO345">
            <v>3</v>
          </cell>
          <cell r="AS345">
            <v>-3</v>
          </cell>
          <cell r="AU345">
            <v>4</v>
          </cell>
          <cell r="AY345">
            <v>-4</v>
          </cell>
          <cell r="BA345">
            <v>5</v>
          </cell>
          <cell r="BE345">
            <v>-5</v>
          </cell>
          <cell r="BG345">
            <v>5</v>
          </cell>
          <cell r="BK345">
            <v>-5</v>
          </cell>
          <cell r="BM345">
            <v>3</v>
          </cell>
          <cell r="BP345">
            <v>3</v>
          </cell>
          <cell r="BW345" t="str">
            <v>Done</v>
          </cell>
          <cell r="BX345">
            <v>45079</v>
          </cell>
          <cell r="BY345" t="str">
            <v>Approved</v>
          </cell>
          <cell r="CD345">
            <v>45162</v>
          </cell>
          <cell r="CE345">
            <v>45167</v>
          </cell>
          <cell r="CG345" t="str">
            <v>M/s. 3DESIRE NETWORKS AND SOLUTIONS</v>
          </cell>
          <cell r="CI345" t="str">
            <v>Issued</v>
          </cell>
          <cell r="DG345" t="str">
            <v>Netmed SDP - Not in Dead Rental</v>
          </cell>
          <cell r="DK345">
            <v>45203</v>
          </cell>
          <cell r="DM345">
            <v>2</v>
          </cell>
          <cell r="DN345" t="str">
            <v>0 to 3 Days</v>
          </cell>
          <cell r="DP345">
            <v>45170</v>
          </cell>
          <cell r="DQ345">
            <v>45205</v>
          </cell>
          <cell r="DR345">
            <v>7</v>
          </cell>
          <cell r="DS345">
            <v>7</v>
          </cell>
          <cell r="DU345">
            <v>45212</v>
          </cell>
          <cell r="DV345">
            <v>45177</v>
          </cell>
          <cell r="DW345">
            <v>45212</v>
          </cell>
          <cell r="DX345" t="str">
            <v>Oct 23 Week 2</v>
          </cell>
          <cell r="DZ345">
            <v>45282</v>
          </cell>
          <cell r="EA345" t="str">
            <v>Dec 23 Week 4</v>
          </cell>
          <cell r="EB345" t="str">
            <v>Backlog</v>
          </cell>
          <cell r="ED345" t="str">
            <v/>
          </cell>
          <cell r="EE345" t="str">
            <v/>
          </cell>
          <cell r="EF345">
            <v>1</v>
          </cell>
          <cell r="EG345">
            <v>1</v>
          </cell>
          <cell r="FD345">
            <v>70</v>
          </cell>
          <cell r="FE345" t="str">
            <v>62 to 90 Days</v>
          </cell>
          <cell r="FF345">
            <v>105</v>
          </cell>
          <cell r="FG345" t="str">
            <v>More Than 90  Days</v>
          </cell>
          <cell r="FH345" t="str">
            <v>Done</v>
          </cell>
          <cell r="FI345" t="str">
            <v>Done</v>
          </cell>
          <cell r="FJ345" t="str">
            <v>NA</v>
          </cell>
          <cell r="FK345">
            <v>45286</v>
          </cell>
          <cell r="FM345" t="str">
            <v/>
          </cell>
          <cell r="GA345">
            <v>45282</v>
          </cell>
          <cell r="GC345">
            <v>45205</v>
          </cell>
          <cell r="GG345" t="str">
            <v>2023-2024</v>
          </cell>
        </row>
        <row r="346">
          <cell r="E346" t="str">
            <v>Ugf Lgf Patta No 394 395 Khasra No 281 1  , Jodhpur Road Balotra , Ward No 29 Behind Hotel City Square  , BARMER , 344032</v>
          </cell>
          <cell r="F346" t="str">
            <v>9. EPC Ready</v>
          </cell>
          <cell r="G346" t="str">
            <v>SPRJBAB3538</v>
          </cell>
          <cell r="H346" t="str">
            <v>RJ-SM-BLT-3001</v>
          </cell>
          <cell r="I346" t="str">
            <v>TYU5</v>
          </cell>
          <cell r="J346" t="str">
            <v>QCCP</v>
          </cell>
          <cell r="K346" t="str">
            <v xml:space="preserve">N </v>
          </cell>
          <cell r="L346" t="str">
            <v>KC</v>
          </cell>
          <cell r="M346" t="str">
            <v>EPC Ready Pharmacy 200 SFT</v>
          </cell>
          <cell r="Q346" t="str">
            <v>Gaurav Shinde</v>
          </cell>
          <cell r="S346" t="str">
            <v>Rajasthan</v>
          </cell>
          <cell r="T346" t="str">
            <v>BALOTRA</v>
          </cell>
          <cell r="U346" t="str">
            <v>Non Premium</v>
          </cell>
          <cell r="V346" t="str">
            <v>Pharma Format</v>
          </cell>
          <cell r="W346">
            <v>200</v>
          </cell>
          <cell r="X346" t="str">
            <v>Ugf Lgf Patta No 394 395 Khasra No 281 1  , Jodhpur Road Balotra , Ward No 29 Behind Hotel City Square  , BARMER , 344032</v>
          </cell>
          <cell r="Y346">
            <v>45125</v>
          </cell>
          <cell r="Z346" t="str">
            <v>NA</v>
          </cell>
          <cell r="AB346" t="str">
            <v>NA</v>
          </cell>
          <cell r="AF346" t="str">
            <v>NA</v>
          </cell>
          <cell r="AK346">
            <v>45149</v>
          </cell>
          <cell r="AL346" t="str">
            <v>Received</v>
          </cell>
          <cell r="AM346">
            <v>0</v>
          </cell>
          <cell r="AO346">
            <v>3</v>
          </cell>
          <cell r="AS346">
            <v>-3</v>
          </cell>
          <cell r="AU346">
            <v>4</v>
          </cell>
          <cell r="AY346">
            <v>-4</v>
          </cell>
          <cell r="BA346">
            <v>5</v>
          </cell>
          <cell r="BE346">
            <v>-5</v>
          </cell>
          <cell r="BG346">
            <v>5</v>
          </cell>
          <cell r="BK346">
            <v>-5</v>
          </cell>
          <cell r="BM346">
            <v>3</v>
          </cell>
          <cell r="BP346">
            <v>3</v>
          </cell>
          <cell r="BW346" t="str">
            <v>Done</v>
          </cell>
          <cell r="BX346">
            <v>45079</v>
          </cell>
          <cell r="BY346" t="str">
            <v>Approved</v>
          </cell>
          <cell r="DG346" t="str">
            <v>Netmed SDP - Not in Dead Rental</v>
          </cell>
          <cell r="DK346">
            <v>45205</v>
          </cell>
          <cell r="DM346">
            <v>2</v>
          </cell>
          <cell r="DN346" t="str">
            <v>0 to 3 Days</v>
          </cell>
          <cell r="DQ346">
            <v>45207</v>
          </cell>
          <cell r="DR346">
            <v>7</v>
          </cell>
          <cell r="DS346">
            <v>7</v>
          </cell>
          <cell r="DU346">
            <v>45214</v>
          </cell>
          <cell r="DV346">
            <v>7</v>
          </cell>
          <cell r="DW346">
            <v>45214</v>
          </cell>
          <cell r="DX346" t="str">
            <v>Oct 23 Week 3</v>
          </cell>
          <cell r="DZ346">
            <v>45216</v>
          </cell>
          <cell r="EA346" t="str">
            <v>Oct 23 Week 3</v>
          </cell>
          <cell r="EB346" t="str">
            <v>Backlog</v>
          </cell>
          <cell r="ED346" t="str">
            <v/>
          </cell>
          <cell r="EE346" t="str">
            <v/>
          </cell>
          <cell r="EG346">
            <v>1</v>
          </cell>
          <cell r="FD346">
            <v>2</v>
          </cell>
          <cell r="FE346" t="str">
            <v>0 to 3 Days</v>
          </cell>
          <cell r="FF346">
            <v>45209</v>
          </cell>
          <cell r="FH346" t="str">
            <v>Done</v>
          </cell>
          <cell r="FI346" t="str">
            <v>Done</v>
          </cell>
          <cell r="FJ346" t="str">
            <v>NA</v>
          </cell>
          <cell r="FM346" t="str">
            <v/>
          </cell>
          <cell r="GG346" t="str">
            <v>2023-2024</v>
          </cell>
        </row>
        <row r="347">
          <cell r="E347" t="str">
            <v>GF, Mouza - Surhi, Thana No 52  , Thana - Nawadih, Dist - Bokaro , Khata No 25, Plot No 490  , BOKARO , 829144</v>
          </cell>
          <cell r="F347" t="str">
            <v>9. EPC Ready</v>
          </cell>
          <cell r="G347" t="str">
            <v>SPJHBOD4243</v>
          </cell>
          <cell r="H347" t="str">
            <v>JH-SM-BSC-3004</v>
          </cell>
          <cell r="I347" t="str">
            <v>TJ6G</v>
          </cell>
          <cell r="J347" t="str">
            <v>QAA0</v>
          </cell>
          <cell r="K347" t="str">
            <v xml:space="preserve">E </v>
          </cell>
          <cell r="L347" t="str">
            <v>AK</v>
          </cell>
          <cell r="M347" t="str">
            <v>EPC Ready</v>
          </cell>
          <cell r="Q347" t="str">
            <v>Gaurav Shinde</v>
          </cell>
          <cell r="S347" t="str">
            <v>Jharkhand</v>
          </cell>
          <cell r="T347" t="str">
            <v>Bokaro Steel City</v>
          </cell>
          <cell r="U347" t="str">
            <v>Non Premium</v>
          </cell>
          <cell r="V347" t="str">
            <v>Pharma Format</v>
          </cell>
          <cell r="W347">
            <v>400</v>
          </cell>
          <cell r="X347" t="str">
            <v>GF, Mouza - Surhi, Thana No 52  , Thana - Nawadih, Dist - Bokaro , Khata No 25, Plot No 490  , BOKARO , 829144</v>
          </cell>
          <cell r="Z347" t="str">
            <v>NA</v>
          </cell>
          <cell r="AB347" t="str">
            <v>NA</v>
          </cell>
          <cell r="AF347" t="str">
            <v>NA</v>
          </cell>
          <cell r="AK347">
            <v>45273</v>
          </cell>
          <cell r="AL347" t="str">
            <v>Received</v>
          </cell>
          <cell r="AM347">
            <v>0</v>
          </cell>
          <cell r="AO347">
            <v>3</v>
          </cell>
          <cell r="AS347">
            <v>-3</v>
          </cell>
          <cell r="AU347">
            <v>4</v>
          </cell>
          <cell r="AY347">
            <v>-4</v>
          </cell>
          <cell r="BA347">
            <v>5</v>
          </cell>
          <cell r="BE347">
            <v>-5</v>
          </cell>
          <cell r="BG347">
            <v>5</v>
          </cell>
          <cell r="BK347">
            <v>-5</v>
          </cell>
          <cell r="BM347">
            <v>3</v>
          </cell>
          <cell r="BP347">
            <v>3</v>
          </cell>
          <cell r="BW347" t="str">
            <v>Done</v>
          </cell>
          <cell r="BX347">
            <v>45079</v>
          </cell>
          <cell r="BY347" t="str">
            <v>Approved</v>
          </cell>
          <cell r="CD347">
            <v>45163</v>
          </cell>
          <cell r="CE347">
            <v>45174</v>
          </cell>
          <cell r="CG347" t="str">
            <v xml:space="preserve">
M/S S K ENTERPIRSES
</v>
          </cell>
          <cell r="CI347" t="str">
            <v>Issued</v>
          </cell>
          <cell r="DA347" t="str">
            <v>NA</v>
          </cell>
          <cell r="DB347" t="str">
            <v>NA</v>
          </cell>
          <cell r="DC347" t="str">
            <v>NA</v>
          </cell>
          <cell r="DG347" t="str">
            <v>Netmed SDP - Not in Dead Rental</v>
          </cell>
          <cell r="DK347">
            <v>45293</v>
          </cell>
          <cell r="DM347">
            <v>2</v>
          </cell>
          <cell r="DN347" t="str">
            <v>0 to 3 Days</v>
          </cell>
          <cell r="DO347" t="str">
            <v>08-09-2023</v>
          </cell>
          <cell r="DP347">
            <v>45296</v>
          </cell>
          <cell r="DQ347">
            <v>45295</v>
          </cell>
          <cell r="DR347">
            <v>7</v>
          </cell>
          <cell r="DS347">
            <v>7</v>
          </cell>
          <cell r="DU347">
            <v>45302</v>
          </cell>
          <cell r="DV347">
            <v>45303</v>
          </cell>
          <cell r="DW347">
            <v>45302</v>
          </cell>
          <cell r="DX347" t="str">
            <v>Jan 24 Week 2</v>
          </cell>
          <cell r="DZ347">
            <v>45349</v>
          </cell>
          <cell r="EA347" t="str">
            <v>Feb 24 Week 4</v>
          </cell>
          <cell r="EB347" t="str">
            <v>Backlog</v>
          </cell>
          <cell r="ED347" t="str">
            <v/>
          </cell>
          <cell r="EE347" t="str">
            <v/>
          </cell>
          <cell r="EF347">
            <v>1</v>
          </cell>
          <cell r="EG347">
            <v>1</v>
          </cell>
          <cell r="FD347">
            <v>47</v>
          </cell>
          <cell r="FE347" t="str">
            <v>31 to 61 Days</v>
          </cell>
          <cell r="FF347">
            <v>46</v>
          </cell>
          <cell r="FG347" t="str">
            <v>31 to 61 Days</v>
          </cell>
          <cell r="FH347" t="str">
            <v>Done</v>
          </cell>
          <cell r="FI347" t="str">
            <v>Done</v>
          </cell>
          <cell r="FJ347" t="str">
            <v>NA</v>
          </cell>
          <cell r="FK347">
            <v>45362</v>
          </cell>
          <cell r="FM347" t="str">
            <v/>
          </cell>
          <cell r="GA347">
            <v>45251</v>
          </cell>
          <cell r="GC347">
            <v>45197</v>
          </cell>
          <cell r="GG347" t="str">
            <v>2023-2024</v>
          </cell>
        </row>
        <row r="348">
          <cell r="E348" t="str">
            <v>GF Mohanpur Gram Panchayat Police Stn  , South 24 Parganas , Magrahat JL No 25 Mouza Uttar Mohanpur , LR Plot No 353 &amp; LR Katian No 1189 Block , South 24 Parga , 743503</v>
          </cell>
          <cell r="F348" t="str">
            <v>9. EPC Ready</v>
          </cell>
          <cell r="G348" t="str">
            <v>SPWBJHN3099</v>
          </cell>
          <cell r="H348" t="str">
            <v>WB-SM-MHP-3001</v>
          </cell>
          <cell r="I348" t="str">
            <v>TYDW</v>
          </cell>
          <cell r="J348" t="str">
            <v>QBIX</v>
          </cell>
          <cell r="K348" t="str">
            <v xml:space="preserve">E </v>
          </cell>
          <cell r="L348" t="str">
            <v>SD</v>
          </cell>
          <cell r="M348" t="str">
            <v>EPC Ready</v>
          </cell>
          <cell r="N348" t="str">
            <v>Mahendrakumar Warma</v>
          </cell>
          <cell r="O348" t="str">
            <v xml:space="preserve">Sandeepta Gayen </v>
          </cell>
          <cell r="Q348" t="str">
            <v>Gaurav Shinde</v>
          </cell>
          <cell r="S348" t="str">
            <v>West Bengal</v>
          </cell>
          <cell r="T348" t="str">
            <v>Champahati</v>
          </cell>
          <cell r="U348" t="str">
            <v>Non Premium</v>
          </cell>
          <cell r="V348" t="str">
            <v>Pharma Format</v>
          </cell>
          <cell r="W348">
            <v>400</v>
          </cell>
          <cell r="X348" t="str">
            <v>GF Mohanpur Gram Panchayat Police Stn  , South 24 Parganas , Magrahat JL No 25 Mouza Uttar Mohanpur , LR Plot No 353 &amp; LR Katian No 1189 Block , South 24 Parga , 743503</v>
          </cell>
          <cell r="Y348">
            <v>45159</v>
          </cell>
          <cell r="Z348" t="str">
            <v>NA</v>
          </cell>
          <cell r="AB348" t="str">
            <v>NA</v>
          </cell>
          <cell r="AF348" t="str">
            <v>NA</v>
          </cell>
          <cell r="AK348">
            <v>45182</v>
          </cell>
          <cell r="AL348" t="str">
            <v>Received</v>
          </cell>
          <cell r="AO348">
            <v>3</v>
          </cell>
          <cell r="AS348">
            <v>-3</v>
          </cell>
          <cell r="AU348">
            <v>4</v>
          </cell>
          <cell r="AY348">
            <v>-4</v>
          </cell>
          <cell r="BA348">
            <v>5</v>
          </cell>
          <cell r="BE348">
            <v>-5</v>
          </cell>
          <cell r="BG348">
            <v>5</v>
          </cell>
          <cell r="BK348">
            <v>-5</v>
          </cell>
          <cell r="BM348">
            <v>3</v>
          </cell>
          <cell r="BP348">
            <v>3</v>
          </cell>
          <cell r="BW348" t="str">
            <v>Done</v>
          </cell>
          <cell r="BX348">
            <v>45079</v>
          </cell>
          <cell r="BY348" t="str">
            <v>Approved</v>
          </cell>
          <cell r="CD348">
            <v>45162</v>
          </cell>
          <cell r="CE348">
            <v>45240</v>
          </cell>
          <cell r="CG348" t="str">
            <v>M/s. ELECTROLEC ENTERPRISE</v>
          </cell>
          <cell r="CI348" t="str">
            <v>Issued</v>
          </cell>
          <cell r="DG348" t="str">
            <v>Netmed SDP - Not in Dead Rental</v>
          </cell>
          <cell r="DK348">
            <v>45201</v>
          </cell>
          <cell r="DM348">
            <v>2</v>
          </cell>
          <cell r="DN348" t="str">
            <v>0 to 3 Days</v>
          </cell>
          <cell r="DP348">
            <v>45243</v>
          </cell>
          <cell r="DQ348">
            <v>45203</v>
          </cell>
          <cell r="DR348">
            <v>7</v>
          </cell>
          <cell r="DS348">
            <v>7</v>
          </cell>
          <cell r="DU348">
            <v>45210</v>
          </cell>
          <cell r="DV348">
            <v>45250</v>
          </cell>
          <cell r="DW348">
            <v>45210</v>
          </cell>
          <cell r="DX348" t="str">
            <v>Oct 23 Week 2</v>
          </cell>
          <cell r="DZ348">
            <v>45310</v>
          </cell>
          <cell r="EA348" t="str">
            <v>Jan 24 Week 3</v>
          </cell>
          <cell r="EB348" t="str">
            <v>Backlog</v>
          </cell>
          <cell r="ED348" t="str">
            <v/>
          </cell>
          <cell r="EE348" t="str">
            <v/>
          </cell>
          <cell r="EF348">
            <v>1</v>
          </cell>
          <cell r="EG348">
            <v>1</v>
          </cell>
          <cell r="FD348">
            <v>100</v>
          </cell>
          <cell r="FE348" t="str">
            <v>More Than 90  Days</v>
          </cell>
          <cell r="FF348">
            <v>60</v>
          </cell>
          <cell r="FG348" t="str">
            <v>31 to 61 Days</v>
          </cell>
          <cell r="FH348" t="str">
            <v>Done</v>
          </cell>
          <cell r="FI348" t="str">
            <v>Done</v>
          </cell>
          <cell r="FJ348" t="str">
            <v>NA</v>
          </cell>
          <cell r="FK348">
            <v>45314</v>
          </cell>
          <cell r="FM348" t="str">
            <v/>
          </cell>
          <cell r="GC348">
            <v>45203</v>
          </cell>
          <cell r="GG348" t="str">
            <v>2023-2024</v>
          </cell>
        </row>
        <row r="349">
          <cell r="E349" t="str">
            <v>GF, Unit Nos. A To D, New No.4  , Smart Square, Old Binnamangala Village , Old No.2, PID No.82-12-4, Smart Point , W No82, Krishna Temple Road, Indiranagar , BANGALORE , 560038</v>
          </cell>
          <cell r="F349" t="str">
            <v>14. Dropped</v>
          </cell>
          <cell r="G349" t="str">
            <v>SPKABAS3075</v>
          </cell>
          <cell r="H349" t="str">
            <v>KR-SM-BAN-3095</v>
          </cell>
          <cell r="I349" t="str">
            <v>TYR3</v>
          </cell>
          <cell r="J349" t="str">
            <v>QCAF</v>
          </cell>
          <cell r="K349" t="str">
            <v>S</v>
          </cell>
          <cell r="L349" t="str">
            <v>AK</v>
          </cell>
          <cell r="M349" t="str">
            <v>Dropped</v>
          </cell>
          <cell r="N349" t="str">
            <v>N Kalyankumar</v>
          </cell>
          <cell r="O349" t="str">
            <v>Sreekanth Bijjhalli</v>
          </cell>
          <cell r="Q349" t="str">
            <v>Gaurav Shinde</v>
          </cell>
          <cell r="S349" t="str">
            <v>Karnataka</v>
          </cell>
          <cell r="T349" t="str">
            <v>Bangalore</v>
          </cell>
          <cell r="U349" t="str">
            <v>Non Premium</v>
          </cell>
          <cell r="V349" t="str">
            <v>Pharma Format</v>
          </cell>
          <cell r="W349">
            <v>400</v>
          </cell>
          <cell r="X349" t="str">
            <v>GF, Unit Nos. A To D, New No.4  , Smart Square, Old Binnamangala Village , Old No.2, PID No.82-12-4, Smart Point , W No82, Krishna Temple Road, Indiranagar , BANGALORE , 560038</v>
          </cell>
          <cell r="Y349">
            <v>45166</v>
          </cell>
          <cell r="Z349" t="str">
            <v>NA</v>
          </cell>
          <cell r="AB349" t="str">
            <v>NA</v>
          </cell>
          <cell r="AF349" t="str">
            <v>NA</v>
          </cell>
          <cell r="AL349" t="str">
            <v>NA</v>
          </cell>
          <cell r="AO349">
            <v>3</v>
          </cell>
          <cell r="AS349">
            <v>-3</v>
          </cell>
          <cell r="AU349">
            <v>4</v>
          </cell>
          <cell r="AY349">
            <v>-4</v>
          </cell>
          <cell r="BA349">
            <v>5</v>
          </cell>
          <cell r="BE349">
            <v>-5</v>
          </cell>
          <cell r="BG349">
            <v>5</v>
          </cell>
          <cell r="BK349">
            <v>-5</v>
          </cell>
          <cell r="BM349">
            <v>3</v>
          </cell>
          <cell r="BP349">
            <v>3</v>
          </cell>
          <cell r="BW349" t="str">
            <v>Done</v>
          </cell>
          <cell r="BX349">
            <v>45079</v>
          </cell>
          <cell r="BY349" t="str">
            <v>Approved</v>
          </cell>
          <cell r="CD349">
            <v>45163</v>
          </cell>
          <cell r="DG349" t="str">
            <v>Netmed SDP - Not in Dead Rental</v>
          </cell>
          <cell r="DM349" t="str">
            <v>NA</v>
          </cell>
          <cell r="DN349" t="str">
            <v>NA</v>
          </cell>
          <cell r="DR349">
            <v>7</v>
          </cell>
          <cell r="DS349">
            <v>7</v>
          </cell>
          <cell r="DU349">
            <v>7</v>
          </cell>
          <cell r="DV349">
            <v>7</v>
          </cell>
          <cell r="DW349">
            <v>7</v>
          </cell>
          <cell r="EA349" t="str">
            <v/>
          </cell>
          <cell r="ED349" t="str">
            <v/>
          </cell>
          <cell r="EE349" t="str">
            <v/>
          </cell>
          <cell r="FD349">
            <v>46114</v>
          </cell>
          <cell r="FF349">
            <v>46114</v>
          </cell>
          <cell r="FJ349" t="str">
            <v>NA</v>
          </cell>
          <cell r="FM349" t="str">
            <v/>
          </cell>
          <cell r="GG349" t="str">
            <v>2024-2025</v>
          </cell>
        </row>
        <row r="350">
          <cell r="E350" t="str">
            <v>GF Plot No1354 To 2087 Khata No 558 1177  , Po Ps Banki Cuttack , Mouza Charchika At Banki Khurda Rd , Nr Honda Showroom Banki Cuttack , BANKI , 754008</v>
          </cell>
          <cell r="F350" t="str">
            <v>9. EPC Ready</v>
          </cell>
          <cell r="G350" t="str">
            <v>SPORBAB3857</v>
          </cell>
          <cell r="H350" t="str">
            <v>OR-SM-BKI-3000</v>
          </cell>
          <cell r="I350" t="str">
            <v>TZPQ</v>
          </cell>
          <cell r="J350" t="str">
            <v>QDCV</v>
          </cell>
          <cell r="K350" t="str">
            <v xml:space="preserve">E </v>
          </cell>
          <cell r="L350" t="str">
            <v>JD</v>
          </cell>
          <cell r="M350" t="str">
            <v>EPC Ready</v>
          </cell>
          <cell r="N350" t="str">
            <v>Jaisingh Desai</v>
          </cell>
          <cell r="Q350" t="str">
            <v>Gaurav Shinde</v>
          </cell>
          <cell r="S350" t="str">
            <v>ODISHA</v>
          </cell>
          <cell r="T350" t="str">
            <v>Banki</v>
          </cell>
          <cell r="U350" t="str">
            <v>Non Premium</v>
          </cell>
          <cell r="V350" t="str">
            <v>Pharma Format</v>
          </cell>
          <cell r="W350">
            <v>400</v>
          </cell>
          <cell r="X350" t="str">
            <v>GF Plot No1354 To 2087 Khata No 558 1177  , Po Ps Banki Cuttack , Mouza Charchika At Banki Khurda Rd , Nr Honda Showroom Banki Cuttack , BANKI , 754008</v>
          </cell>
          <cell r="Y350">
            <v>45166</v>
          </cell>
          <cell r="Z350" t="str">
            <v>NA</v>
          </cell>
          <cell r="AB350" t="str">
            <v>NA</v>
          </cell>
          <cell r="AF350" t="str">
            <v>NA</v>
          </cell>
          <cell r="AK350">
            <v>45183</v>
          </cell>
          <cell r="AL350" t="str">
            <v>Received</v>
          </cell>
          <cell r="AO350">
            <v>3</v>
          </cell>
          <cell r="AS350">
            <v>-3</v>
          </cell>
          <cell r="AU350">
            <v>4</v>
          </cell>
          <cell r="AY350">
            <v>-4</v>
          </cell>
          <cell r="BA350">
            <v>5</v>
          </cell>
          <cell r="BE350">
            <v>-5</v>
          </cell>
          <cell r="BG350">
            <v>5</v>
          </cell>
          <cell r="BK350">
            <v>-5</v>
          </cell>
          <cell r="BM350">
            <v>3</v>
          </cell>
          <cell r="BP350">
            <v>3</v>
          </cell>
          <cell r="BW350" t="str">
            <v>Done</v>
          </cell>
          <cell r="BX350">
            <v>45079</v>
          </cell>
          <cell r="BY350" t="str">
            <v>Approved</v>
          </cell>
          <cell r="CD350">
            <v>45163</v>
          </cell>
          <cell r="CE350">
            <v>45174</v>
          </cell>
          <cell r="CG350" t="str">
            <v>M/s Oryx Security F Pvt  Pvt Ltd</v>
          </cell>
          <cell r="CI350" t="str">
            <v>Issued</v>
          </cell>
          <cell r="DG350" t="str">
            <v>Netmed SDP - Not in Dead Rental</v>
          </cell>
          <cell r="DK350">
            <v>45224</v>
          </cell>
          <cell r="DL350">
            <v>45201</v>
          </cell>
          <cell r="DM350">
            <v>2</v>
          </cell>
          <cell r="DN350" t="str">
            <v>0 to 3 Days</v>
          </cell>
          <cell r="DP350">
            <v>45177</v>
          </cell>
          <cell r="DQ350">
            <v>45226</v>
          </cell>
          <cell r="DR350">
            <v>7</v>
          </cell>
          <cell r="DS350">
            <v>7</v>
          </cell>
          <cell r="DU350">
            <v>45233</v>
          </cell>
          <cell r="DV350">
            <v>45184</v>
          </cell>
          <cell r="DW350">
            <v>45233</v>
          </cell>
          <cell r="DX350" t="str">
            <v>Nov 23 Week 1</v>
          </cell>
          <cell r="DZ350">
            <v>45232</v>
          </cell>
          <cell r="EA350" t="str">
            <v>Nov 23 Week 1</v>
          </cell>
          <cell r="EB350" t="str">
            <v>Plan</v>
          </cell>
          <cell r="ED350" t="str">
            <v/>
          </cell>
          <cell r="EE350" t="str">
            <v/>
          </cell>
          <cell r="EF350">
            <v>1</v>
          </cell>
          <cell r="EG350">
            <v>1</v>
          </cell>
          <cell r="FD350">
            <v>-1</v>
          </cell>
          <cell r="FE350" t="str">
            <v>On Time</v>
          </cell>
          <cell r="FF350">
            <v>48</v>
          </cell>
          <cell r="FG350" t="str">
            <v>31 to 61 Days</v>
          </cell>
          <cell r="FH350" t="str">
            <v>Done</v>
          </cell>
          <cell r="FI350" t="str">
            <v>Done</v>
          </cell>
          <cell r="FJ350" t="str">
            <v>NA</v>
          </cell>
          <cell r="FK350">
            <v>45233</v>
          </cell>
          <cell r="FM350" t="str">
            <v/>
          </cell>
          <cell r="GA350">
            <v>45232</v>
          </cell>
          <cell r="GC350">
            <v>45226</v>
          </cell>
          <cell r="GG350" t="str">
            <v>2023-2024</v>
          </cell>
        </row>
        <row r="351">
          <cell r="E351" t="str">
            <v>Domohani Baar Po Domohani Bazar  , Paschim Bardhaman , Ps Barabani Barabani  , Barabani , 713334</v>
          </cell>
          <cell r="F351" t="str">
            <v>9. EPC Ready</v>
          </cell>
          <cell r="G351" t="str">
            <v>SPWBBAD3605</v>
          </cell>
          <cell r="H351" t="str">
            <v>WB-SM-BBI-3000</v>
          </cell>
          <cell r="I351" t="str">
            <v>TYWY</v>
          </cell>
          <cell r="J351" t="str">
            <v>QB5C</v>
          </cell>
          <cell r="K351" t="str">
            <v xml:space="preserve">E </v>
          </cell>
          <cell r="L351" t="str">
            <v>SD</v>
          </cell>
          <cell r="M351" t="str">
            <v>EPC Ready</v>
          </cell>
          <cell r="N351" t="str">
            <v>Mahendrakumar Warma</v>
          </cell>
          <cell r="O351" t="str">
            <v xml:space="preserve">Sandeepta Gayen </v>
          </cell>
          <cell r="Q351" t="str">
            <v>Gaurav Shinde</v>
          </cell>
          <cell r="S351" t="str">
            <v>West Bengal</v>
          </cell>
          <cell r="T351" t="str">
            <v>Barabani</v>
          </cell>
          <cell r="U351" t="str">
            <v>Non Premium</v>
          </cell>
          <cell r="V351" t="str">
            <v>Pharma Format</v>
          </cell>
          <cell r="W351">
            <v>400</v>
          </cell>
          <cell r="X351" t="str">
            <v>Domohani Baar Po Domohani Bazar  , Paschim Bardhaman , Ps Barabani Barabani  , Barabani , 713334</v>
          </cell>
          <cell r="Y351">
            <v>45166</v>
          </cell>
          <cell r="Z351" t="str">
            <v>NA</v>
          </cell>
          <cell r="AB351" t="str">
            <v>NA</v>
          </cell>
          <cell r="AF351" t="str">
            <v>NA</v>
          </cell>
          <cell r="AK351">
            <v>45203</v>
          </cell>
          <cell r="AL351" t="str">
            <v>Received</v>
          </cell>
          <cell r="AO351">
            <v>3</v>
          </cell>
          <cell r="AS351">
            <v>-3</v>
          </cell>
          <cell r="AU351">
            <v>4</v>
          </cell>
          <cell r="AY351">
            <v>-4</v>
          </cell>
          <cell r="BA351">
            <v>5</v>
          </cell>
          <cell r="BE351">
            <v>-5</v>
          </cell>
          <cell r="BG351">
            <v>5</v>
          </cell>
          <cell r="BK351">
            <v>-5</v>
          </cell>
          <cell r="BM351">
            <v>3</v>
          </cell>
          <cell r="BP351">
            <v>3</v>
          </cell>
          <cell r="BW351" t="str">
            <v>Done</v>
          </cell>
          <cell r="BX351">
            <v>45079</v>
          </cell>
          <cell r="BY351" t="str">
            <v>Approved</v>
          </cell>
          <cell r="CD351">
            <v>45163</v>
          </cell>
          <cell r="CE351">
            <v>45184</v>
          </cell>
          <cell r="CG351" t="str">
            <v>M/s. SNEHANGI TRADERS</v>
          </cell>
          <cell r="CI351" t="str">
            <v>Issued</v>
          </cell>
          <cell r="DG351" t="str">
            <v>Netmed SDP - Not in Dead Rental</v>
          </cell>
          <cell r="DK351">
            <v>45234</v>
          </cell>
          <cell r="DM351">
            <v>2</v>
          </cell>
          <cell r="DN351" t="str">
            <v>0 to 3 Days</v>
          </cell>
          <cell r="DP351">
            <v>45187</v>
          </cell>
          <cell r="DQ351">
            <v>45236</v>
          </cell>
          <cell r="DR351">
            <v>7</v>
          </cell>
          <cell r="DS351">
            <v>7</v>
          </cell>
          <cell r="DU351">
            <v>45243</v>
          </cell>
          <cell r="DV351">
            <v>45194</v>
          </cell>
          <cell r="DW351">
            <v>45243</v>
          </cell>
          <cell r="DX351" t="str">
            <v>Nov 23 Week 2</v>
          </cell>
          <cell r="DZ351">
            <v>45239</v>
          </cell>
          <cell r="EA351" t="str">
            <v>Nov 23 Week 2</v>
          </cell>
          <cell r="EB351" t="str">
            <v>Plan</v>
          </cell>
          <cell r="ED351" t="str">
            <v/>
          </cell>
          <cell r="EE351" t="str">
            <v/>
          </cell>
          <cell r="EF351">
            <v>1</v>
          </cell>
          <cell r="EG351">
            <v>1</v>
          </cell>
          <cell r="FD351">
            <v>-4</v>
          </cell>
          <cell r="FE351" t="str">
            <v>On Time</v>
          </cell>
          <cell r="FF351">
            <v>45</v>
          </cell>
          <cell r="FG351" t="str">
            <v>31 to 61 Days</v>
          </cell>
          <cell r="FH351" t="str">
            <v>Done</v>
          </cell>
          <cell r="FI351" t="str">
            <v>Done</v>
          </cell>
          <cell r="FJ351" t="str">
            <v>NA</v>
          </cell>
          <cell r="FK351">
            <v>45261</v>
          </cell>
          <cell r="FM351" t="str">
            <v/>
          </cell>
          <cell r="GA351">
            <v>45239</v>
          </cell>
          <cell r="GC351">
            <v>45229</v>
          </cell>
          <cell r="GG351" t="str">
            <v>2023-2024</v>
          </cell>
        </row>
        <row r="352">
          <cell r="E352" t="str">
            <v>Jamalpur Thana More Po  , Hdfc Bank East Bardwan , Ps Jamalpur Landmark  , BURDWAN , 713408</v>
          </cell>
          <cell r="F352" t="str">
            <v>9. EPC Ready</v>
          </cell>
          <cell r="G352" t="str">
            <v>SPWBJAJ4015</v>
          </cell>
          <cell r="H352" t="str">
            <v>WB-SM-BUR-3003</v>
          </cell>
          <cell r="I352" t="str">
            <v>TYJU</v>
          </cell>
          <cell r="J352" t="str">
            <v>QBQC</v>
          </cell>
          <cell r="K352" t="str">
            <v xml:space="preserve">E </v>
          </cell>
          <cell r="L352" t="str">
            <v>SD</v>
          </cell>
          <cell r="M352" t="str">
            <v>EPC Ready</v>
          </cell>
          <cell r="N352" t="str">
            <v>Mahendrakumar Warma</v>
          </cell>
          <cell r="O352" t="str">
            <v xml:space="preserve">Sandeepta Gayen </v>
          </cell>
          <cell r="Q352" t="str">
            <v>Gaurav Shinde</v>
          </cell>
          <cell r="S352" t="str">
            <v>West Bengal</v>
          </cell>
          <cell r="T352" t="str">
            <v>Bardhaman</v>
          </cell>
          <cell r="U352" t="str">
            <v>Non Premium</v>
          </cell>
          <cell r="V352" t="str">
            <v>Pharma Format</v>
          </cell>
          <cell r="W352">
            <v>400</v>
          </cell>
          <cell r="X352" t="str">
            <v>Jamalpur Thana More Po  , Hdfc Bank East Bardwan , Ps Jamalpur Landmark  , BURDWAN , 713408</v>
          </cell>
          <cell r="Y352">
            <v>45166</v>
          </cell>
          <cell r="Z352" t="str">
            <v>NA</v>
          </cell>
          <cell r="AB352" t="str">
            <v>NA</v>
          </cell>
          <cell r="AF352" t="str">
            <v>NA</v>
          </cell>
          <cell r="AK352">
            <v>45196</v>
          </cell>
          <cell r="AL352" t="str">
            <v>Received</v>
          </cell>
          <cell r="AO352">
            <v>3</v>
          </cell>
          <cell r="AS352">
            <v>-3</v>
          </cell>
          <cell r="AU352">
            <v>4</v>
          </cell>
          <cell r="AY352">
            <v>-4</v>
          </cell>
          <cell r="BA352">
            <v>5</v>
          </cell>
          <cell r="BE352">
            <v>-5</v>
          </cell>
          <cell r="BG352">
            <v>5</v>
          </cell>
          <cell r="BK352">
            <v>-5</v>
          </cell>
          <cell r="BM352">
            <v>3</v>
          </cell>
          <cell r="BP352">
            <v>3</v>
          </cell>
          <cell r="BW352" t="str">
            <v>Done</v>
          </cell>
          <cell r="BX352">
            <v>45079</v>
          </cell>
          <cell r="BY352" t="str">
            <v>Approved</v>
          </cell>
          <cell r="CD352">
            <v>45163</v>
          </cell>
          <cell r="CE352">
            <v>45184</v>
          </cell>
          <cell r="CG352" t="str">
            <v>M/s. SNEHANGI TRADERS</v>
          </cell>
          <cell r="CI352" t="str">
            <v>Issued</v>
          </cell>
          <cell r="DG352" t="str">
            <v>Netmed SDP - Not in Dead Rental</v>
          </cell>
          <cell r="DK352">
            <v>45231</v>
          </cell>
          <cell r="DM352">
            <v>2</v>
          </cell>
          <cell r="DN352" t="str">
            <v>0 to 3 Days</v>
          </cell>
          <cell r="DP352">
            <v>45187</v>
          </cell>
          <cell r="DQ352">
            <v>45233</v>
          </cell>
          <cell r="DR352">
            <v>7</v>
          </cell>
          <cell r="DS352">
            <v>7</v>
          </cell>
          <cell r="DU352">
            <v>45240</v>
          </cell>
          <cell r="DV352">
            <v>45194</v>
          </cell>
          <cell r="DW352">
            <v>45240</v>
          </cell>
          <cell r="DX352" t="str">
            <v>Nov 23 Week 2</v>
          </cell>
          <cell r="DZ352">
            <v>45239</v>
          </cell>
          <cell r="EA352" t="str">
            <v>Nov 23 Week 2</v>
          </cell>
          <cell r="EB352" t="str">
            <v>Plan</v>
          </cell>
          <cell r="ED352" t="str">
            <v/>
          </cell>
          <cell r="EE352" t="str">
            <v/>
          </cell>
          <cell r="EF352">
            <v>1</v>
          </cell>
          <cell r="EG352">
            <v>1</v>
          </cell>
          <cell r="FD352">
            <v>-1</v>
          </cell>
          <cell r="FE352" t="str">
            <v>On Time</v>
          </cell>
          <cell r="FF352">
            <v>45</v>
          </cell>
          <cell r="FG352" t="str">
            <v>31 to 61 Days</v>
          </cell>
          <cell r="FH352" t="str">
            <v>Done</v>
          </cell>
          <cell r="FI352" t="str">
            <v>Done</v>
          </cell>
          <cell r="FJ352" t="str">
            <v>NA</v>
          </cell>
          <cell r="FK352">
            <v>45239</v>
          </cell>
          <cell r="FM352" t="str">
            <v/>
          </cell>
          <cell r="GA352">
            <v>45239</v>
          </cell>
          <cell r="GC352">
            <v>45224</v>
          </cell>
          <cell r="GG352" t="str">
            <v>2023-2024</v>
          </cell>
        </row>
        <row r="353">
          <cell r="E353" t="str">
            <v>GF Shripur Palace Plot No 21 To 23  , Dist - East Champaran , Kh No 41/13/12, Mauza-Churandano Ekadri  , Chauradano , 845302</v>
          </cell>
          <cell r="F353" t="str">
            <v>9. EPC Ready</v>
          </cell>
          <cell r="G353" t="str">
            <v>SPBHCHC4204</v>
          </cell>
          <cell r="H353" t="str">
            <v>BH-SM-CUO-3000</v>
          </cell>
          <cell r="I353" t="str">
            <v>TYTD</v>
          </cell>
          <cell r="J353" t="str">
            <v>QB1H</v>
          </cell>
          <cell r="K353" t="str">
            <v xml:space="preserve">E </v>
          </cell>
          <cell r="L353" t="str">
            <v>AK</v>
          </cell>
          <cell r="M353" t="str">
            <v>EPC Ready</v>
          </cell>
          <cell r="Q353" t="str">
            <v>Gaurav Shinde</v>
          </cell>
          <cell r="S353" t="str">
            <v>Bihar</v>
          </cell>
          <cell r="T353" t="str">
            <v>chauradano</v>
          </cell>
          <cell r="U353" t="str">
            <v>Non Premium</v>
          </cell>
          <cell r="V353" t="str">
            <v>Pharma Format</v>
          </cell>
          <cell r="W353">
            <v>400</v>
          </cell>
          <cell r="X353" t="str">
            <v>GF Shripur Palace Plot No 21 To 23  , Dist - East Champaran , Kh No 41/13/12, Mauza-Churandano Ekadri  , Chauradano , 845302</v>
          </cell>
          <cell r="Y353">
            <v>45166</v>
          </cell>
          <cell r="Z353" t="str">
            <v>NA</v>
          </cell>
          <cell r="AB353" t="str">
            <v>NA</v>
          </cell>
          <cell r="AF353" t="str">
            <v>NA</v>
          </cell>
          <cell r="AK353">
            <v>45163</v>
          </cell>
          <cell r="AL353" t="str">
            <v>Received</v>
          </cell>
          <cell r="AO353">
            <v>3</v>
          </cell>
          <cell r="AS353">
            <v>-3</v>
          </cell>
          <cell r="AU353">
            <v>4</v>
          </cell>
          <cell r="AY353">
            <v>-4</v>
          </cell>
          <cell r="BA353">
            <v>5</v>
          </cell>
          <cell r="BE353">
            <v>-5</v>
          </cell>
          <cell r="BG353">
            <v>5</v>
          </cell>
          <cell r="BK353">
            <v>-5</v>
          </cell>
          <cell r="BM353">
            <v>3</v>
          </cell>
          <cell r="BP353">
            <v>3</v>
          </cell>
          <cell r="BW353" t="str">
            <v>Done</v>
          </cell>
          <cell r="BX353">
            <v>45079</v>
          </cell>
          <cell r="BY353" t="str">
            <v>Approved</v>
          </cell>
          <cell r="CD353">
            <v>45163</v>
          </cell>
          <cell r="CE353">
            <v>45175</v>
          </cell>
          <cell r="CG353" t="str">
            <v xml:space="preserve">M/S Laxmi Enterprises </v>
          </cell>
          <cell r="CI353" t="str">
            <v>Issued</v>
          </cell>
          <cell r="DG353" t="str">
            <v>Netmed SDP - Not in Dead Rental</v>
          </cell>
          <cell r="DK353">
            <v>45204</v>
          </cell>
          <cell r="DL353">
            <v>45172</v>
          </cell>
          <cell r="DM353">
            <v>2</v>
          </cell>
          <cell r="DN353" t="str">
            <v>0 to 3 Days</v>
          </cell>
          <cell r="DP353">
            <v>45178</v>
          </cell>
          <cell r="DQ353">
            <v>45206</v>
          </cell>
          <cell r="DR353">
            <v>7</v>
          </cell>
          <cell r="DS353">
            <v>7</v>
          </cell>
          <cell r="DU353">
            <v>45213</v>
          </cell>
          <cell r="DV353">
            <v>45185</v>
          </cell>
          <cell r="DW353">
            <v>45213</v>
          </cell>
          <cell r="DX353" t="str">
            <v>Oct 23 Week 2</v>
          </cell>
          <cell r="DZ353">
            <v>45218</v>
          </cell>
          <cell r="EA353" t="str">
            <v>Oct 23 Week 3</v>
          </cell>
          <cell r="EB353" t="str">
            <v>Backlog</v>
          </cell>
          <cell r="ED353" t="str">
            <v/>
          </cell>
          <cell r="EE353" t="str">
            <v/>
          </cell>
          <cell r="EF353">
            <v>1</v>
          </cell>
          <cell r="EG353">
            <v>1</v>
          </cell>
          <cell r="FD353">
            <v>5</v>
          </cell>
          <cell r="FE353" t="str">
            <v>4 to 7 Days</v>
          </cell>
          <cell r="FF353">
            <v>33</v>
          </cell>
          <cell r="FG353" t="str">
            <v>31 to 61 Days</v>
          </cell>
          <cell r="FH353" t="str">
            <v>Done</v>
          </cell>
          <cell r="FI353" t="str">
            <v>Done</v>
          </cell>
          <cell r="FJ353" t="str">
            <v>NA</v>
          </cell>
          <cell r="FK353">
            <v>45219</v>
          </cell>
          <cell r="FM353" t="str">
            <v/>
          </cell>
          <cell r="GA353">
            <v>45218</v>
          </cell>
          <cell r="GC353">
            <v>45206</v>
          </cell>
          <cell r="GG353" t="str">
            <v>2023-2024</v>
          </cell>
        </row>
        <row r="354">
          <cell r="E354" t="str">
            <v>GF RG Complex Plot No 1620 1618  , Vill Basantpatti PS Purnahia , Khata No 144 203 Revenue Thana No 102  , Basantpatti , 843334</v>
          </cell>
          <cell r="F354" t="str">
            <v>9. EPC Ready</v>
          </cell>
          <cell r="G354" t="str">
            <v xml:space="preserve">SPBHBAS3659 </v>
          </cell>
          <cell r="H354" t="str">
            <v>BH-SM-BNT-3000</v>
          </cell>
          <cell r="I354" t="str">
            <v>TYNL</v>
          </cell>
          <cell r="J354" t="str">
            <v>QBTV</v>
          </cell>
          <cell r="K354" t="str">
            <v xml:space="preserve">E </v>
          </cell>
          <cell r="L354" t="str">
            <v>AK</v>
          </cell>
          <cell r="M354" t="str">
            <v>EPC Ready</v>
          </cell>
          <cell r="Q354" t="str">
            <v>Gaurav Shinde</v>
          </cell>
          <cell r="S354" t="str">
            <v>Bihar</v>
          </cell>
          <cell r="T354" t="str">
            <v>Basantpatti</v>
          </cell>
          <cell r="U354" t="str">
            <v>Non Premium</v>
          </cell>
          <cell r="V354" t="str">
            <v>Pharma Format</v>
          </cell>
          <cell r="W354">
            <v>400</v>
          </cell>
          <cell r="X354" t="str">
            <v>GF RG Complex Plot No 1620 1618  , Vill Basantpatti PS Purnahia , Khata No 144 203 Revenue Thana No 102  , Basantpatti , 843334</v>
          </cell>
          <cell r="Y354">
            <v>45166</v>
          </cell>
          <cell r="Z354" t="str">
            <v>NA</v>
          </cell>
          <cell r="AB354" t="str">
            <v>NA</v>
          </cell>
          <cell r="AF354" t="str">
            <v>NA</v>
          </cell>
          <cell r="AL354" t="str">
            <v>Received</v>
          </cell>
          <cell r="AO354">
            <v>3</v>
          </cell>
          <cell r="AS354">
            <v>-3</v>
          </cell>
          <cell r="AU354">
            <v>4</v>
          </cell>
          <cell r="AY354">
            <v>-4</v>
          </cell>
          <cell r="BA354">
            <v>5</v>
          </cell>
          <cell r="BE354">
            <v>-5</v>
          </cell>
          <cell r="BG354">
            <v>5</v>
          </cell>
          <cell r="BK354">
            <v>-5</v>
          </cell>
          <cell r="BM354">
            <v>3</v>
          </cell>
          <cell r="BP354">
            <v>3</v>
          </cell>
          <cell r="BW354" t="str">
            <v>Done</v>
          </cell>
          <cell r="BX354">
            <v>45079</v>
          </cell>
          <cell r="BY354" t="str">
            <v>Approved</v>
          </cell>
          <cell r="CD354">
            <v>45163</v>
          </cell>
          <cell r="CI354" t="str">
            <v>Pending</v>
          </cell>
          <cell r="DA354" t="str">
            <v>NA</v>
          </cell>
          <cell r="DB354" t="str">
            <v>NA</v>
          </cell>
          <cell r="DC354" t="str">
            <v>NA</v>
          </cell>
          <cell r="DG354" t="str">
            <v>Netmed SDP - Not in Dead Rental</v>
          </cell>
          <cell r="DK354">
            <v>45367</v>
          </cell>
          <cell r="DM354">
            <v>2</v>
          </cell>
          <cell r="DN354" t="str">
            <v>0 to 3 Days</v>
          </cell>
          <cell r="DO354" t="str">
            <v xml:space="preserve">Material Dispatch Callout given on 29-02-2024
PO Material Dispatch on 02-03-2024&amp; Partial PO Done on 04-03-2024
</v>
          </cell>
          <cell r="DQ354">
            <v>45369</v>
          </cell>
          <cell r="DR354">
            <v>7</v>
          </cell>
          <cell r="DS354">
            <v>7</v>
          </cell>
          <cell r="DU354">
            <v>45376</v>
          </cell>
          <cell r="DV354">
            <v>7</v>
          </cell>
          <cell r="DW354">
            <v>45376</v>
          </cell>
          <cell r="DX354" t="str">
            <v>March 24 Week 4</v>
          </cell>
          <cell r="DY354">
            <v>45376</v>
          </cell>
          <cell r="DZ354">
            <v>45373</v>
          </cell>
          <cell r="EA354" t="str">
            <v>March 24 Week 4</v>
          </cell>
          <cell r="EB354" t="str">
            <v>Plan</v>
          </cell>
          <cell r="ED354" t="str">
            <v/>
          </cell>
          <cell r="EE354" t="str">
            <v/>
          </cell>
          <cell r="FD354">
            <v>-3</v>
          </cell>
          <cell r="FE354" t="str">
            <v>On Time</v>
          </cell>
          <cell r="FF354">
            <v>45366</v>
          </cell>
          <cell r="FH354" t="str">
            <v>Done</v>
          </cell>
          <cell r="FI354" t="str">
            <v>Done</v>
          </cell>
          <cell r="FJ354" t="str">
            <v>NA</v>
          </cell>
          <cell r="FK354">
            <v>45378</v>
          </cell>
          <cell r="FM354" t="str">
            <v/>
          </cell>
          <cell r="GG354" t="str">
            <v>2023-2024</v>
          </cell>
        </row>
        <row r="355">
          <cell r="E355" t="str">
            <v>GF &amp; FF Basirhat Municipality J L43 P S  , Khatian14622 &amp; 14623 Mouza Block &amp; , L R Plot3629 4407 &amp; 3632 4409 LR , A D S R OBasirhat Dist North 24 Parganas , BASIRHAT , 743411</v>
          </cell>
          <cell r="F355" t="str">
            <v>9. EPC Ready</v>
          </cell>
          <cell r="G355" t="str">
            <v>SPWBBAM3260</v>
          </cell>
          <cell r="H355" t="str">
            <v>WB-SM-BSR-3001</v>
          </cell>
          <cell r="I355" t="str">
            <v>TZO4</v>
          </cell>
          <cell r="J355" t="str">
            <v>QDZR</v>
          </cell>
          <cell r="K355" t="str">
            <v xml:space="preserve">E </v>
          </cell>
          <cell r="L355" t="str">
            <v>SD</v>
          </cell>
          <cell r="M355" t="str">
            <v>EPC Ready</v>
          </cell>
          <cell r="N355" t="str">
            <v>Mahendrakumar Warma</v>
          </cell>
          <cell r="O355" t="str">
            <v xml:space="preserve">Sandeepta Gayen </v>
          </cell>
          <cell r="Q355" t="str">
            <v>Gaurav Shinde</v>
          </cell>
          <cell r="S355" t="str">
            <v>West Bengal</v>
          </cell>
          <cell r="T355" t="str">
            <v>Basirhat</v>
          </cell>
          <cell r="U355" t="str">
            <v>Non Premium</v>
          </cell>
          <cell r="V355" t="str">
            <v>Pharma Format</v>
          </cell>
          <cell r="W355">
            <v>406</v>
          </cell>
          <cell r="X355" t="str">
            <v>GF &amp; FF Basirhat Municipality J L43 P S  , Khatian14622 &amp; 14623 Mouza Block &amp; , L R Plot3629 4407 &amp; 3632 4409 LR , A D S R OBasirhat Dist North 24 Parganas , BASIRHAT , 743411</v>
          </cell>
          <cell r="Y355">
            <v>45166</v>
          </cell>
          <cell r="Z355" t="str">
            <v>NA</v>
          </cell>
          <cell r="AB355" t="str">
            <v>NA</v>
          </cell>
          <cell r="AF355" t="str">
            <v>NA</v>
          </cell>
          <cell r="AK355">
            <v>45187</v>
          </cell>
          <cell r="AL355" t="str">
            <v>Received</v>
          </cell>
          <cell r="AO355">
            <v>3</v>
          </cell>
          <cell r="AS355">
            <v>-3</v>
          </cell>
          <cell r="AU355">
            <v>4</v>
          </cell>
          <cell r="AY355">
            <v>-4</v>
          </cell>
          <cell r="BA355">
            <v>5</v>
          </cell>
          <cell r="BE355">
            <v>-5</v>
          </cell>
          <cell r="BG355">
            <v>5</v>
          </cell>
          <cell r="BK355">
            <v>-5</v>
          </cell>
          <cell r="BM355">
            <v>3</v>
          </cell>
          <cell r="BP355">
            <v>3</v>
          </cell>
          <cell r="BW355" t="str">
            <v>Done</v>
          </cell>
          <cell r="BX355">
            <v>45079</v>
          </cell>
          <cell r="BY355" t="str">
            <v>Approved</v>
          </cell>
          <cell r="CD355">
            <v>45163</v>
          </cell>
          <cell r="CE355">
            <v>45240</v>
          </cell>
          <cell r="CG355" t="str">
            <v>M/s. PRAYASH INFRASTRUCTURE ENTERPRISE</v>
          </cell>
          <cell r="CI355" t="str">
            <v>Issued</v>
          </cell>
          <cell r="DG355" t="str">
            <v>Netmed SDP - Not in Dead Rental</v>
          </cell>
          <cell r="DK355">
            <v>45210</v>
          </cell>
          <cell r="DM355">
            <v>2</v>
          </cell>
          <cell r="DN355" t="str">
            <v>0 to 3 Days</v>
          </cell>
          <cell r="DP355">
            <v>45243</v>
          </cell>
          <cell r="DQ355">
            <v>45212</v>
          </cell>
          <cell r="DR355">
            <v>7</v>
          </cell>
          <cell r="DS355">
            <v>7</v>
          </cell>
          <cell r="DU355">
            <v>45219</v>
          </cell>
          <cell r="DV355">
            <v>45250</v>
          </cell>
          <cell r="DW355">
            <v>45219</v>
          </cell>
          <cell r="DX355" t="str">
            <v>Oct 23 Week 3</v>
          </cell>
          <cell r="DZ355">
            <v>45234</v>
          </cell>
          <cell r="EA355" t="str">
            <v>Nov 23 Week 1</v>
          </cell>
          <cell r="EB355" t="str">
            <v>Backlog</v>
          </cell>
          <cell r="ED355" t="str">
            <v/>
          </cell>
          <cell r="EE355" t="str">
            <v/>
          </cell>
          <cell r="EF355">
            <v>1</v>
          </cell>
          <cell r="EG355">
            <v>1</v>
          </cell>
          <cell r="FD355">
            <v>15</v>
          </cell>
          <cell r="FE355" t="str">
            <v>8 to 15 Days</v>
          </cell>
          <cell r="FF355">
            <v>-16</v>
          </cell>
          <cell r="FG355" t="str">
            <v>On Time</v>
          </cell>
          <cell r="FH355" t="str">
            <v>Done</v>
          </cell>
          <cell r="FI355" t="str">
            <v>Done</v>
          </cell>
          <cell r="FJ355" t="str">
            <v>NA</v>
          </cell>
          <cell r="FK355">
            <v>45236</v>
          </cell>
          <cell r="FM355" t="str">
            <v/>
          </cell>
          <cell r="GA355">
            <v>45234</v>
          </cell>
          <cell r="GC355">
            <v>45212</v>
          </cell>
          <cell r="GG355" t="str">
            <v>2023-2024</v>
          </cell>
        </row>
        <row r="356">
          <cell r="E356" t="str">
            <v>Sangam Residency  , Bharatpur , Near Bus Stand Bayana  , BAYANA , 321401</v>
          </cell>
          <cell r="F356" t="str">
            <v>9. EPC Ready</v>
          </cell>
          <cell r="G356" t="str">
            <v>SPRJBAB3654</v>
          </cell>
          <cell r="H356" t="str">
            <v>RJ-SM-BYN-3000</v>
          </cell>
          <cell r="I356" t="str">
            <v>TYYE</v>
          </cell>
          <cell r="J356" t="str">
            <v>QB6I</v>
          </cell>
          <cell r="K356" t="str">
            <v xml:space="preserve">N </v>
          </cell>
          <cell r="L356" t="str">
            <v>KC</v>
          </cell>
          <cell r="M356" t="str">
            <v>EPC Ready Pharmacy 200 SFT</v>
          </cell>
          <cell r="Q356" t="str">
            <v>Gaurav Shinde</v>
          </cell>
          <cell r="S356" t="str">
            <v>Rajasthan</v>
          </cell>
          <cell r="T356" t="str">
            <v>Bayana</v>
          </cell>
          <cell r="U356" t="str">
            <v>Non Premium</v>
          </cell>
          <cell r="V356" t="str">
            <v>Pharma Format</v>
          </cell>
          <cell r="W356">
            <v>200</v>
          </cell>
          <cell r="X356" t="str">
            <v>Sangam Residency  , Bharatpur , Near Bus Stand Bayana  , BAYANA , 321401</v>
          </cell>
          <cell r="Y356">
            <v>45125</v>
          </cell>
          <cell r="Z356" t="str">
            <v>NA</v>
          </cell>
          <cell r="AB356" t="str">
            <v>NA</v>
          </cell>
          <cell r="AF356" t="str">
            <v>NA</v>
          </cell>
          <cell r="AK356">
            <v>45148</v>
          </cell>
          <cell r="AL356" t="str">
            <v>Received</v>
          </cell>
          <cell r="AO356">
            <v>3</v>
          </cell>
          <cell r="AS356">
            <v>-3</v>
          </cell>
          <cell r="AU356">
            <v>4</v>
          </cell>
          <cell r="AY356">
            <v>-4</v>
          </cell>
          <cell r="BA356">
            <v>5</v>
          </cell>
          <cell r="BE356">
            <v>-5</v>
          </cell>
          <cell r="BG356">
            <v>5</v>
          </cell>
          <cell r="BK356">
            <v>-5</v>
          </cell>
          <cell r="BM356">
            <v>3</v>
          </cell>
          <cell r="BP356">
            <v>3</v>
          </cell>
          <cell r="BW356" t="str">
            <v>Done</v>
          </cell>
          <cell r="BX356">
            <v>45079</v>
          </cell>
          <cell r="BY356" t="str">
            <v>Approved</v>
          </cell>
          <cell r="CD356">
            <v>45126</v>
          </cell>
          <cell r="CE356">
            <v>45156</v>
          </cell>
          <cell r="CG356" t="str">
            <v>M/s    TLP SERVICE PRIVATE LIMITED</v>
          </cell>
          <cell r="CI356" t="str">
            <v>Issued</v>
          </cell>
          <cell r="DG356" t="str">
            <v>Netmed SDP - Not in Dead Rental</v>
          </cell>
          <cell r="DK356">
            <v>45205</v>
          </cell>
          <cell r="DM356">
            <v>2</v>
          </cell>
          <cell r="DN356" t="str">
            <v>0 to 3 Days</v>
          </cell>
          <cell r="DP356">
            <v>45159</v>
          </cell>
          <cell r="DQ356">
            <v>45207</v>
          </cell>
          <cell r="DR356">
            <v>7</v>
          </cell>
          <cell r="DS356">
            <v>7</v>
          </cell>
          <cell r="DU356">
            <v>45214</v>
          </cell>
          <cell r="DV356">
            <v>45166</v>
          </cell>
          <cell r="DW356">
            <v>45214</v>
          </cell>
          <cell r="DX356" t="str">
            <v>Oct 23 Week 3</v>
          </cell>
          <cell r="DZ356">
            <v>45217</v>
          </cell>
          <cell r="EA356" t="str">
            <v>Oct 23 Week 3</v>
          </cell>
          <cell r="EB356" t="str">
            <v>Backlog</v>
          </cell>
          <cell r="ED356" t="str">
            <v/>
          </cell>
          <cell r="EE356" t="str">
            <v/>
          </cell>
          <cell r="EG356">
            <v>1</v>
          </cell>
          <cell r="FD356">
            <v>3</v>
          </cell>
          <cell r="FE356" t="str">
            <v>0 to 3 Days</v>
          </cell>
          <cell r="FF356">
            <v>51</v>
          </cell>
          <cell r="FG356" t="str">
            <v>31 to 61 Days</v>
          </cell>
          <cell r="FH356" t="str">
            <v>Done</v>
          </cell>
          <cell r="FI356" t="str">
            <v>Done</v>
          </cell>
          <cell r="FJ356" t="str">
            <v>NA</v>
          </cell>
          <cell r="FM356" t="str">
            <v/>
          </cell>
          <cell r="GG356" t="str">
            <v>2023-2024</v>
          </cell>
        </row>
        <row r="357">
          <cell r="E357" t="str">
            <v>Raheem Property Plot N061 Part Plot No 6  , School Lane Caltex Area Bellampally , 2 Survey No 109 17 Beside St Marys  , Bellampalli , 504251</v>
          </cell>
          <cell r="F357" t="str">
            <v>9. EPC Ready</v>
          </cell>
          <cell r="G357" t="str">
            <v>SPTEBEB4312</v>
          </cell>
          <cell r="H357" t="str">
            <v>AP-SM-BEL-3000</v>
          </cell>
          <cell r="I357" t="str">
            <v>TYMQ</v>
          </cell>
          <cell r="J357" t="str">
            <v>QBTB</v>
          </cell>
          <cell r="K357" t="str">
            <v xml:space="preserve">E </v>
          </cell>
          <cell r="L357" t="str">
            <v>AK</v>
          </cell>
          <cell r="M357" t="str">
            <v>EPC Ready</v>
          </cell>
          <cell r="O357" t="str">
            <v>Rajshekhar M</v>
          </cell>
          <cell r="Q357" t="str">
            <v>Gaurav Shinde</v>
          </cell>
          <cell r="S357" t="str">
            <v>Telangana</v>
          </cell>
          <cell r="T357" t="str">
            <v>Belampalle</v>
          </cell>
          <cell r="U357" t="str">
            <v>Non Premium</v>
          </cell>
          <cell r="V357" t="str">
            <v>Pharma Format</v>
          </cell>
          <cell r="W357">
            <v>400</v>
          </cell>
          <cell r="X357" t="str">
            <v>Raheem Property Plot N061 Part Plot No 6  , School Lane Caltex Area Bellampally , 2 Survey No 109 17 Beside St Marys  , Bellampalli , 504251</v>
          </cell>
          <cell r="Y357">
            <v>45210</v>
          </cell>
          <cell r="Z357" t="str">
            <v>NA</v>
          </cell>
          <cell r="AB357" t="str">
            <v>NA</v>
          </cell>
          <cell r="AF357" t="str">
            <v>NA</v>
          </cell>
          <cell r="AK357">
            <v>45163</v>
          </cell>
          <cell r="AL357" t="str">
            <v>Received</v>
          </cell>
          <cell r="AO357">
            <v>3</v>
          </cell>
          <cell r="AS357">
            <v>-3</v>
          </cell>
          <cell r="AU357">
            <v>4</v>
          </cell>
          <cell r="AY357">
            <v>-4</v>
          </cell>
          <cell r="BA357">
            <v>5</v>
          </cell>
          <cell r="BE357">
            <v>-5</v>
          </cell>
          <cell r="BG357">
            <v>5</v>
          </cell>
          <cell r="BK357">
            <v>-5</v>
          </cell>
          <cell r="BM357">
            <v>3</v>
          </cell>
          <cell r="BP357">
            <v>3</v>
          </cell>
          <cell r="BW357" t="str">
            <v>Done</v>
          </cell>
          <cell r="BX357">
            <v>45079</v>
          </cell>
          <cell r="BY357" t="str">
            <v>Approved</v>
          </cell>
          <cell r="CD357">
            <v>45209</v>
          </cell>
          <cell r="CE357">
            <v>45216</v>
          </cell>
          <cell r="CG357" t="str">
            <v>M/s BMR ENGINEERING SERVICES</v>
          </cell>
          <cell r="CI357" t="str">
            <v>Issued</v>
          </cell>
          <cell r="DG357" t="str">
            <v>Netmed SDP - Not in Dead Rental</v>
          </cell>
          <cell r="DK357">
            <v>45269</v>
          </cell>
          <cell r="DL357">
            <v>45225</v>
          </cell>
          <cell r="DM357">
            <v>2</v>
          </cell>
          <cell r="DN357" t="str">
            <v>0 to 3 Days</v>
          </cell>
          <cell r="DP357">
            <v>45219</v>
          </cell>
          <cell r="DQ357">
            <v>45271</v>
          </cell>
          <cell r="DR357">
            <v>7</v>
          </cell>
          <cell r="DS357">
            <v>7</v>
          </cell>
          <cell r="DU357">
            <v>45278</v>
          </cell>
          <cell r="DV357">
            <v>45226</v>
          </cell>
          <cell r="DW357">
            <v>45278</v>
          </cell>
          <cell r="DX357" t="str">
            <v>Dec 23 Week 3</v>
          </cell>
          <cell r="DZ357">
            <v>45300</v>
          </cell>
          <cell r="EA357" t="str">
            <v>Jan 24 Week 2</v>
          </cell>
          <cell r="EB357" t="str">
            <v>Backlog</v>
          </cell>
          <cell r="ED357" t="str">
            <v/>
          </cell>
          <cell r="EE357" t="str">
            <v/>
          </cell>
          <cell r="EF357">
            <v>1</v>
          </cell>
          <cell r="EG357">
            <v>1</v>
          </cell>
          <cell r="FD357">
            <v>22</v>
          </cell>
          <cell r="FE357" t="str">
            <v>16 to 31 Days</v>
          </cell>
          <cell r="FF357">
            <v>74</v>
          </cell>
          <cell r="FG357" t="str">
            <v>62 to 90 Days</v>
          </cell>
          <cell r="FH357" t="str">
            <v>Done</v>
          </cell>
          <cell r="FI357" t="str">
            <v>Done</v>
          </cell>
          <cell r="FJ357" t="str">
            <v>NA</v>
          </cell>
          <cell r="FK357">
            <v>45308</v>
          </cell>
          <cell r="FM357" t="str">
            <v/>
          </cell>
          <cell r="GA357">
            <v>45300</v>
          </cell>
          <cell r="GC357">
            <v>45271</v>
          </cell>
          <cell r="GG357" t="str">
            <v>2023-2024</v>
          </cell>
        </row>
        <row r="358">
          <cell r="E358" t="str">
            <v>GF LR &amp; Plot No.2331 L.RKhatian No.10736  , Beldanga-1 Sansad No.10 PO- Murshidabad , JL No60 Mouza Barua PS &amp; Block &amp; ADSRO  , Beldanga , 742133</v>
          </cell>
          <cell r="F358" t="str">
            <v>9. EPC Ready</v>
          </cell>
          <cell r="G358" t="str">
            <v>SPWBBED3673</v>
          </cell>
          <cell r="H358" t="str">
            <v>WB-SM-BED-3001</v>
          </cell>
          <cell r="I358" t="str">
            <v>TAZF</v>
          </cell>
          <cell r="J358" t="str">
            <v>QGIJ</v>
          </cell>
          <cell r="K358" t="str">
            <v xml:space="preserve">E </v>
          </cell>
          <cell r="L358" t="str">
            <v>SD</v>
          </cell>
          <cell r="M358" t="str">
            <v>EPC Ready</v>
          </cell>
          <cell r="N358" t="str">
            <v>Mahendrakumar Warma</v>
          </cell>
          <cell r="O358" t="str">
            <v xml:space="preserve">Sandeepta Gayen </v>
          </cell>
          <cell r="Q358" t="str">
            <v>Gaurav Shinde</v>
          </cell>
          <cell r="S358" t="str">
            <v>West Bengal</v>
          </cell>
          <cell r="T358" t="str">
            <v>Beldanga</v>
          </cell>
          <cell r="U358" t="str">
            <v>Non Premium</v>
          </cell>
          <cell r="V358" t="str">
            <v>Pharma Format</v>
          </cell>
          <cell r="W358">
            <v>405</v>
          </cell>
          <cell r="X358" t="str">
            <v>GF LR &amp; Plot No.2331 L.RKhatian No.10736  , Beldanga-1 Sansad No.10 PO- Murshidabad , JL No60 Mouza Barua PS &amp; Block &amp; ADSRO  , Beldanga , 742133</v>
          </cell>
          <cell r="Y358">
            <v>45166</v>
          </cell>
          <cell r="Z358" t="str">
            <v>NA</v>
          </cell>
          <cell r="AB358" t="str">
            <v>NA</v>
          </cell>
          <cell r="AF358" t="str">
            <v>NA</v>
          </cell>
          <cell r="AK358">
            <v>45182</v>
          </cell>
          <cell r="AL358" t="str">
            <v>Received</v>
          </cell>
          <cell r="AO358">
            <v>3</v>
          </cell>
          <cell r="AS358">
            <v>-3</v>
          </cell>
          <cell r="AU358">
            <v>4</v>
          </cell>
          <cell r="AY358">
            <v>-4</v>
          </cell>
          <cell r="BA358">
            <v>5</v>
          </cell>
          <cell r="BE358">
            <v>-5</v>
          </cell>
          <cell r="BG358">
            <v>5</v>
          </cell>
          <cell r="BK358">
            <v>-5</v>
          </cell>
          <cell r="BM358">
            <v>3</v>
          </cell>
          <cell r="BP358">
            <v>3</v>
          </cell>
          <cell r="BW358" t="str">
            <v>Done</v>
          </cell>
          <cell r="BX358">
            <v>45079</v>
          </cell>
          <cell r="BY358" t="str">
            <v>Approved</v>
          </cell>
          <cell r="CD358">
            <v>45163</v>
          </cell>
          <cell r="CE358">
            <v>45196</v>
          </cell>
          <cell r="CG358" t="str">
            <v>M/s. SAMRIDDHI ENTERPRISE</v>
          </cell>
          <cell r="CI358" t="str">
            <v>Issued</v>
          </cell>
          <cell r="DG358" t="str">
            <v>Netmed SDP - Not in Dead Rental</v>
          </cell>
          <cell r="DK358">
            <v>45202</v>
          </cell>
          <cell r="DL358">
            <v>45196</v>
          </cell>
          <cell r="DM358">
            <v>2</v>
          </cell>
          <cell r="DN358" t="str">
            <v>0 to 3 Days</v>
          </cell>
          <cell r="DP358">
            <v>45199</v>
          </cell>
          <cell r="DQ358">
            <v>45204</v>
          </cell>
          <cell r="DR358">
            <v>7</v>
          </cell>
          <cell r="DS358">
            <v>7</v>
          </cell>
          <cell r="DU358">
            <v>45211</v>
          </cell>
          <cell r="DV358">
            <v>45206</v>
          </cell>
          <cell r="DW358">
            <v>45211</v>
          </cell>
          <cell r="DX358" t="str">
            <v>Oct 23 Week 2</v>
          </cell>
          <cell r="DZ358">
            <v>45257</v>
          </cell>
          <cell r="EA358" t="str">
            <v>Nov 23 Week 4</v>
          </cell>
          <cell r="EB358" t="str">
            <v>Backlog</v>
          </cell>
          <cell r="ED358" t="str">
            <v/>
          </cell>
          <cell r="EE358" t="str">
            <v/>
          </cell>
          <cell r="EF358">
            <v>1</v>
          </cell>
          <cell r="EG358">
            <v>1</v>
          </cell>
          <cell r="FD358">
            <v>46</v>
          </cell>
          <cell r="FE358" t="str">
            <v>31 to 61 Days</v>
          </cell>
          <cell r="FF358">
            <v>51</v>
          </cell>
          <cell r="FG358" t="str">
            <v>31 to 61 Days</v>
          </cell>
          <cell r="FH358" t="str">
            <v>Done</v>
          </cell>
          <cell r="FI358" t="str">
            <v>Done</v>
          </cell>
          <cell r="FJ358" t="str">
            <v>NA</v>
          </cell>
          <cell r="FK358">
            <v>45257</v>
          </cell>
          <cell r="FM358" t="str">
            <v/>
          </cell>
          <cell r="GA358">
            <v>45257</v>
          </cell>
          <cell r="GC358">
            <v>45204</v>
          </cell>
          <cell r="GG358" t="str">
            <v>2023-2024</v>
          </cell>
        </row>
        <row r="359">
          <cell r="E359" t="str">
            <v>RRL GF Sanjeev Market Plot No 57 Khata  , Jagdishpur Bettiah , No 443 Revenue Thana No 258 Khata No 15 , Village Jagdishpur PS Bettiah Dist West , JAGDISHPUR , 845459</v>
          </cell>
          <cell r="F359" t="str">
            <v>14. Dropped</v>
          </cell>
          <cell r="G359" t="str">
            <v>SPBHJAS4122</v>
          </cell>
          <cell r="H359" t="str">
            <v>BH-SM-JDR-3000</v>
          </cell>
          <cell r="I359" t="str">
            <v>TZYT</v>
          </cell>
          <cell r="J359" t="str">
            <v>QDPT</v>
          </cell>
          <cell r="K359" t="str">
            <v xml:space="preserve">E </v>
          </cell>
          <cell r="L359" t="str">
            <v>AK</v>
          </cell>
          <cell r="M359" t="str">
            <v>Dropped</v>
          </cell>
          <cell r="Q359" t="str">
            <v>Gaurav Shinde</v>
          </cell>
          <cell r="S359" t="str">
            <v>Bihar</v>
          </cell>
          <cell r="T359" t="str">
            <v>Bettiah</v>
          </cell>
          <cell r="U359" t="str">
            <v>Non Premium</v>
          </cell>
          <cell r="V359" t="str">
            <v>Pharma Format</v>
          </cell>
          <cell r="W359">
            <v>400</v>
          </cell>
          <cell r="X359" t="str">
            <v>RRL GF Sanjeev Market Plot No 57 Khata  , Jagdishpur Bettiah , No 443 Revenue Thana No 258 Khata No 15 , Village Jagdishpur PS Bettiah Dist West , JAGDISHPUR , 845459</v>
          </cell>
          <cell r="Z359" t="str">
            <v>NA</v>
          </cell>
          <cell r="AB359" t="str">
            <v>NA</v>
          </cell>
          <cell r="AF359" t="str">
            <v>NA</v>
          </cell>
          <cell r="AK359">
            <v>45183</v>
          </cell>
          <cell r="AL359" t="str">
            <v>Received</v>
          </cell>
          <cell r="AO359">
            <v>3</v>
          </cell>
          <cell r="AS359">
            <v>-3</v>
          </cell>
          <cell r="AU359">
            <v>4</v>
          </cell>
          <cell r="AY359">
            <v>-4</v>
          </cell>
          <cell r="BA359">
            <v>5</v>
          </cell>
          <cell r="BE359">
            <v>-5</v>
          </cell>
          <cell r="BG359">
            <v>5</v>
          </cell>
          <cell r="BK359">
            <v>-5</v>
          </cell>
          <cell r="BM359">
            <v>3</v>
          </cell>
          <cell r="BP359">
            <v>3</v>
          </cell>
          <cell r="BW359" t="str">
            <v>Done</v>
          </cell>
          <cell r="BX359">
            <v>45079</v>
          </cell>
          <cell r="BY359" t="str">
            <v>Approved</v>
          </cell>
          <cell r="DG359" t="str">
            <v>Netmed SDP - Not in Dead Rental</v>
          </cell>
          <cell r="DM359" t="str">
            <v>NA</v>
          </cell>
          <cell r="DN359" t="str">
            <v>NA</v>
          </cell>
          <cell r="DR359">
            <v>7</v>
          </cell>
          <cell r="DS359">
            <v>7</v>
          </cell>
          <cell r="DU359">
            <v>7</v>
          </cell>
          <cell r="DV359">
            <v>7</v>
          </cell>
          <cell r="DW359">
            <v>7</v>
          </cell>
          <cell r="EA359" t="str">
            <v/>
          </cell>
          <cell r="ED359" t="str">
            <v/>
          </cell>
          <cell r="EE359" t="str">
            <v/>
          </cell>
          <cell r="FD359">
            <v>46114</v>
          </cell>
          <cell r="FF359">
            <v>46114</v>
          </cell>
          <cell r="FJ359" t="str">
            <v>NA</v>
          </cell>
          <cell r="FM359" t="str">
            <v/>
          </cell>
          <cell r="GG359" t="str">
            <v>2024-2025</v>
          </cell>
        </row>
        <row r="360">
          <cell r="E360" t="str">
            <v>Kiaras 3 Ntpc Main Road  , Kahalgaon , Near Bhader Gate  , KAHALGAON , 813203</v>
          </cell>
          <cell r="F360" t="str">
            <v>9. EPC Ready</v>
          </cell>
          <cell r="G360" t="str">
            <v>SPBHKAN3678</v>
          </cell>
          <cell r="H360" t="str">
            <v>BH-SM-KHL-3000</v>
          </cell>
          <cell r="I360" t="str">
            <v>TZOO</v>
          </cell>
          <cell r="J360" t="str">
            <v>QDBT</v>
          </cell>
          <cell r="K360" t="str">
            <v xml:space="preserve">E </v>
          </cell>
          <cell r="L360" t="str">
            <v>AK</v>
          </cell>
          <cell r="M360" t="str">
            <v>EPC Ready Pharmacy 200 SFT</v>
          </cell>
          <cell r="Q360" t="str">
            <v>Gaurav Shinde</v>
          </cell>
          <cell r="S360" t="str">
            <v>Bihar</v>
          </cell>
          <cell r="T360" t="str">
            <v>Bhagalpur</v>
          </cell>
          <cell r="U360" t="str">
            <v>Non Premium</v>
          </cell>
          <cell r="V360" t="str">
            <v>Pharma Format</v>
          </cell>
          <cell r="W360">
            <v>250</v>
          </cell>
          <cell r="X360" t="str">
            <v>Kiaras 3 Ntpc Main Road  , Kahalgaon , Near Bhader Gate  , KAHALGAON , 813203</v>
          </cell>
          <cell r="Y360">
            <v>45166</v>
          </cell>
          <cell r="Z360" t="str">
            <v>NA</v>
          </cell>
          <cell r="AB360" t="str">
            <v>NA</v>
          </cell>
          <cell r="AF360" t="str">
            <v>NA</v>
          </cell>
          <cell r="AL360" t="str">
            <v>Received</v>
          </cell>
          <cell r="AO360">
            <v>3</v>
          </cell>
          <cell r="AS360">
            <v>-3</v>
          </cell>
          <cell r="AU360">
            <v>4</v>
          </cell>
          <cell r="AY360">
            <v>-4</v>
          </cell>
          <cell r="BA360">
            <v>5</v>
          </cell>
          <cell r="BE360">
            <v>-5</v>
          </cell>
          <cell r="BG360">
            <v>5</v>
          </cell>
          <cell r="BK360">
            <v>-5</v>
          </cell>
          <cell r="BM360">
            <v>3</v>
          </cell>
          <cell r="BP360">
            <v>3</v>
          </cell>
          <cell r="BW360" t="str">
            <v>Done</v>
          </cell>
          <cell r="BX360">
            <v>45079</v>
          </cell>
          <cell r="BY360" t="str">
            <v>Approved</v>
          </cell>
          <cell r="CD360">
            <v>45163</v>
          </cell>
          <cell r="DG360" t="str">
            <v>Netmed SDP - Not in Dead Rental</v>
          </cell>
          <cell r="DK360">
            <v>45205</v>
          </cell>
          <cell r="DM360">
            <v>2</v>
          </cell>
          <cell r="DN360" t="str">
            <v>0 to 3 Days</v>
          </cell>
          <cell r="DQ360">
            <v>45207</v>
          </cell>
          <cell r="DR360">
            <v>7</v>
          </cell>
          <cell r="DS360">
            <v>7</v>
          </cell>
          <cell r="DU360">
            <v>45214</v>
          </cell>
          <cell r="DV360">
            <v>7</v>
          </cell>
          <cell r="DW360">
            <v>45214</v>
          </cell>
          <cell r="DX360" t="str">
            <v>Oct 23 Week 3</v>
          </cell>
          <cell r="DZ360">
            <v>45214</v>
          </cell>
          <cell r="EA360" t="str">
            <v>Oct 23 Week 3</v>
          </cell>
          <cell r="EB360" t="str">
            <v>Plan</v>
          </cell>
          <cell r="ED360" t="str">
            <v/>
          </cell>
          <cell r="EE360" t="str">
            <v/>
          </cell>
          <cell r="EG360">
            <v>1</v>
          </cell>
          <cell r="FD360">
            <v>0</v>
          </cell>
          <cell r="FE360" t="str">
            <v>On Time</v>
          </cell>
          <cell r="FF360">
            <v>45207</v>
          </cell>
          <cell r="FH360" t="str">
            <v>Done</v>
          </cell>
          <cell r="FI360" t="str">
            <v>Done</v>
          </cell>
          <cell r="FJ360" t="str">
            <v>NA</v>
          </cell>
          <cell r="FM360" t="str">
            <v/>
          </cell>
          <cell r="GG360" t="str">
            <v>2023-2024</v>
          </cell>
        </row>
        <row r="361">
          <cell r="E361" t="str">
            <v>D No 12 517 Kasupuram Road  , Guntakal Anantapur Dist , Beside Heritage Fresh Sn Pet  , GUNTAKAL , 515801</v>
          </cell>
          <cell r="F361" t="str">
            <v>9. EPC Ready</v>
          </cell>
          <cell r="G361" t="str">
            <v>SPAPGUS3638</v>
          </cell>
          <cell r="H361" t="str">
            <v>AP-SM-GNL-3000</v>
          </cell>
          <cell r="I361" t="str">
            <v>TYOT</v>
          </cell>
          <cell r="J361" t="str">
            <v>QBVV</v>
          </cell>
          <cell r="K361" t="str">
            <v xml:space="preserve">E </v>
          </cell>
          <cell r="L361" t="str">
            <v>JD</v>
          </cell>
          <cell r="M361" t="str">
            <v>EPC Ready</v>
          </cell>
          <cell r="N361" t="str">
            <v>Jaisingh Desai</v>
          </cell>
          <cell r="Q361" t="str">
            <v>Gaurav Shinde</v>
          </cell>
          <cell r="S361" t="str">
            <v>Andhra Pradesh</v>
          </cell>
          <cell r="T361" t="str">
            <v>Guntakal</v>
          </cell>
          <cell r="U361" t="str">
            <v>Non Premium</v>
          </cell>
          <cell r="V361" t="str">
            <v>Pharma Format</v>
          </cell>
          <cell r="W361">
            <v>400</v>
          </cell>
          <cell r="X361" t="str">
            <v>D No 12 517 Kasupuram Road  , Guntakal Anantapur Dist , Beside Heritage Fresh Sn Pet  , GUNTAKAL , 515801</v>
          </cell>
          <cell r="Y361">
            <v>45166</v>
          </cell>
          <cell r="Z361" t="str">
            <v>NA</v>
          </cell>
          <cell r="AB361" t="str">
            <v>NA</v>
          </cell>
          <cell r="AF361" t="str">
            <v>NA</v>
          </cell>
          <cell r="AK361">
            <v>45182</v>
          </cell>
          <cell r="AL361" t="str">
            <v>Received</v>
          </cell>
          <cell r="AO361">
            <v>3</v>
          </cell>
          <cell r="AS361">
            <v>-3</v>
          </cell>
          <cell r="AU361">
            <v>4</v>
          </cell>
          <cell r="AY361">
            <v>-4</v>
          </cell>
          <cell r="BA361">
            <v>5</v>
          </cell>
          <cell r="BE361">
            <v>-5</v>
          </cell>
          <cell r="BG361">
            <v>5</v>
          </cell>
          <cell r="BK361">
            <v>-5</v>
          </cell>
          <cell r="BM361">
            <v>3</v>
          </cell>
          <cell r="BP361">
            <v>3</v>
          </cell>
          <cell r="BW361" t="str">
            <v>Done</v>
          </cell>
          <cell r="BX361">
            <v>45079</v>
          </cell>
          <cell r="BY361" t="str">
            <v>Approved</v>
          </cell>
          <cell r="CD361">
            <v>45163</v>
          </cell>
          <cell r="CE361">
            <v>45174</v>
          </cell>
          <cell r="CG361" t="str">
            <v>M/s Indian Computer Company</v>
          </cell>
          <cell r="CI361" t="str">
            <v>Issued</v>
          </cell>
          <cell r="DG361" t="str">
            <v>Netmed SDP - Not in Dead Rental</v>
          </cell>
          <cell r="DK361">
            <v>45201</v>
          </cell>
          <cell r="DM361">
            <v>2</v>
          </cell>
          <cell r="DN361" t="str">
            <v>0 to 3 Days</v>
          </cell>
          <cell r="DP361">
            <v>45177</v>
          </cell>
          <cell r="DQ361">
            <v>45203</v>
          </cell>
          <cell r="DR361">
            <v>7</v>
          </cell>
          <cell r="DS361">
            <v>7</v>
          </cell>
          <cell r="DU361">
            <v>45210</v>
          </cell>
          <cell r="DV361">
            <v>45184</v>
          </cell>
          <cell r="DW361">
            <v>45210</v>
          </cell>
          <cell r="DX361" t="str">
            <v>Oct 23 Week 2</v>
          </cell>
          <cell r="DZ361">
            <v>45275</v>
          </cell>
          <cell r="EA361" t="str">
            <v>Dec 23 Week 3</v>
          </cell>
          <cell r="EB361" t="str">
            <v>Backlog</v>
          </cell>
          <cell r="ED361" t="str">
            <v/>
          </cell>
          <cell r="EE361" t="str">
            <v/>
          </cell>
          <cell r="EF361">
            <v>1</v>
          </cell>
          <cell r="EG361">
            <v>1</v>
          </cell>
          <cell r="FD361">
            <v>65</v>
          </cell>
          <cell r="FE361" t="str">
            <v>62 to 90 Days</v>
          </cell>
          <cell r="FF361">
            <v>91</v>
          </cell>
          <cell r="FG361" t="str">
            <v>More Than 90  Days</v>
          </cell>
          <cell r="FH361" t="str">
            <v>done</v>
          </cell>
          <cell r="FJ361" t="str">
            <v>NA</v>
          </cell>
          <cell r="FK361">
            <v>45502</v>
          </cell>
          <cell r="FM361" t="str">
            <v/>
          </cell>
          <cell r="GA361">
            <v>45282</v>
          </cell>
          <cell r="GC361">
            <v>45203</v>
          </cell>
          <cell r="GG361" t="str">
            <v>2023-2024</v>
          </cell>
        </row>
        <row r="362">
          <cell r="E362" t="str">
            <v>Nr. Nehru Park Bhawani Mandi Rajasthan 326502</v>
          </cell>
          <cell r="F362" t="str">
            <v>9. EPC Ready</v>
          </cell>
          <cell r="G362" t="str">
            <v>SPRJBHB3993</v>
          </cell>
          <cell r="H362" t="str">
            <v>RJ-SM-BWI-3000</v>
          </cell>
          <cell r="I362" t="str">
            <v>T55R</v>
          </cell>
          <cell r="J362" t="str">
            <v>QRYY</v>
          </cell>
          <cell r="K362" t="str">
            <v xml:space="preserve">N </v>
          </cell>
          <cell r="L362" t="str">
            <v>KC</v>
          </cell>
          <cell r="M362" t="str">
            <v>EPC Ready</v>
          </cell>
          <cell r="P362" t="str">
            <v>Mr.Balram Soni-8003293109</v>
          </cell>
          <cell r="Q362" t="str">
            <v>Gaurav Shinde</v>
          </cell>
          <cell r="S362" t="str">
            <v>Rajasthan</v>
          </cell>
          <cell r="T362" t="str">
            <v>BHAWANIMANDI</v>
          </cell>
          <cell r="U362" t="str">
            <v>Non Premium</v>
          </cell>
          <cell r="V362" t="str">
            <v>Pharma Format</v>
          </cell>
          <cell r="W362">
            <v>400</v>
          </cell>
          <cell r="X362" t="str">
            <v>Nr. Nehru Park Bhawani Mandi Rajasthan 326502</v>
          </cell>
          <cell r="Y362">
            <v>45125</v>
          </cell>
          <cell r="Z362" t="str">
            <v>NA</v>
          </cell>
          <cell r="AB362" t="str">
            <v>NA</v>
          </cell>
          <cell r="AF362" t="str">
            <v>NA</v>
          </cell>
          <cell r="AK362">
            <v>45279</v>
          </cell>
          <cell r="AL362" t="str">
            <v>Received</v>
          </cell>
          <cell r="AO362">
            <v>3</v>
          </cell>
          <cell r="AS362">
            <v>-3</v>
          </cell>
          <cell r="AU362">
            <v>4</v>
          </cell>
          <cell r="AY362">
            <v>-4</v>
          </cell>
          <cell r="BA362">
            <v>5</v>
          </cell>
          <cell r="BE362">
            <v>-5</v>
          </cell>
          <cell r="BG362">
            <v>5</v>
          </cell>
          <cell r="BK362">
            <v>-5</v>
          </cell>
          <cell r="BM362">
            <v>3</v>
          </cell>
          <cell r="BP362">
            <v>3</v>
          </cell>
          <cell r="BW362" t="str">
            <v>Done</v>
          </cell>
          <cell r="BX362">
            <v>45079</v>
          </cell>
          <cell r="BY362" t="str">
            <v>Approved</v>
          </cell>
          <cell r="CD362">
            <v>45126</v>
          </cell>
          <cell r="CE362">
            <v>45156</v>
          </cell>
          <cell r="CG362" t="str">
            <v>M/s    Barso Solution</v>
          </cell>
          <cell r="CI362" t="str">
            <v>Issued</v>
          </cell>
          <cell r="DG362" t="str">
            <v>Netmed SDP - Not in Dead Rental</v>
          </cell>
          <cell r="DK362">
            <v>45294</v>
          </cell>
          <cell r="DL362">
            <v>45152</v>
          </cell>
          <cell r="DM362">
            <v>2</v>
          </cell>
          <cell r="DN362" t="str">
            <v>0 to 3 Days</v>
          </cell>
          <cell r="DP362">
            <v>45159</v>
          </cell>
          <cell r="DQ362">
            <v>45296</v>
          </cell>
          <cell r="DR362">
            <v>7</v>
          </cell>
          <cell r="DS362">
            <v>7</v>
          </cell>
          <cell r="DU362">
            <v>45303</v>
          </cell>
          <cell r="DV362">
            <v>45166</v>
          </cell>
          <cell r="DW362">
            <v>45303</v>
          </cell>
          <cell r="DX362" t="str">
            <v>Jan 24 Week 2</v>
          </cell>
          <cell r="DZ362">
            <v>45319</v>
          </cell>
          <cell r="EA362" t="str">
            <v>Jan 24 Week 4</v>
          </cell>
          <cell r="EB362" t="str">
            <v>Backlog</v>
          </cell>
          <cell r="ED362" t="str">
            <v/>
          </cell>
          <cell r="EE362" t="str">
            <v/>
          </cell>
          <cell r="EF362">
            <v>1</v>
          </cell>
          <cell r="EG362">
            <v>1</v>
          </cell>
          <cell r="FD362">
            <v>16</v>
          </cell>
          <cell r="FE362" t="str">
            <v>16 to 31 Days</v>
          </cell>
          <cell r="FF362">
            <v>153</v>
          </cell>
          <cell r="FG362" t="str">
            <v>More Than 90  Days</v>
          </cell>
          <cell r="FH362" t="str">
            <v>Done</v>
          </cell>
          <cell r="FI362" t="str">
            <v>Done</v>
          </cell>
          <cell r="FJ362" t="str">
            <v>NA</v>
          </cell>
          <cell r="FK362">
            <v>45327</v>
          </cell>
          <cell r="FM362" t="str">
            <v/>
          </cell>
          <cell r="GA362">
            <v>45321</v>
          </cell>
          <cell r="GC362" t="str">
            <v>27-08-2023
05-01-2024</v>
          </cell>
          <cell r="GG362" t="str">
            <v>2023-2024</v>
          </cell>
        </row>
        <row r="363">
          <cell r="E363" t="str">
            <v>Rajendra Mishra Mirganj Road Bhore  , Bhore Gopalganj , Bhore Gopalganj Po Ps  , BHORE , 841426</v>
          </cell>
          <cell r="F363" t="str">
            <v>9. EPC Ready</v>
          </cell>
          <cell r="G363" t="str">
            <v>SPBHBHM3093</v>
          </cell>
          <cell r="H363" t="str">
            <v>BH-SM-BOE-3000</v>
          </cell>
          <cell r="I363" t="str">
            <v>TZ3I</v>
          </cell>
          <cell r="J363" t="str">
            <v>QEEB</v>
          </cell>
          <cell r="K363" t="str">
            <v xml:space="preserve">E </v>
          </cell>
          <cell r="L363" t="str">
            <v>AK</v>
          </cell>
          <cell r="M363" t="str">
            <v>EPC Ready</v>
          </cell>
          <cell r="Q363" t="str">
            <v>Gaurav Shinde</v>
          </cell>
          <cell r="S363" t="str">
            <v>Bihar</v>
          </cell>
          <cell r="T363" t="str">
            <v>Bhore</v>
          </cell>
          <cell r="U363" t="str">
            <v>Non Premium</v>
          </cell>
          <cell r="V363" t="str">
            <v>Pharma Format</v>
          </cell>
          <cell r="W363">
            <v>400</v>
          </cell>
          <cell r="X363" t="str">
            <v>Rajendra Mishra Mirganj Road Bhore  , Bhore Gopalganj , Bhore Gopalganj Po Ps  , BHORE , 841426</v>
          </cell>
          <cell r="Y363">
            <v>45166</v>
          </cell>
          <cell r="Z363" t="str">
            <v>NA</v>
          </cell>
          <cell r="AB363" t="str">
            <v>NA</v>
          </cell>
          <cell r="AF363" t="str">
            <v>NA</v>
          </cell>
          <cell r="AK363">
            <v>45250</v>
          </cell>
          <cell r="AL363" t="str">
            <v>Received</v>
          </cell>
          <cell r="AO363">
            <v>3</v>
          </cell>
          <cell r="AS363">
            <v>-3</v>
          </cell>
          <cell r="AU363">
            <v>4</v>
          </cell>
          <cell r="AY363">
            <v>-4</v>
          </cell>
          <cell r="BA363">
            <v>5</v>
          </cell>
          <cell r="BE363">
            <v>-5</v>
          </cell>
          <cell r="BG363">
            <v>5</v>
          </cell>
          <cell r="BK363">
            <v>-5</v>
          </cell>
          <cell r="BM363">
            <v>3</v>
          </cell>
          <cell r="BP363">
            <v>3</v>
          </cell>
          <cell r="BW363" t="str">
            <v>Done</v>
          </cell>
          <cell r="BX363">
            <v>45079</v>
          </cell>
          <cell r="BY363" t="str">
            <v>Approved</v>
          </cell>
          <cell r="CD363">
            <v>45163</v>
          </cell>
          <cell r="CE363">
            <v>45270</v>
          </cell>
          <cell r="CG363" t="str">
            <v xml:space="preserve">M/S RECON </v>
          </cell>
          <cell r="CI363" t="str">
            <v>Issued</v>
          </cell>
          <cell r="DA363" t="str">
            <v>NA</v>
          </cell>
          <cell r="DB363" t="str">
            <v>NA</v>
          </cell>
          <cell r="DC363" t="str">
            <v>NA</v>
          </cell>
          <cell r="DG363" t="str">
            <v>Netmed SDP - Not in Dead Rental</v>
          </cell>
          <cell r="DK363">
            <v>45301</v>
          </cell>
          <cell r="DL363">
            <v>45260</v>
          </cell>
          <cell r="DM363">
            <v>2</v>
          </cell>
          <cell r="DN363" t="str">
            <v>0 to 3 Days</v>
          </cell>
          <cell r="DO363" t="str">
            <v>13-12-2023</v>
          </cell>
          <cell r="DP363">
            <v>45304</v>
          </cell>
          <cell r="DQ363">
            <v>45303</v>
          </cell>
          <cell r="DR363">
            <v>7</v>
          </cell>
          <cell r="DS363">
            <v>7</v>
          </cell>
          <cell r="DU363">
            <v>45310</v>
          </cell>
          <cell r="DV363">
            <v>45311</v>
          </cell>
          <cell r="DW363">
            <v>45310</v>
          </cell>
          <cell r="DX363" t="str">
            <v>Jan 24 Week 3</v>
          </cell>
          <cell r="DZ363">
            <v>45334</v>
          </cell>
          <cell r="EA363" t="str">
            <v>Feb 24 Week 2</v>
          </cell>
          <cell r="EB363" t="str">
            <v>Backlog</v>
          </cell>
          <cell r="ED363" t="str">
            <v/>
          </cell>
          <cell r="EE363" t="str">
            <v/>
          </cell>
          <cell r="EF363">
            <v>1</v>
          </cell>
          <cell r="EG363">
            <v>0.8</v>
          </cell>
          <cell r="FD363">
            <v>24</v>
          </cell>
          <cell r="FE363" t="str">
            <v>16 to 31 Days</v>
          </cell>
          <cell r="FF363">
            <v>23</v>
          </cell>
          <cell r="FG363" t="str">
            <v>16 to 31 Days</v>
          </cell>
          <cell r="FH363" t="str">
            <v>Done</v>
          </cell>
          <cell r="FI363" t="str">
            <v>Done</v>
          </cell>
          <cell r="FJ363" t="str">
            <v>NA</v>
          </cell>
          <cell r="FK363">
            <v>45334</v>
          </cell>
          <cell r="FM363" t="str">
            <v/>
          </cell>
          <cell r="GA363">
            <v>45337</v>
          </cell>
          <cell r="GC363">
            <v>45302</v>
          </cell>
          <cell r="GG363" t="str">
            <v>2023-2024</v>
          </cell>
        </row>
        <row r="364">
          <cell r="E364" t="str">
            <v>GF IBL house Puri by pass rd Sai mandir  , Vill &amp; Mouza- BhubaneswarPOPS , chouk Plot no. 4524/5421 Khata 1494/4119  , BHUBANESWAR , 751018</v>
          </cell>
          <cell r="F364" t="str">
            <v>9. EPC Ready</v>
          </cell>
          <cell r="G364" t="str">
            <v>SPORBHB4267</v>
          </cell>
          <cell r="H364" t="str">
            <v>OR-SM-BHU-3006</v>
          </cell>
          <cell r="I364" t="str">
            <v>T1WK</v>
          </cell>
          <cell r="J364" t="str">
            <v>Q3H5</v>
          </cell>
          <cell r="K364" t="str">
            <v xml:space="preserve">E </v>
          </cell>
          <cell r="L364" t="str">
            <v>JD</v>
          </cell>
          <cell r="M364" t="str">
            <v>EPC Ready</v>
          </cell>
          <cell r="N364" t="str">
            <v>Jaisingh Desai</v>
          </cell>
          <cell r="P364" t="str">
            <v>Sanjay Ghosh-6302403813</v>
          </cell>
          <cell r="Q364" t="str">
            <v>Gaurav Shinde</v>
          </cell>
          <cell r="S364" t="str">
            <v>ODISHA</v>
          </cell>
          <cell r="T364" t="str">
            <v>Bhubaneswar</v>
          </cell>
          <cell r="U364" t="str">
            <v>Non Premium</v>
          </cell>
          <cell r="V364" t="str">
            <v>Pharma Format</v>
          </cell>
          <cell r="W364">
            <v>400</v>
          </cell>
          <cell r="X364" t="str">
            <v>GF IBL house Puri by pass rd Sai mandir  , Vill &amp; Mouza- BhubaneswarPOPS , chouk Plot no. 4524/5421 Khata 1494/4119  , BHUBANESWAR , 751018</v>
          </cell>
          <cell r="Y364">
            <v>45163</v>
          </cell>
          <cell r="Z364" t="str">
            <v>NA</v>
          </cell>
          <cell r="AB364" t="str">
            <v>NA</v>
          </cell>
          <cell r="AF364" t="str">
            <v>NA</v>
          </cell>
          <cell r="AK364">
            <v>45189</v>
          </cell>
          <cell r="AL364" t="str">
            <v>Received</v>
          </cell>
          <cell r="AO364">
            <v>3</v>
          </cell>
          <cell r="AS364">
            <v>-3</v>
          </cell>
          <cell r="AU364">
            <v>4</v>
          </cell>
          <cell r="AY364">
            <v>-4</v>
          </cell>
          <cell r="BA364">
            <v>5</v>
          </cell>
          <cell r="BE364">
            <v>-5</v>
          </cell>
          <cell r="BG364">
            <v>5</v>
          </cell>
          <cell r="BK364">
            <v>-5</v>
          </cell>
          <cell r="BM364">
            <v>3</v>
          </cell>
          <cell r="BP364">
            <v>3</v>
          </cell>
          <cell r="BW364" t="str">
            <v>Done</v>
          </cell>
          <cell r="BX364">
            <v>45079</v>
          </cell>
          <cell r="BY364" t="str">
            <v>Approved</v>
          </cell>
          <cell r="CD364">
            <v>45162</v>
          </cell>
          <cell r="CE364">
            <v>45173</v>
          </cell>
          <cell r="CG364" t="str">
            <v>M/s Geetanjali Enterprises</v>
          </cell>
          <cell r="CI364" t="str">
            <v>Issued</v>
          </cell>
          <cell r="DG364" t="str">
            <v>Netmed SDP - Not in Dead Rental</v>
          </cell>
          <cell r="DK364">
            <v>45179</v>
          </cell>
          <cell r="DM364">
            <v>2</v>
          </cell>
          <cell r="DN364" t="str">
            <v>0 to 3 Days</v>
          </cell>
          <cell r="DP364">
            <v>45176</v>
          </cell>
          <cell r="DQ364">
            <v>45181</v>
          </cell>
          <cell r="DR364">
            <v>7</v>
          </cell>
          <cell r="DS364">
            <v>7</v>
          </cell>
          <cell r="DU364">
            <v>45188</v>
          </cell>
          <cell r="DV364">
            <v>45183</v>
          </cell>
          <cell r="DW364">
            <v>45188</v>
          </cell>
          <cell r="DX364" t="str">
            <v>Sep 23 Week 3</v>
          </cell>
          <cell r="DZ364">
            <v>45194</v>
          </cell>
          <cell r="EA364" t="str">
            <v>Sep 23 Week 4</v>
          </cell>
          <cell r="EB364" t="str">
            <v>Backlog</v>
          </cell>
          <cell r="ED364" t="str">
            <v/>
          </cell>
          <cell r="EE364" t="str">
            <v/>
          </cell>
          <cell r="EF364">
            <v>1</v>
          </cell>
          <cell r="EG364">
            <v>1</v>
          </cell>
          <cell r="FD364">
            <v>6</v>
          </cell>
          <cell r="FE364" t="str">
            <v>4 to 7 Days</v>
          </cell>
          <cell r="FF364">
            <v>11</v>
          </cell>
          <cell r="FG364" t="str">
            <v>8 to 15 Days</v>
          </cell>
          <cell r="FH364" t="str">
            <v>Done</v>
          </cell>
          <cell r="FI364" t="str">
            <v>Done</v>
          </cell>
          <cell r="FJ364" t="str">
            <v>NA</v>
          </cell>
          <cell r="FK364">
            <v>45204</v>
          </cell>
          <cell r="FM364" t="str">
            <v/>
          </cell>
          <cell r="GA364">
            <v>45232</v>
          </cell>
          <cell r="GC364">
            <v>45181</v>
          </cell>
          <cell r="GG364" t="str">
            <v>2023-2024</v>
          </cell>
        </row>
        <row r="365">
          <cell r="E365" t="str">
            <v>GF Ranvijay Market Khata No 5  , Mauza-Marhowrah, Thana No 143 Dist-Saran , Khesra No 24, Tauzi No 2589  , MARHAURA , 841418</v>
          </cell>
          <cell r="F365" t="str">
            <v>9. EPC Ready</v>
          </cell>
          <cell r="G365" t="str">
            <v>SPBHMAR3476</v>
          </cell>
          <cell r="H365" t="str">
            <v>BH-SM-MHA-3000</v>
          </cell>
          <cell r="I365" t="str">
            <v>TZ3Z</v>
          </cell>
          <cell r="J365" t="str">
            <v>QEES</v>
          </cell>
          <cell r="K365" t="str">
            <v xml:space="preserve">E </v>
          </cell>
          <cell r="L365" t="str">
            <v>AK</v>
          </cell>
          <cell r="M365" t="str">
            <v>EPC Ready</v>
          </cell>
          <cell r="P365" t="str">
            <v>Mr. Jitendra Kumar-6201750698</v>
          </cell>
          <cell r="Q365" t="str">
            <v>Gaurav Shinde</v>
          </cell>
          <cell r="S365" t="str">
            <v>Bihar</v>
          </cell>
          <cell r="T365" t="str">
            <v>Chhapra</v>
          </cell>
          <cell r="U365" t="str">
            <v>Non Premium</v>
          </cell>
          <cell r="V365" t="str">
            <v>Pharma Format</v>
          </cell>
          <cell r="W365">
            <v>413</v>
          </cell>
          <cell r="X365" t="str">
            <v>GF Ranvijay Market Khata No 5  , Mauza-Marhowrah, Thana No 143 Dist-Saran , Khesra No 24, Tauzi No 2589  , MARHAURA , 841418</v>
          </cell>
          <cell r="Y365">
            <v>45159</v>
          </cell>
          <cell r="Z365" t="str">
            <v>NA</v>
          </cell>
          <cell r="AB365" t="str">
            <v>NA</v>
          </cell>
          <cell r="AF365" t="str">
            <v>NA</v>
          </cell>
          <cell r="AK365">
            <v>45147</v>
          </cell>
          <cell r="AL365" t="str">
            <v>Received</v>
          </cell>
          <cell r="AO365">
            <v>3</v>
          </cell>
          <cell r="AS365">
            <v>-3</v>
          </cell>
          <cell r="AU365">
            <v>4</v>
          </cell>
          <cell r="AY365">
            <v>-4</v>
          </cell>
          <cell r="BA365">
            <v>5</v>
          </cell>
          <cell r="BE365">
            <v>-5</v>
          </cell>
          <cell r="BG365">
            <v>5</v>
          </cell>
          <cell r="BK365">
            <v>-5</v>
          </cell>
          <cell r="BM365">
            <v>3</v>
          </cell>
          <cell r="BP365">
            <v>3</v>
          </cell>
          <cell r="BW365" t="str">
            <v>Done</v>
          </cell>
          <cell r="BX365">
            <v>45079</v>
          </cell>
          <cell r="BY365" t="str">
            <v>Approved</v>
          </cell>
          <cell r="CD365">
            <v>45162</v>
          </cell>
          <cell r="CE365">
            <v>45175</v>
          </cell>
          <cell r="CG365" t="str">
            <v xml:space="preserve">M/S Laxmi Enterprises </v>
          </cell>
          <cell r="CI365" t="str">
            <v>Issued</v>
          </cell>
          <cell r="DG365" t="str">
            <v>Netmed SDP - Not in Dead Rental</v>
          </cell>
          <cell r="DK365">
            <v>45200</v>
          </cell>
          <cell r="DL365">
            <v>45166</v>
          </cell>
          <cell r="DM365">
            <v>2</v>
          </cell>
          <cell r="DN365" t="str">
            <v>0 to 3 Days</v>
          </cell>
          <cell r="DP365">
            <v>45178</v>
          </cell>
          <cell r="DQ365">
            <v>45202</v>
          </cell>
          <cell r="DR365">
            <v>7</v>
          </cell>
          <cell r="DS365">
            <v>7</v>
          </cell>
          <cell r="DU365">
            <v>45209</v>
          </cell>
          <cell r="DV365">
            <v>45185</v>
          </cell>
          <cell r="DW365">
            <v>45209</v>
          </cell>
          <cell r="DX365" t="str">
            <v>Oct 23 Week 2</v>
          </cell>
          <cell r="DZ365">
            <v>45293</v>
          </cell>
          <cell r="EA365" t="str">
            <v>Jan 24 Week 1</v>
          </cell>
          <cell r="EB365" t="str">
            <v>Backlog</v>
          </cell>
          <cell r="ED365" t="str">
            <v/>
          </cell>
          <cell r="EE365" t="str">
            <v/>
          </cell>
          <cell r="EF365">
            <v>1</v>
          </cell>
          <cell r="EG365">
            <v>1</v>
          </cell>
          <cell r="FD365">
            <v>84</v>
          </cell>
          <cell r="FE365" t="str">
            <v>62 to 90 Days</v>
          </cell>
          <cell r="FF365">
            <v>108</v>
          </cell>
          <cell r="FG365" t="str">
            <v>More Than 90  Days</v>
          </cell>
          <cell r="FH365" t="str">
            <v>Done</v>
          </cell>
          <cell r="FI365" t="str">
            <v>Done</v>
          </cell>
          <cell r="FJ365" t="str">
            <v>NA</v>
          </cell>
          <cell r="FK365">
            <v>45293</v>
          </cell>
          <cell r="FM365" t="str">
            <v/>
          </cell>
          <cell r="GA365">
            <v>45291</v>
          </cell>
          <cell r="GC365" t="str">
            <v>12-10-2023
17-12-2023</v>
          </cell>
          <cell r="GG365" t="str">
            <v>2023-2024</v>
          </cell>
        </row>
        <row r="366">
          <cell r="E366" t="str">
            <v>Kishan Homes Near Bazar Samiti Patut Roa  ,  , Road Raghopur City  , BIHTA , 801103</v>
          </cell>
          <cell r="F366" t="str">
            <v>9. EPC Ready</v>
          </cell>
          <cell r="G366" t="str">
            <v>SPBHBIR4127</v>
          </cell>
          <cell r="H366" t="str">
            <v>BH-SM-BIT-3000</v>
          </cell>
          <cell r="I366" t="str">
            <v>TWJ7</v>
          </cell>
          <cell r="J366" t="str">
            <v>Q6KK</v>
          </cell>
          <cell r="K366" t="str">
            <v xml:space="preserve">E </v>
          </cell>
          <cell r="L366" t="str">
            <v>AK</v>
          </cell>
          <cell r="M366" t="str">
            <v>EPC ready</v>
          </cell>
          <cell r="Q366" t="str">
            <v>Gaurav Shinde</v>
          </cell>
          <cell r="S366" t="str">
            <v>Bihar</v>
          </cell>
          <cell r="T366" t="str">
            <v>Bihta</v>
          </cell>
          <cell r="U366" t="str">
            <v>Non Premium</v>
          </cell>
          <cell r="V366" t="str">
            <v>Pharma Format</v>
          </cell>
          <cell r="W366">
            <v>400</v>
          </cell>
          <cell r="X366" t="str">
            <v>Kishan Homes Near Bazar Samiti Patut Roa  ,  , Road Raghopur City  , BIHTA , 801103</v>
          </cell>
          <cell r="Y366">
            <v>45166</v>
          </cell>
          <cell r="Z366" t="str">
            <v>NA</v>
          </cell>
          <cell r="AB366" t="str">
            <v>NA</v>
          </cell>
          <cell r="AF366" t="str">
            <v>NA</v>
          </cell>
          <cell r="AL366" t="str">
            <v>Received</v>
          </cell>
          <cell r="AO366">
            <v>3</v>
          </cell>
          <cell r="AS366">
            <v>-3</v>
          </cell>
          <cell r="AU366">
            <v>4</v>
          </cell>
          <cell r="AY366">
            <v>-4</v>
          </cell>
          <cell r="BA366">
            <v>5</v>
          </cell>
          <cell r="BE366">
            <v>-5</v>
          </cell>
          <cell r="BG366">
            <v>5</v>
          </cell>
          <cell r="BK366">
            <v>-5</v>
          </cell>
          <cell r="BM366">
            <v>3</v>
          </cell>
          <cell r="BP366">
            <v>3</v>
          </cell>
          <cell r="BW366" t="str">
            <v>Done</v>
          </cell>
          <cell r="BX366">
            <v>45079</v>
          </cell>
          <cell r="BY366" t="str">
            <v>Approved</v>
          </cell>
          <cell r="CD366">
            <v>45163</v>
          </cell>
          <cell r="CG366" t="str">
            <v xml:space="preserve">M/S RECON </v>
          </cell>
          <cell r="CI366" t="str">
            <v>Issued</v>
          </cell>
          <cell r="DG366" t="str">
            <v>Netmed SDP - Not in Dead Rental</v>
          </cell>
          <cell r="DK366">
            <v>45300</v>
          </cell>
          <cell r="DL366">
            <v>45294</v>
          </cell>
          <cell r="DM366">
            <v>2</v>
          </cell>
          <cell r="DN366" t="str">
            <v>0 to 3 Days</v>
          </cell>
          <cell r="DQ366">
            <v>45302</v>
          </cell>
          <cell r="DR366">
            <v>7</v>
          </cell>
          <cell r="DS366">
            <v>7</v>
          </cell>
          <cell r="DU366">
            <v>45309</v>
          </cell>
          <cell r="DV366">
            <v>7</v>
          </cell>
          <cell r="DW366">
            <v>45309</v>
          </cell>
          <cell r="DX366" t="str">
            <v>Jan 24 Week 3</v>
          </cell>
          <cell r="DZ366">
            <v>45334</v>
          </cell>
          <cell r="EA366" t="str">
            <v>Feb 24 Week 2</v>
          </cell>
          <cell r="EB366" t="str">
            <v>Plan</v>
          </cell>
          <cell r="ED366" t="str">
            <v/>
          </cell>
          <cell r="EE366" t="str">
            <v/>
          </cell>
          <cell r="FD366">
            <v>25</v>
          </cell>
          <cell r="FE366" t="str">
            <v>16 to 31 Days</v>
          </cell>
          <cell r="FF366">
            <v>45327</v>
          </cell>
          <cell r="FH366" t="str">
            <v>Done</v>
          </cell>
          <cell r="FI366" t="str">
            <v>Done</v>
          </cell>
          <cell r="FJ366" t="str">
            <v>NA</v>
          </cell>
          <cell r="FK366">
            <v>45334</v>
          </cell>
          <cell r="FM366" t="str">
            <v/>
          </cell>
          <cell r="GA366">
            <v>45337</v>
          </cell>
          <cell r="GC366">
            <v>45302</v>
          </cell>
          <cell r="GG366" t="str">
            <v>2023-2024</v>
          </cell>
        </row>
        <row r="367">
          <cell r="E367" t="str">
            <v>Line Mohalla  , Chtara , Opp Tata Motors  , CHATRA , 825401</v>
          </cell>
          <cell r="F367" t="str">
            <v>10. Launched</v>
          </cell>
          <cell r="G367" t="str">
            <v>SPJHCHL4285</v>
          </cell>
          <cell r="H367" t="str">
            <v>JH-SM-CHT-3002</v>
          </cell>
          <cell r="I367" t="str">
            <v>TAYG</v>
          </cell>
          <cell r="J367" t="str">
            <v>QGHK</v>
          </cell>
          <cell r="K367" t="str">
            <v xml:space="preserve">E </v>
          </cell>
          <cell r="L367" t="str">
            <v>AK</v>
          </cell>
          <cell r="M367" t="str">
            <v>EPC Ready</v>
          </cell>
          <cell r="P367" t="str">
            <v>Mr. Amal Gopal Dey-9558811809</v>
          </cell>
          <cell r="Q367" t="str">
            <v>Gaurav Shinde</v>
          </cell>
          <cell r="S367" t="str">
            <v>Jharkhand</v>
          </cell>
          <cell r="T367" t="str">
            <v>CHTARA</v>
          </cell>
          <cell r="U367" t="str">
            <v>Non Premium</v>
          </cell>
          <cell r="V367" t="str">
            <v>Pharma Format</v>
          </cell>
          <cell r="W367">
            <v>400</v>
          </cell>
          <cell r="X367" t="str">
            <v>Line Mohalla  , Chtara , Opp Tata Motors  , CHATRA , 825401</v>
          </cell>
          <cell r="Y367">
            <v>45163</v>
          </cell>
          <cell r="Z367" t="str">
            <v>NA</v>
          </cell>
          <cell r="AB367" t="str">
            <v>NA</v>
          </cell>
          <cell r="AF367" t="str">
            <v>NA</v>
          </cell>
          <cell r="AK367">
            <v>45182</v>
          </cell>
          <cell r="AL367" t="str">
            <v>Received</v>
          </cell>
          <cell r="AO367">
            <v>3</v>
          </cell>
          <cell r="AS367">
            <v>-3</v>
          </cell>
          <cell r="AU367">
            <v>4</v>
          </cell>
          <cell r="AY367">
            <v>-4</v>
          </cell>
          <cell r="BA367">
            <v>5</v>
          </cell>
          <cell r="BE367">
            <v>-5</v>
          </cell>
          <cell r="BG367">
            <v>5</v>
          </cell>
          <cell r="BK367">
            <v>-5</v>
          </cell>
          <cell r="BM367">
            <v>3</v>
          </cell>
          <cell r="BW367" t="str">
            <v>Done</v>
          </cell>
          <cell r="BX367">
            <v>45079</v>
          </cell>
          <cell r="BY367" t="str">
            <v>Approved</v>
          </cell>
          <cell r="CD367">
            <v>45162</v>
          </cell>
          <cell r="CE367">
            <v>45175</v>
          </cell>
          <cell r="CG367" t="str">
            <v>M/S VISHWAKARMA ENGINEERING</v>
          </cell>
          <cell r="CI367" t="str">
            <v>Issued</v>
          </cell>
          <cell r="DG367" t="str">
            <v>Netmed SDP - Not in Dead Rental</v>
          </cell>
          <cell r="DK367">
            <v>45187</v>
          </cell>
          <cell r="DM367">
            <v>2</v>
          </cell>
          <cell r="DN367" t="str">
            <v>0 to 3 Days</v>
          </cell>
          <cell r="DP367">
            <v>45178</v>
          </cell>
          <cell r="DQ367">
            <v>45189</v>
          </cell>
          <cell r="DR367">
            <v>7</v>
          </cell>
          <cell r="DS367">
            <v>7</v>
          </cell>
          <cell r="DU367">
            <v>45196</v>
          </cell>
          <cell r="DV367">
            <v>45185</v>
          </cell>
          <cell r="DW367">
            <v>45196</v>
          </cell>
          <cell r="DX367" t="str">
            <v>Sep 23 Week 4</v>
          </cell>
          <cell r="DZ367">
            <v>45261</v>
          </cell>
          <cell r="EA367" t="str">
            <v>Dec 23 Week 1</v>
          </cell>
          <cell r="EB367" t="str">
            <v>Backlog</v>
          </cell>
          <cell r="ED367" t="str">
            <v/>
          </cell>
          <cell r="EE367" t="str">
            <v/>
          </cell>
          <cell r="EF367">
            <v>1</v>
          </cell>
          <cell r="EG367">
            <v>1</v>
          </cell>
          <cell r="FD367">
            <v>65</v>
          </cell>
          <cell r="FE367" t="str">
            <v>62 to 90 Days</v>
          </cell>
          <cell r="FF367">
            <v>76</v>
          </cell>
          <cell r="FG367" t="str">
            <v>62 to 90 Days</v>
          </cell>
          <cell r="FH367" t="str">
            <v>Done</v>
          </cell>
          <cell r="FI367" t="str">
            <v>Done</v>
          </cell>
          <cell r="FJ367" t="str">
            <v>NA</v>
          </cell>
          <cell r="FK367">
            <v>45278</v>
          </cell>
          <cell r="FM367" t="str">
            <v/>
          </cell>
          <cell r="GA367">
            <v>45261</v>
          </cell>
          <cell r="GC367">
            <v>45198</v>
          </cell>
          <cell r="GG367" t="str">
            <v>2023-2024</v>
          </cell>
        </row>
        <row r="368">
          <cell r="E368" t="str">
            <v>GF Jakir Complex Khata No 437  , Mauza-Birpur, Thana 5, Circle-Basantpur , Khasra No 1366, Tauzi No 3852 Thana &amp; , Ward No 07, Dist - Supaul , BIRPUR , 854350</v>
          </cell>
          <cell r="F368" t="str">
            <v>9. EPC Ready</v>
          </cell>
          <cell r="G368" t="str">
            <v>SPBHBIB3357</v>
          </cell>
          <cell r="H368" t="str">
            <v>BH-SM-BPR-3000</v>
          </cell>
          <cell r="I368" t="str">
            <v>TYHZ</v>
          </cell>
          <cell r="J368" t="str">
            <v>QBNP</v>
          </cell>
          <cell r="K368" t="str">
            <v xml:space="preserve">E </v>
          </cell>
          <cell r="L368" t="str">
            <v>AK</v>
          </cell>
          <cell r="M368" t="str">
            <v>EPC Ready</v>
          </cell>
          <cell r="P368" t="str">
            <v>Ranjit Sinha</v>
          </cell>
          <cell r="Q368" t="str">
            <v>Gaurav Shinde</v>
          </cell>
          <cell r="S368" t="str">
            <v>Bihar</v>
          </cell>
          <cell r="T368" t="str">
            <v>Birpur</v>
          </cell>
          <cell r="U368" t="str">
            <v>Non Premium</v>
          </cell>
          <cell r="V368" t="str">
            <v>Pharma Format</v>
          </cell>
          <cell r="W368">
            <v>400</v>
          </cell>
          <cell r="X368" t="str">
            <v>GF Jakir Complex Khata No 437  , Mauza-Birpur, Thana 5, Circle-Basantpur , Khasra No 1366, Tauzi No 3852 Thana &amp; , Ward No 07, Dist - Supaul , BIRPUR , 854350</v>
          </cell>
          <cell r="Y368">
            <v>45166</v>
          </cell>
          <cell r="Z368" t="str">
            <v>NA</v>
          </cell>
          <cell r="AB368" t="str">
            <v>NA</v>
          </cell>
          <cell r="AF368" t="str">
            <v>NA</v>
          </cell>
          <cell r="AK368">
            <v>45163</v>
          </cell>
          <cell r="AL368" t="str">
            <v>Received</v>
          </cell>
          <cell r="AO368">
            <v>3</v>
          </cell>
          <cell r="AS368">
            <v>-3</v>
          </cell>
          <cell r="AU368">
            <v>4</v>
          </cell>
          <cell r="AY368">
            <v>-4</v>
          </cell>
          <cell r="BA368">
            <v>5</v>
          </cell>
          <cell r="BE368">
            <v>-5</v>
          </cell>
          <cell r="BG368">
            <v>5</v>
          </cell>
          <cell r="BK368">
            <v>-5</v>
          </cell>
          <cell r="BM368">
            <v>3</v>
          </cell>
          <cell r="BP368">
            <v>3</v>
          </cell>
          <cell r="BW368" t="str">
            <v>Done</v>
          </cell>
          <cell r="BX368">
            <v>45079</v>
          </cell>
          <cell r="BY368" t="str">
            <v>Approved</v>
          </cell>
          <cell r="CD368">
            <v>45163</v>
          </cell>
          <cell r="CE368">
            <v>45175</v>
          </cell>
          <cell r="CG368" t="str">
            <v xml:space="preserve">M/S RECON </v>
          </cell>
          <cell r="CI368" t="str">
            <v>Issued</v>
          </cell>
          <cell r="DG368" t="str">
            <v>Netmed SDP - Not in Dead Rental</v>
          </cell>
          <cell r="DK368">
            <v>45293</v>
          </cell>
          <cell r="DL368">
            <v>45175</v>
          </cell>
          <cell r="DM368">
            <v>2</v>
          </cell>
          <cell r="DN368" t="str">
            <v>0 to 3 Days</v>
          </cell>
          <cell r="DP368">
            <v>45178</v>
          </cell>
          <cell r="DQ368">
            <v>45295</v>
          </cell>
          <cell r="DR368">
            <v>7</v>
          </cell>
          <cell r="DS368">
            <v>7</v>
          </cell>
          <cell r="DU368">
            <v>45302</v>
          </cell>
          <cell r="DV368">
            <v>45185</v>
          </cell>
          <cell r="DW368">
            <v>45302</v>
          </cell>
          <cell r="DX368" t="str">
            <v>Jan 24 Week 2</v>
          </cell>
          <cell r="DZ368">
            <v>45320</v>
          </cell>
          <cell r="EA368" t="str">
            <v>Jan 24 Week 5</v>
          </cell>
          <cell r="EB368" t="str">
            <v>Backlog</v>
          </cell>
          <cell r="ED368" t="str">
            <v/>
          </cell>
          <cell r="EE368" t="str">
            <v/>
          </cell>
          <cell r="EF368">
            <v>1</v>
          </cell>
          <cell r="EG368">
            <v>1</v>
          </cell>
          <cell r="FD368">
            <v>18</v>
          </cell>
          <cell r="FE368" t="str">
            <v>16 to 31 Days</v>
          </cell>
          <cell r="FF368">
            <v>135</v>
          </cell>
          <cell r="FG368" t="str">
            <v>More Than 90  Days</v>
          </cell>
          <cell r="FH368" t="str">
            <v>Done</v>
          </cell>
          <cell r="FI368" t="str">
            <v>Done</v>
          </cell>
          <cell r="FJ368" t="str">
            <v>NA</v>
          </cell>
          <cell r="FK368">
            <v>45328</v>
          </cell>
          <cell r="FM368" t="str">
            <v/>
          </cell>
          <cell r="GA368">
            <v>45320</v>
          </cell>
          <cell r="GC368">
            <v>45225</v>
          </cell>
          <cell r="GG368" t="str">
            <v>2023-2024</v>
          </cell>
        </row>
        <row r="369">
          <cell r="E369" t="str">
            <v>Seven Miles More Ramua  , Hazaribagh , Hdfc Bank Atm Bishnugarh  , BISHNUGARH , 825312</v>
          </cell>
          <cell r="F369" t="str">
            <v>14. Dropped</v>
          </cell>
          <cell r="G369" t="str">
            <v>SPJHBIS4219</v>
          </cell>
          <cell r="H369" t="str">
            <v>JH-SM-BHH-3000</v>
          </cell>
          <cell r="I369" t="str">
            <v>TAYK</v>
          </cell>
          <cell r="J369" t="str">
            <v>QGHO</v>
          </cell>
          <cell r="K369" t="str">
            <v xml:space="preserve">E </v>
          </cell>
          <cell r="L369" t="str">
            <v>AK</v>
          </cell>
          <cell r="M369" t="str">
            <v>Dropped</v>
          </cell>
          <cell r="Q369" t="str">
            <v>Gaurav Shinde</v>
          </cell>
          <cell r="S369" t="str">
            <v>Jharkhand</v>
          </cell>
          <cell r="T369" t="str">
            <v>Bishnugarh</v>
          </cell>
          <cell r="U369" t="str">
            <v>Non Premium</v>
          </cell>
          <cell r="V369" t="str">
            <v>Pharma Format</v>
          </cell>
          <cell r="W369">
            <v>400</v>
          </cell>
          <cell r="X369" t="str">
            <v>Seven Miles More Ramua  , Hazaribagh , Hdfc Bank Atm Bishnugarh  , BISHNUGARH , 825312</v>
          </cell>
          <cell r="Z369" t="str">
            <v>NA</v>
          </cell>
          <cell r="AB369" t="str">
            <v>NA</v>
          </cell>
          <cell r="AF369" t="str">
            <v>NA</v>
          </cell>
          <cell r="AL369" t="str">
            <v>NA</v>
          </cell>
          <cell r="AO369">
            <v>3</v>
          </cell>
          <cell r="AS369">
            <v>-3</v>
          </cell>
          <cell r="AU369">
            <v>4</v>
          </cell>
          <cell r="AY369">
            <v>-4</v>
          </cell>
          <cell r="BA369">
            <v>5</v>
          </cell>
          <cell r="BE369">
            <v>-5</v>
          </cell>
          <cell r="BG369">
            <v>5</v>
          </cell>
          <cell r="BK369">
            <v>-5</v>
          </cell>
          <cell r="BM369">
            <v>3</v>
          </cell>
          <cell r="BP369">
            <v>3</v>
          </cell>
          <cell r="BW369" t="str">
            <v>Done</v>
          </cell>
          <cell r="BX369">
            <v>45079</v>
          </cell>
          <cell r="BY369" t="str">
            <v>Approved</v>
          </cell>
          <cell r="CD369">
            <v>45163</v>
          </cell>
          <cell r="DG369" t="str">
            <v>Netmed SDP - Not in Dead Rental</v>
          </cell>
          <cell r="DM369" t="str">
            <v>NA</v>
          </cell>
          <cell r="DN369" t="str">
            <v>NA</v>
          </cell>
          <cell r="DR369">
            <v>7</v>
          </cell>
          <cell r="DS369">
            <v>7</v>
          </cell>
          <cell r="DU369">
            <v>7</v>
          </cell>
          <cell r="DV369">
            <v>7</v>
          </cell>
          <cell r="DW369">
            <v>7</v>
          </cell>
          <cell r="EA369" t="str">
            <v/>
          </cell>
          <cell r="ED369" t="str">
            <v/>
          </cell>
          <cell r="EE369" t="str">
            <v/>
          </cell>
          <cell r="FD369">
            <v>46114</v>
          </cell>
          <cell r="FF369">
            <v>46114</v>
          </cell>
          <cell r="FJ369" t="str">
            <v>NA</v>
          </cell>
          <cell r="FM369" t="str">
            <v/>
          </cell>
          <cell r="GG369" t="str">
            <v>2024-2025</v>
          </cell>
        </row>
        <row r="370">
          <cell r="E370" t="str">
            <v>M K Chowdary &amp; Company H No 1 4 539 Plot  , Filling Station Indian Oil Narsi Road , No14 &amp; 15 Ground Floor Near M K Chowdary  , BODHAN , 503185</v>
          </cell>
          <cell r="F370" t="str">
            <v>14. Dropped</v>
          </cell>
          <cell r="G370" t="str">
            <v>SPTEBOB4311</v>
          </cell>
          <cell r="H370" t="str">
            <v>AP-SM-BDH-3000</v>
          </cell>
          <cell r="I370" t="str">
            <v>TYWQ</v>
          </cell>
          <cell r="J370" t="str">
            <v>QB4U</v>
          </cell>
          <cell r="K370" t="str">
            <v xml:space="preserve">E </v>
          </cell>
          <cell r="L370" t="str">
            <v>AK</v>
          </cell>
          <cell r="M370" t="str">
            <v>Dropped</v>
          </cell>
          <cell r="O370" t="str">
            <v>Rajshekhar M</v>
          </cell>
          <cell r="Q370" t="str">
            <v>Gaurav Shinde</v>
          </cell>
          <cell r="S370" t="str">
            <v>Telangana</v>
          </cell>
          <cell r="T370" t="str">
            <v>BODHAN</v>
          </cell>
          <cell r="U370" t="str">
            <v>Non Premium</v>
          </cell>
          <cell r="V370" t="str">
            <v>Pharma Format</v>
          </cell>
          <cell r="W370">
            <v>400</v>
          </cell>
          <cell r="X370" t="str">
            <v>M K Chowdary &amp; Company H No 1 4 539 Plot  , Filling Station Indian Oil Narsi Road , No14 &amp; 15 Ground Floor Near M K Chowdary  , BODHAN , 503185</v>
          </cell>
          <cell r="Z370" t="str">
            <v>NA</v>
          </cell>
          <cell r="AB370" t="str">
            <v>NA</v>
          </cell>
          <cell r="AF370" t="str">
            <v>NA</v>
          </cell>
          <cell r="AL370" t="str">
            <v>NA</v>
          </cell>
          <cell r="AO370">
            <v>3</v>
          </cell>
          <cell r="AS370">
            <v>-3</v>
          </cell>
          <cell r="AU370">
            <v>4</v>
          </cell>
          <cell r="AY370">
            <v>-4</v>
          </cell>
          <cell r="BA370">
            <v>5</v>
          </cell>
          <cell r="BE370">
            <v>-5</v>
          </cell>
          <cell r="BG370">
            <v>5</v>
          </cell>
          <cell r="BK370">
            <v>-5</v>
          </cell>
          <cell r="BM370">
            <v>3</v>
          </cell>
          <cell r="BP370">
            <v>3</v>
          </cell>
          <cell r="BW370" t="str">
            <v>Done</v>
          </cell>
          <cell r="BX370">
            <v>45079</v>
          </cell>
          <cell r="BY370" t="str">
            <v>Approved</v>
          </cell>
          <cell r="CD370">
            <v>45163</v>
          </cell>
          <cell r="DG370" t="str">
            <v>Netmed SDP - Not in Dead Rental</v>
          </cell>
          <cell r="DM370" t="str">
            <v>NA</v>
          </cell>
          <cell r="DN370" t="str">
            <v>NA</v>
          </cell>
          <cell r="DR370">
            <v>7</v>
          </cell>
          <cell r="DS370">
            <v>7</v>
          </cell>
          <cell r="DU370">
            <v>7</v>
          </cell>
          <cell r="DV370">
            <v>7</v>
          </cell>
          <cell r="DW370">
            <v>7</v>
          </cell>
          <cell r="EA370" t="str">
            <v/>
          </cell>
          <cell r="ED370" t="str">
            <v/>
          </cell>
          <cell r="EE370" t="str">
            <v/>
          </cell>
          <cell r="FD370">
            <v>46114</v>
          </cell>
          <cell r="FF370">
            <v>46114</v>
          </cell>
          <cell r="FJ370" t="str">
            <v>NA</v>
          </cell>
          <cell r="FM370" t="str">
            <v/>
          </cell>
          <cell r="GG370" t="str">
            <v>2024-2025</v>
          </cell>
        </row>
        <row r="371">
          <cell r="E371" t="str">
            <v>Manju Devi Champa Gauri Kunj Nh 531  , Daronda Siwan , Daronda Road Canara Bank  , Daronda , 841223</v>
          </cell>
          <cell r="F371" t="str">
            <v>9. EPC Ready</v>
          </cell>
          <cell r="G371" t="str">
            <v>SPBHDOC4156</v>
          </cell>
          <cell r="H371" t="str">
            <v>BH-SM-DRO-3000</v>
          </cell>
          <cell r="I371" t="str">
            <v>TYRY</v>
          </cell>
          <cell r="J371" t="str">
            <v>QBZC</v>
          </cell>
          <cell r="K371" t="str">
            <v xml:space="preserve">E </v>
          </cell>
          <cell r="L371" t="str">
            <v>AK</v>
          </cell>
          <cell r="M371" t="str">
            <v>EPC Ready</v>
          </cell>
          <cell r="P371" t="str">
            <v>Mr. Jitendra Kumar-6201750698</v>
          </cell>
          <cell r="Q371" t="str">
            <v>Gaurav Shinde</v>
          </cell>
          <cell r="S371" t="str">
            <v>Bihar</v>
          </cell>
          <cell r="T371" t="str">
            <v>Daronda</v>
          </cell>
          <cell r="U371" t="str">
            <v>Non Premium</v>
          </cell>
          <cell r="V371" t="str">
            <v>Pharma Format</v>
          </cell>
          <cell r="W371">
            <v>400</v>
          </cell>
          <cell r="X371" t="str">
            <v>Manju Devi Champa Gauri Kunj Nh 531  , Daronda Siwan , Daronda Road Canara Bank  , Daronda , 841223</v>
          </cell>
          <cell r="Y371">
            <v>45124</v>
          </cell>
          <cell r="Z371" t="str">
            <v>NA</v>
          </cell>
          <cell r="AB371" t="str">
            <v>NA</v>
          </cell>
          <cell r="AF371" t="str">
            <v>NA</v>
          </cell>
          <cell r="AK371">
            <v>45184</v>
          </cell>
          <cell r="AL371" t="str">
            <v>Received</v>
          </cell>
          <cell r="AO371">
            <v>3</v>
          </cell>
          <cell r="AS371">
            <v>-3</v>
          </cell>
          <cell r="AU371">
            <v>4</v>
          </cell>
          <cell r="AY371">
            <v>-4</v>
          </cell>
          <cell r="BA371">
            <v>5</v>
          </cell>
          <cell r="BE371">
            <v>-5</v>
          </cell>
          <cell r="BG371">
            <v>5</v>
          </cell>
          <cell r="BK371">
            <v>-5</v>
          </cell>
          <cell r="BM371">
            <v>3</v>
          </cell>
          <cell r="BP371">
            <v>3</v>
          </cell>
          <cell r="BW371" t="str">
            <v>Done</v>
          </cell>
          <cell r="BX371">
            <v>45079</v>
          </cell>
          <cell r="BY371" t="str">
            <v>Approved</v>
          </cell>
          <cell r="CD371">
            <v>45126</v>
          </cell>
          <cell r="CE371">
            <v>45160</v>
          </cell>
          <cell r="CG371" t="str">
            <v>M/S Rahul Kumar</v>
          </cell>
          <cell r="CI371" t="str">
            <v>Issued</v>
          </cell>
          <cell r="DG371" t="str">
            <v>Netmed SDP - Not in Dead Rental</v>
          </cell>
          <cell r="DK371">
            <v>45178</v>
          </cell>
          <cell r="DM371">
            <v>2</v>
          </cell>
          <cell r="DN371" t="str">
            <v>0 to 3 Days</v>
          </cell>
          <cell r="DP371">
            <v>45163</v>
          </cell>
          <cell r="DQ371">
            <v>45180</v>
          </cell>
          <cell r="DR371">
            <v>7</v>
          </cell>
          <cell r="DS371">
            <v>7</v>
          </cell>
          <cell r="DU371">
            <v>45187</v>
          </cell>
          <cell r="DV371">
            <v>45170</v>
          </cell>
          <cell r="DW371">
            <v>45187</v>
          </cell>
          <cell r="DX371" t="str">
            <v>Sep 23 Week 3</v>
          </cell>
          <cell r="DZ371">
            <v>45275</v>
          </cell>
          <cell r="EA371" t="str">
            <v>Dec 23 Week 3</v>
          </cell>
          <cell r="EB371" t="str">
            <v>Backlog</v>
          </cell>
          <cell r="ED371" t="str">
            <v/>
          </cell>
          <cell r="EE371" t="str">
            <v/>
          </cell>
          <cell r="EF371">
            <v>1</v>
          </cell>
          <cell r="EG371">
            <v>1</v>
          </cell>
          <cell r="FD371">
            <v>88</v>
          </cell>
          <cell r="FE371" t="str">
            <v>62 to 90 Days</v>
          </cell>
          <cell r="FF371">
            <v>105</v>
          </cell>
          <cell r="FG371" t="str">
            <v>More Than 90  Days</v>
          </cell>
          <cell r="FH371" t="str">
            <v>Done</v>
          </cell>
          <cell r="FI371" t="str">
            <v>Done</v>
          </cell>
          <cell r="FJ371" t="str">
            <v>NA</v>
          </cell>
          <cell r="FK371">
            <v>45259</v>
          </cell>
          <cell r="FM371" t="str">
            <v/>
          </cell>
          <cell r="GC371">
            <v>45180</v>
          </cell>
          <cell r="GG371" t="str">
            <v>2023-2024</v>
          </cell>
        </row>
        <row r="372">
          <cell r="E372" t="str">
            <v>SP Pharma  Police Line Road Bundi</v>
          </cell>
          <cell r="F372" t="str">
            <v>9. EPC Ready</v>
          </cell>
          <cell r="G372" t="str">
            <v>SPRJBUB3603</v>
          </cell>
          <cell r="H372" t="str">
            <v>RJ-SM-BUD-3001</v>
          </cell>
          <cell r="I372" t="str">
            <v>TAQ5</v>
          </cell>
          <cell r="J372" t="str">
            <v>QGQJ</v>
          </cell>
          <cell r="K372" t="str">
            <v xml:space="preserve">N </v>
          </cell>
          <cell r="L372" t="str">
            <v>KC</v>
          </cell>
          <cell r="M372" t="str">
            <v>EPC Ready Pharmacy 200 SFT</v>
          </cell>
          <cell r="Q372" t="str">
            <v>Gaurav Shinde</v>
          </cell>
          <cell r="S372" t="str">
            <v>Rajasthan</v>
          </cell>
          <cell r="T372" t="str">
            <v>Bundi</v>
          </cell>
          <cell r="U372" t="str">
            <v>Non Premium</v>
          </cell>
          <cell r="V372" t="str">
            <v>Pharma Format</v>
          </cell>
          <cell r="W372">
            <v>200</v>
          </cell>
          <cell r="X372" t="str">
            <v>SP Pharma  Police Line Road Bundi</v>
          </cell>
          <cell r="Y372">
            <v>45125</v>
          </cell>
          <cell r="Z372" t="str">
            <v>NA</v>
          </cell>
          <cell r="AB372" t="str">
            <v>NA</v>
          </cell>
          <cell r="AF372" t="str">
            <v>NA</v>
          </cell>
          <cell r="AK372">
            <v>45144</v>
          </cell>
          <cell r="AL372" t="str">
            <v>Received</v>
          </cell>
          <cell r="AO372">
            <v>3</v>
          </cell>
          <cell r="AS372">
            <v>-3</v>
          </cell>
          <cell r="AU372">
            <v>4</v>
          </cell>
          <cell r="AY372">
            <v>-4</v>
          </cell>
          <cell r="BA372">
            <v>5</v>
          </cell>
          <cell r="BE372">
            <v>-5</v>
          </cell>
          <cell r="BG372">
            <v>5</v>
          </cell>
          <cell r="BK372">
            <v>-5</v>
          </cell>
          <cell r="BM372">
            <v>3</v>
          </cell>
          <cell r="BP372">
            <v>3</v>
          </cell>
          <cell r="BW372" t="str">
            <v>Done</v>
          </cell>
          <cell r="BX372">
            <v>45079</v>
          </cell>
          <cell r="BY372" t="str">
            <v>Approved</v>
          </cell>
          <cell r="CD372">
            <v>45126</v>
          </cell>
          <cell r="DG372" t="str">
            <v>Netmed SDP - Not in Dead Rental</v>
          </cell>
          <cell r="DK372">
            <v>45205</v>
          </cell>
          <cell r="DM372">
            <v>2</v>
          </cell>
          <cell r="DN372" t="str">
            <v>0 to 3 Days</v>
          </cell>
          <cell r="DQ372">
            <v>45207</v>
          </cell>
          <cell r="DR372">
            <v>7</v>
          </cell>
          <cell r="DS372">
            <v>7</v>
          </cell>
          <cell r="DU372">
            <v>45214</v>
          </cell>
          <cell r="DV372">
            <v>7</v>
          </cell>
          <cell r="DW372">
            <v>45214</v>
          </cell>
          <cell r="DX372" t="str">
            <v>Oct 23 Week 3</v>
          </cell>
          <cell r="DZ372">
            <v>45215</v>
          </cell>
          <cell r="EA372" t="str">
            <v>Oct 23 Week 3</v>
          </cell>
          <cell r="EB372" t="str">
            <v>Backlog</v>
          </cell>
          <cell r="ED372" t="str">
            <v/>
          </cell>
          <cell r="EE372" t="str">
            <v/>
          </cell>
          <cell r="EG372">
            <v>1</v>
          </cell>
          <cell r="FD372">
            <v>1</v>
          </cell>
          <cell r="FE372" t="str">
            <v>0 to 3 Days</v>
          </cell>
          <cell r="FF372">
            <v>45208</v>
          </cell>
          <cell r="FH372" t="str">
            <v>Done</v>
          </cell>
          <cell r="FI372" t="str">
            <v>Done</v>
          </cell>
          <cell r="FJ372" t="str">
            <v>NA</v>
          </cell>
          <cell r="FM372" t="str">
            <v/>
          </cell>
          <cell r="GG372" t="str">
            <v>2023-2024</v>
          </cell>
        </row>
        <row r="373">
          <cell r="E373" t="str">
            <v>GF Dwarka Complex Plot No 3752 362  , Kila Dist Buxar , Khata No 430 222 Thana No 332 Vill Buxar  , BUXAR , 802101</v>
          </cell>
          <cell r="F373" t="str">
            <v>9. EPC Ready</v>
          </cell>
          <cell r="G373" t="str">
            <v>SPBHBUG3268</v>
          </cell>
          <cell r="H373" t="str">
            <v>BH-SM-BUX-3002</v>
          </cell>
          <cell r="I373" t="str">
            <v>TZEY</v>
          </cell>
          <cell r="J373" t="str">
            <v>QCYM</v>
          </cell>
          <cell r="K373" t="str">
            <v xml:space="preserve">E </v>
          </cell>
          <cell r="L373" t="str">
            <v>AK</v>
          </cell>
          <cell r="M373" t="str">
            <v>EPC Ready</v>
          </cell>
          <cell r="P373" t="str">
            <v xml:space="preserve">Avinandan Kumar </v>
          </cell>
          <cell r="Q373" t="str">
            <v>Gaurav Shinde</v>
          </cell>
          <cell r="S373" t="str">
            <v>Bihar</v>
          </cell>
          <cell r="T373" t="str">
            <v>Buxar</v>
          </cell>
          <cell r="U373" t="str">
            <v>Non Premium</v>
          </cell>
          <cell r="V373" t="str">
            <v>Pharma Format</v>
          </cell>
          <cell r="W373">
            <v>400</v>
          </cell>
          <cell r="X373" t="str">
            <v>GF Dwarka Complex Plot No 3752 362  , Kila Dist Buxar , Khata No 430 222 Thana No 332 Vill Buxar  , BUXAR , 802101</v>
          </cell>
          <cell r="Y373">
            <v>45166</v>
          </cell>
          <cell r="Z373" t="str">
            <v>NA</v>
          </cell>
          <cell r="AB373" t="str">
            <v>NA</v>
          </cell>
          <cell r="AF373" t="str">
            <v>NA</v>
          </cell>
          <cell r="AK373">
            <v>45163</v>
          </cell>
          <cell r="AL373" t="str">
            <v>Received</v>
          </cell>
          <cell r="AO373">
            <v>3</v>
          </cell>
          <cell r="AS373">
            <v>-3</v>
          </cell>
          <cell r="AU373">
            <v>4</v>
          </cell>
          <cell r="AY373">
            <v>-4</v>
          </cell>
          <cell r="BA373">
            <v>5</v>
          </cell>
          <cell r="BE373">
            <v>-5</v>
          </cell>
          <cell r="BG373">
            <v>5</v>
          </cell>
          <cell r="BK373">
            <v>-5</v>
          </cell>
          <cell r="BM373">
            <v>3</v>
          </cell>
          <cell r="BP373">
            <v>3</v>
          </cell>
          <cell r="BW373" t="str">
            <v>Done</v>
          </cell>
          <cell r="BX373">
            <v>45079</v>
          </cell>
          <cell r="BY373" t="str">
            <v>Approved</v>
          </cell>
          <cell r="CD373">
            <v>45163</v>
          </cell>
          <cell r="CE373">
            <v>45175</v>
          </cell>
          <cell r="CG373" t="str">
            <v xml:space="preserve">M/S Laxmi Enterprises </v>
          </cell>
          <cell r="CI373" t="str">
            <v>Issued</v>
          </cell>
          <cell r="DG373" t="str">
            <v>Netmed SDP - Not in Dead Rental</v>
          </cell>
          <cell r="DK373">
            <v>45203</v>
          </cell>
          <cell r="DL373">
            <v>45175</v>
          </cell>
          <cell r="DM373">
            <v>2</v>
          </cell>
          <cell r="DN373" t="str">
            <v>0 to 3 Days</v>
          </cell>
          <cell r="DP373">
            <v>45178</v>
          </cell>
          <cell r="DQ373">
            <v>45205</v>
          </cell>
          <cell r="DR373">
            <v>7</v>
          </cell>
          <cell r="DS373">
            <v>7</v>
          </cell>
          <cell r="DU373">
            <v>45212</v>
          </cell>
          <cell r="DV373">
            <v>45185</v>
          </cell>
          <cell r="DW373">
            <v>45212</v>
          </cell>
          <cell r="DX373" t="str">
            <v>Oct 23 Week 2</v>
          </cell>
          <cell r="DZ373">
            <v>45226</v>
          </cell>
          <cell r="EA373" t="str">
            <v>Oct 23 Week 4</v>
          </cell>
          <cell r="EB373" t="str">
            <v>Backlog</v>
          </cell>
          <cell r="ED373" t="str">
            <v/>
          </cell>
          <cell r="EE373" t="str">
            <v/>
          </cell>
          <cell r="EF373">
            <v>1</v>
          </cell>
          <cell r="EG373">
            <v>1</v>
          </cell>
          <cell r="FD373">
            <v>14</v>
          </cell>
          <cell r="FE373" t="str">
            <v>8 to 15 Days</v>
          </cell>
          <cell r="FF373">
            <v>41</v>
          </cell>
          <cell r="FG373" t="str">
            <v>31 to 61 Days</v>
          </cell>
          <cell r="FH373" t="str">
            <v>Done</v>
          </cell>
          <cell r="FI373" t="str">
            <v>Done</v>
          </cell>
          <cell r="FJ373" t="str">
            <v>NA</v>
          </cell>
          <cell r="FK373">
            <v>45226</v>
          </cell>
          <cell r="FM373" t="str">
            <v/>
          </cell>
          <cell r="GA373">
            <v>45226</v>
          </cell>
          <cell r="GC373">
            <v>45205</v>
          </cell>
          <cell r="GG373" t="str">
            <v>2023-2024</v>
          </cell>
        </row>
        <row r="374">
          <cell r="E374" t="str">
            <v>GF Utsav Bhavan Matla li Munciplity PS  , Landmark Lord Canning House Or David , Canning JL No 68 Mouza &amp; ADSRO Matla , LR Plot No 4624 &amp; 3303 &amp; LR Khatian No 3 , CANNING , 743329</v>
          </cell>
          <cell r="F374" t="str">
            <v>14. Dropped</v>
          </cell>
          <cell r="G374" t="str">
            <v>SPWBCAR3669</v>
          </cell>
          <cell r="H374" t="str">
            <v>WB-SM-CAN-3002</v>
          </cell>
          <cell r="I374" t="str">
            <v>TYNS</v>
          </cell>
          <cell r="J374" t="str">
            <v>QBUC</v>
          </cell>
          <cell r="K374" t="str">
            <v xml:space="preserve">E </v>
          </cell>
          <cell r="L374" t="str">
            <v>SD</v>
          </cell>
          <cell r="M374" t="str">
            <v>Dropped</v>
          </cell>
          <cell r="N374" t="str">
            <v>Mahendrakumar Warma</v>
          </cell>
          <cell r="O374" t="str">
            <v xml:space="preserve">Sandeepta Gayen </v>
          </cell>
          <cell r="Q374" t="str">
            <v>Gaurav Shinde</v>
          </cell>
          <cell r="S374" t="str">
            <v>West Bengal</v>
          </cell>
          <cell r="T374" t="str">
            <v>Canning</v>
          </cell>
          <cell r="U374" t="str">
            <v>Non Premium</v>
          </cell>
          <cell r="V374" t="str">
            <v>Pharma Format</v>
          </cell>
          <cell r="W374">
            <v>400</v>
          </cell>
          <cell r="X374" t="str">
            <v>GF Utsav Bhavan Matla li Munciplity PS  , Landmark Lord Canning House Or David , Canning JL No 68 Mouza &amp; ADSRO Matla , LR Plot No 4624 &amp; 3303 &amp; LR Khatian No 3 , CANNING , 743329</v>
          </cell>
          <cell r="Z374" t="str">
            <v>NA</v>
          </cell>
          <cell r="AB374" t="str">
            <v>NA</v>
          </cell>
          <cell r="AF374" t="str">
            <v>NA</v>
          </cell>
          <cell r="AL374" t="str">
            <v>NA</v>
          </cell>
          <cell r="AO374">
            <v>3</v>
          </cell>
          <cell r="AS374">
            <v>-3</v>
          </cell>
          <cell r="AU374">
            <v>4</v>
          </cell>
          <cell r="AY374">
            <v>-4</v>
          </cell>
          <cell r="BA374">
            <v>5</v>
          </cell>
          <cell r="BE374">
            <v>-5</v>
          </cell>
          <cell r="BG374">
            <v>5</v>
          </cell>
          <cell r="BK374">
            <v>-5</v>
          </cell>
          <cell r="BM374">
            <v>3</v>
          </cell>
          <cell r="BP374">
            <v>3</v>
          </cell>
          <cell r="BW374" t="str">
            <v>Done</v>
          </cell>
          <cell r="BX374">
            <v>45079</v>
          </cell>
          <cell r="BY374" t="str">
            <v>Approved</v>
          </cell>
          <cell r="CD374">
            <v>45163</v>
          </cell>
          <cell r="CG374" t="str">
            <v>M/s. ELECTROLEC ENTERPRISE</v>
          </cell>
          <cell r="DG374" t="str">
            <v>Netmed SDP - Not in Dead Rental</v>
          </cell>
          <cell r="DM374" t="str">
            <v>NA</v>
          </cell>
          <cell r="DN374" t="str">
            <v>NA</v>
          </cell>
          <cell r="DR374">
            <v>7</v>
          </cell>
          <cell r="DS374">
            <v>7</v>
          </cell>
          <cell r="DU374">
            <v>7</v>
          </cell>
          <cell r="DV374">
            <v>7</v>
          </cell>
          <cell r="DW374">
            <v>7</v>
          </cell>
          <cell r="EA374" t="str">
            <v/>
          </cell>
          <cell r="ED374" t="str">
            <v/>
          </cell>
          <cell r="EE374" t="str">
            <v/>
          </cell>
          <cell r="FD374">
            <v>46114</v>
          </cell>
          <cell r="FF374">
            <v>46114</v>
          </cell>
          <cell r="FJ374" t="str">
            <v>NA</v>
          </cell>
          <cell r="FM374" t="str">
            <v/>
          </cell>
          <cell r="GG374" t="str">
            <v>2024-2025</v>
          </cell>
        </row>
        <row r="375">
          <cell r="E375" t="str">
            <v>Sp Sahu Complex Chainpur  , Chainpur Ramgarh , Near Bank Of India  , CHAIN PUR , 829134</v>
          </cell>
          <cell r="F375" t="str">
            <v>10. Launched</v>
          </cell>
          <cell r="G375" t="str">
            <v>SPJHCHN4241</v>
          </cell>
          <cell r="H375" t="str">
            <v>JH-SM-CIN-3000</v>
          </cell>
          <cell r="I375" t="str">
            <v>TYO9</v>
          </cell>
          <cell r="J375" t="str">
            <v>QB9S</v>
          </cell>
          <cell r="K375" t="str">
            <v xml:space="preserve">E </v>
          </cell>
          <cell r="L375" t="str">
            <v>AK</v>
          </cell>
          <cell r="M375" t="str">
            <v>EPC Ready</v>
          </cell>
          <cell r="P375" t="str">
            <v>Mr. Amal Gopal Dey-9558811809</v>
          </cell>
          <cell r="Q375" t="str">
            <v>Gaurav Shinde</v>
          </cell>
          <cell r="S375" t="str">
            <v>Jharkhand</v>
          </cell>
          <cell r="T375" t="str">
            <v>Chainpur</v>
          </cell>
          <cell r="U375" t="str">
            <v>Non Premium</v>
          </cell>
          <cell r="V375" t="str">
            <v>Pharma Format</v>
          </cell>
          <cell r="W375">
            <v>399</v>
          </cell>
          <cell r="X375" t="str">
            <v>Sp Sahu Complex Chainpur  , Chainpur Ramgarh , Near Bank Of India  , CHAIN PUR , 829134</v>
          </cell>
          <cell r="Y375">
            <v>45104</v>
          </cell>
          <cell r="Z375" t="str">
            <v>NA</v>
          </cell>
          <cell r="AB375" t="str">
            <v>NA</v>
          </cell>
          <cell r="AF375" t="str">
            <v>NA</v>
          </cell>
          <cell r="AK375">
            <v>45099</v>
          </cell>
          <cell r="AL375" t="str">
            <v>Received</v>
          </cell>
          <cell r="AO375">
            <v>3</v>
          </cell>
          <cell r="AS375">
            <v>-3</v>
          </cell>
          <cell r="AU375">
            <v>4</v>
          </cell>
          <cell r="AY375">
            <v>-4</v>
          </cell>
          <cell r="BA375">
            <v>5</v>
          </cell>
          <cell r="BE375">
            <v>-5</v>
          </cell>
          <cell r="BG375">
            <v>5</v>
          </cell>
          <cell r="BK375">
            <v>-5</v>
          </cell>
          <cell r="BM375">
            <v>3</v>
          </cell>
          <cell r="BW375" t="str">
            <v>Done</v>
          </cell>
          <cell r="BX375">
            <v>45079</v>
          </cell>
          <cell r="BY375" t="str">
            <v>Approved</v>
          </cell>
          <cell r="CD375">
            <v>45103</v>
          </cell>
          <cell r="CE375">
            <v>45112</v>
          </cell>
          <cell r="CG375" t="str">
            <v>M/S VISHWAKARMA ENGINEERING</v>
          </cell>
          <cell r="CI375" t="str">
            <v>Issued</v>
          </cell>
          <cell r="DG375" t="str">
            <v>Netmed SDP - Not in Dead Rental</v>
          </cell>
          <cell r="DK375">
            <v>45143</v>
          </cell>
          <cell r="DL375">
            <v>45108</v>
          </cell>
          <cell r="DM375">
            <v>2</v>
          </cell>
          <cell r="DN375" t="str">
            <v>0 to 3 Days</v>
          </cell>
          <cell r="DP375">
            <v>45115</v>
          </cell>
          <cell r="DQ375">
            <v>45145</v>
          </cell>
          <cell r="DR375">
            <v>7</v>
          </cell>
          <cell r="DS375">
            <v>7</v>
          </cell>
          <cell r="DU375">
            <v>45152</v>
          </cell>
          <cell r="DV375">
            <v>45122</v>
          </cell>
          <cell r="DW375">
            <v>45152</v>
          </cell>
          <cell r="DX375" t="str">
            <v>Aug 23 Week 2</v>
          </cell>
          <cell r="DZ375">
            <v>45149</v>
          </cell>
          <cell r="EA375" t="str">
            <v>Aug 23 Week 2</v>
          </cell>
          <cell r="EB375" t="str">
            <v>Plan</v>
          </cell>
          <cell r="ED375" t="str">
            <v/>
          </cell>
          <cell r="EE375" t="str">
            <v/>
          </cell>
          <cell r="EF375">
            <v>1</v>
          </cell>
          <cell r="EG375">
            <v>1</v>
          </cell>
          <cell r="FD375">
            <v>-3</v>
          </cell>
          <cell r="FE375" t="str">
            <v>On Time</v>
          </cell>
          <cell r="FF375">
            <v>27</v>
          </cell>
          <cell r="FG375" t="str">
            <v>16 to 31 Days</v>
          </cell>
          <cell r="FH375" t="str">
            <v>Done</v>
          </cell>
          <cell r="FI375" t="str">
            <v>Done</v>
          </cell>
          <cell r="FJ375" t="str">
            <v>NA</v>
          </cell>
          <cell r="FK375">
            <v>45152</v>
          </cell>
          <cell r="FM375" t="str">
            <v/>
          </cell>
          <cell r="GA375">
            <v>45149</v>
          </cell>
          <cell r="GC375">
            <v>45145</v>
          </cell>
          <cell r="GG375" t="str">
            <v>2023-2024</v>
          </cell>
        </row>
        <row r="376">
          <cell r="E376" t="str">
            <v>GF Grant no 324 Abhaipur  , SBI road Sonari Dist Charaideo , Mouza Dag no 22 Patta no 1  , SONARI , 785690</v>
          </cell>
          <cell r="F376" t="str">
            <v>9. EPC Ready</v>
          </cell>
          <cell r="G376" t="str">
            <v>SPASSOS3160</v>
          </cell>
          <cell r="H376" t="str">
            <v>WB-SM-SON-3000</v>
          </cell>
          <cell r="I376" t="str">
            <v>TZP9</v>
          </cell>
          <cell r="J376" t="str">
            <v>QD1G</v>
          </cell>
          <cell r="K376" t="str">
            <v xml:space="preserve">E </v>
          </cell>
          <cell r="L376" t="str">
            <v>SD</v>
          </cell>
          <cell r="M376" t="str">
            <v>EPC Ready</v>
          </cell>
          <cell r="N376" t="str">
            <v>Mahendrakumar Warma</v>
          </cell>
          <cell r="O376" t="str">
            <v>Anup das (EXCEPT SIKKIM)</v>
          </cell>
          <cell r="Q376" t="str">
            <v>Gaurav Shinde</v>
          </cell>
          <cell r="S376" t="str">
            <v>Assam</v>
          </cell>
          <cell r="T376" t="str">
            <v>Chamata</v>
          </cell>
          <cell r="U376" t="str">
            <v>Non Premium</v>
          </cell>
          <cell r="V376" t="str">
            <v>Pharma Format</v>
          </cell>
          <cell r="W376">
            <v>400</v>
          </cell>
          <cell r="X376" t="str">
            <v>GF Grant no 324 Abhaipur  , SBI road Sonari Dist Charaideo , Mouza Dag no 22 Patta no 1  , SONARI , 785690</v>
          </cell>
          <cell r="Y376">
            <v>45166</v>
          </cell>
          <cell r="Z376" t="str">
            <v>NA</v>
          </cell>
          <cell r="AB376" t="str">
            <v>NA</v>
          </cell>
          <cell r="AF376" t="str">
            <v>NA</v>
          </cell>
          <cell r="AK376">
            <v>45254</v>
          </cell>
          <cell r="AL376" t="str">
            <v>Received</v>
          </cell>
          <cell r="AO376">
            <v>3</v>
          </cell>
          <cell r="AS376">
            <v>-3</v>
          </cell>
          <cell r="AU376">
            <v>4</v>
          </cell>
          <cell r="AY376">
            <v>-4</v>
          </cell>
          <cell r="BA376">
            <v>5</v>
          </cell>
          <cell r="BE376">
            <v>-5</v>
          </cell>
          <cell r="BG376">
            <v>5</v>
          </cell>
          <cell r="BK376">
            <v>-5</v>
          </cell>
          <cell r="BM376">
            <v>3</v>
          </cell>
          <cell r="BP376">
            <v>3</v>
          </cell>
          <cell r="BW376" t="str">
            <v>Done</v>
          </cell>
          <cell r="BX376">
            <v>45079</v>
          </cell>
          <cell r="BY376" t="str">
            <v>Approved</v>
          </cell>
          <cell r="CD376">
            <v>45163</v>
          </cell>
          <cell r="CE376">
            <v>45306</v>
          </cell>
          <cell r="CG376" t="str">
            <v>M/s. STAR SOLUTIONS</v>
          </cell>
          <cell r="CI376" t="str">
            <v>Issued</v>
          </cell>
          <cell r="DA376" t="str">
            <v>NA</v>
          </cell>
          <cell r="DB376" t="str">
            <v>NA</v>
          </cell>
          <cell r="DC376" t="str">
            <v>NA</v>
          </cell>
          <cell r="DG376" t="str">
            <v>Netmed SDP - Not in Dead Rental</v>
          </cell>
          <cell r="DK376">
            <v>45313</v>
          </cell>
          <cell r="DL376">
            <v>45281</v>
          </cell>
          <cell r="DM376">
            <v>2</v>
          </cell>
          <cell r="DN376" t="str">
            <v>0 to 3 Days</v>
          </cell>
          <cell r="DO376" t="str">
            <v>18-01-2024</v>
          </cell>
          <cell r="DP376">
            <v>45316</v>
          </cell>
          <cell r="DQ376">
            <v>45315</v>
          </cell>
          <cell r="DR376">
            <v>7</v>
          </cell>
          <cell r="DS376">
            <v>7</v>
          </cell>
          <cell r="DU376">
            <v>45322</v>
          </cell>
          <cell r="DV376">
            <v>45323</v>
          </cell>
          <cell r="DW376">
            <v>45322</v>
          </cell>
          <cell r="DX376" t="str">
            <v>Jan 24 Week 5</v>
          </cell>
          <cell r="DY376">
            <v>45354</v>
          </cell>
          <cell r="DZ376">
            <v>45354</v>
          </cell>
          <cell r="EA376" t="str">
            <v>March 24 Week 1</v>
          </cell>
          <cell r="EB376" t="str">
            <v>Backlog</v>
          </cell>
          <cell r="ED376" t="str">
            <v/>
          </cell>
          <cell r="EE376" t="str">
            <v/>
          </cell>
          <cell r="FD376">
            <v>32</v>
          </cell>
          <cell r="FE376" t="str">
            <v>31 to 61 Days</v>
          </cell>
          <cell r="FF376">
            <v>31</v>
          </cell>
          <cell r="FG376" t="str">
            <v>16 to 31 Days</v>
          </cell>
          <cell r="FH376" t="str">
            <v>Done</v>
          </cell>
          <cell r="FI376" t="str">
            <v>Done</v>
          </cell>
          <cell r="FJ376" t="str">
            <v>NA</v>
          </cell>
          <cell r="FK376">
            <v>45370</v>
          </cell>
          <cell r="FM376" t="str">
            <v/>
          </cell>
          <cell r="GC376">
            <v>45315</v>
          </cell>
          <cell r="GG376" t="str">
            <v>2023-2024</v>
          </cell>
        </row>
        <row r="377">
          <cell r="E377" t="str">
            <v>Dhon Bhawan Ranibazar  ,  , Moranhat Dibrughar  , DIBRUGARH , 785675</v>
          </cell>
          <cell r="F377" t="str">
            <v>9. EPC Ready</v>
          </cell>
          <cell r="G377" t="str">
            <v>SPASDIM3356</v>
          </cell>
          <cell r="H377" t="str">
            <v>WB-SM-DIB-3000</v>
          </cell>
          <cell r="I377" t="str">
            <v>TW8X</v>
          </cell>
          <cell r="J377" t="str">
            <v>Q7Y6</v>
          </cell>
          <cell r="K377" t="str">
            <v xml:space="preserve">E </v>
          </cell>
          <cell r="L377" t="str">
            <v>SD</v>
          </cell>
          <cell r="M377" t="str">
            <v>EPC Ready</v>
          </cell>
          <cell r="N377" t="str">
            <v>Mahendrakumar Warma</v>
          </cell>
          <cell r="O377" t="str">
            <v>Anup das (EXCEPT SIKKIM)</v>
          </cell>
          <cell r="P377" t="str">
            <v>Suman Das-7044069904</v>
          </cell>
          <cell r="Q377" t="str">
            <v>Gaurav Shinde</v>
          </cell>
          <cell r="S377" t="str">
            <v>Assam</v>
          </cell>
          <cell r="T377" t="str">
            <v>Dibrugarh</v>
          </cell>
          <cell r="U377" t="str">
            <v>Non Premium</v>
          </cell>
          <cell r="V377" t="str">
            <v>Pharma Format</v>
          </cell>
          <cell r="W377">
            <v>400</v>
          </cell>
          <cell r="X377" t="str">
            <v>Dhon Bhawan Ranibazar  ,  , Moranhat Dibrughar  , DIBRUGARH , 785675</v>
          </cell>
          <cell r="Y377">
            <v>45167</v>
          </cell>
          <cell r="Z377" t="str">
            <v>NA</v>
          </cell>
          <cell r="AB377" t="str">
            <v>NA</v>
          </cell>
          <cell r="AF377" t="str">
            <v>NA</v>
          </cell>
          <cell r="AK377">
            <v>45183</v>
          </cell>
          <cell r="AL377" t="str">
            <v>Received</v>
          </cell>
          <cell r="AO377">
            <v>3</v>
          </cell>
          <cell r="AS377">
            <v>-3</v>
          </cell>
          <cell r="AU377">
            <v>4</v>
          </cell>
          <cell r="AY377">
            <v>-4</v>
          </cell>
          <cell r="BA377">
            <v>5</v>
          </cell>
          <cell r="BE377">
            <v>-5</v>
          </cell>
          <cell r="BG377">
            <v>5</v>
          </cell>
          <cell r="BK377">
            <v>-5</v>
          </cell>
          <cell r="BM377">
            <v>3</v>
          </cell>
          <cell r="BP377">
            <v>3</v>
          </cell>
          <cell r="BW377" t="str">
            <v>Done</v>
          </cell>
          <cell r="BX377">
            <v>45079</v>
          </cell>
          <cell r="BY377" t="str">
            <v>Approved</v>
          </cell>
          <cell r="CD377">
            <v>45163</v>
          </cell>
          <cell r="CE377">
            <v>45173</v>
          </cell>
          <cell r="CG377" t="str">
            <v>M/s. SPACEXCOM Pvt Ltd</v>
          </cell>
          <cell r="CI377" t="str">
            <v>Issued</v>
          </cell>
          <cell r="DG377" t="str">
            <v>Netmed SDP - Not in Dead Rental</v>
          </cell>
          <cell r="DK377">
            <v>45178</v>
          </cell>
          <cell r="DM377">
            <v>2</v>
          </cell>
          <cell r="DN377" t="str">
            <v>0 to 3 Days</v>
          </cell>
          <cell r="DP377">
            <v>45176</v>
          </cell>
          <cell r="DQ377">
            <v>45180</v>
          </cell>
          <cell r="DR377">
            <v>7</v>
          </cell>
          <cell r="DS377">
            <v>7</v>
          </cell>
          <cell r="DU377">
            <v>45187</v>
          </cell>
          <cell r="DV377">
            <v>45183</v>
          </cell>
          <cell r="DW377">
            <v>45187</v>
          </cell>
          <cell r="DX377" t="str">
            <v>Sep 23 Week 3</v>
          </cell>
          <cell r="DZ377">
            <v>45240</v>
          </cell>
          <cell r="EA377" t="str">
            <v>Nov 23 Week 2</v>
          </cell>
          <cell r="EB377" t="str">
            <v>Backlog</v>
          </cell>
          <cell r="ED377" t="str">
            <v/>
          </cell>
          <cell r="EE377" t="str">
            <v/>
          </cell>
          <cell r="EF377">
            <v>1</v>
          </cell>
          <cell r="EG377">
            <v>1</v>
          </cell>
          <cell r="FD377">
            <v>53</v>
          </cell>
          <cell r="FE377" t="str">
            <v>31 to 61 Days</v>
          </cell>
          <cell r="FF377">
            <v>57</v>
          </cell>
          <cell r="FG377" t="str">
            <v>31 to 61 Days</v>
          </cell>
          <cell r="FH377" t="str">
            <v>Done</v>
          </cell>
          <cell r="FI377" t="str">
            <v>Done</v>
          </cell>
          <cell r="FJ377" t="str">
            <v>NA</v>
          </cell>
          <cell r="FK377">
            <v>45240</v>
          </cell>
          <cell r="FM377" t="str">
            <v/>
          </cell>
          <cell r="GA377">
            <v>45235</v>
          </cell>
          <cell r="GC377">
            <v>45180</v>
          </cell>
          <cell r="GG377" t="str">
            <v>2023-2024</v>
          </cell>
        </row>
        <row r="378">
          <cell r="E378" t="str">
            <v>GF LR Dag No.439&amp;441 LR Khatian No.2411  , BlockGarhbeta3SankarkataPaschimMedinipur , 128Mouza-DurlabhgunjPOSatbankura PS&amp;ADSR  , Chandrakona Road , 721253</v>
          </cell>
          <cell r="F378" t="str">
            <v>9. EPC Ready</v>
          </cell>
          <cell r="G378" t="str">
            <v>SPWBCHD3916</v>
          </cell>
          <cell r="H378" t="str">
            <v>WB-SM-CKR-3000</v>
          </cell>
          <cell r="I378" t="str">
            <v>TALI</v>
          </cell>
          <cell r="J378" t="str">
            <v>QFZN</v>
          </cell>
          <cell r="K378" t="str">
            <v xml:space="preserve">E </v>
          </cell>
          <cell r="L378" t="str">
            <v>SD</v>
          </cell>
          <cell r="M378" t="str">
            <v>EPC Ready</v>
          </cell>
          <cell r="N378" t="str">
            <v>Mahendrakumar Warma</v>
          </cell>
          <cell r="O378" t="str">
            <v xml:space="preserve">Sandeepta Gayen </v>
          </cell>
          <cell r="Q378" t="str">
            <v>Gaurav Shinde</v>
          </cell>
          <cell r="S378" t="str">
            <v>West Bengal</v>
          </cell>
          <cell r="T378" t="str">
            <v>Chandrakona Road</v>
          </cell>
          <cell r="U378" t="str">
            <v>Non Premium</v>
          </cell>
          <cell r="V378" t="str">
            <v>Pharma Format</v>
          </cell>
          <cell r="W378">
            <v>400</v>
          </cell>
          <cell r="X378" t="str">
            <v>GF LR Dag No.439&amp;441 LR Khatian No.2411  , BlockGarhbeta3SankarkataPaschimMedinipur , 128Mouza-DurlabhgunjPOSatbankura PS&amp;ADSR  , Chandrakona Road , 721253</v>
          </cell>
          <cell r="Y378">
            <v>45159</v>
          </cell>
          <cell r="Z378" t="str">
            <v>NA</v>
          </cell>
          <cell r="AB378" t="str">
            <v>NA</v>
          </cell>
          <cell r="AF378" t="str">
            <v>NA</v>
          </cell>
          <cell r="AK378">
            <v>45169</v>
          </cell>
          <cell r="AL378" t="str">
            <v>Received</v>
          </cell>
          <cell r="AO378">
            <v>3</v>
          </cell>
          <cell r="AS378">
            <v>-3</v>
          </cell>
          <cell r="AU378">
            <v>4</v>
          </cell>
          <cell r="AY378">
            <v>-4</v>
          </cell>
          <cell r="BA378">
            <v>5</v>
          </cell>
          <cell r="BE378">
            <v>-5</v>
          </cell>
          <cell r="BG378">
            <v>5</v>
          </cell>
          <cell r="BK378">
            <v>-5</v>
          </cell>
          <cell r="BM378">
            <v>3</v>
          </cell>
          <cell r="BP378">
            <v>3</v>
          </cell>
          <cell r="BW378" t="str">
            <v>Done</v>
          </cell>
          <cell r="BX378">
            <v>45079</v>
          </cell>
          <cell r="BY378" t="str">
            <v>Approved</v>
          </cell>
          <cell r="CD378">
            <v>45162</v>
          </cell>
          <cell r="CE378">
            <v>45167</v>
          </cell>
          <cell r="CG378" t="str">
            <v>M/s. STEELMAN TELECOM PVT LTD</v>
          </cell>
          <cell r="CI378" t="str">
            <v>Issued</v>
          </cell>
          <cell r="DG378" t="str">
            <v>Netmed SDP - Not in Dead Rental</v>
          </cell>
          <cell r="DK378">
            <v>45210</v>
          </cell>
          <cell r="DL378">
            <v>45201</v>
          </cell>
          <cell r="DM378">
            <v>2</v>
          </cell>
          <cell r="DN378" t="str">
            <v>0 to 3 Days</v>
          </cell>
          <cell r="DP378">
            <v>45170</v>
          </cell>
          <cell r="DQ378">
            <v>45212</v>
          </cell>
          <cell r="DR378">
            <v>7</v>
          </cell>
          <cell r="DS378">
            <v>7</v>
          </cell>
          <cell r="DU378">
            <v>45219</v>
          </cell>
          <cell r="DV378">
            <v>45177</v>
          </cell>
          <cell r="DW378">
            <v>45219</v>
          </cell>
          <cell r="DX378" t="str">
            <v>Oct 23 Week 3</v>
          </cell>
          <cell r="DZ378">
            <v>45233</v>
          </cell>
          <cell r="EA378" t="str">
            <v>Nov 23 Week 1</v>
          </cell>
          <cell r="EB378" t="str">
            <v>Backlog</v>
          </cell>
          <cell r="ED378" t="str">
            <v/>
          </cell>
          <cell r="EE378" t="str">
            <v/>
          </cell>
          <cell r="EF378">
            <v>1</v>
          </cell>
          <cell r="EG378">
            <v>1</v>
          </cell>
          <cell r="FD378">
            <v>14</v>
          </cell>
          <cell r="FE378" t="str">
            <v>8 to 15 Days</v>
          </cell>
          <cell r="FF378">
            <v>56</v>
          </cell>
          <cell r="FG378" t="str">
            <v>31 to 61 Days</v>
          </cell>
          <cell r="FH378" t="str">
            <v>Done</v>
          </cell>
          <cell r="FI378" t="str">
            <v>Done</v>
          </cell>
          <cell r="FJ378" t="str">
            <v>NA</v>
          </cell>
          <cell r="FK378">
            <v>45233</v>
          </cell>
          <cell r="FM378" t="str">
            <v/>
          </cell>
          <cell r="GA378">
            <v>45233</v>
          </cell>
          <cell r="GC378">
            <v>45212</v>
          </cell>
          <cell r="GG378" t="str">
            <v>2023-2024</v>
          </cell>
        </row>
        <row r="379">
          <cell r="E379" t="str">
            <v>Khata no. 379, Sy. Plot no. 775, Station  , Dumraon , road Dumrao, Near Axis bank, Dumrao  , DUMRAON , 802119</v>
          </cell>
          <cell r="F379" t="str">
            <v>9. EPC Ready</v>
          </cell>
          <cell r="G379" t="str">
            <v>SPBHDUK3293</v>
          </cell>
          <cell r="H379" t="str">
            <v>BH-SM-DUM-3000</v>
          </cell>
          <cell r="I379" t="str">
            <v>TXGS</v>
          </cell>
          <cell r="J379" t="str">
            <v>Q8NH</v>
          </cell>
          <cell r="K379" t="str">
            <v xml:space="preserve">E </v>
          </cell>
          <cell r="L379" t="str">
            <v>AK</v>
          </cell>
          <cell r="M379" t="str">
            <v>EPC Ready</v>
          </cell>
          <cell r="P379" t="str">
            <v xml:space="preserve">Avinandan Kumar </v>
          </cell>
          <cell r="Q379" t="str">
            <v>Gaurav Shinde</v>
          </cell>
          <cell r="S379" t="str">
            <v>Bihar</v>
          </cell>
          <cell r="T379" t="str">
            <v>Dumraon</v>
          </cell>
          <cell r="U379" t="str">
            <v>Non Premium</v>
          </cell>
          <cell r="V379" t="str">
            <v>Pharma Format</v>
          </cell>
          <cell r="W379">
            <v>400</v>
          </cell>
          <cell r="X379" t="str">
            <v>Khata no. 379, Sy. Plot no. 775, Station  , Dumraon , road Dumrao, Near Axis bank, Dumrao  , DUMRAON , 802119</v>
          </cell>
          <cell r="Y379">
            <v>45163</v>
          </cell>
          <cell r="Z379" t="str">
            <v>NA</v>
          </cell>
          <cell r="AB379" t="str">
            <v>NA</v>
          </cell>
          <cell r="AF379" t="str">
            <v>NA</v>
          </cell>
          <cell r="AK379">
            <v>45206</v>
          </cell>
          <cell r="AL379" t="str">
            <v>Received</v>
          </cell>
          <cell r="AO379">
            <v>3</v>
          </cell>
          <cell r="AS379">
            <v>-3</v>
          </cell>
          <cell r="AU379">
            <v>4</v>
          </cell>
          <cell r="AY379">
            <v>-4</v>
          </cell>
          <cell r="BA379">
            <v>5</v>
          </cell>
          <cell r="BE379">
            <v>-5</v>
          </cell>
          <cell r="BG379">
            <v>5</v>
          </cell>
          <cell r="BK379">
            <v>-5</v>
          </cell>
          <cell r="BM379">
            <v>3</v>
          </cell>
          <cell r="BP379">
            <v>3</v>
          </cell>
          <cell r="BW379" t="str">
            <v>Done</v>
          </cell>
          <cell r="BX379">
            <v>45079</v>
          </cell>
          <cell r="BY379" t="str">
            <v>Approved</v>
          </cell>
          <cell r="CD379">
            <v>45163</v>
          </cell>
          <cell r="CE379">
            <v>45175</v>
          </cell>
          <cell r="CG379" t="str">
            <v xml:space="preserve">M/S Laxmi Enterprises </v>
          </cell>
          <cell r="CI379" t="str">
            <v>Issued</v>
          </cell>
          <cell r="DG379" t="str">
            <v>Netmed SDP - Not in Dead Rental</v>
          </cell>
          <cell r="DK379">
            <v>45187</v>
          </cell>
          <cell r="DM379">
            <v>2</v>
          </cell>
          <cell r="DN379" t="str">
            <v>0 to 3 Days</v>
          </cell>
          <cell r="DP379">
            <v>45178</v>
          </cell>
          <cell r="DQ379">
            <v>45189</v>
          </cell>
          <cell r="DR379">
            <v>7</v>
          </cell>
          <cell r="DS379">
            <v>7</v>
          </cell>
          <cell r="DU379">
            <v>45196</v>
          </cell>
          <cell r="DV379">
            <v>45185</v>
          </cell>
          <cell r="DW379">
            <v>45196</v>
          </cell>
          <cell r="DX379" t="str">
            <v>Sep 23 Week 4</v>
          </cell>
          <cell r="DZ379">
            <v>45293</v>
          </cell>
          <cell r="EA379" t="str">
            <v>Jan 24 Week 1</v>
          </cell>
          <cell r="EB379" t="str">
            <v>Backlog</v>
          </cell>
          <cell r="ED379" t="str">
            <v/>
          </cell>
          <cell r="EE379" t="str">
            <v/>
          </cell>
          <cell r="EF379">
            <v>1</v>
          </cell>
          <cell r="EG379">
            <v>1</v>
          </cell>
          <cell r="FD379">
            <v>97</v>
          </cell>
          <cell r="FE379" t="str">
            <v>More Than 90  Days</v>
          </cell>
          <cell r="FF379">
            <v>108</v>
          </cell>
          <cell r="FG379" t="str">
            <v>More Than 90  Days</v>
          </cell>
          <cell r="FH379" t="str">
            <v>Done</v>
          </cell>
          <cell r="FI379" t="str">
            <v>Done</v>
          </cell>
          <cell r="FJ379" t="str">
            <v>NA</v>
          </cell>
          <cell r="FK379">
            <v>45293</v>
          </cell>
          <cell r="FM379" t="str">
            <v/>
          </cell>
          <cell r="GA379">
            <v>45291</v>
          </cell>
          <cell r="GC379">
            <v>45189</v>
          </cell>
          <cell r="GG379" t="str">
            <v>2023-2024</v>
          </cell>
        </row>
        <row r="380">
          <cell r="E380" t="str">
            <v>GF, Masiha Complex, Mouza - Pordag,  , Dumri, Thana No 152, Khata No 46 , Near Masiha Bal Vikas Vidyalaya , Plot No 158 &amp; 159, Dist - Giridih , DUMRI , 825106</v>
          </cell>
          <cell r="F380" t="str">
            <v>9. EPC Ready</v>
          </cell>
          <cell r="G380" t="str">
            <v xml:space="preserve">SPJHDUN4244 </v>
          </cell>
          <cell r="H380" t="str">
            <v>JH-SM-DRI-3000</v>
          </cell>
          <cell r="I380" t="str">
            <v>TAYS</v>
          </cell>
          <cell r="J380" t="str">
            <v>QGHW</v>
          </cell>
          <cell r="K380" t="str">
            <v xml:space="preserve">E </v>
          </cell>
          <cell r="L380" t="str">
            <v>AK</v>
          </cell>
          <cell r="M380" t="str">
            <v>EPC Ready</v>
          </cell>
          <cell r="P380" t="str">
            <v xml:space="preserve">Rohin Chand </v>
          </cell>
          <cell r="Q380" t="str">
            <v>Gaurav Shinde</v>
          </cell>
          <cell r="S380" t="str">
            <v>Jharkhand</v>
          </cell>
          <cell r="T380" t="str">
            <v>Dumri</v>
          </cell>
          <cell r="U380" t="str">
            <v>Non Premium</v>
          </cell>
          <cell r="V380" t="str">
            <v>Pharma Format</v>
          </cell>
          <cell r="W380">
            <v>400</v>
          </cell>
          <cell r="X380" t="str">
            <v>GF, Masiha Complex, Mouza - Pordag,  , Dumri, Thana No 152, Khata No 46 , Near Masiha Bal Vikas Vidyalaya , Plot No 158 &amp; 159, Dist - Giridih , DUMRI , 825106</v>
          </cell>
          <cell r="Y380">
            <v>45163</v>
          </cell>
          <cell r="Z380" t="str">
            <v>NA</v>
          </cell>
          <cell r="AB380" t="str">
            <v>NA</v>
          </cell>
          <cell r="AF380" t="str">
            <v>NA</v>
          </cell>
          <cell r="AK380">
            <v>45189</v>
          </cell>
          <cell r="AL380" t="str">
            <v>Received</v>
          </cell>
          <cell r="AO380">
            <v>3</v>
          </cell>
          <cell r="AS380">
            <v>-3</v>
          </cell>
          <cell r="AU380">
            <v>4</v>
          </cell>
          <cell r="AY380">
            <v>-4</v>
          </cell>
          <cell r="BA380">
            <v>5</v>
          </cell>
          <cell r="BE380">
            <v>-5</v>
          </cell>
          <cell r="BG380">
            <v>5</v>
          </cell>
          <cell r="BK380">
            <v>-5</v>
          </cell>
          <cell r="BM380">
            <v>3</v>
          </cell>
          <cell r="BP380">
            <v>3</v>
          </cell>
          <cell r="BW380" t="str">
            <v>Done</v>
          </cell>
          <cell r="BX380">
            <v>45079</v>
          </cell>
          <cell r="BY380" t="str">
            <v>Approved</v>
          </cell>
          <cell r="CD380">
            <v>45162</v>
          </cell>
          <cell r="CE380">
            <v>45174</v>
          </cell>
          <cell r="CG380" t="str">
            <v xml:space="preserve">
M/S S K ENTERPIRSES
</v>
          </cell>
          <cell r="CI380" t="str">
            <v>Issued</v>
          </cell>
          <cell r="DG380" t="str">
            <v>Netmed SDP - Not in Dead Rental</v>
          </cell>
          <cell r="DK380">
            <v>45196</v>
          </cell>
          <cell r="DM380">
            <v>2</v>
          </cell>
          <cell r="DN380" t="str">
            <v>0 to 3 Days</v>
          </cell>
          <cell r="DP380">
            <v>45177</v>
          </cell>
          <cell r="DQ380">
            <v>45198</v>
          </cell>
          <cell r="DR380">
            <v>7</v>
          </cell>
          <cell r="DS380">
            <v>7</v>
          </cell>
          <cell r="DU380">
            <v>45205</v>
          </cell>
          <cell r="DV380">
            <v>45184</v>
          </cell>
          <cell r="DW380">
            <v>45205</v>
          </cell>
          <cell r="DX380" t="str">
            <v>Oct 23 Week 1</v>
          </cell>
          <cell r="DZ380">
            <v>45238</v>
          </cell>
          <cell r="EA380" t="str">
            <v>Nov 23 Week 2</v>
          </cell>
          <cell r="EB380" t="str">
            <v>Backlog</v>
          </cell>
          <cell r="ED380" t="str">
            <v/>
          </cell>
          <cell r="EE380" t="str">
            <v/>
          </cell>
          <cell r="EF380">
            <v>1</v>
          </cell>
          <cell r="EG380">
            <v>1</v>
          </cell>
          <cell r="FD380">
            <v>33</v>
          </cell>
          <cell r="FE380" t="str">
            <v>31 to 61 Days</v>
          </cell>
          <cell r="FF380">
            <v>54</v>
          </cell>
          <cell r="FG380" t="str">
            <v>31 to 61 Days</v>
          </cell>
          <cell r="FH380" t="str">
            <v>Done</v>
          </cell>
          <cell r="FI380" t="str">
            <v>Done</v>
          </cell>
          <cell r="FJ380" t="str">
            <v>NA</v>
          </cell>
          <cell r="FK380">
            <v>45244</v>
          </cell>
          <cell r="FM380" t="str">
            <v/>
          </cell>
          <cell r="GA380">
            <v>45241</v>
          </cell>
          <cell r="GC380">
            <v>45198</v>
          </cell>
          <cell r="GG380" t="str">
            <v>2023-2024</v>
          </cell>
        </row>
        <row r="381">
          <cell r="E381" t="str">
            <v>Chungath Building  , Chavara P O , N H 66  , KOLLAM , 690524</v>
          </cell>
          <cell r="F381" t="str">
            <v>11. HOLD</v>
          </cell>
          <cell r="G381" t="str">
            <v>PHCOAS10499</v>
          </cell>
          <cell r="H381" t="str">
            <v>KE-SM-KOL-3005</v>
          </cell>
          <cell r="I381" t="str">
            <v>TX2I</v>
          </cell>
          <cell r="J381" t="str">
            <v>Q9W5</v>
          </cell>
          <cell r="K381" t="str">
            <v>S</v>
          </cell>
          <cell r="L381" t="str">
            <v>AK</v>
          </cell>
          <cell r="M381" t="str">
            <v>NRFC</v>
          </cell>
          <cell r="N381" t="str">
            <v>N Kalyankumar</v>
          </cell>
          <cell r="O381" t="str">
            <v>Jose Loviece</v>
          </cell>
          <cell r="Q381" t="str">
            <v>Gaurav Shinde</v>
          </cell>
          <cell r="S381" t="str">
            <v>Kerala</v>
          </cell>
          <cell r="T381" t="str">
            <v>Chavera</v>
          </cell>
          <cell r="U381" t="str">
            <v>Non Premium</v>
          </cell>
          <cell r="V381" t="str">
            <v>Pharma Format</v>
          </cell>
          <cell r="W381">
            <v>400</v>
          </cell>
          <cell r="X381" t="str">
            <v>Chungath Building  , Chavara P O , N H 66  , KOLLAM , 690524</v>
          </cell>
          <cell r="Z381" t="str">
            <v>NA</v>
          </cell>
          <cell r="AB381" t="str">
            <v>NA</v>
          </cell>
          <cell r="AF381" t="str">
            <v>NA</v>
          </cell>
          <cell r="AL381" t="str">
            <v>NA</v>
          </cell>
          <cell r="AO381">
            <v>3</v>
          </cell>
          <cell r="AS381">
            <v>-3</v>
          </cell>
          <cell r="AU381">
            <v>4</v>
          </cell>
          <cell r="AY381">
            <v>-4</v>
          </cell>
          <cell r="BA381">
            <v>5</v>
          </cell>
          <cell r="BE381">
            <v>-5</v>
          </cell>
          <cell r="BG381">
            <v>5</v>
          </cell>
          <cell r="BK381">
            <v>-5</v>
          </cell>
          <cell r="BM381">
            <v>3</v>
          </cell>
          <cell r="BP381">
            <v>3</v>
          </cell>
          <cell r="BW381" t="str">
            <v>Done</v>
          </cell>
          <cell r="BX381">
            <v>45079</v>
          </cell>
          <cell r="BY381" t="str">
            <v>Approved</v>
          </cell>
          <cell r="DG381" t="str">
            <v>Netmed SDP - Not in Dead Rental</v>
          </cell>
          <cell r="DM381" t="str">
            <v>NA</v>
          </cell>
          <cell r="DN381" t="str">
            <v>NA</v>
          </cell>
          <cell r="DR381">
            <v>7</v>
          </cell>
          <cell r="DS381">
            <v>7</v>
          </cell>
          <cell r="DU381">
            <v>7</v>
          </cell>
          <cell r="DV381">
            <v>7</v>
          </cell>
          <cell r="DW381">
            <v>7</v>
          </cell>
          <cell r="EA381" t="str">
            <v/>
          </cell>
          <cell r="ED381" t="str">
            <v/>
          </cell>
          <cell r="EE381" t="str">
            <v/>
          </cell>
          <cell r="FD381">
            <v>46114</v>
          </cell>
          <cell r="FF381">
            <v>46114</v>
          </cell>
          <cell r="FJ381" t="str">
            <v>NA</v>
          </cell>
          <cell r="FM381" t="str">
            <v/>
          </cell>
          <cell r="GG381" t="str">
            <v>2026-2027</v>
          </cell>
        </row>
        <row r="382">
          <cell r="E382" t="str">
            <v>Satyendra Gupta  , City Gopalganj Dist Gopalganj , Bijaipur Po Ps Bijaipur City  , GOPALGANJ , 841508</v>
          </cell>
          <cell r="F382" t="str">
            <v>9. EPC Ready</v>
          </cell>
          <cell r="G382" t="str">
            <v>SPBHGOB3956</v>
          </cell>
          <cell r="H382" t="str">
            <v>BH-SM-GPJ-3004</v>
          </cell>
          <cell r="I382" t="str">
            <v>TZC9</v>
          </cell>
          <cell r="J382" t="str">
            <v>QDUR</v>
          </cell>
          <cell r="K382" t="str">
            <v xml:space="preserve">E </v>
          </cell>
          <cell r="L382" t="str">
            <v>AK</v>
          </cell>
          <cell r="M382" t="str">
            <v>EPC Ready</v>
          </cell>
          <cell r="P382" t="str">
            <v>Mr. Avinandan Kumar-6201750418</v>
          </cell>
          <cell r="Q382" t="str">
            <v>Gaurav Shinde</v>
          </cell>
          <cell r="S382" t="str">
            <v>Bihar</v>
          </cell>
          <cell r="T382" t="str">
            <v>Gopalganj</v>
          </cell>
          <cell r="U382" t="str">
            <v>Non Premium</v>
          </cell>
          <cell r="V382" t="str">
            <v>Pharma Format</v>
          </cell>
          <cell r="W382">
            <v>400</v>
          </cell>
          <cell r="X382" t="str">
            <v>Satyendra Gupta  , City Gopalganj Dist Gopalganj , Bijaipur Po Ps Bijaipur City  , GOPALGANJ , 841508</v>
          </cell>
          <cell r="Y382">
            <v>45119</v>
          </cell>
          <cell r="Z382" t="str">
            <v>NA</v>
          </cell>
          <cell r="AB382" t="str">
            <v>NA</v>
          </cell>
          <cell r="AF382" t="str">
            <v>NA</v>
          </cell>
          <cell r="AK382">
            <v>45198</v>
          </cell>
          <cell r="AL382" t="str">
            <v>Received</v>
          </cell>
          <cell r="AO382">
            <v>3</v>
          </cell>
          <cell r="AS382">
            <v>-3</v>
          </cell>
          <cell r="AU382">
            <v>4</v>
          </cell>
          <cell r="AY382">
            <v>-4</v>
          </cell>
          <cell r="BA382">
            <v>5</v>
          </cell>
          <cell r="BE382">
            <v>-5</v>
          </cell>
          <cell r="BG382">
            <v>5</v>
          </cell>
          <cell r="BK382">
            <v>-5</v>
          </cell>
          <cell r="BM382">
            <v>3</v>
          </cell>
          <cell r="BP382">
            <v>3</v>
          </cell>
          <cell r="BW382" t="str">
            <v>Done</v>
          </cell>
          <cell r="BX382">
            <v>45079</v>
          </cell>
          <cell r="BY382" t="str">
            <v>Approved</v>
          </cell>
          <cell r="CD382">
            <v>45103</v>
          </cell>
          <cell r="CE382">
            <v>45113</v>
          </cell>
          <cell r="CG382" t="str">
            <v>M/S Rahul Kumar</v>
          </cell>
          <cell r="CI382" t="str">
            <v>Issued</v>
          </cell>
          <cell r="DA382" t="str">
            <v>NA</v>
          </cell>
          <cell r="DB382" t="str">
            <v>NA</v>
          </cell>
          <cell r="DC382" t="str">
            <v>NA</v>
          </cell>
          <cell r="DG382" t="str">
            <v>Netmed SDP - Not in Dead Rental</v>
          </cell>
          <cell r="DK382">
            <v>45367</v>
          </cell>
          <cell r="DM382">
            <v>2</v>
          </cell>
          <cell r="DN382" t="str">
            <v>0 to 3 Days</v>
          </cell>
          <cell r="DO382" t="str">
            <v xml:space="preserve">Material Delivered on 16-03-2024
</v>
          </cell>
          <cell r="DP382">
            <v>45370</v>
          </cell>
          <cell r="DQ382">
            <v>45369</v>
          </cell>
          <cell r="DR382">
            <v>7</v>
          </cell>
          <cell r="DS382">
            <v>7</v>
          </cell>
          <cell r="DU382">
            <v>45376</v>
          </cell>
          <cell r="DV382">
            <v>45377</v>
          </cell>
          <cell r="DW382">
            <v>45376</v>
          </cell>
          <cell r="DX382" t="str">
            <v>March 24 Week 4</v>
          </cell>
          <cell r="DY382">
            <v>45376</v>
          </cell>
          <cell r="DZ382">
            <v>45377</v>
          </cell>
          <cell r="EA382" t="str">
            <v>March 24 Week 4</v>
          </cell>
          <cell r="EB382" t="str">
            <v>Plan</v>
          </cell>
          <cell r="ED382" t="str">
            <v/>
          </cell>
          <cell r="EE382" t="str">
            <v/>
          </cell>
          <cell r="EF382">
            <v>1</v>
          </cell>
          <cell r="EH382" t="str">
            <v>Partial material PR Pending-Budget Error</v>
          </cell>
          <cell r="FD382">
            <v>1</v>
          </cell>
          <cell r="FE382" t="str">
            <v>0 to 3 Days</v>
          </cell>
          <cell r="FF382">
            <v>0</v>
          </cell>
          <cell r="FG382" t="str">
            <v>On Time</v>
          </cell>
          <cell r="FH382" t="str">
            <v>done</v>
          </cell>
          <cell r="FJ382" t="str">
            <v>NA</v>
          </cell>
          <cell r="FK382">
            <v>45385</v>
          </cell>
          <cell r="FM382" t="str">
            <v/>
          </cell>
          <cell r="FZ382" t="str">
            <v>Partial Fixture material Delivery pending-Budget error</v>
          </cell>
          <cell r="GC382">
            <v>45187</v>
          </cell>
          <cell r="GG382" t="str">
            <v>2023-2024</v>
          </cell>
        </row>
        <row r="383">
          <cell r="E383" t="str">
            <v>Atul Kumar Ray Kateya  , City Gopalganj Dist Gopalganj , Vill Khurhuriya Po Ps Kateya  , GOPALGANJ , 841437</v>
          </cell>
          <cell r="F383" t="str">
            <v>9. EPC Ready</v>
          </cell>
          <cell r="G383" t="str">
            <v>SPBHGOK4111</v>
          </cell>
          <cell r="H383" t="str">
            <v>BH-SM-GPJ-3003</v>
          </cell>
          <cell r="I383" t="str">
            <v>TZC3</v>
          </cell>
          <cell r="J383" t="str">
            <v>QDUL</v>
          </cell>
          <cell r="K383" t="str">
            <v xml:space="preserve">E </v>
          </cell>
          <cell r="L383" t="str">
            <v>AK</v>
          </cell>
          <cell r="M383" t="str">
            <v>EPC Ready</v>
          </cell>
          <cell r="P383" t="str">
            <v>Mr. Jitendra Kumar-6201750698</v>
          </cell>
          <cell r="Q383" t="str">
            <v>Gaurav Shinde</v>
          </cell>
          <cell r="S383" t="str">
            <v>Bihar</v>
          </cell>
          <cell r="T383" t="str">
            <v>Gopalganj</v>
          </cell>
          <cell r="U383" t="str">
            <v>Non Premium</v>
          </cell>
          <cell r="V383" t="str">
            <v>Pharma Format</v>
          </cell>
          <cell r="W383">
            <v>400</v>
          </cell>
          <cell r="X383" t="str">
            <v>Atul Kumar Ray Kateya  , City Gopalganj Dist Gopalganj , Vill Khurhuriya Po Ps Kateya  , GOPALGANJ , 841437</v>
          </cell>
          <cell r="Y383">
            <v>45159</v>
          </cell>
          <cell r="Z383" t="str">
            <v>NA</v>
          </cell>
          <cell r="AB383" t="str">
            <v>NA</v>
          </cell>
          <cell r="AF383" t="str">
            <v>NA</v>
          </cell>
          <cell r="AK383">
            <v>45182</v>
          </cell>
          <cell r="AL383" t="str">
            <v>Received</v>
          </cell>
          <cell r="AO383">
            <v>3</v>
          </cell>
          <cell r="AS383">
            <v>-3</v>
          </cell>
          <cell r="AU383">
            <v>4</v>
          </cell>
          <cell r="AY383">
            <v>-4</v>
          </cell>
          <cell r="BA383">
            <v>5</v>
          </cell>
          <cell r="BE383">
            <v>-5</v>
          </cell>
          <cell r="BG383">
            <v>5</v>
          </cell>
          <cell r="BK383">
            <v>-5</v>
          </cell>
          <cell r="BM383">
            <v>3</v>
          </cell>
          <cell r="BP383">
            <v>3</v>
          </cell>
          <cell r="BW383" t="str">
            <v>Done</v>
          </cell>
          <cell r="BX383">
            <v>45079</v>
          </cell>
          <cell r="BY383" t="str">
            <v>Approved</v>
          </cell>
          <cell r="CD383">
            <v>45162</v>
          </cell>
          <cell r="CE383">
            <v>45175</v>
          </cell>
          <cell r="CG383" t="str">
            <v xml:space="preserve">M/S RECON </v>
          </cell>
          <cell r="CI383" t="str">
            <v>Issued</v>
          </cell>
          <cell r="DG383" t="str">
            <v>Netmed SDP - Not in Dead Rental</v>
          </cell>
          <cell r="DK383">
            <v>45193</v>
          </cell>
          <cell r="DM383">
            <v>2</v>
          </cell>
          <cell r="DN383" t="str">
            <v>0 to 3 Days</v>
          </cell>
          <cell r="DP383">
            <v>45178</v>
          </cell>
          <cell r="DQ383">
            <v>45195</v>
          </cell>
          <cell r="DR383">
            <v>7</v>
          </cell>
          <cell r="DS383">
            <v>7</v>
          </cell>
          <cell r="DU383">
            <v>45202</v>
          </cell>
          <cell r="DV383">
            <v>45185</v>
          </cell>
          <cell r="DW383">
            <v>45202</v>
          </cell>
          <cell r="DX383" t="str">
            <v>Oct 23 Week 1</v>
          </cell>
          <cell r="DZ383">
            <v>45309</v>
          </cell>
          <cell r="EA383" t="str">
            <v>Jan 24 Week 3</v>
          </cell>
          <cell r="EB383" t="str">
            <v>Backlog</v>
          </cell>
          <cell r="ED383" t="str">
            <v/>
          </cell>
          <cell r="EE383" t="str">
            <v/>
          </cell>
          <cell r="EF383">
            <v>1</v>
          </cell>
          <cell r="EG383">
            <v>1</v>
          </cell>
          <cell r="FD383">
            <v>107</v>
          </cell>
          <cell r="FE383" t="str">
            <v>More Than 90  Days</v>
          </cell>
          <cell r="FF383">
            <v>124</v>
          </cell>
          <cell r="FG383" t="str">
            <v>More Than 90  Days</v>
          </cell>
          <cell r="FH383" t="str">
            <v>Done</v>
          </cell>
          <cell r="FI383" t="str">
            <v>Done</v>
          </cell>
          <cell r="FJ383" t="str">
            <v>NA</v>
          </cell>
          <cell r="FK383">
            <v>45311</v>
          </cell>
          <cell r="FM383" t="str">
            <v/>
          </cell>
          <cell r="GA383">
            <v>45309</v>
          </cell>
          <cell r="GC383">
            <v>45195</v>
          </cell>
          <cell r="GG383" t="str">
            <v>2023-2024</v>
          </cell>
        </row>
        <row r="384">
          <cell r="E384" t="str">
            <v>GF Panday Market Plot No - 181  , Village-Sada, PS - Saran, Dist-Chapara , Khata No 185, Revenue Thana No 342  , Saran , 841301</v>
          </cell>
          <cell r="F384" t="str">
            <v>9. EPC Ready</v>
          </cell>
          <cell r="G384" t="str">
            <v>SPBHSAS3613</v>
          </cell>
          <cell r="H384" t="str">
            <v>BH-SM-SRN-3000</v>
          </cell>
          <cell r="I384" t="str">
            <v>TZ3R</v>
          </cell>
          <cell r="J384" t="str">
            <v>QEEK</v>
          </cell>
          <cell r="K384" t="str">
            <v xml:space="preserve">E </v>
          </cell>
          <cell r="L384" t="str">
            <v>AK</v>
          </cell>
          <cell r="M384" t="str">
            <v>EPC Ready</v>
          </cell>
          <cell r="Q384" t="str">
            <v>Gaurav Shinde</v>
          </cell>
          <cell r="S384" t="str">
            <v>Bihar</v>
          </cell>
          <cell r="T384" t="str">
            <v>Chhapra</v>
          </cell>
          <cell r="U384" t="str">
            <v>Non Premium</v>
          </cell>
          <cell r="V384" t="str">
            <v>Pharma Format</v>
          </cell>
          <cell r="W384">
            <v>400</v>
          </cell>
          <cell r="X384" t="str">
            <v>GF Panday Market Plot No - 181  , Village-Sada, PS - Saran, Dist-Chapara , Khata No 185, Revenue Thana No 342  , Saran , 841301</v>
          </cell>
          <cell r="Y384">
            <v>45166</v>
          </cell>
          <cell r="Z384" t="str">
            <v>NA</v>
          </cell>
          <cell r="AB384" t="str">
            <v>NA</v>
          </cell>
          <cell r="AF384" t="str">
            <v>NA</v>
          </cell>
          <cell r="AK384">
            <v>45184</v>
          </cell>
          <cell r="AL384" t="str">
            <v>Received</v>
          </cell>
          <cell r="AO384">
            <v>3</v>
          </cell>
          <cell r="AS384">
            <v>-3</v>
          </cell>
          <cell r="AU384">
            <v>4</v>
          </cell>
          <cell r="AY384">
            <v>-4</v>
          </cell>
          <cell r="BA384">
            <v>5</v>
          </cell>
          <cell r="BE384">
            <v>-5</v>
          </cell>
          <cell r="BG384">
            <v>5</v>
          </cell>
          <cell r="BK384">
            <v>-5</v>
          </cell>
          <cell r="BM384">
            <v>3</v>
          </cell>
          <cell r="BP384">
            <v>3</v>
          </cell>
          <cell r="BW384" t="str">
            <v>Done</v>
          </cell>
          <cell r="BX384">
            <v>45079</v>
          </cell>
          <cell r="BY384" t="str">
            <v>Approved</v>
          </cell>
          <cell r="CD384">
            <v>45163</v>
          </cell>
          <cell r="CE384">
            <v>45175</v>
          </cell>
          <cell r="CG384" t="str">
            <v xml:space="preserve">M/S Laxmi Enterprises </v>
          </cell>
          <cell r="CI384" t="str">
            <v>Issued</v>
          </cell>
          <cell r="DG384" t="str">
            <v>Netmed SDP - Not in Dead Rental</v>
          </cell>
          <cell r="DK384">
            <v>45230</v>
          </cell>
          <cell r="DM384">
            <v>2</v>
          </cell>
          <cell r="DN384" t="str">
            <v>0 to 3 Days</v>
          </cell>
          <cell r="DP384">
            <v>45178</v>
          </cell>
          <cell r="DQ384">
            <v>45232</v>
          </cell>
          <cell r="DR384">
            <v>7</v>
          </cell>
          <cell r="DS384">
            <v>7</v>
          </cell>
          <cell r="DU384">
            <v>45239</v>
          </cell>
          <cell r="DV384">
            <v>45185</v>
          </cell>
          <cell r="DW384">
            <v>45239</v>
          </cell>
          <cell r="DX384" t="str">
            <v>Nov 23 Week 2</v>
          </cell>
          <cell r="DZ384">
            <v>45233</v>
          </cell>
          <cell r="EA384" t="str">
            <v>Nov 23 Week 1</v>
          </cell>
          <cell r="EB384" t="str">
            <v>Plan</v>
          </cell>
          <cell r="ED384" t="str">
            <v/>
          </cell>
          <cell r="EE384" t="str">
            <v/>
          </cell>
          <cell r="EF384">
            <v>1</v>
          </cell>
          <cell r="EG384">
            <v>1</v>
          </cell>
          <cell r="FD384">
            <v>-6</v>
          </cell>
          <cell r="FE384" t="str">
            <v>On Time</v>
          </cell>
          <cell r="FF384">
            <v>48</v>
          </cell>
          <cell r="FG384" t="str">
            <v>31 to 61 Days</v>
          </cell>
          <cell r="FH384" t="str">
            <v>Done</v>
          </cell>
          <cell r="FI384" t="str">
            <v>Done</v>
          </cell>
          <cell r="FJ384" t="str">
            <v>NA</v>
          </cell>
          <cell r="FK384">
            <v>45234</v>
          </cell>
          <cell r="FM384" t="str">
            <v/>
          </cell>
          <cell r="GA384">
            <v>45233</v>
          </cell>
          <cell r="GC384">
            <v>45225</v>
          </cell>
          <cell r="GG384" t="str">
            <v>2023-2024</v>
          </cell>
        </row>
        <row r="385">
          <cell r="E385" t="str">
            <v>GF Plot No 8983 Sy No 154 House No  , Dist Buldhana , Z2W8018208 Ward No 8 Mouza Chikhli  , CHIKHALI , 443201</v>
          </cell>
          <cell r="F385" t="str">
            <v>10. Launched</v>
          </cell>
          <cell r="G385" t="str">
            <v>SPMHBUB3930</v>
          </cell>
          <cell r="H385" t="str">
            <v>MH-SM-CHI-3001</v>
          </cell>
          <cell r="I385" t="str">
            <v>TYXO</v>
          </cell>
          <cell r="J385" t="str">
            <v>QB5S</v>
          </cell>
          <cell r="K385" t="str">
            <v>W</v>
          </cell>
          <cell r="L385" t="str">
            <v>KC</v>
          </cell>
          <cell r="M385" t="str">
            <v>EPC Ready Pharmacy 200 SFT</v>
          </cell>
          <cell r="P385" t="str">
            <v>Tejmahal Athawale-9503018281</v>
          </cell>
          <cell r="Q385" t="str">
            <v>Gaurav Shinde</v>
          </cell>
          <cell r="S385" t="str">
            <v>Maharashtra</v>
          </cell>
          <cell r="T385" t="str">
            <v>CHIKHALI</v>
          </cell>
          <cell r="U385" t="str">
            <v>Non Premium</v>
          </cell>
          <cell r="V385" t="str">
            <v>Pharma Format</v>
          </cell>
          <cell r="W385">
            <v>200</v>
          </cell>
          <cell r="X385" t="str">
            <v>GF Plot No 8983 Sy No 154 House No  , Dist Buldhana , Z2W8018208 Ward No 8 Mouza Chikhli  , CHIKHALI , 443201</v>
          </cell>
          <cell r="Z385" t="str">
            <v>NA</v>
          </cell>
          <cell r="AB385" t="str">
            <v>NA</v>
          </cell>
          <cell r="AF385" t="str">
            <v>NA</v>
          </cell>
          <cell r="AL385" t="str">
            <v>Received</v>
          </cell>
          <cell r="AO385">
            <v>3</v>
          </cell>
          <cell r="AS385">
            <v>-3</v>
          </cell>
          <cell r="AU385">
            <v>4</v>
          </cell>
          <cell r="AY385">
            <v>-4</v>
          </cell>
          <cell r="BA385">
            <v>5</v>
          </cell>
          <cell r="BE385">
            <v>-5</v>
          </cell>
          <cell r="BG385">
            <v>5</v>
          </cell>
          <cell r="BK385">
            <v>-5</v>
          </cell>
          <cell r="BM385">
            <v>3</v>
          </cell>
          <cell r="BW385" t="str">
            <v>Done</v>
          </cell>
          <cell r="BX385">
            <v>45079</v>
          </cell>
          <cell r="BY385" t="str">
            <v>Approved</v>
          </cell>
          <cell r="CD385">
            <v>45103</v>
          </cell>
          <cell r="CE385">
            <v>45113</v>
          </cell>
          <cell r="CG385" t="str">
            <v>M/s Saitech Electricals</v>
          </cell>
          <cell r="CI385" t="str">
            <v>Issued</v>
          </cell>
          <cell r="DG385" t="str">
            <v>Netmed SDP - Not in Dead Rental</v>
          </cell>
          <cell r="DK385">
            <v>45113</v>
          </cell>
          <cell r="DM385">
            <v>2</v>
          </cell>
          <cell r="DN385" t="str">
            <v>0 to 3 Days</v>
          </cell>
          <cell r="DP385">
            <v>45116</v>
          </cell>
          <cell r="DQ385">
            <v>45115</v>
          </cell>
          <cell r="DR385">
            <v>7</v>
          </cell>
          <cell r="DS385">
            <v>7</v>
          </cell>
          <cell r="DU385">
            <v>45122</v>
          </cell>
          <cell r="DV385">
            <v>45123</v>
          </cell>
          <cell r="DW385">
            <v>45122</v>
          </cell>
          <cell r="DX385" t="str">
            <v>July 23 Week 3</v>
          </cell>
          <cell r="DZ385">
            <v>45129</v>
          </cell>
          <cell r="EA385" t="str">
            <v>July 23 Week 4</v>
          </cell>
          <cell r="EB385" t="str">
            <v>Backlog</v>
          </cell>
          <cell r="ED385" t="str">
            <v/>
          </cell>
          <cell r="EE385" t="str">
            <v/>
          </cell>
          <cell r="EG385">
            <v>1</v>
          </cell>
          <cell r="FD385">
            <v>7</v>
          </cell>
          <cell r="FE385" t="str">
            <v>4 to 7 Days</v>
          </cell>
          <cell r="FF385">
            <v>6</v>
          </cell>
          <cell r="FG385" t="str">
            <v>4 to 7 Days</v>
          </cell>
          <cell r="FH385" t="str">
            <v>Done</v>
          </cell>
          <cell r="FI385" t="str">
            <v>Done</v>
          </cell>
          <cell r="FJ385" t="str">
            <v>NA</v>
          </cell>
          <cell r="FM385" t="str">
            <v/>
          </cell>
          <cell r="GG385" t="str">
            <v>2023-2024</v>
          </cell>
        </row>
        <row r="386">
          <cell r="E386" t="str">
            <v>Ms Al Znk Aprtment Katha No29 5005 06 07  , Park Bengeri Off Sulla road Hubli , Plot No 279 280 281 Rs No 10 11 Manoj  , HUBLI , 580023</v>
          </cell>
          <cell r="F386" t="str">
            <v>9. EPC Ready</v>
          </cell>
          <cell r="G386" t="str">
            <v>SPKAHUZ3191</v>
          </cell>
          <cell r="H386" t="str">
            <v>KR-SM-HUB-3010</v>
          </cell>
          <cell r="I386" t="str">
            <v>TZ2A</v>
          </cell>
          <cell r="J386" t="str">
            <v>QECT</v>
          </cell>
          <cell r="K386" t="str">
            <v>S</v>
          </cell>
          <cell r="L386" t="str">
            <v>AK</v>
          </cell>
          <cell r="M386" t="str">
            <v>EPC Ready</v>
          </cell>
          <cell r="N386" t="str">
            <v>N Kalyankumar</v>
          </cell>
          <cell r="O386" t="str">
            <v>Sreekanth Bijjhalli</v>
          </cell>
          <cell r="P386" t="str">
            <v>Sreekanth.Bijjhalli-9900039061</v>
          </cell>
          <cell r="Q386" t="str">
            <v>Gaurav Shinde</v>
          </cell>
          <cell r="S386" t="str">
            <v>Karnataka</v>
          </cell>
          <cell r="T386" t="str">
            <v>Hubli</v>
          </cell>
          <cell r="U386" t="str">
            <v>Non Premium</v>
          </cell>
          <cell r="V386" t="str">
            <v>Pharma Format</v>
          </cell>
          <cell r="W386">
            <v>400</v>
          </cell>
          <cell r="X386" t="str">
            <v>Ms Al Znk Aprtment Katha No29 5005 06 07  , Park Bengeri Off Sulla road Hubli , Plot No 279 280 281 Rs No 10 11 Manoj  , HUBLI , 580023</v>
          </cell>
          <cell r="Y386">
            <v>45163</v>
          </cell>
          <cell r="Z386" t="str">
            <v>NA</v>
          </cell>
          <cell r="AB386" t="str">
            <v>NA</v>
          </cell>
          <cell r="AF386" t="str">
            <v>NA</v>
          </cell>
          <cell r="AK386">
            <v>45182</v>
          </cell>
          <cell r="AL386" t="str">
            <v>Received</v>
          </cell>
          <cell r="AO386">
            <v>3</v>
          </cell>
          <cell r="AS386">
            <v>-3</v>
          </cell>
          <cell r="AU386">
            <v>4</v>
          </cell>
          <cell r="AY386">
            <v>-4</v>
          </cell>
          <cell r="BA386">
            <v>5</v>
          </cell>
          <cell r="BE386">
            <v>-5</v>
          </cell>
          <cell r="BG386">
            <v>5</v>
          </cell>
          <cell r="BK386">
            <v>-5</v>
          </cell>
          <cell r="BM386">
            <v>3</v>
          </cell>
          <cell r="BP386">
            <v>3</v>
          </cell>
          <cell r="BW386" t="str">
            <v>Done</v>
          </cell>
          <cell r="BX386">
            <v>45079</v>
          </cell>
          <cell r="BY386" t="str">
            <v>Approved</v>
          </cell>
          <cell r="CD386">
            <v>45162</v>
          </cell>
          <cell r="CE386">
            <v>45229</v>
          </cell>
          <cell r="CG386" t="str">
            <v>M/s. AR Projects</v>
          </cell>
          <cell r="CI386" t="str">
            <v>Issued</v>
          </cell>
          <cell r="DG386" t="str">
            <v>Netmed SDP - Not in Dead Rental</v>
          </cell>
          <cell r="DK386">
            <v>45230</v>
          </cell>
          <cell r="DM386">
            <v>2</v>
          </cell>
          <cell r="DN386" t="str">
            <v>0 to 3 Days</v>
          </cell>
          <cell r="DP386">
            <v>45232</v>
          </cell>
          <cell r="DQ386">
            <v>45232</v>
          </cell>
          <cell r="DR386">
            <v>7</v>
          </cell>
          <cell r="DS386">
            <v>7</v>
          </cell>
          <cell r="DU386">
            <v>45239</v>
          </cell>
          <cell r="DV386">
            <v>45239</v>
          </cell>
          <cell r="DW386">
            <v>45239</v>
          </cell>
          <cell r="DX386" t="str">
            <v>Nov 23 Week 2</v>
          </cell>
          <cell r="DZ386">
            <v>45281</v>
          </cell>
          <cell r="EA386" t="str">
            <v>Dec 23 Week 3</v>
          </cell>
          <cell r="EB386" t="str">
            <v>Backlog</v>
          </cell>
          <cell r="ED386" t="str">
            <v/>
          </cell>
          <cell r="EE386" t="str">
            <v/>
          </cell>
          <cell r="EF386">
            <v>1</v>
          </cell>
          <cell r="EG386">
            <v>1</v>
          </cell>
          <cell r="FD386">
            <v>42</v>
          </cell>
          <cell r="FE386" t="str">
            <v>31 to 61 Days</v>
          </cell>
          <cell r="FF386">
            <v>42</v>
          </cell>
          <cell r="FG386" t="str">
            <v>31 to 61 Days</v>
          </cell>
          <cell r="FH386" t="str">
            <v>Done</v>
          </cell>
          <cell r="FJ386" t="str">
            <v>NA</v>
          </cell>
          <cell r="FK386">
            <v>45502</v>
          </cell>
          <cell r="FM386" t="str">
            <v/>
          </cell>
          <cell r="GA386">
            <v>45315</v>
          </cell>
          <cell r="GC386">
            <v>45232</v>
          </cell>
          <cell r="GG386" t="str">
            <v>2023-2024</v>
          </cell>
        </row>
        <row r="387">
          <cell r="E387" t="str">
            <v>Basement &amp; Gf Khasra No 1162 Patta No 12  , Dist Jhunjhunu , 15 Chungi To Railway Station Rd Chirawa  , CHIRAWA , 333026</v>
          </cell>
          <cell r="F387" t="str">
            <v>9. EPC Ready</v>
          </cell>
          <cell r="G387" t="str">
            <v>SPRJCHC4233</v>
          </cell>
          <cell r="H387" t="str">
            <v>RJ-SM-CRA-3001</v>
          </cell>
          <cell r="I387" t="str">
            <v>TAWO</v>
          </cell>
          <cell r="J387" t="str">
            <v>QGEB</v>
          </cell>
          <cell r="K387" t="str">
            <v xml:space="preserve">N </v>
          </cell>
          <cell r="L387" t="str">
            <v>KC</v>
          </cell>
          <cell r="M387" t="str">
            <v>EPC Ready</v>
          </cell>
          <cell r="P387" t="str">
            <v>Haresh Patil-9909977160</v>
          </cell>
          <cell r="Q387" t="str">
            <v>Gaurav Shinde</v>
          </cell>
          <cell r="S387" t="str">
            <v>Rajasthan</v>
          </cell>
          <cell r="T387" t="str">
            <v>Chirawa</v>
          </cell>
          <cell r="U387" t="str">
            <v>Non Premium</v>
          </cell>
          <cell r="V387" t="str">
            <v>Pharma Format</v>
          </cell>
          <cell r="W387">
            <v>393</v>
          </cell>
          <cell r="X387" t="str">
            <v>Basement &amp; Gf Khasra No 1162 Patta No 12  , Dist Jhunjhunu , 15 Chungi To Railway Station Rd Chirawa  , CHIRAWA , 333026</v>
          </cell>
          <cell r="Y387">
            <v>45125</v>
          </cell>
          <cell r="Z387" t="str">
            <v>NA</v>
          </cell>
          <cell r="AB387" t="str">
            <v>NA</v>
          </cell>
          <cell r="AF387" t="str">
            <v>NA</v>
          </cell>
          <cell r="AK387">
            <v>45203</v>
          </cell>
          <cell r="AL387" t="str">
            <v>Received</v>
          </cell>
          <cell r="AO387">
            <v>3</v>
          </cell>
          <cell r="AS387">
            <v>-3</v>
          </cell>
          <cell r="AU387">
            <v>4</v>
          </cell>
          <cell r="AY387">
            <v>-4</v>
          </cell>
          <cell r="BA387">
            <v>5</v>
          </cell>
          <cell r="BE387">
            <v>-5</v>
          </cell>
          <cell r="BG387">
            <v>5</v>
          </cell>
          <cell r="BK387">
            <v>-5</v>
          </cell>
          <cell r="BM387">
            <v>3</v>
          </cell>
          <cell r="BP387">
            <v>3</v>
          </cell>
          <cell r="BW387" t="str">
            <v>Done</v>
          </cell>
          <cell r="BX387">
            <v>45079</v>
          </cell>
          <cell r="BY387" t="str">
            <v>Approved</v>
          </cell>
          <cell r="CD387">
            <v>45126</v>
          </cell>
          <cell r="CE387">
            <v>45156</v>
          </cell>
          <cell r="CG387" t="str">
            <v>M/s    AVADH BUSINESS SERVICES (I) PVT. LTD</v>
          </cell>
          <cell r="CI387" t="str">
            <v>Issued</v>
          </cell>
          <cell r="DG387" t="str">
            <v>Netmed SDP - Not in Dead Rental</v>
          </cell>
          <cell r="DK387">
            <v>45195</v>
          </cell>
          <cell r="DL387">
            <v>45166</v>
          </cell>
          <cell r="DM387">
            <v>2</v>
          </cell>
          <cell r="DN387" t="str">
            <v>0 to 3 Days</v>
          </cell>
          <cell r="DP387">
            <v>45159</v>
          </cell>
          <cell r="DQ387">
            <v>45197</v>
          </cell>
          <cell r="DR387">
            <v>7</v>
          </cell>
          <cell r="DS387">
            <v>7</v>
          </cell>
          <cell r="DU387">
            <v>45204</v>
          </cell>
          <cell r="DV387">
            <v>45166</v>
          </cell>
          <cell r="DW387">
            <v>45204</v>
          </cell>
          <cell r="DX387" t="str">
            <v>Oct 23 Week 1</v>
          </cell>
          <cell r="DZ387">
            <v>45206</v>
          </cell>
          <cell r="EA387" t="str">
            <v>Oct 23 Week 1</v>
          </cell>
          <cell r="EB387" t="str">
            <v>Backlog</v>
          </cell>
          <cell r="ED387" t="str">
            <v/>
          </cell>
          <cell r="EE387" t="str">
            <v/>
          </cell>
          <cell r="EF387">
            <v>1</v>
          </cell>
          <cell r="EG387">
            <v>1</v>
          </cell>
          <cell r="FD387">
            <v>2</v>
          </cell>
          <cell r="FE387" t="str">
            <v>0 to 3 Days</v>
          </cell>
          <cell r="FF387">
            <v>40</v>
          </cell>
          <cell r="FG387" t="str">
            <v>31 to 61 Days</v>
          </cell>
          <cell r="FH387" t="str">
            <v>Done</v>
          </cell>
          <cell r="FI387" t="str">
            <v>Done</v>
          </cell>
          <cell r="FJ387" t="str">
            <v>NA</v>
          </cell>
          <cell r="FK387">
            <v>45222</v>
          </cell>
          <cell r="FM387" t="str">
            <v/>
          </cell>
          <cell r="GA387">
            <v>45208</v>
          </cell>
          <cell r="GC387">
            <v>45197</v>
          </cell>
          <cell r="GG387" t="str">
            <v>2023-2024</v>
          </cell>
        </row>
        <row r="388">
          <cell r="E388" t="str">
            <v>Hari Narayan Singh  , Hajipur , Patepur Sukki Road  , HAJIPUR , 843114</v>
          </cell>
          <cell r="F388" t="str">
            <v>9. EPC Ready</v>
          </cell>
          <cell r="G388" t="str">
            <v>SPBHHAP3021</v>
          </cell>
          <cell r="H388" t="str">
            <v>BH-SM-HAJ-3003</v>
          </cell>
          <cell r="I388" t="str">
            <v>TZBT</v>
          </cell>
          <cell r="J388" t="str">
            <v>QCTX</v>
          </cell>
          <cell r="K388" t="str">
            <v xml:space="preserve">E </v>
          </cell>
          <cell r="L388" t="str">
            <v>AK</v>
          </cell>
          <cell r="M388" t="str">
            <v>EPC Ready</v>
          </cell>
          <cell r="Q388" t="str">
            <v>Gaurav Shinde</v>
          </cell>
          <cell r="S388" t="str">
            <v>Bihar</v>
          </cell>
          <cell r="T388" t="str">
            <v>Hajipur</v>
          </cell>
          <cell r="U388" t="str">
            <v>Non Premium</v>
          </cell>
          <cell r="V388" t="str">
            <v>Pharma Format</v>
          </cell>
          <cell r="W388">
            <v>400</v>
          </cell>
          <cell r="X388" t="str">
            <v>Hari Narayan Singh  , Hajipur , Patepur Sukki Road  , HAJIPUR , 843114</v>
          </cell>
          <cell r="Y388">
            <v>45163</v>
          </cell>
          <cell r="Z388" t="str">
            <v>NA</v>
          </cell>
          <cell r="AB388" t="str">
            <v>NA</v>
          </cell>
          <cell r="AF388" t="str">
            <v>NA</v>
          </cell>
          <cell r="AK388">
            <v>45231</v>
          </cell>
          <cell r="AL388" t="str">
            <v>Received</v>
          </cell>
          <cell r="AO388">
            <v>3</v>
          </cell>
          <cell r="AS388">
            <v>-3</v>
          </cell>
          <cell r="AU388">
            <v>4</v>
          </cell>
          <cell r="AY388">
            <v>-4</v>
          </cell>
          <cell r="BA388">
            <v>5</v>
          </cell>
          <cell r="BE388">
            <v>-5</v>
          </cell>
          <cell r="BG388">
            <v>5</v>
          </cell>
          <cell r="BK388">
            <v>-5</v>
          </cell>
          <cell r="BM388">
            <v>3</v>
          </cell>
          <cell r="BP388">
            <v>3</v>
          </cell>
          <cell r="BW388" t="str">
            <v>Done</v>
          </cell>
          <cell r="BX388">
            <v>45079</v>
          </cell>
          <cell r="BY388" t="str">
            <v>Approved</v>
          </cell>
          <cell r="CD388">
            <v>45163</v>
          </cell>
          <cell r="CE388">
            <v>45175</v>
          </cell>
          <cell r="CG388" t="str">
            <v xml:space="preserve">M/S RECON </v>
          </cell>
          <cell r="CI388" t="str">
            <v>Issued</v>
          </cell>
          <cell r="DG388" t="str">
            <v>Netmed SDP - Not in Dead Rental</v>
          </cell>
          <cell r="DK388">
            <v>45201</v>
          </cell>
          <cell r="DL388">
            <v>45170</v>
          </cell>
          <cell r="DM388">
            <v>2</v>
          </cell>
          <cell r="DN388" t="str">
            <v>0 to 3 Days</v>
          </cell>
          <cell r="DP388">
            <v>45178</v>
          </cell>
          <cell r="DQ388">
            <v>45203</v>
          </cell>
          <cell r="DR388">
            <v>7</v>
          </cell>
          <cell r="DS388">
            <v>7</v>
          </cell>
          <cell r="DU388">
            <v>45210</v>
          </cell>
          <cell r="DV388">
            <v>45185</v>
          </cell>
          <cell r="DW388">
            <v>45210</v>
          </cell>
          <cell r="DX388" t="str">
            <v>Oct 23 Week 2</v>
          </cell>
          <cell r="DZ388">
            <v>45213</v>
          </cell>
          <cell r="EA388" t="str">
            <v>Oct 23 Week 2</v>
          </cell>
          <cell r="EB388" t="str">
            <v>Backlog</v>
          </cell>
          <cell r="ED388" t="str">
            <v/>
          </cell>
          <cell r="EE388" t="str">
            <v/>
          </cell>
          <cell r="EF388">
            <v>1</v>
          </cell>
          <cell r="EG388">
            <v>1</v>
          </cell>
          <cell r="FD388">
            <v>3</v>
          </cell>
          <cell r="FE388" t="str">
            <v>0 to 3 Days</v>
          </cell>
          <cell r="FF388">
            <v>28</v>
          </cell>
          <cell r="FG388" t="str">
            <v>16 to 31 Days</v>
          </cell>
          <cell r="FH388" t="str">
            <v>Done</v>
          </cell>
          <cell r="FI388" t="str">
            <v>Done</v>
          </cell>
          <cell r="FJ388" t="str">
            <v>NA</v>
          </cell>
          <cell r="FK388">
            <v>45225</v>
          </cell>
          <cell r="FM388" t="str">
            <v/>
          </cell>
          <cell r="GA388">
            <v>45213</v>
          </cell>
          <cell r="GC388">
            <v>45203</v>
          </cell>
          <cell r="GG388" t="str">
            <v>2023-2024</v>
          </cell>
        </row>
        <row r="389">
          <cell r="E389" t="str">
            <v>GF Unity village Patta No 527  , under Dimapur , Block No 4 5th Mile Dist Dimapur  , Chumukedima , 797115</v>
          </cell>
          <cell r="F389" t="str">
            <v>9. EPC Ready</v>
          </cell>
          <cell r="G389" t="str">
            <v>SPNLCHU3335</v>
          </cell>
          <cell r="H389" t="str">
            <v>NE-SM-CMA-3002</v>
          </cell>
          <cell r="I389" t="str">
            <v>TZGH</v>
          </cell>
          <cell r="J389" t="str">
            <v>QCZV</v>
          </cell>
          <cell r="K389" t="str">
            <v xml:space="preserve">E </v>
          </cell>
          <cell r="L389" t="str">
            <v>SD</v>
          </cell>
          <cell r="M389" t="str">
            <v>EPC Ready</v>
          </cell>
          <cell r="N389" t="str">
            <v>Mahendrakumar Warma</v>
          </cell>
          <cell r="O389" t="str">
            <v>Anup das (EXCEPT SIKKIM)</v>
          </cell>
          <cell r="P389" t="str">
            <v>Shubham Rai-6003901308</v>
          </cell>
          <cell r="Q389" t="str">
            <v>Gaurav Shinde</v>
          </cell>
          <cell r="S389" t="str">
            <v>North East</v>
          </cell>
          <cell r="T389" t="str">
            <v>Chumukedima</v>
          </cell>
          <cell r="U389" t="str">
            <v>Non Premium</v>
          </cell>
          <cell r="V389" t="str">
            <v>Pharma Format</v>
          </cell>
          <cell r="W389">
            <v>400</v>
          </cell>
          <cell r="X389" t="str">
            <v>GF Unity village Patta No 527  , under Dimapur , Block No 4 5th Mile Dist Dimapur  , Chumukedima , 797115</v>
          </cell>
          <cell r="Y389">
            <v>45166</v>
          </cell>
          <cell r="Z389" t="str">
            <v>NA</v>
          </cell>
          <cell r="AB389" t="str">
            <v>NA</v>
          </cell>
          <cell r="AF389" t="str">
            <v>NA</v>
          </cell>
          <cell r="AK389">
            <v>45183</v>
          </cell>
          <cell r="AL389" t="str">
            <v>Received</v>
          </cell>
          <cell r="AO389">
            <v>3</v>
          </cell>
          <cell r="AS389">
            <v>-3</v>
          </cell>
          <cell r="AU389">
            <v>4</v>
          </cell>
          <cell r="AY389">
            <v>-4</v>
          </cell>
          <cell r="BA389">
            <v>5</v>
          </cell>
          <cell r="BE389">
            <v>-5</v>
          </cell>
          <cell r="BG389">
            <v>5</v>
          </cell>
          <cell r="BK389">
            <v>-5</v>
          </cell>
          <cell r="BM389">
            <v>3</v>
          </cell>
          <cell r="BP389">
            <v>3</v>
          </cell>
          <cell r="BW389" t="str">
            <v>Done</v>
          </cell>
          <cell r="BX389">
            <v>45079</v>
          </cell>
          <cell r="BY389" t="str">
            <v>Approved</v>
          </cell>
          <cell r="CD389">
            <v>45163</v>
          </cell>
          <cell r="CE389">
            <v>45177</v>
          </cell>
          <cell r="CG389" t="str">
            <v>M/s. STAR SOLUTIONS</v>
          </cell>
          <cell r="CI389" t="str">
            <v>Issued</v>
          </cell>
          <cell r="DG389" t="str">
            <v>Netmed SDP - Not in Dead Rental</v>
          </cell>
          <cell r="DK389">
            <v>45202</v>
          </cell>
          <cell r="DM389">
            <v>2</v>
          </cell>
          <cell r="DN389" t="str">
            <v>0 to 3 Days</v>
          </cell>
          <cell r="DP389">
            <v>45180</v>
          </cell>
          <cell r="DQ389">
            <v>45204</v>
          </cell>
          <cell r="DR389">
            <v>7</v>
          </cell>
          <cell r="DS389">
            <v>7</v>
          </cell>
          <cell r="DU389">
            <v>45211</v>
          </cell>
          <cell r="DV389">
            <v>45187</v>
          </cell>
          <cell r="DW389">
            <v>45211</v>
          </cell>
          <cell r="DX389" t="str">
            <v>Oct 23 Week 2</v>
          </cell>
          <cell r="DZ389">
            <v>45208</v>
          </cell>
          <cell r="EA389" t="str">
            <v>Oct 23 Week 2</v>
          </cell>
          <cell r="EB389" t="str">
            <v>Plan</v>
          </cell>
          <cell r="ED389" t="str">
            <v/>
          </cell>
          <cell r="EE389" t="str">
            <v/>
          </cell>
          <cell r="EF389">
            <v>1</v>
          </cell>
          <cell r="EG389">
            <v>1</v>
          </cell>
          <cell r="FD389">
            <v>-3</v>
          </cell>
          <cell r="FE389" t="str">
            <v>On Time</v>
          </cell>
          <cell r="FF389">
            <v>21</v>
          </cell>
          <cell r="FG389" t="str">
            <v>16 to 31 Days</v>
          </cell>
          <cell r="FH389" t="str">
            <v>Done</v>
          </cell>
          <cell r="FI389" t="str">
            <v>Done</v>
          </cell>
          <cell r="FJ389" t="str">
            <v>NA</v>
          </cell>
          <cell r="FK389">
            <v>45210</v>
          </cell>
          <cell r="FM389" t="str">
            <v/>
          </cell>
          <cell r="GA389">
            <v>45265</v>
          </cell>
          <cell r="GC389">
            <v>45204</v>
          </cell>
          <cell r="GG389" t="str">
            <v>2023-2024</v>
          </cell>
        </row>
        <row r="390">
          <cell r="E390" t="str">
            <v>Mannat Tower Landran  , Chunni Kalna Mohali , Fatehgarh Road Opp Sbi Bank  , chunni kalan , 140307</v>
          </cell>
          <cell r="F390" t="str">
            <v>9. EPC Ready</v>
          </cell>
          <cell r="G390" t="str">
            <v>SPPBMOM3950</v>
          </cell>
          <cell r="H390" t="str">
            <v>PB-SM-CAI-3000</v>
          </cell>
          <cell r="I390" t="str">
            <v>TYVP</v>
          </cell>
          <cell r="J390" t="str">
            <v>QB3T</v>
          </cell>
          <cell r="K390" t="str">
            <v xml:space="preserve">N </v>
          </cell>
          <cell r="L390" t="str">
            <v>KC</v>
          </cell>
          <cell r="M390" t="str">
            <v>EPC Ready</v>
          </cell>
          <cell r="Q390" t="str">
            <v>Gaurav Shinde</v>
          </cell>
          <cell r="S390" t="str">
            <v>Punjab</v>
          </cell>
          <cell r="T390" t="str">
            <v>Chunni Kalna</v>
          </cell>
          <cell r="U390" t="str">
            <v>Non Premium</v>
          </cell>
          <cell r="V390" t="str">
            <v>Pharma Format</v>
          </cell>
          <cell r="W390">
            <v>400</v>
          </cell>
          <cell r="X390" t="str">
            <v>Mannat Tower Landran  , Chunni Kalna Mohali , Fatehgarh Road Opp Sbi Bank  , chunni kalan , 140307</v>
          </cell>
          <cell r="Y390">
            <v>45166</v>
          </cell>
          <cell r="Z390" t="str">
            <v>NA</v>
          </cell>
          <cell r="AB390" t="str">
            <v>NA</v>
          </cell>
          <cell r="AF390" t="str">
            <v>NA</v>
          </cell>
          <cell r="AK390">
            <v>45203</v>
          </cell>
          <cell r="AL390" t="str">
            <v>Received</v>
          </cell>
          <cell r="AO390">
            <v>3</v>
          </cell>
          <cell r="AS390">
            <v>-3</v>
          </cell>
          <cell r="AU390">
            <v>4</v>
          </cell>
          <cell r="AY390">
            <v>-4</v>
          </cell>
          <cell r="BA390">
            <v>5</v>
          </cell>
          <cell r="BE390">
            <v>-5</v>
          </cell>
          <cell r="BG390">
            <v>5</v>
          </cell>
          <cell r="BK390">
            <v>-5</v>
          </cell>
          <cell r="BM390">
            <v>3</v>
          </cell>
          <cell r="BP390">
            <v>3</v>
          </cell>
          <cell r="BW390" t="str">
            <v>Done</v>
          </cell>
          <cell r="BX390">
            <v>45079</v>
          </cell>
          <cell r="BY390" t="str">
            <v>Approved</v>
          </cell>
          <cell r="CD390">
            <v>45163</v>
          </cell>
          <cell r="CE390">
            <v>45203</v>
          </cell>
          <cell r="CG390" t="str">
            <v>M/s     Brickwood global infracon Pvt. Ltd</v>
          </cell>
          <cell r="CI390" t="str">
            <v>Issued</v>
          </cell>
          <cell r="DG390" t="str">
            <v>Netmed SDP - Not in Dead Rental</v>
          </cell>
          <cell r="DK390">
            <v>45217</v>
          </cell>
          <cell r="DL390">
            <v>45204</v>
          </cell>
          <cell r="DM390">
            <v>2</v>
          </cell>
          <cell r="DN390" t="str">
            <v>0 to 3 Days</v>
          </cell>
          <cell r="DP390">
            <v>45206</v>
          </cell>
          <cell r="DQ390">
            <v>45219</v>
          </cell>
          <cell r="DR390">
            <v>7</v>
          </cell>
          <cell r="DS390">
            <v>7</v>
          </cell>
          <cell r="DU390">
            <v>45226</v>
          </cell>
          <cell r="DV390">
            <v>45213</v>
          </cell>
          <cell r="DW390">
            <v>45226</v>
          </cell>
          <cell r="DX390" t="str">
            <v>Oct 23 Week 4</v>
          </cell>
          <cell r="DZ390">
            <v>45229</v>
          </cell>
          <cell r="EA390" t="str">
            <v>Oct 23 Week 5</v>
          </cell>
          <cell r="EB390" t="str">
            <v>Backlog</v>
          </cell>
          <cell r="ED390" t="str">
            <v/>
          </cell>
          <cell r="EE390" t="str">
            <v/>
          </cell>
          <cell r="EF390">
            <v>1</v>
          </cell>
          <cell r="EG390">
            <v>1</v>
          </cell>
          <cell r="FD390">
            <v>3</v>
          </cell>
          <cell r="FE390" t="str">
            <v>0 to 3 Days</v>
          </cell>
          <cell r="FF390">
            <v>16</v>
          </cell>
          <cell r="FG390" t="str">
            <v>16 to 31 Days</v>
          </cell>
          <cell r="FH390" t="str">
            <v>Done</v>
          </cell>
          <cell r="FI390" t="str">
            <v>Done</v>
          </cell>
          <cell r="FJ390" t="str">
            <v>NA</v>
          </cell>
          <cell r="FK390">
            <v>45306</v>
          </cell>
          <cell r="FM390" t="str">
            <v/>
          </cell>
          <cell r="GA390">
            <v>45276</v>
          </cell>
          <cell r="GC390">
            <v>45219</v>
          </cell>
          <cell r="GG390" t="str">
            <v>2023-2024</v>
          </cell>
        </row>
        <row r="391">
          <cell r="E391" t="str">
            <v>GF Reliance SmartPoint Velan Complex  , Dist Coimbatore , Vellalore-Podanur Road POVellalore  , VELLORE , 641111</v>
          </cell>
          <cell r="F391" t="str">
            <v>9. EPC Ready</v>
          </cell>
          <cell r="G391" t="str">
            <v>SPTNVEV4225</v>
          </cell>
          <cell r="H391" t="str">
            <v>TN-SM-VEL-3001</v>
          </cell>
          <cell r="I391" t="str">
            <v>TWOG</v>
          </cell>
          <cell r="J391" t="str">
            <v>Q6A6</v>
          </cell>
          <cell r="K391" t="str">
            <v>S</v>
          </cell>
          <cell r="L391" t="str">
            <v>AK</v>
          </cell>
          <cell r="M391" t="str">
            <v>EPC Ready</v>
          </cell>
          <cell r="N391" t="str">
            <v>N Kalyankumar</v>
          </cell>
          <cell r="O391" t="str">
            <v>Muthuvelu Minnal /
Vijayakumar Muthusamy</v>
          </cell>
          <cell r="Q391" t="str">
            <v>Gaurav Shinde</v>
          </cell>
          <cell r="S391" t="str">
            <v>Tamil Nadu</v>
          </cell>
          <cell r="T391" t="str">
            <v>Coimbatore</v>
          </cell>
          <cell r="U391" t="str">
            <v>Non Premium</v>
          </cell>
          <cell r="V391" t="str">
            <v>Pharma Format</v>
          </cell>
          <cell r="W391">
            <v>400</v>
          </cell>
          <cell r="X391" t="str">
            <v>GF Reliance SmartPoint Velan Complex  , Dist Coimbatore , Vellalore-Podanur Road POVellalore  , VELLORE , 641111</v>
          </cell>
          <cell r="Y391">
            <v>45167</v>
          </cell>
          <cell r="Z391" t="str">
            <v>NA</v>
          </cell>
          <cell r="AB391" t="str">
            <v>NA</v>
          </cell>
          <cell r="AF391" t="str">
            <v>NA</v>
          </cell>
          <cell r="AK391">
            <v>45162</v>
          </cell>
          <cell r="AL391" t="str">
            <v>Received</v>
          </cell>
          <cell r="AO391">
            <v>3</v>
          </cell>
          <cell r="AS391">
            <v>-3</v>
          </cell>
          <cell r="AU391">
            <v>4</v>
          </cell>
          <cell r="AY391">
            <v>-4</v>
          </cell>
          <cell r="BA391">
            <v>5</v>
          </cell>
          <cell r="BE391">
            <v>-5</v>
          </cell>
          <cell r="BG391">
            <v>5</v>
          </cell>
          <cell r="BK391">
            <v>-5</v>
          </cell>
          <cell r="BM391">
            <v>3</v>
          </cell>
          <cell r="BP391">
            <v>3</v>
          </cell>
          <cell r="BW391" t="str">
            <v>Done</v>
          </cell>
          <cell r="BX391">
            <v>45079</v>
          </cell>
          <cell r="BY391" t="str">
            <v>Approved</v>
          </cell>
          <cell r="CD391">
            <v>45163</v>
          </cell>
          <cell r="CE391">
            <v>45196</v>
          </cell>
          <cell r="CG391" t="str">
            <v>M/s Prayagaa Enterprises Pvt Ltd,.</v>
          </cell>
          <cell r="CI391" t="str">
            <v>Issued</v>
          </cell>
          <cell r="DG391" t="str">
            <v>Netmed SDP - Not in Dead Rental</v>
          </cell>
          <cell r="DK391">
            <v>45213</v>
          </cell>
          <cell r="DL391">
            <v>45169</v>
          </cell>
          <cell r="DM391">
            <v>2</v>
          </cell>
          <cell r="DN391" t="str">
            <v>0 to 3 Days</v>
          </cell>
          <cell r="DP391">
            <v>45199</v>
          </cell>
          <cell r="DQ391">
            <v>45215</v>
          </cell>
          <cell r="DR391">
            <v>7</v>
          </cell>
          <cell r="DS391">
            <v>7</v>
          </cell>
          <cell r="DU391">
            <v>45222</v>
          </cell>
          <cell r="DV391">
            <v>45206</v>
          </cell>
          <cell r="DW391">
            <v>45222</v>
          </cell>
          <cell r="DX391" t="str">
            <v>Oct 23 Week 4</v>
          </cell>
          <cell r="DZ391">
            <v>45238</v>
          </cell>
          <cell r="EA391" t="str">
            <v>Nov 23 Week 2</v>
          </cell>
          <cell r="EB391" t="str">
            <v>Backlog</v>
          </cell>
          <cell r="ED391" t="str">
            <v/>
          </cell>
          <cell r="EE391" t="str">
            <v/>
          </cell>
          <cell r="EF391">
            <v>1</v>
          </cell>
          <cell r="EG391">
            <v>1</v>
          </cell>
          <cell r="FD391">
            <v>16</v>
          </cell>
          <cell r="FE391" t="str">
            <v>16 to 31 Days</v>
          </cell>
          <cell r="FF391">
            <v>32</v>
          </cell>
          <cell r="FG391" t="str">
            <v>31 to 61 Days</v>
          </cell>
          <cell r="FH391" t="str">
            <v>Done</v>
          </cell>
          <cell r="FI391" t="str">
            <v>Done</v>
          </cell>
          <cell r="FJ391" t="str">
            <v>NA</v>
          </cell>
          <cell r="FK391">
            <v>45272</v>
          </cell>
          <cell r="FM391" t="str">
            <v/>
          </cell>
          <cell r="GA391">
            <v>45269</v>
          </cell>
          <cell r="GC391">
            <v>45215</v>
          </cell>
          <cell r="GG391" t="str">
            <v>2023-2024</v>
          </cell>
        </row>
        <row r="392">
          <cell r="E392" t="str">
            <v>Rout Complex At Po Kalyani Nagr Near Sbi  , Dist Cuttack Odisha , Kalyani Nagar Branch Po Ps Madhupatna  , CUTTACK , 753013</v>
          </cell>
          <cell r="F392" t="str">
            <v>9. EPC Ready</v>
          </cell>
          <cell r="G392" t="str">
            <v>SPORCUK3904</v>
          </cell>
          <cell r="H392" t="str">
            <v>OR-SM-CUT-3005</v>
          </cell>
          <cell r="I392" t="str">
            <v>TYGF</v>
          </cell>
          <cell r="J392" t="str">
            <v>QBMH</v>
          </cell>
          <cell r="K392" t="str">
            <v xml:space="preserve">E </v>
          </cell>
          <cell r="L392" t="str">
            <v>JD</v>
          </cell>
          <cell r="M392" t="str">
            <v>EPC Ready</v>
          </cell>
          <cell r="N392" t="str">
            <v>Jaisingh Desai</v>
          </cell>
          <cell r="Q392" t="str">
            <v>Gaurav Shinde</v>
          </cell>
          <cell r="S392" t="str">
            <v>ODISHA</v>
          </cell>
          <cell r="T392" t="str">
            <v>Cuttack</v>
          </cell>
          <cell r="U392" t="str">
            <v>Non Premium</v>
          </cell>
          <cell r="V392" t="str">
            <v>Pharma Format</v>
          </cell>
          <cell r="W392">
            <v>400</v>
          </cell>
          <cell r="X392" t="str">
            <v>Rout Complex At Po Kalyani Nagr Near Sbi  , Dist Cuttack Odisha , Kalyani Nagar Branch Po Ps Madhupatna  , CUTTACK , 753013</v>
          </cell>
          <cell r="Y392">
            <v>45159</v>
          </cell>
          <cell r="Z392" t="str">
            <v>NA</v>
          </cell>
          <cell r="AB392" t="str">
            <v>NA</v>
          </cell>
          <cell r="AF392" t="str">
            <v>NA</v>
          </cell>
          <cell r="AK392">
            <v>45182</v>
          </cell>
          <cell r="AL392" t="str">
            <v>Received</v>
          </cell>
          <cell r="AO392">
            <v>3</v>
          </cell>
          <cell r="AS392">
            <v>-3</v>
          </cell>
          <cell r="AU392">
            <v>4</v>
          </cell>
          <cell r="AY392">
            <v>-4</v>
          </cell>
          <cell r="BA392">
            <v>5</v>
          </cell>
          <cell r="BE392">
            <v>-5</v>
          </cell>
          <cell r="BG392">
            <v>5</v>
          </cell>
          <cell r="BK392">
            <v>-5</v>
          </cell>
          <cell r="BM392">
            <v>3</v>
          </cell>
          <cell r="BP392">
            <v>3</v>
          </cell>
          <cell r="BW392" t="str">
            <v>Done</v>
          </cell>
          <cell r="BX392">
            <v>45079</v>
          </cell>
          <cell r="BY392" t="str">
            <v>Approved</v>
          </cell>
          <cell r="CD392">
            <v>45162</v>
          </cell>
          <cell r="CE392">
            <v>45168</v>
          </cell>
          <cell r="CG392" t="str">
            <v>M/s Chhatoi Brothers</v>
          </cell>
          <cell r="CI392" t="str">
            <v>Issued</v>
          </cell>
          <cell r="DG392" t="str">
            <v>Netmed SDP - Not in Dead Rental</v>
          </cell>
          <cell r="DK392">
            <v>45211</v>
          </cell>
          <cell r="DL392">
            <v>45196</v>
          </cell>
          <cell r="DM392">
            <v>2</v>
          </cell>
          <cell r="DN392" t="str">
            <v>0 to 3 Days</v>
          </cell>
          <cell r="DP392">
            <v>45171</v>
          </cell>
          <cell r="DQ392">
            <v>45213</v>
          </cell>
          <cell r="DR392">
            <v>7</v>
          </cell>
          <cell r="DS392">
            <v>7</v>
          </cell>
          <cell r="DU392">
            <v>45220</v>
          </cell>
          <cell r="DV392">
            <v>45178</v>
          </cell>
          <cell r="DW392">
            <v>45220</v>
          </cell>
          <cell r="DX392" t="str">
            <v>Oct 23 Week 3</v>
          </cell>
          <cell r="DZ392">
            <v>45230</v>
          </cell>
          <cell r="EA392" t="str">
            <v>Oct 23 Week 5</v>
          </cell>
          <cell r="EB392" t="str">
            <v>Backlog</v>
          </cell>
          <cell r="ED392" t="str">
            <v/>
          </cell>
          <cell r="EE392" t="str">
            <v/>
          </cell>
          <cell r="EF392">
            <v>1</v>
          </cell>
          <cell r="EG392">
            <v>1</v>
          </cell>
          <cell r="FD392">
            <v>10</v>
          </cell>
          <cell r="FE392" t="str">
            <v>8 to 15 Days</v>
          </cell>
          <cell r="FF392">
            <v>52</v>
          </cell>
          <cell r="FG392" t="str">
            <v>31 to 61 Days</v>
          </cell>
          <cell r="FH392" t="str">
            <v>Done</v>
          </cell>
          <cell r="FI392" t="str">
            <v>Done</v>
          </cell>
          <cell r="FJ392" t="str">
            <v>NA</v>
          </cell>
          <cell r="FK392">
            <v>45232</v>
          </cell>
          <cell r="FM392" t="str">
            <v/>
          </cell>
          <cell r="GA392">
            <v>45230</v>
          </cell>
          <cell r="GC392">
            <v>45213</v>
          </cell>
          <cell r="GG392" t="str">
            <v>2023-2024</v>
          </cell>
        </row>
        <row r="393">
          <cell r="E393" t="str">
            <v>GF Plot No 72/70 Khata No 183/172  , Dist - Darbhanga , Revenue Thana No 509 Katha 18 Village &amp;  , DARBHANGA , 846009</v>
          </cell>
          <cell r="F393" t="str">
            <v>9. EPC Ready</v>
          </cell>
          <cell r="G393" t="str">
            <v>SPBHDHN3783</v>
          </cell>
          <cell r="H393" t="str">
            <v>BH-SM-DAR-3005</v>
          </cell>
          <cell r="I393" t="str">
            <v>TYI2</v>
          </cell>
          <cell r="J393" t="str">
            <v>QBNR</v>
          </cell>
          <cell r="K393" t="str">
            <v xml:space="preserve">E </v>
          </cell>
          <cell r="L393" t="str">
            <v>AK</v>
          </cell>
          <cell r="M393" t="str">
            <v>EPC Ready</v>
          </cell>
          <cell r="P393" t="str">
            <v>Mr. Avinandan Kumar-6201750418</v>
          </cell>
          <cell r="Q393" t="str">
            <v>Gaurav Shinde</v>
          </cell>
          <cell r="S393" t="str">
            <v>Bihar</v>
          </cell>
          <cell r="T393" t="str">
            <v>Darbhanga</v>
          </cell>
          <cell r="U393" t="str">
            <v>Non Premium</v>
          </cell>
          <cell r="V393" t="str">
            <v>Pharma Format</v>
          </cell>
          <cell r="W393">
            <v>400</v>
          </cell>
          <cell r="X393" t="str">
            <v>GF Plot No 72/70 Khata No 183/172  , Dist - Darbhanga , Revenue Thana No 509 Katha 18 Village &amp;  , DARBHANGA , 846009</v>
          </cell>
          <cell r="Y393">
            <v>45119</v>
          </cell>
          <cell r="Z393" t="str">
            <v>NA</v>
          </cell>
          <cell r="AB393" t="str">
            <v>NA</v>
          </cell>
          <cell r="AF393" t="str">
            <v>NA</v>
          </cell>
          <cell r="AK393">
            <v>45161</v>
          </cell>
          <cell r="AL393" t="str">
            <v>Received</v>
          </cell>
          <cell r="AO393">
            <v>3</v>
          </cell>
          <cell r="AS393">
            <v>-3</v>
          </cell>
          <cell r="AU393">
            <v>4</v>
          </cell>
          <cell r="AY393">
            <v>-4</v>
          </cell>
          <cell r="BA393">
            <v>5</v>
          </cell>
          <cell r="BE393">
            <v>-5</v>
          </cell>
          <cell r="BG393">
            <v>5</v>
          </cell>
          <cell r="BK393">
            <v>-5</v>
          </cell>
          <cell r="BM393">
            <v>3</v>
          </cell>
          <cell r="BP393">
            <v>3</v>
          </cell>
          <cell r="BW393" t="str">
            <v>Done</v>
          </cell>
          <cell r="BX393">
            <v>45079</v>
          </cell>
          <cell r="BY393" t="str">
            <v>Approved</v>
          </cell>
          <cell r="CD393">
            <v>45103</v>
          </cell>
          <cell r="CE393">
            <v>45113</v>
          </cell>
          <cell r="CG393" t="str">
            <v>M/S Rahul Kumar</v>
          </cell>
          <cell r="CI393" t="str">
            <v>Issued</v>
          </cell>
          <cell r="DG393" t="str">
            <v>Netmed SDP - Not in Dead Rental</v>
          </cell>
          <cell r="DK393">
            <v>45174</v>
          </cell>
          <cell r="DL393">
            <v>45124</v>
          </cell>
          <cell r="DM393">
            <v>2</v>
          </cell>
          <cell r="DN393" t="str">
            <v>0 to 3 Days</v>
          </cell>
          <cell r="DP393">
            <v>45116</v>
          </cell>
          <cell r="DQ393">
            <v>45176</v>
          </cell>
          <cell r="DR393">
            <v>7</v>
          </cell>
          <cell r="DS393">
            <v>7</v>
          </cell>
          <cell r="DU393">
            <v>45183</v>
          </cell>
          <cell r="DV393">
            <v>45123</v>
          </cell>
          <cell r="DW393">
            <v>45183</v>
          </cell>
          <cell r="DX393" t="str">
            <v>Sep 23 Week 2</v>
          </cell>
          <cell r="DZ393">
            <v>45286</v>
          </cell>
          <cell r="EA393" t="str">
            <v>Dec 23 Week 4</v>
          </cell>
          <cell r="EB393" t="str">
            <v>Backlog</v>
          </cell>
          <cell r="ED393" t="str">
            <v/>
          </cell>
          <cell r="EE393" t="str">
            <v/>
          </cell>
          <cell r="EF393">
            <v>1</v>
          </cell>
          <cell r="EG393">
            <v>1</v>
          </cell>
          <cell r="FD393">
            <v>103</v>
          </cell>
          <cell r="FE393" t="str">
            <v>More Than 90  Days</v>
          </cell>
          <cell r="FF393">
            <v>163</v>
          </cell>
          <cell r="FG393" t="str">
            <v>More Than 90  Days</v>
          </cell>
          <cell r="FH393" t="str">
            <v>Done</v>
          </cell>
          <cell r="FI393" t="str">
            <v>Done</v>
          </cell>
          <cell r="FJ393" t="str">
            <v>NA</v>
          </cell>
          <cell r="FK393">
            <v>45293</v>
          </cell>
          <cell r="FM393" t="str">
            <v/>
          </cell>
          <cell r="GA393">
            <v>45286</v>
          </cell>
          <cell r="GC393">
            <v>45176</v>
          </cell>
          <cell r="GG393" t="str">
            <v>2023-2024</v>
          </cell>
        </row>
        <row r="394">
          <cell r="E394" t="str">
            <v>Gf H No 14 156  , Town Mandal , Huzurnagar  , NALGONDA , 508204</v>
          </cell>
          <cell r="F394" t="str">
            <v>9. EPC Ready</v>
          </cell>
          <cell r="G394" t="str">
            <v>SPTEHUH4306</v>
          </cell>
          <cell r="H394" t="str">
            <v>TG-SM-HRR-3000</v>
          </cell>
          <cell r="I394" t="str">
            <v>TYT1</v>
          </cell>
          <cell r="J394" t="str">
            <v>Q3M3</v>
          </cell>
          <cell r="K394" t="str">
            <v xml:space="preserve">E </v>
          </cell>
          <cell r="L394" t="str">
            <v>AK</v>
          </cell>
          <cell r="M394" t="str">
            <v>EPC Ready</v>
          </cell>
          <cell r="O394" t="str">
            <v>Rajshekhar M</v>
          </cell>
          <cell r="Q394" t="str">
            <v>Gaurav Shinde</v>
          </cell>
          <cell r="S394" t="str">
            <v>Telangana</v>
          </cell>
          <cell r="T394" t="str">
            <v>Huzurnagar</v>
          </cell>
          <cell r="U394" t="str">
            <v>Non Premium</v>
          </cell>
          <cell r="V394" t="str">
            <v>Pharma Format</v>
          </cell>
          <cell r="W394">
            <v>409</v>
          </cell>
          <cell r="X394" t="str">
            <v>Gf H No 14 156  , Town Mandal , Huzurnagar  , NALGONDA , 508204</v>
          </cell>
          <cell r="Y394">
            <v>45163</v>
          </cell>
          <cell r="Z394" t="str">
            <v>NA</v>
          </cell>
          <cell r="AB394" t="str">
            <v>NA</v>
          </cell>
          <cell r="AF394" t="str">
            <v>NA</v>
          </cell>
          <cell r="AK394">
            <v>45153</v>
          </cell>
          <cell r="AL394" t="str">
            <v>Received</v>
          </cell>
          <cell r="AO394">
            <v>3</v>
          </cell>
          <cell r="AS394">
            <v>-3</v>
          </cell>
          <cell r="AU394">
            <v>4</v>
          </cell>
          <cell r="AY394">
            <v>-4</v>
          </cell>
          <cell r="BA394">
            <v>5</v>
          </cell>
          <cell r="BE394">
            <v>-5</v>
          </cell>
          <cell r="BG394">
            <v>5</v>
          </cell>
          <cell r="BK394">
            <v>-5</v>
          </cell>
          <cell r="BM394">
            <v>3</v>
          </cell>
          <cell r="BP394">
            <v>3</v>
          </cell>
          <cell r="BW394" t="str">
            <v>Done</v>
          </cell>
          <cell r="BX394">
            <v>45079</v>
          </cell>
          <cell r="BY394" t="str">
            <v>Approved</v>
          </cell>
          <cell r="CD394">
            <v>45162</v>
          </cell>
          <cell r="CE394">
            <v>45173</v>
          </cell>
          <cell r="CG394" t="str">
            <v>M/s SARK CORPORATION</v>
          </cell>
          <cell r="CI394" t="str">
            <v>Issued</v>
          </cell>
          <cell r="DG394" t="str">
            <v>Netmed SDP - Not in Dead Rental</v>
          </cell>
          <cell r="DK394">
            <v>45195</v>
          </cell>
          <cell r="DL394">
            <v>45175</v>
          </cell>
          <cell r="DM394">
            <v>2</v>
          </cell>
          <cell r="DN394" t="str">
            <v>0 to 3 Days</v>
          </cell>
          <cell r="DP394">
            <v>45176</v>
          </cell>
          <cell r="DQ394">
            <v>45197</v>
          </cell>
          <cell r="DR394">
            <v>7</v>
          </cell>
          <cell r="DS394">
            <v>7</v>
          </cell>
          <cell r="DU394">
            <v>45204</v>
          </cell>
          <cell r="DV394">
            <v>45183</v>
          </cell>
          <cell r="DW394">
            <v>45204</v>
          </cell>
          <cell r="DX394" t="str">
            <v>Oct 23 Week 1</v>
          </cell>
          <cell r="DZ394">
            <v>45232</v>
          </cell>
          <cell r="EA394" t="str">
            <v>Nov 23 Week 1</v>
          </cell>
          <cell r="EB394" t="str">
            <v>Backlog</v>
          </cell>
          <cell r="ED394" t="str">
            <v/>
          </cell>
          <cell r="EE394" t="str">
            <v/>
          </cell>
          <cell r="EF394">
            <v>1</v>
          </cell>
          <cell r="EG394">
            <v>1</v>
          </cell>
          <cell r="FD394">
            <v>28</v>
          </cell>
          <cell r="FE394" t="str">
            <v>16 to 31 Days</v>
          </cell>
          <cell r="FF394">
            <v>49</v>
          </cell>
          <cell r="FG394" t="str">
            <v>31 to 61 Days</v>
          </cell>
          <cell r="FH394" t="str">
            <v>Done</v>
          </cell>
          <cell r="FI394" t="str">
            <v>Done</v>
          </cell>
          <cell r="FJ394" t="str">
            <v>NA</v>
          </cell>
          <cell r="FK394">
            <v>45240</v>
          </cell>
          <cell r="FM394" t="str">
            <v/>
          </cell>
          <cell r="GA394">
            <v>45232</v>
          </cell>
          <cell r="GC394">
            <v>45197</v>
          </cell>
          <cell r="GG394" t="str">
            <v>2023-2024</v>
          </cell>
        </row>
        <row r="395">
          <cell r="E395" t="str">
            <v>V R Complex Door No 356D  , Sivagangai , Devakottai Taluk Thirupathur Road  , DEVAKOTTAI , 630302</v>
          </cell>
          <cell r="F395" t="str">
            <v>9. EPC Ready</v>
          </cell>
          <cell r="G395" t="str">
            <v>SPTNDEV3383</v>
          </cell>
          <cell r="H395" t="str">
            <v>TN-SM-DAI-3000</v>
          </cell>
          <cell r="I395" t="str">
            <v>TZNN</v>
          </cell>
          <cell r="J395" t="str">
            <v>QC9I</v>
          </cell>
          <cell r="K395" t="str">
            <v>S</v>
          </cell>
          <cell r="L395" t="str">
            <v>AK</v>
          </cell>
          <cell r="M395" t="str">
            <v>EPC Ready Pharmacy 200 SFT</v>
          </cell>
          <cell r="N395" t="str">
            <v>N Kalyankumar</v>
          </cell>
          <cell r="O395" t="str">
            <v>Muthuvelu Minnal /
Vijayakumar Muthusamy</v>
          </cell>
          <cell r="Q395" t="str">
            <v>Gaurav Shinde</v>
          </cell>
          <cell r="S395" t="str">
            <v>Tamil Nadu</v>
          </cell>
          <cell r="T395" t="str">
            <v>Devakottai</v>
          </cell>
          <cell r="U395" t="str">
            <v>Non Premium</v>
          </cell>
          <cell r="V395" t="str">
            <v>Pharma Format</v>
          </cell>
          <cell r="W395">
            <v>200</v>
          </cell>
          <cell r="X395" t="str">
            <v>V R Complex Door No 356D  , Sivagangai , Devakottai Taluk Thirupathur Road  , DEVAKOTTAI , 630302</v>
          </cell>
          <cell r="Z395" t="str">
            <v>NA</v>
          </cell>
          <cell r="AB395" t="str">
            <v>NA</v>
          </cell>
          <cell r="AF395" t="str">
            <v>NA</v>
          </cell>
          <cell r="AL395" t="str">
            <v>Received</v>
          </cell>
          <cell r="AO395">
            <v>3</v>
          </cell>
          <cell r="AS395">
            <v>-3</v>
          </cell>
          <cell r="AU395">
            <v>4</v>
          </cell>
          <cell r="AY395">
            <v>-4</v>
          </cell>
          <cell r="BA395">
            <v>5</v>
          </cell>
          <cell r="BE395">
            <v>-5</v>
          </cell>
          <cell r="BG395">
            <v>5</v>
          </cell>
          <cell r="BK395">
            <v>-5</v>
          </cell>
          <cell r="BM395">
            <v>3</v>
          </cell>
          <cell r="BP395">
            <v>3</v>
          </cell>
          <cell r="BW395" t="str">
            <v>Done</v>
          </cell>
          <cell r="BX395">
            <v>45079</v>
          </cell>
          <cell r="BY395" t="str">
            <v>Approved</v>
          </cell>
          <cell r="DG395" t="str">
            <v>Netmed SDP - Not in Dead Rental</v>
          </cell>
          <cell r="DK395">
            <v>45205</v>
          </cell>
          <cell r="DM395">
            <v>2</v>
          </cell>
          <cell r="DN395" t="str">
            <v>0 to 3 Days</v>
          </cell>
          <cell r="DQ395">
            <v>45207</v>
          </cell>
          <cell r="DR395">
            <v>7</v>
          </cell>
          <cell r="DS395">
            <v>7</v>
          </cell>
          <cell r="DU395">
            <v>45214</v>
          </cell>
          <cell r="DV395">
            <v>7</v>
          </cell>
          <cell r="DW395">
            <v>45214</v>
          </cell>
          <cell r="DX395" t="str">
            <v>Oct 23 Week 3</v>
          </cell>
          <cell r="DZ395">
            <v>45213</v>
          </cell>
          <cell r="EA395" t="str">
            <v>Oct 23 Week 2</v>
          </cell>
          <cell r="EB395" t="str">
            <v>Plan</v>
          </cell>
          <cell r="ED395" t="str">
            <v/>
          </cell>
          <cell r="EE395" t="str">
            <v/>
          </cell>
          <cell r="EG395">
            <v>1</v>
          </cell>
          <cell r="FD395">
            <v>-1</v>
          </cell>
          <cell r="FE395" t="str">
            <v>On Time</v>
          </cell>
          <cell r="FF395">
            <v>45206</v>
          </cell>
          <cell r="FH395" t="str">
            <v>Done</v>
          </cell>
          <cell r="FI395" t="str">
            <v>Done</v>
          </cell>
          <cell r="FJ395" t="str">
            <v>NA</v>
          </cell>
          <cell r="FM395" t="str">
            <v/>
          </cell>
          <cell r="GG395" t="str">
            <v>2023-2024</v>
          </cell>
        </row>
        <row r="396">
          <cell r="E396" t="str">
            <v>GF Dhaniakhali Gram Panchayat RS Plot8 &amp;  , J.L-98  PO PS ADSRO &amp; Block-Dhaniakhali , LR Plot.123 Khatian 133/5Mouza-Chapabere , Sansad No. 28 Dist - Hooghly , Dhaniakhali , 712302</v>
          </cell>
          <cell r="F396" t="str">
            <v>9. EPC Ready</v>
          </cell>
          <cell r="G396" t="str">
            <v>SPWBDHC3848</v>
          </cell>
          <cell r="H396" t="str">
            <v>WB-SM-DNI-3000</v>
          </cell>
          <cell r="I396" t="str">
            <v>TAXF</v>
          </cell>
          <cell r="J396" t="str">
            <v>QGFW</v>
          </cell>
          <cell r="K396" t="str">
            <v xml:space="preserve">E </v>
          </cell>
          <cell r="L396" t="str">
            <v>SD</v>
          </cell>
          <cell r="M396" t="str">
            <v>EPC Ready</v>
          </cell>
          <cell r="N396" t="str">
            <v>Mahendrakumar Warma</v>
          </cell>
          <cell r="O396" t="str">
            <v xml:space="preserve">Sandeepta Gayen </v>
          </cell>
          <cell r="P396" t="str">
            <v>Sagar Neyogi-7980192700</v>
          </cell>
          <cell r="Q396" t="str">
            <v>Gaurav Shinde</v>
          </cell>
          <cell r="S396" t="str">
            <v>West Bengal</v>
          </cell>
          <cell r="T396" t="str">
            <v>Dhaniakhali</v>
          </cell>
          <cell r="U396" t="str">
            <v>Non Premium</v>
          </cell>
          <cell r="V396" t="str">
            <v>Pharma Format</v>
          </cell>
          <cell r="W396">
            <v>412</v>
          </cell>
          <cell r="X396" t="str">
            <v>GF Dhaniakhali Gram Panchayat RS Plot8 &amp;  , J.L-98  PO PS ADSRO &amp; Block-Dhaniakhali , LR Plot.123 Khatian 133/5Mouza-Chapabere , Sansad No. 28 Dist - Hooghly , Dhaniakhali , 712302</v>
          </cell>
          <cell r="Y396">
            <v>45163</v>
          </cell>
          <cell r="Z396" t="str">
            <v>NA</v>
          </cell>
          <cell r="AB396" t="str">
            <v>NA</v>
          </cell>
          <cell r="AF396" t="str">
            <v>NA</v>
          </cell>
          <cell r="AK396">
            <v>45197</v>
          </cell>
          <cell r="AL396" t="str">
            <v>Received</v>
          </cell>
          <cell r="AO396">
            <v>3</v>
          </cell>
          <cell r="AS396">
            <v>-3</v>
          </cell>
          <cell r="AU396">
            <v>4</v>
          </cell>
          <cell r="AY396">
            <v>-4</v>
          </cell>
          <cell r="BA396">
            <v>5</v>
          </cell>
          <cell r="BE396">
            <v>-5</v>
          </cell>
          <cell r="BG396">
            <v>5</v>
          </cell>
          <cell r="BK396">
            <v>-5</v>
          </cell>
          <cell r="BM396">
            <v>3</v>
          </cell>
          <cell r="BP396">
            <v>3</v>
          </cell>
          <cell r="BW396" t="str">
            <v>Done</v>
          </cell>
          <cell r="BX396">
            <v>45079</v>
          </cell>
          <cell r="BY396" t="str">
            <v>Approved</v>
          </cell>
          <cell r="CD396">
            <v>45162</v>
          </cell>
          <cell r="CE396">
            <v>45196</v>
          </cell>
          <cell r="CG396" t="str">
            <v>M/s. PRAYASH INFRASTRUCTURE ENTERPRISE</v>
          </cell>
          <cell r="CI396" t="str">
            <v>Issued</v>
          </cell>
          <cell r="DG396" t="str">
            <v>Netmed SDP - Not in Dead Rental</v>
          </cell>
          <cell r="DM396" t="str">
            <v>NA</v>
          </cell>
          <cell r="DN396" t="str">
            <v>NA</v>
          </cell>
          <cell r="DO396" t="str">
            <v>4) LOA Issued ML Pending</v>
          </cell>
          <cell r="DP396">
            <v>45334</v>
          </cell>
          <cell r="DQ396">
            <v>45337</v>
          </cell>
          <cell r="DR396">
            <v>7</v>
          </cell>
          <cell r="DS396">
            <v>7</v>
          </cell>
          <cell r="DU396">
            <v>45344</v>
          </cell>
          <cell r="DV396">
            <v>45341</v>
          </cell>
          <cell r="DW396">
            <v>45344</v>
          </cell>
          <cell r="DX396" t="str">
            <v>Feb 24 Week 4</v>
          </cell>
          <cell r="DZ396">
            <v>45344</v>
          </cell>
          <cell r="EA396" t="str">
            <v>Feb 24 Week 4</v>
          </cell>
          <cell r="EB396" t="str">
            <v>Backlog</v>
          </cell>
          <cell r="ED396" t="str">
            <v/>
          </cell>
          <cell r="EE396" t="str">
            <v/>
          </cell>
          <cell r="FD396">
            <v>0</v>
          </cell>
          <cell r="FE396" t="str">
            <v>On Time</v>
          </cell>
          <cell r="FF396">
            <v>3</v>
          </cell>
          <cell r="FG396" t="str">
            <v>0 to 3 Days</v>
          </cell>
          <cell r="FH396" t="str">
            <v>Done</v>
          </cell>
          <cell r="FI396" t="str">
            <v>Done</v>
          </cell>
          <cell r="FJ396" t="str">
            <v>NA</v>
          </cell>
          <cell r="FK396">
            <v>45358</v>
          </cell>
          <cell r="FM396" t="str">
            <v/>
          </cell>
          <cell r="GC396">
            <v>45337</v>
          </cell>
          <cell r="GG396" t="str">
            <v>2023-2024</v>
          </cell>
        </row>
        <row r="397">
          <cell r="E397" t="str">
            <v>President Market Barnala Road  , Dhanaula Barnala , Near Sbi Bank  , DHANAULA , 148105</v>
          </cell>
          <cell r="F397" t="str">
            <v>9. EPC Ready</v>
          </cell>
          <cell r="G397" t="str">
            <v>SPPBBAB3958</v>
          </cell>
          <cell r="H397" t="str">
            <v>PB-SM-DNA-3000</v>
          </cell>
          <cell r="I397" t="str">
            <v>TAC4</v>
          </cell>
          <cell r="J397" t="str">
            <v>QGGS</v>
          </cell>
          <cell r="K397" t="str">
            <v xml:space="preserve">N </v>
          </cell>
          <cell r="L397" t="str">
            <v>KC</v>
          </cell>
          <cell r="M397" t="str">
            <v>EPC Ready Pharmacy 200 SFT</v>
          </cell>
          <cell r="Q397" t="str">
            <v>Gaurav Shinde</v>
          </cell>
          <cell r="S397" t="str">
            <v>Punjab</v>
          </cell>
          <cell r="T397" t="str">
            <v xml:space="preserve">Dhnaula </v>
          </cell>
          <cell r="U397" t="str">
            <v>Non Premium</v>
          </cell>
          <cell r="V397" t="str">
            <v>Pharma Format</v>
          </cell>
          <cell r="W397">
            <v>200</v>
          </cell>
          <cell r="X397" t="str">
            <v>President Market Barnala Road  , Dhanaula Barnala , Near Sbi Bank  , DHANAULA , 148105</v>
          </cell>
          <cell r="Y397">
            <v>45125</v>
          </cell>
          <cell r="Z397" t="str">
            <v>NA</v>
          </cell>
          <cell r="AB397" t="str">
            <v>NA</v>
          </cell>
          <cell r="AF397" t="str">
            <v>NA</v>
          </cell>
          <cell r="AK397">
            <v>45191</v>
          </cell>
          <cell r="AL397" t="str">
            <v>Received</v>
          </cell>
          <cell r="AO397">
            <v>3</v>
          </cell>
          <cell r="AS397">
            <v>-3</v>
          </cell>
          <cell r="AU397">
            <v>4</v>
          </cell>
          <cell r="AY397">
            <v>-4</v>
          </cell>
          <cell r="BA397">
            <v>5</v>
          </cell>
          <cell r="BE397">
            <v>-5</v>
          </cell>
          <cell r="BG397">
            <v>5</v>
          </cell>
          <cell r="BK397">
            <v>-5</v>
          </cell>
          <cell r="BM397">
            <v>3</v>
          </cell>
          <cell r="BP397">
            <v>3</v>
          </cell>
          <cell r="BW397" t="str">
            <v>Done</v>
          </cell>
          <cell r="BX397">
            <v>45079</v>
          </cell>
          <cell r="BY397" t="str">
            <v>Approved</v>
          </cell>
          <cell r="CD397">
            <v>45126</v>
          </cell>
          <cell r="CE397">
            <v>45163</v>
          </cell>
          <cell r="CG397" t="str">
            <v xml:space="preserve">M/s     PREFER RACK ENGINEERS </v>
          </cell>
          <cell r="CI397" t="str">
            <v>Issued</v>
          </cell>
          <cell r="DG397" t="str">
            <v>Netmed SDP - Not in Dead Rental</v>
          </cell>
          <cell r="DK397">
            <v>45205</v>
          </cell>
          <cell r="DM397">
            <v>2</v>
          </cell>
          <cell r="DN397" t="str">
            <v>0 to 3 Days</v>
          </cell>
          <cell r="DP397">
            <v>45166</v>
          </cell>
          <cell r="DQ397">
            <v>45207</v>
          </cell>
          <cell r="DR397">
            <v>7</v>
          </cell>
          <cell r="DS397">
            <v>7</v>
          </cell>
          <cell r="DU397">
            <v>45214</v>
          </cell>
          <cell r="DV397">
            <v>45173</v>
          </cell>
          <cell r="DW397">
            <v>45214</v>
          </cell>
          <cell r="DX397" t="str">
            <v>Oct 23 Week 3</v>
          </cell>
          <cell r="DZ397">
            <v>45218</v>
          </cell>
          <cell r="EA397" t="str">
            <v>Oct 23 Week 3</v>
          </cell>
          <cell r="EB397" t="str">
            <v>Backlog</v>
          </cell>
          <cell r="ED397" t="str">
            <v/>
          </cell>
          <cell r="EE397" t="str">
            <v/>
          </cell>
          <cell r="EG397">
            <v>1</v>
          </cell>
          <cell r="FD397">
            <v>4</v>
          </cell>
          <cell r="FE397" t="str">
            <v>4 to 7 Days</v>
          </cell>
          <cell r="FF397">
            <v>45</v>
          </cell>
          <cell r="FG397" t="str">
            <v>31 to 61 Days</v>
          </cell>
          <cell r="FH397" t="str">
            <v>Done</v>
          </cell>
          <cell r="FI397" t="str">
            <v>Done</v>
          </cell>
          <cell r="FJ397" t="str">
            <v>NA</v>
          </cell>
          <cell r="FM397" t="str">
            <v/>
          </cell>
          <cell r="GG397" t="str">
            <v>2023-2024</v>
          </cell>
        </row>
        <row r="398">
          <cell r="E398" t="str">
            <v>Crystal Arcade GF Near Reliance  , Road Dhoraji , Trends Opp Tali Hospital Junagadh  , DHORAJI , 360410</v>
          </cell>
          <cell r="F398" t="str">
            <v>9. EPC Ready</v>
          </cell>
          <cell r="G398" t="str">
            <v>SPGJDHD3330</v>
          </cell>
          <cell r="H398" t="str">
            <v>GJ-SM-DHO-3000</v>
          </cell>
          <cell r="I398" t="str">
            <v>TYMR</v>
          </cell>
          <cell r="J398" t="str">
            <v>QBTC</v>
          </cell>
          <cell r="K398" t="str">
            <v>W</v>
          </cell>
          <cell r="L398" t="str">
            <v>KC</v>
          </cell>
          <cell r="M398" t="str">
            <v>EPC Ready Pharmacy 200 SFT</v>
          </cell>
          <cell r="Q398" t="str">
            <v>Gaurav Shinde</v>
          </cell>
          <cell r="S398" t="str">
            <v>Gujarat</v>
          </cell>
          <cell r="T398" t="str">
            <v>Dhoraji</v>
          </cell>
          <cell r="U398" t="str">
            <v>Non Premium</v>
          </cell>
          <cell r="V398" t="str">
            <v>Pharma Format</v>
          </cell>
          <cell r="W398">
            <v>200</v>
          </cell>
          <cell r="X398" t="str">
            <v>Crystal Arcade GF Near Reliance  , Road Dhoraji , Trends Opp Tali Hospital Junagadh  , DHORAJI , 360410</v>
          </cell>
          <cell r="Z398" t="str">
            <v>NA</v>
          </cell>
          <cell r="AB398" t="str">
            <v>NA</v>
          </cell>
          <cell r="AF398" t="str">
            <v>NA</v>
          </cell>
          <cell r="AK398">
            <v>45153</v>
          </cell>
          <cell r="AL398" t="str">
            <v>Received</v>
          </cell>
          <cell r="AO398">
            <v>3</v>
          </cell>
          <cell r="AS398">
            <v>-3</v>
          </cell>
          <cell r="AU398">
            <v>4</v>
          </cell>
          <cell r="AY398">
            <v>-4</v>
          </cell>
          <cell r="BA398">
            <v>5</v>
          </cell>
          <cell r="BE398">
            <v>-5</v>
          </cell>
          <cell r="BG398">
            <v>5</v>
          </cell>
          <cell r="BK398">
            <v>-5</v>
          </cell>
          <cell r="BM398">
            <v>3</v>
          </cell>
          <cell r="BP398">
            <v>3</v>
          </cell>
          <cell r="BW398" t="str">
            <v>Done</v>
          </cell>
          <cell r="BX398">
            <v>45079</v>
          </cell>
          <cell r="BY398" t="str">
            <v>Approved</v>
          </cell>
          <cell r="DG398" t="str">
            <v>Netmed SDP - Not in Dead Rental</v>
          </cell>
          <cell r="DK398">
            <v>45205</v>
          </cell>
          <cell r="DM398">
            <v>2</v>
          </cell>
          <cell r="DN398" t="str">
            <v>0 to 3 Days</v>
          </cell>
          <cell r="DQ398">
            <v>45207</v>
          </cell>
          <cell r="DR398">
            <v>7</v>
          </cell>
          <cell r="DS398">
            <v>7</v>
          </cell>
          <cell r="DU398">
            <v>45214</v>
          </cell>
          <cell r="DV398">
            <v>7</v>
          </cell>
          <cell r="DW398">
            <v>45214</v>
          </cell>
          <cell r="DX398" t="str">
            <v>Oct 23 Week 3</v>
          </cell>
          <cell r="DZ398">
            <v>45215</v>
          </cell>
          <cell r="EA398" t="str">
            <v>Oct 23 Week 3</v>
          </cell>
          <cell r="EB398" t="str">
            <v>Backlog</v>
          </cell>
          <cell r="ED398" t="str">
            <v/>
          </cell>
          <cell r="EE398" t="str">
            <v/>
          </cell>
          <cell r="EG398">
            <v>1</v>
          </cell>
          <cell r="FD398">
            <v>1</v>
          </cell>
          <cell r="FE398" t="str">
            <v>0 to 3 Days</v>
          </cell>
          <cell r="FF398">
            <v>45208</v>
          </cell>
          <cell r="FH398" t="str">
            <v>Done</v>
          </cell>
          <cell r="FI398" t="str">
            <v>Done</v>
          </cell>
          <cell r="FJ398" t="str">
            <v>NA</v>
          </cell>
          <cell r="FM398" t="str">
            <v/>
          </cell>
          <cell r="GG398" t="str">
            <v>2023-2024</v>
          </cell>
        </row>
        <row r="399">
          <cell r="E399" t="str">
            <v>GF Hukuta Gaon Mouza  , Circle Duliajan Dist Dibrugarh , Tipling Tengakhat Revenue  , DULIAJAN , 786602</v>
          </cell>
          <cell r="F399" t="str">
            <v>11. HOLD</v>
          </cell>
          <cell r="G399" t="str">
            <v>PHCOSD10500</v>
          </cell>
          <cell r="H399" t="str">
            <v>WB-SM-DLJ-3001</v>
          </cell>
          <cell r="I399" t="str">
            <v>TYZQ</v>
          </cell>
          <cell r="J399" t="str">
            <v>QB7S</v>
          </cell>
          <cell r="K399" t="str">
            <v xml:space="preserve">E </v>
          </cell>
          <cell r="L399" t="str">
            <v>SD</v>
          </cell>
          <cell r="M399" t="str">
            <v>HOLD</v>
          </cell>
          <cell r="N399" t="str">
            <v>Mahendrakumar Warma</v>
          </cell>
          <cell r="O399" t="str">
            <v>Anup das (EXCEPT SIKKIM)</v>
          </cell>
          <cell r="Q399" t="str">
            <v>Gaurav Shinde</v>
          </cell>
          <cell r="S399" t="str">
            <v>Assam</v>
          </cell>
          <cell r="T399" t="str">
            <v>DHULIAJAN</v>
          </cell>
          <cell r="U399" t="str">
            <v>Non Premium</v>
          </cell>
          <cell r="V399" t="str">
            <v>Pharma Format</v>
          </cell>
          <cell r="W399">
            <v>401</v>
          </cell>
          <cell r="X399" t="str">
            <v>GF Hukuta Gaon Mouza  , Circle Duliajan Dist Dibrugarh , Tipling Tengakhat Revenue  , DULIAJAN , 786602</v>
          </cell>
          <cell r="Y399">
            <v>45229</v>
          </cell>
          <cell r="Z399" t="str">
            <v>NA</v>
          </cell>
          <cell r="AB399" t="str">
            <v>NA</v>
          </cell>
          <cell r="AF399" t="str">
            <v>NA</v>
          </cell>
          <cell r="AK399">
            <v>45174</v>
          </cell>
          <cell r="AL399" t="str">
            <v>Received</v>
          </cell>
          <cell r="AO399">
            <v>3</v>
          </cell>
          <cell r="AS399">
            <v>-3</v>
          </cell>
          <cell r="AU399">
            <v>4</v>
          </cell>
          <cell r="AY399">
            <v>-4</v>
          </cell>
          <cell r="BA399">
            <v>5</v>
          </cell>
          <cell r="BE399">
            <v>-5</v>
          </cell>
          <cell r="BG399">
            <v>5</v>
          </cell>
          <cell r="BK399">
            <v>-5</v>
          </cell>
          <cell r="BM399">
            <v>3</v>
          </cell>
          <cell r="BP399">
            <v>3</v>
          </cell>
          <cell r="BW399" t="str">
            <v>Done</v>
          </cell>
          <cell r="BX399">
            <v>45079</v>
          </cell>
          <cell r="BY399" t="str">
            <v>Approved</v>
          </cell>
          <cell r="CD399">
            <v>45163</v>
          </cell>
          <cell r="CE399">
            <v>45212</v>
          </cell>
          <cell r="CG399" t="str">
            <v>M/s. STAR SOLUTIONS</v>
          </cell>
          <cell r="DG399" t="str">
            <v>Netmed SDP - Not in Dead Rental</v>
          </cell>
          <cell r="DL399">
            <v>45229</v>
          </cell>
          <cell r="DM399" t="str">
            <v>NA</v>
          </cell>
          <cell r="DN399" t="str">
            <v>NA</v>
          </cell>
          <cell r="DR399">
            <v>7</v>
          </cell>
          <cell r="DS399">
            <v>7</v>
          </cell>
          <cell r="DU399">
            <v>7</v>
          </cell>
          <cell r="DV399">
            <v>7</v>
          </cell>
          <cell r="DW399">
            <v>7</v>
          </cell>
          <cell r="EA399" t="str">
            <v/>
          </cell>
          <cell r="ED399" t="str">
            <v/>
          </cell>
          <cell r="EE399" t="str">
            <v/>
          </cell>
          <cell r="FD399">
            <v>46114</v>
          </cell>
          <cell r="FF399">
            <v>46114</v>
          </cell>
          <cell r="FJ399" t="str">
            <v>NA</v>
          </cell>
          <cell r="FM399" t="str">
            <v/>
          </cell>
          <cell r="GG399" t="str">
            <v>2026-2027</v>
          </cell>
        </row>
        <row r="400">
          <cell r="E400" t="str">
            <v>A K Market Complex  , Jagatsinghpur , At Po Balikuda Tahasil Squer  , BALIKUDA , 753108</v>
          </cell>
          <cell r="F400" t="str">
            <v>9. EPC Ready</v>
          </cell>
          <cell r="G400" t="str">
            <v>SPORBAT3803</v>
          </cell>
          <cell r="H400" t="str">
            <v>OR-SM-BLK-3000</v>
          </cell>
          <cell r="I400" t="str">
            <v>T0C8</v>
          </cell>
          <cell r="J400" t="str">
            <v>Q2MC</v>
          </cell>
          <cell r="K400" t="str">
            <v xml:space="preserve">E </v>
          </cell>
          <cell r="L400" t="str">
            <v>JD</v>
          </cell>
          <cell r="M400" t="str">
            <v>EPC Ready</v>
          </cell>
          <cell r="N400" t="str">
            <v>Jaisingh Desai</v>
          </cell>
          <cell r="P400" t="str">
            <v>Sanjay Ghosh-6302403813</v>
          </cell>
          <cell r="Q400" t="str">
            <v>Gaurav Shinde</v>
          </cell>
          <cell r="S400" t="str">
            <v>ODISHA</v>
          </cell>
          <cell r="T400" t="str">
            <v>Jagatsinghpur</v>
          </cell>
          <cell r="U400" t="str">
            <v>Non Premium</v>
          </cell>
          <cell r="V400" t="str">
            <v>Pharma Format</v>
          </cell>
          <cell r="W400">
            <v>400</v>
          </cell>
          <cell r="X400" t="str">
            <v>A K Market Complex  , Jagatsinghpur , At Po Balikuda Tahasil Squer  , BALIKUDA , 753108</v>
          </cell>
          <cell r="Y400">
            <v>45163</v>
          </cell>
          <cell r="Z400" t="str">
            <v>NA</v>
          </cell>
          <cell r="AB400" t="str">
            <v>NA</v>
          </cell>
          <cell r="AF400" t="str">
            <v>NA</v>
          </cell>
          <cell r="AK400">
            <v>45189</v>
          </cell>
          <cell r="AL400" t="str">
            <v>Received</v>
          </cell>
          <cell r="AO400">
            <v>3</v>
          </cell>
          <cell r="AS400">
            <v>-3</v>
          </cell>
          <cell r="AU400">
            <v>4</v>
          </cell>
          <cell r="AY400">
            <v>-4</v>
          </cell>
          <cell r="BA400">
            <v>5</v>
          </cell>
          <cell r="BE400">
            <v>-5</v>
          </cell>
          <cell r="BG400">
            <v>5</v>
          </cell>
          <cell r="BK400">
            <v>-5</v>
          </cell>
          <cell r="BM400">
            <v>3</v>
          </cell>
          <cell r="BP400">
            <v>3</v>
          </cell>
          <cell r="BW400" t="str">
            <v>Done</v>
          </cell>
          <cell r="BX400">
            <v>45079</v>
          </cell>
          <cell r="BY400" t="str">
            <v>Approved</v>
          </cell>
          <cell r="CD400">
            <v>45162</v>
          </cell>
          <cell r="CE400">
            <v>45168</v>
          </cell>
          <cell r="CG400" t="str">
            <v>M/s Radient Civiletric Pvt Ltd</v>
          </cell>
          <cell r="CI400" t="str">
            <v>Issued</v>
          </cell>
          <cell r="DG400" t="str">
            <v>Netmed SDP - Not in Dead Rental</v>
          </cell>
          <cell r="DK400">
            <v>45187</v>
          </cell>
          <cell r="DM400">
            <v>2</v>
          </cell>
          <cell r="DN400" t="str">
            <v>0 to 3 Days</v>
          </cell>
          <cell r="DP400">
            <v>45171</v>
          </cell>
          <cell r="DQ400">
            <v>45189</v>
          </cell>
          <cell r="DR400">
            <v>7</v>
          </cell>
          <cell r="DS400">
            <v>7</v>
          </cell>
          <cell r="DU400">
            <v>45196</v>
          </cell>
          <cell r="DV400">
            <v>45178</v>
          </cell>
          <cell r="DW400">
            <v>45196</v>
          </cell>
          <cell r="DX400" t="str">
            <v>Sep 23 Week 4</v>
          </cell>
          <cell r="DZ400">
            <v>45296</v>
          </cell>
          <cell r="EA400" t="str">
            <v>Jan 24 Week 1</v>
          </cell>
          <cell r="EB400" t="str">
            <v>Backlog</v>
          </cell>
          <cell r="ED400" t="str">
            <v/>
          </cell>
          <cell r="EE400" t="str">
            <v/>
          </cell>
          <cell r="EF400">
            <v>1</v>
          </cell>
          <cell r="EG400">
            <v>1</v>
          </cell>
          <cell r="FD400">
            <v>100</v>
          </cell>
          <cell r="FE400" t="str">
            <v>More Than 90  Days</v>
          </cell>
          <cell r="FF400">
            <v>118</v>
          </cell>
          <cell r="FG400" t="str">
            <v>More Than 90  Days</v>
          </cell>
          <cell r="FH400" t="str">
            <v>Done</v>
          </cell>
          <cell r="FI400" t="str">
            <v>Done</v>
          </cell>
          <cell r="FJ400" t="str">
            <v>NA</v>
          </cell>
          <cell r="FK400">
            <v>45299</v>
          </cell>
          <cell r="FM400" t="str">
            <v/>
          </cell>
          <cell r="GC400">
            <v>45189</v>
          </cell>
          <cell r="GG400" t="str">
            <v>2023-2024</v>
          </cell>
        </row>
        <row r="401">
          <cell r="E401" t="str">
            <v>GF JSB Pavillion Dag no339 P P Patta  , Dibrugarh Dist Dibrugarh , 5 Old 13 New Niz Kadamini gaon Mouza  , DIBRUGARH , 786003</v>
          </cell>
          <cell r="F401" t="str">
            <v>11. HOLD</v>
          </cell>
          <cell r="G401" t="str">
            <v>PHCOSD10501</v>
          </cell>
          <cell r="H401" t="str">
            <v>WB-SM-DIB-3001</v>
          </cell>
          <cell r="I401" t="str">
            <v>TWCC</v>
          </cell>
          <cell r="J401" t="str">
            <v>Q6ON</v>
          </cell>
          <cell r="K401" t="str">
            <v xml:space="preserve">E </v>
          </cell>
          <cell r="L401" t="str">
            <v>SD</v>
          </cell>
          <cell r="M401" t="str">
            <v>NRFC</v>
          </cell>
          <cell r="N401" t="str">
            <v>Mahendrakumar Warma</v>
          </cell>
          <cell r="O401" t="str">
            <v>Anup das (EXCEPT SIKKIM)</v>
          </cell>
          <cell r="Q401" t="str">
            <v>Gaurav Shinde</v>
          </cell>
          <cell r="S401" t="str">
            <v>Assam</v>
          </cell>
          <cell r="T401" t="str">
            <v>Dibrugarh</v>
          </cell>
          <cell r="U401" t="str">
            <v>Non Premium</v>
          </cell>
          <cell r="V401" t="str">
            <v>Pharma Format</v>
          </cell>
          <cell r="W401">
            <v>407</v>
          </cell>
          <cell r="X401" t="str">
            <v>GF JSB Pavillion Dag no339 P P Patta  , Dibrugarh Dist Dibrugarh , 5 Old 13 New Niz Kadamini gaon Mouza  , DIBRUGARH , 786003</v>
          </cell>
          <cell r="Z401" t="str">
            <v>NA</v>
          </cell>
          <cell r="AB401" t="str">
            <v>NA</v>
          </cell>
          <cell r="AF401" t="str">
            <v>NA</v>
          </cell>
          <cell r="AK401">
            <v>45162</v>
          </cell>
          <cell r="AL401" t="str">
            <v>Received</v>
          </cell>
          <cell r="AO401">
            <v>3</v>
          </cell>
          <cell r="AS401">
            <v>-3</v>
          </cell>
          <cell r="AU401">
            <v>4</v>
          </cell>
          <cell r="AY401">
            <v>-4</v>
          </cell>
          <cell r="BA401">
            <v>5</v>
          </cell>
          <cell r="BE401">
            <v>-5</v>
          </cell>
          <cell r="BG401">
            <v>5</v>
          </cell>
          <cell r="BK401">
            <v>-5</v>
          </cell>
          <cell r="BM401">
            <v>3</v>
          </cell>
          <cell r="BP401">
            <v>3</v>
          </cell>
          <cell r="BW401" t="str">
            <v>Done</v>
          </cell>
          <cell r="BX401">
            <v>45079</v>
          </cell>
          <cell r="BY401" t="str">
            <v>Approved</v>
          </cell>
          <cell r="DG401" t="str">
            <v>Netmed SDP - Not in Dead Rental</v>
          </cell>
          <cell r="DM401" t="str">
            <v>NA</v>
          </cell>
          <cell r="DN401" t="str">
            <v>NA</v>
          </cell>
          <cell r="DR401">
            <v>7</v>
          </cell>
          <cell r="DS401">
            <v>7</v>
          </cell>
          <cell r="DU401">
            <v>7</v>
          </cell>
          <cell r="DV401">
            <v>7</v>
          </cell>
          <cell r="DW401">
            <v>7</v>
          </cell>
          <cell r="EA401" t="str">
            <v/>
          </cell>
          <cell r="ED401" t="str">
            <v/>
          </cell>
          <cell r="EE401" t="str">
            <v/>
          </cell>
          <cell r="FD401">
            <v>46114</v>
          </cell>
          <cell r="FF401">
            <v>46114</v>
          </cell>
          <cell r="FJ401" t="str">
            <v>NA</v>
          </cell>
          <cell r="FM401" t="str">
            <v/>
          </cell>
          <cell r="GG401" t="str">
            <v>2026-2027</v>
          </cell>
        </row>
        <row r="402">
          <cell r="E402" t="str">
            <v>GF Plot No1882/1883  , Mauza - Saidpur, PS-Dighwara, Dist-Saran , Khata No 114 Revenue, Thana No 144  , DIGHWARA , 841207</v>
          </cell>
          <cell r="F402" t="str">
            <v>14. Dropped</v>
          </cell>
          <cell r="G402" t="str">
            <v>SPBHDIN4273</v>
          </cell>
          <cell r="H402" t="str">
            <v>BJ-SM-DHA-3000</v>
          </cell>
          <cell r="I402" t="str">
            <v>TAOD</v>
          </cell>
          <cell r="J402" t="str">
            <v>QF4G</v>
          </cell>
          <cell r="K402" t="str">
            <v xml:space="preserve">E </v>
          </cell>
          <cell r="L402" t="str">
            <v>AK</v>
          </cell>
          <cell r="M402" t="str">
            <v>Dropped</v>
          </cell>
          <cell r="Q402" t="str">
            <v>Gaurav Shinde</v>
          </cell>
          <cell r="S402" t="str">
            <v>Bihar</v>
          </cell>
          <cell r="T402" t="str">
            <v>Dighwara</v>
          </cell>
          <cell r="U402" t="str">
            <v>Non Premium</v>
          </cell>
          <cell r="V402" t="str">
            <v>Pharma Format</v>
          </cell>
          <cell r="W402">
            <v>400</v>
          </cell>
          <cell r="X402" t="str">
            <v>GF Plot No1882/1883  , Mauza - Saidpur, PS-Dighwara, Dist-Saran , Khata No 114 Revenue, Thana No 144  , DIGHWARA , 841207</v>
          </cell>
          <cell r="Z402" t="str">
            <v>NA</v>
          </cell>
          <cell r="AB402" t="str">
            <v>NA</v>
          </cell>
          <cell r="AF402" t="str">
            <v>NA</v>
          </cell>
          <cell r="AL402" t="str">
            <v>NA</v>
          </cell>
          <cell r="AO402">
            <v>3</v>
          </cell>
          <cell r="AS402">
            <v>-3</v>
          </cell>
          <cell r="AU402">
            <v>4</v>
          </cell>
          <cell r="AY402">
            <v>-4</v>
          </cell>
          <cell r="BA402">
            <v>5</v>
          </cell>
          <cell r="BE402">
            <v>-5</v>
          </cell>
          <cell r="BG402">
            <v>5</v>
          </cell>
          <cell r="BK402">
            <v>-5</v>
          </cell>
          <cell r="BM402">
            <v>3</v>
          </cell>
          <cell r="BP402">
            <v>3</v>
          </cell>
          <cell r="BW402" t="str">
            <v>Done</v>
          </cell>
          <cell r="BX402">
            <v>45079</v>
          </cell>
          <cell r="BY402" t="str">
            <v>Approved</v>
          </cell>
          <cell r="CD402">
            <v>45163</v>
          </cell>
          <cell r="DG402" t="str">
            <v>Netmed SDP - Not in Dead Rental</v>
          </cell>
          <cell r="DM402" t="str">
            <v>NA</v>
          </cell>
          <cell r="DN402" t="str">
            <v>NA</v>
          </cell>
          <cell r="DR402">
            <v>7</v>
          </cell>
          <cell r="DS402">
            <v>7</v>
          </cell>
          <cell r="DU402">
            <v>7</v>
          </cell>
          <cell r="DV402">
            <v>7</v>
          </cell>
          <cell r="DW402">
            <v>7</v>
          </cell>
          <cell r="EA402" t="str">
            <v/>
          </cell>
          <cell r="ED402" t="str">
            <v/>
          </cell>
          <cell r="EE402" t="str">
            <v/>
          </cell>
          <cell r="EF402">
            <v>1</v>
          </cell>
          <cell r="FD402">
            <v>46114</v>
          </cell>
          <cell r="FF402">
            <v>46114</v>
          </cell>
          <cell r="FJ402" t="str">
            <v>NA</v>
          </cell>
          <cell r="FM402" t="str">
            <v/>
          </cell>
          <cell r="GG402" t="str">
            <v>2024-2025</v>
          </cell>
        </row>
        <row r="403">
          <cell r="E403" t="str">
            <v>GF Patta No 2016 Dag No 1558 2185 30  , Block No 11 Dimapur Town Dist Dimapur , To 34 440 1559 To 41 1562 Mouza No 1  , DIMAPUR , 797112</v>
          </cell>
          <cell r="F403" t="str">
            <v>9. EPC Ready</v>
          </cell>
          <cell r="G403" t="str">
            <v>SPNLDIN3338</v>
          </cell>
          <cell r="H403" t="str">
            <v>WB-SM-DIM-3006</v>
          </cell>
          <cell r="I403" t="str">
            <v>TYHU</v>
          </cell>
          <cell r="J403" t="str">
            <v>QBNK</v>
          </cell>
          <cell r="K403" t="str">
            <v xml:space="preserve">E </v>
          </cell>
          <cell r="L403" t="str">
            <v>SD</v>
          </cell>
          <cell r="M403" t="str">
            <v>EPC Ready</v>
          </cell>
          <cell r="N403" t="str">
            <v>Mahendrakumar Warma</v>
          </cell>
          <cell r="O403" t="str">
            <v>Anup das (EXCEPT SIKKIM)</v>
          </cell>
          <cell r="P403" t="str">
            <v>Shubham Rai-6003901308</v>
          </cell>
          <cell r="Q403" t="str">
            <v>Gaurav Shinde</v>
          </cell>
          <cell r="S403" t="str">
            <v>North East</v>
          </cell>
          <cell r="T403" t="str">
            <v>DIMAPUR</v>
          </cell>
          <cell r="U403" t="str">
            <v>Non Premium</v>
          </cell>
          <cell r="V403" t="str">
            <v>Pharma Format</v>
          </cell>
          <cell r="W403">
            <v>423</v>
          </cell>
          <cell r="X403" t="str">
            <v>GF Patta No 2016 Dag No 1558 2185 30  , Block No 11 Dimapur Town Dist Dimapur , To 34 440 1559 To 41 1562 Mouza No 1  , DIMAPUR , 797112</v>
          </cell>
          <cell r="Y403">
            <v>45166</v>
          </cell>
          <cell r="Z403" t="str">
            <v>NA</v>
          </cell>
          <cell r="AB403" t="str">
            <v>NA</v>
          </cell>
          <cell r="AF403" t="str">
            <v>NA</v>
          </cell>
          <cell r="AK403">
            <v>45163</v>
          </cell>
          <cell r="AL403" t="str">
            <v>Received</v>
          </cell>
          <cell r="AO403">
            <v>3</v>
          </cell>
          <cell r="AS403">
            <v>-3</v>
          </cell>
          <cell r="AU403">
            <v>4</v>
          </cell>
          <cell r="AY403">
            <v>-4</v>
          </cell>
          <cell r="BA403">
            <v>5</v>
          </cell>
          <cell r="BE403">
            <v>-5</v>
          </cell>
          <cell r="BG403">
            <v>5</v>
          </cell>
          <cell r="BK403">
            <v>-5</v>
          </cell>
          <cell r="BM403">
            <v>3</v>
          </cell>
          <cell r="BP403">
            <v>3</v>
          </cell>
          <cell r="BW403" t="str">
            <v>Done</v>
          </cell>
          <cell r="BX403">
            <v>45079</v>
          </cell>
          <cell r="BY403" t="str">
            <v>Approved</v>
          </cell>
          <cell r="CD403">
            <v>45163</v>
          </cell>
          <cell r="CE403">
            <v>45180</v>
          </cell>
          <cell r="CG403" t="str">
            <v>M/s. SPACEXCOM Pvt Ltd</v>
          </cell>
          <cell r="CI403" t="str">
            <v>Issued</v>
          </cell>
          <cell r="DG403" t="str">
            <v>Netmed SDP - Not in Dead Rental</v>
          </cell>
          <cell r="DK403">
            <v>45207</v>
          </cell>
          <cell r="DL403">
            <v>45172</v>
          </cell>
          <cell r="DM403">
            <v>2</v>
          </cell>
          <cell r="DN403" t="str">
            <v>0 to 3 Days</v>
          </cell>
          <cell r="DP403">
            <v>45183</v>
          </cell>
          <cell r="DQ403">
            <v>45209</v>
          </cell>
          <cell r="DR403">
            <v>7</v>
          </cell>
          <cell r="DS403">
            <v>7</v>
          </cell>
          <cell r="DU403">
            <v>45216</v>
          </cell>
          <cell r="DV403">
            <v>45190</v>
          </cell>
          <cell r="DW403">
            <v>45216</v>
          </cell>
          <cell r="DX403" t="str">
            <v>Oct 23 Week 3</v>
          </cell>
          <cell r="DZ403">
            <v>45235</v>
          </cell>
          <cell r="EA403" t="str">
            <v>Nov 23 Week 1</v>
          </cell>
          <cell r="EB403" t="str">
            <v>Backlog</v>
          </cell>
          <cell r="ED403" t="str">
            <v/>
          </cell>
          <cell r="EE403" t="str">
            <v/>
          </cell>
          <cell r="EF403">
            <v>1</v>
          </cell>
          <cell r="EG403">
            <v>1</v>
          </cell>
          <cell r="FD403">
            <v>19</v>
          </cell>
          <cell r="FE403" t="str">
            <v>16 to 31 Days</v>
          </cell>
          <cell r="FF403">
            <v>45</v>
          </cell>
          <cell r="FG403" t="str">
            <v>31 to 61 Days</v>
          </cell>
          <cell r="FH403" t="str">
            <v>Done</v>
          </cell>
          <cell r="FI403" t="str">
            <v>Done</v>
          </cell>
          <cell r="FJ403" t="str">
            <v>NA</v>
          </cell>
          <cell r="FK403">
            <v>45261</v>
          </cell>
          <cell r="FM403" t="str">
            <v/>
          </cell>
          <cell r="GA403">
            <v>45235</v>
          </cell>
          <cell r="GC403">
            <v>45209</v>
          </cell>
          <cell r="GG403" t="str">
            <v>2023-2024</v>
          </cell>
        </row>
        <row r="404">
          <cell r="E404" t="str">
            <v>GF, Patta No - 705, Thilixu Village,  , Dist - Dimapur , Mouza No 3, Dimapur Town  , DIMAPUR , 797112</v>
          </cell>
          <cell r="F404" t="str">
            <v>9. EPC Ready</v>
          </cell>
          <cell r="G404" t="str">
            <v>SPNLDIF3328</v>
          </cell>
          <cell r="H404" t="str">
            <v>WB-SM-DIM-3005</v>
          </cell>
          <cell r="I404" t="str">
            <v>TZ5B</v>
          </cell>
          <cell r="J404" t="str">
            <v>QEHA</v>
          </cell>
          <cell r="K404" t="str">
            <v xml:space="preserve">E </v>
          </cell>
          <cell r="L404" t="str">
            <v>SD</v>
          </cell>
          <cell r="M404" t="str">
            <v>EPC Ready Pharmacy 200 SFT</v>
          </cell>
          <cell r="N404" t="str">
            <v>Mahendrakumar Warma</v>
          </cell>
          <cell r="O404" t="str">
            <v>Anup das (EXCEPT SIKKIM)</v>
          </cell>
          <cell r="P404" t="str">
            <v>Shubham Rai-6003901308</v>
          </cell>
          <cell r="Q404" t="str">
            <v>Gaurav Shinde</v>
          </cell>
          <cell r="S404" t="str">
            <v>North East</v>
          </cell>
          <cell r="T404" t="str">
            <v>Dimapur</v>
          </cell>
          <cell r="U404" t="str">
            <v>Non Premium</v>
          </cell>
          <cell r="V404" t="str">
            <v>Pharma Format</v>
          </cell>
          <cell r="W404">
            <v>250</v>
          </cell>
          <cell r="X404" t="str">
            <v>GF, Patta No - 705, Thilixu Village,  , Dist - Dimapur , Mouza No 3, Dimapur Town  , DIMAPUR , 797112</v>
          </cell>
          <cell r="Y404">
            <v>45159</v>
          </cell>
          <cell r="Z404" t="str">
            <v>NA</v>
          </cell>
          <cell r="AB404" t="str">
            <v>NA</v>
          </cell>
          <cell r="AF404" t="str">
            <v>NA</v>
          </cell>
          <cell r="AK404">
            <v>45182</v>
          </cell>
          <cell r="AL404" t="str">
            <v>Received</v>
          </cell>
          <cell r="AO404">
            <v>3</v>
          </cell>
          <cell r="AS404">
            <v>-3</v>
          </cell>
          <cell r="AU404">
            <v>4</v>
          </cell>
          <cell r="AY404">
            <v>-4</v>
          </cell>
          <cell r="BA404">
            <v>5</v>
          </cell>
          <cell r="BE404">
            <v>-5</v>
          </cell>
          <cell r="BG404">
            <v>5</v>
          </cell>
          <cell r="BK404">
            <v>-5</v>
          </cell>
          <cell r="BM404">
            <v>3</v>
          </cell>
          <cell r="BP404">
            <v>3</v>
          </cell>
          <cell r="BW404" t="str">
            <v>Done</v>
          </cell>
          <cell r="BX404">
            <v>45079</v>
          </cell>
          <cell r="BY404" t="str">
            <v>Approved</v>
          </cell>
          <cell r="CD404">
            <v>45162</v>
          </cell>
          <cell r="CE404">
            <v>45173</v>
          </cell>
          <cell r="CG404" t="str">
            <v>M/s. SPACEXCOM Pvt Ltd</v>
          </cell>
          <cell r="DG404" t="str">
            <v>Netmed SDP - Not in Dead Rental</v>
          </cell>
          <cell r="DK404">
            <v>45110</v>
          </cell>
          <cell r="DM404">
            <v>2</v>
          </cell>
          <cell r="DN404" t="str">
            <v>0 to 3 Days</v>
          </cell>
          <cell r="DQ404">
            <v>45112</v>
          </cell>
          <cell r="DR404">
            <v>7</v>
          </cell>
          <cell r="DS404">
            <v>7</v>
          </cell>
          <cell r="DU404">
            <v>45119</v>
          </cell>
          <cell r="DV404">
            <v>7</v>
          </cell>
          <cell r="DW404">
            <v>45119</v>
          </cell>
          <cell r="DX404" t="str">
            <v>July 23 Week 2</v>
          </cell>
          <cell r="DZ404">
            <v>45127</v>
          </cell>
          <cell r="EA404" t="str">
            <v>July 23 Week 3</v>
          </cell>
          <cell r="EB404" t="str">
            <v>Backlog</v>
          </cell>
          <cell r="ED404" t="str">
            <v/>
          </cell>
          <cell r="EE404" t="str">
            <v/>
          </cell>
          <cell r="EF404">
            <v>1</v>
          </cell>
          <cell r="EG404">
            <v>1</v>
          </cell>
          <cell r="FD404">
            <v>8</v>
          </cell>
          <cell r="FE404" t="str">
            <v>8 to 15 Days</v>
          </cell>
          <cell r="FF404">
            <v>45120</v>
          </cell>
          <cell r="FH404" t="str">
            <v>Done</v>
          </cell>
          <cell r="FI404" t="str">
            <v>Done</v>
          </cell>
          <cell r="FJ404" t="str">
            <v>NA</v>
          </cell>
          <cell r="FK404">
            <v>45212</v>
          </cell>
          <cell r="FM404" t="str">
            <v/>
          </cell>
          <cell r="GG404" t="str">
            <v>2023-2024</v>
          </cell>
        </row>
        <row r="405">
          <cell r="E405" t="str">
            <v>RRL GF Reliance Smart Point KSOP Mahal  , Road Nagal Nagar Dindigul , D No 94 A1 College House Road Mettupatty  , DINDIGUL , 624003</v>
          </cell>
          <cell r="F405" t="str">
            <v>10. Launched</v>
          </cell>
          <cell r="G405" t="str">
            <v>SPTNDIK3616</v>
          </cell>
          <cell r="H405" t="str">
            <v>TN-SM-DND-3002</v>
          </cell>
          <cell r="I405" t="str">
            <v>TYSV</v>
          </cell>
          <cell r="J405" t="str">
            <v>QBZZ</v>
          </cell>
          <cell r="K405" t="str">
            <v>S</v>
          </cell>
          <cell r="L405" t="str">
            <v>AK</v>
          </cell>
          <cell r="M405" t="str">
            <v>EPC Ready</v>
          </cell>
          <cell r="N405" t="str">
            <v>N Kalyankumar</v>
          </cell>
          <cell r="O405" t="str">
            <v>Muthuvelu Minnal /
Vijayakumar Muthusamy</v>
          </cell>
          <cell r="Q405" t="str">
            <v>Gaurav Shinde</v>
          </cell>
          <cell r="S405" t="str">
            <v>Tamil Nadu</v>
          </cell>
          <cell r="T405" t="str">
            <v>DINDIGUL</v>
          </cell>
          <cell r="U405" t="str">
            <v>Non Premium</v>
          </cell>
          <cell r="V405" t="str">
            <v>Pharma Format</v>
          </cell>
          <cell r="W405">
            <v>416</v>
          </cell>
          <cell r="X405" t="str">
            <v>RRL GF Reliance Smart Point KSOP Mahal  , Road Nagal Nagar Dindigul , D No 94 A1 College House Road Mettupatty  , DINDIGUL , 624003</v>
          </cell>
          <cell r="Y405">
            <v>45166</v>
          </cell>
          <cell r="Z405" t="str">
            <v>NA</v>
          </cell>
          <cell r="AB405" t="str">
            <v>NA</v>
          </cell>
          <cell r="AF405" t="str">
            <v>NA</v>
          </cell>
          <cell r="AK405">
            <v>45170</v>
          </cell>
          <cell r="AL405" t="str">
            <v>Received</v>
          </cell>
          <cell r="AO405">
            <v>3</v>
          </cell>
          <cell r="AS405">
            <v>-3</v>
          </cell>
          <cell r="AU405">
            <v>4</v>
          </cell>
          <cell r="AY405">
            <v>-4</v>
          </cell>
          <cell r="BA405">
            <v>5</v>
          </cell>
          <cell r="BE405">
            <v>-5</v>
          </cell>
          <cell r="BG405">
            <v>5</v>
          </cell>
          <cell r="BK405">
            <v>-5</v>
          </cell>
          <cell r="BM405">
            <v>3</v>
          </cell>
          <cell r="BW405" t="str">
            <v>Done</v>
          </cell>
          <cell r="BX405">
            <v>45079</v>
          </cell>
          <cell r="BY405" t="str">
            <v>Approved</v>
          </cell>
          <cell r="CD405">
            <v>45163</v>
          </cell>
          <cell r="CE405">
            <v>45196</v>
          </cell>
          <cell r="CG405" t="str">
            <v>M/s SURIYA INTERIORS</v>
          </cell>
          <cell r="CI405" t="str">
            <v>Issued</v>
          </cell>
          <cell r="DG405" t="str">
            <v>Netmed SDP - Not in Dead Rental</v>
          </cell>
          <cell r="DK405">
            <v>45211</v>
          </cell>
          <cell r="DL405">
            <v>45196</v>
          </cell>
          <cell r="DM405">
            <v>2</v>
          </cell>
          <cell r="DN405" t="str">
            <v>0 to 3 Days</v>
          </cell>
          <cell r="DP405">
            <v>45199</v>
          </cell>
          <cell r="DQ405">
            <v>45213</v>
          </cell>
          <cell r="DR405">
            <v>7</v>
          </cell>
          <cell r="DS405">
            <v>7</v>
          </cell>
          <cell r="DU405">
            <v>45220</v>
          </cell>
          <cell r="DV405">
            <v>45206</v>
          </cell>
          <cell r="DW405">
            <v>45220</v>
          </cell>
          <cell r="DX405" t="str">
            <v>Oct 23 Week 3</v>
          </cell>
          <cell r="DZ405">
            <v>45230</v>
          </cell>
          <cell r="EA405" t="str">
            <v>Oct 23 Week 5</v>
          </cell>
          <cell r="EB405" t="str">
            <v>Backlog</v>
          </cell>
          <cell r="ED405" t="str">
            <v/>
          </cell>
          <cell r="EE405" t="str">
            <v/>
          </cell>
          <cell r="EF405">
            <v>1</v>
          </cell>
          <cell r="EG405">
            <v>1</v>
          </cell>
          <cell r="FD405">
            <v>10</v>
          </cell>
          <cell r="FE405" t="str">
            <v>8 to 15 Days</v>
          </cell>
          <cell r="FF405">
            <v>24</v>
          </cell>
          <cell r="FG405" t="str">
            <v>16 to 31 Days</v>
          </cell>
          <cell r="FH405" t="str">
            <v>Done</v>
          </cell>
          <cell r="FI405" t="str">
            <v>Done</v>
          </cell>
          <cell r="FJ405" t="str">
            <v>NA</v>
          </cell>
          <cell r="FK405">
            <v>45272</v>
          </cell>
          <cell r="FM405" t="str">
            <v/>
          </cell>
          <cell r="GA405">
            <v>45230</v>
          </cell>
          <cell r="GC405">
            <v>45213</v>
          </cell>
          <cell r="GG405" t="str">
            <v>2023-2024</v>
          </cell>
        </row>
        <row r="406">
          <cell r="E406" t="str">
            <v>GF Duliajan Boragadhoi gaon Dag 18 &amp; 19  , Tengakhat revenue circle Dist Dibrugarh , Patta no 85 under Tipling Mouza  , DULIAJAN , 786602</v>
          </cell>
          <cell r="F406" t="str">
            <v>9. EPC Ready</v>
          </cell>
          <cell r="G406" t="str">
            <v>SPASDHB3229</v>
          </cell>
          <cell r="H406" t="str">
            <v>WB-SM-DLJ-3000</v>
          </cell>
          <cell r="I406" t="str">
            <v>TZXM</v>
          </cell>
          <cell r="J406" t="str">
            <v>QDOM</v>
          </cell>
          <cell r="K406" t="str">
            <v xml:space="preserve">E </v>
          </cell>
          <cell r="L406" t="str">
            <v>SD</v>
          </cell>
          <cell r="M406" t="str">
            <v>EPC Ready</v>
          </cell>
          <cell r="N406" t="str">
            <v>Mahendrakumar Warma</v>
          </cell>
          <cell r="O406" t="str">
            <v>Anup das (EXCEPT SIKKIM)</v>
          </cell>
          <cell r="P406" t="str">
            <v>Dipankar Bora-7002603006</v>
          </cell>
          <cell r="Q406" t="str">
            <v>Gaurav Shinde</v>
          </cell>
          <cell r="S406" t="str">
            <v>Assam</v>
          </cell>
          <cell r="T406" t="str">
            <v>Duliajan</v>
          </cell>
          <cell r="U406" t="str">
            <v>Non Premium</v>
          </cell>
          <cell r="V406" t="str">
            <v>Pharma Format</v>
          </cell>
          <cell r="W406">
            <v>418</v>
          </cell>
          <cell r="X406" t="str">
            <v>GF Duliajan Boragadhoi gaon Dag 18 &amp; 19  , Tengakhat revenue circle Dist Dibrugarh , Patta no 85 under Tipling Mouza  , DULIAJAN , 786602</v>
          </cell>
          <cell r="Y406">
            <v>45166</v>
          </cell>
          <cell r="Z406" t="str">
            <v>NA</v>
          </cell>
          <cell r="AB406" t="str">
            <v>NA</v>
          </cell>
          <cell r="AF406" t="str">
            <v>NA</v>
          </cell>
          <cell r="AK406">
            <v>45164</v>
          </cell>
          <cell r="AL406" t="str">
            <v>Received</v>
          </cell>
          <cell r="AO406">
            <v>3</v>
          </cell>
          <cell r="AS406">
            <v>-3</v>
          </cell>
          <cell r="AU406">
            <v>4</v>
          </cell>
          <cell r="AY406">
            <v>-4</v>
          </cell>
          <cell r="BA406">
            <v>5</v>
          </cell>
          <cell r="BE406">
            <v>-5</v>
          </cell>
          <cell r="BG406">
            <v>5</v>
          </cell>
          <cell r="BK406">
            <v>-5</v>
          </cell>
          <cell r="BM406">
            <v>3</v>
          </cell>
          <cell r="BP406">
            <v>3</v>
          </cell>
          <cell r="BW406" t="str">
            <v>Done</v>
          </cell>
          <cell r="BX406">
            <v>45079</v>
          </cell>
          <cell r="BY406" t="str">
            <v>Approved</v>
          </cell>
          <cell r="CD406">
            <v>45163</v>
          </cell>
          <cell r="CE406">
            <v>45177</v>
          </cell>
          <cell r="CG406" t="str">
            <v>M/s. STAR SOLUTIONS</v>
          </cell>
          <cell r="CI406" t="str">
            <v>Issued</v>
          </cell>
          <cell r="DG406" t="str">
            <v>Netmed SDP - Not in Dead Rental</v>
          </cell>
          <cell r="DK406">
            <v>45234</v>
          </cell>
          <cell r="DL406">
            <v>45194</v>
          </cell>
          <cell r="DM406">
            <v>2</v>
          </cell>
          <cell r="DN406" t="str">
            <v>0 to 3 Days</v>
          </cell>
          <cell r="DP406">
            <v>45180</v>
          </cell>
          <cell r="DQ406">
            <v>45236</v>
          </cell>
          <cell r="DR406">
            <v>7</v>
          </cell>
          <cell r="DS406">
            <v>7</v>
          </cell>
          <cell r="DU406">
            <v>45243</v>
          </cell>
          <cell r="DV406">
            <v>45187</v>
          </cell>
          <cell r="DW406">
            <v>45243</v>
          </cell>
          <cell r="DX406" t="str">
            <v>Nov 23 Week 2</v>
          </cell>
          <cell r="DZ406">
            <v>45260</v>
          </cell>
          <cell r="EA406" t="str">
            <v>Nov 23 Week 5</v>
          </cell>
          <cell r="EB406" t="str">
            <v>Backlog</v>
          </cell>
          <cell r="ED406" t="str">
            <v/>
          </cell>
          <cell r="EE406" t="str">
            <v/>
          </cell>
          <cell r="EF406">
            <v>1</v>
          </cell>
          <cell r="EG406">
            <v>1</v>
          </cell>
          <cell r="FD406">
            <v>17</v>
          </cell>
          <cell r="FE406" t="str">
            <v>16 to 31 Days</v>
          </cell>
          <cell r="FF406">
            <v>73</v>
          </cell>
          <cell r="FG406" t="str">
            <v>62 to 90 Days</v>
          </cell>
          <cell r="FH406" t="str">
            <v>Done</v>
          </cell>
          <cell r="FI406" t="str">
            <v>Done</v>
          </cell>
          <cell r="FJ406" t="str">
            <v>NA</v>
          </cell>
          <cell r="FK406">
            <v>45260</v>
          </cell>
          <cell r="FM406" t="str">
            <v/>
          </cell>
          <cell r="GA406">
            <v>45260</v>
          </cell>
          <cell r="GC406">
            <v>45236</v>
          </cell>
          <cell r="GG406" t="str">
            <v>2023-2024</v>
          </cell>
        </row>
        <row r="407">
          <cell r="E407" t="str">
            <v>Chachanda Gram Panchayat PO Chachunda  , LR Plot No 610 LR Khatian No 1425 , Samserganj JL No 082 Mouza Chachanda , Samserganj , JANGIPUR , 742202</v>
          </cell>
          <cell r="F407" t="str">
            <v>9. EPC Ready</v>
          </cell>
          <cell r="G407" t="str">
            <v>SPWBBAC3612</v>
          </cell>
          <cell r="H407" t="str">
            <v>WB-SM-JAN-3001</v>
          </cell>
          <cell r="I407" t="str">
            <v>TYVB</v>
          </cell>
          <cell r="J407" t="str">
            <v>QB3F</v>
          </cell>
          <cell r="K407" t="str">
            <v xml:space="preserve">E </v>
          </cell>
          <cell r="L407" t="str">
            <v>SD</v>
          </cell>
          <cell r="M407" t="str">
            <v>EPC Ready</v>
          </cell>
          <cell r="N407" t="str">
            <v>Mahendrakumar Warma</v>
          </cell>
          <cell r="O407" t="str">
            <v xml:space="preserve">Sandeepta Gayen </v>
          </cell>
          <cell r="Q407" t="str">
            <v>Gaurav Shinde</v>
          </cell>
          <cell r="S407" t="str">
            <v>West Bengal</v>
          </cell>
          <cell r="T407" t="str">
            <v>Jangipur</v>
          </cell>
          <cell r="U407" t="str">
            <v>Non Premium</v>
          </cell>
          <cell r="V407" t="str">
            <v>Pharma Format</v>
          </cell>
          <cell r="W407">
            <v>394</v>
          </cell>
          <cell r="X407" t="str">
            <v>Chachanda Gram Panchayat PO Chachunda  , LR Plot No 610 LR Khatian No 1425 , Samserganj JL No 082 Mouza Chachanda , Samserganj , JANGIPUR , 742202</v>
          </cell>
          <cell r="Y407">
            <v>45159</v>
          </cell>
          <cell r="Z407" t="str">
            <v>NA</v>
          </cell>
          <cell r="AB407" t="str">
            <v>NA</v>
          </cell>
          <cell r="AF407" t="str">
            <v>NA</v>
          </cell>
          <cell r="AK407">
            <v>45147</v>
          </cell>
          <cell r="AL407" t="str">
            <v>Received</v>
          </cell>
          <cell r="AO407">
            <v>3</v>
          </cell>
          <cell r="AS407">
            <v>-3</v>
          </cell>
          <cell r="AU407">
            <v>4</v>
          </cell>
          <cell r="AY407">
            <v>-4</v>
          </cell>
          <cell r="BA407">
            <v>5</v>
          </cell>
          <cell r="BE407">
            <v>-5</v>
          </cell>
          <cell r="BG407">
            <v>5</v>
          </cell>
          <cell r="BK407">
            <v>-5</v>
          </cell>
          <cell r="BM407">
            <v>3</v>
          </cell>
          <cell r="BP407">
            <v>3</v>
          </cell>
          <cell r="BW407" t="str">
            <v>Done</v>
          </cell>
          <cell r="BX407">
            <v>45079</v>
          </cell>
          <cell r="BY407" t="str">
            <v>Approved</v>
          </cell>
          <cell r="CD407">
            <v>45162</v>
          </cell>
          <cell r="CE407">
            <v>45181</v>
          </cell>
          <cell r="CG407" t="str">
            <v>M/s. SAMRIDDHI ENTERPRISE</v>
          </cell>
          <cell r="CI407" t="str">
            <v>Issued</v>
          </cell>
          <cell r="DG407" t="str">
            <v>Netmed SDP - Not in Dead Rental</v>
          </cell>
          <cell r="DK407">
            <v>45194</v>
          </cell>
          <cell r="DL407">
            <v>45196</v>
          </cell>
          <cell r="DM407">
            <v>2</v>
          </cell>
          <cell r="DN407" t="str">
            <v>0 to 3 Days</v>
          </cell>
          <cell r="DP407">
            <v>45184</v>
          </cell>
          <cell r="DQ407">
            <v>45196</v>
          </cell>
          <cell r="DR407">
            <v>7</v>
          </cell>
          <cell r="DS407">
            <v>7</v>
          </cell>
          <cell r="DU407">
            <v>45203</v>
          </cell>
          <cell r="DV407">
            <v>45191</v>
          </cell>
          <cell r="DW407">
            <v>45203</v>
          </cell>
          <cell r="DX407" t="str">
            <v>Oct 23 Week 1</v>
          </cell>
          <cell r="DZ407">
            <v>45251</v>
          </cell>
          <cell r="EA407" t="str">
            <v>Nov 23 Week 3</v>
          </cell>
          <cell r="EB407" t="str">
            <v>Backlog</v>
          </cell>
          <cell r="ED407" t="str">
            <v/>
          </cell>
          <cell r="EE407" t="str">
            <v/>
          </cell>
          <cell r="EF407">
            <v>1</v>
          </cell>
          <cell r="EG407">
            <v>1</v>
          </cell>
          <cell r="FD407">
            <v>48</v>
          </cell>
          <cell r="FE407" t="str">
            <v>31 to 61 Days</v>
          </cell>
          <cell r="FF407">
            <v>60</v>
          </cell>
          <cell r="FG407" t="str">
            <v>31 to 61 Days</v>
          </cell>
          <cell r="FH407" t="str">
            <v>Done</v>
          </cell>
          <cell r="FI407" t="str">
            <v>Done</v>
          </cell>
          <cell r="FJ407" t="str">
            <v>NA</v>
          </cell>
          <cell r="FK407">
            <v>45251</v>
          </cell>
          <cell r="FM407" t="str">
            <v/>
          </cell>
          <cell r="GA407">
            <v>45251</v>
          </cell>
          <cell r="GC407">
            <v>45196</v>
          </cell>
          <cell r="GG407" t="str">
            <v>2023-2024</v>
          </cell>
        </row>
        <row r="408">
          <cell r="E408" t="str">
            <v>GFunder Pratapaditya NagarGram Panchayat  , LR Khatian18004&amp;17619MouzaGaneshpurBlock , Kakdwip Station RoadJL No11 LR Plot 4380 , &amp; P.O &amp; P.S &amp; A.D.S.R.O-Kakdwip , KAKDWIP , 743347</v>
          </cell>
          <cell r="F408" t="str">
            <v>9. EPC Ready</v>
          </cell>
          <cell r="G408" t="str">
            <v>SPWBKAO3923</v>
          </cell>
          <cell r="H408" t="str">
            <v>WB-SM-KKP-3001</v>
          </cell>
          <cell r="I408" t="str">
            <v>TAPE</v>
          </cell>
          <cell r="J408" t="str">
            <v>QF5H</v>
          </cell>
          <cell r="K408" t="str">
            <v xml:space="preserve">E </v>
          </cell>
          <cell r="L408" t="str">
            <v>SD</v>
          </cell>
          <cell r="M408" t="str">
            <v>EPC Ready</v>
          </cell>
          <cell r="N408" t="str">
            <v>Mahendrakumar Warma</v>
          </cell>
          <cell r="O408" t="str">
            <v xml:space="preserve">Sandeepta Gayen </v>
          </cell>
          <cell r="P408" t="str">
            <v>Sagar Neyogi-7980192700</v>
          </cell>
          <cell r="Q408" t="str">
            <v>Gaurav Shinde</v>
          </cell>
          <cell r="S408" t="str">
            <v>West Bengal</v>
          </cell>
          <cell r="T408" t="str">
            <v>Kakdwip</v>
          </cell>
          <cell r="U408" t="str">
            <v>Non Premium</v>
          </cell>
          <cell r="V408" t="str">
            <v>Pharma Format</v>
          </cell>
          <cell r="W408">
            <v>400</v>
          </cell>
          <cell r="X408" t="str">
            <v>GFunder Pratapaditya NagarGram Panchayat  , LR Khatian18004&amp;17619MouzaGaneshpurBlock , Kakdwip Station RoadJL No11 LR Plot 4380 , &amp; P.O &amp; P.S &amp; A.D.S.R.O-Kakdwip , KAKDWIP , 743347</v>
          </cell>
          <cell r="Y408">
            <v>45159</v>
          </cell>
          <cell r="Z408" t="str">
            <v>NA</v>
          </cell>
          <cell r="AB408" t="str">
            <v>NA</v>
          </cell>
          <cell r="AF408" t="str">
            <v>NA</v>
          </cell>
          <cell r="AK408">
            <v>45148</v>
          </cell>
          <cell r="AL408" t="str">
            <v>Received</v>
          </cell>
          <cell r="AO408">
            <v>3</v>
          </cell>
          <cell r="AS408">
            <v>-3</v>
          </cell>
          <cell r="AU408">
            <v>4</v>
          </cell>
          <cell r="AY408">
            <v>-4</v>
          </cell>
          <cell r="BA408">
            <v>5</v>
          </cell>
          <cell r="BE408">
            <v>-5</v>
          </cell>
          <cell r="BG408">
            <v>5</v>
          </cell>
          <cell r="BK408">
            <v>-5</v>
          </cell>
          <cell r="BM408">
            <v>3</v>
          </cell>
          <cell r="BP408">
            <v>3</v>
          </cell>
          <cell r="BW408" t="str">
            <v>Done</v>
          </cell>
          <cell r="BX408">
            <v>45079</v>
          </cell>
          <cell r="BY408" t="str">
            <v>Approved</v>
          </cell>
          <cell r="CD408">
            <v>45162</v>
          </cell>
          <cell r="CE408">
            <v>45181</v>
          </cell>
          <cell r="CG408" t="str">
            <v>M/s. ELECTROLEC ENTERPRISE</v>
          </cell>
          <cell r="CI408" t="str">
            <v>Issued</v>
          </cell>
          <cell r="DG408" t="str">
            <v>Netmed SDP - Not in Dead Rental</v>
          </cell>
          <cell r="DK408">
            <v>45202</v>
          </cell>
          <cell r="DL408">
            <v>45161</v>
          </cell>
          <cell r="DM408">
            <v>2</v>
          </cell>
          <cell r="DN408" t="str">
            <v>0 to 3 Days</v>
          </cell>
          <cell r="DP408">
            <v>45184</v>
          </cell>
          <cell r="DQ408">
            <v>45204</v>
          </cell>
          <cell r="DR408">
            <v>7</v>
          </cell>
          <cell r="DS408">
            <v>7</v>
          </cell>
          <cell r="DU408">
            <v>45211</v>
          </cell>
          <cell r="DV408">
            <v>45191</v>
          </cell>
          <cell r="DW408">
            <v>45211</v>
          </cell>
          <cell r="DX408" t="str">
            <v>Oct 23 Week 2</v>
          </cell>
          <cell r="DZ408">
            <v>45218</v>
          </cell>
          <cell r="EA408" t="str">
            <v>Oct 23 Week 3</v>
          </cell>
          <cell r="EB408" t="str">
            <v>Backlog</v>
          </cell>
          <cell r="ED408" t="str">
            <v/>
          </cell>
          <cell r="EE408" t="str">
            <v/>
          </cell>
          <cell r="EF408">
            <v>1</v>
          </cell>
          <cell r="EG408">
            <v>1</v>
          </cell>
          <cell r="FD408">
            <v>7</v>
          </cell>
          <cell r="FE408" t="str">
            <v>4 to 7 Days</v>
          </cell>
          <cell r="FF408">
            <v>27</v>
          </cell>
          <cell r="FG408" t="str">
            <v>16 to 31 Days</v>
          </cell>
          <cell r="FH408" t="str">
            <v>Done</v>
          </cell>
          <cell r="FI408" t="str">
            <v>Done</v>
          </cell>
          <cell r="FJ408" t="str">
            <v>NA</v>
          </cell>
          <cell r="FK408">
            <v>45219</v>
          </cell>
          <cell r="FM408" t="str">
            <v/>
          </cell>
          <cell r="GA408">
            <v>45218</v>
          </cell>
          <cell r="GC408">
            <v>45204</v>
          </cell>
          <cell r="GG408" t="str">
            <v>2023-2024</v>
          </cell>
        </row>
        <row r="409">
          <cell r="E409" t="str">
            <v>Rashbehari Nayak Sarani S 2 South  , Durgapur Paschim Barddaman , Ramkrishna Pally Po Benachity Ps  , DURGAPUR , 713213</v>
          </cell>
          <cell r="F409" t="str">
            <v>9. EPC Ready</v>
          </cell>
          <cell r="G409" t="str">
            <v>SPWBDUB4017</v>
          </cell>
          <cell r="H409" t="str">
            <v>WB-SM-DUR-3006</v>
          </cell>
          <cell r="I409" t="str">
            <v>TAJS</v>
          </cell>
          <cell r="J409" t="str">
            <v>QFYV</v>
          </cell>
          <cell r="K409" t="str">
            <v xml:space="preserve">E </v>
          </cell>
          <cell r="L409" t="str">
            <v>SD</v>
          </cell>
          <cell r="M409" t="str">
            <v>EPC Ready</v>
          </cell>
          <cell r="N409" t="str">
            <v>Mahendrakumar Warma</v>
          </cell>
          <cell r="O409" t="str">
            <v xml:space="preserve">Sandeepta Gayen </v>
          </cell>
          <cell r="Q409" t="str">
            <v>Gaurav Shinde</v>
          </cell>
          <cell r="S409" t="str">
            <v>West Bengal</v>
          </cell>
          <cell r="T409" t="str">
            <v>Durgapur</v>
          </cell>
          <cell r="U409" t="str">
            <v>Non Premium</v>
          </cell>
          <cell r="V409" t="str">
            <v>Pharma Format</v>
          </cell>
          <cell r="W409">
            <v>400</v>
          </cell>
          <cell r="X409" t="str">
            <v>Rashbehari Nayak Sarani S 2 South  , Durgapur Paschim Barddaman , Ramkrishna Pally Po Benachity Ps  , DURGAPUR , 713213</v>
          </cell>
          <cell r="Y409">
            <v>45166</v>
          </cell>
          <cell r="Z409" t="str">
            <v>NA</v>
          </cell>
          <cell r="AB409" t="str">
            <v>NA</v>
          </cell>
          <cell r="AF409" t="str">
            <v>NA</v>
          </cell>
          <cell r="AK409">
            <v>45163</v>
          </cell>
          <cell r="AL409" t="str">
            <v>Received</v>
          </cell>
          <cell r="AO409">
            <v>3</v>
          </cell>
          <cell r="AS409">
            <v>-3</v>
          </cell>
          <cell r="AU409">
            <v>4</v>
          </cell>
          <cell r="AY409">
            <v>-4</v>
          </cell>
          <cell r="BA409">
            <v>5</v>
          </cell>
          <cell r="BE409">
            <v>-5</v>
          </cell>
          <cell r="BG409">
            <v>5</v>
          </cell>
          <cell r="BK409">
            <v>-5</v>
          </cell>
          <cell r="BM409">
            <v>3</v>
          </cell>
          <cell r="BP409">
            <v>3</v>
          </cell>
          <cell r="BW409" t="str">
            <v>Done</v>
          </cell>
          <cell r="BX409">
            <v>45079</v>
          </cell>
          <cell r="BY409" t="str">
            <v>Approved</v>
          </cell>
          <cell r="CD409">
            <v>45163</v>
          </cell>
          <cell r="CE409">
            <v>45184</v>
          </cell>
          <cell r="CG409" t="str">
            <v>M/s. SNEHANGI TRADERS</v>
          </cell>
          <cell r="CI409" t="str">
            <v>Issued</v>
          </cell>
          <cell r="DG409" t="str">
            <v>Netmed SDP - Not in Dead Rental</v>
          </cell>
          <cell r="DK409">
            <v>45240</v>
          </cell>
          <cell r="DL409">
            <v>45201</v>
          </cell>
          <cell r="DM409">
            <v>2</v>
          </cell>
          <cell r="DN409" t="str">
            <v>0 to 3 Days</v>
          </cell>
          <cell r="DP409">
            <v>45187</v>
          </cell>
          <cell r="DQ409">
            <v>45242</v>
          </cell>
          <cell r="DR409">
            <v>7</v>
          </cell>
          <cell r="DS409">
            <v>7</v>
          </cell>
          <cell r="DU409">
            <v>45249</v>
          </cell>
          <cell r="DV409">
            <v>45194</v>
          </cell>
          <cell r="DW409">
            <v>45249</v>
          </cell>
          <cell r="DX409" t="str">
            <v>Nov 23 Week 3</v>
          </cell>
          <cell r="DZ409">
            <v>45247</v>
          </cell>
          <cell r="EA409" t="str">
            <v>Nov 23 Week 3</v>
          </cell>
          <cell r="EB409" t="str">
            <v>Plan</v>
          </cell>
          <cell r="ED409" t="str">
            <v/>
          </cell>
          <cell r="EE409" t="str">
            <v/>
          </cell>
          <cell r="EF409">
            <v>1</v>
          </cell>
          <cell r="EG409">
            <v>1</v>
          </cell>
          <cell r="FD409">
            <v>-2</v>
          </cell>
          <cell r="FE409" t="str">
            <v>On Time</v>
          </cell>
          <cell r="FF409">
            <v>53</v>
          </cell>
          <cell r="FG409" t="str">
            <v>31 to 61 Days</v>
          </cell>
          <cell r="FH409" t="str">
            <v>Done</v>
          </cell>
          <cell r="FI409" t="str">
            <v>Done</v>
          </cell>
          <cell r="FJ409" t="str">
            <v>NA</v>
          </cell>
          <cell r="FK409">
            <v>45247</v>
          </cell>
          <cell r="FM409" t="str">
            <v/>
          </cell>
          <cell r="GA409">
            <v>45247</v>
          </cell>
          <cell r="GC409">
            <v>45225</v>
          </cell>
          <cell r="GG409" t="str">
            <v>2023-2024</v>
          </cell>
        </row>
        <row r="410">
          <cell r="E410" t="str">
            <v>Amaraz Tower 411 8A  ,  , Maranchery Edapal  , EDAPPAL , 679581</v>
          </cell>
          <cell r="F410" t="str">
            <v>14. Dropped</v>
          </cell>
          <cell r="G410" t="str">
            <v>SPKLMAA2740</v>
          </cell>
          <cell r="H410" t="str">
            <v>KE-SM-EDA-3000</v>
          </cell>
          <cell r="I410" t="str">
            <v>TZEL</v>
          </cell>
          <cell r="J410" t="str">
            <v>QCXZ</v>
          </cell>
          <cell r="K410" t="str">
            <v>S</v>
          </cell>
          <cell r="L410" t="str">
            <v>AK</v>
          </cell>
          <cell r="M410" t="str">
            <v>Dropped</v>
          </cell>
          <cell r="N410" t="str">
            <v>N Kalyankumar</v>
          </cell>
          <cell r="O410" t="str">
            <v>Jose Loviece</v>
          </cell>
          <cell r="Q410" t="str">
            <v>Gaurav Shinde</v>
          </cell>
          <cell r="S410" t="str">
            <v>Kerala</v>
          </cell>
          <cell r="T410" t="str">
            <v>Edapal</v>
          </cell>
          <cell r="U410" t="str">
            <v>Non Premium</v>
          </cell>
          <cell r="V410" t="str">
            <v>Pharma Format</v>
          </cell>
          <cell r="W410">
            <v>400</v>
          </cell>
          <cell r="X410" t="str">
            <v>Amaraz Tower 411 8A  ,  , Maranchery Edapal  , EDAPPAL , 679581</v>
          </cell>
          <cell r="Z410" t="str">
            <v>NA</v>
          </cell>
          <cell r="AB410" t="str">
            <v>NA</v>
          </cell>
          <cell r="AF410" t="str">
            <v>NA</v>
          </cell>
          <cell r="AL410" t="str">
            <v>NA</v>
          </cell>
          <cell r="AO410">
            <v>3</v>
          </cell>
          <cell r="AS410">
            <v>-3</v>
          </cell>
          <cell r="AU410">
            <v>4</v>
          </cell>
          <cell r="AY410">
            <v>-4</v>
          </cell>
          <cell r="BA410">
            <v>5</v>
          </cell>
          <cell r="BE410">
            <v>-5</v>
          </cell>
          <cell r="BG410">
            <v>5</v>
          </cell>
          <cell r="BK410">
            <v>-5</v>
          </cell>
          <cell r="BM410">
            <v>3</v>
          </cell>
          <cell r="BP410">
            <v>3</v>
          </cell>
          <cell r="BW410" t="str">
            <v>Done</v>
          </cell>
          <cell r="BX410">
            <v>45079</v>
          </cell>
          <cell r="BY410" t="str">
            <v>Approved</v>
          </cell>
          <cell r="CD410">
            <v>45163</v>
          </cell>
          <cell r="DG410" t="str">
            <v>Netmed SDP - Not in Dead Rental</v>
          </cell>
          <cell r="DM410" t="str">
            <v>NA</v>
          </cell>
          <cell r="DN410" t="str">
            <v>NA</v>
          </cell>
          <cell r="DR410">
            <v>7</v>
          </cell>
          <cell r="DS410">
            <v>7</v>
          </cell>
          <cell r="DU410">
            <v>7</v>
          </cell>
          <cell r="DV410">
            <v>7</v>
          </cell>
          <cell r="DW410">
            <v>7</v>
          </cell>
          <cell r="EA410" t="str">
            <v/>
          </cell>
          <cell r="ED410" t="str">
            <v/>
          </cell>
          <cell r="EE410" t="str">
            <v/>
          </cell>
          <cell r="EF410">
            <v>1</v>
          </cell>
          <cell r="FD410">
            <v>46114</v>
          </cell>
          <cell r="FF410">
            <v>46114</v>
          </cell>
          <cell r="FJ410" t="str">
            <v>NA</v>
          </cell>
          <cell r="FM410" t="str">
            <v/>
          </cell>
          <cell r="GG410" t="str">
            <v>2024-2025</v>
          </cell>
        </row>
        <row r="411">
          <cell r="E411" t="str">
            <v>Kilannayyathu Building Josco  , Alappuzha , Jn Iranikudy PO Edappon  , Edappon , 690529</v>
          </cell>
          <cell r="F411" t="str">
            <v>14. Dropped</v>
          </cell>
          <cell r="G411" t="str">
            <v>SPKLALK3581</v>
          </cell>
          <cell r="H411" t="str">
            <v>KE-SM-EAP-3000</v>
          </cell>
          <cell r="I411" t="str">
            <v>TYSS</v>
          </cell>
          <cell r="J411" t="str">
            <v>QBZW</v>
          </cell>
          <cell r="K411" t="str">
            <v>S</v>
          </cell>
          <cell r="L411" t="str">
            <v>AK</v>
          </cell>
          <cell r="M411" t="str">
            <v>Dropped</v>
          </cell>
          <cell r="N411" t="str">
            <v>N Kalyankumar</v>
          </cell>
          <cell r="O411" t="str">
            <v>Jose Loviece</v>
          </cell>
          <cell r="Q411" t="str">
            <v>Gaurav Shinde</v>
          </cell>
          <cell r="S411" t="str">
            <v>Kerala</v>
          </cell>
          <cell r="T411" t="str">
            <v>EDAPPON</v>
          </cell>
          <cell r="U411" t="str">
            <v>Non Premium</v>
          </cell>
          <cell r="V411" t="str">
            <v>Pharma Format</v>
          </cell>
          <cell r="W411">
            <v>400</v>
          </cell>
          <cell r="X411" t="str">
            <v>Kilannayyathu Building Josco  , Alappuzha , Jn Iranikudy PO Edappon  , Edappon , 690529</v>
          </cell>
          <cell r="Y411">
            <v>45166</v>
          </cell>
          <cell r="Z411" t="str">
            <v>NA</v>
          </cell>
          <cell r="AB411" t="str">
            <v>NA</v>
          </cell>
          <cell r="AF411" t="str">
            <v>NA</v>
          </cell>
          <cell r="AK411">
            <v>45164</v>
          </cell>
          <cell r="AL411" t="str">
            <v>Received</v>
          </cell>
          <cell r="AO411">
            <v>3</v>
          </cell>
          <cell r="AS411">
            <v>-3</v>
          </cell>
          <cell r="AU411">
            <v>4</v>
          </cell>
          <cell r="AY411">
            <v>-4</v>
          </cell>
          <cell r="BA411">
            <v>5</v>
          </cell>
          <cell r="BE411">
            <v>-5</v>
          </cell>
          <cell r="BG411">
            <v>5</v>
          </cell>
          <cell r="BK411">
            <v>-5</v>
          </cell>
          <cell r="BM411">
            <v>3</v>
          </cell>
          <cell r="BP411">
            <v>3</v>
          </cell>
          <cell r="BW411" t="str">
            <v>Done</v>
          </cell>
          <cell r="BX411">
            <v>45079</v>
          </cell>
          <cell r="BY411" t="str">
            <v>Approved</v>
          </cell>
          <cell r="CD411">
            <v>45163</v>
          </cell>
          <cell r="DG411" t="str">
            <v>Netmed SDP - Not in Dead Rental</v>
          </cell>
          <cell r="DM411" t="str">
            <v>NA</v>
          </cell>
          <cell r="DN411" t="str">
            <v>NA</v>
          </cell>
          <cell r="DR411">
            <v>7</v>
          </cell>
          <cell r="DS411">
            <v>7</v>
          </cell>
          <cell r="DU411">
            <v>7</v>
          </cell>
          <cell r="DV411">
            <v>7</v>
          </cell>
          <cell r="DW411">
            <v>7</v>
          </cell>
          <cell r="EA411" t="str">
            <v/>
          </cell>
          <cell r="ED411" t="str">
            <v/>
          </cell>
          <cell r="EE411" t="str">
            <v/>
          </cell>
          <cell r="EF411">
            <v>1</v>
          </cell>
          <cell r="FD411">
            <v>46114</v>
          </cell>
          <cell r="FF411">
            <v>46114</v>
          </cell>
          <cell r="FJ411" t="str">
            <v>NA</v>
          </cell>
          <cell r="FM411" t="str">
            <v/>
          </cell>
          <cell r="GG411" t="str">
            <v>2024-2025</v>
          </cell>
        </row>
        <row r="412">
          <cell r="E412" t="str">
            <v>Vinayaka Plaza Near Kerala Gramin Bank  , Pathanamthitta , Mannadi Road Enathu Adoor  , Enathu , 691526</v>
          </cell>
          <cell r="F412" t="str">
            <v>11. HOLD</v>
          </cell>
          <cell r="G412" t="str">
            <v>PHCOAS10502</v>
          </cell>
          <cell r="H412" t="str">
            <v>KE-SM-ENA-3000</v>
          </cell>
          <cell r="I412" t="str">
            <v>TYTK</v>
          </cell>
          <cell r="J412" t="str">
            <v>QB1O</v>
          </cell>
          <cell r="K412" t="str">
            <v>S</v>
          </cell>
          <cell r="L412" t="str">
            <v>AK</v>
          </cell>
          <cell r="M412" t="str">
            <v>NRFC</v>
          </cell>
          <cell r="N412" t="str">
            <v>N Kalyankumar</v>
          </cell>
          <cell r="O412" t="str">
            <v>Jose Loviece</v>
          </cell>
          <cell r="Q412" t="str">
            <v>Gaurav Shinde</v>
          </cell>
          <cell r="S412" t="str">
            <v>Kerala</v>
          </cell>
          <cell r="T412" t="str">
            <v>ENATHU</v>
          </cell>
          <cell r="U412" t="str">
            <v>Non Premium</v>
          </cell>
          <cell r="V412" t="str">
            <v>Pharma Format</v>
          </cell>
          <cell r="W412">
            <v>409</v>
          </cell>
          <cell r="X412" t="str">
            <v>Vinayaka Plaza Near Kerala Gramin Bank  , Pathanamthitta , Mannadi Road Enathu Adoor  , Enathu , 691526</v>
          </cell>
          <cell r="Z412" t="str">
            <v>NA</v>
          </cell>
          <cell r="AB412" t="str">
            <v>NA</v>
          </cell>
          <cell r="AF412" t="str">
            <v>NA</v>
          </cell>
          <cell r="AK412">
            <v>45204</v>
          </cell>
          <cell r="AL412" t="str">
            <v>Received</v>
          </cell>
          <cell r="AO412">
            <v>3</v>
          </cell>
          <cell r="AS412">
            <v>-3</v>
          </cell>
          <cell r="AU412">
            <v>4</v>
          </cell>
          <cell r="AY412">
            <v>-4</v>
          </cell>
          <cell r="BA412">
            <v>5</v>
          </cell>
          <cell r="BE412">
            <v>-5</v>
          </cell>
          <cell r="BG412">
            <v>5</v>
          </cell>
          <cell r="BK412">
            <v>-5</v>
          </cell>
          <cell r="BM412">
            <v>3</v>
          </cell>
          <cell r="BP412">
            <v>3</v>
          </cell>
          <cell r="BW412" t="str">
            <v>Done</v>
          </cell>
          <cell r="BX412">
            <v>45079</v>
          </cell>
          <cell r="BY412" t="str">
            <v>Approved</v>
          </cell>
          <cell r="DG412" t="str">
            <v>Netmed SDP - Not in Dead Rental</v>
          </cell>
          <cell r="DM412" t="str">
            <v>NA</v>
          </cell>
          <cell r="DN412" t="str">
            <v>NA</v>
          </cell>
          <cell r="DR412">
            <v>7</v>
          </cell>
          <cell r="DS412">
            <v>7</v>
          </cell>
          <cell r="DU412">
            <v>7</v>
          </cell>
          <cell r="DV412">
            <v>7</v>
          </cell>
          <cell r="DW412">
            <v>7</v>
          </cell>
          <cell r="EA412" t="str">
            <v/>
          </cell>
          <cell r="ED412" t="str">
            <v/>
          </cell>
          <cell r="EE412" t="str">
            <v/>
          </cell>
          <cell r="EF412">
            <v>1</v>
          </cell>
          <cell r="FD412">
            <v>46114</v>
          </cell>
          <cell r="FF412">
            <v>46114</v>
          </cell>
          <cell r="FJ412" t="str">
            <v>NA</v>
          </cell>
          <cell r="FM412" t="str">
            <v/>
          </cell>
          <cell r="GG412" t="str">
            <v>2026-2027</v>
          </cell>
        </row>
        <row r="413">
          <cell r="E413" t="str">
            <v>H No 16 2 189 Kareemabad Road  , Warangal Dist , Near Subash Statue Kareemabad  , WARANGAL , 506002</v>
          </cell>
          <cell r="F413" t="str">
            <v>9. EPC Ready</v>
          </cell>
          <cell r="G413" t="str">
            <v>SPTSWAK4186</v>
          </cell>
          <cell r="H413" t="str">
            <v>AP-SM-WAR-3004</v>
          </cell>
          <cell r="I413" t="str">
            <v>TAS6</v>
          </cell>
          <cell r="J413" t="str">
            <v>QGRB</v>
          </cell>
          <cell r="K413" t="str">
            <v xml:space="preserve">E </v>
          </cell>
          <cell r="L413" t="str">
            <v>AK</v>
          </cell>
          <cell r="M413" t="str">
            <v>EPC Ready</v>
          </cell>
          <cell r="O413" t="str">
            <v>Rajshekhar M</v>
          </cell>
          <cell r="Q413" t="str">
            <v>Gaurav Shinde</v>
          </cell>
          <cell r="S413" t="str">
            <v>Telangana</v>
          </cell>
          <cell r="T413" t="str">
            <v>Kareemabad</v>
          </cell>
          <cell r="U413" t="str">
            <v>Non Premium</v>
          </cell>
          <cell r="V413" t="str">
            <v>Pharma Format</v>
          </cell>
          <cell r="W413">
            <v>401</v>
          </cell>
          <cell r="X413" t="str">
            <v>H No 16 2 189 Kareemabad Road  , Warangal Dist , Near Subash Statue Kareemabad  , WARANGAL , 506002</v>
          </cell>
          <cell r="Y413">
            <v>45163</v>
          </cell>
          <cell r="Z413" t="str">
            <v>NA</v>
          </cell>
          <cell r="AB413" t="str">
            <v>NA</v>
          </cell>
          <cell r="AF413" t="str">
            <v>NA</v>
          </cell>
          <cell r="AK413">
            <v>45152</v>
          </cell>
          <cell r="AL413" t="str">
            <v>Received</v>
          </cell>
          <cell r="AO413">
            <v>3</v>
          </cell>
          <cell r="AS413">
            <v>-3</v>
          </cell>
          <cell r="AU413">
            <v>4</v>
          </cell>
          <cell r="AY413">
            <v>-4</v>
          </cell>
          <cell r="BA413">
            <v>5</v>
          </cell>
          <cell r="BE413">
            <v>-5</v>
          </cell>
          <cell r="BG413">
            <v>5</v>
          </cell>
          <cell r="BK413">
            <v>-5</v>
          </cell>
          <cell r="BM413">
            <v>3</v>
          </cell>
          <cell r="BP413">
            <v>3</v>
          </cell>
          <cell r="BW413" t="str">
            <v>Done</v>
          </cell>
          <cell r="BX413">
            <v>45079</v>
          </cell>
          <cell r="BY413" t="str">
            <v>Approved</v>
          </cell>
          <cell r="CD413">
            <v>45162</v>
          </cell>
          <cell r="CE413">
            <v>45173</v>
          </cell>
          <cell r="CG413" t="str">
            <v>M/s SARK CORPORATION</v>
          </cell>
          <cell r="CI413" t="str">
            <v>Issued</v>
          </cell>
          <cell r="DG413" t="str">
            <v>Netmed SDP - Not in Dead Rental</v>
          </cell>
          <cell r="DK413">
            <v>45195</v>
          </cell>
          <cell r="DL413">
            <v>45205</v>
          </cell>
          <cell r="DM413">
            <v>2</v>
          </cell>
          <cell r="DN413" t="str">
            <v>0 to 3 Days</v>
          </cell>
          <cell r="DP413">
            <v>45176</v>
          </cell>
          <cell r="DQ413">
            <v>45197</v>
          </cell>
          <cell r="DR413">
            <v>7</v>
          </cell>
          <cell r="DS413">
            <v>7</v>
          </cell>
          <cell r="DU413">
            <v>45204</v>
          </cell>
          <cell r="DV413">
            <v>45183</v>
          </cell>
          <cell r="DW413">
            <v>45204</v>
          </cell>
          <cell r="DX413" t="str">
            <v>Oct 23 Week 1</v>
          </cell>
          <cell r="DZ413">
            <v>45234</v>
          </cell>
          <cell r="EA413" t="str">
            <v>Nov 23 Week 1</v>
          </cell>
          <cell r="EB413" t="str">
            <v>Backlog</v>
          </cell>
          <cell r="ED413" t="str">
            <v/>
          </cell>
          <cell r="EE413" t="str">
            <v/>
          </cell>
          <cell r="EF413">
            <v>1</v>
          </cell>
          <cell r="EG413">
            <v>1</v>
          </cell>
          <cell r="FD413">
            <v>30</v>
          </cell>
          <cell r="FE413" t="str">
            <v>16 to 31 Days</v>
          </cell>
          <cell r="FF413">
            <v>51</v>
          </cell>
          <cell r="FG413" t="str">
            <v>31 to 61 Days</v>
          </cell>
          <cell r="FH413" t="str">
            <v>Done</v>
          </cell>
          <cell r="FI413" t="str">
            <v>Done</v>
          </cell>
          <cell r="FJ413" t="str">
            <v>NA</v>
          </cell>
          <cell r="FK413">
            <v>45240</v>
          </cell>
          <cell r="FM413" t="str">
            <v/>
          </cell>
          <cell r="GA413">
            <v>45234</v>
          </cell>
          <cell r="GC413">
            <v>45197</v>
          </cell>
          <cell r="GG413" t="str">
            <v>2023-2024</v>
          </cell>
        </row>
        <row r="414">
          <cell r="E414" t="str">
            <v>Arjunpur Po Arjunpur Ps Farraka  , Farakka Murshidabad , Landmark Beside Post Office  , FARAKKA , 742202</v>
          </cell>
          <cell r="F414" t="str">
            <v>9. EPC Ready</v>
          </cell>
          <cell r="G414" t="str">
            <v>SPWBFAA3856</v>
          </cell>
          <cell r="H414" t="str">
            <v>WB-SM-FAR-3001</v>
          </cell>
          <cell r="I414" t="str">
            <v>TYQA</v>
          </cell>
          <cell r="J414" t="str">
            <v>QBXC</v>
          </cell>
          <cell r="K414" t="str">
            <v xml:space="preserve">E </v>
          </cell>
          <cell r="L414" t="str">
            <v>SD</v>
          </cell>
          <cell r="M414" t="str">
            <v>EPC Ready</v>
          </cell>
          <cell r="N414" t="str">
            <v>Mahendrakumar Warma</v>
          </cell>
          <cell r="O414" t="str">
            <v xml:space="preserve">Sandeepta Gayen </v>
          </cell>
          <cell r="P414" t="str">
            <v>Sagar Neyogi-7980192700</v>
          </cell>
          <cell r="Q414" t="str">
            <v>Gaurav Shinde</v>
          </cell>
          <cell r="S414" t="str">
            <v>West Bengal</v>
          </cell>
          <cell r="T414" t="str">
            <v>Farakka</v>
          </cell>
          <cell r="U414" t="str">
            <v>Non Premium</v>
          </cell>
          <cell r="V414" t="str">
            <v>Pharma Format</v>
          </cell>
          <cell r="W414">
            <v>398</v>
          </cell>
          <cell r="X414" t="str">
            <v>Arjunpur Po Arjunpur Ps Farraka  , Farakka Murshidabad , Landmark Beside Post Office  , FARAKKA , 742202</v>
          </cell>
          <cell r="Y414">
            <v>45159</v>
          </cell>
          <cell r="Z414" t="str">
            <v>NA</v>
          </cell>
          <cell r="AB414" t="str">
            <v>NA</v>
          </cell>
          <cell r="AF414" t="str">
            <v>NA</v>
          </cell>
          <cell r="AK414">
            <v>45182</v>
          </cell>
          <cell r="AL414" t="str">
            <v>Received</v>
          </cell>
          <cell r="AO414">
            <v>3</v>
          </cell>
          <cell r="AS414">
            <v>-3</v>
          </cell>
          <cell r="AU414">
            <v>4</v>
          </cell>
          <cell r="AY414">
            <v>-4</v>
          </cell>
          <cell r="BA414">
            <v>5</v>
          </cell>
          <cell r="BE414">
            <v>-5</v>
          </cell>
          <cell r="BG414">
            <v>5</v>
          </cell>
          <cell r="BK414">
            <v>-5</v>
          </cell>
          <cell r="BM414">
            <v>3</v>
          </cell>
          <cell r="BP414">
            <v>3</v>
          </cell>
          <cell r="BW414" t="str">
            <v>Done</v>
          </cell>
          <cell r="BX414">
            <v>45079</v>
          </cell>
          <cell r="BY414" t="str">
            <v>Approved</v>
          </cell>
          <cell r="CD414">
            <v>45162</v>
          </cell>
          <cell r="CE414">
            <v>45181</v>
          </cell>
          <cell r="CG414" t="str">
            <v>M/s. SAMRIDDHI ENTERPRISE</v>
          </cell>
          <cell r="CI414" t="str">
            <v>Issued</v>
          </cell>
          <cell r="DG414" t="str">
            <v>Netmed SDP - Not in Dead Rental</v>
          </cell>
          <cell r="DK414">
            <v>45288</v>
          </cell>
          <cell r="DM414">
            <v>2</v>
          </cell>
          <cell r="DN414" t="str">
            <v>0 to 3 Days</v>
          </cell>
          <cell r="DP414">
            <v>45184</v>
          </cell>
          <cell r="DQ414">
            <v>45290</v>
          </cell>
          <cell r="DR414">
            <v>7</v>
          </cell>
          <cell r="DS414">
            <v>7</v>
          </cell>
          <cell r="DU414">
            <v>45297</v>
          </cell>
          <cell r="DV414">
            <v>45191</v>
          </cell>
          <cell r="DW414">
            <v>45297</v>
          </cell>
          <cell r="DX414" t="str">
            <v>Jan 24 Week 1</v>
          </cell>
          <cell r="DZ414">
            <v>45301</v>
          </cell>
          <cell r="EA414" t="str">
            <v>Jan 24 Week 2</v>
          </cell>
          <cell r="EB414" t="str">
            <v>Backlog</v>
          </cell>
          <cell r="ED414" t="str">
            <v/>
          </cell>
          <cell r="EE414" t="str">
            <v/>
          </cell>
          <cell r="EF414">
            <v>1</v>
          </cell>
          <cell r="EG414">
            <v>1</v>
          </cell>
          <cell r="FD414">
            <v>4</v>
          </cell>
          <cell r="FE414" t="str">
            <v>4 to 7 Days</v>
          </cell>
          <cell r="FF414">
            <v>110</v>
          </cell>
          <cell r="FG414" t="str">
            <v>More Than 90  Days</v>
          </cell>
          <cell r="FH414" t="str">
            <v>Done</v>
          </cell>
          <cell r="FI414" t="str">
            <v>Done</v>
          </cell>
          <cell r="FJ414" t="str">
            <v>NA</v>
          </cell>
          <cell r="FK414">
            <v>45302</v>
          </cell>
          <cell r="FM414" t="str">
            <v/>
          </cell>
          <cell r="GA414">
            <v>45301</v>
          </cell>
          <cell r="GC414">
            <v>45194</v>
          </cell>
          <cell r="GG414" t="str">
            <v>2023-2024</v>
          </cell>
        </row>
        <row r="415">
          <cell r="E415" t="str">
            <v>Suryvey No 631 Near Bus Stand  , Kothapally Karimnagar , Opposite Markandeya Temple  , Karim Nagar , 505451</v>
          </cell>
          <cell r="F415" t="str">
            <v>9. EPC Ready</v>
          </cell>
          <cell r="G415" t="str">
            <v>SPTSKOO4245</v>
          </cell>
          <cell r="H415" t="str">
            <v>TG-SM-KAR-3003</v>
          </cell>
          <cell r="I415" t="str">
            <v>TYL9</v>
          </cell>
          <cell r="J415" t="str">
            <v>QB8R</v>
          </cell>
          <cell r="K415" t="str">
            <v xml:space="preserve">E </v>
          </cell>
          <cell r="L415" t="str">
            <v>AK</v>
          </cell>
          <cell r="M415" t="str">
            <v>EPC Ready</v>
          </cell>
          <cell r="O415" t="str">
            <v>Rajshekhar M</v>
          </cell>
          <cell r="Q415" t="str">
            <v>Gaurav Shinde</v>
          </cell>
          <cell r="S415" t="str">
            <v>Telangana</v>
          </cell>
          <cell r="T415" t="str">
            <v>Karimnagar</v>
          </cell>
          <cell r="U415" t="str">
            <v>Non Premium</v>
          </cell>
          <cell r="V415" t="str">
            <v>Pharma Format</v>
          </cell>
          <cell r="W415">
            <v>400</v>
          </cell>
          <cell r="X415" t="str">
            <v>Suryvey No 631 Near Bus Stand  , Kothapally Karimnagar , Opposite Markandeya Temple  , Karim Nagar , 505451</v>
          </cell>
          <cell r="Y415">
            <v>45159</v>
          </cell>
          <cell r="Z415" t="str">
            <v>NA</v>
          </cell>
          <cell r="AB415" t="str">
            <v>NA</v>
          </cell>
          <cell r="AF415" t="str">
            <v>NA</v>
          </cell>
          <cell r="AK415">
            <v>45163</v>
          </cell>
          <cell r="AL415" t="str">
            <v>Received</v>
          </cell>
          <cell r="AO415">
            <v>3</v>
          </cell>
          <cell r="AS415">
            <v>-3</v>
          </cell>
          <cell r="AU415">
            <v>4</v>
          </cell>
          <cell r="AY415">
            <v>-4</v>
          </cell>
          <cell r="BA415">
            <v>5</v>
          </cell>
          <cell r="BE415">
            <v>-5</v>
          </cell>
          <cell r="BG415">
            <v>5</v>
          </cell>
          <cell r="BK415">
            <v>-5</v>
          </cell>
          <cell r="BM415">
            <v>3</v>
          </cell>
          <cell r="BP415">
            <v>3</v>
          </cell>
          <cell r="BW415" t="str">
            <v>Done</v>
          </cell>
          <cell r="BX415">
            <v>45079</v>
          </cell>
          <cell r="BY415" t="str">
            <v>Approved</v>
          </cell>
          <cell r="CD415">
            <v>45162</v>
          </cell>
          <cell r="CE415">
            <v>45173</v>
          </cell>
          <cell r="CG415" t="str">
            <v>M/s SARK CORPORATION</v>
          </cell>
          <cell r="CI415" t="str">
            <v>Issued</v>
          </cell>
          <cell r="DG415" t="str">
            <v>Netmed SDP - Not in Dead Rental</v>
          </cell>
          <cell r="DK415">
            <v>45194</v>
          </cell>
          <cell r="DL415">
            <v>45201</v>
          </cell>
          <cell r="DM415">
            <v>2</v>
          </cell>
          <cell r="DN415" t="str">
            <v>0 to 3 Days</v>
          </cell>
          <cell r="DP415">
            <v>45176</v>
          </cell>
          <cell r="DQ415">
            <v>45196</v>
          </cell>
          <cell r="DR415">
            <v>7</v>
          </cell>
          <cell r="DS415">
            <v>7</v>
          </cell>
          <cell r="DU415">
            <v>45203</v>
          </cell>
          <cell r="DV415">
            <v>45183</v>
          </cell>
          <cell r="DW415">
            <v>45203</v>
          </cell>
          <cell r="DX415" t="str">
            <v>Oct 23 Week 1</v>
          </cell>
          <cell r="DZ415">
            <v>45230</v>
          </cell>
          <cell r="EA415" t="str">
            <v>Oct 23 Week 5</v>
          </cell>
          <cell r="EB415" t="str">
            <v>Backlog</v>
          </cell>
          <cell r="ED415" t="str">
            <v/>
          </cell>
          <cell r="EE415" t="str">
            <v/>
          </cell>
          <cell r="EF415">
            <v>1</v>
          </cell>
          <cell r="EG415">
            <v>1</v>
          </cell>
          <cell r="FD415">
            <v>27</v>
          </cell>
          <cell r="FE415" t="str">
            <v>16 to 31 Days</v>
          </cell>
          <cell r="FF415">
            <v>47</v>
          </cell>
          <cell r="FG415" t="str">
            <v>31 to 61 Days</v>
          </cell>
          <cell r="FH415" t="str">
            <v>Done</v>
          </cell>
          <cell r="FI415" t="str">
            <v>Done</v>
          </cell>
          <cell r="FJ415" t="str">
            <v>NA</v>
          </cell>
          <cell r="FK415">
            <v>45240</v>
          </cell>
          <cell r="FM415" t="str">
            <v/>
          </cell>
          <cell r="GA415">
            <v>45230</v>
          </cell>
          <cell r="GC415">
            <v>45196</v>
          </cell>
          <cell r="GG415" t="str">
            <v>2023-2024</v>
          </cell>
        </row>
        <row r="416">
          <cell r="E416" t="str">
            <v>Gf Mouza Mamarkudar  , Plot No 136 Dist Bokaro , Thana Chas Thana No 92 Khata No 37  , BOKARO , 827013</v>
          </cell>
          <cell r="F416" t="str">
            <v>9. EPC Ready</v>
          </cell>
          <cell r="G416" t="str">
            <v>SPJHKHN4284</v>
          </cell>
          <cell r="H416" t="str">
            <v>JH-SM-KHA-3000</v>
          </cell>
          <cell r="I416" t="str">
            <v>TYT5</v>
          </cell>
          <cell r="J416" t="str">
            <v>Q4Q6</v>
          </cell>
          <cell r="K416" t="str">
            <v xml:space="preserve">E </v>
          </cell>
          <cell r="L416" t="str">
            <v>AK</v>
          </cell>
          <cell r="M416" t="str">
            <v>EPC Ready</v>
          </cell>
          <cell r="P416" t="str">
            <v>Mr. Amal Gopal Dey-9558811809</v>
          </cell>
          <cell r="Q416" t="str">
            <v>Gaurav Shinde</v>
          </cell>
          <cell r="S416" t="str">
            <v>Jharkhand</v>
          </cell>
          <cell r="T416" t="str">
            <v>Khamarbandi</v>
          </cell>
          <cell r="U416" t="str">
            <v>Non Premium</v>
          </cell>
          <cell r="V416" t="str">
            <v>Pharma Format</v>
          </cell>
          <cell r="W416">
            <v>400</v>
          </cell>
          <cell r="X416" t="str">
            <v>Gf Mouza Mamarkudar  , Plot No 136 Dist Bokaro , Thana Chas Thana No 92 Khata No 37  , BOKARO , 827013</v>
          </cell>
          <cell r="Y416">
            <v>45163</v>
          </cell>
          <cell r="Z416" t="str">
            <v>NA</v>
          </cell>
          <cell r="AB416" t="str">
            <v>NA</v>
          </cell>
          <cell r="AF416" t="str">
            <v>NA</v>
          </cell>
          <cell r="AK416">
            <v>45153</v>
          </cell>
          <cell r="AL416" t="str">
            <v>Received</v>
          </cell>
          <cell r="AO416">
            <v>3</v>
          </cell>
          <cell r="AS416">
            <v>-3</v>
          </cell>
          <cell r="AU416">
            <v>4</v>
          </cell>
          <cell r="AY416">
            <v>-4</v>
          </cell>
          <cell r="BA416">
            <v>5</v>
          </cell>
          <cell r="BE416">
            <v>-5</v>
          </cell>
          <cell r="BG416">
            <v>5</v>
          </cell>
          <cell r="BK416">
            <v>-5</v>
          </cell>
          <cell r="BM416">
            <v>3</v>
          </cell>
          <cell r="BP416">
            <v>3</v>
          </cell>
          <cell r="BW416" t="str">
            <v>Done</v>
          </cell>
          <cell r="BX416">
            <v>45079</v>
          </cell>
          <cell r="BY416" t="str">
            <v>Approved</v>
          </cell>
          <cell r="CD416">
            <v>45162</v>
          </cell>
          <cell r="CE416">
            <v>45174</v>
          </cell>
          <cell r="CG416" t="str">
            <v xml:space="preserve">
M/S S K ENTERPIRSES
</v>
          </cell>
          <cell r="CI416" t="str">
            <v>Issued</v>
          </cell>
          <cell r="DG416" t="str">
            <v>Netmed SDP - Not in Dead Rental</v>
          </cell>
          <cell r="DK416">
            <v>45195</v>
          </cell>
          <cell r="DM416">
            <v>2</v>
          </cell>
          <cell r="DN416" t="str">
            <v>0 to 3 Days</v>
          </cell>
          <cell r="DP416">
            <v>45177</v>
          </cell>
          <cell r="DQ416">
            <v>45197</v>
          </cell>
          <cell r="DR416">
            <v>7</v>
          </cell>
          <cell r="DS416">
            <v>7</v>
          </cell>
          <cell r="DU416">
            <v>45204</v>
          </cell>
          <cell r="DV416">
            <v>45184</v>
          </cell>
          <cell r="DW416">
            <v>45204</v>
          </cell>
          <cell r="DX416" t="str">
            <v>Oct 23 Week 1</v>
          </cell>
          <cell r="DZ416">
            <v>45300</v>
          </cell>
          <cell r="EA416" t="str">
            <v>Jan 24 Week 2</v>
          </cell>
          <cell r="EB416" t="str">
            <v>Backlog</v>
          </cell>
          <cell r="ED416" t="str">
            <v/>
          </cell>
          <cell r="EE416" t="str">
            <v/>
          </cell>
          <cell r="EF416">
            <v>1</v>
          </cell>
          <cell r="EG416">
            <v>1</v>
          </cell>
          <cell r="FD416">
            <v>96</v>
          </cell>
          <cell r="FE416" t="str">
            <v>More Than 90  Days</v>
          </cell>
          <cell r="FF416">
            <v>116</v>
          </cell>
          <cell r="FG416" t="str">
            <v>More Than 90  Days</v>
          </cell>
          <cell r="FH416" t="str">
            <v>Done</v>
          </cell>
          <cell r="FI416" t="str">
            <v>Done</v>
          </cell>
          <cell r="FJ416" t="str">
            <v>NA</v>
          </cell>
          <cell r="FK416">
            <v>45300</v>
          </cell>
          <cell r="FM416" t="str">
            <v/>
          </cell>
          <cell r="GA416">
            <v>45300</v>
          </cell>
          <cell r="GC416">
            <v>45197</v>
          </cell>
          <cell r="GG416" t="str">
            <v>2023-2024</v>
          </cell>
        </row>
        <row r="417">
          <cell r="E417" t="str">
            <v>Beside Swapna Theatre Bhuvanapalli  , West Godavari , Ganapavaram P &amp; Mandal  , GANAPAVARAM , 534198</v>
          </cell>
          <cell r="F417" t="str">
            <v>9. EPC Ready</v>
          </cell>
          <cell r="G417" t="str">
            <v>SPAPBHB3800</v>
          </cell>
          <cell r="H417" t="str">
            <v>AP-SM-GAN-3000</v>
          </cell>
          <cell r="I417" t="str">
            <v>TZ2F</v>
          </cell>
          <cell r="J417" t="str">
            <v>QECY</v>
          </cell>
          <cell r="K417" t="str">
            <v xml:space="preserve">E </v>
          </cell>
          <cell r="L417" t="str">
            <v>JD</v>
          </cell>
          <cell r="M417" t="str">
            <v>EPC Ready</v>
          </cell>
          <cell r="N417" t="str">
            <v>Jaisingh Desai</v>
          </cell>
          <cell r="P417" t="str">
            <v>Mr. Sudhakar Veerla</v>
          </cell>
          <cell r="Q417" t="str">
            <v>Gaurav Shinde</v>
          </cell>
          <cell r="S417" t="str">
            <v>Andhra Pradesh</v>
          </cell>
          <cell r="T417" t="str">
            <v>GANAPAVARAM </v>
          </cell>
          <cell r="U417" t="str">
            <v>Non Premium</v>
          </cell>
          <cell r="V417" t="str">
            <v>Pharma Format</v>
          </cell>
          <cell r="W417">
            <v>400</v>
          </cell>
          <cell r="X417" t="str">
            <v>Beside Swapna Theatre Bhuvanapalli  , West Godavari , Ganapavaram P &amp; Mandal  , GANAPAVARAM , 534198</v>
          </cell>
          <cell r="Y417">
            <v>45124</v>
          </cell>
          <cell r="Z417" t="str">
            <v>NA</v>
          </cell>
          <cell r="AB417" t="str">
            <v>NA</v>
          </cell>
          <cell r="AF417" t="str">
            <v>NA</v>
          </cell>
          <cell r="AK417">
            <v>45143</v>
          </cell>
          <cell r="AL417" t="str">
            <v>Received</v>
          </cell>
          <cell r="AO417">
            <v>3</v>
          </cell>
          <cell r="AS417">
            <v>-3</v>
          </cell>
          <cell r="AU417">
            <v>4</v>
          </cell>
          <cell r="AY417">
            <v>-4</v>
          </cell>
          <cell r="BA417">
            <v>5</v>
          </cell>
          <cell r="BE417">
            <v>-5</v>
          </cell>
          <cell r="BG417">
            <v>5</v>
          </cell>
          <cell r="BK417">
            <v>-5</v>
          </cell>
          <cell r="BM417">
            <v>3</v>
          </cell>
          <cell r="BP417">
            <v>3</v>
          </cell>
          <cell r="BW417" t="str">
            <v>Done</v>
          </cell>
          <cell r="BX417">
            <v>45079</v>
          </cell>
          <cell r="BY417" t="str">
            <v>Approved</v>
          </cell>
          <cell r="CD417">
            <v>45126</v>
          </cell>
          <cell r="CE417">
            <v>45159</v>
          </cell>
          <cell r="CG417" t="str">
            <v xml:space="preserve">M/s   SRK Constructions </v>
          </cell>
          <cell r="CI417" t="str">
            <v>Issued</v>
          </cell>
          <cell r="DG417" t="str">
            <v>Netmed SDP - Not in Dead Rental</v>
          </cell>
          <cell r="DK417">
            <v>45175</v>
          </cell>
          <cell r="DM417">
            <v>2</v>
          </cell>
          <cell r="DN417" t="str">
            <v>0 to 3 Days</v>
          </cell>
          <cell r="DP417">
            <v>45162</v>
          </cell>
          <cell r="DQ417">
            <v>45177</v>
          </cell>
          <cell r="DR417">
            <v>7</v>
          </cell>
          <cell r="DS417">
            <v>7</v>
          </cell>
          <cell r="DU417">
            <v>45184</v>
          </cell>
          <cell r="DV417">
            <v>45169</v>
          </cell>
          <cell r="DW417">
            <v>45184</v>
          </cell>
          <cell r="DX417" t="str">
            <v>Sep 23 Week 3</v>
          </cell>
          <cell r="DZ417">
            <v>45198</v>
          </cell>
          <cell r="EA417" t="str">
            <v>Sep 23 Week 5</v>
          </cell>
          <cell r="EB417" t="str">
            <v>Backlog</v>
          </cell>
          <cell r="ED417" t="str">
            <v/>
          </cell>
          <cell r="EE417" t="str">
            <v/>
          </cell>
          <cell r="EF417">
            <v>1</v>
          </cell>
          <cell r="EG417">
            <v>1</v>
          </cell>
          <cell r="FD417">
            <v>14</v>
          </cell>
          <cell r="FE417" t="str">
            <v>8 to 15 Days</v>
          </cell>
          <cell r="FF417">
            <v>29</v>
          </cell>
          <cell r="FG417" t="str">
            <v>16 to 31 Days</v>
          </cell>
          <cell r="FH417" t="str">
            <v>Done</v>
          </cell>
          <cell r="FI417" t="str">
            <v>Done</v>
          </cell>
          <cell r="FJ417" t="str">
            <v>NA</v>
          </cell>
          <cell r="FK417">
            <v>45322</v>
          </cell>
          <cell r="FM417" t="str">
            <v/>
          </cell>
          <cell r="GA417">
            <v>45198</v>
          </cell>
          <cell r="GC417">
            <v>45177</v>
          </cell>
          <cell r="GG417" t="str">
            <v>2023-2024</v>
          </cell>
        </row>
        <row r="418">
          <cell r="E418" t="str">
            <v>Bimla Sinha W/O Sri Shyam Shankar Singh  , Atari Block Mohra City , Atari Block Mohra City  , SHEOHAR , 823311</v>
          </cell>
          <cell r="F418" t="str">
            <v>9. EPC Ready</v>
          </cell>
          <cell r="G418" t="str">
            <v>SPBHSHS3685</v>
          </cell>
          <cell r="H418" t="str">
            <v>BH-SM-SHE-3000</v>
          </cell>
          <cell r="I418" t="str">
            <v>TWHP</v>
          </cell>
          <cell r="J418" t="str">
            <v>Q6TT</v>
          </cell>
          <cell r="K418" t="str">
            <v xml:space="preserve">E </v>
          </cell>
          <cell r="L418" t="str">
            <v>AK</v>
          </cell>
          <cell r="M418" t="str">
            <v>EPC Ready</v>
          </cell>
          <cell r="P418" t="str">
            <v xml:space="preserve">Avinandan Kumar </v>
          </cell>
          <cell r="Q418" t="str">
            <v>Gaurav Shinde</v>
          </cell>
          <cell r="S418" t="str">
            <v>Bihar</v>
          </cell>
          <cell r="T418" t="str">
            <v>Gaya</v>
          </cell>
          <cell r="U418" t="str">
            <v>Non Premium</v>
          </cell>
          <cell r="V418" t="str">
            <v>Pharma Format</v>
          </cell>
          <cell r="W418">
            <v>402</v>
          </cell>
          <cell r="X418" t="str">
            <v>Bimla Sinha W/O Sri Shyam Shankar Singh  , Atari Block Mohra City , Atari Block Mohra City  , SHEOHAR , 823311</v>
          </cell>
          <cell r="Y418">
            <v>45166</v>
          </cell>
          <cell r="Z418" t="str">
            <v>NA</v>
          </cell>
          <cell r="AB418" t="str">
            <v>NA</v>
          </cell>
          <cell r="AF418" t="str">
            <v>NA</v>
          </cell>
          <cell r="AK418">
            <v>45184</v>
          </cell>
          <cell r="AL418" t="str">
            <v>Received</v>
          </cell>
          <cell r="AO418">
            <v>3</v>
          </cell>
          <cell r="AS418">
            <v>-3</v>
          </cell>
          <cell r="AU418">
            <v>4</v>
          </cell>
          <cell r="AY418">
            <v>-4</v>
          </cell>
          <cell r="BA418">
            <v>5</v>
          </cell>
          <cell r="BE418">
            <v>-5</v>
          </cell>
          <cell r="BG418">
            <v>5</v>
          </cell>
          <cell r="BK418">
            <v>-5</v>
          </cell>
          <cell r="BM418">
            <v>3</v>
          </cell>
          <cell r="BP418">
            <v>3</v>
          </cell>
          <cell r="BW418" t="str">
            <v>Done</v>
          </cell>
          <cell r="BX418">
            <v>45079</v>
          </cell>
          <cell r="BY418" t="str">
            <v>Approved</v>
          </cell>
          <cell r="CD418">
            <v>45163</v>
          </cell>
          <cell r="CE418">
            <v>45175</v>
          </cell>
          <cell r="CG418" t="str">
            <v xml:space="preserve">M/S RECON </v>
          </cell>
          <cell r="CI418" t="str">
            <v>Issued</v>
          </cell>
          <cell r="DG418" t="str">
            <v>Netmed SDP - Not in Dead Rental</v>
          </cell>
          <cell r="DK418">
            <v>45210</v>
          </cell>
          <cell r="DM418">
            <v>2</v>
          </cell>
          <cell r="DN418" t="str">
            <v>0 to 3 Days</v>
          </cell>
          <cell r="DP418">
            <v>45178</v>
          </cell>
          <cell r="DQ418">
            <v>45212</v>
          </cell>
          <cell r="DR418">
            <v>7</v>
          </cell>
          <cell r="DS418">
            <v>7</v>
          </cell>
          <cell r="DU418">
            <v>45219</v>
          </cell>
          <cell r="DV418">
            <v>45185</v>
          </cell>
          <cell r="DW418">
            <v>45219</v>
          </cell>
          <cell r="DX418" t="str">
            <v>Oct 23 Week 3</v>
          </cell>
          <cell r="DZ418">
            <v>45199</v>
          </cell>
          <cell r="EA418" t="str">
            <v>Sep 23 Week 5</v>
          </cell>
          <cell r="EB418" t="str">
            <v>Plan</v>
          </cell>
          <cell r="ED418" t="str">
            <v/>
          </cell>
          <cell r="EE418" t="str">
            <v/>
          </cell>
          <cell r="EF418">
            <v>1</v>
          </cell>
          <cell r="EG418">
            <v>1</v>
          </cell>
          <cell r="FD418">
            <v>-20</v>
          </cell>
          <cell r="FE418" t="str">
            <v>On Time</v>
          </cell>
          <cell r="FF418">
            <v>14</v>
          </cell>
          <cell r="FG418" t="str">
            <v>8 to 15 Days</v>
          </cell>
          <cell r="FH418" t="str">
            <v>Done</v>
          </cell>
          <cell r="FI418" t="str">
            <v>Done</v>
          </cell>
          <cell r="FJ418" t="str">
            <v>NA</v>
          </cell>
          <cell r="FK418">
            <v>45311</v>
          </cell>
          <cell r="FM418" t="str">
            <v/>
          </cell>
          <cell r="GA418">
            <v>45199</v>
          </cell>
          <cell r="GC418">
            <v>45212</v>
          </cell>
          <cell r="GG418" t="str">
            <v>2023-2024</v>
          </cell>
        </row>
        <row r="419">
          <cell r="E419" t="str">
            <v>GF Plot No 99 22 88 78 77 98 Khata No 43  , Imamganj Dist Gaya , 249 41 107 Revenue thana no 316 Vill PS  , IMAMGANJ , 824206</v>
          </cell>
          <cell r="F419" t="str">
            <v>9. EPC Ready</v>
          </cell>
          <cell r="G419" t="str">
            <v>SPBHIMD2840</v>
          </cell>
          <cell r="H419" t="str">
            <v>BH-SM-IMJ-3000</v>
          </cell>
          <cell r="I419" t="str">
            <v>TWFM</v>
          </cell>
          <cell r="J419" t="str">
            <v>Q6RQ</v>
          </cell>
          <cell r="K419" t="str">
            <v xml:space="preserve">E </v>
          </cell>
          <cell r="L419" t="str">
            <v>AK</v>
          </cell>
          <cell r="M419" t="str">
            <v>EPC Ready</v>
          </cell>
          <cell r="Q419" t="str">
            <v>Gaurav Shinde</v>
          </cell>
          <cell r="S419" t="str">
            <v>Bihar</v>
          </cell>
          <cell r="T419" t="str">
            <v>Gaya</v>
          </cell>
          <cell r="U419" t="str">
            <v>Non Premium</v>
          </cell>
          <cell r="V419" t="str">
            <v>Pharma Format</v>
          </cell>
          <cell r="W419">
            <v>400</v>
          </cell>
          <cell r="X419" t="str">
            <v>GF Plot No 99 22 88 78 77 98 Khata No 43  , Imamganj Dist Gaya , 249 41 107 Revenue thana no 316 Vill PS  , IMAMGANJ , 824206</v>
          </cell>
          <cell r="Y419">
            <v>45166</v>
          </cell>
          <cell r="Z419" t="str">
            <v>NA</v>
          </cell>
          <cell r="AB419" t="str">
            <v>NA</v>
          </cell>
          <cell r="AF419" t="str">
            <v>NA</v>
          </cell>
          <cell r="AK419">
            <v>45280</v>
          </cell>
          <cell r="AL419" t="str">
            <v>Received</v>
          </cell>
          <cell r="AO419">
            <v>3</v>
          </cell>
          <cell r="AS419">
            <v>-3</v>
          </cell>
          <cell r="AU419">
            <v>4</v>
          </cell>
          <cell r="AY419">
            <v>-4</v>
          </cell>
          <cell r="BA419">
            <v>5</v>
          </cell>
          <cell r="BE419">
            <v>-5</v>
          </cell>
          <cell r="BG419">
            <v>5</v>
          </cell>
          <cell r="BK419">
            <v>-5</v>
          </cell>
          <cell r="BM419">
            <v>3</v>
          </cell>
          <cell r="BP419">
            <v>3</v>
          </cell>
          <cell r="BW419" t="str">
            <v>Done</v>
          </cell>
          <cell r="BX419">
            <v>45079</v>
          </cell>
          <cell r="BY419" t="str">
            <v>Approved</v>
          </cell>
          <cell r="CD419">
            <v>45163</v>
          </cell>
          <cell r="CG419" t="str">
            <v xml:space="preserve">M/S RECON </v>
          </cell>
          <cell r="CI419" t="str">
            <v>Issued</v>
          </cell>
          <cell r="DG419" t="str">
            <v>Netmed SDP - Not in Dead Rental</v>
          </cell>
          <cell r="DK419">
            <v>45205</v>
          </cell>
          <cell r="DL419">
            <v>45282</v>
          </cell>
          <cell r="DM419">
            <v>2</v>
          </cell>
          <cell r="DN419" t="str">
            <v>0 to 3 Days</v>
          </cell>
          <cell r="DQ419">
            <v>45207</v>
          </cell>
          <cell r="DR419">
            <v>7</v>
          </cell>
          <cell r="DS419">
            <v>7</v>
          </cell>
          <cell r="DU419">
            <v>45214</v>
          </cell>
          <cell r="DV419">
            <v>7</v>
          </cell>
          <cell r="DW419">
            <v>45214</v>
          </cell>
          <cell r="DX419" t="str">
            <v>Oct 23 Week 3</v>
          </cell>
          <cell r="DZ419">
            <v>45320</v>
          </cell>
          <cell r="EA419" t="str">
            <v>Jan 24 Week 5</v>
          </cell>
          <cell r="EB419" t="str">
            <v>Backlog</v>
          </cell>
          <cell r="ED419" t="str">
            <v/>
          </cell>
          <cell r="EE419" t="str">
            <v/>
          </cell>
          <cell r="EF419">
            <v>1</v>
          </cell>
          <cell r="EG419">
            <v>1</v>
          </cell>
          <cell r="FD419">
            <v>106</v>
          </cell>
          <cell r="FE419" t="str">
            <v>More Than 90  Days</v>
          </cell>
          <cell r="FF419">
            <v>45313</v>
          </cell>
          <cell r="FH419" t="str">
            <v>Done</v>
          </cell>
          <cell r="FI419" t="str">
            <v>Done</v>
          </cell>
          <cell r="FJ419" t="str">
            <v>NA</v>
          </cell>
          <cell r="FK419">
            <v>45328</v>
          </cell>
          <cell r="FM419" t="str">
            <v/>
          </cell>
          <cell r="GA419">
            <v>45320</v>
          </cell>
          <cell r="GC419">
            <v>45302</v>
          </cell>
          <cell r="GG419" t="str">
            <v>2023-2024</v>
          </cell>
        </row>
        <row r="420">
          <cell r="E420" t="str">
            <v>106 352 Hamirpur Road  , Kanpur Nagar , Achimohal Uttari Ghatampur  , GHATAMPUR , 209206</v>
          </cell>
          <cell r="F420" t="str">
            <v>14. Dropped</v>
          </cell>
          <cell r="G420" t="str">
            <v>SPUPKAK3590</v>
          </cell>
          <cell r="H420" t="str">
            <v>UP-SM-GTR-3000</v>
          </cell>
          <cell r="I420" t="str">
            <v>TYWI</v>
          </cell>
          <cell r="J420" t="str">
            <v/>
          </cell>
          <cell r="K420" t="str">
            <v xml:space="preserve">N </v>
          </cell>
          <cell r="L420" t="str">
            <v>KC</v>
          </cell>
          <cell r="M420" t="str">
            <v>Dropped</v>
          </cell>
          <cell r="Q420" t="str">
            <v>Gaurav Shinde</v>
          </cell>
          <cell r="S420" t="str">
            <v>Uttar Pradesh</v>
          </cell>
          <cell r="T420" t="str">
            <v>GHATAMPUR</v>
          </cell>
          <cell r="U420" t="str">
            <v>Non Premium</v>
          </cell>
          <cell r="V420" t="str">
            <v>Pharma Format</v>
          </cell>
          <cell r="W420">
            <v>414</v>
          </cell>
          <cell r="X420" t="str">
            <v>106 352 Hamirpur Road  , Kanpur Nagar , Achimohal Uttari Ghatampur  , GHATAMPUR , 209206</v>
          </cell>
          <cell r="Z420" t="str">
            <v>NA</v>
          </cell>
          <cell r="AB420" t="str">
            <v>NA</v>
          </cell>
          <cell r="AF420" t="str">
            <v>NA</v>
          </cell>
          <cell r="AL420" t="str">
            <v>NA</v>
          </cell>
          <cell r="AO420">
            <v>3</v>
          </cell>
          <cell r="AS420">
            <v>-3</v>
          </cell>
          <cell r="AU420">
            <v>4</v>
          </cell>
          <cell r="AY420">
            <v>-4</v>
          </cell>
          <cell r="BA420">
            <v>5</v>
          </cell>
          <cell r="BE420">
            <v>-5</v>
          </cell>
          <cell r="BG420">
            <v>5</v>
          </cell>
          <cell r="BK420">
            <v>-5</v>
          </cell>
          <cell r="BM420">
            <v>3</v>
          </cell>
          <cell r="BP420">
            <v>3</v>
          </cell>
          <cell r="BW420" t="str">
            <v>Done</v>
          </cell>
          <cell r="BX420">
            <v>45079</v>
          </cell>
          <cell r="BY420" t="str">
            <v>Approved</v>
          </cell>
          <cell r="DG420" t="str">
            <v>Netmed SDP - Not in Dead Rental</v>
          </cell>
          <cell r="DM420" t="str">
            <v>NA</v>
          </cell>
          <cell r="DN420" t="str">
            <v>NA</v>
          </cell>
          <cell r="DR420">
            <v>7</v>
          </cell>
          <cell r="DS420">
            <v>7</v>
          </cell>
          <cell r="DU420">
            <v>7</v>
          </cell>
          <cell r="DV420">
            <v>7</v>
          </cell>
          <cell r="DW420">
            <v>7</v>
          </cell>
          <cell r="EA420" t="str">
            <v/>
          </cell>
          <cell r="ED420" t="str">
            <v/>
          </cell>
          <cell r="EE420" t="str">
            <v/>
          </cell>
          <cell r="EF420">
            <v>1</v>
          </cell>
          <cell r="FD420">
            <v>46114</v>
          </cell>
          <cell r="FF420">
            <v>46114</v>
          </cell>
          <cell r="FJ420" t="str">
            <v>NA</v>
          </cell>
          <cell r="FM420" t="str">
            <v/>
          </cell>
          <cell r="GG420" t="str">
            <v>2024-2025</v>
          </cell>
        </row>
        <row r="421">
          <cell r="E421" t="str">
            <v>GF Maslandapur- 1 No Gram Panchayat  , Habra JL169 L.R Plot60 L.R Khatian 1792 , PO &amp; Mouza - Maslandapur PS Block &amp;ADSRO , Sansad No. 14  Dist - North 24 Parganas , Gobardanga , 743289</v>
          </cell>
          <cell r="F421" t="str">
            <v>9. EPC Ready</v>
          </cell>
          <cell r="G421" t="str">
            <v>SPWBMAN3533</v>
          </cell>
          <cell r="H421" t="str">
            <v>WB-SM-GOB-3000</v>
          </cell>
          <cell r="I421" t="str">
            <v>TYVU</v>
          </cell>
          <cell r="J421" t="str">
            <v>QB3Y</v>
          </cell>
          <cell r="K421" t="str">
            <v xml:space="preserve">E </v>
          </cell>
          <cell r="L421" t="str">
            <v>SD</v>
          </cell>
          <cell r="M421" t="str">
            <v>EPC Ready</v>
          </cell>
          <cell r="N421" t="str">
            <v>Mahendrakumar Warma</v>
          </cell>
          <cell r="O421" t="str">
            <v xml:space="preserve">Sandeepta Gayen </v>
          </cell>
          <cell r="Q421" t="str">
            <v>Gaurav Shinde</v>
          </cell>
          <cell r="S421" t="str">
            <v>West Bengal</v>
          </cell>
          <cell r="T421" t="str">
            <v>Gobardanga</v>
          </cell>
          <cell r="U421" t="str">
            <v>Non Premium</v>
          </cell>
          <cell r="V421" t="str">
            <v>Pharma Format</v>
          </cell>
          <cell r="W421">
            <v>400</v>
          </cell>
          <cell r="X421" t="str">
            <v>GF Maslandapur- 1 No Gram Panchayat  , Habra JL169 L.R Plot60 L.R Khatian 1792 , PO &amp; Mouza - Maslandapur PS Block &amp;ADSRO , Sansad No. 14  Dist - North 24 Parganas , Gobardanga , 743289</v>
          </cell>
          <cell r="Y421">
            <v>45159</v>
          </cell>
          <cell r="Z421" t="str">
            <v>NA</v>
          </cell>
          <cell r="AB421" t="str">
            <v>NA</v>
          </cell>
          <cell r="AF421" t="str">
            <v>NA</v>
          </cell>
          <cell r="AK421">
            <v>45246</v>
          </cell>
          <cell r="AL421" t="str">
            <v>Received</v>
          </cell>
          <cell r="AO421">
            <v>3</v>
          </cell>
          <cell r="AS421">
            <v>-3</v>
          </cell>
          <cell r="AU421">
            <v>4</v>
          </cell>
          <cell r="AY421">
            <v>-4</v>
          </cell>
          <cell r="BA421">
            <v>5</v>
          </cell>
          <cell r="BE421">
            <v>-5</v>
          </cell>
          <cell r="BG421">
            <v>5</v>
          </cell>
          <cell r="BK421">
            <v>-5</v>
          </cell>
          <cell r="BM421">
            <v>3</v>
          </cell>
          <cell r="BP421">
            <v>3</v>
          </cell>
          <cell r="BW421" t="str">
            <v>Done</v>
          </cell>
          <cell r="BX421">
            <v>45079</v>
          </cell>
          <cell r="BY421" t="str">
            <v>Approved</v>
          </cell>
          <cell r="CD421">
            <v>45162</v>
          </cell>
          <cell r="CE421">
            <v>45196</v>
          </cell>
          <cell r="CG421" t="str">
            <v>M/s. PRAYASH INFRASTRUCTURE ENTERPRISE</v>
          </cell>
          <cell r="CI421" t="str">
            <v>Issued</v>
          </cell>
          <cell r="DG421" t="str">
            <v>Netmed SDP - Not in Dead Rental</v>
          </cell>
          <cell r="DK421">
            <v>45283</v>
          </cell>
          <cell r="DL421">
            <v>45196</v>
          </cell>
          <cell r="DM421">
            <v>2</v>
          </cell>
          <cell r="DN421" t="str">
            <v>0 to 3 Days</v>
          </cell>
          <cell r="DP421">
            <v>45199</v>
          </cell>
          <cell r="DQ421">
            <v>45285</v>
          </cell>
          <cell r="DR421">
            <v>7</v>
          </cell>
          <cell r="DS421">
            <v>7</v>
          </cell>
          <cell r="DU421">
            <v>45292</v>
          </cell>
          <cell r="DV421">
            <v>45206</v>
          </cell>
          <cell r="DW421">
            <v>45292</v>
          </cell>
          <cell r="DX421" t="str">
            <v>Jan 24 Week 1</v>
          </cell>
          <cell r="DZ421">
            <v>45299</v>
          </cell>
          <cell r="EA421" t="str">
            <v>Jan 24 Week 2</v>
          </cell>
          <cell r="EB421" t="str">
            <v>Backlog</v>
          </cell>
          <cell r="ED421" t="str">
            <v/>
          </cell>
          <cell r="EE421" t="str">
            <v/>
          </cell>
          <cell r="EF421">
            <v>1</v>
          </cell>
          <cell r="EG421">
            <v>1</v>
          </cell>
          <cell r="FD421">
            <v>7</v>
          </cell>
          <cell r="FE421" t="str">
            <v>4 to 7 Days</v>
          </cell>
          <cell r="FF421">
            <v>93</v>
          </cell>
          <cell r="FG421" t="str">
            <v>More Than 90  Days</v>
          </cell>
          <cell r="FH421" t="str">
            <v>Done</v>
          </cell>
          <cell r="FI421" t="str">
            <v>Done</v>
          </cell>
          <cell r="FJ421" t="str">
            <v>NA</v>
          </cell>
          <cell r="FK421">
            <v>45299</v>
          </cell>
          <cell r="FM421" t="str">
            <v/>
          </cell>
          <cell r="GA421">
            <v>45296</v>
          </cell>
          <cell r="GG421" t="str">
            <v>2023-2024</v>
          </cell>
        </row>
        <row r="422">
          <cell r="E422" t="str">
            <v>GF Golaghat Town Block 2 Mouza  , Dist Golaghat , Moukhowa Golaghat Revenue Circle  , GOLAGHAT , 785621</v>
          </cell>
          <cell r="F422" t="str">
            <v>9. EPC Ready</v>
          </cell>
          <cell r="G422" t="str">
            <v>SPASGOW3635</v>
          </cell>
          <cell r="H422" t="str">
            <v>WB-SM-GOG-3001</v>
          </cell>
          <cell r="I422" t="str">
            <v>TYYM</v>
          </cell>
          <cell r="J422" t="str">
            <v>QB6Q</v>
          </cell>
          <cell r="K422" t="str">
            <v xml:space="preserve">E </v>
          </cell>
          <cell r="L422" t="str">
            <v>SD</v>
          </cell>
          <cell r="M422" t="str">
            <v>EPC Ready</v>
          </cell>
          <cell r="N422" t="str">
            <v>Mahendrakumar Warma</v>
          </cell>
          <cell r="O422" t="str">
            <v>Anup das (EXCEPT SIKKIM)</v>
          </cell>
          <cell r="P422" t="str">
            <v>Suman Das-7044069904</v>
          </cell>
          <cell r="Q422" t="str">
            <v>Gaurav Shinde</v>
          </cell>
          <cell r="S422" t="str">
            <v>Assam</v>
          </cell>
          <cell r="T422" t="str">
            <v>GOLAGHAT</v>
          </cell>
          <cell r="U422" t="str">
            <v>Non Premium</v>
          </cell>
          <cell r="V422" t="str">
            <v>Pharma Format</v>
          </cell>
          <cell r="W422">
            <v>400</v>
          </cell>
          <cell r="X422" t="str">
            <v>GF Golaghat Town Block 2 Mouza  , Dist Golaghat , Moukhowa Golaghat Revenue Circle  , GOLAGHAT , 785621</v>
          </cell>
          <cell r="Y422">
            <v>45163</v>
          </cell>
          <cell r="Z422" t="str">
            <v>NA</v>
          </cell>
          <cell r="AB422" t="str">
            <v>NA</v>
          </cell>
          <cell r="AF422" t="str">
            <v>NA</v>
          </cell>
          <cell r="AK422">
            <v>45153</v>
          </cell>
          <cell r="AL422" t="str">
            <v>Received</v>
          </cell>
          <cell r="AO422">
            <v>3</v>
          </cell>
          <cell r="AS422">
            <v>-3</v>
          </cell>
          <cell r="AU422">
            <v>4</v>
          </cell>
          <cell r="AY422">
            <v>-4</v>
          </cell>
          <cell r="BA422">
            <v>5</v>
          </cell>
          <cell r="BE422">
            <v>-5</v>
          </cell>
          <cell r="BG422">
            <v>5</v>
          </cell>
          <cell r="BK422">
            <v>-5</v>
          </cell>
          <cell r="BM422">
            <v>3</v>
          </cell>
          <cell r="BP422">
            <v>3</v>
          </cell>
          <cell r="BW422" t="str">
            <v>Done</v>
          </cell>
          <cell r="BX422">
            <v>45079</v>
          </cell>
          <cell r="BY422" t="str">
            <v>Approved</v>
          </cell>
          <cell r="CD422">
            <v>45162</v>
          </cell>
          <cell r="CE422">
            <v>45169</v>
          </cell>
          <cell r="CG422" t="str">
            <v>M/s. STAR SOLUTIONS</v>
          </cell>
          <cell r="CI422" t="str">
            <v>Issued</v>
          </cell>
          <cell r="DG422" t="str">
            <v>Netmed SDP - Not in Dead Rental</v>
          </cell>
          <cell r="DK422">
            <v>45214</v>
          </cell>
          <cell r="DL422">
            <v>45168</v>
          </cell>
          <cell r="DM422">
            <v>2</v>
          </cell>
          <cell r="DN422" t="str">
            <v>0 to 3 Days</v>
          </cell>
          <cell r="DP422">
            <v>45172</v>
          </cell>
          <cell r="DQ422">
            <v>45216</v>
          </cell>
          <cell r="DR422">
            <v>7</v>
          </cell>
          <cell r="DS422">
            <v>7</v>
          </cell>
          <cell r="DU422">
            <v>45223</v>
          </cell>
          <cell r="DV422">
            <v>45179</v>
          </cell>
          <cell r="DW422">
            <v>45223</v>
          </cell>
          <cell r="DX422" t="str">
            <v>Oct 23 Week 4</v>
          </cell>
          <cell r="DZ422">
            <v>45257</v>
          </cell>
          <cell r="EA422" t="str">
            <v>Nov 23 Week 4</v>
          </cell>
          <cell r="EB422" t="str">
            <v>Backlog</v>
          </cell>
          <cell r="ED422" t="str">
            <v/>
          </cell>
          <cell r="EE422" t="str">
            <v/>
          </cell>
          <cell r="EF422">
            <v>1</v>
          </cell>
          <cell r="EG422">
            <v>1</v>
          </cell>
          <cell r="FD422">
            <v>34</v>
          </cell>
          <cell r="FE422" t="str">
            <v>31 to 61 Days</v>
          </cell>
          <cell r="FF422">
            <v>78</v>
          </cell>
          <cell r="FG422" t="str">
            <v>62 to 90 Days</v>
          </cell>
          <cell r="FH422" t="str">
            <v>Done</v>
          </cell>
          <cell r="FI422" t="str">
            <v>Done</v>
          </cell>
          <cell r="FJ422" t="str">
            <v>NA</v>
          </cell>
          <cell r="FK422">
            <v>45260</v>
          </cell>
          <cell r="FM422" t="str">
            <v/>
          </cell>
          <cell r="GA422">
            <v>45257</v>
          </cell>
          <cell r="GC422">
            <v>45216</v>
          </cell>
          <cell r="GG422" t="str">
            <v>2023-2024</v>
          </cell>
        </row>
        <row r="423">
          <cell r="E423" t="str">
            <v>GF Dergain Town NH 37 Ward No 6  , Dergaon Dist Golaghat , Mouza Dergaon Revenue Circle  , GOLAGHAT , 785614</v>
          </cell>
          <cell r="F423" t="str">
            <v>9. EPC Ready</v>
          </cell>
          <cell r="G423" t="str">
            <v>SPASGOD3655</v>
          </cell>
          <cell r="H423" t="str">
            <v>WB-SM-GOG-3000</v>
          </cell>
          <cell r="I423" t="str">
            <v>TYVI</v>
          </cell>
          <cell r="J423" t="str">
            <v>QB3M</v>
          </cell>
          <cell r="K423" t="str">
            <v xml:space="preserve">E </v>
          </cell>
          <cell r="L423" t="str">
            <v>SD</v>
          </cell>
          <cell r="M423" t="str">
            <v>EPC Ready</v>
          </cell>
          <cell r="N423" t="str">
            <v>Mahendrakumar Warma</v>
          </cell>
          <cell r="O423" t="str">
            <v>Anup das (EXCEPT SIKKIM)</v>
          </cell>
          <cell r="P423" t="str">
            <v>Suman Das-7044069904</v>
          </cell>
          <cell r="Q423" t="str">
            <v>Gaurav Shinde</v>
          </cell>
          <cell r="S423" t="str">
            <v>Assam</v>
          </cell>
          <cell r="T423" t="str">
            <v>GOLAGHAT</v>
          </cell>
          <cell r="U423" t="str">
            <v>Non Premium</v>
          </cell>
          <cell r="V423" t="str">
            <v>Pharma Format</v>
          </cell>
          <cell r="W423">
            <v>400</v>
          </cell>
          <cell r="X423" t="str">
            <v>GF Dergain Town NH 37 Ward No 6  , Dergaon Dist Golaghat , Mouza Dergaon Revenue Circle  , GOLAGHAT , 785614</v>
          </cell>
          <cell r="Y423">
            <v>45166</v>
          </cell>
          <cell r="Z423" t="str">
            <v>NA</v>
          </cell>
          <cell r="AB423" t="str">
            <v>NA</v>
          </cell>
          <cell r="AF423" t="str">
            <v>NA</v>
          </cell>
          <cell r="AK423">
            <v>45163</v>
          </cell>
          <cell r="AL423" t="str">
            <v>Received</v>
          </cell>
          <cell r="AO423">
            <v>3</v>
          </cell>
          <cell r="AS423">
            <v>-3</v>
          </cell>
          <cell r="AU423">
            <v>4</v>
          </cell>
          <cell r="AY423">
            <v>-4</v>
          </cell>
          <cell r="BA423">
            <v>5</v>
          </cell>
          <cell r="BE423">
            <v>-5</v>
          </cell>
          <cell r="BG423">
            <v>5</v>
          </cell>
          <cell r="BK423">
            <v>-5</v>
          </cell>
          <cell r="BM423">
            <v>3</v>
          </cell>
          <cell r="BP423">
            <v>3</v>
          </cell>
          <cell r="BW423" t="str">
            <v>Done</v>
          </cell>
          <cell r="BX423">
            <v>45079</v>
          </cell>
          <cell r="BY423" t="str">
            <v>Approved</v>
          </cell>
          <cell r="CD423">
            <v>45163</v>
          </cell>
          <cell r="CE423">
            <v>45170</v>
          </cell>
          <cell r="CG423" t="str">
            <v>M/s. DAS ENTERPRISE</v>
          </cell>
          <cell r="CI423" t="str">
            <v>Issued</v>
          </cell>
          <cell r="DG423" t="str">
            <v>Netmed SDP - Not in Dead Rental</v>
          </cell>
          <cell r="DK423">
            <v>45233</v>
          </cell>
          <cell r="DL423">
            <v>45172</v>
          </cell>
          <cell r="DM423">
            <v>2</v>
          </cell>
          <cell r="DN423" t="str">
            <v>0 to 3 Days</v>
          </cell>
          <cell r="DP423">
            <v>45173</v>
          </cell>
          <cell r="DQ423">
            <v>45235</v>
          </cell>
          <cell r="DR423">
            <v>7</v>
          </cell>
          <cell r="DS423">
            <v>7</v>
          </cell>
          <cell r="DU423">
            <v>45242</v>
          </cell>
          <cell r="DV423">
            <v>45180</v>
          </cell>
          <cell r="DW423">
            <v>45242</v>
          </cell>
          <cell r="DX423" t="str">
            <v>Nov 23 Week 2</v>
          </cell>
          <cell r="DZ423">
            <v>45235</v>
          </cell>
          <cell r="EA423" t="str">
            <v>Nov 23 Week 1</v>
          </cell>
          <cell r="EB423" t="str">
            <v>Plan</v>
          </cell>
          <cell r="ED423" t="str">
            <v/>
          </cell>
          <cell r="EE423" t="str">
            <v/>
          </cell>
          <cell r="EF423">
            <v>1</v>
          </cell>
          <cell r="EG423">
            <v>1</v>
          </cell>
          <cell r="FD423">
            <v>-7</v>
          </cell>
          <cell r="FE423" t="str">
            <v>On Time</v>
          </cell>
          <cell r="FF423">
            <v>55</v>
          </cell>
          <cell r="FG423" t="str">
            <v>31 to 61 Days</v>
          </cell>
          <cell r="FH423" t="str">
            <v>Done</v>
          </cell>
          <cell r="FI423" t="str">
            <v>Done</v>
          </cell>
          <cell r="FJ423" t="str">
            <v>NA</v>
          </cell>
          <cell r="FK423">
            <v>45259</v>
          </cell>
          <cell r="FM423" t="str">
            <v/>
          </cell>
          <cell r="GA423">
            <v>45235</v>
          </cell>
          <cell r="GC423">
            <v>45216</v>
          </cell>
          <cell r="GG423" t="str">
            <v>2023-2024</v>
          </cell>
        </row>
        <row r="424">
          <cell r="E424" t="str">
            <v>Renu Devi Property  , Khunti , Joda Bagicha Main Road  , KHUNTI , 835210</v>
          </cell>
          <cell r="F424" t="str">
            <v>9. EPC Ready</v>
          </cell>
          <cell r="G424" t="str">
            <v>SPJHKHJ3797</v>
          </cell>
          <cell r="H424" t="str">
            <v>JH-SM-KHT-3002</v>
          </cell>
          <cell r="I424" t="str">
            <v>TYUK</v>
          </cell>
          <cell r="J424" t="str">
            <v>QB2O</v>
          </cell>
          <cell r="K424" t="str">
            <v xml:space="preserve">E </v>
          </cell>
          <cell r="L424" t="str">
            <v>AK</v>
          </cell>
          <cell r="M424" t="str">
            <v>EPC Ready</v>
          </cell>
          <cell r="P424" t="str">
            <v>Mr. Amal Gopal Dey-9558811809</v>
          </cell>
          <cell r="Q424" t="str">
            <v>Gaurav Shinde</v>
          </cell>
          <cell r="S424" t="str">
            <v>Jharkhand</v>
          </cell>
          <cell r="T424" t="str">
            <v>Khunti</v>
          </cell>
          <cell r="U424" t="str">
            <v>Non Premium</v>
          </cell>
          <cell r="V424" t="str">
            <v>Pharma Format</v>
          </cell>
          <cell r="W424">
            <v>415</v>
          </cell>
          <cell r="X424" t="str">
            <v>Renu Devi Property  , Khunti , Joda Bagicha Main Road  , KHUNTI , 835210</v>
          </cell>
          <cell r="Y424">
            <v>45104</v>
          </cell>
          <cell r="Z424" t="str">
            <v>NA</v>
          </cell>
          <cell r="AB424" t="str">
            <v>NA</v>
          </cell>
          <cell r="AF424" t="str">
            <v>NA</v>
          </cell>
          <cell r="AK424">
            <v>45157</v>
          </cell>
          <cell r="AL424" t="str">
            <v>Received</v>
          </cell>
          <cell r="AO424">
            <v>3</v>
          </cell>
          <cell r="AS424">
            <v>-3</v>
          </cell>
          <cell r="AU424">
            <v>4</v>
          </cell>
          <cell r="AY424">
            <v>-4</v>
          </cell>
          <cell r="BA424">
            <v>5</v>
          </cell>
          <cell r="BE424">
            <v>-5</v>
          </cell>
          <cell r="BG424">
            <v>5</v>
          </cell>
          <cell r="BK424">
            <v>-5</v>
          </cell>
          <cell r="BM424">
            <v>3</v>
          </cell>
          <cell r="BP424">
            <v>3</v>
          </cell>
          <cell r="BW424" t="str">
            <v>Done</v>
          </cell>
          <cell r="BX424">
            <v>45079</v>
          </cell>
          <cell r="BY424" t="str">
            <v>Approved</v>
          </cell>
          <cell r="CD424">
            <v>45103</v>
          </cell>
          <cell r="CE424">
            <v>45112</v>
          </cell>
          <cell r="CG424" t="str">
            <v>M/S VISHWAKARMA ENGINEERING</v>
          </cell>
          <cell r="CI424" t="str">
            <v>Issued</v>
          </cell>
          <cell r="DG424" t="str">
            <v>Netmed SDP - Not in Dead Rental</v>
          </cell>
          <cell r="DK424">
            <v>45200</v>
          </cell>
          <cell r="DM424">
            <v>2</v>
          </cell>
          <cell r="DN424" t="str">
            <v>0 to 3 Days</v>
          </cell>
          <cell r="DP424">
            <v>45115</v>
          </cell>
          <cell r="DQ424">
            <v>45202</v>
          </cell>
          <cell r="DR424">
            <v>7</v>
          </cell>
          <cell r="DS424">
            <v>7</v>
          </cell>
          <cell r="DU424">
            <v>45209</v>
          </cell>
          <cell r="DV424">
            <v>45122</v>
          </cell>
          <cell r="DW424">
            <v>45209</v>
          </cell>
          <cell r="DX424" t="str">
            <v>Oct 23 Week 2</v>
          </cell>
          <cell r="DZ424">
            <v>45286</v>
          </cell>
          <cell r="EA424" t="str">
            <v>Dec 23 Week 4</v>
          </cell>
          <cell r="EB424" t="str">
            <v>Backlog</v>
          </cell>
          <cell r="ED424" t="str">
            <v/>
          </cell>
          <cell r="EE424" t="str">
            <v/>
          </cell>
          <cell r="EF424">
            <v>1</v>
          </cell>
          <cell r="EG424">
            <v>1</v>
          </cell>
          <cell r="FD424">
            <v>77</v>
          </cell>
          <cell r="FE424" t="str">
            <v>62 to 90 Days</v>
          </cell>
          <cell r="FF424">
            <v>164</v>
          </cell>
          <cell r="FG424" t="str">
            <v>More Than 90  Days</v>
          </cell>
          <cell r="FH424" t="str">
            <v>Done</v>
          </cell>
          <cell r="FI424" t="str">
            <v>Done</v>
          </cell>
          <cell r="FJ424" t="str">
            <v>NA</v>
          </cell>
          <cell r="FK424">
            <v>45294</v>
          </cell>
          <cell r="FM424" t="str">
            <v/>
          </cell>
          <cell r="GA424">
            <v>45286</v>
          </cell>
          <cell r="GC424">
            <v>45163</v>
          </cell>
          <cell r="GG424" t="str">
            <v>2023-2024</v>
          </cell>
        </row>
        <row r="425">
          <cell r="E425" t="str">
            <v>SP Pharma Syed Complex Koduru</v>
          </cell>
          <cell r="F425" t="str">
            <v>9. EPC Ready</v>
          </cell>
          <cell r="G425" t="str">
            <v>SPAPKOJ3248</v>
          </cell>
          <cell r="H425" t="str">
            <v>AP-SM-KOU-3000</v>
          </cell>
          <cell r="I425" t="str">
            <v>TYE4</v>
          </cell>
          <cell r="J425" t="str">
            <v>QBJE</v>
          </cell>
          <cell r="K425" t="str">
            <v xml:space="preserve">E </v>
          </cell>
          <cell r="L425" t="str">
            <v>JD</v>
          </cell>
          <cell r="M425" t="str">
            <v>EPC Ready</v>
          </cell>
          <cell r="N425" t="str">
            <v>Jaisingh Desai</v>
          </cell>
          <cell r="P425" t="str">
            <v>Mr. Sudhakar Veerla</v>
          </cell>
          <cell r="Q425" t="str">
            <v>Gaurav Shinde</v>
          </cell>
          <cell r="S425" t="str">
            <v>Andhra Pradesh</v>
          </cell>
          <cell r="T425" t="str">
            <v>KODURU</v>
          </cell>
          <cell r="U425" t="str">
            <v>Non Premium</v>
          </cell>
          <cell r="V425" t="str">
            <v>Pharma Format</v>
          </cell>
          <cell r="W425">
            <v>400</v>
          </cell>
          <cell r="X425" t="str">
            <v>SP Pharma Syed Complex Koduru</v>
          </cell>
          <cell r="Y425">
            <v>45124</v>
          </cell>
          <cell r="Z425" t="str">
            <v>NA</v>
          </cell>
          <cell r="AB425" t="str">
            <v>NA</v>
          </cell>
          <cell r="AF425" t="str">
            <v>NA</v>
          </cell>
          <cell r="AK425">
            <v>45142</v>
          </cell>
          <cell r="AL425" t="str">
            <v>Received</v>
          </cell>
          <cell r="AO425">
            <v>3</v>
          </cell>
          <cell r="AS425">
            <v>-3</v>
          </cell>
          <cell r="AU425">
            <v>4</v>
          </cell>
          <cell r="AY425">
            <v>-4</v>
          </cell>
          <cell r="BA425">
            <v>5</v>
          </cell>
          <cell r="BE425">
            <v>-5</v>
          </cell>
          <cell r="BG425">
            <v>5</v>
          </cell>
          <cell r="BK425">
            <v>-5</v>
          </cell>
          <cell r="BM425">
            <v>3</v>
          </cell>
          <cell r="BP425">
            <v>3</v>
          </cell>
          <cell r="BW425" t="str">
            <v>Done</v>
          </cell>
          <cell r="BX425">
            <v>45079</v>
          </cell>
          <cell r="BY425" t="str">
            <v>Approved</v>
          </cell>
          <cell r="CD425">
            <v>45126</v>
          </cell>
          <cell r="CE425">
            <v>45159</v>
          </cell>
          <cell r="CG425" t="str">
            <v>M/s INDIAN COMPUTER CORPORATION    </v>
          </cell>
          <cell r="CI425" t="str">
            <v>Issued</v>
          </cell>
          <cell r="DG425" t="str">
            <v>Netmed SDP - Not in Dead Rental</v>
          </cell>
          <cell r="DK425">
            <v>45194</v>
          </cell>
          <cell r="DM425">
            <v>2</v>
          </cell>
          <cell r="DN425" t="str">
            <v>0 to 3 Days</v>
          </cell>
          <cell r="DP425">
            <v>45162</v>
          </cell>
          <cell r="DQ425">
            <v>45196</v>
          </cell>
          <cell r="DR425">
            <v>7</v>
          </cell>
          <cell r="DS425">
            <v>7</v>
          </cell>
          <cell r="DU425">
            <v>45203</v>
          </cell>
          <cell r="DV425">
            <v>45169</v>
          </cell>
          <cell r="DW425">
            <v>45203</v>
          </cell>
          <cell r="DX425" t="str">
            <v>Oct 23 Week 1</v>
          </cell>
          <cell r="DZ425">
            <v>45225</v>
          </cell>
          <cell r="EA425" t="str">
            <v>Oct 23 Week 4</v>
          </cell>
          <cell r="EB425" t="str">
            <v>Backlog</v>
          </cell>
          <cell r="ED425" t="str">
            <v/>
          </cell>
          <cell r="EE425" t="str">
            <v/>
          </cell>
          <cell r="EF425">
            <v>1</v>
          </cell>
          <cell r="EG425">
            <v>1</v>
          </cell>
          <cell r="FD425">
            <v>22</v>
          </cell>
          <cell r="FE425" t="str">
            <v>16 to 31 Days</v>
          </cell>
          <cell r="FF425">
            <v>56</v>
          </cell>
          <cell r="FG425" t="str">
            <v>31 to 61 Days</v>
          </cell>
          <cell r="FH425" t="str">
            <v>Done</v>
          </cell>
          <cell r="FI425" t="str">
            <v>Done</v>
          </cell>
          <cell r="FJ425" t="str">
            <v>NA</v>
          </cell>
          <cell r="FK425">
            <v>45370</v>
          </cell>
          <cell r="FM425" t="str">
            <v/>
          </cell>
          <cell r="GA425">
            <v>45307</v>
          </cell>
          <cell r="GC425">
            <v>45196</v>
          </cell>
          <cell r="GG425" t="str">
            <v>2023-2024</v>
          </cell>
        </row>
        <row r="426">
          <cell r="E426" t="str">
            <v>Shree Datta Supermarket,Khopoli Road via Gundage, Bhisegaon, Karjat, 410201</v>
          </cell>
          <cell r="F426" t="str">
            <v>14. Dropped</v>
          </cell>
          <cell r="G426" t="str">
            <v>SPMHRAR1071</v>
          </cell>
          <cell r="H426" t="str">
            <v>MU-SM-GMU-3037</v>
          </cell>
          <cell r="I426" t="str">
            <v>TXIH</v>
          </cell>
          <cell r="J426" t="str">
            <v/>
          </cell>
          <cell r="K426" t="str">
            <v>W</v>
          </cell>
          <cell r="L426" t="str">
            <v>KC</v>
          </cell>
          <cell r="M426" t="str">
            <v>Dropped</v>
          </cell>
          <cell r="Q426" t="str">
            <v>Gaurav Shinde</v>
          </cell>
          <cell r="S426" t="str">
            <v>GMU</v>
          </cell>
          <cell r="T426" t="str">
            <v>Greater Mumbai</v>
          </cell>
          <cell r="U426" t="str">
            <v>Non Premium</v>
          </cell>
          <cell r="V426" t="str">
            <v>Pharma Format</v>
          </cell>
          <cell r="W426">
            <v>120</v>
          </cell>
          <cell r="X426" t="str">
            <v>Shree Datta Supermarket,Khopoli Road via Gundage, Bhisegaon, Karjat, 410201</v>
          </cell>
          <cell r="Z426" t="str">
            <v>NA</v>
          </cell>
          <cell r="AB426" t="str">
            <v>NA</v>
          </cell>
          <cell r="AF426" t="str">
            <v>NA</v>
          </cell>
          <cell r="AL426" t="str">
            <v>NA</v>
          </cell>
          <cell r="AO426">
            <v>3</v>
          </cell>
          <cell r="AS426">
            <v>-3</v>
          </cell>
          <cell r="AU426">
            <v>4</v>
          </cell>
          <cell r="AY426">
            <v>-4</v>
          </cell>
          <cell r="BA426">
            <v>5</v>
          </cell>
          <cell r="BE426">
            <v>-5</v>
          </cell>
          <cell r="BG426">
            <v>5</v>
          </cell>
          <cell r="BK426">
            <v>-5</v>
          </cell>
          <cell r="BM426">
            <v>3</v>
          </cell>
          <cell r="BP426">
            <v>3</v>
          </cell>
          <cell r="BW426" t="str">
            <v>Done</v>
          </cell>
          <cell r="BX426">
            <v>45079</v>
          </cell>
          <cell r="BY426" t="str">
            <v>Approved</v>
          </cell>
          <cell r="DG426" t="str">
            <v>Netmed SDP - Not in Dead Rental</v>
          </cell>
          <cell r="DM426" t="str">
            <v>NA</v>
          </cell>
          <cell r="DN426" t="str">
            <v>NA</v>
          </cell>
          <cell r="DR426">
            <v>7</v>
          </cell>
          <cell r="DS426">
            <v>7</v>
          </cell>
          <cell r="DU426">
            <v>7</v>
          </cell>
          <cell r="DV426">
            <v>7</v>
          </cell>
          <cell r="DW426">
            <v>7</v>
          </cell>
          <cell r="EA426" t="str">
            <v/>
          </cell>
          <cell r="ED426" t="str">
            <v/>
          </cell>
          <cell r="EE426" t="str">
            <v/>
          </cell>
          <cell r="EF426">
            <v>1</v>
          </cell>
          <cell r="FD426">
            <v>46114</v>
          </cell>
          <cell r="FF426">
            <v>46114</v>
          </cell>
          <cell r="FJ426" t="str">
            <v>NA</v>
          </cell>
          <cell r="FM426" t="str">
            <v/>
          </cell>
          <cell r="GG426" t="str">
            <v>2024-2025</v>
          </cell>
        </row>
        <row r="427">
          <cell r="E427" t="str">
            <v>Vak Mahal Chithoor Road No 81 A Chithoor  , District , Road Near Water Tank Gudiyattam Vellore  , GUDIYATHAM , 632602</v>
          </cell>
          <cell r="F427" t="str">
            <v>9. EPC Ready</v>
          </cell>
          <cell r="G427" t="str">
            <v>SPTNVEV3350</v>
          </cell>
          <cell r="H427" t="str">
            <v>TN-SM-GDT-3000</v>
          </cell>
          <cell r="I427" t="str">
            <v>TYRP</v>
          </cell>
          <cell r="J427" t="str">
            <v>QBYT</v>
          </cell>
          <cell r="K427" t="str">
            <v>S</v>
          </cell>
          <cell r="L427" t="str">
            <v>AK</v>
          </cell>
          <cell r="M427" t="str">
            <v>EPC Ready</v>
          </cell>
          <cell r="N427" t="str">
            <v>N Kalyankumar</v>
          </cell>
          <cell r="O427" t="str">
            <v>Muthuvelu Minnal /
Vijayakumar Muthusamy</v>
          </cell>
          <cell r="Q427" t="str">
            <v>Gaurav Shinde</v>
          </cell>
          <cell r="S427" t="str">
            <v>Tamil Nadu</v>
          </cell>
          <cell r="T427" t="str">
            <v>Gudiyatham</v>
          </cell>
          <cell r="U427" t="str">
            <v>Non Premium</v>
          </cell>
          <cell r="V427" t="str">
            <v>Pharma Format</v>
          </cell>
          <cell r="W427">
            <v>400</v>
          </cell>
          <cell r="X427" t="str">
            <v>Vak Mahal Chithoor Road No 81 A Chithoor  , District , Road Near Water Tank Gudiyattam Vellore  , GUDIYATHAM , 632602</v>
          </cell>
          <cell r="Y427">
            <v>45166</v>
          </cell>
          <cell r="Z427" t="str">
            <v>NA</v>
          </cell>
          <cell r="AB427" t="str">
            <v>NA</v>
          </cell>
          <cell r="AF427" t="str">
            <v>NA</v>
          </cell>
          <cell r="AK427">
            <v>45183</v>
          </cell>
          <cell r="AL427" t="str">
            <v>Received</v>
          </cell>
          <cell r="AO427">
            <v>3</v>
          </cell>
          <cell r="AS427">
            <v>-3</v>
          </cell>
          <cell r="AU427">
            <v>4</v>
          </cell>
          <cell r="AY427">
            <v>-4</v>
          </cell>
          <cell r="BA427">
            <v>5</v>
          </cell>
          <cell r="BE427">
            <v>-5</v>
          </cell>
          <cell r="BG427">
            <v>5</v>
          </cell>
          <cell r="BK427">
            <v>-5</v>
          </cell>
          <cell r="BM427">
            <v>3</v>
          </cell>
          <cell r="BP427">
            <v>3</v>
          </cell>
          <cell r="BW427" t="str">
            <v>Done</v>
          </cell>
          <cell r="BX427">
            <v>45079</v>
          </cell>
          <cell r="BY427" t="str">
            <v>Approved</v>
          </cell>
          <cell r="CD427">
            <v>45163</v>
          </cell>
          <cell r="CE427">
            <v>45215</v>
          </cell>
          <cell r="CG427" t="str">
            <v>M/s Jacpel &amp; Co</v>
          </cell>
          <cell r="CI427" t="str">
            <v>Issued</v>
          </cell>
          <cell r="DG427" t="str">
            <v>Netmed SDP - Not in Dead Rental</v>
          </cell>
          <cell r="DK427">
            <v>45279</v>
          </cell>
          <cell r="DL427">
            <v>45201</v>
          </cell>
          <cell r="DM427">
            <v>2</v>
          </cell>
          <cell r="DN427" t="str">
            <v>0 to 3 Days</v>
          </cell>
          <cell r="DP427">
            <v>45218</v>
          </cell>
          <cell r="DQ427">
            <v>45281</v>
          </cell>
          <cell r="DR427">
            <v>7</v>
          </cell>
          <cell r="DS427">
            <v>7</v>
          </cell>
          <cell r="DU427">
            <v>45288</v>
          </cell>
          <cell r="DV427">
            <v>45225</v>
          </cell>
          <cell r="DW427">
            <v>45288</v>
          </cell>
          <cell r="DX427" t="str">
            <v>Dec 23 Week 4</v>
          </cell>
          <cell r="DZ427">
            <v>45300</v>
          </cell>
          <cell r="EA427" t="str">
            <v>Jan 24 Week 2</v>
          </cell>
          <cell r="EB427" t="str">
            <v>Backlog</v>
          </cell>
          <cell r="ED427" t="str">
            <v/>
          </cell>
          <cell r="EE427" t="str">
            <v/>
          </cell>
          <cell r="EF427">
            <v>1</v>
          </cell>
          <cell r="EG427">
            <v>1</v>
          </cell>
          <cell r="FD427">
            <v>12</v>
          </cell>
          <cell r="FE427" t="str">
            <v>8 to 15 Days</v>
          </cell>
          <cell r="FF427">
            <v>75</v>
          </cell>
          <cell r="FG427" t="str">
            <v>62 to 90 Days</v>
          </cell>
          <cell r="FH427" t="str">
            <v>Done</v>
          </cell>
          <cell r="FI427" t="str">
            <v>Done</v>
          </cell>
          <cell r="FJ427" t="str">
            <v>NA</v>
          </cell>
          <cell r="FK427">
            <v>45372</v>
          </cell>
          <cell r="FM427" t="str">
            <v/>
          </cell>
          <cell r="GA427">
            <v>45300</v>
          </cell>
          <cell r="GC427">
            <v>45279</v>
          </cell>
          <cell r="GG427" t="str">
            <v>2023-2024</v>
          </cell>
        </row>
        <row r="428">
          <cell r="E428" t="str">
            <v>Gf Mahavir Complex  , Main Bazar Road Indora , Opp Employment Exchange  , KANGRA , 176401</v>
          </cell>
          <cell r="F428" t="str">
            <v>9. EPC Ready</v>
          </cell>
          <cell r="G428" t="str">
            <v>SPHPINI4228</v>
          </cell>
          <cell r="H428" t="str">
            <v>HP-SM-IOA-3000</v>
          </cell>
          <cell r="I428" t="str">
            <v>TYT3</v>
          </cell>
          <cell r="J428" t="str">
            <v>Q3M5</v>
          </cell>
          <cell r="K428" t="str">
            <v xml:space="preserve">N </v>
          </cell>
          <cell r="L428" t="str">
            <v>KC</v>
          </cell>
          <cell r="M428" t="str">
            <v>EPC Ready</v>
          </cell>
          <cell r="P428" t="str">
            <v>Yogesh Kapoor-7888699608</v>
          </cell>
          <cell r="Q428" t="str">
            <v>Gaurav Shinde</v>
          </cell>
          <cell r="S428" t="str">
            <v>Himachal Pradesh</v>
          </cell>
          <cell r="T428" t="str">
            <v>Indora</v>
          </cell>
          <cell r="U428" t="str">
            <v>Non Premium</v>
          </cell>
          <cell r="V428" t="str">
            <v>Pharma Format</v>
          </cell>
          <cell r="W428">
            <v>398</v>
          </cell>
          <cell r="X428" t="str">
            <v>Gf Mahavir Complex  , Main Bazar Road Indora , Opp Employment Exchange  , KANGRA , 176401</v>
          </cell>
          <cell r="Y428">
            <v>45163</v>
          </cell>
          <cell r="Z428" t="str">
            <v>NA</v>
          </cell>
          <cell r="AB428" t="str">
            <v>NA</v>
          </cell>
          <cell r="AF428" t="str">
            <v>NA</v>
          </cell>
          <cell r="AK428">
            <v>45154</v>
          </cell>
          <cell r="AL428" t="str">
            <v>Received</v>
          </cell>
          <cell r="AM428">
            <v>0</v>
          </cell>
          <cell r="AO428">
            <v>3</v>
          </cell>
          <cell r="AS428">
            <v>-3</v>
          </cell>
          <cell r="AU428">
            <v>4</v>
          </cell>
          <cell r="AY428">
            <v>-4</v>
          </cell>
          <cell r="BA428">
            <v>5</v>
          </cell>
          <cell r="BE428">
            <v>-5</v>
          </cell>
          <cell r="BG428">
            <v>5</v>
          </cell>
          <cell r="BK428">
            <v>-5</v>
          </cell>
          <cell r="BM428">
            <v>3</v>
          </cell>
          <cell r="BP428">
            <v>3</v>
          </cell>
          <cell r="BW428" t="str">
            <v>Done</v>
          </cell>
          <cell r="BX428">
            <v>45079</v>
          </cell>
          <cell r="BY428" t="str">
            <v>Approved</v>
          </cell>
          <cell r="CD428">
            <v>45161</v>
          </cell>
          <cell r="CE428">
            <v>45175</v>
          </cell>
          <cell r="CG428" t="str">
            <v>M/s     ESSKAY ASSOCIATES
M/s     Brickwood global infracon Pvt. Ltd.</v>
          </cell>
          <cell r="CI428" t="str">
            <v>Issued</v>
          </cell>
          <cell r="DG428" t="str">
            <v>Netmed SDP - Not in Dead Rental</v>
          </cell>
          <cell r="DK428">
            <v>45179</v>
          </cell>
          <cell r="DL428">
            <v>45166</v>
          </cell>
          <cell r="DM428">
            <v>2</v>
          </cell>
          <cell r="DN428" t="str">
            <v>0 to 3 Days</v>
          </cell>
          <cell r="DP428">
            <v>45178</v>
          </cell>
          <cell r="DQ428">
            <v>45181</v>
          </cell>
          <cell r="DR428">
            <v>7</v>
          </cell>
          <cell r="DS428">
            <v>7</v>
          </cell>
          <cell r="DU428">
            <v>45188</v>
          </cell>
          <cell r="DV428">
            <v>45185</v>
          </cell>
          <cell r="DW428">
            <v>45188</v>
          </cell>
          <cell r="DX428" t="str">
            <v>Sep 23 Week 3</v>
          </cell>
          <cell r="DY428" t="str">
            <v>30-09-2023
15-10-2023</v>
          </cell>
          <cell r="DZ428">
            <v>45222</v>
          </cell>
          <cell r="EA428" t="str">
            <v>Oct 23 Week 4</v>
          </cell>
          <cell r="EB428" t="str">
            <v>Backlog</v>
          </cell>
          <cell r="ED428" t="str">
            <v/>
          </cell>
          <cell r="EE428" t="str">
            <v/>
          </cell>
          <cell r="EF428">
            <v>1</v>
          </cell>
          <cell r="EG428">
            <v>1</v>
          </cell>
          <cell r="FD428">
            <v>34</v>
          </cell>
          <cell r="FE428" t="str">
            <v>31 to 61 Days</v>
          </cell>
          <cell r="FF428">
            <v>37</v>
          </cell>
          <cell r="FG428" t="str">
            <v>31 to 61 Days</v>
          </cell>
          <cell r="FH428" t="str">
            <v>DONE</v>
          </cell>
          <cell r="FJ428" t="str">
            <v>NA</v>
          </cell>
          <cell r="FK428">
            <v>45426</v>
          </cell>
          <cell r="FM428" t="str">
            <v/>
          </cell>
          <cell r="GA428">
            <v>45204</v>
          </cell>
          <cell r="GC428">
            <v>45181</v>
          </cell>
          <cell r="GG428" t="str">
            <v>2023-2024</v>
          </cell>
        </row>
        <row r="429">
          <cell r="E429" t="str">
            <v>Vill Sahapur PO Kolaghat  , Medinipur , PS Kolaghat Purba  , Kolaghat , 721134</v>
          </cell>
          <cell r="F429" t="str">
            <v>9. EPC Ready</v>
          </cell>
          <cell r="G429" t="str">
            <v>SPWBKOS3779</v>
          </cell>
          <cell r="H429" t="str">
            <v>WB-SM-KLG-3000</v>
          </cell>
          <cell r="I429" t="str">
            <v>TYST</v>
          </cell>
          <cell r="J429" t="str">
            <v>QBZX</v>
          </cell>
          <cell r="K429" t="str">
            <v xml:space="preserve">E </v>
          </cell>
          <cell r="L429" t="str">
            <v>SD</v>
          </cell>
          <cell r="M429" t="str">
            <v>EPC Ready</v>
          </cell>
          <cell r="N429" t="str">
            <v>Mahendrakumar Warma</v>
          </cell>
          <cell r="O429" t="str">
            <v xml:space="preserve">Sandeepta Gayen </v>
          </cell>
          <cell r="P429" t="str">
            <v>Sagar Neyogi-7980192700</v>
          </cell>
          <cell r="Q429" t="str">
            <v>Gaurav Shinde</v>
          </cell>
          <cell r="S429" t="str">
            <v>West Bengal</v>
          </cell>
          <cell r="T429" t="str">
            <v>Kolaghat</v>
          </cell>
          <cell r="U429" t="str">
            <v>Non Premium</v>
          </cell>
          <cell r="V429" t="str">
            <v>Pharma Format</v>
          </cell>
          <cell r="W429">
            <v>400</v>
          </cell>
          <cell r="X429" t="str">
            <v>Vill Sahapur PO Kolaghat  , Medinipur , PS Kolaghat Purba  , Kolaghat , 721134</v>
          </cell>
          <cell r="Y429">
            <v>45159</v>
          </cell>
          <cell r="Z429" t="str">
            <v>NA</v>
          </cell>
          <cell r="AB429" t="str">
            <v>NA</v>
          </cell>
          <cell r="AF429" t="str">
            <v>NA</v>
          </cell>
          <cell r="AK429">
            <v>45238</v>
          </cell>
          <cell r="AL429" t="str">
            <v>Received</v>
          </cell>
          <cell r="AO429">
            <v>3</v>
          </cell>
          <cell r="AS429">
            <v>-3</v>
          </cell>
          <cell r="AU429">
            <v>4</v>
          </cell>
          <cell r="AY429">
            <v>-4</v>
          </cell>
          <cell r="BA429">
            <v>5</v>
          </cell>
          <cell r="BE429">
            <v>-5</v>
          </cell>
          <cell r="BG429">
            <v>5</v>
          </cell>
          <cell r="BK429">
            <v>-5</v>
          </cell>
          <cell r="BM429">
            <v>3</v>
          </cell>
          <cell r="BP429">
            <v>3</v>
          </cell>
          <cell r="BW429" t="str">
            <v>Done</v>
          </cell>
          <cell r="BX429">
            <v>45079</v>
          </cell>
          <cell r="BY429" t="str">
            <v>Approved</v>
          </cell>
          <cell r="CD429">
            <v>45162</v>
          </cell>
          <cell r="CE429">
            <v>45167</v>
          </cell>
          <cell r="CG429" t="str">
            <v>M/s. STEELMAN TELECOM PVT LTD</v>
          </cell>
          <cell r="CI429" t="str">
            <v>Issued</v>
          </cell>
          <cell r="DG429" t="str">
            <v>Netmed SDP - Not in Dead Rental</v>
          </cell>
          <cell r="DK429">
            <v>45198</v>
          </cell>
          <cell r="DM429">
            <v>2</v>
          </cell>
          <cell r="DN429" t="str">
            <v>0 to 3 Days</v>
          </cell>
          <cell r="DP429">
            <v>45170</v>
          </cell>
          <cell r="DQ429">
            <v>45200</v>
          </cell>
          <cell r="DR429">
            <v>7</v>
          </cell>
          <cell r="DS429">
            <v>7</v>
          </cell>
          <cell r="DU429">
            <v>45207</v>
          </cell>
          <cell r="DV429">
            <v>45177</v>
          </cell>
          <cell r="DW429">
            <v>45207</v>
          </cell>
          <cell r="DX429" t="str">
            <v>Oct 23 Week 2</v>
          </cell>
          <cell r="DZ429">
            <v>45297</v>
          </cell>
          <cell r="EA429" t="str">
            <v>Jan 24 Week 1</v>
          </cell>
          <cell r="EB429" t="str">
            <v>Backlog</v>
          </cell>
          <cell r="ED429" t="str">
            <v/>
          </cell>
          <cell r="EE429" t="str">
            <v/>
          </cell>
          <cell r="EF429">
            <v>1</v>
          </cell>
          <cell r="EG429">
            <v>1</v>
          </cell>
          <cell r="FD429">
            <v>90</v>
          </cell>
          <cell r="FE429" t="str">
            <v>62 to 90 Days</v>
          </cell>
          <cell r="FF429">
            <v>120</v>
          </cell>
          <cell r="FG429" t="str">
            <v>More Than 90  Days</v>
          </cell>
          <cell r="FH429" t="str">
            <v>Done</v>
          </cell>
          <cell r="FI429" t="str">
            <v>Done</v>
          </cell>
          <cell r="FJ429" t="str">
            <v>NA</v>
          </cell>
          <cell r="FK429">
            <v>45299</v>
          </cell>
          <cell r="FM429" t="str">
            <v/>
          </cell>
          <cell r="GA429">
            <v>45297</v>
          </cell>
          <cell r="GC429">
            <v>45200</v>
          </cell>
          <cell r="GG429" t="str">
            <v>2023-2024</v>
          </cell>
        </row>
        <row r="430">
          <cell r="E430" t="str">
            <v>House No 1 1 25 2 Jagtial Road  , Korutla Jagtial Dist , Opposite Amrutha Appartment  , Korutla , 505326</v>
          </cell>
          <cell r="F430" t="str">
            <v>9. EPC Ready</v>
          </cell>
          <cell r="G430" t="str">
            <v>SPTSKOJ4128</v>
          </cell>
          <cell r="H430" t="str">
            <v>AP-SM-KRT-3000</v>
          </cell>
          <cell r="I430" t="str">
            <v>T59D</v>
          </cell>
          <cell r="J430" t="str">
            <v>QVHH</v>
          </cell>
          <cell r="K430" t="str">
            <v xml:space="preserve">E </v>
          </cell>
          <cell r="L430" t="str">
            <v>AK</v>
          </cell>
          <cell r="M430" t="str">
            <v>EPC Ready</v>
          </cell>
          <cell r="O430" t="str">
            <v>Rajshekhar M</v>
          </cell>
          <cell r="P430" t="str">
            <v>Sudhakar Veerla- 9502135135</v>
          </cell>
          <cell r="Q430" t="str">
            <v>Gaurav Shinde</v>
          </cell>
          <cell r="S430" t="str">
            <v>Telangana</v>
          </cell>
          <cell r="T430" t="str">
            <v>Koratla</v>
          </cell>
          <cell r="U430" t="str">
            <v>Non Premium</v>
          </cell>
          <cell r="V430" t="str">
            <v>Pharma Format</v>
          </cell>
          <cell r="W430">
            <v>397</v>
          </cell>
          <cell r="X430" t="str">
            <v>House No 1 1 25 2 Jagtial Road  , Korutla Jagtial Dist , Opposite Amrutha Appartment  , Korutla , 505326</v>
          </cell>
          <cell r="Y430">
            <v>45163</v>
          </cell>
          <cell r="Z430" t="str">
            <v>NA</v>
          </cell>
          <cell r="AB430" t="str">
            <v>NA</v>
          </cell>
          <cell r="AF430" t="str">
            <v>NA</v>
          </cell>
          <cell r="AK430">
            <v>45183</v>
          </cell>
          <cell r="AL430" t="str">
            <v>Received</v>
          </cell>
          <cell r="AO430">
            <v>3</v>
          </cell>
          <cell r="AS430">
            <v>-3</v>
          </cell>
          <cell r="AU430">
            <v>4</v>
          </cell>
          <cell r="AY430">
            <v>-4</v>
          </cell>
          <cell r="BA430">
            <v>5</v>
          </cell>
          <cell r="BE430">
            <v>-5</v>
          </cell>
          <cell r="BG430">
            <v>5</v>
          </cell>
          <cell r="BK430">
            <v>-5</v>
          </cell>
          <cell r="BM430">
            <v>3</v>
          </cell>
          <cell r="BP430">
            <v>3</v>
          </cell>
          <cell r="BW430" t="str">
            <v>Done</v>
          </cell>
          <cell r="BX430">
            <v>45079</v>
          </cell>
          <cell r="BY430" t="str">
            <v>Approved</v>
          </cell>
          <cell r="CD430">
            <v>45162</v>
          </cell>
          <cell r="CE430">
            <v>45173</v>
          </cell>
          <cell r="CG430" t="str">
            <v>M/s SARK CORPORATION</v>
          </cell>
          <cell r="CI430" t="str">
            <v>Issued</v>
          </cell>
          <cell r="DG430" t="str">
            <v>Netmed SDP - Not in Dead Rental</v>
          </cell>
          <cell r="DK430">
            <v>45192</v>
          </cell>
          <cell r="DM430">
            <v>2</v>
          </cell>
          <cell r="DN430" t="str">
            <v>0 to 3 Days</v>
          </cell>
          <cell r="DP430">
            <v>45176</v>
          </cell>
          <cell r="DQ430">
            <v>45194</v>
          </cell>
          <cell r="DR430">
            <v>7</v>
          </cell>
          <cell r="DS430">
            <v>7</v>
          </cell>
          <cell r="DU430">
            <v>45201</v>
          </cell>
          <cell r="DV430">
            <v>45183</v>
          </cell>
          <cell r="DW430">
            <v>45201</v>
          </cell>
          <cell r="DX430" t="str">
            <v>Oct 23 Week 1</v>
          </cell>
          <cell r="DZ430">
            <v>45218</v>
          </cell>
          <cell r="EA430" t="str">
            <v>Oct 23 Week 3</v>
          </cell>
          <cell r="EB430" t="str">
            <v>Backlog</v>
          </cell>
          <cell r="ED430" t="str">
            <v/>
          </cell>
          <cell r="EE430" t="str">
            <v/>
          </cell>
          <cell r="EF430">
            <v>1</v>
          </cell>
          <cell r="EG430">
            <v>1</v>
          </cell>
          <cell r="FD430">
            <v>17</v>
          </cell>
          <cell r="FE430" t="str">
            <v>16 to 31 Days</v>
          </cell>
          <cell r="FF430">
            <v>35</v>
          </cell>
          <cell r="FG430" t="str">
            <v>31 to 61 Days</v>
          </cell>
          <cell r="FH430" t="str">
            <v>Done</v>
          </cell>
          <cell r="FI430" t="str">
            <v>Done</v>
          </cell>
          <cell r="FJ430" t="str">
            <v>NA</v>
          </cell>
          <cell r="FK430">
            <v>45219</v>
          </cell>
          <cell r="FM430" t="str">
            <v/>
          </cell>
          <cell r="GA430">
            <v>45218</v>
          </cell>
          <cell r="GC430">
            <v>45194</v>
          </cell>
          <cell r="GG430" t="str">
            <v>2023-2024</v>
          </cell>
        </row>
        <row r="431">
          <cell r="E431" t="str">
            <v>Plot No 996 31 Gali No 2 Laxman Vihar  , Gurgram , Phase 1 Near Railway Road  , Gurugram , 122006</v>
          </cell>
          <cell r="F431" t="str">
            <v>14. Dropped</v>
          </cell>
          <cell r="G431" t="str">
            <v>SPDLDED3529</v>
          </cell>
          <cell r="H431" t="str">
            <v>DE-SM-GUR-3003</v>
          </cell>
          <cell r="I431" t="str">
            <v>TYFZ</v>
          </cell>
          <cell r="J431" t="str">
            <v/>
          </cell>
          <cell r="K431" t="str">
            <v xml:space="preserve">N </v>
          </cell>
          <cell r="L431" t="str">
            <v>KC</v>
          </cell>
          <cell r="M431" t="str">
            <v>Dropped</v>
          </cell>
          <cell r="Q431" t="str">
            <v>Gaurav Shinde</v>
          </cell>
          <cell r="S431" t="str">
            <v>Haryana</v>
          </cell>
          <cell r="T431" t="str">
            <v>Gurgram</v>
          </cell>
          <cell r="U431" t="str">
            <v>Non Premium</v>
          </cell>
          <cell r="V431" t="str">
            <v>Pharma Format</v>
          </cell>
          <cell r="W431">
            <v>400</v>
          </cell>
          <cell r="X431" t="str">
            <v>Plot No 996 31 Gali No 2 Laxman Vihar  , Gurgram , Phase 1 Near Railway Road  , Gurugram , 122006</v>
          </cell>
          <cell r="Z431" t="str">
            <v>NA</v>
          </cell>
          <cell r="AB431" t="str">
            <v>NA</v>
          </cell>
          <cell r="AF431" t="str">
            <v>NA</v>
          </cell>
          <cell r="AL431" t="str">
            <v>NA</v>
          </cell>
          <cell r="AO431">
            <v>3</v>
          </cell>
          <cell r="AS431">
            <v>-3</v>
          </cell>
          <cell r="AU431">
            <v>4</v>
          </cell>
          <cell r="AY431">
            <v>-4</v>
          </cell>
          <cell r="BA431">
            <v>5</v>
          </cell>
          <cell r="BE431">
            <v>-5</v>
          </cell>
          <cell r="BG431">
            <v>5</v>
          </cell>
          <cell r="BK431">
            <v>-5</v>
          </cell>
          <cell r="BM431">
            <v>3</v>
          </cell>
          <cell r="BP431">
            <v>3</v>
          </cell>
          <cell r="BW431" t="str">
            <v>Done</v>
          </cell>
          <cell r="BX431">
            <v>45079</v>
          </cell>
          <cell r="BY431" t="str">
            <v>Approved</v>
          </cell>
          <cell r="DG431" t="str">
            <v>Netmed SDP - Not in Dead Rental</v>
          </cell>
          <cell r="DM431" t="str">
            <v>NA</v>
          </cell>
          <cell r="DN431" t="str">
            <v>NA</v>
          </cell>
          <cell r="DR431">
            <v>7</v>
          </cell>
          <cell r="DS431">
            <v>7</v>
          </cell>
          <cell r="DU431">
            <v>7</v>
          </cell>
          <cell r="DV431">
            <v>7</v>
          </cell>
          <cell r="DW431">
            <v>7</v>
          </cell>
          <cell r="EA431" t="str">
            <v/>
          </cell>
          <cell r="ED431" t="str">
            <v/>
          </cell>
          <cell r="EE431" t="str">
            <v/>
          </cell>
          <cell r="EF431">
            <v>1</v>
          </cell>
          <cell r="FD431">
            <v>46114</v>
          </cell>
          <cell r="FF431">
            <v>46114</v>
          </cell>
          <cell r="FJ431" t="str">
            <v>NA</v>
          </cell>
          <cell r="FM431" t="str">
            <v/>
          </cell>
          <cell r="GG431" t="str">
            <v>2024-2025</v>
          </cell>
        </row>
        <row r="432">
          <cell r="E432" t="str">
            <v>GF Revenue Vill Notun town Dag no 1554  , Ulubari Guwahati Dist Kamrup M , KP Patta no 31 Saronia Mouza  , GUWAHATI , 781003</v>
          </cell>
          <cell r="F432" t="str">
            <v>9. EPC Ready</v>
          </cell>
          <cell r="G432" t="str">
            <v>SPASGUR3244</v>
          </cell>
          <cell r="H432" t="str">
            <v>WB-SM-GUW-3015</v>
          </cell>
          <cell r="I432" t="str">
            <v>TYGS</v>
          </cell>
          <cell r="J432" t="str">
            <v>QEMR</v>
          </cell>
          <cell r="K432" t="str">
            <v xml:space="preserve">E </v>
          </cell>
          <cell r="L432" t="str">
            <v>SD</v>
          </cell>
          <cell r="M432" t="str">
            <v>EPC Ready</v>
          </cell>
          <cell r="N432" t="str">
            <v>Mahendrakumar Warma</v>
          </cell>
          <cell r="O432" t="str">
            <v>Anup das (EXCEPT SIKKIM)</v>
          </cell>
          <cell r="P432" t="str">
            <v>Debanjan Adhikari-8918234696</v>
          </cell>
          <cell r="Q432" t="str">
            <v>Gaurav Shinde</v>
          </cell>
          <cell r="S432" t="str">
            <v>Assam</v>
          </cell>
          <cell r="T432" t="str">
            <v>GUWAHATI</v>
          </cell>
          <cell r="U432" t="str">
            <v>Non Premium</v>
          </cell>
          <cell r="V432" t="str">
            <v>Pharma Format</v>
          </cell>
          <cell r="W432">
            <v>400</v>
          </cell>
          <cell r="X432" t="str">
            <v>GF Revenue Vill Notun town Dag no 1554  , Ulubari Guwahati Dist Kamrup M , KP Patta no 31 Saronia Mouza  , GUWAHATI , 781003</v>
          </cell>
          <cell r="Y432">
            <v>45166</v>
          </cell>
          <cell r="Z432" t="str">
            <v>NA</v>
          </cell>
          <cell r="AB432" t="str">
            <v>NA</v>
          </cell>
          <cell r="AF432" t="str">
            <v>NA</v>
          </cell>
          <cell r="AK432">
            <v>45238</v>
          </cell>
          <cell r="AL432" t="str">
            <v>Received</v>
          </cell>
          <cell r="AO432">
            <v>3</v>
          </cell>
          <cell r="AS432">
            <v>-3</v>
          </cell>
          <cell r="AU432">
            <v>4</v>
          </cell>
          <cell r="AY432">
            <v>-4</v>
          </cell>
          <cell r="BA432">
            <v>5</v>
          </cell>
          <cell r="BE432">
            <v>-5</v>
          </cell>
          <cell r="BG432">
            <v>5</v>
          </cell>
          <cell r="BK432">
            <v>-5</v>
          </cell>
          <cell r="BM432">
            <v>3</v>
          </cell>
          <cell r="BP432">
            <v>3</v>
          </cell>
          <cell r="BW432" t="str">
            <v>Done</v>
          </cell>
          <cell r="BX432">
            <v>45079</v>
          </cell>
          <cell r="BY432" t="str">
            <v>Approved</v>
          </cell>
          <cell r="CD432">
            <v>45163</v>
          </cell>
          <cell r="CE432">
            <v>45177</v>
          </cell>
          <cell r="CG432" t="str">
            <v>M/s. STAR SOLUTIONS</v>
          </cell>
          <cell r="CI432" t="str">
            <v>Issued</v>
          </cell>
          <cell r="DG432" t="str">
            <v>Netmed SDP - Not in Dead Rental</v>
          </cell>
          <cell r="DK432">
            <v>45289</v>
          </cell>
          <cell r="DM432">
            <v>2</v>
          </cell>
          <cell r="DN432" t="str">
            <v>0 to 3 Days</v>
          </cell>
          <cell r="DP432">
            <v>45180</v>
          </cell>
          <cell r="DQ432">
            <v>45291</v>
          </cell>
          <cell r="DR432">
            <v>7</v>
          </cell>
          <cell r="DS432">
            <v>7</v>
          </cell>
          <cell r="DU432">
            <v>45298</v>
          </cell>
          <cell r="DV432">
            <v>45187</v>
          </cell>
          <cell r="DW432">
            <v>45298</v>
          </cell>
          <cell r="DX432" t="str">
            <v>Jan 24 Week 1</v>
          </cell>
          <cell r="DZ432">
            <v>45286</v>
          </cell>
          <cell r="EA432" t="str">
            <v>Dec 23 Week 4</v>
          </cell>
          <cell r="EB432" t="str">
            <v>Plan</v>
          </cell>
          <cell r="ED432" t="str">
            <v/>
          </cell>
          <cell r="EE432" t="str">
            <v/>
          </cell>
          <cell r="EF432">
            <v>1</v>
          </cell>
          <cell r="EG432">
            <v>1</v>
          </cell>
          <cell r="FD432">
            <v>-12</v>
          </cell>
          <cell r="FE432" t="str">
            <v>On Time</v>
          </cell>
          <cell r="FF432">
            <v>99</v>
          </cell>
          <cell r="FG432" t="str">
            <v>More Than 90  Days</v>
          </cell>
          <cell r="FH432" t="str">
            <v>Done</v>
          </cell>
          <cell r="FI432" t="str">
            <v>Done</v>
          </cell>
          <cell r="FJ432" t="str">
            <v>NA</v>
          </cell>
          <cell r="FK432">
            <v>45299</v>
          </cell>
          <cell r="FM432" t="str">
            <v/>
          </cell>
          <cell r="GA432">
            <v>45295</v>
          </cell>
          <cell r="GC432">
            <v>45252</v>
          </cell>
          <cell r="GG432" t="str">
            <v>2023-2024</v>
          </cell>
        </row>
        <row r="433">
          <cell r="E433" t="str">
            <v>GF Haryana Bhawan Narayan Nagar Dag No  , Kumarpara , 1438 &amp; 2104 Periodic Patta No 1209 , Mouza Guwahati Dist Kamrup , GUWAHATI , 781009</v>
          </cell>
          <cell r="F433" t="str">
            <v>11. HOLD</v>
          </cell>
          <cell r="G433" t="str">
            <v>PHCOSD10503</v>
          </cell>
          <cell r="H433" t="str">
            <v>WB-SM-GUW-3017</v>
          </cell>
          <cell r="I433" t="str">
            <v>U3QX</v>
          </cell>
          <cell r="J433" t="str">
            <v/>
          </cell>
          <cell r="K433" t="str">
            <v xml:space="preserve">E </v>
          </cell>
          <cell r="L433" t="str">
            <v>SD</v>
          </cell>
          <cell r="M433" t="str">
            <v>NRFC</v>
          </cell>
          <cell r="N433" t="str">
            <v>Mahendrakumar Warma</v>
          </cell>
          <cell r="O433" t="str">
            <v>Anup das (EXCEPT SIKKIM)</v>
          </cell>
          <cell r="Q433" t="str">
            <v>Gaurav Shinde</v>
          </cell>
          <cell r="S433" t="str">
            <v>Assam</v>
          </cell>
          <cell r="T433" t="str">
            <v>Guwahati</v>
          </cell>
          <cell r="U433" t="str">
            <v>Non Premium</v>
          </cell>
          <cell r="V433" t="str">
            <v>Pharma Format</v>
          </cell>
          <cell r="W433">
            <v>400</v>
          </cell>
          <cell r="X433" t="str">
            <v>GF Haryana Bhawan Narayan Nagar Dag No  , Kumarpara , 1438 &amp; 2104 Periodic Patta No 1209 , Mouza Guwahati Dist Kamrup , GUWAHATI , 781009</v>
          </cell>
          <cell r="Z433" t="str">
            <v>NA</v>
          </cell>
          <cell r="AB433" t="str">
            <v>NA</v>
          </cell>
          <cell r="AF433" t="str">
            <v>NA</v>
          </cell>
          <cell r="AK433">
            <v>45162</v>
          </cell>
          <cell r="AL433" t="str">
            <v>Received</v>
          </cell>
          <cell r="AO433">
            <v>3</v>
          </cell>
          <cell r="AS433">
            <v>-3</v>
          </cell>
          <cell r="AU433">
            <v>4</v>
          </cell>
          <cell r="AY433">
            <v>-4</v>
          </cell>
          <cell r="BA433">
            <v>5</v>
          </cell>
          <cell r="BE433">
            <v>-5</v>
          </cell>
          <cell r="BG433">
            <v>5</v>
          </cell>
          <cell r="BK433">
            <v>-5</v>
          </cell>
          <cell r="BM433">
            <v>3</v>
          </cell>
          <cell r="BP433">
            <v>3</v>
          </cell>
          <cell r="BW433" t="str">
            <v>Done</v>
          </cell>
          <cell r="BX433">
            <v>45079</v>
          </cell>
          <cell r="BY433" t="str">
            <v>Approved</v>
          </cell>
          <cell r="DG433" t="str">
            <v>Netmed SDP - Not in Dead Rental</v>
          </cell>
          <cell r="DM433" t="str">
            <v>NA</v>
          </cell>
          <cell r="DN433" t="str">
            <v>NA</v>
          </cell>
          <cell r="DR433">
            <v>7</v>
          </cell>
          <cell r="DS433">
            <v>7</v>
          </cell>
          <cell r="DU433">
            <v>7</v>
          </cell>
          <cell r="DV433">
            <v>7</v>
          </cell>
          <cell r="DW433">
            <v>7</v>
          </cell>
          <cell r="EA433" t="str">
            <v/>
          </cell>
          <cell r="ED433" t="str">
            <v/>
          </cell>
          <cell r="EE433" t="str">
            <v/>
          </cell>
          <cell r="EF433">
            <v>1</v>
          </cell>
          <cell r="FD433">
            <v>46114</v>
          </cell>
          <cell r="FF433">
            <v>46114</v>
          </cell>
          <cell r="FJ433" t="str">
            <v>NA</v>
          </cell>
          <cell r="FM433" t="str">
            <v/>
          </cell>
          <cell r="GG433" t="str">
            <v>2026-2027</v>
          </cell>
        </row>
        <row r="434">
          <cell r="E434" t="str">
            <v>Sandeep Complex 488 1 Main Road  ,  , Kothacheruvu Anantapur  , KOTHACHERUVU , 515133</v>
          </cell>
          <cell r="F434" t="str">
            <v>9. EPC Ready</v>
          </cell>
          <cell r="G434" t="str">
            <v>SPAPKOM3725</v>
          </cell>
          <cell r="H434" t="str">
            <v>AP-SM-KTH-3000</v>
          </cell>
          <cell r="I434" t="str">
            <v>TWJ1</v>
          </cell>
          <cell r="J434" t="str">
            <v>Q6KE</v>
          </cell>
          <cell r="K434" t="str">
            <v xml:space="preserve">E </v>
          </cell>
          <cell r="L434" t="str">
            <v>JD</v>
          </cell>
          <cell r="M434" t="str">
            <v>EPC Ready</v>
          </cell>
          <cell r="N434" t="str">
            <v>Jaisingh Desai</v>
          </cell>
          <cell r="P434" t="str">
            <v>Mr. Deepti Chandrashekhar</v>
          </cell>
          <cell r="Q434" t="str">
            <v>Gaurav Shinde</v>
          </cell>
          <cell r="S434" t="str">
            <v>Andhra Pradesh</v>
          </cell>
          <cell r="T434" t="str">
            <v>Kothacheruvu</v>
          </cell>
          <cell r="U434" t="str">
            <v>Non Premium</v>
          </cell>
          <cell r="V434" t="str">
            <v>Pharma Format</v>
          </cell>
          <cell r="W434">
            <v>400</v>
          </cell>
          <cell r="X434" t="str">
            <v>Sandeep Complex 488 1 Main Road  ,  , Kothacheruvu Anantapur  , KOTHACHERUVU , 515133</v>
          </cell>
          <cell r="Y434">
            <v>45124</v>
          </cell>
          <cell r="Z434" t="str">
            <v>NA</v>
          </cell>
          <cell r="AB434" t="str">
            <v>NA</v>
          </cell>
          <cell r="AF434" t="str">
            <v>NA</v>
          </cell>
          <cell r="AK434">
            <v>45167</v>
          </cell>
          <cell r="AL434" t="str">
            <v>Received</v>
          </cell>
          <cell r="AO434">
            <v>3</v>
          </cell>
          <cell r="AS434">
            <v>-3</v>
          </cell>
          <cell r="AU434">
            <v>4</v>
          </cell>
          <cell r="AY434">
            <v>-4</v>
          </cell>
          <cell r="BA434">
            <v>5</v>
          </cell>
          <cell r="BE434">
            <v>-5</v>
          </cell>
          <cell r="BG434">
            <v>5</v>
          </cell>
          <cell r="BK434">
            <v>-5</v>
          </cell>
          <cell r="BM434">
            <v>3</v>
          </cell>
          <cell r="BP434">
            <v>3</v>
          </cell>
          <cell r="BW434" t="str">
            <v>Done</v>
          </cell>
          <cell r="BX434">
            <v>45079</v>
          </cell>
          <cell r="BY434" t="str">
            <v>Approved</v>
          </cell>
          <cell r="CD434">
            <v>45126</v>
          </cell>
          <cell r="CE434">
            <v>45159</v>
          </cell>
          <cell r="CG434" t="str">
            <v>M/s INDIAN COMPUTER CORPORATION    </v>
          </cell>
          <cell r="CI434" t="str">
            <v>Issued</v>
          </cell>
          <cell r="DG434" t="str">
            <v>Netmed SDP - Not in Dead Rental</v>
          </cell>
          <cell r="DK434">
            <v>45200</v>
          </cell>
          <cell r="DM434">
            <v>2</v>
          </cell>
          <cell r="DN434" t="str">
            <v>0 to 3 Days</v>
          </cell>
          <cell r="DP434">
            <v>45162</v>
          </cell>
          <cell r="DQ434">
            <v>45202</v>
          </cell>
          <cell r="DR434">
            <v>7</v>
          </cell>
          <cell r="DS434">
            <v>7</v>
          </cell>
          <cell r="DU434">
            <v>45209</v>
          </cell>
          <cell r="DV434">
            <v>45169</v>
          </cell>
          <cell r="DW434">
            <v>45209</v>
          </cell>
          <cell r="DX434" t="str">
            <v>Oct 23 Week 2</v>
          </cell>
          <cell r="DZ434">
            <v>45258</v>
          </cell>
          <cell r="EA434" t="str">
            <v>Nov 23 Week 4</v>
          </cell>
          <cell r="EB434" t="str">
            <v>Backlog</v>
          </cell>
          <cell r="ED434" t="str">
            <v/>
          </cell>
          <cell r="EE434" t="str">
            <v/>
          </cell>
          <cell r="EF434">
            <v>1</v>
          </cell>
          <cell r="EG434">
            <v>1</v>
          </cell>
          <cell r="FD434">
            <v>49</v>
          </cell>
          <cell r="FE434" t="str">
            <v>31 to 61 Days</v>
          </cell>
          <cell r="FF434">
            <v>89</v>
          </cell>
          <cell r="FG434" t="str">
            <v>62 to 90 Days</v>
          </cell>
          <cell r="FH434" t="str">
            <v>done</v>
          </cell>
          <cell r="FJ434" t="str">
            <v>NA</v>
          </cell>
          <cell r="FK434">
            <v>45399</v>
          </cell>
          <cell r="FM434" t="str">
            <v/>
          </cell>
          <cell r="GA434">
            <v>45262</v>
          </cell>
          <cell r="GC434">
            <v>45229</v>
          </cell>
          <cell r="GG434" t="str">
            <v>2023-2024</v>
          </cell>
        </row>
        <row r="435">
          <cell r="E435" t="str">
            <v>Sr Saraju Halisahar Station Road 20 16  , Halisahar North 24Pargana , 34 9 Col Kp Gupta Po Nabanagar Ps Bijpur  , HALISHAR , 743136</v>
          </cell>
          <cell r="F435" t="str">
            <v>9. EPC Ready</v>
          </cell>
          <cell r="G435" t="str">
            <v>SPWBBIN3738</v>
          </cell>
          <cell r="H435" t="str">
            <v>WB-SM-HSH-3002</v>
          </cell>
          <cell r="I435" t="str">
            <v>TAYC</v>
          </cell>
          <cell r="J435" t="str">
            <v>QGHG</v>
          </cell>
          <cell r="K435" t="str">
            <v xml:space="preserve">E </v>
          </cell>
          <cell r="L435" t="str">
            <v>SD</v>
          </cell>
          <cell r="M435" t="str">
            <v>EPC Ready</v>
          </cell>
          <cell r="N435" t="str">
            <v>Mahendrakumar Warma</v>
          </cell>
          <cell r="O435" t="str">
            <v xml:space="preserve">Sandeepta Gayen </v>
          </cell>
          <cell r="Q435" t="str">
            <v>Gaurav Shinde</v>
          </cell>
          <cell r="S435" t="str">
            <v>West Bengal</v>
          </cell>
          <cell r="T435" t="str">
            <v>Halisahar</v>
          </cell>
          <cell r="U435" t="str">
            <v>Non Premium</v>
          </cell>
          <cell r="V435" t="str">
            <v>Pharma Format</v>
          </cell>
          <cell r="W435">
            <v>393</v>
          </cell>
          <cell r="X435" t="str">
            <v>Sr Saraju Halisahar Station Road 20 16  , Halisahar North 24Pargana , 34 9 Col Kp Gupta Po Nabanagar Ps Bijpur  , HALISHAR , 743136</v>
          </cell>
          <cell r="Y435">
            <v>45166</v>
          </cell>
          <cell r="Z435" t="str">
            <v>NA</v>
          </cell>
          <cell r="AB435" t="str">
            <v>NA</v>
          </cell>
          <cell r="AF435" t="str">
            <v>NA</v>
          </cell>
          <cell r="AK435">
            <v>45183</v>
          </cell>
          <cell r="AL435" t="str">
            <v>Received</v>
          </cell>
          <cell r="AO435">
            <v>3</v>
          </cell>
          <cell r="AS435">
            <v>-3</v>
          </cell>
          <cell r="AU435">
            <v>4</v>
          </cell>
          <cell r="AY435">
            <v>-4</v>
          </cell>
          <cell r="BA435">
            <v>5</v>
          </cell>
          <cell r="BE435">
            <v>-5</v>
          </cell>
          <cell r="BG435">
            <v>5</v>
          </cell>
          <cell r="BK435">
            <v>-5</v>
          </cell>
          <cell r="BM435">
            <v>3</v>
          </cell>
          <cell r="BP435">
            <v>3</v>
          </cell>
          <cell r="BW435" t="str">
            <v>Done</v>
          </cell>
          <cell r="BX435">
            <v>45079</v>
          </cell>
          <cell r="BY435" t="str">
            <v>Approved</v>
          </cell>
          <cell r="CD435">
            <v>45163</v>
          </cell>
          <cell r="CE435">
            <v>45196</v>
          </cell>
          <cell r="CG435" t="str">
            <v>M/s. ELECTROLEC ENTERPRISE</v>
          </cell>
          <cell r="CI435" t="str">
            <v>Issued</v>
          </cell>
          <cell r="DG435" t="str">
            <v>Netmed SDP - Not in Dead Rental</v>
          </cell>
          <cell r="DK435">
            <v>45228</v>
          </cell>
          <cell r="DL435">
            <v>45171</v>
          </cell>
          <cell r="DM435">
            <v>2</v>
          </cell>
          <cell r="DN435" t="str">
            <v>0 to 3 Days</v>
          </cell>
          <cell r="DP435">
            <v>45199</v>
          </cell>
          <cell r="DQ435">
            <v>45230</v>
          </cell>
          <cell r="DR435">
            <v>7</v>
          </cell>
          <cell r="DS435">
            <v>7</v>
          </cell>
          <cell r="DU435">
            <v>45237</v>
          </cell>
          <cell r="DV435">
            <v>45206</v>
          </cell>
          <cell r="DW435">
            <v>45237</v>
          </cell>
          <cell r="DX435" t="str">
            <v>Nov 23 Week 1</v>
          </cell>
          <cell r="DZ435">
            <v>45247</v>
          </cell>
          <cell r="EA435" t="str">
            <v>Nov 23 Week 3</v>
          </cell>
          <cell r="EB435" t="str">
            <v>Backlog</v>
          </cell>
          <cell r="ED435" t="str">
            <v/>
          </cell>
          <cell r="EE435" t="str">
            <v/>
          </cell>
          <cell r="EF435">
            <v>1</v>
          </cell>
          <cell r="EG435">
            <v>1</v>
          </cell>
          <cell r="FD435">
            <v>10</v>
          </cell>
          <cell r="FE435" t="str">
            <v>8 to 15 Days</v>
          </cell>
          <cell r="FF435">
            <v>41</v>
          </cell>
          <cell r="FG435" t="str">
            <v>31 to 61 Days</v>
          </cell>
          <cell r="FH435" t="str">
            <v>Done</v>
          </cell>
          <cell r="FI435" t="str">
            <v>Done</v>
          </cell>
          <cell r="FJ435" t="str">
            <v>NA</v>
          </cell>
          <cell r="FK435">
            <v>45247</v>
          </cell>
          <cell r="FM435" t="str">
            <v/>
          </cell>
          <cell r="GA435">
            <v>45246</v>
          </cell>
          <cell r="GC435">
            <v>45226</v>
          </cell>
          <cell r="GG435" t="str">
            <v>2023-2024</v>
          </cell>
        </row>
        <row r="436">
          <cell r="E436" t="str">
            <v>SP Pharma Haroa</v>
          </cell>
          <cell r="F436" t="str">
            <v>9. EPC Ready</v>
          </cell>
          <cell r="G436" t="str">
            <v>SPWBHAP3579</v>
          </cell>
          <cell r="H436" t="str">
            <v>WB-SM-HOA-3000</v>
          </cell>
          <cell r="I436" t="str">
            <v>TZXU</v>
          </cell>
          <cell r="J436" t="str">
            <v>QDOU</v>
          </cell>
          <cell r="K436" t="str">
            <v xml:space="preserve">E </v>
          </cell>
          <cell r="L436" t="str">
            <v>SD</v>
          </cell>
          <cell r="M436" t="str">
            <v>EPC Ready</v>
          </cell>
          <cell r="N436" t="str">
            <v>Mahendrakumar Warma</v>
          </cell>
          <cell r="O436" t="str">
            <v xml:space="preserve">Sandeepta Gayen </v>
          </cell>
          <cell r="Q436" t="str">
            <v>Gaurav Shinde</v>
          </cell>
          <cell r="S436" t="str">
            <v>West Bengal</v>
          </cell>
          <cell r="T436" t="str">
            <v>Haroa</v>
          </cell>
          <cell r="U436" t="str">
            <v>Non Premium</v>
          </cell>
          <cell r="V436" t="str">
            <v>Pharma Format</v>
          </cell>
          <cell r="W436">
            <v>400</v>
          </cell>
          <cell r="X436" t="str">
            <v>SP Pharma Haroa</v>
          </cell>
          <cell r="Y436">
            <v>45166</v>
          </cell>
          <cell r="Z436" t="str">
            <v>NA</v>
          </cell>
          <cell r="AB436" t="str">
            <v>NA</v>
          </cell>
          <cell r="AF436" t="str">
            <v>NA</v>
          </cell>
          <cell r="AK436">
            <v>45183</v>
          </cell>
          <cell r="AL436" t="str">
            <v>Received</v>
          </cell>
          <cell r="AO436">
            <v>3</v>
          </cell>
          <cell r="AS436">
            <v>-3</v>
          </cell>
          <cell r="AU436">
            <v>4</v>
          </cell>
          <cell r="AY436">
            <v>-4</v>
          </cell>
          <cell r="BA436">
            <v>5</v>
          </cell>
          <cell r="BE436">
            <v>-5</v>
          </cell>
          <cell r="BG436">
            <v>5</v>
          </cell>
          <cell r="BK436">
            <v>-5</v>
          </cell>
          <cell r="BM436">
            <v>3</v>
          </cell>
          <cell r="BP436">
            <v>3</v>
          </cell>
          <cell r="BW436" t="str">
            <v>Done</v>
          </cell>
          <cell r="BX436">
            <v>45079</v>
          </cell>
          <cell r="BY436" t="str">
            <v>Approved</v>
          </cell>
          <cell r="CD436">
            <v>45163</v>
          </cell>
          <cell r="CE436">
            <v>45216</v>
          </cell>
          <cell r="CG436" t="str">
            <v>M/s. SHAKTI FERROUS ALLOYS &amp; CASTINGS</v>
          </cell>
          <cell r="CI436" t="str">
            <v>Issued</v>
          </cell>
          <cell r="DG436" t="str">
            <v>Netmed SDP - Not in Dead Rental</v>
          </cell>
          <cell r="DK436">
            <v>45236</v>
          </cell>
          <cell r="DM436">
            <v>2</v>
          </cell>
          <cell r="DN436" t="str">
            <v>0 to 3 Days</v>
          </cell>
          <cell r="DP436">
            <v>45219</v>
          </cell>
          <cell r="DQ436">
            <v>45238</v>
          </cell>
          <cell r="DR436">
            <v>7</v>
          </cell>
          <cell r="DS436">
            <v>7</v>
          </cell>
          <cell r="DU436">
            <v>45245</v>
          </cell>
          <cell r="DV436">
            <v>45226</v>
          </cell>
          <cell r="DW436">
            <v>45245</v>
          </cell>
          <cell r="DX436" t="str">
            <v>Nov 23 Week 3</v>
          </cell>
          <cell r="DZ436">
            <v>45241</v>
          </cell>
          <cell r="EA436" t="str">
            <v>Nov 23 Week 2</v>
          </cell>
          <cell r="EB436" t="str">
            <v>Plan</v>
          </cell>
          <cell r="ED436" t="str">
            <v/>
          </cell>
          <cell r="EE436" t="str">
            <v/>
          </cell>
          <cell r="EF436">
            <v>1</v>
          </cell>
          <cell r="EG436">
            <v>1</v>
          </cell>
          <cell r="FD436">
            <v>-4</v>
          </cell>
          <cell r="FE436" t="str">
            <v>On Time</v>
          </cell>
          <cell r="FF436">
            <v>15</v>
          </cell>
          <cell r="FG436" t="str">
            <v>8 to 15 Days</v>
          </cell>
          <cell r="FH436" t="str">
            <v>Done</v>
          </cell>
          <cell r="FI436" t="str">
            <v>Done</v>
          </cell>
          <cell r="FJ436" t="str">
            <v>NA</v>
          </cell>
          <cell r="FK436">
            <v>45247</v>
          </cell>
          <cell r="FM436" t="str">
            <v/>
          </cell>
          <cell r="GA436">
            <v>45241</v>
          </cell>
          <cell r="GC436">
            <v>45230</v>
          </cell>
          <cell r="GG436" t="str">
            <v>2023-2024</v>
          </cell>
        </row>
        <row r="437">
          <cell r="E437" t="str">
            <v>Old Sbi Building  , Cantt , Nh 9 Delhi Road Hissar  , HISAR , 125006</v>
          </cell>
          <cell r="F437" t="str">
            <v>9. EPC Ready</v>
          </cell>
          <cell r="G437" t="str">
            <v>SPHRHIH3722</v>
          </cell>
          <cell r="H437" t="str">
            <v>HR-SM-HIS-3001</v>
          </cell>
          <cell r="I437" t="str">
            <v>TZYI</v>
          </cell>
          <cell r="J437" t="str">
            <v>QDPI</v>
          </cell>
          <cell r="K437" t="str">
            <v xml:space="preserve">N </v>
          </cell>
          <cell r="L437" t="str">
            <v>KC</v>
          </cell>
          <cell r="M437" t="str">
            <v>EPC Ready Pharmacy 200 SFT</v>
          </cell>
          <cell r="P437" t="str">
            <v>Sunil Mahaur - 9953970739</v>
          </cell>
          <cell r="Q437" t="str">
            <v>Gaurav Shinde</v>
          </cell>
          <cell r="S437" t="str">
            <v>Haryana</v>
          </cell>
          <cell r="T437" t="str">
            <v>Hissar</v>
          </cell>
          <cell r="U437" t="str">
            <v>Non Premium</v>
          </cell>
          <cell r="V437" t="str">
            <v>Pharma Format</v>
          </cell>
          <cell r="W437">
            <v>200</v>
          </cell>
          <cell r="X437" t="str">
            <v>Old Sbi Building  , Cantt , Nh 9 Delhi Road Hissar  , HISAR , 125006</v>
          </cell>
          <cell r="Z437" t="str">
            <v>NA</v>
          </cell>
          <cell r="AB437" t="str">
            <v>NA</v>
          </cell>
          <cell r="AF437" t="str">
            <v>NA</v>
          </cell>
          <cell r="AL437" t="str">
            <v>Received</v>
          </cell>
          <cell r="AO437">
            <v>3</v>
          </cell>
          <cell r="AS437">
            <v>-3</v>
          </cell>
          <cell r="AU437">
            <v>4</v>
          </cell>
          <cell r="AY437">
            <v>-4</v>
          </cell>
          <cell r="BA437">
            <v>5</v>
          </cell>
          <cell r="BE437">
            <v>-5</v>
          </cell>
          <cell r="BG437">
            <v>5</v>
          </cell>
          <cell r="BK437">
            <v>-5</v>
          </cell>
          <cell r="BM437">
            <v>3</v>
          </cell>
          <cell r="BP437">
            <v>3</v>
          </cell>
          <cell r="BW437" t="str">
            <v>Done</v>
          </cell>
          <cell r="BX437">
            <v>45079</v>
          </cell>
          <cell r="BY437" t="str">
            <v>Approved</v>
          </cell>
          <cell r="CD437">
            <v>45103</v>
          </cell>
          <cell r="CI437" t="str">
            <v>Pending</v>
          </cell>
          <cell r="DG437" t="str">
            <v>Netmed SDP - Not in Dead Rental</v>
          </cell>
          <cell r="DK437">
            <v>45205</v>
          </cell>
          <cell r="DM437">
            <v>2</v>
          </cell>
          <cell r="DN437" t="str">
            <v>0 to 3 Days</v>
          </cell>
          <cell r="DQ437">
            <v>45207</v>
          </cell>
          <cell r="DR437">
            <v>7</v>
          </cell>
          <cell r="DS437">
            <v>7</v>
          </cell>
          <cell r="DU437">
            <v>45214</v>
          </cell>
          <cell r="DV437">
            <v>7</v>
          </cell>
          <cell r="DW437">
            <v>45214</v>
          </cell>
          <cell r="DX437" t="str">
            <v>Oct 23 Week 3</v>
          </cell>
          <cell r="DZ437">
            <v>45217</v>
          </cell>
          <cell r="EA437" t="str">
            <v>Oct 23 Week 3</v>
          </cell>
          <cell r="EB437" t="str">
            <v>Backlog</v>
          </cell>
          <cell r="ED437" t="str">
            <v/>
          </cell>
          <cell r="EE437" t="str">
            <v/>
          </cell>
          <cell r="EF437">
            <v>1</v>
          </cell>
          <cell r="EG437">
            <v>1</v>
          </cell>
          <cell r="FD437">
            <v>3</v>
          </cell>
          <cell r="FE437" t="str">
            <v>0 to 3 Days</v>
          </cell>
          <cell r="FF437">
            <v>45210</v>
          </cell>
          <cell r="FH437" t="str">
            <v>Done</v>
          </cell>
          <cell r="FI437" t="str">
            <v>Done</v>
          </cell>
          <cell r="FJ437" t="str">
            <v>NA</v>
          </cell>
          <cell r="FM437" t="str">
            <v/>
          </cell>
          <cell r="GG437" t="str">
            <v>2023-2024</v>
          </cell>
        </row>
        <row r="438">
          <cell r="E438" t="str">
            <v>GF Plot No 2786 Khata No 98  , Village - Benipatti, Dist - Madhubani , Tauzi No 2415, Revenue Thana No 185  , MADHUBANI , 847223</v>
          </cell>
          <cell r="F438" t="str">
            <v>9. EPC Ready</v>
          </cell>
          <cell r="G438" t="str">
            <v>SPBHMAL4112</v>
          </cell>
          <cell r="H438" t="str">
            <v>BH-SM-MAD-3004</v>
          </cell>
          <cell r="I438" t="str">
            <v>TYHN</v>
          </cell>
          <cell r="J438" t="str">
            <v>QBND</v>
          </cell>
          <cell r="K438" t="str">
            <v xml:space="preserve">E </v>
          </cell>
          <cell r="L438" t="str">
            <v>AK</v>
          </cell>
          <cell r="M438" t="str">
            <v>EPC Ready</v>
          </cell>
          <cell r="P438" t="str">
            <v>Mr. Avinandan Kumar-6201750418</v>
          </cell>
          <cell r="Q438" t="str">
            <v>Gaurav Shinde</v>
          </cell>
          <cell r="S438" t="str">
            <v>Bihar</v>
          </cell>
          <cell r="T438" t="str">
            <v>Madhubani</v>
          </cell>
          <cell r="U438" t="str">
            <v>Non Premium</v>
          </cell>
          <cell r="V438" t="str">
            <v>Pharma Format</v>
          </cell>
          <cell r="W438">
            <v>400</v>
          </cell>
          <cell r="X438" t="str">
            <v>GF Plot No 2786 Khata No 98  , Village - Benipatti, Dist - Madhubani , Tauzi No 2415, Revenue Thana No 185  , MADHUBANI , 847223</v>
          </cell>
          <cell r="Y438">
            <v>45119</v>
          </cell>
          <cell r="Z438" t="str">
            <v>NA</v>
          </cell>
          <cell r="AB438" t="str">
            <v>NA</v>
          </cell>
          <cell r="AF438" t="str">
            <v>NA</v>
          </cell>
          <cell r="AK438">
            <v>45166</v>
          </cell>
          <cell r="AL438" t="str">
            <v>Received</v>
          </cell>
          <cell r="AO438">
            <v>3</v>
          </cell>
          <cell r="AS438">
            <v>-3</v>
          </cell>
          <cell r="AU438">
            <v>4</v>
          </cell>
          <cell r="AY438">
            <v>-4</v>
          </cell>
          <cell r="BA438">
            <v>5</v>
          </cell>
          <cell r="BE438">
            <v>-5</v>
          </cell>
          <cell r="BG438">
            <v>5</v>
          </cell>
          <cell r="BK438">
            <v>-5</v>
          </cell>
          <cell r="BM438">
            <v>3</v>
          </cell>
          <cell r="BP438">
            <v>3</v>
          </cell>
          <cell r="BW438" t="str">
            <v>Done</v>
          </cell>
          <cell r="BX438">
            <v>45079</v>
          </cell>
          <cell r="BY438" t="str">
            <v>Approved</v>
          </cell>
          <cell r="CD438">
            <v>45103</v>
          </cell>
          <cell r="CE438">
            <v>45113</v>
          </cell>
          <cell r="CG438" t="str">
            <v>M/S Rahul Kumar</v>
          </cell>
          <cell r="CI438" t="str">
            <v>Issued</v>
          </cell>
          <cell r="DG438" t="str">
            <v>Netmed SDP - Not in Dead Rental</v>
          </cell>
          <cell r="DK438">
            <v>45178</v>
          </cell>
          <cell r="DM438">
            <v>2</v>
          </cell>
          <cell r="DN438" t="str">
            <v>0 to 3 Days</v>
          </cell>
          <cell r="DP438">
            <v>45116</v>
          </cell>
          <cell r="DQ438">
            <v>45180</v>
          </cell>
          <cell r="DR438">
            <v>7</v>
          </cell>
          <cell r="DS438">
            <v>7</v>
          </cell>
          <cell r="DU438">
            <v>45187</v>
          </cell>
          <cell r="DV438">
            <v>45123</v>
          </cell>
          <cell r="DW438">
            <v>45187</v>
          </cell>
          <cell r="DX438" t="str">
            <v>Sep 23 Week 3</v>
          </cell>
          <cell r="DZ438">
            <v>45267</v>
          </cell>
          <cell r="EA438" t="str">
            <v>Dec 23 Week 1</v>
          </cell>
          <cell r="EB438" t="str">
            <v>Backlog</v>
          </cell>
          <cell r="ED438" t="str">
            <v/>
          </cell>
          <cell r="EE438" t="str">
            <v/>
          </cell>
          <cell r="EF438">
            <v>1</v>
          </cell>
          <cell r="EG438">
            <v>1</v>
          </cell>
          <cell r="FD438">
            <v>80</v>
          </cell>
          <cell r="FE438" t="str">
            <v>62 to 90 Days</v>
          </cell>
          <cell r="FF438">
            <v>144</v>
          </cell>
          <cell r="FG438" t="str">
            <v>More Than 90  Days</v>
          </cell>
          <cell r="FH438" t="str">
            <v>Done</v>
          </cell>
          <cell r="FI438" t="str">
            <v>Done</v>
          </cell>
          <cell r="FJ438" t="str">
            <v>NA</v>
          </cell>
          <cell r="FK438">
            <v>45293</v>
          </cell>
          <cell r="FM438" t="str">
            <v/>
          </cell>
          <cell r="GA438">
            <v>45267</v>
          </cell>
          <cell r="GC438">
            <v>45180</v>
          </cell>
          <cell r="GG438" t="str">
            <v>2023-2024</v>
          </cell>
        </row>
        <row r="439">
          <cell r="E439" t="str">
            <v>GF, PSK Nagar, Vandavasi Main Road  , Dist - Kancheepuram , Collector Office Line, Sevillimedu  , KANCHEEPURAM , 631502</v>
          </cell>
          <cell r="F439" t="str">
            <v>9. EPC Ready</v>
          </cell>
          <cell r="G439" t="str">
            <v>SPTNKAV3664</v>
          </cell>
          <cell r="H439" t="str">
            <v>TN-SM-KAN-3001</v>
          </cell>
          <cell r="I439" t="str">
            <v>TYTW</v>
          </cell>
          <cell r="J439" t="str">
            <v>QB2A</v>
          </cell>
          <cell r="K439" t="str">
            <v>S</v>
          </cell>
          <cell r="L439" t="str">
            <v>AK</v>
          </cell>
          <cell r="M439" t="str">
            <v>EPC Ready</v>
          </cell>
          <cell r="N439" t="str">
            <v>N Kalyankumar</v>
          </cell>
          <cell r="O439" t="str">
            <v>Muthuvelu Minnal /
Vijayakumar Muthusamy</v>
          </cell>
          <cell r="Q439" t="str">
            <v>Gaurav Shinde</v>
          </cell>
          <cell r="S439" t="str">
            <v>Tamil Nadu</v>
          </cell>
          <cell r="T439" t="str">
            <v>Kancheepuram</v>
          </cell>
          <cell r="U439" t="str">
            <v>Non Premium</v>
          </cell>
          <cell r="V439" t="str">
            <v>Pharma Format</v>
          </cell>
          <cell r="W439">
            <v>400</v>
          </cell>
          <cell r="X439" t="str">
            <v>GF, PSK Nagar, Vandavasi Main Road  , Dist - Kancheepuram , Collector Office Line, Sevillimedu  , KANCHEEPURAM , 631502</v>
          </cell>
          <cell r="Y439">
            <v>45166</v>
          </cell>
          <cell r="Z439" t="str">
            <v>NA</v>
          </cell>
          <cell r="AB439" t="str">
            <v>NA</v>
          </cell>
          <cell r="AF439" t="str">
            <v>NA</v>
          </cell>
          <cell r="AK439">
            <v>45163</v>
          </cell>
          <cell r="AL439" t="str">
            <v>Received</v>
          </cell>
          <cell r="AO439">
            <v>3</v>
          </cell>
          <cell r="AS439">
            <v>-3</v>
          </cell>
          <cell r="AU439">
            <v>4</v>
          </cell>
          <cell r="AY439">
            <v>-4</v>
          </cell>
          <cell r="BA439">
            <v>5</v>
          </cell>
          <cell r="BE439">
            <v>-5</v>
          </cell>
          <cell r="BG439">
            <v>5</v>
          </cell>
          <cell r="BK439">
            <v>-5</v>
          </cell>
          <cell r="BM439">
            <v>3</v>
          </cell>
          <cell r="BP439">
            <v>3</v>
          </cell>
          <cell r="BW439" t="str">
            <v>Done</v>
          </cell>
          <cell r="BX439">
            <v>45079</v>
          </cell>
          <cell r="BY439" t="str">
            <v>Approved</v>
          </cell>
          <cell r="CD439">
            <v>45163</v>
          </cell>
          <cell r="CE439">
            <v>45215</v>
          </cell>
          <cell r="CG439" t="str">
            <v>M/s Jacpel &amp; Co</v>
          </cell>
          <cell r="CI439" t="str">
            <v>Issued</v>
          </cell>
          <cell r="DG439" t="str">
            <v>Netmed SDP - Not in Dead Rental</v>
          </cell>
          <cell r="DK439">
            <v>45225</v>
          </cell>
          <cell r="DL439">
            <v>45196</v>
          </cell>
          <cell r="DM439">
            <v>2</v>
          </cell>
          <cell r="DN439" t="str">
            <v>0 to 3 Days</v>
          </cell>
          <cell r="DP439">
            <v>45218</v>
          </cell>
          <cell r="DQ439">
            <v>45227</v>
          </cell>
          <cell r="DR439">
            <v>7</v>
          </cell>
          <cell r="DS439">
            <v>7</v>
          </cell>
          <cell r="DU439">
            <v>45234</v>
          </cell>
          <cell r="DV439">
            <v>45225</v>
          </cell>
          <cell r="DW439">
            <v>45234</v>
          </cell>
          <cell r="DX439" t="str">
            <v>Nov 23 Week 1</v>
          </cell>
          <cell r="DZ439">
            <v>45267</v>
          </cell>
          <cell r="EA439" t="str">
            <v>Dec 23 Week 1</v>
          </cell>
          <cell r="EB439" t="str">
            <v>Backlog</v>
          </cell>
          <cell r="ED439" t="str">
            <v/>
          </cell>
          <cell r="EE439" t="str">
            <v/>
          </cell>
          <cell r="EF439">
            <v>1</v>
          </cell>
          <cell r="EG439">
            <v>1</v>
          </cell>
          <cell r="FD439">
            <v>33</v>
          </cell>
          <cell r="FE439" t="str">
            <v>31 to 61 Days</v>
          </cell>
          <cell r="FF439">
            <v>42</v>
          </cell>
          <cell r="FG439" t="str">
            <v>31 to 61 Days</v>
          </cell>
          <cell r="FH439" t="str">
            <v>Done</v>
          </cell>
          <cell r="FJ439" t="str">
            <v>NA</v>
          </cell>
          <cell r="FK439">
            <v>45457</v>
          </cell>
          <cell r="FM439" t="str">
            <v/>
          </cell>
          <cell r="GA439">
            <v>45267</v>
          </cell>
          <cell r="GC439">
            <v>45227</v>
          </cell>
          <cell r="GG439" t="str">
            <v>2023-2024</v>
          </cell>
        </row>
        <row r="440">
          <cell r="E440" t="str">
            <v>GF, Mauza- Phulwariya  , Khata no. 116 , Thana no. 147 , Khesra no. 2306 Chakia , East Champaran , 845412</v>
          </cell>
          <cell r="F440" t="str">
            <v>9. EPC Ready</v>
          </cell>
          <cell r="G440" t="str">
            <v>SPBHMOP2925</v>
          </cell>
          <cell r="H440" t="str">
            <v>BH-SM-MOT-3000</v>
          </cell>
          <cell r="I440" t="str">
            <v>TXGV</v>
          </cell>
          <cell r="J440" t="str">
            <v>Q8NK</v>
          </cell>
          <cell r="K440" t="str">
            <v xml:space="preserve">E </v>
          </cell>
          <cell r="L440" t="str">
            <v>AK</v>
          </cell>
          <cell r="M440" t="str">
            <v>EPC Ready</v>
          </cell>
          <cell r="Q440" t="str">
            <v>Gaurav Shinde</v>
          </cell>
          <cell r="S440" t="str">
            <v>Bihar</v>
          </cell>
          <cell r="T440" t="str">
            <v>Motihari</v>
          </cell>
          <cell r="U440" t="str">
            <v>Non Premium</v>
          </cell>
          <cell r="V440" t="str">
            <v>Pharma Format</v>
          </cell>
          <cell r="W440">
            <v>400</v>
          </cell>
          <cell r="X440" t="str">
            <v>GF, Mauza- Phulwariya  , Khata no. 116 , Thana no. 147 , Khesra no. 2306 Chakia , East Champaran , 845412</v>
          </cell>
          <cell r="Y440">
            <v>45163</v>
          </cell>
          <cell r="Z440" t="str">
            <v>NA</v>
          </cell>
          <cell r="AB440" t="str">
            <v>NA</v>
          </cell>
          <cell r="AF440" t="str">
            <v>NA</v>
          </cell>
          <cell r="AK440">
            <v>45163</v>
          </cell>
          <cell r="AL440" t="str">
            <v>Received</v>
          </cell>
          <cell r="AO440">
            <v>3</v>
          </cell>
          <cell r="AS440">
            <v>-3</v>
          </cell>
          <cell r="AU440">
            <v>4</v>
          </cell>
          <cell r="AY440">
            <v>-4</v>
          </cell>
          <cell r="BA440">
            <v>5</v>
          </cell>
          <cell r="BE440">
            <v>-5</v>
          </cell>
          <cell r="BG440">
            <v>5</v>
          </cell>
          <cell r="BK440">
            <v>-5</v>
          </cell>
          <cell r="BM440">
            <v>3</v>
          </cell>
          <cell r="BP440">
            <v>3</v>
          </cell>
          <cell r="BW440" t="str">
            <v>Done</v>
          </cell>
          <cell r="BX440">
            <v>45079</v>
          </cell>
          <cell r="BY440" t="str">
            <v>Approved</v>
          </cell>
          <cell r="CD440">
            <v>45163</v>
          </cell>
          <cell r="CE440">
            <v>45175</v>
          </cell>
          <cell r="CG440" t="str">
            <v xml:space="preserve">M/S Laxmi Enterprises </v>
          </cell>
          <cell r="CI440" t="str">
            <v>Issued</v>
          </cell>
          <cell r="DG440" t="str">
            <v>Netmed SDP - Not in Dead Rental</v>
          </cell>
          <cell r="DK440">
            <v>45203</v>
          </cell>
          <cell r="DL440">
            <v>45169</v>
          </cell>
          <cell r="DM440">
            <v>2</v>
          </cell>
          <cell r="DN440" t="str">
            <v>0 to 3 Days</v>
          </cell>
          <cell r="DP440">
            <v>45178</v>
          </cell>
          <cell r="DQ440">
            <v>45205</v>
          </cell>
          <cell r="DR440">
            <v>7</v>
          </cell>
          <cell r="DS440">
            <v>7</v>
          </cell>
          <cell r="DU440">
            <v>45212</v>
          </cell>
          <cell r="DV440">
            <v>45185</v>
          </cell>
          <cell r="DW440">
            <v>45212</v>
          </cell>
          <cell r="DX440" t="str">
            <v>Oct 23 Week 2</v>
          </cell>
          <cell r="DZ440">
            <v>45215</v>
          </cell>
          <cell r="EA440" t="str">
            <v>Oct 23 Week 3</v>
          </cell>
          <cell r="EB440" t="str">
            <v>Backlog</v>
          </cell>
          <cell r="ED440" t="str">
            <v/>
          </cell>
          <cell r="EE440" t="str">
            <v/>
          </cell>
          <cell r="EF440">
            <v>1</v>
          </cell>
          <cell r="EG440">
            <v>1</v>
          </cell>
          <cell r="FD440">
            <v>3</v>
          </cell>
          <cell r="FE440" t="str">
            <v>0 to 3 Days</v>
          </cell>
          <cell r="FF440">
            <v>30</v>
          </cell>
          <cell r="FG440" t="str">
            <v>16 to 31 Days</v>
          </cell>
          <cell r="FH440" t="str">
            <v>Done</v>
          </cell>
          <cell r="FI440" t="str">
            <v>Done</v>
          </cell>
          <cell r="FJ440" t="str">
            <v>NA</v>
          </cell>
          <cell r="FK440">
            <v>45215</v>
          </cell>
          <cell r="FM440" t="str">
            <v/>
          </cell>
          <cell r="GA440">
            <v>45215</v>
          </cell>
          <cell r="GC440">
            <v>45205</v>
          </cell>
          <cell r="GG440" t="str">
            <v>2023-2024</v>
          </cell>
        </row>
        <row r="441">
          <cell r="E441" t="str">
            <v>Adharva Bhakthi Plot No 1 3 Part &amp;  , Bandlaguda Jagir Rajendra Nagar , 4 Part Sy No 47 B Grampanchayat Rd  , HYDERABAD , 500086</v>
          </cell>
          <cell r="F441" t="str">
            <v>14. Dropped</v>
          </cell>
          <cell r="G441" t="str">
            <v>SPTSHYB3122</v>
          </cell>
          <cell r="H441" t="str">
            <v>AP-SM-HYD-3061</v>
          </cell>
          <cell r="I441" t="str">
            <v>TYF5</v>
          </cell>
          <cell r="J441" t="str">
            <v>QBKO</v>
          </cell>
          <cell r="K441" t="str">
            <v xml:space="preserve">E </v>
          </cell>
          <cell r="L441" t="str">
            <v>AK</v>
          </cell>
          <cell r="M441" t="str">
            <v>Dropped</v>
          </cell>
          <cell r="O441" t="str">
            <v>Rajshekhar M</v>
          </cell>
          <cell r="Q441" t="str">
            <v>Gaurav Shinde</v>
          </cell>
          <cell r="S441" t="str">
            <v>Telangana</v>
          </cell>
          <cell r="T441" t="str">
            <v>Hyderabad</v>
          </cell>
          <cell r="U441" t="str">
            <v>Non Premium</v>
          </cell>
          <cell r="V441" t="str">
            <v>Pharma Format</v>
          </cell>
          <cell r="W441">
            <v>400</v>
          </cell>
          <cell r="X441" t="str">
            <v>Adharva Bhakthi Plot No 1 3 Part &amp;  , Bandlaguda Jagir Rajendra Nagar , 4 Part Sy No 47 B Grampanchayat Rd  , HYDERABAD , 500086</v>
          </cell>
          <cell r="Y441">
            <v>45166</v>
          </cell>
          <cell r="Z441" t="str">
            <v>NA</v>
          </cell>
          <cell r="AB441" t="str">
            <v>NA</v>
          </cell>
          <cell r="AF441" t="str">
            <v>NA</v>
          </cell>
          <cell r="AK441">
            <v>45166</v>
          </cell>
          <cell r="AL441" t="str">
            <v>Received</v>
          </cell>
          <cell r="AO441">
            <v>3</v>
          </cell>
          <cell r="AS441">
            <v>-3</v>
          </cell>
          <cell r="AU441">
            <v>4</v>
          </cell>
          <cell r="AY441">
            <v>-4</v>
          </cell>
          <cell r="BA441">
            <v>5</v>
          </cell>
          <cell r="BE441">
            <v>-5</v>
          </cell>
          <cell r="BG441">
            <v>5</v>
          </cell>
          <cell r="BK441">
            <v>-5</v>
          </cell>
          <cell r="BM441">
            <v>3</v>
          </cell>
          <cell r="BP441">
            <v>3</v>
          </cell>
          <cell r="BW441" t="str">
            <v>Done</v>
          </cell>
          <cell r="BX441">
            <v>45079</v>
          </cell>
          <cell r="BY441" t="str">
            <v>Approved</v>
          </cell>
          <cell r="CD441">
            <v>45163</v>
          </cell>
          <cell r="CG441" t="str">
            <v>M/s SARK CORPORATION</v>
          </cell>
          <cell r="DG441" t="str">
            <v>Netmed SDP - Not in Dead Rental</v>
          </cell>
          <cell r="DM441" t="str">
            <v>NA</v>
          </cell>
          <cell r="DN441" t="str">
            <v>NA</v>
          </cell>
          <cell r="DR441">
            <v>7</v>
          </cell>
          <cell r="DS441">
            <v>7</v>
          </cell>
          <cell r="DU441">
            <v>7</v>
          </cell>
          <cell r="DV441">
            <v>7</v>
          </cell>
          <cell r="DW441">
            <v>7</v>
          </cell>
          <cell r="EA441" t="str">
            <v/>
          </cell>
          <cell r="ED441" t="str">
            <v/>
          </cell>
          <cell r="EE441" t="str">
            <v/>
          </cell>
          <cell r="EF441">
            <v>1</v>
          </cell>
          <cell r="FD441">
            <v>46114</v>
          </cell>
          <cell r="FF441">
            <v>46114</v>
          </cell>
          <cell r="FJ441" t="str">
            <v>NA</v>
          </cell>
          <cell r="FM441" t="str">
            <v/>
          </cell>
          <cell r="GG441" t="str">
            <v>2024-2025</v>
          </cell>
        </row>
        <row r="442">
          <cell r="E442" t="str">
            <v>Krupa Complex H No 27 3 1 And 29 9 Plot  , Ram Nagar Malkajgiri Hyderabad , No 44 And 49 Block 12 Safilguda Road Sai  , HYDERABAD , 500056</v>
          </cell>
          <cell r="F442" t="str">
            <v>9. EPC Ready</v>
          </cell>
          <cell r="G442" t="str">
            <v>SPTSHYS3159</v>
          </cell>
          <cell r="H442" t="str">
            <v>AP-SM-HYD-3062</v>
          </cell>
          <cell r="I442" t="str">
            <v>TYDS</v>
          </cell>
          <cell r="J442" t="str">
            <v>QBIT</v>
          </cell>
          <cell r="K442" t="str">
            <v xml:space="preserve">E </v>
          </cell>
          <cell r="L442" t="str">
            <v>AK</v>
          </cell>
          <cell r="M442" t="str">
            <v>EPC Ready</v>
          </cell>
          <cell r="O442" t="str">
            <v>Rajshekhar M</v>
          </cell>
          <cell r="Q442" t="str">
            <v>Gaurav Shinde</v>
          </cell>
          <cell r="S442" t="str">
            <v>Telangana</v>
          </cell>
          <cell r="T442" t="str">
            <v>Hyderabad</v>
          </cell>
          <cell r="U442" t="str">
            <v>Non Premium</v>
          </cell>
          <cell r="V442" t="str">
            <v>Pharma Format</v>
          </cell>
          <cell r="W442">
            <v>407</v>
          </cell>
          <cell r="X442" t="str">
            <v>Krupa Complex H No 27 3 1 And 29 9 Plot  , Ram Nagar Malkajgiri Hyderabad , No 44 And 49 Block 12 Safilguda Road Sai  , HYDERABAD , 500056</v>
          </cell>
          <cell r="Y442">
            <v>45166</v>
          </cell>
          <cell r="Z442" t="str">
            <v>NA</v>
          </cell>
          <cell r="AB442" t="str">
            <v>NA</v>
          </cell>
          <cell r="AF442" t="str">
            <v>NA</v>
          </cell>
          <cell r="AK442">
            <v>45169</v>
          </cell>
          <cell r="AL442" t="str">
            <v>Received</v>
          </cell>
          <cell r="AO442">
            <v>3</v>
          </cell>
          <cell r="AS442">
            <v>-3</v>
          </cell>
          <cell r="AU442">
            <v>4</v>
          </cell>
          <cell r="AY442">
            <v>-4</v>
          </cell>
          <cell r="BA442">
            <v>5</v>
          </cell>
          <cell r="BE442">
            <v>-5</v>
          </cell>
          <cell r="BG442">
            <v>5</v>
          </cell>
          <cell r="BK442">
            <v>-5</v>
          </cell>
          <cell r="BM442">
            <v>3</v>
          </cell>
          <cell r="BP442">
            <v>3</v>
          </cell>
          <cell r="BW442" t="str">
            <v>Done</v>
          </cell>
          <cell r="BX442">
            <v>45079</v>
          </cell>
          <cell r="BY442" t="str">
            <v>Approved</v>
          </cell>
          <cell r="CD442">
            <v>45163</v>
          </cell>
          <cell r="CE442">
            <v>45216</v>
          </cell>
          <cell r="CG442" t="str">
            <v>M/s BMR ENGINEERING SERVICES</v>
          </cell>
          <cell r="CI442" t="str">
            <v>Issued</v>
          </cell>
          <cell r="DG442" t="str">
            <v>Netmed SDP - Not in Dead Rental</v>
          </cell>
          <cell r="DK442">
            <v>45229</v>
          </cell>
          <cell r="DL442">
            <v>45194</v>
          </cell>
          <cell r="DM442">
            <v>2</v>
          </cell>
          <cell r="DN442" t="str">
            <v>0 to 3 Days</v>
          </cell>
          <cell r="DP442">
            <v>45219</v>
          </cell>
          <cell r="DQ442">
            <v>45231</v>
          </cell>
          <cell r="DR442">
            <v>7</v>
          </cell>
          <cell r="DS442">
            <v>7</v>
          </cell>
          <cell r="DU442">
            <v>45238</v>
          </cell>
          <cell r="DV442">
            <v>45226</v>
          </cell>
          <cell r="DW442">
            <v>45238</v>
          </cell>
          <cell r="DX442" t="str">
            <v>Nov 23 Week 2</v>
          </cell>
          <cell r="DZ442">
            <v>45234</v>
          </cell>
          <cell r="EA442" t="str">
            <v>Nov 23 Week 1</v>
          </cell>
          <cell r="EB442" t="str">
            <v>Plan</v>
          </cell>
          <cell r="ED442" t="str">
            <v/>
          </cell>
          <cell r="EE442" t="str">
            <v/>
          </cell>
          <cell r="EF442">
            <v>1</v>
          </cell>
          <cell r="EG442">
            <v>1</v>
          </cell>
          <cell r="FD442">
            <v>-4</v>
          </cell>
          <cell r="FE442" t="str">
            <v>On Time</v>
          </cell>
          <cell r="FF442">
            <v>8</v>
          </cell>
          <cell r="FG442" t="str">
            <v>8 to 15 Days</v>
          </cell>
          <cell r="FH442" t="str">
            <v>Done</v>
          </cell>
          <cell r="FI442" t="str">
            <v>Done</v>
          </cell>
          <cell r="FJ442" t="str">
            <v>NA</v>
          </cell>
          <cell r="FK442">
            <v>45258</v>
          </cell>
          <cell r="FM442" t="str">
            <v/>
          </cell>
          <cell r="GA442">
            <v>45234</v>
          </cell>
          <cell r="GC442">
            <v>45220</v>
          </cell>
          <cell r="GG442" t="str">
            <v>2023-2024</v>
          </cell>
        </row>
        <row r="443">
          <cell r="E443" t="str">
            <v>GF Village No41 Chingamathak Patta 41 94  , Sbi Bank Manipur , Old 132 569 New Dag No 1204 1297 1204 , 1300 Sub Division &amp; Tehsil Lamphel Centr , IMPHAL , 795001</v>
          </cell>
          <cell r="F443" t="str">
            <v>11. HOLD</v>
          </cell>
          <cell r="G443" t="str">
            <v>PHCOSD10504</v>
          </cell>
          <cell r="H443" t="str">
            <v>NE-SM-IMP-3004</v>
          </cell>
          <cell r="I443" t="str">
            <v>TZG6</v>
          </cell>
          <cell r="J443" t="str">
            <v>QDWF</v>
          </cell>
          <cell r="K443" t="str">
            <v xml:space="preserve">E </v>
          </cell>
          <cell r="L443" t="str">
            <v>SD</v>
          </cell>
          <cell r="M443" t="str">
            <v>HOLD</v>
          </cell>
          <cell r="N443" t="str">
            <v>Mahendrakumar Warma</v>
          </cell>
          <cell r="O443" t="str">
            <v>Anup das (EXCEPT SIKKIM)</v>
          </cell>
          <cell r="P443" t="str">
            <v>Dropped</v>
          </cell>
          <cell r="Q443" t="str">
            <v>Gaurav Shinde</v>
          </cell>
          <cell r="S443" t="str">
            <v>North East</v>
          </cell>
          <cell r="T443" t="str">
            <v>Imphal</v>
          </cell>
          <cell r="U443" t="str">
            <v>Non Premium</v>
          </cell>
          <cell r="V443" t="str">
            <v>Pharma Format</v>
          </cell>
          <cell r="W443">
            <v>400</v>
          </cell>
          <cell r="X443" t="str">
            <v>GF Village No41 Chingamathak Patta 41 94  , Sbi Bank Manipur , Old 132 569 New Dag No 1204 1297 1204 , 1300 Sub Division &amp; Tehsil Lamphel Centr , IMPHAL , 795001</v>
          </cell>
          <cell r="Y443">
            <v>45166</v>
          </cell>
          <cell r="Z443" t="str">
            <v>NA</v>
          </cell>
          <cell r="AB443" t="str">
            <v>NA</v>
          </cell>
          <cell r="AF443" t="str">
            <v>NA</v>
          </cell>
          <cell r="AK443">
            <v>45166</v>
          </cell>
          <cell r="AL443" t="str">
            <v>Received</v>
          </cell>
          <cell r="AO443">
            <v>3</v>
          </cell>
          <cell r="AS443">
            <v>-3</v>
          </cell>
          <cell r="AU443">
            <v>4</v>
          </cell>
          <cell r="AY443">
            <v>-4</v>
          </cell>
          <cell r="BA443">
            <v>5</v>
          </cell>
          <cell r="BE443">
            <v>-5</v>
          </cell>
          <cell r="BG443">
            <v>5</v>
          </cell>
          <cell r="BK443">
            <v>-5</v>
          </cell>
          <cell r="BM443">
            <v>3</v>
          </cell>
          <cell r="BP443">
            <v>3</v>
          </cell>
          <cell r="BW443" t="str">
            <v>Done</v>
          </cell>
          <cell r="BX443">
            <v>45079</v>
          </cell>
          <cell r="BY443" t="str">
            <v>Approved</v>
          </cell>
          <cell r="CD443">
            <v>45163</v>
          </cell>
          <cell r="DG443" t="str">
            <v>Netmed SDP - Not in Dead Rental</v>
          </cell>
          <cell r="DL443">
            <v>45175</v>
          </cell>
          <cell r="DM443" t="str">
            <v>NA</v>
          </cell>
          <cell r="DN443" t="str">
            <v>NA</v>
          </cell>
          <cell r="DR443">
            <v>7</v>
          </cell>
          <cell r="DS443">
            <v>7</v>
          </cell>
          <cell r="DU443">
            <v>7</v>
          </cell>
          <cell r="DV443">
            <v>7</v>
          </cell>
          <cell r="DW443">
            <v>7</v>
          </cell>
          <cell r="EA443" t="str">
            <v/>
          </cell>
          <cell r="ED443" t="str">
            <v/>
          </cell>
          <cell r="EE443" t="str">
            <v/>
          </cell>
          <cell r="EF443">
            <v>1</v>
          </cell>
          <cell r="FD443">
            <v>46114</v>
          </cell>
          <cell r="FF443">
            <v>46114</v>
          </cell>
          <cell r="FJ443" t="str">
            <v>NA</v>
          </cell>
          <cell r="FM443" t="str">
            <v/>
          </cell>
          <cell r="GG443" t="str">
            <v>2026-2027</v>
          </cell>
        </row>
        <row r="444">
          <cell r="E444" t="str">
            <v>GFVilaage No26 Wangkheirakpam Leikai Sub  , Imphal East , Division Tehsil Porompat District  , IMPHAL , 795005</v>
          </cell>
          <cell r="F444" t="str">
            <v>11. HOLD</v>
          </cell>
          <cell r="G444" t="str">
            <v>PHCOSD10505</v>
          </cell>
          <cell r="H444" t="str">
            <v>NE-SM-IMP-3002</v>
          </cell>
          <cell r="I444" t="str">
            <v>TZGA</v>
          </cell>
          <cell r="J444" t="str">
            <v>QCZO</v>
          </cell>
          <cell r="K444" t="str">
            <v xml:space="preserve">E </v>
          </cell>
          <cell r="L444" t="str">
            <v>SD</v>
          </cell>
          <cell r="M444" t="str">
            <v>NRFC</v>
          </cell>
          <cell r="N444" t="str">
            <v>Mahendrakumar Warma</v>
          </cell>
          <cell r="O444" t="str">
            <v>Anup das (EXCEPT SIKKIM)</v>
          </cell>
          <cell r="P444" t="str">
            <v>Dropped</v>
          </cell>
          <cell r="Q444" t="str">
            <v>Gaurav Shinde</v>
          </cell>
          <cell r="S444" t="str">
            <v>North East</v>
          </cell>
          <cell r="T444" t="str">
            <v>Imphal</v>
          </cell>
          <cell r="U444" t="str">
            <v>Non Premium</v>
          </cell>
          <cell r="V444" t="str">
            <v>Pharma Format</v>
          </cell>
          <cell r="W444">
            <v>395</v>
          </cell>
          <cell r="X444" t="str">
            <v>GFVilaage No26 Wangkheirakpam Leikai Sub  , Imphal East , Division Tehsil Porompat District  , IMPHAL , 795005</v>
          </cell>
          <cell r="Y444">
            <v>45166</v>
          </cell>
          <cell r="Z444" t="str">
            <v>NA</v>
          </cell>
          <cell r="AB444" t="str">
            <v>NA</v>
          </cell>
          <cell r="AF444" t="str">
            <v>NA</v>
          </cell>
          <cell r="AK444">
            <v>45183</v>
          </cell>
          <cell r="AL444" t="str">
            <v>Received</v>
          </cell>
          <cell r="AO444">
            <v>3</v>
          </cell>
          <cell r="AS444">
            <v>-3</v>
          </cell>
          <cell r="AU444">
            <v>4</v>
          </cell>
          <cell r="AY444">
            <v>-4</v>
          </cell>
          <cell r="BA444">
            <v>5</v>
          </cell>
          <cell r="BE444">
            <v>-5</v>
          </cell>
          <cell r="BG444">
            <v>5</v>
          </cell>
          <cell r="BK444">
            <v>-5</v>
          </cell>
          <cell r="BM444">
            <v>3</v>
          </cell>
          <cell r="BP444">
            <v>3</v>
          </cell>
          <cell r="BW444" t="str">
            <v>Done</v>
          </cell>
          <cell r="BX444">
            <v>45079</v>
          </cell>
          <cell r="BY444" t="str">
            <v>Approved</v>
          </cell>
          <cell r="CD444">
            <v>45163</v>
          </cell>
          <cell r="DG444" t="str">
            <v>Netmed SDP - Not in Dead Rental</v>
          </cell>
          <cell r="DM444" t="str">
            <v>NA</v>
          </cell>
          <cell r="DN444" t="str">
            <v>NA</v>
          </cell>
          <cell r="DR444">
            <v>7</v>
          </cell>
          <cell r="DS444">
            <v>7</v>
          </cell>
          <cell r="DU444">
            <v>7</v>
          </cell>
          <cell r="DV444">
            <v>7</v>
          </cell>
          <cell r="DW444">
            <v>7</v>
          </cell>
          <cell r="EA444" t="str">
            <v/>
          </cell>
          <cell r="ED444" t="str">
            <v/>
          </cell>
          <cell r="EE444" t="str">
            <v/>
          </cell>
          <cell r="EF444">
            <v>1</v>
          </cell>
          <cell r="FD444">
            <v>46114</v>
          </cell>
          <cell r="FF444">
            <v>46114</v>
          </cell>
          <cell r="FJ444" t="str">
            <v>NA</v>
          </cell>
          <cell r="FM444" t="str">
            <v/>
          </cell>
          <cell r="GG444" t="str">
            <v>2026-2027</v>
          </cell>
        </row>
        <row r="445">
          <cell r="E445" t="str">
            <v>Ray Complex Motipur Ground Floor  , Ward No 5 Bakhri Muzaffarpur , Mishroulia Chowk Nagar Panchayat  , MOTIPUR , 843111</v>
          </cell>
          <cell r="F445" t="str">
            <v>9. EPC Ready</v>
          </cell>
          <cell r="G445" t="str">
            <v>SPBHMOM4275</v>
          </cell>
          <cell r="H445" t="str">
            <v>BH-SM-MIR-3000</v>
          </cell>
          <cell r="I445" t="str">
            <v>TZBE</v>
          </cell>
          <cell r="J445" t="str">
            <v>QCTB</v>
          </cell>
          <cell r="K445" t="str">
            <v xml:space="preserve">E </v>
          </cell>
          <cell r="L445" t="str">
            <v>AK</v>
          </cell>
          <cell r="M445" t="str">
            <v>EPC Ready</v>
          </cell>
          <cell r="Q445" t="str">
            <v>Gaurav Shinde</v>
          </cell>
          <cell r="S445" t="str">
            <v>Bihar</v>
          </cell>
          <cell r="T445" t="str">
            <v>Motipur</v>
          </cell>
          <cell r="U445" t="str">
            <v>Non Premium</v>
          </cell>
          <cell r="V445" t="str">
            <v>Pharma Format</v>
          </cell>
          <cell r="W445">
            <v>400</v>
          </cell>
          <cell r="X445" t="str">
            <v>Ray Complex Motipur Ground Floor  , Ward No 5 Bakhri Muzaffarpur , Mishroulia Chowk Nagar Panchayat  , MOTIPUR , 843111</v>
          </cell>
          <cell r="Y445">
            <v>45166</v>
          </cell>
          <cell r="Z445" t="str">
            <v>NA</v>
          </cell>
          <cell r="AB445" t="str">
            <v>NA</v>
          </cell>
          <cell r="AF445" t="str">
            <v>NA</v>
          </cell>
          <cell r="AK445">
            <v>45163</v>
          </cell>
          <cell r="AL445" t="str">
            <v>Received</v>
          </cell>
          <cell r="AO445">
            <v>3</v>
          </cell>
          <cell r="AS445">
            <v>-3</v>
          </cell>
          <cell r="AU445">
            <v>4</v>
          </cell>
          <cell r="AY445">
            <v>-4</v>
          </cell>
          <cell r="BA445">
            <v>5</v>
          </cell>
          <cell r="BE445">
            <v>-5</v>
          </cell>
          <cell r="BG445">
            <v>5</v>
          </cell>
          <cell r="BK445">
            <v>-5</v>
          </cell>
          <cell r="BM445">
            <v>3</v>
          </cell>
          <cell r="BP445">
            <v>3</v>
          </cell>
          <cell r="BW445" t="str">
            <v>Done</v>
          </cell>
          <cell r="BX445">
            <v>45079</v>
          </cell>
          <cell r="BY445" t="str">
            <v>Approved</v>
          </cell>
          <cell r="CD445">
            <v>45163</v>
          </cell>
          <cell r="CE445">
            <v>45175</v>
          </cell>
          <cell r="CG445" t="str">
            <v xml:space="preserve">M/S Laxmi Enterprises </v>
          </cell>
          <cell r="CI445" t="str">
            <v>Issued</v>
          </cell>
          <cell r="DG445" t="str">
            <v>Netmed SDP - Not in Dead Rental</v>
          </cell>
          <cell r="DK445">
            <v>45196</v>
          </cell>
          <cell r="DL445">
            <v>45172</v>
          </cell>
          <cell r="DM445">
            <v>2</v>
          </cell>
          <cell r="DN445" t="str">
            <v>0 to 3 Days</v>
          </cell>
          <cell r="DP445">
            <v>45178</v>
          </cell>
          <cell r="DQ445">
            <v>45198</v>
          </cell>
          <cell r="DR445">
            <v>7</v>
          </cell>
          <cell r="DS445">
            <v>7</v>
          </cell>
          <cell r="DU445">
            <v>45205</v>
          </cell>
          <cell r="DV445">
            <v>45185</v>
          </cell>
          <cell r="DW445">
            <v>45205</v>
          </cell>
          <cell r="DX445" t="str">
            <v>Oct 23 Week 1</v>
          </cell>
          <cell r="DZ445">
            <v>45211</v>
          </cell>
          <cell r="EA445" t="str">
            <v>Oct 23 Week 2</v>
          </cell>
          <cell r="EB445" t="str">
            <v>Backlog</v>
          </cell>
          <cell r="ED445" t="str">
            <v/>
          </cell>
          <cell r="EE445" t="str">
            <v/>
          </cell>
          <cell r="EF445">
            <v>1</v>
          </cell>
          <cell r="EG445">
            <v>1</v>
          </cell>
          <cell r="FD445">
            <v>6</v>
          </cell>
          <cell r="FE445" t="str">
            <v>4 to 7 Days</v>
          </cell>
          <cell r="FF445">
            <v>26</v>
          </cell>
          <cell r="FG445" t="str">
            <v>16 to 31 Days</v>
          </cell>
          <cell r="FH445" t="str">
            <v>Done</v>
          </cell>
          <cell r="FI445" t="str">
            <v>Done</v>
          </cell>
          <cell r="FJ445" t="str">
            <v>NA</v>
          </cell>
          <cell r="FK445">
            <v>45212</v>
          </cell>
          <cell r="FM445" t="str">
            <v/>
          </cell>
          <cell r="GA445">
            <v>45211</v>
          </cell>
          <cell r="GC445">
            <v>45198</v>
          </cell>
          <cell r="GG445" t="str">
            <v>2023-2024</v>
          </cell>
        </row>
        <row r="446">
          <cell r="E446" t="str">
            <v>GF, Plot No 84/63/87/64  , Revenue Thana No 568 Mauza &amp; PS - Ghoshi , Khata No 7/172/304/97/94 , Dist - Jehanabad , JAHANABAD , 804406</v>
          </cell>
          <cell r="F446" t="str">
            <v>9. EPC Ready</v>
          </cell>
          <cell r="G446" t="str">
            <v>SPBHJAG4271</v>
          </cell>
          <cell r="H446" t="str">
            <v>BH-SM-JAD-3001</v>
          </cell>
          <cell r="I446" t="str">
            <v>TYSJ</v>
          </cell>
          <cell r="J446" t="str">
            <v>QBZN</v>
          </cell>
          <cell r="K446" t="str">
            <v xml:space="preserve">E </v>
          </cell>
          <cell r="L446" t="str">
            <v>AK</v>
          </cell>
          <cell r="M446" t="str">
            <v>EPC Ready</v>
          </cell>
          <cell r="Q446" t="str">
            <v>Gaurav Shinde</v>
          </cell>
          <cell r="S446" t="str">
            <v>Bihar</v>
          </cell>
          <cell r="T446" t="str">
            <v>Jahanabad</v>
          </cell>
          <cell r="U446" t="str">
            <v>Non Premium</v>
          </cell>
          <cell r="V446" t="str">
            <v>Pharma Format</v>
          </cell>
          <cell r="W446">
            <v>400</v>
          </cell>
          <cell r="X446" t="str">
            <v>GF, Plot No 84/63/87/64  , Revenue Thana No 568 Mauza &amp; PS - Ghoshi , Khata No 7/172/304/97/94 , Dist - Jehanabad , JAHANABAD , 804406</v>
          </cell>
          <cell r="Y446">
            <v>45166</v>
          </cell>
          <cell r="Z446" t="str">
            <v>NA</v>
          </cell>
          <cell r="AB446" t="str">
            <v>NA</v>
          </cell>
          <cell r="AF446" t="str">
            <v>NA</v>
          </cell>
          <cell r="AK446">
            <v>45166</v>
          </cell>
          <cell r="AL446" t="str">
            <v>Received</v>
          </cell>
          <cell r="AO446">
            <v>3</v>
          </cell>
          <cell r="AS446">
            <v>-3</v>
          </cell>
          <cell r="AU446">
            <v>4</v>
          </cell>
          <cell r="AY446">
            <v>-4</v>
          </cell>
          <cell r="BA446">
            <v>5</v>
          </cell>
          <cell r="BE446">
            <v>-5</v>
          </cell>
          <cell r="BG446">
            <v>5</v>
          </cell>
          <cell r="BK446">
            <v>-5</v>
          </cell>
          <cell r="BM446">
            <v>3</v>
          </cell>
          <cell r="BP446">
            <v>3</v>
          </cell>
          <cell r="BW446" t="str">
            <v>Done</v>
          </cell>
          <cell r="BX446">
            <v>45079</v>
          </cell>
          <cell r="BY446" t="str">
            <v>Approved</v>
          </cell>
          <cell r="CD446">
            <v>45163</v>
          </cell>
          <cell r="CE446">
            <v>45175</v>
          </cell>
          <cell r="CG446" t="str">
            <v xml:space="preserve">M/S RECON </v>
          </cell>
          <cell r="CI446" t="str">
            <v>Issued</v>
          </cell>
          <cell r="DG446" t="str">
            <v>Netmed SDP - Not in Dead Rental</v>
          </cell>
          <cell r="DK446">
            <v>45194</v>
          </cell>
          <cell r="DM446">
            <v>2</v>
          </cell>
          <cell r="DN446" t="str">
            <v>0 to 3 Days</v>
          </cell>
          <cell r="DP446">
            <v>45178</v>
          </cell>
          <cell r="DQ446">
            <v>45196</v>
          </cell>
          <cell r="DR446">
            <v>7</v>
          </cell>
          <cell r="DS446">
            <v>7</v>
          </cell>
          <cell r="DU446">
            <v>45203</v>
          </cell>
          <cell r="DV446">
            <v>45185</v>
          </cell>
          <cell r="DW446">
            <v>45203</v>
          </cell>
          <cell r="DX446" t="str">
            <v>Oct 23 Week 1</v>
          </cell>
          <cell r="DZ446">
            <v>45225</v>
          </cell>
          <cell r="EA446" t="str">
            <v>Oct 23 Week 4</v>
          </cell>
          <cell r="EB446" t="str">
            <v>Backlog</v>
          </cell>
          <cell r="ED446" t="str">
            <v/>
          </cell>
          <cell r="EE446" t="str">
            <v/>
          </cell>
          <cell r="EF446">
            <v>1</v>
          </cell>
          <cell r="EG446">
            <v>1</v>
          </cell>
          <cell r="FD446">
            <v>22</v>
          </cell>
          <cell r="FE446" t="str">
            <v>16 to 31 Days</v>
          </cell>
          <cell r="FF446">
            <v>40</v>
          </cell>
          <cell r="FG446" t="str">
            <v>31 to 61 Days</v>
          </cell>
          <cell r="FH446" t="str">
            <v>Done</v>
          </cell>
          <cell r="FI446" t="str">
            <v>Done</v>
          </cell>
          <cell r="FJ446" t="str">
            <v>NA</v>
          </cell>
          <cell r="FK446">
            <v>45217</v>
          </cell>
          <cell r="FM446" t="str">
            <v/>
          </cell>
          <cell r="GA446">
            <v>45226</v>
          </cell>
          <cell r="GC446">
            <v>45196</v>
          </cell>
          <cell r="GG446" t="str">
            <v>2023-2024</v>
          </cell>
        </row>
        <row r="447">
          <cell r="E447" t="str">
            <v>SP Shiladeep Complex Jamkhed</v>
          </cell>
          <cell r="F447" t="str">
            <v>14. Dropped</v>
          </cell>
          <cell r="G447" t="str">
            <v>SPMHAHA3322</v>
          </cell>
          <cell r="H447" t="str">
            <v>MH-SM-JKD-3000</v>
          </cell>
          <cell r="I447" t="str">
            <v>TYKE</v>
          </cell>
          <cell r="J447" t="str">
            <v>QBQP</v>
          </cell>
          <cell r="K447" t="str">
            <v>W</v>
          </cell>
          <cell r="L447" t="str">
            <v>KC</v>
          </cell>
          <cell r="M447" t="str">
            <v>Dropped</v>
          </cell>
          <cell r="Q447" t="str">
            <v>Gaurav Shinde</v>
          </cell>
          <cell r="S447" t="str">
            <v>Maharashtra</v>
          </cell>
          <cell r="T447" t="str">
            <v>Jamkhed</v>
          </cell>
          <cell r="U447" t="str">
            <v>Non Premium</v>
          </cell>
          <cell r="V447" t="str">
            <v>Pharma Format</v>
          </cell>
          <cell r="W447">
            <v>232</v>
          </cell>
          <cell r="X447" t="str">
            <v>SP Shiladeep Complex Jamkhed</v>
          </cell>
          <cell r="Z447" t="str">
            <v>NA</v>
          </cell>
          <cell r="AB447" t="str">
            <v>NA</v>
          </cell>
          <cell r="AF447" t="str">
            <v>NA</v>
          </cell>
          <cell r="AL447" t="str">
            <v>NA</v>
          </cell>
          <cell r="AO447">
            <v>3</v>
          </cell>
          <cell r="AS447">
            <v>-3</v>
          </cell>
          <cell r="AU447">
            <v>4</v>
          </cell>
          <cell r="AY447">
            <v>-4</v>
          </cell>
          <cell r="BA447">
            <v>5</v>
          </cell>
          <cell r="BE447">
            <v>-5</v>
          </cell>
          <cell r="BG447">
            <v>5</v>
          </cell>
          <cell r="BK447">
            <v>-5</v>
          </cell>
          <cell r="BM447">
            <v>3</v>
          </cell>
          <cell r="BP447">
            <v>3</v>
          </cell>
          <cell r="BW447" t="str">
            <v>Done</v>
          </cell>
          <cell r="BX447">
            <v>45079</v>
          </cell>
          <cell r="BY447" t="str">
            <v>Approved</v>
          </cell>
          <cell r="DG447" t="str">
            <v>Netmed SDP - Not in Dead Rental</v>
          </cell>
          <cell r="DM447" t="str">
            <v>NA</v>
          </cell>
          <cell r="DN447" t="str">
            <v>NA</v>
          </cell>
          <cell r="DR447">
            <v>7</v>
          </cell>
          <cell r="DS447">
            <v>7</v>
          </cell>
          <cell r="DU447">
            <v>7</v>
          </cell>
          <cell r="DV447">
            <v>7</v>
          </cell>
          <cell r="DW447">
            <v>7</v>
          </cell>
          <cell r="EA447" t="str">
            <v/>
          </cell>
          <cell r="ED447" t="str">
            <v/>
          </cell>
          <cell r="EE447" t="str">
            <v/>
          </cell>
          <cell r="EF447">
            <v>1</v>
          </cell>
          <cell r="FD447">
            <v>46114</v>
          </cell>
          <cell r="FF447">
            <v>46114</v>
          </cell>
          <cell r="FJ447" t="str">
            <v>NA</v>
          </cell>
          <cell r="FM447" t="str">
            <v/>
          </cell>
          <cell r="GG447" t="str">
            <v>2024-2025</v>
          </cell>
        </row>
        <row r="448">
          <cell r="E448" t="str">
            <v>5 197 Lakshmi Narayana Theater  , Jangareddygudem West Godavari , Srinivasapuram Road  , JANGAREDDIGUDE , 534447</v>
          </cell>
          <cell r="F448" t="str">
            <v>9. EPC Ready</v>
          </cell>
          <cell r="G448" t="str">
            <v>SPAPJAS4236</v>
          </cell>
          <cell r="H448" t="str">
            <v>AP-SM-JGM-3000</v>
          </cell>
          <cell r="I448" t="str">
            <v>U2C6</v>
          </cell>
          <cell r="J448" t="str">
            <v>QB5M</v>
          </cell>
          <cell r="K448" t="str">
            <v xml:space="preserve">E </v>
          </cell>
          <cell r="L448" t="str">
            <v>JD</v>
          </cell>
          <cell r="M448" t="str">
            <v>EPC Ready</v>
          </cell>
          <cell r="N448" t="str">
            <v>Jaisingh Desai</v>
          </cell>
          <cell r="P448" t="str">
            <v>Mr. Sudhakar Veerla</v>
          </cell>
          <cell r="Q448" t="str">
            <v>Gaurav Shinde</v>
          </cell>
          <cell r="S448" t="str">
            <v>Andhra Pradesh</v>
          </cell>
          <cell r="T448" t="str">
            <v>Jangareddygudem</v>
          </cell>
          <cell r="U448" t="str">
            <v>Non Premium</v>
          </cell>
          <cell r="V448" t="str">
            <v>Pharma Format</v>
          </cell>
          <cell r="W448">
            <v>400</v>
          </cell>
          <cell r="X448" t="str">
            <v>5 197 Lakshmi Narayana Theater  , Jangareddygudem West Godavari , Srinivasapuram Road  , JANGAREDDIGUDE , 534447</v>
          </cell>
          <cell r="Y448">
            <v>45166</v>
          </cell>
          <cell r="Z448" t="str">
            <v>NA</v>
          </cell>
          <cell r="AB448" t="str">
            <v>NA</v>
          </cell>
          <cell r="AF448" t="str">
            <v>NA</v>
          </cell>
          <cell r="AK448">
            <v>45163</v>
          </cell>
          <cell r="AL448" t="str">
            <v>Received</v>
          </cell>
          <cell r="AO448">
            <v>3</v>
          </cell>
          <cell r="AS448">
            <v>-3</v>
          </cell>
          <cell r="AU448">
            <v>4</v>
          </cell>
          <cell r="AY448">
            <v>-4</v>
          </cell>
          <cell r="BA448">
            <v>5</v>
          </cell>
          <cell r="BE448">
            <v>-5</v>
          </cell>
          <cell r="BG448">
            <v>5</v>
          </cell>
          <cell r="BK448">
            <v>-5</v>
          </cell>
          <cell r="BM448">
            <v>3</v>
          </cell>
          <cell r="BP448">
            <v>3</v>
          </cell>
          <cell r="BW448" t="str">
            <v>Done</v>
          </cell>
          <cell r="BX448">
            <v>45079</v>
          </cell>
          <cell r="BY448" t="str">
            <v>Approved</v>
          </cell>
          <cell r="CD448">
            <v>45126</v>
          </cell>
          <cell r="CE448">
            <v>45159</v>
          </cell>
          <cell r="CG448" t="str">
            <v>M/s VK CONSTRUCTIONS</v>
          </cell>
          <cell r="CI448" t="str">
            <v>Issued</v>
          </cell>
          <cell r="DG448" t="str">
            <v>Netmed SDP - Not in Dead Rental</v>
          </cell>
          <cell r="DK448">
            <v>45175</v>
          </cell>
          <cell r="DM448">
            <v>2</v>
          </cell>
          <cell r="DN448" t="str">
            <v>0 to 3 Days</v>
          </cell>
          <cell r="DP448">
            <v>45162</v>
          </cell>
          <cell r="DQ448">
            <v>45177</v>
          </cell>
          <cell r="DR448">
            <v>7</v>
          </cell>
          <cell r="DS448">
            <v>7</v>
          </cell>
          <cell r="DU448">
            <v>45184</v>
          </cell>
          <cell r="DV448">
            <v>45169</v>
          </cell>
          <cell r="DW448">
            <v>45184</v>
          </cell>
          <cell r="DX448" t="str">
            <v>Sep 23 Week 3</v>
          </cell>
          <cell r="DZ448">
            <v>45189</v>
          </cell>
          <cell r="EA448" t="str">
            <v>Sep 23 Week 3</v>
          </cell>
          <cell r="EB448" t="str">
            <v>Backlog</v>
          </cell>
          <cell r="ED448" t="str">
            <v/>
          </cell>
          <cell r="EE448" t="str">
            <v/>
          </cell>
          <cell r="EF448">
            <v>1</v>
          </cell>
          <cell r="EG448">
            <v>1</v>
          </cell>
          <cell r="FD448">
            <v>5</v>
          </cell>
          <cell r="FE448" t="str">
            <v>4 to 7 Days</v>
          </cell>
          <cell r="FF448">
            <v>20</v>
          </cell>
          <cell r="FG448" t="str">
            <v>16 to 31 Days</v>
          </cell>
          <cell r="FH448" t="str">
            <v>Done</v>
          </cell>
          <cell r="FI448" t="str">
            <v>Done</v>
          </cell>
          <cell r="FJ448" t="str">
            <v>NA</v>
          </cell>
          <cell r="FK448">
            <v>45230</v>
          </cell>
          <cell r="FM448" t="str">
            <v/>
          </cell>
          <cell r="GA448">
            <v>45225</v>
          </cell>
          <cell r="GC448">
            <v>45198</v>
          </cell>
          <cell r="GG448" t="str">
            <v>2023-2024</v>
          </cell>
        </row>
        <row r="449">
          <cell r="E449" t="str">
            <v>Vk Building Perumal Temple Steet  , Nagari Chittoor , Opp To Union Bank Of India  , NAGARI , 517590</v>
          </cell>
          <cell r="F449" t="str">
            <v>9. EPC Ready</v>
          </cell>
          <cell r="G449" t="str">
            <v>SPAPNAP3743</v>
          </cell>
          <cell r="H449" t="str">
            <v>AP-SM-NAI-3000</v>
          </cell>
          <cell r="I449" t="str">
            <v>TYOX</v>
          </cell>
          <cell r="J449" t="str">
            <v>QBVZ</v>
          </cell>
          <cell r="K449" t="str">
            <v xml:space="preserve">E </v>
          </cell>
          <cell r="L449" t="str">
            <v>JD</v>
          </cell>
          <cell r="M449" t="str">
            <v>EPC Ready</v>
          </cell>
          <cell r="N449" t="str">
            <v>Jaisingh Desai</v>
          </cell>
          <cell r="P449" t="str">
            <v>Mr. Deepti Chandrashekhar</v>
          </cell>
          <cell r="Q449" t="str">
            <v>Gaurav Shinde</v>
          </cell>
          <cell r="S449" t="str">
            <v>Andhra Pradesh</v>
          </cell>
          <cell r="T449" t="str">
            <v>Nagari</v>
          </cell>
          <cell r="U449" t="str">
            <v>Non Premium</v>
          </cell>
          <cell r="V449" t="str">
            <v>Pharma Format</v>
          </cell>
          <cell r="W449">
            <v>411</v>
          </cell>
          <cell r="X449" t="str">
            <v>Vk Building Perumal Temple Steet  , Nagari Chittoor , Opp To Union Bank Of India  , NAGARI , 517590</v>
          </cell>
          <cell r="Y449">
            <v>45124</v>
          </cell>
          <cell r="Z449" t="str">
            <v>NA</v>
          </cell>
          <cell r="AB449" t="str">
            <v>NA</v>
          </cell>
          <cell r="AF449" t="str">
            <v>NA</v>
          </cell>
          <cell r="AK449">
            <v>45141</v>
          </cell>
          <cell r="AL449" t="str">
            <v>Received</v>
          </cell>
          <cell r="AO449">
            <v>3</v>
          </cell>
          <cell r="AS449">
            <v>-3</v>
          </cell>
          <cell r="AU449">
            <v>4</v>
          </cell>
          <cell r="AY449">
            <v>-4</v>
          </cell>
          <cell r="BA449">
            <v>5</v>
          </cell>
          <cell r="BE449">
            <v>-5</v>
          </cell>
          <cell r="BG449">
            <v>5</v>
          </cell>
          <cell r="BK449">
            <v>-5</v>
          </cell>
          <cell r="BM449">
            <v>3</v>
          </cell>
          <cell r="BP449">
            <v>3</v>
          </cell>
          <cell r="BW449" t="str">
            <v>Done</v>
          </cell>
          <cell r="BX449">
            <v>45079</v>
          </cell>
          <cell r="BY449" t="str">
            <v>Approved</v>
          </cell>
          <cell r="CD449">
            <v>45126</v>
          </cell>
          <cell r="CE449">
            <v>45159</v>
          </cell>
          <cell r="CG449" t="str">
            <v>M/s INDIAN COMPUTER CORPORATION    </v>
          </cell>
          <cell r="CI449" t="str">
            <v>Issued</v>
          </cell>
          <cell r="DG449" t="str">
            <v>Netmed SDP - Not in Dead Rental</v>
          </cell>
          <cell r="DL449">
            <v>45162</v>
          </cell>
          <cell r="DP449">
            <v>45162</v>
          </cell>
          <cell r="DQ449">
            <v>45196</v>
          </cell>
          <cell r="DR449">
            <v>7</v>
          </cell>
          <cell r="DS449">
            <v>7</v>
          </cell>
          <cell r="DV449">
            <v>45169</v>
          </cell>
          <cell r="DZ449">
            <v>45204</v>
          </cell>
          <cell r="EA449" t="str">
            <v>Oct 23 Week 1</v>
          </cell>
          <cell r="ED449" t="str">
            <v/>
          </cell>
          <cell r="EE449" t="str">
            <v/>
          </cell>
          <cell r="EF449">
            <v>1</v>
          </cell>
          <cell r="EG449">
            <v>1</v>
          </cell>
          <cell r="FF449">
            <v>35</v>
          </cell>
          <cell r="FG449" t="str">
            <v>31 to 61 Days</v>
          </cell>
          <cell r="FH449" t="str">
            <v>Done</v>
          </cell>
          <cell r="FI449" t="str">
            <v>Done</v>
          </cell>
          <cell r="FJ449" t="str">
            <v>NA</v>
          </cell>
          <cell r="FK449">
            <v>45318</v>
          </cell>
          <cell r="FM449" t="str">
            <v/>
          </cell>
          <cell r="GA449">
            <v>45307</v>
          </cell>
          <cell r="GC449" t="str">
            <v xml:space="preserve">
27-09-2023</v>
          </cell>
          <cell r="GG449" t="str">
            <v>2023-2024</v>
          </cell>
        </row>
        <row r="450">
          <cell r="E450" t="str">
            <v>Nayak Building Anta Chhaka Po Jayanagar  , Dist Korraput , Beside Bhoot Nath Mandir Jaypore  , JEYPUR , 764005</v>
          </cell>
          <cell r="F450" t="str">
            <v>9. EPC Ready</v>
          </cell>
          <cell r="G450" t="str">
            <v>SPORJEJ3591</v>
          </cell>
          <cell r="H450" t="str">
            <v>OR-SM-JEY-3000</v>
          </cell>
          <cell r="I450" t="str">
            <v>TYPW</v>
          </cell>
          <cell r="J450" t="str">
            <v>QBWY</v>
          </cell>
          <cell r="K450" t="str">
            <v xml:space="preserve">E </v>
          </cell>
          <cell r="L450" t="str">
            <v>JD</v>
          </cell>
          <cell r="M450" t="str">
            <v>EPC Ready</v>
          </cell>
          <cell r="N450" t="str">
            <v>Jaisingh Desai</v>
          </cell>
          <cell r="Q450" t="str">
            <v>Gaurav Shinde</v>
          </cell>
          <cell r="S450" t="str">
            <v>ODISHA</v>
          </cell>
          <cell r="T450" t="str">
            <v>Jaypur</v>
          </cell>
          <cell r="U450" t="str">
            <v>Non Premium</v>
          </cell>
          <cell r="V450" t="str">
            <v>Pharma Format</v>
          </cell>
          <cell r="W450">
            <v>344</v>
          </cell>
          <cell r="X450" t="str">
            <v>Nayak Building Anta Chhaka Po Jayanagar  , Dist Korraput , Beside Bhoot Nath Mandir Jaypore  , JEYPUR , 764005</v>
          </cell>
          <cell r="Y450">
            <v>45166</v>
          </cell>
          <cell r="Z450" t="str">
            <v>NA</v>
          </cell>
          <cell r="AB450" t="str">
            <v>NA</v>
          </cell>
          <cell r="AF450" t="str">
            <v>NA</v>
          </cell>
          <cell r="AK450">
            <v>45166</v>
          </cell>
          <cell r="AL450" t="str">
            <v>Received</v>
          </cell>
          <cell r="AO450">
            <v>3</v>
          </cell>
          <cell r="AS450">
            <v>-3</v>
          </cell>
          <cell r="AU450">
            <v>4</v>
          </cell>
          <cell r="AY450">
            <v>-4</v>
          </cell>
          <cell r="BA450">
            <v>5</v>
          </cell>
          <cell r="BE450">
            <v>-5</v>
          </cell>
          <cell r="BG450">
            <v>5</v>
          </cell>
          <cell r="BK450">
            <v>-5</v>
          </cell>
          <cell r="BM450">
            <v>3</v>
          </cell>
          <cell r="BP450">
            <v>3</v>
          </cell>
          <cell r="BW450" t="str">
            <v>Done</v>
          </cell>
          <cell r="BX450">
            <v>45079</v>
          </cell>
          <cell r="BY450" t="str">
            <v>Approved</v>
          </cell>
          <cell r="CD450">
            <v>45163</v>
          </cell>
          <cell r="CE450">
            <v>45170</v>
          </cell>
          <cell r="CG450" t="str">
            <v>M/s Radient Civiletric Pvt Ltd</v>
          </cell>
          <cell r="CI450" t="str">
            <v>Issued</v>
          </cell>
          <cell r="DG450" t="str">
            <v>Netmed SDP - Not in Dead Rental</v>
          </cell>
          <cell r="DK450">
            <v>45209</v>
          </cell>
          <cell r="DM450">
            <v>2</v>
          </cell>
          <cell r="DN450" t="str">
            <v>0 to 3 Days</v>
          </cell>
          <cell r="DP450">
            <v>45173</v>
          </cell>
          <cell r="DQ450">
            <v>45211</v>
          </cell>
          <cell r="DR450">
            <v>7</v>
          </cell>
          <cell r="DS450">
            <v>7</v>
          </cell>
          <cell r="DU450">
            <v>45218</v>
          </cell>
          <cell r="DV450">
            <v>45180</v>
          </cell>
          <cell r="DW450">
            <v>45218</v>
          </cell>
          <cell r="DX450" t="str">
            <v>Oct 23 Week 3</v>
          </cell>
          <cell r="DZ450">
            <v>45229</v>
          </cell>
          <cell r="EA450" t="str">
            <v>Oct 23 Week 5</v>
          </cell>
          <cell r="EB450" t="str">
            <v>Backlog</v>
          </cell>
          <cell r="ED450" t="str">
            <v/>
          </cell>
          <cell r="EE450" t="str">
            <v/>
          </cell>
          <cell r="EF450">
            <v>1</v>
          </cell>
          <cell r="EG450">
            <v>1</v>
          </cell>
          <cell r="FD450">
            <v>11</v>
          </cell>
          <cell r="FE450" t="str">
            <v>8 to 15 Days</v>
          </cell>
          <cell r="FF450">
            <v>49</v>
          </cell>
          <cell r="FG450" t="str">
            <v>31 to 61 Days</v>
          </cell>
          <cell r="FH450" t="str">
            <v>Done</v>
          </cell>
          <cell r="FI450" t="str">
            <v>Done</v>
          </cell>
          <cell r="FJ450" t="str">
            <v>NA</v>
          </cell>
          <cell r="FK450">
            <v>45230</v>
          </cell>
          <cell r="FM450" t="str">
            <v/>
          </cell>
          <cell r="GA450">
            <v>45229</v>
          </cell>
          <cell r="GC450">
            <v>45211</v>
          </cell>
          <cell r="GG450" t="str">
            <v>2023-2024</v>
          </cell>
        </row>
        <row r="451">
          <cell r="E451" t="str">
            <v>Arc Investment Consultants Pvt Ltd  , Joda Keonjhar , Agarwal Manson At Po Joda Bansapani Road  , JODA , 758034</v>
          </cell>
          <cell r="F451" t="str">
            <v>9. EPC Ready</v>
          </cell>
          <cell r="G451" t="str">
            <v>SPORJOB3528</v>
          </cell>
          <cell r="H451" t="str">
            <v>OR-SM-JOD-3000</v>
          </cell>
          <cell r="I451" t="str">
            <v>TYTM</v>
          </cell>
          <cell r="J451" t="str">
            <v>QB1Q</v>
          </cell>
          <cell r="K451" t="str">
            <v xml:space="preserve">E </v>
          </cell>
          <cell r="L451" t="str">
            <v>JD</v>
          </cell>
          <cell r="M451" t="str">
            <v>EPC Ready</v>
          </cell>
          <cell r="N451" t="str">
            <v>Jaisingh Desai</v>
          </cell>
          <cell r="Q451" t="str">
            <v>Gaurav Shinde</v>
          </cell>
          <cell r="S451" t="str">
            <v>ODISHA</v>
          </cell>
          <cell r="T451" t="str">
            <v>JODA</v>
          </cell>
          <cell r="U451" t="str">
            <v>Non Premium</v>
          </cell>
          <cell r="V451" t="str">
            <v>Pharma Format</v>
          </cell>
          <cell r="W451">
            <v>400</v>
          </cell>
          <cell r="X451" t="str">
            <v>Arc Investment Consultants Pvt Ltd  , Joda Keonjhar , Agarwal Manson At Po Joda Bansapani Road  , JODA , 758034</v>
          </cell>
          <cell r="Y451">
            <v>45166</v>
          </cell>
          <cell r="Z451" t="str">
            <v>NA</v>
          </cell>
          <cell r="AB451" t="str">
            <v>NA</v>
          </cell>
          <cell r="AF451" t="str">
            <v>NA</v>
          </cell>
          <cell r="AK451">
            <v>45164</v>
          </cell>
          <cell r="AL451" t="str">
            <v>Received</v>
          </cell>
          <cell r="AO451">
            <v>3</v>
          </cell>
          <cell r="AS451">
            <v>-3</v>
          </cell>
          <cell r="AU451">
            <v>4</v>
          </cell>
          <cell r="AY451">
            <v>-4</v>
          </cell>
          <cell r="BA451">
            <v>5</v>
          </cell>
          <cell r="BE451">
            <v>-5</v>
          </cell>
          <cell r="BG451">
            <v>5</v>
          </cell>
          <cell r="BK451">
            <v>-5</v>
          </cell>
          <cell r="BM451">
            <v>3</v>
          </cell>
          <cell r="BP451">
            <v>3</v>
          </cell>
          <cell r="BW451" t="str">
            <v>Done</v>
          </cell>
          <cell r="BX451">
            <v>45079</v>
          </cell>
          <cell r="BY451" t="str">
            <v>Approved</v>
          </cell>
          <cell r="CD451">
            <v>45163</v>
          </cell>
          <cell r="CE451">
            <v>45170</v>
          </cell>
          <cell r="CG451" t="str">
            <v>M/s Radient Civiletric Pvt Ltd</v>
          </cell>
          <cell r="CI451" t="str">
            <v>Issued</v>
          </cell>
          <cell r="DG451" t="str">
            <v>Netmed SDP - Not in Dead Rental</v>
          </cell>
          <cell r="DK451">
            <v>45180</v>
          </cell>
          <cell r="DL451">
            <v>45178</v>
          </cell>
          <cell r="DM451">
            <v>2</v>
          </cell>
          <cell r="DN451" t="str">
            <v>0 to 3 Days</v>
          </cell>
          <cell r="DP451">
            <v>45173</v>
          </cell>
          <cell r="DQ451">
            <v>45182</v>
          </cell>
          <cell r="DR451">
            <v>7</v>
          </cell>
          <cell r="DS451">
            <v>7</v>
          </cell>
          <cell r="DU451">
            <v>45189</v>
          </cell>
          <cell r="DV451">
            <v>45180</v>
          </cell>
          <cell r="DW451">
            <v>45189</v>
          </cell>
          <cell r="DX451" t="str">
            <v>Sep 23 Week 3</v>
          </cell>
          <cell r="DZ451">
            <v>45320</v>
          </cell>
          <cell r="EA451" t="str">
            <v>Jan 24 Week 5</v>
          </cell>
          <cell r="EB451" t="str">
            <v>Backlog</v>
          </cell>
          <cell r="ED451" t="str">
            <v/>
          </cell>
          <cell r="EE451" t="str">
            <v/>
          </cell>
          <cell r="EF451">
            <v>1</v>
          </cell>
          <cell r="EG451">
            <v>1</v>
          </cell>
          <cell r="FD451">
            <v>131</v>
          </cell>
          <cell r="FE451" t="str">
            <v>More Than 90  Days</v>
          </cell>
          <cell r="FF451">
            <v>140</v>
          </cell>
          <cell r="FG451" t="str">
            <v>More Than 90  Days</v>
          </cell>
          <cell r="FH451" t="str">
            <v>Done</v>
          </cell>
          <cell r="FI451" t="str">
            <v>Done</v>
          </cell>
          <cell r="FJ451" t="str">
            <v>NA</v>
          </cell>
          <cell r="FK451">
            <v>45321</v>
          </cell>
          <cell r="FM451" t="str">
            <v/>
          </cell>
          <cell r="GA451">
            <v>45320</v>
          </cell>
          <cell r="GC451">
            <v>45182</v>
          </cell>
          <cell r="GG451" t="str">
            <v>2023-2024</v>
          </cell>
        </row>
        <row r="452">
          <cell r="E452" t="str">
            <v>GF, Dag No 1542, Patta No 1019, Sonari  , Revenue Circle, Dist - Jorhat , Gaon, Mouza - Saraibai, Jorhat West  , SONARI , 785004</v>
          </cell>
          <cell r="F452" t="str">
            <v>9. EPC Ready</v>
          </cell>
          <cell r="G452" t="str">
            <v>SPASJOJ3970</v>
          </cell>
          <cell r="H452" t="str">
            <v>WB-SM-JOR-3002</v>
          </cell>
          <cell r="I452" t="str">
            <v>TAQ7</v>
          </cell>
          <cell r="J452" t="str">
            <v>QGQL</v>
          </cell>
          <cell r="K452" t="str">
            <v xml:space="preserve">E </v>
          </cell>
          <cell r="L452" t="str">
            <v>SD</v>
          </cell>
          <cell r="M452" t="str">
            <v>EPC Ready</v>
          </cell>
          <cell r="N452" t="str">
            <v>Mahendrakumar Warma</v>
          </cell>
          <cell r="O452" t="str">
            <v>Anup das (EXCEPT SIKKIM)</v>
          </cell>
          <cell r="P452" t="str">
            <v>Suman Das-7044069904</v>
          </cell>
          <cell r="Q452" t="str">
            <v>Gaurav Shinde</v>
          </cell>
          <cell r="S452" t="str">
            <v>Assam</v>
          </cell>
          <cell r="T452" t="str">
            <v>JORHAT</v>
          </cell>
          <cell r="U452" t="str">
            <v>Non Premium</v>
          </cell>
          <cell r="V452" t="str">
            <v>Pharma Format</v>
          </cell>
          <cell r="W452">
            <v>400</v>
          </cell>
          <cell r="X452" t="str">
            <v>GF, Dag No 1542, Patta No 1019, Sonari  , Revenue Circle, Dist - Jorhat , Gaon, Mouza - Saraibai, Jorhat West  , SONARI , 785004</v>
          </cell>
          <cell r="Y452">
            <v>45166</v>
          </cell>
          <cell r="Z452" t="str">
            <v>NA</v>
          </cell>
          <cell r="AB452" t="str">
            <v>NA</v>
          </cell>
          <cell r="AF452" t="str">
            <v>NA</v>
          </cell>
          <cell r="AK452">
            <v>45184</v>
          </cell>
          <cell r="AL452" t="str">
            <v>Received</v>
          </cell>
          <cell r="AO452">
            <v>3</v>
          </cell>
          <cell r="AS452">
            <v>-3</v>
          </cell>
          <cell r="AU452">
            <v>4</v>
          </cell>
          <cell r="AY452">
            <v>-4</v>
          </cell>
          <cell r="BA452">
            <v>5</v>
          </cell>
          <cell r="BE452">
            <v>-5</v>
          </cell>
          <cell r="BG452">
            <v>5</v>
          </cell>
          <cell r="BK452">
            <v>-5</v>
          </cell>
          <cell r="BM452">
            <v>3</v>
          </cell>
          <cell r="BP452">
            <v>3</v>
          </cell>
          <cell r="BW452" t="str">
            <v>Done</v>
          </cell>
          <cell r="BX452">
            <v>45079</v>
          </cell>
          <cell r="BY452" t="str">
            <v>Approved</v>
          </cell>
          <cell r="CD452">
            <v>45163</v>
          </cell>
          <cell r="CE452">
            <v>45170</v>
          </cell>
          <cell r="CG452" t="str">
            <v>M/s. DAS ENTERPRISE</v>
          </cell>
          <cell r="CI452" t="str">
            <v>Issued</v>
          </cell>
          <cell r="DA452" t="str">
            <v>NA</v>
          </cell>
          <cell r="DB452" t="str">
            <v>NA</v>
          </cell>
          <cell r="DC452" t="str">
            <v>NA</v>
          </cell>
          <cell r="DG452" t="str">
            <v>Netmed SDP - Not in Dead Rental</v>
          </cell>
          <cell r="DK452">
            <v>45302</v>
          </cell>
          <cell r="DM452">
            <v>2</v>
          </cell>
          <cell r="DN452" t="str">
            <v>0 to 3 Days</v>
          </cell>
          <cell r="DO452" t="str">
            <v>04-09-2023</v>
          </cell>
          <cell r="DP452">
            <v>45305</v>
          </cell>
          <cell r="DQ452">
            <v>45304</v>
          </cell>
          <cell r="DR452">
            <v>7</v>
          </cell>
          <cell r="DS452">
            <v>7</v>
          </cell>
          <cell r="DU452">
            <v>45311</v>
          </cell>
          <cell r="DV452">
            <v>45312</v>
          </cell>
          <cell r="DW452">
            <v>45311</v>
          </cell>
          <cell r="DX452" t="str">
            <v>Jan 24 Week 3</v>
          </cell>
          <cell r="DZ452">
            <v>45257</v>
          </cell>
          <cell r="EA452" t="str">
            <v>Nov 23 Week 4</v>
          </cell>
          <cell r="EB452" t="str">
            <v>Backlog</v>
          </cell>
          <cell r="ED452" t="str">
            <v/>
          </cell>
          <cell r="EE452" t="str">
            <v/>
          </cell>
          <cell r="EF452">
            <v>1</v>
          </cell>
          <cell r="EG452">
            <v>0.8</v>
          </cell>
          <cell r="EH452" t="str">
            <v>NO electrical supply -LL Scope of work Pending</v>
          </cell>
          <cell r="FD452">
            <v>-54</v>
          </cell>
          <cell r="FE452" t="str">
            <v>On Time</v>
          </cell>
          <cell r="FF452">
            <v>-55</v>
          </cell>
          <cell r="FG452" t="str">
            <v>On Time</v>
          </cell>
          <cell r="FH452" t="str">
            <v>NA</v>
          </cell>
          <cell r="FJ452" t="str">
            <v>NA</v>
          </cell>
          <cell r="FM452" t="str">
            <v/>
          </cell>
          <cell r="FZ452" t="str">
            <v xml:space="preserve">As confirmed by Business on 07-02-2024 - Site is drop </v>
          </cell>
          <cell r="GG452" t="str">
            <v>2023-2024</v>
          </cell>
        </row>
        <row r="453">
          <cell r="E453" t="str">
            <v>Md Ali Bihar Complex Nagra Chhapra Road  ,  , Near Nagra Chowk Nagra Chhapra  , CHAPRA , 841442</v>
          </cell>
          <cell r="F453" t="str">
            <v>9. EPC Ready</v>
          </cell>
          <cell r="G453" t="str">
            <v>SPBHNAN4208</v>
          </cell>
          <cell r="H453" t="str">
            <v>BH-SM-NRA-3000</v>
          </cell>
          <cell r="I453" t="str">
            <v>TH7U</v>
          </cell>
          <cell r="J453" t="str">
            <v>QZIT</v>
          </cell>
          <cell r="K453" t="str">
            <v xml:space="preserve">E </v>
          </cell>
          <cell r="L453" t="str">
            <v>AK</v>
          </cell>
          <cell r="M453" t="str">
            <v>EPC Ready</v>
          </cell>
          <cell r="Q453" t="str">
            <v>Gaurav Shinde</v>
          </cell>
          <cell r="S453" t="str">
            <v>Bihar</v>
          </cell>
          <cell r="T453" t="str">
            <v>Nagra</v>
          </cell>
          <cell r="U453" t="str">
            <v>Non Premium</v>
          </cell>
          <cell r="V453" t="str">
            <v>Pharma Format</v>
          </cell>
          <cell r="W453">
            <v>402</v>
          </cell>
          <cell r="X453" t="str">
            <v>Md Ali Bihar Complex Nagra Chhapra Road  ,  , Near Nagra Chowk Nagra Chhapra  , CHAPRA , 841442</v>
          </cell>
          <cell r="Z453" t="str">
            <v>NA</v>
          </cell>
          <cell r="AB453" t="str">
            <v>NA</v>
          </cell>
          <cell r="AF453" t="str">
            <v>NA</v>
          </cell>
          <cell r="AK453">
            <v>45166</v>
          </cell>
          <cell r="AL453" t="str">
            <v>Received</v>
          </cell>
          <cell r="AO453">
            <v>3</v>
          </cell>
          <cell r="AS453">
            <v>-3</v>
          </cell>
          <cell r="AU453">
            <v>4</v>
          </cell>
          <cell r="AY453">
            <v>-4</v>
          </cell>
          <cell r="BA453">
            <v>5</v>
          </cell>
          <cell r="BE453">
            <v>-5</v>
          </cell>
          <cell r="BG453">
            <v>5</v>
          </cell>
          <cell r="BK453">
            <v>-5</v>
          </cell>
          <cell r="BM453">
            <v>3</v>
          </cell>
          <cell r="BP453">
            <v>3</v>
          </cell>
          <cell r="BW453" t="str">
            <v>Done</v>
          </cell>
          <cell r="BX453">
            <v>45079</v>
          </cell>
          <cell r="BY453" t="str">
            <v>Approved</v>
          </cell>
          <cell r="CD453">
            <v>45163</v>
          </cell>
          <cell r="CE453">
            <v>45175</v>
          </cell>
          <cell r="CG453" t="str">
            <v xml:space="preserve">M/S Laxmi Enterprises </v>
          </cell>
          <cell r="CI453" t="str">
            <v>Issued</v>
          </cell>
          <cell r="DG453" t="str">
            <v>Netmed SDP - Not in Dead Rental</v>
          </cell>
          <cell r="DK453">
            <v>45195</v>
          </cell>
          <cell r="DL453">
            <v>45178</v>
          </cell>
          <cell r="DM453">
            <v>2</v>
          </cell>
          <cell r="DN453" t="str">
            <v>0 to 3 Days</v>
          </cell>
          <cell r="DP453">
            <v>45178</v>
          </cell>
          <cell r="DQ453">
            <v>45197</v>
          </cell>
          <cell r="DR453">
            <v>7</v>
          </cell>
          <cell r="DS453">
            <v>7</v>
          </cell>
          <cell r="DU453">
            <v>45204</v>
          </cell>
          <cell r="DV453">
            <v>45185</v>
          </cell>
          <cell r="DW453">
            <v>45204</v>
          </cell>
          <cell r="DX453" t="str">
            <v>Oct 23 Week 1</v>
          </cell>
          <cell r="DZ453">
            <v>45230</v>
          </cell>
          <cell r="EA453" t="str">
            <v>Oct 23 Week 5</v>
          </cell>
          <cell r="EB453" t="str">
            <v>Backlog</v>
          </cell>
          <cell r="ED453" t="str">
            <v/>
          </cell>
          <cell r="EE453" t="str">
            <v/>
          </cell>
          <cell r="EF453">
            <v>1</v>
          </cell>
          <cell r="EG453">
            <v>1</v>
          </cell>
          <cell r="FD453">
            <v>26</v>
          </cell>
          <cell r="FE453" t="str">
            <v>16 to 31 Days</v>
          </cell>
          <cell r="FF453">
            <v>45</v>
          </cell>
          <cell r="FG453" t="str">
            <v>31 to 61 Days</v>
          </cell>
          <cell r="FH453" t="str">
            <v>Done</v>
          </cell>
          <cell r="FI453" t="str">
            <v>Done</v>
          </cell>
          <cell r="FJ453" t="str">
            <v>NA</v>
          </cell>
          <cell r="FK453">
            <v>45232</v>
          </cell>
          <cell r="FM453" t="str">
            <v/>
          </cell>
          <cell r="GA453">
            <v>45230</v>
          </cell>
          <cell r="GC453">
            <v>45197</v>
          </cell>
          <cell r="GG453" t="str">
            <v>2023-2024</v>
          </cell>
        </row>
        <row r="454">
          <cell r="E454" t="str">
            <v>Ground Floor Mkb Complex D.No: 29A  , Kallakurichi , Gandhi Road RajaNagar Near Raja Theatre  , KALLAKURICHI , 606202</v>
          </cell>
          <cell r="F454" t="str">
            <v>9. EPC Ready</v>
          </cell>
          <cell r="G454" t="str">
            <v>SPTNKAM3622</v>
          </cell>
          <cell r="H454" t="str">
            <v>TN-SM-KLI-3000</v>
          </cell>
          <cell r="I454" t="str">
            <v>TYZK</v>
          </cell>
          <cell r="J454" t="str">
            <v>QB7M</v>
          </cell>
          <cell r="K454" t="str">
            <v>S</v>
          </cell>
          <cell r="L454" t="str">
            <v>AK</v>
          </cell>
          <cell r="M454" t="str">
            <v>EPC Ready</v>
          </cell>
          <cell r="N454" t="str">
            <v>N Kalyankumar</v>
          </cell>
          <cell r="O454" t="str">
            <v>Muthuvelu Minnal /
Vijayakumar Muthusamy</v>
          </cell>
          <cell r="Q454" t="str">
            <v>Gaurav Shinde</v>
          </cell>
          <cell r="S454" t="str">
            <v>Tamil Nadu</v>
          </cell>
          <cell r="T454" t="str">
            <v>Kallkurichi</v>
          </cell>
          <cell r="U454" t="str">
            <v>Non Premium</v>
          </cell>
          <cell r="V454" t="str">
            <v>Pharma Format</v>
          </cell>
          <cell r="W454">
            <v>400</v>
          </cell>
          <cell r="X454" t="str">
            <v>Ground Floor Mkb Complex D.No: 29A  , Kallakurichi , Gandhi Road RajaNagar Near Raja Theatre  , KALLAKURICHI , 606202</v>
          </cell>
          <cell r="Y454">
            <v>45166</v>
          </cell>
          <cell r="Z454" t="str">
            <v>NA</v>
          </cell>
          <cell r="AB454" t="str">
            <v>NA</v>
          </cell>
          <cell r="AF454" t="str">
            <v>NA</v>
          </cell>
          <cell r="AK454">
            <v>45288</v>
          </cell>
          <cell r="AL454" t="str">
            <v>Received</v>
          </cell>
          <cell r="AO454">
            <v>3</v>
          </cell>
          <cell r="AS454">
            <v>-3</v>
          </cell>
          <cell r="AU454">
            <v>4</v>
          </cell>
          <cell r="AY454">
            <v>-4</v>
          </cell>
          <cell r="BA454">
            <v>5</v>
          </cell>
          <cell r="BE454">
            <v>-5</v>
          </cell>
          <cell r="BG454">
            <v>5</v>
          </cell>
          <cell r="BK454">
            <v>-5</v>
          </cell>
          <cell r="BM454">
            <v>3</v>
          </cell>
          <cell r="BP454">
            <v>3</v>
          </cell>
          <cell r="BW454" t="str">
            <v>Done</v>
          </cell>
          <cell r="BX454">
            <v>45079</v>
          </cell>
          <cell r="BY454" t="str">
            <v>Approved</v>
          </cell>
          <cell r="CD454">
            <v>45163</v>
          </cell>
          <cell r="CE454">
            <v>45324</v>
          </cell>
          <cell r="CG454" t="str">
            <v>M/s MAACON</v>
          </cell>
          <cell r="CI454" t="str">
            <v>Issued</v>
          </cell>
          <cell r="DA454" t="str">
            <v>NA</v>
          </cell>
          <cell r="DB454" t="str">
            <v>NA</v>
          </cell>
          <cell r="DC454" t="str">
            <v>NA</v>
          </cell>
          <cell r="DG454" t="str">
            <v>Netmed SDP - Not in Dead Rental</v>
          </cell>
          <cell r="DK454">
            <v>45312</v>
          </cell>
          <cell r="DL454">
            <v>45295</v>
          </cell>
          <cell r="DM454">
            <v>2</v>
          </cell>
          <cell r="DN454" t="str">
            <v>0 to 3 Days</v>
          </cell>
          <cell r="DP454">
            <v>45315</v>
          </cell>
          <cell r="DQ454">
            <v>45314</v>
          </cell>
          <cell r="DR454">
            <v>7</v>
          </cell>
          <cell r="DS454">
            <v>7</v>
          </cell>
          <cell r="DU454">
            <v>45321</v>
          </cell>
          <cell r="DV454">
            <v>45322</v>
          </cell>
          <cell r="DW454">
            <v>45321</v>
          </cell>
          <cell r="DX454" t="str">
            <v>Jan 24 Week 5</v>
          </cell>
          <cell r="DZ454">
            <v>45342</v>
          </cell>
          <cell r="EA454" t="str">
            <v>Feb 24 Week 3</v>
          </cell>
          <cell r="EB454" t="str">
            <v>Backlog</v>
          </cell>
          <cell r="ED454" t="str">
            <v/>
          </cell>
          <cell r="EE454" t="str">
            <v/>
          </cell>
          <cell r="EF454">
            <v>1</v>
          </cell>
          <cell r="FD454">
            <v>21</v>
          </cell>
          <cell r="FE454" t="str">
            <v>16 to 31 Days</v>
          </cell>
          <cell r="FF454">
            <v>20</v>
          </cell>
          <cell r="FG454" t="str">
            <v>16 to 31 Days</v>
          </cell>
          <cell r="FH454" t="str">
            <v>Done</v>
          </cell>
          <cell r="FI454" t="str">
            <v>Done</v>
          </cell>
          <cell r="FJ454" t="str">
            <v>NA</v>
          </cell>
          <cell r="FK454">
            <v>45371</v>
          </cell>
          <cell r="FM454" t="str">
            <v/>
          </cell>
          <cell r="GA454">
            <v>45342</v>
          </cell>
          <cell r="GC454">
            <v>45314</v>
          </cell>
          <cell r="GG454" t="str">
            <v>2023-2024</v>
          </cell>
        </row>
        <row r="455">
          <cell r="E455" t="str">
            <v>GF Mouza No 19 PH No 27 of Survey  , Mouza Kalmeshwar Tq Kalmeshwar , Khasra No 57 Old Plot No 23in HIG Colony  , KALMESHWAR , 441501</v>
          </cell>
          <cell r="F455" t="str">
            <v>9. EPC Ready</v>
          </cell>
          <cell r="G455" t="str">
            <v>SPMHNAN3321</v>
          </cell>
          <cell r="H455" t="str">
            <v>MH-SM-KAR-3000</v>
          </cell>
          <cell r="I455" t="str">
            <v>TXIE</v>
          </cell>
          <cell r="J455" t="str">
            <v>Q8OT</v>
          </cell>
          <cell r="K455" t="str">
            <v>W</v>
          </cell>
          <cell r="L455" t="str">
            <v>KC</v>
          </cell>
          <cell r="M455" t="str">
            <v>EPC Ready Pharmacy 200 SFT</v>
          </cell>
          <cell r="Q455" t="str">
            <v>Gaurav Shinde</v>
          </cell>
          <cell r="S455" t="str">
            <v>Maharashtra</v>
          </cell>
          <cell r="T455" t="str">
            <v>Kalmeshwar</v>
          </cell>
          <cell r="U455" t="str">
            <v>Non Premium</v>
          </cell>
          <cell r="V455" t="str">
            <v>Pharma Format</v>
          </cell>
          <cell r="W455">
            <v>200</v>
          </cell>
          <cell r="X455" t="str">
            <v>GF Mouza No 19 PH No 27 of Survey  , Mouza Kalmeshwar Tq Kalmeshwar , Khasra No 57 Old Plot No 23in HIG Colony  , KALMESHWAR , 441501</v>
          </cell>
          <cell r="Y455">
            <v>45234</v>
          </cell>
          <cell r="Z455" t="str">
            <v>NA</v>
          </cell>
          <cell r="AB455" t="str">
            <v>NA</v>
          </cell>
          <cell r="AF455" t="str">
            <v>NA</v>
          </cell>
          <cell r="AK455">
            <v>45189</v>
          </cell>
          <cell r="AL455" t="str">
            <v>Received</v>
          </cell>
          <cell r="AO455">
            <v>3</v>
          </cell>
          <cell r="AS455">
            <v>-3</v>
          </cell>
          <cell r="AU455">
            <v>4</v>
          </cell>
          <cell r="AY455">
            <v>-4</v>
          </cell>
          <cell r="BA455">
            <v>5</v>
          </cell>
          <cell r="BE455">
            <v>-5</v>
          </cell>
          <cell r="BG455">
            <v>5</v>
          </cell>
          <cell r="BK455">
            <v>-5</v>
          </cell>
          <cell r="BM455">
            <v>3</v>
          </cell>
          <cell r="BP455">
            <v>3</v>
          </cell>
          <cell r="BW455" t="str">
            <v>Done</v>
          </cell>
          <cell r="BX455">
            <v>45079</v>
          </cell>
          <cell r="BY455" t="str">
            <v>Approved</v>
          </cell>
          <cell r="DG455" t="str">
            <v>Netmed SDP - Not in Dead Rental</v>
          </cell>
          <cell r="DK455">
            <v>45113</v>
          </cell>
          <cell r="DM455">
            <v>2</v>
          </cell>
          <cell r="DN455" t="str">
            <v>0 to 3 Days</v>
          </cell>
          <cell r="DQ455">
            <v>45115</v>
          </cell>
          <cell r="DR455">
            <v>7</v>
          </cell>
          <cell r="DS455">
            <v>7</v>
          </cell>
          <cell r="DU455">
            <v>45122</v>
          </cell>
          <cell r="DV455">
            <v>7</v>
          </cell>
          <cell r="DW455">
            <v>45122</v>
          </cell>
          <cell r="DX455" t="str">
            <v>July 23 Week 3</v>
          </cell>
          <cell r="DZ455">
            <v>45125</v>
          </cell>
          <cell r="EA455" t="str">
            <v>July 23 Week 3</v>
          </cell>
          <cell r="EB455" t="str">
            <v>Backlog</v>
          </cell>
          <cell r="ED455" t="str">
            <v/>
          </cell>
          <cell r="EE455" t="str">
            <v/>
          </cell>
          <cell r="EF455">
            <v>1</v>
          </cell>
          <cell r="EG455">
            <v>1</v>
          </cell>
          <cell r="FD455">
            <v>3</v>
          </cell>
          <cell r="FE455" t="str">
            <v>0 to 3 Days</v>
          </cell>
          <cell r="FF455">
            <v>45118</v>
          </cell>
          <cell r="FH455" t="str">
            <v>Done</v>
          </cell>
          <cell r="FI455" t="str">
            <v>Done</v>
          </cell>
          <cell r="FJ455" t="str">
            <v>NA</v>
          </cell>
          <cell r="FM455" t="str">
            <v/>
          </cell>
          <cell r="GG455" t="str">
            <v>2023-2024</v>
          </cell>
        </row>
        <row r="456">
          <cell r="E456" t="str">
            <v>Sri Ranga Nilayam Kovella Street  , Narasapuram West Godavari , Near Canara Bank  , NARSAPUR , 534275</v>
          </cell>
          <cell r="F456" t="str">
            <v>9. EPC Ready</v>
          </cell>
          <cell r="G456" t="str">
            <v>SPAPNAK3555</v>
          </cell>
          <cell r="H456" t="str">
            <v>AP-SM-NRR-3000</v>
          </cell>
          <cell r="I456" t="str">
            <v>TYOU</v>
          </cell>
          <cell r="J456" t="str">
            <v>QBVW</v>
          </cell>
          <cell r="K456" t="str">
            <v xml:space="preserve">E </v>
          </cell>
          <cell r="L456" t="str">
            <v>JD</v>
          </cell>
          <cell r="M456" t="str">
            <v>EPC Ready</v>
          </cell>
          <cell r="N456" t="str">
            <v>Jaisingh Desai</v>
          </cell>
          <cell r="P456" t="str">
            <v>Mr. Sridhar Gummadi</v>
          </cell>
          <cell r="Q456" t="str">
            <v>Gaurav Shinde</v>
          </cell>
          <cell r="S456" t="str">
            <v>Andhra Pradesh</v>
          </cell>
          <cell r="T456" t="str">
            <v>Narasapuram</v>
          </cell>
          <cell r="U456" t="str">
            <v>Non Premium</v>
          </cell>
          <cell r="V456" t="str">
            <v>Pharma Format</v>
          </cell>
          <cell r="W456">
            <v>404</v>
          </cell>
          <cell r="X456" t="str">
            <v>Sri Ranga Nilayam Kovella Street  , Narasapuram West Godavari , Near Canara Bank  , NARSAPUR , 534275</v>
          </cell>
          <cell r="Y456">
            <v>45167</v>
          </cell>
          <cell r="Z456" t="str">
            <v>NA</v>
          </cell>
          <cell r="AB456" t="str">
            <v>NA</v>
          </cell>
          <cell r="AF456" t="str">
            <v>NA</v>
          </cell>
          <cell r="AK456">
            <v>45182</v>
          </cell>
          <cell r="AL456" t="str">
            <v>Received</v>
          </cell>
          <cell r="AO456">
            <v>3</v>
          </cell>
          <cell r="AS456">
            <v>-3</v>
          </cell>
          <cell r="AU456">
            <v>4</v>
          </cell>
          <cell r="AY456">
            <v>-4</v>
          </cell>
          <cell r="BA456">
            <v>5</v>
          </cell>
          <cell r="BE456">
            <v>-5</v>
          </cell>
          <cell r="BG456">
            <v>5</v>
          </cell>
          <cell r="BK456">
            <v>-5</v>
          </cell>
          <cell r="BM456">
            <v>3</v>
          </cell>
          <cell r="BP456">
            <v>3</v>
          </cell>
          <cell r="BW456" t="str">
            <v>Done</v>
          </cell>
          <cell r="BX456">
            <v>45079</v>
          </cell>
          <cell r="BY456" t="str">
            <v>Approved</v>
          </cell>
          <cell r="CD456">
            <v>45163</v>
          </cell>
          <cell r="CE456">
            <v>45173</v>
          </cell>
          <cell r="CG456" t="str">
            <v>M/s VK CONSTRUCTIONS</v>
          </cell>
          <cell r="CI456" t="str">
            <v>Issued</v>
          </cell>
          <cell r="DG456" t="str">
            <v>Netmed SDP - Not in Dead Rental</v>
          </cell>
          <cell r="DK456">
            <v>45222</v>
          </cell>
          <cell r="DM456">
            <v>2</v>
          </cell>
          <cell r="DN456" t="str">
            <v>0 to 3 Days</v>
          </cell>
          <cell r="DP456">
            <v>45176</v>
          </cell>
          <cell r="DQ456">
            <v>45224</v>
          </cell>
          <cell r="DR456">
            <v>7</v>
          </cell>
          <cell r="DS456">
            <v>7</v>
          </cell>
          <cell r="DU456">
            <v>45231</v>
          </cell>
          <cell r="DV456">
            <v>45183</v>
          </cell>
          <cell r="DW456">
            <v>45231</v>
          </cell>
          <cell r="DX456" t="str">
            <v>Nov 23 Week 1</v>
          </cell>
          <cell r="DZ456">
            <v>45239</v>
          </cell>
          <cell r="EA456" t="str">
            <v>Nov 23 Week 2</v>
          </cell>
          <cell r="EB456" t="str">
            <v>Backlog</v>
          </cell>
          <cell r="ED456" t="str">
            <v/>
          </cell>
          <cell r="EE456" t="str">
            <v/>
          </cell>
          <cell r="EF456">
            <v>1</v>
          </cell>
          <cell r="EG456">
            <v>1</v>
          </cell>
          <cell r="FD456">
            <v>8</v>
          </cell>
          <cell r="FE456" t="str">
            <v>8 to 15 Days</v>
          </cell>
          <cell r="FF456">
            <v>56</v>
          </cell>
          <cell r="FG456" t="str">
            <v>31 to 61 Days</v>
          </cell>
          <cell r="FH456" t="str">
            <v>Done</v>
          </cell>
          <cell r="FI456" t="str">
            <v>Done</v>
          </cell>
          <cell r="FJ456" t="str">
            <v>NA</v>
          </cell>
          <cell r="FK456">
            <v>45268</v>
          </cell>
          <cell r="FM456" t="str">
            <v/>
          </cell>
          <cell r="GA456">
            <v>45239</v>
          </cell>
          <cell r="GC456">
            <v>45224</v>
          </cell>
          <cell r="GG456" t="str">
            <v>2023-2024</v>
          </cell>
        </row>
        <row r="457">
          <cell r="E457" t="str">
            <v xml:space="preserve"> SAHA ALAM_BAZARDANGA MORE_KANDI_WB</v>
          </cell>
          <cell r="F457" t="str">
            <v>9. EPC Ready</v>
          </cell>
          <cell r="G457" t="str">
            <v>SPWBKAM3364</v>
          </cell>
          <cell r="H457" t="str">
            <v>WB-SM-KDI-3002</v>
          </cell>
          <cell r="I457" t="str">
            <v>TYJR</v>
          </cell>
          <cell r="J457" t="str">
            <v>QBPZ</v>
          </cell>
          <cell r="K457" t="str">
            <v xml:space="preserve">E </v>
          </cell>
          <cell r="L457" t="str">
            <v>SD</v>
          </cell>
          <cell r="M457" t="str">
            <v>EPC Ready Pharmacy 200 SFT</v>
          </cell>
          <cell r="N457" t="str">
            <v>Mahendrakumar Warma</v>
          </cell>
          <cell r="O457" t="str">
            <v xml:space="preserve">Sandeepta Gayen </v>
          </cell>
          <cell r="Q457" t="str">
            <v>Gaurav Shinde</v>
          </cell>
          <cell r="S457" t="str">
            <v>West Bengal</v>
          </cell>
          <cell r="T457" t="str">
            <v>Kandi</v>
          </cell>
          <cell r="U457" t="str">
            <v>Non Premium</v>
          </cell>
          <cell r="V457" t="str">
            <v>Pharma Format</v>
          </cell>
          <cell r="W457">
            <v>250</v>
          </cell>
          <cell r="X457" t="str">
            <v xml:space="preserve"> SAHA ALAM_BAZARDANGA MORE_KANDI_WB</v>
          </cell>
          <cell r="Y457">
            <v>45166</v>
          </cell>
          <cell r="Z457" t="str">
            <v>NA</v>
          </cell>
          <cell r="AB457" t="str">
            <v>NA</v>
          </cell>
          <cell r="AF457" t="str">
            <v>NA</v>
          </cell>
          <cell r="AL457" t="str">
            <v>Received</v>
          </cell>
          <cell r="AO457">
            <v>3</v>
          </cell>
          <cell r="AS457">
            <v>-3</v>
          </cell>
          <cell r="AU457">
            <v>4</v>
          </cell>
          <cell r="AY457">
            <v>-4</v>
          </cell>
          <cell r="BA457">
            <v>5</v>
          </cell>
          <cell r="BE457">
            <v>-5</v>
          </cell>
          <cell r="BG457">
            <v>5</v>
          </cell>
          <cell r="BK457">
            <v>-5</v>
          </cell>
          <cell r="BM457">
            <v>3</v>
          </cell>
          <cell r="BP457">
            <v>3</v>
          </cell>
          <cell r="BW457" t="str">
            <v>Done</v>
          </cell>
          <cell r="BX457">
            <v>45079</v>
          </cell>
          <cell r="BY457" t="str">
            <v>Approved</v>
          </cell>
          <cell r="CD457">
            <v>45163</v>
          </cell>
          <cell r="CE457">
            <v>45196</v>
          </cell>
          <cell r="CG457" t="str">
            <v>M/s. SAMRIDDHI ENTERPRISE</v>
          </cell>
          <cell r="DG457" t="str">
            <v>Netmed SDP - Not in Dead Rental</v>
          </cell>
          <cell r="DK457">
            <v>45205</v>
          </cell>
          <cell r="DM457">
            <v>2</v>
          </cell>
          <cell r="DN457" t="str">
            <v>0 to 3 Days</v>
          </cell>
          <cell r="DQ457">
            <v>45207</v>
          </cell>
          <cell r="DR457">
            <v>7</v>
          </cell>
          <cell r="DS457">
            <v>7</v>
          </cell>
          <cell r="DU457">
            <v>45214</v>
          </cell>
          <cell r="DV457">
            <v>7</v>
          </cell>
          <cell r="DW457">
            <v>45214</v>
          </cell>
          <cell r="DX457" t="str">
            <v>Oct 23 Week 3</v>
          </cell>
          <cell r="DZ457">
            <v>45217</v>
          </cell>
          <cell r="EA457" t="str">
            <v>Oct 23 Week 3</v>
          </cell>
          <cell r="EB457" t="str">
            <v>Backlog</v>
          </cell>
          <cell r="ED457" t="str">
            <v/>
          </cell>
          <cell r="EE457" t="str">
            <v/>
          </cell>
          <cell r="EF457">
            <v>1</v>
          </cell>
          <cell r="EG457">
            <v>1</v>
          </cell>
          <cell r="FD457">
            <v>3</v>
          </cell>
          <cell r="FE457" t="str">
            <v>0 to 3 Days</v>
          </cell>
          <cell r="FF457">
            <v>45210</v>
          </cell>
          <cell r="FH457" t="str">
            <v>Done</v>
          </cell>
          <cell r="FI457" t="str">
            <v>Done</v>
          </cell>
          <cell r="FJ457" t="str">
            <v>NA</v>
          </cell>
          <cell r="FM457" t="str">
            <v/>
          </cell>
          <cell r="GG457" t="str">
            <v>2023-2024</v>
          </cell>
        </row>
        <row r="458">
          <cell r="E458" t="str">
            <v>Dm Enclave Kandra Main Rd Near Santiraj  , Seraikela Kharswan , Nursing Home Kandra  , Kandra , 832402</v>
          </cell>
          <cell r="F458" t="str">
            <v>9. EPC Ready</v>
          </cell>
          <cell r="G458" t="str">
            <v>SPJHKAN4216</v>
          </cell>
          <cell r="H458" t="str">
            <v>JH-SM-KND-3000</v>
          </cell>
          <cell r="I458" t="str">
            <v>TAYY</v>
          </cell>
          <cell r="J458" t="str">
            <v>QGIC</v>
          </cell>
          <cell r="K458" t="str">
            <v xml:space="preserve">E </v>
          </cell>
          <cell r="L458" t="str">
            <v>AK</v>
          </cell>
          <cell r="M458" t="str">
            <v>EPC Ready</v>
          </cell>
          <cell r="P458" t="str">
            <v>Mr. Amal Gopal Dey-9558811809</v>
          </cell>
          <cell r="Q458" t="str">
            <v>Gaurav Shinde</v>
          </cell>
          <cell r="S458" t="str">
            <v>Jharkhand</v>
          </cell>
          <cell r="T458" t="str">
            <v>Kandra</v>
          </cell>
          <cell r="U458" t="str">
            <v>Non Premium</v>
          </cell>
          <cell r="V458" t="str">
            <v>Pharma Format</v>
          </cell>
          <cell r="W458">
            <v>400</v>
          </cell>
          <cell r="X458" t="str">
            <v>Dm Enclave Kandra Main Rd Near Santiraj  , Seraikela Kharswan , Nursing Home Kandra  , Kandra , 832402</v>
          </cell>
          <cell r="Y458">
            <v>45104</v>
          </cell>
          <cell r="Z458" t="str">
            <v>NA</v>
          </cell>
          <cell r="AB458" t="str">
            <v>NA</v>
          </cell>
          <cell r="AF458" t="str">
            <v>NA</v>
          </cell>
          <cell r="AK458">
            <v>45090</v>
          </cell>
          <cell r="AL458" t="str">
            <v>Received</v>
          </cell>
          <cell r="AO458">
            <v>3</v>
          </cell>
          <cell r="AS458">
            <v>-3</v>
          </cell>
          <cell r="AU458">
            <v>4</v>
          </cell>
          <cell r="AY458">
            <v>-4</v>
          </cell>
          <cell r="BA458">
            <v>5</v>
          </cell>
          <cell r="BE458">
            <v>-5</v>
          </cell>
          <cell r="BG458">
            <v>5</v>
          </cell>
          <cell r="BK458">
            <v>-5</v>
          </cell>
          <cell r="BM458">
            <v>3</v>
          </cell>
          <cell r="BP458">
            <v>3</v>
          </cell>
          <cell r="BW458" t="str">
            <v>Done</v>
          </cell>
          <cell r="BX458">
            <v>45079</v>
          </cell>
          <cell r="BY458" t="str">
            <v>Approved</v>
          </cell>
          <cell r="CD458">
            <v>45103</v>
          </cell>
          <cell r="CE458">
            <v>45112</v>
          </cell>
          <cell r="CG458" t="str">
            <v>M/S SK ENTERPRISE</v>
          </cell>
          <cell r="CI458" t="str">
            <v>Issued</v>
          </cell>
          <cell r="DG458" t="str">
            <v>Netmed SDP - Not in Dead Rental</v>
          </cell>
          <cell r="DK458">
            <v>45131</v>
          </cell>
          <cell r="DL458">
            <v>45108</v>
          </cell>
          <cell r="DM458">
            <v>2</v>
          </cell>
          <cell r="DN458" t="str">
            <v>0 to 3 Days</v>
          </cell>
          <cell r="DP458">
            <v>45115</v>
          </cell>
          <cell r="DQ458">
            <v>45133</v>
          </cell>
          <cell r="DR458">
            <v>7</v>
          </cell>
          <cell r="DS458">
            <v>7</v>
          </cell>
          <cell r="DU458">
            <v>45140</v>
          </cell>
          <cell r="DV458">
            <v>45122</v>
          </cell>
          <cell r="DW458">
            <v>45140</v>
          </cell>
          <cell r="DX458" t="str">
            <v>Aug 23 Week 1</v>
          </cell>
          <cell r="DZ458">
            <v>45149</v>
          </cell>
          <cell r="EA458" t="str">
            <v>Aug 23 Week 2</v>
          </cell>
          <cell r="EB458" t="str">
            <v>Backlog</v>
          </cell>
          <cell r="ED458" t="str">
            <v/>
          </cell>
          <cell r="EE458" t="str">
            <v/>
          </cell>
          <cell r="EF458">
            <v>1</v>
          </cell>
          <cell r="EG458">
            <v>1</v>
          </cell>
          <cell r="FD458">
            <v>9</v>
          </cell>
          <cell r="FE458" t="str">
            <v>8 to 15 Days</v>
          </cell>
          <cell r="FF458">
            <v>27</v>
          </cell>
          <cell r="FG458" t="str">
            <v>16 to 31 Days</v>
          </cell>
          <cell r="FH458" t="str">
            <v>Done</v>
          </cell>
          <cell r="FI458" t="str">
            <v>Done</v>
          </cell>
          <cell r="FJ458" t="str">
            <v>NA</v>
          </cell>
          <cell r="FK458">
            <v>45154</v>
          </cell>
          <cell r="FM458" t="str">
            <v/>
          </cell>
          <cell r="GA458">
            <v>45149</v>
          </cell>
          <cell r="GC458">
            <v>45133</v>
          </cell>
          <cell r="GG458" t="str">
            <v>2023-2024</v>
          </cell>
        </row>
        <row r="459">
          <cell r="E459" t="str">
            <v>House No 111  , Kanpur , 143 Harsh Nagar  , KANPUR , 208002</v>
          </cell>
          <cell r="F459" t="str">
            <v>14. Dropped</v>
          </cell>
          <cell r="G459" t="str">
            <v>SPUPKAK3754</v>
          </cell>
          <cell r="H459" t="str">
            <v>UP-SM-KAN-3046</v>
          </cell>
          <cell r="I459" t="str">
            <v>TYTP</v>
          </cell>
          <cell r="J459" t="str">
            <v/>
          </cell>
          <cell r="K459" t="str">
            <v xml:space="preserve">N </v>
          </cell>
          <cell r="L459" t="str">
            <v>KC</v>
          </cell>
          <cell r="M459" t="str">
            <v>Dropped</v>
          </cell>
          <cell r="Q459" t="str">
            <v>Gaurav Shinde</v>
          </cell>
          <cell r="S459" t="str">
            <v>Uttar Pradesh</v>
          </cell>
          <cell r="T459" t="str">
            <v>Kanpur</v>
          </cell>
          <cell r="U459" t="str">
            <v>Non Premium</v>
          </cell>
          <cell r="V459" t="str">
            <v>Pharma Format</v>
          </cell>
          <cell r="W459">
            <v>418</v>
          </cell>
          <cell r="X459" t="str">
            <v>House No 111  , Kanpur , 143 Harsh Nagar  , KANPUR , 208002</v>
          </cell>
          <cell r="Z459" t="str">
            <v>NA</v>
          </cell>
          <cell r="AB459" t="str">
            <v>NA</v>
          </cell>
          <cell r="AF459" t="str">
            <v>NA</v>
          </cell>
          <cell r="AL459" t="str">
            <v>NA</v>
          </cell>
          <cell r="AO459">
            <v>3</v>
          </cell>
          <cell r="AS459">
            <v>-3</v>
          </cell>
          <cell r="AU459">
            <v>4</v>
          </cell>
          <cell r="AY459">
            <v>-4</v>
          </cell>
          <cell r="BA459">
            <v>5</v>
          </cell>
          <cell r="BE459">
            <v>-5</v>
          </cell>
          <cell r="BG459">
            <v>5</v>
          </cell>
          <cell r="BK459">
            <v>-5</v>
          </cell>
          <cell r="BM459">
            <v>3</v>
          </cell>
          <cell r="BP459">
            <v>3</v>
          </cell>
          <cell r="BW459" t="str">
            <v>Done</v>
          </cell>
          <cell r="BX459">
            <v>45079</v>
          </cell>
          <cell r="BY459" t="str">
            <v>Approved</v>
          </cell>
          <cell r="DG459" t="str">
            <v>Netmed SDP - Not in Dead Rental</v>
          </cell>
          <cell r="DM459" t="str">
            <v>NA</v>
          </cell>
          <cell r="DN459" t="str">
            <v>NA</v>
          </cell>
          <cell r="DR459">
            <v>7</v>
          </cell>
          <cell r="DS459">
            <v>7</v>
          </cell>
          <cell r="DU459">
            <v>7</v>
          </cell>
          <cell r="DV459">
            <v>7</v>
          </cell>
          <cell r="DW459">
            <v>7</v>
          </cell>
          <cell r="EA459" t="str">
            <v/>
          </cell>
          <cell r="ED459" t="str">
            <v/>
          </cell>
          <cell r="EE459" t="str">
            <v/>
          </cell>
          <cell r="EF459">
            <v>1</v>
          </cell>
          <cell r="FD459">
            <v>46114</v>
          </cell>
          <cell r="FF459">
            <v>46114</v>
          </cell>
          <cell r="FJ459" t="str">
            <v>NA</v>
          </cell>
          <cell r="FM459" t="str">
            <v/>
          </cell>
          <cell r="GG459" t="str">
            <v>2024-2025</v>
          </cell>
        </row>
        <row r="460">
          <cell r="E460" t="str">
            <v>SP Pharma  GAYATHRI SHOPING MALL</v>
          </cell>
          <cell r="F460" t="str">
            <v>9. EPC Ready</v>
          </cell>
          <cell r="G460" t="str">
            <v>SPAPNAV3637</v>
          </cell>
          <cell r="H460" t="str">
            <v>AP-SM-NAR-3000</v>
          </cell>
          <cell r="I460" t="str">
            <v>TAS1</v>
          </cell>
          <cell r="J460" t="str">
            <v>QGQW</v>
          </cell>
          <cell r="K460" t="str">
            <v xml:space="preserve">E </v>
          </cell>
          <cell r="L460" t="str">
            <v>JD</v>
          </cell>
          <cell r="M460" t="str">
            <v>EPC Ready</v>
          </cell>
          <cell r="N460" t="str">
            <v>Jaisingh Desai</v>
          </cell>
          <cell r="P460" t="str">
            <v>Mr. Sridhar Gummadi</v>
          </cell>
          <cell r="Q460" t="str">
            <v>Gaurav Shinde</v>
          </cell>
          <cell r="S460" t="str">
            <v>Andhra Pradesh</v>
          </cell>
          <cell r="T460" t="str">
            <v>Narasaraopet</v>
          </cell>
          <cell r="U460" t="str">
            <v>Non Premium</v>
          </cell>
          <cell r="V460" t="str">
            <v>Pharma Format</v>
          </cell>
          <cell r="W460">
            <v>400</v>
          </cell>
          <cell r="X460" t="str">
            <v>SP Pharma  GAYATHRI SHOPING MALL</v>
          </cell>
          <cell r="Y460">
            <v>45124</v>
          </cell>
          <cell r="Z460" t="str">
            <v>NA</v>
          </cell>
          <cell r="AB460" t="str">
            <v>NA</v>
          </cell>
          <cell r="AF460" t="str">
            <v>NA</v>
          </cell>
          <cell r="AK460">
            <v>45143</v>
          </cell>
          <cell r="AL460" t="str">
            <v>Received</v>
          </cell>
          <cell r="AO460">
            <v>3</v>
          </cell>
          <cell r="AS460">
            <v>-3</v>
          </cell>
          <cell r="AU460">
            <v>4</v>
          </cell>
          <cell r="AY460">
            <v>-4</v>
          </cell>
          <cell r="BA460">
            <v>5</v>
          </cell>
          <cell r="BE460">
            <v>-5</v>
          </cell>
          <cell r="BG460">
            <v>5</v>
          </cell>
          <cell r="BK460">
            <v>-5</v>
          </cell>
          <cell r="BM460">
            <v>3</v>
          </cell>
          <cell r="BP460">
            <v>3</v>
          </cell>
          <cell r="BW460" t="str">
            <v>Done</v>
          </cell>
          <cell r="BX460">
            <v>45079</v>
          </cell>
          <cell r="BY460" t="str">
            <v>Approved</v>
          </cell>
          <cell r="CD460">
            <v>45126</v>
          </cell>
          <cell r="CE460">
            <v>45159</v>
          </cell>
          <cell r="CG460" t="str">
            <v xml:space="preserve">M/s    VK Constructions </v>
          </cell>
          <cell r="CI460" t="str">
            <v>Issued</v>
          </cell>
          <cell r="DG460" t="str">
            <v>Netmed SDP - Not in Dead Rental</v>
          </cell>
          <cell r="DK460">
            <v>45203</v>
          </cell>
          <cell r="DM460">
            <v>2</v>
          </cell>
          <cell r="DN460" t="str">
            <v>0 to 3 Days</v>
          </cell>
          <cell r="DP460">
            <v>45162</v>
          </cell>
          <cell r="DQ460">
            <v>45205</v>
          </cell>
          <cell r="DR460">
            <v>7</v>
          </cell>
          <cell r="DS460">
            <v>7</v>
          </cell>
          <cell r="DU460">
            <v>45212</v>
          </cell>
          <cell r="DV460">
            <v>45169</v>
          </cell>
          <cell r="DW460">
            <v>45212</v>
          </cell>
          <cell r="DX460" t="str">
            <v>Oct 23 Week 2</v>
          </cell>
          <cell r="DZ460">
            <v>45239</v>
          </cell>
          <cell r="EA460" t="str">
            <v>Nov 23 Week 2</v>
          </cell>
          <cell r="EB460" t="str">
            <v>Backlog</v>
          </cell>
          <cell r="ED460" t="str">
            <v/>
          </cell>
          <cell r="EE460" t="str">
            <v/>
          </cell>
          <cell r="EF460">
            <v>1</v>
          </cell>
          <cell r="EG460">
            <v>1</v>
          </cell>
          <cell r="FD460">
            <v>27</v>
          </cell>
          <cell r="FE460" t="str">
            <v>16 to 31 Days</v>
          </cell>
          <cell r="FF460">
            <v>70</v>
          </cell>
          <cell r="FG460" t="str">
            <v>62 to 90 Days</v>
          </cell>
          <cell r="FH460" t="str">
            <v>Done</v>
          </cell>
          <cell r="FI460" t="str">
            <v>Done</v>
          </cell>
          <cell r="FJ460" t="str">
            <v>NA</v>
          </cell>
          <cell r="FK460">
            <v>45370</v>
          </cell>
          <cell r="FM460" t="str">
            <v/>
          </cell>
          <cell r="GA460">
            <v>45254</v>
          </cell>
          <cell r="GC460">
            <v>45205</v>
          </cell>
          <cell r="GG460" t="str">
            <v>2023-2024</v>
          </cell>
        </row>
        <row r="461">
          <cell r="E461" t="str">
            <v>Gf Plot No 193 Khata No 39  , Ps Fatehpur , Revenue Thana No 135 Mauza Gaurichak  , PATNA , 800007</v>
          </cell>
          <cell r="F461" t="str">
            <v>9. EPC Ready</v>
          </cell>
          <cell r="G461" t="str">
            <v>SPBHPAG4120</v>
          </cell>
          <cell r="H461" t="str">
            <v>BH-SM-PAT-3017</v>
          </cell>
          <cell r="I461" t="str">
            <v>T1WO</v>
          </cell>
          <cell r="J461" t="str">
            <v>Q3H9</v>
          </cell>
          <cell r="K461" t="str">
            <v xml:space="preserve">E </v>
          </cell>
          <cell r="L461" t="str">
            <v>AK</v>
          </cell>
          <cell r="M461" t="str">
            <v>EPC Ready</v>
          </cell>
          <cell r="P461" t="str">
            <v>Mr. Jitendra Kumar-6201750698</v>
          </cell>
          <cell r="Q461" t="str">
            <v>Gaurav Shinde</v>
          </cell>
          <cell r="S461" t="str">
            <v>Bihar</v>
          </cell>
          <cell r="T461" t="str">
            <v>Patna</v>
          </cell>
          <cell r="U461" t="str">
            <v>Non Premium</v>
          </cell>
          <cell r="V461" t="str">
            <v>Pharma Format</v>
          </cell>
          <cell r="W461">
            <v>400</v>
          </cell>
          <cell r="X461" t="str">
            <v>Gf Plot No 193 Khata No 39  , Ps Fatehpur , Revenue Thana No 135 Mauza Gaurichak  , PATNA , 800007</v>
          </cell>
          <cell r="Y461">
            <v>45159</v>
          </cell>
          <cell r="Z461" t="str">
            <v>NA</v>
          </cell>
          <cell r="AB461" t="str">
            <v>NA</v>
          </cell>
          <cell r="AF461" t="str">
            <v>NA</v>
          </cell>
          <cell r="AK461">
            <v>45189</v>
          </cell>
          <cell r="AL461" t="str">
            <v>Received</v>
          </cell>
          <cell r="AO461">
            <v>3</v>
          </cell>
          <cell r="AS461">
            <v>-3</v>
          </cell>
          <cell r="AU461">
            <v>4</v>
          </cell>
          <cell r="AY461">
            <v>-4</v>
          </cell>
          <cell r="BA461">
            <v>5</v>
          </cell>
          <cell r="BE461">
            <v>-5</v>
          </cell>
          <cell r="BG461">
            <v>5</v>
          </cell>
          <cell r="BK461">
            <v>-5</v>
          </cell>
          <cell r="BM461">
            <v>3</v>
          </cell>
          <cell r="BP461">
            <v>3</v>
          </cell>
          <cell r="BW461" t="str">
            <v>Done</v>
          </cell>
          <cell r="BX461">
            <v>45079</v>
          </cell>
          <cell r="BY461" t="str">
            <v>Approved</v>
          </cell>
          <cell r="CD461">
            <v>45162</v>
          </cell>
          <cell r="CE461">
            <v>45175</v>
          </cell>
          <cell r="CG461" t="str">
            <v xml:space="preserve">M/S RECON </v>
          </cell>
          <cell r="CI461" t="str">
            <v>Issued</v>
          </cell>
          <cell r="DG461" t="str">
            <v>Netmed SDP - Not in Dead Rental</v>
          </cell>
          <cell r="DK461">
            <v>45200</v>
          </cell>
          <cell r="DM461">
            <v>2</v>
          </cell>
          <cell r="DN461" t="str">
            <v>0 to 3 Days</v>
          </cell>
          <cell r="DP461">
            <v>45178</v>
          </cell>
          <cell r="DQ461">
            <v>45202</v>
          </cell>
          <cell r="DR461">
            <v>7</v>
          </cell>
          <cell r="DS461">
            <v>7</v>
          </cell>
          <cell r="DU461">
            <v>45209</v>
          </cell>
          <cell r="DV461">
            <v>45185</v>
          </cell>
          <cell r="DW461">
            <v>45209</v>
          </cell>
          <cell r="DX461" t="str">
            <v>Oct 23 Week 2</v>
          </cell>
          <cell r="DZ461">
            <v>45246</v>
          </cell>
          <cell r="EA461" t="str">
            <v>Nov 23 Week 3</v>
          </cell>
          <cell r="EB461" t="str">
            <v>Backlog</v>
          </cell>
          <cell r="ED461" t="str">
            <v/>
          </cell>
          <cell r="EE461" t="str">
            <v/>
          </cell>
          <cell r="EF461">
            <v>1</v>
          </cell>
          <cell r="EG461">
            <v>1</v>
          </cell>
          <cell r="FD461">
            <v>37</v>
          </cell>
          <cell r="FE461" t="str">
            <v>31 to 61 Days</v>
          </cell>
          <cell r="FF461">
            <v>61</v>
          </cell>
          <cell r="FG461" t="str">
            <v>31 to 61 Days</v>
          </cell>
          <cell r="FH461" t="str">
            <v>Done</v>
          </cell>
          <cell r="FI461" t="str">
            <v>Done</v>
          </cell>
          <cell r="FJ461" t="str">
            <v>NA</v>
          </cell>
          <cell r="FK461">
            <v>45267</v>
          </cell>
          <cell r="FM461" t="str">
            <v/>
          </cell>
          <cell r="GA461">
            <v>45246</v>
          </cell>
          <cell r="GC461">
            <v>45212</v>
          </cell>
          <cell r="GG461" t="str">
            <v>2023-2024</v>
          </cell>
        </row>
        <row r="462">
          <cell r="E462" t="str">
            <v>GF Malar Complex Door No 37 A  , KVB Thanthonimalai Dist Karur , Collectorate Road Near  , KARUR , 639005</v>
          </cell>
          <cell r="F462" t="str">
            <v>11. HOLD</v>
          </cell>
          <cell r="G462" t="str">
            <v>PHCOAS10507</v>
          </cell>
          <cell r="H462" t="str">
            <v>TN-SM-KAR-3002</v>
          </cell>
          <cell r="I462" t="str">
            <v>TYDV</v>
          </cell>
          <cell r="J462" t="str">
            <v>QBIW</v>
          </cell>
          <cell r="K462" t="str">
            <v>S</v>
          </cell>
          <cell r="L462" t="str">
            <v>AK</v>
          </cell>
          <cell r="M462" t="str">
            <v>HOLD</v>
          </cell>
          <cell r="N462" t="str">
            <v>N Kalyankumar</v>
          </cell>
          <cell r="O462" t="str">
            <v>Muthuvelu Minnal /
Vijayakumar Muthusamy</v>
          </cell>
          <cell r="Q462" t="str">
            <v>Gaurav Shinde</v>
          </cell>
          <cell r="S462" t="str">
            <v>Tamil Nadu</v>
          </cell>
          <cell r="T462" t="str">
            <v>Karur</v>
          </cell>
          <cell r="U462" t="str">
            <v>Non Premium</v>
          </cell>
          <cell r="V462" t="str">
            <v>Pharma Format</v>
          </cell>
          <cell r="W462">
            <v>400</v>
          </cell>
          <cell r="X462" t="str">
            <v>GF Malar Complex Door No 37 A  , KVB Thanthonimalai Dist Karur , Collectorate Road Near  , KARUR , 639005</v>
          </cell>
          <cell r="Y462">
            <v>45166</v>
          </cell>
          <cell r="Z462" t="str">
            <v>NA</v>
          </cell>
          <cell r="AB462" t="str">
            <v>NA</v>
          </cell>
          <cell r="AF462" t="str">
            <v>NA</v>
          </cell>
          <cell r="AK462">
            <v>45163</v>
          </cell>
          <cell r="AL462" t="str">
            <v>Received</v>
          </cell>
          <cell r="AO462">
            <v>3</v>
          </cell>
          <cell r="AS462">
            <v>-3</v>
          </cell>
          <cell r="AU462">
            <v>4</v>
          </cell>
          <cell r="AY462">
            <v>-4</v>
          </cell>
          <cell r="BA462">
            <v>5</v>
          </cell>
          <cell r="BE462">
            <v>-5</v>
          </cell>
          <cell r="BG462">
            <v>5</v>
          </cell>
          <cell r="BK462">
            <v>-5</v>
          </cell>
          <cell r="BM462">
            <v>3</v>
          </cell>
          <cell r="BP462">
            <v>3</v>
          </cell>
          <cell r="BW462" t="str">
            <v>Done</v>
          </cell>
          <cell r="BX462">
            <v>45079</v>
          </cell>
          <cell r="BY462" t="str">
            <v>Approved</v>
          </cell>
          <cell r="CD462">
            <v>45163</v>
          </cell>
          <cell r="CE462">
            <v>45192</v>
          </cell>
          <cell r="CG462" t="str">
            <v>M/s MAACON</v>
          </cell>
          <cell r="CI462" t="str">
            <v>Issued</v>
          </cell>
          <cell r="DG462" t="str">
            <v>Netmed SDP - Not in Dead Rental</v>
          </cell>
          <cell r="DL462">
            <v>45195</v>
          </cell>
          <cell r="DM462" t="str">
            <v>NA</v>
          </cell>
          <cell r="DN462" t="str">
            <v>NA</v>
          </cell>
          <cell r="DP462">
            <v>45195</v>
          </cell>
          <cell r="DR462">
            <v>7</v>
          </cell>
          <cell r="DS462">
            <v>7</v>
          </cell>
          <cell r="DU462">
            <v>7</v>
          </cell>
          <cell r="DV462">
            <v>45202</v>
          </cell>
          <cell r="DW462">
            <v>7</v>
          </cell>
          <cell r="EA462" t="str">
            <v/>
          </cell>
          <cell r="ED462" t="str">
            <v/>
          </cell>
          <cell r="EE462" t="str">
            <v/>
          </cell>
          <cell r="EF462">
            <v>1</v>
          </cell>
          <cell r="FD462">
            <v>46114</v>
          </cell>
          <cell r="FF462">
            <v>919</v>
          </cell>
          <cell r="FJ462" t="str">
            <v>NA</v>
          </cell>
          <cell r="FM462" t="str">
            <v/>
          </cell>
          <cell r="GG462" t="str">
            <v>2026-2027</v>
          </cell>
        </row>
        <row r="463">
          <cell r="E463" t="str">
            <v>Kottoodal Square  , Kumbala Kasargod , Opposite Canara Bank  , KASARAGOD , 671321</v>
          </cell>
          <cell r="F463" t="str">
            <v>9. EPC Ready</v>
          </cell>
          <cell r="G463" t="str">
            <v>SPKLKAK3396</v>
          </cell>
          <cell r="H463" t="str">
            <v>KE-SM-KSR-3000</v>
          </cell>
          <cell r="I463" t="str">
            <v>TZWN</v>
          </cell>
          <cell r="J463" t="str">
            <v>QDNF</v>
          </cell>
          <cell r="K463" t="str">
            <v>S</v>
          </cell>
          <cell r="L463" t="str">
            <v>AK</v>
          </cell>
          <cell r="M463" t="str">
            <v>EPC Ready</v>
          </cell>
          <cell r="N463" t="str">
            <v>N Kalyankumar</v>
          </cell>
          <cell r="O463" t="str">
            <v>Jose Loviece</v>
          </cell>
          <cell r="Q463" t="str">
            <v>Gaurav Shinde</v>
          </cell>
          <cell r="S463" t="str">
            <v>Kerala</v>
          </cell>
          <cell r="T463" t="str">
            <v>Kasaragod</v>
          </cell>
          <cell r="U463" t="str">
            <v>Non Premium</v>
          </cell>
          <cell r="V463" t="str">
            <v>Pharma Format</v>
          </cell>
          <cell r="W463">
            <v>400</v>
          </cell>
          <cell r="X463" t="str">
            <v>Kottoodal Square  , Kumbala Kasargod , Opposite Canara Bank  , KASARAGOD , 671321</v>
          </cell>
          <cell r="Y463">
            <v>45166</v>
          </cell>
          <cell r="Z463" t="str">
            <v>NA</v>
          </cell>
          <cell r="AB463" t="str">
            <v>NA</v>
          </cell>
          <cell r="AF463" t="str">
            <v>NA</v>
          </cell>
          <cell r="AK463">
            <v>45184</v>
          </cell>
          <cell r="AL463" t="str">
            <v>Received</v>
          </cell>
          <cell r="AO463">
            <v>3</v>
          </cell>
          <cell r="AS463">
            <v>-3</v>
          </cell>
          <cell r="AU463">
            <v>4</v>
          </cell>
          <cell r="AY463">
            <v>-4</v>
          </cell>
          <cell r="BA463">
            <v>5</v>
          </cell>
          <cell r="BE463">
            <v>-5</v>
          </cell>
          <cell r="BG463">
            <v>5</v>
          </cell>
          <cell r="BK463">
            <v>-5</v>
          </cell>
          <cell r="BM463">
            <v>3</v>
          </cell>
          <cell r="BP463">
            <v>3</v>
          </cell>
          <cell r="BW463" t="str">
            <v>Done</v>
          </cell>
          <cell r="BX463">
            <v>45079</v>
          </cell>
          <cell r="BY463" t="str">
            <v>Approved</v>
          </cell>
          <cell r="CD463">
            <v>45163</v>
          </cell>
          <cell r="CE463">
            <v>45181</v>
          </cell>
          <cell r="CG463" t="str">
            <v>M/s. Sky Engineering</v>
          </cell>
          <cell r="CI463" t="str">
            <v>Issued</v>
          </cell>
          <cell r="DG463" t="str">
            <v>Netmed SDP - Not in Dead Rental</v>
          </cell>
          <cell r="DK463">
            <v>45213</v>
          </cell>
          <cell r="DM463">
            <v>2</v>
          </cell>
          <cell r="DN463" t="str">
            <v>0 to 3 Days</v>
          </cell>
          <cell r="DP463">
            <v>45184</v>
          </cell>
          <cell r="DQ463">
            <v>45215</v>
          </cell>
          <cell r="DR463">
            <v>7</v>
          </cell>
          <cell r="DS463">
            <v>7</v>
          </cell>
          <cell r="DU463">
            <v>45222</v>
          </cell>
          <cell r="DV463">
            <v>45191</v>
          </cell>
          <cell r="DW463">
            <v>45222</v>
          </cell>
          <cell r="DX463" t="str">
            <v>Oct 23 Week 4</v>
          </cell>
          <cell r="DZ463">
            <v>45239</v>
          </cell>
          <cell r="EA463" t="str">
            <v>Nov 23 Week 2</v>
          </cell>
          <cell r="EB463" t="str">
            <v>Backlog</v>
          </cell>
          <cell r="ED463" t="str">
            <v/>
          </cell>
          <cell r="EE463" t="str">
            <v/>
          </cell>
          <cell r="EF463">
            <v>1</v>
          </cell>
          <cell r="EG463">
            <v>1</v>
          </cell>
          <cell r="FD463">
            <v>17</v>
          </cell>
          <cell r="FE463" t="str">
            <v>16 to 31 Days</v>
          </cell>
          <cell r="FF463">
            <v>48</v>
          </cell>
          <cell r="FG463" t="str">
            <v>31 to 61 Days</v>
          </cell>
          <cell r="FH463" t="str">
            <v>Done</v>
          </cell>
          <cell r="FI463" t="str">
            <v>Done</v>
          </cell>
          <cell r="FJ463" t="str">
            <v>NA</v>
          </cell>
          <cell r="FK463">
            <v>45328</v>
          </cell>
          <cell r="FM463" t="str">
            <v/>
          </cell>
          <cell r="GA463">
            <v>45275</v>
          </cell>
          <cell r="GC463">
            <v>45215</v>
          </cell>
          <cell r="GG463" t="str">
            <v>2023-2024</v>
          </cell>
        </row>
        <row r="464">
          <cell r="E464" t="str">
            <v>GFMouza KhariJL106 LR Dag 2160 2157/8106  , PS Raidighi Block Matharpur-II Sansad , LR Khatian No 8863 8862 PO Kashinagar , 20 Dist. South 24 Parganas West bengal , Kashinagar , 743349</v>
          </cell>
          <cell r="F464" t="str">
            <v>9. EPC Ready</v>
          </cell>
          <cell r="G464" t="str">
            <v>SPWBRAK3778</v>
          </cell>
          <cell r="H464" t="str">
            <v>WB-SM-KSN-3000</v>
          </cell>
          <cell r="I464" t="str">
            <v>TAXT</v>
          </cell>
          <cell r="J464" t="str">
            <v>QGGX</v>
          </cell>
          <cell r="K464" t="str">
            <v xml:space="preserve">E </v>
          </cell>
          <cell r="L464" t="str">
            <v>SD</v>
          </cell>
          <cell r="M464" t="str">
            <v>EPC Ready</v>
          </cell>
          <cell r="N464" t="str">
            <v>Mahendrakumar Warma</v>
          </cell>
          <cell r="O464" t="str">
            <v xml:space="preserve">Sandeepta Gayen </v>
          </cell>
          <cell r="Q464" t="str">
            <v>Gaurav Shinde</v>
          </cell>
          <cell r="S464" t="str">
            <v>West Bengal</v>
          </cell>
          <cell r="T464" t="str">
            <v>Kashinagar</v>
          </cell>
          <cell r="U464" t="str">
            <v>Non Premium</v>
          </cell>
          <cell r="V464" t="str">
            <v>Pharma Format</v>
          </cell>
          <cell r="W464">
            <v>400</v>
          </cell>
          <cell r="X464" t="str">
            <v>GFMouza KhariJL106 LR Dag 2160 2157/8106  , PS Raidighi Block Matharpur-II Sansad , LR Khatian No 8863 8862 PO Kashinagar , 20 Dist. South 24 Parganas West bengal , Kashinagar , 743349</v>
          </cell>
          <cell r="Y464">
            <v>45166</v>
          </cell>
          <cell r="Z464" t="str">
            <v>NA</v>
          </cell>
          <cell r="AB464" t="str">
            <v>NA</v>
          </cell>
          <cell r="AF464" t="str">
            <v>NA</v>
          </cell>
          <cell r="AK464">
            <v>45164</v>
          </cell>
          <cell r="AL464" t="str">
            <v>Received</v>
          </cell>
          <cell r="AO464">
            <v>3</v>
          </cell>
          <cell r="AS464">
            <v>-3</v>
          </cell>
          <cell r="AU464">
            <v>4</v>
          </cell>
          <cell r="AY464">
            <v>-4</v>
          </cell>
          <cell r="BA464">
            <v>5</v>
          </cell>
          <cell r="BE464">
            <v>-5</v>
          </cell>
          <cell r="BG464">
            <v>5</v>
          </cell>
          <cell r="BK464">
            <v>-5</v>
          </cell>
          <cell r="BM464">
            <v>3</v>
          </cell>
          <cell r="BP464">
            <v>3</v>
          </cell>
          <cell r="BW464" t="str">
            <v>Done</v>
          </cell>
          <cell r="BX464">
            <v>45079</v>
          </cell>
          <cell r="BY464" t="str">
            <v>Approved</v>
          </cell>
          <cell r="CD464">
            <v>45163</v>
          </cell>
          <cell r="CE464">
            <v>45196</v>
          </cell>
          <cell r="CG464" t="str">
            <v>M/s. ELECTROLEC ENTERPRISE</v>
          </cell>
          <cell r="CI464" t="str">
            <v>Issued</v>
          </cell>
          <cell r="DG464" t="str">
            <v>Netmed SDP - Not in Dead Rental</v>
          </cell>
          <cell r="DK464">
            <v>45258</v>
          </cell>
          <cell r="DL464">
            <v>45196</v>
          </cell>
          <cell r="DM464">
            <v>2</v>
          </cell>
          <cell r="DN464" t="str">
            <v>0 to 3 Days</v>
          </cell>
          <cell r="DP464">
            <v>45199</v>
          </cell>
          <cell r="DQ464">
            <v>45260</v>
          </cell>
          <cell r="DR464">
            <v>7</v>
          </cell>
          <cell r="DS464">
            <v>7</v>
          </cell>
          <cell r="DU464">
            <v>45267</v>
          </cell>
          <cell r="DV464">
            <v>45206</v>
          </cell>
          <cell r="DW464">
            <v>45267</v>
          </cell>
          <cell r="DX464" t="str">
            <v>Dec 23 Week 1</v>
          </cell>
          <cell r="DZ464">
            <v>45293</v>
          </cell>
          <cell r="EA464" t="str">
            <v>Jan 24 Week 1</v>
          </cell>
          <cell r="EB464" t="str">
            <v>Backlog</v>
          </cell>
          <cell r="ED464" t="str">
            <v/>
          </cell>
          <cell r="EE464" t="str">
            <v/>
          </cell>
          <cell r="EF464">
            <v>1</v>
          </cell>
          <cell r="EG464">
            <v>1</v>
          </cell>
          <cell r="FD464">
            <v>26</v>
          </cell>
          <cell r="FE464" t="str">
            <v>16 to 31 Days</v>
          </cell>
          <cell r="FF464">
            <v>87</v>
          </cell>
          <cell r="FG464" t="str">
            <v>62 to 90 Days</v>
          </cell>
          <cell r="FH464" t="str">
            <v>Done</v>
          </cell>
          <cell r="FI464" t="str">
            <v>Done</v>
          </cell>
          <cell r="FJ464" t="str">
            <v>NA</v>
          </cell>
          <cell r="FK464">
            <v>45303</v>
          </cell>
          <cell r="FM464" t="str">
            <v/>
          </cell>
          <cell r="GA464">
            <v>45303</v>
          </cell>
          <cell r="GC464" t="str">
            <v>13-10-2023
30-11-2023</v>
          </cell>
          <cell r="GG464" t="str">
            <v>2023-2024</v>
          </cell>
        </row>
        <row r="465">
          <cell r="E465" t="str">
            <v>Ground Floor SATHYA LAKSHMI COMPLEX  , Rural &amp; District- Ankapalle , Dno 1SYno 110/2NH16 MAIN ROAD KASIMKOTA  , KASIMKOTA , 531031</v>
          </cell>
          <cell r="F465" t="str">
            <v>11. HOLD</v>
          </cell>
          <cell r="G465" t="str">
            <v>PHCOAS10508</v>
          </cell>
          <cell r="H465" t="str">
            <v>AP-SM-KAS-3000</v>
          </cell>
          <cell r="I465" t="str">
            <v>TH2K</v>
          </cell>
          <cell r="J465" t="str">
            <v>QDPV</v>
          </cell>
          <cell r="K465" t="str">
            <v xml:space="preserve">E </v>
          </cell>
          <cell r="L465" t="str">
            <v>JD</v>
          </cell>
          <cell r="M465" t="str">
            <v>HOLD</v>
          </cell>
          <cell r="N465" t="str">
            <v>Jaisingh Desai</v>
          </cell>
          <cell r="Q465" t="str">
            <v>Gaurav Shinde</v>
          </cell>
          <cell r="S465" t="str">
            <v>Andhra Pradesh</v>
          </cell>
          <cell r="T465" t="str">
            <v>KASIMKOTA</v>
          </cell>
          <cell r="U465" t="str">
            <v>Non Premium</v>
          </cell>
          <cell r="V465" t="str">
            <v>Pharma Format</v>
          </cell>
          <cell r="W465">
            <v>427</v>
          </cell>
          <cell r="X465" t="str">
            <v>Ground Floor SATHYA LAKSHMI COMPLEX  , Rural &amp; District- Ankapalle , Dno 1SYno 110/2NH16 MAIN ROAD KASIMKOTA  , KASIMKOTA , 531031</v>
          </cell>
          <cell r="Y465">
            <v>45166</v>
          </cell>
          <cell r="Z465" t="str">
            <v>NA</v>
          </cell>
          <cell r="AB465" t="str">
            <v>NA</v>
          </cell>
          <cell r="AF465" t="str">
            <v>NA</v>
          </cell>
          <cell r="AK465">
            <v>45166</v>
          </cell>
          <cell r="AL465" t="str">
            <v>Received</v>
          </cell>
          <cell r="AO465">
            <v>3</v>
          </cell>
          <cell r="AS465">
            <v>-3</v>
          </cell>
          <cell r="AU465">
            <v>4</v>
          </cell>
          <cell r="AY465">
            <v>-4</v>
          </cell>
          <cell r="BA465">
            <v>5</v>
          </cell>
          <cell r="BE465">
            <v>-5</v>
          </cell>
          <cell r="BG465">
            <v>5</v>
          </cell>
          <cell r="BK465">
            <v>-5</v>
          </cell>
          <cell r="BM465">
            <v>3</v>
          </cell>
          <cell r="BP465">
            <v>3</v>
          </cell>
          <cell r="BW465" t="str">
            <v>Done</v>
          </cell>
          <cell r="BX465">
            <v>45079</v>
          </cell>
          <cell r="BY465" t="str">
            <v>Approved</v>
          </cell>
          <cell r="CD465">
            <v>45163</v>
          </cell>
          <cell r="CE465">
            <v>45173</v>
          </cell>
          <cell r="CG465" t="str">
            <v>M/s S.R K CONSTRUCTIONS</v>
          </cell>
          <cell r="DG465" t="str">
            <v>Netmed SDP - Not in Dead Rental</v>
          </cell>
          <cell r="DL465">
            <v>-619567</v>
          </cell>
          <cell r="DM465" t="str">
            <v>NA</v>
          </cell>
          <cell r="DN465" t="str">
            <v>NA</v>
          </cell>
          <cell r="DR465">
            <v>7</v>
          </cell>
          <cell r="DS465">
            <v>7</v>
          </cell>
          <cell r="DU465">
            <v>7</v>
          </cell>
          <cell r="DV465">
            <v>7</v>
          </cell>
          <cell r="DW465">
            <v>7</v>
          </cell>
          <cell r="EA465" t="str">
            <v/>
          </cell>
          <cell r="ED465" t="str">
            <v/>
          </cell>
          <cell r="EE465" t="str">
            <v/>
          </cell>
          <cell r="EF465">
            <v>1</v>
          </cell>
          <cell r="FD465">
            <v>46114</v>
          </cell>
          <cell r="FF465">
            <v>46114</v>
          </cell>
          <cell r="FJ465" t="str">
            <v>NA</v>
          </cell>
          <cell r="FM465" t="str">
            <v/>
          </cell>
          <cell r="GG465" t="str">
            <v>2026-2027</v>
          </cell>
        </row>
        <row r="466">
          <cell r="E466" t="str">
            <v>Gata No 2046 Manu Ka  , Khaga Fatehpur , Purva Main Road  , KHAGA , 212655</v>
          </cell>
          <cell r="F466" t="str">
            <v>14. Dropped</v>
          </cell>
          <cell r="G466" t="str">
            <v>SPUPFAF4083</v>
          </cell>
          <cell r="H466" t="str">
            <v>UP-SM-KGA-3000</v>
          </cell>
          <cell r="I466" t="str">
            <v>TYVQ</v>
          </cell>
          <cell r="J466" t="str">
            <v/>
          </cell>
          <cell r="K466" t="str">
            <v xml:space="preserve">N </v>
          </cell>
          <cell r="L466" t="str">
            <v>KC</v>
          </cell>
          <cell r="M466" t="str">
            <v>Dropped</v>
          </cell>
          <cell r="Q466" t="str">
            <v>Gaurav Shinde</v>
          </cell>
          <cell r="S466" t="str">
            <v>Uttar Pradesh</v>
          </cell>
          <cell r="T466" t="str">
            <v>Khaga</v>
          </cell>
          <cell r="U466" t="str">
            <v>Non Premium</v>
          </cell>
          <cell r="V466" t="str">
            <v>Pharma Format</v>
          </cell>
          <cell r="W466">
            <v>396</v>
          </cell>
          <cell r="X466" t="str">
            <v>Gata No 2046 Manu Ka  , Khaga Fatehpur , Purva Main Road  , KHAGA , 212655</v>
          </cell>
          <cell r="Z466" t="str">
            <v>NA</v>
          </cell>
          <cell r="AB466" t="str">
            <v>NA</v>
          </cell>
          <cell r="AF466" t="str">
            <v>NA</v>
          </cell>
          <cell r="AL466" t="str">
            <v>NA</v>
          </cell>
          <cell r="AO466">
            <v>3</v>
          </cell>
          <cell r="AS466">
            <v>-3</v>
          </cell>
          <cell r="AU466">
            <v>4</v>
          </cell>
          <cell r="AY466">
            <v>-4</v>
          </cell>
          <cell r="BA466">
            <v>5</v>
          </cell>
          <cell r="BE466">
            <v>-5</v>
          </cell>
          <cell r="BG466">
            <v>5</v>
          </cell>
          <cell r="BK466">
            <v>-5</v>
          </cell>
          <cell r="BM466">
            <v>3</v>
          </cell>
          <cell r="BP466">
            <v>3</v>
          </cell>
          <cell r="BW466" t="str">
            <v>Done</v>
          </cell>
          <cell r="BX466">
            <v>45079</v>
          </cell>
          <cell r="BY466" t="str">
            <v>Approved</v>
          </cell>
          <cell r="DG466" t="str">
            <v>Netmed SDP - Not in Dead Rental</v>
          </cell>
          <cell r="DM466" t="str">
            <v>NA</v>
          </cell>
          <cell r="DN466" t="str">
            <v>NA</v>
          </cell>
          <cell r="DR466">
            <v>7</v>
          </cell>
          <cell r="DS466">
            <v>7</v>
          </cell>
          <cell r="DU466">
            <v>7</v>
          </cell>
          <cell r="DV466">
            <v>7</v>
          </cell>
          <cell r="DW466">
            <v>7</v>
          </cell>
          <cell r="EA466" t="str">
            <v/>
          </cell>
          <cell r="ED466" t="str">
            <v/>
          </cell>
          <cell r="EE466" t="str">
            <v/>
          </cell>
          <cell r="EF466">
            <v>1</v>
          </cell>
          <cell r="FD466">
            <v>46114</v>
          </cell>
          <cell r="FF466">
            <v>46114</v>
          </cell>
          <cell r="FJ466" t="str">
            <v>NA</v>
          </cell>
          <cell r="FM466" t="str">
            <v/>
          </cell>
          <cell r="GG466" t="str">
            <v>2024-2025</v>
          </cell>
        </row>
        <row r="467">
          <cell r="E467" t="str">
            <v>GF Shivam Heights Mouza Bara Ghaghara  , Thana No 221 Plot No 1939 Plot No 1939F , Doranda Namkum Rd Nr Swarnrekha Bridge  , RANCHI , 834010</v>
          </cell>
          <cell r="F467" t="str">
            <v>10. Launched</v>
          </cell>
          <cell r="G467" t="str">
            <v>SPJHRAD3697</v>
          </cell>
          <cell r="H467" t="str">
            <v>JH-SM-RAN-3020</v>
          </cell>
          <cell r="I467" t="str">
            <v>TYKF</v>
          </cell>
          <cell r="J467" t="str">
            <v>QBQQ</v>
          </cell>
          <cell r="K467" t="str">
            <v xml:space="preserve">E </v>
          </cell>
          <cell r="L467" t="str">
            <v>AK</v>
          </cell>
          <cell r="M467" t="str">
            <v>EPC Ready</v>
          </cell>
          <cell r="Q467" t="str">
            <v>Gaurav Shinde</v>
          </cell>
          <cell r="S467" t="str">
            <v>Jharkhand</v>
          </cell>
          <cell r="T467" t="str">
            <v>Ranchi</v>
          </cell>
          <cell r="U467" t="str">
            <v>Non Premium</v>
          </cell>
          <cell r="V467" t="str">
            <v>Pharma Format</v>
          </cell>
          <cell r="W467">
            <v>400</v>
          </cell>
          <cell r="X467" t="str">
            <v>GF Shivam Heights Mouza Bara Ghaghara  , Thana No 221 Plot No 1939 Plot No 1939F , Doranda Namkum Rd Nr Swarnrekha Bridge  , RANCHI , 834010</v>
          </cell>
          <cell r="Y467">
            <v>45166</v>
          </cell>
          <cell r="Z467" t="str">
            <v>NA</v>
          </cell>
          <cell r="AB467" t="str">
            <v>NA</v>
          </cell>
          <cell r="AF467" t="str">
            <v>NA</v>
          </cell>
          <cell r="AK467">
            <v>45169</v>
          </cell>
          <cell r="AL467" t="str">
            <v>Received</v>
          </cell>
          <cell r="AO467">
            <v>3</v>
          </cell>
          <cell r="AS467">
            <v>-3</v>
          </cell>
          <cell r="AU467">
            <v>4</v>
          </cell>
          <cell r="AY467">
            <v>-4</v>
          </cell>
          <cell r="BA467">
            <v>5</v>
          </cell>
          <cell r="BE467">
            <v>-5</v>
          </cell>
          <cell r="BG467">
            <v>5</v>
          </cell>
          <cell r="BK467">
            <v>-5</v>
          </cell>
          <cell r="BM467">
            <v>3</v>
          </cell>
          <cell r="BW467" t="str">
            <v>Done</v>
          </cell>
          <cell r="BX467">
            <v>45079</v>
          </cell>
          <cell r="BY467" t="str">
            <v>Approved</v>
          </cell>
          <cell r="CD467">
            <v>45163</v>
          </cell>
          <cell r="CE467">
            <v>45175</v>
          </cell>
          <cell r="CG467" t="str">
            <v>M/S VISHWAKARMA ENGINEERING</v>
          </cell>
          <cell r="CI467" t="str">
            <v>Issued</v>
          </cell>
          <cell r="DG467" t="str">
            <v>Netmed SDP - Not in Dead Rental</v>
          </cell>
          <cell r="DK467">
            <v>45195</v>
          </cell>
          <cell r="DL467">
            <v>45200</v>
          </cell>
          <cell r="DM467">
            <v>2</v>
          </cell>
          <cell r="DN467" t="str">
            <v>0 to 3 Days</v>
          </cell>
          <cell r="DP467">
            <v>45178</v>
          </cell>
          <cell r="DQ467">
            <v>45197</v>
          </cell>
          <cell r="DR467">
            <v>7</v>
          </cell>
          <cell r="DS467">
            <v>7</v>
          </cell>
          <cell r="DU467">
            <v>45204</v>
          </cell>
          <cell r="DV467">
            <v>45185</v>
          </cell>
          <cell r="DW467">
            <v>45204</v>
          </cell>
          <cell r="DX467" t="str">
            <v>Oct 23 Week 1</v>
          </cell>
          <cell r="DZ467">
            <v>45255</v>
          </cell>
          <cell r="EA467" t="str">
            <v>Nov 23 Week 4</v>
          </cell>
          <cell r="EB467" t="str">
            <v>Backlog</v>
          </cell>
          <cell r="ED467" t="str">
            <v/>
          </cell>
          <cell r="EE467" t="str">
            <v/>
          </cell>
          <cell r="EF467">
            <v>1</v>
          </cell>
          <cell r="EG467">
            <v>1</v>
          </cell>
          <cell r="FD467">
            <v>51</v>
          </cell>
          <cell r="FE467" t="str">
            <v>31 to 61 Days</v>
          </cell>
          <cell r="FF467">
            <v>70</v>
          </cell>
          <cell r="FG467" t="str">
            <v>62 to 90 Days</v>
          </cell>
          <cell r="FH467" t="str">
            <v>Done</v>
          </cell>
          <cell r="FI467" t="str">
            <v>Done</v>
          </cell>
          <cell r="FJ467" t="str">
            <v>NA</v>
          </cell>
          <cell r="FK467">
            <v>45281</v>
          </cell>
          <cell r="FM467" t="str">
            <v/>
          </cell>
          <cell r="GA467">
            <v>45255</v>
          </cell>
          <cell r="GC467">
            <v>45197</v>
          </cell>
          <cell r="GG467" t="str">
            <v>2023-2024</v>
          </cell>
        </row>
        <row r="468">
          <cell r="E468" t="str">
            <v>Gobindo Chatterjee Rd Patulia Ghoshpara  , High School Khardah North 24 Pargana , Po Patulia Ps Khardah?Near Patulia Boys  , KOLKATA , 700119</v>
          </cell>
          <cell r="F468" t="str">
            <v>14. Dropped</v>
          </cell>
          <cell r="G468" t="str">
            <v>SPWBKHP4105</v>
          </cell>
          <cell r="H468" t="str">
            <v>WB-SM-KOL-3083</v>
          </cell>
          <cell r="I468" t="str">
            <v>TAXJ</v>
          </cell>
          <cell r="J468" t="str">
            <v>QGGA</v>
          </cell>
          <cell r="K468" t="str">
            <v xml:space="preserve">E </v>
          </cell>
          <cell r="L468" t="str">
            <v>SD</v>
          </cell>
          <cell r="M468" t="str">
            <v>Dropped</v>
          </cell>
          <cell r="N468" t="str">
            <v>Mahendrakumar Warma</v>
          </cell>
          <cell r="O468" t="str">
            <v xml:space="preserve">Sandeepta Gayen </v>
          </cell>
          <cell r="Q468" t="str">
            <v>Gaurav Shinde</v>
          </cell>
          <cell r="S468" t="str">
            <v>West Bengal</v>
          </cell>
          <cell r="T468" t="str">
            <v>Khardah</v>
          </cell>
          <cell r="U468" t="str">
            <v>Non Premium</v>
          </cell>
          <cell r="V468" t="str">
            <v>Pharma Format</v>
          </cell>
          <cell r="W468">
            <v>400</v>
          </cell>
          <cell r="X468" t="str">
            <v>Gobindo Chatterjee Rd Patulia Ghoshpara  , High School Khardah North 24 Pargana , Po Patulia Ps Khardah?Near Patulia Boys  , KOLKATA , 700119</v>
          </cell>
          <cell r="Z468" t="str">
            <v>NA</v>
          </cell>
          <cell r="AB468" t="str">
            <v>NA</v>
          </cell>
          <cell r="AF468" t="str">
            <v>NA</v>
          </cell>
          <cell r="AK468">
            <v>45164</v>
          </cell>
          <cell r="AL468" t="str">
            <v>Received</v>
          </cell>
          <cell r="AO468">
            <v>3</v>
          </cell>
          <cell r="AS468">
            <v>-3</v>
          </cell>
          <cell r="AU468">
            <v>4</v>
          </cell>
          <cell r="AY468">
            <v>-4</v>
          </cell>
          <cell r="BA468">
            <v>5</v>
          </cell>
          <cell r="BE468">
            <v>-5</v>
          </cell>
          <cell r="BG468">
            <v>5</v>
          </cell>
          <cell r="BK468">
            <v>-5</v>
          </cell>
          <cell r="BM468">
            <v>3</v>
          </cell>
          <cell r="BP468">
            <v>3</v>
          </cell>
          <cell r="BW468" t="str">
            <v>Done</v>
          </cell>
          <cell r="BX468">
            <v>45079</v>
          </cell>
          <cell r="BY468" t="str">
            <v>Approved</v>
          </cell>
          <cell r="DG468" t="str">
            <v>Netmed SDP - Not in Dead Rental</v>
          </cell>
          <cell r="DM468" t="str">
            <v>NA</v>
          </cell>
          <cell r="DN468" t="str">
            <v>NA</v>
          </cell>
          <cell r="DR468">
            <v>7</v>
          </cell>
          <cell r="DS468">
            <v>7</v>
          </cell>
          <cell r="DU468">
            <v>7</v>
          </cell>
          <cell r="DV468">
            <v>7</v>
          </cell>
          <cell r="DW468">
            <v>7</v>
          </cell>
          <cell r="EA468" t="str">
            <v/>
          </cell>
          <cell r="ED468" t="str">
            <v/>
          </cell>
          <cell r="EE468" t="str">
            <v/>
          </cell>
          <cell r="EF468">
            <v>1</v>
          </cell>
          <cell r="FD468">
            <v>46114</v>
          </cell>
          <cell r="FF468">
            <v>46114</v>
          </cell>
          <cell r="FJ468" t="str">
            <v>NA</v>
          </cell>
          <cell r="FM468" t="str">
            <v/>
          </cell>
          <cell r="GG468" t="str">
            <v>2024-2025</v>
          </cell>
        </row>
        <row r="469">
          <cell r="E469" t="str">
            <v>Khasra No280 7 P H N 43 Market Diversion  , Colony Khargone , Road Khargone Indore Hwy Vallabh Nagar  , KHARGONE , 451001</v>
          </cell>
          <cell r="F469" t="str">
            <v>14. Dropped</v>
          </cell>
          <cell r="G469" t="str">
            <v>SPMPKHK3866</v>
          </cell>
          <cell r="H469" t="str">
            <v>MP-SM-KRG-3000</v>
          </cell>
          <cell r="I469" t="str">
            <v>TYZY</v>
          </cell>
          <cell r="J469" t="str">
            <v/>
          </cell>
          <cell r="K469" t="str">
            <v>W</v>
          </cell>
          <cell r="L469" t="str">
            <v>KC</v>
          </cell>
          <cell r="M469" t="str">
            <v>Dropped</v>
          </cell>
          <cell r="Q469" t="str">
            <v>Gaurav Shinde</v>
          </cell>
          <cell r="S469" t="str">
            <v>Madhya Pradesh</v>
          </cell>
          <cell r="T469" t="str">
            <v>khargone</v>
          </cell>
          <cell r="U469" t="str">
            <v>Non Premium</v>
          </cell>
          <cell r="V469" t="str">
            <v>Pharma Format</v>
          </cell>
          <cell r="W469">
            <v>400</v>
          </cell>
          <cell r="X469" t="str">
            <v>Khasra No280 7 P H N 43 Market Diversion  , Colony Khargone , Road Khargone Indore Hwy Vallabh Nagar  , KHARGONE , 451001</v>
          </cell>
          <cell r="Z469" t="str">
            <v>NA</v>
          </cell>
          <cell r="AB469" t="str">
            <v>NA</v>
          </cell>
          <cell r="AF469" t="str">
            <v>NA</v>
          </cell>
          <cell r="AK469">
            <v>45163</v>
          </cell>
          <cell r="AL469" t="str">
            <v>Received</v>
          </cell>
          <cell r="AO469">
            <v>3</v>
          </cell>
          <cell r="AS469">
            <v>-3</v>
          </cell>
          <cell r="AU469">
            <v>4</v>
          </cell>
          <cell r="AY469">
            <v>-4</v>
          </cell>
          <cell r="BA469">
            <v>5</v>
          </cell>
          <cell r="BE469">
            <v>-5</v>
          </cell>
          <cell r="BG469">
            <v>5</v>
          </cell>
          <cell r="BK469">
            <v>-5</v>
          </cell>
          <cell r="BM469">
            <v>3</v>
          </cell>
          <cell r="BP469">
            <v>3</v>
          </cell>
          <cell r="BW469" t="str">
            <v>Done</v>
          </cell>
          <cell r="BX469">
            <v>45079</v>
          </cell>
          <cell r="BY469" t="str">
            <v>Approved</v>
          </cell>
          <cell r="DG469" t="str">
            <v>Netmed SDP - Not in Dead Rental</v>
          </cell>
          <cell r="DM469" t="str">
            <v>NA</v>
          </cell>
          <cell r="DN469" t="str">
            <v>NA</v>
          </cell>
          <cell r="DR469">
            <v>7</v>
          </cell>
          <cell r="DS469">
            <v>7</v>
          </cell>
          <cell r="DU469">
            <v>7</v>
          </cell>
          <cell r="DV469">
            <v>7</v>
          </cell>
          <cell r="DW469">
            <v>7</v>
          </cell>
          <cell r="EA469" t="str">
            <v/>
          </cell>
          <cell r="ED469" t="str">
            <v/>
          </cell>
          <cell r="EE469" t="str">
            <v/>
          </cell>
          <cell r="EF469">
            <v>1</v>
          </cell>
          <cell r="FD469">
            <v>46114</v>
          </cell>
          <cell r="FF469">
            <v>46114</v>
          </cell>
          <cell r="FJ469" t="str">
            <v>NA</v>
          </cell>
          <cell r="FM469" t="str">
            <v/>
          </cell>
          <cell r="GG469" t="str">
            <v>2024-2025</v>
          </cell>
        </row>
        <row r="470">
          <cell r="E470" t="str">
            <v>SP Pharma MONMAYA COMPLEX KHLIEHRIAT</v>
          </cell>
          <cell r="F470" t="str">
            <v>14. Dropped</v>
          </cell>
          <cell r="G470" t="str">
            <v>SPMLKHN3431</v>
          </cell>
          <cell r="H470" t="str">
            <v>NE-SM-KHL-3000</v>
          </cell>
          <cell r="I470" t="str">
            <v>TZ3K</v>
          </cell>
          <cell r="J470" t="str">
            <v>QEED</v>
          </cell>
          <cell r="K470" t="str">
            <v xml:space="preserve">E </v>
          </cell>
          <cell r="L470" t="str">
            <v>SD</v>
          </cell>
          <cell r="M470" t="str">
            <v>Dropped</v>
          </cell>
          <cell r="N470" t="str">
            <v>Mahendrakumar Warma</v>
          </cell>
          <cell r="O470" t="str">
            <v>Anup das (EXCEPT SIKKIM)</v>
          </cell>
          <cell r="Q470" t="str">
            <v>Gaurav Shinde</v>
          </cell>
          <cell r="S470" t="str">
            <v>North East</v>
          </cell>
          <cell r="T470" t="str">
            <v>Khliehriat</v>
          </cell>
          <cell r="U470" t="str">
            <v>Non Premium</v>
          </cell>
          <cell r="V470" t="str">
            <v>Pharma Format</v>
          </cell>
          <cell r="W470">
            <v>400</v>
          </cell>
          <cell r="X470" t="str">
            <v>SP Pharma MONMAYA COMPLEX KHLIEHRIAT</v>
          </cell>
          <cell r="Z470" t="str">
            <v>NA</v>
          </cell>
          <cell r="AB470" t="str">
            <v>NA</v>
          </cell>
          <cell r="AF470" t="str">
            <v>NA</v>
          </cell>
          <cell r="AK470">
            <v>45164</v>
          </cell>
          <cell r="AL470" t="str">
            <v>Received</v>
          </cell>
          <cell r="AO470">
            <v>3</v>
          </cell>
          <cell r="AS470">
            <v>-3</v>
          </cell>
          <cell r="AU470">
            <v>4</v>
          </cell>
          <cell r="AY470">
            <v>-4</v>
          </cell>
          <cell r="BA470">
            <v>5</v>
          </cell>
          <cell r="BE470">
            <v>-5</v>
          </cell>
          <cell r="BG470">
            <v>5</v>
          </cell>
          <cell r="BK470">
            <v>-5</v>
          </cell>
          <cell r="BM470">
            <v>3</v>
          </cell>
          <cell r="BP470">
            <v>3</v>
          </cell>
          <cell r="BW470" t="str">
            <v>Done</v>
          </cell>
          <cell r="BX470">
            <v>45079</v>
          </cell>
          <cell r="BY470" t="str">
            <v>Approved</v>
          </cell>
          <cell r="DG470" t="str">
            <v>Netmed SDP - Not in Dead Rental</v>
          </cell>
          <cell r="DM470" t="str">
            <v>NA</v>
          </cell>
          <cell r="DN470" t="str">
            <v>NA</v>
          </cell>
          <cell r="DR470">
            <v>7</v>
          </cell>
          <cell r="DS470">
            <v>7</v>
          </cell>
          <cell r="DU470">
            <v>7</v>
          </cell>
          <cell r="DV470">
            <v>7</v>
          </cell>
          <cell r="DW470">
            <v>7</v>
          </cell>
          <cell r="EA470" t="str">
            <v/>
          </cell>
          <cell r="ED470" t="str">
            <v/>
          </cell>
          <cell r="EE470" t="str">
            <v/>
          </cell>
          <cell r="EF470">
            <v>1</v>
          </cell>
          <cell r="FD470">
            <v>46114</v>
          </cell>
          <cell r="FF470">
            <v>46114</v>
          </cell>
          <cell r="FJ470" t="str">
            <v>NA</v>
          </cell>
          <cell r="FM470" t="str">
            <v/>
          </cell>
          <cell r="GG470" t="str">
            <v>2024-2025</v>
          </cell>
        </row>
        <row r="471">
          <cell r="E471" t="str">
            <v>GF, Premises No 7-12-94/1,2,3  , Mandal - Repalle, Dist - Guntur , Sy No 68/3, Village - Isukapalli  , REPALLE , 522265</v>
          </cell>
          <cell r="F471" t="str">
            <v>9. EPC Ready</v>
          </cell>
          <cell r="G471" t="str">
            <v>SPAPREN3992</v>
          </cell>
          <cell r="H471" t="str">
            <v>AP-SM-RAE-3000</v>
          </cell>
          <cell r="I471" t="str">
            <v>TYXR</v>
          </cell>
          <cell r="J471" t="str">
            <v>QB5V</v>
          </cell>
          <cell r="K471" t="str">
            <v xml:space="preserve">E </v>
          </cell>
          <cell r="L471" t="str">
            <v>JD</v>
          </cell>
          <cell r="M471" t="str">
            <v>EPC Ready</v>
          </cell>
          <cell r="N471" t="str">
            <v>Jaisingh Desai</v>
          </cell>
          <cell r="P471" t="str">
            <v>Mr. Sridhar Gummadi</v>
          </cell>
          <cell r="Q471" t="str">
            <v>Gaurav Shinde</v>
          </cell>
          <cell r="S471" t="str">
            <v>Andhra Pradesh</v>
          </cell>
          <cell r="T471" t="str">
            <v>Repalle</v>
          </cell>
          <cell r="U471" t="str">
            <v>Non Premium</v>
          </cell>
          <cell r="V471" t="str">
            <v>Pharma Format</v>
          </cell>
          <cell r="W471">
            <v>396</v>
          </cell>
          <cell r="X471" t="str">
            <v>GF, Premises No 7-12-94/1,2,3  , Mandal - Repalle, Dist - Guntur , Sy No 68/3, Village - Isukapalli  , REPALLE , 522265</v>
          </cell>
          <cell r="Y471">
            <v>45124</v>
          </cell>
          <cell r="Z471" t="str">
            <v>NA</v>
          </cell>
          <cell r="AB471" t="str">
            <v>NA</v>
          </cell>
          <cell r="AF471" t="str">
            <v>NA</v>
          </cell>
          <cell r="AK471">
            <v>45143</v>
          </cell>
          <cell r="AL471" t="str">
            <v>Received</v>
          </cell>
          <cell r="AO471">
            <v>3</v>
          </cell>
          <cell r="AS471">
            <v>-3</v>
          </cell>
          <cell r="AU471">
            <v>4</v>
          </cell>
          <cell r="AY471">
            <v>-4</v>
          </cell>
          <cell r="BA471">
            <v>5</v>
          </cell>
          <cell r="BE471">
            <v>-5</v>
          </cell>
          <cell r="BG471">
            <v>5</v>
          </cell>
          <cell r="BK471">
            <v>-5</v>
          </cell>
          <cell r="BM471">
            <v>3</v>
          </cell>
          <cell r="BP471">
            <v>3</v>
          </cell>
          <cell r="BW471" t="str">
            <v>Done</v>
          </cell>
          <cell r="BX471">
            <v>45079</v>
          </cell>
          <cell r="BY471" t="str">
            <v>Approved</v>
          </cell>
          <cell r="CD471">
            <v>45126</v>
          </cell>
          <cell r="CE471">
            <v>45176</v>
          </cell>
          <cell r="CG471" t="str">
            <v xml:space="preserve">M/s VK CONSTRUCTIONS
</v>
          </cell>
          <cell r="CI471" t="str">
            <v>Issued</v>
          </cell>
          <cell r="DG471" t="str">
            <v>Netmed SDP - Not in Dead Rental</v>
          </cell>
          <cell r="DK471">
            <v>45202</v>
          </cell>
          <cell r="DM471">
            <v>2</v>
          </cell>
          <cell r="DN471" t="str">
            <v>0 to 3 Days</v>
          </cell>
          <cell r="DP471">
            <v>45179</v>
          </cell>
          <cell r="DQ471">
            <v>45204</v>
          </cell>
          <cell r="DR471">
            <v>7</v>
          </cell>
          <cell r="DS471">
            <v>7</v>
          </cell>
          <cell r="DU471">
            <v>45211</v>
          </cell>
          <cell r="DV471">
            <v>45186</v>
          </cell>
          <cell r="DW471">
            <v>45211</v>
          </cell>
          <cell r="DX471" t="str">
            <v>Oct 23 Week 2</v>
          </cell>
          <cell r="DZ471">
            <v>45239</v>
          </cell>
          <cell r="EA471" t="str">
            <v>Nov 23 Week 2</v>
          </cell>
          <cell r="EB471" t="str">
            <v>Backlog</v>
          </cell>
          <cell r="ED471" t="str">
            <v/>
          </cell>
          <cell r="EE471" t="str">
            <v/>
          </cell>
          <cell r="EF471">
            <v>1</v>
          </cell>
          <cell r="EG471">
            <v>1</v>
          </cell>
          <cell r="FD471">
            <v>28</v>
          </cell>
          <cell r="FE471" t="str">
            <v>16 to 31 Days</v>
          </cell>
          <cell r="FF471">
            <v>53</v>
          </cell>
          <cell r="FG471" t="str">
            <v>31 to 61 Days</v>
          </cell>
          <cell r="FH471" t="str">
            <v>done</v>
          </cell>
          <cell r="FJ471" t="str">
            <v>NA</v>
          </cell>
          <cell r="FK471">
            <v>45394</v>
          </cell>
          <cell r="FM471" t="str">
            <v/>
          </cell>
          <cell r="GA471">
            <v>45254</v>
          </cell>
          <cell r="GC471">
            <v>45204</v>
          </cell>
          <cell r="GG471" t="str">
            <v>2023-2024</v>
          </cell>
        </row>
        <row r="472">
          <cell r="E472" t="str">
            <v>GF SaiVandana Mangal KaryalayaMilkat  , Kinwat Distt Nanded , No 13 33 and 13 35 New26 Old Ward No13  , KINWAT , 431804</v>
          </cell>
          <cell r="F472" t="str">
            <v>14. Dropped</v>
          </cell>
          <cell r="G472" t="str">
            <v>SPMHNAN1724</v>
          </cell>
          <cell r="H472" t="str">
            <v>MH-SM-KNT-3000</v>
          </cell>
          <cell r="I472" t="str">
            <v>TW7G</v>
          </cell>
          <cell r="J472" t="str">
            <v/>
          </cell>
          <cell r="K472" t="str">
            <v>W</v>
          </cell>
          <cell r="L472" t="str">
            <v>KC</v>
          </cell>
          <cell r="M472" t="str">
            <v>Dropped</v>
          </cell>
          <cell r="Q472" t="str">
            <v>Gaurav Shinde</v>
          </cell>
          <cell r="S472" t="str">
            <v>Maharashtra</v>
          </cell>
          <cell r="T472" t="str">
            <v>Kinwat</v>
          </cell>
          <cell r="U472" t="str">
            <v>Non Premium</v>
          </cell>
          <cell r="V472" t="str">
            <v>Pharma Format</v>
          </cell>
          <cell r="W472">
            <v>401</v>
          </cell>
          <cell r="X472" t="str">
            <v>GF SaiVandana Mangal KaryalayaMilkat  , Kinwat Distt Nanded , No 13 33 and 13 35 New26 Old Ward No13  , KINWAT , 431804</v>
          </cell>
          <cell r="Z472" t="str">
            <v>NA</v>
          </cell>
          <cell r="AB472" t="str">
            <v>NA</v>
          </cell>
          <cell r="AF472" t="str">
            <v>NA</v>
          </cell>
          <cell r="AL472" t="str">
            <v>NA</v>
          </cell>
          <cell r="AO472">
            <v>3</v>
          </cell>
          <cell r="AS472">
            <v>-3</v>
          </cell>
          <cell r="AU472">
            <v>4</v>
          </cell>
          <cell r="AY472">
            <v>-4</v>
          </cell>
          <cell r="BA472">
            <v>5</v>
          </cell>
          <cell r="BE472">
            <v>-5</v>
          </cell>
          <cell r="BG472">
            <v>5</v>
          </cell>
          <cell r="BK472">
            <v>-5</v>
          </cell>
          <cell r="BM472">
            <v>3</v>
          </cell>
          <cell r="BP472">
            <v>3</v>
          </cell>
          <cell r="BW472" t="str">
            <v>Done</v>
          </cell>
          <cell r="BX472">
            <v>45079</v>
          </cell>
          <cell r="BY472" t="str">
            <v>Approved</v>
          </cell>
          <cell r="DG472" t="str">
            <v>Netmed SDP - Not in Dead Rental</v>
          </cell>
          <cell r="DM472" t="str">
            <v>NA</v>
          </cell>
          <cell r="DN472" t="str">
            <v>NA</v>
          </cell>
          <cell r="DR472">
            <v>7</v>
          </cell>
          <cell r="DS472">
            <v>7</v>
          </cell>
          <cell r="DU472">
            <v>7</v>
          </cell>
          <cell r="DV472">
            <v>7</v>
          </cell>
          <cell r="DW472">
            <v>7</v>
          </cell>
          <cell r="EA472" t="str">
            <v/>
          </cell>
          <cell r="ED472" t="str">
            <v/>
          </cell>
          <cell r="EE472" t="str">
            <v/>
          </cell>
          <cell r="EF472">
            <v>1</v>
          </cell>
          <cell r="FD472">
            <v>46114</v>
          </cell>
          <cell r="FF472">
            <v>46114</v>
          </cell>
          <cell r="FJ472" t="str">
            <v>NA</v>
          </cell>
          <cell r="FM472" t="str">
            <v/>
          </cell>
          <cell r="GG472" t="str">
            <v>2024-2025</v>
          </cell>
        </row>
        <row r="473">
          <cell r="E473" t="str">
            <v>Balaji Mahal No 1 163 Manmangalam Road  , Near Lvb Karur Tamil Nadu , Vennamalai Manmangalam Taluk  , KARUR , 639006</v>
          </cell>
          <cell r="F473" t="str">
            <v>9. EPC Ready</v>
          </cell>
          <cell r="G473" t="str">
            <v>SPTNKAB3441</v>
          </cell>
          <cell r="H473" t="str">
            <v>TN-SM-KAR-3001</v>
          </cell>
          <cell r="I473" t="str">
            <v>TZ4Z</v>
          </cell>
          <cell r="J473" t="str">
            <v>QEGY</v>
          </cell>
          <cell r="K473" t="str">
            <v>S</v>
          </cell>
          <cell r="L473" t="str">
            <v>AK</v>
          </cell>
          <cell r="M473" t="str">
            <v>EPC Ready</v>
          </cell>
          <cell r="N473" t="str">
            <v>N Kalyankumar</v>
          </cell>
          <cell r="O473" t="str">
            <v>Muthuvelu Minnal /
Vijayakumar Muthusamy</v>
          </cell>
          <cell r="P473" t="str">
            <v>Janarthanan Ekambaram-9566241523</v>
          </cell>
          <cell r="Q473" t="str">
            <v>Gaurav Shinde</v>
          </cell>
          <cell r="S473" t="str">
            <v>Tamil Nadu</v>
          </cell>
          <cell r="T473" t="str">
            <v>Karur</v>
          </cell>
          <cell r="U473" t="str">
            <v>Non Premium</v>
          </cell>
          <cell r="V473" t="str">
            <v>Pharma Format</v>
          </cell>
          <cell r="W473">
            <v>400</v>
          </cell>
          <cell r="X473" t="str">
            <v>Balaji Mahal No 1 163 Manmangalam Road  , Near Lvb Karur Tamil Nadu , Vennamalai Manmangalam Taluk  , KARUR , 639006</v>
          </cell>
          <cell r="Y473">
            <v>45106</v>
          </cell>
          <cell r="Z473" t="str">
            <v>NA</v>
          </cell>
          <cell r="AB473" t="str">
            <v>NA</v>
          </cell>
          <cell r="AF473" t="str">
            <v>NA</v>
          </cell>
          <cell r="AK473">
            <v>45184</v>
          </cell>
          <cell r="AL473" t="str">
            <v>Received</v>
          </cell>
          <cell r="AO473">
            <v>3</v>
          </cell>
          <cell r="AS473">
            <v>-3</v>
          </cell>
          <cell r="AU473">
            <v>4</v>
          </cell>
          <cell r="AY473">
            <v>-4</v>
          </cell>
          <cell r="BA473">
            <v>5</v>
          </cell>
          <cell r="BE473">
            <v>-5</v>
          </cell>
          <cell r="BG473">
            <v>5</v>
          </cell>
          <cell r="BK473">
            <v>-5</v>
          </cell>
          <cell r="BM473">
            <v>3</v>
          </cell>
          <cell r="BP473">
            <v>3</v>
          </cell>
          <cell r="BW473" t="str">
            <v>Done</v>
          </cell>
          <cell r="BX473">
            <v>45079</v>
          </cell>
          <cell r="BY473" t="str">
            <v>Approved</v>
          </cell>
          <cell r="CD473">
            <v>45103</v>
          </cell>
          <cell r="CE473">
            <v>45118</v>
          </cell>
          <cell r="CG473" t="str">
            <v>M/s HANU Construction</v>
          </cell>
          <cell r="CI473" t="str">
            <v>Issued</v>
          </cell>
          <cell r="DG473" t="str">
            <v>Netmed SDP - Not in Dead Rental</v>
          </cell>
          <cell r="DK473">
            <v>45129</v>
          </cell>
          <cell r="DM473">
            <v>2</v>
          </cell>
          <cell r="DN473" t="str">
            <v>0 to 3 Days</v>
          </cell>
          <cell r="DP473">
            <v>45121</v>
          </cell>
          <cell r="DQ473">
            <v>45131</v>
          </cell>
          <cell r="DR473">
            <v>7</v>
          </cell>
          <cell r="DS473">
            <v>7</v>
          </cell>
          <cell r="DU473">
            <v>45138</v>
          </cell>
          <cell r="DV473">
            <v>45128</v>
          </cell>
          <cell r="DW473">
            <v>45138</v>
          </cell>
          <cell r="DX473" t="str">
            <v>July 23 Week 5</v>
          </cell>
          <cell r="DY473" t="str">
            <v>30-07-2023
01-08-2023</v>
          </cell>
          <cell r="DZ473">
            <v>45139</v>
          </cell>
          <cell r="EA473" t="str">
            <v>Aug 23 Week 1</v>
          </cell>
          <cell r="EB473" t="str">
            <v>Backlog</v>
          </cell>
          <cell r="ED473" t="str">
            <v/>
          </cell>
          <cell r="EE473" t="str">
            <v/>
          </cell>
          <cell r="EF473">
            <v>1</v>
          </cell>
          <cell r="EG473">
            <v>1</v>
          </cell>
          <cell r="FD473">
            <v>1</v>
          </cell>
          <cell r="FE473" t="str">
            <v>0 to 3 Days</v>
          </cell>
          <cell r="FF473">
            <v>11</v>
          </cell>
          <cell r="FG473" t="str">
            <v>8 to 15 Days</v>
          </cell>
          <cell r="FH473" t="str">
            <v>Done</v>
          </cell>
          <cell r="FJ473" t="str">
            <v>NA</v>
          </cell>
          <cell r="FK473">
            <v>45456</v>
          </cell>
          <cell r="FM473" t="str">
            <v/>
          </cell>
          <cell r="GA473">
            <v>45321</v>
          </cell>
          <cell r="GC473">
            <v>45131</v>
          </cell>
          <cell r="GG473" t="str">
            <v>2023-2024</v>
          </cell>
        </row>
        <row r="474">
          <cell r="E474" t="str">
            <v>Mouza Madha Sahapur Jl 110 PO  , Uttar Dinajpur , Sahapur PS Gaolpukur Sahapur  , Sahapur , 733210</v>
          </cell>
          <cell r="F474" t="str">
            <v>9. EPC Ready</v>
          </cell>
          <cell r="G474" t="str">
            <v>SPWBSAM3698</v>
          </cell>
          <cell r="H474" t="str">
            <v>WB-SM-SAH-3000</v>
          </cell>
          <cell r="I474" t="str">
            <v>TYTB</v>
          </cell>
          <cell r="J474" t="str">
            <v>QB1F</v>
          </cell>
          <cell r="K474" t="str">
            <v xml:space="preserve">E </v>
          </cell>
          <cell r="L474" t="str">
            <v>SD</v>
          </cell>
          <cell r="M474" t="str">
            <v>EPC Ready</v>
          </cell>
          <cell r="N474" t="str">
            <v>Mahendrakumar Warma</v>
          </cell>
          <cell r="O474" t="str">
            <v xml:space="preserve">Sandeepta Gayen </v>
          </cell>
          <cell r="P474" t="str">
            <v>Sagar Neyogi-7980192700</v>
          </cell>
          <cell r="Q474" t="str">
            <v>Gaurav Shinde</v>
          </cell>
          <cell r="S474" t="str">
            <v>West Bengal</v>
          </cell>
          <cell r="T474" t="str">
            <v>Sahapur</v>
          </cell>
          <cell r="U474" t="str">
            <v>Non Premium</v>
          </cell>
          <cell r="V474" t="str">
            <v>Pharma Format</v>
          </cell>
          <cell r="W474">
            <v>401</v>
          </cell>
          <cell r="X474" t="str">
            <v>Mouza Madha Sahapur Jl 110 PO  , Uttar Dinajpur , Sahapur PS Gaolpukur Sahapur  , Sahapur , 733210</v>
          </cell>
          <cell r="Y474">
            <v>45159</v>
          </cell>
          <cell r="Z474" t="str">
            <v>NA</v>
          </cell>
          <cell r="AB474" t="str">
            <v>NA</v>
          </cell>
          <cell r="AF474" t="str">
            <v>NA</v>
          </cell>
          <cell r="AK474">
            <v>45147</v>
          </cell>
          <cell r="AL474" t="str">
            <v>Received</v>
          </cell>
          <cell r="AO474">
            <v>3</v>
          </cell>
          <cell r="AS474">
            <v>-3</v>
          </cell>
          <cell r="AU474">
            <v>4</v>
          </cell>
          <cell r="AY474">
            <v>-4</v>
          </cell>
          <cell r="BA474">
            <v>5</v>
          </cell>
          <cell r="BE474">
            <v>-5</v>
          </cell>
          <cell r="BG474">
            <v>5</v>
          </cell>
          <cell r="BK474">
            <v>-5</v>
          </cell>
          <cell r="BM474">
            <v>3</v>
          </cell>
          <cell r="BP474">
            <v>3</v>
          </cell>
          <cell r="BW474" t="str">
            <v>Done</v>
          </cell>
          <cell r="BX474">
            <v>45079</v>
          </cell>
          <cell r="BY474" t="str">
            <v>Approved</v>
          </cell>
          <cell r="CD474">
            <v>45162</v>
          </cell>
          <cell r="CE474">
            <v>45167</v>
          </cell>
          <cell r="CG474" t="str">
            <v>M/s. 3DESIRE NETWORKS AND SOLUTIONS</v>
          </cell>
          <cell r="CI474" t="str">
            <v>Issued</v>
          </cell>
          <cell r="DG474" t="str">
            <v>Netmed SDP - Not in Dead Rental</v>
          </cell>
          <cell r="DK474">
            <v>45197</v>
          </cell>
          <cell r="DL474">
            <v>45167</v>
          </cell>
          <cell r="DM474">
            <v>2</v>
          </cell>
          <cell r="DN474" t="str">
            <v>0 to 3 Days</v>
          </cell>
          <cell r="DP474">
            <v>45170</v>
          </cell>
          <cell r="DQ474">
            <v>45199</v>
          </cell>
          <cell r="DR474">
            <v>7</v>
          </cell>
          <cell r="DS474">
            <v>7</v>
          </cell>
          <cell r="DU474">
            <v>45206</v>
          </cell>
          <cell r="DV474">
            <v>45177</v>
          </cell>
          <cell r="DW474">
            <v>45206</v>
          </cell>
          <cell r="DX474" t="str">
            <v>Oct 23 Week 1</v>
          </cell>
          <cell r="DZ474">
            <v>45231</v>
          </cell>
          <cell r="EA474" t="str">
            <v>Nov 23 Week 1</v>
          </cell>
          <cell r="EB474" t="str">
            <v>Backlog</v>
          </cell>
          <cell r="ED474" t="str">
            <v/>
          </cell>
          <cell r="EE474" t="str">
            <v/>
          </cell>
          <cell r="EF474">
            <v>1</v>
          </cell>
          <cell r="EG474">
            <v>1</v>
          </cell>
          <cell r="FD474">
            <v>25</v>
          </cell>
          <cell r="FE474" t="str">
            <v>16 to 31 Days</v>
          </cell>
          <cell r="FF474">
            <v>54</v>
          </cell>
          <cell r="FG474" t="str">
            <v>31 to 61 Days</v>
          </cell>
          <cell r="FH474" t="str">
            <v>Done</v>
          </cell>
          <cell r="FI474" t="str">
            <v>Done</v>
          </cell>
          <cell r="FJ474" t="str">
            <v>NA</v>
          </cell>
          <cell r="FK474">
            <v>45232</v>
          </cell>
          <cell r="FM474" t="str">
            <v/>
          </cell>
          <cell r="GA474">
            <v>45231</v>
          </cell>
          <cell r="GC474">
            <v>45199</v>
          </cell>
          <cell r="GG474" t="str">
            <v>2023-2024</v>
          </cell>
        </row>
        <row r="475">
          <cell r="E475" t="str">
            <v>GF 03 Kezieke Colony  ,  , Dist - Kohima  , KOHIMA , 797001</v>
          </cell>
          <cell r="F475" t="str">
            <v>9. EPC Ready</v>
          </cell>
          <cell r="G475" t="str">
            <v>SPNLKOL3932</v>
          </cell>
          <cell r="H475" t="str">
            <v>WB-SM-KOH-3002</v>
          </cell>
          <cell r="I475" t="str">
            <v>TYMA</v>
          </cell>
          <cell r="J475" t="str">
            <v>QBSL</v>
          </cell>
          <cell r="K475" t="str">
            <v xml:space="preserve">E </v>
          </cell>
          <cell r="L475" t="str">
            <v>SD</v>
          </cell>
          <cell r="M475" t="str">
            <v>EPC Ready</v>
          </cell>
          <cell r="N475" t="str">
            <v>Mahendrakumar Warma</v>
          </cell>
          <cell r="O475" t="str">
            <v>Anup das (EXCEPT SIKKIM)</v>
          </cell>
          <cell r="P475" t="str">
            <v>Shubham Rai-6003901308</v>
          </cell>
          <cell r="Q475" t="str">
            <v>Gaurav Shinde</v>
          </cell>
          <cell r="S475" t="str">
            <v>North East</v>
          </cell>
          <cell r="T475" t="str">
            <v>KOHIMA</v>
          </cell>
          <cell r="U475" t="str">
            <v>Non Premium</v>
          </cell>
          <cell r="V475" t="str">
            <v>Pharma Format</v>
          </cell>
          <cell r="W475">
            <v>401</v>
          </cell>
          <cell r="X475" t="str">
            <v>GF 03 Kezieke Colony  ,  , Dist - Kohima  , KOHIMA , 797001</v>
          </cell>
          <cell r="Y475">
            <v>45166</v>
          </cell>
          <cell r="Z475" t="str">
            <v>NA</v>
          </cell>
          <cell r="AB475" t="str">
            <v>NA</v>
          </cell>
          <cell r="AF475" t="str">
            <v>NA</v>
          </cell>
          <cell r="AK475">
            <v>45164</v>
          </cell>
          <cell r="AL475" t="str">
            <v>Received</v>
          </cell>
          <cell r="AO475">
            <v>3</v>
          </cell>
          <cell r="AS475">
            <v>-3</v>
          </cell>
          <cell r="AU475">
            <v>4</v>
          </cell>
          <cell r="AY475">
            <v>-4</v>
          </cell>
          <cell r="BA475">
            <v>5</v>
          </cell>
          <cell r="BE475">
            <v>-5</v>
          </cell>
          <cell r="BG475">
            <v>5</v>
          </cell>
          <cell r="BK475">
            <v>-5</v>
          </cell>
          <cell r="BM475">
            <v>3</v>
          </cell>
          <cell r="BP475">
            <v>3</v>
          </cell>
          <cell r="BW475" t="str">
            <v>Done</v>
          </cell>
          <cell r="BX475">
            <v>45079</v>
          </cell>
          <cell r="BY475" t="str">
            <v>Approved</v>
          </cell>
          <cell r="CD475">
            <v>45163</v>
          </cell>
          <cell r="CE475">
            <v>45177</v>
          </cell>
          <cell r="CG475" t="str">
            <v>M/s. STAR SOLUTIONS</v>
          </cell>
          <cell r="CI475" t="str">
            <v>Issued</v>
          </cell>
          <cell r="DG475" t="str">
            <v>Netmed SDP - Not in Dead Rental</v>
          </cell>
          <cell r="DK475">
            <v>45209</v>
          </cell>
          <cell r="DL475">
            <v>45176</v>
          </cell>
          <cell r="DM475">
            <v>2</v>
          </cell>
          <cell r="DN475" t="str">
            <v>0 to 3 Days</v>
          </cell>
          <cell r="DP475">
            <v>45180</v>
          </cell>
          <cell r="DQ475">
            <v>45211</v>
          </cell>
          <cell r="DR475">
            <v>7</v>
          </cell>
          <cell r="DS475">
            <v>7</v>
          </cell>
          <cell r="DU475">
            <v>45218</v>
          </cell>
          <cell r="DV475">
            <v>45187</v>
          </cell>
          <cell r="DW475">
            <v>45218</v>
          </cell>
          <cell r="DX475" t="str">
            <v>Oct 23 Week 3</v>
          </cell>
          <cell r="DZ475">
            <v>45235</v>
          </cell>
          <cell r="EA475" t="str">
            <v>Nov 23 Week 1</v>
          </cell>
          <cell r="EB475" t="str">
            <v>Backlog</v>
          </cell>
          <cell r="ED475" t="str">
            <v/>
          </cell>
          <cell r="EE475" t="str">
            <v/>
          </cell>
          <cell r="EF475">
            <v>1</v>
          </cell>
          <cell r="EG475">
            <v>1</v>
          </cell>
          <cell r="FD475">
            <v>17</v>
          </cell>
          <cell r="FE475" t="str">
            <v>16 to 31 Days</v>
          </cell>
          <cell r="FF475">
            <v>48</v>
          </cell>
          <cell r="FG475" t="str">
            <v>31 to 61 Days</v>
          </cell>
          <cell r="FH475" t="str">
            <v>Done</v>
          </cell>
          <cell r="FI475" t="str">
            <v>Done</v>
          </cell>
          <cell r="FJ475" t="str">
            <v>NA</v>
          </cell>
          <cell r="FK475">
            <v>45237</v>
          </cell>
          <cell r="FM475" t="str">
            <v/>
          </cell>
          <cell r="GA475">
            <v>45235</v>
          </cell>
          <cell r="GC475">
            <v>45211</v>
          </cell>
          <cell r="GG475" t="str">
            <v>2023-2024</v>
          </cell>
        </row>
        <row r="476">
          <cell r="E476" t="str">
            <v>GF, Mouza - Sarath, Thana No 132  , PS &amp; Dist - Deoghar , Plot No 1862, Jamabandi No 274 A  , SARATH , 814149</v>
          </cell>
          <cell r="F476" t="str">
            <v>9. EPC Ready</v>
          </cell>
          <cell r="G476" t="str">
            <v>SPJHSAR4297</v>
          </cell>
          <cell r="H476" t="str">
            <v>JH-SM-SRT-3000</v>
          </cell>
          <cell r="I476" t="str">
            <v>TAOJ</v>
          </cell>
          <cell r="J476" t="str">
            <v>QF4M</v>
          </cell>
          <cell r="K476" t="str">
            <v xml:space="preserve">E </v>
          </cell>
          <cell r="L476" t="str">
            <v>AK</v>
          </cell>
          <cell r="M476" t="str">
            <v>EPC Ready</v>
          </cell>
          <cell r="Q476" t="str">
            <v>Gaurav Shinde</v>
          </cell>
          <cell r="S476" t="str">
            <v>Jharkhand</v>
          </cell>
          <cell r="T476" t="str">
            <v>Sarath</v>
          </cell>
          <cell r="U476" t="str">
            <v>Non Premium</v>
          </cell>
          <cell r="V476" t="str">
            <v>Pharma Format</v>
          </cell>
          <cell r="W476">
            <v>417</v>
          </cell>
          <cell r="X476" t="str">
            <v>GF, Mouza - Sarath, Thana No 132  , PS &amp; Dist - Deoghar , Plot No 1862, Jamabandi No 274 A  , SARATH , 814149</v>
          </cell>
          <cell r="Y476">
            <v>45166</v>
          </cell>
          <cell r="Z476" t="str">
            <v>NA</v>
          </cell>
          <cell r="AB476" t="str">
            <v>NA</v>
          </cell>
          <cell r="AF476" t="str">
            <v>NA</v>
          </cell>
          <cell r="AK476">
            <v>45187</v>
          </cell>
          <cell r="AL476" t="str">
            <v>Received</v>
          </cell>
          <cell r="AO476">
            <v>3</v>
          </cell>
          <cell r="AS476">
            <v>-3</v>
          </cell>
          <cell r="AU476">
            <v>4</v>
          </cell>
          <cell r="AY476">
            <v>-4</v>
          </cell>
          <cell r="BA476">
            <v>5</v>
          </cell>
          <cell r="BE476">
            <v>-5</v>
          </cell>
          <cell r="BG476">
            <v>5</v>
          </cell>
          <cell r="BK476">
            <v>-5</v>
          </cell>
          <cell r="BM476">
            <v>3</v>
          </cell>
          <cell r="BP476">
            <v>3</v>
          </cell>
          <cell r="BW476" t="str">
            <v>Done</v>
          </cell>
          <cell r="BX476">
            <v>45079</v>
          </cell>
          <cell r="BY476" t="str">
            <v>Approved</v>
          </cell>
          <cell r="CD476">
            <v>45163</v>
          </cell>
          <cell r="CE476">
            <v>45174</v>
          </cell>
          <cell r="CG476" t="str">
            <v xml:space="preserve">
M/S S K ENTERPIRSES
</v>
          </cell>
          <cell r="CI476" t="str">
            <v>Issued</v>
          </cell>
          <cell r="DG476" t="str">
            <v>Netmed SDP - Not in Dead Rental</v>
          </cell>
          <cell r="DK476">
            <v>45195</v>
          </cell>
          <cell r="DM476">
            <v>2</v>
          </cell>
          <cell r="DN476" t="str">
            <v>0 to 3 Days</v>
          </cell>
          <cell r="DP476">
            <v>45177</v>
          </cell>
          <cell r="DQ476">
            <v>45197</v>
          </cell>
          <cell r="DR476">
            <v>7</v>
          </cell>
          <cell r="DS476">
            <v>7</v>
          </cell>
          <cell r="DU476">
            <v>45204</v>
          </cell>
          <cell r="DV476">
            <v>45184</v>
          </cell>
          <cell r="DW476">
            <v>45204</v>
          </cell>
          <cell r="DX476" t="str">
            <v>Oct 23 Week 1</v>
          </cell>
          <cell r="DZ476">
            <v>45251</v>
          </cell>
          <cell r="EA476" t="str">
            <v>Nov 23 Week 3</v>
          </cell>
          <cell r="EB476" t="str">
            <v>Backlog</v>
          </cell>
          <cell r="ED476" t="str">
            <v/>
          </cell>
          <cell r="EE476" t="str">
            <v/>
          </cell>
          <cell r="EF476">
            <v>1</v>
          </cell>
          <cell r="EG476">
            <v>1</v>
          </cell>
          <cell r="FD476">
            <v>47</v>
          </cell>
          <cell r="FE476" t="str">
            <v>31 to 61 Days</v>
          </cell>
          <cell r="FF476">
            <v>67</v>
          </cell>
          <cell r="FG476" t="str">
            <v>62 to 90 Days</v>
          </cell>
          <cell r="FH476" t="str">
            <v>Done</v>
          </cell>
          <cell r="FI476" t="str">
            <v>Done</v>
          </cell>
          <cell r="FJ476" t="str">
            <v>NA</v>
          </cell>
          <cell r="FK476">
            <v>45278</v>
          </cell>
          <cell r="FM476" t="str">
            <v/>
          </cell>
          <cell r="GA476">
            <v>45251</v>
          </cell>
          <cell r="GC476">
            <v>45197</v>
          </cell>
          <cell r="GG476" t="str">
            <v>2023-2024</v>
          </cell>
        </row>
        <row r="477">
          <cell r="E477" t="str">
            <v>Ellikal Tower  , Po Kolathur Malappuram , Opposite Bus Stand Kolathur  , Kolathu , 679338</v>
          </cell>
          <cell r="F477" t="str">
            <v>14. Dropped</v>
          </cell>
          <cell r="G477" t="str">
            <v>SPKLMAE3607</v>
          </cell>
          <cell r="H477" t="str">
            <v>KE-SM-KLH-3000</v>
          </cell>
          <cell r="I477" t="str">
            <v>TYLD</v>
          </cell>
          <cell r="J477" t="str">
            <v>QBRO</v>
          </cell>
          <cell r="K477" t="str">
            <v>S</v>
          </cell>
          <cell r="L477" t="str">
            <v>AK</v>
          </cell>
          <cell r="M477" t="str">
            <v>Dropped</v>
          </cell>
          <cell r="N477" t="str">
            <v>N Kalyankumar</v>
          </cell>
          <cell r="O477" t="str">
            <v>Jose Loviece</v>
          </cell>
          <cell r="Q477" t="str">
            <v>Gaurav Shinde</v>
          </cell>
          <cell r="S477" t="str">
            <v>Kerala</v>
          </cell>
          <cell r="T477" t="str">
            <v>KOLATHUR</v>
          </cell>
          <cell r="U477" t="str">
            <v>Non Premium</v>
          </cell>
          <cell r="V477" t="str">
            <v>Pharma Format</v>
          </cell>
          <cell r="W477">
            <v>422</v>
          </cell>
          <cell r="X477" t="str">
            <v>Ellikal Tower  , Po Kolathur Malappuram , Opposite Bus Stand Kolathur  , Kolathu , 679338</v>
          </cell>
          <cell r="Z477" t="str">
            <v>NA</v>
          </cell>
          <cell r="AB477" t="str">
            <v>NA</v>
          </cell>
          <cell r="AF477" t="str">
            <v>NA</v>
          </cell>
          <cell r="AL477" t="str">
            <v>NA</v>
          </cell>
          <cell r="AO477">
            <v>3</v>
          </cell>
          <cell r="AS477">
            <v>-3</v>
          </cell>
          <cell r="AU477">
            <v>4</v>
          </cell>
          <cell r="AY477">
            <v>-4</v>
          </cell>
          <cell r="BA477">
            <v>5</v>
          </cell>
          <cell r="BE477">
            <v>-5</v>
          </cell>
          <cell r="BG477">
            <v>5</v>
          </cell>
          <cell r="BK477">
            <v>-5</v>
          </cell>
          <cell r="BM477">
            <v>3</v>
          </cell>
          <cell r="BP477">
            <v>3</v>
          </cell>
          <cell r="BW477" t="str">
            <v>Done</v>
          </cell>
          <cell r="BX477">
            <v>45079</v>
          </cell>
          <cell r="BY477" t="str">
            <v>Approved</v>
          </cell>
          <cell r="CD477">
            <v>45163</v>
          </cell>
          <cell r="DG477" t="str">
            <v>Netmed SDP - Not in Dead Rental</v>
          </cell>
          <cell r="DM477" t="str">
            <v>NA</v>
          </cell>
          <cell r="DN477" t="str">
            <v>NA</v>
          </cell>
          <cell r="DR477">
            <v>7</v>
          </cell>
          <cell r="DS477">
            <v>7</v>
          </cell>
          <cell r="DU477">
            <v>7</v>
          </cell>
          <cell r="DV477">
            <v>7</v>
          </cell>
          <cell r="DW477">
            <v>7</v>
          </cell>
          <cell r="EA477" t="str">
            <v/>
          </cell>
          <cell r="ED477" t="str">
            <v/>
          </cell>
          <cell r="EE477" t="str">
            <v/>
          </cell>
          <cell r="EF477">
            <v>1</v>
          </cell>
          <cell r="FD477">
            <v>46114</v>
          </cell>
          <cell r="FF477">
            <v>46114</v>
          </cell>
          <cell r="FJ477" t="str">
            <v>NA</v>
          </cell>
          <cell r="FM477" t="str">
            <v/>
          </cell>
          <cell r="GG477" t="str">
            <v>2024-2025</v>
          </cell>
        </row>
        <row r="478">
          <cell r="E478" t="str">
            <v>GF, Atghara  , Madarat road, Baruipur, , Opp South Calcutta Polytechnique college , South 24 Paraganas , Kolkata , 743610</v>
          </cell>
          <cell r="F478" t="str">
            <v>14. Dropped</v>
          </cell>
          <cell r="G478" t="str">
            <v>SPWBAA2393</v>
          </cell>
          <cell r="H478" t="str">
            <v>WB-SM-KOL-3064</v>
          </cell>
          <cell r="I478" t="str">
            <v>TWCM</v>
          </cell>
          <cell r="J478" t="str">
            <v>Q6OX</v>
          </cell>
          <cell r="K478" t="str">
            <v xml:space="preserve">E </v>
          </cell>
          <cell r="L478" t="str">
            <v>SD</v>
          </cell>
          <cell r="M478" t="str">
            <v>Dropped</v>
          </cell>
          <cell r="N478" t="str">
            <v>Mahendrakumar Warma</v>
          </cell>
          <cell r="O478" t="str">
            <v xml:space="preserve">Sandeepta Gayen </v>
          </cell>
          <cell r="Q478" t="str">
            <v>Gaurav Shinde</v>
          </cell>
          <cell r="S478" t="str">
            <v>West Bengal</v>
          </cell>
          <cell r="T478" t="str">
            <v>Kolkata</v>
          </cell>
          <cell r="U478" t="str">
            <v>Non Premium</v>
          </cell>
          <cell r="V478" t="str">
            <v>Pharma Format</v>
          </cell>
          <cell r="W478">
            <v>400</v>
          </cell>
          <cell r="X478" t="str">
            <v>GF, Atghara  , Madarat road, Baruipur, , Opp South Calcutta Polytechnique college , South 24 Paraganas , Kolkata , 743610</v>
          </cell>
          <cell r="Y478">
            <v>45163</v>
          </cell>
          <cell r="Z478" t="str">
            <v>NA</v>
          </cell>
          <cell r="AB478" t="str">
            <v>NA</v>
          </cell>
          <cell r="AF478" t="str">
            <v>NA</v>
          </cell>
          <cell r="AK478">
            <v>45150</v>
          </cell>
          <cell r="AL478" t="str">
            <v>Received</v>
          </cell>
          <cell r="AO478">
            <v>3</v>
          </cell>
          <cell r="AS478">
            <v>-3</v>
          </cell>
          <cell r="AU478">
            <v>4</v>
          </cell>
          <cell r="AY478">
            <v>-4</v>
          </cell>
          <cell r="BA478">
            <v>5</v>
          </cell>
          <cell r="BE478">
            <v>-5</v>
          </cell>
          <cell r="BG478">
            <v>5</v>
          </cell>
          <cell r="BK478">
            <v>-5</v>
          </cell>
          <cell r="BM478">
            <v>3</v>
          </cell>
          <cell r="BP478">
            <v>3</v>
          </cell>
          <cell r="BW478" t="str">
            <v>Done</v>
          </cell>
          <cell r="BX478">
            <v>45079</v>
          </cell>
          <cell r="BY478" t="str">
            <v>Approved</v>
          </cell>
          <cell r="CD478">
            <v>45162</v>
          </cell>
          <cell r="CG478" t="str">
            <v>M/s. ELECTROLEC ENTERPRISE</v>
          </cell>
          <cell r="DG478" t="str">
            <v>Netmed SDP - Not in Dead Rental</v>
          </cell>
          <cell r="DL478">
            <v>45195</v>
          </cell>
          <cell r="DM478" t="str">
            <v>NA</v>
          </cell>
          <cell r="DN478" t="str">
            <v>NA</v>
          </cell>
          <cell r="DR478">
            <v>7</v>
          </cell>
          <cell r="DS478">
            <v>7</v>
          </cell>
          <cell r="DU478">
            <v>7</v>
          </cell>
          <cell r="DV478">
            <v>7</v>
          </cell>
          <cell r="DW478">
            <v>7</v>
          </cell>
          <cell r="EA478" t="str">
            <v/>
          </cell>
          <cell r="ED478" t="str">
            <v/>
          </cell>
          <cell r="EE478" t="str">
            <v/>
          </cell>
          <cell r="EF478">
            <v>1</v>
          </cell>
          <cell r="FD478">
            <v>46114</v>
          </cell>
          <cell r="FF478">
            <v>46114</v>
          </cell>
          <cell r="FJ478" t="str">
            <v>NA</v>
          </cell>
          <cell r="FM478" t="str">
            <v/>
          </cell>
          <cell r="GG478" t="str">
            <v>2024-2025</v>
          </cell>
        </row>
        <row r="479">
          <cell r="E479" t="str">
            <v>Kadaottil Enclave Kollam  , Kollakadavu Alappuzha , Theni Highway Near Sanjivani Hospital  , KOLLAKADAVU , 690509</v>
          </cell>
          <cell r="F479" t="str">
            <v>9. EPC Ready</v>
          </cell>
          <cell r="G479" t="str">
            <v>SPKLAlK4224</v>
          </cell>
          <cell r="H479" t="str">
            <v>KE-SM-KKD-3000</v>
          </cell>
          <cell r="I479" t="str">
            <v>TYWM</v>
          </cell>
          <cell r="J479" t="str">
            <v>QB4Q</v>
          </cell>
          <cell r="K479" t="str">
            <v>S</v>
          </cell>
          <cell r="L479" t="str">
            <v>AK</v>
          </cell>
          <cell r="M479" t="str">
            <v>EPC Ready</v>
          </cell>
          <cell r="N479" t="str">
            <v>N Kalyankumar</v>
          </cell>
          <cell r="O479" t="str">
            <v>Jose Loviece</v>
          </cell>
          <cell r="Q479" t="str">
            <v>Gaurav Shinde</v>
          </cell>
          <cell r="S479" t="str">
            <v>Kerala</v>
          </cell>
          <cell r="T479" t="str">
            <v>KOLLAKADAVU</v>
          </cell>
          <cell r="U479" t="str">
            <v>Non Premium</v>
          </cell>
          <cell r="V479" t="str">
            <v>Pharma Format</v>
          </cell>
          <cell r="W479">
            <v>400</v>
          </cell>
          <cell r="X479" t="str">
            <v>Kadaottil Enclave Kollam  , Kollakadavu Alappuzha , Theni Highway Near Sanjivani Hospital  , KOLLAKADAVU , 690509</v>
          </cell>
          <cell r="Y479">
            <v>45166</v>
          </cell>
          <cell r="Z479" t="str">
            <v>NA</v>
          </cell>
          <cell r="AB479" t="str">
            <v>NA</v>
          </cell>
          <cell r="AF479" t="str">
            <v>NA</v>
          </cell>
          <cell r="AK479">
            <v>45164</v>
          </cell>
          <cell r="AL479" t="str">
            <v>Received</v>
          </cell>
          <cell r="AO479">
            <v>3</v>
          </cell>
          <cell r="AS479">
            <v>-3</v>
          </cell>
          <cell r="AU479">
            <v>4</v>
          </cell>
          <cell r="AY479">
            <v>-4</v>
          </cell>
          <cell r="BA479">
            <v>5</v>
          </cell>
          <cell r="BE479">
            <v>-5</v>
          </cell>
          <cell r="BG479">
            <v>5</v>
          </cell>
          <cell r="BK479">
            <v>-5</v>
          </cell>
          <cell r="BM479">
            <v>3</v>
          </cell>
          <cell r="BP479">
            <v>3</v>
          </cell>
          <cell r="BW479" t="str">
            <v>Done</v>
          </cell>
          <cell r="BX479">
            <v>45079</v>
          </cell>
          <cell r="BY479" t="str">
            <v>Approved</v>
          </cell>
          <cell r="CD479">
            <v>45163</v>
          </cell>
          <cell r="CE479">
            <v>45194</v>
          </cell>
          <cell r="CG479" t="str">
            <v>M/s. Arselex Engineering</v>
          </cell>
          <cell r="CI479" t="str">
            <v>Issued</v>
          </cell>
          <cell r="DG479" t="str">
            <v>Netmed SDP - Not in Dead Rental</v>
          </cell>
          <cell r="DK479">
            <v>45202</v>
          </cell>
          <cell r="DL479">
            <v>45170</v>
          </cell>
          <cell r="DM479">
            <v>2</v>
          </cell>
          <cell r="DN479" t="str">
            <v>0 to 3 Days</v>
          </cell>
          <cell r="DP479">
            <v>45197</v>
          </cell>
          <cell r="DQ479">
            <v>45204</v>
          </cell>
          <cell r="DR479">
            <v>7</v>
          </cell>
          <cell r="DS479">
            <v>7</v>
          </cell>
          <cell r="DU479">
            <v>45211</v>
          </cell>
          <cell r="DV479">
            <v>45204</v>
          </cell>
          <cell r="DW479">
            <v>45211</v>
          </cell>
          <cell r="DX479" t="str">
            <v>Oct 23 Week 2</v>
          </cell>
          <cell r="DZ479">
            <v>45229</v>
          </cell>
          <cell r="EA479" t="str">
            <v>Oct 23 Week 5</v>
          </cell>
          <cell r="EB479" t="str">
            <v>Backlog</v>
          </cell>
          <cell r="ED479" t="str">
            <v/>
          </cell>
          <cell r="EE479" t="str">
            <v/>
          </cell>
          <cell r="EF479">
            <v>1</v>
          </cell>
          <cell r="EG479">
            <v>1</v>
          </cell>
          <cell r="FD479">
            <v>18</v>
          </cell>
          <cell r="FE479" t="str">
            <v>16 to 31 Days</v>
          </cell>
          <cell r="FF479">
            <v>25</v>
          </cell>
          <cell r="FG479" t="str">
            <v>16 to 31 Days</v>
          </cell>
          <cell r="FH479" t="str">
            <v>Done</v>
          </cell>
          <cell r="FI479" t="str">
            <v>Done</v>
          </cell>
          <cell r="FJ479" t="str">
            <v>NA</v>
          </cell>
          <cell r="FK479">
            <v>45307</v>
          </cell>
          <cell r="FM479" t="str">
            <v/>
          </cell>
          <cell r="GA479">
            <v>45229</v>
          </cell>
          <cell r="GC479">
            <v>45204</v>
          </cell>
          <cell r="GG479" t="str">
            <v>2023-2024</v>
          </cell>
        </row>
        <row r="480">
          <cell r="E480" t="str">
            <v>Sreekrishnajyothi Arcade  , Paravur Kollam , Near Sn Vrc Bank  , KOLLAM , 691301</v>
          </cell>
          <cell r="F480" t="str">
            <v>14. Dropped</v>
          </cell>
          <cell r="G480" t="str">
            <v>SPKLKOS4291</v>
          </cell>
          <cell r="H480" t="str">
            <v>KE-SM-KOL-3008</v>
          </cell>
          <cell r="I480" t="str">
            <v>TZKU</v>
          </cell>
          <cell r="J480" t="str">
            <v>QC7J</v>
          </cell>
          <cell r="K480" t="str">
            <v>S</v>
          </cell>
          <cell r="L480" t="str">
            <v>AK</v>
          </cell>
          <cell r="M480" t="str">
            <v>Dropped</v>
          </cell>
          <cell r="N480" t="str">
            <v>N Kalyankumar</v>
          </cell>
          <cell r="O480" t="str">
            <v>Jose Loviece</v>
          </cell>
          <cell r="Q480" t="str">
            <v>Gaurav Shinde</v>
          </cell>
          <cell r="S480" t="str">
            <v>Kerala</v>
          </cell>
          <cell r="T480" t="str">
            <v>Kollam</v>
          </cell>
          <cell r="U480" t="str">
            <v>Non Premium</v>
          </cell>
          <cell r="V480" t="str">
            <v>Pharma Format</v>
          </cell>
          <cell r="W480">
            <v>400</v>
          </cell>
          <cell r="X480" t="str">
            <v>Sreekrishnajyothi Arcade  , Paravur Kollam , Near Sn Vrc Bank  , KOLLAM , 691301</v>
          </cell>
          <cell r="Z480" t="str">
            <v>NA</v>
          </cell>
          <cell r="AB480" t="str">
            <v>NA</v>
          </cell>
          <cell r="AF480" t="str">
            <v>NA</v>
          </cell>
          <cell r="AL480" t="str">
            <v>NA</v>
          </cell>
          <cell r="AO480">
            <v>3</v>
          </cell>
          <cell r="AS480">
            <v>-3</v>
          </cell>
          <cell r="AU480">
            <v>4</v>
          </cell>
          <cell r="AY480">
            <v>-4</v>
          </cell>
          <cell r="BA480">
            <v>5</v>
          </cell>
          <cell r="BE480">
            <v>-5</v>
          </cell>
          <cell r="BG480">
            <v>5</v>
          </cell>
          <cell r="BK480">
            <v>-5</v>
          </cell>
          <cell r="BM480">
            <v>3</v>
          </cell>
          <cell r="BP480">
            <v>3</v>
          </cell>
          <cell r="BW480" t="str">
            <v>Done</v>
          </cell>
          <cell r="BX480">
            <v>45079</v>
          </cell>
          <cell r="BY480" t="str">
            <v>Approved</v>
          </cell>
          <cell r="DG480" t="str">
            <v>Netmed SDP - Not in Dead Rental</v>
          </cell>
          <cell r="DM480" t="str">
            <v>NA</v>
          </cell>
          <cell r="DN480" t="str">
            <v>NA</v>
          </cell>
          <cell r="DR480">
            <v>7</v>
          </cell>
          <cell r="DS480">
            <v>7</v>
          </cell>
          <cell r="DU480">
            <v>7</v>
          </cell>
          <cell r="DV480">
            <v>7</v>
          </cell>
          <cell r="DW480">
            <v>7</v>
          </cell>
          <cell r="EA480" t="str">
            <v/>
          </cell>
          <cell r="ED480" t="str">
            <v/>
          </cell>
          <cell r="EE480" t="str">
            <v/>
          </cell>
          <cell r="EF480">
            <v>1</v>
          </cell>
          <cell r="FD480">
            <v>46114</v>
          </cell>
          <cell r="FF480">
            <v>46114</v>
          </cell>
          <cell r="FJ480" t="str">
            <v>NA</v>
          </cell>
          <cell r="FM480" t="str">
            <v/>
          </cell>
          <cell r="GG480" t="str">
            <v>2024-2025</v>
          </cell>
        </row>
        <row r="481">
          <cell r="E481" t="str">
            <v>GF Plot No 6008 Khata No 45  , Village &amp; PS - Jagdishpur, Dist-Sheohour , Jamabandi No 1348, Revenue Thana No 163  , SHEOHAR , 843316</v>
          </cell>
          <cell r="F481" t="str">
            <v>9. EPC Ready</v>
          </cell>
          <cell r="G481" t="str">
            <v>SPBHSHA3353</v>
          </cell>
          <cell r="H481" t="str">
            <v>BH-SM-SHO-3000</v>
          </cell>
          <cell r="I481" t="str">
            <v>TYHI</v>
          </cell>
          <cell r="J481" t="str">
            <v>QBMY</v>
          </cell>
          <cell r="K481" t="str">
            <v xml:space="preserve">E </v>
          </cell>
          <cell r="L481" t="str">
            <v>AK</v>
          </cell>
          <cell r="M481" t="str">
            <v>EPC Ready</v>
          </cell>
          <cell r="P481" t="str">
            <v xml:space="preserve">Avinandan Kumar </v>
          </cell>
          <cell r="Q481" t="str">
            <v>Gaurav Shinde</v>
          </cell>
          <cell r="S481" t="str">
            <v>Bihar</v>
          </cell>
          <cell r="T481" t="str">
            <v>Sheohar</v>
          </cell>
          <cell r="U481" t="str">
            <v>Non Premium</v>
          </cell>
          <cell r="V481" t="str">
            <v>Pharma Format</v>
          </cell>
          <cell r="W481">
            <v>401</v>
          </cell>
          <cell r="X481" t="str">
            <v>GF Plot No 6008 Khata No 45  , Village &amp; PS - Jagdishpur, Dist-Sheohour , Jamabandi No 1348, Revenue Thana No 163  , SHEOHAR , 843316</v>
          </cell>
          <cell r="Y481">
            <v>45166</v>
          </cell>
          <cell r="Z481" t="str">
            <v>NA</v>
          </cell>
          <cell r="AB481" t="str">
            <v>NA</v>
          </cell>
          <cell r="AF481" t="str">
            <v>NA</v>
          </cell>
          <cell r="AK481">
            <v>45163</v>
          </cell>
          <cell r="AL481" t="str">
            <v>Received</v>
          </cell>
          <cell r="AO481">
            <v>3</v>
          </cell>
          <cell r="AS481">
            <v>-3</v>
          </cell>
          <cell r="AU481">
            <v>4</v>
          </cell>
          <cell r="AY481">
            <v>-4</v>
          </cell>
          <cell r="BA481">
            <v>5</v>
          </cell>
          <cell r="BE481">
            <v>-5</v>
          </cell>
          <cell r="BG481">
            <v>5</v>
          </cell>
          <cell r="BK481">
            <v>-5</v>
          </cell>
          <cell r="BM481">
            <v>3</v>
          </cell>
          <cell r="BP481">
            <v>3</v>
          </cell>
          <cell r="BW481" t="str">
            <v>Done</v>
          </cell>
          <cell r="BX481">
            <v>45079</v>
          </cell>
          <cell r="BY481" t="str">
            <v>Approved</v>
          </cell>
          <cell r="CD481">
            <v>45163</v>
          </cell>
          <cell r="CE481">
            <v>45175</v>
          </cell>
          <cell r="CG481" t="str">
            <v xml:space="preserve">M/S Laxmi Enterprises </v>
          </cell>
          <cell r="CI481" t="str">
            <v>Issued</v>
          </cell>
          <cell r="DG481" t="str">
            <v>Netmed SDP - Not in Dead Rental</v>
          </cell>
          <cell r="DK481">
            <v>45204</v>
          </cell>
          <cell r="DL481">
            <v>45176</v>
          </cell>
          <cell r="DM481">
            <v>2</v>
          </cell>
          <cell r="DN481" t="str">
            <v>0 to 3 Days</v>
          </cell>
          <cell r="DP481">
            <v>45178</v>
          </cell>
          <cell r="DQ481">
            <v>45206</v>
          </cell>
          <cell r="DR481">
            <v>7</v>
          </cell>
          <cell r="DS481">
            <v>7</v>
          </cell>
          <cell r="DU481">
            <v>45213</v>
          </cell>
          <cell r="DV481">
            <v>45185</v>
          </cell>
          <cell r="DW481">
            <v>45213</v>
          </cell>
          <cell r="DX481" t="str">
            <v>Oct 23 Week 2</v>
          </cell>
          <cell r="DZ481">
            <v>45224</v>
          </cell>
          <cell r="EA481" t="str">
            <v>Oct 23 Week 4</v>
          </cell>
          <cell r="EB481" t="str">
            <v>Backlog</v>
          </cell>
          <cell r="ED481" t="str">
            <v/>
          </cell>
          <cell r="EE481" t="str">
            <v/>
          </cell>
          <cell r="EF481">
            <v>1</v>
          </cell>
          <cell r="EG481">
            <v>1</v>
          </cell>
          <cell r="FD481">
            <v>11</v>
          </cell>
          <cell r="FE481" t="str">
            <v>8 to 15 Days</v>
          </cell>
          <cell r="FF481">
            <v>39</v>
          </cell>
          <cell r="FG481" t="str">
            <v>31 to 61 Days</v>
          </cell>
          <cell r="FH481" t="str">
            <v>Done</v>
          </cell>
          <cell r="FI481" t="str">
            <v>Done</v>
          </cell>
          <cell r="FJ481" t="str">
            <v>NA</v>
          </cell>
          <cell r="FK481">
            <v>45224</v>
          </cell>
          <cell r="FM481" t="str">
            <v/>
          </cell>
          <cell r="GA481">
            <v>45224</v>
          </cell>
          <cell r="GC481">
            <v>45206</v>
          </cell>
          <cell r="GG481" t="str">
            <v>2023-2024</v>
          </cell>
        </row>
        <row r="482">
          <cell r="E482" t="str">
            <v>Gf Shop No 20 364 A9 To 20 364 A19  , Musliyarangadi Po Nediyiruppu , Evvy Mall Near Sub Rto Kondotty  , KONDOTTY , 673638</v>
          </cell>
          <cell r="F482" t="str">
            <v>9. EPC Ready</v>
          </cell>
          <cell r="G482" t="str">
            <v>SPKLMAE3595</v>
          </cell>
          <cell r="H482" t="str">
            <v>KE-SM-KDY-3001</v>
          </cell>
          <cell r="I482" t="str">
            <v>TDC4</v>
          </cell>
          <cell r="J482" t="str">
            <v>Q30S</v>
          </cell>
          <cell r="K482" t="str">
            <v>S</v>
          </cell>
          <cell r="L482" t="str">
            <v>AK</v>
          </cell>
          <cell r="M482" t="str">
            <v>EPC Ready</v>
          </cell>
          <cell r="N482" t="str">
            <v>N Kalyankumar</v>
          </cell>
          <cell r="O482" t="str">
            <v>Jose Loviece</v>
          </cell>
          <cell r="Q482" t="str">
            <v>Gaurav Shinde</v>
          </cell>
          <cell r="S482" t="str">
            <v>Kerala</v>
          </cell>
          <cell r="T482" t="str">
            <v>Kondotty</v>
          </cell>
          <cell r="U482" t="str">
            <v>Non Premium</v>
          </cell>
          <cell r="V482" t="str">
            <v>Pharma Format</v>
          </cell>
          <cell r="W482">
            <v>400</v>
          </cell>
          <cell r="X482" t="str">
            <v>Gf Shop No 20 364 A9 To 20 364 A19  , Musliyarangadi Po Nediyiruppu , Evvy Mall Near Sub Rto Kondotty  , KONDOTTY , 673638</v>
          </cell>
          <cell r="Y482">
            <v>45166</v>
          </cell>
          <cell r="Z482" t="str">
            <v>NA</v>
          </cell>
          <cell r="AB482" t="str">
            <v>NA</v>
          </cell>
          <cell r="AF482" t="str">
            <v>NA</v>
          </cell>
          <cell r="AK482">
            <v>45164</v>
          </cell>
          <cell r="AL482" t="str">
            <v>Received</v>
          </cell>
          <cell r="AO482">
            <v>3</v>
          </cell>
          <cell r="AS482">
            <v>-3</v>
          </cell>
          <cell r="AU482">
            <v>4</v>
          </cell>
          <cell r="AY482">
            <v>-4</v>
          </cell>
          <cell r="BA482">
            <v>5</v>
          </cell>
          <cell r="BE482">
            <v>-5</v>
          </cell>
          <cell r="BG482">
            <v>5</v>
          </cell>
          <cell r="BK482">
            <v>-5</v>
          </cell>
          <cell r="BM482">
            <v>3</v>
          </cell>
          <cell r="BP482">
            <v>3</v>
          </cell>
          <cell r="BW482" t="str">
            <v>Done</v>
          </cell>
          <cell r="BX482">
            <v>45079</v>
          </cell>
          <cell r="BY482" t="str">
            <v>Approved</v>
          </cell>
          <cell r="CD482">
            <v>45163</v>
          </cell>
          <cell r="CE482">
            <v>45181</v>
          </cell>
          <cell r="CG482" t="str">
            <v>M/s. Sky Engineering</v>
          </cell>
          <cell r="CI482" t="str">
            <v>Issued</v>
          </cell>
          <cell r="DG482" t="str">
            <v>Netmed SDP - Not in Dead Rental</v>
          </cell>
          <cell r="DK482">
            <v>45230</v>
          </cell>
          <cell r="DL482">
            <v>45173</v>
          </cell>
          <cell r="DM482">
            <v>2</v>
          </cell>
          <cell r="DN482" t="str">
            <v>0 to 3 Days</v>
          </cell>
          <cell r="DP482">
            <v>45184</v>
          </cell>
          <cell r="DQ482">
            <v>45232</v>
          </cell>
          <cell r="DR482">
            <v>7</v>
          </cell>
          <cell r="DS482">
            <v>7</v>
          </cell>
          <cell r="DU482">
            <v>45239</v>
          </cell>
          <cell r="DV482">
            <v>45191</v>
          </cell>
          <cell r="DW482">
            <v>45239</v>
          </cell>
          <cell r="DX482" t="str">
            <v>Nov 23 Week 2</v>
          </cell>
          <cell r="DZ482">
            <v>45245</v>
          </cell>
          <cell r="EA482" t="str">
            <v>Nov 23 Week 3</v>
          </cell>
          <cell r="EB482" t="str">
            <v>Backlog</v>
          </cell>
          <cell r="ED482" t="str">
            <v/>
          </cell>
          <cell r="EE482" t="str">
            <v/>
          </cell>
          <cell r="EF482">
            <v>1</v>
          </cell>
          <cell r="EG482">
            <v>1</v>
          </cell>
          <cell r="FD482">
            <v>6</v>
          </cell>
          <cell r="FE482" t="str">
            <v>4 to 7 Days</v>
          </cell>
          <cell r="FF482">
            <v>54</v>
          </cell>
          <cell r="FG482" t="str">
            <v>31 to 61 Days</v>
          </cell>
          <cell r="FH482" t="str">
            <v>Done</v>
          </cell>
          <cell r="FI482" t="str">
            <v>Done</v>
          </cell>
          <cell r="FJ482" t="str">
            <v>NA</v>
          </cell>
          <cell r="FK482">
            <v>45301</v>
          </cell>
          <cell r="FM482" t="str">
            <v/>
          </cell>
          <cell r="GA482">
            <v>45275</v>
          </cell>
          <cell r="GC482">
            <v>45232</v>
          </cell>
          <cell r="GG482" t="str">
            <v>2023-2024</v>
          </cell>
        </row>
        <row r="483">
          <cell r="E483" t="str">
            <v>GF 92 Mouza Kudra Thana No 77  , Sisai Dist Gumla , Plot No 1104 Khata No 1 Thana  , SISAI , 835234</v>
          </cell>
          <cell r="F483" t="str">
            <v>9. EPC Ready</v>
          </cell>
          <cell r="G483" t="str">
            <v>SPJHSIS3924</v>
          </cell>
          <cell r="H483" t="str">
            <v>JH-SM-SIS-3000</v>
          </cell>
          <cell r="I483" t="str">
            <v>TAKG</v>
          </cell>
          <cell r="J483" t="str">
            <v>QFXZ</v>
          </cell>
          <cell r="K483" t="str">
            <v xml:space="preserve">E </v>
          </cell>
          <cell r="L483" t="str">
            <v>AK</v>
          </cell>
          <cell r="M483" t="str">
            <v>EPC Ready</v>
          </cell>
          <cell r="Q483" t="str">
            <v>Gaurav Shinde</v>
          </cell>
          <cell r="S483" t="str">
            <v>Jharkhand</v>
          </cell>
          <cell r="T483" t="str">
            <v>Sisai</v>
          </cell>
          <cell r="U483" t="str">
            <v>Non Premium</v>
          </cell>
          <cell r="V483" t="str">
            <v>Pharma Format</v>
          </cell>
          <cell r="W483">
            <v>417</v>
          </cell>
          <cell r="X483" t="str">
            <v>GF 92 Mouza Kudra Thana No 77  , Sisai Dist Gumla , Plot No 1104 Khata No 1 Thana  , SISAI , 835234</v>
          </cell>
          <cell r="Y483">
            <v>45163</v>
          </cell>
          <cell r="Z483" t="str">
            <v>NA</v>
          </cell>
          <cell r="AB483" t="str">
            <v>NA</v>
          </cell>
          <cell r="AF483" t="str">
            <v>NA</v>
          </cell>
          <cell r="AK483">
            <v>45164</v>
          </cell>
          <cell r="AL483" t="str">
            <v>Received</v>
          </cell>
          <cell r="AO483">
            <v>3</v>
          </cell>
          <cell r="AS483">
            <v>-3</v>
          </cell>
          <cell r="AU483">
            <v>4</v>
          </cell>
          <cell r="AY483">
            <v>-4</v>
          </cell>
          <cell r="BA483">
            <v>5</v>
          </cell>
          <cell r="BE483">
            <v>-5</v>
          </cell>
          <cell r="BG483">
            <v>5</v>
          </cell>
          <cell r="BK483">
            <v>-5</v>
          </cell>
          <cell r="BM483">
            <v>3</v>
          </cell>
          <cell r="BP483">
            <v>3</v>
          </cell>
          <cell r="BW483" t="str">
            <v>Done</v>
          </cell>
          <cell r="BX483">
            <v>45079</v>
          </cell>
          <cell r="BY483" t="str">
            <v>Approved</v>
          </cell>
          <cell r="CD483">
            <v>45162</v>
          </cell>
          <cell r="CE483">
            <v>45175</v>
          </cell>
          <cell r="CG483" t="str">
            <v>M/S VISHWAKARMA ENGINEERING</v>
          </cell>
          <cell r="CI483" t="str">
            <v>Issued</v>
          </cell>
          <cell r="DG483" t="str">
            <v>Netmed SDP - Not in Dead Rental</v>
          </cell>
          <cell r="DK483">
            <v>45196</v>
          </cell>
          <cell r="DL483">
            <v>45172</v>
          </cell>
          <cell r="DM483">
            <v>2</v>
          </cell>
          <cell r="DN483" t="str">
            <v>0 to 3 Days</v>
          </cell>
          <cell r="DP483">
            <v>45178</v>
          </cell>
          <cell r="DQ483">
            <v>45198</v>
          </cell>
          <cell r="DR483">
            <v>7</v>
          </cell>
          <cell r="DS483">
            <v>7</v>
          </cell>
          <cell r="DU483">
            <v>45205</v>
          </cell>
          <cell r="DV483">
            <v>45185</v>
          </cell>
          <cell r="DW483">
            <v>45205</v>
          </cell>
          <cell r="DX483" t="str">
            <v>Oct 23 Week 1</v>
          </cell>
          <cell r="DZ483">
            <v>45241</v>
          </cell>
          <cell r="EA483" t="str">
            <v>Nov 23 Week 2</v>
          </cell>
          <cell r="EB483" t="str">
            <v>Backlog</v>
          </cell>
          <cell r="ED483" t="str">
            <v/>
          </cell>
          <cell r="EE483" t="str">
            <v/>
          </cell>
          <cell r="EF483">
            <v>1</v>
          </cell>
          <cell r="EG483">
            <v>1</v>
          </cell>
          <cell r="FD483">
            <v>36</v>
          </cell>
          <cell r="FE483" t="str">
            <v>31 to 61 Days</v>
          </cell>
          <cell r="FF483">
            <v>56</v>
          </cell>
          <cell r="FG483" t="str">
            <v>31 to 61 Days</v>
          </cell>
          <cell r="FH483" t="str">
            <v>Done</v>
          </cell>
          <cell r="FI483" t="str">
            <v>Done</v>
          </cell>
          <cell r="FJ483" t="str">
            <v>NA</v>
          </cell>
          <cell r="FK483">
            <v>45259</v>
          </cell>
          <cell r="FM483" t="str">
            <v/>
          </cell>
          <cell r="GA483">
            <v>45241</v>
          </cell>
          <cell r="GC483">
            <v>45198</v>
          </cell>
          <cell r="GG483" t="str">
            <v>2023-2024</v>
          </cell>
        </row>
        <row r="484">
          <cell r="E484" t="str">
            <v>GF  Ward 2 Holding No- N/636/442JLNo- 85  , &amp;ADSRO Sonamukhi Land Mark Municipality , L.R. Plot No 2631&amp;2632 P.O+P.S &amp; Block  , Sonamukhi , 722207</v>
          </cell>
          <cell r="F484" t="str">
            <v>9. EPC Ready</v>
          </cell>
          <cell r="G484" t="str">
            <v>SPWBSOW3544</v>
          </cell>
          <cell r="H484" t="str">
            <v>WB-SM-SMK-3001</v>
          </cell>
          <cell r="I484" t="str">
            <v>TYNG</v>
          </cell>
          <cell r="J484" t="str">
            <v>QBTQ</v>
          </cell>
          <cell r="K484" t="str">
            <v xml:space="preserve">E </v>
          </cell>
          <cell r="L484" t="str">
            <v>SD</v>
          </cell>
          <cell r="M484" t="str">
            <v>EPC Ready</v>
          </cell>
          <cell r="N484" t="str">
            <v>Mahendrakumar Warma</v>
          </cell>
          <cell r="O484" t="str">
            <v xml:space="preserve">Sandeepta Gayen </v>
          </cell>
          <cell r="P484" t="str">
            <v>Sagar Neyogi-7980192700</v>
          </cell>
          <cell r="Q484" t="str">
            <v>Gaurav Shinde</v>
          </cell>
          <cell r="S484" t="str">
            <v>West Bengal</v>
          </cell>
          <cell r="T484" t="str">
            <v>Sonamukhi</v>
          </cell>
          <cell r="U484" t="str">
            <v>Non Premium</v>
          </cell>
          <cell r="V484" t="str">
            <v>Pharma Format</v>
          </cell>
          <cell r="W484">
            <v>385</v>
          </cell>
          <cell r="X484" t="str">
            <v>GF  Ward 2 Holding No- N/636/442JLNo- 85  , &amp;ADSRO Sonamukhi Land Mark Municipality , L.R. Plot No 2631&amp;2632 P.O+P.S &amp; Block  , Sonamukhi , 722207</v>
          </cell>
          <cell r="Y484">
            <v>45159</v>
          </cell>
          <cell r="Z484" t="str">
            <v>NA</v>
          </cell>
          <cell r="AB484" t="str">
            <v>NA</v>
          </cell>
          <cell r="AF484" t="str">
            <v>NA</v>
          </cell>
          <cell r="AK484">
            <v>45147</v>
          </cell>
          <cell r="AL484" t="str">
            <v>Received</v>
          </cell>
          <cell r="AO484">
            <v>3</v>
          </cell>
          <cell r="AS484">
            <v>-3</v>
          </cell>
          <cell r="AU484">
            <v>4</v>
          </cell>
          <cell r="AY484">
            <v>-4</v>
          </cell>
          <cell r="BA484">
            <v>5</v>
          </cell>
          <cell r="BE484">
            <v>-5</v>
          </cell>
          <cell r="BG484">
            <v>5</v>
          </cell>
          <cell r="BK484">
            <v>-5</v>
          </cell>
          <cell r="BM484">
            <v>3</v>
          </cell>
          <cell r="BP484">
            <v>3</v>
          </cell>
          <cell r="BW484" t="str">
            <v>Done</v>
          </cell>
          <cell r="BX484">
            <v>45079</v>
          </cell>
          <cell r="BY484" t="str">
            <v>Approved</v>
          </cell>
          <cell r="CD484">
            <v>45162</v>
          </cell>
          <cell r="CE484">
            <v>45167</v>
          </cell>
          <cell r="CG484" t="str">
            <v xml:space="preserve"> M/s. STEELMAN TELECOM PVT LTD</v>
          </cell>
          <cell r="CI484" t="str">
            <v>Issued</v>
          </cell>
          <cell r="DG484" t="str">
            <v>Netmed SDP - Not in Dead Rental</v>
          </cell>
          <cell r="DK484">
            <v>45182</v>
          </cell>
          <cell r="DL484">
            <v>45167</v>
          </cell>
          <cell r="DM484">
            <v>2</v>
          </cell>
          <cell r="DN484" t="str">
            <v>0 to 3 Days</v>
          </cell>
          <cell r="DP484">
            <v>45170</v>
          </cell>
          <cell r="DQ484">
            <v>45184</v>
          </cell>
          <cell r="DR484">
            <v>7</v>
          </cell>
          <cell r="DS484">
            <v>7</v>
          </cell>
          <cell r="DU484">
            <v>45191</v>
          </cell>
          <cell r="DV484">
            <v>45177</v>
          </cell>
          <cell r="DW484">
            <v>45191</v>
          </cell>
          <cell r="DX484" t="str">
            <v>Sep 23 Week 4</v>
          </cell>
          <cell r="DZ484">
            <v>45191</v>
          </cell>
          <cell r="EA484" t="str">
            <v>Sep 23 Week 4</v>
          </cell>
          <cell r="EB484" t="str">
            <v>Plan</v>
          </cell>
          <cell r="ED484" t="str">
            <v/>
          </cell>
          <cell r="EE484" t="str">
            <v/>
          </cell>
          <cell r="EF484">
            <v>1</v>
          </cell>
          <cell r="EG484">
            <v>1</v>
          </cell>
          <cell r="FD484">
            <v>0</v>
          </cell>
          <cell r="FE484" t="str">
            <v>On Time</v>
          </cell>
          <cell r="FF484">
            <v>14</v>
          </cell>
          <cell r="FG484" t="str">
            <v>8 to 15 Days</v>
          </cell>
          <cell r="FH484" t="str">
            <v>Done</v>
          </cell>
          <cell r="FI484" t="str">
            <v>Done</v>
          </cell>
          <cell r="FJ484" t="str">
            <v>NA</v>
          </cell>
          <cell r="FK484">
            <v>45225</v>
          </cell>
          <cell r="FM484" t="str">
            <v/>
          </cell>
          <cell r="GA484">
            <v>45226</v>
          </cell>
          <cell r="GC484">
            <v>45184</v>
          </cell>
          <cell r="GG484" t="str">
            <v>2023-2024</v>
          </cell>
        </row>
        <row r="485">
          <cell r="E485" t="str">
            <v>Gf House No 848 1 Plot No 2672  , Tehsil Chata Dist Mathura , Khasra No 846 Mauja Kosikalan  , KOSI KALAN , 281403</v>
          </cell>
          <cell r="F485" t="str">
            <v>9. EPC Ready</v>
          </cell>
          <cell r="G485" t="str">
            <v>SPUPMAK3895</v>
          </cell>
          <cell r="H485" t="str">
            <v>UP-SM-KLN-3001</v>
          </cell>
          <cell r="I485" t="str">
            <v>TYV3</v>
          </cell>
          <cell r="J485" t="str">
            <v>QLBB</v>
          </cell>
          <cell r="K485" t="str">
            <v xml:space="preserve">N </v>
          </cell>
          <cell r="L485" t="str">
            <v>KC</v>
          </cell>
          <cell r="M485" t="str">
            <v>EPC Ready</v>
          </cell>
          <cell r="P485" t="str">
            <v>Akhilesh K Singh-9910029870</v>
          </cell>
          <cell r="Q485" t="str">
            <v>Gaurav Shinde</v>
          </cell>
          <cell r="S485" t="str">
            <v>Uttar Pradesh</v>
          </cell>
          <cell r="T485" t="str">
            <v>Kosi Kalan</v>
          </cell>
          <cell r="U485" t="str">
            <v>Non Premium</v>
          </cell>
          <cell r="V485" t="str">
            <v>Pharma Format</v>
          </cell>
          <cell r="W485">
            <v>400</v>
          </cell>
          <cell r="X485" t="str">
            <v>Gf House No 848 1 Plot No 2672  , Tehsil Chata Dist Mathura , Khasra No 846 Mauja Kosikalan  , KOSI KALAN , 281403</v>
          </cell>
          <cell r="Y485">
            <v>45166</v>
          </cell>
          <cell r="Z485" t="str">
            <v>NA</v>
          </cell>
          <cell r="AB485" t="str">
            <v>NA</v>
          </cell>
          <cell r="AF485" t="str">
            <v>NA</v>
          </cell>
          <cell r="AK485">
            <v>45189</v>
          </cell>
          <cell r="AL485" t="str">
            <v>Received</v>
          </cell>
          <cell r="AO485">
            <v>3</v>
          </cell>
          <cell r="AS485">
            <v>-3</v>
          </cell>
          <cell r="AU485">
            <v>4</v>
          </cell>
          <cell r="AY485">
            <v>-4</v>
          </cell>
          <cell r="BA485">
            <v>5</v>
          </cell>
          <cell r="BE485">
            <v>-5</v>
          </cell>
          <cell r="BG485">
            <v>5</v>
          </cell>
          <cell r="BK485">
            <v>-5</v>
          </cell>
          <cell r="BM485">
            <v>3</v>
          </cell>
          <cell r="BP485">
            <v>3</v>
          </cell>
          <cell r="BW485" t="str">
            <v>Done</v>
          </cell>
          <cell r="BX485">
            <v>45079</v>
          </cell>
          <cell r="BY485" t="str">
            <v>Approved</v>
          </cell>
          <cell r="CD485">
            <v>45163</v>
          </cell>
          <cell r="CE485">
            <v>45175</v>
          </cell>
          <cell r="CG485" t="str">
            <v>M/s     SHOURYA INFRATECH</v>
          </cell>
          <cell r="CI485" t="str">
            <v>Issued</v>
          </cell>
          <cell r="DG485" t="str">
            <v>Netmed SDP - Not in Dead Rental</v>
          </cell>
          <cell r="DK485">
            <v>45185</v>
          </cell>
          <cell r="DL485">
            <v>45168</v>
          </cell>
          <cell r="DM485">
            <v>2</v>
          </cell>
          <cell r="DN485" t="str">
            <v>0 to 3 Days</v>
          </cell>
          <cell r="DP485">
            <v>45178</v>
          </cell>
          <cell r="DQ485">
            <v>45187</v>
          </cell>
          <cell r="DR485">
            <v>7</v>
          </cell>
          <cell r="DS485">
            <v>7</v>
          </cell>
          <cell r="DU485">
            <v>45194</v>
          </cell>
          <cell r="DV485">
            <v>45185</v>
          </cell>
          <cell r="DW485">
            <v>45194</v>
          </cell>
          <cell r="DX485" t="str">
            <v>Sep 23 Week 4</v>
          </cell>
          <cell r="DZ485">
            <v>45190</v>
          </cell>
          <cell r="EA485" t="str">
            <v>Sep 23 Week 3</v>
          </cell>
          <cell r="EB485" t="str">
            <v>Plan</v>
          </cell>
          <cell r="ED485" t="str">
            <v/>
          </cell>
          <cell r="EE485" t="str">
            <v/>
          </cell>
          <cell r="EF485">
            <v>1</v>
          </cell>
          <cell r="EG485">
            <v>1</v>
          </cell>
          <cell r="FD485">
            <v>-4</v>
          </cell>
          <cell r="FE485" t="str">
            <v>On Time</v>
          </cell>
          <cell r="FF485">
            <v>5</v>
          </cell>
          <cell r="FG485" t="str">
            <v>4 to 7 Days</v>
          </cell>
          <cell r="FH485" t="str">
            <v>Done</v>
          </cell>
          <cell r="FI485" t="str">
            <v>Done</v>
          </cell>
          <cell r="FJ485" t="str">
            <v>NA</v>
          </cell>
          <cell r="FK485">
            <v>45272</v>
          </cell>
          <cell r="FM485" t="str">
            <v/>
          </cell>
          <cell r="GA485">
            <v>45203</v>
          </cell>
          <cell r="GC485">
            <v>45187</v>
          </cell>
          <cell r="GG485" t="str">
            <v>2023-2024</v>
          </cell>
        </row>
        <row r="486">
          <cell r="E486" t="str">
            <v>GF Mouza - Garilong Thana No. 59  ,  Dist - Chatra , Khata No. 48 Plot No.1106 Thana -Tandwa  , Tandwa , 825321</v>
          </cell>
          <cell r="F486" t="str">
            <v>9. EPC Ready</v>
          </cell>
          <cell r="G486" t="str">
            <v>SPJHTAS3630</v>
          </cell>
          <cell r="H486" t="str">
            <v>JH-SM-TNA-3000</v>
          </cell>
          <cell r="I486" t="str">
            <v>TYXC</v>
          </cell>
          <cell r="J486" t="str">
            <v>QB5G</v>
          </cell>
          <cell r="K486" t="str">
            <v xml:space="preserve">E </v>
          </cell>
          <cell r="L486" t="str">
            <v>AK</v>
          </cell>
          <cell r="M486" t="str">
            <v>EPC Ready</v>
          </cell>
          <cell r="P486" t="str">
            <v>Mr. Amal Gopal Dey-9558811809</v>
          </cell>
          <cell r="Q486" t="str">
            <v>Gaurav Shinde</v>
          </cell>
          <cell r="S486" t="str">
            <v>Jharkhand</v>
          </cell>
          <cell r="T486" t="str">
            <v>Tandwa</v>
          </cell>
          <cell r="U486" t="str">
            <v>Non Premium</v>
          </cell>
          <cell r="V486" t="str">
            <v>Pharma Format</v>
          </cell>
          <cell r="W486">
            <v>400</v>
          </cell>
          <cell r="X486" t="str">
            <v>GF Mouza - Garilong Thana No. 59  ,  Dist - Chatra , Khata No. 48 Plot No.1106 Thana -Tandwa  , Tandwa , 825321</v>
          </cell>
          <cell r="Y486">
            <v>45159</v>
          </cell>
          <cell r="Z486" t="str">
            <v>NA</v>
          </cell>
          <cell r="AB486" t="str">
            <v>NA</v>
          </cell>
          <cell r="AF486" t="str">
            <v>NA</v>
          </cell>
          <cell r="AK486">
            <v>45182</v>
          </cell>
          <cell r="AL486" t="str">
            <v>Received</v>
          </cell>
          <cell r="AO486">
            <v>3</v>
          </cell>
          <cell r="AS486">
            <v>-3</v>
          </cell>
          <cell r="AU486">
            <v>4</v>
          </cell>
          <cell r="AY486">
            <v>-4</v>
          </cell>
          <cell r="BA486">
            <v>5</v>
          </cell>
          <cell r="BE486">
            <v>-5</v>
          </cell>
          <cell r="BG486">
            <v>5</v>
          </cell>
          <cell r="BK486">
            <v>-5</v>
          </cell>
          <cell r="BM486">
            <v>3</v>
          </cell>
          <cell r="BP486">
            <v>3</v>
          </cell>
          <cell r="BW486" t="str">
            <v>Done</v>
          </cell>
          <cell r="BX486">
            <v>45079</v>
          </cell>
          <cell r="BY486" t="str">
            <v>Approved</v>
          </cell>
          <cell r="CD486">
            <v>45162</v>
          </cell>
          <cell r="CE486">
            <v>45174</v>
          </cell>
          <cell r="CG486" t="str">
            <v xml:space="preserve">
M/S S K ENTERPIRSES
</v>
          </cell>
          <cell r="CI486" t="str">
            <v>Issued</v>
          </cell>
          <cell r="DG486" t="str">
            <v>Netmed SDP - Not in Dead Rental</v>
          </cell>
          <cell r="DK486">
            <v>45200</v>
          </cell>
          <cell r="DM486">
            <v>2</v>
          </cell>
          <cell r="DN486" t="str">
            <v>0 to 3 Days</v>
          </cell>
          <cell r="DP486">
            <v>45177</v>
          </cell>
          <cell r="DQ486">
            <v>45202</v>
          </cell>
          <cell r="DR486">
            <v>7</v>
          </cell>
          <cell r="DS486">
            <v>7</v>
          </cell>
          <cell r="DU486">
            <v>45209</v>
          </cell>
          <cell r="DV486">
            <v>45184</v>
          </cell>
          <cell r="DW486">
            <v>45209</v>
          </cell>
          <cell r="DX486" t="str">
            <v>Oct 23 Week 2</v>
          </cell>
          <cell r="DZ486">
            <v>45311</v>
          </cell>
          <cell r="EA486" t="str">
            <v>Jan 24 Week 3</v>
          </cell>
          <cell r="EB486" t="str">
            <v>Backlog</v>
          </cell>
          <cell r="ED486" t="str">
            <v/>
          </cell>
          <cell r="EE486" t="str">
            <v/>
          </cell>
          <cell r="EF486">
            <v>1</v>
          </cell>
          <cell r="EG486">
            <v>1</v>
          </cell>
          <cell r="FD486">
            <v>102</v>
          </cell>
          <cell r="FE486" t="str">
            <v>More Than 90  Days</v>
          </cell>
          <cell r="FF486">
            <v>127</v>
          </cell>
          <cell r="FG486" t="str">
            <v>More Than 90  Days</v>
          </cell>
          <cell r="FH486" t="str">
            <v>Done</v>
          </cell>
          <cell r="FI486" t="str">
            <v>Done</v>
          </cell>
          <cell r="FJ486" t="str">
            <v>NA</v>
          </cell>
          <cell r="FK486">
            <v>45315</v>
          </cell>
          <cell r="FM486" t="str">
            <v/>
          </cell>
          <cell r="GA486">
            <v>45311</v>
          </cell>
          <cell r="GC486">
            <v>45211</v>
          </cell>
          <cell r="GG486" t="str">
            <v>2023-2024</v>
          </cell>
        </row>
        <row r="487">
          <cell r="E487" t="str">
            <v>Sai Complex Sy No 333 HNo 18 155 6 Ragha  , L Kurnool Raod Kothakota Wanaparthi Dist , Vendra Colony Opposite Srirama Rice Mill  , KOTHAKOTA , 509381</v>
          </cell>
          <cell r="F487" t="str">
            <v>9. EPC Ready</v>
          </cell>
          <cell r="G487" t="str">
            <v>SPTSKOR3876</v>
          </cell>
          <cell r="H487" t="str">
            <v>AP-SM-KOT-3000</v>
          </cell>
          <cell r="I487" t="str">
            <v>TZ4B</v>
          </cell>
          <cell r="J487" t="str">
            <v>QEEU</v>
          </cell>
          <cell r="K487" t="str">
            <v xml:space="preserve">E </v>
          </cell>
          <cell r="L487" t="str">
            <v>AK</v>
          </cell>
          <cell r="M487" t="str">
            <v>EPC Ready</v>
          </cell>
          <cell r="O487" t="str">
            <v>Rajshekhar M</v>
          </cell>
          <cell r="P487" t="str">
            <v>Mr Sudhakar Veerla-9502135135</v>
          </cell>
          <cell r="Q487" t="str">
            <v>Gaurav Shinde</v>
          </cell>
          <cell r="S487" t="str">
            <v>Telangana</v>
          </cell>
          <cell r="T487" t="str">
            <v>Kothakota</v>
          </cell>
          <cell r="U487" t="str">
            <v>Non Premium</v>
          </cell>
          <cell r="V487" t="str">
            <v>Pharma Format</v>
          </cell>
          <cell r="W487">
            <v>401</v>
          </cell>
          <cell r="X487" t="str">
            <v>Sai Complex Sy No 333 HNo 18 155 6 Ragha  , L Kurnool Raod Kothakota Wanaparthi Dist , Vendra Colony Opposite Srirama Rice Mill  , KOTHAKOTA , 509381</v>
          </cell>
          <cell r="Y487">
            <v>45104</v>
          </cell>
          <cell r="Z487" t="str">
            <v>NA</v>
          </cell>
          <cell r="AB487" t="str">
            <v>NA</v>
          </cell>
          <cell r="AF487" t="str">
            <v>NA</v>
          </cell>
          <cell r="AK487">
            <v>45090</v>
          </cell>
          <cell r="AL487" t="str">
            <v>Received</v>
          </cell>
          <cell r="AO487">
            <v>3</v>
          </cell>
          <cell r="AS487">
            <v>-3</v>
          </cell>
          <cell r="AU487">
            <v>4</v>
          </cell>
          <cell r="AY487">
            <v>-4</v>
          </cell>
          <cell r="BA487">
            <v>5</v>
          </cell>
          <cell r="BE487">
            <v>-5</v>
          </cell>
          <cell r="BG487">
            <v>5</v>
          </cell>
          <cell r="BK487">
            <v>-5</v>
          </cell>
          <cell r="BM487">
            <v>3</v>
          </cell>
          <cell r="BP487">
            <v>3</v>
          </cell>
          <cell r="BW487" t="str">
            <v>Done</v>
          </cell>
          <cell r="BX487">
            <v>45079</v>
          </cell>
          <cell r="BY487" t="str">
            <v>Approved</v>
          </cell>
          <cell r="CD487">
            <v>45103</v>
          </cell>
          <cell r="CE487">
            <v>45118</v>
          </cell>
          <cell r="CG487" t="str">
            <v>M/S SARK CORPORATION</v>
          </cell>
          <cell r="CI487" t="str">
            <v>Issued</v>
          </cell>
          <cell r="DG487" t="str">
            <v>Netmed SDP - Not in Dead Rental</v>
          </cell>
          <cell r="DK487">
            <v>45132</v>
          </cell>
          <cell r="DL487">
            <v>45107</v>
          </cell>
          <cell r="DM487">
            <v>2</v>
          </cell>
          <cell r="DN487" t="str">
            <v>0 to 3 Days</v>
          </cell>
          <cell r="DP487">
            <v>45121</v>
          </cell>
          <cell r="DQ487">
            <v>45134</v>
          </cell>
          <cell r="DR487">
            <v>7</v>
          </cell>
          <cell r="DS487">
            <v>7</v>
          </cell>
          <cell r="DU487">
            <v>45141</v>
          </cell>
          <cell r="DV487">
            <v>45128</v>
          </cell>
          <cell r="DW487">
            <v>45141</v>
          </cell>
          <cell r="DX487" t="str">
            <v>Aug 23 Week 1</v>
          </cell>
          <cell r="DZ487">
            <v>45150</v>
          </cell>
          <cell r="EA487" t="str">
            <v>Aug 23 Week 2</v>
          </cell>
          <cell r="EB487" t="str">
            <v>Backlog</v>
          </cell>
          <cell r="ED487" t="str">
            <v/>
          </cell>
          <cell r="EE487" t="str">
            <v/>
          </cell>
          <cell r="EF487">
            <v>1</v>
          </cell>
          <cell r="EG487">
            <v>1</v>
          </cell>
          <cell r="FD487">
            <v>9</v>
          </cell>
          <cell r="FE487" t="str">
            <v>8 to 15 Days</v>
          </cell>
          <cell r="FF487">
            <v>22</v>
          </cell>
          <cell r="FG487" t="str">
            <v>16 to 31 Days</v>
          </cell>
          <cell r="FH487" t="str">
            <v>Done</v>
          </cell>
          <cell r="FI487" t="str">
            <v>Done</v>
          </cell>
          <cell r="FJ487" t="str">
            <v>NA</v>
          </cell>
          <cell r="FK487">
            <v>45157</v>
          </cell>
          <cell r="FM487" t="str">
            <v/>
          </cell>
          <cell r="GA487">
            <v>45154</v>
          </cell>
          <cell r="GC487">
            <v>45134</v>
          </cell>
          <cell r="GG487" t="str">
            <v>2023-2024</v>
          </cell>
        </row>
        <row r="488">
          <cell r="E488" t="str">
            <v>GF Moorkuri Mansion D.No759-760-761-762  , Vizianagaram road Kothavalasa , Sy.Nos 116/4910-A11 13  , VIZAYANAGARAM , 535183</v>
          </cell>
          <cell r="F488" t="str">
            <v>9. EPC Ready</v>
          </cell>
          <cell r="G488" t="str">
            <v>SPAPKOV4197</v>
          </cell>
          <cell r="H488" t="str">
            <v>AP-SM-KVL-3000</v>
          </cell>
          <cell r="I488" t="str">
            <v>TH2B</v>
          </cell>
          <cell r="J488" t="str">
            <v>QBOA</v>
          </cell>
          <cell r="K488" t="str">
            <v xml:space="preserve">E </v>
          </cell>
          <cell r="L488" t="str">
            <v>JD</v>
          </cell>
          <cell r="M488" t="str">
            <v>EPC Ready</v>
          </cell>
          <cell r="N488" t="str">
            <v>Jaisingh Desai</v>
          </cell>
          <cell r="P488" t="str">
            <v>Mr. Sudhakar Veerla</v>
          </cell>
          <cell r="Q488" t="str">
            <v>Gaurav Shinde</v>
          </cell>
          <cell r="S488" t="str">
            <v>Andhra Pradesh</v>
          </cell>
          <cell r="T488" t="str">
            <v>KOTHAVALASA</v>
          </cell>
          <cell r="U488" t="str">
            <v>Non Premium</v>
          </cell>
          <cell r="V488" t="str">
            <v>Pharma Format</v>
          </cell>
          <cell r="W488">
            <v>400</v>
          </cell>
          <cell r="X488" t="str">
            <v>GF Moorkuri Mansion D.No759-760-761-762  , Vizianagaram road Kothavalasa , Sy.Nos 116/4910-A11 13  , VIZAYANAGARAM , 535183</v>
          </cell>
          <cell r="Y488">
            <v>45124</v>
          </cell>
          <cell r="Z488" t="str">
            <v>NA</v>
          </cell>
          <cell r="AB488" t="str">
            <v>NA</v>
          </cell>
          <cell r="AF488" t="str">
            <v>NA</v>
          </cell>
          <cell r="AK488">
            <v>45143</v>
          </cell>
          <cell r="AL488" t="str">
            <v>Received</v>
          </cell>
          <cell r="AO488">
            <v>3</v>
          </cell>
          <cell r="AS488">
            <v>-3</v>
          </cell>
          <cell r="AU488">
            <v>4</v>
          </cell>
          <cell r="AY488">
            <v>-4</v>
          </cell>
          <cell r="BA488">
            <v>5</v>
          </cell>
          <cell r="BE488">
            <v>-5</v>
          </cell>
          <cell r="BG488">
            <v>5</v>
          </cell>
          <cell r="BK488">
            <v>-5</v>
          </cell>
          <cell r="BM488">
            <v>3</v>
          </cell>
          <cell r="BP488">
            <v>3</v>
          </cell>
          <cell r="BW488" t="str">
            <v>Done</v>
          </cell>
          <cell r="BX488">
            <v>45079</v>
          </cell>
          <cell r="BY488" t="str">
            <v>Approved</v>
          </cell>
          <cell r="CD488">
            <v>45126</v>
          </cell>
          <cell r="CE488">
            <v>45159</v>
          </cell>
          <cell r="CG488" t="str">
            <v xml:space="preserve">M/s   SRK Constructions </v>
          </cell>
          <cell r="CI488" t="str">
            <v>Issued</v>
          </cell>
          <cell r="DG488" t="str">
            <v>Netmed SDP - Not in Dead Rental</v>
          </cell>
          <cell r="DK488">
            <v>45174</v>
          </cell>
          <cell r="DM488">
            <v>2</v>
          </cell>
          <cell r="DN488" t="str">
            <v>0 to 3 Days</v>
          </cell>
          <cell r="DP488">
            <v>45162</v>
          </cell>
          <cell r="DQ488">
            <v>45176</v>
          </cell>
          <cell r="DR488">
            <v>7</v>
          </cell>
          <cell r="DS488">
            <v>7</v>
          </cell>
          <cell r="DU488">
            <v>45183</v>
          </cell>
          <cell r="DV488">
            <v>45169</v>
          </cell>
          <cell r="DW488">
            <v>45183</v>
          </cell>
          <cell r="DX488" t="str">
            <v>Sep 23 Week 2</v>
          </cell>
          <cell r="DZ488">
            <v>45197</v>
          </cell>
          <cell r="EA488" t="str">
            <v>Sep 23 Week 4</v>
          </cell>
          <cell r="EB488" t="str">
            <v>Backlog</v>
          </cell>
          <cell r="ED488" t="str">
            <v/>
          </cell>
          <cell r="EE488" t="str">
            <v/>
          </cell>
          <cell r="EF488">
            <v>1</v>
          </cell>
          <cell r="EG488">
            <v>1</v>
          </cell>
          <cell r="FD488">
            <v>14</v>
          </cell>
          <cell r="FE488" t="str">
            <v>8 to 15 Days</v>
          </cell>
          <cell r="FF488">
            <v>28</v>
          </cell>
          <cell r="FG488" t="str">
            <v>16 to 31 Days</v>
          </cell>
          <cell r="FH488" t="str">
            <v>Done</v>
          </cell>
          <cell r="FI488" t="str">
            <v>Done</v>
          </cell>
          <cell r="FJ488" t="str">
            <v>NA</v>
          </cell>
          <cell r="FK488">
            <v>45208</v>
          </cell>
          <cell r="FM488" t="str">
            <v/>
          </cell>
          <cell r="GA488">
            <v>45196</v>
          </cell>
          <cell r="GC488">
            <v>45176</v>
          </cell>
          <cell r="GG488" t="str">
            <v>2023-2024</v>
          </cell>
        </row>
        <row r="489">
          <cell r="E489" t="str">
            <v>Daniel Building 8659 43  , Kottarakkara , Valakom  , KOLLAM , 691532</v>
          </cell>
          <cell r="F489" t="str">
            <v>14. Dropped</v>
          </cell>
          <cell r="G489" t="str">
            <v>SPKLKOD3388</v>
          </cell>
          <cell r="H489" t="str">
            <v>KE-SM-KKK-3001</v>
          </cell>
          <cell r="I489" t="str">
            <v>TZEU</v>
          </cell>
          <cell r="J489" t="str">
            <v>QCYI</v>
          </cell>
          <cell r="K489" t="str">
            <v>S</v>
          </cell>
          <cell r="L489" t="str">
            <v>AK</v>
          </cell>
          <cell r="M489" t="str">
            <v>Dropped</v>
          </cell>
          <cell r="N489" t="str">
            <v>N Kalyankumar</v>
          </cell>
          <cell r="O489" t="str">
            <v>Jose Loviece</v>
          </cell>
          <cell r="Q489" t="str">
            <v>Gaurav Shinde</v>
          </cell>
          <cell r="S489" t="str">
            <v>Kerala</v>
          </cell>
          <cell r="T489" t="str">
            <v>Kottarakkara</v>
          </cell>
          <cell r="U489" t="str">
            <v>Non Premium</v>
          </cell>
          <cell r="V489" t="str">
            <v>Pharma Format</v>
          </cell>
          <cell r="W489">
            <v>400</v>
          </cell>
          <cell r="X489" t="str">
            <v>Daniel Building 8659 43  , Kottarakkara , Valakom  , KOLLAM , 691532</v>
          </cell>
          <cell r="Z489" t="str">
            <v>NA</v>
          </cell>
          <cell r="AB489" t="str">
            <v>NA</v>
          </cell>
          <cell r="AF489" t="str">
            <v>NA</v>
          </cell>
          <cell r="AL489" t="str">
            <v>NA</v>
          </cell>
          <cell r="AO489">
            <v>3</v>
          </cell>
          <cell r="AS489">
            <v>-3</v>
          </cell>
          <cell r="AU489">
            <v>4</v>
          </cell>
          <cell r="AY489">
            <v>-4</v>
          </cell>
          <cell r="BA489">
            <v>5</v>
          </cell>
          <cell r="BE489">
            <v>-5</v>
          </cell>
          <cell r="BG489">
            <v>5</v>
          </cell>
          <cell r="BK489">
            <v>-5</v>
          </cell>
          <cell r="BM489">
            <v>3</v>
          </cell>
          <cell r="BP489">
            <v>3</v>
          </cell>
          <cell r="BW489" t="str">
            <v>Done</v>
          </cell>
          <cell r="BX489">
            <v>45079</v>
          </cell>
          <cell r="BY489" t="str">
            <v>Approved</v>
          </cell>
          <cell r="CD489">
            <v>45163</v>
          </cell>
          <cell r="DG489" t="str">
            <v>Netmed SDP - Not in Dead Rental</v>
          </cell>
          <cell r="DM489" t="str">
            <v>NA</v>
          </cell>
          <cell r="DN489" t="str">
            <v>NA</v>
          </cell>
          <cell r="DR489">
            <v>7</v>
          </cell>
          <cell r="DS489">
            <v>7</v>
          </cell>
          <cell r="DU489">
            <v>7</v>
          </cell>
          <cell r="DV489">
            <v>7</v>
          </cell>
          <cell r="DW489">
            <v>7</v>
          </cell>
          <cell r="EA489" t="str">
            <v/>
          </cell>
          <cell r="ED489" t="str">
            <v/>
          </cell>
          <cell r="EE489" t="str">
            <v/>
          </cell>
          <cell r="EF489">
            <v>1</v>
          </cell>
          <cell r="FD489">
            <v>46114</v>
          </cell>
          <cell r="FF489">
            <v>46114</v>
          </cell>
          <cell r="FJ489" t="str">
            <v>NA</v>
          </cell>
          <cell r="FM489" t="str">
            <v/>
          </cell>
          <cell r="GG489" t="str">
            <v>2024-2025</v>
          </cell>
        </row>
        <row r="490">
          <cell r="E490" t="str">
            <v>Asset Chrisabelle NEAR PUTHANAGADI KIURI  , KOTTAYAM KERALA , SH PALLI PUITHANGADI  , KOTTAYAM , 686001</v>
          </cell>
          <cell r="F490" t="str">
            <v>14. Dropped</v>
          </cell>
          <cell r="G490" t="str">
            <v>SPKLKOA2568</v>
          </cell>
          <cell r="H490" t="str">
            <v>KE-SM-KOT-3012</v>
          </cell>
          <cell r="I490" t="str">
            <v>TXG5</v>
          </cell>
          <cell r="J490" t="str">
            <v>Q9TK</v>
          </cell>
          <cell r="K490" t="str">
            <v>S</v>
          </cell>
          <cell r="L490" t="str">
            <v>AK</v>
          </cell>
          <cell r="M490" t="str">
            <v>Dropped</v>
          </cell>
          <cell r="N490" t="str">
            <v>N Kalyankumar</v>
          </cell>
          <cell r="O490" t="str">
            <v>Jose Loviece</v>
          </cell>
          <cell r="Q490" t="str">
            <v>Gaurav Shinde</v>
          </cell>
          <cell r="S490" t="str">
            <v>Kerala</v>
          </cell>
          <cell r="T490" t="str">
            <v>Kottayam</v>
          </cell>
          <cell r="U490" t="str">
            <v>Non Premium</v>
          </cell>
          <cell r="V490" t="str">
            <v>Pharma Format</v>
          </cell>
          <cell r="W490">
            <v>400</v>
          </cell>
          <cell r="X490" t="str">
            <v>Asset Chrisabelle NEAR PUTHANAGADI KIURI  , KOTTAYAM KERALA , SH PALLI PUITHANGADI  , KOTTAYAM , 686001</v>
          </cell>
          <cell r="Z490" t="str">
            <v>NA</v>
          </cell>
          <cell r="AB490" t="str">
            <v>NA</v>
          </cell>
          <cell r="AF490" t="str">
            <v>NA</v>
          </cell>
          <cell r="AK490">
            <v>45183</v>
          </cell>
          <cell r="AL490" t="str">
            <v>Received</v>
          </cell>
          <cell r="AO490">
            <v>3</v>
          </cell>
          <cell r="AS490">
            <v>-3</v>
          </cell>
          <cell r="AU490">
            <v>4</v>
          </cell>
          <cell r="AY490">
            <v>-4</v>
          </cell>
          <cell r="BA490">
            <v>5</v>
          </cell>
          <cell r="BE490">
            <v>-5</v>
          </cell>
          <cell r="BG490">
            <v>5</v>
          </cell>
          <cell r="BK490">
            <v>-5</v>
          </cell>
          <cell r="BM490">
            <v>3</v>
          </cell>
          <cell r="BP490">
            <v>3</v>
          </cell>
          <cell r="BW490" t="str">
            <v>Done</v>
          </cell>
          <cell r="BX490">
            <v>45079</v>
          </cell>
          <cell r="BY490" t="str">
            <v>Approved</v>
          </cell>
          <cell r="CD490">
            <v>45163</v>
          </cell>
          <cell r="DG490" t="str">
            <v>Netmed SDP - Not in Dead Rental</v>
          </cell>
          <cell r="DM490" t="str">
            <v>NA</v>
          </cell>
          <cell r="DN490" t="str">
            <v>NA</v>
          </cell>
          <cell r="DR490">
            <v>7</v>
          </cell>
          <cell r="DS490">
            <v>7</v>
          </cell>
          <cell r="DU490">
            <v>7</v>
          </cell>
          <cell r="DV490">
            <v>7</v>
          </cell>
          <cell r="DW490">
            <v>7</v>
          </cell>
          <cell r="EA490" t="str">
            <v/>
          </cell>
          <cell r="ED490" t="str">
            <v/>
          </cell>
          <cell r="EE490" t="str">
            <v/>
          </cell>
          <cell r="EF490">
            <v>1</v>
          </cell>
          <cell r="FD490">
            <v>46114</v>
          </cell>
          <cell r="FF490">
            <v>46114</v>
          </cell>
          <cell r="FJ490" t="str">
            <v>NA</v>
          </cell>
          <cell r="FM490" t="str">
            <v/>
          </cell>
          <cell r="GG490" t="str">
            <v>2024-2025</v>
          </cell>
        </row>
        <row r="491">
          <cell r="E491" t="str">
            <v>SP KVR Towers Kotturu</v>
          </cell>
          <cell r="F491" t="str">
            <v>9. EPC Ready</v>
          </cell>
          <cell r="G491" t="str">
            <v>SPAPKOB3726</v>
          </cell>
          <cell r="H491" t="str">
            <v>AP-SM-KHU-3000</v>
          </cell>
          <cell r="I491" t="str">
            <v>TYLZ</v>
          </cell>
          <cell r="J491" t="str">
            <v>QBSK</v>
          </cell>
          <cell r="K491" t="str">
            <v xml:space="preserve">E </v>
          </cell>
          <cell r="L491" t="str">
            <v>JD</v>
          </cell>
          <cell r="M491" t="str">
            <v>EPC Ready</v>
          </cell>
          <cell r="N491" t="str">
            <v>Jaisingh Desai</v>
          </cell>
          <cell r="P491" t="str">
            <v>Mr. Sudhakar Veerla</v>
          </cell>
          <cell r="Q491" t="str">
            <v>Gaurav Shinde</v>
          </cell>
          <cell r="S491" t="str">
            <v>Andhra Pradesh</v>
          </cell>
          <cell r="T491" t="str">
            <v xml:space="preserve">Kotturu </v>
          </cell>
          <cell r="U491" t="str">
            <v>Non Premium</v>
          </cell>
          <cell r="V491" t="str">
            <v>Pharma Format</v>
          </cell>
          <cell r="W491">
            <v>517</v>
          </cell>
          <cell r="X491" t="str">
            <v>SP KVR Towers Kotturu</v>
          </cell>
          <cell r="Y491">
            <v>45124</v>
          </cell>
          <cell r="Z491" t="str">
            <v>NA</v>
          </cell>
          <cell r="AB491" t="str">
            <v>NA</v>
          </cell>
          <cell r="AF491" t="str">
            <v>NA</v>
          </cell>
          <cell r="AK491">
            <v>45162</v>
          </cell>
          <cell r="AL491" t="str">
            <v>Received</v>
          </cell>
          <cell r="AO491">
            <v>3</v>
          </cell>
          <cell r="AS491">
            <v>-3</v>
          </cell>
          <cell r="AU491">
            <v>4</v>
          </cell>
          <cell r="AY491">
            <v>-4</v>
          </cell>
          <cell r="BA491">
            <v>5</v>
          </cell>
          <cell r="BE491">
            <v>-5</v>
          </cell>
          <cell r="BG491">
            <v>5</v>
          </cell>
          <cell r="BK491">
            <v>-5</v>
          </cell>
          <cell r="BM491">
            <v>3</v>
          </cell>
          <cell r="BP491">
            <v>3</v>
          </cell>
          <cell r="BW491" t="str">
            <v>Done</v>
          </cell>
          <cell r="BX491">
            <v>45079</v>
          </cell>
          <cell r="BY491" t="str">
            <v>Approved</v>
          </cell>
          <cell r="CD491">
            <v>45126</v>
          </cell>
          <cell r="CE491">
            <v>45159</v>
          </cell>
          <cell r="CG491" t="str">
            <v>M/s INDIAN COMPUTER CORPORATION    </v>
          </cell>
          <cell r="CI491" t="str">
            <v>Issued</v>
          </cell>
          <cell r="DG491" t="str">
            <v>Netmed SDP - Not in Dead Rental</v>
          </cell>
          <cell r="DK491">
            <v>45187</v>
          </cell>
          <cell r="DM491">
            <v>2</v>
          </cell>
          <cell r="DN491" t="str">
            <v>0 to 3 Days</v>
          </cell>
          <cell r="DP491">
            <v>45162</v>
          </cell>
          <cell r="DQ491">
            <v>45189</v>
          </cell>
          <cell r="DR491">
            <v>7</v>
          </cell>
          <cell r="DS491">
            <v>7</v>
          </cell>
          <cell r="DU491">
            <v>45196</v>
          </cell>
          <cell r="DV491">
            <v>45169</v>
          </cell>
          <cell r="DW491">
            <v>45196</v>
          </cell>
          <cell r="DX491" t="str">
            <v>Sep 23 Week 4</v>
          </cell>
          <cell r="DZ491">
            <v>45261</v>
          </cell>
          <cell r="EA491" t="str">
            <v>Dec 23 Week 1</v>
          </cell>
          <cell r="EB491" t="str">
            <v>Backlog</v>
          </cell>
          <cell r="ED491" t="str">
            <v/>
          </cell>
          <cell r="EE491" t="str">
            <v/>
          </cell>
          <cell r="EF491">
            <v>1</v>
          </cell>
          <cell r="EG491">
            <v>1</v>
          </cell>
          <cell r="FD491">
            <v>65</v>
          </cell>
          <cell r="FE491" t="str">
            <v>62 to 90 Days</v>
          </cell>
          <cell r="FF491">
            <v>92</v>
          </cell>
          <cell r="FG491" t="str">
            <v>More Than 90  Days</v>
          </cell>
          <cell r="FH491" t="str">
            <v>Done</v>
          </cell>
          <cell r="FI491" t="str">
            <v>Done</v>
          </cell>
          <cell r="FJ491" t="str">
            <v>NA</v>
          </cell>
          <cell r="FK491">
            <v>45268</v>
          </cell>
          <cell r="FM491" t="str">
            <v/>
          </cell>
          <cell r="GA491">
            <v>45266</v>
          </cell>
          <cell r="GC491">
            <v>45189</v>
          </cell>
          <cell r="GG491" t="str">
            <v>2023-2024</v>
          </cell>
        </row>
        <row r="492">
          <cell r="E492" t="str">
            <v>Vill Po Dashghara  , Hoogly , Ps Dhaniakhali  , Tarakeswar , 712402</v>
          </cell>
          <cell r="F492" t="str">
            <v>9. EPC Ready</v>
          </cell>
          <cell r="G492" t="str">
            <v>SPWBTAD3465</v>
          </cell>
          <cell r="H492" t="str">
            <v>WB-SM-TKR-3000</v>
          </cell>
          <cell r="I492" t="str">
            <v>TYNQ</v>
          </cell>
          <cell r="J492" t="str">
            <v>QBUA</v>
          </cell>
          <cell r="K492" t="str">
            <v xml:space="preserve">E </v>
          </cell>
          <cell r="L492" t="str">
            <v>SD</v>
          </cell>
          <cell r="M492" t="str">
            <v>EPC Ready</v>
          </cell>
          <cell r="N492" t="str">
            <v>Mahendrakumar Warma</v>
          </cell>
          <cell r="O492" t="str">
            <v xml:space="preserve">Sandeepta Gayen </v>
          </cell>
          <cell r="Q492" t="str">
            <v>Gaurav Shinde</v>
          </cell>
          <cell r="S492" t="str">
            <v>West Bengal</v>
          </cell>
          <cell r="T492" t="str">
            <v>TARAKESWAR</v>
          </cell>
          <cell r="U492" t="str">
            <v>Non Premium</v>
          </cell>
          <cell r="V492" t="str">
            <v>Pharma Format</v>
          </cell>
          <cell r="W492">
            <v>399</v>
          </cell>
          <cell r="X492" t="str">
            <v>Vill Po Dashghara  , Hoogly , Ps Dhaniakhali  , Tarakeswar , 712402</v>
          </cell>
          <cell r="Y492">
            <v>45166</v>
          </cell>
          <cell r="Z492" t="str">
            <v>NA</v>
          </cell>
          <cell r="AB492" t="str">
            <v>NA</v>
          </cell>
          <cell r="AF492" t="str">
            <v>NA</v>
          </cell>
          <cell r="AK492">
            <v>45184</v>
          </cell>
          <cell r="AL492" t="str">
            <v>Received</v>
          </cell>
          <cell r="AO492">
            <v>3</v>
          </cell>
          <cell r="AS492">
            <v>-3</v>
          </cell>
          <cell r="AU492">
            <v>4</v>
          </cell>
          <cell r="AY492">
            <v>-4</v>
          </cell>
          <cell r="BA492">
            <v>5</v>
          </cell>
          <cell r="BE492">
            <v>-5</v>
          </cell>
          <cell r="BG492">
            <v>5</v>
          </cell>
          <cell r="BK492">
            <v>-5</v>
          </cell>
          <cell r="BM492">
            <v>3</v>
          </cell>
          <cell r="BP492">
            <v>3</v>
          </cell>
          <cell r="BW492" t="str">
            <v>Done</v>
          </cell>
          <cell r="BX492">
            <v>45079</v>
          </cell>
          <cell r="BY492" t="str">
            <v>Approved</v>
          </cell>
          <cell r="CD492">
            <v>45163</v>
          </cell>
          <cell r="CE492">
            <v>45196</v>
          </cell>
          <cell r="CG492" t="str">
            <v>M/s. ELECTROLEC ENTERPRISE</v>
          </cell>
          <cell r="CI492" t="str">
            <v>Issued</v>
          </cell>
          <cell r="DG492" t="str">
            <v>Netmed SDP - Not in Dead Rental</v>
          </cell>
          <cell r="DK492">
            <v>45206</v>
          </cell>
          <cell r="DM492">
            <v>2</v>
          </cell>
          <cell r="DN492" t="str">
            <v>0 to 3 Days</v>
          </cell>
          <cell r="DP492">
            <v>45199</v>
          </cell>
          <cell r="DQ492">
            <v>45208</v>
          </cell>
          <cell r="DR492">
            <v>7</v>
          </cell>
          <cell r="DS492">
            <v>7</v>
          </cell>
          <cell r="DU492">
            <v>45215</v>
          </cell>
          <cell r="DV492">
            <v>45206</v>
          </cell>
          <cell r="DW492">
            <v>45215</v>
          </cell>
          <cell r="DX492" t="str">
            <v>Oct 23 Week 3</v>
          </cell>
          <cell r="DZ492">
            <v>45215</v>
          </cell>
          <cell r="EA492" t="str">
            <v>Oct 23 Week 3</v>
          </cell>
          <cell r="EB492" t="str">
            <v>Plan</v>
          </cell>
          <cell r="ED492" t="str">
            <v/>
          </cell>
          <cell r="EE492" t="str">
            <v/>
          </cell>
          <cell r="EF492">
            <v>1</v>
          </cell>
          <cell r="EG492">
            <v>1</v>
          </cell>
          <cell r="FD492">
            <v>0</v>
          </cell>
          <cell r="FE492" t="str">
            <v>On Time</v>
          </cell>
          <cell r="FF492">
            <v>9</v>
          </cell>
          <cell r="FG492" t="str">
            <v>8 to 15 Days</v>
          </cell>
          <cell r="FH492" t="str">
            <v>Done</v>
          </cell>
          <cell r="FI492" t="str">
            <v>Done</v>
          </cell>
          <cell r="FJ492" t="str">
            <v>NA</v>
          </cell>
          <cell r="FK492">
            <v>45301</v>
          </cell>
          <cell r="FM492" t="str">
            <v/>
          </cell>
          <cell r="GA492">
            <v>45301</v>
          </cell>
          <cell r="GC492">
            <v>45208</v>
          </cell>
          <cell r="GG492" t="str">
            <v>2023-2024</v>
          </cell>
        </row>
        <row r="493">
          <cell r="E493" t="str">
            <v>Ground Floor Unit/ShopNo.8/215-BVengalil  , Church Maraman  Pathanamthitta , Galleria Nedumprayar Near St.Joseph  , KOZHENCHERRY , 679326</v>
          </cell>
          <cell r="F493" t="str">
            <v>9. EPC Ready</v>
          </cell>
          <cell r="G493" t="str">
            <v>SPKLKOS3403</v>
          </cell>
          <cell r="H493" t="str">
            <v>KE-SM-KNY-3000</v>
          </cell>
          <cell r="I493" t="str">
            <v>TYKJ</v>
          </cell>
          <cell r="J493" t="str">
            <v>QBQU</v>
          </cell>
          <cell r="K493" t="str">
            <v>S</v>
          </cell>
          <cell r="L493" t="str">
            <v>AK</v>
          </cell>
          <cell r="M493" t="str">
            <v>EPC Ready</v>
          </cell>
          <cell r="N493" t="str">
            <v>N Kalyankumar</v>
          </cell>
          <cell r="O493" t="str">
            <v>Jose Loviece</v>
          </cell>
          <cell r="Q493" t="str">
            <v>Gaurav Shinde</v>
          </cell>
          <cell r="S493" t="str">
            <v>Kerala</v>
          </cell>
          <cell r="T493" t="str">
            <v>KOZHENCHERRY</v>
          </cell>
          <cell r="U493" t="str">
            <v>Non Premium</v>
          </cell>
          <cell r="V493" t="str">
            <v>Pharma Format</v>
          </cell>
          <cell r="W493">
            <v>400</v>
          </cell>
          <cell r="X493" t="str">
            <v>Ground Floor Unit/ShopNo.8/215-BVengalil  , Church Maraman  Pathanamthitta , Galleria Nedumprayar Near St.Joseph  , KOZHENCHERRY , 679326</v>
          </cell>
          <cell r="Z493" t="str">
            <v>NA</v>
          </cell>
          <cell r="AB493" t="str">
            <v>NA</v>
          </cell>
          <cell r="AF493" t="str">
            <v>NA</v>
          </cell>
          <cell r="AL493" t="str">
            <v>Received</v>
          </cell>
          <cell r="AO493">
            <v>3</v>
          </cell>
          <cell r="AS493">
            <v>-3</v>
          </cell>
          <cell r="AU493">
            <v>4</v>
          </cell>
          <cell r="AY493">
            <v>-4</v>
          </cell>
          <cell r="BA493">
            <v>5</v>
          </cell>
          <cell r="BE493">
            <v>-5</v>
          </cell>
          <cell r="BG493">
            <v>5</v>
          </cell>
          <cell r="BK493">
            <v>-5</v>
          </cell>
          <cell r="BM493">
            <v>3</v>
          </cell>
          <cell r="BP493">
            <v>3</v>
          </cell>
          <cell r="BW493" t="str">
            <v>Done</v>
          </cell>
          <cell r="BX493">
            <v>45079</v>
          </cell>
          <cell r="BY493" t="str">
            <v>Approved</v>
          </cell>
          <cell r="CD493">
            <v>45163</v>
          </cell>
          <cell r="CE493">
            <v>45310</v>
          </cell>
          <cell r="CG493" t="str">
            <v>M/s. Arselex Engineering</v>
          </cell>
          <cell r="CI493" t="str">
            <v>Issued</v>
          </cell>
          <cell r="DG493" t="str">
            <v>Netmed SDP - Not in Dead Rental</v>
          </cell>
          <cell r="DL493">
            <v>45275</v>
          </cell>
          <cell r="DM493" t="str">
            <v>NA</v>
          </cell>
          <cell r="DN493" t="str">
            <v>NA</v>
          </cell>
          <cell r="DO493" t="str">
            <v>8) LOA Issued Business Issue to start works</v>
          </cell>
          <cell r="DP493">
            <v>45331</v>
          </cell>
          <cell r="DQ493">
            <v>45334</v>
          </cell>
          <cell r="DR493">
            <v>7</v>
          </cell>
          <cell r="DS493">
            <v>7</v>
          </cell>
          <cell r="DU493">
            <v>45341</v>
          </cell>
          <cell r="DV493">
            <v>45338</v>
          </cell>
          <cell r="DW493">
            <v>45341</v>
          </cell>
          <cell r="DX493" t="str">
            <v>Feb 24 Week 3</v>
          </cell>
          <cell r="DZ493">
            <v>45344</v>
          </cell>
          <cell r="EA493" t="str">
            <v>Feb 24 Week 4</v>
          </cell>
          <cell r="EB493" t="str">
            <v>Backlog</v>
          </cell>
          <cell r="ED493" t="str">
            <v/>
          </cell>
          <cell r="EE493" t="str">
            <v/>
          </cell>
          <cell r="EF493">
            <v>1</v>
          </cell>
          <cell r="EG493">
            <v>1</v>
          </cell>
          <cell r="FD493">
            <v>3</v>
          </cell>
          <cell r="FE493" t="str">
            <v>0 to 3 Days</v>
          </cell>
          <cell r="FF493">
            <v>6</v>
          </cell>
          <cell r="FG493" t="str">
            <v>4 to 7 Days</v>
          </cell>
          <cell r="FH493" t="str">
            <v>Done</v>
          </cell>
          <cell r="FI493" t="str">
            <v>Done</v>
          </cell>
          <cell r="FJ493" t="str">
            <v>NA</v>
          </cell>
          <cell r="FK493">
            <v>45346</v>
          </cell>
          <cell r="FM493" t="str">
            <v/>
          </cell>
          <cell r="GA493">
            <v>45344</v>
          </cell>
          <cell r="GC493">
            <v>45334</v>
          </cell>
          <cell r="GG493" t="str">
            <v>2023-2024</v>
          </cell>
        </row>
        <row r="494">
          <cell r="E494" t="str">
            <v>RANIBAZAR_AGARTALA_TRIPURA</v>
          </cell>
          <cell r="F494" t="str">
            <v>9. EPC Ready</v>
          </cell>
          <cell r="G494" t="str">
            <v>SPTRAGR4174</v>
          </cell>
          <cell r="H494" t="str">
            <v>NE-SM-AGT-3006</v>
          </cell>
          <cell r="I494" t="str">
            <v>TYLJ</v>
          </cell>
          <cell r="J494" t="str">
            <v>QBRU</v>
          </cell>
          <cell r="K494" t="str">
            <v xml:space="preserve">E </v>
          </cell>
          <cell r="L494" t="str">
            <v>SD</v>
          </cell>
          <cell r="M494" t="str">
            <v>EPC Ready</v>
          </cell>
          <cell r="N494" t="str">
            <v>Mahendrakumar Warma</v>
          </cell>
          <cell r="O494" t="str">
            <v>Anup das (EXCEPT SIKKIM)</v>
          </cell>
          <cell r="P494" t="str">
            <v>Nirupam Das-9287955307</v>
          </cell>
          <cell r="Q494" t="str">
            <v>Gaurav Shinde</v>
          </cell>
          <cell r="S494" t="str">
            <v>North East</v>
          </cell>
          <cell r="T494" t="str">
            <v>Tripura</v>
          </cell>
          <cell r="U494" t="str">
            <v>Non Premium</v>
          </cell>
          <cell r="V494" t="str">
            <v>Pharma Format</v>
          </cell>
          <cell r="W494">
            <v>400</v>
          </cell>
          <cell r="X494" t="str">
            <v>RANIBAZAR_AGARTALA_TRIPURA</v>
          </cell>
          <cell r="Y494">
            <v>45159</v>
          </cell>
          <cell r="Z494" t="str">
            <v>NA</v>
          </cell>
          <cell r="AB494" t="str">
            <v>NA</v>
          </cell>
          <cell r="AF494" t="str">
            <v>NA</v>
          </cell>
          <cell r="AK494">
            <v>45182</v>
          </cell>
          <cell r="AL494" t="str">
            <v>Received</v>
          </cell>
          <cell r="AO494">
            <v>3</v>
          </cell>
          <cell r="AS494">
            <v>-3</v>
          </cell>
          <cell r="AU494">
            <v>4</v>
          </cell>
          <cell r="AY494">
            <v>-4</v>
          </cell>
          <cell r="BA494">
            <v>5</v>
          </cell>
          <cell r="BE494">
            <v>-5</v>
          </cell>
          <cell r="BG494">
            <v>5</v>
          </cell>
          <cell r="BK494">
            <v>-5</v>
          </cell>
          <cell r="BM494">
            <v>3</v>
          </cell>
          <cell r="BP494">
            <v>3</v>
          </cell>
          <cell r="BW494" t="str">
            <v>Done</v>
          </cell>
          <cell r="BX494">
            <v>45079</v>
          </cell>
          <cell r="BY494" t="str">
            <v>Approved</v>
          </cell>
          <cell r="CD494">
            <v>45162</v>
          </cell>
          <cell r="CE494">
            <v>45177</v>
          </cell>
          <cell r="CG494" t="str">
            <v>M/s. STAR SOLUTIONS</v>
          </cell>
          <cell r="CI494" t="str">
            <v>Issued</v>
          </cell>
          <cell r="DG494" t="str">
            <v>Netmed SDP - Not in Dead Rental</v>
          </cell>
          <cell r="DK494">
            <v>45192</v>
          </cell>
          <cell r="DM494">
            <v>2</v>
          </cell>
          <cell r="DN494" t="str">
            <v>0 to 3 Days</v>
          </cell>
          <cell r="DP494">
            <v>45180</v>
          </cell>
          <cell r="DQ494">
            <v>45194</v>
          </cell>
          <cell r="DR494">
            <v>7</v>
          </cell>
          <cell r="DS494">
            <v>7</v>
          </cell>
          <cell r="DU494">
            <v>45201</v>
          </cell>
          <cell r="DV494">
            <v>45187</v>
          </cell>
          <cell r="DW494">
            <v>45201</v>
          </cell>
          <cell r="DX494" t="str">
            <v>Oct 23 Week 1</v>
          </cell>
          <cell r="DZ494">
            <v>45222</v>
          </cell>
          <cell r="EA494" t="str">
            <v>Oct 23 Week 4</v>
          </cell>
          <cell r="EB494" t="str">
            <v>Backlog</v>
          </cell>
          <cell r="ED494" t="str">
            <v/>
          </cell>
          <cell r="EE494" t="str">
            <v/>
          </cell>
          <cell r="EF494">
            <v>1</v>
          </cell>
          <cell r="EG494">
            <v>1</v>
          </cell>
          <cell r="FD494">
            <v>21</v>
          </cell>
          <cell r="FE494" t="str">
            <v>16 to 31 Days</v>
          </cell>
          <cell r="FF494">
            <v>35</v>
          </cell>
          <cell r="FG494" t="str">
            <v>31 to 61 Days</v>
          </cell>
          <cell r="FH494" t="str">
            <v>Done</v>
          </cell>
          <cell r="FI494" t="str">
            <v>Done</v>
          </cell>
          <cell r="FJ494" t="str">
            <v>NA</v>
          </cell>
          <cell r="FK494">
            <v>45215</v>
          </cell>
          <cell r="FM494" t="str">
            <v/>
          </cell>
          <cell r="GA494">
            <v>45222</v>
          </cell>
          <cell r="GC494">
            <v>45194</v>
          </cell>
          <cell r="GG494" t="str">
            <v>2023-2024</v>
          </cell>
        </row>
        <row r="495">
          <cell r="E495" t="str">
            <v>Danish Display No 70A Anna Salai  , Kodaikanal Dindigal , Bus Stand Back  , KODAIKANAL , 624101</v>
          </cell>
          <cell r="F495" t="str">
            <v>9. EPC Ready</v>
          </cell>
          <cell r="G495" t="str">
            <v>SPTNDID3552</v>
          </cell>
          <cell r="H495" t="str">
            <v>TN-SM-KOD-3000</v>
          </cell>
          <cell r="I495" t="str">
            <v>TYSC</v>
          </cell>
          <cell r="J495" t="str">
            <v>QBZG</v>
          </cell>
          <cell r="K495" t="str">
            <v>S</v>
          </cell>
          <cell r="L495" t="str">
            <v>AK</v>
          </cell>
          <cell r="M495" t="str">
            <v>EPC Ready</v>
          </cell>
          <cell r="N495" t="str">
            <v>N Kalyankumar</v>
          </cell>
          <cell r="O495" t="str">
            <v>Muthuvelu Minnal /
Vijayakumar Muthusamy</v>
          </cell>
          <cell r="Q495" t="str">
            <v>Gaurav Shinde</v>
          </cell>
          <cell r="S495" t="str">
            <v>Tamil Nadu</v>
          </cell>
          <cell r="T495" t="str">
            <v>Kodaikanal</v>
          </cell>
          <cell r="U495" t="str">
            <v>Non Premium</v>
          </cell>
          <cell r="V495" t="str">
            <v>Pharma Format</v>
          </cell>
          <cell r="W495">
            <v>400</v>
          </cell>
          <cell r="X495" t="str">
            <v>Danish Display No 70A Anna Salai  , Kodaikanal Dindigal , Bus Stand Back  , KODAIKANAL , 624101</v>
          </cell>
          <cell r="Y495">
            <v>45166</v>
          </cell>
          <cell r="Z495" t="str">
            <v>NA</v>
          </cell>
          <cell r="AB495" t="str">
            <v>NA</v>
          </cell>
          <cell r="AF495" t="str">
            <v>NA</v>
          </cell>
          <cell r="AK495">
            <v>45288</v>
          </cell>
          <cell r="AL495" t="str">
            <v>Received</v>
          </cell>
          <cell r="AO495">
            <v>3</v>
          </cell>
          <cell r="AS495">
            <v>-3</v>
          </cell>
          <cell r="AU495">
            <v>4</v>
          </cell>
          <cell r="AY495">
            <v>-4</v>
          </cell>
          <cell r="BA495">
            <v>5</v>
          </cell>
          <cell r="BE495">
            <v>-5</v>
          </cell>
          <cell r="BG495">
            <v>5</v>
          </cell>
          <cell r="BK495">
            <v>-5</v>
          </cell>
          <cell r="BM495">
            <v>3</v>
          </cell>
          <cell r="BP495">
            <v>3</v>
          </cell>
          <cell r="BW495" t="str">
            <v>Done</v>
          </cell>
          <cell r="BX495">
            <v>45079</v>
          </cell>
          <cell r="BY495" t="str">
            <v>Approved</v>
          </cell>
          <cell r="CD495">
            <v>45163</v>
          </cell>
          <cell r="CI495" t="str">
            <v>Pending</v>
          </cell>
          <cell r="DA495" t="str">
            <v>NA</v>
          </cell>
          <cell r="DB495" t="str">
            <v>NA</v>
          </cell>
          <cell r="DC495" t="str">
            <v>NA</v>
          </cell>
          <cell r="DG495" t="str">
            <v>Netmed SDP - Not in Dead Rental</v>
          </cell>
          <cell r="DK495">
            <v>45367</v>
          </cell>
          <cell r="DL495">
            <v>44930</v>
          </cell>
          <cell r="DM495">
            <v>2</v>
          </cell>
          <cell r="DN495" t="str">
            <v>0 to 3 Days</v>
          </cell>
          <cell r="DO495" t="str">
            <v>LOA received on 13-03-2024</v>
          </cell>
          <cell r="DP495">
            <v>45370</v>
          </cell>
          <cell r="DQ495">
            <v>45369</v>
          </cell>
          <cell r="DR495">
            <v>7</v>
          </cell>
          <cell r="DS495">
            <v>7</v>
          </cell>
          <cell r="DT495">
            <v>0</v>
          </cell>
          <cell r="DU495">
            <v>45376</v>
          </cell>
          <cell r="DV495">
            <v>45377</v>
          </cell>
          <cell r="DW495">
            <v>45376</v>
          </cell>
          <cell r="DX495" t="str">
            <v>March 24 Week 4</v>
          </cell>
          <cell r="DY495">
            <v>45399</v>
          </cell>
          <cell r="DZ495">
            <v>45398</v>
          </cell>
          <cell r="EA495" t="str">
            <v>April 24 Week 3</v>
          </cell>
          <cell r="EB495" t="str">
            <v>Backlog</v>
          </cell>
          <cell r="ED495" t="str">
            <v/>
          </cell>
          <cell r="EE495" t="str">
            <v/>
          </cell>
          <cell r="EF495">
            <v>1</v>
          </cell>
          <cell r="FD495">
            <v>22</v>
          </cell>
          <cell r="FE495" t="str">
            <v>16 to 31 Days</v>
          </cell>
          <cell r="FF495">
            <v>21</v>
          </cell>
          <cell r="FG495" t="str">
            <v>16 to 31 Days</v>
          </cell>
          <cell r="FH495" t="str">
            <v>done</v>
          </cell>
          <cell r="FJ495" t="str">
            <v>NA</v>
          </cell>
          <cell r="FK495">
            <v>45412</v>
          </cell>
          <cell r="FM495" t="str">
            <v/>
          </cell>
          <cell r="GC495">
            <v>45314</v>
          </cell>
          <cell r="GG495" t="str">
            <v>2024-2025</v>
          </cell>
        </row>
        <row r="496">
          <cell r="E496" t="str">
            <v>SP Pharma Brajandra Bhawan Kumarghat</v>
          </cell>
          <cell r="F496" t="str">
            <v>9. EPC Ready</v>
          </cell>
          <cell r="G496" t="str">
            <v>SPTRKUN3652</v>
          </cell>
          <cell r="H496" t="str">
            <v>NE-SM-KAT-3000</v>
          </cell>
          <cell r="I496" t="str">
            <v>TZC4</v>
          </cell>
          <cell r="J496" t="str">
            <v>QDUM</v>
          </cell>
          <cell r="K496" t="str">
            <v xml:space="preserve">E </v>
          </cell>
          <cell r="L496" t="str">
            <v>SD</v>
          </cell>
          <cell r="M496" t="str">
            <v>EPC Ready Pharmacy 200 SFT</v>
          </cell>
          <cell r="N496" t="str">
            <v>Mahendrakumar Warma</v>
          </cell>
          <cell r="O496" t="str">
            <v>Anup das (EXCEPT SIKKIM)</v>
          </cell>
          <cell r="P496" t="str">
            <v>Shubham Rai-6003901308</v>
          </cell>
          <cell r="Q496" t="str">
            <v>Gaurav Shinde</v>
          </cell>
          <cell r="S496" t="str">
            <v>North East</v>
          </cell>
          <cell r="T496" t="str">
            <v>Kumarghat</v>
          </cell>
          <cell r="U496" t="str">
            <v>Non Premium</v>
          </cell>
          <cell r="V496" t="str">
            <v>Pharma Format</v>
          </cell>
          <cell r="W496">
            <v>200</v>
          </cell>
          <cell r="X496" t="str">
            <v>SP Pharma Brajandra Bhawan Kumarghat</v>
          </cell>
          <cell r="Y496">
            <v>45106</v>
          </cell>
          <cell r="Z496" t="str">
            <v>NA</v>
          </cell>
          <cell r="AB496" t="str">
            <v>NA</v>
          </cell>
          <cell r="AF496" t="str">
            <v>NA</v>
          </cell>
          <cell r="AL496" t="str">
            <v>Received</v>
          </cell>
          <cell r="AO496">
            <v>3</v>
          </cell>
          <cell r="AS496">
            <v>-3</v>
          </cell>
          <cell r="AU496">
            <v>4</v>
          </cell>
          <cell r="AY496">
            <v>-4</v>
          </cell>
          <cell r="BA496">
            <v>5</v>
          </cell>
          <cell r="BE496">
            <v>-5</v>
          </cell>
          <cell r="BG496">
            <v>5</v>
          </cell>
          <cell r="BK496">
            <v>-5</v>
          </cell>
          <cell r="BM496">
            <v>3</v>
          </cell>
          <cell r="BP496">
            <v>3</v>
          </cell>
          <cell r="BW496" t="str">
            <v>Done</v>
          </cell>
          <cell r="BX496">
            <v>45079</v>
          </cell>
          <cell r="BY496" t="str">
            <v>Approved</v>
          </cell>
          <cell r="DG496" t="str">
            <v>Netmed SDP - Not in Dead Rental</v>
          </cell>
          <cell r="DK496">
            <v>45110</v>
          </cell>
          <cell r="DM496">
            <v>2</v>
          </cell>
          <cell r="DN496" t="str">
            <v>0 to 3 Days</v>
          </cell>
          <cell r="DQ496">
            <v>45112</v>
          </cell>
          <cell r="DR496">
            <v>7</v>
          </cell>
          <cell r="DS496">
            <v>7</v>
          </cell>
          <cell r="DU496">
            <v>45119</v>
          </cell>
          <cell r="DV496">
            <v>7</v>
          </cell>
          <cell r="DW496">
            <v>45119</v>
          </cell>
          <cell r="DX496" t="str">
            <v>July 23 Week 2</v>
          </cell>
          <cell r="DZ496">
            <v>45127</v>
          </cell>
          <cell r="EA496" t="str">
            <v>July 23 Week 3</v>
          </cell>
          <cell r="EB496" t="str">
            <v>Backlog</v>
          </cell>
          <cell r="ED496" t="str">
            <v/>
          </cell>
          <cell r="EE496" t="str">
            <v/>
          </cell>
          <cell r="EF496">
            <v>1</v>
          </cell>
          <cell r="EG496">
            <v>1</v>
          </cell>
          <cell r="FD496">
            <v>8</v>
          </cell>
          <cell r="FE496" t="str">
            <v>8 to 15 Days</v>
          </cell>
          <cell r="FF496">
            <v>45120</v>
          </cell>
          <cell r="FH496" t="str">
            <v>Done</v>
          </cell>
          <cell r="FI496" t="str">
            <v>Done</v>
          </cell>
          <cell r="FJ496" t="str">
            <v>NA</v>
          </cell>
          <cell r="FK496">
            <v>45219</v>
          </cell>
          <cell r="FM496" t="str">
            <v/>
          </cell>
          <cell r="GG496" t="str">
            <v>2023-2024</v>
          </cell>
        </row>
        <row r="497">
          <cell r="E497" t="str">
            <v>Pulippara Tower Opposite Sbi Kummil  , Kadakkal Kollam , Branch Kadakkal Pangodu Road Kummil Po  , Kummil , 691536</v>
          </cell>
          <cell r="F497" t="str">
            <v>9. EPC Ready</v>
          </cell>
          <cell r="G497" t="str">
            <v>SPKLKUT3399</v>
          </cell>
          <cell r="H497" t="str">
            <v>KE-SM-KML-3000</v>
          </cell>
          <cell r="I497" t="str">
            <v>TYGE</v>
          </cell>
          <cell r="J497" t="str">
            <v>QBMG</v>
          </cell>
          <cell r="K497" t="str">
            <v>S</v>
          </cell>
          <cell r="L497" t="str">
            <v>AK</v>
          </cell>
          <cell r="M497" t="str">
            <v>EPC Ready</v>
          </cell>
          <cell r="N497" t="str">
            <v>N Kalyankumar</v>
          </cell>
          <cell r="O497" t="str">
            <v>Jose Loviece</v>
          </cell>
          <cell r="Q497" t="str">
            <v>Gaurav Shinde</v>
          </cell>
          <cell r="S497" t="str">
            <v>Kerala</v>
          </cell>
          <cell r="T497" t="str">
            <v>KUMMIL</v>
          </cell>
          <cell r="U497" t="str">
            <v>Non Premium</v>
          </cell>
          <cell r="V497" t="str">
            <v>Pharma Format</v>
          </cell>
          <cell r="W497">
            <v>412</v>
          </cell>
          <cell r="X497" t="str">
            <v>Pulippara Tower Opposite Sbi Kummil  , Kadakkal Kollam , Branch Kadakkal Pangodu Road Kummil Po  , Kummil , 691536</v>
          </cell>
          <cell r="Y497">
            <v>45166</v>
          </cell>
          <cell r="Z497" t="str">
            <v>NA</v>
          </cell>
          <cell r="AB497" t="str">
            <v>NA</v>
          </cell>
          <cell r="AF497" t="str">
            <v>NA</v>
          </cell>
          <cell r="AK497">
            <v>45183</v>
          </cell>
          <cell r="AL497" t="str">
            <v>Received</v>
          </cell>
          <cell r="AO497">
            <v>3</v>
          </cell>
          <cell r="AS497">
            <v>-3</v>
          </cell>
          <cell r="AU497">
            <v>4</v>
          </cell>
          <cell r="AY497">
            <v>-4</v>
          </cell>
          <cell r="BA497">
            <v>5</v>
          </cell>
          <cell r="BE497">
            <v>-5</v>
          </cell>
          <cell r="BG497">
            <v>5</v>
          </cell>
          <cell r="BK497">
            <v>-5</v>
          </cell>
          <cell r="BM497">
            <v>3</v>
          </cell>
          <cell r="BP497">
            <v>3</v>
          </cell>
          <cell r="BW497" t="str">
            <v>Done</v>
          </cell>
          <cell r="BX497">
            <v>45079</v>
          </cell>
          <cell r="BY497" t="str">
            <v>Approved</v>
          </cell>
          <cell r="CD497">
            <v>45163</v>
          </cell>
          <cell r="CE497">
            <v>45194</v>
          </cell>
          <cell r="CG497" t="str">
            <v>M/s. Arselex Engineering</v>
          </cell>
          <cell r="CI497" t="str">
            <v>Issued</v>
          </cell>
          <cell r="DG497" t="str">
            <v>Netmed SDP - Not in Dead Rental</v>
          </cell>
          <cell r="DK497">
            <v>45220</v>
          </cell>
          <cell r="DM497">
            <v>2</v>
          </cell>
          <cell r="DN497" t="str">
            <v>0 to 3 Days</v>
          </cell>
          <cell r="DP497">
            <v>45197</v>
          </cell>
          <cell r="DQ497">
            <v>45222</v>
          </cell>
          <cell r="DR497">
            <v>7</v>
          </cell>
          <cell r="DS497">
            <v>7</v>
          </cell>
          <cell r="DU497">
            <v>45229</v>
          </cell>
          <cell r="DV497">
            <v>45204</v>
          </cell>
          <cell r="DW497">
            <v>45229</v>
          </cell>
          <cell r="DX497" t="str">
            <v>Oct 23 Week 5</v>
          </cell>
          <cell r="DZ497">
            <v>45245</v>
          </cell>
          <cell r="EA497" t="str">
            <v>Nov 23 Week 3</v>
          </cell>
          <cell r="EB497" t="str">
            <v>Backlog</v>
          </cell>
          <cell r="ED497" t="str">
            <v/>
          </cell>
          <cell r="EE497" t="str">
            <v/>
          </cell>
          <cell r="EF497">
            <v>1</v>
          </cell>
          <cell r="EG497">
            <v>1</v>
          </cell>
          <cell r="FD497">
            <v>16</v>
          </cell>
          <cell r="FE497" t="str">
            <v>16 to 31 Days</v>
          </cell>
          <cell r="FF497">
            <v>41</v>
          </cell>
          <cell r="FG497" t="str">
            <v>31 to 61 Days</v>
          </cell>
          <cell r="FH497" t="str">
            <v>Done</v>
          </cell>
          <cell r="FI497" t="str">
            <v>Done</v>
          </cell>
          <cell r="FJ497" t="str">
            <v>NA</v>
          </cell>
          <cell r="FK497">
            <v>45302</v>
          </cell>
          <cell r="FM497" t="str">
            <v/>
          </cell>
          <cell r="GA497">
            <v>45275</v>
          </cell>
          <cell r="GC497" t="str">
            <v xml:space="preserve">
23-10-2023</v>
          </cell>
          <cell r="GG497" t="str">
            <v>2023-2024</v>
          </cell>
        </row>
        <row r="498">
          <cell r="E498" t="str">
            <v>Vill Ragunathpur Po Nayasarai Ps Mogra  , Kuntighat Hoogly , Near Location Rayon Bus Stand  , KUNTIGHAT , 712513</v>
          </cell>
          <cell r="F498" t="str">
            <v>9. EPC Ready</v>
          </cell>
          <cell r="G498" t="str">
            <v>SPWBNAR4018</v>
          </cell>
          <cell r="H498" t="str">
            <v>NE-SM-KAT-3001</v>
          </cell>
          <cell r="I498" t="str">
            <v>TAKQ</v>
          </cell>
          <cell r="J498" t="str">
            <v>QFYJ</v>
          </cell>
          <cell r="K498" t="str">
            <v xml:space="preserve">E </v>
          </cell>
          <cell r="L498" t="str">
            <v>SD</v>
          </cell>
          <cell r="M498" t="str">
            <v>EPC Ready</v>
          </cell>
          <cell r="N498" t="str">
            <v>Mahendrakumar Warma</v>
          </cell>
          <cell r="O498" t="str">
            <v xml:space="preserve">Sandeepta Gayen </v>
          </cell>
          <cell r="Q498" t="str">
            <v>Gaurav Shinde</v>
          </cell>
          <cell r="S498" t="str">
            <v>West Bengal</v>
          </cell>
          <cell r="T498" t="str">
            <v>Kuntighat</v>
          </cell>
          <cell r="U498" t="str">
            <v>Non Premium</v>
          </cell>
          <cell r="V498" t="str">
            <v>Pharma Format</v>
          </cell>
          <cell r="W498">
            <v>408</v>
          </cell>
          <cell r="X498" t="str">
            <v>Vill Ragunathpur Po Nayasarai Ps Mogra  , Kuntighat Hoogly , Near Location Rayon Bus Stand  , KUNTIGHAT , 712513</v>
          </cell>
          <cell r="Y498">
            <v>45166</v>
          </cell>
          <cell r="Z498" t="str">
            <v>NA</v>
          </cell>
          <cell r="AB498" t="str">
            <v>NA</v>
          </cell>
          <cell r="AF498" t="str">
            <v>NA</v>
          </cell>
          <cell r="AK498">
            <v>45163</v>
          </cell>
          <cell r="AL498" t="str">
            <v>Received</v>
          </cell>
          <cell r="AO498">
            <v>3</v>
          </cell>
          <cell r="AS498">
            <v>-3</v>
          </cell>
          <cell r="AU498">
            <v>4</v>
          </cell>
          <cell r="AY498">
            <v>-4</v>
          </cell>
          <cell r="BA498">
            <v>5</v>
          </cell>
          <cell r="BE498">
            <v>-5</v>
          </cell>
          <cell r="BG498">
            <v>5</v>
          </cell>
          <cell r="BK498">
            <v>-5</v>
          </cell>
          <cell r="BM498">
            <v>3</v>
          </cell>
          <cell r="BP498">
            <v>3</v>
          </cell>
          <cell r="BW498" t="str">
            <v>Done</v>
          </cell>
          <cell r="BX498">
            <v>45079</v>
          </cell>
          <cell r="BY498" t="str">
            <v>Approved</v>
          </cell>
          <cell r="CD498">
            <v>45163</v>
          </cell>
          <cell r="CE498">
            <v>45196</v>
          </cell>
          <cell r="CG498" t="str">
            <v xml:space="preserve">M/s. EBENEZER </v>
          </cell>
          <cell r="CI498" t="str">
            <v>Issued</v>
          </cell>
          <cell r="DG498" t="str">
            <v>Netmed SDP - Not in Dead Rental</v>
          </cell>
          <cell r="DK498">
            <v>45207</v>
          </cell>
          <cell r="DL498">
            <v>45201</v>
          </cell>
          <cell r="DM498">
            <v>2</v>
          </cell>
          <cell r="DN498" t="str">
            <v>0 to 3 Days</v>
          </cell>
          <cell r="DP498">
            <v>45199</v>
          </cell>
          <cell r="DQ498">
            <v>45209</v>
          </cell>
          <cell r="DR498">
            <v>7</v>
          </cell>
          <cell r="DS498">
            <v>7</v>
          </cell>
          <cell r="DU498">
            <v>45216</v>
          </cell>
          <cell r="DV498">
            <v>45206</v>
          </cell>
          <cell r="DW498">
            <v>45216</v>
          </cell>
          <cell r="DX498" t="str">
            <v>Oct 23 Week 3</v>
          </cell>
          <cell r="DZ498">
            <v>45247</v>
          </cell>
          <cell r="EA498" t="str">
            <v>Nov 23 Week 3</v>
          </cell>
          <cell r="EB498" t="str">
            <v>Backlog</v>
          </cell>
          <cell r="ED498" t="str">
            <v/>
          </cell>
          <cell r="EE498" t="str">
            <v/>
          </cell>
          <cell r="EF498">
            <v>1</v>
          </cell>
          <cell r="EG498">
            <v>1</v>
          </cell>
          <cell r="FD498">
            <v>31</v>
          </cell>
          <cell r="FE498" t="str">
            <v>16 to 31 Days</v>
          </cell>
          <cell r="FF498">
            <v>41</v>
          </cell>
          <cell r="FG498" t="str">
            <v>31 to 61 Days</v>
          </cell>
          <cell r="FH498" t="str">
            <v>Done</v>
          </cell>
          <cell r="FI498" t="str">
            <v>Done</v>
          </cell>
          <cell r="FJ498" t="str">
            <v>NA</v>
          </cell>
          <cell r="FK498">
            <v>45248</v>
          </cell>
          <cell r="FM498" t="str">
            <v/>
          </cell>
          <cell r="GA498">
            <v>45248</v>
          </cell>
          <cell r="GC498">
            <v>45209</v>
          </cell>
          <cell r="GG498" t="str">
            <v>2023-2024</v>
          </cell>
        </row>
        <row r="499">
          <cell r="E499" t="str">
            <v>D4 Tower Mandhiram Street Kurichy  , Kottayam , Po Mandhiram  , KURICHY , 686532</v>
          </cell>
          <cell r="F499" t="str">
            <v>9. EPC Ready</v>
          </cell>
          <cell r="G499" t="str">
            <v>SPKLKOD3596</v>
          </cell>
          <cell r="H499" t="str">
            <v>KE-SM-KIY-3000</v>
          </cell>
          <cell r="I499" t="str">
            <v>TYLB</v>
          </cell>
          <cell r="J499" t="str">
            <v>QBRM</v>
          </cell>
          <cell r="K499" t="str">
            <v>S</v>
          </cell>
          <cell r="L499" t="str">
            <v>AK</v>
          </cell>
          <cell r="M499" t="str">
            <v>EPC Ready</v>
          </cell>
          <cell r="N499" t="str">
            <v>N Kalyankumar</v>
          </cell>
          <cell r="O499" t="str">
            <v>Jose Loviece</v>
          </cell>
          <cell r="P499" t="str">
            <v>Jose Loviese-6361753673</v>
          </cell>
          <cell r="Q499" t="str">
            <v>Gaurav Shinde</v>
          </cell>
          <cell r="S499" t="str">
            <v>Kerala</v>
          </cell>
          <cell r="T499" t="str">
            <v>KURICHY</v>
          </cell>
          <cell r="U499" t="str">
            <v>Non Premium</v>
          </cell>
          <cell r="V499" t="str">
            <v>Pharma Format</v>
          </cell>
          <cell r="W499">
            <v>402</v>
          </cell>
          <cell r="X499" t="str">
            <v>D4 Tower Mandhiram Street Kurichy  , Kottayam , Po Mandhiram  , KURICHY , 686532</v>
          </cell>
          <cell r="Y499">
            <v>45166</v>
          </cell>
          <cell r="Z499" t="str">
            <v>NA</v>
          </cell>
          <cell r="AB499" t="str">
            <v>NA</v>
          </cell>
          <cell r="AF499" t="str">
            <v>NA</v>
          </cell>
          <cell r="AK499">
            <v>45164</v>
          </cell>
          <cell r="AL499" t="str">
            <v>Received</v>
          </cell>
          <cell r="AO499">
            <v>3</v>
          </cell>
          <cell r="AS499">
            <v>-3</v>
          </cell>
          <cell r="AU499">
            <v>4</v>
          </cell>
          <cell r="AY499">
            <v>-4</v>
          </cell>
          <cell r="BA499">
            <v>5</v>
          </cell>
          <cell r="BE499">
            <v>-5</v>
          </cell>
          <cell r="BG499">
            <v>5</v>
          </cell>
          <cell r="BK499">
            <v>-5</v>
          </cell>
          <cell r="BM499">
            <v>3</v>
          </cell>
          <cell r="BP499">
            <v>3</v>
          </cell>
          <cell r="BW499" t="str">
            <v>Done</v>
          </cell>
          <cell r="BX499">
            <v>45079</v>
          </cell>
          <cell r="BY499" t="str">
            <v>Approved</v>
          </cell>
          <cell r="CD499">
            <v>45163</v>
          </cell>
          <cell r="CE499">
            <v>45181</v>
          </cell>
          <cell r="CG499" t="str">
            <v>M/s. Brand Kettle</v>
          </cell>
          <cell r="CI499" t="str">
            <v>Issued</v>
          </cell>
          <cell r="DG499" t="str">
            <v>Netmed SDP - Not in Dead Rental</v>
          </cell>
          <cell r="DK499">
            <v>45197</v>
          </cell>
          <cell r="DL499">
            <v>45169</v>
          </cell>
          <cell r="DM499">
            <v>2</v>
          </cell>
          <cell r="DN499" t="str">
            <v>0 to 3 Days</v>
          </cell>
          <cell r="DP499">
            <v>45184</v>
          </cell>
          <cell r="DQ499">
            <v>45199</v>
          </cell>
          <cell r="DR499">
            <v>7</v>
          </cell>
          <cell r="DS499">
            <v>7</v>
          </cell>
          <cell r="DU499">
            <v>45206</v>
          </cell>
          <cell r="DV499">
            <v>45191</v>
          </cell>
          <cell r="DW499">
            <v>45206</v>
          </cell>
          <cell r="DX499" t="str">
            <v>Oct 23 Week 1</v>
          </cell>
          <cell r="DZ499">
            <v>45251</v>
          </cell>
          <cell r="EA499" t="str">
            <v>Nov 23 Week 3</v>
          </cell>
          <cell r="EB499" t="str">
            <v>Backlog</v>
          </cell>
          <cell r="ED499" t="str">
            <v/>
          </cell>
          <cell r="EE499" t="str">
            <v/>
          </cell>
          <cell r="EF499">
            <v>1</v>
          </cell>
          <cell r="EG499">
            <v>1</v>
          </cell>
          <cell r="FD499">
            <v>45</v>
          </cell>
          <cell r="FE499" t="str">
            <v>31 to 61 Days</v>
          </cell>
          <cell r="FF499">
            <v>60</v>
          </cell>
          <cell r="FG499" t="str">
            <v>31 to 61 Days</v>
          </cell>
          <cell r="FH499" t="str">
            <v>Done</v>
          </cell>
          <cell r="FI499" t="str">
            <v>Done</v>
          </cell>
          <cell r="FJ499" t="str">
            <v>NA</v>
          </cell>
          <cell r="FK499">
            <v>45343</v>
          </cell>
          <cell r="FM499" t="str">
            <v/>
          </cell>
          <cell r="GA499">
            <v>45251</v>
          </cell>
          <cell r="GC499">
            <v>45199</v>
          </cell>
          <cell r="GG499" t="str">
            <v>2023-2024</v>
          </cell>
        </row>
        <row r="500">
          <cell r="E500" t="str">
            <v>Gaurav Path Vishwakarma Road  ,  , Ladnun Nagar  , Ladnun , 341306</v>
          </cell>
          <cell r="F500" t="str">
            <v>14. Dropped</v>
          </cell>
          <cell r="G500" t="str">
            <v>SPRJNAN4256</v>
          </cell>
          <cell r="H500" t="str">
            <v>RJ-SM-LAD-3000</v>
          </cell>
          <cell r="I500" t="str">
            <v>TY3F</v>
          </cell>
          <cell r="J500" t="str">
            <v>QCFT</v>
          </cell>
          <cell r="K500" t="str">
            <v xml:space="preserve">N </v>
          </cell>
          <cell r="L500" t="str">
            <v>KC</v>
          </cell>
          <cell r="M500" t="str">
            <v>Dropped</v>
          </cell>
          <cell r="P500" t="str">
            <v>Mr.Balram Soni-8003293109</v>
          </cell>
          <cell r="Q500" t="str">
            <v>Gaurav Shinde</v>
          </cell>
          <cell r="S500" t="str">
            <v>Rajasthan</v>
          </cell>
          <cell r="T500" t="str">
            <v>Ladnun</v>
          </cell>
          <cell r="U500" t="str">
            <v>Non Premium</v>
          </cell>
          <cell r="V500" t="str">
            <v>Pharma Format</v>
          </cell>
          <cell r="W500">
            <v>400</v>
          </cell>
          <cell r="X500" t="str">
            <v>Gaurav Path Vishwakarma Road  ,  , Ladnun Nagar  , Ladnun , 341306</v>
          </cell>
          <cell r="Y500">
            <v>45166</v>
          </cell>
          <cell r="Z500" t="str">
            <v>NA</v>
          </cell>
          <cell r="AB500" t="str">
            <v>NA</v>
          </cell>
          <cell r="AF500" t="str">
            <v>NA</v>
          </cell>
          <cell r="AK500">
            <v>45173</v>
          </cell>
          <cell r="AL500" t="str">
            <v>Received</v>
          </cell>
          <cell r="AO500">
            <v>3</v>
          </cell>
          <cell r="AS500">
            <v>-3</v>
          </cell>
          <cell r="AU500">
            <v>4</v>
          </cell>
          <cell r="AY500">
            <v>-4</v>
          </cell>
          <cell r="BA500">
            <v>5</v>
          </cell>
          <cell r="BE500">
            <v>-5</v>
          </cell>
          <cell r="BG500">
            <v>5</v>
          </cell>
          <cell r="BK500">
            <v>-5</v>
          </cell>
          <cell r="BM500">
            <v>3</v>
          </cell>
          <cell r="BP500">
            <v>3</v>
          </cell>
          <cell r="BW500" t="str">
            <v>Done</v>
          </cell>
          <cell r="BX500">
            <v>45079</v>
          </cell>
          <cell r="BY500" t="str">
            <v>Approved</v>
          </cell>
          <cell r="CD500">
            <v>45163</v>
          </cell>
          <cell r="CE500">
            <v>45169</v>
          </cell>
          <cell r="CG500" t="str">
            <v>M/s     AVADH BUSINESS SERVICES (I) PVT. LTD</v>
          </cell>
          <cell r="CI500" t="str">
            <v>Issued</v>
          </cell>
          <cell r="DG500" t="str">
            <v>Netmed SDP - Not in Dead Rental</v>
          </cell>
          <cell r="DL500">
            <v>45175</v>
          </cell>
          <cell r="DM500" t="str">
            <v>NA</v>
          </cell>
          <cell r="DN500" t="str">
            <v>NA</v>
          </cell>
          <cell r="DP500">
            <v>45172</v>
          </cell>
          <cell r="DR500">
            <v>7</v>
          </cell>
          <cell r="DS500">
            <v>7</v>
          </cell>
          <cell r="DU500">
            <v>7</v>
          </cell>
          <cell r="DV500">
            <v>45179</v>
          </cell>
          <cell r="DW500">
            <v>7</v>
          </cell>
          <cell r="EA500" t="str">
            <v/>
          </cell>
          <cell r="ED500" t="str">
            <v/>
          </cell>
          <cell r="EE500" t="str">
            <v/>
          </cell>
          <cell r="EF500">
            <v>1</v>
          </cell>
          <cell r="FD500">
            <v>46114</v>
          </cell>
          <cell r="FF500">
            <v>942</v>
          </cell>
          <cell r="FJ500" t="str">
            <v>NA</v>
          </cell>
          <cell r="FM500" t="str">
            <v/>
          </cell>
          <cell r="GG500" t="str">
            <v>2024-2025</v>
          </cell>
        </row>
        <row r="501">
          <cell r="E501" t="str">
            <v>GF Khasra No1412 Plot No10  , Dist - Dausa , Purohit Ji Ka Tibara Lalsot  , LALSOT , 303503</v>
          </cell>
          <cell r="F501" t="str">
            <v>9. EPC Ready</v>
          </cell>
          <cell r="G501" t="str">
            <v>SPRJLAL4264</v>
          </cell>
          <cell r="H501" t="str">
            <v>RJ-SM-LST-3000</v>
          </cell>
          <cell r="I501" t="str">
            <v>TYYF</v>
          </cell>
          <cell r="J501" t="str">
            <v>QB6J</v>
          </cell>
          <cell r="K501" t="str">
            <v xml:space="preserve">N </v>
          </cell>
          <cell r="L501" t="str">
            <v>KC</v>
          </cell>
          <cell r="M501" t="str">
            <v>EPC Ready</v>
          </cell>
          <cell r="P501" t="str">
            <v>Mr.Balram Soni-8003293109</v>
          </cell>
          <cell r="Q501" t="str">
            <v>Gaurav Shinde</v>
          </cell>
          <cell r="S501" t="str">
            <v>Rajasthan</v>
          </cell>
          <cell r="T501" t="str">
            <v xml:space="preserve">Lalsot </v>
          </cell>
          <cell r="U501" t="str">
            <v>Non Premium</v>
          </cell>
          <cell r="V501" t="str">
            <v>Pharma Format</v>
          </cell>
          <cell r="W501">
            <v>401</v>
          </cell>
          <cell r="X501" t="str">
            <v>GF Khasra No1412 Plot No10  , Dist - Dausa , Purohit Ji Ka Tibara Lalsot  , LALSOT , 303503</v>
          </cell>
          <cell r="Y501">
            <v>45166</v>
          </cell>
          <cell r="Z501" t="str">
            <v>NA</v>
          </cell>
          <cell r="AB501" t="str">
            <v>NA</v>
          </cell>
          <cell r="AF501" t="str">
            <v>NA</v>
          </cell>
          <cell r="AK501">
            <v>45163</v>
          </cell>
          <cell r="AL501" t="str">
            <v>Received</v>
          </cell>
          <cell r="AO501">
            <v>3</v>
          </cell>
          <cell r="AS501">
            <v>-3</v>
          </cell>
          <cell r="AU501">
            <v>4</v>
          </cell>
          <cell r="AY501">
            <v>-4</v>
          </cell>
          <cell r="BA501">
            <v>5</v>
          </cell>
          <cell r="BE501">
            <v>-5</v>
          </cell>
          <cell r="BG501">
            <v>5</v>
          </cell>
          <cell r="BK501">
            <v>-5</v>
          </cell>
          <cell r="BM501">
            <v>3</v>
          </cell>
          <cell r="BP501">
            <v>3</v>
          </cell>
          <cell r="BW501" t="str">
            <v>Done</v>
          </cell>
          <cell r="BX501">
            <v>45079</v>
          </cell>
          <cell r="BY501" t="str">
            <v>Approved</v>
          </cell>
          <cell r="CD501">
            <v>45163</v>
          </cell>
          <cell r="CE501">
            <v>45170</v>
          </cell>
          <cell r="CG501" t="str">
            <v>M/s     TLP SERVICE PRIVATE LIMITED</v>
          </cell>
          <cell r="CI501" t="str">
            <v>Issued</v>
          </cell>
          <cell r="DG501" t="str">
            <v>Netmed SDP - Not in Dead Rental</v>
          </cell>
          <cell r="DK501">
            <v>45209</v>
          </cell>
          <cell r="DL501">
            <v>45166</v>
          </cell>
          <cell r="DM501">
            <v>2</v>
          </cell>
          <cell r="DN501" t="str">
            <v>0 to 3 Days</v>
          </cell>
          <cell r="DP501">
            <v>45173</v>
          </cell>
          <cell r="DQ501">
            <v>45211</v>
          </cell>
          <cell r="DR501">
            <v>7</v>
          </cell>
          <cell r="DS501">
            <v>7</v>
          </cell>
          <cell r="DU501">
            <v>45218</v>
          </cell>
          <cell r="DV501">
            <v>45180</v>
          </cell>
          <cell r="DW501">
            <v>45218</v>
          </cell>
          <cell r="DX501" t="str">
            <v>Oct 23 Week 3</v>
          </cell>
          <cell r="DZ501">
            <v>45225</v>
          </cell>
          <cell r="EA501" t="str">
            <v>Oct 23 Week 4</v>
          </cell>
          <cell r="EB501" t="str">
            <v>Backlog</v>
          </cell>
          <cell r="ED501" t="str">
            <v/>
          </cell>
          <cell r="EE501" t="str">
            <v/>
          </cell>
          <cell r="EF501">
            <v>1</v>
          </cell>
          <cell r="EG501">
            <v>1</v>
          </cell>
          <cell r="FD501">
            <v>7</v>
          </cell>
          <cell r="FE501" t="str">
            <v>4 to 7 Days</v>
          </cell>
          <cell r="FF501">
            <v>45</v>
          </cell>
          <cell r="FG501" t="str">
            <v>31 to 61 Days</v>
          </cell>
          <cell r="FH501" t="str">
            <v>Done</v>
          </cell>
          <cell r="FI501" t="str">
            <v>Done</v>
          </cell>
          <cell r="FJ501" t="str">
            <v>NA</v>
          </cell>
          <cell r="FK501">
            <v>45272</v>
          </cell>
          <cell r="FM501" t="str">
            <v/>
          </cell>
          <cell r="GA501">
            <v>45251</v>
          </cell>
          <cell r="GC501">
            <v>45211</v>
          </cell>
          <cell r="GG501" t="str">
            <v>2023-2024</v>
          </cell>
        </row>
        <row r="502">
          <cell r="E502" t="str">
            <v>Seba Singh Seba Singhs Property Word No  , Assam , 4 Lanka Patty Lanka Hojai  , LANKA , 782446</v>
          </cell>
          <cell r="F502" t="str">
            <v>9. EPC Ready</v>
          </cell>
          <cell r="G502" t="str">
            <v>SPASLAL3243</v>
          </cell>
          <cell r="H502" t="str">
            <v>WB-SM-LKA-3000</v>
          </cell>
          <cell r="I502" t="str">
            <v>TYE6</v>
          </cell>
          <cell r="J502" t="str">
            <v>QBJG</v>
          </cell>
          <cell r="K502" t="str">
            <v xml:space="preserve">E </v>
          </cell>
          <cell r="L502" t="str">
            <v>SD</v>
          </cell>
          <cell r="M502" t="str">
            <v>EPC Ready</v>
          </cell>
          <cell r="N502" t="str">
            <v>Mahendrakumar Warma</v>
          </cell>
          <cell r="O502" t="str">
            <v>Anup das (EXCEPT SIKKIM)</v>
          </cell>
          <cell r="P502" t="str">
            <v>Anitesh Dutta-7602102294</v>
          </cell>
          <cell r="Q502" t="str">
            <v>Gaurav Shinde</v>
          </cell>
          <cell r="S502" t="str">
            <v>Assam</v>
          </cell>
          <cell r="T502" t="str">
            <v>LANKA</v>
          </cell>
          <cell r="U502" t="str">
            <v>Non Premium</v>
          </cell>
          <cell r="V502" t="str">
            <v>Pharma Format</v>
          </cell>
          <cell r="W502">
            <v>400</v>
          </cell>
          <cell r="X502" t="str">
            <v>Seba Singh Seba Singhs Property Word No  , Assam , 4 Lanka Patty Lanka Hojai  , LANKA , 782446</v>
          </cell>
          <cell r="Y502">
            <v>45166</v>
          </cell>
          <cell r="Z502" t="str">
            <v>NA</v>
          </cell>
          <cell r="AB502" t="str">
            <v>NA</v>
          </cell>
          <cell r="AF502" t="str">
            <v>NA</v>
          </cell>
          <cell r="AK502">
            <v>45164</v>
          </cell>
          <cell r="AL502" t="str">
            <v>Received</v>
          </cell>
          <cell r="AO502">
            <v>3</v>
          </cell>
          <cell r="AS502">
            <v>-3</v>
          </cell>
          <cell r="AU502">
            <v>4</v>
          </cell>
          <cell r="AY502">
            <v>-4</v>
          </cell>
          <cell r="BA502">
            <v>5</v>
          </cell>
          <cell r="BE502">
            <v>-5</v>
          </cell>
          <cell r="BG502">
            <v>5</v>
          </cell>
          <cell r="BK502">
            <v>-5</v>
          </cell>
          <cell r="BM502">
            <v>3</v>
          </cell>
          <cell r="BP502">
            <v>3</v>
          </cell>
          <cell r="BW502" t="str">
            <v>Done</v>
          </cell>
          <cell r="BX502">
            <v>45079</v>
          </cell>
          <cell r="BY502" t="str">
            <v>Approved</v>
          </cell>
          <cell r="CD502">
            <v>45163</v>
          </cell>
          <cell r="CE502">
            <v>45177</v>
          </cell>
          <cell r="CG502" t="str">
            <v>M/s. STAR SOLUTIONS</v>
          </cell>
          <cell r="CI502" t="str">
            <v>Issued</v>
          </cell>
          <cell r="DG502" t="str">
            <v>Netmed SDP - Not in Dead Rental</v>
          </cell>
          <cell r="DK502">
            <v>45213</v>
          </cell>
          <cell r="DL502">
            <v>45171</v>
          </cell>
          <cell r="DM502">
            <v>2</v>
          </cell>
          <cell r="DN502" t="str">
            <v>0 to 3 Days</v>
          </cell>
          <cell r="DP502">
            <v>45180</v>
          </cell>
          <cell r="DQ502">
            <v>45215</v>
          </cell>
          <cell r="DR502">
            <v>7</v>
          </cell>
          <cell r="DS502">
            <v>7</v>
          </cell>
          <cell r="DU502">
            <v>45222</v>
          </cell>
          <cell r="DV502">
            <v>45187</v>
          </cell>
          <cell r="DW502">
            <v>45222</v>
          </cell>
          <cell r="DX502" t="str">
            <v>Oct 23 Week 4</v>
          </cell>
          <cell r="DZ502">
            <v>45250</v>
          </cell>
          <cell r="EA502" t="str">
            <v>Nov 23 Week 3</v>
          </cell>
          <cell r="EB502" t="str">
            <v>Backlog</v>
          </cell>
          <cell r="ED502" t="str">
            <v/>
          </cell>
          <cell r="EE502" t="str">
            <v/>
          </cell>
          <cell r="EF502">
            <v>1</v>
          </cell>
          <cell r="EG502">
            <v>1</v>
          </cell>
          <cell r="FD502">
            <v>28</v>
          </cell>
          <cell r="FE502" t="str">
            <v>16 to 31 Days</v>
          </cell>
          <cell r="FF502">
            <v>63</v>
          </cell>
          <cell r="FG502" t="str">
            <v>62 to 90 Days</v>
          </cell>
          <cell r="FH502" t="str">
            <v>Done</v>
          </cell>
          <cell r="FI502" t="str">
            <v>Done</v>
          </cell>
          <cell r="FJ502" t="str">
            <v>NA</v>
          </cell>
          <cell r="FK502">
            <v>45253</v>
          </cell>
          <cell r="FM502" t="str">
            <v/>
          </cell>
          <cell r="GA502">
            <v>45249</v>
          </cell>
          <cell r="GC502">
            <v>45215</v>
          </cell>
          <cell r="GG502" t="str">
            <v>2023-2024</v>
          </cell>
        </row>
        <row r="503">
          <cell r="E503" t="str">
            <v>Sinha Complex 274 374 2  , Lucknow , Rajendra Nagar Hospital  , LUCKNOW , 226004</v>
          </cell>
          <cell r="F503" t="str">
            <v>9. EPC Ready</v>
          </cell>
          <cell r="G503" t="str">
            <v>SPUPLUL4059</v>
          </cell>
          <cell r="H503" t="str">
            <v>UP-SM-LUK-3050</v>
          </cell>
          <cell r="I503" t="str">
            <v>TYQM</v>
          </cell>
          <cell r="J503" t="str">
            <v>QBXQ</v>
          </cell>
          <cell r="K503" t="str">
            <v xml:space="preserve">N </v>
          </cell>
          <cell r="L503" t="str">
            <v>KC</v>
          </cell>
          <cell r="M503" t="str">
            <v>EPC Ready</v>
          </cell>
          <cell r="P503" t="str">
            <v>Abhay Srivastav-9305109175</v>
          </cell>
          <cell r="Q503" t="str">
            <v>Gaurav Shinde</v>
          </cell>
          <cell r="S503" t="str">
            <v>Uttar Pradesh</v>
          </cell>
          <cell r="T503" t="str">
            <v>Lucknow</v>
          </cell>
          <cell r="U503" t="str">
            <v>Non Premium</v>
          </cell>
          <cell r="V503" t="str">
            <v>Pharma Format</v>
          </cell>
          <cell r="W503">
            <v>400</v>
          </cell>
          <cell r="X503" t="str">
            <v>Sinha Complex 274 374 2  , Lucknow , Rajendra Nagar Hospital  , LUCKNOW , 226004</v>
          </cell>
          <cell r="Y503">
            <v>45159</v>
          </cell>
          <cell r="Z503" t="str">
            <v>NA</v>
          </cell>
          <cell r="AB503" t="str">
            <v>NA</v>
          </cell>
          <cell r="AF503" t="str">
            <v>NA</v>
          </cell>
          <cell r="AK503">
            <v>45192</v>
          </cell>
          <cell r="AL503" t="str">
            <v>Received</v>
          </cell>
          <cell r="AO503">
            <v>3</v>
          </cell>
          <cell r="AS503">
            <v>-3</v>
          </cell>
          <cell r="AU503">
            <v>4</v>
          </cell>
          <cell r="AY503">
            <v>-4</v>
          </cell>
          <cell r="BA503">
            <v>5</v>
          </cell>
          <cell r="BE503">
            <v>-5</v>
          </cell>
          <cell r="BG503">
            <v>5</v>
          </cell>
          <cell r="BK503">
            <v>-5</v>
          </cell>
          <cell r="BM503">
            <v>3</v>
          </cell>
          <cell r="BP503">
            <v>3</v>
          </cell>
          <cell r="BW503" t="str">
            <v>Done</v>
          </cell>
          <cell r="BX503">
            <v>45079</v>
          </cell>
          <cell r="BY503" t="str">
            <v>Approved</v>
          </cell>
          <cell r="CD503">
            <v>45161</v>
          </cell>
          <cell r="CE503">
            <v>45169</v>
          </cell>
          <cell r="CG503" t="str">
            <v>M/s     KAUSAR CONSTRUCTIONS</v>
          </cell>
          <cell r="CI503" t="str">
            <v>Issued</v>
          </cell>
          <cell r="DG503" t="str">
            <v>Netmed SDP - Not in Dead Rental</v>
          </cell>
          <cell r="DK503">
            <v>45214</v>
          </cell>
          <cell r="DL503">
            <v>45166</v>
          </cell>
          <cell r="DM503">
            <v>2</v>
          </cell>
          <cell r="DN503" t="str">
            <v>0 to 3 Days</v>
          </cell>
          <cell r="DP503">
            <v>45172</v>
          </cell>
          <cell r="DQ503">
            <v>45216</v>
          </cell>
          <cell r="DR503">
            <v>7</v>
          </cell>
          <cell r="DS503">
            <v>7</v>
          </cell>
          <cell r="DU503">
            <v>45223</v>
          </cell>
          <cell r="DV503">
            <v>45179</v>
          </cell>
          <cell r="DW503">
            <v>45223</v>
          </cell>
          <cell r="DX503" t="str">
            <v>Oct 23 Week 4</v>
          </cell>
          <cell r="DZ503">
            <v>45226</v>
          </cell>
          <cell r="EA503" t="str">
            <v>Oct 23 Week 4</v>
          </cell>
          <cell r="EB503" t="str">
            <v>Backlog</v>
          </cell>
          <cell r="ED503" t="str">
            <v/>
          </cell>
          <cell r="EE503" t="str">
            <v/>
          </cell>
          <cell r="EF503">
            <v>1</v>
          </cell>
          <cell r="EG503">
            <v>1</v>
          </cell>
          <cell r="FD503">
            <v>3</v>
          </cell>
          <cell r="FE503" t="str">
            <v>0 to 3 Days</v>
          </cell>
          <cell r="FF503">
            <v>47</v>
          </cell>
          <cell r="FG503" t="str">
            <v>31 to 61 Days</v>
          </cell>
          <cell r="FH503" t="str">
            <v>Done</v>
          </cell>
          <cell r="FI503" t="str">
            <v>Done</v>
          </cell>
          <cell r="FJ503" t="str">
            <v>NA</v>
          </cell>
          <cell r="FK503">
            <v>45273</v>
          </cell>
          <cell r="FM503" t="str">
            <v/>
          </cell>
          <cell r="GA503">
            <v>45230</v>
          </cell>
          <cell r="GC503" t="str">
            <v xml:space="preserve">
17-10-2023</v>
          </cell>
          <cell r="GG503" t="str">
            <v>2023-2024</v>
          </cell>
        </row>
        <row r="504">
          <cell r="E504" t="str">
            <v>Door no 25 300 &amp; 25 301 ward no  , machilipatnam Krishna , 25 kojjilipet or buttaipeta  , MACHILIPATNAM , 521001</v>
          </cell>
          <cell r="F504" t="str">
            <v>14. Dropped</v>
          </cell>
          <cell r="G504" t="str">
            <v>SPTSMAK3512</v>
          </cell>
          <cell r="H504" t="str">
            <v>AP-SM-MCP-3000</v>
          </cell>
          <cell r="I504" t="str">
            <v>T0Q2</v>
          </cell>
          <cell r="J504" t="str">
            <v>Q4GN</v>
          </cell>
          <cell r="K504" t="str">
            <v xml:space="preserve">E </v>
          </cell>
          <cell r="L504" t="str">
            <v>JD</v>
          </cell>
          <cell r="M504" t="str">
            <v>Dropped</v>
          </cell>
          <cell r="N504" t="str">
            <v>Jaisingh Desai</v>
          </cell>
          <cell r="Q504" t="str">
            <v>Gaurav Shinde</v>
          </cell>
          <cell r="S504" t="str">
            <v>Andhra Pradesh</v>
          </cell>
          <cell r="T504" t="str">
            <v>Machilipatnam</v>
          </cell>
          <cell r="U504" t="str">
            <v>Non Premium</v>
          </cell>
          <cell r="V504" t="str">
            <v>Pharma Format</v>
          </cell>
          <cell r="W504">
            <v>400</v>
          </cell>
          <cell r="X504" t="str">
            <v>Door no 25 300 &amp; 25 301 ward no  , machilipatnam Krishna , 25 kojjilipet or buttaipeta  , MACHILIPATNAM , 521001</v>
          </cell>
          <cell r="Z504" t="str">
            <v>NA</v>
          </cell>
          <cell r="AB504" t="str">
            <v>NA</v>
          </cell>
          <cell r="AF504" t="str">
            <v>NA</v>
          </cell>
          <cell r="AK504">
            <v>45162</v>
          </cell>
          <cell r="AL504" t="str">
            <v>Received</v>
          </cell>
          <cell r="AO504">
            <v>3</v>
          </cell>
          <cell r="AS504">
            <v>-3</v>
          </cell>
          <cell r="AU504">
            <v>4</v>
          </cell>
          <cell r="AY504">
            <v>-4</v>
          </cell>
          <cell r="BA504">
            <v>5</v>
          </cell>
          <cell r="BE504">
            <v>-5</v>
          </cell>
          <cell r="BG504">
            <v>5</v>
          </cell>
          <cell r="BK504">
            <v>-5</v>
          </cell>
          <cell r="BM504">
            <v>3</v>
          </cell>
          <cell r="BP504">
            <v>3</v>
          </cell>
          <cell r="BW504" t="str">
            <v>Done</v>
          </cell>
          <cell r="BX504">
            <v>45079</v>
          </cell>
          <cell r="BY504" t="str">
            <v>Approved</v>
          </cell>
          <cell r="CD504">
            <v>45103</v>
          </cell>
          <cell r="CG504" t="str">
            <v>M/S INFINITY AUTOMATION SOLUTIONS</v>
          </cell>
          <cell r="CI504" t="str">
            <v>Issued</v>
          </cell>
          <cell r="DG504" t="str">
            <v>Netmed SDP - Not in Dead Rental</v>
          </cell>
          <cell r="DM504" t="str">
            <v>NA</v>
          </cell>
          <cell r="DN504" t="str">
            <v>NA</v>
          </cell>
          <cell r="DR504">
            <v>7</v>
          </cell>
          <cell r="DS504">
            <v>7</v>
          </cell>
          <cell r="DU504">
            <v>7</v>
          </cell>
          <cell r="DV504">
            <v>7</v>
          </cell>
          <cell r="DW504">
            <v>7</v>
          </cell>
          <cell r="EA504" t="str">
            <v/>
          </cell>
          <cell r="ED504" t="str">
            <v/>
          </cell>
          <cell r="EE504" t="str">
            <v/>
          </cell>
          <cell r="EF504">
            <v>1</v>
          </cell>
          <cell r="FD504">
            <v>46114</v>
          </cell>
          <cell r="FF504">
            <v>46114</v>
          </cell>
          <cell r="FJ504" t="str">
            <v>NA</v>
          </cell>
          <cell r="FM504" t="str">
            <v/>
          </cell>
          <cell r="GG504" t="str">
            <v>2024-2025</v>
          </cell>
        </row>
        <row r="505">
          <cell r="E505" t="str">
            <v>Vill Alaipur Jamadarpara Po  , Madanpur Nadia , Madanpur Ps Chakdaha  , MADANPUR , 741245</v>
          </cell>
          <cell r="F505" t="str">
            <v>9. EPC Ready</v>
          </cell>
          <cell r="G505" t="str">
            <v>SPWBMAA4194</v>
          </cell>
          <cell r="H505" t="str">
            <v>WB-SM-MAD-3000</v>
          </cell>
          <cell r="I505" t="str">
            <v>TAWY</v>
          </cell>
          <cell r="J505" t="str">
            <v>QGFP</v>
          </cell>
          <cell r="K505" t="str">
            <v xml:space="preserve">E </v>
          </cell>
          <cell r="L505" t="str">
            <v>SD</v>
          </cell>
          <cell r="M505" t="str">
            <v>EPC Ready Pharmacy 200 SFT</v>
          </cell>
          <cell r="N505" t="str">
            <v>Mahendrakumar Warma</v>
          </cell>
          <cell r="O505" t="str">
            <v xml:space="preserve">Sandeepta Gayen </v>
          </cell>
          <cell r="Q505" t="str">
            <v>Gaurav Shinde</v>
          </cell>
          <cell r="S505" t="str">
            <v>West Bengal</v>
          </cell>
          <cell r="T505" t="str">
            <v>Madanpur</v>
          </cell>
          <cell r="U505" t="str">
            <v>Non Premium</v>
          </cell>
          <cell r="V505" t="str">
            <v>Pharma Format</v>
          </cell>
          <cell r="W505">
            <v>201</v>
          </cell>
          <cell r="X505" t="str">
            <v>Vill Alaipur Jamadarpara Po  , Madanpur Nadia , Madanpur Ps Chakdaha  , MADANPUR , 741245</v>
          </cell>
          <cell r="Z505" t="str">
            <v>NA</v>
          </cell>
          <cell r="AB505" t="str">
            <v>NA</v>
          </cell>
          <cell r="AF505" t="str">
            <v>NA</v>
          </cell>
          <cell r="AK505">
            <v>45164</v>
          </cell>
          <cell r="AL505" t="str">
            <v>Received</v>
          </cell>
          <cell r="AO505">
            <v>3</v>
          </cell>
          <cell r="AS505">
            <v>-3</v>
          </cell>
          <cell r="AU505">
            <v>4</v>
          </cell>
          <cell r="AY505">
            <v>-4</v>
          </cell>
          <cell r="BA505">
            <v>5</v>
          </cell>
          <cell r="BE505">
            <v>-5</v>
          </cell>
          <cell r="BG505">
            <v>5</v>
          </cell>
          <cell r="BK505">
            <v>-5</v>
          </cell>
          <cell r="BM505">
            <v>3</v>
          </cell>
          <cell r="BP505">
            <v>3</v>
          </cell>
          <cell r="BW505" t="str">
            <v>Done</v>
          </cell>
          <cell r="BX505">
            <v>45079</v>
          </cell>
          <cell r="BY505" t="str">
            <v>Approved</v>
          </cell>
          <cell r="DG505" t="str">
            <v>Netmed SDP - Not in Dead Rental</v>
          </cell>
          <cell r="DK505">
            <v>45205</v>
          </cell>
          <cell r="DM505">
            <v>2</v>
          </cell>
          <cell r="DN505" t="str">
            <v>0 to 3 Days</v>
          </cell>
          <cell r="DQ505">
            <v>45207</v>
          </cell>
          <cell r="DR505">
            <v>7</v>
          </cell>
          <cell r="DS505">
            <v>7</v>
          </cell>
          <cell r="DU505">
            <v>45214</v>
          </cell>
          <cell r="DV505">
            <v>7</v>
          </cell>
          <cell r="DW505">
            <v>45214</v>
          </cell>
          <cell r="DX505" t="str">
            <v>Oct 23 Week 3</v>
          </cell>
          <cell r="DZ505">
            <v>45216</v>
          </cell>
          <cell r="EA505" t="str">
            <v>Oct 23 Week 3</v>
          </cell>
          <cell r="EB505" t="str">
            <v>Backlog</v>
          </cell>
          <cell r="ED505" t="str">
            <v/>
          </cell>
          <cell r="EE505" t="str">
            <v/>
          </cell>
          <cell r="EF505">
            <v>1</v>
          </cell>
          <cell r="EG505">
            <v>1</v>
          </cell>
          <cell r="FD505">
            <v>2</v>
          </cell>
          <cell r="FE505" t="str">
            <v>0 to 3 Days</v>
          </cell>
          <cell r="FF505">
            <v>45209</v>
          </cell>
          <cell r="FH505" t="str">
            <v>Done</v>
          </cell>
          <cell r="FI505" t="str">
            <v>Done</v>
          </cell>
          <cell r="FJ505" t="str">
            <v>NA</v>
          </cell>
          <cell r="FM505" t="str">
            <v/>
          </cell>
          <cell r="GG505" t="str">
            <v>2023-2024</v>
          </cell>
        </row>
        <row r="506">
          <cell r="E506" t="str">
            <v>Ekhlaque Hussain Bherwa Rd Amtalla  , Madhupur Deoghar , Bherwa Near Red Carpet High School  , MADHUPUR , 815353</v>
          </cell>
          <cell r="F506" t="str">
            <v>14. Dropped</v>
          </cell>
          <cell r="G506" t="str">
            <v>SPJHMAN4217</v>
          </cell>
          <cell r="H506" t="str">
            <v>JH-SM-MUR-3000</v>
          </cell>
          <cell r="I506" t="str">
            <v>TYYU</v>
          </cell>
          <cell r="J506" t="str">
            <v>QB6W</v>
          </cell>
          <cell r="K506" t="str">
            <v xml:space="preserve">E </v>
          </cell>
          <cell r="L506" t="str">
            <v>AK</v>
          </cell>
          <cell r="M506" t="str">
            <v>Dropped</v>
          </cell>
          <cell r="Q506" t="str">
            <v>Gaurav Shinde</v>
          </cell>
          <cell r="S506" t="str">
            <v>Jharkhand</v>
          </cell>
          <cell r="T506" t="str">
            <v>Madhupur</v>
          </cell>
          <cell r="U506" t="str">
            <v>Non Premium</v>
          </cell>
          <cell r="V506" t="str">
            <v>Pharma Format</v>
          </cell>
          <cell r="W506">
            <v>400</v>
          </cell>
          <cell r="X506" t="str">
            <v>Ekhlaque Hussain Bherwa Rd Amtalla  , Madhupur Deoghar , Bherwa Near Red Carpet High School  , MADHUPUR , 815353</v>
          </cell>
          <cell r="Z506" t="str">
            <v>NA</v>
          </cell>
          <cell r="AB506" t="str">
            <v>NA</v>
          </cell>
          <cell r="AF506" t="str">
            <v>NA</v>
          </cell>
          <cell r="AL506" t="str">
            <v>NA</v>
          </cell>
          <cell r="AO506">
            <v>3</v>
          </cell>
          <cell r="AS506">
            <v>-3</v>
          </cell>
          <cell r="AU506">
            <v>4</v>
          </cell>
          <cell r="AY506">
            <v>-4</v>
          </cell>
          <cell r="BA506">
            <v>5</v>
          </cell>
          <cell r="BE506">
            <v>-5</v>
          </cell>
          <cell r="BG506">
            <v>5</v>
          </cell>
          <cell r="BK506">
            <v>-5</v>
          </cell>
          <cell r="BM506">
            <v>3</v>
          </cell>
          <cell r="BP506">
            <v>3</v>
          </cell>
          <cell r="BW506" t="str">
            <v>Done</v>
          </cell>
          <cell r="BX506">
            <v>45079</v>
          </cell>
          <cell r="BY506" t="str">
            <v>Approved</v>
          </cell>
          <cell r="CD506">
            <v>45163</v>
          </cell>
          <cell r="DG506" t="str">
            <v>Netmed SDP - Not in Dead Rental</v>
          </cell>
          <cell r="DM506" t="str">
            <v>NA</v>
          </cell>
          <cell r="DN506" t="str">
            <v>NA</v>
          </cell>
          <cell r="DR506">
            <v>7</v>
          </cell>
          <cell r="DS506">
            <v>7</v>
          </cell>
          <cell r="DU506">
            <v>7</v>
          </cell>
          <cell r="DV506">
            <v>7</v>
          </cell>
          <cell r="DW506">
            <v>7</v>
          </cell>
          <cell r="EA506" t="str">
            <v/>
          </cell>
          <cell r="ED506" t="str">
            <v/>
          </cell>
          <cell r="EE506" t="str">
            <v/>
          </cell>
          <cell r="EF506">
            <v>1</v>
          </cell>
          <cell r="FD506">
            <v>46114</v>
          </cell>
          <cell r="FF506">
            <v>46114</v>
          </cell>
          <cell r="FJ506" t="str">
            <v>NA</v>
          </cell>
          <cell r="FM506" t="str">
            <v/>
          </cell>
          <cell r="GG506" t="str">
            <v>2024-2025</v>
          </cell>
        </row>
        <row r="507">
          <cell r="E507" t="str">
            <v>Magrahat Station Road Purbo Belaria  , Magrahat South 24 Pgs , Po Magrahat Ps  , MAGRAHAT , 743355</v>
          </cell>
          <cell r="F507" t="str">
            <v>9. EPC Ready</v>
          </cell>
          <cell r="G507" t="str">
            <v>SPWBMAP3661</v>
          </cell>
          <cell r="H507" t="str">
            <v>WB-SM-MRT-3000</v>
          </cell>
          <cell r="I507" t="str">
            <v>TYRE</v>
          </cell>
          <cell r="J507" t="str">
            <v>QBYI</v>
          </cell>
          <cell r="K507" t="str">
            <v xml:space="preserve">E </v>
          </cell>
          <cell r="L507" t="str">
            <v>SD</v>
          </cell>
          <cell r="M507" t="str">
            <v>EPC Ready</v>
          </cell>
          <cell r="N507" t="str">
            <v>Mahendrakumar Warma</v>
          </cell>
          <cell r="O507" t="str">
            <v xml:space="preserve">Sandeepta Gayen </v>
          </cell>
          <cell r="P507" t="str">
            <v>Sagar Neyogi-7980192700</v>
          </cell>
          <cell r="Q507" t="str">
            <v>Gaurav Shinde</v>
          </cell>
          <cell r="S507" t="str">
            <v>West Bengal</v>
          </cell>
          <cell r="T507" t="str">
            <v>Magrahat</v>
          </cell>
          <cell r="U507" t="str">
            <v>Non Premium</v>
          </cell>
          <cell r="V507" t="str">
            <v>Pharma Format</v>
          </cell>
          <cell r="W507">
            <v>419</v>
          </cell>
          <cell r="X507" t="str">
            <v>Magrahat Station Road Purbo Belaria  , Magrahat South 24 Pgs , Po Magrahat Ps  , MAGRAHAT , 743355</v>
          </cell>
          <cell r="Y507">
            <v>45159</v>
          </cell>
          <cell r="Z507" t="str">
            <v>NA</v>
          </cell>
          <cell r="AB507" t="str">
            <v>NA</v>
          </cell>
          <cell r="AF507" t="str">
            <v>NA</v>
          </cell>
          <cell r="AK507">
            <v>45187</v>
          </cell>
          <cell r="AL507" t="str">
            <v>Received</v>
          </cell>
          <cell r="AO507">
            <v>3</v>
          </cell>
          <cell r="AS507">
            <v>-3</v>
          </cell>
          <cell r="AU507">
            <v>4</v>
          </cell>
          <cell r="AY507">
            <v>-4</v>
          </cell>
          <cell r="BA507">
            <v>5</v>
          </cell>
          <cell r="BE507">
            <v>-5</v>
          </cell>
          <cell r="BG507">
            <v>5</v>
          </cell>
          <cell r="BK507">
            <v>-5</v>
          </cell>
          <cell r="BM507">
            <v>3</v>
          </cell>
          <cell r="BP507">
            <v>3</v>
          </cell>
          <cell r="BW507" t="str">
            <v>Done</v>
          </cell>
          <cell r="BX507">
            <v>45079</v>
          </cell>
          <cell r="BY507" t="str">
            <v>Approved</v>
          </cell>
          <cell r="CD507">
            <v>45162</v>
          </cell>
          <cell r="CE507">
            <v>45181</v>
          </cell>
          <cell r="CG507" t="str">
            <v>M/s. ELECTROLEC ENTERPRISE</v>
          </cell>
          <cell r="CI507" t="str">
            <v>Issued</v>
          </cell>
          <cell r="DG507" t="str">
            <v>Netmed SDP - Not in Dead Rental</v>
          </cell>
          <cell r="DK507">
            <v>45183</v>
          </cell>
          <cell r="DM507">
            <v>2</v>
          </cell>
          <cell r="DN507" t="str">
            <v>0 to 3 Days</v>
          </cell>
          <cell r="DP507">
            <v>45184</v>
          </cell>
          <cell r="DQ507">
            <v>45185</v>
          </cell>
          <cell r="DR507">
            <v>7</v>
          </cell>
          <cell r="DS507">
            <v>7</v>
          </cell>
          <cell r="DU507">
            <v>45192</v>
          </cell>
          <cell r="DV507">
            <v>45191</v>
          </cell>
          <cell r="DW507">
            <v>45192</v>
          </cell>
          <cell r="DX507" t="str">
            <v>Sep 23 Week 4</v>
          </cell>
          <cell r="DZ507">
            <v>45212</v>
          </cell>
          <cell r="EA507" t="str">
            <v>Oct 23 Week 2</v>
          </cell>
          <cell r="EB507" t="str">
            <v>Backlog</v>
          </cell>
          <cell r="ED507" t="str">
            <v/>
          </cell>
          <cell r="EE507" t="str">
            <v/>
          </cell>
          <cell r="EF507">
            <v>1</v>
          </cell>
          <cell r="EG507">
            <v>1</v>
          </cell>
          <cell r="FD507">
            <v>20</v>
          </cell>
          <cell r="FE507" t="str">
            <v>16 to 31 Days</v>
          </cell>
          <cell r="FF507">
            <v>21</v>
          </cell>
          <cell r="FG507" t="str">
            <v>16 to 31 Days</v>
          </cell>
          <cell r="FH507" t="str">
            <v>Done</v>
          </cell>
          <cell r="FI507" t="str">
            <v>Done</v>
          </cell>
          <cell r="FJ507" t="str">
            <v>NA</v>
          </cell>
          <cell r="FK507">
            <v>45215</v>
          </cell>
          <cell r="FM507" t="str">
            <v/>
          </cell>
          <cell r="GA507">
            <v>45212</v>
          </cell>
          <cell r="GC507">
            <v>45185</v>
          </cell>
          <cell r="GG507" t="str">
            <v>2023-2024</v>
          </cell>
        </row>
        <row r="508">
          <cell r="E508" t="str">
            <v>Pushpa Sharma Majhitar  , Majhitar East , Near Sikkim Manipal University  , Majhitar , 737136</v>
          </cell>
          <cell r="F508" t="str">
            <v>9. EPC Ready</v>
          </cell>
          <cell r="G508" t="str">
            <v>SPSKMAN3566</v>
          </cell>
          <cell r="H508" t="str">
            <v>NE-SM-MAJ-3000</v>
          </cell>
          <cell r="I508" t="str">
            <v>TYRQ</v>
          </cell>
          <cell r="J508" t="str">
            <v>QBYU</v>
          </cell>
          <cell r="K508" t="str">
            <v xml:space="preserve">E </v>
          </cell>
          <cell r="L508" t="str">
            <v>SD</v>
          </cell>
          <cell r="M508" t="str">
            <v>EPC Ready</v>
          </cell>
          <cell r="N508" t="str">
            <v>Mahendrakumar Warma</v>
          </cell>
          <cell r="O508" t="str">
            <v>Anup das (EXCEPT SIKKIM)</v>
          </cell>
          <cell r="Q508" t="str">
            <v>Gaurav Shinde</v>
          </cell>
          <cell r="S508" t="str">
            <v>North East</v>
          </cell>
          <cell r="T508" t="str">
            <v>Majhitar</v>
          </cell>
          <cell r="U508" t="str">
            <v>Non Premium</v>
          </cell>
          <cell r="V508" t="str">
            <v>Pharma Format</v>
          </cell>
          <cell r="W508">
            <v>407</v>
          </cell>
          <cell r="X508" t="str">
            <v>Pushpa Sharma Majhitar  , Majhitar East , Near Sikkim Manipal University  , Majhitar , 737136</v>
          </cell>
          <cell r="Y508">
            <v>45166</v>
          </cell>
          <cell r="Z508" t="str">
            <v>NA</v>
          </cell>
          <cell r="AB508" t="str">
            <v>NA</v>
          </cell>
          <cell r="AF508" t="str">
            <v>NA</v>
          </cell>
          <cell r="AK508">
            <v>45184</v>
          </cell>
          <cell r="AL508" t="str">
            <v>Received</v>
          </cell>
          <cell r="AO508">
            <v>3</v>
          </cell>
          <cell r="AS508">
            <v>-3</v>
          </cell>
          <cell r="AU508">
            <v>4</v>
          </cell>
          <cell r="AY508">
            <v>-4</v>
          </cell>
          <cell r="BA508">
            <v>5</v>
          </cell>
          <cell r="BE508">
            <v>-5</v>
          </cell>
          <cell r="BG508">
            <v>5</v>
          </cell>
          <cell r="BK508">
            <v>-5</v>
          </cell>
          <cell r="BM508">
            <v>3</v>
          </cell>
          <cell r="BP508">
            <v>3</v>
          </cell>
          <cell r="BW508" t="str">
            <v>Done</v>
          </cell>
          <cell r="BX508">
            <v>45079</v>
          </cell>
          <cell r="BY508" t="str">
            <v>Approved</v>
          </cell>
          <cell r="CD508">
            <v>45163</v>
          </cell>
          <cell r="CE508">
            <v>45216</v>
          </cell>
          <cell r="CG508" t="str">
            <v>M/s. 3DESIRE NETWORKS AND SOLUTIONS</v>
          </cell>
          <cell r="CI508" t="str">
            <v>Issued</v>
          </cell>
          <cell r="DG508" t="str">
            <v>Netmed SDP - Not in Dead Rental</v>
          </cell>
          <cell r="DK508">
            <v>45265</v>
          </cell>
          <cell r="DM508">
            <v>2</v>
          </cell>
          <cell r="DN508" t="str">
            <v>0 to 3 Days</v>
          </cell>
          <cell r="DP508">
            <v>45219</v>
          </cell>
          <cell r="DQ508">
            <v>45267</v>
          </cell>
          <cell r="DR508">
            <v>7</v>
          </cell>
          <cell r="DS508">
            <v>7</v>
          </cell>
          <cell r="DU508">
            <v>45274</v>
          </cell>
          <cell r="DV508">
            <v>45226</v>
          </cell>
          <cell r="DW508">
            <v>45274</v>
          </cell>
          <cell r="DX508" t="str">
            <v>Dec 23 Week 2</v>
          </cell>
          <cell r="DZ508">
            <v>45299</v>
          </cell>
          <cell r="EA508" t="str">
            <v>Jan 24 Week 2</v>
          </cell>
          <cell r="EB508" t="str">
            <v>Backlog</v>
          </cell>
          <cell r="ED508" t="str">
            <v/>
          </cell>
          <cell r="EE508" t="str">
            <v/>
          </cell>
          <cell r="EF508">
            <v>1</v>
          </cell>
          <cell r="EG508">
            <v>1</v>
          </cell>
          <cell r="FD508">
            <v>25</v>
          </cell>
          <cell r="FE508" t="str">
            <v>16 to 31 Days</v>
          </cell>
          <cell r="FF508">
            <v>73</v>
          </cell>
          <cell r="FG508" t="str">
            <v>62 to 90 Days</v>
          </cell>
          <cell r="FH508" t="str">
            <v>Done</v>
          </cell>
          <cell r="FI508" t="str">
            <v>Done</v>
          </cell>
          <cell r="FJ508" t="str">
            <v>NA</v>
          </cell>
          <cell r="FK508">
            <v>45299</v>
          </cell>
          <cell r="FM508" t="str">
            <v/>
          </cell>
          <cell r="GA508">
            <v>45299</v>
          </cell>
          <cell r="GG508" t="str">
            <v>2023-2024</v>
          </cell>
        </row>
        <row r="509">
          <cell r="E509" t="str">
            <v>444 11 Gopiram Complex Maliya  , Jusari Road Makrana , Maliya Ki Dhani  , MAKRANA , 341505</v>
          </cell>
          <cell r="F509" t="str">
            <v>9. EPC Ready</v>
          </cell>
          <cell r="G509" t="str">
            <v>SPRJNAN4066</v>
          </cell>
          <cell r="H509" t="str">
            <v>RJ-SM-MAK-3000</v>
          </cell>
          <cell r="I509" t="str">
            <v>TYLK</v>
          </cell>
          <cell r="J509" t="str">
            <v>QBRV</v>
          </cell>
          <cell r="K509" t="str">
            <v xml:space="preserve">N </v>
          </cell>
          <cell r="L509" t="str">
            <v>KC</v>
          </cell>
          <cell r="M509" t="str">
            <v>EPC Ready Pharmacy 200 SFT</v>
          </cell>
          <cell r="P509" t="str">
            <v>Dipesh Chavda-7043349558</v>
          </cell>
          <cell r="Q509" t="str">
            <v>Gaurav Shinde</v>
          </cell>
          <cell r="S509" t="str">
            <v>Rajasthan</v>
          </cell>
          <cell r="T509" t="str">
            <v>Makrana</v>
          </cell>
          <cell r="U509" t="str">
            <v>Non Premium</v>
          </cell>
          <cell r="V509" t="str">
            <v>Pharma Format</v>
          </cell>
          <cell r="W509">
            <v>200</v>
          </cell>
          <cell r="X509" t="str">
            <v>444 11 Gopiram Complex Maliya  , Jusari Road Makrana , Maliya Ki Dhani  , MAKRANA , 341505</v>
          </cell>
          <cell r="Z509" t="str">
            <v>NA</v>
          </cell>
          <cell r="AB509" t="str">
            <v>NA</v>
          </cell>
          <cell r="AF509" t="str">
            <v>NA</v>
          </cell>
          <cell r="AL509" t="str">
            <v>Received</v>
          </cell>
          <cell r="AO509">
            <v>3</v>
          </cell>
          <cell r="AS509">
            <v>-3</v>
          </cell>
          <cell r="AU509">
            <v>4</v>
          </cell>
          <cell r="AY509">
            <v>-4</v>
          </cell>
          <cell r="BA509">
            <v>5</v>
          </cell>
          <cell r="BE509">
            <v>-5</v>
          </cell>
          <cell r="BG509">
            <v>5</v>
          </cell>
          <cell r="BK509">
            <v>-5</v>
          </cell>
          <cell r="BM509">
            <v>3</v>
          </cell>
          <cell r="BP509">
            <v>3</v>
          </cell>
          <cell r="BW509" t="str">
            <v>Done</v>
          </cell>
          <cell r="BX509">
            <v>45079</v>
          </cell>
          <cell r="BY509" t="str">
            <v>Approved</v>
          </cell>
          <cell r="CD509">
            <v>45103</v>
          </cell>
          <cell r="CE509">
            <v>45114</v>
          </cell>
          <cell r="CG509" t="str">
            <v>Neha Construction Co.</v>
          </cell>
          <cell r="CI509" t="str">
            <v>Issued</v>
          </cell>
          <cell r="DG509" t="str">
            <v>Netmed SDP - Not in Dead Rental</v>
          </cell>
          <cell r="DK509">
            <v>45113</v>
          </cell>
          <cell r="DM509">
            <v>2</v>
          </cell>
          <cell r="DN509" t="str">
            <v>0 to 3 Days</v>
          </cell>
          <cell r="DP509">
            <v>45117</v>
          </cell>
          <cell r="DQ509">
            <v>45115</v>
          </cell>
          <cell r="DR509">
            <v>7</v>
          </cell>
          <cell r="DS509">
            <v>7</v>
          </cell>
          <cell r="DU509">
            <v>45122</v>
          </cell>
          <cell r="DV509">
            <v>45124</v>
          </cell>
          <cell r="DW509">
            <v>45122</v>
          </cell>
          <cell r="DX509" t="str">
            <v>July 23 Week 3</v>
          </cell>
          <cell r="DZ509">
            <v>45125</v>
          </cell>
          <cell r="EA509" t="str">
            <v>July 23 Week 3</v>
          </cell>
          <cell r="EB509" t="str">
            <v>Backlog</v>
          </cell>
          <cell r="ED509" t="str">
            <v/>
          </cell>
          <cell r="EE509" t="str">
            <v/>
          </cell>
          <cell r="EF509">
            <v>1</v>
          </cell>
          <cell r="EG509">
            <v>1</v>
          </cell>
          <cell r="FD509">
            <v>3</v>
          </cell>
          <cell r="FE509" t="str">
            <v>0 to 3 Days</v>
          </cell>
          <cell r="FF509">
            <v>1</v>
          </cell>
          <cell r="FG509" t="str">
            <v>0 to 3 Days</v>
          </cell>
          <cell r="FH509" t="str">
            <v>Done</v>
          </cell>
          <cell r="FI509" t="str">
            <v>Done</v>
          </cell>
          <cell r="FJ509" t="str">
            <v>NA</v>
          </cell>
          <cell r="FM509" t="str">
            <v/>
          </cell>
          <cell r="GG509" t="str">
            <v>2023-2024</v>
          </cell>
        </row>
        <row r="510">
          <cell r="E510" t="str">
            <v>Dhanu Thyagraja  , Mandya , Fort Road Malavalli  , MALAVALLI , 571430</v>
          </cell>
          <cell r="F510" t="str">
            <v>9. EPC Ready</v>
          </cell>
          <cell r="G510" t="str">
            <v>SPKAMAM4298</v>
          </cell>
          <cell r="H510" t="str">
            <v>KR-SM-MAI-3000</v>
          </cell>
          <cell r="I510" t="str">
            <v>TAOL</v>
          </cell>
          <cell r="J510" t="str">
            <v>QF4O</v>
          </cell>
          <cell r="K510" t="str">
            <v>S</v>
          </cell>
          <cell r="L510" t="str">
            <v>AK</v>
          </cell>
          <cell r="M510" t="str">
            <v>EPC Ready</v>
          </cell>
          <cell r="N510" t="str">
            <v>N Kalyankumar</v>
          </cell>
          <cell r="O510" t="str">
            <v>Sreekanth Bijjhalli</v>
          </cell>
          <cell r="P510" t="str">
            <v>Sreekanth.Bijjhalli-9900039061</v>
          </cell>
          <cell r="Q510" t="str">
            <v>Gaurav Shinde</v>
          </cell>
          <cell r="S510" t="str">
            <v>Karnataka</v>
          </cell>
          <cell r="T510" t="str">
            <v>Malavalli</v>
          </cell>
          <cell r="U510" t="str">
            <v>Non Premium</v>
          </cell>
          <cell r="V510" t="str">
            <v>Pharma Format</v>
          </cell>
          <cell r="W510">
            <v>400</v>
          </cell>
          <cell r="X510" t="str">
            <v>Dhanu Thyagraja  , Mandya , Fort Road Malavalli  , MALAVALLI , 571430</v>
          </cell>
          <cell r="Y510">
            <v>45166</v>
          </cell>
          <cell r="Z510" t="str">
            <v>NA</v>
          </cell>
          <cell r="AB510" t="str">
            <v>NA</v>
          </cell>
          <cell r="AF510" t="str">
            <v>NA</v>
          </cell>
          <cell r="AK510">
            <v>45164</v>
          </cell>
          <cell r="AL510" t="str">
            <v>Received</v>
          </cell>
          <cell r="AO510">
            <v>3</v>
          </cell>
          <cell r="AS510">
            <v>-3</v>
          </cell>
          <cell r="AU510">
            <v>4</v>
          </cell>
          <cell r="AY510">
            <v>-4</v>
          </cell>
          <cell r="BA510">
            <v>5</v>
          </cell>
          <cell r="BE510">
            <v>-5</v>
          </cell>
          <cell r="BG510">
            <v>5</v>
          </cell>
          <cell r="BK510">
            <v>-5</v>
          </cell>
          <cell r="BM510">
            <v>3</v>
          </cell>
          <cell r="BP510">
            <v>3</v>
          </cell>
          <cell r="BW510" t="str">
            <v>Done</v>
          </cell>
          <cell r="BX510">
            <v>45079</v>
          </cell>
          <cell r="BY510" t="str">
            <v>Approved</v>
          </cell>
          <cell r="CD510">
            <v>45163</v>
          </cell>
          <cell r="CE510">
            <v>45216</v>
          </cell>
          <cell r="CG510" t="str">
            <v>M/s M N Interiors</v>
          </cell>
          <cell r="CI510" t="str">
            <v>Issued</v>
          </cell>
          <cell r="DG510" t="str">
            <v>Netmed SDP - Not in Dead Rental</v>
          </cell>
          <cell r="DK510">
            <v>45216</v>
          </cell>
          <cell r="DL510">
            <v>45169</v>
          </cell>
          <cell r="DM510">
            <v>2</v>
          </cell>
          <cell r="DN510" t="str">
            <v>0 to 3 Days</v>
          </cell>
          <cell r="DP510">
            <v>45219</v>
          </cell>
          <cell r="DQ510">
            <v>45218</v>
          </cell>
          <cell r="DR510">
            <v>7</v>
          </cell>
          <cell r="DS510">
            <v>7</v>
          </cell>
          <cell r="DU510">
            <v>45225</v>
          </cell>
          <cell r="DV510">
            <v>45226</v>
          </cell>
          <cell r="DW510">
            <v>45225</v>
          </cell>
          <cell r="DX510" t="str">
            <v>Oct 23 Week 4</v>
          </cell>
          <cell r="DZ510">
            <v>45240</v>
          </cell>
          <cell r="EA510" t="str">
            <v>Nov 23 Week 2</v>
          </cell>
          <cell r="EB510" t="str">
            <v>Backlog</v>
          </cell>
          <cell r="ED510" t="str">
            <v/>
          </cell>
          <cell r="EE510" t="str">
            <v/>
          </cell>
          <cell r="EF510">
            <v>1</v>
          </cell>
          <cell r="EG510">
            <v>1</v>
          </cell>
          <cell r="FD510">
            <v>15</v>
          </cell>
          <cell r="FE510" t="str">
            <v>8 to 15 Days</v>
          </cell>
          <cell r="FF510">
            <v>14</v>
          </cell>
          <cell r="FG510" t="str">
            <v>8 to 15 Days</v>
          </cell>
          <cell r="FH510" t="str">
            <v>Done</v>
          </cell>
          <cell r="FI510" t="str">
            <v>Done</v>
          </cell>
          <cell r="FJ510" t="str">
            <v>NA</v>
          </cell>
          <cell r="FK510">
            <v>45346</v>
          </cell>
          <cell r="FM510" t="str">
            <v/>
          </cell>
          <cell r="GA510">
            <v>45241</v>
          </cell>
          <cell r="GC510">
            <v>45218</v>
          </cell>
          <cell r="GG510" t="str">
            <v>2023-2024</v>
          </cell>
        </row>
        <row r="511">
          <cell r="E511" t="str">
            <v>Gat No 1 2 3 Plot No 01 Nira Baramati  , Malegaon Budruk Pune , Road Near Ss Computers  , MALEGAON , 413115</v>
          </cell>
          <cell r="F511" t="str">
            <v>11. HOLD</v>
          </cell>
          <cell r="G511" t="str">
            <v>PHCOBK10509</v>
          </cell>
          <cell r="H511" t="str">
            <v>MH-SM-MLB-3000</v>
          </cell>
          <cell r="I511" t="str">
            <v>TAON</v>
          </cell>
          <cell r="J511" t="str">
            <v/>
          </cell>
          <cell r="K511" t="str">
            <v>W</v>
          </cell>
          <cell r="L511" t="str">
            <v>KC</v>
          </cell>
          <cell r="M511" t="str">
            <v>NRFC</v>
          </cell>
          <cell r="Q511" t="str">
            <v>Gaurav Shinde</v>
          </cell>
          <cell r="S511" t="str">
            <v>Maharashtra</v>
          </cell>
          <cell r="T511" t="str">
            <v>Malegaon</v>
          </cell>
          <cell r="U511" t="str">
            <v>Non Premium</v>
          </cell>
          <cell r="V511" t="str">
            <v>Pharma Format</v>
          </cell>
          <cell r="W511">
            <v>280</v>
          </cell>
          <cell r="X511" t="str">
            <v>Gat No 1 2 3 Plot No 01 Nira Baramati  , Malegaon Budruk Pune , Road Near Ss Computers  , MALEGAON , 413115</v>
          </cell>
          <cell r="Z511" t="str">
            <v>NA</v>
          </cell>
          <cell r="AB511" t="str">
            <v>NA</v>
          </cell>
          <cell r="AF511" t="str">
            <v>NA</v>
          </cell>
          <cell r="AK511">
            <v>45166</v>
          </cell>
          <cell r="AL511" t="str">
            <v>Received</v>
          </cell>
          <cell r="AO511">
            <v>3</v>
          </cell>
          <cell r="AS511">
            <v>-3</v>
          </cell>
          <cell r="AU511">
            <v>4</v>
          </cell>
          <cell r="AY511">
            <v>-4</v>
          </cell>
          <cell r="BA511">
            <v>5</v>
          </cell>
          <cell r="BE511">
            <v>-5</v>
          </cell>
          <cell r="BG511">
            <v>5</v>
          </cell>
          <cell r="BK511">
            <v>-5</v>
          </cell>
          <cell r="BM511">
            <v>3</v>
          </cell>
          <cell r="BP511">
            <v>3</v>
          </cell>
          <cell r="BW511" t="str">
            <v>Done</v>
          </cell>
          <cell r="BX511">
            <v>45079</v>
          </cell>
          <cell r="BY511" t="str">
            <v>Approved</v>
          </cell>
          <cell r="DG511" t="str">
            <v>Netmed SDP - Not in Dead Rental</v>
          </cell>
          <cell r="DM511" t="str">
            <v>NA</v>
          </cell>
          <cell r="DN511" t="str">
            <v>NA</v>
          </cell>
          <cell r="DR511">
            <v>7</v>
          </cell>
          <cell r="DS511">
            <v>7</v>
          </cell>
          <cell r="DU511">
            <v>7</v>
          </cell>
          <cell r="DV511">
            <v>7</v>
          </cell>
          <cell r="DW511">
            <v>7</v>
          </cell>
          <cell r="EA511" t="str">
            <v/>
          </cell>
          <cell r="ED511" t="str">
            <v/>
          </cell>
          <cell r="EE511" t="str">
            <v/>
          </cell>
          <cell r="EF511">
            <v>1</v>
          </cell>
          <cell r="FD511">
            <v>46114</v>
          </cell>
          <cell r="FF511">
            <v>46114</v>
          </cell>
          <cell r="FJ511" t="str">
            <v>NA</v>
          </cell>
          <cell r="FM511" t="str">
            <v/>
          </cell>
          <cell r="GG511" t="str">
            <v>2026-2027</v>
          </cell>
        </row>
        <row r="512">
          <cell r="E512" t="str">
            <v>Main Road Infront Of Lic Building  , Malkangiri , P O P S Malkangiri  , MALKANGIRI , 764045</v>
          </cell>
          <cell r="F512" t="str">
            <v>9. EPC Ready</v>
          </cell>
          <cell r="G512" t="str">
            <v>SPORMAM3663</v>
          </cell>
          <cell r="H512" t="str">
            <v>OR-SM-MAI-3000</v>
          </cell>
          <cell r="I512" t="str">
            <v>TZMW</v>
          </cell>
          <cell r="J512" t="str">
            <v>QC8R</v>
          </cell>
          <cell r="K512" t="str">
            <v xml:space="preserve">E </v>
          </cell>
          <cell r="L512" t="str">
            <v>JD</v>
          </cell>
          <cell r="M512" t="str">
            <v>EPC Ready</v>
          </cell>
          <cell r="N512" t="str">
            <v>Jaisingh Desai</v>
          </cell>
          <cell r="P512" t="str">
            <v>Sanjay Ghosh-6302403813</v>
          </cell>
          <cell r="Q512" t="str">
            <v>Gaurav Shinde</v>
          </cell>
          <cell r="S512" t="str">
            <v>Odisha</v>
          </cell>
          <cell r="T512" t="str">
            <v>Malkangiri</v>
          </cell>
          <cell r="U512" t="str">
            <v>Non Premium</v>
          </cell>
          <cell r="V512" t="str">
            <v>Pharma Format</v>
          </cell>
          <cell r="W512">
            <v>400</v>
          </cell>
          <cell r="X512" t="str">
            <v>Main Road Infront Of Lic Building  , Malkangiri , P O P S Malkangiri  , MALKANGIRI , 764045</v>
          </cell>
          <cell r="Y512">
            <v>45163</v>
          </cell>
          <cell r="Z512" t="str">
            <v>NA</v>
          </cell>
          <cell r="AB512" t="str">
            <v>NA</v>
          </cell>
          <cell r="AF512" t="str">
            <v>NA</v>
          </cell>
          <cell r="AK512">
            <v>45182</v>
          </cell>
          <cell r="AL512" t="str">
            <v>Received</v>
          </cell>
          <cell r="AO512">
            <v>3</v>
          </cell>
          <cell r="AS512">
            <v>-3</v>
          </cell>
          <cell r="AU512">
            <v>4</v>
          </cell>
          <cell r="AY512">
            <v>-4</v>
          </cell>
          <cell r="BA512">
            <v>5</v>
          </cell>
          <cell r="BE512">
            <v>-5</v>
          </cell>
          <cell r="BG512">
            <v>5</v>
          </cell>
          <cell r="BK512">
            <v>-5</v>
          </cell>
          <cell r="BM512">
            <v>3</v>
          </cell>
          <cell r="BP512">
            <v>3</v>
          </cell>
          <cell r="BW512" t="str">
            <v>Done</v>
          </cell>
          <cell r="BX512">
            <v>45079</v>
          </cell>
          <cell r="BY512" t="str">
            <v>Approved</v>
          </cell>
          <cell r="CD512">
            <v>45162</v>
          </cell>
          <cell r="CE512">
            <v>45168</v>
          </cell>
          <cell r="CG512" t="str">
            <v>M/s Radient Civiletric Pvt Ltd</v>
          </cell>
          <cell r="CI512" t="str">
            <v>Issued</v>
          </cell>
          <cell r="DG512" t="str">
            <v>Netmed SDP - Not in Dead Rental</v>
          </cell>
          <cell r="DK512">
            <v>45179</v>
          </cell>
          <cell r="DM512">
            <v>2</v>
          </cell>
          <cell r="DN512" t="str">
            <v>0 to 3 Days</v>
          </cell>
          <cell r="DP512">
            <v>45171</v>
          </cell>
          <cell r="DQ512">
            <v>45181</v>
          </cell>
          <cell r="DR512">
            <v>7</v>
          </cell>
          <cell r="DS512">
            <v>7</v>
          </cell>
          <cell r="DU512">
            <v>45188</v>
          </cell>
          <cell r="DV512">
            <v>45178</v>
          </cell>
          <cell r="DW512">
            <v>45188</v>
          </cell>
          <cell r="DX512" t="str">
            <v>Sep 23 Week 3</v>
          </cell>
          <cell r="DZ512">
            <v>45188</v>
          </cell>
          <cell r="EA512" t="str">
            <v>Sep 23 Week 3</v>
          </cell>
          <cell r="EB512" t="str">
            <v>Plan</v>
          </cell>
          <cell r="ED512" t="str">
            <v/>
          </cell>
          <cell r="EE512" t="str">
            <v/>
          </cell>
          <cell r="EF512">
            <v>1</v>
          </cell>
          <cell r="EG512">
            <v>1</v>
          </cell>
          <cell r="FD512">
            <v>0</v>
          </cell>
          <cell r="FE512" t="str">
            <v>On Time</v>
          </cell>
          <cell r="FF512">
            <v>10</v>
          </cell>
          <cell r="FG512" t="str">
            <v>8 to 15 Days</v>
          </cell>
          <cell r="FH512" t="str">
            <v>Done</v>
          </cell>
          <cell r="FI512" t="str">
            <v>Done</v>
          </cell>
          <cell r="FJ512" t="str">
            <v>NA</v>
          </cell>
          <cell r="FK512">
            <v>45194</v>
          </cell>
          <cell r="FM512" t="str">
            <v/>
          </cell>
          <cell r="GA512">
            <v>45230</v>
          </cell>
          <cell r="GC512">
            <v>45181</v>
          </cell>
          <cell r="GG512" t="str">
            <v>2023-2024</v>
          </cell>
        </row>
        <row r="513">
          <cell r="E513" t="str">
            <v>GF  Shop no.1/177-IJKLMNO  ERUVELIKUNNEL  , OPP ST. JOSEPH HIGH SCHOOL PIZHAKU (PO) , SHOP COMPLEX Pala ThodpuzhaStateHighway  , MANATHOOR , 686651</v>
          </cell>
          <cell r="F513" t="str">
            <v>14. Dropped</v>
          </cell>
          <cell r="G513" t="str">
            <v>SPKLKOE3329</v>
          </cell>
          <cell r="H513" t="str">
            <v>KE-SM-MTH-3000</v>
          </cell>
          <cell r="I513" t="str">
            <v>TZMK</v>
          </cell>
          <cell r="J513" t="str">
            <v>QC8F</v>
          </cell>
          <cell r="K513" t="str">
            <v>S</v>
          </cell>
          <cell r="L513" t="str">
            <v>AK</v>
          </cell>
          <cell r="M513" t="str">
            <v>Dropped</v>
          </cell>
          <cell r="N513" t="str">
            <v>N Kalyankumar</v>
          </cell>
          <cell r="O513" t="str">
            <v>Jose Loviece</v>
          </cell>
          <cell r="P513" t="str">
            <v>Jose Loviese-6361753673</v>
          </cell>
          <cell r="Q513" t="str">
            <v>Gaurav Shinde</v>
          </cell>
          <cell r="S513" t="str">
            <v>Kerala</v>
          </cell>
          <cell r="T513" t="str">
            <v>MANATHOOR</v>
          </cell>
          <cell r="U513" t="str">
            <v>Non Premium</v>
          </cell>
          <cell r="V513" t="str">
            <v>Pharma Format</v>
          </cell>
          <cell r="W513">
            <v>400</v>
          </cell>
          <cell r="X513" t="str">
            <v>GF  Shop no.1/177-IJKLMNO  ERUVELIKUNNEL  , OPP ST. JOSEPH HIGH SCHOOL PIZHAKU (PO) , SHOP COMPLEX Pala ThodpuzhaStateHighway  , MANATHOOR , 686651</v>
          </cell>
          <cell r="Y513">
            <v>45166</v>
          </cell>
          <cell r="Z513" t="str">
            <v>NA</v>
          </cell>
          <cell r="AB513" t="str">
            <v>NA</v>
          </cell>
          <cell r="AF513" t="str">
            <v>NA</v>
          </cell>
          <cell r="AK513">
            <v>45163</v>
          </cell>
          <cell r="AL513" t="str">
            <v>Received</v>
          </cell>
          <cell r="AO513">
            <v>3</v>
          </cell>
          <cell r="AS513">
            <v>-3</v>
          </cell>
          <cell r="AU513">
            <v>4</v>
          </cell>
          <cell r="AY513">
            <v>-4</v>
          </cell>
          <cell r="BA513">
            <v>5</v>
          </cell>
          <cell r="BE513">
            <v>-5</v>
          </cell>
          <cell r="BG513">
            <v>5</v>
          </cell>
          <cell r="BK513">
            <v>-5</v>
          </cell>
          <cell r="BM513">
            <v>3</v>
          </cell>
          <cell r="BP513">
            <v>3</v>
          </cell>
          <cell r="BW513" t="str">
            <v>Done</v>
          </cell>
          <cell r="BX513">
            <v>45079</v>
          </cell>
          <cell r="BY513" t="str">
            <v>Approved</v>
          </cell>
          <cell r="CD513">
            <v>45163</v>
          </cell>
          <cell r="DG513" t="str">
            <v>Netmed SDP - Not in Dead Rental</v>
          </cell>
          <cell r="DM513" t="str">
            <v>NA</v>
          </cell>
          <cell r="DN513" t="str">
            <v>NA</v>
          </cell>
          <cell r="DR513">
            <v>7</v>
          </cell>
          <cell r="DS513">
            <v>7</v>
          </cell>
          <cell r="DU513">
            <v>7</v>
          </cell>
          <cell r="DV513">
            <v>7</v>
          </cell>
          <cell r="DW513">
            <v>7</v>
          </cell>
          <cell r="EA513" t="str">
            <v/>
          </cell>
          <cell r="ED513" t="str">
            <v/>
          </cell>
          <cell r="EE513" t="str">
            <v/>
          </cell>
          <cell r="EF513">
            <v>1</v>
          </cell>
          <cell r="FD513">
            <v>46114</v>
          </cell>
          <cell r="FF513">
            <v>46114</v>
          </cell>
          <cell r="FJ513" t="str">
            <v>NA</v>
          </cell>
          <cell r="FM513" t="str">
            <v/>
          </cell>
          <cell r="GG513" t="str">
            <v>2024-2025</v>
          </cell>
        </row>
        <row r="514">
          <cell r="E514" t="str">
            <v>Ground Floor Shop No. VII/180-A  , Puthupally Kottayam , Pattarmadathil building Madathilpady PO  , MANNARGHAT , 686011</v>
          </cell>
          <cell r="F514" t="str">
            <v>9. EPC Ready</v>
          </cell>
          <cell r="G514" t="str">
            <v>SPKLPUP3308</v>
          </cell>
          <cell r="H514" t="str">
            <v>KE-SM-PUP-3000</v>
          </cell>
          <cell r="I514" t="str">
            <v>TZKA</v>
          </cell>
          <cell r="J514" t="str">
            <v>QC6G</v>
          </cell>
          <cell r="K514" t="str">
            <v>S</v>
          </cell>
          <cell r="L514" t="str">
            <v>AK</v>
          </cell>
          <cell r="M514" t="str">
            <v>EPC Ready</v>
          </cell>
          <cell r="N514" t="str">
            <v>N Kalyankumar</v>
          </cell>
          <cell r="O514" t="str">
            <v>Jose Loviece</v>
          </cell>
          <cell r="Q514" t="str">
            <v>Gaurav Shinde</v>
          </cell>
          <cell r="S514" t="str">
            <v>Kerala</v>
          </cell>
          <cell r="T514" t="str">
            <v>MANNARCADU</v>
          </cell>
          <cell r="U514" t="str">
            <v>Non Premium</v>
          </cell>
          <cell r="V514" t="str">
            <v>Pharma Format</v>
          </cell>
          <cell r="W514">
            <v>400</v>
          </cell>
          <cell r="X514" t="str">
            <v>Ground Floor Shop No. VII/180-A  , Puthupally Kottayam , Pattarmadathil building Madathilpady PO  , MANNARGHAT , 686011</v>
          </cell>
          <cell r="Y514">
            <v>45166</v>
          </cell>
          <cell r="Z514" t="str">
            <v>NA</v>
          </cell>
          <cell r="AB514" t="str">
            <v>NA</v>
          </cell>
          <cell r="AF514" t="str">
            <v>NA</v>
          </cell>
          <cell r="AK514">
            <v>45163</v>
          </cell>
          <cell r="AL514" t="str">
            <v>Received</v>
          </cell>
          <cell r="AO514">
            <v>3</v>
          </cell>
          <cell r="AS514">
            <v>-3</v>
          </cell>
          <cell r="AU514">
            <v>4</v>
          </cell>
          <cell r="AY514">
            <v>-4</v>
          </cell>
          <cell r="BA514">
            <v>5</v>
          </cell>
          <cell r="BE514">
            <v>-5</v>
          </cell>
          <cell r="BG514">
            <v>5</v>
          </cell>
          <cell r="BK514">
            <v>-5</v>
          </cell>
          <cell r="BM514">
            <v>3</v>
          </cell>
          <cell r="BP514">
            <v>3</v>
          </cell>
          <cell r="BW514" t="str">
            <v>Done</v>
          </cell>
          <cell r="BX514">
            <v>45079</v>
          </cell>
          <cell r="BY514" t="str">
            <v>Approved</v>
          </cell>
          <cell r="CD514">
            <v>45163</v>
          </cell>
          <cell r="CE514">
            <v>45181</v>
          </cell>
          <cell r="CG514" t="str">
            <v>M/s. Brand Kettle</v>
          </cell>
          <cell r="CI514" t="str">
            <v>Issued</v>
          </cell>
          <cell r="DG514" t="str">
            <v>Netmed SDP - Not in Dead Rental</v>
          </cell>
          <cell r="DK514">
            <v>45203</v>
          </cell>
          <cell r="DL514">
            <v>45175</v>
          </cell>
          <cell r="DM514">
            <v>2</v>
          </cell>
          <cell r="DN514" t="str">
            <v>0 to 3 Days</v>
          </cell>
          <cell r="DP514">
            <v>45184</v>
          </cell>
          <cell r="DQ514">
            <v>45205</v>
          </cell>
          <cell r="DR514">
            <v>7</v>
          </cell>
          <cell r="DS514">
            <v>7</v>
          </cell>
          <cell r="DU514">
            <v>45212</v>
          </cell>
          <cell r="DV514">
            <v>45191</v>
          </cell>
          <cell r="DW514">
            <v>45212</v>
          </cell>
          <cell r="DX514" t="str">
            <v>Oct 23 Week 2</v>
          </cell>
          <cell r="DZ514">
            <v>45231</v>
          </cell>
          <cell r="EA514" t="str">
            <v>Nov 23 Week 1</v>
          </cell>
          <cell r="EB514" t="str">
            <v>Backlog</v>
          </cell>
          <cell r="ED514" t="str">
            <v/>
          </cell>
          <cell r="EE514" t="str">
            <v/>
          </cell>
          <cell r="EF514">
            <v>1</v>
          </cell>
          <cell r="EG514">
            <v>1</v>
          </cell>
          <cell r="FD514">
            <v>19</v>
          </cell>
          <cell r="FE514" t="str">
            <v>16 to 31 Days</v>
          </cell>
          <cell r="FF514">
            <v>40</v>
          </cell>
          <cell r="FG514" t="str">
            <v>31 to 61 Days</v>
          </cell>
          <cell r="FH514" t="str">
            <v>Done</v>
          </cell>
          <cell r="FI514" t="str">
            <v>Done</v>
          </cell>
          <cell r="FJ514" t="str">
            <v>NA</v>
          </cell>
          <cell r="FK514">
            <v>45302</v>
          </cell>
          <cell r="FM514" t="str">
            <v/>
          </cell>
          <cell r="GA514">
            <v>45231</v>
          </cell>
          <cell r="GC514">
            <v>45205</v>
          </cell>
          <cell r="GG514" t="str">
            <v>2023-2024</v>
          </cell>
        </row>
        <row r="515">
          <cell r="E515" t="str">
            <v>Shopping Mall Near Bharat Petrol Pump  , MANNARGHAT Kerala , Thachampara Village Office  , PALAKKAD , 678596</v>
          </cell>
          <cell r="F515" t="str">
            <v>14. Dropped</v>
          </cell>
          <cell r="G515" t="str">
            <v>SPKLMAS3386</v>
          </cell>
          <cell r="H515" t="str">
            <v>KE-SM-MNK-3001</v>
          </cell>
          <cell r="I515" t="str">
            <v>TXF3</v>
          </cell>
          <cell r="J515" t="str">
            <v>Q9SA</v>
          </cell>
          <cell r="K515" t="str">
            <v>S</v>
          </cell>
          <cell r="L515" t="str">
            <v>AK</v>
          </cell>
          <cell r="M515" t="str">
            <v>Dropped</v>
          </cell>
          <cell r="N515" t="str">
            <v>N Kalyankumar</v>
          </cell>
          <cell r="O515" t="str">
            <v>Jose Loviece</v>
          </cell>
          <cell r="Q515" t="str">
            <v>Gaurav Shinde</v>
          </cell>
          <cell r="S515" t="str">
            <v>Kerala</v>
          </cell>
          <cell r="T515" t="str">
            <v>Mannarghat</v>
          </cell>
          <cell r="U515" t="str">
            <v>Non Premium</v>
          </cell>
          <cell r="V515" t="str">
            <v>Pharma Format</v>
          </cell>
          <cell r="W515">
            <v>400</v>
          </cell>
          <cell r="X515" t="str">
            <v>Shopping Mall Near Bharat Petrol Pump  , MANNARGHAT Kerala , Thachampara Village Office  , PALAKKAD , 678596</v>
          </cell>
          <cell r="Z515" t="str">
            <v>NA</v>
          </cell>
          <cell r="AB515" t="str">
            <v>NA</v>
          </cell>
          <cell r="AF515" t="str">
            <v>NA</v>
          </cell>
          <cell r="AL515" t="str">
            <v>NA</v>
          </cell>
          <cell r="AO515">
            <v>3</v>
          </cell>
          <cell r="AS515">
            <v>-3</v>
          </cell>
          <cell r="AU515">
            <v>4</v>
          </cell>
          <cell r="AY515">
            <v>-4</v>
          </cell>
          <cell r="BA515">
            <v>5</v>
          </cell>
          <cell r="BE515">
            <v>-5</v>
          </cell>
          <cell r="BG515">
            <v>5</v>
          </cell>
          <cell r="BK515">
            <v>-5</v>
          </cell>
          <cell r="BM515">
            <v>3</v>
          </cell>
          <cell r="BP515">
            <v>3</v>
          </cell>
          <cell r="BW515" t="str">
            <v>Done</v>
          </cell>
          <cell r="BX515">
            <v>45079</v>
          </cell>
          <cell r="BY515" t="str">
            <v>Approved</v>
          </cell>
          <cell r="CD515">
            <v>45163</v>
          </cell>
          <cell r="DG515" t="str">
            <v>Netmed SDP - Not in Dead Rental</v>
          </cell>
          <cell r="DM515" t="str">
            <v>NA</v>
          </cell>
          <cell r="DN515" t="str">
            <v>NA</v>
          </cell>
          <cell r="DR515">
            <v>7</v>
          </cell>
          <cell r="DS515">
            <v>7</v>
          </cell>
          <cell r="DU515">
            <v>7</v>
          </cell>
          <cell r="DV515">
            <v>7</v>
          </cell>
          <cell r="DW515">
            <v>7</v>
          </cell>
          <cell r="EA515" t="str">
            <v/>
          </cell>
          <cell r="ED515" t="str">
            <v/>
          </cell>
          <cell r="EE515" t="str">
            <v/>
          </cell>
          <cell r="EF515">
            <v>1</v>
          </cell>
          <cell r="FD515">
            <v>46114</v>
          </cell>
          <cell r="FF515">
            <v>46114</v>
          </cell>
          <cell r="FJ515" t="str">
            <v>NA</v>
          </cell>
          <cell r="FM515" t="str">
            <v/>
          </cell>
          <cell r="GG515" t="str">
            <v>2024-2025</v>
          </cell>
        </row>
        <row r="516">
          <cell r="E516" t="str">
            <v>GF Parvati Commercial Complex  , Thana &amp; Mauza - Mashrakh Thana No 139 , Khata No 299, Kh No 5705 Tauzi No 2556 , Dist - Saran , MASRAKH , 841417</v>
          </cell>
          <cell r="F516" t="str">
            <v>9. EPC Ready</v>
          </cell>
          <cell r="G516" t="str">
            <v>SPBHMAP4251</v>
          </cell>
          <cell r="H516" t="str">
            <v>BH-SM-MSH-3000</v>
          </cell>
          <cell r="I516" t="str">
            <v>TYPZ</v>
          </cell>
          <cell r="J516" t="str">
            <v>QBXB</v>
          </cell>
          <cell r="K516" t="str">
            <v xml:space="preserve">E </v>
          </cell>
          <cell r="L516" t="str">
            <v>AK</v>
          </cell>
          <cell r="M516" t="str">
            <v>EPC Ready</v>
          </cell>
          <cell r="P516" t="str">
            <v>Mr. Jitendra Kumar-6201750698</v>
          </cell>
          <cell r="Q516" t="str">
            <v>Gaurav Shinde</v>
          </cell>
          <cell r="S516" t="str">
            <v>Bihar</v>
          </cell>
          <cell r="T516" t="str">
            <v>Mashrak</v>
          </cell>
          <cell r="U516" t="str">
            <v>Non Premium</v>
          </cell>
          <cell r="V516" t="str">
            <v>Pharma Format</v>
          </cell>
          <cell r="W516">
            <v>400</v>
          </cell>
          <cell r="X516" t="str">
            <v>GF Parvati Commercial Complex  , Thana &amp; Mauza - Mashrakh Thana No 139 , Khata No 299, Kh No 5705 Tauzi No 2556 , Dist - Saran , MASRAKH , 841417</v>
          </cell>
          <cell r="Y516">
            <v>45124</v>
          </cell>
          <cell r="Z516" t="str">
            <v>NA</v>
          </cell>
          <cell r="AB516" t="str">
            <v>NA</v>
          </cell>
          <cell r="AF516" t="str">
            <v>NA</v>
          </cell>
          <cell r="AK516">
            <v>45152</v>
          </cell>
          <cell r="AL516" t="str">
            <v>Received</v>
          </cell>
          <cell r="AO516">
            <v>3</v>
          </cell>
          <cell r="AS516">
            <v>-3</v>
          </cell>
          <cell r="AU516">
            <v>4</v>
          </cell>
          <cell r="AY516">
            <v>-4</v>
          </cell>
          <cell r="BA516">
            <v>5</v>
          </cell>
          <cell r="BE516">
            <v>-5</v>
          </cell>
          <cell r="BG516">
            <v>5</v>
          </cell>
          <cell r="BK516">
            <v>-5</v>
          </cell>
          <cell r="BM516">
            <v>3</v>
          </cell>
          <cell r="BP516">
            <v>3</v>
          </cell>
          <cell r="BW516" t="str">
            <v>Done</v>
          </cell>
          <cell r="BX516">
            <v>45079</v>
          </cell>
          <cell r="BY516" t="str">
            <v>Approved</v>
          </cell>
          <cell r="CD516">
            <v>45126</v>
          </cell>
          <cell r="CE516">
            <v>45160</v>
          </cell>
          <cell r="CG516" t="str">
            <v xml:space="preserve">M/S Rahul Kumar
</v>
          </cell>
          <cell r="CI516" t="str">
            <v>Issued</v>
          </cell>
          <cell r="DG516" t="str">
            <v>Netmed SDP - Not in Dead Rental</v>
          </cell>
          <cell r="DK516">
            <v>45178</v>
          </cell>
          <cell r="DM516">
            <v>2</v>
          </cell>
          <cell r="DN516" t="str">
            <v>0 to 3 Days</v>
          </cell>
          <cell r="DP516">
            <v>45163</v>
          </cell>
          <cell r="DQ516">
            <v>45180</v>
          </cell>
          <cell r="DR516">
            <v>7</v>
          </cell>
          <cell r="DS516">
            <v>7</v>
          </cell>
          <cell r="DU516">
            <v>45187</v>
          </cell>
          <cell r="DV516">
            <v>45170</v>
          </cell>
          <cell r="DW516">
            <v>45187</v>
          </cell>
          <cell r="DX516" t="str">
            <v>Sep 23 Week 3</v>
          </cell>
          <cell r="DZ516">
            <v>45300</v>
          </cell>
          <cell r="EA516" t="str">
            <v>Jan 24 Week 2</v>
          </cell>
          <cell r="EB516" t="str">
            <v>Backlog</v>
          </cell>
          <cell r="ED516" t="str">
            <v/>
          </cell>
          <cell r="EE516" t="str">
            <v/>
          </cell>
          <cell r="EF516">
            <v>1</v>
          </cell>
          <cell r="EG516">
            <v>1</v>
          </cell>
          <cell r="FD516">
            <v>113</v>
          </cell>
          <cell r="FE516" t="str">
            <v>More Than 90  Days</v>
          </cell>
          <cell r="FF516">
            <v>130</v>
          </cell>
          <cell r="FG516" t="str">
            <v>More Than 90  Days</v>
          </cell>
          <cell r="FH516" t="str">
            <v>Done</v>
          </cell>
          <cell r="FI516" t="str">
            <v>Done</v>
          </cell>
          <cell r="FJ516" t="str">
            <v>NA</v>
          </cell>
          <cell r="FK516">
            <v>45316</v>
          </cell>
          <cell r="FM516" t="str">
            <v/>
          </cell>
          <cell r="GA516">
            <v>45300</v>
          </cell>
          <cell r="GC516">
            <v>45180</v>
          </cell>
          <cell r="GG516" t="str">
            <v>2023-2024</v>
          </cell>
        </row>
        <row r="517">
          <cell r="E517" t="str">
            <v>GF Namati Kha Mazbat Mazbat Town  , Dist Udalguri , Mouza Orang Mazbat Revenue Circle BTR  , MAZBAT TOWN , 784507</v>
          </cell>
          <cell r="F517" t="str">
            <v>14. Dropped</v>
          </cell>
          <cell r="G517" t="str">
            <v>SPASMAO4263</v>
          </cell>
          <cell r="H517" t="str">
            <v>NE-SM-MBN-3000</v>
          </cell>
          <cell r="I517" t="str">
            <v>TYXU</v>
          </cell>
          <cell r="J517" t="str">
            <v>QB5Y</v>
          </cell>
          <cell r="K517" t="str">
            <v xml:space="preserve">E </v>
          </cell>
          <cell r="L517" t="str">
            <v>SD</v>
          </cell>
          <cell r="M517" t="str">
            <v>Dropped</v>
          </cell>
          <cell r="N517" t="str">
            <v>Mahendrakumar Warma</v>
          </cell>
          <cell r="O517" t="str">
            <v>Anup das (EXCEPT SIKKIM)</v>
          </cell>
          <cell r="P517" t="str">
            <v>Debanjan Adhikari-8918234696</v>
          </cell>
          <cell r="Q517" t="str">
            <v>Gaurav Shinde</v>
          </cell>
          <cell r="S517" t="str">
            <v>Assam</v>
          </cell>
          <cell r="T517" t="str">
            <v xml:space="preserve">MAZBAT MAIN TOWN </v>
          </cell>
          <cell r="U517" t="str">
            <v>Non Premium</v>
          </cell>
          <cell r="V517" t="str">
            <v>Pharma Format</v>
          </cell>
          <cell r="W517">
            <v>400</v>
          </cell>
          <cell r="X517" t="str">
            <v>GF Namati Kha Mazbat Mazbat Town  , Dist Udalguri , Mouza Orang Mazbat Revenue Circle BTR  , MAZBAT TOWN , 784507</v>
          </cell>
          <cell r="Y517">
            <v>45166</v>
          </cell>
          <cell r="Z517" t="str">
            <v>NA</v>
          </cell>
          <cell r="AB517" t="str">
            <v>NA</v>
          </cell>
          <cell r="AF517" t="str">
            <v>NA</v>
          </cell>
          <cell r="AK517">
            <v>45203</v>
          </cell>
          <cell r="AL517" t="str">
            <v>Received</v>
          </cell>
          <cell r="AO517">
            <v>3</v>
          </cell>
          <cell r="AS517">
            <v>-3</v>
          </cell>
          <cell r="AU517">
            <v>4</v>
          </cell>
          <cell r="AY517">
            <v>-4</v>
          </cell>
          <cell r="BA517">
            <v>5</v>
          </cell>
          <cell r="BE517">
            <v>-5</v>
          </cell>
          <cell r="BG517">
            <v>5</v>
          </cell>
          <cell r="BK517">
            <v>-5</v>
          </cell>
          <cell r="BM517">
            <v>3</v>
          </cell>
          <cell r="BP517">
            <v>3</v>
          </cell>
          <cell r="BW517" t="str">
            <v>Done</v>
          </cell>
          <cell r="BX517">
            <v>45079</v>
          </cell>
          <cell r="BY517" t="str">
            <v>Approved</v>
          </cell>
          <cell r="CD517">
            <v>45163</v>
          </cell>
          <cell r="CG517" t="str">
            <v>M/s. STAR SOLUTIONS</v>
          </cell>
          <cell r="DG517" t="str">
            <v>Netmed SDP - Not in Dead Rental</v>
          </cell>
          <cell r="DM517" t="str">
            <v>NA</v>
          </cell>
          <cell r="DN517" t="str">
            <v>NA</v>
          </cell>
          <cell r="DR517">
            <v>7</v>
          </cell>
          <cell r="DS517">
            <v>7</v>
          </cell>
          <cell r="DU517">
            <v>7</v>
          </cell>
          <cell r="DV517">
            <v>7</v>
          </cell>
          <cell r="DW517">
            <v>7</v>
          </cell>
          <cell r="EA517" t="str">
            <v/>
          </cell>
          <cell r="ED517" t="str">
            <v/>
          </cell>
          <cell r="EE517" t="str">
            <v/>
          </cell>
          <cell r="EF517">
            <v>1</v>
          </cell>
          <cell r="FD517">
            <v>46114</v>
          </cell>
          <cell r="FF517">
            <v>46114</v>
          </cell>
          <cell r="FJ517" t="str">
            <v>NA</v>
          </cell>
          <cell r="FM517" t="str">
            <v/>
          </cell>
          <cell r="GG517" t="str">
            <v>2024-2025</v>
          </cell>
        </row>
        <row r="518">
          <cell r="E518" t="str">
            <v>Milan Setu Kunja Vill Lakshya  , Purba Medinipur , Po Kumarara Ps Mahisadal  , Mah , 721628</v>
          </cell>
          <cell r="F518" t="str">
            <v>9. EPC Ready</v>
          </cell>
          <cell r="G518" t="str">
            <v>SPWBMAL3681</v>
          </cell>
          <cell r="H518" t="str">
            <v>WB-SM-MIA-3000</v>
          </cell>
          <cell r="I518" t="str">
            <v>TYMJ</v>
          </cell>
          <cell r="J518" t="str">
            <v>QBSU</v>
          </cell>
          <cell r="K518" t="str">
            <v xml:space="preserve">E </v>
          </cell>
          <cell r="L518" t="str">
            <v>SD</v>
          </cell>
          <cell r="M518" t="str">
            <v>EPC Ready</v>
          </cell>
          <cell r="N518" t="str">
            <v>Mahendrakumar Warma</v>
          </cell>
          <cell r="O518" t="str">
            <v xml:space="preserve">Sandeepta Gayen </v>
          </cell>
          <cell r="Q518" t="str">
            <v>Gaurav Shinde</v>
          </cell>
          <cell r="S518" t="str">
            <v>West Bengal</v>
          </cell>
          <cell r="T518" t="str">
            <v>Medinipur</v>
          </cell>
          <cell r="U518" t="str">
            <v>Non Premium</v>
          </cell>
          <cell r="V518" t="str">
            <v>Pharma Format</v>
          </cell>
          <cell r="W518">
            <v>400</v>
          </cell>
          <cell r="X518" t="str">
            <v>Milan Setu Kunja Vill Lakshya  , Purba Medinipur , Po Kumarara Ps Mahisadal  , Mah , 721628</v>
          </cell>
          <cell r="Y518">
            <v>45166</v>
          </cell>
          <cell r="Z518" t="str">
            <v>NA</v>
          </cell>
          <cell r="AB518" t="str">
            <v>NA</v>
          </cell>
          <cell r="AF518" t="str">
            <v>NA</v>
          </cell>
          <cell r="AK518">
            <v>45164</v>
          </cell>
          <cell r="AL518" t="str">
            <v>Received</v>
          </cell>
          <cell r="AO518">
            <v>3</v>
          </cell>
          <cell r="AS518">
            <v>-3</v>
          </cell>
          <cell r="AU518">
            <v>4</v>
          </cell>
          <cell r="AY518">
            <v>-4</v>
          </cell>
          <cell r="BA518">
            <v>5</v>
          </cell>
          <cell r="BE518">
            <v>-5</v>
          </cell>
          <cell r="BG518">
            <v>5</v>
          </cell>
          <cell r="BK518">
            <v>-5</v>
          </cell>
          <cell r="BM518">
            <v>3</v>
          </cell>
          <cell r="BP518">
            <v>3</v>
          </cell>
          <cell r="BW518" t="str">
            <v>Done</v>
          </cell>
          <cell r="BX518">
            <v>45079</v>
          </cell>
          <cell r="BY518" t="str">
            <v>Approved</v>
          </cell>
          <cell r="CD518">
            <v>45163</v>
          </cell>
          <cell r="CE518">
            <v>45184</v>
          </cell>
          <cell r="CG518" t="str">
            <v>M/s. SNEHANGI TRADERS</v>
          </cell>
          <cell r="CI518" t="str">
            <v>Issued</v>
          </cell>
          <cell r="DG518" t="str">
            <v>Netmed SDP - Not in Dead Rental</v>
          </cell>
          <cell r="DK518">
            <v>45210</v>
          </cell>
          <cell r="DL518">
            <v>45170</v>
          </cell>
          <cell r="DM518">
            <v>2</v>
          </cell>
          <cell r="DN518" t="str">
            <v>0 to 3 Days</v>
          </cell>
          <cell r="DP518">
            <v>45187</v>
          </cell>
          <cell r="DQ518">
            <v>45212</v>
          </cell>
          <cell r="DR518">
            <v>7</v>
          </cell>
          <cell r="DS518">
            <v>7</v>
          </cell>
          <cell r="DU518">
            <v>45219</v>
          </cell>
          <cell r="DV518">
            <v>45194</v>
          </cell>
          <cell r="DW518">
            <v>45219</v>
          </cell>
          <cell r="DX518" t="str">
            <v>Oct 23 Week 3</v>
          </cell>
          <cell r="DZ518">
            <v>45234</v>
          </cell>
          <cell r="EA518" t="str">
            <v>Nov 23 Week 1</v>
          </cell>
          <cell r="EB518" t="str">
            <v>Backlog</v>
          </cell>
          <cell r="ED518" t="str">
            <v/>
          </cell>
          <cell r="EE518" t="str">
            <v/>
          </cell>
          <cell r="EF518">
            <v>1</v>
          </cell>
          <cell r="EG518">
            <v>1</v>
          </cell>
          <cell r="FD518">
            <v>15</v>
          </cell>
          <cell r="FE518" t="str">
            <v>8 to 15 Days</v>
          </cell>
          <cell r="FF518">
            <v>40</v>
          </cell>
          <cell r="FG518" t="str">
            <v>31 to 61 Days</v>
          </cell>
          <cell r="FH518" t="str">
            <v>Done</v>
          </cell>
          <cell r="FI518" t="str">
            <v>Done</v>
          </cell>
          <cell r="FJ518" t="str">
            <v>NA</v>
          </cell>
          <cell r="FK518">
            <v>45236</v>
          </cell>
          <cell r="FM518" t="str">
            <v/>
          </cell>
          <cell r="GA518">
            <v>45234</v>
          </cell>
          <cell r="GC518">
            <v>45212</v>
          </cell>
          <cell r="GG518" t="str">
            <v>2023-2024</v>
          </cell>
        </row>
        <row r="519">
          <cell r="E519" t="str">
            <v>SP Pharma WARD NO 8 MEKHLIGANJ</v>
          </cell>
          <cell r="F519" t="str">
            <v>9. EPC Ready</v>
          </cell>
          <cell r="G519" t="str">
            <v>SPWBMEM3674</v>
          </cell>
          <cell r="H519" t="str">
            <v>WB-SM-MEK-3000</v>
          </cell>
          <cell r="I519" t="str">
            <v>TYNH</v>
          </cell>
          <cell r="J519" t="str">
            <v>QBTR</v>
          </cell>
          <cell r="K519" t="str">
            <v xml:space="preserve">E </v>
          </cell>
          <cell r="L519" t="str">
            <v>SD</v>
          </cell>
          <cell r="M519" t="str">
            <v>EPC Ready</v>
          </cell>
          <cell r="N519" t="str">
            <v>Mahendrakumar Warma</v>
          </cell>
          <cell r="O519" t="str">
            <v xml:space="preserve">Sandeepta Gayen </v>
          </cell>
          <cell r="Q519" t="str">
            <v>Gaurav Shinde</v>
          </cell>
          <cell r="S519" t="str">
            <v>West Bengal</v>
          </cell>
          <cell r="T519" t="str">
            <v>MEKHLIGANJ</v>
          </cell>
          <cell r="U519" t="str">
            <v>Non Premium</v>
          </cell>
          <cell r="V519" t="str">
            <v>Pharma Format</v>
          </cell>
          <cell r="W519">
            <v>411</v>
          </cell>
          <cell r="X519" t="str">
            <v>SP Pharma WARD NO 8 MEKHLIGANJ</v>
          </cell>
          <cell r="Y519">
            <v>45159</v>
          </cell>
          <cell r="Z519" t="str">
            <v>NA</v>
          </cell>
          <cell r="AB519" t="str">
            <v>NA</v>
          </cell>
          <cell r="AF519" t="str">
            <v>NA</v>
          </cell>
          <cell r="AK519">
            <v>45148</v>
          </cell>
          <cell r="AL519" t="str">
            <v>Received</v>
          </cell>
          <cell r="AO519">
            <v>3</v>
          </cell>
          <cell r="AS519">
            <v>-3</v>
          </cell>
          <cell r="AU519">
            <v>4</v>
          </cell>
          <cell r="AY519">
            <v>-4</v>
          </cell>
          <cell r="BA519">
            <v>5</v>
          </cell>
          <cell r="BE519">
            <v>-5</v>
          </cell>
          <cell r="BG519">
            <v>5</v>
          </cell>
          <cell r="BK519">
            <v>-5</v>
          </cell>
          <cell r="BM519">
            <v>3</v>
          </cell>
          <cell r="BP519">
            <v>3</v>
          </cell>
          <cell r="BW519" t="str">
            <v>Done</v>
          </cell>
          <cell r="BX519">
            <v>45079</v>
          </cell>
          <cell r="BY519" t="str">
            <v>Approved</v>
          </cell>
          <cell r="CD519">
            <v>45162</v>
          </cell>
          <cell r="CE519">
            <v>45167</v>
          </cell>
          <cell r="CG519" t="str">
            <v>M/s. COMFORTECH SOLUTIONS</v>
          </cell>
          <cell r="CI519" t="str">
            <v>Issued</v>
          </cell>
          <cell r="DG519" t="str">
            <v>Netmed SDP - Not in Dead Rental</v>
          </cell>
          <cell r="DK519">
            <v>45218</v>
          </cell>
          <cell r="DL519">
            <v>45169</v>
          </cell>
          <cell r="DM519">
            <v>2</v>
          </cell>
          <cell r="DN519" t="str">
            <v>0 to 3 Days</v>
          </cell>
          <cell r="DP519">
            <v>45170</v>
          </cell>
          <cell r="DQ519">
            <v>45220</v>
          </cell>
          <cell r="DR519">
            <v>7</v>
          </cell>
          <cell r="DS519">
            <v>7</v>
          </cell>
          <cell r="DU519">
            <v>45227</v>
          </cell>
          <cell r="DV519">
            <v>45177</v>
          </cell>
          <cell r="DW519">
            <v>45227</v>
          </cell>
          <cell r="DX519" t="str">
            <v>Oct 23 Week 4</v>
          </cell>
          <cell r="DZ519">
            <v>45231</v>
          </cell>
          <cell r="EA519" t="str">
            <v>Nov 23 Week 1</v>
          </cell>
          <cell r="EB519" t="str">
            <v>Backlog</v>
          </cell>
          <cell r="ED519" t="str">
            <v/>
          </cell>
          <cell r="EE519" t="str">
            <v/>
          </cell>
          <cell r="EF519">
            <v>1</v>
          </cell>
          <cell r="EG519">
            <v>1</v>
          </cell>
          <cell r="FD519">
            <v>4</v>
          </cell>
          <cell r="FE519" t="str">
            <v>4 to 7 Days</v>
          </cell>
          <cell r="FF519">
            <v>54</v>
          </cell>
          <cell r="FG519" t="str">
            <v>31 to 61 Days</v>
          </cell>
          <cell r="FH519" t="str">
            <v>Done</v>
          </cell>
          <cell r="FI519" t="str">
            <v>Done</v>
          </cell>
          <cell r="FJ519" t="str">
            <v>NA</v>
          </cell>
          <cell r="FK519">
            <v>45232</v>
          </cell>
          <cell r="FM519" t="str">
            <v/>
          </cell>
          <cell r="GA519">
            <v>45231</v>
          </cell>
          <cell r="GC519">
            <v>45220</v>
          </cell>
          <cell r="GG519" t="str">
            <v>2023-2024</v>
          </cell>
        </row>
        <row r="520">
          <cell r="E520" t="str">
            <v>Shop No 95 To 100  , Ganeshpura Modasa , Gf Opp Anjanta Complex  , SABARKANTHA , 383315</v>
          </cell>
          <cell r="F520" t="str">
            <v>9. EPC Ready</v>
          </cell>
          <cell r="G520" t="str">
            <v>SPGJMoM4041</v>
          </cell>
          <cell r="H520" t="str">
            <v>GJ-SM-MOD-3000</v>
          </cell>
          <cell r="I520" t="str">
            <v>TYR8</v>
          </cell>
          <cell r="J520" t="str">
            <v>Q1U7</v>
          </cell>
          <cell r="K520" t="str">
            <v>W</v>
          </cell>
          <cell r="L520" t="str">
            <v>KC</v>
          </cell>
          <cell r="M520" t="str">
            <v>EPC Ready Pharmacy 200 SFT</v>
          </cell>
          <cell r="Q520" t="str">
            <v>Gaurav Shinde</v>
          </cell>
          <cell r="S520" t="str">
            <v>Gujarat</v>
          </cell>
          <cell r="T520" t="str">
            <v>Modasa</v>
          </cell>
          <cell r="U520" t="str">
            <v>Non Premium</v>
          </cell>
          <cell r="V520" t="str">
            <v>Pharma Format</v>
          </cell>
          <cell r="W520">
            <v>200</v>
          </cell>
          <cell r="X520" t="str">
            <v>Shop No 95 To 100  , Ganeshpura Modasa , Gf Opp Anjanta Complex  , SABARKANTHA , 383315</v>
          </cell>
          <cell r="Z520" t="str">
            <v>NA</v>
          </cell>
          <cell r="AB520" t="str">
            <v>NA</v>
          </cell>
          <cell r="AF520" t="str">
            <v>NA</v>
          </cell>
          <cell r="AL520" t="str">
            <v>Received</v>
          </cell>
          <cell r="AO520">
            <v>3</v>
          </cell>
          <cell r="AS520">
            <v>-3</v>
          </cell>
          <cell r="AU520">
            <v>4</v>
          </cell>
          <cell r="AY520">
            <v>-4</v>
          </cell>
          <cell r="BA520">
            <v>5</v>
          </cell>
          <cell r="BE520">
            <v>-5</v>
          </cell>
          <cell r="BG520">
            <v>5</v>
          </cell>
          <cell r="BK520">
            <v>-5</v>
          </cell>
          <cell r="BM520">
            <v>3</v>
          </cell>
          <cell r="BP520">
            <v>3</v>
          </cell>
          <cell r="BW520" t="str">
            <v>Done</v>
          </cell>
          <cell r="BX520">
            <v>45079</v>
          </cell>
          <cell r="BY520" t="str">
            <v>Approved</v>
          </cell>
          <cell r="DG520" t="str">
            <v>Netmed SDP - Not in Dead Rental</v>
          </cell>
          <cell r="DK520">
            <v>45205</v>
          </cell>
          <cell r="DM520">
            <v>2</v>
          </cell>
          <cell r="DN520" t="str">
            <v>0 to 3 Days</v>
          </cell>
          <cell r="DQ520">
            <v>45207</v>
          </cell>
          <cell r="DR520">
            <v>7</v>
          </cell>
          <cell r="DS520">
            <v>7</v>
          </cell>
          <cell r="DU520">
            <v>45214</v>
          </cell>
          <cell r="DV520">
            <v>7</v>
          </cell>
          <cell r="DW520">
            <v>45214</v>
          </cell>
          <cell r="DX520" t="str">
            <v>Oct 23 Week 3</v>
          </cell>
          <cell r="DZ520">
            <v>45125</v>
          </cell>
          <cell r="EA520" t="str">
            <v>July 23 Week 3</v>
          </cell>
          <cell r="EB520" t="str">
            <v>Plan</v>
          </cell>
          <cell r="ED520" t="str">
            <v/>
          </cell>
          <cell r="EE520" t="str">
            <v/>
          </cell>
          <cell r="EF520">
            <v>1</v>
          </cell>
          <cell r="EG520">
            <v>1</v>
          </cell>
          <cell r="FD520">
            <v>-89</v>
          </cell>
          <cell r="FE520" t="str">
            <v>On Time</v>
          </cell>
          <cell r="FF520">
            <v>45118</v>
          </cell>
          <cell r="FH520" t="str">
            <v>Done</v>
          </cell>
          <cell r="FI520" t="str">
            <v>Done</v>
          </cell>
          <cell r="FJ520" t="str">
            <v>NA</v>
          </cell>
          <cell r="FM520" t="str">
            <v/>
          </cell>
          <cell r="GG520" t="str">
            <v>2023-2024</v>
          </cell>
        </row>
        <row r="521">
          <cell r="E521" t="str">
            <v> Ground Floor SRI VENKATESWARA COMPLEX  , Office Main Road Dist - West Godavari , D.No:  9-11 Beside Mogalthuru Panchayath  ,  MOGALTURU , 534281</v>
          </cell>
          <cell r="F521" t="str">
            <v>9. EPC Ready</v>
          </cell>
          <cell r="G521" t="str">
            <v>SPAPMOB4260</v>
          </cell>
          <cell r="H521" t="str">
            <v>AP-SM-MOG-3000</v>
          </cell>
          <cell r="I521" t="str">
            <v>TYGK</v>
          </cell>
          <cell r="J521" t="str">
            <v>QBMM</v>
          </cell>
          <cell r="K521" t="str">
            <v xml:space="preserve">E </v>
          </cell>
          <cell r="L521" t="str">
            <v>JD</v>
          </cell>
          <cell r="M521" t="str">
            <v>EPC Ready</v>
          </cell>
          <cell r="N521" t="str">
            <v>Jaisingh Desai</v>
          </cell>
          <cell r="P521" t="str">
            <v>Mr. Sudhakar Veerla</v>
          </cell>
          <cell r="Q521" t="str">
            <v>Gaurav Shinde</v>
          </cell>
          <cell r="S521" t="str">
            <v>Andhra Pradesh</v>
          </cell>
          <cell r="T521" t="str">
            <v>MOGALTURU</v>
          </cell>
          <cell r="U521" t="str">
            <v>Non Premium</v>
          </cell>
          <cell r="V521" t="str">
            <v>Pharma Format</v>
          </cell>
          <cell r="W521">
            <v>400</v>
          </cell>
          <cell r="X521" t="str">
            <v> Ground Floor SRI VENKATESWARA COMPLEX  , Office Main Road Dist - West Godavari , D.No:  9-11 Beside Mogalthuru Panchayath  ,  MOGALTURU , 534281</v>
          </cell>
          <cell r="Y521">
            <v>45124</v>
          </cell>
          <cell r="Z521" t="str">
            <v>NA</v>
          </cell>
          <cell r="AB521" t="str">
            <v>NA</v>
          </cell>
          <cell r="AF521" t="str">
            <v>NA</v>
          </cell>
          <cell r="AK521">
            <v>45143</v>
          </cell>
          <cell r="AL521" t="str">
            <v>Received</v>
          </cell>
          <cell r="AO521">
            <v>3</v>
          </cell>
          <cell r="AS521">
            <v>-3</v>
          </cell>
          <cell r="AU521">
            <v>4</v>
          </cell>
          <cell r="AY521">
            <v>-4</v>
          </cell>
          <cell r="BA521">
            <v>5</v>
          </cell>
          <cell r="BE521">
            <v>-5</v>
          </cell>
          <cell r="BG521">
            <v>5</v>
          </cell>
          <cell r="BK521">
            <v>-5</v>
          </cell>
          <cell r="BM521">
            <v>3</v>
          </cell>
          <cell r="BP521">
            <v>3</v>
          </cell>
          <cell r="BW521" t="str">
            <v>Done</v>
          </cell>
          <cell r="BX521">
            <v>45079</v>
          </cell>
          <cell r="BY521" t="str">
            <v>Approved</v>
          </cell>
          <cell r="CD521">
            <v>45126</v>
          </cell>
          <cell r="CE521">
            <v>45159</v>
          </cell>
          <cell r="CG521" t="str">
            <v xml:space="preserve">M/s   SRK Constructions </v>
          </cell>
          <cell r="CI521" t="str">
            <v>Issued</v>
          </cell>
          <cell r="DG521" t="str">
            <v>Netmed SDP - Not in Dead Rental</v>
          </cell>
          <cell r="DK521">
            <v>45175</v>
          </cell>
          <cell r="DM521">
            <v>2</v>
          </cell>
          <cell r="DN521" t="str">
            <v>0 to 3 Days</v>
          </cell>
          <cell r="DP521">
            <v>45162</v>
          </cell>
          <cell r="DQ521">
            <v>45177</v>
          </cell>
          <cell r="DR521">
            <v>7</v>
          </cell>
          <cell r="DS521">
            <v>7</v>
          </cell>
          <cell r="DU521">
            <v>45184</v>
          </cell>
          <cell r="DV521">
            <v>45169</v>
          </cell>
          <cell r="DW521">
            <v>45184</v>
          </cell>
          <cell r="DX521" t="str">
            <v>Sep 23 Week 3</v>
          </cell>
          <cell r="DZ521">
            <v>45200</v>
          </cell>
          <cell r="EA521" t="str">
            <v>Oct 23 Week 1</v>
          </cell>
          <cell r="EB521" t="str">
            <v>Backlog</v>
          </cell>
          <cell r="ED521" t="str">
            <v/>
          </cell>
          <cell r="EE521" t="str">
            <v/>
          </cell>
          <cell r="EF521">
            <v>1</v>
          </cell>
          <cell r="EG521">
            <v>1</v>
          </cell>
          <cell r="FD521">
            <v>16</v>
          </cell>
          <cell r="FE521" t="str">
            <v>16 to 31 Days</v>
          </cell>
          <cell r="FF521">
            <v>31</v>
          </cell>
          <cell r="FG521" t="str">
            <v>16 to 31 Days</v>
          </cell>
          <cell r="FH521" t="str">
            <v>Done</v>
          </cell>
          <cell r="FI521" t="str">
            <v>Done</v>
          </cell>
          <cell r="FJ521" t="str">
            <v>NA</v>
          </cell>
          <cell r="FK521">
            <v>45300</v>
          </cell>
          <cell r="FM521" t="str">
            <v/>
          </cell>
          <cell r="GA521">
            <v>45199</v>
          </cell>
          <cell r="GC521">
            <v>45177</v>
          </cell>
          <cell r="GG521" t="str">
            <v>2023-2024</v>
          </cell>
        </row>
        <row r="522">
          <cell r="E522" t="str">
            <v>GF S V Complex Plot 2361 1010 1106 1110  , Revenue thana no 131 Vill &amp; PS Mohania , Khata no 307 662 Jamabandi no 159 , Dist Kaimur , MOHANIA , 821109</v>
          </cell>
          <cell r="F522" t="str">
            <v>9. EPC Ready</v>
          </cell>
          <cell r="G522" t="str">
            <v>SPBHMOS3912</v>
          </cell>
          <cell r="H522" t="str">
            <v>BH-SM-MAA-3000</v>
          </cell>
          <cell r="I522" t="str">
            <v>TZ2O</v>
          </cell>
          <cell r="J522" t="str">
            <v>QEDH</v>
          </cell>
          <cell r="K522" t="str">
            <v xml:space="preserve">E </v>
          </cell>
          <cell r="L522" t="str">
            <v>AK</v>
          </cell>
          <cell r="M522" t="str">
            <v>EPC Ready</v>
          </cell>
          <cell r="Q522" t="str">
            <v>Gaurav Shinde</v>
          </cell>
          <cell r="S522" t="str">
            <v>Bihar</v>
          </cell>
          <cell r="T522" t="str">
            <v>Mohania</v>
          </cell>
          <cell r="U522" t="str">
            <v>Non Premium</v>
          </cell>
          <cell r="V522" t="str">
            <v>Pharma Format</v>
          </cell>
          <cell r="W522">
            <v>402</v>
          </cell>
          <cell r="X522" t="str">
            <v>GF S V Complex Plot 2361 1010 1106 1110  , Revenue thana no 131 Vill &amp; PS Mohania , Khata no 307 662 Jamabandi no 159 , Dist Kaimur , MOHANIA , 821109</v>
          </cell>
          <cell r="Y522">
            <v>45166</v>
          </cell>
          <cell r="Z522" t="str">
            <v>NA</v>
          </cell>
          <cell r="AB522" t="str">
            <v>NA</v>
          </cell>
          <cell r="AF522" t="str">
            <v>NA</v>
          </cell>
          <cell r="AK522">
            <v>45184</v>
          </cell>
          <cell r="AL522" t="str">
            <v>Received</v>
          </cell>
          <cell r="AO522">
            <v>3</v>
          </cell>
          <cell r="AS522">
            <v>-3</v>
          </cell>
          <cell r="AU522">
            <v>4</v>
          </cell>
          <cell r="AY522">
            <v>-4</v>
          </cell>
          <cell r="BA522">
            <v>5</v>
          </cell>
          <cell r="BE522">
            <v>-5</v>
          </cell>
          <cell r="BG522">
            <v>5</v>
          </cell>
          <cell r="BK522">
            <v>-5</v>
          </cell>
          <cell r="BM522">
            <v>3</v>
          </cell>
          <cell r="BP522">
            <v>3</v>
          </cell>
          <cell r="BW522" t="str">
            <v>Done</v>
          </cell>
          <cell r="BX522">
            <v>45079</v>
          </cell>
          <cell r="BY522" t="str">
            <v>Approved</v>
          </cell>
          <cell r="CD522">
            <v>45163</v>
          </cell>
          <cell r="CE522">
            <v>45175</v>
          </cell>
          <cell r="CG522" t="str">
            <v xml:space="preserve">M/S Laxmi Enterprises </v>
          </cell>
          <cell r="CI522" t="str">
            <v>Issued</v>
          </cell>
          <cell r="DG522" t="str">
            <v>Netmed SDP - Not in Dead Rental</v>
          </cell>
          <cell r="DK522">
            <v>45195</v>
          </cell>
          <cell r="DM522">
            <v>2</v>
          </cell>
          <cell r="DN522" t="str">
            <v>0 to 3 Days</v>
          </cell>
          <cell r="DP522">
            <v>45178</v>
          </cell>
          <cell r="DQ522">
            <v>45197</v>
          </cell>
          <cell r="DR522">
            <v>7</v>
          </cell>
          <cell r="DS522">
            <v>7</v>
          </cell>
          <cell r="DU522">
            <v>45204</v>
          </cell>
          <cell r="DV522">
            <v>45185</v>
          </cell>
          <cell r="DW522">
            <v>45204</v>
          </cell>
          <cell r="DX522" t="str">
            <v>Oct 23 Week 1</v>
          </cell>
          <cell r="DZ522">
            <v>45199</v>
          </cell>
          <cell r="EA522" t="str">
            <v>Sep 23 Week 5</v>
          </cell>
          <cell r="EB522" t="str">
            <v>Plan</v>
          </cell>
          <cell r="ED522" t="str">
            <v/>
          </cell>
          <cell r="EE522" t="str">
            <v/>
          </cell>
          <cell r="EF522">
            <v>1</v>
          </cell>
          <cell r="EG522">
            <v>1</v>
          </cell>
          <cell r="FD522">
            <v>-5</v>
          </cell>
          <cell r="FE522" t="str">
            <v>On Time</v>
          </cell>
          <cell r="FF522">
            <v>14</v>
          </cell>
          <cell r="FG522" t="str">
            <v>8 to 15 Days</v>
          </cell>
          <cell r="FH522" t="str">
            <v>Done</v>
          </cell>
          <cell r="FI522" t="str">
            <v>Done</v>
          </cell>
          <cell r="FJ522" t="str">
            <v>NA</v>
          </cell>
          <cell r="FK522">
            <v>45178</v>
          </cell>
          <cell r="FM522" t="str">
            <v/>
          </cell>
          <cell r="GA522">
            <v>45199</v>
          </cell>
          <cell r="GC522">
            <v>45197</v>
          </cell>
          <cell r="GG522" t="str">
            <v>2023-2024</v>
          </cell>
        </row>
        <row r="523">
          <cell r="E523" t="str">
            <v>Mr A Palanisami Sri Kumaran Mahal Door  , Cooperative Bank Aundipatty Theni , 6 1 306 Madurai To Theni Main Rd Nearby  , ANDIPATTI JAKK , 625512</v>
          </cell>
          <cell r="F523" t="str">
            <v>9. EPC Ready</v>
          </cell>
          <cell r="G523" t="str">
            <v>SPTNTHS3575</v>
          </cell>
          <cell r="H523" t="str">
            <v>TN-SM-AUN-3000</v>
          </cell>
          <cell r="I523" t="str">
            <v>TYWG</v>
          </cell>
          <cell r="J523" t="str">
            <v>QB4K</v>
          </cell>
          <cell r="K523" t="str">
            <v>S</v>
          </cell>
          <cell r="L523" t="str">
            <v>AK</v>
          </cell>
          <cell r="M523" t="str">
            <v>EPC Ready</v>
          </cell>
          <cell r="N523" t="str">
            <v>N Kalyankumar</v>
          </cell>
          <cell r="O523" t="str">
            <v>Muthuvelu Minnal /
Vijayakumar Muthusamy</v>
          </cell>
          <cell r="Q523" t="str">
            <v>Gaurav Shinde</v>
          </cell>
          <cell r="S523" t="str">
            <v>Tamil Nadu</v>
          </cell>
          <cell r="T523" t="str">
            <v>Aundipatty</v>
          </cell>
          <cell r="U523" t="str">
            <v>Non Premium</v>
          </cell>
          <cell r="V523" t="str">
            <v>Pharma Format</v>
          </cell>
          <cell r="W523">
            <v>400</v>
          </cell>
          <cell r="X523" t="str">
            <v>Mr A Palanisami Sri Kumaran Mahal Door  , Cooperative Bank Aundipatty Theni , 6 1 306 Madurai To Theni Main Rd Nearby  , ANDIPATTI JAKK , 625512</v>
          </cell>
          <cell r="Y523">
            <v>45159</v>
          </cell>
          <cell r="Z523" t="str">
            <v>NA</v>
          </cell>
          <cell r="AB523" t="str">
            <v>NA</v>
          </cell>
          <cell r="AF523" t="str">
            <v>NA</v>
          </cell>
          <cell r="AK523">
            <v>45198</v>
          </cell>
          <cell r="AL523" t="str">
            <v>Received</v>
          </cell>
          <cell r="AO523">
            <v>3</v>
          </cell>
          <cell r="AS523">
            <v>-3</v>
          </cell>
          <cell r="AU523">
            <v>4</v>
          </cell>
          <cell r="AY523">
            <v>-4</v>
          </cell>
          <cell r="BA523">
            <v>5</v>
          </cell>
          <cell r="BE523">
            <v>-5</v>
          </cell>
          <cell r="BG523">
            <v>5</v>
          </cell>
          <cell r="BK523">
            <v>-5</v>
          </cell>
          <cell r="BM523">
            <v>3</v>
          </cell>
          <cell r="BP523">
            <v>3</v>
          </cell>
          <cell r="BW523" t="str">
            <v>Done</v>
          </cell>
          <cell r="BX523">
            <v>45079</v>
          </cell>
          <cell r="BY523" t="str">
            <v>Approved</v>
          </cell>
          <cell r="CD523">
            <v>45162</v>
          </cell>
          <cell r="CE523">
            <v>45196</v>
          </cell>
          <cell r="CG523" t="str">
            <v>M/s SURIYA INTERIORS</v>
          </cell>
          <cell r="CI523" t="str">
            <v>Issued</v>
          </cell>
          <cell r="DG523" t="str">
            <v>Netmed SDP - Not in Dead Rental</v>
          </cell>
          <cell r="DK523">
            <v>45234</v>
          </cell>
          <cell r="DL523">
            <v>45207</v>
          </cell>
          <cell r="DM523">
            <v>2</v>
          </cell>
          <cell r="DN523" t="str">
            <v>0 to 3 Days</v>
          </cell>
          <cell r="DP523">
            <v>45199</v>
          </cell>
          <cell r="DQ523">
            <v>45236</v>
          </cell>
          <cell r="DR523">
            <v>7</v>
          </cell>
          <cell r="DS523">
            <v>7</v>
          </cell>
          <cell r="DU523">
            <v>45243</v>
          </cell>
          <cell r="DV523">
            <v>45206</v>
          </cell>
          <cell r="DW523">
            <v>45243</v>
          </cell>
          <cell r="DX523" t="str">
            <v>Nov 23 Week 2</v>
          </cell>
          <cell r="DZ523">
            <v>45266</v>
          </cell>
          <cell r="EA523" t="str">
            <v>Dec 23 Week 1</v>
          </cell>
          <cell r="EB523" t="str">
            <v>Backlog</v>
          </cell>
          <cell r="ED523" t="str">
            <v/>
          </cell>
          <cell r="EE523" t="str">
            <v/>
          </cell>
          <cell r="EF523">
            <v>1</v>
          </cell>
          <cell r="EG523">
            <v>1</v>
          </cell>
          <cell r="FD523">
            <v>23</v>
          </cell>
          <cell r="FE523" t="str">
            <v>16 to 31 Days</v>
          </cell>
          <cell r="FF523">
            <v>60</v>
          </cell>
          <cell r="FG523" t="str">
            <v>31 to 61 Days</v>
          </cell>
          <cell r="FH523" t="str">
            <v>Done</v>
          </cell>
          <cell r="FI523" t="str">
            <v>Done</v>
          </cell>
          <cell r="FJ523" t="str">
            <v>NA</v>
          </cell>
          <cell r="FK523">
            <v>45362</v>
          </cell>
          <cell r="FM523" t="str">
            <v/>
          </cell>
          <cell r="GA523">
            <v>45266</v>
          </cell>
          <cell r="GC523">
            <v>45236</v>
          </cell>
          <cell r="GG523" t="str">
            <v>2023-2024</v>
          </cell>
        </row>
        <row r="524">
          <cell r="E524" t="str">
            <v>GF Mahesh Market Plot No 1109  , Nakched Mauza, PS &amp; Dist - Motihari , Khata No 408, Revenue Thana No 122  , MOTIHARI , 845401</v>
          </cell>
          <cell r="F524" t="str">
            <v>9. EPC Ready</v>
          </cell>
          <cell r="G524" t="str">
            <v>SPBHMON4207</v>
          </cell>
          <cell r="H524" t="str">
            <v>BH-SM-MOT-3006</v>
          </cell>
          <cell r="I524" t="str">
            <v>TAC2</v>
          </cell>
          <cell r="J524" t="str">
            <v>QGGQ</v>
          </cell>
          <cell r="K524" t="str">
            <v xml:space="preserve">E </v>
          </cell>
          <cell r="L524" t="str">
            <v>AK</v>
          </cell>
          <cell r="M524" t="str">
            <v>EPC Ready</v>
          </cell>
          <cell r="Q524" t="str">
            <v>Gaurav Shinde</v>
          </cell>
          <cell r="S524" t="str">
            <v>Bihar</v>
          </cell>
          <cell r="T524" t="str">
            <v>Motihari</v>
          </cell>
          <cell r="U524" t="str">
            <v>Non Premium</v>
          </cell>
          <cell r="V524" t="str">
            <v>Pharma Format</v>
          </cell>
          <cell r="W524">
            <v>400</v>
          </cell>
          <cell r="X524" t="str">
            <v>GF Mahesh Market Plot No 1109  , Nakched Mauza, PS &amp; Dist - Motihari , Khata No 408, Revenue Thana No 122  , MOTIHARI , 845401</v>
          </cell>
          <cell r="Y524">
            <v>45166</v>
          </cell>
          <cell r="Z524" t="str">
            <v>NA</v>
          </cell>
          <cell r="AB524" t="str">
            <v>NA</v>
          </cell>
          <cell r="AF524" t="str">
            <v>NA</v>
          </cell>
          <cell r="AK524">
            <v>45164</v>
          </cell>
          <cell r="AL524" t="str">
            <v>Received</v>
          </cell>
          <cell r="AO524">
            <v>3</v>
          </cell>
          <cell r="AS524">
            <v>-3</v>
          </cell>
          <cell r="AU524">
            <v>4</v>
          </cell>
          <cell r="AY524">
            <v>-4</v>
          </cell>
          <cell r="BA524">
            <v>5</v>
          </cell>
          <cell r="BE524">
            <v>-5</v>
          </cell>
          <cell r="BG524">
            <v>5</v>
          </cell>
          <cell r="BK524">
            <v>-5</v>
          </cell>
          <cell r="BM524">
            <v>3</v>
          </cell>
          <cell r="BP524">
            <v>3</v>
          </cell>
          <cell r="BW524" t="str">
            <v>Done</v>
          </cell>
          <cell r="BX524">
            <v>45079</v>
          </cell>
          <cell r="BY524" t="str">
            <v>Approved</v>
          </cell>
          <cell r="CD524">
            <v>45163</v>
          </cell>
          <cell r="CE524">
            <v>45175</v>
          </cell>
          <cell r="CG524" t="str">
            <v xml:space="preserve">M/S Laxmi Enterprises </v>
          </cell>
          <cell r="CI524" t="str">
            <v>Issued</v>
          </cell>
          <cell r="DG524" t="str">
            <v>Netmed SDP - Not in Dead Rental</v>
          </cell>
          <cell r="DK524">
            <v>45234</v>
          </cell>
          <cell r="DL524">
            <v>45178</v>
          </cell>
          <cell r="DM524">
            <v>2</v>
          </cell>
          <cell r="DN524" t="str">
            <v>0 to 3 Days</v>
          </cell>
          <cell r="DP524">
            <v>45178</v>
          </cell>
          <cell r="DQ524">
            <v>45236</v>
          </cell>
          <cell r="DR524">
            <v>7</v>
          </cell>
          <cell r="DS524">
            <v>7</v>
          </cell>
          <cell r="DU524">
            <v>45243</v>
          </cell>
          <cell r="DV524">
            <v>45185</v>
          </cell>
          <cell r="DW524">
            <v>45243</v>
          </cell>
          <cell r="DX524" t="str">
            <v>Nov 23 Week 2</v>
          </cell>
          <cell r="DZ524">
            <v>45254</v>
          </cell>
          <cell r="EA524" t="str">
            <v>Nov 23 Week 4</v>
          </cell>
          <cell r="EB524" t="str">
            <v>Backlog</v>
          </cell>
          <cell r="ED524" t="str">
            <v/>
          </cell>
          <cell r="EE524" t="str">
            <v/>
          </cell>
          <cell r="EF524">
            <v>1</v>
          </cell>
          <cell r="EG524">
            <v>1</v>
          </cell>
          <cell r="FD524">
            <v>11</v>
          </cell>
          <cell r="FE524" t="str">
            <v>8 to 15 Days</v>
          </cell>
          <cell r="FF524">
            <v>69</v>
          </cell>
          <cell r="FG524" t="str">
            <v>62 to 90 Days</v>
          </cell>
          <cell r="FH524" t="str">
            <v>Done</v>
          </cell>
          <cell r="FI524" t="str">
            <v>Done</v>
          </cell>
          <cell r="FJ524" t="str">
            <v>NA</v>
          </cell>
          <cell r="FK524">
            <v>45282</v>
          </cell>
          <cell r="FM524" t="str">
            <v/>
          </cell>
          <cell r="GA524">
            <v>45254</v>
          </cell>
          <cell r="GC524">
            <v>45236</v>
          </cell>
          <cell r="GG524" t="str">
            <v>2023-2024</v>
          </cell>
        </row>
        <row r="525">
          <cell r="E525" t="str">
            <v>RRL GF Agarwal Market Plot No 16 &amp; 17  , Village Shayampur Bazar P S Adapur Dist , Khata 134 Jamabandi 1348 Revenue Thana99 , East Champaran , ADAPUR , 845301</v>
          </cell>
          <cell r="F525" t="str">
            <v>9. EPC Ready</v>
          </cell>
          <cell r="G525" t="str">
            <v>SPBHADN4124</v>
          </cell>
          <cell r="H525" t="str">
            <v>BH-SM-ADA-3000</v>
          </cell>
          <cell r="I525" t="str">
            <v>TG9K</v>
          </cell>
          <cell r="J525" t="str">
            <v>QZBP</v>
          </cell>
          <cell r="K525" t="str">
            <v xml:space="preserve">E </v>
          </cell>
          <cell r="L525" t="str">
            <v>AK</v>
          </cell>
          <cell r="M525" t="str">
            <v>EPC Ready</v>
          </cell>
          <cell r="Q525" t="str">
            <v>Gaurav Shinde</v>
          </cell>
          <cell r="S525" t="str">
            <v>Bihar</v>
          </cell>
          <cell r="T525" t="str">
            <v>Motihari</v>
          </cell>
          <cell r="U525" t="str">
            <v>Non Premium</v>
          </cell>
          <cell r="V525" t="str">
            <v>Pharma Format</v>
          </cell>
          <cell r="W525">
            <v>400</v>
          </cell>
          <cell r="X525" t="str">
            <v>RRL GF Agarwal Market Plot No 16 &amp; 17  , Village Shayampur Bazar P S Adapur Dist , Khata 134 Jamabandi 1348 Revenue Thana99 , East Champaran , ADAPUR , 845301</v>
          </cell>
          <cell r="Y525">
            <v>45334</v>
          </cell>
          <cell r="Z525" t="str">
            <v>NA</v>
          </cell>
          <cell r="AB525" t="str">
            <v>NA</v>
          </cell>
          <cell r="AF525" t="str">
            <v>NA</v>
          </cell>
          <cell r="AK525">
            <v>45166</v>
          </cell>
          <cell r="AL525" t="str">
            <v>Received</v>
          </cell>
          <cell r="AO525">
            <v>3</v>
          </cell>
          <cell r="AS525">
            <v>-3</v>
          </cell>
          <cell r="AU525">
            <v>4</v>
          </cell>
          <cell r="AY525">
            <v>-4</v>
          </cell>
          <cell r="BA525">
            <v>5</v>
          </cell>
          <cell r="BE525">
            <v>-5</v>
          </cell>
          <cell r="BG525">
            <v>5</v>
          </cell>
          <cell r="BK525">
            <v>-5</v>
          </cell>
          <cell r="BM525">
            <v>3</v>
          </cell>
          <cell r="BP525">
            <v>3</v>
          </cell>
          <cell r="BW525" t="str">
            <v>Done</v>
          </cell>
          <cell r="BX525">
            <v>45079</v>
          </cell>
          <cell r="BY525" t="str">
            <v>Approved</v>
          </cell>
          <cell r="CD525">
            <v>45103</v>
          </cell>
          <cell r="CE525">
            <v>45113</v>
          </cell>
          <cell r="CG525" t="str">
            <v>M/S Rahul Kumar</v>
          </cell>
          <cell r="CI525" t="str">
            <v>Issued</v>
          </cell>
          <cell r="DA525" t="str">
            <v>NA</v>
          </cell>
          <cell r="DB525" t="str">
            <v>NA</v>
          </cell>
          <cell r="DC525" t="str">
            <v>NA</v>
          </cell>
          <cell r="DG525" t="str">
            <v>Netmed SDP - Not in Dead Rental</v>
          </cell>
          <cell r="DK525">
            <v>45350</v>
          </cell>
          <cell r="DL525">
            <v>45336</v>
          </cell>
          <cell r="DM525">
            <v>2</v>
          </cell>
          <cell r="DN525" t="str">
            <v>0 to 3 Days</v>
          </cell>
          <cell r="DP525">
            <v>45116</v>
          </cell>
          <cell r="DQ525">
            <v>45352</v>
          </cell>
          <cell r="DR525">
            <v>7</v>
          </cell>
          <cell r="DS525">
            <v>7</v>
          </cell>
          <cell r="DU525">
            <v>45359</v>
          </cell>
          <cell r="DV525">
            <v>45123</v>
          </cell>
          <cell r="DW525">
            <v>45359</v>
          </cell>
          <cell r="DX525" t="str">
            <v>March 24 Week 2</v>
          </cell>
          <cell r="DY525">
            <v>45366</v>
          </cell>
          <cell r="DZ525">
            <v>45366</v>
          </cell>
          <cell r="EA525" t="str">
            <v>March 24 Week 3</v>
          </cell>
          <cell r="EB525" t="str">
            <v>Backlog</v>
          </cell>
          <cell r="ED525" t="str">
            <v/>
          </cell>
          <cell r="EE525" t="str">
            <v/>
          </cell>
          <cell r="EF525">
            <v>1</v>
          </cell>
          <cell r="EH525" t="str">
            <v>IT material missing</v>
          </cell>
          <cell r="FD525">
            <v>7</v>
          </cell>
          <cell r="FE525" t="str">
            <v>4 to 7 Days</v>
          </cell>
          <cell r="FF525">
            <v>243</v>
          </cell>
          <cell r="FG525" t="str">
            <v>More Than 90  Days</v>
          </cell>
          <cell r="FH525" t="str">
            <v>Done</v>
          </cell>
          <cell r="FI525" t="str">
            <v>Done</v>
          </cell>
          <cell r="FJ525" t="str">
            <v>NA</v>
          </cell>
          <cell r="FK525">
            <v>45366</v>
          </cell>
          <cell r="FM525" t="str">
            <v/>
          </cell>
          <cell r="FZ525" t="str">
            <v>Fixture Installation Completed on 04-03-2024</v>
          </cell>
          <cell r="GC525">
            <v>45352</v>
          </cell>
          <cell r="GG525" t="str">
            <v>2023-2024</v>
          </cell>
        </row>
        <row r="526">
          <cell r="E526" t="str">
            <v>GF Sy 44 1 Old No 44 Village Hesarghatta  , Petrol Bunk Adjecent To St Anns School , No 44 Hesarghatta Main Road Opp Indian , Petrol Bunk Near St Anns School , BANGALORE , 560088</v>
          </cell>
          <cell r="F526" t="str">
            <v>9. EPC Ready</v>
          </cell>
          <cell r="G526" t="str">
            <v>SPKABAH3035</v>
          </cell>
          <cell r="H526" t="str">
            <v>KR-SM-BAN-3096</v>
          </cell>
          <cell r="I526" t="str">
            <v>TZ5J</v>
          </cell>
          <cell r="J526" t="str">
            <v>QEHI</v>
          </cell>
          <cell r="K526" t="str">
            <v>S</v>
          </cell>
          <cell r="L526" t="str">
            <v>AK</v>
          </cell>
          <cell r="M526" t="str">
            <v>EPC Ready</v>
          </cell>
          <cell r="N526" t="str">
            <v>N Kalyankumar</v>
          </cell>
          <cell r="O526" t="str">
            <v>Sreekanth Bijjhalli</v>
          </cell>
          <cell r="Q526" t="str">
            <v>Gaurav Shinde</v>
          </cell>
          <cell r="S526" t="str">
            <v>Karnataka</v>
          </cell>
          <cell r="T526" t="str">
            <v>Bangalore</v>
          </cell>
          <cell r="U526" t="str">
            <v>Non Premium</v>
          </cell>
          <cell r="V526" t="str">
            <v>Pharma Format</v>
          </cell>
          <cell r="W526">
            <v>398</v>
          </cell>
          <cell r="X526" t="str">
            <v>GF Sy 44 1 Old No 44 Village Hesarghatta  , Petrol Bunk Adjecent To St Anns School , No 44 Hesarghatta Main Road Opp Indian , Petrol Bunk Near St Anns School , BANGALORE , 560088</v>
          </cell>
          <cell r="Y526">
            <v>45166</v>
          </cell>
          <cell r="Z526" t="str">
            <v>NA</v>
          </cell>
          <cell r="AB526" t="str">
            <v>NA</v>
          </cell>
          <cell r="AF526" t="str">
            <v>NA</v>
          </cell>
          <cell r="AK526">
            <v>45170</v>
          </cell>
          <cell r="AL526" t="str">
            <v>Received</v>
          </cell>
          <cell r="AO526">
            <v>3</v>
          </cell>
          <cell r="AS526">
            <v>-3</v>
          </cell>
          <cell r="AU526">
            <v>4</v>
          </cell>
          <cell r="AY526">
            <v>-4</v>
          </cell>
          <cell r="BA526">
            <v>5</v>
          </cell>
          <cell r="BE526">
            <v>-5</v>
          </cell>
          <cell r="BG526">
            <v>5</v>
          </cell>
          <cell r="BK526">
            <v>-5</v>
          </cell>
          <cell r="BM526">
            <v>3</v>
          </cell>
          <cell r="BP526">
            <v>3</v>
          </cell>
          <cell r="BW526" t="str">
            <v>Done</v>
          </cell>
          <cell r="BX526">
            <v>45079</v>
          </cell>
          <cell r="BY526" t="str">
            <v>Approved</v>
          </cell>
          <cell r="CD526">
            <v>45163</v>
          </cell>
          <cell r="CE526">
            <v>45220</v>
          </cell>
          <cell r="CG526" t="str">
            <v>M/s. Aryan Amit</v>
          </cell>
          <cell r="CI526" t="str">
            <v>Issued</v>
          </cell>
          <cell r="DG526" t="str">
            <v>Netmed SDP - Not in Dead Rental</v>
          </cell>
          <cell r="DK526">
            <v>45223</v>
          </cell>
          <cell r="DL526">
            <v>45181</v>
          </cell>
          <cell r="DM526">
            <v>2</v>
          </cell>
          <cell r="DN526" t="str">
            <v>0 to 3 Days</v>
          </cell>
          <cell r="DP526">
            <v>45223</v>
          </cell>
          <cell r="DQ526">
            <v>45225</v>
          </cell>
          <cell r="DR526">
            <v>7</v>
          </cell>
          <cell r="DS526">
            <v>7</v>
          </cell>
          <cell r="DU526">
            <v>45232</v>
          </cell>
          <cell r="DV526">
            <v>45230</v>
          </cell>
          <cell r="DW526">
            <v>45232</v>
          </cell>
          <cell r="DX526" t="str">
            <v>Nov 23 Week 1</v>
          </cell>
          <cell r="DZ526">
            <v>45260</v>
          </cell>
          <cell r="EA526" t="str">
            <v>Nov 23 Week 5</v>
          </cell>
          <cell r="EB526" t="str">
            <v>Backlog</v>
          </cell>
          <cell r="ED526" t="str">
            <v/>
          </cell>
          <cell r="EE526" t="str">
            <v/>
          </cell>
          <cell r="EF526">
            <v>1</v>
          </cell>
          <cell r="EG526">
            <v>1</v>
          </cell>
          <cell r="FD526">
            <v>28</v>
          </cell>
          <cell r="FE526" t="str">
            <v>16 to 31 Days</v>
          </cell>
          <cell r="FF526">
            <v>30</v>
          </cell>
          <cell r="FG526" t="str">
            <v>16 to 31 Days</v>
          </cell>
          <cell r="FH526" t="str">
            <v>Done</v>
          </cell>
          <cell r="FI526" t="str">
            <v>Done</v>
          </cell>
          <cell r="FJ526" t="str">
            <v>NA</v>
          </cell>
          <cell r="FK526">
            <v>45296</v>
          </cell>
          <cell r="FM526" t="str">
            <v/>
          </cell>
          <cell r="GA526">
            <v>45260</v>
          </cell>
          <cell r="GC526">
            <v>45225</v>
          </cell>
          <cell r="GG526" t="str">
            <v>2023-2024</v>
          </cell>
        </row>
        <row r="527">
          <cell r="E527" t="str">
            <v>GF Patta No 95 96 97  ,  , Ward No 15 Lunkaransar Bikaner  , LUNKARANSAR , 334603</v>
          </cell>
          <cell r="F527" t="str">
            <v>9. EPC Ready</v>
          </cell>
          <cell r="G527" t="str">
            <v>SPRJBIB4257</v>
          </cell>
          <cell r="H527" t="str">
            <v>RJ-SM-LKR-3000</v>
          </cell>
          <cell r="I527" t="str">
            <v>TAOV</v>
          </cell>
          <cell r="J527" t="str">
            <v>QF4Y</v>
          </cell>
          <cell r="K527" t="str">
            <v xml:space="preserve">N </v>
          </cell>
          <cell r="L527" t="str">
            <v>KC</v>
          </cell>
          <cell r="M527" t="str">
            <v>EPC Ready</v>
          </cell>
          <cell r="P527" t="str">
            <v>Haresh Patil-9909977160</v>
          </cell>
          <cell r="Q527" t="str">
            <v>Gaurav Shinde</v>
          </cell>
          <cell r="S527" t="str">
            <v>Rajasthan</v>
          </cell>
          <cell r="T527" t="str">
            <v>Lunkaransar-iv</v>
          </cell>
          <cell r="U527" t="str">
            <v>Non Premium</v>
          </cell>
          <cell r="V527" t="str">
            <v>Pharma Format</v>
          </cell>
          <cell r="W527">
            <v>400</v>
          </cell>
          <cell r="X527" t="str">
            <v>GF Patta No 95 96 97  ,  , Ward No 15 Lunkaransar Bikaner  , LUNKARANSAR , 334603</v>
          </cell>
          <cell r="Y527">
            <v>45104</v>
          </cell>
          <cell r="Z527" t="str">
            <v>NA</v>
          </cell>
          <cell r="AB527" t="str">
            <v>NA</v>
          </cell>
          <cell r="AF527" t="str">
            <v>NA</v>
          </cell>
          <cell r="AK527">
            <v>45133</v>
          </cell>
          <cell r="AL527" t="str">
            <v>Received</v>
          </cell>
          <cell r="AM527">
            <v>45128</v>
          </cell>
          <cell r="AO527">
            <v>3</v>
          </cell>
          <cell r="AS527">
            <v>-3</v>
          </cell>
          <cell r="AU527">
            <v>4</v>
          </cell>
          <cell r="AY527">
            <v>-4</v>
          </cell>
          <cell r="BA527">
            <v>5</v>
          </cell>
          <cell r="BE527">
            <v>-5</v>
          </cell>
          <cell r="BG527">
            <v>5</v>
          </cell>
          <cell r="BK527">
            <v>-5</v>
          </cell>
          <cell r="BM527">
            <v>3</v>
          </cell>
          <cell r="BP527">
            <v>3</v>
          </cell>
          <cell r="BW527" t="str">
            <v>Done</v>
          </cell>
          <cell r="BX527">
            <v>45079</v>
          </cell>
          <cell r="BY527" t="str">
            <v>Approved</v>
          </cell>
          <cell r="CD527">
            <v>45103</v>
          </cell>
          <cell r="CE527">
            <v>45113</v>
          </cell>
          <cell r="CG527" t="str">
            <v>Shri Brothers Interiors</v>
          </cell>
          <cell r="CI527" t="str">
            <v>Issued</v>
          </cell>
          <cell r="DG527" t="str">
            <v>Netmed SDP - Not in Dead Rental</v>
          </cell>
          <cell r="DK527">
            <v>45130</v>
          </cell>
          <cell r="DL527">
            <v>45166</v>
          </cell>
          <cell r="DM527">
            <v>2</v>
          </cell>
          <cell r="DN527" t="str">
            <v>0 to 3 Days</v>
          </cell>
          <cell r="DP527">
            <v>45116</v>
          </cell>
          <cell r="DQ527">
            <v>45132</v>
          </cell>
          <cell r="DR527">
            <v>7</v>
          </cell>
          <cell r="DS527">
            <v>7</v>
          </cell>
          <cell r="DU527">
            <v>45139</v>
          </cell>
          <cell r="DV527">
            <v>45123</v>
          </cell>
          <cell r="DW527">
            <v>45139</v>
          </cell>
          <cell r="DX527" t="str">
            <v>Aug 23 Week 1</v>
          </cell>
          <cell r="DY527" t="str">
            <v>30-07-2023
01-08-2023
02-08-2023
05-08-2023
10-08-2023
10-08-2023</v>
          </cell>
          <cell r="DZ527">
            <v>45146</v>
          </cell>
          <cell r="EA527" t="str">
            <v>Aug 23 Week 2</v>
          </cell>
          <cell r="EB527" t="str">
            <v>Backlog</v>
          </cell>
          <cell r="ED527" t="str">
            <v/>
          </cell>
          <cell r="EE527" t="str">
            <v/>
          </cell>
          <cell r="EF527">
            <v>1</v>
          </cell>
          <cell r="EG527">
            <v>1</v>
          </cell>
          <cell r="FD527">
            <v>7</v>
          </cell>
          <cell r="FE527" t="str">
            <v>4 to 7 Days</v>
          </cell>
          <cell r="FF527">
            <v>23</v>
          </cell>
          <cell r="FG527" t="str">
            <v>16 to 31 Days</v>
          </cell>
          <cell r="FH527" t="str">
            <v>Done</v>
          </cell>
          <cell r="FI527" t="str">
            <v>Done</v>
          </cell>
          <cell r="FJ527" t="str">
            <v>NA</v>
          </cell>
          <cell r="FK527">
            <v>45419</v>
          </cell>
          <cell r="FM527" t="str">
            <v/>
          </cell>
          <cell r="GA527">
            <v>45143</v>
          </cell>
          <cell r="GC527">
            <v>45131</v>
          </cell>
          <cell r="GG527" t="str">
            <v>2023-2024</v>
          </cell>
        </row>
        <row r="528">
          <cell r="E528" t="str">
            <v>Unit No A 1 To A 7 Dev Aangan Devchand  , Bhayandar West Thane , Nagar Sanghvi Devchandjethalal Marg  , MUMBAI , 401101</v>
          </cell>
          <cell r="F528" t="str">
            <v>14. Dropped</v>
          </cell>
          <cell r="G528" t="str">
            <v>SPMHMUM2748</v>
          </cell>
          <cell r="H528" t="str">
            <v>MU-SM-GMU-3085</v>
          </cell>
          <cell r="I528" t="str">
            <v>TZEX</v>
          </cell>
          <cell r="J528" t="str">
            <v/>
          </cell>
          <cell r="K528" t="str">
            <v>W</v>
          </cell>
          <cell r="L528" t="str">
            <v>KC</v>
          </cell>
          <cell r="M528" t="str">
            <v>Dropped</v>
          </cell>
          <cell r="Q528" t="str">
            <v>Gaurav Shinde</v>
          </cell>
          <cell r="S528" t="str">
            <v>Maharashtra</v>
          </cell>
          <cell r="T528" t="str">
            <v>Mumbai</v>
          </cell>
          <cell r="U528" t="str">
            <v>Non Premium</v>
          </cell>
          <cell r="V528" t="str">
            <v>Pharma Format</v>
          </cell>
          <cell r="W528">
            <v>420</v>
          </cell>
          <cell r="X528" t="str">
            <v>Unit No A 1 To A 7 Dev Aangan Devchand  , Bhayandar West Thane , Nagar Sanghvi Devchandjethalal Marg  , MUMBAI , 401101</v>
          </cell>
          <cell r="Z528" t="str">
            <v>NA</v>
          </cell>
          <cell r="AB528" t="str">
            <v>NA</v>
          </cell>
          <cell r="AF528" t="str">
            <v>NA</v>
          </cell>
          <cell r="AL528" t="str">
            <v>NA</v>
          </cell>
          <cell r="AO528">
            <v>3</v>
          </cell>
          <cell r="AS528">
            <v>-3</v>
          </cell>
          <cell r="AU528">
            <v>4</v>
          </cell>
          <cell r="AY528">
            <v>-4</v>
          </cell>
          <cell r="BA528">
            <v>5</v>
          </cell>
          <cell r="BE528">
            <v>-5</v>
          </cell>
          <cell r="BG528">
            <v>5</v>
          </cell>
          <cell r="BK528">
            <v>-5</v>
          </cell>
          <cell r="BM528">
            <v>3</v>
          </cell>
          <cell r="BP528">
            <v>3</v>
          </cell>
          <cell r="BW528" t="str">
            <v>Done</v>
          </cell>
          <cell r="BX528">
            <v>45079</v>
          </cell>
          <cell r="BY528" t="str">
            <v>Approved</v>
          </cell>
          <cell r="DG528" t="str">
            <v>Netmed SDP - Not in Dead Rental</v>
          </cell>
          <cell r="DM528" t="str">
            <v>NA</v>
          </cell>
          <cell r="DN528" t="str">
            <v>NA</v>
          </cell>
          <cell r="DR528">
            <v>7</v>
          </cell>
          <cell r="DS528">
            <v>7</v>
          </cell>
          <cell r="DU528">
            <v>7</v>
          </cell>
          <cell r="DV528">
            <v>7</v>
          </cell>
          <cell r="DW528">
            <v>7</v>
          </cell>
          <cell r="EA528" t="str">
            <v/>
          </cell>
          <cell r="ED528" t="str">
            <v/>
          </cell>
          <cell r="EE528" t="str">
            <v/>
          </cell>
          <cell r="EF528">
            <v>1</v>
          </cell>
          <cell r="FD528">
            <v>46114</v>
          </cell>
          <cell r="FF528">
            <v>46114</v>
          </cell>
          <cell r="FJ528" t="str">
            <v>NA</v>
          </cell>
          <cell r="FM528" t="str">
            <v/>
          </cell>
          <cell r="GG528" t="str">
            <v>2024-2025</v>
          </cell>
        </row>
        <row r="529">
          <cell r="E529" t="str">
            <v>House No 4 2 78 To 80 Opposite Hari  , Mahabubabad , Kishan Oil Mill Marwadi Bazaar  , MAHABUBABAD , 506101</v>
          </cell>
          <cell r="F529" t="str">
            <v>9. EPC Ready</v>
          </cell>
          <cell r="G529" t="str">
            <v>SPTSMAM4230</v>
          </cell>
          <cell r="H529" t="str">
            <v>TG-SM-MAD-3000</v>
          </cell>
          <cell r="I529" t="str">
            <v>TYXN</v>
          </cell>
          <cell r="J529" t="str">
            <v>QB5R</v>
          </cell>
          <cell r="K529" t="str">
            <v xml:space="preserve">E </v>
          </cell>
          <cell r="L529" t="str">
            <v>AK</v>
          </cell>
          <cell r="M529" t="str">
            <v>EPC Ready</v>
          </cell>
          <cell r="O529" t="str">
            <v>Rajshekhar M</v>
          </cell>
          <cell r="P529" t="str">
            <v>Sudhakar Veerla- 9502135135</v>
          </cell>
          <cell r="Q529" t="str">
            <v>Gaurav Shinde</v>
          </cell>
          <cell r="S529" t="str">
            <v>Telangana</v>
          </cell>
          <cell r="T529" t="str">
            <v>Mahabubbad</v>
          </cell>
          <cell r="U529" t="str">
            <v>Non Premium</v>
          </cell>
          <cell r="V529" t="str">
            <v>Pharma Format</v>
          </cell>
          <cell r="W529">
            <v>400</v>
          </cell>
          <cell r="X529" t="str">
            <v>House No 4 2 78 To 80 Opposite Hari  , Mahabubabad , Kishan Oil Mill Marwadi Bazaar  , MAHABUBABAD , 506101</v>
          </cell>
          <cell r="Y529">
            <v>45167</v>
          </cell>
          <cell r="Z529" t="str">
            <v>NA</v>
          </cell>
          <cell r="AB529" t="str">
            <v>NA</v>
          </cell>
          <cell r="AF529" t="str">
            <v>NA</v>
          </cell>
          <cell r="AK529">
            <v>45162</v>
          </cell>
          <cell r="AL529" t="str">
            <v>Received</v>
          </cell>
          <cell r="AO529">
            <v>3</v>
          </cell>
          <cell r="AS529">
            <v>-3</v>
          </cell>
          <cell r="AU529">
            <v>4</v>
          </cell>
          <cell r="AY529">
            <v>-4</v>
          </cell>
          <cell r="BA529">
            <v>5</v>
          </cell>
          <cell r="BE529">
            <v>-5</v>
          </cell>
          <cell r="BG529">
            <v>5</v>
          </cell>
          <cell r="BK529">
            <v>-5</v>
          </cell>
          <cell r="BM529">
            <v>3</v>
          </cell>
          <cell r="BP529">
            <v>3</v>
          </cell>
          <cell r="BW529" t="str">
            <v>Done</v>
          </cell>
          <cell r="BX529">
            <v>45079</v>
          </cell>
          <cell r="BY529" t="str">
            <v>Approved</v>
          </cell>
          <cell r="CD529">
            <v>45163</v>
          </cell>
          <cell r="CE529">
            <v>45173</v>
          </cell>
          <cell r="CG529" t="str">
            <v>M/s SARK CORPORATION</v>
          </cell>
          <cell r="CI529" t="str">
            <v>Issued</v>
          </cell>
          <cell r="DG529" t="str">
            <v>Netmed SDP - Not in Dead Rental</v>
          </cell>
          <cell r="DK529">
            <v>45195</v>
          </cell>
          <cell r="DL529">
            <v>45168</v>
          </cell>
          <cell r="DM529">
            <v>2</v>
          </cell>
          <cell r="DN529" t="str">
            <v>0 to 3 Days</v>
          </cell>
          <cell r="DP529">
            <v>45176</v>
          </cell>
          <cell r="DQ529">
            <v>45197</v>
          </cell>
          <cell r="DR529">
            <v>7</v>
          </cell>
          <cell r="DS529">
            <v>7</v>
          </cell>
          <cell r="DU529">
            <v>45204</v>
          </cell>
          <cell r="DV529">
            <v>45183</v>
          </cell>
          <cell r="DW529">
            <v>45204</v>
          </cell>
          <cell r="DX529" t="str">
            <v>Oct 23 Week 1</v>
          </cell>
          <cell r="DZ529">
            <v>45229</v>
          </cell>
          <cell r="EA529" t="str">
            <v>Oct 23 Week 5</v>
          </cell>
          <cell r="EB529" t="str">
            <v>Backlog</v>
          </cell>
          <cell r="ED529" t="str">
            <v/>
          </cell>
          <cell r="EE529" t="str">
            <v/>
          </cell>
          <cell r="EF529">
            <v>1</v>
          </cell>
          <cell r="EG529">
            <v>1</v>
          </cell>
          <cell r="FD529">
            <v>25</v>
          </cell>
          <cell r="FE529" t="str">
            <v>16 to 31 Days</v>
          </cell>
          <cell r="FF529">
            <v>46</v>
          </cell>
          <cell r="FG529" t="str">
            <v>31 to 61 Days</v>
          </cell>
          <cell r="FH529" t="str">
            <v>done</v>
          </cell>
          <cell r="FJ529" t="str">
            <v>NA</v>
          </cell>
          <cell r="FK529">
            <v>45423</v>
          </cell>
          <cell r="FM529" t="str">
            <v/>
          </cell>
          <cell r="GA529">
            <v>45229</v>
          </cell>
          <cell r="GC529">
            <v>45197</v>
          </cell>
          <cell r="GG529" t="str">
            <v>2023-2024</v>
          </cell>
        </row>
        <row r="530">
          <cell r="E530" t="str">
            <v>RG Tower Near Masjid Taleem Chaubara Roa  , To Masjid Taleem Bidar , Siddi Shah Chaubara Road Diagonally Opp  , BIDAR , 585401</v>
          </cell>
          <cell r="F530" t="str">
            <v>9. EPC Ready</v>
          </cell>
          <cell r="G530" t="str">
            <v>SPKABIR3693</v>
          </cell>
          <cell r="H530" t="str">
            <v>KR-SM-BID-3000</v>
          </cell>
          <cell r="I530" t="str">
            <v>TYYC</v>
          </cell>
          <cell r="J530" t="str">
            <v>QB6G</v>
          </cell>
          <cell r="K530" t="str">
            <v>S</v>
          </cell>
          <cell r="L530" t="str">
            <v>AK</v>
          </cell>
          <cell r="M530" t="str">
            <v>EPC Ready</v>
          </cell>
          <cell r="N530" t="str">
            <v>N Kalyankumar</v>
          </cell>
          <cell r="O530" t="str">
            <v>Sreekanth Bijjhalli</v>
          </cell>
          <cell r="Q530" t="str">
            <v>Gaurav Shinde</v>
          </cell>
          <cell r="S530" t="str">
            <v>Karnataka</v>
          </cell>
          <cell r="T530" t="str">
            <v>Bidar</v>
          </cell>
          <cell r="U530" t="str">
            <v>Non Premium</v>
          </cell>
          <cell r="V530" t="str">
            <v>Pharma Format</v>
          </cell>
          <cell r="W530">
            <v>399</v>
          </cell>
          <cell r="X530" t="str">
            <v>RG Tower Near Masjid Taleem Chaubara Roa  , To Masjid Taleem Bidar , Siddi Shah Chaubara Road Diagonally Opp  , BIDAR , 585401</v>
          </cell>
          <cell r="Y530">
            <v>45163</v>
          </cell>
          <cell r="Z530" t="str">
            <v>NA</v>
          </cell>
          <cell r="AB530" t="str">
            <v>NA</v>
          </cell>
          <cell r="AF530" t="str">
            <v>NA</v>
          </cell>
          <cell r="AK530">
            <v>45182</v>
          </cell>
          <cell r="AL530" t="str">
            <v>Received</v>
          </cell>
          <cell r="AO530">
            <v>3</v>
          </cell>
          <cell r="AS530">
            <v>-3</v>
          </cell>
          <cell r="AU530">
            <v>4</v>
          </cell>
          <cell r="AY530">
            <v>-4</v>
          </cell>
          <cell r="BA530">
            <v>5</v>
          </cell>
          <cell r="BE530">
            <v>-5</v>
          </cell>
          <cell r="BG530">
            <v>5</v>
          </cell>
          <cell r="BK530">
            <v>-5</v>
          </cell>
          <cell r="BM530">
            <v>3</v>
          </cell>
          <cell r="BP530">
            <v>3</v>
          </cell>
          <cell r="BW530" t="str">
            <v>Done</v>
          </cell>
          <cell r="BX530">
            <v>45079</v>
          </cell>
          <cell r="BY530" t="str">
            <v>Approved</v>
          </cell>
          <cell r="CD530">
            <v>45162</v>
          </cell>
          <cell r="CE530">
            <v>45211</v>
          </cell>
          <cell r="CG530" t="str">
            <v>M/s. LOTIER INTERIOR PRIVATE LIMITED</v>
          </cell>
          <cell r="CI530" t="str">
            <v>Issued</v>
          </cell>
          <cell r="DG530" t="str">
            <v>Netmed SDP - Not in Dead Rental</v>
          </cell>
          <cell r="DK530">
            <v>45222</v>
          </cell>
          <cell r="DM530">
            <v>2</v>
          </cell>
          <cell r="DN530" t="str">
            <v>0 to 3 Days</v>
          </cell>
          <cell r="DP530">
            <v>45214</v>
          </cell>
          <cell r="DQ530">
            <v>45224</v>
          </cell>
          <cell r="DR530">
            <v>7</v>
          </cell>
          <cell r="DS530">
            <v>7</v>
          </cell>
          <cell r="DU530">
            <v>45231</v>
          </cell>
          <cell r="DV530">
            <v>45221</v>
          </cell>
          <cell r="DW530">
            <v>45231</v>
          </cell>
          <cell r="DX530" t="str">
            <v>Nov 23 Week 1</v>
          </cell>
          <cell r="DZ530">
            <v>45287</v>
          </cell>
          <cell r="EA530" t="str">
            <v>Dec 23 Week 4</v>
          </cell>
          <cell r="EB530" t="str">
            <v>Backlog</v>
          </cell>
          <cell r="ED530" t="str">
            <v/>
          </cell>
          <cell r="EE530" t="str">
            <v/>
          </cell>
          <cell r="EF530">
            <v>1</v>
          </cell>
          <cell r="EG530">
            <v>1</v>
          </cell>
          <cell r="FD530">
            <v>56</v>
          </cell>
          <cell r="FE530" t="str">
            <v>31 to 61 Days</v>
          </cell>
          <cell r="FF530">
            <v>66</v>
          </cell>
          <cell r="FG530" t="str">
            <v>62 to 90 Days</v>
          </cell>
          <cell r="FH530" t="str">
            <v>Done</v>
          </cell>
          <cell r="FI530" t="str">
            <v>Done</v>
          </cell>
          <cell r="FJ530" t="str">
            <v>NA</v>
          </cell>
          <cell r="FK530">
            <v>45322</v>
          </cell>
          <cell r="FM530" t="str">
            <v/>
          </cell>
          <cell r="GA530">
            <v>45286</v>
          </cell>
          <cell r="GC530">
            <v>45224</v>
          </cell>
          <cell r="GG530" t="str">
            <v>2023-2024</v>
          </cell>
        </row>
        <row r="531">
          <cell r="E531" t="str">
            <v>Mahendra Prasad Singh M Complex Khesra  , Ramdyalu Ngr Rd Ward N31 Opp Canara Bank , N90 91 Kh N245 Jamabandi N1700 Thana 342  , MUZAFFARPUR , 842002</v>
          </cell>
          <cell r="F531" t="str">
            <v>9. EPC Ready</v>
          </cell>
          <cell r="G531" t="str">
            <v>SPBHMUR4210</v>
          </cell>
          <cell r="H531" t="str">
            <v>BH-SM-MUZ-3007</v>
          </cell>
          <cell r="I531" t="str">
            <v>T89Z</v>
          </cell>
          <cell r="J531" t="str">
            <v>QOWF</v>
          </cell>
          <cell r="K531" t="str">
            <v xml:space="preserve">E </v>
          </cell>
          <cell r="L531" t="str">
            <v>AK</v>
          </cell>
          <cell r="M531" t="str">
            <v>EPC Ready</v>
          </cell>
          <cell r="Q531" t="str">
            <v>Gaurav Shinde</v>
          </cell>
          <cell r="S531" t="str">
            <v>Bihar</v>
          </cell>
          <cell r="T531" t="str">
            <v>Muzaffarpur</v>
          </cell>
          <cell r="U531" t="str">
            <v>Non Premium</v>
          </cell>
          <cell r="V531" t="str">
            <v>Pharma Format</v>
          </cell>
          <cell r="W531">
            <v>400</v>
          </cell>
          <cell r="X531" t="str">
            <v>Mahendra Prasad Singh M Complex Khesra  , Ramdyalu Ngr Rd Ward N31 Opp Canara Bank , N90 91 Kh N245 Jamabandi N1700 Thana 342  , MUZAFFARPUR , 842002</v>
          </cell>
          <cell r="Y531">
            <v>45166</v>
          </cell>
          <cell r="Z531" t="str">
            <v>NA</v>
          </cell>
          <cell r="AB531" t="str">
            <v>NA</v>
          </cell>
          <cell r="AF531" t="str">
            <v>NA</v>
          </cell>
          <cell r="AK531">
            <v>45182</v>
          </cell>
          <cell r="AL531" t="str">
            <v>Received</v>
          </cell>
          <cell r="AO531">
            <v>3</v>
          </cell>
          <cell r="AS531">
            <v>-3</v>
          </cell>
          <cell r="AU531">
            <v>4</v>
          </cell>
          <cell r="AY531">
            <v>-4</v>
          </cell>
          <cell r="BA531">
            <v>5</v>
          </cell>
          <cell r="BE531">
            <v>-5</v>
          </cell>
          <cell r="BG531">
            <v>5</v>
          </cell>
          <cell r="BK531">
            <v>-5</v>
          </cell>
          <cell r="BM531">
            <v>3</v>
          </cell>
          <cell r="BP531">
            <v>3</v>
          </cell>
          <cell r="BW531" t="str">
            <v>Done</v>
          </cell>
          <cell r="BX531">
            <v>45079</v>
          </cell>
          <cell r="BY531" t="str">
            <v>Approved</v>
          </cell>
          <cell r="CD531">
            <v>45163</v>
          </cell>
          <cell r="CE531">
            <v>45175</v>
          </cell>
          <cell r="CG531" t="str">
            <v xml:space="preserve">M/S RECON </v>
          </cell>
          <cell r="CI531" t="str">
            <v>Issued</v>
          </cell>
          <cell r="DG531" t="str">
            <v>Netmed SDP - Not in Dead Rental</v>
          </cell>
          <cell r="DK531">
            <v>45254</v>
          </cell>
          <cell r="DL531">
            <v>45201</v>
          </cell>
          <cell r="DM531">
            <v>2</v>
          </cell>
          <cell r="DN531" t="str">
            <v>0 to 3 Days</v>
          </cell>
          <cell r="DP531">
            <v>45178</v>
          </cell>
          <cell r="DQ531">
            <v>45256</v>
          </cell>
          <cell r="DR531">
            <v>7</v>
          </cell>
          <cell r="DS531">
            <v>7</v>
          </cell>
          <cell r="DU531">
            <v>45263</v>
          </cell>
          <cell r="DV531">
            <v>45185</v>
          </cell>
          <cell r="DW531">
            <v>45263</v>
          </cell>
          <cell r="DX531" t="str">
            <v>Dec 23 Week 1</v>
          </cell>
          <cell r="DZ531">
            <v>45262</v>
          </cell>
          <cell r="EA531" t="str">
            <v>Dec 23 Week 1</v>
          </cell>
          <cell r="EB531" t="str">
            <v>Plan</v>
          </cell>
          <cell r="ED531" t="str">
            <v/>
          </cell>
          <cell r="EE531" t="str">
            <v/>
          </cell>
          <cell r="EF531">
            <v>1</v>
          </cell>
          <cell r="EG531">
            <v>1</v>
          </cell>
          <cell r="FD531">
            <v>-1</v>
          </cell>
          <cell r="FE531" t="str">
            <v>On Time</v>
          </cell>
          <cell r="FF531">
            <v>77</v>
          </cell>
          <cell r="FG531" t="str">
            <v>62 to 90 Days</v>
          </cell>
          <cell r="FH531" t="str">
            <v>Done</v>
          </cell>
          <cell r="FI531" t="str">
            <v>Done</v>
          </cell>
          <cell r="FJ531" t="str">
            <v>NA</v>
          </cell>
          <cell r="FK531">
            <v>45273</v>
          </cell>
          <cell r="FM531" t="str">
            <v/>
          </cell>
          <cell r="GA531">
            <v>45262</v>
          </cell>
          <cell r="GC531">
            <v>45234</v>
          </cell>
          <cell r="GG531" t="str">
            <v>2023-2024</v>
          </cell>
        </row>
        <row r="532">
          <cell r="E532" t="str">
            <v>Gr Floor Khata No 495 Khesri No186  , Faridpur Urf Shakra Dholi Dist , 7 1870 Thana No 863  , FARIDPUR URF S , 843105</v>
          </cell>
          <cell r="F532" t="str">
            <v>9. EPC Ready</v>
          </cell>
          <cell r="G532" t="str">
            <v>SPBHMUS3033</v>
          </cell>
          <cell r="H532" t="str">
            <v>BJ-SM-MUZ-3004</v>
          </cell>
          <cell r="I532" t="str">
            <v>T59Z</v>
          </cell>
          <cell r="J532" t="str">
            <v>QWAA</v>
          </cell>
          <cell r="K532" t="str">
            <v xml:space="preserve">E </v>
          </cell>
          <cell r="L532" t="str">
            <v>AK</v>
          </cell>
          <cell r="M532" t="str">
            <v>EPC Ready</v>
          </cell>
          <cell r="Q532" t="str">
            <v>Gaurav Shinde</v>
          </cell>
          <cell r="S532" t="str">
            <v>Bihar</v>
          </cell>
          <cell r="T532" t="str">
            <v>Muzaffarpur</v>
          </cell>
          <cell r="U532" t="str">
            <v>Non Premium</v>
          </cell>
          <cell r="V532" t="str">
            <v>Pharma Format</v>
          </cell>
          <cell r="W532">
            <v>400</v>
          </cell>
          <cell r="X532" t="str">
            <v>Gr Floor Khata No 495 Khesri No186  , Faridpur Urf Shakra Dholi Dist , 7 1870 Thana No 863  , FARIDPUR URF S , 843105</v>
          </cell>
          <cell r="Y532">
            <v>45166</v>
          </cell>
          <cell r="Z532" t="str">
            <v>NA</v>
          </cell>
          <cell r="AB532" t="str">
            <v>NA</v>
          </cell>
          <cell r="AF532" t="str">
            <v>NA</v>
          </cell>
          <cell r="AK532">
            <v>44929</v>
          </cell>
          <cell r="AL532" t="str">
            <v>Received</v>
          </cell>
          <cell r="AO532">
            <v>3</v>
          </cell>
          <cell r="AS532">
            <v>-3</v>
          </cell>
          <cell r="AU532">
            <v>4</v>
          </cell>
          <cell r="AY532">
            <v>-4</v>
          </cell>
          <cell r="BA532">
            <v>5</v>
          </cell>
          <cell r="BE532">
            <v>-5</v>
          </cell>
          <cell r="BG532">
            <v>5</v>
          </cell>
          <cell r="BK532">
            <v>-5</v>
          </cell>
          <cell r="BM532">
            <v>3</v>
          </cell>
          <cell r="BP532">
            <v>3</v>
          </cell>
          <cell r="BW532" t="str">
            <v>Done</v>
          </cell>
          <cell r="BX532">
            <v>45079</v>
          </cell>
          <cell r="BY532" t="str">
            <v>Approved</v>
          </cell>
          <cell r="CD532">
            <v>45163</v>
          </cell>
          <cell r="CE532">
            <v>45270</v>
          </cell>
          <cell r="CG532" t="str">
            <v xml:space="preserve">M/S RECON </v>
          </cell>
          <cell r="CI532" t="str">
            <v>Issued</v>
          </cell>
          <cell r="DA532" t="str">
            <v>NA</v>
          </cell>
          <cell r="DB532" t="str">
            <v>NA</v>
          </cell>
          <cell r="DC532" t="str">
            <v>NA</v>
          </cell>
          <cell r="DG532" t="str">
            <v>Netmed SDP - Not in Dead Rental</v>
          </cell>
          <cell r="DK532">
            <v>45300</v>
          </cell>
          <cell r="DL532">
            <v>45299</v>
          </cell>
          <cell r="DM532">
            <v>2</v>
          </cell>
          <cell r="DN532" t="str">
            <v>0 to 3 Days</v>
          </cell>
          <cell r="DO532" t="str">
            <v>13-12-2023</v>
          </cell>
          <cell r="DP532">
            <v>45303</v>
          </cell>
          <cell r="DQ532">
            <v>45302</v>
          </cell>
          <cell r="DR532">
            <v>7</v>
          </cell>
          <cell r="DS532">
            <v>7</v>
          </cell>
          <cell r="DU532">
            <v>45309</v>
          </cell>
          <cell r="DV532">
            <v>45310</v>
          </cell>
          <cell r="DW532">
            <v>45309</v>
          </cell>
          <cell r="DX532" t="str">
            <v>Jan 24 Week 3</v>
          </cell>
          <cell r="DZ532">
            <v>45341</v>
          </cell>
          <cell r="EA532" t="str">
            <v>Feb 24 Week 3</v>
          </cell>
          <cell r="EB532" t="str">
            <v>Backlog</v>
          </cell>
          <cell r="ED532" t="str">
            <v/>
          </cell>
          <cell r="EE532" t="str">
            <v/>
          </cell>
          <cell r="EF532">
            <v>1</v>
          </cell>
          <cell r="EG532">
            <v>1</v>
          </cell>
          <cell r="FD532">
            <v>32</v>
          </cell>
          <cell r="FE532" t="str">
            <v>31 to 61 Days</v>
          </cell>
          <cell r="FF532">
            <v>31</v>
          </cell>
          <cell r="FG532" t="str">
            <v>16 to 31 Days</v>
          </cell>
          <cell r="FH532" t="str">
            <v>Done</v>
          </cell>
          <cell r="FI532" t="str">
            <v>Done</v>
          </cell>
          <cell r="FJ532" t="str">
            <v>NA</v>
          </cell>
          <cell r="FK532">
            <v>45342</v>
          </cell>
          <cell r="FM532" t="str">
            <v/>
          </cell>
          <cell r="GA532">
            <v>45341</v>
          </cell>
          <cell r="GC532">
            <v>45302</v>
          </cell>
          <cell r="GG532" t="str">
            <v>2023-2024</v>
          </cell>
        </row>
        <row r="533">
          <cell r="E533" t="str">
            <v>Site Bearing Nos 7687 And 7688 Situated  , Devaraj Mohalla Mysore , At 2nd Phase 4Th Stage Vijayanagar  , MYSORE , 570001</v>
          </cell>
          <cell r="F533" t="str">
            <v>9. EPC Ready</v>
          </cell>
          <cell r="G533" t="str">
            <v>SPKAMYV3742</v>
          </cell>
          <cell r="H533" t="str">
            <v>KR-SM-MYS-3011</v>
          </cell>
          <cell r="I533" t="str">
            <v>TYYH</v>
          </cell>
          <cell r="J533" t="str">
            <v>QB6L</v>
          </cell>
          <cell r="K533" t="str">
            <v>S</v>
          </cell>
          <cell r="L533" t="str">
            <v>AK</v>
          </cell>
          <cell r="M533" t="str">
            <v>EPC Ready</v>
          </cell>
          <cell r="N533" t="str">
            <v>N Kalyankumar</v>
          </cell>
          <cell r="O533" t="str">
            <v>Sreekanth Bijjhalli</v>
          </cell>
          <cell r="P533" t="str">
            <v>Sreekanth.Bijjhalli-9900039061</v>
          </cell>
          <cell r="Q533" t="str">
            <v>Gaurav Shinde</v>
          </cell>
          <cell r="S533" t="str">
            <v>Karnataka</v>
          </cell>
          <cell r="T533" t="str">
            <v>Mysore</v>
          </cell>
          <cell r="U533" t="str">
            <v>Non Premium</v>
          </cell>
          <cell r="V533" t="str">
            <v>Pharma Format</v>
          </cell>
          <cell r="W533">
            <v>400</v>
          </cell>
          <cell r="X533" t="str">
            <v>Site Bearing Nos 7687 And 7688 Situated  , Devaraj Mohalla Mysore , At 2nd Phase 4Th Stage Vijayanagar  , MYSORE , 570001</v>
          </cell>
          <cell r="Y533">
            <v>45167</v>
          </cell>
          <cell r="Z533" t="str">
            <v>NA</v>
          </cell>
          <cell r="AB533" t="str">
            <v>NA</v>
          </cell>
          <cell r="AF533" t="str">
            <v>NA</v>
          </cell>
          <cell r="AK533">
            <v>45225</v>
          </cell>
          <cell r="AL533" t="str">
            <v>Received</v>
          </cell>
          <cell r="AO533">
            <v>3</v>
          </cell>
          <cell r="AS533">
            <v>-3</v>
          </cell>
          <cell r="AU533">
            <v>4</v>
          </cell>
          <cell r="AY533">
            <v>-4</v>
          </cell>
          <cell r="BA533">
            <v>5</v>
          </cell>
          <cell r="BE533">
            <v>-5</v>
          </cell>
          <cell r="BG533">
            <v>5</v>
          </cell>
          <cell r="BK533">
            <v>-5</v>
          </cell>
          <cell r="BM533">
            <v>3</v>
          </cell>
          <cell r="BP533">
            <v>3</v>
          </cell>
          <cell r="BW533" t="str">
            <v>Done</v>
          </cell>
          <cell r="BX533">
            <v>45079</v>
          </cell>
          <cell r="BY533" t="str">
            <v>Approved</v>
          </cell>
          <cell r="CD533">
            <v>45163</v>
          </cell>
          <cell r="CE533">
            <v>45216</v>
          </cell>
          <cell r="CG533" t="str">
            <v>M/s M N Interiors</v>
          </cell>
          <cell r="CI533" t="str">
            <v>Issued</v>
          </cell>
          <cell r="DG533" t="str">
            <v>Netmed SDP - Not in Dead Rental</v>
          </cell>
          <cell r="DK533">
            <v>45222</v>
          </cell>
          <cell r="DL533">
            <v>45167</v>
          </cell>
          <cell r="DM533">
            <v>2</v>
          </cell>
          <cell r="DN533" t="str">
            <v>0 to 3 Days</v>
          </cell>
          <cell r="DP533">
            <v>45219</v>
          </cell>
          <cell r="DQ533">
            <v>45224</v>
          </cell>
          <cell r="DR533">
            <v>7</v>
          </cell>
          <cell r="DS533">
            <v>7</v>
          </cell>
          <cell r="DU533">
            <v>45231</v>
          </cell>
          <cell r="DV533">
            <v>45226</v>
          </cell>
          <cell r="DW533">
            <v>45231</v>
          </cell>
          <cell r="DX533" t="str">
            <v>Nov 23 Week 1</v>
          </cell>
          <cell r="DZ533">
            <v>45234</v>
          </cell>
          <cell r="EA533" t="str">
            <v>Nov 23 Week 1</v>
          </cell>
          <cell r="EB533" t="str">
            <v>Backlog</v>
          </cell>
          <cell r="ED533" t="str">
            <v/>
          </cell>
          <cell r="EE533" t="str">
            <v/>
          </cell>
          <cell r="EF533">
            <v>1</v>
          </cell>
          <cell r="EG533">
            <v>1</v>
          </cell>
          <cell r="FD533">
            <v>3</v>
          </cell>
          <cell r="FE533" t="str">
            <v>0 to 3 Days</v>
          </cell>
          <cell r="FF533">
            <v>8</v>
          </cell>
          <cell r="FG533" t="str">
            <v>8 to 15 Days</v>
          </cell>
          <cell r="FH533" t="str">
            <v>Done</v>
          </cell>
          <cell r="FI533" t="str">
            <v>Done</v>
          </cell>
          <cell r="FJ533" t="str">
            <v>NA</v>
          </cell>
          <cell r="FK533">
            <v>45268</v>
          </cell>
          <cell r="FM533" t="str">
            <v/>
          </cell>
          <cell r="GA533">
            <v>45234</v>
          </cell>
          <cell r="GC533">
            <v>45224</v>
          </cell>
          <cell r="GG533" t="str">
            <v>2023-2024</v>
          </cell>
        </row>
        <row r="534">
          <cell r="E534" t="str">
            <v>GF Mayapur Bamunpukur II MunicipalityJL5  , 29403 &amp; 5526 Block Nabadwip ADSRO Nadia , Mouza Rudrapura LR Plot 2924 &amp; Khatian  , NABADWIP , 741313</v>
          </cell>
          <cell r="F534" t="str">
            <v>9. EPC Ready</v>
          </cell>
          <cell r="G534" t="str">
            <v>SPWBNAG3699</v>
          </cell>
          <cell r="H534" t="str">
            <v>WB-SM-NAW-3001</v>
          </cell>
          <cell r="I534" t="str">
            <v>TAXI</v>
          </cell>
          <cell r="J534" t="str">
            <v>QGFZ</v>
          </cell>
          <cell r="K534" t="str">
            <v xml:space="preserve">E </v>
          </cell>
          <cell r="L534" t="str">
            <v>SD</v>
          </cell>
          <cell r="M534" t="str">
            <v>EPC Ready</v>
          </cell>
          <cell r="N534" t="str">
            <v>Mahendrakumar Warma</v>
          </cell>
          <cell r="O534" t="str">
            <v xml:space="preserve">Sandeepta Gayen </v>
          </cell>
          <cell r="Q534" t="str">
            <v>Gaurav Shinde</v>
          </cell>
          <cell r="S534" t="str">
            <v>West Bengal</v>
          </cell>
          <cell r="T534" t="str">
            <v>Nabadwip</v>
          </cell>
          <cell r="U534" t="str">
            <v>Non Premium</v>
          </cell>
          <cell r="V534" t="str">
            <v>Pharma Format</v>
          </cell>
          <cell r="W534">
            <v>400</v>
          </cell>
          <cell r="X534" t="str">
            <v>GF Mayapur Bamunpukur II MunicipalityJL5  , 29403 &amp; 5526 Block Nabadwip ADSRO Nadia , Mouza Rudrapura LR Plot 2924 &amp; Khatian  , NABADWIP , 741313</v>
          </cell>
          <cell r="Y534">
            <v>45166</v>
          </cell>
          <cell r="Z534" t="str">
            <v>NA</v>
          </cell>
          <cell r="AB534" t="str">
            <v>NA</v>
          </cell>
          <cell r="AF534" t="str">
            <v>NA</v>
          </cell>
          <cell r="AK534">
            <v>45164</v>
          </cell>
          <cell r="AL534" t="str">
            <v>Received</v>
          </cell>
          <cell r="AO534">
            <v>3</v>
          </cell>
          <cell r="AS534">
            <v>-3</v>
          </cell>
          <cell r="AU534">
            <v>4</v>
          </cell>
          <cell r="AY534">
            <v>-4</v>
          </cell>
          <cell r="BA534">
            <v>5</v>
          </cell>
          <cell r="BE534">
            <v>-5</v>
          </cell>
          <cell r="BG534">
            <v>5</v>
          </cell>
          <cell r="BK534">
            <v>-5</v>
          </cell>
          <cell r="BM534">
            <v>3</v>
          </cell>
          <cell r="BP534">
            <v>3</v>
          </cell>
          <cell r="BW534" t="str">
            <v>Done</v>
          </cell>
          <cell r="BX534">
            <v>45079</v>
          </cell>
          <cell r="BY534" t="str">
            <v>Approved</v>
          </cell>
          <cell r="CD534">
            <v>45163</v>
          </cell>
          <cell r="CE534">
            <v>45239</v>
          </cell>
          <cell r="CG534" t="str">
            <v>M/s. PREMIER INFRACON PVT LTD</v>
          </cell>
          <cell r="CI534" t="str">
            <v>Issued</v>
          </cell>
          <cell r="DG534" t="str">
            <v>Netmed SDP - Not in Dead Rental</v>
          </cell>
          <cell r="DK534">
            <v>45283</v>
          </cell>
          <cell r="DL534">
            <v>45201</v>
          </cell>
          <cell r="DM534">
            <v>2</v>
          </cell>
          <cell r="DN534" t="str">
            <v>0 to 3 Days</v>
          </cell>
          <cell r="DP534">
            <v>45242</v>
          </cell>
          <cell r="DQ534">
            <v>45285</v>
          </cell>
          <cell r="DR534">
            <v>7</v>
          </cell>
          <cell r="DS534">
            <v>7</v>
          </cell>
          <cell r="DU534">
            <v>45292</v>
          </cell>
          <cell r="DV534">
            <v>45249</v>
          </cell>
          <cell r="DW534">
            <v>45292</v>
          </cell>
          <cell r="DX534" t="str">
            <v>Jan 24 Week 1</v>
          </cell>
          <cell r="DZ534">
            <v>45268</v>
          </cell>
          <cell r="EA534" t="str">
            <v>Dec 23 Week 2</v>
          </cell>
          <cell r="EB534" t="str">
            <v>Plan</v>
          </cell>
          <cell r="ED534" t="str">
            <v/>
          </cell>
          <cell r="EE534" t="str">
            <v/>
          </cell>
          <cell r="EF534">
            <v>1</v>
          </cell>
          <cell r="EG534">
            <v>1</v>
          </cell>
          <cell r="FD534">
            <v>-24</v>
          </cell>
          <cell r="FE534" t="str">
            <v>On Time</v>
          </cell>
          <cell r="FF534">
            <v>19</v>
          </cell>
          <cell r="FG534" t="str">
            <v>16 to 31 Days</v>
          </cell>
          <cell r="FH534" t="str">
            <v>Done</v>
          </cell>
          <cell r="FI534" t="str">
            <v>Done</v>
          </cell>
          <cell r="FJ534" t="str">
            <v>NA</v>
          </cell>
          <cell r="FK534">
            <v>45300</v>
          </cell>
          <cell r="FM534" t="str">
            <v/>
          </cell>
          <cell r="GA534">
            <v>45299</v>
          </cell>
          <cell r="GC534">
            <v>45266</v>
          </cell>
          <cell r="GG534" t="str">
            <v>2023-2024</v>
          </cell>
        </row>
        <row r="535">
          <cell r="E535" t="str">
            <v>Swarup Bhavan Matapur Road Vill Kapali  , Nabadwip Hospital Nabadwip Nadia , Para Ward No 4 Po &amp; Ps Nabadwip Near  , NABADWIP , 741302</v>
          </cell>
          <cell r="F535" t="str">
            <v>14. Dropped</v>
          </cell>
          <cell r="G535" t="str">
            <v>SPWBNAK4012</v>
          </cell>
          <cell r="H535" t="str">
            <v>WB-SM-NAW-3002</v>
          </cell>
          <cell r="I535" t="str">
            <v>TAZM</v>
          </cell>
          <cell r="J535" t="str">
            <v>QGIQ</v>
          </cell>
          <cell r="K535" t="str">
            <v xml:space="preserve">E </v>
          </cell>
          <cell r="L535" t="str">
            <v>SD</v>
          </cell>
          <cell r="M535" t="str">
            <v>Dropped</v>
          </cell>
          <cell r="N535" t="str">
            <v>Mahendrakumar Warma</v>
          </cell>
          <cell r="O535" t="str">
            <v xml:space="preserve">Sandeepta Gayen </v>
          </cell>
          <cell r="Q535" t="str">
            <v>Gaurav Shinde</v>
          </cell>
          <cell r="S535" t="str">
            <v>West Bengal</v>
          </cell>
          <cell r="T535" t="str">
            <v>Nabadwip</v>
          </cell>
          <cell r="U535" t="str">
            <v>Non Premium</v>
          </cell>
          <cell r="V535" t="str">
            <v>Pharma Format</v>
          </cell>
          <cell r="W535">
            <v>400</v>
          </cell>
          <cell r="X535" t="str">
            <v>Swarup Bhavan Matapur Road Vill Kapali  , Nabadwip Hospital Nabadwip Nadia , Para Ward No 4 Po &amp; Ps Nabadwip Near  , NABADWIP , 741302</v>
          </cell>
          <cell r="Z535" t="str">
            <v>NA</v>
          </cell>
          <cell r="AB535" t="str">
            <v>NA</v>
          </cell>
          <cell r="AF535" t="str">
            <v>NA</v>
          </cell>
          <cell r="AL535" t="str">
            <v>NA</v>
          </cell>
          <cell r="AO535">
            <v>3</v>
          </cell>
          <cell r="AS535">
            <v>-3</v>
          </cell>
          <cell r="AU535">
            <v>4</v>
          </cell>
          <cell r="AY535">
            <v>-4</v>
          </cell>
          <cell r="BA535">
            <v>5</v>
          </cell>
          <cell r="BE535">
            <v>-5</v>
          </cell>
          <cell r="BG535">
            <v>5</v>
          </cell>
          <cell r="BK535">
            <v>-5</v>
          </cell>
          <cell r="BM535">
            <v>3</v>
          </cell>
          <cell r="BP535">
            <v>3</v>
          </cell>
          <cell r="BW535" t="str">
            <v>Done</v>
          </cell>
          <cell r="BX535">
            <v>45079</v>
          </cell>
          <cell r="BY535" t="str">
            <v>Approved</v>
          </cell>
          <cell r="CD535">
            <v>45163</v>
          </cell>
          <cell r="DG535" t="str">
            <v>Netmed SDP - Not in Dead Rental</v>
          </cell>
          <cell r="DM535" t="str">
            <v>NA</v>
          </cell>
          <cell r="DN535" t="str">
            <v>NA</v>
          </cell>
          <cell r="DR535">
            <v>7</v>
          </cell>
          <cell r="DS535">
            <v>7</v>
          </cell>
          <cell r="DU535">
            <v>7</v>
          </cell>
          <cell r="DV535">
            <v>7</v>
          </cell>
          <cell r="DW535">
            <v>7</v>
          </cell>
          <cell r="EA535" t="str">
            <v/>
          </cell>
          <cell r="ED535" t="str">
            <v/>
          </cell>
          <cell r="EE535" t="str">
            <v/>
          </cell>
          <cell r="EF535">
            <v>1</v>
          </cell>
          <cell r="FD535">
            <v>46114</v>
          </cell>
          <cell r="FF535">
            <v>46114</v>
          </cell>
          <cell r="FJ535" t="str">
            <v>NA</v>
          </cell>
          <cell r="FM535" t="str">
            <v/>
          </cell>
          <cell r="GG535" t="str">
            <v>2024-2025</v>
          </cell>
        </row>
        <row r="536">
          <cell r="E536" t="str">
            <v>Rafiq Star Complex Bazar Road  , Ramanagar , Ramu Circle Channapatna  , CHANNAPATNA , 562160</v>
          </cell>
          <cell r="F536" t="str">
            <v>9. EPC Ready</v>
          </cell>
          <cell r="G536" t="str">
            <v>SPKACHS4002</v>
          </cell>
          <cell r="H536" t="str">
            <v>KR-SM-CPN-3000</v>
          </cell>
          <cell r="I536" t="str">
            <v>TAOK</v>
          </cell>
          <cell r="J536" t="str">
            <v>QF4N</v>
          </cell>
          <cell r="K536" t="str">
            <v>S</v>
          </cell>
          <cell r="L536" t="str">
            <v>AK</v>
          </cell>
          <cell r="M536" t="str">
            <v>EPC Ready</v>
          </cell>
          <cell r="N536" t="str">
            <v>N Kalyankumar</v>
          </cell>
          <cell r="O536" t="str">
            <v>Sreekanth Bijjhalli</v>
          </cell>
          <cell r="P536" t="str">
            <v>Sreekanth.Bijjhalli-9900039061</v>
          </cell>
          <cell r="Q536" t="str">
            <v>Gaurav Shinde</v>
          </cell>
          <cell r="S536" t="str">
            <v>Karnataka</v>
          </cell>
          <cell r="T536" t="str">
            <v>CHANNAPATNA</v>
          </cell>
          <cell r="U536" t="str">
            <v>Non Premium</v>
          </cell>
          <cell r="V536" t="str">
            <v>Pharma Format</v>
          </cell>
          <cell r="W536">
            <v>419</v>
          </cell>
          <cell r="X536" t="str">
            <v>Rafiq Star Complex Bazar Road  , Ramanagar , Ramu Circle Channapatna  , CHANNAPATNA , 562160</v>
          </cell>
          <cell r="Y536">
            <v>45163</v>
          </cell>
          <cell r="Z536" t="str">
            <v>NA</v>
          </cell>
          <cell r="AB536" t="str">
            <v>NA</v>
          </cell>
          <cell r="AF536" t="str">
            <v>NA</v>
          </cell>
          <cell r="AK536">
            <v>45231</v>
          </cell>
          <cell r="AL536" t="str">
            <v>Received</v>
          </cell>
          <cell r="AO536">
            <v>3</v>
          </cell>
          <cell r="AS536">
            <v>-3</v>
          </cell>
          <cell r="AU536">
            <v>4</v>
          </cell>
          <cell r="AY536">
            <v>-4</v>
          </cell>
          <cell r="BA536">
            <v>5</v>
          </cell>
          <cell r="BE536">
            <v>-5</v>
          </cell>
          <cell r="BG536">
            <v>5</v>
          </cell>
          <cell r="BK536">
            <v>-5</v>
          </cell>
          <cell r="BM536">
            <v>3</v>
          </cell>
          <cell r="BP536">
            <v>3</v>
          </cell>
          <cell r="BW536" t="str">
            <v>Done</v>
          </cell>
          <cell r="BX536">
            <v>45079</v>
          </cell>
          <cell r="BY536" t="str">
            <v>Approved</v>
          </cell>
          <cell r="CD536">
            <v>45162</v>
          </cell>
          <cell r="CE536">
            <v>45216</v>
          </cell>
          <cell r="CG536" t="str">
            <v>M/s M N Interiors</v>
          </cell>
          <cell r="CI536" t="str">
            <v>Issued</v>
          </cell>
          <cell r="DG536" t="str">
            <v>Netmed SDP - Not in Dead Rental</v>
          </cell>
          <cell r="DK536">
            <v>45266</v>
          </cell>
          <cell r="DL536">
            <v>45163</v>
          </cell>
          <cell r="DM536">
            <v>2</v>
          </cell>
          <cell r="DN536" t="str">
            <v>0 to 3 Days</v>
          </cell>
          <cell r="DP536">
            <v>45219</v>
          </cell>
          <cell r="DQ536">
            <v>45268</v>
          </cell>
          <cell r="DR536">
            <v>7</v>
          </cell>
          <cell r="DS536">
            <v>7</v>
          </cell>
          <cell r="DU536">
            <v>45275</v>
          </cell>
          <cell r="DV536">
            <v>45226</v>
          </cell>
          <cell r="DW536">
            <v>45275</v>
          </cell>
          <cell r="DX536" t="str">
            <v>Dec 23 Week 3</v>
          </cell>
          <cell r="DZ536">
            <v>45278</v>
          </cell>
          <cell r="EA536" t="str">
            <v>Dec 23 Week 3</v>
          </cell>
          <cell r="EB536" t="str">
            <v>Backlog</v>
          </cell>
          <cell r="ED536" t="str">
            <v/>
          </cell>
          <cell r="EE536" t="str">
            <v/>
          </cell>
          <cell r="EF536">
            <v>1</v>
          </cell>
          <cell r="EG536">
            <v>1</v>
          </cell>
          <cell r="FD536">
            <v>3</v>
          </cell>
          <cell r="FE536" t="str">
            <v>0 to 3 Days</v>
          </cell>
          <cell r="FF536">
            <v>52</v>
          </cell>
          <cell r="FG536" t="str">
            <v>31 to 61 Days</v>
          </cell>
          <cell r="FH536" t="str">
            <v>Done</v>
          </cell>
          <cell r="FI536" t="str">
            <v>Done</v>
          </cell>
          <cell r="FJ536" t="str">
            <v>NA</v>
          </cell>
          <cell r="FK536">
            <v>45372</v>
          </cell>
          <cell r="FM536" t="str">
            <v/>
          </cell>
          <cell r="GA536">
            <v>45278</v>
          </cell>
          <cell r="GC536" t="str">
            <v>30-10-2023
22-11-2023</v>
          </cell>
          <cell r="GG536" t="str">
            <v>2023-2024</v>
          </cell>
        </row>
        <row r="537">
          <cell r="E537" t="str">
            <v>GF Sy No 1030 Sheet No 89 PH No 11  , Takli in Majisainik Swatantra CHS , Ward No 253 Plot No 1 Mouza Zingabai  , NAGPUR , 440013</v>
          </cell>
          <cell r="F537" t="str">
            <v>9. EPC Ready</v>
          </cell>
          <cell r="G537" t="str">
            <v>SPMHNAN3411</v>
          </cell>
          <cell r="H537" t="str">
            <v>MH-SM-NAG-3025</v>
          </cell>
          <cell r="I537" t="str">
            <v>TYLF</v>
          </cell>
          <cell r="J537" t="str">
            <v>QBRQ</v>
          </cell>
          <cell r="K537" t="str">
            <v>W</v>
          </cell>
          <cell r="L537" t="str">
            <v>KC</v>
          </cell>
          <cell r="M537" t="str">
            <v>EPC Ready</v>
          </cell>
          <cell r="P537" t="str">
            <v>Rahul Mishra-9226099710</v>
          </cell>
          <cell r="Q537" t="str">
            <v>Gaurav Shinde</v>
          </cell>
          <cell r="S537" t="str">
            <v>Maharashtra</v>
          </cell>
          <cell r="T537" t="str">
            <v>Nagpur</v>
          </cell>
          <cell r="U537" t="str">
            <v>Non Premium</v>
          </cell>
          <cell r="V537" t="str">
            <v>Pharma Format</v>
          </cell>
          <cell r="W537">
            <v>412</v>
          </cell>
          <cell r="X537" t="str">
            <v>GF Sy No 1030 Sheet No 89 PH No 11  , Takli in Majisainik Swatantra CHS , Ward No 253 Plot No 1 Mouza Zingabai  , NAGPUR , 440013</v>
          </cell>
          <cell r="Y537">
            <v>45166</v>
          </cell>
          <cell r="Z537" t="str">
            <v>NA</v>
          </cell>
          <cell r="AB537" t="str">
            <v>NA</v>
          </cell>
          <cell r="AF537" t="str">
            <v>NA</v>
          </cell>
          <cell r="AK537">
            <v>45184</v>
          </cell>
          <cell r="AL537" t="str">
            <v>Received</v>
          </cell>
          <cell r="AO537">
            <v>3</v>
          </cell>
          <cell r="AS537">
            <v>-3</v>
          </cell>
          <cell r="AU537">
            <v>4</v>
          </cell>
          <cell r="AY537">
            <v>-4</v>
          </cell>
          <cell r="BA537">
            <v>5</v>
          </cell>
          <cell r="BE537">
            <v>-5</v>
          </cell>
          <cell r="BG537">
            <v>5</v>
          </cell>
          <cell r="BK537">
            <v>-5</v>
          </cell>
          <cell r="BM537">
            <v>3</v>
          </cell>
          <cell r="BP537">
            <v>3</v>
          </cell>
          <cell r="BW537" t="str">
            <v>Done</v>
          </cell>
          <cell r="BX537">
            <v>45079</v>
          </cell>
          <cell r="BY537" t="str">
            <v>Approved</v>
          </cell>
          <cell r="CD537">
            <v>45163</v>
          </cell>
          <cell r="CE537">
            <v>45169</v>
          </cell>
          <cell r="CG537" t="str">
            <v>M/s. Nayab Electricals</v>
          </cell>
          <cell r="CI537" t="str">
            <v>Issued</v>
          </cell>
          <cell r="DG537" t="str">
            <v>Netmed SDP - Not in Dead Rental</v>
          </cell>
          <cell r="DK537">
            <v>45208</v>
          </cell>
          <cell r="DL537">
            <v>45169</v>
          </cell>
          <cell r="DM537">
            <v>2</v>
          </cell>
          <cell r="DN537" t="str">
            <v>0 to 3 Days</v>
          </cell>
          <cell r="DP537">
            <v>45172</v>
          </cell>
          <cell r="DQ537">
            <v>45210</v>
          </cell>
          <cell r="DR537">
            <v>7</v>
          </cell>
          <cell r="DS537">
            <v>7</v>
          </cell>
          <cell r="DU537">
            <v>45217</v>
          </cell>
          <cell r="DV537">
            <v>45179</v>
          </cell>
          <cell r="DW537">
            <v>45217</v>
          </cell>
          <cell r="DX537" t="str">
            <v>Oct 23 Week 3</v>
          </cell>
          <cell r="DZ537">
            <v>45214</v>
          </cell>
          <cell r="EA537" t="str">
            <v>Oct 23 Week 3</v>
          </cell>
          <cell r="EB537" t="str">
            <v>Plan</v>
          </cell>
          <cell r="ED537" t="str">
            <v/>
          </cell>
          <cell r="EE537" t="str">
            <v/>
          </cell>
          <cell r="EF537">
            <v>1</v>
          </cell>
          <cell r="EG537">
            <v>1</v>
          </cell>
          <cell r="FD537">
            <v>-3</v>
          </cell>
          <cell r="FE537" t="str">
            <v>On Time</v>
          </cell>
          <cell r="FF537">
            <v>35</v>
          </cell>
          <cell r="FG537" t="str">
            <v>31 to 61 Days</v>
          </cell>
          <cell r="FH537" t="str">
            <v>Done</v>
          </cell>
          <cell r="FI537" t="str">
            <v>Done</v>
          </cell>
          <cell r="FJ537" t="str">
            <v>NA</v>
          </cell>
          <cell r="FK537">
            <v>45221</v>
          </cell>
          <cell r="FM537" t="str">
            <v/>
          </cell>
          <cell r="GA537">
            <v>45214</v>
          </cell>
          <cell r="GC537">
            <v>45184</v>
          </cell>
          <cell r="GG537" t="str">
            <v>2023-2024</v>
          </cell>
        </row>
        <row r="538">
          <cell r="E538" t="str">
            <v>Ms Alikaa Private Limited Kgm Plaza Opp  , Chittur Palakkad Kerala , Mini Civil Station Kacherimedu Po  , CHITTUR-THATHA , 678101</v>
          </cell>
          <cell r="F538" t="str">
            <v>9. EPC Ready</v>
          </cell>
          <cell r="G538" t="str">
            <v>SPKLCHA3325</v>
          </cell>
          <cell r="H538" t="str">
            <v>KE-SM-CTH-3000</v>
          </cell>
          <cell r="I538" t="str">
            <v>TZN8</v>
          </cell>
          <cell r="J538" t="str">
            <v>QDZM</v>
          </cell>
          <cell r="K538" t="str">
            <v>S</v>
          </cell>
          <cell r="L538" t="str">
            <v>AK</v>
          </cell>
          <cell r="M538" t="str">
            <v>EPC Ready</v>
          </cell>
          <cell r="N538" t="str">
            <v>N Kalyankumar</v>
          </cell>
          <cell r="O538" t="str">
            <v>Jose Loviece</v>
          </cell>
          <cell r="Q538" t="str">
            <v>Gaurav Shinde</v>
          </cell>
          <cell r="S538" t="str">
            <v>Kerala</v>
          </cell>
          <cell r="T538" t="str">
            <v>Chittur</v>
          </cell>
          <cell r="U538" t="str">
            <v>Non Premium</v>
          </cell>
          <cell r="V538" t="str">
            <v>Pharma Format</v>
          </cell>
          <cell r="W538">
            <v>400</v>
          </cell>
          <cell r="X538" t="str">
            <v>Ms Alikaa Private Limited Kgm Plaza Opp  , Chittur Palakkad Kerala , Mini Civil Station Kacherimedu Po  , CHITTUR-THATHA , 678101</v>
          </cell>
          <cell r="Y538">
            <v>45166</v>
          </cell>
          <cell r="Z538" t="str">
            <v>NA</v>
          </cell>
          <cell r="AB538" t="str">
            <v>NA</v>
          </cell>
          <cell r="AF538" t="str">
            <v>NA</v>
          </cell>
          <cell r="AK538">
            <v>45183</v>
          </cell>
          <cell r="AL538" t="str">
            <v>Received</v>
          </cell>
          <cell r="AO538">
            <v>3</v>
          </cell>
          <cell r="AS538">
            <v>-3</v>
          </cell>
          <cell r="AU538">
            <v>4</v>
          </cell>
          <cell r="AY538">
            <v>-4</v>
          </cell>
          <cell r="BA538">
            <v>5</v>
          </cell>
          <cell r="BE538">
            <v>-5</v>
          </cell>
          <cell r="BG538">
            <v>5</v>
          </cell>
          <cell r="BK538">
            <v>-5</v>
          </cell>
          <cell r="BM538">
            <v>3</v>
          </cell>
          <cell r="BP538">
            <v>3</v>
          </cell>
          <cell r="BW538" t="str">
            <v>Done</v>
          </cell>
          <cell r="BX538">
            <v>45079</v>
          </cell>
          <cell r="BY538" t="str">
            <v>Approved</v>
          </cell>
          <cell r="CD538">
            <v>45163</v>
          </cell>
          <cell r="CE538">
            <v>45181</v>
          </cell>
          <cell r="CG538" t="str">
            <v>M/s. TVS Supply Chain Solution.</v>
          </cell>
          <cell r="CI538" t="str">
            <v>Issued</v>
          </cell>
          <cell r="DG538" t="str">
            <v>Netmed SDP - Not in Dead Rental</v>
          </cell>
          <cell r="DK538">
            <v>45234</v>
          </cell>
          <cell r="DL538">
            <v>45215</v>
          </cell>
          <cell r="DM538">
            <v>2</v>
          </cell>
          <cell r="DN538" t="str">
            <v>0 to 3 Days</v>
          </cell>
          <cell r="DP538">
            <v>45184</v>
          </cell>
          <cell r="DQ538">
            <v>45236</v>
          </cell>
          <cell r="DR538">
            <v>7</v>
          </cell>
          <cell r="DS538">
            <v>7</v>
          </cell>
          <cell r="DU538">
            <v>45243</v>
          </cell>
          <cell r="DV538">
            <v>45191</v>
          </cell>
          <cell r="DW538">
            <v>45243</v>
          </cell>
          <cell r="DX538" t="str">
            <v>Nov 23 Week 2</v>
          </cell>
          <cell r="DZ538">
            <v>45259</v>
          </cell>
          <cell r="EA538" t="str">
            <v>Nov 23 Week 5</v>
          </cell>
          <cell r="EB538" t="str">
            <v>Backlog</v>
          </cell>
          <cell r="ED538" t="str">
            <v/>
          </cell>
          <cell r="EE538" t="str">
            <v/>
          </cell>
          <cell r="EF538">
            <v>1</v>
          </cell>
          <cell r="EG538">
            <v>1</v>
          </cell>
          <cell r="FD538">
            <v>16</v>
          </cell>
          <cell r="FE538" t="str">
            <v>16 to 31 Days</v>
          </cell>
          <cell r="FF538">
            <v>68</v>
          </cell>
          <cell r="FG538" t="str">
            <v>62 to 90 Days</v>
          </cell>
          <cell r="FH538" t="str">
            <v>Done</v>
          </cell>
          <cell r="FI538" t="str">
            <v>Done</v>
          </cell>
          <cell r="FJ538" t="str">
            <v>NA</v>
          </cell>
          <cell r="FK538">
            <v>45280</v>
          </cell>
          <cell r="FM538" t="str">
            <v/>
          </cell>
          <cell r="GA538">
            <v>45259</v>
          </cell>
          <cell r="GC538">
            <v>45236</v>
          </cell>
          <cell r="GG538" t="str">
            <v>2023-2024</v>
          </cell>
        </row>
        <row r="539">
          <cell r="E539" t="str">
            <v>Gf Dag No 449 &amp; 450  , Town Iv Part Mouza Joypur Naharkatia , Under Patta No 266 Village Naharkatia  , DIBRUGARH , 786610</v>
          </cell>
          <cell r="F539" t="str">
            <v>9. EPC Ready</v>
          </cell>
          <cell r="G539" t="str">
            <v>SPASNAA3934</v>
          </cell>
          <cell r="H539" t="str">
            <v>WB-SM-NHY-3000</v>
          </cell>
          <cell r="I539" t="str">
            <v>T1WQ</v>
          </cell>
          <cell r="J539" t="str">
            <v>Q3I2</v>
          </cell>
          <cell r="K539" t="str">
            <v xml:space="preserve">E </v>
          </cell>
          <cell r="L539" t="str">
            <v>SD</v>
          </cell>
          <cell r="M539" t="str">
            <v>EPC Ready</v>
          </cell>
          <cell r="N539" t="str">
            <v>Mahendrakumar Warma</v>
          </cell>
          <cell r="O539" t="str">
            <v>Anup das (EXCEPT SIKKIM)</v>
          </cell>
          <cell r="P539" t="str">
            <v>Suman Das-7044069904</v>
          </cell>
          <cell r="Q539" t="str">
            <v>Gaurav Shinde</v>
          </cell>
          <cell r="S539" t="str">
            <v>Assam</v>
          </cell>
          <cell r="T539" t="str">
            <v>NAHARKATIA</v>
          </cell>
          <cell r="U539" t="str">
            <v>Non Premium</v>
          </cell>
          <cell r="V539" t="str">
            <v>Pharma Format</v>
          </cell>
          <cell r="W539">
            <v>413</v>
          </cell>
          <cell r="X539" t="str">
            <v>Gf Dag No 449 &amp; 450  , Town Iv Part Mouza Joypur Naharkatia , Under Patta No 266 Village Naharkatia  , DIBRUGARH , 786610</v>
          </cell>
          <cell r="Y539">
            <v>45166</v>
          </cell>
          <cell r="Z539" t="str">
            <v>NA</v>
          </cell>
          <cell r="AB539" t="str">
            <v>NA</v>
          </cell>
          <cell r="AF539" t="str">
            <v>NA</v>
          </cell>
          <cell r="AK539">
            <v>45164</v>
          </cell>
          <cell r="AL539" t="str">
            <v>Received</v>
          </cell>
          <cell r="AO539">
            <v>3</v>
          </cell>
          <cell r="AS539">
            <v>-3</v>
          </cell>
          <cell r="AU539">
            <v>4</v>
          </cell>
          <cell r="AY539">
            <v>-4</v>
          </cell>
          <cell r="BA539">
            <v>5</v>
          </cell>
          <cell r="BE539">
            <v>-5</v>
          </cell>
          <cell r="BG539">
            <v>5</v>
          </cell>
          <cell r="BK539">
            <v>-5</v>
          </cell>
          <cell r="BM539">
            <v>3</v>
          </cell>
          <cell r="BP539">
            <v>3</v>
          </cell>
          <cell r="BW539" t="str">
            <v>Done</v>
          </cell>
          <cell r="BX539">
            <v>45079</v>
          </cell>
          <cell r="BY539" t="str">
            <v>Approved</v>
          </cell>
          <cell r="CD539">
            <v>45163</v>
          </cell>
          <cell r="CE539">
            <v>45170</v>
          </cell>
          <cell r="CG539" t="str">
            <v>M/s. DAS ENTERPRISE</v>
          </cell>
          <cell r="CI539" t="str">
            <v>Issued</v>
          </cell>
          <cell r="DG539" t="str">
            <v>Netmed SDP - Not in Dead Rental</v>
          </cell>
          <cell r="DK539">
            <v>45214</v>
          </cell>
          <cell r="DL539">
            <v>45178</v>
          </cell>
          <cell r="DM539">
            <v>2</v>
          </cell>
          <cell r="DN539" t="str">
            <v>0 to 3 Days</v>
          </cell>
          <cell r="DP539">
            <v>45173</v>
          </cell>
          <cell r="DQ539">
            <v>45216</v>
          </cell>
          <cell r="DR539">
            <v>7</v>
          </cell>
          <cell r="DS539">
            <v>7</v>
          </cell>
          <cell r="DU539">
            <v>45223</v>
          </cell>
          <cell r="DV539">
            <v>45180</v>
          </cell>
          <cell r="DW539">
            <v>45223</v>
          </cell>
          <cell r="DX539" t="str">
            <v>Oct 23 Week 4</v>
          </cell>
          <cell r="DZ539">
            <v>45302</v>
          </cell>
          <cell r="EA539" t="str">
            <v>Jan 24 Week 2</v>
          </cell>
          <cell r="EB539" t="str">
            <v>Backlog</v>
          </cell>
          <cell r="ED539" t="str">
            <v/>
          </cell>
          <cell r="EE539" t="str">
            <v/>
          </cell>
          <cell r="EF539">
            <v>1</v>
          </cell>
          <cell r="EG539">
            <v>1</v>
          </cell>
          <cell r="FD539">
            <v>79</v>
          </cell>
          <cell r="FE539" t="str">
            <v>62 to 90 Days</v>
          </cell>
          <cell r="FF539">
            <v>122</v>
          </cell>
          <cell r="FG539" t="str">
            <v>More Than 90  Days</v>
          </cell>
          <cell r="FH539" t="str">
            <v>Done</v>
          </cell>
          <cell r="FI539" t="str">
            <v>Done</v>
          </cell>
          <cell r="FJ539" t="str">
            <v>NA</v>
          </cell>
          <cell r="FK539">
            <v>45302</v>
          </cell>
          <cell r="FM539" t="str">
            <v/>
          </cell>
          <cell r="GA539">
            <v>45302</v>
          </cell>
          <cell r="GC539">
            <v>45216</v>
          </cell>
          <cell r="GG539" t="str">
            <v>2023-2024</v>
          </cell>
        </row>
        <row r="540">
          <cell r="E540" t="str">
            <v>GF, Ward No. 1, Brahmin street  , Dist: ellore , Nayudupeta Town &amp; mandal  , Nellore , 524126</v>
          </cell>
          <cell r="F540" t="str">
            <v>9. EPC Ready</v>
          </cell>
          <cell r="G540" t="str">
            <v>SPAPNAB1860</v>
          </cell>
          <cell r="H540" t="str">
            <v>AP-SM-NTD-3000</v>
          </cell>
          <cell r="I540" t="str">
            <v>TXBX</v>
          </cell>
          <cell r="J540" t="str">
            <v>Q8FT</v>
          </cell>
          <cell r="K540" t="str">
            <v xml:space="preserve">E </v>
          </cell>
          <cell r="L540" t="str">
            <v>JD</v>
          </cell>
          <cell r="M540" t="str">
            <v>EPC Ready</v>
          </cell>
          <cell r="N540" t="str">
            <v>Jaisingh Desai</v>
          </cell>
          <cell r="P540" t="str">
            <v>D Chandrasekhar</v>
          </cell>
          <cell r="Q540" t="str">
            <v>Gaurav Shinde</v>
          </cell>
          <cell r="S540" t="str">
            <v>Andhra Pradesh</v>
          </cell>
          <cell r="T540" t="str">
            <v>Naidupeta</v>
          </cell>
          <cell r="U540" t="str">
            <v>Non Premium</v>
          </cell>
          <cell r="V540" t="str">
            <v>Pharma Format</v>
          </cell>
          <cell r="W540">
            <v>415</v>
          </cell>
          <cell r="X540" t="str">
            <v>GF, Ward No. 1, Brahmin street  , Dist: ellore , Nayudupeta Town &amp; mandal  , Nellore , 524126</v>
          </cell>
          <cell r="Y540">
            <v>45167</v>
          </cell>
          <cell r="Z540" t="str">
            <v>NA</v>
          </cell>
          <cell r="AB540" t="str">
            <v>NA</v>
          </cell>
          <cell r="AF540" t="str">
            <v>NA</v>
          </cell>
          <cell r="AK540">
            <v>45162</v>
          </cell>
          <cell r="AL540" t="str">
            <v>Received</v>
          </cell>
          <cell r="AO540">
            <v>3</v>
          </cell>
          <cell r="AS540">
            <v>-3</v>
          </cell>
          <cell r="AU540">
            <v>4</v>
          </cell>
          <cell r="AY540">
            <v>-4</v>
          </cell>
          <cell r="BA540">
            <v>5</v>
          </cell>
          <cell r="BE540">
            <v>-5</v>
          </cell>
          <cell r="BG540">
            <v>5</v>
          </cell>
          <cell r="BK540">
            <v>-5</v>
          </cell>
          <cell r="BM540">
            <v>3</v>
          </cell>
          <cell r="BP540">
            <v>3</v>
          </cell>
          <cell r="BW540" t="str">
            <v>Done</v>
          </cell>
          <cell r="BX540">
            <v>45079</v>
          </cell>
          <cell r="BY540" t="str">
            <v>Approved</v>
          </cell>
          <cell r="CD540">
            <v>45162</v>
          </cell>
          <cell r="CG540" t="str">
            <v>Indian computer corporation</v>
          </cell>
          <cell r="CI540" t="str">
            <v>Issued</v>
          </cell>
          <cell r="DG540" t="str">
            <v>Netmed SDP - Not in Dead Rental</v>
          </cell>
          <cell r="DK540">
            <v>45198</v>
          </cell>
          <cell r="DL540">
            <v>45175</v>
          </cell>
          <cell r="DM540">
            <v>2</v>
          </cell>
          <cell r="DN540" t="str">
            <v>0 to 3 Days</v>
          </cell>
          <cell r="DQ540">
            <v>45200</v>
          </cell>
          <cell r="DR540">
            <v>7</v>
          </cell>
          <cell r="DS540">
            <v>7</v>
          </cell>
          <cell r="DU540">
            <v>45207</v>
          </cell>
          <cell r="DV540">
            <v>7</v>
          </cell>
          <cell r="DW540">
            <v>45207</v>
          </cell>
          <cell r="DX540" t="str">
            <v>Oct 23 Week 2</v>
          </cell>
          <cell r="DZ540">
            <v>45300</v>
          </cell>
          <cell r="EA540" t="str">
            <v>Jan 24 Week 2</v>
          </cell>
          <cell r="EB540" t="str">
            <v>Backlog</v>
          </cell>
          <cell r="ED540" t="str">
            <v/>
          </cell>
          <cell r="EE540" t="str">
            <v/>
          </cell>
          <cell r="EF540">
            <v>1</v>
          </cell>
          <cell r="EG540">
            <v>1</v>
          </cell>
          <cell r="FD540">
            <v>93</v>
          </cell>
          <cell r="FE540" t="str">
            <v>More Than 90  Days</v>
          </cell>
          <cell r="FF540">
            <v>45293</v>
          </cell>
          <cell r="FH540" t="str">
            <v>Done</v>
          </cell>
          <cell r="FI540" t="str">
            <v>Done</v>
          </cell>
          <cell r="FJ540" t="str">
            <v>NA</v>
          </cell>
          <cell r="FK540">
            <v>45456</v>
          </cell>
          <cell r="FM540" t="str">
            <v/>
          </cell>
          <cell r="GA540">
            <v>45307</v>
          </cell>
          <cell r="GG540" t="str">
            <v>2023-2024</v>
          </cell>
        </row>
        <row r="541">
          <cell r="E541" t="str">
            <v>Aj Complex Door No 5 574A2  , Mettupalayam Coimbatore District , Chickadasampalayam  , METTUPALAYAM , 641301</v>
          </cell>
          <cell r="F541" t="str">
            <v>9. EPC Ready</v>
          </cell>
          <cell r="G541" t="str">
            <v>SPTNMEA3706</v>
          </cell>
          <cell r="H541" t="str">
            <v>TN-SM-MPL-3000</v>
          </cell>
          <cell r="I541" t="str">
            <v>TZ1Z</v>
          </cell>
          <cell r="J541" t="str">
            <v>QECS</v>
          </cell>
          <cell r="K541" t="str">
            <v>S</v>
          </cell>
          <cell r="L541" t="str">
            <v>AK</v>
          </cell>
          <cell r="M541" t="str">
            <v>EPC Ready</v>
          </cell>
          <cell r="N541" t="str">
            <v>N Kalyankumar</v>
          </cell>
          <cell r="O541" t="str">
            <v>Muthuvelu Minnal /
Vijayakumar Muthusamy</v>
          </cell>
          <cell r="Q541" t="str">
            <v>Gaurav Shinde</v>
          </cell>
          <cell r="S541" t="str">
            <v>Tamil Nadu</v>
          </cell>
          <cell r="T541" t="str">
            <v>METTUPALAYAM</v>
          </cell>
          <cell r="U541" t="str">
            <v>Non Premium</v>
          </cell>
          <cell r="V541" t="str">
            <v>Pharma Format</v>
          </cell>
          <cell r="W541">
            <v>400</v>
          </cell>
          <cell r="X541" t="str">
            <v>Aj Complex Door No 5 574A2  , Mettupalayam Coimbatore District , Chickadasampalayam  , METTUPALAYAM , 641301</v>
          </cell>
          <cell r="Y541">
            <v>45166</v>
          </cell>
          <cell r="Z541" t="str">
            <v>NA</v>
          </cell>
          <cell r="AB541" t="str">
            <v>NA</v>
          </cell>
          <cell r="AF541" t="str">
            <v>NA</v>
          </cell>
          <cell r="AK541">
            <v>45269</v>
          </cell>
          <cell r="AL541" t="str">
            <v>Received</v>
          </cell>
          <cell r="AO541">
            <v>3</v>
          </cell>
          <cell r="AS541">
            <v>-3</v>
          </cell>
          <cell r="AU541">
            <v>4</v>
          </cell>
          <cell r="AY541">
            <v>-4</v>
          </cell>
          <cell r="BA541">
            <v>5</v>
          </cell>
          <cell r="BE541">
            <v>-5</v>
          </cell>
          <cell r="BG541">
            <v>5</v>
          </cell>
          <cell r="BK541">
            <v>-5</v>
          </cell>
          <cell r="BM541">
            <v>3</v>
          </cell>
          <cell r="BP541">
            <v>3</v>
          </cell>
          <cell r="BW541" t="str">
            <v>Done</v>
          </cell>
          <cell r="BX541">
            <v>45079</v>
          </cell>
          <cell r="BY541" t="str">
            <v>Approved</v>
          </cell>
          <cell r="CD541">
            <v>45163</v>
          </cell>
          <cell r="CE541">
            <v>45196</v>
          </cell>
          <cell r="CG541" t="str">
            <v>M/s Prayagaa Enterprises Pvt Ltd,.</v>
          </cell>
          <cell r="CI541" t="str">
            <v>Issued</v>
          </cell>
          <cell r="DG541" t="str">
            <v>Netmed SDP - Not in Dead Rental</v>
          </cell>
          <cell r="DK541">
            <v>45232</v>
          </cell>
          <cell r="DL541">
            <v>45202</v>
          </cell>
          <cell r="DM541">
            <v>2</v>
          </cell>
          <cell r="DN541" t="str">
            <v>0 to 3 Days</v>
          </cell>
          <cell r="DP541">
            <v>45199</v>
          </cell>
          <cell r="DQ541">
            <v>45234</v>
          </cell>
          <cell r="DR541">
            <v>7</v>
          </cell>
          <cell r="DS541">
            <v>7</v>
          </cell>
          <cell r="DU541">
            <v>45241</v>
          </cell>
          <cell r="DV541">
            <v>45206</v>
          </cell>
          <cell r="DW541">
            <v>45241</v>
          </cell>
          <cell r="DX541" t="str">
            <v>Nov 23 Week 2</v>
          </cell>
          <cell r="DZ541">
            <v>45321</v>
          </cell>
          <cell r="EA541" t="str">
            <v>Jan 24 Week 5</v>
          </cell>
          <cell r="EB541" t="str">
            <v>Backlog</v>
          </cell>
          <cell r="ED541" t="str">
            <v/>
          </cell>
          <cell r="EE541" t="str">
            <v/>
          </cell>
          <cell r="EF541">
            <v>1</v>
          </cell>
          <cell r="EG541">
            <v>1</v>
          </cell>
          <cell r="FD541">
            <v>80</v>
          </cell>
          <cell r="FE541" t="str">
            <v>62 to 90 Days</v>
          </cell>
          <cell r="FF541">
            <v>115</v>
          </cell>
          <cell r="FG541" t="str">
            <v>More Than 90  Days</v>
          </cell>
          <cell r="FH541" t="str">
            <v>Done</v>
          </cell>
          <cell r="FJ541" t="str">
            <v>NA</v>
          </cell>
          <cell r="FK541">
            <v>45456</v>
          </cell>
          <cell r="FM541" t="str">
            <v/>
          </cell>
          <cell r="GA541">
            <v>45342</v>
          </cell>
          <cell r="GC541">
            <v>45234</v>
          </cell>
          <cell r="GG541" t="str">
            <v>2023-2024</v>
          </cell>
        </row>
        <row r="542">
          <cell r="E542" t="str">
            <v>GF Xaviers Building Medavilagam  ,  , Kollamcode Choozhat Kanyakumari  , CHOOZHAL , 629160</v>
          </cell>
          <cell r="F542" t="str">
            <v>9. EPC Ready</v>
          </cell>
          <cell r="G542" t="str">
            <v>SPTNKAA3623</v>
          </cell>
          <cell r="H542" t="str">
            <v>TN-SM-CHO-3000</v>
          </cell>
          <cell r="I542" t="str">
            <v>TYWK</v>
          </cell>
          <cell r="J542" t="str">
            <v>QB4O</v>
          </cell>
          <cell r="K542" t="str">
            <v>S</v>
          </cell>
          <cell r="L542" t="str">
            <v>AK</v>
          </cell>
          <cell r="M542" t="str">
            <v>EPC Ready</v>
          </cell>
          <cell r="N542" t="str">
            <v>N Kalyankumar</v>
          </cell>
          <cell r="O542" t="str">
            <v>Muthuvelu Minnal /
Vijayakumar Muthusamy</v>
          </cell>
          <cell r="P542" t="str">
            <v>Janarthanan Ekambaram-9566241523</v>
          </cell>
          <cell r="Q542" t="str">
            <v>Gaurav Shinde</v>
          </cell>
          <cell r="S542" t="str">
            <v>Tamil Nadu</v>
          </cell>
          <cell r="T542" t="str">
            <v>CHOOZHAL</v>
          </cell>
          <cell r="U542" t="str">
            <v>Non Premium</v>
          </cell>
          <cell r="V542" t="str">
            <v>Pharma Format</v>
          </cell>
          <cell r="W542">
            <v>400</v>
          </cell>
          <cell r="X542" t="str">
            <v>GF Xaviers Building Medavilagam  ,  , Kollamcode Choozhat Kanyakumari  , CHOOZHAL , 629160</v>
          </cell>
          <cell r="Y542">
            <v>45159</v>
          </cell>
          <cell r="Z542" t="str">
            <v>NA</v>
          </cell>
          <cell r="AB542" t="str">
            <v>NA</v>
          </cell>
          <cell r="AF542" t="str">
            <v>NA</v>
          </cell>
          <cell r="AK542">
            <v>45182</v>
          </cell>
          <cell r="AL542" t="str">
            <v>Received</v>
          </cell>
          <cell r="AO542">
            <v>3</v>
          </cell>
          <cell r="AS542">
            <v>-3</v>
          </cell>
          <cell r="AU542">
            <v>4</v>
          </cell>
          <cell r="AY542">
            <v>-4</v>
          </cell>
          <cell r="BA542">
            <v>5</v>
          </cell>
          <cell r="BE542">
            <v>-5</v>
          </cell>
          <cell r="BG542">
            <v>5</v>
          </cell>
          <cell r="BK542">
            <v>-5</v>
          </cell>
          <cell r="BM542">
            <v>3</v>
          </cell>
          <cell r="BP542">
            <v>3</v>
          </cell>
          <cell r="BW542" t="str">
            <v>Done</v>
          </cell>
          <cell r="BX542">
            <v>45079</v>
          </cell>
          <cell r="BY542" t="str">
            <v>Approved</v>
          </cell>
          <cell r="CD542">
            <v>45162</v>
          </cell>
          <cell r="CE542">
            <v>45196</v>
          </cell>
          <cell r="CG542" t="str">
            <v>M/s Prayagaa Enterprises Pvt Ltd,.</v>
          </cell>
          <cell r="CI542" t="str">
            <v>Issued</v>
          </cell>
          <cell r="DG542" t="str">
            <v>Netmed SDP - Not in Dead Rental</v>
          </cell>
          <cell r="DK542">
            <v>45234</v>
          </cell>
          <cell r="DM542">
            <v>2</v>
          </cell>
          <cell r="DN542" t="str">
            <v>0 to 3 Days</v>
          </cell>
          <cell r="DP542">
            <v>45199</v>
          </cell>
          <cell r="DQ542">
            <v>45236</v>
          </cell>
          <cell r="DR542">
            <v>7</v>
          </cell>
          <cell r="DS542">
            <v>7</v>
          </cell>
          <cell r="DU542">
            <v>45243</v>
          </cell>
          <cell r="DV542">
            <v>45206</v>
          </cell>
          <cell r="DW542">
            <v>45243</v>
          </cell>
          <cell r="DX542" t="str">
            <v>Nov 23 Week 2</v>
          </cell>
          <cell r="DZ542">
            <v>45261</v>
          </cell>
          <cell r="EA542" t="str">
            <v>Dec 23 Week 1</v>
          </cell>
          <cell r="EB542" t="str">
            <v>Backlog</v>
          </cell>
          <cell r="ED542" t="str">
            <v/>
          </cell>
          <cell r="EE542" t="str">
            <v/>
          </cell>
          <cell r="EF542">
            <v>1</v>
          </cell>
          <cell r="EG542">
            <v>1</v>
          </cell>
          <cell r="FD542">
            <v>18</v>
          </cell>
          <cell r="FE542" t="str">
            <v>16 to 31 Days</v>
          </cell>
          <cell r="FF542">
            <v>55</v>
          </cell>
          <cell r="FG542" t="str">
            <v>31 to 61 Days</v>
          </cell>
          <cell r="FH542" t="str">
            <v>Done</v>
          </cell>
          <cell r="FI542" t="str">
            <v>Done</v>
          </cell>
          <cell r="FJ542" t="str">
            <v>NA</v>
          </cell>
          <cell r="FK542">
            <v>45273</v>
          </cell>
          <cell r="FM542" t="str">
            <v/>
          </cell>
          <cell r="GA542">
            <v>45261</v>
          </cell>
          <cell r="GC542">
            <v>45236</v>
          </cell>
          <cell r="GG542" t="str">
            <v>2023-2024</v>
          </cell>
        </row>
        <row r="543">
          <cell r="E543" t="str">
            <v>Loveshore 20 937  , P O Charala Kottayam , Erumeli  , ERUMELI SOUTH , 686509</v>
          </cell>
          <cell r="F543" t="str">
            <v>9. EPC Ready</v>
          </cell>
          <cell r="G543" t="str">
            <v>SPKLERC3394</v>
          </cell>
          <cell r="H543" t="str">
            <v>KE-SM-ERU-3000</v>
          </cell>
          <cell r="I543" t="str">
            <v>TZJW</v>
          </cell>
          <cell r="J543" t="str">
            <v>QC6C</v>
          </cell>
          <cell r="K543" t="str">
            <v>S</v>
          </cell>
          <cell r="L543" t="str">
            <v>AK</v>
          </cell>
          <cell r="M543" t="str">
            <v>EPC Ready</v>
          </cell>
          <cell r="N543" t="str">
            <v>N Kalyankumar</v>
          </cell>
          <cell r="O543" t="str">
            <v>Jose Loviece</v>
          </cell>
          <cell r="Q543" t="str">
            <v>Gaurav Shinde</v>
          </cell>
          <cell r="S543" t="str">
            <v>Kerala</v>
          </cell>
          <cell r="T543" t="str">
            <v>Erumeli</v>
          </cell>
          <cell r="U543" t="str">
            <v>Non Premium</v>
          </cell>
          <cell r="V543" t="str">
            <v>Pharma Format</v>
          </cell>
          <cell r="W543">
            <v>400</v>
          </cell>
          <cell r="X543" t="str">
            <v>Loveshore 20 937  , P O Charala Kottayam , Erumeli  , ERUMELI SOUTH , 686509</v>
          </cell>
          <cell r="Y543">
            <v>45166</v>
          </cell>
          <cell r="Z543" t="str">
            <v>NA</v>
          </cell>
          <cell r="AB543" t="str">
            <v>NA</v>
          </cell>
          <cell r="AF543" t="str">
            <v>NA</v>
          </cell>
          <cell r="AK543">
            <v>45309</v>
          </cell>
          <cell r="AL543" t="str">
            <v>Received</v>
          </cell>
          <cell r="AO543">
            <v>3</v>
          </cell>
          <cell r="AS543">
            <v>-3</v>
          </cell>
          <cell r="AU543">
            <v>4</v>
          </cell>
          <cell r="AY543">
            <v>-4</v>
          </cell>
          <cell r="BA543">
            <v>5</v>
          </cell>
          <cell r="BE543">
            <v>-5</v>
          </cell>
          <cell r="BG543">
            <v>5</v>
          </cell>
          <cell r="BK543">
            <v>-5</v>
          </cell>
          <cell r="BM543">
            <v>3</v>
          </cell>
          <cell r="BP543">
            <v>3</v>
          </cell>
          <cell r="BW543" t="str">
            <v>Done</v>
          </cell>
          <cell r="BX543">
            <v>45079</v>
          </cell>
          <cell r="BY543" t="str">
            <v>Approved</v>
          </cell>
          <cell r="CD543">
            <v>45163</v>
          </cell>
          <cell r="CE543">
            <v>45181</v>
          </cell>
          <cell r="CG543" t="str">
            <v>M/s. Brand Kettle
M/s. Arselex Engineering</v>
          </cell>
          <cell r="CI543" t="str">
            <v>Issued</v>
          </cell>
          <cell r="DG543" t="str">
            <v>Netmed SDP - Not in Dead Rental</v>
          </cell>
          <cell r="DK543">
            <v>45213</v>
          </cell>
          <cell r="DL543">
            <v>45206</v>
          </cell>
          <cell r="DM543">
            <v>2</v>
          </cell>
          <cell r="DN543" t="str">
            <v>0 to 3 Days</v>
          </cell>
          <cell r="DP543">
            <v>45184</v>
          </cell>
          <cell r="DQ543">
            <v>45215</v>
          </cell>
          <cell r="DR543">
            <v>7</v>
          </cell>
          <cell r="DS543">
            <v>7</v>
          </cell>
          <cell r="DU543">
            <v>45222</v>
          </cell>
          <cell r="DV543">
            <v>45191</v>
          </cell>
          <cell r="DW543">
            <v>45222</v>
          </cell>
          <cell r="DX543" t="str">
            <v>Oct 23 Week 4</v>
          </cell>
          <cell r="DZ543">
            <v>45259</v>
          </cell>
          <cell r="EA543" t="str">
            <v>Nov 23 Week 5</v>
          </cell>
          <cell r="EB543" t="str">
            <v>Backlog</v>
          </cell>
          <cell r="ED543" t="str">
            <v/>
          </cell>
          <cell r="EE543" t="str">
            <v/>
          </cell>
          <cell r="EF543">
            <v>1</v>
          </cell>
          <cell r="EG543">
            <v>1</v>
          </cell>
          <cell r="FD543">
            <v>37</v>
          </cell>
          <cell r="FE543" t="str">
            <v>31 to 61 Days</v>
          </cell>
          <cell r="FF543">
            <v>68</v>
          </cell>
          <cell r="FG543" t="str">
            <v>62 to 90 Days</v>
          </cell>
          <cell r="FH543" t="str">
            <v>Done</v>
          </cell>
          <cell r="FI543" t="str">
            <v>Done</v>
          </cell>
          <cell r="FJ543" t="str">
            <v>NA</v>
          </cell>
          <cell r="FK543">
            <v>45346</v>
          </cell>
          <cell r="FM543" t="str">
            <v/>
          </cell>
          <cell r="GA543">
            <v>45259</v>
          </cell>
          <cell r="GC543">
            <v>45215</v>
          </cell>
          <cell r="GG543" t="str">
            <v>2023-2024</v>
          </cell>
        </row>
        <row r="544">
          <cell r="E544" t="str">
            <v>Property No 13 1 28 32 1 Cmc No 850209  , Malipatil Nursing Home Opp Kle School , Cs No 6677 9 1 Opp Jt College Rd Nr  , Gadag , 582101</v>
          </cell>
          <cell r="F544" t="str">
            <v>9. EPC Ready</v>
          </cell>
          <cell r="G544" t="str">
            <v>SPKAGAA3758</v>
          </cell>
          <cell r="H544" t="str">
            <v>KR-SM-GAD-3000</v>
          </cell>
          <cell r="I544" t="str">
            <v>TACE</v>
          </cell>
          <cell r="J544" t="str">
            <v>QBUU</v>
          </cell>
          <cell r="K544" t="str">
            <v>S</v>
          </cell>
          <cell r="L544" t="str">
            <v>AK</v>
          </cell>
          <cell r="M544" t="str">
            <v>EPC Ready</v>
          </cell>
          <cell r="N544" t="str">
            <v>N Kalyankumar</v>
          </cell>
          <cell r="O544" t="str">
            <v>Sreekanth Bijjhalli</v>
          </cell>
          <cell r="P544" t="str">
            <v>Sreekanth.Bijjhalli-9900039061</v>
          </cell>
          <cell r="Q544" t="str">
            <v>Gaurav Shinde</v>
          </cell>
          <cell r="S544" t="str">
            <v>Karnataka</v>
          </cell>
          <cell r="T544" t="str">
            <v>GADAG</v>
          </cell>
          <cell r="U544" t="str">
            <v>Non Premium</v>
          </cell>
          <cell r="V544" t="str">
            <v>Pharma Format</v>
          </cell>
          <cell r="W544">
            <v>400</v>
          </cell>
          <cell r="X544" t="str">
            <v>Property No 13 1 28 32 1 Cmc No 850209  , Malipatil Nursing Home Opp Kle School , Cs No 6677 9 1 Opp Jt College Rd Nr  , Gadag , 582101</v>
          </cell>
          <cell r="Y544">
            <v>45166</v>
          </cell>
          <cell r="Z544" t="str">
            <v>NA</v>
          </cell>
          <cell r="AB544" t="str">
            <v>NA</v>
          </cell>
          <cell r="AF544" t="str">
            <v>NA</v>
          </cell>
          <cell r="AK544">
            <v>45163</v>
          </cell>
          <cell r="AL544" t="str">
            <v>Received</v>
          </cell>
          <cell r="AO544">
            <v>3</v>
          </cell>
          <cell r="AS544">
            <v>-3</v>
          </cell>
          <cell r="AU544">
            <v>4</v>
          </cell>
          <cell r="AY544">
            <v>-4</v>
          </cell>
          <cell r="BA544">
            <v>5</v>
          </cell>
          <cell r="BE544">
            <v>-5</v>
          </cell>
          <cell r="BG544">
            <v>5</v>
          </cell>
          <cell r="BK544">
            <v>-5</v>
          </cell>
          <cell r="BM544">
            <v>3</v>
          </cell>
          <cell r="BP544">
            <v>3</v>
          </cell>
          <cell r="BW544" t="str">
            <v>Done</v>
          </cell>
          <cell r="BX544">
            <v>45079</v>
          </cell>
          <cell r="BY544" t="str">
            <v>Approved</v>
          </cell>
          <cell r="CD544">
            <v>45163</v>
          </cell>
          <cell r="CE544">
            <v>45229</v>
          </cell>
          <cell r="CG544" t="str">
            <v>M/s. AR Projects</v>
          </cell>
          <cell r="CI544" t="str">
            <v>Issued</v>
          </cell>
          <cell r="DA544" t="str">
            <v>NA</v>
          </cell>
          <cell r="DB544" t="str">
            <v>NA</v>
          </cell>
          <cell r="DC544" t="str">
            <v>NA</v>
          </cell>
          <cell r="DG544" t="str">
            <v>Netmed SDP - Not in Dead Rental</v>
          </cell>
          <cell r="DK544">
            <v>45237</v>
          </cell>
          <cell r="DL544">
            <v>45169</v>
          </cell>
          <cell r="DM544">
            <v>2</v>
          </cell>
          <cell r="DN544" t="str">
            <v>0 to 3 Days</v>
          </cell>
          <cell r="DO544" t="str">
            <v>02-11-2023</v>
          </cell>
          <cell r="DP544">
            <v>45240</v>
          </cell>
          <cell r="DQ544">
            <v>45239</v>
          </cell>
          <cell r="DR544">
            <v>7</v>
          </cell>
          <cell r="DS544">
            <v>7</v>
          </cell>
          <cell r="DU544">
            <v>45246</v>
          </cell>
          <cell r="DV544">
            <v>45247</v>
          </cell>
          <cell r="DW544">
            <v>45246</v>
          </cell>
          <cell r="DX544" t="str">
            <v>Nov 23 Week 3</v>
          </cell>
          <cell r="DY544">
            <v>45370</v>
          </cell>
          <cell r="DZ544">
            <v>45370</v>
          </cell>
          <cell r="EA544" t="str">
            <v>March 24 Week 3</v>
          </cell>
          <cell r="EB544" t="str">
            <v>Backlog</v>
          </cell>
          <cell r="ED544" t="str">
            <v/>
          </cell>
          <cell r="EE544" t="str">
            <v/>
          </cell>
          <cell r="EF544">
            <v>1</v>
          </cell>
          <cell r="EG544">
            <v>1</v>
          </cell>
          <cell r="EH544" t="str">
            <v>Vendor issue</v>
          </cell>
          <cell r="FD544">
            <v>124</v>
          </cell>
          <cell r="FE544" t="str">
            <v>More Than 90  Days</v>
          </cell>
          <cell r="FF544">
            <v>123</v>
          </cell>
          <cell r="FG544" t="str">
            <v>More Than 90  Days</v>
          </cell>
          <cell r="FH544" t="str">
            <v>done</v>
          </cell>
          <cell r="FJ544" t="str">
            <v>NA</v>
          </cell>
          <cell r="FK544">
            <v>45406</v>
          </cell>
          <cell r="FM544" t="str">
            <v/>
          </cell>
          <cell r="FZ544" t="str">
            <v>Fixture Installation Completed</v>
          </cell>
          <cell r="GC544">
            <v>45239</v>
          </cell>
          <cell r="GG544" t="str">
            <v>2023-2024</v>
          </cell>
        </row>
        <row r="545">
          <cell r="E545" t="str">
            <v>Fortune Highway 2 24 8 116 Opp Badaga  , Road Moodbidri Dakshina Kannada , Basadi Jain Pete Moodbidri Karkala Main  , MUDBIDRI , 574227</v>
          </cell>
          <cell r="F545" t="str">
            <v>9. EPC Ready</v>
          </cell>
          <cell r="G545" t="str">
            <v>SPKAMUM4148</v>
          </cell>
          <cell r="H545" t="str">
            <v>KR-SM-MBI-3000</v>
          </cell>
          <cell r="I545" t="str">
            <v>TYHP</v>
          </cell>
          <cell r="J545" t="str">
            <v>QBNF</v>
          </cell>
          <cell r="K545" t="str">
            <v>S</v>
          </cell>
          <cell r="L545" t="str">
            <v>AK</v>
          </cell>
          <cell r="M545" t="str">
            <v>EPC Ready</v>
          </cell>
          <cell r="N545" t="str">
            <v>N Kalyankumar</v>
          </cell>
          <cell r="O545" t="str">
            <v>Sreekanth Bijjhalli</v>
          </cell>
          <cell r="Q545" t="str">
            <v>Gaurav Shinde</v>
          </cell>
          <cell r="S545" t="str">
            <v>Karnataka</v>
          </cell>
          <cell r="T545" t="str">
            <v>MUDBIDRI</v>
          </cell>
          <cell r="U545" t="str">
            <v>Non Premium</v>
          </cell>
          <cell r="V545" t="str">
            <v>Pharma Format</v>
          </cell>
          <cell r="W545">
            <v>401</v>
          </cell>
          <cell r="X545" t="str">
            <v>Fortune Highway 2 24 8 116 Opp Badaga  , Road Moodbidri Dakshina Kannada , Basadi Jain Pete Moodbidri Karkala Main  , MUDBIDRI , 574227</v>
          </cell>
          <cell r="Y545">
            <v>45166</v>
          </cell>
          <cell r="Z545" t="str">
            <v>NA</v>
          </cell>
          <cell r="AB545" t="str">
            <v>NA</v>
          </cell>
          <cell r="AF545" t="str">
            <v>NA</v>
          </cell>
          <cell r="AK545">
            <v>45266</v>
          </cell>
          <cell r="AL545" t="str">
            <v>Received</v>
          </cell>
          <cell r="AO545">
            <v>3</v>
          </cell>
          <cell r="AS545">
            <v>-3</v>
          </cell>
          <cell r="AU545">
            <v>4</v>
          </cell>
          <cell r="AY545">
            <v>-4</v>
          </cell>
          <cell r="BA545">
            <v>5</v>
          </cell>
          <cell r="BE545">
            <v>-5</v>
          </cell>
          <cell r="BG545">
            <v>5</v>
          </cell>
          <cell r="BK545">
            <v>-5</v>
          </cell>
          <cell r="BM545">
            <v>3</v>
          </cell>
          <cell r="BP545">
            <v>3</v>
          </cell>
          <cell r="BW545" t="str">
            <v>Done</v>
          </cell>
          <cell r="BX545">
            <v>45079</v>
          </cell>
          <cell r="BY545" t="str">
            <v>Approved</v>
          </cell>
          <cell r="CD545">
            <v>45163</v>
          </cell>
          <cell r="CE545">
            <v>45249</v>
          </cell>
          <cell r="CG545" t="str">
            <v>M/s. Aryan Amit</v>
          </cell>
          <cell r="CI545" t="str">
            <v>Issued</v>
          </cell>
          <cell r="DA545" t="str">
            <v>NA</v>
          </cell>
          <cell r="DB545" t="str">
            <v>NA</v>
          </cell>
          <cell r="DC545" t="str">
            <v>NA</v>
          </cell>
          <cell r="DG545" t="str">
            <v>Netmed SDP - Not in Dead Rental</v>
          </cell>
          <cell r="DK545">
            <v>45277</v>
          </cell>
          <cell r="DL545">
            <v>45173</v>
          </cell>
          <cell r="DM545">
            <v>2</v>
          </cell>
          <cell r="DN545" t="str">
            <v>0 to 3 Days</v>
          </cell>
          <cell r="DO545" t="str">
            <v>22-11-2023</v>
          </cell>
          <cell r="DP545">
            <v>45280</v>
          </cell>
          <cell r="DQ545">
            <v>45279</v>
          </cell>
          <cell r="DR545">
            <v>7</v>
          </cell>
          <cell r="DS545">
            <v>7</v>
          </cell>
          <cell r="DU545">
            <v>45286</v>
          </cell>
          <cell r="DV545">
            <v>45287</v>
          </cell>
          <cell r="DW545">
            <v>45286</v>
          </cell>
          <cell r="DX545" t="str">
            <v>Dec 23 Week 4</v>
          </cell>
          <cell r="DY545" t="str">
            <v>20-03-2024
21-03-2024</v>
          </cell>
          <cell r="DZ545">
            <v>45372</v>
          </cell>
          <cell r="EA545" t="str">
            <v>March 24 Week 3</v>
          </cell>
          <cell r="EB545" t="str">
            <v>Backlog</v>
          </cell>
          <cell r="ED545" t="str">
            <v/>
          </cell>
          <cell r="EE545" t="str">
            <v/>
          </cell>
          <cell r="EF545">
            <v>1</v>
          </cell>
          <cell r="EG545">
            <v>0.8</v>
          </cell>
          <cell r="EH545" t="str">
            <v>Vendor issue</v>
          </cell>
          <cell r="FD545">
            <v>86</v>
          </cell>
          <cell r="FE545" t="str">
            <v>62 to 90 Days</v>
          </cell>
          <cell r="FF545">
            <v>85</v>
          </cell>
          <cell r="FG545" t="str">
            <v>62 to 90 Days</v>
          </cell>
          <cell r="FH545" t="str">
            <v>done</v>
          </cell>
          <cell r="FJ545" t="str">
            <v>NA</v>
          </cell>
          <cell r="FK545">
            <v>45502</v>
          </cell>
          <cell r="FM545" t="str">
            <v/>
          </cell>
          <cell r="FZ545" t="str">
            <v>Fixture Installation Completed</v>
          </cell>
          <cell r="GC545">
            <v>45252</v>
          </cell>
          <cell r="GG545" t="str">
            <v>2023-2024</v>
          </cell>
        </row>
        <row r="546">
          <cell r="E546" t="str">
            <v>Husain Building 1St Cross Road Ezhil  , Medicals Hosur Krishnagiri , Nagar Begepalli Sri Vinayaka  , HOSUR , 635109</v>
          </cell>
          <cell r="F546" t="str">
            <v>9. EPC Ready</v>
          </cell>
          <cell r="G546" t="str">
            <v>SPTNHOS3626</v>
          </cell>
          <cell r="H546" t="str">
            <v>TN-SM-HOS-3003</v>
          </cell>
          <cell r="I546" t="str">
            <v>TYQP</v>
          </cell>
          <cell r="J546" t="str">
            <v>QBXT</v>
          </cell>
          <cell r="K546" t="str">
            <v>S</v>
          </cell>
          <cell r="L546" t="str">
            <v>AK</v>
          </cell>
          <cell r="M546" t="str">
            <v>EPC Ready</v>
          </cell>
          <cell r="N546" t="str">
            <v>N Kalyankumar</v>
          </cell>
          <cell r="O546" t="str">
            <v>Muthuvelu Minnal /
Vijayakumar Muthusamy</v>
          </cell>
          <cell r="Q546" t="str">
            <v>Gaurav Shinde</v>
          </cell>
          <cell r="S546" t="str">
            <v>Tamil Nadu</v>
          </cell>
          <cell r="T546" t="str">
            <v>Hosur</v>
          </cell>
          <cell r="U546" t="str">
            <v>Non Premium</v>
          </cell>
          <cell r="V546" t="str">
            <v>Pharma Format</v>
          </cell>
          <cell r="W546">
            <v>400</v>
          </cell>
          <cell r="X546" t="str">
            <v>Husain Building 1St Cross Road Ezhil  , Medicals Hosur Krishnagiri , Nagar Begepalli Sri Vinayaka  , HOSUR , 635109</v>
          </cell>
          <cell r="Y546">
            <v>45167</v>
          </cell>
          <cell r="Z546" t="str">
            <v>NA</v>
          </cell>
          <cell r="AB546" t="str">
            <v>NA</v>
          </cell>
          <cell r="AF546" t="str">
            <v>NA</v>
          </cell>
          <cell r="AK546">
            <v>45162</v>
          </cell>
          <cell r="AL546" t="str">
            <v>Received</v>
          </cell>
          <cell r="AO546">
            <v>3</v>
          </cell>
          <cell r="AS546">
            <v>-3</v>
          </cell>
          <cell r="AU546">
            <v>4</v>
          </cell>
          <cell r="AY546">
            <v>-4</v>
          </cell>
          <cell r="BA546">
            <v>5</v>
          </cell>
          <cell r="BE546">
            <v>-5</v>
          </cell>
          <cell r="BG546">
            <v>5</v>
          </cell>
          <cell r="BK546">
            <v>-5</v>
          </cell>
          <cell r="BM546">
            <v>3</v>
          </cell>
          <cell r="BP546">
            <v>3</v>
          </cell>
          <cell r="BW546" t="str">
            <v>Done</v>
          </cell>
          <cell r="BX546">
            <v>45079</v>
          </cell>
          <cell r="BY546" t="str">
            <v>Approved</v>
          </cell>
          <cell r="CD546">
            <v>45162</v>
          </cell>
          <cell r="CE546">
            <v>45215</v>
          </cell>
          <cell r="CG546" t="str">
            <v>M/s Jacpel &amp; Co</v>
          </cell>
          <cell r="CI546" t="str">
            <v>Issued</v>
          </cell>
          <cell r="DG546" t="str">
            <v>Netmed SDP - Not in Dead Rental</v>
          </cell>
          <cell r="DK546">
            <v>45225</v>
          </cell>
          <cell r="DL546">
            <v>45201</v>
          </cell>
          <cell r="DM546">
            <v>2</v>
          </cell>
          <cell r="DN546" t="str">
            <v>0 to 3 Days</v>
          </cell>
          <cell r="DP546">
            <v>45218</v>
          </cell>
          <cell r="DQ546">
            <v>45227</v>
          </cell>
          <cell r="DR546">
            <v>7</v>
          </cell>
          <cell r="DS546">
            <v>7</v>
          </cell>
          <cell r="DU546">
            <v>45234</v>
          </cell>
          <cell r="DV546">
            <v>45225</v>
          </cell>
          <cell r="DW546">
            <v>45234</v>
          </cell>
          <cell r="DX546" t="str">
            <v>Nov 23 Week 1</v>
          </cell>
          <cell r="DZ546">
            <v>45264</v>
          </cell>
          <cell r="EA546" t="str">
            <v>Dec 23 Week 1</v>
          </cell>
          <cell r="EB546" t="str">
            <v>Backlog</v>
          </cell>
          <cell r="ED546" t="str">
            <v/>
          </cell>
          <cell r="EE546" t="str">
            <v/>
          </cell>
          <cell r="EF546">
            <v>1</v>
          </cell>
          <cell r="EG546">
            <v>1</v>
          </cell>
          <cell r="FD546">
            <v>30</v>
          </cell>
          <cell r="FE546" t="str">
            <v>16 to 31 Days</v>
          </cell>
          <cell r="FF546">
            <v>39</v>
          </cell>
          <cell r="FG546" t="str">
            <v>31 to 61 Days</v>
          </cell>
          <cell r="FH546" t="str">
            <v>Done</v>
          </cell>
          <cell r="FI546" t="str">
            <v>Done</v>
          </cell>
          <cell r="FJ546" t="str">
            <v>NA</v>
          </cell>
          <cell r="FK546">
            <v>45299</v>
          </cell>
          <cell r="FM546" t="str">
            <v/>
          </cell>
          <cell r="GA546">
            <v>45264</v>
          </cell>
          <cell r="GC546">
            <v>45227</v>
          </cell>
          <cell r="GG546" t="str">
            <v>2023-2024</v>
          </cell>
        </row>
        <row r="547">
          <cell r="E547" t="str">
            <v>SP Pharma Kotkapura Road Muktsar</v>
          </cell>
          <cell r="F547" t="str">
            <v>9. EPC Ready</v>
          </cell>
          <cell r="G547" t="str">
            <v>SPPBMUM1631</v>
          </cell>
          <cell r="H547" t="str">
            <v>PB-SM-MKS-3001</v>
          </cell>
          <cell r="I547" t="str">
            <v>TWGG</v>
          </cell>
          <cell r="J547" t="str">
            <v>Q6SK</v>
          </cell>
          <cell r="K547" t="str">
            <v xml:space="preserve">N </v>
          </cell>
          <cell r="L547" t="str">
            <v>KC</v>
          </cell>
          <cell r="M547" t="str">
            <v>EPC Ready</v>
          </cell>
          <cell r="P547" t="str">
            <v>Pranao Shrivastava-6239504134</v>
          </cell>
          <cell r="Q547" t="str">
            <v>Gaurav Shinde</v>
          </cell>
          <cell r="S547" t="str">
            <v>Punjab</v>
          </cell>
          <cell r="T547" t="str">
            <v>Muktsar</v>
          </cell>
          <cell r="U547" t="str">
            <v>Non Premium</v>
          </cell>
          <cell r="V547" t="str">
            <v>Pharma Format</v>
          </cell>
          <cell r="W547">
            <v>403</v>
          </cell>
          <cell r="X547" t="str">
            <v>SP Pharma Kotkapura Road Muktsar</v>
          </cell>
          <cell r="Y547">
            <v>45124</v>
          </cell>
          <cell r="Z547" t="str">
            <v>NA</v>
          </cell>
          <cell r="AB547" t="str">
            <v>NA</v>
          </cell>
          <cell r="AF547" t="str">
            <v>NA</v>
          </cell>
          <cell r="AK547">
            <v>45192</v>
          </cell>
          <cell r="AL547" t="str">
            <v>Received</v>
          </cell>
          <cell r="AO547">
            <v>3</v>
          </cell>
          <cell r="AS547">
            <v>-3</v>
          </cell>
          <cell r="AU547">
            <v>4</v>
          </cell>
          <cell r="AY547">
            <v>-4</v>
          </cell>
          <cell r="BA547">
            <v>5</v>
          </cell>
          <cell r="BE547">
            <v>-5</v>
          </cell>
          <cell r="BG547">
            <v>5</v>
          </cell>
          <cell r="BK547">
            <v>-5</v>
          </cell>
          <cell r="BM547">
            <v>3</v>
          </cell>
          <cell r="BP547">
            <v>3</v>
          </cell>
          <cell r="BW547" t="str">
            <v>Done</v>
          </cell>
          <cell r="BX547">
            <v>45079</v>
          </cell>
          <cell r="BY547" t="str">
            <v>Approved</v>
          </cell>
          <cell r="CD547">
            <v>45126</v>
          </cell>
          <cell r="CE547">
            <v>45163</v>
          </cell>
          <cell r="CG547" t="str">
            <v xml:space="preserve">M/s     PREFER RACK ENGINEERS </v>
          </cell>
          <cell r="CI547" t="str">
            <v>Issued</v>
          </cell>
          <cell r="DG547" t="str">
            <v>Netmed SDP - Not in Dead Rental</v>
          </cell>
          <cell r="DK547">
            <v>45167</v>
          </cell>
          <cell r="DL547">
            <v>45146</v>
          </cell>
          <cell r="DM547">
            <v>2</v>
          </cell>
          <cell r="DN547" t="str">
            <v>0 to 3 Days</v>
          </cell>
          <cell r="DP547">
            <v>45166</v>
          </cell>
          <cell r="DQ547">
            <v>45169</v>
          </cell>
          <cell r="DR547">
            <v>7</v>
          </cell>
          <cell r="DS547">
            <v>7</v>
          </cell>
          <cell r="DU547">
            <v>45176</v>
          </cell>
          <cell r="DV547">
            <v>45173</v>
          </cell>
          <cell r="DW547">
            <v>45176</v>
          </cell>
          <cell r="DX547" t="str">
            <v>Sep 23 Week 1</v>
          </cell>
          <cell r="DY547" t="str">
            <v>10-09-2023
15-09-2023</v>
          </cell>
          <cell r="DZ547">
            <v>45182</v>
          </cell>
          <cell r="EA547" t="str">
            <v>Sep 23 Week 2</v>
          </cell>
          <cell r="EB547" t="str">
            <v>Backlog</v>
          </cell>
          <cell r="ED547" t="str">
            <v/>
          </cell>
          <cell r="EE547" t="str">
            <v/>
          </cell>
          <cell r="EF547">
            <v>1</v>
          </cell>
          <cell r="EG547">
            <v>1</v>
          </cell>
          <cell r="FD547">
            <v>6</v>
          </cell>
          <cell r="FE547" t="str">
            <v>4 to 7 Days</v>
          </cell>
          <cell r="FF547">
            <v>9</v>
          </cell>
          <cell r="FG547" t="str">
            <v>8 to 15 Days</v>
          </cell>
          <cell r="FH547" t="str">
            <v>Done</v>
          </cell>
          <cell r="FJ547" t="str">
            <v>NA</v>
          </cell>
          <cell r="FK547">
            <v>45464</v>
          </cell>
          <cell r="FM547" t="str">
            <v/>
          </cell>
          <cell r="GA547">
            <v>45204</v>
          </cell>
          <cell r="GC547" t="str">
            <v>31-08-2023
23-10-2023</v>
          </cell>
          <cell r="GG547" t="str">
            <v>2023-2024</v>
          </cell>
        </row>
        <row r="548">
          <cell r="E548" t="str">
            <v>Ground Floor CTS No425/B Laxshmi Nagar  , Nandurbar , Tal &amp; dist. Nandurbar  , Nandurbar , 425412</v>
          </cell>
          <cell r="F548" t="str">
            <v>9. EPC Ready</v>
          </cell>
          <cell r="G548" t="str">
            <v xml:space="preserve">SPMHNaN3767 </v>
          </cell>
          <cell r="H548" t="str">
            <v>MH-SM-NDB-3000</v>
          </cell>
          <cell r="I548" t="str">
            <v>TANE</v>
          </cell>
          <cell r="J548" t="str">
            <v>QF3H</v>
          </cell>
          <cell r="K548" t="str">
            <v>W</v>
          </cell>
          <cell r="L548" t="str">
            <v>KC</v>
          </cell>
          <cell r="M548" t="str">
            <v>EPC Ready</v>
          </cell>
          <cell r="P548" t="str">
            <v>Mr Prashant Wankhede-9284862994</v>
          </cell>
          <cell r="Q548" t="str">
            <v>Gaurav Shinde</v>
          </cell>
          <cell r="S548" t="str">
            <v>Maharashtra</v>
          </cell>
          <cell r="T548" t="str">
            <v>NANDURBAR</v>
          </cell>
          <cell r="U548" t="str">
            <v>Non Premium</v>
          </cell>
          <cell r="V548" t="str">
            <v>Pharma Format</v>
          </cell>
          <cell r="W548">
            <v>403</v>
          </cell>
          <cell r="X548" t="str">
            <v>Ground Floor CTS No425/B Laxshmi Nagar  , Nandurbar , Tal &amp; dist. Nandurbar  , Nandurbar , 425412</v>
          </cell>
          <cell r="Y548">
            <v>45166</v>
          </cell>
          <cell r="Z548" t="str">
            <v>NA</v>
          </cell>
          <cell r="AB548" t="str">
            <v>NA</v>
          </cell>
          <cell r="AF548" t="str">
            <v>NA</v>
          </cell>
          <cell r="AK548">
            <v>45173</v>
          </cell>
          <cell r="AL548" t="str">
            <v>Received</v>
          </cell>
          <cell r="AO548">
            <v>3</v>
          </cell>
          <cell r="AS548">
            <v>-3</v>
          </cell>
          <cell r="AU548">
            <v>4</v>
          </cell>
          <cell r="AY548">
            <v>-4</v>
          </cell>
          <cell r="BA548">
            <v>5</v>
          </cell>
          <cell r="BE548">
            <v>-5</v>
          </cell>
          <cell r="BG548">
            <v>5</v>
          </cell>
          <cell r="BK548">
            <v>-5</v>
          </cell>
          <cell r="BM548">
            <v>3</v>
          </cell>
          <cell r="BP548">
            <v>3</v>
          </cell>
          <cell r="BW548" t="str">
            <v>Done</v>
          </cell>
          <cell r="BX548">
            <v>45079</v>
          </cell>
          <cell r="BY548" t="str">
            <v>Approved</v>
          </cell>
          <cell r="CD548">
            <v>45163</v>
          </cell>
          <cell r="CE548">
            <v>45169</v>
          </cell>
          <cell r="CG548" t="str">
            <v>M/s. Saitech Electricals</v>
          </cell>
          <cell r="CI548" t="str">
            <v>Issued</v>
          </cell>
          <cell r="DA548" t="str">
            <v>NA</v>
          </cell>
          <cell r="DB548" t="str">
            <v>NA</v>
          </cell>
          <cell r="DC548" t="str">
            <v>NA</v>
          </cell>
          <cell r="DG548" t="str">
            <v>Netmed SDP - Not in Dead Rental</v>
          </cell>
          <cell r="DL548">
            <v>45174</v>
          </cell>
          <cell r="DM548" t="str">
            <v>NA</v>
          </cell>
          <cell r="DN548" t="str">
            <v>NA</v>
          </cell>
          <cell r="DO548" t="str">
            <v>6) LOA Issued Clearance Awaited from Business</v>
          </cell>
          <cell r="DP548">
            <v>45332</v>
          </cell>
          <cell r="DQ548">
            <v>45335</v>
          </cell>
          <cell r="DR548">
            <v>7</v>
          </cell>
          <cell r="DS548">
            <v>7</v>
          </cell>
          <cell r="DU548">
            <v>45342</v>
          </cell>
          <cell r="DV548">
            <v>45339</v>
          </cell>
          <cell r="DW548">
            <v>45342</v>
          </cell>
          <cell r="DX548" t="str">
            <v>Feb 24 Week 3</v>
          </cell>
          <cell r="DY548">
            <v>45355</v>
          </cell>
          <cell r="DZ548">
            <v>45355</v>
          </cell>
          <cell r="EA548" t="str">
            <v>March 24 Week 1</v>
          </cell>
          <cell r="EB548" t="str">
            <v>Backlog</v>
          </cell>
          <cell r="ED548" t="str">
            <v/>
          </cell>
          <cell r="EE548" t="str">
            <v/>
          </cell>
          <cell r="EF548">
            <v>1</v>
          </cell>
          <cell r="FD548">
            <v>13</v>
          </cell>
          <cell r="FE548" t="str">
            <v>8 to 15 Days</v>
          </cell>
          <cell r="FF548">
            <v>16</v>
          </cell>
          <cell r="FG548" t="str">
            <v>16 to 31 Days</v>
          </cell>
          <cell r="FH548" t="str">
            <v>Done</v>
          </cell>
          <cell r="FJ548" t="str">
            <v>NA</v>
          </cell>
          <cell r="FK548">
            <v>45412</v>
          </cell>
          <cell r="FM548" t="str">
            <v/>
          </cell>
          <cell r="FZ548" t="str">
            <v>Fixture Installation Completed</v>
          </cell>
          <cell r="GC548">
            <v>45335</v>
          </cell>
          <cell r="GG548" t="str">
            <v>2023-2024</v>
          </cell>
        </row>
        <row r="549">
          <cell r="E549" t="str">
            <v>GF Plot No 2 3 4 Survey No 309 AB  , Opp Indo Line Furniture , Ambad link Road Near Inda line Furniture , Nashik , Nashik , 422008</v>
          </cell>
          <cell r="F549" t="str">
            <v>9. EPC Ready</v>
          </cell>
          <cell r="G549" t="str">
            <v>SPMHNAN3684</v>
          </cell>
          <cell r="H549" t="str">
            <v>MH-SM-NAS-3015</v>
          </cell>
          <cell r="I549" t="str">
            <v>TZQ2</v>
          </cell>
          <cell r="J549" t="str">
            <v>QD1I</v>
          </cell>
          <cell r="K549" t="str">
            <v>W</v>
          </cell>
          <cell r="L549" t="str">
            <v>KC</v>
          </cell>
          <cell r="M549" t="str">
            <v>EPC Ready Pharmacy 200 SFT</v>
          </cell>
          <cell r="Q549" t="str">
            <v>Gaurav Shinde</v>
          </cell>
          <cell r="S549" t="str">
            <v>Maharashtra</v>
          </cell>
          <cell r="T549" t="str">
            <v>Nashik</v>
          </cell>
          <cell r="U549" t="str">
            <v>Non Premium</v>
          </cell>
          <cell r="V549" t="str">
            <v>Pharma Format</v>
          </cell>
          <cell r="W549">
            <v>200</v>
          </cell>
          <cell r="X549" t="str">
            <v>GF Plot No 2 3 4 Survey No 309 AB  , Opp Indo Line Furniture , Ambad link Road Near Inda line Furniture , Nashik , Nashik , 422008</v>
          </cell>
          <cell r="Y549">
            <v>45234</v>
          </cell>
          <cell r="Z549" t="str">
            <v>NA</v>
          </cell>
          <cell r="AB549" t="str">
            <v>NA</v>
          </cell>
          <cell r="AF549" t="str">
            <v>NA</v>
          </cell>
          <cell r="AK549">
            <v>45148</v>
          </cell>
          <cell r="AL549" t="str">
            <v>Received</v>
          </cell>
          <cell r="AO549">
            <v>3</v>
          </cell>
          <cell r="AS549">
            <v>-3</v>
          </cell>
          <cell r="AU549">
            <v>4</v>
          </cell>
          <cell r="AY549">
            <v>-4</v>
          </cell>
          <cell r="BA549">
            <v>5</v>
          </cell>
          <cell r="BE549">
            <v>-5</v>
          </cell>
          <cell r="BG549">
            <v>5</v>
          </cell>
          <cell r="BK549">
            <v>-5</v>
          </cell>
          <cell r="BM549">
            <v>3</v>
          </cell>
          <cell r="BP549">
            <v>3</v>
          </cell>
          <cell r="BW549" t="str">
            <v>Done</v>
          </cell>
          <cell r="BX549">
            <v>45079</v>
          </cell>
          <cell r="BY549" t="str">
            <v>Approved</v>
          </cell>
          <cell r="DG549" t="str">
            <v>Netmed SDP - Not in Dead Rental</v>
          </cell>
          <cell r="DK549">
            <v>45205</v>
          </cell>
          <cell r="DM549">
            <v>2</v>
          </cell>
          <cell r="DN549" t="str">
            <v>0 to 3 Days</v>
          </cell>
          <cell r="DQ549">
            <v>45207</v>
          </cell>
          <cell r="DR549">
            <v>7</v>
          </cell>
          <cell r="DS549">
            <v>7</v>
          </cell>
          <cell r="DU549">
            <v>45214</v>
          </cell>
          <cell r="DV549">
            <v>7</v>
          </cell>
          <cell r="DW549">
            <v>45214</v>
          </cell>
          <cell r="DX549" t="str">
            <v>Oct 23 Week 3</v>
          </cell>
          <cell r="DZ549">
            <v>45125</v>
          </cell>
          <cell r="EA549" t="str">
            <v>July 23 Week 3</v>
          </cell>
          <cell r="EB549" t="str">
            <v>Plan</v>
          </cell>
          <cell r="ED549" t="str">
            <v/>
          </cell>
          <cell r="EE549" t="str">
            <v/>
          </cell>
          <cell r="EF549">
            <v>1</v>
          </cell>
          <cell r="EG549">
            <v>1</v>
          </cell>
          <cell r="FD549">
            <v>-89</v>
          </cell>
          <cell r="FE549" t="str">
            <v>On Time</v>
          </cell>
          <cell r="FF549">
            <v>45118</v>
          </cell>
          <cell r="FH549" t="str">
            <v>Done</v>
          </cell>
          <cell r="FI549" t="str">
            <v>Done</v>
          </cell>
          <cell r="FJ549" t="str">
            <v>NA</v>
          </cell>
          <cell r="FM549" t="str">
            <v/>
          </cell>
          <cell r="GG549" t="str">
            <v>2023-2024</v>
          </cell>
        </row>
        <row r="550">
          <cell r="E550" t="str">
            <v>Plot No 21 Survey No 29 4 Kalpatru Nagar  , Ashoka Marg Nashik , Near Idbi Bank Atm  , Nashik , 422009</v>
          </cell>
          <cell r="F550" t="str">
            <v>9. EPC Ready</v>
          </cell>
          <cell r="G550" t="str">
            <v>SPMHNAN4289</v>
          </cell>
          <cell r="H550" t="str">
            <v>MH-SM-NAS-3016</v>
          </cell>
          <cell r="I550" t="str">
            <v>TYDQ</v>
          </cell>
          <cell r="J550" t="str">
            <v>QBIR</v>
          </cell>
          <cell r="K550" t="str">
            <v>W</v>
          </cell>
          <cell r="L550" t="str">
            <v>KC</v>
          </cell>
          <cell r="M550" t="str">
            <v>EPC Ready</v>
          </cell>
          <cell r="P550" t="str">
            <v>Mr Prashant Wankhede-9284862994</v>
          </cell>
          <cell r="Q550" t="str">
            <v>Gaurav Shinde</v>
          </cell>
          <cell r="S550" t="str">
            <v>Maharashtra</v>
          </cell>
          <cell r="T550" t="str">
            <v>Nashik</v>
          </cell>
          <cell r="U550" t="str">
            <v>Non Premium</v>
          </cell>
          <cell r="V550" t="str">
            <v>Pharma Format</v>
          </cell>
          <cell r="W550">
            <v>400</v>
          </cell>
          <cell r="X550" t="str">
            <v>Plot No 21 Survey No 29 4 Kalpatru Nagar  , Ashoka Marg Nashik , Near Idbi Bank Atm  , Nashik , 422009</v>
          </cell>
          <cell r="Y550">
            <v>45166</v>
          </cell>
          <cell r="Z550" t="str">
            <v>NA</v>
          </cell>
          <cell r="AB550" t="str">
            <v>NA</v>
          </cell>
          <cell r="AF550" t="str">
            <v>NA</v>
          </cell>
          <cell r="AK550">
            <v>45183</v>
          </cell>
          <cell r="AL550" t="str">
            <v>Received</v>
          </cell>
          <cell r="AO550">
            <v>3</v>
          </cell>
          <cell r="AS550">
            <v>-3</v>
          </cell>
          <cell r="AU550">
            <v>4</v>
          </cell>
          <cell r="AY550">
            <v>-4</v>
          </cell>
          <cell r="BA550">
            <v>5</v>
          </cell>
          <cell r="BE550">
            <v>-5</v>
          </cell>
          <cell r="BG550">
            <v>5</v>
          </cell>
          <cell r="BK550">
            <v>-5</v>
          </cell>
          <cell r="BM550">
            <v>3</v>
          </cell>
          <cell r="BP550">
            <v>3</v>
          </cell>
          <cell r="BW550" t="str">
            <v>Done</v>
          </cell>
          <cell r="BX550">
            <v>45079</v>
          </cell>
          <cell r="BY550" t="str">
            <v>Approved</v>
          </cell>
          <cell r="CD550">
            <v>45163</v>
          </cell>
          <cell r="CE550">
            <v>45169</v>
          </cell>
          <cell r="CG550" t="str">
            <v>M/s. Vighnesh Electricals</v>
          </cell>
          <cell r="CI550" t="str">
            <v>Issued</v>
          </cell>
          <cell r="DG550" t="str">
            <v>Netmed SDP - Not in Dead Rental</v>
          </cell>
          <cell r="DK550">
            <v>45201</v>
          </cell>
          <cell r="DL550">
            <v>45166</v>
          </cell>
          <cell r="DM550">
            <v>2</v>
          </cell>
          <cell r="DN550" t="str">
            <v>0 to 3 Days</v>
          </cell>
          <cell r="DP550">
            <v>45172</v>
          </cell>
          <cell r="DQ550">
            <v>45203</v>
          </cell>
          <cell r="DR550">
            <v>7</v>
          </cell>
          <cell r="DS550">
            <v>7</v>
          </cell>
          <cell r="DU550">
            <v>45210</v>
          </cell>
          <cell r="DV550">
            <v>45179</v>
          </cell>
          <cell r="DW550">
            <v>45210</v>
          </cell>
          <cell r="DX550" t="str">
            <v>Oct 23 Week 2</v>
          </cell>
          <cell r="DZ550">
            <v>45217</v>
          </cell>
          <cell r="EA550" t="str">
            <v>Oct 23 Week 3</v>
          </cell>
          <cell r="EB550" t="str">
            <v>Backlog</v>
          </cell>
          <cell r="ED550" t="str">
            <v/>
          </cell>
          <cell r="EE550" t="str">
            <v/>
          </cell>
          <cell r="EF550">
            <v>1</v>
          </cell>
          <cell r="EG550">
            <v>1</v>
          </cell>
          <cell r="FD550">
            <v>7</v>
          </cell>
          <cell r="FE550" t="str">
            <v>4 to 7 Days</v>
          </cell>
          <cell r="FF550">
            <v>38</v>
          </cell>
          <cell r="FG550" t="str">
            <v>31 to 61 Days</v>
          </cell>
          <cell r="FH550" t="str">
            <v>Done</v>
          </cell>
          <cell r="FI550" t="str">
            <v>Done</v>
          </cell>
          <cell r="FJ550" t="str">
            <v>NA</v>
          </cell>
          <cell r="FK550">
            <v>45363</v>
          </cell>
          <cell r="FM550" t="str">
            <v/>
          </cell>
          <cell r="GA550">
            <v>45224</v>
          </cell>
          <cell r="GC550">
            <v>45203</v>
          </cell>
          <cell r="GG550" t="str">
            <v>2023-2024</v>
          </cell>
        </row>
        <row r="551">
          <cell r="E551" t="str">
            <v>Miraj Developers Ltd Plot No 1  , Nathdwara , Ajmer Road Near Lal Bagh  , NATHDWARA , 313301</v>
          </cell>
          <cell r="F551" t="str">
            <v>9. EPC Ready</v>
          </cell>
          <cell r="G551" t="str">
            <v>SPRJNAN3448</v>
          </cell>
          <cell r="H551" t="str">
            <v>RJ-SM-NHA-3000</v>
          </cell>
          <cell r="I551" t="str">
            <v>T0KF</v>
          </cell>
          <cell r="J551" t="str">
            <v>QBPA</v>
          </cell>
          <cell r="K551" t="str">
            <v xml:space="preserve">N </v>
          </cell>
          <cell r="L551" t="str">
            <v>KC</v>
          </cell>
          <cell r="M551" t="str">
            <v>EPC Ready</v>
          </cell>
          <cell r="N551" t="str">
            <v>Vinay Singh</v>
          </cell>
          <cell r="O551" t="str">
            <v>Vikas31Sharma</v>
          </cell>
          <cell r="P551" t="str">
            <v>Mr.Balram Soni-8003293109</v>
          </cell>
          <cell r="Q551" t="str">
            <v>Gaurav Shinde</v>
          </cell>
          <cell r="S551" t="str">
            <v>Rajasthan</v>
          </cell>
          <cell r="T551" t="str">
            <v>NATHDWARA</v>
          </cell>
          <cell r="U551" t="str">
            <v>Non Premium</v>
          </cell>
          <cell r="V551" t="str">
            <v>Pharma Format</v>
          </cell>
          <cell r="W551">
            <v>400</v>
          </cell>
          <cell r="X551" t="str">
            <v>Miraj Developers Ltd Plot No 1  , Nathdwara , Ajmer Road Near Lal Bagh  , NATHDWARA , 313301</v>
          </cell>
          <cell r="Y551">
            <v>45166</v>
          </cell>
          <cell r="Z551" t="str">
            <v>NA</v>
          </cell>
          <cell r="AB551" t="str">
            <v>NA</v>
          </cell>
          <cell r="AF551" t="str">
            <v>NA</v>
          </cell>
          <cell r="AK551">
            <v>45166</v>
          </cell>
          <cell r="AL551" t="str">
            <v>Received</v>
          </cell>
          <cell r="AO551">
            <v>3</v>
          </cell>
          <cell r="AS551">
            <v>-3</v>
          </cell>
          <cell r="AU551">
            <v>4</v>
          </cell>
          <cell r="AY551">
            <v>-4</v>
          </cell>
          <cell r="BA551">
            <v>5</v>
          </cell>
          <cell r="BE551">
            <v>-5</v>
          </cell>
          <cell r="BG551">
            <v>5</v>
          </cell>
          <cell r="BK551">
            <v>-5</v>
          </cell>
          <cell r="BM551">
            <v>3</v>
          </cell>
          <cell r="BP551">
            <v>3</v>
          </cell>
          <cell r="BW551" t="str">
            <v>Done</v>
          </cell>
          <cell r="BX551">
            <v>45079</v>
          </cell>
          <cell r="BY551" t="str">
            <v>Approved</v>
          </cell>
          <cell r="CD551">
            <v>45163</v>
          </cell>
          <cell r="CE551">
            <v>45183</v>
          </cell>
          <cell r="CG551" t="str">
            <v>M/s     M N BUILDER</v>
          </cell>
          <cell r="CI551" t="str">
            <v>Issued</v>
          </cell>
          <cell r="DG551" t="str">
            <v>Netmed SDP - Not in Dead Rental</v>
          </cell>
          <cell r="DK551">
            <v>45210</v>
          </cell>
          <cell r="DL551">
            <v>45167</v>
          </cell>
          <cell r="DM551">
            <v>2</v>
          </cell>
          <cell r="DN551" t="str">
            <v>0 to 3 Days</v>
          </cell>
          <cell r="DP551">
            <v>45186</v>
          </cell>
          <cell r="DQ551">
            <v>45212</v>
          </cell>
          <cell r="DR551">
            <v>7</v>
          </cell>
          <cell r="DS551">
            <v>7</v>
          </cell>
          <cell r="DU551">
            <v>45219</v>
          </cell>
          <cell r="DV551">
            <v>45193</v>
          </cell>
          <cell r="DW551">
            <v>45219</v>
          </cell>
          <cell r="DX551" t="str">
            <v>Oct 23 Week 3</v>
          </cell>
          <cell r="DZ551">
            <v>45224</v>
          </cell>
          <cell r="EA551" t="str">
            <v>Oct 23 Week 4</v>
          </cell>
          <cell r="EB551" t="str">
            <v>Backlog</v>
          </cell>
          <cell r="ED551" t="str">
            <v/>
          </cell>
          <cell r="EE551" t="str">
            <v/>
          </cell>
          <cell r="EF551">
            <v>1</v>
          </cell>
          <cell r="EG551">
            <v>1</v>
          </cell>
          <cell r="FD551">
            <v>5</v>
          </cell>
          <cell r="FE551" t="str">
            <v>4 to 7 Days</v>
          </cell>
          <cell r="FF551">
            <v>31</v>
          </cell>
          <cell r="FG551" t="str">
            <v>16 to 31 Days</v>
          </cell>
          <cell r="FH551" t="str">
            <v>Done</v>
          </cell>
          <cell r="FI551" t="str">
            <v>Done</v>
          </cell>
          <cell r="FJ551" t="str">
            <v>NA</v>
          </cell>
          <cell r="FK551">
            <v>45275</v>
          </cell>
          <cell r="FM551" t="str">
            <v/>
          </cell>
          <cell r="GA551">
            <v>45251</v>
          </cell>
          <cell r="GC551">
            <v>45212</v>
          </cell>
          <cell r="GG551" t="str">
            <v>2023-2024</v>
          </cell>
        </row>
        <row r="552">
          <cell r="E552" t="str">
            <v>Satvikam Arcade Opp to Siva Parvathy  , Kottayam , Temple Mariapalli Natakom PO  , Nattakom , 686013</v>
          </cell>
          <cell r="F552" t="str">
            <v>11. HOLD</v>
          </cell>
          <cell r="G552" t="str">
            <v>PHCOAS10510</v>
          </cell>
          <cell r="H552" t="str">
            <v>KE-SM-NTT-3000</v>
          </cell>
          <cell r="I552" t="str">
            <v>TYTC</v>
          </cell>
          <cell r="J552" t="str">
            <v>QB1G</v>
          </cell>
          <cell r="K552" t="str">
            <v>S</v>
          </cell>
          <cell r="L552" t="str">
            <v>AK</v>
          </cell>
          <cell r="M552" t="str">
            <v>NRFC</v>
          </cell>
          <cell r="N552" t="str">
            <v>N Kalyankumar</v>
          </cell>
          <cell r="O552" t="str">
            <v>Jose Loviece</v>
          </cell>
          <cell r="Q552" t="str">
            <v>Gaurav Shinde</v>
          </cell>
          <cell r="S552" t="str">
            <v>Kerala</v>
          </cell>
          <cell r="T552" t="str">
            <v>NATTAKOM</v>
          </cell>
          <cell r="U552" t="str">
            <v>Non Premium</v>
          </cell>
          <cell r="V552" t="str">
            <v>Pharma Format</v>
          </cell>
          <cell r="W552">
            <v>400</v>
          </cell>
          <cell r="X552" t="str">
            <v>Satvikam Arcade Opp to Siva Parvathy  , Kottayam , Temple Mariapalli Natakom PO  , Nattakom , 686013</v>
          </cell>
          <cell r="Z552" t="str">
            <v>NA</v>
          </cell>
          <cell r="AB552" t="str">
            <v>NA</v>
          </cell>
          <cell r="AF552" t="str">
            <v>NA</v>
          </cell>
          <cell r="AK552">
            <v>45164</v>
          </cell>
          <cell r="AL552" t="str">
            <v>Received</v>
          </cell>
          <cell r="AO552">
            <v>3</v>
          </cell>
          <cell r="AS552">
            <v>-3</v>
          </cell>
          <cell r="AU552">
            <v>4</v>
          </cell>
          <cell r="AY552">
            <v>-4</v>
          </cell>
          <cell r="BA552">
            <v>5</v>
          </cell>
          <cell r="BE552">
            <v>-5</v>
          </cell>
          <cell r="BG552">
            <v>5</v>
          </cell>
          <cell r="BK552">
            <v>-5</v>
          </cell>
          <cell r="BM552">
            <v>3</v>
          </cell>
          <cell r="BP552">
            <v>3</v>
          </cell>
          <cell r="BW552" t="str">
            <v>Done</v>
          </cell>
          <cell r="BX552">
            <v>45079</v>
          </cell>
          <cell r="BY552" t="str">
            <v>Approved</v>
          </cell>
          <cell r="DG552" t="str">
            <v>Netmed SDP - Not in Dead Rental</v>
          </cell>
          <cell r="DM552" t="str">
            <v>NA</v>
          </cell>
          <cell r="DN552" t="str">
            <v>NA</v>
          </cell>
          <cell r="DR552">
            <v>7</v>
          </cell>
          <cell r="DS552">
            <v>7</v>
          </cell>
          <cell r="DU552">
            <v>7</v>
          </cell>
          <cell r="DV552">
            <v>7</v>
          </cell>
          <cell r="DW552">
            <v>7</v>
          </cell>
          <cell r="EA552" t="str">
            <v/>
          </cell>
          <cell r="ED552" t="str">
            <v/>
          </cell>
          <cell r="EE552" t="str">
            <v/>
          </cell>
          <cell r="EF552">
            <v>1</v>
          </cell>
          <cell r="FD552">
            <v>46114</v>
          </cell>
          <cell r="FF552">
            <v>46114</v>
          </cell>
          <cell r="FJ552" t="str">
            <v>NA</v>
          </cell>
          <cell r="FM552" t="str">
            <v/>
          </cell>
          <cell r="GG552" t="str">
            <v>2026-2027</v>
          </cell>
        </row>
        <row r="553">
          <cell r="E553" t="str">
            <v>Gf Dag No 30 Under Patta No 5  , Revenue Circle Mouza Dhupabor , Simaluguri Town Bordowarmukh Revenu  , NAZIRA , 785685</v>
          </cell>
          <cell r="F553" t="str">
            <v>9. EPC Ready</v>
          </cell>
          <cell r="G553" t="str">
            <v>SPASNAB3940</v>
          </cell>
          <cell r="H553" t="str">
            <v>WB-SM-NZI-3001</v>
          </cell>
          <cell r="I553" t="str">
            <v>TAQ8</v>
          </cell>
          <cell r="J553" t="str">
            <v>QGQM</v>
          </cell>
          <cell r="K553" t="str">
            <v xml:space="preserve">E </v>
          </cell>
          <cell r="L553" t="str">
            <v>SD</v>
          </cell>
          <cell r="M553" t="str">
            <v>EPC Ready</v>
          </cell>
          <cell r="N553" t="str">
            <v>Mahendrakumar Warma</v>
          </cell>
          <cell r="O553" t="str">
            <v>Anup das (EXCEPT SIKKIM)</v>
          </cell>
          <cell r="P553" t="str">
            <v>Suman Das-7044069904</v>
          </cell>
          <cell r="Q553" t="str">
            <v>Gaurav Shinde</v>
          </cell>
          <cell r="S553" t="str">
            <v>Assam</v>
          </cell>
          <cell r="T553" t="str">
            <v>NAZIRA</v>
          </cell>
          <cell r="U553" t="str">
            <v>Non Premium</v>
          </cell>
          <cell r="V553" t="str">
            <v>Pharma Format</v>
          </cell>
          <cell r="W553">
            <v>400</v>
          </cell>
          <cell r="X553" t="str">
            <v>Gf Dag No 30 Under Patta No 5  , Revenue Circle Mouza Dhupabor , Simaluguri Town Bordowarmukh Revenu  , NAZIRA , 785685</v>
          </cell>
          <cell r="Y553">
            <v>45166</v>
          </cell>
          <cell r="Z553" t="str">
            <v>NA</v>
          </cell>
          <cell r="AB553" t="str">
            <v>NA</v>
          </cell>
          <cell r="AF553" t="str">
            <v>NA</v>
          </cell>
          <cell r="AK553">
            <v>45164</v>
          </cell>
          <cell r="AL553" t="str">
            <v>Received</v>
          </cell>
          <cell r="AO553">
            <v>3</v>
          </cell>
          <cell r="AS553">
            <v>-3</v>
          </cell>
          <cell r="AU553">
            <v>4</v>
          </cell>
          <cell r="AY553">
            <v>-4</v>
          </cell>
          <cell r="BA553">
            <v>5</v>
          </cell>
          <cell r="BE553">
            <v>-5</v>
          </cell>
          <cell r="BG553">
            <v>5</v>
          </cell>
          <cell r="BK553">
            <v>-5</v>
          </cell>
          <cell r="BM553">
            <v>3</v>
          </cell>
          <cell r="BP553">
            <v>3</v>
          </cell>
          <cell r="BW553" t="str">
            <v>Done</v>
          </cell>
          <cell r="BX553">
            <v>45079</v>
          </cell>
          <cell r="BY553" t="str">
            <v>Approved</v>
          </cell>
          <cell r="CD553">
            <v>45163</v>
          </cell>
          <cell r="CE553">
            <v>45170</v>
          </cell>
          <cell r="CG553" t="str">
            <v>M/s. DAS ENTERPRISE</v>
          </cell>
          <cell r="CI553" t="str">
            <v>Issued</v>
          </cell>
          <cell r="DG553" t="str">
            <v>Netmed SDP - Not in Dead Rental</v>
          </cell>
          <cell r="DK553">
            <v>45214</v>
          </cell>
          <cell r="DL553">
            <v>45175</v>
          </cell>
          <cell r="DM553">
            <v>2</v>
          </cell>
          <cell r="DN553" t="str">
            <v>0 to 3 Days</v>
          </cell>
          <cell r="DP553">
            <v>45173</v>
          </cell>
          <cell r="DQ553">
            <v>45216</v>
          </cell>
          <cell r="DR553">
            <v>7</v>
          </cell>
          <cell r="DS553">
            <v>7</v>
          </cell>
          <cell r="DU553">
            <v>45223</v>
          </cell>
          <cell r="DV553">
            <v>45180</v>
          </cell>
          <cell r="DW553">
            <v>45223</v>
          </cell>
          <cell r="DX553" t="str">
            <v>Oct 23 Week 4</v>
          </cell>
          <cell r="DZ553">
            <v>45257</v>
          </cell>
          <cell r="EA553" t="str">
            <v>Nov 23 Week 4</v>
          </cell>
          <cell r="EB553" t="str">
            <v>Backlog</v>
          </cell>
          <cell r="ED553" t="str">
            <v/>
          </cell>
          <cell r="EE553" t="str">
            <v/>
          </cell>
          <cell r="EF553">
            <v>1</v>
          </cell>
          <cell r="EG553">
            <v>1</v>
          </cell>
          <cell r="FD553">
            <v>34</v>
          </cell>
          <cell r="FE553" t="str">
            <v>31 to 61 Days</v>
          </cell>
          <cell r="FF553">
            <v>77</v>
          </cell>
          <cell r="FG553" t="str">
            <v>62 to 90 Days</v>
          </cell>
          <cell r="FH553" t="str">
            <v>Done</v>
          </cell>
          <cell r="FI553" t="str">
            <v>Done</v>
          </cell>
          <cell r="FJ553" t="str">
            <v>NA</v>
          </cell>
          <cell r="FK553">
            <v>45257</v>
          </cell>
          <cell r="FM553" t="str">
            <v/>
          </cell>
          <cell r="GA553">
            <v>45258</v>
          </cell>
          <cell r="GC553">
            <v>45216</v>
          </cell>
          <cell r="GG553" t="str">
            <v>2023-2024</v>
          </cell>
        </row>
        <row r="554">
          <cell r="E554" t="str">
            <v>Rj Complex Keeliyode Perumazhuthoor  , Thiruvananthapuram , Po Neyyattinkara  , NEYYATTINKARA , 695126</v>
          </cell>
          <cell r="F554" t="str">
            <v>14. Dropped</v>
          </cell>
          <cell r="G554" t="str">
            <v>SPKLNER3724</v>
          </cell>
          <cell r="H554" t="str">
            <v>KE-SM-NYA-3003</v>
          </cell>
          <cell r="I554" t="str">
            <v>TYZS</v>
          </cell>
          <cell r="J554" t="str">
            <v>QB7U</v>
          </cell>
          <cell r="K554" t="str">
            <v>S</v>
          </cell>
          <cell r="L554" t="str">
            <v>AK</v>
          </cell>
          <cell r="M554" t="str">
            <v>Dropped</v>
          </cell>
          <cell r="N554" t="str">
            <v>N Kalyankumar</v>
          </cell>
          <cell r="O554" t="str">
            <v>Jose Loviece</v>
          </cell>
          <cell r="Q554" t="str">
            <v>Gaurav Shinde</v>
          </cell>
          <cell r="S554" t="str">
            <v>Kerala</v>
          </cell>
          <cell r="T554" t="str">
            <v>Neyyattinkara</v>
          </cell>
          <cell r="U554" t="str">
            <v>Non Premium</v>
          </cell>
          <cell r="V554" t="str">
            <v>Pharma Format</v>
          </cell>
          <cell r="W554">
            <v>400</v>
          </cell>
          <cell r="X554" t="str">
            <v>Rj Complex Keeliyode Perumazhuthoor  , Thiruvananthapuram , Po Neyyattinkara  , NEYYATTINKARA , 695126</v>
          </cell>
          <cell r="Z554" t="str">
            <v>NA</v>
          </cell>
          <cell r="AB554" t="str">
            <v>NA</v>
          </cell>
          <cell r="AF554" t="str">
            <v>NA</v>
          </cell>
          <cell r="AL554" t="str">
            <v>NA</v>
          </cell>
          <cell r="AO554">
            <v>3</v>
          </cell>
          <cell r="AS554">
            <v>-3</v>
          </cell>
          <cell r="AU554">
            <v>4</v>
          </cell>
          <cell r="AY554">
            <v>-4</v>
          </cell>
          <cell r="BA554">
            <v>5</v>
          </cell>
          <cell r="BE554">
            <v>-5</v>
          </cell>
          <cell r="BG554">
            <v>5</v>
          </cell>
          <cell r="BK554">
            <v>-5</v>
          </cell>
          <cell r="BM554">
            <v>3</v>
          </cell>
          <cell r="BP554">
            <v>3</v>
          </cell>
          <cell r="BW554" t="str">
            <v>Done</v>
          </cell>
          <cell r="BX554">
            <v>45079</v>
          </cell>
          <cell r="BY554" t="str">
            <v>Approved</v>
          </cell>
          <cell r="DG554" t="str">
            <v>Netmed SDP - Not in Dead Rental</v>
          </cell>
          <cell r="DM554" t="str">
            <v>NA</v>
          </cell>
          <cell r="DN554" t="str">
            <v>NA</v>
          </cell>
          <cell r="DR554">
            <v>7</v>
          </cell>
          <cell r="DS554">
            <v>7</v>
          </cell>
          <cell r="DU554">
            <v>7</v>
          </cell>
          <cell r="DV554">
            <v>7</v>
          </cell>
          <cell r="DW554">
            <v>7</v>
          </cell>
          <cell r="EA554" t="str">
            <v/>
          </cell>
          <cell r="ED554" t="str">
            <v/>
          </cell>
          <cell r="EE554" t="str">
            <v/>
          </cell>
          <cell r="EF554">
            <v>1</v>
          </cell>
          <cell r="FD554">
            <v>46114</v>
          </cell>
          <cell r="FF554">
            <v>46114</v>
          </cell>
          <cell r="FJ554" t="str">
            <v>NA</v>
          </cell>
          <cell r="FM554" t="str">
            <v/>
          </cell>
          <cell r="GG554" t="str">
            <v>2024-2025</v>
          </cell>
        </row>
        <row r="555">
          <cell r="E555" t="str">
            <v>GF FF RRR Complex Sy No791 2 OppDSP  , Dist Prakasam , Office Podili Road Darsi  , DARSI , 523247</v>
          </cell>
          <cell r="F555" t="str">
            <v>9. EPC Ready</v>
          </cell>
          <cell r="G555" t="str">
            <v>SPAPDAP3303</v>
          </cell>
          <cell r="H555" t="str">
            <v>AP-SM-DSI-3000</v>
          </cell>
          <cell r="I555" t="str">
            <v>TWFB</v>
          </cell>
          <cell r="J555" t="str">
            <v>Q6RF</v>
          </cell>
          <cell r="K555" t="str">
            <v xml:space="preserve">E </v>
          </cell>
          <cell r="L555" t="str">
            <v>JD</v>
          </cell>
          <cell r="M555" t="str">
            <v>EPC Ready</v>
          </cell>
          <cell r="N555" t="str">
            <v>Jaisingh Desai</v>
          </cell>
          <cell r="P555" t="str">
            <v>Mr. Sridhar Gummadi</v>
          </cell>
          <cell r="Q555" t="str">
            <v>Gaurav Shinde</v>
          </cell>
          <cell r="S555" t="str">
            <v>Andhra Pradesh</v>
          </cell>
          <cell r="T555" t="str">
            <v>Ongole</v>
          </cell>
          <cell r="U555" t="str">
            <v>Non Premium</v>
          </cell>
          <cell r="V555" t="str">
            <v>Pharma Format</v>
          </cell>
          <cell r="W555">
            <v>398</v>
          </cell>
          <cell r="X555" t="str">
            <v>GF FF RRR Complex Sy No791 2 OppDSP  , Dist Prakasam , Office Podili Road Darsi  , DARSI , 523247</v>
          </cell>
          <cell r="Y555">
            <v>45125</v>
          </cell>
          <cell r="Z555" t="str">
            <v>NA</v>
          </cell>
          <cell r="AB555" t="str">
            <v>NA</v>
          </cell>
          <cell r="AF555" t="str">
            <v>NA</v>
          </cell>
          <cell r="AK555">
            <v>45142</v>
          </cell>
          <cell r="AL555" t="str">
            <v>Received</v>
          </cell>
          <cell r="AO555">
            <v>3</v>
          </cell>
          <cell r="AS555">
            <v>-3</v>
          </cell>
          <cell r="AU555">
            <v>4</v>
          </cell>
          <cell r="AY555">
            <v>-4</v>
          </cell>
          <cell r="BA555">
            <v>5</v>
          </cell>
          <cell r="BE555">
            <v>-5</v>
          </cell>
          <cell r="BG555">
            <v>5</v>
          </cell>
          <cell r="BK555">
            <v>-5</v>
          </cell>
          <cell r="BM555">
            <v>3</v>
          </cell>
          <cell r="BP555">
            <v>3</v>
          </cell>
          <cell r="BW555" t="str">
            <v>Done</v>
          </cell>
          <cell r="BX555">
            <v>45079</v>
          </cell>
          <cell r="BY555" t="str">
            <v>Approved</v>
          </cell>
          <cell r="CD555">
            <v>45126</v>
          </cell>
          <cell r="CE555">
            <v>45159</v>
          </cell>
          <cell r="CG555" t="str">
            <v xml:space="preserve">M/s   SRK Constructions </v>
          </cell>
          <cell r="CI555" t="str">
            <v>Issued</v>
          </cell>
          <cell r="DG555" t="str">
            <v>Netmed SDP - Not in Dead Rental</v>
          </cell>
          <cell r="DK555">
            <v>45232</v>
          </cell>
          <cell r="DM555">
            <v>2</v>
          </cell>
          <cell r="DN555" t="str">
            <v>0 to 3 Days</v>
          </cell>
          <cell r="DP555">
            <v>45162</v>
          </cell>
          <cell r="DQ555">
            <v>45234</v>
          </cell>
          <cell r="DR555">
            <v>7</v>
          </cell>
          <cell r="DS555">
            <v>7</v>
          </cell>
          <cell r="DU555">
            <v>45241</v>
          </cell>
          <cell r="DV555">
            <v>45169</v>
          </cell>
          <cell r="DW555">
            <v>45241</v>
          </cell>
          <cell r="DX555" t="str">
            <v>Nov 23 Week 2</v>
          </cell>
          <cell r="DZ555">
            <v>45252</v>
          </cell>
          <cell r="EA555" t="str">
            <v>Nov 23 Week 4</v>
          </cell>
          <cell r="EB555" t="str">
            <v>Backlog</v>
          </cell>
          <cell r="ED555" t="str">
            <v/>
          </cell>
          <cell r="EE555" t="str">
            <v/>
          </cell>
          <cell r="EF555">
            <v>1</v>
          </cell>
          <cell r="EG555">
            <v>1</v>
          </cell>
          <cell r="FD555">
            <v>11</v>
          </cell>
          <cell r="FE555" t="str">
            <v>8 to 15 Days</v>
          </cell>
          <cell r="FF555">
            <v>83</v>
          </cell>
          <cell r="FG555" t="str">
            <v>62 to 90 Days</v>
          </cell>
          <cell r="FH555" t="str">
            <v>Done</v>
          </cell>
          <cell r="FI555" t="str">
            <v>Done</v>
          </cell>
          <cell r="FJ555" t="str">
            <v>NA</v>
          </cell>
          <cell r="FK555">
            <v>45268</v>
          </cell>
          <cell r="FM555" t="str">
            <v/>
          </cell>
          <cell r="GA555" t="str">
            <v>22-11-2023
02-12-2023</v>
          </cell>
          <cell r="GC555">
            <v>45225</v>
          </cell>
          <cell r="GG555" t="str">
            <v>2023-2024</v>
          </cell>
        </row>
        <row r="556">
          <cell r="E556" t="str">
            <v>Sri Lakshmi Talkies  , Medarmetla , Near Ysr Circle  , Medarametla , 523212</v>
          </cell>
          <cell r="F556" t="str">
            <v>11. HOLD</v>
          </cell>
          <cell r="G556" t="str">
            <v>PHCOAS10511</v>
          </cell>
          <cell r="H556" t="str">
            <v>AP-SM-MMA-3000</v>
          </cell>
          <cell r="I556" t="str">
            <v>TH1Y</v>
          </cell>
          <cell r="J556" t="str">
            <v>QCXP</v>
          </cell>
          <cell r="K556" t="str">
            <v xml:space="preserve">E </v>
          </cell>
          <cell r="L556" t="str">
            <v>JD</v>
          </cell>
          <cell r="M556" t="str">
            <v>HOLD</v>
          </cell>
          <cell r="N556" t="str">
            <v>Jaisingh Desai</v>
          </cell>
          <cell r="Q556" t="str">
            <v>Gaurav Shinde</v>
          </cell>
          <cell r="S556" t="str">
            <v>Andhra Pradesh</v>
          </cell>
          <cell r="T556" t="str">
            <v>Ongole</v>
          </cell>
          <cell r="U556" t="str">
            <v>Non Premium</v>
          </cell>
          <cell r="V556" t="str">
            <v>Pharma Format</v>
          </cell>
          <cell r="W556">
            <v>400</v>
          </cell>
          <cell r="X556" t="str">
            <v>Sri Lakshmi Talkies  , Medarmetla , Near Ysr Circle  , Medarametla , 523212</v>
          </cell>
          <cell r="Y556">
            <v>45166</v>
          </cell>
          <cell r="Z556" t="str">
            <v>NA</v>
          </cell>
          <cell r="AB556" t="str">
            <v>NA</v>
          </cell>
          <cell r="AF556" t="str">
            <v>NA</v>
          </cell>
          <cell r="AK556">
            <v>45163</v>
          </cell>
          <cell r="AL556" t="str">
            <v>Received</v>
          </cell>
          <cell r="AO556">
            <v>3</v>
          </cell>
          <cell r="AS556">
            <v>-3</v>
          </cell>
          <cell r="AU556">
            <v>4</v>
          </cell>
          <cell r="AY556">
            <v>-4</v>
          </cell>
          <cell r="BA556">
            <v>5</v>
          </cell>
          <cell r="BE556">
            <v>-5</v>
          </cell>
          <cell r="BG556">
            <v>5</v>
          </cell>
          <cell r="BK556">
            <v>-5</v>
          </cell>
          <cell r="BM556">
            <v>3</v>
          </cell>
          <cell r="BP556">
            <v>3</v>
          </cell>
          <cell r="BW556" t="str">
            <v>Done</v>
          </cell>
          <cell r="BX556">
            <v>45079</v>
          </cell>
          <cell r="BY556" t="str">
            <v>Approved</v>
          </cell>
          <cell r="CD556">
            <v>45163</v>
          </cell>
          <cell r="CE556">
            <v>45173</v>
          </cell>
          <cell r="CG556" t="str">
            <v>M/s VK CONSTRUCTIONS</v>
          </cell>
          <cell r="DG556" t="str">
            <v>Netmed SDP - Not in Dead Rental</v>
          </cell>
          <cell r="DM556" t="str">
            <v>NA</v>
          </cell>
          <cell r="DN556" t="str">
            <v>NA</v>
          </cell>
          <cell r="DR556">
            <v>7</v>
          </cell>
          <cell r="DS556">
            <v>7</v>
          </cell>
          <cell r="DU556">
            <v>7</v>
          </cell>
          <cell r="DV556">
            <v>7</v>
          </cell>
          <cell r="DW556">
            <v>7</v>
          </cell>
          <cell r="EA556" t="str">
            <v/>
          </cell>
          <cell r="ED556" t="str">
            <v/>
          </cell>
          <cell r="EE556" t="str">
            <v/>
          </cell>
          <cell r="EF556">
            <v>1</v>
          </cell>
          <cell r="FD556">
            <v>46114</v>
          </cell>
          <cell r="FF556">
            <v>46114</v>
          </cell>
          <cell r="FJ556" t="str">
            <v>NA</v>
          </cell>
          <cell r="FM556" t="str">
            <v/>
          </cell>
          <cell r="GG556" t="str">
            <v>2026-2027</v>
          </cell>
        </row>
        <row r="557">
          <cell r="E557" t="str">
            <v>Murali Complex Pakala  ,  , Andhra Pradesh  , PAKALA , 517112</v>
          </cell>
          <cell r="F557" t="str">
            <v>11. HOLD</v>
          </cell>
          <cell r="G557" t="str">
            <v>PHCOAS10512</v>
          </cell>
          <cell r="H557" t="str">
            <v>AP-SM-PKA-3000</v>
          </cell>
          <cell r="I557" t="str">
            <v>TH2I</v>
          </cell>
          <cell r="J557" t="str">
            <v>Q7Z8</v>
          </cell>
          <cell r="K557" t="str">
            <v xml:space="preserve">E </v>
          </cell>
          <cell r="L557" t="str">
            <v>JD</v>
          </cell>
          <cell r="M557" t="str">
            <v>HOLD</v>
          </cell>
          <cell r="N557" t="str">
            <v>Jaisingh Desai</v>
          </cell>
          <cell r="Q557" t="str">
            <v>Gaurav Shinde</v>
          </cell>
          <cell r="S557" t="str">
            <v>Andhra Pradesh</v>
          </cell>
          <cell r="T557" t="str">
            <v>Pakala</v>
          </cell>
          <cell r="U557" t="str">
            <v>Non Premium</v>
          </cell>
          <cell r="V557" t="str">
            <v>Pharma Format</v>
          </cell>
          <cell r="W557">
            <v>400</v>
          </cell>
          <cell r="X557" t="str">
            <v>Murali Complex Pakala  ,  , Andhra Pradesh  , PAKALA , 517112</v>
          </cell>
          <cell r="Y557">
            <v>45167</v>
          </cell>
          <cell r="Z557" t="str">
            <v>NA</v>
          </cell>
          <cell r="AB557" t="str">
            <v>NA</v>
          </cell>
          <cell r="AF557" t="str">
            <v>NA</v>
          </cell>
          <cell r="AK557">
            <v>45162</v>
          </cell>
          <cell r="AL557" t="str">
            <v>Received</v>
          </cell>
          <cell r="AO557">
            <v>3</v>
          </cell>
          <cell r="AS557">
            <v>-3</v>
          </cell>
          <cell r="AU557">
            <v>4</v>
          </cell>
          <cell r="AY557">
            <v>-4</v>
          </cell>
          <cell r="BA557">
            <v>5</v>
          </cell>
          <cell r="BE557">
            <v>-5</v>
          </cell>
          <cell r="BG557">
            <v>5</v>
          </cell>
          <cell r="BK557">
            <v>-5</v>
          </cell>
          <cell r="BM557">
            <v>3</v>
          </cell>
          <cell r="BP557">
            <v>3</v>
          </cell>
          <cell r="BW557" t="str">
            <v>Done</v>
          </cell>
          <cell r="BX557">
            <v>45079</v>
          </cell>
          <cell r="BY557" t="str">
            <v>Approved</v>
          </cell>
          <cell r="CD557">
            <v>45163</v>
          </cell>
          <cell r="CE557">
            <v>45173</v>
          </cell>
          <cell r="CG557" t="str">
            <v xml:space="preserve"> 
M/s Indian Computer Company
</v>
          </cell>
          <cell r="DG557" t="str">
            <v>Netmed SDP - Not in Dead Rental</v>
          </cell>
          <cell r="DL557">
            <v>45201</v>
          </cell>
          <cell r="DM557" t="str">
            <v>NA</v>
          </cell>
          <cell r="DN557" t="str">
            <v>NA</v>
          </cell>
          <cell r="DR557">
            <v>7</v>
          </cell>
          <cell r="DS557">
            <v>7</v>
          </cell>
          <cell r="DU557">
            <v>7</v>
          </cell>
          <cell r="DV557">
            <v>7</v>
          </cell>
          <cell r="DW557">
            <v>7</v>
          </cell>
          <cell r="EA557" t="str">
            <v/>
          </cell>
          <cell r="ED557" t="str">
            <v/>
          </cell>
          <cell r="EE557" t="str">
            <v/>
          </cell>
          <cell r="EF557">
            <v>1</v>
          </cell>
          <cell r="FD557">
            <v>46114</v>
          </cell>
          <cell r="FF557">
            <v>46114</v>
          </cell>
          <cell r="FJ557" t="str">
            <v>NA</v>
          </cell>
          <cell r="FM557" t="str">
            <v/>
          </cell>
          <cell r="GG557" t="str">
            <v>2026-2027</v>
          </cell>
        </row>
        <row r="558">
          <cell r="E558" t="str">
            <v>Sanafa Complex Building No Xi 490 507  , Po Palakkad , Mannarkad Main Road Mannarkad  , MANNARKAD-I , 678582</v>
          </cell>
          <cell r="F558" t="str">
            <v>14. Dropped</v>
          </cell>
          <cell r="G558" t="str">
            <v>SPKLMAS3922</v>
          </cell>
          <cell r="H558" t="str">
            <v>KE-SM-MNK-3002</v>
          </cell>
          <cell r="I558" t="str">
            <v>TYGH</v>
          </cell>
          <cell r="J558" t="str">
            <v>QBMJ</v>
          </cell>
          <cell r="K558" t="str">
            <v>S</v>
          </cell>
          <cell r="L558" t="str">
            <v>AK</v>
          </cell>
          <cell r="M558" t="str">
            <v>Dropped</v>
          </cell>
          <cell r="N558" t="str">
            <v>N Kalyankumar</v>
          </cell>
          <cell r="O558" t="str">
            <v>Jose Loviece</v>
          </cell>
          <cell r="Q558" t="str">
            <v>Gaurav Shinde</v>
          </cell>
          <cell r="S558" t="str">
            <v>Kerala</v>
          </cell>
          <cell r="T558" t="str">
            <v>Palakkad</v>
          </cell>
          <cell r="U558" t="str">
            <v>Non Premium</v>
          </cell>
          <cell r="V558" t="str">
            <v>Pharma Format</v>
          </cell>
          <cell r="W558">
            <v>396</v>
          </cell>
          <cell r="X558" t="str">
            <v>Sanafa Complex Building No Xi 490 507  , Po Palakkad , Mannarkad Main Road Mannarkad  , MANNARKAD-I , 678582</v>
          </cell>
          <cell r="Y558">
            <v>45166</v>
          </cell>
          <cell r="Z558" t="str">
            <v>NA</v>
          </cell>
          <cell r="AB558" t="str">
            <v>NA</v>
          </cell>
          <cell r="AF558" t="str">
            <v>NA</v>
          </cell>
          <cell r="AK558">
            <v>45169</v>
          </cell>
          <cell r="AL558" t="str">
            <v>Received</v>
          </cell>
          <cell r="AO558">
            <v>3</v>
          </cell>
          <cell r="AS558">
            <v>-3</v>
          </cell>
          <cell r="AU558">
            <v>4</v>
          </cell>
          <cell r="AY558">
            <v>-4</v>
          </cell>
          <cell r="BA558">
            <v>5</v>
          </cell>
          <cell r="BE558">
            <v>-5</v>
          </cell>
          <cell r="BG558">
            <v>5</v>
          </cell>
          <cell r="BK558">
            <v>-5</v>
          </cell>
          <cell r="BM558">
            <v>3</v>
          </cell>
          <cell r="BP558">
            <v>3</v>
          </cell>
          <cell r="BW558" t="str">
            <v>Done</v>
          </cell>
          <cell r="BX558">
            <v>45079</v>
          </cell>
          <cell r="BY558" t="str">
            <v>Approved</v>
          </cell>
          <cell r="CD558">
            <v>45163</v>
          </cell>
          <cell r="DG558" t="str">
            <v>Netmed SDP - Not in Dead Rental</v>
          </cell>
          <cell r="DM558" t="str">
            <v>NA</v>
          </cell>
          <cell r="DN558" t="str">
            <v>NA</v>
          </cell>
          <cell r="DR558">
            <v>7</v>
          </cell>
          <cell r="DS558">
            <v>7</v>
          </cell>
          <cell r="DU558">
            <v>7</v>
          </cell>
          <cell r="DV558">
            <v>7</v>
          </cell>
          <cell r="DW558">
            <v>7</v>
          </cell>
          <cell r="EA558" t="str">
            <v/>
          </cell>
          <cell r="ED558" t="str">
            <v/>
          </cell>
          <cell r="EE558" t="str">
            <v/>
          </cell>
          <cell r="EF558">
            <v>1</v>
          </cell>
          <cell r="FD558">
            <v>46114</v>
          </cell>
          <cell r="FF558">
            <v>46114</v>
          </cell>
          <cell r="FJ558" t="str">
            <v>NA</v>
          </cell>
          <cell r="FM558" t="str">
            <v/>
          </cell>
          <cell r="GG558" t="str">
            <v>2024-2025</v>
          </cell>
        </row>
        <row r="559">
          <cell r="E559" t="str">
            <v>Kunnummal Tower  , Pandikkad Po Pandikkad , Opposite Indian Oil Pump  , Pandikkad , 676521</v>
          </cell>
          <cell r="F559" t="str">
            <v>14. Dropped</v>
          </cell>
          <cell r="G559" t="str">
            <v>SPKLPAK3138</v>
          </cell>
          <cell r="H559" t="str">
            <v>KE-SM-PID-3000</v>
          </cell>
          <cell r="I559" t="str">
            <v>TZJV</v>
          </cell>
          <cell r="J559" t="str">
            <v>QC6B</v>
          </cell>
          <cell r="K559" t="str">
            <v>S</v>
          </cell>
          <cell r="L559" t="str">
            <v>AK</v>
          </cell>
          <cell r="M559" t="str">
            <v>Dropped</v>
          </cell>
          <cell r="N559" t="str">
            <v>N Kalyankumar</v>
          </cell>
          <cell r="O559" t="str">
            <v>Jose Loviece</v>
          </cell>
          <cell r="Q559" t="str">
            <v>Gaurav Shinde</v>
          </cell>
          <cell r="S559" t="str">
            <v>Kerala</v>
          </cell>
          <cell r="T559" t="str">
            <v>PANDIKKAD</v>
          </cell>
          <cell r="U559" t="str">
            <v>Non Premium</v>
          </cell>
          <cell r="V559" t="str">
            <v>Pharma Format</v>
          </cell>
          <cell r="W559">
            <v>400</v>
          </cell>
          <cell r="X559" t="str">
            <v>Kunnummal Tower  , Pandikkad Po Pandikkad , Opposite Indian Oil Pump  , Pandikkad , 676521</v>
          </cell>
          <cell r="Z559" t="str">
            <v>NA</v>
          </cell>
          <cell r="AB559" t="str">
            <v>NA</v>
          </cell>
          <cell r="AF559" t="str">
            <v>NA</v>
          </cell>
          <cell r="AL559" t="str">
            <v>NA</v>
          </cell>
          <cell r="AO559">
            <v>3</v>
          </cell>
          <cell r="AS559">
            <v>-3</v>
          </cell>
          <cell r="AU559">
            <v>4</v>
          </cell>
          <cell r="AY559">
            <v>-4</v>
          </cell>
          <cell r="BA559">
            <v>5</v>
          </cell>
          <cell r="BE559">
            <v>-5</v>
          </cell>
          <cell r="BG559">
            <v>5</v>
          </cell>
          <cell r="BK559">
            <v>-5</v>
          </cell>
          <cell r="BM559">
            <v>3</v>
          </cell>
          <cell r="BP559">
            <v>3</v>
          </cell>
          <cell r="BW559" t="str">
            <v>Done</v>
          </cell>
          <cell r="BX559">
            <v>45079</v>
          </cell>
          <cell r="BY559" t="str">
            <v>Approved</v>
          </cell>
          <cell r="CD559">
            <v>45163</v>
          </cell>
          <cell r="DG559" t="str">
            <v>Netmed SDP - Not in Dead Rental</v>
          </cell>
          <cell r="DM559" t="str">
            <v>NA</v>
          </cell>
          <cell r="DN559" t="str">
            <v>NA</v>
          </cell>
          <cell r="DR559">
            <v>7</v>
          </cell>
          <cell r="DS559">
            <v>7</v>
          </cell>
          <cell r="DU559">
            <v>7</v>
          </cell>
          <cell r="DV559">
            <v>7</v>
          </cell>
          <cell r="DW559">
            <v>7</v>
          </cell>
          <cell r="EA559" t="str">
            <v/>
          </cell>
          <cell r="ED559" t="str">
            <v/>
          </cell>
          <cell r="EE559" t="str">
            <v/>
          </cell>
          <cell r="EF559">
            <v>1</v>
          </cell>
          <cell r="FD559">
            <v>46114</v>
          </cell>
          <cell r="FF559">
            <v>46114</v>
          </cell>
          <cell r="FJ559" t="str">
            <v>NA</v>
          </cell>
          <cell r="FM559" t="str">
            <v/>
          </cell>
          <cell r="GG559" t="str">
            <v>2024-2025</v>
          </cell>
        </row>
        <row r="560">
          <cell r="E560" t="str">
            <v>GF Panskura Municipality JL No 86 Mouza  , Khatian No1401 PS Block &amp; ADSRO Panskura , Balidangri LR Plot No 1381 &amp; 1383 LR  , Panskura , 721152</v>
          </cell>
          <cell r="F560" t="str">
            <v>9. EPC Ready</v>
          </cell>
          <cell r="G560" t="str">
            <v>SPWBPAB3375</v>
          </cell>
          <cell r="H560" t="str">
            <v>WB-SM-PAN-3000</v>
          </cell>
          <cell r="I560" t="str">
            <v>TYIG</v>
          </cell>
          <cell r="J560" t="str">
            <v>QBOF</v>
          </cell>
          <cell r="K560" t="str">
            <v xml:space="preserve">E </v>
          </cell>
          <cell r="L560" t="str">
            <v>SD</v>
          </cell>
          <cell r="M560" t="str">
            <v>EPC Ready</v>
          </cell>
          <cell r="N560" t="str">
            <v>Mahendrakumar Warma</v>
          </cell>
          <cell r="O560" t="str">
            <v xml:space="preserve">Sandeepta Gayen </v>
          </cell>
          <cell r="Q560" t="str">
            <v>Gaurav Shinde</v>
          </cell>
          <cell r="S560" t="str">
            <v>West Bengal</v>
          </cell>
          <cell r="T560" t="str">
            <v>Panskura</v>
          </cell>
          <cell r="U560" t="str">
            <v>Non Premium</v>
          </cell>
          <cell r="V560" t="str">
            <v>Pharma Format</v>
          </cell>
          <cell r="W560">
            <v>400</v>
          </cell>
          <cell r="X560" t="str">
            <v>GF Panskura Municipality JL No 86 Mouza  , Khatian No1401 PS Block &amp; ADSRO Panskura , Balidangri LR Plot No 1381 &amp; 1383 LR  , Panskura , 721152</v>
          </cell>
          <cell r="Y560">
            <v>45166</v>
          </cell>
          <cell r="Z560" t="str">
            <v>NA</v>
          </cell>
          <cell r="AB560" t="str">
            <v>NA</v>
          </cell>
          <cell r="AF560" t="str">
            <v>NA</v>
          </cell>
          <cell r="AK560">
            <v>45208</v>
          </cell>
          <cell r="AL560" t="str">
            <v>Received</v>
          </cell>
          <cell r="AO560">
            <v>3</v>
          </cell>
          <cell r="AS560">
            <v>-3</v>
          </cell>
          <cell r="AU560">
            <v>4</v>
          </cell>
          <cell r="AY560">
            <v>-4</v>
          </cell>
          <cell r="BA560">
            <v>5</v>
          </cell>
          <cell r="BE560">
            <v>-5</v>
          </cell>
          <cell r="BG560">
            <v>5</v>
          </cell>
          <cell r="BK560">
            <v>-5</v>
          </cell>
          <cell r="BM560">
            <v>3</v>
          </cell>
          <cell r="BP560">
            <v>3</v>
          </cell>
          <cell r="BW560" t="str">
            <v>Done</v>
          </cell>
          <cell r="BX560">
            <v>45079</v>
          </cell>
          <cell r="BY560" t="str">
            <v>Approved</v>
          </cell>
          <cell r="CD560">
            <v>45163</v>
          </cell>
          <cell r="CE560">
            <v>45196</v>
          </cell>
          <cell r="CG560" t="str">
            <v>M/s. ELECTROLEC ENTERPRISE</v>
          </cell>
          <cell r="CI560" t="str">
            <v>Issued</v>
          </cell>
          <cell r="DG560" t="str">
            <v>Netmed SDP - Not in Dead Rental</v>
          </cell>
          <cell r="DK560">
            <v>45231</v>
          </cell>
          <cell r="DM560">
            <v>2</v>
          </cell>
          <cell r="DN560" t="str">
            <v>0 to 3 Days</v>
          </cell>
          <cell r="DP560">
            <v>45199</v>
          </cell>
          <cell r="DQ560">
            <v>45233</v>
          </cell>
          <cell r="DR560">
            <v>7</v>
          </cell>
          <cell r="DS560">
            <v>7</v>
          </cell>
          <cell r="DU560">
            <v>45240</v>
          </cell>
          <cell r="DV560">
            <v>45206</v>
          </cell>
          <cell r="DW560">
            <v>45240</v>
          </cell>
          <cell r="DX560" t="str">
            <v>Nov 23 Week 2</v>
          </cell>
          <cell r="DZ560">
            <v>45240</v>
          </cell>
          <cell r="EA560" t="str">
            <v>Nov 23 Week 2</v>
          </cell>
          <cell r="EB560" t="str">
            <v>Plan</v>
          </cell>
          <cell r="ED560" t="str">
            <v/>
          </cell>
          <cell r="EE560" t="str">
            <v/>
          </cell>
          <cell r="EF560">
            <v>1</v>
          </cell>
          <cell r="EG560">
            <v>1</v>
          </cell>
          <cell r="FD560">
            <v>0</v>
          </cell>
          <cell r="FE560" t="str">
            <v>On Time</v>
          </cell>
          <cell r="FF560">
            <v>34</v>
          </cell>
          <cell r="FG560" t="str">
            <v>31 to 61 Days</v>
          </cell>
          <cell r="FH560" t="str">
            <v>Done</v>
          </cell>
          <cell r="FI560" t="str">
            <v>Done</v>
          </cell>
          <cell r="FJ560" t="str">
            <v>NA</v>
          </cell>
          <cell r="FK560">
            <v>45240</v>
          </cell>
          <cell r="FM560" t="str">
            <v/>
          </cell>
          <cell r="GA560">
            <v>45240</v>
          </cell>
          <cell r="GC560">
            <v>45225</v>
          </cell>
          <cell r="GG560" t="str">
            <v>2023-2024</v>
          </cell>
        </row>
        <row r="561">
          <cell r="E561" t="str">
            <v>Old Sbi Building Keshab Nagar Lanjipalli  , Ganjam , Main Road Near Sbi Berhampur Ganjam  , BRAHMAPUR , 761200</v>
          </cell>
          <cell r="F561" t="str">
            <v>9. EPC Ready</v>
          </cell>
          <cell r="G561" t="str">
            <v>SPORPAO4280</v>
          </cell>
          <cell r="H561" t="str">
            <v>OR-SM-PAR-3000</v>
          </cell>
          <cell r="I561" t="str">
            <v>TYJX</v>
          </cell>
          <cell r="J561" t="str">
            <v>QBQF</v>
          </cell>
          <cell r="K561" t="str">
            <v xml:space="preserve">E </v>
          </cell>
          <cell r="L561" t="str">
            <v>JD</v>
          </cell>
          <cell r="M561" t="str">
            <v>EPC Ready</v>
          </cell>
          <cell r="N561" t="str">
            <v>Jaisingh Desai</v>
          </cell>
          <cell r="P561" t="str">
            <v>Sanjay Ghosh-6302403813</v>
          </cell>
          <cell r="Q561" t="str">
            <v>Gaurav Shinde</v>
          </cell>
          <cell r="S561" t="str">
            <v>ODISHA</v>
          </cell>
          <cell r="T561" t="str">
            <v>Parlakhemundi</v>
          </cell>
          <cell r="U561" t="str">
            <v>Non Premium</v>
          </cell>
          <cell r="V561" t="str">
            <v>Pharma Format</v>
          </cell>
          <cell r="W561">
            <v>400</v>
          </cell>
          <cell r="X561" t="str">
            <v>Old Sbi Building Keshab Nagar Lanjipalli  , Ganjam , Main Road Near Sbi Berhampur Ganjam  , BRAHMAPUR , 761200</v>
          </cell>
          <cell r="Y561">
            <v>45159</v>
          </cell>
          <cell r="Z561" t="str">
            <v>NA</v>
          </cell>
          <cell r="AB561" t="str">
            <v>NA</v>
          </cell>
          <cell r="AF561" t="str">
            <v>NA</v>
          </cell>
          <cell r="AK561">
            <v>45182</v>
          </cell>
          <cell r="AL561" t="str">
            <v>Received</v>
          </cell>
          <cell r="AO561">
            <v>3</v>
          </cell>
          <cell r="AS561">
            <v>-3</v>
          </cell>
          <cell r="AU561">
            <v>4</v>
          </cell>
          <cell r="AY561">
            <v>-4</v>
          </cell>
          <cell r="BA561">
            <v>5</v>
          </cell>
          <cell r="BE561">
            <v>-5</v>
          </cell>
          <cell r="BG561">
            <v>5</v>
          </cell>
          <cell r="BK561">
            <v>-5</v>
          </cell>
          <cell r="BM561">
            <v>3</v>
          </cell>
          <cell r="BP561">
            <v>3</v>
          </cell>
          <cell r="BW561" t="str">
            <v>Done</v>
          </cell>
          <cell r="BX561">
            <v>45079</v>
          </cell>
          <cell r="BY561" t="str">
            <v>Approved</v>
          </cell>
          <cell r="CD561">
            <v>45162</v>
          </cell>
          <cell r="CE561">
            <v>45168</v>
          </cell>
          <cell r="CG561" t="str">
            <v>M/s Radient Civiletric Pvt Ltd</v>
          </cell>
          <cell r="CI561" t="str">
            <v>Issued</v>
          </cell>
          <cell r="DG561" t="str">
            <v>Netmed SDP - Not in Dead Rental</v>
          </cell>
          <cell r="DK561">
            <v>45187</v>
          </cell>
          <cell r="DM561">
            <v>2</v>
          </cell>
          <cell r="DN561" t="str">
            <v>0 to 3 Days</v>
          </cell>
          <cell r="DP561">
            <v>45171</v>
          </cell>
          <cell r="DQ561">
            <v>45189</v>
          </cell>
          <cell r="DR561">
            <v>7</v>
          </cell>
          <cell r="DS561">
            <v>7</v>
          </cell>
          <cell r="DU561">
            <v>45196</v>
          </cell>
          <cell r="DV561">
            <v>45178</v>
          </cell>
          <cell r="DW561">
            <v>45196</v>
          </cell>
          <cell r="DX561" t="str">
            <v>Sep 23 Week 4</v>
          </cell>
          <cell r="DZ561">
            <v>45203</v>
          </cell>
          <cell r="EA561" t="str">
            <v>Oct 23 Week 1</v>
          </cell>
          <cell r="EB561" t="str">
            <v>Backlog</v>
          </cell>
          <cell r="ED561" t="str">
            <v/>
          </cell>
          <cell r="EE561" t="str">
            <v/>
          </cell>
          <cell r="EF561">
            <v>1</v>
          </cell>
          <cell r="EG561">
            <v>1</v>
          </cell>
          <cell r="FD561">
            <v>7</v>
          </cell>
          <cell r="FE561" t="str">
            <v>4 to 7 Days</v>
          </cell>
          <cell r="FF561">
            <v>25</v>
          </cell>
          <cell r="FG561" t="str">
            <v>16 to 31 Days</v>
          </cell>
          <cell r="FH561" t="str">
            <v>Done</v>
          </cell>
          <cell r="FI561" t="str">
            <v>Done</v>
          </cell>
          <cell r="FJ561" t="str">
            <v>NA</v>
          </cell>
          <cell r="FK561">
            <v>45204</v>
          </cell>
          <cell r="FM561" t="str">
            <v/>
          </cell>
          <cell r="GA561" t="str">
            <v>04-10-2023
27-11-2023</v>
          </cell>
          <cell r="GC561">
            <v>45189</v>
          </cell>
          <cell r="GG561" t="str">
            <v>2023-2024</v>
          </cell>
        </row>
        <row r="562">
          <cell r="E562" t="str">
            <v>Opp South Indian Bank Pullad Road  , Pathanamthitta District 689544 , Vennikkulam Junction Vennikulam Po  , PATHANAMTHITTA , 689544</v>
          </cell>
          <cell r="F562" t="str">
            <v>9. EPC Ready</v>
          </cell>
          <cell r="G562" t="str">
            <v>SPKLPAV3146</v>
          </cell>
          <cell r="H562" t="str">
            <v>KE-SM-PAT-3000</v>
          </cell>
          <cell r="I562" t="str">
            <v>TX2R</v>
          </cell>
          <cell r="J562" t="str">
            <v>Q9X5</v>
          </cell>
          <cell r="K562" t="str">
            <v>S</v>
          </cell>
          <cell r="L562" t="str">
            <v>AK</v>
          </cell>
          <cell r="M562" t="str">
            <v>EPC Ready</v>
          </cell>
          <cell r="N562" t="str">
            <v>N Kalyankumar</v>
          </cell>
          <cell r="O562" t="str">
            <v>Jose Loviece</v>
          </cell>
          <cell r="P562" t="str">
            <v>Jose Loviese-6361753673</v>
          </cell>
          <cell r="Q562" t="str">
            <v>Gaurav Shinde</v>
          </cell>
          <cell r="S562" t="str">
            <v>Kerala</v>
          </cell>
          <cell r="T562" t="str">
            <v>Pathanamthitta</v>
          </cell>
          <cell r="U562" t="str">
            <v>Non Premium</v>
          </cell>
          <cell r="V562" t="str">
            <v>Pharma Format</v>
          </cell>
          <cell r="W562">
            <v>400</v>
          </cell>
          <cell r="X562" t="str">
            <v>Opp South Indian Bank Pullad Road  , Pathanamthitta District 689544 , Vennikkulam Junction Vennikulam Po  , PATHANAMTHITTA , 689544</v>
          </cell>
          <cell r="Y562">
            <v>45167</v>
          </cell>
          <cell r="Z562" t="str">
            <v>NA</v>
          </cell>
          <cell r="AB562" t="str">
            <v>NA</v>
          </cell>
          <cell r="AF562" t="str">
            <v>NA</v>
          </cell>
          <cell r="AK562">
            <v>45162</v>
          </cell>
          <cell r="AL562" t="str">
            <v>Received</v>
          </cell>
          <cell r="AO562">
            <v>3</v>
          </cell>
          <cell r="AS562">
            <v>-3</v>
          </cell>
          <cell r="AU562">
            <v>4</v>
          </cell>
          <cell r="AY562">
            <v>-4</v>
          </cell>
          <cell r="BA562">
            <v>5</v>
          </cell>
          <cell r="BE562">
            <v>-5</v>
          </cell>
          <cell r="BG562">
            <v>5</v>
          </cell>
          <cell r="BK562">
            <v>-5</v>
          </cell>
          <cell r="BM562">
            <v>3</v>
          </cell>
          <cell r="BP562">
            <v>3</v>
          </cell>
          <cell r="BW562" t="str">
            <v>Done</v>
          </cell>
          <cell r="BX562">
            <v>45079</v>
          </cell>
          <cell r="BY562" t="str">
            <v>Approved</v>
          </cell>
          <cell r="CD562">
            <v>45163</v>
          </cell>
          <cell r="CE562">
            <v>45194</v>
          </cell>
          <cell r="CG562" t="str">
            <v>M/s. Arselex Engineering</v>
          </cell>
          <cell r="CI562" t="str">
            <v>Issued</v>
          </cell>
          <cell r="DG562" t="str">
            <v>Netmed SDP - Not in Dead Rental</v>
          </cell>
          <cell r="DK562">
            <v>45203</v>
          </cell>
          <cell r="DL562">
            <v>45169</v>
          </cell>
          <cell r="DM562">
            <v>2</v>
          </cell>
          <cell r="DN562" t="str">
            <v>0 to 3 Days</v>
          </cell>
          <cell r="DP562">
            <v>45197</v>
          </cell>
          <cell r="DQ562">
            <v>45205</v>
          </cell>
          <cell r="DR562">
            <v>7</v>
          </cell>
          <cell r="DS562">
            <v>7</v>
          </cell>
          <cell r="DU562">
            <v>45212</v>
          </cell>
          <cell r="DV562">
            <v>45204</v>
          </cell>
          <cell r="DW562">
            <v>45212</v>
          </cell>
          <cell r="DX562" t="str">
            <v>Oct 23 Week 2</v>
          </cell>
          <cell r="DZ562">
            <v>45225</v>
          </cell>
          <cell r="EA562" t="str">
            <v>Oct 23 Week 4</v>
          </cell>
          <cell r="EB562" t="str">
            <v>Backlog</v>
          </cell>
          <cell r="ED562" t="str">
            <v/>
          </cell>
          <cell r="EE562" t="str">
            <v/>
          </cell>
          <cell r="EF562">
            <v>1</v>
          </cell>
          <cell r="EG562">
            <v>1</v>
          </cell>
          <cell r="FD562">
            <v>13</v>
          </cell>
          <cell r="FE562" t="str">
            <v>8 to 15 Days</v>
          </cell>
          <cell r="FF562">
            <v>21</v>
          </cell>
          <cell r="FG562" t="str">
            <v>16 to 31 Days</v>
          </cell>
          <cell r="FH562" t="str">
            <v>Done</v>
          </cell>
          <cell r="FI562" t="str">
            <v>Done</v>
          </cell>
          <cell r="FJ562" t="str">
            <v>NA</v>
          </cell>
          <cell r="FK562">
            <v>45339</v>
          </cell>
          <cell r="FM562" t="str">
            <v/>
          </cell>
          <cell r="GA562">
            <v>45225</v>
          </cell>
          <cell r="GC562">
            <v>45205</v>
          </cell>
          <cell r="GG562" t="str">
            <v>2023-2024</v>
          </cell>
        </row>
        <row r="563">
          <cell r="E563" t="str">
            <v>SP Pharma PKD Commercial Pathanamthitta</v>
          </cell>
          <cell r="F563" t="str">
            <v>9. EPC Ready</v>
          </cell>
          <cell r="G563" t="str">
            <v>SPKLPAP3271</v>
          </cell>
          <cell r="H563" t="str">
            <v>KE-SM-PAT-3004</v>
          </cell>
          <cell r="I563" t="str">
            <v>TX2S</v>
          </cell>
          <cell r="J563" t="str">
            <v>Q9X6</v>
          </cell>
          <cell r="K563" t="str">
            <v>S</v>
          </cell>
          <cell r="L563" t="str">
            <v>AK</v>
          </cell>
          <cell r="M563" t="str">
            <v>EPC Ready</v>
          </cell>
          <cell r="N563" t="str">
            <v>N Kalyankumar</v>
          </cell>
          <cell r="O563" t="str">
            <v>Jose Loviece</v>
          </cell>
          <cell r="P563" t="str">
            <v>Jose Loviese-6361753673</v>
          </cell>
          <cell r="Q563" t="str">
            <v>Gaurav Shinde</v>
          </cell>
          <cell r="S563" t="str">
            <v>Kerala</v>
          </cell>
          <cell r="T563" t="str">
            <v>Pathanamthitta</v>
          </cell>
          <cell r="U563" t="str">
            <v>Non Premium</v>
          </cell>
          <cell r="V563" t="str">
            <v>Pharma Format</v>
          </cell>
          <cell r="W563">
            <v>400</v>
          </cell>
          <cell r="X563" t="str">
            <v>SP Pharma PKD Commercial Pathanamthitta</v>
          </cell>
          <cell r="Y563">
            <v>45167</v>
          </cell>
          <cell r="Z563" t="str">
            <v>NA</v>
          </cell>
          <cell r="AB563" t="str">
            <v>NA</v>
          </cell>
          <cell r="AF563" t="str">
            <v>NA</v>
          </cell>
          <cell r="AK563">
            <v>45162</v>
          </cell>
          <cell r="AL563" t="str">
            <v>Received</v>
          </cell>
          <cell r="AO563">
            <v>3</v>
          </cell>
          <cell r="AS563">
            <v>-3</v>
          </cell>
          <cell r="AU563">
            <v>4</v>
          </cell>
          <cell r="AY563">
            <v>-4</v>
          </cell>
          <cell r="BA563">
            <v>5</v>
          </cell>
          <cell r="BE563">
            <v>-5</v>
          </cell>
          <cell r="BG563">
            <v>5</v>
          </cell>
          <cell r="BK563">
            <v>-5</v>
          </cell>
          <cell r="BM563">
            <v>3</v>
          </cell>
          <cell r="BP563">
            <v>3</v>
          </cell>
          <cell r="BW563" t="str">
            <v>Done</v>
          </cell>
          <cell r="BX563">
            <v>45079</v>
          </cell>
          <cell r="BY563" t="str">
            <v>Approved</v>
          </cell>
          <cell r="CD563">
            <v>45163</v>
          </cell>
          <cell r="CE563">
            <v>45194</v>
          </cell>
          <cell r="CG563" t="str">
            <v>M/s. Arselex Engineering</v>
          </cell>
          <cell r="CI563" t="str">
            <v>Issued</v>
          </cell>
          <cell r="DG563" t="str">
            <v>Netmed SDP - Not in Dead Rental</v>
          </cell>
          <cell r="DK563">
            <v>45203</v>
          </cell>
          <cell r="DL563">
            <v>45168</v>
          </cell>
          <cell r="DM563">
            <v>2</v>
          </cell>
          <cell r="DN563" t="str">
            <v>0 to 3 Days</v>
          </cell>
          <cell r="DP563">
            <v>45197</v>
          </cell>
          <cell r="DQ563">
            <v>45205</v>
          </cell>
          <cell r="DR563">
            <v>7</v>
          </cell>
          <cell r="DS563">
            <v>7</v>
          </cell>
          <cell r="DU563">
            <v>45212</v>
          </cell>
          <cell r="DV563">
            <v>45204</v>
          </cell>
          <cell r="DW563">
            <v>45212</v>
          </cell>
          <cell r="DX563" t="str">
            <v>Oct 23 Week 2</v>
          </cell>
          <cell r="DZ563">
            <v>45237</v>
          </cell>
          <cell r="EA563" t="str">
            <v>Nov 23 Week 1</v>
          </cell>
          <cell r="EB563" t="str">
            <v>Backlog</v>
          </cell>
          <cell r="ED563" t="str">
            <v/>
          </cell>
          <cell r="EE563" t="str">
            <v/>
          </cell>
          <cell r="EF563">
            <v>1</v>
          </cell>
          <cell r="EG563">
            <v>1</v>
          </cell>
          <cell r="FD563">
            <v>25</v>
          </cell>
          <cell r="FE563" t="str">
            <v>16 to 31 Days</v>
          </cell>
          <cell r="FF563">
            <v>33</v>
          </cell>
          <cell r="FG563" t="str">
            <v>31 to 61 Days</v>
          </cell>
          <cell r="FH563" t="str">
            <v>Done</v>
          </cell>
          <cell r="FI563" t="str">
            <v>Done</v>
          </cell>
          <cell r="FJ563" t="str">
            <v>NA</v>
          </cell>
          <cell r="FK563">
            <v>45325</v>
          </cell>
          <cell r="FM563" t="str">
            <v/>
          </cell>
          <cell r="GA563">
            <v>45238</v>
          </cell>
          <cell r="GC563">
            <v>45205</v>
          </cell>
          <cell r="GG563" t="str">
            <v>2023-2024</v>
          </cell>
        </row>
        <row r="564">
          <cell r="E564" t="str">
            <v>Sco No 8 14 15 Near Lic Office Saili  , Pathankot , Road Near Income Tax Office  , PATHANKOT , 145001</v>
          </cell>
          <cell r="F564" t="str">
            <v>9. EPC Ready</v>
          </cell>
          <cell r="G564" t="str">
            <v>SPPBPAP3774</v>
          </cell>
          <cell r="H564" t="str">
            <v>PB-SM-PAH-3003</v>
          </cell>
          <cell r="I564" t="str">
            <v>TYWB</v>
          </cell>
          <cell r="J564" t="str">
            <v>QB4F</v>
          </cell>
          <cell r="K564" t="str">
            <v xml:space="preserve">N </v>
          </cell>
          <cell r="L564" t="str">
            <v>KC</v>
          </cell>
          <cell r="M564" t="str">
            <v>EPC Ready</v>
          </cell>
          <cell r="P564" t="str">
            <v>Yogesh Kapoor-7888699608</v>
          </cell>
          <cell r="Q564" t="str">
            <v>Gaurav Shinde</v>
          </cell>
          <cell r="S564" t="str">
            <v>Punjab</v>
          </cell>
          <cell r="T564" t="str">
            <v>Pathankot</v>
          </cell>
          <cell r="U564" t="str">
            <v>Non Premium</v>
          </cell>
          <cell r="V564" t="str">
            <v>Pharma Format</v>
          </cell>
          <cell r="W564">
            <v>412</v>
          </cell>
          <cell r="X564" t="str">
            <v>Sco No 8 14 15 Near Lic Office Saili  , Pathankot , Road Near Income Tax Office  , PATHANKOT , 145001</v>
          </cell>
          <cell r="Y564">
            <v>45163</v>
          </cell>
          <cell r="Z564" t="str">
            <v>NA</v>
          </cell>
          <cell r="AB564" t="str">
            <v>NA</v>
          </cell>
          <cell r="AF564" t="str">
            <v>NA</v>
          </cell>
          <cell r="AK564">
            <v>45153</v>
          </cell>
          <cell r="AL564" t="str">
            <v>Received</v>
          </cell>
          <cell r="AO564">
            <v>3</v>
          </cell>
          <cell r="AS564">
            <v>-3</v>
          </cell>
          <cell r="AU564">
            <v>4</v>
          </cell>
          <cell r="AY564">
            <v>-4</v>
          </cell>
          <cell r="BA564">
            <v>5</v>
          </cell>
          <cell r="BE564">
            <v>-5</v>
          </cell>
          <cell r="BG564">
            <v>5</v>
          </cell>
          <cell r="BK564">
            <v>-5</v>
          </cell>
          <cell r="BM564">
            <v>3</v>
          </cell>
          <cell r="BP564">
            <v>3</v>
          </cell>
          <cell r="BW564" t="str">
            <v>Done</v>
          </cell>
          <cell r="BX564">
            <v>45079</v>
          </cell>
          <cell r="BY564" t="str">
            <v>Approved</v>
          </cell>
          <cell r="CD564">
            <v>45161</v>
          </cell>
          <cell r="CE564">
            <v>45184</v>
          </cell>
          <cell r="CG564" t="str">
            <v xml:space="preserve">M/s     PREFER RACK ENGINEERS </v>
          </cell>
          <cell r="CI564" t="str">
            <v>Issued</v>
          </cell>
          <cell r="DG564" t="str">
            <v>Netmed SDP - Not in Dead Rental</v>
          </cell>
          <cell r="DK564">
            <v>45215</v>
          </cell>
          <cell r="DL564">
            <v>45166</v>
          </cell>
          <cell r="DM564">
            <v>2</v>
          </cell>
          <cell r="DN564" t="str">
            <v>0 to 3 Days</v>
          </cell>
          <cell r="DP564">
            <v>45187</v>
          </cell>
          <cell r="DQ564">
            <v>45217</v>
          </cell>
          <cell r="DR564">
            <v>7</v>
          </cell>
          <cell r="DS564">
            <v>7</v>
          </cell>
          <cell r="DU564">
            <v>45224</v>
          </cell>
          <cell r="DV564">
            <v>45194</v>
          </cell>
          <cell r="DW564">
            <v>45224</v>
          </cell>
          <cell r="DX564" t="str">
            <v>Oct 23 Week 4</v>
          </cell>
          <cell r="DZ564">
            <v>45232</v>
          </cell>
          <cell r="EA564" t="str">
            <v>Nov 23 Week 1</v>
          </cell>
          <cell r="EB564" t="str">
            <v>Backlog</v>
          </cell>
          <cell r="ED564" t="str">
            <v/>
          </cell>
          <cell r="EE564" t="str">
            <v/>
          </cell>
          <cell r="EF564">
            <v>1</v>
          </cell>
          <cell r="EG564">
            <v>1</v>
          </cell>
          <cell r="FD564">
            <v>8</v>
          </cell>
          <cell r="FE564" t="str">
            <v>8 to 15 Days</v>
          </cell>
          <cell r="FF564">
            <v>38</v>
          </cell>
          <cell r="FG564" t="str">
            <v>31 to 61 Days</v>
          </cell>
          <cell r="FH564" t="str">
            <v>Done</v>
          </cell>
          <cell r="FI564" t="str">
            <v>Done</v>
          </cell>
          <cell r="FJ564" t="str">
            <v>NA</v>
          </cell>
          <cell r="FK564">
            <v>45282</v>
          </cell>
          <cell r="FM564" t="str">
            <v/>
          </cell>
          <cell r="GA564" t="str">
            <v>Dropped</v>
          </cell>
          <cell r="GC564">
            <v>45217</v>
          </cell>
          <cell r="GG564" t="str">
            <v>2023-2024</v>
          </cell>
        </row>
        <row r="565">
          <cell r="E565" t="str">
            <v>GF, Kamla Kishori Market, Bilozpura  , Khata No 110/20/26, Revenue Thana No 17 , Plot No 2433/2434/2435/318 , Sadikpur, PS - Alamganj, Dist - Patna , PATNA , 800007</v>
          </cell>
          <cell r="F565" t="str">
            <v>9. EPC Ready</v>
          </cell>
          <cell r="G565" t="str">
            <v>SPBHPAS4293</v>
          </cell>
          <cell r="H565" t="str">
            <v>BH-SM-PAT-3016</v>
          </cell>
          <cell r="I565" t="str">
            <v>T0K9</v>
          </cell>
          <cell r="J565" t="str">
            <v>Q4EV</v>
          </cell>
          <cell r="K565" t="str">
            <v xml:space="preserve">E </v>
          </cell>
          <cell r="L565" t="str">
            <v>AK</v>
          </cell>
          <cell r="M565" t="str">
            <v>EPC Ready</v>
          </cell>
          <cell r="Q565" t="str">
            <v>Gaurav Shinde</v>
          </cell>
          <cell r="S565" t="str">
            <v>Bihar</v>
          </cell>
          <cell r="T565" t="str">
            <v>Patna</v>
          </cell>
          <cell r="U565" t="str">
            <v>Non Premium</v>
          </cell>
          <cell r="V565" t="str">
            <v>Pharma Format</v>
          </cell>
          <cell r="W565">
            <v>435</v>
          </cell>
          <cell r="X565" t="str">
            <v>GF, Kamla Kishori Market, Bilozpura  , Khata No 110/20/26, Revenue Thana No 17 , Plot No 2433/2434/2435/318 , Sadikpur, PS - Alamganj, Dist - Patna , PATNA , 800007</v>
          </cell>
          <cell r="Y565">
            <v>45163</v>
          </cell>
          <cell r="Z565" t="str">
            <v>NA</v>
          </cell>
          <cell r="AB565" t="str">
            <v>NA</v>
          </cell>
          <cell r="AF565" t="str">
            <v>NA</v>
          </cell>
          <cell r="AK565">
            <v>45184</v>
          </cell>
          <cell r="AL565" t="str">
            <v>Received</v>
          </cell>
          <cell r="AO565">
            <v>3</v>
          </cell>
          <cell r="AS565">
            <v>-3</v>
          </cell>
          <cell r="AU565">
            <v>4</v>
          </cell>
          <cell r="AY565">
            <v>-4</v>
          </cell>
          <cell r="BA565">
            <v>5</v>
          </cell>
          <cell r="BE565">
            <v>-5</v>
          </cell>
          <cell r="BG565">
            <v>5</v>
          </cell>
          <cell r="BK565">
            <v>-5</v>
          </cell>
          <cell r="BM565">
            <v>3</v>
          </cell>
          <cell r="BP565">
            <v>3</v>
          </cell>
          <cell r="BW565" t="str">
            <v>Done</v>
          </cell>
          <cell r="BX565">
            <v>45079</v>
          </cell>
          <cell r="BY565" t="str">
            <v>Approved</v>
          </cell>
          <cell r="CD565">
            <v>45103</v>
          </cell>
          <cell r="CE565">
            <v>45113</v>
          </cell>
          <cell r="CG565" t="str">
            <v>M/S Rahul Kumar</v>
          </cell>
          <cell r="CI565" t="str">
            <v>Issued</v>
          </cell>
          <cell r="DG565" t="str">
            <v>Netmed SDP - Not in Dead Rental</v>
          </cell>
          <cell r="DK565">
            <v>45260</v>
          </cell>
          <cell r="DM565">
            <v>2</v>
          </cell>
          <cell r="DN565" t="str">
            <v>0 to 3 Days</v>
          </cell>
          <cell r="DP565">
            <v>45116</v>
          </cell>
          <cell r="DQ565">
            <v>45262</v>
          </cell>
          <cell r="DR565">
            <v>7</v>
          </cell>
          <cell r="DS565">
            <v>7</v>
          </cell>
          <cell r="DU565">
            <v>45269</v>
          </cell>
          <cell r="DV565">
            <v>45123</v>
          </cell>
          <cell r="DW565">
            <v>45269</v>
          </cell>
          <cell r="DX565" t="str">
            <v>Dec 23 Week 2</v>
          </cell>
          <cell r="DZ565">
            <v>45267</v>
          </cell>
          <cell r="EA565" t="str">
            <v>Dec 23 Week 1</v>
          </cell>
          <cell r="EB565" t="str">
            <v>Plan</v>
          </cell>
          <cell r="ED565" t="str">
            <v/>
          </cell>
          <cell r="EE565" t="str">
            <v/>
          </cell>
          <cell r="EF565">
            <v>1</v>
          </cell>
          <cell r="EG565">
            <v>1</v>
          </cell>
          <cell r="FD565">
            <v>-2</v>
          </cell>
          <cell r="FE565" t="str">
            <v>On Time</v>
          </cell>
          <cell r="FF565">
            <v>144</v>
          </cell>
          <cell r="FG565" t="str">
            <v>More Than 90  Days</v>
          </cell>
          <cell r="FH565" t="str">
            <v>Done</v>
          </cell>
          <cell r="FI565" t="str">
            <v>Done</v>
          </cell>
          <cell r="FJ565" t="str">
            <v>NA</v>
          </cell>
          <cell r="FK565">
            <v>45275</v>
          </cell>
          <cell r="FM565" t="str">
            <v/>
          </cell>
          <cell r="GC565">
            <v>45234</v>
          </cell>
          <cell r="GG565" t="str">
            <v>2023-2024</v>
          </cell>
        </row>
        <row r="566">
          <cell r="E566" t="str">
            <v>GF Manoram Niwas Plot No 323 324 Khata  , Gaya , No 121 Revenue Thana No 301 Village , Jaynandan Bigha PS Tekari Dist Gaya , TIKARI , 824236</v>
          </cell>
          <cell r="F566" t="str">
            <v>9. EPC Ready</v>
          </cell>
          <cell r="G566" t="str">
            <v>SPBHTEI4205</v>
          </cell>
          <cell r="H566" t="str">
            <v>BH-SM-TIK-3000</v>
          </cell>
          <cell r="I566" t="str">
            <v>TZYA</v>
          </cell>
          <cell r="J566" t="str">
            <v>QDPA</v>
          </cell>
          <cell r="K566" t="str">
            <v xml:space="preserve">E </v>
          </cell>
          <cell r="L566" t="str">
            <v>AK</v>
          </cell>
          <cell r="M566" t="str">
            <v>EPC Ready</v>
          </cell>
          <cell r="P566" t="str">
            <v>Mr. Jitendra Kumar-6201750698</v>
          </cell>
          <cell r="Q566" t="str">
            <v>Gaurav Shinde</v>
          </cell>
          <cell r="S566" t="str">
            <v>Bihar</v>
          </cell>
          <cell r="T566" t="str">
            <v>Patna</v>
          </cell>
          <cell r="U566" t="str">
            <v>Non Premium</v>
          </cell>
          <cell r="V566" t="str">
            <v>Pharma Format</v>
          </cell>
          <cell r="W566">
            <v>400</v>
          </cell>
          <cell r="X566" t="str">
            <v>GF Manoram Niwas Plot No 323 324 Khata  , Gaya , No 121 Revenue Thana No 301 Village , Jaynandan Bigha PS Tekari Dist Gaya , TIKARI , 824236</v>
          </cell>
          <cell r="Y566">
            <v>45159</v>
          </cell>
          <cell r="Z566" t="str">
            <v>NA</v>
          </cell>
          <cell r="AB566" t="str">
            <v>NA</v>
          </cell>
          <cell r="AF566" t="str">
            <v>NA</v>
          </cell>
          <cell r="AK566">
            <v>45147</v>
          </cell>
          <cell r="AL566" t="str">
            <v>Received</v>
          </cell>
          <cell r="AO566">
            <v>3</v>
          </cell>
          <cell r="AS566">
            <v>-3</v>
          </cell>
          <cell r="AU566">
            <v>4</v>
          </cell>
          <cell r="AY566">
            <v>-4</v>
          </cell>
          <cell r="BA566">
            <v>5</v>
          </cell>
          <cell r="BE566">
            <v>-5</v>
          </cell>
          <cell r="BG566">
            <v>5</v>
          </cell>
          <cell r="BK566">
            <v>-5</v>
          </cell>
          <cell r="BM566">
            <v>3</v>
          </cell>
          <cell r="BP566">
            <v>3</v>
          </cell>
          <cell r="BW566" t="str">
            <v>Done</v>
          </cell>
          <cell r="BX566">
            <v>45079</v>
          </cell>
          <cell r="BY566" t="str">
            <v>Approved</v>
          </cell>
          <cell r="CD566">
            <v>45162</v>
          </cell>
          <cell r="CE566">
            <v>45175</v>
          </cell>
          <cell r="CG566" t="str">
            <v xml:space="preserve">M/S RECON </v>
          </cell>
          <cell r="CI566" t="str">
            <v>Issued</v>
          </cell>
          <cell r="DG566" t="str">
            <v>Netmed SDP - Not in Dead Rental</v>
          </cell>
          <cell r="DK566">
            <v>45192</v>
          </cell>
          <cell r="DL566">
            <v>45166</v>
          </cell>
          <cell r="DM566">
            <v>2</v>
          </cell>
          <cell r="DN566" t="str">
            <v>0 to 3 Days</v>
          </cell>
          <cell r="DP566">
            <v>45178</v>
          </cell>
          <cell r="DQ566">
            <v>45194</v>
          </cell>
          <cell r="DR566">
            <v>7</v>
          </cell>
          <cell r="DS566">
            <v>7</v>
          </cell>
          <cell r="DU566">
            <v>45201</v>
          </cell>
          <cell r="DV566">
            <v>45185</v>
          </cell>
          <cell r="DW566">
            <v>45201</v>
          </cell>
          <cell r="DX566" t="str">
            <v>Oct 23 Week 1</v>
          </cell>
          <cell r="DZ566">
            <v>45199</v>
          </cell>
          <cell r="EA566" t="str">
            <v>Sep 23 Week 5</v>
          </cell>
          <cell r="EB566" t="str">
            <v>Plan</v>
          </cell>
          <cell r="ED566" t="str">
            <v/>
          </cell>
          <cell r="EE566" t="str">
            <v/>
          </cell>
          <cell r="EF566">
            <v>1</v>
          </cell>
          <cell r="EG566">
            <v>1</v>
          </cell>
          <cell r="FD566">
            <v>-2</v>
          </cell>
          <cell r="FE566" t="str">
            <v>On Time</v>
          </cell>
          <cell r="FF566">
            <v>14</v>
          </cell>
          <cell r="FG566" t="str">
            <v>8 to 15 Days</v>
          </cell>
          <cell r="FH566" t="str">
            <v>Done</v>
          </cell>
          <cell r="FI566" t="str">
            <v>Done</v>
          </cell>
          <cell r="FJ566" t="str">
            <v>NA</v>
          </cell>
          <cell r="FK566">
            <v>45178</v>
          </cell>
          <cell r="FM566" t="str">
            <v/>
          </cell>
          <cell r="GA566">
            <v>45199</v>
          </cell>
          <cell r="GG566" t="str">
            <v>2023-2024</v>
          </cell>
        </row>
        <row r="567">
          <cell r="E567" t="str">
            <v>Property bearing No 7 482BB Bearing Asse  , No 7 Oppsite To MGSV Engineer College , sment No 1697 Kollegala City South Ward  , KOLLEGAL , 571440</v>
          </cell>
          <cell r="F567" t="str">
            <v>9. EPC Ready</v>
          </cell>
          <cell r="G567" t="str">
            <v>SPKAKOK4082</v>
          </cell>
          <cell r="H567" t="str">
            <v>KR-SM-KGA-3000</v>
          </cell>
          <cell r="I567" t="str">
            <v>TYVV</v>
          </cell>
          <cell r="J567" t="str">
            <v>QB3Z</v>
          </cell>
          <cell r="K567" t="str">
            <v>S</v>
          </cell>
          <cell r="L567" t="str">
            <v>AK</v>
          </cell>
          <cell r="M567" t="str">
            <v>EPC Ready</v>
          </cell>
          <cell r="N567" t="str">
            <v>N Kalyankumar</v>
          </cell>
          <cell r="O567" t="str">
            <v>Sreekanth Bijjhalli</v>
          </cell>
          <cell r="P567" t="str">
            <v>Sreekanth.Bijjhalli-9900039061</v>
          </cell>
          <cell r="Q567" t="str">
            <v>Gaurav Shinde</v>
          </cell>
          <cell r="S567" t="str">
            <v>Karnataka</v>
          </cell>
          <cell r="T567" t="str">
            <v>Kollegal</v>
          </cell>
          <cell r="U567" t="str">
            <v>Non Premium</v>
          </cell>
          <cell r="V567" t="str">
            <v>Pharma Format</v>
          </cell>
          <cell r="W567">
            <v>458</v>
          </cell>
          <cell r="X567" t="str">
            <v>Property bearing No 7 482BB Bearing Asse  , No 7 Oppsite To MGSV Engineer College , sment No 1697 Kollegala City South Ward  , KOLLEGAL , 571440</v>
          </cell>
          <cell r="Y567">
            <v>45167</v>
          </cell>
          <cell r="Z567" t="str">
            <v>NA</v>
          </cell>
          <cell r="AB567" t="str">
            <v>NA</v>
          </cell>
          <cell r="AF567" t="str">
            <v>NA</v>
          </cell>
          <cell r="AK567">
            <v>45230</v>
          </cell>
          <cell r="AL567" t="str">
            <v>Received</v>
          </cell>
          <cell r="AO567">
            <v>3</v>
          </cell>
          <cell r="AS567">
            <v>-3</v>
          </cell>
          <cell r="AU567">
            <v>4</v>
          </cell>
          <cell r="AY567">
            <v>-4</v>
          </cell>
          <cell r="BA567">
            <v>5</v>
          </cell>
          <cell r="BE567">
            <v>-5</v>
          </cell>
          <cell r="BG567">
            <v>5</v>
          </cell>
          <cell r="BK567">
            <v>-5</v>
          </cell>
          <cell r="BM567">
            <v>3</v>
          </cell>
          <cell r="BP567">
            <v>3</v>
          </cell>
          <cell r="BW567" t="str">
            <v>Done</v>
          </cell>
          <cell r="BX567">
            <v>45079</v>
          </cell>
          <cell r="BY567" t="str">
            <v>Approved</v>
          </cell>
          <cell r="CD567">
            <v>45163</v>
          </cell>
          <cell r="CE567">
            <v>45216</v>
          </cell>
          <cell r="CG567" t="str">
            <v>M/s M N Interiors</v>
          </cell>
          <cell r="CI567" t="str">
            <v>Issued</v>
          </cell>
          <cell r="DG567" t="str">
            <v>Netmed SDP - Not in Dead Rental</v>
          </cell>
          <cell r="DK567">
            <v>45250</v>
          </cell>
          <cell r="DM567">
            <v>2</v>
          </cell>
          <cell r="DN567" t="str">
            <v>0 to 3 Days</v>
          </cell>
          <cell r="DP567">
            <v>45219</v>
          </cell>
          <cell r="DQ567">
            <v>45252</v>
          </cell>
          <cell r="DR567">
            <v>7</v>
          </cell>
          <cell r="DS567">
            <v>7</v>
          </cell>
          <cell r="DU567">
            <v>45259</v>
          </cell>
          <cell r="DV567">
            <v>45226</v>
          </cell>
          <cell r="DW567">
            <v>45259</v>
          </cell>
          <cell r="DX567" t="str">
            <v>Nov 23 Week 5</v>
          </cell>
          <cell r="DZ567">
            <v>45282</v>
          </cell>
          <cell r="EA567" t="str">
            <v>Dec 23 Week 4</v>
          </cell>
          <cell r="EB567" t="str">
            <v>Backlog</v>
          </cell>
          <cell r="ED567" t="str">
            <v/>
          </cell>
          <cell r="EE567" t="str">
            <v/>
          </cell>
          <cell r="EF567">
            <v>1</v>
          </cell>
          <cell r="EG567">
            <v>1</v>
          </cell>
          <cell r="FD567">
            <v>23</v>
          </cell>
          <cell r="FE567" t="str">
            <v>16 to 31 Days</v>
          </cell>
          <cell r="FF567">
            <v>56</v>
          </cell>
          <cell r="FG567" t="str">
            <v>31 to 61 Days</v>
          </cell>
          <cell r="FH567" t="str">
            <v>Done</v>
          </cell>
          <cell r="FI567" t="str">
            <v>Done</v>
          </cell>
          <cell r="FJ567" t="str">
            <v>NA</v>
          </cell>
          <cell r="FK567">
            <v>45346</v>
          </cell>
          <cell r="FM567" t="str">
            <v/>
          </cell>
          <cell r="GA567">
            <v>45282</v>
          </cell>
          <cell r="GC567" t="str">
            <v>30-10-2023
22-11-2023</v>
          </cell>
          <cell r="GG567" t="str">
            <v>2023-2024</v>
          </cell>
        </row>
        <row r="568">
          <cell r="E568" t="str">
            <v>Gf Pandooi Prasth Plot No 1045 Khata  , Saidpur Pulwarisharif Dist Patna , No 358 Revenue Thana No 51 Mauza  , PHULWARIA , 801501</v>
          </cell>
          <cell r="F568" t="str">
            <v>9. EPC Ready</v>
          </cell>
          <cell r="G568" t="str">
            <v>SPBHPAN4181</v>
          </cell>
          <cell r="H568" t="str">
            <v>BH-SM-PAT-3019</v>
          </cell>
          <cell r="I568" t="str">
            <v>TYV4</v>
          </cell>
          <cell r="J568" t="str">
            <v>QLCC</v>
          </cell>
          <cell r="K568" t="str">
            <v xml:space="preserve">E </v>
          </cell>
          <cell r="L568" t="str">
            <v>AK</v>
          </cell>
          <cell r="M568" t="str">
            <v>EPC Ready</v>
          </cell>
          <cell r="P568" t="str">
            <v xml:space="preserve">Jitendra Gupta </v>
          </cell>
          <cell r="Q568" t="str">
            <v>Gaurav Shinde</v>
          </cell>
          <cell r="S568" t="str">
            <v>Bihar</v>
          </cell>
          <cell r="T568" t="str">
            <v>Patna</v>
          </cell>
          <cell r="U568" t="str">
            <v>Non Premium</v>
          </cell>
          <cell r="V568" t="str">
            <v>Pharma Format</v>
          </cell>
          <cell r="W568">
            <v>410</v>
          </cell>
          <cell r="X568" t="str">
            <v>Gf Pandooi Prasth Plot No 1045 Khata  , Saidpur Pulwarisharif Dist Patna , No 358 Revenue Thana No 51 Mauza  , PHULWARIA , 801501</v>
          </cell>
          <cell r="Y568">
            <v>45166</v>
          </cell>
          <cell r="Z568" t="str">
            <v>NA</v>
          </cell>
          <cell r="AB568" t="str">
            <v>NA</v>
          </cell>
          <cell r="AF568" t="str">
            <v>NA</v>
          </cell>
          <cell r="AK568">
            <v>45184</v>
          </cell>
          <cell r="AL568" t="str">
            <v>Received</v>
          </cell>
          <cell r="AO568">
            <v>3</v>
          </cell>
          <cell r="AS568">
            <v>-3</v>
          </cell>
          <cell r="AU568">
            <v>4</v>
          </cell>
          <cell r="AY568">
            <v>-4</v>
          </cell>
          <cell r="BA568">
            <v>5</v>
          </cell>
          <cell r="BE568">
            <v>-5</v>
          </cell>
          <cell r="BG568">
            <v>5</v>
          </cell>
          <cell r="BK568">
            <v>-5</v>
          </cell>
          <cell r="BM568">
            <v>3</v>
          </cell>
          <cell r="BP568">
            <v>3</v>
          </cell>
          <cell r="BW568" t="str">
            <v>Done</v>
          </cell>
          <cell r="BX568">
            <v>45079</v>
          </cell>
          <cell r="BY568" t="str">
            <v>Approved</v>
          </cell>
          <cell r="CD568">
            <v>45163</v>
          </cell>
          <cell r="CE568">
            <v>45175</v>
          </cell>
          <cell r="CG568" t="str">
            <v xml:space="preserve">M/S RECON </v>
          </cell>
          <cell r="CI568" t="str">
            <v>Issued</v>
          </cell>
          <cell r="DG568" t="str">
            <v>Netmed SDP - Not in Dead Rental</v>
          </cell>
          <cell r="DK568">
            <v>45262</v>
          </cell>
          <cell r="DM568">
            <v>2</v>
          </cell>
          <cell r="DN568" t="str">
            <v>0 to 3 Days</v>
          </cell>
          <cell r="DP568">
            <v>45178</v>
          </cell>
          <cell r="DQ568">
            <v>45264</v>
          </cell>
          <cell r="DR568">
            <v>7</v>
          </cell>
          <cell r="DS568">
            <v>7</v>
          </cell>
          <cell r="DU568">
            <v>45271</v>
          </cell>
          <cell r="DV568">
            <v>45185</v>
          </cell>
          <cell r="DW568">
            <v>45271</v>
          </cell>
          <cell r="DX568" t="str">
            <v>Dec 23 Week 2</v>
          </cell>
          <cell r="DZ568">
            <v>45266</v>
          </cell>
          <cell r="EA568" t="str">
            <v>Dec 23 Week 1</v>
          </cell>
          <cell r="EB568" t="str">
            <v>Plan</v>
          </cell>
          <cell r="ED568" t="str">
            <v/>
          </cell>
          <cell r="EE568" t="str">
            <v/>
          </cell>
          <cell r="EF568">
            <v>1</v>
          </cell>
          <cell r="EG568">
            <v>1</v>
          </cell>
          <cell r="FD568">
            <v>-5</v>
          </cell>
          <cell r="FE568" t="str">
            <v>On Time</v>
          </cell>
          <cell r="FF568">
            <v>81</v>
          </cell>
          <cell r="FG568" t="str">
            <v>62 to 90 Days</v>
          </cell>
          <cell r="FH568" t="str">
            <v>Done</v>
          </cell>
          <cell r="FI568" t="str">
            <v>Done</v>
          </cell>
          <cell r="FJ568" t="str">
            <v>NA</v>
          </cell>
          <cell r="FK568">
            <v>45275</v>
          </cell>
          <cell r="FM568" t="str">
            <v/>
          </cell>
          <cell r="GA568">
            <v>45266</v>
          </cell>
          <cell r="GC568">
            <v>45236</v>
          </cell>
          <cell r="GG568" t="str">
            <v>2023-2024</v>
          </cell>
        </row>
        <row r="569">
          <cell r="E569" t="str">
            <v>Gf Plot No 1227 Khata No 105  , Kumrahar P S , Revenue Thana No 12 Mauza  , SULTANGANJ , 800026</v>
          </cell>
          <cell r="F569" t="str">
            <v>9. EPC Ready</v>
          </cell>
          <cell r="G569" t="str">
            <v>SPBHPAT4240</v>
          </cell>
          <cell r="H569" t="str">
            <v>BH-SM-PAT-3018</v>
          </cell>
          <cell r="I569" t="str">
            <v>TYT2</v>
          </cell>
          <cell r="J569" t="str">
            <v>Q3M4</v>
          </cell>
          <cell r="K569" t="str">
            <v xml:space="preserve">E </v>
          </cell>
          <cell r="L569" t="str">
            <v>AK</v>
          </cell>
          <cell r="M569" t="str">
            <v>EPC Ready</v>
          </cell>
          <cell r="P569" t="str">
            <v>Ranjit Sinha</v>
          </cell>
          <cell r="Q569" t="str">
            <v>Gaurav Shinde</v>
          </cell>
          <cell r="S569" t="str">
            <v>Bihar</v>
          </cell>
          <cell r="T569" t="str">
            <v>Patna</v>
          </cell>
          <cell r="U569" t="str">
            <v>Non Premium</v>
          </cell>
          <cell r="V569" t="str">
            <v>Pharma Format</v>
          </cell>
          <cell r="W569">
            <v>400</v>
          </cell>
          <cell r="X569" t="str">
            <v>Gf Plot No 1227 Khata No 105  , Kumrahar P S , Revenue Thana No 12 Mauza  , SULTANGANJ , 800026</v>
          </cell>
          <cell r="Y569">
            <v>45124</v>
          </cell>
          <cell r="Z569" t="str">
            <v>NA</v>
          </cell>
          <cell r="AB569" t="str">
            <v>NA</v>
          </cell>
          <cell r="AF569" t="str">
            <v>NA</v>
          </cell>
          <cell r="AK569">
            <v>45142</v>
          </cell>
          <cell r="AL569" t="str">
            <v>Received</v>
          </cell>
          <cell r="AO569">
            <v>3</v>
          </cell>
          <cell r="AS569">
            <v>-3</v>
          </cell>
          <cell r="AU569">
            <v>4</v>
          </cell>
          <cell r="AY569">
            <v>-4</v>
          </cell>
          <cell r="BA569">
            <v>5</v>
          </cell>
          <cell r="BE569">
            <v>-5</v>
          </cell>
          <cell r="BG569">
            <v>5</v>
          </cell>
          <cell r="BK569">
            <v>-5</v>
          </cell>
          <cell r="BM569">
            <v>3</v>
          </cell>
          <cell r="BP569">
            <v>3</v>
          </cell>
          <cell r="BW569" t="str">
            <v>Done</v>
          </cell>
          <cell r="BX569">
            <v>45079</v>
          </cell>
          <cell r="BY569" t="str">
            <v>Approved</v>
          </cell>
          <cell r="CD569">
            <v>45126</v>
          </cell>
          <cell r="CE569">
            <v>45160</v>
          </cell>
          <cell r="CG569" t="str">
            <v>M/S Rahul Kumar</v>
          </cell>
          <cell r="CI569" t="str">
            <v>Issued</v>
          </cell>
          <cell r="DG569" t="str">
            <v>Netmed SDP - Not in Dead Rental</v>
          </cell>
          <cell r="DK569">
            <v>45192</v>
          </cell>
          <cell r="DL569">
            <v>45164</v>
          </cell>
          <cell r="DM569">
            <v>2</v>
          </cell>
          <cell r="DN569" t="str">
            <v>0 to 3 Days</v>
          </cell>
          <cell r="DP569">
            <v>45163</v>
          </cell>
          <cell r="DQ569">
            <v>45194</v>
          </cell>
          <cell r="DR569">
            <v>7</v>
          </cell>
          <cell r="DS569">
            <v>7</v>
          </cell>
          <cell r="DU569">
            <v>45201</v>
          </cell>
          <cell r="DV569">
            <v>45170</v>
          </cell>
          <cell r="DW569">
            <v>45201</v>
          </cell>
          <cell r="DX569" t="str">
            <v>Oct 23 Week 1</v>
          </cell>
          <cell r="DZ569">
            <v>45199</v>
          </cell>
          <cell r="EA569" t="str">
            <v>Sep 23 Week 5</v>
          </cell>
          <cell r="EB569" t="str">
            <v>Plan</v>
          </cell>
          <cell r="ED569" t="str">
            <v/>
          </cell>
          <cell r="EE569" t="str">
            <v/>
          </cell>
          <cell r="EF569">
            <v>1</v>
          </cell>
          <cell r="EG569">
            <v>1</v>
          </cell>
          <cell r="FD569">
            <v>-2</v>
          </cell>
          <cell r="FE569" t="str">
            <v>On Time</v>
          </cell>
          <cell r="FF569">
            <v>29</v>
          </cell>
          <cell r="FG569" t="str">
            <v>16 to 31 Days</v>
          </cell>
          <cell r="FH569" t="str">
            <v>Done</v>
          </cell>
          <cell r="FI569" t="str">
            <v>Done</v>
          </cell>
          <cell r="FJ569" t="str">
            <v>NA</v>
          </cell>
          <cell r="FK569">
            <v>45178</v>
          </cell>
          <cell r="FM569" t="str">
            <v/>
          </cell>
          <cell r="GA569">
            <v>45199</v>
          </cell>
          <cell r="GC569">
            <v>45194</v>
          </cell>
          <cell r="GG569" t="str">
            <v>2023-2024</v>
          </cell>
        </row>
        <row r="570">
          <cell r="E570" t="str">
            <v>Payradanga Main Road Vill PO Pritinagar  , Nadia , PS Ranaghat Payradanga  , Payradanga , 741247</v>
          </cell>
          <cell r="F570" t="str">
            <v>14. Dropped</v>
          </cell>
          <cell r="G570" t="str">
            <v>SPWBPAP3896</v>
          </cell>
          <cell r="H570" t="str">
            <v>WB-SM-PAY-3000</v>
          </cell>
          <cell r="I570" t="str">
            <v>TYSY</v>
          </cell>
          <cell r="J570" t="str">
            <v>QB1C</v>
          </cell>
          <cell r="K570" t="str">
            <v xml:space="preserve">E </v>
          </cell>
          <cell r="L570" t="str">
            <v>SD</v>
          </cell>
          <cell r="M570" t="str">
            <v>Dropped</v>
          </cell>
          <cell r="N570" t="str">
            <v>Mahendrakumar Warma</v>
          </cell>
          <cell r="O570" t="str">
            <v xml:space="preserve">Sandeepta Gayen </v>
          </cell>
          <cell r="Q570" t="str">
            <v>Gaurav Shinde</v>
          </cell>
          <cell r="S570" t="str">
            <v>West Bengal</v>
          </cell>
          <cell r="T570" t="str">
            <v>Payradanga</v>
          </cell>
          <cell r="U570" t="str">
            <v>Non Premium</v>
          </cell>
          <cell r="V570" t="str">
            <v>Pharma Format</v>
          </cell>
          <cell r="W570">
            <v>400</v>
          </cell>
          <cell r="X570" t="str">
            <v>Payradanga Main Road Vill PO Pritinagar  , Nadia , PS Ranaghat Payradanga  , Payradanga , 741247</v>
          </cell>
          <cell r="Z570" t="str">
            <v>NA</v>
          </cell>
          <cell r="AB570" t="str">
            <v>NA</v>
          </cell>
          <cell r="AF570" t="str">
            <v>NA</v>
          </cell>
          <cell r="AK570">
            <v>45164</v>
          </cell>
          <cell r="AL570" t="str">
            <v>Received</v>
          </cell>
          <cell r="AO570">
            <v>3</v>
          </cell>
          <cell r="AS570">
            <v>-3</v>
          </cell>
          <cell r="AU570">
            <v>4</v>
          </cell>
          <cell r="AY570">
            <v>-4</v>
          </cell>
          <cell r="BA570">
            <v>5</v>
          </cell>
          <cell r="BE570">
            <v>-5</v>
          </cell>
          <cell r="BG570">
            <v>5</v>
          </cell>
          <cell r="BK570">
            <v>-5</v>
          </cell>
          <cell r="BM570">
            <v>3</v>
          </cell>
          <cell r="BP570">
            <v>3</v>
          </cell>
          <cell r="BW570" t="str">
            <v>Done</v>
          </cell>
          <cell r="BX570">
            <v>45079</v>
          </cell>
          <cell r="BY570" t="str">
            <v>Approved</v>
          </cell>
          <cell r="CD570">
            <v>45163</v>
          </cell>
          <cell r="CG570" t="str">
            <v>M/s. ELECTROLEC ENTERPRISE</v>
          </cell>
          <cell r="DG570" t="str">
            <v>Netmed SDP - Not in Dead Rental</v>
          </cell>
          <cell r="DM570" t="str">
            <v>NA</v>
          </cell>
          <cell r="DN570" t="str">
            <v>NA</v>
          </cell>
          <cell r="DR570">
            <v>7</v>
          </cell>
          <cell r="DS570">
            <v>7</v>
          </cell>
          <cell r="DU570">
            <v>7</v>
          </cell>
          <cell r="DV570">
            <v>7</v>
          </cell>
          <cell r="DW570">
            <v>7</v>
          </cell>
          <cell r="EA570" t="str">
            <v/>
          </cell>
          <cell r="ED570" t="str">
            <v/>
          </cell>
          <cell r="EE570" t="str">
            <v/>
          </cell>
          <cell r="EF570">
            <v>1</v>
          </cell>
          <cell r="FD570">
            <v>46114</v>
          </cell>
          <cell r="FF570">
            <v>46114</v>
          </cell>
          <cell r="FJ570" t="str">
            <v>NA</v>
          </cell>
          <cell r="FM570" t="str">
            <v/>
          </cell>
          <cell r="GG570" t="str">
            <v>2024-2025</v>
          </cell>
        </row>
        <row r="571">
          <cell r="E571" t="str">
            <v>Old Sbi Building Old Govt Hospital Road  , Peddapuram , Near Hanuman Temple Junction  , PEDDAPURAM , 533437</v>
          </cell>
          <cell r="F571" t="str">
            <v>9. EPC Ready</v>
          </cell>
          <cell r="G571" t="str">
            <v>SPAPPEO3518</v>
          </cell>
          <cell r="H571" t="str">
            <v>AP-SM-PED-3000</v>
          </cell>
          <cell r="I571" t="str">
            <v>U1B3</v>
          </cell>
          <cell r="J571" t="str">
            <v>Q7Z3</v>
          </cell>
          <cell r="K571" t="str">
            <v xml:space="preserve">E </v>
          </cell>
          <cell r="L571" t="str">
            <v>JD</v>
          </cell>
          <cell r="M571" t="str">
            <v>EPC Ready</v>
          </cell>
          <cell r="N571" t="str">
            <v>Jaisingh Desai</v>
          </cell>
          <cell r="Q571" t="str">
            <v>Gaurav Shinde</v>
          </cell>
          <cell r="S571" t="str">
            <v>Andhra Pradesh</v>
          </cell>
          <cell r="T571" t="str">
            <v>Peddapuram</v>
          </cell>
          <cell r="U571" t="str">
            <v>Non Premium</v>
          </cell>
          <cell r="V571" t="str">
            <v>Pharma Format</v>
          </cell>
          <cell r="W571">
            <v>400</v>
          </cell>
          <cell r="X571" t="str">
            <v>Old Sbi Building Old Govt Hospital Road  , Peddapuram , Near Hanuman Temple Junction  , PEDDAPURAM , 533437</v>
          </cell>
          <cell r="Y571">
            <v>45124</v>
          </cell>
          <cell r="Z571" t="str">
            <v>NA</v>
          </cell>
          <cell r="AB571" t="str">
            <v>NA</v>
          </cell>
          <cell r="AF571" t="str">
            <v>NA</v>
          </cell>
          <cell r="AK571">
            <v>45142</v>
          </cell>
          <cell r="AL571" t="str">
            <v>Received</v>
          </cell>
          <cell r="AO571">
            <v>3</v>
          </cell>
          <cell r="AS571">
            <v>-3</v>
          </cell>
          <cell r="AU571">
            <v>4</v>
          </cell>
          <cell r="AY571">
            <v>-4</v>
          </cell>
          <cell r="BA571">
            <v>5</v>
          </cell>
          <cell r="BE571">
            <v>-5</v>
          </cell>
          <cell r="BG571">
            <v>5</v>
          </cell>
          <cell r="BK571">
            <v>-5</v>
          </cell>
          <cell r="BM571">
            <v>3</v>
          </cell>
          <cell r="BP571">
            <v>3</v>
          </cell>
          <cell r="BW571" t="str">
            <v>Done</v>
          </cell>
          <cell r="BX571">
            <v>45079</v>
          </cell>
          <cell r="BY571" t="str">
            <v>Approved</v>
          </cell>
          <cell r="CD571">
            <v>45126</v>
          </cell>
          <cell r="CE571">
            <v>45159</v>
          </cell>
          <cell r="CG571" t="str">
            <v xml:space="preserve">M/s    VK Constructions </v>
          </cell>
          <cell r="CI571" t="str">
            <v>Issued</v>
          </cell>
          <cell r="DG571" t="str">
            <v>Netmed SDP - Not in Dead Rental</v>
          </cell>
          <cell r="DK571">
            <v>45175</v>
          </cell>
          <cell r="DM571">
            <v>2</v>
          </cell>
          <cell r="DN571" t="str">
            <v>0 to 3 Days</v>
          </cell>
          <cell r="DP571">
            <v>45162</v>
          </cell>
          <cell r="DQ571">
            <v>45177</v>
          </cell>
          <cell r="DR571">
            <v>7</v>
          </cell>
          <cell r="DS571">
            <v>7</v>
          </cell>
          <cell r="DU571">
            <v>45184</v>
          </cell>
          <cell r="DV571">
            <v>45169</v>
          </cell>
          <cell r="DW571">
            <v>45184</v>
          </cell>
          <cell r="DX571" t="str">
            <v>Sep 23 Week 3</v>
          </cell>
          <cell r="DZ571">
            <v>45189</v>
          </cell>
          <cell r="EA571" t="str">
            <v>Sep 23 Week 3</v>
          </cell>
          <cell r="EB571" t="str">
            <v>Backlog</v>
          </cell>
          <cell r="ED571" t="str">
            <v/>
          </cell>
          <cell r="EE571" t="str">
            <v/>
          </cell>
          <cell r="EF571">
            <v>1</v>
          </cell>
          <cell r="EG571">
            <v>1</v>
          </cell>
          <cell r="FD571">
            <v>5</v>
          </cell>
          <cell r="FE571" t="str">
            <v>4 to 7 Days</v>
          </cell>
          <cell r="FF571">
            <v>20</v>
          </cell>
          <cell r="FG571" t="str">
            <v>16 to 31 Days</v>
          </cell>
          <cell r="FH571" t="str">
            <v>Done</v>
          </cell>
          <cell r="FI571" t="str">
            <v>Done</v>
          </cell>
          <cell r="FJ571" t="str">
            <v>NA</v>
          </cell>
          <cell r="FK571">
            <v>45225</v>
          </cell>
          <cell r="FM571" t="str">
            <v/>
          </cell>
          <cell r="GA571">
            <v>45189</v>
          </cell>
          <cell r="GC571">
            <v>45177</v>
          </cell>
          <cell r="GG571" t="str">
            <v>2023-2024</v>
          </cell>
        </row>
        <row r="572">
          <cell r="E572" t="str">
            <v>Shamil Tower Opposite Federal Bank  ,  , Kizhakethala Karuvarukund Malappuram  , PERINTHALMANNA , 676523</v>
          </cell>
          <cell r="F572" t="str">
            <v>11. HOLD</v>
          </cell>
          <cell r="G572" t="str">
            <v>PHCOAS10513</v>
          </cell>
          <cell r="H572" t="str">
            <v>KE-SM-PER-3003</v>
          </cell>
          <cell r="I572" t="str">
            <v>TY2L</v>
          </cell>
          <cell r="J572" t="str">
            <v>QCEZ</v>
          </cell>
          <cell r="K572" t="str">
            <v>S</v>
          </cell>
          <cell r="L572" t="str">
            <v>AK</v>
          </cell>
          <cell r="M572" t="str">
            <v>NRFC</v>
          </cell>
          <cell r="N572" t="str">
            <v>N Kalyankumar</v>
          </cell>
          <cell r="O572" t="str">
            <v>Jose Loviece</v>
          </cell>
          <cell r="Q572" t="str">
            <v>Gaurav Shinde</v>
          </cell>
          <cell r="S572" t="str">
            <v>Kerala</v>
          </cell>
          <cell r="T572" t="str">
            <v>Perinthalmanna</v>
          </cell>
          <cell r="U572" t="str">
            <v>Non Premium</v>
          </cell>
          <cell r="V572" t="str">
            <v>Pharma Format</v>
          </cell>
          <cell r="W572">
            <v>400</v>
          </cell>
          <cell r="X572" t="str">
            <v>Shamil Tower Opposite Federal Bank  ,  , Kizhakethala Karuvarukund Malappuram  , PERINTHALMANNA , 676523</v>
          </cell>
          <cell r="Z572" t="str">
            <v>NA</v>
          </cell>
          <cell r="AB572" t="str">
            <v>NA</v>
          </cell>
          <cell r="AF572" t="str">
            <v>NA</v>
          </cell>
          <cell r="AK572">
            <v>45148</v>
          </cell>
          <cell r="AL572" t="str">
            <v>Received</v>
          </cell>
          <cell r="AO572">
            <v>3</v>
          </cell>
          <cell r="AS572">
            <v>-3</v>
          </cell>
          <cell r="AU572">
            <v>4</v>
          </cell>
          <cell r="AY572">
            <v>-4</v>
          </cell>
          <cell r="BA572">
            <v>5</v>
          </cell>
          <cell r="BE572">
            <v>-5</v>
          </cell>
          <cell r="BG572">
            <v>5</v>
          </cell>
          <cell r="BK572">
            <v>-5</v>
          </cell>
          <cell r="BM572">
            <v>3</v>
          </cell>
          <cell r="BP572">
            <v>3</v>
          </cell>
          <cell r="BW572" t="str">
            <v>Done</v>
          </cell>
          <cell r="BX572">
            <v>45079</v>
          </cell>
          <cell r="BY572" t="str">
            <v>Approved</v>
          </cell>
          <cell r="DG572" t="str">
            <v>Netmed SDP - Not in Dead Rental</v>
          </cell>
          <cell r="DM572" t="str">
            <v>NA</v>
          </cell>
          <cell r="DN572" t="str">
            <v>NA</v>
          </cell>
          <cell r="DR572">
            <v>7</v>
          </cell>
          <cell r="DS572">
            <v>7</v>
          </cell>
          <cell r="DU572">
            <v>7</v>
          </cell>
          <cell r="DV572">
            <v>7</v>
          </cell>
          <cell r="DW572">
            <v>7</v>
          </cell>
          <cell r="EA572" t="str">
            <v/>
          </cell>
          <cell r="ED572" t="str">
            <v/>
          </cell>
          <cell r="EE572" t="str">
            <v/>
          </cell>
          <cell r="EF572">
            <v>1</v>
          </cell>
          <cell r="FD572">
            <v>46114</v>
          </cell>
          <cell r="FF572">
            <v>46114</v>
          </cell>
          <cell r="FJ572" t="str">
            <v>NA</v>
          </cell>
          <cell r="FM572" t="str">
            <v/>
          </cell>
          <cell r="GG572" t="str">
            <v>2026-2027</v>
          </cell>
        </row>
        <row r="573">
          <cell r="E573" t="str">
            <v>GF Reliance Smart Point No 215/33  , Dist - Erode , Bhavani Road Vadapuram Perundurai  , ERODE , 638052</v>
          </cell>
          <cell r="F573" t="str">
            <v>9. EPC Ready</v>
          </cell>
          <cell r="G573" t="str">
            <v>SPTNPES3551</v>
          </cell>
          <cell r="H573" t="str">
            <v>TN-SM-ERO-3002</v>
          </cell>
          <cell r="I573" t="str">
            <v>TYK6</v>
          </cell>
          <cell r="J573" t="str">
            <v>QB8E</v>
          </cell>
          <cell r="K573" t="str">
            <v>S</v>
          </cell>
          <cell r="L573" t="str">
            <v>AK</v>
          </cell>
          <cell r="M573" t="str">
            <v>EPC Ready</v>
          </cell>
          <cell r="N573" t="str">
            <v>N Kalyankumar</v>
          </cell>
          <cell r="O573" t="str">
            <v>Muthuvelu Minnal /
Vijayakumar Muthusamy</v>
          </cell>
          <cell r="Q573" t="str">
            <v>Gaurav Shinde</v>
          </cell>
          <cell r="S573" t="str">
            <v>Tamil Nadu</v>
          </cell>
          <cell r="T573" t="str">
            <v>Perundurai</v>
          </cell>
          <cell r="U573" t="str">
            <v>Non Premium</v>
          </cell>
          <cell r="V573" t="str">
            <v>Pharma Format</v>
          </cell>
          <cell r="W573">
            <v>407</v>
          </cell>
          <cell r="X573" t="str">
            <v>GF Reliance Smart Point No 215/33  , Dist - Erode , Bhavani Road Vadapuram Perundurai  , ERODE , 638052</v>
          </cell>
          <cell r="Y573">
            <v>45163</v>
          </cell>
          <cell r="Z573" t="str">
            <v>NA</v>
          </cell>
          <cell r="AB573" t="str">
            <v>NA</v>
          </cell>
          <cell r="AF573" t="str">
            <v>NA</v>
          </cell>
          <cell r="AK573">
            <v>45230</v>
          </cell>
          <cell r="AL573" t="str">
            <v>Received</v>
          </cell>
          <cell r="AO573">
            <v>3</v>
          </cell>
          <cell r="AS573">
            <v>-3</v>
          </cell>
          <cell r="AU573">
            <v>4</v>
          </cell>
          <cell r="AY573">
            <v>-4</v>
          </cell>
          <cell r="BA573">
            <v>5</v>
          </cell>
          <cell r="BE573">
            <v>-5</v>
          </cell>
          <cell r="BG573">
            <v>5</v>
          </cell>
          <cell r="BK573">
            <v>-5</v>
          </cell>
          <cell r="BM573">
            <v>3</v>
          </cell>
          <cell r="BP573">
            <v>3</v>
          </cell>
          <cell r="BW573" t="str">
            <v>Done</v>
          </cell>
          <cell r="BX573">
            <v>45079</v>
          </cell>
          <cell r="BY573" t="str">
            <v>Approved</v>
          </cell>
          <cell r="CD573">
            <v>45162</v>
          </cell>
          <cell r="CE573">
            <v>45196</v>
          </cell>
          <cell r="CG573" t="str">
            <v>M/s Prayagaa Enterprises Pvt Ltd,.</v>
          </cell>
          <cell r="CI573" t="str">
            <v>Issued</v>
          </cell>
          <cell r="DG573" t="str">
            <v>Netmed SDP - Not in Dead Rental</v>
          </cell>
          <cell r="DK573">
            <v>45261</v>
          </cell>
          <cell r="DM573">
            <v>2</v>
          </cell>
          <cell r="DN573" t="str">
            <v>0 to 3 Days</v>
          </cell>
          <cell r="DP573">
            <v>45199</v>
          </cell>
          <cell r="DQ573">
            <v>45263</v>
          </cell>
          <cell r="DR573">
            <v>7</v>
          </cell>
          <cell r="DS573">
            <v>7</v>
          </cell>
          <cell r="DU573">
            <v>45270</v>
          </cell>
          <cell r="DV573">
            <v>45206</v>
          </cell>
          <cell r="DW573">
            <v>45270</v>
          </cell>
          <cell r="DX573" t="str">
            <v>Dec 23 Week 2</v>
          </cell>
          <cell r="DZ573">
            <v>45273</v>
          </cell>
          <cell r="EA573" t="str">
            <v>Dec 23 Week 2</v>
          </cell>
          <cell r="EB573" t="str">
            <v>Backlog</v>
          </cell>
          <cell r="ED573" t="str">
            <v/>
          </cell>
          <cell r="EE573" t="str">
            <v/>
          </cell>
          <cell r="EF573">
            <v>1</v>
          </cell>
          <cell r="EG573">
            <v>1</v>
          </cell>
          <cell r="FD573">
            <v>3</v>
          </cell>
          <cell r="FE573" t="str">
            <v>0 to 3 Days</v>
          </cell>
          <cell r="FF573">
            <v>67</v>
          </cell>
          <cell r="FG573" t="str">
            <v>62 to 90 Days</v>
          </cell>
          <cell r="FH573" t="str">
            <v>Done</v>
          </cell>
          <cell r="FI573" t="str">
            <v>Done</v>
          </cell>
          <cell r="FJ573" t="str">
            <v>NA</v>
          </cell>
          <cell r="FK573">
            <v>45362</v>
          </cell>
          <cell r="FM573" t="str">
            <v/>
          </cell>
          <cell r="GA573">
            <v>45273</v>
          </cell>
          <cell r="GC573">
            <v>45252</v>
          </cell>
          <cell r="GG573" t="str">
            <v>2023-2024</v>
          </cell>
        </row>
        <row r="574">
          <cell r="E574" t="str">
            <v>Gavisiddappa Banikatti Gadag Road  , Koppal , Ward No 21 Next To Patanjali  , KOPPAL , 583231</v>
          </cell>
          <cell r="F574" t="str">
            <v>11. HOLD</v>
          </cell>
          <cell r="G574" t="str">
            <v>PHSmarS321</v>
          </cell>
          <cell r="H574" t="str">
            <v>KR-SM-KPL-3000</v>
          </cell>
          <cell r="I574" t="str">
            <v>TYVK</v>
          </cell>
          <cell r="J574" t="str">
            <v>QB3O</v>
          </cell>
          <cell r="K574" t="str">
            <v>S</v>
          </cell>
          <cell r="L574" t="str">
            <v>AK</v>
          </cell>
          <cell r="M574" t="str">
            <v>HOLD</v>
          </cell>
          <cell r="N574" t="str">
            <v>N Kalyankumar</v>
          </cell>
          <cell r="O574" t="str">
            <v>Sreekanth Bijjhalli</v>
          </cell>
          <cell r="P574" t="str">
            <v>Sreekanth.Bijjhalli-9900039061</v>
          </cell>
          <cell r="Q574" t="str">
            <v>Gaurav Shinde</v>
          </cell>
          <cell r="S574" t="str">
            <v>Karnataka</v>
          </cell>
          <cell r="T574" t="str">
            <v>KOPPAL</v>
          </cell>
          <cell r="U574" t="str">
            <v>Non Premium</v>
          </cell>
          <cell r="V574" t="str">
            <v>Pharma Format</v>
          </cell>
          <cell r="W574">
            <v>400</v>
          </cell>
          <cell r="X574" t="str">
            <v>Gavisiddappa Banikatti Gadag Road  , Koppal , Ward No 21 Next To Patanjali  , KOPPAL , 583231</v>
          </cell>
          <cell r="Y574">
            <v>45167</v>
          </cell>
          <cell r="Z574" t="str">
            <v>NA</v>
          </cell>
          <cell r="AB574" t="str">
            <v>NA</v>
          </cell>
          <cell r="AF574" t="str">
            <v>NA</v>
          </cell>
          <cell r="AK574">
            <v>45162</v>
          </cell>
          <cell r="AL574" t="str">
            <v>Received</v>
          </cell>
          <cell r="AO574">
            <v>3</v>
          </cell>
          <cell r="AS574">
            <v>-3</v>
          </cell>
          <cell r="AU574">
            <v>4</v>
          </cell>
          <cell r="AY574">
            <v>-4</v>
          </cell>
          <cell r="BA574">
            <v>5</v>
          </cell>
          <cell r="BE574">
            <v>-5</v>
          </cell>
          <cell r="BG574">
            <v>5</v>
          </cell>
          <cell r="BK574">
            <v>-5</v>
          </cell>
          <cell r="BM574">
            <v>3</v>
          </cell>
          <cell r="BP574">
            <v>3</v>
          </cell>
          <cell r="BW574" t="str">
            <v>Done</v>
          </cell>
          <cell r="BX574">
            <v>45079</v>
          </cell>
          <cell r="BY574" t="str">
            <v>Approved</v>
          </cell>
          <cell r="CD574">
            <v>45163</v>
          </cell>
          <cell r="CE574">
            <v>45229</v>
          </cell>
          <cell r="CG574" t="str">
            <v>M/s. AR Projects</v>
          </cell>
          <cell r="CI574" t="str">
            <v>Issued</v>
          </cell>
          <cell r="DA574" t="str">
            <v>NA</v>
          </cell>
          <cell r="DB574" t="str">
            <v>NA</v>
          </cell>
          <cell r="DC574" t="str">
            <v>NA</v>
          </cell>
          <cell r="DG574" t="str">
            <v>Netmed SDP - Not in Dead Rental</v>
          </cell>
          <cell r="DL574">
            <v>45168</v>
          </cell>
          <cell r="DM574" t="str">
            <v>NA</v>
          </cell>
          <cell r="DN574" t="str">
            <v>NA</v>
          </cell>
          <cell r="DO574" t="str">
            <v>6) LOA Issued Clearance Awaited from Business</v>
          </cell>
          <cell r="DP574">
            <v>45374</v>
          </cell>
          <cell r="DQ574">
            <v>45377</v>
          </cell>
          <cell r="DR574">
            <v>7</v>
          </cell>
          <cell r="DS574">
            <v>7</v>
          </cell>
          <cell r="DU574">
            <v>45384</v>
          </cell>
          <cell r="DV574">
            <v>45381</v>
          </cell>
          <cell r="DW574">
            <v>45384</v>
          </cell>
          <cell r="DX574" t="str">
            <v>April 24 Week 1</v>
          </cell>
          <cell r="EA574" t="str">
            <v/>
          </cell>
          <cell r="EB574" t="str">
            <v>Plan</v>
          </cell>
          <cell r="ED574" t="str">
            <v/>
          </cell>
          <cell r="EE574" t="str">
            <v/>
          </cell>
          <cell r="EF574">
            <v>1</v>
          </cell>
          <cell r="FD574">
            <v>737</v>
          </cell>
          <cell r="FF574">
            <v>740</v>
          </cell>
          <cell r="FJ574" t="str">
            <v>NA</v>
          </cell>
          <cell r="FM574" t="str">
            <v/>
          </cell>
          <cell r="GC574">
            <v>45237</v>
          </cell>
          <cell r="GG574" t="str">
            <v>2026-2027</v>
          </cell>
        </row>
        <row r="575">
          <cell r="E575" t="str">
            <v>Cs Building  , Vilapisala Trivandrum , Market Junction  , Thiruvananthap , 695573</v>
          </cell>
          <cell r="F575" t="str">
            <v>14. Dropped</v>
          </cell>
          <cell r="G575" t="str">
            <v>SPKLPES3393</v>
          </cell>
          <cell r="H575" t="str">
            <v>KE-SM-PYD-3001</v>
          </cell>
          <cell r="I575" t="str">
            <v>TZPC</v>
          </cell>
          <cell r="J575" t="str">
            <v>QDCH</v>
          </cell>
          <cell r="K575" t="str">
            <v>S</v>
          </cell>
          <cell r="L575" t="str">
            <v>AK</v>
          </cell>
          <cell r="M575" t="str">
            <v>Dropped</v>
          </cell>
          <cell r="N575" t="str">
            <v>N Kalyankumar</v>
          </cell>
          <cell r="O575" t="str">
            <v>Jose Loviece</v>
          </cell>
          <cell r="Q575" t="str">
            <v>Gaurav Shinde</v>
          </cell>
          <cell r="S575" t="str">
            <v>Kerala</v>
          </cell>
          <cell r="T575" t="str">
            <v>Peyadu</v>
          </cell>
          <cell r="U575" t="str">
            <v>Non Premium</v>
          </cell>
          <cell r="V575" t="str">
            <v>Pharma Format</v>
          </cell>
          <cell r="W575">
            <v>400</v>
          </cell>
          <cell r="X575" t="str">
            <v>Cs Building  , Vilapisala Trivandrum , Market Junction  , Thiruvananthap , 695573</v>
          </cell>
          <cell r="Z575" t="str">
            <v>NA</v>
          </cell>
          <cell r="AB575" t="str">
            <v>NA</v>
          </cell>
          <cell r="AF575" t="str">
            <v>NA</v>
          </cell>
          <cell r="AL575" t="str">
            <v>NA</v>
          </cell>
          <cell r="AO575">
            <v>3</v>
          </cell>
          <cell r="AS575">
            <v>-3</v>
          </cell>
          <cell r="AU575">
            <v>4</v>
          </cell>
          <cell r="AY575">
            <v>-4</v>
          </cell>
          <cell r="BA575">
            <v>5</v>
          </cell>
          <cell r="BE575">
            <v>-5</v>
          </cell>
          <cell r="BG575">
            <v>5</v>
          </cell>
          <cell r="BK575">
            <v>-5</v>
          </cell>
          <cell r="BM575">
            <v>3</v>
          </cell>
          <cell r="BP575">
            <v>3</v>
          </cell>
          <cell r="BW575" t="str">
            <v>Done</v>
          </cell>
          <cell r="BX575">
            <v>45079</v>
          </cell>
          <cell r="BY575" t="str">
            <v>Approved</v>
          </cell>
          <cell r="DG575" t="str">
            <v>Netmed SDP - Not in Dead Rental</v>
          </cell>
          <cell r="DM575" t="str">
            <v>NA</v>
          </cell>
          <cell r="DN575" t="str">
            <v>NA</v>
          </cell>
          <cell r="DR575">
            <v>7</v>
          </cell>
          <cell r="DS575">
            <v>7</v>
          </cell>
          <cell r="DU575">
            <v>7</v>
          </cell>
          <cell r="DV575">
            <v>7</v>
          </cell>
          <cell r="DW575">
            <v>7</v>
          </cell>
          <cell r="EA575" t="str">
            <v/>
          </cell>
          <cell r="ED575" t="str">
            <v/>
          </cell>
          <cell r="EE575" t="str">
            <v/>
          </cell>
          <cell r="EF575">
            <v>1</v>
          </cell>
          <cell r="FD575">
            <v>46114</v>
          </cell>
          <cell r="FF575">
            <v>46114</v>
          </cell>
          <cell r="FJ575" t="str">
            <v>NA</v>
          </cell>
          <cell r="FM575" t="str">
            <v/>
          </cell>
          <cell r="GG575" t="str">
            <v>2024-2025</v>
          </cell>
        </row>
        <row r="576">
          <cell r="E576" t="str">
            <v>Gf Chinnathambi Nadar Thottam  , Dist Thoothukudi , Manthithoppu Road Kovilpatti  , KOVILPATTI , 628501</v>
          </cell>
          <cell r="F576" t="str">
            <v>9. EPC Ready</v>
          </cell>
          <cell r="G576" t="str">
            <v>SPTNTHC3574</v>
          </cell>
          <cell r="H576" t="str">
            <v>TN-SM-KVL-3001</v>
          </cell>
          <cell r="I576" t="str">
            <v>T1ZY</v>
          </cell>
          <cell r="J576" t="str">
            <v>Q3M1</v>
          </cell>
          <cell r="K576" t="str">
            <v>S</v>
          </cell>
          <cell r="L576" t="str">
            <v>AK</v>
          </cell>
          <cell r="M576" t="str">
            <v>EPC Ready</v>
          </cell>
          <cell r="N576" t="str">
            <v>N Kalyankumar</v>
          </cell>
          <cell r="O576" t="str">
            <v>Muthuvelu Minnal /
Vijayakumar Muthusamy</v>
          </cell>
          <cell r="Q576" t="str">
            <v>Gaurav Shinde</v>
          </cell>
          <cell r="S576" t="str">
            <v>Tamil Nadu</v>
          </cell>
          <cell r="T576" t="str">
            <v>Kovilpatti</v>
          </cell>
          <cell r="U576" t="str">
            <v>Non Premium</v>
          </cell>
          <cell r="V576" t="str">
            <v>Pharma Format</v>
          </cell>
          <cell r="W576">
            <v>400</v>
          </cell>
          <cell r="X576" t="str">
            <v>Gf Chinnathambi Nadar Thottam  , Dist Thoothukudi , Manthithoppu Road Kovilpatti  , KOVILPATTI , 628501</v>
          </cell>
          <cell r="Y576">
            <v>45167</v>
          </cell>
          <cell r="Z576" t="str">
            <v>NA</v>
          </cell>
          <cell r="AB576" t="str">
            <v>NA</v>
          </cell>
          <cell r="AF576" t="str">
            <v>NA</v>
          </cell>
          <cell r="AK576">
            <v>45183</v>
          </cell>
          <cell r="AL576" t="str">
            <v>Received</v>
          </cell>
          <cell r="AO576">
            <v>3</v>
          </cell>
          <cell r="AS576">
            <v>-3</v>
          </cell>
          <cell r="AU576">
            <v>4</v>
          </cell>
          <cell r="AY576">
            <v>-4</v>
          </cell>
          <cell r="BA576">
            <v>5</v>
          </cell>
          <cell r="BE576">
            <v>-5</v>
          </cell>
          <cell r="BG576">
            <v>5</v>
          </cell>
          <cell r="BK576">
            <v>-5</v>
          </cell>
          <cell r="BM576">
            <v>3</v>
          </cell>
          <cell r="BP576">
            <v>3</v>
          </cell>
          <cell r="BW576" t="str">
            <v>Done</v>
          </cell>
          <cell r="BX576">
            <v>45079</v>
          </cell>
          <cell r="BY576" t="str">
            <v>Approved</v>
          </cell>
          <cell r="CD576">
            <v>45163</v>
          </cell>
          <cell r="CE576">
            <v>45196</v>
          </cell>
          <cell r="CG576" t="str">
            <v>M/s Prayagaa Enterprises Pvt Ltd,.</v>
          </cell>
          <cell r="CI576" t="str">
            <v>Issued</v>
          </cell>
          <cell r="DG576" t="str">
            <v>Netmed SDP - Not in Dead Rental</v>
          </cell>
          <cell r="DK576">
            <v>45234</v>
          </cell>
          <cell r="DL576">
            <v>45183</v>
          </cell>
          <cell r="DM576">
            <v>2</v>
          </cell>
          <cell r="DN576" t="str">
            <v>0 to 3 Days</v>
          </cell>
          <cell r="DP576">
            <v>45199</v>
          </cell>
          <cell r="DQ576">
            <v>45236</v>
          </cell>
          <cell r="DR576">
            <v>7</v>
          </cell>
          <cell r="DS576">
            <v>7</v>
          </cell>
          <cell r="DU576">
            <v>45243</v>
          </cell>
          <cell r="DV576">
            <v>45206</v>
          </cell>
          <cell r="DW576">
            <v>45243</v>
          </cell>
          <cell r="DX576" t="str">
            <v>Nov 23 Week 2</v>
          </cell>
          <cell r="DZ576">
            <v>45276</v>
          </cell>
          <cell r="EA576" t="str">
            <v>Dec 23 Week 3</v>
          </cell>
          <cell r="EB576" t="str">
            <v>Backlog</v>
          </cell>
          <cell r="ED576" t="str">
            <v/>
          </cell>
          <cell r="EE576" t="str">
            <v/>
          </cell>
          <cell r="EF576">
            <v>1</v>
          </cell>
          <cell r="EG576">
            <v>1</v>
          </cell>
          <cell r="FD576">
            <v>33</v>
          </cell>
          <cell r="FE576" t="str">
            <v>31 to 61 Days</v>
          </cell>
          <cell r="FF576">
            <v>70</v>
          </cell>
          <cell r="FG576" t="str">
            <v>62 to 90 Days</v>
          </cell>
          <cell r="FH576" t="str">
            <v>Done</v>
          </cell>
          <cell r="FI576" t="str">
            <v>Done</v>
          </cell>
          <cell r="FJ576" t="str">
            <v>NA</v>
          </cell>
          <cell r="FK576">
            <v>45302</v>
          </cell>
          <cell r="FM576" t="str">
            <v/>
          </cell>
          <cell r="GA576">
            <v>45278</v>
          </cell>
          <cell r="GC576">
            <v>45236</v>
          </cell>
          <cell r="GG576" t="str">
            <v>2023-2024</v>
          </cell>
        </row>
        <row r="577">
          <cell r="E577" t="str">
            <v>Ground Floor S R Bulding Nol351/3 Reddy  , Kurinjipadi Cuddalore , Street Kurinjipadi Cuddalore  , Kurinijipadi , 607302</v>
          </cell>
          <cell r="F577" t="str">
            <v>9. EPC Ready</v>
          </cell>
          <cell r="G577" t="str">
            <v>SPTNKUS3947</v>
          </cell>
          <cell r="H577" t="str">
            <v>TN-SM-KII-3000</v>
          </cell>
          <cell r="I577" t="str">
            <v>T85T</v>
          </cell>
          <cell r="J577" t="str">
            <v>QOQL</v>
          </cell>
          <cell r="K577" t="str">
            <v>S</v>
          </cell>
          <cell r="L577" t="str">
            <v>AK</v>
          </cell>
          <cell r="M577" t="str">
            <v>EPC Ready</v>
          </cell>
          <cell r="N577" t="str">
            <v>N Kalyankumar</v>
          </cell>
          <cell r="O577" t="str">
            <v>Muthuvelu Minnal /
Vijayakumar Muthusamy</v>
          </cell>
          <cell r="Q577" t="str">
            <v>Gaurav Shinde</v>
          </cell>
          <cell r="S577" t="str">
            <v>Tamil Nadu</v>
          </cell>
          <cell r="T577" t="str">
            <v>Kurinjipadi</v>
          </cell>
          <cell r="U577" t="str">
            <v>Non Premium</v>
          </cell>
          <cell r="V577" t="str">
            <v>Pharma Format</v>
          </cell>
          <cell r="W577">
            <v>400</v>
          </cell>
          <cell r="X577" t="str">
            <v>Ground Floor S R Bulding Nol351/3 Reddy  , Kurinjipadi Cuddalore , Street Kurinjipadi Cuddalore  , Kurinijipadi , 607302</v>
          </cell>
          <cell r="Y577">
            <v>45166</v>
          </cell>
          <cell r="Z577" t="str">
            <v>NA</v>
          </cell>
          <cell r="AB577" t="str">
            <v>NA</v>
          </cell>
          <cell r="AF577" t="str">
            <v>NA</v>
          </cell>
          <cell r="AK577">
            <v>45164</v>
          </cell>
          <cell r="AL577" t="str">
            <v>Received</v>
          </cell>
          <cell r="AO577">
            <v>3</v>
          </cell>
          <cell r="AS577">
            <v>-3</v>
          </cell>
          <cell r="AU577">
            <v>4</v>
          </cell>
          <cell r="AY577">
            <v>-4</v>
          </cell>
          <cell r="BA577">
            <v>5</v>
          </cell>
          <cell r="BE577">
            <v>-5</v>
          </cell>
          <cell r="BG577">
            <v>5</v>
          </cell>
          <cell r="BK577">
            <v>-5</v>
          </cell>
          <cell r="BM577">
            <v>3</v>
          </cell>
          <cell r="BP577">
            <v>3</v>
          </cell>
          <cell r="BW577" t="str">
            <v>Done</v>
          </cell>
          <cell r="BX577">
            <v>45079</v>
          </cell>
          <cell r="BY577" t="str">
            <v>Approved</v>
          </cell>
          <cell r="CD577">
            <v>45163</v>
          </cell>
          <cell r="CE577">
            <v>45224</v>
          </cell>
          <cell r="CG577" t="str">
            <v>Steelman Telecom</v>
          </cell>
          <cell r="CI577" t="str">
            <v>Issued</v>
          </cell>
          <cell r="DG577" t="str">
            <v>Netmed SDP - Not in Dead Rental</v>
          </cell>
          <cell r="DK577">
            <v>45225</v>
          </cell>
          <cell r="DL577">
            <v>45201</v>
          </cell>
          <cell r="DM577">
            <v>2</v>
          </cell>
          <cell r="DN577" t="str">
            <v>0 to 3 Days</v>
          </cell>
          <cell r="DP577">
            <v>45227</v>
          </cell>
          <cell r="DQ577">
            <v>45227</v>
          </cell>
          <cell r="DR577">
            <v>7</v>
          </cell>
          <cell r="DS577">
            <v>7</v>
          </cell>
          <cell r="DU577">
            <v>45234</v>
          </cell>
          <cell r="DV577">
            <v>45234</v>
          </cell>
          <cell r="DW577">
            <v>45234</v>
          </cell>
          <cell r="DX577" t="str">
            <v>Nov 23 Week 1</v>
          </cell>
          <cell r="DZ577">
            <v>45290</v>
          </cell>
          <cell r="EA577" t="str">
            <v>Dec 23 Week 5</v>
          </cell>
          <cell r="EB577" t="str">
            <v>Backlog</v>
          </cell>
          <cell r="ED577" t="str">
            <v/>
          </cell>
          <cell r="EE577" t="str">
            <v/>
          </cell>
          <cell r="EF577">
            <v>1</v>
          </cell>
          <cell r="EG577">
            <v>1</v>
          </cell>
          <cell r="FD577">
            <v>56</v>
          </cell>
          <cell r="FE577" t="str">
            <v>31 to 61 Days</v>
          </cell>
          <cell r="FF577">
            <v>56</v>
          </cell>
          <cell r="FG577" t="str">
            <v>31 to 61 Days</v>
          </cell>
          <cell r="FH577" t="str">
            <v>Done</v>
          </cell>
          <cell r="FI577" t="str">
            <v>Done</v>
          </cell>
          <cell r="FJ577" t="str">
            <v>NA</v>
          </cell>
          <cell r="FK577">
            <v>45362</v>
          </cell>
          <cell r="FM577" t="str">
            <v/>
          </cell>
          <cell r="GA577">
            <v>45293</v>
          </cell>
          <cell r="GC577">
            <v>45227</v>
          </cell>
          <cell r="GG577" t="str">
            <v>2023-2024</v>
          </cell>
        </row>
        <row r="578">
          <cell r="E578" t="str">
            <v>Singh Building Sk Road  , Yamunanagar , Near Pwd Office Radaur  , RADAUR , 135133</v>
          </cell>
          <cell r="F578" t="str">
            <v>10. Launched</v>
          </cell>
          <cell r="G578" t="str">
            <v>SPHRYAY4046</v>
          </cell>
          <cell r="H578" t="str">
            <v>HR-SM-RDR-3000</v>
          </cell>
          <cell r="I578" t="str">
            <v>TAYX</v>
          </cell>
          <cell r="J578" t="str">
            <v>QGIB</v>
          </cell>
          <cell r="K578" t="str">
            <v xml:space="preserve">N </v>
          </cell>
          <cell r="L578" t="str">
            <v>KC</v>
          </cell>
          <cell r="M578" t="str">
            <v>EPC Ready Pharmacy 200 SFT</v>
          </cell>
          <cell r="Q578" t="str">
            <v>Gaurav Shinde</v>
          </cell>
          <cell r="S578" t="str">
            <v>Haryana</v>
          </cell>
          <cell r="T578" t="str">
            <v>Radaur</v>
          </cell>
          <cell r="U578" t="str">
            <v>Non Premium</v>
          </cell>
          <cell r="V578" t="str">
            <v>Pharma Format</v>
          </cell>
          <cell r="W578">
            <v>200</v>
          </cell>
          <cell r="X578" t="str">
            <v>Singh Building Sk Road  , Yamunanagar , Near Pwd Office Radaur  , RADAUR , 135133</v>
          </cell>
          <cell r="Y578">
            <v>45219</v>
          </cell>
          <cell r="Z578" t="str">
            <v>NA</v>
          </cell>
          <cell r="AB578" t="str">
            <v>NA</v>
          </cell>
          <cell r="AF578" t="str">
            <v>NA</v>
          </cell>
          <cell r="AK578">
            <v>45191</v>
          </cell>
          <cell r="AL578" t="str">
            <v>Received</v>
          </cell>
          <cell r="AO578">
            <v>3</v>
          </cell>
          <cell r="AS578">
            <v>-3</v>
          </cell>
          <cell r="AU578">
            <v>4</v>
          </cell>
          <cell r="AY578">
            <v>-4</v>
          </cell>
          <cell r="BA578">
            <v>5</v>
          </cell>
          <cell r="BE578">
            <v>-5</v>
          </cell>
          <cell r="BG578">
            <v>5</v>
          </cell>
          <cell r="BK578">
            <v>-5</v>
          </cell>
          <cell r="BM578">
            <v>3</v>
          </cell>
          <cell r="BW578" t="str">
            <v>Done</v>
          </cell>
          <cell r="BX578">
            <v>45079</v>
          </cell>
          <cell r="BY578" t="str">
            <v>Approved</v>
          </cell>
          <cell r="CE578">
            <v>45273</v>
          </cell>
          <cell r="CG578" t="str">
            <v>M/s Brick &amp; wood</v>
          </cell>
          <cell r="CI578" t="str">
            <v>Issued</v>
          </cell>
          <cell r="DG578" t="str">
            <v>Netmed SDP - Not in Dead Rental</v>
          </cell>
          <cell r="DK578">
            <v>45227</v>
          </cell>
          <cell r="DM578">
            <v>2</v>
          </cell>
          <cell r="DN578" t="str">
            <v>0 to 3 Days</v>
          </cell>
          <cell r="DQ578">
            <v>45229</v>
          </cell>
          <cell r="DR578">
            <v>7</v>
          </cell>
          <cell r="DS578">
            <v>7</v>
          </cell>
          <cell r="DU578">
            <v>45236</v>
          </cell>
          <cell r="DV578">
            <v>7</v>
          </cell>
          <cell r="DW578">
            <v>45236</v>
          </cell>
          <cell r="DX578" t="str">
            <v>Nov 23 Week 1</v>
          </cell>
          <cell r="DZ578">
            <v>45125</v>
          </cell>
          <cell r="EA578" t="str">
            <v>July 23 Week 3</v>
          </cell>
          <cell r="EB578" t="str">
            <v>Plan</v>
          </cell>
          <cell r="ED578" t="str">
            <v/>
          </cell>
          <cell r="EE578" t="str">
            <v/>
          </cell>
          <cell r="EF578">
            <v>1</v>
          </cell>
          <cell r="EG578">
            <v>1</v>
          </cell>
          <cell r="FD578">
            <v>-111</v>
          </cell>
          <cell r="FE578" t="str">
            <v>On Time</v>
          </cell>
          <cell r="FF578">
            <v>45118</v>
          </cell>
          <cell r="FH578" t="str">
            <v>Done</v>
          </cell>
          <cell r="FI578" t="str">
            <v>Done</v>
          </cell>
          <cell r="FJ578" t="str">
            <v>NA</v>
          </cell>
          <cell r="FM578" t="str">
            <v/>
          </cell>
          <cell r="GC578">
            <v>45229</v>
          </cell>
          <cell r="GG578" t="str">
            <v>2023-2024</v>
          </cell>
        </row>
        <row r="579">
          <cell r="E579" t="str">
            <v>Mrs M Santhi Ms Towers Door No 4 Koranad  , Mayiladuthurai , Bazzar Street East Mg Road Kavara Street  , MAYILADUTHURAI , 609001</v>
          </cell>
          <cell r="F579" t="str">
            <v>9. EPC Ready</v>
          </cell>
          <cell r="G579" t="str">
            <v>SPTNMAM3771</v>
          </cell>
          <cell r="H579" t="str">
            <v>TN-SM-MAY-3000</v>
          </cell>
          <cell r="I579" t="str">
            <v>TYPU</v>
          </cell>
          <cell r="J579" t="str">
            <v>QBWW</v>
          </cell>
          <cell r="K579" t="str">
            <v>S</v>
          </cell>
          <cell r="L579" t="str">
            <v>AK</v>
          </cell>
          <cell r="M579" t="str">
            <v>EPC Ready</v>
          </cell>
          <cell r="N579" t="str">
            <v>N Kalyankumar</v>
          </cell>
          <cell r="O579" t="str">
            <v>Muthuvelu Minnal /
Vijayakumar Muthusamy</v>
          </cell>
          <cell r="Q579" t="str">
            <v>Gaurav Shinde</v>
          </cell>
          <cell r="S579" t="str">
            <v>Tamil Nadu</v>
          </cell>
          <cell r="T579" t="str">
            <v>Mayiladuthurai</v>
          </cell>
          <cell r="U579" t="str">
            <v>Non Premium</v>
          </cell>
          <cell r="V579" t="str">
            <v>Pharma Format</v>
          </cell>
          <cell r="W579">
            <v>407</v>
          </cell>
          <cell r="X579" t="str">
            <v>Mrs M Santhi Ms Towers Door No 4 Koranad  , Mayiladuthurai , Bazzar Street East Mg Road Kavara Street  , MAYILADUTHURAI , 609001</v>
          </cell>
          <cell r="Y579">
            <v>45166</v>
          </cell>
          <cell r="Z579" t="str">
            <v>NA</v>
          </cell>
          <cell r="AB579" t="str">
            <v>NA</v>
          </cell>
          <cell r="AF579" t="str">
            <v>NA</v>
          </cell>
          <cell r="AK579">
            <v>45206</v>
          </cell>
          <cell r="AL579" t="str">
            <v>Received</v>
          </cell>
          <cell r="AO579">
            <v>3</v>
          </cell>
          <cell r="AS579">
            <v>-3</v>
          </cell>
          <cell r="AU579">
            <v>4</v>
          </cell>
          <cell r="AY579">
            <v>-4</v>
          </cell>
          <cell r="BA579">
            <v>5</v>
          </cell>
          <cell r="BE579">
            <v>-5</v>
          </cell>
          <cell r="BG579">
            <v>5</v>
          </cell>
          <cell r="BK579">
            <v>-5</v>
          </cell>
          <cell r="BM579">
            <v>3</v>
          </cell>
          <cell r="BP579">
            <v>3</v>
          </cell>
          <cell r="BW579" t="str">
            <v>Done</v>
          </cell>
          <cell r="BX579">
            <v>45079</v>
          </cell>
          <cell r="BY579" t="str">
            <v>Approved</v>
          </cell>
          <cell r="CD579">
            <v>45163</v>
          </cell>
          <cell r="CE579">
            <v>45192</v>
          </cell>
          <cell r="CG579" t="str">
            <v>M/s MAACON</v>
          </cell>
          <cell r="CI579" t="str">
            <v>Issued</v>
          </cell>
          <cell r="DG579" t="str">
            <v>Netmed SDP - Not in Dead Rental</v>
          </cell>
          <cell r="DK579">
            <v>45232</v>
          </cell>
          <cell r="DM579">
            <v>2</v>
          </cell>
          <cell r="DN579" t="str">
            <v>0 to 3 Days</v>
          </cell>
          <cell r="DP579">
            <v>45195</v>
          </cell>
          <cell r="DQ579">
            <v>45234</v>
          </cell>
          <cell r="DR579">
            <v>7</v>
          </cell>
          <cell r="DS579">
            <v>7</v>
          </cell>
          <cell r="DU579">
            <v>45241</v>
          </cell>
          <cell r="DV579">
            <v>45202</v>
          </cell>
          <cell r="DW579">
            <v>45241</v>
          </cell>
          <cell r="DX579" t="str">
            <v>Nov 23 Week 2</v>
          </cell>
          <cell r="DZ579">
            <v>45271</v>
          </cell>
          <cell r="EA579" t="str">
            <v>Dec 23 Week 2</v>
          </cell>
          <cell r="EB579" t="str">
            <v>Backlog</v>
          </cell>
          <cell r="ED579" t="str">
            <v/>
          </cell>
          <cell r="EE579" t="str">
            <v/>
          </cell>
          <cell r="EF579">
            <v>1</v>
          </cell>
          <cell r="EG579">
            <v>1</v>
          </cell>
          <cell r="FD579">
            <v>30</v>
          </cell>
          <cell r="FE579" t="str">
            <v>16 to 31 Days</v>
          </cell>
          <cell r="FF579">
            <v>69</v>
          </cell>
          <cell r="FG579" t="str">
            <v>62 to 90 Days</v>
          </cell>
          <cell r="FH579" t="str">
            <v>Done</v>
          </cell>
          <cell r="FI579" t="str">
            <v>Done</v>
          </cell>
          <cell r="FJ579" t="str">
            <v>NA</v>
          </cell>
          <cell r="FK579">
            <v>45363</v>
          </cell>
          <cell r="FM579" t="str">
            <v/>
          </cell>
          <cell r="GA579">
            <v>45321</v>
          </cell>
          <cell r="GC579">
            <v>45234</v>
          </cell>
          <cell r="GG579" t="str">
            <v>2023-2024</v>
          </cell>
        </row>
        <row r="580">
          <cell r="E580" t="str">
            <v>GF, Reliance Smart Point, Vishnu Arcade  , Bothside Buildings, Rajapalayam , No 80, Mudangiar Road , Dist - Virudhunagar , RAJAPALAYAM , 626117</v>
          </cell>
          <cell r="F580" t="str">
            <v>9. EPC Ready</v>
          </cell>
          <cell r="G580" t="str">
            <v>SPTNRAV4320</v>
          </cell>
          <cell r="H580" t="str">
            <v>TN-SM-RAJ-3000</v>
          </cell>
          <cell r="I580" t="str">
            <v>TYUQ</v>
          </cell>
          <cell r="J580" t="str">
            <v>QB2U</v>
          </cell>
          <cell r="K580" t="str">
            <v>S</v>
          </cell>
          <cell r="L580" t="str">
            <v>AK</v>
          </cell>
          <cell r="M580" t="str">
            <v>EPC Ready</v>
          </cell>
          <cell r="N580" t="str">
            <v>N Kalyankumar</v>
          </cell>
          <cell r="O580" t="str">
            <v>Muthuvelu Minnal /
Vijayakumar Muthusamy</v>
          </cell>
          <cell r="Q580" t="str">
            <v>Gaurav Shinde</v>
          </cell>
          <cell r="S580" t="str">
            <v>Tamil Nadu</v>
          </cell>
          <cell r="T580" t="str">
            <v>Rajapalayam</v>
          </cell>
          <cell r="U580" t="str">
            <v>Non Premium</v>
          </cell>
          <cell r="V580" t="str">
            <v>Pharma Format</v>
          </cell>
          <cell r="W580">
            <v>400</v>
          </cell>
          <cell r="X580" t="str">
            <v>GF, Reliance Smart Point, Vishnu Arcade  , Bothside Buildings, Rajapalayam , No 80, Mudangiar Road , Dist - Virudhunagar , RAJAPALAYAM , 626117</v>
          </cell>
          <cell r="Y580">
            <v>45210</v>
          </cell>
          <cell r="Z580" t="str">
            <v>NA</v>
          </cell>
          <cell r="AB580" t="str">
            <v>NA</v>
          </cell>
          <cell r="AF580" t="str">
            <v>NA</v>
          </cell>
          <cell r="AK580">
            <v>45184</v>
          </cell>
          <cell r="AL580" t="str">
            <v>Received</v>
          </cell>
          <cell r="AO580">
            <v>3</v>
          </cell>
          <cell r="AS580">
            <v>-3</v>
          </cell>
          <cell r="AU580">
            <v>4</v>
          </cell>
          <cell r="AY580">
            <v>-4</v>
          </cell>
          <cell r="BA580">
            <v>5</v>
          </cell>
          <cell r="BE580">
            <v>-5</v>
          </cell>
          <cell r="BG580">
            <v>5</v>
          </cell>
          <cell r="BK580">
            <v>-5</v>
          </cell>
          <cell r="BM580">
            <v>3</v>
          </cell>
          <cell r="BP580">
            <v>3</v>
          </cell>
          <cell r="BW580" t="str">
            <v>Done</v>
          </cell>
          <cell r="BX580">
            <v>45079</v>
          </cell>
          <cell r="BY580" t="str">
            <v>Approved</v>
          </cell>
          <cell r="CD580">
            <v>45163</v>
          </cell>
          <cell r="CE580">
            <v>45248</v>
          </cell>
          <cell r="CG580" t="str">
            <v>M/s HANU Construction</v>
          </cell>
          <cell r="CI580" t="str">
            <v>Issued</v>
          </cell>
          <cell r="DG580" t="str">
            <v>Netmed SDP - Not in Dead Rental</v>
          </cell>
          <cell r="DK580">
            <v>45277</v>
          </cell>
          <cell r="DL580">
            <v>45219</v>
          </cell>
          <cell r="DM580">
            <v>2</v>
          </cell>
          <cell r="DN580" t="str">
            <v>0 to 3 Days</v>
          </cell>
          <cell r="DP580">
            <v>45251</v>
          </cell>
          <cell r="DQ580">
            <v>45279</v>
          </cell>
          <cell r="DR580">
            <v>7</v>
          </cell>
          <cell r="DS580">
            <v>7</v>
          </cell>
          <cell r="DU580">
            <v>45286</v>
          </cell>
          <cell r="DV580">
            <v>45258</v>
          </cell>
          <cell r="DW580">
            <v>45286</v>
          </cell>
          <cell r="DX580" t="str">
            <v>Dec 23 Week 4</v>
          </cell>
          <cell r="DZ580">
            <v>45299</v>
          </cell>
          <cell r="EA580" t="str">
            <v>Jan 24 Week 2</v>
          </cell>
          <cell r="EB580" t="str">
            <v>Backlog</v>
          </cell>
          <cell r="ED580" t="str">
            <v/>
          </cell>
          <cell r="EE580" t="str">
            <v/>
          </cell>
          <cell r="EF580">
            <v>1</v>
          </cell>
          <cell r="EG580">
            <v>1</v>
          </cell>
          <cell r="FD580">
            <v>13</v>
          </cell>
          <cell r="FE580" t="str">
            <v>8 to 15 Days</v>
          </cell>
          <cell r="FF580">
            <v>41</v>
          </cell>
          <cell r="FG580" t="str">
            <v>31 to 61 Days</v>
          </cell>
          <cell r="FH580" t="str">
            <v>Done</v>
          </cell>
          <cell r="FI580" t="str">
            <v>Done</v>
          </cell>
          <cell r="FJ580" t="str">
            <v>NA</v>
          </cell>
          <cell r="FK580">
            <v>45362</v>
          </cell>
          <cell r="FM580" t="str">
            <v/>
          </cell>
          <cell r="GA580">
            <v>45299</v>
          </cell>
          <cell r="GC580">
            <v>45252</v>
          </cell>
          <cell r="GG580" t="str">
            <v>2023-2024</v>
          </cell>
        </row>
        <row r="581">
          <cell r="E581" t="str">
            <v>Om Sakthi Complex Lawspet Main Road  , Devasthanam Pondicherry , Srimath Guru Sithanandha Swamikal  , Pondicherry , 605008</v>
          </cell>
          <cell r="F581" t="str">
            <v>9. EPC Ready</v>
          </cell>
          <cell r="G581" t="str">
            <v>SPTNPOO3281</v>
          </cell>
          <cell r="H581" t="str">
            <v>TN-SM-PON-3001</v>
          </cell>
          <cell r="I581" t="str">
            <v>TACN</v>
          </cell>
          <cell r="J581" t="str">
            <v>QBVD</v>
          </cell>
          <cell r="K581" t="str">
            <v>S</v>
          </cell>
          <cell r="L581" t="str">
            <v>AK</v>
          </cell>
          <cell r="M581" t="str">
            <v>EPC Ready</v>
          </cell>
          <cell r="N581" t="str">
            <v>N Kalyankumar</v>
          </cell>
          <cell r="O581" t="str">
            <v>Muthuvelu Minnal /
Vijayakumar Muthusamy</v>
          </cell>
          <cell r="P581" t="str">
            <v>Janarthanan Ekambaram-9566241523</v>
          </cell>
          <cell r="Q581" t="str">
            <v>Gaurav Shinde</v>
          </cell>
          <cell r="S581" t="str">
            <v>Tamil Nadu</v>
          </cell>
          <cell r="T581" t="str">
            <v>Pondicherry</v>
          </cell>
          <cell r="U581" t="str">
            <v>Non Premium</v>
          </cell>
          <cell r="V581" t="str">
            <v>Pharma Format</v>
          </cell>
          <cell r="W581">
            <v>400</v>
          </cell>
          <cell r="X581" t="str">
            <v>Om Sakthi Complex Lawspet Main Road  , Devasthanam Pondicherry , Srimath Guru Sithanandha Swamikal  , Pondicherry , 605008</v>
          </cell>
          <cell r="Y581">
            <v>45163</v>
          </cell>
          <cell r="Z581" t="str">
            <v>NA</v>
          </cell>
          <cell r="AB581" t="str">
            <v>NA</v>
          </cell>
          <cell r="AF581" t="str">
            <v>NA</v>
          </cell>
          <cell r="AK581">
            <v>45182</v>
          </cell>
          <cell r="AL581" t="str">
            <v>Received</v>
          </cell>
          <cell r="AO581">
            <v>3</v>
          </cell>
          <cell r="AS581">
            <v>-3</v>
          </cell>
          <cell r="AU581">
            <v>4</v>
          </cell>
          <cell r="AY581">
            <v>-4</v>
          </cell>
          <cell r="BA581">
            <v>5</v>
          </cell>
          <cell r="BE581">
            <v>-5</v>
          </cell>
          <cell r="BG581">
            <v>5</v>
          </cell>
          <cell r="BK581">
            <v>-5</v>
          </cell>
          <cell r="BM581">
            <v>3</v>
          </cell>
          <cell r="BP581">
            <v>3</v>
          </cell>
          <cell r="BW581" t="str">
            <v>Done</v>
          </cell>
          <cell r="BX581">
            <v>45079</v>
          </cell>
          <cell r="BY581" t="str">
            <v>Approved</v>
          </cell>
          <cell r="CD581">
            <v>45162</v>
          </cell>
          <cell r="CE581">
            <v>45217</v>
          </cell>
          <cell r="CG581" t="str">
            <v>M/s AGS CIVIL AND INTERIOR PVT LTD</v>
          </cell>
          <cell r="CI581" t="str">
            <v>Issued</v>
          </cell>
          <cell r="DG581" t="str">
            <v>Netmed SDP - Not in Dead Rental</v>
          </cell>
          <cell r="DK581">
            <v>45225</v>
          </cell>
          <cell r="DM581">
            <v>2</v>
          </cell>
          <cell r="DN581" t="str">
            <v>0 to 3 Days</v>
          </cell>
          <cell r="DP581">
            <v>45220</v>
          </cell>
          <cell r="DQ581">
            <v>45227</v>
          </cell>
          <cell r="DR581">
            <v>7</v>
          </cell>
          <cell r="DS581">
            <v>7</v>
          </cell>
          <cell r="DU581">
            <v>45234</v>
          </cell>
          <cell r="DV581">
            <v>45227</v>
          </cell>
          <cell r="DW581">
            <v>45234</v>
          </cell>
          <cell r="DX581" t="str">
            <v>Nov 23 Week 1</v>
          </cell>
          <cell r="DZ581">
            <v>45275</v>
          </cell>
          <cell r="EA581" t="str">
            <v>Dec 23 Week 3</v>
          </cell>
          <cell r="EB581" t="str">
            <v>Backlog</v>
          </cell>
          <cell r="ED581" t="str">
            <v/>
          </cell>
          <cell r="EE581" t="str">
            <v/>
          </cell>
          <cell r="EF581">
            <v>1</v>
          </cell>
          <cell r="EG581">
            <v>1</v>
          </cell>
          <cell r="FD581">
            <v>41</v>
          </cell>
          <cell r="FE581" t="str">
            <v>31 to 61 Days</v>
          </cell>
          <cell r="FF581">
            <v>48</v>
          </cell>
          <cell r="FG581" t="str">
            <v>31 to 61 Days</v>
          </cell>
          <cell r="FH581" t="str">
            <v>Done</v>
          </cell>
          <cell r="FJ581" t="str">
            <v>NA</v>
          </cell>
          <cell r="FK581">
            <v>45457</v>
          </cell>
          <cell r="FM581" t="str">
            <v/>
          </cell>
          <cell r="GA581">
            <v>45271</v>
          </cell>
          <cell r="GC581">
            <v>45227</v>
          </cell>
          <cell r="GG581" t="str">
            <v>2023-2024</v>
          </cell>
        </row>
        <row r="582">
          <cell r="E582" t="str">
            <v>Jasvinder Complex Block No 14 F7 9  , Road Rajpura Patiala , Gurudwara Singh Sabha  , RAJPURA , 140401</v>
          </cell>
          <cell r="F582" t="str">
            <v>9. EPC Ready</v>
          </cell>
          <cell r="G582" t="str">
            <v>SPPBRAR3827</v>
          </cell>
          <cell r="H582" t="str">
            <v>PB-SM-RAJ-3002</v>
          </cell>
          <cell r="I582" t="str">
            <v>TALE</v>
          </cell>
          <cell r="J582" t="str">
            <v>QFZJ</v>
          </cell>
          <cell r="K582" t="str">
            <v xml:space="preserve">N </v>
          </cell>
          <cell r="L582" t="str">
            <v>KC</v>
          </cell>
          <cell r="M582" t="str">
            <v>EPC Ready</v>
          </cell>
          <cell r="Q582" t="str">
            <v>Gaurav Shinde</v>
          </cell>
          <cell r="S582" t="str">
            <v>Punjab</v>
          </cell>
          <cell r="T582" t="str">
            <v>Rajpura</v>
          </cell>
          <cell r="U582" t="str">
            <v>Non Premium</v>
          </cell>
          <cell r="V582" t="str">
            <v>Pharma Format</v>
          </cell>
          <cell r="W582">
            <v>400</v>
          </cell>
          <cell r="X582" t="str">
            <v>Jasvinder Complex Block No 14 F7 9  , Road Rajpura Patiala , Gurudwara Singh Sabha  , RAJPURA , 140401</v>
          </cell>
          <cell r="Y582">
            <v>45208</v>
          </cell>
          <cell r="Z582" t="str">
            <v>NA</v>
          </cell>
          <cell r="AB582" t="str">
            <v>NA</v>
          </cell>
          <cell r="AF582" t="str">
            <v>NA</v>
          </cell>
          <cell r="AK582">
            <v>45153</v>
          </cell>
          <cell r="AL582" t="str">
            <v>Received</v>
          </cell>
          <cell r="AO582">
            <v>3</v>
          </cell>
          <cell r="AS582">
            <v>-3</v>
          </cell>
          <cell r="AU582">
            <v>4</v>
          </cell>
          <cell r="AY582">
            <v>-4</v>
          </cell>
          <cell r="BA582">
            <v>5</v>
          </cell>
          <cell r="BE582">
            <v>-5</v>
          </cell>
          <cell r="BG582">
            <v>5</v>
          </cell>
          <cell r="BK582">
            <v>-5</v>
          </cell>
          <cell r="BM582">
            <v>3</v>
          </cell>
          <cell r="BP582">
            <v>3</v>
          </cell>
          <cell r="BW582" t="str">
            <v>Done</v>
          </cell>
          <cell r="BX582">
            <v>45079</v>
          </cell>
          <cell r="BY582" t="str">
            <v>Approved</v>
          </cell>
          <cell r="CD582">
            <v>45208</v>
          </cell>
          <cell r="CE582">
            <v>45212</v>
          </cell>
          <cell r="CG582" t="str">
            <v>M/s     Brickwood global infracon Pvt. Ltd</v>
          </cell>
          <cell r="CI582" t="str">
            <v>Issued</v>
          </cell>
          <cell r="DG582" t="str">
            <v>Netmed SDP - Not in Dead Rental</v>
          </cell>
          <cell r="DK582">
            <v>45251</v>
          </cell>
          <cell r="DL582">
            <v>45224</v>
          </cell>
          <cell r="DM582">
            <v>2</v>
          </cell>
          <cell r="DN582" t="str">
            <v>0 to 3 Days</v>
          </cell>
          <cell r="DP582">
            <v>45215</v>
          </cell>
          <cell r="DQ582">
            <v>45253</v>
          </cell>
          <cell r="DR582">
            <v>7</v>
          </cell>
          <cell r="DS582">
            <v>7</v>
          </cell>
          <cell r="DU582">
            <v>45260</v>
          </cell>
          <cell r="DV582">
            <v>45222</v>
          </cell>
          <cell r="DW582">
            <v>45260</v>
          </cell>
          <cell r="DX582" t="str">
            <v>Nov 23 Week 5</v>
          </cell>
          <cell r="DZ582">
            <v>45275</v>
          </cell>
          <cell r="EA582" t="str">
            <v>Dec 23 Week 3</v>
          </cell>
          <cell r="EB582" t="str">
            <v>Backlog</v>
          </cell>
          <cell r="ED582" t="str">
            <v/>
          </cell>
          <cell r="EE582" t="str">
            <v/>
          </cell>
          <cell r="EF582">
            <v>1</v>
          </cell>
          <cell r="EG582">
            <v>1</v>
          </cell>
          <cell r="FD582">
            <v>15</v>
          </cell>
          <cell r="FE582" t="str">
            <v>8 to 15 Days</v>
          </cell>
          <cell r="FF582">
            <v>53</v>
          </cell>
          <cell r="FG582" t="str">
            <v>31 to 61 Days</v>
          </cell>
          <cell r="FH582" t="str">
            <v>Done</v>
          </cell>
          <cell r="FI582" t="str">
            <v>Done</v>
          </cell>
          <cell r="FJ582" t="str">
            <v>NA</v>
          </cell>
          <cell r="FK582">
            <v>45372</v>
          </cell>
          <cell r="FM582" t="str">
            <v/>
          </cell>
          <cell r="GA582">
            <v>45275</v>
          </cell>
          <cell r="GC582">
            <v>45253</v>
          </cell>
          <cell r="GG582" t="str">
            <v>2023-2024</v>
          </cell>
        </row>
        <row r="583">
          <cell r="E583" t="str">
            <v>Ashfaque Ahmad Brm Complex City  , West Champaran , Ramnagar Dist  , RAMNAGAR KARAR , 845106</v>
          </cell>
          <cell r="F583" t="str">
            <v>9. EPC Ready</v>
          </cell>
          <cell r="G583" t="str">
            <v>SPBHRAB3499</v>
          </cell>
          <cell r="H583" t="str">
            <v>BH-SM-RMG-3000</v>
          </cell>
          <cell r="I583" t="str">
            <v>TZ2J</v>
          </cell>
          <cell r="J583" t="str">
            <v>QEDC</v>
          </cell>
          <cell r="K583" t="str">
            <v xml:space="preserve">E </v>
          </cell>
          <cell r="L583" t="str">
            <v>AK</v>
          </cell>
          <cell r="M583" t="str">
            <v>EPC Ready</v>
          </cell>
          <cell r="P583" t="str">
            <v>Mr Amal Dey-9329993251</v>
          </cell>
          <cell r="Q583" t="str">
            <v>Gaurav Shinde</v>
          </cell>
          <cell r="S583" t="str">
            <v>Bihar</v>
          </cell>
          <cell r="T583" t="str">
            <v>Ramnagar</v>
          </cell>
          <cell r="U583" t="str">
            <v>Non Premium</v>
          </cell>
          <cell r="V583" t="str">
            <v>Pharma Format</v>
          </cell>
          <cell r="W583">
            <v>403</v>
          </cell>
          <cell r="X583" t="str">
            <v>Ashfaque Ahmad Brm Complex City  , West Champaran , Ramnagar Dist  , RAMNAGAR KARAR , 845106</v>
          </cell>
          <cell r="Y583">
            <v>45106</v>
          </cell>
          <cell r="Z583" t="str">
            <v>NA</v>
          </cell>
          <cell r="AB583" t="str">
            <v>NA</v>
          </cell>
          <cell r="AF583" t="str">
            <v>NA</v>
          </cell>
          <cell r="AK583">
            <v>45098</v>
          </cell>
          <cell r="AL583" t="str">
            <v>Received</v>
          </cell>
          <cell r="AO583">
            <v>3</v>
          </cell>
          <cell r="AS583">
            <v>-3</v>
          </cell>
          <cell r="AU583">
            <v>4</v>
          </cell>
          <cell r="AY583">
            <v>-4</v>
          </cell>
          <cell r="BA583">
            <v>5</v>
          </cell>
          <cell r="BE583">
            <v>-5</v>
          </cell>
          <cell r="BG583">
            <v>5</v>
          </cell>
          <cell r="BK583">
            <v>-5</v>
          </cell>
          <cell r="BM583">
            <v>3</v>
          </cell>
          <cell r="BP583">
            <v>3</v>
          </cell>
          <cell r="BW583" t="str">
            <v>Done</v>
          </cell>
          <cell r="BX583">
            <v>45079</v>
          </cell>
          <cell r="BY583" t="str">
            <v>Approved</v>
          </cell>
          <cell r="CD583">
            <v>45103</v>
          </cell>
          <cell r="CE583">
            <v>45113</v>
          </cell>
          <cell r="CG583" t="str">
            <v>M/S Rahul Kumar</v>
          </cell>
          <cell r="CI583" t="str">
            <v>Issued</v>
          </cell>
          <cell r="DG583" t="str">
            <v>Netmed SDP - Not in Dead Rental</v>
          </cell>
          <cell r="DK583">
            <v>45134</v>
          </cell>
          <cell r="DL583">
            <v>45107</v>
          </cell>
          <cell r="DM583">
            <v>2</v>
          </cell>
          <cell r="DN583" t="str">
            <v>0 to 3 Days</v>
          </cell>
          <cell r="DP583">
            <v>45116</v>
          </cell>
          <cell r="DQ583">
            <v>45136</v>
          </cell>
          <cell r="DR583">
            <v>7</v>
          </cell>
          <cell r="DS583">
            <v>7</v>
          </cell>
          <cell r="DU583">
            <v>45143</v>
          </cell>
          <cell r="DV583">
            <v>45123</v>
          </cell>
          <cell r="DW583">
            <v>45143</v>
          </cell>
          <cell r="DX583" t="str">
            <v>Aug 23 Week 1</v>
          </cell>
          <cell r="DZ583">
            <v>45160</v>
          </cell>
          <cell r="EA583" t="str">
            <v>Aug 23 Week 4</v>
          </cell>
          <cell r="EB583" t="str">
            <v>Backlog</v>
          </cell>
          <cell r="ED583" t="str">
            <v/>
          </cell>
          <cell r="EE583" t="str">
            <v/>
          </cell>
          <cell r="EF583">
            <v>1</v>
          </cell>
          <cell r="EG583">
            <v>1</v>
          </cell>
          <cell r="FD583">
            <v>17</v>
          </cell>
          <cell r="FE583" t="str">
            <v>16 to 31 Days</v>
          </cell>
          <cell r="FF583">
            <v>37</v>
          </cell>
          <cell r="FG583" t="str">
            <v>31 to 61 Days</v>
          </cell>
          <cell r="FH583" t="str">
            <v>Done</v>
          </cell>
          <cell r="FI583" t="str">
            <v>Done</v>
          </cell>
          <cell r="FJ583" t="str">
            <v>NA</v>
          </cell>
          <cell r="FK583">
            <v>45152</v>
          </cell>
          <cell r="FM583" t="str">
            <v/>
          </cell>
          <cell r="GA583">
            <v>45150</v>
          </cell>
          <cell r="GC583">
            <v>45136</v>
          </cell>
          <cell r="GG583" t="str">
            <v>2023-2024</v>
          </cell>
        </row>
        <row r="584">
          <cell r="E584" t="str">
            <v>GF Annai Fatima Complex East Coast Raod  , Pudupattinam Chengalpattu , Opp To Peter England Showroom  , PUDUPATTINAM , 603102</v>
          </cell>
          <cell r="F584" t="str">
            <v>9. EPC Ready</v>
          </cell>
          <cell r="G584" t="str">
            <v>SPTNTHA3730</v>
          </cell>
          <cell r="H584" t="str">
            <v>TN-SM-PUD-3000</v>
          </cell>
          <cell r="I584" t="str">
            <v>TAKW</v>
          </cell>
          <cell r="J584" t="str">
            <v>QFYM</v>
          </cell>
          <cell r="K584" t="str">
            <v>S</v>
          </cell>
          <cell r="L584" t="str">
            <v>AK</v>
          </cell>
          <cell r="M584" t="str">
            <v>EPC Ready</v>
          </cell>
          <cell r="N584" t="str">
            <v>N Kalyankumar</v>
          </cell>
          <cell r="O584" t="str">
            <v>Muthuvelu Minnal /
Vijayakumar Muthusamy</v>
          </cell>
          <cell r="Q584" t="str">
            <v>Gaurav Shinde</v>
          </cell>
          <cell r="S584" t="str">
            <v>Tamil Nadu</v>
          </cell>
          <cell r="T584" t="str">
            <v>Pudupattinam</v>
          </cell>
          <cell r="U584" t="str">
            <v>Non Premium</v>
          </cell>
          <cell r="V584" t="str">
            <v>Pharma Format</v>
          </cell>
          <cell r="W584">
            <v>400</v>
          </cell>
          <cell r="X584" t="str">
            <v>GF Annai Fatima Complex East Coast Raod  , Pudupattinam Chengalpattu , Opp To Peter England Showroom  , PUDUPATTINAM , 603102</v>
          </cell>
          <cell r="Y584">
            <v>45163</v>
          </cell>
          <cell r="Z584" t="str">
            <v>NA</v>
          </cell>
          <cell r="AB584" t="str">
            <v>NA</v>
          </cell>
          <cell r="AF584" t="str">
            <v>NA</v>
          </cell>
          <cell r="AK584">
            <v>45162</v>
          </cell>
          <cell r="AL584" t="str">
            <v>Received</v>
          </cell>
          <cell r="AO584">
            <v>3</v>
          </cell>
          <cell r="AS584">
            <v>-3</v>
          </cell>
          <cell r="AU584">
            <v>4</v>
          </cell>
          <cell r="AY584">
            <v>-4</v>
          </cell>
          <cell r="BA584">
            <v>5</v>
          </cell>
          <cell r="BE584">
            <v>-5</v>
          </cell>
          <cell r="BG584">
            <v>5</v>
          </cell>
          <cell r="BK584">
            <v>-5</v>
          </cell>
          <cell r="BM584">
            <v>3</v>
          </cell>
          <cell r="BP584">
            <v>3</v>
          </cell>
          <cell r="BW584" t="str">
            <v>Done</v>
          </cell>
          <cell r="BX584">
            <v>45079</v>
          </cell>
          <cell r="BY584" t="str">
            <v>Approved</v>
          </cell>
          <cell r="CD584">
            <v>45162</v>
          </cell>
          <cell r="CE584">
            <v>45217</v>
          </cell>
          <cell r="CG584" t="str">
            <v>M/s AGS CIVIL AND INTERIOR PVT LTD</v>
          </cell>
          <cell r="CI584" t="str">
            <v>Issued</v>
          </cell>
          <cell r="DG584" t="str">
            <v>Netmed SDP - Not in Dead Rental</v>
          </cell>
          <cell r="DK584">
            <v>45225</v>
          </cell>
          <cell r="DL584">
            <v>45209</v>
          </cell>
          <cell r="DM584">
            <v>2</v>
          </cell>
          <cell r="DN584" t="str">
            <v>0 to 3 Days</v>
          </cell>
          <cell r="DP584">
            <v>45220</v>
          </cell>
          <cell r="DQ584">
            <v>45227</v>
          </cell>
          <cell r="DR584">
            <v>7</v>
          </cell>
          <cell r="DS584">
            <v>7</v>
          </cell>
          <cell r="DU584">
            <v>45234</v>
          </cell>
          <cell r="DV584">
            <v>45227</v>
          </cell>
          <cell r="DW584">
            <v>45234</v>
          </cell>
          <cell r="DX584" t="str">
            <v>Nov 23 Week 1</v>
          </cell>
          <cell r="DZ584">
            <v>45271</v>
          </cell>
          <cell r="EA584" t="str">
            <v>Dec 23 Week 2</v>
          </cell>
          <cell r="EB584" t="str">
            <v>Backlog</v>
          </cell>
          <cell r="ED584" t="str">
            <v/>
          </cell>
          <cell r="EE584" t="str">
            <v/>
          </cell>
          <cell r="EF584">
            <v>1</v>
          </cell>
          <cell r="EG584">
            <v>1</v>
          </cell>
          <cell r="FD584">
            <v>37</v>
          </cell>
          <cell r="FE584" t="str">
            <v>31 to 61 Days</v>
          </cell>
          <cell r="FF584">
            <v>44</v>
          </cell>
          <cell r="FG584" t="str">
            <v>31 to 61 Days</v>
          </cell>
          <cell r="FH584" t="str">
            <v>Done</v>
          </cell>
          <cell r="FJ584" t="str">
            <v>NA</v>
          </cell>
          <cell r="FK584">
            <v>45457</v>
          </cell>
          <cell r="FM584" t="str">
            <v/>
          </cell>
          <cell r="GA584">
            <v>45304</v>
          </cell>
          <cell r="GC584">
            <v>45227</v>
          </cell>
          <cell r="GG584" t="str">
            <v>2023-2024</v>
          </cell>
        </row>
        <row r="585">
          <cell r="E585" t="str">
            <v>Sucha Singh Building Punjabi More Po  , Paschim Burdwan , Searsol Rajbari Ps Raniganj Raniganj  , RANIGANJ , 713358</v>
          </cell>
          <cell r="F585" t="str">
            <v>14. Dropped</v>
          </cell>
          <cell r="G585" t="str">
            <v>SPWBRAP4201</v>
          </cell>
          <cell r="H585" t="str">
            <v>WB-SM-RGN-3003</v>
          </cell>
          <cell r="I585" t="str">
            <v>TAPF</v>
          </cell>
          <cell r="J585" t="str">
            <v>QF5I</v>
          </cell>
          <cell r="K585" t="str">
            <v xml:space="preserve">E </v>
          </cell>
          <cell r="L585" t="str">
            <v>SD</v>
          </cell>
          <cell r="M585" t="str">
            <v>Dropped</v>
          </cell>
          <cell r="N585" t="str">
            <v>Mahendrakumar Warma</v>
          </cell>
          <cell r="O585" t="str">
            <v xml:space="preserve">Sandeepta Gayen </v>
          </cell>
          <cell r="Q585" t="str">
            <v>Gaurav Shinde</v>
          </cell>
          <cell r="S585" t="str">
            <v>West Bengal</v>
          </cell>
          <cell r="T585" t="str">
            <v>Ranigunj</v>
          </cell>
          <cell r="U585" t="str">
            <v>Non Premium</v>
          </cell>
          <cell r="V585" t="str">
            <v>Pharma Format</v>
          </cell>
          <cell r="W585">
            <v>400</v>
          </cell>
          <cell r="X585" t="str">
            <v>Sucha Singh Building Punjabi More Po  , Paschim Burdwan , Searsol Rajbari Ps Raniganj Raniganj  , RANIGANJ , 713358</v>
          </cell>
          <cell r="Z585" t="str">
            <v>NA</v>
          </cell>
          <cell r="AB585" t="str">
            <v>NA</v>
          </cell>
          <cell r="AF585" t="str">
            <v>NA</v>
          </cell>
          <cell r="AK585">
            <v>45163</v>
          </cell>
          <cell r="AL585" t="str">
            <v>Received</v>
          </cell>
          <cell r="AO585">
            <v>3</v>
          </cell>
          <cell r="AS585">
            <v>-3</v>
          </cell>
          <cell r="AU585">
            <v>4</v>
          </cell>
          <cell r="AY585">
            <v>-4</v>
          </cell>
          <cell r="BA585">
            <v>5</v>
          </cell>
          <cell r="BE585">
            <v>-5</v>
          </cell>
          <cell r="BG585">
            <v>5</v>
          </cell>
          <cell r="BK585">
            <v>-5</v>
          </cell>
          <cell r="BM585">
            <v>3</v>
          </cell>
          <cell r="BP585">
            <v>3</v>
          </cell>
          <cell r="BW585" t="str">
            <v>Done</v>
          </cell>
          <cell r="BX585">
            <v>45079</v>
          </cell>
          <cell r="BY585" t="str">
            <v>Approved</v>
          </cell>
          <cell r="CD585">
            <v>45163</v>
          </cell>
          <cell r="CG585" t="str">
            <v>M/s. SNEHANGI TRADERS</v>
          </cell>
          <cell r="DG585" t="str">
            <v>Netmed SDP - Not in Dead Rental</v>
          </cell>
          <cell r="DM585" t="str">
            <v>NA</v>
          </cell>
          <cell r="DN585" t="str">
            <v>NA</v>
          </cell>
          <cell r="DR585">
            <v>7</v>
          </cell>
          <cell r="DS585">
            <v>7</v>
          </cell>
          <cell r="DU585">
            <v>7</v>
          </cell>
          <cell r="DV585">
            <v>7</v>
          </cell>
          <cell r="DW585">
            <v>7</v>
          </cell>
          <cell r="EA585" t="str">
            <v/>
          </cell>
          <cell r="ED585" t="str">
            <v/>
          </cell>
          <cell r="EE585" t="str">
            <v/>
          </cell>
          <cell r="EF585">
            <v>1</v>
          </cell>
          <cell r="FD585">
            <v>46114</v>
          </cell>
          <cell r="FF585">
            <v>46114</v>
          </cell>
          <cell r="FJ585" t="str">
            <v>NA</v>
          </cell>
          <cell r="FM585" t="str">
            <v/>
          </cell>
          <cell r="GG585" t="str">
            <v>2024-2025</v>
          </cell>
        </row>
        <row r="586">
          <cell r="E586" t="str">
            <v>S F No 1 2De3 Thuraiyur Main Road Near  , Bunk Musiri Trichy , Sadasivam Pillai Petrol  , MUSIRI , 621211</v>
          </cell>
          <cell r="F586" t="str">
            <v>9. EPC Ready</v>
          </cell>
          <cell r="G586" t="str">
            <v>SPTNMUR3855</v>
          </cell>
          <cell r="H586" t="str">
            <v>TN-SM-MII-3000</v>
          </cell>
          <cell r="I586" t="str">
            <v>TYUL</v>
          </cell>
          <cell r="J586" t="str">
            <v>QB2P</v>
          </cell>
          <cell r="K586" t="str">
            <v>S</v>
          </cell>
          <cell r="L586" t="str">
            <v>AK</v>
          </cell>
          <cell r="M586" t="str">
            <v>EPC Ready</v>
          </cell>
          <cell r="N586" t="str">
            <v>N Kalyankumar</v>
          </cell>
          <cell r="O586" t="str">
            <v>Muthuvelu Minnal /
Vijayakumar Muthusamy</v>
          </cell>
          <cell r="Q586" t="str">
            <v>Gaurav Shinde</v>
          </cell>
          <cell r="S586" t="str">
            <v>Tamil Nadu</v>
          </cell>
          <cell r="T586" t="str">
            <v>Musiri</v>
          </cell>
          <cell r="U586" t="str">
            <v>Non Premium</v>
          </cell>
          <cell r="V586" t="str">
            <v>Pharma Format</v>
          </cell>
          <cell r="W586">
            <v>400</v>
          </cell>
          <cell r="X586" t="str">
            <v>S F No 1 2De3 Thuraiyur Main Road Near  , Bunk Musiri Trichy , Sadasivam Pillai Petrol  , MUSIRI , 621211</v>
          </cell>
          <cell r="Y586">
            <v>45166</v>
          </cell>
          <cell r="Z586" t="str">
            <v>NA</v>
          </cell>
          <cell r="AB586" t="str">
            <v>NA</v>
          </cell>
          <cell r="AF586" t="str">
            <v>NA</v>
          </cell>
          <cell r="AK586">
            <v>45204</v>
          </cell>
          <cell r="AL586" t="str">
            <v>Received</v>
          </cell>
          <cell r="AO586">
            <v>3</v>
          </cell>
          <cell r="AS586">
            <v>-3</v>
          </cell>
          <cell r="AU586">
            <v>4</v>
          </cell>
          <cell r="AY586">
            <v>-4</v>
          </cell>
          <cell r="BA586">
            <v>5</v>
          </cell>
          <cell r="BE586">
            <v>-5</v>
          </cell>
          <cell r="BG586">
            <v>5</v>
          </cell>
          <cell r="BK586">
            <v>-5</v>
          </cell>
          <cell r="BM586">
            <v>3</v>
          </cell>
          <cell r="BP586">
            <v>3</v>
          </cell>
          <cell r="BW586" t="str">
            <v>Done</v>
          </cell>
          <cell r="BX586">
            <v>45079</v>
          </cell>
          <cell r="BY586" t="str">
            <v>Approved</v>
          </cell>
          <cell r="CD586">
            <v>45163</v>
          </cell>
          <cell r="CE586">
            <v>45192</v>
          </cell>
          <cell r="CG586" t="str">
            <v>M/s MAACON</v>
          </cell>
          <cell r="CI586" t="str">
            <v>Issued</v>
          </cell>
          <cell r="DG586" t="str">
            <v>Netmed SDP - Not in Dead Rental</v>
          </cell>
          <cell r="DK586">
            <v>45222</v>
          </cell>
          <cell r="DL586">
            <v>45209</v>
          </cell>
          <cell r="DM586">
            <v>2</v>
          </cell>
          <cell r="DN586" t="str">
            <v>0 to 3 Days</v>
          </cell>
          <cell r="DP586">
            <v>45195</v>
          </cell>
          <cell r="DQ586">
            <v>45224</v>
          </cell>
          <cell r="DR586">
            <v>7</v>
          </cell>
          <cell r="DS586">
            <v>7</v>
          </cell>
          <cell r="DU586">
            <v>45231</v>
          </cell>
          <cell r="DV586">
            <v>45202</v>
          </cell>
          <cell r="DW586">
            <v>45231</v>
          </cell>
          <cell r="DX586" t="str">
            <v>Nov 23 Week 1</v>
          </cell>
          <cell r="DZ586">
            <v>45271</v>
          </cell>
          <cell r="EA586" t="str">
            <v>Dec 23 Week 2</v>
          </cell>
          <cell r="EB586" t="str">
            <v>Backlog</v>
          </cell>
          <cell r="ED586" t="str">
            <v/>
          </cell>
          <cell r="EE586" t="str">
            <v/>
          </cell>
          <cell r="EF586">
            <v>1</v>
          </cell>
          <cell r="EG586">
            <v>1</v>
          </cell>
          <cell r="FD586">
            <v>40</v>
          </cell>
          <cell r="FE586" t="str">
            <v>31 to 61 Days</v>
          </cell>
          <cell r="FF586">
            <v>69</v>
          </cell>
          <cell r="FG586" t="str">
            <v>62 to 90 Days</v>
          </cell>
          <cell r="FH586" t="str">
            <v>Done</v>
          </cell>
          <cell r="FI586" t="str">
            <v>Done</v>
          </cell>
          <cell r="FJ586" t="str">
            <v>NA</v>
          </cell>
          <cell r="FK586">
            <v>45299</v>
          </cell>
          <cell r="FM586" t="str">
            <v/>
          </cell>
          <cell r="GA586">
            <v>45315</v>
          </cell>
          <cell r="GC586">
            <v>45224</v>
          </cell>
          <cell r="GG586" t="str">
            <v>2023-2024</v>
          </cell>
        </row>
        <row r="587">
          <cell r="E587" t="str">
            <v>Chooralil Buildingpambakuda  ,  , Muvattupuzha  , ERNAKULAM , 682016</v>
          </cell>
          <cell r="F587" t="str">
            <v>9. EPC Ready</v>
          </cell>
          <cell r="G587" t="str">
            <v>SPKLMUC3389</v>
          </cell>
          <cell r="H587" t="str">
            <v>KE-SM-MUV-3004</v>
          </cell>
          <cell r="I587" t="str">
            <v>TXNQ</v>
          </cell>
          <cell r="J587" t="str">
            <v>Q8XD</v>
          </cell>
          <cell r="K587" t="str">
            <v>S</v>
          </cell>
          <cell r="L587" t="str">
            <v>AK</v>
          </cell>
          <cell r="M587" t="str">
            <v>EPC Ready</v>
          </cell>
          <cell r="N587" t="str">
            <v>N Kalyankumar</v>
          </cell>
          <cell r="O587" t="str">
            <v>Jose Loviece</v>
          </cell>
          <cell r="P587" t="str">
            <v>Jose Loviese-6361753673</v>
          </cell>
          <cell r="Q587" t="str">
            <v>Gaurav Shinde</v>
          </cell>
          <cell r="S587" t="str">
            <v>Kerala</v>
          </cell>
          <cell r="T587" t="str">
            <v>Muvattupuzha</v>
          </cell>
          <cell r="U587" t="str">
            <v>Non Premium</v>
          </cell>
          <cell r="V587" t="str">
            <v>Pharma Format</v>
          </cell>
          <cell r="W587">
            <v>400</v>
          </cell>
          <cell r="X587" t="str">
            <v>Chooralil Buildingpambakuda  ,  , Muvattupuzha  , ERNAKULAM , 682016</v>
          </cell>
          <cell r="Y587">
            <v>45167</v>
          </cell>
          <cell r="Z587" t="str">
            <v>NA</v>
          </cell>
          <cell r="AB587" t="str">
            <v>NA</v>
          </cell>
          <cell r="AF587" t="str">
            <v>NA</v>
          </cell>
          <cell r="AK587">
            <v>45162</v>
          </cell>
          <cell r="AL587" t="str">
            <v>Received</v>
          </cell>
          <cell r="AO587">
            <v>3</v>
          </cell>
          <cell r="AS587">
            <v>-3</v>
          </cell>
          <cell r="AU587">
            <v>4</v>
          </cell>
          <cell r="AY587">
            <v>-4</v>
          </cell>
          <cell r="BA587">
            <v>5</v>
          </cell>
          <cell r="BE587">
            <v>-5</v>
          </cell>
          <cell r="BG587">
            <v>5</v>
          </cell>
          <cell r="BK587">
            <v>-5</v>
          </cell>
          <cell r="BM587">
            <v>3</v>
          </cell>
          <cell r="BP587">
            <v>3</v>
          </cell>
          <cell r="BW587" t="str">
            <v>Done</v>
          </cell>
          <cell r="BX587">
            <v>45079</v>
          </cell>
          <cell r="BY587" t="str">
            <v>Approved</v>
          </cell>
          <cell r="CD587">
            <v>45163</v>
          </cell>
          <cell r="CE587">
            <v>45180</v>
          </cell>
          <cell r="CG587" t="str">
            <v>M/s. TVS Supply Chain Solution.</v>
          </cell>
          <cell r="CI587" t="str">
            <v>Issued</v>
          </cell>
          <cell r="DG587" t="str">
            <v>Netmed SDP - Not in Dead Rental</v>
          </cell>
          <cell r="DK587">
            <v>45231</v>
          </cell>
          <cell r="DL587">
            <v>45168</v>
          </cell>
          <cell r="DM587">
            <v>2</v>
          </cell>
          <cell r="DN587" t="str">
            <v>0 to 3 Days</v>
          </cell>
          <cell r="DP587">
            <v>45183</v>
          </cell>
          <cell r="DQ587">
            <v>45233</v>
          </cell>
          <cell r="DR587">
            <v>7</v>
          </cell>
          <cell r="DS587">
            <v>7</v>
          </cell>
          <cell r="DU587">
            <v>45240</v>
          </cell>
          <cell r="DV587">
            <v>45190</v>
          </cell>
          <cell r="DW587">
            <v>45240</v>
          </cell>
          <cell r="DX587" t="str">
            <v>Nov 23 Week 2</v>
          </cell>
          <cell r="DZ587">
            <v>45265</v>
          </cell>
          <cell r="EA587" t="str">
            <v>Dec 23 Week 1</v>
          </cell>
          <cell r="EB587" t="str">
            <v>Backlog</v>
          </cell>
          <cell r="ED587" t="str">
            <v/>
          </cell>
          <cell r="EE587" t="str">
            <v/>
          </cell>
          <cell r="EF587">
            <v>1</v>
          </cell>
          <cell r="EG587">
            <v>1</v>
          </cell>
          <cell r="FD587">
            <v>25</v>
          </cell>
          <cell r="FE587" t="str">
            <v>16 to 31 Days</v>
          </cell>
          <cell r="FF587">
            <v>75</v>
          </cell>
          <cell r="FG587" t="str">
            <v>62 to 90 Days</v>
          </cell>
          <cell r="FH587" t="str">
            <v>Done</v>
          </cell>
          <cell r="FI587" t="str">
            <v>Done</v>
          </cell>
          <cell r="FJ587" t="str">
            <v>NA</v>
          </cell>
          <cell r="FK587">
            <v>45302</v>
          </cell>
          <cell r="FM587" t="str">
            <v/>
          </cell>
          <cell r="GA587">
            <v>45275</v>
          </cell>
          <cell r="GC587">
            <v>45233</v>
          </cell>
          <cell r="GG587" t="str">
            <v>2023-2024</v>
          </cell>
        </row>
        <row r="588">
          <cell r="E588" t="str">
            <v>GF Abdul Matin Market Plot No 88 - 92  , Mauza-Pandarpur, PS-Rauta, Dist-Purnea , Khata No 18, Revenue Thana No 67  , RAUTA , 854315</v>
          </cell>
          <cell r="F588" t="str">
            <v>9. EPC Ready</v>
          </cell>
          <cell r="G588" t="str">
            <v>SPBHROM3865</v>
          </cell>
          <cell r="H588" t="str">
            <v>BH-SM-ROU-3000</v>
          </cell>
          <cell r="I588" t="str">
            <v>TYHE</v>
          </cell>
          <cell r="J588" t="str">
            <v>QBMU</v>
          </cell>
          <cell r="K588" t="str">
            <v xml:space="preserve">E </v>
          </cell>
          <cell r="L588" t="str">
            <v>AK</v>
          </cell>
          <cell r="M588" t="str">
            <v>EPC Ready</v>
          </cell>
          <cell r="Q588" t="str">
            <v>Gaurav Shinde</v>
          </cell>
          <cell r="S588" t="str">
            <v>Bihar</v>
          </cell>
          <cell r="T588" t="str">
            <v>Routa</v>
          </cell>
          <cell r="U588" t="str">
            <v>Non Premium</v>
          </cell>
          <cell r="V588" t="str">
            <v>Pharma Format</v>
          </cell>
          <cell r="W588">
            <v>403</v>
          </cell>
          <cell r="X588" t="str">
            <v>GF Abdul Matin Market Plot No 88 - 92  , Mauza-Pandarpur, PS-Rauta, Dist-Purnea , Khata No 18, Revenue Thana No 67  , RAUTA , 854315</v>
          </cell>
          <cell r="Y588">
            <v>45166</v>
          </cell>
          <cell r="Z588" t="str">
            <v>NA</v>
          </cell>
          <cell r="AB588" t="str">
            <v>NA</v>
          </cell>
          <cell r="AF588" t="str">
            <v>NA</v>
          </cell>
          <cell r="AK588">
            <v>45184</v>
          </cell>
          <cell r="AL588" t="str">
            <v>Received</v>
          </cell>
          <cell r="AO588">
            <v>3</v>
          </cell>
          <cell r="AS588">
            <v>-3</v>
          </cell>
          <cell r="AU588">
            <v>4</v>
          </cell>
          <cell r="AY588">
            <v>-4</v>
          </cell>
          <cell r="BA588">
            <v>5</v>
          </cell>
          <cell r="BE588">
            <v>-5</v>
          </cell>
          <cell r="BG588">
            <v>5</v>
          </cell>
          <cell r="BK588">
            <v>-5</v>
          </cell>
          <cell r="BM588">
            <v>3</v>
          </cell>
          <cell r="BP588">
            <v>3</v>
          </cell>
          <cell r="BW588" t="str">
            <v>Done</v>
          </cell>
          <cell r="BX588">
            <v>45079</v>
          </cell>
          <cell r="BY588" t="str">
            <v>Approved</v>
          </cell>
          <cell r="CD588">
            <v>45163</v>
          </cell>
          <cell r="CE588">
            <v>45175</v>
          </cell>
          <cell r="CG588" t="str">
            <v xml:space="preserve">M/S RECON </v>
          </cell>
          <cell r="CI588" t="str">
            <v>Issued</v>
          </cell>
          <cell r="DG588" t="str">
            <v>Netmed SDP - Not in Dead Rental</v>
          </cell>
          <cell r="DK588">
            <v>45285</v>
          </cell>
          <cell r="DM588">
            <v>2</v>
          </cell>
          <cell r="DN588" t="str">
            <v>0 to 3 Days</v>
          </cell>
          <cell r="DP588">
            <v>45178</v>
          </cell>
          <cell r="DQ588">
            <v>45287</v>
          </cell>
          <cell r="DR588">
            <v>7</v>
          </cell>
          <cell r="DS588">
            <v>7</v>
          </cell>
          <cell r="DU588">
            <v>45294</v>
          </cell>
          <cell r="DV588">
            <v>45185</v>
          </cell>
          <cell r="DW588">
            <v>45294</v>
          </cell>
          <cell r="DX588" t="str">
            <v>Jan 24 Week 1</v>
          </cell>
          <cell r="DZ588">
            <v>45300</v>
          </cell>
          <cell r="EA588" t="str">
            <v>Jan 24 Week 2</v>
          </cell>
          <cell r="EB588" t="str">
            <v>Backlog</v>
          </cell>
          <cell r="ED588" t="str">
            <v/>
          </cell>
          <cell r="EE588" t="str">
            <v/>
          </cell>
          <cell r="EF588">
            <v>1</v>
          </cell>
          <cell r="EG588">
            <v>1</v>
          </cell>
          <cell r="FD588">
            <v>6</v>
          </cell>
          <cell r="FE588" t="str">
            <v>4 to 7 Days</v>
          </cell>
          <cell r="FF588">
            <v>115</v>
          </cell>
          <cell r="FG588" t="str">
            <v>More Than 90  Days</v>
          </cell>
          <cell r="FH588" t="str">
            <v>Done</v>
          </cell>
          <cell r="FI588" t="str">
            <v>Done</v>
          </cell>
          <cell r="FJ588" t="str">
            <v>NA</v>
          </cell>
          <cell r="FK588">
            <v>45300</v>
          </cell>
          <cell r="FM588" t="str">
            <v/>
          </cell>
          <cell r="GA588">
            <v>45299</v>
          </cell>
          <cell r="GG588" t="str">
            <v>2023-2024</v>
          </cell>
        </row>
        <row r="589">
          <cell r="E589" t="str">
            <v>GF, Dag No142, Under Patta No 68  , Mouza - Saidoria, Dist - Nagaon , Phakoli, Revenue Circle Rupohi,  , RUPAHI TOWN , 782125</v>
          </cell>
          <cell r="F589" t="str">
            <v>9. EPC Ready</v>
          </cell>
          <cell r="G589" t="str">
            <v>SPASRUM3780</v>
          </cell>
          <cell r="H589" t="str">
            <v>NE-SM-RPH-3000</v>
          </cell>
          <cell r="I589" t="str">
            <v>TAKR</v>
          </cell>
          <cell r="J589" t="str">
            <v>QFWM</v>
          </cell>
          <cell r="K589" t="str">
            <v xml:space="preserve">E </v>
          </cell>
          <cell r="L589" t="str">
            <v>SD</v>
          </cell>
          <cell r="M589" t="str">
            <v>EPC Ready</v>
          </cell>
          <cell r="N589" t="str">
            <v>Mahendrakumar Warma</v>
          </cell>
          <cell r="O589" t="str">
            <v>Anup das (EXCEPT SIKKIM)</v>
          </cell>
          <cell r="P589" t="str">
            <v>Suman Das-7044069904</v>
          </cell>
          <cell r="Q589" t="str">
            <v>Gaurav Shinde</v>
          </cell>
          <cell r="S589" t="str">
            <v>Assam</v>
          </cell>
          <cell r="T589" t="str">
            <v>RUPOHI</v>
          </cell>
          <cell r="U589" t="str">
            <v>Non Premium</v>
          </cell>
          <cell r="V589" t="str">
            <v>Pharma Format</v>
          </cell>
          <cell r="W589">
            <v>426</v>
          </cell>
          <cell r="X589" t="str">
            <v>GF, Dag No142, Under Patta No 68  , Mouza - Saidoria, Dist - Nagaon , Phakoli, Revenue Circle Rupohi,  , RUPAHI TOWN , 782125</v>
          </cell>
          <cell r="Z589" t="str">
            <v>NA</v>
          </cell>
          <cell r="AB589" t="str">
            <v>NA</v>
          </cell>
          <cell r="AF589" t="str">
            <v>NA</v>
          </cell>
          <cell r="AK589">
            <v>45164</v>
          </cell>
          <cell r="AL589" t="str">
            <v>Received</v>
          </cell>
          <cell r="AO589">
            <v>3</v>
          </cell>
          <cell r="AS589">
            <v>-3</v>
          </cell>
          <cell r="AU589">
            <v>4</v>
          </cell>
          <cell r="AY589">
            <v>-4</v>
          </cell>
          <cell r="BA589">
            <v>5</v>
          </cell>
          <cell r="BE589">
            <v>-5</v>
          </cell>
          <cell r="BG589">
            <v>5</v>
          </cell>
          <cell r="BK589">
            <v>-5</v>
          </cell>
          <cell r="BM589">
            <v>3</v>
          </cell>
          <cell r="BP589">
            <v>3</v>
          </cell>
          <cell r="BW589" t="str">
            <v>Done</v>
          </cell>
          <cell r="BX589">
            <v>45079</v>
          </cell>
          <cell r="BY589" t="str">
            <v>Approved</v>
          </cell>
          <cell r="CD589">
            <v>45163</v>
          </cell>
          <cell r="CE589">
            <v>45173</v>
          </cell>
          <cell r="CG589" t="str">
            <v>M/s. SPACEXCOM Pvt Ltd</v>
          </cell>
          <cell r="CI589" t="str">
            <v>Issued</v>
          </cell>
          <cell r="DG589" t="str">
            <v>Netmed SDP - Not in Dead Rental</v>
          </cell>
          <cell r="DK589">
            <v>45253</v>
          </cell>
          <cell r="DL589">
            <v>45178</v>
          </cell>
          <cell r="DM589">
            <v>2</v>
          </cell>
          <cell r="DN589" t="str">
            <v>0 to 3 Days</v>
          </cell>
          <cell r="DP589">
            <v>45176</v>
          </cell>
          <cell r="DQ589">
            <v>45255</v>
          </cell>
          <cell r="DR589">
            <v>7</v>
          </cell>
          <cell r="DS589">
            <v>7</v>
          </cell>
          <cell r="DU589">
            <v>45262</v>
          </cell>
          <cell r="DV589">
            <v>45183</v>
          </cell>
          <cell r="DW589">
            <v>45262</v>
          </cell>
          <cell r="DX589" t="str">
            <v>Dec 23 Week 1</v>
          </cell>
          <cell r="DZ589">
            <v>45268</v>
          </cell>
          <cell r="EA589" t="str">
            <v>Dec 23 Week 2</v>
          </cell>
          <cell r="EB589" t="str">
            <v>Backlog</v>
          </cell>
          <cell r="ED589" t="str">
            <v/>
          </cell>
          <cell r="EE589" t="str">
            <v/>
          </cell>
          <cell r="EF589">
            <v>1</v>
          </cell>
          <cell r="EG589">
            <v>1</v>
          </cell>
          <cell r="FD589">
            <v>6</v>
          </cell>
          <cell r="FE589" t="str">
            <v>4 to 7 Days</v>
          </cell>
          <cell r="FF589">
            <v>85</v>
          </cell>
          <cell r="FG589" t="str">
            <v>62 to 90 Days</v>
          </cell>
          <cell r="FH589" t="str">
            <v>Done</v>
          </cell>
          <cell r="FI589" t="str">
            <v>Done</v>
          </cell>
          <cell r="FJ589" t="str">
            <v>NA</v>
          </cell>
          <cell r="FK589">
            <v>45316</v>
          </cell>
          <cell r="FM589" t="str">
            <v/>
          </cell>
          <cell r="GC589">
            <v>45211</v>
          </cell>
          <cell r="GG589" t="str">
            <v>2023-2024</v>
          </cell>
        </row>
        <row r="590">
          <cell r="E590" t="str">
            <v>Kandi Katwa Road  , Mursidabad , Village Po Ps Salar  , SALAR , 742401</v>
          </cell>
          <cell r="F590" t="str">
            <v>9. EPC Ready</v>
          </cell>
          <cell r="G590" t="str">
            <v>SPWBSAS3657</v>
          </cell>
          <cell r="H590" t="str">
            <v>WB-SM-SLR-3000</v>
          </cell>
          <cell r="I590" t="str">
            <v>TYLW</v>
          </cell>
          <cell r="J590" t="str">
            <v>QBSH</v>
          </cell>
          <cell r="K590" t="str">
            <v xml:space="preserve">E </v>
          </cell>
          <cell r="L590" t="str">
            <v>SD</v>
          </cell>
          <cell r="M590" t="str">
            <v>EPC Ready</v>
          </cell>
          <cell r="N590" t="str">
            <v>Mahendrakumar Warma</v>
          </cell>
          <cell r="O590" t="str">
            <v xml:space="preserve">Sandeepta Gayen </v>
          </cell>
          <cell r="Q590" t="str">
            <v>Gaurav Shinde</v>
          </cell>
          <cell r="S590" t="str">
            <v>West Bengal</v>
          </cell>
          <cell r="T590" t="str">
            <v>Salar</v>
          </cell>
          <cell r="U590" t="str">
            <v>Non Premium</v>
          </cell>
          <cell r="V590" t="str">
            <v>Pharma Format</v>
          </cell>
          <cell r="W590">
            <v>400</v>
          </cell>
          <cell r="X590" t="str">
            <v>Kandi Katwa Road  , Mursidabad , Village Po Ps Salar  , SALAR , 742401</v>
          </cell>
          <cell r="Y590">
            <v>45163</v>
          </cell>
          <cell r="Z590" t="str">
            <v>NA</v>
          </cell>
          <cell r="AB590" t="str">
            <v>NA</v>
          </cell>
          <cell r="AF590" t="str">
            <v>NA</v>
          </cell>
          <cell r="AK590">
            <v>45182</v>
          </cell>
          <cell r="AL590" t="str">
            <v>Received</v>
          </cell>
          <cell r="AO590">
            <v>3</v>
          </cell>
          <cell r="AS590">
            <v>-3</v>
          </cell>
          <cell r="AU590">
            <v>4</v>
          </cell>
          <cell r="AY590">
            <v>-4</v>
          </cell>
          <cell r="BA590">
            <v>5</v>
          </cell>
          <cell r="BE590">
            <v>-5</v>
          </cell>
          <cell r="BG590">
            <v>5</v>
          </cell>
          <cell r="BK590">
            <v>-5</v>
          </cell>
          <cell r="BM590">
            <v>3</v>
          </cell>
          <cell r="BP590">
            <v>3</v>
          </cell>
          <cell r="BW590" t="str">
            <v>Done</v>
          </cell>
          <cell r="BX590">
            <v>45079</v>
          </cell>
          <cell r="BY590" t="str">
            <v>Approved</v>
          </cell>
          <cell r="CD590">
            <v>45162</v>
          </cell>
          <cell r="CE590">
            <v>45181</v>
          </cell>
          <cell r="CG590" t="str">
            <v>M/s. SAMRIDDHI ENTERPRISE</v>
          </cell>
          <cell r="CI590" t="str">
            <v>Issued</v>
          </cell>
          <cell r="DG590" t="str">
            <v>Netmed SDP - Not in Dead Rental</v>
          </cell>
          <cell r="DK590">
            <v>45199</v>
          </cell>
          <cell r="DM590">
            <v>2</v>
          </cell>
          <cell r="DN590" t="str">
            <v>0 to 3 Days</v>
          </cell>
          <cell r="DP590">
            <v>45184</v>
          </cell>
          <cell r="DQ590">
            <v>45201</v>
          </cell>
          <cell r="DR590">
            <v>7</v>
          </cell>
          <cell r="DS590">
            <v>7</v>
          </cell>
          <cell r="DU590">
            <v>45208</v>
          </cell>
          <cell r="DV590">
            <v>45191</v>
          </cell>
          <cell r="DW590">
            <v>45208</v>
          </cell>
          <cell r="DX590" t="str">
            <v>Oct 23 Week 2</v>
          </cell>
          <cell r="DZ590">
            <v>45231</v>
          </cell>
          <cell r="EA590" t="str">
            <v>Nov 23 Week 1</v>
          </cell>
          <cell r="EB590" t="str">
            <v>Backlog</v>
          </cell>
          <cell r="ED590" t="str">
            <v/>
          </cell>
          <cell r="EE590" t="str">
            <v/>
          </cell>
          <cell r="EF590">
            <v>1</v>
          </cell>
          <cell r="EG590">
            <v>1</v>
          </cell>
          <cell r="FD590">
            <v>23</v>
          </cell>
          <cell r="FE590" t="str">
            <v>16 to 31 Days</v>
          </cell>
          <cell r="FF590">
            <v>40</v>
          </cell>
          <cell r="FG590" t="str">
            <v>31 to 61 Days</v>
          </cell>
          <cell r="FH590" t="str">
            <v>Done</v>
          </cell>
          <cell r="FI590" t="str">
            <v>Done</v>
          </cell>
          <cell r="FJ590" t="str">
            <v>NA</v>
          </cell>
          <cell r="FK590">
            <v>45261</v>
          </cell>
          <cell r="FM590" t="str">
            <v/>
          </cell>
          <cell r="GA590">
            <v>45231</v>
          </cell>
          <cell r="GC590">
            <v>45201</v>
          </cell>
          <cell r="GG590" t="str">
            <v>2023-2024</v>
          </cell>
        </row>
        <row r="591">
          <cell r="E591" t="str">
            <v>GF  Plot no 1/480 khatian No30/3 in  , SalboniADSR -Anandpur under sabloni , Mouza- Chakatrini  JL -401 Block&amp; PO &amp;PS  , Salboni , 721147</v>
          </cell>
          <cell r="F591" t="str">
            <v>9. EPC Ready</v>
          </cell>
          <cell r="G591" t="str">
            <v>SPWBSAC4104</v>
          </cell>
          <cell r="I591" t="str">
            <v>TAXD</v>
          </cell>
          <cell r="J591" t="str">
            <v>QGFU</v>
          </cell>
          <cell r="K591" t="str">
            <v xml:space="preserve">E </v>
          </cell>
          <cell r="L591" t="str">
            <v>SD</v>
          </cell>
          <cell r="M591" t="str">
            <v>EPC Ready</v>
          </cell>
          <cell r="N591" t="str">
            <v>Mahendrakumar Warma</v>
          </cell>
          <cell r="O591" t="str">
            <v xml:space="preserve">Sandeepta Gayen </v>
          </cell>
          <cell r="Q591" t="str">
            <v>Gaurav Shinde</v>
          </cell>
          <cell r="S591" t="str">
            <v>West Bengal</v>
          </cell>
          <cell r="T591" t="str">
            <v>Salboni</v>
          </cell>
          <cell r="U591" t="str">
            <v>Non Premium</v>
          </cell>
          <cell r="V591" t="str">
            <v>Pharma Format</v>
          </cell>
          <cell r="W591">
            <v>371</v>
          </cell>
          <cell r="X591" t="str">
            <v>GF  Plot no 1/480 khatian No30/3 in  , SalboniADSR -Anandpur under sabloni , Mouza- Chakatrini  JL -401 Block&amp; PO &amp;PS  , Salboni , 721147</v>
          </cell>
          <cell r="Y591">
            <v>45163</v>
          </cell>
          <cell r="Z591" t="str">
            <v>NA</v>
          </cell>
          <cell r="AB591" t="str">
            <v>NA</v>
          </cell>
          <cell r="AF591" t="str">
            <v>NA</v>
          </cell>
          <cell r="AK591">
            <v>45208</v>
          </cell>
          <cell r="AL591" t="str">
            <v>Received</v>
          </cell>
          <cell r="AO591">
            <v>3</v>
          </cell>
          <cell r="AS591">
            <v>-3</v>
          </cell>
          <cell r="AU591">
            <v>4</v>
          </cell>
          <cell r="AY591">
            <v>-4</v>
          </cell>
          <cell r="BA591">
            <v>5</v>
          </cell>
          <cell r="BE591">
            <v>-5</v>
          </cell>
          <cell r="BG591">
            <v>5</v>
          </cell>
          <cell r="BK591">
            <v>-5</v>
          </cell>
          <cell r="BM591">
            <v>3</v>
          </cell>
          <cell r="BP591">
            <v>3</v>
          </cell>
          <cell r="BW591" t="str">
            <v>Done</v>
          </cell>
          <cell r="BX591">
            <v>45079</v>
          </cell>
          <cell r="BY591" t="str">
            <v>Approved</v>
          </cell>
          <cell r="CD591">
            <v>45162</v>
          </cell>
          <cell r="CE591">
            <v>45167</v>
          </cell>
          <cell r="CG591" t="str">
            <v>M/s. STEELMAN TELECOM PVT LTD</v>
          </cell>
          <cell r="CI591" t="str">
            <v>Issued</v>
          </cell>
          <cell r="DG591" t="str">
            <v>Netmed SDP - Not in Dead Rental</v>
          </cell>
          <cell r="DK591">
            <v>45258</v>
          </cell>
          <cell r="DM591">
            <v>2</v>
          </cell>
          <cell r="DN591" t="str">
            <v>0 to 3 Days</v>
          </cell>
          <cell r="DP591">
            <v>45170</v>
          </cell>
          <cell r="DQ591">
            <v>45260</v>
          </cell>
          <cell r="DR591">
            <v>7</v>
          </cell>
          <cell r="DS591">
            <v>7</v>
          </cell>
          <cell r="DU591">
            <v>45267</v>
          </cell>
          <cell r="DV591">
            <v>45177</v>
          </cell>
          <cell r="DW591">
            <v>45267</v>
          </cell>
          <cell r="DX591" t="str">
            <v>Dec 23 Week 1</v>
          </cell>
          <cell r="DZ591">
            <v>45236</v>
          </cell>
          <cell r="EA591" t="str">
            <v>Nov 23 Week 1</v>
          </cell>
          <cell r="EB591" t="str">
            <v>Plan</v>
          </cell>
          <cell r="ED591" t="str">
            <v/>
          </cell>
          <cell r="EE591" t="str">
            <v/>
          </cell>
          <cell r="EF591">
            <v>1</v>
          </cell>
          <cell r="EG591">
            <v>1</v>
          </cell>
          <cell r="FD591">
            <v>-31</v>
          </cell>
          <cell r="FE591" t="str">
            <v>On Time</v>
          </cell>
          <cell r="FF591">
            <v>59</v>
          </cell>
          <cell r="FG591" t="str">
            <v>31 to 61 Days</v>
          </cell>
          <cell r="FH591" t="str">
            <v>Done</v>
          </cell>
          <cell r="FI591" t="str">
            <v>Done</v>
          </cell>
          <cell r="FJ591" t="str">
            <v>NA</v>
          </cell>
          <cell r="FK591">
            <v>45236</v>
          </cell>
          <cell r="FM591" t="str">
            <v/>
          </cell>
          <cell r="GA591">
            <v>45236</v>
          </cell>
          <cell r="GC591">
            <v>45212</v>
          </cell>
          <cell r="GG591" t="str">
            <v>2023-2024</v>
          </cell>
        </row>
        <row r="592">
          <cell r="E592" t="str">
            <v>GF Khata No 572 New Khesra No 9184  , Bibhutipur Samastipur , Shivnathpur Singhia Buzurg Singhiaghat  , SAMASTIPUR , 848236</v>
          </cell>
          <cell r="F592" t="str">
            <v>14. Dropped</v>
          </cell>
          <cell r="G592" t="str">
            <v>SPBHSAS2426</v>
          </cell>
          <cell r="H592" t="str">
            <v>BH-SM-SAM-3002</v>
          </cell>
          <cell r="I592" t="str">
            <v>TXQO</v>
          </cell>
          <cell r="J592" t="str">
            <v>Q8E2</v>
          </cell>
          <cell r="K592" t="str">
            <v xml:space="preserve">E </v>
          </cell>
          <cell r="L592" t="str">
            <v>AK</v>
          </cell>
          <cell r="M592" t="str">
            <v>Dropped</v>
          </cell>
          <cell r="Q592" t="str">
            <v>Gaurav Shinde</v>
          </cell>
          <cell r="S592" t="str">
            <v>Bihar</v>
          </cell>
          <cell r="T592" t="str">
            <v>Samastipur</v>
          </cell>
          <cell r="U592" t="str">
            <v>Non Premium</v>
          </cell>
          <cell r="V592" t="str">
            <v>Pharma Format</v>
          </cell>
          <cell r="W592">
            <v>400</v>
          </cell>
          <cell r="X592" t="str">
            <v>GF Khata No 572 New Khesra No 9184  , Bibhutipur Samastipur , Shivnathpur Singhia Buzurg Singhiaghat  , SAMASTIPUR , 848236</v>
          </cell>
          <cell r="Z592" t="str">
            <v>NA</v>
          </cell>
          <cell r="AB592" t="str">
            <v>NA</v>
          </cell>
          <cell r="AF592" t="str">
            <v>NA</v>
          </cell>
          <cell r="AL592" t="str">
            <v>NA</v>
          </cell>
          <cell r="AO592">
            <v>3</v>
          </cell>
          <cell r="AS592">
            <v>-3</v>
          </cell>
          <cell r="AU592">
            <v>4</v>
          </cell>
          <cell r="AY592">
            <v>-4</v>
          </cell>
          <cell r="BA592">
            <v>5</v>
          </cell>
          <cell r="BE592">
            <v>-5</v>
          </cell>
          <cell r="BG592">
            <v>5</v>
          </cell>
          <cell r="BK592">
            <v>-5</v>
          </cell>
          <cell r="BM592">
            <v>3</v>
          </cell>
          <cell r="BP592">
            <v>3</v>
          </cell>
          <cell r="BW592" t="str">
            <v>Done</v>
          </cell>
          <cell r="BX592">
            <v>45079</v>
          </cell>
          <cell r="BY592" t="str">
            <v>Approved</v>
          </cell>
          <cell r="DG592" t="str">
            <v>Netmed SDP - Not in Dead Rental</v>
          </cell>
          <cell r="DM592" t="str">
            <v>NA</v>
          </cell>
          <cell r="DN592" t="str">
            <v>NA</v>
          </cell>
          <cell r="DR592">
            <v>7</v>
          </cell>
          <cell r="DS592">
            <v>7</v>
          </cell>
          <cell r="DU592">
            <v>7</v>
          </cell>
          <cell r="DV592">
            <v>7</v>
          </cell>
          <cell r="DW592">
            <v>7</v>
          </cell>
          <cell r="EA592" t="str">
            <v/>
          </cell>
          <cell r="ED592" t="str">
            <v/>
          </cell>
          <cell r="EE592" t="str">
            <v/>
          </cell>
          <cell r="EF592">
            <v>1</v>
          </cell>
          <cell r="FD592">
            <v>46114</v>
          </cell>
          <cell r="FF592">
            <v>46114</v>
          </cell>
          <cell r="FJ592" t="str">
            <v>NA</v>
          </cell>
          <cell r="FM592" t="str">
            <v/>
          </cell>
          <cell r="GG592" t="str">
            <v>2024-2025</v>
          </cell>
        </row>
        <row r="593">
          <cell r="E593" t="str">
            <v>GF  Plot no  1785 1786 &amp; 1787 2160  , Tahasil &amp; PS  Kuchinda  Mouza , Khata no 404 548  Near Canara bank , Bypass road Dist Sambalpur Kuchinda town , SAMBALPUR , 768222</v>
          </cell>
          <cell r="F593" t="str">
            <v>14. Dropped</v>
          </cell>
          <cell r="G593" t="str">
            <v>SPORSAK4283</v>
          </cell>
          <cell r="H593" t="str">
            <v>OR-SM-KUC-3000</v>
          </cell>
          <cell r="I593" t="str">
            <v>TWDJ</v>
          </cell>
          <cell r="J593" t="str">
            <v>Q6MH</v>
          </cell>
          <cell r="K593" t="str">
            <v xml:space="preserve">E </v>
          </cell>
          <cell r="L593" t="str">
            <v>JD</v>
          </cell>
          <cell r="M593" t="str">
            <v>Dropped</v>
          </cell>
          <cell r="N593" t="str">
            <v>Jaisingh Desai</v>
          </cell>
          <cell r="Q593" t="str">
            <v>Gaurav Shinde</v>
          </cell>
          <cell r="S593" t="str">
            <v>Odisha</v>
          </cell>
          <cell r="T593" t="str">
            <v>Sambalpur</v>
          </cell>
          <cell r="U593" t="str">
            <v>Non Premium</v>
          </cell>
          <cell r="V593" t="str">
            <v>Pharma Format</v>
          </cell>
          <cell r="W593">
            <v>381</v>
          </cell>
          <cell r="X593" t="str">
            <v>GF  Plot no  1785 1786 &amp; 1787 2160  , Tahasil &amp; PS  Kuchinda  Mouza , Khata no 404 548  Near Canara bank , Bypass road Dist Sambalpur Kuchinda town , SAMBALPUR , 768222</v>
          </cell>
          <cell r="Z593" t="str">
            <v>NA</v>
          </cell>
          <cell r="AB593" t="str">
            <v>NA</v>
          </cell>
          <cell r="AF593" t="str">
            <v>NA</v>
          </cell>
          <cell r="AK593">
            <v>45163</v>
          </cell>
          <cell r="AL593" t="str">
            <v>Received</v>
          </cell>
          <cell r="AO593">
            <v>3</v>
          </cell>
          <cell r="AS593">
            <v>-3</v>
          </cell>
          <cell r="AU593">
            <v>4</v>
          </cell>
          <cell r="AY593">
            <v>-4</v>
          </cell>
          <cell r="BA593">
            <v>5</v>
          </cell>
          <cell r="BE593">
            <v>-5</v>
          </cell>
          <cell r="BG593">
            <v>5</v>
          </cell>
          <cell r="BK593">
            <v>-5</v>
          </cell>
          <cell r="BM593">
            <v>3</v>
          </cell>
          <cell r="BP593">
            <v>3</v>
          </cell>
          <cell r="BW593" t="str">
            <v>Done</v>
          </cell>
          <cell r="BX593">
            <v>45079</v>
          </cell>
          <cell r="BY593" t="str">
            <v>Approved</v>
          </cell>
          <cell r="CD593">
            <v>45163</v>
          </cell>
          <cell r="DG593" t="str">
            <v>Netmed SDP - Not in Dead Rental</v>
          </cell>
          <cell r="DM593" t="str">
            <v>NA</v>
          </cell>
          <cell r="DN593" t="str">
            <v>NA</v>
          </cell>
          <cell r="DR593">
            <v>7</v>
          </cell>
          <cell r="DS593">
            <v>7</v>
          </cell>
          <cell r="DU593">
            <v>7</v>
          </cell>
          <cell r="DV593">
            <v>7</v>
          </cell>
          <cell r="DW593">
            <v>7</v>
          </cell>
          <cell r="EA593" t="str">
            <v/>
          </cell>
          <cell r="ED593" t="str">
            <v/>
          </cell>
          <cell r="EE593" t="str">
            <v/>
          </cell>
          <cell r="EF593">
            <v>1</v>
          </cell>
          <cell r="FD593">
            <v>46114</v>
          </cell>
          <cell r="FF593">
            <v>46114</v>
          </cell>
          <cell r="FJ593" t="str">
            <v>NA</v>
          </cell>
          <cell r="FM593" t="str">
            <v/>
          </cell>
          <cell r="GG593" t="str">
            <v>2024-2025</v>
          </cell>
        </row>
        <row r="594">
          <cell r="E594" t="str">
            <v>GF, Koshal Imperial, At khetrarajpur,   , Mouza- Sambalpur town unit 9 Talabhata , plot no. 1067, Khata no. 122,  , Near HDFC bank PO,PS,Tahasil &amp; Dist. , SAMBALPUR , 768003</v>
          </cell>
          <cell r="F594" t="str">
            <v>9. EPC Ready</v>
          </cell>
          <cell r="G594" t="str">
            <v>SPORSAK3662</v>
          </cell>
          <cell r="H594" t="str">
            <v>OR-SM-SAM-3002</v>
          </cell>
          <cell r="I594" t="str">
            <v>TZMS</v>
          </cell>
          <cell r="J594" t="str">
            <v>QC8N</v>
          </cell>
          <cell r="K594" t="str">
            <v xml:space="preserve">E </v>
          </cell>
          <cell r="L594" t="str">
            <v>JD</v>
          </cell>
          <cell r="M594" t="str">
            <v>EPC Ready</v>
          </cell>
          <cell r="N594" t="str">
            <v>Jaisingh Desai</v>
          </cell>
          <cell r="P594" t="str">
            <v>Balaram Sahu</v>
          </cell>
          <cell r="Q594" t="str">
            <v>Gaurav Shinde</v>
          </cell>
          <cell r="S594" t="str">
            <v>Odisha</v>
          </cell>
          <cell r="T594" t="str">
            <v>Sambalpur</v>
          </cell>
          <cell r="U594" t="str">
            <v>Non Premium</v>
          </cell>
          <cell r="V594" t="str">
            <v>Pharma Format</v>
          </cell>
          <cell r="W594">
            <v>400</v>
          </cell>
          <cell r="X594" t="str">
            <v>GF, Koshal Imperial, At khetrarajpur,   , Mouza- Sambalpur town unit 9 Talabhata , plot no. 1067, Khata no. 122,  , Near HDFC bank PO,PS,Tahasil &amp; Dist. , SAMBALPUR , 768003</v>
          </cell>
          <cell r="Y594">
            <v>45166</v>
          </cell>
          <cell r="Z594" t="str">
            <v>NA</v>
          </cell>
          <cell r="AB594" t="str">
            <v>NA</v>
          </cell>
          <cell r="AF594" t="str">
            <v>NA</v>
          </cell>
          <cell r="AK594">
            <v>45164</v>
          </cell>
          <cell r="AL594" t="str">
            <v>Received</v>
          </cell>
          <cell r="AO594">
            <v>3</v>
          </cell>
          <cell r="AS594">
            <v>-3</v>
          </cell>
          <cell r="AU594">
            <v>4</v>
          </cell>
          <cell r="AY594">
            <v>-4</v>
          </cell>
          <cell r="BA594">
            <v>5</v>
          </cell>
          <cell r="BE594">
            <v>-5</v>
          </cell>
          <cell r="BG594">
            <v>5</v>
          </cell>
          <cell r="BK594">
            <v>-5</v>
          </cell>
          <cell r="BM594">
            <v>3</v>
          </cell>
          <cell r="BP594">
            <v>3</v>
          </cell>
          <cell r="BW594" t="str">
            <v>Done</v>
          </cell>
          <cell r="BX594">
            <v>45079</v>
          </cell>
          <cell r="BY594" t="str">
            <v>Approved</v>
          </cell>
          <cell r="CD594">
            <v>45163</v>
          </cell>
          <cell r="CE594">
            <v>45170</v>
          </cell>
          <cell r="CG594" t="str">
            <v>M/s Radient Civiletric Pvt Ltd</v>
          </cell>
          <cell r="CI594" t="str">
            <v>Issued</v>
          </cell>
          <cell r="DG594" t="str">
            <v>Netmed SDP - Not in Dead Rental</v>
          </cell>
          <cell r="DK594">
            <v>45187</v>
          </cell>
          <cell r="DL594">
            <v>45172</v>
          </cell>
          <cell r="DM594">
            <v>2</v>
          </cell>
          <cell r="DN594" t="str">
            <v>0 to 3 Days</v>
          </cell>
          <cell r="DP594">
            <v>45173</v>
          </cell>
          <cell r="DQ594">
            <v>45189</v>
          </cell>
          <cell r="DR594">
            <v>7</v>
          </cell>
          <cell r="DS594">
            <v>7</v>
          </cell>
          <cell r="DU594">
            <v>45196</v>
          </cell>
          <cell r="DV594">
            <v>45180</v>
          </cell>
          <cell r="DW594">
            <v>45196</v>
          </cell>
          <cell r="DX594" t="str">
            <v>Sep 23 Week 4</v>
          </cell>
          <cell r="DZ594">
            <v>45282</v>
          </cell>
          <cell r="EA594" t="str">
            <v>Dec 23 Week 4</v>
          </cell>
          <cell r="EB594" t="str">
            <v>Backlog</v>
          </cell>
          <cell r="ED594" t="str">
            <v/>
          </cell>
          <cell r="EE594" t="str">
            <v/>
          </cell>
          <cell r="EF594">
            <v>1</v>
          </cell>
          <cell r="EG594">
            <v>1</v>
          </cell>
          <cell r="FD594">
            <v>86</v>
          </cell>
          <cell r="FE594" t="str">
            <v>62 to 90 Days</v>
          </cell>
          <cell r="FF594">
            <v>102</v>
          </cell>
          <cell r="FG594" t="str">
            <v>More Than 90  Days</v>
          </cell>
          <cell r="FH594" t="str">
            <v>Done</v>
          </cell>
          <cell r="FI594" t="str">
            <v>Done</v>
          </cell>
          <cell r="FJ594" t="str">
            <v>NA</v>
          </cell>
          <cell r="FK594">
            <v>45287</v>
          </cell>
          <cell r="FM594" t="str">
            <v/>
          </cell>
          <cell r="GA594">
            <v>45282</v>
          </cell>
          <cell r="GC594">
            <v>45189</v>
          </cell>
          <cell r="GG594" t="str">
            <v>2023-2024</v>
          </cell>
        </row>
        <row r="595">
          <cell r="E595" t="str">
            <v>Eklingji Parisar Shop No Gf 5 To 17  , Sanand , Near Eklingji Temple Eklingji Road  , AHMEDABAD , 382110</v>
          </cell>
          <cell r="F595" t="str">
            <v>9. EPC Ready</v>
          </cell>
          <cell r="G595" t="str">
            <v>SPGJAhA3961</v>
          </cell>
          <cell r="H595" t="str">
            <v>GJ-SM-SNA-3000</v>
          </cell>
          <cell r="I595" t="str">
            <v>TYR9</v>
          </cell>
          <cell r="J595" t="str">
            <v>Q1U8</v>
          </cell>
          <cell r="K595" t="str">
            <v>W</v>
          </cell>
          <cell r="L595" t="str">
            <v>KC</v>
          </cell>
          <cell r="M595" t="str">
            <v>EPC Ready</v>
          </cell>
          <cell r="P595" t="str">
            <v>Nilesh Shah-8128663526</v>
          </cell>
          <cell r="Q595" t="str">
            <v>Gaurav Shinde</v>
          </cell>
          <cell r="S595" t="str">
            <v>Gujarat</v>
          </cell>
          <cell r="T595" t="str">
            <v>Sanand</v>
          </cell>
          <cell r="U595" t="str">
            <v>Non Premium</v>
          </cell>
          <cell r="V595" t="str">
            <v>Pharma Format</v>
          </cell>
          <cell r="W595">
            <v>414</v>
          </cell>
          <cell r="X595" t="str">
            <v>Eklingji Parisar Shop No Gf 5 To 17  , Sanand , Near Eklingji Temple Eklingji Road  , AHMEDABAD , 382110</v>
          </cell>
          <cell r="Y595">
            <v>45166</v>
          </cell>
          <cell r="Z595" t="str">
            <v>NA</v>
          </cell>
          <cell r="AB595" t="str">
            <v>NA</v>
          </cell>
          <cell r="AF595" t="str">
            <v>NA</v>
          </cell>
          <cell r="AK595">
            <v>45272</v>
          </cell>
          <cell r="AL595" t="str">
            <v>Received</v>
          </cell>
          <cell r="AO595">
            <v>3</v>
          </cell>
          <cell r="AS595">
            <v>-3</v>
          </cell>
          <cell r="AU595">
            <v>4</v>
          </cell>
          <cell r="AY595">
            <v>-4</v>
          </cell>
          <cell r="BA595">
            <v>5</v>
          </cell>
          <cell r="BE595">
            <v>-5</v>
          </cell>
          <cell r="BG595">
            <v>5</v>
          </cell>
          <cell r="BK595">
            <v>-5</v>
          </cell>
          <cell r="BM595">
            <v>3</v>
          </cell>
          <cell r="BP595">
            <v>3</v>
          </cell>
          <cell r="BW595" t="str">
            <v>Done</v>
          </cell>
          <cell r="BX595">
            <v>45079</v>
          </cell>
          <cell r="BY595" t="str">
            <v>Approved</v>
          </cell>
          <cell r="CD595">
            <v>45163</v>
          </cell>
          <cell r="CE595">
            <v>45174</v>
          </cell>
          <cell r="CG595" t="str">
            <v>M/s Kailash Engineers</v>
          </cell>
          <cell r="CI595" t="str">
            <v>Issued</v>
          </cell>
          <cell r="DG595" t="str">
            <v>Netmed SDP - Not in Dead Rental</v>
          </cell>
          <cell r="DK595">
            <v>45257</v>
          </cell>
          <cell r="DL595">
            <v>45169</v>
          </cell>
          <cell r="DM595">
            <v>2</v>
          </cell>
          <cell r="DN595" t="str">
            <v>0 to 3 Days</v>
          </cell>
          <cell r="DP595">
            <v>45177</v>
          </cell>
          <cell r="DQ595">
            <v>45259</v>
          </cell>
          <cell r="DR595">
            <v>7</v>
          </cell>
          <cell r="DS595">
            <v>7</v>
          </cell>
          <cell r="DU595">
            <v>45266</v>
          </cell>
          <cell r="DV595">
            <v>45184</v>
          </cell>
          <cell r="DW595">
            <v>45266</v>
          </cell>
          <cell r="DX595" t="str">
            <v>Dec 23 Week 1</v>
          </cell>
          <cell r="DZ595">
            <v>45276</v>
          </cell>
          <cell r="EA595" t="str">
            <v>Dec 23 Week 3</v>
          </cell>
          <cell r="EB595" t="str">
            <v>Backlog</v>
          </cell>
          <cell r="ED595" t="str">
            <v/>
          </cell>
          <cell r="EE595" t="str">
            <v/>
          </cell>
          <cell r="EF595">
            <v>1</v>
          </cell>
          <cell r="EG595">
            <v>1</v>
          </cell>
          <cell r="FD595">
            <v>10</v>
          </cell>
          <cell r="FE595" t="str">
            <v>8 to 15 Days</v>
          </cell>
          <cell r="FF595">
            <v>92</v>
          </cell>
          <cell r="FG595" t="str">
            <v>More Than 90  Days</v>
          </cell>
          <cell r="FH595" t="str">
            <v>Done</v>
          </cell>
          <cell r="FI595" t="str">
            <v>Done</v>
          </cell>
          <cell r="FJ595" t="str">
            <v>NA</v>
          </cell>
          <cell r="FK595">
            <v>45276</v>
          </cell>
          <cell r="FM595" t="str">
            <v/>
          </cell>
          <cell r="GA595">
            <v>45279</v>
          </cell>
          <cell r="GC595">
            <v>45253</v>
          </cell>
          <cell r="GG595" t="str">
            <v>2023-2024</v>
          </cell>
        </row>
        <row r="596">
          <cell r="E596" t="str">
            <v>GF Sr No 2557 1 To 9  , Miraj Dist Sangli , Miraj Taluka  , Miraj , 416410</v>
          </cell>
          <cell r="F596" t="str">
            <v>9. EPC Ready</v>
          </cell>
          <cell r="G596" t="str">
            <v>SPMHSAS3363</v>
          </cell>
          <cell r="H596" t="str">
            <v>MH-SM-MRJ-3000</v>
          </cell>
          <cell r="I596" t="str">
            <v>TZ3F</v>
          </cell>
          <cell r="J596" t="str">
            <v>QEDY</v>
          </cell>
          <cell r="K596" t="str">
            <v>W</v>
          </cell>
          <cell r="L596" t="str">
            <v>KC</v>
          </cell>
          <cell r="M596" t="str">
            <v>EPC Ready</v>
          </cell>
          <cell r="Q596" t="str">
            <v>Gaurav Shinde</v>
          </cell>
          <cell r="S596" t="str">
            <v>Maharashtra</v>
          </cell>
          <cell r="T596" t="str">
            <v>Sangli</v>
          </cell>
          <cell r="U596" t="str">
            <v>Non Premium</v>
          </cell>
          <cell r="V596" t="str">
            <v>Pharma Format</v>
          </cell>
          <cell r="W596">
            <v>400</v>
          </cell>
          <cell r="X596" t="str">
            <v>GF Sr No 2557 1 To 9  , Miraj Dist Sangli , Miraj Taluka  , Miraj , 416410</v>
          </cell>
          <cell r="Y596">
            <v>45218</v>
          </cell>
          <cell r="Z596" t="str">
            <v>NA</v>
          </cell>
          <cell r="AB596" t="str">
            <v>NA</v>
          </cell>
          <cell r="AF596" t="str">
            <v>NA</v>
          </cell>
          <cell r="AK596">
            <v>45156</v>
          </cell>
          <cell r="AL596" t="str">
            <v>Received</v>
          </cell>
          <cell r="AO596">
            <v>3</v>
          </cell>
          <cell r="AS596">
            <v>-3</v>
          </cell>
          <cell r="AU596">
            <v>4</v>
          </cell>
          <cell r="AY596">
            <v>-4</v>
          </cell>
          <cell r="BA596">
            <v>5</v>
          </cell>
          <cell r="BE596">
            <v>-5</v>
          </cell>
          <cell r="BG596">
            <v>5</v>
          </cell>
          <cell r="BK596">
            <v>-5</v>
          </cell>
          <cell r="BM596">
            <v>3</v>
          </cell>
          <cell r="BP596">
            <v>3</v>
          </cell>
          <cell r="BW596" t="str">
            <v>Done</v>
          </cell>
          <cell r="BX596">
            <v>45079</v>
          </cell>
          <cell r="BY596" t="str">
            <v>Approved</v>
          </cell>
          <cell r="CD596">
            <v>45146</v>
          </cell>
          <cell r="CE596">
            <v>45159</v>
          </cell>
          <cell r="CG596" t="str">
            <v>M/s. Raptor Infrastructure</v>
          </cell>
          <cell r="CI596" t="str">
            <v>Issued</v>
          </cell>
          <cell r="DG596" t="str">
            <v>Netmed SDP - Not in Dead Rental</v>
          </cell>
          <cell r="DK596">
            <v>45300</v>
          </cell>
          <cell r="DL596">
            <v>45219</v>
          </cell>
          <cell r="DM596">
            <v>2</v>
          </cell>
          <cell r="DN596" t="str">
            <v>0 to 3 Days</v>
          </cell>
          <cell r="DP596">
            <v>45162</v>
          </cell>
          <cell r="DQ596">
            <v>45302</v>
          </cell>
          <cell r="DR596">
            <v>7</v>
          </cell>
          <cell r="DS596">
            <v>7</v>
          </cell>
          <cell r="DU596">
            <v>45309</v>
          </cell>
          <cell r="DV596">
            <v>45169</v>
          </cell>
          <cell r="DW596">
            <v>45309</v>
          </cell>
          <cell r="DX596" t="str">
            <v>Jan 24 Week 3</v>
          </cell>
          <cell r="DZ596">
            <v>45327</v>
          </cell>
          <cell r="EA596" t="str">
            <v>Feb 24 Week 1</v>
          </cell>
          <cell r="EB596" t="str">
            <v>Backlog</v>
          </cell>
          <cell r="ED596" t="str">
            <v/>
          </cell>
          <cell r="EE596" t="str">
            <v/>
          </cell>
          <cell r="EF596">
            <v>1</v>
          </cell>
          <cell r="EG596">
            <v>1</v>
          </cell>
          <cell r="FD596">
            <v>18</v>
          </cell>
          <cell r="FE596" t="str">
            <v>16 to 31 Days</v>
          </cell>
          <cell r="FF596">
            <v>158</v>
          </cell>
          <cell r="FG596" t="str">
            <v>More Than 90  Days</v>
          </cell>
          <cell r="FH596" t="str">
            <v>done</v>
          </cell>
          <cell r="FJ596" t="str">
            <v>NA</v>
          </cell>
          <cell r="FK596">
            <v>45394</v>
          </cell>
          <cell r="FM596" t="str">
            <v/>
          </cell>
          <cell r="GA596">
            <v>45348</v>
          </cell>
          <cell r="GC596">
            <v>45307</v>
          </cell>
          <cell r="GG596" t="str">
            <v>2023-2024</v>
          </cell>
        </row>
        <row r="597">
          <cell r="E597" t="str">
            <v>Gf Verma Complex Collage Road  , SANGRUR , Opp Bullet Agency  , SANGRUR , 148001</v>
          </cell>
          <cell r="F597" t="str">
            <v>9. EPC Ready</v>
          </cell>
          <cell r="G597" t="str">
            <v>SPPBSAS3951</v>
          </cell>
          <cell r="H597" t="str">
            <v>PB-SM-SNR-3002</v>
          </cell>
          <cell r="I597" t="str">
            <v>TAQ3</v>
          </cell>
          <cell r="J597" t="str">
            <v>QGQH</v>
          </cell>
          <cell r="K597" t="str">
            <v xml:space="preserve">N </v>
          </cell>
          <cell r="L597" t="str">
            <v>KC</v>
          </cell>
          <cell r="M597" t="str">
            <v>EPC Ready</v>
          </cell>
          <cell r="P597" t="str">
            <v>Yogesh Kapoor-7888699608</v>
          </cell>
          <cell r="Q597" t="str">
            <v>Gaurav Shinde</v>
          </cell>
          <cell r="S597" t="str">
            <v>Punjab</v>
          </cell>
          <cell r="T597" t="str">
            <v>Sangrur</v>
          </cell>
          <cell r="U597" t="str">
            <v>Non Premium</v>
          </cell>
          <cell r="V597" t="str">
            <v>Pharma Format</v>
          </cell>
          <cell r="W597">
            <v>400</v>
          </cell>
          <cell r="X597" t="str">
            <v>Gf Verma Complex Collage Road  , SANGRUR , Opp Bullet Agency  , SANGRUR , 148001</v>
          </cell>
          <cell r="Y597">
            <v>45166</v>
          </cell>
          <cell r="Z597" t="str">
            <v>NA</v>
          </cell>
          <cell r="AB597" t="str">
            <v>NA</v>
          </cell>
          <cell r="AF597" t="str">
            <v>NA</v>
          </cell>
          <cell r="AK597">
            <v>45162</v>
          </cell>
          <cell r="AL597" t="str">
            <v>Received</v>
          </cell>
          <cell r="AO597">
            <v>3</v>
          </cell>
          <cell r="AS597">
            <v>-3</v>
          </cell>
          <cell r="AU597">
            <v>4</v>
          </cell>
          <cell r="AY597">
            <v>-4</v>
          </cell>
          <cell r="BA597">
            <v>5</v>
          </cell>
          <cell r="BE597">
            <v>-5</v>
          </cell>
          <cell r="BG597">
            <v>5</v>
          </cell>
          <cell r="BK597">
            <v>-5</v>
          </cell>
          <cell r="BM597">
            <v>3</v>
          </cell>
          <cell r="BP597">
            <v>3</v>
          </cell>
          <cell r="BW597" t="str">
            <v>Done</v>
          </cell>
          <cell r="BX597">
            <v>45079</v>
          </cell>
          <cell r="BY597" t="str">
            <v>Approved</v>
          </cell>
          <cell r="CD597">
            <v>45163</v>
          </cell>
          <cell r="CE597">
            <v>45177</v>
          </cell>
          <cell r="CG597" t="str">
            <v>M/s     Brickwood global infracon Pvt. Ltd.</v>
          </cell>
          <cell r="CI597" t="str">
            <v>Issued</v>
          </cell>
          <cell r="DG597" t="str">
            <v>Netmed SDP - Not in Dead Rental</v>
          </cell>
          <cell r="DK597">
            <v>45181</v>
          </cell>
          <cell r="DL597">
            <v>45166</v>
          </cell>
          <cell r="DM597">
            <v>2</v>
          </cell>
          <cell r="DN597" t="str">
            <v>0 to 3 Days</v>
          </cell>
          <cell r="DP597">
            <v>45180</v>
          </cell>
          <cell r="DQ597">
            <v>45183</v>
          </cell>
          <cell r="DR597">
            <v>7</v>
          </cell>
          <cell r="DS597">
            <v>7</v>
          </cell>
          <cell r="DU597">
            <v>45190</v>
          </cell>
          <cell r="DV597">
            <v>45187</v>
          </cell>
          <cell r="DW597">
            <v>45190</v>
          </cell>
          <cell r="DX597" t="str">
            <v>Sep 23 Week 3</v>
          </cell>
          <cell r="DZ597">
            <v>45195</v>
          </cell>
          <cell r="EA597" t="str">
            <v>Sep 23 Week 4</v>
          </cell>
          <cell r="EB597" t="str">
            <v>Backlog</v>
          </cell>
          <cell r="ED597" t="str">
            <v/>
          </cell>
          <cell r="EE597" t="str">
            <v/>
          </cell>
          <cell r="EF597">
            <v>1</v>
          </cell>
          <cell r="EG597">
            <v>1</v>
          </cell>
          <cell r="FD597">
            <v>5</v>
          </cell>
          <cell r="FE597" t="str">
            <v>4 to 7 Days</v>
          </cell>
          <cell r="FF597">
            <v>8</v>
          </cell>
          <cell r="FG597" t="str">
            <v>8 to 15 Days</v>
          </cell>
          <cell r="FH597" t="str">
            <v>Done</v>
          </cell>
          <cell r="FI597" t="str">
            <v>Done</v>
          </cell>
          <cell r="FJ597" t="str">
            <v>NA</v>
          </cell>
          <cell r="FK597">
            <v>45282</v>
          </cell>
          <cell r="FM597" t="str">
            <v/>
          </cell>
          <cell r="GA597">
            <v>45252</v>
          </cell>
          <cell r="GC597">
            <v>45183</v>
          </cell>
          <cell r="GG597" t="str">
            <v>2023-2024</v>
          </cell>
        </row>
        <row r="598">
          <cell r="E598" t="str">
            <v>Anandamoyee Para  , Nadia , Po Santipur Ps Santipur  , SANTIPUR , 741404</v>
          </cell>
          <cell r="F598" t="str">
            <v>14. Dropped</v>
          </cell>
          <cell r="G598" t="str">
            <v>SPWBSAA3549</v>
          </cell>
          <cell r="H598" t="str">
            <v>WB-SM-SNR-3002</v>
          </cell>
          <cell r="I598" t="str">
            <v>TYOQ</v>
          </cell>
          <cell r="J598" t="str">
            <v>QBVS</v>
          </cell>
          <cell r="K598" t="str">
            <v xml:space="preserve">E </v>
          </cell>
          <cell r="L598" t="str">
            <v>SD</v>
          </cell>
          <cell r="M598" t="str">
            <v>Dropped</v>
          </cell>
          <cell r="N598" t="str">
            <v>Mahendrakumar Warma</v>
          </cell>
          <cell r="O598" t="str">
            <v xml:space="preserve">Sandeepta Gayen </v>
          </cell>
          <cell r="Q598" t="str">
            <v>Gaurav Shinde</v>
          </cell>
          <cell r="S598" t="str">
            <v>West Bengal</v>
          </cell>
          <cell r="T598" t="str">
            <v>Santipur</v>
          </cell>
          <cell r="U598" t="str">
            <v>Non Premium</v>
          </cell>
          <cell r="V598" t="str">
            <v>Pharma Format</v>
          </cell>
          <cell r="W598">
            <v>400</v>
          </cell>
          <cell r="X598" t="str">
            <v>Anandamoyee Para  , Nadia , Po Santipur Ps Santipur  , SANTIPUR , 741404</v>
          </cell>
          <cell r="Z598" t="str">
            <v>NA</v>
          </cell>
          <cell r="AB598" t="str">
            <v>NA</v>
          </cell>
          <cell r="AF598" t="str">
            <v>NA</v>
          </cell>
          <cell r="AL598" t="str">
            <v>NA</v>
          </cell>
          <cell r="AO598">
            <v>3</v>
          </cell>
          <cell r="AS598">
            <v>-3</v>
          </cell>
          <cell r="AU598">
            <v>4</v>
          </cell>
          <cell r="AY598">
            <v>-4</v>
          </cell>
          <cell r="BA598">
            <v>5</v>
          </cell>
          <cell r="BE598">
            <v>-5</v>
          </cell>
          <cell r="BG598">
            <v>5</v>
          </cell>
          <cell r="BK598">
            <v>-5</v>
          </cell>
          <cell r="BM598">
            <v>3</v>
          </cell>
          <cell r="BP598">
            <v>3</v>
          </cell>
          <cell r="BW598" t="str">
            <v>Done</v>
          </cell>
          <cell r="BX598">
            <v>45079</v>
          </cell>
          <cell r="BY598" t="str">
            <v>Approved</v>
          </cell>
          <cell r="DG598" t="str">
            <v>Netmed SDP - Not in Dead Rental</v>
          </cell>
          <cell r="DM598" t="str">
            <v>NA</v>
          </cell>
          <cell r="DN598" t="str">
            <v>NA</v>
          </cell>
          <cell r="DR598">
            <v>7</v>
          </cell>
          <cell r="DS598">
            <v>7</v>
          </cell>
          <cell r="DU598">
            <v>7</v>
          </cell>
          <cell r="DV598">
            <v>7</v>
          </cell>
          <cell r="DW598">
            <v>7</v>
          </cell>
          <cell r="EA598" t="str">
            <v/>
          </cell>
          <cell r="ED598" t="str">
            <v/>
          </cell>
          <cell r="EE598" t="str">
            <v/>
          </cell>
          <cell r="EF598">
            <v>1</v>
          </cell>
          <cell r="FD598">
            <v>46114</v>
          </cell>
          <cell r="FF598">
            <v>46114</v>
          </cell>
          <cell r="FJ598" t="str">
            <v>NA</v>
          </cell>
          <cell r="FM598" t="str">
            <v/>
          </cell>
          <cell r="GG598" t="str">
            <v>2024-2025</v>
          </cell>
        </row>
        <row r="599">
          <cell r="E599" t="str">
            <v>Plot No.4 and 9 Survey No.230 Pawade  , Distt Parbhani , complex Vill-selu Tal-Selu Dist-Parbhani  ,  Selu , 431503</v>
          </cell>
          <cell r="F599" t="str">
            <v>9. EPC Ready</v>
          </cell>
          <cell r="G599" t="str">
            <v>SPMHPAP3976</v>
          </cell>
          <cell r="H599" t="str">
            <v>MH-SM-SEL-3000</v>
          </cell>
          <cell r="I599" t="str">
            <v>TZ3S</v>
          </cell>
          <cell r="J599" t="str">
            <v>QEEL</v>
          </cell>
          <cell r="K599" t="str">
            <v>W</v>
          </cell>
          <cell r="L599" t="str">
            <v>KC</v>
          </cell>
          <cell r="M599" t="str">
            <v>EPC Ready Pharmacy 200 SFT</v>
          </cell>
          <cell r="P599" t="str">
            <v>Sushant Behra</v>
          </cell>
          <cell r="Q599" t="str">
            <v>Gaurav Shinde</v>
          </cell>
          <cell r="S599" t="str">
            <v>Maharashtra</v>
          </cell>
          <cell r="T599" t="str">
            <v>Selu</v>
          </cell>
          <cell r="U599" t="str">
            <v>Non Premium</v>
          </cell>
          <cell r="V599" t="str">
            <v>Pharma Format</v>
          </cell>
          <cell r="W599">
            <v>200</v>
          </cell>
          <cell r="X599" t="str">
            <v>Plot No.4 and 9 Survey No.230 Pawade  , Distt Parbhani , complex Vill-selu Tal-Selu Dist-Parbhani  ,  Selu , 431503</v>
          </cell>
          <cell r="Z599" t="str">
            <v>NA</v>
          </cell>
          <cell r="AB599" t="str">
            <v>NA</v>
          </cell>
          <cell r="AF599" t="str">
            <v>NA</v>
          </cell>
          <cell r="AL599" t="str">
            <v>Received</v>
          </cell>
          <cell r="AO599">
            <v>3</v>
          </cell>
          <cell r="AS599">
            <v>-3</v>
          </cell>
          <cell r="AU599">
            <v>4</v>
          </cell>
          <cell r="AY599">
            <v>-4</v>
          </cell>
          <cell r="BA599">
            <v>5</v>
          </cell>
          <cell r="BE599">
            <v>-5</v>
          </cell>
          <cell r="BG599">
            <v>5</v>
          </cell>
          <cell r="BK599">
            <v>-5</v>
          </cell>
          <cell r="BM599">
            <v>3</v>
          </cell>
          <cell r="BP599">
            <v>3</v>
          </cell>
          <cell r="BW599" t="str">
            <v>Done</v>
          </cell>
          <cell r="BX599">
            <v>45079</v>
          </cell>
          <cell r="BY599" t="str">
            <v>Approved</v>
          </cell>
          <cell r="CD599">
            <v>45103</v>
          </cell>
          <cell r="CE599">
            <v>45113</v>
          </cell>
          <cell r="CG599" t="str">
            <v>M/s Saitech Electricals</v>
          </cell>
          <cell r="CI599" t="str">
            <v>Issued</v>
          </cell>
          <cell r="DG599" t="str">
            <v>Netmed SDP - Not in Dead Rental</v>
          </cell>
          <cell r="DK599">
            <v>45113</v>
          </cell>
          <cell r="DM599">
            <v>2</v>
          </cell>
          <cell r="DN599" t="str">
            <v>0 to 3 Days</v>
          </cell>
          <cell r="DP599">
            <v>45116</v>
          </cell>
          <cell r="DQ599">
            <v>45115</v>
          </cell>
          <cell r="DR599">
            <v>7</v>
          </cell>
          <cell r="DS599">
            <v>7</v>
          </cell>
          <cell r="DU599">
            <v>45122</v>
          </cell>
          <cell r="DV599">
            <v>45123</v>
          </cell>
          <cell r="DW599">
            <v>45122</v>
          </cell>
          <cell r="DX599" t="str">
            <v>July 23 Week 3</v>
          </cell>
          <cell r="DZ599">
            <v>45125</v>
          </cell>
          <cell r="EA599" t="str">
            <v>July 23 Week 3</v>
          </cell>
          <cell r="EB599" t="str">
            <v>Backlog</v>
          </cell>
          <cell r="ED599" t="str">
            <v/>
          </cell>
          <cell r="EE599" t="str">
            <v/>
          </cell>
          <cell r="EF599">
            <v>1</v>
          </cell>
          <cell r="EG599">
            <v>1</v>
          </cell>
          <cell r="FD599">
            <v>3</v>
          </cell>
          <cell r="FE599" t="str">
            <v>0 to 3 Days</v>
          </cell>
          <cell r="FF599">
            <v>2</v>
          </cell>
          <cell r="FG599" t="str">
            <v>0 to 3 Days</v>
          </cell>
          <cell r="FH599" t="str">
            <v>Done</v>
          </cell>
          <cell r="FI599" t="str">
            <v>Done</v>
          </cell>
          <cell r="FJ599" t="str">
            <v>NA</v>
          </cell>
          <cell r="FM599" t="str">
            <v/>
          </cell>
          <cell r="GG599" t="str">
            <v>2023-2024</v>
          </cell>
        </row>
        <row r="600">
          <cell r="E600" t="str">
            <v>SP PHARMA Durga Tower Peyadu</v>
          </cell>
          <cell r="F600" t="str">
            <v>9. EPC Ready</v>
          </cell>
          <cell r="G600" t="str">
            <v>SPKLTHD3169</v>
          </cell>
          <cell r="H600" t="str">
            <v>KE-SM-PYD-3002</v>
          </cell>
          <cell r="I600" t="str">
            <v>TZPH</v>
          </cell>
          <cell r="J600" t="str">
            <v>QDCM</v>
          </cell>
          <cell r="K600" t="str">
            <v>S</v>
          </cell>
          <cell r="L600" t="str">
            <v>AK</v>
          </cell>
          <cell r="M600" t="str">
            <v>EPC Ready</v>
          </cell>
          <cell r="N600" t="str">
            <v>N Kalyankumar</v>
          </cell>
          <cell r="O600" t="str">
            <v>Jose Loviece</v>
          </cell>
          <cell r="Q600" t="str">
            <v>Gaurav Shinde</v>
          </cell>
          <cell r="S600" t="str">
            <v>Kerala</v>
          </cell>
          <cell r="T600" t="str">
            <v>Peyadu</v>
          </cell>
          <cell r="U600" t="str">
            <v>Non Premium</v>
          </cell>
          <cell r="V600" t="str">
            <v>Pharma Format</v>
          </cell>
          <cell r="W600">
            <v>401</v>
          </cell>
          <cell r="X600" t="str">
            <v>SP PHARMA Durga Tower Peyadu</v>
          </cell>
          <cell r="Y600">
            <v>45166</v>
          </cell>
          <cell r="Z600" t="str">
            <v>NA</v>
          </cell>
          <cell r="AB600" t="str">
            <v>NA</v>
          </cell>
          <cell r="AF600" t="str">
            <v>NA</v>
          </cell>
          <cell r="AK600">
            <v>45183</v>
          </cell>
          <cell r="AL600" t="str">
            <v>Received</v>
          </cell>
          <cell r="AO600">
            <v>3</v>
          </cell>
          <cell r="AS600">
            <v>-3</v>
          </cell>
          <cell r="AU600">
            <v>4</v>
          </cell>
          <cell r="AY600">
            <v>-4</v>
          </cell>
          <cell r="BA600">
            <v>5</v>
          </cell>
          <cell r="BE600">
            <v>-5</v>
          </cell>
          <cell r="BG600">
            <v>5</v>
          </cell>
          <cell r="BK600">
            <v>-5</v>
          </cell>
          <cell r="BM600">
            <v>3</v>
          </cell>
          <cell r="BP600">
            <v>3</v>
          </cell>
          <cell r="BW600" t="str">
            <v>Done</v>
          </cell>
          <cell r="BX600">
            <v>45079</v>
          </cell>
          <cell r="BY600" t="str">
            <v>Approved</v>
          </cell>
          <cell r="CD600">
            <v>45163</v>
          </cell>
          <cell r="CE600">
            <v>45194</v>
          </cell>
          <cell r="CG600" t="str">
            <v>M/s. Arselex Engineering</v>
          </cell>
          <cell r="CI600" t="str">
            <v>Issued</v>
          </cell>
          <cell r="DG600" t="str">
            <v>Netmed SDP - Not in Dead Rental</v>
          </cell>
          <cell r="DK600">
            <v>45231</v>
          </cell>
          <cell r="DM600">
            <v>2</v>
          </cell>
          <cell r="DN600" t="str">
            <v>0 to 3 Days</v>
          </cell>
          <cell r="DP600">
            <v>45197</v>
          </cell>
          <cell r="DQ600">
            <v>45233</v>
          </cell>
          <cell r="DR600">
            <v>7</v>
          </cell>
          <cell r="DS600">
            <v>7</v>
          </cell>
          <cell r="DU600">
            <v>45240</v>
          </cell>
          <cell r="DV600">
            <v>45204</v>
          </cell>
          <cell r="DW600">
            <v>45240</v>
          </cell>
          <cell r="DX600" t="str">
            <v>Nov 23 Week 2</v>
          </cell>
          <cell r="DZ600">
            <v>45252</v>
          </cell>
          <cell r="EA600" t="str">
            <v>Nov 23 Week 4</v>
          </cell>
          <cell r="EB600" t="str">
            <v>Backlog</v>
          </cell>
          <cell r="ED600" t="str">
            <v/>
          </cell>
          <cell r="EE600" t="str">
            <v/>
          </cell>
          <cell r="EF600">
            <v>1</v>
          </cell>
          <cell r="EG600">
            <v>1</v>
          </cell>
          <cell r="FD600">
            <v>12</v>
          </cell>
          <cell r="FE600" t="str">
            <v>8 to 15 Days</v>
          </cell>
          <cell r="FF600">
            <v>48</v>
          </cell>
          <cell r="FG600" t="str">
            <v>31 to 61 Days</v>
          </cell>
          <cell r="FH600" t="str">
            <v>Done</v>
          </cell>
          <cell r="FI600" t="str">
            <v>Done</v>
          </cell>
          <cell r="FJ600" t="str">
            <v>NA</v>
          </cell>
          <cell r="FK600">
            <v>45288</v>
          </cell>
          <cell r="FM600" t="str">
            <v/>
          </cell>
          <cell r="GA600">
            <v>45252</v>
          </cell>
          <cell r="GC600">
            <v>45233</v>
          </cell>
          <cell r="GG600" t="str">
            <v>2023-2024</v>
          </cell>
        </row>
        <row r="601">
          <cell r="E601" t="str">
            <v>Ganesh Building Pallipattu Main Road  , Podhaturpettai Tiruvallur , Savottur Bus Stop  , PODHATURPETTAI , 631208</v>
          </cell>
          <cell r="F601" t="str">
            <v>9. EPC Ready</v>
          </cell>
          <cell r="G601" t="str">
            <v>SPTNPOG3483</v>
          </cell>
          <cell r="H601" t="str">
            <v>TN-SM-PTU-3000</v>
          </cell>
          <cell r="I601" t="str">
            <v>TYRB</v>
          </cell>
          <cell r="J601" t="str">
            <v>QBYF</v>
          </cell>
          <cell r="K601" t="str">
            <v>S</v>
          </cell>
          <cell r="L601" t="str">
            <v>AK</v>
          </cell>
          <cell r="M601" t="str">
            <v>EPC Ready</v>
          </cell>
          <cell r="N601" t="str">
            <v>N Kalyankumar</v>
          </cell>
          <cell r="O601" t="str">
            <v>Muthuvelu Minnal /
Vijayakumar Muthusamy</v>
          </cell>
          <cell r="Q601" t="str">
            <v>Gaurav Shinde</v>
          </cell>
          <cell r="S601" t="str">
            <v>Tamil Nadu</v>
          </cell>
          <cell r="T601" t="str">
            <v>Podhaturpettai</v>
          </cell>
          <cell r="U601" t="str">
            <v>Non Premium</v>
          </cell>
          <cell r="V601" t="str">
            <v>Pharma Format</v>
          </cell>
          <cell r="W601">
            <v>400</v>
          </cell>
          <cell r="X601" t="str">
            <v>Ganesh Building Pallipattu Main Road  , Podhaturpettai Tiruvallur , Savottur Bus Stop  , PODHATURPETTAI , 631208</v>
          </cell>
          <cell r="Y601">
            <v>45166</v>
          </cell>
          <cell r="Z601" t="str">
            <v>NA</v>
          </cell>
          <cell r="AB601" t="str">
            <v>NA</v>
          </cell>
          <cell r="AF601" t="str">
            <v>NA</v>
          </cell>
          <cell r="AK601">
            <v>45170</v>
          </cell>
          <cell r="AL601" t="str">
            <v>Received</v>
          </cell>
          <cell r="AO601">
            <v>3</v>
          </cell>
          <cell r="AS601">
            <v>-3</v>
          </cell>
          <cell r="AU601">
            <v>4</v>
          </cell>
          <cell r="AY601">
            <v>-4</v>
          </cell>
          <cell r="BA601">
            <v>5</v>
          </cell>
          <cell r="BE601">
            <v>-5</v>
          </cell>
          <cell r="BG601">
            <v>5</v>
          </cell>
          <cell r="BK601">
            <v>-5</v>
          </cell>
          <cell r="BM601">
            <v>3</v>
          </cell>
          <cell r="BP601">
            <v>3</v>
          </cell>
          <cell r="BW601" t="str">
            <v>Done</v>
          </cell>
          <cell r="BX601">
            <v>45079</v>
          </cell>
          <cell r="BY601" t="str">
            <v>Approved</v>
          </cell>
          <cell r="CD601">
            <v>45163</v>
          </cell>
          <cell r="CE601">
            <v>45215</v>
          </cell>
          <cell r="CG601" t="str">
            <v>M/s Jacpel &amp; Co</v>
          </cell>
          <cell r="CI601" t="str">
            <v>Issued</v>
          </cell>
          <cell r="DG601" t="str">
            <v>Netmed SDP - Not in Dead Rental</v>
          </cell>
          <cell r="DK601">
            <v>45231</v>
          </cell>
          <cell r="DL601">
            <v>45202</v>
          </cell>
          <cell r="DM601">
            <v>2</v>
          </cell>
          <cell r="DN601" t="str">
            <v>0 to 3 Days</v>
          </cell>
          <cell r="DP601">
            <v>45218</v>
          </cell>
          <cell r="DQ601">
            <v>45233</v>
          </cell>
          <cell r="DR601">
            <v>7</v>
          </cell>
          <cell r="DS601">
            <v>7</v>
          </cell>
          <cell r="DU601">
            <v>45240</v>
          </cell>
          <cell r="DV601">
            <v>45225</v>
          </cell>
          <cell r="DW601">
            <v>45240</v>
          </cell>
          <cell r="DX601" t="str">
            <v>Nov 23 Week 2</v>
          </cell>
          <cell r="DZ601">
            <v>45273</v>
          </cell>
          <cell r="EA601" t="str">
            <v>Dec 23 Week 2</v>
          </cell>
          <cell r="EB601" t="str">
            <v>Backlog</v>
          </cell>
          <cell r="ED601" t="str">
            <v/>
          </cell>
          <cell r="EE601" t="str">
            <v/>
          </cell>
          <cell r="EF601">
            <v>1</v>
          </cell>
          <cell r="EG601">
            <v>1</v>
          </cell>
          <cell r="FD601">
            <v>33</v>
          </cell>
          <cell r="FE601" t="str">
            <v>31 to 61 Days</v>
          </cell>
          <cell r="FF601">
            <v>48</v>
          </cell>
          <cell r="FG601" t="str">
            <v>31 to 61 Days</v>
          </cell>
          <cell r="FH601" t="str">
            <v>Done</v>
          </cell>
          <cell r="FI601" t="str">
            <v>Done</v>
          </cell>
          <cell r="FJ601" t="str">
            <v>NA</v>
          </cell>
          <cell r="FK601">
            <v>45299</v>
          </cell>
          <cell r="FM601" t="str">
            <v/>
          </cell>
          <cell r="GA601">
            <v>45275</v>
          </cell>
          <cell r="GC601">
            <v>45233</v>
          </cell>
          <cell r="GG601" t="str">
            <v>2023-2024</v>
          </cell>
        </row>
        <row r="602">
          <cell r="E602" t="str">
            <v>Parashar Complex Rehlu Road  , Shahpur Kangra , Near Mini Secretariat  , SHAHPUR , 176206</v>
          </cell>
          <cell r="F602" t="str">
            <v>9. EPC Ready</v>
          </cell>
          <cell r="G602" t="str">
            <v>SPHPSHS4258</v>
          </cell>
          <cell r="H602" t="str">
            <v>HP-SM-SHA-3000</v>
          </cell>
          <cell r="I602" t="str">
            <v>T55X</v>
          </cell>
          <cell r="J602" t="str">
            <v>QSEE</v>
          </cell>
          <cell r="K602" t="str">
            <v xml:space="preserve">N </v>
          </cell>
          <cell r="L602" t="str">
            <v>KC</v>
          </cell>
          <cell r="M602" t="str">
            <v>EPC Ready</v>
          </cell>
          <cell r="Q602" t="str">
            <v>Gaurav Shinde</v>
          </cell>
          <cell r="S602" t="str">
            <v>Himachal Pradesh</v>
          </cell>
          <cell r="T602" t="str">
            <v>SHAHPUR</v>
          </cell>
          <cell r="U602" t="str">
            <v>Non Premium</v>
          </cell>
          <cell r="V602" t="str">
            <v>Pharma Format</v>
          </cell>
          <cell r="W602">
            <v>400</v>
          </cell>
          <cell r="X602" t="str">
            <v>Parashar Complex Rehlu Road  , Shahpur Kangra , Near Mini Secretariat  , SHAHPUR , 176206</v>
          </cell>
          <cell r="Y602">
            <v>45166</v>
          </cell>
          <cell r="Z602" t="str">
            <v>NA</v>
          </cell>
          <cell r="AB602" t="str">
            <v>NA</v>
          </cell>
          <cell r="AF602" t="str">
            <v>NA</v>
          </cell>
          <cell r="AK602">
            <v>45195</v>
          </cell>
          <cell r="AL602" t="str">
            <v>Received</v>
          </cell>
          <cell r="AO602">
            <v>3</v>
          </cell>
          <cell r="AS602">
            <v>-3</v>
          </cell>
          <cell r="AU602">
            <v>4</v>
          </cell>
          <cell r="AY602">
            <v>-4</v>
          </cell>
          <cell r="BA602">
            <v>5</v>
          </cell>
          <cell r="BE602">
            <v>-5</v>
          </cell>
          <cell r="BG602">
            <v>5</v>
          </cell>
          <cell r="BK602">
            <v>-5</v>
          </cell>
          <cell r="BM602">
            <v>3</v>
          </cell>
          <cell r="BP602">
            <v>3</v>
          </cell>
          <cell r="BW602" t="str">
            <v>Done</v>
          </cell>
          <cell r="BX602">
            <v>45079</v>
          </cell>
          <cell r="BY602" t="str">
            <v>Approved</v>
          </cell>
          <cell r="CD602">
            <v>45163</v>
          </cell>
          <cell r="CE602">
            <v>45175</v>
          </cell>
          <cell r="CG602" t="str">
            <v xml:space="preserve">M/s     ESSKAY ASSOCIATES
M/s     Brickwood global infracon Pvt. Ltd.
</v>
          </cell>
          <cell r="CI602" t="str">
            <v>Issued</v>
          </cell>
          <cell r="DG602" t="str">
            <v>Netmed SDP - Not in Dead Rental</v>
          </cell>
          <cell r="DK602">
            <v>45213</v>
          </cell>
          <cell r="DL602">
            <v>45196</v>
          </cell>
          <cell r="DM602">
            <v>2</v>
          </cell>
          <cell r="DN602" t="str">
            <v>0 to 3 Days</v>
          </cell>
          <cell r="DP602">
            <v>45178</v>
          </cell>
          <cell r="DQ602">
            <v>45215</v>
          </cell>
          <cell r="DR602">
            <v>7</v>
          </cell>
          <cell r="DS602">
            <v>7</v>
          </cell>
          <cell r="DU602">
            <v>45222</v>
          </cell>
          <cell r="DV602">
            <v>45185</v>
          </cell>
          <cell r="DW602">
            <v>45222</v>
          </cell>
          <cell r="DX602" t="str">
            <v>Oct 23 Week 4</v>
          </cell>
          <cell r="DZ602">
            <v>45233</v>
          </cell>
          <cell r="EA602" t="str">
            <v>Nov 23 Week 1</v>
          </cell>
          <cell r="EB602" t="str">
            <v>Backlog</v>
          </cell>
          <cell r="ED602" t="str">
            <v/>
          </cell>
          <cell r="EE602" t="str">
            <v/>
          </cell>
          <cell r="EF602">
            <v>1</v>
          </cell>
          <cell r="EG602">
            <v>1</v>
          </cell>
          <cell r="FD602">
            <v>11</v>
          </cell>
          <cell r="FE602" t="str">
            <v>8 to 15 Days</v>
          </cell>
          <cell r="FF602">
            <v>48</v>
          </cell>
          <cell r="FG602" t="str">
            <v>31 to 61 Days</v>
          </cell>
          <cell r="FH602" t="str">
            <v>Done</v>
          </cell>
          <cell r="FI602" t="str">
            <v>Done</v>
          </cell>
          <cell r="FJ602" t="str">
            <v>NA</v>
          </cell>
          <cell r="FK602">
            <v>45310</v>
          </cell>
          <cell r="FM602" t="str">
            <v/>
          </cell>
          <cell r="GA602">
            <v>45276</v>
          </cell>
          <cell r="GC602">
            <v>45215</v>
          </cell>
          <cell r="GG602" t="str">
            <v>2023-2024</v>
          </cell>
        </row>
        <row r="603">
          <cell r="E603" t="str">
            <v>GF Batheja Complex Plot No 16 17 18 Opp  , No 194347 Vill Nelpur Tehsil Rajpura , New Grain Market Khasra No 291322 Khatta , Dist Patiala , RAJPURA , 140401</v>
          </cell>
          <cell r="F603" t="str">
            <v>9. EPC Ready</v>
          </cell>
          <cell r="G603" t="str">
            <v>SPPBRAR4163</v>
          </cell>
          <cell r="H603" t="str">
            <v>PB-SM-RAJ-3001</v>
          </cell>
          <cell r="I603" t="str">
            <v>TYUB</v>
          </cell>
          <cell r="J603" t="str">
            <v>QB2F</v>
          </cell>
          <cell r="K603" t="str">
            <v xml:space="preserve">N </v>
          </cell>
          <cell r="L603" t="str">
            <v>KC</v>
          </cell>
          <cell r="M603" t="str">
            <v>EPC Ready</v>
          </cell>
          <cell r="Q603" t="str">
            <v>Gaurav Shinde</v>
          </cell>
          <cell r="S603" t="str">
            <v>Punjab</v>
          </cell>
          <cell r="T603" t="str">
            <v>Rajpura</v>
          </cell>
          <cell r="U603" t="str">
            <v>Non Premium</v>
          </cell>
          <cell r="V603" t="str">
            <v>Pharma Format</v>
          </cell>
          <cell r="W603">
            <v>400</v>
          </cell>
          <cell r="X603" t="str">
            <v>GF Batheja Complex Plot No 16 17 18 Opp  , No 194347 Vill Nelpur Tehsil Rajpura , New Grain Market Khasra No 291322 Khatta , Dist Patiala , RAJPURA , 140401</v>
          </cell>
          <cell r="Y603">
            <v>45208</v>
          </cell>
          <cell r="Z603" t="str">
            <v>NA</v>
          </cell>
          <cell r="AB603" t="str">
            <v>NA</v>
          </cell>
          <cell r="AF603" t="str">
            <v>NA</v>
          </cell>
          <cell r="AK603">
            <v>45208</v>
          </cell>
          <cell r="AL603" t="str">
            <v>Received</v>
          </cell>
          <cell r="AO603">
            <v>3</v>
          </cell>
          <cell r="AS603">
            <v>-3</v>
          </cell>
          <cell r="AU603">
            <v>4</v>
          </cell>
          <cell r="AY603">
            <v>-4</v>
          </cell>
          <cell r="BA603">
            <v>5</v>
          </cell>
          <cell r="BE603">
            <v>-5</v>
          </cell>
          <cell r="BG603">
            <v>5</v>
          </cell>
          <cell r="BK603">
            <v>-5</v>
          </cell>
          <cell r="BM603">
            <v>3</v>
          </cell>
          <cell r="BP603">
            <v>3</v>
          </cell>
          <cell r="BW603" t="str">
            <v>Done</v>
          </cell>
          <cell r="BX603">
            <v>45079</v>
          </cell>
          <cell r="BY603" t="str">
            <v>Approved</v>
          </cell>
          <cell r="CD603">
            <v>45208</v>
          </cell>
          <cell r="CE603">
            <v>45212</v>
          </cell>
          <cell r="CG603" t="str">
            <v>M/s     Brickwood global infracon Pvt. Ltd</v>
          </cell>
          <cell r="CI603" t="str">
            <v>Issued</v>
          </cell>
          <cell r="DG603" t="str">
            <v>Netmed SDP - Not in Dead Rental</v>
          </cell>
          <cell r="DK603">
            <v>45251</v>
          </cell>
          <cell r="DL603">
            <v>45224</v>
          </cell>
          <cell r="DM603">
            <v>2</v>
          </cell>
          <cell r="DN603" t="str">
            <v>0 to 3 Days</v>
          </cell>
          <cell r="DP603">
            <v>45215</v>
          </cell>
          <cell r="DQ603">
            <v>45253</v>
          </cell>
          <cell r="DR603">
            <v>7</v>
          </cell>
          <cell r="DS603">
            <v>7</v>
          </cell>
          <cell r="DU603">
            <v>45260</v>
          </cell>
          <cell r="DV603">
            <v>45222</v>
          </cell>
          <cell r="DW603">
            <v>45260</v>
          </cell>
          <cell r="DX603" t="str">
            <v>Nov 23 Week 5</v>
          </cell>
          <cell r="DZ603">
            <v>45275</v>
          </cell>
          <cell r="EA603" t="str">
            <v>Dec 23 Week 3</v>
          </cell>
          <cell r="EB603" t="str">
            <v>Backlog</v>
          </cell>
          <cell r="ED603" t="str">
            <v/>
          </cell>
          <cell r="EE603" t="str">
            <v/>
          </cell>
          <cell r="EF603">
            <v>1</v>
          </cell>
          <cell r="EG603">
            <v>1</v>
          </cell>
          <cell r="FD603">
            <v>15</v>
          </cell>
          <cell r="FE603" t="str">
            <v>8 to 15 Days</v>
          </cell>
          <cell r="FF603">
            <v>53</v>
          </cell>
          <cell r="FG603" t="str">
            <v>31 to 61 Days</v>
          </cell>
          <cell r="FH603" t="str">
            <v>Done</v>
          </cell>
          <cell r="FJ603" t="str">
            <v>NA</v>
          </cell>
          <cell r="FK603">
            <v>45456</v>
          </cell>
          <cell r="FM603" t="str">
            <v/>
          </cell>
          <cell r="GA603">
            <v>45274</v>
          </cell>
          <cell r="GC603">
            <v>45253</v>
          </cell>
          <cell r="GG603" t="str">
            <v>2023-2024</v>
          </cell>
        </row>
        <row r="604">
          <cell r="E604" t="str">
            <v>Ornate Complex Na Vill Bidhan Nagar Po  , Siliguri Darjeeling , Bidhan Nagar Ps Phansidewa  , SILIGURI , 734425</v>
          </cell>
          <cell r="F604" t="str">
            <v>9. EPC Ready</v>
          </cell>
          <cell r="G604" t="str">
            <v>SPWBBIN3928</v>
          </cell>
          <cell r="H604" t="str">
            <v>WB-SM-SIL-3011</v>
          </cell>
          <cell r="I604" t="str">
            <v>TAZG</v>
          </cell>
          <cell r="J604" t="str">
            <v>QGIK</v>
          </cell>
          <cell r="K604" t="str">
            <v xml:space="preserve">E </v>
          </cell>
          <cell r="L604" t="str">
            <v>SD</v>
          </cell>
          <cell r="M604" t="str">
            <v>EPC Ready</v>
          </cell>
          <cell r="N604" t="str">
            <v>Mahendrakumar Warma</v>
          </cell>
          <cell r="O604" t="str">
            <v xml:space="preserve">Sandeepta Gayen </v>
          </cell>
          <cell r="Q604" t="str">
            <v>Gaurav Shinde</v>
          </cell>
          <cell r="S604" t="str">
            <v>West Bengal</v>
          </cell>
          <cell r="T604" t="str">
            <v>Siliguri</v>
          </cell>
          <cell r="U604" t="str">
            <v>Non Premium</v>
          </cell>
          <cell r="V604" t="str">
            <v>Pharma Format</v>
          </cell>
          <cell r="W604">
            <v>400</v>
          </cell>
          <cell r="X604" t="str">
            <v>Ornate Complex Na Vill Bidhan Nagar Po  , Siliguri Darjeeling , Bidhan Nagar Ps Phansidewa  , SILIGURI , 734425</v>
          </cell>
          <cell r="Y604">
            <v>45166</v>
          </cell>
          <cell r="Z604" t="str">
            <v>NA</v>
          </cell>
          <cell r="AB604" t="str">
            <v>NA</v>
          </cell>
          <cell r="AF604" t="str">
            <v>NA</v>
          </cell>
          <cell r="AK604">
            <v>45184</v>
          </cell>
          <cell r="AL604" t="str">
            <v>Received</v>
          </cell>
          <cell r="AO604">
            <v>3</v>
          </cell>
          <cell r="AS604">
            <v>-3</v>
          </cell>
          <cell r="AU604">
            <v>4</v>
          </cell>
          <cell r="AY604">
            <v>-4</v>
          </cell>
          <cell r="BA604">
            <v>5</v>
          </cell>
          <cell r="BE604">
            <v>-5</v>
          </cell>
          <cell r="BG604">
            <v>5</v>
          </cell>
          <cell r="BK604">
            <v>-5</v>
          </cell>
          <cell r="BM604">
            <v>3</v>
          </cell>
          <cell r="BP604">
            <v>3</v>
          </cell>
          <cell r="BW604" t="str">
            <v>Done</v>
          </cell>
          <cell r="BX604">
            <v>45079</v>
          </cell>
          <cell r="BY604" t="str">
            <v>Approved</v>
          </cell>
          <cell r="CD604">
            <v>45163</v>
          </cell>
          <cell r="CE604">
            <v>45187</v>
          </cell>
          <cell r="CG604" t="str">
            <v>M/s. 3DESIRE NETWORKS AND SOLUTIONS</v>
          </cell>
          <cell r="CI604" t="str">
            <v>Issued</v>
          </cell>
          <cell r="DG604" t="str">
            <v>Netmed SDP - Not in Dead Rental</v>
          </cell>
          <cell r="DK604">
            <v>45230</v>
          </cell>
          <cell r="DM604">
            <v>2</v>
          </cell>
          <cell r="DN604" t="str">
            <v>0 to 3 Days</v>
          </cell>
          <cell r="DP604">
            <v>45190</v>
          </cell>
          <cell r="DQ604">
            <v>45232</v>
          </cell>
          <cell r="DR604">
            <v>7</v>
          </cell>
          <cell r="DS604">
            <v>7</v>
          </cell>
          <cell r="DU604">
            <v>45239</v>
          </cell>
          <cell r="DV604">
            <v>45197</v>
          </cell>
          <cell r="DW604">
            <v>45239</v>
          </cell>
          <cell r="DX604" t="str">
            <v>Nov 23 Week 2</v>
          </cell>
          <cell r="DZ604">
            <v>45237</v>
          </cell>
          <cell r="EA604" t="str">
            <v>Nov 23 Week 1</v>
          </cell>
          <cell r="EB604" t="str">
            <v>Plan</v>
          </cell>
          <cell r="ED604" t="str">
            <v/>
          </cell>
          <cell r="EE604" t="str">
            <v/>
          </cell>
          <cell r="EF604">
            <v>1</v>
          </cell>
          <cell r="EG604">
            <v>1</v>
          </cell>
          <cell r="FD604">
            <v>-2</v>
          </cell>
          <cell r="FE604" t="str">
            <v>On Time</v>
          </cell>
          <cell r="FF604">
            <v>40</v>
          </cell>
          <cell r="FG604" t="str">
            <v>31 to 61 Days</v>
          </cell>
          <cell r="FH604" t="str">
            <v>Done</v>
          </cell>
          <cell r="FI604" t="str">
            <v>Done</v>
          </cell>
          <cell r="FJ604" t="str">
            <v>NA</v>
          </cell>
          <cell r="FK604">
            <v>45261</v>
          </cell>
          <cell r="FM604" t="str">
            <v/>
          </cell>
          <cell r="GA604" t="str">
            <v>07-11-2023
27-11-2023</v>
          </cell>
          <cell r="GC604">
            <v>45225</v>
          </cell>
          <cell r="GG604" t="str">
            <v>2023-2024</v>
          </cell>
        </row>
        <row r="605">
          <cell r="E605" t="str">
            <v>Koushar Complex Rourkela Gumla Road  , Simdega , Main Rd Khairantoli Near Petrol Pump  , SIMDEGA , 835223</v>
          </cell>
          <cell r="F605" t="str">
            <v>14. Dropped</v>
          </cell>
          <cell r="G605" t="str">
            <v>SPJHSIK4286</v>
          </cell>
          <cell r="H605" t="str">
            <v>JH-SM-SDA-3003</v>
          </cell>
          <cell r="I605" t="str">
            <v>TYPM</v>
          </cell>
          <cell r="J605" t="str">
            <v>QBWO</v>
          </cell>
          <cell r="K605" t="str">
            <v xml:space="preserve">E </v>
          </cell>
          <cell r="L605" t="str">
            <v>AK</v>
          </cell>
          <cell r="M605" t="str">
            <v>Dropped</v>
          </cell>
          <cell r="Q605" t="str">
            <v>Gaurav Shinde</v>
          </cell>
          <cell r="S605" t="str">
            <v>Jharkhand</v>
          </cell>
          <cell r="T605" t="str">
            <v>Simdega</v>
          </cell>
          <cell r="U605" t="str">
            <v>Non Premium</v>
          </cell>
          <cell r="V605" t="str">
            <v>Pharma Format</v>
          </cell>
          <cell r="W605">
            <v>400</v>
          </cell>
          <cell r="X605" t="str">
            <v>Koushar Complex Rourkela Gumla Road  , Simdega , Main Rd Khairantoli Near Petrol Pump  , SIMDEGA , 835223</v>
          </cell>
          <cell r="Z605" t="str">
            <v>NA</v>
          </cell>
          <cell r="AB605" t="str">
            <v>NA</v>
          </cell>
          <cell r="AF605" t="str">
            <v>NA</v>
          </cell>
          <cell r="AK605">
            <v>45163</v>
          </cell>
          <cell r="AL605" t="str">
            <v>Received</v>
          </cell>
          <cell r="AO605">
            <v>3</v>
          </cell>
          <cell r="AS605">
            <v>-3</v>
          </cell>
          <cell r="AU605">
            <v>4</v>
          </cell>
          <cell r="AY605">
            <v>-4</v>
          </cell>
          <cell r="BA605">
            <v>5</v>
          </cell>
          <cell r="BE605">
            <v>-5</v>
          </cell>
          <cell r="BG605">
            <v>5</v>
          </cell>
          <cell r="BK605">
            <v>-5</v>
          </cell>
          <cell r="BM605">
            <v>3</v>
          </cell>
          <cell r="BP605">
            <v>3</v>
          </cell>
          <cell r="BW605" t="str">
            <v>Done</v>
          </cell>
          <cell r="BX605">
            <v>45079</v>
          </cell>
          <cell r="BY605" t="str">
            <v>Approved</v>
          </cell>
          <cell r="CD605">
            <v>45163</v>
          </cell>
          <cell r="DG605" t="str">
            <v>Netmed SDP - Not in Dead Rental</v>
          </cell>
          <cell r="DM605" t="str">
            <v>NA</v>
          </cell>
          <cell r="DN605" t="str">
            <v>NA</v>
          </cell>
          <cell r="DR605">
            <v>7</v>
          </cell>
          <cell r="DS605">
            <v>7</v>
          </cell>
          <cell r="DU605">
            <v>7</v>
          </cell>
          <cell r="DV605">
            <v>7</v>
          </cell>
          <cell r="DW605">
            <v>7</v>
          </cell>
          <cell r="EA605" t="str">
            <v/>
          </cell>
          <cell r="ED605" t="str">
            <v/>
          </cell>
          <cell r="EE605" t="str">
            <v/>
          </cell>
          <cell r="EF605">
            <v>1</v>
          </cell>
          <cell r="FD605">
            <v>46114</v>
          </cell>
          <cell r="FF605">
            <v>46114</v>
          </cell>
          <cell r="FJ605" t="str">
            <v>NA</v>
          </cell>
          <cell r="FM605" t="str">
            <v/>
          </cell>
          <cell r="GG605" t="str">
            <v>2024-2025</v>
          </cell>
        </row>
        <row r="606">
          <cell r="E606" t="str">
            <v>SP Pharma Jaggi Complex Sirhind</v>
          </cell>
          <cell r="F606" t="str">
            <v>9. EPC Ready</v>
          </cell>
          <cell r="G606" t="str">
            <v>SPPBSIS3646</v>
          </cell>
          <cell r="H606" t="str">
            <v>PB-SM-SFG-3001</v>
          </cell>
          <cell r="I606" t="str">
            <v>TYZH</v>
          </cell>
          <cell r="J606" t="str">
            <v>QB7J</v>
          </cell>
          <cell r="K606" t="str">
            <v xml:space="preserve">N </v>
          </cell>
          <cell r="L606" t="str">
            <v>KC</v>
          </cell>
          <cell r="M606" t="str">
            <v>EPC Ready Pharmacy 200 SFT</v>
          </cell>
          <cell r="Q606" t="str">
            <v>Gaurav Shinde</v>
          </cell>
          <cell r="S606" t="str">
            <v>Punjab</v>
          </cell>
          <cell r="T606" t="str">
            <v>Sirhind</v>
          </cell>
          <cell r="U606" t="str">
            <v>Non Premium</v>
          </cell>
          <cell r="V606" t="str">
            <v>Pharma Format</v>
          </cell>
          <cell r="W606">
            <v>200</v>
          </cell>
          <cell r="X606" t="str">
            <v>SP Pharma Jaggi Complex Sirhind</v>
          </cell>
          <cell r="Y606">
            <v>45124</v>
          </cell>
          <cell r="Z606" t="str">
            <v>NA</v>
          </cell>
          <cell r="AB606" t="str">
            <v>NA</v>
          </cell>
          <cell r="AF606" t="str">
            <v>NA</v>
          </cell>
          <cell r="AK606">
            <v>45144</v>
          </cell>
          <cell r="AL606" t="str">
            <v>Received</v>
          </cell>
          <cell r="AO606">
            <v>3</v>
          </cell>
          <cell r="AS606">
            <v>-3</v>
          </cell>
          <cell r="AU606">
            <v>4</v>
          </cell>
          <cell r="AY606">
            <v>-4</v>
          </cell>
          <cell r="BA606">
            <v>5</v>
          </cell>
          <cell r="BE606">
            <v>-5</v>
          </cell>
          <cell r="BG606">
            <v>5</v>
          </cell>
          <cell r="BK606">
            <v>-5</v>
          </cell>
          <cell r="BM606">
            <v>3</v>
          </cell>
          <cell r="BP606">
            <v>3</v>
          </cell>
          <cell r="BW606" t="str">
            <v>Done</v>
          </cell>
          <cell r="BX606">
            <v>45079</v>
          </cell>
          <cell r="BY606" t="str">
            <v>Approved</v>
          </cell>
          <cell r="CD606">
            <v>45126</v>
          </cell>
          <cell r="CE606">
            <v>45169</v>
          </cell>
          <cell r="CG606" t="str">
            <v xml:space="preserve">M/s     PREFER RACK ENGINEERS </v>
          </cell>
          <cell r="CI606" t="str">
            <v>Issued</v>
          </cell>
          <cell r="DG606" t="str">
            <v>Netmed SDP - Not in Dead Rental</v>
          </cell>
          <cell r="DK606">
            <v>45205</v>
          </cell>
          <cell r="DM606">
            <v>2</v>
          </cell>
          <cell r="DN606" t="str">
            <v>0 to 3 Days</v>
          </cell>
          <cell r="DP606">
            <v>45172</v>
          </cell>
          <cell r="DQ606">
            <v>45207</v>
          </cell>
          <cell r="DR606">
            <v>7</v>
          </cell>
          <cell r="DS606">
            <v>7</v>
          </cell>
          <cell r="DU606">
            <v>45214</v>
          </cell>
          <cell r="DV606">
            <v>45179</v>
          </cell>
          <cell r="DW606">
            <v>45214</v>
          </cell>
          <cell r="DX606" t="str">
            <v>Oct 23 Week 3</v>
          </cell>
          <cell r="DZ606">
            <v>45125</v>
          </cell>
          <cell r="EA606" t="str">
            <v>July 23 Week 3</v>
          </cell>
          <cell r="EB606" t="str">
            <v>Plan</v>
          </cell>
          <cell r="ED606" t="str">
            <v/>
          </cell>
          <cell r="EE606" t="str">
            <v/>
          </cell>
          <cell r="EF606">
            <v>1</v>
          </cell>
          <cell r="EG606">
            <v>1</v>
          </cell>
          <cell r="FD606">
            <v>-89</v>
          </cell>
          <cell r="FE606" t="str">
            <v>On Time</v>
          </cell>
          <cell r="FF606">
            <v>-54</v>
          </cell>
          <cell r="FG606" t="str">
            <v>On Time</v>
          </cell>
          <cell r="FH606" t="str">
            <v>Done</v>
          </cell>
          <cell r="FI606" t="str">
            <v>Done</v>
          </cell>
          <cell r="FJ606" t="str">
            <v>NA</v>
          </cell>
          <cell r="FM606" t="str">
            <v/>
          </cell>
          <cell r="GG606" t="str">
            <v>2023-2024</v>
          </cell>
        </row>
        <row r="607">
          <cell r="E607" t="str">
            <v>SP Pharma PCN Complex Rasipuram</v>
          </cell>
          <cell r="F607" t="str">
            <v>9. EPC Ready</v>
          </cell>
          <cell r="G607" t="str">
            <v>SPTNRAP3550</v>
          </cell>
          <cell r="H607" t="str">
            <v>TN-SM-RIM-3000</v>
          </cell>
          <cell r="I607" t="str">
            <v>TYJC</v>
          </cell>
          <cell r="J607" t="str">
            <v>QBPK</v>
          </cell>
          <cell r="K607" t="str">
            <v>S</v>
          </cell>
          <cell r="L607" t="str">
            <v>AK</v>
          </cell>
          <cell r="M607" t="str">
            <v>EPC Ready</v>
          </cell>
          <cell r="N607" t="str">
            <v>N Kalyankumar</v>
          </cell>
          <cell r="O607" t="str">
            <v>Muthuvelu Minnal /
Vijayakumar Muthusamy</v>
          </cell>
          <cell r="Q607" t="str">
            <v>Gaurav Shinde</v>
          </cell>
          <cell r="S607" t="str">
            <v>Tamil Nadu</v>
          </cell>
          <cell r="T607" t="str">
            <v>Rasipuram</v>
          </cell>
          <cell r="U607" t="str">
            <v>Non Premium</v>
          </cell>
          <cell r="V607" t="str">
            <v>Pharma Format</v>
          </cell>
          <cell r="W607">
            <v>400</v>
          </cell>
          <cell r="X607" t="str">
            <v>SP Pharma PCN Complex Rasipuram</v>
          </cell>
          <cell r="Y607">
            <v>45159</v>
          </cell>
          <cell r="Z607" t="str">
            <v>NA</v>
          </cell>
          <cell r="AB607" t="str">
            <v>NA</v>
          </cell>
          <cell r="AF607" t="str">
            <v>NA</v>
          </cell>
          <cell r="AK607">
            <v>45182</v>
          </cell>
          <cell r="AL607" t="str">
            <v>Received</v>
          </cell>
          <cell r="AO607">
            <v>3</v>
          </cell>
          <cell r="AS607">
            <v>-3</v>
          </cell>
          <cell r="AU607">
            <v>4</v>
          </cell>
          <cell r="AY607">
            <v>-4</v>
          </cell>
          <cell r="BA607">
            <v>5</v>
          </cell>
          <cell r="BE607">
            <v>-5</v>
          </cell>
          <cell r="BG607">
            <v>5</v>
          </cell>
          <cell r="BK607">
            <v>-5</v>
          </cell>
          <cell r="BM607">
            <v>3</v>
          </cell>
          <cell r="BP607">
            <v>3</v>
          </cell>
          <cell r="BW607" t="str">
            <v>Done</v>
          </cell>
          <cell r="BX607">
            <v>45079</v>
          </cell>
          <cell r="BY607" t="str">
            <v>Approved</v>
          </cell>
          <cell r="CD607">
            <v>45162</v>
          </cell>
          <cell r="CE607">
            <v>45196</v>
          </cell>
          <cell r="CG607" t="str">
            <v>M/s Prayagaa Enterprises Pvt Ltd</v>
          </cell>
          <cell r="CI607" t="str">
            <v>Issued</v>
          </cell>
          <cell r="DG607" t="str">
            <v>Netmed SDP - Not in Dead Rental</v>
          </cell>
          <cell r="DK607">
            <v>45220</v>
          </cell>
          <cell r="DM607">
            <v>2</v>
          </cell>
          <cell r="DN607" t="str">
            <v>0 to 3 Days</v>
          </cell>
          <cell r="DP607">
            <v>45199</v>
          </cell>
          <cell r="DQ607">
            <v>45222</v>
          </cell>
          <cell r="DR607">
            <v>7</v>
          </cell>
          <cell r="DS607">
            <v>7</v>
          </cell>
          <cell r="DU607">
            <v>45229</v>
          </cell>
          <cell r="DV607">
            <v>45206</v>
          </cell>
          <cell r="DW607">
            <v>45229</v>
          </cell>
          <cell r="DX607" t="str">
            <v>Oct 23 Week 5</v>
          </cell>
          <cell r="DZ607">
            <v>45269</v>
          </cell>
          <cell r="EA607" t="str">
            <v>Dec 23 Week 2</v>
          </cell>
          <cell r="EB607" t="str">
            <v>Backlog</v>
          </cell>
          <cell r="ED607" t="str">
            <v/>
          </cell>
          <cell r="EE607" t="str">
            <v/>
          </cell>
          <cell r="EF607">
            <v>1</v>
          </cell>
          <cell r="EG607">
            <v>1</v>
          </cell>
          <cell r="FD607">
            <v>40</v>
          </cell>
          <cell r="FE607" t="str">
            <v>31 to 61 Days</v>
          </cell>
          <cell r="FF607">
            <v>63</v>
          </cell>
          <cell r="FG607" t="str">
            <v>62 to 90 Days</v>
          </cell>
          <cell r="FH607" t="str">
            <v>Done</v>
          </cell>
          <cell r="FJ607" t="str">
            <v>NA</v>
          </cell>
          <cell r="FK607">
            <v>45455</v>
          </cell>
          <cell r="FM607" t="str">
            <v/>
          </cell>
          <cell r="GA607">
            <v>45269</v>
          </cell>
          <cell r="GC607">
            <v>45222</v>
          </cell>
          <cell r="GG607" t="str">
            <v>2023-2024</v>
          </cell>
        </row>
        <row r="608">
          <cell r="E608" t="str">
            <v>Shankar Reddy  , Raichur , Vasavi Nagar Near Bustand  , RAICHUR , 584101</v>
          </cell>
          <cell r="F608" t="str">
            <v>9. EPC Ready</v>
          </cell>
          <cell r="G608" t="str">
            <v>SPKARAN3862</v>
          </cell>
          <cell r="H608" t="str">
            <v>KR-SM-RAI-3000</v>
          </cell>
          <cell r="I608" t="str">
            <v>TAOM</v>
          </cell>
          <cell r="J608" t="str">
            <v>QF4P</v>
          </cell>
          <cell r="K608" t="str">
            <v>S</v>
          </cell>
          <cell r="L608" t="str">
            <v>AK</v>
          </cell>
          <cell r="M608" t="str">
            <v>EPC Ready</v>
          </cell>
          <cell r="N608" t="str">
            <v>N Kalyankumar</v>
          </cell>
          <cell r="O608" t="str">
            <v>Sreekanth Bijjhalli</v>
          </cell>
          <cell r="P608" t="str">
            <v>Sreekanth.Bijjhalli-9900039061</v>
          </cell>
          <cell r="Q608" t="str">
            <v>Gaurav Shinde</v>
          </cell>
          <cell r="S608" t="str">
            <v>Karnataka</v>
          </cell>
          <cell r="T608" t="str">
            <v>RAICHUR</v>
          </cell>
          <cell r="U608" t="str">
            <v>Non Premium</v>
          </cell>
          <cell r="V608" t="str">
            <v>Pharma Format</v>
          </cell>
          <cell r="W608">
            <v>416</v>
          </cell>
          <cell r="X608" t="str">
            <v>Shankar Reddy  , Raichur , Vasavi Nagar Near Bustand  , RAICHUR , 584101</v>
          </cell>
          <cell r="Y608">
            <v>45163</v>
          </cell>
          <cell r="Z608" t="str">
            <v>NA</v>
          </cell>
          <cell r="AB608" t="str">
            <v>NA</v>
          </cell>
          <cell r="AF608" t="str">
            <v>NA</v>
          </cell>
          <cell r="AK608">
            <v>45153</v>
          </cell>
          <cell r="AL608" t="str">
            <v>Received</v>
          </cell>
          <cell r="AO608">
            <v>3</v>
          </cell>
          <cell r="AS608">
            <v>-3</v>
          </cell>
          <cell r="AU608">
            <v>4</v>
          </cell>
          <cell r="AY608">
            <v>-4</v>
          </cell>
          <cell r="BA608">
            <v>5</v>
          </cell>
          <cell r="BE608">
            <v>-5</v>
          </cell>
          <cell r="BG608">
            <v>5</v>
          </cell>
          <cell r="BK608">
            <v>-5</v>
          </cell>
          <cell r="BM608">
            <v>3</v>
          </cell>
          <cell r="BP608">
            <v>3</v>
          </cell>
          <cell r="BW608" t="str">
            <v>Done</v>
          </cell>
          <cell r="BX608">
            <v>45079</v>
          </cell>
          <cell r="BY608" t="str">
            <v>Approved</v>
          </cell>
          <cell r="CD608">
            <v>45162</v>
          </cell>
          <cell r="CE608">
            <v>45211</v>
          </cell>
          <cell r="CG608" t="str">
            <v>M/s. LOTIER INTERIOR PRIVATE LIMITED</v>
          </cell>
          <cell r="CI608" t="str">
            <v>Issued</v>
          </cell>
          <cell r="DG608" t="str">
            <v>Netmed SDP - Not in Dead Rental</v>
          </cell>
          <cell r="DK608">
            <v>45222</v>
          </cell>
          <cell r="DL608">
            <v>45163</v>
          </cell>
          <cell r="DM608">
            <v>2</v>
          </cell>
          <cell r="DN608" t="str">
            <v>0 to 3 Days</v>
          </cell>
          <cell r="DP608">
            <v>45214</v>
          </cell>
          <cell r="DQ608">
            <v>45224</v>
          </cell>
          <cell r="DR608">
            <v>7</v>
          </cell>
          <cell r="DS608">
            <v>7</v>
          </cell>
          <cell r="DU608">
            <v>45231</v>
          </cell>
          <cell r="DV608">
            <v>45221</v>
          </cell>
          <cell r="DW608">
            <v>45231</v>
          </cell>
          <cell r="DX608" t="str">
            <v>Nov 23 Week 1</v>
          </cell>
          <cell r="DZ608">
            <v>45273</v>
          </cell>
          <cell r="EA608" t="str">
            <v>Dec 23 Week 2</v>
          </cell>
          <cell r="EB608" t="str">
            <v>Backlog</v>
          </cell>
          <cell r="ED608" t="str">
            <v/>
          </cell>
          <cell r="EE608" t="str">
            <v/>
          </cell>
          <cell r="EF608">
            <v>1</v>
          </cell>
          <cell r="EG608">
            <v>1</v>
          </cell>
          <cell r="FD608">
            <v>42</v>
          </cell>
          <cell r="FE608" t="str">
            <v>31 to 61 Days</v>
          </cell>
          <cell r="FF608">
            <v>52</v>
          </cell>
          <cell r="FG608" t="str">
            <v>31 to 61 Days</v>
          </cell>
          <cell r="FH608" t="str">
            <v>Done</v>
          </cell>
          <cell r="FI608" t="str">
            <v>Done</v>
          </cell>
          <cell r="FJ608" t="str">
            <v>NA</v>
          </cell>
          <cell r="FK608">
            <v>45296</v>
          </cell>
          <cell r="FM608" t="str">
            <v/>
          </cell>
          <cell r="GA608">
            <v>45272</v>
          </cell>
          <cell r="GC608">
            <v>45224</v>
          </cell>
          <cell r="GG608" t="str">
            <v>2023-2024</v>
          </cell>
        </row>
        <row r="609">
          <cell r="E609" t="str">
            <v>Chandrakant Sharma Sanjay Sharma Parsaur  , Parsauni Sitamarhi , Mairwa Nh 104 Shivhar Sitamarhi Road  , SITAMARHI , 843314</v>
          </cell>
          <cell r="F609" t="str">
            <v>9. EPC Ready</v>
          </cell>
          <cell r="G609" t="str">
            <v>SPBHPAS3302</v>
          </cell>
          <cell r="H609" t="str">
            <v>BH-SM-SIT-3006</v>
          </cell>
          <cell r="I609" t="str">
            <v>TZYZ</v>
          </cell>
          <cell r="J609" t="str">
            <v>QDPZ</v>
          </cell>
          <cell r="K609" t="str">
            <v xml:space="preserve">E </v>
          </cell>
          <cell r="L609" t="str">
            <v>AK</v>
          </cell>
          <cell r="M609" t="str">
            <v>EPC Ready</v>
          </cell>
          <cell r="Q609" t="str">
            <v>Gaurav Shinde</v>
          </cell>
          <cell r="S609" t="str">
            <v>Bihar</v>
          </cell>
          <cell r="T609" t="str">
            <v>Sitamarhi</v>
          </cell>
          <cell r="U609" t="str">
            <v>Non Premium</v>
          </cell>
          <cell r="V609" t="str">
            <v>Pharma Format</v>
          </cell>
          <cell r="W609">
            <v>402</v>
          </cell>
          <cell r="X609" t="str">
            <v>Chandrakant Sharma Sanjay Sharma Parsaur  , Parsauni Sitamarhi , Mairwa Nh 104 Shivhar Sitamarhi Road  , SITAMARHI , 843314</v>
          </cell>
          <cell r="Y609">
            <v>45224</v>
          </cell>
          <cell r="Z609" t="str">
            <v>NA</v>
          </cell>
          <cell r="AB609" t="str">
            <v>NA</v>
          </cell>
          <cell r="AF609" t="str">
            <v>NA</v>
          </cell>
          <cell r="AK609">
            <v>45278</v>
          </cell>
          <cell r="AL609" t="str">
            <v>Received</v>
          </cell>
          <cell r="AO609">
            <v>3</v>
          </cell>
          <cell r="AS609">
            <v>-3</v>
          </cell>
          <cell r="AU609">
            <v>4</v>
          </cell>
          <cell r="AY609">
            <v>-4</v>
          </cell>
          <cell r="BA609">
            <v>5</v>
          </cell>
          <cell r="BE609">
            <v>-5</v>
          </cell>
          <cell r="BG609">
            <v>5</v>
          </cell>
          <cell r="BK609">
            <v>-5</v>
          </cell>
          <cell r="BM609">
            <v>3</v>
          </cell>
          <cell r="BP609">
            <v>3</v>
          </cell>
          <cell r="BW609" t="str">
            <v>Done</v>
          </cell>
          <cell r="BX609">
            <v>45079</v>
          </cell>
          <cell r="BY609" t="str">
            <v>Approved</v>
          </cell>
          <cell r="CD609">
            <v>45163</v>
          </cell>
          <cell r="CG609" t="str">
            <v xml:space="preserve">M/S RECON </v>
          </cell>
          <cell r="DG609" t="str">
            <v>Netmed SDP - Not in Dead Rental</v>
          </cell>
          <cell r="DK609">
            <v>45300</v>
          </cell>
          <cell r="DM609">
            <v>2</v>
          </cell>
          <cell r="DN609" t="str">
            <v>0 to 3 Days</v>
          </cell>
          <cell r="DQ609">
            <v>45302</v>
          </cell>
          <cell r="DR609">
            <v>7</v>
          </cell>
          <cell r="DS609">
            <v>7</v>
          </cell>
          <cell r="DU609">
            <v>45309</v>
          </cell>
          <cell r="DV609">
            <v>7</v>
          </cell>
          <cell r="DW609">
            <v>45309</v>
          </cell>
          <cell r="DX609" t="str">
            <v>Jan 24 Week 3</v>
          </cell>
          <cell r="DZ609">
            <v>45320</v>
          </cell>
          <cell r="EA609" t="str">
            <v>Jan 24 Week 5</v>
          </cell>
          <cell r="EB609" t="str">
            <v>Backlog</v>
          </cell>
          <cell r="ED609" t="str">
            <v/>
          </cell>
          <cell r="EE609" t="str">
            <v/>
          </cell>
          <cell r="EF609">
            <v>1</v>
          </cell>
          <cell r="EG609">
            <v>1</v>
          </cell>
          <cell r="FD609">
            <v>11</v>
          </cell>
          <cell r="FE609" t="str">
            <v>8 to 15 Days</v>
          </cell>
          <cell r="FF609">
            <v>45313</v>
          </cell>
          <cell r="FH609" t="str">
            <v>Done</v>
          </cell>
          <cell r="FI609" t="str">
            <v>Done</v>
          </cell>
          <cell r="FJ609" t="str">
            <v>NA</v>
          </cell>
          <cell r="FK609">
            <v>45328</v>
          </cell>
          <cell r="FM609" t="str">
            <v/>
          </cell>
          <cell r="GA609">
            <v>45320</v>
          </cell>
          <cell r="GC609">
            <v>45302</v>
          </cell>
          <cell r="GG609" t="str">
            <v>2023-2024</v>
          </cell>
        </row>
        <row r="610">
          <cell r="E610" t="str">
            <v>GF Sundarkabhawan Khata No 294 SyNo 889  , Thana No 315 Circle Dumra Thana &amp; , Tauzi No 8287 Rakba 10 Mouza - Rajopatti , Dist - Sitamarhi , SITAMARHI , 843302</v>
          </cell>
          <cell r="F610" t="str">
            <v>14. Dropped</v>
          </cell>
          <cell r="G610" t="str">
            <v>SPBHSIV4309</v>
          </cell>
          <cell r="H610" t="str">
            <v>BH-SM-SIT-3008</v>
          </cell>
          <cell r="I610" t="str">
            <v>T86K</v>
          </cell>
          <cell r="J610" t="str">
            <v>QORQ</v>
          </cell>
          <cell r="K610" t="str">
            <v xml:space="preserve">E </v>
          </cell>
          <cell r="L610" t="str">
            <v>AK</v>
          </cell>
          <cell r="M610" t="str">
            <v>Dropped</v>
          </cell>
          <cell r="Q610" t="str">
            <v>Gaurav Shinde</v>
          </cell>
          <cell r="S610" t="str">
            <v>Bihar</v>
          </cell>
          <cell r="T610" t="str">
            <v>Sitamarhi</v>
          </cell>
          <cell r="U610" t="str">
            <v>Non Premium</v>
          </cell>
          <cell r="V610" t="str">
            <v>Pharma Format</v>
          </cell>
          <cell r="W610">
            <v>408</v>
          </cell>
          <cell r="X610" t="str">
            <v>GF Sundarkabhawan Khata No 294 SyNo 889  , Thana No 315 Circle Dumra Thana &amp; , Tauzi No 8287 Rakba 10 Mouza - Rajopatti , Dist - Sitamarhi , SITAMARHI , 843302</v>
          </cell>
          <cell r="Z610" t="str">
            <v>NA</v>
          </cell>
          <cell r="AB610" t="str">
            <v>NA</v>
          </cell>
          <cell r="AF610" t="str">
            <v>NA</v>
          </cell>
          <cell r="AK610">
            <v>45184</v>
          </cell>
          <cell r="AL610" t="str">
            <v>Received</v>
          </cell>
          <cell r="AO610">
            <v>3</v>
          </cell>
          <cell r="AS610">
            <v>-3</v>
          </cell>
          <cell r="AU610">
            <v>4</v>
          </cell>
          <cell r="AY610">
            <v>-4</v>
          </cell>
          <cell r="BA610">
            <v>5</v>
          </cell>
          <cell r="BE610">
            <v>-5</v>
          </cell>
          <cell r="BG610">
            <v>5</v>
          </cell>
          <cell r="BK610">
            <v>-5</v>
          </cell>
          <cell r="BM610">
            <v>3</v>
          </cell>
          <cell r="BP610">
            <v>3</v>
          </cell>
          <cell r="BW610" t="str">
            <v>Done</v>
          </cell>
          <cell r="BX610">
            <v>45079</v>
          </cell>
          <cell r="BY610" t="str">
            <v>Approved</v>
          </cell>
          <cell r="DG610" t="str">
            <v>Netmed SDP - Not in Dead Rental</v>
          </cell>
          <cell r="DM610" t="str">
            <v>NA</v>
          </cell>
          <cell r="DN610" t="str">
            <v>NA</v>
          </cell>
          <cell r="DR610">
            <v>7</v>
          </cell>
          <cell r="DS610">
            <v>7</v>
          </cell>
          <cell r="DU610">
            <v>7</v>
          </cell>
          <cell r="DV610">
            <v>7</v>
          </cell>
          <cell r="DW610">
            <v>7</v>
          </cell>
          <cell r="EA610" t="str">
            <v/>
          </cell>
          <cell r="ED610" t="str">
            <v/>
          </cell>
          <cell r="EE610" t="str">
            <v/>
          </cell>
          <cell r="EF610">
            <v>1</v>
          </cell>
          <cell r="FD610">
            <v>46114</v>
          </cell>
          <cell r="FF610">
            <v>46114</v>
          </cell>
          <cell r="FJ610" t="str">
            <v>NA</v>
          </cell>
          <cell r="FM610" t="str">
            <v/>
          </cell>
          <cell r="GG610" t="str">
            <v>2024-2025</v>
          </cell>
        </row>
        <row r="611">
          <cell r="E611" t="str">
            <v>Byahut Bhavan Koat Bazar  ,  , Ward No 15 Sitamarhi Chakmahial  , SITAMARHI , 843302</v>
          </cell>
          <cell r="F611" t="str">
            <v>9. EPC Ready</v>
          </cell>
          <cell r="G611" t="str">
            <v>SPBHSIC4310</v>
          </cell>
          <cell r="H611" t="str">
            <v>BH-SM-SIT-3004</v>
          </cell>
          <cell r="I611" t="str">
            <v>TZBI</v>
          </cell>
          <cell r="J611" t="str">
            <v>QCTM</v>
          </cell>
          <cell r="K611" t="str">
            <v xml:space="preserve">E </v>
          </cell>
          <cell r="L611" t="str">
            <v>AK</v>
          </cell>
          <cell r="M611" t="str">
            <v>EPC Ready</v>
          </cell>
          <cell r="Q611" t="str">
            <v>Gaurav Shinde</v>
          </cell>
          <cell r="S611" t="str">
            <v>Bihar</v>
          </cell>
          <cell r="T611" t="str">
            <v>Sitamarhi</v>
          </cell>
          <cell r="U611" t="str">
            <v>Non Premium</v>
          </cell>
          <cell r="V611" t="str">
            <v>Pharma Format</v>
          </cell>
          <cell r="W611">
            <v>405</v>
          </cell>
          <cell r="X611" t="str">
            <v>Byahut Bhavan Koat Bazar  ,  , Ward No 15 Sitamarhi Chakmahial  , SITAMARHI , 843302</v>
          </cell>
          <cell r="Y611">
            <v>45166</v>
          </cell>
          <cell r="Z611" t="str">
            <v>NA</v>
          </cell>
          <cell r="AB611" t="str">
            <v>NA</v>
          </cell>
          <cell r="AF611" t="str">
            <v>NA</v>
          </cell>
          <cell r="AK611">
            <v>45169</v>
          </cell>
          <cell r="AL611" t="str">
            <v>Received</v>
          </cell>
          <cell r="AO611">
            <v>3</v>
          </cell>
          <cell r="AS611">
            <v>-3</v>
          </cell>
          <cell r="AU611">
            <v>4</v>
          </cell>
          <cell r="AY611">
            <v>-4</v>
          </cell>
          <cell r="BA611">
            <v>5</v>
          </cell>
          <cell r="BE611">
            <v>-5</v>
          </cell>
          <cell r="BG611">
            <v>5</v>
          </cell>
          <cell r="BK611">
            <v>-5</v>
          </cell>
          <cell r="BM611">
            <v>3</v>
          </cell>
          <cell r="BP611">
            <v>3</v>
          </cell>
          <cell r="BW611" t="str">
            <v>Done</v>
          </cell>
          <cell r="BX611">
            <v>45079</v>
          </cell>
          <cell r="BY611" t="str">
            <v>Approved</v>
          </cell>
          <cell r="CD611">
            <v>45163</v>
          </cell>
          <cell r="CE611">
            <v>45175</v>
          </cell>
          <cell r="CG611" t="str">
            <v xml:space="preserve">M/S RECON </v>
          </cell>
          <cell r="CI611" t="str">
            <v>Issued</v>
          </cell>
          <cell r="DG611" t="str">
            <v>Netmed SDP - Not in Dead Rental</v>
          </cell>
          <cell r="DK611">
            <v>45292</v>
          </cell>
          <cell r="DL611">
            <v>45194</v>
          </cell>
          <cell r="DM611">
            <v>2</v>
          </cell>
          <cell r="DN611" t="str">
            <v>0 to 3 Days</v>
          </cell>
          <cell r="DP611">
            <v>45178</v>
          </cell>
          <cell r="DQ611">
            <v>45294</v>
          </cell>
          <cell r="DR611">
            <v>7</v>
          </cell>
          <cell r="DS611">
            <v>7</v>
          </cell>
          <cell r="DU611">
            <v>45301</v>
          </cell>
          <cell r="DV611">
            <v>45185</v>
          </cell>
          <cell r="DW611">
            <v>45301</v>
          </cell>
          <cell r="DX611" t="str">
            <v>Jan 24 Week 2</v>
          </cell>
          <cell r="DZ611">
            <v>45305</v>
          </cell>
          <cell r="EA611" t="str">
            <v>Jan 24 Week 2</v>
          </cell>
          <cell r="EB611" t="str">
            <v>Backlog</v>
          </cell>
          <cell r="ED611" t="str">
            <v/>
          </cell>
          <cell r="EE611" t="str">
            <v/>
          </cell>
          <cell r="EF611">
            <v>1</v>
          </cell>
          <cell r="EG611">
            <v>1</v>
          </cell>
          <cell r="FD611">
            <v>4</v>
          </cell>
          <cell r="FE611" t="str">
            <v>4 to 7 Days</v>
          </cell>
          <cell r="FF611">
            <v>120</v>
          </cell>
          <cell r="FG611" t="str">
            <v>More Than 90  Days</v>
          </cell>
          <cell r="FH611" t="str">
            <v>Done</v>
          </cell>
          <cell r="FI611" t="str">
            <v>Done</v>
          </cell>
          <cell r="FJ611" t="str">
            <v>NA</v>
          </cell>
          <cell r="FK611">
            <v>45275</v>
          </cell>
          <cell r="FM611" t="str">
            <v/>
          </cell>
          <cell r="GA611">
            <v>45262</v>
          </cell>
          <cell r="GC611">
            <v>45234</v>
          </cell>
          <cell r="GG611" t="str">
            <v>2023-2024</v>
          </cell>
        </row>
        <row r="612">
          <cell r="E612" t="str">
            <v>Gf No 4 197 1 Salem Road  , Dist Salem Tamil Nadu , Near Indian Oil Petrol Bunk  , SALEM , 636201</v>
          </cell>
          <cell r="F612" t="str">
            <v>9. EPC Ready</v>
          </cell>
          <cell r="G612" t="str">
            <v>SPTNSAN3858</v>
          </cell>
          <cell r="H612" t="str">
            <v>TN-SM-SAL-3004</v>
          </cell>
          <cell r="I612" t="str">
            <v>T1WV</v>
          </cell>
          <cell r="J612" t="str">
            <v>Q3I7</v>
          </cell>
          <cell r="K612" t="str">
            <v>S</v>
          </cell>
          <cell r="L612" t="str">
            <v>AK</v>
          </cell>
          <cell r="M612" t="str">
            <v>EPC Ready</v>
          </cell>
          <cell r="N612" t="str">
            <v>N Kalyankumar</v>
          </cell>
          <cell r="O612" t="str">
            <v>Muthuvelu Minnal /
Vijayakumar Muthusamy</v>
          </cell>
          <cell r="Q612" t="str">
            <v>Gaurav Shinde</v>
          </cell>
          <cell r="S612" t="str">
            <v>Tamil Nadu</v>
          </cell>
          <cell r="T612" t="str">
            <v>Salem</v>
          </cell>
          <cell r="U612" t="str">
            <v>Non Premium</v>
          </cell>
          <cell r="V612" t="str">
            <v>Pharma Format</v>
          </cell>
          <cell r="W612">
            <v>400</v>
          </cell>
          <cell r="X612" t="str">
            <v>Gf No 4 197 1 Salem Road  , Dist Salem Tamil Nadu , Near Indian Oil Petrol Bunk  , SALEM , 636201</v>
          </cell>
          <cell r="Y612">
            <v>45166</v>
          </cell>
          <cell r="Z612" t="str">
            <v>NA</v>
          </cell>
          <cell r="AB612" t="str">
            <v>NA</v>
          </cell>
          <cell r="AF612" t="str">
            <v>NA</v>
          </cell>
          <cell r="AK612">
            <v>45182</v>
          </cell>
          <cell r="AL612" t="str">
            <v>Received</v>
          </cell>
          <cell r="AO612">
            <v>3</v>
          </cell>
          <cell r="AS612">
            <v>-3</v>
          </cell>
          <cell r="AU612">
            <v>4</v>
          </cell>
          <cell r="AY612">
            <v>-4</v>
          </cell>
          <cell r="BA612">
            <v>5</v>
          </cell>
          <cell r="BE612">
            <v>-5</v>
          </cell>
          <cell r="BG612">
            <v>5</v>
          </cell>
          <cell r="BK612">
            <v>-5</v>
          </cell>
          <cell r="BM612">
            <v>3</v>
          </cell>
          <cell r="BP612">
            <v>3</v>
          </cell>
          <cell r="BW612" t="str">
            <v>Done</v>
          </cell>
          <cell r="BX612">
            <v>45079</v>
          </cell>
          <cell r="BY612" t="str">
            <v>Approved</v>
          </cell>
          <cell r="CD612">
            <v>45163</v>
          </cell>
          <cell r="CE612">
            <v>45196</v>
          </cell>
          <cell r="CG612" t="str">
            <v>M/s Prayagaa Enterprises Pvt Ltd,.</v>
          </cell>
          <cell r="CI612" t="str">
            <v>Issued</v>
          </cell>
          <cell r="DG612" t="str">
            <v>Netmed SDP - Not in Dead Rental</v>
          </cell>
          <cell r="DK612">
            <v>45218</v>
          </cell>
          <cell r="DM612">
            <v>2</v>
          </cell>
          <cell r="DN612" t="str">
            <v>0 to 3 Days</v>
          </cell>
          <cell r="DP612">
            <v>45199</v>
          </cell>
          <cell r="DQ612">
            <v>45220</v>
          </cell>
          <cell r="DR612">
            <v>7</v>
          </cell>
          <cell r="DS612">
            <v>7</v>
          </cell>
          <cell r="DU612">
            <v>45227</v>
          </cell>
          <cell r="DV612">
            <v>45206</v>
          </cell>
          <cell r="DW612">
            <v>45227</v>
          </cell>
          <cell r="DX612" t="str">
            <v>Oct 23 Week 4</v>
          </cell>
          <cell r="DZ612">
            <v>45266</v>
          </cell>
          <cell r="EA612" t="str">
            <v>Dec 23 Week 1</v>
          </cell>
          <cell r="EB612" t="str">
            <v>Backlog</v>
          </cell>
          <cell r="ED612" t="str">
            <v/>
          </cell>
          <cell r="EE612" t="str">
            <v/>
          </cell>
          <cell r="EF612">
            <v>1</v>
          </cell>
          <cell r="EG612">
            <v>1</v>
          </cell>
          <cell r="FD612">
            <v>39</v>
          </cell>
          <cell r="FE612" t="str">
            <v>31 to 61 Days</v>
          </cell>
          <cell r="FF612">
            <v>60</v>
          </cell>
          <cell r="FG612" t="str">
            <v>31 to 61 Days</v>
          </cell>
          <cell r="FH612" t="str">
            <v>Done</v>
          </cell>
          <cell r="FJ612" t="str">
            <v>NA</v>
          </cell>
          <cell r="FK612">
            <v>45457</v>
          </cell>
          <cell r="FM612" t="str">
            <v/>
          </cell>
          <cell r="GA612">
            <v>45269</v>
          </cell>
          <cell r="GC612">
            <v>45220</v>
          </cell>
          <cell r="GG612" t="str">
            <v>2023-2024</v>
          </cell>
        </row>
        <row r="613">
          <cell r="E613" t="str">
            <v>Nirmala Arcade No 58 59  , Sirkali Mayiladurthurai , Thadalan South Street  , SIRKALI , 609110</v>
          </cell>
          <cell r="F613" t="str">
            <v>9. EPC Ready</v>
          </cell>
          <cell r="G613" t="str">
            <v>SPTNSIN4086</v>
          </cell>
          <cell r="H613" t="str">
            <v>TN-SM-SKI-3000</v>
          </cell>
          <cell r="I613" t="str">
            <v>TYRH</v>
          </cell>
          <cell r="J613" t="str">
            <v>QBYL</v>
          </cell>
          <cell r="K613" t="str">
            <v>S</v>
          </cell>
          <cell r="L613" t="str">
            <v>AK</v>
          </cell>
          <cell r="M613" t="str">
            <v>EPC Ready</v>
          </cell>
          <cell r="N613" t="str">
            <v>N Kalyankumar</v>
          </cell>
          <cell r="O613" t="str">
            <v>Muthuvelu Minnal /
Vijayakumar Muthusamy</v>
          </cell>
          <cell r="Q613" t="str">
            <v>Gaurav Shinde</v>
          </cell>
          <cell r="S613" t="str">
            <v>Tamil Nadu</v>
          </cell>
          <cell r="T613" t="str">
            <v>Sirkazhi</v>
          </cell>
          <cell r="U613" t="str">
            <v>Non Premium</v>
          </cell>
          <cell r="V613" t="str">
            <v>Pharma Format</v>
          </cell>
          <cell r="W613">
            <v>400</v>
          </cell>
          <cell r="X613" t="str">
            <v>Nirmala Arcade No 58 59  , Sirkali Mayiladurthurai , Thadalan South Street  , SIRKALI , 609110</v>
          </cell>
          <cell r="Y613">
            <v>45166</v>
          </cell>
          <cell r="Z613" t="str">
            <v>NA</v>
          </cell>
          <cell r="AB613" t="str">
            <v>NA</v>
          </cell>
          <cell r="AF613" t="str">
            <v>NA</v>
          </cell>
          <cell r="AK613">
            <v>45240</v>
          </cell>
          <cell r="AL613" t="str">
            <v>Received</v>
          </cell>
          <cell r="AO613">
            <v>3</v>
          </cell>
          <cell r="AS613">
            <v>-3</v>
          </cell>
          <cell r="AU613">
            <v>4</v>
          </cell>
          <cell r="AY613">
            <v>-4</v>
          </cell>
          <cell r="BA613">
            <v>5</v>
          </cell>
          <cell r="BE613">
            <v>-5</v>
          </cell>
          <cell r="BG613">
            <v>5</v>
          </cell>
          <cell r="BK613">
            <v>-5</v>
          </cell>
          <cell r="BM613">
            <v>3</v>
          </cell>
          <cell r="BP613">
            <v>3</v>
          </cell>
          <cell r="BW613" t="str">
            <v>Done</v>
          </cell>
          <cell r="BX613">
            <v>45079</v>
          </cell>
          <cell r="BY613" t="str">
            <v>Approved</v>
          </cell>
          <cell r="CD613">
            <v>45163</v>
          </cell>
          <cell r="CE613">
            <v>45192</v>
          </cell>
          <cell r="CG613" t="str">
            <v>M/s MAACON</v>
          </cell>
          <cell r="CI613" t="str">
            <v>Issued</v>
          </cell>
          <cell r="DG613" t="str">
            <v>Netmed SDP - Not in Dead Rental</v>
          </cell>
          <cell r="DK613">
            <v>45259</v>
          </cell>
          <cell r="DL613">
            <v>45219</v>
          </cell>
          <cell r="DM613">
            <v>2</v>
          </cell>
          <cell r="DN613" t="str">
            <v>0 to 3 Days</v>
          </cell>
          <cell r="DP613">
            <v>45195</v>
          </cell>
          <cell r="DQ613">
            <v>45261</v>
          </cell>
          <cell r="DR613">
            <v>7</v>
          </cell>
          <cell r="DS613">
            <v>7</v>
          </cell>
          <cell r="DU613">
            <v>45268</v>
          </cell>
          <cell r="DV613">
            <v>45202</v>
          </cell>
          <cell r="DW613">
            <v>45268</v>
          </cell>
          <cell r="DX613" t="str">
            <v>Dec 23 Week 2</v>
          </cell>
          <cell r="DZ613">
            <v>45287</v>
          </cell>
          <cell r="EA613" t="str">
            <v>Dec 23 Week 4</v>
          </cell>
          <cell r="EB613" t="str">
            <v>Backlog</v>
          </cell>
          <cell r="ED613" t="str">
            <v/>
          </cell>
          <cell r="EE613" t="str">
            <v/>
          </cell>
          <cell r="EF613">
            <v>1</v>
          </cell>
          <cell r="EG613">
            <v>1</v>
          </cell>
          <cell r="FD613">
            <v>19</v>
          </cell>
          <cell r="FE613" t="str">
            <v>16 to 31 Days</v>
          </cell>
          <cell r="FF613">
            <v>85</v>
          </cell>
          <cell r="FG613" t="str">
            <v>62 to 90 Days</v>
          </cell>
          <cell r="FH613" t="str">
            <v>Done</v>
          </cell>
          <cell r="FJ613" t="str">
            <v>NA</v>
          </cell>
          <cell r="FK613">
            <v>45456</v>
          </cell>
          <cell r="FM613" t="str">
            <v/>
          </cell>
          <cell r="GA613">
            <v>45287</v>
          </cell>
          <cell r="GC613" t="str">
            <v>04-11-2023
01-12-2023</v>
          </cell>
          <cell r="GG613" t="str">
            <v>2023-2024</v>
          </cell>
        </row>
        <row r="614">
          <cell r="E614" t="str">
            <v>Property No 20 161 Old No 4 7 72  , Shahabad Chitapur Gulbarga , At Bharth Chowk Road Shahabad Rural  , SHAHABAD , 585228</v>
          </cell>
          <cell r="F614" t="str">
            <v>9. EPC Ready</v>
          </cell>
          <cell r="G614" t="str">
            <v xml:space="preserve">SPKASHM3398 </v>
          </cell>
          <cell r="H614" t="str">
            <v>KR-SM-SHB-3000</v>
          </cell>
          <cell r="I614" t="str">
            <v>TABG</v>
          </cell>
          <cell r="J614" t="str">
            <v>QEZF</v>
          </cell>
          <cell r="K614" t="str">
            <v>S</v>
          </cell>
          <cell r="L614" t="str">
            <v>AK</v>
          </cell>
          <cell r="M614" t="str">
            <v>EPC Ready</v>
          </cell>
          <cell r="N614" t="str">
            <v>N Kalyankumar</v>
          </cell>
          <cell r="O614" t="str">
            <v>Sreekanth Bijjhalli</v>
          </cell>
          <cell r="Q614" t="str">
            <v>Gaurav Shinde</v>
          </cell>
          <cell r="S614" t="str">
            <v>Karnataka</v>
          </cell>
          <cell r="T614" t="str">
            <v>Shahabad</v>
          </cell>
          <cell r="U614" t="str">
            <v>Non Premium</v>
          </cell>
          <cell r="V614" t="str">
            <v>Pharma Format</v>
          </cell>
          <cell r="W614">
            <v>400</v>
          </cell>
          <cell r="X614" t="str">
            <v>Property No 20 161 Old No 4 7 72  , Shahabad Chitapur Gulbarga , At Bharth Chowk Road Shahabad Rural  , SHAHABAD , 585228</v>
          </cell>
          <cell r="Y614">
            <v>45166</v>
          </cell>
          <cell r="Z614" t="str">
            <v>NA</v>
          </cell>
          <cell r="AB614" t="str">
            <v>NA</v>
          </cell>
          <cell r="AF614" t="str">
            <v>NA</v>
          </cell>
          <cell r="AK614">
            <v>45169</v>
          </cell>
          <cell r="AL614" t="str">
            <v>Received</v>
          </cell>
          <cell r="AO614">
            <v>3</v>
          </cell>
          <cell r="AS614">
            <v>-3</v>
          </cell>
          <cell r="AU614">
            <v>4</v>
          </cell>
          <cell r="AY614">
            <v>-4</v>
          </cell>
          <cell r="BA614">
            <v>5</v>
          </cell>
          <cell r="BE614">
            <v>-5</v>
          </cell>
          <cell r="BG614">
            <v>5</v>
          </cell>
          <cell r="BK614">
            <v>-5</v>
          </cell>
          <cell r="BM614">
            <v>3</v>
          </cell>
          <cell r="BP614">
            <v>3</v>
          </cell>
          <cell r="BW614" t="str">
            <v>Done</v>
          </cell>
          <cell r="BX614">
            <v>45079</v>
          </cell>
          <cell r="BY614" t="str">
            <v>Approved</v>
          </cell>
          <cell r="CD614">
            <v>45163</v>
          </cell>
          <cell r="CE614">
            <v>45211</v>
          </cell>
          <cell r="CG614" t="str">
            <v>M/s. LOTIER INTERIOR PRIVATE LIMITED</v>
          </cell>
          <cell r="CI614" t="str">
            <v>Issued</v>
          </cell>
          <cell r="DG614" t="str">
            <v>Netmed SDP - Not in Dead Rental</v>
          </cell>
          <cell r="DK614">
            <v>45222</v>
          </cell>
          <cell r="DL614">
            <v>45173</v>
          </cell>
          <cell r="DM614">
            <v>2</v>
          </cell>
          <cell r="DN614" t="str">
            <v>0 to 3 Days</v>
          </cell>
          <cell r="DP614">
            <v>45214</v>
          </cell>
          <cell r="DQ614">
            <v>45224</v>
          </cell>
          <cell r="DR614">
            <v>7</v>
          </cell>
          <cell r="DS614">
            <v>7</v>
          </cell>
          <cell r="DU614">
            <v>45231</v>
          </cell>
          <cell r="DV614">
            <v>45221</v>
          </cell>
          <cell r="DW614">
            <v>45231</v>
          </cell>
          <cell r="DX614" t="str">
            <v>Nov 23 Week 1</v>
          </cell>
          <cell r="DZ614">
            <v>45279</v>
          </cell>
          <cell r="EA614" t="str">
            <v>Dec 23 Week 3</v>
          </cell>
          <cell r="EB614" t="str">
            <v>Backlog</v>
          </cell>
          <cell r="ED614" t="str">
            <v/>
          </cell>
          <cell r="EE614" t="str">
            <v/>
          </cell>
          <cell r="EF614">
            <v>1</v>
          </cell>
          <cell r="EG614">
            <v>1</v>
          </cell>
          <cell r="FD614">
            <v>48</v>
          </cell>
          <cell r="FE614" t="str">
            <v>31 to 61 Days</v>
          </cell>
          <cell r="FF614">
            <v>58</v>
          </cell>
          <cell r="FG614" t="str">
            <v>31 to 61 Days</v>
          </cell>
          <cell r="FH614" t="str">
            <v>Done</v>
          </cell>
          <cell r="FI614" t="str">
            <v>Done</v>
          </cell>
          <cell r="FJ614" t="str">
            <v>NA</v>
          </cell>
          <cell r="FK614">
            <v>45341</v>
          </cell>
          <cell r="FM614" t="str">
            <v/>
          </cell>
          <cell r="GA614">
            <v>45279</v>
          </cell>
          <cell r="GC614">
            <v>45224</v>
          </cell>
          <cell r="GG614" t="str">
            <v>2023-2024</v>
          </cell>
        </row>
        <row r="615">
          <cell r="E615" t="str">
            <v>GF Unit/shop OM VIJAYASHANKARA ARCADE  , Sury 82/1BBidar BengaRd Shahpur Yadgiri , Property Bearing 35-4-148(old No.64-74)  , SHAHPUR , 585223</v>
          </cell>
          <cell r="F615" t="str">
            <v>9. EPC Ready</v>
          </cell>
          <cell r="G615" t="str">
            <v>SPKAYAS4185</v>
          </cell>
          <cell r="H615" t="str">
            <v>KR-SM-SHR-3000</v>
          </cell>
          <cell r="I615" t="str">
            <v>TYWS</v>
          </cell>
          <cell r="J615" t="str">
            <v>QB4W</v>
          </cell>
          <cell r="K615" t="str">
            <v>S</v>
          </cell>
          <cell r="L615" t="str">
            <v>AK</v>
          </cell>
          <cell r="M615" t="str">
            <v>EPC Ready</v>
          </cell>
          <cell r="N615" t="str">
            <v>N Kalyankumar</v>
          </cell>
          <cell r="O615" t="str">
            <v>Sreekanth Bijjhalli</v>
          </cell>
          <cell r="P615" t="str">
            <v>Sreekanth.Bijjhalli-9900039061</v>
          </cell>
          <cell r="Q615" t="str">
            <v>Gaurav Shinde</v>
          </cell>
          <cell r="S615" t="str">
            <v>Karnataka</v>
          </cell>
          <cell r="T615" t="str">
            <v>Shahapur</v>
          </cell>
          <cell r="U615" t="str">
            <v>Non Premium</v>
          </cell>
          <cell r="V615" t="str">
            <v>Pharma Format</v>
          </cell>
          <cell r="W615">
            <v>400</v>
          </cell>
          <cell r="X615" t="str">
            <v>GF Unit/shop OM VIJAYASHANKARA ARCADE  , Sury 82/1BBidar BengaRd Shahpur Yadgiri , Property Bearing 35-4-148(old No.64-74)  , SHAHPUR , 585223</v>
          </cell>
          <cell r="Y615">
            <v>45167</v>
          </cell>
          <cell r="Z615" t="str">
            <v>NA</v>
          </cell>
          <cell r="AB615" t="str">
            <v>NA</v>
          </cell>
          <cell r="AF615" t="str">
            <v>NA</v>
          </cell>
          <cell r="AK615">
            <v>45183</v>
          </cell>
          <cell r="AL615" t="str">
            <v>Received</v>
          </cell>
          <cell r="AO615">
            <v>3</v>
          </cell>
          <cell r="AS615">
            <v>-3</v>
          </cell>
          <cell r="AU615">
            <v>4</v>
          </cell>
          <cell r="AY615">
            <v>-4</v>
          </cell>
          <cell r="BA615">
            <v>5</v>
          </cell>
          <cell r="BE615">
            <v>-5</v>
          </cell>
          <cell r="BG615">
            <v>5</v>
          </cell>
          <cell r="BK615">
            <v>-5</v>
          </cell>
          <cell r="BM615">
            <v>3</v>
          </cell>
          <cell r="BP615">
            <v>3</v>
          </cell>
          <cell r="BW615" t="str">
            <v>Done</v>
          </cell>
          <cell r="BX615">
            <v>45079</v>
          </cell>
          <cell r="BY615" t="str">
            <v>Approved</v>
          </cell>
          <cell r="CD615">
            <v>45163</v>
          </cell>
          <cell r="CE615">
            <v>45211</v>
          </cell>
          <cell r="CG615" t="str">
            <v>M/s. LOTIER INTERIOR PRIVATE LIMITED</v>
          </cell>
          <cell r="CI615" t="str">
            <v>Issued</v>
          </cell>
          <cell r="DG615" t="str">
            <v>Netmed SDP - Not in Dead Rental</v>
          </cell>
          <cell r="DK615">
            <v>45234</v>
          </cell>
          <cell r="DM615">
            <v>2</v>
          </cell>
          <cell r="DN615" t="str">
            <v>0 to 3 Days</v>
          </cell>
          <cell r="DP615">
            <v>45214</v>
          </cell>
          <cell r="DQ615">
            <v>45236</v>
          </cell>
          <cell r="DR615">
            <v>7</v>
          </cell>
          <cell r="DS615">
            <v>7</v>
          </cell>
          <cell r="DU615">
            <v>45243</v>
          </cell>
          <cell r="DV615">
            <v>45221</v>
          </cell>
          <cell r="DW615">
            <v>45243</v>
          </cell>
          <cell r="DX615" t="str">
            <v>Nov 23 Week 2</v>
          </cell>
          <cell r="DZ615">
            <v>45316</v>
          </cell>
          <cell r="EA615" t="str">
            <v>Jan 24 Week 4</v>
          </cell>
          <cell r="EB615" t="str">
            <v>Backlog</v>
          </cell>
          <cell r="ED615" t="str">
            <v/>
          </cell>
          <cell r="EE615" t="str">
            <v/>
          </cell>
          <cell r="EF615">
            <v>1</v>
          </cell>
          <cell r="EG615">
            <v>1</v>
          </cell>
          <cell r="FD615">
            <v>73</v>
          </cell>
          <cell r="FE615" t="str">
            <v>62 to 90 Days</v>
          </cell>
          <cell r="FF615">
            <v>95</v>
          </cell>
          <cell r="FG615" t="str">
            <v>More Than 90  Days</v>
          </cell>
          <cell r="FH615" t="str">
            <v>Done</v>
          </cell>
          <cell r="FI615" t="str">
            <v>Done</v>
          </cell>
          <cell r="FJ615" t="str">
            <v>NA</v>
          </cell>
          <cell r="FK615">
            <v>45328</v>
          </cell>
          <cell r="FM615" t="str">
            <v/>
          </cell>
          <cell r="GA615">
            <v>45316</v>
          </cell>
          <cell r="GC615">
            <v>45236</v>
          </cell>
          <cell r="GG615" t="str">
            <v>2023-2024</v>
          </cell>
        </row>
        <row r="616">
          <cell r="E616" t="str">
            <v>Gk Complex Door No 452A East Mundakan  , Virudhunagar , Nadar Street Jakkamal Kovil Sivakasi  , SIVAKASI , 626123</v>
          </cell>
          <cell r="F616" t="str">
            <v>9. EPC Ready</v>
          </cell>
          <cell r="G616" t="str">
            <v>SPTNSIG3576</v>
          </cell>
          <cell r="H616" t="str">
            <v>TN-SM-SIV-3000</v>
          </cell>
          <cell r="I616" t="str">
            <v>TYSG</v>
          </cell>
          <cell r="J616" t="str">
            <v>QBZK</v>
          </cell>
          <cell r="K616" t="str">
            <v>S</v>
          </cell>
          <cell r="L616" t="str">
            <v>AK</v>
          </cell>
          <cell r="M616" t="str">
            <v>EPC Ready</v>
          </cell>
          <cell r="N616" t="str">
            <v>N Kalyankumar</v>
          </cell>
          <cell r="O616" t="str">
            <v>Muthuvelu Minnal /
Vijayakumar Muthusamy</v>
          </cell>
          <cell r="Q616" t="str">
            <v>Gaurav Shinde</v>
          </cell>
          <cell r="S616" t="str">
            <v>Tamil Nadu</v>
          </cell>
          <cell r="T616" t="str">
            <v>Sivakasi</v>
          </cell>
          <cell r="U616" t="str">
            <v>Non Premium</v>
          </cell>
          <cell r="V616" t="str">
            <v>Pharma Format</v>
          </cell>
          <cell r="W616">
            <v>385</v>
          </cell>
          <cell r="X616" t="str">
            <v>Gk Complex Door No 452A East Mundakan  , Virudhunagar , Nadar Street Jakkamal Kovil Sivakasi  , SIVAKASI , 626123</v>
          </cell>
          <cell r="Y616">
            <v>45163</v>
          </cell>
          <cell r="Z616" t="str">
            <v>NA</v>
          </cell>
          <cell r="AB616" t="str">
            <v>NA</v>
          </cell>
          <cell r="AF616" t="str">
            <v>NA</v>
          </cell>
          <cell r="AK616">
            <v>45149</v>
          </cell>
          <cell r="AL616" t="str">
            <v>Received</v>
          </cell>
          <cell r="AO616">
            <v>3</v>
          </cell>
          <cell r="AS616">
            <v>-3</v>
          </cell>
          <cell r="AU616">
            <v>4</v>
          </cell>
          <cell r="AY616">
            <v>-4</v>
          </cell>
          <cell r="BA616">
            <v>5</v>
          </cell>
          <cell r="BE616">
            <v>-5</v>
          </cell>
          <cell r="BG616">
            <v>5</v>
          </cell>
          <cell r="BK616">
            <v>-5</v>
          </cell>
          <cell r="BM616">
            <v>3</v>
          </cell>
          <cell r="BP616">
            <v>3</v>
          </cell>
          <cell r="BW616" t="str">
            <v>Done</v>
          </cell>
          <cell r="BX616">
            <v>45079</v>
          </cell>
          <cell r="BY616" t="str">
            <v>Approved</v>
          </cell>
          <cell r="CD616">
            <v>45162</v>
          </cell>
          <cell r="CE616">
            <v>45196</v>
          </cell>
          <cell r="CG616" t="str">
            <v>M/s Prayagaa Enterprises Pvt Ltd,.</v>
          </cell>
          <cell r="CI616" t="str">
            <v>Issued</v>
          </cell>
          <cell r="DG616" t="str">
            <v>Netmed SDP - Not in Dead Rental</v>
          </cell>
          <cell r="DK616">
            <v>45230</v>
          </cell>
          <cell r="DL616">
            <v>45204</v>
          </cell>
          <cell r="DM616">
            <v>2</v>
          </cell>
          <cell r="DN616" t="str">
            <v>0 to 3 Days</v>
          </cell>
          <cell r="DP616">
            <v>45199</v>
          </cell>
          <cell r="DQ616">
            <v>45232</v>
          </cell>
          <cell r="DR616">
            <v>7</v>
          </cell>
          <cell r="DS616">
            <v>7</v>
          </cell>
          <cell r="DU616">
            <v>45239</v>
          </cell>
          <cell r="DV616">
            <v>45206</v>
          </cell>
          <cell r="DW616">
            <v>45239</v>
          </cell>
          <cell r="DX616" t="str">
            <v>Nov 23 Week 2</v>
          </cell>
          <cell r="DZ616">
            <v>45257</v>
          </cell>
          <cell r="EA616" t="str">
            <v>Nov 23 Week 4</v>
          </cell>
          <cell r="EB616" t="str">
            <v>Backlog</v>
          </cell>
          <cell r="ED616" t="str">
            <v/>
          </cell>
          <cell r="EE616" t="str">
            <v/>
          </cell>
          <cell r="EF616">
            <v>1</v>
          </cell>
          <cell r="EG616">
            <v>1</v>
          </cell>
          <cell r="FD616">
            <v>18</v>
          </cell>
          <cell r="FE616" t="str">
            <v>16 to 31 Days</v>
          </cell>
          <cell r="FF616">
            <v>51</v>
          </cell>
          <cell r="FG616" t="str">
            <v>31 to 61 Days</v>
          </cell>
          <cell r="FH616" t="str">
            <v>Done</v>
          </cell>
          <cell r="FJ616" t="str">
            <v>NA</v>
          </cell>
          <cell r="FK616">
            <v>45454</v>
          </cell>
          <cell r="FM616" t="str">
            <v/>
          </cell>
          <cell r="GA616">
            <v>45257</v>
          </cell>
          <cell r="GC616">
            <v>45232</v>
          </cell>
          <cell r="GG616" t="str">
            <v>2023-2024</v>
          </cell>
        </row>
        <row r="617">
          <cell r="E617" t="str">
            <v>Atyam Building 24 56 Main Road  , West Godavari , West Godavari  , PENUGONDA , 534320</v>
          </cell>
          <cell r="F617" t="str">
            <v>9. EPC Ready</v>
          </cell>
          <cell r="G617" t="str">
            <v>SPAPPEM3739</v>
          </cell>
          <cell r="H617" t="str">
            <v>AP-SM-PUA-3000</v>
          </cell>
          <cell r="I617" t="str">
            <v>TZDV</v>
          </cell>
          <cell r="J617" t="str">
            <v>QCXF</v>
          </cell>
          <cell r="K617" t="str">
            <v xml:space="preserve">E </v>
          </cell>
          <cell r="L617" t="str">
            <v>JD</v>
          </cell>
          <cell r="M617" t="str">
            <v>EPC Ready</v>
          </cell>
          <cell r="N617" t="str">
            <v>Jaisingh Desai</v>
          </cell>
          <cell r="P617" t="str">
            <v>Mr. Sudhakar Veerla</v>
          </cell>
          <cell r="Q617" t="str">
            <v>Gaurav Shinde</v>
          </cell>
          <cell r="S617" t="str">
            <v>Andhra Pradesh</v>
          </cell>
          <cell r="T617" t="str">
            <v>Tanuku</v>
          </cell>
          <cell r="U617" t="str">
            <v>Non Premium</v>
          </cell>
          <cell r="V617" t="str">
            <v>Pharma Format</v>
          </cell>
          <cell r="W617">
            <v>401</v>
          </cell>
          <cell r="X617" t="str">
            <v>Atyam Building 24 56 Main Road  , West Godavari , West Godavari  , PENUGONDA , 534320</v>
          </cell>
          <cell r="Y617">
            <v>45124</v>
          </cell>
          <cell r="Z617" t="str">
            <v>NA</v>
          </cell>
          <cell r="AB617" t="str">
            <v>NA</v>
          </cell>
          <cell r="AF617" t="str">
            <v>NA</v>
          </cell>
          <cell r="AK617">
            <v>45141</v>
          </cell>
          <cell r="AL617" t="str">
            <v>Received</v>
          </cell>
          <cell r="AO617">
            <v>3</v>
          </cell>
          <cell r="AS617">
            <v>-3</v>
          </cell>
          <cell r="AU617">
            <v>4</v>
          </cell>
          <cell r="AY617">
            <v>-4</v>
          </cell>
          <cell r="BA617">
            <v>5</v>
          </cell>
          <cell r="BE617">
            <v>-5</v>
          </cell>
          <cell r="BG617">
            <v>5</v>
          </cell>
          <cell r="BK617">
            <v>-5</v>
          </cell>
          <cell r="BM617">
            <v>3</v>
          </cell>
          <cell r="BP617">
            <v>3</v>
          </cell>
          <cell r="BW617" t="str">
            <v>Done</v>
          </cell>
          <cell r="BX617">
            <v>45079</v>
          </cell>
          <cell r="BY617" t="str">
            <v>Approved</v>
          </cell>
          <cell r="CD617">
            <v>45126</v>
          </cell>
          <cell r="CE617">
            <v>45159</v>
          </cell>
          <cell r="CG617" t="str">
            <v xml:space="preserve">M/s    VK Constructions </v>
          </cell>
          <cell r="CI617" t="str">
            <v>Issued</v>
          </cell>
          <cell r="DG617" t="str">
            <v>Netmed SDP - Not in Dead Rental</v>
          </cell>
          <cell r="DK617">
            <v>45175</v>
          </cell>
          <cell r="DM617">
            <v>2</v>
          </cell>
          <cell r="DN617" t="str">
            <v>0 to 3 Days</v>
          </cell>
          <cell r="DP617">
            <v>45162</v>
          </cell>
          <cell r="DQ617">
            <v>45177</v>
          </cell>
          <cell r="DR617">
            <v>7</v>
          </cell>
          <cell r="DS617">
            <v>7</v>
          </cell>
          <cell r="DU617">
            <v>45184</v>
          </cell>
          <cell r="DV617">
            <v>45169</v>
          </cell>
          <cell r="DW617">
            <v>45184</v>
          </cell>
          <cell r="DX617" t="str">
            <v>Sep 23 Week 3</v>
          </cell>
          <cell r="DZ617">
            <v>45189</v>
          </cell>
          <cell r="EA617" t="str">
            <v>Sep 23 Week 3</v>
          </cell>
          <cell r="EB617" t="str">
            <v>Backlog</v>
          </cell>
          <cell r="ED617" t="str">
            <v/>
          </cell>
          <cell r="EE617" t="str">
            <v/>
          </cell>
          <cell r="EF617">
            <v>1</v>
          </cell>
          <cell r="EG617">
            <v>1</v>
          </cell>
          <cell r="FD617">
            <v>5</v>
          </cell>
          <cell r="FE617" t="str">
            <v>4 to 7 Days</v>
          </cell>
          <cell r="FF617">
            <v>20</v>
          </cell>
          <cell r="FG617" t="str">
            <v>16 to 31 Days</v>
          </cell>
          <cell r="FH617" t="str">
            <v>Done</v>
          </cell>
          <cell r="FJ617" t="str">
            <v>NA</v>
          </cell>
          <cell r="FK617">
            <v>45453</v>
          </cell>
          <cell r="FM617" t="str">
            <v/>
          </cell>
          <cell r="GA617">
            <v>45189</v>
          </cell>
          <cell r="GC617">
            <v>45177</v>
          </cell>
          <cell r="GG617" t="str">
            <v>2023-2024</v>
          </cell>
        </row>
        <row r="618">
          <cell r="E618" t="str">
            <v>SP Pharma 3H Enterprise THIRUKAZHIKUNDRA</v>
          </cell>
          <cell r="F618" t="str">
            <v>9. EPC Ready</v>
          </cell>
          <cell r="G618" t="str">
            <v>SPTNCHT3770</v>
          </cell>
          <cell r="H618" t="str">
            <v>TN-SM-TKK-3000</v>
          </cell>
          <cell r="I618" t="str">
            <v>TAWW</v>
          </cell>
          <cell r="J618" t="str">
            <v>QGFN</v>
          </cell>
          <cell r="K618" t="str">
            <v>S</v>
          </cell>
          <cell r="L618" t="str">
            <v>AK</v>
          </cell>
          <cell r="M618" t="str">
            <v>EPC Ready</v>
          </cell>
          <cell r="N618" t="str">
            <v>N Kalyankumar</v>
          </cell>
          <cell r="O618" t="str">
            <v>Muthuvelu Minnal /
Vijayakumar Muthusamy</v>
          </cell>
          <cell r="Q618" t="str">
            <v>Gaurav Shinde</v>
          </cell>
          <cell r="S618" t="str">
            <v>Tamil Nadu</v>
          </cell>
          <cell r="T618" t="str">
            <v>Thirukazhukundram</v>
          </cell>
          <cell r="U618" t="str">
            <v>Non Premium</v>
          </cell>
          <cell r="V618" t="str">
            <v>Pharma Format</v>
          </cell>
          <cell r="W618">
            <v>398</v>
          </cell>
          <cell r="X618" t="str">
            <v>SP Pharma 3H Enterprise THIRUKAZHIKUNDRA</v>
          </cell>
          <cell r="Y618">
            <v>45163</v>
          </cell>
          <cell r="Z618" t="str">
            <v>NA</v>
          </cell>
          <cell r="AB618" t="str">
            <v>NA</v>
          </cell>
          <cell r="AF618" t="str">
            <v>NA</v>
          </cell>
          <cell r="AK618">
            <v>45153</v>
          </cell>
          <cell r="AL618" t="str">
            <v>Received</v>
          </cell>
          <cell r="AO618">
            <v>3</v>
          </cell>
          <cell r="AS618">
            <v>-3</v>
          </cell>
          <cell r="AU618">
            <v>4</v>
          </cell>
          <cell r="AY618">
            <v>-4</v>
          </cell>
          <cell r="BA618">
            <v>5</v>
          </cell>
          <cell r="BE618">
            <v>-5</v>
          </cell>
          <cell r="BG618">
            <v>5</v>
          </cell>
          <cell r="BK618">
            <v>-5</v>
          </cell>
          <cell r="BM618">
            <v>3</v>
          </cell>
          <cell r="BP618">
            <v>3</v>
          </cell>
          <cell r="BW618" t="str">
            <v>Done</v>
          </cell>
          <cell r="BX618">
            <v>45079</v>
          </cell>
          <cell r="BY618" t="str">
            <v>Approved</v>
          </cell>
          <cell r="CD618">
            <v>45162</v>
          </cell>
          <cell r="CE618">
            <v>45215</v>
          </cell>
          <cell r="CG618" t="str">
            <v>M/s Jacpel &amp; Co</v>
          </cell>
          <cell r="CI618" t="str">
            <v>Issued</v>
          </cell>
          <cell r="DG618" t="str">
            <v>Netmed SDP - Not in Dead Rental</v>
          </cell>
          <cell r="DK618">
            <v>45227</v>
          </cell>
          <cell r="DL618">
            <v>45202</v>
          </cell>
          <cell r="DM618">
            <v>2</v>
          </cell>
          <cell r="DN618" t="str">
            <v>0 to 3 Days</v>
          </cell>
          <cell r="DP618">
            <v>45218</v>
          </cell>
          <cell r="DQ618">
            <v>45229</v>
          </cell>
          <cell r="DR618">
            <v>7</v>
          </cell>
          <cell r="DS618">
            <v>7</v>
          </cell>
          <cell r="DU618">
            <v>45236</v>
          </cell>
          <cell r="DV618">
            <v>45225</v>
          </cell>
          <cell r="DW618">
            <v>45236</v>
          </cell>
          <cell r="DX618" t="str">
            <v>Nov 23 Week 1</v>
          </cell>
          <cell r="DZ618">
            <v>45267</v>
          </cell>
          <cell r="EA618" t="str">
            <v>Dec 23 Week 1</v>
          </cell>
          <cell r="EB618" t="str">
            <v>Backlog</v>
          </cell>
          <cell r="ED618" t="str">
            <v/>
          </cell>
          <cell r="EE618" t="str">
            <v/>
          </cell>
          <cell r="EF618">
            <v>1</v>
          </cell>
          <cell r="EG618">
            <v>1</v>
          </cell>
          <cell r="FD618">
            <v>31</v>
          </cell>
          <cell r="FE618" t="str">
            <v>16 to 31 Days</v>
          </cell>
          <cell r="FF618">
            <v>42</v>
          </cell>
          <cell r="FG618" t="str">
            <v>31 to 61 Days</v>
          </cell>
          <cell r="FH618" t="str">
            <v>Done</v>
          </cell>
          <cell r="FJ618" t="str">
            <v>NA</v>
          </cell>
          <cell r="FK618">
            <v>45464</v>
          </cell>
          <cell r="FM618" t="str">
            <v/>
          </cell>
          <cell r="GA618">
            <v>45267</v>
          </cell>
          <cell r="GC618">
            <v>45229</v>
          </cell>
          <cell r="GG618" t="str">
            <v>2023-2024</v>
          </cell>
        </row>
        <row r="619">
          <cell r="E619" t="str">
            <v>GF Khata no  3532  , Thana  Bajpatti  Dist  Sitamarhi , Village  Bangaon bazar  Thana no  108  , SITAMARHI , 843314</v>
          </cell>
          <cell r="F619" t="str">
            <v>9. EPC Ready</v>
          </cell>
          <cell r="G619" t="str">
            <v>SPBHBAB3031</v>
          </cell>
          <cell r="H619" t="str">
            <v>BH-SM-SIT-3005</v>
          </cell>
          <cell r="I619" t="str">
            <v>TWE6</v>
          </cell>
          <cell r="J619" t="str">
            <v>Q6IL</v>
          </cell>
          <cell r="K619" t="str">
            <v xml:space="preserve">E </v>
          </cell>
          <cell r="L619" t="str">
            <v>AK</v>
          </cell>
          <cell r="M619" t="str">
            <v>EPC Ready</v>
          </cell>
          <cell r="P619" t="str">
            <v>Mr. Avinandan Kumar-6201750418</v>
          </cell>
          <cell r="Q619" t="str">
            <v>Gaurav Shinde</v>
          </cell>
          <cell r="S619" t="str">
            <v>Bihar</v>
          </cell>
          <cell r="T619" t="str">
            <v>Sitamarhi</v>
          </cell>
          <cell r="U619" t="str">
            <v>Non Premium</v>
          </cell>
          <cell r="V619" t="str">
            <v>Pharma Format</v>
          </cell>
          <cell r="W619">
            <v>400</v>
          </cell>
          <cell r="X619" t="str">
            <v>GF Khata no  3532  , Thana  Bajpatti  Dist  Sitamarhi , Village  Bangaon bazar  Thana no  108  , SITAMARHI , 843314</v>
          </cell>
          <cell r="Y619">
            <v>45119</v>
          </cell>
          <cell r="Z619" t="str">
            <v>NA</v>
          </cell>
          <cell r="AB619" t="str">
            <v>NA</v>
          </cell>
          <cell r="AF619" t="str">
            <v>NA</v>
          </cell>
          <cell r="AK619">
            <v>45166</v>
          </cell>
          <cell r="AL619" t="str">
            <v>Received</v>
          </cell>
          <cell r="AO619">
            <v>3</v>
          </cell>
          <cell r="AS619">
            <v>-3</v>
          </cell>
          <cell r="AU619">
            <v>4</v>
          </cell>
          <cell r="AY619">
            <v>-4</v>
          </cell>
          <cell r="BA619">
            <v>5</v>
          </cell>
          <cell r="BE619">
            <v>-5</v>
          </cell>
          <cell r="BG619">
            <v>5</v>
          </cell>
          <cell r="BK619">
            <v>-5</v>
          </cell>
          <cell r="BM619">
            <v>3</v>
          </cell>
          <cell r="BP619">
            <v>3</v>
          </cell>
          <cell r="BW619" t="str">
            <v>Done</v>
          </cell>
          <cell r="BX619">
            <v>45079</v>
          </cell>
          <cell r="BY619" t="str">
            <v>Approved</v>
          </cell>
          <cell r="CD619">
            <v>45103</v>
          </cell>
          <cell r="CE619">
            <v>45113</v>
          </cell>
          <cell r="CG619" t="str">
            <v>M/S Rahul Kumar</v>
          </cell>
          <cell r="CI619" t="str">
            <v>Issued</v>
          </cell>
          <cell r="DG619" t="str">
            <v>Netmed SDP - Not in Dead Rental</v>
          </cell>
          <cell r="DK619">
            <v>45148</v>
          </cell>
          <cell r="DL619">
            <v>45121</v>
          </cell>
          <cell r="DM619">
            <v>2</v>
          </cell>
          <cell r="DN619" t="str">
            <v>0 to 3 Days</v>
          </cell>
          <cell r="DP619">
            <v>45116</v>
          </cell>
          <cell r="DQ619">
            <v>45150</v>
          </cell>
          <cell r="DR619">
            <v>7</v>
          </cell>
          <cell r="DS619">
            <v>7</v>
          </cell>
          <cell r="DU619">
            <v>45157</v>
          </cell>
          <cell r="DV619">
            <v>45123</v>
          </cell>
          <cell r="DW619">
            <v>45157</v>
          </cell>
          <cell r="DX619" t="str">
            <v>Aug 23 Week 3</v>
          </cell>
          <cell r="DZ619">
            <v>45173</v>
          </cell>
          <cell r="EA619" t="str">
            <v>Sep 23 Week 1</v>
          </cell>
          <cell r="EB619" t="str">
            <v>Backlog</v>
          </cell>
          <cell r="ED619" t="str">
            <v/>
          </cell>
          <cell r="EE619" t="str">
            <v/>
          </cell>
          <cell r="EF619">
            <v>1</v>
          </cell>
          <cell r="EG619">
            <v>1</v>
          </cell>
          <cell r="FD619">
            <v>16</v>
          </cell>
          <cell r="FE619" t="str">
            <v>16 to 31 Days</v>
          </cell>
          <cell r="FF619">
            <v>50</v>
          </cell>
          <cell r="FG619" t="str">
            <v>31 to 61 Days</v>
          </cell>
          <cell r="FH619" t="str">
            <v>Done</v>
          </cell>
          <cell r="FI619" t="str">
            <v>Done</v>
          </cell>
          <cell r="FJ619" t="str">
            <v>NA</v>
          </cell>
          <cell r="FK619">
            <v>45173</v>
          </cell>
          <cell r="FM619" t="str">
            <v/>
          </cell>
          <cell r="GA619">
            <v>45150</v>
          </cell>
          <cell r="GC619">
            <v>45150</v>
          </cell>
          <cell r="GG619" t="str">
            <v>2023-2024</v>
          </cell>
        </row>
        <row r="620">
          <cell r="E620" t="str">
            <v>Rajeshwari Hotel No 879  , Thiruvotriyur Chennai , T H Road Rajakadai  , TIRUVOTTIYUR , 600019</v>
          </cell>
          <cell r="F620" t="str">
            <v>9. EPC Ready</v>
          </cell>
          <cell r="G620" t="str">
            <v>SPTNCHR3504</v>
          </cell>
          <cell r="H620" t="str">
            <v>TN-SM-TVO-3000</v>
          </cell>
          <cell r="I620" t="str">
            <v>TYRK</v>
          </cell>
          <cell r="J620" t="str">
            <v>QBYO</v>
          </cell>
          <cell r="K620" t="str">
            <v>S</v>
          </cell>
          <cell r="L620" t="str">
            <v>AK</v>
          </cell>
          <cell r="M620" t="str">
            <v>EPC Ready</v>
          </cell>
          <cell r="N620" t="str">
            <v>N Kalyankumar</v>
          </cell>
          <cell r="O620" t="str">
            <v>Muthuvelu Minnal /
Vijayakumar Muthusamy</v>
          </cell>
          <cell r="Q620" t="str">
            <v>Gaurav Shinde</v>
          </cell>
          <cell r="S620" t="str">
            <v>Tamil Nadu</v>
          </cell>
          <cell r="T620" t="str">
            <v>Thiruvarur</v>
          </cell>
          <cell r="U620" t="str">
            <v>Non Premium</v>
          </cell>
          <cell r="V620" t="str">
            <v>Pharma Format</v>
          </cell>
          <cell r="W620">
            <v>400</v>
          </cell>
          <cell r="X620" t="str">
            <v>Rajeshwari Hotel No 879  , Thiruvotriyur Chennai , T H Road Rajakadai  , TIRUVOTTIYUR , 600019</v>
          </cell>
          <cell r="Y620">
            <v>45167</v>
          </cell>
          <cell r="Z620" t="str">
            <v>NA</v>
          </cell>
          <cell r="AB620" t="str">
            <v>NA</v>
          </cell>
          <cell r="AF620" t="str">
            <v>NA</v>
          </cell>
          <cell r="AK620">
            <v>45183</v>
          </cell>
          <cell r="AL620" t="str">
            <v>Received</v>
          </cell>
          <cell r="AO620">
            <v>3</v>
          </cell>
          <cell r="AS620">
            <v>-3</v>
          </cell>
          <cell r="AU620">
            <v>4</v>
          </cell>
          <cell r="AY620">
            <v>-4</v>
          </cell>
          <cell r="BA620">
            <v>5</v>
          </cell>
          <cell r="BE620">
            <v>-5</v>
          </cell>
          <cell r="BG620">
            <v>5</v>
          </cell>
          <cell r="BK620">
            <v>-5</v>
          </cell>
          <cell r="BM620">
            <v>3</v>
          </cell>
          <cell r="BP620">
            <v>3</v>
          </cell>
          <cell r="BW620" t="str">
            <v>Done</v>
          </cell>
          <cell r="BX620">
            <v>45079</v>
          </cell>
          <cell r="BY620" t="str">
            <v>Approved</v>
          </cell>
          <cell r="CD620">
            <v>45163</v>
          </cell>
          <cell r="CE620">
            <v>45217</v>
          </cell>
          <cell r="CG620" t="str">
            <v>M/s AGS CIVIL AND INTERIOR PVT LTD</v>
          </cell>
          <cell r="CI620" t="str">
            <v>Issued</v>
          </cell>
          <cell r="DG620" t="str">
            <v>Netmed SDP - Not in Dead Rental</v>
          </cell>
          <cell r="DK620">
            <v>45294</v>
          </cell>
          <cell r="DL620">
            <v>45220</v>
          </cell>
          <cell r="DM620">
            <v>2</v>
          </cell>
          <cell r="DN620" t="str">
            <v>0 to 3 Days</v>
          </cell>
          <cell r="DP620">
            <v>45220</v>
          </cell>
          <cell r="DQ620">
            <v>45296</v>
          </cell>
          <cell r="DR620">
            <v>7</v>
          </cell>
          <cell r="DS620">
            <v>7</v>
          </cell>
          <cell r="DU620">
            <v>45303</v>
          </cell>
          <cell r="DV620">
            <v>45227</v>
          </cell>
          <cell r="DW620">
            <v>45303</v>
          </cell>
          <cell r="DX620" t="str">
            <v>Jan 24 Week 2</v>
          </cell>
          <cell r="DZ620">
            <v>45328</v>
          </cell>
          <cell r="EA620" t="str">
            <v>Feb 24 Week 1</v>
          </cell>
          <cell r="EB620" t="str">
            <v>Plan</v>
          </cell>
          <cell r="ED620" t="str">
            <v/>
          </cell>
          <cell r="EE620" t="str">
            <v/>
          </cell>
          <cell r="EF620">
            <v>1</v>
          </cell>
          <cell r="FD620">
            <v>25</v>
          </cell>
          <cell r="FE620" t="str">
            <v>16 to 31 Days</v>
          </cell>
          <cell r="FF620">
            <v>101</v>
          </cell>
          <cell r="FG620" t="str">
            <v>More Than 90  Days</v>
          </cell>
          <cell r="FH620" t="str">
            <v>Done</v>
          </cell>
          <cell r="FI620" t="str">
            <v>Done</v>
          </cell>
          <cell r="FJ620" t="str">
            <v>NA</v>
          </cell>
          <cell r="FK620">
            <v>45362</v>
          </cell>
          <cell r="FM620" t="str">
            <v/>
          </cell>
          <cell r="GA620">
            <v>45331</v>
          </cell>
          <cell r="GC620" t="str">
            <v>30-10-2023
05-01-2024</v>
          </cell>
          <cell r="GG620" t="str">
            <v>2023-2024</v>
          </cell>
        </row>
        <row r="621">
          <cell r="E621" t="str">
            <v>Gf Dag No1239 Under Patta No 2  , Mahal Mouza West Jamuna Rd Revenue , 675 Vlg Sivasagar Town Oart 2 Under Ngr  , Sivasagar , 785640</v>
          </cell>
          <cell r="F621" t="str">
            <v>9. EPC Ready</v>
          </cell>
          <cell r="G621" t="str">
            <v>SPASSIW3971</v>
          </cell>
          <cell r="H621" t="str">
            <v>WB-SM-SVI-3002</v>
          </cell>
          <cell r="I621" t="str">
            <v>TAQ9</v>
          </cell>
          <cell r="J621" t="str">
            <v>QGQN</v>
          </cell>
          <cell r="K621" t="str">
            <v xml:space="preserve">E </v>
          </cell>
          <cell r="L621" t="str">
            <v>SD</v>
          </cell>
          <cell r="M621" t="str">
            <v>EPC Ready</v>
          </cell>
          <cell r="N621" t="str">
            <v>Mahendrakumar Warma</v>
          </cell>
          <cell r="O621" t="str">
            <v>Anup das (EXCEPT SIKKIM)</v>
          </cell>
          <cell r="Q621" t="str">
            <v>Gaurav Shinde</v>
          </cell>
          <cell r="S621" t="str">
            <v>Assam</v>
          </cell>
          <cell r="T621" t="str">
            <v>SIVASAGAR</v>
          </cell>
          <cell r="U621" t="str">
            <v>Non Premium</v>
          </cell>
          <cell r="V621" t="str">
            <v>Pharma Format</v>
          </cell>
          <cell r="W621">
            <v>400</v>
          </cell>
          <cell r="X621" t="str">
            <v>Gf Dag No1239 Under Patta No 2  , Mahal Mouza West Jamuna Rd Revenue , 675 Vlg Sivasagar Town Oart 2 Under Ngr  , Sivasagar , 785640</v>
          </cell>
          <cell r="Y621">
            <v>45210</v>
          </cell>
          <cell r="Z621" t="str">
            <v>NA</v>
          </cell>
          <cell r="AB621" t="str">
            <v>NA</v>
          </cell>
          <cell r="AF621" t="str">
            <v>NA</v>
          </cell>
          <cell r="AK621">
            <v>45246</v>
          </cell>
          <cell r="AL621" t="str">
            <v>Received</v>
          </cell>
          <cell r="AO621">
            <v>3</v>
          </cell>
          <cell r="AS621">
            <v>-3</v>
          </cell>
          <cell r="AU621">
            <v>4</v>
          </cell>
          <cell r="AY621">
            <v>-4</v>
          </cell>
          <cell r="BA621">
            <v>5</v>
          </cell>
          <cell r="BE621">
            <v>-5</v>
          </cell>
          <cell r="BG621">
            <v>5</v>
          </cell>
          <cell r="BK621">
            <v>-5</v>
          </cell>
          <cell r="BM621">
            <v>3</v>
          </cell>
          <cell r="BP621">
            <v>3</v>
          </cell>
          <cell r="BW621" t="str">
            <v>Done</v>
          </cell>
          <cell r="BX621">
            <v>45079</v>
          </cell>
          <cell r="BY621" t="str">
            <v>Approved</v>
          </cell>
          <cell r="CD621">
            <v>45163</v>
          </cell>
          <cell r="CE621">
            <v>45212</v>
          </cell>
          <cell r="CG621" t="str">
            <v>M/s. STAR SOLUTIONS</v>
          </cell>
          <cell r="CI621" t="str">
            <v>Issued</v>
          </cell>
          <cell r="DG621" t="str">
            <v>Netmed SDP - Not in Dead Rental</v>
          </cell>
          <cell r="DK621">
            <v>45285</v>
          </cell>
          <cell r="DM621">
            <v>2</v>
          </cell>
          <cell r="DN621" t="str">
            <v>0 to 3 Days</v>
          </cell>
          <cell r="DP621">
            <v>45215</v>
          </cell>
          <cell r="DQ621">
            <v>45287</v>
          </cell>
          <cell r="DR621">
            <v>7</v>
          </cell>
          <cell r="DS621">
            <v>7</v>
          </cell>
          <cell r="DU621">
            <v>45294</v>
          </cell>
          <cell r="DV621">
            <v>45222</v>
          </cell>
          <cell r="DW621">
            <v>45294</v>
          </cell>
          <cell r="DX621" t="str">
            <v>Jan 24 Week 1</v>
          </cell>
          <cell r="DZ621">
            <v>45268</v>
          </cell>
          <cell r="EA621" t="str">
            <v>Dec 23 Week 2</v>
          </cell>
          <cell r="EB621" t="str">
            <v>Plan</v>
          </cell>
          <cell r="ED621" t="str">
            <v/>
          </cell>
          <cell r="EE621" t="str">
            <v/>
          </cell>
          <cell r="EF621">
            <v>1</v>
          </cell>
          <cell r="EG621">
            <v>1</v>
          </cell>
          <cell r="FD621">
            <v>-26</v>
          </cell>
          <cell r="FE621" t="str">
            <v>On Time</v>
          </cell>
          <cell r="FF621">
            <v>46</v>
          </cell>
          <cell r="FG621" t="str">
            <v>31 to 61 Days</v>
          </cell>
          <cell r="FH621" t="str">
            <v>Done</v>
          </cell>
          <cell r="FI621" t="str">
            <v>Done</v>
          </cell>
          <cell r="FJ621" t="str">
            <v>NA</v>
          </cell>
          <cell r="FK621">
            <v>45267</v>
          </cell>
          <cell r="FM621" t="str">
            <v/>
          </cell>
          <cell r="GA621">
            <v>45267</v>
          </cell>
          <cell r="GG621" t="str">
            <v>2023-2024</v>
          </cell>
        </row>
        <row r="622">
          <cell r="E622" t="str">
            <v>Nv Mall Pariyapuram Po  , Tanur Malappuram , Near Tanur Bus Stand  , TANUR , 676302</v>
          </cell>
          <cell r="F622" t="str">
            <v>9. EPC Ready</v>
          </cell>
          <cell r="G622" t="str">
            <v>SPKLMAN2532</v>
          </cell>
          <cell r="H622" t="str">
            <v>KE-SM-TNR-3000</v>
          </cell>
          <cell r="I622" t="str">
            <v>TZKN</v>
          </cell>
          <cell r="J622" t="str">
            <v>QC7C</v>
          </cell>
          <cell r="K622" t="str">
            <v>S</v>
          </cell>
          <cell r="L622" t="str">
            <v>AK</v>
          </cell>
          <cell r="M622" t="str">
            <v>EPC Ready</v>
          </cell>
          <cell r="N622" t="str">
            <v>N Kalyankumar</v>
          </cell>
          <cell r="O622" t="str">
            <v>Jose Loviece</v>
          </cell>
          <cell r="P622" t="str">
            <v>Jose Loviese-6361753673</v>
          </cell>
          <cell r="Q622" t="str">
            <v>Gaurav Shinde</v>
          </cell>
          <cell r="S622" t="str">
            <v>Kerala</v>
          </cell>
          <cell r="T622" t="str">
            <v>Tirur</v>
          </cell>
          <cell r="U622" t="str">
            <v>Non Premium</v>
          </cell>
          <cell r="V622" t="str">
            <v>Pharma Format</v>
          </cell>
          <cell r="W622">
            <v>400</v>
          </cell>
          <cell r="X622" t="str">
            <v>Nv Mall Pariyapuram Po  , Tanur Malappuram , Near Tanur Bus Stand  , TANUR , 676302</v>
          </cell>
          <cell r="Y622">
            <v>45166</v>
          </cell>
          <cell r="Z622" t="str">
            <v>NA</v>
          </cell>
          <cell r="AB622" t="str">
            <v>NA</v>
          </cell>
          <cell r="AF622" t="str">
            <v>NA</v>
          </cell>
          <cell r="AK622">
            <v>45274</v>
          </cell>
          <cell r="AL622" t="str">
            <v>Received</v>
          </cell>
          <cell r="AO622">
            <v>3</v>
          </cell>
          <cell r="AS622">
            <v>-3</v>
          </cell>
          <cell r="AU622">
            <v>4</v>
          </cell>
          <cell r="AY622">
            <v>-4</v>
          </cell>
          <cell r="BA622">
            <v>5</v>
          </cell>
          <cell r="BE622">
            <v>-5</v>
          </cell>
          <cell r="BG622">
            <v>5</v>
          </cell>
          <cell r="BK622">
            <v>-5</v>
          </cell>
          <cell r="BM622">
            <v>3</v>
          </cell>
          <cell r="BP622">
            <v>3</v>
          </cell>
          <cell r="BW622" t="str">
            <v>Done</v>
          </cell>
          <cell r="BX622">
            <v>45079</v>
          </cell>
          <cell r="BY622" t="str">
            <v>Approved</v>
          </cell>
          <cell r="CD622">
            <v>45163</v>
          </cell>
          <cell r="CE622">
            <v>45181</v>
          </cell>
          <cell r="CG622" t="str">
            <v>M/s. Sky Engineering</v>
          </cell>
          <cell r="CI622" t="str">
            <v>Issued</v>
          </cell>
          <cell r="DG622" t="str">
            <v>Netmed SDP - Not in Dead Rental</v>
          </cell>
          <cell r="DK622">
            <v>45270</v>
          </cell>
          <cell r="DL622">
            <v>45168</v>
          </cell>
          <cell r="DM622">
            <v>2</v>
          </cell>
          <cell r="DN622" t="str">
            <v>0 to 3 Days</v>
          </cell>
          <cell r="DP622">
            <v>45184</v>
          </cell>
          <cell r="DQ622">
            <v>45272</v>
          </cell>
          <cell r="DR622">
            <v>7</v>
          </cell>
          <cell r="DS622">
            <v>7</v>
          </cell>
          <cell r="DU622">
            <v>45279</v>
          </cell>
          <cell r="DV622">
            <v>45191</v>
          </cell>
          <cell r="DW622">
            <v>45279</v>
          </cell>
          <cell r="DX622" t="str">
            <v>Dec 23 Week 3</v>
          </cell>
          <cell r="DZ622">
            <v>45310</v>
          </cell>
          <cell r="EA622" t="str">
            <v>Jan 24 Week 3</v>
          </cell>
          <cell r="EB622" t="str">
            <v>Backlog</v>
          </cell>
          <cell r="ED622" t="str">
            <v/>
          </cell>
          <cell r="EE622" t="str">
            <v/>
          </cell>
          <cell r="EF622">
            <v>1</v>
          </cell>
          <cell r="EG622">
            <v>1</v>
          </cell>
          <cell r="FD622">
            <v>31</v>
          </cell>
          <cell r="FE622" t="str">
            <v>16 to 31 Days</v>
          </cell>
          <cell r="FF622">
            <v>119</v>
          </cell>
          <cell r="FG622" t="str">
            <v>More Than 90  Days</v>
          </cell>
          <cell r="FH622" t="str">
            <v>Done</v>
          </cell>
          <cell r="FI622" t="str">
            <v>Done</v>
          </cell>
          <cell r="FJ622" t="str">
            <v>NA</v>
          </cell>
          <cell r="FK622">
            <v>45310</v>
          </cell>
          <cell r="FM622" t="str">
            <v/>
          </cell>
          <cell r="GA622">
            <v>45310</v>
          </cell>
          <cell r="GC622" t="str">
            <v>16-10-2023
12-12-2023</v>
          </cell>
          <cell r="GG622" t="str">
            <v>2023-2024</v>
          </cell>
        </row>
        <row r="623">
          <cell r="E623" t="str">
            <v>Amrendra Niraj Gyanendra Niraj Shreeyati  , Mandir Pokhar Ke Pas Sonbarsa Sitamarhi , Anand Brothers Main Road Sonbarsa Ram  , SONBARSA , 843330</v>
          </cell>
          <cell r="F623" t="str">
            <v>14. Dropped</v>
          </cell>
          <cell r="G623" t="str">
            <v>SPBHSOM4272</v>
          </cell>
          <cell r="H623" t="str">
            <v>BJ-SM-SBA-3000</v>
          </cell>
          <cell r="I623" t="str">
            <v>TAZD</v>
          </cell>
          <cell r="J623" t="str">
            <v>QGIH</v>
          </cell>
          <cell r="K623" t="str">
            <v xml:space="preserve">E </v>
          </cell>
          <cell r="L623" t="str">
            <v>AK</v>
          </cell>
          <cell r="M623" t="str">
            <v>Dropped</v>
          </cell>
          <cell r="Q623" t="str">
            <v>Gaurav Shinde</v>
          </cell>
          <cell r="S623" t="str">
            <v>Bihar</v>
          </cell>
          <cell r="T623" t="str">
            <v>Sonbarsa</v>
          </cell>
          <cell r="U623" t="str">
            <v>Non Premium</v>
          </cell>
          <cell r="V623" t="str">
            <v>Pharma Format</v>
          </cell>
          <cell r="W623">
            <v>405</v>
          </cell>
          <cell r="X623" t="str">
            <v>Amrendra Niraj Gyanendra Niraj Shreeyati  , Mandir Pokhar Ke Pas Sonbarsa Sitamarhi , Anand Brothers Main Road Sonbarsa Ram  , SONBARSA , 843330</v>
          </cell>
          <cell r="Z623" t="str">
            <v>NA</v>
          </cell>
          <cell r="AB623" t="str">
            <v>NA</v>
          </cell>
          <cell r="AF623" t="str">
            <v>NA</v>
          </cell>
          <cell r="AK623">
            <v>45149</v>
          </cell>
          <cell r="AL623" t="str">
            <v>Received</v>
          </cell>
          <cell r="AO623">
            <v>3</v>
          </cell>
          <cell r="AS623">
            <v>-3</v>
          </cell>
          <cell r="AU623">
            <v>4</v>
          </cell>
          <cell r="AY623">
            <v>-4</v>
          </cell>
          <cell r="BA623">
            <v>5</v>
          </cell>
          <cell r="BE623">
            <v>-5</v>
          </cell>
          <cell r="BG623">
            <v>5</v>
          </cell>
          <cell r="BK623">
            <v>-5</v>
          </cell>
          <cell r="BM623">
            <v>3</v>
          </cell>
          <cell r="BP623">
            <v>3</v>
          </cell>
          <cell r="BW623" t="str">
            <v>Done</v>
          </cell>
          <cell r="BX623">
            <v>45079</v>
          </cell>
          <cell r="BY623" t="str">
            <v>Approved</v>
          </cell>
          <cell r="DG623" t="str">
            <v>Netmed SDP - Not in Dead Rental</v>
          </cell>
          <cell r="DM623" t="str">
            <v>NA</v>
          </cell>
          <cell r="DN623" t="str">
            <v>NA</v>
          </cell>
          <cell r="DR623">
            <v>7</v>
          </cell>
          <cell r="DS623">
            <v>7</v>
          </cell>
          <cell r="DU623">
            <v>7</v>
          </cell>
          <cell r="DV623">
            <v>7</v>
          </cell>
          <cell r="DW623">
            <v>7</v>
          </cell>
          <cell r="EA623" t="str">
            <v/>
          </cell>
          <cell r="ED623" t="str">
            <v/>
          </cell>
          <cell r="EE623" t="str">
            <v/>
          </cell>
          <cell r="EF623">
            <v>1</v>
          </cell>
          <cell r="FD623">
            <v>46114</v>
          </cell>
          <cell r="FF623">
            <v>46114</v>
          </cell>
          <cell r="FJ623" t="str">
            <v>NA</v>
          </cell>
          <cell r="FM623" t="str">
            <v/>
          </cell>
          <cell r="GG623" t="str">
            <v>2024-2025</v>
          </cell>
        </row>
        <row r="624">
          <cell r="E624" t="str">
            <v>Center Point Soro  , Dist Balasore , Tahasil Asoro Po Ps Soro  , SORO , 756045</v>
          </cell>
          <cell r="F624" t="str">
            <v>9. EPC Ready</v>
          </cell>
          <cell r="G624" t="str">
            <v>SPORSOS3219</v>
          </cell>
          <cell r="H624" t="str">
            <v>OR-SM-SOO-3000</v>
          </cell>
          <cell r="I624" t="str">
            <v>TYER</v>
          </cell>
          <cell r="J624" t="str">
            <v>QBKB</v>
          </cell>
          <cell r="K624" t="str">
            <v xml:space="preserve">E </v>
          </cell>
          <cell r="L624" t="str">
            <v>JD</v>
          </cell>
          <cell r="M624" t="str">
            <v>EPC Ready</v>
          </cell>
          <cell r="N624" t="str">
            <v>Jaisingh Desai</v>
          </cell>
          <cell r="P624" t="str">
            <v>Sanjay K Ghose</v>
          </cell>
          <cell r="Q624" t="str">
            <v>Gaurav Shinde</v>
          </cell>
          <cell r="S624" t="str">
            <v>ODISHA</v>
          </cell>
          <cell r="T624" t="str">
            <v>Soro</v>
          </cell>
          <cell r="U624" t="str">
            <v>Non Premium</v>
          </cell>
          <cell r="V624" t="str">
            <v>Pharma Format</v>
          </cell>
          <cell r="W624">
            <v>408</v>
          </cell>
          <cell r="X624" t="str">
            <v>Center Point Soro  , Dist Balasore , Tahasil Asoro Po Ps Soro  , SORO , 756045</v>
          </cell>
          <cell r="Y624">
            <v>45166</v>
          </cell>
          <cell r="Z624" t="str">
            <v>NA</v>
          </cell>
          <cell r="AB624" t="str">
            <v>NA</v>
          </cell>
          <cell r="AF624" t="str">
            <v>NA</v>
          </cell>
          <cell r="AK624">
            <v>45182</v>
          </cell>
          <cell r="AL624" t="str">
            <v>Received</v>
          </cell>
          <cell r="AO624">
            <v>3</v>
          </cell>
          <cell r="AS624">
            <v>-3</v>
          </cell>
          <cell r="AU624">
            <v>4</v>
          </cell>
          <cell r="AY624">
            <v>-4</v>
          </cell>
          <cell r="BA624">
            <v>5</v>
          </cell>
          <cell r="BE624">
            <v>-5</v>
          </cell>
          <cell r="BG624">
            <v>5</v>
          </cell>
          <cell r="BK624">
            <v>-5</v>
          </cell>
          <cell r="BM624">
            <v>3</v>
          </cell>
          <cell r="BP624">
            <v>3</v>
          </cell>
          <cell r="BW624" t="str">
            <v>Done</v>
          </cell>
          <cell r="BX624">
            <v>45079</v>
          </cell>
          <cell r="BY624" t="str">
            <v>Approved</v>
          </cell>
          <cell r="CD624">
            <v>45163</v>
          </cell>
          <cell r="CE624">
            <v>45170</v>
          </cell>
          <cell r="CG624" t="str">
            <v>M/s Radient Civiletric Pvt Ltd</v>
          </cell>
          <cell r="CI624" t="str">
            <v>Issued</v>
          </cell>
          <cell r="DG624" t="str">
            <v>Netmed SDP - Not in Dead Rental</v>
          </cell>
          <cell r="DK624">
            <v>45208</v>
          </cell>
          <cell r="DM624">
            <v>2</v>
          </cell>
          <cell r="DN624" t="str">
            <v>0 to 3 Days</v>
          </cell>
          <cell r="DP624">
            <v>45173</v>
          </cell>
          <cell r="DQ624">
            <v>45210</v>
          </cell>
          <cell r="DR624">
            <v>7</v>
          </cell>
          <cell r="DS624">
            <v>7</v>
          </cell>
          <cell r="DU624">
            <v>45217</v>
          </cell>
          <cell r="DV624">
            <v>45180</v>
          </cell>
          <cell r="DW624">
            <v>45217</v>
          </cell>
          <cell r="DX624" t="str">
            <v>Oct 23 Week 3</v>
          </cell>
          <cell r="DZ624">
            <v>45226</v>
          </cell>
          <cell r="EA624" t="str">
            <v>Oct 23 Week 4</v>
          </cell>
          <cell r="EB624" t="str">
            <v>Backlog</v>
          </cell>
          <cell r="ED624" t="str">
            <v/>
          </cell>
          <cell r="EE624" t="str">
            <v/>
          </cell>
          <cell r="EF624">
            <v>1</v>
          </cell>
          <cell r="EG624">
            <v>1</v>
          </cell>
          <cell r="FD624">
            <v>9</v>
          </cell>
          <cell r="FE624" t="str">
            <v>8 to 15 Days</v>
          </cell>
          <cell r="FF624">
            <v>46</v>
          </cell>
          <cell r="FG624" t="str">
            <v>31 to 61 Days</v>
          </cell>
          <cell r="FH624" t="str">
            <v>Done</v>
          </cell>
          <cell r="FI624" t="str">
            <v>Done</v>
          </cell>
          <cell r="FJ624" t="str">
            <v>NA</v>
          </cell>
          <cell r="FK624">
            <v>45226</v>
          </cell>
          <cell r="FM624" t="str">
            <v/>
          </cell>
          <cell r="GA624">
            <v>45225</v>
          </cell>
          <cell r="GC624">
            <v>45210</v>
          </cell>
          <cell r="GG624" t="str">
            <v>2023-2024</v>
          </cell>
        </row>
        <row r="625">
          <cell r="E625" t="str">
            <v>Saraswati Complex Behera Market Near  , Mahesdihi Po Ps Sundargarh , Jagannath Temple Infront Of Theame Park  , SUNDERGARH , 770001</v>
          </cell>
          <cell r="F625" t="str">
            <v>9. EPC Ready</v>
          </cell>
          <cell r="G625" t="str">
            <v>SPORSUM3340</v>
          </cell>
          <cell r="H625" t="str">
            <v>OR-SM-SGR-3001</v>
          </cell>
          <cell r="I625" t="str">
            <v>TYEW</v>
          </cell>
          <cell r="J625" t="str">
            <v>QBKG</v>
          </cell>
          <cell r="K625" t="str">
            <v xml:space="preserve">E </v>
          </cell>
          <cell r="L625" t="str">
            <v>JD</v>
          </cell>
          <cell r="M625" t="str">
            <v>EPC Ready</v>
          </cell>
          <cell r="N625" t="str">
            <v>Jaisingh Desai</v>
          </cell>
          <cell r="P625" t="str">
            <v>Sanjay Ghosh-6302403813</v>
          </cell>
          <cell r="Q625" t="str">
            <v>Gaurav Shinde</v>
          </cell>
          <cell r="S625" t="str">
            <v>ODISHA</v>
          </cell>
          <cell r="T625" t="str">
            <v>Sundargarh</v>
          </cell>
          <cell r="U625" t="str">
            <v>Non Premium</v>
          </cell>
          <cell r="V625" t="str">
            <v>Pharma Format</v>
          </cell>
          <cell r="W625">
            <v>400</v>
          </cell>
          <cell r="X625" t="str">
            <v>Saraswati Complex Behera Market Near  , Mahesdihi Po Ps Sundargarh , Jagannath Temple Infront Of Theame Park  , SUNDERGARH , 770001</v>
          </cell>
          <cell r="Y625">
            <v>45166</v>
          </cell>
          <cell r="Z625" t="str">
            <v>NA</v>
          </cell>
          <cell r="AB625" t="str">
            <v>NA</v>
          </cell>
          <cell r="AF625" t="str">
            <v>NA</v>
          </cell>
          <cell r="AK625">
            <v>45182</v>
          </cell>
          <cell r="AL625" t="str">
            <v>Received</v>
          </cell>
          <cell r="AO625">
            <v>3</v>
          </cell>
          <cell r="AS625">
            <v>-3</v>
          </cell>
          <cell r="AU625">
            <v>4</v>
          </cell>
          <cell r="AY625">
            <v>-4</v>
          </cell>
          <cell r="BA625">
            <v>5</v>
          </cell>
          <cell r="BE625">
            <v>-5</v>
          </cell>
          <cell r="BG625">
            <v>5</v>
          </cell>
          <cell r="BK625">
            <v>-5</v>
          </cell>
          <cell r="BM625">
            <v>3</v>
          </cell>
          <cell r="BP625">
            <v>3</v>
          </cell>
          <cell r="BW625" t="str">
            <v>Done</v>
          </cell>
          <cell r="BX625">
            <v>45079</v>
          </cell>
          <cell r="BY625" t="str">
            <v>Approved</v>
          </cell>
          <cell r="CD625">
            <v>45163</v>
          </cell>
          <cell r="CE625">
            <v>45170</v>
          </cell>
          <cell r="CG625" t="str">
            <v>M/s Radient Civiletric Pvt Ltd</v>
          </cell>
          <cell r="CI625" t="str">
            <v>Issued</v>
          </cell>
          <cell r="DG625" t="str">
            <v>Netmed SDP - Not in Dead Rental</v>
          </cell>
          <cell r="DK625">
            <v>45201</v>
          </cell>
          <cell r="DM625">
            <v>2</v>
          </cell>
          <cell r="DN625" t="str">
            <v>0 to 3 Days</v>
          </cell>
          <cell r="DP625">
            <v>45173</v>
          </cell>
          <cell r="DQ625">
            <v>45203</v>
          </cell>
          <cell r="DR625">
            <v>7</v>
          </cell>
          <cell r="DS625">
            <v>7</v>
          </cell>
          <cell r="DU625">
            <v>45210</v>
          </cell>
          <cell r="DV625">
            <v>45180</v>
          </cell>
          <cell r="DW625">
            <v>45210</v>
          </cell>
          <cell r="DX625" t="str">
            <v>Oct 23 Week 2</v>
          </cell>
          <cell r="DZ625">
            <v>45208</v>
          </cell>
          <cell r="EA625" t="str">
            <v>Oct 23 Week 2</v>
          </cell>
          <cell r="EB625" t="str">
            <v>Plan</v>
          </cell>
          <cell r="ED625" t="str">
            <v/>
          </cell>
          <cell r="EE625" t="str">
            <v/>
          </cell>
          <cell r="EF625">
            <v>1</v>
          </cell>
          <cell r="EG625">
            <v>1</v>
          </cell>
          <cell r="FD625">
            <v>-2</v>
          </cell>
          <cell r="FE625" t="str">
            <v>On Time</v>
          </cell>
          <cell r="FF625">
            <v>28</v>
          </cell>
          <cell r="FG625" t="str">
            <v>16 to 31 Days</v>
          </cell>
          <cell r="FH625" t="str">
            <v>Done</v>
          </cell>
          <cell r="FI625" t="str">
            <v>Done</v>
          </cell>
          <cell r="FJ625" t="str">
            <v>NA</v>
          </cell>
          <cell r="FK625">
            <v>45211</v>
          </cell>
          <cell r="FM625" t="str">
            <v/>
          </cell>
          <cell r="GA625" t="str">
            <v>09-10-2023
02-11-2023</v>
          </cell>
          <cell r="GC625" t="str">
            <v>20-09-2023
04-10-2023</v>
          </cell>
          <cell r="GG625" t="str">
            <v>2023-2024</v>
          </cell>
        </row>
        <row r="626">
          <cell r="E626" t="str">
            <v>Vijaya Lakshmi Property Opp Taluka  , Tadipatri Anantapur , Office RF Road  , TADPATRI , 515411</v>
          </cell>
          <cell r="F626" t="str">
            <v>9. EPC Ready</v>
          </cell>
          <cell r="G626" t="str">
            <v>SPAPTAR3488</v>
          </cell>
          <cell r="H626" t="str">
            <v>AP-SM-TPT-3000</v>
          </cell>
          <cell r="I626" t="str">
            <v>T90K</v>
          </cell>
          <cell r="J626" t="str">
            <v>QOWH</v>
          </cell>
          <cell r="K626" t="str">
            <v xml:space="preserve">E </v>
          </cell>
          <cell r="L626" t="str">
            <v>JD</v>
          </cell>
          <cell r="M626" t="str">
            <v>EPC Ready</v>
          </cell>
          <cell r="N626" t="str">
            <v>Jaisingh Desai</v>
          </cell>
          <cell r="P626" t="str">
            <v>Mr. Deepti Chandrashekhar</v>
          </cell>
          <cell r="Q626" t="str">
            <v>Gaurav Shinde</v>
          </cell>
          <cell r="S626" t="str">
            <v>Andhra Pradesh</v>
          </cell>
          <cell r="T626" t="str">
            <v>Tadipatri</v>
          </cell>
          <cell r="U626" t="str">
            <v>Non Premium</v>
          </cell>
          <cell r="V626" t="str">
            <v>Pharma Format</v>
          </cell>
          <cell r="W626">
            <v>407</v>
          </cell>
          <cell r="X626" t="str">
            <v>Vijaya Lakshmi Property Opp Taluka  , Tadipatri Anantapur , Office RF Road  , TADPATRI , 515411</v>
          </cell>
          <cell r="Y626">
            <v>45124</v>
          </cell>
          <cell r="Z626" t="str">
            <v>NA</v>
          </cell>
          <cell r="AB626" t="str">
            <v>NA</v>
          </cell>
          <cell r="AF626" t="str">
            <v>NA</v>
          </cell>
          <cell r="AK626">
            <v>45143</v>
          </cell>
          <cell r="AL626" t="str">
            <v>Received</v>
          </cell>
          <cell r="AO626">
            <v>3</v>
          </cell>
          <cell r="AS626">
            <v>-3</v>
          </cell>
          <cell r="AU626">
            <v>4</v>
          </cell>
          <cell r="AY626">
            <v>-4</v>
          </cell>
          <cell r="BA626">
            <v>5</v>
          </cell>
          <cell r="BE626">
            <v>-5</v>
          </cell>
          <cell r="BG626">
            <v>5</v>
          </cell>
          <cell r="BK626">
            <v>-5</v>
          </cell>
          <cell r="BM626">
            <v>3</v>
          </cell>
          <cell r="BP626">
            <v>3</v>
          </cell>
          <cell r="BW626" t="str">
            <v>Done</v>
          </cell>
          <cell r="BX626">
            <v>45079</v>
          </cell>
          <cell r="BY626" t="str">
            <v>Approved</v>
          </cell>
          <cell r="CD626">
            <v>45126</v>
          </cell>
          <cell r="CE626">
            <v>45159</v>
          </cell>
          <cell r="CG626" t="str">
            <v>M/s INDIAN COMPUTER CORPORATION    </v>
          </cell>
          <cell r="CI626" t="str">
            <v>Issued</v>
          </cell>
          <cell r="DG626" t="str">
            <v>Netmed SDP - Not in Dead Rental</v>
          </cell>
          <cell r="DK626">
            <v>45214</v>
          </cell>
          <cell r="DM626">
            <v>2</v>
          </cell>
          <cell r="DN626" t="str">
            <v>0 to 3 Days</v>
          </cell>
          <cell r="DP626">
            <v>45162</v>
          </cell>
          <cell r="DQ626">
            <v>45216</v>
          </cell>
          <cell r="DR626">
            <v>7</v>
          </cell>
          <cell r="DS626">
            <v>7</v>
          </cell>
          <cell r="DU626">
            <v>45223</v>
          </cell>
          <cell r="DV626">
            <v>45169</v>
          </cell>
          <cell r="DW626">
            <v>45223</v>
          </cell>
          <cell r="DX626" t="str">
            <v>Oct 23 Week 4</v>
          </cell>
          <cell r="DZ626">
            <v>45240</v>
          </cell>
          <cell r="EA626" t="str">
            <v>Nov 23 Week 2</v>
          </cell>
          <cell r="EB626" t="str">
            <v>Backlog</v>
          </cell>
          <cell r="ED626" t="str">
            <v/>
          </cell>
          <cell r="EE626" t="str">
            <v/>
          </cell>
          <cell r="EF626">
            <v>1</v>
          </cell>
          <cell r="EG626">
            <v>1</v>
          </cell>
          <cell r="FD626">
            <v>17</v>
          </cell>
          <cell r="FE626" t="str">
            <v>16 to 31 Days</v>
          </cell>
          <cell r="FF626">
            <v>71</v>
          </cell>
          <cell r="FG626" t="str">
            <v>62 to 90 Days</v>
          </cell>
          <cell r="FH626" t="str">
            <v>Done</v>
          </cell>
          <cell r="FI626" t="str">
            <v>Done</v>
          </cell>
          <cell r="FJ626" t="str">
            <v>NA</v>
          </cell>
          <cell r="FK626">
            <v>45240</v>
          </cell>
          <cell r="FM626" t="str">
            <v/>
          </cell>
          <cell r="GA626">
            <v>45267</v>
          </cell>
          <cell r="GC626">
            <v>45220</v>
          </cell>
          <cell r="GG626" t="str">
            <v>2023-2024</v>
          </cell>
        </row>
        <row r="627">
          <cell r="E627" t="str">
            <v>Gf Plot No 1010 347 Khata No 45 278  , Ps Bangara Dist Samastipur , Revenue Thana No76 Mauza Harishankarp  , SAMASTIPUR , 848130</v>
          </cell>
          <cell r="F627" t="str">
            <v>9. EPC Ready</v>
          </cell>
          <cell r="G627" t="str">
            <v>SPBHTAP4121</v>
          </cell>
          <cell r="H627" t="str">
            <v>BH-SM-TPR-3000</v>
          </cell>
          <cell r="I627" t="str">
            <v>T0L2</v>
          </cell>
          <cell r="J627" t="str">
            <v>Q4FA</v>
          </cell>
          <cell r="K627" t="str">
            <v xml:space="preserve">E </v>
          </cell>
          <cell r="L627" t="str">
            <v>AK</v>
          </cell>
          <cell r="M627" t="str">
            <v>EPC Ready</v>
          </cell>
          <cell r="Q627" t="str">
            <v>Gaurav Shinde</v>
          </cell>
          <cell r="S627" t="str">
            <v>Bihar</v>
          </cell>
          <cell r="T627" t="str">
            <v>Tajpur</v>
          </cell>
          <cell r="U627" t="str">
            <v>Non Premium</v>
          </cell>
          <cell r="V627" t="str">
            <v>Pharma Format</v>
          </cell>
          <cell r="W627">
            <v>401</v>
          </cell>
          <cell r="X627" t="str">
            <v>Gf Plot No 1010 347 Khata No 45 278  , Ps Bangara Dist Samastipur , Revenue Thana No76 Mauza Harishankarp  , SAMASTIPUR , 848130</v>
          </cell>
          <cell r="Y627">
            <v>45163</v>
          </cell>
          <cell r="Z627" t="str">
            <v>NA</v>
          </cell>
          <cell r="AB627" t="str">
            <v>NA</v>
          </cell>
          <cell r="AF627" t="str">
            <v>NA</v>
          </cell>
          <cell r="AK627">
            <v>45169</v>
          </cell>
          <cell r="AL627" t="str">
            <v>Received</v>
          </cell>
          <cell r="AO627">
            <v>3</v>
          </cell>
          <cell r="AS627">
            <v>-3</v>
          </cell>
          <cell r="AU627">
            <v>4</v>
          </cell>
          <cell r="AY627">
            <v>-4</v>
          </cell>
          <cell r="BA627">
            <v>5</v>
          </cell>
          <cell r="BE627">
            <v>-5</v>
          </cell>
          <cell r="BG627">
            <v>5</v>
          </cell>
          <cell r="BK627">
            <v>-5</v>
          </cell>
          <cell r="BM627">
            <v>3</v>
          </cell>
          <cell r="BP627">
            <v>3</v>
          </cell>
          <cell r="BW627" t="str">
            <v>Done</v>
          </cell>
          <cell r="BX627">
            <v>45079</v>
          </cell>
          <cell r="BY627" t="str">
            <v>Approved</v>
          </cell>
          <cell r="CD627">
            <v>45103</v>
          </cell>
          <cell r="CE627">
            <v>45113</v>
          </cell>
          <cell r="CG627" t="str">
            <v>M/S Rahul Kumar</v>
          </cell>
          <cell r="CI627" t="str">
            <v>Issued</v>
          </cell>
          <cell r="DA627" t="str">
            <v>NA</v>
          </cell>
          <cell r="DB627" t="str">
            <v>NA</v>
          </cell>
          <cell r="DC627" t="str">
            <v>NA</v>
          </cell>
          <cell r="DG627" t="str">
            <v>Netmed SDP - Not in Dead Rental</v>
          </cell>
          <cell r="DK627">
            <v>45154</v>
          </cell>
          <cell r="DL627">
            <v>45194</v>
          </cell>
          <cell r="DM627">
            <v>2</v>
          </cell>
          <cell r="DN627" t="str">
            <v>0 to 3 Days</v>
          </cell>
          <cell r="DO627" t="str">
            <v>09-07-2023</v>
          </cell>
          <cell r="DP627">
            <v>45157</v>
          </cell>
          <cell r="DQ627">
            <v>45156</v>
          </cell>
          <cell r="DR627">
            <v>7</v>
          </cell>
          <cell r="DS627">
            <v>7</v>
          </cell>
          <cell r="DU627">
            <v>45163</v>
          </cell>
          <cell r="DV627">
            <v>45164</v>
          </cell>
          <cell r="DW627">
            <v>45163</v>
          </cell>
          <cell r="DX627" t="str">
            <v>Aug 23 Week 4</v>
          </cell>
          <cell r="DZ627">
            <v>45344</v>
          </cell>
          <cell r="EA627" t="str">
            <v>Feb 24 Week 4</v>
          </cell>
          <cell r="EB627" t="str">
            <v>Backlog</v>
          </cell>
          <cell r="ED627" t="str">
            <v/>
          </cell>
          <cell r="EE627" t="str">
            <v/>
          </cell>
          <cell r="EF627">
            <v>1</v>
          </cell>
          <cell r="EG627">
            <v>1</v>
          </cell>
          <cell r="FD627">
            <v>181</v>
          </cell>
          <cell r="FE627" t="str">
            <v>More Than 90  Days</v>
          </cell>
          <cell r="FF627">
            <v>180</v>
          </cell>
          <cell r="FG627" t="str">
            <v>More Than 90  Days</v>
          </cell>
          <cell r="FH627" t="str">
            <v>Done</v>
          </cell>
          <cell r="FI627" t="str">
            <v>Done</v>
          </cell>
          <cell r="FJ627" t="str">
            <v>NA</v>
          </cell>
          <cell r="FK627">
            <v>45348</v>
          </cell>
          <cell r="FM627" t="str">
            <v/>
          </cell>
          <cell r="GC627">
            <v>45156</v>
          </cell>
          <cell r="GG627" t="str">
            <v>2023-2024</v>
          </cell>
        </row>
        <row r="628">
          <cell r="E628" t="str">
            <v>SP Pharma Devi Mahal Tallarevu</v>
          </cell>
          <cell r="F628" t="str">
            <v>9. EPC Ready</v>
          </cell>
          <cell r="G628" t="str">
            <v>SPAPTAD3486</v>
          </cell>
          <cell r="H628" t="str">
            <v>AP-SM-TLL-3000</v>
          </cell>
          <cell r="I628" t="str">
            <v>TWJ2</v>
          </cell>
          <cell r="J628" t="str">
            <v>Q6KF</v>
          </cell>
          <cell r="K628" t="str">
            <v xml:space="preserve">E </v>
          </cell>
          <cell r="L628" t="str">
            <v>JD</v>
          </cell>
          <cell r="M628" t="str">
            <v>EPC Ready</v>
          </cell>
          <cell r="N628" t="str">
            <v>Jaisingh Desai</v>
          </cell>
          <cell r="P628" t="str">
            <v>Mr. Sudhakar Veerla</v>
          </cell>
          <cell r="Q628" t="str">
            <v>Gaurav Shinde</v>
          </cell>
          <cell r="S628" t="str">
            <v>Andhra Pradesh</v>
          </cell>
          <cell r="T628" t="str">
            <v>Tallarevu</v>
          </cell>
          <cell r="U628" t="str">
            <v>Non Premium</v>
          </cell>
          <cell r="V628" t="str">
            <v>Pharma Format</v>
          </cell>
          <cell r="W628">
            <v>400</v>
          </cell>
          <cell r="X628" t="str">
            <v>SP Pharma Devi Mahal Tallarevu</v>
          </cell>
          <cell r="Y628">
            <v>45124</v>
          </cell>
          <cell r="Z628" t="str">
            <v>NA</v>
          </cell>
          <cell r="AB628" t="str">
            <v>NA</v>
          </cell>
          <cell r="AF628" t="str">
            <v>NA</v>
          </cell>
          <cell r="AK628">
            <v>45143</v>
          </cell>
          <cell r="AL628" t="str">
            <v>Received</v>
          </cell>
          <cell r="AO628">
            <v>3</v>
          </cell>
          <cell r="AS628">
            <v>-3</v>
          </cell>
          <cell r="AU628">
            <v>4</v>
          </cell>
          <cell r="AY628">
            <v>-4</v>
          </cell>
          <cell r="BA628">
            <v>5</v>
          </cell>
          <cell r="BE628">
            <v>-5</v>
          </cell>
          <cell r="BG628">
            <v>5</v>
          </cell>
          <cell r="BK628">
            <v>-5</v>
          </cell>
          <cell r="BM628">
            <v>3</v>
          </cell>
          <cell r="BP628">
            <v>3</v>
          </cell>
          <cell r="BW628" t="str">
            <v>Done</v>
          </cell>
          <cell r="BX628">
            <v>45079</v>
          </cell>
          <cell r="BY628" t="str">
            <v>Approved</v>
          </cell>
          <cell r="CD628">
            <v>45126</v>
          </cell>
          <cell r="CE628">
            <v>45159</v>
          </cell>
          <cell r="CG628" t="str">
            <v xml:space="preserve">M/s    VK Constructions </v>
          </cell>
          <cell r="CI628" t="str">
            <v>Issued</v>
          </cell>
          <cell r="DG628" t="str">
            <v>Netmed SDP - Not in Dead Rental</v>
          </cell>
          <cell r="DK628">
            <v>45175</v>
          </cell>
          <cell r="DM628">
            <v>2</v>
          </cell>
          <cell r="DN628" t="str">
            <v>0 to 3 Days</v>
          </cell>
          <cell r="DP628">
            <v>45162</v>
          </cell>
          <cell r="DQ628">
            <v>45177</v>
          </cell>
          <cell r="DR628">
            <v>7</v>
          </cell>
          <cell r="DS628">
            <v>7</v>
          </cell>
          <cell r="DU628">
            <v>45184</v>
          </cell>
          <cell r="DV628">
            <v>45169</v>
          </cell>
          <cell r="DW628">
            <v>45184</v>
          </cell>
          <cell r="DX628" t="str">
            <v>Sep 23 Week 3</v>
          </cell>
          <cell r="DZ628">
            <v>45191</v>
          </cell>
          <cell r="EA628" t="str">
            <v>Sep 23 Week 4</v>
          </cell>
          <cell r="EB628" t="str">
            <v>Backlog</v>
          </cell>
          <cell r="ED628" t="str">
            <v/>
          </cell>
          <cell r="EE628" t="str">
            <v/>
          </cell>
          <cell r="EF628">
            <v>1</v>
          </cell>
          <cell r="EG628">
            <v>1</v>
          </cell>
          <cell r="FD628">
            <v>7</v>
          </cell>
          <cell r="FE628" t="str">
            <v>4 to 7 Days</v>
          </cell>
          <cell r="FF628">
            <v>22</v>
          </cell>
          <cell r="FG628" t="str">
            <v>16 to 31 Days</v>
          </cell>
          <cell r="FH628" t="str">
            <v>Done</v>
          </cell>
          <cell r="FI628" t="str">
            <v>Done</v>
          </cell>
          <cell r="FJ628" t="str">
            <v>NA</v>
          </cell>
          <cell r="FK628">
            <v>45318</v>
          </cell>
          <cell r="FM628" t="str">
            <v/>
          </cell>
          <cell r="GA628">
            <v>45191</v>
          </cell>
          <cell r="GC628">
            <v>45177</v>
          </cell>
          <cell r="GG628" t="str">
            <v>2023-2024</v>
          </cell>
        </row>
        <row r="629">
          <cell r="E629" t="str">
            <v>GF, Nandha Arcade, No 6, 6/1,   , Near Punjab National Bank, Udumalpet,  , Yasodha Ramalingam Layout,  , Dist - Tiruppur, Tamil Nadu , UDUMALPET , 642126</v>
          </cell>
          <cell r="F629" t="str">
            <v>9. EPC Ready</v>
          </cell>
          <cell r="G629" t="str">
            <v>SPTNTIN3620</v>
          </cell>
          <cell r="H629" t="str">
            <v>TN-SM-UDU-3001</v>
          </cell>
          <cell r="I629" t="str">
            <v>TYZM</v>
          </cell>
          <cell r="J629" t="str">
            <v>QB7O</v>
          </cell>
          <cell r="K629" t="str">
            <v>S</v>
          </cell>
          <cell r="L629" t="str">
            <v>AK</v>
          </cell>
          <cell r="M629" t="str">
            <v>EPC Ready</v>
          </cell>
          <cell r="N629" t="str">
            <v>N Kalyankumar</v>
          </cell>
          <cell r="O629" t="str">
            <v>Muthuvelu Minnal /
Vijayakumar Muthusamy</v>
          </cell>
          <cell r="Q629" t="str">
            <v>Gaurav Shinde</v>
          </cell>
          <cell r="S629" t="str">
            <v>Tamil Nadu</v>
          </cell>
          <cell r="T629" t="str">
            <v>Udumalaippettai</v>
          </cell>
          <cell r="U629" t="str">
            <v>Non Premium</v>
          </cell>
          <cell r="V629" t="str">
            <v>Pharma Format</v>
          </cell>
          <cell r="W629">
            <v>400</v>
          </cell>
          <cell r="X629" t="str">
            <v>GF, Nandha Arcade, No 6, 6/1,   , Near Punjab National Bank, Udumalpet,  , Yasodha Ramalingam Layout,  , Dist - Tiruppur, Tamil Nadu , UDUMALPET , 642126</v>
          </cell>
          <cell r="Y629">
            <v>45163</v>
          </cell>
          <cell r="Z629" t="str">
            <v>NA</v>
          </cell>
          <cell r="AB629" t="str">
            <v>NA</v>
          </cell>
          <cell r="AF629" t="str">
            <v>NA</v>
          </cell>
          <cell r="AK629">
            <v>45188</v>
          </cell>
          <cell r="AL629" t="str">
            <v>Received</v>
          </cell>
          <cell r="AO629">
            <v>3</v>
          </cell>
          <cell r="AS629">
            <v>-3</v>
          </cell>
          <cell r="AU629">
            <v>4</v>
          </cell>
          <cell r="AY629">
            <v>-4</v>
          </cell>
          <cell r="BA629">
            <v>5</v>
          </cell>
          <cell r="BE629">
            <v>-5</v>
          </cell>
          <cell r="BG629">
            <v>5</v>
          </cell>
          <cell r="BK629">
            <v>-5</v>
          </cell>
          <cell r="BM629">
            <v>3</v>
          </cell>
          <cell r="BP629">
            <v>3</v>
          </cell>
          <cell r="BW629" t="str">
            <v>Done</v>
          </cell>
          <cell r="BX629">
            <v>45079</v>
          </cell>
          <cell r="BY629" t="str">
            <v>Approved</v>
          </cell>
          <cell r="CD629">
            <v>45162</v>
          </cell>
          <cell r="CE629">
            <v>45166</v>
          </cell>
          <cell r="CG629" t="str">
            <v>M/s Prayagaa Enterprises Pvt Ltd,.</v>
          </cell>
          <cell r="CI629" t="str">
            <v>Issued</v>
          </cell>
          <cell r="DG629" t="str">
            <v>Netmed SDP - Not in Dead Rental</v>
          </cell>
          <cell r="DK629">
            <v>45220</v>
          </cell>
          <cell r="DL629">
            <v>45174</v>
          </cell>
          <cell r="DM629">
            <v>2</v>
          </cell>
          <cell r="DN629" t="str">
            <v>0 to 3 Days</v>
          </cell>
          <cell r="DP629">
            <v>45169</v>
          </cell>
          <cell r="DQ629">
            <v>45222</v>
          </cell>
          <cell r="DR629">
            <v>7</v>
          </cell>
          <cell r="DS629">
            <v>7</v>
          </cell>
          <cell r="DU629">
            <v>45229</v>
          </cell>
          <cell r="DV629">
            <v>45176</v>
          </cell>
          <cell r="DW629">
            <v>45229</v>
          </cell>
          <cell r="DX629" t="str">
            <v>Oct 23 Week 5</v>
          </cell>
          <cell r="DZ629">
            <v>45269</v>
          </cell>
          <cell r="EA629" t="str">
            <v>Dec 23 Week 2</v>
          </cell>
          <cell r="EB629" t="str">
            <v>Backlog</v>
          </cell>
          <cell r="ED629" t="str">
            <v/>
          </cell>
          <cell r="EE629" t="str">
            <v/>
          </cell>
          <cell r="EF629">
            <v>1</v>
          </cell>
          <cell r="EG629">
            <v>1</v>
          </cell>
          <cell r="FD629">
            <v>40</v>
          </cell>
          <cell r="FE629" t="str">
            <v>31 to 61 Days</v>
          </cell>
          <cell r="FF629">
            <v>93</v>
          </cell>
          <cell r="FG629" t="str">
            <v>More Than 90  Days</v>
          </cell>
          <cell r="FH629" t="str">
            <v>Done</v>
          </cell>
          <cell r="FI629" t="str">
            <v>Done</v>
          </cell>
          <cell r="FJ629" t="str">
            <v>NA</v>
          </cell>
          <cell r="FK629">
            <v>45363</v>
          </cell>
          <cell r="FM629" t="str">
            <v/>
          </cell>
          <cell r="GA629">
            <v>45269</v>
          </cell>
          <cell r="GC629">
            <v>45222</v>
          </cell>
          <cell r="GG629" t="str">
            <v>2023-2024</v>
          </cell>
        </row>
        <row r="630">
          <cell r="E630" t="str">
            <v>Gf Sy No 142  , Avilala Tirupati Rural , B1G Vani Nagar Rc Main Road  , TIRUPATI , 517507</v>
          </cell>
          <cell r="F630" t="str">
            <v>9. EPC Ready</v>
          </cell>
          <cell r="G630" t="str">
            <v>SPAPTIV3836</v>
          </cell>
          <cell r="H630" t="str">
            <v>AP-SM-TIR-3009</v>
          </cell>
          <cell r="I630" t="str">
            <v>T1WI</v>
          </cell>
          <cell r="J630" t="str">
            <v>Q3H3</v>
          </cell>
          <cell r="K630" t="str">
            <v xml:space="preserve">E </v>
          </cell>
          <cell r="L630" t="str">
            <v>JD</v>
          </cell>
          <cell r="M630" t="str">
            <v>EPC Ready</v>
          </cell>
          <cell r="N630" t="str">
            <v>Jaisingh Desai</v>
          </cell>
          <cell r="P630" t="str">
            <v>Mr. Deepti Chandrashekhar</v>
          </cell>
          <cell r="Q630" t="str">
            <v>Gaurav Shinde</v>
          </cell>
          <cell r="S630" t="str">
            <v>Andhra Pradesh</v>
          </cell>
          <cell r="T630" t="str">
            <v>Tirupati</v>
          </cell>
          <cell r="U630" t="str">
            <v>Non Premium</v>
          </cell>
          <cell r="V630" t="str">
            <v>Pharma Format</v>
          </cell>
          <cell r="W630">
            <v>401</v>
          </cell>
          <cell r="X630" t="str">
            <v>Gf Sy No 142  , Avilala Tirupati Rural , B1G Vani Nagar Rc Main Road  , TIRUPATI , 517507</v>
          </cell>
          <cell r="Y630">
            <v>45124</v>
          </cell>
          <cell r="Z630" t="str">
            <v>NA</v>
          </cell>
          <cell r="AB630" t="str">
            <v>NA</v>
          </cell>
          <cell r="AF630" t="str">
            <v>NA</v>
          </cell>
          <cell r="AK630">
            <v>45195</v>
          </cell>
          <cell r="AL630" t="str">
            <v>Received</v>
          </cell>
          <cell r="AO630">
            <v>3</v>
          </cell>
          <cell r="AS630">
            <v>-3</v>
          </cell>
          <cell r="AU630">
            <v>4</v>
          </cell>
          <cell r="AY630">
            <v>-4</v>
          </cell>
          <cell r="BA630">
            <v>5</v>
          </cell>
          <cell r="BE630">
            <v>-5</v>
          </cell>
          <cell r="BG630">
            <v>5</v>
          </cell>
          <cell r="BK630">
            <v>-5</v>
          </cell>
          <cell r="BM630">
            <v>3</v>
          </cell>
          <cell r="BP630">
            <v>3</v>
          </cell>
          <cell r="BW630" t="str">
            <v>Done</v>
          </cell>
          <cell r="BX630">
            <v>45079</v>
          </cell>
          <cell r="BY630" t="str">
            <v>Approved</v>
          </cell>
          <cell r="CD630">
            <v>45126</v>
          </cell>
          <cell r="CE630">
            <v>45159</v>
          </cell>
          <cell r="CG630" t="str">
            <v>M/s INDIAN COMPUTER CORPORATION    </v>
          </cell>
          <cell r="CI630" t="str">
            <v>Issued</v>
          </cell>
          <cell r="DG630" t="str">
            <v>Netmed SDP - Not in Dead Rental</v>
          </cell>
          <cell r="DK630">
            <v>45218</v>
          </cell>
          <cell r="DM630">
            <v>2</v>
          </cell>
          <cell r="DN630" t="str">
            <v>0 to 3 Days</v>
          </cell>
          <cell r="DP630">
            <v>45162</v>
          </cell>
          <cell r="DQ630">
            <v>45220</v>
          </cell>
          <cell r="DR630">
            <v>7</v>
          </cell>
          <cell r="DS630">
            <v>7</v>
          </cell>
          <cell r="DU630">
            <v>45227</v>
          </cell>
          <cell r="DV630">
            <v>45169</v>
          </cell>
          <cell r="DW630">
            <v>45227</v>
          </cell>
          <cell r="DX630" t="str">
            <v>Oct 23 Week 4</v>
          </cell>
          <cell r="DZ630">
            <v>45227</v>
          </cell>
          <cell r="EA630" t="str">
            <v>Oct 23 Week 4</v>
          </cell>
          <cell r="EB630" t="str">
            <v>Plan</v>
          </cell>
          <cell r="ED630" t="str">
            <v/>
          </cell>
          <cell r="EE630" t="str">
            <v/>
          </cell>
          <cell r="EF630">
            <v>1</v>
          </cell>
          <cell r="EG630">
            <v>1</v>
          </cell>
          <cell r="FD630">
            <v>0</v>
          </cell>
          <cell r="FE630" t="str">
            <v>On Time</v>
          </cell>
          <cell r="FF630">
            <v>58</v>
          </cell>
          <cell r="FG630" t="str">
            <v>31 to 61 Days</v>
          </cell>
          <cell r="FH630" t="str">
            <v>Done</v>
          </cell>
          <cell r="FJ630" t="str">
            <v>NA</v>
          </cell>
          <cell r="FK630">
            <v>45502</v>
          </cell>
          <cell r="FM630" t="str">
            <v/>
          </cell>
          <cell r="GA630">
            <v>45307</v>
          </cell>
          <cell r="GC630">
            <v>45220</v>
          </cell>
          <cell r="GG630" t="str">
            <v>2023-2024</v>
          </cell>
        </row>
        <row r="631">
          <cell r="E631" t="str">
            <v>SP Dolphin Tower Vedasandur</v>
          </cell>
          <cell r="F631" t="str">
            <v>9. EPC Ready</v>
          </cell>
          <cell r="G631" t="str">
            <v>SPTNDID3301</v>
          </cell>
          <cell r="H631" t="str">
            <v>TN-SM-VAR-3000</v>
          </cell>
          <cell r="I631" t="str">
            <v>TYLC</v>
          </cell>
          <cell r="J631" t="str">
            <v>QBRN</v>
          </cell>
          <cell r="K631" t="str">
            <v>S</v>
          </cell>
          <cell r="L631" t="str">
            <v>AK</v>
          </cell>
          <cell r="M631" t="str">
            <v>EPC Ready</v>
          </cell>
          <cell r="N631" t="str">
            <v>N Kalyankumar</v>
          </cell>
          <cell r="O631" t="str">
            <v>Muthuvelu Minnal /
Vijayakumar Muthusamy</v>
          </cell>
          <cell r="Q631" t="str">
            <v>Gaurav Shinde</v>
          </cell>
          <cell r="S631" t="str">
            <v>Tamil Nadu</v>
          </cell>
          <cell r="T631" t="str">
            <v>Vedasandur</v>
          </cell>
          <cell r="U631" t="str">
            <v>Non Premium</v>
          </cell>
          <cell r="V631" t="str">
            <v>Pharma Format</v>
          </cell>
          <cell r="W631">
            <v>400</v>
          </cell>
          <cell r="X631" t="str">
            <v>SP Dolphin Tower Vedasandur</v>
          </cell>
          <cell r="Y631">
            <v>45167</v>
          </cell>
          <cell r="Z631" t="str">
            <v>NA</v>
          </cell>
          <cell r="AB631" t="str">
            <v>NA</v>
          </cell>
          <cell r="AF631" t="str">
            <v>NA</v>
          </cell>
          <cell r="AK631">
            <v>45183</v>
          </cell>
          <cell r="AL631" t="str">
            <v>Received</v>
          </cell>
          <cell r="AO631">
            <v>3</v>
          </cell>
          <cell r="AS631">
            <v>-3</v>
          </cell>
          <cell r="AU631">
            <v>4</v>
          </cell>
          <cell r="AY631">
            <v>-4</v>
          </cell>
          <cell r="BA631">
            <v>5</v>
          </cell>
          <cell r="BE631">
            <v>-5</v>
          </cell>
          <cell r="BG631">
            <v>5</v>
          </cell>
          <cell r="BK631">
            <v>-5</v>
          </cell>
          <cell r="BM631">
            <v>3</v>
          </cell>
          <cell r="BP631">
            <v>3</v>
          </cell>
          <cell r="BW631" t="str">
            <v>Done</v>
          </cell>
          <cell r="BX631">
            <v>45079</v>
          </cell>
          <cell r="BY631" t="str">
            <v>Approved</v>
          </cell>
          <cell r="CD631">
            <v>45163</v>
          </cell>
          <cell r="CE631">
            <v>45196</v>
          </cell>
          <cell r="CG631" t="str">
            <v>M/s SURIYA INTERIORS</v>
          </cell>
          <cell r="CI631" t="str">
            <v>Issued</v>
          </cell>
          <cell r="DG631" t="str">
            <v>Netmed SDP - Not in Dead Rental</v>
          </cell>
          <cell r="DK631">
            <v>45230</v>
          </cell>
          <cell r="DL631">
            <v>45201</v>
          </cell>
          <cell r="DM631">
            <v>2</v>
          </cell>
          <cell r="DN631" t="str">
            <v>0 to 3 Days</v>
          </cell>
          <cell r="DP631">
            <v>45199</v>
          </cell>
          <cell r="DQ631">
            <v>45232</v>
          </cell>
          <cell r="DR631">
            <v>7</v>
          </cell>
          <cell r="DS631">
            <v>7</v>
          </cell>
          <cell r="DU631">
            <v>45239</v>
          </cell>
          <cell r="DV631">
            <v>45206</v>
          </cell>
          <cell r="DW631">
            <v>45239</v>
          </cell>
          <cell r="DX631" t="str">
            <v>Nov 23 Week 2</v>
          </cell>
          <cell r="DZ631">
            <v>45257</v>
          </cell>
          <cell r="EA631" t="str">
            <v>Nov 23 Week 4</v>
          </cell>
          <cell r="EB631" t="str">
            <v>Backlog</v>
          </cell>
          <cell r="ED631" t="str">
            <v/>
          </cell>
          <cell r="EE631" t="str">
            <v/>
          </cell>
          <cell r="EF631">
            <v>1</v>
          </cell>
          <cell r="EG631">
            <v>1</v>
          </cell>
          <cell r="FD631">
            <v>18</v>
          </cell>
          <cell r="FE631" t="str">
            <v>16 to 31 Days</v>
          </cell>
          <cell r="FF631">
            <v>51</v>
          </cell>
          <cell r="FG631" t="str">
            <v>31 to 61 Days</v>
          </cell>
          <cell r="FH631" t="str">
            <v>Done</v>
          </cell>
          <cell r="FJ631" t="str">
            <v>NA</v>
          </cell>
          <cell r="FK631">
            <v>45453</v>
          </cell>
          <cell r="FM631" t="str">
            <v/>
          </cell>
          <cell r="GA631">
            <v>45257</v>
          </cell>
          <cell r="GC631">
            <v>45232</v>
          </cell>
          <cell r="GG631" t="str">
            <v>2023-2024</v>
          </cell>
        </row>
        <row r="632">
          <cell r="E632" t="str">
            <v>GF Dekar Gaon Mouza  ,  , Bhairawapad Tezpur Dist Sonitpur  , TEZPUR , 784001</v>
          </cell>
          <cell r="F632" t="str">
            <v>9. EPC Ready</v>
          </cell>
          <cell r="G632" t="str">
            <v>SPASTEN3585</v>
          </cell>
          <cell r="H632" t="str">
            <v>WB-SM-TEJ-3004</v>
          </cell>
          <cell r="I632" t="str">
            <v>TYXS</v>
          </cell>
          <cell r="J632" t="str">
            <v>QB5W</v>
          </cell>
          <cell r="K632" t="str">
            <v xml:space="preserve">E </v>
          </cell>
          <cell r="L632" t="str">
            <v>SD</v>
          </cell>
          <cell r="M632" t="str">
            <v>EPC Ready</v>
          </cell>
          <cell r="N632" t="str">
            <v>Mahendrakumar Warma</v>
          </cell>
          <cell r="O632" t="str">
            <v>Anup das (EXCEPT SIKKIM)</v>
          </cell>
          <cell r="P632" t="str">
            <v>Prosenjit Pal-9831270684</v>
          </cell>
          <cell r="Q632" t="str">
            <v>Gaurav Shinde</v>
          </cell>
          <cell r="S632" t="str">
            <v>Assam</v>
          </cell>
          <cell r="T632" t="str">
            <v>TEZPUR</v>
          </cell>
          <cell r="U632" t="str">
            <v>Non Premium</v>
          </cell>
          <cell r="V632" t="str">
            <v>Pharma Format</v>
          </cell>
          <cell r="W632">
            <v>400</v>
          </cell>
          <cell r="X632" t="str">
            <v>GF Dekar Gaon Mouza  ,  , Bhairawapad Tezpur Dist Sonitpur  , TEZPUR , 784001</v>
          </cell>
          <cell r="Y632">
            <v>45166</v>
          </cell>
          <cell r="Z632" t="str">
            <v>NA</v>
          </cell>
          <cell r="AB632" t="str">
            <v>NA</v>
          </cell>
          <cell r="AF632" t="str">
            <v>NA</v>
          </cell>
          <cell r="AK632">
            <v>45189</v>
          </cell>
          <cell r="AL632" t="str">
            <v>Received</v>
          </cell>
          <cell r="AO632">
            <v>3</v>
          </cell>
          <cell r="AS632">
            <v>-3</v>
          </cell>
          <cell r="AU632">
            <v>4</v>
          </cell>
          <cell r="AY632">
            <v>-4</v>
          </cell>
          <cell r="BA632">
            <v>5</v>
          </cell>
          <cell r="BE632">
            <v>-5</v>
          </cell>
          <cell r="BG632">
            <v>5</v>
          </cell>
          <cell r="BK632">
            <v>-5</v>
          </cell>
          <cell r="BM632">
            <v>3</v>
          </cell>
          <cell r="BP632">
            <v>3</v>
          </cell>
          <cell r="BW632" t="str">
            <v>Done</v>
          </cell>
          <cell r="BX632">
            <v>45079</v>
          </cell>
          <cell r="BY632" t="str">
            <v>Approved</v>
          </cell>
          <cell r="CD632">
            <v>45163</v>
          </cell>
          <cell r="CE632">
            <v>45177</v>
          </cell>
          <cell r="CG632" t="str">
            <v>M/s. STAR SOLUTIONS</v>
          </cell>
          <cell r="CI632" t="str">
            <v>Issued</v>
          </cell>
          <cell r="DG632" t="str">
            <v>Netmed SDP - Not in Dead Rental</v>
          </cell>
          <cell r="DK632">
            <v>45214</v>
          </cell>
          <cell r="DM632">
            <v>2</v>
          </cell>
          <cell r="DN632" t="str">
            <v>0 to 3 Days</v>
          </cell>
          <cell r="DP632">
            <v>45180</v>
          </cell>
          <cell r="DQ632">
            <v>45216</v>
          </cell>
          <cell r="DR632">
            <v>7</v>
          </cell>
          <cell r="DS632">
            <v>7</v>
          </cell>
          <cell r="DU632">
            <v>45223</v>
          </cell>
          <cell r="DV632">
            <v>45187</v>
          </cell>
          <cell r="DW632">
            <v>45223</v>
          </cell>
          <cell r="DX632" t="str">
            <v>Oct 23 Week 4</v>
          </cell>
          <cell r="DZ632">
            <v>45265</v>
          </cell>
          <cell r="EA632" t="str">
            <v>Dec 23 Week 1</v>
          </cell>
          <cell r="EB632" t="str">
            <v>Backlog</v>
          </cell>
          <cell r="ED632" t="str">
            <v/>
          </cell>
          <cell r="EE632" t="str">
            <v/>
          </cell>
          <cell r="EF632">
            <v>1</v>
          </cell>
          <cell r="EG632">
            <v>1</v>
          </cell>
          <cell r="FD632">
            <v>42</v>
          </cell>
          <cell r="FE632" t="str">
            <v>31 to 61 Days</v>
          </cell>
          <cell r="FF632">
            <v>78</v>
          </cell>
          <cell r="FG632" t="str">
            <v>62 to 90 Days</v>
          </cell>
          <cell r="FH632" t="str">
            <v>Done</v>
          </cell>
          <cell r="FI632" t="str">
            <v>Done</v>
          </cell>
          <cell r="FJ632" t="str">
            <v>NA</v>
          </cell>
          <cell r="FK632">
            <v>45286</v>
          </cell>
          <cell r="FM632" t="str">
            <v/>
          </cell>
          <cell r="GA632">
            <v>45265</v>
          </cell>
          <cell r="GC632">
            <v>45216</v>
          </cell>
          <cell r="GG632" t="str">
            <v>2023-2024</v>
          </cell>
        </row>
        <row r="633">
          <cell r="E633" t="str">
            <v>Santhipriya Thirumana Mandabam Door No25  , Nagar Thanjavur , 1 156 157 Nanchikottai Road Arokium  , THANJAVUR , 613006</v>
          </cell>
          <cell r="F633" t="str">
            <v>9. EPC Ready</v>
          </cell>
          <cell r="G633" t="str">
            <v>SPTNTHS3349</v>
          </cell>
          <cell r="H633" t="str">
            <v>TN-SM-THJ-3001</v>
          </cell>
          <cell r="I633" t="str">
            <v>T59G</v>
          </cell>
          <cell r="J633" t="str">
            <v>QVKK</v>
          </cell>
          <cell r="K633" t="str">
            <v>S</v>
          </cell>
          <cell r="L633" t="str">
            <v>AK</v>
          </cell>
          <cell r="M633" t="str">
            <v>EPC Ready</v>
          </cell>
          <cell r="N633" t="str">
            <v>N Kalyankumar</v>
          </cell>
          <cell r="O633" t="str">
            <v>Muthuvelu Minnal /
Vijayakumar Muthusamy</v>
          </cell>
          <cell r="Q633" t="str">
            <v>Gaurav Shinde</v>
          </cell>
          <cell r="S633" t="str">
            <v>Tamil Nadu</v>
          </cell>
          <cell r="T633" t="str">
            <v>Thanjavur</v>
          </cell>
          <cell r="U633" t="str">
            <v>Non Premium</v>
          </cell>
          <cell r="V633" t="str">
            <v>Pharma Format</v>
          </cell>
          <cell r="W633">
            <v>400</v>
          </cell>
          <cell r="X633" t="str">
            <v>Santhipriya Thirumana Mandabam Door No25  , Nagar Thanjavur , 1 156 157 Nanchikottai Road Arokium  , THANJAVUR , 613006</v>
          </cell>
          <cell r="Y633">
            <v>45167</v>
          </cell>
          <cell r="Z633" t="str">
            <v>NA</v>
          </cell>
          <cell r="AB633" t="str">
            <v>NA</v>
          </cell>
          <cell r="AF633" t="str">
            <v>NA</v>
          </cell>
          <cell r="AK633">
            <v>45162</v>
          </cell>
          <cell r="AL633" t="str">
            <v>Received</v>
          </cell>
          <cell r="AO633">
            <v>3</v>
          </cell>
          <cell r="AS633">
            <v>-3</v>
          </cell>
          <cell r="AU633">
            <v>4</v>
          </cell>
          <cell r="AY633">
            <v>-4</v>
          </cell>
          <cell r="BA633">
            <v>5</v>
          </cell>
          <cell r="BE633">
            <v>-5</v>
          </cell>
          <cell r="BG633">
            <v>5</v>
          </cell>
          <cell r="BK633">
            <v>-5</v>
          </cell>
          <cell r="BM633">
            <v>3</v>
          </cell>
          <cell r="BP633">
            <v>3</v>
          </cell>
          <cell r="BW633" t="str">
            <v>Done</v>
          </cell>
          <cell r="BX633">
            <v>45079</v>
          </cell>
          <cell r="BY633" t="str">
            <v>Approved</v>
          </cell>
          <cell r="CD633">
            <v>45163</v>
          </cell>
          <cell r="CE633">
            <v>45192</v>
          </cell>
          <cell r="CG633" t="str">
            <v>M/s MAACON</v>
          </cell>
          <cell r="CI633" t="str">
            <v>Issued</v>
          </cell>
          <cell r="DG633" t="str">
            <v>Netmed SDP - Not in Dead Rental</v>
          </cell>
          <cell r="DK633">
            <v>45222</v>
          </cell>
          <cell r="DL633">
            <v>45208</v>
          </cell>
          <cell r="DM633">
            <v>2</v>
          </cell>
          <cell r="DN633" t="str">
            <v>0 to 3 Days</v>
          </cell>
          <cell r="DP633">
            <v>45195</v>
          </cell>
          <cell r="DQ633">
            <v>45224</v>
          </cell>
          <cell r="DR633">
            <v>7</v>
          </cell>
          <cell r="DS633">
            <v>7</v>
          </cell>
          <cell r="DU633">
            <v>45231</v>
          </cell>
          <cell r="DV633">
            <v>45202</v>
          </cell>
          <cell r="DW633">
            <v>45231</v>
          </cell>
          <cell r="DX633" t="str">
            <v>Nov 23 Week 1</v>
          </cell>
          <cell r="DZ633">
            <v>45237</v>
          </cell>
          <cell r="EA633" t="str">
            <v>Nov 23 Week 1</v>
          </cell>
          <cell r="EB633" t="str">
            <v>Backlog</v>
          </cell>
          <cell r="ED633" t="str">
            <v/>
          </cell>
          <cell r="EE633" t="str">
            <v/>
          </cell>
          <cell r="EF633">
            <v>1</v>
          </cell>
          <cell r="EG633">
            <v>1</v>
          </cell>
          <cell r="FD633">
            <v>6</v>
          </cell>
          <cell r="FE633" t="str">
            <v>4 to 7 Days</v>
          </cell>
          <cell r="FF633">
            <v>35</v>
          </cell>
          <cell r="FG633" t="str">
            <v>31 to 61 Days</v>
          </cell>
          <cell r="FH633" t="str">
            <v>Done</v>
          </cell>
          <cell r="FI633" t="str">
            <v>Done</v>
          </cell>
          <cell r="FJ633" t="str">
            <v>NA</v>
          </cell>
          <cell r="FK633">
            <v>45363</v>
          </cell>
          <cell r="FM633" t="str">
            <v/>
          </cell>
          <cell r="GA633">
            <v>45269</v>
          </cell>
          <cell r="GC633">
            <v>45224</v>
          </cell>
          <cell r="GG633" t="str">
            <v>2023-2024</v>
          </cell>
        </row>
        <row r="634">
          <cell r="E634" t="str">
            <v>Karmegam Kalayana Mandapam  , Vellakoil Tiruppur , Door No 56 Uppupalayam Road  , TIRUPPUR , 638111</v>
          </cell>
          <cell r="F634" t="str">
            <v>9. EPC Ready</v>
          </cell>
          <cell r="G634" t="str">
            <v>SPTNTIK3490</v>
          </cell>
          <cell r="H634" t="str">
            <v>TN-SM-TIU-3004</v>
          </cell>
          <cell r="I634" t="str">
            <v>TYK4</v>
          </cell>
          <cell r="J634" t="str">
            <v>QB8C</v>
          </cell>
          <cell r="K634" t="str">
            <v>S</v>
          </cell>
          <cell r="L634" t="str">
            <v>AK</v>
          </cell>
          <cell r="M634" t="str">
            <v>EPC Ready</v>
          </cell>
          <cell r="N634" t="str">
            <v>N Kalyankumar</v>
          </cell>
          <cell r="O634" t="str">
            <v>Muthuvelu Minnal /
Vijayakumar Muthusamy</v>
          </cell>
          <cell r="P634" t="str">
            <v>Janarthanan Ekambaram-9566241523</v>
          </cell>
          <cell r="Q634" t="str">
            <v>Gaurav Shinde</v>
          </cell>
          <cell r="S634" t="str">
            <v>Tamil Nadu</v>
          </cell>
          <cell r="T634" t="str">
            <v>Vellakovil</v>
          </cell>
          <cell r="U634" t="str">
            <v>Non Premium</v>
          </cell>
          <cell r="V634" t="str">
            <v>Pharma Format</v>
          </cell>
          <cell r="W634">
            <v>400</v>
          </cell>
          <cell r="X634" t="str">
            <v>Karmegam Kalayana Mandapam  , Vellakoil Tiruppur , Door No 56 Uppupalayam Road  , TIRUPPUR , 638111</v>
          </cell>
          <cell r="Y634">
            <v>45159</v>
          </cell>
          <cell r="Z634" t="str">
            <v>NA</v>
          </cell>
          <cell r="AB634" t="str">
            <v>NA</v>
          </cell>
          <cell r="AF634" t="str">
            <v>NA</v>
          </cell>
          <cell r="AK634">
            <v>45147</v>
          </cell>
          <cell r="AL634" t="str">
            <v>Received</v>
          </cell>
          <cell r="AO634">
            <v>3</v>
          </cell>
          <cell r="AS634">
            <v>-3</v>
          </cell>
          <cell r="AU634">
            <v>4</v>
          </cell>
          <cell r="AY634">
            <v>-4</v>
          </cell>
          <cell r="BA634">
            <v>5</v>
          </cell>
          <cell r="BE634">
            <v>-5</v>
          </cell>
          <cell r="BG634">
            <v>5</v>
          </cell>
          <cell r="BK634">
            <v>-5</v>
          </cell>
          <cell r="BM634">
            <v>3</v>
          </cell>
          <cell r="BP634">
            <v>3</v>
          </cell>
          <cell r="BW634" t="str">
            <v>Done</v>
          </cell>
          <cell r="BX634">
            <v>45079</v>
          </cell>
          <cell r="BY634" t="str">
            <v>Approved</v>
          </cell>
          <cell r="CD634">
            <v>45162</v>
          </cell>
          <cell r="CE634">
            <v>45196</v>
          </cell>
          <cell r="CG634" t="str">
            <v>M/s Prayagaa Enterprises Pvt Ltd</v>
          </cell>
          <cell r="CI634" t="str">
            <v>Issued</v>
          </cell>
          <cell r="DG634" t="str">
            <v>Netmed SDP - Not in Dead Rental</v>
          </cell>
          <cell r="DK634">
            <v>45221</v>
          </cell>
          <cell r="DL634">
            <v>45162</v>
          </cell>
          <cell r="DM634">
            <v>2</v>
          </cell>
          <cell r="DN634" t="str">
            <v>0 to 3 Days</v>
          </cell>
          <cell r="DP634">
            <v>45199</v>
          </cell>
          <cell r="DQ634">
            <v>45223</v>
          </cell>
          <cell r="DR634">
            <v>7</v>
          </cell>
          <cell r="DS634">
            <v>7</v>
          </cell>
          <cell r="DU634">
            <v>45230</v>
          </cell>
          <cell r="DV634">
            <v>45206</v>
          </cell>
          <cell r="DW634">
            <v>45230</v>
          </cell>
          <cell r="DX634" t="str">
            <v>Oct 23 Week 5</v>
          </cell>
          <cell r="DZ634">
            <v>45251</v>
          </cell>
          <cell r="EA634" t="str">
            <v>Nov 23 Week 3</v>
          </cell>
          <cell r="EB634" t="str">
            <v>Backlog</v>
          </cell>
          <cell r="ED634" t="str">
            <v/>
          </cell>
          <cell r="EE634" t="str">
            <v/>
          </cell>
          <cell r="EF634">
            <v>1</v>
          </cell>
          <cell r="EG634">
            <v>1</v>
          </cell>
          <cell r="FD634">
            <v>21</v>
          </cell>
          <cell r="FE634" t="str">
            <v>16 to 31 Days</v>
          </cell>
          <cell r="FF634">
            <v>45</v>
          </cell>
          <cell r="FG634" t="str">
            <v>31 to 61 Days</v>
          </cell>
          <cell r="FH634" t="str">
            <v>Done</v>
          </cell>
          <cell r="FI634" t="str">
            <v>Done</v>
          </cell>
          <cell r="FJ634" t="str">
            <v>NA</v>
          </cell>
          <cell r="FK634">
            <v>45363</v>
          </cell>
          <cell r="FM634" t="str">
            <v/>
          </cell>
          <cell r="GA634">
            <v>45251</v>
          </cell>
          <cell r="GC634">
            <v>45223</v>
          </cell>
          <cell r="GG634" t="str">
            <v>2023-2024</v>
          </cell>
        </row>
        <row r="635">
          <cell r="E635" t="str">
            <v>Pazhanchira Devi Trust Building  , Thiruvananthapuram , Pazhanchira Ambalathara Poonthurai  , Thiruvananthap , 695026</v>
          </cell>
          <cell r="F635" t="str">
            <v>14. Dropped</v>
          </cell>
          <cell r="G635" t="str">
            <v>SPKLTHP3395</v>
          </cell>
          <cell r="H635" t="str">
            <v>KE-SM-TRI-3009</v>
          </cell>
          <cell r="I635" t="str">
            <v>TZND</v>
          </cell>
          <cell r="J635" t="str">
            <v>QC8Y</v>
          </cell>
          <cell r="K635" t="str">
            <v>S</v>
          </cell>
          <cell r="L635" t="str">
            <v>AK</v>
          </cell>
          <cell r="M635" t="str">
            <v>Dropped</v>
          </cell>
          <cell r="N635" t="str">
            <v>N Kalyankumar</v>
          </cell>
          <cell r="O635" t="str">
            <v>Jose Loviece</v>
          </cell>
          <cell r="Q635" t="str">
            <v>Gaurav Shinde</v>
          </cell>
          <cell r="S635" t="str">
            <v>Kerala</v>
          </cell>
          <cell r="T635" t="str">
            <v>Thiruvananthapuram</v>
          </cell>
          <cell r="U635" t="str">
            <v>Non Premium</v>
          </cell>
          <cell r="V635" t="str">
            <v>Pharma Format</v>
          </cell>
          <cell r="W635">
            <v>400</v>
          </cell>
          <cell r="X635" t="str">
            <v>Pazhanchira Devi Trust Building  , Thiruvananthapuram , Pazhanchira Ambalathara Poonthurai  , Thiruvananthap , 695026</v>
          </cell>
          <cell r="Z635" t="str">
            <v>NA</v>
          </cell>
          <cell r="AB635" t="str">
            <v>NA</v>
          </cell>
          <cell r="AF635" t="str">
            <v>NA</v>
          </cell>
          <cell r="AL635" t="str">
            <v>NA</v>
          </cell>
          <cell r="AO635">
            <v>3</v>
          </cell>
          <cell r="AS635">
            <v>-3</v>
          </cell>
          <cell r="AU635">
            <v>4</v>
          </cell>
          <cell r="AY635">
            <v>-4</v>
          </cell>
          <cell r="BA635">
            <v>5</v>
          </cell>
          <cell r="BE635">
            <v>-5</v>
          </cell>
          <cell r="BG635">
            <v>5</v>
          </cell>
          <cell r="BK635">
            <v>-5</v>
          </cell>
          <cell r="BM635">
            <v>3</v>
          </cell>
          <cell r="BP635">
            <v>3</v>
          </cell>
          <cell r="BW635" t="str">
            <v>Done</v>
          </cell>
          <cell r="BX635">
            <v>45079</v>
          </cell>
          <cell r="BY635" t="str">
            <v>Approved</v>
          </cell>
          <cell r="CD635">
            <v>45163</v>
          </cell>
          <cell r="DG635" t="str">
            <v>Netmed SDP - Not in Dead Rental</v>
          </cell>
          <cell r="DM635" t="str">
            <v>NA</v>
          </cell>
          <cell r="DN635" t="str">
            <v>NA</v>
          </cell>
          <cell r="DR635">
            <v>7</v>
          </cell>
          <cell r="DS635">
            <v>7</v>
          </cell>
          <cell r="DU635">
            <v>7</v>
          </cell>
          <cell r="DV635">
            <v>7</v>
          </cell>
          <cell r="DW635">
            <v>7</v>
          </cell>
          <cell r="EA635" t="str">
            <v/>
          </cell>
          <cell r="ED635" t="str">
            <v/>
          </cell>
          <cell r="EE635" t="str">
            <v/>
          </cell>
          <cell r="EF635">
            <v>1</v>
          </cell>
          <cell r="FD635">
            <v>46114</v>
          </cell>
          <cell r="FF635">
            <v>46114</v>
          </cell>
          <cell r="FJ635" t="str">
            <v>NA</v>
          </cell>
          <cell r="FM635" t="str">
            <v/>
          </cell>
          <cell r="GG635" t="str">
            <v>2024-2025</v>
          </cell>
        </row>
        <row r="636">
          <cell r="E636" t="str">
            <v>GF  Sy No 1246 1 57  Baazmo Tower  , TL  Thalapilly PO  Thiruvilwamala , Near HP Petrol Pump  Kaniyarkode , Dist  Thissur , THIRUVILWAMALA , 680588</v>
          </cell>
          <cell r="F636" t="str">
            <v>9. EPC Ready</v>
          </cell>
          <cell r="G636" t="str">
            <v>SPKLTHB1514</v>
          </cell>
          <cell r="H636" t="str">
            <v>KE-SM-TVW-3000</v>
          </cell>
          <cell r="I636" t="str">
            <v>TWZ4</v>
          </cell>
          <cell r="J636" t="str">
            <v>Q7ZY</v>
          </cell>
          <cell r="K636" t="str">
            <v>S</v>
          </cell>
          <cell r="L636" t="str">
            <v>AK</v>
          </cell>
          <cell r="M636" t="str">
            <v>EPC Ready</v>
          </cell>
          <cell r="N636" t="str">
            <v>N Kalyankumar</v>
          </cell>
          <cell r="O636" t="str">
            <v>Jose Loviece</v>
          </cell>
          <cell r="Q636" t="str">
            <v>Gaurav Shinde</v>
          </cell>
          <cell r="S636" t="str">
            <v>Kerala</v>
          </cell>
          <cell r="T636" t="str">
            <v>Thiruvilwamala</v>
          </cell>
          <cell r="U636" t="str">
            <v>Non Premium</v>
          </cell>
          <cell r="V636" t="str">
            <v>Pharma Format</v>
          </cell>
          <cell r="W636">
            <v>400</v>
          </cell>
          <cell r="X636" t="str">
            <v>GF  Sy No 1246 1 57  Baazmo Tower  , TL  Thalapilly PO  Thiruvilwamala , Near HP Petrol Pump  Kaniyarkode , Dist  Thissur , THIRUVILWAMALA , 680588</v>
          </cell>
          <cell r="Y636">
            <v>45166</v>
          </cell>
          <cell r="Z636" t="str">
            <v>NA</v>
          </cell>
          <cell r="AB636" t="str">
            <v>NA</v>
          </cell>
          <cell r="AF636" t="str">
            <v>NA</v>
          </cell>
          <cell r="AK636">
            <v>45271</v>
          </cell>
          <cell r="AL636" t="str">
            <v>Received</v>
          </cell>
          <cell r="AO636">
            <v>3</v>
          </cell>
          <cell r="AS636">
            <v>-3</v>
          </cell>
          <cell r="AU636">
            <v>4</v>
          </cell>
          <cell r="AY636">
            <v>-4</v>
          </cell>
          <cell r="BA636">
            <v>5</v>
          </cell>
          <cell r="BE636">
            <v>-5</v>
          </cell>
          <cell r="BG636">
            <v>5</v>
          </cell>
          <cell r="BK636">
            <v>-5</v>
          </cell>
          <cell r="BM636">
            <v>3</v>
          </cell>
          <cell r="BP636">
            <v>3</v>
          </cell>
          <cell r="BW636" t="str">
            <v>Done</v>
          </cell>
          <cell r="BX636">
            <v>45079</v>
          </cell>
          <cell r="BY636" t="str">
            <v>Approved</v>
          </cell>
          <cell r="CD636">
            <v>45163</v>
          </cell>
          <cell r="CE636">
            <v>45273</v>
          </cell>
          <cell r="CG636" t="str">
            <v>M/s. Arselex Engineering</v>
          </cell>
          <cell r="CI636" t="str">
            <v>Issued</v>
          </cell>
          <cell r="DG636" t="str">
            <v>Netmed SDP - Not in Dead Rental</v>
          </cell>
          <cell r="DK636">
            <v>45297</v>
          </cell>
          <cell r="DL636">
            <v>45279</v>
          </cell>
          <cell r="DM636">
            <v>2</v>
          </cell>
          <cell r="DN636" t="str">
            <v>0 to 3 Days</v>
          </cell>
          <cell r="DP636">
            <v>45276</v>
          </cell>
          <cell r="DQ636">
            <v>45299</v>
          </cell>
          <cell r="DR636">
            <v>7</v>
          </cell>
          <cell r="DS636">
            <v>7</v>
          </cell>
          <cell r="DU636">
            <v>45306</v>
          </cell>
          <cell r="DV636">
            <v>45283</v>
          </cell>
          <cell r="DW636">
            <v>45306</v>
          </cell>
          <cell r="DX636" t="str">
            <v>Jan 24 Week 3</v>
          </cell>
          <cell r="DZ636">
            <v>45311</v>
          </cell>
          <cell r="EA636" t="str">
            <v>Jan 24 Week 3</v>
          </cell>
          <cell r="EB636" t="str">
            <v>Backlog</v>
          </cell>
          <cell r="ED636" t="str">
            <v/>
          </cell>
          <cell r="EE636" t="str">
            <v/>
          </cell>
          <cell r="EF636">
            <v>1</v>
          </cell>
          <cell r="EG636">
            <v>1</v>
          </cell>
          <cell r="FD636">
            <v>5</v>
          </cell>
          <cell r="FE636" t="str">
            <v>4 to 7 Days</v>
          </cell>
          <cell r="FF636">
            <v>28</v>
          </cell>
          <cell r="FG636" t="str">
            <v>16 to 31 Days</v>
          </cell>
          <cell r="FH636" t="str">
            <v>Done</v>
          </cell>
          <cell r="FI636" t="str">
            <v>Done</v>
          </cell>
          <cell r="FJ636" t="str">
            <v>NA</v>
          </cell>
          <cell r="FK636">
            <v>45334</v>
          </cell>
          <cell r="FM636" t="str">
            <v/>
          </cell>
          <cell r="GA636">
            <v>45314</v>
          </cell>
          <cell r="GC636">
            <v>45299</v>
          </cell>
          <cell r="GG636" t="str">
            <v>2023-2024</v>
          </cell>
        </row>
        <row r="637">
          <cell r="E637" t="str">
            <v>SP PHARMA Bachpan Play School</v>
          </cell>
          <cell r="F637" t="str">
            <v>9. EPC Ready</v>
          </cell>
          <cell r="G637" t="str">
            <v>SPUPTIT3880</v>
          </cell>
          <cell r="H637" t="str">
            <v>UP-SM-TLH-3001</v>
          </cell>
          <cell r="I637" t="str">
            <v>TAJP</v>
          </cell>
          <cell r="J637" t="str">
            <v>QFYS</v>
          </cell>
          <cell r="K637" t="str">
            <v xml:space="preserve">N </v>
          </cell>
          <cell r="L637" t="str">
            <v>KC</v>
          </cell>
          <cell r="M637" t="str">
            <v>EPC Ready</v>
          </cell>
          <cell r="P637" t="str">
            <v>Abhay Srivastav-9305109175</v>
          </cell>
          <cell r="Q637" t="str">
            <v>Gaurav Shinde</v>
          </cell>
          <cell r="S637" t="str">
            <v>Uttar Pradesh</v>
          </cell>
          <cell r="T637" t="str">
            <v>Tilhar</v>
          </cell>
          <cell r="U637" t="str">
            <v>Non Premium</v>
          </cell>
          <cell r="V637" t="str">
            <v>Pharma Format</v>
          </cell>
          <cell r="W637">
            <v>400</v>
          </cell>
          <cell r="X637" t="str">
            <v>SP PHARMA Bachpan Play School</v>
          </cell>
          <cell r="Z637" t="str">
            <v>NA</v>
          </cell>
          <cell r="AB637" t="str">
            <v>NA</v>
          </cell>
          <cell r="AF637" t="str">
            <v>NA</v>
          </cell>
          <cell r="AL637" t="str">
            <v>Received</v>
          </cell>
          <cell r="AO637">
            <v>3</v>
          </cell>
          <cell r="AS637">
            <v>-3</v>
          </cell>
          <cell r="AU637">
            <v>4</v>
          </cell>
          <cell r="AY637">
            <v>-4</v>
          </cell>
          <cell r="BA637">
            <v>5</v>
          </cell>
          <cell r="BE637">
            <v>-5</v>
          </cell>
          <cell r="BG637">
            <v>5</v>
          </cell>
          <cell r="BK637">
            <v>-5</v>
          </cell>
          <cell r="BM637">
            <v>3</v>
          </cell>
          <cell r="BP637">
            <v>3</v>
          </cell>
          <cell r="BW637" t="str">
            <v>Done</v>
          </cell>
          <cell r="BX637">
            <v>45079</v>
          </cell>
          <cell r="BY637" t="str">
            <v>Approved</v>
          </cell>
          <cell r="CD637">
            <v>45174</v>
          </cell>
          <cell r="CE637">
            <v>45219</v>
          </cell>
          <cell r="CG637" t="str">
            <v>M/s    SHOURYA INFRATECH</v>
          </cell>
          <cell r="CI637" t="str">
            <v>Issued</v>
          </cell>
          <cell r="DG637" t="str">
            <v>Netmed SDP - Not in Dead Rental</v>
          </cell>
          <cell r="DK637">
            <v>45259</v>
          </cell>
          <cell r="DL637">
            <v>45174</v>
          </cell>
          <cell r="DM637">
            <v>2</v>
          </cell>
          <cell r="DN637" t="str">
            <v>0 to 3 Days</v>
          </cell>
          <cell r="DP637">
            <v>45222</v>
          </cell>
          <cell r="DQ637">
            <v>45261</v>
          </cell>
          <cell r="DR637">
            <v>7</v>
          </cell>
          <cell r="DS637">
            <v>7</v>
          </cell>
          <cell r="DU637">
            <v>45268</v>
          </cell>
          <cell r="DV637">
            <v>45229</v>
          </cell>
          <cell r="DW637">
            <v>45268</v>
          </cell>
          <cell r="DX637" t="str">
            <v>Dec 23 Week 2</v>
          </cell>
          <cell r="DZ637">
            <v>45275</v>
          </cell>
          <cell r="EA637" t="str">
            <v>Dec 23 Week 3</v>
          </cell>
          <cell r="EB637" t="str">
            <v>Backlog</v>
          </cell>
          <cell r="ED637" t="str">
            <v/>
          </cell>
          <cell r="EE637" t="str">
            <v/>
          </cell>
          <cell r="EF637">
            <v>1</v>
          </cell>
          <cell r="EG637">
            <v>1</v>
          </cell>
          <cell r="FD637">
            <v>7</v>
          </cell>
          <cell r="FE637" t="str">
            <v>4 to 7 Days</v>
          </cell>
          <cell r="FF637">
            <v>46</v>
          </cell>
          <cell r="FG637" t="str">
            <v>31 to 61 Days</v>
          </cell>
          <cell r="FH637" t="str">
            <v>Done</v>
          </cell>
          <cell r="FI637" t="str">
            <v>Done</v>
          </cell>
          <cell r="FJ637" t="str">
            <v>NA</v>
          </cell>
          <cell r="FK637">
            <v>45286</v>
          </cell>
          <cell r="FM637" t="str">
            <v/>
          </cell>
          <cell r="GA637">
            <v>45275</v>
          </cell>
          <cell r="GC637">
            <v>45259</v>
          </cell>
          <cell r="GG637" t="str">
            <v>2023-2024</v>
          </cell>
        </row>
        <row r="638">
          <cell r="E638" t="str">
            <v>Sy No 35 1 Block No6 Nearest Door No 6 1  , Tirrumala West Godavari Dist , 22 Ratham Veedhi By Passroad Dwaraka  , Dwaraka Tiruma , 534426</v>
          </cell>
          <cell r="F638" t="str">
            <v>9. EPC Ready</v>
          </cell>
          <cell r="G638" t="str">
            <v>SPAPDWR4237</v>
          </cell>
          <cell r="H638" t="str">
            <v>AP-SM-DWA-3000</v>
          </cell>
          <cell r="I638" t="str">
            <v>TYPE</v>
          </cell>
          <cell r="J638" t="str">
            <v>QBWG</v>
          </cell>
          <cell r="K638" t="str">
            <v xml:space="preserve">E </v>
          </cell>
          <cell r="L638" t="str">
            <v>JD</v>
          </cell>
          <cell r="M638" t="str">
            <v>EPC Ready</v>
          </cell>
          <cell r="N638" t="str">
            <v>Jaisingh Desai</v>
          </cell>
          <cell r="P638" t="str">
            <v>Mr. Sudhakar Veerla</v>
          </cell>
          <cell r="Q638" t="str">
            <v>Gaurav Shinde</v>
          </cell>
          <cell r="S638" t="str">
            <v>Andhra Pradesh</v>
          </cell>
          <cell r="T638" t="str">
            <v>Tirumala</v>
          </cell>
          <cell r="U638" t="str">
            <v>Non Premium</v>
          </cell>
          <cell r="V638" t="str">
            <v>Pharma Format</v>
          </cell>
          <cell r="W638">
            <v>400</v>
          </cell>
          <cell r="X638" t="str">
            <v>Sy No 35 1 Block No6 Nearest Door No 6 1  , Tirrumala West Godavari Dist , 22 Ratham Veedhi By Passroad Dwaraka  , Dwaraka Tiruma , 534426</v>
          </cell>
          <cell r="Y638">
            <v>45124</v>
          </cell>
          <cell r="Z638" t="str">
            <v>NA</v>
          </cell>
          <cell r="AB638" t="str">
            <v>NA</v>
          </cell>
          <cell r="AF638" t="str">
            <v>NA</v>
          </cell>
          <cell r="AK638">
            <v>45142</v>
          </cell>
          <cell r="AL638" t="str">
            <v>Received</v>
          </cell>
          <cell r="AO638">
            <v>3</v>
          </cell>
          <cell r="AS638">
            <v>-3</v>
          </cell>
          <cell r="AU638">
            <v>4</v>
          </cell>
          <cell r="AY638">
            <v>-4</v>
          </cell>
          <cell r="BA638">
            <v>5</v>
          </cell>
          <cell r="BE638">
            <v>-5</v>
          </cell>
          <cell r="BG638">
            <v>5</v>
          </cell>
          <cell r="BK638">
            <v>-5</v>
          </cell>
          <cell r="BM638">
            <v>3</v>
          </cell>
          <cell r="BP638">
            <v>3</v>
          </cell>
          <cell r="BW638" t="str">
            <v>Done</v>
          </cell>
          <cell r="BX638">
            <v>45079</v>
          </cell>
          <cell r="BY638" t="str">
            <v>Approved</v>
          </cell>
          <cell r="CD638">
            <v>45126</v>
          </cell>
          <cell r="CE638">
            <v>45159</v>
          </cell>
          <cell r="CG638" t="str">
            <v xml:space="preserve">M/s    VK Constructions </v>
          </cell>
          <cell r="CI638" t="str">
            <v>Issued</v>
          </cell>
          <cell r="DG638" t="str">
            <v>Netmed SDP - Not in Dead Rental</v>
          </cell>
          <cell r="DK638">
            <v>45175</v>
          </cell>
          <cell r="DM638">
            <v>2</v>
          </cell>
          <cell r="DN638" t="str">
            <v>0 to 3 Days</v>
          </cell>
          <cell r="DP638">
            <v>45162</v>
          </cell>
          <cell r="DQ638">
            <v>45177</v>
          </cell>
          <cell r="DR638">
            <v>7</v>
          </cell>
          <cell r="DS638">
            <v>7</v>
          </cell>
          <cell r="DU638">
            <v>45184</v>
          </cell>
          <cell r="DV638">
            <v>45169</v>
          </cell>
          <cell r="DW638">
            <v>45184</v>
          </cell>
          <cell r="DX638" t="str">
            <v>Sep 23 Week 3</v>
          </cell>
          <cell r="DZ638">
            <v>45187</v>
          </cell>
          <cell r="EA638" t="str">
            <v>Sep 23 Week 3</v>
          </cell>
          <cell r="EB638" t="str">
            <v>Backlog</v>
          </cell>
          <cell r="ED638" t="str">
            <v/>
          </cell>
          <cell r="EE638" t="str">
            <v/>
          </cell>
          <cell r="EF638">
            <v>1</v>
          </cell>
          <cell r="EG638">
            <v>1</v>
          </cell>
          <cell r="FD638">
            <v>3</v>
          </cell>
          <cell r="FE638" t="str">
            <v>0 to 3 Days</v>
          </cell>
          <cell r="FF638">
            <v>18</v>
          </cell>
          <cell r="FG638" t="str">
            <v>16 to 31 Days</v>
          </cell>
          <cell r="FH638" t="str">
            <v>Done</v>
          </cell>
          <cell r="FI638" t="str">
            <v>Done</v>
          </cell>
          <cell r="FJ638" t="str">
            <v>NA</v>
          </cell>
          <cell r="FK638">
            <v>45320</v>
          </cell>
          <cell r="FM638" t="str">
            <v/>
          </cell>
          <cell r="GA638">
            <v>45187</v>
          </cell>
          <cell r="GC638">
            <v>45177</v>
          </cell>
          <cell r="GG638" t="str">
            <v>2023-2024</v>
          </cell>
        </row>
        <row r="639">
          <cell r="E639" t="str">
            <v>GF Annapurna Complex D No 24 107 32  , Gajuwaka Mandal UDA Colony Dist Vizag   , Kantghi Road China Gantyada Village    , VIZAG , 530044</v>
          </cell>
          <cell r="F639" t="str">
            <v>9. EPC Ready</v>
          </cell>
          <cell r="G639" t="str">
            <v>SPAPVIC2900</v>
          </cell>
          <cell r="H639" t="str">
            <v>AP-SM-VIS-3007</v>
          </cell>
          <cell r="I639" t="str">
            <v>TYKQ</v>
          </cell>
          <cell r="J639" t="str">
            <v>QBRB</v>
          </cell>
          <cell r="K639" t="str">
            <v xml:space="preserve">E </v>
          </cell>
          <cell r="L639" t="str">
            <v>JD</v>
          </cell>
          <cell r="M639" t="str">
            <v>EPC Ready</v>
          </cell>
          <cell r="N639" t="str">
            <v>Jaisingh Desai</v>
          </cell>
          <cell r="P639" t="str">
            <v>Mr. Sudhakar Veerla</v>
          </cell>
          <cell r="Q639" t="str">
            <v>Gaurav Shinde</v>
          </cell>
          <cell r="S639" t="str">
            <v>Andhra Pradesh</v>
          </cell>
          <cell r="T639" t="str">
            <v>Vizag</v>
          </cell>
          <cell r="U639" t="str">
            <v>Non Premium</v>
          </cell>
          <cell r="V639" t="str">
            <v>Pharma Format</v>
          </cell>
          <cell r="W639">
            <v>402</v>
          </cell>
          <cell r="X639" t="str">
            <v>GF Annapurna Complex D No 24 107 32  , Gajuwaka Mandal UDA Colony Dist Vizag   , Kantghi Road China Gantyada Village    , VIZAG , 530044</v>
          </cell>
          <cell r="Y639">
            <v>45124</v>
          </cell>
          <cell r="Z639" t="str">
            <v>NA</v>
          </cell>
          <cell r="AB639" t="str">
            <v>NA</v>
          </cell>
          <cell r="AF639" t="str">
            <v>NA</v>
          </cell>
          <cell r="AK639">
            <v>45142</v>
          </cell>
          <cell r="AL639" t="str">
            <v>Received</v>
          </cell>
          <cell r="AO639">
            <v>3</v>
          </cell>
          <cell r="AS639">
            <v>-3</v>
          </cell>
          <cell r="AU639">
            <v>4</v>
          </cell>
          <cell r="AY639">
            <v>-4</v>
          </cell>
          <cell r="BA639">
            <v>5</v>
          </cell>
          <cell r="BE639">
            <v>-5</v>
          </cell>
          <cell r="BG639">
            <v>5</v>
          </cell>
          <cell r="BK639">
            <v>-5</v>
          </cell>
          <cell r="BM639">
            <v>3</v>
          </cell>
          <cell r="BP639">
            <v>3</v>
          </cell>
          <cell r="BW639" t="str">
            <v>Done</v>
          </cell>
          <cell r="BX639">
            <v>45079</v>
          </cell>
          <cell r="BY639" t="str">
            <v>Approved</v>
          </cell>
          <cell r="CD639">
            <v>45126</v>
          </cell>
          <cell r="CE639">
            <v>45160</v>
          </cell>
          <cell r="CG639" t="str">
            <v xml:space="preserve">M/s   SRK Constructions </v>
          </cell>
          <cell r="CI639" t="str">
            <v>Issued</v>
          </cell>
          <cell r="DG639" t="str">
            <v>Netmed SDP - Not in Dead Rental</v>
          </cell>
          <cell r="DK639">
            <v>45201</v>
          </cell>
          <cell r="DM639">
            <v>2</v>
          </cell>
          <cell r="DN639" t="str">
            <v>0 to 3 Days</v>
          </cell>
          <cell r="DP639">
            <v>45163</v>
          </cell>
          <cell r="DQ639">
            <v>45203</v>
          </cell>
          <cell r="DR639">
            <v>7</v>
          </cell>
          <cell r="DS639">
            <v>7</v>
          </cell>
          <cell r="DU639">
            <v>45210</v>
          </cell>
          <cell r="DV639">
            <v>45170</v>
          </cell>
          <cell r="DW639">
            <v>45210</v>
          </cell>
          <cell r="DX639" t="str">
            <v>Oct 23 Week 2</v>
          </cell>
          <cell r="DZ639">
            <v>45215</v>
          </cell>
          <cell r="EA639" t="str">
            <v>Oct 23 Week 3</v>
          </cell>
          <cell r="EB639" t="str">
            <v>Backlog</v>
          </cell>
          <cell r="ED639" t="str">
            <v/>
          </cell>
          <cell r="EE639" t="str">
            <v/>
          </cell>
          <cell r="EF639">
            <v>1</v>
          </cell>
          <cell r="EG639">
            <v>1</v>
          </cell>
          <cell r="FD639">
            <v>5</v>
          </cell>
          <cell r="FE639" t="str">
            <v>4 to 7 Days</v>
          </cell>
          <cell r="FF639">
            <v>45</v>
          </cell>
          <cell r="FG639" t="str">
            <v>31 to 61 Days</v>
          </cell>
          <cell r="FH639" t="str">
            <v>Done</v>
          </cell>
          <cell r="FJ639" t="str">
            <v>NA</v>
          </cell>
          <cell r="FK639">
            <v>45215</v>
          </cell>
          <cell r="FM639" t="str">
            <v/>
          </cell>
          <cell r="GA639">
            <v>45215</v>
          </cell>
          <cell r="GC639">
            <v>45203</v>
          </cell>
          <cell r="GG639" t="str">
            <v>2023-2024</v>
          </cell>
        </row>
        <row r="640">
          <cell r="E640" t="str">
            <v>Gf Sy No 261 3 &amp; 264 1  , Near Avilala , Andhra Bank Colony Near Avilala  , TIRUPATI , 517507</v>
          </cell>
          <cell r="F640" t="str">
            <v>9. EPC Ready</v>
          </cell>
          <cell r="G640" t="str">
            <v>SPAPTIA3835</v>
          </cell>
          <cell r="H640" t="str">
            <v>AP-SM-TIR-3008</v>
          </cell>
          <cell r="I640" t="str">
            <v>T1WR</v>
          </cell>
          <cell r="J640" t="str">
            <v>Q3I3</v>
          </cell>
          <cell r="K640" t="str">
            <v xml:space="preserve">E </v>
          </cell>
          <cell r="L640" t="str">
            <v>JD</v>
          </cell>
          <cell r="M640" t="str">
            <v>EPC Ready</v>
          </cell>
          <cell r="N640" t="str">
            <v>Jaisingh Desai</v>
          </cell>
          <cell r="P640" t="str">
            <v>Mr. Deepti Chandrashekhar</v>
          </cell>
          <cell r="Q640" t="str">
            <v>Gaurav Shinde</v>
          </cell>
          <cell r="S640" t="str">
            <v>Andhra Pradesh</v>
          </cell>
          <cell r="T640" t="str">
            <v>Tirupati</v>
          </cell>
          <cell r="U640" t="str">
            <v>Non Premium</v>
          </cell>
          <cell r="V640" t="str">
            <v>Pharma Format</v>
          </cell>
          <cell r="W640">
            <v>412</v>
          </cell>
          <cell r="X640" t="str">
            <v>Gf Sy No 261 3 &amp; 264 1  , Near Avilala , Andhra Bank Colony Near Avilala  , TIRUPATI , 517507</v>
          </cell>
          <cell r="Y640">
            <v>45124</v>
          </cell>
          <cell r="Z640" t="str">
            <v>NA</v>
          </cell>
          <cell r="AB640" t="str">
            <v>NA</v>
          </cell>
          <cell r="AF640" t="str">
            <v>NA</v>
          </cell>
          <cell r="AK640">
            <v>45143</v>
          </cell>
          <cell r="AL640" t="str">
            <v>Received</v>
          </cell>
          <cell r="AO640">
            <v>3</v>
          </cell>
          <cell r="AS640">
            <v>-3</v>
          </cell>
          <cell r="AU640">
            <v>4</v>
          </cell>
          <cell r="AY640">
            <v>-4</v>
          </cell>
          <cell r="BA640">
            <v>5</v>
          </cell>
          <cell r="BE640">
            <v>-5</v>
          </cell>
          <cell r="BG640">
            <v>5</v>
          </cell>
          <cell r="BK640">
            <v>-5</v>
          </cell>
          <cell r="BM640">
            <v>3</v>
          </cell>
          <cell r="BP640">
            <v>3</v>
          </cell>
          <cell r="BW640" t="str">
            <v>Done</v>
          </cell>
          <cell r="BX640">
            <v>45079</v>
          </cell>
          <cell r="BY640" t="str">
            <v>Approved</v>
          </cell>
          <cell r="CD640">
            <v>45126</v>
          </cell>
          <cell r="CE640">
            <v>45159</v>
          </cell>
          <cell r="CG640" t="str">
            <v>M/s INDIAN COMPUTER CORPORATION    </v>
          </cell>
          <cell r="CI640" t="str">
            <v>Issued</v>
          </cell>
          <cell r="DG640" t="str">
            <v>Netmed SDP - Not in Dead Rental</v>
          </cell>
          <cell r="DK640">
            <v>45173</v>
          </cell>
          <cell r="DM640">
            <v>2</v>
          </cell>
          <cell r="DN640" t="str">
            <v>0 to 3 Days</v>
          </cell>
          <cell r="DP640">
            <v>45162</v>
          </cell>
          <cell r="DQ640">
            <v>45175</v>
          </cell>
          <cell r="DR640">
            <v>7</v>
          </cell>
          <cell r="DS640">
            <v>7</v>
          </cell>
          <cell r="DU640">
            <v>45182</v>
          </cell>
          <cell r="DV640">
            <v>45169</v>
          </cell>
          <cell r="DW640">
            <v>45182</v>
          </cell>
          <cell r="DX640" t="str">
            <v>Sep 23 Week 2</v>
          </cell>
          <cell r="DZ640">
            <v>45186</v>
          </cell>
          <cell r="EA640" t="str">
            <v>Sep 23 Week 3</v>
          </cell>
          <cell r="EB640" t="str">
            <v>Backlog</v>
          </cell>
          <cell r="ED640" t="str">
            <v/>
          </cell>
          <cell r="EE640" t="str">
            <v/>
          </cell>
          <cell r="EF640">
            <v>1</v>
          </cell>
          <cell r="EG640">
            <v>1</v>
          </cell>
          <cell r="FD640">
            <v>4</v>
          </cell>
          <cell r="FE640" t="str">
            <v>4 to 7 Days</v>
          </cell>
          <cell r="FF640">
            <v>17</v>
          </cell>
          <cell r="FG640" t="str">
            <v>16 to 31 Days</v>
          </cell>
          <cell r="FH640" t="str">
            <v>Done</v>
          </cell>
          <cell r="FI640" t="str">
            <v>Done</v>
          </cell>
          <cell r="FJ640" t="str">
            <v>NA</v>
          </cell>
          <cell r="FK640">
            <v>45318</v>
          </cell>
          <cell r="FM640" t="str">
            <v/>
          </cell>
          <cell r="GA640">
            <v>45267</v>
          </cell>
          <cell r="GC640">
            <v>45175</v>
          </cell>
          <cell r="GG640" t="str">
            <v>2023-2024</v>
          </cell>
        </row>
        <row r="641">
          <cell r="E641" t="str">
            <v>SP Pharma SRINIVASAPURAM PROPERTY</v>
          </cell>
          <cell r="F641" t="str">
            <v>11. HOLD</v>
          </cell>
          <cell r="G641" t="str">
            <v>PHCOAS10514</v>
          </cell>
          <cell r="H641" t="str">
            <v>AP-SM-TIR-3005</v>
          </cell>
          <cell r="I641" t="str">
            <v>TW9J</v>
          </cell>
          <cell r="J641" t="str">
            <v>Q7Z9</v>
          </cell>
          <cell r="K641" t="str">
            <v xml:space="preserve">E </v>
          </cell>
          <cell r="L641" t="str">
            <v>JD</v>
          </cell>
          <cell r="M641" t="str">
            <v>HOLD</v>
          </cell>
          <cell r="N641" t="str">
            <v>Jaisingh Desai</v>
          </cell>
          <cell r="P641" t="str">
            <v>Mr. Sudhakar Veerla</v>
          </cell>
          <cell r="Q641" t="str">
            <v>Gaurav Shinde</v>
          </cell>
          <cell r="S641" t="str">
            <v>Andhra Pradesh</v>
          </cell>
          <cell r="T641" t="str">
            <v>Tirupati</v>
          </cell>
          <cell r="U641" t="str">
            <v>Non Premium</v>
          </cell>
          <cell r="V641" t="str">
            <v>Pharma Format</v>
          </cell>
          <cell r="W641">
            <v>395</v>
          </cell>
          <cell r="X641" t="str">
            <v>SP Pharma SRINIVASAPURAM PROPERTY</v>
          </cell>
          <cell r="Y641">
            <v>45167</v>
          </cell>
          <cell r="Z641" t="str">
            <v>NA</v>
          </cell>
          <cell r="AB641" t="str">
            <v>NA</v>
          </cell>
          <cell r="AF641" t="str">
            <v>NA</v>
          </cell>
          <cell r="AK641">
            <v>45183</v>
          </cell>
          <cell r="AL641" t="str">
            <v>Received</v>
          </cell>
          <cell r="AO641">
            <v>3</v>
          </cell>
          <cell r="AS641">
            <v>-3</v>
          </cell>
          <cell r="AU641">
            <v>4</v>
          </cell>
          <cell r="AY641">
            <v>-4</v>
          </cell>
          <cell r="BA641">
            <v>5</v>
          </cell>
          <cell r="BE641">
            <v>-5</v>
          </cell>
          <cell r="BG641">
            <v>5</v>
          </cell>
          <cell r="BK641">
            <v>-5</v>
          </cell>
          <cell r="BM641">
            <v>3</v>
          </cell>
          <cell r="BP641">
            <v>3</v>
          </cell>
          <cell r="BW641" t="str">
            <v>Done</v>
          </cell>
          <cell r="BX641">
            <v>45079</v>
          </cell>
          <cell r="BY641" t="str">
            <v>Approved</v>
          </cell>
          <cell r="CD641">
            <v>45163</v>
          </cell>
          <cell r="CE641">
            <v>45174</v>
          </cell>
          <cell r="CG641" t="str">
            <v xml:space="preserve"> 
M/s Indian Computer Company
</v>
          </cell>
          <cell r="CI641" t="str">
            <v>Issued</v>
          </cell>
          <cell r="DG641" t="str">
            <v>Netmed SDP - Not in Dead Rental</v>
          </cell>
          <cell r="DL641">
            <v>45216</v>
          </cell>
          <cell r="DM641" t="str">
            <v>NA</v>
          </cell>
          <cell r="DN641" t="str">
            <v>NA</v>
          </cell>
          <cell r="DO641" t="str">
            <v>6) LOA Issued Clearance Awaited from Business</v>
          </cell>
          <cell r="DP641">
            <v>-3</v>
          </cell>
          <cell r="DR641">
            <v>7</v>
          </cell>
          <cell r="DS641">
            <v>7</v>
          </cell>
          <cell r="DU641">
            <v>7</v>
          </cell>
          <cell r="DV641">
            <v>4</v>
          </cell>
          <cell r="DW641">
            <v>7</v>
          </cell>
          <cell r="EA641" t="str">
            <v/>
          </cell>
          <cell r="ED641" t="str">
            <v/>
          </cell>
          <cell r="EE641" t="str">
            <v/>
          </cell>
          <cell r="EF641">
            <v>1</v>
          </cell>
          <cell r="FD641">
            <v>46114</v>
          </cell>
          <cell r="FF641">
            <v>46117</v>
          </cell>
          <cell r="FJ641" t="str">
            <v>NA</v>
          </cell>
          <cell r="FM641" t="str">
            <v/>
          </cell>
          <cell r="GG641" t="str">
            <v>2026-2027</v>
          </cell>
        </row>
        <row r="642">
          <cell r="E642" t="str">
            <v>Shop No 1 To 7 Shivalik Residency Fp No  , Road Una , 4 7 48 Near Dayanand Society Gir Gadhada  , Una , 362560</v>
          </cell>
          <cell r="F642" t="str">
            <v>14. Dropped</v>
          </cell>
          <cell r="G642" t="str">
            <v>SPGJSOS3376</v>
          </cell>
          <cell r="H642" t="str">
            <v>GJ-SM-UNA-3000</v>
          </cell>
          <cell r="I642" t="str">
            <v>TACR</v>
          </cell>
          <cell r="J642" t="str">
            <v/>
          </cell>
          <cell r="K642" t="str">
            <v>W</v>
          </cell>
          <cell r="L642" t="str">
            <v>KC</v>
          </cell>
          <cell r="M642" t="str">
            <v>Dropped</v>
          </cell>
          <cell r="Q642" t="str">
            <v>Gaurav Shinde</v>
          </cell>
          <cell r="S642" t="str">
            <v>Gujarat</v>
          </cell>
          <cell r="T642" t="str">
            <v>Una</v>
          </cell>
          <cell r="U642" t="str">
            <v>Non Premium</v>
          </cell>
          <cell r="V642" t="str">
            <v>Pharma Format</v>
          </cell>
          <cell r="W642">
            <v>400</v>
          </cell>
          <cell r="X642" t="str">
            <v>Shop No 1 To 7 Shivalik Residency Fp No  , Road Una , 4 7 48 Near Dayanand Society Gir Gadhada  , Una , 362560</v>
          </cell>
          <cell r="Z642" t="str">
            <v>NA</v>
          </cell>
          <cell r="AB642" t="str">
            <v>NA</v>
          </cell>
          <cell r="AF642" t="str">
            <v>NA</v>
          </cell>
          <cell r="AL642" t="str">
            <v>NA</v>
          </cell>
          <cell r="AO642">
            <v>3</v>
          </cell>
          <cell r="AS642">
            <v>-3</v>
          </cell>
          <cell r="AU642">
            <v>4</v>
          </cell>
          <cell r="AY642">
            <v>-4</v>
          </cell>
          <cell r="BA642">
            <v>5</v>
          </cell>
          <cell r="BE642">
            <v>-5</v>
          </cell>
          <cell r="BG642">
            <v>5</v>
          </cell>
          <cell r="BK642">
            <v>-5</v>
          </cell>
          <cell r="BM642">
            <v>3</v>
          </cell>
          <cell r="BW642" t="str">
            <v>Done</v>
          </cell>
          <cell r="BX642">
            <v>45079</v>
          </cell>
          <cell r="BY642" t="str">
            <v>Approved</v>
          </cell>
          <cell r="DG642" t="str">
            <v>Netmed SDP - Not in Dead Rental</v>
          </cell>
          <cell r="DM642" t="str">
            <v>NA</v>
          </cell>
          <cell r="DN642" t="str">
            <v>NA</v>
          </cell>
          <cell r="DR642">
            <v>7</v>
          </cell>
          <cell r="DS642">
            <v>7</v>
          </cell>
          <cell r="DU642">
            <v>7</v>
          </cell>
          <cell r="DV642">
            <v>7</v>
          </cell>
          <cell r="DW642">
            <v>7</v>
          </cell>
          <cell r="EA642" t="str">
            <v/>
          </cell>
          <cell r="ED642" t="str">
            <v/>
          </cell>
          <cell r="EE642" t="str">
            <v/>
          </cell>
          <cell r="EF642">
            <v>1</v>
          </cell>
          <cell r="FD642">
            <v>46114</v>
          </cell>
          <cell r="FF642">
            <v>46114</v>
          </cell>
          <cell r="FJ642" t="str">
            <v>NA</v>
          </cell>
          <cell r="FM642" t="str">
            <v/>
          </cell>
          <cell r="GG642" t="str">
            <v>2024-2025</v>
          </cell>
        </row>
        <row r="643">
          <cell r="E643" t="str">
            <v>Aiswarya Shopping Complex Parlikad Near  , Highway Wadakkanchery Thrissur , Vyasa College Bus Stop Thrissur Shornur  , WADAKKANCHERY , 680623</v>
          </cell>
          <cell r="F643" t="str">
            <v>9. EPC Ready</v>
          </cell>
          <cell r="G643" t="str">
            <v>SPKLWAA3273</v>
          </cell>
          <cell r="H643" t="str">
            <v>KE-SM-WAY-3000</v>
          </cell>
          <cell r="I643" t="str">
            <v>TZWZ</v>
          </cell>
          <cell r="J643" t="str">
            <v>QDNZ</v>
          </cell>
          <cell r="K643" t="str">
            <v>S</v>
          </cell>
          <cell r="L643" t="str">
            <v>AK</v>
          </cell>
          <cell r="M643" t="str">
            <v>EPC Ready</v>
          </cell>
          <cell r="N643" t="str">
            <v>N Kalyankumar</v>
          </cell>
          <cell r="O643" t="str">
            <v>Jose Loviece</v>
          </cell>
          <cell r="Q643" t="str">
            <v>Gaurav Shinde</v>
          </cell>
          <cell r="S643" t="str">
            <v>Kerala</v>
          </cell>
          <cell r="T643" t="str">
            <v>Vadakkanchery</v>
          </cell>
          <cell r="U643" t="str">
            <v>Non Premium</v>
          </cell>
          <cell r="V643" t="str">
            <v>Pharma Format</v>
          </cell>
          <cell r="W643">
            <v>400</v>
          </cell>
          <cell r="X643" t="str">
            <v>Aiswarya Shopping Complex Parlikad Near  , Highway Wadakkanchery Thrissur , Vyasa College Bus Stop Thrissur Shornur  , WADAKKANCHERY , 680623</v>
          </cell>
          <cell r="Y643">
            <v>45166</v>
          </cell>
          <cell r="Z643" t="str">
            <v>NA</v>
          </cell>
          <cell r="AB643" t="str">
            <v>NA</v>
          </cell>
          <cell r="AF643" t="str">
            <v>NA</v>
          </cell>
          <cell r="AK643">
            <v>45271</v>
          </cell>
          <cell r="AL643" t="str">
            <v>Received</v>
          </cell>
          <cell r="AO643">
            <v>3</v>
          </cell>
          <cell r="AS643">
            <v>-3</v>
          </cell>
          <cell r="AU643">
            <v>4</v>
          </cell>
          <cell r="AY643">
            <v>-4</v>
          </cell>
          <cell r="BA643">
            <v>5</v>
          </cell>
          <cell r="BE643">
            <v>-5</v>
          </cell>
          <cell r="BG643">
            <v>5</v>
          </cell>
          <cell r="BK643">
            <v>-5</v>
          </cell>
          <cell r="BM643">
            <v>3</v>
          </cell>
          <cell r="BW643" t="str">
            <v>Done</v>
          </cell>
          <cell r="BX643">
            <v>45079</v>
          </cell>
          <cell r="BY643" t="str">
            <v>Approved</v>
          </cell>
          <cell r="CD643">
            <v>45163</v>
          </cell>
          <cell r="CE643">
            <v>45273</v>
          </cell>
          <cell r="CG643" t="str">
            <v>M/s. Arselex Engineering</v>
          </cell>
          <cell r="CI643" t="str">
            <v>Issued</v>
          </cell>
          <cell r="DG643" t="str">
            <v>Netmed SDP - Not in Dead Rental</v>
          </cell>
          <cell r="DK643">
            <v>45297</v>
          </cell>
          <cell r="DL643">
            <v>45272</v>
          </cell>
          <cell r="DM643">
            <v>2</v>
          </cell>
          <cell r="DN643" t="str">
            <v>0 to 3 Days</v>
          </cell>
          <cell r="DP643">
            <v>45276</v>
          </cell>
          <cell r="DQ643">
            <v>45299</v>
          </cell>
          <cell r="DR643">
            <v>7</v>
          </cell>
          <cell r="DS643">
            <v>7</v>
          </cell>
          <cell r="DU643">
            <v>45306</v>
          </cell>
          <cell r="DV643">
            <v>45283</v>
          </cell>
          <cell r="DW643">
            <v>45306</v>
          </cell>
          <cell r="DX643" t="str">
            <v>Jan 24 Week 3</v>
          </cell>
          <cell r="DZ643">
            <v>45311</v>
          </cell>
          <cell r="EA643" t="str">
            <v>Jan 24 Week 3</v>
          </cell>
          <cell r="EB643" t="str">
            <v>Backlog</v>
          </cell>
          <cell r="ED643" t="str">
            <v/>
          </cell>
          <cell r="EE643" t="str">
            <v/>
          </cell>
          <cell r="EF643">
            <v>1</v>
          </cell>
          <cell r="EG643">
            <v>1</v>
          </cell>
          <cell r="FD643">
            <v>5</v>
          </cell>
          <cell r="FE643" t="str">
            <v>4 to 7 Days</v>
          </cell>
          <cell r="FF643">
            <v>28</v>
          </cell>
          <cell r="FG643" t="str">
            <v>16 to 31 Days</v>
          </cell>
          <cell r="FH643" t="str">
            <v>Done</v>
          </cell>
          <cell r="FI643" t="str">
            <v>Done</v>
          </cell>
          <cell r="FJ643" t="str">
            <v>NA</v>
          </cell>
          <cell r="FK643">
            <v>45335</v>
          </cell>
          <cell r="FM643" t="str">
            <v/>
          </cell>
          <cell r="GA643">
            <v>45314</v>
          </cell>
          <cell r="GC643">
            <v>45299</v>
          </cell>
          <cell r="GG643" t="str">
            <v>2023-2024</v>
          </cell>
        </row>
        <row r="644">
          <cell r="E644" t="str">
            <v>GF, Unit/Shop No. 4/978/A,B,C &amp; D  , Stop, PO. Vadasserikkara, Pathanamthitta , Universal  Tower,Opp.Vadasserikkara Bus  , Vadasserikkara , 689662</v>
          </cell>
          <cell r="F644" t="str">
            <v>11. HOLD</v>
          </cell>
          <cell r="G644" t="str">
            <v>PHCOAS10516</v>
          </cell>
          <cell r="H644" t="str">
            <v>KE-SM-VSK-3000</v>
          </cell>
          <cell r="I644" t="str">
            <v>TYNR</v>
          </cell>
          <cell r="J644" t="str">
            <v>QBUB</v>
          </cell>
          <cell r="K644" t="str">
            <v>S</v>
          </cell>
          <cell r="L644" t="str">
            <v>AK</v>
          </cell>
          <cell r="M644" t="str">
            <v>NRFC</v>
          </cell>
          <cell r="N644" t="str">
            <v>N Kalyankumar</v>
          </cell>
          <cell r="O644" t="str">
            <v>Jose Loviece</v>
          </cell>
          <cell r="Q644" t="str">
            <v>Gaurav Shinde</v>
          </cell>
          <cell r="S644" t="str">
            <v>Kerala</v>
          </cell>
          <cell r="T644" t="str">
            <v>VADASSERIKKARA</v>
          </cell>
          <cell r="U644" t="str">
            <v>Non Premium</v>
          </cell>
          <cell r="V644" t="str">
            <v>Pharma Format</v>
          </cell>
          <cell r="W644">
            <v>392</v>
          </cell>
          <cell r="X644" t="str">
            <v>GF, Unit/Shop No. 4/978/A,B,C &amp; D  , Stop, PO. Vadasserikkara, Pathanamthitta , Universal  Tower,Opp.Vadasserikkara Bus  , Vadasserikkara , 689662</v>
          </cell>
          <cell r="Z644" t="str">
            <v>NA</v>
          </cell>
          <cell r="AB644" t="str">
            <v>NA</v>
          </cell>
          <cell r="AF644" t="str">
            <v>NA</v>
          </cell>
          <cell r="AK644">
            <v>45152</v>
          </cell>
          <cell r="AL644" t="str">
            <v>Received</v>
          </cell>
          <cell r="AO644">
            <v>3</v>
          </cell>
          <cell r="AS644">
            <v>-3</v>
          </cell>
          <cell r="AU644">
            <v>4</v>
          </cell>
          <cell r="AY644">
            <v>-4</v>
          </cell>
          <cell r="BA644">
            <v>5</v>
          </cell>
          <cell r="BE644">
            <v>-5</v>
          </cell>
          <cell r="BG644">
            <v>5</v>
          </cell>
          <cell r="BK644">
            <v>-5</v>
          </cell>
          <cell r="BM644">
            <v>3</v>
          </cell>
          <cell r="BW644" t="str">
            <v>Done</v>
          </cell>
          <cell r="BX644">
            <v>45079</v>
          </cell>
          <cell r="BY644" t="str">
            <v>Approved</v>
          </cell>
          <cell r="DG644" t="str">
            <v>Netmed SDP - Not in Dead Rental</v>
          </cell>
          <cell r="DM644" t="str">
            <v>NA</v>
          </cell>
          <cell r="DN644" t="str">
            <v>NA</v>
          </cell>
          <cell r="DR644">
            <v>7</v>
          </cell>
          <cell r="DS644">
            <v>7</v>
          </cell>
          <cell r="DU644">
            <v>7</v>
          </cell>
          <cell r="DV644">
            <v>7</v>
          </cell>
          <cell r="DW644">
            <v>7</v>
          </cell>
          <cell r="EA644" t="str">
            <v/>
          </cell>
          <cell r="ED644" t="str">
            <v/>
          </cell>
          <cell r="EE644" t="str">
            <v/>
          </cell>
          <cell r="EF644">
            <v>1</v>
          </cell>
          <cell r="FD644">
            <v>46114</v>
          </cell>
          <cell r="FF644">
            <v>46114</v>
          </cell>
          <cell r="FJ644" t="str">
            <v>NA</v>
          </cell>
          <cell r="FM644" t="str">
            <v/>
          </cell>
          <cell r="GG644" t="str">
            <v>2026-2027</v>
          </cell>
        </row>
        <row r="645">
          <cell r="E645" t="str">
            <v>Premier Tower Opp Moothedam  , Mudikal Po Ernakulam Kerala , Waigh Bridge Nedumthode  , ERNAKULAM , 683547</v>
          </cell>
          <cell r="F645" t="str">
            <v>9. EPC Ready</v>
          </cell>
          <cell r="G645" t="str">
            <v>SPKLERP3309</v>
          </cell>
          <cell r="H645" t="str">
            <v>KE-SM-EAR-3008</v>
          </cell>
          <cell r="I645" t="str">
            <v>TZYQ</v>
          </cell>
          <cell r="J645" t="str">
            <v>QDPQ</v>
          </cell>
          <cell r="K645" t="str">
            <v>S</v>
          </cell>
          <cell r="L645" t="str">
            <v>AK</v>
          </cell>
          <cell r="M645" t="str">
            <v>EPC Ready</v>
          </cell>
          <cell r="N645" t="str">
            <v>N Kalyankumar</v>
          </cell>
          <cell r="O645" t="str">
            <v>Jose Loviece</v>
          </cell>
          <cell r="Q645" t="str">
            <v>Gaurav Shinde</v>
          </cell>
          <cell r="S645" t="str">
            <v>Kerala</v>
          </cell>
          <cell r="T645" t="str">
            <v>Vazhakulam</v>
          </cell>
          <cell r="U645" t="str">
            <v>Non Premium</v>
          </cell>
          <cell r="V645" t="str">
            <v>Pharma Format</v>
          </cell>
          <cell r="W645">
            <v>400</v>
          </cell>
          <cell r="X645" t="str">
            <v>Premier Tower Opp Moothedam  , Mudikal Po Ernakulam Kerala , Waigh Bridge Nedumthode  , ERNAKULAM , 683547</v>
          </cell>
          <cell r="Y645">
            <v>45166</v>
          </cell>
          <cell r="Z645" t="str">
            <v>NA</v>
          </cell>
          <cell r="AB645" t="str">
            <v>NA</v>
          </cell>
          <cell r="AF645" t="str">
            <v>NA</v>
          </cell>
          <cell r="AK645">
            <v>45183</v>
          </cell>
          <cell r="AL645" t="str">
            <v>Received</v>
          </cell>
          <cell r="AO645">
            <v>3</v>
          </cell>
          <cell r="AS645">
            <v>-3</v>
          </cell>
          <cell r="AU645">
            <v>4</v>
          </cell>
          <cell r="AY645">
            <v>-4</v>
          </cell>
          <cell r="BA645">
            <v>5</v>
          </cell>
          <cell r="BE645">
            <v>-5</v>
          </cell>
          <cell r="BG645">
            <v>5</v>
          </cell>
          <cell r="BK645">
            <v>-5</v>
          </cell>
          <cell r="BM645">
            <v>3</v>
          </cell>
          <cell r="BW645" t="str">
            <v>Done</v>
          </cell>
          <cell r="BX645">
            <v>45079</v>
          </cell>
          <cell r="BY645" t="str">
            <v>Approved</v>
          </cell>
          <cell r="CD645">
            <v>45163</v>
          </cell>
          <cell r="CE645">
            <v>45180</v>
          </cell>
          <cell r="CG645" t="str">
            <v>M/s. TVS Supply Chain Solution.</v>
          </cell>
          <cell r="CI645" t="str">
            <v>Issued</v>
          </cell>
          <cell r="DG645" t="str">
            <v>Netmed SDP - Not in Dead Rental</v>
          </cell>
          <cell r="DK645">
            <v>45216</v>
          </cell>
          <cell r="DM645">
            <v>2</v>
          </cell>
          <cell r="DN645" t="str">
            <v>0 to 3 Days</v>
          </cell>
          <cell r="DP645">
            <v>45183</v>
          </cell>
          <cell r="DQ645">
            <v>45218</v>
          </cell>
          <cell r="DR645">
            <v>7</v>
          </cell>
          <cell r="DS645">
            <v>7</v>
          </cell>
          <cell r="DU645">
            <v>45225</v>
          </cell>
          <cell r="DV645">
            <v>45190</v>
          </cell>
          <cell r="DW645">
            <v>45225</v>
          </cell>
          <cell r="DX645" t="str">
            <v>Oct 23 Week 4</v>
          </cell>
          <cell r="DZ645">
            <v>45231</v>
          </cell>
          <cell r="EA645" t="str">
            <v>Nov 23 Week 1</v>
          </cell>
          <cell r="EB645" t="str">
            <v>Backlog</v>
          </cell>
          <cell r="ED645" t="str">
            <v/>
          </cell>
          <cell r="EE645" t="str">
            <v/>
          </cell>
          <cell r="EF645">
            <v>1</v>
          </cell>
          <cell r="EG645">
            <v>1</v>
          </cell>
          <cell r="FD645">
            <v>6</v>
          </cell>
          <cell r="FE645" t="str">
            <v>4 to 7 Days</v>
          </cell>
          <cell r="FF645">
            <v>41</v>
          </cell>
          <cell r="FG645" t="str">
            <v>31 to 61 Days</v>
          </cell>
          <cell r="FH645" t="str">
            <v>Done</v>
          </cell>
          <cell r="FI645" t="str">
            <v>Done</v>
          </cell>
          <cell r="FJ645" t="str">
            <v>NA</v>
          </cell>
          <cell r="FK645">
            <v>45296</v>
          </cell>
          <cell r="FM645" t="str">
            <v/>
          </cell>
          <cell r="GA645">
            <v>45231</v>
          </cell>
          <cell r="GC645">
            <v>45218</v>
          </cell>
          <cell r="GG645" t="str">
            <v>2023-2024</v>
          </cell>
        </row>
        <row r="646">
          <cell r="E646" t="str">
            <v>SP Pharma NRT Road Vinukonda</v>
          </cell>
          <cell r="F646" t="str">
            <v>9. EPC Ready</v>
          </cell>
          <cell r="G646" t="str">
            <v>SPAPVIN4092</v>
          </cell>
          <cell r="H646" t="str">
            <v>AP-SM-VND-3000</v>
          </cell>
          <cell r="I646" t="str">
            <v>TYZN</v>
          </cell>
          <cell r="J646" t="str">
            <v>QB7P</v>
          </cell>
          <cell r="K646" t="str">
            <v xml:space="preserve">E </v>
          </cell>
          <cell r="L646" t="str">
            <v>JD</v>
          </cell>
          <cell r="M646" t="str">
            <v>EPC Ready</v>
          </cell>
          <cell r="N646" t="str">
            <v>Jaisingh Desai</v>
          </cell>
          <cell r="Q646" t="str">
            <v>Gaurav Shinde</v>
          </cell>
          <cell r="S646" t="str">
            <v>Andhra Pradesh</v>
          </cell>
          <cell r="T646" t="str">
            <v>Vinukonda</v>
          </cell>
          <cell r="U646" t="str">
            <v>Non Premium</v>
          </cell>
          <cell r="V646" t="str">
            <v>Pharma Format</v>
          </cell>
          <cell r="W646">
            <v>400</v>
          </cell>
          <cell r="X646" t="str">
            <v>SP Pharma NRT Road Vinukonda</v>
          </cell>
          <cell r="Y646">
            <v>45167</v>
          </cell>
          <cell r="Z646" t="str">
            <v>NA</v>
          </cell>
          <cell r="AB646" t="str">
            <v>NA</v>
          </cell>
          <cell r="AF646" t="str">
            <v>NA</v>
          </cell>
          <cell r="AK646">
            <v>45162</v>
          </cell>
          <cell r="AL646" t="str">
            <v>Received</v>
          </cell>
          <cell r="AO646">
            <v>3</v>
          </cell>
          <cell r="AS646">
            <v>-3</v>
          </cell>
          <cell r="AU646">
            <v>4</v>
          </cell>
          <cell r="AY646">
            <v>-4</v>
          </cell>
          <cell r="BA646">
            <v>5</v>
          </cell>
          <cell r="BE646">
            <v>-5</v>
          </cell>
          <cell r="BG646">
            <v>5</v>
          </cell>
          <cell r="BK646">
            <v>-5</v>
          </cell>
          <cell r="BM646">
            <v>3</v>
          </cell>
          <cell r="BW646" t="str">
            <v>Done</v>
          </cell>
          <cell r="BX646">
            <v>45079</v>
          </cell>
          <cell r="BY646" t="str">
            <v>Approved</v>
          </cell>
          <cell r="CD646">
            <v>45163</v>
          </cell>
          <cell r="CE646">
            <v>45173</v>
          </cell>
          <cell r="CG646" t="str">
            <v>M/s VK Constructions</v>
          </cell>
          <cell r="CI646" t="str">
            <v>Issued</v>
          </cell>
          <cell r="DG646" t="str">
            <v>Netmed SDP - Not in Dead Rental</v>
          </cell>
          <cell r="DK646">
            <v>45235</v>
          </cell>
          <cell r="DL646">
            <v>45205</v>
          </cell>
          <cell r="DM646">
            <v>2</v>
          </cell>
          <cell r="DN646" t="str">
            <v>0 to 3 Days</v>
          </cell>
          <cell r="DP646">
            <v>45176</v>
          </cell>
          <cell r="DQ646">
            <v>45237</v>
          </cell>
          <cell r="DR646">
            <v>7</v>
          </cell>
          <cell r="DS646">
            <v>7</v>
          </cell>
          <cell r="DU646">
            <v>45244</v>
          </cell>
          <cell r="DV646">
            <v>45183</v>
          </cell>
          <cell r="DW646">
            <v>45244</v>
          </cell>
          <cell r="DX646" t="str">
            <v>Nov 23 Week 2</v>
          </cell>
          <cell r="DZ646">
            <v>45239</v>
          </cell>
          <cell r="EA646" t="str">
            <v>Nov 23 Week 2</v>
          </cell>
          <cell r="EB646" t="str">
            <v>Plan</v>
          </cell>
          <cell r="ED646" t="str">
            <v/>
          </cell>
          <cell r="EE646" t="str">
            <v/>
          </cell>
          <cell r="EF646">
            <v>1</v>
          </cell>
          <cell r="EG646">
            <v>1</v>
          </cell>
          <cell r="FD646">
            <v>-5</v>
          </cell>
          <cell r="FE646" t="str">
            <v>On Time</v>
          </cell>
          <cell r="FF646">
            <v>56</v>
          </cell>
          <cell r="FG646" t="str">
            <v>31 to 61 Days</v>
          </cell>
          <cell r="FH646" t="str">
            <v>Done</v>
          </cell>
          <cell r="FI646" t="str">
            <v>Done</v>
          </cell>
          <cell r="FJ646" t="str">
            <v>NA</v>
          </cell>
          <cell r="FK646">
            <v>45457</v>
          </cell>
          <cell r="FM646" t="str">
            <v/>
          </cell>
          <cell r="GA646" t="str">
            <v>22-11-2023
02-12-2023</v>
          </cell>
          <cell r="GC646">
            <v>45224</v>
          </cell>
          <cell r="GG646" t="str">
            <v>2023-2024</v>
          </cell>
        </row>
        <row r="647">
          <cell r="E647" t="str">
            <v>Shop No 19 to 28 Grounf Floor  , Survey No 164 Gokul Town Ships , Gokul Kshitij Co op Housing Society , Agashi Road , thane , 401303</v>
          </cell>
          <cell r="F647" t="str">
            <v>14. Dropped</v>
          </cell>
          <cell r="G647" t="str">
            <v>SPMHMUV1353</v>
          </cell>
          <cell r="H647" t="str">
            <v>MU-SM-GMU-3046</v>
          </cell>
          <cell r="I647" t="str">
            <v>TXIK</v>
          </cell>
          <cell r="J647" t="str">
            <v>Q8OZ</v>
          </cell>
          <cell r="K647" t="str">
            <v>W</v>
          </cell>
          <cell r="L647" t="str">
            <v>KC</v>
          </cell>
          <cell r="M647" t="str">
            <v>Dropped</v>
          </cell>
          <cell r="P647" t="str">
            <v>Diddayal Maurya</v>
          </cell>
          <cell r="Q647" t="str">
            <v>Gaurav Shinde</v>
          </cell>
          <cell r="S647" t="str">
            <v>Maharashtra</v>
          </cell>
          <cell r="T647" t="str">
            <v>Virar</v>
          </cell>
          <cell r="U647" t="str">
            <v>Non Premium</v>
          </cell>
          <cell r="V647" t="str">
            <v>Pharma Format</v>
          </cell>
          <cell r="W647">
            <v>400</v>
          </cell>
          <cell r="X647" t="str">
            <v>Shop No 19 to 28 Grounf Floor  , Survey No 164 Gokul Town Ships , Gokul Kshitij Co op Housing Society , Agashi Road , thane , 401303</v>
          </cell>
          <cell r="Z647" t="str">
            <v>NA</v>
          </cell>
          <cell r="AB647" t="str">
            <v>NA</v>
          </cell>
          <cell r="AF647" t="str">
            <v>NA</v>
          </cell>
          <cell r="AL647" t="str">
            <v>NA</v>
          </cell>
          <cell r="AO647">
            <v>3</v>
          </cell>
          <cell r="AS647">
            <v>-3</v>
          </cell>
          <cell r="AU647">
            <v>4</v>
          </cell>
          <cell r="AY647">
            <v>-4</v>
          </cell>
          <cell r="BA647">
            <v>5</v>
          </cell>
          <cell r="BE647">
            <v>-5</v>
          </cell>
          <cell r="BG647">
            <v>5</v>
          </cell>
          <cell r="BK647">
            <v>-5</v>
          </cell>
          <cell r="BM647">
            <v>3</v>
          </cell>
          <cell r="BW647" t="str">
            <v>Done</v>
          </cell>
          <cell r="BX647">
            <v>45079</v>
          </cell>
          <cell r="BY647" t="str">
            <v>Approved</v>
          </cell>
          <cell r="CD647">
            <v>45103</v>
          </cell>
          <cell r="DG647" t="str">
            <v>Netmed SDP - Not in Dead Rental</v>
          </cell>
          <cell r="DM647" t="str">
            <v>NA</v>
          </cell>
          <cell r="DN647" t="str">
            <v>NA</v>
          </cell>
          <cell r="DR647">
            <v>7</v>
          </cell>
          <cell r="DS647">
            <v>7</v>
          </cell>
          <cell r="DU647">
            <v>7</v>
          </cell>
          <cell r="DV647">
            <v>7</v>
          </cell>
          <cell r="DW647">
            <v>7</v>
          </cell>
          <cell r="EA647" t="str">
            <v/>
          </cell>
          <cell r="ED647" t="str">
            <v/>
          </cell>
          <cell r="EE647" t="str">
            <v/>
          </cell>
          <cell r="FD647">
            <v>46114</v>
          </cell>
          <cell r="FF647">
            <v>46114</v>
          </cell>
          <cell r="FJ647" t="str">
            <v>NA</v>
          </cell>
          <cell r="FM647" t="str">
            <v/>
          </cell>
          <cell r="GG647" t="str">
            <v>2024-2025</v>
          </cell>
        </row>
        <row r="648">
          <cell r="E648" t="str">
            <v>Gopal Reddy Complex Situated At Sy No 51  , Warangal , E Beemaram Hasanparthy Mandal  , WARANGAL , 506015</v>
          </cell>
          <cell r="F648" t="str">
            <v>14. Dropped</v>
          </cell>
          <cell r="G648" t="str">
            <v>SPTSWAB3341</v>
          </cell>
          <cell r="H648" t="str">
            <v>AP-SM-WAR-3003</v>
          </cell>
          <cell r="I648" t="str">
            <v>TZ2T</v>
          </cell>
          <cell r="J648" t="str">
            <v>QEDM</v>
          </cell>
          <cell r="K648" t="str">
            <v xml:space="preserve">E </v>
          </cell>
          <cell r="L648" t="str">
            <v>AK</v>
          </cell>
          <cell r="M648" t="str">
            <v>Dropped</v>
          </cell>
          <cell r="O648" t="str">
            <v>Rajshekhar M</v>
          </cell>
          <cell r="Q648" t="str">
            <v>Gaurav Shinde</v>
          </cell>
          <cell r="S648" t="str">
            <v>Telangana</v>
          </cell>
          <cell r="T648" t="str">
            <v>Warangal</v>
          </cell>
          <cell r="U648" t="str">
            <v>Non Premium</v>
          </cell>
          <cell r="V648" t="str">
            <v>Pharma Format</v>
          </cell>
          <cell r="W648">
            <v>401</v>
          </cell>
          <cell r="X648" t="str">
            <v>Gopal Reddy Complex Situated At Sy No 51  , Warangal , E Beemaram Hasanparthy Mandal  , WARANGAL , 506015</v>
          </cell>
          <cell r="Z648" t="str">
            <v>NA</v>
          </cell>
          <cell r="AB648" t="str">
            <v>NA</v>
          </cell>
          <cell r="AF648" t="str">
            <v>NA</v>
          </cell>
          <cell r="AL648" t="str">
            <v>NA</v>
          </cell>
          <cell r="AO648">
            <v>3</v>
          </cell>
          <cell r="AS648">
            <v>-3</v>
          </cell>
          <cell r="AU648">
            <v>4</v>
          </cell>
          <cell r="AY648">
            <v>-4</v>
          </cell>
          <cell r="BA648">
            <v>5</v>
          </cell>
          <cell r="BE648">
            <v>-5</v>
          </cell>
          <cell r="BG648">
            <v>5</v>
          </cell>
          <cell r="BK648">
            <v>-5</v>
          </cell>
          <cell r="BM648">
            <v>3</v>
          </cell>
          <cell r="BW648" t="str">
            <v>Done</v>
          </cell>
          <cell r="BX648">
            <v>45079</v>
          </cell>
          <cell r="BY648" t="str">
            <v>Approved</v>
          </cell>
          <cell r="DG648" t="str">
            <v>Netmed SDP - Not in Dead Rental</v>
          </cell>
          <cell r="DM648" t="str">
            <v>NA</v>
          </cell>
          <cell r="DN648" t="str">
            <v>NA</v>
          </cell>
          <cell r="DR648">
            <v>7</v>
          </cell>
          <cell r="DS648">
            <v>7</v>
          </cell>
          <cell r="DU648">
            <v>7</v>
          </cell>
          <cell r="DV648">
            <v>7</v>
          </cell>
          <cell r="DW648">
            <v>7</v>
          </cell>
          <cell r="EA648" t="str">
            <v/>
          </cell>
          <cell r="ED648" t="str">
            <v/>
          </cell>
          <cell r="EE648" t="str">
            <v/>
          </cell>
          <cell r="FD648">
            <v>46114</v>
          </cell>
          <cell r="FF648">
            <v>46114</v>
          </cell>
          <cell r="FJ648" t="str">
            <v>NA</v>
          </cell>
          <cell r="FM648" t="str">
            <v/>
          </cell>
          <cell r="GG648" t="str">
            <v>2024-2025</v>
          </cell>
        </row>
        <row r="649">
          <cell r="E649" t="str">
            <v>Srinivas Complex Lingamparthi Main Road  ,  , Besides Apsrtc Bus Stand Yeleswaram  , YELESWARAM , 533429</v>
          </cell>
          <cell r="F649" t="str">
            <v>11. HOLD</v>
          </cell>
          <cell r="G649" t="str">
            <v>PHCOAS10517</v>
          </cell>
          <cell r="H649" t="str">
            <v>AP-SM-YEM-3000</v>
          </cell>
          <cell r="I649" t="str">
            <v>TH2G</v>
          </cell>
          <cell r="J649" t="str">
            <v>Q6KH</v>
          </cell>
          <cell r="K649" t="str">
            <v xml:space="preserve">E </v>
          </cell>
          <cell r="L649" t="str">
            <v>JD</v>
          </cell>
          <cell r="M649" t="str">
            <v>HOLD</v>
          </cell>
          <cell r="N649" t="str">
            <v>Jaisingh Desai</v>
          </cell>
          <cell r="Q649" t="str">
            <v>Gaurav Shinde</v>
          </cell>
          <cell r="S649" t="str">
            <v>Andhra Pradesh</v>
          </cell>
          <cell r="T649" t="str">
            <v>YELESWARAM</v>
          </cell>
          <cell r="U649" t="str">
            <v>Non Premium</v>
          </cell>
          <cell r="V649" t="str">
            <v>Pharma Format</v>
          </cell>
          <cell r="W649">
            <v>400</v>
          </cell>
          <cell r="X649" t="str">
            <v>Srinivas Complex Lingamparthi Main Road  ,  , Besides Apsrtc Bus Stand Yeleswaram  , YELESWARAM , 533429</v>
          </cell>
          <cell r="Z649" t="str">
            <v>NA</v>
          </cell>
          <cell r="AB649" t="str">
            <v>NA</v>
          </cell>
          <cell r="AF649" t="str">
            <v>NA</v>
          </cell>
          <cell r="AK649">
            <v>45163</v>
          </cell>
          <cell r="AL649" t="str">
            <v>Received</v>
          </cell>
          <cell r="AO649">
            <v>3</v>
          </cell>
          <cell r="AS649">
            <v>-3</v>
          </cell>
          <cell r="AU649">
            <v>4</v>
          </cell>
          <cell r="AY649">
            <v>-4</v>
          </cell>
          <cell r="BA649">
            <v>5</v>
          </cell>
          <cell r="BE649">
            <v>-5</v>
          </cell>
          <cell r="BG649">
            <v>5</v>
          </cell>
          <cell r="BK649">
            <v>-5</v>
          </cell>
          <cell r="BM649">
            <v>3</v>
          </cell>
          <cell r="BW649" t="str">
            <v>Done</v>
          </cell>
          <cell r="BX649">
            <v>45079</v>
          </cell>
          <cell r="BY649" t="str">
            <v>Approved</v>
          </cell>
          <cell r="DG649" t="str">
            <v>Netmed SDP - Not in Dead Rental</v>
          </cell>
          <cell r="DM649" t="str">
            <v>NA</v>
          </cell>
          <cell r="DN649" t="str">
            <v>NA</v>
          </cell>
          <cell r="DR649">
            <v>7</v>
          </cell>
          <cell r="DS649">
            <v>7</v>
          </cell>
          <cell r="DU649">
            <v>7</v>
          </cell>
          <cell r="DV649">
            <v>7</v>
          </cell>
          <cell r="DW649">
            <v>7</v>
          </cell>
          <cell r="EA649" t="str">
            <v/>
          </cell>
          <cell r="ED649" t="str">
            <v/>
          </cell>
          <cell r="EE649" t="str">
            <v/>
          </cell>
          <cell r="FD649">
            <v>46114</v>
          </cell>
          <cell r="FF649">
            <v>46114</v>
          </cell>
          <cell r="FJ649" t="str">
            <v>NA</v>
          </cell>
          <cell r="FM649" t="str">
            <v/>
          </cell>
          <cell r="GG649" t="str">
            <v>2026-2027</v>
          </cell>
        </row>
        <row r="650">
          <cell r="E650" t="str">
            <v xml:space="preserve">ShreeNidhi Gallary- Tandalja, Vadodara, Gujarat </v>
          </cell>
          <cell r="F650" t="str">
            <v>9. EPC Ready</v>
          </cell>
          <cell r="G650" t="str">
            <v>NetW112</v>
          </cell>
          <cell r="J650" t="str">
            <v>QIKK</v>
          </cell>
          <cell r="K650" t="str">
            <v>W</v>
          </cell>
          <cell r="L650" t="str">
            <v>BK</v>
          </cell>
          <cell r="N650" t="str">
            <v>Mrudang Shah</v>
          </cell>
          <cell r="O650" t="str">
            <v>Samir Shah</v>
          </cell>
          <cell r="Q650" t="str">
            <v>Gaurav Shinde</v>
          </cell>
          <cell r="S650" t="str">
            <v>Gujarat</v>
          </cell>
          <cell r="T650" t="str">
            <v>Vadodara</v>
          </cell>
          <cell r="U650" t="str">
            <v>Non Premium</v>
          </cell>
          <cell r="V650" t="str">
            <v>Pharma Format</v>
          </cell>
          <cell r="W650">
            <v>1220</v>
          </cell>
          <cell r="X650" t="str">
            <v xml:space="preserve">ShreeNidhi Gallary- Tandalja, Vadodara, Gujarat </v>
          </cell>
          <cell r="Z650" t="str">
            <v>Done</v>
          </cell>
          <cell r="AB650">
            <v>44827</v>
          </cell>
          <cell r="AF650" t="str">
            <v>Done</v>
          </cell>
          <cell r="AG650">
            <v>1289</v>
          </cell>
          <cell r="AL650" t="str">
            <v>Received</v>
          </cell>
          <cell r="AO650">
            <v>3</v>
          </cell>
          <cell r="AS650">
            <v>-3</v>
          </cell>
          <cell r="AU650">
            <v>4</v>
          </cell>
          <cell r="AY650">
            <v>-4</v>
          </cell>
          <cell r="BA650">
            <v>5</v>
          </cell>
          <cell r="BE650">
            <v>-5</v>
          </cell>
          <cell r="BG650">
            <v>5</v>
          </cell>
          <cell r="BK650">
            <v>-5</v>
          </cell>
          <cell r="BM650">
            <v>3</v>
          </cell>
          <cell r="BP650">
            <v>3</v>
          </cell>
          <cell r="BW650" t="str">
            <v>Done</v>
          </cell>
          <cell r="BY650" t="str">
            <v>Approved</v>
          </cell>
          <cell r="CD650">
            <v>44918</v>
          </cell>
          <cell r="CE650">
            <v>44797</v>
          </cell>
          <cell r="CI650" t="str">
            <v>Issued</v>
          </cell>
          <cell r="DE650">
            <v>90</v>
          </cell>
          <cell r="DF650">
            <v>44985</v>
          </cell>
          <cell r="DG650" t="str">
            <v>Under Dead Rent</v>
          </cell>
          <cell r="DK650">
            <v>44895</v>
          </cell>
          <cell r="DM650">
            <v>189</v>
          </cell>
          <cell r="DN650" t="str">
            <v>&gt; 30 Days</v>
          </cell>
          <cell r="DP650">
            <v>45080</v>
          </cell>
          <cell r="DQ650">
            <v>45084</v>
          </cell>
          <cell r="DR650">
            <v>15</v>
          </cell>
          <cell r="DS650">
            <v>30</v>
          </cell>
          <cell r="DU650">
            <v>45099</v>
          </cell>
          <cell r="DV650">
            <v>45110</v>
          </cell>
          <cell r="DW650">
            <v>45099</v>
          </cell>
          <cell r="DX650" t="str">
            <v>June 23 Week 4</v>
          </cell>
          <cell r="DY650" t="str">
            <v xml:space="preserve">30-06-2023
03-07-2023
05-07-2023
15-07-2023
17-07-2023
22-07-2023
24-07-23
</v>
          </cell>
          <cell r="DZ650">
            <v>45131</v>
          </cell>
          <cell r="EA650" t="str">
            <v>July 23 Week 4</v>
          </cell>
          <cell r="EB650" t="str">
            <v>Backlog</v>
          </cell>
          <cell r="ED650" t="str">
            <v/>
          </cell>
          <cell r="EE650" t="str">
            <v/>
          </cell>
          <cell r="EF650">
            <v>1</v>
          </cell>
          <cell r="EG650">
            <v>0.95</v>
          </cell>
          <cell r="EH650" t="str">
            <v xml:space="preserve">1)HVAC-SSB to be submitted by Zone
              2)  C&amp;I SSB Validation to be validated from NHQ
              3) Fixture Matcodes Rate Maintain-Procurement Team
                4) ODU Structural steel Platform drg. to be released by structural design team
</v>
          </cell>
          <cell r="FD650">
            <v>32</v>
          </cell>
          <cell r="FE650" t="str">
            <v>31 to 61 Days</v>
          </cell>
          <cell r="FF650">
            <v>36</v>
          </cell>
          <cell r="FG650" t="str">
            <v>31 to 61 Days</v>
          </cell>
          <cell r="FH650" t="str">
            <v>Done</v>
          </cell>
          <cell r="FI650" t="str">
            <v>Done</v>
          </cell>
          <cell r="FJ650" t="str">
            <v>NA</v>
          </cell>
          <cell r="FK650">
            <v>45307</v>
          </cell>
          <cell r="FM650" t="str">
            <v/>
          </cell>
          <cell r="GG650" t="str">
            <v>2023-2024</v>
          </cell>
        </row>
        <row r="651">
          <cell r="E651" t="str">
            <v>Banomalipur,Barasaat</v>
          </cell>
          <cell r="F651" t="str">
            <v>11. HOLD</v>
          </cell>
          <cell r="J651" t="str">
            <v/>
          </cell>
          <cell r="K651" t="str">
            <v xml:space="preserve">E </v>
          </cell>
          <cell r="L651" t="str">
            <v>SD</v>
          </cell>
          <cell r="N651" t="str">
            <v>Debal Chatterjee</v>
          </cell>
          <cell r="O651" t="str">
            <v>Sandeepta Gayen (INCLUDE SIKKIM)</v>
          </cell>
          <cell r="Q651" t="str">
            <v>Gaurav Shinde</v>
          </cell>
          <cell r="S651" t="str">
            <v>West Bengal</v>
          </cell>
          <cell r="T651" t="str">
            <v>Barasaat</v>
          </cell>
          <cell r="U651" t="str">
            <v>Non Premium</v>
          </cell>
          <cell r="V651" t="str">
            <v>Pharma Format</v>
          </cell>
          <cell r="W651">
            <v>800</v>
          </cell>
          <cell r="X651" t="str">
            <v>Banomalipur,Barasaat</v>
          </cell>
          <cell r="AB651" t="str">
            <v>Site not ready for SDR</v>
          </cell>
          <cell r="AO651">
            <v>3</v>
          </cell>
          <cell r="AS651">
            <v>-3</v>
          </cell>
          <cell r="AU651">
            <v>4</v>
          </cell>
          <cell r="AY651">
            <v>-4</v>
          </cell>
          <cell r="BA651">
            <v>5</v>
          </cell>
          <cell r="BE651">
            <v>-5</v>
          </cell>
          <cell r="BG651">
            <v>5</v>
          </cell>
          <cell r="BK651">
            <v>-5</v>
          </cell>
          <cell r="BM651">
            <v>3</v>
          </cell>
          <cell r="BP651">
            <v>3</v>
          </cell>
          <cell r="DG651" t="str">
            <v/>
          </cell>
          <cell r="DM651">
            <v>46121</v>
          </cell>
          <cell r="DR651">
            <v>15</v>
          </cell>
          <cell r="DS651">
            <v>30</v>
          </cell>
          <cell r="DU651">
            <v>15</v>
          </cell>
          <cell r="DV651">
            <v>30</v>
          </cell>
          <cell r="DW651">
            <v>15</v>
          </cell>
          <cell r="EA651" t="str">
            <v/>
          </cell>
          <cell r="ED651" t="str">
            <v/>
          </cell>
          <cell r="EE651" t="str">
            <v/>
          </cell>
          <cell r="FD651">
            <v>46106</v>
          </cell>
          <cell r="FF651">
            <v>46106</v>
          </cell>
          <cell r="FJ651" t="str">
            <v>NA</v>
          </cell>
          <cell r="FM651" t="str">
            <v/>
          </cell>
          <cell r="GG651" t="str">
            <v>2026-2027</v>
          </cell>
        </row>
        <row r="652">
          <cell r="E652" t="str">
            <v>Anand Patil Property – BIET Collage Rd – Davanagere</v>
          </cell>
          <cell r="F652" t="str">
            <v>11. HOLD</v>
          </cell>
          <cell r="G652" t="str">
            <v>NETMAS10546</v>
          </cell>
          <cell r="I652" t="str">
            <v>T41D</v>
          </cell>
          <cell r="J652" t="str">
            <v>QHTT</v>
          </cell>
          <cell r="K652" t="str">
            <v>S</v>
          </cell>
          <cell r="L652" t="str">
            <v>AS</v>
          </cell>
          <cell r="N652" t="str">
            <v>Santosh48 Kumar/
Sreevinoth T</v>
          </cell>
          <cell r="O652" t="str">
            <v>Santosh48 Kumar</v>
          </cell>
          <cell r="Q652" t="str">
            <v>Gaurav Shinde</v>
          </cell>
          <cell r="S652" t="str">
            <v>Karnataka</v>
          </cell>
          <cell r="T652" t="str">
            <v>Bengalluru</v>
          </cell>
          <cell r="U652" t="str">
            <v>Non Premium</v>
          </cell>
          <cell r="V652" t="str">
            <v>Pharma Format</v>
          </cell>
          <cell r="W652">
            <v>1560</v>
          </cell>
          <cell r="X652" t="str">
            <v>Anand Patil Property – BIET Collage Rd – Davanagere</v>
          </cell>
          <cell r="AB652">
            <v>44777</v>
          </cell>
          <cell r="AF652" t="str">
            <v>Done</v>
          </cell>
          <cell r="AG652">
            <v>1339</v>
          </cell>
          <cell r="AL652" t="str">
            <v>Received</v>
          </cell>
          <cell r="AO652">
            <v>3</v>
          </cell>
          <cell r="AS652">
            <v>-3</v>
          </cell>
          <cell r="AU652">
            <v>4</v>
          </cell>
          <cell r="AY652">
            <v>-4</v>
          </cell>
          <cell r="BA652">
            <v>5</v>
          </cell>
          <cell r="BE652">
            <v>-5</v>
          </cell>
          <cell r="BG652">
            <v>5</v>
          </cell>
          <cell r="BK652">
            <v>-5</v>
          </cell>
          <cell r="BM652">
            <v>3</v>
          </cell>
          <cell r="BP652">
            <v>3</v>
          </cell>
          <cell r="BW652" t="str">
            <v>Done</v>
          </cell>
          <cell r="BY652" t="str">
            <v>Not Approved</v>
          </cell>
          <cell r="CI652" t="str">
            <v>Pending-On hold due to budget approval pending</v>
          </cell>
          <cell r="DA652" t="str">
            <v>NA</v>
          </cell>
          <cell r="DB652" t="str">
            <v>NA</v>
          </cell>
          <cell r="DC652" t="str">
            <v>NA</v>
          </cell>
          <cell r="DE652">
            <v>60</v>
          </cell>
          <cell r="DF652">
            <v>44936</v>
          </cell>
          <cell r="DG652" t="str">
            <v>Under Dead Rent</v>
          </cell>
          <cell r="DK652">
            <v>44876</v>
          </cell>
          <cell r="DM652">
            <v>1245</v>
          </cell>
          <cell r="DO652" t="str">
            <v>5) Budget Approval Awaited</v>
          </cell>
          <cell r="DP652">
            <v>44879</v>
          </cell>
          <cell r="DR652">
            <v>15</v>
          </cell>
          <cell r="DS652">
            <v>30</v>
          </cell>
          <cell r="DU652">
            <v>15</v>
          </cell>
          <cell r="DV652">
            <v>44909</v>
          </cell>
          <cell r="DW652">
            <v>15</v>
          </cell>
          <cell r="EA652" t="str">
            <v/>
          </cell>
          <cell r="ED652" t="str">
            <v/>
          </cell>
          <cell r="EE652" t="str">
            <v/>
          </cell>
          <cell r="EF652">
            <v>1</v>
          </cell>
          <cell r="FD652">
            <v>46106</v>
          </cell>
          <cell r="FF652">
            <v>1227</v>
          </cell>
          <cell r="FJ652" t="str">
            <v>NA</v>
          </cell>
          <cell r="FM652" t="str">
            <v/>
          </cell>
          <cell r="GG652" t="str">
            <v>2026-2027</v>
          </cell>
        </row>
        <row r="653">
          <cell r="E653" t="str">
            <v>Sathyanarayan property - RR Nagar</v>
          </cell>
          <cell r="F653" t="str">
            <v>11. HOLD</v>
          </cell>
          <cell r="G653" t="str">
            <v>NETMAS10547</v>
          </cell>
          <cell r="I653" t="str">
            <v>T70I</v>
          </cell>
          <cell r="J653" t="str">
            <v/>
          </cell>
          <cell r="K653" t="str">
            <v>S</v>
          </cell>
          <cell r="L653" t="str">
            <v>AS</v>
          </cell>
          <cell r="N653" t="str">
            <v>Santosh48 Kumar/
Sreevinoth T</v>
          </cell>
          <cell r="O653" t="str">
            <v>Santosh48 Kumar</v>
          </cell>
          <cell r="Q653" t="str">
            <v>Gaurav Shinde</v>
          </cell>
          <cell r="S653" t="str">
            <v>Karnataka</v>
          </cell>
          <cell r="T653" t="str">
            <v>Bengalluru</v>
          </cell>
          <cell r="U653" t="str">
            <v>Non Premium</v>
          </cell>
          <cell r="V653" t="str">
            <v>Pharma Format</v>
          </cell>
          <cell r="W653">
            <v>770</v>
          </cell>
          <cell r="X653" t="str">
            <v>Sathyanarayan property - RR Nagar</v>
          </cell>
          <cell r="AB653">
            <v>44838</v>
          </cell>
          <cell r="AF653" t="str">
            <v>Done</v>
          </cell>
          <cell r="AG653">
            <v>1278</v>
          </cell>
          <cell r="AL653" t="str">
            <v>Received</v>
          </cell>
          <cell r="AO653">
            <v>3</v>
          </cell>
          <cell r="AS653">
            <v>-3</v>
          </cell>
          <cell r="AU653">
            <v>4</v>
          </cell>
          <cell r="AY653">
            <v>-4</v>
          </cell>
          <cell r="BA653">
            <v>5</v>
          </cell>
          <cell r="BE653">
            <v>-5</v>
          </cell>
          <cell r="BG653">
            <v>5</v>
          </cell>
          <cell r="BK653">
            <v>-5</v>
          </cell>
          <cell r="BM653">
            <v>3</v>
          </cell>
          <cell r="BP653">
            <v>3</v>
          </cell>
          <cell r="CD653">
            <v>44888</v>
          </cell>
          <cell r="DA653" t="str">
            <v>NA</v>
          </cell>
          <cell r="DB653" t="str">
            <v>NA</v>
          </cell>
          <cell r="DC653" t="str">
            <v>NA</v>
          </cell>
          <cell r="DE653">
            <v>60</v>
          </cell>
          <cell r="DF653">
            <v>44932</v>
          </cell>
          <cell r="DG653" t="str">
            <v>Under Dead Rent</v>
          </cell>
          <cell r="DK653">
            <v>44872</v>
          </cell>
          <cell r="DM653">
            <v>1249</v>
          </cell>
          <cell r="DP653">
            <v>44875</v>
          </cell>
          <cell r="DR653">
            <v>15</v>
          </cell>
          <cell r="DS653">
            <v>30</v>
          </cell>
          <cell r="DU653">
            <v>15</v>
          </cell>
          <cell r="DV653">
            <v>44905</v>
          </cell>
          <cell r="DW653">
            <v>15</v>
          </cell>
          <cell r="EA653" t="str">
            <v/>
          </cell>
          <cell r="ED653" t="str">
            <v/>
          </cell>
          <cell r="EE653" t="str">
            <v/>
          </cell>
          <cell r="EF653">
            <v>1</v>
          </cell>
          <cell r="FD653">
            <v>46106</v>
          </cell>
          <cell r="FF653">
            <v>1231</v>
          </cell>
          <cell r="FJ653" t="str">
            <v>NA</v>
          </cell>
          <cell r="FM653" t="str">
            <v/>
          </cell>
          <cell r="GG653" t="str">
            <v>2026-2027</v>
          </cell>
        </row>
        <row r="654">
          <cell r="E654" t="str">
            <v>VI Store &amp; Om Dhababa</v>
          </cell>
          <cell r="F654" t="str">
            <v>11. HOLD</v>
          </cell>
          <cell r="J654" t="str">
            <v/>
          </cell>
          <cell r="K654" t="str">
            <v xml:space="preserve">N </v>
          </cell>
          <cell r="L654" t="str">
            <v>RT</v>
          </cell>
          <cell r="N654" t="str">
            <v>Mrinal Kulkarni</v>
          </cell>
          <cell r="Q654" t="str">
            <v>Gaurav Shinde</v>
          </cell>
          <cell r="S654" t="str">
            <v>Delhi</v>
          </cell>
          <cell r="T654" t="str">
            <v>Delhi</v>
          </cell>
          <cell r="U654" t="str">
            <v>Non Premium</v>
          </cell>
          <cell r="V654" t="str">
            <v>Pharma Format</v>
          </cell>
          <cell r="W654">
            <v>650</v>
          </cell>
          <cell r="X654" t="str">
            <v>VI Store &amp; Om Dhababa</v>
          </cell>
          <cell r="AB654" t="str">
            <v>SDR Callout Awaited</v>
          </cell>
          <cell r="AO654">
            <v>3</v>
          </cell>
          <cell r="AS654">
            <v>-3</v>
          </cell>
          <cell r="AU654">
            <v>4</v>
          </cell>
          <cell r="AY654">
            <v>-4</v>
          </cell>
          <cell r="BA654">
            <v>5</v>
          </cell>
          <cell r="BE654">
            <v>-5</v>
          </cell>
          <cell r="BG654">
            <v>5</v>
          </cell>
          <cell r="BK654">
            <v>-5</v>
          </cell>
          <cell r="BM654">
            <v>3</v>
          </cell>
          <cell r="BP654">
            <v>3</v>
          </cell>
          <cell r="DG654" t="str">
            <v/>
          </cell>
          <cell r="DM654">
            <v>46121</v>
          </cell>
          <cell r="DR654">
            <v>15</v>
          </cell>
          <cell r="DS654">
            <v>30</v>
          </cell>
          <cell r="DU654">
            <v>15</v>
          </cell>
          <cell r="DV654">
            <v>30</v>
          </cell>
          <cell r="DW654">
            <v>15</v>
          </cell>
          <cell r="EA654" t="str">
            <v/>
          </cell>
          <cell r="ED654" t="str">
            <v/>
          </cell>
          <cell r="EE654" t="str">
            <v/>
          </cell>
          <cell r="EF654">
            <v>1</v>
          </cell>
          <cell r="FD654">
            <v>46106</v>
          </cell>
          <cell r="FF654">
            <v>46106</v>
          </cell>
          <cell r="FJ654" t="str">
            <v>NA</v>
          </cell>
          <cell r="FM654" t="str">
            <v/>
          </cell>
          <cell r="GG654" t="str">
            <v>2026-2027</v>
          </cell>
        </row>
        <row r="655">
          <cell r="E655" t="str">
            <v>Arun Kumar -NO 10/2 9th Cross Jp nagar 1st phase Bangalore 560078</v>
          </cell>
          <cell r="F655" t="str">
            <v>11. HOLD</v>
          </cell>
          <cell r="G655" t="str">
            <v>NETMAS10548</v>
          </cell>
          <cell r="I655" t="str">
            <v>T1G1</v>
          </cell>
          <cell r="J655" t="str">
            <v>Q3T2</v>
          </cell>
          <cell r="K655" t="str">
            <v>S</v>
          </cell>
          <cell r="L655" t="str">
            <v>AS</v>
          </cell>
          <cell r="N655" t="str">
            <v>Santosh48 Kumar/
Sreevinoth T</v>
          </cell>
          <cell r="O655" t="str">
            <v>Santosh48 Kumar</v>
          </cell>
          <cell r="Q655" t="str">
            <v>Gaurav Shinde</v>
          </cell>
          <cell r="S655" t="str">
            <v>Karnataka</v>
          </cell>
          <cell r="U655" t="str">
            <v>Non Premium</v>
          </cell>
          <cell r="V655" t="str">
            <v>Pharma Format</v>
          </cell>
          <cell r="W655">
            <v>1400</v>
          </cell>
          <cell r="X655" t="str">
            <v>Arun Kumar -NO 10/2 9th Cross Jp nagar 1st phase Bangalore 560078</v>
          </cell>
          <cell r="AB655">
            <v>44795</v>
          </cell>
          <cell r="AF655" t="str">
            <v xml:space="preserve"> Done</v>
          </cell>
          <cell r="AG655">
            <v>1321</v>
          </cell>
          <cell r="AL655" t="str">
            <v>Received</v>
          </cell>
          <cell r="AO655">
            <v>3</v>
          </cell>
          <cell r="AS655">
            <v>-3</v>
          </cell>
          <cell r="AU655">
            <v>4</v>
          </cell>
          <cell r="AY655">
            <v>-4</v>
          </cell>
          <cell r="BA655">
            <v>5</v>
          </cell>
          <cell r="BE655">
            <v>-5</v>
          </cell>
          <cell r="BG655">
            <v>5</v>
          </cell>
          <cell r="BK655">
            <v>-5</v>
          </cell>
          <cell r="BM655">
            <v>3</v>
          </cell>
          <cell r="BP655">
            <v>3</v>
          </cell>
          <cell r="BW655" t="str">
            <v>Done</v>
          </cell>
          <cell r="BY655" t="str">
            <v>Not Approved</v>
          </cell>
          <cell r="CD655">
            <v>44862</v>
          </cell>
          <cell r="CE655">
            <v>44876</v>
          </cell>
          <cell r="CI655" t="str">
            <v>Issued</v>
          </cell>
          <cell r="DA655" t="str">
            <v>NA</v>
          </cell>
          <cell r="DB655" t="str">
            <v>NA</v>
          </cell>
          <cell r="DC655" t="str">
            <v>NA</v>
          </cell>
          <cell r="DE655">
            <v>60</v>
          </cell>
          <cell r="DF655">
            <v>44865</v>
          </cell>
          <cell r="DG655" t="str">
            <v>Under Dead Rent</v>
          </cell>
          <cell r="DK655">
            <v>44805</v>
          </cell>
          <cell r="DM655">
            <v>1316</v>
          </cell>
          <cell r="DO655" t="str">
            <v>5) Budget Approval Awaited</v>
          </cell>
          <cell r="DP655">
            <v>44808</v>
          </cell>
          <cell r="DR655">
            <v>15</v>
          </cell>
          <cell r="DS655">
            <v>30</v>
          </cell>
          <cell r="DU655">
            <v>15</v>
          </cell>
          <cell r="DV655">
            <v>44838</v>
          </cell>
          <cell r="DW655">
            <v>15</v>
          </cell>
          <cell r="EA655" t="str">
            <v/>
          </cell>
          <cell r="ED655" t="str">
            <v/>
          </cell>
          <cell r="EE655" t="str">
            <v/>
          </cell>
          <cell r="EF655">
            <v>1</v>
          </cell>
          <cell r="FD655">
            <v>46106</v>
          </cell>
          <cell r="FF655">
            <v>1298</v>
          </cell>
          <cell r="FJ655" t="str">
            <v>NA</v>
          </cell>
          <cell r="FM655" t="str">
            <v/>
          </cell>
          <cell r="GG655" t="str">
            <v>2026-2027</v>
          </cell>
        </row>
        <row r="656">
          <cell r="E656" t="str">
            <v>Mr.Jahir Hussain &amp; Others, No.1-B, Srinivasa Nagar, 1st Main Road, Srinivasa Nagar, Kolathur, Chennai  - 600 099</v>
          </cell>
          <cell r="F656" t="str">
            <v>11. HOLD</v>
          </cell>
          <cell r="G656" t="str">
            <v>NETMAS10520</v>
          </cell>
          <cell r="J656" t="str">
            <v>QH1F</v>
          </cell>
          <cell r="K656" t="str">
            <v>S</v>
          </cell>
          <cell r="L656" t="str">
            <v>AS</v>
          </cell>
          <cell r="N656" t="str">
            <v>Sreevinoth T</v>
          </cell>
          <cell r="O656" t="str">
            <v>Senthil M</v>
          </cell>
          <cell r="Q656" t="str">
            <v>Gaurav Shinde</v>
          </cell>
          <cell r="S656" t="str">
            <v>Tamil Nadu</v>
          </cell>
          <cell r="T656" t="str">
            <v>Chennai</v>
          </cell>
          <cell r="U656" t="str">
            <v>Non Premium</v>
          </cell>
          <cell r="V656" t="str">
            <v>Pharma Format</v>
          </cell>
          <cell r="W656">
            <v>1031</v>
          </cell>
          <cell r="X656" t="str">
            <v>Mr.Jahir Hussain &amp; Others, No.1-B, Srinivasa Nagar, 1st Main Road, Srinivasa Nagar, Kolathur, Chennai  - 600 099</v>
          </cell>
          <cell r="AB656">
            <v>44717</v>
          </cell>
          <cell r="AF656" t="str">
            <v xml:space="preserve"> Done</v>
          </cell>
          <cell r="AG656">
            <v>1399</v>
          </cell>
          <cell r="AL656" t="str">
            <v>NA</v>
          </cell>
          <cell r="AO656">
            <v>3</v>
          </cell>
          <cell r="AS656">
            <v>-3</v>
          </cell>
          <cell r="AU656">
            <v>4</v>
          </cell>
          <cell r="AY656">
            <v>-4</v>
          </cell>
          <cell r="BA656">
            <v>5</v>
          </cell>
          <cell r="BE656">
            <v>-5</v>
          </cell>
          <cell r="BG656">
            <v>5</v>
          </cell>
          <cell r="BK656">
            <v>-5</v>
          </cell>
          <cell r="BM656">
            <v>3</v>
          </cell>
          <cell r="BP656">
            <v>3</v>
          </cell>
          <cell r="BW656" t="str">
            <v>Done</v>
          </cell>
          <cell r="BY656" t="str">
            <v>Approved</v>
          </cell>
          <cell r="CD656">
            <v>44840</v>
          </cell>
          <cell r="CE656">
            <v>44840</v>
          </cell>
          <cell r="CI656" t="str">
            <v>Issued</v>
          </cell>
          <cell r="DG656" t="str">
            <v/>
          </cell>
          <cell r="DM656">
            <v>46121</v>
          </cell>
          <cell r="DP656" t="str">
            <v>Zone</v>
          </cell>
          <cell r="DR656">
            <v>15</v>
          </cell>
          <cell r="DS656">
            <v>30</v>
          </cell>
          <cell r="DU656">
            <v>15</v>
          </cell>
          <cell r="DW656">
            <v>15</v>
          </cell>
          <cell r="EA656" t="str">
            <v/>
          </cell>
          <cell r="ED656" t="str">
            <v/>
          </cell>
          <cell r="EE656" t="str">
            <v/>
          </cell>
          <cell r="EF656">
            <v>1</v>
          </cell>
          <cell r="FD656">
            <v>46106</v>
          </cell>
          <cell r="FJ656" t="str">
            <v>NA</v>
          </cell>
          <cell r="FM656" t="str">
            <v/>
          </cell>
          <cell r="GG656" t="str">
            <v>2026-2027</v>
          </cell>
        </row>
        <row r="657">
          <cell r="E657" t="str">
            <v>SBS Colony</v>
          </cell>
          <cell r="F657" t="str">
            <v>11. HOLD</v>
          </cell>
          <cell r="J657" t="str">
            <v/>
          </cell>
          <cell r="K657" t="str">
            <v>S</v>
          </cell>
          <cell r="L657" t="str">
            <v>AS</v>
          </cell>
          <cell r="N657" t="str">
            <v>Sreevinoth T</v>
          </cell>
          <cell r="O657" t="str">
            <v>Senthil M</v>
          </cell>
          <cell r="Q657" t="str">
            <v>Gaurav Shinde</v>
          </cell>
          <cell r="S657" t="str">
            <v>Tamil Nadu</v>
          </cell>
          <cell r="T657" t="str">
            <v>Chennai</v>
          </cell>
          <cell r="U657" t="str">
            <v>Non Premium</v>
          </cell>
          <cell r="V657" t="str">
            <v>Pharma Format</v>
          </cell>
          <cell r="W657">
            <v>850</v>
          </cell>
          <cell r="X657" t="str">
            <v>SBS Colony</v>
          </cell>
          <cell r="AB657">
            <v>44717</v>
          </cell>
          <cell r="AF657" t="str">
            <v>Done</v>
          </cell>
          <cell r="AG657">
            <v>1399</v>
          </cell>
          <cell r="AO657">
            <v>3</v>
          </cell>
          <cell r="AS657">
            <v>-3</v>
          </cell>
          <cell r="AU657">
            <v>4</v>
          </cell>
          <cell r="AY657">
            <v>-4</v>
          </cell>
          <cell r="BA657">
            <v>5</v>
          </cell>
          <cell r="BE657">
            <v>-5</v>
          </cell>
          <cell r="BG657">
            <v>5</v>
          </cell>
          <cell r="BK657">
            <v>-5</v>
          </cell>
          <cell r="BM657">
            <v>3</v>
          </cell>
          <cell r="BP657">
            <v>3</v>
          </cell>
          <cell r="CD657">
            <v>44869</v>
          </cell>
          <cell r="DG657" t="str">
            <v/>
          </cell>
          <cell r="DM657">
            <v>46121</v>
          </cell>
          <cell r="DR657">
            <v>15</v>
          </cell>
          <cell r="DS657">
            <v>30</v>
          </cell>
          <cell r="DU657">
            <v>15</v>
          </cell>
          <cell r="DV657">
            <v>30</v>
          </cell>
          <cell r="DW657">
            <v>15</v>
          </cell>
          <cell r="EA657" t="str">
            <v/>
          </cell>
          <cell r="ED657" t="str">
            <v/>
          </cell>
          <cell r="EE657" t="str">
            <v/>
          </cell>
          <cell r="EF657">
            <v>1</v>
          </cell>
          <cell r="FD657">
            <v>46106</v>
          </cell>
          <cell r="FF657">
            <v>46106</v>
          </cell>
          <cell r="FJ657" t="str">
            <v>NA</v>
          </cell>
          <cell r="FM657" t="str">
            <v/>
          </cell>
          <cell r="GG657" t="str">
            <v>2026-2027</v>
          </cell>
        </row>
        <row r="658">
          <cell r="E658" t="str">
            <v>Arunbakkam</v>
          </cell>
          <cell r="F658" t="str">
            <v>11. HOLD</v>
          </cell>
          <cell r="J658" t="str">
            <v/>
          </cell>
          <cell r="K658" t="str">
            <v>S</v>
          </cell>
          <cell r="L658" t="str">
            <v>AS</v>
          </cell>
          <cell r="N658" t="str">
            <v>Sreevinoth T</v>
          </cell>
          <cell r="O658" t="str">
            <v>Senthil M</v>
          </cell>
          <cell r="Q658" t="str">
            <v>Gaurav Shinde</v>
          </cell>
          <cell r="S658" t="str">
            <v>Tamil Nadu</v>
          </cell>
          <cell r="T658" t="str">
            <v>Chennai</v>
          </cell>
          <cell r="U658" t="str">
            <v>Non Premium</v>
          </cell>
          <cell r="V658" t="str">
            <v>Pharma Format</v>
          </cell>
          <cell r="W658">
            <v>1255</v>
          </cell>
          <cell r="X658" t="str">
            <v>Arunbakkam</v>
          </cell>
          <cell r="AB658">
            <v>44907</v>
          </cell>
          <cell r="AF658" t="str">
            <v>Done</v>
          </cell>
          <cell r="AG658">
            <v>1209</v>
          </cell>
          <cell r="AO658">
            <v>3</v>
          </cell>
          <cell r="AS658">
            <v>-3</v>
          </cell>
          <cell r="AU658">
            <v>4</v>
          </cell>
          <cell r="AY658">
            <v>-4</v>
          </cell>
          <cell r="BA658">
            <v>5</v>
          </cell>
          <cell r="BE658">
            <v>-5</v>
          </cell>
          <cell r="BG658">
            <v>5</v>
          </cell>
          <cell r="BK658">
            <v>-5</v>
          </cell>
          <cell r="BM658">
            <v>3</v>
          </cell>
          <cell r="BP658">
            <v>3</v>
          </cell>
          <cell r="DG658" t="str">
            <v/>
          </cell>
          <cell r="DM658">
            <v>46121</v>
          </cell>
          <cell r="DR658">
            <v>15</v>
          </cell>
          <cell r="DS658">
            <v>30</v>
          </cell>
          <cell r="DU658">
            <v>15</v>
          </cell>
          <cell r="DV658">
            <v>30</v>
          </cell>
          <cell r="DW658">
            <v>15</v>
          </cell>
          <cell r="EA658" t="str">
            <v/>
          </cell>
          <cell r="ED658" t="str">
            <v/>
          </cell>
          <cell r="EE658" t="str">
            <v/>
          </cell>
          <cell r="EF658">
            <v>1</v>
          </cell>
          <cell r="FD658">
            <v>46106</v>
          </cell>
          <cell r="FF658">
            <v>46106</v>
          </cell>
          <cell r="FJ658" t="str">
            <v>NA</v>
          </cell>
          <cell r="FM658" t="str">
            <v/>
          </cell>
          <cell r="GG658" t="str">
            <v>2026-2027</v>
          </cell>
        </row>
        <row r="659">
          <cell r="E659" t="str">
            <v>Grace business park, sola road,ahmedabad</v>
          </cell>
          <cell r="F659" t="str">
            <v>11. HOLD</v>
          </cell>
          <cell r="G659" t="str">
            <v>NETMBK10549</v>
          </cell>
          <cell r="I659" t="str">
            <v>T41Q</v>
          </cell>
          <cell r="J659" t="str">
            <v>QIJJ</v>
          </cell>
          <cell r="K659" t="str">
            <v>W</v>
          </cell>
          <cell r="L659" t="str">
            <v>BK</v>
          </cell>
          <cell r="N659" t="str">
            <v>Mrudang Shah</v>
          </cell>
          <cell r="O659" t="str">
            <v>Samir Shah</v>
          </cell>
          <cell r="Q659" t="str">
            <v>Gaurav Shinde</v>
          </cell>
          <cell r="S659" t="str">
            <v>Gujarat</v>
          </cell>
          <cell r="T659" t="str">
            <v>Ahmedabad</v>
          </cell>
          <cell r="U659" t="str">
            <v>Non Premium</v>
          </cell>
          <cell r="V659" t="str">
            <v>Pharma Format</v>
          </cell>
          <cell r="W659">
            <v>970</v>
          </cell>
          <cell r="X659" t="str">
            <v>Grace business park, sola road,ahmedabad</v>
          </cell>
          <cell r="AB659">
            <v>44833</v>
          </cell>
          <cell r="AF659" t="str">
            <v>Done</v>
          </cell>
          <cell r="AG659">
            <v>1283</v>
          </cell>
          <cell r="AL659" t="str">
            <v>Received</v>
          </cell>
          <cell r="AO659">
            <v>3</v>
          </cell>
          <cell r="AS659">
            <v>-3</v>
          </cell>
          <cell r="AU659">
            <v>4</v>
          </cell>
          <cell r="AY659">
            <v>-4</v>
          </cell>
          <cell r="BA659">
            <v>5</v>
          </cell>
          <cell r="BE659">
            <v>-5</v>
          </cell>
          <cell r="BG659">
            <v>5</v>
          </cell>
          <cell r="BK659">
            <v>-5</v>
          </cell>
          <cell r="BM659">
            <v>3</v>
          </cell>
          <cell r="BP659">
            <v>3</v>
          </cell>
          <cell r="BW659" t="str">
            <v>Done</v>
          </cell>
          <cell r="BY659" t="str">
            <v>Not Approved</v>
          </cell>
          <cell r="CD659">
            <v>44910</v>
          </cell>
          <cell r="CI659" t="str">
            <v>Pending-On hold due to budget approval pending</v>
          </cell>
          <cell r="DA659" t="str">
            <v>NA</v>
          </cell>
          <cell r="DB659" t="str">
            <v>NA</v>
          </cell>
          <cell r="DC659" t="str">
            <v>NA</v>
          </cell>
          <cell r="DE659">
            <v>90</v>
          </cell>
          <cell r="DF659">
            <v>44958</v>
          </cell>
          <cell r="DG659" t="str">
            <v>Under Dead Rent</v>
          </cell>
          <cell r="DK659">
            <v>44868</v>
          </cell>
          <cell r="DM659">
            <v>1253</v>
          </cell>
          <cell r="DO659" t="str">
            <v>5) Budget Approval Awaited</v>
          </cell>
          <cell r="DP659">
            <v>44871</v>
          </cell>
          <cell r="DR659">
            <v>15</v>
          </cell>
          <cell r="DS659">
            <v>30</v>
          </cell>
          <cell r="DU659">
            <v>15</v>
          </cell>
          <cell r="DV659">
            <v>44901</v>
          </cell>
          <cell r="DW659">
            <v>15</v>
          </cell>
          <cell r="EA659" t="str">
            <v/>
          </cell>
          <cell r="ED659" t="str">
            <v/>
          </cell>
          <cell r="EE659" t="str">
            <v/>
          </cell>
          <cell r="EF659">
            <v>1</v>
          </cell>
          <cell r="FD659">
            <v>46106</v>
          </cell>
          <cell r="FF659">
            <v>1235</v>
          </cell>
          <cell r="FJ659" t="str">
            <v>NA</v>
          </cell>
          <cell r="FM659" t="str">
            <v/>
          </cell>
          <cell r="GG659" t="str">
            <v>2026-2027</v>
          </cell>
        </row>
        <row r="660">
          <cell r="E660" t="str">
            <v>Neelsidhi Amrante, Roadpali ,Kalamboli,Navi Mumbai</v>
          </cell>
          <cell r="F660" t="str">
            <v>11. HOLD</v>
          </cell>
          <cell r="G660" t="str">
            <v>NETMBK10550</v>
          </cell>
          <cell r="J660" t="str">
            <v/>
          </cell>
          <cell r="K660" t="str">
            <v>W</v>
          </cell>
          <cell r="L660" t="str">
            <v>BK</v>
          </cell>
          <cell r="N660" t="str">
            <v>Shashi Pardeshi</v>
          </cell>
          <cell r="O660" t="str">
            <v>Ashish M</v>
          </cell>
          <cell r="Q660" t="str">
            <v>Gaurav Shinde</v>
          </cell>
          <cell r="S660" t="str">
            <v>Maharashtra</v>
          </cell>
          <cell r="T660" t="str">
            <v>Navi Mumbai</v>
          </cell>
          <cell r="U660" t="str">
            <v>Non Premium</v>
          </cell>
          <cell r="V660" t="str">
            <v>Pharma Format</v>
          </cell>
          <cell r="W660">
            <v>750</v>
          </cell>
          <cell r="X660" t="str">
            <v>Neelsidhi Amrante, Roadpali ,Kalamboli,Navi Mumbai</v>
          </cell>
          <cell r="AB660">
            <v>44875</v>
          </cell>
          <cell r="AF660" t="str">
            <v>Done</v>
          </cell>
          <cell r="AG660">
            <v>1241</v>
          </cell>
          <cell r="AL660" t="str">
            <v>Received</v>
          </cell>
          <cell r="AO660">
            <v>3</v>
          </cell>
          <cell r="AS660">
            <v>-3</v>
          </cell>
          <cell r="AU660">
            <v>4</v>
          </cell>
          <cell r="AY660">
            <v>-4</v>
          </cell>
          <cell r="BA660">
            <v>5</v>
          </cell>
          <cell r="BE660">
            <v>-5</v>
          </cell>
          <cell r="BG660">
            <v>5</v>
          </cell>
          <cell r="BK660">
            <v>-5</v>
          </cell>
          <cell r="BM660">
            <v>3</v>
          </cell>
          <cell r="BP660">
            <v>3</v>
          </cell>
          <cell r="BW660" t="str">
            <v>Done</v>
          </cell>
          <cell r="BY660" t="str">
            <v>Not Approved</v>
          </cell>
          <cell r="CD660">
            <v>44935</v>
          </cell>
          <cell r="CI660" t="str">
            <v>Pending-On hold due to budget approval pending</v>
          </cell>
          <cell r="DA660" t="str">
            <v>NA</v>
          </cell>
          <cell r="DB660" t="str">
            <v>NA</v>
          </cell>
          <cell r="DC660" t="str">
            <v>NA</v>
          </cell>
          <cell r="DE660">
            <v>60</v>
          </cell>
          <cell r="DF660">
            <v>44975</v>
          </cell>
          <cell r="DG660" t="str">
            <v>Under Dead Rent</v>
          </cell>
          <cell r="DK660">
            <v>44915</v>
          </cell>
          <cell r="DM660">
            <v>1206</v>
          </cell>
          <cell r="DO660" t="str">
            <v>5) Budget Approval Awaited</v>
          </cell>
          <cell r="DP660">
            <v>44918</v>
          </cell>
          <cell r="DR660">
            <v>15</v>
          </cell>
          <cell r="DS660">
            <v>30</v>
          </cell>
          <cell r="DU660">
            <v>15</v>
          </cell>
          <cell r="DV660">
            <v>44948</v>
          </cell>
          <cell r="DW660">
            <v>15</v>
          </cell>
          <cell r="EA660" t="str">
            <v/>
          </cell>
          <cell r="ED660" t="str">
            <v/>
          </cell>
          <cell r="EE660" t="str">
            <v/>
          </cell>
          <cell r="EF660">
            <v>1</v>
          </cell>
          <cell r="FD660">
            <v>46106</v>
          </cell>
          <cell r="FF660">
            <v>1188</v>
          </cell>
          <cell r="FJ660" t="str">
            <v>NA</v>
          </cell>
          <cell r="FM660" t="str">
            <v/>
          </cell>
          <cell r="GG660" t="str">
            <v>2026-2027</v>
          </cell>
        </row>
        <row r="661">
          <cell r="E661" t="str">
            <v xml:space="preserve">Ganraya Krupa Bldg - Next to Wellness Pharmacy, Katrap, Badlapur </v>
          </cell>
          <cell r="F661" t="str">
            <v>11. HOLD</v>
          </cell>
          <cell r="G661" t="str">
            <v>NETMBK10551</v>
          </cell>
          <cell r="I661" t="str">
            <v>T89S</v>
          </cell>
          <cell r="J661" t="str">
            <v/>
          </cell>
          <cell r="K661" t="str">
            <v>W</v>
          </cell>
          <cell r="L661" t="str">
            <v>BK</v>
          </cell>
          <cell r="N661" t="str">
            <v>Shashi Pardeshi</v>
          </cell>
          <cell r="O661" t="str">
            <v>Ashish M</v>
          </cell>
          <cell r="Q661" t="str">
            <v>Gaurav Shinde</v>
          </cell>
          <cell r="S661" t="str">
            <v>Maharashtra</v>
          </cell>
          <cell r="T661" t="str">
            <v>Thane</v>
          </cell>
          <cell r="U661" t="str">
            <v>Non Premium</v>
          </cell>
          <cell r="V661" t="str">
            <v>Pharma Format</v>
          </cell>
          <cell r="W661">
            <v>895</v>
          </cell>
          <cell r="X661" t="str">
            <v xml:space="preserve">Ganraya Krupa Bldg - Next to Wellness Pharmacy, Katrap, Badlapur </v>
          </cell>
          <cell r="AB661">
            <v>44847</v>
          </cell>
          <cell r="AF661" t="str">
            <v>Done</v>
          </cell>
          <cell r="AG661">
            <v>1269</v>
          </cell>
          <cell r="AL661" t="str">
            <v>Received</v>
          </cell>
          <cell r="AO661">
            <v>3</v>
          </cell>
          <cell r="AS661">
            <v>-3</v>
          </cell>
          <cell r="AU661">
            <v>4</v>
          </cell>
          <cell r="AY661">
            <v>-4</v>
          </cell>
          <cell r="BA661">
            <v>5</v>
          </cell>
          <cell r="BE661">
            <v>-5</v>
          </cell>
          <cell r="BG661">
            <v>5</v>
          </cell>
          <cell r="BK661">
            <v>-5</v>
          </cell>
          <cell r="BM661">
            <v>3</v>
          </cell>
          <cell r="BP661">
            <v>3</v>
          </cell>
          <cell r="BW661" t="str">
            <v>Done</v>
          </cell>
          <cell r="BY661" t="str">
            <v>Not Approved</v>
          </cell>
          <cell r="CD661">
            <v>44911</v>
          </cell>
          <cell r="CI661" t="str">
            <v>Pending-On hold due to budget approval pending</v>
          </cell>
          <cell r="DA661" t="str">
            <v>NA</v>
          </cell>
          <cell r="DB661" t="str">
            <v>NA</v>
          </cell>
          <cell r="DC661" t="str">
            <v>NA</v>
          </cell>
          <cell r="DE661">
            <v>75</v>
          </cell>
          <cell r="DF661">
            <v>44984</v>
          </cell>
          <cell r="DG661" t="str">
            <v>Under Dead Rent</v>
          </cell>
          <cell r="DK661">
            <v>44909</v>
          </cell>
          <cell r="DM661">
            <v>1212</v>
          </cell>
          <cell r="DO661" t="str">
            <v>5) Budget Approval Awaited</v>
          </cell>
          <cell r="DP661">
            <v>44912</v>
          </cell>
          <cell r="DR661">
            <v>15</v>
          </cell>
          <cell r="DS661">
            <v>30</v>
          </cell>
          <cell r="DU661">
            <v>15</v>
          </cell>
          <cell r="DV661">
            <v>44942</v>
          </cell>
          <cell r="DW661">
            <v>15</v>
          </cell>
          <cell r="EA661" t="str">
            <v/>
          </cell>
          <cell r="ED661" t="str">
            <v/>
          </cell>
          <cell r="EE661" t="str">
            <v/>
          </cell>
          <cell r="EF661">
            <v>1</v>
          </cell>
          <cell r="FD661">
            <v>46106</v>
          </cell>
          <cell r="FF661">
            <v>1194</v>
          </cell>
          <cell r="FJ661" t="str">
            <v>NA</v>
          </cell>
          <cell r="FM661" t="str">
            <v/>
          </cell>
          <cell r="GG661" t="str">
            <v>2026-2027</v>
          </cell>
        </row>
        <row r="662">
          <cell r="E662" t="str">
            <v>Reliance Mansi Office-Vastrapura</v>
          </cell>
          <cell r="F662" t="str">
            <v>11. HOLD</v>
          </cell>
          <cell r="J662" t="str">
            <v/>
          </cell>
          <cell r="K662" t="str">
            <v>W</v>
          </cell>
          <cell r="L662" t="str">
            <v>BK</v>
          </cell>
          <cell r="N662" t="str">
            <v>Mrudang Shah</v>
          </cell>
          <cell r="O662" t="str">
            <v>Samir Shah</v>
          </cell>
          <cell r="Q662" t="str">
            <v>Gaurav Shinde</v>
          </cell>
          <cell r="S662" t="str">
            <v>Gujarat</v>
          </cell>
          <cell r="T662" t="str">
            <v>Ahmedabad</v>
          </cell>
          <cell r="U662" t="str">
            <v>Non Premium</v>
          </cell>
          <cell r="V662" t="str">
            <v>Pharma Format</v>
          </cell>
          <cell r="W662">
            <v>870</v>
          </cell>
          <cell r="X662" t="str">
            <v>Reliance Mansi Office-Vastrapura</v>
          </cell>
          <cell r="AB662">
            <v>44879</v>
          </cell>
          <cell r="AF662" t="str">
            <v>Done</v>
          </cell>
          <cell r="AG662">
            <v>1237</v>
          </cell>
          <cell r="AO662">
            <v>3</v>
          </cell>
          <cell r="AS662">
            <v>-3</v>
          </cell>
          <cell r="AU662">
            <v>4</v>
          </cell>
          <cell r="AY662">
            <v>-4</v>
          </cell>
          <cell r="BA662">
            <v>5</v>
          </cell>
          <cell r="BE662">
            <v>-5</v>
          </cell>
          <cell r="BG662">
            <v>5</v>
          </cell>
          <cell r="BK662">
            <v>-5</v>
          </cell>
          <cell r="BM662">
            <v>3</v>
          </cell>
          <cell r="BP662">
            <v>3</v>
          </cell>
          <cell r="DG662" t="str">
            <v/>
          </cell>
          <cell r="DM662">
            <v>46121</v>
          </cell>
          <cell r="DR662">
            <v>15</v>
          </cell>
          <cell r="DS662">
            <v>30</v>
          </cell>
          <cell r="DU662">
            <v>15</v>
          </cell>
          <cell r="DV662">
            <v>30</v>
          </cell>
          <cell r="DW662">
            <v>15</v>
          </cell>
          <cell r="EA662" t="str">
            <v/>
          </cell>
          <cell r="ED662" t="str">
            <v/>
          </cell>
          <cell r="EE662" t="str">
            <v/>
          </cell>
          <cell r="EF662">
            <v>1</v>
          </cell>
          <cell r="FD662">
            <v>46106</v>
          </cell>
          <cell r="FF662">
            <v>46106</v>
          </cell>
          <cell r="FJ662" t="str">
            <v>NA</v>
          </cell>
          <cell r="FM662" t="str">
            <v/>
          </cell>
          <cell r="GG662" t="str">
            <v>2026-2027</v>
          </cell>
        </row>
        <row r="663">
          <cell r="E663" t="str">
            <v xml:space="preserve">JWD, Bandra Kurla Complex, Bandra </v>
          </cell>
          <cell r="F663" t="str">
            <v>11. HOLD</v>
          </cell>
          <cell r="J663" t="str">
            <v>QCPE</v>
          </cell>
          <cell r="K663" t="str">
            <v>W</v>
          </cell>
          <cell r="L663" t="str">
            <v>BK</v>
          </cell>
          <cell r="N663" t="str">
            <v>Shashi Pardeshi</v>
          </cell>
          <cell r="O663" t="str">
            <v>Ashish M</v>
          </cell>
          <cell r="Q663" t="str">
            <v>Gaurav Shinde</v>
          </cell>
          <cell r="S663" t="str">
            <v>Maharashtra</v>
          </cell>
          <cell r="T663" t="str">
            <v>Mumbai</v>
          </cell>
          <cell r="U663" t="str">
            <v>Non Premium</v>
          </cell>
          <cell r="V663" t="str">
            <v>Pharma Format</v>
          </cell>
          <cell r="W663">
            <v>500</v>
          </cell>
          <cell r="X663" t="str">
            <v xml:space="preserve">JWD, Bandra Kurla Complex, Bandra </v>
          </cell>
          <cell r="AG663" t="str">
            <v/>
          </cell>
          <cell r="AO663">
            <v>3</v>
          </cell>
          <cell r="AS663">
            <v>-3</v>
          </cell>
          <cell r="AU663">
            <v>4</v>
          </cell>
          <cell r="AY663">
            <v>-4</v>
          </cell>
          <cell r="BA663">
            <v>5</v>
          </cell>
          <cell r="BE663">
            <v>-5</v>
          </cell>
          <cell r="BG663">
            <v>5</v>
          </cell>
          <cell r="BK663">
            <v>-5</v>
          </cell>
          <cell r="BM663">
            <v>3</v>
          </cell>
          <cell r="BP663">
            <v>3</v>
          </cell>
          <cell r="CE663" t="str">
            <v>Pending</v>
          </cell>
          <cell r="CI663" t="str">
            <v>Issued</v>
          </cell>
          <cell r="DG663" t="str">
            <v/>
          </cell>
          <cell r="DM663">
            <v>44883</v>
          </cell>
          <cell r="DP663" t="str">
            <v>Business</v>
          </cell>
          <cell r="DQ663">
            <v>44883</v>
          </cell>
          <cell r="DR663">
            <v>15</v>
          </cell>
          <cell r="DS663">
            <v>30</v>
          </cell>
          <cell r="DU663">
            <v>44898</v>
          </cell>
          <cell r="DW663">
            <v>44898</v>
          </cell>
          <cell r="EA663" t="str">
            <v/>
          </cell>
          <cell r="ED663" t="str">
            <v/>
          </cell>
          <cell r="EE663" t="str">
            <v/>
          </cell>
          <cell r="EF663">
            <v>1</v>
          </cell>
          <cell r="FD663">
            <v>1223</v>
          </cell>
          <cell r="FJ663" t="str">
            <v>NA</v>
          </cell>
          <cell r="FM663" t="str">
            <v/>
          </cell>
          <cell r="GG663" t="str">
            <v>2026-2027</v>
          </cell>
        </row>
        <row r="664">
          <cell r="E664" t="str">
            <v xml:space="preserve"> Arina Phase – 1-Mira Road Thane</v>
          </cell>
          <cell r="F664" t="str">
            <v>11. HOLD</v>
          </cell>
          <cell r="J664" t="str">
            <v/>
          </cell>
          <cell r="K664" t="str">
            <v>W</v>
          </cell>
          <cell r="L664" t="str">
            <v>BK</v>
          </cell>
          <cell r="N664" t="str">
            <v>Shashi Pardeshi</v>
          </cell>
          <cell r="O664" t="str">
            <v>Ashish M</v>
          </cell>
          <cell r="Q664" t="str">
            <v>Gaurav Shinde</v>
          </cell>
          <cell r="S664" t="str">
            <v>Maharashtra</v>
          </cell>
          <cell r="T664" t="str">
            <v>Mumbai</v>
          </cell>
          <cell r="U664" t="str">
            <v>Non Premium</v>
          </cell>
          <cell r="V664" t="str">
            <v>Pharma Format</v>
          </cell>
          <cell r="W664">
            <v>600</v>
          </cell>
          <cell r="X664" t="str">
            <v xml:space="preserve"> Arina Phase – 1-Mira Road Thane</v>
          </cell>
          <cell r="AB664" t="str">
            <v>SDR Callout Awaited</v>
          </cell>
          <cell r="AO664">
            <v>3</v>
          </cell>
          <cell r="AS664">
            <v>-3</v>
          </cell>
          <cell r="AU664">
            <v>4</v>
          </cell>
          <cell r="AY664">
            <v>-4</v>
          </cell>
          <cell r="BA664">
            <v>5</v>
          </cell>
          <cell r="BE664">
            <v>-5</v>
          </cell>
          <cell r="BG664">
            <v>5</v>
          </cell>
          <cell r="BK664">
            <v>-5</v>
          </cell>
          <cell r="BM664">
            <v>3</v>
          </cell>
          <cell r="BP664">
            <v>3</v>
          </cell>
          <cell r="DG664" t="str">
            <v/>
          </cell>
          <cell r="DM664">
            <v>46121</v>
          </cell>
          <cell r="DR664">
            <v>15</v>
          </cell>
          <cell r="DS664">
            <v>30</v>
          </cell>
          <cell r="DU664">
            <v>15</v>
          </cell>
          <cell r="DV664">
            <v>30</v>
          </cell>
          <cell r="DW664">
            <v>15</v>
          </cell>
          <cell r="EA664" t="str">
            <v/>
          </cell>
          <cell r="ED664" t="str">
            <v/>
          </cell>
          <cell r="EE664" t="str">
            <v/>
          </cell>
          <cell r="EF664">
            <v>1</v>
          </cell>
          <cell r="FD664">
            <v>46106</v>
          </cell>
          <cell r="FF664">
            <v>46106</v>
          </cell>
          <cell r="FJ664" t="str">
            <v>NA</v>
          </cell>
          <cell r="FM664" t="str">
            <v/>
          </cell>
          <cell r="GG664" t="str">
            <v>2026-2027</v>
          </cell>
        </row>
        <row r="665">
          <cell r="E665" t="str">
            <v>HN Hospital, Girgaon, Mumbai</v>
          </cell>
          <cell r="F665" t="str">
            <v>11. HOLD</v>
          </cell>
          <cell r="J665" t="str">
            <v/>
          </cell>
          <cell r="K665" t="str">
            <v>W</v>
          </cell>
          <cell r="L665" t="str">
            <v>BK</v>
          </cell>
          <cell r="N665" t="str">
            <v>Shashi Pardeshi</v>
          </cell>
          <cell r="O665" t="str">
            <v>Ashish M</v>
          </cell>
          <cell r="Q665" t="str">
            <v>Gaurav Shinde</v>
          </cell>
          <cell r="S665" t="str">
            <v>Maharashtra</v>
          </cell>
          <cell r="T665" t="str">
            <v>Mumbai</v>
          </cell>
          <cell r="U665" t="str">
            <v>Non Premium</v>
          </cell>
          <cell r="V665" t="str">
            <v>Pharma Format</v>
          </cell>
          <cell r="W665">
            <v>1093</v>
          </cell>
          <cell r="X665" t="str">
            <v>HN Hospital, Girgaon, Mumbai</v>
          </cell>
          <cell r="AB665">
            <v>44914</v>
          </cell>
          <cell r="AF665" t="str">
            <v>Done</v>
          </cell>
          <cell r="AG665">
            <v>1202</v>
          </cell>
          <cell r="AO665">
            <v>3</v>
          </cell>
          <cell r="AS665">
            <v>-3</v>
          </cell>
          <cell r="AU665">
            <v>4</v>
          </cell>
          <cell r="AY665">
            <v>-4</v>
          </cell>
          <cell r="BA665">
            <v>5</v>
          </cell>
          <cell r="BE665">
            <v>-5</v>
          </cell>
          <cell r="BG665">
            <v>5</v>
          </cell>
          <cell r="BK665">
            <v>-5</v>
          </cell>
          <cell r="BM665">
            <v>3</v>
          </cell>
          <cell r="BP665">
            <v>3</v>
          </cell>
          <cell r="DG665" t="str">
            <v/>
          </cell>
          <cell r="DM665">
            <v>46121</v>
          </cell>
          <cell r="DR665">
            <v>15</v>
          </cell>
          <cell r="DS665">
            <v>30</v>
          </cell>
          <cell r="DU665">
            <v>15</v>
          </cell>
          <cell r="DV665">
            <v>30</v>
          </cell>
          <cell r="DW665">
            <v>15</v>
          </cell>
          <cell r="EA665" t="str">
            <v/>
          </cell>
          <cell r="ED665" t="str">
            <v/>
          </cell>
          <cell r="EE665" t="str">
            <v/>
          </cell>
          <cell r="EF665">
            <v>1</v>
          </cell>
          <cell r="FD665">
            <v>46106</v>
          </cell>
          <cell r="FF665">
            <v>46106</v>
          </cell>
          <cell r="FJ665" t="str">
            <v>NA</v>
          </cell>
          <cell r="FM665" t="str">
            <v/>
          </cell>
          <cell r="GG665" t="str">
            <v>2026-2027</v>
          </cell>
        </row>
        <row r="666">
          <cell r="E666" t="str">
            <v>Varachcha Mall-SIS Store</v>
          </cell>
          <cell r="F666" t="str">
            <v>14. Dropped</v>
          </cell>
          <cell r="J666" t="str">
            <v/>
          </cell>
          <cell r="K666" t="str">
            <v>W</v>
          </cell>
          <cell r="L666" t="str">
            <v>BK</v>
          </cell>
          <cell r="N666" t="str">
            <v>Mrudang Shah</v>
          </cell>
          <cell r="O666" t="str">
            <v>Samir Shah</v>
          </cell>
          <cell r="Q666" t="str">
            <v>Gaurav Shinde</v>
          </cell>
          <cell r="S666" t="str">
            <v>Gujarat</v>
          </cell>
          <cell r="T666" t="str">
            <v>Surat</v>
          </cell>
          <cell r="U666" t="str">
            <v>Non Premium</v>
          </cell>
          <cell r="V666" t="str">
            <v>Pharma Format</v>
          </cell>
          <cell r="W666">
            <v>206</v>
          </cell>
          <cell r="X666" t="str">
            <v>Varachcha Mall-SIS Store</v>
          </cell>
          <cell r="AB666">
            <v>44883</v>
          </cell>
          <cell r="AF666" t="str">
            <v>Done</v>
          </cell>
          <cell r="AG666">
            <v>1233</v>
          </cell>
          <cell r="AL666" t="str">
            <v>NA</v>
          </cell>
          <cell r="AO666">
            <v>3</v>
          </cell>
          <cell r="AS666">
            <v>-3</v>
          </cell>
          <cell r="AU666">
            <v>4</v>
          </cell>
          <cell r="AY666">
            <v>-4</v>
          </cell>
          <cell r="BA666">
            <v>5</v>
          </cell>
          <cell r="BE666">
            <v>-5</v>
          </cell>
          <cell r="BG666">
            <v>5</v>
          </cell>
          <cell r="BK666">
            <v>-5</v>
          </cell>
          <cell r="BM666">
            <v>3</v>
          </cell>
          <cell r="BP666">
            <v>3</v>
          </cell>
          <cell r="BW666" t="str">
            <v>Done</v>
          </cell>
          <cell r="BY666" t="str">
            <v>Approved</v>
          </cell>
          <cell r="CD666">
            <v>45042</v>
          </cell>
          <cell r="CE666">
            <v>45048</v>
          </cell>
          <cell r="CI666" t="str">
            <v>Issued</v>
          </cell>
          <cell r="DG666" t="str">
            <v/>
          </cell>
          <cell r="DM666" t="str">
            <v>NA</v>
          </cell>
          <cell r="DN666" t="str">
            <v>NA</v>
          </cell>
          <cell r="DP666" t="str">
            <v>ML Awaited</v>
          </cell>
          <cell r="DR666">
            <v>15</v>
          </cell>
          <cell r="DS666">
            <v>30</v>
          </cell>
          <cell r="DU666">
            <v>15</v>
          </cell>
          <cell r="DW666">
            <v>15</v>
          </cell>
          <cell r="EA666" t="str">
            <v/>
          </cell>
          <cell r="ED666" t="str">
            <v/>
          </cell>
          <cell r="EE666" t="str">
            <v/>
          </cell>
          <cell r="EF666">
            <v>1</v>
          </cell>
          <cell r="FD666">
            <v>46106</v>
          </cell>
          <cell r="FJ666" t="str">
            <v>NA</v>
          </cell>
          <cell r="FM666" t="str">
            <v/>
          </cell>
          <cell r="GG666" t="str">
            <v>2024-2025</v>
          </cell>
        </row>
        <row r="667">
          <cell r="E667" t="str">
            <v xml:space="preserve">Thanekar Paradise, Sirgaon, Badlapur </v>
          </cell>
          <cell r="F667" t="str">
            <v>11. HOLD</v>
          </cell>
          <cell r="J667" t="str">
            <v/>
          </cell>
          <cell r="K667" t="str">
            <v>W</v>
          </cell>
          <cell r="L667" t="str">
            <v>BK</v>
          </cell>
          <cell r="N667" t="str">
            <v>Shashi Pardeshi</v>
          </cell>
          <cell r="O667" t="str">
            <v>Ashish M</v>
          </cell>
          <cell r="Q667" t="str">
            <v>Gaurav Shinde</v>
          </cell>
          <cell r="S667" t="str">
            <v>Maharashtra</v>
          </cell>
          <cell r="T667" t="str">
            <v>Thane</v>
          </cell>
          <cell r="U667" t="str">
            <v>Non Premium</v>
          </cell>
          <cell r="V667" t="str">
            <v>Pharma Format</v>
          </cell>
          <cell r="W667">
            <v>720</v>
          </cell>
          <cell r="X667" t="str">
            <v xml:space="preserve">Thanekar Paradise, Sirgaon, Badlapur </v>
          </cell>
          <cell r="AB667">
            <v>44848</v>
          </cell>
          <cell r="AF667" t="str">
            <v>Done</v>
          </cell>
          <cell r="AG667">
            <v>1268</v>
          </cell>
          <cell r="AO667">
            <v>3</v>
          </cell>
          <cell r="AS667">
            <v>-3</v>
          </cell>
          <cell r="AU667">
            <v>4</v>
          </cell>
          <cell r="AY667">
            <v>-4</v>
          </cell>
          <cell r="BA667">
            <v>5</v>
          </cell>
          <cell r="BE667">
            <v>-5</v>
          </cell>
          <cell r="BG667">
            <v>5</v>
          </cell>
          <cell r="BK667">
            <v>-5</v>
          </cell>
          <cell r="BM667">
            <v>3</v>
          </cell>
          <cell r="BP667">
            <v>3</v>
          </cell>
          <cell r="BW667" t="str">
            <v>Done</v>
          </cell>
          <cell r="BY667" t="str">
            <v>Not Approved</v>
          </cell>
          <cell r="CD667">
            <v>44917</v>
          </cell>
          <cell r="DG667" t="str">
            <v/>
          </cell>
          <cell r="DM667">
            <v>46121</v>
          </cell>
          <cell r="DR667">
            <v>15</v>
          </cell>
          <cell r="DS667">
            <v>30</v>
          </cell>
          <cell r="DU667">
            <v>15</v>
          </cell>
          <cell r="DV667">
            <v>30</v>
          </cell>
          <cell r="DW667">
            <v>15</v>
          </cell>
          <cell r="EA667" t="str">
            <v/>
          </cell>
          <cell r="ED667" t="str">
            <v/>
          </cell>
          <cell r="EE667" t="str">
            <v/>
          </cell>
          <cell r="EF667">
            <v>1</v>
          </cell>
          <cell r="FD667">
            <v>46106</v>
          </cell>
          <cell r="FF667">
            <v>46106</v>
          </cell>
          <cell r="FJ667" t="str">
            <v>NA</v>
          </cell>
          <cell r="FM667" t="str">
            <v/>
          </cell>
          <cell r="GG667" t="str">
            <v>2026-2027</v>
          </cell>
        </row>
        <row r="668">
          <cell r="E668" t="str">
            <v xml:space="preserve"> Sun Pharma,Vadodara</v>
          </cell>
          <cell r="F668" t="str">
            <v>11. HOLD</v>
          </cell>
          <cell r="J668" t="str">
            <v/>
          </cell>
          <cell r="K668" t="str">
            <v>W</v>
          </cell>
          <cell r="L668" t="str">
            <v>BK</v>
          </cell>
          <cell r="N668" t="str">
            <v>Mrudang Shah</v>
          </cell>
          <cell r="O668" t="str">
            <v>Samir Shah</v>
          </cell>
          <cell r="Q668" t="str">
            <v>Gaurav Shinde</v>
          </cell>
          <cell r="S668" t="str">
            <v>Gujarat</v>
          </cell>
          <cell r="T668" t="str">
            <v>Vadodara</v>
          </cell>
          <cell r="U668" t="str">
            <v>Non Premium</v>
          </cell>
          <cell r="V668" t="str">
            <v>Pharma Format</v>
          </cell>
          <cell r="W668">
            <v>950</v>
          </cell>
          <cell r="X668" t="str">
            <v xml:space="preserve"> Sun Pharma,Vadodara</v>
          </cell>
          <cell r="AB668">
            <v>44848</v>
          </cell>
          <cell r="AF668" t="str">
            <v>Done</v>
          </cell>
          <cell r="AG668">
            <v>1268</v>
          </cell>
          <cell r="AO668">
            <v>3</v>
          </cell>
          <cell r="AS668">
            <v>-3</v>
          </cell>
          <cell r="AU668">
            <v>4</v>
          </cell>
          <cell r="AY668">
            <v>-4</v>
          </cell>
          <cell r="BA668">
            <v>5</v>
          </cell>
          <cell r="BE668">
            <v>-5</v>
          </cell>
          <cell r="BG668">
            <v>5</v>
          </cell>
          <cell r="BK668">
            <v>-5</v>
          </cell>
          <cell r="BM668">
            <v>3</v>
          </cell>
          <cell r="BP668">
            <v>3</v>
          </cell>
          <cell r="BW668" t="str">
            <v>Done</v>
          </cell>
          <cell r="BY668" t="str">
            <v>Not Approved</v>
          </cell>
          <cell r="CD668">
            <v>44918</v>
          </cell>
          <cell r="CE668">
            <v>44770</v>
          </cell>
          <cell r="CI668" t="str">
            <v>Issued</v>
          </cell>
          <cell r="DG668" t="str">
            <v/>
          </cell>
          <cell r="DM668">
            <v>46121</v>
          </cell>
          <cell r="DO668" t="str">
            <v>5) Budget Approval Awaited</v>
          </cell>
          <cell r="DR668">
            <v>15</v>
          </cell>
          <cell r="DS668">
            <v>30</v>
          </cell>
          <cell r="DU668">
            <v>15</v>
          </cell>
          <cell r="DV668">
            <v>30</v>
          </cell>
          <cell r="DW668">
            <v>15</v>
          </cell>
          <cell r="EA668" t="str">
            <v/>
          </cell>
          <cell r="ED668" t="str">
            <v/>
          </cell>
          <cell r="EE668" t="str">
            <v/>
          </cell>
          <cell r="EF668">
            <v>1</v>
          </cell>
          <cell r="FD668">
            <v>46106</v>
          </cell>
          <cell r="FF668">
            <v>46106</v>
          </cell>
          <cell r="FJ668" t="str">
            <v>NA</v>
          </cell>
          <cell r="FM668" t="str">
            <v/>
          </cell>
          <cell r="GG668" t="str">
            <v>2026-2027</v>
          </cell>
        </row>
        <row r="669">
          <cell r="E669" t="str">
            <v xml:space="preserve">,The Emperor Abbas Taiyabji Road, Jayesh Colony, Fatehganj, Vadodara </v>
          </cell>
          <cell r="F669" t="str">
            <v>11. HOLD</v>
          </cell>
          <cell r="J669" t="str">
            <v/>
          </cell>
          <cell r="K669" t="str">
            <v>W</v>
          </cell>
          <cell r="L669" t="str">
            <v>BK</v>
          </cell>
          <cell r="N669" t="str">
            <v>Mrudang Shah</v>
          </cell>
          <cell r="O669" t="str">
            <v>Samir Shah</v>
          </cell>
          <cell r="Q669" t="str">
            <v>Gaurav Shinde</v>
          </cell>
          <cell r="S669" t="str">
            <v>Gujarat</v>
          </cell>
          <cell r="T669" t="str">
            <v>Vadodara</v>
          </cell>
          <cell r="U669" t="str">
            <v>Non Premium</v>
          </cell>
          <cell r="V669" t="str">
            <v>Pharma Format</v>
          </cell>
          <cell r="W669">
            <v>1600</v>
          </cell>
          <cell r="X669" t="str">
            <v xml:space="preserve">,The Emperor Abbas Taiyabji Road, Jayesh Colony, Fatehganj, Vadodara </v>
          </cell>
          <cell r="AB669">
            <v>44829</v>
          </cell>
          <cell r="AF669" t="str">
            <v>Done</v>
          </cell>
          <cell r="AG669">
            <v>1287</v>
          </cell>
          <cell r="AO669">
            <v>3</v>
          </cell>
          <cell r="AS669">
            <v>-3</v>
          </cell>
          <cell r="AU669">
            <v>4</v>
          </cell>
          <cell r="AY669">
            <v>-4</v>
          </cell>
          <cell r="BA669">
            <v>5</v>
          </cell>
          <cell r="BE669">
            <v>-5</v>
          </cell>
          <cell r="BG669">
            <v>5</v>
          </cell>
          <cell r="BK669">
            <v>-5</v>
          </cell>
          <cell r="BM669">
            <v>3</v>
          </cell>
          <cell r="BP669">
            <v>3</v>
          </cell>
          <cell r="CD669">
            <v>44937</v>
          </cell>
          <cell r="CE669">
            <v>45135</v>
          </cell>
          <cell r="CI669" t="str">
            <v>Issued</v>
          </cell>
          <cell r="DG669" t="str">
            <v/>
          </cell>
          <cell r="DM669">
            <v>46121</v>
          </cell>
          <cell r="DR669">
            <v>15</v>
          </cell>
          <cell r="DS669">
            <v>30</v>
          </cell>
          <cell r="DU669">
            <v>15</v>
          </cell>
          <cell r="DV669">
            <v>30</v>
          </cell>
          <cell r="DW669">
            <v>15</v>
          </cell>
          <cell r="EA669" t="str">
            <v/>
          </cell>
          <cell r="ED669" t="str">
            <v/>
          </cell>
          <cell r="EE669" t="str">
            <v/>
          </cell>
          <cell r="EF669">
            <v>1</v>
          </cell>
          <cell r="FD669">
            <v>46106</v>
          </cell>
          <cell r="FF669">
            <v>46106</v>
          </cell>
          <cell r="FJ669" t="str">
            <v>NA</v>
          </cell>
          <cell r="FM669" t="str">
            <v/>
          </cell>
          <cell r="GG669" t="str">
            <v>2026-2027</v>
          </cell>
        </row>
        <row r="670">
          <cell r="E670" t="str">
            <v>Barasaat Taki Road</v>
          </cell>
          <cell r="F670" t="str">
            <v>11. HOLD</v>
          </cell>
          <cell r="G670" t="str">
            <v>NETMSD10552</v>
          </cell>
          <cell r="J670" t="str">
            <v/>
          </cell>
          <cell r="K670" t="str">
            <v xml:space="preserve">E </v>
          </cell>
          <cell r="L670" t="str">
            <v>SD</v>
          </cell>
          <cell r="N670" t="str">
            <v>Debal Chatterjee</v>
          </cell>
          <cell r="O670" t="str">
            <v>Sandeepta Gayen (INCLUDE SIKKIM)</v>
          </cell>
          <cell r="Q670" t="str">
            <v>Gaurav Shinde</v>
          </cell>
          <cell r="S670" t="str">
            <v>West Bengal</v>
          </cell>
          <cell r="T670" t="str">
            <v>Barasaat</v>
          </cell>
          <cell r="U670" t="str">
            <v>Non Premium</v>
          </cell>
          <cell r="V670" t="str">
            <v>Pharma Format</v>
          </cell>
          <cell r="W670">
            <v>1000</v>
          </cell>
          <cell r="X670" t="str">
            <v>Barasaat Taki Road</v>
          </cell>
          <cell r="AB670">
            <v>44901</v>
          </cell>
          <cell r="AF670" t="str">
            <v>Done</v>
          </cell>
          <cell r="AG670">
            <v>1215</v>
          </cell>
          <cell r="AL670" t="str">
            <v>Received</v>
          </cell>
          <cell r="AO670">
            <v>3</v>
          </cell>
          <cell r="AS670">
            <v>-3</v>
          </cell>
          <cell r="AU670">
            <v>4</v>
          </cell>
          <cell r="AY670">
            <v>-4</v>
          </cell>
          <cell r="BA670">
            <v>5</v>
          </cell>
          <cell r="BE670">
            <v>-5</v>
          </cell>
          <cell r="BG670">
            <v>5</v>
          </cell>
          <cell r="BK670">
            <v>-5</v>
          </cell>
          <cell r="BM670">
            <v>3</v>
          </cell>
          <cell r="BW670" t="str">
            <v>Done</v>
          </cell>
          <cell r="BY670" t="str">
            <v>Not Approved</v>
          </cell>
          <cell r="CI670" t="str">
            <v>Pending-On hold due to budget approval pending</v>
          </cell>
          <cell r="DA670" t="str">
            <v>NA</v>
          </cell>
          <cell r="DB670" t="str">
            <v>NA</v>
          </cell>
          <cell r="DC670" t="str">
            <v>NA</v>
          </cell>
          <cell r="DG670" t="str">
            <v/>
          </cell>
          <cell r="DK670">
            <v>45005</v>
          </cell>
          <cell r="DM670">
            <v>1116</v>
          </cell>
          <cell r="DO670" t="str">
            <v>5) Budget Approval Awaited</v>
          </cell>
          <cell r="DP670">
            <v>45008</v>
          </cell>
          <cell r="DR670">
            <v>15</v>
          </cell>
          <cell r="DS670">
            <v>30</v>
          </cell>
          <cell r="DU670">
            <v>15</v>
          </cell>
          <cell r="DV670">
            <v>45038</v>
          </cell>
          <cell r="DW670">
            <v>15</v>
          </cell>
          <cell r="EA670" t="str">
            <v/>
          </cell>
          <cell r="ED670" t="str">
            <v/>
          </cell>
          <cell r="EE670" t="str">
            <v/>
          </cell>
          <cell r="FD670">
            <v>46106</v>
          </cell>
          <cell r="FF670">
            <v>1098</v>
          </cell>
          <cell r="FJ670" t="str">
            <v>NA</v>
          </cell>
          <cell r="FM670" t="str">
            <v/>
          </cell>
          <cell r="GG670" t="str">
            <v>2026-2027</v>
          </cell>
        </row>
        <row r="671">
          <cell r="E671" t="str">
            <v>Jamnagar</v>
          </cell>
          <cell r="F671" t="str">
            <v>10. Launched</v>
          </cell>
          <cell r="H671" t="str">
            <v>GJ-SM-JAM-091</v>
          </cell>
          <cell r="I671" t="str">
            <v>T2FT</v>
          </cell>
          <cell r="J671" t="str">
            <v>Q7CC</v>
          </cell>
          <cell r="K671" t="str">
            <v>W</v>
          </cell>
          <cell r="L671" t="str">
            <v>KC</v>
          </cell>
          <cell r="M671" t="str">
            <v>15th August'24 Target</v>
          </cell>
          <cell r="N671" t="str">
            <v>Janak Dave</v>
          </cell>
          <cell r="O671" t="str">
            <v>Janak Dave</v>
          </cell>
          <cell r="P671" t="str">
            <v>Jayesh Makwana</v>
          </cell>
          <cell r="Q671" t="str">
            <v>Arju Tiwari</v>
          </cell>
          <cell r="R671" t="str">
            <v>Sakshi Mali</v>
          </cell>
          <cell r="S671" t="str">
            <v>Gujarat</v>
          </cell>
          <cell r="T671" t="str">
            <v>Jamnagar</v>
          </cell>
          <cell r="U671" t="str">
            <v>Non Premium</v>
          </cell>
          <cell r="V671" t="str">
            <v>Pharma Format</v>
          </cell>
          <cell r="W671">
            <v>594.05999999999995</v>
          </cell>
          <cell r="X671" t="str">
            <v>Reliance Greens, Reliance Greens Township, RS No 44, Moti Khavdi, Jamnagar, Gujarat,361142</v>
          </cell>
          <cell r="Z671" t="str">
            <v>Done</v>
          </cell>
          <cell r="AB671" t="str">
            <v>NA</v>
          </cell>
          <cell r="AF671" t="str">
            <v>Done</v>
          </cell>
          <cell r="AK671">
            <v>45476</v>
          </cell>
          <cell r="AL671" t="str">
            <v>Received</v>
          </cell>
          <cell r="AN671" t="str">
            <v>Revised ML received on 11-04-2024(ML area reduced)
Revise ML awaited received on 03-07-2024</v>
          </cell>
          <cell r="AP671">
            <v>45428</v>
          </cell>
          <cell r="AR671">
            <v>45439</v>
          </cell>
          <cell r="AV671">
            <v>45418</v>
          </cell>
          <cell r="BB671">
            <v>45399</v>
          </cell>
          <cell r="BD671">
            <v>45399</v>
          </cell>
          <cell r="BH671">
            <v>45440</v>
          </cell>
          <cell r="BJ671">
            <v>45440</v>
          </cell>
          <cell r="BQ671">
            <v>45444</v>
          </cell>
          <cell r="BV671" t="str">
            <v>Done</v>
          </cell>
          <cell r="BW671" t="str">
            <v>Done</v>
          </cell>
          <cell r="BX671">
            <v>45211</v>
          </cell>
          <cell r="BY671" t="str">
            <v>Approved</v>
          </cell>
          <cell r="CI671" t="str">
            <v>Issued</v>
          </cell>
          <cell r="CN671" t="str">
            <v>19-06-2024
01-07-2024</v>
          </cell>
          <cell r="CO671">
            <v>45451</v>
          </cell>
          <cell r="CP671">
            <v>45462</v>
          </cell>
          <cell r="CQ671">
            <v>45481</v>
          </cell>
          <cell r="CR671">
            <v>45453</v>
          </cell>
          <cell r="DA671" t="str">
            <v>WO Done RA1 Pending</v>
          </cell>
          <cell r="DB671" t="str">
            <v>WO Done RA1 Pending</v>
          </cell>
          <cell r="DC671" t="str">
            <v>WO Done RA1 Pending</v>
          </cell>
          <cell r="DG671" t="str">
            <v>Netmed SDP - Not in Dead Rental</v>
          </cell>
          <cell r="DK671">
            <v>45434</v>
          </cell>
          <cell r="DM671">
            <v>0</v>
          </cell>
          <cell r="DN671" t="str">
            <v>On Time</v>
          </cell>
          <cell r="DP671">
            <v>45434</v>
          </cell>
          <cell r="DQ671">
            <v>45434</v>
          </cell>
          <cell r="DR671">
            <v>15</v>
          </cell>
          <cell r="DS671">
            <v>30</v>
          </cell>
          <cell r="DU671">
            <v>45449</v>
          </cell>
          <cell r="DV671">
            <v>45464</v>
          </cell>
          <cell r="DW671">
            <v>45449</v>
          </cell>
          <cell r="DX671" t="str">
            <v>June 24 Week 1</v>
          </cell>
          <cell r="DY671">
            <v>45501</v>
          </cell>
          <cell r="DZ671">
            <v>45497</v>
          </cell>
          <cell r="EA671" t="str">
            <v>July 24 Week 3</v>
          </cell>
          <cell r="EB671" t="str">
            <v>Backlog</v>
          </cell>
          <cell r="ED671" t="str">
            <v/>
          </cell>
          <cell r="EE671" t="str">
            <v/>
          </cell>
          <cell r="EF671">
            <v>1</v>
          </cell>
          <cell r="EG671">
            <v>0.85</v>
          </cell>
          <cell r="EH671" t="str">
            <v>Revised ML received on 29-06-2024</v>
          </cell>
          <cell r="FD671">
            <v>48</v>
          </cell>
          <cell r="FE671" t="str">
            <v>31 to 61 Days</v>
          </cell>
          <cell r="FF671">
            <v>48</v>
          </cell>
          <cell r="FG671" t="str">
            <v>31 to 61 Days</v>
          </cell>
          <cell r="FH671" t="str">
            <v>Done</v>
          </cell>
          <cell r="FI671" t="str">
            <v>Done</v>
          </cell>
          <cell r="FJ671" t="str">
            <v>Done</v>
          </cell>
          <cell r="FK671">
            <v>45527</v>
          </cell>
          <cell r="FM671" t="str">
            <v/>
          </cell>
          <cell r="FZ671" t="str">
            <v>ELE: Conduiting-Done
DB Installation &amp; Termination Done
Structure:- Done
Civil : Flooring -Done
HVAC: AHU Unit Hanged
Vendor Critical FIM-ACP/Glass Façade
Grid Ceiling FIM to be delivered by 12-07-2024 -Work to be start by 13-07-2024
Fixture Installation Callout Exp by 14-07-2024
Fire &amp; HVAC CHW Piping to be done by Mall Team - Exp completion by 15-06-2024
SLP Readiness Callout given on -17-07-2024</v>
          </cell>
          <cell r="GA671">
            <v>45490</v>
          </cell>
          <cell r="GB671" t="str">
            <v>Done</v>
          </cell>
          <cell r="GC671">
            <v>45490</v>
          </cell>
          <cell r="GD671">
            <v>45503</v>
          </cell>
          <cell r="GG671" t="str">
            <v>2024-2025</v>
          </cell>
        </row>
        <row r="672">
          <cell r="E672" t="str">
            <v>Gaurisagar</v>
          </cell>
          <cell r="F672" t="str">
            <v>10. Launched</v>
          </cell>
          <cell r="J672" t="str">
            <v>QC9O</v>
          </cell>
          <cell r="K672" t="str">
            <v xml:space="preserve">E </v>
          </cell>
          <cell r="L672" t="str">
            <v>SD</v>
          </cell>
          <cell r="N672" t="str">
            <v>Debal Chatterjee</v>
          </cell>
          <cell r="O672" t="str">
            <v>Anup das (EXCEPT SIKKIM)</v>
          </cell>
          <cell r="Q672" t="str">
            <v>Gaurav Shinde</v>
          </cell>
          <cell r="S672" t="str">
            <v>Assam</v>
          </cell>
          <cell r="T672" t="str">
            <v>Gaurisagar</v>
          </cell>
          <cell r="U672" t="str">
            <v>Non Premium</v>
          </cell>
          <cell r="V672" t="str">
            <v>SIS</v>
          </cell>
          <cell r="W672">
            <v>250</v>
          </cell>
          <cell r="X672" t="str">
            <v>Gaurisagar</v>
          </cell>
          <cell r="Z672" t="str">
            <v>NA</v>
          </cell>
          <cell r="AF672" t="str">
            <v>Done</v>
          </cell>
          <cell r="AG672" t="str">
            <v/>
          </cell>
          <cell r="AL672" t="str">
            <v>Received</v>
          </cell>
          <cell r="AO672">
            <v>3</v>
          </cell>
          <cell r="AS672">
            <v>-3</v>
          </cell>
          <cell r="AU672">
            <v>4</v>
          </cell>
          <cell r="AY672">
            <v>-4</v>
          </cell>
          <cell r="BA672">
            <v>5</v>
          </cell>
          <cell r="BE672">
            <v>-5</v>
          </cell>
          <cell r="BG672">
            <v>5</v>
          </cell>
          <cell r="BK672">
            <v>-5</v>
          </cell>
          <cell r="BM672">
            <v>3</v>
          </cell>
          <cell r="BP672">
            <v>3</v>
          </cell>
          <cell r="BW672" t="str">
            <v>Done</v>
          </cell>
          <cell r="BY672" t="str">
            <v>Approved</v>
          </cell>
          <cell r="DG672" t="str">
            <v/>
          </cell>
          <cell r="DM672">
            <v>45141</v>
          </cell>
          <cell r="DQ672">
            <v>45141</v>
          </cell>
          <cell r="DR672">
            <v>15</v>
          </cell>
          <cell r="DU672">
            <v>45156</v>
          </cell>
          <cell r="DV672">
            <v>0</v>
          </cell>
          <cell r="DW672">
            <v>45156</v>
          </cell>
          <cell r="DX672" t="str">
            <v>Aug 23 Week 3</v>
          </cell>
          <cell r="DZ672">
            <v>45141</v>
          </cell>
          <cell r="EA672" t="str">
            <v>Aug 23 Week 1</v>
          </cell>
          <cell r="EB672" t="str">
            <v>Plan</v>
          </cell>
          <cell r="ED672" t="str">
            <v/>
          </cell>
          <cell r="EE672" t="str">
            <v/>
          </cell>
          <cell r="FD672">
            <v>-15</v>
          </cell>
          <cell r="FE672" t="str">
            <v>On Time</v>
          </cell>
          <cell r="FF672">
            <v>45126</v>
          </cell>
          <cell r="FH672" t="str">
            <v>Done</v>
          </cell>
          <cell r="FI672" t="str">
            <v>Done</v>
          </cell>
          <cell r="FJ672" t="str">
            <v>NA</v>
          </cell>
          <cell r="FM672" t="str">
            <v/>
          </cell>
          <cell r="GG672" t="str">
            <v>2023-2024</v>
          </cell>
        </row>
        <row r="673">
          <cell r="E673" t="str">
            <v>Titabor</v>
          </cell>
          <cell r="F673" t="str">
            <v>10. Launched</v>
          </cell>
          <cell r="J673" t="str">
            <v>Q8S8</v>
          </cell>
          <cell r="K673" t="str">
            <v xml:space="preserve">E </v>
          </cell>
          <cell r="L673" t="str">
            <v>SD</v>
          </cell>
          <cell r="N673" t="str">
            <v>Debal Chatterjee</v>
          </cell>
          <cell r="O673" t="str">
            <v>Anup das (EXCEPT SIKKIM)</v>
          </cell>
          <cell r="Q673" t="str">
            <v>Gaurav Shinde</v>
          </cell>
          <cell r="S673" t="str">
            <v>Assam</v>
          </cell>
          <cell r="T673" t="str">
            <v>Titabor</v>
          </cell>
          <cell r="U673" t="str">
            <v>Non Premium</v>
          </cell>
          <cell r="V673" t="str">
            <v>SIS</v>
          </cell>
          <cell r="W673">
            <v>250</v>
          </cell>
          <cell r="X673" t="str">
            <v>Titabor</v>
          </cell>
          <cell r="Z673" t="str">
            <v>NA</v>
          </cell>
          <cell r="AF673" t="str">
            <v>Done</v>
          </cell>
          <cell r="AG673" t="str">
            <v/>
          </cell>
          <cell r="AL673" t="str">
            <v>Received</v>
          </cell>
          <cell r="AO673">
            <v>3</v>
          </cell>
          <cell r="AS673">
            <v>-3</v>
          </cell>
          <cell r="AU673">
            <v>4</v>
          </cell>
          <cell r="AY673">
            <v>-4</v>
          </cell>
          <cell r="BA673">
            <v>5</v>
          </cell>
          <cell r="BE673">
            <v>-5</v>
          </cell>
          <cell r="BG673">
            <v>5</v>
          </cell>
          <cell r="BK673">
            <v>-5</v>
          </cell>
          <cell r="BM673">
            <v>3</v>
          </cell>
          <cell r="BP673">
            <v>3</v>
          </cell>
          <cell r="BW673" t="str">
            <v>Done</v>
          </cell>
          <cell r="BY673" t="str">
            <v>Approved</v>
          </cell>
          <cell r="DG673" t="str">
            <v/>
          </cell>
          <cell r="DM673">
            <v>45153</v>
          </cell>
          <cell r="DQ673">
            <v>45153</v>
          </cell>
          <cell r="DR673">
            <v>15</v>
          </cell>
          <cell r="DU673">
            <v>45168</v>
          </cell>
          <cell r="DV673">
            <v>0</v>
          </cell>
          <cell r="DW673">
            <v>45168</v>
          </cell>
          <cell r="DX673" t="str">
            <v>Aug 23 Week 5</v>
          </cell>
          <cell r="DZ673">
            <v>45154</v>
          </cell>
          <cell r="EA673" t="str">
            <v>Aug 23 Week 3</v>
          </cell>
          <cell r="EB673" t="str">
            <v>Plan</v>
          </cell>
          <cell r="ED673" t="str">
            <v/>
          </cell>
          <cell r="EE673" t="str">
            <v/>
          </cell>
          <cell r="FD673">
            <v>-14</v>
          </cell>
          <cell r="FE673" t="str">
            <v>On Time</v>
          </cell>
          <cell r="FF673">
            <v>45139</v>
          </cell>
          <cell r="FH673" t="str">
            <v>Done</v>
          </cell>
          <cell r="FI673" t="str">
            <v>Done</v>
          </cell>
          <cell r="FJ673" t="str">
            <v>NA</v>
          </cell>
          <cell r="FM673" t="str">
            <v/>
          </cell>
          <cell r="GG673" t="str">
            <v>2023-2024</v>
          </cell>
        </row>
        <row r="674">
          <cell r="E674" t="str">
            <v xml:space="preserve">sivaganga </v>
          </cell>
          <cell r="F674" t="str">
            <v>14. Dropped</v>
          </cell>
          <cell r="J674" t="str">
            <v>QL1M</v>
          </cell>
          <cell r="K674" t="str">
            <v>S</v>
          </cell>
          <cell r="L674" t="str">
            <v>AK</v>
          </cell>
          <cell r="N674" t="str">
            <v>N Kalyankumar</v>
          </cell>
          <cell r="O674" t="str">
            <v>Muthuvelu Minnal /
Vijayakumar Muthusamy</v>
          </cell>
          <cell r="Q674" t="str">
            <v>Gaurav Shinde</v>
          </cell>
          <cell r="S674" t="str">
            <v>Tamil Nadu</v>
          </cell>
          <cell r="T674" t="str">
            <v xml:space="preserve">sivaganga </v>
          </cell>
          <cell r="U674" t="str">
            <v>Non Premium</v>
          </cell>
          <cell r="V674" t="str">
            <v>SIS</v>
          </cell>
          <cell r="W674">
            <v>250</v>
          </cell>
          <cell r="X674" t="str">
            <v xml:space="preserve">sivaganga </v>
          </cell>
          <cell r="Z674" t="str">
            <v>NA</v>
          </cell>
          <cell r="AG674" t="str">
            <v/>
          </cell>
          <cell r="AO674">
            <v>3</v>
          </cell>
          <cell r="AS674">
            <v>-3</v>
          </cell>
          <cell r="AU674">
            <v>4</v>
          </cell>
          <cell r="AY674">
            <v>-4</v>
          </cell>
          <cell r="BA674">
            <v>5</v>
          </cell>
          <cell r="BE674">
            <v>-5</v>
          </cell>
          <cell r="BG674">
            <v>5</v>
          </cell>
          <cell r="BK674">
            <v>-5</v>
          </cell>
          <cell r="BM674">
            <v>3</v>
          </cell>
          <cell r="BP674">
            <v>3</v>
          </cell>
          <cell r="DG674" t="str">
            <v/>
          </cell>
          <cell r="DM674">
            <v>46121</v>
          </cell>
          <cell r="DO674" t="str">
            <v>Business</v>
          </cell>
          <cell r="DR674">
            <v>15</v>
          </cell>
          <cell r="DU674">
            <v>15</v>
          </cell>
          <cell r="DV674">
            <v>0</v>
          </cell>
          <cell r="DW674">
            <v>15</v>
          </cell>
          <cell r="EA674" t="str">
            <v/>
          </cell>
          <cell r="ED674" t="str">
            <v/>
          </cell>
          <cell r="EE674" t="str">
            <v/>
          </cell>
          <cell r="FD674">
            <v>46106</v>
          </cell>
          <cell r="FF674">
            <v>46106</v>
          </cell>
          <cell r="FJ674" t="str">
            <v>NA</v>
          </cell>
          <cell r="FM674" t="str">
            <v/>
          </cell>
          <cell r="GG674" t="str">
            <v>2024-2025</v>
          </cell>
        </row>
        <row r="675">
          <cell r="E675" t="str">
            <v>Chittoor</v>
          </cell>
          <cell r="F675" t="str">
            <v>14. Dropped</v>
          </cell>
          <cell r="J675" t="str">
            <v>QG4F</v>
          </cell>
          <cell r="K675" t="str">
            <v>S</v>
          </cell>
          <cell r="L675" t="str">
            <v>AK</v>
          </cell>
          <cell r="N675" t="str">
            <v>Jaisingh Desai</v>
          </cell>
          <cell r="Q675" t="str">
            <v>Gaurav Shinde</v>
          </cell>
          <cell r="S675" t="str">
            <v>Andhra Pradesh</v>
          </cell>
          <cell r="T675" t="str">
            <v>Chittoor</v>
          </cell>
          <cell r="U675" t="str">
            <v>Non Premium</v>
          </cell>
          <cell r="V675" t="str">
            <v>SIS</v>
          </cell>
          <cell r="W675">
            <v>250</v>
          </cell>
          <cell r="X675" t="str">
            <v>Chittoor</v>
          </cell>
          <cell r="Z675" t="str">
            <v>NA</v>
          </cell>
          <cell r="AG675" t="str">
            <v/>
          </cell>
          <cell r="AO675">
            <v>3</v>
          </cell>
          <cell r="AS675">
            <v>-3</v>
          </cell>
          <cell r="AU675">
            <v>4</v>
          </cell>
          <cell r="AY675">
            <v>-4</v>
          </cell>
          <cell r="BA675">
            <v>5</v>
          </cell>
          <cell r="BE675">
            <v>-5</v>
          </cell>
          <cell r="BG675">
            <v>5</v>
          </cell>
          <cell r="BK675">
            <v>-5</v>
          </cell>
          <cell r="BM675">
            <v>3</v>
          </cell>
          <cell r="BP675">
            <v>3</v>
          </cell>
          <cell r="DG675" t="str">
            <v/>
          </cell>
          <cell r="DM675">
            <v>46121</v>
          </cell>
          <cell r="DO675" t="str">
            <v>Business</v>
          </cell>
          <cell r="DR675">
            <v>15</v>
          </cell>
          <cell r="DU675">
            <v>15</v>
          </cell>
          <cell r="DV675">
            <v>0</v>
          </cell>
          <cell r="DW675">
            <v>15</v>
          </cell>
          <cell r="EA675" t="str">
            <v/>
          </cell>
          <cell r="ED675" t="str">
            <v/>
          </cell>
          <cell r="EE675" t="str">
            <v/>
          </cell>
          <cell r="FD675">
            <v>46106</v>
          </cell>
          <cell r="FF675">
            <v>46106</v>
          </cell>
          <cell r="FJ675" t="str">
            <v>NA</v>
          </cell>
          <cell r="FM675" t="str">
            <v/>
          </cell>
          <cell r="GG675" t="str">
            <v>2024-2025</v>
          </cell>
        </row>
        <row r="676">
          <cell r="E676" t="str">
            <v>Guwahati</v>
          </cell>
          <cell r="F676" t="str">
            <v>10. Launched</v>
          </cell>
          <cell r="J676" t="str">
            <v>QCQR</v>
          </cell>
          <cell r="K676" t="str">
            <v xml:space="preserve">E </v>
          </cell>
          <cell r="L676" t="str">
            <v>SD</v>
          </cell>
          <cell r="N676" t="str">
            <v>Debal Chatterjee</v>
          </cell>
          <cell r="O676" t="str">
            <v>Anup das (EXCEPT SIKKIM)</v>
          </cell>
          <cell r="Q676" t="str">
            <v>Gaurav Shinde</v>
          </cell>
          <cell r="S676" t="str">
            <v>Assam</v>
          </cell>
          <cell r="T676" t="str">
            <v>Guwahati</v>
          </cell>
          <cell r="U676" t="str">
            <v>Non Premium</v>
          </cell>
          <cell r="V676" t="str">
            <v>SIS</v>
          </cell>
          <cell r="W676">
            <v>250</v>
          </cell>
          <cell r="X676" t="str">
            <v>Guwahati</v>
          </cell>
          <cell r="Z676" t="str">
            <v>NA</v>
          </cell>
          <cell r="AF676" t="str">
            <v>Done</v>
          </cell>
          <cell r="AG676" t="str">
            <v/>
          </cell>
          <cell r="AL676" t="str">
            <v>Received</v>
          </cell>
          <cell r="AO676">
            <v>3</v>
          </cell>
          <cell r="AS676">
            <v>-3</v>
          </cell>
          <cell r="AU676">
            <v>4</v>
          </cell>
          <cell r="AY676">
            <v>-4</v>
          </cell>
          <cell r="BA676">
            <v>5</v>
          </cell>
          <cell r="BE676">
            <v>-5</v>
          </cell>
          <cell r="BG676">
            <v>5</v>
          </cell>
          <cell r="BK676">
            <v>-5</v>
          </cell>
          <cell r="BM676">
            <v>3</v>
          </cell>
          <cell r="BP676">
            <v>3</v>
          </cell>
          <cell r="BW676" t="str">
            <v>Done</v>
          </cell>
          <cell r="BY676" t="str">
            <v>Approved</v>
          </cell>
          <cell r="DG676" t="str">
            <v/>
          </cell>
          <cell r="DM676">
            <v>45121</v>
          </cell>
          <cell r="DQ676">
            <v>45121</v>
          </cell>
          <cell r="DR676">
            <v>15</v>
          </cell>
          <cell r="DU676">
            <v>45136</v>
          </cell>
          <cell r="DV676">
            <v>0</v>
          </cell>
          <cell r="DW676">
            <v>45136</v>
          </cell>
          <cell r="DX676" t="str">
            <v>July 23 Week 5</v>
          </cell>
          <cell r="DZ676">
            <v>45121</v>
          </cell>
          <cell r="EA676" t="str">
            <v>July 23 Week 2</v>
          </cell>
          <cell r="EB676" t="str">
            <v>Plan</v>
          </cell>
          <cell r="ED676" t="str">
            <v/>
          </cell>
          <cell r="EE676" t="str">
            <v/>
          </cell>
          <cell r="EF676">
            <v>1</v>
          </cell>
          <cell r="FD676">
            <v>-15</v>
          </cell>
          <cell r="FE676" t="str">
            <v>On Time</v>
          </cell>
          <cell r="FF676">
            <v>45106</v>
          </cell>
          <cell r="FH676" t="str">
            <v>Done</v>
          </cell>
          <cell r="FI676" t="str">
            <v>Done</v>
          </cell>
          <cell r="FJ676" t="str">
            <v>NA</v>
          </cell>
          <cell r="FM676" t="str">
            <v/>
          </cell>
          <cell r="GG676" t="str">
            <v>2023-2024</v>
          </cell>
        </row>
        <row r="677">
          <cell r="E677" t="str">
            <v>Guwahati</v>
          </cell>
          <cell r="F677" t="str">
            <v>10. Launched</v>
          </cell>
          <cell r="J677" t="str">
            <v>Q6EO</v>
          </cell>
          <cell r="K677" t="str">
            <v xml:space="preserve">E </v>
          </cell>
          <cell r="L677" t="str">
            <v>SD</v>
          </cell>
          <cell r="N677" t="str">
            <v>Debal Chatterjee</v>
          </cell>
          <cell r="O677" t="str">
            <v>Anup das (EXCEPT SIKKIM)</v>
          </cell>
          <cell r="Q677" t="str">
            <v>Gaurav Shinde</v>
          </cell>
          <cell r="S677" t="str">
            <v>Assam</v>
          </cell>
          <cell r="T677" t="str">
            <v>Guwahati</v>
          </cell>
          <cell r="U677" t="str">
            <v>Non Premium</v>
          </cell>
          <cell r="V677" t="str">
            <v>SIS</v>
          </cell>
          <cell r="W677">
            <v>250</v>
          </cell>
          <cell r="X677" t="str">
            <v>Guwahati</v>
          </cell>
          <cell r="Z677" t="str">
            <v>NA</v>
          </cell>
          <cell r="AF677" t="str">
            <v>Done</v>
          </cell>
          <cell r="AG677" t="str">
            <v/>
          </cell>
          <cell r="AL677" t="str">
            <v>Received</v>
          </cell>
          <cell r="AO677">
            <v>3</v>
          </cell>
          <cell r="AS677">
            <v>-3</v>
          </cell>
          <cell r="AU677">
            <v>4</v>
          </cell>
          <cell r="AY677">
            <v>-4</v>
          </cell>
          <cell r="BA677">
            <v>5</v>
          </cell>
          <cell r="BE677">
            <v>-5</v>
          </cell>
          <cell r="BG677">
            <v>5</v>
          </cell>
          <cell r="BK677">
            <v>-5</v>
          </cell>
          <cell r="BM677">
            <v>3</v>
          </cell>
          <cell r="BP677">
            <v>3</v>
          </cell>
          <cell r="BW677" t="str">
            <v>Done</v>
          </cell>
          <cell r="BY677" t="str">
            <v>Approved</v>
          </cell>
          <cell r="DG677" t="str">
            <v/>
          </cell>
          <cell r="DM677">
            <v>45121</v>
          </cell>
          <cell r="DQ677">
            <v>45121</v>
          </cell>
          <cell r="DR677">
            <v>15</v>
          </cell>
          <cell r="DU677">
            <v>45136</v>
          </cell>
          <cell r="DV677">
            <v>0</v>
          </cell>
          <cell r="DW677">
            <v>45136</v>
          </cell>
          <cell r="DX677" t="str">
            <v>July 23 Week 5</v>
          </cell>
          <cell r="DZ677">
            <v>45121</v>
          </cell>
          <cell r="EA677" t="str">
            <v>July 23 Week 2</v>
          </cell>
          <cell r="EB677" t="str">
            <v>Plan</v>
          </cell>
          <cell r="ED677" t="str">
            <v/>
          </cell>
          <cell r="EE677" t="str">
            <v/>
          </cell>
          <cell r="EF677">
            <v>1</v>
          </cell>
          <cell r="FD677">
            <v>-15</v>
          </cell>
          <cell r="FE677" t="str">
            <v>On Time</v>
          </cell>
          <cell r="FF677">
            <v>45106</v>
          </cell>
          <cell r="FH677" t="str">
            <v>Done</v>
          </cell>
          <cell r="FI677" t="str">
            <v>Done</v>
          </cell>
          <cell r="FJ677" t="str">
            <v>NA</v>
          </cell>
          <cell r="FM677" t="str">
            <v/>
          </cell>
          <cell r="GG677" t="str">
            <v>2023-2024</v>
          </cell>
        </row>
        <row r="678">
          <cell r="E678" t="str">
            <v>Ranchi</v>
          </cell>
          <cell r="F678" t="str">
            <v>10. Launched</v>
          </cell>
          <cell r="J678" t="str">
            <v>QAZU</v>
          </cell>
          <cell r="K678" t="str">
            <v xml:space="preserve">E </v>
          </cell>
          <cell r="L678" t="str">
            <v>SD</v>
          </cell>
          <cell r="N678" t="str">
            <v>Sharat Chowdhary</v>
          </cell>
          <cell r="O678" t="str">
            <v>Sudheer Kumar</v>
          </cell>
          <cell r="Q678" t="str">
            <v>Gaurav Shinde</v>
          </cell>
          <cell r="S678" t="str">
            <v>Jharkhand</v>
          </cell>
          <cell r="T678" t="str">
            <v>Ranchi</v>
          </cell>
          <cell r="U678" t="str">
            <v>Non Premium</v>
          </cell>
          <cell r="V678" t="str">
            <v>SIS</v>
          </cell>
          <cell r="W678">
            <v>250</v>
          </cell>
          <cell r="X678" t="str">
            <v>Ranchi</v>
          </cell>
          <cell r="Z678" t="str">
            <v>NA</v>
          </cell>
          <cell r="AF678" t="str">
            <v>Done</v>
          </cell>
          <cell r="AG678" t="str">
            <v/>
          </cell>
          <cell r="AL678" t="str">
            <v>Received</v>
          </cell>
          <cell r="AO678">
            <v>3</v>
          </cell>
          <cell r="AS678">
            <v>-3</v>
          </cell>
          <cell r="AU678">
            <v>4</v>
          </cell>
          <cell r="AY678">
            <v>-4</v>
          </cell>
          <cell r="BA678">
            <v>5</v>
          </cell>
          <cell r="BE678">
            <v>-5</v>
          </cell>
          <cell r="BG678">
            <v>5</v>
          </cell>
          <cell r="BK678">
            <v>-5</v>
          </cell>
          <cell r="BM678">
            <v>3</v>
          </cell>
          <cell r="BP678">
            <v>3</v>
          </cell>
          <cell r="BW678" t="str">
            <v>Done</v>
          </cell>
          <cell r="BY678" t="str">
            <v>Approved</v>
          </cell>
          <cell r="DG678" t="str">
            <v/>
          </cell>
          <cell r="DM678">
            <v>45160</v>
          </cell>
          <cell r="DP678" t="str">
            <v>Business</v>
          </cell>
          <cell r="DQ678">
            <v>45160</v>
          </cell>
          <cell r="DR678">
            <v>15</v>
          </cell>
          <cell r="DU678">
            <v>45175</v>
          </cell>
          <cell r="DW678">
            <v>45175</v>
          </cell>
          <cell r="DX678" t="str">
            <v>Sep 23 Week 1</v>
          </cell>
          <cell r="DZ678">
            <v>45160</v>
          </cell>
          <cell r="EA678" t="str">
            <v>Aug 23 Week 4</v>
          </cell>
          <cell r="EB678" t="str">
            <v>Plan</v>
          </cell>
          <cell r="ED678" t="str">
            <v/>
          </cell>
          <cell r="EE678" t="str">
            <v/>
          </cell>
          <cell r="EF678">
            <v>1</v>
          </cell>
          <cell r="FD678">
            <v>-15</v>
          </cell>
          <cell r="FE678" t="str">
            <v>On Time</v>
          </cell>
          <cell r="FH678" t="str">
            <v>Done</v>
          </cell>
          <cell r="FI678" t="str">
            <v>Done</v>
          </cell>
          <cell r="FJ678" t="str">
            <v>NA</v>
          </cell>
          <cell r="FM678" t="str">
            <v/>
          </cell>
          <cell r="GG678" t="str">
            <v>2023-2024</v>
          </cell>
        </row>
        <row r="679">
          <cell r="E679" t="str">
            <v>North West Delhi</v>
          </cell>
          <cell r="F679" t="str">
            <v>10. Launched</v>
          </cell>
          <cell r="J679" t="str">
            <v>QFAR</v>
          </cell>
          <cell r="K679" t="str">
            <v xml:space="preserve">N </v>
          </cell>
          <cell r="L679" t="str">
            <v>KC</v>
          </cell>
          <cell r="Q679" t="str">
            <v>Gaurav Shinde</v>
          </cell>
          <cell r="S679" t="str">
            <v>Delhi</v>
          </cell>
          <cell r="T679" t="str">
            <v>Delhi</v>
          </cell>
          <cell r="U679" t="str">
            <v>Non Premium</v>
          </cell>
          <cell r="V679" t="str">
            <v>SIS</v>
          </cell>
          <cell r="W679">
            <v>250</v>
          </cell>
          <cell r="X679" t="str">
            <v>North West Delhi</v>
          </cell>
          <cell r="Z679" t="str">
            <v>NA</v>
          </cell>
          <cell r="AF679" t="str">
            <v>Done</v>
          </cell>
          <cell r="AG679" t="str">
            <v/>
          </cell>
          <cell r="AL679" t="str">
            <v>Received</v>
          </cell>
          <cell r="AO679">
            <v>3</v>
          </cell>
          <cell r="AS679">
            <v>-3</v>
          </cell>
          <cell r="AU679">
            <v>4</v>
          </cell>
          <cell r="AY679">
            <v>-4</v>
          </cell>
          <cell r="BA679">
            <v>5</v>
          </cell>
          <cell r="BE679">
            <v>-5</v>
          </cell>
          <cell r="BG679">
            <v>5</v>
          </cell>
          <cell r="BK679">
            <v>-5</v>
          </cell>
          <cell r="BM679">
            <v>3</v>
          </cell>
          <cell r="BP679">
            <v>3</v>
          </cell>
          <cell r="BW679" t="str">
            <v>Done</v>
          </cell>
          <cell r="BY679" t="str">
            <v>Approved</v>
          </cell>
          <cell r="DG679" t="str">
            <v/>
          </cell>
          <cell r="DM679">
            <v>45140</v>
          </cell>
          <cell r="DQ679">
            <v>45140</v>
          </cell>
          <cell r="DR679">
            <v>15</v>
          </cell>
          <cell r="DU679">
            <v>45155</v>
          </cell>
          <cell r="DV679">
            <v>0</v>
          </cell>
          <cell r="DW679">
            <v>45155</v>
          </cell>
          <cell r="DX679" t="str">
            <v>Aug 23 Week 3</v>
          </cell>
          <cell r="DZ679">
            <v>45140</v>
          </cell>
          <cell r="EA679" t="str">
            <v>Aug 23 Week 1</v>
          </cell>
          <cell r="EB679" t="str">
            <v>Plan</v>
          </cell>
          <cell r="ED679" t="str">
            <v/>
          </cell>
          <cell r="EE679" t="str">
            <v/>
          </cell>
          <cell r="EF679">
            <v>1</v>
          </cell>
          <cell r="FD679">
            <v>-15</v>
          </cell>
          <cell r="FE679" t="str">
            <v>On Time</v>
          </cell>
          <cell r="FF679">
            <v>45125</v>
          </cell>
          <cell r="FH679" t="str">
            <v>Done</v>
          </cell>
          <cell r="FI679" t="str">
            <v>Done</v>
          </cell>
          <cell r="FJ679" t="str">
            <v>NA</v>
          </cell>
          <cell r="FM679" t="str">
            <v/>
          </cell>
          <cell r="GG679" t="str">
            <v>2023-2024</v>
          </cell>
        </row>
        <row r="680">
          <cell r="E680" t="str">
            <v>NAJAFGARH  DELHI</v>
          </cell>
          <cell r="F680" t="str">
            <v>10. Launched</v>
          </cell>
          <cell r="J680" t="str">
            <v>QFAV</v>
          </cell>
          <cell r="K680" t="str">
            <v xml:space="preserve">N </v>
          </cell>
          <cell r="L680" t="str">
            <v>KC</v>
          </cell>
          <cell r="Q680" t="str">
            <v>Gaurav Shinde</v>
          </cell>
          <cell r="S680" t="str">
            <v>Delhi</v>
          </cell>
          <cell r="T680" t="str">
            <v>Delhi</v>
          </cell>
          <cell r="U680" t="str">
            <v>Non Premium</v>
          </cell>
          <cell r="V680" t="str">
            <v>SIS</v>
          </cell>
          <cell r="W680">
            <v>250</v>
          </cell>
          <cell r="X680" t="str">
            <v>NAJAFGARH  DELHI</v>
          </cell>
          <cell r="Z680" t="str">
            <v>NA</v>
          </cell>
          <cell r="AF680" t="str">
            <v>Done</v>
          </cell>
          <cell r="AG680" t="str">
            <v/>
          </cell>
          <cell r="AL680" t="str">
            <v>Received</v>
          </cell>
          <cell r="AO680">
            <v>3</v>
          </cell>
          <cell r="AS680">
            <v>-3</v>
          </cell>
          <cell r="AU680">
            <v>4</v>
          </cell>
          <cell r="AY680">
            <v>-4</v>
          </cell>
          <cell r="BA680">
            <v>5</v>
          </cell>
          <cell r="BE680">
            <v>-5</v>
          </cell>
          <cell r="BG680">
            <v>5</v>
          </cell>
          <cell r="BK680">
            <v>-5</v>
          </cell>
          <cell r="BM680">
            <v>3</v>
          </cell>
          <cell r="BP680">
            <v>3</v>
          </cell>
          <cell r="BW680" t="str">
            <v>Done</v>
          </cell>
          <cell r="BY680" t="str">
            <v>Approved</v>
          </cell>
          <cell r="DG680" t="str">
            <v/>
          </cell>
          <cell r="DM680">
            <v>45141</v>
          </cell>
          <cell r="DQ680">
            <v>45141</v>
          </cell>
          <cell r="DR680">
            <v>15</v>
          </cell>
          <cell r="DU680">
            <v>45156</v>
          </cell>
          <cell r="DV680">
            <v>0</v>
          </cell>
          <cell r="DW680">
            <v>45156</v>
          </cell>
          <cell r="DX680" t="str">
            <v>Aug 23 Week 3</v>
          </cell>
          <cell r="DZ680">
            <v>45141</v>
          </cell>
          <cell r="EA680" t="str">
            <v>Aug 23 Week 1</v>
          </cell>
          <cell r="EB680" t="str">
            <v>Plan</v>
          </cell>
          <cell r="ED680" t="str">
            <v/>
          </cell>
          <cell r="EE680" t="str">
            <v/>
          </cell>
          <cell r="EF680">
            <v>1</v>
          </cell>
          <cell r="FD680">
            <v>-15</v>
          </cell>
          <cell r="FE680" t="str">
            <v>On Time</v>
          </cell>
          <cell r="FF680">
            <v>45126</v>
          </cell>
          <cell r="FH680" t="str">
            <v>Done</v>
          </cell>
          <cell r="FI680" t="str">
            <v>Done</v>
          </cell>
          <cell r="FJ680" t="str">
            <v>NA</v>
          </cell>
          <cell r="FM680" t="str">
            <v/>
          </cell>
          <cell r="GG680" t="str">
            <v>2023-2024</v>
          </cell>
        </row>
        <row r="681">
          <cell r="E681" t="str">
            <v>Una</v>
          </cell>
          <cell r="F681" t="str">
            <v>10. Launched</v>
          </cell>
          <cell r="J681" t="str">
            <v>QFKR</v>
          </cell>
          <cell r="K681" t="str">
            <v xml:space="preserve">N </v>
          </cell>
          <cell r="L681" t="str">
            <v>KC</v>
          </cell>
          <cell r="Q681" t="str">
            <v>Gaurav Shinde</v>
          </cell>
          <cell r="S681" t="str">
            <v>Himachal Pradesh</v>
          </cell>
          <cell r="T681" t="str">
            <v>Una</v>
          </cell>
          <cell r="U681" t="str">
            <v>Non Premium</v>
          </cell>
          <cell r="V681" t="str">
            <v>SIS</v>
          </cell>
          <cell r="W681">
            <v>250</v>
          </cell>
          <cell r="X681" t="str">
            <v>Una</v>
          </cell>
          <cell r="Z681" t="str">
            <v>NA</v>
          </cell>
          <cell r="AF681" t="str">
            <v>Done</v>
          </cell>
          <cell r="AG681" t="str">
            <v/>
          </cell>
          <cell r="AL681" t="str">
            <v>Received</v>
          </cell>
          <cell r="AO681">
            <v>3</v>
          </cell>
          <cell r="AS681">
            <v>-3</v>
          </cell>
          <cell r="AU681">
            <v>4</v>
          </cell>
          <cell r="AY681">
            <v>-4</v>
          </cell>
          <cell r="BA681">
            <v>5</v>
          </cell>
          <cell r="BE681">
            <v>-5</v>
          </cell>
          <cell r="BG681">
            <v>5</v>
          </cell>
          <cell r="BK681">
            <v>-5</v>
          </cell>
          <cell r="BM681">
            <v>3</v>
          </cell>
          <cell r="BP681">
            <v>3</v>
          </cell>
          <cell r="BW681" t="str">
            <v>Done</v>
          </cell>
          <cell r="BY681" t="str">
            <v>Approved</v>
          </cell>
          <cell r="DG681" t="str">
            <v/>
          </cell>
          <cell r="DM681">
            <v>45139</v>
          </cell>
          <cell r="DQ681">
            <v>45139</v>
          </cell>
          <cell r="DR681">
            <v>15</v>
          </cell>
          <cell r="DU681">
            <v>45154</v>
          </cell>
          <cell r="DV681">
            <v>0</v>
          </cell>
          <cell r="DW681">
            <v>45154</v>
          </cell>
          <cell r="DX681" t="str">
            <v>Aug 23 Week 3</v>
          </cell>
          <cell r="DZ681">
            <v>45139</v>
          </cell>
          <cell r="EA681" t="str">
            <v>Aug 23 Week 1</v>
          </cell>
          <cell r="EB681" t="str">
            <v>Plan</v>
          </cell>
          <cell r="ED681" t="str">
            <v/>
          </cell>
          <cell r="EE681" t="str">
            <v/>
          </cell>
          <cell r="EF681">
            <v>1</v>
          </cell>
          <cell r="FD681">
            <v>-15</v>
          </cell>
          <cell r="FE681" t="str">
            <v>On Time</v>
          </cell>
          <cell r="FF681">
            <v>45124</v>
          </cell>
          <cell r="FH681" t="str">
            <v>Done</v>
          </cell>
          <cell r="FI681" t="str">
            <v>Done</v>
          </cell>
          <cell r="FJ681" t="str">
            <v>NA</v>
          </cell>
          <cell r="FM681" t="str">
            <v/>
          </cell>
          <cell r="GG681" t="str">
            <v>2023-2024</v>
          </cell>
        </row>
        <row r="682">
          <cell r="E682" t="str">
            <v>South West Delhi</v>
          </cell>
          <cell r="F682" t="str">
            <v>10. Launched</v>
          </cell>
          <cell r="J682" t="str">
            <v>QFJE</v>
          </cell>
          <cell r="K682" t="str">
            <v xml:space="preserve">N </v>
          </cell>
          <cell r="L682" t="str">
            <v>KC</v>
          </cell>
          <cell r="Q682" t="str">
            <v>Gaurav Shinde</v>
          </cell>
          <cell r="S682" t="str">
            <v>Delhi</v>
          </cell>
          <cell r="T682" t="str">
            <v>Delhi</v>
          </cell>
          <cell r="U682" t="str">
            <v>Non Premium</v>
          </cell>
          <cell r="V682" t="str">
            <v>SIS</v>
          </cell>
          <cell r="W682">
            <v>250</v>
          </cell>
          <cell r="X682" t="str">
            <v>South West Delhi</v>
          </cell>
          <cell r="Z682" t="str">
            <v>NA</v>
          </cell>
          <cell r="AF682" t="str">
            <v>Done</v>
          </cell>
          <cell r="AG682" t="str">
            <v/>
          </cell>
          <cell r="AL682" t="str">
            <v>Received</v>
          </cell>
          <cell r="AO682">
            <v>3</v>
          </cell>
          <cell r="AS682">
            <v>-3</v>
          </cell>
          <cell r="AU682">
            <v>4</v>
          </cell>
          <cell r="AY682">
            <v>-4</v>
          </cell>
          <cell r="BA682">
            <v>5</v>
          </cell>
          <cell r="BE682">
            <v>-5</v>
          </cell>
          <cell r="BG682">
            <v>5</v>
          </cell>
          <cell r="BK682">
            <v>-5</v>
          </cell>
          <cell r="BM682">
            <v>3</v>
          </cell>
          <cell r="BP682">
            <v>3</v>
          </cell>
          <cell r="BW682" t="str">
            <v>Done</v>
          </cell>
          <cell r="BY682" t="str">
            <v>Approved</v>
          </cell>
          <cell r="DG682" t="str">
            <v/>
          </cell>
          <cell r="DM682">
            <v>45121</v>
          </cell>
          <cell r="DQ682">
            <v>45121</v>
          </cell>
          <cell r="DR682">
            <v>15</v>
          </cell>
          <cell r="DU682">
            <v>45136</v>
          </cell>
          <cell r="DV682">
            <v>0</v>
          </cell>
          <cell r="DW682">
            <v>45136</v>
          </cell>
          <cell r="DX682" t="str">
            <v>July 23 Week 5</v>
          </cell>
          <cell r="DZ682">
            <v>45121</v>
          </cell>
          <cell r="EA682" t="str">
            <v>July 23 Week 2</v>
          </cell>
          <cell r="EB682" t="str">
            <v>Plan</v>
          </cell>
          <cell r="ED682" t="str">
            <v/>
          </cell>
          <cell r="EE682" t="str">
            <v/>
          </cell>
          <cell r="EF682">
            <v>1</v>
          </cell>
          <cell r="FD682">
            <v>-15</v>
          </cell>
          <cell r="FE682" t="str">
            <v>On Time</v>
          </cell>
          <cell r="FF682">
            <v>45106</v>
          </cell>
          <cell r="FH682" t="str">
            <v>Done</v>
          </cell>
          <cell r="FI682" t="str">
            <v>Done</v>
          </cell>
          <cell r="FJ682" t="str">
            <v>NA</v>
          </cell>
          <cell r="FM682" t="str">
            <v/>
          </cell>
          <cell r="GG682" t="str">
            <v>2023-2024</v>
          </cell>
        </row>
        <row r="683">
          <cell r="E683" t="str">
            <v>West Delhi</v>
          </cell>
          <cell r="F683" t="str">
            <v>10. Launched</v>
          </cell>
          <cell r="J683" t="str">
            <v>QE8B</v>
          </cell>
          <cell r="K683" t="str">
            <v xml:space="preserve">N </v>
          </cell>
          <cell r="L683" t="str">
            <v>KC</v>
          </cell>
          <cell r="Q683" t="str">
            <v>Gaurav Shinde</v>
          </cell>
          <cell r="S683" t="str">
            <v>Delhi</v>
          </cell>
          <cell r="T683" t="str">
            <v>NEW DELHI</v>
          </cell>
          <cell r="U683" t="str">
            <v>Non Premium</v>
          </cell>
          <cell r="V683" t="str">
            <v>SIS</v>
          </cell>
          <cell r="W683">
            <v>250</v>
          </cell>
          <cell r="X683" t="str">
            <v>West Delhi</v>
          </cell>
          <cell r="Z683" t="str">
            <v>NA</v>
          </cell>
          <cell r="AF683" t="str">
            <v>Done</v>
          </cell>
          <cell r="AG683" t="str">
            <v/>
          </cell>
          <cell r="AL683" t="str">
            <v>Received</v>
          </cell>
          <cell r="AO683">
            <v>3</v>
          </cell>
          <cell r="AS683">
            <v>-3</v>
          </cell>
          <cell r="AU683">
            <v>4</v>
          </cell>
          <cell r="AY683">
            <v>-4</v>
          </cell>
          <cell r="BA683">
            <v>5</v>
          </cell>
          <cell r="BE683">
            <v>-5</v>
          </cell>
          <cell r="BG683">
            <v>5</v>
          </cell>
          <cell r="BK683">
            <v>-5</v>
          </cell>
          <cell r="BM683">
            <v>3</v>
          </cell>
          <cell r="BP683">
            <v>3</v>
          </cell>
          <cell r="BW683" t="str">
            <v>Done</v>
          </cell>
          <cell r="BY683" t="str">
            <v>Approved</v>
          </cell>
          <cell r="DG683" t="str">
            <v/>
          </cell>
          <cell r="DM683">
            <v>45121</v>
          </cell>
          <cell r="DQ683">
            <v>45121</v>
          </cell>
          <cell r="DR683">
            <v>15</v>
          </cell>
          <cell r="DU683">
            <v>45136</v>
          </cell>
          <cell r="DV683">
            <v>0</v>
          </cell>
          <cell r="DW683">
            <v>45136</v>
          </cell>
          <cell r="DX683" t="str">
            <v>July 23 Week 5</v>
          </cell>
          <cell r="DZ683">
            <v>45121</v>
          </cell>
          <cell r="EA683" t="str">
            <v>July 23 Week 2</v>
          </cell>
          <cell r="EB683" t="str">
            <v>Plan</v>
          </cell>
          <cell r="ED683" t="str">
            <v/>
          </cell>
          <cell r="EE683" t="str">
            <v/>
          </cell>
          <cell r="EF683">
            <v>1</v>
          </cell>
          <cell r="FD683">
            <v>-15</v>
          </cell>
          <cell r="FE683" t="str">
            <v>On Time</v>
          </cell>
          <cell r="FF683">
            <v>45106</v>
          </cell>
          <cell r="FH683" t="str">
            <v>Done</v>
          </cell>
          <cell r="FI683" t="str">
            <v>Done</v>
          </cell>
          <cell r="FJ683" t="str">
            <v>NA</v>
          </cell>
          <cell r="FM683" t="str">
            <v/>
          </cell>
          <cell r="GG683" t="str">
            <v>2023-2024</v>
          </cell>
        </row>
        <row r="684">
          <cell r="E684" t="str">
            <v>Rohtak</v>
          </cell>
          <cell r="F684" t="str">
            <v>10. Launched</v>
          </cell>
          <cell r="J684" t="str">
            <v>HND3</v>
          </cell>
          <cell r="K684" t="str">
            <v xml:space="preserve">N </v>
          </cell>
          <cell r="L684" t="str">
            <v>KC</v>
          </cell>
          <cell r="Q684" t="str">
            <v>Gaurav Shinde</v>
          </cell>
          <cell r="S684" t="str">
            <v>Haryana</v>
          </cell>
          <cell r="T684" t="str">
            <v>Rohtak</v>
          </cell>
          <cell r="U684" t="str">
            <v>Non Premium</v>
          </cell>
          <cell r="V684" t="str">
            <v>SIS</v>
          </cell>
          <cell r="W684">
            <v>250</v>
          </cell>
          <cell r="X684" t="str">
            <v>Rohtak</v>
          </cell>
          <cell r="Z684" t="str">
            <v>NA</v>
          </cell>
          <cell r="AF684" t="str">
            <v>Done</v>
          </cell>
          <cell r="AG684" t="str">
            <v/>
          </cell>
          <cell r="AL684" t="str">
            <v>Received</v>
          </cell>
          <cell r="AO684">
            <v>3</v>
          </cell>
          <cell r="AS684">
            <v>-3</v>
          </cell>
          <cell r="AU684">
            <v>4</v>
          </cell>
          <cell r="AY684">
            <v>-4</v>
          </cell>
          <cell r="BA684">
            <v>5</v>
          </cell>
          <cell r="BE684">
            <v>-5</v>
          </cell>
          <cell r="BG684">
            <v>5</v>
          </cell>
          <cell r="BK684">
            <v>-5</v>
          </cell>
          <cell r="BM684">
            <v>3</v>
          </cell>
          <cell r="BP684">
            <v>3</v>
          </cell>
          <cell r="BW684" t="str">
            <v>Done</v>
          </cell>
          <cell r="BY684" t="str">
            <v>Approved</v>
          </cell>
          <cell r="DG684" t="str">
            <v/>
          </cell>
          <cell r="DM684">
            <v>45117</v>
          </cell>
          <cell r="DQ684">
            <v>45117</v>
          </cell>
          <cell r="DR684">
            <v>15</v>
          </cell>
          <cell r="DU684">
            <v>45132</v>
          </cell>
          <cell r="DV684">
            <v>0</v>
          </cell>
          <cell r="DW684">
            <v>45132</v>
          </cell>
          <cell r="DX684" t="str">
            <v>July 23 Week 4</v>
          </cell>
          <cell r="DZ684">
            <v>45121</v>
          </cell>
          <cell r="EA684" t="str">
            <v>July 23 Week 2</v>
          </cell>
          <cell r="EB684" t="str">
            <v>Plan</v>
          </cell>
          <cell r="ED684" t="str">
            <v/>
          </cell>
          <cell r="EE684" t="str">
            <v/>
          </cell>
          <cell r="EF684">
            <v>1</v>
          </cell>
          <cell r="FD684">
            <v>-11</v>
          </cell>
          <cell r="FE684" t="str">
            <v>On Time</v>
          </cell>
          <cell r="FF684">
            <v>45106</v>
          </cell>
          <cell r="FH684" t="str">
            <v>Done</v>
          </cell>
          <cell r="FI684" t="str">
            <v>Done</v>
          </cell>
          <cell r="FJ684" t="str">
            <v>NA</v>
          </cell>
          <cell r="FM684" t="str">
            <v/>
          </cell>
          <cell r="GG684" t="str">
            <v>2023-2024</v>
          </cell>
        </row>
        <row r="685">
          <cell r="E685" t="str">
            <v>Minjur</v>
          </cell>
          <cell r="F685" t="str">
            <v>10. Launched</v>
          </cell>
          <cell r="J685" t="str">
            <v>QDJT</v>
          </cell>
          <cell r="K685" t="str">
            <v>S</v>
          </cell>
          <cell r="L685" t="str">
            <v>AK</v>
          </cell>
          <cell r="N685" t="str">
            <v>N Kalyankumar</v>
          </cell>
          <cell r="O685" t="str">
            <v>Muthuvelu Minnal /
Vijayakumar Muthusamy</v>
          </cell>
          <cell r="Q685" t="str">
            <v>Gaurav Shinde</v>
          </cell>
          <cell r="S685" t="str">
            <v>Tamil Nadu</v>
          </cell>
          <cell r="T685" t="str">
            <v>Chennai</v>
          </cell>
          <cell r="U685" t="str">
            <v>Non Premium</v>
          </cell>
          <cell r="V685" t="str">
            <v>SIS</v>
          </cell>
          <cell r="W685">
            <v>250</v>
          </cell>
          <cell r="X685" t="str">
            <v>Minjur</v>
          </cell>
          <cell r="Z685" t="str">
            <v>NA</v>
          </cell>
          <cell r="AF685" t="str">
            <v>Done</v>
          </cell>
          <cell r="AG685" t="str">
            <v/>
          </cell>
          <cell r="AL685" t="str">
            <v>Received</v>
          </cell>
          <cell r="AO685">
            <v>3</v>
          </cell>
          <cell r="AS685">
            <v>-3</v>
          </cell>
          <cell r="AU685">
            <v>4</v>
          </cell>
          <cell r="AY685">
            <v>-4</v>
          </cell>
          <cell r="BA685">
            <v>5</v>
          </cell>
          <cell r="BE685">
            <v>-5</v>
          </cell>
          <cell r="BG685">
            <v>5</v>
          </cell>
          <cell r="BK685">
            <v>-5</v>
          </cell>
          <cell r="BM685">
            <v>3</v>
          </cell>
          <cell r="BP685">
            <v>3</v>
          </cell>
          <cell r="BW685" t="str">
            <v>Done</v>
          </cell>
          <cell r="BY685" t="str">
            <v>Approved</v>
          </cell>
          <cell r="DG685" t="str">
            <v/>
          </cell>
          <cell r="DM685">
            <v>45141</v>
          </cell>
          <cell r="DQ685">
            <v>45141</v>
          </cell>
          <cell r="DR685">
            <v>15</v>
          </cell>
          <cell r="DU685">
            <v>45156</v>
          </cell>
          <cell r="DV685">
            <v>0</v>
          </cell>
          <cell r="DW685">
            <v>45156</v>
          </cell>
          <cell r="DX685" t="str">
            <v>Aug 23 Week 3</v>
          </cell>
          <cell r="DZ685">
            <v>45141</v>
          </cell>
          <cell r="EA685" t="str">
            <v>Aug 23 Week 1</v>
          </cell>
          <cell r="EB685" t="str">
            <v>Plan</v>
          </cell>
          <cell r="ED685" t="str">
            <v/>
          </cell>
          <cell r="EE685" t="str">
            <v/>
          </cell>
          <cell r="EF685">
            <v>1</v>
          </cell>
          <cell r="FD685">
            <v>-15</v>
          </cell>
          <cell r="FE685" t="str">
            <v>On Time</v>
          </cell>
          <cell r="FF685">
            <v>45126</v>
          </cell>
          <cell r="FH685" t="str">
            <v>Done</v>
          </cell>
          <cell r="FI685" t="str">
            <v>Done</v>
          </cell>
          <cell r="FJ685" t="str">
            <v>NA</v>
          </cell>
          <cell r="FM685" t="str">
            <v/>
          </cell>
          <cell r="GG685" t="str">
            <v>2023-2024</v>
          </cell>
        </row>
        <row r="686">
          <cell r="E686" t="str">
            <v>Tiruchirapalli</v>
          </cell>
          <cell r="F686" t="str">
            <v>10. Launched</v>
          </cell>
          <cell r="J686" t="str">
            <v>QCPK</v>
          </cell>
          <cell r="K686" t="str">
            <v>S</v>
          </cell>
          <cell r="L686" t="str">
            <v>AK</v>
          </cell>
          <cell r="N686" t="str">
            <v>N Kalyankumar</v>
          </cell>
          <cell r="O686" t="str">
            <v>Muthuvelu Minnal /
Vijayakumar Muthusamy</v>
          </cell>
          <cell r="Q686" t="str">
            <v>Gaurav Shinde</v>
          </cell>
          <cell r="S686" t="str">
            <v>Tamil Nadu</v>
          </cell>
          <cell r="T686" t="str">
            <v>Tiruchirapalli</v>
          </cell>
          <cell r="U686" t="str">
            <v>Non Premium</v>
          </cell>
          <cell r="V686" t="str">
            <v>SIS</v>
          </cell>
          <cell r="W686">
            <v>250</v>
          </cell>
          <cell r="X686" t="str">
            <v>Tiruchirapalli</v>
          </cell>
          <cell r="Z686" t="str">
            <v>NA</v>
          </cell>
          <cell r="AF686" t="str">
            <v>Done</v>
          </cell>
          <cell r="AG686" t="str">
            <v/>
          </cell>
          <cell r="AL686" t="str">
            <v>Received</v>
          </cell>
          <cell r="AO686">
            <v>3</v>
          </cell>
          <cell r="AS686">
            <v>-3</v>
          </cell>
          <cell r="AU686">
            <v>4</v>
          </cell>
          <cell r="AY686">
            <v>-4</v>
          </cell>
          <cell r="BA686">
            <v>5</v>
          </cell>
          <cell r="BE686">
            <v>-5</v>
          </cell>
          <cell r="BG686">
            <v>5</v>
          </cell>
          <cell r="BK686">
            <v>-5</v>
          </cell>
          <cell r="BM686">
            <v>3</v>
          </cell>
          <cell r="BP686">
            <v>3</v>
          </cell>
          <cell r="BW686" t="str">
            <v>Done</v>
          </cell>
          <cell r="BY686" t="str">
            <v>Approved</v>
          </cell>
          <cell r="DG686" t="str">
            <v/>
          </cell>
          <cell r="DM686">
            <v>45140</v>
          </cell>
          <cell r="DQ686">
            <v>45140</v>
          </cell>
          <cell r="DR686">
            <v>15</v>
          </cell>
          <cell r="DU686">
            <v>45155</v>
          </cell>
          <cell r="DV686">
            <v>0</v>
          </cell>
          <cell r="DW686">
            <v>45155</v>
          </cell>
          <cell r="DX686" t="str">
            <v>Aug 23 Week 3</v>
          </cell>
          <cell r="DZ686">
            <v>45140</v>
          </cell>
          <cell r="EA686" t="str">
            <v>Aug 23 Week 1</v>
          </cell>
          <cell r="EB686" t="str">
            <v>Plan</v>
          </cell>
          <cell r="ED686" t="str">
            <v/>
          </cell>
          <cell r="EE686" t="str">
            <v/>
          </cell>
          <cell r="EF686">
            <v>1</v>
          </cell>
          <cell r="FD686">
            <v>-15</v>
          </cell>
          <cell r="FE686" t="str">
            <v>On Time</v>
          </cell>
          <cell r="FF686">
            <v>45125</v>
          </cell>
          <cell r="FH686" t="str">
            <v>Done</v>
          </cell>
          <cell r="FI686" t="str">
            <v>Done</v>
          </cell>
          <cell r="FJ686" t="str">
            <v>NA</v>
          </cell>
          <cell r="FM686" t="str">
            <v/>
          </cell>
          <cell r="GG686" t="str">
            <v>2023-2024</v>
          </cell>
        </row>
        <row r="687">
          <cell r="E687" t="str">
            <v>Dehradun</v>
          </cell>
          <cell r="F687" t="str">
            <v>10. Launched</v>
          </cell>
          <cell r="J687" t="str">
            <v>QFJJ</v>
          </cell>
          <cell r="K687" t="str">
            <v xml:space="preserve">N </v>
          </cell>
          <cell r="L687" t="str">
            <v>KC</v>
          </cell>
          <cell r="Q687" t="str">
            <v>Gaurav Shinde</v>
          </cell>
          <cell r="S687" t="str">
            <v>Uttarakhand</v>
          </cell>
          <cell r="T687" t="str">
            <v>Dehradun</v>
          </cell>
          <cell r="U687" t="str">
            <v>Non Premium</v>
          </cell>
          <cell r="V687" t="str">
            <v>SIS</v>
          </cell>
          <cell r="W687">
            <v>250</v>
          </cell>
          <cell r="X687" t="str">
            <v>Dehradun</v>
          </cell>
          <cell r="Z687" t="str">
            <v>NA</v>
          </cell>
          <cell r="AF687" t="str">
            <v>Done</v>
          </cell>
          <cell r="AG687" t="str">
            <v/>
          </cell>
          <cell r="AL687" t="str">
            <v>Received</v>
          </cell>
          <cell r="AO687">
            <v>3</v>
          </cell>
          <cell r="AS687">
            <v>-3</v>
          </cell>
          <cell r="AU687">
            <v>4</v>
          </cell>
          <cell r="AY687">
            <v>-4</v>
          </cell>
          <cell r="BA687">
            <v>5</v>
          </cell>
          <cell r="BE687">
            <v>-5</v>
          </cell>
          <cell r="BG687">
            <v>5</v>
          </cell>
          <cell r="BK687">
            <v>-5</v>
          </cell>
          <cell r="BM687">
            <v>3</v>
          </cell>
          <cell r="BP687">
            <v>3</v>
          </cell>
          <cell r="BW687" t="str">
            <v>Done</v>
          </cell>
          <cell r="BY687" t="str">
            <v>Approved</v>
          </cell>
          <cell r="DG687" t="str">
            <v/>
          </cell>
          <cell r="DM687">
            <v>45196</v>
          </cell>
          <cell r="DP687" t="str">
            <v>Business</v>
          </cell>
          <cell r="DQ687">
            <v>45196</v>
          </cell>
          <cell r="DR687">
            <v>15</v>
          </cell>
          <cell r="DU687">
            <v>45211</v>
          </cell>
          <cell r="DW687">
            <v>45211</v>
          </cell>
          <cell r="DX687" t="str">
            <v>Oct 23 Week 2</v>
          </cell>
          <cell r="DZ687">
            <v>45196</v>
          </cell>
          <cell r="EA687" t="str">
            <v>Sep 23 Week 4</v>
          </cell>
          <cell r="EB687" t="str">
            <v>Plan</v>
          </cell>
          <cell r="ED687" t="str">
            <v/>
          </cell>
          <cell r="EE687" t="str">
            <v/>
          </cell>
          <cell r="EF687">
            <v>1</v>
          </cell>
          <cell r="FD687">
            <v>-15</v>
          </cell>
          <cell r="FE687" t="str">
            <v>On Time</v>
          </cell>
          <cell r="FH687" t="str">
            <v>Done</v>
          </cell>
          <cell r="FI687" t="str">
            <v>Done</v>
          </cell>
          <cell r="FJ687" t="str">
            <v>NA</v>
          </cell>
          <cell r="FM687" t="str">
            <v/>
          </cell>
          <cell r="GG687" t="str">
            <v>2023-2024</v>
          </cell>
        </row>
        <row r="688">
          <cell r="E688" t="str">
            <v xml:space="preserve">Nizamabad </v>
          </cell>
          <cell r="F688" t="str">
            <v>10. Launched</v>
          </cell>
          <cell r="J688" t="str">
            <v>QC7L</v>
          </cell>
          <cell r="K688" t="str">
            <v>S</v>
          </cell>
          <cell r="L688" t="str">
            <v>AK</v>
          </cell>
          <cell r="O688" t="str">
            <v>Rajshekhar M</v>
          </cell>
          <cell r="Q688" t="str">
            <v>Gaurav Shinde</v>
          </cell>
          <cell r="S688" t="str">
            <v>Telangana</v>
          </cell>
          <cell r="T688" t="str">
            <v xml:space="preserve">Nizamabad </v>
          </cell>
          <cell r="U688" t="str">
            <v>Non Premium</v>
          </cell>
          <cell r="V688" t="str">
            <v>SIS</v>
          </cell>
          <cell r="W688">
            <v>250</v>
          </cell>
          <cell r="X688" t="str">
            <v xml:space="preserve">Nizamabad </v>
          </cell>
          <cell r="Z688" t="str">
            <v>NA</v>
          </cell>
          <cell r="AF688" t="str">
            <v>Done</v>
          </cell>
          <cell r="AG688" t="str">
            <v/>
          </cell>
          <cell r="AL688" t="str">
            <v>Received</v>
          </cell>
          <cell r="AO688">
            <v>3</v>
          </cell>
          <cell r="AS688">
            <v>-3</v>
          </cell>
          <cell r="AU688">
            <v>4</v>
          </cell>
          <cell r="AY688">
            <v>-4</v>
          </cell>
          <cell r="BA688">
            <v>5</v>
          </cell>
          <cell r="BE688">
            <v>-5</v>
          </cell>
          <cell r="BG688">
            <v>5</v>
          </cell>
          <cell r="BK688">
            <v>-5</v>
          </cell>
          <cell r="BM688">
            <v>3</v>
          </cell>
          <cell r="BP688">
            <v>3</v>
          </cell>
          <cell r="BW688" t="str">
            <v>Done</v>
          </cell>
          <cell r="BY688" t="str">
            <v>Approved</v>
          </cell>
          <cell r="DG688" t="str">
            <v/>
          </cell>
          <cell r="DM688">
            <v>45140</v>
          </cell>
          <cell r="DQ688">
            <v>45140</v>
          </cell>
          <cell r="DR688">
            <v>15</v>
          </cell>
          <cell r="DU688">
            <v>45155</v>
          </cell>
          <cell r="DV688">
            <v>0</v>
          </cell>
          <cell r="DW688">
            <v>45155</v>
          </cell>
          <cell r="DX688" t="str">
            <v>Aug 23 Week 3</v>
          </cell>
          <cell r="DZ688">
            <v>45140</v>
          </cell>
          <cell r="EA688" t="str">
            <v>Aug 23 Week 1</v>
          </cell>
          <cell r="EB688" t="str">
            <v>Plan</v>
          </cell>
          <cell r="ED688" t="str">
            <v/>
          </cell>
          <cell r="EE688" t="str">
            <v/>
          </cell>
          <cell r="EF688">
            <v>1</v>
          </cell>
          <cell r="FD688">
            <v>-15</v>
          </cell>
          <cell r="FE688" t="str">
            <v>On Time</v>
          </cell>
          <cell r="FF688">
            <v>45125</v>
          </cell>
          <cell r="FH688" t="str">
            <v>Done</v>
          </cell>
          <cell r="FI688" t="str">
            <v>Done</v>
          </cell>
          <cell r="FJ688" t="str">
            <v>NA</v>
          </cell>
          <cell r="FM688" t="str">
            <v/>
          </cell>
          <cell r="GG688" t="str">
            <v>2023-2024</v>
          </cell>
        </row>
        <row r="689">
          <cell r="E689" t="str">
            <v>GUNTUR</v>
          </cell>
          <cell r="F689" t="str">
            <v>10. Launched</v>
          </cell>
          <cell r="J689" t="str">
            <v>NG51</v>
          </cell>
          <cell r="K689" t="str">
            <v>S</v>
          </cell>
          <cell r="L689" t="str">
            <v>AK</v>
          </cell>
          <cell r="N689" t="str">
            <v>Jaisingh Desai</v>
          </cell>
          <cell r="Q689" t="str">
            <v>Gaurav Shinde</v>
          </cell>
          <cell r="S689" t="str">
            <v>Andhra Pradesh</v>
          </cell>
          <cell r="T689" t="str">
            <v>GUNTUR</v>
          </cell>
          <cell r="U689" t="str">
            <v>Non Premium</v>
          </cell>
          <cell r="V689" t="str">
            <v>SIS</v>
          </cell>
          <cell r="W689">
            <v>250</v>
          </cell>
          <cell r="X689" t="str">
            <v>GUNTUR</v>
          </cell>
          <cell r="Z689" t="str">
            <v>NA</v>
          </cell>
          <cell r="AF689" t="str">
            <v>Done</v>
          </cell>
          <cell r="AG689" t="str">
            <v/>
          </cell>
          <cell r="AL689" t="str">
            <v>Received</v>
          </cell>
          <cell r="AO689">
            <v>3</v>
          </cell>
          <cell r="AS689">
            <v>-3</v>
          </cell>
          <cell r="AU689">
            <v>4</v>
          </cell>
          <cell r="AY689">
            <v>-4</v>
          </cell>
          <cell r="BA689">
            <v>5</v>
          </cell>
          <cell r="BE689">
            <v>-5</v>
          </cell>
          <cell r="BG689">
            <v>5</v>
          </cell>
          <cell r="BK689">
            <v>-5</v>
          </cell>
          <cell r="BM689">
            <v>3</v>
          </cell>
          <cell r="BP689">
            <v>3</v>
          </cell>
          <cell r="BW689" t="str">
            <v>Done</v>
          </cell>
          <cell r="BY689" t="str">
            <v>Approved</v>
          </cell>
          <cell r="DG689" t="str">
            <v/>
          </cell>
          <cell r="DM689">
            <v>45121</v>
          </cell>
          <cell r="DQ689">
            <v>45121</v>
          </cell>
          <cell r="DR689">
            <v>15</v>
          </cell>
          <cell r="DU689">
            <v>45136</v>
          </cell>
          <cell r="DV689">
            <v>0</v>
          </cell>
          <cell r="DW689">
            <v>45136</v>
          </cell>
          <cell r="DX689" t="str">
            <v>July 23 Week 5</v>
          </cell>
          <cell r="DZ689">
            <v>45121</v>
          </cell>
          <cell r="EA689" t="str">
            <v>July 23 Week 2</v>
          </cell>
          <cell r="EB689" t="str">
            <v>Plan</v>
          </cell>
          <cell r="ED689" t="str">
            <v/>
          </cell>
          <cell r="EE689" t="str">
            <v/>
          </cell>
          <cell r="EF689">
            <v>1</v>
          </cell>
          <cell r="FD689">
            <v>-15</v>
          </cell>
          <cell r="FE689" t="str">
            <v>On Time</v>
          </cell>
          <cell r="FF689">
            <v>45106</v>
          </cell>
          <cell r="FH689" t="str">
            <v>Done</v>
          </cell>
          <cell r="FI689" t="str">
            <v>Done</v>
          </cell>
          <cell r="FJ689" t="str">
            <v>NA</v>
          </cell>
          <cell r="FM689" t="str">
            <v/>
          </cell>
          <cell r="GG689" t="str">
            <v>2023-2024</v>
          </cell>
        </row>
        <row r="690">
          <cell r="E690" t="str">
            <v>Vijaywada</v>
          </cell>
          <cell r="F690" t="str">
            <v>10. Launched</v>
          </cell>
          <cell r="J690" t="str">
            <v>QQT8</v>
          </cell>
          <cell r="K690" t="str">
            <v>S</v>
          </cell>
          <cell r="L690" t="str">
            <v>AK</v>
          </cell>
          <cell r="N690" t="str">
            <v>Jaisingh Desai</v>
          </cell>
          <cell r="Q690" t="str">
            <v>Gaurav Shinde</v>
          </cell>
          <cell r="S690" t="str">
            <v>Andhra Pradesh</v>
          </cell>
          <cell r="T690" t="str">
            <v>Vijaywada</v>
          </cell>
          <cell r="U690" t="str">
            <v>Non Premium</v>
          </cell>
          <cell r="V690" t="str">
            <v>SIS</v>
          </cell>
          <cell r="W690">
            <v>250</v>
          </cell>
          <cell r="X690" t="str">
            <v>Vijaywada</v>
          </cell>
          <cell r="Z690" t="str">
            <v>NA</v>
          </cell>
          <cell r="AF690" t="str">
            <v>Done</v>
          </cell>
          <cell r="AG690" t="str">
            <v/>
          </cell>
          <cell r="AL690" t="str">
            <v>Received</v>
          </cell>
          <cell r="AO690">
            <v>3</v>
          </cell>
          <cell r="AS690">
            <v>-3</v>
          </cell>
          <cell r="AU690">
            <v>4</v>
          </cell>
          <cell r="AY690">
            <v>-4</v>
          </cell>
          <cell r="BA690">
            <v>5</v>
          </cell>
          <cell r="BE690">
            <v>-5</v>
          </cell>
          <cell r="BG690">
            <v>5</v>
          </cell>
          <cell r="BK690">
            <v>-5</v>
          </cell>
          <cell r="BM690">
            <v>3</v>
          </cell>
          <cell r="BP690">
            <v>3</v>
          </cell>
          <cell r="BW690" t="str">
            <v>Done</v>
          </cell>
          <cell r="BY690" t="str">
            <v>Approved</v>
          </cell>
          <cell r="DG690" t="str">
            <v/>
          </cell>
          <cell r="DM690">
            <v>45142</v>
          </cell>
          <cell r="DQ690">
            <v>45142</v>
          </cell>
          <cell r="DR690">
            <v>15</v>
          </cell>
          <cell r="DU690">
            <v>45157</v>
          </cell>
          <cell r="DV690">
            <v>0</v>
          </cell>
          <cell r="DW690">
            <v>45157</v>
          </cell>
          <cell r="DX690" t="str">
            <v>Aug 23 Week 3</v>
          </cell>
          <cell r="DZ690">
            <v>45143</v>
          </cell>
          <cell r="EA690" t="str">
            <v>Aug 23 Week 1</v>
          </cell>
          <cell r="EB690" t="str">
            <v>Plan</v>
          </cell>
          <cell r="ED690" t="str">
            <v/>
          </cell>
          <cell r="EE690" t="str">
            <v/>
          </cell>
          <cell r="EF690">
            <v>1</v>
          </cell>
          <cell r="FD690">
            <v>-14</v>
          </cell>
          <cell r="FE690" t="str">
            <v>On Time</v>
          </cell>
          <cell r="FF690">
            <v>45128</v>
          </cell>
          <cell r="FH690" t="str">
            <v>Done</v>
          </cell>
          <cell r="FI690" t="str">
            <v>Done</v>
          </cell>
          <cell r="FJ690" t="str">
            <v>NA</v>
          </cell>
          <cell r="FM690" t="str">
            <v/>
          </cell>
          <cell r="GG690" t="str">
            <v>2023-2024</v>
          </cell>
        </row>
        <row r="691">
          <cell r="E691" t="str">
            <v>Haridwar</v>
          </cell>
          <cell r="F691" t="str">
            <v>14. Dropped</v>
          </cell>
          <cell r="J691" t="str">
            <v>QFIP</v>
          </cell>
          <cell r="K691" t="str">
            <v xml:space="preserve">N </v>
          </cell>
          <cell r="L691" t="str">
            <v>KC</v>
          </cell>
          <cell r="Q691" t="str">
            <v>Gaurav Shinde</v>
          </cell>
          <cell r="S691" t="str">
            <v>Uttarakhand</v>
          </cell>
          <cell r="T691" t="str">
            <v>Haridwar</v>
          </cell>
          <cell r="U691" t="str">
            <v>Non Premium</v>
          </cell>
          <cell r="V691" t="str">
            <v>SIS</v>
          </cell>
          <cell r="W691">
            <v>250</v>
          </cell>
          <cell r="X691" t="str">
            <v>Haridwar</v>
          </cell>
          <cell r="Z691" t="str">
            <v>NA</v>
          </cell>
          <cell r="AG691" t="str">
            <v/>
          </cell>
          <cell r="AO691">
            <v>3</v>
          </cell>
          <cell r="AS691">
            <v>-3</v>
          </cell>
          <cell r="AU691">
            <v>4</v>
          </cell>
          <cell r="AY691">
            <v>-4</v>
          </cell>
          <cell r="BA691">
            <v>5</v>
          </cell>
          <cell r="BE691">
            <v>-5</v>
          </cell>
          <cell r="BG691">
            <v>5</v>
          </cell>
          <cell r="BK691">
            <v>-5</v>
          </cell>
          <cell r="BM691">
            <v>3</v>
          </cell>
          <cell r="BP691">
            <v>3</v>
          </cell>
          <cell r="DG691" t="str">
            <v/>
          </cell>
          <cell r="DM691">
            <v>46121</v>
          </cell>
          <cell r="DO691" t="str">
            <v>Business</v>
          </cell>
          <cell r="DR691">
            <v>15</v>
          </cell>
          <cell r="DU691">
            <v>15</v>
          </cell>
          <cell r="DV691">
            <v>0</v>
          </cell>
          <cell r="DW691">
            <v>15</v>
          </cell>
          <cell r="EA691" t="str">
            <v/>
          </cell>
          <cell r="ED691" t="str">
            <v/>
          </cell>
          <cell r="EE691" t="str">
            <v/>
          </cell>
          <cell r="EF691">
            <v>1</v>
          </cell>
          <cell r="FD691">
            <v>46106</v>
          </cell>
          <cell r="FF691">
            <v>46106</v>
          </cell>
          <cell r="FJ691" t="str">
            <v>NA</v>
          </cell>
          <cell r="FM691" t="str">
            <v/>
          </cell>
          <cell r="GG691" t="str">
            <v>2024-2025</v>
          </cell>
        </row>
        <row r="692">
          <cell r="E692" t="str">
            <v>Bazpur</v>
          </cell>
          <cell r="F692" t="str">
            <v>10. Launched</v>
          </cell>
          <cell r="J692" t="str">
            <v>QFED</v>
          </cell>
          <cell r="K692" t="str">
            <v xml:space="preserve">N </v>
          </cell>
          <cell r="L692" t="str">
            <v>KC</v>
          </cell>
          <cell r="Q692" t="str">
            <v>Gaurav Shinde</v>
          </cell>
          <cell r="S692" t="str">
            <v>Delhi</v>
          </cell>
          <cell r="T692" t="str">
            <v>Bazpur</v>
          </cell>
          <cell r="U692" t="str">
            <v>Non Premium</v>
          </cell>
          <cell r="V692" t="str">
            <v>SIS</v>
          </cell>
          <cell r="W692">
            <v>250</v>
          </cell>
          <cell r="X692" t="str">
            <v>Bazpur</v>
          </cell>
          <cell r="Z692" t="str">
            <v>NA</v>
          </cell>
          <cell r="AF692" t="str">
            <v>Done</v>
          </cell>
          <cell r="AG692" t="str">
            <v/>
          </cell>
          <cell r="AL692" t="str">
            <v>Received</v>
          </cell>
          <cell r="AO692">
            <v>3</v>
          </cell>
          <cell r="AS692">
            <v>-3</v>
          </cell>
          <cell r="AU692">
            <v>4</v>
          </cell>
          <cell r="AY692">
            <v>-4</v>
          </cell>
          <cell r="BA692">
            <v>5</v>
          </cell>
          <cell r="BE692">
            <v>-5</v>
          </cell>
          <cell r="BG692">
            <v>5</v>
          </cell>
          <cell r="BK692">
            <v>-5</v>
          </cell>
          <cell r="BM692">
            <v>3</v>
          </cell>
          <cell r="BP692">
            <v>3</v>
          </cell>
          <cell r="BW692" t="str">
            <v>Done</v>
          </cell>
          <cell r="BY692" t="str">
            <v>Approved</v>
          </cell>
          <cell r="DG692" t="str">
            <v/>
          </cell>
          <cell r="DM692">
            <v>45154</v>
          </cell>
          <cell r="DP692" t="str">
            <v>Business</v>
          </cell>
          <cell r="DQ692">
            <v>45154</v>
          </cell>
          <cell r="DR692">
            <v>15</v>
          </cell>
          <cell r="DU692">
            <v>45169</v>
          </cell>
          <cell r="DW692">
            <v>45169</v>
          </cell>
          <cell r="DX692" t="str">
            <v>Aug 23 Week 5</v>
          </cell>
          <cell r="DZ692">
            <v>45154</v>
          </cell>
          <cell r="EA692" t="str">
            <v>Aug 23 Week 3</v>
          </cell>
          <cell r="EB692" t="str">
            <v>Plan</v>
          </cell>
          <cell r="ED692" t="str">
            <v/>
          </cell>
          <cell r="EE692" t="str">
            <v/>
          </cell>
          <cell r="EF692">
            <v>1</v>
          </cell>
          <cell r="FD692">
            <v>-15</v>
          </cell>
          <cell r="FE692" t="str">
            <v>On Time</v>
          </cell>
          <cell r="FH692" t="str">
            <v>Done</v>
          </cell>
          <cell r="FI692" t="str">
            <v>Done</v>
          </cell>
          <cell r="FJ692" t="str">
            <v>NA</v>
          </cell>
          <cell r="FM692" t="str">
            <v/>
          </cell>
          <cell r="GG692" t="str">
            <v>2023-2024</v>
          </cell>
        </row>
        <row r="693">
          <cell r="E693" t="str">
            <v>Jaipur</v>
          </cell>
          <cell r="F693" t="str">
            <v>14. Dropped</v>
          </cell>
          <cell r="J693" t="str">
            <v>QFAY</v>
          </cell>
          <cell r="K693" t="str">
            <v xml:space="preserve">N </v>
          </cell>
          <cell r="L693" t="str">
            <v>KC</v>
          </cell>
          <cell r="Q693" t="str">
            <v>Gaurav Shinde</v>
          </cell>
          <cell r="S693" t="str">
            <v>Rajasthan</v>
          </cell>
          <cell r="T693" t="str">
            <v>Jaipur</v>
          </cell>
          <cell r="U693" t="str">
            <v>Non Premium</v>
          </cell>
          <cell r="V693" t="str">
            <v>SIS</v>
          </cell>
          <cell r="W693">
            <v>250</v>
          </cell>
          <cell r="X693" t="str">
            <v>Jaipur</v>
          </cell>
          <cell r="Z693" t="str">
            <v>NA</v>
          </cell>
          <cell r="AG693" t="str">
            <v/>
          </cell>
          <cell r="AO693">
            <v>3</v>
          </cell>
          <cell r="AS693">
            <v>-3</v>
          </cell>
          <cell r="AU693">
            <v>4</v>
          </cell>
          <cell r="AY693">
            <v>-4</v>
          </cell>
          <cell r="BA693">
            <v>5</v>
          </cell>
          <cell r="BE693">
            <v>-5</v>
          </cell>
          <cell r="BG693">
            <v>5</v>
          </cell>
          <cell r="BK693">
            <v>-5</v>
          </cell>
          <cell r="BM693">
            <v>3</v>
          </cell>
          <cell r="BP693">
            <v>3</v>
          </cell>
          <cell r="DG693" t="str">
            <v/>
          </cell>
          <cell r="DM693">
            <v>46121</v>
          </cell>
          <cell r="DO693" t="str">
            <v>Business</v>
          </cell>
          <cell r="DR693">
            <v>15</v>
          </cell>
          <cell r="DU693">
            <v>15</v>
          </cell>
          <cell r="DV693">
            <v>0</v>
          </cell>
          <cell r="DW693">
            <v>15</v>
          </cell>
          <cell r="EA693" t="str">
            <v/>
          </cell>
          <cell r="ED693" t="str">
            <v/>
          </cell>
          <cell r="EE693" t="str">
            <v/>
          </cell>
          <cell r="EF693">
            <v>1</v>
          </cell>
          <cell r="FD693">
            <v>46106</v>
          </cell>
          <cell r="FF693">
            <v>46106</v>
          </cell>
          <cell r="FJ693" t="str">
            <v>NA</v>
          </cell>
          <cell r="FM693" t="str">
            <v/>
          </cell>
          <cell r="GG693" t="str">
            <v>2024-2025</v>
          </cell>
        </row>
        <row r="694">
          <cell r="E694" t="str">
            <v>Burhanpur</v>
          </cell>
          <cell r="F694" t="str">
            <v>10. Launched</v>
          </cell>
          <cell r="J694" t="str">
            <v>ENAI</v>
          </cell>
          <cell r="K694" t="str">
            <v>W</v>
          </cell>
          <cell r="L694" t="str">
            <v>KC</v>
          </cell>
          <cell r="Q694" t="str">
            <v>Gaurav Shinde</v>
          </cell>
          <cell r="S694" t="str">
            <v>Madhya Pradesh</v>
          </cell>
          <cell r="T694" t="str">
            <v>Burhanpur</v>
          </cell>
          <cell r="U694" t="str">
            <v>Non Premium</v>
          </cell>
          <cell r="V694" t="str">
            <v>SIS</v>
          </cell>
          <cell r="W694">
            <v>250</v>
          </cell>
          <cell r="X694" t="str">
            <v>Burhanpur</v>
          </cell>
          <cell r="Z694" t="str">
            <v>NA</v>
          </cell>
          <cell r="AF694" t="str">
            <v>Done</v>
          </cell>
          <cell r="AG694" t="str">
            <v/>
          </cell>
          <cell r="AL694" t="str">
            <v>Received</v>
          </cell>
          <cell r="AO694">
            <v>3</v>
          </cell>
          <cell r="AS694">
            <v>-3</v>
          </cell>
          <cell r="AU694">
            <v>4</v>
          </cell>
          <cell r="AY694">
            <v>-4</v>
          </cell>
          <cell r="BA694">
            <v>5</v>
          </cell>
          <cell r="BE694">
            <v>-5</v>
          </cell>
          <cell r="BG694">
            <v>5</v>
          </cell>
          <cell r="BK694">
            <v>-5</v>
          </cell>
          <cell r="BM694">
            <v>3</v>
          </cell>
          <cell r="BP694">
            <v>3</v>
          </cell>
          <cell r="BW694" t="str">
            <v>Done</v>
          </cell>
          <cell r="BY694" t="str">
            <v>Approved</v>
          </cell>
          <cell r="DG694" t="str">
            <v/>
          </cell>
          <cell r="DM694">
            <v>45161</v>
          </cell>
          <cell r="DP694" t="str">
            <v>Business</v>
          </cell>
          <cell r="DQ694">
            <v>45161</v>
          </cell>
          <cell r="DR694">
            <v>15</v>
          </cell>
          <cell r="DU694">
            <v>45176</v>
          </cell>
          <cell r="DW694">
            <v>45176</v>
          </cell>
          <cell r="DX694" t="str">
            <v>Sep 23 Week 1</v>
          </cell>
          <cell r="DZ694">
            <v>45161</v>
          </cell>
          <cell r="EA694" t="str">
            <v>Aug 23 Week 4</v>
          </cell>
          <cell r="EB694" t="str">
            <v>Plan</v>
          </cell>
          <cell r="ED694" t="str">
            <v/>
          </cell>
          <cell r="EE694" t="str">
            <v/>
          </cell>
          <cell r="EF694">
            <v>1</v>
          </cell>
          <cell r="FD694">
            <v>-15</v>
          </cell>
          <cell r="FE694" t="str">
            <v>On Time</v>
          </cell>
          <cell r="FH694" t="str">
            <v>Done</v>
          </cell>
          <cell r="FI694" t="str">
            <v>Done</v>
          </cell>
          <cell r="FJ694" t="str">
            <v>NA</v>
          </cell>
          <cell r="FM694" t="str">
            <v/>
          </cell>
          <cell r="GG694" t="str">
            <v>2023-2024</v>
          </cell>
        </row>
        <row r="695">
          <cell r="E695" t="str">
            <v>Dhanpur</v>
          </cell>
          <cell r="F695" t="str">
            <v>10. Launched</v>
          </cell>
          <cell r="J695" t="str">
            <v>QBEZ</v>
          </cell>
          <cell r="K695" t="str">
            <v>W</v>
          </cell>
          <cell r="L695" t="str">
            <v>KC</v>
          </cell>
          <cell r="Q695" t="str">
            <v>Gaurav Shinde</v>
          </cell>
          <cell r="S695" t="str">
            <v>Madhya Pradesh</v>
          </cell>
          <cell r="T695" t="str">
            <v>Dhanpur</v>
          </cell>
          <cell r="U695" t="str">
            <v>Non Premium</v>
          </cell>
          <cell r="V695" t="str">
            <v>SIS</v>
          </cell>
          <cell r="W695">
            <v>250</v>
          </cell>
          <cell r="X695" t="str">
            <v>Dhanpur</v>
          </cell>
          <cell r="Z695" t="str">
            <v>NA</v>
          </cell>
          <cell r="AF695" t="str">
            <v>Done</v>
          </cell>
          <cell r="AG695" t="str">
            <v/>
          </cell>
          <cell r="AL695" t="str">
            <v>Received</v>
          </cell>
          <cell r="AO695">
            <v>3</v>
          </cell>
          <cell r="AS695">
            <v>-3</v>
          </cell>
          <cell r="AU695">
            <v>4</v>
          </cell>
          <cell r="AY695">
            <v>-4</v>
          </cell>
          <cell r="BA695">
            <v>5</v>
          </cell>
          <cell r="BE695">
            <v>-5</v>
          </cell>
          <cell r="BG695">
            <v>5</v>
          </cell>
          <cell r="BK695">
            <v>-5</v>
          </cell>
          <cell r="BM695">
            <v>3</v>
          </cell>
          <cell r="BW695" t="str">
            <v>Done</v>
          </cell>
          <cell r="BY695" t="str">
            <v>Approved</v>
          </cell>
          <cell r="DG695" t="str">
            <v/>
          </cell>
          <cell r="DM695">
            <v>45121</v>
          </cell>
          <cell r="DQ695">
            <v>45121</v>
          </cell>
          <cell r="DR695">
            <v>15</v>
          </cell>
          <cell r="DU695">
            <v>45136</v>
          </cell>
          <cell r="DV695">
            <v>0</v>
          </cell>
          <cell r="DW695">
            <v>45136</v>
          </cell>
          <cell r="DX695" t="str">
            <v>July 23 Week 5</v>
          </cell>
          <cell r="DZ695">
            <v>45121</v>
          </cell>
          <cell r="EA695" t="str">
            <v>July 23 Week 2</v>
          </cell>
          <cell r="EB695" t="str">
            <v>Plan</v>
          </cell>
          <cell r="ED695" t="str">
            <v/>
          </cell>
          <cell r="EE695" t="str">
            <v/>
          </cell>
          <cell r="FD695">
            <v>-15</v>
          </cell>
          <cell r="FE695" t="str">
            <v>On Time</v>
          </cell>
          <cell r="FF695">
            <v>45106</v>
          </cell>
          <cell r="FH695" t="str">
            <v>Done</v>
          </cell>
          <cell r="FI695" t="str">
            <v>Done</v>
          </cell>
          <cell r="FJ695" t="str">
            <v>NA</v>
          </cell>
          <cell r="FM695" t="str">
            <v/>
          </cell>
          <cell r="GG695" t="str">
            <v>2023-2024</v>
          </cell>
        </row>
        <row r="696">
          <cell r="E696" t="str">
            <v>Guwahati</v>
          </cell>
          <cell r="F696" t="str">
            <v>14. Dropped</v>
          </cell>
          <cell r="J696" t="str">
            <v>QDVO</v>
          </cell>
          <cell r="K696" t="str">
            <v xml:space="preserve">E </v>
          </cell>
          <cell r="L696" t="str">
            <v>SD</v>
          </cell>
          <cell r="N696" t="str">
            <v>Debal Chatterjee</v>
          </cell>
          <cell r="O696" t="str">
            <v>Anup das (EXCEPT SIKKIM)</v>
          </cell>
          <cell r="Q696" t="str">
            <v>Gaurav Shinde</v>
          </cell>
          <cell r="S696" t="str">
            <v>Assam</v>
          </cell>
          <cell r="T696" t="str">
            <v>Guwahati</v>
          </cell>
          <cell r="U696" t="str">
            <v>Non Premium</v>
          </cell>
          <cell r="V696" t="str">
            <v>SIS</v>
          </cell>
          <cell r="W696">
            <v>250</v>
          </cell>
          <cell r="X696" t="str">
            <v>Guwahati</v>
          </cell>
          <cell r="Z696" t="str">
            <v>NA</v>
          </cell>
          <cell r="AG696" t="str">
            <v/>
          </cell>
          <cell r="AO696">
            <v>3</v>
          </cell>
          <cell r="AS696">
            <v>-3</v>
          </cell>
          <cell r="AU696">
            <v>4</v>
          </cell>
          <cell r="AY696">
            <v>-4</v>
          </cell>
          <cell r="BA696">
            <v>5</v>
          </cell>
          <cell r="BE696">
            <v>-5</v>
          </cell>
          <cell r="BG696">
            <v>5</v>
          </cell>
          <cell r="BK696">
            <v>-5</v>
          </cell>
          <cell r="BM696">
            <v>3</v>
          </cell>
          <cell r="DG696" t="str">
            <v/>
          </cell>
          <cell r="DM696">
            <v>46121</v>
          </cell>
          <cell r="DO696" t="str">
            <v>Business</v>
          </cell>
          <cell r="DR696">
            <v>15</v>
          </cell>
          <cell r="DU696">
            <v>15</v>
          </cell>
          <cell r="DV696">
            <v>0</v>
          </cell>
          <cell r="DW696">
            <v>15</v>
          </cell>
          <cell r="EA696" t="str">
            <v/>
          </cell>
          <cell r="ED696" t="str">
            <v/>
          </cell>
          <cell r="EE696" t="str">
            <v/>
          </cell>
          <cell r="FD696">
            <v>46106</v>
          </cell>
          <cell r="FF696">
            <v>46106</v>
          </cell>
          <cell r="FJ696" t="str">
            <v>NA</v>
          </cell>
          <cell r="FM696" t="str">
            <v/>
          </cell>
          <cell r="GG696" t="str">
            <v>2024-2025</v>
          </cell>
        </row>
        <row r="697">
          <cell r="E697" t="str">
            <v>Sangli</v>
          </cell>
          <cell r="F697" t="str">
            <v>10. Launched</v>
          </cell>
          <cell r="J697" t="str">
            <v>QCOI</v>
          </cell>
          <cell r="K697" t="str">
            <v>W</v>
          </cell>
          <cell r="L697" t="str">
            <v>KC</v>
          </cell>
          <cell r="Q697" t="str">
            <v>Gaurav Shinde</v>
          </cell>
          <cell r="S697" t="str">
            <v>Maharashtra</v>
          </cell>
          <cell r="T697" t="str">
            <v>Sangli</v>
          </cell>
          <cell r="U697" t="str">
            <v>Non Premium</v>
          </cell>
          <cell r="V697" t="str">
            <v>SIS</v>
          </cell>
          <cell r="W697">
            <v>250</v>
          </cell>
          <cell r="X697" t="str">
            <v>Sangli</v>
          </cell>
          <cell r="Z697" t="str">
            <v>NA</v>
          </cell>
          <cell r="AF697" t="str">
            <v>Done</v>
          </cell>
          <cell r="AG697" t="str">
            <v/>
          </cell>
          <cell r="AL697" t="str">
            <v>Received</v>
          </cell>
          <cell r="AO697">
            <v>3</v>
          </cell>
          <cell r="AS697">
            <v>-3</v>
          </cell>
          <cell r="AU697">
            <v>4</v>
          </cell>
          <cell r="AY697">
            <v>-4</v>
          </cell>
          <cell r="BA697">
            <v>5</v>
          </cell>
          <cell r="BE697">
            <v>-5</v>
          </cell>
          <cell r="BG697">
            <v>5</v>
          </cell>
          <cell r="BK697">
            <v>-5</v>
          </cell>
          <cell r="BM697">
            <v>3</v>
          </cell>
          <cell r="BW697" t="str">
            <v>Done</v>
          </cell>
          <cell r="BY697" t="str">
            <v>Approved</v>
          </cell>
          <cell r="DG697" t="str">
            <v/>
          </cell>
          <cell r="DM697">
            <v>45140</v>
          </cell>
          <cell r="DQ697">
            <v>45140</v>
          </cell>
          <cell r="DR697">
            <v>15</v>
          </cell>
          <cell r="DU697">
            <v>45155</v>
          </cell>
          <cell r="DV697">
            <v>0</v>
          </cell>
          <cell r="DW697">
            <v>45155</v>
          </cell>
          <cell r="DX697" t="str">
            <v>Aug 23 Week 3</v>
          </cell>
          <cell r="DZ697">
            <v>45140</v>
          </cell>
          <cell r="EA697" t="str">
            <v>Aug 23 Week 1</v>
          </cell>
          <cell r="EB697" t="str">
            <v>Plan</v>
          </cell>
          <cell r="ED697" t="str">
            <v/>
          </cell>
          <cell r="EE697" t="str">
            <v/>
          </cell>
          <cell r="FD697">
            <v>-15</v>
          </cell>
          <cell r="FE697" t="str">
            <v>On Time</v>
          </cell>
          <cell r="FF697">
            <v>45125</v>
          </cell>
          <cell r="FH697" t="str">
            <v>Done</v>
          </cell>
          <cell r="FI697" t="str">
            <v>Done</v>
          </cell>
          <cell r="FJ697" t="str">
            <v>NA</v>
          </cell>
          <cell r="FM697" t="str">
            <v/>
          </cell>
          <cell r="GG697" t="str">
            <v>2023-2024</v>
          </cell>
        </row>
        <row r="698">
          <cell r="E698" t="str">
            <v>Plot No141 &amp; 143 Partin Syno62 Block  , Hyderabad , 4Swaroopanagaruppal Village &amp; Mandal  , HYDERABAD , 500039</v>
          </cell>
          <cell r="F698" t="str">
            <v>9. EPC Ready</v>
          </cell>
          <cell r="G698" t="str">
            <v>SPTSHYC1781</v>
          </cell>
          <cell r="H698" t="str">
            <v>AP-SM-HYD-3049</v>
          </cell>
          <cell r="I698" t="str">
            <v>TXCV</v>
          </cell>
          <cell r="J698" t="str">
            <v>Q8HH</v>
          </cell>
          <cell r="K698" t="str">
            <v>E</v>
          </cell>
          <cell r="L698" t="str">
            <v>AK</v>
          </cell>
          <cell r="M698" t="str">
            <v>EPC Ready Pharmacy 200 SFT</v>
          </cell>
          <cell r="Q698" t="str">
            <v>Gaurav Shinde</v>
          </cell>
          <cell r="S698" t="str">
            <v>Telangana</v>
          </cell>
          <cell r="T698" t="str">
            <v>HYDERABAD</v>
          </cell>
          <cell r="U698" t="str">
            <v>Non Premium</v>
          </cell>
          <cell r="V698" t="str">
            <v>Pharma Format</v>
          </cell>
          <cell r="W698">
            <v>250</v>
          </cell>
          <cell r="X698" t="str">
            <v>Plot No141 &amp; 143 Partin Syno62 Block  , Hyderabad , 4Swaroopanagaruppal Village &amp; Mandal  , HYDERABAD , 500039</v>
          </cell>
          <cell r="Z698" t="str">
            <v>NA</v>
          </cell>
          <cell r="AB698" t="str">
            <v>NA</v>
          </cell>
          <cell r="AF698" t="str">
            <v>NA</v>
          </cell>
          <cell r="AK698">
            <v>45181</v>
          </cell>
          <cell r="AL698" t="str">
            <v>Received</v>
          </cell>
          <cell r="BW698" t="str">
            <v>Done</v>
          </cell>
          <cell r="BX698">
            <v>45079</v>
          </cell>
          <cell r="BY698" t="str">
            <v>Approved</v>
          </cell>
          <cell r="CD698">
            <v>45209</v>
          </cell>
          <cell r="CE698">
            <v>45216</v>
          </cell>
          <cell r="CG698" t="str">
            <v>M/s BMR ENGINEERING SERVICES</v>
          </cell>
          <cell r="DM698">
            <v>45209</v>
          </cell>
          <cell r="DQ698">
            <v>45209</v>
          </cell>
          <cell r="DR698">
            <v>7</v>
          </cell>
          <cell r="DU698">
            <v>45216</v>
          </cell>
          <cell r="DV698">
            <v>0</v>
          </cell>
          <cell r="DW698">
            <v>45216</v>
          </cell>
          <cell r="DX698" t="str">
            <v>Oct 23 Week 3</v>
          </cell>
          <cell r="DZ698">
            <v>45216</v>
          </cell>
          <cell r="EA698" t="str">
            <v>Oct 23 Week 3</v>
          </cell>
          <cell r="ED698" t="str">
            <v/>
          </cell>
          <cell r="EE698" t="str">
            <v/>
          </cell>
          <cell r="FD698">
            <v>0</v>
          </cell>
          <cell r="FE698" t="str">
            <v>On Time</v>
          </cell>
          <cell r="FF698">
            <v>45209</v>
          </cell>
          <cell r="FH698" t="str">
            <v>Done</v>
          </cell>
          <cell r="FI698" t="str">
            <v>Done</v>
          </cell>
          <cell r="FJ698" t="str">
            <v>NA</v>
          </cell>
          <cell r="FM698" t="str">
            <v/>
          </cell>
          <cell r="GG698" t="str">
            <v>2023-2024</v>
          </cell>
        </row>
        <row r="699">
          <cell r="E699" t="str">
            <v>GROUND FLR HNO-8-43/5/3/A  BALAJI NIVAS ,   BALAJI HILLS COLONY  BODUPPAL  , HYDERABAD , 500039</v>
          </cell>
          <cell r="F699" t="str">
            <v>9. EPC Ready</v>
          </cell>
          <cell r="H699" t="str">
            <v>AP-SM-HYD-905/FG</v>
          </cell>
          <cell r="I699" t="str">
            <v>TG7M</v>
          </cell>
          <cell r="J699" t="str">
            <v>QE2S</v>
          </cell>
          <cell r="K699" t="str">
            <v>E</v>
          </cell>
          <cell r="L699" t="str">
            <v>AK</v>
          </cell>
          <cell r="M699" t="str">
            <v>EPC Ready Pharmacy 200 SFT</v>
          </cell>
          <cell r="Q699" t="str">
            <v>Gaurav Shinde</v>
          </cell>
          <cell r="S699" t="str">
            <v>Telangana</v>
          </cell>
          <cell r="T699" t="str">
            <v>HYDERABAD</v>
          </cell>
          <cell r="U699" t="str">
            <v>Non Premium</v>
          </cell>
          <cell r="V699" t="str">
            <v>Pharma Format</v>
          </cell>
          <cell r="W699">
            <v>250</v>
          </cell>
          <cell r="X699" t="str">
            <v>GROUND FLR HNO-8-43/5/3/A  BALAJI NIVAS ,   BALAJI HILLS COLONY  BODUPPAL  , HYDERABAD , 500039</v>
          </cell>
          <cell r="Z699" t="str">
            <v>NA</v>
          </cell>
          <cell r="AB699" t="str">
            <v>NA</v>
          </cell>
          <cell r="AF699" t="str">
            <v>NA</v>
          </cell>
          <cell r="AK699">
            <v>45181</v>
          </cell>
          <cell r="AL699" t="str">
            <v>Received</v>
          </cell>
          <cell r="BW699" t="str">
            <v>Done</v>
          </cell>
          <cell r="BX699">
            <v>45079</v>
          </cell>
          <cell r="BY699" t="str">
            <v>Approved</v>
          </cell>
          <cell r="CD699">
            <v>45209</v>
          </cell>
          <cell r="CG699" t="str">
            <v>M/s BMR ENGINEERING SERVICES</v>
          </cell>
          <cell r="DM699">
            <v>45209</v>
          </cell>
          <cell r="DQ699">
            <v>45209</v>
          </cell>
          <cell r="DR699">
            <v>7</v>
          </cell>
          <cell r="DU699">
            <v>45216</v>
          </cell>
          <cell r="DV699">
            <v>0</v>
          </cell>
          <cell r="DW699">
            <v>45216</v>
          </cell>
          <cell r="DX699" t="str">
            <v>Oct 23 Week 3</v>
          </cell>
          <cell r="DZ699">
            <v>45216</v>
          </cell>
          <cell r="EA699" t="str">
            <v>Oct 23 Week 3</v>
          </cell>
          <cell r="ED699" t="str">
            <v/>
          </cell>
          <cell r="EE699" t="str">
            <v/>
          </cell>
          <cell r="FD699">
            <v>0</v>
          </cell>
          <cell r="FE699" t="str">
            <v>On Time</v>
          </cell>
          <cell r="FF699">
            <v>45209</v>
          </cell>
          <cell r="FH699" t="str">
            <v>Done</v>
          </cell>
          <cell r="FI699" t="str">
            <v>Done</v>
          </cell>
          <cell r="FJ699" t="str">
            <v>NA</v>
          </cell>
          <cell r="FM699" t="str">
            <v/>
          </cell>
          <cell r="GG699" t="str">
            <v>2023-2024</v>
          </cell>
        </row>
        <row r="700">
          <cell r="E700" t="str">
            <v>WARD # 2  BLOCK # 4  ARUNODAYA NAGAR ,   NAGOLE VILLAGE  RR DIST  , HYDERABAD , 500068</v>
          </cell>
          <cell r="F700" t="str">
            <v>9. EPC Ready</v>
          </cell>
          <cell r="H700" t="str">
            <v>AP-SM-HYD-932/FG</v>
          </cell>
          <cell r="I700" t="str">
            <v>T72N</v>
          </cell>
          <cell r="J700" t="str">
            <v>QNDS</v>
          </cell>
          <cell r="K700" t="str">
            <v>E</v>
          </cell>
          <cell r="L700" t="str">
            <v>AK</v>
          </cell>
          <cell r="M700" t="str">
            <v>EPC Ready Pharmacy 200 SFT</v>
          </cell>
          <cell r="Q700" t="str">
            <v>Gaurav Shinde</v>
          </cell>
          <cell r="S700" t="str">
            <v>Telangana</v>
          </cell>
          <cell r="T700" t="str">
            <v>HYDERABAD</v>
          </cell>
          <cell r="U700" t="str">
            <v>Non Premium</v>
          </cell>
          <cell r="V700" t="str">
            <v>Pharma Format</v>
          </cell>
          <cell r="W700">
            <v>250</v>
          </cell>
          <cell r="X700" t="str">
            <v>WARD # 2  BLOCK # 4  ARUNODAYA NAGAR ,   NAGOLE VILLAGE  RR DIST  , HYDERABAD , 500068</v>
          </cell>
          <cell r="Z700" t="str">
            <v>NA</v>
          </cell>
          <cell r="AB700" t="str">
            <v>NA</v>
          </cell>
          <cell r="AF700" t="str">
            <v>NA</v>
          </cell>
          <cell r="AK700">
            <v>45181</v>
          </cell>
          <cell r="AL700" t="str">
            <v>Received</v>
          </cell>
          <cell r="BW700" t="str">
            <v>Done</v>
          </cell>
          <cell r="BX700">
            <v>45079</v>
          </cell>
          <cell r="BY700" t="str">
            <v>Approved</v>
          </cell>
          <cell r="CD700">
            <v>45209</v>
          </cell>
          <cell r="CE700">
            <v>45216</v>
          </cell>
          <cell r="CG700" t="str">
            <v>M/s BMR ENGINEERING SERVICES</v>
          </cell>
          <cell r="DM700">
            <v>45209</v>
          </cell>
          <cell r="DQ700">
            <v>45209</v>
          </cell>
          <cell r="DR700">
            <v>7</v>
          </cell>
          <cell r="DU700">
            <v>45216</v>
          </cell>
          <cell r="DV700">
            <v>0</v>
          </cell>
          <cell r="DW700">
            <v>45216</v>
          </cell>
          <cell r="DX700" t="str">
            <v>Oct 23 Week 3</v>
          </cell>
          <cell r="DZ700">
            <v>45216</v>
          </cell>
          <cell r="EA700" t="str">
            <v>Oct 23 Week 3</v>
          </cell>
          <cell r="ED700" t="str">
            <v/>
          </cell>
          <cell r="EE700" t="str">
            <v/>
          </cell>
          <cell r="FD700">
            <v>0</v>
          </cell>
          <cell r="FE700" t="str">
            <v>On Time</v>
          </cell>
          <cell r="FF700">
            <v>45209</v>
          </cell>
          <cell r="FH700" t="str">
            <v>Done</v>
          </cell>
          <cell r="FI700" t="str">
            <v>Done</v>
          </cell>
          <cell r="FJ700" t="str">
            <v>NA</v>
          </cell>
          <cell r="FM700" t="str">
            <v/>
          </cell>
          <cell r="GG700" t="str">
            <v>2023-2024</v>
          </cell>
        </row>
        <row r="701">
          <cell r="E701" t="str">
            <v>SRY # 10  ALKAPUR  , MANDAL  R R DIST , RAMAKRISHAPURAM-SAROOR NAGAR  , HYDERABAD , 500035</v>
          </cell>
          <cell r="F701" t="str">
            <v>9. EPC Ready</v>
          </cell>
          <cell r="H701" t="str">
            <v>AP-SM-HYD-927/FG</v>
          </cell>
          <cell r="I701" t="str">
            <v>T76F</v>
          </cell>
          <cell r="J701" t="str">
            <v>QKCL</v>
          </cell>
          <cell r="K701" t="str">
            <v>E</v>
          </cell>
          <cell r="L701" t="str">
            <v>AK</v>
          </cell>
          <cell r="M701" t="str">
            <v>EPC Ready Pharmacy 200 SFT</v>
          </cell>
          <cell r="Q701" t="str">
            <v>Gaurav Shinde</v>
          </cell>
          <cell r="S701" t="str">
            <v>Telangana</v>
          </cell>
          <cell r="T701" t="str">
            <v>HYDERABAD</v>
          </cell>
          <cell r="U701" t="str">
            <v>Non Premium</v>
          </cell>
          <cell r="V701" t="str">
            <v>Pharma Format</v>
          </cell>
          <cell r="W701">
            <v>250</v>
          </cell>
          <cell r="X701" t="str">
            <v>SRY # 10  ALKAPUR  , MANDAL  R R DIST , RAMAKRISHAPURAM-SAROOR NAGAR  , HYDERABAD , 500035</v>
          </cell>
          <cell r="Z701" t="str">
            <v>NA</v>
          </cell>
          <cell r="AB701" t="str">
            <v>NA</v>
          </cell>
          <cell r="AF701" t="str">
            <v>NA</v>
          </cell>
          <cell r="AK701">
            <v>45181</v>
          </cell>
          <cell r="AL701" t="str">
            <v>Received</v>
          </cell>
          <cell r="BW701" t="str">
            <v>Done</v>
          </cell>
          <cell r="BX701">
            <v>45079</v>
          </cell>
          <cell r="BY701" t="str">
            <v>Approved</v>
          </cell>
          <cell r="CD701">
            <v>45209</v>
          </cell>
          <cell r="CE701">
            <v>45216</v>
          </cell>
          <cell r="CG701" t="str">
            <v>M/s BMR ENGINEERING SERVICES</v>
          </cell>
          <cell r="DM701">
            <v>45209</v>
          </cell>
          <cell r="DQ701">
            <v>45209</v>
          </cell>
          <cell r="DR701">
            <v>7</v>
          </cell>
          <cell r="DU701">
            <v>45216</v>
          </cell>
          <cell r="DV701">
            <v>0</v>
          </cell>
          <cell r="DW701">
            <v>45216</v>
          </cell>
          <cell r="DX701" t="str">
            <v>Oct 23 Week 3</v>
          </cell>
          <cell r="DZ701">
            <v>45216</v>
          </cell>
          <cell r="EA701" t="str">
            <v>Oct 23 Week 3</v>
          </cell>
          <cell r="ED701" t="str">
            <v/>
          </cell>
          <cell r="EE701" t="str">
            <v/>
          </cell>
          <cell r="FD701">
            <v>0</v>
          </cell>
          <cell r="FE701" t="str">
            <v>On Time</v>
          </cell>
          <cell r="FF701">
            <v>45209</v>
          </cell>
          <cell r="FH701" t="str">
            <v>Done</v>
          </cell>
          <cell r="FI701" t="str">
            <v>Done</v>
          </cell>
          <cell r="FJ701" t="str">
            <v>NA</v>
          </cell>
          <cell r="FM701" t="str">
            <v/>
          </cell>
          <cell r="GG701" t="str">
            <v>2023-2024</v>
          </cell>
        </row>
        <row r="702">
          <cell r="E702" t="str">
            <v>GROUND FLOOR  HNO: 9-2-83 AND 9-2-83/4 ,   VEMULAWADA TOWN AND MANDAL  , VEMULAWADA , 505302</v>
          </cell>
          <cell r="F702" t="str">
            <v>10. Launched</v>
          </cell>
          <cell r="H702" t="str">
            <v>AP-SM-VEM-901/FG</v>
          </cell>
          <cell r="I702" t="str">
            <v>T71G</v>
          </cell>
          <cell r="J702" t="str">
            <v>QLDR</v>
          </cell>
          <cell r="K702" t="str">
            <v>E</v>
          </cell>
          <cell r="L702" t="str">
            <v>AK</v>
          </cell>
          <cell r="M702" t="str">
            <v>EPC Ready Pharmacy 200 SFT</v>
          </cell>
          <cell r="Q702" t="str">
            <v>Gaurav Shinde</v>
          </cell>
          <cell r="S702" t="str">
            <v>Telangana</v>
          </cell>
          <cell r="T702" t="str">
            <v>VEMULAWADA</v>
          </cell>
          <cell r="U702" t="str">
            <v>Non Premium</v>
          </cell>
          <cell r="V702" t="str">
            <v>Pharma Format</v>
          </cell>
          <cell r="W702">
            <v>250</v>
          </cell>
          <cell r="X702" t="str">
            <v>GROUND FLOOR  HNO: 9-2-83 AND 9-2-83/4 ,   VEMULAWADA TOWN AND MANDAL  , VEMULAWADA , 505302</v>
          </cell>
          <cell r="Z702" t="str">
            <v>NA</v>
          </cell>
          <cell r="AB702" t="str">
            <v>NA</v>
          </cell>
          <cell r="AF702" t="str">
            <v>NA</v>
          </cell>
          <cell r="AK702">
            <v>45181</v>
          </cell>
          <cell r="AL702" t="str">
            <v>Received</v>
          </cell>
          <cell r="BW702" t="str">
            <v>Done</v>
          </cell>
          <cell r="BX702">
            <v>45079</v>
          </cell>
          <cell r="BY702" t="str">
            <v>Approved</v>
          </cell>
          <cell r="CD702">
            <v>45209</v>
          </cell>
          <cell r="CE702">
            <v>45216</v>
          </cell>
          <cell r="CG702" t="str">
            <v>M/s BMR ENGINEERING SERVICES</v>
          </cell>
          <cell r="DM702">
            <v>45209</v>
          </cell>
          <cell r="DQ702">
            <v>45209</v>
          </cell>
          <cell r="DR702">
            <v>7</v>
          </cell>
          <cell r="DU702">
            <v>45216</v>
          </cell>
          <cell r="DV702">
            <v>0</v>
          </cell>
          <cell r="DW702">
            <v>45216</v>
          </cell>
          <cell r="DX702" t="str">
            <v>Oct 23 Week 3</v>
          </cell>
          <cell r="DZ702">
            <v>45216</v>
          </cell>
          <cell r="EA702" t="str">
            <v>Oct 23 Week 3</v>
          </cell>
          <cell r="ED702" t="str">
            <v/>
          </cell>
          <cell r="EE702" t="str">
            <v/>
          </cell>
          <cell r="FD702">
            <v>0</v>
          </cell>
          <cell r="FE702" t="str">
            <v>On Time</v>
          </cell>
          <cell r="FF702">
            <v>45209</v>
          </cell>
          <cell r="FH702" t="str">
            <v>Done</v>
          </cell>
          <cell r="FI702" t="str">
            <v>Done</v>
          </cell>
          <cell r="FJ702" t="str">
            <v>NA</v>
          </cell>
          <cell r="FM702" t="str">
            <v/>
          </cell>
          <cell r="GG702" t="str">
            <v>2023-2024</v>
          </cell>
        </row>
        <row r="703">
          <cell r="E703" t="str">
            <v>Ground floor,Plot No 12&amp;13,  , vani Nagar Jagatiyal Revenue Mandal, , Survey  409/A Sivar Mothe Village  , Karimnagar , 505327</v>
          </cell>
          <cell r="F703" t="str">
            <v>10. Launched</v>
          </cell>
          <cell r="H703" t="str">
            <v>AP-SM-JAG-902/FG</v>
          </cell>
          <cell r="I703" t="str">
            <v>T77L</v>
          </cell>
          <cell r="J703" t="str">
            <v>QKFI</v>
          </cell>
          <cell r="K703" t="str">
            <v>E</v>
          </cell>
          <cell r="L703" t="str">
            <v>AK</v>
          </cell>
          <cell r="M703" t="str">
            <v>EPC Ready Pharmacy 200 SFT</v>
          </cell>
          <cell r="Q703" t="str">
            <v>Gaurav Shinde</v>
          </cell>
          <cell r="S703" t="str">
            <v>Telangana</v>
          </cell>
          <cell r="T703" t="str">
            <v>Karimnagar</v>
          </cell>
          <cell r="U703" t="str">
            <v>Non Premium</v>
          </cell>
          <cell r="V703" t="str">
            <v>Pharma Format</v>
          </cell>
          <cell r="W703">
            <v>250</v>
          </cell>
          <cell r="X703" t="str">
            <v>Ground floor,Plot No 12&amp;13,  , vani Nagar Jagatiyal Revenue Mandal, , Survey  409/A Sivar Mothe Village  , Karimnagar , 505327</v>
          </cell>
          <cell r="Z703" t="str">
            <v>NA</v>
          </cell>
          <cell r="AB703" t="str">
            <v>NA</v>
          </cell>
          <cell r="AF703" t="str">
            <v>NA</v>
          </cell>
          <cell r="AK703">
            <v>45181</v>
          </cell>
          <cell r="AL703" t="str">
            <v>Received</v>
          </cell>
          <cell r="BW703" t="str">
            <v>Done</v>
          </cell>
          <cell r="BX703">
            <v>45079</v>
          </cell>
          <cell r="BY703" t="str">
            <v>Approved</v>
          </cell>
          <cell r="CD703">
            <v>45209</v>
          </cell>
          <cell r="DM703">
            <v>45209</v>
          </cell>
          <cell r="DQ703">
            <v>45209</v>
          </cell>
          <cell r="DR703">
            <v>7</v>
          </cell>
          <cell r="DU703">
            <v>45216</v>
          </cell>
          <cell r="DV703">
            <v>0</v>
          </cell>
          <cell r="DW703">
            <v>45216</v>
          </cell>
          <cell r="DX703" t="str">
            <v>Oct 23 Week 3</v>
          </cell>
          <cell r="DZ703">
            <v>45216</v>
          </cell>
          <cell r="EA703" t="str">
            <v>Oct 23 Week 3</v>
          </cell>
          <cell r="ED703" t="str">
            <v/>
          </cell>
          <cell r="EE703" t="str">
            <v/>
          </cell>
          <cell r="FD703">
            <v>0</v>
          </cell>
          <cell r="FE703" t="str">
            <v>On Time</v>
          </cell>
          <cell r="FF703">
            <v>45209</v>
          </cell>
          <cell r="FH703" t="str">
            <v>Done</v>
          </cell>
          <cell r="FI703" t="str">
            <v>Done</v>
          </cell>
          <cell r="FJ703" t="str">
            <v>NA</v>
          </cell>
          <cell r="FM703" t="str">
            <v/>
          </cell>
          <cell r="GG703" t="str">
            <v>2023-2024</v>
          </cell>
        </row>
        <row r="704">
          <cell r="E704" t="str">
            <v>S # 85  WARD#8  BLOCK 2  KARMANGHAT VILL ,   SAROOR NAGAR MANDAL  RR DIST  , HYDERABAD , 500079</v>
          </cell>
          <cell r="F704" t="str">
            <v>9. EPC Ready</v>
          </cell>
          <cell r="H704" t="str">
            <v>AP-SM-HYD-943/FG</v>
          </cell>
          <cell r="I704" t="str">
            <v>T0G4</v>
          </cell>
          <cell r="J704" t="str">
            <v>Q2WT</v>
          </cell>
          <cell r="K704" t="str">
            <v>E</v>
          </cell>
          <cell r="L704" t="str">
            <v>AK</v>
          </cell>
          <cell r="M704" t="str">
            <v>EPC Ready Pharmacy 200 SFT</v>
          </cell>
          <cell r="Q704" t="str">
            <v>Gaurav Shinde</v>
          </cell>
          <cell r="S704" t="str">
            <v>Telangana</v>
          </cell>
          <cell r="T704" t="str">
            <v>HYDERABAD</v>
          </cell>
          <cell r="U704" t="str">
            <v>Non Premium</v>
          </cell>
          <cell r="V704" t="str">
            <v>Pharma Format</v>
          </cell>
          <cell r="W704">
            <v>250</v>
          </cell>
          <cell r="X704" t="str">
            <v>S # 85  WARD#8  BLOCK 2  KARMANGHAT VILL ,   SAROOR NAGAR MANDAL  RR DIST  , HYDERABAD , 500079</v>
          </cell>
          <cell r="Z704" t="str">
            <v>NA</v>
          </cell>
          <cell r="AB704" t="str">
            <v>NA</v>
          </cell>
          <cell r="AF704" t="str">
            <v>NA</v>
          </cell>
          <cell r="AK704">
            <v>45181</v>
          </cell>
          <cell r="AL704" t="str">
            <v>Received</v>
          </cell>
          <cell r="BW704" t="str">
            <v>Done</v>
          </cell>
          <cell r="BX704">
            <v>45079</v>
          </cell>
          <cell r="BY704" t="str">
            <v>Approved</v>
          </cell>
          <cell r="CD704">
            <v>45209</v>
          </cell>
          <cell r="CE704">
            <v>45216</v>
          </cell>
          <cell r="CG704" t="str">
            <v>M/s BMR ENGINEERING SERVICES</v>
          </cell>
          <cell r="DM704">
            <v>45209</v>
          </cell>
          <cell r="DQ704">
            <v>45209</v>
          </cell>
          <cell r="DR704">
            <v>7</v>
          </cell>
          <cell r="DU704">
            <v>45216</v>
          </cell>
          <cell r="DV704">
            <v>0</v>
          </cell>
          <cell r="DW704">
            <v>45216</v>
          </cell>
          <cell r="DX704" t="str">
            <v>Oct 23 Week 3</v>
          </cell>
          <cell r="DZ704">
            <v>45216</v>
          </cell>
          <cell r="EA704" t="str">
            <v>Oct 23 Week 3</v>
          </cell>
          <cell r="ED704" t="str">
            <v/>
          </cell>
          <cell r="EE704" t="str">
            <v/>
          </cell>
          <cell r="FD704">
            <v>0</v>
          </cell>
          <cell r="FE704" t="str">
            <v>On Time</v>
          </cell>
          <cell r="FF704">
            <v>45209</v>
          </cell>
          <cell r="FH704" t="str">
            <v>Done</v>
          </cell>
          <cell r="FI704" t="str">
            <v>Done</v>
          </cell>
          <cell r="FJ704" t="str">
            <v>NA</v>
          </cell>
          <cell r="FM704" t="str">
            <v/>
          </cell>
          <cell r="GG704" t="str">
            <v>2023-2024</v>
          </cell>
        </row>
        <row r="705">
          <cell r="E705" t="str">
            <v>Ground floor,Sy.no.13/2,  , Rajam , Ward 5 Palakonda Road  , Srikakulam , 532127</v>
          </cell>
          <cell r="F705" t="str">
            <v>9. EPC Ready</v>
          </cell>
          <cell r="H705" t="str">
            <v>AP-SM-RJM-902/FG</v>
          </cell>
          <cell r="I705" t="str">
            <v>T69J</v>
          </cell>
          <cell r="J705" t="str">
            <v>QKDN</v>
          </cell>
          <cell r="K705" t="str">
            <v>S</v>
          </cell>
          <cell r="L705" t="str">
            <v>JD</v>
          </cell>
          <cell r="M705" t="str">
            <v>EPC Ready Pharmacy 200 SFT</v>
          </cell>
          <cell r="Q705" t="str">
            <v>Gaurav Shinde</v>
          </cell>
          <cell r="S705" t="str">
            <v>Andhra Pradesh</v>
          </cell>
          <cell r="T705" t="str">
            <v>Srikakulam</v>
          </cell>
          <cell r="U705" t="str">
            <v>Non Premium</v>
          </cell>
          <cell r="V705" t="str">
            <v>Pharma Format</v>
          </cell>
          <cell r="W705">
            <v>250</v>
          </cell>
          <cell r="X705" t="str">
            <v>Ground floor,Sy.no.13/2,  , Rajam , Ward 5 Palakonda Road  , Srikakulam , 532127</v>
          </cell>
          <cell r="Z705" t="str">
            <v>NA</v>
          </cell>
          <cell r="AB705" t="str">
            <v>NA</v>
          </cell>
          <cell r="AF705" t="str">
            <v>NA</v>
          </cell>
          <cell r="AK705">
            <v>45181</v>
          </cell>
          <cell r="AL705" t="str">
            <v>Received</v>
          </cell>
          <cell r="BW705" t="str">
            <v>Done</v>
          </cell>
          <cell r="BX705">
            <v>45079</v>
          </cell>
          <cell r="BY705" t="str">
            <v>Approved</v>
          </cell>
          <cell r="CD705">
            <v>45209</v>
          </cell>
          <cell r="DM705">
            <v>45209</v>
          </cell>
          <cell r="DQ705">
            <v>45209</v>
          </cell>
          <cell r="DR705">
            <v>7</v>
          </cell>
          <cell r="DU705">
            <v>45216</v>
          </cell>
          <cell r="DV705">
            <v>0</v>
          </cell>
          <cell r="DW705">
            <v>45216</v>
          </cell>
          <cell r="DX705" t="str">
            <v>Oct 23 Week 3</v>
          </cell>
          <cell r="DZ705">
            <v>45216</v>
          </cell>
          <cell r="EA705" t="str">
            <v>Oct 23 Week 3</v>
          </cell>
          <cell r="ED705" t="str">
            <v/>
          </cell>
          <cell r="EE705" t="str">
            <v/>
          </cell>
          <cell r="FD705">
            <v>0</v>
          </cell>
          <cell r="FE705" t="str">
            <v>On Time</v>
          </cell>
          <cell r="FF705">
            <v>45209</v>
          </cell>
          <cell r="FH705" t="str">
            <v>Done</v>
          </cell>
          <cell r="FI705" t="str">
            <v>Done</v>
          </cell>
          <cell r="FJ705" t="str">
            <v>NA</v>
          </cell>
          <cell r="FM705" t="str">
            <v/>
          </cell>
          <cell r="GG705" t="str">
            <v>2023-2024</v>
          </cell>
        </row>
        <row r="706">
          <cell r="E706" t="str">
            <v>GF, New Era - Ankur Colony, Khasra No.  , Tehsil - Sagar Nagar, Dist - Sagar , 196/17/1, PH. 77, Vill-Halka Rajakhedi  , Sagar , 470004</v>
          </cell>
          <cell r="F706" t="str">
            <v>10. Launched</v>
          </cell>
          <cell r="H706" t="str">
            <v>MP-SM-SAG-3001</v>
          </cell>
          <cell r="I706" t="str">
            <v>TRD1</v>
          </cell>
          <cell r="J706" t="str">
            <v>Q1AI</v>
          </cell>
          <cell r="K706" t="str">
            <v>W</v>
          </cell>
          <cell r="L706" t="str">
            <v>KC</v>
          </cell>
          <cell r="M706" t="str">
            <v>EPC Ready Pharmacy 200 SFT</v>
          </cell>
          <cell r="Q706" t="str">
            <v>Gaurav Shinde</v>
          </cell>
          <cell r="S706" t="str">
            <v>Madhya Pradesh</v>
          </cell>
          <cell r="T706" t="str">
            <v>Sagar</v>
          </cell>
          <cell r="U706" t="str">
            <v>Non Premium</v>
          </cell>
          <cell r="V706" t="str">
            <v>Pharma Format</v>
          </cell>
          <cell r="W706">
            <v>250</v>
          </cell>
          <cell r="X706" t="str">
            <v>GF, New Era - Ankur Colony, Khasra No.  , Tehsil - Sagar Nagar, Dist - Sagar , 196/17/1, PH. 77, Vill-Halka Rajakhedi  , Sagar , 470004</v>
          </cell>
          <cell r="Z706" t="str">
            <v>NA</v>
          </cell>
          <cell r="AB706" t="str">
            <v>NA</v>
          </cell>
          <cell r="AF706" t="str">
            <v>NA</v>
          </cell>
          <cell r="AL706" t="str">
            <v>Received</v>
          </cell>
          <cell r="BW706" t="str">
            <v>Done</v>
          </cell>
          <cell r="BX706">
            <v>45079</v>
          </cell>
          <cell r="BY706" t="str">
            <v>Approved</v>
          </cell>
          <cell r="DM706">
            <v>45209</v>
          </cell>
          <cell r="DQ706">
            <v>45209</v>
          </cell>
          <cell r="DR706">
            <v>7</v>
          </cell>
          <cell r="DU706">
            <v>45216</v>
          </cell>
          <cell r="DV706">
            <v>0</v>
          </cell>
          <cell r="DW706">
            <v>45216</v>
          </cell>
          <cell r="DX706" t="str">
            <v>Oct 23 Week 3</v>
          </cell>
          <cell r="DZ706">
            <v>45216</v>
          </cell>
          <cell r="EA706" t="str">
            <v>Oct 23 Week 3</v>
          </cell>
          <cell r="ED706" t="str">
            <v/>
          </cell>
          <cell r="EE706" t="str">
            <v/>
          </cell>
          <cell r="FD706">
            <v>0</v>
          </cell>
          <cell r="FE706" t="str">
            <v>On Time</v>
          </cell>
          <cell r="FF706">
            <v>45209</v>
          </cell>
          <cell r="FH706" t="str">
            <v>Done</v>
          </cell>
          <cell r="FI706" t="str">
            <v>Done</v>
          </cell>
          <cell r="FJ706" t="str">
            <v>NA</v>
          </cell>
          <cell r="FM706" t="str">
            <v/>
          </cell>
          <cell r="GG706" t="str">
            <v>2023-2024</v>
          </cell>
        </row>
        <row r="707">
          <cell r="E707" t="str">
            <v>Hall No 01 To 03 Shop No 05 To 10  , Tower Station Road Dist Bhavnagar , Gautam Corner Near Central Bank Of India  , BOTAD , 364710</v>
          </cell>
          <cell r="F707" t="str">
            <v>9. EPC Ready</v>
          </cell>
          <cell r="G707" t="str">
            <v>SPGJB0B3753</v>
          </cell>
          <cell r="H707" t="str">
            <v>GJ-SM-BOT-3000</v>
          </cell>
          <cell r="I707" t="str">
            <v>TAR8</v>
          </cell>
          <cell r="J707" t="str">
            <v>QGQU</v>
          </cell>
          <cell r="K707" t="str">
            <v>W</v>
          </cell>
          <cell r="L707" t="str">
            <v>KC</v>
          </cell>
          <cell r="M707" t="str">
            <v>EPC Ready Pharmacy 200 SFT</v>
          </cell>
          <cell r="Q707" t="str">
            <v>Gaurav Shinde</v>
          </cell>
          <cell r="S707" t="str">
            <v>Gujarat</v>
          </cell>
          <cell r="T707" t="str">
            <v>BOTAD</v>
          </cell>
          <cell r="U707" t="str">
            <v>Non Premium</v>
          </cell>
          <cell r="V707" t="str">
            <v>Pharma Format</v>
          </cell>
          <cell r="W707">
            <v>250</v>
          </cell>
          <cell r="X707" t="str">
            <v>Hall No 01 To 03 Shop No 05 To 10  , Tower Station Road Dist Bhavnagar , Gautam Corner Near Central Bank Of India  , BOTAD , 364710</v>
          </cell>
          <cell r="Z707" t="str">
            <v>NA</v>
          </cell>
          <cell r="AB707" t="str">
            <v>NA</v>
          </cell>
          <cell r="AF707" t="str">
            <v>NA</v>
          </cell>
          <cell r="AL707" t="str">
            <v>Received</v>
          </cell>
          <cell r="BW707" t="str">
            <v>Done</v>
          </cell>
          <cell r="BX707">
            <v>45079</v>
          </cell>
          <cell r="BY707" t="str">
            <v>Approved</v>
          </cell>
          <cell r="DM707">
            <v>45209</v>
          </cell>
          <cell r="DQ707">
            <v>45209</v>
          </cell>
          <cell r="DR707">
            <v>7</v>
          </cell>
          <cell r="DU707">
            <v>45216</v>
          </cell>
          <cell r="DV707">
            <v>0</v>
          </cell>
          <cell r="DW707">
            <v>45216</v>
          </cell>
          <cell r="DX707" t="str">
            <v>Oct 23 Week 3</v>
          </cell>
          <cell r="DZ707">
            <v>45216</v>
          </cell>
          <cell r="EA707" t="str">
            <v>Oct 23 Week 3</v>
          </cell>
          <cell r="ED707" t="str">
            <v/>
          </cell>
          <cell r="EE707" t="str">
            <v/>
          </cell>
          <cell r="FD707">
            <v>0</v>
          </cell>
          <cell r="FE707" t="str">
            <v>On Time</v>
          </cell>
          <cell r="FF707">
            <v>45209</v>
          </cell>
          <cell r="FH707" t="str">
            <v>Done</v>
          </cell>
          <cell r="FI707" t="str">
            <v>Done</v>
          </cell>
          <cell r="FJ707" t="str">
            <v>NA</v>
          </cell>
          <cell r="FM707" t="str">
            <v/>
          </cell>
          <cell r="GG707" t="str">
            <v>2023-2024</v>
          </cell>
        </row>
        <row r="708">
          <cell r="E708" t="str">
            <v>Gf Shashwat Square Shop No G33 To G50 Sy  , Industries Unjha Patan Highway Vill , No 376 Khata No 1894 Near Shriji  , PATAN , 384265</v>
          </cell>
          <cell r="F708" t="str">
            <v>9. EPC Ready</v>
          </cell>
          <cell r="G708" t="str">
            <v>SPGJPAP3710</v>
          </cell>
          <cell r="H708" t="str">
            <v>GJ-SM-PTN-3000</v>
          </cell>
          <cell r="I708" t="str">
            <v>T55T</v>
          </cell>
          <cell r="J708" t="str">
            <v>QF9C</v>
          </cell>
          <cell r="K708" t="str">
            <v>W</v>
          </cell>
          <cell r="L708" t="str">
            <v>KC</v>
          </cell>
          <cell r="M708" t="str">
            <v>EPC Ready Pharmacy 200 SFT</v>
          </cell>
          <cell r="Q708" t="str">
            <v>Gaurav Shinde</v>
          </cell>
          <cell r="S708" t="str">
            <v>Gujarat</v>
          </cell>
          <cell r="T708" t="str">
            <v>PATAN</v>
          </cell>
          <cell r="U708" t="str">
            <v>Non Premium</v>
          </cell>
          <cell r="V708" t="str">
            <v>Pharma Format</v>
          </cell>
          <cell r="W708">
            <v>250</v>
          </cell>
          <cell r="X708" t="str">
            <v>Gf Shashwat Square Shop No G33 To G50 Sy  , Industries Unjha Patan Highway Vill , No 376 Khata No 1894 Near Shriji  , PATAN , 384265</v>
          </cell>
          <cell r="Z708" t="str">
            <v>NA</v>
          </cell>
          <cell r="AB708" t="str">
            <v>NA</v>
          </cell>
          <cell r="AF708" t="str">
            <v>NA</v>
          </cell>
          <cell r="AL708" t="str">
            <v>Received</v>
          </cell>
          <cell r="BW708" t="str">
            <v>Done</v>
          </cell>
          <cell r="BX708">
            <v>45079</v>
          </cell>
          <cell r="BY708" t="str">
            <v>Approved</v>
          </cell>
          <cell r="DM708">
            <v>45209</v>
          </cell>
          <cell r="DQ708">
            <v>45209</v>
          </cell>
          <cell r="DR708">
            <v>7</v>
          </cell>
          <cell r="DU708">
            <v>45216</v>
          </cell>
          <cell r="DV708">
            <v>0</v>
          </cell>
          <cell r="DW708">
            <v>45216</v>
          </cell>
          <cell r="DX708" t="str">
            <v>Oct 23 Week 3</v>
          </cell>
          <cell r="DZ708">
            <v>45216</v>
          </cell>
          <cell r="EA708" t="str">
            <v>Oct 23 Week 3</v>
          </cell>
          <cell r="ED708" t="str">
            <v/>
          </cell>
          <cell r="EE708" t="str">
            <v/>
          </cell>
          <cell r="FD708">
            <v>0</v>
          </cell>
          <cell r="FE708" t="str">
            <v>On Time</v>
          </cell>
          <cell r="FF708">
            <v>45209</v>
          </cell>
          <cell r="FH708" t="str">
            <v>Done</v>
          </cell>
          <cell r="FI708" t="str">
            <v>Done</v>
          </cell>
          <cell r="FJ708" t="str">
            <v>NA</v>
          </cell>
          <cell r="FM708" t="str">
            <v/>
          </cell>
          <cell r="GG708" t="str">
            <v>2023-2024</v>
          </cell>
        </row>
        <row r="709">
          <cell r="E709" t="str">
            <v xml:space="preserve">Ganeshpur Rd- Hindalaga , Belgaum </v>
          </cell>
          <cell r="F709" t="str">
            <v>10. Launched</v>
          </cell>
          <cell r="G709" t="str">
            <v>NETMAS11533</v>
          </cell>
          <cell r="H709" t="str">
            <v>KR-SM-BEL-903</v>
          </cell>
          <cell r="I709" t="str">
            <v>T1GX</v>
          </cell>
          <cell r="J709" t="str">
            <v>Q1M9</v>
          </cell>
          <cell r="K709" t="str">
            <v>s</v>
          </cell>
          <cell r="L709" t="str">
            <v>AS</v>
          </cell>
          <cell r="M709" t="str">
            <v>15th August'24 Target</v>
          </cell>
          <cell r="N709" t="str">
            <v>Sreevinoth T</v>
          </cell>
          <cell r="O709" t="str">
            <v>Karthik H</v>
          </cell>
          <cell r="P709" t="str">
            <v>Satish Kelur</v>
          </cell>
          <cell r="Q709" t="str">
            <v>Arju Tiwari</v>
          </cell>
          <cell r="R709" t="str">
            <v>Sakshi Mali</v>
          </cell>
          <cell r="S709" t="str">
            <v>Karnataka</v>
          </cell>
          <cell r="T709" t="str">
            <v>Belgaum</v>
          </cell>
          <cell r="U709" t="str">
            <v>Non Premium</v>
          </cell>
          <cell r="V709" t="str">
            <v>Pharma Format</v>
          </cell>
          <cell r="W709">
            <v>676</v>
          </cell>
          <cell r="X709" t="str">
            <v>Shop A – 01, In Param Saraswati Nagar, Ganeshpur Rd, Belgaum - 591108</v>
          </cell>
          <cell r="Y709">
            <v>45463</v>
          </cell>
          <cell r="Z709" t="str">
            <v>NA</v>
          </cell>
          <cell r="AB709" t="str">
            <v>NA</v>
          </cell>
          <cell r="AF709" t="str">
            <v>NA</v>
          </cell>
          <cell r="AL709" t="str">
            <v>NA</v>
          </cell>
          <cell r="AV709" t="str">
            <v>NA</v>
          </cell>
          <cell r="AX709" t="str">
            <v>NA</v>
          </cell>
          <cell r="BH709">
            <v>45467</v>
          </cell>
          <cell r="BJ709">
            <v>45467</v>
          </cell>
          <cell r="BN709" t="str">
            <v>NA</v>
          </cell>
          <cell r="BV709" t="str">
            <v>Done</v>
          </cell>
          <cell r="BW709" t="str">
            <v>02-04-2024</v>
          </cell>
          <cell r="BX709">
            <v>45461</v>
          </cell>
          <cell r="BY709" t="str">
            <v>Approved</v>
          </cell>
          <cell r="CD709">
            <v>45463</v>
          </cell>
          <cell r="CE709">
            <v>45465</v>
          </cell>
          <cell r="CF709" t="str">
            <v>M/s. A R PROJECTS</v>
          </cell>
          <cell r="CG709" t="str">
            <v>M/s. A R PROJECTS</v>
          </cell>
          <cell r="CH709" t="str">
            <v>NA</v>
          </cell>
          <cell r="CI709" t="str">
            <v>Issued</v>
          </cell>
          <cell r="CO709">
            <v>45495</v>
          </cell>
          <cell r="CP709" t="str">
            <v>NA</v>
          </cell>
          <cell r="CR709">
            <v>45501</v>
          </cell>
          <cell r="DA709" t="str">
            <v>WO Done RA1 Pending</v>
          </cell>
          <cell r="DB709" t="str">
            <v>WO Done RA1 Pending</v>
          </cell>
          <cell r="DC709" t="str">
            <v>NA</v>
          </cell>
          <cell r="DG709" t="str">
            <v>Netmed SDP - Not in Dead Rental</v>
          </cell>
          <cell r="DH709" t="str">
            <v>NA</v>
          </cell>
          <cell r="DI709" t="str">
            <v>NA</v>
          </cell>
          <cell r="DJ709" t="str">
            <v>NA</v>
          </cell>
          <cell r="DL709">
            <v>45492</v>
          </cell>
          <cell r="DM709" t="str">
            <v>NA</v>
          </cell>
          <cell r="DN709" t="str">
            <v>NA</v>
          </cell>
          <cell r="DO709" t="str">
            <v xml:space="preserve">Material Dispatch Callout Given on 12-07-2024
Inverter &amp; Batteries to be delivered on 01-08-2024
Vendor Mobilization Plan 03-08-2024
</v>
          </cell>
          <cell r="DP709">
            <v>45507</v>
          </cell>
          <cell r="DQ709">
            <v>45509</v>
          </cell>
          <cell r="DR709">
            <v>7</v>
          </cell>
          <cell r="DS709">
            <v>15</v>
          </cell>
          <cell r="DU709">
            <v>45516</v>
          </cell>
          <cell r="DV709">
            <v>45522</v>
          </cell>
          <cell r="DW709">
            <v>45516</v>
          </cell>
          <cell r="DX709" t="str">
            <v>Aug 24 Week 2</v>
          </cell>
          <cell r="DZ709">
            <v>45514</v>
          </cell>
          <cell r="EA709" t="str">
            <v>Aug 24 Week 2</v>
          </cell>
          <cell r="EB709" t="str">
            <v>Plan</v>
          </cell>
          <cell r="ED709" t="str">
            <v/>
          </cell>
          <cell r="EE709" t="str">
            <v/>
          </cell>
          <cell r="EF709">
            <v>1</v>
          </cell>
          <cell r="EG709">
            <v>1</v>
          </cell>
          <cell r="FD709">
            <v>-2</v>
          </cell>
          <cell r="FE709" t="str">
            <v>On Time</v>
          </cell>
          <cell r="FF709">
            <v>0</v>
          </cell>
          <cell r="FG709" t="str">
            <v>On Time</v>
          </cell>
          <cell r="FH709" t="str">
            <v>Done</v>
          </cell>
          <cell r="FI709" t="str">
            <v>Done</v>
          </cell>
          <cell r="FJ709" t="str">
            <v>NA</v>
          </cell>
          <cell r="FK709">
            <v>45514</v>
          </cell>
          <cell r="FM709" t="str">
            <v/>
          </cell>
          <cell r="FZ709" t="str">
            <v>Inverter installation &amp; Commissiong Done on 09-08-2024</v>
          </cell>
          <cell r="GA709" t="str">
            <v>NA</v>
          </cell>
          <cell r="GB709" t="str">
            <v>NA</v>
          </cell>
          <cell r="GC709" t="str">
            <v>NA</v>
          </cell>
          <cell r="GD709" t="str">
            <v>NA</v>
          </cell>
          <cell r="GG709" t="str">
            <v>2024-2025</v>
          </cell>
        </row>
        <row r="710">
          <cell r="E710" t="str">
            <v>Old Baby Central Store- Yelahanka new town CHS Layout</v>
          </cell>
          <cell r="F710" t="str">
            <v>10. Launched</v>
          </cell>
          <cell r="G710" t="str">
            <v>NETMAS11534</v>
          </cell>
          <cell r="H710" t="str">
            <v>KR-SM-BAN-997</v>
          </cell>
          <cell r="I710" t="str">
            <v>T1VJ</v>
          </cell>
          <cell r="J710" t="str">
            <v>Q3H2</v>
          </cell>
          <cell r="K710" t="str">
            <v>s</v>
          </cell>
          <cell r="L710" t="str">
            <v>AS</v>
          </cell>
          <cell r="N710" t="str">
            <v>Sreevinoth T</v>
          </cell>
          <cell r="O710" t="str">
            <v>Hariprasad PV</v>
          </cell>
          <cell r="P710" t="str">
            <v>Hariprasad PV</v>
          </cell>
          <cell r="Q710" t="str">
            <v>Arju Tiwari</v>
          </cell>
          <cell r="R710" t="str">
            <v>Sakshi Mali</v>
          </cell>
          <cell r="S710" t="str">
            <v>Karnataka</v>
          </cell>
          <cell r="T710" t="str">
            <v>Bangalore</v>
          </cell>
          <cell r="U710" t="str">
            <v>Non Premium</v>
          </cell>
          <cell r="V710" t="str">
            <v>Pharma Format</v>
          </cell>
          <cell r="W710">
            <v>927</v>
          </cell>
          <cell r="X710" t="str">
            <v xml:space="preserve">Old Baby Central Store , No 7 , 1st Main Road , CHS layout , 4th phase , Yelahanka New Town , Bangalore,560064  </v>
          </cell>
          <cell r="Y710">
            <v>45565</v>
          </cell>
          <cell r="Z710" t="str">
            <v>NA</v>
          </cell>
          <cell r="AB710" t="str">
            <v>NA</v>
          </cell>
          <cell r="AF710" t="str">
            <v>NA</v>
          </cell>
          <cell r="AL710" t="str">
            <v>NA</v>
          </cell>
          <cell r="AV710" t="str">
            <v>NA</v>
          </cell>
          <cell r="AX710" t="str">
            <v>NA</v>
          </cell>
          <cell r="BH710">
            <v>45573</v>
          </cell>
          <cell r="BJ710">
            <v>45573</v>
          </cell>
          <cell r="BN710" t="str">
            <v>NA</v>
          </cell>
          <cell r="BV710" t="str">
            <v>Done</v>
          </cell>
          <cell r="BW710" t="str">
            <v>02-04-2024</v>
          </cell>
          <cell r="BX710">
            <v>45461</v>
          </cell>
          <cell r="BY710" t="str">
            <v>Approved</v>
          </cell>
          <cell r="CD710">
            <v>45565</v>
          </cell>
          <cell r="CE710">
            <v>45584</v>
          </cell>
          <cell r="CF710" t="str">
            <v>M/s NEW ELECTRICAL TECHNOLOGY SERVICES</v>
          </cell>
          <cell r="CG710" t="str">
            <v>M/s NEW ELECTRICAL TECHNOLOGY SERVICES</v>
          </cell>
          <cell r="CH710" t="str">
            <v>NA</v>
          </cell>
          <cell r="CI710" t="str">
            <v>Issued</v>
          </cell>
          <cell r="CP710" t="str">
            <v>NA</v>
          </cell>
          <cell r="DA710" t="str">
            <v>WO Done RA1 Pending</v>
          </cell>
          <cell r="DB710" t="str">
            <v>WO Done RA1 Pending</v>
          </cell>
          <cell r="DC710" t="str">
            <v>NA</v>
          </cell>
          <cell r="DG710" t="str">
            <v>Netmed SDP - Not in Dead Rental</v>
          </cell>
          <cell r="DH710" t="str">
            <v>NA</v>
          </cell>
          <cell r="DI710" t="str">
            <v>NA</v>
          </cell>
          <cell r="DJ710" t="str">
            <v>NA</v>
          </cell>
          <cell r="DL710">
            <v>45568</v>
          </cell>
          <cell r="DM710" t="str">
            <v>NA</v>
          </cell>
          <cell r="DN710" t="str">
            <v>NA</v>
          </cell>
          <cell r="DO710" t="str">
            <v>Plan to Start on 25-11-2024</v>
          </cell>
          <cell r="DP710">
            <v>45621</v>
          </cell>
          <cell r="DQ710">
            <v>45616</v>
          </cell>
          <cell r="DR710">
            <v>7</v>
          </cell>
          <cell r="DS710">
            <v>15</v>
          </cell>
          <cell r="DU710">
            <v>45623</v>
          </cell>
          <cell r="DV710">
            <v>45636</v>
          </cell>
          <cell r="DW710">
            <v>45623</v>
          </cell>
          <cell r="DX710" t="str">
            <v>Nov 24 Week 4</v>
          </cell>
          <cell r="DY710">
            <v>45623</v>
          </cell>
          <cell r="DZ710">
            <v>45624</v>
          </cell>
          <cell r="EA710" t="str">
            <v>Nov 24 Week 4</v>
          </cell>
          <cell r="EB710" t="str">
            <v>Plan</v>
          </cell>
          <cell r="ED710" t="str">
            <v/>
          </cell>
          <cell r="EE710" t="str">
            <v/>
          </cell>
          <cell r="EF710">
            <v>1</v>
          </cell>
          <cell r="EG710">
            <v>1</v>
          </cell>
          <cell r="FD710">
            <v>1</v>
          </cell>
          <cell r="FE710" t="str">
            <v>0 to 3 Days</v>
          </cell>
          <cell r="FF710">
            <v>-4</v>
          </cell>
          <cell r="FG710" t="str">
            <v>On Time</v>
          </cell>
          <cell r="FH710" t="str">
            <v>Done</v>
          </cell>
          <cell r="FI710" t="str">
            <v>Done</v>
          </cell>
          <cell r="FJ710" t="str">
            <v>NA</v>
          </cell>
          <cell r="FK710">
            <v>45624</v>
          </cell>
          <cell r="FM710" t="str">
            <v/>
          </cell>
          <cell r="FZ710" t="str">
            <v>Inverter installation &amp; Commissiong Done on 28-11-2024</v>
          </cell>
          <cell r="GA710" t="str">
            <v>NA</v>
          </cell>
          <cell r="GB710" t="str">
            <v>NA</v>
          </cell>
          <cell r="GC710" t="str">
            <v>NA</v>
          </cell>
          <cell r="GD710" t="str">
            <v>NA</v>
          </cell>
          <cell r="GG710" t="str">
            <v>2024-2025</v>
          </cell>
        </row>
        <row r="711">
          <cell r="E711" t="str">
            <v>Opp Basaveswara General Hospital – Sedam Road</v>
          </cell>
          <cell r="F711" t="str">
            <v>10. Launched</v>
          </cell>
          <cell r="G711" t="str">
            <v>NETMAS11535</v>
          </cell>
          <cell r="H711" t="str">
            <v>KR-SM-GUL-905</v>
          </cell>
          <cell r="I711" t="str">
            <v>T61M</v>
          </cell>
          <cell r="J711" t="str">
            <v>QXSS</v>
          </cell>
          <cell r="K711" t="str">
            <v>s</v>
          </cell>
          <cell r="L711" t="str">
            <v>AS</v>
          </cell>
          <cell r="N711" t="str">
            <v>Sreevinoth T</v>
          </cell>
          <cell r="O711" t="str">
            <v>Karthik H</v>
          </cell>
          <cell r="P711" t="str">
            <v>Karthik H</v>
          </cell>
          <cell r="Q711" t="str">
            <v>Arju Tiwari</v>
          </cell>
          <cell r="R711" t="str">
            <v>Sakshi Mali</v>
          </cell>
          <cell r="S711" t="str">
            <v>Karnataka</v>
          </cell>
          <cell r="T711" t="str">
            <v>Gulbarga</v>
          </cell>
          <cell r="U711" t="str">
            <v>Non Premium</v>
          </cell>
          <cell r="V711" t="str">
            <v>Pharma Format</v>
          </cell>
          <cell r="W711">
            <v>720</v>
          </cell>
          <cell r="X711" t="str">
            <v xml:space="preserve">Opp Basaveshwr General Hospital, #2-907/23E Lahoti Cements and Metral House Opp Basaveshwra Hospital Sedam Road Gulbarga-585105 </v>
          </cell>
          <cell r="Y711">
            <v>45565</v>
          </cell>
          <cell r="Z711" t="str">
            <v>NA</v>
          </cell>
          <cell r="AB711" t="str">
            <v>NA</v>
          </cell>
          <cell r="AF711" t="str">
            <v>NA</v>
          </cell>
          <cell r="AL711" t="str">
            <v>NA</v>
          </cell>
          <cell r="AV711" t="str">
            <v>NA</v>
          </cell>
          <cell r="AX711" t="str">
            <v>NA</v>
          </cell>
          <cell r="BH711">
            <v>45573</v>
          </cell>
          <cell r="BJ711">
            <v>45573</v>
          </cell>
          <cell r="BN711" t="str">
            <v>NA</v>
          </cell>
          <cell r="BV711" t="str">
            <v>Done</v>
          </cell>
          <cell r="BW711" t="str">
            <v>02-04-2024</v>
          </cell>
          <cell r="BX711">
            <v>45461</v>
          </cell>
          <cell r="BY711" t="str">
            <v>Approved</v>
          </cell>
          <cell r="CD711">
            <v>45565</v>
          </cell>
          <cell r="CE711">
            <v>45584</v>
          </cell>
          <cell r="CF711" t="str">
            <v>M/s A R PROJECTS</v>
          </cell>
          <cell r="CG711" t="str">
            <v>M/s A R PROJECTS</v>
          </cell>
          <cell r="CH711" t="str">
            <v>NA</v>
          </cell>
          <cell r="CI711" t="str">
            <v>Issued</v>
          </cell>
          <cell r="CO711">
            <v>45636</v>
          </cell>
          <cell r="CP711" t="str">
            <v>NA</v>
          </cell>
          <cell r="CR711">
            <v>45637</v>
          </cell>
          <cell r="DA711" t="str">
            <v>WO Done RA1 Pending</v>
          </cell>
          <cell r="DB711" t="str">
            <v>WO Done RA1 Pending</v>
          </cell>
          <cell r="DC711" t="str">
            <v>NA</v>
          </cell>
          <cell r="DG711" t="str">
            <v>Netmed SDP - Not in Dead Rental</v>
          </cell>
          <cell r="DH711" t="str">
            <v>NA</v>
          </cell>
          <cell r="DI711" t="str">
            <v>NA</v>
          </cell>
          <cell r="DJ711" t="str">
            <v>NA</v>
          </cell>
          <cell r="DL711">
            <v>45568</v>
          </cell>
          <cell r="DM711" t="str">
            <v>NA</v>
          </cell>
          <cell r="DN711" t="str">
            <v>NA</v>
          </cell>
          <cell r="DO711" t="str">
            <v xml:space="preserve">SSB Validation Done
</v>
          </cell>
          <cell r="DP711">
            <v>45637</v>
          </cell>
          <cell r="DQ711">
            <v>45642</v>
          </cell>
          <cell r="DR711">
            <v>7</v>
          </cell>
          <cell r="DS711">
            <v>15</v>
          </cell>
          <cell r="DU711">
            <v>45649</v>
          </cell>
          <cell r="DV711">
            <v>45652</v>
          </cell>
          <cell r="DW711">
            <v>45649</v>
          </cell>
          <cell r="DX711" t="str">
            <v>Dec 24 Week 4</v>
          </cell>
          <cell r="DY711">
            <v>45649</v>
          </cell>
          <cell r="DZ711">
            <v>45645</v>
          </cell>
          <cell r="EA711" t="str">
            <v>Dec 24 Week 3</v>
          </cell>
          <cell r="EB711" t="str">
            <v>Plan</v>
          </cell>
          <cell r="ED711" t="str">
            <v/>
          </cell>
          <cell r="EE711" t="str">
            <v/>
          </cell>
          <cell r="EF711">
            <v>1</v>
          </cell>
          <cell r="EG711">
            <v>1</v>
          </cell>
          <cell r="FD711">
            <v>-4</v>
          </cell>
          <cell r="FE711" t="str">
            <v>On Time</v>
          </cell>
          <cell r="FF711">
            <v>1</v>
          </cell>
          <cell r="FG711" t="str">
            <v>0 to 3 Days</v>
          </cell>
          <cell r="FH711" t="str">
            <v>Done</v>
          </cell>
          <cell r="FI711" t="str">
            <v>Done</v>
          </cell>
          <cell r="FJ711" t="str">
            <v>NA</v>
          </cell>
          <cell r="FK711">
            <v>45656</v>
          </cell>
          <cell r="FM711" t="str">
            <v/>
          </cell>
          <cell r="FZ711" t="str">
            <v>Inverter Installation Callout Received on 19-12-2024</v>
          </cell>
          <cell r="GA711" t="str">
            <v>NA</v>
          </cell>
          <cell r="GB711" t="str">
            <v>NA</v>
          </cell>
          <cell r="GC711" t="str">
            <v>NA</v>
          </cell>
          <cell r="GD711" t="str">
            <v>NA</v>
          </cell>
          <cell r="GG711" t="str">
            <v>2024-2025</v>
          </cell>
        </row>
        <row r="712">
          <cell r="E712" t="str">
            <v>Dinesh property - Nrupatunga Road  - Kuvempunagar - Mysore</v>
          </cell>
          <cell r="F712" t="str">
            <v>10. Launched</v>
          </cell>
          <cell r="H712" t="str">
            <v>KR-SM-MYS-918</v>
          </cell>
          <cell r="I712" t="str">
            <v>T64F</v>
          </cell>
          <cell r="J712" t="str">
            <v>QACR</v>
          </cell>
          <cell r="K712" t="str">
            <v>s</v>
          </cell>
          <cell r="L712" t="str">
            <v>AS</v>
          </cell>
          <cell r="N712" t="str">
            <v>Sreevinoth T</v>
          </cell>
          <cell r="O712" t="str">
            <v>Karthik H</v>
          </cell>
          <cell r="P712" t="str">
            <v>Karthik H</v>
          </cell>
          <cell r="Q712" t="str">
            <v>Arju Tiwari</v>
          </cell>
          <cell r="R712" t="str">
            <v>Sakshi Mali</v>
          </cell>
          <cell r="S712" t="str">
            <v>Karnataka</v>
          </cell>
          <cell r="T712" t="str">
            <v>Mysore</v>
          </cell>
          <cell r="U712" t="str">
            <v>Non Premium</v>
          </cell>
          <cell r="V712" t="str">
            <v>Pharma Format</v>
          </cell>
          <cell r="W712">
            <v>1600</v>
          </cell>
          <cell r="X712" t="str">
            <v>Door No.MIGHS situated at Jayanagar Tonachikoppal K.H.B.1St stage extension, Nrupatunga Road, Kuvempunagar Chamaraja Mohalla, Mysore – 560002</v>
          </cell>
          <cell r="Y712">
            <v>45565</v>
          </cell>
          <cell r="Z712" t="str">
            <v>NA</v>
          </cell>
          <cell r="AB712" t="str">
            <v>NA</v>
          </cell>
          <cell r="AF712" t="str">
            <v>NA</v>
          </cell>
          <cell r="AL712" t="str">
            <v>NA</v>
          </cell>
          <cell r="AV712" t="str">
            <v>NA</v>
          </cell>
          <cell r="AX712" t="str">
            <v>NA</v>
          </cell>
          <cell r="BH712">
            <v>45573</v>
          </cell>
          <cell r="BJ712">
            <v>45573</v>
          </cell>
          <cell r="BN712" t="str">
            <v>NA</v>
          </cell>
          <cell r="BV712" t="str">
            <v>Done</v>
          </cell>
          <cell r="BW712" t="str">
            <v>02-04-2024</v>
          </cell>
          <cell r="BX712">
            <v>45461</v>
          </cell>
          <cell r="BY712" t="str">
            <v>Approved</v>
          </cell>
          <cell r="CD712">
            <v>45565</v>
          </cell>
          <cell r="CE712">
            <v>45584</v>
          </cell>
          <cell r="CF712" t="str">
            <v>M/s M N Interiors</v>
          </cell>
          <cell r="CG712" t="str">
            <v>M/s M N Interiors</v>
          </cell>
          <cell r="CH712" t="str">
            <v>NA</v>
          </cell>
          <cell r="CI712" t="str">
            <v>Issued</v>
          </cell>
          <cell r="CO712">
            <v>45629</v>
          </cell>
          <cell r="CP712" t="str">
            <v>NA</v>
          </cell>
          <cell r="CR712">
            <v>45630</v>
          </cell>
          <cell r="DA712" t="str">
            <v>WO Done RA1 Pending</v>
          </cell>
          <cell r="DB712" t="str">
            <v>WO Done RA1 Pending</v>
          </cell>
          <cell r="DC712" t="str">
            <v>NA</v>
          </cell>
          <cell r="DG712" t="str">
            <v>Netmed SDP - Not in Dead Rental</v>
          </cell>
          <cell r="DH712" t="str">
            <v>NA</v>
          </cell>
          <cell r="DI712" t="str">
            <v>NA</v>
          </cell>
          <cell r="DJ712" t="str">
            <v>NA</v>
          </cell>
          <cell r="DL712">
            <v>45568</v>
          </cell>
          <cell r="DM712" t="str">
            <v>NA</v>
          </cell>
          <cell r="DN712" t="str">
            <v>NA</v>
          </cell>
          <cell r="DO712" t="str">
            <v>Plan to Start on 07-12-2024</v>
          </cell>
          <cell r="DP712">
            <v>45631</v>
          </cell>
          <cell r="DQ712">
            <v>45633</v>
          </cell>
          <cell r="DR712">
            <v>7</v>
          </cell>
          <cell r="DS712">
            <v>15</v>
          </cell>
          <cell r="DU712">
            <v>45640</v>
          </cell>
          <cell r="DV712">
            <v>45646</v>
          </cell>
          <cell r="DW712">
            <v>45640</v>
          </cell>
          <cell r="DX712" t="str">
            <v>Dec 24 Week 2</v>
          </cell>
          <cell r="DY712">
            <v>45640</v>
          </cell>
          <cell r="DZ712">
            <v>45640</v>
          </cell>
          <cell r="EA712" t="str">
            <v>Dec 24 Week 2</v>
          </cell>
          <cell r="EB712" t="str">
            <v>Plan</v>
          </cell>
          <cell r="ED712" t="str">
            <v/>
          </cell>
          <cell r="EE712" t="str">
            <v/>
          </cell>
          <cell r="EF712">
            <v>1</v>
          </cell>
          <cell r="EG712">
            <v>1</v>
          </cell>
          <cell r="FD712">
            <v>0</v>
          </cell>
          <cell r="FE712" t="str">
            <v>On Time</v>
          </cell>
          <cell r="FF712">
            <v>2</v>
          </cell>
          <cell r="FG712" t="str">
            <v>0 to 3 Days</v>
          </cell>
          <cell r="FH712" t="str">
            <v>Done</v>
          </cell>
          <cell r="FI712" t="str">
            <v>Done</v>
          </cell>
          <cell r="FJ712" t="str">
            <v>NA</v>
          </cell>
          <cell r="FK712">
            <v>45640</v>
          </cell>
          <cell r="FM712" t="str">
            <v/>
          </cell>
          <cell r="GA712" t="str">
            <v>NA</v>
          </cell>
          <cell r="GB712" t="str">
            <v>NA</v>
          </cell>
          <cell r="GC712" t="str">
            <v>NA</v>
          </cell>
          <cell r="GD712" t="str">
            <v>NA</v>
          </cell>
          <cell r="GG712" t="str">
            <v>2024-2025</v>
          </cell>
        </row>
        <row r="713">
          <cell r="E713" t="str">
            <v>Narendrapur-Kapasdanga-Hooghly</v>
          </cell>
          <cell r="F713" t="str">
            <v>10. Launched</v>
          </cell>
          <cell r="H713" t="str">
            <v>WB-SM-CHI-901</v>
          </cell>
          <cell r="I713" t="str">
            <v>T39N</v>
          </cell>
          <cell r="J713" t="str">
            <v xml:space="preserve">QCED </v>
          </cell>
          <cell r="K713" t="str">
            <v>E</v>
          </cell>
          <cell r="L713" t="str">
            <v>SD</v>
          </cell>
          <cell r="O713" t="str">
            <v>Sandeepta Gayen</v>
          </cell>
          <cell r="P713" t="str">
            <v>Gouranga Bardhan</v>
          </cell>
          <cell r="Q713" t="str">
            <v>Arju Tiwari</v>
          </cell>
          <cell r="R713" t="str">
            <v>Sakshi Mali</v>
          </cell>
          <cell r="S713" t="str">
            <v>West Bengal</v>
          </cell>
          <cell r="T713" t="str">
            <v>Hooghly</v>
          </cell>
          <cell r="U713" t="str">
            <v>Non Premium</v>
          </cell>
          <cell r="V713" t="str">
            <v>Pharma Format</v>
          </cell>
          <cell r="W713">
            <v>829</v>
          </cell>
          <cell r="X713" t="str">
            <v>Mouza Kapasdanga, PS Chinsurah, District Hooghly, West Bengal- 712103.</v>
          </cell>
          <cell r="Y713">
            <v>45565</v>
          </cell>
          <cell r="Z713" t="str">
            <v>NA</v>
          </cell>
          <cell r="AB713" t="str">
            <v>NA</v>
          </cell>
          <cell r="AF713" t="str">
            <v>NA</v>
          </cell>
          <cell r="AL713" t="str">
            <v>NA</v>
          </cell>
          <cell r="AV713" t="str">
            <v>NA</v>
          </cell>
          <cell r="AX713" t="str">
            <v>NA</v>
          </cell>
          <cell r="BH713">
            <v>45397</v>
          </cell>
          <cell r="BJ713">
            <v>45397</v>
          </cell>
          <cell r="BN713" t="str">
            <v>NA</v>
          </cell>
          <cell r="BV713" t="str">
            <v>Done</v>
          </cell>
          <cell r="BW713" t="str">
            <v>02-04-2024</v>
          </cell>
          <cell r="BX713">
            <v>45461</v>
          </cell>
          <cell r="BY713" t="str">
            <v>Approved</v>
          </cell>
          <cell r="CD713">
            <v>45565</v>
          </cell>
          <cell r="CE713">
            <v>45569</v>
          </cell>
          <cell r="CF713" t="str">
            <v>M/s. SHAKTI FERROUS ALLOYS &amp; CASTINGS</v>
          </cell>
          <cell r="CG713" t="str">
            <v>M/s. SHAKTI FERROUS ALLOYS &amp; CASTINGS</v>
          </cell>
          <cell r="CH713" t="str">
            <v>NA</v>
          </cell>
          <cell r="CI713" t="str">
            <v>Issued</v>
          </cell>
          <cell r="CN713">
            <v>45369</v>
          </cell>
          <cell r="CP713" t="str">
            <v>NA</v>
          </cell>
          <cell r="DA713" t="str">
            <v>PR Done WO Pending</v>
          </cell>
          <cell r="DB713" t="str">
            <v>PR Done WO Pending</v>
          </cell>
          <cell r="DC713" t="str">
            <v>NA</v>
          </cell>
          <cell r="DG713" t="str">
            <v>Netmed SDP - Not in Dead Rental</v>
          </cell>
          <cell r="DH713" t="str">
            <v>NA</v>
          </cell>
          <cell r="DI713" t="str">
            <v>NA</v>
          </cell>
          <cell r="DJ713" t="str">
            <v>NA</v>
          </cell>
          <cell r="DL713">
            <v>45568</v>
          </cell>
          <cell r="DM713" t="str">
            <v>NA</v>
          </cell>
          <cell r="DN713" t="str">
            <v>NA</v>
          </cell>
          <cell r="DO713" t="str">
            <v>WO Released on 30-11-2024</v>
          </cell>
          <cell r="DP713">
            <v>45621</v>
          </cell>
          <cell r="DQ713">
            <v>45628</v>
          </cell>
          <cell r="DR713">
            <v>7</v>
          </cell>
          <cell r="DS713">
            <v>15</v>
          </cell>
          <cell r="DU713">
            <v>45635</v>
          </cell>
          <cell r="DV713">
            <v>45636</v>
          </cell>
          <cell r="DW713">
            <v>45635</v>
          </cell>
          <cell r="DX713" t="str">
            <v>Dec 24 Week 2</v>
          </cell>
          <cell r="DZ713">
            <v>45630</v>
          </cell>
          <cell r="EA713" t="str">
            <v>Dec 24 Week 1</v>
          </cell>
          <cell r="EB713" t="str">
            <v>Plan</v>
          </cell>
          <cell r="ED713" t="str">
            <v/>
          </cell>
          <cell r="EE713" t="str">
            <v/>
          </cell>
          <cell r="EF713">
            <v>1</v>
          </cell>
          <cell r="EG713">
            <v>1</v>
          </cell>
          <cell r="FD713">
            <v>-5</v>
          </cell>
          <cell r="FE713" t="str">
            <v>On Time</v>
          </cell>
          <cell r="FF713">
            <v>2</v>
          </cell>
          <cell r="FG713" t="str">
            <v>0 to 3 Days</v>
          </cell>
          <cell r="FH713" t="str">
            <v>Done</v>
          </cell>
          <cell r="FI713" t="str">
            <v>Done</v>
          </cell>
          <cell r="FJ713" t="str">
            <v>NA</v>
          </cell>
          <cell r="FK713">
            <v>45642</v>
          </cell>
          <cell r="FM713" t="str">
            <v/>
          </cell>
          <cell r="FZ713" t="str">
            <v>Inverter Installation Callout Received on 04-12-2024</v>
          </cell>
          <cell r="GA713" t="str">
            <v>NA</v>
          </cell>
          <cell r="GB713" t="str">
            <v>NA</v>
          </cell>
          <cell r="GC713" t="str">
            <v>NA</v>
          </cell>
          <cell r="GD713" t="str">
            <v>NA</v>
          </cell>
          <cell r="GG713" t="str">
            <v>2024-2025</v>
          </cell>
        </row>
        <row r="714">
          <cell r="E714" t="str">
            <v xml:space="preserve">Uttarahalli -Kengeri Road -Channasandra </v>
          </cell>
          <cell r="F714" t="str">
            <v>10. Launched</v>
          </cell>
          <cell r="G714" t="str">
            <v>PHCOAS13747</v>
          </cell>
          <cell r="H714" t="str">
            <v>KR-SM-BAN-993</v>
          </cell>
          <cell r="I714" t="str">
            <v>T1PR</v>
          </cell>
          <cell r="J714" t="str">
            <v>Q2J2</v>
          </cell>
          <cell r="K714" t="str">
            <v>S</v>
          </cell>
          <cell r="L714" t="str">
            <v>AS</v>
          </cell>
          <cell r="N714" t="str">
            <v>Vighnesh Bhave</v>
          </cell>
          <cell r="O714" t="str">
            <v>Hariprasad PV</v>
          </cell>
          <cell r="P714" t="str">
            <v>Kumaran</v>
          </cell>
          <cell r="Q714" t="str">
            <v>Arju Tiwari</v>
          </cell>
          <cell r="R714" t="str">
            <v>Sakshi Mali</v>
          </cell>
          <cell r="S714" t="str">
            <v>Karnataka</v>
          </cell>
          <cell r="T714" t="str">
            <v>Bangalore</v>
          </cell>
          <cell r="U714" t="str">
            <v>Non Premium</v>
          </cell>
          <cell r="V714" t="str">
            <v>Pharma Format</v>
          </cell>
          <cell r="W714">
            <v>1409</v>
          </cell>
          <cell r="X714" t="str">
            <v xml:space="preserve">Uttarahalli -Kengeri Road -Channasandra </v>
          </cell>
          <cell r="Y714">
            <v>45771</v>
          </cell>
          <cell r="Z714" t="str">
            <v>NA</v>
          </cell>
          <cell r="AB714" t="str">
            <v>NA</v>
          </cell>
          <cell r="AF714" t="str">
            <v>NA</v>
          </cell>
          <cell r="AL714" t="str">
            <v>NA</v>
          </cell>
          <cell r="AV714" t="str">
            <v>NA</v>
          </cell>
          <cell r="AX714" t="str">
            <v>NA</v>
          </cell>
          <cell r="BN714" t="str">
            <v>NA</v>
          </cell>
          <cell r="BV714" t="str">
            <v>NA</v>
          </cell>
          <cell r="BW714" t="str">
            <v>02-12-2024</v>
          </cell>
          <cell r="BX714">
            <v>45770</v>
          </cell>
          <cell r="BY714" t="str">
            <v>Approved</v>
          </cell>
          <cell r="CD714">
            <v>45770</v>
          </cell>
          <cell r="CH714" t="str">
            <v>NA</v>
          </cell>
          <cell r="DA714" t="str">
            <v>NA</v>
          </cell>
          <cell r="DB714" t="str">
            <v>NA</v>
          </cell>
          <cell r="DC714" t="str">
            <v>NA</v>
          </cell>
          <cell r="DG714" t="str">
            <v>Netmed SDP - Not in Dead Rental</v>
          </cell>
          <cell r="DH714" t="str">
            <v>NA</v>
          </cell>
          <cell r="DI714" t="str">
            <v>NA</v>
          </cell>
          <cell r="DJ714" t="str">
            <v>NA</v>
          </cell>
          <cell r="DL714">
            <v>45771</v>
          </cell>
          <cell r="DO714" t="str">
            <v xml:space="preserve">Vendor Mobilization awaited-NOA approved - WO released on 07-05-2025
</v>
          </cell>
          <cell r="DP714">
            <v>45787</v>
          </cell>
          <cell r="DQ714">
            <v>45790</v>
          </cell>
          <cell r="DR714">
            <v>7</v>
          </cell>
          <cell r="DS714">
            <v>15</v>
          </cell>
          <cell r="DU714">
            <v>45797</v>
          </cell>
          <cell r="DV714">
            <v>45802</v>
          </cell>
          <cell r="DW714">
            <v>45797</v>
          </cell>
          <cell r="DX714" t="str">
            <v>May 25 Week 3</v>
          </cell>
          <cell r="DZ714">
            <v>45790</v>
          </cell>
          <cell r="EA714" t="str">
            <v>May 25 Week 2</v>
          </cell>
          <cell r="EB714" t="str">
            <v>Plan</v>
          </cell>
          <cell r="ED714" t="str">
            <v/>
          </cell>
          <cell r="EE714" t="str">
            <v>On Track</v>
          </cell>
          <cell r="EF714">
            <v>1</v>
          </cell>
          <cell r="EG714">
            <v>1</v>
          </cell>
          <cell r="FH714" t="str">
            <v>Done</v>
          </cell>
          <cell r="FI714" t="str">
            <v>Done</v>
          </cell>
          <cell r="FJ714" t="str">
            <v>NA</v>
          </cell>
          <cell r="FK714">
            <v>45800</v>
          </cell>
          <cell r="FM714" t="str">
            <v/>
          </cell>
          <cell r="FZ714" t="str">
            <v>SLP Callout shared on 14-05-2025</v>
          </cell>
          <cell r="GG714" t="str">
            <v>2025-2026</v>
          </cell>
        </row>
        <row r="715">
          <cell r="E715" t="str">
            <v xml:space="preserve">Coconut Garden Arekere Main Road Bannerghatta Road Bangalore </v>
          </cell>
          <cell r="F715" t="str">
            <v>10. Launched</v>
          </cell>
          <cell r="G715" t="str">
            <v>NETMS123</v>
          </cell>
          <cell r="H715" t="str">
            <v>KR-SM-BAN-1025</v>
          </cell>
          <cell r="I715" t="str">
            <v>T30F</v>
          </cell>
          <cell r="K715" t="str">
            <v>S</v>
          </cell>
          <cell r="L715" t="str">
            <v>AS</v>
          </cell>
          <cell r="N715" t="str">
            <v>Vighnesh Bhave</v>
          </cell>
          <cell r="O715" t="str">
            <v>Hariprasad PV</v>
          </cell>
          <cell r="P715" t="str">
            <v>Kumaran</v>
          </cell>
          <cell r="Q715" t="str">
            <v>Arju Tiwari</v>
          </cell>
          <cell r="R715" t="str">
            <v>Sakshi Mali</v>
          </cell>
          <cell r="S715" t="str">
            <v>Karnataka</v>
          </cell>
          <cell r="T715" t="str">
            <v>Bangalore</v>
          </cell>
          <cell r="U715" t="str">
            <v>Non Premium</v>
          </cell>
          <cell r="V715" t="str">
            <v>Pharma Format</v>
          </cell>
          <cell r="X715" t="str">
            <v xml:space="preserve">Coconut Garden Arekere Main Road Bannerghatta Road Bangalore </v>
          </cell>
          <cell r="Y715">
            <v>45818</v>
          </cell>
          <cell r="Z715" t="str">
            <v>NA</v>
          </cell>
          <cell r="AB715" t="str">
            <v>NA</v>
          </cell>
          <cell r="AF715" t="str">
            <v>NA</v>
          </cell>
          <cell r="AL715" t="str">
            <v>NA</v>
          </cell>
          <cell r="AV715" t="str">
            <v>NA</v>
          </cell>
          <cell r="AX715" t="str">
            <v>NA</v>
          </cell>
          <cell r="BN715" t="str">
            <v>NA</v>
          </cell>
          <cell r="BV715" t="str">
            <v>NA</v>
          </cell>
          <cell r="BW715" t="str">
            <v>03-06-2025</v>
          </cell>
          <cell r="BX715">
            <v>45817</v>
          </cell>
          <cell r="BY715" t="str">
            <v>Approved</v>
          </cell>
          <cell r="CD715">
            <v>45810</v>
          </cell>
          <cell r="CE715">
            <v>45825</v>
          </cell>
          <cell r="CF715" t="str">
            <v>M/S SKC Builders.</v>
          </cell>
          <cell r="CG715" t="str">
            <v>M/S SKC Builders.</v>
          </cell>
          <cell r="CH715" t="str">
            <v>NA</v>
          </cell>
          <cell r="DA715" t="str">
            <v>NA</v>
          </cell>
          <cell r="DB715" t="str">
            <v>NA</v>
          </cell>
          <cell r="DC715" t="str">
            <v>NA</v>
          </cell>
          <cell r="DG715" t="str">
            <v>Netmed SDP - Not in Dead Rental</v>
          </cell>
          <cell r="DH715" t="str">
            <v>NA</v>
          </cell>
          <cell r="DI715" t="str">
            <v>NA</v>
          </cell>
          <cell r="DJ715" t="str">
            <v>NA</v>
          </cell>
          <cell r="DO715" t="str">
            <v xml:space="preserve">Work to be started by 19-06-2025
</v>
          </cell>
          <cell r="DP715">
            <v>45827</v>
          </cell>
          <cell r="DQ715">
            <v>45827</v>
          </cell>
          <cell r="DR715">
            <v>7</v>
          </cell>
          <cell r="DS715">
            <v>15</v>
          </cell>
          <cell r="DU715">
            <v>45834</v>
          </cell>
          <cell r="DV715">
            <v>45842</v>
          </cell>
          <cell r="DW715">
            <v>45834</v>
          </cell>
          <cell r="DX715" t="str">
            <v>June 25 Week 4</v>
          </cell>
          <cell r="DY715">
            <v>45834</v>
          </cell>
          <cell r="DZ715">
            <v>45834</v>
          </cell>
          <cell r="EA715" t="str">
            <v>June 25 Week 4</v>
          </cell>
          <cell r="EB715" t="str">
            <v>Plan</v>
          </cell>
          <cell r="ED715" t="str">
            <v/>
          </cell>
          <cell r="EE715" t="str">
            <v/>
          </cell>
          <cell r="EF715">
            <v>1</v>
          </cell>
          <cell r="EG715">
            <v>1</v>
          </cell>
          <cell r="FD715">
            <v>0</v>
          </cell>
          <cell r="FE715" t="str">
            <v>On Time</v>
          </cell>
          <cell r="FF715">
            <v>0</v>
          </cell>
          <cell r="FG715" t="str">
            <v>On Time</v>
          </cell>
          <cell r="FH715" t="str">
            <v>Done</v>
          </cell>
          <cell r="FI715" t="str">
            <v>Done</v>
          </cell>
          <cell r="FJ715" t="str">
            <v>NA</v>
          </cell>
          <cell r="FK715">
            <v>45834</v>
          </cell>
          <cell r="FM715" t="str">
            <v/>
          </cell>
          <cell r="GG715" t="str">
            <v>2025-2026</v>
          </cell>
        </row>
        <row r="716">
          <cell r="E716" t="str">
            <v>ONLINE NETMED STORE_BHANDUP METRO</v>
          </cell>
          <cell r="F716" t="str">
            <v>4. Budget Approval Pending</v>
          </cell>
          <cell r="G716" t="str">
            <v>PHCOKC14704</v>
          </cell>
          <cell r="K716" t="str">
            <v>W</v>
          </cell>
          <cell r="L716" t="str">
            <v>KC</v>
          </cell>
          <cell r="Q716" t="str">
            <v>Arju Tiwari</v>
          </cell>
          <cell r="R716" t="str">
            <v>Kiran Patil</v>
          </cell>
          <cell r="S716" t="str">
            <v>Maharashtra</v>
          </cell>
          <cell r="T716" t="str">
            <v>Mumbai</v>
          </cell>
          <cell r="U716" t="str">
            <v>Non Premium</v>
          </cell>
          <cell r="V716" t="str">
            <v>Pharma Format</v>
          </cell>
          <cell r="W716">
            <v>368</v>
          </cell>
          <cell r="X716" t="str">
            <v>NETMED STORE_BHANDUP METRO, Mumbai</v>
          </cell>
          <cell r="AG716" t="str">
            <v/>
          </cell>
          <cell r="AI716">
            <v>45966</v>
          </cell>
          <cell r="AK716">
            <v>45985</v>
          </cell>
          <cell r="AL716" t="str">
            <v>Received</v>
          </cell>
          <cell r="AP716">
            <v>45973</v>
          </cell>
          <cell r="BB716">
            <v>45979</v>
          </cell>
          <cell r="BC716">
            <v>0</v>
          </cell>
          <cell r="BF716" t="str">
            <v>HVAC R0- 18 Nov 25</v>
          </cell>
          <cell r="BH716">
            <v>45975</v>
          </cell>
          <cell r="BI716">
            <v>1</v>
          </cell>
          <cell r="BJ716">
            <v>45988</v>
          </cell>
          <cell r="BN716">
            <v>45975</v>
          </cell>
          <cell r="BO716" t="str">
            <v>IT ML R3 - 25.11.2025</v>
          </cell>
          <cell r="BW716" t="str">
            <v>18 Nov 25
Revised - 26 Nov 25</v>
          </cell>
          <cell r="BY716" t="str">
            <v>Done</v>
          </cell>
          <cell r="DM716">
            <v>46121</v>
          </cell>
          <cell r="DU716">
            <v>0</v>
          </cell>
          <cell r="DV716">
            <v>0</v>
          </cell>
          <cell r="DW716">
            <v>0</v>
          </cell>
          <cell r="EA716" t="str">
            <v/>
          </cell>
          <cell r="ED716" t="str">
            <v/>
          </cell>
          <cell r="EE716" t="str">
            <v/>
          </cell>
          <cell r="FD716">
            <v>46121</v>
          </cell>
          <cell r="FF716">
            <v>46121</v>
          </cell>
          <cell r="FM716" t="str">
            <v/>
          </cell>
          <cell r="GG716" t="str">
            <v>2026-2027</v>
          </cell>
        </row>
        <row r="717">
          <cell r="E717" t="str">
            <v>Erode</v>
          </cell>
          <cell r="F717" t="str">
            <v>10. Launched</v>
          </cell>
          <cell r="K717" t="str">
            <v xml:space="preserve">S </v>
          </cell>
          <cell r="L717" t="str">
            <v>AS</v>
          </cell>
          <cell r="Q717" t="str">
            <v>Shahaji Gohatre</v>
          </cell>
          <cell r="S717" t="str">
            <v>Tamil Nadu</v>
          </cell>
          <cell r="T717" t="str">
            <v>Erode</v>
          </cell>
          <cell r="U717" t="str">
            <v>Non Premium</v>
          </cell>
          <cell r="V717" t="str">
            <v>Misc Formats</v>
          </cell>
          <cell r="W717">
            <v>7629</v>
          </cell>
          <cell r="AF717" t="str">
            <v>Done</v>
          </cell>
          <cell r="AG717" t="str">
            <v/>
          </cell>
          <cell r="AL717" t="str">
            <v>Received</v>
          </cell>
          <cell r="AM717">
            <v>46171</v>
          </cell>
          <cell r="AO717">
            <v>3</v>
          </cell>
          <cell r="AS717">
            <v>-3</v>
          </cell>
          <cell r="AU717">
            <v>4</v>
          </cell>
          <cell r="AY717">
            <v>-4</v>
          </cell>
          <cell r="BA717">
            <v>5</v>
          </cell>
          <cell r="BE717">
            <v>-5</v>
          </cell>
          <cell r="BG717">
            <v>5</v>
          </cell>
          <cell r="BY717" t="str">
            <v>Approved</v>
          </cell>
          <cell r="CE717">
            <v>44535</v>
          </cell>
          <cell r="DQ717">
            <v>44539</v>
          </cell>
          <cell r="DX717" t="str">
            <v/>
          </cell>
          <cell r="DZ717">
            <v>44630</v>
          </cell>
          <cell r="FH717" t="str">
            <v>Done</v>
          </cell>
          <cell r="GG717" t="str">
            <v>2021-2022</v>
          </cell>
        </row>
        <row r="718">
          <cell r="E718" t="str">
            <v>Bangalore</v>
          </cell>
          <cell r="F718" t="str">
            <v>10. Launched</v>
          </cell>
          <cell r="K718" t="str">
            <v xml:space="preserve">S </v>
          </cell>
          <cell r="L718" t="str">
            <v>AS</v>
          </cell>
          <cell r="Q718" t="str">
            <v>Shahaji Gohatre</v>
          </cell>
          <cell r="S718" t="str">
            <v>Karnataka</v>
          </cell>
          <cell r="T718" t="str">
            <v>Bangalore</v>
          </cell>
          <cell r="U718" t="str">
            <v>Non Premium</v>
          </cell>
          <cell r="V718" t="str">
            <v>Misc Formats</v>
          </cell>
          <cell r="W718">
            <v>4057</v>
          </cell>
          <cell r="AF718" t="str">
            <v>Done</v>
          </cell>
          <cell r="AG718" t="str">
            <v/>
          </cell>
          <cell r="AL718" t="str">
            <v>Received</v>
          </cell>
          <cell r="AM718">
            <v>46171</v>
          </cell>
          <cell r="AO718">
            <v>3</v>
          </cell>
          <cell r="AS718">
            <v>-3</v>
          </cell>
          <cell r="AU718">
            <v>4</v>
          </cell>
          <cell r="AY718">
            <v>-4</v>
          </cell>
          <cell r="BA718">
            <v>5</v>
          </cell>
          <cell r="BE718">
            <v>-5</v>
          </cell>
          <cell r="BG718">
            <v>5</v>
          </cell>
          <cell r="BY718" t="str">
            <v>Approved</v>
          </cell>
          <cell r="CE718">
            <v>44587</v>
          </cell>
          <cell r="DQ718">
            <v>44594</v>
          </cell>
          <cell r="DX718" t="str">
            <v/>
          </cell>
          <cell r="DZ718">
            <v>44655</v>
          </cell>
          <cell r="FH718" t="str">
            <v>Done</v>
          </cell>
          <cell r="GG718" t="str">
            <v>2022-2023</v>
          </cell>
        </row>
        <row r="719">
          <cell r="E719" t="str">
            <v>Tirupur</v>
          </cell>
          <cell r="F719" t="str">
            <v>10. Launched</v>
          </cell>
          <cell r="K719" t="str">
            <v xml:space="preserve">S </v>
          </cell>
          <cell r="L719" t="str">
            <v>AS</v>
          </cell>
          <cell r="Q719" t="str">
            <v>Shahaji Gohatre</v>
          </cell>
          <cell r="S719" t="str">
            <v>Tamil Nadu</v>
          </cell>
          <cell r="T719" t="str">
            <v>Tirupur</v>
          </cell>
          <cell r="U719" t="str">
            <v>Non Premium</v>
          </cell>
          <cell r="V719" t="str">
            <v>Misc Formats</v>
          </cell>
          <cell r="W719">
            <v>30369</v>
          </cell>
          <cell r="AF719" t="str">
            <v>Done</v>
          </cell>
          <cell r="AG719" t="str">
            <v/>
          </cell>
          <cell r="AL719" t="str">
            <v>Received</v>
          </cell>
          <cell r="AM719">
            <v>46171</v>
          </cell>
          <cell r="AO719">
            <v>3</v>
          </cell>
          <cell r="AS719">
            <v>-3</v>
          </cell>
          <cell r="AU719">
            <v>4</v>
          </cell>
          <cell r="AY719">
            <v>-4</v>
          </cell>
          <cell r="BA719">
            <v>5</v>
          </cell>
          <cell r="BE719">
            <v>-5</v>
          </cell>
          <cell r="BG719">
            <v>5</v>
          </cell>
          <cell r="BY719" t="str">
            <v>Approved</v>
          </cell>
          <cell r="CE719">
            <v>44588</v>
          </cell>
          <cell r="DQ719">
            <v>44599</v>
          </cell>
          <cell r="DX719" t="str">
            <v/>
          </cell>
          <cell r="DZ719">
            <v>44691</v>
          </cell>
          <cell r="FH719" t="str">
            <v>Done</v>
          </cell>
          <cell r="GG719" t="str">
            <v>2022-2023</v>
          </cell>
        </row>
        <row r="720">
          <cell r="E720" t="str">
            <v>Kolkata</v>
          </cell>
          <cell r="F720" t="str">
            <v>10. Launched</v>
          </cell>
          <cell r="K720" t="str">
            <v xml:space="preserve">E </v>
          </cell>
          <cell r="L720" t="str">
            <v>SD</v>
          </cell>
          <cell r="Q720" t="str">
            <v>Shahaji Gohatre</v>
          </cell>
          <cell r="S720" t="str">
            <v>West Bengal</v>
          </cell>
          <cell r="T720" t="str">
            <v>Kolkata</v>
          </cell>
          <cell r="U720" t="str">
            <v>Non Premium</v>
          </cell>
          <cell r="V720" t="str">
            <v>Misc Formats</v>
          </cell>
          <cell r="W720">
            <v>19000</v>
          </cell>
          <cell r="AF720" t="str">
            <v>Done</v>
          </cell>
          <cell r="AG720" t="str">
            <v/>
          </cell>
          <cell r="AL720" t="str">
            <v>Received</v>
          </cell>
          <cell r="AM720">
            <v>46171</v>
          </cell>
          <cell r="AO720">
            <v>3</v>
          </cell>
          <cell r="AS720">
            <v>-3</v>
          </cell>
          <cell r="AU720">
            <v>4</v>
          </cell>
          <cell r="AY720">
            <v>-4</v>
          </cell>
          <cell r="BA720">
            <v>5</v>
          </cell>
          <cell r="BE720">
            <v>-5</v>
          </cell>
          <cell r="BG720">
            <v>5</v>
          </cell>
          <cell r="BY720" t="str">
            <v>Approved</v>
          </cell>
          <cell r="CE720">
            <v>44585</v>
          </cell>
          <cell r="DQ720">
            <v>44613</v>
          </cell>
          <cell r="DX720" t="str">
            <v/>
          </cell>
          <cell r="DZ720">
            <v>44718</v>
          </cell>
          <cell r="FH720" t="str">
            <v>Done</v>
          </cell>
          <cell r="GG720" t="str">
            <v>2022-2023</v>
          </cell>
        </row>
        <row r="721">
          <cell r="E721" t="str">
            <v>Kolhapur</v>
          </cell>
          <cell r="F721" t="str">
            <v>10. Launched</v>
          </cell>
          <cell r="K721" t="str">
            <v>W</v>
          </cell>
          <cell r="L721" t="str">
            <v>BK</v>
          </cell>
          <cell r="Q721" t="str">
            <v>Shahaji Gohatre</v>
          </cell>
          <cell r="S721" t="str">
            <v>Maharashtra</v>
          </cell>
          <cell r="T721" t="str">
            <v>Kolhapur</v>
          </cell>
          <cell r="U721" t="str">
            <v>Non Premium</v>
          </cell>
          <cell r="V721" t="str">
            <v>Misc Formats</v>
          </cell>
          <cell r="W721">
            <v>6777</v>
          </cell>
          <cell r="AF721" t="str">
            <v>Done</v>
          </cell>
          <cell r="AG721" t="str">
            <v/>
          </cell>
          <cell r="AL721" t="str">
            <v>Received</v>
          </cell>
          <cell r="AM721">
            <v>46171</v>
          </cell>
          <cell r="AO721">
            <v>3</v>
          </cell>
          <cell r="AS721">
            <v>-3</v>
          </cell>
          <cell r="AU721">
            <v>4</v>
          </cell>
          <cell r="AY721">
            <v>-4</v>
          </cell>
          <cell r="BA721">
            <v>5</v>
          </cell>
          <cell r="BE721">
            <v>-5</v>
          </cell>
          <cell r="BG721">
            <v>5</v>
          </cell>
          <cell r="BY721" t="str">
            <v>Approved</v>
          </cell>
          <cell r="CE721">
            <v>44571</v>
          </cell>
          <cell r="DQ721">
            <v>44595</v>
          </cell>
          <cell r="DX721" t="str">
            <v/>
          </cell>
          <cell r="DZ721">
            <v>44712</v>
          </cell>
          <cell r="FH721" t="str">
            <v>Done</v>
          </cell>
          <cell r="GG721" t="str">
            <v>2022-2023</v>
          </cell>
        </row>
        <row r="722">
          <cell r="E722" t="str">
            <v>Bhiwandi</v>
          </cell>
          <cell r="F722" t="str">
            <v>10. Launched</v>
          </cell>
          <cell r="K722" t="str">
            <v>W</v>
          </cell>
          <cell r="L722" t="str">
            <v>BK</v>
          </cell>
          <cell r="Q722" t="str">
            <v>Shahaji Gohatre</v>
          </cell>
          <cell r="S722" t="str">
            <v>Maharashtra</v>
          </cell>
          <cell r="T722" t="str">
            <v>Bhiwandi</v>
          </cell>
          <cell r="U722" t="str">
            <v>Non Premium</v>
          </cell>
          <cell r="V722" t="str">
            <v>Misc Formats</v>
          </cell>
          <cell r="W722">
            <v>7000</v>
          </cell>
          <cell r="AF722" t="str">
            <v>Done</v>
          </cell>
          <cell r="AG722" t="str">
            <v/>
          </cell>
          <cell r="AL722" t="str">
            <v>Received</v>
          </cell>
          <cell r="AM722">
            <v>46171</v>
          </cell>
          <cell r="AO722">
            <v>3</v>
          </cell>
          <cell r="AS722">
            <v>-3</v>
          </cell>
          <cell r="AU722">
            <v>4</v>
          </cell>
          <cell r="AY722">
            <v>-4</v>
          </cell>
          <cell r="BA722">
            <v>5</v>
          </cell>
          <cell r="BE722">
            <v>-5</v>
          </cell>
          <cell r="BG722">
            <v>5</v>
          </cell>
          <cell r="BY722" t="str">
            <v>Approved</v>
          </cell>
          <cell r="CE722">
            <v>44571</v>
          </cell>
          <cell r="DQ722">
            <v>44597</v>
          </cell>
          <cell r="DX722" t="str">
            <v/>
          </cell>
          <cell r="DZ722">
            <v>44712</v>
          </cell>
          <cell r="FH722" t="str">
            <v>Done</v>
          </cell>
          <cell r="GG722" t="str">
            <v>2022-2023</v>
          </cell>
        </row>
        <row r="723">
          <cell r="E723" t="str">
            <v>Bhilwara</v>
          </cell>
          <cell r="F723" t="str">
            <v>10. Launched</v>
          </cell>
          <cell r="K723" t="str">
            <v xml:space="preserve">N </v>
          </cell>
          <cell r="L723" t="str">
            <v>RT</v>
          </cell>
          <cell r="Q723" t="str">
            <v>Shahaji Gohatre</v>
          </cell>
          <cell r="S723" t="str">
            <v>Rajasthan</v>
          </cell>
          <cell r="T723" t="str">
            <v>Bhilwara</v>
          </cell>
          <cell r="U723" t="str">
            <v>Non Premium</v>
          </cell>
          <cell r="V723" t="str">
            <v>Misc Formats</v>
          </cell>
          <cell r="W723">
            <v>7079</v>
          </cell>
          <cell r="AF723" t="str">
            <v>Done</v>
          </cell>
          <cell r="AG723" t="str">
            <v/>
          </cell>
          <cell r="AL723" t="str">
            <v>Received</v>
          </cell>
          <cell r="AM723">
            <v>46171</v>
          </cell>
          <cell r="AO723">
            <v>3</v>
          </cell>
          <cell r="AS723">
            <v>-3</v>
          </cell>
          <cell r="AU723">
            <v>4</v>
          </cell>
          <cell r="AY723">
            <v>-4</v>
          </cell>
          <cell r="BA723">
            <v>5</v>
          </cell>
          <cell r="BE723">
            <v>-5</v>
          </cell>
          <cell r="BG723">
            <v>5</v>
          </cell>
          <cell r="BY723" t="str">
            <v>Approved</v>
          </cell>
          <cell r="CE723">
            <v>44586</v>
          </cell>
          <cell r="DQ723">
            <v>44600</v>
          </cell>
          <cell r="DX723" t="str">
            <v/>
          </cell>
          <cell r="DZ723">
            <v>44714</v>
          </cell>
          <cell r="FH723" t="str">
            <v>Done</v>
          </cell>
          <cell r="GG723" t="str">
            <v>2022-2023</v>
          </cell>
        </row>
        <row r="724">
          <cell r="E724" t="str">
            <v>Varanasi</v>
          </cell>
          <cell r="F724" t="str">
            <v>10. Launched</v>
          </cell>
          <cell r="K724" t="str">
            <v xml:space="preserve">N </v>
          </cell>
          <cell r="L724" t="str">
            <v>RT</v>
          </cell>
          <cell r="Q724" t="str">
            <v>Shahaji Gohatre</v>
          </cell>
          <cell r="S724" t="str">
            <v>Uttar Pradesh</v>
          </cell>
          <cell r="T724" t="str">
            <v>Varanasi</v>
          </cell>
          <cell r="U724" t="str">
            <v>Non Premium</v>
          </cell>
          <cell r="V724" t="str">
            <v>Misc Formats</v>
          </cell>
          <cell r="W724">
            <v>8604</v>
          </cell>
          <cell r="AF724" t="str">
            <v>Done</v>
          </cell>
          <cell r="AG724" t="str">
            <v/>
          </cell>
          <cell r="AL724" t="str">
            <v>Received</v>
          </cell>
          <cell r="AM724">
            <v>46171</v>
          </cell>
          <cell r="AO724">
            <v>3</v>
          </cell>
          <cell r="AS724">
            <v>-3</v>
          </cell>
          <cell r="AU724">
            <v>4</v>
          </cell>
          <cell r="AY724">
            <v>-4</v>
          </cell>
          <cell r="BA724">
            <v>5</v>
          </cell>
          <cell r="BE724">
            <v>-5</v>
          </cell>
          <cell r="BG724">
            <v>5</v>
          </cell>
          <cell r="BY724" t="str">
            <v>Approved</v>
          </cell>
          <cell r="CE724">
            <v>44583</v>
          </cell>
          <cell r="DQ724">
            <v>44597</v>
          </cell>
          <cell r="DX724" t="str">
            <v/>
          </cell>
          <cell r="DZ724">
            <v>44712</v>
          </cell>
          <cell r="FH724" t="str">
            <v>Done</v>
          </cell>
          <cell r="GG724" t="str">
            <v>2022-2023</v>
          </cell>
        </row>
        <row r="725">
          <cell r="E725" t="str">
            <v>Lucknow</v>
          </cell>
          <cell r="F725" t="str">
            <v>10. Launched</v>
          </cell>
          <cell r="K725" t="str">
            <v xml:space="preserve">N </v>
          </cell>
          <cell r="L725" t="str">
            <v>RT</v>
          </cell>
          <cell r="Q725" t="str">
            <v>Shahaji Gohatre</v>
          </cell>
          <cell r="S725" t="str">
            <v>Uttar Pradesh</v>
          </cell>
          <cell r="T725" t="str">
            <v>Lucknow</v>
          </cell>
          <cell r="U725" t="str">
            <v>Non Premium</v>
          </cell>
          <cell r="V725" t="str">
            <v>Misc Formats</v>
          </cell>
          <cell r="W725">
            <v>10130</v>
          </cell>
          <cell r="AF725" t="str">
            <v>Done</v>
          </cell>
          <cell r="AG725" t="str">
            <v/>
          </cell>
          <cell r="AL725" t="str">
            <v>Received</v>
          </cell>
          <cell r="AM725">
            <v>46171</v>
          </cell>
          <cell r="AO725">
            <v>3</v>
          </cell>
          <cell r="AS725">
            <v>-3</v>
          </cell>
          <cell r="AU725">
            <v>4</v>
          </cell>
          <cell r="AY725">
            <v>-4</v>
          </cell>
          <cell r="BA725">
            <v>5</v>
          </cell>
          <cell r="BE725">
            <v>-5</v>
          </cell>
          <cell r="BG725">
            <v>5</v>
          </cell>
          <cell r="BY725" t="str">
            <v>Approved</v>
          </cell>
          <cell r="CE725">
            <v>44579</v>
          </cell>
          <cell r="DQ725">
            <v>44595</v>
          </cell>
          <cell r="DX725" t="str">
            <v/>
          </cell>
          <cell r="DZ725">
            <v>44715</v>
          </cell>
          <cell r="FH725" t="str">
            <v>Done</v>
          </cell>
          <cell r="GG725" t="str">
            <v>2022-2023</v>
          </cell>
        </row>
        <row r="726">
          <cell r="E726" t="str">
            <v>Jaipur</v>
          </cell>
          <cell r="F726" t="str">
            <v>10. Launched</v>
          </cell>
          <cell r="K726" t="str">
            <v xml:space="preserve">N </v>
          </cell>
          <cell r="L726" t="str">
            <v>RT</v>
          </cell>
          <cell r="Q726" t="str">
            <v>Shahaji Gohatre</v>
          </cell>
          <cell r="S726" t="str">
            <v>Rajasthan</v>
          </cell>
          <cell r="T726" t="str">
            <v>Jaipur</v>
          </cell>
          <cell r="U726" t="str">
            <v>Non Premium</v>
          </cell>
          <cell r="V726" t="str">
            <v>Misc Formats</v>
          </cell>
          <cell r="W726">
            <v>14932</v>
          </cell>
          <cell r="AF726" t="str">
            <v>Done</v>
          </cell>
          <cell r="AG726" t="str">
            <v/>
          </cell>
          <cell r="AL726" t="str">
            <v>Received</v>
          </cell>
          <cell r="AM726">
            <v>46171</v>
          </cell>
          <cell r="AO726">
            <v>3</v>
          </cell>
          <cell r="AS726">
            <v>-3</v>
          </cell>
          <cell r="AU726">
            <v>4</v>
          </cell>
          <cell r="AY726">
            <v>-4</v>
          </cell>
          <cell r="BA726">
            <v>5</v>
          </cell>
          <cell r="BE726">
            <v>-5</v>
          </cell>
          <cell r="BG726">
            <v>5</v>
          </cell>
          <cell r="BY726" t="str">
            <v>Approved</v>
          </cell>
          <cell r="CE726">
            <v>44593</v>
          </cell>
          <cell r="DQ726">
            <v>44601</v>
          </cell>
          <cell r="DX726" t="str">
            <v/>
          </cell>
          <cell r="DZ726">
            <v>44776</v>
          </cell>
          <cell r="FH726" t="str">
            <v>Done</v>
          </cell>
          <cell r="GG726" t="str">
            <v>2022-2023</v>
          </cell>
        </row>
        <row r="727">
          <cell r="E727" t="str">
            <v>Surat</v>
          </cell>
          <cell r="F727" t="str">
            <v>10. Launched</v>
          </cell>
          <cell r="K727" t="str">
            <v>W</v>
          </cell>
          <cell r="L727" t="str">
            <v>BK</v>
          </cell>
          <cell r="Q727" t="str">
            <v>Shahaji Gohatre</v>
          </cell>
          <cell r="S727" t="str">
            <v>Gujarat</v>
          </cell>
          <cell r="T727" t="str">
            <v>Surat</v>
          </cell>
          <cell r="U727" t="str">
            <v>Non Premium</v>
          </cell>
          <cell r="V727" t="str">
            <v>Misc Formats</v>
          </cell>
          <cell r="W727">
            <v>28447</v>
          </cell>
          <cell r="AF727" t="str">
            <v>Done</v>
          </cell>
          <cell r="AG727" t="str">
            <v/>
          </cell>
          <cell r="AL727" t="str">
            <v>Received</v>
          </cell>
          <cell r="AM727">
            <v>46171</v>
          </cell>
          <cell r="AO727">
            <v>3</v>
          </cell>
          <cell r="AS727">
            <v>-3</v>
          </cell>
          <cell r="AU727">
            <v>4</v>
          </cell>
          <cell r="AY727">
            <v>-4</v>
          </cell>
          <cell r="BA727">
            <v>5</v>
          </cell>
          <cell r="BE727">
            <v>-5</v>
          </cell>
          <cell r="BG727">
            <v>5</v>
          </cell>
          <cell r="BY727" t="str">
            <v>Approved</v>
          </cell>
          <cell r="CE727">
            <v>44574</v>
          </cell>
          <cell r="DQ727">
            <v>44602</v>
          </cell>
          <cell r="DX727" t="str">
            <v/>
          </cell>
          <cell r="DZ727">
            <v>44776</v>
          </cell>
          <cell r="FH727" t="str">
            <v>Done</v>
          </cell>
          <cell r="GG727" t="str">
            <v>2022-2023</v>
          </cell>
        </row>
        <row r="728">
          <cell r="E728" t="str">
            <v>Ludhiana</v>
          </cell>
          <cell r="F728" t="str">
            <v>10. Launched</v>
          </cell>
          <cell r="K728" t="str">
            <v xml:space="preserve">N </v>
          </cell>
          <cell r="L728" t="str">
            <v>RT</v>
          </cell>
          <cell r="Q728" t="str">
            <v>Shahaji Gohatre</v>
          </cell>
          <cell r="S728" t="str">
            <v>Punjab</v>
          </cell>
          <cell r="T728" t="str">
            <v>Ludhiana</v>
          </cell>
          <cell r="U728" t="str">
            <v>Non Premium</v>
          </cell>
          <cell r="V728" t="str">
            <v>Misc Formats</v>
          </cell>
          <cell r="W728">
            <v>20300</v>
          </cell>
          <cell r="AF728" t="str">
            <v>Done</v>
          </cell>
          <cell r="AG728" t="str">
            <v/>
          </cell>
          <cell r="AL728" t="str">
            <v>Received</v>
          </cell>
          <cell r="AM728">
            <v>46171</v>
          </cell>
          <cell r="AO728">
            <v>3</v>
          </cell>
          <cell r="AS728">
            <v>-3</v>
          </cell>
          <cell r="AU728">
            <v>4</v>
          </cell>
          <cell r="AY728">
            <v>-4</v>
          </cell>
          <cell r="BA728">
            <v>5</v>
          </cell>
          <cell r="BE728">
            <v>-5</v>
          </cell>
          <cell r="BG728">
            <v>5</v>
          </cell>
          <cell r="BY728" t="str">
            <v>Approved</v>
          </cell>
          <cell r="CE728">
            <v>44583</v>
          </cell>
          <cell r="DQ728">
            <v>44714</v>
          </cell>
          <cell r="DX728" t="str">
            <v/>
          </cell>
          <cell r="DZ728">
            <v>44830</v>
          </cell>
          <cell r="FH728" t="str">
            <v>Done</v>
          </cell>
          <cell r="GG728" t="str">
            <v>2022-2023</v>
          </cell>
        </row>
        <row r="729">
          <cell r="E729" t="str">
            <v>Noida NCR</v>
          </cell>
          <cell r="F729" t="str">
            <v>10. Launched</v>
          </cell>
          <cell r="K729" t="str">
            <v xml:space="preserve">N </v>
          </cell>
          <cell r="L729" t="str">
            <v>RT</v>
          </cell>
          <cell r="Q729" t="str">
            <v>Shahaji Gohatre</v>
          </cell>
          <cell r="S729" t="str">
            <v>Uttar Pradesh</v>
          </cell>
          <cell r="T729" t="str">
            <v>Noida NCR</v>
          </cell>
          <cell r="U729" t="str">
            <v>Non Premium</v>
          </cell>
          <cell r="V729" t="str">
            <v>Misc Formats</v>
          </cell>
          <cell r="W729">
            <v>44000</v>
          </cell>
          <cell r="AF729" t="str">
            <v>Done</v>
          </cell>
          <cell r="AG729" t="str">
            <v/>
          </cell>
          <cell r="AL729" t="str">
            <v>Received</v>
          </cell>
          <cell r="AM729">
            <v>46171</v>
          </cell>
          <cell r="AO729">
            <v>3</v>
          </cell>
          <cell r="AS729">
            <v>-3</v>
          </cell>
          <cell r="AU729">
            <v>4</v>
          </cell>
          <cell r="AY729">
            <v>-4</v>
          </cell>
          <cell r="BA729">
            <v>5</v>
          </cell>
          <cell r="BE729">
            <v>-5</v>
          </cell>
          <cell r="BG729">
            <v>5</v>
          </cell>
          <cell r="BY729" t="str">
            <v>Approved</v>
          </cell>
          <cell r="CE729">
            <v>44777</v>
          </cell>
          <cell r="DQ729">
            <v>44789</v>
          </cell>
          <cell r="DX729" t="str">
            <v/>
          </cell>
          <cell r="DZ729">
            <v>44951</v>
          </cell>
          <cell r="EA729" t="str">
            <v>Jan 23 Week 4</v>
          </cell>
          <cell r="FH729" t="str">
            <v>Done</v>
          </cell>
          <cell r="GG729" t="str">
            <v>2022-2023</v>
          </cell>
        </row>
        <row r="730">
          <cell r="E730" t="str">
            <v>Ahmedabad Acropolic</v>
          </cell>
          <cell r="F730" t="str">
            <v>10. Launched</v>
          </cell>
          <cell r="K730" t="str">
            <v>W</v>
          </cell>
          <cell r="L730" t="str">
            <v>BK</v>
          </cell>
          <cell r="Q730" t="str">
            <v>Shahaji Gohatre</v>
          </cell>
          <cell r="S730" t="str">
            <v>Gujarat</v>
          </cell>
          <cell r="T730" t="str">
            <v>Ahmedabad</v>
          </cell>
          <cell r="U730" t="str">
            <v>Non Premium</v>
          </cell>
          <cell r="V730" t="str">
            <v>Misc Formats</v>
          </cell>
          <cell r="W730">
            <v>19096</v>
          </cell>
          <cell r="AF730" t="str">
            <v>Done</v>
          </cell>
          <cell r="AG730" t="str">
            <v/>
          </cell>
          <cell r="AL730" t="str">
            <v>Received</v>
          </cell>
          <cell r="AM730">
            <v>46171</v>
          </cell>
          <cell r="AO730">
            <v>3</v>
          </cell>
          <cell r="AS730">
            <v>-3</v>
          </cell>
          <cell r="AU730">
            <v>4</v>
          </cell>
          <cell r="AY730">
            <v>-4</v>
          </cell>
          <cell r="BA730">
            <v>5</v>
          </cell>
          <cell r="BE730">
            <v>-5</v>
          </cell>
          <cell r="BG730">
            <v>5</v>
          </cell>
          <cell r="BY730" t="str">
            <v>Approved</v>
          </cell>
          <cell r="CE730">
            <v>44777</v>
          </cell>
          <cell r="DQ730">
            <v>44805</v>
          </cell>
          <cell r="DX730" t="str">
            <v/>
          </cell>
          <cell r="DZ730">
            <v>44999</v>
          </cell>
          <cell r="EA730" t="str">
            <v>March 23 Week 2</v>
          </cell>
          <cell r="FH730" t="str">
            <v>Done</v>
          </cell>
          <cell r="GG730" t="str">
            <v>2022-2023</v>
          </cell>
        </row>
        <row r="731">
          <cell r="E731" t="str">
            <v>Indore</v>
          </cell>
          <cell r="F731" t="str">
            <v>10. Launched</v>
          </cell>
          <cell r="I731" t="str">
            <v>ZYW4</v>
          </cell>
          <cell r="J731" t="str">
            <v>QXDM</v>
          </cell>
          <cell r="K731" t="str">
            <v>W</v>
          </cell>
          <cell r="L731" t="str">
            <v>BK</v>
          </cell>
          <cell r="N731" t="str">
            <v>Mrudang Shah</v>
          </cell>
          <cell r="O731" t="str">
            <v>Ruturaj Mishra</v>
          </cell>
          <cell r="P731" t="str">
            <v>Arvind Kumar</v>
          </cell>
          <cell r="Q731" t="str">
            <v>Shahaji Gohatre</v>
          </cell>
          <cell r="R731" t="str">
            <v>Virashri Hanwate</v>
          </cell>
          <cell r="S731" t="str">
            <v>Madhya Pradesh</v>
          </cell>
          <cell r="T731" t="str">
            <v>Indore</v>
          </cell>
          <cell r="U731" t="str">
            <v>Non Premium</v>
          </cell>
          <cell r="V731" t="str">
            <v>Misc Formats</v>
          </cell>
          <cell r="W731">
            <v>8102</v>
          </cell>
          <cell r="Y731">
            <v>45250</v>
          </cell>
          <cell r="Z731" t="str">
            <v>Done</v>
          </cell>
          <cell r="AB731">
            <v>44945</v>
          </cell>
          <cell r="AD731">
            <v>44957</v>
          </cell>
          <cell r="AE731">
            <v>44958</v>
          </cell>
          <cell r="AF731" t="str">
            <v>Done</v>
          </cell>
          <cell r="AG731">
            <v>7</v>
          </cell>
          <cell r="AI731">
            <v>44984</v>
          </cell>
          <cell r="AL731" t="str">
            <v>Received</v>
          </cell>
          <cell r="AM731">
            <v>1214</v>
          </cell>
          <cell r="AO731">
            <v>44987</v>
          </cell>
          <cell r="AP731">
            <v>44988</v>
          </cell>
          <cell r="AS731">
            <v>1</v>
          </cell>
          <cell r="AT731" t="str">
            <v>* Advanced GFC set recd on 01/04/23
* R1 GFC recd on 15/07/23
* R1 BOQ recd on 21/07/23
* Delay attributable to Design Consultant</v>
          </cell>
          <cell r="AU731">
            <v>44988</v>
          </cell>
          <cell r="AV731" t="str">
            <v>NA</v>
          </cell>
          <cell r="BA731">
            <v>44989</v>
          </cell>
          <cell r="BB731">
            <v>44990</v>
          </cell>
          <cell r="BE731">
            <v>0</v>
          </cell>
          <cell r="BF731" t="str">
            <v>* Optimised BOQ recd on 10/04/23
* Final GFC set recd on 10/07/23
* Delay attributable to Design Consultant</v>
          </cell>
          <cell r="BG731">
            <v>44989</v>
          </cell>
          <cell r="BH731">
            <v>44986</v>
          </cell>
          <cell r="BK731">
            <v>-3</v>
          </cell>
          <cell r="BL731" t="str">
            <v>* First cut layout recd on 09/05
* GFC recd on 29/06/23
* Delay attributable to Design Consultant</v>
          </cell>
          <cell r="BM731">
            <v>44987</v>
          </cell>
          <cell r="BN731">
            <v>45005</v>
          </cell>
          <cell r="BP731">
            <v>44987</v>
          </cell>
          <cell r="BQ731">
            <v>44993</v>
          </cell>
          <cell r="BW731" t="str">
            <v>Done</v>
          </cell>
          <cell r="BX731">
            <v>45237</v>
          </cell>
          <cell r="BY731" t="str">
            <v>Approved</v>
          </cell>
          <cell r="CD731">
            <v>45041</v>
          </cell>
          <cell r="CI731" t="str">
            <v>Issued</v>
          </cell>
          <cell r="CM731">
            <v>-45240</v>
          </cell>
          <cell r="CN731" t="str">
            <v>Done</v>
          </cell>
          <cell r="CO731">
            <v>45278</v>
          </cell>
          <cell r="CP731">
            <v>45265</v>
          </cell>
          <cell r="CQ731">
            <v>45259</v>
          </cell>
          <cell r="CR731">
            <v>0</v>
          </cell>
          <cell r="CS731">
            <v>45265</v>
          </cell>
          <cell r="CT731">
            <v>45275</v>
          </cell>
          <cell r="CU731">
            <v>45275</v>
          </cell>
          <cell r="CV731">
            <v>45275</v>
          </cell>
          <cell r="CX731">
            <v>0</v>
          </cell>
          <cell r="CZ731">
            <v>0</v>
          </cell>
          <cell r="DA731" t="str">
            <v>WO Done RA1 Pending</v>
          </cell>
          <cell r="DB731" t="str">
            <v>PR Done WO Pending</v>
          </cell>
          <cell r="DC731" t="str">
            <v>WO Done RA1 Pending</v>
          </cell>
          <cell r="DE731">
            <v>120</v>
          </cell>
          <cell r="DF731">
            <v>45116</v>
          </cell>
          <cell r="DG731" t="str">
            <v>Under Dead Rent</v>
          </cell>
          <cell r="DK731">
            <v>44996</v>
          </cell>
          <cell r="DP731">
            <v>44999</v>
          </cell>
          <cell r="DQ731">
            <v>45251</v>
          </cell>
          <cell r="DR731">
            <v>45</v>
          </cell>
          <cell r="DS731">
            <v>55</v>
          </cell>
          <cell r="DT731">
            <v>10</v>
          </cell>
          <cell r="DU731">
            <v>45296</v>
          </cell>
          <cell r="DV731">
            <v>45306</v>
          </cell>
          <cell r="DW731">
            <v>45306</v>
          </cell>
          <cell r="DX731" t="str">
            <v>Jan 24 Week 3</v>
          </cell>
          <cell r="DY731" t="str">
            <v>20-01-2024
25-01-2024
31-01-2024
10-02-2024
19-02-2024</v>
          </cell>
          <cell r="DZ731">
            <v>45342</v>
          </cell>
          <cell r="EA731" t="str">
            <v>Feb 24 Week 3</v>
          </cell>
          <cell r="EB731" t="str">
            <v>Backlog</v>
          </cell>
          <cell r="ED731" t="str">
            <v/>
          </cell>
          <cell r="EE731" t="str">
            <v/>
          </cell>
          <cell r="EF731">
            <v>1</v>
          </cell>
          <cell r="EG731">
            <v>1</v>
          </cell>
          <cell r="EJ731">
            <v>45262</v>
          </cell>
          <cell r="EK731">
            <v>45279</v>
          </cell>
          <cell r="EL731" t="str">
            <v>* Partition Work completed
* FF Piping completed
* DG Foundation completed
* Electrical marking completed</v>
          </cell>
          <cell r="EM731">
            <v>45272</v>
          </cell>
          <cell r="EN731">
            <v>45322</v>
          </cell>
          <cell r="EO731" t="str">
            <v>* Flooring WIP-100% completed
* Putty completed
* Electrical cable tray &amp; conduiting completed
* IDU inst completed
* Toilet waterproofing completed
* Toilet tiles completed
* Gypsum Ceiling completed
* Grid completed
* Duct Hanging completed</v>
          </cell>
          <cell r="EP731">
            <v>45282</v>
          </cell>
          <cell r="EQ731">
            <v>45329</v>
          </cell>
          <cell r="ER731" t="str">
            <v>* Painting -100% completed
* Wiring completed
* DB Inst completed
* DB Dressing completed
* Light Fixtures Inst completed
* False ceiling WIP - all meeting room false ceiling completed
* Self Levelling WIP - exp compl by 25/01-100% completed
* Vinyl Flooring completed
* Lacquered Glass Delivery Done &amp; Installed</v>
          </cell>
          <cell r="ES731">
            <v>45292</v>
          </cell>
          <cell r="ET731" t="str">
            <v>08-02-2024</v>
          </cell>
          <cell r="EU731" t="str">
            <v>* CP &amp; Sanitory Fitting - exp compl by 25/01 - Cubicles inst completed, Balance sanitory fitting work start exp from 07/02-completed
* DG installation - Exhaust pipe WIP- exp compl  by 07/02
* UPS Installation - 
* Stabiliser Installation - LL Cable - done on 29/01
* ODU Installation-9 balance ODU framing WIP - exp instl by 28/01 31/01 completed
* AC Commissioning - completed
* Fixture Delivery Callout exp by 17/01- recd on 21/01
* Fixture Installation Callout Exp by 20/01 24/01- Recd on 25/01- Inst completed
Fixture Installation WIP - exp compl by 07/02-completed
* Music System Installation Callout released on 23/01- Inst completed
* DG Installation Callout Expected by 30/01 recd - Commissioning done
* RO  Callout Expected by 30/01 Pending</v>
          </cell>
          <cell r="EV731">
            <v>45296</v>
          </cell>
          <cell r="EW731" t="str">
            <v>08-02-2024</v>
          </cell>
          <cell r="EX731" t="str">
            <v>Pre HOTO Planned for 19/02/24</v>
          </cell>
          <cell r="EY731">
            <v>45314</v>
          </cell>
          <cell r="EZ731">
            <v>45258</v>
          </cell>
          <cell r="FC731" t="str">
            <v>Delayed</v>
          </cell>
          <cell r="FD731">
            <v>36</v>
          </cell>
          <cell r="FE731" t="str">
            <v>31 to 61 Days</v>
          </cell>
          <cell r="FF731">
            <v>288</v>
          </cell>
          <cell r="FG731" t="str">
            <v>More Than 90  Days</v>
          </cell>
          <cell r="FH731" t="str">
            <v>Done</v>
          </cell>
          <cell r="FJ731">
            <v>45428</v>
          </cell>
          <cell r="FK731">
            <v>45428</v>
          </cell>
          <cell r="FM731" t="str">
            <v/>
          </cell>
          <cell r="FV731">
            <v>2779</v>
          </cell>
          <cell r="FW731">
            <v>31560000.900173921</v>
          </cell>
          <cell r="FZ731" t="str">
            <v>1- Accoustic Ceilig Delivered- inst planned for 17/02 19/02
2- Wallpaper Installation completed
3- Door &amp; Way Finding Signage Del Done- Inst Pending-exp by 19/02
4- SS Strip Inst Pending- will be done once site is dust free
5- Sink Counter work completed
6- Breakout Space area vinyl completed
7- UPS- EDD 16/02 19/02-Pending
8- Additional IT FIM- EDD 16/02 19/02-Pending
9- IT callout released on 17/02
10- RO Callout Pending- exp by 21/02
11- Stabilizer Inst Callout released
12- Branding Callout Released
13- Pre HOTO planned for 19/02</v>
          </cell>
          <cell r="GA731">
            <v>45299</v>
          </cell>
          <cell r="GB731">
            <v>45312</v>
          </cell>
          <cell r="GC731">
            <v>45316</v>
          </cell>
          <cell r="GG731" t="str">
            <v>2023-2024</v>
          </cell>
        </row>
        <row r="732">
          <cell r="E732" t="str">
            <v>Bhiwandi- QA lab</v>
          </cell>
          <cell r="F732" t="str">
            <v>10. Launched</v>
          </cell>
          <cell r="I732" t="str">
            <v>ZYI5</v>
          </cell>
          <cell r="J732" t="str">
            <v>QG2D</v>
          </cell>
          <cell r="K732" t="str">
            <v>W</v>
          </cell>
          <cell r="L732" t="str">
            <v>BK</v>
          </cell>
          <cell r="N732" t="str">
            <v>Shashi Pardeshi</v>
          </cell>
          <cell r="O732" t="str">
            <v>Ashish M</v>
          </cell>
          <cell r="P732" t="str">
            <v>Dharmendra Mhatre</v>
          </cell>
          <cell r="Q732" t="str">
            <v>Shahaji Gohatre</v>
          </cell>
          <cell r="R732" t="str">
            <v>Virashri Hanwate</v>
          </cell>
          <cell r="S732" t="str">
            <v>Maharashtra</v>
          </cell>
          <cell r="T732" t="str">
            <v>Mumbai</v>
          </cell>
          <cell r="U732" t="str">
            <v>Non Premium</v>
          </cell>
          <cell r="V732" t="str">
            <v>Misc Formats</v>
          </cell>
          <cell r="W732">
            <v>2774.96</v>
          </cell>
          <cell r="AB732" t="str">
            <v>Done</v>
          </cell>
          <cell r="AF732" t="str">
            <v>Done</v>
          </cell>
          <cell r="AL732" t="str">
            <v>Received</v>
          </cell>
          <cell r="AM732">
            <v>46171</v>
          </cell>
          <cell r="AO732">
            <v>3</v>
          </cell>
          <cell r="AS732">
            <v>-3</v>
          </cell>
          <cell r="AU732">
            <v>4</v>
          </cell>
          <cell r="AY732">
            <v>-4</v>
          </cell>
          <cell r="BA732">
            <v>5</v>
          </cell>
          <cell r="BE732">
            <v>-5</v>
          </cell>
          <cell r="BG732">
            <v>5</v>
          </cell>
          <cell r="BK732">
            <v>-5</v>
          </cell>
          <cell r="BM732">
            <v>3</v>
          </cell>
          <cell r="BP732">
            <v>3</v>
          </cell>
          <cell r="BW732" t="str">
            <v>Done</v>
          </cell>
          <cell r="BY732" t="str">
            <v>Approved
23-02-2023</v>
          </cell>
          <cell r="CD732">
            <v>44958</v>
          </cell>
          <cell r="CE732">
            <v>44967</v>
          </cell>
          <cell r="CI732" t="str">
            <v>Issued</v>
          </cell>
          <cell r="CM732">
            <v>44964</v>
          </cell>
          <cell r="DE732">
            <v>60</v>
          </cell>
          <cell r="DF732">
            <v>45113</v>
          </cell>
          <cell r="DG732" t="str">
            <v>Under Dead Rent</v>
          </cell>
          <cell r="DK732">
            <v>45053</v>
          </cell>
          <cell r="DP732">
            <v>45072</v>
          </cell>
          <cell r="DQ732">
            <v>45204</v>
          </cell>
          <cell r="DR732">
            <v>35</v>
          </cell>
          <cell r="DS732">
            <v>45</v>
          </cell>
          <cell r="DU732">
            <v>45239</v>
          </cell>
          <cell r="DV732">
            <v>45249</v>
          </cell>
          <cell r="DW732">
            <v>45239</v>
          </cell>
          <cell r="DX732" t="str">
            <v>Nov 23 Week 2</v>
          </cell>
          <cell r="DZ732">
            <v>45272</v>
          </cell>
          <cell r="EA732" t="str">
            <v>Dec 23 Week 2</v>
          </cell>
          <cell r="EB732" t="str">
            <v>Backlog</v>
          </cell>
          <cell r="ED732" t="str">
            <v/>
          </cell>
          <cell r="EE732" t="str">
            <v/>
          </cell>
          <cell r="EF732">
            <v>1</v>
          </cell>
          <cell r="EG732">
            <v>1</v>
          </cell>
          <cell r="FD732">
            <v>33</v>
          </cell>
          <cell r="FE732" t="str">
            <v>31 to 61 Days</v>
          </cell>
          <cell r="FF732">
            <v>165</v>
          </cell>
          <cell r="FG732" t="str">
            <v>More Than 90  Days</v>
          </cell>
          <cell r="FH732" t="str">
            <v>Done</v>
          </cell>
          <cell r="FK732">
            <v>45300</v>
          </cell>
          <cell r="FM732" t="str">
            <v/>
          </cell>
          <cell r="FZ732" t="str">
            <v>* Fixture Installation callout was delayed by Zonal Team, Installation callout was planned for 06/11</v>
          </cell>
          <cell r="GG732" t="str">
            <v>2023-2024</v>
          </cell>
        </row>
        <row r="733">
          <cell r="E733" t="str">
            <v>Agra</v>
          </cell>
          <cell r="F733" t="str">
            <v>14. Dropped</v>
          </cell>
          <cell r="I733" t="str">
            <v>SWXX</v>
          </cell>
          <cell r="K733" t="str">
            <v xml:space="preserve">N </v>
          </cell>
          <cell r="L733" t="str">
            <v>RT</v>
          </cell>
          <cell r="N733" t="str">
            <v>Roopak Raj</v>
          </cell>
          <cell r="O733" t="str">
            <v>Manoj G Gupta</v>
          </cell>
          <cell r="Q733" t="str">
            <v>Shahaji Gohatre</v>
          </cell>
          <cell r="S733" t="str">
            <v>Uttar Pradesh</v>
          </cell>
          <cell r="T733" t="str">
            <v>Agra</v>
          </cell>
          <cell r="U733" t="str">
            <v>Non Premium</v>
          </cell>
          <cell r="V733" t="str">
            <v>Misc Formats</v>
          </cell>
          <cell r="W733">
            <v>16974</v>
          </cell>
          <cell r="AB733" t="str">
            <v>Done</v>
          </cell>
          <cell r="AF733" t="str">
            <v>Done</v>
          </cell>
          <cell r="AM733">
            <v>46171</v>
          </cell>
          <cell r="AO733">
            <v>3</v>
          </cell>
          <cell r="AS733">
            <v>-3</v>
          </cell>
          <cell r="AU733">
            <v>4</v>
          </cell>
          <cell r="AY733">
            <v>-4</v>
          </cell>
          <cell r="BA733">
            <v>5</v>
          </cell>
          <cell r="BE733">
            <v>-5</v>
          </cell>
          <cell r="BG733">
            <v>5</v>
          </cell>
          <cell r="BK733">
            <v>-5</v>
          </cell>
          <cell r="BM733">
            <v>3</v>
          </cell>
          <cell r="BP733">
            <v>3</v>
          </cell>
          <cell r="BY733" t="str">
            <v>Not Approved</v>
          </cell>
          <cell r="CD733">
            <v>44951</v>
          </cell>
          <cell r="CE733">
            <v>45001</v>
          </cell>
          <cell r="CI733" t="str">
            <v>CVL/ELE-Issued
HVAC-Pending</v>
          </cell>
          <cell r="CM733">
            <v>44998</v>
          </cell>
          <cell r="DE733">
            <v>120</v>
          </cell>
          <cell r="DF733">
            <v>45118</v>
          </cell>
          <cell r="DG733" t="str">
            <v>Under Dead Rent</v>
          </cell>
          <cell r="DK733">
            <v>44998</v>
          </cell>
          <cell r="DP733" t="str">
            <v>Business</v>
          </cell>
          <cell r="DR733">
            <v>35</v>
          </cell>
          <cell r="DS733">
            <v>45</v>
          </cell>
          <cell r="EA733" t="str">
            <v/>
          </cell>
          <cell r="ED733" t="str">
            <v/>
          </cell>
          <cell r="EE733" t="str">
            <v/>
          </cell>
          <cell r="EF733">
            <v>1</v>
          </cell>
          <cell r="FM733" t="str">
            <v/>
          </cell>
          <cell r="GG733" t="str">
            <v>2024-2025</v>
          </cell>
        </row>
        <row r="734">
          <cell r="E734" t="str">
            <v xml:space="preserve"> Shubham Square, Lokhra Road, Guwahati</v>
          </cell>
          <cell r="F734" t="str">
            <v>13. NRFC</v>
          </cell>
          <cell r="K734" t="str">
            <v xml:space="preserve">E </v>
          </cell>
          <cell r="L734" t="str">
            <v>SD</v>
          </cell>
          <cell r="N734" t="str">
            <v>Debal Chatterjee</v>
          </cell>
          <cell r="O734" t="str">
            <v>Anup das (EXCEPT SIKKIM)</v>
          </cell>
          <cell r="Q734" t="str">
            <v>Shahaji Gohatre</v>
          </cell>
          <cell r="S734" t="str">
            <v>Assam</v>
          </cell>
          <cell r="T734" t="str">
            <v>Guwahati</v>
          </cell>
          <cell r="U734" t="str">
            <v>Non Premium</v>
          </cell>
          <cell r="V734" t="str">
            <v>Misc Formats</v>
          </cell>
          <cell r="W734">
            <v>8277</v>
          </cell>
          <cell r="AB734" t="str">
            <v>Done</v>
          </cell>
          <cell r="AF734" t="str">
            <v>Done</v>
          </cell>
          <cell r="AL734" t="str">
            <v>Pending</v>
          </cell>
          <cell r="AM734">
            <v>46171</v>
          </cell>
          <cell r="AO734">
            <v>3</v>
          </cell>
          <cell r="AS734">
            <v>-3</v>
          </cell>
          <cell r="AU734">
            <v>4</v>
          </cell>
          <cell r="AY734">
            <v>-4</v>
          </cell>
          <cell r="BA734">
            <v>5</v>
          </cell>
          <cell r="BE734">
            <v>-5</v>
          </cell>
          <cell r="BG734">
            <v>5</v>
          </cell>
          <cell r="BK734">
            <v>-5</v>
          </cell>
          <cell r="BM734">
            <v>3</v>
          </cell>
          <cell r="BP734">
            <v>3</v>
          </cell>
          <cell r="CI734" t="str">
            <v>BOQ not sent</v>
          </cell>
          <cell r="CM734">
            <v>-3</v>
          </cell>
          <cell r="DE734">
            <v>90</v>
          </cell>
          <cell r="DF734">
            <v>90</v>
          </cell>
          <cell r="DG734" t="str">
            <v>Under Dead Rent</v>
          </cell>
          <cell r="DM734">
            <v>46176</v>
          </cell>
          <cell r="DP734" t="str">
            <v>Business</v>
          </cell>
          <cell r="DR734">
            <v>35</v>
          </cell>
          <cell r="DS734">
            <v>45</v>
          </cell>
          <cell r="EA734" t="str">
            <v/>
          </cell>
          <cell r="ED734" t="str">
            <v/>
          </cell>
          <cell r="EE734" t="str">
            <v/>
          </cell>
          <cell r="FM734" t="str">
            <v/>
          </cell>
          <cell r="GG734" t="str">
            <v>2025-2026</v>
          </cell>
        </row>
        <row r="735">
          <cell r="E735" t="str">
            <v>Hyderabad</v>
          </cell>
          <cell r="F735" t="str">
            <v>13. NRFC</v>
          </cell>
          <cell r="K735" t="str">
            <v xml:space="preserve">E </v>
          </cell>
          <cell r="L735" t="str">
            <v>SD</v>
          </cell>
          <cell r="N735" t="str">
            <v>Rishikesh Nair</v>
          </cell>
          <cell r="O735" t="str">
            <v>Mallikarjuna Kaigala</v>
          </cell>
          <cell r="Q735" t="str">
            <v>Shahaji Gohatre</v>
          </cell>
          <cell r="S735" t="str">
            <v>Telangana</v>
          </cell>
          <cell r="T735" t="str">
            <v>Hyderabad</v>
          </cell>
          <cell r="U735" t="str">
            <v>Non Premium</v>
          </cell>
          <cell r="V735" t="str">
            <v>Misc Formats</v>
          </cell>
          <cell r="AB735">
            <v>44917</v>
          </cell>
          <cell r="AF735" t="str">
            <v>Site not ready for SDR</v>
          </cell>
          <cell r="AG735">
            <v>1254</v>
          </cell>
          <cell r="AM735">
            <v>46171</v>
          </cell>
          <cell r="AO735">
            <v>3</v>
          </cell>
          <cell r="AS735">
            <v>-3</v>
          </cell>
          <cell r="AU735">
            <v>4</v>
          </cell>
          <cell r="AY735">
            <v>-4</v>
          </cell>
          <cell r="BA735">
            <v>5</v>
          </cell>
          <cell r="BE735">
            <v>-5</v>
          </cell>
          <cell r="BG735">
            <v>5</v>
          </cell>
          <cell r="BK735">
            <v>-5</v>
          </cell>
          <cell r="BM735">
            <v>3</v>
          </cell>
          <cell r="BP735">
            <v>3</v>
          </cell>
          <cell r="CI735" t="str">
            <v>BOQ not sent</v>
          </cell>
          <cell r="CM735">
            <v>-3</v>
          </cell>
          <cell r="DG735" t="str">
            <v/>
          </cell>
          <cell r="DR735">
            <v>35</v>
          </cell>
          <cell r="DS735">
            <v>45</v>
          </cell>
          <cell r="EA735" t="str">
            <v/>
          </cell>
          <cell r="ED735" t="str">
            <v/>
          </cell>
          <cell r="EE735" t="str">
            <v/>
          </cell>
          <cell r="FF735">
            <v>46141</v>
          </cell>
          <cell r="FM735" t="str">
            <v/>
          </cell>
          <cell r="GG735" t="str">
            <v>2025-2026</v>
          </cell>
        </row>
        <row r="736">
          <cell r="E736" t="str">
            <v>Ranchi</v>
          </cell>
          <cell r="F736" t="str">
            <v>13. NRFC</v>
          </cell>
          <cell r="K736" t="str">
            <v xml:space="preserve">E </v>
          </cell>
          <cell r="L736" t="str">
            <v>SD</v>
          </cell>
          <cell r="N736" t="str">
            <v>Sharat Chowdhary</v>
          </cell>
          <cell r="O736" t="str">
            <v>Sudheer Kumar</v>
          </cell>
          <cell r="Q736" t="str">
            <v>Shahaji Gohatre</v>
          </cell>
          <cell r="S736" t="str">
            <v>Jharkhand</v>
          </cell>
          <cell r="T736" t="str">
            <v>Ranchi</v>
          </cell>
          <cell r="U736" t="str">
            <v>Non Premium</v>
          </cell>
          <cell r="V736" t="str">
            <v>Misc Formats</v>
          </cell>
          <cell r="W736">
            <v>6687</v>
          </cell>
          <cell r="AB736" t="str">
            <v>Done</v>
          </cell>
          <cell r="AF736" t="str">
            <v>Done</v>
          </cell>
          <cell r="AL736" t="str">
            <v>Pending</v>
          </cell>
          <cell r="AM736">
            <v>46171</v>
          </cell>
          <cell r="AO736">
            <v>3</v>
          </cell>
          <cell r="AS736">
            <v>-3</v>
          </cell>
          <cell r="AU736">
            <v>4</v>
          </cell>
          <cell r="AY736">
            <v>-4</v>
          </cell>
          <cell r="BA736">
            <v>5</v>
          </cell>
          <cell r="BE736">
            <v>-5</v>
          </cell>
          <cell r="BG736">
            <v>5</v>
          </cell>
          <cell r="BK736">
            <v>-5</v>
          </cell>
          <cell r="BM736">
            <v>3</v>
          </cell>
          <cell r="BP736">
            <v>3</v>
          </cell>
          <cell r="BY736" t="str">
            <v>Not Approved</v>
          </cell>
          <cell r="CD736">
            <v>44996</v>
          </cell>
          <cell r="CI736" t="str">
            <v>Pending</v>
          </cell>
          <cell r="CM736">
            <v>-3</v>
          </cell>
          <cell r="DG736" t="str">
            <v/>
          </cell>
          <cell r="DR736">
            <v>35</v>
          </cell>
          <cell r="DS736">
            <v>45</v>
          </cell>
          <cell r="EA736" t="str">
            <v/>
          </cell>
          <cell r="ED736" t="str">
            <v/>
          </cell>
          <cell r="EE736" t="str">
            <v/>
          </cell>
          <cell r="FF736">
            <v>46141</v>
          </cell>
          <cell r="FM736" t="str">
            <v/>
          </cell>
          <cell r="GG736" t="str">
            <v>2025-2026</v>
          </cell>
        </row>
        <row r="737">
          <cell r="E737" t="str">
            <v>Vishakhapatanam</v>
          </cell>
          <cell r="F737" t="str">
            <v>13. NRFC</v>
          </cell>
          <cell r="K737" t="str">
            <v xml:space="preserve">E </v>
          </cell>
          <cell r="L737" t="str">
            <v>AS</v>
          </cell>
          <cell r="N737" t="str">
            <v>Jaisingh Desai</v>
          </cell>
          <cell r="Q737" t="str">
            <v>Shahaji Gohatre</v>
          </cell>
          <cell r="S737" t="str">
            <v>Andhra Pradesh</v>
          </cell>
          <cell r="T737" t="str">
            <v>Vishakhapatanam</v>
          </cell>
          <cell r="U737" t="str">
            <v>Non Premium</v>
          </cell>
          <cell r="V737" t="str">
            <v>Misc Formats</v>
          </cell>
          <cell r="AB737" t="str">
            <v>SDR Callout awaited</v>
          </cell>
          <cell r="AM737">
            <v>46171</v>
          </cell>
          <cell r="AO737">
            <v>3</v>
          </cell>
          <cell r="AS737">
            <v>-3</v>
          </cell>
          <cell r="AU737">
            <v>4</v>
          </cell>
          <cell r="AY737">
            <v>-4</v>
          </cell>
          <cell r="BA737">
            <v>5</v>
          </cell>
          <cell r="BE737">
            <v>-5</v>
          </cell>
          <cell r="BG737">
            <v>5</v>
          </cell>
          <cell r="BK737">
            <v>-5</v>
          </cell>
          <cell r="BM737">
            <v>3</v>
          </cell>
          <cell r="BP737">
            <v>3</v>
          </cell>
          <cell r="CI737" t="str">
            <v>BOQ not sent</v>
          </cell>
          <cell r="CM737">
            <v>-3</v>
          </cell>
          <cell r="DG737" t="str">
            <v/>
          </cell>
          <cell r="DR737">
            <v>35</v>
          </cell>
          <cell r="DS737">
            <v>45</v>
          </cell>
          <cell r="EA737" t="str">
            <v/>
          </cell>
          <cell r="ED737" t="str">
            <v/>
          </cell>
          <cell r="EE737" t="str">
            <v/>
          </cell>
          <cell r="FF737">
            <v>46141</v>
          </cell>
          <cell r="FM737" t="str">
            <v/>
          </cell>
          <cell r="GG737" t="str">
            <v>2025-2026</v>
          </cell>
        </row>
        <row r="738">
          <cell r="E738" t="str">
            <v>Delhi</v>
          </cell>
          <cell r="F738" t="str">
            <v>13. NRFC</v>
          </cell>
          <cell r="K738" t="str">
            <v xml:space="preserve">N </v>
          </cell>
          <cell r="L738" t="str">
            <v>RT</v>
          </cell>
          <cell r="N738" t="str">
            <v>Mrinal Kulkarni</v>
          </cell>
          <cell r="Q738" t="str">
            <v>Shahaji Gohatre</v>
          </cell>
          <cell r="S738" t="str">
            <v>Delhi</v>
          </cell>
          <cell r="T738" t="str">
            <v>Delhi</v>
          </cell>
          <cell r="U738" t="str">
            <v>Non Premium</v>
          </cell>
          <cell r="V738" t="str">
            <v>Misc Formats</v>
          </cell>
          <cell r="AB738" t="str">
            <v>SDR Callout awaited</v>
          </cell>
          <cell r="AM738">
            <v>46171</v>
          </cell>
          <cell r="AO738">
            <v>3</v>
          </cell>
          <cell r="AS738">
            <v>-3</v>
          </cell>
          <cell r="AU738">
            <v>4</v>
          </cell>
          <cell r="AY738">
            <v>-4</v>
          </cell>
          <cell r="BA738">
            <v>5</v>
          </cell>
          <cell r="BE738">
            <v>-5</v>
          </cell>
          <cell r="BG738">
            <v>5</v>
          </cell>
          <cell r="BK738">
            <v>-5</v>
          </cell>
          <cell r="BM738">
            <v>3</v>
          </cell>
          <cell r="BP738">
            <v>3</v>
          </cell>
          <cell r="CI738" t="str">
            <v>BOQ not sent</v>
          </cell>
          <cell r="CM738">
            <v>-3</v>
          </cell>
          <cell r="DG738" t="str">
            <v/>
          </cell>
          <cell r="DR738">
            <v>35</v>
          </cell>
          <cell r="DS738">
            <v>45</v>
          </cell>
          <cell r="EA738" t="str">
            <v/>
          </cell>
          <cell r="ED738" t="str">
            <v/>
          </cell>
          <cell r="EE738" t="str">
            <v/>
          </cell>
          <cell r="EF738">
            <v>1</v>
          </cell>
          <cell r="FF738">
            <v>46141</v>
          </cell>
          <cell r="FM738" t="str">
            <v/>
          </cell>
          <cell r="GG738" t="str">
            <v>2025-2026</v>
          </cell>
        </row>
        <row r="739">
          <cell r="E739" t="str">
            <v>Madurai</v>
          </cell>
          <cell r="F739" t="str">
            <v>13. NRFC</v>
          </cell>
          <cell r="K739" t="str">
            <v>S</v>
          </cell>
          <cell r="L739" t="str">
            <v>AS</v>
          </cell>
          <cell r="N739" t="str">
            <v>Sreevinoth T</v>
          </cell>
          <cell r="O739" t="str">
            <v>Senthil M</v>
          </cell>
          <cell r="Q739" t="str">
            <v>Shahaji Gohatre</v>
          </cell>
          <cell r="S739" t="str">
            <v>Tamil Nadu</v>
          </cell>
          <cell r="T739" t="str">
            <v>Madurai</v>
          </cell>
          <cell r="U739" t="str">
            <v>Non Premium</v>
          </cell>
          <cell r="V739" t="str">
            <v>Misc Formats</v>
          </cell>
          <cell r="W739">
            <v>7000</v>
          </cell>
          <cell r="AB739" t="str">
            <v>Done</v>
          </cell>
          <cell r="AF739" t="str">
            <v>Done</v>
          </cell>
          <cell r="AL739" t="str">
            <v>Received</v>
          </cell>
          <cell r="AM739">
            <v>46171</v>
          </cell>
          <cell r="AO739">
            <v>3</v>
          </cell>
          <cell r="AS739">
            <v>-3</v>
          </cell>
          <cell r="AU739">
            <v>4</v>
          </cell>
          <cell r="AY739">
            <v>-4</v>
          </cell>
          <cell r="BA739">
            <v>5</v>
          </cell>
          <cell r="BE739">
            <v>-5</v>
          </cell>
          <cell r="BG739">
            <v>5</v>
          </cell>
          <cell r="BK739">
            <v>-5</v>
          </cell>
          <cell r="BM739">
            <v>3</v>
          </cell>
          <cell r="BP739">
            <v>3</v>
          </cell>
          <cell r="BW739" t="str">
            <v>Done</v>
          </cell>
          <cell r="BY739" t="str">
            <v>Approved</v>
          </cell>
          <cell r="CD739">
            <v>44893</v>
          </cell>
          <cell r="CE739">
            <v>44975</v>
          </cell>
          <cell r="CI739" t="str">
            <v>Issued</v>
          </cell>
          <cell r="CM739">
            <v>44972</v>
          </cell>
          <cell r="DG739" t="str">
            <v/>
          </cell>
          <cell r="DK739">
            <v>44967</v>
          </cell>
          <cell r="DP739" t="str">
            <v>Contract</v>
          </cell>
          <cell r="DR739">
            <v>35</v>
          </cell>
          <cell r="DS739">
            <v>45</v>
          </cell>
          <cell r="EA739" t="str">
            <v/>
          </cell>
          <cell r="ED739" t="str">
            <v/>
          </cell>
          <cell r="EE739" t="str">
            <v/>
          </cell>
          <cell r="EF739">
            <v>1</v>
          </cell>
          <cell r="FM739" t="str">
            <v/>
          </cell>
          <cell r="GG739" t="str">
            <v>2025-2026</v>
          </cell>
        </row>
        <row r="740">
          <cell r="E740" t="str">
            <v>RCP 8A Mumbai</v>
          </cell>
          <cell r="F740" t="str">
            <v>14. Dropped</v>
          </cell>
          <cell r="K740" t="str">
            <v>W</v>
          </cell>
          <cell r="L740" t="str">
            <v>BK</v>
          </cell>
          <cell r="N740" t="str">
            <v>Shashi Pardeshi</v>
          </cell>
          <cell r="O740" t="str">
            <v>Ashish M</v>
          </cell>
          <cell r="Q740" t="str">
            <v>Shahaji Gohatre</v>
          </cell>
          <cell r="S740" t="str">
            <v>Maharashtra</v>
          </cell>
          <cell r="T740" t="str">
            <v>Mumbai</v>
          </cell>
          <cell r="U740" t="str">
            <v>Non Premium</v>
          </cell>
          <cell r="V740" t="str">
            <v>Misc Formats</v>
          </cell>
          <cell r="AB740" t="str">
            <v>Done</v>
          </cell>
          <cell r="AF740" t="str">
            <v>Done</v>
          </cell>
          <cell r="AM740">
            <v>46171</v>
          </cell>
          <cell r="AO740">
            <v>3</v>
          </cell>
          <cell r="AS740">
            <v>-3</v>
          </cell>
          <cell r="AU740">
            <v>4</v>
          </cell>
          <cell r="AY740">
            <v>-4</v>
          </cell>
          <cell r="BA740">
            <v>5</v>
          </cell>
          <cell r="BE740">
            <v>-5</v>
          </cell>
          <cell r="BG740">
            <v>5</v>
          </cell>
          <cell r="BK740">
            <v>-5</v>
          </cell>
          <cell r="BM740">
            <v>3</v>
          </cell>
          <cell r="BP740">
            <v>3</v>
          </cell>
          <cell r="CM740">
            <v>-3</v>
          </cell>
          <cell r="DG740" t="str">
            <v/>
          </cell>
          <cell r="DR740">
            <v>35</v>
          </cell>
          <cell r="DS740">
            <v>45</v>
          </cell>
          <cell r="EA740" t="str">
            <v/>
          </cell>
          <cell r="ED740" t="str">
            <v/>
          </cell>
          <cell r="EE740" t="str">
            <v/>
          </cell>
          <cell r="EF740">
            <v>1</v>
          </cell>
          <cell r="FF740">
            <v>46141</v>
          </cell>
          <cell r="FM740" t="str">
            <v/>
          </cell>
          <cell r="GG740" t="str">
            <v>2024-2025</v>
          </cell>
        </row>
        <row r="741">
          <cell r="E741" t="str">
            <v>Rajkot</v>
          </cell>
          <cell r="F741" t="str">
            <v>13. NRFC</v>
          </cell>
          <cell r="K741" t="str">
            <v>W</v>
          </cell>
          <cell r="L741" t="str">
            <v>BK</v>
          </cell>
          <cell r="N741" t="str">
            <v>Mrudang Shah</v>
          </cell>
          <cell r="O741" t="str">
            <v>Samir Shah</v>
          </cell>
          <cell r="Q741" t="str">
            <v>Shahaji Gohatre</v>
          </cell>
          <cell r="S741" t="str">
            <v>Gujarat</v>
          </cell>
          <cell r="T741" t="str">
            <v>Rajkot</v>
          </cell>
          <cell r="U741" t="str">
            <v>Non Premium</v>
          </cell>
          <cell r="V741" t="str">
            <v>Misc Formats</v>
          </cell>
          <cell r="AB741" t="str">
            <v>SDR Callout awaited</v>
          </cell>
          <cell r="AM741">
            <v>46171</v>
          </cell>
          <cell r="AO741">
            <v>3</v>
          </cell>
          <cell r="AS741">
            <v>-3</v>
          </cell>
          <cell r="AU741">
            <v>4</v>
          </cell>
          <cell r="AY741">
            <v>-4</v>
          </cell>
          <cell r="BA741">
            <v>5</v>
          </cell>
          <cell r="BE741">
            <v>-5</v>
          </cell>
          <cell r="BG741">
            <v>5</v>
          </cell>
          <cell r="BK741">
            <v>-5</v>
          </cell>
          <cell r="BM741">
            <v>3</v>
          </cell>
          <cell r="BP741">
            <v>3</v>
          </cell>
          <cell r="CI741" t="str">
            <v>BOQ not sent</v>
          </cell>
          <cell r="CM741">
            <v>-3</v>
          </cell>
          <cell r="DG741" t="str">
            <v/>
          </cell>
          <cell r="DR741">
            <v>35</v>
          </cell>
          <cell r="DS741">
            <v>45</v>
          </cell>
          <cell r="EA741" t="str">
            <v/>
          </cell>
          <cell r="ED741" t="str">
            <v/>
          </cell>
          <cell r="EE741" t="str">
            <v/>
          </cell>
          <cell r="EF741">
            <v>1</v>
          </cell>
          <cell r="FF741">
            <v>46141</v>
          </cell>
          <cell r="FM741" t="str">
            <v/>
          </cell>
          <cell r="GG741" t="str">
            <v>2025-2026</v>
          </cell>
        </row>
        <row r="742">
          <cell r="E742" t="str">
            <v>Iskon Mall</v>
          </cell>
          <cell r="F742" t="str">
            <v>16.Dehire</v>
          </cell>
          <cell r="K742" t="str">
            <v>W</v>
          </cell>
          <cell r="L742" t="str">
            <v>BK</v>
          </cell>
          <cell r="N742" t="str">
            <v>Mrudang Shah</v>
          </cell>
          <cell r="O742" t="str">
            <v>Samir Shah</v>
          </cell>
          <cell r="P742" t="str">
            <v>Nirmal Kumar</v>
          </cell>
          <cell r="Q742" t="str">
            <v>Shahaji Gohatre</v>
          </cell>
          <cell r="S742" t="str">
            <v>Gujarat</v>
          </cell>
          <cell r="T742" t="str">
            <v>AHMEDABAD</v>
          </cell>
          <cell r="U742" t="str">
            <v>Non Premium</v>
          </cell>
          <cell r="V742" t="str">
            <v>Dehire</v>
          </cell>
          <cell r="Z742" t="str">
            <v>Done</v>
          </cell>
          <cell r="AG742" t="str">
            <v/>
          </cell>
          <cell r="AM742">
            <v>46171</v>
          </cell>
          <cell r="AO742">
            <v>3</v>
          </cell>
          <cell r="AS742">
            <v>-3</v>
          </cell>
          <cell r="AU742">
            <v>4</v>
          </cell>
          <cell r="AY742">
            <v>-4</v>
          </cell>
          <cell r="BA742">
            <v>5</v>
          </cell>
          <cell r="BE742">
            <v>-5</v>
          </cell>
          <cell r="BG742">
            <v>5</v>
          </cell>
          <cell r="BK742">
            <v>-5</v>
          </cell>
          <cell r="BM742">
            <v>3</v>
          </cell>
          <cell r="BP742">
            <v>3</v>
          </cell>
          <cell r="BY742" t="str">
            <v>Approved</v>
          </cell>
          <cell r="CD742">
            <v>45096</v>
          </cell>
          <cell r="CE742">
            <v>45099</v>
          </cell>
          <cell r="CJ742">
            <v>45104</v>
          </cell>
          <cell r="CK742">
            <v>45099</v>
          </cell>
          <cell r="CM742">
            <v>45096</v>
          </cell>
          <cell r="CN742">
            <v>45248</v>
          </cell>
          <cell r="CO742">
            <v>45209</v>
          </cell>
          <cell r="CP742">
            <v>45203</v>
          </cell>
          <cell r="CR742" t="str">
            <v>Done</v>
          </cell>
          <cell r="CT742">
            <v>0</v>
          </cell>
          <cell r="CU742">
            <v>0</v>
          </cell>
          <cell r="CV742">
            <v>45316</v>
          </cell>
          <cell r="CX742">
            <v>45278</v>
          </cell>
          <cell r="CY742">
            <v>45278</v>
          </cell>
          <cell r="DA742" t="str">
            <v>WO Done RA1 Pending</v>
          </cell>
          <cell r="DB742" t="str">
            <v>WO Done RA1 Pending</v>
          </cell>
          <cell r="DC742" t="str">
            <v>WO Done RA1 Pending</v>
          </cell>
          <cell r="DG742" t="str">
            <v>Dehire Site</v>
          </cell>
          <cell r="DK742">
            <v>45292</v>
          </cell>
          <cell r="DP742">
            <v>45295</v>
          </cell>
          <cell r="DQ742">
            <v>45294</v>
          </cell>
          <cell r="DR742">
            <v>15</v>
          </cell>
          <cell r="DU742">
            <v>45309</v>
          </cell>
          <cell r="DV742">
            <v>45294</v>
          </cell>
          <cell r="DW742">
            <v>45309</v>
          </cell>
          <cell r="DX742" t="str">
            <v>Jan 24 Week 3</v>
          </cell>
          <cell r="DY742" t="str">
            <v>20-01-2024
TBC</v>
          </cell>
          <cell r="DZ742">
            <v>45382</v>
          </cell>
          <cell r="EA742" t="str">
            <v>March 24 Week 5</v>
          </cell>
          <cell r="EB742" t="str">
            <v>Backlog</v>
          </cell>
          <cell r="ED742" t="str">
            <v/>
          </cell>
          <cell r="EE742" t="str">
            <v/>
          </cell>
          <cell r="EF742">
            <v>1</v>
          </cell>
          <cell r="FD742">
            <v>73</v>
          </cell>
          <cell r="FE742" t="str">
            <v>62 to 90 Days</v>
          </cell>
          <cell r="FF742">
            <v>72</v>
          </cell>
          <cell r="FG742" t="str">
            <v>62 to 90 Days</v>
          </cell>
          <cell r="FM742" t="str">
            <v/>
          </cell>
          <cell r="GG742" t="str">
            <v>2023-2024</v>
          </cell>
        </row>
        <row r="743">
          <cell r="E743" t="str">
            <v>IBC Knowledge Park-Tower A</v>
          </cell>
          <cell r="F743" t="str">
            <v>10. Launched</v>
          </cell>
          <cell r="K743" t="str">
            <v>S</v>
          </cell>
          <cell r="L743" t="str">
            <v>AS</v>
          </cell>
          <cell r="N743" t="str">
            <v>Santosh48 Kumar/
Sreevinoth T</v>
          </cell>
          <cell r="O743" t="str">
            <v>Santosh48 Kumar</v>
          </cell>
          <cell r="Q743" t="str">
            <v>Shahaji Gohatre</v>
          </cell>
          <cell r="S743" t="str">
            <v>Karnataka</v>
          </cell>
          <cell r="T743" t="str">
            <v>Bangalore</v>
          </cell>
          <cell r="U743" t="str">
            <v>Non Premium</v>
          </cell>
          <cell r="V743" t="str">
            <v>Misc Formats</v>
          </cell>
          <cell r="W743">
            <v>9650</v>
          </cell>
          <cell r="AG743" t="str">
            <v/>
          </cell>
          <cell r="AL743" t="str">
            <v>Received</v>
          </cell>
          <cell r="AM743">
            <v>46171</v>
          </cell>
          <cell r="AO743">
            <v>3</v>
          </cell>
          <cell r="AS743">
            <v>-3</v>
          </cell>
          <cell r="AU743">
            <v>4</v>
          </cell>
          <cell r="AY743">
            <v>-4</v>
          </cell>
          <cell r="BA743">
            <v>5</v>
          </cell>
          <cell r="BE743">
            <v>-5</v>
          </cell>
          <cell r="BG743">
            <v>5</v>
          </cell>
          <cell r="BK743">
            <v>-5</v>
          </cell>
          <cell r="BM743">
            <v>3</v>
          </cell>
          <cell r="BP743">
            <v>3</v>
          </cell>
          <cell r="BW743" t="str">
            <v>Done</v>
          </cell>
          <cell r="BY743" t="str">
            <v>Approved</v>
          </cell>
          <cell r="CD743">
            <v>45159</v>
          </cell>
          <cell r="CI743" t="str">
            <v>Pending</v>
          </cell>
          <cell r="CM743">
            <v>-3</v>
          </cell>
          <cell r="DG743" t="str">
            <v/>
          </cell>
          <cell r="DK743">
            <v>45165</v>
          </cell>
          <cell r="DP743">
            <v>45168</v>
          </cell>
          <cell r="DQ743">
            <v>45167</v>
          </cell>
          <cell r="DR743">
            <v>35</v>
          </cell>
          <cell r="DS743">
            <v>45</v>
          </cell>
          <cell r="DT743">
            <v>0</v>
          </cell>
          <cell r="DU743">
            <v>45202</v>
          </cell>
          <cell r="DV743">
            <v>45212</v>
          </cell>
          <cell r="DW743">
            <v>45202</v>
          </cell>
          <cell r="DX743" t="str">
            <v>Oct 23 Week 1</v>
          </cell>
          <cell r="DZ743">
            <v>45225</v>
          </cell>
          <cell r="EA743" t="str">
            <v>Oct 23 Week 4</v>
          </cell>
          <cell r="EB743" t="str">
            <v>Backlog</v>
          </cell>
          <cell r="ED743" t="str">
            <v/>
          </cell>
          <cell r="EE743" t="str">
            <v/>
          </cell>
          <cell r="EF743">
            <v>1</v>
          </cell>
          <cell r="EG743">
            <v>1</v>
          </cell>
          <cell r="FD743">
            <v>23</v>
          </cell>
          <cell r="FE743" t="str">
            <v>16 to 31 Days</v>
          </cell>
          <cell r="FF743">
            <v>22</v>
          </cell>
          <cell r="FG743" t="str">
            <v>16 to 31 Days</v>
          </cell>
          <cell r="FH743" t="str">
            <v>Done</v>
          </cell>
          <cell r="FK743">
            <v>45233</v>
          </cell>
          <cell r="FM743" t="str">
            <v/>
          </cell>
          <cell r="GG743" t="str">
            <v>2023-2024</v>
          </cell>
        </row>
        <row r="744">
          <cell r="E744" t="str">
            <v xml:space="preserve">IBC Knowledge Park-Tower B
Floor - 2nd, 5th &amp; 6th </v>
          </cell>
          <cell r="F744" t="str">
            <v>10. Launched</v>
          </cell>
          <cell r="K744" t="str">
            <v>S</v>
          </cell>
          <cell r="L744" t="str">
            <v>AS</v>
          </cell>
          <cell r="N744" t="str">
            <v>Santosh48 Kumar/
Sreevinoth T</v>
          </cell>
          <cell r="O744" t="str">
            <v>Santosh48 Kumar</v>
          </cell>
          <cell r="Q744" t="str">
            <v>Shahaji Gohatre</v>
          </cell>
          <cell r="S744" t="str">
            <v>Karnataka</v>
          </cell>
          <cell r="T744" t="str">
            <v>Bangalore</v>
          </cell>
          <cell r="U744" t="str">
            <v>Non Premium</v>
          </cell>
          <cell r="V744" t="str">
            <v>Misc Formats</v>
          </cell>
          <cell r="W744">
            <v>3957</v>
          </cell>
          <cell r="AB744">
            <v>44979</v>
          </cell>
          <cell r="AF744" t="str">
            <v xml:space="preserve"> Done</v>
          </cell>
          <cell r="AG744">
            <v>1192</v>
          </cell>
          <cell r="AL744" t="str">
            <v>Received</v>
          </cell>
          <cell r="AM744">
            <v>46171</v>
          </cell>
          <cell r="AO744">
            <v>3</v>
          </cell>
          <cell r="AS744">
            <v>-3</v>
          </cell>
          <cell r="AU744">
            <v>4</v>
          </cell>
          <cell r="AY744">
            <v>-4</v>
          </cell>
          <cell r="BA744">
            <v>5</v>
          </cell>
          <cell r="BE744">
            <v>-5</v>
          </cell>
          <cell r="BG744">
            <v>5</v>
          </cell>
          <cell r="BK744">
            <v>-5</v>
          </cell>
          <cell r="BM744">
            <v>3</v>
          </cell>
          <cell r="BP744">
            <v>3</v>
          </cell>
          <cell r="BW744" t="str">
            <v>Done</v>
          </cell>
          <cell r="BY744" t="str">
            <v>Approved
15-05-2023</v>
          </cell>
          <cell r="CE744">
            <v>45083</v>
          </cell>
          <cell r="CI744" t="str">
            <v>Issued</v>
          </cell>
          <cell r="CM744">
            <v>45080</v>
          </cell>
          <cell r="DG744" t="str">
            <v/>
          </cell>
          <cell r="DK744">
            <v>45084</v>
          </cell>
          <cell r="DP744">
            <v>45086</v>
          </cell>
          <cell r="DQ744">
            <v>45092</v>
          </cell>
          <cell r="DR744">
            <v>35</v>
          </cell>
          <cell r="DS744">
            <v>45</v>
          </cell>
          <cell r="DU744">
            <v>45127</v>
          </cell>
          <cell r="DV744">
            <v>45137</v>
          </cell>
          <cell r="DW744">
            <v>45127</v>
          </cell>
          <cell r="DX744" t="str">
            <v>July 23 Week 3</v>
          </cell>
          <cell r="DY744" t="str">
            <v>31-07-2023
03-08-2023
04-08-2023
06-08-2023
10-08-2023</v>
          </cell>
          <cell r="DZ744">
            <v>45156</v>
          </cell>
          <cell r="EA744" t="str">
            <v>Aug 23 Week 3</v>
          </cell>
          <cell r="EB744" t="str">
            <v>Backlog</v>
          </cell>
          <cell r="ED744" t="str">
            <v/>
          </cell>
          <cell r="EE744" t="str">
            <v/>
          </cell>
          <cell r="EF744">
            <v>1</v>
          </cell>
          <cell r="EG744">
            <v>1</v>
          </cell>
          <cell r="FD744">
            <v>29</v>
          </cell>
          <cell r="FE744" t="str">
            <v>16 to 31 Days</v>
          </cell>
          <cell r="FF744">
            <v>35</v>
          </cell>
          <cell r="FG744" t="str">
            <v>31 to 61 Days</v>
          </cell>
          <cell r="FH744" t="str">
            <v>Done</v>
          </cell>
          <cell r="FK744">
            <v>45167</v>
          </cell>
          <cell r="FM744" t="str">
            <v/>
          </cell>
          <cell r="GG744" t="str">
            <v>2023-2024</v>
          </cell>
        </row>
        <row r="745">
          <cell r="E745" t="str">
            <v>PrakashDeep Building</v>
          </cell>
          <cell r="F745" t="str">
            <v>10. Launched</v>
          </cell>
          <cell r="H745" t="str">
            <v>DE-OFF-DEL-022</v>
          </cell>
          <cell r="I745" t="str">
            <v>S0WN</v>
          </cell>
          <cell r="J745" t="str">
            <v>QI2O</v>
          </cell>
          <cell r="K745" t="str">
            <v xml:space="preserve">N </v>
          </cell>
          <cell r="L745" t="str">
            <v>RT</v>
          </cell>
          <cell r="N745" t="str">
            <v>Mrinal Kulkarni</v>
          </cell>
          <cell r="O745" t="str">
            <v>Parveen Sharma</v>
          </cell>
          <cell r="P745" t="str">
            <v>Irshad Ahmad</v>
          </cell>
          <cell r="Q745" t="str">
            <v>Shahaji Gohatre</v>
          </cell>
          <cell r="R745" t="str">
            <v>Virashri Hanwate</v>
          </cell>
          <cell r="S745" t="str">
            <v>Delhi</v>
          </cell>
          <cell r="T745" t="str">
            <v>Delhi</v>
          </cell>
          <cell r="U745" t="str">
            <v>Non Premium</v>
          </cell>
          <cell r="V745" t="str">
            <v>Misc Formats</v>
          </cell>
          <cell r="W745">
            <v>897.39</v>
          </cell>
          <cell r="X745" t="str">
            <v>505-506 5th Floor, Prakshdeep Building, 7 Tolstoy Marg, New Delhi- 110001</v>
          </cell>
          <cell r="Y745">
            <v>45273</v>
          </cell>
          <cell r="Z745" t="str">
            <v>Done</v>
          </cell>
          <cell r="AB745">
            <v>45185</v>
          </cell>
          <cell r="AD745">
            <v>45194</v>
          </cell>
          <cell r="AE745">
            <v>45194</v>
          </cell>
          <cell r="AF745" t="str">
            <v>Done</v>
          </cell>
          <cell r="AG745">
            <v>4</v>
          </cell>
          <cell r="AI745">
            <v>45216</v>
          </cell>
          <cell r="AL745" t="str">
            <v>Received</v>
          </cell>
          <cell r="AN745" t="str">
            <v>R0 - 17/10/23
R1 - 28/11/23
R2 - 06/12/23</v>
          </cell>
          <cell r="AO745">
            <v>45219</v>
          </cell>
          <cell r="AP745">
            <v>45225</v>
          </cell>
          <cell r="AS745">
            <v>6</v>
          </cell>
          <cell r="AT745" t="str">
            <v>* C&amp;I BOQ recd on 26/10, 21/11, 24/11, 01/12
* False Ceiling layout recd on 09/11
* Complete GFC Set received on 08/12</v>
          </cell>
          <cell r="AU745">
            <v>45220</v>
          </cell>
          <cell r="AY745">
            <v>-45220</v>
          </cell>
          <cell r="BA745">
            <v>45221</v>
          </cell>
          <cell r="BB745">
            <v>45251</v>
          </cell>
          <cell r="BE745">
            <v>29</v>
          </cell>
          <cell r="BF745" t="str">
            <v>1- HVAC:
* BOQ recd on 21/11/23
* GFC recd on 06/12/23
2- Budgetary BOQ
PLB - 24/11/23
FF - 23/11/23
Final GFC &amp; BOQ
PLB - 11/12/23
FF - 14/12/23</v>
          </cell>
          <cell r="BG745">
            <v>45221</v>
          </cell>
          <cell r="BH745">
            <v>45251</v>
          </cell>
          <cell r="BK745">
            <v>29</v>
          </cell>
          <cell r="BL745" t="str">
            <v>* Budgetary BOQ recd on 21/11
* R0 GFC &amp; BOQ recd on 04-12-2023</v>
          </cell>
          <cell r="BM745">
            <v>45219</v>
          </cell>
          <cell r="BN745">
            <v>45274</v>
          </cell>
          <cell r="BP745">
            <v>45219</v>
          </cell>
          <cell r="BQ745">
            <v>45231</v>
          </cell>
          <cell r="BR745" t="str">
            <v>R0 - 01/11/23
R1 - 11/12/23</v>
          </cell>
          <cell r="BW745" t="str">
            <v>25-11-2023</v>
          </cell>
          <cell r="BX745">
            <v>45264</v>
          </cell>
          <cell r="BY745" t="str">
            <v>Approved</v>
          </cell>
          <cell r="CD745">
            <v>45225</v>
          </cell>
          <cell r="CE745">
            <v>45274</v>
          </cell>
          <cell r="CF745" t="str">
            <v>M/s     Paluck Technologies Pvt Ltd</v>
          </cell>
          <cell r="CG745" t="str">
            <v>M/s     Paluck Technologies Pvt Ltd</v>
          </cell>
          <cell r="CH745" t="str">
            <v>M/s     MMD Engineers</v>
          </cell>
          <cell r="CI745" t="str">
            <v>Issued</v>
          </cell>
          <cell r="CJ745">
            <v>45279</v>
          </cell>
          <cell r="CK745">
            <v>45279</v>
          </cell>
          <cell r="CL745">
            <v>45275</v>
          </cell>
          <cell r="CM745">
            <v>7</v>
          </cell>
          <cell r="CN745">
            <v>45289</v>
          </cell>
          <cell r="CO745">
            <v>45285</v>
          </cell>
          <cell r="CP745" t="str">
            <v>PLB - 05/01/24
FF - 21/12/23
HVAC - 22/12/23</v>
          </cell>
          <cell r="CQ745">
            <v>45300</v>
          </cell>
          <cell r="CR745">
            <v>45286</v>
          </cell>
          <cell r="CT745">
            <v>45301</v>
          </cell>
          <cell r="CU745">
            <v>45294</v>
          </cell>
          <cell r="DA745" t="str">
            <v>WO Done RA1 Pending</v>
          </cell>
          <cell r="DB745" t="str">
            <v>WO Done RA1 Pending</v>
          </cell>
          <cell r="DC745" t="str">
            <v>WO Done RA1 Pending</v>
          </cell>
          <cell r="DD745">
            <v>45271</v>
          </cell>
          <cell r="DE745">
            <v>75</v>
          </cell>
          <cell r="DF745">
            <v>45353</v>
          </cell>
          <cell r="DG745" t="str">
            <v>Under Dead Rent</v>
          </cell>
          <cell r="DK745">
            <v>45278</v>
          </cell>
          <cell r="DL745">
            <v>45274</v>
          </cell>
          <cell r="DP745">
            <v>45281</v>
          </cell>
          <cell r="DQ745">
            <v>45293</v>
          </cell>
          <cell r="DR745">
            <v>35</v>
          </cell>
          <cell r="DS745">
            <v>45</v>
          </cell>
          <cell r="DT745">
            <v>61</v>
          </cell>
          <cell r="DU745">
            <v>45328</v>
          </cell>
          <cell r="DV745">
            <v>45338</v>
          </cell>
          <cell r="DW745">
            <v>45389</v>
          </cell>
          <cell r="DX745" t="str">
            <v>April 24 Week 1</v>
          </cell>
          <cell r="DY745" t="str">
            <v>TBC</v>
          </cell>
          <cell r="DZ745">
            <v>45390</v>
          </cell>
          <cell r="EA745" t="str">
            <v>April 24 Week 2</v>
          </cell>
          <cell r="EB745" t="str">
            <v>Backlog</v>
          </cell>
          <cell r="ED745" t="str">
            <v/>
          </cell>
          <cell r="EE745" t="str">
            <v/>
          </cell>
          <cell r="EF745">
            <v>1</v>
          </cell>
          <cell r="EG745">
            <v>0.6</v>
          </cell>
          <cell r="EK745">
            <v>45298</v>
          </cell>
          <cell r="EL745" t="str">
            <v>1- Demolition completed
2- Blockwork completed
3- DG - NA
4- Electrical marking completed
5- FF - completed</v>
          </cell>
          <cell r="EN745">
            <v>45321</v>
          </cell>
          <cell r="EO745" t="str">
            <v>* Carpentory work completed
* Flooring - completed - Skirting completed
* Putty work - 2 coats completed
* Electrical Cable tray &amp; Conduiting completed
* Partition completed
* Toilet  Waterproofing completed
* HVAC FIM Delivery Pending - MDM error</v>
          </cell>
          <cell r="EQ745">
            <v>45329</v>
          </cell>
          <cell r="ER745" t="str">
            <v>* False ceiling - Framing completed
* Cable tray completed
* Conduiting completed
* Wiring -  SLP Completed, IT completed
* DB Dressing completd
* Painting WIP - Final Coat Pending</v>
          </cell>
          <cell r="ET745" t="str">
            <v>TBC</v>
          </cell>
          <cell r="EW745" t="str">
            <v>Not due</v>
          </cell>
          <cell r="EY745">
            <v>45330</v>
          </cell>
          <cell r="EZ745">
            <v>45288</v>
          </cell>
          <cell r="FD745">
            <v>1</v>
          </cell>
          <cell r="FE745" t="str">
            <v>0 to 3 Days</v>
          </cell>
          <cell r="FF745">
            <v>13</v>
          </cell>
          <cell r="FG745" t="str">
            <v>8 to 15 Days</v>
          </cell>
          <cell r="FH745" t="str">
            <v>Done</v>
          </cell>
          <cell r="FI745">
            <v>45406</v>
          </cell>
          <cell r="FJ745">
            <v>45406</v>
          </cell>
          <cell r="FK745">
            <v>45406</v>
          </cell>
          <cell r="FM745" t="str">
            <v/>
          </cell>
          <cell r="FZ745" t="str">
            <v>* Store code is blocked* FIM Movement on hold because of store code issue</v>
          </cell>
          <cell r="GG745" t="str">
            <v>2024-2025</v>
          </cell>
        </row>
        <row r="746">
          <cell r="E746" t="str">
            <v>IBC Knowledge Park-CEO Office Cabin</v>
          </cell>
          <cell r="F746" t="str">
            <v>10. Launched</v>
          </cell>
          <cell r="G746" t="str">
            <v>TDSCAS65</v>
          </cell>
          <cell r="K746" t="str">
            <v>S</v>
          </cell>
          <cell r="L746" t="str">
            <v>AS</v>
          </cell>
          <cell r="N746" t="str">
            <v>Santosh48 Kumar/
Sreevinoth T</v>
          </cell>
          <cell r="O746" t="str">
            <v>Santosh48 Kumar</v>
          </cell>
          <cell r="Q746" t="str">
            <v>Shahaji Gohatre</v>
          </cell>
          <cell r="S746" t="str">
            <v>Karnataka</v>
          </cell>
          <cell r="T746" t="str">
            <v>Bangalore</v>
          </cell>
          <cell r="U746" t="str">
            <v>Non Premium</v>
          </cell>
          <cell r="V746" t="str">
            <v>Misc Formats</v>
          </cell>
          <cell r="AG746" t="str">
            <v/>
          </cell>
          <cell r="AL746" t="str">
            <v>Received</v>
          </cell>
          <cell r="AM746">
            <v>46171</v>
          </cell>
          <cell r="AO746">
            <v>3</v>
          </cell>
          <cell r="AS746">
            <v>-3</v>
          </cell>
          <cell r="AU746">
            <v>4</v>
          </cell>
          <cell r="AY746">
            <v>-4</v>
          </cell>
          <cell r="BA746">
            <v>5</v>
          </cell>
          <cell r="BE746">
            <v>-5</v>
          </cell>
          <cell r="BG746">
            <v>5</v>
          </cell>
          <cell r="BK746">
            <v>-5</v>
          </cell>
          <cell r="BM746">
            <v>3</v>
          </cell>
          <cell r="BP746">
            <v>3</v>
          </cell>
          <cell r="BW746" t="str">
            <v>Done</v>
          </cell>
          <cell r="BY746" t="str">
            <v>Approved</v>
          </cell>
          <cell r="CM746">
            <v>-3</v>
          </cell>
          <cell r="DG746" t="str">
            <v/>
          </cell>
          <cell r="DK746">
            <v>45226</v>
          </cell>
          <cell r="DP746">
            <v>45229</v>
          </cell>
          <cell r="DQ746">
            <v>45228</v>
          </cell>
          <cell r="DR746">
            <v>35</v>
          </cell>
          <cell r="DS746">
            <v>45</v>
          </cell>
          <cell r="DU746">
            <v>45263</v>
          </cell>
          <cell r="DV746">
            <v>45273</v>
          </cell>
          <cell r="DW746">
            <v>45263</v>
          </cell>
          <cell r="DX746" t="str">
            <v>Dec 23 Week 1</v>
          </cell>
          <cell r="DY746">
            <v>45237</v>
          </cell>
          <cell r="DZ746">
            <v>45238</v>
          </cell>
          <cell r="EA746" t="str">
            <v>Nov 23 Week 2</v>
          </cell>
          <cell r="EB746" t="str">
            <v>Plan</v>
          </cell>
          <cell r="ED746" t="str">
            <v/>
          </cell>
          <cell r="EE746" t="str">
            <v/>
          </cell>
          <cell r="EF746">
            <v>1</v>
          </cell>
          <cell r="EG746">
            <v>1</v>
          </cell>
          <cell r="FD746">
            <v>-25</v>
          </cell>
          <cell r="FE746" t="str">
            <v>On Time</v>
          </cell>
          <cell r="FF746">
            <v>-26</v>
          </cell>
          <cell r="FG746" t="str">
            <v>On Time</v>
          </cell>
          <cell r="FH746" t="str">
            <v>Done</v>
          </cell>
          <cell r="FK746">
            <v>45238</v>
          </cell>
          <cell r="FM746" t="str">
            <v/>
          </cell>
          <cell r="GG746" t="str">
            <v>2023-2024</v>
          </cell>
        </row>
        <row r="747">
          <cell r="E747" t="str">
            <v>Cover Story at C-58/1, Okhla, Phase-2, New Delhi</v>
          </cell>
          <cell r="F747" t="str">
            <v>14. Dropped</v>
          </cell>
          <cell r="K747" t="str">
            <v xml:space="preserve">N </v>
          </cell>
          <cell r="L747" t="str">
            <v>RT</v>
          </cell>
          <cell r="Q747" t="str">
            <v>Shahaji Gohatre</v>
          </cell>
          <cell r="R747" t="str">
            <v>Shweta Topwal</v>
          </cell>
          <cell r="S747" t="str">
            <v>Delhi NCR</v>
          </cell>
          <cell r="T747" t="str">
            <v>Delji</v>
          </cell>
          <cell r="U747" t="str">
            <v>Non Premium</v>
          </cell>
          <cell r="V747" t="str">
            <v>Misc Formats</v>
          </cell>
          <cell r="AF747" t="str">
            <v>Done</v>
          </cell>
          <cell r="AG747" t="str">
            <v/>
          </cell>
          <cell r="AL747" t="str">
            <v>Pending</v>
          </cell>
          <cell r="AM747">
            <v>46171</v>
          </cell>
          <cell r="AO747">
            <v>3</v>
          </cell>
          <cell r="AS747">
            <v>-3</v>
          </cell>
          <cell r="AU747">
            <v>4</v>
          </cell>
          <cell r="AY747">
            <v>-4</v>
          </cell>
          <cell r="BA747">
            <v>5</v>
          </cell>
          <cell r="BE747">
            <v>-5</v>
          </cell>
          <cell r="BG747">
            <v>5</v>
          </cell>
          <cell r="BK747">
            <v>-5</v>
          </cell>
          <cell r="BM747">
            <v>3</v>
          </cell>
          <cell r="BP747">
            <v>3</v>
          </cell>
          <cell r="CM747">
            <v>-3</v>
          </cell>
          <cell r="DG747" t="str">
            <v/>
          </cell>
          <cell r="DR747">
            <v>35</v>
          </cell>
          <cell r="DS747">
            <v>45</v>
          </cell>
          <cell r="EA747" t="str">
            <v/>
          </cell>
          <cell r="ED747" t="str">
            <v/>
          </cell>
          <cell r="EE747" t="str">
            <v/>
          </cell>
          <cell r="FF747">
            <v>46141</v>
          </cell>
          <cell r="FM747" t="str">
            <v/>
          </cell>
          <cell r="GG747" t="str">
            <v>2024-2025</v>
          </cell>
        </row>
        <row r="748">
          <cell r="E748" t="str">
            <v>IBC Knowledge Park-9th Floor</v>
          </cell>
          <cell r="F748" t="str">
            <v>10. Launched</v>
          </cell>
          <cell r="G748" t="str">
            <v>OFIBAS4716</v>
          </cell>
          <cell r="K748" t="str">
            <v>S</v>
          </cell>
          <cell r="L748" t="str">
            <v>AS</v>
          </cell>
          <cell r="P748" t="str">
            <v>Sundeep N</v>
          </cell>
          <cell r="Q748" t="str">
            <v>Shahaji Gohatre</v>
          </cell>
          <cell r="R748" t="str">
            <v>Shweta Topwal</v>
          </cell>
          <cell r="S748" t="str">
            <v>Karnataka</v>
          </cell>
          <cell r="T748" t="str">
            <v>Bangalore</v>
          </cell>
          <cell r="U748" t="str">
            <v>Non Premium</v>
          </cell>
          <cell r="V748" t="str">
            <v>Misc Formats</v>
          </cell>
          <cell r="W748">
            <v>83766</v>
          </cell>
          <cell r="Z748" t="str">
            <v>Done</v>
          </cell>
          <cell r="AB748" t="str">
            <v>Done</v>
          </cell>
          <cell r="AF748" t="str">
            <v>Done</v>
          </cell>
          <cell r="AI748">
            <v>45303</v>
          </cell>
          <cell r="AL748" t="str">
            <v>Received</v>
          </cell>
          <cell r="AM748">
            <v>46171</v>
          </cell>
          <cell r="AO748">
            <v>45306</v>
          </cell>
          <cell r="AP748">
            <v>45307</v>
          </cell>
          <cell r="AS748">
            <v>1</v>
          </cell>
          <cell r="AU748">
            <v>45307</v>
          </cell>
          <cell r="AV748" t="str">
            <v>NA</v>
          </cell>
          <cell r="AW748" t="str">
            <v>NA</v>
          </cell>
          <cell r="AX748" t="str">
            <v>NA</v>
          </cell>
          <cell r="BA748">
            <v>45308</v>
          </cell>
          <cell r="BF748" t="str">
            <v>NA</v>
          </cell>
          <cell r="BG748">
            <v>45308</v>
          </cell>
          <cell r="BH748">
            <v>45308</v>
          </cell>
          <cell r="BK748">
            <v>0</v>
          </cell>
          <cell r="BM748">
            <v>45306</v>
          </cell>
          <cell r="BN748">
            <v>45328</v>
          </cell>
          <cell r="BP748">
            <v>45306</v>
          </cell>
          <cell r="BQ748">
            <v>45308</v>
          </cell>
          <cell r="BT748">
            <v>45309</v>
          </cell>
          <cell r="BW748" t="str">
            <v>R0 - Done</v>
          </cell>
          <cell r="BY748" t="str">
            <v>Approved</v>
          </cell>
          <cell r="CF748" t="str">
            <v>M/s Om sai Interiors</v>
          </cell>
          <cell r="CG748" t="str">
            <v>M/s Om sai Interiors</v>
          </cell>
          <cell r="CI748" t="str">
            <v>Issued</v>
          </cell>
          <cell r="CM748">
            <v>-3</v>
          </cell>
          <cell r="CN748">
            <v>45327</v>
          </cell>
          <cell r="CO748">
            <v>45325</v>
          </cell>
          <cell r="CP748">
            <v>45335</v>
          </cell>
          <cell r="CQ748">
            <v>45334</v>
          </cell>
          <cell r="CR748">
            <v>45327</v>
          </cell>
          <cell r="CS748">
            <v>45335</v>
          </cell>
          <cell r="CT748">
            <v>0</v>
          </cell>
          <cell r="CU748">
            <v>0</v>
          </cell>
          <cell r="CV748">
            <v>0</v>
          </cell>
          <cell r="DA748" t="str">
            <v>RA1 Done</v>
          </cell>
          <cell r="DB748" t="str">
            <v>RA1 Done</v>
          </cell>
          <cell r="DC748" t="str">
            <v>RA1 Done</v>
          </cell>
          <cell r="DG748" t="str">
            <v>Not Under Dead Rent</v>
          </cell>
          <cell r="DK748">
            <v>45316</v>
          </cell>
          <cell r="DL748">
            <v>45328</v>
          </cell>
          <cell r="DP748">
            <v>45319</v>
          </cell>
          <cell r="DQ748">
            <v>45320</v>
          </cell>
          <cell r="DR748">
            <v>35</v>
          </cell>
          <cell r="DS748">
            <v>45</v>
          </cell>
          <cell r="DU748">
            <v>45355</v>
          </cell>
          <cell r="DV748">
            <v>45365</v>
          </cell>
          <cell r="DW748">
            <v>45355</v>
          </cell>
          <cell r="DX748" t="str">
            <v>March 24 Week 1</v>
          </cell>
          <cell r="DZ748">
            <v>45348</v>
          </cell>
          <cell r="EA748" t="str">
            <v>Feb 24 Week 4</v>
          </cell>
          <cell r="EB748" t="str">
            <v>Plan</v>
          </cell>
          <cell r="ED748" t="str">
            <v/>
          </cell>
          <cell r="EE748" t="str">
            <v/>
          </cell>
          <cell r="EF748">
            <v>1</v>
          </cell>
          <cell r="EG748">
            <v>1</v>
          </cell>
          <cell r="EJ748">
            <v>45327</v>
          </cell>
          <cell r="EK748">
            <v>45327</v>
          </cell>
          <cell r="EL748" t="str">
            <v>1. Demolition:- Completed
2. Brickwork / Block work:- NA
3. DG foundation:- NA
4. Electrical conduits chasing / Marking:- Completed
5. FF piping works:- NA</v>
          </cell>
          <cell r="EM748">
            <v>45334</v>
          </cell>
          <cell r="EN748">
            <v>45332</v>
          </cell>
          <cell r="EO748" t="str">
            <v>1. Flooring completion- Completed
 2. Putty work / POP-  Completed
 3. Plastering- Completed
4. DG foundation-NA
 5. Electrical conduits :- Completed
6. HVAC ODU, fabrication:- NA
 7. FF Pipe installation:- NA
8. Column cladding / partition:- NA
9. Toilet Civil works readiness:- NA
 10. Gypsum/ Grid Ceiling:-NA</v>
          </cell>
          <cell r="EP748">
            <v>45341</v>
          </cell>
          <cell r="EQ748">
            <v>45337</v>
          </cell>
          <cell r="ER748" t="str">
            <v xml:space="preserve">
1. Column cladding completion-Completed
 2. Painting works-Completed
 3. ACP installation-NA
 4. Wiring / Cabling [ELEC + IT + SLP]:-Completed
 5. DG / DB / Panel installation- NA
 6. Cu piping / IDU / ODU installation [HVAC + CNF]-- NA
 7. FOH Lighting installation,):-Completed
8. Falseceiling-- NA
9. Self Levelling-- NA
9. Vinyl Flooring,-- NA
10. Baffle Ceiling-- NA
11. Lacquered Glass-- NA</v>
          </cell>
          <cell r="ES748">
            <v>45348</v>
          </cell>
          <cell r="ET748" t="str">
            <v>26-02-2024</v>
          </cell>
          <cell r="EU748" t="str">
            <v xml:space="preserve">
1. Column cladding completion-Completed
 2. Painting works-Completed
 3. ACP installation-NA
 4. Wiring / Cabling [ELEC + IT + SLP]:-Completed
 5. DG / DB / Panel installation- NA
 6. Cu piping / IDU / ODU installation [HVAC + CNF]-- NA
 7. FOH Lighting installation,):-Completed
8. Falseceiling-- NA
9. Self Levelling-- NA
9. Vinyl Flooring,-- NA
10. Baffle Ceiling-- NA
11. Lacquered Glass-- NA</v>
          </cell>
          <cell r="EV748">
            <v>45355</v>
          </cell>
          <cell r="EW748" t="str">
            <v>05-03-2024</v>
          </cell>
          <cell r="EX748" t="str">
            <v xml:space="preserve">
1. Column cladding completion-Completed
 2. Painting works-Completed
 3. ACP installation-NA
 4. Wiring / Cabling [ELEC + IT + SLP]:-Completed
 5. DG / DB / Panel installation- NA
 6. Cu piping / IDU / ODU installation [HVAC + CNF]-- NA
 7. FOH Lighting installation,):-Completed
8. Falseceiling-- NA
9. Self Levelling-- NA
9. Vinyl Flooring,-- NA
10. Baffle Ceiling-- NA
11. Lacquered Glass-- NA</v>
          </cell>
          <cell r="FD748">
            <v>-7</v>
          </cell>
          <cell r="FE748" t="str">
            <v>On Time</v>
          </cell>
          <cell r="FF748">
            <v>-6</v>
          </cell>
          <cell r="FG748" t="str">
            <v>On Time</v>
          </cell>
          <cell r="FH748" t="str">
            <v>Done</v>
          </cell>
          <cell r="FI748" t="str">
            <v>Done</v>
          </cell>
          <cell r="FJ748" t="str">
            <v>Done</v>
          </cell>
          <cell r="FK748">
            <v>45358</v>
          </cell>
          <cell r="FM748" t="str">
            <v/>
          </cell>
          <cell r="GG748" t="str">
            <v>2023-2024</v>
          </cell>
        </row>
        <row r="749">
          <cell r="E749" t="str">
            <v>Okhla Office</v>
          </cell>
          <cell r="F749" t="str">
            <v>4. Budget Approval Pending</v>
          </cell>
          <cell r="G749" t="str">
            <v>ADOFRT10637</v>
          </cell>
          <cell r="K749" t="str">
            <v xml:space="preserve">N </v>
          </cell>
          <cell r="L749" t="str">
            <v>RT</v>
          </cell>
          <cell r="Q749" t="str">
            <v>Arju Tiwari</v>
          </cell>
          <cell r="R749" t="str">
            <v>Kiran Patil</v>
          </cell>
          <cell r="S749" t="str">
            <v>Delhi</v>
          </cell>
          <cell r="T749" t="str">
            <v>Delhi</v>
          </cell>
          <cell r="U749" t="str">
            <v>Non Premium</v>
          </cell>
          <cell r="V749" t="str">
            <v>Misc Formats</v>
          </cell>
          <cell r="AB749">
            <v>45230</v>
          </cell>
          <cell r="AF749" t="str">
            <v>Done</v>
          </cell>
          <cell r="AG749">
            <v>941</v>
          </cell>
          <cell r="AI749">
            <v>45716</v>
          </cell>
          <cell r="AK749">
            <v>46112</v>
          </cell>
          <cell r="AL749" t="str">
            <v>Received</v>
          </cell>
          <cell r="AM749">
            <v>46107</v>
          </cell>
          <cell r="AN749" t="str">
            <v>Updaterd ML Awaited from Business</v>
          </cell>
          <cell r="AO749">
            <v>45719</v>
          </cell>
          <cell r="AS749">
            <v>457</v>
          </cell>
          <cell r="AT749" t="str">
            <v>Pending</v>
          </cell>
          <cell r="AU749">
            <v>45720</v>
          </cell>
          <cell r="AY749">
            <v>-45720</v>
          </cell>
          <cell r="BA749">
            <v>45721</v>
          </cell>
          <cell r="BE749">
            <v>-45721</v>
          </cell>
          <cell r="BF749" t="str">
            <v>Pending</v>
          </cell>
          <cell r="BG749">
            <v>45721</v>
          </cell>
          <cell r="BK749">
            <v>-45721</v>
          </cell>
          <cell r="BL749" t="str">
            <v>Pending</v>
          </cell>
          <cell r="BM749">
            <v>45719</v>
          </cell>
          <cell r="BO749" t="str">
            <v>Pending</v>
          </cell>
          <cell r="BP749">
            <v>45719</v>
          </cell>
          <cell r="BR749" t="str">
            <v>Pending</v>
          </cell>
          <cell r="BU749" t="str">
            <v>Pending</v>
          </cell>
          <cell r="BW749" t="str">
            <v>31-01-2024</v>
          </cell>
          <cell r="BY749" t="str">
            <v>Not Approved</v>
          </cell>
          <cell r="CI749" t="str">
            <v>Pending</v>
          </cell>
          <cell r="CM749">
            <v>-3</v>
          </cell>
          <cell r="DG749" t="str">
            <v/>
          </cell>
          <cell r="DP749">
            <v>3</v>
          </cell>
          <cell r="DR749">
            <v>35</v>
          </cell>
          <cell r="DS749">
            <v>45</v>
          </cell>
          <cell r="EA749" t="str">
            <v/>
          </cell>
          <cell r="ED749" t="str">
            <v/>
          </cell>
          <cell r="EE749" t="str">
            <v/>
          </cell>
          <cell r="FF749">
            <v>46138</v>
          </cell>
          <cell r="FM749" t="str">
            <v/>
          </cell>
          <cell r="FZ749" t="str">
            <v>1) Scope work asked from Business 11 Mar 25
2) Scope of work received from Business 13 May 25
3) Comments on ML and Scope shared to Business on 14 May 25</v>
          </cell>
          <cell r="GG749" t="str">
            <v>2026-2027</v>
          </cell>
        </row>
        <row r="750">
          <cell r="E750" t="str">
            <v>IBC Knowledge Park-Tower B
1st, 3rd &amp; 7th Floor</v>
          </cell>
          <cell r="F750" t="str">
            <v>11. HOLD</v>
          </cell>
          <cell r="G750" t="str">
            <v>ADOFAS10639</v>
          </cell>
          <cell r="K750" t="str">
            <v>S</v>
          </cell>
          <cell r="L750" t="str">
            <v>AS</v>
          </cell>
          <cell r="N750" t="str">
            <v>Santosh48 Kumar/
Sreevinoth T</v>
          </cell>
          <cell r="O750" t="str">
            <v>Santosh48 Kumar</v>
          </cell>
          <cell r="Q750" t="str">
            <v>Shahaji Gohatre</v>
          </cell>
          <cell r="R750" t="str">
            <v>Shweta Topwal</v>
          </cell>
          <cell r="S750" t="str">
            <v>Karnataka</v>
          </cell>
          <cell r="T750" t="str">
            <v>Bangalore</v>
          </cell>
          <cell r="U750" t="str">
            <v>Non Premium</v>
          </cell>
          <cell r="V750" t="str">
            <v>Misc Formats</v>
          </cell>
          <cell r="W750">
            <v>5669.98</v>
          </cell>
          <cell r="AG750" t="str">
            <v/>
          </cell>
          <cell r="AL750" t="str">
            <v>Received</v>
          </cell>
          <cell r="AM750">
            <v>46171</v>
          </cell>
          <cell r="AO750">
            <v>3</v>
          </cell>
          <cell r="AS750">
            <v>-3</v>
          </cell>
          <cell r="AU750">
            <v>4</v>
          </cell>
          <cell r="AY750">
            <v>-4</v>
          </cell>
          <cell r="BA750">
            <v>5</v>
          </cell>
          <cell r="BE750">
            <v>-5</v>
          </cell>
          <cell r="BG750">
            <v>5</v>
          </cell>
          <cell r="BK750">
            <v>-5</v>
          </cell>
          <cell r="BM750">
            <v>3</v>
          </cell>
          <cell r="BP750">
            <v>3</v>
          </cell>
          <cell r="BW750" t="str">
            <v>Done</v>
          </cell>
          <cell r="BY750" t="str">
            <v>Not Approved</v>
          </cell>
          <cell r="CI750" t="str">
            <v>Pending</v>
          </cell>
          <cell r="CM750">
            <v>-3</v>
          </cell>
          <cell r="DG750" t="str">
            <v/>
          </cell>
          <cell r="DO750" t="str">
            <v>RFC Offered - Budget Approval Awaited</v>
          </cell>
          <cell r="DP750">
            <v>3</v>
          </cell>
          <cell r="DR750">
            <v>35</v>
          </cell>
          <cell r="DS750">
            <v>45</v>
          </cell>
          <cell r="EA750" t="str">
            <v/>
          </cell>
          <cell r="ED750" t="str">
            <v/>
          </cell>
          <cell r="EE750" t="str">
            <v/>
          </cell>
          <cell r="FF750">
            <v>46138</v>
          </cell>
          <cell r="FM750" t="str">
            <v/>
          </cell>
          <cell r="FZ750" t="str">
            <v xml:space="preserve">Long pending with Business </v>
          </cell>
          <cell r="GG750" t="str">
            <v>2026-2027</v>
          </cell>
        </row>
        <row r="751">
          <cell r="E751" t="str">
            <v>IBC Knowledge Park Tower A - 5th</v>
          </cell>
          <cell r="F751" t="str">
            <v>11. HOLD</v>
          </cell>
          <cell r="G751" t="str">
            <v>ADOFAS10640</v>
          </cell>
          <cell r="K751" t="str">
            <v>S</v>
          </cell>
          <cell r="L751" t="str">
            <v>AS</v>
          </cell>
          <cell r="N751" t="str">
            <v>Santosh48 Kumar/
Sreevinoth T</v>
          </cell>
          <cell r="O751" t="str">
            <v>Santosh48 Kumar</v>
          </cell>
          <cell r="Q751" t="str">
            <v>Shahaji Gohatre</v>
          </cell>
          <cell r="R751" t="str">
            <v>Shweta Topwal</v>
          </cell>
          <cell r="S751" t="str">
            <v>Karnataka</v>
          </cell>
          <cell r="T751" t="str">
            <v>Bangalore</v>
          </cell>
          <cell r="U751" t="str">
            <v>Non Premium</v>
          </cell>
          <cell r="V751" t="str">
            <v>Misc Formats</v>
          </cell>
          <cell r="AG751" t="str">
            <v/>
          </cell>
          <cell r="AI751">
            <v>45397</v>
          </cell>
          <cell r="AL751" t="str">
            <v>Received</v>
          </cell>
          <cell r="AM751">
            <v>46171</v>
          </cell>
          <cell r="AP751">
            <v>45398</v>
          </cell>
          <cell r="AT751" t="str">
            <v>No pendency</v>
          </cell>
          <cell r="BH751">
            <v>45406</v>
          </cell>
          <cell r="BL751" t="str">
            <v>No pendency</v>
          </cell>
          <cell r="BO751" t="str">
            <v>BOQ Pending</v>
          </cell>
          <cell r="BP751">
            <v>45400</v>
          </cell>
          <cell r="BQ751">
            <v>45414</v>
          </cell>
          <cell r="BT751">
            <v>45404</v>
          </cell>
          <cell r="BU751" t="str">
            <v>*IT- BOQ &amp; GFC Awaited</v>
          </cell>
          <cell r="CM751">
            <v>-3</v>
          </cell>
          <cell r="EA751" t="str">
            <v/>
          </cell>
          <cell r="ED751" t="str">
            <v/>
          </cell>
          <cell r="EE751" t="str">
            <v/>
          </cell>
          <cell r="FF751">
            <v>46176</v>
          </cell>
          <cell r="FM751" t="str">
            <v/>
          </cell>
          <cell r="FZ751" t="str">
            <v>Approval Pending from sreedevi Mohan(Business)</v>
          </cell>
          <cell r="GG751" t="str">
            <v>2026-2027</v>
          </cell>
        </row>
        <row r="752">
          <cell r="E752" t="str">
            <v xml:space="preserve">IBC Knowledge Park-Category room  (A 1st Floor &amp; 3rd Floor, Tower B 4th Floor)&amp; Fixture requirement </v>
          </cell>
          <cell r="F752" t="str">
            <v>10. Launched</v>
          </cell>
          <cell r="G752" t="str">
            <v>ADOFAS11289</v>
          </cell>
          <cell r="H752" t="str">
            <v>KR-OFF-BAN-009A</v>
          </cell>
          <cell r="I752" t="str">
            <v>S0IS</v>
          </cell>
          <cell r="J752" t="str">
            <v>Q5EV</v>
          </cell>
          <cell r="K752" t="str">
            <v>S</v>
          </cell>
          <cell r="L752" t="str">
            <v>AS</v>
          </cell>
          <cell r="N752" t="str">
            <v>Sh.Sreevinoth T</v>
          </cell>
          <cell r="O752" t="str">
            <v>Sh. Hariprasad PV</v>
          </cell>
          <cell r="P752" t="str">
            <v>Sh. Dileep SP</v>
          </cell>
          <cell r="Q752" t="str">
            <v>Arju Tiwari</v>
          </cell>
          <cell r="R752" t="str">
            <v>Kiran Patil</v>
          </cell>
          <cell r="S752" t="str">
            <v>Karnataka</v>
          </cell>
          <cell r="T752" t="str">
            <v>Bangalore</v>
          </cell>
          <cell r="U752" t="str">
            <v>Non Premium</v>
          </cell>
          <cell r="V752" t="str">
            <v>Misc Formats</v>
          </cell>
          <cell r="W752">
            <v>1928</v>
          </cell>
          <cell r="Y752">
            <v>45497</v>
          </cell>
          <cell r="AB752">
            <v>45381</v>
          </cell>
          <cell r="AD752">
            <v>45392</v>
          </cell>
          <cell r="AF752" t="str">
            <v>Done</v>
          </cell>
          <cell r="AG752">
            <v>6</v>
          </cell>
          <cell r="AI752">
            <v>45427</v>
          </cell>
          <cell r="AL752" t="str">
            <v>Received</v>
          </cell>
          <cell r="AM752">
            <v>779</v>
          </cell>
          <cell r="AO752">
            <v>45430</v>
          </cell>
          <cell r="AS752">
            <v>746</v>
          </cell>
          <cell r="AT752" t="str">
            <v xml:space="preserve">1.	Tower A 1st floor RFID room:- BOQ &amp; GFC Awaited
2. Tower B 4th floor Category room:-:- BOQ &amp; GFC Awaited
Fixture BOQ Awaited
2.	Tower A 3rd floor bridge area:- GFC &amp; BOQ Received
3.	Tower A 3rd floor side pantry area:- GFC &amp; BOQ Received
</v>
          </cell>
          <cell r="AV752" t="str">
            <v>NA</v>
          </cell>
          <cell r="AW752" t="str">
            <v>NA</v>
          </cell>
          <cell r="AX752" t="str">
            <v>NA</v>
          </cell>
          <cell r="AZ752" t="str">
            <v>NA</v>
          </cell>
          <cell r="BF752" t="str">
            <v>NA</v>
          </cell>
          <cell r="BG752">
            <v>45432</v>
          </cell>
          <cell r="BH752">
            <v>45429</v>
          </cell>
          <cell r="BK752">
            <v>-3</v>
          </cell>
          <cell r="BM752">
            <v>45430</v>
          </cell>
          <cell r="BN752">
            <v>45443</v>
          </cell>
          <cell r="BP752">
            <v>45430</v>
          </cell>
          <cell r="BQ752">
            <v>45433</v>
          </cell>
          <cell r="BU752" t="str">
            <v>*IT:- Approval on AV Received from business team on 23rd May 24</v>
          </cell>
          <cell r="BV752" t="str">
            <v>Done</v>
          </cell>
          <cell r="BW752" t="str">
            <v>11-06-2024</v>
          </cell>
          <cell r="BX752">
            <v>45492</v>
          </cell>
          <cell r="BY752" t="str">
            <v>Approved</v>
          </cell>
          <cell r="CB752">
            <v>45496</v>
          </cell>
          <cell r="CD752">
            <v>45492</v>
          </cell>
          <cell r="CE752" t="str">
            <v>01-08-2024
03-10-2024</v>
          </cell>
          <cell r="CF752" t="str">
            <v>01-08-2024
03-10-2024</v>
          </cell>
          <cell r="CG752" t="str">
            <v>01-08-2024
03-10-2024</v>
          </cell>
          <cell r="CO752">
            <v>45593</v>
          </cell>
          <cell r="CR752">
            <v>45594</v>
          </cell>
          <cell r="DA752" t="str">
            <v>WO Done- RA1 Pending</v>
          </cell>
          <cell r="DB752" t="str">
            <v>WO Done- RA1 Pending</v>
          </cell>
          <cell r="DG752" t="str">
            <v>Not Under Dead Rent</v>
          </cell>
          <cell r="DJ752" t="str">
            <v>Final Clearance received on 07-10-2024 Exp Tower B Category Room</v>
          </cell>
          <cell r="DK752">
            <v>45572</v>
          </cell>
          <cell r="DO752" t="str">
            <v>RFC Visit Done on 07-08-2024
Material Removal Pending - Work Space Issue</v>
          </cell>
          <cell r="DP752">
            <v>45575</v>
          </cell>
          <cell r="DQ752">
            <v>45574</v>
          </cell>
          <cell r="DR752">
            <v>35</v>
          </cell>
          <cell r="DS752">
            <v>45</v>
          </cell>
          <cell r="DU752">
            <v>45609</v>
          </cell>
          <cell r="DV752">
            <v>45619</v>
          </cell>
          <cell r="DW752">
            <v>45609</v>
          </cell>
          <cell r="DX752" t="str">
            <v>Nov 24 Week 2</v>
          </cell>
          <cell r="DY752">
            <v>45618</v>
          </cell>
          <cell r="DZ752">
            <v>45614</v>
          </cell>
          <cell r="EA752" t="str">
            <v>Nov 24 Week 3</v>
          </cell>
          <cell r="EB752" t="str">
            <v>Plan</v>
          </cell>
          <cell r="ED752" t="str">
            <v/>
          </cell>
          <cell r="EE752" t="str">
            <v/>
          </cell>
          <cell r="EF752">
            <v>1</v>
          </cell>
          <cell r="EG752">
            <v>1</v>
          </cell>
          <cell r="FD752">
            <v>5</v>
          </cell>
          <cell r="FE752" t="str">
            <v>4 to 7 Days</v>
          </cell>
          <cell r="FF752">
            <v>4</v>
          </cell>
          <cell r="FG752" t="str">
            <v>4 to 7 Days</v>
          </cell>
          <cell r="FH752" t="str">
            <v>Done</v>
          </cell>
          <cell r="FI752" t="str">
            <v>Done</v>
          </cell>
          <cell r="FJ752" t="str">
            <v>Done</v>
          </cell>
          <cell r="FK752">
            <v>45692</v>
          </cell>
          <cell r="FM752" t="str">
            <v/>
          </cell>
          <cell r="FZ752" t="str">
            <v>Flex Partition is planned for bridge room on -Done
Floor Chasing and underfloor conduit laying -WIP
Partition/Column Cladding-WIP
Fixture - Delivered
Fixture Installation Callout - 10-11-2024</v>
          </cell>
          <cell r="GA752">
            <v>45605</v>
          </cell>
          <cell r="GB752" t="str">
            <v>Done</v>
          </cell>
          <cell r="GG752" t="str">
            <v>2024-2025</v>
          </cell>
        </row>
        <row r="753">
          <cell r="E753" t="str">
            <v>IBC TOWER -B BANGALORE_4th FLOOR - SAMPLE ROOM</v>
          </cell>
          <cell r="F753" t="str">
            <v>13. NRFC</v>
          </cell>
          <cell r="K753" t="str">
            <v>S</v>
          </cell>
          <cell r="L753" t="str">
            <v>AS</v>
          </cell>
          <cell r="S753" t="str">
            <v>Karnataka</v>
          </cell>
          <cell r="T753" t="str">
            <v>Bangalore</v>
          </cell>
          <cell r="U753" t="str">
            <v>Non Premium</v>
          </cell>
          <cell r="V753" t="str">
            <v>Misc Formats</v>
          </cell>
          <cell r="AG753" t="str">
            <v/>
          </cell>
          <cell r="AM753">
            <v>46171</v>
          </cell>
          <cell r="BP753">
            <v>3</v>
          </cell>
          <cell r="CM753">
            <v>-3</v>
          </cell>
          <cell r="EA753" t="str">
            <v/>
          </cell>
          <cell r="ED753" t="str">
            <v/>
          </cell>
          <cell r="EE753" t="str">
            <v/>
          </cell>
          <cell r="FF753">
            <v>46176</v>
          </cell>
          <cell r="FM753" t="str">
            <v/>
          </cell>
          <cell r="GG753" t="str">
            <v>2024-2025</v>
          </cell>
        </row>
        <row r="754">
          <cell r="E754" t="str">
            <v>Ajio Studio</v>
          </cell>
          <cell r="F754" t="str">
            <v>11. HOLD</v>
          </cell>
          <cell r="G754" t="str">
            <v>ADOFAS11458</v>
          </cell>
          <cell r="K754" t="str">
            <v>S</v>
          </cell>
          <cell r="L754" t="str">
            <v>AS</v>
          </cell>
          <cell r="Q754" t="str">
            <v>Arju Tiwari</v>
          </cell>
          <cell r="R754" t="str">
            <v>Kiran Patil</v>
          </cell>
          <cell r="S754" t="str">
            <v>Karnataka</v>
          </cell>
          <cell r="T754" t="str">
            <v>Bangalore</v>
          </cell>
          <cell r="U754" t="str">
            <v>Non Premium</v>
          </cell>
          <cell r="V754" t="str">
            <v>Misc Formats</v>
          </cell>
          <cell r="W754">
            <v>1120</v>
          </cell>
          <cell r="X754" t="str">
            <v>IBC Knowledge Park- Tower B -7th Floor.</v>
          </cell>
          <cell r="AB754">
            <v>45447</v>
          </cell>
          <cell r="AC754">
            <v>45449</v>
          </cell>
          <cell r="AD754">
            <v>45450</v>
          </cell>
          <cell r="AE754">
            <v>45450</v>
          </cell>
          <cell r="AF754" t="str">
            <v>Done</v>
          </cell>
          <cell r="AG754">
            <v>0</v>
          </cell>
          <cell r="AI754">
            <v>45512</v>
          </cell>
          <cell r="AK754">
            <v>45580</v>
          </cell>
          <cell r="AL754" t="str">
            <v>Received</v>
          </cell>
          <cell r="AM754">
            <v>125</v>
          </cell>
          <cell r="AN754" t="str">
            <v>Business approval received for ML on 09-08-2024
3D view go ahead received from Business on 18-09-2024</v>
          </cell>
          <cell r="AP754">
            <v>45538</v>
          </cell>
          <cell r="AR754">
            <v>45583</v>
          </cell>
          <cell r="AT754" t="str">
            <v>False ceiling Layout approval  Received from Business on 27-08-2024
3D view go ahead received from Business on 18-09-2024
CVL BOQ Received on 19-09-2024</v>
          </cell>
          <cell r="BB754">
            <v>45555</v>
          </cell>
          <cell r="BD754">
            <v>45558</v>
          </cell>
          <cell r="BP754">
            <v>45515</v>
          </cell>
          <cell r="BQ754">
            <v>45568</v>
          </cell>
          <cell r="BR754" t="str">
            <v>Received</v>
          </cell>
          <cell r="BU754" t="str">
            <v xml:space="preserve">Civil &amp; Interior/HVAC/Plumbing/SLP GFC &amp; BOQ Received
</v>
          </cell>
          <cell r="BV754" t="str">
            <v>Pending</v>
          </cell>
          <cell r="BW754" t="str">
            <v>06-12-2024</v>
          </cell>
          <cell r="BY754" t="str">
            <v>Pending</v>
          </cell>
          <cell r="CM754">
            <v>-3</v>
          </cell>
          <cell r="EA754" t="str">
            <v/>
          </cell>
          <cell r="ED754" t="str">
            <v/>
          </cell>
          <cell r="EE754" t="str">
            <v/>
          </cell>
          <cell r="FF754">
            <v>46176</v>
          </cell>
          <cell r="FM754" t="str">
            <v/>
          </cell>
          <cell r="GG754" t="str">
            <v>2026-2027</v>
          </cell>
        </row>
        <row r="755">
          <cell r="E755" t="str">
            <v>IBC Knowledge Park-Category room- Tower D Additional Work</v>
          </cell>
          <cell r="F755" t="str">
            <v>11. HOLD</v>
          </cell>
          <cell r="G755" t="str">
            <v>ADOFAS11354</v>
          </cell>
          <cell r="K755" t="str">
            <v>S</v>
          </cell>
          <cell r="L755" t="str">
            <v>AS</v>
          </cell>
          <cell r="S755" t="str">
            <v>Karnataka</v>
          </cell>
          <cell r="T755" t="str">
            <v>Bangalore</v>
          </cell>
          <cell r="U755" t="str">
            <v>Non Premium</v>
          </cell>
          <cell r="V755" t="str">
            <v>Misc Formats</v>
          </cell>
          <cell r="AG755" t="str">
            <v/>
          </cell>
          <cell r="AM755">
            <v>46171</v>
          </cell>
          <cell r="BP755">
            <v>3</v>
          </cell>
          <cell r="BW755" t="str">
            <v>02-06-2024</v>
          </cell>
          <cell r="CM755">
            <v>-3</v>
          </cell>
          <cell r="EA755" t="str">
            <v/>
          </cell>
          <cell r="ED755" t="str">
            <v/>
          </cell>
          <cell r="EE755" t="str">
            <v/>
          </cell>
          <cell r="FF755">
            <v>46176</v>
          </cell>
          <cell r="FM755" t="str">
            <v/>
          </cell>
          <cell r="FZ755" t="str">
            <v>PD Locked
Additional Budget approval pending with Business</v>
          </cell>
          <cell r="GG755" t="str">
            <v>2026-2027</v>
          </cell>
        </row>
        <row r="756">
          <cell r="E756" t="str">
            <v>Ahmedabad retail office</v>
          </cell>
          <cell r="F756" t="str">
            <v>10. Launched</v>
          </cell>
          <cell r="I756" t="str">
            <v>ZYF2</v>
          </cell>
          <cell r="K756" t="str">
            <v>W</v>
          </cell>
          <cell r="L756" t="str">
            <v>BK</v>
          </cell>
          <cell r="N756" t="str">
            <v>Mrudang Shah</v>
          </cell>
          <cell r="O756" t="str">
            <v>Samir Shah</v>
          </cell>
          <cell r="P756" t="str">
            <v>Akshay Prajapati</v>
          </cell>
          <cell r="Q756" t="str">
            <v>Shahaji Gohatre</v>
          </cell>
          <cell r="R756" t="str">
            <v>Virashri Hanwate</v>
          </cell>
          <cell r="S756" t="str">
            <v>Gujarat</v>
          </cell>
          <cell r="T756" t="str">
            <v>Ahmedabad</v>
          </cell>
          <cell r="U756" t="str">
            <v>Non Premium</v>
          </cell>
          <cell r="V756" t="str">
            <v>Misc Formats</v>
          </cell>
          <cell r="W756">
            <v>43875</v>
          </cell>
          <cell r="AB756" t="str">
            <v>Done</v>
          </cell>
          <cell r="AF756" t="str">
            <v>Done</v>
          </cell>
          <cell r="AL756" t="str">
            <v>Received</v>
          </cell>
          <cell r="AM756">
            <v>46171</v>
          </cell>
          <cell r="AO756">
            <v>3</v>
          </cell>
          <cell r="AS756">
            <v>-3</v>
          </cell>
          <cell r="AU756">
            <v>4</v>
          </cell>
          <cell r="AY756">
            <v>-4</v>
          </cell>
          <cell r="BA756">
            <v>5</v>
          </cell>
          <cell r="BE756">
            <v>-5</v>
          </cell>
          <cell r="BG756">
            <v>5</v>
          </cell>
          <cell r="BK756">
            <v>-5</v>
          </cell>
          <cell r="BM756">
            <v>3</v>
          </cell>
          <cell r="BP756">
            <v>3</v>
          </cell>
          <cell r="BW756" t="str">
            <v>Done</v>
          </cell>
          <cell r="BY756" t="str">
            <v>Approved
22 Sept 22</v>
          </cell>
          <cell r="CE756">
            <v>44865</v>
          </cell>
          <cell r="CI756" t="str">
            <v>Issued</v>
          </cell>
          <cell r="CM756">
            <v>44862</v>
          </cell>
          <cell r="DG756" t="str">
            <v>Not Under Dead Rent</v>
          </cell>
          <cell r="DK756">
            <v>44958</v>
          </cell>
          <cell r="DP756">
            <v>44886</v>
          </cell>
          <cell r="DQ756">
            <v>44958</v>
          </cell>
          <cell r="DR756">
            <v>55</v>
          </cell>
          <cell r="DU756">
            <v>45013</v>
          </cell>
          <cell r="DV756">
            <v>44958</v>
          </cell>
          <cell r="DW756">
            <v>45013</v>
          </cell>
          <cell r="DX756" t="str">
            <v>March 23 Week 4</v>
          </cell>
          <cell r="DY756" t="str">
            <v>14-08-2023
05-09-2023
15-10-2023</v>
          </cell>
          <cell r="DZ756">
            <v>45217</v>
          </cell>
          <cell r="EA756" t="str">
            <v>Oct 23 Week 3</v>
          </cell>
          <cell r="EB756" t="str">
            <v>Backlog</v>
          </cell>
          <cell r="ED756" t="str">
            <v/>
          </cell>
          <cell r="EE756" t="str">
            <v/>
          </cell>
          <cell r="EF756">
            <v>1</v>
          </cell>
          <cell r="EG756">
            <v>0.6</v>
          </cell>
          <cell r="FD756">
            <v>204</v>
          </cell>
          <cell r="FE756" t="str">
            <v>More Than 90  Days</v>
          </cell>
          <cell r="FF756">
            <v>276</v>
          </cell>
          <cell r="FG756" t="str">
            <v>More Than 90  Days</v>
          </cell>
          <cell r="FH756" t="str">
            <v>Done</v>
          </cell>
          <cell r="FM756" t="str">
            <v/>
          </cell>
          <cell r="FZ756" t="str">
            <v>1-  HVAC &amp; ELE order pending
2- ELE order- alternate service codes to provided by design team
3- Fixtures- Procurement team has sent Zenith &amp; Creative team at site on 14/07- now vendor to revert with budget requirement &amp; time</v>
          </cell>
          <cell r="GG756" t="str">
            <v>2023-2024</v>
          </cell>
        </row>
        <row r="757">
          <cell r="E757" t="str">
            <v xml:space="preserve">Noida retail Office </v>
          </cell>
          <cell r="F757" t="str">
            <v>10. Launched</v>
          </cell>
          <cell r="I757" t="str">
            <v>ZYM7</v>
          </cell>
          <cell r="K757" t="str">
            <v xml:space="preserve">N </v>
          </cell>
          <cell r="L757" t="str">
            <v>RT</v>
          </cell>
          <cell r="N757" t="str">
            <v>Roopak Raj</v>
          </cell>
          <cell r="O757" t="str">
            <v>Manoj G Gupta</v>
          </cell>
          <cell r="Q757" t="str">
            <v>Shahaji Gohatre</v>
          </cell>
          <cell r="R757" t="str">
            <v>Virashri Hanwate</v>
          </cell>
          <cell r="S757" t="str">
            <v>Uttar Pradesh</v>
          </cell>
          <cell r="T757" t="str">
            <v>Noida</v>
          </cell>
          <cell r="U757" t="str">
            <v>Non Premium</v>
          </cell>
          <cell r="V757" t="str">
            <v>Misc Formats</v>
          </cell>
          <cell r="W757">
            <v>21452</v>
          </cell>
          <cell r="AB757" t="str">
            <v>Done</v>
          </cell>
          <cell r="AF757" t="str">
            <v>Done</v>
          </cell>
          <cell r="AL757" t="str">
            <v>Received</v>
          </cell>
          <cell r="AM757">
            <v>46171</v>
          </cell>
          <cell r="AO757">
            <v>3</v>
          </cell>
          <cell r="AS757">
            <v>-3</v>
          </cell>
          <cell r="AU757">
            <v>4</v>
          </cell>
          <cell r="AY757">
            <v>-4</v>
          </cell>
          <cell r="BA757">
            <v>5</v>
          </cell>
          <cell r="BE757">
            <v>-5</v>
          </cell>
          <cell r="BG757">
            <v>5</v>
          </cell>
          <cell r="BK757">
            <v>-5</v>
          </cell>
          <cell r="BM757">
            <v>3</v>
          </cell>
          <cell r="BP757">
            <v>3</v>
          </cell>
          <cell r="BW757" t="str">
            <v>Done</v>
          </cell>
          <cell r="BY757" t="str">
            <v>Approved</v>
          </cell>
          <cell r="CE757">
            <v>44894</v>
          </cell>
          <cell r="CI757" t="str">
            <v>Issued</v>
          </cell>
          <cell r="CM757">
            <v>44891</v>
          </cell>
          <cell r="DG757" t="str">
            <v>Not Under Dead Rent</v>
          </cell>
          <cell r="DK757">
            <v>44889</v>
          </cell>
          <cell r="DP757">
            <v>44963</v>
          </cell>
          <cell r="DQ757">
            <v>45000</v>
          </cell>
          <cell r="DR757">
            <v>55</v>
          </cell>
          <cell r="DU757">
            <v>45055</v>
          </cell>
          <cell r="DV757">
            <v>45000</v>
          </cell>
          <cell r="DW757">
            <v>45055</v>
          </cell>
          <cell r="DX757" t="str">
            <v>May 23 Week 2</v>
          </cell>
          <cell r="DY757" t="str">
            <v>25-05-2023
10-06-2023</v>
          </cell>
          <cell r="DZ757">
            <v>45111</v>
          </cell>
          <cell r="EA757" t="str">
            <v>July 23 Week 1</v>
          </cell>
          <cell r="EB757" t="str">
            <v>Backlog</v>
          </cell>
          <cell r="ED757" t="str">
            <v/>
          </cell>
          <cell r="EE757" t="str">
            <v/>
          </cell>
          <cell r="EF757">
            <v>1</v>
          </cell>
          <cell r="EG757">
            <v>1</v>
          </cell>
          <cell r="FD757">
            <v>56</v>
          </cell>
          <cell r="FE757" t="str">
            <v>31 to 61 Days</v>
          </cell>
          <cell r="FF757">
            <v>93</v>
          </cell>
          <cell r="FG757" t="str">
            <v>More Than 90  Days</v>
          </cell>
          <cell r="FH757" t="str">
            <v>Done</v>
          </cell>
          <cell r="FK757">
            <v>45197</v>
          </cell>
          <cell r="FM757" t="str">
            <v/>
          </cell>
          <cell r="GG757" t="str">
            <v>2023-2024</v>
          </cell>
        </row>
        <row r="758">
          <cell r="E758" t="str">
            <v>Erode</v>
          </cell>
          <cell r="F758" t="str">
            <v>13. NRFC</v>
          </cell>
          <cell r="K758" t="str">
            <v>S</v>
          </cell>
          <cell r="L758" t="str">
            <v>AS</v>
          </cell>
          <cell r="N758" t="str">
            <v>Sreevinoth T</v>
          </cell>
          <cell r="O758" t="str">
            <v>Senthil M</v>
          </cell>
          <cell r="Q758" t="str">
            <v>Shahaji Gohatre</v>
          </cell>
          <cell r="S758" t="str">
            <v>Tamil Nadu</v>
          </cell>
          <cell r="T758" t="str">
            <v>Erode</v>
          </cell>
          <cell r="U758" t="str">
            <v>Non Premium</v>
          </cell>
          <cell r="V758" t="str">
            <v>Misc Formats</v>
          </cell>
          <cell r="W758">
            <v>5826</v>
          </cell>
          <cell r="AB758" t="str">
            <v>Done</v>
          </cell>
          <cell r="AF758" t="str">
            <v>Done</v>
          </cell>
          <cell r="AL758" t="str">
            <v>Pending</v>
          </cell>
          <cell r="AM758">
            <v>46171</v>
          </cell>
          <cell r="AO758">
            <v>3</v>
          </cell>
          <cell r="AS758">
            <v>-3</v>
          </cell>
          <cell r="AU758">
            <v>4</v>
          </cell>
          <cell r="AY758">
            <v>-4</v>
          </cell>
          <cell r="BA758">
            <v>5</v>
          </cell>
          <cell r="BE758">
            <v>-5</v>
          </cell>
          <cell r="BG758">
            <v>5</v>
          </cell>
          <cell r="BK758">
            <v>-5</v>
          </cell>
          <cell r="BM758">
            <v>3</v>
          </cell>
          <cell r="BP758">
            <v>3</v>
          </cell>
          <cell r="CI758" t="str">
            <v>BOQ not sent</v>
          </cell>
          <cell r="CM758">
            <v>-3</v>
          </cell>
          <cell r="DG758" t="str">
            <v/>
          </cell>
          <cell r="DR758">
            <v>35</v>
          </cell>
          <cell r="DS758">
            <v>45</v>
          </cell>
          <cell r="EA758" t="str">
            <v/>
          </cell>
          <cell r="ED758" t="str">
            <v/>
          </cell>
          <cell r="EE758" t="str">
            <v/>
          </cell>
          <cell r="EF758">
            <v>1</v>
          </cell>
          <cell r="FF758">
            <v>46141</v>
          </cell>
          <cell r="FM758" t="str">
            <v/>
          </cell>
          <cell r="GG758" t="str">
            <v>2025-2026</v>
          </cell>
        </row>
        <row r="759">
          <cell r="E759" t="str">
            <v xml:space="preserve">V retail office Gachibowli, Hyderabad </v>
          </cell>
          <cell r="F759" t="str">
            <v>14. Dropped</v>
          </cell>
          <cell r="G759" t="str">
            <v>ADOFSD11288</v>
          </cell>
          <cell r="K759" t="str">
            <v xml:space="preserve">E </v>
          </cell>
          <cell r="L759" t="str">
            <v>SD</v>
          </cell>
          <cell r="Q759" t="str">
            <v>Shahaji Gohatre</v>
          </cell>
          <cell r="R759" t="str">
            <v>Shweta Topwal</v>
          </cell>
          <cell r="S759" t="str">
            <v>Telangana</v>
          </cell>
          <cell r="T759" t="str">
            <v>Hyderabad</v>
          </cell>
          <cell r="U759" t="str">
            <v>Non Premium</v>
          </cell>
          <cell r="V759" t="str">
            <v>Misc Formats</v>
          </cell>
          <cell r="AB759">
            <v>45277</v>
          </cell>
          <cell r="AF759" t="str">
            <v>Done</v>
          </cell>
          <cell r="AG759">
            <v>894</v>
          </cell>
          <cell r="AI759">
            <v>45335</v>
          </cell>
          <cell r="AL759" t="str">
            <v>Received</v>
          </cell>
          <cell r="AM759">
            <v>46171</v>
          </cell>
          <cell r="AO759">
            <v>45338</v>
          </cell>
          <cell r="AS759">
            <v>838</v>
          </cell>
          <cell r="AT759" t="str">
            <v>Budgetary Service BOQ Received
Civil- Final BOQ, GFC &amp; Decorative light BOQ received on 03.04.24
Revised Fixture BOQ Received on 07.03.24</v>
          </cell>
          <cell r="AV759" t="str">
            <v>NA</v>
          </cell>
          <cell r="AW759" t="str">
            <v>NA</v>
          </cell>
          <cell r="AX759" t="str">
            <v>NA</v>
          </cell>
          <cell r="AZ759" t="str">
            <v>NA</v>
          </cell>
          <cell r="BA759">
            <v>45340</v>
          </cell>
          <cell r="BE759">
            <v>836</v>
          </cell>
          <cell r="BF759" t="str">
            <v>* Budgetary BOQ Received
* GFC Awaited of HVAC,FIR &amp; PLB</v>
          </cell>
          <cell r="BG759">
            <v>45340</v>
          </cell>
          <cell r="BK759">
            <v>836</v>
          </cell>
          <cell r="BL759" t="str">
            <v>BOQ Received on 02/04/24
GFC Pending</v>
          </cell>
          <cell r="BM759">
            <v>45338</v>
          </cell>
          <cell r="BN759">
            <v>45377</v>
          </cell>
          <cell r="BO759" t="str">
            <v>Cabling BOQ Awaited</v>
          </cell>
          <cell r="BP759">
            <v>45338</v>
          </cell>
          <cell r="BQ759">
            <v>45344</v>
          </cell>
          <cell r="BT759">
            <v>45359</v>
          </cell>
          <cell r="BU759" t="str">
            <v xml:space="preserve">* Civil- Final BOQ &amp; GFC Pending
* ELE-  Final BOQ &amp; GFC pending
*HVAC- Final BOQ &amp; GFC pending
* FIR- Final BOQ &amp; GFC pending
*PLB- Final BOQ &amp; GFC pending
</v>
          </cell>
          <cell r="CM759">
            <v>-3</v>
          </cell>
          <cell r="DG759" t="str">
            <v/>
          </cell>
          <cell r="DR759">
            <v>35</v>
          </cell>
          <cell r="DS759">
            <v>45</v>
          </cell>
          <cell r="EA759" t="str">
            <v/>
          </cell>
          <cell r="ED759" t="str">
            <v/>
          </cell>
          <cell r="EE759" t="str">
            <v/>
          </cell>
          <cell r="FF759">
            <v>46141</v>
          </cell>
          <cell r="FM759" t="str">
            <v/>
          </cell>
          <cell r="GG759" t="str">
            <v>2024-2025</v>
          </cell>
        </row>
        <row r="760">
          <cell r="E760" t="str">
            <v>CBD Shahadra</v>
          </cell>
          <cell r="F760" t="str">
            <v>11. HOLD</v>
          </cell>
          <cell r="G760" t="str">
            <v>ADOFRT10638</v>
          </cell>
          <cell r="K760" t="str">
            <v>N</v>
          </cell>
          <cell r="L760" t="str">
            <v>RT</v>
          </cell>
          <cell r="N760" t="str">
            <v>Mrinal Kulkarni</v>
          </cell>
          <cell r="S760" t="str">
            <v>Delhi NCR</v>
          </cell>
          <cell r="T760" t="str">
            <v>Delhi</v>
          </cell>
          <cell r="U760" t="str">
            <v>Non Premium</v>
          </cell>
          <cell r="V760" t="str">
            <v>Misc Formats</v>
          </cell>
          <cell r="AG760" t="str">
            <v/>
          </cell>
          <cell r="AI760">
            <v>45363</v>
          </cell>
          <cell r="AM760">
            <v>46171</v>
          </cell>
          <cell r="AO760">
            <v>45366</v>
          </cell>
          <cell r="AP760">
            <v>45365</v>
          </cell>
          <cell r="AS760">
            <v>810</v>
          </cell>
          <cell r="AT760" t="str">
            <v>No pendency</v>
          </cell>
          <cell r="BA760">
            <v>45368</v>
          </cell>
          <cell r="BB760">
            <v>45366</v>
          </cell>
          <cell r="BE760">
            <v>808</v>
          </cell>
          <cell r="BF760" t="str">
            <v>No pendency</v>
          </cell>
          <cell r="BG760">
            <v>45368</v>
          </cell>
          <cell r="BH760">
            <v>45370</v>
          </cell>
          <cell r="BK760">
            <v>808</v>
          </cell>
          <cell r="BL760" t="str">
            <v>No pendency</v>
          </cell>
          <cell r="BP760">
            <v>45366</v>
          </cell>
          <cell r="BQ760">
            <v>45369</v>
          </cell>
          <cell r="BR760" t="str">
            <v>No pendency</v>
          </cell>
          <cell r="BU760" t="str">
            <v>No Pendency</v>
          </cell>
          <cell r="CM760">
            <v>-3</v>
          </cell>
          <cell r="EA760" t="str">
            <v/>
          </cell>
          <cell r="ED760" t="str">
            <v/>
          </cell>
          <cell r="EE760" t="str">
            <v/>
          </cell>
          <cell r="FF760">
            <v>46176</v>
          </cell>
          <cell r="FM760" t="str">
            <v/>
          </cell>
          <cell r="FZ760" t="str">
            <v xml:space="preserve">Long pending with Business </v>
          </cell>
          <cell r="GG760" t="str">
            <v>2026-2027</v>
          </cell>
        </row>
        <row r="761">
          <cell r="E761" t="str">
            <v>Metro- Yeswanthpur</v>
          </cell>
          <cell r="F761" t="str">
            <v>10. Launched</v>
          </cell>
          <cell r="G761" t="str">
            <v>ADOFAS10634</v>
          </cell>
          <cell r="H761" t="str">
            <v>KR-SM-BAN-1083</v>
          </cell>
          <cell r="I761" t="str">
            <v>S0XQ</v>
          </cell>
          <cell r="J761" t="str">
            <v xml:space="preserve">QI5I </v>
          </cell>
          <cell r="K761" t="str">
            <v>S</v>
          </cell>
          <cell r="L761" t="str">
            <v>AS</v>
          </cell>
          <cell r="M761" t="str">
            <v>Diwali'24 Target</v>
          </cell>
          <cell r="N761" t="str">
            <v>Sreevinoth T.</v>
          </cell>
          <cell r="O761" t="str">
            <v>Karthik. H</v>
          </cell>
          <cell r="P761" t="str">
            <v>Venkat Kota
Logaraja G</v>
          </cell>
          <cell r="Q761" t="str">
            <v>Arju Tiwari</v>
          </cell>
          <cell r="R761" t="str">
            <v>Kiran Patil</v>
          </cell>
          <cell r="S761" t="str">
            <v>Karnataka</v>
          </cell>
          <cell r="T761" t="str">
            <v>Bangalore</v>
          </cell>
          <cell r="U761" t="str">
            <v>Non Premium</v>
          </cell>
          <cell r="V761" t="str">
            <v>Misc Formats</v>
          </cell>
          <cell r="W761">
            <v>49087</v>
          </cell>
          <cell r="X761" t="str">
            <v xml:space="preserve">METRO YESHWANTHPUR BANGALORE
Survey No. 26/3, Industrial Suburbs Ward No. 9, A Block, Subramanyanagar,2 State, Bengaluru, Karnataka 560055 </v>
          </cell>
          <cell r="Y761">
            <v>45387</v>
          </cell>
          <cell r="AB761">
            <v>45342</v>
          </cell>
          <cell r="AD761">
            <v>45355</v>
          </cell>
          <cell r="AE761">
            <v>45355</v>
          </cell>
          <cell r="AF761" t="str">
            <v>Done</v>
          </cell>
          <cell r="AG761">
            <v>8</v>
          </cell>
          <cell r="AI761">
            <v>45358</v>
          </cell>
          <cell r="AK761">
            <v>45471</v>
          </cell>
          <cell r="AL761" t="str">
            <v>Rev. Released</v>
          </cell>
          <cell r="AM761">
            <v>111</v>
          </cell>
          <cell r="AN761" t="str">
            <v>R0-07-03-24
R1-13-03-24
R2- 04-04-23
R3-08-04-23
R4- 21-05-24 (1st &amp; 2nd Floor)- 3rd Floor &amp; 3D Approval recd on 11/06
R5 - 28-06-24</v>
          </cell>
          <cell r="AO761">
            <v>45474</v>
          </cell>
          <cell r="AS761">
            <v>702</v>
          </cell>
          <cell r="AT761" t="str">
            <v>1st &amp; 2nd Floor GFC Released
3rd Floor - exp by 19/07</v>
          </cell>
          <cell r="AU761">
            <v>45362</v>
          </cell>
          <cell r="AY761">
            <v>-45362</v>
          </cell>
          <cell r="AZ761" t="str">
            <v>NA</v>
          </cell>
          <cell r="BF761" t="str">
            <v>BOQ &amp; GFC Pending</v>
          </cell>
          <cell r="BL761" t="str">
            <v>BOQ &amp; GFC Pending</v>
          </cell>
          <cell r="BM761">
            <v>45436</v>
          </cell>
          <cell r="BO761" t="str">
            <v>BOQ &amp; GFC Pending</v>
          </cell>
          <cell r="BP761">
            <v>45361</v>
          </cell>
          <cell r="BQ761">
            <v>45442</v>
          </cell>
          <cell r="BU761" t="str">
            <v>Fixture BOQ &amp; Decorative light BOQ Awaited
*ELE- BOQ &amp; GFC Awaited, Lighting Layout approval awaited from Arch Design Team
HVAC- BOQ &amp; GFC Awaited in want of Lighting Layout
*IT- GFC &amp; BOQ Awaited</v>
          </cell>
          <cell r="BV761" t="str">
            <v>Pending</v>
          </cell>
          <cell r="BX761">
            <v>45324</v>
          </cell>
          <cell r="BY761" t="str">
            <v>Approved</v>
          </cell>
          <cell r="CD761" t="str">
            <v>Civil-20.03.24
HVAC,FIR &amp; ELE- 27.03.24</v>
          </cell>
          <cell r="CE761" t="str">
            <v>CVL - 11/04
ELE - 10/04
HVAC - 08/04</v>
          </cell>
          <cell r="CF761" t="str">
            <v xml:space="preserve">M/s. APOLLO GREEN ENERGY LIMITED </v>
          </cell>
          <cell r="CG761" t="str">
            <v>M/s. DISHA WIRES &amp; CABLES PVT.LTD</v>
          </cell>
          <cell r="CH761" t="str">
            <v xml:space="preserve">JM HVAC – ( ducting and ADP )
M/s AH RAINBOW –(LG VRF ) </v>
          </cell>
          <cell r="CI761" t="str">
            <v>Issued</v>
          </cell>
          <cell r="CJ761">
            <v>45393</v>
          </cell>
          <cell r="CK761">
            <v>45392</v>
          </cell>
          <cell r="CL761">
            <v>45390</v>
          </cell>
          <cell r="CN761">
            <v>45530</v>
          </cell>
          <cell r="CO761">
            <v>45495</v>
          </cell>
          <cell r="CP761" t="str">
            <v>PLB - 29/07/24
FF - 31/07/24
HVAC - 25/08/24</v>
          </cell>
          <cell r="CQ761">
            <v>45538</v>
          </cell>
          <cell r="CR761">
            <v>45505</v>
          </cell>
          <cell r="CW761" t="str">
            <v>PR Done basis R0 on 27/06</v>
          </cell>
          <cell r="DA761" t="str">
            <v>RA1 Done</v>
          </cell>
          <cell r="DB761" t="str">
            <v>WO Done- RA1 Pending</v>
          </cell>
          <cell r="DC761" t="str">
            <v>RA1 Done</v>
          </cell>
          <cell r="DE761">
            <v>120</v>
          </cell>
          <cell r="DG761" t="str">
            <v>Not Under Dead Rent</v>
          </cell>
          <cell r="DK761">
            <v>45468</v>
          </cell>
          <cell r="DL761">
            <v>45470</v>
          </cell>
          <cell r="DN761" t="str">
            <v>LL</v>
          </cell>
          <cell r="DP761">
            <v>45471</v>
          </cell>
          <cell r="DQ761">
            <v>45483</v>
          </cell>
          <cell r="DR761">
            <v>75</v>
          </cell>
          <cell r="DS761">
            <v>120</v>
          </cell>
          <cell r="DU761">
            <v>45558</v>
          </cell>
          <cell r="DV761">
            <v>45603</v>
          </cell>
          <cell r="DW761">
            <v>45558</v>
          </cell>
          <cell r="DX761" t="str">
            <v>Sept 24 Week 4</v>
          </cell>
          <cell r="DY761" t="str">
            <v>30-10-2024
30-11-2024
15-12-2024
07-02-2024</v>
          </cell>
          <cell r="DZ761">
            <v>45696</v>
          </cell>
          <cell r="EA761" t="str">
            <v>Feb 25 Week 2</v>
          </cell>
          <cell r="EB761" t="str">
            <v>Backlog</v>
          </cell>
          <cell r="ED761" t="str">
            <v/>
          </cell>
          <cell r="EE761" t="str">
            <v/>
          </cell>
          <cell r="EF761">
            <v>1</v>
          </cell>
          <cell r="EG761">
            <v>1</v>
          </cell>
          <cell r="FD761">
            <v>138</v>
          </cell>
          <cell r="FE761" t="str">
            <v>More Than 90  Days</v>
          </cell>
          <cell r="FF761">
            <v>150</v>
          </cell>
          <cell r="FG761" t="str">
            <v>More Than 90  Days</v>
          </cell>
          <cell r="FH761" t="str">
            <v>Done</v>
          </cell>
          <cell r="FI761">
            <v>45712</v>
          </cell>
          <cell r="FJ761">
            <v>45712</v>
          </cell>
          <cell r="FK761">
            <v>45712</v>
          </cell>
          <cell r="FM761" t="str">
            <v/>
          </cell>
          <cell r="FW761">
            <v>150839594</v>
          </cell>
          <cell r="FZ761" t="str">
            <v>* Fixture Installation WIP
* Kitchen Equipment: Installation completed, Drain connection pending from Plumber side
* RO &amp; Water Cooler Installation - Callout released, Team will report site on 05/02
* Collab Area Metro Signage Rectification work: Artwork Pending from Business(Additional requirement from Business)
* IT/SLP: Final Commissioning in progress
* Fire Evacuation Plan &amp; Fire Exit Signages Installation: Callout released on 04/02, team awaited
* Tiles Additional Qty Installation: WIP- exp compl by 05/02
* Door &amp; Way Finding Signages: Payment done on 04/02, Production will start from 05/02, Delivery &amp; Installation at site by 10/02</v>
          </cell>
          <cell r="GA761">
            <v>45553</v>
          </cell>
          <cell r="GB761">
            <v>45583</v>
          </cell>
          <cell r="GC761">
            <v>45583</v>
          </cell>
          <cell r="GD761">
            <v>45631</v>
          </cell>
          <cell r="GG761" t="str">
            <v>2024-2025</v>
          </cell>
        </row>
        <row r="762">
          <cell r="E762" t="str">
            <v>ONYX, Koregaon Park, Pune</v>
          </cell>
          <cell r="F762" t="str">
            <v>14. Dropped</v>
          </cell>
          <cell r="G762" t="str">
            <v>ADOFBK11498</v>
          </cell>
          <cell r="K762" t="str">
            <v>W</v>
          </cell>
          <cell r="L762" t="str">
            <v>BK</v>
          </cell>
          <cell r="Q762" t="str">
            <v>Arju Tiwari</v>
          </cell>
          <cell r="R762" t="str">
            <v>Kiran Patil</v>
          </cell>
          <cell r="S762" t="str">
            <v>Maharashtra</v>
          </cell>
          <cell r="T762" t="str">
            <v>Pune</v>
          </cell>
          <cell r="U762" t="str">
            <v>Non Premium</v>
          </cell>
          <cell r="V762" t="str">
            <v>Misc Formats</v>
          </cell>
          <cell r="W762" t="str">
            <v>SDR Callout - 5600 
SDR Report - 5921.49</v>
          </cell>
          <cell r="X762" t="str">
            <v>“ONYX” Survey No.37/3 North Main Road| 3rd Floor |Koregoan Park | Pune</v>
          </cell>
          <cell r="AB762">
            <v>45453</v>
          </cell>
          <cell r="AD762">
            <v>45463</v>
          </cell>
          <cell r="AF762" t="str">
            <v>Done</v>
          </cell>
          <cell r="AG762">
            <v>5</v>
          </cell>
          <cell r="AM762">
            <v>708</v>
          </cell>
          <cell r="AO762">
            <v>3</v>
          </cell>
          <cell r="BP762">
            <v>3</v>
          </cell>
          <cell r="CM762">
            <v>-3</v>
          </cell>
          <cell r="EA762" t="str">
            <v/>
          </cell>
          <cell r="ED762" t="str">
            <v/>
          </cell>
          <cell r="EE762" t="str">
            <v/>
          </cell>
          <cell r="FF762">
            <v>46176</v>
          </cell>
          <cell r="FM762" t="str">
            <v/>
          </cell>
          <cell r="GG762" t="str">
            <v>2025-2026</v>
          </cell>
        </row>
        <row r="763">
          <cell r="E763" t="str">
            <v>IBC-Zivame  Category Room-Tower A-6F</v>
          </cell>
          <cell r="F763" t="str">
            <v>14. Dropped</v>
          </cell>
          <cell r="K763" t="str">
            <v>S</v>
          </cell>
          <cell r="L763" t="str">
            <v>AS</v>
          </cell>
          <cell r="N763" t="str">
            <v>Sh.Sreevinoth T</v>
          </cell>
          <cell r="Q763" t="str">
            <v>Arju Tiwari</v>
          </cell>
          <cell r="R763" t="str">
            <v>Kiran Patil</v>
          </cell>
          <cell r="S763" t="str">
            <v>Karnataka</v>
          </cell>
          <cell r="T763" t="str">
            <v>Bangalore</v>
          </cell>
          <cell r="U763" t="str">
            <v>Non Premium</v>
          </cell>
          <cell r="V763" t="str">
            <v>Misc Formats</v>
          </cell>
          <cell r="X763" t="str">
            <v>IBC Knowledge Park-A Tower -6th Floor </v>
          </cell>
          <cell r="AB763">
            <v>45496</v>
          </cell>
          <cell r="AC763">
            <v>45499</v>
          </cell>
          <cell r="AD763">
            <v>45502</v>
          </cell>
          <cell r="AE763">
            <v>45502</v>
          </cell>
          <cell r="AF763" t="str">
            <v>Done</v>
          </cell>
          <cell r="AG763">
            <v>1</v>
          </cell>
          <cell r="AL763" t="str">
            <v>Pending</v>
          </cell>
          <cell r="AM763">
            <v>669</v>
          </cell>
          <cell r="AO763">
            <v>3</v>
          </cell>
          <cell r="BP763">
            <v>3</v>
          </cell>
          <cell r="EA763" t="str">
            <v/>
          </cell>
          <cell r="ED763" t="str">
            <v/>
          </cell>
          <cell r="EE763" t="str">
            <v/>
          </cell>
          <cell r="FF763">
            <v>46176</v>
          </cell>
          <cell r="FM763" t="str">
            <v/>
          </cell>
          <cell r="GG763" t="str">
            <v>2024-2025</v>
          </cell>
        </row>
        <row r="764">
          <cell r="E764" t="str">
            <v>IBC- Amante Category Room-Tower A-6F</v>
          </cell>
          <cell r="F764" t="str">
            <v>10. Launched</v>
          </cell>
          <cell r="G764" t="str">
            <v>ADOFAS11695</v>
          </cell>
          <cell r="J764" t="str">
            <v>Q5EV</v>
          </cell>
          <cell r="K764" t="str">
            <v>S</v>
          </cell>
          <cell r="L764" t="str">
            <v>AS</v>
          </cell>
          <cell r="N764" t="str">
            <v>Vighnesh B</v>
          </cell>
          <cell r="O764" t="str">
            <v>Sh. Hariprasad PV</v>
          </cell>
          <cell r="P764" t="str">
            <v>Dileep S P</v>
          </cell>
          <cell r="Q764" t="str">
            <v>Arju Tiwari</v>
          </cell>
          <cell r="R764" t="str">
            <v>Kiran Patil</v>
          </cell>
          <cell r="S764" t="str">
            <v>Karnataka</v>
          </cell>
          <cell r="T764" t="str">
            <v>Bangalore</v>
          </cell>
          <cell r="U764" t="str">
            <v>Non Premium</v>
          </cell>
          <cell r="V764" t="str">
            <v>Misc Formats</v>
          </cell>
          <cell r="W764">
            <v>315</v>
          </cell>
          <cell r="X764" t="str">
            <v>IBC Knowledge Park-A Tower -6th Floor </v>
          </cell>
          <cell r="Y764">
            <v>45771</v>
          </cell>
          <cell r="AB764">
            <v>45496</v>
          </cell>
          <cell r="AC764">
            <v>45499</v>
          </cell>
          <cell r="AD764">
            <v>45502</v>
          </cell>
          <cell r="AE764">
            <v>45502</v>
          </cell>
          <cell r="AF764" t="str">
            <v>Done</v>
          </cell>
          <cell r="AG764">
            <v>1</v>
          </cell>
          <cell r="AI764">
            <v>45526</v>
          </cell>
          <cell r="AK764">
            <v>45532</v>
          </cell>
          <cell r="AL764" t="str">
            <v>Received</v>
          </cell>
          <cell r="AM764">
            <v>25</v>
          </cell>
          <cell r="AN764" t="str">
            <v>ML apparoved by Business on 26-08-2024</v>
          </cell>
          <cell r="AO764">
            <v>45535</v>
          </cell>
          <cell r="AP764">
            <v>45538</v>
          </cell>
          <cell r="AR764">
            <v>45538</v>
          </cell>
          <cell r="AS764" t="str">
            <v>NA</v>
          </cell>
          <cell r="AT764" t="str">
            <v>NA</v>
          </cell>
          <cell r="AV764" t="str">
            <v>NA</v>
          </cell>
          <cell r="AW764" t="str">
            <v>NA</v>
          </cell>
          <cell r="AX764" t="str">
            <v>NA</v>
          </cell>
          <cell r="AZ764" t="str">
            <v>NA</v>
          </cell>
          <cell r="BF764" t="str">
            <v>NA</v>
          </cell>
          <cell r="BG764">
            <v>45531</v>
          </cell>
          <cell r="BH764">
            <v>45534</v>
          </cell>
          <cell r="BJ764">
            <v>45534</v>
          </cell>
          <cell r="BK764">
            <v>2</v>
          </cell>
          <cell r="BO764" t="str">
            <v>Pending</v>
          </cell>
          <cell r="BP764">
            <v>45529</v>
          </cell>
          <cell r="BQ764">
            <v>45553</v>
          </cell>
          <cell r="BR764" t="str">
            <v>BOQ Received on 04-09-2024 /Drawing Pending</v>
          </cell>
          <cell r="BT764">
            <v>45540</v>
          </cell>
          <cell r="BU764" t="str">
            <v>IT GFC /BOQ awaited,
SLP BOQ Received /GFC awaited</v>
          </cell>
          <cell r="BV764" t="str">
            <v>Done</v>
          </cell>
          <cell r="BW764" t="str">
            <v>06-09-2024</v>
          </cell>
          <cell r="BX764">
            <v>45769</v>
          </cell>
          <cell r="BY764" t="str">
            <v>Done</v>
          </cell>
          <cell r="CB764">
            <v>45776</v>
          </cell>
          <cell r="CD764">
            <v>45546</v>
          </cell>
          <cell r="CE764">
            <v>45784</v>
          </cell>
          <cell r="CF764" t="str">
            <v>MYGENIE TECHNOLOGY SOLUTIONS</v>
          </cell>
          <cell r="CG764" t="str">
            <v>MYGENIE TECHNOLOGY SOLUTIONS</v>
          </cell>
          <cell r="CH764" t="str">
            <v>NA</v>
          </cell>
          <cell r="CJ764">
            <v>45784</v>
          </cell>
          <cell r="CK764">
            <v>45784</v>
          </cell>
          <cell r="CN764" t="str">
            <v>Done</v>
          </cell>
          <cell r="CO764">
            <v>45806</v>
          </cell>
          <cell r="CP764" t="str">
            <v>NA</v>
          </cell>
          <cell r="CR764">
            <v>45812</v>
          </cell>
          <cell r="DA764" t="str">
            <v>WO Done- RA1 Pending</v>
          </cell>
          <cell r="DB764" t="str">
            <v>WO Done- RA1 Pending</v>
          </cell>
          <cell r="DC764" t="str">
            <v>NA</v>
          </cell>
          <cell r="DG764" t="str">
            <v>Not Under Dead Rent</v>
          </cell>
          <cell r="DJ764" t="str">
            <v>NA</v>
          </cell>
          <cell r="DO764" t="str">
            <v xml:space="preserve">Kick off meeting done on 16th May, 11:30 AM. </v>
          </cell>
          <cell r="DQ764">
            <v>45798</v>
          </cell>
          <cell r="DR764">
            <v>30</v>
          </cell>
          <cell r="DS764">
            <v>45</v>
          </cell>
          <cell r="DU764">
            <v>45828</v>
          </cell>
          <cell r="DV764">
            <v>45843</v>
          </cell>
          <cell r="DW764">
            <v>45828</v>
          </cell>
          <cell r="DX764" t="str">
            <v>June 25 Week 3</v>
          </cell>
          <cell r="DY764">
            <v>45828</v>
          </cell>
          <cell r="DZ764">
            <v>45828</v>
          </cell>
          <cell r="EA764" t="str">
            <v>June 25 Week 3</v>
          </cell>
          <cell r="EB764" t="str">
            <v>Plan</v>
          </cell>
          <cell r="ED764" t="str">
            <v/>
          </cell>
          <cell r="EE764" t="str">
            <v/>
          </cell>
          <cell r="EF764">
            <v>1</v>
          </cell>
          <cell r="EG764">
            <v>1</v>
          </cell>
          <cell r="FD764">
            <v>0</v>
          </cell>
          <cell r="FE764" t="str">
            <v>On Time</v>
          </cell>
          <cell r="FF764">
            <v>45798</v>
          </cell>
          <cell r="FH764" t="str">
            <v>Done</v>
          </cell>
          <cell r="FI764">
            <v>45834</v>
          </cell>
          <cell r="FJ764">
            <v>45845</v>
          </cell>
          <cell r="FK764">
            <v>45845</v>
          </cell>
          <cell r="FM764" t="str">
            <v/>
          </cell>
          <cell r="FZ764" t="str">
            <v>Barrigating Done
Workstation removal Done
Partition - WIP
Fixture installation callout exp by 07-06-2025
IT/SLP Callout given on 16-06-2025</v>
          </cell>
          <cell r="GC764">
            <v>45822</v>
          </cell>
          <cell r="GG764" t="str">
            <v>2025-2026</v>
          </cell>
        </row>
        <row r="765">
          <cell r="E765" t="str">
            <v>Performax Category room – At IBC Tower B, 4th Floor</v>
          </cell>
          <cell r="F765" t="str">
            <v>11. HOLD</v>
          </cell>
          <cell r="G765" t="str">
            <v>ADOFAS11743</v>
          </cell>
          <cell r="K765" t="str">
            <v>S</v>
          </cell>
          <cell r="L765" t="str">
            <v>AS</v>
          </cell>
          <cell r="Q765" t="str">
            <v>Arju Tiwari</v>
          </cell>
          <cell r="R765" t="str">
            <v>Kiran Patil</v>
          </cell>
          <cell r="S765" t="str">
            <v>Karnataka</v>
          </cell>
          <cell r="T765" t="str">
            <v>Bangalore</v>
          </cell>
          <cell r="U765" t="str">
            <v>Non Premium</v>
          </cell>
          <cell r="V765" t="str">
            <v>Misc Formats</v>
          </cell>
          <cell r="W765">
            <v>924</v>
          </cell>
          <cell r="AB765">
            <v>45509</v>
          </cell>
          <cell r="AC765">
            <v>45510</v>
          </cell>
          <cell r="AD765">
            <v>45511</v>
          </cell>
          <cell r="AE765">
            <v>45511</v>
          </cell>
          <cell r="AF765" t="str">
            <v>Done</v>
          </cell>
          <cell r="AG765">
            <v>0</v>
          </cell>
          <cell r="AK765">
            <v>45546</v>
          </cell>
          <cell r="AL765" t="str">
            <v>Received</v>
          </cell>
          <cell r="AM765">
            <v>30</v>
          </cell>
          <cell r="AN765" t="str">
            <v>ML apparoved by Business on 14-08-2024</v>
          </cell>
          <cell r="AP765">
            <v>45533</v>
          </cell>
          <cell r="AR765">
            <v>45546</v>
          </cell>
          <cell r="AT765" t="str">
            <v>CVL BOQ Received on 21-08-2024/GFC awaited</v>
          </cell>
          <cell r="BH765">
            <v>45527</v>
          </cell>
          <cell r="BJ765">
            <v>45533</v>
          </cell>
          <cell r="BN765">
            <v>45531</v>
          </cell>
          <cell r="BT765">
            <v>45537</v>
          </cell>
          <cell r="BU765" t="str">
            <v>Civil &amp; Interior GFC awaited, BOQ Received</v>
          </cell>
          <cell r="BV765" t="str">
            <v>Done</v>
          </cell>
          <cell r="BW765" t="str">
            <v>05-09-2024</v>
          </cell>
          <cell r="BY765" t="str">
            <v>Pending</v>
          </cell>
          <cell r="EA765" t="str">
            <v/>
          </cell>
          <cell r="ED765" t="str">
            <v/>
          </cell>
          <cell r="EE765" t="str">
            <v/>
          </cell>
          <cell r="FF765">
            <v>46176</v>
          </cell>
          <cell r="FM765" t="str">
            <v/>
          </cell>
          <cell r="GG765" t="str">
            <v>2026-2027</v>
          </cell>
        </row>
        <row r="766">
          <cell r="E766" t="str">
            <v>7th floor (Prakshdeep Building )</v>
          </cell>
          <cell r="F766" t="str">
            <v>11. HOLD</v>
          </cell>
          <cell r="G766" t="str">
            <v>ADOFRT12644</v>
          </cell>
          <cell r="K766" t="str">
            <v>N</v>
          </cell>
          <cell r="L766" t="str">
            <v>RT</v>
          </cell>
          <cell r="Q766" t="str">
            <v>Arju Tiwari</v>
          </cell>
          <cell r="R766" t="str">
            <v>Kiran Patil</v>
          </cell>
          <cell r="S766" t="str">
            <v>Delhi NCR</v>
          </cell>
          <cell r="T766" t="str">
            <v>Delhi</v>
          </cell>
          <cell r="U766" t="str">
            <v>Non Premium</v>
          </cell>
          <cell r="V766" t="str">
            <v>Misc Formats</v>
          </cell>
          <cell r="W766">
            <v>1105</v>
          </cell>
          <cell r="AB766">
            <v>45552</v>
          </cell>
          <cell r="AC766">
            <v>45558</v>
          </cell>
          <cell r="AD766">
            <v>45562</v>
          </cell>
          <cell r="AE766">
            <v>45562</v>
          </cell>
          <cell r="AF766" t="str">
            <v>Done</v>
          </cell>
          <cell r="AG766">
            <v>5</v>
          </cell>
          <cell r="AK766">
            <v>45688</v>
          </cell>
          <cell r="AL766" t="str">
            <v>Received</v>
          </cell>
          <cell r="AM766">
            <v>121</v>
          </cell>
          <cell r="AN766" t="str">
            <v>Approval received from Business on 28-11-2024Revised ML shared on 08-01-2025 approval awaited from Business</v>
          </cell>
          <cell r="AP766">
            <v>45637</v>
          </cell>
          <cell r="AQ766">
            <v>1</v>
          </cell>
          <cell r="AR766">
            <v>45708</v>
          </cell>
          <cell r="AT766" t="str">
            <v xml:space="preserve">Ceiling Layout received on 04-02-2025
Fixture BOQ Received on 12-02-2025
Civil BOQ Received on 13-02-2025
</v>
          </cell>
          <cell r="BD766">
            <v>45715</v>
          </cell>
          <cell r="BL766" t="str">
            <v>Budgetary BOQ shared</v>
          </cell>
          <cell r="BN766">
            <v>45695</v>
          </cell>
          <cell r="BT766">
            <v>45708</v>
          </cell>
          <cell r="BU766" t="str">
            <v>Electrical GFC awaited</v>
          </cell>
          <cell r="BV766" t="str">
            <v>Done</v>
          </cell>
          <cell r="BW766" t="str">
            <v>27-02-2025</v>
          </cell>
          <cell r="BY766" t="str">
            <v>Done</v>
          </cell>
          <cell r="CD766">
            <v>45705</v>
          </cell>
          <cell r="EA766" t="str">
            <v/>
          </cell>
          <cell r="ED766" t="str">
            <v/>
          </cell>
          <cell r="EE766" t="str">
            <v/>
          </cell>
          <cell r="FF766">
            <v>46176</v>
          </cell>
          <cell r="FM766" t="str">
            <v/>
          </cell>
          <cell r="GG766" t="str">
            <v>2026-2027</v>
          </cell>
        </row>
        <row r="767">
          <cell r="E767" t="str">
            <v>R and D, Bangalore - Additional Works</v>
          </cell>
          <cell r="F767" t="str">
            <v>9. EPC Ready</v>
          </cell>
          <cell r="J767" t="str">
            <v>QF9R</v>
          </cell>
          <cell r="K767" t="str">
            <v>S</v>
          </cell>
          <cell r="L767" t="str">
            <v>AS</v>
          </cell>
          <cell r="N767" t="str">
            <v>Vighnesh B</v>
          </cell>
          <cell r="O767" t="str">
            <v>Vighnesh B</v>
          </cell>
          <cell r="P767" t="str">
            <v>Kumaran</v>
          </cell>
          <cell r="Q767" t="str">
            <v>Arju Tiwari</v>
          </cell>
          <cell r="R767" t="str">
            <v>Kiran Patil</v>
          </cell>
          <cell r="S767" t="str">
            <v>Karnataka</v>
          </cell>
          <cell r="T767" t="str">
            <v>Bangalore</v>
          </cell>
          <cell r="U767" t="str">
            <v>Premium</v>
          </cell>
          <cell r="V767" t="str">
            <v>Misc Formats</v>
          </cell>
          <cell r="W767">
            <v>71856</v>
          </cell>
          <cell r="X767" t="str">
            <v>R and D Lab, Whitefield, Bangalore</v>
          </cell>
          <cell r="Y767">
            <v>44851</v>
          </cell>
          <cell r="Z767" t="str">
            <v>NA</v>
          </cell>
          <cell r="AB767" t="str">
            <v>NA</v>
          </cell>
          <cell r="AF767" t="str">
            <v>NA</v>
          </cell>
          <cell r="AG767" t="str">
            <v>NA</v>
          </cell>
          <cell r="AH767" t="str">
            <v>NA</v>
          </cell>
          <cell r="AL767" t="str">
            <v>NA</v>
          </cell>
          <cell r="AO767">
            <v>45739</v>
          </cell>
          <cell r="AP767">
            <v>45742</v>
          </cell>
          <cell r="AQ767">
            <v>0</v>
          </cell>
          <cell r="AR767">
            <v>45742</v>
          </cell>
          <cell r="AU767">
            <v>45759</v>
          </cell>
          <cell r="AV767">
            <v>45762</v>
          </cell>
          <cell r="AW767">
            <v>0</v>
          </cell>
          <cell r="AX767">
            <v>45762</v>
          </cell>
          <cell r="AZ767" t="str">
            <v>NA</v>
          </cell>
          <cell r="BF767" t="str">
            <v>NA</v>
          </cell>
          <cell r="BJ767" t="str">
            <v>NA</v>
          </cell>
          <cell r="BL767" t="str">
            <v>NA</v>
          </cell>
          <cell r="BN767" t="str">
            <v>NA</v>
          </cell>
          <cell r="BO767" t="str">
            <v>NA</v>
          </cell>
          <cell r="BP767">
            <v>45754</v>
          </cell>
          <cell r="BQ767">
            <v>45757</v>
          </cell>
          <cell r="BR767" t="str">
            <v>Revised Layout Issued on 20 Apr 25</v>
          </cell>
          <cell r="BS767" t="str">
            <v>NA</v>
          </cell>
          <cell r="BU767" t="str">
            <v>currently No Pendency</v>
          </cell>
          <cell r="BV767" t="str">
            <v>NA</v>
          </cell>
          <cell r="BW767" t="str">
            <v>NA</v>
          </cell>
          <cell r="BY767" t="str">
            <v>Done</v>
          </cell>
          <cell r="BZ767" t="str">
            <v>Done</v>
          </cell>
          <cell r="CA767" t="str">
            <v>Done</v>
          </cell>
          <cell r="CB767">
            <v>45734</v>
          </cell>
          <cell r="CD767">
            <v>45726</v>
          </cell>
          <cell r="CE767" t="str">
            <v>Done</v>
          </cell>
          <cell r="CF767" t="str">
            <v>Taansu
Terucon</v>
          </cell>
          <cell r="CG767" t="str">
            <v>Taansu
Terucon</v>
          </cell>
          <cell r="CH767" t="str">
            <v>NA</v>
          </cell>
          <cell r="CJ767">
            <v>45734</v>
          </cell>
          <cell r="CK767">
            <v>45804</v>
          </cell>
          <cell r="CM767">
            <v>7</v>
          </cell>
          <cell r="CN767">
            <v>45736</v>
          </cell>
          <cell r="CO767">
            <v>45754</v>
          </cell>
          <cell r="CP767" t="str">
            <v>NA</v>
          </cell>
          <cell r="CQ767">
            <v>45747</v>
          </cell>
          <cell r="CR767">
            <v>45757</v>
          </cell>
          <cell r="CT767">
            <v>45755</v>
          </cell>
          <cell r="CU767">
            <v>45762</v>
          </cell>
          <cell r="CX767">
            <v>45734</v>
          </cell>
          <cell r="CY767">
            <v>45804</v>
          </cell>
          <cell r="DA767" t="str">
            <v>WO Done- RA1 Pending</v>
          </cell>
          <cell r="DB767" t="str">
            <v>WO Done- RA1 Pending</v>
          </cell>
          <cell r="DC767" t="str">
            <v>N.A</v>
          </cell>
          <cell r="DG767" t="str">
            <v>Not Under Dead Rent</v>
          </cell>
          <cell r="DK767">
            <v>45740</v>
          </cell>
          <cell r="DL767">
            <v>45743</v>
          </cell>
          <cell r="DP767">
            <v>45740</v>
          </cell>
          <cell r="DQ767">
            <v>45740</v>
          </cell>
          <cell r="DT767" t="str">
            <v>NA</v>
          </cell>
          <cell r="DU767">
            <v>45866</v>
          </cell>
          <cell r="DV767">
            <v>45866</v>
          </cell>
          <cell r="DW767">
            <v>45853</v>
          </cell>
          <cell r="DX767" t="str">
            <v>July 25 Week 3</v>
          </cell>
          <cell r="DY767">
            <v>45866</v>
          </cell>
          <cell r="DZ767">
            <v>45866</v>
          </cell>
          <cell r="EA767" t="str">
            <v>July 25 Week 4</v>
          </cell>
          <cell r="ED767" t="str">
            <v/>
          </cell>
          <cell r="EE767" t="str">
            <v/>
          </cell>
          <cell r="EF767">
            <v>1</v>
          </cell>
          <cell r="EG767">
            <v>1</v>
          </cell>
          <cell r="FC767" t="str">
            <v>Delayed</v>
          </cell>
          <cell r="FD767">
            <v>13</v>
          </cell>
          <cell r="FE767" t="str">
            <v>8 to 15 Days</v>
          </cell>
          <cell r="FH767" t="str">
            <v>Done</v>
          </cell>
          <cell r="FI767">
            <v>45894</v>
          </cell>
          <cell r="FJ767">
            <v>45939</v>
          </cell>
          <cell r="FK767">
            <v>45939</v>
          </cell>
          <cell r="FM767" t="str">
            <v/>
          </cell>
          <cell r="FT767">
            <v>45758</v>
          </cell>
          <cell r="FZ767" t="str">
            <v>Acoustic Panel Work</v>
          </cell>
          <cell r="GG767" t="str">
            <v>2025-2026</v>
          </cell>
        </row>
        <row r="768">
          <cell r="E768" t="str">
            <v xml:space="preserve">IBC Knowledge Park-Category room  (A 1st Floor &amp; 3rd Floor, Tower B 4th Floor)- additional Fixture requirement </v>
          </cell>
          <cell r="F768" t="str">
            <v>10. Launched</v>
          </cell>
          <cell r="G768" t="str">
            <v>ADOFAS11289</v>
          </cell>
          <cell r="H768" t="str">
            <v>KR-OFF-BAN-009A</v>
          </cell>
          <cell r="I768" t="str">
            <v>S0IS</v>
          </cell>
          <cell r="J768" t="str">
            <v>Q5EV</v>
          </cell>
          <cell r="K768" t="str">
            <v>S</v>
          </cell>
          <cell r="L768" t="str">
            <v>AS</v>
          </cell>
          <cell r="N768" t="str">
            <v>Vighnesh B</v>
          </cell>
          <cell r="O768" t="str">
            <v>Sh. Hariprasad PV</v>
          </cell>
          <cell r="P768" t="str">
            <v xml:space="preserve">Vilventhiran G </v>
          </cell>
          <cell r="Q768" t="str">
            <v>Arju Tiwari</v>
          </cell>
          <cell r="R768" t="str">
            <v>Kiran Patil</v>
          </cell>
          <cell r="S768" t="str">
            <v>Karnataka</v>
          </cell>
          <cell r="T768" t="str">
            <v>Bangalore</v>
          </cell>
          <cell r="U768" t="str">
            <v>Non Premium</v>
          </cell>
          <cell r="V768" t="str">
            <v>Misc Formats</v>
          </cell>
          <cell r="W768">
            <v>1928</v>
          </cell>
          <cell r="Y768">
            <v>45497</v>
          </cell>
          <cell r="Z768" t="str">
            <v>NA</v>
          </cell>
          <cell r="AB768" t="str">
            <v>NA</v>
          </cell>
          <cell r="AF768" t="str">
            <v>NA</v>
          </cell>
          <cell r="AG768" t="str">
            <v>NA</v>
          </cell>
          <cell r="AH768" t="str">
            <v>NA</v>
          </cell>
          <cell r="AL768" t="str">
            <v>NA</v>
          </cell>
          <cell r="AN768" t="str">
            <v>NA</v>
          </cell>
          <cell r="AS768" t="str">
            <v>NA</v>
          </cell>
          <cell r="AT768" t="str">
            <v>NA</v>
          </cell>
          <cell r="AV768" t="str">
            <v>NA</v>
          </cell>
          <cell r="AW768" t="str">
            <v>NA</v>
          </cell>
          <cell r="AX768" t="str">
            <v>NA</v>
          </cell>
          <cell r="AZ768" t="str">
            <v>NA</v>
          </cell>
          <cell r="BF768" t="str">
            <v>NA</v>
          </cell>
          <cell r="BJ768" t="str">
            <v>NA</v>
          </cell>
          <cell r="BL768" t="str">
            <v>NA</v>
          </cell>
          <cell r="BN768" t="str">
            <v>NA</v>
          </cell>
          <cell r="BO768" t="str">
            <v>NA</v>
          </cell>
          <cell r="BR768" t="str">
            <v>NA</v>
          </cell>
          <cell r="BS768" t="str">
            <v>NA</v>
          </cell>
          <cell r="BU768" t="str">
            <v>Additional Fixture requirement received from Business on 02-01-2025</v>
          </cell>
          <cell r="BV768" t="str">
            <v>Done</v>
          </cell>
          <cell r="BY768" t="str">
            <v>Approved</v>
          </cell>
          <cell r="BZ768" t="str">
            <v>NA</v>
          </cell>
          <cell r="CA768" t="str">
            <v>NA</v>
          </cell>
          <cell r="CC768" t="str">
            <v>NA</v>
          </cell>
          <cell r="CD768" t="str">
            <v>NA</v>
          </cell>
          <cell r="CE768" t="str">
            <v>NA</v>
          </cell>
          <cell r="CF768" t="str">
            <v>NA</v>
          </cell>
          <cell r="CG768" t="str">
            <v>NA</v>
          </cell>
          <cell r="CH768" t="str">
            <v>NA</v>
          </cell>
          <cell r="CI768" t="str">
            <v>NA</v>
          </cell>
          <cell r="CN768" t="str">
            <v>NA</v>
          </cell>
          <cell r="CO768" t="str">
            <v>NA</v>
          </cell>
          <cell r="CP768" t="str">
            <v>NA</v>
          </cell>
          <cell r="CR768" t="str">
            <v>NA</v>
          </cell>
          <cell r="CU768" t="str">
            <v>NA</v>
          </cell>
          <cell r="CW768" t="str">
            <v>NA</v>
          </cell>
          <cell r="DA768" t="str">
            <v>NA</v>
          </cell>
          <cell r="DB768" t="str">
            <v>NA</v>
          </cell>
          <cell r="DC768" t="str">
            <v>NA</v>
          </cell>
          <cell r="DD768">
            <v>45794</v>
          </cell>
          <cell r="DG768" t="str">
            <v>Not Under Dead Rent</v>
          </cell>
          <cell r="DK768">
            <v>45797</v>
          </cell>
          <cell r="DP768">
            <v>45781</v>
          </cell>
          <cell r="DQ768">
            <v>45781</v>
          </cell>
          <cell r="DR768">
            <v>7</v>
          </cell>
          <cell r="DS768">
            <v>15</v>
          </cell>
          <cell r="DU768">
            <v>45788</v>
          </cell>
          <cell r="DV768">
            <v>45796</v>
          </cell>
          <cell r="DW768">
            <v>45788</v>
          </cell>
          <cell r="DX768" t="str">
            <v>May 25 Week 2</v>
          </cell>
          <cell r="DY768">
            <v>45788</v>
          </cell>
          <cell r="DZ768">
            <v>45787</v>
          </cell>
          <cell r="EA768" t="str">
            <v>May 25 Week 2</v>
          </cell>
          <cell r="EB768" t="str">
            <v>Plan</v>
          </cell>
          <cell r="ED768" t="str">
            <v/>
          </cell>
          <cell r="EE768" t="str">
            <v/>
          </cell>
          <cell r="EF768">
            <v>1</v>
          </cell>
          <cell r="EG768">
            <v>1</v>
          </cell>
          <cell r="FD768">
            <v>-1</v>
          </cell>
          <cell r="FE768" t="str">
            <v>On Time</v>
          </cell>
          <cell r="FF768">
            <v>-1</v>
          </cell>
          <cell r="FG768" t="str">
            <v>On Time</v>
          </cell>
          <cell r="FH768" t="str">
            <v>Done</v>
          </cell>
          <cell r="FI768" t="str">
            <v>Done</v>
          </cell>
          <cell r="FJ768" t="str">
            <v>Done</v>
          </cell>
          <cell r="FK768">
            <v>45792</v>
          </cell>
          <cell r="FM768" t="str">
            <v/>
          </cell>
          <cell r="FZ768" t="str">
            <v>31 Nos Storage grid installation is completed on the first floor</v>
          </cell>
          <cell r="GG768" t="str">
            <v>2025-2026</v>
          </cell>
        </row>
        <row r="769">
          <cell r="E769" t="str">
            <v>Vaishali Nagar Office</v>
          </cell>
          <cell r="F769" t="str">
            <v>9. EPC Ready</v>
          </cell>
          <cell r="G769" t="str">
            <v>MIDHKC14387</v>
          </cell>
          <cell r="I769" t="str">
            <v>Y991</v>
          </cell>
          <cell r="J769" t="str">
            <v>NSI6</v>
          </cell>
          <cell r="K769" t="str">
            <v>N</v>
          </cell>
          <cell r="L769" t="str">
            <v>KC</v>
          </cell>
          <cell r="N769" t="str">
            <v>Vinay Singh</v>
          </cell>
          <cell r="O769" t="str">
            <v>Vikas Sharma</v>
          </cell>
          <cell r="P769" t="str">
            <v>Dipesh Chavda</v>
          </cell>
          <cell r="Q769" t="str">
            <v>Arju Tiwari</v>
          </cell>
          <cell r="R769" t="str">
            <v>Kiran Patil</v>
          </cell>
          <cell r="S769" t="str">
            <v>Rajasthan</v>
          </cell>
          <cell r="T769" t="str">
            <v>Jaipur</v>
          </cell>
          <cell r="W769">
            <v>3443</v>
          </cell>
          <cell r="X769" t="str">
            <v>Vaishali Nagar, Jaipur</v>
          </cell>
          <cell r="Y769">
            <v>45971</v>
          </cell>
          <cell r="Z769" t="str">
            <v>19-11-2025</v>
          </cell>
          <cell r="AB769">
            <v>45910</v>
          </cell>
          <cell r="AC769">
            <v>45917</v>
          </cell>
          <cell r="AD769">
            <v>45919</v>
          </cell>
          <cell r="AF769" t="str">
            <v>Done</v>
          </cell>
          <cell r="AL769" t="str">
            <v>NA</v>
          </cell>
          <cell r="BU769" t="str">
            <v>Site Specifice Budgetary BOQ Received on 19-09-2025</v>
          </cell>
          <cell r="BW769" t="str">
            <v>23-09-2025</v>
          </cell>
          <cell r="BX769">
            <v>45970</v>
          </cell>
          <cell r="BY769" t="str">
            <v>Done</v>
          </cell>
          <cell r="CD769">
            <v>45910</v>
          </cell>
          <cell r="CE769">
            <v>45971</v>
          </cell>
          <cell r="CF769" t="str">
            <v>Shri Brothers Interiors</v>
          </cell>
          <cell r="CG769" t="str">
            <v>Shri Brothers Interiors</v>
          </cell>
          <cell r="CJ769">
            <v>45971</v>
          </cell>
          <cell r="CK769">
            <v>45971</v>
          </cell>
          <cell r="DQ769">
            <v>45982</v>
          </cell>
          <cell r="DR769">
            <v>15</v>
          </cell>
          <cell r="DS769">
            <v>21</v>
          </cell>
          <cell r="DU769">
            <v>45997</v>
          </cell>
          <cell r="DV769">
            <v>46003</v>
          </cell>
          <cell r="DZ769">
            <v>46002</v>
          </cell>
          <cell r="EF769">
            <v>1</v>
          </cell>
          <cell r="EG769">
            <v>1</v>
          </cell>
          <cell r="FH769" t="str">
            <v>Done</v>
          </cell>
          <cell r="FI769" t="str">
            <v>Done</v>
          </cell>
          <cell r="FJ769" t="str">
            <v>Done</v>
          </cell>
          <cell r="FK769">
            <v>46006</v>
          </cell>
          <cell r="FZ769" t="str">
            <v>1) SLP Deployed on 20 Nov 25
2) Scrap vendor provided by procurement on 25 Nov 25
3) Scrap vendor by procurement started work on 26 Nov 25
4) EPC vendor started work on 21 Nov 25
5) Scrap vendor by procurement removed material from site on 27 Nov 25
6) Scrap Vendor by procurement removed services scrap on 10 Dec 25</v>
          </cell>
          <cell r="GG769" t="str">
            <v>2025-2026</v>
          </cell>
        </row>
        <row r="770">
          <cell r="E770" t="str">
            <v>EA Office Space - 5th Floor - Netmeds Office, Chennai</v>
          </cell>
          <cell r="F770" t="str">
            <v>11. HOLD</v>
          </cell>
          <cell r="H770" t="str">
            <v>TN-OFF-CHE-005</v>
          </cell>
          <cell r="K770" t="str">
            <v>S</v>
          </cell>
          <cell r="L770" t="str">
            <v>AS</v>
          </cell>
          <cell r="GG770" t="str">
            <v>2026-2027</v>
          </cell>
        </row>
        <row r="771">
          <cell r="E771" t="str">
            <v>Rk salai - 8105 Trends 2nd floor, Chennai</v>
          </cell>
          <cell r="F771" t="str">
            <v>1. SDR in Progress</v>
          </cell>
          <cell r="K771" t="str">
            <v>S</v>
          </cell>
          <cell r="L771" t="str">
            <v>JR</v>
          </cell>
          <cell r="N771" t="str">
            <v>Parthasarathy N</v>
          </cell>
          <cell r="Q771" t="str">
            <v>Arju Tiwari</v>
          </cell>
          <cell r="R771" t="str">
            <v>Kiran Patil</v>
          </cell>
          <cell r="S771" t="str">
            <v>Tamilnadu</v>
          </cell>
          <cell r="T771" t="str">
            <v>Chennai</v>
          </cell>
          <cell r="U771" t="str">
            <v>Premium</v>
          </cell>
          <cell r="V771" t="str">
            <v>Misc Formats</v>
          </cell>
          <cell r="AB771">
            <v>46149</v>
          </cell>
        </row>
        <row r="772">
          <cell r="E772" t="str">
            <v>Jio World Drive</v>
          </cell>
          <cell r="F772" t="str">
            <v>10. Launched</v>
          </cell>
          <cell r="H772" t="str">
            <v>DE-SM-DEL-2010</v>
          </cell>
          <cell r="I772" t="str">
            <v>Q5LT</v>
          </cell>
          <cell r="J772" t="str">
            <v>T2CP</v>
          </cell>
          <cell r="K772" t="str">
            <v>W</v>
          </cell>
          <cell r="L772" t="str">
            <v>BK</v>
          </cell>
          <cell r="V772" t="str">
            <v>Fashion &amp; Lifestyle</v>
          </cell>
          <cell r="EF772">
            <v>1</v>
          </cell>
          <cell r="EG772">
            <v>1</v>
          </cell>
          <cell r="FD772">
            <v>46002</v>
          </cell>
          <cell r="FF772">
            <v>46002</v>
          </cell>
          <cell r="FH772" t="str">
            <v>Done</v>
          </cell>
          <cell r="GG772" t="str">
            <v>2022-2023</v>
          </cell>
        </row>
        <row r="773">
          <cell r="E773" t="str">
            <v>KIKO- DLF promenade vasantkunj</v>
          </cell>
          <cell r="F773" t="str">
            <v>16.Dehire</v>
          </cell>
          <cell r="J773" t="str">
            <v>T2OK</v>
          </cell>
          <cell r="K773" t="str">
            <v xml:space="preserve">N </v>
          </cell>
          <cell r="L773" t="str">
            <v>RT</v>
          </cell>
          <cell r="N773" t="str">
            <v>Mrinal Kulkarni</v>
          </cell>
          <cell r="O773" t="str">
            <v>Praveen Sharma</v>
          </cell>
          <cell r="P773" t="str">
            <v>Abhishek Singh</v>
          </cell>
          <cell r="Q773" t="str">
            <v>Shahaji Gohatre</v>
          </cell>
          <cell r="R773" t="str">
            <v>Apurva Sharma</v>
          </cell>
          <cell r="S773" t="str">
            <v>Maharashtra</v>
          </cell>
          <cell r="T773" t="str">
            <v>Delhi</v>
          </cell>
          <cell r="U773" t="str">
            <v>Non Premium</v>
          </cell>
          <cell r="V773" t="str">
            <v>Fashion &amp; Lifestyle</v>
          </cell>
          <cell r="X773" t="str">
            <v>DLF Promenade- Vasantkunj</v>
          </cell>
          <cell r="Y773">
            <v>45351</v>
          </cell>
          <cell r="Z773" t="str">
            <v>Done</v>
          </cell>
          <cell r="AB773">
            <v>45341</v>
          </cell>
          <cell r="AF773" t="str">
            <v xml:space="preserve"> Done</v>
          </cell>
          <cell r="AG773" t="str">
            <v/>
          </cell>
          <cell r="AH773" t="str">
            <v>N/A</v>
          </cell>
          <cell r="AL773" t="str">
            <v>N/A</v>
          </cell>
          <cell r="AN773" t="str">
            <v>N/A</v>
          </cell>
          <cell r="AT773" t="str">
            <v>N/A</v>
          </cell>
          <cell r="AV773" t="str">
            <v>N/A</v>
          </cell>
          <cell r="AW773" t="str">
            <v>N/A</v>
          </cell>
          <cell r="AX773" t="str">
            <v>N/A</v>
          </cell>
          <cell r="AZ773" t="str">
            <v>N/A</v>
          </cell>
          <cell r="BF773" t="str">
            <v>N/A</v>
          </cell>
          <cell r="BJ773" t="str">
            <v>N/A</v>
          </cell>
          <cell r="BL773" t="str">
            <v>N/A</v>
          </cell>
          <cell r="BN773" t="str">
            <v>N/A</v>
          </cell>
          <cell r="BO773" t="str">
            <v>N/A</v>
          </cell>
          <cell r="BR773" t="str">
            <v>N/A</v>
          </cell>
          <cell r="BS773" t="str">
            <v>N/A</v>
          </cell>
          <cell r="BU773" t="str">
            <v>N/A</v>
          </cell>
          <cell r="BV773" t="str">
            <v>N/A</v>
          </cell>
          <cell r="BW773" t="str">
            <v xml:space="preserve"> 22-02-2024</v>
          </cell>
          <cell r="BX773">
            <v>45350</v>
          </cell>
          <cell r="BY773" t="str">
            <v>Done</v>
          </cell>
          <cell r="CC773" t="str">
            <v>N/A</v>
          </cell>
          <cell r="CD773" t="str">
            <v>Done</v>
          </cell>
          <cell r="CE773" t="str">
            <v>Done</v>
          </cell>
          <cell r="CF773" t="str">
            <v>vendor code 3525323
Kamna Buildtech Pvt Ltd
NOA approval- 27-Feb-24</v>
          </cell>
          <cell r="CG773" t="str">
            <v>Kamna Buildtech Pvt Ltd</v>
          </cell>
          <cell r="CH773" t="str">
            <v>Kamna Buildtech Pvt Ltd</v>
          </cell>
          <cell r="CI773" t="str">
            <v>Issued</v>
          </cell>
          <cell r="CJ773">
            <v>45345</v>
          </cell>
          <cell r="CK773">
            <v>45345</v>
          </cell>
          <cell r="CL773">
            <v>45345</v>
          </cell>
          <cell r="CN773" t="str">
            <v>N/A</v>
          </cell>
          <cell r="CO773">
            <v>45370</v>
          </cell>
          <cell r="CP773" t="str">
            <v>N/A</v>
          </cell>
          <cell r="CR773" t="str">
            <v>Done</v>
          </cell>
          <cell r="DA773" t="str">
            <v>6. WO Created</v>
          </cell>
          <cell r="DB773" t="str">
            <v>6. WO Created</v>
          </cell>
          <cell r="DC773" t="str">
            <v>6. WO Created</v>
          </cell>
          <cell r="DG773" t="str">
            <v>Not Under Dead Rent</v>
          </cell>
          <cell r="DH773" t="str">
            <v>N/A</v>
          </cell>
          <cell r="DI773" t="str">
            <v>N/A</v>
          </cell>
          <cell r="DJ773" t="str">
            <v>N/A</v>
          </cell>
          <cell r="DM773" t="str">
            <v>N/A</v>
          </cell>
          <cell r="DN773" t="str">
            <v>N/A</v>
          </cell>
          <cell r="DP773" t="str">
            <v>N/A</v>
          </cell>
          <cell r="DQ773">
            <v>45352</v>
          </cell>
          <cell r="DR773">
            <v>15</v>
          </cell>
          <cell r="DS773">
            <v>15</v>
          </cell>
          <cell r="DU773">
            <v>45367</v>
          </cell>
          <cell r="DV773">
            <v>45367</v>
          </cell>
          <cell r="DW773">
            <v>45367</v>
          </cell>
          <cell r="DX773" t="str">
            <v>March 24 Week 3</v>
          </cell>
          <cell r="DY773" t="str">
            <v>N/A</v>
          </cell>
          <cell r="DZ773">
            <v>45355</v>
          </cell>
          <cell r="EA773" t="str">
            <v>March 24 Week 1</v>
          </cell>
          <cell r="EB773" t="str">
            <v>Backlog</v>
          </cell>
          <cell r="EF773">
            <v>1</v>
          </cell>
          <cell r="EG773">
            <v>1</v>
          </cell>
          <cell r="EJ773">
            <v>45359</v>
          </cell>
          <cell r="EM773">
            <v>45366</v>
          </cell>
          <cell r="EP773">
            <v>45373</v>
          </cell>
          <cell r="ES773">
            <v>45380</v>
          </cell>
          <cell r="EV773">
            <v>45387</v>
          </cell>
          <cell r="EY773" t="str">
            <v>N/A</v>
          </cell>
          <cell r="EZ773" t="str">
            <v>N/A</v>
          </cell>
          <cell r="FC773" t="str">
            <v>On Time</v>
          </cell>
          <cell r="FD773">
            <v>-12</v>
          </cell>
          <cell r="FE773" t="str">
            <v>On Time</v>
          </cell>
          <cell r="FH773" t="str">
            <v>Done</v>
          </cell>
          <cell r="FI773">
            <v>45355</v>
          </cell>
          <cell r="FJ773" t="str">
            <v>N/A</v>
          </cell>
          <cell r="FK773">
            <v>45355</v>
          </cell>
          <cell r="FM773" t="str">
            <v>N/A</v>
          </cell>
          <cell r="FN773" t="str">
            <v>N/A</v>
          </cell>
          <cell r="FO773" t="str">
            <v>N/A</v>
          </cell>
          <cell r="FP773" t="str">
            <v>N/A</v>
          </cell>
          <cell r="FQ773" t="str">
            <v>N/A</v>
          </cell>
          <cell r="FR773" t="str">
            <v>N/A</v>
          </cell>
          <cell r="FS773" t="str">
            <v>N/A</v>
          </cell>
          <cell r="FT773" t="str">
            <v>N/A</v>
          </cell>
          <cell r="FU773" t="str">
            <v>N/A</v>
          </cell>
          <cell r="FV773" t="str">
            <v>N/A</v>
          </cell>
          <cell r="FW773" t="str">
            <v>N/A</v>
          </cell>
          <cell r="FX773" t="str">
            <v>N/A</v>
          </cell>
          <cell r="FY773" t="str">
            <v>N/A</v>
          </cell>
          <cell r="GA773" t="str">
            <v>N/A</v>
          </cell>
          <cell r="GB773" t="str">
            <v>N/A</v>
          </cell>
          <cell r="GC773" t="str">
            <v>N/A</v>
          </cell>
          <cell r="GD773" t="str">
            <v>N/A</v>
          </cell>
          <cell r="GE773" t="str">
            <v>N/A</v>
          </cell>
          <cell r="GF773" t="str">
            <v>N/A</v>
          </cell>
          <cell r="GG773" t="str">
            <v>2023-2024</v>
          </cell>
        </row>
        <row r="774">
          <cell r="E774" t="str">
            <v>DLF Avenue Mall, Saket</v>
          </cell>
          <cell r="F774" t="str">
            <v>10. Launched</v>
          </cell>
          <cell r="H774" t="str">
            <v>DE-SM-DEL-2010</v>
          </cell>
          <cell r="I774" t="str">
            <v>Q5LT</v>
          </cell>
          <cell r="J774" t="str">
            <v>T2CP</v>
          </cell>
          <cell r="K774" t="str">
            <v xml:space="preserve">N </v>
          </cell>
          <cell r="L774" t="str">
            <v>RT</v>
          </cell>
          <cell r="N774" t="str">
            <v>Mrinal Kulkarni</v>
          </cell>
          <cell r="O774" t="str">
            <v>Praveen Sharma</v>
          </cell>
          <cell r="P774" t="str">
            <v>Rajendra Tanwar</v>
          </cell>
          <cell r="Q774" t="str">
            <v>Shahaji Gohatre</v>
          </cell>
          <cell r="R774" t="str">
            <v>Apurva Sharma</v>
          </cell>
          <cell r="S774" t="str">
            <v>Delhi</v>
          </cell>
          <cell r="T774" t="str">
            <v>Delhi</v>
          </cell>
          <cell r="U774" t="str">
            <v>Premium</v>
          </cell>
          <cell r="V774" t="str">
            <v>Fashion &amp; Lifestyle</v>
          </cell>
          <cell r="W774">
            <v>2737</v>
          </cell>
          <cell r="X774" t="str">
            <v>Tira, 128 to 129A, Ground Floor, DLF Avenue Mall, Saket, New Delhi 110017</v>
          </cell>
          <cell r="Y774">
            <v>45207</v>
          </cell>
          <cell r="Z774" t="str">
            <v>Done</v>
          </cell>
          <cell r="AA774">
            <v>45265</v>
          </cell>
          <cell r="AB774">
            <v>45195</v>
          </cell>
          <cell r="AD774">
            <v>45202</v>
          </cell>
          <cell r="AE774">
            <v>45202</v>
          </cell>
          <cell r="AF774" t="str">
            <v xml:space="preserve"> Done</v>
          </cell>
          <cell r="AG774">
            <v>2</v>
          </cell>
          <cell r="AH774" t="str">
            <v>N/A</v>
          </cell>
          <cell r="AI774">
            <v>45156</v>
          </cell>
          <cell r="AJ774">
            <v>6</v>
          </cell>
          <cell r="AK774">
            <v>45268</v>
          </cell>
          <cell r="AL774" t="str">
            <v xml:space="preserve"> Done</v>
          </cell>
          <cell r="AM774">
            <v>-49</v>
          </cell>
          <cell r="AN774" t="str">
            <v>R0- 18-08-2023
R1- 30-08-2023
R2- 17-10-2023
R3- 21-10-2023
R4- 02-11-2023
R5- 04-23-2023
R6- 08-12-2023</v>
          </cell>
          <cell r="AO774">
            <v>45159</v>
          </cell>
          <cell r="AP774">
            <v>45163</v>
          </cell>
          <cell r="AQ774">
            <v>3</v>
          </cell>
          <cell r="AR774">
            <v>45273</v>
          </cell>
          <cell r="AS774">
            <v>4</v>
          </cell>
          <cell r="AU774">
            <v>45160</v>
          </cell>
          <cell r="AY774">
            <v>-45160</v>
          </cell>
          <cell r="BA774">
            <v>45161</v>
          </cell>
          <cell r="BE774">
            <v>-45161</v>
          </cell>
          <cell r="BG774">
            <v>45161</v>
          </cell>
          <cell r="BK774">
            <v>-45161</v>
          </cell>
          <cell r="BM774">
            <v>45159</v>
          </cell>
          <cell r="BP774">
            <v>45159</v>
          </cell>
          <cell r="BU774" t="str">
            <v>No pendency</v>
          </cell>
          <cell r="BW774" t="str">
            <v>Done</v>
          </cell>
          <cell r="BX774">
            <v>45195</v>
          </cell>
          <cell r="BY774" t="str">
            <v>Approved</v>
          </cell>
          <cell r="CD774">
            <v>45166</v>
          </cell>
          <cell r="CE774">
            <v>45254</v>
          </cell>
          <cell r="CF774" t="str">
            <v>M/s     SURYA ASSOCIATES</v>
          </cell>
          <cell r="CG774" t="str">
            <v>M/s     SURYA ASSOCIATES</v>
          </cell>
          <cell r="CH774" t="str">
            <v>M/s AMBA AIRCON PVT LTD</v>
          </cell>
          <cell r="CI774" t="str">
            <v>Issued</v>
          </cell>
          <cell r="CJ774">
            <v>45254</v>
          </cell>
          <cell r="CK774">
            <v>45254</v>
          </cell>
          <cell r="CL774">
            <v>45254</v>
          </cell>
          <cell r="CM774">
            <v>56</v>
          </cell>
          <cell r="CN774">
            <v>45266</v>
          </cell>
          <cell r="CO774">
            <v>45265</v>
          </cell>
          <cell r="CP774">
            <v>45271</v>
          </cell>
          <cell r="CQ774">
            <v>45275</v>
          </cell>
          <cell r="CR774">
            <v>45266</v>
          </cell>
          <cell r="CS774">
            <v>45271</v>
          </cell>
          <cell r="CT774">
            <v>45276</v>
          </cell>
          <cell r="CU774">
            <v>45275</v>
          </cell>
          <cell r="CX774">
            <v>45288</v>
          </cell>
          <cell r="CY774">
            <v>45288</v>
          </cell>
          <cell r="CZ774">
            <v>0</v>
          </cell>
          <cell r="DA774" t="str">
            <v>6. WO Created</v>
          </cell>
          <cell r="DB774" t="str">
            <v>6. WO Created</v>
          </cell>
          <cell r="DC774" t="str">
            <v>6. WO Created</v>
          </cell>
          <cell r="DD774">
            <v>45224</v>
          </cell>
          <cell r="DE774">
            <v>90</v>
          </cell>
          <cell r="DF774">
            <v>45320</v>
          </cell>
          <cell r="DG774" t="str">
            <v>Under Dead Rent</v>
          </cell>
          <cell r="DK774">
            <v>45230</v>
          </cell>
          <cell r="DP774">
            <v>45257</v>
          </cell>
          <cell r="DQ774">
            <v>45261</v>
          </cell>
          <cell r="DR774">
            <v>35</v>
          </cell>
          <cell r="DS774">
            <v>45</v>
          </cell>
          <cell r="DU774">
            <v>45296</v>
          </cell>
          <cell r="DV774">
            <v>45306</v>
          </cell>
          <cell r="DW774">
            <v>45296</v>
          </cell>
          <cell r="DX774" t="str">
            <v>Jan 24 Week 1</v>
          </cell>
          <cell r="DY774" t="str">
            <v>20-01-2024
29-01-2024
02-02-2024
06-02-2024</v>
          </cell>
          <cell r="DZ774">
            <v>45328</v>
          </cell>
          <cell r="EA774" t="str">
            <v>Feb 24 Week 1</v>
          </cell>
          <cell r="EB774" t="str">
            <v>Backlog</v>
          </cell>
          <cell r="ED774" t="str">
            <v/>
          </cell>
          <cell r="EE774" t="str">
            <v/>
          </cell>
          <cell r="EF774">
            <v>1</v>
          </cell>
          <cell r="EG774">
            <v>1</v>
          </cell>
          <cell r="EJ774">
            <v>45268</v>
          </cell>
          <cell r="EM774">
            <v>45275</v>
          </cell>
          <cell r="EP774">
            <v>45282</v>
          </cell>
          <cell r="ES774">
            <v>45289</v>
          </cell>
          <cell r="EV774">
            <v>45296</v>
          </cell>
          <cell r="FD774">
            <v>32</v>
          </cell>
          <cell r="FE774" t="str">
            <v>31 to 61 Days</v>
          </cell>
          <cell r="FF774">
            <v>36</v>
          </cell>
          <cell r="FG774" t="str">
            <v>31 to 61 Days</v>
          </cell>
          <cell r="FH774" t="str">
            <v>Done</v>
          </cell>
          <cell r="FI774">
            <v>45380</v>
          </cell>
          <cell r="FJ774">
            <v>45380</v>
          </cell>
          <cell r="FK774">
            <v>45380</v>
          </cell>
          <cell r="FM774" t="str">
            <v/>
          </cell>
          <cell r="GG774" t="str">
            <v>2023-2024</v>
          </cell>
        </row>
        <row r="775">
          <cell r="E775" t="str">
            <v>Mall Of Asia</v>
          </cell>
          <cell r="F775" t="str">
            <v>10. Launched</v>
          </cell>
          <cell r="H775" t="str">
            <v>KR-SM-BAN-1089</v>
          </cell>
          <cell r="I775" t="str">
            <v>T0UU</v>
          </cell>
          <cell r="J775" t="str">
            <v>Q5DL</v>
          </cell>
          <cell r="K775" t="str">
            <v>S</v>
          </cell>
          <cell r="L775" t="str">
            <v>AS</v>
          </cell>
          <cell r="N775" t="str">
            <v>Santosh48 Kumar/
Sreevinoth T</v>
          </cell>
          <cell r="O775" t="str">
            <v>Santosh48 Kumar</v>
          </cell>
          <cell r="P775" t="str">
            <v>Prasanna Sangam</v>
          </cell>
          <cell r="Q775" t="str">
            <v>Shahaji Gohatre</v>
          </cell>
          <cell r="R775" t="str">
            <v>Apurva Sharma</v>
          </cell>
          <cell r="S775" t="str">
            <v>Karnataka</v>
          </cell>
          <cell r="T775" t="str">
            <v>Bangalore</v>
          </cell>
          <cell r="U775" t="str">
            <v>Premium</v>
          </cell>
          <cell r="V775" t="str">
            <v>Fashion &amp; Lifestyle</v>
          </cell>
          <cell r="W775">
            <v>2424</v>
          </cell>
          <cell r="X775" t="str">
            <v xml:space="preserve"> Byatarayanapura, Yelahanka, Hobli, Yelahanka Taluk, Bellary Rd, Bengaluru, Karnataka 560092</v>
          </cell>
          <cell r="Y775">
            <v>45174</v>
          </cell>
          <cell r="Z775" t="str">
            <v>Done</v>
          </cell>
          <cell r="AB775">
            <v>45113</v>
          </cell>
          <cell r="AF775" t="str">
            <v>Done</v>
          </cell>
          <cell r="AG775">
            <v>884</v>
          </cell>
          <cell r="AL775" t="str">
            <v>Received</v>
          </cell>
          <cell r="AM775">
            <v>-3</v>
          </cell>
          <cell r="AO775">
            <v>3</v>
          </cell>
          <cell r="AS775">
            <v>-3</v>
          </cell>
          <cell r="AU775">
            <v>4</v>
          </cell>
          <cell r="AY775">
            <v>-4</v>
          </cell>
          <cell r="BA775">
            <v>5</v>
          </cell>
          <cell r="BE775">
            <v>-5</v>
          </cell>
          <cell r="BG775">
            <v>5</v>
          </cell>
          <cell r="BK775">
            <v>-5</v>
          </cell>
          <cell r="BM775">
            <v>3</v>
          </cell>
          <cell r="BP775">
            <v>3</v>
          </cell>
          <cell r="BU775" t="str">
            <v>No pendency</v>
          </cell>
          <cell r="BW775" t="str">
            <v>Done</v>
          </cell>
          <cell r="BY775" t="str">
            <v>Approved
31/08/2023</v>
          </cell>
          <cell r="CD775">
            <v>45157</v>
          </cell>
          <cell r="CE775">
            <v>45180</v>
          </cell>
          <cell r="CI775" t="str">
            <v>Issued</v>
          </cell>
          <cell r="DE775">
            <v>75</v>
          </cell>
          <cell r="DF775">
            <v>45264</v>
          </cell>
          <cell r="DG775" t="str">
            <v>Under Dead Rent</v>
          </cell>
          <cell r="DK775">
            <v>45189</v>
          </cell>
          <cell r="DM775">
            <v>1</v>
          </cell>
          <cell r="DN775" t="str">
            <v>0 to 3 Days</v>
          </cell>
          <cell r="DP775">
            <v>45183</v>
          </cell>
          <cell r="DQ775">
            <v>45190</v>
          </cell>
          <cell r="DR775">
            <v>35</v>
          </cell>
          <cell r="DS775">
            <v>45</v>
          </cell>
          <cell r="DU775">
            <v>45225</v>
          </cell>
          <cell r="DV775">
            <v>45235</v>
          </cell>
          <cell r="DW775">
            <v>45225</v>
          </cell>
          <cell r="DX775" t="str">
            <v>Oct 23 Week 4</v>
          </cell>
          <cell r="DY775" t="str">
            <v>31-10-2023
07-10-2023
06-11-2023</v>
          </cell>
          <cell r="DZ775">
            <v>45239</v>
          </cell>
          <cell r="EA775" t="str">
            <v>Nov 23 Week 2</v>
          </cell>
          <cell r="EB775" t="str">
            <v>Backlog</v>
          </cell>
          <cell r="ED775" t="str">
            <v/>
          </cell>
          <cell r="EE775" t="str">
            <v/>
          </cell>
          <cell r="EF775">
            <v>1</v>
          </cell>
          <cell r="EG775">
            <v>1</v>
          </cell>
          <cell r="EJ775">
            <v>45197</v>
          </cell>
          <cell r="EM775">
            <v>45204</v>
          </cell>
          <cell r="EP775">
            <v>45211</v>
          </cell>
          <cell r="ES775">
            <v>45218</v>
          </cell>
          <cell r="EV775">
            <v>45225</v>
          </cell>
          <cell r="FD775">
            <v>14</v>
          </cell>
          <cell r="FE775" t="str">
            <v>8 to 15 Days</v>
          </cell>
          <cell r="FF775">
            <v>21</v>
          </cell>
          <cell r="FG775" t="str">
            <v>16 to 31 Days</v>
          </cell>
          <cell r="FH775" t="str">
            <v>Done</v>
          </cell>
          <cell r="FK775">
            <v>45253</v>
          </cell>
          <cell r="FM775" t="str">
            <v/>
          </cell>
          <cell r="GG775" t="str">
            <v>2023-2024</v>
          </cell>
        </row>
        <row r="776">
          <cell r="E776" t="str">
            <v>Wakad Pune</v>
          </cell>
          <cell r="F776" t="str">
            <v>10. Launched</v>
          </cell>
          <cell r="H776" t="str">
            <v>MH-SM-PUN-986</v>
          </cell>
          <cell r="I776" t="str">
            <v>T0V1</v>
          </cell>
          <cell r="K776" t="str">
            <v>W</v>
          </cell>
          <cell r="L776" t="str">
            <v>BK</v>
          </cell>
          <cell r="N776" t="str">
            <v>Shashi Pardeshi</v>
          </cell>
          <cell r="O776" t="str">
            <v>Ashish M</v>
          </cell>
          <cell r="P776" t="str">
            <v>Pradeep Pradhan</v>
          </cell>
          <cell r="Q776" t="str">
            <v>Shahaji Gohatre</v>
          </cell>
          <cell r="R776" t="str">
            <v>Apurva Sharma</v>
          </cell>
          <cell r="S776" t="str">
            <v>Maharashtra</v>
          </cell>
          <cell r="T776" t="str">
            <v>Pune</v>
          </cell>
          <cell r="U776" t="str">
            <v>Premium</v>
          </cell>
          <cell r="V776" t="str">
            <v>Fashion &amp; Lifestyle</v>
          </cell>
          <cell r="W776">
            <v>4003</v>
          </cell>
          <cell r="X776" t="str">
            <v>S No. 132, 23, Pune - Bangalore Highway, Shankar Kalat Nagar, Wakad, Pune, Pimpri-Chinchwad, Maharashtra 411057</v>
          </cell>
          <cell r="Y776">
            <v>45163</v>
          </cell>
          <cell r="Z776" t="str">
            <v>Done</v>
          </cell>
          <cell r="AB776">
            <v>45080</v>
          </cell>
          <cell r="AF776" t="str">
            <v>Done</v>
          </cell>
          <cell r="AG776">
            <v>917</v>
          </cell>
          <cell r="AL776" t="str">
            <v>Received</v>
          </cell>
          <cell r="AM776">
            <v>-3</v>
          </cell>
          <cell r="AO776">
            <v>3</v>
          </cell>
          <cell r="AS776">
            <v>-3</v>
          </cell>
          <cell r="AU776">
            <v>4</v>
          </cell>
          <cell r="AY776">
            <v>-4</v>
          </cell>
          <cell r="BA776">
            <v>5</v>
          </cell>
          <cell r="BE776">
            <v>-5</v>
          </cell>
          <cell r="BG776">
            <v>5</v>
          </cell>
          <cell r="BK776">
            <v>-5</v>
          </cell>
          <cell r="BM776">
            <v>3</v>
          </cell>
          <cell r="BP776">
            <v>3</v>
          </cell>
          <cell r="BU776" t="str">
            <v>No pendency</v>
          </cell>
          <cell r="BW776" t="str">
            <v>Done</v>
          </cell>
          <cell r="BY776" t="str">
            <v>Approved
22/08/23</v>
          </cell>
          <cell r="CD776">
            <v>45140</v>
          </cell>
          <cell r="CE776">
            <v>45162</v>
          </cell>
          <cell r="CI776" t="str">
            <v>Issued</v>
          </cell>
          <cell r="DE776">
            <v>90</v>
          </cell>
          <cell r="DF776">
            <v>45238</v>
          </cell>
          <cell r="DG776" t="str">
            <v>Under Dead Rent</v>
          </cell>
          <cell r="DK776">
            <v>45148</v>
          </cell>
          <cell r="DM776">
            <v>32</v>
          </cell>
          <cell r="DN776" t="str">
            <v>&gt; 30 Days</v>
          </cell>
          <cell r="DP776">
            <v>45181</v>
          </cell>
          <cell r="DQ776">
            <v>45180</v>
          </cell>
          <cell r="DR776">
            <v>35</v>
          </cell>
          <cell r="DS776">
            <v>45</v>
          </cell>
          <cell r="DU776">
            <v>45215</v>
          </cell>
          <cell r="DV776">
            <v>45225</v>
          </cell>
          <cell r="DW776">
            <v>45215</v>
          </cell>
          <cell r="DX776" t="str">
            <v>Oct 23 Week 3</v>
          </cell>
          <cell r="DY776">
            <v>45240</v>
          </cell>
          <cell r="DZ776">
            <v>45251</v>
          </cell>
          <cell r="EA776" t="str">
            <v>Nov 23 Week 3</v>
          </cell>
          <cell r="EB776" t="str">
            <v>Backlog</v>
          </cell>
          <cell r="ED776" t="str">
            <v/>
          </cell>
          <cell r="EE776" t="str">
            <v/>
          </cell>
          <cell r="EF776">
            <v>1</v>
          </cell>
          <cell r="EG776">
            <v>1</v>
          </cell>
          <cell r="EH776" t="str">
            <v>* Ceiling Painting to be completed for Fixture work completion
* Chandelier Material delivery at site 
* IT Snag Liquidation Pending- Snag received on 08.11.23</v>
          </cell>
          <cell r="EJ776">
            <v>45187</v>
          </cell>
          <cell r="EM776">
            <v>45194</v>
          </cell>
          <cell r="EP776">
            <v>45201</v>
          </cell>
          <cell r="ES776">
            <v>45208</v>
          </cell>
          <cell r="EV776">
            <v>45215</v>
          </cell>
          <cell r="FD776">
            <v>36</v>
          </cell>
          <cell r="FE776" t="str">
            <v>31 to 61 Days</v>
          </cell>
          <cell r="FF776">
            <v>35</v>
          </cell>
          <cell r="FG776" t="str">
            <v>31 to 61 Days</v>
          </cell>
          <cell r="FH776" t="str">
            <v>Done</v>
          </cell>
          <cell r="FK776">
            <v>45278</v>
          </cell>
          <cell r="FM776" t="str">
            <v/>
          </cell>
          <cell r="GG776" t="str">
            <v>2023-2024</v>
          </cell>
        </row>
        <row r="777">
          <cell r="E777" t="str">
            <v>Vama, Peddar Road</v>
          </cell>
          <cell r="F777" t="str">
            <v>10. Launched</v>
          </cell>
          <cell r="K777" t="str">
            <v>W</v>
          </cell>
          <cell r="L777" t="str">
            <v>BK</v>
          </cell>
          <cell r="N777" t="str">
            <v>Shashi Pardeshi</v>
          </cell>
          <cell r="O777" t="str">
            <v>Ashish M</v>
          </cell>
          <cell r="P777" t="str">
            <v>Abhijit Patil</v>
          </cell>
          <cell r="Q777" t="str">
            <v>Shahaji Gohatre</v>
          </cell>
          <cell r="R777" t="str">
            <v>Virashri Hanwate</v>
          </cell>
          <cell r="S777" t="str">
            <v>Maharashtra</v>
          </cell>
          <cell r="T777" t="str">
            <v>Mumbai</v>
          </cell>
          <cell r="U777" t="str">
            <v>Premium</v>
          </cell>
          <cell r="V777" t="str">
            <v>Fashion &amp; Lifestyle</v>
          </cell>
          <cell r="W777">
            <v>2890</v>
          </cell>
          <cell r="X777" t="str">
            <v>Kanchanjunga, Pedder Rd, Cumballa Hill, Mumbai, Maharashtra 400026</v>
          </cell>
          <cell r="Z777" t="str">
            <v>Done</v>
          </cell>
          <cell r="AB777">
            <v>45366</v>
          </cell>
          <cell r="AC777">
            <v>45377</v>
          </cell>
          <cell r="AD777">
            <v>45377</v>
          </cell>
          <cell r="AE777">
            <v>45381</v>
          </cell>
          <cell r="AF777" t="str">
            <v>Done</v>
          </cell>
          <cell r="AG777">
            <v>6</v>
          </cell>
          <cell r="AL777" t="str">
            <v>Received</v>
          </cell>
          <cell r="AM777">
            <v>-45384</v>
          </cell>
          <cell r="AO777">
            <v>3</v>
          </cell>
          <cell r="AS777">
            <v>-3</v>
          </cell>
          <cell r="AU777">
            <v>4</v>
          </cell>
          <cell r="AY777">
            <v>-4</v>
          </cell>
          <cell r="BA777">
            <v>5</v>
          </cell>
          <cell r="BE777">
            <v>-5</v>
          </cell>
          <cell r="BG777">
            <v>5</v>
          </cell>
          <cell r="BK777">
            <v>-5</v>
          </cell>
          <cell r="BL777" t="str">
            <v>No pendency</v>
          </cell>
          <cell r="BM777">
            <v>3</v>
          </cell>
          <cell r="BP777">
            <v>3</v>
          </cell>
          <cell r="BU777" t="str">
            <v>No pendency</v>
          </cell>
          <cell r="BW777" t="str">
            <v>Done</v>
          </cell>
          <cell r="BY777" t="str">
            <v>Done</v>
          </cell>
          <cell r="CD777">
            <v>45180</v>
          </cell>
          <cell r="CE777">
            <v>45199</v>
          </cell>
          <cell r="CI777" t="str">
            <v>Issued</v>
          </cell>
          <cell r="DE777">
            <v>60</v>
          </cell>
          <cell r="DF777">
            <v>45241</v>
          </cell>
          <cell r="DG777" t="str">
            <v>Under Dead Rent</v>
          </cell>
          <cell r="DK777">
            <v>45181</v>
          </cell>
          <cell r="DQ777">
            <v>45206</v>
          </cell>
          <cell r="DR777">
            <v>35</v>
          </cell>
          <cell r="DS777">
            <v>45</v>
          </cell>
          <cell r="DU777">
            <v>45241</v>
          </cell>
          <cell r="DV777">
            <v>45251</v>
          </cell>
          <cell r="DW777">
            <v>45241</v>
          </cell>
          <cell r="DX777" t="str">
            <v>Nov 23 Week 2</v>
          </cell>
          <cell r="DZ777">
            <v>45269</v>
          </cell>
          <cell r="EA777" t="str">
            <v>Dec 23 Week 2</v>
          </cell>
          <cell r="EB777" t="str">
            <v>Backlog</v>
          </cell>
          <cell r="ED777" t="str">
            <v/>
          </cell>
          <cell r="EE777" t="str">
            <v/>
          </cell>
          <cell r="EF777">
            <v>1</v>
          </cell>
          <cell r="EG777">
            <v>1</v>
          </cell>
          <cell r="EH777" t="str">
            <v>* Work is on hold because of LL</v>
          </cell>
          <cell r="EJ777">
            <v>45213</v>
          </cell>
          <cell r="EM777">
            <v>45220</v>
          </cell>
          <cell r="EP777">
            <v>45227</v>
          </cell>
          <cell r="ES777">
            <v>45234</v>
          </cell>
          <cell r="EV777">
            <v>45241</v>
          </cell>
          <cell r="FD777">
            <v>28</v>
          </cell>
          <cell r="FE777" t="str">
            <v>16 to 31 Days</v>
          </cell>
          <cell r="FF777">
            <v>45234</v>
          </cell>
          <cell r="FH777" t="str">
            <v>Done</v>
          </cell>
          <cell r="FI777">
            <v>45392</v>
          </cell>
          <cell r="FJ777">
            <v>45396</v>
          </cell>
          <cell r="FK777">
            <v>45396</v>
          </cell>
          <cell r="FM777" t="str">
            <v/>
          </cell>
          <cell r="FN777" t="str">
            <v>Conditional HOTO</v>
          </cell>
          <cell r="GG777" t="str">
            <v>2023-2024</v>
          </cell>
        </row>
        <row r="778">
          <cell r="E778" t="str">
            <v>KOPA Mall, Koregaon Park</v>
          </cell>
          <cell r="F778" t="str">
            <v>10. Launched</v>
          </cell>
          <cell r="I778" t="str">
            <v>Q5MR</v>
          </cell>
          <cell r="J778" t="str">
            <v>T2EG</v>
          </cell>
          <cell r="K778" t="str">
            <v>W</v>
          </cell>
          <cell r="L778" t="str">
            <v>BK</v>
          </cell>
          <cell r="N778" t="str">
            <v>Shashi Pardeshi</v>
          </cell>
          <cell r="O778" t="str">
            <v>Ashish M</v>
          </cell>
          <cell r="P778" t="str">
            <v>SujitKumar Sulakhe</v>
          </cell>
          <cell r="Q778" t="str">
            <v>Shahaji Gohatre</v>
          </cell>
          <cell r="R778" t="str">
            <v>Apurva Sharma</v>
          </cell>
          <cell r="S778" t="str">
            <v>Maharashtra</v>
          </cell>
          <cell r="T778" t="str">
            <v>Pune</v>
          </cell>
          <cell r="U778" t="str">
            <v>Premium</v>
          </cell>
          <cell r="V778" t="str">
            <v>Fashion &amp; Lifestyle</v>
          </cell>
          <cell r="W778">
            <v>3015</v>
          </cell>
          <cell r="X778" t="str">
            <v>7 H.NO.3 + 4 / 2, , Village, Mundhwa Rd, Ghorpadi, Pune, Maharashtra 411001</v>
          </cell>
          <cell r="Y778">
            <v>45209</v>
          </cell>
          <cell r="Z778" t="str">
            <v>Done</v>
          </cell>
          <cell r="AB778">
            <v>45148</v>
          </cell>
          <cell r="AF778" t="str">
            <v xml:space="preserve"> Done</v>
          </cell>
          <cell r="AG778">
            <v>849</v>
          </cell>
          <cell r="AL778" t="str">
            <v>Received</v>
          </cell>
          <cell r="AM778">
            <v>-3</v>
          </cell>
          <cell r="AO778">
            <v>3</v>
          </cell>
          <cell r="AS778">
            <v>-3</v>
          </cell>
          <cell r="AU778">
            <v>4</v>
          </cell>
          <cell r="AY778">
            <v>-4</v>
          </cell>
          <cell r="BA778">
            <v>5</v>
          </cell>
          <cell r="BE778">
            <v>-5</v>
          </cell>
          <cell r="BG778">
            <v>5</v>
          </cell>
          <cell r="BK778">
            <v>-5</v>
          </cell>
          <cell r="BM778">
            <v>3</v>
          </cell>
          <cell r="BP778">
            <v>3</v>
          </cell>
          <cell r="BU778" t="str">
            <v>No pendency</v>
          </cell>
          <cell r="BW778" t="str">
            <v>Done</v>
          </cell>
          <cell r="BY778" t="str">
            <v>Approved
05-10-2023</v>
          </cell>
          <cell r="CD778">
            <v>45183</v>
          </cell>
          <cell r="CE778">
            <v>45210</v>
          </cell>
          <cell r="CI778" t="str">
            <v>Issued</v>
          </cell>
          <cell r="DE778">
            <v>90</v>
          </cell>
          <cell r="DF778">
            <v>45330</v>
          </cell>
          <cell r="DG778" t="str">
            <v>Under Dead Rent</v>
          </cell>
          <cell r="DK778">
            <v>45240</v>
          </cell>
          <cell r="DQ778">
            <v>45243</v>
          </cell>
          <cell r="DR778">
            <v>35</v>
          </cell>
          <cell r="DS778">
            <v>45</v>
          </cell>
          <cell r="DU778">
            <v>45278</v>
          </cell>
          <cell r="DV778">
            <v>45288</v>
          </cell>
          <cell r="DW778">
            <v>45278</v>
          </cell>
          <cell r="DX778" t="str">
            <v>Dec 23 Week 3</v>
          </cell>
          <cell r="DY778" t="str">
            <v>28-12-2023
29-12-2023</v>
          </cell>
          <cell r="DZ778">
            <v>45289</v>
          </cell>
          <cell r="EA778" t="str">
            <v>Dec 23 Week 5</v>
          </cell>
          <cell r="EB778" t="str">
            <v>Backlog</v>
          </cell>
          <cell r="ED778" t="str">
            <v/>
          </cell>
          <cell r="EE778" t="str">
            <v/>
          </cell>
          <cell r="EF778">
            <v>1</v>
          </cell>
          <cell r="EG778">
            <v>1</v>
          </cell>
          <cell r="EH778" t="str">
            <v>* Work Started from 03.11.23( LL Scope of work started)
* ELE Load Sheet Pending from ELE Design Team</v>
          </cell>
          <cell r="EJ778">
            <v>45250</v>
          </cell>
          <cell r="EM778">
            <v>45257</v>
          </cell>
          <cell r="EP778">
            <v>45264</v>
          </cell>
          <cell r="ES778">
            <v>45271</v>
          </cell>
          <cell r="EV778">
            <v>45278</v>
          </cell>
          <cell r="FD778">
            <v>11</v>
          </cell>
          <cell r="FE778" t="str">
            <v>8 to 15 Days</v>
          </cell>
          <cell r="FF778">
            <v>45254</v>
          </cell>
          <cell r="FH778" t="str">
            <v>Done</v>
          </cell>
          <cell r="FI778">
            <v>45324</v>
          </cell>
          <cell r="FJ778">
            <v>45330</v>
          </cell>
          <cell r="FK778">
            <v>45324</v>
          </cell>
          <cell r="FM778" t="str">
            <v/>
          </cell>
          <cell r="GG778" t="str">
            <v>2023-2024</v>
          </cell>
        </row>
        <row r="779">
          <cell r="E779" t="str">
            <v>PMC KURLA_GMU</v>
          </cell>
          <cell r="F779" t="str">
            <v>10. Launched</v>
          </cell>
          <cell r="G779" t="str">
            <v>BETIBK4597</v>
          </cell>
          <cell r="H779" t="str">
            <v>MU-SM-GMU-688</v>
          </cell>
          <cell r="I779" t="str">
            <v>T3AS</v>
          </cell>
          <cell r="J779" t="str">
            <v>QI6Q</v>
          </cell>
          <cell r="K779" t="str">
            <v>W</v>
          </cell>
          <cell r="L779" t="str">
            <v>BK</v>
          </cell>
          <cell r="N779" t="str">
            <v>Mrudang Shah</v>
          </cell>
          <cell r="O779" t="str">
            <v>Nitin Dawange</v>
          </cell>
          <cell r="P779" t="str">
            <v>Sagar Sahani</v>
          </cell>
          <cell r="Q779" t="str">
            <v>Shahaji Gohatre</v>
          </cell>
          <cell r="R779" t="str">
            <v>Apurva Sharma</v>
          </cell>
          <cell r="S779" t="str">
            <v>Maharashtra</v>
          </cell>
          <cell r="T779" t="str">
            <v>Mumbai</v>
          </cell>
          <cell r="U779" t="str">
            <v>Premium</v>
          </cell>
          <cell r="V779" t="str">
            <v>Fashion &amp; Lifestyle</v>
          </cell>
          <cell r="W779">
            <v>3259</v>
          </cell>
          <cell r="X779" t="str">
            <v>Unit UG 33 34 UG upper ground, RRL TIRA Phoenix Marketcity, LBS Road, Kurla West, Mumbai 400070</v>
          </cell>
          <cell r="Y779">
            <v>45315</v>
          </cell>
          <cell r="Z779" t="str">
            <v>Done</v>
          </cell>
          <cell r="AA779">
            <v>45310</v>
          </cell>
          <cell r="AB779" t="str">
            <v>Done</v>
          </cell>
          <cell r="AE779">
            <v>45261</v>
          </cell>
          <cell r="AF779" t="str">
            <v>Done</v>
          </cell>
          <cell r="AG779" t="str">
            <v/>
          </cell>
          <cell r="AH779" t="str">
            <v>*R0 SDR done for GAP store and same shared for TIRA
*R1- revised SDR done as Major dimension discrepencies found in R0 SDR during execution</v>
          </cell>
          <cell r="AI779">
            <v>45271</v>
          </cell>
          <cell r="AK779">
            <v>45336</v>
          </cell>
          <cell r="AL779" t="str">
            <v>Received</v>
          </cell>
          <cell r="AM779">
            <v>7</v>
          </cell>
          <cell r="AN779" t="str">
            <v>R0- 06-12-2023- Without mall approval
R1- 11-12-2023- Mall approved
R2- 14-12-2023- BOH area layout changes (IT &amp; Civil)
R3- 21-12-2023- Final
façade- 22-12-2023
R4- 14-02-2024 (Discrepency in SDR)</v>
          </cell>
          <cell r="AO779">
            <v>45274</v>
          </cell>
          <cell r="AQ779">
            <v>1</v>
          </cell>
          <cell r="AT779" t="str">
            <v>No pendency</v>
          </cell>
          <cell r="AU779">
            <v>45275</v>
          </cell>
          <cell r="AY779">
            <v>-45275</v>
          </cell>
          <cell r="AZ779" t="str">
            <v>N/A</v>
          </cell>
          <cell r="BA779">
            <v>45276</v>
          </cell>
          <cell r="BC779">
            <v>2</v>
          </cell>
          <cell r="BD779">
            <v>45321</v>
          </cell>
          <cell r="BF779" t="str">
            <v>No pendency</v>
          </cell>
          <cell r="BG779">
            <v>45276</v>
          </cell>
          <cell r="BI779">
            <v>1</v>
          </cell>
          <cell r="BJ779">
            <v>45314</v>
          </cell>
          <cell r="BL779" t="str">
            <v>No pendency</v>
          </cell>
          <cell r="BM779">
            <v>45274</v>
          </cell>
          <cell r="BN779" t="str">
            <v xml:space="preserve"> 16-12-2023</v>
          </cell>
          <cell r="BO779" t="str">
            <v>No pendency</v>
          </cell>
          <cell r="BP779">
            <v>45274</v>
          </cell>
          <cell r="BQ779">
            <v>45273</v>
          </cell>
          <cell r="BR779" t="str">
            <v>No pendency</v>
          </cell>
          <cell r="BT779">
            <v>45287</v>
          </cell>
          <cell r="BU779" t="str">
            <v>No pendency</v>
          </cell>
          <cell r="BV779" t="str">
            <v>No pendency</v>
          </cell>
          <cell r="BW779" t="str">
            <v>20-12-2023</v>
          </cell>
          <cell r="BX779">
            <v>45310</v>
          </cell>
          <cell r="BY779" t="str">
            <v>Approved</v>
          </cell>
          <cell r="CB779">
            <v>45314</v>
          </cell>
          <cell r="CD779" t="str">
            <v>HVAC &amp; FF- 14-12-2023
SLP- 14-12-2023 
IT- 18-12-2023
C&amp;I &amp; Ele- 18-12-2023</v>
          </cell>
          <cell r="CE779" t="str">
            <v>issued</v>
          </cell>
          <cell r="CF779" t="str">
            <v>M/s Apollo Green Energy Pvt Ltd</v>
          </cell>
          <cell r="CG779" t="str">
            <v>M/s S R Electricals</v>
          </cell>
          <cell r="CH779" t="str">
            <v>M/s HIGH TECH HVAC SYSTEM</v>
          </cell>
          <cell r="CI779" t="str">
            <v>Issued</v>
          </cell>
          <cell r="CJ779">
            <v>45316</v>
          </cell>
          <cell r="CK779">
            <v>45316</v>
          </cell>
          <cell r="CL779">
            <v>45316</v>
          </cell>
          <cell r="CN779" t="str">
            <v>R0-09-02-24
R1- 22-02-24</v>
          </cell>
          <cell r="CO779">
            <v>45331</v>
          </cell>
          <cell r="CP779">
            <v>45335</v>
          </cell>
          <cell r="CQ779">
            <v>45348</v>
          </cell>
          <cell r="CR779">
            <v>45334</v>
          </cell>
          <cell r="CS779">
            <v>45338</v>
          </cell>
          <cell r="CT779">
            <v>45330</v>
          </cell>
          <cell r="CU779">
            <v>45330</v>
          </cell>
          <cell r="CV779">
            <v>45330</v>
          </cell>
          <cell r="CW779" t="str">
            <v>PR done as per R0</v>
          </cell>
          <cell r="DA779" t="str">
            <v>RA1 Done</v>
          </cell>
          <cell r="DB779" t="str">
            <v>RA1 Done</v>
          </cell>
          <cell r="DC779" t="str">
            <v>RA1 Done</v>
          </cell>
          <cell r="DD779">
            <v>45301</v>
          </cell>
          <cell r="DE779">
            <v>90</v>
          </cell>
          <cell r="DF779">
            <v>45275</v>
          </cell>
          <cell r="DG779" t="str">
            <v>Under Dead Rent</v>
          </cell>
          <cell r="DJ779" t="str">
            <v>1.	As per Mgmt decision Old Coverstory property transferred to Tira which got delayed and hence ML &amp; Budget approval delay to start work at site. Site was already under dead rent</v>
          </cell>
          <cell r="DK779">
            <v>45185</v>
          </cell>
          <cell r="DL779">
            <v>45321</v>
          </cell>
          <cell r="DP779">
            <v>45327</v>
          </cell>
          <cell r="DQ779">
            <v>45327</v>
          </cell>
          <cell r="DR779">
            <v>35</v>
          </cell>
          <cell r="DS779">
            <v>45</v>
          </cell>
          <cell r="DT779">
            <v>10</v>
          </cell>
          <cell r="DU779">
            <v>45362</v>
          </cell>
          <cell r="DV779">
            <v>45372</v>
          </cell>
          <cell r="DW779">
            <v>45372</v>
          </cell>
          <cell r="DX779" t="str">
            <v>March 24 Week 3</v>
          </cell>
          <cell r="DZ779">
            <v>45388</v>
          </cell>
          <cell r="EA779" t="str">
            <v>April 24 Week 1</v>
          </cell>
          <cell r="EB779" t="str">
            <v>Backlog</v>
          </cell>
          <cell r="ED779" t="str">
            <v/>
          </cell>
          <cell r="EE779" t="str">
            <v/>
          </cell>
          <cell r="EF779">
            <v>1</v>
          </cell>
          <cell r="EG779">
            <v>1</v>
          </cell>
          <cell r="EH779" t="str">
            <v>*Civil SDR data mismatch as per site- there is a 1m Length &amp; Width difference in SDR and ML
*Tile issue at site</v>
          </cell>
          <cell r="EJ779">
            <v>45334</v>
          </cell>
          <cell r="EM779">
            <v>45341</v>
          </cell>
          <cell r="EP779">
            <v>45348</v>
          </cell>
          <cell r="ES779">
            <v>45355</v>
          </cell>
          <cell r="EV779">
            <v>45362</v>
          </cell>
          <cell r="EY779">
            <v>45330</v>
          </cell>
          <cell r="EZ779" t="str">
            <v>28.02.2024</v>
          </cell>
          <cell r="FD779">
            <v>16</v>
          </cell>
          <cell r="FE779" t="str">
            <v>16 to 31 Days</v>
          </cell>
          <cell r="FF779">
            <v>16</v>
          </cell>
          <cell r="FG779" t="str">
            <v>16 to 31 Days</v>
          </cell>
          <cell r="FH779" t="str">
            <v>Done</v>
          </cell>
          <cell r="FI779">
            <v>45397</v>
          </cell>
          <cell r="FJ779">
            <v>45397</v>
          </cell>
          <cell r="FK779">
            <v>45397</v>
          </cell>
          <cell r="FM779" t="str">
            <v/>
          </cell>
          <cell r="FV779">
            <v>10454</v>
          </cell>
          <cell r="FZ779" t="str">
            <v>CIVIL
Wall &amp; Flooring
* Framing material Delivered at site
*Al Framing- 100% completed
*Ply cladding 100% done
*FOH &amp; BOH Flooring &amp; Skirting- YTS
*Fluted MDF delivery &amp; Instl.- Replacement pending
PAINT PREPARATION
*Fluted MDF paint prep- YTS
*Fluted MDF Painting- YTS
*Wall &amp; Ceiling gypsum- Instl. done
*BOH Laminate- YTS
*Ceiling + cove painting- YTS
BOH
*Partitioning- WIP
*Laminate- Pending
*Ceiling Closure- Pending
*BOH readiness - exp. by 07/03
False Ceiling
*Framing- WIP
*Gypsum cladding- Only periphery started
*Chandelier niche- Framing done
*Paint preparation-YTS
*Painting- YTS
Facade
*Final Drawing- pending from business
*Rolling shutter MS verticals- instl. done
*Drum instl. done
*shutter replacement to polycarbonate type- pending
ELECTRICAL
*Cable tray delivered at site
*conduiting- Done
*Cable tray instl- 100% done
*Power Wiring- 100% done
*Lighting Wiring- 100% done
*VTPN DB + 7 segment DB- instl. &amp; termination pending
HVAC
*Casette units- Delivered &amp; instl. done
*CHW Piping &amp; Copper Piping- 100% done
*Fresh air Ducting Installation- 100% done
*Drain Piping- 100% done
*Piping insulation- 100% done
*Commissioning- Done
FF
*Sprinkler piping-
*Sprinkler testing- YTS
IT/SLP
*Conduiting- Done
*cables laying- 75% done
CALLOUTS
1) Lock &amp; Key Callout- exp. 03/02
2) Branding Callout- TBC
3) Fixture Delivery callout- exp 13/02
4) BOH readiness to IT team- TBC
5) IT/ SLP Callout- TBC
6) Fixture Installation callout-  TBC
7) Music System installation callout- TBC
8) chandelier delivery- TBC
FIM
1)AHU- delivered
2) Lights- Delivered
3) IT Material- Delivered
4) FF material- pending
5) SLP Material- Delivered
6) BOH Material- pending
7) Music System- Pending
8) Chandelier Stencil delivery- Delivered
9) Chandelier delivery- TBC by zone
10) Tiles delivery- done
11) Server Rack- Callout pending
12) Slotted angle racks-Delivered
13) Fixture delivery- YTS</v>
          </cell>
          <cell r="GA779">
            <v>45352</v>
          </cell>
          <cell r="GC779">
            <v>45367</v>
          </cell>
          <cell r="GG779" t="str">
            <v>2024-2025</v>
          </cell>
        </row>
        <row r="780">
          <cell r="E780" t="str">
            <v>Infiniti Mall - Malad</v>
          </cell>
          <cell r="F780" t="str">
            <v>10. Launched</v>
          </cell>
          <cell r="I780" t="str">
            <v xml:space="preserve">T91L  </v>
          </cell>
          <cell r="K780" t="str">
            <v>W</v>
          </cell>
          <cell r="L780" t="str">
            <v>BK</v>
          </cell>
          <cell r="N780" t="str">
            <v>Shashi Pardeshi</v>
          </cell>
          <cell r="O780" t="str">
            <v>Ashish M</v>
          </cell>
          <cell r="Q780" t="str">
            <v>Shahaji Gohatre</v>
          </cell>
          <cell r="R780" t="str">
            <v>Virashri Hanwate</v>
          </cell>
          <cell r="S780" t="str">
            <v>Maharashtra</v>
          </cell>
          <cell r="T780" t="str">
            <v>Mumbai</v>
          </cell>
          <cell r="U780" t="str">
            <v>Premium</v>
          </cell>
          <cell r="V780" t="str">
            <v>Fashion &amp; Lifestyle</v>
          </cell>
          <cell r="W780">
            <v>4157.38</v>
          </cell>
          <cell r="X780" t="str">
            <v>Infiniti Mall Malad, Malad, Mindspace, Malad West, Mumbai, Maharashtra 400064</v>
          </cell>
          <cell r="Z780" t="str">
            <v>Done</v>
          </cell>
          <cell r="AB780" t="str">
            <v>Done</v>
          </cell>
          <cell r="AF780" t="str">
            <v>Done</v>
          </cell>
          <cell r="AG780" t="str">
            <v/>
          </cell>
          <cell r="AL780" t="str">
            <v>Received</v>
          </cell>
          <cell r="AM780">
            <v>-3</v>
          </cell>
          <cell r="AO780">
            <v>3</v>
          </cell>
          <cell r="AS780">
            <v>-3</v>
          </cell>
          <cell r="AU780">
            <v>4</v>
          </cell>
          <cell r="AY780">
            <v>-4</v>
          </cell>
          <cell r="BA780">
            <v>5</v>
          </cell>
          <cell r="BE780">
            <v>-5</v>
          </cell>
          <cell r="BG780">
            <v>5</v>
          </cell>
          <cell r="BK780">
            <v>-5</v>
          </cell>
          <cell r="BM780">
            <v>3</v>
          </cell>
          <cell r="BP780">
            <v>3</v>
          </cell>
          <cell r="BU780" t="str">
            <v>No pendency</v>
          </cell>
          <cell r="BW780" t="str">
            <v>Done</v>
          </cell>
          <cell r="BY780" t="str">
            <v>Approved
11/03/2023</v>
          </cell>
          <cell r="CD780">
            <v>44968</v>
          </cell>
          <cell r="CE780">
            <v>44981</v>
          </cell>
          <cell r="CI780" t="str">
            <v>Issued</v>
          </cell>
          <cell r="DE780">
            <v>60</v>
          </cell>
          <cell r="DF780">
            <v>45031</v>
          </cell>
          <cell r="DG780" t="str">
            <v>Under Dead Rent</v>
          </cell>
          <cell r="DK780">
            <v>44971</v>
          </cell>
          <cell r="DM780">
            <v>27</v>
          </cell>
          <cell r="DN780" t="str">
            <v>21 to 30 Days</v>
          </cell>
          <cell r="DQ780">
            <v>44998</v>
          </cell>
          <cell r="DR780">
            <v>35</v>
          </cell>
          <cell r="DS780">
            <v>45</v>
          </cell>
          <cell r="DU780">
            <v>45033</v>
          </cell>
          <cell r="DV780">
            <v>45043</v>
          </cell>
          <cell r="DW780">
            <v>45033</v>
          </cell>
          <cell r="DX780" t="str">
            <v>April 23 Week 3</v>
          </cell>
          <cell r="DY780">
            <v>45132</v>
          </cell>
          <cell r="DZ780">
            <v>45132</v>
          </cell>
          <cell r="EA780" t="str">
            <v>July 23 Week 4</v>
          </cell>
          <cell r="EB780" t="str">
            <v>Backlog</v>
          </cell>
          <cell r="ED780" t="str">
            <v/>
          </cell>
          <cell r="EE780" t="str">
            <v/>
          </cell>
          <cell r="EF780">
            <v>1</v>
          </cell>
          <cell r="EG780">
            <v>1</v>
          </cell>
          <cell r="EJ780">
            <v>45005</v>
          </cell>
          <cell r="EM780">
            <v>45012</v>
          </cell>
          <cell r="EP780">
            <v>45019</v>
          </cell>
          <cell r="ES780">
            <v>45026</v>
          </cell>
          <cell r="EV780">
            <v>45033</v>
          </cell>
          <cell r="FD780">
            <v>99</v>
          </cell>
          <cell r="FE780" t="str">
            <v>More Than 90  Days</v>
          </cell>
          <cell r="FF780">
            <v>45097</v>
          </cell>
          <cell r="FH780" t="str">
            <v>Done</v>
          </cell>
          <cell r="FK780">
            <v>45320</v>
          </cell>
          <cell r="FM780" t="str">
            <v/>
          </cell>
          <cell r="GG780" t="str">
            <v>2023-2024</v>
          </cell>
        </row>
        <row r="781">
          <cell r="E781" t="str">
            <v>Viviana Thane</v>
          </cell>
          <cell r="F781" t="str">
            <v>10. Launched</v>
          </cell>
          <cell r="I781" t="str">
            <v>TG7G</v>
          </cell>
          <cell r="K781" t="str">
            <v>W</v>
          </cell>
          <cell r="L781" t="str">
            <v>BK</v>
          </cell>
          <cell r="N781" t="str">
            <v>Shashi Pardeshi</v>
          </cell>
          <cell r="O781" t="str">
            <v>Ashish M</v>
          </cell>
          <cell r="P781" t="str">
            <v>Abhishek Velhal</v>
          </cell>
          <cell r="Q781" t="str">
            <v>Shahaji Gohatre</v>
          </cell>
          <cell r="R781" t="str">
            <v>Virashri Hanwate</v>
          </cell>
          <cell r="S781" t="str">
            <v>Maharashtra</v>
          </cell>
          <cell r="T781" t="str">
            <v>Mumbai</v>
          </cell>
          <cell r="U781" t="str">
            <v>Premium</v>
          </cell>
          <cell r="V781" t="str">
            <v>Fashion &amp; Lifestyle</v>
          </cell>
          <cell r="W781">
            <v>2738.36</v>
          </cell>
          <cell r="X781" t="str">
            <v>On Eastern Express Highway, Service Rd, Thane West, Thane, Maharashtra 400606</v>
          </cell>
          <cell r="Z781" t="str">
            <v>Done</v>
          </cell>
          <cell r="AB781">
            <v>44960</v>
          </cell>
          <cell r="AF781" t="str">
            <v>Done</v>
          </cell>
          <cell r="AG781">
            <v>1037</v>
          </cell>
          <cell r="AL781" t="str">
            <v>Received</v>
          </cell>
          <cell r="AM781">
            <v>-3</v>
          </cell>
          <cell r="AO781">
            <v>3</v>
          </cell>
          <cell r="AS781">
            <v>-3</v>
          </cell>
          <cell r="AU781">
            <v>4</v>
          </cell>
          <cell r="AY781">
            <v>-4</v>
          </cell>
          <cell r="BA781">
            <v>5</v>
          </cell>
          <cell r="BE781">
            <v>-5</v>
          </cell>
          <cell r="BG781">
            <v>5</v>
          </cell>
          <cell r="BK781">
            <v>-5</v>
          </cell>
          <cell r="BM781">
            <v>3</v>
          </cell>
          <cell r="BP781">
            <v>3</v>
          </cell>
          <cell r="BU781" t="str">
            <v>No pendency</v>
          </cell>
          <cell r="BW781" t="str">
            <v>Done</v>
          </cell>
          <cell r="BY781" t="str">
            <v>Approved
10-06-2023</v>
          </cell>
          <cell r="CD781">
            <v>45072</v>
          </cell>
          <cell r="CE781">
            <v>45106</v>
          </cell>
          <cell r="CI781" t="str">
            <v>Issued</v>
          </cell>
          <cell r="DG781" t="str">
            <v/>
          </cell>
          <cell r="DK781">
            <v>45119</v>
          </cell>
          <cell r="DM781">
            <v>0</v>
          </cell>
          <cell r="DN781" t="str">
            <v>On Time</v>
          </cell>
          <cell r="DQ781">
            <v>45119</v>
          </cell>
          <cell r="DR781">
            <v>35</v>
          </cell>
          <cell r="DS781">
            <v>45</v>
          </cell>
          <cell r="DU781">
            <v>45154</v>
          </cell>
          <cell r="DV781">
            <v>45164</v>
          </cell>
          <cell r="DW781">
            <v>45154</v>
          </cell>
          <cell r="DX781" t="str">
            <v>Aug 23 Week 3</v>
          </cell>
          <cell r="DY781" t="str">
            <v>25-08-2023
15-09-2023
26-09-2023</v>
          </cell>
          <cell r="DZ781">
            <v>45202</v>
          </cell>
          <cell r="EA781" t="str">
            <v>Oct 23 Week 1</v>
          </cell>
          <cell r="EB781" t="str">
            <v>Backlog</v>
          </cell>
          <cell r="ED781" t="str">
            <v/>
          </cell>
          <cell r="EE781" t="str">
            <v/>
          </cell>
          <cell r="EF781">
            <v>1</v>
          </cell>
          <cell r="EG781">
            <v>1</v>
          </cell>
          <cell r="EH781" t="str">
            <v xml:space="preserve">1- Work start date- 12/07 &amp; still vendor not mobilised at site </v>
          </cell>
          <cell r="EJ781">
            <v>45126</v>
          </cell>
          <cell r="EM781">
            <v>45133</v>
          </cell>
          <cell r="EP781">
            <v>45140</v>
          </cell>
          <cell r="ES781">
            <v>45147</v>
          </cell>
          <cell r="EV781">
            <v>45154</v>
          </cell>
          <cell r="FD781">
            <v>48</v>
          </cell>
          <cell r="FE781" t="str">
            <v>31 to 61 Days</v>
          </cell>
          <cell r="FF781">
            <v>45167</v>
          </cell>
          <cell r="FH781" t="str">
            <v>Done</v>
          </cell>
          <cell r="FK781">
            <v>45226</v>
          </cell>
          <cell r="FM781" t="str">
            <v/>
          </cell>
          <cell r="GG781" t="str">
            <v>2023-2024</v>
          </cell>
        </row>
        <row r="782">
          <cell r="E782" t="str">
            <v>Infiniti Mall - Lokhandwala</v>
          </cell>
          <cell r="F782" t="str">
            <v>10. Launched</v>
          </cell>
          <cell r="I782" t="str">
            <v>TH4X</v>
          </cell>
          <cell r="K782" t="str">
            <v>W</v>
          </cell>
          <cell r="L782" t="str">
            <v>BK</v>
          </cell>
          <cell r="N782" t="str">
            <v>Shashi Pardeshi</v>
          </cell>
          <cell r="O782" t="str">
            <v>Ashish M</v>
          </cell>
          <cell r="P782" t="str">
            <v>Rafique Khan</v>
          </cell>
          <cell r="Q782" t="str">
            <v>Shahaji Gohatre</v>
          </cell>
          <cell r="R782" t="str">
            <v>Virashri Hanwate</v>
          </cell>
          <cell r="S782" t="str">
            <v>Maharashtra</v>
          </cell>
          <cell r="T782" t="str">
            <v>Mumbai</v>
          </cell>
          <cell r="U782" t="str">
            <v>Premium</v>
          </cell>
          <cell r="V782" t="str">
            <v>Fashion &amp; Lifestyle</v>
          </cell>
          <cell r="W782">
            <v>3106.14</v>
          </cell>
          <cell r="X782" t="str">
            <v>New Link Rd, Phase D, Oshiwara, Andheri West, Mumbai, Maharashtra 400053</v>
          </cell>
          <cell r="Z782" t="str">
            <v>Done</v>
          </cell>
          <cell r="AB782" t="str">
            <v>Done</v>
          </cell>
          <cell r="AF782" t="str">
            <v>Done</v>
          </cell>
          <cell r="AG782" t="str">
            <v/>
          </cell>
          <cell r="AL782" t="str">
            <v>Received</v>
          </cell>
          <cell r="AM782">
            <v>-3</v>
          </cell>
          <cell r="AO782">
            <v>3</v>
          </cell>
          <cell r="AS782">
            <v>-3</v>
          </cell>
          <cell r="AU782">
            <v>4</v>
          </cell>
          <cell r="AY782">
            <v>-4</v>
          </cell>
          <cell r="BA782">
            <v>5</v>
          </cell>
          <cell r="BE782">
            <v>-5</v>
          </cell>
          <cell r="BG782">
            <v>5</v>
          </cell>
          <cell r="BK782">
            <v>-5</v>
          </cell>
          <cell r="BM782">
            <v>3</v>
          </cell>
          <cell r="BP782">
            <v>3</v>
          </cell>
          <cell r="BU782" t="str">
            <v>No pendency</v>
          </cell>
          <cell r="BW782" t="str">
            <v>Done</v>
          </cell>
          <cell r="BY782" t="str">
            <v>Approved
10-06-2023</v>
          </cell>
          <cell r="CD782">
            <v>45072</v>
          </cell>
          <cell r="CE782">
            <v>45103</v>
          </cell>
          <cell r="CI782" t="str">
            <v>Issued</v>
          </cell>
          <cell r="DG782" t="str">
            <v>Not Under Dead Rent</v>
          </cell>
          <cell r="DK782">
            <v>45125</v>
          </cell>
          <cell r="DM782">
            <v>0</v>
          </cell>
          <cell r="DN782" t="str">
            <v>On Time</v>
          </cell>
          <cell r="DQ782">
            <v>45125</v>
          </cell>
          <cell r="DR782">
            <v>35</v>
          </cell>
          <cell r="DS782">
            <v>45</v>
          </cell>
          <cell r="DU782">
            <v>45160</v>
          </cell>
          <cell r="DV782">
            <v>45170</v>
          </cell>
          <cell r="DW782">
            <v>45160</v>
          </cell>
          <cell r="DX782" t="str">
            <v>Aug 23 Week 4</v>
          </cell>
          <cell r="DY782" t="str">
            <v>15-09-2023
30-09-2023
05-10-2023
06-10-2023
14-10-2023</v>
          </cell>
          <cell r="DZ782">
            <v>45213</v>
          </cell>
          <cell r="EA782" t="str">
            <v>Oct 23 Week 2</v>
          </cell>
          <cell r="EB782" t="str">
            <v>Backlog</v>
          </cell>
          <cell r="ED782" t="str">
            <v/>
          </cell>
          <cell r="EE782" t="str">
            <v/>
          </cell>
          <cell r="EF782">
            <v>1</v>
          </cell>
          <cell r="EG782">
            <v>1</v>
          </cell>
          <cell r="EJ782">
            <v>45132</v>
          </cell>
          <cell r="EM782">
            <v>45139</v>
          </cell>
          <cell r="EP782">
            <v>45146</v>
          </cell>
          <cell r="ES782">
            <v>45153</v>
          </cell>
          <cell r="EV782">
            <v>45160</v>
          </cell>
          <cell r="FD782">
            <v>53</v>
          </cell>
          <cell r="FE782" t="str">
            <v>31 to 61 Days</v>
          </cell>
          <cell r="FF782">
            <v>45178</v>
          </cell>
          <cell r="FH782" t="str">
            <v>Done</v>
          </cell>
          <cell r="FK782">
            <v>45243</v>
          </cell>
          <cell r="FM782" t="str">
            <v/>
          </cell>
          <cell r="GG782" t="str">
            <v>2023-2024</v>
          </cell>
        </row>
        <row r="783">
          <cell r="E783" t="str">
            <v>Sarath City Hydrabad</v>
          </cell>
          <cell r="F783" t="str">
            <v>10. Launched</v>
          </cell>
          <cell r="I783" t="str">
            <v>TG0X</v>
          </cell>
          <cell r="K783" t="str">
            <v xml:space="preserve">E </v>
          </cell>
          <cell r="L783" t="str">
            <v>SD</v>
          </cell>
          <cell r="N783" t="str">
            <v>Rishikesh Nair</v>
          </cell>
          <cell r="O783" t="str">
            <v>Mallikarjuna Kaigala</v>
          </cell>
          <cell r="P783" t="str">
            <v>Surya duddu</v>
          </cell>
          <cell r="Q783" t="str">
            <v>Shahaji Gohatre</v>
          </cell>
          <cell r="R783" t="str">
            <v>Apurva Sharma</v>
          </cell>
          <cell r="S783" t="str">
            <v>Telangana</v>
          </cell>
          <cell r="T783" t="str">
            <v>Hyderabad</v>
          </cell>
          <cell r="U783" t="str">
            <v>Premium</v>
          </cell>
          <cell r="V783" t="str">
            <v>Fashion &amp; Lifestyle</v>
          </cell>
          <cell r="W783">
            <v>2076</v>
          </cell>
          <cell r="X783" t="str">
            <v>Gachibowli - Miyapur Rd, Whitefields, HITEC City, Kondapur, Telangana 500084</v>
          </cell>
          <cell r="Z783" t="str">
            <v>Done</v>
          </cell>
          <cell r="AB783" t="str">
            <v>Done</v>
          </cell>
          <cell r="AF783" t="str">
            <v>Done</v>
          </cell>
          <cell r="AG783" t="str">
            <v/>
          </cell>
          <cell r="AL783" t="str">
            <v>Received</v>
          </cell>
          <cell r="AM783">
            <v>-3</v>
          </cell>
          <cell r="AO783">
            <v>3</v>
          </cell>
          <cell r="AS783">
            <v>-3</v>
          </cell>
          <cell r="AU783">
            <v>4</v>
          </cell>
          <cell r="AY783">
            <v>-4</v>
          </cell>
          <cell r="BA783">
            <v>5</v>
          </cell>
          <cell r="BE783">
            <v>-5</v>
          </cell>
          <cell r="BG783">
            <v>5</v>
          </cell>
          <cell r="BK783">
            <v>-5</v>
          </cell>
          <cell r="BM783">
            <v>3</v>
          </cell>
          <cell r="BP783">
            <v>3</v>
          </cell>
          <cell r="BU783" t="str">
            <v>No pendency</v>
          </cell>
          <cell r="BW783" t="str">
            <v>Done</v>
          </cell>
          <cell r="BY783" t="str">
            <v>Approved
10-06-2023</v>
          </cell>
          <cell r="CD783">
            <v>45061</v>
          </cell>
          <cell r="CE783">
            <v>45080</v>
          </cell>
          <cell r="CI783" t="str">
            <v>Issued</v>
          </cell>
          <cell r="DE783">
            <v>120</v>
          </cell>
          <cell r="DF783">
            <v>45177</v>
          </cell>
          <cell r="DG783" t="str">
            <v>Under Dead Rent</v>
          </cell>
          <cell r="DK783">
            <v>45057</v>
          </cell>
          <cell r="DM783" t="str">
            <v>Done</v>
          </cell>
          <cell r="DN783" t="str">
            <v>Done</v>
          </cell>
          <cell r="DP783">
            <v>45094</v>
          </cell>
          <cell r="DQ783">
            <v>45096</v>
          </cell>
          <cell r="DR783">
            <v>35</v>
          </cell>
          <cell r="DS783">
            <v>45</v>
          </cell>
          <cell r="DU783">
            <v>45131</v>
          </cell>
          <cell r="DV783">
            <v>45141</v>
          </cell>
          <cell r="DW783">
            <v>45131</v>
          </cell>
          <cell r="DX783" t="str">
            <v>July 23 Week 4</v>
          </cell>
          <cell r="DY783" t="str">
            <v>31-08-2023
02-09-23</v>
          </cell>
          <cell r="DZ783">
            <v>45175</v>
          </cell>
          <cell r="EA783" t="str">
            <v>Sep 23 Week 1</v>
          </cell>
          <cell r="EB783" t="str">
            <v>Backlog</v>
          </cell>
          <cell r="ED783" t="str">
            <v/>
          </cell>
          <cell r="EE783" t="str">
            <v/>
          </cell>
          <cell r="EF783">
            <v>1</v>
          </cell>
          <cell r="EG783">
            <v>1</v>
          </cell>
          <cell r="EJ783">
            <v>45103</v>
          </cell>
          <cell r="EM783">
            <v>45110</v>
          </cell>
          <cell r="EP783">
            <v>45117</v>
          </cell>
          <cell r="ES783">
            <v>45124</v>
          </cell>
          <cell r="EV783">
            <v>45131</v>
          </cell>
          <cell r="FD783">
            <v>44</v>
          </cell>
          <cell r="FE783" t="str">
            <v>31 to 61 Days</v>
          </cell>
          <cell r="FF783">
            <v>46</v>
          </cell>
          <cell r="FG783" t="str">
            <v>31 to 61 Days</v>
          </cell>
          <cell r="FH783" t="str">
            <v>Done</v>
          </cell>
          <cell r="FK783">
            <v>45214</v>
          </cell>
          <cell r="FM783" t="str">
            <v/>
          </cell>
          <cell r="GG783" t="str">
            <v>2023-2024</v>
          </cell>
        </row>
        <row r="784">
          <cell r="E784" t="str">
            <v>Phonix Palladium Chennai</v>
          </cell>
          <cell r="F784" t="str">
            <v>10. Launched</v>
          </cell>
          <cell r="I784" t="str">
            <v xml:space="preserve">TH6E </v>
          </cell>
          <cell r="K784" t="str">
            <v>S</v>
          </cell>
          <cell r="L784" t="str">
            <v>AS</v>
          </cell>
          <cell r="N784" t="str">
            <v>Sreevinoth T</v>
          </cell>
          <cell r="O784" t="str">
            <v>Senthil M</v>
          </cell>
          <cell r="P784" t="str">
            <v>Vijay Pandian</v>
          </cell>
          <cell r="Q784" t="str">
            <v>Shahaji Gohatre</v>
          </cell>
          <cell r="R784" t="str">
            <v>Apurva Sharma</v>
          </cell>
          <cell r="S784" t="str">
            <v>Tamil Nadu</v>
          </cell>
          <cell r="T784" t="str">
            <v>Chennai</v>
          </cell>
          <cell r="U784" t="str">
            <v>Premium</v>
          </cell>
          <cell r="V784" t="str">
            <v>Fashion &amp; Lifestyle</v>
          </cell>
          <cell r="W784">
            <v>2151</v>
          </cell>
          <cell r="X784" t="str">
            <v>28, Velachery Rd, Nagendra Nagar, Velachery Rd, Nagendra Nagar, Anna Garden, Velachery, Chennai, Tamil Nadu – 600042.</v>
          </cell>
          <cell r="Z784" t="str">
            <v>Done</v>
          </cell>
          <cell r="AB784">
            <v>44965</v>
          </cell>
          <cell r="AF784" t="str">
            <v>Done</v>
          </cell>
          <cell r="AG784">
            <v>1032</v>
          </cell>
          <cell r="AL784" t="str">
            <v>Received</v>
          </cell>
          <cell r="AM784">
            <v>-3</v>
          </cell>
          <cell r="AO784">
            <v>3</v>
          </cell>
          <cell r="AS784">
            <v>-3</v>
          </cell>
          <cell r="AU784">
            <v>4</v>
          </cell>
          <cell r="AY784">
            <v>-4</v>
          </cell>
          <cell r="BA784">
            <v>5</v>
          </cell>
          <cell r="BE784">
            <v>-5</v>
          </cell>
          <cell r="BG784">
            <v>5</v>
          </cell>
          <cell r="BK784">
            <v>-5</v>
          </cell>
          <cell r="BM784">
            <v>3</v>
          </cell>
          <cell r="BP784">
            <v>3</v>
          </cell>
          <cell r="BU784" t="str">
            <v>No pendency</v>
          </cell>
          <cell r="BW784" t="str">
            <v>Done</v>
          </cell>
          <cell r="BY784" t="str">
            <v>Approved
10-06-2023</v>
          </cell>
          <cell r="CD784">
            <v>45058</v>
          </cell>
          <cell r="CE784">
            <v>45127</v>
          </cell>
          <cell r="DE784">
            <v>60</v>
          </cell>
          <cell r="DF784">
            <v>45208</v>
          </cell>
          <cell r="DG784" t="str">
            <v>Under Dead Rent</v>
          </cell>
          <cell r="DK784">
            <v>45148</v>
          </cell>
          <cell r="DM784">
            <v>4</v>
          </cell>
          <cell r="DN784" t="str">
            <v>4 to 9 Days</v>
          </cell>
          <cell r="DP784">
            <v>45151</v>
          </cell>
          <cell r="DQ784">
            <v>45152</v>
          </cell>
          <cell r="DR784">
            <v>35</v>
          </cell>
          <cell r="DS784">
            <v>45</v>
          </cell>
          <cell r="DU784">
            <v>45187</v>
          </cell>
          <cell r="DV784">
            <v>45197</v>
          </cell>
          <cell r="DW784">
            <v>45187</v>
          </cell>
          <cell r="DX784" t="str">
            <v>Sep 23 Week 3</v>
          </cell>
          <cell r="DY784" t="str">
            <v>30-09-2023
10-10-2023
14-10-2023</v>
          </cell>
          <cell r="DZ784">
            <v>45213</v>
          </cell>
          <cell r="EA784" t="str">
            <v>Oct 23 Week 2</v>
          </cell>
          <cell r="EB784" t="str">
            <v>Backlog</v>
          </cell>
          <cell r="ED784" t="str">
            <v/>
          </cell>
          <cell r="EE784" t="str">
            <v/>
          </cell>
          <cell r="EF784">
            <v>1</v>
          </cell>
          <cell r="EG784">
            <v>1</v>
          </cell>
          <cell r="EJ784">
            <v>45159</v>
          </cell>
          <cell r="EM784">
            <v>45166</v>
          </cell>
          <cell r="EP784">
            <v>45173</v>
          </cell>
          <cell r="ES784">
            <v>45180</v>
          </cell>
          <cell r="EV784">
            <v>45187</v>
          </cell>
          <cell r="FD784">
            <v>26</v>
          </cell>
          <cell r="FE784" t="str">
            <v>16 to 31 Days</v>
          </cell>
          <cell r="FF784">
            <v>27</v>
          </cell>
          <cell r="FG784" t="str">
            <v>16 to 31 Days</v>
          </cell>
          <cell r="FH784" t="str">
            <v>Done</v>
          </cell>
          <cell r="FK784">
            <v>45229</v>
          </cell>
          <cell r="FM784" t="str">
            <v/>
          </cell>
          <cell r="GG784" t="str">
            <v>2023-2024</v>
          </cell>
        </row>
        <row r="785">
          <cell r="E785" t="str">
            <v>Vama, Peddar Road- Washroom + FOH additional Works</v>
          </cell>
          <cell r="F785" t="str">
            <v>9. EPC Ready</v>
          </cell>
          <cell r="G785" t="str">
            <v>BETIBK10641</v>
          </cell>
          <cell r="K785" t="str">
            <v>W</v>
          </cell>
          <cell r="L785" t="str">
            <v>BK</v>
          </cell>
          <cell r="N785" t="str">
            <v>Mrudang Shah</v>
          </cell>
          <cell r="O785" t="str">
            <v>Nitin Dawange</v>
          </cell>
          <cell r="P785" t="str">
            <v>Abhijit Patil</v>
          </cell>
          <cell r="Q785" t="str">
            <v>Shahaji Gohatre</v>
          </cell>
          <cell r="R785" t="str">
            <v>Apurva Sharma</v>
          </cell>
          <cell r="S785" t="str">
            <v>Maharashtra</v>
          </cell>
          <cell r="T785" t="str">
            <v>Mumbai</v>
          </cell>
          <cell r="U785" t="str">
            <v>Premium</v>
          </cell>
          <cell r="V785" t="str">
            <v>Fashion &amp; Lifestyle</v>
          </cell>
          <cell r="X785" t="str">
            <v>Kanchanjunga, Pedder Rd, Cumballa Hill, Mumbai, Maharashtra 400026</v>
          </cell>
          <cell r="Z785" t="str">
            <v>Done</v>
          </cell>
          <cell r="AB785">
            <v>45369</v>
          </cell>
          <cell r="AD785">
            <v>45377</v>
          </cell>
          <cell r="AE785">
            <v>45381</v>
          </cell>
          <cell r="AF785" t="str">
            <v>Done</v>
          </cell>
          <cell r="AG785">
            <v>3</v>
          </cell>
          <cell r="AK785">
            <v>45386</v>
          </cell>
          <cell r="AL785" t="str">
            <v>Received</v>
          </cell>
          <cell r="AT785" t="str">
            <v>No pendency</v>
          </cell>
          <cell r="AZ785" t="str">
            <v>N/A</v>
          </cell>
          <cell r="BF785" t="str">
            <v>No pendency</v>
          </cell>
          <cell r="BL785" t="str">
            <v>No pendency</v>
          </cell>
          <cell r="BO785" t="str">
            <v>N/A</v>
          </cell>
          <cell r="BR785" t="str">
            <v>N/A</v>
          </cell>
          <cell r="BU785" t="str">
            <v>No pendency</v>
          </cell>
          <cell r="BV785" t="str">
            <v>No pendency</v>
          </cell>
          <cell r="BW785" t="str">
            <v>Done</v>
          </cell>
          <cell r="BY785" t="str">
            <v>Done</v>
          </cell>
          <cell r="CD785">
            <v>45180</v>
          </cell>
          <cell r="CE785">
            <v>45199</v>
          </cell>
          <cell r="CI785" t="str">
            <v>Issued</v>
          </cell>
          <cell r="CN785">
            <v>45381</v>
          </cell>
          <cell r="CO785">
            <v>45386</v>
          </cell>
          <cell r="CP785">
            <v>45381</v>
          </cell>
          <cell r="CQ785">
            <v>45387</v>
          </cell>
          <cell r="CR785">
            <v>45387</v>
          </cell>
          <cell r="CS785">
            <v>45383</v>
          </cell>
          <cell r="CT785">
            <v>45447</v>
          </cell>
          <cell r="CU785">
            <v>45447</v>
          </cell>
          <cell r="CV785">
            <v>45447</v>
          </cell>
          <cell r="CW785" t="str">
            <v>PR done on R0</v>
          </cell>
          <cell r="DA785" t="str">
            <v>RA1 Done</v>
          </cell>
          <cell r="DB785" t="str">
            <v>RA1 Done</v>
          </cell>
          <cell r="DC785" t="str">
            <v>RA1 Done</v>
          </cell>
          <cell r="DE785">
            <v>60</v>
          </cell>
          <cell r="DF785">
            <v>45464</v>
          </cell>
          <cell r="DG785" t="str">
            <v>NA</v>
          </cell>
          <cell r="DK785">
            <v>45404</v>
          </cell>
          <cell r="DP785">
            <v>45404</v>
          </cell>
          <cell r="DQ785">
            <v>45404</v>
          </cell>
          <cell r="DR785">
            <v>35</v>
          </cell>
          <cell r="DS785">
            <v>35</v>
          </cell>
          <cell r="DU785">
            <v>45439</v>
          </cell>
          <cell r="DV785">
            <v>45439</v>
          </cell>
          <cell r="DW785">
            <v>45439</v>
          </cell>
          <cell r="DX785" t="str">
            <v>May 24 Week 4</v>
          </cell>
          <cell r="DY785">
            <v>45450</v>
          </cell>
          <cell r="EA785" t="str">
            <v/>
          </cell>
          <cell r="EB785" t="str">
            <v>Backlog</v>
          </cell>
          <cell r="ED785" t="str">
            <v/>
          </cell>
          <cell r="EE785" t="str">
            <v/>
          </cell>
          <cell r="EF785">
            <v>1</v>
          </cell>
          <cell r="EG785">
            <v>1</v>
          </cell>
          <cell r="EJ785">
            <v>45411</v>
          </cell>
          <cell r="EM785">
            <v>45418</v>
          </cell>
          <cell r="EP785">
            <v>45425</v>
          </cell>
          <cell r="ES785">
            <v>45432</v>
          </cell>
          <cell r="EV785">
            <v>45439</v>
          </cell>
          <cell r="FD785">
            <v>563</v>
          </cell>
          <cell r="FF785">
            <v>563</v>
          </cell>
          <cell r="FH785" t="str">
            <v>Done</v>
          </cell>
          <cell r="FM785" t="str">
            <v/>
          </cell>
          <cell r="FZ785" t="str">
            <v>Washroom refurbishment Works
*Demolition Wip
*All sanotory fittings delivered</v>
          </cell>
          <cell r="GG785" t="str">
            <v>2024-2025</v>
          </cell>
        </row>
        <row r="786">
          <cell r="E786" t="str">
            <v>Nexus Seawoods</v>
          </cell>
          <cell r="F786" t="str">
            <v>10. Launched</v>
          </cell>
          <cell r="G786" t="str">
            <v>BETIBK11509</v>
          </cell>
          <cell r="H786" t="str">
            <v>MU-SM-GMU-773</v>
          </cell>
          <cell r="I786" t="str">
            <v>T6JJ</v>
          </cell>
          <cell r="J786" t="str">
            <v>QM9M</v>
          </cell>
          <cell r="K786" t="str">
            <v>W</v>
          </cell>
          <cell r="L786" t="str">
            <v>BK</v>
          </cell>
          <cell r="M786" t="str">
            <v>Dussehra'24 Target</v>
          </cell>
          <cell r="N786" t="str">
            <v>Mrudang Shah</v>
          </cell>
          <cell r="O786" t="str">
            <v>Nitin Dawange</v>
          </cell>
          <cell r="P786" t="str">
            <v>Prashant Naik</v>
          </cell>
          <cell r="Q786" t="str">
            <v>Arju Tiwari</v>
          </cell>
          <cell r="R786" t="str">
            <v>Apurva Sharma</v>
          </cell>
          <cell r="S786" t="str">
            <v>GMU</v>
          </cell>
          <cell r="T786" t="str">
            <v>Mumbai</v>
          </cell>
          <cell r="U786" t="str">
            <v>Premium</v>
          </cell>
          <cell r="V786" t="str">
            <v>Fashion &amp; Lifestyle</v>
          </cell>
          <cell r="W786">
            <v>1376</v>
          </cell>
          <cell r="X786" t="str">
            <v>Shop n. 26 &amp; 27, Seawoods Grand Central, Lower Ground Floor, Sector 40, Nerul, Seawood, Navi Mumbai 400706.</v>
          </cell>
          <cell r="Y786">
            <v>45512</v>
          </cell>
          <cell r="Z786" t="str">
            <v>Done</v>
          </cell>
          <cell r="AA786">
            <v>45511</v>
          </cell>
          <cell r="AB786">
            <v>45476</v>
          </cell>
          <cell r="AC786">
            <v>45478</v>
          </cell>
          <cell r="AD786">
            <v>45482</v>
          </cell>
          <cell r="AE786">
            <v>45482</v>
          </cell>
          <cell r="AF786" t="str">
            <v>Done</v>
          </cell>
          <cell r="AG786">
            <v>1</v>
          </cell>
          <cell r="AI786">
            <v>45484</v>
          </cell>
          <cell r="AK786">
            <v>45496</v>
          </cell>
          <cell r="AL786" t="str">
            <v>Received</v>
          </cell>
          <cell r="AM786">
            <v>-1</v>
          </cell>
          <cell r="AN786" t="str">
            <v>R0- 05-07-2024 (As per mall as built)
R1- 11-07-2024
R2- 23-07-2024 (As per HVAC Team inputs)</v>
          </cell>
          <cell r="AO786">
            <v>45487</v>
          </cell>
          <cell r="AP786">
            <v>45496</v>
          </cell>
          <cell r="AR786">
            <v>45496</v>
          </cell>
          <cell r="AS786">
            <v>9</v>
          </cell>
          <cell r="AT786" t="str">
            <v>No pendency</v>
          </cell>
          <cell r="AU786">
            <v>45488</v>
          </cell>
          <cell r="AY786">
            <v>-45488</v>
          </cell>
          <cell r="AZ786" t="str">
            <v>No pendency</v>
          </cell>
          <cell r="BA786">
            <v>45489</v>
          </cell>
          <cell r="BB786">
            <v>45496</v>
          </cell>
          <cell r="BE786">
            <v>6</v>
          </cell>
          <cell r="BF786" t="str">
            <v>No pendency</v>
          </cell>
          <cell r="BG786">
            <v>45489</v>
          </cell>
          <cell r="BK786">
            <v>-45489</v>
          </cell>
          <cell r="BL786" t="str">
            <v>No pendency</v>
          </cell>
          <cell r="BM786">
            <v>45487</v>
          </cell>
          <cell r="BN786">
            <v>45489</v>
          </cell>
          <cell r="BO786" t="str">
            <v>No pendency</v>
          </cell>
          <cell r="BP786">
            <v>45487</v>
          </cell>
          <cell r="BQ786">
            <v>45495</v>
          </cell>
          <cell r="BR786" t="str">
            <v>No pendency</v>
          </cell>
          <cell r="BT786">
            <v>45496</v>
          </cell>
          <cell r="BU786" t="str">
            <v>No pendency</v>
          </cell>
          <cell r="BV786" t="str">
            <v>No pendency</v>
          </cell>
          <cell r="BW786" t="str">
            <v>25-07-2024</v>
          </cell>
          <cell r="BX786">
            <v>45511</v>
          </cell>
          <cell r="BY786" t="str">
            <v>Done</v>
          </cell>
          <cell r="CD786">
            <v>45497</v>
          </cell>
          <cell r="CE786">
            <v>45516</v>
          </cell>
          <cell r="CF786" t="str">
            <v>M/s A K Interiors Pvt Ltd</v>
          </cell>
          <cell r="CG786" t="str">
            <v>M/s Bhakti Enterprises</v>
          </cell>
          <cell r="CH786" t="str">
            <v>HVAC- M/s Sark Corporation
FF-M/s Nayab Electricals</v>
          </cell>
          <cell r="CI786" t="str">
            <v>Issued</v>
          </cell>
          <cell r="CJ786">
            <v>45516</v>
          </cell>
          <cell r="CK786">
            <v>45516</v>
          </cell>
          <cell r="CL786">
            <v>45516</v>
          </cell>
          <cell r="CN786">
            <v>45555</v>
          </cell>
          <cell r="CO786">
            <v>45531</v>
          </cell>
          <cell r="CP786">
            <v>45533</v>
          </cell>
          <cell r="CQ786">
            <v>45573</v>
          </cell>
          <cell r="CR786">
            <v>45531</v>
          </cell>
          <cell r="CS786">
            <v>45538</v>
          </cell>
          <cell r="CU786" t="str">
            <v>Done</v>
          </cell>
          <cell r="CW786" t="str">
            <v>PR Done as per R0</v>
          </cell>
          <cell r="CY786">
            <v>45566</v>
          </cell>
          <cell r="CZ786">
            <v>45566</v>
          </cell>
          <cell r="DA786" t="str">
            <v>WO Done- RA1 Pending</v>
          </cell>
          <cell r="DB786" t="str">
            <v>WO Done- RA1 Pending</v>
          </cell>
          <cell r="DC786" t="str">
            <v>WO Done- RA1 Pending</v>
          </cell>
          <cell r="DD786">
            <v>45509</v>
          </cell>
          <cell r="DE786">
            <v>90</v>
          </cell>
          <cell r="DF786">
            <v>45604</v>
          </cell>
          <cell r="DG786" t="str">
            <v>Under Dead Rent</v>
          </cell>
          <cell r="DK786">
            <v>45514</v>
          </cell>
          <cell r="DM786">
            <v>6</v>
          </cell>
          <cell r="DN786" t="str">
            <v>4 to 9 Days</v>
          </cell>
          <cell r="DP786">
            <v>45517</v>
          </cell>
          <cell r="DQ786">
            <v>45520</v>
          </cell>
          <cell r="DR786">
            <v>35</v>
          </cell>
          <cell r="DS786">
            <v>45</v>
          </cell>
          <cell r="DT786">
            <v>25</v>
          </cell>
          <cell r="DU786">
            <v>45555</v>
          </cell>
          <cell r="DV786">
            <v>45565</v>
          </cell>
          <cell r="DW786">
            <v>45580</v>
          </cell>
          <cell r="DX786" t="str">
            <v>Oct 24 Week 3</v>
          </cell>
          <cell r="DY786" t="str">
            <v>30-09-2024
05-10-2024
13-10-2024
18-10-2024</v>
          </cell>
          <cell r="DZ786">
            <v>45583</v>
          </cell>
          <cell r="EA786" t="str">
            <v>Oct 24 Week 3</v>
          </cell>
          <cell r="EB786" t="str">
            <v>Backlog</v>
          </cell>
          <cell r="ED786" t="str">
            <v/>
          </cell>
          <cell r="EE786" t="str">
            <v/>
          </cell>
          <cell r="EF786">
            <v>1</v>
          </cell>
          <cell r="EG786">
            <v>1</v>
          </cell>
          <cell r="EJ786">
            <v>45527</v>
          </cell>
          <cell r="EM786">
            <v>45534</v>
          </cell>
          <cell r="EP786">
            <v>45541</v>
          </cell>
          <cell r="ES786">
            <v>45548</v>
          </cell>
          <cell r="EV786">
            <v>45555</v>
          </cell>
          <cell r="EY786" t="str">
            <v>Done</v>
          </cell>
          <cell r="EZ786" t="str">
            <v> 11-09-2024</v>
          </cell>
          <cell r="FC786" t="str">
            <v>Delayed</v>
          </cell>
          <cell r="FD786">
            <v>3</v>
          </cell>
          <cell r="FE786" t="str">
            <v>0 to 3 Days</v>
          </cell>
          <cell r="FF786">
            <v>6</v>
          </cell>
          <cell r="FG786" t="str">
            <v>4 to 7 Days</v>
          </cell>
          <cell r="FH786" t="str">
            <v>Done</v>
          </cell>
          <cell r="FI786">
            <v>45695</v>
          </cell>
          <cell r="FJ786">
            <v>45617</v>
          </cell>
          <cell r="FK786">
            <v>45695</v>
          </cell>
          <cell r="FM786" t="str">
            <v/>
          </cell>
          <cell r="FP786" t="str">
            <v>Open</v>
          </cell>
          <cell r="FQ786">
            <v>41</v>
          </cell>
          <cell r="FS786">
            <v>45610</v>
          </cell>
          <cell r="FV786">
            <v>10454</v>
          </cell>
          <cell r="FW786">
            <v>15666570</v>
          </cell>
          <cell r="GA786">
            <v>45549</v>
          </cell>
          <cell r="GB786">
            <v>45571</v>
          </cell>
          <cell r="GC786">
            <v>45573</v>
          </cell>
          <cell r="GG786" t="str">
            <v>2024-2025</v>
          </cell>
        </row>
        <row r="787">
          <cell r="E787" t="str">
            <v>Not to be give to central planning
Ambience Vasant Kunj, Delhi (Centro + Superdry dehire)</v>
          </cell>
          <cell r="F787" t="str">
            <v>9. EPC Ready</v>
          </cell>
          <cell r="G787" t="str">
            <v>BETIRT11541</v>
          </cell>
          <cell r="H787" t="str">
            <v>DE-SM-DEL-2022</v>
          </cell>
          <cell r="I787" t="str">
            <v>T5QU</v>
          </cell>
          <cell r="J787" t="str">
            <v>QL2G</v>
          </cell>
          <cell r="K787" t="str">
            <v xml:space="preserve">N </v>
          </cell>
          <cell r="L787" t="str">
            <v>RT</v>
          </cell>
          <cell r="M787" t="str">
            <v>Dussehra'24 Target</v>
          </cell>
          <cell r="N787" t="str">
            <v>Mrinal Kulkarni</v>
          </cell>
          <cell r="O787" t="str">
            <v>Praveen Sharma</v>
          </cell>
          <cell r="P787" t="str">
            <v>Saket Sharma</v>
          </cell>
          <cell r="Q787" t="str">
            <v>Arju Tiwari</v>
          </cell>
          <cell r="R787" t="str">
            <v>Apurva Sharma</v>
          </cell>
          <cell r="S787" t="str">
            <v>Delhi</v>
          </cell>
          <cell r="T787" t="str">
            <v>Delhi</v>
          </cell>
          <cell r="U787" t="str">
            <v>Premium</v>
          </cell>
          <cell r="V787" t="str">
            <v>Fashion &amp; Lifestyle</v>
          </cell>
          <cell r="W787">
            <v>1968</v>
          </cell>
          <cell r="X787" t="str">
            <v xml:space="preserve">UG-24 at Ambience Mall, Vasant kunj, Delhi </v>
          </cell>
          <cell r="Y787">
            <v>45525</v>
          </cell>
          <cell r="Z787" t="str">
            <v>Done</v>
          </cell>
          <cell r="AA787">
            <v>45517</v>
          </cell>
          <cell r="AB787">
            <v>45467</v>
          </cell>
          <cell r="AC787">
            <v>45471</v>
          </cell>
          <cell r="AD787">
            <v>45482</v>
          </cell>
          <cell r="AE787">
            <v>45496</v>
          </cell>
          <cell r="AF787" t="str">
            <v>Done</v>
          </cell>
          <cell r="AG787">
            <v>10</v>
          </cell>
          <cell r="AT787" t="str">
            <v>n/a</v>
          </cell>
          <cell r="AV787" t="str">
            <v>N/A</v>
          </cell>
          <cell r="AW787" t="str">
            <v>N/A</v>
          </cell>
          <cell r="AX787" t="str">
            <v>N/A</v>
          </cell>
          <cell r="AZ787" t="str">
            <v>N/A</v>
          </cell>
          <cell r="BF787" t="str">
            <v>N/A</v>
          </cell>
          <cell r="BJ787" t="str">
            <v>N/A</v>
          </cell>
          <cell r="BL787" t="str">
            <v>N/A</v>
          </cell>
          <cell r="BN787" t="str">
            <v>N/A</v>
          </cell>
          <cell r="BO787" t="str">
            <v>N/A</v>
          </cell>
          <cell r="BR787" t="str">
            <v>N/A</v>
          </cell>
          <cell r="BS787" t="str">
            <v>N/A</v>
          </cell>
          <cell r="BU787" t="str">
            <v>N/A</v>
          </cell>
          <cell r="BV787" t="str">
            <v>N/A</v>
          </cell>
          <cell r="BW787" t="str">
            <v>01-08-2024</v>
          </cell>
          <cell r="BX787">
            <v>45521</v>
          </cell>
          <cell r="BY787" t="str">
            <v>Done</v>
          </cell>
          <cell r="CD787">
            <v>45503</v>
          </cell>
          <cell r="CE787">
            <v>45525</v>
          </cell>
          <cell r="CF787" t="str">
            <v>M/s     Daksh Enterprises</v>
          </cell>
          <cell r="CG787" t="str">
            <v>M/s     Daksh Enterprises</v>
          </cell>
          <cell r="CH787" t="str">
            <v>N/A</v>
          </cell>
          <cell r="CI787" t="str">
            <v>Issued</v>
          </cell>
          <cell r="CJ787">
            <v>45525</v>
          </cell>
          <cell r="CK787">
            <v>45525</v>
          </cell>
          <cell r="CN787" t="str">
            <v>N/A</v>
          </cell>
          <cell r="CO787">
            <v>45529</v>
          </cell>
          <cell r="CP787" t="str">
            <v>N/A</v>
          </cell>
          <cell r="CR787" t="str">
            <v>pending</v>
          </cell>
          <cell r="CU787" t="str">
            <v>N/A</v>
          </cell>
          <cell r="CW787" t="str">
            <v>N/A</v>
          </cell>
          <cell r="DA787" t="str">
            <v>N/A</v>
          </cell>
          <cell r="DB787" t="str">
            <v>N/A</v>
          </cell>
          <cell r="DC787" t="str">
            <v>N/A</v>
          </cell>
          <cell r="DE787">
            <v>90</v>
          </cell>
          <cell r="DF787">
            <v>45610</v>
          </cell>
          <cell r="DG787" t="str">
            <v>Under Dead Rent</v>
          </cell>
          <cell r="DK787">
            <v>45520</v>
          </cell>
          <cell r="DM787">
            <v>6</v>
          </cell>
          <cell r="DN787" t="str">
            <v>4 to 9 Days</v>
          </cell>
          <cell r="DP787">
            <v>45524</v>
          </cell>
          <cell r="DQ787">
            <v>45526</v>
          </cell>
          <cell r="DR787">
            <v>10</v>
          </cell>
          <cell r="DS787">
            <v>15</v>
          </cell>
          <cell r="DU787">
            <v>45536</v>
          </cell>
          <cell r="DV787">
            <v>45541</v>
          </cell>
          <cell r="DW787">
            <v>45536</v>
          </cell>
          <cell r="DX787" t="str">
            <v>Sept 24 Week 1</v>
          </cell>
          <cell r="DY787">
            <v>45536</v>
          </cell>
          <cell r="DZ787">
            <v>45541</v>
          </cell>
          <cell r="EA787" t="str">
            <v>Sept 24 Week 1</v>
          </cell>
          <cell r="EB787" t="str">
            <v>Backlog</v>
          </cell>
          <cell r="ED787" t="str">
            <v/>
          </cell>
          <cell r="EE787" t="str">
            <v/>
          </cell>
          <cell r="EF787">
            <v>1</v>
          </cell>
          <cell r="EG787">
            <v>1</v>
          </cell>
          <cell r="EH787" t="str">
            <v>*Existing Centro + Superdry Store dehire Scope taken in Tira Scope. Post dehiring, SDR to be done</v>
          </cell>
          <cell r="EJ787">
            <v>45533</v>
          </cell>
          <cell r="EM787">
            <v>45540</v>
          </cell>
          <cell r="EP787">
            <v>45547</v>
          </cell>
          <cell r="ES787">
            <v>45554</v>
          </cell>
          <cell r="EV787">
            <v>45561</v>
          </cell>
          <cell r="FD787">
            <v>5</v>
          </cell>
          <cell r="FE787" t="str">
            <v>4 to 7 Days</v>
          </cell>
          <cell r="FF787">
            <v>7</v>
          </cell>
          <cell r="FG787" t="str">
            <v>4 to 7 Days</v>
          </cell>
          <cell r="FH787" t="str">
            <v>Done</v>
          </cell>
          <cell r="FM787" t="str">
            <v/>
          </cell>
          <cell r="GG787" t="str">
            <v>2024-2025</v>
          </cell>
        </row>
        <row r="788">
          <cell r="E788" t="str">
            <v>Ambience Vasant Kunj, Delhi (Main Store Fitout)</v>
          </cell>
          <cell r="F788" t="str">
            <v>10. Launched</v>
          </cell>
          <cell r="G788" t="str">
            <v>BETIRT11541</v>
          </cell>
          <cell r="H788" t="str">
            <v>DE-SM-DEL-2022</v>
          </cell>
          <cell r="I788" t="str">
            <v>T5QU</v>
          </cell>
          <cell r="J788" t="str">
            <v>QL2G</v>
          </cell>
          <cell r="K788" t="str">
            <v xml:space="preserve">N </v>
          </cell>
          <cell r="L788" t="str">
            <v>RT</v>
          </cell>
          <cell r="M788" t="str">
            <v>Diwali'24 Target</v>
          </cell>
          <cell r="N788" t="str">
            <v>Mrinal Kulkarni</v>
          </cell>
          <cell r="O788" t="str">
            <v>Praveen Sharma</v>
          </cell>
          <cell r="P788" t="str">
            <v>Saket Sharma</v>
          </cell>
          <cell r="Q788" t="str">
            <v>Arju Tiwari</v>
          </cell>
          <cell r="R788" t="str">
            <v>Apurva Sharma</v>
          </cell>
          <cell r="S788" t="str">
            <v>Delhi</v>
          </cell>
          <cell r="T788" t="str">
            <v>Delhi</v>
          </cell>
          <cell r="U788" t="str">
            <v>Premium</v>
          </cell>
          <cell r="V788" t="str">
            <v>Fashion &amp; Lifestyle</v>
          </cell>
          <cell r="W788">
            <v>1968</v>
          </cell>
          <cell r="X788" t="str">
            <v xml:space="preserve">UG-24 at Ambience Mall, Vasant kunj, Delhi </v>
          </cell>
          <cell r="Y788">
            <v>45525</v>
          </cell>
          <cell r="Z788" t="str">
            <v>Done</v>
          </cell>
          <cell r="AA788">
            <v>45517</v>
          </cell>
          <cell r="AB788">
            <v>45532</v>
          </cell>
          <cell r="AC788">
            <v>45532</v>
          </cell>
          <cell r="AD788">
            <v>45533</v>
          </cell>
          <cell r="AE788">
            <v>45533</v>
          </cell>
          <cell r="AF788" t="str">
            <v>Done</v>
          </cell>
          <cell r="AG788">
            <v>0</v>
          </cell>
          <cell r="AH788" t="str">
            <v>*SDR was done post dehiring works was completed</v>
          </cell>
          <cell r="AI788">
            <v>45477</v>
          </cell>
          <cell r="AK788">
            <v>45547</v>
          </cell>
          <cell r="AL788" t="str">
            <v>Received</v>
          </cell>
          <cell r="AM788">
            <v>-59</v>
          </cell>
          <cell r="AO788">
            <v>45480</v>
          </cell>
          <cell r="AP788">
            <v>45544</v>
          </cell>
          <cell r="AR788">
            <v>45544</v>
          </cell>
          <cell r="AS788">
            <v>64</v>
          </cell>
          <cell r="AT788" t="str">
            <v>No pendency</v>
          </cell>
          <cell r="AU788">
            <v>45481</v>
          </cell>
          <cell r="AV788" t="str">
            <v>N/A</v>
          </cell>
          <cell r="AW788" t="str">
            <v>N/A</v>
          </cell>
          <cell r="AX788" t="str">
            <v>N/A</v>
          </cell>
          <cell r="AZ788" t="str">
            <v>No pendency</v>
          </cell>
          <cell r="BA788">
            <v>45482</v>
          </cell>
          <cell r="BB788">
            <v>45498</v>
          </cell>
          <cell r="BD788">
            <v>45498</v>
          </cell>
          <cell r="BE788">
            <v>15</v>
          </cell>
          <cell r="BF788" t="str">
            <v>No pendency</v>
          </cell>
          <cell r="BG788">
            <v>45482</v>
          </cell>
          <cell r="BK788">
            <v>-45482</v>
          </cell>
          <cell r="BL788" t="str">
            <v>No pendency</v>
          </cell>
          <cell r="BM788">
            <v>45480</v>
          </cell>
          <cell r="BN788">
            <v>45488</v>
          </cell>
          <cell r="BO788" t="str">
            <v>No pendency</v>
          </cell>
          <cell r="BP788">
            <v>45480</v>
          </cell>
          <cell r="BQ788">
            <v>45498</v>
          </cell>
          <cell r="BR788" t="str">
            <v>No pendency</v>
          </cell>
          <cell r="BU788" t="str">
            <v>No pendency</v>
          </cell>
          <cell r="BV788" t="str">
            <v>No pendency</v>
          </cell>
          <cell r="BW788" t="str">
            <v>01-08-2024</v>
          </cell>
          <cell r="BX788">
            <v>45521</v>
          </cell>
          <cell r="BY788" t="str">
            <v>Done</v>
          </cell>
          <cell r="CD788">
            <v>45503</v>
          </cell>
          <cell r="CE788" t="str">
            <v>HVAC 27-08-2024
Civil 04-09-2024</v>
          </cell>
          <cell r="CF788" t="str">
            <v>M/s    A K Interiors and Developers</v>
          </cell>
          <cell r="CG788" t="str">
            <v>M/s    A K Interiors and Developers</v>
          </cell>
          <cell r="CH788" t="str">
            <v>M/s     AMBA AIRCON PVT LTD</v>
          </cell>
          <cell r="CI788" t="str">
            <v>Issued</v>
          </cell>
          <cell r="CJ788">
            <v>45539</v>
          </cell>
          <cell r="CK788">
            <v>45539</v>
          </cell>
          <cell r="CL788">
            <v>45531</v>
          </cell>
          <cell r="CN788">
            <v>45558</v>
          </cell>
          <cell r="CO788">
            <v>45559</v>
          </cell>
          <cell r="CP788">
            <v>45555</v>
          </cell>
          <cell r="CQ788">
            <v>45573</v>
          </cell>
          <cell r="CR788">
            <v>45559</v>
          </cell>
          <cell r="CS788">
            <v>45560</v>
          </cell>
          <cell r="CU788" t="str">
            <v>Done</v>
          </cell>
          <cell r="CW788" t="str">
            <v>PR Done as per R1</v>
          </cell>
          <cell r="DA788" t="str">
            <v>WO Done- RA1 Pending</v>
          </cell>
          <cell r="DB788" t="str">
            <v>WO Done- RA1 Pending</v>
          </cell>
          <cell r="DC788" t="str">
            <v>WO Done- RA1 Pending</v>
          </cell>
          <cell r="DE788">
            <v>90</v>
          </cell>
          <cell r="DF788">
            <v>45610</v>
          </cell>
          <cell r="DG788" t="str">
            <v>Under Dead Rent</v>
          </cell>
          <cell r="DJ788" t="str">
            <v>*RFC Taken By RE/NSO on 16-08-2024</v>
          </cell>
          <cell r="DK788">
            <v>45520</v>
          </cell>
          <cell r="DM788">
            <v>39</v>
          </cell>
          <cell r="DN788" t="str">
            <v>&gt; 30 Days</v>
          </cell>
          <cell r="DP788">
            <v>45552</v>
          </cell>
          <cell r="DQ788">
            <v>45559</v>
          </cell>
          <cell r="DR788">
            <v>35</v>
          </cell>
          <cell r="DS788">
            <v>45</v>
          </cell>
          <cell r="DT788">
            <v>32</v>
          </cell>
          <cell r="DU788">
            <v>45594</v>
          </cell>
          <cell r="DV788">
            <v>45604</v>
          </cell>
          <cell r="DW788">
            <v>45626</v>
          </cell>
          <cell r="DX788" t="str">
            <v>Nov 24 Week 5</v>
          </cell>
          <cell r="DY788" t="str">
            <v>20-11-2024
30-11-2024</v>
          </cell>
          <cell r="DZ788">
            <v>45625</v>
          </cell>
          <cell r="EA788" t="str">
            <v>Nov 24 Week 5</v>
          </cell>
          <cell r="EB788" t="str">
            <v>Plan</v>
          </cell>
          <cell r="ED788" t="str">
            <v/>
          </cell>
          <cell r="EE788" t="str">
            <v/>
          </cell>
          <cell r="EF788">
            <v>1</v>
          </cell>
          <cell r="EG788">
            <v>1</v>
          </cell>
          <cell r="EJ788">
            <v>45566</v>
          </cell>
          <cell r="EM788">
            <v>45573</v>
          </cell>
          <cell r="EP788">
            <v>45580</v>
          </cell>
          <cell r="ES788">
            <v>45587</v>
          </cell>
          <cell r="EV788">
            <v>45594</v>
          </cell>
          <cell r="EZ788" t="str">
            <v>8-11-1014</v>
          </cell>
          <cell r="FD788">
            <v>-1</v>
          </cell>
          <cell r="FE788" t="str">
            <v>On Time</v>
          </cell>
          <cell r="FF788">
            <v>6</v>
          </cell>
          <cell r="FG788" t="str">
            <v>4 to 7 Days</v>
          </cell>
          <cell r="FH788" t="str">
            <v>Done</v>
          </cell>
          <cell r="FI788">
            <v>45745</v>
          </cell>
          <cell r="FJ788">
            <v>45644</v>
          </cell>
          <cell r="FK788">
            <v>45745</v>
          </cell>
          <cell r="FM788" t="str">
            <v/>
          </cell>
          <cell r="GA788">
            <v>45569</v>
          </cell>
          <cell r="GG788" t="str">
            <v>2024-2025</v>
          </cell>
        </row>
        <row r="789">
          <cell r="E789" t="str">
            <v>Vama, Peddar Road</v>
          </cell>
          <cell r="F789" t="str">
            <v>9. EPC Ready</v>
          </cell>
          <cell r="G789" t="str">
            <v>BETIBK10641</v>
          </cell>
          <cell r="K789" t="str">
            <v>W</v>
          </cell>
          <cell r="L789" t="str">
            <v>BK</v>
          </cell>
          <cell r="N789" t="str">
            <v>Mrudang Shah</v>
          </cell>
          <cell r="O789" t="str">
            <v>Nitin Dawange</v>
          </cell>
          <cell r="P789" t="str">
            <v>Sunil G</v>
          </cell>
          <cell r="Q789" t="str">
            <v>Arju Tiwari</v>
          </cell>
          <cell r="R789" t="str">
            <v>Apurva Sharma</v>
          </cell>
          <cell r="S789" t="str">
            <v>GMU</v>
          </cell>
          <cell r="T789" t="str">
            <v>Mumbai</v>
          </cell>
          <cell r="U789" t="str">
            <v>Premium</v>
          </cell>
          <cell r="V789" t="str">
            <v>Fashion &amp; Lifestyle</v>
          </cell>
          <cell r="W789">
            <v>2890</v>
          </cell>
          <cell r="X789" t="str">
            <v>Kanchanjunga, Pedder Rd, Cumballa Hill, Mumbai, Maharashtra 400026</v>
          </cell>
          <cell r="AB789">
            <v>45457</v>
          </cell>
          <cell r="AD789">
            <v>45373</v>
          </cell>
          <cell r="AF789" t="str">
            <v>Done</v>
          </cell>
          <cell r="AG789">
            <v>0</v>
          </cell>
          <cell r="AH789" t="str">
            <v>Visit for Dehire scope works done</v>
          </cell>
          <cell r="AL789" t="str">
            <v>N/A</v>
          </cell>
          <cell r="AN789" t="str">
            <v>N/A</v>
          </cell>
          <cell r="AT789" t="str">
            <v>N/A</v>
          </cell>
          <cell r="AV789" t="str">
            <v>N/A</v>
          </cell>
          <cell r="AW789" t="str">
            <v>N/A</v>
          </cell>
          <cell r="AX789" t="str">
            <v>N/A</v>
          </cell>
          <cell r="AZ789" t="str">
            <v>N/A</v>
          </cell>
          <cell r="BF789" t="str">
            <v>N/A</v>
          </cell>
          <cell r="BJ789" t="str">
            <v>N/A</v>
          </cell>
          <cell r="BL789" t="str">
            <v>No pendency</v>
          </cell>
          <cell r="BN789" t="str">
            <v>N/A</v>
          </cell>
          <cell r="BO789" t="str">
            <v>N/A</v>
          </cell>
          <cell r="BR789" t="str">
            <v>N/A</v>
          </cell>
          <cell r="BS789" t="str">
            <v>N/A</v>
          </cell>
          <cell r="BU789" t="str">
            <v>No pendency</v>
          </cell>
          <cell r="BV789" t="str">
            <v>No pendency</v>
          </cell>
          <cell r="BW789" t="str">
            <v>24-06-2024</v>
          </cell>
          <cell r="BX789">
            <v>45477</v>
          </cell>
          <cell r="BY789" t="str">
            <v>Done</v>
          </cell>
          <cell r="CF789" t="str">
            <v>M/s Icon Interior Pvt Ltd</v>
          </cell>
          <cell r="CG789" t="str">
            <v>N/A</v>
          </cell>
          <cell r="CH789" t="str">
            <v>N/A</v>
          </cell>
          <cell r="CI789" t="str">
            <v>Issued</v>
          </cell>
          <cell r="CJ789">
            <v>45484</v>
          </cell>
          <cell r="CN789" t="str">
            <v>N/A</v>
          </cell>
          <cell r="CO789" t="str">
            <v>N/A</v>
          </cell>
          <cell r="CP789" t="str">
            <v>N/A</v>
          </cell>
          <cell r="CR789" t="str">
            <v>N/A</v>
          </cell>
          <cell r="DA789" t="str">
            <v>N/A</v>
          </cell>
          <cell r="DB789" t="str">
            <v>N/A</v>
          </cell>
          <cell r="DC789" t="str">
            <v>N/A</v>
          </cell>
          <cell r="DG789" t="str">
            <v>Dehire Site - Not in Dead Rent</v>
          </cell>
          <cell r="DK789">
            <v>45484</v>
          </cell>
          <cell r="DM789">
            <v>0</v>
          </cell>
          <cell r="DN789" t="str">
            <v>NA</v>
          </cell>
          <cell r="DP789">
            <v>45484</v>
          </cell>
          <cell r="DQ789">
            <v>45484</v>
          </cell>
          <cell r="DR789">
            <v>15</v>
          </cell>
          <cell r="DS789">
            <v>21</v>
          </cell>
          <cell r="DU789">
            <v>45499</v>
          </cell>
          <cell r="DV789">
            <v>45505</v>
          </cell>
          <cell r="DW789">
            <v>45499</v>
          </cell>
          <cell r="DX789" t="str">
            <v>July 24 Week 3</v>
          </cell>
          <cell r="DZ789">
            <v>45525</v>
          </cell>
          <cell r="EA789" t="str">
            <v>Aug 24 Week 3</v>
          </cell>
          <cell r="EB789" t="str">
            <v>Backlog</v>
          </cell>
          <cell r="ED789" t="str">
            <v/>
          </cell>
          <cell r="EE789" t="str">
            <v/>
          </cell>
          <cell r="EH789" t="str">
            <v>*No EPC Scope only procurement scope hence vendor not mobilised</v>
          </cell>
          <cell r="EJ789">
            <v>45491</v>
          </cell>
          <cell r="EM789">
            <v>45498</v>
          </cell>
          <cell r="EP789">
            <v>45505</v>
          </cell>
          <cell r="ES789">
            <v>45512</v>
          </cell>
          <cell r="EV789">
            <v>45519</v>
          </cell>
          <cell r="FD789">
            <v>26</v>
          </cell>
          <cell r="FE789" t="str">
            <v>16 to 31 Days</v>
          </cell>
          <cell r="FF789">
            <v>26</v>
          </cell>
          <cell r="FG789" t="str">
            <v>16 to 31 Days</v>
          </cell>
          <cell r="FH789" t="str">
            <v>Done</v>
          </cell>
          <cell r="FM789" t="str">
            <v/>
          </cell>
          <cell r="GG789" t="str">
            <v>2024-2025</v>
          </cell>
        </row>
        <row r="790">
          <cell r="E790" t="str">
            <v>VR mall, Chennai</v>
          </cell>
          <cell r="F790" t="str">
            <v>10. Launched</v>
          </cell>
          <cell r="G790" t="str">
            <v>BETIAS11294</v>
          </cell>
          <cell r="H790" t="str">
            <v>TN-SM-CHE-1019</v>
          </cell>
          <cell r="I790" t="str">
            <v>T5FT</v>
          </cell>
          <cell r="J790" t="str">
            <v>QK9E</v>
          </cell>
          <cell r="K790" t="str">
            <v>S</v>
          </cell>
          <cell r="L790" t="str">
            <v>AS</v>
          </cell>
          <cell r="M790" t="str">
            <v>Dussehra'24 Target</v>
          </cell>
          <cell r="N790" t="str">
            <v>Partha sarthy N</v>
          </cell>
          <cell r="O790" t="str">
            <v>Balachandar R</v>
          </cell>
          <cell r="P790" t="str">
            <v>Niranjan Kumar
Krishnamoorthy K</v>
          </cell>
          <cell r="Q790" t="str">
            <v>Arju Tiwari</v>
          </cell>
          <cell r="R790" t="str">
            <v>Apurva Sharma</v>
          </cell>
          <cell r="S790" t="str">
            <v>Tamil Nadu</v>
          </cell>
          <cell r="T790" t="str">
            <v>Chennai</v>
          </cell>
          <cell r="U790" t="str">
            <v>Premium</v>
          </cell>
          <cell r="V790" t="str">
            <v>Fashion &amp; Lifestyle</v>
          </cell>
          <cell r="W790">
            <v>2253</v>
          </cell>
          <cell r="X790" t="str">
            <v>VR Mall, Metrozone
No.44, Pillaiyar Koil Street, Jawaharlal Nehru road, Anna Nagar, Chennai – 600040</v>
          </cell>
          <cell r="Y790">
            <v>45468</v>
          </cell>
          <cell r="Z790" t="str">
            <v>Done</v>
          </cell>
          <cell r="AA790">
            <v>45475</v>
          </cell>
          <cell r="AB790" t="str">
            <v>R0- 11-04-2024
R1-12-06-2024</v>
          </cell>
          <cell r="AF790" t="str">
            <v>Done</v>
          </cell>
          <cell r="AG790" t="str">
            <v/>
          </cell>
          <cell r="AH790" t="str">
            <v>*R0- only PRE SDR done as per mall inputs as site was not ready
*R1- visit done, report released</v>
          </cell>
          <cell r="AI790">
            <v>45426</v>
          </cell>
          <cell r="AK790">
            <v>45516</v>
          </cell>
          <cell r="AL790" t="str">
            <v>Received</v>
          </cell>
          <cell r="AN790" t="str">
            <v>R0-14-05-2024
R1-22-05-2024
R2-04-06-2024
R3-21-06-2024
R4-12-08-2024</v>
          </cell>
          <cell r="AO790">
            <v>45519</v>
          </cell>
          <cell r="AP790">
            <v>45453</v>
          </cell>
          <cell r="AR790">
            <v>45453</v>
          </cell>
          <cell r="AS790">
            <v>-66</v>
          </cell>
          <cell r="AT790" t="str">
            <v>No pendency</v>
          </cell>
          <cell r="AU790">
            <v>45430</v>
          </cell>
          <cell r="AV790" t="str">
            <v>N/A</v>
          </cell>
          <cell r="AW790" t="str">
            <v>N/A</v>
          </cell>
          <cell r="AX790" t="str">
            <v>N/A</v>
          </cell>
          <cell r="AZ790" t="str">
            <v>N/A</v>
          </cell>
          <cell r="BA790">
            <v>45431</v>
          </cell>
          <cell r="BB790">
            <v>45448</v>
          </cell>
          <cell r="BC790">
            <v>0</v>
          </cell>
          <cell r="BD790">
            <v>45448</v>
          </cell>
          <cell r="BE790">
            <v>16</v>
          </cell>
          <cell r="BF790" t="str">
            <v>No pendency</v>
          </cell>
          <cell r="BG790">
            <v>45431</v>
          </cell>
          <cell r="BH790">
            <v>45444</v>
          </cell>
          <cell r="BI790">
            <v>1</v>
          </cell>
          <cell r="BJ790">
            <v>45457</v>
          </cell>
          <cell r="BK790">
            <v>12</v>
          </cell>
          <cell r="BL790" t="str">
            <v>No pendency</v>
          </cell>
          <cell r="BM790">
            <v>45429</v>
          </cell>
          <cell r="BN790">
            <v>45465</v>
          </cell>
          <cell r="BO790" t="str">
            <v>No pendency</v>
          </cell>
          <cell r="BP790">
            <v>45429</v>
          </cell>
          <cell r="BQ790">
            <v>45443</v>
          </cell>
          <cell r="BR790" t="str">
            <v>No pendency</v>
          </cell>
          <cell r="BT790">
            <v>45488</v>
          </cell>
          <cell r="BU790" t="str">
            <v>No pendency</v>
          </cell>
          <cell r="BV790" t="str">
            <v>No pendency</v>
          </cell>
          <cell r="BW790" t="str">
            <v>R0- 07-06-2024
R1- 15-06-2024</v>
          </cell>
          <cell r="BX790">
            <v>45460</v>
          </cell>
          <cell r="BY790" t="str">
            <v>Done</v>
          </cell>
          <cell r="CD790" t="str">
            <v xml:space="preserve"> 03-06-2024</v>
          </cell>
          <cell r="CE790" t="str">
            <v>issued</v>
          </cell>
          <cell r="CF790" t="str">
            <v>AGS CIVIL AND INTERIOR PVT LTD</v>
          </cell>
          <cell r="CG790" t="str">
            <v>AGS CIVIL AND INTERIOR PVT LTD</v>
          </cell>
          <cell r="CH790" t="str">
            <v>M/s J.V. ENGINEERING SOLUTIONS</v>
          </cell>
          <cell r="CI790" t="str">
            <v>Issued</v>
          </cell>
          <cell r="CJ790">
            <v>45478</v>
          </cell>
          <cell r="CK790">
            <v>45478</v>
          </cell>
          <cell r="CL790">
            <v>45476</v>
          </cell>
          <cell r="CN790">
            <v>45532</v>
          </cell>
          <cell r="CO790">
            <v>45502</v>
          </cell>
          <cell r="CP790" t="str">
            <v>HVAC- 29-07-2024
FF- 24-07-2024</v>
          </cell>
          <cell r="CQ790">
            <v>45533</v>
          </cell>
          <cell r="CR790">
            <v>45505</v>
          </cell>
          <cell r="CT790">
            <v>45499</v>
          </cell>
          <cell r="CU790">
            <v>45499</v>
          </cell>
          <cell r="CV790">
            <v>45499</v>
          </cell>
          <cell r="CW790" t="str">
            <v>PR done on R0</v>
          </cell>
          <cell r="CZ790">
            <v>45502</v>
          </cell>
          <cell r="DA790" t="str">
            <v>RA1 Done</v>
          </cell>
          <cell r="DB790" t="str">
            <v>RA1 Done</v>
          </cell>
          <cell r="DC790" t="str">
            <v>RA1 Done</v>
          </cell>
          <cell r="DE790">
            <v>60</v>
          </cell>
          <cell r="DF790">
            <v>45544</v>
          </cell>
          <cell r="DG790" t="str">
            <v>Under Dead Rent</v>
          </cell>
          <cell r="DK790">
            <v>45484</v>
          </cell>
          <cell r="DL790">
            <v>45470</v>
          </cell>
          <cell r="DM790">
            <v>7</v>
          </cell>
          <cell r="DN790" t="str">
            <v>4 to 9 Days</v>
          </cell>
          <cell r="DP790">
            <v>45487</v>
          </cell>
          <cell r="DQ790">
            <v>45491</v>
          </cell>
          <cell r="DR790">
            <v>35</v>
          </cell>
          <cell r="DS790">
            <v>45</v>
          </cell>
          <cell r="DU790">
            <v>45526</v>
          </cell>
          <cell r="DV790">
            <v>45536</v>
          </cell>
          <cell r="DW790">
            <v>45526</v>
          </cell>
          <cell r="DX790" t="str">
            <v>Aug 24 Week 4</v>
          </cell>
          <cell r="DY790">
            <v>45542</v>
          </cell>
          <cell r="DZ790">
            <v>45546</v>
          </cell>
          <cell r="EA790" t="str">
            <v>Sept 24 Week 2</v>
          </cell>
          <cell r="EB790" t="str">
            <v>Backlog</v>
          </cell>
          <cell r="ED790" t="str">
            <v/>
          </cell>
          <cell r="EE790" t="str">
            <v/>
          </cell>
          <cell r="EF790">
            <v>1</v>
          </cell>
          <cell r="EG790">
            <v>1</v>
          </cell>
          <cell r="EJ790">
            <v>45498</v>
          </cell>
          <cell r="EM790">
            <v>45505</v>
          </cell>
          <cell r="EP790">
            <v>45512</v>
          </cell>
          <cell r="ES790">
            <v>45519</v>
          </cell>
          <cell r="EV790">
            <v>45526</v>
          </cell>
          <cell r="EY790" t="str">
            <v>Done</v>
          </cell>
          <cell r="EZ790" t="str">
            <v> 27-08-2024</v>
          </cell>
          <cell r="FD790">
            <v>20</v>
          </cell>
          <cell r="FE790" t="str">
            <v>16 to 31 Days</v>
          </cell>
          <cell r="FF790">
            <v>24</v>
          </cell>
          <cell r="FG790" t="str">
            <v>16 to 31 Days</v>
          </cell>
          <cell r="FH790" t="str">
            <v>Done</v>
          </cell>
          <cell r="FI790">
            <v>45548</v>
          </cell>
          <cell r="FJ790">
            <v>45625</v>
          </cell>
          <cell r="FK790">
            <v>45625</v>
          </cell>
          <cell r="FM790" t="str">
            <v/>
          </cell>
          <cell r="FN790" t="str">
            <v>Ops Hoto Done
FM HOTO Done</v>
          </cell>
          <cell r="FP790" t="str">
            <v>open</v>
          </cell>
          <cell r="FQ790">
            <v>7</v>
          </cell>
          <cell r="FR790" t="str">
            <v>Chill water pipe leaking continuously which was dropped down.
BOH door sometime getting electric shocking by employee.
Chill water gladding work pending.
HVAC commissioning report still not shared
AHF panel commissioning pending
façade paint reworks
Tile replacement</v>
          </cell>
          <cell r="FV790">
            <v>10454</v>
          </cell>
          <cell r="GA790">
            <v>45538</v>
          </cell>
          <cell r="GB790">
            <v>45517</v>
          </cell>
          <cell r="GC790">
            <v>45533</v>
          </cell>
          <cell r="GG790" t="str">
            <v>2024-2025</v>
          </cell>
        </row>
        <row r="791">
          <cell r="E791" t="str">
            <v>JWP Bandra</v>
          </cell>
          <cell r="F791" t="str">
            <v>10. Launched</v>
          </cell>
          <cell r="G791" t="str">
            <v>BeauW47</v>
          </cell>
          <cell r="H791" t="str">
            <v>MU-SM-GMU-678</v>
          </cell>
          <cell r="I791" t="str">
            <v>T76P</v>
          </cell>
          <cell r="J791" t="str">
            <v>QKCN</v>
          </cell>
          <cell r="K791" t="str">
            <v>W</v>
          </cell>
          <cell r="L791" t="str">
            <v>BK</v>
          </cell>
          <cell r="M791" t="str">
            <v>Diwali'24 Target</v>
          </cell>
          <cell r="N791" t="str">
            <v>Mrudang Shah</v>
          </cell>
          <cell r="O791" t="str">
            <v>Nitin Dawange</v>
          </cell>
          <cell r="P791" t="str">
            <v>Abhijit Patil</v>
          </cell>
          <cell r="Q791" t="str">
            <v>Arju Tiwari</v>
          </cell>
          <cell r="R791" t="str">
            <v>Apurva Sharma</v>
          </cell>
          <cell r="S791" t="str">
            <v>Maharashtra</v>
          </cell>
          <cell r="T791" t="str">
            <v>Mumbai</v>
          </cell>
          <cell r="U791" t="str">
            <v>Premium</v>
          </cell>
          <cell r="V791" t="str">
            <v>Fashion &amp; Lifestyle</v>
          </cell>
          <cell r="W791">
            <v>5878.54</v>
          </cell>
          <cell r="X791" t="str">
            <v>Unit No. #1-19A, 19B, Jio World Plaza, Jio World Centre, G Block, Bandra East, BKC, Mumbai - 400051.</v>
          </cell>
          <cell r="Y791">
            <v>45315</v>
          </cell>
          <cell r="Z791" t="str">
            <v>Done</v>
          </cell>
          <cell r="AB791" t="str">
            <v>Done</v>
          </cell>
          <cell r="AF791" t="str">
            <v>Done</v>
          </cell>
          <cell r="AG791" t="str">
            <v/>
          </cell>
          <cell r="AI791">
            <v>45177</v>
          </cell>
          <cell r="AK791">
            <v>45477</v>
          </cell>
          <cell r="AL791" t="str">
            <v>Received</v>
          </cell>
          <cell r="AN791" t="str">
            <v>This Site is being done By H2O Consultant</v>
          </cell>
          <cell r="AO791">
            <v>45180</v>
          </cell>
          <cell r="AQ791">
            <v>2</v>
          </cell>
          <cell r="AT791" t="str">
            <v>No pendency</v>
          </cell>
          <cell r="AU791">
            <v>45181</v>
          </cell>
          <cell r="AY791">
            <v>-45181</v>
          </cell>
          <cell r="AZ791" t="str">
            <v>No pendency</v>
          </cell>
          <cell r="BA791">
            <v>45182</v>
          </cell>
          <cell r="BC791">
            <v>2</v>
          </cell>
          <cell r="BF791" t="str">
            <v>GFC as per revised ML pending</v>
          </cell>
          <cell r="BG791">
            <v>45182</v>
          </cell>
          <cell r="BI791">
            <v>2</v>
          </cell>
          <cell r="BJ791" t="str">
            <v>R0- 20-09-23
R1- 09-01-2024
R2- 22-02-2024</v>
          </cell>
          <cell r="BL791" t="str">
            <v>No pendency</v>
          </cell>
          <cell r="BM791">
            <v>45180</v>
          </cell>
          <cell r="BN791">
            <v>45237</v>
          </cell>
          <cell r="BO791" t="str">
            <v>No pendency</v>
          </cell>
          <cell r="BP791">
            <v>45180</v>
          </cell>
          <cell r="BQ791">
            <v>45364</v>
          </cell>
          <cell r="BR791" t="str">
            <v>No pendency</v>
          </cell>
          <cell r="BU791" t="str">
            <v>No pendency</v>
          </cell>
          <cell r="BV791" t="str">
            <v>No pendency</v>
          </cell>
          <cell r="BW791" t="str">
            <v>30-11-2023</v>
          </cell>
          <cell r="BX791">
            <v>45310</v>
          </cell>
          <cell r="BY791" t="str">
            <v>Approved</v>
          </cell>
          <cell r="CD791" t="str">
            <v>C&amp;I + SLP- 07-11-2023
Ele + IT- 20-11-2023
FF- 28-11-2023
HVAC- 25-11-2023</v>
          </cell>
          <cell r="CE791" t="str">
            <v>issued</v>
          </cell>
          <cell r="CF791" t="str">
            <v>M/s Hirfal Interiors Pvt Ltd</v>
          </cell>
          <cell r="CG791" t="str">
            <v>M/s Tvisha Technologies</v>
          </cell>
          <cell r="CH791" t="str">
            <v>M/s ACPL (Arithmatic)</v>
          </cell>
          <cell r="CI791" t="str">
            <v>Issued</v>
          </cell>
          <cell r="CJ791">
            <v>45336</v>
          </cell>
          <cell r="CK791">
            <v>45316</v>
          </cell>
          <cell r="CL791">
            <v>45316</v>
          </cell>
          <cell r="CN791">
            <v>45409</v>
          </cell>
          <cell r="CO791">
            <v>45399</v>
          </cell>
          <cell r="CP791">
            <v>45392</v>
          </cell>
          <cell r="CQ791">
            <v>45433</v>
          </cell>
          <cell r="CR791">
            <v>45399</v>
          </cell>
          <cell r="CS791">
            <v>45393</v>
          </cell>
          <cell r="CT791">
            <v>45338</v>
          </cell>
          <cell r="CU791">
            <v>45329</v>
          </cell>
          <cell r="CV791">
            <v>45329</v>
          </cell>
          <cell r="CW791" t="str">
            <v>PR done on R0
PR done on R1</v>
          </cell>
          <cell r="CX791">
            <v>45344</v>
          </cell>
          <cell r="CY791">
            <v>45331</v>
          </cell>
          <cell r="CZ791">
            <v>45331</v>
          </cell>
          <cell r="DA791" t="str">
            <v>RA1 Done</v>
          </cell>
          <cell r="DB791" t="str">
            <v>RA1 Done</v>
          </cell>
          <cell r="DC791" t="str">
            <v>RA1 Done</v>
          </cell>
          <cell r="DE791">
            <v>150</v>
          </cell>
          <cell r="DF791">
            <v>45473</v>
          </cell>
          <cell r="DG791" t="str">
            <v>Under Dead Rent</v>
          </cell>
          <cell r="DJ791" t="str">
            <v>RFC acceptance by zone on 23/02</v>
          </cell>
          <cell r="DK791">
            <v>45323</v>
          </cell>
          <cell r="DP791">
            <v>45348</v>
          </cell>
          <cell r="DQ791">
            <v>45383</v>
          </cell>
          <cell r="DR791">
            <v>65</v>
          </cell>
          <cell r="DS791">
            <v>65</v>
          </cell>
          <cell r="DT791">
            <v>148</v>
          </cell>
          <cell r="DU791">
            <v>45448</v>
          </cell>
          <cell r="DV791">
            <v>45448</v>
          </cell>
          <cell r="DW791">
            <v>45596</v>
          </cell>
          <cell r="DX791" t="str">
            <v>Oct 24 Week 5</v>
          </cell>
          <cell r="DY791" t="str">
            <v>14-08-2024
30-09-2024
31-10-2024</v>
          </cell>
          <cell r="DZ791">
            <v>45597</v>
          </cell>
          <cell r="EA791" t="str">
            <v>Nov 24 Week 1</v>
          </cell>
          <cell r="EB791" t="str">
            <v>Backlog</v>
          </cell>
          <cell r="ED791" t="str">
            <v/>
          </cell>
          <cell r="EE791" t="str">
            <v/>
          </cell>
          <cell r="EF791">
            <v>1</v>
          </cell>
          <cell r="EG791">
            <v>1</v>
          </cell>
          <cell r="EJ791">
            <v>45390</v>
          </cell>
          <cell r="EM791">
            <v>45397</v>
          </cell>
          <cell r="EP791">
            <v>45404</v>
          </cell>
          <cell r="ES791">
            <v>45411</v>
          </cell>
          <cell r="EV791">
            <v>45418</v>
          </cell>
          <cell r="EY791" t="str">
            <v>Done</v>
          </cell>
          <cell r="EZ791">
            <v>45580</v>
          </cell>
          <cell r="FD791">
            <v>1</v>
          </cell>
          <cell r="FE791" t="str">
            <v>0 to 3 Days</v>
          </cell>
          <cell r="FF791">
            <v>36</v>
          </cell>
          <cell r="FG791" t="str">
            <v>31 to 61 Days</v>
          </cell>
          <cell r="FH791" t="str">
            <v>Done</v>
          </cell>
          <cell r="FI791">
            <v>45766</v>
          </cell>
          <cell r="FJ791">
            <v>45796</v>
          </cell>
          <cell r="FK791">
            <v>45796</v>
          </cell>
          <cell r="FM791" t="str">
            <v/>
          </cell>
          <cell r="FZ791" t="str">
            <v>FLOORING
PCC Works- 100% Done
Waterproofing- 100% Done
Tile Flooring- 100% done
STRUCTURAL WORKS
Partition- 100% done
Ceiling-100% done
Catwalk- 100% done
BOARDOUT
Façade barricading works- 100% done
WALL FRAMING
Aluming framing- 100% done
Ply cladding- 100% done
ELECTRICAL
Wall &amp; Ceiling conduiting- 100% done
Floor conduiting- 100% done
HVAC &amp; FF
CHW piping 100% done
HVAC unit instl. done</v>
          </cell>
          <cell r="GA791">
            <v>45495</v>
          </cell>
          <cell r="GB791">
            <v>45578</v>
          </cell>
          <cell r="GC791">
            <v>45578</v>
          </cell>
          <cell r="GG791" t="str">
            <v>2024-2025</v>
          </cell>
        </row>
        <row r="792">
          <cell r="E792" t="str">
            <v>1 MG, Bangalore</v>
          </cell>
          <cell r="F792" t="str">
            <v>10. Launched</v>
          </cell>
          <cell r="G792" t="str">
            <v>BETIAS11290</v>
          </cell>
          <cell r="H792" t="str">
            <v xml:space="preserve">KR-SM-BAN-1096 </v>
          </cell>
          <cell r="I792" t="str">
            <v>T5QT</v>
          </cell>
          <cell r="J792" t="str">
            <v>QL2F</v>
          </cell>
          <cell r="K792" t="str">
            <v>S</v>
          </cell>
          <cell r="L792" t="str">
            <v>AS</v>
          </cell>
          <cell r="M792" t="str">
            <v>Diwali'24 Target</v>
          </cell>
          <cell r="N792" t="str">
            <v>Sreevinoth T</v>
          </cell>
          <cell r="O792" t="str">
            <v>Santosh48 Kumar</v>
          </cell>
          <cell r="P792" t="str">
            <v>Dipankar Adhikari</v>
          </cell>
          <cell r="Q792" t="str">
            <v>Arju Tiwari</v>
          </cell>
          <cell r="R792" t="str">
            <v>Apurva Sharma</v>
          </cell>
          <cell r="S792" t="str">
            <v>Karnataka</v>
          </cell>
          <cell r="T792" t="str">
            <v>Bangalore</v>
          </cell>
          <cell r="U792" t="str">
            <v>Premium</v>
          </cell>
          <cell r="V792" t="str">
            <v>Fashion &amp; Lifestyle</v>
          </cell>
          <cell r="W792">
            <v>1831</v>
          </cell>
          <cell r="X792" t="str">
            <v>Unit 4 5 6, Tira,  1 MG mall, Swami Vivekananda Road,  Trinity Circle, Ulsoor, Bengaluru, 560008 KAR</v>
          </cell>
          <cell r="Y792">
            <v>45477</v>
          </cell>
          <cell r="Z792" t="str">
            <v>Done</v>
          </cell>
          <cell r="AA792">
            <v>45490</v>
          </cell>
          <cell r="AB792" t="str">
            <v>R0-13-02-2024
R1- 30-07-2024</v>
          </cell>
          <cell r="AC792">
            <v>45506</v>
          </cell>
          <cell r="AF792" t="str">
            <v>Done</v>
          </cell>
          <cell r="AG792" t="str">
            <v/>
          </cell>
          <cell r="AH792" t="str">
            <v>*Pre SDR Done
*Final SDR Done</v>
          </cell>
          <cell r="AI792">
            <v>45330</v>
          </cell>
          <cell r="AK792">
            <v>45523</v>
          </cell>
          <cell r="AL792" t="str">
            <v>Received</v>
          </cell>
          <cell r="AN792" t="str">
            <v>R0- 08-02-2024
R1- 23-05-2024
R2- 14-06-2024
R3- 15-07-2024
R4- 09-08-2024
R5- 13-08-2024
R6- 19-08-2024</v>
          </cell>
          <cell r="AO792">
            <v>45526</v>
          </cell>
          <cell r="AP792">
            <v>45461</v>
          </cell>
          <cell r="AQ792">
            <v>1</v>
          </cell>
          <cell r="AR792">
            <v>45461</v>
          </cell>
          <cell r="AS792">
            <v>-65</v>
          </cell>
          <cell r="AT792" t="str">
            <v>No pendency</v>
          </cell>
          <cell r="AU792">
            <v>45334</v>
          </cell>
          <cell r="AV792" t="str">
            <v>N/A</v>
          </cell>
          <cell r="AW792" t="str">
            <v>N/A</v>
          </cell>
          <cell r="AX792" t="str">
            <v>N/A</v>
          </cell>
          <cell r="AZ792" t="str">
            <v>No pendency</v>
          </cell>
          <cell r="BA792">
            <v>45335</v>
          </cell>
          <cell r="BD792">
            <v>45531</v>
          </cell>
          <cell r="BF792" t="str">
            <v>No pendency</v>
          </cell>
          <cell r="BG792">
            <v>45335</v>
          </cell>
          <cell r="BJ792">
            <v>45520</v>
          </cell>
          <cell r="BL792" t="str">
            <v>No pendency</v>
          </cell>
          <cell r="BM792">
            <v>45333</v>
          </cell>
          <cell r="BN792">
            <v>45437</v>
          </cell>
          <cell r="BO792" t="str">
            <v>No pendency</v>
          </cell>
          <cell r="BP792">
            <v>45333</v>
          </cell>
          <cell r="BQ792">
            <v>45435</v>
          </cell>
          <cell r="BR792" t="str">
            <v>No pendency</v>
          </cell>
          <cell r="BT792">
            <v>45450</v>
          </cell>
          <cell r="BU792" t="str">
            <v>No pendency</v>
          </cell>
          <cell r="BV792" t="str">
            <v>No pendency</v>
          </cell>
          <cell r="BW792" t="str">
            <v>14-06-2024</v>
          </cell>
          <cell r="BX792">
            <v>45471</v>
          </cell>
          <cell r="BY792" t="str">
            <v>Done</v>
          </cell>
          <cell r="CD792">
            <v>45450</v>
          </cell>
          <cell r="CE792" t="str">
            <v>issued</v>
          </cell>
          <cell r="CF792" t="str">
            <v>M/s. SKC Builders</v>
          </cell>
          <cell r="CG792" t="str">
            <v>M/s. SKC Builders</v>
          </cell>
          <cell r="CH792" t="str">
            <v>M/s CONQUER COOL BREEZE
M/s DF AIRCON AND VENTILATION</v>
          </cell>
          <cell r="CI792" t="str">
            <v>Issued</v>
          </cell>
          <cell r="CJ792">
            <v>45499</v>
          </cell>
          <cell r="CK792">
            <v>45499</v>
          </cell>
          <cell r="CN792">
            <v>45565</v>
          </cell>
          <cell r="CO792">
            <v>45537</v>
          </cell>
          <cell r="CP792" t="str">
            <v>HVAC- 08-09-2024
FF- 01-09-2024</v>
          </cell>
          <cell r="CQ792">
            <v>45565</v>
          </cell>
          <cell r="CR792">
            <v>45537</v>
          </cell>
          <cell r="CU792" t="str">
            <v>Done</v>
          </cell>
          <cell r="CX792">
            <v>45569</v>
          </cell>
          <cell r="CY792">
            <v>45572</v>
          </cell>
          <cell r="DA792" t="str">
            <v>RA1 Done</v>
          </cell>
          <cell r="DB792" t="str">
            <v>RA1 Done</v>
          </cell>
          <cell r="DC792" t="str">
            <v>RA1 Done</v>
          </cell>
          <cell r="DD792">
            <v>45530</v>
          </cell>
          <cell r="DE792">
            <v>90</v>
          </cell>
          <cell r="DF792">
            <v>45620</v>
          </cell>
          <cell r="DG792" t="str">
            <v>Under Dead Rent</v>
          </cell>
          <cell r="DK792">
            <v>45530</v>
          </cell>
          <cell r="DM792">
            <v>1</v>
          </cell>
          <cell r="DN792" t="str">
            <v>0 to 3 Days</v>
          </cell>
          <cell r="DP792">
            <v>45531</v>
          </cell>
          <cell r="DQ792">
            <v>45531</v>
          </cell>
          <cell r="DR792">
            <v>35</v>
          </cell>
          <cell r="DS792">
            <v>45</v>
          </cell>
          <cell r="DT792">
            <v>0</v>
          </cell>
          <cell r="DU792">
            <v>45566</v>
          </cell>
          <cell r="DV792">
            <v>45576</v>
          </cell>
          <cell r="DW792">
            <v>45566</v>
          </cell>
          <cell r="DX792" t="str">
            <v>Oct 24 Week 1</v>
          </cell>
          <cell r="DY792">
            <v>45576</v>
          </cell>
          <cell r="DZ792">
            <v>45581</v>
          </cell>
          <cell r="EA792" t="str">
            <v>Oct 24 Week 3</v>
          </cell>
          <cell r="EB792" t="str">
            <v>Backlog</v>
          </cell>
          <cell r="ED792" t="str">
            <v/>
          </cell>
          <cell r="EE792" t="str">
            <v/>
          </cell>
          <cell r="EF792">
            <v>1</v>
          </cell>
          <cell r="EG792">
            <v>1</v>
          </cell>
          <cell r="EJ792">
            <v>45538</v>
          </cell>
          <cell r="EM792">
            <v>45545</v>
          </cell>
          <cell r="EP792">
            <v>45552</v>
          </cell>
          <cell r="ES792">
            <v>45559</v>
          </cell>
          <cell r="EV792">
            <v>45566</v>
          </cell>
          <cell r="EY792" t="str">
            <v>Done</v>
          </cell>
          <cell r="EZ792">
            <v>45559</v>
          </cell>
          <cell r="FB792" t="str">
            <v>Zone</v>
          </cell>
          <cell r="FC792" t="str">
            <v>Delayed</v>
          </cell>
          <cell r="FD792">
            <v>15</v>
          </cell>
          <cell r="FE792" t="str">
            <v>8 to 15 Days</v>
          </cell>
          <cell r="FF792">
            <v>15</v>
          </cell>
          <cell r="FG792" t="str">
            <v>8 to 15 Days</v>
          </cell>
          <cell r="FH792" t="str">
            <v>Done</v>
          </cell>
          <cell r="FI792">
            <v>45728</v>
          </cell>
          <cell r="FJ792">
            <v>45590</v>
          </cell>
          <cell r="FK792">
            <v>45728</v>
          </cell>
          <cell r="FM792" t="str">
            <v>NSO</v>
          </cell>
          <cell r="FN792" t="str">
            <v>*FM HOTO Done
*Ops snags under review by NSO</v>
          </cell>
          <cell r="FP792" t="str">
            <v>Closed</v>
          </cell>
          <cell r="FS792" t="str">
            <v>Done</v>
          </cell>
          <cell r="FV792">
            <v>10454</v>
          </cell>
          <cell r="FW792">
            <v>20651983</v>
          </cell>
          <cell r="GA792">
            <v>45548</v>
          </cell>
          <cell r="GB792">
            <v>45565</v>
          </cell>
          <cell r="GC792">
            <v>45569</v>
          </cell>
          <cell r="GD792">
            <v>45568</v>
          </cell>
          <cell r="GG792" t="str">
            <v>2024-2025</v>
          </cell>
        </row>
        <row r="793">
          <cell r="E793" t="str">
            <v>RCP- Experience Center</v>
          </cell>
          <cell r="F793" t="str">
            <v>14. Dropped</v>
          </cell>
          <cell r="G793" t="str">
            <v>BETIBK11361</v>
          </cell>
          <cell r="K793" t="str">
            <v>S</v>
          </cell>
          <cell r="L793" t="str">
            <v>AS</v>
          </cell>
          <cell r="N793" t="str">
            <v>Mrudang Shah</v>
          </cell>
          <cell r="O793" t="str">
            <v>Nitin Dawange</v>
          </cell>
          <cell r="Q793" t="str">
            <v>Arju Tiwari</v>
          </cell>
          <cell r="R793" t="str">
            <v>Apurva Sharma</v>
          </cell>
          <cell r="S793" t="str">
            <v>Maharashtra</v>
          </cell>
          <cell r="T793" t="str">
            <v>Mumbai</v>
          </cell>
          <cell r="U793" t="str">
            <v>Premium</v>
          </cell>
          <cell r="V793" t="str">
            <v>Fashion &amp; Lifestyle</v>
          </cell>
          <cell r="W793">
            <v>255</v>
          </cell>
          <cell r="X793" t="str">
            <v>RCP, Ghansoli</v>
          </cell>
          <cell r="AB793">
            <v>45412</v>
          </cell>
          <cell r="AC793">
            <v>45414</v>
          </cell>
          <cell r="AD793">
            <v>45414</v>
          </cell>
          <cell r="AE793">
            <v>45414</v>
          </cell>
          <cell r="AF793" t="str">
            <v>Done</v>
          </cell>
          <cell r="AG793">
            <v>0</v>
          </cell>
          <cell r="AI793">
            <v>45426</v>
          </cell>
          <cell r="AK793">
            <v>45426</v>
          </cell>
          <cell r="AL793" t="str">
            <v>Received</v>
          </cell>
          <cell r="AM793">
            <v>9</v>
          </cell>
          <cell r="AO793">
            <v>45429</v>
          </cell>
          <cell r="AS793">
            <v>-45429</v>
          </cell>
          <cell r="AT793" t="str">
            <v>No pendency</v>
          </cell>
          <cell r="AU793">
            <v>45430</v>
          </cell>
          <cell r="AY793">
            <v>-45430</v>
          </cell>
          <cell r="AZ793" t="str">
            <v>N/A</v>
          </cell>
          <cell r="BA793">
            <v>45431</v>
          </cell>
          <cell r="BE793">
            <v>-45431</v>
          </cell>
          <cell r="BF793" t="str">
            <v>N/A</v>
          </cell>
          <cell r="BG793">
            <v>45431</v>
          </cell>
          <cell r="BK793">
            <v>-45431</v>
          </cell>
          <cell r="BM793">
            <v>45429</v>
          </cell>
          <cell r="BO793" t="str">
            <v>N/A</v>
          </cell>
          <cell r="BP793">
            <v>45429</v>
          </cell>
          <cell r="BR793" t="str">
            <v>N/A</v>
          </cell>
          <cell r="BU793" t="str">
            <v>No pendency</v>
          </cell>
          <cell r="BV793" t="str">
            <v>No pendency</v>
          </cell>
          <cell r="BW793" t="str">
            <v>03-06-2024</v>
          </cell>
          <cell r="BY793" t="str">
            <v>pending</v>
          </cell>
          <cell r="DG793" t="str">
            <v/>
          </cell>
          <cell r="DM793">
            <v>46002</v>
          </cell>
          <cell r="DR793">
            <v>35</v>
          </cell>
          <cell r="DS793">
            <v>45</v>
          </cell>
          <cell r="DX793" t="str">
            <v/>
          </cell>
          <cell r="EA793" t="str">
            <v/>
          </cell>
          <cell r="ED793" t="str">
            <v/>
          </cell>
          <cell r="EE793" t="str">
            <v/>
          </cell>
          <cell r="EJ793">
            <v>7</v>
          </cell>
          <cell r="EM793">
            <v>14</v>
          </cell>
          <cell r="EP793">
            <v>21</v>
          </cell>
          <cell r="ES793">
            <v>28</v>
          </cell>
          <cell r="EV793">
            <v>35</v>
          </cell>
          <cell r="FF793">
            <v>45967</v>
          </cell>
          <cell r="FM793" t="str">
            <v/>
          </cell>
          <cell r="GG793" t="str">
            <v>2025-2026</v>
          </cell>
        </row>
        <row r="794">
          <cell r="E794" t="str">
            <v>High Street Phoenix - Palladium Mall - Lower Parel</v>
          </cell>
          <cell r="F794" t="str">
            <v>10. Launched</v>
          </cell>
          <cell r="G794" t="str">
            <v>BETIBK11322</v>
          </cell>
          <cell r="H794" t="str">
            <v>MU-SM-GMU-768</v>
          </cell>
          <cell r="I794" t="str">
            <v>T7PC</v>
          </cell>
          <cell r="J794" t="str">
            <v>QP8S</v>
          </cell>
          <cell r="K794" t="str">
            <v>W</v>
          </cell>
          <cell r="L794" t="str">
            <v>BK</v>
          </cell>
          <cell r="M794" t="str">
            <v>N/A</v>
          </cell>
          <cell r="N794" t="str">
            <v>Mrudang Shah</v>
          </cell>
          <cell r="O794" t="str">
            <v>Nitin Dawange</v>
          </cell>
          <cell r="P794" t="str">
            <v>Sunil G</v>
          </cell>
          <cell r="Q794" t="str">
            <v>Arju Tiwari</v>
          </cell>
          <cell r="R794" t="str">
            <v>Apurva Sharma</v>
          </cell>
          <cell r="S794" t="str">
            <v>Maharashtra</v>
          </cell>
          <cell r="T794" t="str">
            <v>Mumbai</v>
          </cell>
          <cell r="U794" t="str">
            <v>Premium</v>
          </cell>
          <cell r="V794" t="str">
            <v>Fashion &amp; Lifestyle</v>
          </cell>
          <cell r="W794">
            <v>3817</v>
          </cell>
          <cell r="X794" t="str">
            <v>TIRA at Rise 2, Phoenix Palladium, Lower Parel</v>
          </cell>
          <cell r="Y794">
            <v>45546</v>
          </cell>
          <cell r="Z794" t="str">
            <v>Done</v>
          </cell>
          <cell r="AA794">
            <v>45551</v>
          </cell>
          <cell r="AB794" t="str">
            <v>R0-23-04-2024
R1-05-07-2024</v>
          </cell>
          <cell r="AF794" t="str">
            <v>Done</v>
          </cell>
          <cell r="AG794" t="str">
            <v/>
          </cell>
          <cell r="AH794" t="str">
            <v>*Pre SDR Done
*Final SDR Done</v>
          </cell>
          <cell r="AI794">
            <v>45510</v>
          </cell>
          <cell r="AK794">
            <v>45635</v>
          </cell>
          <cell r="AL794" t="str">
            <v>Received</v>
          </cell>
          <cell r="AN794" t="str">
            <v>R0- 05-08-2024
R1- 15-08-2024
R2- 09-09-2024
R3- 21-11-2024
R4- 02-12-2024
R5- 06-12-2024
R6- 09-12-2024</v>
          </cell>
          <cell r="AO794">
            <v>45513</v>
          </cell>
          <cell r="AP794">
            <v>45534</v>
          </cell>
          <cell r="AR794">
            <v>45547</v>
          </cell>
          <cell r="AS794">
            <v>21</v>
          </cell>
          <cell r="AT794" t="str">
            <v>No pendency</v>
          </cell>
          <cell r="AU794">
            <v>45514</v>
          </cell>
          <cell r="AV794">
            <v>45591</v>
          </cell>
          <cell r="AY794">
            <v>77</v>
          </cell>
          <cell r="AZ794" t="str">
            <v>No pendency</v>
          </cell>
          <cell r="BA794">
            <v>45515</v>
          </cell>
          <cell r="BE794">
            <v>-45515</v>
          </cell>
          <cell r="BF794" t="str">
            <v>No pendency</v>
          </cell>
          <cell r="BG794">
            <v>45515</v>
          </cell>
          <cell r="BK794">
            <v>-45515</v>
          </cell>
          <cell r="BL794" t="str">
            <v>No pendency</v>
          </cell>
          <cell r="BM794">
            <v>45513</v>
          </cell>
          <cell r="BN794">
            <v>45510</v>
          </cell>
          <cell r="BO794" t="str">
            <v>No pendency</v>
          </cell>
          <cell r="BP794">
            <v>45513</v>
          </cell>
          <cell r="BR794" t="str">
            <v>No pendency</v>
          </cell>
          <cell r="BU794" t="str">
            <v>No pendency</v>
          </cell>
          <cell r="BV794" t="str">
            <v>No pendency</v>
          </cell>
          <cell r="BW794" t="str">
            <v>23-08-2024</v>
          </cell>
          <cell r="BX794">
            <v>45539</v>
          </cell>
          <cell r="BY794" t="str">
            <v>Approved</v>
          </cell>
          <cell r="CD794">
            <v>45523</v>
          </cell>
          <cell r="CE794">
            <v>45559</v>
          </cell>
          <cell r="CF794" t="str">
            <v>M/s Hirfal Interior</v>
          </cell>
          <cell r="CG794" t="str">
            <v>M/s TVISHA TECHNOLOGIES</v>
          </cell>
          <cell r="CH794" t="str">
            <v>HVAC- M/s HIGH TECH HVAC SYSTEM
FF- M/s Nayab Electricals</v>
          </cell>
          <cell r="CI794" t="str">
            <v>Done</v>
          </cell>
          <cell r="CJ794">
            <v>45559</v>
          </cell>
          <cell r="CK794">
            <v>45559</v>
          </cell>
          <cell r="CL794">
            <v>45551</v>
          </cell>
          <cell r="CN794">
            <v>45567</v>
          </cell>
          <cell r="CO794">
            <v>45570</v>
          </cell>
          <cell r="CP794">
            <v>45565</v>
          </cell>
          <cell r="CQ794">
            <v>45587</v>
          </cell>
          <cell r="CR794">
            <v>45572</v>
          </cell>
          <cell r="CS794">
            <v>45565</v>
          </cell>
          <cell r="CT794">
            <v>45582</v>
          </cell>
          <cell r="CU794">
            <v>45574</v>
          </cell>
          <cell r="CV794">
            <v>45579</v>
          </cell>
          <cell r="CW794" t="str">
            <v>Civil &amp; FF- PR done on R0
Ele/HVA- PR done on R1</v>
          </cell>
          <cell r="DA794" t="str">
            <v>RA1 Done</v>
          </cell>
          <cell r="DB794" t="str">
            <v>RA1 Done</v>
          </cell>
          <cell r="DC794" t="str">
            <v>RA1 Done</v>
          </cell>
          <cell r="DD794">
            <v>45552</v>
          </cell>
          <cell r="DE794">
            <v>120</v>
          </cell>
          <cell r="DF794">
            <v>45672</v>
          </cell>
          <cell r="DG794" t="str">
            <v>Under Dead Rent</v>
          </cell>
          <cell r="DK794">
            <v>45552</v>
          </cell>
          <cell r="DL794">
            <v>45553</v>
          </cell>
          <cell r="DP794">
            <v>45579</v>
          </cell>
          <cell r="DQ794">
            <v>45579</v>
          </cell>
          <cell r="DR794">
            <v>35</v>
          </cell>
          <cell r="DS794">
            <v>45</v>
          </cell>
          <cell r="DT794">
            <v>53</v>
          </cell>
          <cell r="DU794">
            <v>45614</v>
          </cell>
          <cell r="DV794">
            <v>45624</v>
          </cell>
          <cell r="DW794">
            <v>45667</v>
          </cell>
          <cell r="DX794" t="str">
            <v>Jan 25 Week 2</v>
          </cell>
          <cell r="DY794" t="str">
            <v>28-11-2024
10-01-2025</v>
          </cell>
          <cell r="DZ794">
            <v>45672</v>
          </cell>
          <cell r="EA794" t="str">
            <v>Jan 25 Week 3</v>
          </cell>
          <cell r="EB794" t="str">
            <v>Backlog</v>
          </cell>
          <cell r="ED794" t="str">
            <v/>
          </cell>
          <cell r="EE794" t="str">
            <v/>
          </cell>
          <cell r="EF794">
            <v>1</v>
          </cell>
          <cell r="EG794">
            <v>1</v>
          </cell>
          <cell r="EJ794">
            <v>45586</v>
          </cell>
          <cell r="EM794">
            <v>45593</v>
          </cell>
          <cell r="EP794">
            <v>45600</v>
          </cell>
          <cell r="ES794">
            <v>45607</v>
          </cell>
          <cell r="EV794">
            <v>45614</v>
          </cell>
          <cell r="EZ794">
            <v>45602</v>
          </cell>
          <cell r="FB794" t="str">
            <v>NSO/Business</v>
          </cell>
          <cell r="FC794" t="str">
            <v>Delayed</v>
          </cell>
          <cell r="FD794">
            <v>5</v>
          </cell>
          <cell r="FE794" t="str">
            <v>4 to 7 Days</v>
          </cell>
          <cell r="FF794">
            <v>5</v>
          </cell>
          <cell r="FG794" t="str">
            <v>4 to 7 Days</v>
          </cell>
          <cell r="FH794" t="str">
            <v>Done</v>
          </cell>
          <cell r="FI794">
            <v>45723</v>
          </cell>
          <cell r="FJ794">
            <v>45723</v>
          </cell>
          <cell r="FK794">
            <v>45723</v>
          </cell>
          <cell r="FM794" t="str">
            <v/>
          </cell>
          <cell r="GA794" t="str">
            <v>Done</v>
          </cell>
          <cell r="GB794" t="str">
            <v>Done</v>
          </cell>
          <cell r="GC794" t="str">
            <v>Done</v>
          </cell>
          <cell r="GD794" t="str">
            <v>Done</v>
          </cell>
          <cell r="GE794" t="str">
            <v>Done</v>
          </cell>
          <cell r="GF794" t="str">
            <v>BETIBK11322</v>
          </cell>
          <cell r="GG794" t="str">
            <v>2024-2025</v>
          </cell>
        </row>
        <row r="795">
          <cell r="E795" t="str">
            <v xml:space="preserve"> Kemps Corner</v>
          </cell>
          <cell r="F795" t="str">
            <v>11. HOLD</v>
          </cell>
          <cell r="G795" t="str">
            <v>BETIBK11360</v>
          </cell>
          <cell r="K795" t="str">
            <v>W</v>
          </cell>
          <cell r="L795" t="str">
            <v>BK</v>
          </cell>
          <cell r="M795" t="str">
            <v>N/A</v>
          </cell>
          <cell r="N795" t="str">
            <v>Nitin Dawange</v>
          </cell>
          <cell r="O795" t="str">
            <v>Nitin Dawange</v>
          </cell>
          <cell r="P795" t="str">
            <v>Sunil G</v>
          </cell>
          <cell r="Q795" t="str">
            <v>Arju Tiwari</v>
          </cell>
          <cell r="R795" t="str">
            <v>Apurva Sharma</v>
          </cell>
          <cell r="S795" t="str">
            <v>GMU</v>
          </cell>
          <cell r="T795" t="str">
            <v>Mumbai</v>
          </cell>
          <cell r="U795" t="str">
            <v>Premium</v>
          </cell>
          <cell r="V795" t="str">
            <v>Fashion &amp; Lifestyle</v>
          </cell>
          <cell r="W795">
            <v>3021.13</v>
          </cell>
          <cell r="X795" t="str">
            <v>Anita Dongre at Delstar Building, Kemps Corner, Mumbai – 400036.</v>
          </cell>
          <cell r="Z795" t="str">
            <v>Stage Awaited</v>
          </cell>
          <cell r="AB795" t="str">
            <v>14-05-2024
R1- 04-09-2024</v>
          </cell>
          <cell r="AE795">
            <v>45546</v>
          </cell>
          <cell r="AF795" t="str">
            <v>Done</v>
          </cell>
          <cell r="AG795" t="str">
            <v/>
          </cell>
          <cell r="AH795" t="str">
            <v>*R0- Pre SDR done as site is not ready
*R1- SDR Visit  Done, Partial report recd. Checklist pending</v>
          </cell>
          <cell r="AI795">
            <v>45575</v>
          </cell>
          <cell r="AK795">
            <v>45637</v>
          </cell>
          <cell r="AL795" t="str">
            <v xml:space="preserve"> Done</v>
          </cell>
          <cell r="AM795">
            <v>26</v>
          </cell>
          <cell r="AN795" t="str">
            <v>R0- 10-10-2024
R1- 16-10-2024
R2- 17-10-2024
R3- 19-11-2024
R4- 11-12-2024</v>
          </cell>
          <cell r="AO795">
            <v>45578</v>
          </cell>
          <cell r="AS795">
            <v>-45578</v>
          </cell>
          <cell r="AT795" t="str">
            <v>*Chandelier GFC &amp; BOQ pending</v>
          </cell>
          <cell r="AU795">
            <v>45579</v>
          </cell>
          <cell r="AY795">
            <v>-45579</v>
          </cell>
          <cell r="AZ795" t="str">
            <v>N/A</v>
          </cell>
          <cell r="BA795">
            <v>45580</v>
          </cell>
          <cell r="BE795">
            <v>-45580</v>
          </cell>
          <cell r="BF795" t="str">
            <v>*GFC pending</v>
          </cell>
          <cell r="BG795">
            <v>45580</v>
          </cell>
          <cell r="BK795">
            <v>-45580</v>
          </cell>
          <cell r="BL795" t="str">
            <v>No pendency</v>
          </cell>
          <cell r="BM795">
            <v>45578</v>
          </cell>
          <cell r="BO795" t="str">
            <v>No pendency</v>
          </cell>
          <cell r="BP795">
            <v>45578</v>
          </cell>
          <cell r="BR795" t="str">
            <v>No pendency</v>
          </cell>
          <cell r="BU795" t="str">
            <v>HVAC/FF- GFC &amp; BOQ pending
Civil- Chandelier GFC pending</v>
          </cell>
          <cell r="BV795" t="str">
            <v>Pending</v>
          </cell>
          <cell r="CD795">
            <v>45626</v>
          </cell>
          <cell r="DG795" t="str">
            <v/>
          </cell>
          <cell r="DJ795" t="str">
            <v>*RFC Taken By RE/NSO on 03-10-2024
*RFC acceptance by EPC- Budget approval awaited</v>
          </cell>
          <cell r="DK795">
            <v>45568</v>
          </cell>
          <cell r="DM795">
            <v>434</v>
          </cell>
          <cell r="DN795" t="str">
            <v>&gt; 30 Days</v>
          </cell>
          <cell r="DR795">
            <v>35</v>
          </cell>
          <cell r="DS795">
            <v>45</v>
          </cell>
          <cell r="DX795" t="str">
            <v/>
          </cell>
          <cell r="EA795" t="str">
            <v/>
          </cell>
          <cell r="ED795" t="str">
            <v/>
          </cell>
          <cell r="EE795" t="str">
            <v/>
          </cell>
          <cell r="EJ795">
            <v>7</v>
          </cell>
          <cell r="EM795">
            <v>14</v>
          </cell>
          <cell r="EP795">
            <v>21</v>
          </cell>
          <cell r="ES795">
            <v>28</v>
          </cell>
          <cell r="EV795">
            <v>35</v>
          </cell>
          <cell r="FF795">
            <v>45967</v>
          </cell>
          <cell r="FM795" t="str">
            <v/>
          </cell>
          <cell r="GG795" t="str">
            <v>2025-2026</v>
          </cell>
        </row>
        <row r="796">
          <cell r="E796" t="str">
            <v>Sky City Mall, Borivali</v>
          </cell>
          <cell r="F796" t="str">
            <v>10. Launched</v>
          </cell>
          <cell r="G796" t="str">
            <v>BETIBK11401</v>
          </cell>
          <cell r="H796" t="str">
            <v>MU-SM-GMU-790</v>
          </cell>
          <cell r="I796" t="str">
            <v>T8FL</v>
          </cell>
          <cell r="J796" t="str">
            <v>QS0F</v>
          </cell>
          <cell r="K796" t="str">
            <v>W</v>
          </cell>
          <cell r="L796" t="str">
            <v>BK</v>
          </cell>
          <cell r="M796" t="str">
            <v>N/A</v>
          </cell>
          <cell r="N796" t="str">
            <v>Ramchandrabhan J</v>
          </cell>
          <cell r="O796" t="str">
            <v>Nitin Dawange</v>
          </cell>
          <cell r="P796" t="str">
            <v>Abhijit Patil</v>
          </cell>
          <cell r="Q796" t="str">
            <v>Arju Tiwari</v>
          </cell>
          <cell r="R796" t="str">
            <v>Apurva Sharma</v>
          </cell>
          <cell r="S796" t="str">
            <v>GMU</v>
          </cell>
          <cell r="T796" t="str">
            <v>Mumbai</v>
          </cell>
          <cell r="U796" t="str">
            <v>Premium</v>
          </cell>
          <cell r="V796" t="str">
            <v>Fashion &amp; Lifestyle</v>
          </cell>
          <cell r="W796">
            <v>3090</v>
          </cell>
          <cell r="X796" t="str">
            <v xml:space="preserve">UNIT- G- 22 Sky City Mall, Borivali  East </v>
          </cell>
          <cell r="Y796">
            <v>45579</v>
          </cell>
          <cell r="Z796" t="str">
            <v>Done</v>
          </cell>
          <cell r="AA796">
            <v>45609</v>
          </cell>
          <cell r="AB796">
            <v>45477</v>
          </cell>
          <cell r="AC796">
            <v>45483</v>
          </cell>
          <cell r="AD796">
            <v>45490</v>
          </cell>
          <cell r="AE796">
            <v>45490</v>
          </cell>
          <cell r="AF796" t="str">
            <v>Done</v>
          </cell>
          <cell r="AG796">
            <v>8</v>
          </cell>
          <cell r="AH796" t="str">
            <v>*SDR Visit done
*SDR docket done</v>
          </cell>
          <cell r="AI796">
            <v>45524</v>
          </cell>
          <cell r="AK796">
            <v>45678</v>
          </cell>
          <cell r="AL796" t="str">
            <v>Received</v>
          </cell>
          <cell r="AM796">
            <v>31</v>
          </cell>
          <cell r="AN796" t="str">
            <v>R0- 20-08-2024
R1- 27-08-2024
R2- 10-10-2024
R3- 21-11-2024
R4- 09-12-2024
R5- 13-12-2024
R6- 21-01-2025</v>
          </cell>
          <cell r="AO796">
            <v>45529</v>
          </cell>
          <cell r="AP796">
            <v>45540</v>
          </cell>
          <cell r="AR796">
            <v>45679</v>
          </cell>
          <cell r="AS796">
            <v>11</v>
          </cell>
          <cell r="AT796" t="str">
            <v>05-09-2024 (As per R1 ML)
21-10-2024 (As pr R2 ML)
06-12-2024 (As per R3 ML)
12-12-2024 (As per R4 ML)
17-12-2024 (A s per R5 ML)
22-01-2025(As per R6 ML)
30-01-2025(only façade)</v>
          </cell>
          <cell r="AU796">
            <v>45529</v>
          </cell>
          <cell r="AV796">
            <v>45618</v>
          </cell>
          <cell r="AW796" t="str">
            <v>R2</v>
          </cell>
          <cell r="AX796">
            <v>45653</v>
          </cell>
          <cell r="AY796">
            <v>89</v>
          </cell>
          <cell r="AZ796" t="str">
            <v>*No Delay As str. Scope was as per site reqirement during WIP stage</v>
          </cell>
          <cell r="BA796">
            <v>45529</v>
          </cell>
          <cell r="BB796">
            <v>45546</v>
          </cell>
          <cell r="BD796">
            <v>45644</v>
          </cell>
          <cell r="BE796">
            <v>16</v>
          </cell>
          <cell r="BF796" t="str">
            <v>R0-11-09-2024 (As per R1 ML)
R1- 25-10-2024 (As per R2 ML)
R2- 18-12-2024 (As per R5 ML)</v>
          </cell>
          <cell r="BG796">
            <v>45529</v>
          </cell>
          <cell r="BH796">
            <v>45540</v>
          </cell>
          <cell r="BJ796">
            <v>45646</v>
          </cell>
          <cell r="BK796">
            <v>10</v>
          </cell>
          <cell r="BL796" t="str">
            <v>R0-05-09-2024(As per R1 ML)
R1- 17-10-2024 (As per R2 ML)
R2- 10-12-2024 (As per R3 ML)
R3- 13-12-2024 (As per R4 ML)
R4- 20-12-2024 (As per R5 ML)</v>
          </cell>
          <cell r="BM796">
            <v>45529</v>
          </cell>
          <cell r="BN796">
            <v>45525</v>
          </cell>
          <cell r="BO796" t="str">
            <v>R0- 21-08-2024
R2- 10-10-2024 (As per R2 ML)
R3- 25-11-2024 (As per R3 ML)
R4- 11-12-2024 (As per R4 ML)
R5- 18-12-2024 (As per R5 ML)
R6- 22-01-2025 (As per R6 ML)</v>
          </cell>
          <cell r="BP796">
            <v>45529</v>
          </cell>
          <cell r="BQ796">
            <v>45533</v>
          </cell>
          <cell r="BR796" t="str">
            <v>R0-29-08-2024 ( as per R1 ML)
R1-10-10-2024 (As per R2 ML)
R2-07-11-2024 (As per R2 ML incorp mall comments)
R3-25-11-2024 (As per R3 ML)
R4-16-12-2024 (As per R5 ML)</v>
          </cell>
          <cell r="BS796">
            <v>45529</v>
          </cell>
          <cell r="BT796">
            <v>45532</v>
          </cell>
          <cell r="BU796" t="str">
            <v>No pendency</v>
          </cell>
          <cell r="BV796" t="str">
            <v>No pendency</v>
          </cell>
          <cell r="BW796" t="str">
            <v>09-09-2024</v>
          </cell>
          <cell r="BX796">
            <v>45562</v>
          </cell>
          <cell r="BY796" t="str">
            <v>Done</v>
          </cell>
          <cell r="BZ796" t="str">
            <v>Approved</v>
          </cell>
          <cell r="CA796" t="str">
            <v>Approved</v>
          </cell>
          <cell r="CC796" t="str">
            <v>Delayed</v>
          </cell>
          <cell r="CD796" t="str">
            <v>Done</v>
          </cell>
          <cell r="CE796">
            <v>45610</v>
          </cell>
          <cell r="CF796" t="str">
            <v>A K Interiors
WO no. 73701864</v>
          </cell>
          <cell r="CG796" t="str">
            <v>Tvisha Techonologies
Wo no. 73701878</v>
          </cell>
          <cell r="CH796" t="str">
            <v>FF- Nayab Electricals (73701879)   
HVAC- Noble Aircon (73508988)</v>
          </cell>
          <cell r="CJ796">
            <v>45610</v>
          </cell>
          <cell r="CK796">
            <v>45610</v>
          </cell>
          <cell r="CL796">
            <v>45610</v>
          </cell>
          <cell r="CN796">
            <v>45659</v>
          </cell>
          <cell r="CO796">
            <v>45637</v>
          </cell>
          <cell r="CP796">
            <v>45635</v>
          </cell>
          <cell r="CQ796">
            <v>45667</v>
          </cell>
          <cell r="CR796">
            <v>45638</v>
          </cell>
          <cell r="CS796">
            <v>45637</v>
          </cell>
          <cell r="CU796">
            <v>45688</v>
          </cell>
          <cell r="CW796" t="str">
            <v>PR Done on R0 on 14-11-2024</v>
          </cell>
          <cell r="CX796">
            <v>45610</v>
          </cell>
          <cell r="CY796">
            <v>45610</v>
          </cell>
          <cell r="CZ796">
            <v>45610</v>
          </cell>
          <cell r="DA796" t="str">
            <v>RA1 Done</v>
          </cell>
          <cell r="DB796" t="str">
            <v>RA1 Done</v>
          </cell>
          <cell r="DC796" t="str">
            <v>RA1 Done</v>
          </cell>
          <cell r="DD796">
            <v>45561</v>
          </cell>
          <cell r="DE796">
            <v>90</v>
          </cell>
          <cell r="DF796">
            <v>45658</v>
          </cell>
          <cell r="DG796" t="str">
            <v>Under Dead Rent</v>
          </cell>
          <cell r="DH796" t="str">
            <v>*Budget approval recd.on 27-09
*Store code recd. On 09-10-2024
*WO approval from management received on 09-11-2024
*MDM isuuse resolved on 13-11-2024
*WO releasd on 18-11-2024
* Indemnity Bond submitted by NSO on 04-12-2024
*RFC Acceptance by EPC- 05-12-2024</v>
          </cell>
          <cell r="DJ796" t="str">
            <v>*Budget approval recd.on 27-09
*Store code recd. On 09-10-2024
*WO approval from management received on 09-11-2024
*MDM isuuse resolved on 13-11-2024
*WO releasd on 18-11-2024
* Indemnity Bond submitted by NSO on 04-12-2024
*RFC Acceptance by EPC- 05-12-2024</v>
          </cell>
          <cell r="DK796">
            <v>45568</v>
          </cell>
          <cell r="DL796">
            <v>45579</v>
          </cell>
          <cell r="DM796">
            <v>67</v>
          </cell>
          <cell r="DN796" t="str">
            <v>&gt; 30 Days</v>
          </cell>
          <cell r="DP796">
            <v>45635</v>
          </cell>
          <cell r="DQ796">
            <v>45635</v>
          </cell>
          <cell r="DR796">
            <v>35</v>
          </cell>
          <cell r="DS796">
            <v>45</v>
          </cell>
          <cell r="DT796">
            <v>67</v>
          </cell>
          <cell r="DU796">
            <v>45670</v>
          </cell>
          <cell r="DV796">
            <v>45680</v>
          </cell>
          <cell r="DW796">
            <v>45731</v>
          </cell>
          <cell r="DX796" t="str">
            <v>Feb 25 Week 2</v>
          </cell>
          <cell r="DY796">
            <v>45737</v>
          </cell>
          <cell r="DZ796">
            <v>45738</v>
          </cell>
          <cell r="EA796" t="str">
            <v>March 25 Week 4</v>
          </cell>
          <cell r="EB796" t="str">
            <v>Backlog</v>
          </cell>
          <cell r="ED796" t="str">
            <v/>
          </cell>
          <cell r="EE796" t="str">
            <v/>
          </cell>
          <cell r="EF796">
            <v>1</v>
          </cell>
          <cell r="EG796">
            <v>1</v>
          </cell>
          <cell r="EJ796">
            <v>45642</v>
          </cell>
          <cell r="EM796">
            <v>45649</v>
          </cell>
          <cell r="EP796">
            <v>45656</v>
          </cell>
          <cell r="ES796">
            <v>45663</v>
          </cell>
          <cell r="EV796">
            <v>45670</v>
          </cell>
          <cell r="FB796" t="str">
            <v>EPC Zone</v>
          </cell>
          <cell r="FC796" t="str">
            <v>Delayed</v>
          </cell>
          <cell r="FD796">
            <v>7</v>
          </cell>
          <cell r="FE796" t="str">
            <v>4 to 7 Days</v>
          </cell>
          <cell r="FF796">
            <v>1</v>
          </cell>
          <cell r="FG796" t="str">
            <v>0 to 3 Days</v>
          </cell>
          <cell r="FH796" t="str">
            <v>Done</v>
          </cell>
          <cell r="FI796">
            <v>45811</v>
          </cell>
          <cell r="FJ796">
            <v>45811</v>
          </cell>
          <cell r="FK796">
            <v>45811</v>
          </cell>
          <cell r="FM796" t="str">
            <v/>
          </cell>
          <cell r="FV796">
            <v>10454</v>
          </cell>
          <cell r="FW796">
            <v>26665944</v>
          </cell>
          <cell r="FX796">
            <v>6393383</v>
          </cell>
          <cell r="FZ796" t="str">
            <v xml:space="preserve">Civil
*Framing- Done
*Wall Partition &amp; Panelling-Done
*Flooring- WIP
*Ceiling Closure- 70% done
*Fluted MDF instl- WIP
Ele
*Conduiting Done
*Cabling &amp; Wiring Done
HVAC
*Ducting done
*CHW connection WIP
*AHU hanging done
FF
*All works completed
CRITICAL WORKS
1) Façade- Shutter delivery pending
2) 600 x 600mm Tile Shifting
3) Revised IT Lock &amp; Key Callout
4) BOH grid ceiling material delivery
5) Fire door delivery
</v>
          </cell>
          <cell r="GA796" t="str">
            <v>Done</v>
          </cell>
          <cell r="GB796" t="str">
            <v>Done</v>
          </cell>
          <cell r="GC796" t="str">
            <v>Done</v>
          </cell>
          <cell r="GD796" t="str">
            <v>Done</v>
          </cell>
          <cell r="GE796" t="str">
            <v>Pending</v>
          </cell>
          <cell r="GF796" t="str">
            <v>BETIBK11401</v>
          </cell>
          <cell r="GG796" t="str">
            <v>2024-2025</v>
          </cell>
        </row>
        <row r="797">
          <cell r="E797" t="str">
            <v>4 Refit Stores</v>
          </cell>
          <cell r="F797" t="str">
            <v>14. Dropped</v>
          </cell>
          <cell r="K797" t="str">
            <v>W</v>
          </cell>
          <cell r="L797" t="str">
            <v>BK</v>
          </cell>
          <cell r="N797" t="str">
            <v>Mrudang Shah</v>
          </cell>
          <cell r="O797" t="str">
            <v>Nitin Dawange</v>
          </cell>
          <cell r="Q797" t="str">
            <v>Arju Tiwari</v>
          </cell>
          <cell r="R797" t="str">
            <v>Apurva Sharma</v>
          </cell>
          <cell r="S797" t="str">
            <v>Maharashtra</v>
          </cell>
          <cell r="T797" t="str">
            <v>Mumbai</v>
          </cell>
          <cell r="U797" t="str">
            <v>Premium</v>
          </cell>
          <cell r="V797" t="str">
            <v>Fashion &amp; Lifestyle</v>
          </cell>
          <cell r="W797" t="str">
            <v>N/A</v>
          </cell>
          <cell r="X797" t="str">
            <v>Infiniti Malad, Andheri, Thane, JWD</v>
          </cell>
          <cell r="AG797" t="str">
            <v/>
          </cell>
          <cell r="AM797">
            <v>-3</v>
          </cell>
          <cell r="AT797" t="str">
            <v>21-10-2024 (As pr R2 ML)</v>
          </cell>
          <cell r="BU797" t="str">
            <v>No pendency</v>
          </cell>
          <cell r="DX797" t="str">
            <v/>
          </cell>
          <cell r="EA797" t="str">
            <v/>
          </cell>
          <cell r="ED797" t="str">
            <v/>
          </cell>
          <cell r="EE797" t="str">
            <v/>
          </cell>
          <cell r="FF797">
            <v>46002</v>
          </cell>
          <cell r="FM797" t="str">
            <v/>
          </cell>
          <cell r="GG797" t="str">
            <v>2025-2026</v>
          </cell>
        </row>
        <row r="798">
          <cell r="E798" t="str">
            <v>Pacific Delhi</v>
          </cell>
          <cell r="F798" t="str">
            <v>13. NRFC</v>
          </cell>
          <cell r="K798" t="str">
            <v>N</v>
          </cell>
          <cell r="L798" t="str">
            <v>RT</v>
          </cell>
          <cell r="N798" t="str">
            <v>Mrinal Kulkarni</v>
          </cell>
          <cell r="Q798" t="str">
            <v>Arju Tiwari</v>
          </cell>
          <cell r="R798" t="str">
            <v>Apurva Sharma</v>
          </cell>
          <cell r="S798" t="str">
            <v>Delhi</v>
          </cell>
          <cell r="T798" t="str">
            <v>Mumbai</v>
          </cell>
          <cell r="U798" t="str">
            <v>Premium</v>
          </cell>
          <cell r="V798" t="str">
            <v>Fashion &amp; Lifestyle</v>
          </cell>
          <cell r="W798" t="str">
            <v>2195 approx</v>
          </cell>
          <cell r="AB798" t="str">
            <v>SDR Callout awaited</v>
          </cell>
          <cell r="AG798" t="str">
            <v/>
          </cell>
          <cell r="AM798">
            <v>-3</v>
          </cell>
          <cell r="AT798" t="str">
            <v>06-12-2024 (As per R3 ML)</v>
          </cell>
          <cell r="DJ798" t="str">
            <v>01-12-2024 (tentative RFC)</v>
          </cell>
          <cell r="DX798" t="str">
            <v/>
          </cell>
          <cell r="EA798" t="str">
            <v/>
          </cell>
          <cell r="ED798" t="str">
            <v/>
          </cell>
          <cell r="EE798" t="str">
            <v/>
          </cell>
          <cell r="FF798">
            <v>46002</v>
          </cell>
          <cell r="FM798" t="str">
            <v/>
          </cell>
          <cell r="GG798" t="str">
            <v>2025-2026</v>
          </cell>
        </row>
        <row r="799">
          <cell r="E799" t="str">
            <v>(Nexus/ Forum) Bangalore</v>
          </cell>
          <cell r="F799" t="str">
            <v>13. NRFC</v>
          </cell>
          <cell r="K799" t="str">
            <v>S</v>
          </cell>
          <cell r="L799" t="str">
            <v>AS</v>
          </cell>
          <cell r="N799" t="str">
            <v>Sreevinoth T</v>
          </cell>
          <cell r="O799" t="str">
            <v>Santosh48 Kumar</v>
          </cell>
          <cell r="Q799" t="str">
            <v>Arju Tiwari</v>
          </cell>
          <cell r="R799" t="str">
            <v>Apurva Sharma</v>
          </cell>
          <cell r="S799" t="str">
            <v>Karnataka</v>
          </cell>
          <cell r="T799" t="str">
            <v>Bangalore</v>
          </cell>
          <cell r="U799" t="str">
            <v>Premium</v>
          </cell>
          <cell r="V799" t="str">
            <v>Fashion &amp; Lifestyle</v>
          </cell>
          <cell r="W799" t="str">
            <v>1900 approx</v>
          </cell>
          <cell r="AB799" t="str">
            <v>SDR Callout awaited</v>
          </cell>
          <cell r="AG799" t="str">
            <v/>
          </cell>
          <cell r="AM799">
            <v>-3</v>
          </cell>
          <cell r="AT799" t="str">
            <v>12-12-2024 (As per R4 ML)</v>
          </cell>
          <cell r="DJ799" t="str">
            <v>30-12-2024 (tentative RFC)</v>
          </cell>
          <cell r="DX799" t="str">
            <v/>
          </cell>
          <cell r="EA799" t="str">
            <v/>
          </cell>
          <cell r="ED799" t="str">
            <v/>
          </cell>
          <cell r="EE799" t="str">
            <v/>
          </cell>
          <cell r="FF799">
            <v>46002</v>
          </cell>
          <cell r="FM799" t="str">
            <v/>
          </cell>
          <cell r="GG799" t="str">
            <v>2025-2026</v>
          </cell>
        </row>
        <row r="800">
          <cell r="E800" t="str">
            <v>AND, Linking Road</v>
          </cell>
          <cell r="F800" t="str">
            <v>13. NRFC</v>
          </cell>
          <cell r="K800" t="str">
            <v>W</v>
          </cell>
          <cell r="L800" t="str">
            <v>BK</v>
          </cell>
          <cell r="N800" t="str">
            <v>Ramchandrabhan J</v>
          </cell>
          <cell r="O800" t="str">
            <v>Nitin Dawange</v>
          </cell>
          <cell r="Q800" t="str">
            <v>Arju Tiwari</v>
          </cell>
          <cell r="R800" t="str">
            <v>Apurva Sharma</v>
          </cell>
          <cell r="S800" t="str">
            <v>GMU</v>
          </cell>
          <cell r="T800" t="str">
            <v>Mumbai</v>
          </cell>
          <cell r="U800" t="str">
            <v>Premium</v>
          </cell>
          <cell r="V800" t="str">
            <v>Fashion &amp; Lifestyle</v>
          </cell>
          <cell r="W800" t="str">
            <v>2000 approx</v>
          </cell>
          <cell r="AB800" t="str">
            <v>SDR Callout awaited</v>
          </cell>
          <cell r="AG800" t="str">
            <v/>
          </cell>
          <cell r="AM800">
            <v>-3</v>
          </cell>
          <cell r="AT800" t="str">
            <v>17-12-2024 (A s per R5 ML</v>
          </cell>
          <cell r="DJ800" t="str">
            <v>14-01-2025 (tentative RFC)</v>
          </cell>
          <cell r="DX800" t="str">
            <v/>
          </cell>
          <cell r="EA800" t="str">
            <v/>
          </cell>
          <cell r="ED800" t="str">
            <v/>
          </cell>
          <cell r="EE800" t="str">
            <v/>
          </cell>
          <cell r="FF800">
            <v>46002</v>
          </cell>
          <cell r="FM800" t="str">
            <v/>
          </cell>
          <cell r="GG800" t="str">
            <v>2025-2026</v>
          </cell>
        </row>
        <row r="801">
          <cell r="E801" t="str">
            <v>Felix plaza, Gurgaon</v>
          </cell>
          <cell r="F801" t="str">
            <v>13. NRFC</v>
          </cell>
          <cell r="K801" t="str">
            <v>N</v>
          </cell>
          <cell r="L801" t="str">
            <v>RT</v>
          </cell>
          <cell r="N801" t="str">
            <v>Roopak Raj</v>
          </cell>
          <cell r="O801" t="str">
            <v>Sachin J Jain</v>
          </cell>
          <cell r="Q801" t="str">
            <v>Arju Tiwari</v>
          </cell>
          <cell r="R801" t="str">
            <v>Apurva Sharma</v>
          </cell>
          <cell r="S801" t="str">
            <v>Delhi</v>
          </cell>
          <cell r="T801" t="str">
            <v>Gurgaon</v>
          </cell>
          <cell r="U801" t="str">
            <v>Premium</v>
          </cell>
          <cell r="V801" t="str">
            <v>Fashion &amp; Lifestyle</v>
          </cell>
          <cell r="W801" t="str">
            <v>3500 approx</v>
          </cell>
          <cell r="AB801" t="str">
            <v>SDR Callout awaited</v>
          </cell>
          <cell r="AG801" t="str">
            <v/>
          </cell>
          <cell r="AT801" t="str">
            <v>22-01-2025(As per R6 ML)</v>
          </cell>
          <cell r="DJ801" t="str">
            <v>15-01-2025 (tentative RFC)</v>
          </cell>
          <cell r="ED801" t="str">
            <v/>
          </cell>
          <cell r="EE801" t="str">
            <v/>
          </cell>
          <cell r="GG801" t="str">
            <v>2025-2026</v>
          </cell>
        </row>
        <row r="802">
          <cell r="E802" t="str">
            <v>Elante Mall, Chandigarh</v>
          </cell>
          <cell r="F802" t="str">
            <v>13. NRFC</v>
          </cell>
          <cell r="K802" t="str">
            <v>N</v>
          </cell>
          <cell r="L802" t="str">
            <v>RT</v>
          </cell>
          <cell r="Q802" t="str">
            <v>Arju Tiwari</v>
          </cell>
          <cell r="R802" t="str">
            <v>Apurva Sharma</v>
          </cell>
          <cell r="S802" t="str">
            <v>Chandigarh</v>
          </cell>
          <cell r="T802" t="str">
            <v>Chandigarh</v>
          </cell>
          <cell r="U802" t="str">
            <v>Premium</v>
          </cell>
          <cell r="V802" t="str">
            <v>Fashion &amp; Lifestyle</v>
          </cell>
          <cell r="W802" t="str">
            <v>2300 approx</v>
          </cell>
          <cell r="AB802" t="str">
            <v>SDR Callout awaited</v>
          </cell>
          <cell r="AG802" t="str">
            <v/>
          </cell>
          <cell r="AM802">
            <v>-3</v>
          </cell>
          <cell r="AT802" t="str">
            <v>30-01-2025(only façade)</v>
          </cell>
          <cell r="DJ802" t="str">
            <v>15-11-2024 (tentative RFC)</v>
          </cell>
          <cell r="DX802" t="str">
            <v/>
          </cell>
          <cell r="ED802" t="str">
            <v/>
          </cell>
          <cell r="EE802" t="str">
            <v/>
          </cell>
          <cell r="FF802">
            <v>46002</v>
          </cell>
          <cell r="FM802" t="str">
            <v/>
          </cell>
          <cell r="GG802" t="str">
            <v>2025-2026</v>
          </cell>
        </row>
        <row r="803">
          <cell r="E803" t="str">
            <v>Forum Sujana, Hyderabad</v>
          </cell>
          <cell r="F803" t="str">
            <v>13. NRFC</v>
          </cell>
          <cell r="K803" t="str">
            <v>E</v>
          </cell>
          <cell r="L803" t="str">
            <v>SD</v>
          </cell>
          <cell r="Q803" t="str">
            <v>Arju Tiwari</v>
          </cell>
          <cell r="R803" t="str">
            <v>Apurva Sharma</v>
          </cell>
          <cell r="S803" t="str">
            <v>Telangana</v>
          </cell>
          <cell r="T803" t="str">
            <v>Hyderabad</v>
          </cell>
          <cell r="U803" t="str">
            <v>Premium</v>
          </cell>
          <cell r="V803" t="str">
            <v>Fashion &amp; Lifestyle</v>
          </cell>
          <cell r="W803" t="str">
            <v>2500 approx</v>
          </cell>
          <cell r="AB803" t="str">
            <v>SDR Callout awaited</v>
          </cell>
          <cell r="AG803" t="str">
            <v/>
          </cell>
          <cell r="DJ803" t="str">
            <v>15-12-2024 (tentative RFC)</v>
          </cell>
          <cell r="ED803" t="str">
            <v/>
          </cell>
          <cell r="EE803" t="str">
            <v/>
          </cell>
          <cell r="GG803" t="str">
            <v>2025-2026</v>
          </cell>
        </row>
        <row r="804">
          <cell r="E804" t="str">
            <v>Jubliee Hills Hyderabad</v>
          </cell>
          <cell r="F804" t="str">
            <v>13. NRFC</v>
          </cell>
          <cell r="K804" t="str">
            <v>E</v>
          </cell>
          <cell r="L804" t="str">
            <v>SD</v>
          </cell>
          <cell r="Q804" t="str">
            <v>Arju Tiwari</v>
          </cell>
          <cell r="R804" t="str">
            <v>Apurva Sharma</v>
          </cell>
          <cell r="S804" t="str">
            <v>Telangana</v>
          </cell>
          <cell r="T804" t="str">
            <v>Hyderabad</v>
          </cell>
          <cell r="U804" t="str">
            <v>Premium</v>
          </cell>
          <cell r="V804" t="str">
            <v>Fashion &amp; Lifestyle</v>
          </cell>
          <cell r="W804" t="str">
            <v>4500 approx</v>
          </cell>
          <cell r="AB804" t="str">
            <v>SDR Callout awaited</v>
          </cell>
          <cell r="AG804" t="str">
            <v/>
          </cell>
          <cell r="AM804">
            <v>-3</v>
          </cell>
          <cell r="DJ804" t="str">
            <v>30-01-2025 (tentative RFC)</v>
          </cell>
          <cell r="DX804" t="str">
            <v/>
          </cell>
          <cell r="EA804" t="str">
            <v/>
          </cell>
          <cell r="ED804" t="str">
            <v/>
          </cell>
          <cell r="EE804" t="str">
            <v/>
          </cell>
          <cell r="FF804">
            <v>46002</v>
          </cell>
          <cell r="FM804" t="str">
            <v/>
          </cell>
          <cell r="GG804" t="str">
            <v>2025-2026</v>
          </cell>
        </row>
        <row r="805">
          <cell r="E805" t="str">
            <v xml:space="preserve">Area Mall Gurgaon </v>
          </cell>
          <cell r="F805" t="str">
            <v>13. NRFC</v>
          </cell>
          <cell r="K805" t="str">
            <v xml:space="preserve">N </v>
          </cell>
          <cell r="L805" t="str">
            <v>RT</v>
          </cell>
          <cell r="N805" t="str">
            <v>Roopak Raj</v>
          </cell>
          <cell r="O805" t="str">
            <v>Sachin J Jain</v>
          </cell>
          <cell r="Q805" t="str">
            <v>Arju Tiwari</v>
          </cell>
          <cell r="R805" t="str">
            <v>Apurva Sharma</v>
          </cell>
          <cell r="S805" t="str">
            <v>Haryana</v>
          </cell>
          <cell r="T805" t="str">
            <v>Gurgaon</v>
          </cell>
          <cell r="U805" t="str">
            <v>Premium</v>
          </cell>
          <cell r="V805" t="str">
            <v>Fashion &amp; Lifestyle</v>
          </cell>
          <cell r="AB805" t="str">
            <v>SDR Callout awaited</v>
          </cell>
          <cell r="AG805" t="str">
            <v/>
          </cell>
          <cell r="AM805">
            <v>-3</v>
          </cell>
          <cell r="AO805">
            <v>3</v>
          </cell>
          <cell r="AS805">
            <v>-3</v>
          </cell>
          <cell r="AU805">
            <v>4</v>
          </cell>
          <cell r="AY805">
            <v>-4</v>
          </cell>
          <cell r="BA805">
            <v>5</v>
          </cell>
          <cell r="BE805">
            <v>-5</v>
          </cell>
          <cell r="BG805">
            <v>5</v>
          </cell>
          <cell r="BK805">
            <v>-5</v>
          </cell>
          <cell r="BM805">
            <v>3</v>
          </cell>
          <cell r="BP805">
            <v>3</v>
          </cell>
          <cell r="CI805" t="str">
            <v>BOQ not sent</v>
          </cell>
          <cell r="DG805" t="str">
            <v/>
          </cell>
          <cell r="DJ805" t="str">
            <v>TBC</v>
          </cell>
          <cell r="DR805">
            <v>35</v>
          </cell>
          <cell r="DS805">
            <v>45</v>
          </cell>
          <cell r="DX805" t="str">
            <v/>
          </cell>
          <cell r="EA805" t="str">
            <v/>
          </cell>
          <cell r="ED805" t="str">
            <v/>
          </cell>
          <cell r="EE805" t="str">
            <v/>
          </cell>
          <cell r="EJ805">
            <v>7</v>
          </cell>
          <cell r="EM805">
            <v>14</v>
          </cell>
          <cell r="EP805">
            <v>21</v>
          </cell>
          <cell r="ES805">
            <v>28</v>
          </cell>
          <cell r="EV805">
            <v>35</v>
          </cell>
          <cell r="FF805">
            <v>45967</v>
          </cell>
          <cell r="FM805" t="str">
            <v/>
          </cell>
          <cell r="GG805" t="str">
            <v>2025-2026</v>
          </cell>
        </row>
        <row r="806">
          <cell r="E806" t="str">
            <v xml:space="preserve">AeroHub Bangalore </v>
          </cell>
          <cell r="F806" t="str">
            <v>13. NRFC</v>
          </cell>
          <cell r="K806" t="str">
            <v>S</v>
          </cell>
          <cell r="L806" t="str">
            <v>AS</v>
          </cell>
          <cell r="N806" t="str">
            <v>Santosh48 Kumar/
Sreevinoth T</v>
          </cell>
          <cell r="O806" t="str">
            <v>Santosh48 Kumar</v>
          </cell>
          <cell r="Q806" t="str">
            <v>Arju Tiwari</v>
          </cell>
          <cell r="R806" t="str">
            <v>Apurva Sharma</v>
          </cell>
          <cell r="S806" t="str">
            <v>Karnataka</v>
          </cell>
          <cell r="T806" t="str">
            <v>Bangalore</v>
          </cell>
          <cell r="U806" t="str">
            <v>Premium</v>
          </cell>
          <cell r="V806" t="str">
            <v>Fashion &amp; Lifestyle</v>
          </cell>
          <cell r="AB806" t="str">
            <v>SDR Callout awaited</v>
          </cell>
          <cell r="AG806" t="str">
            <v/>
          </cell>
          <cell r="AM806">
            <v>-3</v>
          </cell>
          <cell r="AO806">
            <v>3</v>
          </cell>
          <cell r="AS806">
            <v>-3</v>
          </cell>
          <cell r="AU806">
            <v>4</v>
          </cell>
          <cell r="AY806">
            <v>-4</v>
          </cell>
          <cell r="BA806">
            <v>5</v>
          </cell>
          <cell r="BE806">
            <v>-5</v>
          </cell>
          <cell r="BG806">
            <v>5</v>
          </cell>
          <cell r="BK806">
            <v>-5</v>
          </cell>
          <cell r="BM806">
            <v>3</v>
          </cell>
          <cell r="BP806">
            <v>3</v>
          </cell>
          <cell r="CI806" t="str">
            <v>BOQ not sent</v>
          </cell>
          <cell r="DG806" t="str">
            <v/>
          </cell>
          <cell r="DJ806" t="str">
            <v>TBC</v>
          </cell>
          <cell r="DR806">
            <v>35</v>
          </cell>
          <cell r="DS806">
            <v>45</v>
          </cell>
          <cell r="DX806" t="str">
            <v/>
          </cell>
          <cell r="EA806" t="str">
            <v/>
          </cell>
          <cell r="ED806" t="str">
            <v/>
          </cell>
          <cell r="EE806" t="str">
            <v/>
          </cell>
          <cell r="EJ806">
            <v>7</v>
          </cell>
          <cell r="EM806">
            <v>14</v>
          </cell>
          <cell r="EP806">
            <v>21</v>
          </cell>
          <cell r="ES806">
            <v>28</v>
          </cell>
          <cell r="EV806">
            <v>35</v>
          </cell>
          <cell r="FF806">
            <v>45967</v>
          </cell>
          <cell r="FM806" t="str">
            <v/>
          </cell>
          <cell r="GG806" t="str">
            <v>2025-2026</v>
          </cell>
        </row>
        <row r="807">
          <cell r="E807" t="str">
            <v>VR Mall, Nagpur</v>
          </cell>
          <cell r="F807" t="str">
            <v>13. NRFC</v>
          </cell>
          <cell r="K807" t="str">
            <v>W</v>
          </cell>
          <cell r="L807" t="str">
            <v>BK</v>
          </cell>
          <cell r="O807" t="str">
            <v>Ashish M</v>
          </cell>
          <cell r="Q807" t="str">
            <v>Arju Tiwari</v>
          </cell>
          <cell r="R807" t="str">
            <v>Apurva Sharma</v>
          </cell>
          <cell r="S807" t="str">
            <v>Maharashtra</v>
          </cell>
          <cell r="T807" t="str">
            <v>Nagpur</v>
          </cell>
          <cell r="U807" t="str">
            <v>Premium</v>
          </cell>
          <cell r="V807" t="str">
            <v>Fashion &amp; Lifestyle</v>
          </cell>
          <cell r="W807" t="str">
            <v>TBC</v>
          </cell>
          <cell r="AB807">
            <v>45327</v>
          </cell>
          <cell r="AC807">
            <v>45330</v>
          </cell>
          <cell r="AF807" t="str">
            <v>Site not ready for SDR</v>
          </cell>
          <cell r="AG807">
            <v>670</v>
          </cell>
          <cell r="AH807" t="str">
            <v>*Site not ready for SDR</v>
          </cell>
          <cell r="AM807">
            <v>-3</v>
          </cell>
          <cell r="AO807">
            <v>3</v>
          </cell>
          <cell r="AS807">
            <v>-3</v>
          </cell>
          <cell r="AU807">
            <v>4</v>
          </cell>
          <cell r="AY807">
            <v>-4</v>
          </cell>
          <cell r="BA807">
            <v>5</v>
          </cell>
          <cell r="BE807">
            <v>-5</v>
          </cell>
          <cell r="BG807">
            <v>5</v>
          </cell>
          <cell r="BK807">
            <v>-5</v>
          </cell>
          <cell r="BM807">
            <v>3</v>
          </cell>
          <cell r="BP807">
            <v>3</v>
          </cell>
          <cell r="DG807" t="str">
            <v/>
          </cell>
          <cell r="DJ807" t="str">
            <v>TBC</v>
          </cell>
          <cell r="DM807">
            <v>46002</v>
          </cell>
          <cell r="DR807">
            <v>35</v>
          </cell>
          <cell r="DS807">
            <v>45</v>
          </cell>
          <cell r="DX807" t="str">
            <v/>
          </cell>
          <cell r="EA807" t="str">
            <v/>
          </cell>
          <cell r="ED807" t="str">
            <v/>
          </cell>
          <cell r="EE807" t="str">
            <v/>
          </cell>
          <cell r="EJ807">
            <v>7</v>
          </cell>
          <cell r="EM807">
            <v>14</v>
          </cell>
          <cell r="EP807">
            <v>21</v>
          </cell>
          <cell r="ES807">
            <v>28</v>
          </cell>
          <cell r="EV807">
            <v>35</v>
          </cell>
          <cell r="FF807">
            <v>45967</v>
          </cell>
          <cell r="FM807" t="str">
            <v/>
          </cell>
          <cell r="FZ807" t="str">
            <v>*Site not ready for SDR- Business to share revised SDR callout</v>
          </cell>
          <cell r="GG807" t="str">
            <v>2025-2026</v>
          </cell>
        </row>
        <row r="808">
          <cell r="E808" t="str">
            <v xml:space="preserve">R City Ghatkopar </v>
          </cell>
          <cell r="F808" t="str">
            <v>14. Dropped</v>
          </cell>
          <cell r="I808" t="str">
            <v>QI4M</v>
          </cell>
          <cell r="J808" t="str">
            <v>T2YI</v>
          </cell>
          <cell r="K808" t="str">
            <v>W</v>
          </cell>
          <cell r="L808" t="str">
            <v>BK</v>
          </cell>
          <cell r="N808" t="str">
            <v>Mrudang Shah</v>
          </cell>
          <cell r="O808" t="str">
            <v>Nitin Dawange</v>
          </cell>
          <cell r="P808" t="str">
            <v>Vaibhav Jadhav</v>
          </cell>
          <cell r="Q808" t="str">
            <v>Shahaji Gohatre</v>
          </cell>
          <cell r="R808" t="str">
            <v>Apurva Sharma</v>
          </cell>
          <cell r="S808" t="str">
            <v>Maharashtra</v>
          </cell>
          <cell r="T808" t="str">
            <v>Mumbai</v>
          </cell>
          <cell r="U808" t="str">
            <v>Premium</v>
          </cell>
          <cell r="V808" t="str">
            <v>Fashion &amp; Lifestyle</v>
          </cell>
          <cell r="W808">
            <v>2615</v>
          </cell>
          <cell r="AB808" t="str">
            <v>Done</v>
          </cell>
          <cell r="AF808" t="str">
            <v>Done</v>
          </cell>
          <cell r="AG808" t="str">
            <v/>
          </cell>
          <cell r="AL808" t="str">
            <v>pending</v>
          </cell>
          <cell r="AM808">
            <v>-3</v>
          </cell>
          <cell r="AO808">
            <v>3</v>
          </cell>
          <cell r="AS808">
            <v>-3</v>
          </cell>
          <cell r="AU808">
            <v>4</v>
          </cell>
          <cell r="AY808">
            <v>-4</v>
          </cell>
          <cell r="BA808">
            <v>5</v>
          </cell>
          <cell r="BE808">
            <v>-5</v>
          </cell>
          <cell r="BG808">
            <v>5</v>
          </cell>
          <cell r="BK808">
            <v>-5</v>
          </cell>
          <cell r="BM808">
            <v>3</v>
          </cell>
          <cell r="BP808">
            <v>3</v>
          </cell>
          <cell r="BU808" t="str">
            <v>No pendency</v>
          </cell>
          <cell r="BW808" t="str">
            <v>Done</v>
          </cell>
          <cell r="BY808" t="str">
            <v>Not approved</v>
          </cell>
          <cell r="CD808" t="str">
            <v>Done</v>
          </cell>
          <cell r="CI808" t="str">
            <v>Pending</v>
          </cell>
          <cell r="DG808" t="str">
            <v/>
          </cell>
          <cell r="DP808" t="str">
            <v>Budget approval awaited</v>
          </cell>
          <cell r="DR808">
            <v>35</v>
          </cell>
          <cell r="DS808">
            <v>45</v>
          </cell>
          <cell r="DX808" t="str">
            <v/>
          </cell>
          <cell r="EA808" t="str">
            <v/>
          </cell>
          <cell r="ED808" t="str">
            <v/>
          </cell>
          <cell r="EE808" t="str">
            <v/>
          </cell>
          <cell r="EJ808">
            <v>7</v>
          </cell>
          <cell r="EM808">
            <v>14</v>
          </cell>
          <cell r="EP808">
            <v>21</v>
          </cell>
          <cell r="ES808">
            <v>28</v>
          </cell>
          <cell r="EV808">
            <v>35</v>
          </cell>
          <cell r="FM808" t="str">
            <v/>
          </cell>
          <cell r="GG808" t="str">
            <v>2024-2025</v>
          </cell>
        </row>
        <row r="809">
          <cell r="E809" t="str">
            <v>World trade park, Jaipur</v>
          </cell>
          <cell r="F809" t="str">
            <v>13. NRFC</v>
          </cell>
          <cell r="K809" t="str">
            <v>N</v>
          </cell>
          <cell r="L809" t="str">
            <v>RT</v>
          </cell>
          <cell r="Q809" t="str">
            <v>Arju Tiwari</v>
          </cell>
          <cell r="R809" t="str">
            <v>Apurva Sharma</v>
          </cell>
          <cell r="S809" t="str">
            <v>Rajasthan</v>
          </cell>
          <cell r="T809" t="str">
            <v>Jaipur</v>
          </cell>
          <cell r="U809" t="str">
            <v>Premium</v>
          </cell>
          <cell r="V809" t="str">
            <v>Fashion &amp; Lifestyle</v>
          </cell>
          <cell r="W809" t="str">
            <v>3100 approx</v>
          </cell>
          <cell r="AB809" t="str">
            <v>SDR Callout awaited</v>
          </cell>
          <cell r="AG809" t="str">
            <v/>
          </cell>
          <cell r="AM809">
            <v>-3</v>
          </cell>
          <cell r="DJ809" t="str">
            <v>30-12-2024 (tentative RFC)</v>
          </cell>
          <cell r="DX809" t="str">
            <v/>
          </cell>
          <cell r="EA809" t="str">
            <v/>
          </cell>
          <cell r="ED809" t="str">
            <v/>
          </cell>
          <cell r="EE809" t="str">
            <v/>
          </cell>
          <cell r="FF809">
            <v>46002</v>
          </cell>
          <cell r="FM809" t="str">
            <v/>
          </cell>
          <cell r="GG809" t="str">
            <v>2025-2026</v>
          </cell>
        </row>
        <row r="810">
          <cell r="E810" t="str">
            <v>VR Surat</v>
          </cell>
          <cell r="F810" t="str">
            <v>13. NRFC</v>
          </cell>
          <cell r="K810" t="str">
            <v>W</v>
          </cell>
          <cell r="L810" t="str">
            <v>BK</v>
          </cell>
          <cell r="N810" t="str">
            <v>Mrudang Shah</v>
          </cell>
          <cell r="Q810" t="str">
            <v>Arju Tiwari</v>
          </cell>
          <cell r="R810" t="str">
            <v>Apurva Sharma</v>
          </cell>
          <cell r="S810" t="str">
            <v>Gujarat</v>
          </cell>
          <cell r="T810" t="str">
            <v>Surat</v>
          </cell>
          <cell r="U810" t="str">
            <v>Premium</v>
          </cell>
          <cell r="V810" t="str">
            <v>Fashion &amp; Lifestyle</v>
          </cell>
          <cell r="W810" t="str">
            <v>2200 approx</v>
          </cell>
          <cell r="AB810" t="str">
            <v>SDR Callout awaited</v>
          </cell>
          <cell r="AG810" t="str">
            <v/>
          </cell>
          <cell r="AM810">
            <v>-3</v>
          </cell>
          <cell r="DJ810" t="str">
            <v>03-12-2024 (tentative RFC)</v>
          </cell>
          <cell r="DX810" t="str">
            <v/>
          </cell>
          <cell r="EA810" t="str">
            <v/>
          </cell>
          <cell r="ED810" t="str">
            <v/>
          </cell>
          <cell r="EE810" t="str">
            <v/>
          </cell>
          <cell r="FF810">
            <v>46002</v>
          </cell>
          <cell r="FM810" t="str">
            <v/>
          </cell>
          <cell r="GG810" t="str">
            <v>2025-2026</v>
          </cell>
        </row>
        <row r="811">
          <cell r="E811" t="str">
            <v>PMC Bangalore</v>
          </cell>
          <cell r="F811" t="str">
            <v>13. NRFC</v>
          </cell>
          <cell r="K811" t="str">
            <v>S</v>
          </cell>
          <cell r="L811" t="str">
            <v>BK</v>
          </cell>
          <cell r="N811" t="str">
            <v>Sreevinoth T</v>
          </cell>
          <cell r="O811" t="str">
            <v>Santosh48 Kumar</v>
          </cell>
          <cell r="Q811" t="str">
            <v>Arju Tiwari</v>
          </cell>
          <cell r="R811" t="str">
            <v>Apurva Sharma</v>
          </cell>
          <cell r="S811" t="str">
            <v>Karnataka</v>
          </cell>
          <cell r="T811" t="str">
            <v>Bangalore</v>
          </cell>
          <cell r="U811" t="str">
            <v>Premium</v>
          </cell>
          <cell r="V811" t="str">
            <v>Fashion &amp; Lifestyle</v>
          </cell>
          <cell r="W811" t="str">
            <v>3500 approx</v>
          </cell>
          <cell r="AB811" t="str">
            <v>SDR Callout awaited</v>
          </cell>
          <cell r="AG811" t="str">
            <v/>
          </cell>
          <cell r="AM811">
            <v>-3</v>
          </cell>
          <cell r="DJ811" t="str">
            <v>15-04-2025 (tentative RFC)</v>
          </cell>
          <cell r="DX811" t="str">
            <v/>
          </cell>
          <cell r="EA811" t="str">
            <v/>
          </cell>
          <cell r="ED811" t="str">
            <v/>
          </cell>
          <cell r="EE811" t="str">
            <v/>
          </cell>
          <cell r="FF811">
            <v>46002</v>
          </cell>
          <cell r="FM811" t="str">
            <v/>
          </cell>
          <cell r="GG811" t="str">
            <v>2025-2026</v>
          </cell>
        </row>
        <row r="812">
          <cell r="E812" t="str">
            <v>Crisil House Powai</v>
          </cell>
          <cell r="F812" t="str">
            <v>13. NRFC</v>
          </cell>
          <cell r="K812" t="str">
            <v>W</v>
          </cell>
          <cell r="L812" t="str">
            <v>BK</v>
          </cell>
          <cell r="N812" t="str">
            <v>Ramchandrabhan J</v>
          </cell>
          <cell r="O812" t="str">
            <v>Nitin Dawange</v>
          </cell>
          <cell r="Q812" t="str">
            <v>Arju Tiwari</v>
          </cell>
          <cell r="R812" t="str">
            <v>Apurva Sharma</v>
          </cell>
          <cell r="S812" t="str">
            <v>GMU</v>
          </cell>
          <cell r="T812" t="str">
            <v>Mumbai</v>
          </cell>
          <cell r="U812" t="str">
            <v>Premium</v>
          </cell>
          <cell r="V812" t="str">
            <v>Fashion &amp; Lifestyle</v>
          </cell>
          <cell r="W812" t="str">
            <v>3000 approx</v>
          </cell>
          <cell r="AB812" t="str">
            <v>SDR Callout awaited</v>
          </cell>
          <cell r="AG812" t="str">
            <v/>
          </cell>
          <cell r="AM812">
            <v>-3</v>
          </cell>
          <cell r="DJ812" t="str">
            <v>14-01-2025 (tentative RFC)</v>
          </cell>
          <cell r="DX812" t="str">
            <v/>
          </cell>
          <cell r="EA812" t="str">
            <v/>
          </cell>
          <cell r="ED812" t="str">
            <v/>
          </cell>
          <cell r="EE812" t="str">
            <v/>
          </cell>
          <cell r="FF812">
            <v>46002</v>
          </cell>
          <cell r="FM812" t="str">
            <v/>
          </cell>
          <cell r="GG812" t="str">
            <v>2025-2026</v>
          </cell>
        </row>
        <row r="813">
          <cell r="E813" t="str">
            <v xml:space="preserve">Terminal 2, Mumbai </v>
          </cell>
          <cell r="F813" t="str">
            <v>13. NRFC</v>
          </cell>
          <cell r="K813" t="str">
            <v>E</v>
          </cell>
          <cell r="L813" t="str">
            <v>BK</v>
          </cell>
          <cell r="N813" t="str">
            <v>Ramchandrabhan J</v>
          </cell>
          <cell r="O813" t="str">
            <v>Nitin Dawange</v>
          </cell>
          <cell r="Q813" t="str">
            <v>Arju Tiwari</v>
          </cell>
          <cell r="R813" t="str">
            <v>Apurva Sharma</v>
          </cell>
          <cell r="S813" t="str">
            <v>GMU</v>
          </cell>
          <cell r="T813" t="str">
            <v>Mumbai</v>
          </cell>
          <cell r="U813" t="str">
            <v>Premium</v>
          </cell>
          <cell r="V813" t="str">
            <v>Fashion &amp; Lifestyle</v>
          </cell>
          <cell r="W813" t="str">
            <v>800 approx</v>
          </cell>
          <cell r="AB813" t="str">
            <v>SDR Callout awaited</v>
          </cell>
          <cell r="AG813" t="str">
            <v/>
          </cell>
          <cell r="AM813">
            <v>-3</v>
          </cell>
          <cell r="DJ813" t="str">
            <v>30-01-2025 (tentative RFC)</v>
          </cell>
          <cell r="DX813" t="str">
            <v/>
          </cell>
          <cell r="EA813" t="str">
            <v/>
          </cell>
          <cell r="ED813" t="str">
            <v/>
          </cell>
          <cell r="EE813" t="str">
            <v/>
          </cell>
          <cell r="FF813">
            <v>46002</v>
          </cell>
          <cell r="FM813" t="str">
            <v/>
          </cell>
          <cell r="GG813" t="str">
            <v>2025-2026</v>
          </cell>
        </row>
        <row r="814">
          <cell r="E814" t="str">
            <v>Nexus Mall, Kukatpally Hyderabad</v>
          </cell>
          <cell r="F814" t="str">
            <v>13. NRFC</v>
          </cell>
          <cell r="K814" t="str">
            <v>E</v>
          </cell>
          <cell r="L814" t="str">
            <v>SD</v>
          </cell>
          <cell r="N814" t="str">
            <v>Mallikarjuna K</v>
          </cell>
          <cell r="O814" t="str">
            <v>Ramakrishna A</v>
          </cell>
          <cell r="Q814" t="str">
            <v>Arju Tiwari</v>
          </cell>
          <cell r="R814" t="str">
            <v>Apurva Sharma</v>
          </cell>
          <cell r="S814" t="str">
            <v>Telangana</v>
          </cell>
          <cell r="T814" t="str">
            <v>Hyderabad</v>
          </cell>
          <cell r="U814" t="str">
            <v>Premium</v>
          </cell>
          <cell r="V814" t="str">
            <v>Fashion &amp; Lifestyle</v>
          </cell>
          <cell r="W814" t="str">
            <v>TBC</v>
          </cell>
          <cell r="AB814">
            <v>45525</v>
          </cell>
          <cell r="AF814" t="str">
            <v>Site not ready for SDR</v>
          </cell>
          <cell r="AG814">
            <v>472</v>
          </cell>
          <cell r="AM814">
            <v>-3</v>
          </cell>
          <cell r="DJ814" t="str">
            <v>TBC</v>
          </cell>
          <cell r="DX814" t="str">
            <v/>
          </cell>
          <cell r="EA814" t="str">
            <v/>
          </cell>
          <cell r="ED814" t="str">
            <v/>
          </cell>
          <cell r="EE814" t="str">
            <v/>
          </cell>
          <cell r="FF814">
            <v>46002</v>
          </cell>
          <cell r="FM814" t="str">
            <v/>
          </cell>
          <cell r="GG814" t="str">
            <v>2025-2026</v>
          </cell>
        </row>
        <row r="815">
          <cell r="E815" t="str">
            <v>Alpha one Ahmedabad</v>
          </cell>
          <cell r="F815" t="str">
            <v>13. NRFC</v>
          </cell>
          <cell r="K815" t="str">
            <v>W</v>
          </cell>
          <cell r="L815" t="str">
            <v>BK</v>
          </cell>
          <cell r="N815" t="str">
            <v>Mrudang S</v>
          </cell>
          <cell r="O815" t="str">
            <v>Nitin Dawange</v>
          </cell>
          <cell r="Q815" t="str">
            <v>Arju Tiwari</v>
          </cell>
          <cell r="R815" t="str">
            <v>Apurva Sharma</v>
          </cell>
          <cell r="S815" t="str">
            <v>Gujarat</v>
          </cell>
          <cell r="T815" t="str">
            <v>Ahmedabad</v>
          </cell>
          <cell r="U815" t="str">
            <v>Premium</v>
          </cell>
          <cell r="V815" t="str">
            <v>Fashion &amp; Lifestyle</v>
          </cell>
          <cell r="W815" t="str">
            <v>TBC</v>
          </cell>
          <cell r="AB815" t="str">
            <v>SDR Callout awaited</v>
          </cell>
          <cell r="DJ815" t="str">
            <v>TBC</v>
          </cell>
          <cell r="ED815" t="str">
            <v/>
          </cell>
          <cell r="EE815" t="str">
            <v/>
          </cell>
          <cell r="GG815" t="str">
            <v>2025-2026</v>
          </cell>
        </row>
        <row r="816">
          <cell r="E816" t="str">
            <v>MBD ludhiana</v>
          </cell>
          <cell r="F816" t="str">
            <v>13. NRFC</v>
          </cell>
          <cell r="K816" t="str">
            <v>N</v>
          </cell>
          <cell r="L816" t="str">
            <v>RT</v>
          </cell>
          <cell r="Q816" t="str">
            <v>Arju Tiwari</v>
          </cell>
          <cell r="R816" t="str">
            <v>Apurva Sharma</v>
          </cell>
          <cell r="S816" t="str">
            <v>Punjab</v>
          </cell>
          <cell r="T816" t="str">
            <v>Ludhiana</v>
          </cell>
          <cell r="U816" t="str">
            <v>Premium</v>
          </cell>
          <cell r="V816" t="str">
            <v>Fashion &amp; Lifestyle</v>
          </cell>
          <cell r="W816" t="str">
            <v>TBC</v>
          </cell>
          <cell r="AB816" t="str">
            <v>SDR Callout awaited</v>
          </cell>
          <cell r="DJ816" t="str">
            <v>TBC</v>
          </cell>
          <cell r="ED816" t="str">
            <v/>
          </cell>
          <cell r="EE816" t="str">
            <v/>
          </cell>
          <cell r="GG816" t="str">
            <v>2025-2026</v>
          </cell>
        </row>
        <row r="817">
          <cell r="E817" t="str">
            <v>Udayaravi Road, Kuvempunagar Mysore</v>
          </cell>
          <cell r="F817" t="str">
            <v>10. Launched</v>
          </cell>
          <cell r="G817" t="str">
            <v>FurnS59</v>
          </cell>
          <cell r="I817" t="str">
            <v xml:space="preserve">
T1IZ</v>
          </cell>
          <cell r="K817" t="str">
            <v>S</v>
          </cell>
          <cell r="L817" t="str">
            <v>AS</v>
          </cell>
          <cell r="N817" t="str">
            <v>Santosh48 Kumar/
Sreevinoth T</v>
          </cell>
          <cell r="O817" t="str">
            <v>Santosh48 Kumar</v>
          </cell>
          <cell r="Q817" t="str">
            <v>Shahaji Gohatre</v>
          </cell>
          <cell r="R817" t="str">
            <v>Shweta Topwal</v>
          </cell>
          <cell r="S817" t="str">
            <v>Karnataka</v>
          </cell>
          <cell r="T817" t="str">
            <v>Mysore</v>
          </cell>
          <cell r="U817" t="str">
            <v>Non Premium</v>
          </cell>
          <cell r="V817" t="str">
            <v>Misc Formats</v>
          </cell>
          <cell r="W817">
            <v>2850</v>
          </cell>
          <cell r="AB817" t="str">
            <v>Done</v>
          </cell>
          <cell r="AF817" t="str">
            <v>Done</v>
          </cell>
          <cell r="AL817" t="str">
            <v>Received</v>
          </cell>
          <cell r="AO817">
            <v>3</v>
          </cell>
          <cell r="AS817">
            <v>-3</v>
          </cell>
          <cell r="AU817">
            <v>4</v>
          </cell>
          <cell r="AY817">
            <v>-4</v>
          </cell>
          <cell r="BA817">
            <v>5</v>
          </cell>
          <cell r="BE817">
            <v>-5</v>
          </cell>
          <cell r="BG817">
            <v>5</v>
          </cell>
          <cell r="BK817">
            <v>-5</v>
          </cell>
          <cell r="BM817">
            <v>3</v>
          </cell>
          <cell r="BP817">
            <v>3</v>
          </cell>
          <cell r="BU817" t="str">
            <v>Launched</v>
          </cell>
          <cell r="BW817" t="str">
            <v>Done</v>
          </cell>
          <cell r="BY817" t="str">
            <v>Approved on 28.07.22</v>
          </cell>
          <cell r="CD817">
            <v>45069</v>
          </cell>
          <cell r="CE817">
            <v>45084</v>
          </cell>
          <cell r="CI817" t="str">
            <v>Issued</v>
          </cell>
          <cell r="DE817">
            <v>90</v>
          </cell>
          <cell r="DF817">
            <v>45167</v>
          </cell>
          <cell r="DG817" t="str">
            <v>Under Dead Rent</v>
          </cell>
          <cell r="DK817">
            <v>45077</v>
          </cell>
          <cell r="DP817">
            <v>45091</v>
          </cell>
          <cell r="DQ817">
            <v>45096</v>
          </cell>
          <cell r="DR817">
            <v>35</v>
          </cell>
          <cell r="DS817">
            <v>45</v>
          </cell>
          <cell r="DU817">
            <v>45131</v>
          </cell>
          <cell r="DV817">
            <v>45141</v>
          </cell>
          <cell r="DW817">
            <v>45131</v>
          </cell>
          <cell r="DX817" t="str">
            <v>July 23 Week 4</v>
          </cell>
          <cell r="DY817">
            <v>45141</v>
          </cell>
          <cell r="DZ817">
            <v>45138</v>
          </cell>
          <cell r="EA817" t="str">
            <v>July 23 Week 5</v>
          </cell>
          <cell r="ED817" t="str">
            <v/>
          </cell>
          <cell r="EE817" t="str">
            <v/>
          </cell>
          <cell r="EF817">
            <v>1</v>
          </cell>
          <cell r="EG817">
            <v>1</v>
          </cell>
          <cell r="FD817">
            <v>7</v>
          </cell>
          <cell r="FE817" t="str">
            <v>4 to 7 Days</v>
          </cell>
          <cell r="FF817">
            <v>12</v>
          </cell>
          <cell r="FG817" t="str">
            <v>8 to 15 Days</v>
          </cell>
          <cell r="FH817" t="str">
            <v>Done</v>
          </cell>
          <cell r="FM817" t="str">
            <v/>
          </cell>
          <cell r="GG817" t="str">
            <v>2023-2024</v>
          </cell>
        </row>
        <row r="818">
          <cell r="E818" t="str">
            <v>RCity Mall, Ghatkopar</v>
          </cell>
          <cell r="F818" t="str">
            <v>10. Launched</v>
          </cell>
          <cell r="G818" t="str">
            <v>COCOW80</v>
          </cell>
          <cell r="K818" t="str">
            <v>W</v>
          </cell>
          <cell r="L818" t="str">
            <v>BK</v>
          </cell>
          <cell r="N818" t="str">
            <v>Shashi Pardeshi</v>
          </cell>
          <cell r="O818" t="str">
            <v>Ashish M</v>
          </cell>
          <cell r="Q818" t="str">
            <v>Shahaji Gohatre</v>
          </cell>
          <cell r="R818" t="str">
            <v>Shweta Topwal</v>
          </cell>
          <cell r="S818" t="str">
            <v>Maharastra</v>
          </cell>
          <cell r="T818" t="str">
            <v>Mumbai</v>
          </cell>
          <cell r="U818" t="str">
            <v>Non Premium</v>
          </cell>
          <cell r="V818" t="str">
            <v>Misc Formats</v>
          </cell>
          <cell r="W818">
            <v>8144</v>
          </cell>
          <cell r="AB818">
            <v>45002</v>
          </cell>
          <cell r="AF818" t="str">
            <v>Done</v>
          </cell>
          <cell r="AG818">
            <v>1170</v>
          </cell>
          <cell r="AL818" t="str">
            <v>Received</v>
          </cell>
          <cell r="AO818">
            <v>3</v>
          </cell>
          <cell r="AS818">
            <v>-3</v>
          </cell>
          <cell r="AU818">
            <v>4</v>
          </cell>
          <cell r="AY818">
            <v>-4</v>
          </cell>
          <cell r="BA818">
            <v>5</v>
          </cell>
          <cell r="BE818">
            <v>-5</v>
          </cell>
          <cell r="BG818">
            <v>5</v>
          </cell>
          <cell r="BK818">
            <v>-5</v>
          </cell>
          <cell r="BM818">
            <v>3</v>
          </cell>
          <cell r="BP818">
            <v>3</v>
          </cell>
          <cell r="BU818" t="str">
            <v>Launched</v>
          </cell>
          <cell r="BW818" t="str">
            <v>Done</v>
          </cell>
          <cell r="BY818" t="str">
            <v>Approved on 12.10.23</v>
          </cell>
          <cell r="CD818">
            <v>45157</v>
          </cell>
          <cell r="CE818">
            <v>45211</v>
          </cell>
          <cell r="CI818" t="str">
            <v>Civil,ELE- Received
HVAC-Issued</v>
          </cell>
          <cell r="DE818">
            <v>120</v>
          </cell>
          <cell r="DF818">
            <v>45178</v>
          </cell>
          <cell r="DG818" t="str">
            <v>Under Dead Rent</v>
          </cell>
          <cell r="DK818">
            <v>45058</v>
          </cell>
          <cell r="DQ818">
            <v>45215</v>
          </cell>
          <cell r="DR818">
            <v>35</v>
          </cell>
          <cell r="DS818">
            <v>45</v>
          </cell>
          <cell r="DU818">
            <v>45260</v>
          </cell>
          <cell r="DV818">
            <v>45260</v>
          </cell>
          <cell r="DW818">
            <v>45260</v>
          </cell>
          <cell r="DX818" t="str">
            <v>Nov 23 Week 5</v>
          </cell>
          <cell r="DY818">
            <v>45264</v>
          </cell>
          <cell r="DZ818">
            <v>45264</v>
          </cell>
          <cell r="EA818" t="str">
            <v>Dec 23 Week 1</v>
          </cell>
          <cell r="ED818" t="str">
            <v/>
          </cell>
          <cell r="EE818" t="str">
            <v/>
          </cell>
          <cell r="EF818">
            <v>1</v>
          </cell>
          <cell r="EG818">
            <v>1</v>
          </cell>
          <cell r="EH818" t="str">
            <v>* FIM Tile delivery Awaited from Procurement Team</v>
          </cell>
          <cell r="FD818">
            <v>4</v>
          </cell>
          <cell r="FE818" t="str">
            <v>4 to 7 Days</v>
          </cell>
          <cell r="FF818">
            <v>45229</v>
          </cell>
          <cell r="FH818" t="str">
            <v>Done</v>
          </cell>
          <cell r="FK818">
            <v>45300</v>
          </cell>
          <cell r="FM818" t="str">
            <v/>
          </cell>
          <cell r="GG818" t="str">
            <v>2023-2024</v>
          </cell>
        </row>
        <row r="819">
          <cell r="E819" t="str">
            <v>LUXERIA BUSSINES HUB-Dumas Surat</v>
          </cell>
          <cell r="F819" t="str">
            <v>10. Launched</v>
          </cell>
          <cell r="G819" t="str">
            <v>COCOW64</v>
          </cell>
          <cell r="K819" t="str">
            <v>W</v>
          </cell>
          <cell r="L819" t="str">
            <v>BK</v>
          </cell>
          <cell r="N819" t="str">
            <v>Mrudang Shah</v>
          </cell>
          <cell r="O819" t="str">
            <v>Samir Shah</v>
          </cell>
          <cell r="Q819" t="str">
            <v>Shahaji Gohatre</v>
          </cell>
          <cell r="R819" t="str">
            <v>Shweta Topwal</v>
          </cell>
          <cell r="S819" t="str">
            <v>Gujarat</v>
          </cell>
          <cell r="T819" t="str">
            <v>Surat</v>
          </cell>
          <cell r="U819" t="str">
            <v>Non Premium</v>
          </cell>
          <cell r="V819" t="str">
            <v>Misc Formats</v>
          </cell>
          <cell r="W819">
            <v>1591</v>
          </cell>
          <cell r="AB819" t="str">
            <v>Done</v>
          </cell>
          <cell r="AF819" t="str">
            <v>Done</v>
          </cell>
          <cell r="AL819" t="str">
            <v>Received</v>
          </cell>
          <cell r="AO819">
            <v>3</v>
          </cell>
          <cell r="AS819">
            <v>-3</v>
          </cell>
          <cell r="AU819">
            <v>4</v>
          </cell>
          <cell r="AY819">
            <v>-4</v>
          </cell>
          <cell r="BA819">
            <v>5</v>
          </cell>
          <cell r="BE819">
            <v>-5</v>
          </cell>
          <cell r="BG819">
            <v>5</v>
          </cell>
          <cell r="BK819">
            <v>-5</v>
          </cell>
          <cell r="BM819">
            <v>3</v>
          </cell>
          <cell r="BP819">
            <v>3</v>
          </cell>
          <cell r="BU819" t="str">
            <v>Launched</v>
          </cell>
          <cell r="BW819" t="str">
            <v>Done</v>
          </cell>
          <cell r="BY819" t="str">
            <v>Approved</v>
          </cell>
          <cell r="CD819">
            <v>44987</v>
          </cell>
          <cell r="CE819">
            <v>45000</v>
          </cell>
          <cell r="CI819" t="str">
            <v>Issued</v>
          </cell>
          <cell r="DE819">
            <v>120</v>
          </cell>
          <cell r="DF819">
            <v>45122</v>
          </cell>
          <cell r="DG819" t="str">
            <v>Under Dead Rent</v>
          </cell>
          <cell r="DK819">
            <v>45002</v>
          </cell>
          <cell r="DP819">
            <v>45097</v>
          </cell>
          <cell r="DQ819">
            <v>45010</v>
          </cell>
          <cell r="DR819">
            <v>35</v>
          </cell>
          <cell r="DS819">
            <v>45</v>
          </cell>
          <cell r="DU819">
            <v>45049</v>
          </cell>
          <cell r="DV819">
            <v>45055</v>
          </cell>
          <cell r="DW819">
            <v>45049</v>
          </cell>
          <cell r="DX819" t="str">
            <v>May 23 Week 1</v>
          </cell>
          <cell r="DY819" t="str">
            <v>02-05-2023
05-05-2023
08-05-2023
20-05-2023
22-05-2023
27-05-2023
31-05-2023
02-06-2023</v>
          </cell>
          <cell r="DZ819">
            <v>45082</v>
          </cell>
          <cell r="EA819" t="str">
            <v>June 23 Week 1</v>
          </cell>
          <cell r="ED819" t="str">
            <v/>
          </cell>
          <cell r="EE819" t="str">
            <v/>
          </cell>
          <cell r="EF819">
            <v>1</v>
          </cell>
          <cell r="EG819">
            <v>1</v>
          </cell>
          <cell r="FD819">
            <v>33</v>
          </cell>
          <cell r="FE819" t="str">
            <v>31 to 61 Days</v>
          </cell>
          <cell r="FF819">
            <v>-50</v>
          </cell>
          <cell r="FG819" t="str">
            <v>On Time</v>
          </cell>
          <cell r="FH819" t="str">
            <v>Done</v>
          </cell>
          <cell r="FK819">
            <v>45126</v>
          </cell>
          <cell r="FM819" t="str">
            <v/>
          </cell>
          <cell r="GG819" t="str">
            <v>2023-2024</v>
          </cell>
        </row>
        <row r="820">
          <cell r="E820" t="str">
            <v>RPS More , Patna</v>
          </cell>
          <cell r="F820" t="str">
            <v>10. Launched</v>
          </cell>
          <cell r="G820" t="str">
            <v>FurnE127</v>
          </cell>
          <cell r="K820" t="str">
            <v xml:space="preserve">E </v>
          </cell>
          <cell r="L820" t="str">
            <v>SD</v>
          </cell>
          <cell r="N820" t="str">
            <v>Sharat Chowdhary</v>
          </cell>
          <cell r="O820" t="str">
            <v>Sudheer Kumar</v>
          </cell>
          <cell r="Q820" t="str">
            <v>Shahaji Gohatre</v>
          </cell>
          <cell r="R820" t="str">
            <v>Shweta Topwal</v>
          </cell>
          <cell r="S820" t="str">
            <v>Bihar</v>
          </cell>
          <cell r="T820" t="str">
            <v>Patna</v>
          </cell>
          <cell r="U820" t="str">
            <v>Non Premium</v>
          </cell>
          <cell r="V820" t="str">
            <v>Misc Formats</v>
          </cell>
          <cell r="W820">
            <v>3344</v>
          </cell>
          <cell r="AB820" t="str">
            <v>Done</v>
          </cell>
          <cell r="AF820" t="str">
            <v>Done</v>
          </cell>
          <cell r="AL820" t="str">
            <v>Received</v>
          </cell>
          <cell r="AO820">
            <v>3</v>
          </cell>
          <cell r="AS820">
            <v>-3</v>
          </cell>
          <cell r="AU820">
            <v>4</v>
          </cell>
          <cell r="AY820">
            <v>-4</v>
          </cell>
          <cell r="BA820">
            <v>5</v>
          </cell>
          <cell r="BE820">
            <v>-5</v>
          </cell>
          <cell r="BG820">
            <v>5</v>
          </cell>
          <cell r="BK820">
            <v>-5</v>
          </cell>
          <cell r="BM820">
            <v>3</v>
          </cell>
          <cell r="BP820">
            <v>3</v>
          </cell>
          <cell r="BU820" t="str">
            <v>Launched</v>
          </cell>
          <cell r="BW820" t="str">
            <v>Done</v>
          </cell>
          <cell r="BY820" t="str">
            <v>Approved</v>
          </cell>
          <cell r="CD820">
            <v>45010</v>
          </cell>
          <cell r="CE820">
            <v>45014</v>
          </cell>
          <cell r="CI820" t="str">
            <v>Issued</v>
          </cell>
          <cell r="DE820">
            <v>120</v>
          </cell>
          <cell r="DF820">
            <v>45151</v>
          </cell>
          <cell r="DG820" t="str">
            <v>Under Dead Rent</v>
          </cell>
          <cell r="DK820">
            <v>45031</v>
          </cell>
          <cell r="DP820">
            <v>45033</v>
          </cell>
          <cell r="DQ820">
            <v>45033</v>
          </cell>
          <cell r="DR820">
            <v>35</v>
          </cell>
          <cell r="DS820">
            <v>45</v>
          </cell>
          <cell r="DU820">
            <v>45076</v>
          </cell>
          <cell r="DV820">
            <v>45078</v>
          </cell>
          <cell r="DW820">
            <v>45076</v>
          </cell>
          <cell r="DX820" t="str">
            <v>May 23 Week 5</v>
          </cell>
          <cell r="DY820" t="str">
            <v>02-06-2023
04-06-2023
07-06-2023</v>
          </cell>
          <cell r="DZ820">
            <v>45086</v>
          </cell>
          <cell r="EA820" t="str">
            <v>June 23 Week 2</v>
          </cell>
          <cell r="ED820" t="str">
            <v/>
          </cell>
          <cell r="EE820" t="str">
            <v/>
          </cell>
          <cell r="EF820">
            <v>1</v>
          </cell>
          <cell r="EG820">
            <v>1</v>
          </cell>
          <cell r="FD820">
            <v>10</v>
          </cell>
          <cell r="FE820" t="str">
            <v>8 to 15 Days</v>
          </cell>
          <cell r="FF820">
            <v>18</v>
          </cell>
          <cell r="FG820" t="str">
            <v>16 to 31 Days</v>
          </cell>
          <cell r="FH820" t="str">
            <v>Done</v>
          </cell>
          <cell r="FK820">
            <v>45088</v>
          </cell>
          <cell r="FM820" t="str">
            <v/>
          </cell>
          <cell r="GG820" t="str">
            <v>2023-2024</v>
          </cell>
        </row>
        <row r="821">
          <cell r="E821" t="str">
            <v>LB Nagar</v>
          </cell>
          <cell r="F821" t="str">
            <v>10. Launched</v>
          </cell>
          <cell r="G821" t="str">
            <v>FurnE99</v>
          </cell>
          <cell r="I821" t="str">
            <v>T82K</v>
          </cell>
          <cell r="K821" t="str">
            <v xml:space="preserve">E </v>
          </cell>
          <cell r="L821" t="str">
            <v>SD</v>
          </cell>
          <cell r="N821" t="str">
            <v>Rishikesh Nair</v>
          </cell>
          <cell r="O821" t="str">
            <v>Mallikarjuna Kaigala</v>
          </cell>
          <cell r="Q821" t="str">
            <v>Shahaji Gohatre</v>
          </cell>
          <cell r="R821" t="str">
            <v>Shweta Topwal</v>
          </cell>
          <cell r="S821" t="str">
            <v>Telangana</v>
          </cell>
          <cell r="T821" t="str">
            <v>Hyderabad</v>
          </cell>
          <cell r="U821" t="str">
            <v>Non Premium</v>
          </cell>
          <cell r="V821" t="str">
            <v>Misc Formats</v>
          </cell>
          <cell r="W821">
            <v>2961</v>
          </cell>
          <cell r="AB821" t="str">
            <v>Done</v>
          </cell>
          <cell r="AF821" t="str">
            <v>Done</v>
          </cell>
          <cell r="AL821" t="str">
            <v>Received</v>
          </cell>
          <cell r="AM821">
            <v>0</v>
          </cell>
          <cell r="AO821">
            <v>3</v>
          </cell>
          <cell r="AS821">
            <v>-3</v>
          </cell>
          <cell r="AU821">
            <v>4</v>
          </cell>
          <cell r="AY821">
            <v>-4</v>
          </cell>
          <cell r="BA821">
            <v>5</v>
          </cell>
          <cell r="BE821">
            <v>-5</v>
          </cell>
          <cell r="BG821">
            <v>5</v>
          </cell>
          <cell r="BK821">
            <v>-5</v>
          </cell>
          <cell r="BM821">
            <v>3</v>
          </cell>
          <cell r="BP821">
            <v>3</v>
          </cell>
          <cell r="BU821" t="str">
            <v>Launched</v>
          </cell>
          <cell r="BW821" t="str">
            <v>Done</v>
          </cell>
          <cell r="BY821" t="str">
            <v>Approved</v>
          </cell>
          <cell r="CD821">
            <v>44922</v>
          </cell>
          <cell r="CE821">
            <v>44965</v>
          </cell>
          <cell r="CI821" t="str">
            <v>Issued</v>
          </cell>
          <cell r="DE821">
            <v>120</v>
          </cell>
          <cell r="DF821">
            <v>45105</v>
          </cell>
          <cell r="DG821" t="str">
            <v>Under Dead Rent</v>
          </cell>
          <cell r="DK821">
            <v>44985</v>
          </cell>
          <cell r="DM821">
            <v>0</v>
          </cell>
          <cell r="DN821" t="str">
            <v>On Time</v>
          </cell>
          <cell r="DP821">
            <v>44985</v>
          </cell>
          <cell r="DQ821">
            <v>44985</v>
          </cell>
          <cell r="DR821">
            <v>35</v>
          </cell>
          <cell r="DS821">
            <v>45</v>
          </cell>
          <cell r="DU821">
            <v>45020</v>
          </cell>
          <cell r="DV821">
            <v>45030</v>
          </cell>
          <cell r="DW821">
            <v>45020</v>
          </cell>
          <cell r="DX821" t="str">
            <v>April 23 Week 1</v>
          </cell>
          <cell r="DY821" t="str">
            <v>04-04-2023
15-04-2023
25-04-2023
30-04-2023
02-05-2023</v>
          </cell>
          <cell r="DZ821">
            <v>45054</v>
          </cell>
          <cell r="EA821" t="str">
            <v>May 23 Week 2</v>
          </cell>
          <cell r="ED821" t="str">
            <v/>
          </cell>
          <cell r="EE821" t="str">
            <v/>
          </cell>
          <cell r="EF821">
            <v>1</v>
          </cell>
          <cell r="EG821">
            <v>1</v>
          </cell>
          <cell r="FD821">
            <v>34</v>
          </cell>
          <cell r="FE821" t="str">
            <v>31 to 61 Days</v>
          </cell>
          <cell r="FF821">
            <v>34</v>
          </cell>
          <cell r="FG821" t="str">
            <v>31 to 61 Days</v>
          </cell>
          <cell r="FH821" t="str">
            <v>Done</v>
          </cell>
          <cell r="FK821">
            <v>45107</v>
          </cell>
          <cell r="FM821" t="str">
            <v/>
          </cell>
          <cell r="GG821" t="str">
            <v>2023-2024</v>
          </cell>
        </row>
        <row r="822">
          <cell r="E822" t="str">
            <v>Bhagwati Greens</v>
          </cell>
          <cell r="F822" t="str">
            <v>10. Launched</v>
          </cell>
          <cell r="G822" t="str">
            <v>FurnW101</v>
          </cell>
          <cell r="I822" t="str">
            <v>T67N</v>
          </cell>
          <cell r="K822" t="str">
            <v>W</v>
          </cell>
          <cell r="L822" t="str">
            <v>BK</v>
          </cell>
          <cell r="N822" t="str">
            <v>Shashi Pardeshi</v>
          </cell>
          <cell r="O822" t="str">
            <v>Ashish M</v>
          </cell>
          <cell r="Q822" t="str">
            <v>Shahaji Gohatre</v>
          </cell>
          <cell r="R822" t="str">
            <v>Shweta Topwal</v>
          </cell>
          <cell r="S822" t="str">
            <v>Maharastra</v>
          </cell>
          <cell r="T822" t="str">
            <v>Navi Mumbai</v>
          </cell>
          <cell r="U822" t="str">
            <v>Non Premium</v>
          </cell>
          <cell r="V822" t="str">
            <v>Misc Formats</v>
          </cell>
          <cell r="W822">
            <v>3050</v>
          </cell>
          <cell r="AB822" t="str">
            <v>Done</v>
          </cell>
          <cell r="AF822" t="str">
            <v>Done</v>
          </cell>
          <cell r="AL822" t="str">
            <v>Received</v>
          </cell>
          <cell r="AO822">
            <v>3</v>
          </cell>
          <cell r="AS822">
            <v>-3</v>
          </cell>
          <cell r="AU822">
            <v>4</v>
          </cell>
          <cell r="AY822">
            <v>-4</v>
          </cell>
          <cell r="BA822">
            <v>5</v>
          </cell>
          <cell r="BE822">
            <v>-5</v>
          </cell>
          <cell r="BG822">
            <v>5</v>
          </cell>
          <cell r="BK822">
            <v>-5</v>
          </cell>
          <cell r="BM822">
            <v>3</v>
          </cell>
          <cell r="BP822">
            <v>3</v>
          </cell>
          <cell r="BU822" t="str">
            <v>Launched</v>
          </cell>
          <cell r="BW822" t="str">
            <v>Done</v>
          </cell>
          <cell r="BY822" t="str">
            <v>Approved</v>
          </cell>
          <cell r="CE822">
            <v>44939</v>
          </cell>
          <cell r="CI822" t="str">
            <v>Issued</v>
          </cell>
          <cell r="DE822">
            <v>100</v>
          </cell>
          <cell r="DF822">
            <v>45015</v>
          </cell>
          <cell r="DG822" t="str">
            <v>Under Dead Rent</v>
          </cell>
          <cell r="DK822">
            <v>44915</v>
          </cell>
          <cell r="DM822">
            <v>73</v>
          </cell>
          <cell r="DN822" t="str">
            <v>&gt; 30 Days</v>
          </cell>
          <cell r="DP822">
            <v>44986</v>
          </cell>
          <cell r="DQ822">
            <v>44988</v>
          </cell>
          <cell r="DR822">
            <v>35</v>
          </cell>
          <cell r="DS822">
            <v>45</v>
          </cell>
          <cell r="DU822">
            <v>45023</v>
          </cell>
          <cell r="DV822">
            <v>45033</v>
          </cell>
          <cell r="DW822">
            <v>45023</v>
          </cell>
          <cell r="DX822" t="str">
            <v>April 23 Week 1</v>
          </cell>
          <cell r="DY822" t="str">
            <v>07-04-2023
15-04-2023
28-04-2023
30-04-2023
03-05-2023
07-05-2023
12-05-2023
14-05-2023
22-05-2023</v>
          </cell>
          <cell r="DZ822">
            <v>45068</v>
          </cell>
          <cell r="EA822" t="str">
            <v>May 23 Week 4</v>
          </cell>
          <cell r="ED822" t="str">
            <v/>
          </cell>
          <cell r="EE822" t="str">
            <v/>
          </cell>
          <cell r="EF822">
            <v>1</v>
          </cell>
          <cell r="EG822">
            <v>1</v>
          </cell>
          <cell r="FD822">
            <v>45</v>
          </cell>
          <cell r="FE822" t="str">
            <v>31 to 61 Days</v>
          </cell>
          <cell r="FF822">
            <v>47</v>
          </cell>
          <cell r="FG822" t="str">
            <v>31 to 61 Days</v>
          </cell>
          <cell r="FH822" t="str">
            <v>Done</v>
          </cell>
          <cell r="FK822">
            <v>45083</v>
          </cell>
          <cell r="FM822" t="str">
            <v/>
          </cell>
          <cell r="GG822" t="str">
            <v>2023-2024</v>
          </cell>
        </row>
        <row r="823">
          <cell r="E823" t="str">
            <v xml:space="preserve">Cosmos </v>
          </cell>
          <cell r="F823" t="str">
            <v>10. Launched</v>
          </cell>
          <cell r="G823" t="str">
            <v>FurnW98</v>
          </cell>
          <cell r="I823" t="str">
            <v>T60F</v>
          </cell>
          <cell r="K823" t="str">
            <v>W</v>
          </cell>
          <cell r="L823" t="str">
            <v>BK</v>
          </cell>
          <cell r="N823" t="str">
            <v>Shashi Pardeshi</v>
          </cell>
          <cell r="O823" t="str">
            <v>Ashish M</v>
          </cell>
          <cell r="Q823" t="str">
            <v>Shahaji Gohatre</v>
          </cell>
          <cell r="R823" t="str">
            <v>Shweta Topwal</v>
          </cell>
          <cell r="S823" t="str">
            <v>Maharastra</v>
          </cell>
          <cell r="T823" t="str">
            <v>Mumbai</v>
          </cell>
          <cell r="U823" t="str">
            <v>Non Premium</v>
          </cell>
          <cell r="V823" t="str">
            <v>Misc Formats</v>
          </cell>
          <cell r="W823">
            <v>2452</v>
          </cell>
          <cell r="AB823" t="str">
            <v>Done</v>
          </cell>
          <cell r="AF823" t="str">
            <v>Done</v>
          </cell>
          <cell r="AL823" t="str">
            <v>Received</v>
          </cell>
          <cell r="AO823">
            <v>3</v>
          </cell>
          <cell r="AS823">
            <v>-3</v>
          </cell>
          <cell r="AU823">
            <v>4</v>
          </cell>
          <cell r="AY823">
            <v>-4</v>
          </cell>
          <cell r="BA823">
            <v>5</v>
          </cell>
          <cell r="BE823">
            <v>-5</v>
          </cell>
          <cell r="BG823">
            <v>5</v>
          </cell>
          <cell r="BK823">
            <v>-5</v>
          </cell>
          <cell r="BM823">
            <v>3</v>
          </cell>
          <cell r="BP823">
            <v>3</v>
          </cell>
          <cell r="BU823" t="str">
            <v>Launched</v>
          </cell>
          <cell r="BW823" t="str">
            <v>Done</v>
          </cell>
          <cell r="BY823" t="str">
            <v>Approved</v>
          </cell>
          <cell r="CE823">
            <v>44942</v>
          </cell>
          <cell r="CI823" t="str">
            <v>Issued</v>
          </cell>
          <cell r="DE823">
            <v>45</v>
          </cell>
          <cell r="DF823">
            <v>44974</v>
          </cell>
          <cell r="DG823" t="str">
            <v>Under Dead Rent</v>
          </cell>
          <cell r="DK823">
            <v>44929</v>
          </cell>
          <cell r="DM823">
            <v>62</v>
          </cell>
          <cell r="DN823" t="str">
            <v>&gt; 30 Days</v>
          </cell>
          <cell r="DP823">
            <v>44986</v>
          </cell>
          <cell r="DQ823">
            <v>44991</v>
          </cell>
          <cell r="DR823">
            <v>35</v>
          </cell>
          <cell r="DS823">
            <v>45</v>
          </cell>
          <cell r="DU823">
            <v>45026</v>
          </cell>
          <cell r="DV823">
            <v>45036</v>
          </cell>
          <cell r="DW823">
            <v>45026</v>
          </cell>
          <cell r="DX823" t="str">
            <v>April 23 Week 2</v>
          </cell>
          <cell r="DY823" t="str">
            <v>10-04-2023
25-04-2023
28-04-2023
30-04-2023
03-05-2023
05-05-2023
25-05-2023
29-05-2023</v>
          </cell>
          <cell r="DZ823">
            <v>45073</v>
          </cell>
          <cell r="EA823" t="str">
            <v>May 23 Week 4</v>
          </cell>
          <cell r="ED823" t="str">
            <v/>
          </cell>
          <cell r="EE823" t="str">
            <v/>
          </cell>
          <cell r="EF823">
            <v>1</v>
          </cell>
          <cell r="EG823">
            <v>1</v>
          </cell>
          <cell r="FD823">
            <v>47</v>
          </cell>
          <cell r="FE823" t="str">
            <v>31 to 61 Days</v>
          </cell>
          <cell r="FF823">
            <v>52</v>
          </cell>
          <cell r="FG823" t="str">
            <v>31 to 61 Days</v>
          </cell>
          <cell r="FH823" t="str">
            <v>Done</v>
          </cell>
          <cell r="FK823">
            <v>45083</v>
          </cell>
          <cell r="FM823" t="str">
            <v/>
          </cell>
          <cell r="GG823" t="str">
            <v>2023-2024</v>
          </cell>
        </row>
        <row r="824">
          <cell r="E824" t="str">
            <v>Netaji Nagar, NSC Bose Road</v>
          </cell>
          <cell r="F824" t="str">
            <v>10. Launched</v>
          </cell>
          <cell r="G824" t="str">
            <v>FurnE4</v>
          </cell>
          <cell r="K824" t="str">
            <v xml:space="preserve">E </v>
          </cell>
          <cell r="L824" t="str">
            <v>SD</v>
          </cell>
          <cell r="N824" t="str">
            <v>Debal Chatterjee</v>
          </cell>
          <cell r="O824" t="str">
            <v>Sandeepta Gayen (INCLUDE SIKKIM)</v>
          </cell>
          <cell r="Q824" t="str">
            <v>Shahaji Gohatre</v>
          </cell>
          <cell r="R824" t="str">
            <v>Shweta Topwal</v>
          </cell>
          <cell r="S824" t="str">
            <v>West Bengal</v>
          </cell>
          <cell r="T824" t="str">
            <v>Kolkata</v>
          </cell>
          <cell r="U824" t="str">
            <v>Non Premium</v>
          </cell>
          <cell r="V824" t="str">
            <v>Misc Formats</v>
          </cell>
          <cell r="W824">
            <v>1941</v>
          </cell>
          <cell r="AB824" t="str">
            <v>Done</v>
          </cell>
          <cell r="AF824" t="str">
            <v>Done</v>
          </cell>
          <cell r="AL824" t="str">
            <v>Received</v>
          </cell>
          <cell r="AO824">
            <v>3</v>
          </cell>
          <cell r="AS824">
            <v>-3</v>
          </cell>
          <cell r="AU824">
            <v>4</v>
          </cell>
          <cell r="AY824">
            <v>-4</v>
          </cell>
          <cell r="BA824">
            <v>5</v>
          </cell>
          <cell r="BE824">
            <v>-5</v>
          </cell>
          <cell r="BG824">
            <v>5</v>
          </cell>
          <cell r="BK824">
            <v>-5</v>
          </cell>
          <cell r="BM824">
            <v>3</v>
          </cell>
          <cell r="BP824">
            <v>3</v>
          </cell>
          <cell r="BU824" t="str">
            <v>Launched</v>
          </cell>
          <cell r="BW824" t="str">
            <v>Done</v>
          </cell>
          <cell r="BY824" t="str">
            <v>Approved</v>
          </cell>
          <cell r="CD824">
            <v>44987</v>
          </cell>
          <cell r="CE824">
            <v>44988</v>
          </cell>
          <cell r="CI824" t="str">
            <v>Issued</v>
          </cell>
          <cell r="DE824">
            <v>90</v>
          </cell>
          <cell r="DF824">
            <v>45127</v>
          </cell>
          <cell r="DG824" t="str">
            <v>Under Dead Rent</v>
          </cell>
          <cell r="DK824">
            <v>45037</v>
          </cell>
          <cell r="DM824">
            <v>6</v>
          </cell>
          <cell r="DN824" t="str">
            <v>4 to 9 Days</v>
          </cell>
          <cell r="DP824">
            <v>45040</v>
          </cell>
          <cell r="DQ824">
            <v>45043</v>
          </cell>
          <cell r="DR824">
            <v>35</v>
          </cell>
          <cell r="DS824">
            <v>45</v>
          </cell>
          <cell r="DU824">
            <v>45083</v>
          </cell>
          <cell r="DV824">
            <v>45088</v>
          </cell>
          <cell r="DW824">
            <v>45083</v>
          </cell>
          <cell r="DX824" t="str">
            <v>June 23 Week 1</v>
          </cell>
          <cell r="DY824" t="str">
            <v>11-06-2023
16-06-2023</v>
          </cell>
          <cell r="DZ824">
            <v>45095</v>
          </cell>
          <cell r="EA824" t="str">
            <v>June 23 Week 3</v>
          </cell>
          <cell r="ED824" t="str">
            <v/>
          </cell>
          <cell r="EE824" t="str">
            <v/>
          </cell>
          <cell r="EF824">
            <v>1</v>
          </cell>
          <cell r="EG824">
            <v>1</v>
          </cell>
          <cell r="FD824">
            <v>12</v>
          </cell>
          <cell r="FE824" t="str">
            <v>8 to 15 Days</v>
          </cell>
          <cell r="FF824">
            <v>20</v>
          </cell>
          <cell r="FG824" t="str">
            <v>16 to 31 Days</v>
          </cell>
          <cell r="FH824" t="str">
            <v>Done</v>
          </cell>
          <cell r="FK824">
            <v>45126</v>
          </cell>
          <cell r="FM824" t="str">
            <v/>
          </cell>
          <cell r="GG824" t="str">
            <v>2023-2024</v>
          </cell>
        </row>
        <row r="825">
          <cell r="E825" t="str">
            <v xml:space="preserve">Ring Road </v>
          </cell>
          <cell r="F825" t="str">
            <v>10. Launched</v>
          </cell>
          <cell r="G825" t="str">
            <v>FurnN21</v>
          </cell>
          <cell r="K825" t="str">
            <v xml:space="preserve">N </v>
          </cell>
          <cell r="L825" t="str">
            <v>RT</v>
          </cell>
          <cell r="N825" t="str">
            <v>Roopak Raj</v>
          </cell>
          <cell r="O825" t="str">
            <v>Manoj G Gupta</v>
          </cell>
          <cell r="Q825" t="str">
            <v>Shahaji Gohatre</v>
          </cell>
          <cell r="R825" t="str">
            <v>Shweta Topwal</v>
          </cell>
          <cell r="S825" t="str">
            <v>Uttar Pradesh</v>
          </cell>
          <cell r="T825" t="str">
            <v>Lucknow</v>
          </cell>
          <cell r="U825" t="str">
            <v>Non Premium</v>
          </cell>
          <cell r="V825" t="str">
            <v>Misc Formats</v>
          </cell>
          <cell r="W825">
            <v>3098</v>
          </cell>
          <cell r="AB825" t="str">
            <v>Done</v>
          </cell>
          <cell r="AL825" t="str">
            <v>Received</v>
          </cell>
          <cell r="AO825">
            <v>3</v>
          </cell>
          <cell r="AS825">
            <v>-3</v>
          </cell>
          <cell r="AU825">
            <v>4</v>
          </cell>
          <cell r="AY825">
            <v>-4</v>
          </cell>
          <cell r="BA825">
            <v>5</v>
          </cell>
          <cell r="BE825">
            <v>-5</v>
          </cell>
          <cell r="BG825">
            <v>5</v>
          </cell>
          <cell r="BK825">
            <v>-5</v>
          </cell>
          <cell r="BM825">
            <v>3</v>
          </cell>
          <cell r="BP825">
            <v>3</v>
          </cell>
          <cell r="BU825" t="str">
            <v>Launched</v>
          </cell>
          <cell r="BW825" t="str">
            <v>Done</v>
          </cell>
          <cell r="BY825" t="str">
            <v>Approved</v>
          </cell>
          <cell r="CI825" t="str">
            <v>Issued</v>
          </cell>
          <cell r="DE825">
            <v>120</v>
          </cell>
          <cell r="DF825">
            <v>45118</v>
          </cell>
          <cell r="DG825" t="str">
            <v>Under Dead Rent</v>
          </cell>
          <cell r="DK825">
            <v>44998</v>
          </cell>
          <cell r="DM825">
            <v>2</v>
          </cell>
          <cell r="DN825" t="str">
            <v>0 to 3 Days</v>
          </cell>
          <cell r="DP825">
            <v>45000</v>
          </cell>
          <cell r="DQ825">
            <v>45000</v>
          </cell>
          <cell r="DR825">
            <v>35</v>
          </cell>
          <cell r="DS825">
            <v>45</v>
          </cell>
          <cell r="DU825">
            <v>45035</v>
          </cell>
          <cell r="DV825">
            <v>45045</v>
          </cell>
          <cell r="DW825">
            <v>45035</v>
          </cell>
          <cell r="DX825" t="str">
            <v>April 23 Week 3</v>
          </cell>
          <cell r="DY825" t="str">
            <v>19-04-2023
22-04-2023
30-04-2023</v>
          </cell>
          <cell r="DZ825">
            <v>45045</v>
          </cell>
          <cell r="EA825" t="str">
            <v>April 23 Week 5</v>
          </cell>
          <cell r="ED825" t="str">
            <v/>
          </cell>
          <cell r="EE825" t="str">
            <v/>
          </cell>
          <cell r="EF825">
            <v>1</v>
          </cell>
          <cell r="EG825">
            <v>1</v>
          </cell>
          <cell r="FD825">
            <v>10</v>
          </cell>
          <cell r="FE825" t="str">
            <v>8 to 15 Days</v>
          </cell>
          <cell r="FF825">
            <v>10</v>
          </cell>
          <cell r="FG825" t="str">
            <v>8 to 15 Days</v>
          </cell>
          <cell r="FH825" t="str">
            <v>Done</v>
          </cell>
          <cell r="FK825">
            <v>45061</v>
          </cell>
          <cell r="FM825" t="str">
            <v/>
          </cell>
          <cell r="GG825" t="str">
            <v>2023-2024</v>
          </cell>
        </row>
        <row r="826">
          <cell r="E826" t="str">
            <v>Kumaranalloor, Kottayam</v>
          </cell>
          <cell r="F826" t="str">
            <v>10. Launched</v>
          </cell>
          <cell r="G826" t="str">
            <v>FurnS145</v>
          </cell>
          <cell r="I826" t="str">
            <v>TG3K</v>
          </cell>
          <cell r="K826" t="str">
            <v>S</v>
          </cell>
          <cell r="L826" t="str">
            <v>AS</v>
          </cell>
          <cell r="N826" t="str">
            <v>Gireesh Kumar</v>
          </cell>
          <cell r="P826" t="str">
            <v>Lograja</v>
          </cell>
          <cell r="Q826" t="str">
            <v>Shahaji Gohatre</v>
          </cell>
          <cell r="R826" t="str">
            <v>Shweta Topwal</v>
          </cell>
          <cell r="S826" t="str">
            <v>Kerala</v>
          </cell>
          <cell r="T826" t="str">
            <v>Kottayam</v>
          </cell>
          <cell r="U826" t="str">
            <v>Non Premium</v>
          </cell>
          <cell r="V826" t="str">
            <v>Misc Formats</v>
          </cell>
          <cell r="W826">
            <v>2731</v>
          </cell>
          <cell r="AB826" t="str">
            <v>Done</v>
          </cell>
          <cell r="AF826" t="str">
            <v>Done</v>
          </cell>
          <cell r="AL826" t="str">
            <v>Received</v>
          </cell>
          <cell r="AO826">
            <v>3</v>
          </cell>
          <cell r="AS826">
            <v>-3</v>
          </cell>
          <cell r="AU826">
            <v>4</v>
          </cell>
          <cell r="AY826">
            <v>-4</v>
          </cell>
          <cell r="BA826">
            <v>5</v>
          </cell>
          <cell r="BE826">
            <v>-5</v>
          </cell>
          <cell r="BG826">
            <v>5</v>
          </cell>
          <cell r="BK826">
            <v>-5</v>
          </cell>
          <cell r="BM826">
            <v>3</v>
          </cell>
          <cell r="BP826">
            <v>3</v>
          </cell>
          <cell r="BU826" t="str">
            <v>Launched</v>
          </cell>
          <cell r="BW826" t="str">
            <v>Done</v>
          </cell>
          <cell r="BY826" t="str">
            <v>Approved on 01/06</v>
          </cell>
          <cell r="CD826">
            <v>45069</v>
          </cell>
          <cell r="CE826">
            <v>45119</v>
          </cell>
          <cell r="CI826" t="str">
            <v>Issued</v>
          </cell>
          <cell r="DE826">
            <v>120</v>
          </cell>
          <cell r="DF826">
            <v>45196</v>
          </cell>
          <cell r="DG826" t="str">
            <v>Under Dead Rent</v>
          </cell>
          <cell r="DK826">
            <v>45076</v>
          </cell>
          <cell r="DM826">
            <v>49</v>
          </cell>
          <cell r="DN826" t="str">
            <v>&gt; 30 Days</v>
          </cell>
          <cell r="DP826">
            <v>45122</v>
          </cell>
          <cell r="DQ826">
            <v>45125</v>
          </cell>
          <cell r="DR826">
            <v>35</v>
          </cell>
          <cell r="DS826">
            <v>45</v>
          </cell>
          <cell r="DU826">
            <v>45160</v>
          </cell>
          <cell r="DV826">
            <v>45170</v>
          </cell>
          <cell r="DW826">
            <v>45160</v>
          </cell>
          <cell r="DX826" t="str">
            <v>Aug 23 Week 4</v>
          </cell>
          <cell r="DY826" t="str">
            <v>22-08-2023
01-09-2023
06-09-2023
08-09-2023</v>
          </cell>
          <cell r="DZ826">
            <v>45177</v>
          </cell>
          <cell r="EA826" t="str">
            <v>Sep 23 Week 2</v>
          </cell>
          <cell r="ED826" t="str">
            <v/>
          </cell>
          <cell r="EE826" t="str">
            <v/>
          </cell>
          <cell r="EF826">
            <v>1</v>
          </cell>
          <cell r="EG826">
            <v>1</v>
          </cell>
          <cell r="FD826">
            <v>17</v>
          </cell>
          <cell r="FE826" t="str">
            <v>16 to 31 Days</v>
          </cell>
          <cell r="FF826">
            <v>20</v>
          </cell>
          <cell r="FG826" t="str">
            <v>16 to 31 Days</v>
          </cell>
          <cell r="FH826" t="str">
            <v>Done</v>
          </cell>
          <cell r="FK826">
            <v>45209</v>
          </cell>
          <cell r="FM826" t="str">
            <v/>
          </cell>
          <cell r="GG826" t="str">
            <v>2023-2024</v>
          </cell>
        </row>
        <row r="827">
          <cell r="E827" t="str">
            <v>Nasar Enclave, Juhu</v>
          </cell>
          <cell r="F827" t="str">
            <v>10. Launched</v>
          </cell>
          <cell r="G827" t="str">
            <v>FurnW26</v>
          </cell>
          <cell r="K827" t="str">
            <v>W</v>
          </cell>
          <cell r="L827" t="str">
            <v>BK</v>
          </cell>
          <cell r="N827" t="str">
            <v>Shashi Pardeshi</v>
          </cell>
          <cell r="O827" t="str">
            <v>Ashish M</v>
          </cell>
          <cell r="Q827" t="str">
            <v>Shahaji Gohatre</v>
          </cell>
          <cell r="R827" t="str">
            <v>Shweta Topwal</v>
          </cell>
          <cell r="S827" t="str">
            <v>Maharastra</v>
          </cell>
          <cell r="T827" t="str">
            <v>Mumbai</v>
          </cell>
          <cell r="U827" t="str">
            <v>Non Premium</v>
          </cell>
          <cell r="V827" t="str">
            <v>Misc Formats</v>
          </cell>
          <cell r="W827">
            <v>1623.43</v>
          </cell>
          <cell r="AB827">
            <v>44947</v>
          </cell>
          <cell r="AF827" t="str">
            <v>Done</v>
          </cell>
          <cell r="AG827">
            <v>1225</v>
          </cell>
          <cell r="AL827" t="str">
            <v>Received</v>
          </cell>
          <cell r="AO827">
            <v>3</v>
          </cell>
          <cell r="AS827">
            <v>-3</v>
          </cell>
          <cell r="AU827">
            <v>4</v>
          </cell>
          <cell r="AY827">
            <v>-4</v>
          </cell>
          <cell r="BA827">
            <v>5</v>
          </cell>
          <cell r="BE827">
            <v>-5</v>
          </cell>
          <cell r="BG827">
            <v>5</v>
          </cell>
          <cell r="BK827">
            <v>-5</v>
          </cell>
          <cell r="BM827">
            <v>3</v>
          </cell>
          <cell r="BP827">
            <v>3</v>
          </cell>
          <cell r="BU827" t="str">
            <v>Launched</v>
          </cell>
          <cell r="BW827" t="str">
            <v>Done</v>
          </cell>
          <cell r="BY827" t="str">
            <v>Approved on 18.05.23</v>
          </cell>
          <cell r="CD827">
            <v>45063</v>
          </cell>
          <cell r="CE827">
            <v>45070</v>
          </cell>
          <cell r="CI827" t="str">
            <v>Issued</v>
          </cell>
          <cell r="DE827">
            <v>90</v>
          </cell>
          <cell r="DF827">
            <v>45153</v>
          </cell>
          <cell r="DG827" t="str">
            <v>Under Dead Rent</v>
          </cell>
          <cell r="DK827">
            <v>45063</v>
          </cell>
          <cell r="DM827">
            <v>23</v>
          </cell>
          <cell r="DN827" t="str">
            <v>21 to 30 Days</v>
          </cell>
          <cell r="DQ827">
            <v>45086</v>
          </cell>
          <cell r="DR827">
            <v>35</v>
          </cell>
          <cell r="DS827">
            <v>45</v>
          </cell>
          <cell r="DU827">
            <v>45121</v>
          </cell>
          <cell r="DV827">
            <v>45131</v>
          </cell>
          <cell r="DW827">
            <v>45121</v>
          </cell>
          <cell r="DX827" t="str">
            <v>July 23 Week 2</v>
          </cell>
          <cell r="DY827" t="str">
            <v>30-07-2023
01-08-2023
02-08-2023
03-08-2023
05-08-2023
07-08-2023</v>
          </cell>
          <cell r="DZ827">
            <v>45145</v>
          </cell>
          <cell r="EA827" t="str">
            <v>Aug 23 Week 1</v>
          </cell>
          <cell r="ED827" t="str">
            <v/>
          </cell>
          <cell r="EE827" t="str">
            <v/>
          </cell>
          <cell r="EF827">
            <v>1</v>
          </cell>
          <cell r="EG827">
            <v>1</v>
          </cell>
          <cell r="FD827">
            <v>24</v>
          </cell>
          <cell r="FE827" t="str">
            <v>16 to 31 Days</v>
          </cell>
          <cell r="FF827">
            <v>45110</v>
          </cell>
          <cell r="FH827" t="str">
            <v>Done</v>
          </cell>
          <cell r="FK827">
            <v>45198</v>
          </cell>
          <cell r="FM827" t="str">
            <v/>
          </cell>
          <cell r="GG827" t="str">
            <v>2023-2024</v>
          </cell>
        </row>
        <row r="828">
          <cell r="E828" t="str">
            <v>Porvorim</v>
          </cell>
          <cell r="F828" t="str">
            <v>10. Launched</v>
          </cell>
          <cell r="G828" t="str">
            <v>FurnW147</v>
          </cell>
          <cell r="K828" t="str">
            <v>W</v>
          </cell>
          <cell r="L828" t="str">
            <v>BK</v>
          </cell>
          <cell r="N828" t="str">
            <v>Shashi Pardeshi</v>
          </cell>
          <cell r="O828" t="str">
            <v>Ashish M</v>
          </cell>
          <cell r="Q828" t="str">
            <v>Shahaji Gohatre</v>
          </cell>
          <cell r="R828" t="str">
            <v>Shweta Topwal</v>
          </cell>
          <cell r="S828" t="str">
            <v>Goa</v>
          </cell>
          <cell r="T828" t="str">
            <v>Goa</v>
          </cell>
          <cell r="U828" t="str">
            <v>Non Premium</v>
          </cell>
          <cell r="V828" t="str">
            <v>Misc Formats</v>
          </cell>
          <cell r="W828">
            <v>3661</v>
          </cell>
          <cell r="AB828">
            <v>45112</v>
          </cell>
          <cell r="AF828" t="str">
            <v>Done</v>
          </cell>
          <cell r="AG828">
            <v>1060</v>
          </cell>
          <cell r="AL828" t="str">
            <v>Received</v>
          </cell>
          <cell r="AO828">
            <v>3</v>
          </cell>
          <cell r="AS828">
            <v>-3</v>
          </cell>
          <cell r="AU828">
            <v>4</v>
          </cell>
          <cell r="AY828">
            <v>-4</v>
          </cell>
          <cell r="BA828">
            <v>5</v>
          </cell>
          <cell r="BE828">
            <v>-5</v>
          </cell>
          <cell r="BG828">
            <v>5</v>
          </cell>
          <cell r="BK828">
            <v>-5</v>
          </cell>
          <cell r="BM828">
            <v>3</v>
          </cell>
          <cell r="BP828">
            <v>3</v>
          </cell>
          <cell r="BU828" t="str">
            <v>Launched</v>
          </cell>
          <cell r="BW828" t="str">
            <v>Done</v>
          </cell>
          <cell r="BY828" t="str">
            <v>Approved on 12.10.23</v>
          </cell>
          <cell r="CI828" t="str">
            <v>Issued</v>
          </cell>
          <cell r="DE828">
            <v>70</v>
          </cell>
          <cell r="DF828">
            <v>45285</v>
          </cell>
          <cell r="DG828" t="str">
            <v>Under Dead Rent</v>
          </cell>
          <cell r="DK828">
            <v>45215</v>
          </cell>
          <cell r="DM828">
            <v>4</v>
          </cell>
          <cell r="DN828" t="str">
            <v>4 to 9 Days</v>
          </cell>
          <cell r="DP828">
            <v>45218</v>
          </cell>
          <cell r="DQ828">
            <v>45219</v>
          </cell>
          <cell r="DR828">
            <v>35</v>
          </cell>
          <cell r="DS828">
            <v>45</v>
          </cell>
          <cell r="DU828">
            <v>45254</v>
          </cell>
          <cell r="DV828">
            <v>45264</v>
          </cell>
          <cell r="DW828">
            <v>45254</v>
          </cell>
          <cell r="DX828" t="str">
            <v>Nov 23 Week 4</v>
          </cell>
          <cell r="DY828" t="str">
            <v>30-11-2023
03-12-2023
05-12-2023 
10-12-2023
16-12-2023
24-12-2023
27-12-2023
28-12-2023</v>
          </cell>
          <cell r="DZ828">
            <v>45291</v>
          </cell>
          <cell r="EA828" t="str">
            <v>Dec 23 Week 5</v>
          </cell>
          <cell r="ED828" t="str">
            <v/>
          </cell>
          <cell r="EE828" t="str">
            <v/>
          </cell>
          <cell r="EF828">
            <v>1</v>
          </cell>
          <cell r="EG828">
            <v>1</v>
          </cell>
          <cell r="EH828" t="str">
            <v xml:space="preserve">1.  Support Work Pending
</v>
          </cell>
          <cell r="FD828">
            <v>37</v>
          </cell>
          <cell r="FE828" t="str">
            <v>31 to 61 Days</v>
          </cell>
          <cell r="FF828">
            <v>38</v>
          </cell>
          <cell r="FG828" t="str">
            <v>31 to 61 Days</v>
          </cell>
          <cell r="FH828" t="str">
            <v>Conditional Done</v>
          </cell>
          <cell r="FM828" t="str">
            <v/>
          </cell>
          <cell r="GG828" t="str">
            <v>2023-2024</v>
          </cell>
        </row>
        <row r="829">
          <cell r="E829" t="str">
            <v>Benz Circle Gurunanak Colony- Vijaywada</v>
          </cell>
          <cell r="F829" t="str">
            <v>10. Launched</v>
          </cell>
          <cell r="G829" t="str">
            <v>URBLJD4049</v>
          </cell>
          <cell r="K829" t="str">
            <v xml:space="preserve">E </v>
          </cell>
          <cell r="L829" t="str">
            <v>AS</v>
          </cell>
          <cell r="N829" t="str">
            <v>Jaisingh Desai</v>
          </cell>
          <cell r="Q829" t="str">
            <v>Shahaji Gohatre</v>
          </cell>
          <cell r="R829" t="str">
            <v>Shweta Topwal</v>
          </cell>
          <cell r="S829" t="str">
            <v>Andhra Pradesh</v>
          </cell>
          <cell r="T829" t="str">
            <v>Vijayawada</v>
          </cell>
          <cell r="U829" t="str">
            <v>Non Premium</v>
          </cell>
          <cell r="V829" t="str">
            <v>Misc Formats</v>
          </cell>
          <cell r="W829">
            <v>3008</v>
          </cell>
          <cell r="AB829">
            <v>44945</v>
          </cell>
          <cell r="AF829" t="str">
            <v>Done</v>
          </cell>
          <cell r="AG829">
            <v>1227</v>
          </cell>
          <cell r="AL829" t="str">
            <v>Received</v>
          </cell>
          <cell r="AO829">
            <v>3</v>
          </cell>
          <cell r="AS829">
            <v>-3</v>
          </cell>
          <cell r="AU829">
            <v>4</v>
          </cell>
          <cell r="AY829">
            <v>-4</v>
          </cell>
          <cell r="BA829">
            <v>5</v>
          </cell>
          <cell r="BE829">
            <v>-5</v>
          </cell>
          <cell r="BG829">
            <v>5</v>
          </cell>
          <cell r="BK829">
            <v>-5</v>
          </cell>
          <cell r="BM829">
            <v>3</v>
          </cell>
          <cell r="BP829">
            <v>3</v>
          </cell>
          <cell r="BU829" t="str">
            <v>Launched</v>
          </cell>
          <cell r="BW829" t="str">
            <v>Done</v>
          </cell>
          <cell r="BY829" t="str">
            <v>Approval Received on 12-10-23</v>
          </cell>
          <cell r="CE829">
            <v>45215</v>
          </cell>
          <cell r="CI829" t="str">
            <v>Issued</v>
          </cell>
          <cell r="DE829">
            <v>120</v>
          </cell>
          <cell r="DF829">
            <v>45349</v>
          </cell>
          <cell r="DG829" t="str">
            <v>Under Dead Rent</v>
          </cell>
          <cell r="DK829">
            <v>45229</v>
          </cell>
          <cell r="DM829">
            <v>2</v>
          </cell>
          <cell r="DN829" t="str">
            <v>0 to 3 Days</v>
          </cell>
          <cell r="DP829">
            <v>45231</v>
          </cell>
          <cell r="DQ829">
            <v>45231</v>
          </cell>
          <cell r="DR829">
            <v>35</v>
          </cell>
          <cell r="DS829">
            <v>45</v>
          </cell>
          <cell r="DU829">
            <v>45266</v>
          </cell>
          <cell r="DV829">
            <v>45276</v>
          </cell>
          <cell r="DW829">
            <v>45266</v>
          </cell>
          <cell r="DX829" t="str">
            <v>Dec 23 Week 1</v>
          </cell>
          <cell r="DY829" t="str">
            <v>09-12-2023
10-12-2023</v>
          </cell>
          <cell r="DZ829">
            <v>45271</v>
          </cell>
          <cell r="EA829" t="str">
            <v>Dec 23 Week 2</v>
          </cell>
          <cell r="ED829" t="str">
            <v/>
          </cell>
          <cell r="EE829" t="str">
            <v/>
          </cell>
          <cell r="EF829">
            <v>1</v>
          </cell>
          <cell r="EG829">
            <v>1</v>
          </cell>
          <cell r="FD829">
            <v>5</v>
          </cell>
          <cell r="FE829" t="str">
            <v>4 to 7 Days</v>
          </cell>
          <cell r="FF829">
            <v>5</v>
          </cell>
          <cell r="FG829" t="str">
            <v>4 to 7 Days</v>
          </cell>
          <cell r="FH829" t="str">
            <v>Done</v>
          </cell>
          <cell r="FK829">
            <v>45296</v>
          </cell>
          <cell r="FM829" t="str">
            <v/>
          </cell>
          <cell r="GG829" t="str">
            <v>2023-2024</v>
          </cell>
        </row>
        <row r="830">
          <cell r="E830" t="str">
            <v>BB-NEW DELHI-VASANT KUNJ-AMBIANCE MALL</v>
          </cell>
          <cell r="F830" t="str">
            <v>14. Dropped</v>
          </cell>
          <cell r="G830" t="str">
            <v>UrbaN96</v>
          </cell>
          <cell r="I830" t="str">
            <v>T28I</v>
          </cell>
          <cell r="K830" t="str">
            <v xml:space="preserve">N </v>
          </cell>
          <cell r="L830" t="str">
            <v>RT</v>
          </cell>
          <cell r="N830" t="str">
            <v>Mrinal Kulkarni</v>
          </cell>
          <cell r="Q830" t="str">
            <v>Shahaji Gohatre</v>
          </cell>
          <cell r="R830" t="str">
            <v>Shweta Topwal</v>
          </cell>
          <cell r="S830" t="str">
            <v>Delhi</v>
          </cell>
          <cell r="T830" t="str">
            <v>Delhi</v>
          </cell>
          <cell r="U830" t="str">
            <v>Non Premium</v>
          </cell>
          <cell r="V830" t="str">
            <v>SIS</v>
          </cell>
          <cell r="W830">
            <v>2500</v>
          </cell>
          <cell r="AF830" t="str">
            <v>Done</v>
          </cell>
          <cell r="AG830" t="str">
            <v/>
          </cell>
          <cell r="AO830">
            <v>3</v>
          </cell>
          <cell r="AS830">
            <v>-3</v>
          </cell>
          <cell r="AU830">
            <v>4</v>
          </cell>
          <cell r="AY830">
            <v>-4</v>
          </cell>
          <cell r="BA830">
            <v>5</v>
          </cell>
          <cell r="BE830">
            <v>-5</v>
          </cell>
          <cell r="BG830">
            <v>5</v>
          </cell>
          <cell r="BK830">
            <v>-5</v>
          </cell>
          <cell r="BM830">
            <v>3</v>
          </cell>
          <cell r="BP830">
            <v>3</v>
          </cell>
          <cell r="BU830" t="str">
            <v>Dropped</v>
          </cell>
          <cell r="BY830" t="str">
            <v>Approved</v>
          </cell>
          <cell r="CI830" t="str">
            <v>Pending</v>
          </cell>
          <cell r="DG830" t="str">
            <v/>
          </cell>
          <cell r="DK830">
            <v>45026</v>
          </cell>
          <cell r="DM830">
            <v>2</v>
          </cell>
          <cell r="DN830" t="str">
            <v>0 to 3 Days</v>
          </cell>
          <cell r="DP830" t="str">
            <v>Contracts</v>
          </cell>
          <cell r="DQ830">
            <v>45028</v>
          </cell>
          <cell r="DR830">
            <v>15</v>
          </cell>
          <cell r="DU830">
            <v>45043</v>
          </cell>
          <cell r="DV830">
            <v>45028</v>
          </cell>
          <cell r="DW830">
            <v>45043</v>
          </cell>
          <cell r="DX830" t="str">
            <v>April 23 Week 4</v>
          </cell>
          <cell r="EA830" t="str">
            <v/>
          </cell>
          <cell r="ED830" t="str">
            <v/>
          </cell>
          <cell r="EE830" t="str">
            <v/>
          </cell>
          <cell r="EF830">
            <v>1</v>
          </cell>
          <cell r="FD830">
            <v>1134</v>
          </cell>
          <cell r="FM830" t="str">
            <v/>
          </cell>
          <cell r="GG830" t="str">
            <v>2024-2025</v>
          </cell>
        </row>
        <row r="831">
          <cell r="E831" t="str">
            <v>GRAND MALL FARIDABAD</v>
          </cell>
          <cell r="F831" t="str">
            <v>14. Dropped</v>
          </cell>
          <cell r="G831" t="str">
            <v>COCON79</v>
          </cell>
          <cell r="K831" t="str">
            <v xml:space="preserve">N </v>
          </cell>
          <cell r="L831" t="str">
            <v>KC</v>
          </cell>
          <cell r="Q831" t="str">
            <v>Shahaji Gohatre</v>
          </cell>
          <cell r="R831" t="str">
            <v>Shweta Topwal</v>
          </cell>
          <cell r="S831" t="str">
            <v>Uttar Pradesh</v>
          </cell>
          <cell r="T831" t="str">
            <v>Faridabad</v>
          </cell>
          <cell r="U831" t="str">
            <v>Non Premium</v>
          </cell>
          <cell r="V831" t="str">
            <v>SIS</v>
          </cell>
          <cell r="AG831" t="str">
            <v/>
          </cell>
          <cell r="AO831">
            <v>3</v>
          </cell>
          <cell r="AS831">
            <v>-3</v>
          </cell>
          <cell r="AU831">
            <v>4</v>
          </cell>
          <cell r="AY831">
            <v>-4</v>
          </cell>
          <cell r="BA831">
            <v>5</v>
          </cell>
          <cell r="BE831">
            <v>-5</v>
          </cell>
          <cell r="BG831">
            <v>5</v>
          </cell>
          <cell r="BK831">
            <v>-5</v>
          </cell>
          <cell r="BM831">
            <v>3</v>
          </cell>
          <cell r="BP831">
            <v>3</v>
          </cell>
          <cell r="BU831" t="str">
            <v>Dropped</v>
          </cell>
          <cell r="CE831">
            <v>44873</v>
          </cell>
          <cell r="CI831" t="str">
            <v>Issued</v>
          </cell>
          <cell r="DG831" t="str">
            <v/>
          </cell>
          <cell r="DM831">
            <v>44880</v>
          </cell>
          <cell r="DP831">
            <v>44879</v>
          </cell>
          <cell r="DQ831">
            <v>44880</v>
          </cell>
          <cell r="DR831">
            <v>15</v>
          </cell>
          <cell r="DU831">
            <v>44895</v>
          </cell>
          <cell r="DV831">
            <v>44880</v>
          </cell>
          <cell r="DW831">
            <v>44895</v>
          </cell>
          <cell r="EA831" t="str">
            <v/>
          </cell>
          <cell r="ED831" t="str">
            <v/>
          </cell>
          <cell r="EE831" t="str">
            <v/>
          </cell>
          <cell r="EF831">
            <v>1</v>
          </cell>
          <cell r="FD831">
            <v>1282</v>
          </cell>
          <cell r="FF831">
            <v>1283</v>
          </cell>
          <cell r="FM831" t="str">
            <v/>
          </cell>
          <cell r="GG831" t="str">
            <v>2024-2025</v>
          </cell>
        </row>
        <row r="832">
          <cell r="E832" t="str">
            <v>Reddiarpalayam</v>
          </cell>
          <cell r="F832" t="str">
            <v>10. Launched</v>
          </cell>
          <cell r="G832" t="str">
            <v>FurnS128</v>
          </cell>
          <cell r="K832" t="str">
            <v>S</v>
          </cell>
          <cell r="L832" t="str">
            <v>AS</v>
          </cell>
          <cell r="N832" t="str">
            <v>Sreevinoth T</v>
          </cell>
          <cell r="O832" t="str">
            <v>Senthil M</v>
          </cell>
          <cell r="Q832" t="str">
            <v>Shahaji Gohatre</v>
          </cell>
          <cell r="R832" t="str">
            <v>Shweta Topwal</v>
          </cell>
          <cell r="S832" t="str">
            <v>Tamil Nadu</v>
          </cell>
          <cell r="T832" t="str">
            <v>Pondicherry</v>
          </cell>
          <cell r="U832" t="str">
            <v>Non Premium</v>
          </cell>
          <cell r="V832" t="str">
            <v>Misc Formats</v>
          </cell>
          <cell r="AB832" t="str">
            <v>Done</v>
          </cell>
          <cell r="AL832" t="str">
            <v>Received</v>
          </cell>
          <cell r="AO832">
            <v>3</v>
          </cell>
          <cell r="AS832">
            <v>-3</v>
          </cell>
          <cell r="AU832">
            <v>4</v>
          </cell>
          <cell r="AY832">
            <v>-4</v>
          </cell>
          <cell r="BA832">
            <v>5</v>
          </cell>
          <cell r="BE832">
            <v>-5</v>
          </cell>
          <cell r="BG832">
            <v>5</v>
          </cell>
          <cell r="BK832">
            <v>-5</v>
          </cell>
          <cell r="BM832">
            <v>3</v>
          </cell>
          <cell r="BP832">
            <v>3</v>
          </cell>
          <cell r="BU832" t="str">
            <v>Launched</v>
          </cell>
          <cell r="BW832" t="str">
            <v>Done</v>
          </cell>
          <cell r="BY832" t="str">
            <v>Approved</v>
          </cell>
          <cell r="CE832">
            <v>45008</v>
          </cell>
          <cell r="CI832" t="str">
            <v>Issued</v>
          </cell>
          <cell r="DE832">
            <v>30</v>
          </cell>
          <cell r="DF832">
            <v>45030</v>
          </cell>
          <cell r="DG832" t="str">
            <v>Under Dead Rent</v>
          </cell>
          <cell r="DK832">
            <v>45000</v>
          </cell>
          <cell r="DM832">
            <v>12</v>
          </cell>
          <cell r="DN832" t="str">
            <v>10 to 20 Days</v>
          </cell>
          <cell r="DQ832">
            <v>45012</v>
          </cell>
          <cell r="DR832">
            <v>35</v>
          </cell>
          <cell r="DS832">
            <v>45</v>
          </cell>
          <cell r="DU832">
            <v>45047</v>
          </cell>
          <cell r="DV832">
            <v>45057</v>
          </cell>
          <cell r="DW832">
            <v>45047</v>
          </cell>
          <cell r="DX832" t="str">
            <v>May 23 Week 1</v>
          </cell>
          <cell r="DZ832">
            <v>45041</v>
          </cell>
          <cell r="EA832" t="str">
            <v>April 23 Week 4</v>
          </cell>
          <cell r="ED832" t="str">
            <v/>
          </cell>
          <cell r="EE832" t="str">
            <v/>
          </cell>
          <cell r="EF832">
            <v>1</v>
          </cell>
          <cell r="EG832">
            <v>1</v>
          </cell>
          <cell r="FD832">
            <v>-6</v>
          </cell>
          <cell r="FE832" t="str">
            <v>On Time</v>
          </cell>
          <cell r="FF832">
            <v>45006</v>
          </cell>
          <cell r="FH832" t="str">
            <v>Done</v>
          </cell>
          <cell r="FK832">
            <v>45061</v>
          </cell>
          <cell r="FM832" t="str">
            <v/>
          </cell>
          <cell r="GG832" t="str">
            <v>2023-2024</v>
          </cell>
        </row>
        <row r="833">
          <cell r="E833" t="str">
            <v>BB-PUNE-KOTHRUD-CITY PRIDE MULTIPLEX</v>
          </cell>
          <cell r="F833" t="str">
            <v>13. NRFC</v>
          </cell>
          <cell r="G833" t="str">
            <v>FurnW70</v>
          </cell>
          <cell r="K833" t="str">
            <v>W</v>
          </cell>
          <cell r="L833" t="str">
            <v>BK</v>
          </cell>
          <cell r="N833" t="str">
            <v>Shashi Pardeshi</v>
          </cell>
          <cell r="O833" t="str">
            <v>Ashish M</v>
          </cell>
          <cell r="Q833" t="str">
            <v>Shahaji Gohatre</v>
          </cell>
          <cell r="R833" t="str">
            <v>Shweta Topwal</v>
          </cell>
          <cell r="S833" t="str">
            <v>Maharastra</v>
          </cell>
          <cell r="T833" t="str">
            <v>Pune</v>
          </cell>
          <cell r="U833" t="str">
            <v>Non Premium</v>
          </cell>
          <cell r="V833" t="str">
            <v>SIS</v>
          </cell>
          <cell r="W833">
            <v>2500</v>
          </cell>
          <cell r="AF833" t="str">
            <v>Done</v>
          </cell>
          <cell r="AG833" t="str">
            <v/>
          </cell>
          <cell r="AL833" t="str">
            <v>Received</v>
          </cell>
          <cell r="AO833">
            <v>3</v>
          </cell>
          <cell r="AS833">
            <v>-3</v>
          </cell>
          <cell r="AU833">
            <v>4</v>
          </cell>
          <cell r="AY833">
            <v>-4</v>
          </cell>
          <cell r="BA833">
            <v>5</v>
          </cell>
          <cell r="BE833">
            <v>-5</v>
          </cell>
          <cell r="BG833">
            <v>5</v>
          </cell>
          <cell r="BK833">
            <v>-5</v>
          </cell>
          <cell r="BM833">
            <v>3</v>
          </cell>
          <cell r="BP833">
            <v>3</v>
          </cell>
          <cell r="BU833" t="str">
            <v>Dropped</v>
          </cell>
          <cell r="BW833" t="str">
            <v>Done</v>
          </cell>
          <cell r="BY833" t="str">
            <v>Approved</v>
          </cell>
          <cell r="CE833">
            <v>44954</v>
          </cell>
          <cell r="CI833" t="str">
            <v>Issued</v>
          </cell>
          <cell r="DE833">
            <v>120</v>
          </cell>
          <cell r="DG833" t="str">
            <v>Not Under Dead Rent</v>
          </cell>
          <cell r="DM833">
            <v>46177</v>
          </cell>
          <cell r="DP833" t="str">
            <v>ML Pending with Business</v>
          </cell>
          <cell r="DR833">
            <v>15</v>
          </cell>
          <cell r="DX833" t="str">
            <v/>
          </cell>
          <cell r="EA833" t="str">
            <v/>
          </cell>
          <cell r="ED833" t="str">
            <v/>
          </cell>
          <cell r="EE833" t="str">
            <v/>
          </cell>
          <cell r="EF833">
            <v>1</v>
          </cell>
          <cell r="FM833" t="str">
            <v/>
          </cell>
          <cell r="GG833" t="str">
            <v>2024-2025</v>
          </cell>
        </row>
        <row r="834">
          <cell r="E834" t="str">
            <v>Indira Market Durg</v>
          </cell>
          <cell r="F834" t="str">
            <v>14. Dropped</v>
          </cell>
          <cell r="K834" t="str">
            <v>W</v>
          </cell>
          <cell r="L834" t="str">
            <v>BK</v>
          </cell>
          <cell r="N834" t="str">
            <v>Mrudang Shah</v>
          </cell>
          <cell r="O834" t="str">
            <v>Ruturaj Mishra</v>
          </cell>
          <cell r="Q834" t="str">
            <v>Shahaji Gohatre</v>
          </cell>
          <cell r="R834" t="str">
            <v>Shweta Topwal</v>
          </cell>
          <cell r="S834" t="str">
            <v>Chattisgarh</v>
          </cell>
          <cell r="T834" t="str">
            <v>Durg</v>
          </cell>
          <cell r="U834" t="str">
            <v>Non Premium</v>
          </cell>
          <cell r="V834" t="str">
            <v>Misc Formats</v>
          </cell>
          <cell r="W834">
            <v>2727</v>
          </cell>
          <cell r="AG834" t="str">
            <v/>
          </cell>
          <cell r="AO834">
            <v>3</v>
          </cell>
          <cell r="AS834">
            <v>-3</v>
          </cell>
          <cell r="AU834">
            <v>4</v>
          </cell>
          <cell r="AY834">
            <v>-4</v>
          </cell>
          <cell r="BA834">
            <v>5</v>
          </cell>
          <cell r="BE834">
            <v>-5</v>
          </cell>
          <cell r="BG834">
            <v>5</v>
          </cell>
          <cell r="BK834">
            <v>-5</v>
          </cell>
          <cell r="BM834">
            <v>3</v>
          </cell>
          <cell r="BP834">
            <v>3</v>
          </cell>
          <cell r="BU834" t="str">
            <v>Dropped</v>
          </cell>
          <cell r="DG834" t="str">
            <v/>
          </cell>
          <cell r="DM834">
            <v>46177</v>
          </cell>
          <cell r="DR834">
            <v>35</v>
          </cell>
          <cell r="DS834">
            <v>45</v>
          </cell>
          <cell r="DU834">
            <v>35</v>
          </cell>
          <cell r="DW834">
            <v>35</v>
          </cell>
          <cell r="EA834" t="str">
            <v/>
          </cell>
          <cell r="ED834" t="str">
            <v/>
          </cell>
          <cell r="EE834" t="str">
            <v/>
          </cell>
          <cell r="EF834">
            <v>1</v>
          </cell>
          <cell r="FD834">
            <v>46142</v>
          </cell>
          <cell r="FF834">
            <v>46142</v>
          </cell>
          <cell r="FM834" t="str">
            <v/>
          </cell>
          <cell r="GG834" t="str">
            <v>2024-2025</v>
          </cell>
        </row>
        <row r="835">
          <cell r="E835" t="str">
            <v>SAPANA GRANDUER MARGAO</v>
          </cell>
          <cell r="F835" t="str">
            <v>14. Dropped</v>
          </cell>
          <cell r="K835" t="str">
            <v>W</v>
          </cell>
          <cell r="L835" t="str">
            <v>BK</v>
          </cell>
          <cell r="N835" t="str">
            <v>Shashi Pardeshi</v>
          </cell>
          <cell r="O835" t="str">
            <v>Ashish M</v>
          </cell>
          <cell r="Q835" t="str">
            <v>Shahaji Gohatre</v>
          </cell>
          <cell r="R835" t="str">
            <v>Shweta Topwal</v>
          </cell>
          <cell r="S835" t="str">
            <v>Goa</v>
          </cell>
          <cell r="T835" t="str">
            <v>Goa</v>
          </cell>
          <cell r="U835" t="str">
            <v>Non Premium</v>
          </cell>
          <cell r="V835" t="str">
            <v>Misc Formats</v>
          </cell>
          <cell r="AB835">
            <v>44967</v>
          </cell>
          <cell r="AF835" t="str">
            <v>Done</v>
          </cell>
          <cell r="AG835">
            <v>1205</v>
          </cell>
          <cell r="AO835">
            <v>3</v>
          </cell>
          <cell r="AS835">
            <v>-3</v>
          </cell>
          <cell r="AU835">
            <v>4</v>
          </cell>
          <cell r="AY835">
            <v>-4</v>
          </cell>
          <cell r="BA835">
            <v>5</v>
          </cell>
          <cell r="BE835">
            <v>-5</v>
          </cell>
          <cell r="BG835">
            <v>5</v>
          </cell>
          <cell r="BK835">
            <v>-5</v>
          </cell>
          <cell r="BM835">
            <v>3</v>
          </cell>
          <cell r="BP835">
            <v>3</v>
          </cell>
          <cell r="BU835" t="str">
            <v>Dropped</v>
          </cell>
          <cell r="DG835" t="str">
            <v/>
          </cell>
          <cell r="DM835">
            <v>46177</v>
          </cell>
          <cell r="DR835">
            <v>35</v>
          </cell>
          <cell r="DS835">
            <v>45</v>
          </cell>
          <cell r="DU835">
            <v>35</v>
          </cell>
          <cell r="DW835">
            <v>35</v>
          </cell>
          <cell r="EA835" t="str">
            <v/>
          </cell>
          <cell r="ED835" t="str">
            <v/>
          </cell>
          <cell r="EE835" t="str">
            <v/>
          </cell>
          <cell r="EF835">
            <v>1</v>
          </cell>
          <cell r="FD835">
            <v>46142</v>
          </cell>
          <cell r="FF835">
            <v>46142</v>
          </cell>
          <cell r="FM835" t="str">
            <v/>
          </cell>
          <cell r="GG835" t="str">
            <v>2024-2025</v>
          </cell>
        </row>
        <row r="836">
          <cell r="E836" t="str">
            <v>Sheetal Dharamraj, Malad West</v>
          </cell>
          <cell r="F836" t="str">
            <v>14. Dropped</v>
          </cell>
          <cell r="K836" t="str">
            <v>W</v>
          </cell>
          <cell r="L836" t="str">
            <v>BK</v>
          </cell>
          <cell r="N836" t="str">
            <v>Shashi Pardeshi</v>
          </cell>
          <cell r="O836" t="str">
            <v>Ashish M</v>
          </cell>
          <cell r="Q836" t="str">
            <v>Shahaji Gohatre</v>
          </cell>
          <cell r="R836" t="str">
            <v>Shweta Topwal</v>
          </cell>
          <cell r="S836" t="str">
            <v>Maharastra</v>
          </cell>
          <cell r="T836" t="str">
            <v>Mumbai</v>
          </cell>
          <cell r="U836" t="str">
            <v>Non Premium</v>
          </cell>
          <cell r="V836" t="str">
            <v>Misc Formats</v>
          </cell>
          <cell r="W836">
            <v>2797.35</v>
          </cell>
          <cell r="AF836" t="str">
            <v>Done</v>
          </cell>
          <cell r="AG836" t="str">
            <v/>
          </cell>
          <cell r="AL836" t="str">
            <v>Received</v>
          </cell>
          <cell r="AO836">
            <v>3</v>
          </cell>
          <cell r="AS836">
            <v>-3</v>
          </cell>
          <cell r="AU836">
            <v>4</v>
          </cell>
          <cell r="AY836">
            <v>-4</v>
          </cell>
          <cell r="BA836">
            <v>5</v>
          </cell>
          <cell r="BE836">
            <v>-5</v>
          </cell>
          <cell r="BG836">
            <v>5</v>
          </cell>
          <cell r="BK836">
            <v>-5</v>
          </cell>
          <cell r="BM836">
            <v>3</v>
          </cell>
          <cell r="BP836">
            <v>3</v>
          </cell>
          <cell r="BU836" t="str">
            <v>Dropped</v>
          </cell>
          <cell r="DG836" t="str">
            <v/>
          </cell>
          <cell r="DM836">
            <v>46177</v>
          </cell>
          <cell r="DR836">
            <v>35</v>
          </cell>
          <cell r="DS836">
            <v>45</v>
          </cell>
          <cell r="DX836" t="str">
            <v/>
          </cell>
          <cell r="EA836" t="str">
            <v/>
          </cell>
          <cell r="ED836" t="str">
            <v/>
          </cell>
          <cell r="EE836" t="str">
            <v/>
          </cell>
          <cell r="FF836">
            <v>46142</v>
          </cell>
          <cell r="FM836" t="str">
            <v/>
          </cell>
          <cell r="GG836" t="str">
            <v>2024-2025</v>
          </cell>
        </row>
        <row r="837">
          <cell r="E837" t="str">
            <v>sb-ban-Jayanagar</v>
          </cell>
          <cell r="F837" t="str">
            <v>9. EPC Ready</v>
          </cell>
          <cell r="G837" t="str">
            <v>ULSDAS106</v>
          </cell>
          <cell r="K837" t="str">
            <v>S</v>
          </cell>
          <cell r="L837" t="str">
            <v>AK</v>
          </cell>
          <cell r="Q837" t="str">
            <v>Shahaji Gohatre</v>
          </cell>
          <cell r="R837" t="str">
            <v>Shweta Topwal</v>
          </cell>
          <cell r="S837" t="str">
            <v>Karnataka</v>
          </cell>
          <cell r="T837" t="str">
            <v>Bengaluru</v>
          </cell>
          <cell r="U837" t="str">
            <v>Non Premium</v>
          </cell>
          <cell r="V837" t="str">
            <v>Dehire</v>
          </cell>
          <cell r="W837">
            <v>2500</v>
          </cell>
          <cell r="AB837" t="str">
            <v>NA</v>
          </cell>
          <cell r="AF837" t="str">
            <v>NA</v>
          </cell>
          <cell r="AL837" t="str">
            <v>NA</v>
          </cell>
          <cell r="AO837">
            <v>3</v>
          </cell>
          <cell r="AS837">
            <v>-3</v>
          </cell>
          <cell r="AU837">
            <v>4</v>
          </cell>
          <cell r="AY837">
            <v>-4</v>
          </cell>
          <cell r="BA837">
            <v>5</v>
          </cell>
          <cell r="BE837">
            <v>-5</v>
          </cell>
          <cell r="BG837">
            <v>5</v>
          </cell>
          <cell r="BK837">
            <v>-5</v>
          </cell>
          <cell r="BM837">
            <v>3</v>
          </cell>
          <cell r="BU837" t="str">
            <v>Dehire</v>
          </cell>
          <cell r="BW837" t="str">
            <v>Done</v>
          </cell>
          <cell r="BY837" t="str">
            <v>Approved on 08.11.23</v>
          </cell>
          <cell r="CD837">
            <v>45238</v>
          </cell>
          <cell r="CE837">
            <v>45267</v>
          </cell>
          <cell r="CI837" t="str">
            <v>Issued</v>
          </cell>
          <cell r="DG837" t="str">
            <v>Dehire Site</v>
          </cell>
          <cell r="DM837">
            <v>45279</v>
          </cell>
          <cell r="DP837">
            <v>45280</v>
          </cell>
          <cell r="DQ837">
            <v>45279</v>
          </cell>
          <cell r="DR837">
            <v>15</v>
          </cell>
          <cell r="DU837">
            <v>45294</v>
          </cell>
          <cell r="DV837">
            <v>45279</v>
          </cell>
          <cell r="DW837">
            <v>45294</v>
          </cell>
          <cell r="DX837" t="str">
            <v>Jan 24 Week 1</v>
          </cell>
          <cell r="DZ837">
            <v>45294</v>
          </cell>
          <cell r="EA837" t="str">
            <v>Jan 24 Week 1</v>
          </cell>
          <cell r="ED837" t="str">
            <v/>
          </cell>
          <cell r="EE837" t="str">
            <v/>
          </cell>
          <cell r="EF837">
            <v>1</v>
          </cell>
          <cell r="EG837">
            <v>1</v>
          </cell>
          <cell r="FD837">
            <v>0</v>
          </cell>
          <cell r="FE837" t="str">
            <v>On Time</v>
          </cell>
          <cell r="FF837">
            <v>-1</v>
          </cell>
          <cell r="FG837" t="str">
            <v>On Time</v>
          </cell>
          <cell r="FH837" t="str">
            <v>Done</v>
          </cell>
          <cell r="FK837">
            <v>45300</v>
          </cell>
          <cell r="FM837" t="str">
            <v/>
          </cell>
          <cell r="GG837" t="str">
            <v>2023-2024</v>
          </cell>
        </row>
        <row r="838">
          <cell r="E838" t="str">
            <v>sb-noi-logix-city</v>
          </cell>
          <cell r="F838" t="str">
            <v>9. EPC Ready</v>
          </cell>
          <cell r="G838" t="str">
            <v>ULSDRT107</v>
          </cell>
          <cell r="K838" t="str">
            <v xml:space="preserve">N </v>
          </cell>
          <cell r="L838" t="str">
            <v>RT</v>
          </cell>
          <cell r="Q838" t="str">
            <v>Shahaji Gohatre</v>
          </cell>
          <cell r="R838" t="str">
            <v>Shweta Topwal</v>
          </cell>
          <cell r="S838" t="str">
            <v>Delhi</v>
          </cell>
          <cell r="T838" t="str">
            <v>Delhi NCR</v>
          </cell>
          <cell r="U838" t="str">
            <v>Non Premium</v>
          </cell>
          <cell r="V838" t="str">
            <v>Dehire</v>
          </cell>
          <cell r="W838">
            <v>2233</v>
          </cell>
          <cell r="AB838" t="str">
            <v>NA</v>
          </cell>
          <cell r="AF838" t="str">
            <v>NA</v>
          </cell>
          <cell r="AL838" t="str">
            <v>NA</v>
          </cell>
          <cell r="AO838">
            <v>3</v>
          </cell>
          <cell r="AS838">
            <v>-3</v>
          </cell>
          <cell r="AU838">
            <v>4</v>
          </cell>
          <cell r="AY838">
            <v>-4</v>
          </cell>
          <cell r="BA838">
            <v>5</v>
          </cell>
          <cell r="BE838">
            <v>-5</v>
          </cell>
          <cell r="BG838">
            <v>5</v>
          </cell>
          <cell r="BK838">
            <v>-5</v>
          </cell>
          <cell r="BM838">
            <v>3</v>
          </cell>
          <cell r="BU838" t="str">
            <v>Dehire</v>
          </cell>
          <cell r="BW838" t="str">
            <v>Done</v>
          </cell>
          <cell r="BY838" t="str">
            <v>Approved on 08.11.23</v>
          </cell>
          <cell r="CD838">
            <v>45238</v>
          </cell>
          <cell r="CI838" t="str">
            <v>Issued</v>
          </cell>
          <cell r="DG838" t="str">
            <v>Dehire Site</v>
          </cell>
          <cell r="DM838">
            <v>45273</v>
          </cell>
          <cell r="DP838">
            <v>45273</v>
          </cell>
          <cell r="DQ838">
            <v>45273</v>
          </cell>
          <cell r="DR838">
            <v>15</v>
          </cell>
          <cell r="DU838">
            <v>45288</v>
          </cell>
          <cell r="DV838">
            <v>45273</v>
          </cell>
          <cell r="DW838">
            <v>45288</v>
          </cell>
          <cell r="DX838" t="str">
            <v>Dec 23 Week 4</v>
          </cell>
          <cell r="DY838">
            <v>45285</v>
          </cell>
          <cell r="DZ838">
            <v>45289</v>
          </cell>
          <cell r="EA838" t="str">
            <v>Dec 23 Week 5</v>
          </cell>
          <cell r="ED838" t="str">
            <v/>
          </cell>
          <cell r="EE838" t="str">
            <v/>
          </cell>
          <cell r="EF838">
            <v>1</v>
          </cell>
          <cell r="EG838">
            <v>1</v>
          </cell>
          <cell r="FD838">
            <v>1</v>
          </cell>
          <cell r="FE838" t="str">
            <v>0 to 3 Days</v>
          </cell>
          <cell r="FF838">
            <v>1</v>
          </cell>
          <cell r="FG838" t="str">
            <v>0 to 3 Days</v>
          </cell>
          <cell r="FH838" t="str">
            <v>NA</v>
          </cell>
          <cell r="FM838" t="str">
            <v/>
          </cell>
          <cell r="GG838" t="str">
            <v>2023-2024</v>
          </cell>
        </row>
        <row r="839">
          <cell r="E839" t="str">
            <v>sb-zir-paras-downtown</v>
          </cell>
          <cell r="F839" t="str">
            <v>9. EPC Ready</v>
          </cell>
          <cell r="G839" t="str">
            <v>ULSDKC108</v>
          </cell>
          <cell r="K839" t="str">
            <v xml:space="preserve">N </v>
          </cell>
          <cell r="L839" t="str">
            <v>KC</v>
          </cell>
          <cell r="Q839" t="str">
            <v>Shahaji Gohatre</v>
          </cell>
          <cell r="R839" t="str">
            <v>Shweta Topwal</v>
          </cell>
          <cell r="S839" t="str">
            <v>Punjab</v>
          </cell>
          <cell r="T839" t="str">
            <v>Zirakpur</v>
          </cell>
          <cell r="U839" t="str">
            <v>Non Premium</v>
          </cell>
          <cell r="V839" t="str">
            <v>Dehire</v>
          </cell>
          <cell r="W839">
            <v>2500</v>
          </cell>
          <cell r="AB839" t="str">
            <v>NA</v>
          </cell>
          <cell r="AF839" t="str">
            <v>NA</v>
          </cell>
          <cell r="AL839" t="str">
            <v>NA</v>
          </cell>
          <cell r="AO839">
            <v>3</v>
          </cell>
          <cell r="AS839">
            <v>-3</v>
          </cell>
          <cell r="AU839">
            <v>4</v>
          </cell>
          <cell r="AY839">
            <v>-4</v>
          </cell>
          <cell r="BA839">
            <v>5</v>
          </cell>
          <cell r="BE839">
            <v>-5</v>
          </cell>
          <cell r="BG839">
            <v>5</v>
          </cell>
          <cell r="BK839">
            <v>-5</v>
          </cell>
          <cell r="BM839">
            <v>3</v>
          </cell>
          <cell r="BU839" t="str">
            <v>Dehire</v>
          </cell>
          <cell r="BW839" t="str">
            <v>Done</v>
          </cell>
          <cell r="BY839" t="str">
            <v>Approved on 08.11.23</v>
          </cell>
          <cell r="CD839">
            <v>45238</v>
          </cell>
          <cell r="CE839">
            <v>45274</v>
          </cell>
          <cell r="CI839" t="str">
            <v>Issued</v>
          </cell>
          <cell r="DG839" t="str">
            <v>Dehire Site</v>
          </cell>
          <cell r="DM839">
            <v>45286</v>
          </cell>
          <cell r="DP839">
            <v>45286</v>
          </cell>
          <cell r="DQ839">
            <v>45286</v>
          </cell>
          <cell r="DR839">
            <v>15</v>
          </cell>
          <cell r="DU839">
            <v>45301</v>
          </cell>
          <cell r="DV839">
            <v>45286</v>
          </cell>
          <cell r="DW839">
            <v>45301</v>
          </cell>
          <cell r="DX839" t="str">
            <v>Jan 24 Week 2</v>
          </cell>
          <cell r="DY839">
            <v>45286</v>
          </cell>
          <cell r="DZ839">
            <v>45290</v>
          </cell>
          <cell r="EA839" t="str">
            <v>Dec 23 Week 5</v>
          </cell>
          <cell r="ED839" t="str">
            <v/>
          </cell>
          <cell r="EE839" t="str">
            <v/>
          </cell>
          <cell r="EF839">
            <v>1</v>
          </cell>
          <cell r="EG839">
            <v>1</v>
          </cell>
          <cell r="FD839">
            <v>-11</v>
          </cell>
          <cell r="FE839" t="str">
            <v>On Time</v>
          </cell>
          <cell r="FF839">
            <v>-11</v>
          </cell>
          <cell r="FG839" t="str">
            <v>On Time</v>
          </cell>
          <cell r="FH839" t="str">
            <v>Done</v>
          </cell>
          <cell r="FK839">
            <v>45322</v>
          </cell>
          <cell r="FM839" t="str">
            <v/>
          </cell>
          <cell r="GG839" t="str">
            <v>2023-2024</v>
          </cell>
        </row>
        <row r="840">
          <cell r="E840" t="str">
            <v>sb-gha-mahagun-mall</v>
          </cell>
          <cell r="F840" t="str">
            <v>9. EPC Ready</v>
          </cell>
          <cell r="G840" t="str">
            <v>ULSDRT109</v>
          </cell>
          <cell r="K840" t="str">
            <v xml:space="preserve">N </v>
          </cell>
          <cell r="L840" t="str">
            <v>RT</v>
          </cell>
          <cell r="Q840" t="str">
            <v>Shahaji Gohatre</v>
          </cell>
          <cell r="R840" t="str">
            <v>Shweta Topwal</v>
          </cell>
          <cell r="S840" t="str">
            <v>Delhi</v>
          </cell>
          <cell r="T840" t="str">
            <v>Delhi NCR</v>
          </cell>
          <cell r="U840" t="str">
            <v>Non Premium</v>
          </cell>
          <cell r="V840" t="str">
            <v>Dehire</v>
          </cell>
          <cell r="W840">
            <v>2499</v>
          </cell>
          <cell r="AB840" t="str">
            <v>NA</v>
          </cell>
          <cell r="AF840" t="str">
            <v>NA</v>
          </cell>
          <cell r="AL840" t="str">
            <v>NA</v>
          </cell>
          <cell r="AO840">
            <v>3</v>
          </cell>
          <cell r="AS840">
            <v>-3</v>
          </cell>
          <cell r="AU840">
            <v>4</v>
          </cell>
          <cell r="AY840">
            <v>-4</v>
          </cell>
          <cell r="BA840">
            <v>5</v>
          </cell>
          <cell r="BE840">
            <v>-5</v>
          </cell>
          <cell r="BG840">
            <v>5</v>
          </cell>
          <cell r="BK840">
            <v>-5</v>
          </cell>
          <cell r="BM840">
            <v>3</v>
          </cell>
          <cell r="BU840" t="str">
            <v>Dehire</v>
          </cell>
          <cell r="BW840" t="str">
            <v>Done</v>
          </cell>
          <cell r="BY840" t="str">
            <v>Approved on 08.11.23</v>
          </cell>
          <cell r="CD840">
            <v>45238</v>
          </cell>
          <cell r="CE840">
            <v>45268</v>
          </cell>
          <cell r="CI840" t="str">
            <v>Issued</v>
          </cell>
          <cell r="DG840" t="str">
            <v>Dehire Site</v>
          </cell>
          <cell r="DM840">
            <v>45273</v>
          </cell>
          <cell r="DP840">
            <v>45273</v>
          </cell>
          <cell r="DQ840">
            <v>45273</v>
          </cell>
          <cell r="DR840">
            <v>15</v>
          </cell>
          <cell r="DU840">
            <v>45288</v>
          </cell>
          <cell r="DV840">
            <v>45273</v>
          </cell>
          <cell r="DW840">
            <v>45288</v>
          </cell>
          <cell r="DX840" t="str">
            <v>Dec 23 Week 4</v>
          </cell>
          <cell r="DY840">
            <v>45285</v>
          </cell>
          <cell r="DZ840">
            <v>45285</v>
          </cell>
          <cell r="EA840" t="str">
            <v>Dec 23 Week 4</v>
          </cell>
          <cell r="ED840" t="str">
            <v/>
          </cell>
          <cell r="EE840" t="str">
            <v/>
          </cell>
          <cell r="EF840">
            <v>1</v>
          </cell>
          <cell r="EG840">
            <v>1</v>
          </cell>
          <cell r="FD840">
            <v>-3</v>
          </cell>
          <cell r="FE840" t="str">
            <v>On Time</v>
          </cell>
          <cell r="FF840">
            <v>-3</v>
          </cell>
          <cell r="FG840" t="str">
            <v>On Time</v>
          </cell>
          <cell r="FH840" t="str">
            <v>NA</v>
          </cell>
          <cell r="FM840" t="str">
            <v/>
          </cell>
          <cell r="GG840" t="str">
            <v>2023-2024</v>
          </cell>
        </row>
        <row r="841">
          <cell r="E841" t="str">
            <v>sb-che-saligramam</v>
          </cell>
          <cell r="F841" t="str">
            <v>9. EPC Ready</v>
          </cell>
          <cell r="G841" t="str">
            <v>ULSDAS110</v>
          </cell>
          <cell r="K841" t="str">
            <v>S</v>
          </cell>
          <cell r="L841" t="str">
            <v>AS</v>
          </cell>
          <cell r="Q841" t="str">
            <v>Shahaji Gohatre</v>
          </cell>
          <cell r="R841" t="str">
            <v>Shweta Topwal</v>
          </cell>
          <cell r="S841" t="str">
            <v>Tamil Nadu</v>
          </cell>
          <cell r="T841" t="str">
            <v>Chennai</v>
          </cell>
          <cell r="U841" t="str">
            <v>Non Premium</v>
          </cell>
          <cell r="V841" t="str">
            <v>Dehire</v>
          </cell>
          <cell r="W841">
            <v>2585</v>
          </cell>
          <cell r="AB841" t="str">
            <v>NA</v>
          </cell>
          <cell r="AF841" t="str">
            <v>NA</v>
          </cell>
          <cell r="AL841" t="str">
            <v>NA</v>
          </cell>
          <cell r="AO841">
            <v>3</v>
          </cell>
          <cell r="AS841">
            <v>-3</v>
          </cell>
          <cell r="AU841">
            <v>4</v>
          </cell>
          <cell r="AY841">
            <v>-4</v>
          </cell>
          <cell r="BA841">
            <v>5</v>
          </cell>
          <cell r="BE841">
            <v>-5</v>
          </cell>
          <cell r="BG841">
            <v>5</v>
          </cell>
          <cell r="BK841">
            <v>-5</v>
          </cell>
          <cell r="BM841">
            <v>3</v>
          </cell>
          <cell r="BU841" t="str">
            <v>Dehire</v>
          </cell>
          <cell r="BW841" t="str">
            <v>Done</v>
          </cell>
          <cell r="BY841" t="str">
            <v>Approved on 08.11.23</v>
          </cell>
          <cell r="CD841">
            <v>45238</v>
          </cell>
          <cell r="CE841">
            <v>45266</v>
          </cell>
          <cell r="CI841" t="str">
            <v>Issued</v>
          </cell>
          <cell r="DG841" t="str">
            <v>Dehire Site</v>
          </cell>
          <cell r="DM841">
            <v>45280</v>
          </cell>
          <cell r="DP841">
            <v>45279</v>
          </cell>
          <cell r="DQ841">
            <v>45280</v>
          </cell>
          <cell r="DR841">
            <v>15</v>
          </cell>
          <cell r="DU841">
            <v>45295</v>
          </cell>
          <cell r="DV841">
            <v>45280</v>
          </cell>
          <cell r="DW841">
            <v>45295</v>
          </cell>
          <cell r="DX841" t="str">
            <v>Jan 24 Week 1</v>
          </cell>
          <cell r="DZ841">
            <v>45294</v>
          </cell>
          <cell r="EA841" t="str">
            <v>Jan 24 Week 1</v>
          </cell>
          <cell r="ED841" t="str">
            <v/>
          </cell>
          <cell r="EE841" t="str">
            <v/>
          </cell>
          <cell r="EF841">
            <v>1</v>
          </cell>
          <cell r="EG841">
            <v>1</v>
          </cell>
          <cell r="FD841">
            <v>-1</v>
          </cell>
          <cell r="FE841" t="str">
            <v>On Time</v>
          </cell>
          <cell r="FF841">
            <v>0</v>
          </cell>
          <cell r="FG841" t="str">
            <v>On Time</v>
          </cell>
          <cell r="FH841" t="str">
            <v>Done</v>
          </cell>
          <cell r="FK841">
            <v>45300</v>
          </cell>
          <cell r="FM841" t="str">
            <v/>
          </cell>
          <cell r="GG841" t="str">
            <v>2023-2024</v>
          </cell>
        </row>
        <row r="842">
          <cell r="E842" t="str">
            <v>bb-trivandrum-pattom junction -old kalpa</v>
          </cell>
          <cell r="F842" t="str">
            <v>9. EPC Ready</v>
          </cell>
          <cell r="G842" t="str">
            <v>ULSDAS111</v>
          </cell>
          <cell r="K842" t="str">
            <v>S</v>
          </cell>
          <cell r="L842" t="str">
            <v>AS</v>
          </cell>
          <cell r="Q842" t="str">
            <v>Shahaji Gohatre</v>
          </cell>
          <cell r="R842" t="str">
            <v>Shweta Topwal</v>
          </cell>
          <cell r="S842" t="str">
            <v>Kerala</v>
          </cell>
          <cell r="T842" t="str">
            <v>Trivandrum</v>
          </cell>
          <cell r="U842" t="str">
            <v>Non Premium</v>
          </cell>
          <cell r="V842" t="str">
            <v>Dehire</v>
          </cell>
          <cell r="W842">
            <v>1800</v>
          </cell>
          <cell r="AG842" t="str">
            <v/>
          </cell>
          <cell r="AO842">
            <v>3</v>
          </cell>
          <cell r="AS842">
            <v>-3</v>
          </cell>
          <cell r="AU842">
            <v>4</v>
          </cell>
          <cell r="AY842">
            <v>-4</v>
          </cell>
          <cell r="BA842">
            <v>5</v>
          </cell>
          <cell r="BE842">
            <v>-5</v>
          </cell>
          <cell r="BG842">
            <v>5</v>
          </cell>
          <cell r="BK842">
            <v>-5</v>
          </cell>
          <cell r="BM842">
            <v>3</v>
          </cell>
          <cell r="BU842" t="str">
            <v>Dehire</v>
          </cell>
          <cell r="BY842" t="str">
            <v>Approved on 08.11.23</v>
          </cell>
          <cell r="CD842">
            <v>45238</v>
          </cell>
          <cell r="CE842">
            <v>45265</v>
          </cell>
          <cell r="CI842" t="str">
            <v>Issued</v>
          </cell>
          <cell r="DG842" t="str">
            <v>Dehire Site</v>
          </cell>
          <cell r="DM842">
            <v>45255</v>
          </cell>
          <cell r="DQ842">
            <v>45255</v>
          </cell>
          <cell r="DR842">
            <v>15</v>
          </cell>
          <cell r="DU842">
            <v>45270</v>
          </cell>
          <cell r="DV842">
            <v>45255</v>
          </cell>
          <cell r="DW842">
            <v>45270</v>
          </cell>
          <cell r="DX842" t="str">
            <v>Dec 23 Week 2</v>
          </cell>
          <cell r="DZ842">
            <v>45265</v>
          </cell>
          <cell r="EA842" t="str">
            <v>Dec 23 Week 1</v>
          </cell>
          <cell r="ED842" t="str">
            <v/>
          </cell>
          <cell r="EE842" t="str">
            <v/>
          </cell>
          <cell r="EF842">
            <v>1</v>
          </cell>
          <cell r="EG842">
            <v>1</v>
          </cell>
          <cell r="FD842">
            <v>-5</v>
          </cell>
          <cell r="FE842" t="str">
            <v>On Time</v>
          </cell>
          <cell r="FF842">
            <v>45250</v>
          </cell>
          <cell r="FH842" t="str">
            <v>NA</v>
          </cell>
          <cell r="FM842" t="str">
            <v/>
          </cell>
          <cell r="GG842" t="str">
            <v>2023-2024</v>
          </cell>
        </row>
        <row r="843">
          <cell r="E843" t="str">
            <v>sb-nas-lawate-nagar</v>
          </cell>
          <cell r="F843" t="str">
            <v>9. EPC Ready</v>
          </cell>
          <cell r="G843" t="str">
            <v>ULSDBK112</v>
          </cell>
          <cell r="K843" t="str">
            <v>W</v>
          </cell>
          <cell r="L843" t="str">
            <v>BK</v>
          </cell>
          <cell r="Q843" t="str">
            <v>Shahaji Gohatre</v>
          </cell>
          <cell r="R843" t="str">
            <v>Shweta Topwal</v>
          </cell>
          <cell r="S843" t="str">
            <v>Maharastra</v>
          </cell>
          <cell r="T843" t="str">
            <v>Nashik</v>
          </cell>
          <cell r="U843" t="str">
            <v>Non Premium</v>
          </cell>
          <cell r="V843" t="str">
            <v>Dehire</v>
          </cell>
          <cell r="W843">
            <v>2524</v>
          </cell>
          <cell r="AB843" t="str">
            <v>NA</v>
          </cell>
          <cell r="AF843" t="str">
            <v>NA</v>
          </cell>
          <cell r="AL843" t="str">
            <v>NA</v>
          </cell>
          <cell r="AO843">
            <v>3</v>
          </cell>
          <cell r="AS843">
            <v>-3</v>
          </cell>
          <cell r="AU843">
            <v>4</v>
          </cell>
          <cell r="AY843">
            <v>-4</v>
          </cell>
          <cell r="BA843">
            <v>5</v>
          </cell>
          <cell r="BE843">
            <v>-5</v>
          </cell>
          <cell r="BG843">
            <v>5</v>
          </cell>
          <cell r="BK843">
            <v>-5</v>
          </cell>
          <cell r="BM843">
            <v>3</v>
          </cell>
          <cell r="BU843" t="str">
            <v>Dehire</v>
          </cell>
          <cell r="BW843" t="str">
            <v>Done</v>
          </cell>
          <cell r="BY843" t="str">
            <v>Approved on 08.11.23</v>
          </cell>
          <cell r="CD843">
            <v>45238</v>
          </cell>
          <cell r="CI843" t="str">
            <v>Issued</v>
          </cell>
          <cell r="DG843" t="str">
            <v>Dehire Site</v>
          </cell>
          <cell r="DM843">
            <v>45264</v>
          </cell>
          <cell r="DP843">
            <v>45264</v>
          </cell>
          <cell r="DQ843">
            <v>45264</v>
          </cell>
          <cell r="DR843">
            <v>15</v>
          </cell>
          <cell r="DU843">
            <v>45279</v>
          </cell>
          <cell r="DV843">
            <v>45264</v>
          </cell>
          <cell r="DW843">
            <v>45279</v>
          </cell>
          <cell r="DX843" t="str">
            <v>Dec 23 Week 3</v>
          </cell>
          <cell r="DY843" t="str">
            <v>18-12-2023
22-12-23</v>
          </cell>
          <cell r="DZ843">
            <v>45282</v>
          </cell>
          <cell r="EA843" t="str">
            <v>Dec 23 Week 4</v>
          </cell>
          <cell r="ED843" t="str">
            <v/>
          </cell>
          <cell r="EE843" t="str">
            <v/>
          </cell>
          <cell r="EF843">
            <v>1</v>
          </cell>
          <cell r="EG843">
            <v>1</v>
          </cell>
          <cell r="FD843">
            <v>3</v>
          </cell>
          <cell r="FE843" t="str">
            <v>0 to 3 Days</v>
          </cell>
          <cell r="FF843">
            <v>3</v>
          </cell>
          <cell r="FG843" t="str">
            <v>0 to 3 Days</v>
          </cell>
          <cell r="FH843" t="str">
            <v>NA</v>
          </cell>
          <cell r="FM843" t="str">
            <v/>
          </cell>
          <cell r="GG843" t="str">
            <v>2023-2024</v>
          </cell>
        </row>
        <row r="844">
          <cell r="E844" t="str">
            <v xml:space="preserve">Attavara Ward- Mangalore </v>
          </cell>
          <cell r="F844" t="str">
            <v>14. Dropped</v>
          </cell>
          <cell r="G844" t="str">
            <v>URBLAS10644</v>
          </cell>
          <cell r="K844" t="str">
            <v>S</v>
          </cell>
          <cell r="L844" t="str">
            <v>AS</v>
          </cell>
          <cell r="N844" t="str">
            <v>Sreevinoth</v>
          </cell>
          <cell r="Q844" t="str">
            <v>Shahaji Gohatre</v>
          </cell>
          <cell r="R844" t="str">
            <v>Shweta Topwal</v>
          </cell>
          <cell r="S844" t="str">
            <v>Karnataka</v>
          </cell>
          <cell r="T844" t="str">
            <v>Mangalore</v>
          </cell>
          <cell r="U844" t="str">
            <v>Non Premium</v>
          </cell>
          <cell r="W844">
            <v>532</v>
          </cell>
          <cell r="AB844">
            <v>45355</v>
          </cell>
          <cell r="AC844">
            <v>45356</v>
          </cell>
          <cell r="AD844">
            <v>45357</v>
          </cell>
          <cell r="AE844">
            <v>45357</v>
          </cell>
          <cell r="AF844" t="str">
            <v>Done</v>
          </cell>
          <cell r="AG844">
            <v>0</v>
          </cell>
          <cell r="AI844">
            <v>45370</v>
          </cell>
          <cell r="AL844" t="str">
            <v>Received</v>
          </cell>
          <cell r="AO844">
            <v>45373</v>
          </cell>
          <cell r="AP844">
            <v>45379</v>
          </cell>
          <cell r="AS844">
            <v>804</v>
          </cell>
          <cell r="AT844" t="str">
            <v>No Pendency</v>
          </cell>
          <cell r="BG844">
            <v>45375</v>
          </cell>
          <cell r="BH844">
            <v>45390</v>
          </cell>
          <cell r="BU844" t="str">
            <v>Dropped</v>
          </cell>
          <cell r="DM844">
            <v>46177</v>
          </cell>
          <cell r="DX844" t="str">
            <v/>
          </cell>
          <cell r="EA844" t="str">
            <v/>
          </cell>
          <cell r="ED844" t="str">
            <v/>
          </cell>
          <cell r="EE844" t="str">
            <v/>
          </cell>
          <cell r="FF844">
            <v>46177</v>
          </cell>
          <cell r="FM844" t="str">
            <v/>
          </cell>
          <cell r="GG844" t="str">
            <v>2024-2025</v>
          </cell>
        </row>
        <row r="845">
          <cell r="E845" t="str">
            <v xml:space="preserve">Tarnaka </v>
          </cell>
          <cell r="F845" t="str">
            <v>14. Dropped</v>
          </cell>
          <cell r="G845" t="str">
            <v>URBLSD10645</v>
          </cell>
          <cell r="K845" t="str">
            <v>S</v>
          </cell>
          <cell r="L845" t="str">
            <v>AK</v>
          </cell>
          <cell r="Q845" t="str">
            <v>Shahaji Gohatre</v>
          </cell>
          <cell r="R845" t="str">
            <v>Shweta Topwal</v>
          </cell>
          <cell r="S845" t="str">
            <v>Telangana</v>
          </cell>
          <cell r="T845" t="str">
            <v>Hyderabad</v>
          </cell>
          <cell r="U845" t="str">
            <v>Non Premium</v>
          </cell>
          <cell r="W845">
            <v>488</v>
          </cell>
          <cell r="AB845">
            <v>45355</v>
          </cell>
          <cell r="AC845">
            <v>45367</v>
          </cell>
          <cell r="AD845">
            <v>45369</v>
          </cell>
          <cell r="AF845" t="str">
            <v>Done</v>
          </cell>
          <cell r="AG845">
            <v>9</v>
          </cell>
          <cell r="AI845">
            <v>45370</v>
          </cell>
          <cell r="AL845" t="str">
            <v>Received</v>
          </cell>
          <cell r="AO845">
            <v>45373</v>
          </cell>
          <cell r="AP845">
            <v>45379</v>
          </cell>
          <cell r="AS845">
            <v>804</v>
          </cell>
          <cell r="AT845" t="str">
            <v>No Pendency</v>
          </cell>
          <cell r="BG845">
            <v>45375</v>
          </cell>
          <cell r="BH845">
            <v>45390</v>
          </cell>
          <cell r="BU845" t="str">
            <v>Dropped</v>
          </cell>
          <cell r="DM845">
            <v>46177</v>
          </cell>
          <cell r="DX845" t="str">
            <v/>
          </cell>
          <cell r="EA845" t="str">
            <v/>
          </cell>
          <cell r="ED845" t="str">
            <v/>
          </cell>
          <cell r="EE845" t="str">
            <v/>
          </cell>
          <cell r="FF845">
            <v>46177</v>
          </cell>
          <cell r="FM845" t="str">
            <v/>
          </cell>
          <cell r="GG845" t="str">
            <v>2024-2025</v>
          </cell>
        </row>
        <row r="846">
          <cell r="E846" t="str">
            <v>PATNA-K P MALL</v>
          </cell>
          <cell r="F846" t="str">
            <v>14. Dropped</v>
          </cell>
          <cell r="G846" t="str">
            <v>URBLSD10646</v>
          </cell>
          <cell r="K846" t="str">
            <v xml:space="preserve">E </v>
          </cell>
          <cell r="L846" t="str">
            <v>SD</v>
          </cell>
          <cell r="Q846" t="str">
            <v>Shahaji Gohatre</v>
          </cell>
          <cell r="R846" t="str">
            <v>Shweta Topwal</v>
          </cell>
          <cell r="S846" t="str">
            <v>Bihar</v>
          </cell>
          <cell r="T846" t="str">
            <v>Patna</v>
          </cell>
          <cell r="U846" t="str">
            <v>Non Premium</v>
          </cell>
          <cell r="W846">
            <v>1109</v>
          </cell>
          <cell r="AB846">
            <v>45355</v>
          </cell>
          <cell r="AC846">
            <v>45356</v>
          </cell>
          <cell r="AD846">
            <v>45362</v>
          </cell>
          <cell r="AE846">
            <v>45362</v>
          </cell>
          <cell r="AF846" t="str">
            <v>Done</v>
          </cell>
          <cell r="AG846">
            <v>2</v>
          </cell>
          <cell r="AI846">
            <v>45364</v>
          </cell>
          <cell r="AL846" t="str">
            <v>Received</v>
          </cell>
          <cell r="AO846">
            <v>45367</v>
          </cell>
          <cell r="AP846">
            <v>45366</v>
          </cell>
          <cell r="AS846">
            <v>810</v>
          </cell>
          <cell r="AT846" t="str">
            <v>No Pendency</v>
          </cell>
          <cell r="BG846">
            <v>45369</v>
          </cell>
          <cell r="BH846">
            <v>45372</v>
          </cell>
          <cell r="BK846">
            <v>808</v>
          </cell>
          <cell r="BU846" t="str">
            <v>Dropped</v>
          </cell>
          <cell r="DM846">
            <v>46177</v>
          </cell>
          <cell r="DX846" t="str">
            <v/>
          </cell>
          <cell r="EA846" t="str">
            <v/>
          </cell>
          <cell r="ED846" t="str">
            <v/>
          </cell>
          <cell r="EE846" t="str">
            <v/>
          </cell>
          <cell r="FF846">
            <v>46177</v>
          </cell>
          <cell r="FM846" t="str">
            <v/>
          </cell>
          <cell r="GG846" t="str">
            <v>2024-2025</v>
          </cell>
        </row>
        <row r="847">
          <cell r="E847" t="str">
            <v>BB-NEW DELHI-TWIN DISTRICT CEN (Rohini)</v>
          </cell>
          <cell r="F847" t="str">
            <v>14. Dropped</v>
          </cell>
          <cell r="G847" t="str">
            <v>URBLRT10647</v>
          </cell>
          <cell r="K847" t="str">
            <v>N</v>
          </cell>
          <cell r="L847" t="str">
            <v>RT</v>
          </cell>
          <cell r="Q847" t="str">
            <v>Shahaji Gohatre</v>
          </cell>
          <cell r="R847" t="str">
            <v>Shweta Topwal</v>
          </cell>
          <cell r="S847" t="str">
            <v>Delhi NCR</v>
          </cell>
          <cell r="T847" t="str">
            <v>Delhi</v>
          </cell>
          <cell r="U847" t="str">
            <v>Non Premium</v>
          </cell>
          <cell r="W847">
            <v>1618</v>
          </cell>
          <cell r="AB847">
            <v>45355</v>
          </cell>
          <cell r="AF847" t="str">
            <v>Done</v>
          </cell>
          <cell r="AG847">
            <v>817</v>
          </cell>
          <cell r="AI847">
            <v>45370</v>
          </cell>
          <cell r="AL847" t="str">
            <v>Received</v>
          </cell>
          <cell r="AO847">
            <v>45373</v>
          </cell>
          <cell r="AP847">
            <v>45371</v>
          </cell>
          <cell r="AS847">
            <v>804</v>
          </cell>
          <cell r="AT847" t="str">
            <v>No Pendency</v>
          </cell>
          <cell r="BG847">
            <v>45375</v>
          </cell>
          <cell r="BH847">
            <v>45380</v>
          </cell>
          <cell r="BU847" t="str">
            <v>Dropped</v>
          </cell>
          <cell r="DM847">
            <v>46177</v>
          </cell>
          <cell r="DX847" t="str">
            <v/>
          </cell>
          <cell r="EA847" t="str">
            <v/>
          </cell>
          <cell r="ED847" t="str">
            <v/>
          </cell>
          <cell r="EE847" t="str">
            <v/>
          </cell>
          <cell r="FF847">
            <v>46177</v>
          </cell>
          <cell r="FM847" t="str">
            <v/>
          </cell>
          <cell r="GG847" t="str">
            <v>2024-2025</v>
          </cell>
        </row>
        <row r="848">
          <cell r="E848" t="str">
            <v>IB EC Domlur, Bangalore</v>
          </cell>
          <cell r="F848" t="str">
            <v>14. Dropped</v>
          </cell>
          <cell r="G848" t="str">
            <v>URBLAS10635</v>
          </cell>
          <cell r="K848" t="str">
            <v>S</v>
          </cell>
          <cell r="L848" t="str">
            <v>AS</v>
          </cell>
          <cell r="S848" t="str">
            <v>Karnataka</v>
          </cell>
          <cell r="T848" t="str">
            <v>Bangalore</v>
          </cell>
          <cell r="U848" t="str">
            <v>Non Premium</v>
          </cell>
          <cell r="AG848" t="str">
            <v/>
          </cell>
          <cell r="BU848" t="str">
            <v>Dropped</v>
          </cell>
          <cell r="DM848">
            <v>46177</v>
          </cell>
          <cell r="DX848" t="str">
            <v/>
          </cell>
          <cell r="EA848" t="str">
            <v/>
          </cell>
          <cell r="ED848" t="str">
            <v/>
          </cell>
          <cell r="EE848" t="str">
            <v/>
          </cell>
          <cell r="FF848">
            <v>46177</v>
          </cell>
          <cell r="FM848" t="str">
            <v/>
          </cell>
          <cell r="GG848" t="str">
            <v>2024-2025</v>
          </cell>
        </row>
        <row r="849">
          <cell r="E849" t="str">
            <v>Banner Pune</v>
          </cell>
          <cell r="F849" t="str">
            <v>14. Dropped</v>
          </cell>
          <cell r="G849" t="str">
            <v>URBLBK10636</v>
          </cell>
          <cell r="K849" t="str">
            <v>W</v>
          </cell>
          <cell r="L849" t="str">
            <v>BK</v>
          </cell>
          <cell r="S849" t="str">
            <v>Maharastra</v>
          </cell>
          <cell r="T849" t="str">
            <v>Pune</v>
          </cell>
          <cell r="U849" t="str">
            <v>Non Premium</v>
          </cell>
          <cell r="AG849" t="str">
            <v/>
          </cell>
          <cell r="BU849" t="str">
            <v>Dropped</v>
          </cell>
          <cell r="DM849">
            <v>46177</v>
          </cell>
          <cell r="DX849" t="str">
            <v/>
          </cell>
          <cell r="EA849" t="str">
            <v/>
          </cell>
          <cell r="ED849" t="str">
            <v/>
          </cell>
          <cell r="EE849" t="str">
            <v/>
          </cell>
          <cell r="FF849">
            <v>46177</v>
          </cell>
          <cell r="FM849" t="str">
            <v/>
          </cell>
          <cell r="GG849" t="str">
            <v>2024-2025</v>
          </cell>
        </row>
        <row r="850">
          <cell r="E850" t="str">
            <v>Mall of India</v>
          </cell>
          <cell r="F850" t="str">
            <v>14. Dropped</v>
          </cell>
          <cell r="G850" t="str">
            <v>MIDHRT11366</v>
          </cell>
          <cell r="K850" t="str">
            <v>N</v>
          </cell>
          <cell r="L850" t="str">
            <v>RT</v>
          </cell>
          <cell r="U850" t="str">
            <v>Non Premium</v>
          </cell>
          <cell r="W850">
            <v>3346</v>
          </cell>
          <cell r="AG850" t="str">
            <v/>
          </cell>
          <cell r="BU850" t="str">
            <v>Dropped</v>
          </cell>
          <cell r="BW850" t="str">
            <v>17-05-2024</v>
          </cell>
          <cell r="DM850">
            <v>46177</v>
          </cell>
          <cell r="DX850" t="str">
            <v/>
          </cell>
          <cell r="EA850" t="str">
            <v/>
          </cell>
          <cell r="ED850" t="str">
            <v/>
          </cell>
          <cell r="EE850" t="str">
            <v/>
          </cell>
          <cell r="FF850">
            <v>46177</v>
          </cell>
          <cell r="FM850" t="str">
            <v/>
          </cell>
          <cell r="GG850" t="str">
            <v>2024-2025</v>
          </cell>
        </row>
        <row r="851">
          <cell r="E851" t="str">
            <v>Tarnaka</v>
          </cell>
          <cell r="F851" t="str">
            <v>14. Dropped</v>
          </cell>
          <cell r="K851" t="str">
            <v>E</v>
          </cell>
          <cell r="L851" t="str">
            <v>AK</v>
          </cell>
          <cell r="Q851" t="str">
            <v>Arju Tiwari</v>
          </cell>
          <cell r="R851" t="str">
            <v>Faraz Siddiqui</v>
          </cell>
          <cell r="S851" t="str">
            <v>Telangana</v>
          </cell>
          <cell r="T851" t="str">
            <v>Hyderabad</v>
          </cell>
          <cell r="U851" t="str">
            <v>Non Premium</v>
          </cell>
          <cell r="V851" t="str">
            <v>Dehire</v>
          </cell>
          <cell r="W851">
            <v>1601</v>
          </cell>
          <cell r="AF851" t="str">
            <v>NA</v>
          </cell>
          <cell r="AG851" t="str">
            <v/>
          </cell>
          <cell r="BU851" t="str">
            <v>Dropped</v>
          </cell>
          <cell r="DM851">
            <v>46177</v>
          </cell>
          <cell r="DX851" t="str">
            <v/>
          </cell>
          <cell r="EA851" t="str">
            <v/>
          </cell>
          <cell r="ED851" t="str">
            <v/>
          </cell>
          <cell r="EE851" t="str">
            <v/>
          </cell>
          <cell r="FF851">
            <v>46177</v>
          </cell>
          <cell r="FM851" t="str">
            <v/>
          </cell>
          <cell r="GG851" t="str">
            <v>2024-2025</v>
          </cell>
        </row>
        <row r="852">
          <cell r="E852" t="str">
            <v>Forum</v>
          </cell>
          <cell r="F852" t="str">
            <v>9. EPC Ready</v>
          </cell>
          <cell r="I852" t="str">
            <v>T1KT</v>
          </cell>
          <cell r="J852" t="str">
            <v>Q1X6</v>
          </cell>
          <cell r="K852" t="str">
            <v>S</v>
          </cell>
          <cell r="L852" t="str">
            <v>AK</v>
          </cell>
          <cell r="M852" t="str">
            <v xml:space="preserve">15th August'24 Target </v>
          </cell>
          <cell r="P852" t="str">
            <v>Balaram sahu</v>
          </cell>
          <cell r="Q852" t="str">
            <v>Arju Tiwari</v>
          </cell>
          <cell r="R852" t="str">
            <v>Faraz Siddiqui</v>
          </cell>
          <cell r="S852" t="str">
            <v>Odisha</v>
          </cell>
          <cell r="T852" t="str">
            <v>Bhubaneswar</v>
          </cell>
          <cell r="U852" t="str">
            <v>Non Premium</v>
          </cell>
          <cell r="V852" t="str">
            <v>Dehire</v>
          </cell>
          <cell r="W852">
            <v>2571</v>
          </cell>
          <cell r="AF852" t="str">
            <v>NA</v>
          </cell>
          <cell r="AG852" t="str">
            <v/>
          </cell>
          <cell r="BU852" t="str">
            <v>Dehire</v>
          </cell>
          <cell r="BW852" t="str">
            <v>10-06-2024</v>
          </cell>
          <cell r="BX852">
            <v>45469</v>
          </cell>
          <cell r="BY852" t="str">
            <v>Done</v>
          </cell>
          <cell r="CD852">
            <v>45464</v>
          </cell>
          <cell r="CE852" t="str">
            <v>LOA Issued</v>
          </cell>
          <cell r="CN852" t="str">
            <v>Pending from Zone</v>
          </cell>
          <cell r="CO852" t="str">
            <v>Pending from Zone</v>
          </cell>
          <cell r="CP852" t="str">
            <v>NA</v>
          </cell>
          <cell r="DA852" t="str">
            <v>Pending from Zone</v>
          </cell>
          <cell r="DB852" t="str">
            <v>Pending from Zone</v>
          </cell>
          <cell r="DC852" t="str">
            <v>N/A</v>
          </cell>
          <cell r="DG852" t="str">
            <v>Dehire Site - Not in Dead Rent</v>
          </cell>
          <cell r="DK852">
            <v>45484</v>
          </cell>
          <cell r="DM852">
            <v>0</v>
          </cell>
          <cell r="DN852" t="str">
            <v>On Time</v>
          </cell>
          <cell r="DO852" t="str">
            <v>LOA Issued</v>
          </cell>
          <cell r="DP852">
            <v>45484</v>
          </cell>
          <cell r="DQ852">
            <v>45484</v>
          </cell>
          <cell r="DR852">
            <v>15</v>
          </cell>
          <cell r="DU852">
            <v>45499</v>
          </cell>
          <cell r="DV852">
            <v>45484</v>
          </cell>
          <cell r="DW852">
            <v>45499</v>
          </cell>
          <cell r="DX852" t="str">
            <v>July 24 Week 4</v>
          </cell>
          <cell r="DZ852">
            <v>45489</v>
          </cell>
          <cell r="EA852" t="str">
            <v>July 24 Week 3</v>
          </cell>
          <cell r="EB852" t="str">
            <v>Plan</v>
          </cell>
          <cell r="ED852" t="str">
            <v/>
          </cell>
          <cell r="EE852" t="str">
            <v/>
          </cell>
          <cell r="FD852">
            <v>-10</v>
          </cell>
          <cell r="FE852" t="str">
            <v>On Time</v>
          </cell>
          <cell r="FF852">
            <v>-10</v>
          </cell>
          <cell r="FG852" t="str">
            <v>On Time</v>
          </cell>
          <cell r="FH852" t="str">
            <v>Done</v>
          </cell>
          <cell r="FK852">
            <v>45490</v>
          </cell>
          <cell r="FM852" t="str">
            <v/>
          </cell>
          <cell r="GG852" t="str">
            <v>2024-2025</v>
          </cell>
        </row>
        <row r="853">
          <cell r="E853" t="str">
            <v>BB-PATNA-K P MALL</v>
          </cell>
          <cell r="F853" t="str">
            <v>9. EPC Ready</v>
          </cell>
          <cell r="I853" t="str">
            <v>T1PH</v>
          </cell>
          <cell r="J853" t="str">
            <v>Q2K8</v>
          </cell>
          <cell r="K853" t="str">
            <v>E</v>
          </cell>
          <cell r="L853" t="str">
            <v>SD</v>
          </cell>
          <cell r="M853" t="str">
            <v xml:space="preserve">15th August'24 Target </v>
          </cell>
          <cell r="P853" t="str">
            <v xml:space="preserve">Jitendra mishra </v>
          </cell>
          <cell r="Q853" t="str">
            <v>Arju Tiwari</v>
          </cell>
          <cell r="R853" t="str">
            <v>Faraz Siddiqui</v>
          </cell>
          <cell r="S853" t="str">
            <v>Bihar</v>
          </cell>
          <cell r="T853" t="str">
            <v>Patna</v>
          </cell>
          <cell r="U853" t="str">
            <v>Non Premium</v>
          </cell>
          <cell r="V853" t="str">
            <v>Dehire</v>
          </cell>
          <cell r="W853">
            <v>2500</v>
          </cell>
          <cell r="AF853" t="str">
            <v>NA</v>
          </cell>
          <cell r="AG853" t="str">
            <v/>
          </cell>
          <cell r="BU853" t="str">
            <v>Dehire</v>
          </cell>
          <cell r="BW853" t="str">
            <v>10-06-2024</v>
          </cell>
          <cell r="BX853">
            <v>45469</v>
          </cell>
          <cell r="BY853" t="str">
            <v>Done</v>
          </cell>
          <cell r="CD853">
            <v>45464</v>
          </cell>
          <cell r="CE853" t="str">
            <v>LOA Issued</v>
          </cell>
          <cell r="CN853" t="str">
            <v>Pending from Zone</v>
          </cell>
          <cell r="CO853" t="str">
            <v>Pending from Zone</v>
          </cell>
          <cell r="CP853" t="str">
            <v>NA</v>
          </cell>
          <cell r="DA853" t="str">
            <v>Pending from Zone</v>
          </cell>
          <cell r="DB853" t="str">
            <v>Pending from Zone</v>
          </cell>
          <cell r="DC853" t="str">
            <v>N/A</v>
          </cell>
          <cell r="DG853" t="str">
            <v>Dehire Site - Not in Dead Rent</v>
          </cell>
          <cell r="DK853">
            <v>45484</v>
          </cell>
          <cell r="DM853">
            <v>0</v>
          </cell>
          <cell r="DN853" t="str">
            <v>On Time</v>
          </cell>
          <cell r="DO853" t="str">
            <v>LOA Issued</v>
          </cell>
          <cell r="DP853">
            <v>45484</v>
          </cell>
          <cell r="DQ853">
            <v>45484</v>
          </cell>
          <cell r="DR853">
            <v>15</v>
          </cell>
          <cell r="DU853">
            <v>45499</v>
          </cell>
          <cell r="DV853">
            <v>45484</v>
          </cell>
          <cell r="DW853">
            <v>45499</v>
          </cell>
          <cell r="DX853" t="str">
            <v>July 24 Week 4</v>
          </cell>
          <cell r="DZ853">
            <v>45495</v>
          </cell>
          <cell r="EA853" t="str">
            <v>July 24 Week 4</v>
          </cell>
          <cell r="EB853" t="str">
            <v>Plan</v>
          </cell>
          <cell r="ED853" t="str">
            <v/>
          </cell>
          <cell r="EE853" t="str">
            <v/>
          </cell>
          <cell r="FD853">
            <v>-4</v>
          </cell>
          <cell r="FE853" t="str">
            <v>On Time</v>
          </cell>
          <cell r="FF853">
            <v>-4</v>
          </cell>
          <cell r="FG853" t="str">
            <v>On Time</v>
          </cell>
          <cell r="FH853" t="str">
            <v>Done</v>
          </cell>
          <cell r="FK853">
            <v>45512</v>
          </cell>
          <cell r="FM853" t="str">
            <v/>
          </cell>
          <cell r="GG853" t="str">
            <v>2024-2025</v>
          </cell>
        </row>
        <row r="854">
          <cell r="E854" t="str">
            <v>BB-NEW DELHI-TWIN DISTRICT CEN (Rohini)</v>
          </cell>
          <cell r="F854" t="str">
            <v>14. Dropped</v>
          </cell>
          <cell r="I854" t="str">
            <v>T1VE</v>
          </cell>
          <cell r="J854" t="str">
            <v>Q3C6</v>
          </cell>
          <cell r="K854" t="str">
            <v>N</v>
          </cell>
          <cell r="L854" t="str">
            <v>RT</v>
          </cell>
          <cell r="M854" t="str">
            <v xml:space="preserve">15th August'24 Target </v>
          </cell>
          <cell r="P854" t="str">
            <v xml:space="preserve">Sachin jain </v>
          </cell>
          <cell r="Q854" t="str">
            <v>Arju Tiwari</v>
          </cell>
          <cell r="R854" t="str">
            <v>Faraz Siddiqui</v>
          </cell>
          <cell r="BU854" t="str">
            <v>Dehire</v>
          </cell>
          <cell r="BW854" t="str">
            <v>10-06-2024</v>
          </cell>
          <cell r="BX854">
            <v>45469</v>
          </cell>
          <cell r="BY854" t="str">
            <v>Done</v>
          </cell>
          <cell r="CD854">
            <v>45464</v>
          </cell>
          <cell r="CE854" t="str">
            <v>LOA Issued</v>
          </cell>
          <cell r="DC854" t="str">
            <v>N/A</v>
          </cell>
          <cell r="DG854" t="str">
            <v>Dehire Site - Not in Dead Rent</v>
          </cell>
          <cell r="DM854">
            <v>46177</v>
          </cell>
          <cell r="DO854" t="str">
            <v>LOA Issued</v>
          </cell>
          <cell r="DR854">
            <v>15</v>
          </cell>
          <cell r="DX854" t="str">
            <v/>
          </cell>
          <cell r="EA854" t="str">
            <v/>
          </cell>
          <cell r="EB854" t="str">
            <v>Plan</v>
          </cell>
          <cell r="ED854" t="str">
            <v/>
          </cell>
          <cell r="EE854" t="str">
            <v/>
          </cell>
          <cell r="FF854">
            <v>46162</v>
          </cell>
          <cell r="FM854" t="str">
            <v/>
          </cell>
          <cell r="GG854" t="str">
            <v>2024-2025</v>
          </cell>
        </row>
        <row r="855">
          <cell r="E855" t="str">
            <v>BB- RIVERSIDE MALL LUCKNOW</v>
          </cell>
          <cell r="F855" t="str">
            <v>9. EPC Ready</v>
          </cell>
          <cell r="I855" t="str">
            <v>T1LU</v>
          </cell>
          <cell r="J855" t="str">
            <v>Q1Z5</v>
          </cell>
          <cell r="K855" t="str">
            <v>N</v>
          </cell>
          <cell r="L855" t="str">
            <v>RT</v>
          </cell>
          <cell r="M855" t="str">
            <v xml:space="preserve">15th August'24 Target </v>
          </cell>
          <cell r="P855" t="str">
            <v>Jag lal</v>
          </cell>
          <cell r="Q855" t="str">
            <v>Arju Tiwari</v>
          </cell>
          <cell r="R855" t="str">
            <v>Faraz Siddiqui</v>
          </cell>
          <cell r="S855" t="str">
            <v>Uttar Pradesh</v>
          </cell>
          <cell r="T855" t="str">
            <v>Lucknow</v>
          </cell>
          <cell r="U855" t="str">
            <v>Non Premium</v>
          </cell>
          <cell r="V855" t="str">
            <v>Dehire</v>
          </cell>
          <cell r="W855">
            <v>2501</v>
          </cell>
          <cell r="AF855" t="str">
            <v>NA</v>
          </cell>
          <cell r="AG855" t="str">
            <v/>
          </cell>
          <cell r="AL855" t="str">
            <v>Delhi</v>
          </cell>
          <cell r="AN855" t="str">
            <v>Non Premium</v>
          </cell>
          <cell r="AP855">
            <v>2500</v>
          </cell>
          <cell r="AZ855" t="str">
            <v/>
          </cell>
          <cell r="BU855" t="str">
            <v>Dehire</v>
          </cell>
          <cell r="BW855" t="str">
            <v>10-06-2024</v>
          </cell>
          <cell r="BX855">
            <v>45469</v>
          </cell>
          <cell r="BY855" t="str">
            <v>Done</v>
          </cell>
          <cell r="CD855">
            <v>45464</v>
          </cell>
          <cell r="CE855" t="str">
            <v>LOA Issued</v>
          </cell>
          <cell r="CN855" t="str">
            <v>Pending from Zone</v>
          </cell>
          <cell r="CO855" t="str">
            <v>Pending from Zone</v>
          </cell>
          <cell r="CP855" t="str">
            <v>NA</v>
          </cell>
          <cell r="DA855" t="str">
            <v>Pending from Zone</v>
          </cell>
          <cell r="DB855" t="str">
            <v>Pending from Zone</v>
          </cell>
          <cell r="DC855" t="str">
            <v>N/A</v>
          </cell>
          <cell r="DG855" t="str">
            <v>Dehire Site - Not in Dead Rent</v>
          </cell>
          <cell r="DK855">
            <v>45479</v>
          </cell>
          <cell r="DM855">
            <v>0</v>
          </cell>
          <cell r="DN855" t="str">
            <v>On Time</v>
          </cell>
          <cell r="DO855" t="str">
            <v>LOA Issued</v>
          </cell>
          <cell r="DP855">
            <v>45479</v>
          </cell>
          <cell r="DQ855">
            <v>45479</v>
          </cell>
          <cell r="DR855">
            <v>15</v>
          </cell>
          <cell r="DU855">
            <v>45494</v>
          </cell>
          <cell r="DV855">
            <v>45479</v>
          </cell>
          <cell r="DW855">
            <v>45494</v>
          </cell>
          <cell r="DX855" t="str">
            <v>July 24 Week 3</v>
          </cell>
          <cell r="DY855">
            <v>45503</v>
          </cell>
          <cell r="DZ855">
            <v>45512</v>
          </cell>
          <cell r="EA855" t="str">
            <v>Aug 24 Week 2</v>
          </cell>
          <cell r="EB855" t="str">
            <v>Plan</v>
          </cell>
          <cell r="ED855" t="str">
            <v/>
          </cell>
          <cell r="EE855" t="str">
            <v/>
          </cell>
          <cell r="EG855">
            <v>1</v>
          </cell>
          <cell r="FD855">
            <v>18</v>
          </cell>
          <cell r="FE855" t="str">
            <v>16 to 31 Days</v>
          </cell>
          <cell r="FF855">
            <v>18</v>
          </cell>
          <cell r="FG855" t="str">
            <v>16 to 31 Days</v>
          </cell>
          <cell r="FH855" t="str">
            <v>Done</v>
          </cell>
          <cell r="FM855" t="str">
            <v/>
          </cell>
          <cell r="GG855" t="str">
            <v>2024-2025</v>
          </cell>
        </row>
        <row r="856">
          <cell r="E856" t="str">
            <v xml:space="preserve">Attavara Ward- Mangalore </v>
          </cell>
          <cell r="F856" t="str">
            <v>9. EPC Ready</v>
          </cell>
          <cell r="I856" t="str">
            <v>T1LP</v>
          </cell>
          <cell r="J856" t="str">
            <v>Q2Z9</v>
          </cell>
          <cell r="K856" t="str">
            <v>S</v>
          </cell>
          <cell r="L856" t="str">
            <v>AS</v>
          </cell>
          <cell r="M856" t="str">
            <v xml:space="preserve">15th August'24 Target </v>
          </cell>
          <cell r="P856" t="str">
            <v>Chand Hussain</v>
          </cell>
          <cell r="Q856" t="str">
            <v>Arju Tiwari</v>
          </cell>
          <cell r="R856" t="str">
            <v>Faraz Siddiqui</v>
          </cell>
          <cell r="S856" t="str">
            <v>Karnataka</v>
          </cell>
          <cell r="T856" t="str">
            <v>Mangalore</v>
          </cell>
          <cell r="U856" t="str">
            <v>Non Premium</v>
          </cell>
          <cell r="V856" t="str">
            <v>Dehire</v>
          </cell>
          <cell r="W856">
            <v>2481</v>
          </cell>
          <cell r="AF856" t="str">
            <v>NA</v>
          </cell>
          <cell r="AG856" t="str">
            <v/>
          </cell>
          <cell r="BU856" t="str">
            <v>Dehire</v>
          </cell>
          <cell r="BW856" t="str">
            <v>18-06-2024</v>
          </cell>
          <cell r="BX856">
            <v>45469</v>
          </cell>
          <cell r="BY856" t="str">
            <v>Done</v>
          </cell>
          <cell r="CD856">
            <v>45464</v>
          </cell>
          <cell r="CE856" t="str">
            <v>LOA Issued</v>
          </cell>
          <cell r="CN856" t="str">
            <v>Pending from Zone</v>
          </cell>
          <cell r="CO856" t="str">
            <v>Pending from Zone</v>
          </cell>
          <cell r="CP856" t="str">
            <v>NA</v>
          </cell>
          <cell r="DA856" t="str">
            <v>Pending from Zone</v>
          </cell>
          <cell r="DB856" t="str">
            <v>Pending from Zone</v>
          </cell>
          <cell r="DC856" t="str">
            <v>N/A</v>
          </cell>
          <cell r="DG856" t="str">
            <v>Dehire Site - Not in Dead Rent</v>
          </cell>
          <cell r="DK856">
            <v>45479</v>
          </cell>
          <cell r="DM856">
            <v>0</v>
          </cell>
          <cell r="DN856" t="str">
            <v>On Time</v>
          </cell>
          <cell r="DO856" t="str">
            <v>LOA Issued</v>
          </cell>
          <cell r="DP856">
            <v>45479</v>
          </cell>
          <cell r="DQ856">
            <v>45479</v>
          </cell>
          <cell r="DR856">
            <v>15</v>
          </cell>
          <cell r="DU856">
            <v>45494</v>
          </cell>
          <cell r="DV856">
            <v>45479</v>
          </cell>
          <cell r="DW856">
            <v>45494</v>
          </cell>
          <cell r="DX856" t="str">
            <v>July 24 Week 3</v>
          </cell>
          <cell r="DZ856">
            <v>45491</v>
          </cell>
          <cell r="EA856" t="str">
            <v>July 24 Week 3</v>
          </cell>
          <cell r="EB856" t="str">
            <v>Plan</v>
          </cell>
          <cell r="ED856" t="str">
            <v/>
          </cell>
          <cell r="EE856" t="str">
            <v/>
          </cell>
          <cell r="FD856">
            <v>-3</v>
          </cell>
          <cell r="FE856" t="str">
            <v>On Time</v>
          </cell>
          <cell r="FF856">
            <v>-3</v>
          </cell>
          <cell r="FG856" t="str">
            <v>On Time</v>
          </cell>
          <cell r="FH856" t="str">
            <v>Done</v>
          </cell>
          <cell r="FK856">
            <v>45491</v>
          </cell>
          <cell r="FM856" t="str">
            <v/>
          </cell>
          <cell r="GG856" t="str">
            <v>2024-2025</v>
          </cell>
        </row>
        <row r="857">
          <cell r="E857" t="str">
            <v>Mysore</v>
          </cell>
          <cell r="F857" t="str">
            <v>9. EPC Ready</v>
          </cell>
          <cell r="I857" t="str">
            <v>T1RN</v>
          </cell>
          <cell r="J857" t="str">
            <v>Q2S9</v>
          </cell>
          <cell r="K857" t="str">
            <v>S</v>
          </cell>
          <cell r="L857" t="str">
            <v>AK</v>
          </cell>
          <cell r="M857" t="str">
            <v xml:space="preserve">15th August'24 Target </v>
          </cell>
          <cell r="P857" t="str">
            <v xml:space="preserve">vinay h </v>
          </cell>
          <cell r="Q857" t="str">
            <v>Arju Tiwari</v>
          </cell>
          <cell r="R857" t="str">
            <v>Faraz Siddiqui</v>
          </cell>
          <cell r="S857" t="str">
            <v>Karnataka</v>
          </cell>
          <cell r="T857" t="str">
            <v>Mysore</v>
          </cell>
          <cell r="U857" t="str">
            <v>Non Premium</v>
          </cell>
          <cell r="V857" t="str">
            <v>Dehire</v>
          </cell>
          <cell r="W857">
            <v>2500</v>
          </cell>
          <cell r="AF857" t="str">
            <v>NA</v>
          </cell>
          <cell r="AG857" t="str">
            <v/>
          </cell>
          <cell r="BU857" t="str">
            <v>Dehire</v>
          </cell>
          <cell r="BW857" t="str">
            <v>18-06-2024</v>
          </cell>
          <cell r="BX857">
            <v>45469</v>
          </cell>
          <cell r="BY857" t="str">
            <v>Done</v>
          </cell>
          <cell r="CD857">
            <v>45464</v>
          </cell>
          <cell r="CE857" t="str">
            <v>LOA Issued</v>
          </cell>
          <cell r="CN857" t="str">
            <v>Pending from Zone</v>
          </cell>
          <cell r="CO857" t="str">
            <v>Pending from Zone</v>
          </cell>
          <cell r="CP857" t="str">
            <v>NA</v>
          </cell>
          <cell r="DA857" t="str">
            <v>Pending from Zone</v>
          </cell>
          <cell r="DB857" t="str">
            <v>Pending from Zone</v>
          </cell>
          <cell r="DC857" t="str">
            <v>N/A</v>
          </cell>
          <cell r="DG857" t="str">
            <v>Dehire Site - Not in Dead Rent</v>
          </cell>
          <cell r="DK857">
            <v>45490</v>
          </cell>
          <cell r="DM857">
            <v>0</v>
          </cell>
          <cell r="DN857" t="str">
            <v>On Time</v>
          </cell>
          <cell r="DO857" t="str">
            <v>LOA Issued</v>
          </cell>
          <cell r="DP857">
            <v>45490</v>
          </cell>
          <cell r="DQ857">
            <v>45490</v>
          </cell>
          <cell r="DR857">
            <v>15</v>
          </cell>
          <cell r="DU857">
            <v>45505</v>
          </cell>
          <cell r="DV857">
            <v>45490</v>
          </cell>
          <cell r="DW857">
            <v>45505</v>
          </cell>
          <cell r="DX857" t="str">
            <v>Aug 24 Week 1</v>
          </cell>
          <cell r="DY857">
            <v>45503</v>
          </cell>
          <cell r="DZ857">
            <v>45512</v>
          </cell>
          <cell r="EA857" t="str">
            <v>Aug 24 Week 2</v>
          </cell>
          <cell r="EB857" t="str">
            <v>Plan</v>
          </cell>
          <cell r="ED857" t="str">
            <v/>
          </cell>
          <cell r="EE857" t="str">
            <v/>
          </cell>
          <cell r="EG857">
            <v>1</v>
          </cell>
          <cell r="FD857">
            <v>7</v>
          </cell>
          <cell r="FE857" t="str">
            <v>4 to 7 Days</v>
          </cell>
          <cell r="FF857">
            <v>7</v>
          </cell>
          <cell r="FG857" t="str">
            <v>4 to 7 Days</v>
          </cell>
          <cell r="FH857" t="str">
            <v>Done</v>
          </cell>
          <cell r="FM857" t="str">
            <v/>
          </cell>
          <cell r="GG857" t="str">
            <v>2024-2025</v>
          </cell>
        </row>
        <row r="858">
          <cell r="E858" t="str">
            <v xml:space="preserve">UNITEA MALL </v>
          </cell>
          <cell r="F858" t="str">
            <v>14. Dropped</v>
          </cell>
          <cell r="G858" t="str">
            <v>FLDHAK11561</v>
          </cell>
          <cell r="I858" t="str">
            <v>T1VG</v>
          </cell>
          <cell r="J858" t="str">
            <v>Q3C8</v>
          </cell>
          <cell r="K858" t="str">
            <v>S</v>
          </cell>
          <cell r="L858" t="str">
            <v>AK</v>
          </cell>
          <cell r="M858" t="str">
            <v xml:space="preserve">15th August'24 Target </v>
          </cell>
          <cell r="P858" t="str">
            <v xml:space="preserve">Muthuvelu Minal </v>
          </cell>
          <cell r="Q858" t="str">
            <v>Arju Tiwari</v>
          </cell>
          <cell r="R858" t="str">
            <v>Faraz Siddiqui</v>
          </cell>
          <cell r="S858" t="str">
            <v>Tamil Nadu</v>
          </cell>
          <cell r="T858" t="str">
            <v>Coimbatore</v>
          </cell>
          <cell r="U858" t="str">
            <v>Non Premium</v>
          </cell>
          <cell r="V858" t="str">
            <v>Dehire</v>
          </cell>
          <cell r="W858">
            <v>2500</v>
          </cell>
          <cell r="AF858" t="str">
            <v>NA</v>
          </cell>
          <cell r="AG858" t="str">
            <v/>
          </cell>
          <cell r="BU858" t="str">
            <v>Dehire</v>
          </cell>
          <cell r="BW858" t="str">
            <v>18-06-2024</v>
          </cell>
          <cell r="BX858">
            <v>45469</v>
          </cell>
          <cell r="BY858" t="str">
            <v>Done</v>
          </cell>
          <cell r="CD858">
            <v>45464</v>
          </cell>
          <cell r="CE858" t="str">
            <v>Pending</v>
          </cell>
          <cell r="DC858" t="str">
            <v>N/A</v>
          </cell>
          <cell r="DG858" t="str">
            <v>Dehire Site - Not in Dead Rent</v>
          </cell>
          <cell r="DM858">
            <v>46177</v>
          </cell>
          <cell r="DO858" t="str">
            <v>NOA Pending</v>
          </cell>
          <cell r="DR858">
            <v>15</v>
          </cell>
          <cell r="DX858" t="str">
            <v/>
          </cell>
          <cell r="EA858" t="str">
            <v/>
          </cell>
          <cell r="EB858" t="str">
            <v>Plan</v>
          </cell>
          <cell r="ED858" t="str">
            <v/>
          </cell>
          <cell r="EE858" t="str">
            <v/>
          </cell>
          <cell r="FF858">
            <v>46162</v>
          </cell>
          <cell r="FM858" t="str">
            <v/>
          </cell>
          <cell r="GG858" t="str">
            <v>2024-2025</v>
          </cell>
        </row>
        <row r="859">
          <cell r="E859" t="str">
            <v>RajaJi Nagar</v>
          </cell>
          <cell r="F859" t="str">
            <v>9. EPC Ready</v>
          </cell>
          <cell r="I859" t="str">
            <v>T1VK</v>
          </cell>
          <cell r="J859" t="str">
            <v>Q3E8</v>
          </cell>
          <cell r="K859" t="str">
            <v>S</v>
          </cell>
          <cell r="L859" t="str">
            <v>AS</v>
          </cell>
          <cell r="M859" t="str">
            <v xml:space="preserve">15th August'24 Target </v>
          </cell>
          <cell r="P859" t="str">
            <v xml:space="preserve">Sandesh naik </v>
          </cell>
          <cell r="Q859" t="str">
            <v>Arju Tiwari</v>
          </cell>
          <cell r="R859" t="str">
            <v>Faraz Siddiqui</v>
          </cell>
          <cell r="S859" t="str">
            <v>Karnataka</v>
          </cell>
          <cell r="T859" t="str">
            <v>Bengaluru</v>
          </cell>
          <cell r="U859" t="str">
            <v>Non Premium</v>
          </cell>
          <cell r="V859" t="str">
            <v>Dehire</v>
          </cell>
          <cell r="W859">
            <v>2500</v>
          </cell>
          <cell r="AF859" t="str">
            <v>NA</v>
          </cell>
          <cell r="AG859" t="str">
            <v/>
          </cell>
          <cell r="BU859" t="str">
            <v>Dehire</v>
          </cell>
          <cell r="BW859" t="str">
            <v>19-06-2024</v>
          </cell>
          <cell r="BX859">
            <v>45469</v>
          </cell>
          <cell r="BY859" t="str">
            <v>Done</v>
          </cell>
          <cell r="CD859">
            <v>45464</v>
          </cell>
          <cell r="CE859" t="str">
            <v>LOA Issued</v>
          </cell>
          <cell r="CN859" t="str">
            <v>Pending from Zone</v>
          </cell>
          <cell r="CO859" t="str">
            <v>Pending from Zone</v>
          </cell>
          <cell r="CP859" t="str">
            <v>NA</v>
          </cell>
          <cell r="DA859" t="str">
            <v>Pending from Zone</v>
          </cell>
          <cell r="DB859" t="str">
            <v>Pending from Zone</v>
          </cell>
          <cell r="DC859" t="str">
            <v>N/A</v>
          </cell>
          <cell r="DG859" t="str">
            <v>Dehire Site - Not in Dead Rent</v>
          </cell>
          <cell r="DK859">
            <v>45489</v>
          </cell>
          <cell r="DM859">
            <v>0</v>
          </cell>
          <cell r="DN859" t="str">
            <v>On Time</v>
          </cell>
          <cell r="DO859" t="str">
            <v>LOA Issued</v>
          </cell>
          <cell r="DP859">
            <v>45489</v>
          </cell>
          <cell r="DQ859">
            <v>45489</v>
          </cell>
          <cell r="DR859">
            <v>15</v>
          </cell>
          <cell r="DU859">
            <v>45504</v>
          </cell>
          <cell r="DV859">
            <v>45489</v>
          </cell>
          <cell r="DW859">
            <v>45504</v>
          </cell>
          <cell r="DX859" t="str">
            <v>July 24 Week 4</v>
          </cell>
          <cell r="DZ859">
            <v>45491</v>
          </cell>
          <cell r="EA859" t="str">
            <v>July 24 Week 3</v>
          </cell>
          <cell r="EB859" t="str">
            <v>Plan</v>
          </cell>
          <cell r="ED859" t="str">
            <v/>
          </cell>
          <cell r="EE859" t="str">
            <v/>
          </cell>
          <cell r="FD859">
            <v>-13</v>
          </cell>
          <cell r="FE859" t="str">
            <v>On Time</v>
          </cell>
          <cell r="FF859">
            <v>-13</v>
          </cell>
          <cell r="FG859" t="str">
            <v>On Time</v>
          </cell>
          <cell r="FH859" t="str">
            <v>Done</v>
          </cell>
          <cell r="FK859">
            <v>45491</v>
          </cell>
          <cell r="FM859" t="str">
            <v/>
          </cell>
          <cell r="GG859" t="str">
            <v>2024-2025</v>
          </cell>
        </row>
        <row r="860">
          <cell r="E860" t="str">
            <v>BB-NAGPUR-LAND MARK</v>
          </cell>
          <cell r="F860" t="str">
            <v>9. EPC Ready</v>
          </cell>
          <cell r="I860" t="str">
            <v>T1VF</v>
          </cell>
          <cell r="J860" t="str">
            <v>Q3C7</v>
          </cell>
          <cell r="K860" t="str">
            <v>W</v>
          </cell>
          <cell r="L860" t="str">
            <v>BK</v>
          </cell>
          <cell r="M860" t="str">
            <v xml:space="preserve">15th August'24 Target </v>
          </cell>
          <cell r="P860" t="str">
            <v>Nilesh Nagpure</v>
          </cell>
          <cell r="Q860" t="str">
            <v>Arju Tiwari</v>
          </cell>
          <cell r="R860" t="str">
            <v>Faraz Siddiqui</v>
          </cell>
          <cell r="S860" t="str">
            <v>Maharastra</v>
          </cell>
          <cell r="T860" t="str">
            <v>Nagpur</v>
          </cell>
          <cell r="U860" t="str">
            <v>Non Premium</v>
          </cell>
          <cell r="V860" t="str">
            <v>Dehire</v>
          </cell>
          <cell r="W860">
            <v>2500</v>
          </cell>
          <cell r="AF860" t="str">
            <v>NA</v>
          </cell>
          <cell r="AG860" t="str">
            <v/>
          </cell>
          <cell r="BU860" t="str">
            <v>Dehire</v>
          </cell>
          <cell r="BW860" t="str">
            <v>10-06-2024</v>
          </cell>
          <cell r="BX860">
            <v>45469</v>
          </cell>
          <cell r="BY860" t="str">
            <v>Done</v>
          </cell>
          <cell r="CD860">
            <v>45464</v>
          </cell>
          <cell r="CE860" t="str">
            <v>LOA Issued</v>
          </cell>
          <cell r="CN860" t="str">
            <v>Pending from Zone</v>
          </cell>
          <cell r="CO860" t="str">
            <v>Pending from Zone</v>
          </cell>
          <cell r="CP860" t="str">
            <v>NA</v>
          </cell>
          <cell r="DA860" t="str">
            <v>Pending from Zone</v>
          </cell>
          <cell r="DB860" t="str">
            <v>Pending from Zone</v>
          </cell>
          <cell r="DC860" t="str">
            <v>N/A</v>
          </cell>
          <cell r="DG860" t="str">
            <v>Dehire Site - Not in Dead Rent</v>
          </cell>
          <cell r="DK860">
            <v>45484</v>
          </cell>
          <cell r="DM860">
            <v>0</v>
          </cell>
          <cell r="DN860" t="str">
            <v>On Time</v>
          </cell>
          <cell r="DO860" t="str">
            <v>LOA Issued</v>
          </cell>
          <cell r="DP860">
            <v>45484</v>
          </cell>
          <cell r="DQ860">
            <v>45484</v>
          </cell>
          <cell r="DR860">
            <v>15</v>
          </cell>
          <cell r="DU860">
            <v>45499</v>
          </cell>
          <cell r="DV860">
            <v>45484</v>
          </cell>
          <cell r="DW860">
            <v>45499</v>
          </cell>
          <cell r="DX860" t="str">
            <v>July 24 Week 4</v>
          </cell>
          <cell r="DZ860">
            <v>45490</v>
          </cell>
          <cell r="EA860" t="str">
            <v>July 24 Week 3</v>
          </cell>
          <cell r="EB860" t="str">
            <v>Plan</v>
          </cell>
          <cell r="ED860" t="str">
            <v/>
          </cell>
          <cell r="EE860" t="str">
            <v/>
          </cell>
          <cell r="FD860">
            <v>-9</v>
          </cell>
          <cell r="FE860" t="str">
            <v>On Time</v>
          </cell>
          <cell r="FF860">
            <v>-9</v>
          </cell>
          <cell r="FG860" t="str">
            <v>On Time</v>
          </cell>
          <cell r="FH860" t="str">
            <v>Done</v>
          </cell>
          <cell r="FK860">
            <v>45460</v>
          </cell>
          <cell r="FM860" t="str">
            <v/>
          </cell>
          <cell r="GG860" t="str">
            <v>2024-2025</v>
          </cell>
        </row>
        <row r="861">
          <cell r="E861" t="str">
            <v>BB-BHOPAL-D B MALL</v>
          </cell>
          <cell r="F861" t="str">
            <v>9. EPC Ready</v>
          </cell>
          <cell r="I861" t="str">
            <v>T1LO</v>
          </cell>
          <cell r="J861" t="str">
            <v>Q2Z8</v>
          </cell>
          <cell r="K861" t="str">
            <v>W</v>
          </cell>
          <cell r="L861" t="str">
            <v>KC</v>
          </cell>
          <cell r="M861" t="str">
            <v xml:space="preserve">15th August'24 Target </v>
          </cell>
          <cell r="P861" t="str">
            <v>Mahedra Baghel</v>
          </cell>
          <cell r="Q861" t="str">
            <v>Arju Tiwari</v>
          </cell>
          <cell r="R861" t="str">
            <v>Faraz Siddiqui</v>
          </cell>
          <cell r="S861" t="str">
            <v>Madhya Pradesh</v>
          </cell>
          <cell r="T861" t="str">
            <v>Bhopal</v>
          </cell>
          <cell r="U861" t="str">
            <v>Non Premium</v>
          </cell>
          <cell r="V861" t="str">
            <v>Dehire</v>
          </cell>
          <cell r="W861">
            <v>2515</v>
          </cell>
          <cell r="AF861" t="str">
            <v>NA</v>
          </cell>
          <cell r="AG861" t="str">
            <v/>
          </cell>
          <cell r="BU861" t="str">
            <v>Dehire</v>
          </cell>
          <cell r="BW861" t="str">
            <v>19-06-2024</v>
          </cell>
          <cell r="BX861">
            <v>45469</v>
          </cell>
          <cell r="BY861" t="str">
            <v>Done</v>
          </cell>
          <cell r="CD861">
            <v>45464</v>
          </cell>
          <cell r="CE861" t="str">
            <v>LOA Issued</v>
          </cell>
          <cell r="CN861" t="str">
            <v>Pending from Zone</v>
          </cell>
          <cell r="CO861" t="str">
            <v>Pending from Zone</v>
          </cell>
          <cell r="CP861" t="str">
            <v>NA</v>
          </cell>
          <cell r="DA861" t="str">
            <v>Pending from Zone</v>
          </cell>
          <cell r="DB861" t="str">
            <v>Pending from Zone</v>
          </cell>
          <cell r="DC861" t="str">
            <v>N/A</v>
          </cell>
          <cell r="DG861" t="str">
            <v>Dehire Site - Not in Dead Rent</v>
          </cell>
          <cell r="DK861">
            <v>45484</v>
          </cell>
          <cell r="DM861">
            <v>0</v>
          </cell>
          <cell r="DN861" t="str">
            <v>On Time</v>
          </cell>
          <cell r="DO861" t="str">
            <v>LOA Issued</v>
          </cell>
          <cell r="DP861">
            <v>45484</v>
          </cell>
          <cell r="DQ861">
            <v>45484</v>
          </cell>
          <cell r="DR861">
            <v>15</v>
          </cell>
          <cell r="DU861">
            <v>45499</v>
          </cell>
          <cell r="DV861">
            <v>45484</v>
          </cell>
          <cell r="DW861">
            <v>45499</v>
          </cell>
          <cell r="DX861" t="str">
            <v>July 24 Week 4</v>
          </cell>
          <cell r="DZ861">
            <v>45491</v>
          </cell>
          <cell r="EA861" t="str">
            <v>July 24 Week 3</v>
          </cell>
          <cell r="EB861" t="str">
            <v>Plan</v>
          </cell>
          <cell r="ED861" t="str">
            <v/>
          </cell>
          <cell r="EE861" t="str">
            <v/>
          </cell>
          <cell r="FD861">
            <v>-8</v>
          </cell>
          <cell r="FE861" t="str">
            <v>On Time</v>
          </cell>
          <cell r="FF861">
            <v>-8</v>
          </cell>
          <cell r="FG861" t="str">
            <v>On Time</v>
          </cell>
          <cell r="FH861" t="str">
            <v>Done</v>
          </cell>
          <cell r="FK861">
            <v>45491</v>
          </cell>
          <cell r="FM861" t="str">
            <v/>
          </cell>
          <cell r="GG861" t="str">
            <v>2024-2025</v>
          </cell>
        </row>
        <row r="862">
          <cell r="E862" t="str">
            <v>PMC Kurla</v>
          </cell>
          <cell r="F862" t="str">
            <v>14. Dropped</v>
          </cell>
          <cell r="G862" t="str">
            <v>FLDHBK11565</v>
          </cell>
          <cell r="I862" t="str">
            <v>TAER</v>
          </cell>
          <cell r="J862" t="str">
            <v>QFOL</v>
          </cell>
          <cell r="K862" t="str">
            <v>W</v>
          </cell>
          <cell r="L862" t="str">
            <v>BK</v>
          </cell>
          <cell r="M862" t="str">
            <v xml:space="preserve">15th August'24 Target </v>
          </cell>
          <cell r="P862" t="str">
            <v>Rajesh Gawale</v>
          </cell>
          <cell r="Q862" t="str">
            <v>Arju Tiwari</v>
          </cell>
          <cell r="R862" t="str">
            <v>Faraz Siddiqui</v>
          </cell>
          <cell r="S862" t="str">
            <v>Maharastra</v>
          </cell>
          <cell r="T862" t="str">
            <v>Mumbai</v>
          </cell>
          <cell r="U862" t="str">
            <v>Non Premium</v>
          </cell>
          <cell r="V862" t="str">
            <v>Dehire</v>
          </cell>
          <cell r="W862">
            <v>6675.94</v>
          </cell>
          <cell r="AF862" t="str">
            <v>NA</v>
          </cell>
          <cell r="AG862" t="str">
            <v/>
          </cell>
          <cell r="BU862" t="str">
            <v>Dehire</v>
          </cell>
          <cell r="BW862" t="str">
            <v>18-06-2024</v>
          </cell>
          <cell r="BX862">
            <v>45469</v>
          </cell>
          <cell r="BY862" t="str">
            <v>Done</v>
          </cell>
          <cell r="CD862">
            <v>45464</v>
          </cell>
          <cell r="CE862" t="str">
            <v>LOA Issued</v>
          </cell>
          <cell r="DC862" t="str">
            <v>N/A</v>
          </cell>
          <cell r="DG862" t="str">
            <v>Dehire Site - Not in Dead Rent</v>
          </cell>
          <cell r="DM862">
            <v>46177</v>
          </cell>
          <cell r="DO862" t="str">
            <v>LOA Issued</v>
          </cell>
          <cell r="DR862">
            <v>15</v>
          </cell>
          <cell r="DX862" t="str">
            <v/>
          </cell>
          <cell r="EA862" t="str">
            <v/>
          </cell>
          <cell r="EB862" t="str">
            <v>Plan</v>
          </cell>
          <cell r="ED862" t="str">
            <v/>
          </cell>
          <cell r="EE862" t="str">
            <v/>
          </cell>
          <cell r="FF862">
            <v>46162</v>
          </cell>
          <cell r="FM862" t="str">
            <v/>
          </cell>
          <cell r="GG862" t="str">
            <v>2024-2025</v>
          </cell>
        </row>
        <row r="863">
          <cell r="E863" t="str">
            <v>TV Samy Road,Coimbatore</v>
          </cell>
          <cell r="F863" t="str">
            <v>9. EPC Ready</v>
          </cell>
          <cell r="G863" t="str">
            <v>MIDHAK13592</v>
          </cell>
          <cell r="H863" t="str">
            <v>TN-SM-COI-927</v>
          </cell>
          <cell r="I863" t="str">
            <v>T71J</v>
          </cell>
          <cell r="J863" t="str">
            <v>QMDM</v>
          </cell>
          <cell r="K863" t="str">
            <v>S</v>
          </cell>
          <cell r="L863" t="str">
            <v>AK</v>
          </cell>
          <cell r="M863" t="str">
            <v>N/A</v>
          </cell>
          <cell r="N863" t="str">
            <v>N Kalyankumar</v>
          </cell>
          <cell r="O863" t="str">
            <v>Muthuvelu M</v>
          </cell>
          <cell r="P863" t="str">
            <v>Janarthanan Ekambaram</v>
          </cell>
          <cell r="Q863" t="str">
            <v>Arju Tiwari</v>
          </cell>
          <cell r="R863" t="str">
            <v>Apurva Sharma</v>
          </cell>
          <cell r="S863" t="str">
            <v>Tamil Nadu</v>
          </cell>
          <cell r="T863" t="str">
            <v>Coimbatore</v>
          </cell>
          <cell r="U863" t="str">
            <v>Non Premium</v>
          </cell>
          <cell r="V863" t="str">
            <v>Dehire</v>
          </cell>
          <cell r="W863">
            <v>1820</v>
          </cell>
          <cell r="X863" t="str">
            <v>No. 144/2, Thiru, Venkatasamy Road,Coimbatore, Coimbatore, Coimbatore, Tamil Nadu, 641002</v>
          </cell>
          <cell r="Y863">
            <v>45782</v>
          </cell>
          <cell r="Z863" t="str">
            <v>17-05-2025</v>
          </cell>
          <cell r="AB863">
            <v>45733</v>
          </cell>
          <cell r="AC863">
            <v>45735</v>
          </cell>
          <cell r="AD863">
            <v>45742</v>
          </cell>
          <cell r="AF863" t="str">
            <v>Done</v>
          </cell>
          <cell r="AG863" t="str">
            <v>N/A</v>
          </cell>
          <cell r="AH863" t="str">
            <v>*LL Concurrence on MOM received on 25-03-2025 post which final BOQ released by Zone</v>
          </cell>
          <cell r="AL863" t="str">
            <v>N/A</v>
          </cell>
          <cell r="AN863" t="str">
            <v>N/A</v>
          </cell>
          <cell r="AS863" t="str">
            <v>N/A</v>
          </cell>
          <cell r="AT863" t="str">
            <v>N/A</v>
          </cell>
          <cell r="AV863" t="str">
            <v>N/A</v>
          </cell>
          <cell r="AW863" t="str">
            <v>N/A</v>
          </cell>
          <cell r="AX863" t="str">
            <v>N/A</v>
          </cell>
          <cell r="AZ863" t="str">
            <v>N/A</v>
          </cell>
          <cell r="BF863" t="str">
            <v>N/A</v>
          </cell>
          <cell r="BJ863" t="str">
            <v>N/A</v>
          </cell>
          <cell r="BL863" t="str">
            <v>N/A</v>
          </cell>
          <cell r="BN863" t="str">
            <v>N/A</v>
          </cell>
          <cell r="BO863" t="str">
            <v>N/A</v>
          </cell>
          <cell r="BR863" t="str">
            <v>N/A</v>
          </cell>
          <cell r="BS863" t="str">
            <v>N/A</v>
          </cell>
          <cell r="BU863" t="str">
            <v>Dehire</v>
          </cell>
          <cell r="BV863" t="str">
            <v>N/A</v>
          </cell>
          <cell r="BW863" t="str">
            <v>28-03-2025</v>
          </cell>
          <cell r="BX863">
            <v>45779</v>
          </cell>
          <cell r="BY863" t="str">
            <v>Done</v>
          </cell>
          <cell r="BZ863" t="str">
            <v>N/A</v>
          </cell>
          <cell r="CA863" t="str">
            <v>N/A</v>
          </cell>
          <cell r="CC863" t="str">
            <v>N/A</v>
          </cell>
          <cell r="CD863">
            <v>45782</v>
          </cell>
          <cell r="CE863">
            <v>45796</v>
          </cell>
          <cell r="CF863" t="str">
            <v>PRAYAGAA ENTERPRISES PVT LTD</v>
          </cell>
          <cell r="CG863" t="str">
            <v>PRAYAGAA ENTERPRISES PVT LTD</v>
          </cell>
          <cell r="CH863" t="str">
            <v>PRAYAGAA ENTERPRISES PVT LTD</v>
          </cell>
          <cell r="CI863" t="str">
            <v>*WO Delayed due to MDM Issue</v>
          </cell>
          <cell r="CJ863">
            <v>45796</v>
          </cell>
          <cell r="CK863">
            <v>45796</v>
          </cell>
          <cell r="CL863">
            <v>45796</v>
          </cell>
          <cell r="CN863" t="str">
            <v>N/A</v>
          </cell>
          <cell r="CO863" t="str">
            <v>N/A</v>
          </cell>
          <cell r="CP863" t="str">
            <v>N/A</v>
          </cell>
          <cell r="CR863" t="str">
            <v>N/A</v>
          </cell>
          <cell r="CU863" t="str">
            <v>N/A</v>
          </cell>
          <cell r="CW863" t="str">
            <v>N/A</v>
          </cell>
          <cell r="CX863">
            <v>45793</v>
          </cell>
          <cell r="CY863">
            <v>45793</v>
          </cell>
          <cell r="CZ863">
            <v>45793</v>
          </cell>
          <cell r="DA863" t="str">
            <v>N/A</v>
          </cell>
          <cell r="DB863" t="str">
            <v>N/A</v>
          </cell>
          <cell r="DC863" t="str">
            <v>N/A</v>
          </cell>
          <cell r="DD863">
            <v>45782</v>
          </cell>
          <cell r="DF863">
            <v>45821</v>
          </cell>
          <cell r="DG863" t="str">
            <v>Under Dead Rent</v>
          </cell>
          <cell r="DH863" t="str">
            <v>*SLP deployment pending from Business exp. By 17/05</v>
          </cell>
          <cell r="DI863" t="str">
            <v>N/A</v>
          </cell>
          <cell r="DJ863" t="str">
            <v>*SLP deployment pending from Business exp. By 17/05</v>
          </cell>
          <cell r="DK863">
            <v>45795</v>
          </cell>
          <cell r="DM863">
            <v>2</v>
          </cell>
          <cell r="DN863" t="str">
            <v>0 to 3 Days</v>
          </cell>
          <cell r="DO863" t="str">
            <v>*Vendor code to be maintained by MDM team on 16-05-2025
*SLP Deployed by Business on 14/05</v>
          </cell>
          <cell r="DP863">
            <v>45792</v>
          </cell>
          <cell r="DQ863">
            <v>45797</v>
          </cell>
          <cell r="DR863">
            <v>15</v>
          </cell>
          <cell r="DS863">
            <v>21</v>
          </cell>
          <cell r="DT863" t="str">
            <v>N/A</v>
          </cell>
          <cell r="DU863">
            <v>45812</v>
          </cell>
          <cell r="DV863">
            <v>45818</v>
          </cell>
          <cell r="DW863">
            <v>45818</v>
          </cell>
          <cell r="DX863" t="str">
            <v>June 25 Week 2</v>
          </cell>
          <cell r="DY863">
            <v>45818</v>
          </cell>
          <cell r="DZ863">
            <v>45813</v>
          </cell>
          <cell r="EA863" t="str">
            <v>June 25 Week 1</v>
          </cell>
          <cell r="EB863" t="str">
            <v>Plan</v>
          </cell>
          <cell r="EF863">
            <v>1</v>
          </cell>
          <cell r="EG863">
            <v>1</v>
          </cell>
          <cell r="EH863" t="str">
            <v>N/A</v>
          </cell>
          <cell r="EI863" t="str">
            <v>N/A</v>
          </cell>
          <cell r="EK863" t="str">
            <v>N/A</v>
          </cell>
          <cell r="EL863" t="str">
            <v>N/A</v>
          </cell>
          <cell r="EN863" t="str">
            <v>N/A</v>
          </cell>
          <cell r="EO863" t="str">
            <v>N/A</v>
          </cell>
          <cell r="EQ863" t="str">
            <v>N/A</v>
          </cell>
          <cell r="ER863" t="str">
            <v>N/A</v>
          </cell>
          <cell r="ES863" t="str">
            <v>N/A</v>
          </cell>
          <cell r="ET863" t="str">
            <v>N/A</v>
          </cell>
          <cell r="EU863" t="str">
            <v>N/A</v>
          </cell>
          <cell r="EV863" t="str">
            <v>N/A</v>
          </cell>
          <cell r="EW863" t="str">
            <v>N/A</v>
          </cell>
          <cell r="EX863" t="str">
            <v>N/A</v>
          </cell>
          <cell r="EY863" t="str">
            <v>N/A</v>
          </cell>
          <cell r="EZ863" t="str">
            <v>N/A</v>
          </cell>
          <cell r="FA863" t="str">
            <v>N/A</v>
          </cell>
          <cell r="FB863" t="str">
            <v>N/A</v>
          </cell>
          <cell r="FC863" t="str">
            <v>On Time</v>
          </cell>
          <cell r="FD863">
            <v>-5</v>
          </cell>
          <cell r="FE863" t="str">
            <v>On Time</v>
          </cell>
          <cell r="FH863" t="str">
            <v>Done</v>
          </cell>
          <cell r="FI863">
            <v>45820</v>
          </cell>
          <cell r="FJ863" t="str">
            <v>N/A</v>
          </cell>
          <cell r="FK863">
            <v>45820</v>
          </cell>
          <cell r="FM863" t="str">
            <v/>
          </cell>
          <cell r="FN863" t="str">
            <v>N/A</v>
          </cell>
          <cell r="FO863" t="str">
            <v>N/A</v>
          </cell>
          <cell r="FP863" t="str">
            <v>N/A</v>
          </cell>
          <cell r="FQ863" t="str">
            <v>N/A</v>
          </cell>
          <cell r="FR863" t="str">
            <v>N/A</v>
          </cell>
          <cell r="FS863" t="str">
            <v>N/A</v>
          </cell>
          <cell r="FT863" t="str">
            <v>N/A</v>
          </cell>
          <cell r="FU863" t="str">
            <v>N/A</v>
          </cell>
          <cell r="FV863" t="str">
            <v>N/A</v>
          </cell>
          <cell r="FW863">
            <v>312492</v>
          </cell>
          <cell r="FX863" t="str">
            <v>N/A</v>
          </cell>
          <cell r="FY863" t="str">
            <v>Closure pending</v>
          </cell>
          <cell r="FZ863" t="str">
            <v>*Fixture vendor mobilisation on HOLD. Since this is 1 day work, Electrical vendor required for disconnection of LT panel/ DG
*EPC vendor Mobilisation pending due to MDM issue for Vendor code</v>
          </cell>
          <cell r="GA863" t="str">
            <v>N/A</v>
          </cell>
          <cell r="GB863" t="str">
            <v>N/A</v>
          </cell>
          <cell r="GC863" t="str">
            <v>N/A</v>
          </cell>
          <cell r="GD863" t="str">
            <v>N/A</v>
          </cell>
          <cell r="GE863" t="str">
            <v>N/A</v>
          </cell>
          <cell r="GF863" t="str">
            <v>MIDHAK13592</v>
          </cell>
          <cell r="GG863" t="str">
            <v>2025-2026</v>
          </cell>
        </row>
        <row r="864">
          <cell r="E864" t="str">
            <v>Krishna Enclave, Puducherry</v>
          </cell>
          <cell r="F864" t="str">
            <v>14. Dropped</v>
          </cell>
          <cell r="K864" t="str">
            <v>S</v>
          </cell>
          <cell r="L864" t="str">
            <v>KC</v>
          </cell>
          <cell r="Q864" t="str">
            <v>Arju Tiwari</v>
          </cell>
          <cell r="R864" t="str">
            <v>Apurva Sharma</v>
          </cell>
          <cell r="S864" t="str">
            <v>Puducherry</v>
          </cell>
          <cell r="T864" t="str">
            <v>Puducherry</v>
          </cell>
          <cell r="U864" t="str">
            <v>Non Premium</v>
          </cell>
          <cell r="V864" t="str">
            <v>Dehire</v>
          </cell>
          <cell r="W864">
            <v>2035</v>
          </cell>
          <cell r="X864" t="str">
            <v>Krishna Enclave, No.78, First Floor, Villianur Road, Reddiarpalayam, Puducherry,Puducherry, Puducherry, 605010</v>
          </cell>
          <cell r="AB864">
            <v>45674</v>
          </cell>
          <cell r="BU864" t="str">
            <v>Dehire</v>
          </cell>
          <cell r="BW864" t="str">
            <v>08-02-2025
(Budget estimate)</v>
          </cell>
          <cell r="BY864" t="str">
            <v>pending</v>
          </cell>
          <cell r="DG864" t="str">
            <v/>
          </cell>
          <cell r="DM864">
            <v>46177</v>
          </cell>
          <cell r="DX864" t="str">
            <v/>
          </cell>
          <cell r="EA864" t="str">
            <v/>
          </cell>
          <cell r="ED864" t="str">
            <v/>
          </cell>
          <cell r="EE864" t="str">
            <v/>
          </cell>
          <cell r="FD864">
            <v>46177</v>
          </cell>
          <cell r="FF864">
            <v>46177</v>
          </cell>
          <cell r="FM864" t="str">
            <v/>
          </cell>
          <cell r="GG864" t="str">
            <v>2025-2026</v>
          </cell>
        </row>
        <row r="865">
          <cell r="E865" t="str">
            <v>Bhagwati Greens, Kharghar</v>
          </cell>
          <cell r="F865" t="str">
            <v>14. Dropped</v>
          </cell>
          <cell r="G865" t="str">
            <v>MIDHBK11367</v>
          </cell>
          <cell r="K865" t="str">
            <v>W</v>
          </cell>
          <cell r="L865" t="str">
            <v>BK</v>
          </cell>
          <cell r="Q865" t="str">
            <v>Arju Tiwari</v>
          </cell>
          <cell r="R865" t="str">
            <v>Apurva Sharma</v>
          </cell>
          <cell r="S865" t="str">
            <v>Maharastra</v>
          </cell>
          <cell r="T865" t="str">
            <v>Mumbai</v>
          </cell>
          <cell r="U865" t="str">
            <v>Non Premium</v>
          </cell>
          <cell r="V865" t="str">
            <v>Dehire</v>
          </cell>
          <cell r="W865">
            <v>3100</v>
          </cell>
          <cell r="X865" t="str">
            <v> Shop No 1 &amp; 2, Ground and First Floor, Bhagwati Greens 1 CHS Ltd, Plot No 6, Sector - 23, Kharghar, Navi Mumbai - 410210</v>
          </cell>
          <cell r="AB865">
            <v>45674</v>
          </cell>
          <cell r="BU865" t="str">
            <v>Dehire</v>
          </cell>
          <cell r="BW865" t="str">
            <v>07-02-2025
(Budget estimate)</v>
          </cell>
          <cell r="BY865" t="str">
            <v>pending</v>
          </cell>
          <cell r="DG865" t="str">
            <v/>
          </cell>
          <cell r="DM865">
            <v>46177</v>
          </cell>
          <cell r="DX865" t="str">
            <v/>
          </cell>
          <cell r="EA865" t="str">
            <v/>
          </cell>
          <cell r="ED865" t="str">
            <v/>
          </cell>
          <cell r="EE865" t="str">
            <v/>
          </cell>
          <cell r="FD865">
            <v>46177</v>
          </cell>
          <cell r="FF865">
            <v>46177</v>
          </cell>
          <cell r="FM865" t="str">
            <v/>
          </cell>
          <cell r="GG865" t="str">
            <v>2025-2026</v>
          </cell>
        </row>
        <row r="866">
          <cell r="E866" t="str">
            <v>Solitaire Building, Ghodbunder Road, Thane</v>
          </cell>
          <cell r="F866" t="str">
            <v>14. Dropped</v>
          </cell>
          <cell r="K866" t="str">
            <v>W</v>
          </cell>
          <cell r="L866" t="str">
            <v>KC</v>
          </cell>
          <cell r="Q866" t="str">
            <v>Arju Tiwari</v>
          </cell>
          <cell r="R866" t="str">
            <v>Apurva Sharma</v>
          </cell>
          <cell r="S866" t="str">
            <v>Maharastra</v>
          </cell>
          <cell r="T866" t="str">
            <v>Mumbai</v>
          </cell>
          <cell r="U866" t="str">
            <v>Non Premium</v>
          </cell>
          <cell r="V866" t="str">
            <v>Dehire</v>
          </cell>
          <cell r="W866">
            <v>2409</v>
          </cell>
          <cell r="X866" t="str">
            <v> Solitaire A and B Building, Shop No. 2A, Ghodbunder Road, Near D-Mart, Thane West,Thane, Thane, Maharashtra, 400615</v>
          </cell>
          <cell r="AB866">
            <v>45674</v>
          </cell>
          <cell r="BU866" t="str">
            <v>Dehire</v>
          </cell>
          <cell r="BW866" t="str">
            <v>07-02-2025
(Budget estimate)</v>
          </cell>
          <cell r="BY866" t="str">
            <v>pending</v>
          </cell>
          <cell r="DG866" t="str">
            <v/>
          </cell>
          <cell r="DM866">
            <v>46177</v>
          </cell>
          <cell r="DX866" t="str">
            <v/>
          </cell>
          <cell r="EA866" t="str">
            <v/>
          </cell>
          <cell r="ED866" t="str">
            <v/>
          </cell>
          <cell r="EE866" t="str">
            <v/>
          </cell>
          <cell r="FD866">
            <v>46177</v>
          </cell>
          <cell r="FF866">
            <v>46177</v>
          </cell>
          <cell r="FM866" t="str">
            <v/>
          </cell>
          <cell r="GG866" t="str">
            <v>2025-2026</v>
          </cell>
        </row>
        <row r="867">
          <cell r="E867" t="str">
            <v>Gemini Tower, Indore</v>
          </cell>
          <cell r="F867" t="str">
            <v>9. EPC Ready</v>
          </cell>
          <cell r="G867" t="str">
            <v>MIDHKC13593</v>
          </cell>
          <cell r="H867" t="str">
            <v>GJ-SM-SUT-915</v>
          </cell>
          <cell r="I867" t="str">
            <v>TAOB</v>
          </cell>
          <cell r="J867" t="str">
            <v>QF3Z</v>
          </cell>
          <cell r="K867" t="str">
            <v>W</v>
          </cell>
          <cell r="L867" t="str">
            <v>KC</v>
          </cell>
          <cell r="M867" t="str">
            <v>N/A</v>
          </cell>
          <cell r="N867" t="str">
            <v>TBC</v>
          </cell>
          <cell r="O867" t="str">
            <v>TBC</v>
          </cell>
          <cell r="P867" t="str">
            <v>Subhro Ghose</v>
          </cell>
          <cell r="Q867" t="str">
            <v>Arju Tiwari</v>
          </cell>
          <cell r="R867" t="str">
            <v>Apurva Sharma</v>
          </cell>
          <cell r="S867" t="str">
            <v>Madhya Pradesh</v>
          </cell>
          <cell r="T867" t="str">
            <v>Indore</v>
          </cell>
          <cell r="U867" t="str">
            <v>Non Premium</v>
          </cell>
          <cell r="V867" t="str">
            <v>Dehire</v>
          </cell>
          <cell r="W867">
            <v>2813</v>
          </cell>
          <cell r="X867" t="str">
            <v>Gemini Tower, Plot 3A, IDA Scheme No 54, PU-3, Near Princess Business Sky Park, A.B. Road, Indore, Indore, Indore, Madhya Pradesh, 452010</v>
          </cell>
          <cell r="Y867">
            <v>45782</v>
          </cell>
          <cell r="Z867" t="str">
            <v>15-05-2025</v>
          </cell>
          <cell r="AB867">
            <v>45733</v>
          </cell>
          <cell r="AC867">
            <v>45737</v>
          </cell>
          <cell r="AD867">
            <v>45751</v>
          </cell>
          <cell r="AF867" t="str">
            <v>Done</v>
          </cell>
          <cell r="AG867" t="str">
            <v>N/A</v>
          </cell>
          <cell r="AH867" t="str">
            <v>*LL Concurrence on MOM received on 02-04-2025 post which final BOQ released by Zone</v>
          </cell>
          <cell r="AL867" t="str">
            <v>N/A</v>
          </cell>
          <cell r="AN867" t="str">
            <v>N/A</v>
          </cell>
          <cell r="AS867" t="str">
            <v>N/A</v>
          </cell>
          <cell r="AT867" t="str">
            <v>N/A</v>
          </cell>
          <cell r="AV867" t="str">
            <v>N/A</v>
          </cell>
          <cell r="AW867" t="str">
            <v>N/A</v>
          </cell>
          <cell r="AX867" t="str">
            <v>N/A</v>
          </cell>
          <cell r="AZ867" t="str">
            <v>N/A</v>
          </cell>
          <cell r="BF867" t="str">
            <v>N/A</v>
          </cell>
          <cell r="BJ867" t="str">
            <v>N/A</v>
          </cell>
          <cell r="BL867" t="str">
            <v>N/A</v>
          </cell>
          <cell r="BN867" t="str">
            <v>N/A</v>
          </cell>
          <cell r="BO867" t="str">
            <v>N/A</v>
          </cell>
          <cell r="BR867" t="str">
            <v>N/A</v>
          </cell>
          <cell r="BS867" t="str">
            <v>N/A</v>
          </cell>
          <cell r="BU867" t="str">
            <v>Dehire</v>
          </cell>
          <cell r="BV867" t="str">
            <v>N/A</v>
          </cell>
          <cell r="BW867" t="str">
            <v>07-04-2025</v>
          </cell>
          <cell r="BX867">
            <v>45779</v>
          </cell>
          <cell r="BY867" t="str">
            <v>Done</v>
          </cell>
          <cell r="BZ867" t="str">
            <v>N/A</v>
          </cell>
          <cell r="CA867" t="str">
            <v>N/A</v>
          </cell>
          <cell r="CC867" t="str">
            <v>N/A</v>
          </cell>
          <cell r="CD867">
            <v>45782</v>
          </cell>
          <cell r="CE867">
            <v>45791</v>
          </cell>
          <cell r="CF867" t="str">
            <v>ADMKV Group</v>
          </cell>
          <cell r="CG867" t="str">
            <v>ADMKV Group</v>
          </cell>
          <cell r="CH867" t="str">
            <v>ADMKV Group</v>
          </cell>
          <cell r="CI867" t="str">
            <v>N/A</v>
          </cell>
          <cell r="CJ867">
            <v>45791</v>
          </cell>
          <cell r="CK867">
            <v>45791</v>
          </cell>
          <cell r="CL867">
            <v>45791</v>
          </cell>
          <cell r="CN867" t="str">
            <v>N/A</v>
          </cell>
          <cell r="CO867" t="str">
            <v>N/A</v>
          </cell>
          <cell r="CP867" t="str">
            <v>N/A</v>
          </cell>
          <cell r="CR867" t="str">
            <v>N/A</v>
          </cell>
          <cell r="CU867" t="str">
            <v>N/A</v>
          </cell>
          <cell r="CW867" t="str">
            <v>N/A</v>
          </cell>
          <cell r="CX867">
            <v>45791</v>
          </cell>
          <cell r="CY867">
            <v>45791</v>
          </cell>
          <cell r="CZ867">
            <v>45791</v>
          </cell>
          <cell r="DA867" t="str">
            <v>N/A</v>
          </cell>
          <cell r="DB867" t="str">
            <v>Done</v>
          </cell>
          <cell r="DC867" t="str">
            <v>N/A</v>
          </cell>
          <cell r="DD867">
            <v>45782</v>
          </cell>
          <cell r="DF867">
            <v>45820</v>
          </cell>
          <cell r="DG867" t="str">
            <v>Under Dead Rent</v>
          </cell>
          <cell r="DH867" t="str">
            <v>*SLP deployed on 14-05-2025 by Business</v>
          </cell>
          <cell r="DI867" t="str">
            <v>N/A</v>
          </cell>
          <cell r="DJ867" t="str">
            <v>*SLP deployed on 14-05-2025 by Business</v>
          </cell>
          <cell r="DK867">
            <v>45790</v>
          </cell>
          <cell r="DM867">
            <v>2</v>
          </cell>
          <cell r="DN867" t="str">
            <v>0 to 3 Days</v>
          </cell>
          <cell r="DO867" t="str">
            <v>SLP deployed on 14-05-2025 by Business</v>
          </cell>
          <cell r="DP867">
            <v>45792</v>
          </cell>
          <cell r="DQ867">
            <v>45792</v>
          </cell>
          <cell r="DR867">
            <v>15</v>
          </cell>
          <cell r="DS867">
            <v>21</v>
          </cell>
          <cell r="DT867" t="str">
            <v>N/A</v>
          </cell>
          <cell r="DU867">
            <v>45807</v>
          </cell>
          <cell r="DV867">
            <v>45813</v>
          </cell>
          <cell r="DW867">
            <v>45813</v>
          </cell>
          <cell r="DX867" t="str">
            <v>June 25 Week 1</v>
          </cell>
          <cell r="DY867">
            <v>45813</v>
          </cell>
          <cell r="DZ867">
            <v>45807</v>
          </cell>
          <cell r="EA867" t="str">
            <v>May 25 Week 5</v>
          </cell>
          <cell r="EB867" t="str">
            <v>Plan</v>
          </cell>
          <cell r="EF867">
            <v>1</v>
          </cell>
          <cell r="EG867">
            <v>1</v>
          </cell>
          <cell r="EH867" t="str">
            <v>N/A</v>
          </cell>
          <cell r="EI867" t="str">
            <v>N/A</v>
          </cell>
          <cell r="EK867" t="str">
            <v>N/A</v>
          </cell>
          <cell r="EL867" t="str">
            <v>N/A</v>
          </cell>
          <cell r="EN867" t="str">
            <v>N/A</v>
          </cell>
          <cell r="EO867" t="str">
            <v>N/A</v>
          </cell>
          <cell r="EQ867" t="str">
            <v>N/A</v>
          </cell>
          <cell r="ER867" t="str">
            <v>N/A</v>
          </cell>
          <cell r="ES867" t="str">
            <v>N/A</v>
          </cell>
          <cell r="ET867" t="str">
            <v>N/A</v>
          </cell>
          <cell r="EU867" t="str">
            <v>N/A</v>
          </cell>
          <cell r="EV867" t="str">
            <v>N/A</v>
          </cell>
          <cell r="EW867" t="str">
            <v>N/A</v>
          </cell>
          <cell r="EX867" t="str">
            <v>N/A</v>
          </cell>
          <cell r="EY867" t="str">
            <v>N/A</v>
          </cell>
          <cell r="EZ867" t="str">
            <v>N/A</v>
          </cell>
          <cell r="FA867" t="str">
            <v>N/A</v>
          </cell>
          <cell r="FB867" t="str">
            <v>N/A</v>
          </cell>
          <cell r="FC867" t="str">
            <v>On Time</v>
          </cell>
          <cell r="FD867">
            <v>-6</v>
          </cell>
          <cell r="FE867" t="str">
            <v>On Time</v>
          </cell>
          <cell r="FH867" t="str">
            <v>Done</v>
          </cell>
          <cell r="FI867">
            <v>45811</v>
          </cell>
          <cell r="FJ867" t="str">
            <v>N/A</v>
          </cell>
          <cell r="FK867">
            <v>45811</v>
          </cell>
          <cell r="FM867" t="str">
            <v/>
          </cell>
          <cell r="FN867" t="str">
            <v>N/A</v>
          </cell>
          <cell r="FO867" t="str">
            <v>N/A</v>
          </cell>
          <cell r="FP867" t="str">
            <v>N/A</v>
          </cell>
          <cell r="FQ867" t="str">
            <v>N/A</v>
          </cell>
          <cell r="FR867" t="str">
            <v>N/A</v>
          </cell>
          <cell r="FS867" t="str">
            <v>N/A</v>
          </cell>
          <cell r="FT867" t="str">
            <v>N/A</v>
          </cell>
          <cell r="FU867" t="str">
            <v>N/A</v>
          </cell>
          <cell r="FV867" t="str">
            <v>N/A</v>
          </cell>
          <cell r="FW867">
            <v>446034</v>
          </cell>
          <cell r="FX867" t="str">
            <v>N/A</v>
          </cell>
          <cell r="FY867" t="str">
            <v>Closure pending</v>
          </cell>
          <cell r="FZ867" t="str">
            <v>Dehired</v>
          </cell>
          <cell r="GA867" t="str">
            <v>N/A</v>
          </cell>
          <cell r="GB867" t="str">
            <v>N/A</v>
          </cell>
          <cell r="GC867" t="str">
            <v>N/A</v>
          </cell>
          <cell r="GD867" t="str">
            <v>N/A</v>
          </cell>
          <cell r="GE867" t="str">
            <v>N/A</v>
          </cell>
          <cell r="GF867" t="str">
            <v>MIDHKC13593</v>
          </cell>
          <cell r="GG867" t="str">
            <v>2025-2026</v>
          </cell>
        </row>
        <row r="868">
          <cell r="E868" t="str">
            <v>Luxuria Business Hub, Surat</v>
          </cell>
          <cell r="F868" t="str">
            <v>9. EPC Ready</v>
          </cell>
          <cell r="G868" t="str">
            <v>MIDHKC13594</v>
          </cell>
          <cell r="H868" t="str">
            <v>GJ-SM-SUT-915</v>
          </cell>
          <cell r="I868" t="str">
            <v>T60E</v>
          </cell>
          <cell r="J868" t="str">
            <v>QWQQ</v>
          </cell>
          <cell r="K868" t="str">
            <v>W</v>
          </cell>
          <cell r="L868" t="str">
            <v>KC</v>
          </cell>
          <cell r="M868" t="str">
            <v>N/A</v>
          </cell>
          <cell r="N868" t="str">
            <v>TBC</v>
          </cell>
          <cell r="O868" t="str">
            <v>TBC</v>
          </cell>
          <cell r="P868" t="str">
            <v>Ashvin Prajapati</v>
          </cell>
          <cell r="Q868" t="str">
            <v>Arju Tiwari</v>
          </cell>
          <cell r="R868" t="str">
            <v>Apurva Sharma</v>
          </cell>
          <cell r="S868" t="str">
            <v>Gujarat</v>
          </cell>
          <cell r="T868" t="str">
            <v>Surat</v>
          </cell>
          <cell r="U868" t="str">
            <v>Non Premium</v>
          </cell>
          <cell r="V868" t="str">
            <v>Dehire</v>
          </cell>
          <cell r="W868">
            <v>1591</v>
          </cell>
          <cell r="X868" t="str">
            <v>Shop No GF-6 &amp; FF-6, Luxuria Business Hub, Near VR mall, Damas Road, Rundh, Surat - 395007</v>
          </cell>
          <cell r="Y868">
            <v>45782</v>
          </cell>
          <cell r="Z868" t="str">
            <v>15-05-2025</v>
          </cell>
          <cell r="AB868">
            <v>45733</v>
          </cell>
          <cell r="AC868">
            <v>45735</v>
          </cell>
          <cell r="AD868">
            <v>45737</v>
          </cell>
          <cell r="AF868" t="str">
            <v>Done</v>
          </cell>
          <cell r="AG868" t="str">
            <v>N/A</v>
          </cell>
          <cell r="AH868" t="str">
            <v>*LL Concurrence on MOM received on 02-04-2025 post which final BOQ released by Zone</v>
          </cell>
          <cell r="AL868" t="str">
            <v>N/A</v>
          </cell>
          <cell r="AN868" t="str">
            <v>N/A</v>
          </cell>
          <cell r="AS868" t="str">
            <v>N/A</v>
          </cell>
          <cell r="AT868" t="str">
            <v>N/A</v>
          </cell>
          <cell r="AV868" t="str">
            <v>N/A</v>
          </cell>
          <cell r="AW868" t="str">
            <v>N/A</v>
          </cell>
          <cell r="AX868" t="str">
            <v>N/A</v>
          </cell>
          <cell r="AZ868" t="str">
            <v>N/A</v>
          </cell>
          <cell r="BF868" t="str">
            <v>N/A</v>
          </cell>
          <cell r="BJ868" t="str">
            <v>N/A</v>
          </cell>
          <cell r="BL868" t="str">
            <v>N/A</v>
          </cell>
          <cell r="BN868" t="str">
            <v>N/A</v>
          </cell>
          <cell r="BO868" t="str">
            <v>N/A</v>
          </cell>
          <cell r="BR868" t="str">
            <v>N/A</v>
          </cell>
          <cell r="BS868" t="str">
            <v>N/A</v>
          </cell>
          <cell r="BU868" t="str">
            <v>Dehire</v>
          </cell>
          <cell r="BV868" t="str">
            <v>N/A</v>
          </cell>
          <cell r="BW868" t="str">
            <v>28-03-2025</v>
          </cell>
          <cell r="BX868">
            <v>45779</v>
          </cell>
          <cell r="BY868" t="str">
            <v>Done</v>
          </cell>
          <cell r="BZ868" t="str">
            <v>N/A</v>
          </cell>
          <cell r="CA868" t="str">
            <v>N/A</v>
          </cell>
          <cell r="CC868" t="str">
            <v>N/A</v>
          </cell>
          <cell r="CD868">
            <v>45782</v>
          </cell>
          <cell r="CE868">
            <v>45787</v>
          </cell>
          <cell r="CF868" t="str">
            <v xml:space="preserve">M/s Blossom Infrastructure  </v>
          </cell>
          <cell r="CG868" t="str">
            <v xml:space="preserve">M/s Blossom Infrastructure  </v>
          </cell>
          <cell r="CH868" t="str">
            <v xml:space="preserve">M/s Blossom Infrastructure  </v>
          </cell>
          <cell r="CI868" t="str">
            <v>N/A</v>
          </cell>
          <cell r="CJ868">
            <v>45787</v>
          </cell>
          <cell r="CK868">
            <v>45787</v>
          </cell>
          <cell r="CL868">
            <v>45787</v>
          </cell>
          <cell r="CN868" t="str">
            <v>N/A</v>
          </cell>
          <cell r="CO868" t="str">
            <v>N/A</v>
          </cell>
          <cell r="CP868" t="str">
            <v>N/A</v>
          </cell>
          <cell r="CR868" t="str">
            <v>N/A</v>
          </cell>
          <cell r="CU868" t="str">
            <v>N/A</v>
          </cell>
          <cell r="CW868" t="str">
            <v>N/A</v>
          </cell>
          <cell r="CX868">
            <v>45787</v>
          </cell>
          <cell r="CY868">
            <v>45787</v>
          </cell>
          <cell r="CZ868">
            <v>45787</v>
          </cell>
          <cell r="DA868" t="str">
            <v>N/A</v>
          </cell>
          <cell r="DB868" t="str">
            <v>N/A</v>
          </cell>
          <cell r="DC868" t="str">
            <v>N/A</v>
          </cell>
          <cell r="DD868">
            <v>45782</v>
          </cell>
          <cell r="DF868">
            <v>45822</v>
          </cell>
          <cell r="DG868" t="str">
            <v>Under Dead Rent</v>
          </cell>
          <cell r="DH868" t="str">
            <v>*SLP deployed on 14-05-2025 by Business</v>
          </cell>
          <cell r="DI868" t="str">
            <v>N/A</v>
          </cell>
          <cell r="DJ868" t="str">
            <v>*SLP deployment pending from Business</v>
          </cell>
          <cell r="DK868">
            <v>45789</v>
          </cell>
          <cell r="DM868">
            <v>2</v>
          </cell>
          <cell r="DN868" t="str">
            <v>0 to 3 Days</v>
          </cell>
          <cell r="DO868" t="str">
            <v>*SLP deployment pending from Business</v>
          </cell>
          <cell r="DP868">
            <v>45791</v>
          </cell>
          <cell r="DQ868">
            <v>45791</v>
          </cell>
          <cell r="DR868">
            <v>15</v>
          </cell>
          <cell r="DS868">
            <v>21</v>
          </cell>
          <cell r="DT868" t="str">
            <v>N/A</v>
          </cell>
          <cell r="DU868">
            <v>45806</v>
          </cell>
          <cell r="DV868">
            <v>45812</v>
          </cell>
          <cell r="DW868">
            <v>45812</v>
          </cell>
          <cell r="DX868" t="str">
            <v>June 25 Week 1</v>
          </cell>
          <cell r="DY868">
            <v>45812</v>
          </cell>
          <cell r="DZ868">
            <v>45806</v>
          </cell>
          <cell r="EA868" t="str">
            <v>May 25 Week 5</v>
          </cell>
          <cell r="EB868" t="str">
            <v>Plan</v>
          </cell>
          <cell r="EF868">
            <v>1</v>
          </cell>
          <cell r="EG868">
            <v>1</v>
          </cell>
          <cell r="EH868" t="str">
            <v>N/A</v>
          </cell>
          <cell r="EI868" t="str">
            <v>N/A</v>
          </cell>
          <cell r="EK868" t="str">
            <v>N/A</v>
          </cell>
          <cell r="EL868" t="str">
            <v>N/A</v>
          </cell>
          <cell r="EN868" t="str">
            <v>N/A</v>
          </cell>
          <cell r="EO868" t="str">
            <v>N/A</v>
          </cell>
          <cell r="EQ868" t="str">
            <v>N/A</v>
          </cell>
          <cell r="ER868" t="str">
            <v>N/A</v>
          </cell>
          <cell r="ES868" t="str">
            <v>N/A</v>
          </cell>
          <cell r="ET868" t="str">
            <v>N/A</v>
          </cell>
          <cell r="EU868" t="str">
            <v>N/A</v>
          </cell>
          <cell r="EV868" t="str">
            <v>N/A</v>
          </cell>
          <cell r="EW868" t="str">
            <v>N/A</v>
          </cell>
          <cell r="EX868" t="str">
            <v>N/A</v>
          </cell>
          <cell r="EY868" t="str">
            <v>N/A</v>
          </cell>
          <cell r="EZ868" t="str">
            <v>N/A</v>
          </cell>
          <cell r="FA868" t="str">
            <v>N/A</v>
          </cell>
          <cell r="FB868" t="str">
            <v>N/A</v>
          </cell>
          <cell r="FC868" t="str">
            <v>On Time</v>
          </cell>
          <cell r="FD868">
            <v>-6</v>
          </cell>
          <cell r="FE868" t="str">
            <v>On Time</v>
          </cell>
          <cell r="FH868" t="str">
            <v>Done</v>
          </cell>
          <cell r="FI868">
            <v>45806</v>
          </cell>
          <cell r="FJ868" t="str">
            <v>N/A</v>
          </cell>
          <cell r="FK868">
            <v>45806</v>
          </cell>
          <cell r="FM868" t="str">
            <v/>
          </cell>
          <cell r="FN868" t="str">
            <v>N/A</v>
          </cell>
          <cell r="FO868" t="str">
            <v>N/A</v>
          </cell>
          <cell r="FP868" t="str">
            <v>N/A</v>
          </cell>
          <cell r="FQ868" t="str">
            <v>N/A</v>
          </cell>
          <cell r="FR868" t="str">
            <v>N/A</v>
          </cell>
          <cell r="FS868" t="str">
            <v>N/A</v>
          </cell>
          <cell r="FT868" t="str">
            <v>N/A</v>
          </cell>
          <cell r="FU868" t="str">
            <v>N/A</v>
          </cell>
          <cell r="FV868" t="str">
            <v>N/A</v>
          </cell>
          <cell r="FW868">
            <v>308739</v>
          </cell>
          <cell r="FX868" t="str">
            <v>N/A</v>
          </cell>
          <cell r="FY868" t="str">
            <v>Closure pending</v>
          </cell>
          <cell r="FZ868" t="str">
            <v>Dehired</v>
          </cell>
          <cell r="GA868" t="str">
            <v>N/A</v>
          </cell>
          <cell r="GB868" t="str">
            <v>N/A</v>
          </cell>
          <cell r="GC868" t="str">
            <v>N/A</v>
          </cell>
          <cell r="GD868" t="str">
            <v>N/A</v>
          </cell>
          <cell r="GE868" t="str">
            <v>N/A</v>
          </cell>
          <cell r="GF868" t="str">
            <v>MIDHKC13594</v>
          </cell>
          <cell r="GG868" t="str">
            <v>2025-2026</v>
          </cell>
        </row>
        <row r="869">
          <cell r="E869" t="str">
            <v>Vin Palace, Vikas Nagar,Lucknow,</v>
          </cell>
          <cell r="F869" t="str">
            <v>14. Dropped</v>
          </cell>
          <cell r="K869" t="str">
            <v>N</v>
          </cell>
          <cell r="L869" t="str">
            <v>KC</v>
          </cell>
          <cell r="Q869" t="str">
            <v>Arju Tiwari</v>
          </cell>
          <cell r="R869" t="str">
            <v>Apurva Sharma</v>
          </cell>
          <cell r="S869" t="str">
            <v>Uttar Pradesh</v>
          </cell>
          <cell r="T869" t="str">
            <v>Lucknow</v>
          </cell>
          <cell r="U869" t="str">
            <v>Non Premium</v>
          </cell>
          <cell r="V869" t="str">
            <v>Dehire</v>
          </cell>
          <cell r="W869">
            <v>3098</v>
          </cell>
          <cell r="X869" t="str">
            <v>Vin Palace, Khasra No 390, Main ring road, Vikas Nagar,Lucknow, Lucknow, Lucknow, Uttar Pradesh, 226022</v>
          </cell>
          <cell r="AB869">
            <v>45674</v>
          </cell>
          <cell r="BU869" t="str">
            <v>Dehire</v>
          </cell>
          <cell r="BW869" t="str">
            <v>07-02-2025
(Budget estimate)</v>
          </cell>
          <cell r="BY869" t="str">
            <v>pending</v>
          </cell>
          <cell r="DG869" t="str">
            <v/>
          </cell>
          <cell r="DM869">
            <v>46177</v>
          </cell>
          <cell r="DX869" t="str">
            <v/>
          </cell>
          <cell r="EA869" t="str">
            <v/>
          </cell>
          <cell r="ED869" t="str">
            <v/>
          </cell>
          <cell r="EE869" t="str">
            <v/>
          </cell>
          <cell r="FD869">
            <v>46177</v>
          </cell>
          <cell r="FF869">
            <v>46177</v>
          </cell>
          <cell r="FM869" t="str">
            <v/>
          </cell>
          <cell r="GG869" t="str">
            <v>2025-2026</v>
          </cell>
        </row>
        <row r="870">
          <cell r="E870" t="str">
            <v>M.C. Road, Kottayam</v>
          </cell>
          <cell r="F870" t="str">
            <v>14. Dropped</v>
          </cell>
          <cell r="K870" t="str">
            <v>S</v>
          </cell>
          <cell r="L870" t="str">
            <v>AK</v>
          </cell>
          <cell r="Q870" t="str">
            <v>Arju Tiwari</v>
          </cell>
          <cell r="R870" t="str">
            <v>Apurva Sharma</v>
          </cell>
          <cell r="S870" t="str">
            <v>Kerela</v>
          </cell>
          <cell r="T870" t="str">
            <v>Kottayam</v>
          </cell>
          <cell r="U870" t="str">
            <v>Non Premium</v>
          </cell>
          <cell r="V870" t="str">
            <v>Dehire</v>
          </cell>
          <cell r="W870">
            <v>2731</v>
          </cell>
          <cell r="X870" t="str">
            <v>Shop No 7/679-A4 and 7/679-A5, Ground Floor, Padinjarekalayil Building, Situated at M.C. Road, Kumaranalloor, PO Kottayam-686016</v>
          </cell>
          <cell r="AB870">
            <v>45674</v>
          </cell>
          <cell r="BU870" t="str">
            <v>Dehire</v>
          </cell>
          <cell r="BW870" t="str">
            <v>18-02-2025
(Budget estimate)</v>
          </cell>
          <cell r="BY870" t="str">
            <v>pending</v>
          </cell>
          <cell r="DG870" t="str">
            <v/>
          </cell>
          <cell r="DM870">
            <v>46177</v>
          </cell>
          <cell r="DX870" t="str">
            <v/>
          </cell>
          <cell r="EA870" t="str">
            <v/>
          </cell>
          <cell r="ED870" t="str">
            <v/>
          </cell>
          <cell r="EE870" t="str">
            <v/>
          </cell>
          <cell r="FD870">
            <v>46177</v>
          </cell>
          <cell r="FF870">
            <v>46177</v>
          </cell>
          <cell r="FM870" t="str">
            <v/>
          </cell>
          <cell r="GG870" t="str">
            <v>2025-2026</v>
          </cell>
        </row>
        <row r="871">
          <cell r="E871" t="str">
            <v>Guru Nanak Colony, Vijayawada City</v>
          </cell>
          <cell r="F871" t="str">
            <v>14. Dropped</v>
          </cell>
          <cell r="K871" t="str">
            <v>E</v>
          </cell>
          <cell r="L871" t="str">
            <v>AK</v>
          </cell>
          <cell r="Q871" t="str">
            <v>Arju Tiwari</v>
          </cell>
          <cell r="R871" t="str">
            <v>Apurva Sharma</v>
          </cell>
          <cell r="S871" t="str">
            <v>Andhra Pradesh</v>
          </cell>
          <cell r="T871" t="str">
            <v>Vijayawada</v>
          </cell>
          <cell r="U871" t="str">
            <v>Non Premium</v>
          </cell>
          <cell r="V871" t="str">
            <v>Dehire</v>
          </cell>
          <cell r="W871">
            <v>3008</v>
          </cell>
          <cell r="X871" t="str">
            <v>D No.54-20-11, Plot No.45, First Floor, Guru Nanak Colony, Revenue Ward 2, Vijayawada City, Mandal and NTR, Dist. Krishna - 520008</v>
          </cell>
          <cell r="AB871">
            <v>45674</v>
          </cell>
          <cell r="BU871" t="str">
            <v>Dehire</v>
          </cell>
          <cell r="BW871" t="str">
            <v>07-02-2025
(Budget estimate)</v>
          </cell>
          <cell r="BY871" t="str">
            <v>pending</v>
          </cell>
          <cell r="DG871" t="str">
            <v/>
          </cell>
          <cell r="DM871">
            <v>46177</v>
          </cell>
          <cell r="DX871" t="str">
            <v/>
          </cell>
          <cell r="EA871" t="str">
            <v/>
          </cell>
          <cell r="ED871" t="str">
            <v/>
          </cell>
          <cell r="EE871" t="str">
            <v/>
          </cell>
          <cell r="FD871">
            <v>46177</v>
          </cell>
          <cell r="FF871">
            <v>46177</v>
          </cell>
          <cell r="FM871" t="str">
            <v/>
          </cell>
          <cell r="GG871" t="str">
            <v>2025-2026</v>
          </cell>
        </row>
        <row r="872">
          <cell r="E872" t="str">
            <v>Jagapathi Plaza, Visakhapatnam, Andhra Pradesh</v>
          </cell>
          <cell r="F872" t="str">
            <v>14. Dropped</v>
          </cell>
          <cell r="K872" t="str">
            <v>S</v>
          </cell>
          <cell r="L872" t="str">
            <v>AK</v>
          </cell>
          <cell r="Q872" t="str">
            <v>Arju Tiwari</v>
          </cell>
          <cell r="R872" t="str">
            <v>Apurva Sharma</v>
          </cell>
          <cell r="S872" t="str">
            <v>Andhra Pradesh</v>
          </cell>
          <cell r="T872" t="str">
            <v>Visakhapatnam</v>
          </cell>
          <cell r="U872" t="str">
            <v>Non Premium</v>
          </cell>
          <cell r="V872" t="str">
            <v>Dehire</v>
          </cell>
          <cell r="W872">
            <v>3191</v>
          </cell>
          <cell r="X872" t="str">
            <v>D No. 10-1-4 5 Survey No 76, Walter Ward, First floor, Jagapathi Plaza,Siripuram Visakhapatnam City Mandal, Visakhapatnam, Visakhapatnam, Andhra Pradesh, 530003</v>
          </cell>
          <cell r="AB872">
            <v>45674</v>
          </cell>
          <cell r="BU872" t="str">
            <v>Dehire</v>
          </cell>
          <cell r="BW872" t="str">
            <v>07-02-2025
(Budget estimate)</v>
          </cell>
          <cell r="BY872" t="str">
            <v>pending</v>
          </cell>
          <cell r="DG872" t="str">
            <v/>
          </cell>
          <cell r="DM872">
            <v>46177</v>
          </cell>
          <cell r="DX872" t="str">
            <v/>
          </cell>
          <cell r="EA872" t="str">
            <v/>
          </cell>
          <cell r="ED872" t="str">
            <v/>
          </cell>
          <cell r="EE872" t="str">
            <v/>
          </cell>
          <cell r="FD872">
            <v>46177</v>
          </cell>
          <cell r="FF872">
            <v>46177</v>
          </cell>
          <cell r="FM872" t="str">
            <v/>
          </cell>
          <cell r="GG872" t="str">
            <v>2025-2026</v>
          </cell>
        </row>
        <row r="873">
          <cell r="E873" t="str">
            <v>Centro Bellandur, Bangalore</v>
          </cell>
          <cell r="F873" t="str">
            <v>14. Dropped</v>
          </cell>
          <cell r="G873" t="str">
            <v>URBSAS13714</v>
          </cell>
          <cell r="I873" t="str">
            <v>QT6V</v>
          </cell>
          <cell r="J873" t="str">
            <v>QX7E</v>
          </cell>
          <cell r="K873" t="str">
            <v>S</v>
          </cell>
          <cell r="L873" t="str">
            <v>AS</v>
          </cell>
          <cell r="N873" t="str">
            <v>Vighnesh Bhave</v>
          </cell>
          <cell r="Q873" t="str">
            <v>Arju Tiwari</v>
          </cell>
          <cell r="R873" t="str">
            <v>Apurva Sharma</v>
          </cell>
          <cell r="S873" t="str">
            <v>Karnataka</v>
          </cell>
          <cell r="T873" t="str">
            <v>Bangalore</v>
          </cell>
          <cell r="U873" t="str">
            <v>Non Premium</v>
          </cell>
          <cell r="V873" t="str">
            <v>Misc Formats</v>
          </cell>
          <cell r="W873">
            <v>3572</v>
          </cell>
          <cell r="X873" t="str">
            <v>Centro, Bellandur, bangalore</v>
          </cell>
          <cell r="AB873">
            <v>45761</v>
          </cell>
          <cell r="AC873">
            <v>45763</v>
          </cell>
          <cell r="AD873">
            <v>45765</v>
          </cell>
          <cell r="AE873">
            <v>45765</v>
          </cell>
          <cell r="AF873" t="str">
            <v>Done</v>
          </cell>
          <cell r="AG873">
            <v>0</v>
          </cell>
          <cell r="AI873">
            <v>45772</v>
          </cell>
          <cell r="AK873">
            <v>45772</v>
          </cell>
          <cell r="AL873" t="str">
            <v>Received</v>
          </cell>
          <cell r="AN873" t="str">
            <v>Received</v>
          </cell>
          <cell r="AP873">
            <v>45776</v>
          </cell>
          <cell r="AR873">
            <v>45782</v>
          </cell>
          <cell r="AT873" t="str">
            <v>Received</v>
          </cell>
          <cell r="AV873">
            <v>45791</v>
          </cell>
          <cell r="AW873" t="str">
            <v>R0</v>
          </cell>
          <cell r="AX873">
            <v>45791</v>
          </cell>
          <cell r="AZ873" t="str">
            <v>No pendency</v>
          </cell>
          <cell r="BF873" t="str">
            <v>N/A</v>
          </cell>
          <cell r="BJ873">
            <v>45783</v>
          </cell>
          <cell r="BL873" t="str">
            <v>Only Budgetary BOQ received</v>
          </cell>
          <cell r="BN873" t="str">
            <v>N/A</v>
          </cell>
          <cell r="BO873" t="str">
            <v>N/A</v>
          </cell>
          <cell r="BR873" t="str">
            <v>Received (FE BOQ)</v>
          </cell>
          <cell r="BS873" t="str">
            <v>N/A</v>
          </cell>
          <cell r="BU873" t="str">
            <v>Dropped</v>
          </cell>
          <cell r="BW873" t="str">
            <v>16-05-2025
(Budget estimate)</v>
          </cell>
          <cell r="BY873" t="str">
            <v>pending</v>
          </cell>
          <cell r="DG873" t="str">
            <v/>
          </cell>
          <cell r="DM873">
            <v>46177</v>
          </cell>
          <cell r="DX873" t="str">
            <v/>
          </cell>
          <cell r="EA873" t="str">
            <v/>
          </cell>
          <cell r="ED873" t="str">
            <v/>
          </cell>
          <cell r="EE873" t="str">
            <v/>
          </cell>
          <cell r="FD873">
            <v>46177</v>
          </cell>
          <cell r="FF873">
            <v>46177</v>
          </cell>
          <cell r="FM873" t="str">
            <v/>
          </cell>
          <cell r="GG873" t="str">
            <v>2025-2026</v>
          </cell>
        </row>
        <row r="874">
          <cell r="E874" t="str">
            <v>Global Port, Baner</v>
          </cell>
          <cell r="F874" t="str">
            <v>14. Dropped</v>
          </cell>
          <cell r="G874" t="str">
            <v>URBLBK13998</v>
          </cell>
          <cell r="H874" t="str">
            <v>Awaited</v>
          </cell>
          <cell r="I874" t="str">
            <v>Awaited</v>
          </cell>
          <cell r="J874" t="str">
            <v>Awaited</v>
          </cell>
          <cell r="K874" t="str">
            <v>W</v>
          </cell>
          <cell r="L874" t="str">
            <v>BK</v>
          </cell>
          <cell r="N874" t="str">
            <v>Jaisingh Desai</v>
          </cell>
          <cell r="O874" t="str">
            <v>Ashish M</v>
          </cell>
          <cell r="Q874" t="str">
            <v>Arju Tiwari</v>
          </cell>
          <cell r="R874" t="str">
            <v>Apurva Sharma</v>
          </cell>
          <cell r="S874" t="str">
            <v>Maharastra</v>
          </cell>
          <cell r="T874" t="str">
            <v>Pune</v>
          </cell>
          <cell r="U874" t="str">
            <v>Non Premium</v>
          </cell>
          <cell r="V874" t="str">
            <v>Misc Formats</v>
          </cell>
          <cell r="W874">
            <v>5100</v>
          </cell>
          <cell r="X874" t="str">
            <v>Global Port, Mumbai Pune Bypass Rd Flyover, Baner, Pune, Maharashtra 411021</v>
          </cell>
          <cell r="AB874">
            <v>45841</v>
          </cell>
          <cell r="AC874">
            <v>45846</v>
          </cell>
          <cell r="AD874">
            <v>45852</v>
          </cell>
          <cell r="AE874">
            <v>45853</v>
          </cell>
          <cell r="AF874" t="str">
            <v>Done</v>
          </cell>
          <cell r="AG874">
            <v>6</v>
          </cell>
          <cell r="AH874" t="str">
            <v>*SDR visit done, PRE SDR report released on 14/07
*LL inputs pending to conclude Final SDR</v>
          </cell>
          <cell r="AI874">
            <v>45882</v>
          </cell>
          <cell r="AK874">
            <v>45882</v>
          </cell>
          <cell r="AL874" t="str">
            <v>Received</v>
          </cell>
          <cell r="AM874">
            <v>29</v>
          </cell>
          <cell r="AN874" t="str">
            <v>*Draft ML shared by Business
*ML prepared by NHQ design</v>
          </cell>
          <cell r="AO874">
            <v>45887</v>
          </cell>
          <cell r="AP874">
            <v>45891</v>
          </cell>
          <cell r="AR874">
            <v>45891</v>
          </cell>
          <cell r="AS874" t="str">
            <v>N/A</v>
          </cell>
          <cell r="AT874" t="str">
            <v>*GFC &amp; BOQ Released as per R0 ML</v>
          </cell>
          <cell r="AU874">
            <v>45887</v>
          </cell>
          <cell r="AV874">
            <v>45894</v>
          </cell>
          <cell r="AW874" t="str">
            <v>R0</v>
          </cell>
          <cell r="AX874">
            <v>45894</v>
          </cell>
          <cell r="AZ874" t="str">
            <v>*GFC &amp; BOQ Released as per R0 ML</v>
          </cell>
          <cell r="BA874">
            <v>45887</v>
          </cell>
          <cell r="BB874">
            <v>45895</v>
          </cell>
          <cell r="BD874">
            <v>45895</v>
          </cell>
          <cell r="BF874" t="str">
            <v>Budgetray BOQ released on 18-08-2025
R0 GFC &amp; BOQ as per R0 ML released on 26-08-2025</v>
          </cell>
          <cell r="BG874">
            <v>45887</v>
          </cell>
          <cell r="BH874">
            <v>45891</v>
          </cell>
          <cell r="BJ874">
            <v>45891</v>
          </cell>
          <cell r="BL874" t="str">
            <v>*Budgetray BOQ released on 22-08-2025</v>
          </cell>
          <cell r="BM874">
            <v>45887</v>
          </cell>
          <cell r="BN874">
            <v>45897</v>
          </cell>
          <cell r="BO874" t="str">
            <v xml:space="preserve">IT GFC &amp; BOQ in NSO/ Business Scope. </v>
          </cell>
          <cell r="BP874">
            <v>45887</v>
          </cell>
          <cell r="BQ874">
            <v>45890</v>
          </cell>
          <cell r="BR874" t="str">
            <v>N/A</v>
          </cell>
          <cell r="BS874">
            <v>45887</v>
          </cell>
          <cell r="BT874">
            <v>45882</v>
          </cell>
          <cell r="BU874" t="str">
            <v>Dropped</v>
          </cell>
          <cell r="BV874" t="str">
            <v>No Pendency</v>
          </cell>
          <cell r="BW874" t="str">
            <v>26-08-2025</v>
          </cell>
          <cell r="BY874" t="str">
            <v>Not Approved</v>
          </cell>
          <cell r="DG874" t="str">
            <v/>
          </cell>
          <cell r="DM874">
            <v>46177</v>
          </cell>
          <cell r="DR874">
            <v>35</v>
          </cell>
          <cell r="DS874">
            <v>45</v>
          </cell>
          <cell r="DU874">
            <v>35</v>
          </cell>
          <cell r="DW874">
            <v>35</v>
          </cell>
          <cell r="EA874" t="str">
            <v/>
          </cell>
          <cell r="ED874" t="str">
            <v/>
          </cell>
          <cell r="EE874" t="str">
            <v/>
          </cell>
          <cell r="FD874">
            <v>46142</v>
          </cell>
          <cell r="FF874">
            <v>46142</v>
          </cell>
          <cell r="FM874" t="str">
            <v/>
          </cell>
          <cell r="GF874" t="str">
            <v>URBLBK13998</v>
          </cell>
          <cell r="GG874" t="str">
            <v>2025-2026</v>
          </cell>
        </row>
        <row r="875">
          <cell r="E875" t="str">
            <v>RIL- Jamnagar Retail Mall</v>
          </cell>
          <cell r="F875" t="str">
            <v>3. Design In progress</v>
          </cell>
          <cell r="G875" t="str">
            <v>URBLKC14062</v>
          </cell>
          <cell r="H875" t="str">
            <v>Awaited</v>
          </cell>
          <cell r="I875" t="str">
            <v>Awaited</v>
          </cell>
          <cell r="J875" t="str">
            <v>Awaited</v>
          </cell>
          <cell r="K875" t="str">
            <v>W</v>
          </cell>
          <cell r="L875" t="str">
            <v>KC</v>
          </cell>
          <cell r="N875" t="str">
            <v>KC</v>
          </cell>
          <cell r="O875" t="str">
            <v>TBC</v>
          </cell>
          <cell r="P875" t="str">
            <v>TBC</v>
          </cell>
          <cell r="Q875" t="str">
            <v>Arju Tiwari</v>
          </cell>
          <cell r="R875" t="str">
            <v>Apurva Sharma</v>
          </cell>
          <cell r="S875" t="str">
            <v>Gujarat</v>
          </cell>
          <cell r="T875" t="str">
            <v>Jamnagar</v>
          </cell>
          <cell r="U875" t="str">
            <v>Non Premium</v>
          </cell>
          <cell r="V875" t="str">
            <v>Misc Formats</v>
          </cell>
          <cell r="W875">
            <v>6000</v>
          </cell>
          <cell r="X875" t="str">
            <v>Highway Strip Mall- Phase 2</v>
          </cell>
          <cell r="AB875" t="str">
            <v>TBC</v>
          </cell>
          <cell r="AF875" t="str">
            <v>TBC</v>
          </cell>
          <cell r="AH875" t="str">
            <v>TBC</v>
          </cell>
          <cell r="AI875">
            <v>46051</v>
          </cell>
          <cell r="AK875">
            <v>46051</v>
          </cell>
          <cell r="AL875" t="str">
            <v>Received</v>
          </cell>
          <cell r="AN875" t="str">
            <v>*Draft ML shared by Business
*ML prepared by NHQ design</v>
          </cell>
          <cell r="AO875">
            <v>46056</v>
          </cell>
          <cell r="AT875" t="str">
            <v>Received</v>
          </cell>
          <cell r="AU875">
            <v>46056</v>
          </cell>
          <cell r="AZ875" t="str">
            <v>Received</v>
          </cell>
          <cell r="BA875">
            <v>46056</v>
          </cell>
          <cell r="BF875" t="str">
            <v>Received</v>
          </cell>
          <cell r="BG875">
            <v>46056</v>
          </cell>
          <cell r="BL875" t="str">
            <v>Budgetary BOQ received, GFC Pending</v>
          </cell>
          <cell r="BN875" t="str">
            <v>N/A</v>
          </cell>
          <cell r="BO875" t="str">
            <v>Received from NSO</v>
          </cell>
          <cell r="BP875">
            <v>46056</v>
          </cell>
          <cell r="BR875" t="str">
            <v>Received</v>
          </cell>
          <cell r="BU875" t="str">
            <v>Pending</v>
          </cell>
          <cell r="BW875" t="str">
            <v>14-04-2026</v>
          </cell>
          <cell r="BY875" t="str">
            <v>pending</v>
          </cell>
          <cell r="CD875">
            <v>46113</v>
          </cell>
          <cell r="CE875" t="str">
            <v>Stage Awaited</v>
          </cell>
          <cell r="DU875">
            <v>0</v>
          </cell>
          <cell r="DW875">
            <v>0</v>
          </cell>
          <cell r="GG875" t="str">
            <v>2026-2027</v>
          </cell>
        </row>
        <row r="876">
          <cell r="E876" t="str">
            <v>Centro Bellandur, Bangalore (Partial area Partition &amp; Fixture Works)</v>
          </cell>
          <cell r="F876" t="str">
            <v>9. EPC Ready</v>
          </cell>
          <cell r="G876" t="str">
            <v>URBSAS14526</v>
          </cell>
          <cell r="H876" t="str">
            <v>KR-SM-BAN-470</v>
          </cell>
          <cell r="I876" t="str">
            <v>QT6V</v>
          </cell>
          <cell r="J876" t="str">
            <v>QX7E</v>
          </cell>
          <cell r="K876" t="str">
            <v>S</v>
          </cell>
          <cell r="L876" t="str">
            <v>AS</v>
          </cell>
          <cell r="N876" t="str">
            <v>Vighnesh Bhave</v>
          </cell>
          <cell r="O876" t="str">
            <v>Hariprasad Pv</v>
          </cell>
          <cell r="P876" t="str">
            <v>Debkamal B</v>
          </cell>
          <cell r="Q876" t="str">
            <v>Arju Tiwari</v>
          </cell>
          <cell r="R876" t="str">
            <v>Apurva Sharma</v>
          </cell>
          <cell r="S876" t="str">
            <v>Karnataka</v>
          </cell>
          <cell r="T876" t="str">
            <v>Bangalore</v>
          </cell>
          <cell r="U876" t="str">
            <v>Non Premium</v>
          </cell>
          <cell r="V876" t="str">
            <v>Misc Formats</v>
          </cell>
          <cell r="W876">
            <v>948</v>
          </cell>
          <cell r="X876" t="str">
            <v>Centro, Bellandur, bangalore</v>
          </cell>
          <cell r="Y876">
            <v>45995</v>
          </cell>
          <cell r="Z876" t="str">
            <v>NA</v>
          </cell>
          <cell r="AA876">
            <v>45994</v>
          </cell>
          <cell r="AB876" t="str">
            <v>NA</v>
          </cell>
          <cell r="AF876" t="str">
            <v>NA</v>
          </cell>
          <cell r="AG876" t="str">
            <v>NA</v>
          </cell>
          <cell r="AH876" t="str">
            <v>NA</v>
          </cell>
          <cell r="AI876">
            <v>45917</v>
          </cell>
          <cell r="AK876">
            <v>45917</v>
          </cell>
          <cell r="AL876" t="str">
            <v>Received</v>
          </cell>
          <cell r="AN876" t="str">
            <v>Received</v>
          </cell>
          <cell r="AO876">
            <v>45922</v>
          </cell>
          <cell r="AP876">
            <v>45918</v>
          </cell>
          <cell r="AR876">
            <v>45918</v>
          </cell>
          <cell r="AS876" t="str">
            <v>N/A</v>
          </cell>
          <cell r="AT876" t="str">
            <v>N/A</v>
          </cell>
          <cell r="AU876">
            <v>45922</v>
          </cell>
          <cell r="AV876">
            <v>45922</v>
          </cell>
          <cell r="AW876" t="str">
            <v>R0</v>
          </cell>
          <cell r="AX876">
            <v>45922</v>
          </cell>
          <cell r="AZ876" t="str">
            <v>*Only BOQ released, GFC Pending</v>
          </cell>
          <cell r="BF876" t="str">
            <v>N/A</v>
          </cell>
          <cell r="BJ876" t="str">
            <v>N/A</v>
          </cell>
          <cell r="BL876" t="str">
            <v>N/A</v>
          </cell>
          <cell r="BN876" t="str">
            <v>N/A</v>
          </cell>
          <cell r="BO876" t="str">
            <v>N/A</v>
          </cell>
          <cell r="BR876" t="str">
            <v>N/A</v>
          </cell>
          <cell r="BS876" t="str">
            <v>N/A</v>
          </cell>
          <cell r="BU876" t="str">
            <v>No Pendency</v>
          </cell>
          <cell r="BV876" t="str">
            <v>Done</v>
          </cell>
          <cell r="BW876" t="str">
            <v>03-10-2025</v>
          </cell>
          <cell r="BX876">
            <v>45989</v>
          </cell>
          <cell r="BY876" t="str">
            <v>Done</v>
          </cell>
          <cell r="BZ876" t="str">
            <v>N/A</v>
          </cell>
          <cell r="CA876" t="str">
            <v>N/A</v>
          </cell>
          <cell r="CC876" t="str">
            <v>N/A</v>
          </cell>
          <cell r="CD876">
            <v>45784</v>
          </cell>
          <cell r="CE876">
            <v>46013</v>
          </cell>
          <cell r="CF876" t="str">
            <v>M/S Navdhara</v>
          </cell>
          <cell r="CG876" t="str">
            <v>N/A</v>
          </cell>
          <cell r="CH876" t="str">
            <v>N/A</v>
          </cell>
          <cell r="CI876" t="str">
            <v>N/A</v>
          </cell>
          <cell r="CO876" t="str">
            <v>N/A</v>
          </cell>
          <cell r="CP876" t="str">
            <v>N/A</v>
          </cell>
          <cell r="CR876" t="str">
            <v>N/A</v>
          </cell>
          <cell r="CU876" t="str">
            <v>N/A</v>
          </cell>
          <cell r="CX876">
            <v>46013</v>
          </cell>
          <cell r="DB876" t="str">
            <v>N/A</v>
          </cell>
          <cell r="DC876" t="str">
            <v>N/A</v>
          </cell>
          <cell r="DD876">
            <v>46037</v>
          </cell>
          <cell r="DG876" t="str">
            <v>Not Under Dead Rent</v>
          </cell>
          <cell r="DH876" t="str">
            <v>NA</v>
          </cell>
          <cell r="DI876" t="str">
            <v>NA</v>
          </cell>
          <cell r="DJ876" t="str">
            <v>Additional works in operational store</v>
          </cell>
          <cell r="DM876" t="str">
            <v>NA</v>
          </cell>
          <cell r="DN876" t="str">
            <v>NA</v>
          </cell>
          <cell r="DO876" t="str">
            <v>*Vendor Issue</v>
          </cell>
          <cell r="DP876">
            <v>46092</v>
          </cell>
          <cell r="DQ876">
            <v>46093</v>
          </cell>
          <cell r="DR876">
            <v>15</v>
          </cell>
          <cell r="DS876">
            <v>21</v>
          </cell>
          <cell r="DU876">
            <v>46108</v>
          </cell>
          <cell r="DV876">
            <v>46114</v>
          </cell>
          <cell r="DW876">
            <v>46117</v>
          </cell>
          <cell r="DY876">
            <v>46171</v>
          </cell>
          <cell r="DZ876">
            <v>46173</v>
          </cell>
          <cell r="ED876" t="str">
            <v/>
          </cell>
          <cell r="EE876" t="str">
            <v/>
          </cell>
          <cell r="EF876">
            <v>0</v>
          </cell>
          <cell r="FD876">
            <v>56</v>
          </cell>
          <cell r="FE876" t="str">
            <v>31 to 61 Days</v>
          </cell>
          <cell r="FF876">
            <v>66</v>
          </cell>
          <cell r="FG876" t="str">
            <v>62 to 90 Days</v>
          </cell>
          <cell r="FH876" t="str">
            <v>Done</v>
          </cell>
          <cell r="FI876" t="str">
            <v xml:space="preserve"> 01-06-2026 </v>
          </cell>
          <cell r="FJ876" t="str">
            <v>NA</v>
          </cell>
          <cell r="FK876">
            <v>46174</v>
          </cell>
          <cell r="FM876" t="str">
            <v/>
          </cell>
          <cell r="GG876" t="str">
            <v>2026-2027</v>
          </cell>
        </row>
        <row r="877">
          <cell r="E877" t="str">
            <v>Sector 14, Gurgoan</v>
          </cell>
          <cell r="F877" t="str">
            <v>4. Budget Approval Pending</v>
          </cell>
          <cell r="G877" t="str">
            <v>MIRERT14584</v>
          </cell>
          <cell r="K877" t="str">
            <v>N</v>
          </cell>
          <cell r="L877" t="str">
            <v>RT</v>
          </cell>
          <cell r="N877" t="str">
            <v>Roopak Raj</v>
          </cell>
          <cell r="P877" t="str">
            <v>TBC</v>
          </cell>
          <cell r="Q877" t="str">
            <v>Arju Tiwari</v>
          </cell>
          <cell r="R877" t="str">
            <v>Apurva Sharma</v>
          </cell>
          <cell r="S877" t="str">
            <v>Haryana</v>
          </cell>
          <cell r="T877" t="str">
            <v>Gurgaon</v>
          </cell>
          <cell r="U877" t="str">
            <v>Non Premium</v>
          </cell>
          <cell r="V877" t="str">
            <v>Misc Formats</v>
          </cell>
          <cell r="X877" t="str">
            <v>Sector 14, Gurgoan</v>
          </cell>
          <cell r="AB877" t="str">
            <v>NA</v>
          </cell>
          <cell r="AF877" t="str">
            <v>NA</v>
          </cell>
          <cell r="AG877" t="str">
            <v>NA</v>
          </cell>
          <cell r="AH877" t="str">
            <v>NA</v>
          </cell>
          <cell r="AI877">
            <v>45955</v>
          </cell>
          <cell r="AK877">
            <v>45955</v>
          </cell>
          <cell r="AL877" t="str">
            <v>Received</v>
          </cell>
          <cell r="AN877" t="str">
            <v>Received</v>
          </cell>
          <cell r="AO877">
            <v>45960</v>
          </cell>
          <cell r="AP877">
            <v>45957</v>
          </cell>
          <cell r="AR877">
            <v>45964</v>
          </cell>
          <cell r="AS877" t="str">
            <v>N/A</v>
          </cell>
          <cell r="AT877" t="str">
            <v>N/A</v>
          </cell>
          <cell r="AU877">
            <v>45960</v>
          </cell>
          <cell r="AV877" t="str">
            <v>N/A</v>
          </cell>
          <cell r="AW877" t="str">
            <v>N/A</v>
          </cell>
          <cell r="AX877" t="str">
            <v>N/A</v>
          </cell>
          <cell r="AZ877" t="str">
            <v>N/A</v>
          </cell>
          <cell r="BF877" t="str">
            <v>N/A</v>
          </cell>
          <cell r="BJ877" t="str">
            <v>N/A</v>
          </cell>
          <cell r="BL877" t="str">
            <v>N/A</v>
          </cell>
          <cell r="BN877" t="str">
            <v>N/A</v>
          </cell>
          <cell r="BO877" t="str">
            <v>N/A</v>
          </cell>
          <cell r="BR877" t="str">
            <v>N/A</v>
          </cell>
          <cell r="BS877" t="str">
            <v>N/A</v>
          </cell>
          <cell r="BU877" t="str">
            <v>No Pendency</v>
          </cell>
          <cell r="BV877" t="str">
            <v>Done</v>
          </cell>
          <cell r="BW877" t="str">
            <v>05-11-2025</v>
          </cell>
          <cell r="BY877" t="str">
            <v>pending</v>
          </cell>
          <cell r="DG877" t="str">
            <v/>
          </cell>
          <cell r="DM877">
            <v>46177</v>
          </cell>
          <cell r="DX877" t="str">
            <v/>
          </cell>
          <cell r="EA877" t="str">
            <v/>
          </cell>
          <cell r="ED877" t="str">
            <v/>
          </cell>
          <cell r="EE877" t="str">
            <v/>
          </cell>
          <cell r="FD877">
            <v>46177</v>
          </cell>
          <cell r="FF877">
            <v>46177</v>
          </cell>
          <cell r="FM877" t="str">
            <v/>
          </cell>
          <cell r="GG877" t="str">
            <v>2026-2027</v>
          </cell>
        </row>
        <row r="878">
          <cell r="E878" t="str">
            <v>Home and Decor Furniture, Pondicherry store</v>
          </cell>
          <cell r="F878" t="str">
            <v>14. Dropped</v>
          </cell>
          <cell r="G878" t="str">
            <v>MIDHAK15076</v>
          </cell>
          <cell r="H878" t="str">
            <v>Awaited</v>
          </cell>
          <cell r="I878" t="str">
            <v>Awaited</v>
          </cell>
          <cell r="J878" t="str">
            <v>Awaited</v>
          </cell>
          <cell r="K878" t="str">
            <v>S</v>
          </cell>
          <cell r="L878" t="str">
            <v>AK</v>
          </cell>
          <cell r="Q878" t="str">
            <v>Arju Tiwari</v>
          </cell>
          <cell r="R878" t="str">
            <v>Apurva Sharma</v>
          </cell>
          <cell r="S878" t="str">
            <v>Tamil Nadu</v>
          </cell>
          <cell r="T878" t="str">
            <v>Pondicherry</v>
          </cell>
          <cell r="U878" t="str">
            <v>Non Premium</v>
          </cell>
          <cell r="V878" t="str">
            <v>Dehire</v>
          </cell>
          <cell r="W878">
            <v>2035</v>
          </cell>
          <cell r="X878" t="str">
            <v>Home and Decor Furniture, Pondicherry store</v>
          </cell>
          <cell r="AH878" t="str">
            <v>NA</v>
          </cell>
          <cell r="AL878" t="str">
            <v>NA</v>
          </cell>
          <cell r="AN878" t="str">
            <v>NA</v>
          </cell>
          <cell r="AS878" t="str">
            <v>NA</v>
          </cell>
          <cell r="AT878" t="str">
            <v>NA</v>
          </cell>
          <cell r="AV878" t="str">
            <v>NA</v>
          </cell>
          <cell r="AW878" t="str">
            <v>NA</v>
          </cell>
          <cell r="AX878" t="str">
            <v>NA</v>
          </cell>
          <cell r="AZ878" t="str">
            <v>NA</v>
          </cell>
          <cell r="BF878" t="str">
            <v>NA</v>
          </cell>
          <cell r="BJ878" t="str">
            <v>NA</v>
          </cell>
          <cell r="BL878" t="str">
            <v>NA</v>
          </cell>
          <cell r="BN878" t="str">
            <v>NA</v>
          </cell>
          <cell r="BO878" t="str">
            <v>NA</v>
          </cell>
          <cell r="BR878" t="str">
            <v>NA</v>
          </cell>
          <cell r="BS878" t="str">
            <v>NA</v>
          </cell>
          <cell r="BU878" t="str">
            <v>Dropped</v>
          </cell>
          <cell r="BV878" t="str">
            <v>NA</v>
          </cell>
          <cell r="BW878" t="str">
            <v>23-01-2026</v>
          </cell>
          <cell r="BY878" t="str">
            <v>pending</v>
          </cell>
          <cell r="BZ878" t="str">
            <v>N/A</v>
          </cell>
          <cell r="CA878" t="str">
            <v>N/A</v>
          </cell>
          <cell r="CC878" t="str">
            <v>N/A</v>
          </cell>
          <cell r="CN878" t="str">
            <v>N/A</v>
          </cell>
          <cell r="CO878" t="str">
            <v>N/A</v>
          </cell>
          <cell r="CP878" t="str">
            <v>N/A</v>
          </cell>
          <cell r="CR878" t="str">
            <v>N/A</v>
          </cell>
          <cell r="CU878" t="str">
            <v>N/A</v>
          </cell>
          <cell r="CW878" t="str">
            <v>N/A</v>
          </cell>
          <cell r="DA878" t="str">
            <v>N/A</v>
          </cell>
          <cell r="DB878" t="str">
            <v>N/A</v>
          </cell>
          <cell r="DC878" t="str">
            <v>N/A</v>
          </cell>
          <cell r="DG878" t="str">
            <v/>
          </cell>
          <cell r="DM878">
            <v>46177</v>
          </cell>
          <cell r="EK878" t="str">
            <v>N/A</v>
          </cell>
          <cell r="EL878" t="str">
            <v>N/A</v>
          </cell>
          <cell r="EN878" t="str">
            <v>N/A</v>
          </cell>
          <cell r="EO878" t="str">
            <v>N/A</v>
          </cell>
          <cell r="EQ878" t="str">
            <v>N/A</v>
          </cell>
          <cell r="ER878" t="str">
            <v>N/A</v>
          </cell>
          <cell r="ES878" t="str">
            <v>N/A</v>
          </cell>
          <cell r="ET878" t="str">
            <v>N/A</v>
          </cell>
          <cell r="EU878" t="str">
            <v>N/A</v>
          </cell>
          <cell r="EV878" t="str">
            <v>N/A</v>
          </cell>
          <cell r="EW878" t="str">
            <v>N/A</v>
          </cell>
          <cell r="EX878" t="str">
            <v>N/A</v>
          </cell>
          <cell r="EY878" t="str">
            <v>N/A</v>
          </cell>
          <cell r="EZ878" t="str">
            <v>N/A</v>
          </cell>
          <cell r="FA878" t="str">
            <v>N/A</v>
          </cell>
          <cell r="FB878" t="str">
            <v>N/A</v>
          </cell>
          <cell r="FC878" t="str">
            <v>N/A</v>
          </cell>
          <cell r="FD878">
            <v>46177</v>
          </cell>
          <cell r="FF878">
            <v>46177</v>
          </cell>
          <cell r="GG878" t="str">
            <v>2025-2026</v>
          </cell>
        </row>
        <row r="879">
          <cell r="E879" t="str">
            <v>Home and Décor, Kumaranalloor Store</v>
          </cell>
          <cell r="F879" t="str">
            <v>3. Design In progress</v>
          </cell>
          <cell r="G879" t="str">
            <v>MIDHAK15077</v>
          </cell>
          <cell r="H879" t="str">
            <v>Awaited</v>
          </cell>
          <cell r="I879" t="str">
            <v>TG3K</v>
          </cell>
          <cell r="J879" t="str">
            <v>QZSW</v>
          </cell>
          <cell r="K879" t="str">
            <v>S</v>
          </cell>
          <cell r="L879" t="str">
            <v>AK</v>
          </cell>
          <cell r="Q879" t="str">
            <v>Arju Tiwari</v>
          </cell>
          <cell r="R879" t="str">
            <v>Apurva Sharma</v>
          </cell>
          <cell r="S879" t="str">
            <v>Kerala</v>
          </cell>
          <cell r="T879" t="str">
            <v>Kottayam</v>
          </cell>
          <cell r="U879" t="str">
            <v>Non Premium</v>
          </cell>
          <cell r="V879" t="str">
            <v>Dehire</v>
          </cell>
          <cell r="W879">
            <v>2731</v>
          </cell>
          <cell r="X879" t="str">
            <v>Home and Décor, Kumaranalloor Store</v>
          </cell>
          <cell r="AB879" t="str">
            <v>18-05-1016</v>
          </cell>
          <cell r="AC879">
            <v>46160</v>
          </cell>
          <cell r="AD879">
            <v>46176</v>
          </cell>
          <cell r="AF879" t="str">
            <v>Budget BOQ Pending</v>
          </cell>
          <cell r="AH879" t="str">
            <v>NA</v>
          </cell>
          <cell r="AL879" t="str">
            <v>NA</v>
          </cell>
          <cell r="AN879" t="str">
            <v>NA</v>
          </cell>
          <cell r="AS879" t="str">
            <v>NA</v>
          </cell>
          <cell r="AT879" t="str">
            <v>NA</v>
          </cell>
          <cell r="AV879" t="str">
            <v>NA</v>
          </cell>
          <cell r="AW879" t="str">
            <v>NA</v>
          </cell>
          <cell r="AX879" t="str">
            <v>NA</v>
          </cell>
          <cell r="AZ879" t="str">
            <v>NA</v>
          </cell>
          <cell r="BF879" t="str">
            <v>NA</v>
          </cell>
          <cell r="BJ879" t="str">
            <v>NA</v>
          </cell>
          <cell r="BL879" t="str">
            <v>NA</v>
          </cell>
          <cell r="BN879" t="str">
            <v>NA</v>
          </cell>
          <cell r="BO879" t="str">
            <v>NA</v>
          </cell>
          <cell r="BR879" t="str">
            <v>NA</v>
          </cell>
          <cell r="BS879" t="str">
            <v>NA</v>
          </cell>
          <cell r="BU879" t="str">
            <v>Dehire</v>
          </cell>
          <cell r="BV879" t="str">
            <v>NA</v>
          </cell>
          <cell r="BW879" t="str">
            <v>23-01-2026</v>
          </cell>
          <cell r="BY879" t="str">
            <v>pending</v>
          </cell>
          <cell r="BZ879" t="str">
            <v>N/A</v>
          </cell>
          <cell r="CA879" t="str">
            <v>N/A</v>
          </cell>
          <cell r="CC879" t="str">
            <v>N/A</v>
          </cell>
          <cell r="CN879" t="str">
            <v>N/A</v>
          </cell>
          <cell r="CO879" t="str">
            <v>N/A</v>
          </cell>
          <cell r="CP879" t="str">
            <v>N/A</v>
          </cell>
          <cell r="CR879" t="str">
            <v>N/A</v>
          </cell>
          <cell r="CU879" t="str">
            <v>N/A</v>
          </cell>
          <cell r="CW879" t="str">
            <v>N/A</v>
          </cell>
          <cell r="DA879" t="str">
            <v>N/A</v>
          </cell>
          <cell r="DB879" t="str">
            <v>N/A</v>
          </cell>
          <cell r="DC879" t="str">
            <v>N/A</v>
          </cell>
          <cell r="DG879" t="str">
            <v/>
          </cell>
          <cell r="DM879">
            <v>46177</v>
          </cell>
          <cell r="EK879" t="str">
            <v>N/A</v>
          </cell>
          <cell r="EL879" t="str">
            <v>N/A</v>
          </cell>
          <cell r="EN879" t="str">
            <v>N/A</v>
          </cell>
          <cell r="EO879" t="str">
            <v>N/A</v>
          </cell>
          <cell r="EQ879" t="str">
            <v>N/A</v>
          </cell>
          <cell r="ER879" t="str">
            <v>N/A</v>
          </cell>
          <cell r="ES879" t="str">
            <v>N/A</v>
          </cell>
          <cell r="ET879" t="str">
            <v>N/A</v>
          </cell>
          <cell r="EU879" t="str">
            <v>N/A</v>
          </cell>
          <cell r="EV879" t="str">
            <v>N/A</v>
          </cell>
          <cell r="EW879" t="str">
            <v>N/A</v>
          </cell>
          <cell r="EX879" t="str">
            <v>N/A</v>
          </cell>
          <cell r="EY879" t="str">
            <v>N/A</v>
          </cell>
          <cell r="EZ879" t="str">
            <v>N/A</v>
          </cell>
          <cell r="FA879" t="str">
            <v>N/A</v>
          </cell>
          <cell r="FB879" t="str">
            <v>N/A</v>
          </cell>
          <cell r="FC879" t="str">
            <v>N/A</v>
          </cell>
          <cell r="FD879">
            <v>46177</v>
          </cell>
          <cell r="FF879">
            <v>46177</v>
          </cell>
          <cell r="GG879" t="str">
            <v>2026-2027</v>
          </cell>
        </row>
        <row r="880">
          <cell r="E880" t="str">
            <v>RPS More , Patna - Second Floor</v>
          </cell>
          <cell r="F880" t="str">
            <v>3. Design In progress</v>
          </cell>
          <cell r="G880" t="str">
            <v>URBLSD15762</v>
          </cell>
          <cell r="H880" t="str">
            <v>BJ-SM-PAT-931</v>
          </cell>
          <cell r="I880" t="str">
            <v>Awaited</v>
          </cell>
          <cell r="J880" t="str">
            <v>Awaited</v>
          </cell>
          <cell r="K880" t="str">
            <v>E</v>
          </cell>
          <cell r="L880" t="str">
            <v>SD</v>
          </cell>
          <cell r="N880" t="str">
            <v>Tushar Jha</v>
          </cell>
          <cell r="O880" t="str">
            <v>Vikas Tripathi</v>
          </cell>
          <cell r="P880" t="str">
            <v>TBC</v>
          </cell>
          <cell r="Q880" t="str">
            <v>Arju Tiwari</v>
          </cell>
          <cell r="R880" t="str">
            <v>Apurva Sharma</v>
          </cell>
          <cell r="S880" t="str">
            <v>Bihar</v>
          </cell>
          <cell r="T880" t="str">
            <v>Patna</v>
          </cell>
          <cell r="U880" t="str">
            <v>Non Premium</v>
          </cell>
          <cell r="V880" t="str">
            <v>Misc Formats</v>
          </cell>
          <cell r="W880">
            <v>3333</v>
          </cell>
          <cell r="X880" t="str">
            <v>Furniture Mall ,Beiley Road , RPS More , Beside Indian Oil petrol pump , Patna, Bihar-801503</v>
          </cell>
          <cell r="AB880">
            <v>46077</v>
          </cell>
          <cell r="AC880">
            <v>46081</v>
          </cell>
          <cell r="AD880">
            <v>46090</v>
          </cell>
          <cell r="AE880">
            <v>46090</v>
          </cell>
          <cell r="AF880" t="str">
            <v>Done</v>
          </cell>
          <cell r="AG880">
            <v>8</v>
          </cell>
          <cell r="AH880" t="str">
            <v>NA</v>
          </cell>
          <cell r="AI880">
            <v>46119</v>
          </cell>
          <cell r="AK880">
            <v>46176</v>
          </cell>
          <cell r="AL880" t="str">
            <v>Received</v>
          </cell>
          <cell r="AM880">
            <v>29</v>
          </cell>
          <cell r="AN880" t="str">
            <v>*Draft ML shared by Business
*ML prepared by NHQ design
*Ele point recd. On 02-04-2026 hence ML date considered o2-04</v>
          </cell>
          <cell r="AO880">
            <v>46181</v>
          </cell>
          <cell r="AR880">
            <v>46176</v>
          </cell>
          <cell r="AS880" t="str">
            <v>NA</v>
          </cell>
          <cell r="AT880" t="str">
            <v>Received</v>
          </cell>
          <cell r="AU880">
            <v>46181</v>
          </cell>
          <cell r="AX880" t="str">
            <v>GFC - 21-04-2026
BOQ -  27-04-2026</v>
          </cell>
          <cell r="AZ880" t="str">
            <v>Received</v>
          </cell>
          <cell r="BF880" t="str">
            <v>Pending as per Latest ML</v>
          </cell>
          <cell r="BG880">
            <v>46181</v>
          </cell>
          <cell r="BJ880" t="str">
            <v>Budgetart BOQ-  23-04-2026
Lighting layout - 23-04-2026
GFc- pending</v>
          </cell>
          <cell r="BL880" t="str">
            <v>Pending</v>
          </cell>
          <cell r="BN880">
            <v>46113</v>
          </cell>
          <cell r="BO880" t="str">
            <v>Received from NSO</v>
          </cell>
          <cell r="BQ880">
            <v>46133</v>
          </cell>
          <cell r="BR880" t="str">
            <v>Pending</v>
          </cell>
          <cell r="BU880" t="str">
            <v>Pending</v>
          </cell>
          <cell r="BW880" t="str">
            <v>06-05-2026</v>
          </cell>
          <cell r="BY880" t="str">
            <v>pending</v>
          </cell>
          <cell r="CD880" t="str">
            <v xml:space="preserve"> 29-04-2026</v>
          </cell>
          <cell r="GG880" t="str">
            <v>2026-2027</v>
          </cell>
        </row>
        <row r="881">
          <cell r="E881" t="str">
            <v>Centro, Patna</v>
          </cell>
          <cell r="F881" t="str">
            <v>4. Budget Approval Pending</v>
          </cell>
          <cell r="H881" t="str">
            <v>Awaited</v>
          </cell>
          <cell r="I881" t="str">
            <v>Awaited</v>
          </cell>
          <cell r="J881" t="str">
            <v>Awaited</v>
          </cell>
          <cell r="K881" t="str">
            <v>E</v>
          </cell>
          <cell r="L881" t="str">
            <v>SD</v>
          </cell>
          <cell r="N881" t="str">
            <v>Tushar Jha</v>
          </cell>
          <cell r="O881" t="str">
            <v>Vikas Tripathi</v>
          </cell>
          <cell r="P881" t="str">
            <v>TBC</v>
          </cell>
          <cell r="Q881" t="str">
            <v>Arju Tiwari</v>
          </cell>
          <cell r="R881" t="str">
            <v>Apurva Sharma</v>
          </cell>
          <cell r="S881" t="str">
            <v>Bihar</v>
          </cell>
          <cell r="T881" t="str">
            <v>Patna</v>
          </cell>
          <cell r="U881" t="str">
            <v>Non Premium</v>
          </cell>
          <cell r="V881" t="str">
            <v>Misc Formats</v>
          </cell>
          <cell r="W881">
            <v>3608</v>
          </cell>
          <cell r="X881" t="str">
            <v>Centro, Patna</v>
          </cell>
          <cell r="AB881" t="str">
            <v>NA</v>
          </cell>
          <cell r="AF881" t="str">
            <v>NA</v>
          </cell>
          <cell r="AH881" t="str">
            <v>*SDR not required</v>
          </cell>
          <cell r="AI881">
            <v>46153</v>
          </cell>
          <cell r="AK881">
            <v>46153</v>
          </cell>
          <cell r="AL881" t="str">
            <v>Received</v>
          </cell>
          <cell r="AN881" t="str">
            <v>*Draft ML shared by Business on 06-05-2026
*ML prepared by NHQ design &amp; shared for approval on 08-05-2026
*Approval on ML received on 11-05-2026, hence ML date</v>
          </cell>
          <cell r="AO881">
            <v>46158</v>
          </cell>
          <cell r="AP881">
            <v>46150</v>
          </cell>
          <cell r="AR881">
            <v>46150</v>
          </cell>
          <cell r="AT881" t="str">
            <v>Received</v>
          </cell>
          <cell r="AU881">
            <v>46158</v>
          </cell>
          <cell r="AV881">
            <v>46156</v>
          </cell>
          <cell r="AW881" t="str">
            <v>R0</v>
          </cell>
          <cell r="AX881">
            <v>46156</v>
          </cell>
          <cell r="AZ881" t="str">
            <v>Received</v>
          </cell>
          <cell r="BF881" t="str">
            <v>NA</v>
          </cell>
          <cell r="BG881">
            <v>46158</v>
          </cell>
          <cell r="BJ881" t="str">
            <v>BOQ- 18-05-2026</v>
          </cell>
          <cell r="BL881" t="str">
            <v>Budgetary BOQ received
GFC Pending</v>
          </cell>
          <cell r="BN881" t="str">
            <v>NA</v>
          </cell>
          <cell r="BO881" t="str">
            <v>NA</v>
          </cell>
          <cell r="BR881" t="str">
            <v>NA</v>
          </cell>
          <cell r="BU881" t="str">
            <v>Pending</v>
          </cell>
          <cell r="CD881">
            <v>46160</v>
          </cell>
          <cell r="CE881" t="str">
            <v>Stage Awaited</v>
          </cell>
        </row>
        <row r="882">
          <cell r="E882" t="str">
            <v>Centro, Thakur Mall Dahisar</v>
          </cell>
          <cell r="F882" t="str">
            <v>4. Budget Approval Pending</v>
          </cell>
          <cell r="H882" t="str">
            <v>Awaited</v>
          </cell>
          <cell r="I882" t="str">
            <v>Awaited</v>
          </cell>
          <cell r="J882" t="str">
            <v>Awaited</v>
          </cell>
          <cell r="K882" t="str">
            <v>W</v>
          </cell>
          <cell r="L882" t="str">
            <v>BK</v>
          </cell>
          <cell r="N882" t="str">
            <v>Anand Patade</v>
          </cell>
          <cell r="O882" t="str">
            <v>Nitin Dawange</v>
          </cell>
          <cell r="P882" t="str">
            <v>TBC</v>
          </cell>
          <cell r="Q882" t="str">
            <v>Arju Tiwari</v>
          </cell>
          <cell r="R882" t="str">
            <v>Apurva Sharma</v>
          </cell>
          <cell r="S882" t="str">
            <v>Maharashtra</v>
          </cell>
          <cell r="T882" t="str">
            <v>Mumbai</v>
          </cell>
          <cell r="U882" t="str">
            <v>Non Premium</v>
          </cell>
          <cell r="V882" t="str">
            <v>Misc Formats</v>
          </cell>
          <cell r="W882">
            <v>8167</v>
          </cell>
          <cell r="X882" t="str">
            <v>Centro, Thakur Mall Dahisar</v>
          </cell>
          <cell r="AB882" t="str">
            <v>NA</v>
          </cell>
          <cell r="AF882" t="str">
            <v>NA</v>
          </cell>
          <cell r="AH882" t="str">
            <v>*SDR not required</v>
          </cell>
          <cell r="AI882">
            <v>46162</v>
          </cell>
          <cell r="AK882">
            <v>46162</v>
          </cell>
          <cell r="AL882" t="str">
            <v>Received</v>
          </cell>
          <cell r="AN882" t="str">
            <v>*Draft ML shared by Business on 06-05-2026
*ML prepared by NHQ design &amp; shared for approval on 09-05-2026
*Approval on ML received on 11-05-2026, Area confirmation received on 18-05-2025</v>
          </cell>
          <cell r="AO882">
            <v>46167</v>
          </cell>
          <cell r="AP882">
            <v>46162</v>
          </cell>
          <cell r="AR882">
            <v>46162</v>
          </cell>
          <cell r="AT882" t="str">
            <v>Received</v>
          </cell>
          <cell r="AZ882" t="str">
            <v>Pending</v>
          </cell>
          <cell r="BF882" t="str">
            <v>NA</v>
          </cell>
          <cell r="BG882">
            <v>46167</v>
          </cell>
          <cell r="BJ882" t="str">
            <v>BOQ- 27-05-2026</v>
          </cell>
          <cell r="BL882" t="str">
            <v>Budgetary BOQ received
GFC Pending</v>
          </cell>
          <cell r="BN882" t="str">
            <v>NA</v>
          </cell>
          <cell r="BO882" t="str">
            <v>NA</v>
          </cell>
          <cell r="BR882" t="str">
            <v>NA</v>
          </cell>
          <cell r="BU882" t="str">
            <v>Pending</v>
          </cell>
          <cell r="BW882" t="str">
            <v>27-05-2026</v>
          </cell>
          <cell r="BY882" t="str">
            <v>pending</v>
          </cell>
          <cell r="CD882">
            <v>46168</v>
          </cell>
          <cell r="CE882" t="str">
            <v>Stage Awaited</v>
          </cell>
        </row>
        <row r="883">
          <cell r="E883" t="str">
            <v>Creaticity - Pune</v>
          </cell>
          <cell r="F883" t="str">
            <v>2. ML Awaited</v>
          </cell>
          <cell r="H883" t="str">
            <v>MH-SM-PUN-905</v>
          </cell>
          <cell r="I883" t="str">
            <v>Awaited</v>
          </cell>
          <cell r="J883" t="str">
            <v>Awaited</v>
          </cell>
          <cell r="K883" t="str">
            <v>W</v>
          </cell>
          <cell r="L883" t="str">
            <v>BK</v>
          </cell>
          <cell r="N883" t="str">
            <v>Jaisingh Desai</v>
          </cell>
          <cell r="O883" t="str">
            <v>Ashish M</v>
          </cell>
          <cell r="P883" t="str">
            <v>TBC</v>
          </cell>
          <cell r="Q883" t="str">
            <v>Arju Tiwari</v>
          </cell>
          <cell r="R883" t="str">
            <v>Apurva Sharma</v>
          </cell>
          <cell r="S883" t="str">
            <v>Maharashtra</v>
          </cell>
          <cell r="T883" t="str">
            <v>Mumbai</v>
          </cell>
          <cell r="U883" t="str">
            <v>Non Premium</v>
          </cell>
          <cell r="V883" t="str">
            <v>Misc Formats</v>
          </cell>
          <cell r="X883" t="str">
            <v>Ground  Floor, bearing survey no. 190 &amp; 192 (Part) situated at Yerawada, opposite Golf Course, Shastri Nagar, Yerawada, Pune – 411006</v>
          </cell>
          <cell r="AB883">
            <v>46135</v>
          </cell>
          <cell r="AC883">
            <v>46136</v>
          </cell>
          <cell r="AD883">
            <v>46142</v>
          </cell>
          <cell r="AE883">
            <v>46142</v>
          </cell>
          <cell r="AF883" t="str">
            <v>Done</v>
          </cell>
          <cell r="AG883">
            <v>2</v>
          </cell>
          <cell r="AH883" t="str">
            <v>*PRE SDR Docket released on 30-04-2026. RE-SDR Required.</v>
          </cell>
          <cell r="AL883" t="str">
            <v>Awaited</v>
          </cell>
          <cell r="AO883">
            <v>5</v>
          </cell>
          <cell r="BU883" t="str">
            <v>Stage Awaited</v>
          </cell>
        </row>
        <row r="884">
          <cell r="E884" t="str">
            <v>Electronic City, Hosur Road</v>
          </cell>
          <cell r="F884" t="str">
            <v>2. ML Awaited</v>
          </cell>
          <cell r="H884" t="str">
            <v>Awaited</v>
          </cell>
          <cell r="I884" t="str">
            <v>Awaited</v>
          </cell>
          <cell r="J884" t="str">
            <v>Awaited</v>
          </cell>
          <cell r="K884" t="str">
            <v>S</v>
          </cell>
          <cell r="N884" t="str">
            <v>Vighnesh Bhave</v>
          </cell>
          <cell r="O884" t="str">
            <v>Hariprasad Pv</v>
          </cell>
          <cell r="P884" t="str">
            <v>TBC</v>
          </cell>
          <cell r="Q884" t="str">
            <v>Arju Tiwari</v>
          </cell>
          <cell r="R884" t="str">
            <v>Apurva Sharma</v>
          </cell>
          <cell r="S884" t="str">
            <v>Karnataka</v>
          </cell>
          <cell r="T884" t="str">
            <v>Bangalore</v>
          </cell>
          <cell r="U884" t="str">
            <v>Non Premium</v>
          </cell>
          <cell r="V884" t="str">
            <v>Misc Formats</v>
          </cell>
          <cell r="X884" t="str">
            <v>Sy No. 1/15 A Konappana Aagrahara, Electronic city, Bangalore - 560100</v>
          </cell>
          <cell r="AB884">
            <v>46141</v>
          </cell>
          <cell r="AC884">
            <v>46142</v>
          </cell>
          <cell r="AD884">
            <v>46148</v>
          </cell>
          <cell r="AE884">
            <v>46148</v>
          </cell>
          <cell r="AF884" t="str">
            <v>Done</v>
          </cell>
          <cell r="AG884">
            <v>2</v>
          </cell>
          <cell r="AH884" t="str">
            <v>*PRE SDR Docket released on 06-05-2026. RE-SDR Required.</v>
          </cell>
          <cell r="AL884" t="str">
            <v>Awaited</v>
          </cell>
          <cell r="AO884">
            <v>5</v>
          </cell>
          <cell r="BU884" t="str">
            <v>Stage Awaited</v>
          </cell>
        </row>
        <row r="885">
          <cell r="E885" t="str">
            <v>Airport road , Hunsmaranhalli, Bangalore</v>
          </cell>
          <cell r="F885" t="str">
            <v>2. ML Awaited</v>
          </cell>
          <cell r="H885" t="str">
            <v>Awaited</v>
          </cell>
          <cell r="I885" t="str">
            <v>Awaited</v>
          </cell>
          <cell r="J885" t="str">
            <v>Awaited</v>
          </cell>
          <cell r="K885" t="str">
            <v>S</v>
          </cell>
          <cell r="N885" t="str">
            <v>Vighnesh Bhave</v>
          </cell>
          <cell r="O885" t="str">
            <v>Hariprasad Pv</v>
          </cell>
          <cell r="P885" t="str">
            <v>TBC</v>
          </cell>
          <cell r="Q885" t="str">
            <v>Arju Tiwari</v>
          </cell>
          <cell r="R885" t="str">
            <v>Apurva Sharma</v>
          </cell>
          <cell r="S885" t="str">
            <v>Karnataka</v>
          </cell>
          <cell r="T885" t="str">
            <v>Bangalore</v>
          </cell>
          <cell r="U885" t="str">
            <v>Non Premium</v>
          </cell>
          <cell r="V885" t="str">
            <v>Misc Formats</v>
          </cell>
          <cell r="X885" t="str">
            <v>First floor  in the Building known as “IDA City walk ”, situated on land bearing Sy.No.12/1/2/3,  sonnappanahalli Village , Jala Hobli , KIAL Road , Bangalore 562157</v>
          </cell>
          <cell r="AB885">
            <v>46150</v>
          </cell>
          <cell r="AC885">
            <v>46153</v>
          </cell>
          <cell r="AD885">
            <v>46155</v>
          </cell>
          <cell r="AE885">
            <v>46155</v>
          </cell>
          <cell r="AG885">
            <v>0</v>
          </cell>
          <cell r="AH885" t="str">
            <v>*SDR Visit Planned for 11.05.2026</v>
          </cell>
          <cell r="AO885">
            <v>5</v>
          </cell>
          <cell r="BU885" t="str">
            <v>Stage Awaited</v>
          </cell>
        </row>
        <row r="886">
          <cell r="E886" t="str">
            <v>Centro, Ambience Mall</v>
          </cell>
          <cell r="F886" t="str">
            <v>3. Design In progress</v>
          </cell>
          <cell r="H886" t="str">
            <v>Awaited</v>
          </cell>
          <cell r="I886" t="str">
            <v>Awaited</v>
          </cell>
          <cell r="J886" t="str">
            <v>Awaited</v>
          </cell>
          <cell r="K886" t="str">
            <v>N</v>
          </cell>
          <cell r="L886" t="str">
            <v>RT</v>
          </cell>
          <cell r="P886" t="str">
            <v>TBC</v>
          </cell>
          <cell r="Q886" t="str">
            <v>Arju Tiwari</v>
          </cell>
          <cell r="R886" t="str">
            <v>Apurva Sharma</v>
          </cell>
          <cell r="S886" t="str">
            <v>Delhi NCR</v>
          </cell>
          <cell r="T886" t="str">
            <v>Delhi NCR</v>
          </cell>
          <cell r="U886" t="str">
            <v>Non Premium</v>
          </cell>
          <cell r="V886" t="str">
            <v>Misc Formats</v>
          </cell>
          <cell r="W886">
            <v>2188</v>
          </cell>
          <cell r="AB886" t="str">
            <v>NA</v>
          </cell>
          <cell r="AH886" t="str">
            <v>*SDR not required</v>
          </cell>
          <cell r="AI886">
            <v>46175</v>
          </cell>
          <cell r="AK886">
            <v>46175</v>
          </cell>
          <cell r="AL886" t="str">
            <v>Received</v>
          </cell>
          <cell r="AO886">
            <v>46180</v>
          </cell>
          <cell r="AP886">
            <v>46177</v>
          </cell>
          <cell r="AR886">
            <v>46177</v>
          </cell>
          <cell r="AS886" t="str">
            <v>NA</v>
          </cell>
          <cell r="AT886" t="str">
            <v>Received</v>
          </cell>
          <cell r="AZ886" t="str">
            <v>Pending</v>
          </cell>
          <cell r="BF886" t="str">
            <v>NA</v>
          </cell>
          <cell r="BL886" t="str">
            <v>Pending</v>
          </cell>
          <cell r="BN886" t="str">
            <v>NA</v>
          </cell>
          <cell r="BO886" t="str">
            <v>NA</v>
          </cell>
          <cell r="BR886" t="str">
            <v>NA</v>
          </cell>
          <cell r="BT886">
            <v>46167</v>
          </cell>
          <cell r="BU886" t="str">
            <v>Pending</v>
          </cell>
        </row>
        <row r="887">
          <cell r="E887" t="str">
            <v>Centro Mall, Gurugram</v>
          </cell>
          <cell r="F887" t="str">
            <v>3. Design In progress</v>
          </cell>
          <cell r="H887" t="str">
            <v>Awaited</v>
          </cell>
          <cell r="I887" t="str">
            <v>Awaited</v>
          </cell>
          <cell r="J887" t="str">
            <v>Awaited</v>
          </cell>
          <cell r="K887" t="str">
            <v>N</v>
          </cell>
          <cell r="L887" t="str">
            <v>RT</v>
          </cell>
          <cell r="P887" t="str">
            <v>TBC</v>
          </cell>
          <cell r="Q887" t="str">
            <v>Arju Tiwari</v>
          </cell>
          <cell r="R887" t="str">
            <v>Apurva Sharma</v>
          </cell>
          <cell r="S887" t="str">
            <v>Haryana</v>
          </cell>
          <cell r="T887" t="str">
            <v>Gurgaon</v>
          </cell>
          <cell r="U887" t="str">
            <v>Non Premium</v>
          </cell>
          <cell r="V887" t="str">
            <v>Misc Formats</v>
          </cell>
          <cell r="W887">
            <v>2781</v>
          </cell>
          <cell r="AB887" t="str">
            <v>NA</v>
          </cell>
          <cell r="AH887" t="str">
            <v>*SDR not required</v>
          </cell>
          <cell r="AI887">
            <v>46175</v>
          </cell>
          <cell r="AK887">
            <v>46175</v>
          </cell>
          <cell r="AL887" t="str">
            <v>Received</v>
          </cell>
          <cell r="AO887">
            <v>46180</v>
          </cell>
          <cell r="AS887" t="str">
            <v>NA</v>
          </cell>
          <cell r="AT887" t="str">
            <v>Pending</v>
          </cell>
          <cell r="AZ887" t="str">
            <v>Pending</v>
          </cell>
          <cell r="BF887" t="str">
            <v>NA</v>
          </cell>
          <cell r="BL887" t="str">
            <v>Pending</v>
          </cell>
          <cell r="BN887" t="str">
            <v>NA</v>
          </cell>
          <cell r="BO887" t="str">
            <v>NA</v>
          </cell>
          <cell r="BR887" t="str">
            <v>NA</v>
          </cell>
          <cell r="BT887">
            <v>46167</v>
          </cell>
          <cell r="BU887" t="str">
            <v>Pending</v>
          </cell>
        </row>
        <row r="888">
          <cell r="E888" t="str">
            <v>B</v>
          </cell>
          <cell r="H888" t="str">
            <v>B</v>
          </cell>
          <cell r="I888" t="str">
            <v>B</v>
          </cell>
          <cell r="J888" t="str">
            <v>B</v>
          </cell>
          <cell r="K888" t="str">
            <v>B</v>
          </cell>
          <cell r="L888" t="str">
            <v>B</v>
          </cell>
          <cell r="S888" t="str">
            <v>B</v>
          </cell>
          <cell r="T888" t="str">
            <v>B</v>
          </cell>
          <cell r="W888" t="str">
            <v>B</v>
          </cell>
          <cell r="X888" t="str">
            <v>B</v>
          </cell>
          <cell r="AB888" t="str">
            <v>B</v>
          </cell>
          <cell r="AF888" t="str">
            <v>B</v>
          </cell>
          <cell r="AL888" t="str">
            <v>B</v>
          </cell>
          <cell r="AN888" t="str">
            <v>B</v>
          </cell>
          <cell r="BW888" t="str">
            <v>B</v>
          </cell>
          <cell r="DT888" t="str">
            <v>B</v>
          </cell>
        </row>
      </sheetData>
      <sheetData sheetId="7"/>
      <sheetData sheetId="8"/>
      <sheetData sheetId="9"/>
      <sheetData sheetId="10"/>
      <sheetData sheetId="11"/>
      <sheetData sheetId="12"/>
      <sheetData sheetId="1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19.729212962964" createdVersion="6" refreshedVersion="6" minRefreshableVersion="3" recordCount="413" xr:uid="{77FB6756-F433-441D-8A5B-FA7EF1FF742E}">
  <cacheSource type="worksheet">
    <worksheetSource ref="A1:AE366" sheet="Backup"/>
  </cacheSource>
  <cacheFields count="32">
    <cacheField name="Apex ID" numFmtId="0">
      <sharedItems containsBlank="1"/>
    </cacheField>
    <cacheField name="Sl. No." numFmtId="0">
      <sharedItems containsString="0" containsBlank="1" containsNumber="1" containsInteger="1" minValue="1" maxValue="412"/>
    </cacheField>
    <cacheField name="Business Format" numFmtId="0">
      <sharedItems containsBlank="1"/>
    </cacheField>
    <cacheField name="Format" numFmtId="0">
      <sharedItems containsBlank="1"/>
    </cacheField>
    <cacheField name="Sub Format" numFmtId="0">
      <sharedItems containsBlank="1" count="14">
        <s v="7 Eleven in Smart Bazar"/>
        <s v="NSO 7-Eleven"/>
        <s v="Additional Work-NETMED COCO"/>
        <s v="Admin Office (Corporate Services)"/>
        <s v="Beauty (TIRA)"/>
        <s v="Urban Ladder -Dehiring"/>
        <s v="JioMart digital"/>
        <s v="Netmed"/>
        <s v="NSO 7-Eleven-Dehire"/>
        <s v="Pharma COCO Store (SP Fix Setup)"/>
        <s v="Urban Ladder -SIS"/>
        <s v="Urban Ladder -SIS- Dehiring"/>
        <s v="Furniture - Mid Premium Store (UL)"/>
        <m/>
      </sharedItems>
    </cacheField>
    <cacheField name="Site Type" numFmtId="0">
      <sharedItems containsBlank="1"/>
    </cacheField>
    <cacheField name="Zone" numFmtId="0">
      <sharedItems containsBlank="1"/>
    </cacheField>
    <cacheField name="ZH" numFmtId="0">
      <sharedItems containsBlank="1" count="8">
        <s v="BK"/>
        <s v="AS"/>
        <s v="RT"/>
        <s v="AK"/>
        <s v="KC"/>
        <s v="SD"/>
        <s v="JD"/>
        <m/>
      </sharedItems>
    </cacheField>
    <cacheField name="State" numFmtId="0">
      <sharedItems containsBlank="1"/>
    </cacheField>
    <cacheField name="Site Name" numFmtId="0">
      <sharedItems containsBlank="1"/>
    </cacheField>
    <cacheField name="City" numFmtId="0">
      <sharedItems containsBlank="1"/>
    </cacheField>
    <cacheField name="Area (Sqft)" numFmtId="0">
      <sharedItems containsString="0" containsBlank="1" containsNumber="1" minValue="120" maxValue="6675.94"/>
    </cacheField>
    <cacheField name="PD" numFmtId="0">
      <sharedItems containsBlank="1"/>
    </cacheField>
    <cacheField name="EIC" numFmtId="0">
      <sharedItems containsBlank="1"/>
    </cacheField>
    <cacheField name="RFC Date" numFmtId="0">
      <sharedItems containsNonDate="0" containsDate="1" containsString="0" containsBlank="1" minDate="2022-08-27T00:00:00" maxDate="2025-08-26T00:00:00"/>
    </cacheField>
    <cacheField name="RFC Weekwise Bucket" numFmtId="0">
      <sharedItems containsBlank="1"/>
    </cacheField>
    <cacheField name="Actual Start Date" numFmtId="0">
      <sharedItems containsNonDate="0" containsDate="1" containsString="0" containsBlank="1" minDate="2022-09-28T00:00:00" maxDate="2025-09-11T00:00:00"/>
    </cacheField>
    <cacheField name="Actual Start Weekwise" numFmtId="0">
      <sharedItems containsBlank="1"/>
    </cacheField>
    <cacheField name="Standard Duration" numFmtId="0">
      <sharedItems containsString="0" containsBlank="1" containsNumber="1" containsInteger="1" minValue="0" maxValue="55"/>
    </cacheField>
    <cacheField name="Planned Finish Date" numFmtId="0">
      <sharedItems containsDate="1" containsBlank="1" containsMixedTypes="1" minDate="1899-12-30T00:00:00" maxDate="2025-10-02T00:00:00"/>
    </cacheField>
    <cacheField name="Planned Finish Weekwise Bucket" numFmtId="0">
      <sharedItems containsBlank="1"/>
    </cacheField>
    <cacheField name="Actual Finish Date" numFmtId="0">
      <sharedItems containsNonDate="0" containsDate="1" containsString="0" containsBlank="1" minDate="2022-11-26T00:00:00" maxDate="2025-09-07T00:00:00"/>
    </cacheField>
    <cacheField name="Actual Finish Weekwise Bucket" numFmtId="0">
      <sharedItems containsBlank="1"/>
    </cacheField>
    <cacheField name="Forecasted Finish Date" numFmtId="0">
      <sharedItems containsNonDate="0" containsDate="1" containsString="0" containsBlank="1" minDate="2024-01-29T00:00:00" maxDate="2025-09-06T00:00:00"/>
    </cacheField>
    <cacheField name="Forecasted Finish Weekwise" numFmtId="0">
      <sharedItems containsBlank="1"/>
    </cacheField>
    <cacheField name="Launched Date" numFmtId="0">
      <sharedItems containsDate="1" containsBlank="1" containsMixedTypes="1" minDate="2025-04-06T00:00:00" maxDate="2025-08-01T00:00:00"/>
    </cacheField>
    <cacheField name="Planned (Month) Bucket" numFmtId="0">
      <sharedItems containsBlank="1"/>
    </cacheField>
    <cacheField name="Actual (Month) Bucket" numFmtId="0">
      <sharedItems containsBlank="1"/>
    </cacheField>
    <cacheField name="EPC Status" numFmtId="0">
      <sharedItems containsBlank="1" count="12">
        <s v="On Hold"/>
        <s v="WIP"/>
        <s v="EPC Ready"/>
        <s v="Dropped"/>
        <s v="Budget Approved - RFC Awaited"/>
        <s v="Budget Submitted - Approval Awaited"/>
        <s v="SDR Done - ML Pending"/>
        <s v="EPC Ready Previous FY"/>
        <s v="NRFC"/>
        <s v="Design in Progress"/>
        <s v="SDR in Progress"/>
        <m/>
      </sharedItems>
    </cacheField>
    <cacheField name="Column1" numFmtId="0">
      <sharedItems containsBlank="1"/>
    </cacheField>
    <cacheField name="Column12" numFmtId="0">
      <sharedItems containsBlank="1"/>
    </cacheField>
    <cacheField name="% Completion" numFmtId="0">
      <sharedItems containsString="0" containsBlank="1" containsNumber="1" minValue="0.35" maxValue="0.5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77.736375578701" createdVersion="6" refreshedVersion="6" minRefreshableVersion="3" recordCount="149" xr:uid="{6C998A0D-503A-40BB-9C44-DE8C77811850}">
  <cacheSource type="worksheet">
    <worksheetSource ref="A1:AE449" sheet="Backup"/>
  </cacheSource>
  <cacheFields count="31">
    <cacheField name="Apex ID" numFmtId="0">
      <sharedItems containsBlank="1"/>
    </cacheField>
    <cacheField name="Sl. No." numFmtId="0">
      <sharedItems containsString="0" containsBlank="1" containsNumber="1" containsInteger="1" minValue="1" maxValue="147"/>
    </cacheField>
    <cacheField name="Business Format" numFmtId="0">
      <sharedItems containsBlank="1"/>
    </cacheField>
    <cacheField name="Format" numFmtId="0">
      <sharedItems containsBlank="1"/>
    </cacheField>
    <cacheField name="Sub Format" numFmtId="0">
      <sharedItems containsBlank="1" count="21">
        <s v="NSO 7-Eleven"/>
        <s v="Urban Ladder -SIS"/>
        <s v="NSO 7-Eleven-Dehire"/>
        <s v="JioMart digital"/>
        <s v="Urban Ladder - Refit"/>
        <s v="Additional Work-NETMED COCO"/>
        <s v="7-Eleven - Additional Work"/>
        <s v="Urban Ladder -Dehiring"/>
        <s v="Admin Office (Corporate Services)"/>
        <s v="Furniture - Mid Premium Store (UL)"/>
        <s v="Office-Dehire"/>
        <s v="7 Eleven in Smart Bazar"/>
        <s v="NETMED COCO"/>
        <s v="Pharma COCO Store (SP Fix Setup)"/>
        <m/>
        <s v="R&amp;D Lab" u="1"/>
        <s v="Urban Ladder -SIS- Dehiring" u="1"/>
        <s v="Beauty (TIRA)" u="1"/>
        <s v="Urban Ladder - COCO" u="1"/>
        <s v="Urban Ladder - Additional Works" u="1"/>
        <s v="Netmed" u="1"/>
      </sharedItems>
    </cacheField>
    <cacheField name="Site Type" numFmtId="0">
      <sharedItems containsBlank="1"/>
    </cacheField>
    <cacheField name="Zone" numFmtId="0">
      <sharedItems containsBlank="1"/>
    </cacheField>
    <cacheField name="ZH" numFmtId="0">
      <sharedItems containsBlank="1"/>
    </cacheField>
    <cacheField name="State" numFmtId="0">
      <sharedItems containsBlank="1"/>
    </cacheField>
    <cacheField name="Site Name" numFmtId="0">
      <sharedItems containsBlank="1"/>
    </cacheField>
    <cacheField name="City" numFmtId="0">
      <sharedItems containsBlank="1"/>
    </cacheField>
    <cacheField name="Area (Sqft)" numFmtId="0">
      <sharedItems containsString="0" containsBlank="1" containsNumber="1" minValue="120" maxValue="6000"/>
    </cacheField>
    <cacheField name="PD" numFmtId="0">
      <sharedItems containsBlank="1"/>
    </cacheField>
    <cacheField name="EIC" numFmtId="0">
      <sharedItems containsBlank="1"/>
    </cacheField>
    <cacheField name="RFC Date" numFmtId="0">
      <sharedItems containsNonDate="0" containsDate="1" containsString="0" containsBlank="1" minDate="2022-09-01T00:00:00" maxDate="2026-06-02T00:00:00"/>
    </cacheField>
    <cacheField name="RFC Weekwise Bucket" numFmtId="0">
      <sharedItems containsDate="1" containsBlank="1" containsMixedTypes="1" minDate="2026-05-13T00:00:00" maxDate="2026-05-14T00:00:00"/>
    </cacheField>
    <cacheField name="Actual Start Date" numFmtId="0">
      <sharedItems containsNonDate="0" containsDate="1" containsString="0" containsBlank="1" minDate="2024-03-26T00:00:00" maxDate="2026-06-02T00:00:00"/>
    </cacheField>
    <cacheField name="Actual Start Weekwise" numFmtId="0">
      <sharedItems containsBlank="1"/>
    </cacheField>
    <cacheField name="Standard Duration" numFmtId="0">
      <sharedItems containsString="0" containsBlank="1" containsNumber="1" containsInteger="1" minValue="0" maxValue="55"/>
    </cacheField>
    <cacheField name="Planned Finish Date" numFmtId="0">
      <sharedItems containsNonDate="0" containsDate="1" containsString="0" containsBlank="1" minDate="1899-12-30T00:00:00" maxDate="2026-06-10T00:00:00"/>
    </cacheField>
    <cacheField name="Planned Finish Weekwise Bucket" numFmtId="0">
      <sharedItems containsBlank="1"/>
    </cacheField>
    <cacheField name="Actual Finish Date" numFmtId="0">
      <sharedItems containsNonDate="0" containsDate="1" containsString="0" containsBlank="1" minDate="2026-04-09T00:00:00" maxDate="2026-06-03T00:00:00"/>
    </cacheField>
    <cacheField name="Actual Finish Weekwise Bucket" numFmtId="0">
      <sharedItems containsBlank="1"/>
    </cacheField>
    <cacheField name="Forecasted Finish Date" numFmtId="0">
      <sharedItems containsNonDate="0" containsDate="1" containsString="0" containsBlank="1" minDate="2024-03-30T00:00:00" maxDate="2026-05-31T00:00:00"/>
    </cacheField>
    <cacheField name="Forecasted Finish Weekwise" numFmtId="0">
      <sharedItems containsBlank="1"/>
    </cacheField>
    <cacheField name="Launched Date" numFmtId="0">
      <sharedItems containsDate="1" containsBlank="1" containsMixedTypes="1" minDate="2026-04-10T00:00:00" maxDate="2026-06-03T00:00:00"/>
    </cacheField>
    <cacheField name="Planned (Month) Bucket" numFmtId="0">
      <sharedItems containsBlank="1"/>
    </cacheField>
    <cacheField name="Actual (Month) Bucket" numFmtId="0">
      <sharedItems containsBlank="1"/>
    </cacheField>
    <cacheField name="EPC Status" numFmtId="0">
      <sharedItems containsBlank="1" count="15">
        <s v="EPC Ready"/>
        <s v="WIP"/>
        <s v="YTS"/>
        <s v="Budget Approved - RFC Awaited"/>
        <s v="On Hold"/>
        <s v="RFC Offered"/>
        <s v="Budget Submitted - Approval Awaited"/>
        <s v="ML Received - Design WIP"/>
        <s v="SDR Done - ML Pending"/>
        <s v="Dropped"/>
        <s v="SDR In Progress"/>
        <m/>
        <s v="NRFC" u="1"/>
        <s v="Design in Progress" u="1"/>
        <s v="EPC Ready Previous FY" u="1"/>
      </sharedItems>
    </cacheField>
    <cacheField name="Column12" numFmtId="0">
      <sharedItems containsBlank="1"/>
    </cacheField>
    <cacheField name="% Completion"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77.73663738426" createdVersion="6" refreshedVersion="6" minRefreshableVersion="3" recordCount="149" xr:uid="{5E145607-E8FC-4EBE-8C16-D52C2BE751F5}">
  <cacheSource type="worksheet">
    <worksheetSource ref="A1:AC1048576" sheet="Backup"/>
  </cacheSource>
  <cacheFields count="29">
    <cacheField name="Apex ID" numFmtId="0">
      <sharedItems containsBlank="1"/>
    </cacheField>
    <cacheField name="Sl. No." numFmtId="0">
      <sharedItems containsString="0" containsBlank="1" containsNumber="1" containsInteger="1" minValue="1" maxValue="147"/>
    </cacheField>
    <cacheField name="Business Format" numFmtId="0">
      <sharedItems containsBlank="1"/>
    </cacheField>
    <cacheField name="Format" numFmtId="0">
      <sharedItems containsBlank="1"/>
    </cacheField>
    <cacheField name="Sub Format" numFmtId="0">
      <sharedItems containsBlank="1"/>
    </cacheField>
    <cacheField name="Site Type" numFmtId="0">
      <sharedItems containsBlank="1"/>
    </cacheField>
    <cacheField name="Zone" numFmtId="0">
      <sharedItems containsBlank="1" count="7">
        <s v="West"/>
        <s v="South"/>
        <s v="North"/>
        <s v="East"/>
        <m/>
        <s v="W" u="1"/>
        <s v="S" u="1"/>
      </sharedItems>
    </cacheField>
    <cacheField name="ZH" numFmtId="0">
      <sharedItems containsBlank="1"/>
    </cacheField>
    <cacheField name="State" numFmtId="0">
      <sharedItems containsBlank="1"/>
    </cacheField>
    <cacheField name="Site Name" numFmtId="0">
      <sharedItems containsBlank="1"/>
    </cacheField>
    <cacheField name="City" numFmtId="0">
      <sharedItems containsBlank="1"/>
    </cacheField>
    <cacheField name="Area (Sqft)" numFmtId="0">
      <sharedItems containsString="0" containsBlank="1" containsNumber="1" minValue="120" maxValue="6000"/>
    </cacheField>
    <cacheField name="PD" numFmtId="0">
      <sharedItems containsBlank="1"/>
    </cacheField>
    <cacheField name="EIC" numFmtId="0">
      <sharedItems containsBlank="1"/>
    </cacheField>
    <cacheField name="RFC Date" numFmtId="0">
      <sharedItems containsNonDate="0" containsDate="1" containsString="0" containsBlank="1" minDate="2022-09-01T00:00:00" maxDate="2026-06-02T00:00:00"/>
    </cacheField>
    <cacheField name="RFC Weekwise Bucket" numFmtId="0">
      <sharedItems containsDate="1" containsBlank="1" containsMixedTypes="1" minDate="2026-05-13T00:00:00" maxDate="2026-05-14T00:00:00"/>
    </cacheField>
    <cacheField name="Actual Start Date" numFmtId="0">
      <sharedItems containsNonDate="0" containsDate="1" containsString="0" containsBlank="1" minDate="2024-03-26T00:00:00" maxDate="2026-06-02T00:00:00"/>
    </cacheField>
    <cacheField name="Actual Start Weekwise" numFmtId="0">
      <sharedItems containsBlank="1"/>
    </cacheField>
    <cacheField name="Standard Duration" numFmtId="0">
      <sharedItems containsString="0" containsBlank="1" containsNumber="1" containsInteger="1" minValue="0" maxValue="55"/>
    </cacheField>
    <cacheField name="Planned Finish Date" numFmtId="0">
      <sharedItems containsNonDate="0" containsDate="1" containsString="0" containsBlank="1" minDate="1899-12-30T00:00:00" maxDate="2026-06-10T00:00:00"/>
    </cacheField>
    <cacheField name="Planned Finish Weekwise Bucket" numFmtId="0">
      <sharedItems containsBlank="1"/>
    </cacheField>
    <cacheField name="Actual Finish Date" numFmtId="0">
      <sharedItems containsNonDate="0" containsDate="1" containsString="0" containsBlank="1" minDate="2026-04-09T00:00:00" maxDate="2026-06-03T00:00:00"/>
    </cacheField>
    <cacheField name="Actual Finish Weekwise Bucket" numFmtId="0">
      <sharedItems containsBlank="1"/>
    </cacheField>
    <cacheField name="Forecasted Finish Date" numFmtId="0">
      <sharedItems containsNonDate="0" containsDate="1" containsString="0" containsBlank="1" minDate="2024-03-30T00:00:00" maxDate="2026-05-31T00:00:00"/>
    </cacheField>
    <cacheField name="Forecasted Finish Weekwise" numFmtId="0">
      <sharedItems containsBlank="1"/>
    </cacheField>
    <cacheField name="Launched Date" numFmtId="0">
      <sharedItems containsDate="1" containsBlank="1" containsMixedTypes="1" minDate="2026-04-10T00:00:00" maxDate="2026-06-03T00:00:00"/>
    </cacheField>
    <cacheField name="Planned (Month) Bucket" numFmtId="0">
      <sharedItems containsBlank="1"/>
    </cacheField>
    <cacheField name="Actual (Month) Bucket" numFmtId="0">
      <sharedItems containsBlank="1"/>
    </cacheField>
    <cacheField name="EPC Status" numFmtId="0">
      <sharedItems containsBlank="1" count="13">
        <s v="EPC Ready"/>
        <s v="WIP"/>
        <s v="YTS"/>
        <s v="Budget Approved - RFC Awaited"/>
        <s v="On Hold"/>
        <s v="RFC Offered"/>
        <s v="Budget Submitted - Approval Awaited"/>
        <s v="ML Received - Design WIP"/>
        <s v="SDR Done - ML Pending"/>
        <s v="Dropped"/>
        <s v="SDR In Progress"/>
        <m/>
        <s v="EPC Ready Previous FY"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3">
  <r>
    <s v="SESBBK10620"/>
    <n v="1"/>
    <s v="E. Other Business"/>
    <s v="Other Business"/>
    <x v="0"/>
    <s v="NSO"/>
    <s v="West"/>
    <x v="0"/>
    <s v="Maharashtra"/>
    <s v="Metro Mall, Kalyan"/>
    <s v="Mumbai"/>
    <m/>
    <m/>
    <m/>
    <m/>
    <s v=""/>
    <m/>
    <s v=""/>
    <n v="35"/>
    <d v="1900-02-03T00:00:00"/>
    <s v=""/>
    <m/>
    <s v=""/>
    <m/>
    <s v=""/>
    <m/>
    <s v=" "/>
    <s v=" "/>
    <x v="0"/>
    <e v="#N/A"/>
    <s v="11. HOLD"/>
    <m/>
  </r>
  <r>
    <s v="SEVEBK10609"/>
    <n v="2"/>
    <s v="E. Other Business"/>
    <s v="Other Business"/>
    <x v="1"/>
    <s v="NSO"/>
    <s v="West"/>
    <x v="0"/>
    <s v="GUJARAT"/>
    <s v="Ashirwad High Street"/>
    <s v="Surat"/>
    <m/>
    <m/>
    <m/>
    <m/>
    <s v=""/>
    <m/>
    <s v=""/>
    <n v="35"/>
    <d v="1900-02-03T00:00:00"/>
    <s v=""/>
    <m/>
    <s v=""/>
    <m/>
    <s v=""/>
    <m/>
    <s v=" "/>
    <s v=" "/>
    <x v="0"/>
    <e v="#N/A"/>
    <s v="11. HOLD"/>
    <m/>
  </r>
  <r>
    <s v="SEVEBK10611"/>
    <n v="3"/>
    <s v="E. Other Business"/>
    <s v="Other Business"/>
    <x v="1"/>
    <s v="NSO"/>
    <s v="West"/>
    <x v="0"/>
    <s v="Maharashtra"/>
    <s v="Aum Supreme, Kalyan"/>
    <s v="Mumbai"/>
    <m/>
    <m/>
    <m/>
    <m/>
    <s v=""/>
    <m/>
    <s v=""/>
    <n v="35"/>
    <d v="1900-02-03T00:00:00"/>
    <s v=""/>
    <m/>
    <s v=""/>
    <m/>
    <s v=""/>
    <m/>
    <s v=" "/>
    <s v=" "/>
    <x v="0"/>
    <e v="#N/A"/>
    <s v="11. HOLD"/>
    <m/>
  </r>
  <r>
    <s v="SEVEBK10612"/>
    <n v="4"/>
    <s v="E. Other Business"/>
    <s v="Other Business"/>
    <x v="1"/>
    <s v="NSO"/>
    <s v="West"/>
    <x v="0"/>
    <s v="GUJARAT"/>
    <s v="Avadh Kontina"/>
    <s v="Surat"/>
    <m/>
    <m/>
    <m/>
    <m/>
    <s v=""/>
    <m/>
    <s v=""/>
    <n v="35"/>
    <d v="1900-02-03T00:00:00"/>
    <s v=""/>
    <m/>
    <s v=""/>
    <m/>
    <s v=""/>
    <m/>
    <s v=" "/>
    <s v=" "/>
    <x v="0"/>
    <e v="#N/A"/>
    <s v="11. HOLD"/>
    <m/>
  </r>
  <r>
    <s v="SEVEBK10628"/>
    <n v="5"/>
    <s v="E. Other Business"/>
    <s v="Other Business"/>
    <x v="1"/>
    <s v="NSO"/>
    <s v="West"/>
    <x v="0"/>
    <s v="Maharashtra"/>
    <s v="Marathon Future X"/>
    <s v="Mumbai"/>
    <m/>
    <m/>
    <m/>
    <m/>
    <s v=""/>
    <m/>
    <s v=""/>
    <n v="35"/>
    <d v="1900-02-03T00:00:00"/>
    <s v=""/>
    <m/>
    <s v=""/>
    <m/>
    <s v=""/>
    <m/>
    <s v=" "/>
    <s v=" "/>
    <x v="0"/>
    <e v="#N/A"/>
    <s v="11. HOLD"/>
    <m/>
  </r>
  <r>
    <s v="SEVEBK10629"/>
    <n v="6"/>
    <s v="E. Other Business"/>
    <s v="Other Business"/>
    <x v="1"/>
    <s v="NSO"/>
    <s v="West"/>
    <x v="0"/>
    <s v="Maharashtra"/>
    <s v="G Corp, Thane"/>
    <s v="Thane"/>
    <n v="180"/>
    <s v="7ICRMQY3T00"/>
    <s v="Hitesh Mhatre"/>
    <d v="2025-07-10T00:00:00"/>
    <s v="July 25 Week 2"/>
    <d v="2025-09-10T00:00:00"/>
    <s v="September 25 Week 2"/>
    <n v="21"/>
    <d v="2025-10-01T00:00:00"/>
    <s v="October 25 Week 1"/>
    <m/>
    <s v=""/>
    <m/>
    <s v=""/>
    <m/>
    <s v="OCTOBER 25 PLANNED"/>
    <s v=" "/>
    <x v="1"/>
    <s v="8. WIP"/>
    <s v="8. WIP"/>
    <n v="0.35"/>
  </r>
  <r>
    <s v="SEVEBK10630"/>
    <n v="7"/>
    <s v="E. Other Business"/>
    <s v="Other Business"/>
    <x v="1"/>
    <s v="NSO"/>
    <s v="West"/>
    <x v="0"/>
    <s v="Maharashtra"/>
    <s v="Adi Elementis"/>
    <s v="Pune"/>
    <m/>
    <m/>
    <m/>
    <m/>
    <s v=""/>
    <m/>
    <s v=""/>
    <n v="35"/>
    <d v="1900-02-03T00:00:00"/>
    <s v=""/>
    <m/>
    <s v=""/>
    <m/>
    <s v=""/>
    <m/>
    <s v=" "/>
    <s v=" "/>
    <x v="0"/>
    <e v="#N/A"/>
    <s v="11. HOLD"/>
    <m/>
  </r>
  <r>
    <s v="SEVEBK11344"/>
    <n v="8"/>
    <s v="E. Other Business"/>
    <s v="Other Business"/>
    <x v="1"/>
    <s v="NSO"/>
    <s v="West"/>
    <x v="0"/>
    <s v="Maharashtra"/>
    <s v="Capital Mall, Vasai"/>
    <s v="Mumbai"/>
    <n v="523"/>
    <m/>
    <m/>
    <m/>
    <s v=""/>
    <m/>
    <s v=""/>
    <n v="35"/>
    <d v="1900-02-03T00:00:00"/>
    <s v=""/>
    <m/>
    <s v=""/>
    <m/>
    <s v=""/>
    <m/>
    <s v=" "/>
    <s v=" "/>
    <x v="0"/>
    <e v="#N/A"/>
    <s v="11. HOLD"/>
    <m/>
  </r>
  <r>
    <s v="SEVEBK11345"/>
    <n v="9"/>
    <s v="E. Other Business"/>
    <s v="Other Business"/>
    <x v="1"/>
    <s v="NSO"/>
    <s v="West"/>
    <x v="0"/>
    <s v="Maharashtra"/>
    <s v="Times Square - Stall 1"/>
    <s v="Mumbai"/>
    <n v="251"/>
    <m/>
    <m/>
    <m/>
    <s v=""/>
    <m/>
    <s v=""/>
    <n v="35"/>
    <d v="1900-02-03T00:00:00"/>
    <s v=""/>
    <m/>
    <s v=""/>
    <m/>
    <s v=""/>
    <m/>
    <s v=" "/>
    <s v=" "/>
    <x v="0"/>
    <e v="#N/A"/>
    <s v="11. HOLD"/>
    <m/>
  </r>
  <r>
    <s v="SEVEBK11726"/>
    <n v="10"/>
    <s v="E. Other Business"/>
    <s v="Other Business"/>
    <x v="1"/>
    <s v="NSO"/>
    <s v="West"/>
    <x v="0"/>
    <s v="Maharashtra"/>
    <s v="Avance 2 Hinjewadi"/>
    <s v="Pune"/>
    <n v="184"/>
    <s v="7ICRMQX8K00"/>
    <s v="Dnyaneshwar Patil"/>
    <d v="2025-06-09T00:00:00"/>
    <m/>
    <d v="2025-06-13T00:00:00"/>
    <s v="June 25 Week 2"/>
    <n v="30"/>
    <d v="2025-07-13T00:00:00"/>
    <s v="July 25 Week 2"/>
    <d v="2025-07-14T00:00:00"/>
    <s v="July 25 Week 2"/>
    <d v="2025-07-14T00:00:00"/>
    <s v="July 25 Week 2"/>
    <d v="2025-07-18T00:00:00"/>
    <s v="JULY 25 PLANNED"/>
    <s v="JULY 25"/>
    <x v="2"/>
    <s v="10. Launched"/>
    <e v="#N/A"/>
    <m/>
  </r>
  <r>
    <s v="SEVEBK12184"/>
    <n v="11"/>
    <s v="E. Other Business"/>
    <s v="Other Business"/>
    <x v="1"/>
    <s v="NSO"/>
    <s v="West"/>
    <x v="0"/>
    <s v="Maharashtra"/>
    <s v="Akshar Business Park , Turbhe"/>
    <s v="Navi mumbai"/>
    <n v="197.4"/>
    <s v="7ICRMQY8K00"/>
    <s v="Dharmendra Mhatre "/>
    <d v="2025-08-25T00:00:00"/>
    <s v="August 25 Week 4"/>
    <d v="2025-09-01T00:00:00"/>
    <s v="September 25 Week 1"/>
    <n v="30"/>
    <d v="2025-10-01T00:00:00"/>
    <s v="October 25 Week 1"/>
    <m/>
    <s v=""/>
    <m/>
    <s v=""/>
    <m/>
    <s v="OCTOBER 25 PLANNED"/>
    <s v=" "/>
    <x v="1"/>
    <s v="8. WIP"/>
    <s v="8. WIP"/>
    <n v="0.52"/>
  </r>
  <r>
    <s v="SEVEBK12126"/>
    <n v="12"/>
    <s v="E. Other Business"/>
    <s v="Other Business"/>
    <x v="1"/>
    <s v="NSO"/>
    <s v="West"/>
    <x v="0"/>
    <s v="Maharashtra"/>
    <s v="Kiosk-HN Reliance Hospital ,Charni Road 1"/>
    <s v="Mumbai"/>
    <m/>
    <m/>
    <m/>
    <m/>
    <s v=""/>
    <m/>
    <s v=""/>
    <m/>
    <d v="1899-12-30T00:00:00"/>
    <s v=""/>
    <m/>
    <s v=""/>
    <m/>
    <s v=""/>
    <m/>
    <s v=" "/>
    <s v=" "/>
    <x v="3"/>
    <e v="#N/A"/>
    <s v="14. Dropped"/>
    <m/>
  </r>
  <r>
    <s v="SEVEBK12127"/>
    <n v="13"/>
    <s v="E. Other Business"/>
    <s v="Other Business"/>
    <x v="1"/>
    <s v="NSO"/>
    <s v="West"/>
    <x v="0"/>
    <s v="Maharashtra"/>
    <s v="Kiosk-HN Reliance Hospital ,Charni Road 2"/>
    <s v="Mumbai"/>
    <m/>
    <m/>
    <m/>
    <m/>
    <s v=""/>
    <m/>
    <s v=""/>
    <m/>
    <d v="1899-12-30T00:00:00"/>
    <s v=""/>
    <m/>
    <s v=""/>
    <m/>
    <s v=""/>
    <m/>
    <s v=" "/>
    <s v=" "/>
    <x v="3"/>
    <e v="#N/A"/>
    <s v="14. Dropped"/>
    <m/>
  </r>
  <r>
    <s v="SEVEBK12643"/>
    <n v="14"/>
    <s v="E. Other Business"/>
    <s v="Other Business"/>
    <x v="1"/>
    <s v="NSO"/>
    <s v="West"/>
    <x v="0"/>
    <s v="Maharashtra"/>
    <s v="Kiosk-Embassy Qubix, Hinjewadi "/>
    <s v="Pune"/>
    <m/>
    <m/>
    <m/>
    <m/>
    <s v=""/>
    <m/>
    <s v=""/>
    <m/>
    <d v="1899-12-30T00:00:00"/>
    <s v=""/>
    <m/>
    <s v=""/>
    <m/>
    <s v=""/>
    <m/>
    <s v=" "/>
    <s v=" "/>
    <x v="4"/>
    <e v="#N/A"/>
    <s v="5. Budget approved RFC awaited"/>
    <m/>
  </r>
  <r>
    <s v="SEVEBK12857"/>
    <n v="15"/>
    <s v="E. Other Business"/>
    <s v="Other Business"/>
    <x v="1"/>
    <s v="NSO"/>
    <s v="West"/>
    <x v="0"/>
    <s v="Maharashtra"/>
    <s v="Kiosk-Pancheel Tech Park 1 -Yerwada, Pune"/>
    <s v="Pune"/>
    <m/>
    <m/>
    <m/>
    <m/>
    <s v=""/>
    <m/>
    <s v=""/>
    <m/>
    <d v="1899-12-30T00:00:00"/>
    <s v=""/>
    <m/>
    <s v=""/>
    <m/>
    <s v=""/>
    <m/>
    <s v=" "/>
    <s v=" "/>
    <x v="3"/>
    <e v="#N/A"/>
    <s v="14. Dropped"/>
    <m/>
  </r>
  <r>
    <s v="SEVEBK12858"/>
    <n v="16"/>
    <s v="E. Other Business"/>
    <s v="Other Business"/>
    <x v="1"/>
    <s v="NSO"/>
    <s v="West"/>
    <x v="0"/>
    <s v="Maharashtra"/>
    <s v="Kiosk-Avanche 1, Hinjewadi"/>
    <s v="Pune"/>
    <m/>
    <m/>
    <m/>
    <m/>
    <s v=""/>
    <m/>
    <s v=""/>
    <m/>
    <d v="1899-12-30T00:00:00"/>
    <s v=""/>
    <m/>
    <s v=""/>
    <m/>
    <s v=""/>
    <m/>
    <s v=" "/>
    <s v=" "/>
    <x v="4"/>
    <e v="#N/A"/>
    <s v="5. Budget approved RFC awaited"/>
    <m/>
  </r>
  <r>
    <s v="SEVEBK12989"/>
    <n v="17"/>
    <s v="E. Other Business"/>
    <s v="Other Business"/>
    <x v="1"/>
    <s v="NSO"/>
    <s v="West"/>
    <x v="0"/>
    <s v="Maharashtra"/>
    <s v="Kiosk-Wakefield IT Park "/>
    <s v="Pune"/>
    <m/>
    <m/>
    <m/>
    <m/>
    <s v=""/>
    <m/>
    <s v=""/>
    <m/>
    <d v="1899-12-30T00:00:00"/>
    <s v=""/>
    <m/>
    <s v=""/>
    <m/>
    <s v=""/>
    <m/>
    <s v=" "/>
    <s v=" "/>
    <x v="3"/>
    <e v="#N/A"/>
    <s v="14. Dropped"/>
    <m/>
  </r>
  <r>
    <s v="SEVEBK12990"/>
    <n v="18"/>
    <s v="E. Other Business"/>
    <s v="Other Business"/>
    <x v="1"/>
    <s v="NSO"/>
    <s v="West"/>
    <x v="0"/>
    <s v="Maharashtra"/>
    <s v="Kiosk-Panchshil Tech park One Yerwada Pune"/>
    <s v="Pune"/>
    <n v="120"/>
    <s v="7ICRMQY6A00"/>
    <s v="Sh Prajot Achler"/>
    <d v="2025-08-06T00:00:00"/>
    <s v="August 25 Week 1"/>
    <d v="2025-08-09T00:00:00"/>
    <s v="August 25 Week 2"/>
    <n v="21"/>
    <d v="2025-08-30T00:00:00"/>
    <s v="August 25 Week 5"/>
    <d v="2025-09-06T00:00:00"/>
    <s v="September 25 Week 1"/>
    <d v="2025-09-05T00:00:00"/>
    <s v="September 25 Week 1"/>
    <m/>
    <s v="AUGUST 25 PLANNED"/>
    <s v="SEPTEMBER 25"/>
    <x v="2"/>
    <s v="10. Launched"/>
    <s v="10. Launched"/>
    <m/>
  </r>
  <r>
    <s v="SEVEBK13378"/>
    <n v="19"/>
    <s v="E. Other Business"/>
    <s v="Other Business"/>
    <x v="1"/>
    <s v="NSO"/>
    <s v="West"/>
    <x v="0"/>
    <s v="Maharashtra"/>
    <s v="Kiosk Aurum ,Ghansoli- Navi Mumbai"/>
    <s v="Mumbai"/>
    <m/>
    <m/>
    <m/>
    <m/>
    <s v=""/>
    <m/>
    <s v=""/>
    <m/>
    <d v="1899-12-30T00:00:00"/>
    <s v=""/>
    <m/>
    <s v=""/>
    <m/>
    <s v=""/>
    <m/>
    <s v=" "/>
    <s v=" "/>
    <x v="4"/>
    <e v="#N/A"/>
    <s v="5. Budget approved RFC awaited"/>
    <m/>
  </r>
  <r>
    <s v="SEVEBK13379"/>
    <n v="20"/>
    <s v="E. Other Business"/>
    <s v="Other Business"/>
    <x v="1"/>
    <s v="NSO"/>
    <s v="West"/>
    <x v="0"/>
    <s v="Maharashtra"/>
    <s v="Mumbai Metro Stations -Line 1 -Versova"/>
    <s v="Mumbai"/>
    <n v="120"/>
    <m/>
    <m/>
    <m/>
    <s v=""/>
    <m/>
    <s v=""/>
    <m/>
    <d v="1899-12-30T00:00:00"/>
    <s v=""/>
    <m/>
    <s v=""/>
    <m/>
    <s v=""/>
    <m/>
    <s v=" "/>
    <s v=" "/>
    <x v="4"/>
    <e v="#N/A"/>
    <s v="5. Budget approved RFC awaited"/>
    <m/>
  </r>
  <r>
    <s v="SEVEBK13380"/>
    <n v="21"/>
    <s v="E. Other Business"/>
    <s v="Other Business"/>
    <x v="1"/>
    <s v="NSO"/>
    <s v="West"/>
    <x v="0"/>
    <s v="Maharashtra"/>
    <s v="Mumbai Metro Stations -Line 1-DN Nagar"/>
    <s v="Mumbai"/>
    <n v="120"/>
    <m/>
    <m/>
    <m/>
    <s v=""/>
    <m/>
    <s v=""/>
    <m/>
    <d v="1899-12-30T00:00:00"/>
    <s v=""/>
    <m/>
    <s v=""/>
    <m/>
    <s v=""/>
    <m/>
    <s v=" "/>
    <s v=" "/>
    <x v="4"/>
    <e v="#N/A"/>
    <s v="5. Budget approved RFC awaited"/>
    <m/>
  </r>
  <r>
    <s v="SEVEBK13381"/>
    <n v="22"/>
    <s v="E. Other Business"/>
    <s v="Other Business"/>
    <x v="1"/>
    <s v="NSO"/>
    <s v="West"/>
    <x v="0"/>
    <s v="Maharashtra"/>
    <s v="Mumbai Metro Stations -Line 1 -Azad Nagar"/>
    <s v="Mumbai"/>
    <n v="120"/>
    <m/>
    <m/>
    <m/>
    <s v=""/>
    <m/>
    <s v=""/>
    <m/>
    <d v="1899-12-30T00:00:00"/>
    <s v=""/>
    <m/>
    <s v=""/>
    <m/>
    <s v=""/>
    <m/>
    <s v=" "/>
    <s v=" "/>
    <x v="4"/>
    <e v="#N/A"/>
    <s v="5. Budget approved RFC awaited"/>
    <m/>
  </r>
  <r>
    <s v="SEVEBK13382"/>
    <n v="23"/>
    <s v="E. Other Business"/>
    <s v="Other Business"/>
    <x v="1"/>
    <s v="NSO"/>
    <s v="West"/>
    <x v="0"/>
    <s v="Maharashtra"/>
    <s v="Mumbai Metro Stations -Line 1-Marol Naka"/>
    <s v="Mumbai"/>
    <n v="120"/>
    <m/>
    <m/>
    <m/>
    <s v=""/>
    <m/>
    <s v=""/>
    <m/>
    <d v="1899-12-30T00:00:00"/>
    <s v=""/>
    <m/>
    <s v=""/>
    <m/>
    <s v=""/>
    <m/>
    <s v=" "/>
    <s v=" "/>
    <x v="4"/>
    <e v="#N/A"/>
    <s v="5. Budget approved RFC awaited"/>
    <m/>
  </r>
  <r>
    <s v="SEVEBK13433"/>
    <n v="24"/>
    <s v="E. Other Business"/>
    <s v="Other Business"/>
    <x v="1"/>
    <s v="NSO"/>
    <s v="West"/>
    <x v="0"/>
    <s v="Maharashtra"/>
    <s v="Kiosk One BKC, Mumbai"/>
    <s v="Mumbai"/>
    <m/>
    <m/>
    <m/>
    <m/>
    <s v=""/>
    <m/>
    <s v=""/>
    <m/>
    <d v="1899-12-30T00:00:00"/>
    <s v=""/>
    <m/>
    <s v=""/>
    <m/>
    <s v=""/>
    <m/>
    <s v=" "/>
    <s v=" "/>
    <x v="3"/>
    <e v="#N/A"/>
    <s v="14. Dropped"/>
    <m/>
  </r>
  <r>
    <s v="SEVEBK12642"/>
    <n v="25"/>
    <s v="E. Other Business"/>
    <s v="Other Business"/>
    <x v="1"/>
    <s v="NSO"/>
    <s v="West"/>
    <x v="0"/>
    <s v="Maharashtra"/>
    <s v="Kiosk-Solitaire Business Hub ,Viman Nagar 2"/>
    <s v="Pune"/>
    <m/>
    <m/>
    <m/>
    <m/>
    <s v=""/>
    <m/>
    <s v=""/>
    <m/>
    <d v="1899-12-30T00:00:00"/>
    <s v=""/>
    <m/>
    <s v=""/>
    <m/>
    <s v=""/>
    <m/>
    <s v=" "/>
    <s v=" "/>
    <x v="3"/>
    <e v="#N/A"/>
    <s v="14. Dropped"/>
    <m/>
  </r>
  <r>
    <s v="SEVEBK11739"/>
    <n v="26"/>
    <s v="E. Other Business"/>
    <s v="Other Business"/>
    <x v="1"/>
    <s v="NSO"/>
    <s v="West"/>
    <x v="0"/>
    <s v="Maharashtra"/>
    <s v="Kiosk - Kanakia Zillion ,Kurla "/>
    <s v="Mumbai"/>
    <n v="160"/>
    <s v="7ICRMQW9G00"/>
    <s v="Sunil Grandhe"/>
    <m/>
    <s v=""/>
    <d v="2025-05-05T00:00:00"/>
    <s v="May 25 Week 1"/>
    <n v="15"/>
    <d v="2025-05-20T00:00:00"/>
    <s v="May 25 Week 3"/>
    <d v="2025-05-18T00:00:00"/>
    <s v="May 25 Week 3"/>
    <d v="2025-05-20T00:00:00"/>
    <s v="May 25 Week 3"/>
    <d v="2025-05-21T00:00:00"/>
    <s v="MAY 25 PLANNED"/>
    <s v="MAY 25"/>
    <x v="2"/>
    <s v="10. Launched"/>
    <e v="#N/A"/>
    <m/>
  </r>
  <r>
    <s v="SEVEBK10532"/>
    <n v="27"/>
    <s v="E. Other Business"/>
    <s v="Other Business"/>
    <x v="1"/>
    <s v="NSO"/>
    <s v="West"/>
    <x v="0"/>
    <s v="Maharashtra"/>
    <s v="Shop no - 1, Mindspace (East), Airoli"/>
    <s v="Navi mumbai"/>
    <n v="747"/>
    <s v="7ICRMQV7O00"/>
    <m/>
    <m/>
    <s v=""/>
    <d v="2025-04-18T00:00:00"/>
    <s v="April 25 Week 3"/>
    <n v="35"/>
    <d v="2025-05-23T00:00:00"/>
    <s v="May 25 Week 4"/>
    <d v="2025-06-18T00:00:00"/>
    <s v="June 25 Week 3"/>
    <d v="2025-05-23T00:00:00"/>
    <s v="May 25 Week 4"/>
    <d v="2025-07-11T00:00:00"/>
    <s v="MAY 25 PLANNED"/>
    <s v="JUNE 25"/>
    <x v="2"/>
    <s v="10. Launched"/>
    <s v="10. Launched"/>
    <m/>
  </r>
  <r>
    <s v="SEVEBK13812"/>
    <n v="28"/>
    <s v="E. Other Business"/>
    <s v="Other Business"/>
    <x v="1"/>
    <s v="NSO"/>
    <s v="West"/>
    <x v="0"/>
    <s v="Maharashtra"/>
    <s v="Kiosk 247 Embassy, Vikhroli, Mumbai-1"/>
    <s v="Mumbai"/>
    <m/>
    <m/>
    <m/>
    <m/>
    <s v=""/>
    <m/>
    <s v=""/>
    <m/>
    <d v="1899-12-30T00:00:00"/>
    <s v=""/>
    <m/>
    <s v=""/>
    <m/>
    <s v=""/>
    <m/>
    <s v=" "/>
    <s v=" "/>
    <x v="5"/>
    <e v="#N/A"/>
    <s v="4. Budget Approval Pending"/>
    <m/>
  </r>
  <r>
    <s v="PHCOAS13747"/>
    <n v="29"/>
    <s v="D. Pharma Format"/>
    <s v="Pharma Format"/>
    <x v="2"/>
    <s v="Additional Work"/>
    <s v="South"/>
    <x v="1"/>
    <s v="Karnataka"/>
    <s v="Uttarahalli -Kengeri Road -Channasandra "/>
    <s v="Bangalore"/>
    <n v="1409"/>
    <m/>
    <m/>
    <m/>
    <s v=""/>
    <d v="2025-05-13T00:00:00"/>
    <s v="May 25 Week 2"/>
    <n v="7"/>
    <d v="2025-05-20T00:00:00"/>
    <s v="May 25 Week 3"/>
    <d v="2025-05-13T00:00:00"/>
    <s v="May 25 Week 2"/>
    <m/>
    <s v=""/>
    <d v="2025-05-01T00:00:00"/>
    <s v="MAY 25 PLANNED"/>
    <s v="MAY 25"/>
    <x v="2"/>
    <e v="#N/A"/>
    <s v="10. Launched"/>
    <m/>
  </r>
  <r>
    <s v="ADOFRT10637"/>
    <n v="30"/>
    <s v="K. Other Office Infrastructure"/>
    <s v="Office"/>
    <x v="3"/>
    <s v="NSO"/>
    <s v="North"/>
    <x v="2"/>
    <s v="Delhi &amp; NCR"/>
    <s v="Okhla Office"/>
    <s v="Delhi"/>
    <m/>
    <m/>
    <m/>
    <m/>
    <s v=""/>
    <m/>
    <s v=""/>
    <n v="55"/>
    <s v=" "/>
    <s v=""/>
    <m/>
    <s v=""/>
    <m/>
    <s v=""/>
    <m/>
    <s v=" "/>
    <s v=" "/>
    <x v="6"/>
    <e v="#N/A"/>
    <s v="2. ML Awaited"/>
    <m/>
  </r>
  <r>
    <s v="ADOFRT12644"/>
    <n v="31"/>
    <s v="K. Other Office Infrastructure"/>
    <s v="Office"/>
    <x v="3"/>
    <s v="NSO"/>
    <s v="North"/>
    <x v="2"/>
    <s v="Delhi NCR"/>
    <s v="7th floor (Prakshdeep Building )"/>
    <s v="Delhi"/>
    <m/>
    <m/>
    <m/>
    <m/>
    <s v=""/>
    <m/>
    <s v=""/>
    <m/>
    <d v="1899-12-30T00:00:00"/>
    <s v=""/>
    <m/>
    <s v=""/>
    <m/>
    <s v=""/>
    <m/>
    <s v=" "/>
    <s v=" "/>
    <x v="5"/>
    <e v="#N/A"/>
    <s v="4. Budget Approval Pending"/>
    <m/>
  </r>
  <r>
    <s v="ADOFAS10639"/>
    <n v="32"/>
    <s v="K. Other Office Infrastructure"/>
    <s v="Office"/>
    <x v="3"/>
    <s v="NSO"/>
    <s v="South"/>
    <x v="1"/>
    <s v="Karnataka"/>
    <s v="IBC Knowledge Park-Tower B_x000a_1st, 3rd &amp; 7th Floor"/>
    <s v="Bangalore"/>
    <m/>
    <m/>
    <m/>
    <m/>
    <s v=""/>
    <m/>
    <s v=""/>
    <n v="55"/>
    <s v=" "/>
    <s v=""/>
    <m/>
    <s v=""/>
    <m/>
    <s v=""/>
    <m/>
    <s v=" "/>
    <s v=" "/>
    <x v="0"/>
    <e v="#N/A"/>
    <s v="11. HOLD"/>
    <m/>
  </r>
  <r>
    <s v="ADOFAS10640"/>
    <n v="33"/>
    <s v="K. Other Office Infrastructure"/>
    <s v="Office"/>
    <x v="3"/>
    <s v="NSO"/>
    <s v="South"/>
    <x v="1"/>
    <s v="Karnataka"/>
    <s v="IBC Knowledge Park Tower A - 5th"/>
    <s v="Bangalore"/>
    <m/>
    <m/>
    <m/>
    <m/>
    <s v=""/>
    <m/>
    <s v=""/>
    <n v="55"/>
    <s v=" "/>
    <s v=""/>
    <m/>
    <s v=""/>
    <m/>
    <s v=""/>
    <m/>
    <s v=" "/>
    <s v=" "/>
    <x v="0"/>
    <e v="#N/A"/>
    <s v="11. HOLD"/>
    <m/>
  </r>
  <r>
    <s v="ADOFAS11458"/>
    <n v="34"/>
    <s v="K. Other Office Infrastructure"/>
    <s v="Office"/>
    <x v="3"/>
    <s v="NSO"/>
    <s v="South"/>
    <x v="1"/>
    <s v="Karnataka"/>
    <s v="Ajio Studio"/>
    <s v="Bangalore"/>
    <m/>
    <m/>
    <m/>
    <m/>
    <s v=""/>
    <m/>
    <s v=""/>
    <m/>
    <d v="1899-12-30T00:00:00"/>
    <s v=""/>
    <m/>
    <s v=""/>
    <m/>
    <s v=""/>
    <m/>
    <s v=" "/>
    <s v=" "/>
    <x v="5"/>
    <e v="#N/A"/>
    <s v="4. Budget Approval Pending"/>
    <m/>
  </r>
  <r>
    <s v="ADOFBK11498"/>
    <n v="35"/>
    <s v="K. Other Office Infrastructure"/>
    <s v="Office"/>
    <x v="3"/>
    <s v="NSO"/>
    <s v="West"/>
    <x v="0"/>
    <s v="Maharashtra"/>
    <s v="ONYX, Koregaon Park, Pune"/>
    <s v="Pune"/>
    <m/>
    <m/>
    <m/>
    <m/>
    <s v=""/>
    <m/>
    <s v=""/>
    <m/>
    <d v="1899-12-30T00:00:00"/>
    <s v=""/>
    <m/>
    <s v=""/>
    <m/>
    <s v=""/>
    <m/>
    <s v=" "/>
    <s v=" "/>
    <x v="0"/>
    <e v="#N/A"/>
    <s v="2. ML Awaited"/>
    <m/>
  </r>
  <r>
    <s v="ADOFRT10638"/>
    <n v="36"/>
    <s v="K. Other Office Infrastructure"/>
    <s v="Office"/>
    <x v="3"/>
    <s v="NSO"/>
    <s v="North"/>
    <x v="2"/>
    <s v="Delhi &amp; NCR"/>
    <s v="CBD Shahadra"/>
    <s v="Delhi"/>
    <m/>
    <m/>
    <m/>
    <m/>
    <s v=""/>
    <m/>
    <s v=""/>
    <n v="55"/>
    <s v=" "/>
    <s v=""/>
    <m/>
    <s v=""/>
    <m/>
    <s v=""/>
    <m/>
    <s v=" "/>
    <s v=" "/>
    <x v="5"/>
    <e v="#N/A"/>
    <s v="4. Budget Approval Pending"/>
    <m/>
  </r>
  <r>
    <s v="ADOFAS11354"/>
    <n v="37"/>
    <s v="K. Other Office Infrastructure"/>
    <s v="Office"/>
    <x v="3"/>
    <s v="Additional Work"/>
    <s v="South"/>
    <x v="1"/>
    <s v="Karnataka"/>
    <s v="IBC Knowledge Park-Category room- Tower D Additional Work"/>
    <s v="Bangalore"/>
    <m/>
    <s v="DCDCKQ5EU00 "/>
    <m/>
    <m/>
    <s v=""/>
    <m/>
    <s v=""/>
    <m/>
    <d v="1899-12-30T00:00:00"/>
    <s v=""/>
    <m/>
    <s v=""/>
    <m/>
    <s v=""/>
    <m/>
    <s v=" "/>
    <s v=" "/>
    <x v="5"/>
    <s v="10. Launched"/>
    <s v="4. Budget Approval Pending"/>
    <m/>
  </r>
  <r>
    <s v="ADOFAS11743"/>
    <n v="38"/>
    <s v="K. Other Office Infrastructure"/>
    <s v="Office"/>
    <x v="3"/>
    <s v="NSO"/>
    <s v="South"/>
    <x v="1"/>
    <s v="Karnataka"/>
    <s v="Performax Category room – At IBC Tower B, 4th Floor"/>
    <s v="Bangalore"/>
    <n v="862"/>
    <m/>
    <m/>
    <m/>
    <s v=""/>
    <m/>
    <s v=""/>
    <m/>
    <d v="1899-12-30T00:00:00"/>
    <s v=""/>
    <m/>
    <s v=""/>
    <m/>
    <s v=""/>
    <m/>
    <s v=" "/>
    <s v=" "/>
    <x v="5"/>
    <e v="#N/A"/>
    <s v="4. Budget Approval Pending"/>
    <m/>
  </r>
  <r>
    <s v="ADOFAS11695"/>
    <n v="39"/>
    <s v="K. Other Office Infrastructure"/>
    <s v="Office"/>
    <x v="3"/>
    <s v="NSO"/>
    <s v="South"/>
    <x v="1"/>
    <s v="Karnataka"/>
    <s v="IBC- Amante Category Room-Tower A-6F"/>
    <s v="Bangalore"/>
    <n v="315"/>
    <s v="DCDCKQ5EV01 "/>
    <s v="Dileep S P"/>
    <m/>
    <s v=""/>
    <d v="2025-05-21T00:00:00"/>
    <s v="May 25 Week 3"/>
    <n v="15"/>
    <d v="2025-06-05T00:00:00"/>
    <s v="June 25 Week 1"/>
    <d v="2025-06-20T00:00:00"/>
    <s v="June 25 Week 3"/>
    <m/>
    <s v=""/>
    <d v="2025-06-27T00:00:00"/>
    <s v="JUNE 25 PLANNED"/>
    <s v="JUNE 25"/>
    <x v="2"/>
    <s v="10. Launched"/>
    <s v="10. Launched"/>
    <m/>
  </r>
  <r>
    <s v="BETIBK11401"/>
    <n v="40"/>
    <s v="B. Fashion &amp; Lifestyle"/>
    <s v="Other Fashion &amp; Lifestyle Formats"/>
    <x v="4"/>
    <s v="NSO"/>
    <s v="West"/>
    <x v="0"/>
    <s v="GMU"/>
    <s v="Sky City Mall, Borivali"/>
    <s v="Mumbai"/>
    <n v="3090"/>
    <s v="TIRAMQS0F00"/>
    <s v="Abhijit Patil"/>
    <d v="2024-10-03T00:00:00"/>
    <s v="October 24 Week 1"/>
    <d v="2024-12-09T00:00:00"/>
    <s v="December 24 Week 2"/>
    <n v="35"/>
    <d v="2025-01-13T00:00:00"/>
    <s v="January 25 Week 2"/>
    <d v="2025-03-22T00:00:00"/>
    <s v="March 25 Week 4"/>
    <d v="2025-03-20T00:00:00"/>
    <s v="March 25 Week 3"/>
    <d v="2025-04-25T00:00:00"/>
    <s v=" "/>
    <s v=" "/>
    <x v="7"/>
    <s v="10. Launched"/>
    <s v="10. Launched"/>
    <m/>
  </r>
  <r>
    <s v="MIDHBK11367"/>
    <n v="41"/>
    <s v="E. Other Business"/>
    <s v="Other Business"/>
    <x v="5"/>
    <s v="Dehire"/>
    <s v="West"/>
    <x v="0"/>
    <s v="Maharashtra"/>
    <s v="Bhagwati Greens"/>
    <s v="Mumbai"/>
    <n v="3051"/>
    <m/>
    <m/>
    <m/>
    <s v=""/>
    <m/>
    <s v=""/>
    <m/>
    <d v="1899-12-30T00:00:00"/>
    <s v=""/>
    <m/>
    <s v=""/>
    <m/>
    <s v=""/>
    <m/>
    <s v=" "/>
    <s v=" "/>
    <x v="8"/>
    <e v="#N/A"/>
    <s v="10. Launched"/>
    <m/>
  </r>
  <r>
    <s v="FLDHBK11565"/>
    <n v="42"/>
    <s v="E. Other Business"/>
    <s v="Other Business"/>
    <x v="5"/>
    <s v="Dehire"/>
    <s v="West"/>
    <x v="0"/>
    <s v="Maharashtra"/>
    <s v="PMC Kurla"/>
    <s v="Mumbai"/>
    <n v="6675.94"/>
    <s v="URLAMQFOL00"/>
    <m/>
    <m/>
    <s v=""/>
    <m/>
    <s v=""/>
    <m/>
    <d v="1899-12-30T00:00:00"/>
    <s v=""/>
    <m/>
    <s v=""/>
    <m/>
    <s v=""/>
    <m/>
    <s v=" "/>
    <s v=" "/>
    <x v="3"/>
    <s v="14. Dropped"/>
    <s v="14. Dropped"/>
    <m/>
  </r>
  <r>
    <s v="ADOFAS13801"/>
    <n v="43"/>
    <s v="K. Other Office Infrastructure"/>
    <s v="Office"/>
    <x v="3"/>
    <s v="NSO"/>
    <s v="S"/>
    <x v="1"/>
    <s v="Karnataka"/>
    <s v="IBC Knowledge Park-Category room  (A 1st Floor &amp; 3rd Floor, Tower B 4th Floor)- additional Fixture requirement "/>
    <s v="Bangalore"/>
    <n v="1928"/>
    <s v="DCDCKQ5EV01"/>
    <s v="Vilventhiran G "/>
    <m/>
    <s v=""/>
    <d v="2025-05-04T00:00:00"/>
    <s v="May 25 Week 1"/>
    <n v="7"/>
    <d v="2025-05-11T00:00:00"/>
    <s v="May 25 Week 2"/>
    <d v="2025-05-10T00:00:00"/>
    <s v="May 25 Week 2"/>
    <m/>
    <s v=""/>
    <d v="2025-05-15T00:00:00"/>
    <s v="MAY 25 PLANNED"/>
    <s v="MAY 25"/>
    <x v="2"/>
    <s v="10. Launched"/>
    <s v="10. Launched"/>
    <m/>
  </r>
  <r>
    <s v="JIDGAK13681"/>
    <n v="44"/>
    <s v="E. Other Business"/>
    <s v="Other Business"/>
    <x v="6"/>
    <s v="NSO"/>
    <s v="East"/>
    <x v="3"/>
    <s v="West Bengal"/>
    <s v="S.K.DIGITAL"/>
    <s v="Jalpaiguri"/>
    <n v="1000"/>
    <s v="JMDWB000601"/>
    <m/>
    <d v="2025-04-05T00:00:00"/>
    <s v="April 25 Week 1"/>
    <d v="2025-04-05T00:00:00"/>
    <s v="April 25 Week 1"/>
    <n v="7"/>
    <d v="2025-04-12T00:00:00"/>
    <s v="April 25 Week 2"/>
    <d v="2025-04-06T00:00:00"/>
    <s v="April 25 Week 1"/>
    <m/>
    <s v=""/>
    <d v="2025-04-06T00:00:00"/>
    <s v="APRIL 25 PLANNED"/>
    <s v="APRIL 25"/>
    <x v="2"/>
    <e v="#N/A"/>
    <e v="#N/A"/>
    <m/>
  </r>
  <r>
    <s v="JIDGKC13749"/>
    <n v="45"/>
    <s v="E. Other Business"/>
    <s v="Other Business"/>
    <x v="6"/>
    <s v="NSO"/>
    <s v="North"/>
    <x v="4"/>
    <s v="Rajasthan"/>
    <s v="SHAH ELECTRONICS"/>
    <s v="Banswara"/>
    <n v="2418"/>
    <s v="JMDRJ000597"/>
    <m/>
    <d v="2025-04-22T00:00:00"/>
    <s v="April 25 Week 4"/>
    <d v="2025-04-22T00:00:00"/>
    <s v="April 25 Week 4"/>
    <n v="7"/>
    <d v="2025-04-29T00:00:00"/>
    <s v="April 25 Week 5"/>
    <d v="2025-04-24T00:00:00"/>
    <s v="April 25 Week 4"/>
    <m/>
    <s v=""/>
    <d v="2025-04-24T00:00:00"/>
    <s v="APRIL 25 PLANNED"/>
    <s v="APRIL 25"/>
    <x v="2"/>
    <e v="#N/A"/>
    <e v="#N/A"/>
    <m/>
  </r>
  <r>
    <s v="JIDGAK13748"/>
    <n v="46"/>
    <s v="E. Other Business"/>
    <s v="Other Business"/>
    <x v="6"/>
    <s v="NSO"/>
    <s v="East"/>
    <x v="3"/>
    <s v="West Bengal"/>
    <s v="DIGITAL MART"/>
    <s v="Darjeeling"/>
    <n v="780"/>
    <s v="JMDWB000602"/>
    <m/>
    <d v="2025-04-21T00:00:00"/>
    <s v="April 25 Week 3"/>
    <d v="2025-04-21T00:00:00"/>
    <s v="April 25 Week 3"/>
    <n v="7"/>
    <d v="2025-04-28T00:00:00"/>
    <s v="April 25 Week 4"/>
    <d v="2025-04-22T00:00:00"/>
    <s v="April 25 Week 4"/>
    <m/>
    <s v=""/>
    <d v="2025-04-22T00:00:00"/>
    <s v="APRIL 25 PLANNED"/>
    <s v="APRIL 25"/>
    <x v="2"/>
    <e v="#N/A"/>
    <e v="#N/A"/>
    <m/>
  </r>
  <r>
    <s v="JIDGKC13854"/>
    <n v="47"/>
    <s v="E. Other Business"/>
    <s v="Other Business"/>
    <x v="6"/>
    <s v="NSO"/>
    <s v="North"/>
    <x v="4"/>
    <s v="Rajasthan"/>
    <s v="AR DIGITAL SOLUTIONS"/>
    <s v="Bhiwadi"/>
    <n v="1600"/>
    <s v="JMDRJ000594"/>
    <m/>
    <d v="2025-05-28T00:00:00"/>
    <s v="May 25 Week 4"/>
    <d v="2025-05-28T00:00:00"/>
    <s v="May 25 Week 4"/>
    <n v="7"/>
    <d v="2025-06-04T00:00:00"/>
    <s v="June 25 Week 1"/>
    <d v="2025-05-30T00:00:00"/>
    <s v="May 25 Week 5"/>
    <m/>
    <s v=""/>
    <d v="2025-05-30T00:00:00"/>
    <s v="JUNE 25 PLANNED"/>
    <s v="MAY 25"/>
    <x v="2"/>
    <e v="#N/A"/>
    <e v="#N/A"/>
    <m/>
  </r>
  <r>
    <s v="JIDGKC13855"/>
    <n v="48"/>
    <s v="E. Other Business"/>
    <s v="Other Business"/>
    <x v="6"/>
    <s v="NSO"/>
    <s v="North"/>
    <x v="4"/>
    <s v="Uttar Pradesh"/>
    <s v="M/S SALUJA OVERSEAS PRIVATE LIMITED"/>
    <s v="Ghaziabad"/>
    <n v="1250"/>
    <s v="JMDUP000606"/>
    <m/>
    <d v="2025-06-03T00:00:00"/>
    <s v="June 25 Week 1"/>
    <d v="2025-06-03T00:00:00"/>
    <s v="June 25 Week 1"/>
    <n v="7"/>
    <d v="2025-06-10T00:00:00"/>
    <s v="June 25 Week 2"/>
    <d v="2025-06-04T00:00:00"/>
    <s v="June 25 Week 1"/>
    <m/>
    <s v=""/>
    <d v="2025-06-04T00:00:00"/>
    <s v="JUNE 25 PLANNED"/>
    <s v="JUNE 25"/>
    <x v="2"/>
    <e v="#N/A"/>
    <e v="#N/A"/>
    <m/>
  </r>
  <r>
    <s v="NETMS80"/>
    <n v="49"/>
    <s v="D. Pharma Format"/>
    <s v="Pharma Format"/>
    <x v="7"/>
    <s v="NSO"/>
    <s v="South"/>
    <x v="1"/>
    <s v="Tamil Nadu"/>
    <s v="No 3/129,Perumbakkam Main road , Medavakkam, Kancheepuram  :600100"/>
    <s v="Kancheepuram"/>
    <n v="1850"/>
    <s v="NETMTQW1G00"/>
    <s v="Niranjan"/>
    <d v="2022-10-28T00:00:00"/>
    <s v="October 22 Week 4"/>
    <d v="2022-12-02T00:00:00"/>
    <s v="December 22 Week 1"/>
    <n v="15"/>
    <d v="2022-12-17T00:00:00"/>
    <s v="December 22 Week 3"/>
    <d v="2023-01-21T00:00:00"/>
    <s v="January 23 Week 3"/>
    <m/>
    <s v=""/>
    <s v="YTL"/>
    <s v=" "/>
    <s v=" "/>
    <x v="7"/>
    <e v="#N/A"/>
    <e v="#N/A"/>
    <m/>
  </r>
  <r>
    <s v="NETMS84"/>
    <n v="50"/>
    <s v="D. Pharma Format"/>
    <s v="Pharma Format"/>
    <x v="7"/>
    <s v="NSO"/>
    <s v="South"/>
    <x v="1"/>
    <s v="Tamil Nadu"/>
    <s v="NO 51, Sri Ram Nagar 2nd cross street,_x000a_Selaiyur, Chennai :600073"/>
    <s v="Chennai"/>
    <n v="1750"/>
    <s v="NETMTQA8T00"/>
    <s v="Niranjan"/>
    <d v="2022-10-28T00:00:00"/>
    <s v="October 22 Week 4"/>
    <d v="2022-11-25T00:00:00"/>
    <s v="November 22 Week 4"/>
    <n v="15"/>
    <d v="2022-12-10T00:00:00"/>
    <s v="December 22 Week 2"/>
    <d v="2023-01-31T00:00:00"/>
    <s v="January 23 Week 5"/>
    <m/>
    <s v=""/>
    <s v="YTL"/>
    <s v=" "/>
    <s v=" "/>
    <x v="7"/>
    <e v="#N/A"/>
    <e v="#N/A"/>
    <m/>
  </r>
  <r>
    <s v="NETMS92"/>
    <n v="51"/>
    <s v="D. Pharma Format"/>
    <s v="Pharma Format"/>
    <x v="7"/>
    <s v="NSO"/>
    <s v="South"/>
    <x v="1"/>
    <s v="Karnataka"/>
    <s v="BEML Layout 3rd Stage, RR Nagar, Bengaluru, Karnataka 560098"/>
    <s v="Bangalore"/>
    <n v="1100"/>
    <s v="NETMKQ1H800"/>
    <s v="Mr Vengatesh"/>
    <d v="2022-08-27T00:00:00"/>
    <s v="August 22 Week 4"/>
    <d v="2022-09-28T00:00:00"/>
    <s v="September 22 Week 4"/>
    <n v="15"/>
    <d v="2022-10-13T00:00:00"/>
    <s v="October 22 Week 2"/>
    <d v="2022-12-20T00:00:00"/>
    <s v="December 22 Week 3"/>
    <m/>
    <s v=""/>
    <s v="YTL"/>
    <s v=" "/>
    <s v=" "/>
    <x v="7"/>
    <e v="#N/A"/>
    <e v="#N/A"/>
    <m/>
  </r>
  <r>
    <s v="NETMS100"/>
    <n v="52"/>
    <s v="D. Pharma Format"/>
    <s v="Pharma Format"/>
    <x v="7"/>
    <s v="NSO"/>
    <s v="South"/>
    <x v="1"/>
    <s v="Karnataka"/>
    <s v="Ashwath property - Vasanthapura Main raod _x000a_Karnataka Bank Building,No 1 Vinayaka Complex Sharada Nagar Vasanthapura Bangalore 560061"/>
    <s v="Bangalore"/>
    <n v="711"/>
    <s v="NETMKQ1M800"/>
    <s v="Mr Santosh"/>
    <d v="2022-08-27T00:00:00"/>
    <s v="August 22 Week 4"/>
    <d v="2022-10-17T00:00:00"/>
    <s v="October 22 Week 3"/>
    <n v="15"/>
    <d v="2022-11-01T00:00:00"/>
    <s v="November 22 Week 1"/>
    <d v="2022-11-26T00:00:00"/>
    <s v="November 22 Week 4"/>
    <m/>
    <s v=""/>
    <s v="YTL"/>
    <s v=" "/>
    <s v=" "/>
    <x v="7"/>
    <e v="#N/A"/>
    <e v="#N/A"/>
    <m/>
  </r>
  <r>
    <s v="NETMS110"/>
    <n v="53"/>
    <s v="D. Pharma Format"/>
    <s v="Pharma Format"/>
    <x v="7"/>
    <s v="NSO"/>
    <s v="South"/>
    <x v="1"/>
    <s v="Karnataka"/>
    <s v="No 2 Ground Floor, CTS 1500 B &amp; 1500 C, Diamond Cristal Apex, Vishweshwar Nagar, Hubli - 580032  "/>
    <s v="Hubli"/>
    <n v="1125"/>
    <s v="NETMKQY1O00"/>
    <s v="Prakash 3 M"/>
    <d v="2022-09-26T00:00:00"/>
    <s v="September 22 Week 4"/>
    <d v="2022-11-11T00:00:00"/>
    <s v="November 22 Week 2"/>
    <n v="15"/>
    <d v="2022-11-26T00:00:00"/>
    <s v="November 22 Week 4"/>
    <d v="2022-12-30T00:00:00"/>
    <s v="December 22 Week 5"/>
    <m/>
    <s v=""/>
    <s v="YTL"/>
    <s v=" "/>
    <s v=" "/>
    <x v="7"/>
    <e v="#N/A"/>
    <e v="#N/A"/>
    <m/>
  </r>
  <r>
    <s v="NetW112"/>
    <n v="54"/>
    <s v="D. Pharma Format"/>
    <s v="Pharma Format"/>
    <x v="7"/>
    <s v="NSO"/>
    <s v="West"/>
    <x v="0"/>
    <s v="GUJARAT"/>
    <s v="ShreeNidhi Gallary- Tandalja, Vadodara, Gujarat "/>
    <s v="VADODARA"/>
    <n v="1220"/>
    <s v="NETMGQIKK00"/>
    <s v="Amit Sahu"/>
    <d v="2022-11-30T00:00:00"/>
    <s v="November 22 Week 5"/>
    <d v="2023-05-29T00:00:00"/>
    <s v="May 23 Week 5"/>
    <n v="15"/>
    <d v="2023-06-13T00:00:00"/>
    <s v="June 23 Week 2"/>
    <d v="2023-07-26T00:00:00"/>
    <s v="July 23 Week 4"/>
    <m/>
    <s v=""/>
    <s v="YTL"/>
    <s v=" "/>
    <s v=" "/>
    <x v="7"/>
    <s v="9. EPC Ready"/>
    <s v="9. EPC Ready"/>
    <m/>
  </r>
  <r>
    <s v="NETMS123"/>
    <n v="55"/>
    <s v="D. Pharma Format"/>
    <s v="Pharma Format"/>
    <x v="2"/>
    <s v="NSO"/>
    <s v="South"/>
    <x v="1"/>
    <s v="Karnataka"/>
    <s v=" Ravindra Bharathi  Global School,# 3/7, Coconut Garden Arekere Main Road Bannerghatta Road Bangalore 560076 "/>
    <s v="Bangalore "/>
    <m/>
    <s v="NETMKQX1W00"/>
    <s v="Kumaran"/>
    <d v="2025-06-19T00:00:00"/>
    <s v="June 25 Week 3"/>
    <d v="2025-06-19T00:00:00"/>
    <s v="June 25 Week 3"/>
    <n v="15"/>
    <d v="2025-07-04T00:00:00"/>
    <s v="July 25 Week 1"/>
    <d v="2025-06-26T00:00:00"/>
    <s v="June 25 Week 4"/>
    <m/>
    <s v=""/>
    <s v="Launched"/>
    <s v="JULY 25 PLANNED"/>
    <s v="JUNE 25"/>
    <x v="2"/>
    <s v="10. Launched"/>
    <e v="#N/A"/>
    <m/>
  </r>
  <r>
    <s v="NETMAS10520"/>
    <n v="56"/>
    <s v="D. Pharma Format"/>
    <s v="Pharma Format"/>
    <x v="7"/>
    <s v="NSO"/>
    <s v="South"/>
    <x v="1"/>
    <s v="Tamil Nadu"/>
    <s v="Mr.Jahir Hussain &amp; Others, No.1-B, Srinivasa Nagar, 1st Main Road, Srinivasa Nagar, Kolathur, Chennai  - 600 099"/>
    <s v="Chenai"/>
    <n v="1031"/>
    <m/>
    <m/>
    <m/>
    <s v=""/>
    <m/>
    <s v=""/>
    <n v="15"/>
    <d v="1900-01-14T00:00:00"/>
    <s v=""/>
    <m/>
    <s v=""/>
    <m/>
    <s v=""/>
    <m/>
    <s v=" "/>
    <s v=" "/>
    <x v="0"/>
    <e v="#N/A"/>
    <s v="11. HOLD"/>
    <m/>
  </r>
  <r>
    <s v="NETMAS10546"/>
    <n v="57"/>
    <s v="D. Pharma Format"/>
    <s v="Pharma Format"/>
    <x v="7"/>
    <s v="NSO"/>
    <s v="South"/>
    <x v="1"/>
    <s v="Karnataka"/>
    <s v="Anand Patil Property – BIET Collage Rd – Davanagere"/>
    <s v="Bangalore"/>
    <n v="1560"/>
    <m/>
    <m/>
    <m/>
    <s v=""/>
    <m/>
    <s v=""/>
    <n v="15"/>
    <d v="1900-01-14T00:00:00"/>
    <s v=""/>
    <m/>
    <s v=""/>
    <m/>
    <s v=""/>
    <m/>
    <s v=" "/>
    <s v=" "/>
    <x v="0"/>
    <e v="#N/A"/>
    <s v="11. HOLD"/>
    <m/>
  </r>
  <r>
    <s v="NETMAS10547"/>
    <n v="58"/>
    <s v="D. Pharma Format"/>
    <s v="Pharma Format"/>
    <x v="7"/>
    <s v="NSO"/>
    <s v="South"/>
    <x v="1"/>
    <s v="Karnataka"/>
    <s v="Sathyanarayan property - RR Nagar"/>
    <s v="Bangalore"/>
    <n v="770"/>
    <m/>
    <m/>
    <m/>
    <s v=""/>
    <m/>
    <s v=""/>
    <n v="15"/>
    <d v="1900-01-14T00:00:00"/>
    <s v=""/>
    <m/>
    <s v=""/>
    <m/>
    <s v=""/>
    <m/>
    <s v=" "/>
    <s v=" "/>
    <x v="0"/>
    <e v="#N/A"/>
    <s v="11. HOLD"/>
    <m/>
  </r>
  <r>
    <s v="NETMAS10548"/>
    <n v="59"/>
    <s v="D. Pharma Format"/>
    <s v="Pharma Format"/>
    <x v="7"/>
    <s v="NSO"/>
    <s v="South"/>
    <x v="1"/>
    <s v="Karnataka"/>
    <s v="Arun Kumar -NO 10/2 9th Cross Jp nagar 1st phase Bangalore 560078"/>
    <s v="Bangalore"/>
    <n v="1400"/>
    <m/>
    <m/>
    <m/>
    <s v=""/>
    <m/>
    <s v=""/>
    <n v="15"/>
    <d v="1900-01-14T00:00:00"/>
    <s v=""/>
    <m/>
    <s v=""/>
    <m/>
    <s v=""/>
    <m/>
    <s v=" "/>
    <s v=" "/>
    <x v="0"/>
    <e v="#N/A"/>
    <s v="11. HOLD"/>
    <m/>
  </r>
  <r>
    <s v="NETMBK10549"/>
    <n v="60"/>
    <s v="D. Pharma Format"/>
    <s v="Pharma Format"/>
    <x v="7"/>
    <s v="NSO"/>
    <s v="West"/>
    <x v="0"/>
    <s v="GUJARAT"/>
    <s v="Grace business park, sola road,ahmedabad"/>
    <s v="Ahmedabad"/>
    <n v="970"/>
    <m/>
    <m/>
    <m/>
    <s v=""/>
    <m/>
    <s v=""/>
    <n v="15"/>
    <d v="1900-01-14T00:00:00"/>
    <s v=""/>
    <m/>
    <s v=""/>
    <m/>
    <s v=""/>
    <m/>
    <s v=" "/>
    <s v=" "/>
    <x v="0"/>
    <e v="#N/A"/>
    <s v="11. HOLD"/>
    <m/>
  </r>
  <r>
    <s v="NETMBK10550"/>
    <n v="61"/>
    <s v="D. Pharma Format"/>
    <s v="Pharma Format"/>
    <x v="7"/>
    <s v="NSO"/>
    <s v="West"/>
    <x v="0"/>
    <s v="Maharashtra"/>
    <s v="Neelsidhi Amrante, Roadpali ,Kalamboli,Navi Mumbai"/>
    <s v="Navi mumbai"/>
    <n v="750"/>
    <m/>
    <m/>
    <m/>
    <s v=""/>
    <m/>
    <s v=""/>
    <n v="15"/>
    <d v="1900-01-14T00:00:00"/>
    <s v=""/>
    <m/>
    <s v=""/>
    <m/>
    <s v=""/>
    <m/>
    <s v=" "/>
    <s v=" "/>
    <x v="0"/>
    <e v="#N/A"/>
    <s v="11. HOLD"/>
    <m/>
  </r>
  <r>
    <s v="NETMBK10551"/>
    <n v="62"/>
    <s v="D. Pharma Format"/>
    <s v="Pharma Format"/>
    <x v="7"/>
    <s v="NSO"/>
    <s v="West"/>
    <x v="0"/>
    <s v="Maharashtra"/>
    <s v="Ganraya Krupa Bldg - Next to Wellness Pharmacy, Katrap, Badlapur "/>
    <s v="Thane"/>
    <n v="895"/>
    <m/>
    <m/>
    <m/>
    <s v=""/>
    <m/>
    <s v=""/>
    <n v="15"/>
    <d v="1900-01-14T00:00:00"/>
    <s v=""/>
    <m/>
    <s v=""/>
    <m/>
    <s v=""/>
    <m/>
    <s v=" "/>
    <s v=" "/>
    <x v="0"/>
    <e v="#N/A"/>
    <s v="11. HOLD"/>
    <m/>
  </r>
  <r>
    <s v="NETMSD10552"/>
    <n v="63"/>
    <s v="D. Pharma Format"/>
    <s v="Pharma Format"/>
    <x v="7"/>
    <s v="NSO"/>
    <s v="East"/>
    <x v="5"/>
    <s v="West Bengal"/>
    <s v="Barasaat Taki Road"/>
    <s v="Barasaat"/>
    <m/>
    <m/>
    <m/>
    <m/>
    <s v=""/>
    <m/>
    <s v=""/>
    <n v="15"/>
    <d v="1900-01-14T00:00:00"/>
    <s v=""/>
    <m/>
    <s v=""/>
    <m/>
    <s v=""/>
    <m/>
    <s v=" "/>
    <s v=" "/>
    <x v="0"/>
    <e v="#N/A"/>
    <s v="11. HOLD"/>
    <m/>
  </r>
  <r>
    <s v="NETMAS11533"/>
    <n v="64"/>
    <s v="D. Pharma Format"/>
    <s v="Pharma Format"/>
    <x v="7"/>
    <s v="Additional Work"/>
    <s v="South"/>
    <x v="1"/>
    <s v="Karnataka"/>
    <s v="Ganeshpur Rd- Hindalaga , Belgaum "/>
    <s v="Belgaum"/>
    <n v="676"/>
    <s v="NETMKQ1M901"/>
    <s v="Satish Kelur"/>
    <d v="2024-08-05T00:00:00"/>
    <s v="August 24 Week 1"/>
    <d v="2024-08-05T00:00:00"/>
    <s v="August 24 Week 1"/>
    <n v="7"/>
    <d v="2024-08-12T00:00:00"/>
    <s v="August 24 Week 2"/>
    <d v="2024-08-11T00:00:00"/>
    <s v="August 24 Week 2"/>
    <m/>
    <s v=""/>
    <s v="Launched"/>
    <s v=" "/>
    <s v=" "/>
    <x v="7"/>
    <s v="10. Launched"/>
    <s v="10. Launched"/>
    <m/>
  </r>
  <r>
    <s v="NETMAS11534"/>
    <n v="65"/>
    <s v="D. Pharma Format"/>
    <s v="Pharma Format"/>
    <x v="7"/>
    <s v="Additional Work"/>
    <s v="South"/>
    <x v="1"/>
    <s v="Karnataka"/>
    <s v="Old Baby Central Store- Yelahanka new town CHS Layout"/>
    <s v="Bangalore"/>
    <n v="927"/>
    <s v="NETMKQ3H201"/>
    <s v="Hariprasad PV"/>
    <d v="2024-11-20T00:00:00"/>
    <s v="November 24 Week 3"/>
    <d v="2024-11-20T00:00:00"/>
    <s v="November 24 Week 3"/>
    <n v="7"/>
    <d v="2024-11-27T00:00:00"/>
    <s v="November 24 Week 4"/>
    <d v="2024-11-28T00:00:00"/>
    <s v="November 24 Week 4"/>
    <m/>
    <s v=""/>
    <s v="Launched"/>
    <s v=" "/>
    <s v=" "/>
    <x v="7"/>
    <s v="10. Launched"/>
    <s v="10. Launched"/>
    <m/>
  </r>
  <r>
    <s v="NETMAS11535"/>
    <n v="66"/>
    <s v="D. Pharma Format"/>
    <s v="Pharma Format"/>
    <x v="7"/>
    <s v="Additional Work"/>
    <s v="South"/>
    <x v="1"/>
    <s v="Karnataka"/>
    <s v="Opp Basaveswara General Hospital – Sedam Road"/>
    <s v="Gulbarga"/>
    <n v="720"/>
    <s v="NETMKQXSS01"/>
    <s v="Karthik H"/>
    <d v="2024-12-17T00:00:00"/>
    <s v="December 24 Week 3"/>
    <d v="2024-12-17T00:00:00"/>
    <s v="December 24 Week 3"/>
    <m/>
    <d v="2024-12-17T00:00:00"/>
    <s v="December 24 Week 3"/>
    <d v="2024-12-19T00:00:00"/>
    <s v="December 24 Week 3"/>
    <m/>
    <s v=""/>
    <s v="Launched"/>
    <s v=" "/>
    <s v=" "/>
    <x v="7"/>
    <s v="10. Launched"/>
    <s v="10. Launched"/>
    <m/>
  </r>
  <r>
    <s v="SEVEBK13848"/>
    <n v="67"/>
    <s v="E. Other Business"/>
    <s v="Other Business"/>
    <x v="1"/>
    <s v="NSO"/>
    <s v="W"/>
    <x v="0"/>
    <s v="Maharashtra"/>
    <s v="Kiosk Times Square, Marol"/>
    <s v="Mumbai"/>
    <m/>
    <m/>
    <m/>
    <m/>
    <s v=""/>
    <m/>
    <s v=""/>
    <m/>
    <d v="1899-12-30T00:00:00"/>
    <s v=""/>
    <m/>
    <s v=""/>
    <m/>
    <s v=""/>
    <m/>
    <s v=" "/>
    <s v=" "/>
    <x v="6"/>
    <e v="#N/A"/>
    <s v="2. ML Awaited"/>
    <m/>
  </r>
  <r>
    <s v="SEVEBK13813"/>
    <n v="68"/>
    <s v="E. Other Business"/>
    <s v="Other Business"/>
    <x v="1"/>
    <s v="NSO"/>
    <s v="W"/>
    <x v="0"/>
    <s v="Maharashtra"/>
    <s v="Kiosk BITS Kalyan shop no 6&amp;7"/>
    <s v="Mumbai"/>
    <m/>
    <m/>
    <m/>
    <m/>
    <s v=""/>
    <m/>
    <s v=""/>
    <m/>
    <d v="1899-12-30T00:00:00"/>
    <s v=""/>
    <m/>
    <s v=""/>
    <m/>
    <s v=""/>
    <m/>
    <s v=" "/>
    <s v=" "/>
    <x v="4"/>
    <e v="#N/A"/>
    <s v="5. Budget approved RFC awaited"/>
    <m/>
  </r>
  <r>
    <s v="SEVEBK14014"/>
    <n v="69"/>
    <s v="E. Other Business"/>
    <s v="Other Business"/>
    <x v="1"/>
    <s v="NSO"/>
    <s v="W"/>
    <x v="0"/>
    <s v="Maharashtra"/>
    <s v="Kiosk Marathon, FutureX, Lower Parel -Mumbai-1"/>
    <s v="Mumbai"/>
    <m/>
    <m/>
    <m/>
    <m/>
    <s v=""/>
    <m/>
    <s v=""/>
    <m/>
    <d v="1899-12-30T00:00:00"/>
    <s v=""/>
    <m/>
    <s v=""/>
    <m/>
    <s v=""/>
    <m/>
    <s v=" "/>
    <s v=" "/>
    <x v="5"/>
    <e v="#N/A"/>
    <s v="4. Budget Approval Pending"/>
    <m/>
  </r>
  <r>
    <s v="SEVDKC13715"/>
    <n v="70"/>
    <s v="E. Other Business"/>
    <s v="Other Business"/>
    <x v="8"/>
    <s v="Dehire"/>
    <s v="West"/>
    <x v="4"/>
    <s v="Maharashtra"/>
    <s v="Dehire - Smart Bazaar, Thakur Mall, Dahisar"/>
    <s v="Mumbai"/>
    <n v="393"/>
    <m/>
    <m/>
    <m/>
    <s v=""/>
    <d v="2025-05-29T00:00:00"/>
    <s v="May 25 Week 5"/>
    <n v="15"/>
    <d v="2025-06-13T00:00:00"/>
    <s v="June 25 Week 2"/>
    <d v="2025-06-18T00:00:00"/>
    <s v="June 25 Week 3"/>
    <m/>
    <s v=""/>
    <m/>
    <s v="JUNE 25 PLANNED"/>
    <s v="JUNE 25"/>
    <x v="2"/>
    <e v="#N/A"/>
    <s v="9. EPC Ready"/>
    <m/>
  </r>
  <r>
    <s v="MIDHBK13590"/>
    <n v="71"/>
    <s v="E. Other Business"/>
    <s v="Other Business"/>
    <x v="8"/>
    <s v="Dehire"/>
    <s v="West"/>
    <x v="0"/>
    <s v="Maharashtra"/>
    <s v="Dehire Phulora, Powai"/>
    <s v="Mumbai"/>
    <n v="602"/>
    <s v="7ICRMQS1V00 "/>
    <m/>
    <m/>
    <s v=""/>
    <d v="2025-04-18T00:00:00"/>
    <s v="April 25 Week 3"/>
    <m/>
    <d v="2025-04-18T00:00:00"/>
    <s v="April 25 Week 3"/>
    <d v="2025-05-18T00:00:00"/>
    <s v="May 25 Week 3"/>
    <d v="2025-05-12T00:00:00"/>
    <s v="May 25 Week 2"/>
    <m/>
    <s v="APRIL 25 PLANNED"/>
    <s v="MAY 25"/>
    <x v="2"/>
    <s v="10. Launched"/>
    <s v="9. EPC Ready"/>
    <m/>
  </r>
  <r>
    <s v="MIDHKC13589"/>
    <n v="72"/>
    <s v="E. Other Business"/>
    <s v="Other Business"/>
    <x v="8"/>
    <s v="Dehire"/>
    <s v="West"/>
    <x v="4"/>
    <s v="Maharashtra"/>
    <s v="Dehire Shree Praful, Kandivali"/>
    <s v="Mumbai"/>
    <n v="650"/>
    <s v="7ICRMQGJU00"/>
    <m/>
    <m/>
    <s v=""/>
    <d v="2025-04-18T00:00:00"/>
    <s v="April 25 Week 3"/>
    <m/>
    <d v="2025-04-18T00:00:00"/>
    <s v="April 25 Week 3"/>
    <d v="2025-05-23T00:00:00"/>
    <s v="May 25 Week 4"/>
    <d v="2025-05-12T00:00:00"/>
    <s v="May 25 Week 2"/>
    <m/>
    <s v="APRIL 25 PLANNED"/>
    <s v="MAY 25"/>
    <x v="2"/>
    <s v="10. Launched"/>
    <s v="9. EPC Ready"/>
    <m/>
  </r>
  <r>
    <s v="MIDHKC13591"/>
    <n v="73"/>
    <s v="E. Other Business"/>
    <s v="Other Business"/>
    <x v="8"/>
    <s v="Dehire"/>
    <s v="West"/>
    <x v="4"/>
    <s v="Maharashtra"/>
    <s v="Dehire Goodwill Paradise,"/>
    <s v="Mumbai"/>
    <n v="992"/>
    <s v="7ICRMQZMF00"/>
    <m/>
    <m/>
    <s v=""/>
    <d v="2025-05-13T00:00:00"/>
    <s v="May 25 Week 2"/>
    <n v="15"/>
    <d v="2025-05-28T00:00:00"/>
    <s v="May 25 Week 4"/>
    <d v="2025-06-03T00:00:00"/>
    <s v="June 25 Week 1"/>
    <m/>
    <s v=""/>
    <m/>
    <s v="MAY 25 PLANNED"/>
    <s v="JUNE 25"/>
    <x v="2"/>
    <s v="10. Launched"/>
    <s v="9. EPC Ready"/>
    <m/>
  </r>
  <r>
    <s v="PHSmarW129"/>
    <n v="74"/>
    <s v="D. Pharma Format"/>
    <s v="Pharma Format"/>
    <x v="9"/>
    <s v="Refit"/>
    <s v="West"/>
    <x v="4"/>
    <s v="Maharashtra"/>
    <s v="GF Survey No 49 2Plot No 2 3 4 17 18  , Distt Nagpur , Mouza Ramtek Taluka Ramtek  , RAMTEK , 440009"/>
    <s v="Nagpur"/>
    <n v="400"/>
    <s v="NETMMQ8BH00"/>
    <s v="Mr.Santosh Patil"/>
    <d v="2023-08-31T00:00:00"/>
    <s v="August 23 Week 5"/>
    <d v="2023-08-31T00:00:00"/>
    <s v="August 23 Week 5"/>
    <n v="7"/>
    <d v="2023-09-07T00:00:00"/>
    <s v="September 23 Week 1"/>
    <d v="2023-09-06T00:00:00"/>
    <s v="September 23 Week 1"/>
    <m/>
    <s v=""/>
    <s v="YTL"/>
    <s v=" "/>
    <s v=" "/>
    <x v="7"/>
    <s v="9. EPC Ready"/>
    <s v="9. EPC Ready"/>
    <m/>
  </r>
  <r>
    <s v="PHSmarS130"/>
    <n v="75"/>
    <s v="D. Pharma Format"/>
    <s v="Pharma Format"/>
    <x v="9"/>
    <s v="Refit"/>
    <s v="South"/>
    <x v="3"/>
    <s v="Kerala"/>
    <s v="GF  Sy No 1246 1 57  Baazmo Tower  , TL  Thalapilly PO  Thiruvilwamala , Near HP Petrol Pump  Kaniyarkode , Dist  Thissur , THIRUVILWAMALA , 680588"/>
    <s v="THIRUVILWAMALA"/>
    <n v="400"/>
    <s v="NETMVQ7ZY00"/>
    <s v="Mr.Viswan"/>
    <d v="2024-01-08T00:00:00"/>
    <s v="January 24 Week 2"/>
    <d v="2024-01-08T00:00:00"/>
    <s v="January 24 Week 2"/>
    <n v="7"/>
    <d v="2024-01-15T00:00:00"/>
    <s v="January 24 Week 3"/>
    <d v="2024-01-22T00:00:00"/>
    <s v="January 24 Week 4"/>
    <m/>
    <s v=""/>
    <s v="YTL"/>
    <s v=" "/>
    <s v=" "/>
    <x v="7"/>
    <s v="9. EPC Ready"/>
    <s v="9. EPC Ready"/>
    <m/>
  </r>
  <r>
    <s v="PHSmarW131"/>
    <n v="76"/>
    <s v="D. Pharma Format"/>
    <s v="Pharma Format"/>
    <x v="9"/>
    <s v="Refit"/>
    <s v="West"/>
    <x v="4"/>
    <s v="Maharashtra"/>
    <s v="Ground Floor Rajkamal Hall SurveyNo.225  , 143 Igatpuri Tal &amp; dist- Nashik , Property No. W01000308 CTS No 142 &amp;  , IGATPURI , 422403"/>
    <s v="IGATPURI"/>
    <n v="400"/>
    <s v="NETMMQB6S00"/>
    <s v="Mr.Mithlesh"/>
    <d v="2023-09-04T00:00:00"/>
    <s v="September 23 Week 1"/>
    <d v="2023-09-04T00:00:00"/>
    <s v="September 23 Week 1"/>
    <n v="7"/>
    <d v="2023-09-11T00:00:00"/>
    <s v="September 23 Week 2"/>
    <d v="2023-09-14T00:00:00"/>
    <s v="September 23 Week 2"/>
    <m/>
    <s v=""/>
    <s v="YTL"/>
    <s v=" "/>
    <s v=" "/>
    <x v="7"/>
    <s v="9. EPC Ready"/>
    <s v="9. EPC Ready"/>
    <m/>
  </r>
  <r>
    <s v="PHSmarE132"/>
    <n v="77"/>
    <s v="D. Pharma Format"/>
    <s v="Pharma Format"/>
    <x v="9"/>
    <s v="Refit"/>
    <s v="East"/>
    <x v="3"/>
    <s v="Bihar"/>
    <s v="Khata no. 379, Sy. Plot no. 775, Station  , Dumraon , road Dumrao, Near Axis bank, Dumrao  , DUMRAON , 802119"/>
    <s v="Dumraon"/>
    <n v="400"/>
    <s v="NETMBQ8NH00"/>
    <s v="Mr. Jaishankar Mishra"/>
    <d v="2023-09-20T00:00:00"/>
    <s v="September 23 Week 3"/>
    <d v="2023-09-20T00:00:00"/>
    <s v="September 23 Week 3"/>
    <n v="7"/>
    <d v="2023-09-27T00:00:00"/>
    <s v="September 23 Week 4"/>
    <d v="2024-01-02T00:00:00"/>
    <s v="January 24 Week 1"/>
    <m/>
    <s v=""/>
    <s v="YTL"/>
    <s v=" "/>
    <s v=" "/>
    <x v="7"/>
    <s v="9. EPC Ready"/>
    <s v="9. EPC Ready"/>
    <m/>
  </r>
  <r>
    <s v="PHSmarE133"/>
    <n v="78"/>
    <s v="D. Pharma Format"/>
    <s v="Pharma Format"/>
    <x v="9"/>
    <s v="Refit"/>
    <s v="East"/>
    <x v="3"/>
    <s v="Bihar"/>
    <s v="GF, Mauza- Phulwariya  , Khata no. 116 , Thana no. 147 , Khesra no. 2306 Chakia , East Champaran , 845412"/>
    <s v="Motihari"/>
    <n v="400"/>
    <s v="NETMBQ8NK00"/>
    <s v=" Mr. Kamlesh Vishwakarma "/>
    <d v="2023-10-06T00:00:00"/>
    <s v="October 23 Week 1"/>
    <d v="2023-10-06T00:00:00"/>
    <s v="October 23 Week 1"/>
    <n v="7"/>
    <d v="2023-10-13T00:00:00"/>
    <s v="October 23 Week 2"/>
    <d v="2023-10-16T00:00:00"/>
    <s v="October 23 Week 3"/>
    <m/>
    <s v=""/>
    <s v="YTL"/>
    <s v=" "/>
    <s v=" "/>
    <x v="7"/>
    <s v="9. EPC Ready"/>
    <s v="9. EPC Ready"/>
    <m/>
  </r>
  <r>
    <s v="PHSmarE134"/>
    <n v="79"/>
    <s v="D. Pharma Format"/>
    <s v="Pharma Format"/>
    <x v="9"/>
    <s v="Refit"/>
    <s v="East"/>
    <x v="3"/>
    <s v="Bihar"/>
    <s v="GF Khata no  3532  , Thana  Bajpatti  Dist  Sitamarhi , Village  Bangaon bazar  Thana no  108  , SITAMARHI , 843314"/>
    <s v="SITAMARHI"/>
    <n v="400"/>
    <s v="NETMBQ6IL00"/>
    <s v=" Mr. Kamlesh Vishwakarma "/>
    <d v="2023-08-12T00:00:00"/>
    <s v="August 23 Week 2"/>
    <d v="2023-08-12T00:00:00"/>
    <s v="August 23 Week 2"/>
    <n v="7"/>
    <d v="2023-08-19T00:00:00"/>
    <s v="August 23 Week 3"/>
    <d v="2023-09-04T00:00:00"/>
    <s v="September 23 Week 1"/>
    <m/>
    <s v=""/>
    <s v="YTL"/>
    <s v=" "/>
    <s v=" "/>
    <x v="7"/>
    <s v="9. EPC Ready"/>
    <s v="9. EPC Ready"/>
    <m/>
  </r>
  <r>
    <s v="PHSmarW135"/>
    <n v="80"/>
    <s v="D. Pharma Format"/>
    <s v="Pharma Format"/>
    <x v="9"/>
    <s v="Refit"/>
    <s v="West"/>
    <x v="4"/>
    <s v="Madhya Pradesh"/>
    <s v="Ground Floor Shyam complex Plot no. 13  ,  Chowk khandwa , block No.67 Baikunth Nagar Near Indira  , KHANDWA , 450001"/>
    <s v="Khandwa"/>
    <n v="408"/>
    <s v="NETMEQ6ZF00"/>
    <s v="Subhro Ghosh-7595025194"/>
    <d v="2023-09-30T00:00:00"/>
    <s v="September 23 Week 5"/>
    <d v="2023-09-30T00:00:00"/>
    <s v="September 23 Week 5"/>
    <n v="7"/>
    <d v="2023-10-07T00:00:00"/>
    <s v="October 23 Week 1"/>
    <d v="2023-10-19T00:00:00"/>
    <s v="October 23 Week 3"/>
    <m/>
    <s v=""/>
    <s v="YTL"/>
    <s v=" "/>
    <s v=" "/>
    <x v="7"/>
    <s v="9. EPC Ready"/>
    <s v="9. EPC Ready"/>
    <m/>
  </r>
  <r>
    <s v="PHSmarE136"/>
    <n v="81"/>
    <s v="D. Pharma Format"/>
    <s v="Pharma Format"/>
    <x v="9"/>
    <s v="Refit"/>
    <s v="East"/>
    <x v="3"/>
    <s v="Bihar"/>
    <s v="GF Plot No 6008 Khata No 45  , Village &amp; PS - Jagdishpur, Dist-Sheohour , Jamabandi No 1348, Revenue Thana No 163  , SHEOHAR , 843316"/>
    <s v="Sheohar"/>
    <n v="401"/>
    <s v="NETMBQBMY00"/>
    <s v=" Mr. Kamlesh Vishwakarma "/>
    <d v="2023-10-07T00:00:00"/>
    <s v="October 23 Week 1"/>
    <d v="2023-10-07T00:00:00"/>
    <s v="October 23 Week 1"/>
    <n v="7"/>
    <d v="2023-10-14T00:00:00"/>
    <s v="October 23 Week 2"/>
    <d v="2023-10-25T00:00:00"/>
    <s v="October 23 Week 4"/>
    <m/>
    <s v=""/>
    <s v="YTL"/>
    <s v=" "/>
    <s v=" "/>
    <x v="7"/>
    <s v="9. EPC Ready"/>
    <s v="9. EPC Ready"/>
    <m/>
  </r>
  <r>
    <s v="PHSmarN137"/>
    <n v="82"/>
    <s v="D. Pharma Format"/>
    <s v="Pharma Format"/>
    <x v="9"/>
    <s v="Refit"/>
    <s v="North"/>
    <x v="4"/>
    <s v="Uttar Pradesh"/>
    <s v="Surjan Singh Tower  , Haidergarh , 546 Auswaneshar Road  , BARABANKI , 225124"/>
    <s v="Barabanki"/>
    <n v="402"/>
    <s v="NETMUQ6JQ00"/>
    <s v="Abhay Srivastav-9305109175/Manmohan Nautiyal-7307075361"/>
    <d v="2023-10-14T00:00:00"/>
    <s v="October 23 Week 2"/>
    <d v="2023-10-14T00:00:00"/>
    <s v="October 23 Week 2"/>
    <n v="7"/>
    <d v="2023-10-21T00:00:00"/>
    <s v="October 23 Week 3"/>
    <d v="2023-10-25T00:00:00"/>
    <s v="October 23 Week 4"/>
    <m/>
    <s v=""/>
    <s v="YTL"/>
    <s v=" "/>
    <s v=" "/>
    <x v="7"/>
    <s v="9. EPC Ready"/>
    <s v="9. EPC Ready"/>
    <m/>
  </r>
  <r>
    <s v="PHSmarS138"/>
    <n v="83"/>
    <s v="D. Pharma Format"/>
    <s v="Pharma Format"/>
    <x v="9"/>
    <s v="Refit"/>
    <s v="South"/>
    <x v="3"/>
    <s v="Tamil Nadu"/>
    <s v="GF Reliance SmartPoint Velan Complex  , Dist Coimbatore , Vellalore-Podanur Road POVellalore  , VELLORE , 641111"/>
    <s v="Coimbatore"/>
    <n v="400"/>
    <s v="NETMTQ6A600"/>
    <s v="Muthukumar"/>
    <d v="2023-10-16T00:00:00"/>
    <s v="October 23 Week 3"/>
    <d v="2023-10-16T00:00:00"/>
    <s v="October 23 Week 3"/>
    <n v="7"/>
    <d v="2023-10-23T00:00:00"/>
    <s v="October 23 Week 4"/>
    <d v="2023-11-08T00:00:00"/>
    <s v="November 23 Week 2"/>
    <m/>
    <s v=""/>
    <s v="YTL"/>
    <s v=" "/>
    <s v=" "/>
    <x v="7"/>
    <s v="9. EPC Ready"/>
    <s v="9. EPC Ready"/>
    <m/>
  </r>
  <r>
    <s v="PHSmarS139"/>
    <n v="84"/>
    <s v="D. Pharma Format"/>
    <s v="Pharma Format"/>
    <x v="9"/>
    <s v="Refit"/>
    <s v="South"/>
    <x v="6"/>
    <s v="Andhra Pradesh"/>
    <s v="Sri Ranga Nilayam Kovella Street  , Narasapuram West Godavari , Near Canara Bank  , NARSAPUR , 534275"/>
    <s v="Narasapuram"/>
    <n v="404"/>
    <s v="NETMAQBVW00"/>
    <s v="Mr. Antony Amalraj"/>
    <d v="2023-10-25T00:00:00"/>
    <s v="October 23 Week 4"/>
    <d v="2023-10-25T00:00:00"/>
    <s v="October 23 Week 4"/>
    <n v="7"/>
    <d v="2023-11-01T00:00:00"/>
    <s v="November 23 Week 1"/>
    <d v="2023-11-09T00:00:00"/>
    <s v="November 23 Week 2"/>
    <m/>
    <s v=""/>
    <s v="YTL"/>
    <s v=" "/>
    <s v=" "/>
    <x v="7"/>
    <s v="9. EPC Ready"/>
    <s v="9. EPC Ready"/>
    <m/>
  </r>
  <r>
    <s v="PHSmarE141"/>
    <n v="85"/>
    <s v="D. Pharma Format"/>
    <s v="Pharma Format"/>
    <x v="9"/>
    <s v="Refit"/>
    <s v="East"/>
    <x v="3"/>
    <s v="Bihar"/>
    <s v="GF RB Soni Complex Plot No.1903  , Village - Balia PS &amp; Dist - Begusari , Khata No. 647 Revenue Thana No. 627  , Lakhminiya(Balia Bazar) , 851211"/>
    <s v="Lakhminiya(Balia Bazar)"/>
    <n v="400"/>
    <s v="NETMBQBOL00"/>
    <s v="Mr. Roshan Kumar"/>
    <d v="2023-07-29T00:00:00"/>
    <s v="July 23 Week 5"/>
    <d v="2023-07-29T00:00:00"/>
    <s v="July 23 Week 5"/>
    <n v="7"/>
    <d v="2023-08-05T00:00:00"/>
    <s v="August 23 Week 1"/>
    <d v="2023-08-17T00:00:00"/>
    <s v="August 23 Week 3"/>
    <m/>
    <s v=""/>
    <s v="YTL"/>
    <s v=" "/>
    <s v=" "/>
    <x v="7"/>
    <s v="9. EPC Ready"/>
    <s v="9. EPC Ready"/>
    <m/>
  </r>
  <r>
    <s v="PHSmarE142"/>
    <n v="86"/>
    <s v="D. Pharma Format"/>
    <s v="Pharma Format"/>
    <x v="9"/>
    <s v="Refit"/>
    <s v="East"/>
    <x v="3"/>
    <s v="Bihar"/>
    <s v="Jay Kumari Chanpatia Main Road  , West Champaran , Tikuliya Chowk Chanpatia  , CHANPATIA , 845449"/>
    <s v="CHANPATIA"/>
    <n v="405"/>
    <s v="NETMBQBQT00"/>
    <s v=" Mr. Kamlesh Vishwakarma "/>
    <d v="2023-08-17T00:00:00"/>
    <s v="August 23 Week 3"/>
    <d v="2023-08-17T00:00:00"/>
    <s v="August 23 Week 3"/>
    <n v="7"/>
    <d v="2023-08-24T00:00:00"/>
    <s v="August 23 Week 4"/>
    <d v="2023-09-01T00:00:00"/>
    <s v="September 23 Week 1"/>
    <m/>
    <s v=""/>
    <s v="YTL"/>
    <s v=" "/>
    <s v=" "/>
    <x v="7"/>
    <s v="9. EPC Ready"/>
    <s v="9. EPC Ready"/>
    <m/>
  </r>
  <r>
    <s v="PHSmarE143"/>
    <n v="87"/>
    <s v="D. Pharma Format"/>
    <s v="Pharma Format"/>
    <x v="9"/>
    <s v="Refit"/>
    <s v="East"/>
    <x v="3"/>
    <s v="Bihar"/>
    <s v="GF  Plot No 3766 Katha 569 Thana No 160  , Village Ibrahimpur City &amp; PS Naubatpur , Tauzi No 2865 Opp Referral Hospita , Dist Patna , PATNA , 801109"/>
    <s v="Patna"/>
    <n v="400"/>
    <s v="NETMBQCSX00"/>
    <s v="Mr. Shashi Kumar "/>
    <d v="2023-08-10T00:00:00"/>
    <s v="August 23 Week 2"/>
    <d v="2023-08-10T00:00:00"/>
    <s v="August 23 Week 2"/>
    <n v="7"/>
    <d v="2023-08-17T00:00:00"/>
    <s v="August 23 Week 3"/>
    <d v="2023-08-28T00:00:00"/>
    <s v="August 23 Week 4"/>
    <m/>
    <s v=""/>
    <s v="YTL"/>
    <s v=" "/>
    <s v=" "/>
    <x v="7"/>
    <s v="9. EPC Ready"/>
    <s v="9. EPC Ready"/>
    <m/>
  </r>
  <r>
    <s v="PHSmarE144"/>
    <n v="88"/>
    <s v="D. Pharma Format"/>
    <s v="Pharma Format"/>
    <x v="9"/>
    <s v="Refit"/>
    <s v="East"/>
    <x v="3"/>
    <s v="Bihar"/>
    <s v="GF Khata No 866 736 Plot No 2581 2579  , Thana-Chandi Thana No 209, Circle-Chandi , Tauzi No 7511,Mauza - Nagarnausha , Dist - Nalanda , NAGAR NAHUSA , 801305"/>
    <s v="Nagar Nausa"/>
    <n v="400"/>
    <s v="NETMBQBNA00"/>
    <s v="Mr. Sugana Ram"/>
    <d v="2023-08-22T00:00:00"/>
    <s v="August 23 Week 4"/>
    <d v="2023-08-22T00:00:00"/>
    <s v="August 23 Week 4"/>
    <n v="7"/>
    <d v="2023-08-29T00:00:00"/>
    <s v="August 23 Week 5"/>
    <d v="2023-09-01T00:00:00"/>
    <s v="September 23 Week 1"/>
    <m/>
    <s v=""/>
    <s v="YTL"/>
    <s v=" "/>
    <s v=" "/>
    <x v="7"/>
    <s v="9. EPC Ready"/>
    <s v="9. EPC Ready"/>
    <m/>
  </r>
  <r>
    <s v="PHSmarE145"/>
    <n v="89"/>
    <s v="D. Pharma Format"/>
    <s v="Pharma Format"/>
    <x v="9"/>
    <s v="Refit"/>
    <s v="East"/>
    <x v="3"/>
    <s v="Bihar"/>
    <s v="Ashfaque Ahmad Brm Complex City  , West Champaran , Ramnagar Dist  , RAMNAGAR KARAR , 845106"/>
    <s v="RAMNAGAR KARARI KACHHAR"/>
    <n v="403"/>
    <s v="NETMBQEDC00"/>
    <s v="Tushar Jha"/>
    <d v="2023-07-29T00:00:00"/>
    <s v="July 23 Week 5"/>
    <d v="2023-07-29T00:00:00"/>
    <s v="July 23 Week 5"/>
    <n v="7"/>
    <d v="2023-08-05T00:00:00"/>
    <s v="August 23 Week 1"/>
    <d v="2023-08-22T00:00:00"/>
    <s v="August 23 Week 4"/>
    <m/>
    <s v=""/>
    <s v="YTL"/>
    <s v=" "/>
    <s v=" "/>
    <x v="7"/>
    <s v="9. EPC Ready"/>
    <s v="9. EPC Ready"/>
    <m/>
  </r>
  <r>
    <s v="PHSmarS146"/>
    <n v="90"/>
    <s v="D. Pharma Format"/>
    <s v="Pharma Format"/>
    <x v="9"/>
    <s v="Refit"/>
    <s v="South"/>
    <x v="6"/>
    <s v="Orissa"/>
    <s v="GF, Koshal Imperial, At khetrarajpur,   , Mouza- Sambalpur town unit 9 Talabhata , plot no. 1067, Khata no. 122,  , Near HDFC bank PO,PS,Tahasil &amp; Dist. , SAMBALPUR , 768003"/>
    <s v="Sambalpur"/>
    <n v="400"/>
    <s v="NETMOQC8N00"/>
    <s v=" Mr. Rajeev Ranjan"/>
    <d v="2023-09-20T00:00:00"/>
    <s v="September 23 Week 3"/>
    <d v="2023-09-20T00:00:00"/>
    <s v="September 23 Week 3"/>
    <n v="7"/>
    <d v="2023-09-27T00:00:00"/>
    <s v="September 23 Week 4"/>
    <d v="2023-12-22T00:00:00"/>
    <s v="December 23 Week 4"/>
    <m/>
    <s v=""/>
    <s v="YTL"/>
    <s v=" "/>
    <s v=" "/>
    <x v="7"/>
    <s v="9. EPC Ready"/>
    <s v="9. EPC Ready"/>
    <m/>
  </r>
  <r>
    <s v="PHSmarS147"/>
    <n v="91"/>
    <s v="D. Pharma Format"/>
    <s v="Pharma Format"/>
    <x v="9"/>
    <s v="Refit"/>
    <s v="South"/>
    <x v="3"/>
    <s v="Tamil Nadu"/>
    <s v="GF, PSK Nagar, Vandavasi Main Road  , Dist - Kancheepuram , Collector Office Line, Sevillimedu  , KANCHEEPURAM , 631502"/>
    <s v="Kancheepuram"/>
    <n v="400"/>
    <s v="NETMTQB2A00"/>
    <s v="Gnanaprakash"/>
    <d v="2023-10-28T00:00:00"/>
    <s v="October 23 Week 4"/>
    <d v="2023-10-28T00:00:00"/>
    <s v="October 23 Week 4"/>
    <n v="7"/>
    <d v="2023-11-04T00:00:00"/>
    <s v="November 23 Week 1"/>
    <d v="2023-12-07T00:00:00"/>
    <s v="December 23 Week 1"/>
    <m/>
    <s v=""/>
    <s v="YTL"/>
    <s v=" "/>
    <s v=" "/>
    <x v="7"/>
    <s v="9. EPC Ready"/>
    <s v="9. EPC Ready"/>
    <m/>
  </r>
  <r>
    <s v="PHSmarE148"/>
    <n v="92"/>
    <s v="D. Pharma Format"/>
    <s v="Pharma Format"/>
    <x v="9"/>
    <s v="Refit"/>
    <s v="East"/>
    <x v="3"/>
    <s v="Bihar"/>
    <s v="Adya Saran Dwivedi  , Andar siwan , Andar Po Ps Andar City  , ANDAR , 841231"/>
    <s v="Andar"/>
    <n v="401"/>
    <s v="NETMBQDUO00"/>
    <s v=" Mr. Kamlesh Vishwakarma "/>
    <d v="2023-10-01T00:00:00"/>
    <s v="October 23 Week 1"/>
    <d v="2023-10-01T00:00:00"/>
    <s v="October 23 Week 1"/>
    <n v="7"/>
    <d v="2023-10-08T00:00:00"/>
    <s v="October 23 Week 2"/>
    <d v="2023-10-25T00:00:00"/>
    <s v="October 23 Week 4"/>
    <m/>
    <s v=""/>
    <s v="YTL"/>
    <s v=" "/>
    <s v=" "/>
    <x v="7"/>
    <s v="9. EPC Ready"/>
    <s v="9. EPC Ready"/>
    <m/>
  </r>
  <r>
    <s v="PHSmarE149"/>
    <n v="93"/>
    <s v="D. Pharma Format"/>
    <s v="Pharma Format"/>
    <x v="9"/>
    <s v="Refit"/>
    <s v="East"/>
    <x v="3"/>
    <s v="Bihar"/>
    <s v="GF Dwarka Complex Plot No 3752 362  , Kila Dist Buxar , Khata No 430 222 Thana No 332 Vill Buxar  , BUXAR , 802101"/>
    <s v="Buxar"/>
    <n v="400"/>
    <s v="NETMBQCYM00"/>
    <s v="Mr. Jaishankar Mishra"/>
    <d v="2023-10-06T00:00:00"/>
    <s v="October 23 Week 1"/>
    <d v="2023-10-06T00:00:00"/>
    <s v="October 23 Week 1"/>
    <n v="7"/>
    <d v="2023-10-13T00:00:00"/>
    <s v="October 23 Week 2"/>
    <d v="2023-10-27T00:00:00"/>
    <s v="October 23 Week 4"/>
    <m/>
    <s v=""/>
    <s v="YTL"/>
    <s v=" "/>
    <s v=" "/>
    <x v="7"/>
    <s v="9. EPC Ready"/>
    <s v="9. EPC Ready"/>
    <m/>
  </r>
  <r>
    <s v="PHSmarE150"/>
    <n v="94"/>
    <s v="D. Pharma Format"/>
    <s v="Pharma Format"/>
    <x v="9"/>
    <s v="Refit"/>
    <s v="East"/>
    <x v="3"/>
    <s v="Bihar"/>
    <s v="Jitendra House 11 Gandhi Tola  ,  , Main Road Rafuigunj  , RAFIGANJ , 824125"/>
    <s v="Rafigunj"/>
    <n v="400"/>
    <s v="NETMBQCFD00"/>
    <s v="Mr. Sugana Ram"/>
    <d v="2023-08-16T00:00:00"/>
    <s v="August 23 Week 3"/>
    <d v="2023-08-16T00:00:00"/>
    <s v="August 23 Week 3"/>
    <n v="7"/>
    <d v="2023-08-23T00:00:00"/>
    <s v="August 23 Week 4"/>
    <d v="2023-08-22T00:00:00"/>
    <s v="August 23 Week 4"/>
    <m/>
    <s v=""/>
    <s v="YTL"/>
    <s v=" "/>
    <s v=" "/>
    <x v="7"/>
    <s v="9. EPC Ready"/>
    <s v="9. EPC Ready"/>
    <m/>
  </r>
  <r>
    <s v="PHSmarE153"/>
    <n v="95"/>
    <s v="D. Pharma Format"/>
    <s v="Pharma Format"/>
    <x v="9"/>
    <s v="Refit"/>
    <s v="East"/>
    <x v="3"/>
    <s v="Bihar"/>
    <s v="GF Plot No 72/70 Khata No 183/172  , Dist - Darbhanga , Revenue Thana No 509 Katha 18 Village &amp;  , DARBHANGA , 846009"/>
    <s v="Darbhanga"/>
    <n v="400"/>
    <s v="NETMBQBNR00"/>
    <s v="Majid Kamali"/>
    <d v="2023-09-07T00:00:00"/>
    <s v="September 23 Week 1"/>
    <d v="2023-09-07T00:00:00"/>
    <s v="September 23 Week 1"/>
    <n v="7"/>
    <d v="2023-09-14T00:00:00"/>
    <s v="September 23 Week 2"/>
    <d v="2023-12-26T00:00:00"/>
    <s v="December 23 Week 4"/>
    <m/>
    <s v=""/>
    <s v="YTL"/>
    <s v=" "/>
    <s v=" "/>
    <x v="7"/>
    <s v="9. EPC Ready"/>
    <s v="9. EPC Ready"/>
    <m/>
  </r>
  <r>
    <s v="PHSmarE154"/>
    <n v="96"/>
    <s v="D. Pharma Format"/>
    <s v="Pharma Format"/>
    <x v="9"/>
    <s v="Refit"/>
    <s v="East"/>
    <x v="3"/>
    <s v="Bihar"/>
    <s v="RRL GF Piaro House Plot No 1060 1061 1  , Bihar , Khata No 55 25 Revenue Thana No 85 , Katha 10 Dhur 16 Dhurki Village , PIRO , 802207"/>
    <s v="Arrah"/>
    <n v="400"/>
    <s v="NETMBQBMF00"/>
    <s v="Mr. Jaishankar Mishra"/>
    <d v="2023-12-18T00:00:00"/>
    <s v="December 23 Week 3"/>
    <d v="2023-12-18T00:00:00"/>
    <s v="December 23 Week 3"/>
    <n v="7"/>
    <d v="2023-12-25T00:00:00"/>
    <s v="December 23 Week 4"/>
    <d v="2023-12-22T00:00:00"/>
    <s v="December 23 Week 4"/>
    <m/>
    <s v=""/>
    <s v="YTL"/>
    <s v=" "/>
    <s v=" "/>
    <x v="7"/>
    <s v="9. EPC Ready"/>
    <s v="9. EPC Ready"/>
    <m/>
  </r>
  <r>
    <s v="PHSmarE156"/>
    <n v="97"/>
    <s v="D. Pharma Format"/>
    <s v="Pharma Format"/>
    <x v="9"/>
    <s v="Refit"/>
    <s v="East"/>
    <x v="3"/>
    <s v="Bihar"/>
    <s v="Bimla Sinha W/O Sri Shyam Shankar Singh  , Atari Block Mohra City , Atari Block Mohra City  , SHEOHAR , 823311"/>
    <s v="SHEOHAR"/>
    <n v="402"/>
    <s v="NETMBQ6TT00"/>
    <s v="Mr. Amiya Anand"/>
    <d v="2023-10-13T00:00:00"/>
    <s v="October 23 Week 2"/>
    <d v="2023-10-13T00:00:00"/>
    <s v="October 23 Week 2"/>
    <n v="7"/>
    <d v="2023-10-20T00:00:00"/>
    <s v="October 23 Week 3"/>
    <d v="2024-01-20T00:00:00"/>
    <s v="January 24 Week 3"/>
    <m/>
    <s v=""/>
    <s v="YTL"/>
    <s v=" "/>
    <s v=" "/>
    <x v="7"/>
    <s v="9. EPC Ready"/>
    <s v="9. EPC Ready"/>
    <m/>
  </r>
  <r>
    <s v="PHSmarE157"/>
    <n v="98"/>
    <s v="D. Pharma Format"/>
    <s v="Pharma Format"/>
    <x v="9"/>
    <s v="Refit"/>
    <s v="East"/>
    <x v="3"/>
    <s v="Bihar"/>
    <s v="GF Plot No 2786 Khata No 98  , Village - Benipatti, Dist - Madhubani , Tauzi No 2415, Revenue Thana No 185  , MADHUBANI , 847223"/>
    <s v="Madhubani"/>
    <n v="400"/>
    <s v="NETMBQBND00"/>
    <s v="Majid Kamali"/>
    <d v="2023-09-11T00:00:00"/>
    <s v="September 23 Week 2"/>
    <d v="2023-09-11T00:00:00"/>
    <s v="September 23 Week 2"/>
    <n v="7"/>
    <d v="2023-09-18T00:00:00"/>
    <s v="September 23 Week 3"/>
    <d v="2023-12-07T00:00:00"/>
    <s v="December 23 Week 1"/>
    <m/>
    <s v=""/>
    <s v="YTL"/>
    <s v=" "/>
    <s v=" "/>
    <x v="7"/>
    <s v="9. EPC Ready"/>
    <s v="9. EPC Ready"/>
    <m/>
  </r>
  <r>
    <s v="PHSmarS159"/>
    <n v="99"/>
    <s v="D. Pharma Format"/>
    <s v="Pharma Format"/>
    <x v="9"/>
    <s v="Refit"/>
    <s v="South"/>
    <x v="3"/>
    <s v="Tamil Nadu"/>
    <s v="Balaji Mahal No 1 163 Manmangalam Road  , Near Lvb Karur Tamil Nadu , Vennamalai Manmangalam Taluk  , KARUR , 639006"/>
    <s v="Karur"/>
    <n v="400"/>
    <s v="NETMTQEGY00"/>
    <s v="Sathishkumar"/>
    <d v="2023-07-24T00:00:00"/>
    <s v="July 23 Week 4"/>
    <d v="2023-07-24T00:00:00"/>
    <s v="July 23 Week 4"/>
    <n v="7"/>
    <d v="2023-07-31T00:00:00"/>
    <s v="July 23 Week 5"/>
    <d v="2023-08-01T00:00:00"/>
    <s v="August 23 Week 1"/>
    <m/>
    <s v=""/>
    <s v="YTL"/>
    <s v=" "/>
    <s v=" "/>
    <x v="7"/>
    <s v="9. EPC Ready"/>
    <s v="9. EPC Ready"/>
    <m/>
  </r>
  <r>
    <s v="PHSmarS161"/>
    <n v="100"/>
    <s v="D. Pharma Format"/>
    <s v="Pharma Format"/>
    <x v="9"/>
    <s v="Refit"/>
    <s v="South"/>
    <x v="6"/>
    <s v="Andhra Pradesh"/>
    <s v="Atyam Building 24 56 Main Road  , West Godavari , West Godavari  , PENUGONDA , 534320"/>
    <s v="Tanuku"/>
    <n v="401"/>
    <s v="NETMAQCXF00"/>
    <s v="Rajesh Krishnan"/>
    <d v="2023-09-08T00:00:00"/>
    <s v="September 23 Week 2"/>
    <d v="2023-09-08T00:00:00"/>
    <s v="September 23 Week 2"/>
    <n v="7"/>
    <d v="2023-09-15T00:00:00"/>
    <s v="September 23 Week 3"/>
    <d v="2023-09-20T00:00:00"/>
    <s v="September 23 Week 3"/>
    <m/>
    <s v=""/>
    <s v="YTL"/>
    <s v=" "/>
    <s v=" "/>
    <x v="7"/>
    <s v="9. EPC Ready"/>
    <s v="9. EPC Ready"/>
    <m/>
  </r>
  <r>
    <s v="PHSmarS162"/>
    <n v="101"/>
    <s v="D. Pharma Format"/>
    <s v="Pharma Format"/>
    <x v="9"/>
    <s v="Refit"/>
    <s v="South"/>
    <x v="6"/>
    <s v="Orissa"/>
    <s v="Saraswati Complex Behera Market Near  , Mahesdihi Po Ps Sundargarh , Jagannath Temple Infront Of Theame Park  , SUNDERGARH , 770001"/>
    <s v="Sundargarh"/>
    <n v="400"/>
    <s v="NETMOQBKG00"/>
    <s v="Mr. Rajeev Ranjan"/>
    <d v="2023-10-04T00:00:00"/>
    <s v="October 23 Week 1"/>
    <d v="2023-10-04T00:00:00"/>
    <s v="October 23 Week 1"/>
    <n v="7"/>
    <d v="2023-10-11T00:00:00"/>
    <s v="October 23 Week 2"/>
    <d v="2023-10-09T00:00:00"/>
    <s v="October 23 Week 2"/>
    <m/>
    <s v=""/>
    <s v="YTL"/>
    <s v=" "/>
    <s v=" "/>
    <x v="7"/>
    <s v="9. EPC Ready"/>
    <s v="9. EPC Ready"/>
    <m/>
  </r>
  <r>
    <s v="PHSmarE163"/>
    <n v="102"/>
    <s v="D. Pharma Format"/>
    <s v="Pharma Format"/>
    <x v="9"/>
    <s v="Refit"/>
    <s v="East"/>
    <x v="3"/>
    <s v="Bihar"/>
    <s v="GF Manoram Niwas Plot No 323 324 Khata  , Gaya , No 121 Revenue Thana No 301 Village , Jaynandan Bigha PS Tekari Dist Gaya , TIKARI , 824236"/>
    <s v="Patna"/>
    <n v="400"/>
    <s v="NETMBQDPA00"/>
    <s v="Mr. Sugana Ram"/>
    <d v="2023-09-25T00:00:00"/>
    <s v="September 23 Week 4"/>
    <d v="2023-09-25T00:00:00"/>
    <s v="September 23 Week 4"/>
    <n v="7"/>
    <d v="2023-10-02T00:00:00"/>
    <s v="October 23 Week 1"/>
    <d v="2023-09-30T00:00:00"/>
    <s v="September 23 Week 5"/>
    <m/>
    <s v=""/>
    <s v="YTL"/>
    <s v=" "/>
    <s v=" "/>
    <x v="7"/>
    <s v="9. EPC Ready"/>
    <s v="9. EPC Ready"/>
    <m/>
  </r>
  <r>
    <s v="PHSmarE164"/>
    <n v="103"/>
    <s v="D. Pharma Format"/>
    <s v="Pharma Format"/>
    <x v="9"/>
    <s v="Refit"/>
    <s v="East"/>
    <x v="3"/>
    <s v="Bihar"/>
    <s v="GF Ranvijay Market Khata No 5  , Mauza-Marhowrah, Thana No 143 Dist-Saran , Khesra No 24, Tauzi No 2589  , MARHAURA , 841418"/>
    <s v="Chhapra"/>
    <n v="413"/>
    <s v="NETMBQEES00"/>
    <s v="Mr. Jaishankar Mishra"/>
    <d v="2023-10-03T00:00:00"/>
    <s v="October 23 Week 1"/>
    <d v="2023-10-03T00:00:00"/>
    <s v="October 23 Week 1"/>
    <n v="7"/>
    <d v="2023-10-10T00:00:00"/>
    <s v="October 23 Week 2"/>
    <d v="2024-01-02T00:00:00"/>
    <s v="January 24 Week 1"/>
    <m/>
    <s v=""/>
    <s v="YTL"/>
    <s v=" "/>
    <s v=" "/>
    <x v="7"/>
    <s v="9. EPC Ready"/>
    <s v="9. EPC Ready"/>
    <m/>
  </r>
  <r>
    <s v="PHSmarS165"/>
    <n v="104"/>
    <s v="D. Pharma Format"/>
    <s v="Pharma Format"/>
    <x v="9"/>
    <s v="Refit"/>
    <s v="South"/>
    <x v="6"/>
    <s v="Orissa"/>
    <s v="Center Point Soro  , Dist Balasore , Tahasil Asoro Po Ps Soro  , SORO , 756045"/>
    <s v="Soro"/>
    <n v="408"/>
    <s v="NETMOQBKB00"/>
    <s v="Mr. Dipankar "/>
    <d v="2023-10-11T00:00:00"/>
    <s v="October 23 Week 2"/>
    <d v="2023-10-11T00:00:00"/>
    <s v="October 23 Week 2"/>
    <n v="7"/>
    <d v="2023-10-18T00:00:00"/>
    <s v="October 23 Week 3"/>
    <d v="2023-10-27T00:00:00"/>
    <s v="October 23 Week 4"/>
    <m/>
    <s v=""/>
    <s v="YTL"/>
    <s v=" "/>
    <s v=" "/>
    <x v="7"/>
    <s v="9. EPC Ready"/>
    <s v="9. EPC Ready"/>
    <m/>
  </r>
  <r>
    <s v="PHSmarE166"/>
    <n v="105"/>
    <s v="D. Pharma Format"/>
    <s v="Pharma Format"/>
    <x v="9"/>
    <s v="Refit"/>
    <s v="East"/>
    <x v="3"/>
    <s v="Bihar"/>
    <s v="GF Abdul Matin Market Plot No 88 - 92  , Mauza-Pandarpur, PS-Rauta, Dist-Purnea , Khata No 18, Revenue Thana No 67  , RAUTA , 854315"/>
    <s v="Routa"/>
    <n v="403"/>
    <s v="NETMBQBMU00"/>
    <s v="Shib Jana "/>
    <d v="2023-12-27T00:00:00"/>
    <s v="December 23 Week 4"/>
    <d v="2023-12-27T00:00:00"/>
    <s v="December 23 Week 4"/>
    <n v="7"/>
    <d v="2024-01-03T00:00:00"/>
    <s v="January 24 Week 1"/>
    <d v="2024-01-09T00:00:00"/>
    <s v="January 24 Week 2"/>
    <m/>
    <s v=""/>
    <s v="YTL"/>
    <s v=" "/>
    <s v=" "/>
    <x v="7"/>
    <s v="9. EPC Ready"/>
    <s v="9. EPC Ready"/>
    <m/>
  </r>
  <r>
    <s v="PHSmarE167"/>
    <n v="106"/>
    <s v="D. Pharma Format"/>
    <s v="Pharma Format"/>
    <x v="9"/>
    <s v="Refit"/>
    <s v="East"/>
    <x v="3"/>
    <s v="Bihar"/>
    <s v="Satyendra Gupta  , City Gopalganj Dist Gopalganj , Bijaipur Po Ps Bijaipur City  , GOPALGANJ , 841508"/>
    <s v="Gopalganj"/>
    <n v="400"/>
    <s v="NETMBQDUR00"/>
    <s v=" Mr. Kamlesh Vishwakarma "/>
    <d v="2024-03-18T00:00:00"/>
    <s v="March 24 Week 3"/>
    <d v="2024-03-18T00:00:00"/>
    <s v="March 24 Week 3"/>
    <n v="7"/>
    <d v="2024-03-25T00:00:00"/>
    <s v="March 24 Week 4"/>
    <d v="2024-03-26T00:00:00"/>
    <s v="March 24 Week 4"/>
    <d v="2024-03-27T00:00:00"/>
    <s v="March 24 Week 4"/>
    <s v="YTL"/>
    <s v=" "/>
    <s v=" "/>
    <x v="7"/>
    <s v="9. EPC Ready"/>
    <s v="9. EPC Ready"/>
    <m/>
  </r>
  <r>
    <s v="PHSmarS168"/>
    <n v="107"/>
    <s v="D. Pharma Format"/>
    <s v="Pharma Format"/>
    <x v="9"/>
    <s v="Refit"/>
    <s v="South"/>
    <x v="3"/>
    <s v="Karnataka"/>
    <s v="Fortune Highway 2 24 8 116 Opp Badaga  , Road Moodbidri Dakshina Kannada , Basadi Jain Pete Moodbidri Karkala Main  , MUDBIDRI , 574227"/>
    <s v="MUDBIDRI"/>
    <n v="401"/>
    <s v="NETMKQBNF00"/>
    <s v="Nidheesh2 M / Karthik H"/>
    <d v="2023-12-19T00:00:00"/>
    <s v="December 23 Week 3"/>
    <d v="2023-12-19T00:00:00"/>
    <s v="December 23 Week 3"/>
    <n v="7"/>
    <d v="2023-12-26T00:00:00"/>
    <s v="December 23 Week 4"/>
    <d v="2024-03-21T00:00:00"/>
    <s v="March 24 Week 3"/>
    <d v="2024-03-30T00:00:00"/>
    <s v="March 24 Week 5"/>
    <s v="YTL"/>
    <s v=" "/>
    <s v=" "/>
    <x v="7"/>
    <s v="9. EPC Ready"/>
    <s v="9. EPC Ready"/>
    <m/>
  </r>
  <r>
    <s v="PHSmarW169"/>
    <n v="108"/>
    <s v="D. Pharma Format"/>
    <s v="Pharma Format"/>
    <x v="9"/>
    <s v="Refit"/>
    <s v="West"/>
    <x v="4"/>
    <s v="Chattisgarh"/>
    <s v="Rrl Gf Khasra No 306 20  , Manendragarh Dist Korea , Ph No 27 Village Ric &amp; Tehsil  , MANENDRAGARH , 497442"/>
    <s v="MANENDRAGARH"/>
    <n v="400"/>
    <s v="NETMCQGEA00"/>
    <s v="Ruturaj Mishra"/>
    <d v="2023-07-15T00:00:00"/>
    <s v="July 23 Week 3"/>
    <d v="2023-07-15T00:00:00"/>
    <s v="July 23 Week 3"/>
    <n v="7"/>
    <d v="2023-07-22T00:00:00"/>
    <s v="July 23 Week 4"/>
    <d v="2023-08-13T00:00:00"/>
    <s v="August 23 Week 2"/>
    <m/>
    <s v=""/>
    <s v="YTL"/>
    <s v=" "/>
    <s v=" "/>
    <x v="7"/>
    <s v="9. EPC Ready"/>
    <s v="9. EPC Ready"/>
    <m/>
  </r>
  <r>
    <s v="PHSmarS170"/>
    <n v="109"/>
    <s v="D. Pharma Format"/>
    <s v="Pharma Format"/>
    <x v="9"/>
    <s v="Refit"/>
    <s v="South"/>
    <x v="3"/>
    <s v="Karnataka"/>
    <s v="GF Sy 44 1 Old No 44 Village Hesarghatta  , Petrol Bunk Adjecent To St Anns School , No 44 Hesarghatta Main Road Opp Indian , Petrol Bunk Near St Anns School , BANGALORE , 560088"/>
    <s v="Bangalore"/>
    <n v="398"/>
    <s v="NETMKQEHI00"/>
    <s v="Narayanaswamy Gurappa"/>
    <d v="2023-10-26T00:00:00"/>
    <s v="October 23 Week 4"/>
    <d v="2023-10-26T00:00:00"/>
    <s v="October 23 Week 4"/>
    <n v="7"/>
    <d v="2023-11-02T00:00:00"/>
    <s v="November 23 Week 1"/>
    <d v="2023-11-30T00:00:00"/>
    <s v="November 23 Week 5"/>
    <m/>
    <s v=""/>
    <s v="YTL"/>
    <s v=" "/>
    <s v=" "/>
    <x v="7"/>
    <s v="9. EPC Ready"/>
    <s v="9. EPC Ready"/>
    <m/>
  </r>
  <r>
    <s v="PHSmarW173"/>
    <n v="110"/>
    <s v="D. Pharma Format"/>
    <s v="Pharma Format"/>
    <x v="9"/>
    <s v="Refit"/>
    <s v="West"/>
    <x v="4"/>
    <s v="Maharashtra"/>
    <s v="GF Sy No 1030 Sheet No 89 PH No 11  , Takli in Majisainik Swatantra CHS , Ward No 253 Plot No 1 Mouza Zingabai  , NAGPUR , 440013"/>
    <s v="Nagpur"/>
    <n v="412"/>
    <s v="NETMMQBRQ00"/>
    <s v="Sushant Behera "/>
    <d v="2023-10-11T00:00:00"/>
    <s v="October 23 Week 2"/>
    <d v="2023-10-11T00:00:00"/>
    <s v="October 23 Week 2"/>
    <n v="7"/>
    <d v="2023-10-18T00:00:00"/>
    <s v="October 23 Week 3"/>
    <d v="2023-10-15T00:00:00"/>
    <s v="October 23 Week 3"/>
    <m/>
    <s v=""/>
    <s v="YTL"/>
    <s v=" "/>
    <s v=" "/>
    <x v="7"/>
    <s v="9. EPC Ready"/>
    <s v="9. EPC Ready"/>
    <m/>
  </r>
  <r>
    <s v="PHSmarE174"/>
    <n v="111"/>
    <s v="D. Pharma Format"/>
    <s v="Pharma Format"/>
    <x v="9"/>
    <s v="Refit"/>
    <s v="East"/>
    <x v="3"/>
    <s v="Jharkhand"/>
    <s v="Domna Mahto Property  , Bundu Bazaar , Sonhatu Road  , RANCHI , 835204"/>
    <s v="Ranchi"/>
    <n v="413"/>
    <s v="NETMQQDDX00"/>
    <s v="Mr. Ratnadip Kar "/>
    <d v="2023-07-24T00:00:00"/>
    <s v="July 23 Week 4"/>
    <d v="2023-07-24T00:00:00"/>
    <s v="July 23 Week 4"/>
    <n v="7"/>
    <d v="2023-07-31T00:00:00"/>
    <s v="July 23 Week 5"/>
    <d v="2023-08-02T00:00:00"/>
    <s v="August 23 Week 1"/>
    <m/>
    <s v=""/>
    <s v="YTL"/>
    <s v=" "/>
    <s v=" "/>
    <x v="7"/>
    <s v="9. EPC Ready"/>
    <s v="9. EPC Ready"/>
    <m/>
  </r>
  <r>
    <s v="PHSmarE175"/>
    <n v="112"/>
    <s v="D. Pharma Format"/>
    <s v="Pharma Format"/>
    <x v="9"/>
    <s v="Refit"/>
    <s v="East"/>
    <x v="3"/>
    <s v="Telangana"/>
    <s v="Krupa Complex H No 27 3 1 And 29 9 Plot  , Ram Nagar Malkajgiri Hyderabad , No 44 And 49 Block 12 Safilguda Road Sai  , HYDERABAD , 500056"/>
    <s v="Hyderabad"/>
    <n v="407"/>
    <s v="NETMNQBIT00"/>
    <s v="Shankar T"/>
    <d v="2023-11-01T00:00:00"/>
    <s v="November 23 Week 1"/>
    <d v="2023-11-01T00:00:00"/>
    <s v="November 23 Week 1"/>
    <n v="7"/>
    <d v="2023-11-08T00:00:00"/>
    <s v="November 23 Week 2"/>
    <d v="2023-11-04T00:00:00"/>
    <s v="November 23 Week 1"/>
    <m/>
    <s v=""/>
    <s v="YTL"/>
    <s v=" "/>
    <s v=" "/>
    <x v="7"/>
    <s v="9. EPC Ready"/>
    <s v="9. EPC Ready"/>
    <m/>
  </r>
  <r>
    <s v="PHSmarN177"/>
    <n v="113"/>
    <s v="D. Pharma Format"/>
    <s v="Pharma Format"/>
    <x v="9"/>
    <s v="Refit"/>
    <s v="North"/>
    <x v="4"/>
    <s v="Uttar Pradesh"/>
    <s v="GF Khasra No 669  , Dasna Pilkhuwa Dist Hapur , Mauja Kheda Pargana  , PILKHUWA , 245304"/>
    <s v="Pilkhuva"/>
    <n v="407"/>
    <s v="NETMUQDPW00"/>
    <s v="Sh.Akhilesh K Singh-9910029870"/>
    <d v="2023-09-11T00:00:00"/>
    <s v="September 23 Week 2"/>
    <d v="2023-09-11T00:00:00"/>
    <s v="September 23 Week 2"/>
    <n v="7"/>
    <d v="2023-09-18T00:00:00"/>
    <s v="September 23 Week 3"/>
    <d v="2023-11-01T00:00:00"/>
    <s v="November 23 Week 1"/>
    <m/>
    <s v=""/>
    <s v="YTL"/>
    <s v=" "/>
    <s v=" "/>
    <x v="7"/>
    <s v="9. EPC Ready"/>
    <s v="9. EPC Ready"/>
    <m/>
  </r>
  <r>
    <s v="PHSmarS178"/>
    <n v="114"/>
    <s v="D. Pharma Format"/>
    <s v="Pharma Format"/>
    <x v="9"/>
    <s v="Refit"/>
    <s v="South"/>
    <x v="3"/>
    <s v="Kerala"/>
    <s v="Ms Alikaa Private Limited Kgm Plaza Opp  , Chittur Palakkad Kerala , Mini Civil Station Kacherimedu Po  , CHITTUR-THATHA , 678101"/>
    <s v="Chittur"/>
    <n v="400"/>
    <s v="NETMVQDZM00"/>
    <s v="Nasim/ Anthony Mathew"/>
    <d v="2023-11-06T00:00:00"/>
    <s v="November 23 Week 1"/>
    <d v="2023-11-06T00:00:00"/>
    <s v="November 23 Week 1"/>
    <n v="7"/>
    <d v="2023-11-13T00:00:00"/>
    <s v="November 23 Week 2"/>
    <d v="2023-11-29T00:00:00"/>
    <s v="November 23 Week 5"/>
    <m/>
    <s v=""/>
    <s v="YTL"/>
    <s v=" "/>
    <s v=" "/>
    <x v="7"/>
    <s v="9. EPC Ready"/>
    <s v="9. EPC Ready"/>
    <m/>
  </r>
  <r>
    <s v="PHSmarE179"/>
    <n v="115"/>
    <s v="D. Pharma Format"/>
    <s v="Pharma Format"/>
    <x v="9"/>
    <s v="Refit"/>
    <s v="East"/>
    <x v="5"/>
    <s v="West Bengal"/>
    <s v="GF Mohanpur Gram Panchayat Police Stn  , South 24 Parganas , Magrahat JL No 25 Mouza Uttar Mohanpur , LR Plot No 353 &amp; LR Katian No 1189 Block , South 24 Parga , 743503"/>
    <s v="Champahati"/>
    <n v="400"/>
    <s v="NETMWQBIX00"/>
    <s v="Mr. Rajesh Das"/>
    <d v="2023-10-04T00:00:00"/>
    <s v="October 23 Week 1"/>
    <d v="2023-10-04T00:00:00"/>
    <s v="October 23 Week 1"/>
    <n v="7"/>
    <d v="2023-10-11T00:00:00"/>
    <s v="October 23 Week 2"/>
    <d v="2024-01-19T00:00:00"/>
    <s v="January 24 Week 3"/>
    <m/>
    <s v=""/>
    <s v="YTL"/>
    <s v=" "/>
    <s v=" "/>
    <x v="7"/>
    <s v="9. EPC Ready"/>
    <s v="9. EPC Ready"/>
    <m/>
  </r>
  <r>
    <s v="PHSmarS181"/>
    <n v="116"/>
    <s v="D. Pharma Format"/>
    <s v="Pharma Format"/>
    <x v="9"/>
    <s v="Refit"/>
    <s v="South"/>
    <x v="3"/>
    <s v="Karnataka"/>
    <s v="Property No 20 161 Old No 4 7 72  , Shahabad Chitapur Gulbarga , At Bharth Chowk Road Shahabad Rural  , SHAHABAD , 585228"/>
    <s v="Shahabad"/>
    <n v="400"/>
    <s v="NETMKQEZF00"/>
    <s v="Chand Husain"/>
    <d v="2023-10-25T00:00:00"/>
    <s v="October 23 Week 4"/>
    <d v="2023-10-25T00:00:00"/>
    <s v="October 23 Week 4"/>
    <n v="7"/>
    <d v="2023-11-01T00:00:00"/>
    <s v="November 23 Week 1"/>
    <d v="2023-12-19T00:00:00"/>
    <s v="December 23 Week 3"/>
    <m/>
    <s v=""/>
    <s v="YTL"/>
    <s v=" "/>
    <s v=" "/>
    <x v="7"/>
    <s v="9. EPC Ready"/>
    <s v="9. EPC Ready"/>
    <m/>
  </r>
  <r>
    <s v="PHSmarN182"/>
    <n v="117"/>
    <s v="D. Pharma Format"/>
    <s v="Pharma Format"/>
    <x v="9"/>
    <s v="Refit"/>
    <s v="North"/>
    <x v="4"/>
    <s v="Haryana"/>
    <s v="Goyal Complex New Bus Stand Road  , Narwana Jind , Near Indian Oil Petrol Pump  , NARWANA , 126116"/>
    <s v="NARWANA"/>
    <n v="400"/>
    <s v="NETMHQB7G00"/>
    <s v="Chainsukh"/>
    <d v="2023-09-15T00:00:00"/>
    <s v="September 23 Week 3"/>
    <d v="2023-09-15T00:00:00"/>
    <s v="September 23 Week 3"/>
    <n v="7"/>
    <d v="2023-09-22T00:00:00"/>
    <s v="September 23 Week 4"/>
    <d v="2023-09-28T00:00:00"/>
    <s v="September 23 Week 4"/>
    <m/>
    <s v=""/>
    <s v="YTL"/>
    <s v=" "/>
    <s v=" "/>
    <x v="7"/>
    <s v="9. EPC Ready"/>
    <s v="9. EPC Ready"/>
    <m/>
  </r>
  <r>
    <s v="PHSmarS183"/>
    <n v="118"/>
    <s v="D. Pharma Format"/>
    <s v="Pharma Format"/>
    <x v="9"/>
    <s v="Refit"/>
    <s v="South"/>
    <x v="3"/>
    <s v="Karnataka"/>
    <s v="Ms Al Znk Aprtment Katha No29 5005 06 07  , Park Bengeri Off Sulla road Hubli , Plot No 279 280 281 Rs No 10 11 Manoj  , HUBLI , 580023"/>
    <s v="Hubli"/>
    <n v="400"/>
    <s v="NETMKQECT00"/>
    <s v="Prakash M"/>
    <d v="2023-11-02T00:00:00"/>
    <s v="November 23 Week 1"/>
    <d v="2023-11-02T00:00:00"/>
    <s v="November 23 Week 1"/>
    <n v="7"/>
    <d v="2023-11-09T00:00:00"/>
    <s v="November 23 Week 2"/>
    <d v="2023-12-21T00:00:00"/>
    <s v="December 23 Week 3"/>
    <m/>
    <s v=""/>
    <s v="YTL"/>
    <s v=" "/>
    <s v=" "/>
    <x v="7"/>
    <s v="9. EPC Ready"/>
    <s v="9. EPC Ready"/>
    <m/>
  </r>
  <r>
    <s v="PHSmarS184"/>
    <n v="119"/>
    <s v="D. Pharma Format"/>
    <s v="Pharma Format"/>
    <x v="9"/>
    <s v="Refit"/>
    <s v="South"/>
    <x v="3"/>
    <s v="Karnataka"/>
    <s v="RG Tower Near Masjid Taleem Chaubara Roa  , To Masjid Taleem Bidar , Siddi Shah Chaubara Road Diagonally Opp  , BIDAR , 585401"/>
    <s v="Bidar"/>
    <n v="399"/>
    <s v="NETMKQB6G00"/>
    <s v="Anil Biradar"/>
    <d v="2023-10-25T00:00:00"/>
    <s v="October 23 Week 4"/>
    <d v="2023-10-25T00:00:00"/>
    <s v="October 23 Week 4"/>
    <n v="7"/>
    <d v="2023-11-01T00:00:00"/>
    <s v="November 23 Week 1"/>
    <d v="2023-12-27T00:00:00"/>
    <s v="December 23 Week 4"/>
    <m/>
    <s v=""/>
    <s v="YTL"/>
    <s v=" "/>
    <s v=" "/>
    <x v="7"/>
    <s v="9. EPC Ready"/>
    <s v="9. EPC Ready"/>
    <m/>
  </r>
  <r>
    <s v="PHSmarS185"/>
    <n v="120"/>
    <s v="D. Pharma Format"/>
    <s v="Pharma Format"/>
    <x v="9"/>
    <s v="Refit"/>
    <s v="South"/>
    <x v="3"/>
    <s v="Kerala"/>
    <s v="Kottoodal Square  , Kumbala Kasargod , Opposite Canara Bank  , KASARAGOD , 671321"/>
    <s v="Kasaragod"/>
    <n v="400"/>
    <s v="NETMVQDNF00"/>
    <s v="Nandan Venugopal"/>
    <d v="2023-10-16T00:00:00"/>
    <s v="October 23 Week 3"/>
    <d v="2023-10-16T00:00:00"/>
    <s v="October 23 Week 3"/>
    <n v="7"/>
    <d v="2023-10-23T00:00:00"/>
    <s v="October 23 Week 4"/>
    <d v="2023-11-09T00:00:00"/>
    <s v="November 23 Week 2"/>
    <m/>
    <s v=""/>
    <s v="YTL"/>
    <s v=" "/>
    <s v=" "/>
    <x v="7"/>
    <s v="9. EPC Ready"/>
    <s v="9. EPC Ready"/>
    <m/>
  </r>
  <r>
    <s v="PHSmarE186"/>
    <n v="121"/>
    <s v="D. Pharma Format"/>
    <s v="Pharma Format"/>
    <x v="9"/>
    <s v="Refit"/>
    <s v="East"/>
    <x v="3"/>
    <s v="Telangana"/>
    <s v="House No 1 1 25 2 Jagtial Road  , Korutla Jagtial Dist , Opposite Amrutha Appartment  , Korutla , 505326"/>
    <s v="Koratla"/>
    <n v="397"/>
    <s v="NETMNQVHH00"/>
    <s v="Nabeel Mulla"/>
    <d v="2023-09-25T00:00:00"/>
    <s v="September 23 Week 4"/>
    <d v="2023-09-25T00:00:00"/>
    <s v="September 23 Week 4"/>
    <n v="7"/>
    <d v="2023-10-02T00:00:00"/>
    <s v="October 23 Week 1"/>
    <d v="2023-10-19T00:00:00"/>
    <s v="October 23 Week 3"/>
    <m/>
    <s v=""/>
    <s v="YTL"/>
    <s v=" "/>
    <s v=" "/>
    <x v="7"/>
    <s v="9. EPC Ready"/>
    <s v="9. EPC Ready"/>
    <m/>
  </r>
  <r>
    <s v="PHSmarE187"/>
    <n v="122"/>
    <s v="D. Pharma Format"/>
    <s v="Pharma Format"/>
    <x v="9"/>
    <s v="Refit"/>
    <s v="East"/>
    <x v="3"/>
    <s v="Bihar"/>
    <s v="GF Prince Complex Plot No 4399 3684  , Mafi Mohalla PS Warisiliganj Dist Nawada , Khata No 480 Revenue Thana No 479 Vill  , WARISALIGANJ , 805130"/>
    <s v="WARISALIGANJ"/>
    <n v="400"/>
    <s v="NETMBQBOJ00"/>
    <s v=" Mr. Subir Singh_x000a_Mr. Amiya Anand"/>
    <d v="2023-08-16T00:00:00"/>
    <s v="August 23 Week 3"/>
    <d v="2023-08-16T00:00:00"/>
    <s v="August 23 Week 3"/>
    <n v="7"/>
    <d v="2023-08-23T00:00:00"/>
    <s v="August 23 Week 4"/>
    <d v="2023-08-22T00:00:00"/>
    <s v="August 23 Week 4"/>
    <m/>
    <s v=""/>
    <s v="YTL"/>
    <s v=" "/>
    <s v=" "/>
    <x v="7"/>
    <s v="9. EPC Ready"/>
    <s v="9. EPC Ready"/>
    <m/>
  </r>
  <r>
    <s v="PHSmarS188"/>
    <n v="123"/>
    <s v="D. Pharma Format"/>
    <s v="Pharma Format"/>
    <x v="9"/>
    <s v="Refit"/>
    <s v="South"/>
    <x v="3"/>
    <s v="Tamil Nadu"/>
    <s v="Gf No 4 197 1 Salem Road  , Dist Salem Tamil Nadu , Near Indian Oil Petrol Bunk  , SALEM , 636201"/>
    <s v="Salem"/>
    <n v="400"/>
    <s v="NETMTQ3I700"/>
    <s v="Selvamani"/>
    <d v="2023-10-21T00:00:00"/>
    <s v="October 23 Week 3"/>
    <d v="2023-10-21T00:00:00"/>
    <s v="October 23 Week 3"/>
    <n v="7"/>
    <d v="2023-10-28T00:00:00"/>
    <s v="October 23 Week 4"/>
    <d v="2023-12-06T00:00:00"/>
    <s v="December 23 Week 1"/>
    <m/>
    <s v=""/>
    <s v="YTL"/>
    <s v=" "/>
    <s v=" "/>
    <x v="7"/>
    <s v="9. EPC Ready"/>
    <s v="9. EPC Ready"/>
    <m/>
  </r>
  <r>
    <s v="PHSmarS189"/>
    <n v="124"/>
    <s v="D. Pharma Format"/>
    <s v="Pharma Format"/>
    <x v="9"/>
    <s v="Refit"/>
    <s v="South"/>
    <x v="6"/>
    <s v="Andhra Pradesh"/>
    <s v="Plot No 7 Sy No 158 2A Beside Jio Store  , Anantapur , Opp Sk Univercity Akuthotapalli  , Akuthotapally , 515003"/>
    <s v="Akthotapalli"/>
    <n v="403"/>
    <s v="NETMAQB3W00"/>
    <s v="Mr. Riyaz Basha"/>
    <d v="2023-10-03T00:00:00"/>
    <s v="October 23 Week 1"/>
    <d v="2023-10-03T00:00:00"/>
    <s v="October 23 Week 1"/>
    <n v="7"/>
    <d v="2023-10-10T00:00:00"/>
    <s v="October 23 Week 2"/>
    <d v="2023-11-27T00:00:00"/>
    <s v="November 23 Week 4"/>
    <m/>
    <s v=""/>
    <s v="YTL"/>
    <s v=" "/>
    <s v=" "/>
    <x v="7"/>
    <s v="9. EPC Ready"/>
    <s v="9. EPC Ready"/>
    <m/>
  </r>
  <r>
    <s v="PHSmarS190"/>
    <n v="125"/>
    <s v="D. Pharma Format"/>
    <s v="Pharma Format"/>
    <x v="9"/>
    <s v="Refit"/>
    <s v="South"/>
    <x v="3"/>
    <s v="Kerala"/>
    <s v="Aiswarya Shopping Complex Parlikad Near  , Highway Wadakkanchery Thrissur , Vyasa College Bus Stop Thrissur Shornur  , WADAKKANCHERY , 680623"/>
    <s v="Vadakkanchery"/>
    <n v="400"/>
    <s v="NETMVQDNZ00"/>
    <s v="Anthony Mathew"/>
    <d v="2024-01-08T00:00:00"/>
    <s v="January 24 Week 2"/>
    <d v="2024-01-08T00:00:00"/>
    <s v="January 24 Week 2"/>
    <n v="7"/>
    <d v="2024-01-15T00:00:00"/>
    <s v="January 24 Week 3"/>
    <d v="2024-01-20T00:00:00"/>
    <s v="January 24 Week 3"/>
    <m/>
    <s v=""/>
    <s v="YTL"/>
    <s v=" "/>
    <s v=" "/>
    <x v="7"/>
    <s v="9. EPC Ready"/>
    <s v="9. EPC Ready"/>
    <m/>
  </r>
  <r>
    <s v="PHSmarS191"/>
    <n v="126"/>
    <s v="D. Pharma Format"/>
    <s v="Pharma Format"/>
    <x v="9"/>
    <s v="Refit"/>
    <s v="South"/>
    <x v="3"/>
    <s v="Karnataka"/>
    <s v="Site Bearing Nos 7687 And 7688 Situated  , Devaraj Mohalla Mysore , At 2nd Phase 4Th Stage Vijayanagar  , MYSORE , 570001"/>
    <s v="Mysore"/>
    <n v="400"/>
    <s v="NETMKQB6L00"/>
    <s v="Ajay Mutalik/_x000a_Karthik H"/>
    <d v="2023-10-25T00:00:00"/>
    <s v="October 23 Week 4"/>
    <d v="2023-10-25T00:00:00"/>
    <s v="October 23 Week 4"/>
    <n v="7"/>
    <d v="2023-11-01T00:00:00"/>
    <s v="November 23 Week 1"/>
    <d v="2023-11-04T00:00:00"/>
    <s v="November 23 Week 1"/>
    <m/>
    <s v=""/>
    <s v="YTL"/>
    <s v=" "/>
    <s v=" "/>
    <x v="7"/>
    <s v="9. EPC Ready"/>
    <s v="9. EPC Ready"/>
    <m/>
  </r>
  <r>
    <s v="PHSmarE192"/>
    <n v="127"/>
    <s v="D. Pharma Format"/>
    <s v="Pharma Format"/>
    <x v="9"/>
    <s v="Refit"/>
    <s v="East"/>
    <x v="3"/>
    <s v="Telangana"/>
    <s v="Sai Complex Sy No 333 HNo 18 155 6 Ragha  , L Kurnool Raod Kothakota Wanaparthi Dist , Vendra Colony Opposite Srirama Rice Mill  , KOTHAKOTA , 509381"/>
    <s v="Kothakota"/>
    <n v="401"/>
    <s v="NETMNQEEU00"/>
    <s v=" Mr. Srinivas Gummadi "/>
    <d v="2023-07-27T00:00:00"/>
    <s v="July 23 Week 4"/>
    <d v="2023-07-27T00:00:00"/>
    <s v="July 23 Week 4"/>
    <n v="7"/>
    <d v="2023-08-03T00:00:00"/>
    <s v="August 23 Week 1"/>
    <d v="2023-08-12T00:00:00"/>
    <s v="August 23 Week 2"/>
    <m/>
    <s v=""/>
    <s v="YTL"/>
    <s v=" "/>
    <s v=" "/>
    <x v="7"/>
    <s v="9. EPC Ready"/>
    <s v="9. EPC Ready"/>
    <m/>
  </r>
  <r>
    <s v="PHSmarN193"/>
    <n v="128"/>
    <s v="D. Pharma Format"/>
    <s v="Pharma Format"/>
    <x v="9"/>
    <s v="Refit"/>
    <s v="North"/>
    <x v="4"/>
    <s v="Uttar Pradesh"/>
    <s v="GF Plot No B 393 394  , Dist Merrut , Hastinapur  , HASTINAPUR , 250404"/>
    <s v="HASTINAPUR"/>
    <n v="400"/>
    <s v="NETMUQDZX00"/>
    <s v="Sh.Akhilesh K Singh-9910029870"/>
    <d v="2023-09-11T00:00:00"/>
    <s v="September 23 Week 2"/>
    <d v="2023-09-11T00:00:00"/>
    <s v="September 23 Week 2"/>
    <n v="7"/>
    <d v="2023-09-18T00:00:00"/>
    <s v="September 23 Week 3"/>
    <d v="2023-09-21T00:00:00"/>
    <s v="September 23 Week 3"/>
    <m/>
    <s v=""/>
    <s v="YTL"/>
    <s v=" "/>
    <s v=" "/>
    <x v="7"/>
    <s v="9. EPC Ready"/>
    <s v="9. EPC Ready"/>
    <m/>
  </r>
  <r>
    <s v="PHSmarS195"/>
    <n v="129"/>
    <s v="D. Pharma Format"/>
    <s v="Pharma Format"/>
    <x v="9"/>
    <s v="Refit"/>
    <s v="South"/>
    <x v="3"/>
    <s v="Karnataka"/>
    <s v="Property No 13 1 28 32 1 Cmc No 850209  , Malipatil Nursing Home Opp Kle School , Cs No 6677 9 1 Opp Jt College Rd Nr  , Gadag , 582101"/>
    <s v="GADAG"/>
    <n v="400"/>
    <s v="NETMKQBUU00"/>
    <s v="Prakash M"/>
    <d v="2023-11-09T00:00:00"/>
    <s v="November 23 Week 2"/>
    <d v="2023-11-09T00:00:00"/>
    <s v="November 23 Week 2"/>
    <n v="7"/>
    <d v="2023-11-16T00:00:00"/>
    <s v="November 23 Week 3"/>
    <d v="2024-03-19T00:00:00"/>
    <s v="March 24 Week 3"/>
    <d v="2024-03-30T00:00:00"/>
    <s v="March 24 Week 5"/>
    <s v="YTL"/>
    <s v=" "/>
    <s v=" "/>
    <x v="7"/>
    <s v="9. EPC Ready"/>
    <s v="9. EPC Ready"/>
    <m/>
  </r>
  <r>
    <s v="PHSmarS196"/>
    <n v="130"/>
    <s v="D. Pharma Format"/>
    <s v="Pharma Format"/>
    <x v="9"/>
    <s v="Refit"/>
    <s v="South"/>
    <x v="3"/>
    <s v="Kerala"/>
    <s v="Pulippara Tower Opposite Sbi Kummil  , Kadakkal Kollam , Branch Kadakkal Pangodu Road Kummil Po  , Kummil , 691536"/>
    <s v="KUMMIL"/>
    <n v="412"/>
    <s v="NETMVQBMG00"/>
    <s v="Arun Mahesh"/>
    <d v="2023-10-23T00:00:00"/>
    <s v="October 23 Week 4"/>
    <d v="2023-10-23T00:00:00"/>
    <s v="October 23 Week 4"/>
    <n v="7"/>
    <d v="2023-10-30T00:00:00"/>
    <s v="October 23 Week 5"/>
    <d v="2023-11-15T00:00:00"/>
    <s v="November 23 Week 3"/>
    <m/>
    <s v=""/>
    <s v="YTL"/>
    <s v=" "/>
    <s v=" "/>
    <x v="7"/>
    <s v="9. EPC Ready"/>
    <s v="9. EPC Ready"/>
    <m/>
  </r>
  <r>
    <s v="PHSmarE197"/>
    <n v="131"/>
    <s v="D. Pharma Format"/>
    <s v="Pharma Format"/>
    <x v="9"/>
    <s v="Refit"/>
    <s v="East"/>
    <x v="3"/>
    <s v="Jharkhand"/>
    <s v="GF Mouza - Garilong Thana No. 59  ,  Dist - Chatra , Khata No. 48 Plot No.1106 Thana -Tandwa  , Tandwa , 825321"/>
    <s v="Tandwa"/>
    <n v="400"/>
    <s v="NETMQQB5G00"/>
    <s v="Mr. Ratnadip Kar "/>
    <d v="2023-10-03T00:00:00"/>
    <s v="October 23 Week 1"/>
    <d v="2023-10-03T00:00:00"/>
    <s v="October 23 Week 1"/>
    <n v="7"/>
    <d v="2023-10-10T00:00:00"/>
    <s v="October 23 Week 2"/>
    <d v="2024-01-20T00:00:00"/>
    <s v="January 24 Week 3"/>
    <m/>
    <s v=""/>
    <s v="YTL"/>
    <s v=" "/>
    <s v=" "/>
    <x v="7"/>
    <s v="9. EPC Ready"/>
    <s v="9. EPC Ready"/>
    <m/>
  </r>
  <r>
    <s v="PHSmarS199"/>
    <n v="132"/>
    <s v="D. Pharma Format"/>
    <s v="Pharma Format"/>
    <x v="9"/>
    <s v="Refit"/>
    <s v="South"/>
    <x v="3"/>
    <s v="Tamil Nadu"/>
    <s v="Santhipriya Thirumana Mandabam Door No25  , Nagar Thanjavur , 1 156 157 Nanchikottai Road Arokium  , THANJAVUR , 613006"/>
    <s v="Thanjavur"/>
    <n v="400"/>
    <s v="NETMTQVKK00"/>
    <s v="Nazim Khan"/>
    <d v="2023-10-25T00:00:00"/>
    <s v="October 23 Week 4"/>
    <d v="2023-10-25T00:00:00"/>
    <s v="October 23 Week 4"/>
    <n v="7"/>
    <d v="2023-11-01T00:00:00"/>
    <s v="November 23 Week 1"/>
    <d v="2023-11-07T00:00:00"/>
    <s v="November 23 Week 1"/>
    <m/>
    <s v=""/>
    <s v="YTL"/>
    <s v=" "/>
    <s v=" "/>
    <x v="7"/>
    <s v="9. EPC Ready"/>
    <s v="9. EPC Ready"/>
    <m/>
  </r>
  <r>
    <s v="PHSmarN200"/>
    <n v="133"/>
    <s v="D. Pharma Format"/>
    <s v="Pharma Format"/>
    <x v="9"/>
    <s v="Refit"/>
    <s v="North"/>
    <x v="4"/>
    <s v="Rajasthan"/>
    <s v="GF Khasra No1412 Plot No10  , Dist - Dausa , Purohit Ji Ka Tibara Lalsot  , LALSOT , 303503"/>
    <s v="Lalsot "/>
    <n v="401"/>
    <s v="NETMRQB6J00"/>
    <s v="Mr.Balram Soni-8003293109"/>
    <d v="2023-10-12T00:00:00"/>
    <s v="October 23 Week 2"/>
    <d v="2023-10-12T00:00:00"/>
    <s v="October 23 Week 2"/>
    <n v="7"/>
    <d v="2023-10-19T00:00:00"/>
    <s v="October 23 Week 3"/>
    <d v="2023-10-26T00:00:00"/>
    <s v="October 23 Week 4"/>
    <m/>
    <s v=""/>
    <s v="YTL"/>
    <s v=" "/>
    <s v=" "/>
    <x v="7"/>
    <s v="9. EPC Ready"/>
    <s v="9. EPC Ready"/>
    <m/>
  </r>
  <r>
    <s v="PHSmarN201"/>
    <n v="134"/>
    <s v="D. Pharma Format"/>
    <s v="Pharma Format"/>
    <x v="9"/>
    <s v="Refit"/>
    <s v="North"/>
    <x v="4"/>
    <s v="Rajasthan"/>
    <s v="GF &amp; FF 61 Bazar No 02  ,  , Ramganjmandi Kota  , RAMGANJ MANDI , 326519"/>
    <s v="Ramganj mandi"/>
    <n v="396"/>
    <s v="NETMRQBYZ00"/>
    <s v="Sayyed Wasim Ali"/>
    <d v="2023-09-02T00:00:00"/>
    <s v="September 23 Week 1"/>
    <d v="2023-09-02T00:00:00"/>
    <s v="September 23 Week 1"/>
    <n v="7"/>
    <d v="2023-09-09T00:00:00"/>
    <s v="September 23 Week 2"/>
    <d v="2023-09-14T00:00:00"/>
    <s v="September 23 Week 2"/>
    <m/>
    <s v=""/>
    <s v="YTL"/>
    <s v=" "/>
    <s v=" "/>
    <x v="7"/>
    <s v="9. EPC Ready"/>
    <s v="9. EPC Ready"/>
    <m/>
  </r>
  <r>
    <s v="PHSmarS202"/>
    <n v="135"/>
    <s v="D. Pharma Format"/>
    <s v="Pharma Format"/>
    <x v="9"/>
    <s v="Refit"/>
    <s v="South"/>
    <x v="6"/>
    <s v="Orissa"/>
    <s v="Rout Complex At Po Kalyani Nagr Near Sbi  , Dist Cuttack Odisha , Kalyani Nagar Branch Po Ps Madhupatna  , CUTTACK , 753013"/>
    <s v="Cuttack"/>
    <n v="400"/>
    <s v="NETMOQBMH00"/>
    <s v="Reza Ali"/>
    <d v="2023-10-14T00:00:00"/>
    <s v="October 23 Week 2"/>
    <d v="2023-10-14T00:00:00"/>
    <s v="October 23 Week 2"/>
    <n v="7"/>
    <d v="2023-10-21T00:00:00"/>
    <s v="October 23 Week 3"/>
    <d v="2023-10-31T00:00:00"/>
    <s v="October 23 Week 5"/>
    <m/>
    <s v=""/>
    <s v="YTL"/>
    <s v=" "/>
    <s v=" "/>
    <x v="7"/>
    <s v="9. EPC Ready"/>
    <s v="9. EPC Ready"/>
    <m/>
  </r>
  <r>
    <s v="PHSmarE203"/>
    <n v="136"/>
    <s v="D. Pharma Format"/>
    <s v="Pharma Format"/>
    <x v="9"/>
    <s v="Refit"/>
    <s v="East"/>
    <x v="5"/>
    <s v="West Bengal"/>
    <s v="Kandi Katwa Road  , Mursidabad , Village Po Ps Salar  , SALAR , 742401"/>
    <s v="Salar"/>
    <n v="400"/>
    <s v="NETMWQBSH00"/>
    <s v=" Mr. Chandan Bera"/>
    <d v="2023-10-02T00:00:00"/>
    <s v="October 23 Week 1"/>
    <d v="2023-10-02T00:00:00"/>
    <s v="October 23 Week 1"/>
    <n v="7"/>
    <d v="2023-10-09T00:00:00"/>
    <s v="October 23 Week 2"/>
    <d v="2023-11-01T00:00:00"/>
    <s v="November 23 Week 1"/>
    <m/>
    <s v=""/>
    <s v="YTL"/>
    <s v=" "/>
    <s v=" "/>
    <x v="7"/>
    <s v="9. EPC Ready"/>
    <s v="9. EPC Ready"/>
    <m/>
  </r>
  <r>
    <s v="PHSmarE206"/>
    <n v="137"/>
    <s v="D. Pharma Format"/>
    <s v="Pharma Format"/>
    <x v="9"/>
    <s v="Refit"/>
    <s v="East"/>
    <x v="5"/>
    <s v="West Bengal"/>
    <s v="Vill Sahapur PO Kolaghat  , Medinipur , PS Kolaghat Purba  , Kolaghat , 721134"/>
    <s v="Kolaghat"/>
    <n v="400"/>
    <s v="NETMWQBZX00"/>
    <s v="Mr. Shyam Sahu"/>
    <d v="2023-10-01T00:00:00"/>
    <s v="October 23 Week 1"/>
    <d v="2023-10-01T00:00:00"/>
    <s v="October 23 Week 1"/>
    <n v="7"/>
    <d v="2023-10-08T00:00:00"/>
    <s v="October 23 Week 2"/>
    <d v="2024-01-06T00:00:00"/>
    <s v="January 24 Week 1"/>
    <m/>
    <s v=""/>
    <s v="YTL"/>
    <s v=" "/>
    <s v=" "/>
    <x v="7"/>
    <s v="9. EPC Ready"/>
    <s v="9. EPC Ready"/>
    <m/>
  </r>
  <r>
    <s v="PHSmarE207"/>
    <n v="138"/>
    <s v="D. Pharma Format"/>
    <s v="Pharma Format"/>
    <x v="9"/>
    <s v="Refit"/>
    <s v="East"/>
    <x v="3"/>
    <s v="Bihar"/>
    <s v="GF Parvati Commercial Complex  , Thana &amp; Mauza - Mashrakh Thana No 139 , Khata No 299, Kh No 5705 Tauzi No 2556 , Dist - Saran , MASRAKH , 841417"/>
    <s v="Mashrak"/>
    <n v="400"/>
    <s v="NETMBQBXB00"/>
    <s v="Mr. Roshan Kumar"/>
    <d v="2023-09-11T00:00:00"/>
    <s v="September 23 Week 2"/>
    <d v="2023-09-11T00:00:00"/>
    <s v="September 23 Week 2"/>
    <n v="7"/>
    <d v="2023-09-18T00:00:00"/>
    <s v="September 23 Week 3"/>
    <d v="2024-01-09T00:00:00"/>
    <s v="January 24 Week 2"/>
    <m/>
    <s v=""/>
    <s v="YTL"/>
    <s v=" "/>
    <s v=" "/>
    <x v="7"/>
    <s v="9. EPC Ready"/>
    <s v="9. EPC Ready"/>
    <m/>
  </r>
  <r>
    <s v="PHSmarE208"/>
    <n v="139"/>
    <s v="D. Pharma Format"/>
    <s v="Pharma Format"/>
    <x v="9"/>
    <s v="Refit"/>
    <s v="East"/>
    <x v="5"/>
    <s v="West Bengal"/>
    <s v="Mouza Madha Sahapur Jl 110 PO  , Uttar Dinajpur , Sahapur PS Gaolpukur Sahapur  , Sahapur , 733210"/>
    <s v="Sahapur"/>
    <n v="401"/>
    <s v="NETMWQB1F00"/>
    <s v="Shukdev Day"/>
    <d v="2023-09-30T00:00:00"/>
    <s v="September 23 Week 5"/>
    <d v="2023-09-30T00:00:00"/>
    <s v="September 23 Week 5"/>
    <n v="7"/>
    <d v="2023-10-07T00:00:00"/>
    <s v="October 23 Week 1"/>
    <d v="2023-11-01T00:00:00"/>
    <s v="November 23 Week 1"/>
    <m/>
    <s v=""/>
    <s v="YTL"/>
    <s v=" "/>
    <s v=" "/>
    <x v="7"/>
    <s v="9. EPC Ready"/>
    <s v="9. EPC Ready"/>
    <m/>
  </r>
  <r>
    <s v="PHSmarN210"/>
    <n v="140"/>
    <s v="D. Pharma Format"/>
    <s v="Pharma Format"/>
    <x v="9"/>
    <s v="Refit"/>
    <s v="North"/>
    <x v="4"/>
    <s v="Haryana"/>
    <s v="Psm Complex Near Kathuria  , Gharaunda Karnal , Hotel Gt Road  , Gharaunda , 132114"/>
    <s v="GHARAUNDA"/>
    <n v="398"/>
    <s v="NETMHQBQY00"/>
    <s v="Surender Dhaka-7009328484"/>
    <d v="2023-09-25T00:00:00"/>
    <s v="September 23 Week 4"/>
    <d v="2023-09-25T00:00:00"/>
    <s v="September 23 Week 4"/>
    <n v="7"/>
    <d v="2023-10-02T00:00:00"/>
    <s v="October 23 Week 1"/>
    <d v="2023-10-03T00:00:00"/>
    <s v="October 23 Week 1"/>
    <m/>
    <s v=""/>
    <s v="YTL"/>
    <s v=" "/>
    <s v=" "/>
    <x v="7"/>
    <s v="9. EPC Ready"/>
    <s v="9. EPC Ready"/>
    <m/>
  </r>
  <r>
    <s v="PHSmarN211"/>
    <n v="141"/>
    <s v="D. Pharma Format"/>
    <s v="Pharma Format"/>
    <x v="9"/>
    <s v="Refit"/>
    <s v="North"/>
    <x v="4"/>
    <s v="Himachal Pradesh"/>
    <s v="Parashar Complex Rehlu Road  , Shahpur Kangra , Near Mini Secretariat  , SHAHPUR , 176206"/>
    <s v="KANGRA"/>
    <n v="400"/>
    <s v="NETMIQSEE00"/>
    <s v="Yogesh Kapoor-7888699608"/>
    <d v="2023-10-16T00:00:00"/>
    <s v="October 23 Week 3"/>
    <d v="2023-10-16T00:00:00"/>
    <s v="October 23 Week 3"/>
    <n v="7"/>
    <d v="2023-10-23T00:00:00"/>
    <s v="October 23 Week 4"/>
    <d v="2023-11-03T00:00:00"/>
    <s v="November 23 Week 1"/>
    <m/>
    <s v=""/>
    <s v="YTL"/>
    <s v=" "/>
    <s v=" "/>
    <x v="7"/>
    <s v="9. EPC Ready"/>
    <s v="9. EPC Ready"/>
    <m/>
  </r>
  <r>
    <s v="PHSmarN212"/>
    <n v="142"/>
    <s v="D. Pharma Format"/>
    <s v="Pharma Format"/>
    <x v="9"/>
    <s v="Refit"/>
    <s v="North"/>
    <x v="4"/>
    <s v="Uttar Pradesh"/>
    <s v="GF Khasra No 260 Village - Shahgarh  , Dist - Bareilly , Pargana - Chaumahla Tehsil - Baheri  , BAHERI , 243201"/>
    <s v="BAHERI"/>
    <n v="400"/>
    <s v="NETMUQBQG00"/>
    <s v="Priyanshu Pandey"/>
    <d v="2023-09-27T00:00:00"/>
    <s v="September 23 Week 4"/>
    <d v="2023-09-27T00:00:00"/>
    <s v="September 23 Week 4"/>
    <n v="7"/>
    <d v="2023-10-04T00:00:00"/>
    <s v="October 23 Week 1"/>
    <d v="2023-10-06T00:00:00"/>
    <s v="October 23 Week 1"/>
    <m/>
    <s v=""/>
    <s v="YTL"/>
    <s v=" "/>
    <s v=" "/>
    <x v="7"/>
    <s v="9. EPC Ready"/>
    <s v="9. EPC Ready"/>
    <m/>
  </r>
  <r>
    <s v="PHSmarE213"/>
    <n v="143"/>
    <s v="D. Pharma Format"/>
    <s v="Pharma Format"/>
    <x v="9"/>
    <s v="Refit"/>
    <s v="East"/>
    <x v="5"/>
    <s v="West Bengal"/>
    <s v="Vill Po Dashghara  , Hoogly , Ps Dhaniakhali  , Tarakeswar , 712402"/>
    <s v="TARAKESWAR"/>
    <n v="399"/>
    <s v="NETMWQBUA00"/>
    <s v="Chiranjib Pramanik"/>
    <d v="2023-10-09T00:00:00"/>
    <s v="October 23 Week 2"/>
    <d v="2023-10-09T00:00:00"/>
    <s v="October 23 Week 2"/>
    <n v="7"/>
    <d v="2023-10-16T00:00:00"/>
    <s v="October 23 Week 3"/>
    <d v="2023-10-16T00:00:00"/>
    <s v="October 23 Week 3"/>
    <m/>
    <s v=""/>
    <s v="YTL"/>
    <s v=" "/>
    <s v=" "/>
    <x v="7"/>
    <s v="9. EPC Ready"/>
    <s v="9. EPC Ready"/>
    <m/>
  </r>
  <r>
    <s v="PHSmarE214"/>
    <n v="144"/>
    <s v="D. Pharma Format"/>
    <s v="Pharma Format"/>
    <x v="9"/>
    <s v="Refit"/>
    <s v="East"/>
    <x v="5"/>
    <s v="West Bengal"/>
    <s v="Chachanda Gram Panchayat PO Chachunda  , LR Plot No 610 LR Khatian No 1425 , Samserganj JL No 082 Mouza Chachanda , Samserganj , JANGIPUR , 742202"/>
    <s v="Jangipur"/>
    <n v="394"/>
    <s v="NETMWQB3F00"/>
    <s v=" Mr. Chandan Bera"/>
    <d v="2023-09-27T00:00:00"/>
    <s v="September 23 Week 4"/>
    <d v="2023-09-27T00:00:00"/>
    <s v="September 23 Week 4"/>
    <n v="7"/>
    <d v="2023-10-04T00:00:00"/>
    <s v="October 23 Week 1"/>
    <d v="2023-11-21T00:00:00"/>
    <s v="November 23 Week 3"/>
    <m/>
    <s v=""/>
    <s v="YTL"/>
    <s v=" "/>
    <s v=" "/>
    <x v="7"/>
    <s v="9. EPC Ready"/>
    <s v="9. EPC Ready"/>
    <m/>
  </r>
  <r>
    <s v="PHSmarE215"/>
    <n v="145"/>
    <s v="D. Pharma Format"/>
    <s v="Pharma Format"/>
    <x v="9"/>
    <s v="Refit"/>
    <s v="East"/>
    <x v="3"/>
    <s v="Bihar"/>
    <s v="Manju Devi Champa Gauri Kunj Nh 531  , Daronda Siwan , Daronda Road Canara Bank  , Daronda , 841223"/>
    <s v="Daronda"/>
    <n v="400"/>
    <s v="NETMBQBZC00"/>
    <s v=" Mr. Kamlesh Vishwakarma "/>
    <d v="2023-09-11T00:00:00"/>
    <s v="September 23 Week 2"/>
    <d v="2023-09-11T00:00:00"/>
    <s v="September 23 Week 2"/>
    <n v="7"/>
    <d v="2023-09-18T00:00:00"/>
    <s v="September 23 Week 3"/>
    <d v="2023-12-15T00:00:00"/>
    <s v="December 23 Week 3"/>
    <m/>
    <s v=""/>
    <s v="YTL"/>
    <s v=" "/>
    <s v=" "/>
    <x v="7"/>
    <s v="9. EPC Ready"/>
    <s v="9. EPC Ready"/>
    <m/>
  </r>
  <r>
    <s v="PHSmarE216"/>
    <n v="146"/>
    <s v="D. Pharma Format"/>
    <s v="Pharma Format"/>
    <x v="9"/>
    <s v="Refit"/>
    <s v="East"/>
    <x v="3"/>
    <s v="Telangana"/>
    <s v="House No 4 2 78 To 80 Opposite Hari  , Mahabubabad , Kishan Oil Mill Marwadi Bazaar  , MAHABUBABAD , 506101"/>
    <s v="Mahabubbad"/>
    <n v="400"/>
    <s v="NETMNQB5R00"/>
    <s v="Sudhakar Veerla- 9502135135"/>
    <d v="2023-09-28T00:00:00"/>
    <s v="September 23 Week 4"/>
    <d v="2023-09-28T00:00:00"/>
    <s v="September 23 Week 4"/>
    <n v="7"/>
    <d v="2023-10-05T00:00:00"/>
    <s v="October 23 Week 1"/>
    <d v="2023-10-30T00:00:00"/>
    <s v="October 23 Week 5"/>
    <m/>
    <s v=""/>
    <s v="YTL"/>
    <s v=" "/>
    <s v=" "/>
    <x v="7"/>
    <s v="9. EPC Ready"/>
    <s v="9. EPC Ready"/>
    <m/>
  </r>
  <r>
    <s v="PHSmarS217"/>
    <n v="147"/>
    <s v="D. Pharma Format"/>
    <s v="Pharma Format"/>
    <x v="9"/>
    <s v="Refit"/>
    <s v="South"/>
    <x v="3"/>
    <s v="Kerala"/>
    <s v="Gf Shop No 20 364 A9 To 20 364 A19  , Musliyarangadi Po Nediyiruppu , Evvy Mall Near Sub Rto Kondotty  , KONDOTTY , 673638"/>
    <s v="Kondotty"/>
    <n v="400"/>
    <s v="NETMVQ30S00"/>
    <m/>
    <d v="2023-11-02T00:00:00"/>
    <s v="November 23 Week 1"/>
    <d v="2023-11-02T00:00:00"/>
    <s v="November 23 Week 1"/>
    <n v="7"/>
    <d v="2023-11-09T00:00:00"/>
    <s v="November 23 Week 2"/>
    <d v="2023-11-15T00:00:00"/>
    <s v="November 23 Week 3"/>
    <m/>
    <s v=""/>
    <s v="YTL"/>
    <s v=" "/>
    <s v=" "/>
    <x v="7"/>
    <s v="9. EPC Ready"/>
    <s v="9. EPC Ready"/>
    <m/>
  </r>
  <r>
    <s v="PHSmarN218"/>
    <n v="148"/>
    <s v="D. Pharma Format"/>
    <s v="Pharma Format"/>
    <x v="9"/>
    <s v="Refit"/>
    <s v="North"/>
    <x v="4"/>
    <s v="Uttarakhand"/>
    <s v="GF RHP Complex Khasra No 7  , Tehsil &amp; Dist Haridwar , Village Sultanpur Majri Pargana Jwalapur  , HARIDWAR , 249403"/>
    <s v="HARIDWAR"/>
    <n v="400"/>
    <s v="NETM5QBXG00"/>
    <s v="Manoj Agarwal-8811031166"/>
    <d v="2023-09-21T00:00:00"/>
    <s v="September 23 Week 3"/>
    <d v="2023-09-21T00:00:00"/>
    <s v="September 23 Week 3"/>
    <n v="7"/>
    <d v="2023-09-28T00:00:00"/>
    <s v="September 23 Week 4"/>
    <d v="2023-09-29T00:00:00"/>
    <s v="September 23 Week 5"/>
    <m/>
    <s v=""/>
    <s v="YTL"/>
    <s v=" "/>
    <s v=" "/>
    <x v="7"/>
    <s v="9. EPC Ready"/>
    <s v="9. EPC Ready"/>
    <m/>
  </r>
  <r>
    <s v="PHSmarE219"/>
    <n v="149"/>
    <s v="D. Pharma Format"/>
    <s v="Pharma Format"/>
    <x v="9"/>
    <s v="Refit"/>
    <s v="East"/>
    <x v="5"/>
    <s v="West Bengal"/>
    <s v="GF Maslandapur- 1 No Gram Panchayat  , Habra JL169 L.R Plot60 L.R Khatian 1792 , PO &amp; Mouza - Maslandapur PS Block &amp;ADSRO , Sansad No. 14  Dist - North 24 Parganas , Gobardanga , 743289"/>
    <s v="Gobardanga"/>
    <n v="400"/>
    <s v="NETMWQB3Y00"/>
    <m/>
    <d v="2023-12-25T00:00:00"/>
    <s v="December 23 Week 4"/>
    <d v="2023-12-25T00:00:00"/>
    <s v="December 23 Week 4"/>
    <n v="7"/>
    <d v="2024-01-01T00:00:00"/>
    <s v="January 24 Week 1"/>
    <d v="2024-01-08T00:00:00"/>
    <s v="January 24 Week 2"/>
    <m/>
    <s v=""/>
    <s v="YTL"/>
    <s v=" "/>
    <s v=" "/>
    <x v="7"/>
    <s v="9. EPC Ready"/>
    <s v="9. EPC Ready"/>
    <m/>
  </r>
  <r>
    <s v="PHSmarS220"/>
    <n v="150"/>
    <s v="D. Pharma Format"/>
    <s v="Pharma Format"/>
    <x v="9"/>
    <s v="Refit"/>
    <s v="South"/>
    <x v="3"/>
    <s v="Tamil Nadu"/>
    <s v="Dp Complex, D.No: 263 / A1,Sasthri Nagar,Erode,,638002,Tamilnadu"/>
    <s v="ERODE"/>
    <n v="400"/>
    <s v="NETMTQB7C00"/>
    <s v="Janarthanan Ekambaram-9566241523"/>
    <d v="2023-08-04T00:00:00"/>
    <s v="August 23 Week 1"/>
    <d v="2023-08-04T00:00:00"/>
    <s v="August 23 Week 1"/>
    <n v="7"/>
    <d v="2023-08-11T00:00:00"/>
    <s v="August 23 Week 2"/>
    <d v="2023-09-01T00:00:00"/>
    <s v="September 23 Week 1"/>
    <m/>
    <s v=""/>
    <s v="YTL"/>
    <s v=" "/>
    <s v=" "/>
    <x v="7"/>
    <s v="9. EPC Ready"/>
    <s v="9. EPC Ready"/>
    <m/>
  </r>
  <r>
    <s v="PHSmarE221"/>
    <n v="151"/>
    <s v="D. Pharma Format"/>
    <s v="Pharma Format"/>
    <x v="9"/>
    <s v="Refit"/>
    <s v="East"/>
    <x v="5"/>
    <s v="West Bengal"/>
    <s v="Egra Road Bajkul Po Kismat  , Bajkul Purba Medinipur , Bajkul Ps Bhupatinagar  , Bajkul , 721655"/>
    <s v="BAJKUL"/>
    <n v="419"/>
    <s v="NETMWQBWB00"/>
    <s v="Sagar Neyogi-7980192700"/>
    <d v="2024-04-05T00:00:00"/>
    <s v="April 24 Week 1"/>
    <d v="2024-04-05T00:00:00"/>
    <s v="April 24 Week 1"/>
    <n v="7"/>
    <d v="2024-04-12T00:00:00"/>
    <s v="April 24 Week 2"/>
    <d v="2024-04-11T00:00:00"/>
    <s v="April 24 Week 2"/>
    <d v="2024-04-10T00:00:00"/>
    <s v="April 24 Week 2"/>
    <s v="YTL"/>
    <s v=" "/>
    <s v=" "/>
    <x v="7"/>
    <s v="9. EPC Ready"/>
    <s v="9. EPC Ready"/>
    <m/>
  </r>
  <r>
    <s v="PHSmarS222"/>
    <n v="152"/>
    <s v="D. Pharma Format"/>
    <s v="Pharma Format"/>
    <x v="9"/>
    <s v="Refit"/>
    <s v="South"/>
    <x v="3"/>
    <s v="Karnataka"/>
    <s v="Property bearing No 7 482BB Bearing Asse  , No 7 Oppsite To MGSV Engineer College , sment No 1697 Kollegala City South Ward  , KOLLEGAL , 571440"/>
    <s v="Kollegal"/>
    <n v="458"/>
    <s v="NETMKQB3Z00"/>
    <s v="Sreekanth.Bijjhalli-9900039061"/>
    <d v="2023-11-22T00:00:00"/>
    <s v="November 23 Week 4"/>
    <d v="2023-11-22T00:00:00"/>
    <s v="November 23 Week 4"/>
    <n v="7"/>
    <d v="2023-11-29T00:00:00"/>
    <s v="November 23 Week 5"/>
    <d v="2023-12-22T00:00:00"/>
    <s v="December 23 Week 4"/>
    <m/>
    <s v=""/>
    <s v="YTL"/>
    <s v=" "/>
    <s v=" "/>
    <x v="7"/>
    <s v="9. EPC Ready"/>
    <s v="9. EPC Ready"/>
    <m/>
  </r>
  <r>
    <s v="PHSmarS223"/>
    <n v="153"/>
    <s v="D. Pharma Format"/>
    <s v="Pharma Format"/>
    <x v="9"/>
    <s v="Refit"/>
    <s v="South"/>
    <x v="3"/>
    <s v="Karnataka"/>
    <s v="Sadashiv Nadavalagudda Complex  , Gadag Betageri , Kalasapura Nandishwar Nagatr  , Gadag , 582103"/>
    <s v="GADAG"/>
    <n v="400"/>
    <s v="NETMKQB3X00"/>
    <s v="Sreekanth.Bijjhalli-9900039061"/>
    <d v="2024-03-26T00:00:00"/>
    <s v="March 24 Week 4"/>
    <d v="2024-03-26T00:00:00"/>
    <s v="March 24 Week 4"/>
    <n v="7"/>
    <d v="2024-04-02T00:00:00"/>
    <s v="April 24 Week 1"/>
    <d v="2024-03-31T00:00:00"/>
    <s v="March 24 Week 5"/>
    <d v="2024-04-01T00:00:00"/>
    <s v="April 24 Week 1"/>
    <s v="YTL"/>
    <s v=" "/>
    <s v=" "/>
    <x v="7"/>
    <s v="9. EPC Ready"/>
    <s v="9. EPC Ready"/>
    <m/>
  </r>
  <r>
    <s v="PHSmarS224"/>
    <n v="154"/>
    <s v="D. Pharma Format"/>
    <s v="Pharma Format"/>
    <x v="9"/>
    <s v="Refit"/>
    <s v="South"/>
    <x v="3"/>
    <s v="Tamil Nadu"/>
    <s v="Mrs S Pappathi Ss Thirumana Mahal DoorNo  , Ariyalur , 24 5C Rajeev Nagar Opp Kvs Hospital  , ARIYALUR , 621704"/>
    <s v="Ariyalur"/>
    <n v="400"/>
    <s v="NETMTQBXS00"/>
    <m/>
    <d v="2023-12-04T00:00:00"/>
    <s v="December 23 Week 1"/>
    <d v="2023-12-04T00:00:00"/>
    <s v="December 23 Week 1"/>
    <n v="7"/>
    <d v="2023-12-11T00:00:00"/>
    <s v="December 23 Week 2"/>
    <d v="2023-12-26T00:00:00"/>
    <s v="December 23 Week 4"/>
    <m/>
    <s v=""/>
    <s v="YTL"/>
    <s v=" "/>
    <s v=" "/>
    <x v="7"/>
    <s v="9. EPC Ready"/>
    <s v="9. EPC Ready"/>
    <m/>
  </r>
  <r>
    <s v="PHSmarS225"/>
    <n v="155"/>
    <s v="D. Pharma Format"/>
    <s v="Pharma Format"/>
    <x v="9"/>
    <s v="Refit"/>
    <s v="South"/>
    <x v="3"/>
    <s v="Tamil Nadu"/>
    <s v="GF Xaviers Building Medavilagam  ,  , Kollamcode Choozhat Kanyakumari  , CHOOZHAL , 629160"/>
    <s v="CHOOZHAL"/>
    <n v="400"/>
    <s v="NETMTQB4O00"/>
    <s v="Janarthanan Ekambaram-9566241523"/>
    <d v="2023-11-06T00:00:00"/>
    <s v="November 23 Week 1"/>
    <d v="2023-11-06T00:00:00"/>
    <s v="November 23 Week 1"/>
    <n v="7"/>
    <d v="2023-11-13T00:00:00"/>
    <s v="November 23 Week 2"/>
    <d v="2023-12-01T00:00:00"/>
    <s v="December 23 Week 1"/>
    <m/>
    <s v=""/>
    <s v="YTL"/>
    <s v=" "/>
    <s v=" "/>
    <x v="7"/>
    <s v="9. EPC Ready"/>
    <s v="9. EPC Ready"/>
    <m/>
  </r>
  <r>
    <s v="PHSmarE226"/>
    <n v="156"/>
    <s v="D. Pharma Format"/>
    <s v="Pharma Format"/>
    <x v="9"/>
    <s v="Refit"/>
    <s v="East"/>
    <x v="5"/>
    <s v="West Bengal"/>
    <s v="Arjunpur Po Arjunpur Ps Farraka  , Farakka Murshidabad , Landmark Beside Post Office  , FARAKKA , 742202"/>
    <s v="Farakka"/>
    <n v="398"/>
    <s v="NETMWQBXC00"/>
    <s v="Sagar Neyogi-7980192700"/>
    <d v="2023-12-30T00:00:00"/>
    <s v="December 23 Week 5"/>
    <d v="2023-12-30T00:00:00"/>
    <s v="December 23 Week 5"/>
    <n v="7"/>
    <d v="2024-01-06T00:00:00"/>
    <s v="January 24 Week 1"/>
    <d v="2024-01-10T00:00:00"/>
    <s v="January 24 Week 2"/>
    <m/>
    <s v=""/>
    <s v="YTL"/>
    <s v=" "/>
    <s v=" "/>
    <x v="7"/>
    <s v="9. EPC Ready"/>
    <s v="9. EPC Ready"/>
    <m/>
  </r>
  <r>
    <s v="PHSmarE227"/>
    <n v="157"/>
    <s v="D. Pharma Format"/>
    <s v="Pharma Format"/>
    <x v="9"/>
    <s v="Refit"/>
    <s v="East"/>
    <x v="3"/>
    <s v="Bihar"/>
    <s v="Gf Plot No 193 Khata No 39  , Ps Fatehpur , Revenue Thana No 135 Mauza Gaurichak  , PATNA , 800007"/>
    <s v="Patna"/>
    <n v="400"/>
    <s v="NETMBQ3H900"/>
    <s v="Mr. Jitendra Kumar-6201750698"/>
    <d v="2023-10-03T00:00:00"/>
    <s v="October 23 Week 1"/>
    <d v="2023-10-03T00:00:00"/>
    <s v="October 23 Week 1"/>
    <n v="7"/>
    <d v="2023-10-10T00:00:00"/>
    <s v="October 23 Week 2"/>
    <d v="2023-11-16T00:00:00"/>
    <s v="November 23 Week 3"/>
    <m/>
    <s v=""/>
    <s v="YTL"/>
    <s v=" "/>
    <s v=" "/>
    <x v="7"/>
    <s v="9. EPC Ready"/>
    <s v="9. EPC Ready"/>
    <m/>
  </r>
  <r>
    <s v="PHSmarS228"/>
    <n v="158"/>
    <s v="D. Pharma Format"/>
    <s v="Pharma Format"/>
    <x v="9"/>
    <s v="Refit"/>
    <s v="South"/>
    <x v="3"/>
    <s v="Tamil Nadu"/>
    <s v="GF, Nandha Arcade, No 6, 6/1,   , Near Punjab National Bank, Udumalpet,  , Yasodha Ramalingam Layout,  , Dist - Tiruppur, Tamil Nadu , UDUMALPET , 642126"/>
    <s v="Udumalaippettai"/>
    <n v="400"/>
    <s v="NETMTQB7O00"/>
    <m/>
    <d v="2023-10-23T00:00:00"/>
    <s v="October 23 Week 4"/>
    <d v="2023-10-23T00:00:00"/>
    <s v="October 23 Week 4"/>
    <n v="7"/>
    <d v="2023-10-30T00:00:00"/>
    <s v="October 23 Week 5"/>
    <d v="2023-12-09T00:00:00"/>
    <s v="December 23 Week 2"/>
    <m/>
    <s v=""/>
    <s v="YTL"/>
    <s v=" "/>
    <s v=" "/>
    <x v="7"/>
    <s v="9. EPC Ready"/>
    <s v="9. EPC Ready"/>
    <m/>
  </r>
  <r>
    <s v="PHSmarS229"/>
    <n v="159"/>
    <s v="D. Pharma Format"/>
    <s v="Pharma Format"/>
    <x v="9"/>
    <s v="Refit"/>
    <s v="South"/>
    <x v="6"/>
    <s v="Andhra Pradesh"/>
    <s v="Vk Building Perumal Temple Steet  , Nagari Chittoor , Opp To Union Bank Of India  , NAGARI , 517590"/>
    <s v="Nagari"/>
    <n v="411"/>
    <s v="NETMAQBVZ00"/>
    <s v="Mr. Deepti Chandrashekhar"/>
    <d v="2023-09-27T00:00:00"/>
    <s v="September 23 Week 4"/>
    <d v="2023-09-27T00:00:00"/>
    <s v="September 23 Week 4"/>
    <n v="7"/>
    <d v="2023-10-04T00:00:00"/>
    <s v="October 23 Week 1"/>
    <d v="2023-10-05T00:00:00"/>
    <s v="October 23 Week 1"/>
    <m/>
    <s v=""/>
    <s v="YTL"/>
    <s v=" "/>
    <s v=" "/>
    <x v="7"/>
    <s v="9. EPC Ready"/>
    <s v="9. EPC Ready"/>
    <m/>
  </r>
  <r>
    <s v="PHSmarS230"/>
    <n v="160"/>
    <s v="D. Pharma Format"/>
    <s v="Pharma Format"/>
    <x v="9"/>
    <s v="Refit"/>
    <s v="South"/>
    <x v="3"/>
    <s v="Tamil Nadu"/>
    <s v="S F No 1 2De3 Thuraiyur Main Road Near  , Bunk Musiri Trichy , Sadasivam Pillai Petrol  , MUSIRI , 621211"/>
    <s v="Musiri"/>
    <n v="400"/>
    <s v="NETMTQB2P00"/>
    <m/>
    <d v="2023-10-25T00:00:00"/>
    <s v="October 23 Week 4"/>
    <d v="2023-10-25T00:00:00"/>
    <s v="October 23 Week 4"/>
    <n v="7"/>
    <d v="2023-11-01T00:00:00"/>
    <s v="November 23 Week 1"/>
    <d v="2023-12-11T00:00:00"/>
    <s v="December 23 Week 2"/>
    <m/>
    <s v=""/>
    <s v="YTL"/>
    <s v=" "/>
    <s v=" "/>
    <x v="7"/>
    <s v="9. EPC Ready"/>
    <s v="9. EPC Ready"/>
    <m/>
  </r>
  <r>
    <s v="PHSmarE234"/>
    <n v="161"/>
    <s v="D. Pharma Format"/>
    <s v="Pharma Format"/>
    <x v="9"/>
    <s v="Refit"/>
    <s v="East"/>
    <x v="5"/>
    <s v="West Bengal"/>
    <s v="GFMouza KhariJL106 LR Dag 2160 2157/8106  , PS Raidighi Block Matharpur-II Sansad , LR Khatian No 8863 8862 PO Kashinagar , 20 Dist. South 24 Parganas West bengal , Kashinagar , 743349"/>
    <s v="Kashinagar"/>
    <n v="400"/>
    <s v="NETMWQGGX00"/>
    <m/>
    <d v="2023-11-30T00:00:00"/>
    <s v="November 23 Week 5"/>
    <d v="2023-11-30T00:00:00"/>
    <s v="November 23 Week 5"/>
    <n v="7"/>
    <d v="2023-12-07T00:00:00"/>
    <s v="December 23 Week 1"/>
    <d v="2024-01-12T00:00:00"/>
    <s v="January 24 Week 2"/>
    <m/>
    <s v=""/>
    <s v="YTL"/>
    <s v=" "/>
    <s v=" "/>
    <x v="7"/>
    <s v="9. EPC Ready"/>
    <s v="9. EPC Ready"/>
    <m/>
  </r>
  <r>
    <s v="PHSmarN235"/>
    <n v="162"/>
    <s v="D. Pharma Format"/>
    <s v="Pharma Format"/>
    <x v="9"/>
    <s v="Refit"/>
    <s v="North"/>
    <x v="4"/>
    <s v="Uttar Pradesh"/>
    <s v="Sinha Complex 274 374 2  , Lucknow , Rajendra Nagar Hospital  , LUCKNOW , 226004"/>
    <s v="Lucknow"/>
    <n v="400"/>
    <s v="NETMUQBXQ00"/>
    <s v="Abhay Srivastav-9305109175"/>
    <d v="2023-10-17T00:00:00"/>
    <s v="October 23 Week 3"/>
    <d v="2023-10-17T00:00:00"/>
    <s v="October 23 Week 3"/>
    <n v="7"/>
    <d v="2023-10-24T00:00:00"/>
    <s v="October 23 Week 4"/>
    <d v="2023-10-27T00:00:00"/>
    <s v="October 23 Week 4"/>
    <m/>
    <s v=""/>
    <s v="YTL"/>
    <s v=" "/>
    <s v=" "/>
    <x v="7"/>
    <s v="9. EPC Ready"/>
    <s v="9. EPC Ready"/>
    <m/>
  </r>
  <r>
    <s v="PHSmarE236"/>
    <n v="163"/>
    <s v="D. Pharma Format"/>
    <s v="Pharma Format"/>
    <x v="9"/>
    <s v="Refit"/>
    <s v="East"/>
    <x v="5"/>
    <s v="West Bengal"/>
    <s v="GF Bantika Boinchee Gram Panchayat,PO  , Mouza BantikaLR Plot2176 LR Khatian 4637 , Boinchee PS Block &amp; ADSRO Pandua JL No07 , 4645 Sansad 28 , Bainchi , 712134"/>
    <s v="Bainchi"/>
    <n v="400"/>
    <s v="NETMWQB3A00"/>
    <m/>
    <d v="2023-11-01T00:00:00"/>
    <s v="November 23 Week 1"/>
    <d v="2023-11-01T00:00:00"/>
    <s v="November 23 Week 1"/>
    <n v="7"/>
    <d v="2023-11-08T00:00:00"/>
    <s v="November 23 Week 2"/>
    <d v="2023-11-04T00:00:00"/>
    <s v="November 23 Week 1"/>
    <m/>
    <s v=""/>
    <s v="YTL"/>
    <s v=" "/>
    <s v=" "/>
    <x v="7"/>
    <s v="9. EPC Ready"/>
    <s v="9. EPC Ready"/>
    <m/>
  </r>
  <r>
    <s v="PHSmarW238"/>
    <n v="164"/>
    <s v="D. Pharma Format"/>
    <s v="Pharma Format"/>
    <x v="9"/>
    <s v="Refit"/>
    <s v="West"/>
    <x v="4"/>
    <s v="Chattisgarh"/>
    <s v="GF, Khasra No. 185/3  , Chirmiri , Teshil Chirmiri, distt Koriya , Chirimiri, Ph No. 13, RIC  , CHIRMIRI , 497451"/>
    <s v="CHIRMIRI"/>
    <n v="400"/>
    <s v="NETMCQB6P00"/>
    <s v="Vivek Surjagade-9770016041"/>
    <d v="2023-08-18T00:00:00"/>
    <s v="August 23 Week 3"/>
    <d v="2023-08-18T00:00:00"/>
    <s v="August 23 Week 3"/>
    <n v="7"/>
    <d v="2023-08-25T00:00:00"/>
    <s v="August 23 Week 4"/>
    <d v="2023-09-07T00:00:00"/>
    <s v="September 23 Week 1"/>
    <m/>
    <s v=""/>
    <s v="YTL"/>
    <s v=" "/>
    <s v=" "/>
    <x v="7"/>
    <s v="9. EPC Ready"/>
    <s v="9. EPC Ready"/>
    <m/>
  </r>
  <r>
    <s v="PHSmarW239"/>
    <n v="165"/>
    <s v="D. Pharma Format"/>
    <s v="Pharma Format"/>
    <x v="9"/>
    <s v="Refit"/>
    <s v="West"/>
    <x v="4"/>
    <s v="Chattisgarh"/>
    <s v="GF, Khasra No 1070/3/1  , Teshil and Distt Jashpur , Jashpur PH No. 7, RIC Jashpur  , Jashpur , 496331"/>
    <s v="JashpurNagar"/>
    <n v="400"/>
    <s v="NETMCQBZE00"/>
    <s v="Vivek Surjagade-9770016041"/>
    <d v="2023-07-25T00:00:00"/>
    <s v="July 23 Week 4"/>
    <d v="2023-07-25T00:00:00"/>
    <s v="July 23 Week 4"/>
    <n v="7"/>
    <d v="2023-08-01T00:00:00"/>
    <s v="August 23 Week 1"/>
    <d v="2023-08-17T00:00:00"/>
    <s v="August 23 Week 3"/>
    <m/>
    <s v=""/>
    <s v="YTL"/>
    <s v=" "/>
    <s v=" "/>
    <x v="7"/>
    <s v="9. EPC Ready"/>
    <s v="9. EPC Ready"/>
    <m/>
  </r>
  <r>
    <s v="PHSmarN240"/>
    <n v="166"/>
    <s v="D. Pharma Format"/>
    <s v="Pharma Format"/>
    <x v="9"/>
    <s v="Refit"/>
    <s v="North"/>
    <x v="4"/>
    <s v="Rajasthan"/>
    <s v="Basement &amp; Gf Khasra No 1162 Patta No 12  , Dist Jhunjhunu , 15 Chungi To Railway Station Rd Chirawa  , CHIRAWA , 333026"/>
    <s v="Chirawa"/>
    <n v="393"/>
    <s v="NETMRQGEB00"/>
    <s v="Haresh Patil-9909977160"/>
    <d v="2023-09-28T00:00:00"/>
    <s v="September 23 Week 4"/>
    <d v="2023-09-28T00:00:00"/>
    <s v="September 23 Week 4"/>
    <n v="7"/>
    <d v="2023-10-05T00:00:00"/>
    <s v="October 23 Week 1"/>
    <d v="2023-10-07T00:00:00"/>
    <s v="October 23 Week 1"/>
    <m/>
    <s v=""/>
    <s v="YTL"/>
    <s v=" "/>
    <s v=" "/>
    <x v="7"/>
    <s v="9. EPC Ready"/>
    <s v="9. EPC Ready"/>
    <m/>
  </r>
  <r>
    <s v="PHSmarN243"/>
    <n v="167"/>
    <s v="D. Pharma Format"/>
    <s v="Pharma Format"/>
    <x v="9"/>
    <s v="Refit"/>
    <s v="North"/>
    <x v="4"/>
    <s v="Punjab"/>
    <s v="Sco No 8 14 15 Near Lic Office Saili  , Pathankot , Road Near Income Tax Office  , PATHANKOT , 145001"/>
    <s v="Pathankot"/>
    <n v="412"/>
    <s v="NETM9QB4F00"/>
    <s v="Yogesh Kapoor-7888699608"/>
    <d v="2023-10-18T00:00:00"/>
    <s v="October 23 Week 3"/>
    <d v="2023-10-18T00:00:00"/>
    <s v="October 23 Week 3"/>
    <n v="7"/>
    <d v="2023-10-25T00:00:00"/>
    <s v="October 23 Week 4"/>
    <d v="2023-11-02T00:00:00"/>
    <s v="November 23 Week 1"/>
    <m/>
    <s v=""/>
    <s v="YTL"/>
    <s v=" "/>
    <s v=" "/>
    <x v="7"/>
    <s v="9. EPC Ready"/>
    <s v="9. EPC Ready"/>
    <m/>
  </r>
  <r>
    <s v="PHSmarS244"/>
    <n v="168"/>
    <s v="D. Pharma Format"/>
    <s v="Pharma Format"/>
    <x v="9"/>
    <s v="Refit"/>
    <s v="South"/>
    <x v="3"/>
    <s v="Karnataka"/>
    <s v="Rafiq Star Complex Bazar Road  , Ramanagar , Ramu Circle Channapatna  , CHANNAPATNA , 562160"/>
    <s v="CHANNAPATNA"/>
    <n v="419"/>
    <s v="NETMKQF4N00"/>
    <s v="Sreekanth.Bijjhalli-9900039061"/>
    <d v="2023-12-08T00:00:00"/>
    <s v="December 23 Week 2"/>
    <d v="2023-12-08T00:00:00"/>
    <s v="December 23 Week 2"/>
    <n v="7"/>
    <d v="2023-12-15T00:00:00"/>
    <s v="December 23 Week 3"/>
    <d v="2023-12-18T00:00:00"/>
    <s v="December 23 Week 3"/>
    <m/>
    <s v=""/>
    <s v="YTL"/>
    <s v=" "/>
    <s v=" "/>
    <x v="7"/>
    <s v="9. EPC Ready"/>
    <s v="9. EPC Ready"/>
    <m/>
  </r>
  <r>
    <s v="PHSmarS247"/>
    <n v="169"/>
    <s v="D. Pharma Format"/>
    <s v="Pharma Format"/>
    <x v="9"/>
    <s v="Refit"/>
    <s v="South"/>
    <x v="3"/>
    <s v="Karnataka"/>
    <s v="Shankar Reddy  , Raichur , Vasavi Nagar Near Bustand  , RAICHUR , 584101"/>
    <s v="RAICHUR"/>
    <n v="416"/>
    <s v="NETMKQF4P00"/>
    <s v="Sreekanth.Bijjhalli-9900039061"/>
    <d v="2023-10-25T00:00:00"/>
    <s v="October 23 Week 4"/>
    <d v="2023-10-25T00:00:00"/>
    <s v="October 23 Week 4"/>
    <n v="7"/>
    <d v="2023-11-01T00:00:00"/>
    <s v="November 23 Week 1"/>
    <d v="2023-12-13T00:00:00"/>
    <s v="December 23 Week 2"/>
    <m/>
    <s v=""/>
    <s v="YTL"/>
    <s v=" "/>
    <s v=" "/>
    <x v="7"/>
    <s v="9. EPC Ready"/>
    <s v="9. EPC Ready"/>
    <m/>
  </r>
  <r>
    <s v="PHSmarE248"/>
    <n v="170"/>
    <s v="D. Pharma Format"/>
    <s v="Pharma Format"/>
    <x v="9"/>
    <s v="Refit"/>
    <s v="East"/>
    <x v="3"/>
    <s v="Bihar"/>
    <s v="Gf Pandooi Prasth Plot No 1045 Khata  , Saidpur Pulwarisharif Dist Patna , No 358 Revenue Thana No 51 Mauza  , PHULWARIA , 801501"/>
    <s v="Patna"/>
    <n v="410"/>
    <s v="NETMBQLCC00"/>
    <s v="Jitendra Gupta "/>
    <d v="2023-12-04T00:00:00"/>
    <s v="December 23 Week 1"/>
    <d v="2023-12-04T00:00:00"/>
    <s v="December 23 Week 1"/>
    <n v="7"/>
    <d v="2023-12-11T00:00:00"/>
    <s v="December 23 Week 2"/>
    <d v="2023-12-06T00:00:00"/>
    <s v="December 23 Week 1"/>
    <m/>
    <s v=""/>
    <s v="YTL"/>
    <s v=" "/>
    <s v=" "/>
    <x v="7"/>
    <s v="9. EPC Ready"/>
    <s v="9. EPC Ready"/>
    <m/>
  </r>
  <r>
    <s v="PHSmarN249"/>
    <n v="171"/>
    <s v="D. Pharma Format"/>
    <s v="Pharma Format"/>
    <x v="9"/>
    <s v="Refit"/>
    <s v="North"/>
    <x v="4"/>
    <s v="Punjab"/>
    <s v="Gf Sanjay Motors Dhuri Road Near  , Dist Malerkotla , Near Truck Uniontehsil  , MALERKOTLA , 148023"/>
    <s v="MALERKOTLA"/>
    <n v="400"/>
    <s v="NETM9QGQE00"/>
    <s v="Pranao Shrivastava-6239504134"/>
    <d v="2023-08-31T00:00:00"/>
    <s v="August 23 Week 5"/>
    <d v="2023-08-31T00:00:00"/>
    <s v="August 23 Week 5"/>
    <n v="7"/>
    <d v="2023-09-07T00:00:00"/>
    <s v="September 23 Week 1"/>
    <d v="2023-09-13T00:00:00"/>
    <s v="September 23 Week 2"/>
    <m/>
    <s v=""/>
    <s v="YTL"/>
    <s v=" "/>
    <s v=" "/>
    <x v="7"/>
    <s v="9. EPC Ready"/>
    <s v="9. EPC Ready"/>
    <m/>
  </r>
  <r>
    <s v="PHSmarN250"/>
    <n v="172"/>
    <s v="D. Pharma Format"/>
    <s v="Pharma Format"/>
    <x v="9"/>
    <s v="Refit"/>
    <s v="North"/>
    <x v="4"/>
    <s v="Uttar Pradesh"/>
    <s v="GF, Prasad Complex, Jaunpur - Allahabad  , Badshahpur, Tehsil - Machlishahar , Road, Opp Tulsi Hospital, Mungra , Dist - Jaunpur , JAUNPUR , 222202"/>
    <s v="JAUNPUR"/>
    <n v="406"/>
    <s v="NETMUQFYP00"/>
    <s v="Mr.Sushilkumar Mishra"/>
    <d v="2023-11-28T00:00:00"/>
    <s v="November 23 Week 4"/>
    <d v="2023-11-28T00:00:00"/>
    <s v="November 23 Week 4"/>
    <n v="7"/>
    <d v="2023-12-05T00:00:00"/>
    <s v="December 23 Week 1"/>
    <d v="2023-12-05T00:00:00"/>
    <s v="December 23 Week 1"/>
    <m/>
    <s v=""/>
    <s v="YTL"/>
    <s v=" "/>
    <s v=" "/>
    <x v="7"/>
    <s v="9. EPC Ready"/>
    <s v="9. EPC Ready"/>
    <m/>
  </r>
  <r>
    <s v="PHSmarE251"/>
    <n v="173"/>
    <s v="D. Pharma Format"/>
    <s v="Pharma Format"/>
    <x v="9"/>
    <s v="Refit"/>
    <s v="East"/>
    <x v="5"/>
    <s v="Assam &amp; NE"/>
    <s v="GF, Dag No 78 &amp; 81, Under Patta No 2,  , Dist - Nalbari , Nalbari Gaon, Revenue Circle, Mouza  , NALBARI , 781335"/>
    <s v="NALBARI"/>
    <n v="411"/>
    <s v="NETMFQFXE00"/>
    <s v="Suman Das-7044069904"/>
    <d v="2023-07-24T00:00:00"/>
    <s v="July 23 Week 4"/>
    <d v="2023-07-24T00:00:00"/>
    <s v="July 23 Week 4"/>
    <n v="7"/>
    <d v="2023-07-31T00:00:00"/>
    <s v="July 23 Week 5"/>
    <d v="2023-08-02T00:00:00"/>
    <s v="August 23 Week 1"/>
    <m/>
    <s v=""/>
    <s v="YTL"/>
    <s v=" "/>
    <s v=" "/>
    <x v="7"/>
    <s v="9. EPC Ready"/>
    <s v="9. EPC Ready"/>
    <m/>
  </r>
  <r>
    <s v="PHSmarE252"/>
    <n v="174"/>
    <s v="D. Pharma Format"/>
    <s v="Pharma Format"/>
    <x v="9"/>
    <s v="Refit"/>
    <s v="East"/>
    <x v="5"/>
    <s v="West Bengal"/>
    <s v="GF LR &amp; Plot No.2331 L.RKhatian No.10736  , Beldanga-1 Sansad No.10 PO- Murshidabad , JL No60 Mouza Barua PS &amp; Block &amp; ADSRO  , Beldanga , 742133"/>
    <s v="Beldanga"/>
    <n v="405"/>
    <s v="NETMWQGIJ00"/>
    <m/>
    <d v="2023-10-05T00:00:00"/>
    <s v="October 23 Week 1"/>
    <d v="2023-10-05T00:00:00"/>
    <s v="October 23 Week 1"/>
    <n v="7"/>
    <d v="2023-10-12T00:00:00"/>
    <s v="October 23 Week 2"/>
    <d v="2023-11-27T00:00:00"/>
    <s v="November 23 Week 4"/>
    <m/>
    <s v=""/>
    <s v="YTL"/>
    <s v=" "/>
    <s v=" "/>
    <x v="7"/>
    <s v="9. EPC Ready"/>
    <s v="9. EPC Ready"/>
    <m/>
  </r>
  <r>
    <s v="PHSmarE254"/>
    <n v="175"/>
    <s v="D. Pharma Format"/>
    <s v="Pharma Format"/>
    <x v="9"/>
    <s v="Refit"/>
    <s v="East"/>
    <x v="5"/>
    <s v="West Bengal"/>
    <s v="Vill Ragunathpur Po Nayasarai Ps Mogra  , Kuntighat Hoogly , Near Location Rayon Bus Stand  , KUNTIGHAT , 712513"/>
    <s v="Kuntighat"/>
    <n v="408"/>
    <s v="NETMWQFYJ00"/>
    <m/>
    <d v="2023-10-10T00:00:00"/>
    <s v="October 23 Week 2"/>
    <d v="2023-10-10T00:00:00"/>
    <s v="October 23 Week 2"/>
    <n v="7"/>
    <d v="2023-10-17T00:00:00"/>
    <s v="October 23 Week 3"/>
    <d v="2023-11-17T00:00:00"/>
    <s v="November 23 Week 3"/>
    <m/>
    <s v=""/>
    <s v="YTL"/>
    <s v=" "/>
    <s v=" "/>
    <x v="7"/>
    <s v="9. EPC Ready"/>
    <s v="9. EPC Ready"/>
    <m/>
  </r>
  <r>
    <s v="PHSmarE258"/>
    <n v="176"/>
    <s v="D. Pharma Format"/>
    <s v="Pharma Format"/>
    <x v="9"/>
    <s v="Refit"/>
    <s v="East"/>
    <x v="3"/>
    <s v="Jharkhand"/>
    <s v="Dm Enclave Kandra Main Rd Near Santiraj  , Seraikela Kharswan , Nursing Home Kandra  , Kandra , 832402"/>
    <s v="Kandra"/>
    <n v="400"/>
    <s v="NETMQQGIC00"/>
    <s v="Mr. Amal Gopal Dey-9558811809"/>
    <d v="2023-07-26T00:00:00"/>
    <s v="July 23 Week 4"/>
    <d v="2023-07-26T00:00:00"/>
    <s v="July 23 Week 4"/>
    <n v="7"/>
    <d v="2023-08-02T00:00:00"/>
    <s v="August 23 Week 1"/>
    <d v="2023-08-11T00:00:00"/>
    <s v="August 23 Week 2"/>
    <m/>
    <s v=""/>
    <s v="YTL"/>
    <s v=" "/>
    <s v=" "/>
    <x v="7"/>
    <s v="9. EPC Ready"/>
    <s v="9. EPC Ready"/>
    <m/>
  </r>
  <r>
    <s v="PHSmarE260"/>
    <n v="177"/>
    <s v="D. Pharma Format"/>
    <s v="Pharma Format"/>
    <x v="9"/>
    <s v="Refit"/>
    <s v="East"/>
    <x v="3"/>
    <s v="Jharkhand"/>
    <s v="Renu Devi Property  , Khunti , Joda Bagicha Main Road  , KHUNTI , 835210"/>
    <s v="Khunti"/>
    <n v="415"/>
    <s v="NETMQQB2O00"/>
    <s v="Mr. Amal Gopal Dey-9558811809"/>
    <d v="2023-10-03T00:00:00"/>
    <s v="October 23 Week 1"/>
    <d v="2023-10-03T00:00:00"/>
    <s v="October 23 Week 1"/>
    <n v="7"/>
    <d v="2023-10-10T00:00:00"/>
    <s v="October 23 Week 2"/>
    <d v="2023-12-26T00:00:00"/>
    <s v="December 23 Week 4"/>
    <m/>
    <s v=""/>
    <s v="YTL"/>
    <s v=" "/>
    <s v=" "/>
    <x v="7"/>
    <s v="9. EPC Ready"/>
    <s v="9. EPC Ready"/>
    <m/>
  </r>
  <r>
    <s v="PHSmarN261"/>
    <n v="178"/>
    <s v="D. Pharma Format"/>
    <s v="Pharma Format"/>
    <x v="9"/>
    <s v="Refit"/>
    <s v="North"/>
    <x v="4"/>
    <s v="Himachal Pradesh"/>
    <s v="Gf Mahavir Complex  , Main Bazar Road Indora , Opp Employment Exchange  , KANGRA , 176401"/>
    <s v="Indora"/>
    <n v="398"/>
    <s v="NETMIQ3M500"/>
    <s v="Yogesh Kapoor-7888699608"/>
    <d v="2023-09-12T00:00:00"/>
    <s v="September 23 Week 2"/>
    <d v="2023-09-12T00:00:00"/>
    <s v="September 23 Week 2"/>
    <n v="7"/>
    <d v="2023-09-19T00:00:00"/>
    <s v="September 23 Week 3"/>
    <d v="2023-10-23T00:00:00"/>
    <s v="October 23 Week 4"/>
    <m/>
    <s v=""/>
    <s v="YTL"/>
    <s v=" "/>
    <s v=" "/>
    <x v="7"/>
    <s v="9. EPC Ready"/>
    <s v="9. EPC Ready"/>
    <m/>
  </r>
  <r>
    <s v="PHSmarN262"/>
    <n v="179"/>
    <s v="D. Pharma Format"/>
    <s v="Pharma Format"/>
    <x v="9"/>
    <s v="Refit"/>
    <s v="North"/>
    <x v="4"/>
    <s v="Rajasthan"/>
    <s v="Gf Patta No 1345 Khasra No 177 Plot No24  , Shyalawas Khurd Tehsil Bandikui , Ward No 13 Sikandra Road Vill  , BANDIKUI , 303313"/>
    <s v="BANDIKUI"/>
    <n v="400"/>
    <s v="NETMRQGQI00"/>
    <s v="Mr.Balram Soni-8003293109"/>
    <d v="2023-08-31T00:00:00"/>
    <s v="August 23 Week 5"/>
    <d v="2023-08-31T00:00:00"/>
    <s v="August 23 Week 5"/>
    <n v="7"/>
    <d v="2023-09-07T00:00:00"/>
    <s v="September 23 Week 1"/>
    <d v="2023-09-11T00:00:00"/>
    <s v="September 23 Week 2"/>
    <m/>
    <s v=""/>
    <s v="YTL"/>
    <s v=" "/>
    <s v=" "/>
    <x v="7"/>
    <s v="9. EPC Ready"/>
    <s v="9. EPC Ready"/>
    <m/>
  </r>
  <r>
    <s v="PHSmarS265"/>
    <n v="180"/>
    <s v="D. Pharma Format"/>
    <s v="Pharma Format"/>
    <x v="9"/>
    <s v="Refit"/>
    <s v="South"/>
    <x v="3"/>
    <s v="Karnataka"/>
    <s v="GF  Khata no. 2768/2706 Site No 11/A782  , Hobli Taluk- Bangalore east , Property no. 44/1 Village-Bidarahalli  , BANGALORE , 560049"/>
    <s v="Bangalore"/>
    <n v="406"/>
    <s v="NETMKQ3H800"/>
    <s v="Sreekanth.Bijjhalli-9900039061"/>
    <d v="2023-11-03T00:00:00"/>
    <s v="November 23 Week 1"/>
    <d v="2023-11-03T00:00:00"/>
    <s v="November 23 Week 1"/>
    <n v="7"/>
    <d v="2023-11-10T00:00:00"/>
    <s v="November 23 Week 2"/>
    <d v="2024-01-31T00:00:00"/>
    <s v="January 24 Week 5"/>
    <m/>
    <s v=""/>
    <s v="YTL"/>
    <s v=" "/>
    <s v=" "/>
    <x v="7"/>
    <s v="9. EPC Ready"/>
    <s v="9. EPC Ready"/>
    <m/>
  </r>
  <r>
    <s v="PHSmarE266"/>
    <n v="181"/>
    <s v="D. Pharma Format"/>
    <s v="Pharma Format"/>
    <x v="9"/>
    <s v="Refit"/>
    <s v="East"/>
    <x v="3"/>
    <s v="Bihar"/>
    <s v="Gf Plot No 1227 Khata No 105  , Kumrahar P S , Revenue Thana No 12 Mauza  , SULTANGANJ , 800026"/>
    <s v="SULTANGANJ"/>
    <n v="400"/>
    <s v="NETMBQ3M400"/>
    <s v="Ranjit Sinha"/>
    <d v="2023-09-25T00:00:00"/>
    <s v="September 23 Week 4"/>
    <d v="2023-09-25T00:00:00"/>
    <s v="September 23 Week 4"/>
    <n v="7"/>
    <d v="2023-10-02T00:00:00"/>
    <s v="October 23 Week 1"/>
    <d v="2023-09-30T00:00:00"/>
    <s v="September 23 Week 5"/>
    <m/>
    <s v=""/>
    <s v="YTL"/>
    <s v=" "/>
    <s v=" "/>
    <x v="7"/>
    <s v="9. EPC Ready"/>
    <s v="9. EPC Ready"/>
    <m/>
  </r>
  <r>
    <s v="PHSmarS272"/>
    <n v="182"/>
    <s v="D. Pharma Format"/>
    <s v="Pharma Format"/>
    <x v="9"/>
    <s v="Refit"/>
    <s v="South"/>
    <x v="6"/>
    <s v="Andhra Pradesh"/>
    <s v="GF, Ward No. 1, Brahmin street  , Dist: ellore , Nayudupeta Town &amp; mandal  , Nellore , 524126"/>
    <s v="Naidupeta"/>
    <n v="415"/>
    <s v="NETMAQ8FT00"/>
    <s v="D Chandrasekhar"/>
    <d v="2023-10-01T00:00:00"/>
    <s v="October 23 Week 1"/>
    <d v="2023-10-01T00:00:00"/>
    <s v="October 23 Week 1"/>
    <n v="7"/>
    <d v="2023-10-08T00:00:00"/>
    <s v="October 23 Week 2"/>
    <d v="2024-01-09T00:00:00"/>
    <s v="January 24 Week 2"/>
    <m/>
    <s v=""/>
    <s v="YTL"/>
    <s v=" "/>
    <s v=" "/>
    <x v="7"/>
    <s v="9. EPC Ready"/>
    <s v="9. EPC Ready"/>
    <m/>
  </r>
  <r>
    <s v="PHSmarW277"/>
    <n v="183"/>
    <s v="D. Pharma Format"/>
    <s v="Pharma Format"/>
    <x v="9"/>
    <s v="Refit"/>
    <s v="West"/>
    <x v="4"/>
    <s v="Maharashtra"/>
    <s v=" GF CTS No 1950 1957 1958 1959 1960 1961  , Councial Tashil No Chopada Distt Jalgoan , Chopada Taluka Chopada Chopada Municpal  , CHOPDA , 425107"/>
    <s v="CHOPDA"/>
    <n v="401"/>
    <s v="NETMMQ9Q100"/>
    <s v="Mr Prashant Wankhede-9284862994"/>
    <d v="2023-09-04T00:00:00"/>
    <s v="September 23 Week 1"/>
    <d v="2023-09-04T00:00:00"/>
    <s v="September 23 Week 1"/>
    <n v="7"/>
    <d v="2023-09-11T00:00:00"/>
    <s v="September 23 Week 2"/>
    <d v="2023-09-13T00:00:00"/>
    <s v="September 23 Week 2"/>
    <m/>
    <s v=""/>
    <s v="YTL"/>
    <s v=" "/>
    <s v=" "/>
    <x v="7"/>
    <s v="9. EPC Ready"/>
    <s v="9. EPC Ready"/>
    <m/>
  </r>
  <r>
    <s v="PHSmarE278"/>
    <n v="184"/>
    <s v="D. Pharma Format"/>
    <s v="Pharma Format"/>
    <x v="9"/>
    <s v="Refit"/>
    <s v="East"/>
    <x v="5"/>
    <s v="Assam &amp; NE"/>
    <s v="Dhon Bhawan Ranibazar  ,  , Moranhat Dibrughar  , DIBRUGARH , 785675"/>
    <s v="Dibrugarh"/>
    <n v="400"/>
    <s v="NETMFQ7Y600"/>
    <s v="Suman Das-7044069904"/>
    <d v="2023-09-11T00:00:00"/>
    <s v="September 23 Week 2"/>
    <d v="2023-09-11T00:00:00"/>
    <s v="September 23 Week 2"/>
    <n v="7"/>
    <d v="2023-09-18T00:00:00"/>
    <s v="September 23 Week 3"/>
    <d v="2023-11-10T00:00:00"/>
    <s v="November 23 Week 2"/>
    <m/>
    <s v=""/>
    <s v="YTL"/>
    <s v=" "/>
    <s v=" "/>
    <x v="7"/>
    <s v="9. EPC Ready"/>
    <s v="9. EPC Ready"/>
    <m/>
  </r>
  <r>
    <s v="PHSmarE280"/>
    <n v="185"/>
    <s v="D. Pharma Format"/>
    <s v="Pharma Format"/>
    <x v="9"/>
    <s v="Refit"/>
    <s v="East"/>
    <x v="3"/>
    <s v="Bihar"/>
    <s v="Mauza Pupri Thana No 151  , Khesra no 1820 Sitamarhi , Khata No 136 Jamabandi No 119  , SITAMARHI , 843320"/>
    <s v="SITAMARHI"/>
    <n v="400"/>
    <s v="NETMBQ9I400"/>
    <m/>
    <d v="2023-10-08T00:00:00"/>
    <s v="October 23 Week 2"/>
    <d v="2023-10-08T00:00:00"/>
    <s v="October 23 Week 2"/>
    <n v="7"/>
    <d v="2023-10-15T00:00:00"/>
    <s v="October 23 Week 3"/>
    <d v="2023-10-15T00:00:00"/>
    <s v="October 23 Week 3"/>
    <m/>
    <s v=""/>
    <s v="YTL"/>
    <s v=" "/>
    <s v=" "/>
    <x v="7"/>
    <s v="9. EPC Ready"/>
    <s v="9. EPC Ready"/>
    <m/>
  </r>
  <r>
    <s v="PHSmarS281"/>
    <n v="186"/>
    <s v="D. Pharma Format"/>
    <s v="Pharma Format"/>
    <x v="9"/>
    <s v="Refit"/>
    <s v="South"/>
    <x v="6"/>
    <s v="Andhra Pradesh"/>
    <s v="Old Sbi Building Old Govt Hospital Road  , Peddapuram , Near Hanuman Temple Junction  , PEDDAPURAM , 533437"/>
    <s v="PEDDAPURAM"/>
    <n v="400"/>
    <s v="NETMAQ7Z300"/>
    <s v="Mr. Sudhakar Veerla"/>
    <d v="2023-09-08T00:00:00"/>
    <s v="September 23 Week 2"/>
    <d v="2023-09-08T00:00:00"/>
    <s v="September 23 Week 2"/>
    <n v="7"/>
    <d v="2023-09-15T00:00:00"/>
    <s v="September 23 Week 3"/>
    <d v="2023-09-20T00:00:00"/>
    <s v="September 23 Week 3"/>
    <m/>
    <s v=""/>
    <s v="YTL"/>
    <s v=" "/>
    <s v=" "/>
    <x v="7"/>
    <s v="9. EPC Ready"/>
    <s v="9. EPC Ready"/>
    <m/>
  </r>
  <r>
    <s v="PHSmarS282"/>
    <n v="187"/>
    <s v="D. Pharma Format"/>
    <s v="Pharma Format"/>
    <x v="9"/>
    <s v="Refit"/>
    <s v="South"/>
    <x v="3"/>
    <s v="Kerala"/>
    <s v="Chooralil Buildingpambakuda  ,  , Muvattupuzha  , ERNAKULAM , 682016"/>
    <s v="Muvattupuzha"/>
    <n v="400"/>
    <s v="NETMVQ8XD00"/>
    <s v="Jose Loviese-6361753673"/>
    <d v="2023-11-03T00:00:00"/>
    <s v="November 23 Week 1"/>
    <d v="2023-11-03T00:00:00"/>
    <s v="November 23 Week 1"/>
    <n v="7"/>
    <d v="2023-11-10T00:00:00"/>
    <s v="November 23 Week 2"/>
    <d v="2023-12-05T00:00:00"/>
    <s v="December 23 Week 1"/>
    <m/>
    <s v=""/>
    <s v="YTL"/>
    <s v=" "/>
    <s v=" "/>
    <x v="7"/>
    <s v="9. EPC Ready"/>
    <s v="9. EPC Ready"/>
    <m/>
  </r>
  <r>
    <s v="PHSmarE283"/>
    <n v="188"/>
    <s v="D. Pharma Format"/>
    <s v="Pharma Format"/>
    <x v="9"/>
    <s v="Refit"/>
    <s v="East"/>
    <x v="3"/>
    <s v="Bihar"/>
    <s v="Vishwa Raj Vatika Town Areraj  , Motihari , Po Ps Areraj  , ARERAJ , 845411"/>
    <s v="Arreraj"/>
    <n v="400"/>
    <s v="NETMBQEFK00"/>
    <s v="Mr. Jitendra Kumar-6201750698"/>
    <d v="2023-09-29T00:00:00"/>
    <s v="September 23 Week 5"/>
    <d v="2023-09-29T00:00:00"/>
    <s v="September 23 Week 5"/>
    <n v="7"/>
    <d v="2023-10-06T00:00:00"/>
    <s v="October 23 Week 1"/>
    <d v="2023-10-17T00:00:00"/>
    <s v="October 23 Week 3"/>
    <m/>
    <s v=""/>
    <s v="YTL"/>
    <s v=" "/>
    <s v=" "/>
    <x v="7"/>
    <s v="9. EPC Ready"/>
    <s v="9. EPC Ready"/>
    <m/>
  </r>
  <r>
    <s v="PHSmarW284"/>
    <n v="189"/>
    <s v="D. Pharma Format"/>
    <s v="Pharma Format"/>
    <x v="9"/>
    <s v="Refit"/>
    <s v="West"/>
    <x v="4"/>
    <s v="Madhya Pradesh"/>
    <s v="Suraj Market Barwaha West &amp; East Part Of  , Narmada Road Tehsil Barwaha District , Padat Patha House No 7 Old Vinoba Marg  , BARWAHA , 451115"/>
    <s v="Barwaha"/>
    <n v="400"/>
    <s v="NETMEQBOV00"/>
    <s v="Subhro Ghosh-7595025194"/>
    <d v="2023-09-18T00:00:00"/>
    <s v="September 23 Week 3"/>
    <d v="2023-09-18T00:00:00"/>
    <s v="September 23 Week 3"/>
    <n v="7"/>
    <d v="2023-09-25T00:00:00"/>
    <s v="September 23 Week 4"/>
    <d v="2023-10-01T00:00:00"/>
    <s v="October 23 Week 1"/>
    <m/>
    <s v=""/>
    <s v="YTL"/>
    <s v=" "/>
    <s v=" "/>
    <x v="7"/>
    <s v="9. EPC Ready"/>
    <s v="9. EPC Ready"/>
    <m/>
  </r>
  <r>
    <s v="PHSmarE285"/>
    <n v="190"/>
    <s v="D. Pharma Format"/>
    <s v="Pharma Format"/>
    <x v="9"/>
    <s v="Refit"/>
    <s v="East"/>
    <x v="3"/>
    <s v="Bihar"/>
    <s v="Ray Complex Motipur Ground Floor  , Ward No 5 Bakhri Muzaffarpur , Mishroulia Chowk Nagar Panchayat  , MOTIPUR , 843111"/>
    <s v="Motipur"/>
    <n v="400"/>
    <s v="NETMBQCTB00"/>
    <s v="Mr. Jitendra Kumar-6201750698"/>
    <d v="2023-09-29T00:00:00"/>
    <s v="September 23 Week 5"/>
    <d v="2023-09-29T00:00:00"/>
    <s v="September 23 Week 5"/>
    <n v="7"/>
    <d v="2023-10-06T00:00:00"/>
    <s v="October 23 Week 1"/>
    <d v="2023-10-12T00:00:00"/>
    <s v="October 23 Week 2"/>
    <m/>
    <s v=""/>
    <s v="YTL"/>
    <s v=" "/>
    <s v=" "/>
    <x v="7"/>
    <s v="9. EPC Ready"/>
    <s v="9. EPC Ready"/>
    <m/>
  </r>
  <r>
    <s v="PHSmarS286"/>
    <n v="191"/>
    <s v="D. Pharma Format"/>
    <s v="Pharma Format"/>
    <x v="9"/>
    <s v="Refit"/>
    <s v="South"/>
    <x v="6"/>
    <s v="Andhra Pradesh"/>
    <s v="GF Annapurna Complex D No 24 107 32  , Gajuwaka Mandal UDA Colony Dist Vizag   , Kantghi Road China Gantyada Village    , VIZAG , 530044"/>
    <s v="Vizag"/>
    <n v="402"/>
    <s v="NETMAQBRB00"/>
    <s v="Mr. Sudhakar Veerla"/>
    <d v="2023-10-04T00:00:00"/>
    <s v="October 23 Week 1"/>
    <d v="2023-10-04T00:00:00"/>
    <s v="October 23 Week 1"/>
    <n v="7"/>
    <d v="2023-10-11T00:00:00"/>
    <s v="October 23 Week 2"/>
    <d v="2023-10-16T00:00:00"/>
    <s v="October 23 Week 3"/>
    <m/>
    <s v=""/>
    <s v="YTL"/>
    <s v=" "/>
    <s v=" "/>
    <x v="7"/>
    <s v="9. EPC Ready"/>
    <s v="9. EPC Ready"/>
    <m/>
  </r>
  <r>
    <s v="PHSmarE287"/>
    <n v="192"/>
    <s v="D. Pharma Format"/>
    <s v="Pharma Format"/>
    <x v="9"/>
    <s v="Refit"/>
    <s v="East"/>
    <x v="3"/>
    <s v="Bihar"/>
    <s v="GF Jakir Complex Khata No 437  , Mauza-Birpur, Thana 5, Circle-Basantpur , Khasra No 1366, Tauzi No 3852 Thana &amp; , Ward No 07, Dist - Supaul , BIRPUR , 854350"/>
    <s v="Birpur"/>
    <n v="400"/>
    <s v="NETMBQBNP00"/>
    <s v="Ranjit Sinha"/>
    <d v="2023-10-26T00:00:00"/>
    <s v="October 23 Week 4"/>
    <d v="2023-10-26T00:00:00"/>
    <s v="October 23 Week 4"/>
    <n v="7"/>
    <d v="2023-11-02T00:00:00"/>
    <s v="November 23 Week 1"/>
    <d v="2024-01-29T00:00:00"/>
    <s v="January 24 Week 5"/>
    <m/>
    <s v=""/>
    <s v="YTL"/>
    <s v=" "/>
    <s v=" "/>
    <x v="7"/>
    <s v="9. EPC Ready"/>
    <s v="9. EPC Ready"/>
    <m/>
  </r>
  <r>
    <s v="PHSmarS288"/>
    <n v="193"/>
    <s v="D. Pharma Format"/>
    <s v="Pharma Format"/>
    <x v="9"/>
    <s v="Refit"/>
    <s v="South"/>
    <x v="6"/>
    <s v="Andhra Pradesh"/>
    <s v="GF FF RRR Complex Sy No791 2 OppDSP  , Dist Prakasam , Office Podili Road Darsi  , DARSI , 523247"/>
    <s v="Ongole"/>
    <n v="398"/>
    <s v="NETMAQ6RF00"/>
    <s v="Mr. Sridhar Gummadi"/>
    <d v="2023-11-04T00:00:00"/>
    <s v="November 23 Week 1"/>
    <d v="2023-11-04T00:00:00"/>
    <s v="November 23 Week 1"/>
    <n v="7"/>
    <d v="2023-11-11T00:00:00"/>
    <s v="November 23 Week 2"/>
    <d v="2023-11-22T00:00:00"/>
    <s v="November 23 Week 4"/>
    <m/>
    <s v=""/>
    <s v="YTL"/>
    <s v=" "/>
    <s v=" "/>
    <x v="7"/>
    <s v="9. EPC Ready"/>
    <s v="9. EPC Ready"/>
    <m/>
  </r>
  <r>
    <s v="PHSmarS289"/>
    <n v="194"/>
    <s v="D. Pharma Format"/>
    <s v="Pharma Format"/>
    <x v="9"/>
    <s v="Refit"/>
    <s v="South"/>
    <x v="6"/>
    <s v="Andhra Pradesh"/>
    <s v="Vijaya Bhaskar Theatre D No 177 Sy  , Prakasam , No 202 Vetapalem Town Mandal  , VETAPALEM , 523187"/>
    <s v="Chirala"/>
    <n v="400"/>
    <s v="NETMAQ6RJ00"/>
    <m/>
    <d v="2023-10-19T00:00:00"/>
    <s v="October 23 Week 3"/>
    <d v="2023-10-19T00:00:00"/>
    <s v="October 23 Week 3"/>
    <n v="7"/>
    <d v="2023-10-26T00:00:00"/>
    <s v="October 23 Week 4"/>
    <d v="2024-01-16T00:00:00"/>
    <s v="January 24 Week 3"/>
    <m/>
    <s v=""/>
    <s v="YTL"/>
    <s v=" "/>
    <s v=" "/>
    <x v="7"/>
    <s v="9. EPC Ready"/>
    <s v="9. EPC Ready"/>
    <m/>
  </r>
  <r>
    <s v="PHSmarS290"/>
    <n v="195"/>
    <s v="D. Pharma Format"/>
    <s v="Pharma Format"/>
    <x v="9"/>
    <s v="Refit"/>
    <s v="South"/>
    <x v="6"/>
    <s v="Andhra Pradesh"/>
    <s v="Adari Kanaka Ratnam Complex D no 18999  , Ratnam plazza Bashyam School , Sy No771 Chodavaram Mandal Opp  , CHODAVARAM , 531036"/>
    <s v="chodavaram"/>
    <n v="400"/>
    <s v="NETMAQ6RE00"/>
    <s v="Mr. Sudhakar Veerla"/>
    <d v="2023-09-07T00:00:00"/>
    <s v="September 23 Week 1"/>
    <d v="2023-09-07T00:00:00"/>
    <s v="September 23 Week 1"/>
    <n v="7"/>
    <d v="2023-09-14T00:00:00"/>
    <s v="September 23 Week 2"/>
    <d v="2023-09-18T00:00:00"/>
    <s v="September 23 Week 3"/>
    <m/>
    <s v=""/>
    <s v="YTL"/>
    <s v=" "/>
    <s v=" "/>
    <x v="7"/>
    <s v="9. EPC Ready"/>
    <s v="9. EPC Ready"/>
    <m/>
  </r>
  <r>
    <s v="PHSmarE291"/>
    <n v="196"/>
    <s v="D. Pharma Format"/>
    <s v="Pharma Format"/>
    <x v="9"/>
    <s v="Refit"/>
    <s v="East"/>
    <x v="3"/>
    <s v="Bihar"/>
    <s v="Kiaras 3 Ntpc Main Road  , Kahalgaon , Near Bhader Gate  , KAHALGAON , 813203"/>
    <s v="Bhagalpur"/>
    <n v="400"/>
    <s v="NETMBQDBT00"/>
    <m/>
    <d v="2023-10-08T00:00:00"/>
    <s v="October 23 Week 2"/>
    <d v="2023-10-08T00:00:00"/>
    <s v="October 23 Week 2"/>
    <n v="7"/>
    <d v="2023-10-15T00:00:00"/>
    <s v="October 23 Week 3"/>
    <d v="2023-10-15T00:00:00"/>
    <s v="October 23 Week 3"/>
    <m/>
    <s v=""/>
    <s v="YTL"/>
    <s v=" "/>
    <s v=" "/>
    <x v="7"/>
    <s v="9. EPC Ready"/>
    <s v="9. EPC Ready"/>
    <m/>
  </r>
  <r>
    <s v="PHSmarS292"/>
    <n v="197"/>
    <s v="D. Pharma Format"/>
    <s v="Pharma Format"/>
    <x v="9"/>
    <s v="Refit"/>
    <s v="South"/>
    <x v="6"/>
    <s v="Andhra Pradesh"/>
    <s v="5 197 Lakshmi Narayana Theater  , Jangareddygudem West Godavari , Srinivasapuram Road  , JANGAREDDIGUDE , 534447"/>
    <s v="Jangareddygudem"/>
    <n v="400"/>
    <s v="NETMAQB5M00"/>
    <s v="Mr. Sudhakar Veerla"/>
    <d v="2023-09-08T00:00:00"/>
    <s v="September 23 Week 2"/>
    <d v="2023-09-08T00:00:00"/>
    <s v="September 23 Week 2"/>
    <n v="7"/>
    <d v="2023-09-15T00:00:00"/>
    <s v="September 23 Week 3"/>
    <d v="2023-09-20T00:00:00"/>
    <s v="September 23 Week 3"/>
    <m/>
    <s v=""/>
    <s v="YTL"/>
    <s v=" "/>
    <s v=" "/>
    <x v="7"/>
    <s v="9. EPC Ready"/>
    <s v="9. EPC Ready"/>
    <m/>
  </r>
  <r>
    <s v="PHSmarS293"/>
    <n v="198"/>
    <s v="D. Pharma Format"/>
    <s v="Pharma Format"/>
    <x v="9"/>
    <s v="Refit"/>
    <s v="South"/>
    <x v="6"/>
    <s v="Orissa"/>
    <s v="Main Road Infront Of Lic Building  , Malkangiri , P O P S Malkangiri  , MALKANGIRI , 764045"/>
    <s v="Malkangiri"/>
    <n v="400"/>
    <s v="NETMOQC8R00"/>
    <s v="Sanjay Ghosh-6302403813"/>
    <d v="2023-09-12T00:00:00"/>
    <s v="September 23 Week 2"/>
    <d v="2023-09-12T00:00:00"/>
    <s v="September 23 Week 2"/>
    <n v="7"/>
    <d v="2023-09-19T00:00:00"/>
    <s v="September 23 Week 3"/>
    <d v="2023-09-19T00:00:00"/>
    <s v="September 23 Week 3"/>
    <m/>
    <s v=""/>
    <s v="YTL"/>
    <s v=" "/>
    <s v=" "/>
    <x v="7"/>
    <s v="9. EPC Ready"/>
    <s v="9. EPC Ready"/>
    <m/>
  </r>
  <r>
    <s v="PHSmarS294"/>
    <n v="199"/>
    <s v="D. Pharma Format"/>
    <s v="Pharma Format"/>
    <x v="9"/>
    <s v="Refit"/>
    <s v="South"/>
    <x v="6"/>
    <s v="Andhra Pradesh"/>
    <s v="Sandeep Complex 488 1 Main Road  ,  , Kothacheruvu Anantapur  , KOTHACHERUVU , 515133"/>
    <s v="Kothacheruvu"/>
    <n v="401"/>
    <s v="NETMAQ6KE00"/>
    <s v="Mr. Deepti Chandrashekhar"/>
    <d v="2023-10-03T00:00:00"/>
    <s v="October 23 Week 1"/>
    <d v="2023-10-03T00:00:00"/>
    <s v="October 23 Week 1"/>
    <n v="7"/>
    <d v="2023-10-10T00:00:00"/>
    <s v="October 23 Week 2"/>
    <d v="2023-11-28T00:00:00"/>
    <s v="November 23 Week 4"/>
    <m/>
    <s v=""/>
    <s v="YTL"/>
    <s v=" "/>
    <s v=" "/>
    <x v="7"/>
    <s v="9. EPC Ready"/>
    <s v="9. EPC Ready"/>
    <m/>
  </r>
  <r>
    <s v="PHSmarS295"/>
    <n v="200"/>
    <s v="D. Pharma Format"/>
    <s v="Pharma Format"/>
    <x v="9"/>
    <s v="Refit"/>
    <s v="South"/>
    <x v="6"/>
    <s v="Orissa"/>
    <s v="A K Market Complex  , Jagatsinghpur , At Po Balikuda Tahasil Squer  , BALIKUDA , 753108"/>
    <s v="Jagatsinghpur"/>
    <n v="400"/>
    <s v="NETMOQ2MC00"/>
    <s v="Sanjay Ghosh-6302403813"/>
    <d v="2023-09-20T00:00:00"/>
    <s v="September 23 Week 3"/>
    <d v="2023-09-20T00:00:00"/>
    <s v="September 23 Week 3"/>
    <n v="7"/>
    <d v="2023-09-27T00:00:00"/>
    <s v="September 23 Week 4"/>
    <d v="2024-01-05T00:00:00"/>
    <s v="January 24 Week 1"/>
    <m/>
    <s v=""/>
    <s v="YTL"/>
    <s v=" "/>
    <s v=" "/>
    <x v="7"/>
    <s v="9. EPC Ready"/>
    <s v="9. EPC Ready"/>
    <m/>
  </r>
  <r>
    <s v="PHSmarE297"/>
    <n v="201"/>
    <s v="D. Pharma Format"/>
    <s v="Pharma Format"/>
    <x v="9"/>
    <s v="Refit"/>
    <s v="East"/>
    <x v="3"/>
    <s v="Bihar"/>
    <s v="GF Panday Market Plot No - 181  , Village-Sada, PS - Saran, Dist-Chapara , Khata No 185, Revenue Thana No 342  , Saran , 841301"/>
    <s v="Chhapra"/>
    <n v="400"/>
    <s v="NETMBQEEK00"/>
    <m/>
    <d v="2023-11-02T00:00:00"/>
    <s v="November 23 Week 1"/>
    <d v="2023-11-02T00:00:00"/>
    <s v="November 23 Week 1"/>
    <n v="7"/>
    <d v="2023-11-09T00:00:00"/>
    <s v="November 23 Week 2"/>
    <d v="2023-11-03T00:00:00"/>
    <s v="November 23 Week 1"/>
    <m/>
    <s v=""/>
    <s v="YTL"/>
    <s v=" "/>
    <s v=" "/>
    <x v="7"/>
    <s v="9. EPC Ready"/>
    <s v="9. EPC Ready"/>
    <m/>
  </r>
  <r>
    <s v="PHSmarW298"/>
    <n v="202"/>
    <s v="D. Pharma Format"/>
    <s v="Pharma Format"/>
    <x v="9"/>
    <s v="Refit"/>
    <s v="West"/>
    <x v="4"/>
    <s v="Maharashtra"/>
    <s v="Ground Floor CTS No425/B Laxshmi Nagar  , Nandurbar , Tal &amp; dist. Nandurbar  , Nandurbar , 425412"/>
    <s v="NANDURBAR"/>
    <n v="403"/>
    <s v="NETMMQF3H00"/>
    <s v="Mr Prashant Wankhede-9284862994"/>
    <d v="2024-02-13T00:00:00"/>
    <s v="February 24 Week 2"/>
    <d v="2024-02-13T00:00:00"/>
    <s v="February 24 Week 2"/>
    <n v="7"/>
    <d v="2024-02-20T00:00:00"/>
    <s v="February 24 Week 3"/>
    <d v="2024-03-04T00:00:00"/>
    <s v="March 24 Week 1"/>
    <d v="2024-03-04T00:00:00"/>
    <s v="March 24 Week 1"/>
    <s v="YTL"/>
    <s v=" "/>
    <s v=" "/>
    <x v="7"/>
    <s v="9. EPC Ready"/>
    <s v="9. EPC Ready"/>
    <m/>
  </r>
  <r>
    <s v="PHSmarS299"/>
    <n v="203"/>
    <s v="D. Pharma Format"/>
    <s v="Pharma Format"/>
    <x v="9"/>
    <s v="Refit"/>
    <s v="South"/>
    <x v="3"/>
    <s v="Kerala"/>
    <s v="Loveshore 20 937  , P O Charala Kottayam , Erumeli  , ERUMELI SOUTH , 686509"/>
    <s v="Erumeli"/>
    <n v="400"/>
    <s v="NETMVQC6C00"/>
    <m/>
    <d v="2023-10-16T00:00:00"/>
    <s v="October 23 Week 3"/>
    <d v="2023-10-16T00:00:00"/>
    <s v="October 23 Week 3"/>
    <n v="7"/>
    <d v="2023-10-23T00:00:00"/>
    <s v="October 23 Week 4"/>
    <d v="2023-11-29T00:00:00"/>
    <s v="November 23 Week 5"/>
    <m/>
    <s v=""/>
    <s v="YTL"/>
    <s v=" "/>
    <s v=" "/>
    <x v="7"/>
    <s v="9. EPC Ready"/>
    <s v="9. EPC Ready"/>
    <m/>
  </r>
  <r>
    <s v="PHSmarS300"/>
    <n v="204"/>
    <s v="D. Pharma Format"/>
    <s v="Pharma Format"/>
    <x v="9"/>
    <s v="Refit"/>
    <s v="South"/>
    <x v="3"/>
    <s v="Kerala"/>
    <s v="Ground Floor Shop No. VII/180-A  , Puthupally Kottayam , Pattarmadathil building Madathilpady PO  , MANNARGHAT , 686011"/>
    <s v="MANNARCADU"/>
    <n v="400"/>
    <s v="NETMVQC6G00"/>
    <s v="Samin sunny 6238901694"/>
    <d v="2023-10-06T00:00:00"/>
    <s v="October 23 Week 1"/>
    <d v="2023-10-06T00:00:00"/>
    <s v="October 23 Week 1"/>
    <n v="7"/>
    <d v="2023-10-13T00:00:00"/>
    <s v="October 23 Week 2"/>
    <d v="2023-11-01T00:00:00"/>
    <s v="November 23 Week 1"/>
    <m/>
    <s v=""/>
    <s v="YTL"/>
    <s v=" "/>
    <s v=" "/>
    <x v="7"/>
    <s v="9. EPC Ready"/>
    <s v="9. EPC Ready"/>
    <m/>
  </r>
  <r>
    <s v="PHSmarW301"/>
    <n v="205"/>
    <s v="D. Pharma Format"/>
    <s v="Pharma Format"/>
    <x v="9"/>
    <s v="Refit"/>
    <s v="West"/>
    <x v="4"/>
    <s v="Maharashtra"/>
    <s v="GF, Waje Complex, Plot No. 1 &amp; 4  , Tal-kopargaon, Dist- Ahmadnagar , Surevey No. 214/71/1 &amp; 2  , Kopargaon , 423601"/>
    <s v="Kopargaon"/>
    <n v="412"/>
    <s v="NETMMQBQV00"/>
    <s v="Mr Prashant Wankhede-9284862994"/>
    <d v="2023-09-15T00:00:00"/>
    <s v="September 23 Week 3"/>
    <d v="2023-09-15T00:00:00"/>
    <s v="September 23 Week 3"/>
    <n v="7"/>
    <d v="2023-09-22T00:00:00"/>
    <s v="September 23 Week 4"/>
    <d v="2023-10-03T00:00:00"/>
    <s v="October 23 Week 1"/>
    <m/>
    <s v=""/>
    <s v="YTL"/>
    <s v=" "/>
    <s v=" "/>
    <x v="7"/>
    <s v="9. EPC Ready"/>
    <s v="9. EPC Ready"/>
    <m/>
  </r>
  <r>
    <s v="PHSmarS302"/>
    <n v="206"/>
    <s v="D. Pharma Format"/>
    <s v="Pharma Format"/>
    <x v="9"/>
    <s v="Refit"/>
    <s v="South"/>
    <x v="3"/>
    <s v="Tamil Nadu"/>
    <s v="Om Sakthi Complex Lawspet Main Road  , Devasthanam Pondicherry , Srimath Guru Sithanandha Swamikal  , Pondicherry , 605008"/>
    <s v="Pondicherry"/>
    <n v="400"/>
    <s v="NETM8QBVD00"/>
    <s v="Janarthanan Ekambaram-9566241523"/>
    <d v="2023-10-28T00:00:00"/>
    <s v="October 23 Week 4"/>
    <d v="2023-10-28T00:00:00"/>
    <s v="October 23 Week 4"/>
    <n v="7"/>
    <d v="2023-11-04T00:00:00"/>
    <s v="November 23 Week 1"/>
    <d v="2023-12-15T00:00:00"/>
    <s v="December 23 Week 3"/>
    <m/>
    <s v=""/>
    <s v="YTL"/>
    <s v=" "/>
    <s v=" "/>
    <x v="7"/>
    <s v="9. EPC Ready"/>
    <s v="9. EPC Ready"/>
    <m/>
  </r>
  <r>
    <s v="PHSmarS303"/>
    <n v="207"/>
    <s v="D. Pharma Format"/>
    <s v="Pharma Format"/>
    <x v="9"/>
    <s v="Refit"/>
    <s v="South"/>
    <x v="6"/>
    <s v="Andhra Pradesh"/>
    <s v="GF Moorkuri Mansion D.No759-760-761-762  , Vizianagaram road Kothavalasa , Sy.Nos 116/4910-A11 13  , VIZAYANAGARAM , 535183"/>
    <s v="KOTHAVALASA"/>
    <n v="400"/>
    <s v="NETMAQBOA00"/>
    <s v="Mr. Sudhakar Veerla"/>
    <d v="2023-09-07T00:00:00"/>
    <s v="September 23 Week 1"/>
    <d v="2023-09-07T00:00:00"/>
    <s v="September 23 Week 1"/>
    <n v="7"/>
    <d v="2023-09-14T00:00:00"/>
    <s v="September 23 Week 2"/>
    <d v="2023-09-28T00:00:00"/>
    <s v="September 23 Week 4"/>
    <m/>
    <s v=""/>
    <s v="YTL"/>
    <s v=" "/>
    <s v=" "/>
    <x v="7"/>
    <s v="9. EPC Ready"/>
    <s v="9. EPC Ready"/>
    <m/>
  </r>
  <r>
    <s v="PHSmarS304"/>
    <n v="208"/>
    <s v="D. Pharma Format"/>
    <s v="Pharma Format"/>
    <x v="9"/>
    <s v="Refit"/>
    <s v="South"/>
    <x v="6"/>
    <s v="Andhra Pradesh"/>
    <s v=" Ground Floor SRI VENKATESWARA COMPLEX  , Office Main Road Dist - West Godavari , D.No:  9-11 Beside Mogalthuru Panchayath  ,  MOGALTURU , 534281"/>
    <s v="MOGALTURU"/>
    <n v="400"/>
    <s v="NETMAQBMM00"/>
    <s v="Mr. Sudhakar Veerla"/>
    <d v="2023-09-08T00:00:00"/>
    <s v="September 23 Week 2"/>
    <d v="2023-09-08T00:00:00"/>
    <s v="September 23 Week 2"/>
    <n v="7"/>
    <d v="2023-09-15T00:00:00"/>
    <s v="September 23 Week 3"/>
    <d v="2023-10-01T00:00:00"/>
    <s v="October 23 Week 1"/>
    <m/>
    <s v=""/>
    <s v="YTL"/>
    <s v=" "/>
    <s v=" "/>
    <x v="7"/>
    <s v="9. EPC Ready"/>
    <s v="9. EPC Ready"/>
    <m/>
  </r>
  <r>
    <s v="PHSmarS305"/>
    <n v="209"/>
    <s v="D. Pharma Format"/>
    <s v="Pharma Format"/>
    <x v="9"/>
    <s v="Refit"/>
    <s v="South"/>
    <x v="6"/>
    <s v="Andhra Pradesh"/>
    <s v="Beside Swapna Theatre Bhuvanapalli  , West Godavari , Ganapavaram P &amp; Mandal  , GANAPAVARAM , 534198"/>
    <s v="GANAPAVARAM"/>
    <n v="400"/>
    <s v="NETMAQECY00"/>
    <s v="Mr. Sudhakar Veerla"/>
    <d v="2023-09-08T00:00:00"/>
    <s v="September 23 Week 2"/>
    <d v="2023-09-08T00:00:00"/>
    <s v="September 23 Week 2"/>
    <n v="7"/>
    <d v="2023-09-15T00:00:00"/>
    <s v="September 23 Week 3"/>
    <d v="2023-09-29T00:00:00"/>
    <s v="September 23 Week 5"/>
    <m/>
    <s v=""/>
    <s v="YTL"/>
    <s v=" "/>
    <s v=" "/>
    <x v="7"/>
    <s v="9. EPC Ready"/>
    <s v="9. EPC Ready"/>
    <m/>
  </r>
  <r>
    <s v="PHSmarS306"/>
    <n v="210"/>
    <s v="D. Pharma Format"/>
    <s v="Pharma Format"/>
    <x v="9"/>
    <s v="Refit"/>
    <s v="South"/>
    <x v="6"/>
    <s v="Orissa"/>
    <s v="GF Plot No1354 To 2087 Khata No 558 1177  , Po Ps Banki Cuttack , Mouza Charchika At Banki Khurda Rd , Nr Honda Showroom Banki Cuttack , BANKI , 754008"/>
    <s v="Banki"/>
    <n v="400"/>
    <s v="NETMOQDCV00"/>
    <s v="Mr Balaram Sahu-9123462469"/>
    <d v="2023-10-27T00:00:00"/>
    <s v="October 23 Week 4"/>
    <d v="2023-10-27T00:00:00"/>
    <s v="October 23 Week 4"/>
    <n v="7"/>
    <d v="2023-11-03T00:00:00"/>
    <s v="November 23 Week 1"/>
    <d v="2023-11-02T00:00:00"/>
    <s v="November 23 Week 1"/>
    <m/>
    <s v=""/>
    <s v="YTL"/>
    <s v=" "/>
    <s v=" "/>
    <x v="7"/>
    <s v="9. EPC Ready"/>
    <s v="9. EPC Ready"/>
    <m/>
  </r>
  <r>
    <s v="PHSmarE307"/>
    <n v="211"/>
    <s v="D. Pharma Format"/>
    <s v="Pharma Format"/>
    <x v="9"/>
    <s v="Refit"/>
    <s v="East"/>
    <x v="3"/>
    <s v="Bihar"/>
    <s v="GF, Kamla Kishori Market, Bilozpura  , Khata No 110/20/26, Revenue Thana No 17 , Plot No 2433/2434/2435/318 , Sadikpur, PS - Alamganj, Dist - Patna , PATNA , 800007"/>
    <s v="Patna"/>
    <n v="435"/>
    <s v="NETMBQ4EV00"/>
    <m/>
    <d v="2023-12-02T00:00:00"/>
    <s v="December 23 Week 1"/>
    <d v="2023-12-02T00:00:00"/>
    <s v="December 23 Week 1"/>
    <n v="7"/>
    <d v="2023-12-09T00:00:00"/>
    <s v="December 23 Week 2"/>
    <d v="2023-12-07T00:00:00"/>
    <s v="December 23 Week 1"/>
    <m/>
    <s v=""/>
    <s v="YTL"/>
    <s v=" "/>
    <s v=" "/>
    <x v="7"/>
    <s v="9. EPC Ready"/>
    <s v="9. EPC Ready"/>
    <m/>
  </r>
  <r>
    <s v="PHSmarE308"/>
    <n v="212"/>
    <s v="D. Pharma Format"/>
    <s v="Pharma Format"/>
    <x v="9"/>
    <s v="Refit"/>
    <s v="East"/>
    <x v="5"/>
    <s v="West Bengal"/>
    <s v="Milan Setu Kunja Vill Lakshya  , Purba Medinipur , Po Kumarara Ps Mahisadal  , Mah , 721628"/>
    <s v="Medinipur"/>
    <n v="400"/>
    <s v="NETMWQBSU00"/>
    <s v="Shyam Sundar Sahu-6290823710"/>
    <d v="2023-10-13T00:00:00"/>
    <s v="October 23 Week 2"/>
    <d v="2023-10-13T00:00:00"/>
    <s v="October 23 Week 2"/>
    <n v="7"/>
    <d v="2023-10-20T00:00:00"/>
    <s v="October 23 Week 3"/>
    <d v="2023-11-04T00:00:00"/>
    <s v="November 23 Week 1"/>
    <m/>
    <s v=""/>
    <s v="YTL"/>
    <s v=" "/>
    <s v=" "/>
    <x v="7"/>
    <s v="9. EPC Ready"/>
    <s v="9. EPC Ready"/>
    <m/>
  </r>
  <r>
    <s v="PHSmarS309"/>
    <n v="213"/>
    <s v="D. Pharma Format"/>
    <s v="Pharma Format"/>
    <x v="9"/>
    <s v="Refit"/>
    <s v="South"/>
    <x v="3"/>
    <s v="Tamil Nadu"/>
    <s v="Aj Complex Door No 5 574A2  , Mettupalayam Coimbatore District , Chickadasampalayam  , METTUPALAYAM , 641301"/>
    <s v="METTUPALAYAM"/>
    <n v="400"/>
    <s v="NETMTQECS00"/>
    <m/>
    <d v="2023-11-04T00:00:00"/>
    <s v="November 23 Week 1"/>
    <d v="2023-11-04T00:00:00"/>
    <s v="November 23 Week 1"/>
    <n v="7"/>
    <d v="2023-11-11T00:00:00"/>
    <s v="November 23 Week 2"/>
    <d v="2024-01-30T00:00:00"/>
    <s v="January 24 Week 5"/>
    <m/>
    <s v=""/>
    <s v="YTL"/>
    <s v=" "/>
    <s v=" "/>
    <x v="7"/>
    <s v="9. EPC Ready"/>
    <s v="9. EPC Ready"/>
    <m/>
  </r>
  <r>
    <s v="PHSmarW310"/>
    <n v="214"/>
    <s v="D. Pharma Format"/>
    <s v="Pharma Format"/>
    <x v="9"/>
    <s v="Refit"/>
    <s v="West"/>
    <x v="4"/>
    <s v="Madhya Pradesh"/>
    <s v="GF  Nityanand Complex Survey NO 476/1/2  , Tehsil- Itarsi Dist- Narmadapuram , &amp;476/2 Nr Gagan Magan Hotelold Betul Rd  , Itarsi , 461111"/>
    <s v="Itarsi"/>
    <n v="400"/>
    <s v="NETMEQBOD00"/>
    <s v="Manish Singare-9201986104"/>
    <d v="2023-10-08T00:00:00"/>
    <s v="October 23 Week 2"/>
    <d v="2023-10-08T00:00:00"/>
    <s v="October 23 Week 2"/>
    <n v="7"/>
    <d v="2023-10-15T00:00:00"/>
    <s v="October 23 Week 3"/>
    <d v="2023-10-12T00:00:00"/>
    <s v="October 23 Week 2"/>
    <m/>
    <s v=""/>
    <s v="YTL"/>
    <s v=" "/>
    <s v=" "/>
    <x v="7"/>
    <s v="9. EPC Ready"/>
    <s v="9. EPC Ready"/>
    <m/>
  </r>
  <r>
    <s v="PHSmarN311"/>
    <n v="215"/>
    <s v="D. Pharma Format"/>
    <s v="Pharma Format"/>
    <x v="9"/>
    <s v="Refit"/>
    <s v="North"/>
    <x v="4"/>
    <s v="Rajasthan"/>
    <s v="Shakti Market Saket Nagar  , Sawai Madhopur , Opp Anaj Mandi Alanpur Link Road  , SAWAI MADHOPUR , 322021"/>
    <s v="SAWAI MADHOPUR"/>
    <n v="400"/>
    <s v="NETMRQD1H00"/>
    <s v="Balram Soni-8003293109"/>
    <d v="2023-09-04T00:00:00"/>
    <s v="September 23 Week 1"/>
    <d v="2023-09-04T00:00:00"/>
    <s v="September 23 Week 1"/>
    <n v="7"/>
    <d v="2023-09-11T00:00:00"/>
    <s v="September 23 Week 2"/>
    <d v="2023-09-17T00:00:00"/>
    <s v="September 23 Week 3"/>
    <m/>
    <s v=""/>
    <s v="YTL"/>
    <s v=" "/>
    <s v=" "/>
    <x v="7"/>
    <s v="9. EPC Ready"/>
    <s v="9. EPC Ready"/>
    <m/>
  </r>
  <r>
    <s v="PHSmarE313"/>
    <n v="216"/>
    <s v="D. Pharma Format"/>
    <s v="Pharma Format"/>
    <x v="9"/>
    <s v="Refit"/>
    <s v="East"/>
    <x v="3"/>
    <s v="Telangana"/>
    <s v="H No 16 2 189 Kareemabad Road  , Warangal Dist , Near Subash Statue Kareemabad  , WARANGAL , 506002"/>
    <s v="Kareemabad"/>
    <n v="401"/>
    <s v="NETMNQGRB00"/>
    <m/>
    <d v="2023-09-28T00:00:00"/>
    <s v="September 23 Week 4"/>
    <d v="2023-09-28T00:00:00"/>
    <s v="September 23 Week 4"/>
    <n v="7"/>
    <d v="2023-10-05T00:00:00"/>
    <s v="October 23 Week 1"/>
    <d v="2023-11-04T00:00:00"/>
    <s v="November 23 Week 1"/>
    <m/>
    <s v=""/>
    <s v="YTL"/>
    <s v=" "/>
    <s v=" "/>
    <x v="7"/>
    <s v="9. EPC Ready"/>
    <s v="9. EPC Ready"/>
    <m/>
  </r>
  <r>
    <s v="PHSmarS315"/>
    <n v="217"/>
    <s v="D. Pharma Format"/>
    <s v="Pharma Format"/>
    <x v="9"/>
    <s v="Refit"/>
    <s v="South"/>
    <x v="3"/>
    <s v="Tamil Nadu"/>
    <s v="Vak Mahal Chithoor Road No 81 A Chithoor  , District , Road Near Water Tank Gudiyattam Vellore  , GUDIYATHAM , 632602"/>
    <s v="Gudiyatham"/>
    <n v="400"/>
    <s v="NETMTQBYT00"/>
    <m/>
    <d v="2023-12-21T00:00:00"/>
    <s v="December 23 Week 3"/>
    <d v="2023-12-21T00:00:00"/>
    <s v="December 23 Week 3"/>
    <n v="7"/>
    <d v="2023-12-28T00:00:00"/>
    <s v="December 23 Week 4"/>
    <d v="2024-01-09T00:00:00"/>
    <s v="January 24 Week 2"/>
    <m/>
    <s v=""/>
    <s v="YTL"/>
    <s v=" "/>
    <s v=" "/>
    <x v="7"/>
    <s v="9. EPC Ready"/>
    <s v="9. EPC Ready"/>
    <m/>
  </r>
  <r>
    <s v="PHSmarS316"/>
    <n v="218"/>
    <s v="D. Pharma Format"/>
    <s v="Pharma Format"/>
    <x v="9"/>
    <s v="Refit"/>
    <s v="South"/>
    <x v="6"/>
    <s v="Andhra Pradesh"/>
    <s v="Vijaya Lakshmi Property Opp Taluka  , Tadipatri Anantapur , Office RF Road  , TADPATRI , 515411"/>
    <s v="Tadipatri"/>
    <n v="404"/>
    <s v="NETMAQOWH00"/>
    <s v="Mr. Deepti Chandrashekhar"/>
    <d v="2023-10-17T00:00:00"/>
    <s v="October 23 Week 3"/>
    <d v="2023-10-17T00:00:00"/>
    <s v="October 23 Week 3"/>
    <n v="7"/>
    <d v="2023-10-24T00:00:00"/>
    <s v="October 23 Week 4"/>
    <d v="2023-11-10T00:00:00"/>
    <s v="November 23 Week 2"/>
    <m/>
    <s v=""/>
    <s v="YTL"/>
    <s v=" "/>
    <s v=" "/>
    <x v="7"/>
    <s v="9. EPC Ready"/>
    <s v="9. EPC Ready"/>
    <m/>
  </r>
  <r>
    <s v="PHSmarN317"/>
    <n v="219"/>
    <s v="D. Pharma Format"/>
    <s v="Pharma Format"/>
    <x v="9"/>
    <s v="Refit"/>
    <s v="North"/>
    <x v="4"/>
    <s v="Rajasthan"/>
    <s v="GF &amp; FF Khasra No 5559 &amp; 5560 Near  , Sagwar , Nursary Mod Dungarpur Road Sagwara , Dungarpur , SAGWARA , 314025"/>
    <s v="Sagwara"/>
    <n v="400"/>
    <s v="NETMRQZBM00"/>
    <s v="Mr.Balram Soni-8003293109"/>
    <d v="2023-09-25T00:00:00"/>
    <s v="September 23 Week 4"/>
    <d v="2023-09-25T00:00:00"/>
    <s v="September 23 Week 4"/>
    <n v="7"/>
    <d v="2023-10-02T00:00:00"/>
    <s v="October 23 Week 1"/>
    <d v="2023-10-07T00:00:00"/>
    <s v="October 23 Week 1"/>
    <m/>
    <s v=""/>
    <s v="YTL"/>
    <s v=" "/>
    <s v=" "/>
    <x v="7"/>
    <s v="9. EPC Ready"/>
    <s v="9. EPC Ready"/>
    <m/>
  </r>
  <r>
    <s v="PHSmarS318"/>
    <n v="220"/>
    <s v="D. Pharma Format"/>
    <s v="Pharma Format"/>
    <x v="9"/>
    <s v="Refit"/>
    <s v="South"/>
    <x v="3"/>
    <s v="Kerala"/>
    <s v="Premier Tower Opp Moothedam  , Mudikal Po Ernakulam Kerala , Waigh Bridge Nedumthode  , ERNAKULAM , 683547"/>
    <s v="Vazhakulam"/>
    <n v="400"/>
    <s v="NETMVQDPQ00"/>
    <s v="Samin sunny 6238901694"/>
    <d v="2023-10-19T00:00:00"/>
    <s v="October 23 Week 3"/>
    <d v="2023-10-19T00:00:00"/>
    <s v="October 23 Week 3"/>
    <n v="7"/>
    <d v="2023-10-26T00:00:00"/>
    <s v="October 23 Week 4"/>
    <d v="2023-11-01T00:00:00"/>
    <s v="November 23 Week 1"/>
    <m/>
    <s v=""/>
    <s v="YTL"/>
    <s v=" "/>
    <s v=" "/>
    <x v="7"/>
    <s v="9. EPC Ready"/>
    <s v="9. EPC Ready"/>
    <m/>
  </r>
  <r>
    <s v="PHSmarE319"/>
    <n v="221"/>
    <s v="D. Pharma Format"/>
    <s v="Pharma Format"/>
    <x v="9"/>
    <s v="Refit"/>
    <s v="East"/>
    <x v="3"/>
    <s v="Bihar"/>
    <s v="Mahendra Prasad Singh M Complex Khesra  , Ramdyalu Ngr Rd Ward N31 Opp Canara Bank , N90 91 Kh N245 Jamabandi N1700 Thana 342  , MUZAFFARPUR , 842002"/>
    <s v="Muzaffarpur"/>
    <n v="400"/>
    <s v="NETMBQOWF00"/>
    <m/>
    <d v="2023-11-26T00:00:00"/>
    <s v="November 23 Week 4"/>
    <d v="2023-11-26T00:00:00"/>
    <s v="November 23 Week 4"/>
    <n v="7"/>
    <d v="2023-12-03T00:00:00"/>
    <s v="December 23 Week 1"/>
    <d v="2023-12-02T00:00:00"/>
    <s v="December 23 Week 1"/>
    <m/>
    <s v=""/>
    <s v="YTL"/>
    <s v=" "/>
    <s v=" "/>
    <x v="7"/>
    <s v="9. EPC Ready"/>
    <s v="9. EPC Ready"/>
    <m/>
  </r>
  <r>
    <s v="PHSmarE320"/>
    <n v="222"/>
    <s v="D. Pharma Format"/>
    <s v="Pharma Format"/>
    <x v="9"/>
    <s v="Refit"/>
    <s v="East"/>
    <x v="5"/>
    <s v="Assam &amp; NE"/>
    <s v="GF Revenue vill Sikarhati  , Mouza Bholagaon Dist Kamrup , Dag no 735 Patta no 64  , PALASBARI , 781125"/>
    <s v="Palasbari"/>
    <n v="437"/>
    <s v="NETMFQEHF00"/>
    <s v="Suman Das-7044069904"/>
    <d v="2023-07-27T00:00:00"/>
    <s v="July 23 Week 4"/>
    <d v="2023-07-27T00:00:00"/>
    <s v="July 23 Week 4"/>
    <n v="7"/>
    <d v="2023-08-03T00:00:00"/>
    <s v="August 23 Week 1"/>
    <d v="2023-08-02T00:00:00"/>
    <s v="August 23 Week 1"/>
    <m/>
    <s v=""/>
    <s v="YTL"/>
    <s v=" "/>
    <s v=" "/>
    <x v="7"/>
    <s v="9. EPC Ready"/>
    <s v="9. EPC Ready"/>
    <m/>
  </r>
  <r>
    <s v="PHSmarS321"/>
    <n v="223"/>
    <s v="D. Pharma Format"/>
    <s v="Pharma Format"/>
    <x v="9"/>
    <s v="Refit"/>
    <s v="South"/>
    <x v="3"/>
    <s v="Karnataka"/>
    <s v="Gavisiddappa Banikatti Gadag Road  , Koppal , Ward No 21 Next To Patanjali  , KOPPAL , 583231"/>
    <s v="KOPPAL"/>
    <n v="400"/>
    <s v="NETMKQB3O00"/>
    <s v="Sreekanth.Bijjhalli-9900039061"/>
    <d v="2024-03-26T00:00:00"/>
    <s v="March 24 Week 4"/>
    <d v="2024-03-26T00:00:00"/>
    <s v="March 24 Week 4"/>
    <n v="7"/>
    <d v="2024-04-02T00:00:00"/>
    <s v="April 24 Week 1"/>
    <m/>
    <s v=""/>
    <d v="2024-03-30T00:00:00"/>
    <s v="March 24 Week 5"/>
    <m/>
    <s v=" "/>
    <s v=" "/>
    <x v="0"/>
    <s v="11. HOLD"/>
    <s v="11. HOLD"/>
    <m/>
  </r>
  <r>
    <s v="PHSmarS322"/>
    <n v="224"/>
    <s v="D. Pharma Format"/>
    <s v="Pharma Format"/>
    <x v="9"/>
    <s v="Refit"/>
    <s v="South"/>
    <x v="6"/>
    <s v="Andhra Pradesh"/>
    <s v="Sy No 35 1 Block No6 Nearest Door No 6 1  , Tirrumala West Godavari Dist , 22 Ratham Veedhi By Passroad Dwaraka  , Dwaraka Tiruma , 534426"/>
    <s v="Dwaraka Tirumala"/>
    <n v="400"/>
    <s v="NETMAQBWG00"/>
    <s v="Mr. Sudhakar Veerla"/>
    <d v="2023-09-08T00:00:00"/>
    <s v="September 23 Week 2"/>
    <d v="2023-09-08T00:00:00"/>
    <s v="September 23 Week 2"/>
    <n v="7"/>
    <d v="2023-09-15T00:00:00"/>
    <s v="September 23 Week 3"/>
    <d v="2023-09-18T00:00:00"/>
    <s v="September 23 Week 3"/>
    <m/>
    <s v=""/>
    <s v="YTL"/>
    <s v=" "/>
    <s v=" "/>
    <x v="7"/>
    <s v="9. EPC Ready"/>
    <s v="9. EPC Ready"/>
    <m/>
  </r>
  <r>
    <s v="PHSmarE323"/>
    <n v="225"/>
    <s v="D. Pharma Format"/>
    <s v="Pharma Format"/>
    <x v="9"/>
    <s v="Refit"/>
    <s v="East"/>
    <x v="3"/>
    <s v="Bihar"/>
    <s v="GF RG Complex Plot No 1620 1618  , Vill Basantpatti PS Purnahia , Khata No 144 203 Revenue Thana No 102  , Basantpatti , 843334"/>
    <s v="BasantPatti"/>
    <n v="419"/>
    <s v="NETMBQBTV00"/>
    <s v="Jitendra Gupta"/>
    <d v="2024-03-18T00:00:00"/>
    <s v="March 24 Week 3"/>
    <d v="2024-03-18T00:00:00"/>
    <s v="March 24 Week 3"/>
    <n v="7"/>
    <d v="2024-03-25T00:00:00"/>
    <s v="March 24 Week 4"/>
    <d v="2024-03-22T00:00:00"/>
    <s v="March 24 Week 4"/>
    <m/>
    <s v=""/>
    <s v="YTL"/>
    <s v=" "/>
    <s v=" "/>
    <x v="7"/>
    <s v="9. EPC Ready"/>
    <s v="9. EPC Ready"/>
    <m/>
  </r>
  <r>
    <s v="PHSmarS326"/>
    <n v="226"/>
    <s v="D. Pharma Format"/>
    <s v="Pharma Format"/>
    <x v="9"/>
    <s v="Refit"/>
    <s v="South"/>
    <x v="3"/>
    <s v="Karnataka"/>
    <s v="Plot No 3 Plot No 4 Navanagar Road Sectr  , Vidayagiri Bagalkote Taluk And Dist , 4 Kalidas Circle Opp Anjuman Callaege  , BAGALKOT , 587103"/>
    <s v="BAGALKOT"/>
    <n v="405"/>
    <s v="NETMKQBVT00"/>
    <s v="Sreekanth.Bijjhalli-9900039061"/>
    <d v="2023-10-25T00:00:00"/>
    <s v="October 23 Week 4"/>
    <d v="2023-10-25T00:00:00"/>
    <s v="October 23 Week 4"/>
    <n v="7"/>
    <d v="2023-11-01T00:00:00"/>
    <s v="November 23 Week 1"/>
    <d v="2023-11-20T00:00:00"/>
    <s v="November 23 Week 3"/>
    <m/>
    <s v=""/>
    <s v="YTL"/>
    <s v=" "/>
    <s v=" "/>
    <x v="7"/>
    <s v="9. EPC Ready"/>
    <s v="9. EPC Ready"/>
    <m/>
  </r>
  <r>
    <s v="PHSmarS327"/>
    <n v="227"/>
    <s v="D. Pharma Format"/>
    <s v="Pharma Format"/>
    <x v="9"/>
    <s v="Refit"/>
    <s v="South"/>
    <x v="3"/>
    <s v="Tamil Nadu"/>
    <s v="Karmegam Kalayana Mandapam  , Vellakoil Tiruppur , Door No 56 Uppupalayam Road  , TIRUPPUR , 638111"/>
    <s v="Vellakovil"/>
    <n v="400"/>
    <s v="NETMTQB8C00"/>
    <s v="Janarthanan Ekambaram-9566241523"/>
    <d v="2023-10-24T00:00:00"/>
    <s v="October 23 Week 4"/>
    <d v="2023-10-24T00:00:00"/>
    <s v="October 23 Week 4"/>
    <n v="7"/>
    <d v="2023-10-31T00:00:00"/>
    <s v="October 23 Week 5"/>
    <d v="2023-11-21T00:00:00"/>
    <s v="November 23 Week 3"/>
    <m/>
    <s v=""/>
    <s v="YTL"/>
    <s v=" "/>
    <s v=" "/>
    <x v="7"/>
    <s v="9. EPC Ready"/>
    <s v="9. EPC Ready"/>
    <m/>
  </r>
  <r>
    <s v="PHSmarS328"/>
    <n v="228"/>
    <s v="D. Pharma Format"/>
    <s v="Pharma Format"/>
    <x v="9"/>
    <s v="Refit"/>
    <s v="South"/>
    <x v="3"/>
    <s v="Tamil Nadu"/>
    <s v="GF Reliance Smart Point No 215/33  , Dist - Erode , Bhavani Road Vadapuram Perundurai  , ERODE , 638052"/>
    <s v="Perundurai"/>
    <n v="407"/>
    <s v="NETMTQB8E00"/>
    <m/>
    <d v="2023-12-03T00:00:00"/>
    <s v="December 23 Week 1"/>
    <d v="2023-12-03T00:00:00"/>
    <s v="December 23 Week 1"/>
    <n v="7"/>
    <d v="2023-12-10T00:00:00"/>
    <s v="December 23 Week 2"/>
    <d v="2023-12-13T00:00:00"/>
    <s v="December 23 Week 2"/>
    <m/>
    <s v=""/>
    <s v="YTL"/>
    <s v=" "/>
    <s v=" "/>
    <x v="7"/>
    <s v="9. EPC Ready"/>
    <s v="9. EPC Ready"/>
    <m/>
  </r>
  <r>
    <s v="PHSmarS329"/>
    <n v="229"/>
    <s v="D. Pharma Format"/>
    <s v="Pharma Format"/>
    <x v="9"/>
    <s v="Refit"/>
    <s v="South"/>
    <x v="3"/>
    <s v="Tamil Nadu"/>
    <s v="Gk Complex Door No 452A East Mundakan  , Virudhunagar , Nadar Street Jakkamal Kovil Sivakasi  , SIVAKASI , 626123"/>
    <s v="Sivakasi"/>
    <n v="385"/>
    <s v="NETMTQBZK00"/>
    <m/>
    <d v="2023-11-02T00:00:00"/>
    <s v="November 23 Week 1"/>
    <d v="2023-11-02T00:00:00"/>
    <s v="November 23 Week 1"/>
    <n v="7"/>
    <d v="2023-11-09T00:00:00"/>
    <s v="November 23 Week 2"/>
    <d v="2023-11-27T00:00:00"/>
    <s v="November 23 Week 4"/>
    <m/>
    <s v=""/>
    <s v="YTL"/>
    <s v=" "/>
    <s v=" "/>
    <x v="7"/>
    <s v="9. EPC Ready"/>
    <s v="9. EPC Ready"/>
    <m/>
  </r>
  <r>
    <s v="PHSmarS330"/>
    <n v="230"/>
    <s v="D. Pharma Format"/>
    <s v="Pharma Format"/>
    <x v="9"/>
    <s v="Refit"/>
    <s v="South"/>
    <x v="3"/>
    <s v="Tamil Nadu"/>
    <s v="GF Annai Fatima Complex East Coast Raod  , Pudupattinam Chengalpattu , Opp To Peter England Showroom  , PUDUPATTINAM , 603102"/>
    <s v="Pudupattinam"/>
    <n v="400"/>
    <s v="NETMTQFYM00"/>
    <m/>
    <d v="2023-10-28T00:00:00"/>
    <s v="October 23 Week 4"/>
    <d v="2023-10-28T00:00:00"/>
    <s v="October 23 Week 4"/>
    <n v="7"/>
    <d v="2023-11-04T00:00:00"/>
    <s v="November 23 Week 1"/>
    <d v="2023-12-11T00:00:00"/>
    <s v="December 23 Week 2"/>
    <m/>
    <s v=""/>
    <s v="YTL"/>
    <s v=" "/>
    <s v=" "/>
    <x v="7"/>
    <s v="9. EPC Ready"/>
    <s v="9. EPC Ready"/>
    <m/>
  </r>
  <r>
    <s v="PHSmarE331"/>
    <n v="231"/>
    <s v="D. Pharma Format"/>
    <s v="Pharma Format"/>
    <x v="9"/>
    <s v="Refit"/>
    <s v="East"/>
    <x v="5"/>
    <s v="Assam &amp; NE"/>
    <s v="GF Patta No 2016 Dag No 1558 2185 30  , Block No 11 Dimapur Town Dist Dimapur , To 34 440 1559 To 41 1562 Mouza No 1  , DIMAPUR , 797112"/>
    <s v="DIMAPUR"/>
    <n v="423"/>
    <s v="NETMLQBNK00"/>
    <s v="Shubham Rai-6003901308"/>
    <d v="2023-10-10T00:00:00"/>
    <s v="October 23 Week 2"/>
    <d v="2023-10-10T00:00:00"/>
    <s v="October 23 Week 2"/>
    <n v="7"/>
    <d v="2023-10-17T00:00:00"/>
    <s v="October 23 Week 3"/>
    <d v="2023-11-05T00:00:00"/>
    <s v="November 23 Week 1"/>
    <m/>
    <s v=""/>
    <s v="YTL"/>
    <s v=" "/>
    <s v=" "/>
    <x v="7"/>
    <s v="9. EPC Ready"/>
    <s v="9. EPC Ready"/>
    <m/>
  </r>
  <r>
    <s v="PHSmarS332"/>
    <n v="232"/>
    <s v="D. Pharma Format"/>
    <s v="Pharma Format"/>
    <x v="9"/>
    <s v="Refit"/>
    <s v="South"/>
    <x v="3"/>
    <s v="Tamil Nadu"/>
    <s v="Gf Chinnathambi Nadar Thottam  , Dist Thoothukudi , Manthithoppu Road Kovilpatti  , KOVILPATTI , 628501"/>
    <s v="Kovilpatti"/>
    <n v="400"/>
    <s v="NETMTQ3M100"/>
    <m/>
    <d v="2023-11-06T00:00:00"/>
    <s v="November 23 Week 1"/>
    <d v="2023-11-06T00:00:00"/>
    <s v="November 23 Week 1"/>
    <n v="7"/>
    <d v="2023-11-13T00:00:00"/>
    <s v="November 23 Week 2"/>
    <d v="2023-12-16T00:00:00"/>
    <s v="December 23 Week 3"/>
    <m/>
    <s v=""/>
    <s v="YTL"/>
    <s v=" "/>
    <s v=" "/>
    <x v="7"/>
    <s v="9. EPC Ready"/>
    <s v="9. EPC Ready"/>
    <m/>
  </r>
  <r>
    <s v="PHSmarS334"/>
    <n v="233"/>
    <s v="D. Pharma Format"/>
    <s v="Pharma Format"/>
    <x v="9"/>
    <s v="Refit"/>
    <s v="South"/>
    <x v="3"/>
    <s v="Tamil Nadu"/>
    <s v="Nirmala Arcade No 58 59  , Sirkali Mayiladurthurai , Thadalan South Street  , SIRKALI , 609110"/>
    <s v="Sirkazhi"/>
    <n v="400"/>
    <s v="NETMTQBYL00"/>
    <m/>
    <d v="2023-12-01T00:00:00"/>
    <s v="December 23 Week 1"/>
    <d v="2023-12-01T00:00:00"/>
    <s v="December 23 Week 1"/>
    <n v="7"/>
    <d v="2023-12-08T00:00:00"/>
    <s v="December 23 Week 2"/>
    <d v="2023-12-27T00:00:00"/>
    <s v="December 23 Week 4"/>
    <m/>
    <s v=""/>
    <s v="YTL"/>
    <s v=" "/>
    <s v=" "/>
    <x v="7"/>
    <s v="9. EPC Ready"/>
    <s v="9. EPC Ready"/>
    <m/>
  </r>
  <r>
    <s v="PHSmarS335"/>
    <n v="234"/>
    <s v="D. Pharma Format"/>
    <s v="Pharma Format"/>
    <x v="9"/>
    <s v="Refit"/>
    <s v="South"/>
    <x v="3"/>
    <s v="Tamil Nadu"/>
    <s v="Husain Building 1St Cross Road Ezhil  , Medicals Hosur Krishnagiri , Nagar Begepalli Sri Vinayaka  , HOSUR , 635109"/>
    <s v="Hosur"/>
    <n v="400"/>
    <s v="NETMTQBXT00"/>
    <m/>
    <d v="2023-10-28T00:00:00"/>
    <s v="October 23 Week 4"/>
    <d v="2023-10-28T00:00:00"/>
    <s v="October 23 Week 4"/>
    <n v="7"/>
    <d v="2023-11-04T00:00:00"/>
    <s v="November 23 Week 1"/>
    <d v="2023-12-04T00:00:00"/>
    <s v="December 23 Week 1"/>
    <m/>
    <s v=""/>
    <s v="YTL"/>
    <s v=" "/>
    <s v=" "/>
    <x v="7"/>
    <s v="9. EPC Ready"/>
    <s v="9. EPC Ready"/>
    <m/>
  </r>
  <r>
    <s v="PHSmarE336"/>
    <n v="235"/>
    <s v="D. Pharma Format"/>
    <s v="Pharma Format"/>
    <x v="9"/>
    <s v="Refit"/>
    <s v="East"/>
    <x v="5"/>
    <s v="Assam &amp; NE"/>
    <s v="Pushpa Sharma Majhitar  , Majhitar East , Near Sikkim Manipal University  , Majhitar , 737136"/>
    <s v="Majhitar"/>
    <n v="407"/>
    <s v="NETMSQBYU00"/>
    <m/>
    <d v="2023-12-07T00:00:00"/>
    <s v="December 23 Week 1"/>
    <d v="2023-12-07T00:00:00"/>
    <s v="December 23 Week 1"/>
    <n v="7"/>
    <d v="2023-12-14T00:00:00"/>
    <s v="December 23 Week 2"/>
    <d v="2024-01-08T00:00:00"/>
    <s v="January 24 Week 2"/>
    <m/>
    <s v=""/>
    <s v="YTL"/>
    <s v=" "/>
    <s v=" "/>
    <x v="7"/>
    <s v="9. EPC Ready"/>
    <s v="9. EPC Ready"/>
    <m/>
  </r>
  <r>
    <s v="PHSmarN337"/>
    <n v="236"/>
    <s v="D. Pharma Format"/>
    <s v="Pharma Format"/>
    <x v="9"/>
    <s v="Refit"/>
    <s v="North"/>
    <x v="4"/>
    <s v="Uttar Pradesh"/>
    <s v="Brij Petrol Pump Khata no 0015 Gata no  , Dibiyapur Auraiya , 462 Pargana kakarahi  , DIBIYAPUR , 226244"/>
    <s v="Dibiyapur"/>
    <n v="400"/>
    <s v="NETMUQZYW00"/>
    <s v="Ashok Kumar-8511199017"/>
    <d v="2023-09-29T00:00:00"/>
    <s v="September 23 Week 5"/>
    <d v="2023-09-29T00:00:00"/>
    <s v="September 23 Week 5"/>
    <n v="7"/>
    <d v="2023-10-06T00:00:00"/>
    <s v="October 23 Week 1"/>
    <d v="2023-10-05T00:00:00"/>
    <s v="October 23 Week 1"/>
    <m/>
    <s v=""/>
    <s v="YTL"/>
    <s v=" "/>
    <s v=" "/>
    <x v="7"/>
    <s v="9. EPC Ready"/>
    <s v="9. EPC Ready"/>
    <m/>
  </r>
  <r>
    <s v="PHSmarS339"/>
    <n v="237"/>
    <s v="D. Pharma Format"/>
    <s v="Pharma Format"/>
    <x v="9"/>
    <s v="Refit"/>
    <s v="South"/>
    <x v="3"/>
    <s v="Tamil Nadu"/>
    <s v="Danish Display No 70A Anna Salai  , Kodaikanal Dindigal , Bus Stand Back  , KODAIKANAL , 624101"/>
    <s v="Kodaikanal"/>
    <n v="400"/>
    <s v="NETMTQBZG00"/>
    <s v="Velutham Balaji"/>
    <d v="2024-03-18T00:00:00"/>
    <s v="March 24 Week 3"/>
    <d v="2024-03-18T00:00:00"/>
    <s v="March 24 Week 3"/>
    <n v="7"/>
    <d v="2024-03-25T00:00:00"/>
    <s v="March 24 Week 4"/>
    <d v="2024-04-16T00:00:00"/>
    <s v="April 24 Week 3"/>
    <d v="2024-04-16T00:00:00"/>
    <s v="April 24 Week 3"/>
    <s v="YTL"/>
    <s v=" "/>
    <s v=" "/>
    <x v="7"/>
    <s v="9. EPC Ready"/>
    <s v="9. EPC Ready"/>
    <m/>
  </r>
  <r>
    <s v="PHSmarS340"/>
    <n v="238"/>
    <s v="D. Pharma Format"/>
    <s v="Pharma Format"/>
    <x v="9"/>
    <s v="Refit"/>
    <s v="South"/>
    <x v="3"/>
    <s v="Karnataka"/>
    <s v="GF Unit/shop OM VIJAYASHANKARA ARCADE  , Sury 82/1BBidar BengaRd Shahpur Yadgiri , Property Bearing 35-4-148(old No.64-74)  , SHAHPUR , 585223"/>
    <s v="Shahapur"/>
    <n v="400"/>
    <s v="NETMKQB4W00"/>
    <s v="Sreekanth.Bijjhalli-9900039061"/>
    <d v="2023-11-06T00:00:00"/>
    <s v="November 23 Week 1"/>
    <d v="2023-11-06T00:00:00"/>
    <s v="November 23 Week 1"/>
    <n v="7"/>
    <d v="2023-11-13T00:00:00"/>
    <s v="November 23 Week 2"/>
    <d v="2024-01-25T00:00:00"/>
    <s v="January 24 Week 4"/>
    <m/>
    <s v=""/>
    <s v="YTL"/>
    <s v=" "/>
    <s v=" "/>
    <x v="7"/>
    <s v="9. EPC Ready"/>
    <s v="9. EPC Ready"/>
    <m/>
  </r>
  <r>
    <s v="PHSmarN341"/>
    <n v="239"/>
    <s v="D. Pharma Format"/>
    <s v="Pharma Format"/>
    <x v="9"/>
    <s v="Refit"/>
    <s v="North"/>
    <x v="4"/>
    <s v="Uttarakhand"/>
    <s v="GF Khasra No 2464  , Tehsil Vikas Nagar Dist Dehradun , Village Atanbagh Pargana Pachwadoon  , VIKASNAGAR , 248198"/>
    <s v="Dehradun"/>
    <n v="400"/>
    <s v="NETM5QB6R00"/>
    <s v="Manoj Agarwal-8811031166"/>
    <d v="2023-09-24T00:00:00"/>
    <s v="September 23 Week 4"/>
    <d v="2023-09-24T00:00:00"/>
    <s v="September 23 Week 4"/>
    <n v="7"/>
    <d v="2023-10-01T00:00:00"/>
    <s v="October 23 Week 1"/>
    <d v="2023-09-28T00:00:00"/>
    <s v="September 23 Week 4"/>
    <m/>
    <s v=""/>
    <s v="YTL"/>
    <s v=" "/>
    <s v=" "/>
    <x v="7"/>
    <s v="9. EPC Ready"/>
    <s v="9. EPC Ready"/>
    <m/>
  </r>
  <r>
    <s v="PHSmarS342"/>
    <n v="240"/>
    <s v="D. Pharma Format"/>
    <s v="Pharma Format"/>
    <x v="9"/>
    <s v="Refit"/>
    <s v="South"/>
    <x v="3"/>
    <s v="Tamil Nadu"/>
    <s v="Mrs M Santhi Ms Towers Door No 4 Koranad  , Mayiladuthurai , Bazzar Street East Mg Road Kavara Street  , MAYILADUTHURAI , 609001"/>
    <s v="Mayiladuthurai"/>
    <n v="407"/>
    <s v="NETMTQBWW00"/>
    <m/>
    <d v="2023-11-04T00:00:00"/>
    <s v="November 23 Week 1"/>
    <d v="2023-11-04T00:00:00"/>
    <s v="November 23 Week 1"/>
    <n v="7"/>
    <d v="2023-11-11T00:00:00"/>
    <s v="November 23 Week 2"/>
    <d v="2023-12-11T00:00:00"/>
    <s v="December 23 Week 2"/>
    <m/>
    <s v=""/>
    <s v="YTL"/>
    <s v=" "/>
    <s v=" "/>
    <x v="7"/>
    <s v="9. EPC Ready"/>
    <s v="9. EPC Ready"/>
    <m/>
  </r>
  <r>
    <s v="PHSmarE343"/>
    <n v="241"/>
    <s v="D. Pharma Format"/>
    <s v="Pharma Format"/>
    <x v="9"/>
    <s v="Refit"/>
    <s v="East"/>
    <x v="5"/>
    <s v="Assam &amp; NE"/>
    <s v="Gf Dag No1239 Under Patta No 2  , Mahal Mouza West Jamuna Rd Revenue , 675 Vlg Sivasagar Town Oart 2 Under Ngr  , Sivasagar , 785640"/>
    <s v="SIVASAGAR"/>
    <n v="400"/>
    <s v="NETMFQGQN00"/>
    <m/>
    <d v="2023-12-08T00:00:00"/>
    <s v="December 23 Week 2"/>
    <d v="2023-12-08T00:00:00"/>
    <s v="December 23 Week 2"/>
    <n v="7"/>
    <d v="2023-12-15T00:00:00"/>
    <s v="December 23 Week 3"/>
    <d v="2023-12-21T00:00:00"/>
    <s v="December 23 Week 3"/>
    <m/>
    <s v=""/>
    <s v="YTL"/>
    <s v=" "/>
    <s v=" "/>
    <x v="7"/>
    <s v="9. EPC Ready"/>
    <s v="9. EPC Ready"/>
    <m/>
  </r>
  <r>
    <s v="PHSmarE344"/>
    <n v="242"/>
    <s v="D. Pharma Format"/>
    <s v="Pharma Format"/>
    <x v="9"/>
    <s v="Refit"/>
    <s v="East"/>
    <x v="5"/>
    <s v="West Bengal"/>
    <s v="Magrahat Station Road Purbo Belaria  , Magrahat South 24 Pgs , Po Magrahat Ps  , MAGRAHAT , 743355"/>
    <s v="Magrahat"/>
    <n v="419"/>
    <s v="NETMWQBYI00"/>
    <s v="Sagar Neyogi-7980192700"/>
    <d v="2023-09-16T00:00:00"/>
    <s v="September 23 Week 3"/>
    <d v="2023-09-16T00:00:00"/>
    <s v="September 23 Week 3"/>
    <n v="7"/>
    <d v="2023-09-23T00:00:00"/>
    <s v="September 23 Week 4"/>
    <d v="2023-10-13T00:00:00"/>
    <s v="October 23 Week 2"/>
    <m/>
    <s v=""/>
    <s v="YTL"/>
    <s v=" "/>
    <s v=" "/>
    <x v="7"/>
    <s v="9. EPC Ready"/>
    <s v="9. EPC Ready"/>
    <m/>
  </r>
  <r>
    <s v="PHSmarE346"/>
    <n v="243"/>
    <s v="D. Pharma Format"/>
    <s v="Pharma Format"/>
    <x v="9"/>
    <s v="Refit"/>
    <s v="East"/>
    <x v="3"/>
    <s v="Telangana"/>
    <s v="Suryvey No 631 Near Bus Stand  , Kothapally Karimnagar , Opposite Markandeya Temple  , Karim Nagar , 505451"/>
    <s v="Karimnagar"/>
    <n v="400"/>
    <s v="NETMNQB8R00"/>
    <m/>
    <d v="2023-09-27T00:00:00"/>
    <s v="September 23 Week 4"/>
    <d v="2023-09-27T00:00:00"/>
    <s v="September 23 Week 4"/>
    <n v="7"/>
    <d v="2023-10-04T00:00:00"/>
    <s v="October 23 Week 1"/>
    <d v="2023-10-31T00:00:00"/>
    <s v="October 23 Week 5"/>
    <m/>
    <s v=""/>
    <s v="YTL"/>
    <s v=" "/>
    <s v=" "/>
    <x v="7"/>
    <s v="9. EPC Ready"/>
    <s v="9. EPC Ready"/>
    <m/>
  </r>
  <r>
    <s v="PHSmarS347"/>
    <n v="244"/>
    <s v="D. Pharma Format"/>
    <s v="Pharma Format"/>
    <x v="9"/>
    <s v="Refit"/>
    <s v="South"/>
    <x v="6"/>
    <s v="Andhra Pradesh"/>
    <s v="GF, Premises No 7-12-94/1,2,3  , Mandal - Repalle, Dist - Guntur , Sy No 68/3, Village - Isukapalli  , REPALLE , 522265"/>
    <s v="Repalle"/>
    <n v="396"/>
    <s v="NETMAQB5V00"/>
    <s v="Mr. Sridhar Gummadi"/>
    <d v="2023-10-05T00:00:00"/>
    <s v="October 23 Week 1"/>
    <d v="2023-10-05T00:00:00"/>
    <s v="October 23 Week 1"/>
    <n v="7"/>
    <d v="2023-10-12T00:00:00"/>
    <s v="October 23 Week 2"/>
    <d v="2023-11-09T00:00:00"/>
    <s v="November 23 Week 2"/>
    <m/>
    <s v=""/>
    <s v="YTL"/>
    <s v=" "/>
    <s v=" "/>
    <x v="7"/>
    <s v="9. EPC Ready"/>
    <s v="9. EPC Ready"/>
    <m/>
  </r>
  <r>
    <s v="PHSmarN348"/>
    <n v="245"/>
    <s v="D. Pharma Format"/>
    <s v="Pharma Format"/>
    <x v="9"/>
    <s v="Refit"/>
    <s v="North"/>
    <x v="4"/>
    <s v="Rajasthan"/>
    <s v="GF, Ward No41 Mohalla, Ramdwar Ke Samne,  ,  , Nimbahera, Distt Chittorgarh  , NIMBAHERA , 312601"/>
    <s v="Nimbahera"/>
    <n v="420"/>
    <s v="NETMRQB5X00"/>
    <s v="Mr.Balram Soni-8003293109"/>
    <d v="2023-09-04T00:00:00"/>
    <s v="September 23 Week 1"/>
    <d v="2023-09-04T00:00:00"/>
    <s v="September 23 Week 1"/>
    <n v="7"/>
    <d v="2023-09-11T00:00:00"/>
    <s v="September 23 Week 2"/>
    <d v="2023-09-12T00:00:00"/>
    <s v="September 23 Week 2"/>
    <m/>
    <s v=""/>
    <s v="YTL"/>
    <s v=" "/>
    <s v=" "/>
    <x v="7"/>
    <s v="9. EPC Ready"/>
    <s v="9. EPC Ready"/>
    <m/>
  </r>
  <r>
    <s v="PHSmarE349"/>
    <n v="246"/>
    <s v="D. Pharma Format"/>
    <s v="Pharma Format"/>
    <x v="9"/>
    <s v="Refit"/>
    <s v="East"/>
    <x v="5"/>
    <s v="West Bengal"/>
    <s v="GFunder Pratapaditya NagarGram Panchayat  , LR Khatian18004&amp;17619MouzaGaneshpurBlock , Kakdwip Station RoadJL No11 LR Plot 4380 , &amp; P.O &amp; P.S &amp; A.D.S.R.O-Kakdwip , KAKDWIP , 743347"/>
    <s v="Kakdwip"/>
    <n v="400"/>
    <s v="NETMWQF5H00"/>
    <s v="Sagar Neyogi-7980192700"/>
    <d v="2023-10-05T00:00:00"/>
    <s v="October 23 Week 1"/>
    <d v="2023-10-05T00:00:00"/>
    <s v="October 23 Week 1"/>
    <n v="7"/>
    <d v="2023-10-12T00:00:00"/>
    <s v="October 23 Week 2"/>
    <d v="2023-10-19T00:00:00"/>
    <s v="October 23 Week 3"/>
    <m/>
    <s v=""/>
    <s v="YTL"/>
    <s v=" "/>
    <s v=" "/>
    <x v="7"/>
    <s v="9. EPC Ready"/>
    <s v="9. EPC Ready"/>
    <m/>
  </r>
  <r>
    <s v="PHSmarN351"/>
    <n v="247"/>
    <s v="D. Pharma Format"/>
    <s v="Pharma Format"/>
    <x v="9"/>
    <s v="Refit"/>
    <s v="North"/>
    <x v="4"/>
    <s v="Punjab"/>
    <s v="Opposite To Indain Oil Petrol Pump  ,  , Near Ashoka Tailor Sarna  , PATHANKOT , 145001"/>
    <s v="Sarna"/>
    <n v="400"/>
    <s v="NETM9QCCO00"/>
    <s v="Yogesh Kapoor-7888699608"/>
    <d v="2023-09-13T00:00:00"/>
    <s v="September 23 Week 2"/>
    <d v="2023-09-13T00:00:00"/>
    <s v="September 23 Week 2"/>
    <n v="7"/>
    <d v="2023-09-20T00:00:00"/>
    <s v="September 23 Week 3"/>
    <d v="2023-10-06T00:00:00"/>
    <s v="October 23 Week 1"/>
    <m/>
    <s v=""/>
    <s v="YTL"/>
    <s v=" "/>
    <s v=" "/>
    <x v="7"/>
    <s v="9. EPC Ready"/>
    <s v="9. EPC Ready"/>
    <m/>
  </r>
  <r>
    <s v="PHSmarN352"/>
    <n v="248"/>
    <s v="D. Pharma Format"/>
    <s v="Pharma Format"/>
    <x v="9"/>
    <s v="Refit"/>
    <s v="North"/>
    <x v="4"/>
    <s v="Rajasthan"/>
    <s v="GF, Patta No128, Plot No12, Kishangarh  ,  , Renwal, Dist - Jaipur  , KISHANGARH , 303603"/>
    <s v="Jaipur"/>
    <n v="400"/>
    <s v="NETMRQB9Q00"/>
    <s v="Mr.Balram Soni-8003293109"/>
    <d v="2023-08-30T00:00:00"/>
    <s v="August 23 Week 5"/>
    <d v="2023-08-30T00:00:00"/>
    <s v="August 23 Week 5"/>
    <n v="7"/>
    <d v="2023-09-06T00:00:00"/>
    <s v="September 23 Week 1"/>
    <d v="2023-09-11T00:00:00"/>
    <s v="September 23 Week 2"/>
    <m/>
    <s v=""/>
    <s v="YTL"/>
    <s v=" "/>
    <s v=" "/>
    <x v="7"/>
    <s v="9. EPC Ready"/>
    <s v="9. EPC Ready"/>
    <m/>
  </r>
  <r>
    <s v="PHSmarE353"/>
    <n v="249"/>
    <s v="D. Pharma Format"/>
    <s v="Pharma Format"/>
    <x v="9"/>
    <s v="Refit"/>
    <s v="East"/>
    <x v="5"/>
    <s v="West Bengal"/>
    <s v="GF LR Dag No.439&amp;441 LR Khatian No.2411  , BlockGarhbeta3SankarkataPaschimMedinipur , 128Mouza-DurlabhgunjPOSatbankura PS&amp;ADSR  , Chandrakona Road , 721253"/>
    <s v="Chandrakona Road"/>
    <n v="400"/>
    <s v="NETMWQFZN00"/>
    <s v="Subhojit Dey-7908399419"/>
    <d v="2023-10-13T00:00:00"/>
    <s v="October 23 Week 2"/>
    <d v="2023-10-13T00:00:00"/>
    <s v="October 23 Week 2"/>
    <n v="7"/>
    <d v="2023-10-20T00:00:00"/>
    <s v="October 23 Week 3"/>
    <d v="2023-11-03T00:00:00"/>
    <s v="November 23 Week 1"/>
    <m/>
    <s v=""/>
    <s v="YTL"/>
    <s v=" "/>
    <s v=" "/>
    <x v="7"/>
    <s v="9. EPC Ready"/>
    <s v="9. EPC Ready"/>
    <m/>
  </r>
  <r>
    <s v="PHSmarS357"/>
    <n v="250"/>
    <s v="D. Pharma Format"/>
    <s v="Pharma Format"/>
    <x v="9"/>
    <s v="Refit"/>
    <s v="South"/>
    <x v="3"/>
    <s v="Tamil Nadu"/>
    <s v="Ground Floor S R Bulding Nol351/3 Reddy  , Kurinjipadi Cuddalore , Street Kurinjipadi Cuddalore  , Kurinijipadi , 607302"/>
    <s v="Kurinjipadi"/>
    <n v="400"/>
    <s v="NETMTQOQL00"/>
    <m/>
    <d v="2023-10-28T00:00:00"/>
    <s v="October 23 Week 4"/>
    <d v="2023-10-28T00:00:00"/>
    <s v="October 23 Week 4"/>
    <n v="7"/>
    <d v="2023-11-04T00:00:00"/>
    <s v="November 23 Week 1"/>
    <d v="2023-12-30T00:00:00"/>
    <s v="December 23 Week 5"/>
    <m/>
    <s v=""/>
    <s v="YTL"/>
    <s v=" "/>
    <s v=" "/>
    <x v="7"/>
    <s v="9. EPC Ready"/>
    <s v="9. EPC Ready"/>
    <m/>
  </r>
  <r>
    <s v="PHSmarE358"/>
    <n v="251"/>
    <s v="D. Pharma Format"/>
    <s v="Pharma Format"/>
    <x v="9"/>
    <s v="Refit"/>
    <s v="East"/>
    <x v="5"/>
    <s v="Assam &amp; NE"/>
    <s v="GF Golaghat Town Block 2 Mouza  , Dist Golaghat , Moukhowa Golaghat Revenue Circle  , GOLAGHAT , 785621"/>
    <s v="GOLAGHAT"/>
    <n v="400"/>
    <s v="NETMFQB6Q00"/>
    <s v="Suman Das-7044069904"/>
    <d v="2023-10-17T00:00:00"/>
    <s v="October 23 Week 3"/>
    <d v="2023-10-17T00:00:00"/>
    <s v="October 23 Week 3"/>
    <n v="7"/>
    <d v="2023-10-24T00:00:00"/>
    <s v="October 23 Week 4"/>
    <d v="2023-11-27T00:00:00"/>
    <s v="November 23 Week 4"/>
    <m/>
    <s v=""/>
    <s v="YTL"/>
    <s v=" "/>
    <s v=" "/>
    <x v="7"/>
    <s v="9. EPC Ready"/>
    <s v="9. EPC Ready"/>
    <m/>
  </r>
  <r>
    <s v="PHSmarN359"/>
    <n v="252"/>
    <s v="D. Pharma Format"/>
    <s v="Pharma Format"/>
    <x v="9"/>
    <s v="Refit"/>
    <s v="North"/>
    <x v="4"/>
    <s v="Delhi &amp; NCR"/>
    <s v="Gf Mustil No 97 111 Khasra No 24  , Dist Rewari , 2 2/3 4 1 4 4 Dharuheda Gurugram  , DHARUHERA , 122106"/>
    <s v="Delhi"/>
    <n v="400"/>
    <s v="NETMHQKZZ00"/>
    <s v="Sushil Sahu-8750322424"/>
    <d v="2023-09-25T00:00:00"/>
    <s v="September 23 Week 4"/>
    <d v="2023-09-25T00:00:00"/>
    <s v="September 23 Week 4"/>
    <n v="7"/>
    <d v="2023-10-02T00:00:00"/>
    <s v="October 23 Week 1"/>
    <d v="2023-10-31T00:00:00"/>
    <s v="October 23 Week 5"/>
    <m/>
    <s v=""/>
    <s v="YTL"/>
    <s v=" "/>
    <s v=" "/>
    <x v="7"/>
    <s v="9. EPC Ready"/>
    <s v="9. EPC Ready"/>
    <m/>
  </r>
  <r>
    <s v="PHSmarE360"/>
    <n v="253"/>
    <s v="D. Pharma Format"/>
    <s v="Pharma Format"/>
    <x v="9"/>
    <s v="Refit"/>
    <s v="East"/>
    <x v="3"/>
    <s v="Jharkhand"/>
    <s v="GF 92 Mouza Kudra Thana No 77  , Sisai Dist Gumla , Plot No 1104 Khata No 1 Thana  , SISAI , 835234"/>
    <s v="Sisai"/>
    <n v="417"/>
    <s v="NETMQQFXZ00"/>
    <m/>
    <d v="2023-09-29T00:00:00"/>
    <s v="September 23 Week 5"/>
    <d v="2023-09-29T00:00:00"/>
    <s v="September 23 Week 5"/>
    <n v="7"/>
    <d v="2023-10-06T00:00:00"/>
    <s v="October 23 Week 1"/>
    <d v="2023-11-11T00:00:00"/>
    <s v="November 23 Week 2"/>
    <m/>
    <s v=""/>
    <s v="YTL"/>
    <s v=" "/>
    <s v=" "/>
    <x v="7"/>
    <s v="9. EPC Ready"/>
    <s v="9. EPC Ready"/>
    <m/>
  </r>
  <r>
    <s v="PHSmarS361"/>
    <n v="254"/>
    <s v="D. Pharma Format"/>
    <s v="Pharma Format"/>
    <x v="9"/>
    <s v="Refit"/>
    <s v="South"/>
    <x v="3"/>
    <s v="Kerala"/>
    <s v="Kadaottil Enclave Kollam  , Kollakadavu Alappuzha , Theni Highway Near Sanjivani Hospital  , KOLLAKADAVU , 690509"/>
    <s v="KOLLAKADAVU"/>
    <n v="400"/>
    <s v="NETMVQB4Q00"/>
    <s v="Jose Loviese-6361753673"/>
    <d v="2023-10-05T00:00:00"/>
    <s v="October 23 Week 1"/>
    <d v="2023-10-05T00:00:00"/>
    <s v="October 23 Week 1"/>
    <n v="7"/>
    <d v="2023-10-12T00:00:00"/>
    <s v="October 23 Week 2"/>
    <d v="2023-10-30T00:00:00"/>
    <s v="October 23 Week 5"/>
    <m/>
    <s v=""/>
    <s v="YTL"/>
    <s v=" "/>
    <s v=" "/>
    <x v="7"/>
    <s v="9. EPC Ready"/>
    <s v="9. EPC Ready"/>
    <m/>
  </r>
  <r>
    <s v="PHSmarS362"/>
    <n v="255"/>
    <s v="D. Pharma Format"/>
    <s v="Pharma Format"/>
    <x v="9"/>
    <s v="Refit"/>
    <s v="South"/>
    <x v="3"/>
    <s v="Tamil Nadu"/>
    <s v="Mgs Complex S No 1855 6 Ambekar  , Anthiyur Erode , Street Thavittupalayam  , ANTHIYUR , 638501"/>
    <s v="Anthiyur"/>
    <n v="400"/>
    <s v="NETMTQOXI00"/>
    <s v="Janarthanan Ekambaram-9566241523"/>
    <d v="2023-12-03T00:00:00"/>
    <s v="December 23 Week 1"/>
    <d v="2023-12-03T00:00:00"/>
    <s v="December 23 Week 1"/>
    <n v="7"/>
    <d v="2023-12-10T00:00:00"/>
    <s v="December 23 Week 2"/>
    <d v="2023-12-14T00:00:00"/>
    <s v="December 23 Week 2"/>
    <m/>
    <s v=""/>
    <s v="YTL"/>
    <s v=" "/>
    <s v=" "/>
    <x v="7"/>
    <s v="9. EPC Ready"/>
    <s v="9. EPC Ready"/>
    <m/>
  </r>
  <r>
    <s v="PHSmarE363"/>
    <n v="256"/>
    <s v="D. Pharma Format"/>
    <s v="Pharma Format"/>
    <x v="9"/>
    <s v="Refit"/>
    <s v="East"/>
    <x v="3"/>
    <s v="Jharkhand"/>
    <s v="Rudra Complex Main Road Bhawanathpur  , Bhawanathpur Garhwa , Near Block Bhawnathpur  , Bhawanathpur , 822112"/>
    <s v="Bhawanathpur"/>
    <n v="400"/>
    <s v="NETMQQGHU00"/>
    <s v="Avinandan Kumar "/>
    <d v="2023-09-29T00:00:00"/>
    <s v="September 23 Week 5"/>
    <d v="2023-09-29T00:00:00"/>
    <s v="September 23 Week 5"/>
    <n v="7"/>
    <d v="2023-10-06T00:00:00"/>
    <s v="October 23 Week 1"/>
    <d v="2023-11-08T00:00:00"/>
    <s v="November 23 Week 2"/>
    <m/>
    <s v=""/>
    <s v="YTL"/>
    <s v=" "/>
    <s v=" "/>
    <x v="7"/>
    <s v="9. EPC Ready"/>
    <s v="9. EPC Ready"/>
    <m/>
  </r>
  <r>
    <s v="PHSmarE364"/>
    <n v="257"/>
    <s v="D. Pharma Format"/>
    <s v="Pharma Format"/>
    <x v="9"/>
    <s v="Refit"/>
    <s v="East"/>
    <x v="3"/>
    <s v="Jharkhand"/>
    <s v="GF, Masiha Complex, Mouza - Pordag,  , Dumri, Thana No 152, Khata No 46 , Near Masiha Bal Vikas Vidyalaya , Plot No 158 &amp; 159, Dist - Giridih , DUMRI , 825106"/>
    <s v="Dumri"/>
    <n v="400"/>
    <s v="NETMQQGHW00"/>
    <s v="Rohin Chand "/>
    <d v="2023-09-29T00:00:00"/>
    <s v="September 23 Week 5"/>
    <d v="2023-09-29T00:00:00"/>
    <s v="September 23 Week 5"/>
    <n v="7"/>
    <d v="2023-10-06T00:00:00"/>
    <s v="October 23 Week 1"/>
    <d v="2023-11-08T00:00:00"/>
    <s v="November 23 Week 2"/>
    <m/>
    <s v=""/>
    <s v="YTL"/>
    <s v=" "/>
    <s v=" "/>
    <x v="7"/>
    <s v="9. EPC Ready"/>
    <s v="9. EPC Ready"/>
    <m/>
  </r>
  <r>
    <s v="PHSmarE365"/>
    <n v="258"/>
    <s v="D. Pharma Format"/>
    <s v="Pharma Format"/>
    <x v="9"/>
    <s v="Refit"/>
    <s v="East"/>
    <x v="3"/>
    <s v="Jharkhand"/>
    <s v="GF, Mouza - Surhi, Thana No 52  , Thana - Nawadih, Dist - Bokaro , Khata No 25, Plot No 490  , BOKARO , 829144"/>
    <s v="Bokaro Steel City"/>
    <n v="400"/>
    <s v="NETMQQAA000"/>
    <s v="Mr. Rohin Chand-8511146584"/>
    <d v="2023-09-28T00:00:00"/>
    <s v="September 23 Week 4"/>
    <d v="2023-09-28T00:00:00"/>
    <s v="September 23 Week 4"/>
    <n v="7"/>
    <d v="2023-10-05T00:00:00"/>
    <s v="October 23 Week 1"/>
    <d v="2024-02-27T00:00:00"/>
    <s v="February 24 Week 4"/>
    <d v="2024-01-29T00:00:00"/>
    <s v="January 24 Week 5"/>
    <s v="YTL"/>
    <s v=" "/>
    <s v=" "/>
    <x v="7"/>
    <s v="9. EPC Ready"/>
    <s v="9. EPC Ready"/>
    <m/>
  </r>
  <r>
    <s v="PHSmarE366"/>
    <n v="259"/>
    <s v="D. Pharma Format"/>
    <s v="Pharma Format"/>
    <x v="9"/>
    <s v="Refit"/>
    <s v="East"/>
    <x v="5"/>
    <s v="Assam &amp; NE"/>
    <s v="Jiban Chandra Saha Sibalaya Camper Bazar  , Dharma Mission Agartala West , Hospital Road Arundhuti Nagar Sarva  , AGARTALA , 799003"/>
    <s v="Agartala"/>
    <n v="401"/>
    <s v="NETM4QB9U00"/>
    <s v="Nirupam Das-9287955307"/>
    <d v="2023-09-25T00:00:00"/>
    <s v="September 23 Week 4"/>
    <d v="2023-09-25T00:00:00"/>
    <s v="September 23 Week 4"/>
    <n v="7"/>
    <d v="2023-10-02T00:00:00"/>
    <s v="October 23 Week 1"/>
    <d v="2023-10-21T00:00:00"/>
    <s v="October 23 Week 3"/>
    <m/>
    <s v=""/>
    <s v="YTL"/>
    <s v=" "/>
    <s v=" "/>
    <x v="7"/>
    <s v="9. EPC Ready"/>
    <s v="9. EPC Ready"/>
    <m/>
  </r>
  <r>
    <s v="PHSmarS367"/>
    <n v="260"/>
    <s v="D. Pharma Format"/>
    <s v="Pharma Format"/>
    <x v="9"/>
    <s v="Refit"/>
    <s v="South"/>
    <x v="6"/>
    <s v="Andhra Pradesh"/>
    <s v="Gf Sy No 142  , Avilala Tirupati Rural , B1G Vani Nagar Rc Main Road  , TIRUPATI , 517507"/>
    <s v="Tirupati"/>
    <n v="401"/>
    <s v="NETMAQ3H300"/>
    <s v="Mr. Deepti Chandrashekhar"/>
    <d v="2023-10-21T00:00:00"/>
    <s v="October 23 Week 3"/>
    <d v="2023-10-21T00:00:00"/>
    <s v="October 23 Week 3"/>
    <n v="7"/>
    <d v="2023-10-28T00:00:00"/>
    <s v="October 23 Week 4"/>
    <d v="2023-10-28T00:00:00"/>
    <s v="October 23 Week 4"/>
    <m/>
    <s v=""/>
    <s v="YTL"/>
    <s v=" "/>
    <s v=" "/>
    <x v="7"/>
    <s v="9. EPC Ready"/>
    <s v="9. EPC Ready"/>
    <m/>
  </r>
  <r>
    <s v="PHSmarS370"/>
    <n v="261"/>
    <s v="D. Pharma Format"/>
    <s v="Pharma Format"/>
    <x v="9"/>
    <s v="Refit"/>
    <s v="South"/>
    <x v="6"/>
    <s v="Andhra Pradesh"/>
    <s v="Gf Sy No 261 3 &amp; 264 1  , Near Avilala , Andhra Bank Colony Near Avilala  , TIRUPATI , 517507"/>
    <s v="TIRUPATI"/>
    <n v="412"/>
    <s v="NETMAQ3I300"/>
    <s v="Mr. Deepti Chandrashekhar"/>
    <d v="2023-09-06T00:00:00"/>
    <s v="September 23 Week 1"/>
    <d v="2023-09-06T00:00:00"/>
    <s v="September 23 Week 1"/>
    <n v="7"/>
    <d v="2023-09-13T00:00:00"/>
    <s v="September 23 Week 2"/>
    <d v="2023-09-17T00:00:00"/>
    <s v="September 23 Week 3"/>
    <m/>
    <s v=""/>
    <s v="YTL"/>
    <s v=" "/>
    <s v=" "/>
    <x v="7"/>
    <s v="9. EPC Ready"/>
    <s v="9. EPC Ready"/>
    <m/>
  </r>
  <r>
    <s v="PHSmarS374"/>
    <n v="262"/>
    <s v="D. Pharma Format"/>
    <s v="Pharma Format"/>
    <x v="9"/>
    <s v="Refit"/>
    <s v="South"/>
    <x v="3"/>
    <s v="Kerala"/>
    <s v="Nv Mall Pariyapuram Po  , Tanur Malappuram , Near Tanur Bus Stand  , TANUR , 676302"/>
    <s v="Tirur"/>
    <n v="400"/>
    <s v="NETMVQC7C00"/>
    <s v="Jose Loviese-6361753673"/>
    <d v="2023-12-12T00:00:00"/>
    <s v="December 23 Week 2"/>
    <d v="2023-12-12T00:00:00"/>
    <s v="December 23 Week 2"/>
    <n v="7"/>
    <d v="2023-12-19T00:00:00"/>
    <s v="December 23 Week 3"/>
    <d v="2024-01-19T00:00:00"/>
    <s v="January 24 Week 3"/>
    <m/>
    <s v=""/>
    <s v="YTL"/>
    <s v=" "/>
    <s v=" "/>
    <x v="7"/>
    <s v="9. EPC Ready"/>
    <s v="9. EPC Ready"/>
    <m/>
  </r>
  <r>
    <s v="PHSmarE375"/>
    <n v="263"/>
    <s v="D. Pharma Format"/>
    <s v="Pharma Format"/>
    <x v="9"/>
    <s v="Refit"/>
    <s v="East"/>
    <x v="3"/>
    <s v="Telangana"/>
    <s v="GF Plot No 15 Sy No 983  , Dist Mancherial , Chennur Town Muncipallity  , CHENNUR , 504201"/>
    <s v="Chennur"/>
    <n v="400"/>
    <s v="NETMNQ6IG00"/>
    <s v="Mr. Annapureddy N-9494465395"/>
    <d v="2023-09-28T00:00:00"/>
    <s v="September 23 Week 4"/>
    <d v="2023-09-28T00:00:00"/>
    <s v="September 23 Week 4"/>
    <n v="7"/>
    <d v="2023-10-05T00:00:00"/>
    <s v="October 23 Week 1"/>
    <d v="2023-10-23T00:00:00"/>
    <s v="October 23 Week 4"/>
    <m/>
    <s v=""/>
    <s v="YTL"/>
    <s v=" "/>
    <s v=" "/>
    <x v="7"/>
    <s v="9. EPC Ready"/>
    <s v="9. EPC Ready"/>
    <m/>
  </r>
  <r>
    <s v="PHSmarE377"/>
    <n v="264"/>
    <s v="D. Pharma Format"/>
    <s v="Pharma Format"/>
    <x v="9"/>
    <s v="Refit"/>
    <s v="East"/>
    <x v="3"/>
    <s v="Bihar"/>
    <s v="Atul Kumar Ray Kateya  , City Gopalganj Dist Gopalganj , Vill Khurhuriya Po Ps Kateya  , GOPALGANJ , 841437"/>
    <s v="Gopalganj"/>
    <n v="400"/>
    <s v="NETMBQDUL00"/>
    <s v="Mr. Jitendra Kumar-6201750698"/>
    <d v="2023-09-26T00:00:00"/>
    <s v="September 23 Week 4"/>
    <d v="2023-09-26T00:00:00"/>
    <s v="September 23 Week 4"/>
    <n v="7"/>
    <d v="2023-10-03T00:00:00"/>
    <s v="October 23 Week 1"/>
    <d v="2024-01-18T00:00:00"/>
    <s v="January 24 Week 3"/>
    <m/>
    <s v=""/>
    <s v="YTL"/>
    <s v=" "/>
    <s v=" "/>
    <x v="7"/>
    <s v="9. EPC Ready"/>
    <s v="9. EPC Ready"/>
    <m/>
  </r>
  <r>
    <s v="PHSmarE379"/>
    <n v="265"/>
    <s v="D. Pharma Format"/>
    <s v="Pharma Format"/>
    <x v="9"/>
    <s v="Refit"/>
    <s v="East"/>
    <x v="3"/>
    <s v="Bihar"/>
    <s v="GF S V Complex Plot 2361 1010 1106 1110  , Revenue thana no 131 Vill &amp; PS Mohania , Khata no 307 662 Jamabandi no 159 , Dist Kaimur , MOHANIA , 821109"/>
    <s v="Mohania"/>
    <n v="402"/>
    <s v="NETMBQEDH00"/>
    <s v="Mr. Jitendra Kumar-6201750698"/>
    <d v="2023-09-28T00:00:00"/>
    <s v="September 23 Week 4"/>
    <d v="2023-09-28T00:00:00"/>
    <s v="September 23 Week 4"/>
    <n v="7"/>
    <d v="2023-10-05T00:00:00"/>
    <s v="October 23 Week 1"/>
    <d v="2023-09-30T00:00:00"/>
    <s v="September 23 Week 5"/>
    <m/>
    <s v=""/>
    <s v="YTL"/>
    <s v=" "/>
    <s v=" "/>
    <x v="7"/>
    <s v="9. EPC Ready"/>
    <s v="9. EPC Ready"/>
    <m/>
  </r>
  <r>
    <s v="PHSmarS382"/>
    <n v="266"/>
    <s v="D. Pharma Format"/>
    <s v="Pharma Format"/>
    <x v="9"/>
    <s v="Refit"/>
    <s v="South"/>
    <x v="6"/>
    <s v="Orissa"/>
    <s v="Old Sbi Building Keshab Nagar Lanjipalli  , Ganjam , Main Road Near Sbi Berhampur Ganjam  , BRAHMAPUR , 761200"/>
    <s v="Parlakhemundi"/>
    <n v="400"/>
    <s v="NETMOQBQF00"/>
    <s v="Sanjay Ghosh-6302403813"/>
    <d v="2023-09-20T00:00:00"/>
    <s v="September 23 Week 3"/>
    <d v="2023-09-20T00:00:00"/>
    <s v="September 23 Week 3"/>
    <n v="7"/>
    <d v="2023-09-27T00:00:00"/>
    <s v="September 23 Week 4"/>
    <d v="2023-10-04T00:00:00"/>
    <s v="October 23 Week 1"/>
    <m/>
    <s v=""/>
    <s v="YTL"/>
    <s v=" "/>
    <s v=" "/>
    <x v="7"/>
    <s v="9. EPC Ready"/>
    <s v="9. EPC Ready"/>
    <m/>
  </r>
  <r>
    <s v="PHSmarS383"/>
    <n v="267"/>
    <s v="D. Pharma Format"/>
    <s v="Pharma Format"/>
    <x v="9"/>
    <s v="Refit"/>
    <s v="South"/>
    <x v="3"/>
    <s v="Tamil Nadu"/>
    <s v="Mr A Palanisami Sri Kumaran Mahal Door  , Cooperative Bank Aundipatty Theni , 6 1 306 Madurai To Theni Main Rd Nearby  , ANDIPATTI JAKK , 625512"/>
    <s v="Aundipatty"/>
    <n v="400"/>
    <s v="NETMTQB4K00"/>
    <m/>
    <d v="2023-11-06T00:00:00"/>
    <s v="November 23 Week 1"/>
    <d v="2023-11-06T00:00:00"/>
    <s v="November 23 Week 1"/>
    <n v="7"/>
    <d v="2023-11-13T00:00:00"/>
    <s v="November 23 Week 2"/>
    <d v="2023-12-06T00:00:00"/>
    <s v="December 23 Week 1"/>
    <m/>
    <s v=""/>
    <s v="YTL"/>
    <s v=" "/>
    <s v=" "/>
    <x v="7"/>
    <s v="9. EPC Ready"/>
    <s v="9. EPC Ready"/>
    <m/>
  </r>
  <r>
    <s v="PHSmarE384"/>
    <n v="268"/>
    <s v="D. Pharma Format"/>
    <s v="Pharma Format"/>
    <x v="9"/>
    <s v="Refit"/>
    <s v="East"/>
    <x v="3"/>
    <s v="Bihar"/>
    <s v="GF Mahesh Market Plot No 1109  , Nakched Mauza, PS &amp; Dist - Motihari , Khata No 408, Revenue Thana No 122  , MOTIHARI , 845401"/>
    <s v="Motihari"/>
    <n v="400"/>
    <s v="NETMBQGGQ00"/>
    <m/>
    <d v="2023-11-06T00:00:00"/>
    <s v="November 23 Week 1"/>
    <d v="2023-11-06T00:00:00"/>
    <s v="November 23 Week 1"/>
    <n v="7"/>
    <d v="2023-11-13T00:00:00"/>
    <s v="November 23 Week 2"/>
    <d v="2023-11-24T00:00:00"/>
    <s v="November 23 Week 4"/>
    <m/>
    <s v=""/>
    <s v="YTL"/>
    <s v=" "/>
    <s v=" "/>
    <x v="7"/>
    <s v="9. EPC Ready"/>
    <s v="9. EPC Ready"/>
    <m/>
  </r>
  <r>
    <s v="PHSmarW386"/>
    <n v="269"/>
    <s v="D. Pharma Format"/>
    <s v="Pharma Format"/>
    <x v="9"/>
    <s v="Refit"/>
    <s v="West"/>
    <x v="4"/>
    <s v="Madhya Pradesh"/>
    <s v="GF Plot No 1007 Khasra 1129 5 To 1132 3  , 27 Madan Mohan Choubey Ward Dist Katni , PH No 43 NB 493 Vill Halka Murwara Ward  , KATNI , 483501"/>
    <s v="Badera Katni"/>
    <n v="400"/>
    <s v="NETMEQGHC00"/>
    <s v="Mahendra Baghel-6264914751"/>
    <d v="2023-09-14T00:00:00"/>
    <s v="September 23 Week 2"/>
    <d v="2023-09-14T00:00:00"/>
    <s v="September 23 Week 2"/>
    <n v="7"/>
    <d v="2023-09-21T00:00:00"/>
    <s v="September 23 Week 3"/>
    <d v="2023-09-28T00:00:00"/>
    <s v="September 23 Week 4"/>
    <m/>
    <s v=""/>
    <s v="YTL"/>
    <s v=" "/>
    <s v=" "/>
    <x v="7"/>
    <s v="9. EPC Ready"/>
    <s v="9. EPC Ready"/>
    <m/>
  </r>
  <r>
    <s v="PHSmarS387"/>
    <n v="270"/>
    <s v="D. Pharma Format"/>
    <s v="Pharma Format"/>
    <x v="9"/>
    <s v="Refit"/>
    <s v="South"/>
    <x v="6"/>
    <s v="Andhra Pradesh"/>
    <s v="D No 12 517 Kasupuram Road  , Guntakal Anantapur Dist , Beside Heritage Fresh Sn Pet  , GUNTAKAL , 515801"/>
    <s v="Guntakal"/>
    <n v="400"/>
    <s v="NETMAQBVV00"/>
    <m/>
    <d v="2023-10-04T00:00:00"/>
    <s v="October 23 Week 1"/>
    <d v="2023-10-04T00:00:00"/>
    <s v="October 23 Week 1"/>
    <n v="7"/>
    <d v="2023-10-11T00:00:00"/>
    <s v="October 23 Week 2"/>
    <d v="2023-12-15T00:00:00"/>
    <s v="December 23 Week 3"/>
    <m/>
    <s v=""/>
    <s v="YTL"/>
    <s v=" "/>
    <s v=" "/>
    <x v="7"/>
    <s v="9. EPC Ready"/>
    <s v="9. EPC Ready"/>
    <m/>
  </r>
  <r>
    <s v="PHSmarS388"/>
    <n v="271"/>
    <s v="D. Pharma Format"/>
    <s v="Pharma Format"/>
    <x v="9"/>
    <s v="Refit"/>
    <s v="South"/>
    <x v="3"/>
    <s v="Kerala"/>
    <s v="D4 Tower Mandhiram Street Kurichy  , Kottayam , Po Mandhiram  , KURICHY , 686532"/>
    <s v="KURICHY"/>
    <n v="402"/>
    <s v="NETMVQBRM00"/>
    <s v="Jose Loviese-6361753673"/>
    <d v="2023-09-30T00:00:00"/>
    <s v="September 23 Week 5"/>
    <d v="2023-09-30T00:00:00"/>
    <s v="September 23 Week 5"/>
    <n v="7"/>
    <d v="2023-10-07T00:00:00"/>
    <s v="October 23 Week 1"/>
    <d v="2023-11-21T00:00:00"/>
    <s v="November 23 Week 3"/>
    <m/>
    <s v=""/>
    <s v="YTL"/>
    <s v=" "/>
    <s v=" "/>
    <x v="7"/>
    <s v="9. EPC Ready"/>
    <s v="9. EPC Ready"/>
    <m/>
  </r>
  <r>
    <s v="PHSmarN389"/>
    <n v="272"/>
    <s v="D. Pharma Format"/>
    <s v="Pharma Format"/>
    <x v="9"/>
    <s v="Refit"/>
    <s v="North"/>
    <x v="4"/>
    <s v="Rajasthan"/>
    <s v="GF &amp; FF Khasra No 2009  , Bheevrajo Ki Bawari Bilara Jodhpur , Patta No 95/2004 &amp; 96/2004 Chak No 01  , BILARA , 342602"/>
    <s v="Jodhpur"/>
    <n v="390"/>
    <s v="NETMRQBXU00"/>
    <s v="Sujeet5 Kumar-9631476696"/>
    <d v="2023-08-29T00:00:00"/>
    <s v="August 23 Week 5"/>
    <d v="2023-08-29T00:00:00"/>
    <s v="August 23 Week 5"/>
    <n v="7"/>
    <d v="2023-09-05T00:00:00"/>
    <s v="September 23 Week 1"/>
    <d v="2023-09-18T00:00:00"/>
    <s v="September 23 Week 3"/>
    <m/>
    <s v=""/>
    <s v="YTL"/>
    <s v=" "/>
    <s v=" "/>
    <x v="7"/>
    <s v="9. EPC Ready"/>
    <s v="9. EPC Ready"/>
    <m/>
  </r>
  <r>
    <s v="PHSmarE390"/>
    <n v="273"/>
    <s v="D. Pharma Format"/>
    <s v="Pharma Format"/>
    <x v="9"/>
    <s v="Refit"/>
    <s v="East"/>
    <x v="3"/>
    <s v="Bihar"/>
    <s v="GF, Plot No 84/63/87/64  , Revenue Thana No 568 Mauza &amp; PS - Ghoshi , Khata No 7/172/304/97/94 , Dist - Jehanabad , JAHANABAD , 804406"/>
    <s v="Jahanabad"/>
    <n v="400"/>
    <s v="NETMBQBZN00"/>
    <s v="Mr. Avinandan Kumar- 6201750418"/>
    <d v="2023-09-27T00:00:00"/>
    <s v="September 23 Week 4"/>
    <d v="2023-09-27T00:00:00"/>
    <s v="September 23 Week 4"/>
    <n v="7"/>
    <d v="2023-10-04T00:00:00"/>
    <s v="October 23 Week 1"/>
    <d v="2023-10-26T00:00:00"/>
    <s v="October 23 Week 4"/>
    <m/>
    <s v=""/>
    <s v="YTL"/>
    <s v=" "/>
    <s v=" "/>
    <x v="7"/>
    <s v="9. EPC Ready"/>
    <s v="9. EPC Ready"/>
    <m/>
  </r>
  <r>
    <s v="PHSmarE391"/>
    <n v="274"/>
    <s v="D. Pharma Format"/>
    <s v="Pharma Format"/>
    <x v="9"/>
    <s v="Refit"/>
    <s v="East"/>
    <x v="5"/>
    <s v="Assam &amp; NE"/>
    <s v="GF, Dag No142, Under Patta No 68  , Mouza - Saidoria, Dist - Nagaon , Phakoli, Revenue Circle Rupohi,  , RUPAHI TOWN , 782125"/>
    <s v="RUPOHI"/>
    <n v="426"/>
    <s v="NETMFQFWM00"/>
    <s v="Suman Das-7044069904"/>
    <d v="2023-11-25T00:00:00"/>
    <s v="November 23 Week 4"/>
    <d v="2023-11-25T00:00:00"/>
    <s v="November 23 Week 4"/>
    <n v="7"/>
    <d v="2023-12-02T00:00:00"/>
    <s v="December 23 Week 1"/>
    <d v="2023-12-08T00:00:00"/>
    <s v="December 23 Week 2"/>
    <m/>
    <s v=""/>
    <s v="YTL"/>
    <s v=" "/>
    <s v=" "/>
    <x v="7"/>
    <s v="9. EPC Ready"/>
    <s v="9. EPC Ready"/>
    <m/>
  </r>
  <r>
    <s v="PHSmarE392"/>
    <n v="275"/>
    <s v="D. Pharma Format"/>
    <s v="Pharma Format"/>
    <x v="9"/>
    <s v="Refit"/>
    <s v="East"/>
    <x v="3"/>
    <s v="Bihar"/>
    <s v="Md Ali Bihar Complex Nagra Chhapra Road  ,  , Near Nagra Chowk Nagra Chhapra  , CHAPRA , 841442"/>
    <s v="Nagra"/>
    <n v="400"/>
    <s v="NETMBQZIT00"/>
    <s v="Mr. Jitendra Kumar-6201750698"/>
    <d v="2023-09-28T00:00:00"/>
    <s v="September 23 Week 4"/>
    <d v="2023-09-28T00:00:00"/>
    <s v="September 23 Week 4"/>
    <n v="7"/>
    <d v="2023-10-05T00:00:00"/>
    <s v="October 23 Week 1"/>
    <d v="2023-10-31T00:00:00"/>
    <s v="October 23 Week 5"/>
    <m/>
    <s v=""/>
    <s v="YTL"/>
    <s v=" "/>
    <s v=" "/>
    <x v="7"/>
    <s v="9. EPC Ready"/>
    <s v="9. EPC Ready"/>
    <m/>
  </r>
  <r>
    <s v="PHSmarE393"/>
    <n v="276"/>
    <s v="D. Pharma Format"/>
    <s v="Pharma Format"/>
    <x v="9"/>
    <s v="Refit"/>
    <s v="East"/>
    <x v="3"/>
    <s v="Jharkhand"/>
    <s v="Gf Mouza Mamarkudar  , Plot No 136 Dist Bokaro , Thana Chas Thana No 92 Khata No 37  , BOKARO , 827013"/>
    <s v="Khamarbandi"/>
    <n v="400"/>
    <s v="NETMQQ4Q600"/>
    <s v="Mr. Amal Gopal Dey-9558811809"/>
    <d v="2023-09-28T00:00:00"/>
    <s v="September 23 Week 4"/>
    <d v="2023-09-28T00:00:00"/>
    <s v="September 23 Week 4"/>
    <n v="7"/>
    <d v="2023-10-05T00:00:00"/>
    <s v="October 23 Week 1"/>
    <d v="2024-01-09T00:00:00"/>
    <s v="January 24 Week 2"/>
    <m/>
    <s v=""/>
    <s v="YTL"/>
    <s v=" "/>
    <s v=" "/>
    <x v="7"/>
    <s v="9. EPC Ready"/>
    <s v="9. EPC Ready"/>
    <m/>
  </r>
  <r>
    <s v="PHSmarE394"/>
    <n v="277"/>
    <s v="D. Pharma Format"/>
    <s v="Pharma Format"/>
    <x v="9"/>
    <s v="Refit"/>
    <s v="East"/>
    <x v="3"/>
    <s v="Bihar"/>
    <s v="GF, Shree Shyam Bhawan,   , mauza &amp; PS- Amarpur, Ward no. 10,  , Plot no. 1362/2141, Khata no. 36/183,  , Dist. Banka, Bihar , Amarpur , 813101"/>
    <s v="Amarpur"/>
    <n v="400"/>
    <s v="NETMBQGHA00"/>
    <m/>
    <d v="2023-12-11T00:00:00"/>
    <s v="December 23 Week 2"/>
    <d v="2023-12-11T00:00:00"/>
    <s v="December 23 Week 2"/>
    <n v="7"/>
    <d v="2023-12-18T00:00:00"/>
    <s v="December 23 Week 3"/>
    <d v="2024-01-09T00:00:00"/>
    <s v="January 24 Week 2"/>
    <m/>
    <s v=""/>
    <s v="YTL"/>
    <s v=" "/>
    <s v=" "/>
    <x v="7"/>
    <s v="9. EPC Ready"/>
    <s v="9. EPC Ready"/>
    <m/>
  </r>
  <r>
    <s v="PHSmarN395"/>
    <n v="278"/>
    <s v="D. Pharma Format"/>
    <s v="Pharma Format"/>
    <x v="9"/>
    <s v="Refit"/>
    <s v="North"/>
    <x v="4"/>
    <s v="Himachal Pradesh"/>
    <s v="Gf Om Sai Complex Sai Road Near  , Dist Solan , Arisht Spinning Mill  , BADDI , 173205"/>
    <s v="BADDI"/>
    <n v="400"/>
    <s v="NETMIQGQP00"/>
    <s v="Surender Dhaka-7009328484"/>
    <d v="2023-09-14T00:00:00"/>
    <s v="September 23 Week 2"/>
    <d v="2023-09-14T00:00:00"/>
    <s v="September 23 Week 2"/>
    <n v="7"/>
    <d v="2023-09-21T00:00:00"/>
    <s v="September 23 Week 3"/>
    <d v="2023-09-29T00:00:00"/>
    <s v="September 23 Week 5"/>
    <m/>
    <s v=""/>
    <s v="YTL"/>
    <s v=" "/>
    <s v=" "/>
    <x v="7"/>
    <s v="9. EPC Ready"/>
    <s v="9. EPC Ready"/>
    <m/>
  </r>
  <r>
    <s v="PHSmarE397"/>
    <n v="279"/>
    <s v="D. Pharma Format"/>
    <s v="Pharma Format"/>
    <x v="9"/>
    <s v="Refit"/>
    <s v="East"/>
    <x v="5"/>
    <s v="Assam &amp; NE"/>
    <s v="Gf Dag No 30 Under Patta No 5  , Revenue Circle Mouza Dhupabor , Simaluguri Town Bordowarmukh Revenu  , NAZIRA , 785685"/>
    <s v="NAZIRA"/>
    <n v="400"/>
    <s v="NETMFQGQM00"/>
    <s v="Suman Das-7044069904"/>
    <d v="2023-10-17T00:00:00"/>
    <s v="October 23 Week 3"/>
    <d v="2023-10-17T00:00:00"/>
    <s v="October 23 Week 3"/>
    <n v="7"/>
    <d v="2023-10-24T00:00:00"/>
    <s v="October 23 Week 4"/>
    <d v="2023-11-27T00:00:00"/>
    <s v="November 23 Week 4"/>
    <m/>
    <s v=""/>
    <s v="YTL"/>
    <s v=" "/>
    <s v=" "/>
    <x v="7"/>
    <s v="9. EPC Ready"/>
    <s v="9. EPC Ready"/>
    <m/>
  </r>
  <r>
    <s v="PHSmarE398"/>
    <n v="280"/>
    <s v="D. Pharma Format"/>
    <s v="Pharma Format"/>
    <x v="9"/>
    <s v="Refit"/>
    <s v="East"/>
    <x v="3"/>
    <s v="Jharkhand"/>
    <s v="GF, Mouza - Sarath, Thana No 132  , PS &amp; Dist - Deoghar , Plot No 1862, Jamabandi No 274 A  , SARATH , 814149"/>
    <s v="Sarath"/>
    <n v="417"/>
    <s v="NETMQQF4M00"/>
    <m/>
    <d v="2023-09-28T00:00:00"/>
    <s v="September 23 Week 4"/>
    <d v="2023-09-28T00:00:00"/>
    <s v="September 23 Week 4"/>
    <n v="7"/>
    <d v="2023-10-05T00:00:00"/>
    <s v="October 23 Week 1"/>
    <d v="2023-11-21T00:00:00"/>
    <s v="November 23 Week 3"/>
    <m/>
    <s v=""/>
    <s v="YTL"/>
    <s v=" "/>
    <s v=" "/>
    <x v="7"/>
    <s v="9. EPC Ready"/>
    <s v="9. EPC Ready"/>
    <m/>
  </r>
  <r>
    <s v="PHSmarS401"/>
    <n v="281"/>
    <s v="D. Pharma Format"/>
    <s v="Pharma Format"/>
    <x v="9"/>
    <s v="Refit"/>
    <s v="South"/>
    <x v="6"/>
    <s v="Orissa"/>
    <s v="GF IBL house Puri by pass rd Sai mandir  , Vill &amp; Mouza- BhubaneswarPOPS , chouk Plot no. 4524/5421 Khata 1494/4119  , BHUBANESWAR , 751018"/>
    <s v="BHUBANESWAR"/>
    <n v="400"/>
    <s v="NETMOQ3H500"/>
    <s v="Sanjay Ghosh-6302403813"/>
    <d v="2023-09-12T00:00:00"/>
    <s v="September 23 Week 2"/>
    <d v="2023-09-12T00:00:00"/>
    <s v="September 23 Week 2"/>
    <n v="7"/>
    <d v="2023-09-19T00:00:00"/>
    <s v="September 23 Week 3"/>
    <d v="2023-09-25T00:00:00"/>
    <s v="September 23 Week 4"/>
    <m/>
    <s v=""/>
    <s v="YTL"/>
    <s v=" "/>
    <s v=" "/>
    <x v="7"/>
    <s v="9. EPC Ready"/>
    <s v="9. EPC Ready"/>
    <m/>
  </r>
  <r>
    <s v="PHSmarE418"/>
    <n v="282"/>
    <s v="D. Pharma Format"/>
    <s v="Pharma Format"/>
    <x v="9"/>
    <s v="Refit"/>
    <s v="East"/>
    <x v="5"/>
    <s v="Assam &amp; NE"/>
    <s v="GF Unity village Patta No 527  , under Dimapur , Block No 4 5th Mile Dist Dimapur  , Chumukedima , 797115"/>
    <s v="Chumukedima"/>
    <n v="400"/>
    <s v="NETMLQCZV00"/>
    <s v="Shubham Rai-6003901308"/>
    <d v="2023-10-05T00:00:00"/>
    <s v="October 23 Week 1"/>
    <d v="2023-10-05T00:00:00"/>
    <s v="October 23 Week 1"/>
    <n v="7"/>
    <d v="2023-10-12T00:00:00"/>
    <s v="October 23 Week 2"/>
    <d v="2023-10-09T00:00:00"/>
    <s v="October 23 Week 2"/>
    <m/>
    <s v=""/>
    <s v="YTL"/>
    <s v=" "/>
    <s v=" "/>
    <x v="7"/>
    <s v="9. EPC Ready"/>
    <s v="9. EPC Ready"/>
    <m/>
  </r>
  <r>
    <s v="PHCORT419"/>
    <n v="283"/>
    <s v="D. Pharma Format"/>
    <s v="Pharma Format"/>
    <x v="9"/>
    <s v="Refit"/>
    <s v="North"/>
    <x v="4"/>
    <s v="Punjab"/>
    <s v="SP Pharma Kotkapura Road Muktsar"/>
    <s v="MUKTSAR"/>
    <n v="403"/>
    <s v="NETM9Q6SK00"/>
    <s v="Pranao Shrivastava-6239504134"/>
    <d v="2023-08-31T00:00:00"/>
    <s v="August 23 Week 5"/>
    <d v="2023-08-31T00:00:00"/>
    <s v="August 23 Week 5"/>
    <n v="7"/>
    <d v="2023-09-07T00:00:00"/>
    <s v="September 23 Week 1"/>
    <d v="2023-09-13T00:00:00"/>
    <s v="September 23 Week 2"/>
    <m/>
    <s v=""/>
    <s v="YTL"/>
    <s v=" "/>
    <s v=" "/>
    <x v="7"/>
    <s v="9. EPC Ready"/>
    <s v="9. EPC Ready"/>
    <m/>
  </r>
  <r>
    <s v="PHCORT420"/>
    <n v="284"/>
    <s v="D. Pharma Format"/>
    <s v="Pharma Format"/>
    <x v="9"/>
    <s v="Refit"/>
    <s v="North"/>
    <x v="4"/>
    <s v="Punjab"/>
    <s v="SP Pharma Sadar Thana Rd"/>
    <s v="FAZILKA"/>
    <n v="400"/>
    <s v="NETM9QBOO00"/>
    <s v="Yogesh Kapoor-7888699608"/>
    <d v="2023-09-01T00:00:00"/>
    <s v="September 23 Week 1"/>
    <d v="2023-09-01T00:00:00"/>
    <s v="September 23 Week 1"/>
    <n v="7"/>
    <d v="2023-09-08T00:00:00"/>
    <s v="September 23 Week 2"/>
    <d v="2023-11-03T00:00:00"/>
    <s v="November 23 Week 1"/>
    <m/>
    <s v=""/>
    <s v="YTL"/>
    <s v=" "/>
    <s v=" "/>
    <x v="7"/>
    <s v="9. EPC Ready"/>
    <s v="9. EPC Ready"/>
    <m/>
  </r>
  <r>
    <s v="PHCOAS421"/>
    <n v="285"/>
    <s v="D. Pharma Format"/>
    <s v="Pharma Format"/>
    <x v="9"/>
    <s v="Refit"/>
    <s v="South"/>
    <x v="3"/>
    <s v="Kerala"/>
    <s v="Opp South Indian Bank Pullad Road  , Pathanamthitta District 689544 , Vennikkulam Junction Vennikulam Po  , PATHANAMTHITTA , 689544"/>
    <s v="PATHANAMTHITTA"/>
    <n v="400"/>
    <s v="NETMVQ9X500"/>
    <s v="Jose Loviese-6361753673"/>
    <d v="2023-10-06T00:00:00"/>
    <s v="October 23 Week 1"/>
    <d v="2023-10-06T00:00:00"/>
    <s v="October 23 Week 1"/>
    <n v="7"/>
    <d v="2023-10-13T00:00:00"/>
    <s v="October 23 Week 2"/>
    <d v="2023-10-26T00:00:00"/>
    <s v="October 23 Week 4"/>
    <m/>
    <s v=""/>
    <s v="YTL"/>
    <s v=" "/>
    <s v=" "/>
    <x v="7"/>
    <s v="9. EPC Ready"/>
    <s v="9. EPC Ready"/>
    <m/>
  </r>
  <r>
    <s v="PHCOBK423"/>
    <n v="286"/>
    <s v="D. Pharma Format"/>
    <s v="Pharma Format"/>
    <x v="9"/>
    <s v="Refit"/>
    <s v="West"/>
    <x v="4"/>
    <s v="Maharashtra"/>
    <s v="Plot no 813/C/20  sheet no 20 Village  , Daryapur Banosa , Daryapur- taluka-Daryapur Dis-Yavatmal  , Daryapur , 444803"/>
    <s v="Daryapur"/>
    <n v="400"/>
    <s v="NETMMQ8FY00"/>
    <s v="Mr Rahulkumar Mishra-9226099710"/>
    <d v="2023-09-06T00:00:00"/>
    <s v="September 23 Week 1"/>
    <d v="2023-09-06T00:00:00"/>
    <s v="September 23 Week 1"/>
    <n v="7"/>
    <d v="2023-09-13T00:00:00"/>
    <s v="September 23 Week 2"/>
    <d v="2023-09-15T00:00:00"/>
    <s v="September 23 Week 3"/>
    <m/>
    <s v=""/>
    <s v="YTL"/>
    <s v=" "/>
    <s v=" "/>
    <x v="7"/>
    <s v="9. EPC Ready"/>
    <s v="9. EPC Ready"/>
    <m/>
  </r>
  <r>
    <s v="PHCOSD425"/>
    <n v="287"/>
    <s v="D. Pharma Format"/>
    <s v="Pharma Format"/>
    <x v="9"/>
    <s v="Refit"/>
    <s v="East"/>
    <x v="3"/>
    <s v="Bihar"/>
    <s v="Hari Narayan Singh  , Hajipur , Patepur Sukki Road  , HAJIPUR , 843114"/>
    <s v="HAJIPUR"/>
    <n v="400"/>
    <s v="NETMBQCTX00"/>
    <s v="Mr. Avinandan Kumar- 6201750418"/>
    <d v="2023-10-04T00:00:00"/>
    <s v="October 23 Week 1"/>
    <d v="2023-10-04T00:00:00"/>
    <s v="October 23 Week 1"/>
    <n v="7"/>
    <d v="2023-10-11T00:00:00"/>
    <s v="October 23 Week 2"/>
    <d v="2023-10-14T00:00:00"/>
    <s v="October 23 Week 2"/>
    <m/>
    <s v=""/>
    <s v="YTL"/>
    <s v=" "/>
    <s v=" "/>
    <x v="7"/>
    <s v="9. EPC Ready"/>
    <s v="9. EPC Ready"/>
    <m/>
  </r>
  <r>
    <s v="PHSmarE428"/>
    <n v="288"/>
    <s v="D. Pharma Format"/>
    <s v="Pharma Format"/>
    <x v="9"/>
    <s v="Refit"/>
    <s v="East"/>
    <x v="5"/>
    <s v="West Bengal"/>
    <s v="Sr Saraju Halisahar Station Road 20 16  , Halisahar North 24Pargana , 34 9 Col Kp Gupta Po Nabanagar Ps Bijpur  , HALISHAR , 743136"/>
    <s v="Halisahar"/>
    <n v="393"/>
    <s v="NETMWQGHG00"/>
    <m/>
    <d v="2023-10-31T00:00:00"/>
    <s v="October 23 Week 5"/>
    <d v="2023-10-31T00:00:00"/>
    <s v="October 23 Week 5"/>
    <n v="7"/>
    <d v="2023-11-07T00:00:00"/>
    <s v="November 23 Week 1"/>
    <d v="2023-11-17T00:00:00"/>
    <s v="November 23 Week 3"/>
    <m/>
    <s v=""/>
    <s v="YTL"/>
    <s v=" "/>
    <s v=" "/>
    <x v="7"/>
    <s v="9. EPC Ready"/>
    <s v="9. EPC Ready"/>
    <m/>
  </r>
  <r>
    <s v="PHSmarE430"/>
    <n v="289"/>
    <s v="D. Pharma Format"/>
    <s v="Pharma Format"/>
    <x v="9"/>
    <s v="Refit"/>
    <s v="East"/>
    <x v="5"/>
    <s v="Assam &amp; NE"/>
    <s v="GF Duliajan Boragadhoi gaon Dag 18 &amp; 19  , Tengakhat revenue circle Dist Dibrugarh , Patta no 85 under Tipling Mouza  , DULIAJAN , 786602"/>
    <s v="Duliajan"/>
    <n v="418"/>
    <s v="NETMFQDOM00"/>
    <s v="Dipankar Bora-7002603006"/>
    <d v="2023-11-06T00:00:00"/>
    <s v="November 23 Week 1"/>
    <d v="2023-11-06T00:00:00"/>
    <s v="November 23 Week 1"/>
    <n v="7"/>
    <d v="2023-11-13T00:00:00"/>
    <s v="November 23 Week 2"/>
    <d v="2023-11-30T00:00:00"/>
    <s v="November 23 Week 5"/>
    <m/>
    <s v=""/>
    <s v="YTL"/>
    <s v=" "/>
    <s v=" "/>
    <x v="7"/>
    <s v="9. EPC Ready"/>
    <s v="9. EPC Ready"/>
    <m/>
  </r>
  <r>
    <s v="PHSmarE432"/>
    <n v="290"/>
    <s v="D. Pharma Format"/>
    <s v="Pharma Format"/>
    <x v="9"/>
    <s v="Refit"/>
    <s v="East"/>
    <x v="5"/>
    <s v="West Bengal"/>
    <s v="Vill Udang Po  , Ps Amta , Udang Kazipara  , AMTA , 711401"/>
    <s v="Amta"/>
    <n v="405"/>
    <s v="NETMWQBOW00"/>
    <m/>
    <d v="2023-10-10T00:00:00"/>
    <s v="October 23 Week 2"/>
    <d v="2023-10-10T00:00:00"/>
    <s v="October 23 Week 2"/>
    <n v="7"/>
    <d v="2023-10-17T00:00:00"/>
    <s v="October 23 Week 3"/>
    <d v="2023-11-21T00:00:00"/>
    <s v="November 23 Week 3"/>
    <m/>
    <s v=""/>
    <s v="YTL"/>
    <s v=" "/>
    <s v=" "/>
    <x v="7"/>
    <s v="9. EPC Ready"/>
    <s v="9. EPC Ready"/>
    <m/>
  </r>
  <r>
    <s v="PHCORT433"/>
    <n v="291"/>
    <s v="D. Pharma Format"/>
    <s v="Pharma Format"/>
    <x v="9"/>
    <s v="Refit"/>
    <s v="North"/>
    <x v="4"/>
    <s v="Rajasthan"/>
    <s v="Basement &amp; GF Plot No08 Ward No11  , BK Plaza, Chirawa, Dist - Jhunjhunu , Jherli Vidha Vihar Siri Road Pilani  , PILANI , 333031"/>
    <s v="Pilani"/>
    <n v="400"/>
    <s v="NETMRQB9K00"/>
    <s v="Sujeet Kumar - 9631476696"/>
    <d v="2023-08-31T00:00:00"/>
    <s v="August 23 Week 5"/>
    <d v="2023-08-31T00:00:00"/>
    <s v="August 23 Week 5"/>
    <n v="7"/>
    <d v="2023-09-07T00:00:00"/>
    <s v="September 23 Week 1"/>
    <d v="2023-09-18T00:00:00"/>
    <s v="September 23 Week 3"/>
    <m/>
    <s v=""/>
    <s v="YTL"/>
    <s v=" "/>
    <s v=" "/>
    <x v="7"/>
    <s v="9. EPC Ready"/>
    <s v="9. EPC Ready"/>
    <m/>
  </r>
  <r>
    <s v="PHSmarN433"/>
    <n v="292"/>
    <s v="D. Pharma Format"/>
    <s v="Pharma Format"/>
    <x v="9"/>
    <s v="Refit"/>
    <s v="North"/>
    <x v="4"/>
    <s v="Uttar Pradesh"/>
    <s v="H No 415 Mohalla Boarding House  , Sandi Road Hardoi , Subhash Nagar  , HARDOI , 241001"/>
    <s v="Hardoi"/>
    <n v="400"/>
    <s v="NETMUQEEC00"/>
    <s v="Manoj Agarwal-8811031166"/>
    <d v="2023-10-03T00:00:00"/>
    <s v="October 23 Week 1"/>
    <d v="2023-10-03T00:00:00"/>
    <s v="October 23 Week 1"/>
    <n v="7"/>
    <d v="2023-10-10T00:00:00"/>
    <s v="October 23 Week 2"/>
    <d v="2023-10-10T00:00:00"/>
    <s v="October 23 Week 2"/>
    <m/>
    <s v=""/>
    <s v="YTL"/>
    <s v=" "/>
    <s v=" "/>
    <x v="7"/>
    <s v="9. EPC Ready"/>
    <s v="9. EPC Ready"/>
    <m/>
  </r>
  <r>
    <s v="PHCOSD434"/>
    <n v="293"/>
    <s v="D. Pharma Format"/>
    <s v="Pharma Format"/>
    <x v="9"/>
    <s v="Refit"/>
    <s v="East"/>
    <x v="3"/>
    <s v="Bihar"/>
    <s v="GF Plot No 99 22 88 78 77 98 Khata No 43  , Imamganj Dist Gaya , 249 41 107 Revenue thana no 316 Vill PS  , IMAMGANJ , 824206"/>
    <s v="IMAMGANJ"/>
    <n v="400"/>
    <s v="NETMBQ6RQ00"/>
    <m/>
    <d v="2023-10-08T00:00:00"/>
    <s v="October 23 Week 2"/>
    <d v="2023-10-08T00:00:00"/>
    <s v="October 23 Week 2"/>
    <n v="7"/>
    <d v="2023-10-15T00:00:00"/>
    <s v="October 23 Week 3"/>
    <d v="2024-01-29T00:00:00"/>
    <s v="January 24 Week 5"/>
    <m/>
    <s v=""/>
    <s v="YTL"/>
    <s v=" "/>
    <s v=" "/>
    <x v="7"/>
    <s v="9. EPC Ready"/>
    <s v="9. EPC Ready"/>
    <m/>
  </r>
  <r>
    <s v="PHSmarW436"/>
    <n v="294"/>
    <s v="D. Pharma Format"/>
    <s v="Pharma Format"/>
    <x v="9"/>
    <s v="Refit"/>
    <s v="West"/>
    <x v="4"/>
    <s v="Maharashtra"/>
    <s v="Mahindre Complex Sr 54 55 Plot No 12  , Digras Yawatmal , Digras Darvha Rd Near Bus Stand  , DIGRAS , 445203"/>
    <s v="DIGRAS"/>
    <n v="392"/>
    <s v="NETMMQBSM00"/>
    <s v="Mr Rahul Mishra- 9226099710"/>
    <d v="2023-09-06T00:00:00"/>
    <s v="September 23 Week 1"/>
    <d v="2023-09-06T00:00:00"/>
    <s v="September 23 Week 1"/>
    <n v="7"/>
    <d v="2023-09-13T00:00:00"/>
    <s v="September 23 Week 2"/>
    <d v="2023-09-20T00:00:00"/>
    <s v="September 23 Week 3"/>
    <m/>
    <s v=""/>
    <s v="YTL"/>
    <s v=" "/>
    <s v=" "/>
    <x v="7"/>
    <s v="9. EPC Ready"/>
    <s v="9. EPC Ready"/>
    <m/>
  </r>
  <r>
    <s v="PHSmarW437"/>
    <n v="295"/>
    <s v="D. Pharma Format"/>
    <s v="Pharma Format"/>
    <x v="9"/>
    <s v="Refit"/>
    <s v="West"/>
    <x v="4"/>
    <s v="Maharashtra"/>
    <s v="GF, Plot No 4 A &amp; 26, SyNo 29, Village &amp;  , Dist - Amravati , Taluka - Chandur (Railway)  , AMRAVATI , 444904"/>
    <s v="Amravati"/>
    <n v="400"/>
    <s v="NETMMQBWT00"/>
    <s v="Rahulkumar Mishra-9226099710"/>
    <d v="2023-08-31T00:00:00"/>
    <s v="August 23 Week 5"/>
    <d v="2023-08-31T00:00:00"/>
    <s v="August 23 Week 5"/>
    <n v="7"/>
    <d v="2023-09-07T00:00:00"/>
    <s v="September 23 Week 1"/>
    <d v="2023-09-11T00:00:00"/>
    <s v="September 23 Week 2"/>
    <m/>
    <s v=""/>
    <s v="YTL"/>
    <s v=" "/>
    <s v=" "/>
    <x v="7"/>
    <s v="9. EPC Ready"/>
    <s v="9. EPC Ready"/>
    <m/>
  </r>
  <r>
    <s v="PHCOSD439"/>
    <n v="296"/>
    <s v="D. Pharma Format"/>
    <s v="Pharma Format"/>
    <x v="9"/>
    <s v="Refit"/>
    <s v="East"/>
    <x v="3"/>
    <s v="Bihar"/>
    <s v="Byahut Bhavan Koat Bazar  ,  , Ward No 15 Sitamarhi Chakmahial  , SITAMARHI , 843302"/>
    <s v="SITAMARHI"/>
    <n v="405"/>
    <s v="NETMBQCTM00"/>
    <m/>
    <d v="2023-11-28T00:00:00"/>
    <s v="November 23 Week 4"/>
    <d v="2023-11-28T00:00:00"/>
    <s v="November 23 Week 4"/>
    <n v="7"/>
    <d v="2023-12-05T00:00:00"/>
    <s v="December 23 Week 1"/>
    <d v="2023-12-02T00:00:00"/>
    <s v="December 23 Week 1"/>
    <m/>
    <s v=""/>
    <s v="YTL"/>
    <s v=" "/>
    <s v=" "/>
    <x v="7"/>
    <s v="9. EPC Ready"/>
    <s v="9. EPC Ready"/>
    <m/>
  </r>
  <r>
    <s v="PHSmarW439"/>
    <n v="297"/>
    <s v="D. Pharma Format"/>
    <s v="Pharma Format"/>
    <x v="9"/>
    <s v="Refit"/>
    <s v="West"/>
    <x v="4"/>
    <s v="Maharashtra"/>
    <s v="GF, Unit No.1, Survey.No. 2/1/1A  , Dairy Dighi Pune , Vill- Dighi, Tal-Haveli, Dist- Pune  , Dighi , 411015"/>
    <s v="DIGHI"/>
    <n v="400"/>
    <s v="NETMMQBWF00"/>
    <s v="Mr Prashant Wankhede-9284862994"/>
    <d v="2023-09-25T00:00:00"/>
    <s v="September 23 Week 4"/>
    <d v="2023-09-25T00:00:00"/>
    <s v="September 23 Week 4"/>
    <n v="7"/>
    <d v="2023-10-02T00:00:00"/>
    <s v="October 23 Week 1"/>
    <d v="2023-10-09T00:00:00"/>
    <s v="October 23 Week 2"/>
    <m/>
    <s v=""/>
    <s v="YTL"/>
    <s v=" "/>
    <s v=" "/>
    <x v="7"/>
    <s v="9. EPC Ready"/>
    <s v="9. EPC Ready"/>
    <m/>
  </r>
  <r>
    <s v="PHSmarE441"/>
    <n v="298"/>
    <s v="D. Pharma Format"/>
    <s v="Pharma Format"/>
    <x v="9"/>
    <s v="Refit"/>
    <s v="East"/>
    <x v="5"/>
    <s v="West Bengal"/>
    <s v="GF Panskura Municipality JL No 86 Mouza  , Khatian No1401 PS Block &amp; ADSRO Panskura , Balidangri LR Plot No 1381 &amp; 1383 LR  , Panskura , 721152"/>
    <s v="Panskura"/>
    <n v="400"/>
    <s v="NETMWQBOF00"/>
    <m/>
    <d v="2023-11-03T00:00:00"/>
    <s v="November 23 Week 1"/>
    <d v="2023-11-03T00:00:00"/>
    <s v="November 23 Week 1"/>
    <n v="7"/>
    <d v="2023-11-10T00:00:00"/>
    <s v="November 23 Week 2"/>
    <d v="2023-11-10T00:00:00"/>
    <s v="November 23 Week 2"/>
    <m/>
    <s v=""/>
    <s v="YTL"/>
    <s v=" "/>
    <s v=" "/>
    <x v="7"/>
    <s v="9. EPC Ready"/>
    <s v="9. EPC Ready"/>
    <m/>
  </r>
  <r>
    <s v="PHSmarE444"/>
    <n v="299"/>
    <s v="D. Pharma Format"/>
    <s v="Pharma Format"/>
    <x v="9"/>
    <s v="Refit"/>
    <s v="East"/>
    <x v="5"/>
    <s v="West Bengal"/>
    <s v="GF  Ward 2 Holding No- N/636/442JLNo- 85  , &amp;ADSRO Sonamukhi Land Mark Municipality , L.R. Plot No 2631&amp;2632 P.O+P.S &amp; Block  , Sonamukhi , 722207"/>
    <s v="Sonamukhi"/>
    <n v="385"/>
    <s v="NETMWQBTQ00"/>
    <s v="Sagar Neyogi-7980192700"/>
    <d v="2023-09-15T00:00:00"/>
    <s v="September 23 Week 3"/>
    <d v="2023-09-15T00:00:00"/>
    <s v="September 23 Week 3"/>
    <n v="7"/>
    <d v="2023-09-22T00:00:00"/>
    <s v="September 23 Week 4"/>
    <d v="2023-09-22T00:00:00"/>
    <s v="September 23 Week 4"/>
    <m/>
    <s v=""/>
    <s v="YTL"/>
    <s v=" "/>
    <s v=" "/>
    <x v="7"/>
    <s v="9. EPC Ready"/>
    <s v="9. EPC Ready"/>
    <m/>
  </r>
  <r>
    <s v="PHSmarE445"/>
    <n v="300"/>
    <s v="D. Pharma Format"/>
    <s v="Pharma Format"/>
    <x v="9"/>
    <s v="Refit"/>
    <s v="East"/>
    <x v="5"/>
    <s v="Assam &amp; NE"/>
    <s v="GF Dekar Gaon Mouza  ,  , Bhairawapad Tezpur Dist Sonitpur  , TEZPUR , 784001"/>
    <s v="TEZPUR"/>
    <n v="400"/>
    <s v="NETMFQB5W00"/>
    <s v="Prosenjit Pal-9831270684"/>
    <d v="2023-10-17T00:00:00"/>
    <s v="October 23 Week 3"/>
    <d v="2023-10-17T00:00:00"/>
    <s v="October 23 Week 3"/>
    <n v="7"/>
    <d v="2023-10-24T00:00:00"/>
    <s v="October 23 Week 4"/>
    <d v="2023-12-05T00:00:00"/>
    <s v="December 23 Week 1"/>
    <m/>
    <s v=""/>
    <s v="YTL"/>
    <s v=" "/>
    <s v=" "/>
    <x v="7"/>
    <s v="9. EPC Ready"/>
    <s v="9. EPC Ready"/>
    <m/>
  </r>
  <r>
    <s v="PHSmarE446"/>
    <n v="301"/>
    <s v="D. Pharma Format"/>
    <s v="Pharma Format"/>
    <x v="9"/>
    <s v="Refit"/>
    <s v="East"/>
    <x v="3"/>
    <s v="Bihar"/>
    <s v="GF Shripur Palace Plot No 21 To 23  , Dist - East Champaran , Kh No 41/13/12, Mauza-Churandano Ekadri  , Chauradano , 845302"/>
    <s v="chauradano"/>
    <n v="400"/>
    <s v="NETMBQB1H00"/>
    <s v="Mr. Jitendra Kumar-6201750698"/>
    <d v="2023-10-07T00:00:00"/>
    <s v="October 23 Week 1"/>
    <d v="2023-10-07T00:00:00"/>
    <s v="October 23 Week 1"/>
    <n v="7"/>
    <d v="2023-10-14T00:00:00"/>
    <s v="October 23 Week 2"/>
    <d v="2023-10-19T00:00:00"/>
    <s v="October 23 Week 3"/>
    <m/>
    <s v=""/>
    <s v="YTL"/>
    <s v=" "/>
    <s v=" "/>
    <x v="7"/>
    <s v="9. EPC Ready"/>
    <s v="9. EPC Ready"/>
    <m/>
  </r>
  <r>
    <s v="PHSmarS447"/>
    <n v="302"/>
    <s v="D. Pharma Format"/>
    <s v="Pharma Format"/>
    <x v="9"/>
    <s v="Refit"/>
    <s v="South"/>
    <x v="6"/>
    <s v="Orissa"/>
    <s v="Arc Investment Consultants Pvt Ltd  , Joda Keonjhar , Agarwal Manson At Po Joda Bansapani Road  , JODA , 758034"/>
    <s v="JODA"/>
    <n v="400"/>
    <s v="NETMOQB1Q00"/>
    <m/>
    <d v="2023-09-13T00:00:00"/>
    <s v="September 23 Week 2"/>
    <d v="2023-09-13T00:00:00"/>
    <s v="September 23 Week 2"/>
    <n v="7"/>
    <d v="2023-09-20T00:00:00"/>
    <s v="September 23 Week 3"/>
    <d v="2024-01-29T00:00:00"/>
    <s v="January 24 Week 5"/>
    <m/>
    <s v=""/>
    <s v="YTL"/>
    <s v=" "/>
    <s v=" "/>
    <x v="7"/>
    <s v="9. EPC Ready"/>
    <s v="9. EPC Ready"/>
    <m/>
  </r>
  <r>
    <s v="PHSmarE448"/>
    <n v="303"/>
    <s v="D. Pharma Format"/>
    <s v="Pharma Format"/>
    <x v="9"/>
    <s v="Refit"/>
    <s v="East"/>
    <x v="5"/>
    <s v="Assam &amp; NE"/>
    <s v="GF 03 Kezieke Colony  ,  , Dist - Kohima  , KOHIMA , 797001"/>
    <s v="KOHIMA"/>
    <n v="401"/>
    <s v="NETMLQBSL00"/>
    <s v="Shubham Rai-6003901308"/>
    <d v="2023-10-12T00:00:00"/>
    <s v="October 23 Week 2"/>
    <d v="2023-10-12T00:00:00"/>
    <s v="October 23 Week 2"/>
    <n v="7"/>
    <d v="2023-10-19T00:00:00"/>
    <s v="October 23 Week 3"/>
    <d v="2023-11-05T00:00:00"/>
    <s v="November 23 Week 1"/>
    <m/>
    <s v=""/>
    <s v="YTL"/>
    <s v=" "/>
    <s v=" "/>
    <x v="7"/>
    <s v="9. EPC Ready"/>
    <s v="9. EPC Ready"/>
    <m/>
  </r>
  <r>
    <s v="PHCOSD448"/>
    <n v="304"/>
    <s v="D. Pharma Format"/>
    <s v="Pharma Format"/>
    <x v="9"/>
    <s v="Refit"/>
    <s v="East"/>
    <x v="5"/>
    <s v="West Bengal"/>
    <s v="GF &amp; FF Basirhat Municipality J L43 P S  , Khatian14622 &amp; 14623 Mouza Block &amp; , L R Plot3629 4407 &amp; 3632 4409 LR , A D S R OBasirhat Dist North 24 Parganas , BASIRHAT , 743411"/>
    <s v="BASIRHAT"/>
    <n v="406"/>
    <s v="NETMWQDZR00"/>
    <s v="Rupankar Das-7980605816"/>
    <d v="2023-10-13T00:00:00"/>
    <s v="October 23 Week 2"/>
    <d v="2023-10-13T00:00:00"/>
    <s v="October 23 Week 2"/>
    <n v="7"/>
    <d v="2023-10-20T00:00:00"/>
    <s v="October 23 Week 3"/>
    <d v="2023-11-04T00:00:00"/>
    <s v="November 23 Week 1"/>
    <m/>
    <s v=""/>
    <s v="YTL"/>
    <s v=" "/>
    <s v=" "/>
    <x v="7"/>
    <s v="9. EPC Ready"/>
    <s v="9. EPC Ready"/>
    <m/>
  </r>
  <r>
    <s v="PHSmarS449"/>
    <n v="305"/>
    <s v="D. Pharma Format"/>
    <s v="Pharma Format"/>
    <x v="9"/>
    <s v="Refit"/>
    <s v="South"/>
    <x v="3"/>
    <s v="Tamil Nadu"/>
    <s v="Ganesh Building Pallipattu Main Road  , Podhaturpettai Tiruvallur , Savottur Bus Stop  , PODHATURPETTAI , 631208"/>
    <s v="Podhaturpettai"/>
    <n v="400"/>
    <s v="NETMTQBYF00"/>
    <m/>
    <d v="2023-11-03T00:00:00"/>
    <s v="November 23 Week 1"/>
    <d v="2023-11-03T00:00:00"/>
    <s v="November 23 Week 1"/>
    <n v="7"/>
    <d v="2023-11-10T00:00:00"/>
    <s v="November 23 Week 2"/>
    <d v="2023-12-13T00:00:00"/>
    <s v="December 23 Week 2"/>
    <m/>
    <s v=""/>
    <s v="YTL"/>
    <s v=" "/>
    <s v=" "/>
    <x v="7"/>
    <s v="9. EPC Ready"/>
    <s v="9. EPC Ready"/>
    <m/>
  </r>
  <r>
    <s v="PHCOSD450"/>
    <n v="306"/>
    <s v="D. Pharma Format"/>
    <s v="Pharma Format"/>
    <x v="9"/>
    <s v="Refit"/>
    <s v="East"/>
    <x v="3"/>
    <s v="Bihar"/>
    <s v="Chandrakant Sharma Sanjay Sharma Parsaur  , Parsauni Sitamarhi , Mairwa Nh 104 Shivhar Sitamarhi Road  , SITAMARHI , 843314"/>
    <s v="SITAMARHI"/>
    <n v="402"/>
    <s v="NETMBQDPZ00"/>
    <m/>
    <d v="2024-01-11T00:00:00"/>
    <s v="January 24 Week 2"/>
    <d v="2024-01-11T00:00:00"/>
    <s v="January 24 Week 2"/>
    <n v="7"/>
    <d v="2024-01-18T00:00:00"/>
    <s v="January 24 Week 3"/>
    <d v="2024-01-29T00:00:00"/>
    <s v="January 24 Week 5"/>
    <m/>
    <s v=""/>
    <s v="YTL"/>
    <s v=" "/>
    <s v=" "/>
    <x v="7"/>
    <s v="9. EPC Ready"/>
    <s v="9. EPC Ready"/>
    <m/>
  </r>
  <r>
    <s v="PHSmarE450"/>
    <n v="307"/>
    <s v="D. Pharma Format"/>
    <s v="Pharma Format"/>
    <x v="9"/>
    <s v="Refit"/>
    <s v="East"/>
    <x v="5"/>
    <s v="West Bengal"/>
    <s v="Jamalpur Thana More Po  , Hdfc Bank East Bardwan , Ps Jamalpur Landmark  , BURDWAN , 713408"/>
    <s v="Bardhaman"/>
    <n v="400"/>
    <s v="NETMWQBQC00"/>
    <m/>
    <d v="2023-11-03T00:00:00"/>
    <s v="November 23 Week 1"/>
    <d v="2023-11-03T00:00:00"/>
    <s v="November 23 Week 1"/>
    <n v="7"/>
    <d v="2023-11-10T00:00:00"/>
    <s v="November 23 Week 2"/>
    <d v="2023-11-09T00:00:00"/>
    <s v="November 23 Week 2"/>
    <m/>
    <s v=""/>
    <s v="YTL"/>
    <s v=" "/>
    <s v=" "/>
    <x v="7"/>
    <s v="9. EPC Ready"/>
    <s v="9. EPC Ready"/>
    <m/>
  </r>
  <r>
    <s v="PHCOSD455"/>
    <n v="308"/>
    <s v="D. Pharma Format"/>
    <s v="Pharma Format"/>
    <x v="9"/>
    <s v="Refit"/>
    <s v="East"/>
    <x v="5"/>
    <s v="West Bengal"/>
    <s v="Andal To Ukhra Road Shiv Pally Khandra P  , Workshhop Ecl Andal Paschim Burdwan , Khandra PS Andal?Near Ukhra Regional  , ANDAL , 713363"/>
    <s v="ANDAL"/>
    <n v="403"/>
    <s v="NETMWQB1M00"/>
    <m/>
    <d v="2023-11-05T00:00:00"/>
    <s v="November 23 Week 1"/>
    <d v="2023-11-05T00:00:00"/>
    <s v="November 23 Week 1"/>
    <n v="7"/>
    <d v="2023-11-12T00:00:00"/>
    <s v="November 23 Week 2"/>
    <d v="2023-11-08T00:00:00"/>
    <s v="November 23 Week 2"/>
    <m/>
    <s v=""/>
    <s v="YTL"/>
    <s v=" "/>
    <s v=" "/>
    <x v="7"/>
    <s v="9. EPC Ready"/>
    <s v="9. EPC Ready"/>
    <m/>
  </r>
  <r>
    <s v="PHCOBK456"/>
    <n v="309"/>
    <s v="D. Pharma Format"/>
    <s v="Pharma Format"/>
    <x v="9"/>
    <s v="Refit"/>
    <s v="West"/>
    <x v="4"/>
    <s v="Maharashtra"/>
    <s v="GF Survey No 266 1  , Taluka Latur Distt Latur , Plot No 41 Village Kasargoan  , LATUR , 413512"/>
    <s v="LATUR"/>
    <n v="400"/>
    <s v="NETMMQEHH00"/>
    <s v="Subhash Chaudhari-8459614618"/>
    <d v="2023-08-18T00:00:00"/>
    <s v="August 23 Week 3"/>
    <d v="2023-08-18T00:00:00"/>
    <s v="August 23 Week 3"/>
    <n v="7"/>
    <d v="2023-08-25T00:00:00"/>
    <s v="August 23 Week 4"/>
    <d v="2023-09-02T00:00:00"/>
    <s v="September 23 Week 1"/>
    <m/>
    <s v=""/>
    <s v="YTL"/>
    <s v=" "/>
    <s v=" "/>
    <x v="7"/>
    <s v="9. EPC Ready"/>
    <s v="9. EPC Ready"/>
    <m/>
  </r>
  <r>
    <s v="PHSmarS456"/>
    <n v="310"/>
    <s v="D. Pharma Format"/>
    <s v="Pharma Format"/>
    <x v="9"/>
    <s v="Refit"/>
    <s v="South"/>
    <x v="3"/>
    <s v="Tamil Nadu"/>
    <s v="Ground Floor Mkb Complex D.No: 29A  , Kallakurichi , Gandhi Road RajaNagar Near Raja Theatre  , KALLAKURICHI , 606202"/>
    <s v="KALLAKURICHI"/>
    <n v="400"/>
    <s v="NETMTQB7M00"/>
    <m/>
    <d v="2024-01-23T00:00:00"/>
    <s v="January 24 Week 4"/>
    <d v="2024-01-23T00:00:00"/>
    <s v="January 24 Week 4"/>
    <n v="7"/>
    <d v="2024-01-30T00:00:00"/>
    <s v="January 24 Week 5"/>
    <d v="2024-02-20T00:00:00"/>
    <s v="February 24 Week 3"/>
    <d v="2024-02-28T00:00:00"/>
    <s v="February 24 Week 4"/>
    <s v="YTL"/>
    <s v=" "/>
    <s v=" "/>
    <x v="7"/>
    <s v="9. EPC Ready"/>
    <s v="9. EPC Ready"/>
    <m/>
  </r>
  <r>
    <s v="PHCOAS459"/>
    <n v="311"/>
    <s v="D. Pharma Format"/>
    <s v="Pharma Format"/>
    <x v="9"/>
    <s v="Refit"/>
    <s v="South"/>
    <x v="3"/>
    <s v="Tamil Nadu"/>
    <s v="V R Complex Door No 356D  , Sivagangai , Devakottai Taluk Thirupathur Road  , DEVAKOTTAI , 630302"/>
    <s v="DEVAKOTTAI"/>
    <n v="200"/>
    <s v="NETMTQC9I00"/>
    <s v="Nazeem Khan"/>
    <d v="2023-10-08T00:00:00"/>
    <s v="October 23 Week 2"/>
    <d v="2023-10-08T00:00:00"/>
    <s v="October 23 Week 2"/>
    <n v="7"/>
    <d v="2023-10-15T00:00:00"/>
    <s v="October 23 Week 3"/>
    <d v="2023-10-15T00:00:00"/>
    <s v="October 23 Week 3"/>
    <m/>
    <s v=""/>
    <s v="YTL"/>
    <s v=" "/>
    <s v=" "/>
    <x v="7"/>
    <s v="9. EPC Ready"/>
    <s v="9. EPC Ready"/>
    <m/>
  </r>
  <r>
    <s v="PHCOSD460"/>
    <n v="312"/>
    <s v="D. Pharma Format"/>
    <s v="Pharma Format"/>
    <x v="9"/>
    <s v="Refit"/>
    <s v="East"/>
    <x v="5"/>
    <s v="West Bengal"/>
    <s v=" SAHA ALAM_BAZARDANGA MORE_KANDI_WB"/>
    <s v="Murshidabad(jiaganj)"/>
    <n v="400"/>
    <s v="NETMWQBPZ00"/>
    <m/>
    <d v="2023-10-08T00:00:00"/>
    <s v="October 23 Week 2"/>
    <d v="2023-10-08T00:00:00"/>
    <s v="October 23 Week 2"/>
    <n v="7"/>
    <d v="2023-10-15T00:00:00"/>
    <s v="October 23 Week 3"/>
    <d v="2023-10-15T00:00:00"/>
    <s v="October 23 Week 3"/>
    <m/>
    <s v=""/>
    <s v="YTL"/>
    <s v=" "/>
    <s v=" "/>
    <x v="7"/>
    <s v="9. EPC Ready"/>
    <s v="9. EPC Ready"/>
    <m/>
  </r>
  <r>
    <s v="PHSmarE460"/>
    <n v="313"/>
    <s v="D. Pharma Format"/>
    <s v="Pharma Format"/>
    <x v="9"/>
    <s v="Refit"/>
    <s v="East"/>
    <x v="5"/>
    <s v="West Bengal"/>
    <s v="Barobisha Chowpathi Purba Chakchaka  , Barobisha Alipurduar , Po Barobisha Ps Kumargram  , BAROBISHA , 736207"/>
    <s v="Barobisha"/>
    <n v="402"/>
    <s v="NETMWQFYT00"/>
    <m/>
    <d v="2023-10-03T00:00:00"/>
    <s v="October 23 Week 1"/>
    <d v="2023-10-03T00:00:00"/>
    <s v="October 23 Week 1"/>
    <n v="7"/>
    <d v="2023-10-10T00:00:00"/>
    <s v="October 23 Week 2"/>
    <d v="2023-11-22T00:00:00"/>
    <s v="November 23 Week 4"/>
    <m/>
    <s v=""/>
    <s v="YTL"/>
    <s v=" "/>
    <s v=" "/>
    <x v="7"/>
    <s v="9. EPC Ready"/>
    <s v="9. EPC Ready"/>
    <m/>
  </r>
  <r>
    <s v="PHSmarE461"/>
    <n v="314"/>
    <s v="D. Pharma Format"/>
    <s v="Pharma Format"/>
    <x v="9"/>
    <s v="Refit"/>
    <s v="East"/>
    <x v="3"/>
    <s v="Telangana"/>
    <s v="Gf H No 14 156  , Town Mandal , Huzurnagar  , NALGONDA , 508204"/>
    <s v="Huzurnagar"/>
    <n v="409"/>
    <s v="NETMNQ3M300"/>
    <s v="Mr. Annapureddy N-9494465395"/>
    <d v="2023-09-28T00:00:00"/>
    <s v="September 23 Week 4"/>
    <d v="2023-09-28T00:00:00"/>
    <s v="September 23 Week 4"/>
    <n v="7"/>
    <d v="2023-10-05T00:00:00"/>
    <s v="October 23 Week 1"/>
    <d v="2023-11-02T00:00:00"/>
    <s v="November 23 Week 1"/>
    <m/>
    <s v=""/>
    <s v="YTL"/>
    <s v=" "/>
    <s v=" "/>
    <x v="7"/>
    <s v="9. EPC Ready"/>
    <s v="9. EPC Ready"/>
    <m/>
  </r>
  <r>
    <s v="PHSmarW462"/>
    <n v="315"/>
    <s v="D. Pharma Format"/>
    <s v="Pharma Format"/>
    <x v="9"/>
    <s v="Refit"/>
    <s v="West"/>
    <x v="4"/>
    <s v="Maharashtra"/>
    <s v="GF, Sr. No.29/1/2/3, Plot No. 1  , Garden Shirpur Dhule , Vill- Madhal, Tal-Shirpur, Dist- Dhule  , Shirpur , 425405"/>
    <s v="SHIRPUR"/>
    <n v="400"/>
    <s v="NETMMQF4R00"/>
    <s v="Mr Prashant Wankhede-9284862994"/>
    <d v="2023-09-25T00:00:00"/>
    <s v="September 23 Week 4"/>
    <d v="2023-09-25T00:00:00"/>
    <s v="September 23 Week 4"/>
    <n v="7"/>
    <d v="2023-10-02T00:00:00"/>
    <s v="October 23 Week 1"/>
    <d v="2023-10-07T00:00:00"/>
    <s v="October 23 Week 1"/>
    <m/>
    <s v=""/>
    <s v="YTL"/>
    <s v=" "/>
    <s v=" "/>
    <x v="7"/>
    <s v="9. EPC Ready"/>
    <s v="9. EPC Ready"/>
    <m/>
  </r>
  <r>
    <s v="PHSmarE464"/>
    <n v="316"/>
    <s v="D. Pharma Format"/>
    <s v="Pharma Format"/>
    <x v="9"/>
    <s v="Refit"/>
    <s v="East"/>
    <x v="5"/>
    <s v="Assam &amp; NE"/>
    <s v="RANIBAZAR_AGARTALA_TRIPURA"/>
    <s v="Tripura"/>
    <n v="400"/>
    <s v="NETM4QBRU00"/>
    <s v="Nirupam Das-9287955307"/>
    <d v="2023-09-25T00:00:00"/>
    <s v="September 23 Week 4"/>
    <d v="2023-09-25T00:00:00"/>
    <s v="September 23 Week 4"/>
    <n v="7"/>
    <d v="2023-10-02T00:00:00"/>
    <s v="October 23 Week 1"/>
    <d v="2023-10-23T00:00:00"/>
    <s v="October 23 Week 4"/>
    <m/>
    <s v=""/>
    <s v="YTL"/>
    <s v=" "/>
    <s v=" "/>
    <x v="7"/>
    <s v="9. EPC Ready"/>
    <s v="9. EPC Ready"/>
    <m/>
  </r>
  <r>
    <s v="PHCORT466"/>
    <n v="317"/>
    <s v="D. Pharma Format"/>
    <s v="Pharma Format"/>
    <x v="9"/>
    <s v="Refit"/>
    <s v="North"/>
    <x v="4"/>
    <s v="Haryana"/>
    <s v="Old Sbi Building  , Cantt , Nh 9 Delhi Road Hissar  , HISAR , 125006"/>
    <s v="HISAR"/>
    <n v="400"/>
    <s v="NETMHQDPI00"/>
    <s v="Sunil Mahaur - 9953970739"/>
    <d v="2023-10-08T00:00:00"/>
    <s v="October 23 Week 2"/>
    <d v="2023-10-08T00:00:00"/>
    <s v="October 23 Week 2"/>
    <n v="7"/>
    <d v="2023-10-15T00:00:00"/>
    <s v="October 23 Week 3"/>
    <d v="2023-10-15T00:00:00"/>
    <s v="October 23 Week 3"/>
    <m/>
    <s v=""/>
    <s v="YTL"/>
    <s v=" "/>
    <s v=" "/>
    <x v="7"/>
    <s v="9. EPC Ready"/>
    <s v="9. EPC Ready"/>
    <m/>
  </r>
  <r>
    <s v="PHCOBK467"/>
    <n v="318"/>
    <s v="D. Pharma Format"/>
    <s v="Pharma Format"/>
    <x v="9"/>
    <s v="Refit"/>
    <s v="West"/>
    <x v="4"/>
    <s v="Maharashtra"/>
    <s v="GF Plot No 2 3 4 Survey No 309 AB  , Opp Indo Line Furniture , Ambad link Road Near Inda line Furniture , Nashik , Nashik , 422008"/>
    <s v="Nashik"/>
    <n v="200"/>
    <s v="NETMMQD1I00"/>
    <m/>
    <d v="2023-10-08T00:00:00"/>
    <s v="October 23 Week 2"/>
    <d v="2023-10-08T00:00:00"/>
    <s v="October 23 Week 2"/>
    <n v="7"/>
    <d v="2023-10-15T00:00:00"/>
    <s v="October 23 Week 3"/>
    <d v="2023-10-15T00:00:00"/>
    <s v="October 23 Week 3"/>
    <m/>
    <s v=""/>
    <s v="YTL"/>
    <s v=" "/>
    <s v=" "/>
    <x v="7"/>
    <s v="9. EPC Ready"/>
    <s v="9. EPC Ready"/>
    <m/>
  </r>
  <r>
    <s v="PHCOSD469"/>
    <n v="319"/>
    <s v="D. Pharma Format"/>
    <s v="Pharma Format"/>
    <x v="9"/>
    <s v="Refit"/>
    <s v="East"/>
    <x v="5"/>
    <s v="Assam &amp; NE"/>
    <s v="GF Revenue Vill Notun town Dag no 1554  , Ulubari Guwahati Dist Kamrup M , KP Patta no 31 Saronia Mouza  , GUWAHATI , 781003"/>
    <s v="GUWAHATI"/>
    <n v="400"/>
    <s v="NETMFQEMR00"/>
    <s v="Debanjan Adhikari-8918234696"/>
    <d v="2023-12-11T00:00:00"/>
    <s v="December 23 Week 2"/>
    <d v="2023-12-11T00:00:00"/>
    <s v="December 23 Week 2"/>
    <n v="7"/>
    <d v="2023-12-18T00:00:00"/>
    <s v="December 23 Week 3"/>
    <d v="2023-12-26T00:00:00"/>
    <s v="December 23 Week 4"/>
    <m/>
    <s v=""/>
    <s v="YTL"/>
    <s v=" "/>
    <s v=" "/>
    <x v="7"/>
    <s v="9. EPC Ready"/>
    <s v="9. EPC Ready"/>
    <m/>
  </r>
  <r>
    <s v="PHCOBK471"/>
    <n v="320"/>
    <s v="D. Pharma Format"/>
    <s v="Pharma Format"/>
    <x v="9"/>
    <s v="Refit"/>
    <s v="West"/>
    <x v="4"/>
    <s v="Maharashtra"/>
    <s v="Plot No 21 Survey No 29 4 Kalpatru Nagar  , Ashoka Marg Nashik , Near Idbi Bank Atm  , Nashik , 422009"/>
    <s v="Nashik"/>
    <n v="400"/>
    <s v="NETMMQBIR00"/>
    <s v="Mr Prashant Wankhede-9284862994"/>
    <d v="2023-10-04T00:00:00"/>
    <s v="October 23 Week 1"/>
    <d v="2023-10-04T00:00:00"/>
    <s v="October 23 Week 1"/>
    <n v="7"/>
    <d v="2023-10-11T00:00:00"/>
    <s v="October 23 Week 2"/>
    <d v="2023-10-18T00:00:00"/>
    <s v="October 23 Week 3"/>
    <m/>
    <s v=""/>
    <s v="YTL"/>
    <s v=" "/>
    <s v=" "/>
    <x v="7"/>
    <s v="9. EPC Ready"/>
    <s v="9. EPC Ready"/>
    <m/>
  </r>
  <r>
    <s v="PHSmarS472"/>
    <n v="321"/>
    <s v="D. Pharma Format"/>
    <s v="Pharma Format"/>
    <x v="9"/>
    <s v="Refit"/>
    <s v="South"/>
    <x v="6"/>
    <s v="Andhra Pradesh"/>
    <s v="SP Pharma Syed Complex Koduru"/>
    <s v="KODURU"/>
    <n v="400"/>
    <s v="NETMAQBJE00"/>
    <s v="Mr. Sudhakar Veerla"/>
    <d v="2023-09-27T00:00:00"/>
    <s v="September 23 Week 4"/>
    <d v="2023-09-27T00:00:00"/>
    <s v="September 23 Week 4"/>
    <n v="7"/>
    <d v="2023-10-04T00:00:00"/>
    <s v="October 23 Week 1"/>
    <d v="2023-10-26T00:00:00"/>
    <s v="October 23 Week 4"/>
    <m/>
    <s v=""/>
    <s v="YTL"/>
    <s v=" "/>
    <s v=" "/>
    <x v="7"/>
    <s v="9. EPC Ready"/>
    <s v="9. EPC Ready"/>
    <m/>
  </r>
  <r>
    <s v="PHSmarS473"/>
    <n v="322"/>
    <s v="D. Pharma Format"/>
    <s v="Pharma Format"/>
    <x v="9"/>
    <s v="Refit"/>
    <s v="South"/>
    <x v="6"/>
    <s v="Andhra Pradesh"/>
    <s v="SP Pharma  GAYATHRI SHOPING MALL"/>
    <s v="Narasaraopet"/>
    <n v="400"/>
    <s v="NETMAQGQW00"/>
    <s v="Mr. Sridhar Gummadi"/>
    <d v="2023-10-06T00:00:00"/>
    <s v="October 23 Week 1"/>
    <d v="2023-10-06T00:00:00"/>
    <s v="October 23 Week 1"/>
    <n v="7"/>
    <d v="2023-10-13T00:00:00"/>
    <s v="October 23 Week 2"/>
    <d v="2023-11-09T00:00:00"/>
    <s v="November 23 Week 2"/>
    <m/>
    <s v=""/>
    <s v="YTL"/>
    <s v=" "/>
    <s v=" "/>
    <x v="7"/>
    <s v="9. EPC Ready"/>
    <s v="9. EPC Ready"/>
    <m/>
  </r>
  <r>
    <s v="PHCORT473"/>
    <n v="323"/>
    <s v="D. Pharma Format"/>
    <s v="Pharma Format"/>
    <x v="9"/>
    <s v="Refit"/>
    <s v="North"/>
    <x v="4"/>
    <s v="Uttar Pradesh"/>
    <s v="Royal Plaza Veer Gas Agency Building  , Behjam Road Lakhimpur Kheri , Jaydev Nagar  , LAKHIMPUR , 262701"/>
    <s v="LAKHIMPUR"/>
    <n v="400"/>
    <s v="NETMUQEGZ00"/>
    <s v="Abhay Srivastav-9305109175"/>
    <d v="2023-09-21T00:00:00"/>
    <s v="September 23 Week 3"/>
    <d v="2023-09-21T00:00:00"/>
    <s v="September 23 Week 3"/>
    <n v="7"/>
    <d v="2023-09-28T00:00:00"/>
    <s v="September 23 Week 4"/>
    <d v="2023-09-29T00:00:00"/>
    <s v="September 23 Week 5"/>
    <m/>
    <s v=""/>
    <s v="YTL"/>
    <s v=" "/>
    <s v=" "/>
    <x v="7"/>
    <s v="9. EPC Ready"/>
    <s v="9. EPC Ready"/>
    <m/>
  </r>
  <r>
    <s v="PHCOSD474"/>
    <n v="324"/>
    <s v="D. Pharma Format"/>
    <s v="Pharma Format"/>
    <x v="9"/>
    <s v="Refit"/>
    <s v="East"/>
    <x v="5"/>
    <s v="Assam &amp; NE"/>
    <s v="GF Grant no 324 Abhaipur  , SBI road Sonari Dist Charaideo , Mouza Dag no 22 Patta no 1  , SONARI , 785690"/>
    <s v="SONARI"/>
    <n v="535"/>
    <s v="NETMFQD1G00"/>
    <m/>
    <d v="2024-01-24T00:00:00"/>
    <s v="January 24 Week 4"/>
    <d v="2024-01-24T00:00:00"/>
    <s v="January 24 Week 4"/>
    <n v="7"/>
    <d v="2024-01-31T00:00:00"/>
    <s v="January 24 Week 5"/>
    <d v="2024-03-03T00:00:00"/>
    <s v="March 24 Week 1"/>
    <d v="2024-02-28T00:00:00"/>
    <s v="February 24 Week 4"/>
    <s v="YTL"/>
    <s v=" "/>
    <s v=" "/>
    <x v="7"/>
    <s v="9. EPC Ready"/>
    <s v="9. EPC Ready"/>
    <m/>
  </r>
  <r>
    <s v="PHSmarS474"/>
    <n v="325"/>
    <s v="D. Pharma Format"/>
    <s v="Pharma Format"/>
    <x v="9"/>
    <s v="Refit"/>
    <s v="South"/>
    <x v="3"/>
    <s v="Kerala"/>
    <s v="SP Pharma PKD Commercial Pathanamthitta"/>
    <s v="Pathanamthitta"/>
    <n v="400"/>
    <s v="NETMVQ9X600"/>
    <s v="Jose Loviese-6361753673"/>
    <d v="2023-10-06T00:00:00"/>
    <s v="October 23 Week 1"/>
    <d v="2023-10-06T00:00:00"/>
    <s v="October 23 Week 1"/>
    <n v="7"/>
    <d v="2023-10-13T00:00:00"/>
    <s v="October 23 Week 2"/>
    <d v="2023-11-07T00:00:00"/>
    <s v="November 23 Week 1"/>
    <m/>
    <s v=""/>
    <s v="YTL"/>
    <s v=" "/>
    <s v=" "/>
    <x v="7"/>
    <s v="9. EPC Ready"/>
    <s v="9. EPC Ready"/>
    <m/>
  </r>
  <r>
    <s v="PHCOKC475"/>
    <n v="326"/>
    <s v="D. Pharma Format"/>
    <s v="Pharma Format"/>
    <x v="9"/>
    <s v="Refit"/>
    <s v="North"/>
    <x v="4"/>
    <s v="Rajasthan"/>
    <s v="Ugf Lgf Patta No 394 395 Khasra No 281 1  , Jodhpur Road Balotra , Ward No 29 Behind Hotel City Square  , BARMER , 344032"/>
    <s v="BARMER"/>
    <n v="400"/>
    <s v="NETMRQCCP00"/>
    <m/>
    <d v="2023-10-08T00:00:00"/>
    <s v="October 23 Week 2"/>
    <d v="2023-10-08T00:00:00"/>
    <s v="October 23 Week 2"/>
    <n v="7"/>
    <d v="2023-10-15T00:00:00"/>
    <s v="October 23 Week 3"/>
    <d v="2023-10-15T00:00:00"/>
    <s v="October 23 Week 3"/>
    <m/>
    <s v=""/>
    <s v="YTL"/>
    <s v=" "/>
    <s v=" "/>
    <x v="7"/>
    <s v="9. EPC Ready"/>
    <s v="9. EPC Ready"/>
    <m/>
  </r>
  <r>
    <s v="PHCOSD477"/>
    <n v="327"/>
    <s v="D. Pharma Format"/>
    <s v="Pharma Format"/>
    <x v="9"/>
    <s v="Refit"/>
    <s v="East"/>
    <x v="5"/>
    <s v="Assam &amp; NE"/>
    <s v="Seba Singh Seba Singhs Property Word No  , Assam , 4 Lanka Patty Lanka Hojai  , LANKA , 782446"/>
    <s v="LANKA"/>
    <n v="400"/>
    <s v="NETMFQBJG00"/>
    <s v="Anitesh Dutta-7602102294"/>
    <d v="2023-10-16T00:00:00"/>
    <s v="October 23 Week 3"/>
    <d v="2023-10-16T00:00:00"/>
    <s v="October 23 Week 3"/>
    <n v="7"/>
    <d v="2023-10-23T00:00:00"/>
    <s v="October 23 Week 4"/>
    <d v="2023-11-20T00:00:00"/>
    <s v="November 23 Week 3"/>
    <m/>
    <s v=""/>
    <s v="YTL"/>
    <s v=" "/>
    <s v=" "/>
    <x v="7"/>
    <s v="9. EPC Ready"/>
    <s v="9. EPC Ready"/>
    <m/>
  </r>
  <r>
    <s v="PHCOSD479"/>
    <n v="328"/>
    <s v="D. Pharma Format"/>
    <s v="Pharma Format"/>
    <x v="9"/>
    <s v="Refit"/>
    <s v="East"/>
    <x v="3"/>
    <s v="Telangana"/>
    <s v="Raheem Property Plot N061 Part Plot No 6  , School Lane Caltex Area Bellampally , 2 Survey No 109 17 Beside St Marys  , Bellampalli , 504251"/>
    <s v="Bellampalli"/>
    <n v="400"/>
    <s v="NETMNQBTB00"/>
    <m/>
    <d v="2023-12-11T00:00:00"/>
    <s v="December 23 Week 2"/>
    <d v="2023-12-11T00:00:00"/>
    <s v="December 23 Week 2"/>
    <n v="7"/>
    <d v="2023-12-18T00:00:00"/>
    <s v="December 23 Week 3"/>
    <d v="2024-01-09T00:00:00"/>
    <s v="January 24 Week 2"/>
    <m/>
    <s v=""/>
    <s v="YTL"/>
    <s v=" "/>
    <s v=" "/>
    <x v="7"/>
    <s v="9. EPC Ready"/>
    <s v="9. EPC Ready"/>
    <m/>
  </r>
  <r>
    <s v="PHCOKC480"/>
    <n v="329"/>
    <s v="D. Pharma Format"/>
    <s v="Pharma Format"/>
    <x v="9"/>
    <s v="Refit"/>
    <s v="North"/>
    <x v="4"/>
    <s v="Rajasthan"/>
    <s v="SP Pharma  Police Line Road Bundi"/>
    <s v="BUNDI"/>
    <n v="400"/>
    <s v="NETMRQGQJ00"/>
    <m/>
    <d v="2023-10-08T00:00:00"/>
    <s v="October 23 Week 2"/>
    <d v="2023-10-08T00:00:00"/>
    <s v="October 23 Week 2"/>
    <n v="7"/>
    <d v="2023-10-15T00:00:00"/>
    <s v="October 23 Week 3"/>
    <d v="2023-10-15T00:00:00"/>
    <s v="October 23 Week 3"/>
    <m/>
    <s v=""/>
    <s v="YTL"/>
    <s v=" "/>
    <s v=" "/>
    <x v="7"/>
    <s v="9. EPC Ready"/>
    <s v="9. EPC Ready"/>
    <m/>
  </r>
  <r>
    <s v="PHCORT483"/>
    <n v="330"/>
    <s v="D. Pharma Format"/>
    <s v="Pharma Format"/>
    <x v="9"/>
    <s v="Refit"/>
    <s v="North"/>
    <x v="4"/>
    <s v="Rajasthan"/>
    <s v="Miraj Developers Ltd Plot No 1  , Nathdwara , Ajmer Road Near Lal Bagh  , NATHDWARA , 313301"/>
    <s v="NATHDWARA"/>
    <n v="400"/>
    <s v="NETMRQBPA00"/>
    <s v="Mr.Balram Soni-8003293109"/>
    <d v="2023-10-13T00:00:00"/>
    <s v="October 23 Week 2"/>
    <d v="2023-10-13T00:00:00"/>
    <s v="October 23 Week 2"/>
    <n v="7"/>
    <d v="2023-10-20T00:00:00"/>
    <s v="October 23 Week 3"/>
    <d v="2023-10-25T00:00:00"/>
    <s v="October 23 Week 4"/>
    <m/>
    <s v=""/>
    <s v="YTL"/>
    <s v=" "/>
    <s v=" "/>
    <x v="7"/>
    <s v="9. EPC Ready"/>
    <s v="9. EPC Ready"/>
    <m/>
  </r>
  <r>
    <s v="PHSmarS483"/>
    <n v="331"/>
    <s v="D. Pharma Format"/>
    <s v="Pharma Format"/>
    <x v="9"/>
    <s v="Refit"/>
    <s v="South"/>
    <x v="3"/>
    <s v="Tamil Nadu"/>
    <s v="SP Pharma 3H Enterprise THIRUKAZHIKUNDRA"/>
    <s v="Thirukazhukundram"/>
    <n v="398"/>
    <s v="NETMTQGFN00"/>
    <m/>
    <d v="2023-10-30T00:00:00"/>
    <s v="October 23 Week 5"/>
    <d v="2023-10-30T00:00:00"/>
    <s v="October 23 Week 5"/>
    <n v="7"/>
    <d v="2023-11-06T00:00:00"/>
    <s v="November 23 Week 1"/>
    <d v="2023-12-07T00:00:00"/>
    <s v="December 23 Week 1"/>
    <m/>
    <s v=""/>
    <s v="YTL"/>
    <s v=" "/>
    <s v=" "/>
    <x v="7"/>
    <s v="9. EPC Ready"/>
    <s v="9. EPC Ready"/>
    <m/>
  </r>
  <r>
    <s v="PHCOSD486"/>
    <n v="332"/>
    <s v="D. Pharma Format"/>
    <s v="Pharma Format"/>
    <x v="9"/>
    <s v="Refit"/>
    <s v="East"/>
    <x v="5"/>
    <s v="Assam &amp; NE"/>
    <s v="GF Dergain Town NH 37 Ward No 6  , Dergaon Dist Golaghat , Mouza Dergaon Revenue Circle  , GOLAGHAT , 785614"/>
    <s v="GOLAGHAT"/>
    <n v="400"/>
    <s v="NETMFQB3M00"/>
    <s v="Suman Das-7044069904"/>
    <d v="2023-11-05T00:00:00"/>
    <s v="November 23 Week 1"/>
    <d v="2023-11-05T00:00:00"/>
    <s v="November 23 Week 1"/>
    <n v="7"/>
    <d v="2023-11-12T00:00:00"/>
    <s v="November 23 Week 2"/>
    <d v="2023-11-05T00:00:00"/>
    <s v="November 23 Week 1"/>
    <m/>
    <s v=""/>
    <s v="YTL"/>
    <s v=" "/>
    <s v=" "/>
    <x v="7"/>
    <s v="9. EPC Ready"/>
    <s v="9. EPC Ready"/>
    <m/>
  </r>
  <r>
    <s v="PHSmarE487"/>
    <n v="333"/>
    <s v="D. Pharma Format"/>
    <s v="Pharma Format"/>
    <x v="9"/>
    <s v="Refit"/>
    <s v="East"/>
    <x v="5"/>
    <s v="West Bengal"/>
    <s v="SP Pharma WARD NO 8 MEKHLIGANJ"/>
    <s v="MEKHLIGANJ"/>
    <n v="411"/>
    <s v="NETMWQBTR00"/>
    <s v="Sanjit Haldar-9332076156"/>
    <d v="2023-10-21T00:00:00"/>
    <s v="October 23 Week 3"/>
    <d v="2023-10-21T00:00:00"/>
    <s v="October 23 Week 3"/>
    <n v="7"/>
    <d v="2023-10-28T00:00:00"/>
    <s v="October 23 Week 4"/>
    <d v="2023-11-01T00:00:00"/>
    <s v="November 23 Week 1"/>
    <m/>
    <s v=""/>
    <s v="YTL"/>
    <s v=" "/>
    <s v=" "/>
    <x v="7"/>
    <s v="9. EPC Ready"/>
    <s v="9. EPC Ready"/>
    <m/>
  </r>
  <r>
    <s v="PHCOSD487"/>
    <n v="334"/>
    <s v="D. Pharma Format"/>
    <s v="Pharma Format"/>
    <x v="9"/>
    <s v="Refit"/>
    <s v="East"/>
    <x v="5"/>
    <s v="West Bengal"/>
    <s v="GF Mayapur Bamunpukur II MunicipalityJL5  , 29403 &amp; 5526 Block Nabadwip ADSRO Nadia , Mouza Rudrapura LR Plot 2924 &amp; Khatian  , NABADWIP , 741313"/>
    <s v="NABADWIP"/>
    <n v="400"/>
    <s v="NETMWQGFZ00"/>
    <m/>
    <d v="2023-12-08T00:00:00"/>
    <s v="December 23 Week 2"/>
    <d v="2023-12-08T00:00:00"/>
    <s v="December 23 Week 2"/>
    <n v="7"/>
    <d v="2023-12-15T00:00:00"/>
    <s v="December 23 Week 3"/>
    <d v="2023-12-25T00:00:00"/>
    <s v="December 23 Week 4"/>
    <m/>
    <s v=""/>
    <s v="YTL"/>
    <s v=" "/>
    <s v=" "/>
    <x v="7"/>
    <s v="9. EPC Ready"/>
    <s v="9. EPC Ready"/>
    <m/>
  </r>
  <r>
    <s v="PHCOBK488"/>
    <n v="335"/>
    <s v="D. Pharma Format"/>
    <s v="Pharma Format"/>
    <x v="9"/>
    <s v="Refit"/>
    <s v="West"/>
    <x v="4"/>
    <s v="Maharashtra"/>
    <s v="GF Plot No 52 Dilip Auto Sy Gat No 572  , Dist Jalgaon , 2A22A At Tongaon Tal Bhadgaon  , BHADGAON , 424105"/>
    <s v="Jalgaon"/>
    <n v="401"/>
    <s v="NETMMQBRW00"/>
    <s v="Mr Prashant Wankhede-9284862994"/>
    <d v="2023-09-04T00:00:00"/>
    <s v="September 23 Week 1"/>
    <d v="2023-09-04T00:00:00"/>
    <s v="September 23 Week 1"/>
    <n v="7"/>
    <d v="2023-09-11T00:00:00"/>
    <s v="September 23 Week 2"/>
    <d v="2023-09-14T00:00:00"/>
    <s v="September 23 Week 2"/>
    <m/>
    <s v=""/>
    <s v="YTL"/>
    <s v=" "/>
    <s v=" "/>
    <x v="7"/>
    <s v="9. EPC Ready"/>
    <s v="9. EPC Ready"/>
    <m/>
  </r>
  <r>
    <s v="PHSmarS489"/>
    <n v="336"/>
    <s v="D. Pharma Format"/>
    <s v="Pharma Format"/>
    <x v="9"/>
    <s v="Refit"/>
    <s v="South"/>
    <x v="3"/>
    <s v="Tamil Nadu"/>
    <s v="SP Dolphin Tower Vedasandur"/>
    <s v="Vedasandur"/>
    <n v="400"/>
    <s v="NETMTQBRN00"/>
    <m/>
    <d v="2023-11-02T00:00:00"/>
    <s v="November 23 Week 1"/>
    <d v="2023-11-02T00:00:00"/>
    <s v="November 23 Week 1"/>
    <n v="7"/>
    <d v="2023-11-09T00:00:00"/>
    <s v="November 23 Week 2"/>
    <d v="2023-11-27T00:00:00"/>
    <s v="November 23 Week 4"/>
    <m/>
    <s v=""/>
    <s v="YTL"/>
    <s v=" "/>
    <s v=" "/>
    <x v="7"/>
    <s v="9. EPC Ready"/>
    <s v="9. EPC Ready"/>
    <m/>
  </r>
  <r>
    <s v="PHSmarS491"/>
    <n v="337"/>
    <s v="D. Pharma Format"/>
    <s v="Pharma Format"/>
    <x v="9"/>
    <s v="Refit"/>
    <s v="South"/>
    <x v="3"/>
    <s v="Tamil Nadu"/>
    <s v="SP Pharma PCN Complex Rasipuram"/>
    <s v="Rasipuram"/>
    <n v="400"/>
    <s v="NETMTQBPK00"/>
    <m/>
    <d v="2023-10-23T00:00:00"/>
    <s v="October 23 Week 4"/>
    <d v="2023-10-23T00:00:00"/>
    <s v="October 23 Week 4"/>
    <n v="7"/>
    <d v="2023-10-30T00:00:00"/>
    <s v="October 23 Week 5"/>
    <d v="2023-12-09T00:00:00"/>
    <s v="December 23 Week 2"/>
    <m/>
    <s v=""/>
    <s v="YTL"/>
    <s v=" "/>
    <s v=" "/>
    <x v="7"/>
    <s v="9. EPC Ready"/>
    <s v="9. EPC Ready"/>
    <m/>
  </r>
  <r>
    <s v="PHCOSD491"/>
    <n v="338"/>
    <s v="D. Pharma Format"/>
    <s v="Pharma Format"/>
    <x v="9"/>
    <s v="Refit"/>
    <s v="East"/>
    <x v="5"/>
    <s v="West Bengal"/>
    <s v="Vill Alaipur Jamadarpara Po  , Madanpur Nadia , Madanpur Ps Chakdaha  , MADANPUR , 741245"/>
    <s v="MADANPUR"/>
    <n v="201"/>
    <s v="NETMWQGFP00"/>
    <m/>
    <d v="2023-10-08T00:00:00"/>
    <s v="October 23 Week 2"/>
    <d v="2023-10-08T00:00:00"/>
    <s v="October 23 Week 2"/>
    <n v="7"/>
    <d v="2023-10-15T00:00:00"/>
    <s v="October 23 Week 3"/>
    <d v="2023-10-15T00:00:00"/>
    <s v="October 23 Week 3"/>
    <m/>
    <s v=""/>
    <s v="YTL"/>
    <s v=" "/>
    <s v=" "/>
    <x v="7"/>
    <s v="9. EPC Ready"/>
    <s v="9. EPC Ready"/>
    <m/>
  </r>
  <r>
    <s v="PHCORT493"/>
    <n v="339"/>
    <s v="D. Pharma Format"/>
    <s v="Pharma Format"/>
    <x v="9"/>
    <s v="Refit"/>
    <s v="North"/>
    <x v="4"/>
    <s v="Punjab"/>
    <s v="SP Pharma Jaggi Complex Sirhind"/>
    <s v="SIRHIND -FATEGARH SAHIB"/>
    <n v="408"/>
    <s v="NETM9QB7J00"/>
    <m/>
    <d v="2023-10-08T00:00:00"/>
    <s v="October 23 Week 2"/>
    <d v="2023-10-08T00:00:00"/>
    <s v="October 23 Week 2"/>
    <n v="7"/>
    <d v="2023-10-15T00:00:00"/>
    <s v="October 23 Week 3"/>
    <d v="2023-10-15T00:00:00"/>
    <s v="October 23 Week 3"/>
    <m/>
    <s v=""/>
    <s v="YTL"/>
    <s v=" "/>
    <s v=" "/>
    <x v="7"/>
    <s v="9. EPC Ready"/>
    <s v="9. EPC Ready"/>
    <m/>
  </r>
  <r>
    <s v="PHCORT495"/>
    <n v="340"/>
    <s v="D. Pharma Format"/>
    <s v="Pharma Format"/>
    <x v="9"/>
    <s v="Refit"/>
    <s v="North"/>
    <x v="4"/>
    <s v="Rajasthan"/>
    <s v="GF Patta No 15 Misal No 50/2005-2006  , Tehsil - Phagl Dist - Jaipur , Patta No 92 Village - Renwal  , PHAGI , 303904"/>
    <s v="PHAGI"/>
    <n v="400"/>
    <s v="NETMRQEZO00"/>
    <s v="Dipesh Chavda-7043349558"/>
    <d v="2023-07-25T00:00:00"/>
    <s v="July 23 Week 4"/>
    <d v="2023-07-25T00:00:00"/>
    <s v="July 23 Week 4"/>
    <n v="7"/>
    <d v="2023-08-01T00:00:00"/>
    <s v="August 23 Week 1"/>
    <d v="2023-08-05T00:00:00"/>
    <s v="August 23 Week 1"/>
    <m/>
    <s v=""/>
    <s v="YTL"/>
    <s v=" "/>
    <s v=" "/>
    <x v="7"/>
    <s v="9. EPC Ready"/>
    <s v="9. EPC Ready"/>
    <m/>
  </r>
  <r>
    <s v="PHCOAS496"/>
    <n v="341"/>
    <s v="D. Pharma Format"/>
    <s v="Pharma Format"/>
    <x v="9"/>
    <s v="Refit"/>
    <s v="South"/>
    <x v="6"/>
    <s v="Orissa"/>
    <s v="Nayak Building Anta Chhaka Po Jayanagar  , Dist Korraput , Beside Bhoot Nath Mandir Jaypore  , JEYPUR , 764005"/>
    <s v="JEYPUR"/>
    <n v="344"/>
    <s v="NETMOQBWY00"/>
    <s v="Mr Balaram Sahu-9123462469"/>
    <d v="2023-10-12T00:00:00"/>
    <s v="October 23 Week 2"/>
    <d v="2023-10-12T00:00:00"/>
    <s v="October 23 Week 2"/>
    <n v="7"/>
    <d v="2023-10-19T00:00:00"/>
    <s v="October 23 Week 3"/>
    <d v="2023-10-30T00:00:00"/>
    <s v="October 23 Week 5"/>
    <m/>
    <s v=""/>
    <s v="YTL"/>
    <s v=" "/>
    <s v=" "/>
    <x v="7"/>
    <s v="9. EPC Ready"/>
    <s v="9. EPC Ready"/>
    <m/>
  </r>
  <r>
    <s v="PHCORT498"/>
    <n v="342"/>
    <s v="D. Pharma Format"/>
    <s v="Pharma Format"/>
    <x v="9"/>
    <s v="Refit"/>
    <s v="North"/>
    <x v="4"/>
    <s v="Punjab"/>
    <s v="Garg Complex Badbar Road  , Longowal Sangrur , Near Azaz Mandi  , LONGOWAL , 148106"/>
    <s v="LONGOWAL"/>
    <n v="400"/>
    <s v="NETM9QGIE00"/>
    <m/>
    <d v="2023-11-23T00:00:00"/>
    <s v="November 23 Week 4"/>
    <d v="2023-11-23T00:00:00"/>
    <s v="November 23 Week 4"/>
    <n v="7"/>
    <d v="2023-11-30T00:00:00"/>
    <s v="November 23 Week 5"/>
    <d v="2023-12-27T00:00:00"/>
    <s v="December 23 Week 4"/>
    <m/>
    <s v=""/>
    <s v="YTL"/>
    <s v=" "/>
    <s v=" "/>
    <x v="7"/>
    <s v="9. EPC Ready"/>
    <s v="9. EPC Ready"/>
    <m/>
  </r>
  <r>
    <s v="PHCORT499"/>
    <n v="343"/>
    <s v="D. Pharma Format"/>
    <s v="Pharma Format"/>
    <x v="9"/>
    <s v="Refit"/>
    <s v="West"/>
    <x v="4"/>
    <s v="GUJARAT"/>
    <s v="Jasdan - Rajkot Bypass Circle,_x000a_Jasdan - 360 050_x000a_"/>
    <s v="JASDAN"/>
    <n v="400"/>
    <s v="NETMGQ4GL00"/>
    <s v="Bhargav Joshi -9099045482"/>
    <d v="2023-09-01T00:00:00"/>
    <s v="September 23 Week 1"/>
    <d v="2023-09-01T00:00:00"/>
    <s v="September 23 Week 1"/>
    <n v="7"/>
    <d v="2023-09-08T00:00:00"/>
    <s v="September 23 Week 2"/>
    <d v="2023-09-25T00:00:00"/>
    <s v="September 23 Week 4"/>
    <m/>
    <s v=""/>
    <s v="YTL"/>
    <s v=" "/>
    <s v=" "/>
    <x v="7"/>
    <s v="9. EPC Ready"/>
    <s v="9. EPC Ready"/>
    <m/>
  </r>
  <r>
    <s v="PHCOSD501"/>
    <n v="344"/>
    <s v="D. Pharma Format"/>
    <s v="Pharma Format"/>
    <x v="9"/>
    <s v="Refit"/>
    <s v="East"/>
    <x v="5"/>
    <s v="Assam &amp; NE"/>
    <s v="Gf Dag No 449 &amp; 450  , Town Iv Part Mouza Joypur Naharkatia , Under Patta No 266 Village Naharkatia  , DIBRUGARH , 786610"/>
    <s v="DIBRUGARH"/>
    <n v="413"/>
    <s v="NETMFQ3I200"/>
    <s v="Suman Das-7044069904"/>
    <d v="2023-10-17T00:00:00"/>
    <s v="October 23 Week 3"/>
    <d v="2023-10-17T00:00:00"/>
    <s v="October 23 Week 3"/>
    <n v="7"/>
    <d v="2023-10-24T00:00:00"/>
    <s v="October 23 Week 4"/>
    <d v="2024-01-11T00:00:00"/>
    <s v="January 24 Week 2"/>
    <m/>
    <s v=""/>
    <s v="YTL"/>
    <s v=" "/>
    <s v=" "/>
    <x v="7"/>
    <s v="9. EPC Ready"/>
    <s v="9. EPC Ready"/>
    <m/>
  </r>
  <r>
    <s v="PHCOKC502"/>
    <n v="345"/>
    <s v="D. Pharma Format"/>
    <s v="Pharma Format"/>
    <x v="9"/>
    <s v="Refit"/>
    <s v="North"/>
    <x v="4"/>
    <s v="Punjab"/>
    <s v="Mannat Tower Landran  , Chunni Kalna Mohali , Fatehgarh Road Opp Sbi Bank  , chunni kalan , 140307"/>
    <s v="CHUNNI KALNA"/>
    <n v="400"/>
    <s v="NETM9QB3T00"/>
    <s v="Yogesh Kapoor-7888699608"/>
    <d v="2023-10-20T00:00:00"/>
    <s v="October 23 Week 3"/>
    <d v="2023-10-20T00:00:00"/>
    <s v="October 23 Week 3"/>
    <n v="7"/>
    <d v="2023-10-27T00:00:00"/>
    <s v="October 23 Week 4"/>
    <d v="2023-10-30T00:00:00"/>
    <s v="October 23 Week 5"/>
    <m/>
    <s v=""/>
    <s v="YTL"/>
    <s v=" "/>
    <s v=" "/>
    <x v="7"/>
    <s v="9. EPC Ready"/>
    <s v="9. EPC Ready"/>
    <m/>
  </r>
  <r>
    <s v="PHSmarS503"/>
    <n v="346"/>
    <s v="D. Pharma Format"/>
    <s v="Pharma Format"/>
    <x v="9"/>
    <s v="Refit"/>
    <s v="South"/>
    <x v="6"/>
    <s v="Andhra Pradesh"/>
    <s v="SP Pharma Devi Mahal Tallarevu"/>
    <s v="THALLAREVU"/>
    <n v="400"/>
    <s v="NETMAQ6KF00"/>
    <s v="Mr. Sudhakar Veerla"/>
    <d v="2023-09-08T00:00:00"/>
    <s v="September 23 Week 2"/>
    <d v="2023-09-08T00:00:00"/>
    <s v="September 23 Week 2"/>
    <n v="7"/>
    <d v="2023-09-15T00:00:00"/>
    <s v="September 23 Week 3"/>
    <d v="2023-09-22T00:00:00"/>
    <s v="September 23 Week 4"/>
    <m/>
    <s v=""/>
    <s v="YTL"/>
    <s v=" "/>
    <s v=" "/>
    <x v="7"/>
    <s v="9. EPC Ready"/>
    <s v="9. EPC Ready"/>
    <m/>
  </r>
  <r>
    <s v="PHCORT503"/>
    <n v="347"/>
    <s v="D. Pharma Format"/>
    <s v="Pharma Format"/>
    <x v="9"/>
    <s v="Refit"/>
    <s v="North"/>
    <x v="4"/>
    <s v="Rajasthan"/>
    <s v="GF Patta No 550 Ward No 08 23  , Suratgarh Shri Ganganagar , Bhadoper Road Peeple Chowk  , SURATGARH , 335804"/>
    <s v="SURATGARH"/>
    <n v="400"/>
    <s v="NETMRQB9J00"/>
    <s v="Sujeet Kumar - 9631476696/Haresh Patil"/>
    <d v="2023-07-25T00:00:00"/>
    <s v="July 23 Week 4"/>
    <d v="2023-07-25T00:00:00"/>
    <s v="July 23 Week 4"/>
    <n v="7"/>
    <d v="2023-08-01T00:00:00"/>
    <s v="August 23 Week 1"/>
    <d v="2023-08-05T00:00:00"/>
    <s v="August 23 Week 1"/>
    <m/>
    <s v=""/>
    <s v="YTL"/>
    <s v=" "/>
    <s v=" "/>
    <x v="7"/>
    <s v="9. EPC Ready"/>
    <s v="9. EPC Ready"/>
    <m/>
  </r>
  <r>
    <s v="PHSmarN506"/>
    <n v="348"/>
    <s v="D. Pharma Format"/>
    <s v="Pharma Format"/>
    <x v="9"/>
    <s v="Refit"/>
    <s v="North"/>
    <x v="4"/>
    <s v="Uttar Pradesh"/>
    <s v="BACHPAN PLAY SCHOOL MOH BAHADURGANJ KASBA TEHSIL  MARKET ROAD TILHAR DISST SHAJAHANPUR UP"/>
    <s v="Tilhar"/>
    <n v="400"/>
    <s v="NETMUQFYS00"/>
    <s v="Abhay Srivastav-9305109175"/>
    <d v="2023-12-01T00:00:00"/>
    <s v="December 23 Week 1"/>
    <d v="2023-12-01T00:00:00"/>
    <s v="December 23 Week 1"/>
    <n v="7"/>
    <d v="2023-12-08T00:00:00"/>
    <s v="December 23 Week 2"/>
    <d v="2023-12-15T00:00:00"/>
    <s v="December 23 Week 3"/>
    <m/>
    <s v=""/>
    <s v="YTL"/>
    <s v=" "/>
    <s v=" "/>
    <x v="7"/>
    <s v="9. EPC Ready"/>
    <e v="#N/A"/>
    <m/>
  </r>
  <r>
    <s v="PHCORT506"/>
    <n v="349"/>
    <s v="D. Pharma Format"/>
    <s v="Pharma Format"/>
    <x v="9"/>
    <s v="Refit"/>
    <s v="North"/>
    <x v="4"/>
    <s v="Punjab"/>
    <s v="GF Batheja Complex Plot No 16 17 18 Opp  , No 194347 Vill Nelpur Tehsil Rajpura , New Grain Market Khasra No 291322 Khatta , Dist Patiala , RAJPURA , 140401"/>
    <s v="RAJPURA"/>
    <n v="400"/>
    <s v="NETM9QB2F00"/>
    <m/>
    <d v="2023-11-23T00:00:00"/>
    <s v="November 23 Week 4"/>
    <d v="2023-11-23T00:00:00"/>
    <s v="November 23 Week 4"/>
    <n v="7"/>
    <d v="2023-11-30T00:00:00"/>
    <s v="November 23 Week 5"/>
    <d v="2023-12-15T00:00:00"/>
    <s v="December 23 Week 3"/>
    <m/>
    <s v=""/>
    <s v="YTL"/>
    <s v=" "/>
    <s v=" "/>
    <x v="7"/>
    <s v="9. EPC Ready"/>
    <s v="9. EPC Ready"/>
    <m/>
  </r>
  <r>
    <s v="PHSmarS507"/>
    <n v="350"/>
    <s v="D. Pharma Format"/>
    <s v="Pharma Format"/>
    <x v="9"/>
    <s v="Refit"/>
    <s v="South"/>
    <x v="6"/>
    <s v="Andhra Pradesh"/>
    <s v="SP Pharma NRT Road Vinukonda"/>
    <s v="Vinukonda"/>
    <n v="400"/>
    <s v="NETMAQB7P00"/>
    <m/>
    <d v="2023-11-07T00:00:00"/>
    <s v="November 23 Week 1"/>
    <d v="2023-11-07T00:00:00"/>
    <s v="November 23 Week 1"/>
    <n v="7"/>
    <d v="2023-11-14T00:00:00"/>
    <s v="November 23 Week 2"/>
    <d v="2023-11-09T00:00:00"/>
    <s v="November 23 Week 2"/>
    <m/>
    <s v=""/>
    <s v="YTL"/>
    <s v=" "/>
    <s v=" "/>
    <x v="7"/>
    <s v="9. EPC Ready"/>
    <s v="9. EPC Ready"/>
    <m/>
  </r>
  <r>
    <s v="PHCORT507"/>
    <n v="351"/>
    <s v="D. Pharma Format"/>
    <s v="Pharma Format"/>
    <x v="9"/>
    <s v="Refit"/>
    <s v="North"/>
    <x v="4"/>
    <s v="Rajasthan"/>
    <s v="Sangam Residency  , Bharatpur , Near Bus Stand Bayana  , BAYANA , 321401"/>
    <s v="BAYANA"/>
    <n v="400"/>
    <s v="NETMRQB6I00"/>
    <m/>
    <d v="2023-10-08T00:00:00"/>
    <s v="October 23 Week 2"/>
    <d v="2023-10-08T00:00:00"/>
    <s v="October 23 Week 2"/>
    <n v="7"/>
    <d v="2023-10-15T00:00:00"/>
    <s v="October 23 Week 3"/>
    <d v="2023-10-15T00:00:00"/>
    <s v="October 23 Week 3"/>
    <m/>
    <s v=""/>
    <s v="YTL"/>
    <s v=" "/>
    <s v=" "/>
    <x v="7"/>
    <s v="9. EPC Ready"/>
    <s v="9. EPC Ready"/>
    <m/>
  </r>
  <r>
    <s v="PHCOSD508"/>
    <n v="352"/>
    <s v="D. Pharma Format"/>
    <s v="Pharma Format"/>
    <x v="9"/>
    <s v="Refit"/>
    <s v="East"/>
    <x v="5"/>
    <s v="West Bengal"/>
    <s v="Domohani Baar Po Domohani Bazar  , Paschim Bardhaman , Ps Barabani Barabani  , Barabani , 713334"/>
    <s v="Barabani"/>
    <n v="400"/>
    <s v="NETMWQB5C00"/>
    <m/>
    <d v="2023-11-06T00:00:00"/>
    <s v="November 23 Week 1"/>
    <d v="2023-11-06T00:00:00"/>
    <s v="November 23 Week 1"/>
    <n v="7"/>
    <d v="2023-11-13T00:00:00"/>
    <s v="November 23 Week 2"/>
    <d v="2023-11-09T00:00:00"/>
    <s v="November 23 Week 2"/>
    <m/>
    <s v=""/>
    <s v="YTL"/>
    <s v=" "/>
    <s v=" "/>
    <x v="7"/>
    <s v="9. EPC Ready"/>
    <s v="9. EPC Ready"/>
    <m/>
  </r>
  <r>
    <s v="PHSmarS512"/>
    <n v="353"/>
    <s v="D. Pharma Format"/>
    <s v="Pharma Format"/>
    <x v="9"/>
    <s v="Refit"/>
    <s v="South"/>
    <x v="6"/>
    <s v="Andhra Pradesh"/>
    <s v="SP KVR Towers Kotturu"/>
    <s v="Kotturu "/>
    <n v="517"/>
    <s v="NETMAQBSK00"/>
    <s v="Mr. Sudhakar Veerla"/>
    <d v="2023-09-20T00:00:00"/>
    <s v="September 23 Week 3"/>
    <d v="2023-09-20T00:00:00"/>
    <s v="September 23 Week 3"/>
    <n v="7"/>
    <d v="2023-09-27T00:00:00"/>
    <s v="September 23 Week 4"/>
    <d v="2023-12-01T00:00:00"/>
    <s v="December 23 Week 1"/>
    <m/>
    <s v=""/>
    <s v="YTL"/>
    <s v=" "/>
    <s v=" "/>
    <x v="7"/>
    <s v="9. EPC Ready"/>
    <s v="9. EPC Ready"/>
    <m/>
  </r>
  <r>
    <s v="PHCOKC512"/>
    <n v="354"/>
    <s v="D. Pharma Format"/>
    <s v="Pharma Format"/>
    <x v="9"/>
    <s v="Refit"/>
    <s v="West"/>
    <x v="4"/>
    <s v="GUJARAT"/>
    <s v="Crystal Arcade GF Near Reliance  , Road Dhoraji , Trends Opp Tali Hospital Junagadh  , DHORAJI , 360410"/>
    <s v="DHORAJI"/>
    <n v="200"/>
    <s v="NETMGQBTC00"/>
    <m/>
    <d v="2023-10-08T00:00:00"/>
    <s v="October 23 Week 2"/>
    <d v="2023-10-08T00:00:00"/>
    <s v="October 23 Week 2"/>
    <n v="7"/>
    <d v="2023-10-15T00:00:00"/>
    <s v="October 23 Week 3"/>
    <d v="2023-10-15T00:00:00"/>
    <s v="October 23 Week 3"/>
    <m/>
    <s v=""/>
    <s v="YTL"/>
    <s v=" "/>
    <s v=" "/>
    <x v="7"/>
    <s v="9. EPC Ready"/>
    <s v="9. EPC Ready"/>
    <m/>
  </r>
  <r>
    <s v="PHCOKC514"/>
    <n v="355"/>
    <s v="D. Pharma Format"/>
    <s v="Pharma Format"/>
    <x v="9"/>
    <s v="Refit"/>
    <s v="West"/>
    <x v="4"/>
    <s v="GUJARAT"/>
    <s v="Shop No 95 To 100  , Ganeshpura Modasa , Gf Opp Anjanta Complex  , SABARKANTHA , 383315"/>
    <s v="SABARKANTHA"/>
    <n v="200"/>
    <s v="NETMGQ1U700"/>
    <m/>
    <d v="2023-10-08T00:00:00"/>
    <s v="October 23 Week 2"/>
    <d v="2023-10-08T00:00:00"/>
    <s v="October 23 Week 2"/>
    <n v="7"/>
    <d v="2023-10-15T00:00:00"/>
    <s v="October 23 Week 3"/>
    <d v="2023-10-15T00:00:00"/>
    <s v="October 23 Week 3"/>
    <m/>
    <s v=""/>
    <s v="YTL"/>
    <s v=" "/>
    <s v=" "/>
    <x v="7"/>
    <s v="9. EPC Ready"/>
    <s v="9. EPC Ready"/>
    <m/>
  </r>
  <r>
    <s v="PHCORT515"/>
    <n v="356"/>
    <s v="D. Pharma Format"/>
    <s v="Pharma Format"/>
    <x v="9"/>
    <s v="Refit"/>
    <s v="North"/>
    <x v="4"/>
    <s v="Rajasthan"/>
    <s v="GF Patta No 95 96 97  ,  , Ward No 15 Lunkaransar Bikaner  , LUNKARANSAR , 334603"/>
    <s v="Bikaner"/>
    <n v="400"/>
    <s v="NETMRQF4Y00"/>
    <s v="Haresh Patil-9909977160"/>
    <d v="2023-07-25T00:00:00"/>
    <s v="July 23 Week 4"/>
    <d v="2023-07-25T00:00:00"/>
    <s v="July 23 Week 4"/>
    <n v="7"/>
    <d v="2023-08-01T00:00:00"/>
    <s v="August 23 Week 1"/>
    <d v="2023-08-08T00:00:00"/>
    <s v="August 23 Week 2"/>
    <m/>
    <s v=""/>
    <s v="YTL"/>
    <s v=" "/>
    <s v=" "/>
    <x v="7"/>
    <s v="9. EPC Ready"/>
    <s v="9. EPC Ready"/>
    <m/>
  </r>
  <r>
    <s v="PHSmarE516"/>
    <n v="357"/>
    <s v="D. Pharma Format"/>
    <s v="Pharma Format"/>
    <x v="9"/>
    <s v="Refit"/>
    <s v="East"/>
    <x v="5"/>
    <s v="West Bengal"/>
    <s v="SP Pharma Haroa"/>
    <s v="Haroa"/>
    <n v="400"/>
    <s v="NETMWQDOU00"/>
    <m/>
    <d v="2023-11-08T00:00:00"/>
    <s v="November 23 Week 2"/>
    <d v="2023-11-08T00:00:00"/>
    <s v="November 23 Week 2"/>
    <n v="7"/>
    <d v="2023-11-15T00:00:00"/>
    <s v="November 23 Week 3"/>
    <d v="2023-11-11T00:00:00"/>
    <s v="November 23 Week 2"/>
    <m/>
    <s v=""/>
    <s v="YTL"/>
    <s v=" "/>
    <s v=" "/>
    <x v="7"/>
    <s v="9. EPC Ready"/>
    <s v="9. EPC Ready"/>
    <m/>
  </r>
  <r>
    <s v="PHSmarS517"/>
    <n v="358"/>
    <s v="D. Pharma Format"/>
    <s v="Pharma Format"/>
    <x v="9"/>
    <s v="Refit"/>
    <s v="South"/>
    <x v="3"/>
    <s v="Kerala"/>
    <s v="SP PHARMA Durga Tower Peyadu"/>
    <s v="Peyadu"/>
    <n v="401"/>
    <s v="NETMVQDCM00"/>
    <m/>
    <d v="2023-11-03T00:00:00"/>
    <s v="November 23 Week 1"/>
    <d v="2023-11-03T00:00:00"/>
    <s v="November 23 Week 1"/>
    <n v="7"/>
    <d v="2023-11-10T00:00:00"/>
    <s v="November 23 Week 2"/>
    <d v="2023-11-22T00:00:00"/>
    <s v="November 23 Week 4"/>
    <m/>
    <s v=""/>
    <s v="YTL"/>
    <s v=" "/>
    <s v=" "/>
    <x v="7"/>
    <s v="9. EPC Ready"/>
    <s v="9. EPC Ready"/>
    <m/>
  </r>
  <r>
    <s v="PHCOSD517"/>
    <n v="359"/>
    <s v="D. Pharma Format"/>
    <s v="Pharma Format"/>
    <x v="9"/>
    <s v="Refit"/>
    <s v="East"/>
    <x v="5"/>
    <s v="West Bengal"/>
    <s v="Rashbehari Nayak Sarani S 2 South  , Durgapur Paschim Barddaman , Ramkrishna Pally Po Benachity Ps  , DURGAPUR , 713213"/>
    <s v="DURGAPUR"/>
    <n v="400"/>
    <s v="NETMWQFYV00"/>
    <m/>
    <d v="2023-11-12T00:00:00"/>
    <s v="November 23 Week 2"/>
    <d v="2023-11-12T00:00:00"/>
    <s v="November 23 Week 2"/>
    <n v="7"/>
    <d v="2023-11-19T00:00:00"/>
    <s v="November 23 Week 3"/>
    <d v="2023-11-17T00:00:00"/>
    <s v="November 23 Week 3"/>
    <m/>
    <s v=""/>
    <s v="YTL"/>
    <s v=" "/>
    <s v=" "/>
    <x v="7"/>
    <s v="9. EPC Ready"/>
    <s v="9. EPC Ready"/>
    <m/>
  </r>
  <r>
    <s v="PHCORT518"/>
    <n v="360"/>
    <s v="D. Pharma Format"/>
    <s v="Pharma Format"/>
    <x v="9"/>
    <s v="Refit"/>
    <s v="North"/>
    <x v="4"/>
    <s v="Punjab"/>
    <s v="President Market Barnala Road  , Dhanaula Barnala , Near Sbi Bank  , DHANAULA , 148105"/>
    <s v="Barnala"/>
    <n v="400"/>
    <s v="NETM9QGGS00"/>
    <m/>
    <d v="2023-10-08T00:00:00"/>
    <s v="October 23 Week 2"/>
    <d v="2023-10-08T00:00:00"/>
    <s v="October 23 Week 2"/>
    <n v="7"/>
    <d v="2023-10-15T00:00:00"/>
    <s v="October 23 Week 3"/>
    <d v="2023-10-15T00:00:00"/>
    <s v="October 23 Week 3"/>
    <m/>
    <s v=""/>
    <s v="YTL"/>
    <s v=" "/>
    <s v=" "/>
    <x v="7"/>
    <s v="9. EPC Ready"/>
    <s v="9. EPC Ready"/>
    <m/>
  </r>
  <r>
    <s v="PHCOAS519"/>
    <n v="361"/>
    <s v="D. Pharma Format"/>
    <s v="Pharma Format"/>
    <x v="9"/>
    <s v="Refit"/>
    <s v="South"/>
    <x v="3"/>
    <s v="Karnataka"/>
    <s v="Dhanu Thyagraja  , Mandya , Fort Road Malavalli  , MALAVALLI , 571430"/>
    <s v="MALAVALLI"/>
    <n v="400"/>
    <s v="NETMKQF4O00"/>
    <s v="Sreekanth.Bijjhalli-9900039061"/>
    <d v="2023-10-19T00:00:00"/>
    <s v="October 23 Week 3"/>
    <d v="2023-10-19T00:00:00"/>
    <s v="October 23 Week 3"/>
    <n v="7"/>
    <d v="2023-10-26T00:00:00"/>
    <s v="October 23 Week 4"/>
    <d v="2023-11-10T00:00:00"/>
    <s v="November 23 Week 2"/>
    <m/>
    <s v=""/>
    <s v="YTL"/>
    <s v=" "/>
    <s v=" "/>
    <x v="7"/>
    <s v="9. EPC Ready"/>
    <s v="9. EPC Ready"/>
    <m/>
  </r>
  <r>
    <s v="PHCORT520"/>
    <n v="362"/>
    <s v="D. Pharma Format"/>
    <s v="Pharma Format"/>
    <x v="9"/>
    <s v="Refit"/>
    <s v="North"/>
    <x v="4"/>
    <s v="Punjab"/>
    <s v="Jasvinder Complex Block No 14 F7 9  , Road Rajpura Patiala , Gurudwara Singh Sabha  , RAJPURA , 140401"/>
    <s v="RAJPURA"/>
    <n v="400"/>
    <s v="NETM9QFZJ00"/>
    <m/>
    <d v="2023-11-23T00:00:00"/>
    <s v="November 23 Week 4"/>
    <d v="2023-11-23T00:00:00"/>
    <s v="November 23 Week 4"/>
    <n v="7"/>
    <d v="2023-11-30T00:00:00"/>
    <s v="November 23 Week 5"/>
    <d v="2023-12-15T00:00:00"/>
    <s v="December 23 Week 3"/>
    <m/>
    <s v=""/>
    <s v="YTL"/>
    <s v=" "/>
    <s v=" "/>
    <x v="7"/>
    <s v="9. EPC Ready"/>
    <s v="9. EPC Ready"/>
    <m/>
  </r>
  <r>
    <s v="PHCOSD521"/>
    <n v="363"/>
    <s v="D. Pharma Format"/>
    <s v="Pharma Format"/>
    <x v="9"/>
    <s v="Refit"/>
    <s v="East"/>
    <x v="5"/>
    <s v="West Bengal"/>
    <s v="Ornate Complex Na Vill Bidhan Nagar Po  , Siliguri Darjeeling , Bidhan Nagar Ps Phansidewa  , SILIGURI , 734425"/>
    <s v="SILIGURI"/>
    <n v="400"/>
    <s v="NETMWQGIK00"/>
    <m/>
    <d v="2023-11-02T00:00:00"/>
    <s v="November 23 Week 1"/>
    <d v="2023-11-02T00:00:00"/>
    <s v="November 23 Week 1"/>
    <n v="7"/>
    <d v="2023-11-09T00:00:00"/>
    <s v="November 23 Week 2"/>
    <d v="2023-11-07T00:00:00"/>
    <s v="November 23 Week 1"/>
    <m/>
    <s v=""/>
    <s v="YTL"/>
    <s v=" "/>
    <s v=" "/>
    <x v="7"/>
    <s v="9. EPC Ready"/>
    <s v="9. EPC Ready"/>
    <m/>
  </r>
  <r>
    <s v="PHCOAS524"/>
    <n v="364"/>
    <s v="D. Pharma Format"/>
    <s v="Pharma Format"/>
    <x v="9"/>
    <s v="Refit"/>
    <s v="South"/>
    <x v="3"/>
    <s v="Tamil Nadu"/>
    <s v="GF, Reliance Smart Point, Vishnu Arcade  , Bothside Buildings, Rajapalayam , No 80, Mudangiar Road , Dist - Virudhunagar , RAJAPALAYAM , 626117"/>
    <s v="RAJAPALAYAM"/>
    <n v="400"/>
    <s v="NETMTQB2U00"/>
    <m/>
    <d v="2023-12-19T00:00:00"/>
    <s v="December 23 Week 3"/>
    <d v="2023-12-19T00:00:00"/>
    <s v="December 23 Week 3"/>
    <n v="7"/>
    <d v="2023-12-26T00:00:00"/>
    <s v="December 23 Week 4"/>
    <d v="2024-01-08T00:00:00"/>
    <s v="January 24 Week 2"/>
    <m/>
    <s v=""/>
    <s v="YTL"/>
    <s v=" "/>
    <s v=" "/>
    <x v="7"/>
    <s v="9. EPC Ready"/>
    <s v="9. EPC Ready"/>
    <m/>
  </r>
  <r>
    <s v="PHCORT525"/>
    <n v="365"/>
    <s v="D. Pharma Format"/>
    <s v="Pharma Format"/>
    <x v="9"/>
    <s v="Refit"/>
    <s v="North"/>
    <x v="4"/>
    <s v="Punjab"/>
    <s v="Gf Jrt Tower Dhangu Road Near  , Dist Gurdaspur Punjab , Tilak Nursing Home Pathankot  , PATHANKOT , 145001"/>
    <s v="PATHANKOT"/>
    <n v="401"/>
    <s v="NETM9QLAA00"/>
    <s v="Yogesh Kapoor-7888699608"/>
    <d v="2023-08-31T00:00:00"/>
    <s v="August 23 Week 5"/>
    <d v="2023-08-31T00:00:00"/>
    <s v="August 23 Week 5"/>
    <n v="7"/>
    <d v="2023-09-07T00:00:00"/>
    <s v="September 23 Week 1"/>
    <d v="2023-09-18T00:00:00"/>
    <s v="September 23 Week 3"/>
    <m/>
    <s v=""/>
    <s v="YTL"/>
    <s v=" "/>
    <s v=" "/>
    <x v="7"/>
    <s v="9. EPC Ready"/>
    <s v="9. EPC Ready"/>
    <m/>
  </r>
  <r>
    <s v="PHCORT527"/>
    <n v="366"/>
    <s v="D. Pharma Format"/>
    <s v="Pharma Format"/>
    <x v="9"/>
    <s v="Refit"/>
    <s v="North"/>
    <x v="4"/>
    <s v="Punjab"/>
    <s v="Gf Garg Complex Property No B 04  , Opp Hp Gas Agency Dis Mansa , B 041056 1 Sirsa Road  , Mansa , 151507"/>
    <s v="Mansa"/>
    <n v="400"/>
    <s v="NETM9QI1Q00"/>
    <s v="Surender Dhaka-7009328484"/>
    <d v="2023-09-26T00:00:00"/>
    <s v="September 23 Week 4"/>
    <d v="2023-09-26T00:00:00"/>
    <s v="September 23 Week 4"/>
    <n v="7"/>
    <d v="2023-10-03T00:00:00"/>
    <s v="October 23 Week 1"/>
    <d v="2023-10-06T00:00:00"/>
    <s v="October 23 Week 1"/>
    <m/>
    <s v=""/>
    <s v="YTL"/>
    <s v=" "/>
    <s v=" "/>
    <x v="7"/>
    <s v="9. EPC Ready"/>
    <s v="9. EPC Ready"/>
    <m/>
  </r>
  <r>
    <s v="PHSmarN527"/>
    <n v="367"/>
    <s v="D. Pharma Format"/>
    <s v="Pharma Format"/>
    <x v="9"/>
    <s v="Refit"/>
    <s v="North"/>
    <x v="4"/>
    <s v="Rajasthan"/>
    <s v="Nr. Nehru Park Bhawani Mandi Rajasthan 326502"/>
    <s v="BHAWANIMANDI"/>
    <n v="400"/>
    <s v="NETMRQRYY00"/>
    <s v="Mr.Balram Soni-8003293109"/>
    <d v="2024-01-05T00:00:00"/>
    <s v="January 24 Week 1"/>
    <d v="2024-01-05T00:00:00"/>
    <s v="January 24 Week 1"/>
    <n v="7"/>
    <d v="2024-01-12T00:00:00"/>
    <s v="January 24 Week 2"/>
    <d v="2024-01-28T00:00:00"/>
    <s v="January 24 Week 4"/>
    <m/>
    <s v=""/>
    <s v="YTL"/>
    <s v=" "/>
    <s v=" "/>
    <x v="7"/>
    <s v="9. EPC Ready"/>
    <s v="9. EPC Ready"/>
    <m/>
  </r>
  <r>
    <s v="PHCORT529"/>
    <n v="368"/>
    <s v="D. Pharma Format"/>
    <s v="Pharma Format"/>
    <x v="9"/>
    <s v="Refit"/>
    <s v="North"/>
    <x v="4"/>
    <s v="Uttar Pradesh"/>
    <s v="Gf House No 848 1 Plot No 2672  , Tehsil Chata Dist Mathura , Khasra No 846 Mauja Kosikalan  , KOSI KALAN , 281403"/>
    <s v="KOSI KALAN"/>
    <n v="400"/>
    <s v="NETMUQLBB00"/>
    <s v="Akhilesh K Singh-9910029870"/>
    <d v="2023-09-18T00:00:00"/>
    <s v="September 23 Week 3"/>
    <d v="2023-09-18T00:00:00"/>
    <s v="September 23 Week 3"/>
    <n v="7"/>
    <d v="2023-09-25T00:00:00"/>
    <s v="September 23 Week 4"/>
    <d v="2023-09-21T00:00:00"/>
    <s v="September 23 Week 3"/>
    <m/>
    <s v=""/>
    <s v="YTL"/>
    <s v=" "/>
    <s v=" "/>
    <x v="7"/>
    <s v="9. EPC Ready"/>
    <s v="9. EPC Ready"/>
    <m/>
  </r>
  <r>
    <s v="PHCORT530"/>
    <n v="369"/>
    <s v="D. Pharma Format"/>
    <s v="Pharma Format"/>
    <x v="9"/>
    <s v="Refit"/>
    <s v="North"/>
    <x v="4"/>
    <s v="Punjab"/>
    <s v="Gf Verma Complex Collage Road  , SANGRUR , Opp Bullet Agency  , SANGRUR , 148001"/>
    <s v="SANGRUR"/>
    <n v="400"/>
    <s v="NETM9QGQH00"/>
    <s v="Yogesh Kapoor-7888699608"/>
    <d v="2023-09-14T00:00:00"/>
    <s v="September 23 Week 2"/>
    <d v="2023-09-14T00:00:00"/>
    <s v="September 23 Week 2"/>
    <n v="7"/>
    <d v="2023-09-21T00:00:00"/>
    <s v="September 23 Week 3"/>
    <d v="2023-09-26T00:00:00"/>
    <s v="September 23 Week 4"/>
    <m/>
    <s v=""/>
    <s v="YTL"/>
    <s v=" "/>
    <s v=" "/>
    <x v="7"/>
    <s v="9. EPC Ready"/>
    <s v="9. EPC Ready"/>
    <m/>
  </r>
  <r>
    <s v="PHCOKC532"/>
    <n v="370"/>
    <s v="D. Pharma Format"/>
    <s v="Pharma Format"/>
    <x v="9"/>
    <s v="Refit"/>
    <s v="West"/>
    <x v="4"/>
    <s v="GUJARAT"/>
    <s v="Eklingji Parisar Shop No Gf 5 To 17  , Sanand , Near Eklingji Temple Eklingji Road  , AHMEDABAD , 382110"/>
    <s v="AHMEDABAD"/>
    <n v="414"/>
    <s v="NETMGQ1U800"/>
    <s v="Nilesh Shah-8128663526"/>
    <d v="2023-11-29T00:00:00"/>
    <s v="November 23 Week 5"/>
    <d v="2023-11-29T00:00:00"/>
    <s v="November 23 Week 5"/>
    <n v="7"/>
    <d v="2023-12-06T00:00:00"/>
    <s v="December 23 Week 1"/>
    <d v="2023-12-16T00:00:00"/>
    <s v="December 23 Week 3"/>
    <m/>
    <s v=""/>
    <s v="YTL"/>
    <s v=" "/>
    <s v=" "/>
    <x v="7"/>
    <s v="9. EPC Ready"/>
    <s v="9. EPC Ready"/>
    <m/>
  </r>
  <r>
    <s v="PHSmarE540"/>
    <n v="371"/>
    <s v="D. Pharma Format"/>
    <s v="Pharma Format"/>
    <x v="9"/>
    <s v="Refit"/>
    <s v="East"/>
    <x v="5"/>
    <s v="West Bengal"/>
    <s v="Ethelbari - Near BOI"/>
    <s v="Birpara"/>
    <n v="401"/>
    <s v="NETMWQBPF00"/>
    <m/>
    <d v="2023-10-06T00:00:00"/>
    <s v="October 23 Week 1"/>
    <d v="2023-10-06T00:00:00"/>
    <s v="October 23 Week 1"/>
    <n v="7"/>
    <d v="2023-10-13T00:00:00"/>
    <s v="October 23 Week 2"/>
    <d v="2023-12-22T00:00:00"/>
    <s v="December 23 Week 4"/>
    <m/>
    <s v=""/>
    <s v="YTL"/>
    <s v=" "/>
    <s v=" "/>
    <x v="7"/>
    <s v="9. EPC Ready"/>
    <s v="9. EPC Ready"/>
    <m/>
  </r>
  <r>
    <s v="PHCOSD1226"/>
    <n v="372"/>
    <s v="D. Pharma Format"/>
    <s v="Pharma Format"/>
    <x v="9"/>
    <s v="Refit"/>
    <s v="East"/>
    <x v="5"/>
    <s v="West Bengal"/>
    <s v="GF  Plot no 1/480 khatian No30/3 in  , SalboniADSR -Anandpur under sabloni , Mouza- Chakatrini  JL -401 Block&amp; PO &amp;PS  , Salboni , 721147"/>
    <s v="Salboni"/>
    <n v="371"/>
    <s v="NETMWQGFU00"/>
    <m/>
    <d v="2023-11-06T00:00:00"/>
    <s v="November 23 Week 1"/>
    <d v="2023-11-06T00:00:00"/>
    <s v="November 23 Week 1"/>
    <n v="7"/>
    <d v="2023-11-13T00:00:00"/>
    <s v="November 23 Week 2"/>
    <d v="2023-11-30T00:00:00"/>
    <s v="November 23 Week 5"/>
    <m/>
    <s v=""/>
    <s v="YTL"/>
    <s v=" "/>
    <s v=" "/>
    <x v="7"/>
    <s v="9. EPC Ready"/>
    <s v="9. EPC Ready"/>
    <m/>
  </r>
  <r>
    <s v="PHCOAS10497"/>
    <n v="373"/>
    <s v="D. Pharma Format"/>
    <s v="Pharma Format"/>
    <x v="9"/>
    <s v="Refit"/>
    <s v="South"/>
    <x v="1"/>
    <s v="Kerala"/>
    <s v="Alfiya Business Centre Abc Alamcode  , Thiruvananthapuram , Attingal Market Road  , ALAMCODE , 695102"/>
    <s v="ALAMCODE"/>
    <n v="400"/>
    <m/>
    <m/>
    <m/>
    <s v=""/>
    <m/>
    <s v=""/>
    <n v="0"/>
    <d v="1899-12-30T00:00:00"/>
    <s v=""/>
    <m/>
    <s v=""/>
    <m/>
    <s v=""/>
    <m/>
    <s v=" "/>
    <s v=" "/>
    <x v="0"/>
    <e v="#N/A"/>
    <s v="11. HOLD"/>
    <m/>
  </r>
  <r>
    <s v="PHCOSD10498"/>
    <n v="374"/>
    <s v="D. Pharma Format"/>
    <s v="Pharma Format"/>
    <x v="9"/>
    <s v="Refit"/>
    <s v="East"/>
    <x v="5"/>
    <s v="West Bengal"/>
    <s v="Arambagh Taltala Bazar  , Hooghly Nr B K Ray Super Market , Ward No 5 Po Ps Arambag  , ARAMBAG , 712601"/>
    <s v="Arambag"/>
    <n v="400"/>
    <m/>
    <m/>
    <m/>
    <s v=""/>
    <m/>
    <s v=""/>
    <n v="0"/>
    <d v="1899-12-30T00:00:00"/>
    <s v=""/>
    <m/>
    <s v=""/>
    <m/>
    <s v=""/>
    <m/>
    <s v=" "/>
    <s v=" "/>
    <x v="0"/>
    <e v="#N/A"/>
    <s v="11. HOLD"/>
    <m/>
  </r>
  <r>
    <s v="PHCOAS10499"/>
    <n v="375"/>
    <s v="D. Pharma Format"/>
    <s v="Pharma Format"/>
    <x v="9"/>
    <s v="Refit"/>
    <s v="South"/>
    <x v="1"/>
    <s v="Kerala"/>
    <s v="Chungath Building  , Chavara P O , N H 66  , KOLLAM , 690524"/>
    <s v="Chavera"/>
    <n v="400"/>
    <m/>
    <m/>
    <m/>
    <s v=""/>
    <m/>
    <s v=""/>
    <n v="0"/>
    <d v="1899-12-30T00:00:00"/>
    <s v=""/>
    <m/>
    <s v=""/>
    <m/>
    <s v=""/>
    <m/>
    <s v=" "/>
    <s v=" "/>
    <x v="0"/>
    <e v="#N/A"/>
    <s v="11. HOLD"/>
    <m/>
  </r>
  <r>
    <s v="PHCOSD10500"/>
    <n v="376"/>
    <s v="D. Pharma Format"/>
    <s v="Pharma Format"/>
    <x v="9"/>
    <s v="Refit"/>
    <s v="East"/>
    <x v="5"/>
    <s v="Assam &amp; NE"/>
    <s v="GF Hukuta Gaon Mouza  , Circle Duliajan Dist Dibrugarh , Tipling Tengakhat Revenue  , DULIAJAN , 786602"/>
    <s v="DHULIAJAN"/>
    <n v="401"/>
    <m/>
    <m/>
    <m/>
    <s v=""/>
    <m/>
    <s v=""/>
    <n v="0"/>
    <d v="1899-12-30T00:00:00"/>
    <s v=""/>
    <m/>
    <s v=""/>
    <m/>
    <s v=""/>
    <m/>
    <s v=" "/>
    <s v=" "/>
    <x v="0"/>
    <e v="#N/A"/>
    <s v="11. HOLD"/>
    <m/>
  </r>
  <r>
    <s v="PHCOSD10501"/>
    <n v="377"/>
    <s v="D. Pharma Format"/>
    <s v="Pharma Format"/>
    <x v="9"/>
    <s v="Refit"/>
    <s v="East"/>
    <x v="5"/>
    <s v="Assam &amp; NE"/>
    <s v="GF JSB Pavillion Dag no339 P P Patta  , Dibrugarh Dist Dibrugarh , 5 Old 13 New Niz Kadamini gaon Mouza  , DIBRUGARH , 786003"/>
    <s v="Dibrugarh"/>
    <n v="407"/>
    <m/>
    <m/>
    <m/>
    <s v=""/>
    <m/>
    <s v=""/>
    <n v="0"/>
    <d v="1899-12-30T00:00:00"/>
    <s v=""/>
    <m/>
    <s v=""/>
    <m/>
    <s v=""/>
    <m/>
    <s v=" "/>
    <s v=" "/>
    <x v="0"/>
    <e v="#N/A"/>
    <s v="11. HOLD"/>
    <m/>
  </r>
  <r>
    <s v="PHCOAS10502"/>
    <n v="378"/>
    <s v="D. Pharma Format"/>
    <s v="Pharma Format"/>
    <x v="9"/>
    <s v="Refit"/>
    <s v="South"/>
    <x v="1"/>
    <s v="Kerala"/>
    <s v="Vinayaka Plaza Near Kerala Gramin Bank  , Pathanamthitta , Mannadi Road Enathu Adoor  , Enathu , 691526"/>
    <s v="ENATHU"/>
    <n v="409"/>
    <m/>
    <m/>
    <m/>
    <s v=""/>
    <m/>
    <s v=""/>
    <n v="0"/>
    <d v="1899-12-30T00:00:00"/>
    <s v=""/>
    <m/>
    <s v=""/>
    <m/>
    <s v=""/>
    <m/>
    <s v=" "/>
    <s v=" "/>
    <x v="0"/>
    <e v="#N/A"/>
    <s v="11. HOLD"/>
    <m/>
  </r>
  <r>
    <s v="PHCOSD10503"/>
    <n v="379"/>
    <s v="D. Pharma Format"/>
    <s v="Pharma Format"/>
    <x v="9"/>
    <s v="Refit"/>
    <s v="East"/>
    <x v="5"/>
    <s v="Assam &amp; NE"/>
    <s v="GF Haryana Bhawan Narayan Nagar Dag No  , Kumarpara , 1438 &amp; 2104 Periodic Patta No 1209 , Mouza Guwahati Dist Kamrup , GUWAHATI , 781009"/>
    <s v="Guwahati"/>
    <n v="400"/>
    <m/>
    <m/>
    <m/>
    <s v=""/>
    <m/>
    <s v=""/>
    <n v="0"/>
    <d v="1899-12-30T00:00:00"/>
    <s v=""/>
    <m/>
    <s v=""/>
    <m/>
    <s v=""/>
    <m/>
    <s v=" "/>
    <s v=" "/>
    <x v="0"/>
    <e v="#N/A"/>
    <s v="11. HOLD"/>
    <m/>
  </r>
  <r>
    <s v="PHCOSD10504"/>
    <n v="380"/>
    <s v="D. Pharma Format"/>
    <s v="Pharma Format"/>
    <x v="9"/>
    <s v="Refit"/>
    <s v="East"/>
    <x v="5"/>
    <s v="Assam &amp; NE"/>
    <s v="GF Village No41 Chingamathak Patta 41 94  , Sbi Bank Manipur , Old 132 569 New Dag No 1204 1297 1204 , 1300 Sub Division &amp; Tehsil Lamphel Centr , IMPHAL , 795001"/>
    <s v="Imphal"/>
    <n v="400"/>
    <m/>
    <m/>
    <m/>
    <s v=""/>
    <m/>
    <s v=""/>
    <n v="0"/>
    <d v="1899-12-30T00:00:00"/>
    <s v=""/>
    <m/>
    <s v=""/>
    <m/>
    <s v=""/>
    <m/>
    <s v=" "/>
    <s v=" "/>
    <x v="0"/>
    <e v="#N/A"/>
    <s v="11. HOLD"/>
    <m/>
  </r>
  <r>
    <s v="PHCOSD10505"/>
    <n v="381"/>
    <s v="D. Pharma Format"/>
    <s v="Pharma Format"/>
    <x v="9"/>
    <s v="Refit"/>
    <s v="East"/>
    <x v="5"/>
    <s v="Assam &amp; NE"/>
    <s v="GFVilaage No26 Wangkheirakpam Leikai Sub  , Imphal East , Division Tehsil Porompat District  , IMPHAL , 795005"/>
    <s v="Imphal"/>
    <n v="395"/>
    <m/>
    <m/>
    <m/>
    <s v=""/>
    <m/>
    <s v=""/>
    <n v="0"/>
    <d v="1899-12-30T00:00:00"/>
    <s v=""/>
    <m/>
    <s v=""/>
    <m/>
    <s v=""/>
    <m/>
    <s v=" "/>
    <s v=" "/>
    <x v="0"/>
    <e v="#N/A"/>
    <s v="11. HOLD"/>
    <m/>
  </r>
  <r>
    <s v="PHCOSD10506"/>
    <n v="382"/>
    <s v="D. Pharma Format"/>
    <s v="Pharma Format"/>
    <x v="9"/>
    <s v="Refit"/>
    <s v="East"/>
    <x v="5"/>
    <s v="Assam &amp; NE"/>
    <s v="GF, Dag No 1542, Patta No 1019, Sonari  , Revenue Circle, Dist - Jorhat , Gaon, Mouza - Saraibai, Jorhat West  , SONARI , 785004"/>
    <s v="JORHAT"/>
    <n v="400"/>
    <s v="NETMFQGQL00"/>
    <m/>
    <d v="2023-11-20T00:00:00"/>
    <s v="November 23 Week 3"/>
    <d v="2023-11-20T00:00:00"/>
    <s v="November 23 Week 3"/>
    <n v="0"/>
    <d v="2023-11-20T00:00:00"/>
    <s v="November 23 Week 3"/>
    <d v="2023-11-27T00:00:00"/>
    <s v="November 23 Week 4"/>
    <m/>
    <s v=""/>
    <s v="YTL"/>
    <s v=" "/>
    <s v=" "/>
    <x v="7"/>
    <s v="9. EPC Ready"/>
    <s v="9. EPC Ready"/>
    <m/>
  </r>
  <r>
    <s v="PHCOAS10507"/>
    <n v="383"/>
    <s v="D. Pharma Format"/>
    <s v="Pharma Format"/>
    <x v="9"/>
    <s v="Refit"/>
    <s v="South"/>
    <x v="1"/>
    <s v="Tamil Nadu"/>
    <s v="GF Malar Complex Door No 37 A  , KVB Thanthonimalai Dist Karur , Collectorate Road Near  , KARUR , 639005"/>
    <s v="Karur"/>
    <n v="400"/>
    <m/>
    <m/>
    <m/>
    <s v=""/>
    <m/>
    <s v=""/>
    <n v="0"/>
    <d v="1899-12-30T00:00:00"/>
    <s v=""/>
    <m/>
    <s v=""/>
    <m/>
    <s v=""/>
    <m/>
    <s v=" "/>
    <s v=" "/>
    <x v="0"/>
    <e v="#N/A"/>
    <s v="11. HOLD"/>
    <m/>
  </r>
  <r>
    <s v="PHCOAS10508"/>
    <n v="384"/>
    <s v="D. Pharma Format"/>
    <s v="Pharma Format"/>
    <x v="9"/>
    <s v="Refit"/>
    <s v="South"/>
    <x v="1"/>
    <s v="Andhra Pradesh"/>
    <s v="Ground Floor SATHYA LAKSHMI COMPLEX  , Rural &amp; District- Ankapalle , Dno 1SYno 110/2NH16 MAIN ROAD KASIMKOTA  , KASIMKOTA , 531031"/>
    <s v="KASIMKOTA"/>
    <n v="427"/>
    <m/>
    <m/>
    <m/>
    <s v=""/>
    <m/>
    <s v=""/>
    <n v="0"/>
    <d v="1899-12-30T00:00:00"/>
    <s v=""/>
    <m/>
    <s v=""/>
    <m/>
    <s v=""/>
    <m/>
    <s v=" "/>
    <s v=" "/>
    <x v="0"/>
    <e v="#N/A"/>
    <s v="11. HOLD"/>
    <m/>
  </r>
  <r>
    <s v="PHCOBK10509"/>
    <n v="385"/>
    <s v="D. Pharma Format"/>
    <s v="Pharma Format"/>
    <x v="9"/>
    <s v="Refit"/>
    <s v="West"/>
    <x v="0"/>
    <s v="Maharashtra"/>
    <s v="Gat No 1 2 3 Plot No 01 Nira Baramati  , Malegaon Budruk Pune , Road Near Ss Computers  , MALEGAON , 413115"/>
    <s v="Malegaon"/>
    <n v="280"/>
    <m/>
    <m/>
    <m/>
    <s v=""/>
    <m/>
    <s v=""/>
    <n v="0"/>
    <d v="1899-12-30T00:00:00"/>
    <s v=""/>
    <m/>
    <s v=""/>
    <m/>
    <s v=""/>
    <m/>
    <s v=" "/>
    <s v=" "/>
    <x v="0"/>
    <e v="#N/A"/>
    <s v="11. HOLD"/>
    <m/>
  </r>
  <r>
    <s v="PHCOAS10510"/>
    <n v="386"/>
    <s v="D. Pharma Format"/>
    <s v="Pharma Format"/>
    <x v="9"/>
    <s v="Refit"/>
    <s v="South"/>
    <x v="1"/>
    <s v="Kerala"/>
    <s v="Satvikam Arcade Opp to Siva Parvathy  , Kottayam , Temple Mariapalli Natakom PO  , Nattakom , 686013"/>
    <s v="NATTAKOM"/>
    <n v="400"/>
    <m/>
    <m/>
    <m/>
    <s v=""/>
    <m/>
    <s v=""/>
    <n v="0"/>
    <d v="1899-12-30T00:00:00"/>
    <s v=""/>
    <m/>
    <s v=""/>
    <m/>
    <s v=""/>
    <m/>
    <s v=" "/>
    <s v=" "/>
    <x v="0"/>
    <e v="#N/A"/>
    <s v="11. HOLD"/>
    <m/>
  </r>
  <r>
    <s v="PHCOAS10511"/>
    <n v="387"/>
    <s v="D. Pharma Format"/>
    <s v="Pharma Format"/>
    <x v="9"/>
    <s v="Refit"/>
    <s v="South"/>
    <x v="1"/>
    <s v="Andhra Pradesh"/>
    <s v="Sri Lakshmi Talkies  , Medarmetla , Near Ysr Circle  , Medarametla , 523212"/>
    <s v="Ongole"/>
    <n v="400"/>
    <m/>
    <m/>
    <m/>
    <s v=""/>
    <m/>
    <s v=""/>
    <n v="0"/>
    <d v="1899-12-30T00:00:00"/>
    <s v=""/>
    <m/>
    <s v=""/>
    <m/>
    <s v=""/>
    <m/>
    <s v=" "/>
    <s v=" "/>
    <x v="0"/>
    <e v="#N/A"/>
    <s v="11. HOLD"/>
    <m/>
  </r>
  <r>
    <s v="PHCOAS10512"/>
    <n v="388"/>
    <s v="D. Pharma Format"/>
    <s v="Pharma Format"/>
    <x v="9"/>
    <s v="Refit"/>
    <s v="South"/>
    <x v="1"/>
    <s v="Andhra Pradesh"/>
    <s v="Murali Complex Pakala  ,  , Andhra Pradesh  , PAKALA , 517112"/>
    <s v="Pakala"/>
    <n v="400"/>
    <m/>
    <m/>
    <m/>
    <s v=""/>
    <m/>
    <s v=""/>
    <n v="0"/>
    <d v="1899-12-30T00:00:00"/>
    <s v=""/>
    <m/>
    <s v=""/>
    <m/>
    <s v=""/>
    <m/>
    <s v=" "/>
    <s v=" "/>
    <x v="0"/>
    <e v="#N/A"/>
    <s v="11. HOLD"/>
    <m/>
  </r>
  <r>
    <s v="PHCOAS10513"/>
    <n v="389"/>
    <s v="D. Pharma Format"/>
    <s v="Pharma Format"/>
    <x v="9"/>
    <s v="Refit"/>
    <s v="South"/>
    <x v="1"/>
    <s v="Kerala"/>
    <s v="Shamil Tower Opposite Federal Bank  ,  , Kizhakethala Karuvarukund Malappuram  , PERINTHALMANNA , 676523"/>
    <s v="Perinthalmanna"/>
    <n v="400"/>
    <m/>
    <m/>
    <m/>
    <s v=""/>
    <m/>
    <s v=""/>
    <n v="0"/>
    <d v="1899-12-30T00:00:00"/>
    <s v=""/>
    <m/>
    <s v=""/>
    <m/>
    <s v=""/>
    <m/>
    <s v=" "/>
    <s v=" "/>
    <x v="0"/>
    <e v="#N/A"/>
    <s v="11. HOLD"/>
    <m/>
  </r>
  <r>
    <s v="PHCOAS10514"/>
    <n v="390"/>
    <s v="D. Pharma Format"/>
    <s v="Pharma Format"/>
    <x v="9"/>
    <s v="Refit"/>
    <s v="South"/>
    <x v="1"/>
    <s v="Andhra Pradesh"/>
    <s v="SP Pharma SRINIVASAPURAM PROPERTY"/>
    <s v="Tirupati"/>
    <n v="395"/>
    <m/>
    <m/>
    <m/>
    <s v=""/>
    <m/>
    <s v=""/>
    <n v="0"/>
    <d v="1899-12-30T00:00:00"/>
    <s v=""/>
    <m/>
    <s v=""/>
    <m/>
    <s v=""/>
    <m/>
    <s v=" "/>
    <s v=" "/>
    <x v="0"/>
    <e v="#N/A"/>
    <s v="11. HOLD"/>
    <m/>
  </r>
  <r>
    <s v="PHCOAS10516"/>
    <n v="391"/>
    <s v="D. Pharma Format"/>
    <s v="Pharma Format"/>
    <x v="9"/>
    <s v="Refit"/>
    <s v="South"/>
    <x v="1"/>
    <s v="Kerala"/>
    <s v="GF, Unit/Shop No. 4/978/A,B,C &amp; D  , Stop, PO. Vadasserikkara, Pathanamthitta , Universal  Tower,Opp.Vadasserikkara Bus  , Vadasserikkara , 689662"/>
    <s v="VADASSERIKKARA"/>
    <n v="392"/>
    <m/>
    <m/>
    <m/>
    <s v=""/>
    <m/>
    <s v=""/>
    <n v="0"/>
    <d v="1899-12-30T00:00:00"/>
    <s v=""/>
    <m/>
    <s v=""/>
    <m/>
    <s v=""/>
    <m/>
    <s v=" "/>
    <s v=" "/>
    <x v="0"/>
    <e v="#N/A"/>
    <s v="11. HOLD"/>
    <m/>
  </r>
  <r>
    <s v="PHCOAS10517"/>
    <n v="392"/>
    <s v="D. Pharma Format"/>
    <s v="Pharma Format"/>
    <x v="9"/>
    <s v="Refit"/>
    <s v="South"/>
    <x v="1"/>
    <s v="Andhra Pradesh"/>
    <s v="Srinivas Complex Lingamparthi Main Road  ,  , Besides Apsrtc Bus Stand Yeleswaram  , YELESWARAM , 533429"/>
    <s v="YELESWARAM"/>
    <n v="400"/>
    <m/>
    <m/>
    <m/>
    <s v=""/>
    <m/>
    <s v=""/>
    <n v="0"/>
    <d v="1899-12-30T00:00:00"/>
    <s v=""/>
    <m/>
    <s v=""/>
    <m/>
    <s v=""/>
    <m/>
    <s v=" "/>
    <s v=" "/>
    <x v="0"/>
    <e v="#N/A"/>
    <s v="11. HOLD"/>
    <m/>
  </r>
  <r>
    <s v="MIDHKC13593"/>
    <n v="393"/>
    <s v="E. Other Business"/>
    <s v="Other Business"/>
    <x v="5"/>
    <s v="Dehire"/>
    <s v="West"/>
    <x v="4"/>
    <s v="Madhya Pradesh"/>
    <s v="Gemini Tower, Indore"/>
    <s v="Indore"/>
    <n v="2813"/>
    <m/>
    <m/>
    <m/>
    <s v=""/>
    <d v="2025-05-15T00:00:00"/>
    <s v="May 25 Week 3"/>
    <n v="15"/>
    <d v="2025-05-30T00:00:00"/>
    <s v="May 25 Week 5"/>
    <d v="2025-05-30T00:00:00"/>
    <s v="May 25 Week 5"/>
    <d v="2025-05-15T00:00:00"/>
    <s v="May 25 Week 3"/>
    <m/>
    <s v="MAY 25 PLANNED"/>
    <s v="MAY 25"/>
    <x v="2"/>
    <e v="#N/A"/>
    <s v="9. EPC Ready"/>
    <m/>
  </r>
  <r>
    <s v="MIDHKC13594"/>
    <n v="394"/>
    <s v="E. Other Business"/>
    <s v="Other Business"/>
    <x v="5"/>
    <s v="Dehire"/>
    <s v="West"/>
    <x v="4"/>
    <s v="GUJARAT"/>
    <s v="Luxuria Business Hub, Surat"/>
    <s v="Surat"/>
    <n v="1591"/>
    <m/>
    <m/>
    <m/>
    <s v=""/>
    <d v="2025-05-13T00:00:00"/>
    <s v="May 25 Week 2"/>
    <n v="15"/>
    <d v="2025-05-28T00:00:00"/>
    <s v="May 25 Week 4"/>
    <d v="2025-05-29T00:00:00"/>
    <s v="May 25 Week 5"/>
    <d v="2025-06-03T00:00:00"/>
    <s v="June 25 Week 1"/>
    <m/>
    <s v="MAY 25 PLANNED"/>
    <s v="MAY 25"/>
    <x v="2"/>
    <e v="#N/A"/>
    <s v="9. EPC Ready"/>
    <m/>
  </r>
  <r>
    <s v="MIDHAK13592"/>
    <n v="395"/>
    <s v="E. Other Business"/>
    <s v="Other Business"/>
    <x v="5"/>
    <s v="Dehire"/>
    <s v="South"/>
    <x v="3"/>
    <s v="Tamil Nadu"/>
    <s v="TV Samy Road,Coimbatore"/>
    <s v="Coimbatore"/>
    <n v="1820"/>
    <m/>
    <m/>
    <m/>
    <s v=""/>
    <d v="2025-05-20T00:00:00"/>
    <s v="May 25 Week 3"/>
    <n v="15"/>
    <d v="2025-06-04T00:00:00"/>
    <s v="June 25 Week 1"/>
    <d v="2025-06-05T00:00:00"/>
    <s v="June 25 Week 1"/>
    <m/>
    <s v=""/>
    <m/>
    <s v="JUNE 25 PLANNED"/>
    <s v="JUNE 25"/>
    <x v="2"/>
    <e v="#N/A"/>
    <s v="9. EPC Ready"/>
    <m/>
  </r>
  <r>
    <s v="URBSAS13714"/>
    <n v="396"/>
    <s v="E. Other Business"/>
    <s v="Other Business"/>
    <x v="10"/>
    <s v="NSO"/>
    <s v="South"/>
    <x v="1"/>
    <s v="Karnataka"/>
    <s v="Centro Bellandur, Bangalore"/>
    <s v="Bangalore"/>
    <n v="3572"/>
    <m/>
    <m/>
    <m/>
    <s v=""/>
    <m/>
    <s v=""/>
    <m/>
    <d v="1899-12-30T00:00:00"/>
    <s v=""/>
    <m/>
    <s v=""/>
    <m/>
    <s v=""/>
    <m/>
    <s v=" "/>
    <s v=" "/>
    <x v="3"/>
    <e v="#N/A"/>
    <s v="14. Dropped"/>
    <m/>
  </r>
  <r>
    <s v="FLDHAK11561"/>
    <n v="397"/>
    <s v="E. Other Business"/>
    <s v="Other Business"/>
    <x v="11"/>
    <s v="Dehire"/>
    <s v="South"/>
    <x v="3"/>
    <s v="Tamil Nadu"/>
    <s v="UNITEA MALL "/>
    <s v="Coimbatore"/>
    <n v="2500"/>
    <s v="URLATQ3C800"/>
    <m/>
    <m/>
    <s v=""/>
    <m/>
    <s v=""/>
    <m/>
    <d v="1899-12-30T00:00:00"/>
    <s v=""/>
    <m/>
    <s v=""/>
    <m/>
    <s v=""/>
    <m/>
    <s v=" "/>
    <s v=" "/>
    <x v="3"/>
    <s v="14. Dropped"/>
    <s v="14. Dropped"/>
    <m/>
  </r>
  <r>
    <s v="URBLBK13998"/>
    <n v="398"/>
    <s v="E. Other Business"/>
    <s v="Other Business"/>
    <x v="12"/>
    <s v="NSO"/>
    <s v="West"/>
    <x v="0"/>
    <s v="Maharashtra"/>
    <s v="Global Port, Baner"/>
    <s v="Pune"/>
    <n v="5100"/>
    <m/>
    <m/>
    <m/>
    <s v=""/>
    <m/>
    <s v=""/>
    <m/>
    <d v="1899-12-30T00:00:00"/>
    <s v=""/>
    <m/>
    <s v=""/>
    <m/>
    <s v=""/>
    <m/>
    <s v=" "/>
    <s v=" "/>
    <x v="5"/>
    <e v="#N/A"/>
    <s v="4. Budget Approval Pending"/>
    <m/>
  </r>
  <r>
    <s v="JIDGKC13938"/>
    <n v="399"/>
    <s v="E. Other Business"/>
    <s v="Other Business"/>
    <x v="6"/>
    <s v="NSO"/>
    <s v="West"/>
    <x v="4"/>
    <s v="Maharashtra"/>
    <s v="SHIV ELECTRONICS"/>
    <s v="Jalgaon"/>
    <n v="1800"/>
    <s v="JMDMH000588"/>
    <m/>
    <d v="2025-06-16T00:00:00"/>
    <s v="June 25 Week 3"/>
    <d v="2025-06-16T00:00:00"/>
    <s v="June 25 Week 3"/>
    <n v="7"/>
    <d v="2025-06-23T00:00:00"/>
    <s v="June 25 Week 4"/>
    <d v="2025-06-17T00:00:00"/>
    <s v="June 25 Week 3"/>
    <m/>
    <s v=""/>
    <d v="2025-06-17T00:00:00"/>
    <s v="JUNE 25 PLANNED"/>
    <s v="JUNE 25"/>
    <x v="2"/>
    <e v="#N/A"/>
    <e v="#N/A"/>
    <m/>
  </r>
  <r>
    <s v="JIDGKC13939"/>
    <n v="400"/>
    <s v="E. Other Business"/>
    <s v="Other Business"/>
    <x v="6"/>
    <s v="NSO"/>
    <s v="North"/>
    <x v="4"/>
    <s v="Rajasthan"/>
    <s v="GAURAV MOBILES"/>
    <s v="Sikar"/>
    <n v="550"/>
    <s v="JMDRJ000607"/>
    <m/>
    <d v="2025-06-14T00:00:00"/>
    <s v="June 25 Week 2"/>
    <d v="2025-06-14T00:00:00"/>
    <s v="June 25 Week 2"/>
    <n v="7"/>
    <d v="2025-06-21T00:00:00"/>
    <s v="June 25 Week 3"/>
    <d v="2025-06-17T00:00:00"/>
    <s v="June 25 Week 3"/>
    <m/>
    <s v=""/>
    <d v="2025-06-17T00:00:00"/>
    <s v="JUNE 25 PLANNED"/>
    <s v="JUNE 25"/>
    <x v="2"/>
    <e v="#N/A"/>
    <e v="#N/A"/>
    <m/>
  </r>
  <r>
    <s v="JIDGAK14020"/>
    <n v="401"/>
    <s v="E. Other Business"/>
    <s v="Other Business"/>
    <x v="6"/>
    <s v="NSO"/>
    <s v="East"/>
    <x v="3"/>
    <s v="Bihar"/>
    <s v="S.L.ENTERPRISES"/>
    <s v="Sasaram"/>
    <n v="1800"/>
    <s v="JMDBH000609"/>
    <m/>
    <d v="2025-07-18T00:00:00"/>
    <s v="July 25 Week 3"/>
    <d v="2025-07-18T00:00:00"/>
    <s v="July 25 Week 3"/>
    <n v="7"/>
    <d v="2025-07-25T00:00:00"/>
    <s v="July 25 Week 4"/>
    <d v="2025-07-21T00:00:00"/>
    <s v="July 25 Week 3"/>
    <m/>
    <s v=""/>
    <d v="2025-07-21T00:00:00"/>
    <s v="JULY 25 PLANNED"/>
    <s v="JULY 25"/>
    <x v="2"/>
    <e v="#N/A"/>
    <e v="#N/A"/>
    <m/>
  </r>
  <r>
    <s v="JIDGKC14057"/>
    <n v="402"/>
    <s v="E. Other Business"/>
    <s v="Other Business"/>
    <x v="6"/>
    <s v="NSO"/>
    <s v="North"/>
    <x v="4"/>
    <s v="Haryana"/>
    <s v="VISION INDIA"/>
    <s v="Sirsa"/>
    <n v="900"/>
    <s v="JMDHR000619"/>
    <m/>
    <d v="2025-07-29T00:00:00"/>
    <s v="July 25 Week 5"/>
    <d v="2025-07-29T00:00:00"/>
    <s v="July 25 Week 5"/>
    <n v="7"/>
    <d v="2025-08-05T00:00:00"/>
    <s v="August 25 Week 1"/>
    <d v="2025-07-31T00:00:00"/>
    <s v="July 25 Week 5"/>
    <m/>
    <s v=""/>
    <d v="2025-07-31T00:00:00"/>
    <s v="AUGUST 25 PLANNED"/>
    <s v="JULY 25"/>
    <x v="2"/>
    <e v="#N/A"/>
    <e v="#N/A"/>
    <m/>
  </r>
  <r>
    <s v="URBLKC14062"/>
    <n v="403"/>
    <s v="E. Other Business"/>
    <s v="Other Business"/>
    <x v="12"/>
    <s v="NSO"/>
    <s v="West"/>
    <x v="4"/>
    <s v="GUJARAT"/>
    <s v="RIL- Jamnagar Retail Mall"/>
    <s v="Jamnagar"/>
    <n v="6000"/>
    <m/>
    <m/>
    <m/>
    <s v=""/>
    <m/>
    <s v=""/>
    <m/>
    <d v="1899-12-30T00:00:00"/>
    <s v=""/>
    <m/>
    <s v=""/>
    <m/>
    <s v=""/>
    <m/>
    <s v=" "/>
    <s v=" "/>
    <x v="6"/>
    <e v="#N/A"/>
    <s v="2. ML Awaited"/>
    <m/>
  </r>
  <r>
    <s v="JIDGAK14064"/>
    <n v="404"/>
    <s v="E. Other Business"/>
    <s v="Other Business"/>
    <x v="6"/>
    <s v="NSO"/>
    <s v="East"/>
    <x v="3"/>
    <s v="West Bengal"/>
    <s v="MAA DURGA ENTERPRISES"/>
    <s v="Birpara"/>
    <n v="950"/>
    <s v="JMDWB000613"/>
    <m/>
    <d v="2025-08-08T00:00:00"/>
    <s v="August 25 Week 2"/>
    <d v="2025-08-08T00:00:00"/>
    <s v="August 25 Week 2"/>
    <n v="7"/>
    <d v="2025-08-15T00:00:00"/>
    <s v="August 25 Week 3"/>
    <d v="2025-08-11T00:00:00"/>
    <s v="August 25 Week 2"/>
    <m/>
    <s v=""/>
    <m/>
    <s v="AUGUST 25 PLANNED"/>
    <s v="AUGUST 25"/>
    <x v="2"/>
    <e v="#N/A"/>
    <e v="#N/A"/>
    <m/>
  </r>
  <r>
    <s v="JIDGAK14065"/>
    <n v="405"/>
    <s v="E. Other Business"/>
    <s v="Other Business"/>
    <x v="6"/>
    <s v="NSO"/>
    <s v="East"/>
    <x v="3"/>
    <s v="Bihar"/>
    <s v="MAA AMBEY MI TRADERS"/>
    <s v="Munger"/>
    <n v="1000"/>
    <s v="JMDBH000615"/>
    <s v="NA"/>
    <d v="2025-08-12T00:00:00"/>
    <s v="August 25 Week 2"/>
    <d v="2025-08-12T00:00:00"/>
    <s v="August 25 Week 2"/>
    <n v="7"/>
    <d v="2025-08-19T00:00:00"/>
    <s v="August 25 Week 3"/>
    <d v="2025-08-16T00:00:00"/>
    <s v="August 25 Week 3"/>
    <m/>
    <s v=""/>
    <m/>
    <s v="AUGUST 25 PLANNED"/>
    <s v="AUGUST 25"/>
    <x v="2"/>
    <e v="#N/A"/>
    <e v="#N/A"/>
    <m/>
  </r>
  <r>
    <s v="JIDGKC14069"/>
    <n v="406"/>
    <s v="E. Other Business"/>
    <s v="Other Business"/>
    <x v="6"/>
    <s v="NSO"/>
    <s v="North"/>
    <x v="4"/>
    <s v="J&amp;K"/>
    <s v="GOLD ENTERPRISES"/>
    <s v="Jammu"/>
    <n v="2200"/>
    <s v="JMDJK000592"/>
    <s v="NA"/>
    <d v="2025-08-22T00:00:00"/>
    <s v=""/>
    <d v="2025-08-22T00:00:00"/>
    <s v=""/>
    <n v="7"/>
    <d v="2025-08-29T00:00:00"/>
    <s v=""/>
    <d v="2025-08-25T00:00:00"/>
    <s v=""/>
    <m/>
    <s v=""/>
    <m/>
    <e v="#REF!"/>
    <s v="AUGUST 25"/>
    <x v="2"/>
    <e v="#REF!"/>
    <e v="#REF!"/>
    <m/>
  </r>
  <r>
    <s v="JIDGAK14070"/>
    <n v="407"/>
    <s v="E. Other Business"/>
    <s v="Other Business"/>
    <x v="6"/>
    <s v="NSO"/>
    <s v="East"/>
    <x v="3"/>
    <s v="West Bengal"/>
    <s v="GREEN HILL INDUSTRIES PRIVATE LIMITED"/>
    <s v="Jalpaiguri"/>
    <n v="1000"/>
    <s v="JMDWB000612"/>
    <s v="NA"/>
    <d v="2025-08-23T00:00:00"/>
    <s v=""/>
    <d v="2025-08-23T00:00:00"/>
    <s v=""/>
    <n v="7"/>
    <d v="2025-08-30T00:00:00"/>
    <s v=""/>
    <d v="2025-08-24T00:00:00"/>
    <s v=""/>
    <m/>
    <s v=""/>
    <m/>
    <e v="#REF!"/>
    <s v="AUGUST 25"/>
    <x v="2"/>
    <e v="#REF!"/>
    <e v="#REF!"/>
    <m/>
  </r>
  <r>
    <s v="MIDHKC14387"/>
    <n v="408"/>
    <s v="K. Other Office Infrastructure"/>
    <s v="Office"/>
    <x v="3"/>
    <s v="Dehire"/>
    <s v="North"/>
    <x v="4"/>
    <s v="Rajasthan"/>
    <s v="Vaishali Nagar Office"/>
    <s v="Jaipur"/>
    <m/>
    <m/>
    <m/>
    <m/>
    <s v=""/>
    <m/>
    <s v=""/>
    <m/>
    <d v="1899-12-30T00:00:00"/>
    <s v=""/>
    <m/>
    <s v=""/>
    <m/>
    <s v=""/>
    <m/>
    <s v=" "/>
    <s v=" "/>
    <x v="9"/>
    <e v="#N/A"/>
    <s v="3. Design In progress"/>
    <m/>
  </r>
  <r>
    <m/>
    <n v="409"/>
    <s v="E. Other Business"/>
    <s v="Other Business"/>
    <x v="10"/>
    <s v="NSO"/>
    <s v="South"/>
    <x v="1"/>
    <s v="Karnataka"/>
    <s v="Centro Bellandur, Bangalore (Partial area Partition &amp; Fixture Works)"/>
    <s v="Bangalore"/>
    <m/>
    <m/>
    <m/>
    <m/>
    <s v=""/>
    <m/>
    <s v=""/>
    <m/>
    <d v="1899-12-30T00:00:00"/>
    <s v=""/>
    <m/>
    <s v=""/>
    <m/>
    <s v=""/>
    <m/>
    <s v=" "/>
    <s v=" "/>
    <x v="9"/>
    <e v="#N/A"/>
    <s v="3. Design In progress"/>
    <m/>
  </r>
  <r>
    <m/>
    <n v="410"/>
    <s v="E. Other Business"/>
    <s v="Other Business"/>
    <x v="1"/>
    <m/>
    <m/>
    <x v="7"/>
    <m/>
    <s v="Kiosk Reliable Tech Park, Airoli-1"/>
    <m/>
    <m/>
    <m/>
    <m/>
    <m/>
    <s v=""/>
    <m/>
    <s v=""/>
    <m/>
    <d v="1899-12-30T00:00:00"/>
    <s v=""/>
    <m/>
    <s v=""/>
    <m/>
    <s v=""/>
    <m/>
    <s v=" "/>
    <s v=" "/>
    <x v="10"/>
    <e v="#N/A"/>
    <s v="1. SDR in Progress"/>
    <m/>
  </r>
  <r>
    <m/>
    <n v="411"/>
    <s v="E. Other Business"/>
    <s v="Other Business"/>
    <x v="1"/>
    <m/>
    <m/>
    <x v="7"/>
    <m/>
    <s v="Kiosk Commerzone Yerwada"/>
    <m/>
    <m/>
    <m/>
    <m/>
    <m/>
    <s v=""/>
    <m/>
    <s v=""/>
    <m/>
    <d v="1899-12-30T00:00:00"/>
    <s v=""/>
    <m/>
    <s v=""/>
    <m/>
    <s v=""/>
    <m/>
    <s v=" "/>
    <s v=" "/>
    <x v="10"/>
    <e v="#N/A"/>
    <s v="1. SDR in Progress"/>
    <m/>
  </r>
  <r>
    <m/>
    <n v="412"/>
    <s v="E. Other Business"/>
    <s v="Other Business"/>
    <x v="1"/>
    <m/>
    <m/>
    <x v="7"/>
    <m/>
    <s v="Kiosk Commerzone Kharadi"/>
    <m/>
    <m/>
    <m/>
    <m/>
    <m/>
    <s v=""/>
    <m/>
    <s v=""/>
    <m/>
    <d v="1899-12-30T00:00:00"/>
    <s v=""/>
    <m/>
    <s v=""/>
    <m/>
    <s v=""/>
    <m/>
    <s v=" "/>
    <s v=" "/>
    <x v="10"/>
    <e v="#N/A"/>
    <s v="1. SDR in Progress"/>
    <m/>
  </r>
  <r>
    <m/>
    <m/>
    <m/>
    <m/>
    <x v="13"/>
    <m/>
    <m/>
    <x v="7"/>
    <m/>
    <m/>
    <m/>
    <m/>
    <m/>
    <m/>
    <m/>
    <m/>
    <m/>
    <m/>
    <m/>
    <m/>
    <m/>
    <m/>
    <m/>
    <m/>
    <m/>
    <m/>
    <m/>
    <m/>
    <x v="11"/>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s v="SEVEBK13813"/>
    <n v="1"/>
    <s v="E. Other Business"/>
    <s v="Other Business"/>
    <x v="0"/>
    <s v="NSO"/>
    <s v="West"/>
    <s v="BK"/>
    <s v="Maharashtra"/>
    <s v="BITS Kalyan shop no 6&amp;7"/>
    <s v="Mumbai"/>
    <n v="675"/>
    <s v="7ICRMQHMT00"/>
    <s v="Rajesh Nikalaje"/>
    <d v="2026-03-02T00:00:00"/>
    <s v="March 26 Week 1"/>
    <d v="2026-03-02T00:00:00"/>
    <s v="March 26 Week 1"/>
    <n v="35"/>
    <d v="2026-04-06T00:00:00"/>
    <s v="April 26 Week 1"/>
    <d v="2026-04-09T00:00:00"/>
    <s v="April 26 Week 2"/>
    <d v="2026-04-09T00:00:00"/>
    <s v="April 26 Week 2"/>
    <d v="2026-04-10T00:00:00"/>
    <s v="APRIL 26 PLANNED"/>
    <s v="APRIL 26"/>
    <x v="0"/>
    <s v="10. Launched"/>
    <m/>
  </r>
  <r>
    <s v="URBSAS14526"/>
    <n v="2"/>
    <s v="E. Other Business"/>
    <s v="Other Business"/>
    <x v="1"/>
    <s v="Refit"/>
    <s v="South"/>
    <s v="AS"/>
    <s v="Karnataka"/>
    <s v="Centro Bellandur, Bangalore (Partial area Partition &amp; Fixture Works)"/>
    <s v="Bangalore"/>
    <n v="948"/>
    <s v="URLAKQX7E00"/>
    <s v="Sh. Debkamal B"/>
    <d v="2026-01-15T00:00:00"/>
    <s v="January 26 Week 3"/>
    <d v="2026-03-11T00:00:00"/>
    <s v="March 26 Week 2"/>
    <n v="15"/>
    <d v="2026-03-26T00:00:00"/>
    <s v="March 26 Week 4"/>
    <d v="2026-05-31T00:00:00"/>
    <s v="May 26 Week 5"/>
    <d v="2025-06-01T00:00:00"/>
    <s v="June 25 Week 1"/>
    <d v="2026-05-31T00:00:00"/>
    <s v="MARCH 26 PLANNED"/>
    <s v="MAY 26"/>
    <x v="0"/>
    <s v="9. EPC Ready"/>
    <m/>
  </r>
  <r>
    <s v="SEVDKC15002"/>
    <n v="3"/>
    <s v="E. Other Business"/>
    <s v="Other Business"/>
    <x v="2"/>
    <s v="Dehire"/>
    <s v="West"/>
    <s v="KC"/>
    <s v="Maharashtra"/>
    <s v="Dehire-D'Victoria Mall, Borivali"/>
    <s v="Mumbai"/>
    <n v="450"/>
    <s v="DH-7ICR-451-9132-MH-TAXP"/>
    <s v="Hareshprasad M"/>
    <d v="2026-03-16T00:00:00"/>
    <s v="March 26 Week 3"/>
    <d v="2026-03-16T00:00:00"/>
    <s v="March 26 Week 3"/>
    <n v="21"/>
    <d v="2026-04-06T00:00:00"/>
    <s v="April 26 Week 1"/>
    <d v="2026-04-30T00:00:00"/>
    <s v="April 26 Week 5"/>
    <d v="2026-04-30T00:00:00"/>
    <s v="April 26 Week 5"/>
    <m/>
    <s v="APRIL 26 PLANNED"/>
    <s v="APRIL 26"/>
    <x v="0"/>
    <s v="9. EPC Ready"/>
    <m/>
  </r>
  <r>
    <s v="SEVDKC15003"/>
    <n v="4"/>
    <s v="E. Other Business"/>
    <s v="Other Business"/>
    <x v="2"/>
    <s v="Dehire"/>
    <s v="West"/>
    <s v="KC"/>
    <s v="Maharashtra"/>
    <s v="Dehire-Smart Bazaar, Orion mall,Panvel"/>
    <s v="Mumbai"/>
    <n v="600"/>
    <s v="DH-7ICR-451-9132-MH-T1IY"/>
    <s v="Ajay Kumar"/>
    <d v="2026-03-12T00:00:00"/>
    <s v="March 26 Week 2"/>
    <d v="2026-03-12T00:00:00"/>
    <s v="March 26 Week 2"/>
    <n v="21"/>
    <d v="2026-04-02T00:00:00"/>
    <s v="April 26 Week 1"/>
    <d v="2026-04-21T00:00:00"/>
    <s v="April 26 Week 3"/>
    <d v="2026-04-21T00:00:00"/>
    <s v="April 26 Week 3"/>
    <m/>
    <s v="APRIL 26 PLANNED"/>
    <s v="APRIL 26"/>
    <x v="0"/>
    <s v="9. EPC Ready"/>
    <m/>
  </r>
  <r>
    <s v="SEVDKC15004"/>
    <n v="5"/>
    <s v="E. Other Business"/>
    <s v="Other Business"/>
    <x v="2"/>
    <s v="Dehire"/>
    <s v="West"/>
    <s v="KC"/>
    <s v="Maharashtra"/>
    <s v="Dehire-Smart Bazaar, Xperia Mall, Dombivali"/>
    <s v="Mumbai"/>
    <n v="698"/>
    <s v="DH-7ICR-451-9132-MH-T1JL"/>
    <s v="Ajay Kumar"/>
    <d v="2026-03-14T00:00:00"/>
    <s v="March 26 Week 2"/>
    <d v="2026-03-14T00:00:00"/>
    <s v="March 26 Week 2"/>
    <n v="21"/>
    <d v="2026-04-04T00:00:00"/>
    <s v="April 26 Week 1"/>
    <d v="2026-05-28T00:00:00"/>
    <s v="May 26 Week 4"/>
    <d v="2026-05-30T00:00:00"/>
    <s v="May 26 Week 5"/>
    <m/>
    <s v="APRIL 26 PLANNED"/>
    <s v="MAY 26"/>
    <x v="0"/>
    <s v="9. EPC Ready"/>
    <m/>
  </r>
  <r>
    <s v="SEVDKC15005"/>
    <n v="6"/>
    <s v="E. Other Business"/>
    <s v="Other Business"/>
    <x v="2"/>
    <s v="Dehire"/>
    <s v="West"/>
    <s v="KC"/>
    <s v="Maharashtra"/>
    <s v="Dehire-Smart Bazaar, Kothrud Road, Pune"/>
    <s v="Pune"/>
    <n v="495"/>
    <s v="DH-7ICR-451-9132-MH-T52V"/>
    <s v="Prashant Wankhede"/>
    <d v="2026-01-15T00:00:00"/>
    <s v="January 26 Week 3"/>
    <d v="2026-01-15T00:00:00"/>
    <s v="January 26 Week 3"/>
    <n v="21"/>
    <d v="2026-02-05T00:00:00"/>
    <s v="February 26 Week 1"/>
    <d v="2026-05-16T00:00:00"/>
    <s v="May 26 Week 3"/>
    <d v="2026-05-14T00:00:00"/>
    <s v="May 26 Week 2"/>
    <s v="NA"/>
    <s v="FEBRUARY 26 PLANNED"/>
    <s v="MAY 26"/>
    <x v="0"/>
    <s v="9. EPC Ready"/>
    <m/>
  </r>
  <r>
    <s v="JIDGKC16291"/>
    <n v="7"/>
    <s v="E. Other Business"/>
    <s v="Other Business"/>
    <x v="3"/>
    <s v="NSO"/>
    <s v="North"/>
    <s v="KC"/>
    <s v="Haryana"/>
    <s v="Cosmoss Gadget"/>
    <s v="Panipat"/>
    <n v="891"/>
    <s v="JMDHR000650"/>
    <s v="NA"/>
    <d v="2026-05-13T00:00:00"/>
    <d v="2026-05-13T00:00:00"/>
    <d v="2026-05-13T00:00:00"/>
    <s v="May 26 Week 2"/>
    <n v="7"/>
    <d v="2026-05-20T00:00:00"/>
    <s v="May 26 Week 3"/>
    <d v="2026-05-15T00:00:00"/>
    <s v="May 26 Week 3"/>
    <m/>
    <s v=""/>
    <d v="2026-05-15T00:00:00"/>
    <s v="MAY 26 PLANNED"/>
    <s v="MAY 26"/>
    <x v="0"/>
    <e v="#N/A"/>
    <m/>
  </r>
  <r>
    <s v="JIDGKC16292"/>
    <n v="8"/>
    <s v="E. Other Business"/>
    <s v="Other Business"/>
    <x v="3"/>
    <s v="NSO"/>
    <s v="North"/>
    <s v="KC"/>
    <s v="Rajasthan"/>
    <s v="DB DIGITAL MART"/>
    <s v="Dholpur"/>
    <n v="770"/>
    <s v="JMDRJ000675"/>
    <s v="NA"/>
    <d v="2026-04-29T00:00:00"/>
    <s v="April 26 Week 5"/>
    <d v="2026-04-29T00:00:00"/>
    <s v="April 26 Week 5"/>
    <n v="7"/>
    <d v="2026-05-06T00:00:00"/>
    <s v="May 26 Week 1"/>
    <d v="2026-05-02T00:00:00"/>
    <s v="May 26 Week 1"/>
    <m/>
    <s v=""/>
    <d v="2026-05-02T00:00:00"/>
    <s v="MAY 26 PLANNED"/>
    <s v="MAY 26"/>
    <x v="0"/>
    <e v="#N/A"/>
    <m/>
  </r>
  <r>
    <s v="SEVEBK14548"/>
    <n v="9"/>
    <s v="E. Other Business"/>
    <s v="Other Business"/>
    <x v="0"/>
    <s v="NSO"/>
    <s v="West"/>
    <s v="BK"/>
    <s v="Maharashtra"/>
    <s v="Kiosk Panchshil Business Tech Park ,Viman Nagar"/>
    <s v="Pune"/>
    <n v="731.74"/>
    <s v="7ICRMQIBY00"/>
    <s v="Nishant narsapur"/>
    <d v="2026-04-21T00:00:00"/>
    <s v="April 26 Week 3"/>
    <d v="2026-05-25T00:00:00"/>
    <s v="May 26 Week 4"/>
    <n v="15"/>
    <d v="2026-06-09T00:00:00"/>
    <s v="June 26 Week 2"/>
    <m/>
    <s v=""/>
    <m/>
    <s v=""/>
    <m/>
    <s v="JUNE 26 PLANNED"/>
    <s v=" "/>
    <x v="1"/>
    <s v="8. WIP"/>
    <m/>
  </r>
  <r>
    <s v="SEVEBK12858"/>
    <n v="10"/>
    <s v="E. Other Business"/>
    <s v="Other Business"/>
    <x v="0"/>
    <s v="NSO"/>
    <s v="West"/>
    <s v="BK"/>
    <s v="Maharashtra"/>
    <s v="Kiosk-Avanche 1, Hinjewadi"/>
    <s v="Pune"/>
    <n v="160"/>
    <s v="Pending"/>
    <m/>
    <m/>
    <s v=""/>
    <m/>
    <s v=""/>
    <m/>
    <d v="1899-12-30T00:00:00"/>
    <s v=""/>
    <m/>
    <s v=""/>
    <m/>
    <s v=""/>
    <m/>
    <e v="#N/A"/>
    <s v=" "/>
    <x v="2"/>
    <s v="7. YTS"/>
    <m/>
  </r>
  <r>
    <s v="SEVEBK12642"/>
    <n v="11"/>
    <s v="E. Other Business"/>
    <s v="Other Business"/>
    <x v="0"/>
    <s v="NSO"/>
    <s v="West"/>
    <s v="BK"/>
    <s v="Maharashtra"/>
    <s v="Kiosk-Solitaire Business Hub ,Viman Nagar 2"/>
    <s v="Pune"/>
    <n v="160"/>
    <s v="Pending"/>
    <m/>
    <m/>
    <s v=""/>
    <m/>
    <s v=""/>
    <m/>
    <d v="1899-12-30T00:00:00"/>
    <s v=""/>
    <m/>
    <s v=""/>
    <m/>
    <s v=""/>
    <m/>
    <e v="#N/A"/>
    <s v=" "/>
    <x v="2"/>
    <s v="7. YTS"/>
    <m/>
  </r>
  <r>
    <s v="SEVEBK13812"/>
    <n v="12"/>
    <s v="E. Other Business"/>
    <s v="Other Business"/>
    <x v="0"/>
    <s v="NSO"/>
    <s v="West"/>
    <s v="BK"/>
    <s v="Maharashtra"/>
    <s v="Kiosk 247 Embassy, Vikhroli, Mumbai-1"/>
    <s v="Mumbai"/>
    <n v="200"/>
    <s v="Pending"/>
    <m/>
    <m/>
    <s v=""/>
    <m/>
    <s v=""/>
    <m/>
    <d v="1899-12-30T00:00:00"/>
    <s v=""/>
    <m/>
    <s v=""/>
    <m/>
    <s v=""/>
    <m/>
    <s v=" "/>
    <s v=" "/>
    <x v="3"/>
    <s v="5. Budget approved RFC awaited"/>
    <m/>
  </r>
  <r>
    <s v="SEVEBK14014"/>
    <n v="13"/>
    <s v="E. Other Business"/>
    <s v="Other Business"/>
    <x v="0"/>
    <s v="NSO"/>
    <s v="West"/>
    <s v="BK"/>
    <s v="Maharashtra"/>
    <s v="Kiosk Marathon, FutureX, Lower Parel -Mumbai-1"/>
    <s v="Mumbai"/>
    <n v="287.61"/>
    <s v="Pending"/>
    <m/>
    <m/>
    <s v=""/>
    <m/>
    <s v=""/>
    <m/>
    <d v="1899-12-30T00:00:00"/>
    <s v=""/>
    <m/>
    <s v=""/>
    <m/>
    <s v=""/>
    <m/>
    <s v=" "/>
    <s v=" "/>
    <x v="4"/>
    <s v="11. HOLD"/>
    <m/>
  </r>
  <r>
    <s v="SEVEBK14527"/>
    <n v="14"/>
    <s v="E. Other Business"/>
    <s v="Other Business"/>
    <x v="0"/>
    <s v="NSO"/>
    <s v="West"/>
    <s v="BK"/>
    <s v="Maharashtra"/>
    <s v="Kiosk Reliable Tech Park(Empire Tower), Airoli-1"/>
    <s v="Mumbai"/>
    <n v="219"/>
    <m/>
    <m/>
    <m/>
    <s v=""/>
    <m/>
    <s v=""/>
    <m/>
    <d v="1899-12-30T00:00:00"/>
    <s v=""/>
    <m/>
    <s v=""/>
    <m/>
    <s v=""/>
    <m/>
    <s v=" "/>
    <s v=" "/>
    <x v="3"/>
    <s v="5. Budget approved RFC awaited"/>
    <m/>
  </r>
  <r>
    <s v="SEVEBK14528"/>
    <n v="15"/>
    <s v="E. Other Business"/>
    <s v="Other Business"/>
    <x v="0"/>
    <s v="NSO"/>
    <s v="West"/>
    <s v="BK"/>
    <s v="Maharashtra"/>
    <s v="Kiosk Commerzone Yerwada"/>
    <s v="Pune"/>
    <n v="160"/>
    <m/>
    <m/>
    <m/>
    <s v=""/>
    <m/>
    <s v=""/>
    <m/>
    <d v="1899-12-30T00:00:00"/>
    <s v=""/>
    <m/>
    <s v=""/>
    <m/>
    <s v=""/>
    <m/>
    <s v=" "/>
    <s v=" "/>
    <x v="3"/>
    <s v="5. Budget approved RFC awaited"/>
    <m/>
  </r>
  <r>
    <s v="SEVEBK14529"/>
    <n v="16"/>
    <s v="E. Other Business"/>
    <s v="Other Business"/>
    <x v="0"/>
    <s v="NSO"/>
    <s v="West"/>
    <s v="BK"/>
    <s v="Maharashtra"/>
    <s v="Kiosk Commerzone Kharadi"/>
    <s v="Pune"/>
    <n v="160"/>
    <m/>
    <m/>
    <m/>
    <s v=""/>
    <m/>
    <s v=""/>
    <m/>
    <d v="1899-12-30T00:00:00"/>
    <s v=""/>
    <m/>
    <s v=""/>
    <m/>
    <s v=""/>
    <m/>
    <s v=" "/>
    <s v=" "/>
    <x v="3"/>
    <s v="5. Budget approved RFC awaited"/>
    <m/>
  </r>
  <r>
    <s v="SEVEBK14530"/>
    <n v="17"/>
    <s v="E. Other Business"/>
    <s v="Other Business"/>
    <x v="0"/>
    <s v="NSO"/>
    <s v="West"/>
    <s v="BK"/>
    <s v="Maharashtra"/>
    <s v="Kiosk Fortis Mulund"/>
    <s v="Mumbai"/>
    <n v="200"/>
    <m/>
    <m/>
    <m/>
    <s v=""/>
    <m/>
    <s v=""/>
    <m/>
    <d v="1899-12-30T00:00:00"/>
    <s v=""/>
    <m/>
    <s v=""/>
    <m/>
    <s v=""/>
    <m/>
    <s v=" "/>
    <s v=" "/>
    <x v="3"/>
    <s v="5. Budget approved RFC awaited"/>
    <m/>
  </r>
  <r>
    <s v="SEVEBK14678"/>
    <n v="18"/>
    <s v="E. Other Business"/>
    <s v="Other Business"/>
    <x v="0"/>
    <s v="NSO"/>
    <s v="West"/>
    <s v="BK"/>
    <s v="Maharashtra"/>
    <s v="Mindspace Gigaplex , Airoli W"/>
    <s v="Mumbai"/>
    <n v="431"/>
    <m/>
    <m/>
    <m/>
    <s v=""/>
    <m/>
    <s v=""/>
    <m/>
    <d v="1899-12-30T00:00:00"/>
    <s v=""/>
    <m/>
    <s v=""/>
    <m/>
    <s v=""/>
    <m/>
    <s v=" "/>
    <s v=" "/>
    <x v="3"/>
    <s v="5. Budget approved RFC awaited"/>
    <m/>
  </r>
  <r>
    <s v="SEVEBK14696"/>
    <n v="19"/>
    <s v="E. Other Business"/>
    <s v="Other Business"/>
    <x v="0"/>
    <s v="NSO"/>
    <s v="West"/>
    <m/>
    <s v="Maharashtra"/>
    <s v="Panchshil Business Hub (Kharadi 40) Kharadi, Pune"/>
    <s v="Pune"/>
    <n v="292.18"/>
    <m/>
    <m/>
    <m/>
    <s v=""/>
    <m/>
    <s v=""/>
    <m/>
    <d v="1899-12-30T00:00:00"/>
    <s v=""/>
    <m/>
    <s v=""/>
    <m/>
    <s v=""/>
    <m/>
    <s v=" "/>
    <s v=" "/>
    <x v="5"/>
    <s v="6. RFC offered"/>
    <m/>
  </r>
  <r>
    <s v="MIRERT14584"/>
    <n v="20"/>
    <s v="E. Other Business"/>
    <s v="Other Business"/>
    <x v="4"/>
    <s v="Refit"/>
    <s v="North"/>
    <s v="RT"/>
    <s v="Haryana"/>
    <s v="Sector 14, Gurgoan"/>
    <s v="Gurgoan"/>
    <n v="3907"/>
    <m/>
    <m/>
    <m/>
    <s v=""/>
    <m/>
    <s v=""/>
    <m/>
    <d v="1899-12-30T00:00:00"/>
    <s v=""/>
    <m/>
    <s v=""/>
    <m/>
    <s v=""/>
    <m/>
    <s v=" "/>
    <s v=" "/>
    <x v="6"/>
    <s v="4. Budget Approval Pending"/>
    <m/>
  </r>
  <r>
    <s v="PHCOKC14704"/>
    <n v="21"/>
    <s v="D. Pharma Format"/>
    <s v="Pharma Format"/>
    <x v="5"/>
    <s v="Additional Work"/>
    <s v="West"/>
    <s v="KC"/>
    <s v="Maharashtra"/>
    <s v="ONLINE NETMED STORE_BHANDUP METRO"/>
    <s v="Mumbai"/>
    <n v="368"/>
    <m/>
    <m/>
    <m/>
    <s v=""/>
    <m/>
    <s v=""/>
    <m/>
    <d v="1899-12-30T00:00:00"/>
    <s v=""/>
    <m/>
    <s v=""/>
    <m/>
    <s v=""/>
    <m/>
    <s v=" "/>
    <s v=" "/>
    <x v="6"/>
    <s v="4. Budget Approval Pending"/>
    <m/>
  </r>
  <r>
    <s v="SEVEBK15001"/>
    <n v="22"/>
    <s v="E. Other Business"/>
    <s v="Other Business"/>
    <x v="0"/>
    <s v="NSO"/>
    <s v="West"/>
    <s v="BK"/>
    <s v="Maharashtra"/>
    <s v="Kiosk Kohinoor World Tower, Pimpri Chinchwad"/>
    <s v="Pune"/>
    <n v="120"/>
    <m/>
    <m/>
    <m/>
    <s v=""/>
    <m/>
    <s v=""/>
    <m/>
    <d v="1899-12-30T00:00:00"/>
    <s v=""/>
    <m/>
    <s v=""/>
    <m/>
    <s v=""/>
    <m/>
    <s v=" "/>
    <s v=" "/>
    <x v="5"/>
    <s v="6. RFC offered"/>
    <m/>
  </r>
  <r>
    <s v="MIREBK15075"/>
    <n v="23"/>
    <s v="E. Other Business"/>
    <s v="Other Business"/>
    <x v="6"/>
    <s v="Refit"/>
    <s v="West"/>
    <s v="BK"/>
    <s v="Maharashtra"/>
    <s v="Rupa Solitare, Koparkhairane - Relay Work"/>
    <s v="Mumbai"/>
    <n v="847"/>
    <m/>
    <m/>
    <m/>
    <s v=""/>
    <m/>
    <s v=""/>
    <m/>
    <d v="1899-12-30T00:00:00"/>
    <s v=""/>
    <m/>
    <s v=""/>
    <m/>
    <s v=""/>
    <m/>
    <s v=" "/>
    <s v=" "/>
    <x v="6"/>
    <s v="4. Budget Approval Pending"/>
    <m/>
  </r>
  <r>
    <s v="MIDHAK15077"/>
    <n v="24"/>
    <s v="E. Other Business"/>
    <s v="Other Business"/>
    <x v="7"/>
    <s v="Dehire"/>
    <s v="South"/>
    <s v="AK"/>
    <s v="Kerala"/>
    <s v="Home and Décor, Kumaranalloor Store"/>
    <s v="Kottayam"/>
    <n v="2731"/>
    <m/>
    <m/>
    <m/>
    <s v=""/>
    <m/>
    <s v=""/>
    <m/>
    <d v="1899-12-30T00:00:00"/>
    <s v=""/>
    <m/>
    <s v=""/>
    <m/>
    <s v=""/>
    <m/>
    <s v=" "/>
    <s v=" "/>
    <x v="7"/>
    <s v="3. Design In progress"/>
    <m/>
  </r>
  <r>
    <s v="SEVEBK15080"/>
    <n v="25"/>
    <s v="E. Other Business"/>
    <s v="Other Business"/>
    <x v="0"/>
    <s v="NSO"/>
    <s v="West"/>
    <s v="BK"/>
    <s v="Maharashtra"/>
    <s v="Kiosk AIMS Hospital, Dombivli"/>
    <s v="Mumbai"/>
    <n v="144"/>
    <m/>
    <m/>
    <m/>
    <s v=""/>
    <m/>
    <s v=""/>
    <m/>
    <d v="1899-12-30T00:00:00"/>
    <s v=""/>
    <m/>
    <s v=""/>
    <m/>
    <s v=""/>
    <m/>
    <s v=" "/>
    <s v=" "/>
    <x v="3"/>
    <s v="5. Budget approved RFC awaited"/>
    <m/>
  </r>
  <r>
    <s v="MIREBK15280"/>
    <n v="26"/>
    <s v="E. Other Business"/>
    <s v="Other Business"/>
    <x v="6"/>
    <s v="Refit"/>
    <s v="West"/>
    <s v="BK"/>
    <s v="Maharashtra"/>
    <s v="HVAC Initiative _Chaturbhuj Kharghar"/>
    <s v="Mumbai"/>
    <n v="863"/>
    <m/>
    <m/>
    <m/>
    <s v=""/>
    <m/>
    <s v=""/>
    <m/>
    <d v="1899-12-30T00:00:00"/>
    <s v=""/>
    <m/>
    <s v=""/>
    <m/>
    <s v=""/>
    <m/>
    <s v=" "/>
    <s v=" "/>
    <x v="3"/>
    <s v="5. Budget approved RFC awaited"/>
    <m/>
  </r>
  <r>
    <s v="MIREBK15281"/>
    <n v="27"/>
    <s v="E. Other Business"/>
    <s v="Other Business"/>
    <x v="6"/>
    <s v="Refit"/>
    <s v="West"/>
    <s v="BK"/>
    <s v="Maharashtra"/>
    <s v="HVAC Initiative _Samrin Heritage"/>
    <s v="Mumbai"/>
    <n v="1000"/>
    <m/>
    <m/>
    <m/>
    <s v=""/>
    <m/>
    <s v=""/>
    <m/>
    <d v="1899-12-30T00:00:00"/>
    <s v=""/>
    <m/>
    <s v=""/>
    <m/>
    <s v=""/>
    <m/>
    <s v=" "/>
    <s v=" "/>
    <x v="3"/>
    <s v="5. Budget approved RFC awaited"/>
    <m/>
  </r>
  <r>
    <s v="MIREBK15282"/>
    <n v="28"/>
    <s v="E. Other Business"/>
    <s v="Other Business"/>
    <x v="6"/>
    <s v="Refit"/>
    <s v="West"/>
    <s v="BK"/>
    <s v="Maharashtra"/>
    <s v="HVAC Initiative _Sai Miracle In homes Kharghar"/>
    <s v="Mumbai"/>
    <n v="715"/>
    <m/>
    <m/>
    <m/>
    <s v=""/>
    <m/>
    <s v=""/>
    <m/>
    <d v="1899-12-30T00:00:00"/>
    <s v=""/>
    <m/>
    <s v=""/>
    <m/>
    <s v=""/>
    <m/>
    <s v=" "/>
    <s v=" "/>
    <x v="3"/>
    <s v="5. Budget approved RFC awaited"/>
    <m/>
  </r>
  <r>
    <s v="MIREBK15463"/>
    <n v="29"/>
    <s v="E. Other Business"/>
    <s v="Other Business"/>
    <x v="6"/>
    <s v="Refit"/>
    <s v="West"/>
    <s v="BK"/>
    <s v="Maharashtra"/>
    <s v="HVAC-Haware Centurion "/>
    <s v="Mumbai"/>
    <n v="1230"/>
    <m/>
    <m/>
    <m/>
    <s v=""/>
    <m/>
    <s v=""/>
    <m/>
    <d v="1899-12-30T00:00:00"/>
    <s v=""/>
    <m/>
    <s v=""/>
    <m/>
    <s v=""/>
    <m/>
    <s v=" "/>
    <s v=" "/>
    <x v="3"/>
    <s v="5. Budget approved RFC awaited"/>
    <m/>
  </r>
  <r>
    <s v="MIREBK15560"/>
    <n v="30"/>
    <s v="E. Other Business"/>
    <s v="Other Business"/>
    <x v="6"/>
    <s v="Refit"/>
    <s v="West"/>
    <s v="BK"/>
    <s v="Maharashtra"/>
    <s v="HVAC Initiative _Giriraj Seawoods"/>
    <s v="Mumbai"/>
    <n v="1200"/>
    <m/>
    <m/>
    <m/>
    <s v=""/>
    <m/>
    <s v=""/>
    <m/>
    <d v="1899-12-30T00:00:00"/>
    <s v=""/>
    <m/>
    <s v=""/>
    <m/>
    <s v=""/>
    <m/>
    <s v=" "/>
    <s v=" "/>
    <x v="3"/>
    <s v="5. Budget approved RFC awaited"/>
    <m/>
  </r>
  <r>
    <s v="MIREBK15561"/>
    <n v="31"/>
    <s v="E. Other Business"/>
    <s v="Other Business"/>
    <x v="6"/>
    <s v="Refit"/>
    <s v="West"/>
    <s v="BK"/>
    <s v="Maharashtra"/>
    <s v="HVAC Initiative _Platinum Experio Kalamboli"/>
    <s v="Mumbai"/>
    <n v="860"/>
    <m/>
    <m/>
    <m/>
    <s v=""/>
    <m/>
    <s v=""/>
    <m/>
    <d v="1899-12-30T00:00:00"/>
    <s v=""/>
    <m/>
    <s v=""/>
    <m/>
    <s v=""/>
    <m/>
    <s v=" "/>
    <s v=" "/>
    <x v="3"/>
    <s v="5. Budget approved RFC awaited"/>
    <m/>
  </r>
  <r>
    <s v="MIREBK15562"/>
    <n v="32"/>
    <s v="E. Other Business"/>
    <s v="Other Business"/>
    <x v="6"/>
    <s v="Refit"/>
    <s v="West"/>
    <s v="BK"/>
    <s v="Maharashtra"/>
    <s v="HVAC Initiative _Shree Siddhivinayak Koparkhairane "/>
    <s v="Mumbai"/>
    <n v="1118"/>
    <m/>
    <m/>
    <m/>
    <s v=""/>
    <m/>
    <s v=""/>
    <m/>
    <d v="1899-12-30T00:00:00"/>
    <s v=""/>
    <m/>
    <s v=""/>
    <m/>
    <s v=""/>
    <m/>
    <s v=" "/>
    <s v=" "/>
    <x v="3"/>
    <s v="5. Budget approved RFC awaited"/>
    <m/>
  </r>
  <r>
    <s v="MIREBK15563"/>
    <n v="33"/>
    <s v="E. Other Business"/>
    <s v="Other Business"/>
    <x v="6"/>
    <s v="Refit"/>
    <s v="West"/>
    <s v="BK"/>
    <s v="Maharashtra"/>
    <s v="HVAC Initiative _Mulund Munish Apartment "/>
    <s v="Mumbai"/>
    <n v="940"/>
    <m/>
    <m/>
    <m/>
    <s v=""/>
    <m/>
    <s v=""/>
    <m/>
    <d v="1899-12-30T00:00:00"/>
    <s v=""/>
    <m/>
    <s v=""/>
    <m/>
    <s v=""/>
    <m/>
    <s v=" "/>
    <s v=" "/>
    <x v="3"/>
    <s v="5. Budget approved RFC awaited"/>
    <m/>
  </r>
  <r>
    <s v="ADOFRT10637"/>
    <n v="34"/>
    <s v="K. Other Office Infrastructure"/>
    <s v="Office"/>
    <x v="8"/>
    <s v="NSO"/>
    <s v="North"/>
    <s v="RT"/>
    <s v="Delhi &amp; NCR"/>
    <s v="Okhla Office"/>
    <s v="Delhi"/>
    <m/>
    <m/>
    <m/>
    <m/>
    <s v=""/>
    <m/>
    <s v=""/>
    <n v="55"/>
    <d v="1900-02-23T00:00:00"/>
    <s v=""/>
    <m/>
    <s v=""/>
    <m/>
    <s v=""/>
    <m/>
    <s v=" "/>
    <s v=" "/>
    <x v="6"/>
    <s v="4. Budget Approval Pending"/>
    <m/>
  </r>
  <r>
    <s v="URBLKC14062"/>
    <n v="35"/>
    <s v="E. Other Business"/>
    <s v="Other Business"/>
    <x v="9"/>
    <s v="NSO"/>
    <s v="West"/>
    <s v="KC"/>
    <s v="Gujarat"/>
    <s v="RIL- Jamnagar Retail Mall"/>
    <s v="Jamnagar"/>
    <n v="6000"/>
    <m/>
    <m/>
    <m/>
    <s v=""/>
    <m/>
    <s v=""/>
    <m/>
    <d v="1899-12-30T00:00:00"/>
    <s v=""/>
    <m/>
    <s v=""/>
    <m/>
    <s v=""/>
    <m/>
    <s v=" "/>
    <s v=" "/>
    <x v="7"/>
    <s v="3. Design In progress"/>
    <m/>
  </r>
  <r>
    <s v="SEVEBK15078"/>
    <n v="36"/>
    <s v="E. Other Business"/>
    <s v="Other Business"/>
    <x v="0"/>
    <s v="NSO"/>
    <s v="West"/>
    <s v="BK"/>
    <s v="Maharashtra"/>
    <s v="Kiosk One World, Lower Parel, Mumbai"/>
    <s v="Mumbai"/>
    <n v="200"/>
    <m/>
    <m/>
    <m/>
    <s v=""/>
    <m/>
    <s v=""/>
    <m/>
    <d v="1899-12-30T00:00:00"/>
    <s v=""/>
    <m/>
    <s v=""/>
    <m/>
    <s v=""/>
    <m/>
    <s v=" "/>
    <s v=" "/>
    <x v="6"/>
    <s v="4. Budget Approval Pending"/>
    <m/>
  </r>
  <r>
    <s v="URBLSD15762"/>
    <n v="37"/>
    <s v="E. Other Business"/>
    <s v="Other Business"/>
    <x v="9"/>
    <s v="NSO"/>
    <s v="East"/>
    <s v="SD"/>
    <s v="Bihar"/>
    <s v="RPS More , Patna - Second Floor"/>
    <s v="Patna"/>
    <n v="3333"/>
    <m/>
    <m/>
    <m/>
    <s v=""/>
    <m/>
    <s v=""/>
    <m/>
    <d v="1899-12-30T00:00:00"/>
    <s v=""/>
    <m/>
    <s v=""/>
    <m/>
    <s v=""/>
    <m/>
    <s v=" "/>
    <s v=" "/>
    <x v="7"/>
    <s v="3. Design In progress"/>
    <m/>
  </r>
  <r>
    <s v="SEVEBK16026"/>
    <n v="38"/>
    <s v="E. Other Business"/>
    <s v="Other Business"/>
    <x v="0"/>
    <s v="NSO"/>
    <s v="West"/>
    <s v="BK"/>
    <s v="Maharashtra"/>
    <s v="Twin Tower- RCP, Ghansoli ."/>
    <s v="Mumbai"/>
    <n v="505"/>
    <m/>
    <m/>
    <m/>
    <s v=""/>
    <m/>
    <s v=""/>
    <m/>
    <d v="1899-12-30T00:00:00"/>
    <s v=""/>
    <m/>
    <s v=""/>
    <m/>
    <s v=""/>
    <m/>
    <s v=" "/>
    <s v=" "/>
    <x v="3"/>
    <s v="5. Budget approved RFC awaited"/>
    <m/>
  </r>
  <r>
    <s v="MIDHAK16420"/>
    <n v="39"/>
    <s v="E. Other Business"/>
    <s v="Other Business"/>
    <x v="10"/>
    <s v="Dehire"/>
    <s v="South"/>
    <s v="AK"/>
    <s v="Tamil Nadu"/>
    <s v="EA Office Space - 5th Floor - Netmeds Office, Chennai"/>
    <s v="Chennai"/>
    <m/>
    <m/>
    <m/>
    <m/>
    <s v=""/>
    <m/>
    <s v=""/>
    <m/>
    <d v="1899-12-30T00:00:00"/>
    <s v=""/>
    <m/>
    <s v=""/>
    <m/>
    <s v=""/>
    <m/>
    <s v=" "/>
    <s v=" "/>
    <x v="4"/>
    <s v="11. HOLD"/>
    <m/>
  </r>
  <r>
    <s v="SEVEBK15079"/>
    <n v="40"/>
    <s v="E. Other Business"/>
    <s v="Other Business"/>
    <x v="0"/>
    <s v="NSO"/>
    <s v="West"/>
    <s v="BK"/>
    <s v="Maharashtra"/>
    <s v="One International, Lower Parel, Mumbai"/>
    <s v="Mumbai"/>
    <m/>
    <m/>
    <m/>
    <m/>
    <s v=""/>
    <m/>
    <s v=""/>
    <m/>
    <d v="1899-12-30T00:00:00"/>
    <s v=""/>
    <m/>
    <s v=""/>
    <m/>
    <s v=""/>
    <m/>
    <s v=" "/>
    <s v=" "/>
    <x v="8"/>
    <s v="2. ML Awaited"/>
    <m/>
  </r>
  <r>
    <s v="SEVEBK15459"/>
    <n v="41"/>
    <s v="E. Other Business"/>
    <s v="Other Business"/>
    <x v="0"/>
    <s v="NSO"/>
    <s v="West"/>
    <s v="BK"/>
    <s v="Maharashtra"/>
    <s v="Urmi Real Estate, Lower Parel, Mumbai"/>
    <s v="Mumbai"/>
    <m/>
    <m/>
    <m/>
    <m/>
    <s v=""/>
    <m/>
    <s v=""/>
    <m/>
    <d v="1899-12-30T00:00:00"/>
    <s v=""/>
    <m/>
    <s v=""/>
    <m/>
    <s v=""/>
    <m/>
    <s v=" "/>
    <s v=" "/>
    <x v="8"/>
    <s v="2. ML Awaited"/>
    <m/>
  </r>
  <r>
    <s v="SEVEBK15462"/>
    <n v="42"/>
    <s v="E. Other Business"/>
    <s v="Other Business"/>
    <x v="0"/>
    <s v="NSO"/>
    <s v="West"/>
    <s v="BK"/>
    <s v="Maharashtra"/>
    <s v="Kiosk Peninsula Business Park, Lower Parel, Mumbai"/>
    <s v="Mumbai"/>
    <m/>
    <m/>
    <m/>
    <m/>
    <s v=""/>
    <m/>
    <s v=""/>
    <m/>
    <d v="1899-12-30T00:00:00"/>
    <s v=""/>
    <m/>
    <s v=""/>
    <m/>
    <s v=""/>
    <m/>
    <s v=" "/>
    <s v=" "/>
    <x v="6"/>
    <s v="4. Budget Approval Pending"/>
    <m/>
  </r>
  <r>
    <s v="SEVEBK16192"/>
    <n v="43"/>
    <s v="E. Other Business"/>
    <s v="Other Business"/>
    <x v="0"/>
    <s v="NSO"/>
    <s v="West"/>
    <s v="BK"/>
    <s v="Maharashtra"/>
    <s v="Kiosk DAKC, Ghansoli"/>
    <s v="Mumbai"/>
    <n v="464"/>
    <m/>
    <m/>
    <m/>
    <s v=""/>
    <m/>
    <s v=""/>
    <m/>
    <d v="1899-12-30T00:00:00"/>
    <s v=""/>
    <m/>
    <s v=""/>
    <m/>
    <s v=""/>
    <m/>
    <s v=" "/>
    <s v=" "/>
    <x v="3"/>
    <s v="5. Budget approved RFC awaited"/>
    <m/>
  </r>
  <r>
    <s v="SEVEBK16421"/>
    <n v="44"/>
    <s v="E. Other Business"/>
    <s v="Other Business"/>
    <x v="0"/>
    <s v="NSO"/>
    <s v="West"/>
    <s v="BK"/>
    <s v="Maharashtra"/>
    <s v="Kiosk Pune Metro Wipro Station"/>
    <s v="Pune"/>
    <m/>
    <m/>
    <m/>
    <m/>
    <s v=""/>
    <m/>
    <s v=""/>
    <m/>
    <d v="1899-12-30T00:00:00"/>
    <s v=""/>
    <m/>
    <s v=""/>
    <m/>
    <s v=""/>
    <m/>
    <s v=" "/>
    <s v=" "/>
    <x v="8"/>
    <s v="2. ML Awaited"/>
    <m/>
  </r>
  <r>
    <s v="SEVEBK16422"/>
    <n v="45"/>
    <s v="E. Other Business"/>
    <s v="Other Business"/>
    <x v="0"/>
    <s v="NSO"/>
    <s v="West"/>
    <s v="BK"/>
    <s v="Maharashtra"/>
    <s v="Kiosk Pune Metro Infosys Station"/>
    <s v="Pune"/>
    <m/>
    <m/>
    <m/>
    <m/>
    <s v=""/>
    <m/>
    <s v=""/>
    <m/>
    <d v="1899-12-30T00:00:00"/>
    <s v=""/>
    <m/>
    <s v=""/>
    <m/>
    <s v=""/>
    <m/>
    <s v=" "/>
    <s v=" "/>
    <x v="8"/>
    <s v="2. ML Awaited"/>
    <m/>
  </r>
  <r>
    <s v="SEVEBK16423"/>
    <n v="46"/>
    <s v="E. Other Business"/>
    <s v="Other Business"/>
    <x v="0"/>
    <s v="NSO"/>
    <s v="West"/>
    <s v="BK"/>
    <s v="Maharashtra"/>
    <s v="Kiosk Pune Metro Pall India Station"/>
    <s v="Pune"/>
    <m/>
    <m/>
    <m/>
    <m/>
    <s v=""/>
    <m/>
    <s v=""/>
    <m/>
    <d v="1899-12-30T00:00:00"/>
    <s v=""/>
    <m/>
    <s v=""/>
    <m/>
    <s v=""/>
    <m/>
    <s v=" "/>
    <s v=" "/>
    <x v="8"/>
    <s v="2. ML Awaited"/>
    <m/>
  </r>
  <r>
    <s v="SEVEBK16424"/>
    <n v="47"/>
    <s v="E. Other Business"/>
    <s v="Other Business"/>
    <x v="0"/>
    <s v="NSO"/>
    <s v="West"/>
    <s v="BK"/>
    <s v="Maharashtra"/>
    <s v="Kiosk Pune Metro Wakad Chowk"/>
    <s v="Pune"/>
    <m/>
    <m/>
    <m/>
    <m/>
    <s v=""/>
    <m/>
    <s v=""/>
    <m/>
    <d v="1899-12-30T00:00:00"/>
    <s v=""/>
    <m/>
    <s v=""/>
    <m/>
    <s v=""/>
    <m/>
    <s v=" "/>
    <s v=" "/>
    <x v="8"/>
    <s v="2. ML Awaited"/>
    <m/>
  </r>
  <r>
    <s v="SEVEBK16425"/>
    <n v="48"/>
    <s v="E. Other Business"/>
    <s v="Other Business"/>
    <x v="0"/>
    <s v="NSO"/>
    <s v="West"/>
    <s v="BK"/>
    <s v="Maharashtra"/>
    <s v="Kiosk Pune Metro- Agriculture Station"/>
    <s v="Pune"/>
    <m/>
    <m/>
    <m/>
    <m/>
    <s v=""/>
    <m/>
    <s v=""/>
    <m/>
    <d v="1899-12-30T00:00:00"/>
    <s v=""/>
    <m/>
    <s v=""/>
    <m/>
    <s v=""/>
    <m/>
    <s v=" "/>
    <s v=" "/>
    <x v="4"/>
    <s v="11. HOLD"/>
    <m/>
  </r>
  <r>
    <s v="SEVEBK16426"/>
    <n v="49"/>
    <s v="E. Other Business"/>
    <s v="Other Business"/>
    <x v="0"/>
    <s v="NSO"/>
    <s v="West"/>
    <s v="BK"/>
    <s v="Maharashtra"/>
    <s v="Bhumi World, Bhiwandi Bypass"/>
    <s v="Mumbai"/>
    <m/>
    <m/>
    <m/>
    <m/>
    <s v=""/>
    <m/>
    <s v=""/>
    <m/>
    <d v="1899-12-30T00:00:00"/>
    <s v=""/>
    <m/>
    <s v=""/>
    <m/>
    <s v=""/>
    <m/>
    <s v=" "/>
    <s v=" "/>
    <x v="8"/>
    <s v="2. ML Awaited"/>
    <m/>
  </r>
  <r>
    <s v="SEVEBK16427"/>
    <n v="50"/>
    <s v="E. Other Business"/>
    <s v="Other Business"/>
    <x v="0"/>
    <s v="NSO"/>
    <s v="West"/>
    <s v="BK"/>
    <s v="Maharashtra"/>
    <s v="Snooze House, Amantran, Dombivli"/>
    <s v="Mumbai"/>
    <m/>
    <m/>
    <m/>
    <m/>
    <s v=""/>
    <m/>
    <s v=""/>
    <m/>
    <d v="1899-12-30T00:00:00"/>
    <s v=""/>
    <m/>
    <s v=""/>
    <m/>
    <s v=""/>
    <m/>
    <s v=" "/>
    <s v=" "/>
    <x v="4"/>
    <s v="11. HOLD"/>
    <m/>
  </r>
  <r>
    <s v="SEVEBK16428"/>
    <n v="51"/>
    <s v="E. Other Business"/>
    <s v="Other Business"/>
    <x v="0"/>
    <s v="NSO"/>
    <s v="West"/>
    <s v="BK"/>
    <s v="Maharashtra"/>
    <s v="Gabi Business Park, Bhivandi Bypass"/>
    <s v="Mumbai"/>
    <m/>
    <m/>
    <m/>
    <m/>
    <s v=""/>
    <m/>
    <s v=""/>
    <m/>
    <d v="1899-12-30T00:00:00"/>
    <s v=""/>
    <m/>
    <s v=""/>
    <m/>
    <s v=""/>
    <m/>
    <s v=" "/>
    <s v=" "/>
    <x v="4"/>
    <s v="11. HOLD"/>
    <m/>
  </r>
  <r>
    <s v="SESBBK10620"/>
    <n v="52"/>
    <s v="E. Other Business"/>
    <s v="Other Business"/>
    <x v="11"/>
    <s v="NSO"/>
    <s v="West"/>
    <s v="BK"/>
    <s v="Maharashtra"/>
    <s v="Metro Mall, Kalyan"/>
    <s v="Mumbai"/>
    <n v="601"/>
    <s v="Pending"/>
    <m/>
    <m/>
    <s v=""/>
    <m/>
    <s v=""/>
    <n v="35"/>
    <d v="1900-02-03T00:00:00"/>
    <s v=""/>
    <m/>
    <s v=""/>
    <m/>
    <s v=""/>
    <m/>
    <s v=" "/>
    <s v=" "/>
    <x v="4"/>
    <s v="11. HOLD"/>
    <m/>
  </r>
  <r>
    <s v="SEVEBK10609"/>
    <n v="53"/>
    <s v="E. Other Business"/>
    <s v="Other Business"/>
    <x v="0"/>
    <s v="NSO"/>
    <s v="West"/>
    <s v="BK"/>
    <s v="Gujarat"/>
    <s v="Ashirwad High Street"/>
    <s v="Surat"/>
    <m/>
    <s v="Pending"/>
    <m/>
    <m/>
    <s v=""/>
    <m/>
    <s v=""/>
    <n v="35"/>
    <d v="1900-02-03T00:00:00"/>
    <s v=""/>
    <m/>
    <s v=""/>
    <m/>
    <s v=""/>
    <m/>
    <s v=" "/>
    <s v=" "/>
    <x v="4"/>
    <s v="11. HOLD"/>
    <m/>
  </r>
  <r>
    <s v="SEVEBK10611"/>
    <n v="54"/>
    <s v="E. Other Business"/>
    <s v="Other Business"/>
    <x v="0"/>
    <s v="NSO"/>
    <s v="West"/>
    <s v="BK"/>
    <s v="Maharashtra"/>
    <s v="Aum Supreme, Kalyan"/>
    <s v="Mumbai"/>
    <m/>
    <s v="Pending"/>
    <m/>
    <m/>
    <s v=""/>
    <m/>
    <s v=""/>
    <n v="35"/>
    <d v="1900-02-03T00:00:00"/>
    <s v=""/>
    <m/>
    <s v=""/>
    <m/>
    <s v=""/>
    <m/>
    <s v=" "/>
    <s v=" "/>
    <x v="4"/>
    <s v="11. HOLD"/>
    <m/>
  </r>
  <r>
    <s v="SEVEBK10612"/>
    <n v="55"/>
    <s v="E. Other Business"/>
    <s v="Other Business"/>
    <x v="0"/>
    <s v="NSO"/>
    <s v="West"/>
    <s v="BK"/>
    <s v="Gujarat"/>
    <s v="Avadh Kontina"/>
    <s v="Surat"/>
    <m/>
    <s v="Pending"/>
    <m/>
    <m/>
    <s v=""/>
    <m/>
    <s v=""/>
    <n v="35"/>
    <d v="1900-02-03T00:00:00"/>
    <s v=""/>
    <m/>
    <s v=""/>
    <m/>
    <s v=""/>
    <m/>
    <s v=" "/>
    <s v=" "/>
    <x v="4"/>
    <s v="11. HOLD"/>
    <m/>
  </r>
  <r>
    <s v="SEVEBK10628"/>
    <n v="56"/>
    <s v="E. Other Business"/>
    <s v="Other Business"/>
    <x v="0"/>
    <s v="NSO"/>
    <s v="West"/>
    <s v="BK"/>
    <s v="Maharashtra"/>
    <s v="Marathon Future X"/>
    <s v="Mumbai"/>
    <n v="666"/>
    <s v="Pending"/>
    <m/>
    <m/>
    <s v=""/>
    <m/>
    <s v=""/>
    <n v="35"/>
    <d v="1900-02-03T00:00:00"/>
    <s v=""/>
    <m/>
    <s v=""/>
    <m/>
    <s v=""/>
    <m/>
    <s v=" "/>
    <s v=" "/>
    <x v="4"/>
    <s v="11. HOLD"/>
    <m/>
  </r>
  <r>
    <s v="SEVEBK10630"/>
    <n v="57"/>
    <s v="E. Other Business"/>
    <s v="Other Business"/>
    <x v="0"/>
    <s v="NSO"/>
    <s v="West"/>
    <s v="BK"/>
    <s v="Maharashtra"/>
    <s v="Adi Elementis"/>
    <s v="Pune"/>
    <n v="1245"/>
    <s v="Pending"/>
    <m/>
    <m/>
    <s v=""/>
    <m/>
    <s v=""/>
    <n v="35"/>
    <d v="1900-02-03T00:00:00"/>
    <s v=""/>
    <m/>
    <s v=""/>
    <m/>
    <s v=""/>
    <m/>
    <s v=" "/>
    <s v=" "/>
    <x v="4"/>
    <s v="11. HOLD"/>
    <m/>
  </r>
  <r>
    <s v="SEVEBK11344"/>
    <n v="58"/>
    <s v="E. Other Business"/>
    <s v="Other Business"/>
    <x v="0"/>
    <s v="NSO"/>
    <s v="West"/>
    <s v="BK"/>
    <s v="Maharashtra"/>
    <s v="Capital Mall, Vasai  1"/>
    <s v="Mumbai"/>
    <n v="523"/>
    <s v="Pending"/>
    <m/>
    <m/>
    <s v=""/>
    <m/>
    <s v=""/>
    <n v="35"/>
    <d v="1900-02-03T00:00:00"/>
    <s v=""/>
    <m/>
    <s v=""/>
    <m/>
    <s v=""/>
    <m/>
    <s v=" "/>
    <s v=" "/>
    <x v="9"/>
    <s v="14. Dropped"/>
    <m/>
  </r>
  <r>
    <s v="SEVEBK11345"/>
    <n v="59"/>
    <s v="E. Other Business"/>
    <s v="Other Business"/>
    <x v="0"/>
    <s v="NSO"/>
    <s v="West"/>
    <s v="BK"/>
    <s v="Maharashtra"/>
    <s v="Times Square - Stall 1"/>
    <s v="Mumbai"/>
    <n v="251"/>
    <s v="Pending"/>
    <m/>
    <m/>
    <s v=""/>
    <m/>
    <s v=""/>
    <n v="35"/>
    <d v="1900-02-03T00:00:00"/>
    <s v=""/>
    <m/>
    <s v=""/>
    <m/>
    <s v=""/>
    <m/>
    <s v=" "/>
    <s v=" "/>
    <x v="4"/>
    <s v="11. HOLD"/>
    <m/>
  </r>
  <r>
    <s v="ADOFAS10639"/>
    <n v="60"/>
    <s v="K. Other Office Infrastructure"/>
    <s v="Office"/>
    <x v="8"/>
    <s v="NSO"/>
    <s v="South"/>
    <s v="AS"/>
    <s v="Karnataka"/>
    <s v="IBC Knowledge Park-Tower B_x000a_1st, 3rd &amp; 7th Floor"/>
    <s v="Bangalore"/>
    <n v="5669.98"/>
    <s v="DCDCKQCDJ00"/>
    <m/>
    <m/>
    <s v=""/>
    <m/>
    <s v=""/>
    <n v="55"/>
    <d v="1900-02-23T00:00:00"/>
    <s v=""/>
    <m/>
    <s v=""/>
    <m/>
    <s v=""/>
    <m/>
    <s v=" "/>
    <s v=" "/>
    <x v="4"/>
    <s v="11. HOLD"/>
    <m/>
  </r>
  <r>
    <s v="ADOFAS10640"/>
    <n v="61"/>
    <s v="K. Other Office Infrastructure"/>
    <s v="Office"/>
    <x v="8"/>
    <s v="NSO"/>
    <s v="South"/>
    <s v="AS"/>
    <s v="Karnataka"/>
    <s v="IBC Knowledge Park Tower A - 5th"/>
    <s v="Bangalore"/>
    <m/>
    <s v="DCDCKQ5EV00"/>
    <m/>
    <m/>
    <s v=""/>
    <m/>
    <s v=""/>
    <n v="55"/>
    <d v="1900-02-23T00:00:00"/>
    <s v=""/>
    <m/>
    <s v=""/>
    <m/>
    <s v=""/>
    <m/>
    <s v=" "/>
    <s v=" "/>
    <x v="4"/>
    <s v="11. HOLD"/>
    <m/>
  </r>
  <r>
    <s v="ADOFRT12644"/>
    <n v="62"/>
    <s v="K. Other Office Infrastructure"/>
    <s v="Office"/>
    <x v="8"/>
    <s v="NSO"/>
    <s v="North"/>
    <s v="RT"/>
    <s v="Delhi NCR"/>
    <s v="7th floor (Prakshdeep Building )"/>
    <s v="Delhi"/>
    <n v="1105"/>
    <m/>
    <m/>
    <m/>
    <s v=""/>
    <m/>
    <s v=""/>
    <m/>
    <d v="1899-12-30T00:00:00"/>
    <s v=""/>
    <m/>
    <s v=""/>
    <m/>
    <s v=""/>
    <m/>
    <s v=" "/>
    <s v=" "/>
    <x v="4"/>
    <s v="11. HOLD"/>
    <m/>
  </r>
  <r>
    <s v="ADOFAS11458"/>
    <n v="63"/>
    <s v="K. Other Office Infrastructure"/>
    <s v="Office"/>
    <x v="8"/>
    <s v="NSO"/>
    <s v="South"/>
    <s v="AS"/>
    <s v="Karnataka"/>
    <s v="Ajio Studio"/>
    <s v="Bangalore"/>
    <n v="1120"/>
    <m/>
    <m/>
    <m/>
    <s v=""/>
    <m/>
    <s v=""/>
    <m/>
    <d v="1899-12-30T00:00:00"/>
    <s v=""/>
    <m/>
    <s v=""/>
    <m/>
    <s v=""/>
    <m/>
    <s v=" "/>
    <s v=" "/>
    <x v="4"/>
    <s v="11. HOLD"/>
    <m/>
  </r>
  <r>
    <s v="ADOFRT10638"/>
    <n v="64"/>
    <s v="K. Other Office Infrastructure"/>
    <s v="Office"/>
    <x v="8"/>
    <s v="NSO"/>
    <s v="North"/>
    <s v="RT"/>
    <s v="Delhi &amp; NCR"/>
    <s v="CBD Shahadra"/>
    <s v="Delhi"/>
    <m/>
    <m/>
    <m/>
    <m/>
    <s v=""/>
    <m/>
    <s v=""/>
    <n v="55"/>
    <d v="1900-02-23T00:00:00"/>
    <s v=""/>
    <m/>
    <s v=""/>
    <m/>
    <s v=""/>
    <m/>
    <s v=" "/>
    <s v=" "/>
    <x v="4"/>
    <s v="11. HOLD"/>
    <m/>
  </r>
  <r>
    <s v="ADOFAS11354"/>
    <n v="65"/>
    <s v="K. Other Office Infrastructure"/>
    <s v="Office"/>
    <x v="8"/>
    <s v="Additional Work"/>
    <s v="South"/>
    <s v="AS"/>
    <s v="Karnataka"/>
    <s v="IBC Knowledge Park-Category room- Tower D Additional Work"/>
    <s v="Bangalore"/>
    <m/>
    <s v="DCDCKQ5EU00 "/>
    <m/>
    <m/>
    <s v=""/>
    <m/>
    <s v=""/>
    <m/>
    <d v="1899-12-30T00:00:00"/>
    <s v=""/>
    <m/>
    <s v=""/>
    <m/>
    <s v=""/>
    <m/>
    <s v=" "/>
    <s v=" "/>
    <x v="4"/>
    <s v="11. HOLD"/>
    <m/>
  </r>
  <r>
    <s v="ADOFAS11743"/>
    <n v="66"/>
    <s v="K. Other Office Infrastructure"/>
    <s v="Office"/>
    <x v="8"/>
    <s v="NSO"/>
    <s v="South"/>
    <s v="AS"/>
    <s v="Karnataka"/>
    <s v="Performax Category room – At IBC Tower B, 4th Floor"/>
    <s v="Bangalore"/>
    <n v="924"/>
    <m/>
    <m/>
    <m/>
    <s v=""/>
    <m/>
    <s v=""/>
    <m/>
    <d v="1899-12-30T00:00:00"/>
    <s v=""/>
    <m/>
    <s v=""/>
    <m/>
    <s v=""/>
    <m/>
    <s v=" "/>
    <s v=" "/>
    <x v="4"/>
    <s v="11. HOLD"/>
    <m/>
  </r>
  <r>
    <s v="NETMAS10520"/>
    <n v="67"/>
    <s v="D. Pharma Format"/>
    <s v="Pharma Format"/>
    <x v="12"/>
    <s v="NSO"/>
    <s v="South"/>
    <s v="AS"/>
    <s v="Tamil Nadu"/>
    <s v="Mr.Jahir Hussain &amp; Others, No.1-B, Srinivasa Nagar, 1st Main Road, Srinivasa Nagar, Kolathur, Chennai  - 600 099"/>
    <s v="Chenai"/>
    <n v="1031"/>
    <s v="NETMTQH1F00"/>
    <m/>
    <m/>
    <s v=""/>
    <m/>
    <s v=""/>
    <n v="15"/>
    <d v="1900-01-14T00:00:00"/>
    <s v=""/>
    <m/>
    <s v=""/>
    <m/>
    <s v=""/>
    <m/>
    <s v=" "/>
    <s v=" "/>
    <x v="4"/>
    <s v="11. HOLD"/>
    <m/>
  </r>
  <r>
    <s v="NETMAS10546"/>
    <n v="68"/>
    <s v="D. Pharma Format"/>
    <s v="Pharma Format"/>
    <x v="12"/>
    <s v="NSO"/>
    <s v="South"/>
    <s v="AS"/>
    <s v="Karnataka"/>
    <s v="Anand Patil Property – BIET Collage Rd – Davanagere"/>
    <s v="Bangalore"/>
    <n v="1560"/>
    <s v="NETMKQHTT00"/>
    <m/>
    <d v="2022-11-11T00:00:00"/>
    <s v="November 22 Week 2"/>
    <m/>
    <s v=""/>
    <n v="15"/>
    <d v="1900-01-14T00:00:00"/>
    <s v=""/>
    <m/>
    <s v=""/>
    <m/>
    <s v=""/>
    <m/>
    <s v=" "/>
    <s v=" "/>
    <x v="4"/>
    <s v="11. HOLD"/>
    <m/>
  </r>
  <r>
    <s v="NETMAS10547"/>
    <n v="69"/>
    <s v="D. Pharma Format"/>
    <s v="Pharma Format"/>
    <x v="12"/>
    <s v="NSO"/>
    <s v="South"/>
    <s v="AS"/>
    <s v="Karnataka"/>
    <s v="Sathyanarayan property - RR Nagar"/>
    <s v="Bangalore"/>
    <n v="770"/>
    <m/>
    <m/>
    <d v="2022-11-07T00:00:00"/>
    <s v="November 22 Week 1"/>
    <m/>
    <s v=""/>
    <n v="15"/>
    <d v="1900-01-14T00:00:00"/>
    <s v=""/>
    <m/>
    <s v=""/>
    <m/>
    <s v=""/>
    <m/>
    <s v=" "/>
    <s v=" "/>
    <x v="4"/>
    <s v="11. HOLD"/>
    <m/>
  </r>
  <r>
    <s v="NETMAS10548"/>
    <n v="70"/>
    <s v="D. Pharma Format"/>
    <s v="Pharma Format"/>
    <x v="12"/>
    <s v="NSO"/>
    <s v="South"/>
    <s v="AS"/>
    <s v="Karnataka"/>
    <s v="Arun Kumar -NO 10/2 9th Cross Jp nagar 1st phase Bangalore 560078"/>
    <s v="Bangalore"/>
    <n v="1400"/>
    <s v="NETMKQ3T200"/>
    <m/>
    <d v="2022-09-01T00:00:00"/>
    <s v="September 22 Week 1"/>
    <m/>
    <s v=""/>
    <n v="15"/>
    <d v="1900-01-14T00:00:00"/>
    <s v=""/>
    <m/>
    <s v=""/>
    <m/>
    <s v=""/>
    <m/>
    <s v=" "/>
    <s v=" "/>
    <x v="4"/>
    <s v="11. HOLD"/>
    <m/>
  </r>
  <r>
    <s v="NETMBK10549"/>
    <n v="71"/>
    <s v="D. Pharma Format"/>
    <s v="Pharma Format"/>
    <x v="12"/>
    <s v="NSO"/>
    <s v="West"/>
    <s v="BK"/>
    <s v="Gujarat"/>
    <s v="Grace business park, sola road,ahmedabad"/>
    <s v="Ahmedabad"/>
    <n v="970"/>
    <s v="NETMGQIJJ00"/>
    <m/>
    <d v="2022-11-03T00:00:00"/>
    <s v="November 22 Week 1"/>
    <m/>
    <s v=""/>
    <n v="15"/>
    <d v="1900-01-14T00:00:00"/>
    <s v=""/>
    <m/>
    <s v=""/>
    <m/>
    <s v=""/>
    <m/>
    <s v=" "/>
    <s v=" "/>
    <x v="4"/>
    <s v="11. HOLD"/>
    <m/>
  </r>
  <r>
    <s v="NETMBK10550"/>
    <n v="72"/>
    <s v="D. Pharma Format"/>
    <s v="Pharma Format"/>
    <x v="12"/>
    <s v="NSO"/>
    <s v="West"/>
    <s v="BK"/>
    <s v="Maharashtra"/>
    <s v="Neelsidhi Amrante, Roadpali ,Kalamboli,Navi Mumbai"/>
    <s v="Navi Mumbai"/>
    <n v="750"/>
    <m/>
    <m/>
    <d v="2022-12-20T00:00:00"/>
    <s v="December 22 Week 3"/>
    <m/>
    <s v=""/>
    <n v="15"/>
    <d v="1900-01-14T00:00:00"/>
    <s v=""/>
    <m/>
    <s v=""/>
    <m/>
    <s v=""/>
    <m/>
    <s v=" "/>
    <s v=" "/>
    <x v="4"/>
    <s v="11. HOLD"/>
    <m/>
  </r>
  <r>
    <s v="NETMBK10551"/>
    <n v="73"/>
    <s v="D. Pharma Format"/>
    <s v="Pharma Format"/>
    <x v="12"/>
    <s v="NSO"/>
    <s v="West"/>
    <s v="BK"/>
    <s v="Maharashtra"/>
    <s v="Ganraya Krupa Bldg - Next to Wellness Pharmacy, Katrap, Badlapur "/>
    <s v="Thane"/>
    <n v="895"/>
    <m/>
    <m/>
    <d v="2022-12-14T00:00:00"/>
    <s v="December 22 Week 2"/>
    <m/>
    <s v=""/>
    <n v="15"/>
    <d v="1900-01-14T00:00:00"/>
    <s v=""/>
    <m/>
    <s v=""/>
    <m/>
    <s v=""/>
    <m/>
    <s v=" "/>
    <s v=" "/>
    <x v="4"/>
    <s v="11. HOLD"/>
    <m/>
  </r>
  <r>
    <s v="NETMSD10552"/>
    <n v="74"/>
    <s v="D. Pharma Format"/>
    <s v="Pharma Format"/>
    <x v="12"/>
    <s v="NSO"/>
    <s v="East"/>
    <s v="SD"/>
    <s v="West Bengal"/>
    <s v="Barasaat Taki Road"/>
    <s v="Barasaat"/>
    <n v="1000"/>
    <m/>
    <m/>
    <d v="2023-03-20T00:00:00"/>
    <s v="March 23 Week 3"/>
    <m/>
    <s v=""/>
    <n v="15"/>
    <d v="1900-01-14T00:00:00"/>
    <s v=""/>
    <m/>
    <s v=""/>
    <m/>
    <s v=""/>
    <m/>
    <s v=" "/>
    <s v=" "/>
    <x v="4"/>
    <s v="11. HOLD"/>
    <m/>
  </r>
  <r>
    <s v="PHSmarS321"/>
    <n v="75"/>
    <s v="D. Pharma Format"/>
    <s v="Pharma Format"/>
    <x v="13"/>
    <s v="Refit"/>
    <s v="South"/>
    <s v="AK"/>
    <s v="Karnataka"/>
    <s v="Gavisiddappa Banikatti Gadag Road  , Koppal , Ward No 21 Next To Patanjali  , KOPPAL , 583231"/>
    <s v="KOPPAL"/>
    <n v="400"/>
    <s v="NETMKQB3O00"/>
    <s v="Sreekanth.Bijjhalli-9900039061"/>
    <d v="2024-03-26T00:00:00"/>
    <s v="March 24 Week 4"/>
    <d v="2024-03-26T00:00:00"/>
    <s v="March 24 Week 4"/>
    <n v="7"/>
    <d v="2024-04-02T00:00:00"/>
    <s v="April 24 Week 1"/>
    <m/>
    <s v=""/>
    <d v="2024-03-30T00:00:00"/>
    <s v="March 24 Week 5"/>
    <m/>
    <s v=" "/>
    <s v=" "/>
    <x v="4"/>
    <s v="11. HOLD"/>
    <m/>
  </r>
  <r>
    <s v="PHCOAS10497"/>
    <n v="76"/>
    <s v="D. Pharma Format"/>
    <s v="Pharma Format"/>
    <x v="13"/>
    <s v="Refit"/>
    <s v="South"/>
    <s v="AS"/>
    <s v="Kerala"/>
    <s v="Alfiya Business Centre Abc Alamcode  , Thiruvananthapuram , Attingal Market Road  , ALAMCODE , 695102"/>
    <s v="ALAMCODE"/>
    <n v="400"/>
    <s v="NETMVQECU00"/>
    <m/>
    <m/>
    <s v=""/>
    <m/>
    <s v=""/>
    <n v="0"/>
    <d v="1899-12-30T00:00:00"/>
    <s v=""/>
    <m/>
    <s v=""/>
    <m/>
    <s v=""/>
    <m/>
    <s v=" "/>
    <s v=" "/>
    <x v="4"/>
    <s v="11. HOLD"/>
    <m/>
  </r>
  <r>
    <s v="PHCOSD10498"/>
    <n v="77"/>
    <s v="D. Pharma Format"/>
    <s v="Pharma Format"/>
    <x v="13"/>
    <s v="Refit"/>
    <s v="East"/>
    <s v="SD"/>
    <s v="West Bengal"/>
    <s v="Arambagh Taltala Bazar  , Hooghly Nr B K Ray Super Market , Ward No 5 Po Ps Arambag  , ARAMBAG , 712601"/>
    <s v="Arambag"/>
    <n v="400"/>
    <s v="NETMWQDWN00"/>
    <m/>
    <m/>
    <s v=""/>
    <m/>
    <s v=""/>
    <n v="0"/>
    <d v="1899-12-30T00:00:00"/>
    <s v=""/>
    <m/>
    <s v=""/>
    <m/>
    <s v=""/>
    <m/>
    <s v=" "/>
    <s v=" "/>
    <x v="4"/>
    <s v="11. HOLD"/>
    <m/>
  </r>
  <r>
    <s v="PHCOAS10499"/>
    <n v="78"/>
    <s v="D. Pharma Format"/>
    <s v="Pharma Format"/>
    <x v="13"/>
    <s v="Refit"/>
    <s v="South"/>
    <s v="AS"/>
    <s v="Kerala"/>
    <s v="Chungath Building  , Chavara P O , N H 66  , KOLLAM , 690524"/>
    <s v="Chavera"/>
    <n v="400"/>
    <s v="NETMVQ9W500"/>
    <m/>
    <m/>
    <s v=""/>
    <m/>
    <s v=""/>
    <n v="0"/>
    <d v="1899-12-30T00:00:00"/>
    <s v=""/>
    <m/>
    <s v=""/>
    <m/>
    <s v=""/>
    <m/>
    <s v=" "/>
    <s v=" "/>
    <x v="4"/>
    <s v="11. HOLD"/>
    <m/>
  </r>
  <r>
    <s v="PHCOSD10500"/>
    <n v="79"/>
    <s v="D. Pharma Format"/>
    <s v="Pharma Format"/>
    <x v="13"/>
    <s v="Refit"/>
    <s v="East"/>
    <s v="SD"/>
    <s v="Assam &amp; NE"/>
    <s v="GF Hukuta Gaon Mouza  , Circle Duliajan Dist Dibrugarh , Tipling Tengakhat Revenue  , DULIAJAN , 786602"/>
    <s v="DHULIAJAN"/>
    <n v="401"/>
    <s v="NETMFQB7S00"/>
    <m/>
    <m/>
    <s v=""/>
    <m/>
    <s v=""/>
    <n v="0"/>
    <d v="1899-12-30T00:00:00"/>
    <s v=""/>
    <m/>
    <s v=""/>
    <m/>
    <s v=""/>
    <m/>
    <s v=" "/>
    <s v=" "/>
    <x v="4"/>
    <s v="11. HOLD"/>
    <m/>
  </r>
  <r>
    <s v="PHCOSD10501"/>
    <n v="80"/>
    <s v="D. Pharma Format"/>
    <s v="Pharma Format"/>
    <x v="13"/>
    <s v="Refit"/>
    <s v="East"/>
    <s v="SD"/>
    <s v="Assam &amp; NE"/>
    <s v="GF JSB Pavillion Dag no339 P P Patta  , Dibrugarh Dist Dibrugarh , 5 Old 13 New Niz Kadamini gaon Mouza  , DIBRUGARH , 786003"/>
    <s v="Dibrugarh"/>
    <n v="407"/>
    <s v="NETMFQ6ON00"/>
    <m/>
    <m/>
    <s v=""/>
    <m/>
    <s v=""/>
    <n v="0"/>
    <d v="1899-12-30T00:00:00"/>
    <s v=""/>
    <m/>
    <s v=""/>
    <m/>
    <s v=""/>
    <m/>
    <s v=" "/>
    <s v=" "/>
    <x v="4"/>
    <s v="11. HOLD"/>
    <m/>
  </r>
  <r>
    <s v="PHCOAS10502"/>
    <n v="81"/>
    <s v="D. Pharma Format"/>
    <s v="Pharma Format"/>
    <x v="13"/>
    <s v="Refit"/>
    <s v="South"/>
    <s v="AS"/>
    <s v="Kerala"/>
    <s v="Vinayaka Plaza Near Kerala Gramin Bank  , Pathanamthitta , Mannadi Road Enathu Adoor  , Enathu , 691526"/>
    <s v="ENATHU"/>
    <n v="409"/>
    <s v="NETMVQB1O00"/>
    <m/>
    <m/>
    <s v=""/>
    <m/>
    <s v=""/>
    <n v="0"/>
    <d v="1899-12-30T00:00:00"/>
    <s v=""/>
    <m/>
    <s v=""/>
    <m/>
    <s v=""/>
    <m/>
    <s v=" "/>
    <s v=" "/>
    <x v="4"/>
    <s v="11. HOLD"/>
    <m/>
  </r>
  <r>
    <s v="PHCOSD10503"/>
    <n v="82"/>
    <s v="D. Pharma Format"/>
    <s v="Pharma Format"/>
    <x v="13"/>
    <s v="Refit"/>
    <s v="East"/>
    <s v="SD"/>
    <s v="Assam &amp; NE"/>
    <s v="GF Haryana Bhawan Narayan Nagar Dag No  , Kumarpara , 1438 &amp; 2104 Periodic Patta No 1209 , Mouza Guwahati Dist Kamrup , GUWAHATI , 781009"/>
    <s v="Guwahati"/>
    <n v="400"/>
    <m/>
    <m/>
    <m/>
    <s v=""/>
    <m/>
    <s v=""/>
    <n v="0"/>
    <d v="1899-12-30T00:00:00"/>
    <s v=""/>
    <m/>
    <s v=""/>
    <m/>
    <s v=""/>
    <m/>
    <s v=" "/>
    <s v=" "/>
    <x v="4"/>
    <s v="11. HOLD"/>
    <m/>
  </r>
  <r>
    <s v="PHCOSD10504"/>
    <n v="83"/>
    <s v="D. Pharma Format"/>
    <s v="Pharma Format"/>
    <x v="13"/>
    <s v="Refit"/>
    <s v="East"/>
    <s v="SD"/>
    <s v="Assam &amp; NE"/>
    <s v="GF Village No41 Chingamathak Patta 41 94  , Sbi Bank Manipur , Old 132 569 New Dag No 1204 1297 1204 , 1300 Sub Division &amp; Tehsil Lamphel Centr , IMPHAL , 795001"/>
    <s v="Imphal"/>
    <n v="400"/>
    <s v="NETMPQDWF00"/>
    <m/>
    <m/>
    <s v=""/>
    <m/>
    <s v=""/>
    <n v="0"/>
    <d v="1899-12-30T00:00:00"/>
    <s v=""/>
    <m/>
    <s v=""/>
    <m/>
    <s v=""/>
    <m/>
    <s v=" "/>
    <s v=" "/>
    <x v="4"/>
    <s v="11. HOLD"/>
    <m/>
  </r>
  <r>
    <s v="PHCOSD10505"/>
    <n v="84"/>
    <s v="D. Pharma Format"/>
    <s v="Pharma Format"/>
    <x v="13"/>
    <s v="Refit"/>
    <s v="East"/>
    <s v="SD"/>
    <s v="Assam &amp; NE"/>
    <s v="GFVilaage No26 Wangkheirakpam Leikai Sub  , Imphal East , Division Tehsil Porompat District  , IMPHAL , 795005"/>
    <s v="Imphal"/>
    <n v="395"/>
    <s v="NETMPQCZO00"/>
    <m/>
    <m/>
    <s v=""/>
    <m/>
    <s v=""/>
    <n v="0"/>
    <d v="1899-12-30T00:00:00"/>
    <s v=""/>
    <m/>
    <s v=""/>
    <m/>
    <s v=""/>
    <m/>
    <s v=" "/>
    <s v=" "/>
    <x v="4"/>
    <s v="11. HOLD"/>
    <m/>
  </r>
  <r>
    <s v="PHCOAS10507"/>
    <n v="85"/>
    <s v="D. Pharma Format"/>
    <s v="Pharma Format"/>
    <x v="13"/>
    <s v="Refit"/>
    <s v="South"/>
    <s v="AS"/>
    <s v="Tamil Nadu"/>
    <s v="GF Malar Complex Door No 37 A  , KVB Thanthonimalai Dist Karur , Collectorate Road Near  , KARUR , 639005"/>
    <s v="Karur"/>
    <n v="400"/>
    <s v="NETMTQBIW00"/>
    <m/>
    <m/>
    <s v=""/>
    <m/>
    <s v=""/>
    <n v="0"/>
    <d v="1899-12-30T00:00:00"/>
    <s v=""/>
    <m/>
    <s v=""/>
    <m/>
    <s v=""/>
    <m/>
    <s v=" "/>
    <s v=" "/>
    <x v="4"/>
    <s v="11. HOLD"/>
    <m/>
  </r>
  <r>
    <s v="PHCOAS10508"/>
    <n v="86"/>
    <s v="D. Pharma Format"/>
    <s v="Pharma Format"/>
    <x v="13"/>
    <s v="Refit"/>
    <s v="South"/>
    <s v="AS"/>
    <s v="Andhra Pradesh"/>
    <s v="Ground Floor SATHYA LAKSHMI COMPLEX  , Rural &amp; District- Ankapalle , Dno 1SYno 110/2NH16 MAIN ROAD KASIMKOTA  , KASIMKOTA , 531031"/>
    <s v="KASIMKOTA"/>
    <n v="427"/>
    <s v="NETMAQDPV00"/>
    <m/>
    <m/>
    <s v=""/>
    <m/>
    <s v=""/>
    <n v="0"/>
    <d v="1899-12-30T00:00:00"/>
    <s v=""/>
    <m/>
    <s v=""/>
    <m/>
    <s v=""/>
    <m/>
    <s v=" "/>
    <s v=" "/>
    <x v="4"/>
    <s v="11. HOLD"/>
    <m/>
  </r>
  <r>
    <s v="PHCOBK10509"/>
    <n v="87"/>
    <s v="D. Pharma Format"/>
    <s v="Pharma Format"/>
    <x v="13"/>
    <s v="Refit"/>
    <s v="West"/>
    <s v="BK"/>
    <s v="Maharashtra"/>
    <s v="Gat No 1 2 3 Plot No 01 Nira Baramati  , Malegaon Budruk Pune , Road Near Ss Computers  , MALEGAON , 413115"/>
    <s v="Malegaon"/>
    <n v="280"/>
    <m/>
    <m/>
    <m/>
    <s v=""/>
    <m/>
    <s v=""/>
    <n v="0"/>
    <d v="1899-12-30T00:00:00"/>
    <s v=""/>
    <m/>
    <s v=""/>
    <m/>
    <s v=""/>
    <m/>
    <s v=" "/>
    <s v=" "/>
    <x v="4"/>
    <s v="11. HOLD"/>
    <m/>
  </r>
  <r>
    <s v="PHCOAS10510"/>
    <n v="88"/>
    <s v="D. Pharma Format"/>
    <s v="Pharma Format"/>
    <x v="13"/>
    <s v="Refit"/>
    <s v="South"/>
    <s v="AS"/>
    <s v="Kerala"/>
    <s v="Satvikam Arcade Opp to Siva Parvathy  , Kottayam , Temple Mariapalli Natakom PO  , Nattakom , 686013"/>
    <s v="NATTAKOM"/>
    <n v="400"/>
    <s v="NETMVQB1G00"/>
    <m/>
    <m/>
    <s v=""/>
    <m/>
    <s v=""/>
    <n v="0"/>
    <d v="1899-12-30T00:00:00"/>
    <s v=""/>
    <m/>
    <s v=""/>
    <m/>
    <s v=""/>
    <m/>
    <s v=" "/>
    <s v=" "/>
    <x v="4"/>
    <s v="11. HOLD"/>
    <m/>
  </r>
  <r>
    <s v="PHCOAS10511"/>
    <n v="89"/>
    <s v="D. Pharma Format"/>
    <s v="Pharma Format"/>
    <x v="13"/>
    <s v="Refit"/>
    <s v="South"/>
    <s v="AS"/>
    <s v="Andhra Pradesh"/>
    <s v="Sri Lakshmi Talkies  , Medarmetla , Near Ysr Circle  , Medarametla , 523212"/>
    <s v="Ongole"/>
    <n v="400"/>
    <s v="NETMAQCXP00"/>
    <m/>
    <m/>
    <s v=""/>
    <m/>
    <s v=""/>
    <n v="0"/>
    <d v="1899-12-30T00:00:00"/>
    <s v=""/>
    <m/>
    <s v=""/>
    <m/>
    <s v=""/>
    <m/>
    <s v=" "/>
    <s v=" "/>
    <x v="4"/>
    <s v="11. HOLD"/>
    <m/>
  </r>
  <r>
    <s v="PHCOAS10512"/>
    <n v="90"/>
    <s v="D. Pharma Format"/>
    <s v="Pharma Format"/>
    <x v="13"/>
    <s v="Refit"/>
    <s v="South"/>
    <s v="AS"/>
    <s v="Andhra Pradesh"/>
    <s v="Murali Complex Pakala  ,  , Andhra Pradesh  , PAKALA , 517112"/>
    <s v="Pakala"/>
    <n v="400"/>
    <s v="NETMAQ7Z800"/>
    <m/>
    <m/>
    <s v=""/>
    <m/>
    <s v=""/>
    <n v="0"/>
    <d v="1899-12-30T00:00:00"/>
    <s v=""/>
    <m/>
    <s v=""/>
    <m/>
    <s v=""/>
    <m/>
    <s v=" "/>
    <s v=" "/>
    <x v="4"/>
    <s v="11. HOLD"/>
    <m/>
  </r>
  <r>
    <s v="PHCOAS10513"/>
    <n v="91"/>
    <s v="D. Pharma Format"/>
    <s v="Pharma Format"/>
    <x v="13"/>
    <s v="Refit"/>
    <s v="South"/>
    <s v="AS"/>
    <s v="Kerala"/>
    <s v="Shamil Tower Opposite Federal Bank  ,  , Kizhakethala Karuvarukund Malappuram  , PERINTHALMANNA , 676523"/>
    <s v="Perinthalmanna"/>
    <n v="400"/>
    <s v="NETMVQCEZ00"/>
    <m/>
    <m/>
    <s v=""/>
    <m/>
    <s v=""/>
    <n v="0"/>
    <d v="1899-12-30T00:00:00"/>
    <s v=""/>
    <m/>
    <s v=""/>
    <m/>
    <s v=""/>
    <m/>
    <s v=" "/>
    <s v=" "/>
    <x v="4"/>
    <s v="11. HOLD"/>
    <m/>
  </r>
  <r>
    <s v="PHCOAS10514"/>
    <n v="92"/>
    <s v="D. Pharma Format"/>
    <s v="Pharma Format"/>
    <x v="13"/>
    <s v="Refit"/>
    <s v="South"/>
    <s v="AS"/>
    <s v="Andhra Pradesh"/>
    <s v="SP Pharma SRINIVASAPURAM PROPERTY"/>
    <s v="Tirupati"/>
    <n v="395"/>
    <s v="NETMAQ7Z900"/>
    <s v="Mr. Sudhakar Veerla"/>
    <m/>
    <s v=""/>
    <m/>
    <s v=""/>
    <n v="0"/>
    <d v="1899-12-30T00:00:00"/>
    <s v=""/>
    <m/>
    <s v=""/>
    <m/>
    <s v=""/>
    <m/>
    <s v=" "/>
    <s v=" "/>
    <x v="4"/>
    <s v="11. HOLD"/>
    <m/>
  </r>
  <r>
    <s v="PHCOAS10516"/>
    <n v="93"/>
    <s v="D. Pharma Format"/>
    <s v="Pharma Format"/>
    <x v="13"/>
    <s v="Refit"/>
    <s v="South"/>
    <s v="AS"/>
    <s v="Kerala"/>
    <s v="GF, Unit/Shop No. 4/978/A,B,C &amp; D  , Stop, PO. Vadasserikkara, Pathanamthitta , Universal  Tower,Opp.Vadasserikkara Bus  , Vadasserikkara , 689662"/>
    <s v="VADASSERIKKARA"/>
    <n v="392"/>
    <s v="NETMVQBUB00"/>
    <m/>
    <m/>
    <s v=""/>
    <m/>
    <s v=""/>
    <n v="0"/>
    <d v="1899-12-30T00:00:00"/>
    <s v=""/>
    <m/>
    <s v=""/>
    <m/>
    <s v=""/>
    <m/>
    <s v=" "/>
    <s v=" "/>
    <x v="4"/>
    <s v="11. HOLD"/>
    <m/>
  </r>
  <r>
    <s v="PHCOAS10517"/>
    <n v="94"/>
    <s v="D. Pharma Format"/>
    <s v="Pharma Format"/>
    <x v="13"/>
    <s v="Refit"/>
    <s v="South"/>
    <s v="AS"/>
    <s v="Andhra Pradesh"/>
    <s v="Srinivas Complex Lingamparthi Main Road  ,  , Besides Apsrtc Bus Stand Yeleswaram  , YELESWARAM , 533429"/>
    <s v="YELESWARAM"/>
    <n v="400"/>
    <s v="NETMAQ6KH00"/>
    <m/>
    <m/>
    <s v=""/>
    <m/>
    <s v=""/>
    <n v="0"/>
    <d v="1899-12-30T00:00:00"/>
    <s v=""/>
    <m/>
    <s v=""/>
    <m/>
    <s v=""/>
    <m/>
    <s v=" "/>
    <s v=" "/>
    <x v="4"/>
    <s v="11. HOLD"/>
    <m/>
  </r>
  <r>
    <s v="SEVEBK14549"/>
    <n v="95"/>
    <s v="E. Other Business"/>
    <s v="Other Business"/>
    <x v="0"/>
    <s v="NSO"/>
    <s v="West"/>
    <s v="BK"/>
    <s v="Maharashtra"/>
    <s v="Kiosk Panchshil EON W-Wakad"/>
    <s v="Pune"/>
    <n v="147.25"/>
    <m/>
    <m/>
    <m/>
    <s v=""/>
    <m/>
    <s v=""/>
    <m/>
    <d v="1899-12-30T00:00:00"/>
    <s v=""/>
    <m/>
    <s v=""/>
    <m/>
    <s v=""/>
    <m/>
    <s v=" "/>
    <s v=" "/>
    <x v="10"/>
    <s v="1. SDR in Progress"/>
    <m/>
  </r>
  <r>
    <s v="SEVEBK14695"/>
    <n v="96"/>
    <s v="E. Other Business"/>
    <s v="Other Business"/>
    <x v="0"/>
    <s v="NSO"/>
    <s v="West"/>
    <s v="BK"/>
    <s v="Maharashtra"/>
    <s v="Kiosk Panchshil Vantage, Kharadi, Pune"/>
    <s v="Pune"/>
    <m/>
    <m/>
    <m/>
    <m/>
    <s v=""/>
    <m/>
    <s v=""/>
    <m/>
    <d v="1899-12-30T00:00:00"/>
    <s v=""/>
    <m/>
    <s v=""/>
    <m/>
    <s v=""/>
    <m/>
    <s v=" "/>
    <s v=" "/>
    <x v="4"/>
    <s v="11. HOLD"/>
    <m/>
  </r>
  <r>
    <s v="SEVEBK15761"/>
    <n v="97"/>
    <s v="E. Other Business"/>
    <s v="Other Business"/>
    <x v="0"/>
    <s v="NSO"/>
    <s v="West"/>
    <s v="BK"/>
    <s v="Maharashtra"/>
    <s v="Bhavan's College  Andheri"/>
    <s v="Mumbai"/>
    <m/>
    <m/>
    <m/>
    <m/>
    <s v=""/>
    <m/>
    <s v=""/>
    <m/>
    <d v="1899-12-30T00:00:00"/>
    <s v=""/>
    <m/>
    <s v=""/>
    <m/>
    <s v=""/>
    <m/>
    <s v=" "/>
    <s v=" "/>
    <x v="4"/>
    <s v="11. HOLD"/>
    <m/>
  </r>
  <r>
    <s v="SEVEBK16290"/>
    <n v="98"/>
    <s v="E. Other Business"/>
    <s v="Other Business"/>
    <x v="0"/>
    <s v="NSO"/>
    <s v="West"/>
    <s v="BK"/>
    <s v="Maharashtra"/>
    <s v="Godrej II, Vikhroli"/>
    <s v="Mumbai"/>
    <m/>
    <m/>
    <m/>
    <m/>
    <s v=""/>
    <m/>
    <s v=""/>
    <m/>
    <d v="1899-12-30T00:00:00"/>
    <s v=""/>
    <m/>
    <s v=""/>
    <m/>
    <s v=""/>
    <m/>
    <s v=" "/>
    <s v=" "/>
    <x v="4"/>
    <s v="11. HOLD"/>
    <m/>
  </r>
  <r>
    <s v="SEVEBK16515"/>
    <n v="99"/>
    <s v="E. Other Business"/>
    <s v="Other Business"/>
    <x v="0"/>
    <s v="NSO"/>
    <s v="West"/>
    <s v="BK"/>
    <s v="Maharashtra"/>
    <s v="Chaitanya ,Viman Nagar -Pune."/>
    <s v="Pune"/>
    <m/>
    <m/>
    <m/>
    <m/>
    <s v=""/>
    <m/>
    <s v=""/>
    <m/>
    <d v="1899-12-30T00:00:00"/>
    <s v=""/>
    <m/>
    <s v=""/>
    <m/>
    <s v=""/>
    <m/>
    <s v=" "/>
    <s v=" "/>
    <x v="8"/>
    <s v="2. ML Awaited"/>
    <m/>
  </r>
  <r>
    <s v="SEVEBK16516"/>
    <n v="100"/>
    <s v="E. Other Business"/>
    <s v="Other Business"/>
    <x v="0"/>
    <s v="NSO"/>
    <s v="West"/>
    <s v="BK"/>
    <s v="Maharashtra"/>
    <s v="Keppel Tensteps Kharadi Pune"/>
    <s v="Pune"/>
    <m/>
    <m/>
    <m/>
    <m/>
    <s v=""/>
    <m/>
    <s v=""/>
    <m/>
    <d v="1899-12-30T00:00:00"/>
    <s v=""/>
    <m/>
    <s v=""/>
    <m/>
    <s v=""/>
    <m/>
    <s v=" "/>
    <s v=" "/>
    <x v="8"/>
    <s v="2. ML Awaited"/>
    <m/>
  </r>
  <r>
    <s v="SEVEBK16517"/>
    <n v="101"/>
    <s v="E. Other Business"/>
    <s v="Other Business"/>
    <x v="0"/>
    <s v="NSO"/>
    <s v="West"/>
    <s v="BK"/>
    <s v="Maharashtra"/>
    <s v="Godrej, Koregaon Park, Pune"/>
    <s v="Pune"/>
    <m/>
    <m/>
    <m/>
    <m/>
    <s v=""/>
    <m/>
    <s v=""/>
    <m/>
    <d v="1899-12-30T00:00:00"/>
    <s v=""/>
    <m/>
    <s v=""/>
    <m/>
    <s v=""/>
    <m/>
    <s v=" "/>
    <s v=" "/>
    <x v="8"/>
    <s v="2. ML Awaited"/>
    <m/>
  </r>
  <r>
    <s v="SEVEBK16518"/>
    <n v="102"/>
    <s v="E. Other Business"/>
    <s v="Other Business"/>
    <x v="0"/>
    <s v="NSO"/>
    <s v="West"/>
    <s v="BK"/>
    <s v="Maharashtra"/>
    <s v="Mumbai Metro -Aqua Line - MIDC"/>
    <s v="Mumbai"/>
    <m/>
    <m/>
    <m/>
    <m/>
    <s v=""/>
    <m/>
    <s v=""/>
    <m/>
    <d v="1899-12-30T00:00:00"/>
    <s v=""/>
    <m/>
    <s v=""/>
    <m/>
    <s v=""/>
    <m/>
    <s v=" "/>
    <s v=" "/>
    <x v="4"/>
    <s v="11. HOLD"/>
    <m/>
  </r>
  <r>
    <s v="SEVEBK16519"/>
    <n v="103"/>
    <s v="E. Other Business"/>
    <s v="Other Business"/>
    <x v="0"/>
    <s v="NSO"/>
    <s v="West"/>
    <s v="BK"/>
    <s v="Maharashtra"/>
    <s v="Mumbai Metro -Aqua Line  - BKC"/>
    <s v="Mumbai"/>
    <m/>
    <m/>
    <m/>
    <m/>
    <s v=""/>
    <m/>
    <s v=""/>
    <m/>
    <d v="1899-12-30T00:00:00"/>
    <s v=""/>
    <m/>
    <s v=""/>
    <m/>
    <s v=""/>
    <m/>
    <s v=" "/>
    <s v=" "/>
    <x v="4"/>
    <s v="11. HOLD"/>
    <m/>
  </r>
  <r>
    <s v="SEVEBK16520"/>
    <n v="104"/>
    <s v="E. Other Business"/>
    <s v="Other Business"/>
    <x v="0"/>
    <s v="NSO"/>
    <s v="West"/>
    <s v="BK"/>
    <s v="Maharashtra"/>
    <s v="Mumbai Metro -Aqua Line - Dadar"/>
    <s v="Mumbai"/>
    <m/>
    <m/>
    <m/>
    <m/>
    <s v=""/>
    <m/>
    <s v=""/>
    <m/>
    <d v="1899-12-30T00:00:00"/>
    <s v=""/>
    <m/>
    <s v=""/>
    <m/>
    <s v=""/>
    <m/>
    <s v=" "/>
    <s v=" "/>
    <x v="4"/>
    <s v="11. HOLD"/>
    <m/>
  </r>
  <r>
    <s v="SEVEBK16521"/>
    <n v="105"/>
    <s v="E. Other Business"/>
    <s v="Other Business"/>
    <x v="0"/>
    <s v="NSO"/>
    <s v="West"/>
    <s v="BK"/>
    <s v="Maharashtra"/>
    <s v="Mumbai Metro -Aqua Line  - Worli"/>
    <s v="Mumbai"/>
    <m/>
    <m/>
    <m/>
    <m/>
    <s v=""/>
    <m/>
    <s v=""/>
    <m/>
    <d v="1899-12-30T00:00:00"/>
    <s v=""/>
    <m/>
    <s v=""/>
    <m/>
    <s v=""/>
    <m/>
    <s v=" "/>
    <s v=" "/>
    <x v="4"/>
    <s v="11. HOLD"/>
    <m/>
  </r>
  <r>
    <s v="SEVEBK16522"/>
    <n v="106"/>
    <s v="E. Other Business"/>
    <s v="Other Business"/>
    <x v="0"/>
    <s v="NSO"/>
    <s v="West"/>
    <s v="BK"/>
    <s v="Maharashtra"/>
    <s v="Mumbai Metro -Aqua Line  - CSMT"/>
    <s v="Mumbai"/>
    <m/>
    <m/>
    <m/>
    <m/>
    <s v=""/>
    <m/>
    <s v=""/>
    <m/>
    <d v="1899-12-30T00:00:00"/>
    <s v=""/>
    <m/>
    <s v=""/>
    <m/>
    <s v=""/>
    <m/>
    <s v=" "/>
    <s v=" "/>
    <x v="4"/>
    <s v="11. HOLD"/>
    <m/>
  </r>
  <r>
    <s v="SEVEBK16523"/>
    <n v="107"/>
    <s v="E. Other Business"/>
    <s v="Other Business"/>
    <x v="0"/>
    <s v="NSO"/>
    <s v="West"/>
    <s v="BK"/>
    <s v="Maharashtra"/>
    <s v="Mumbai Metro -Line 2&amp;7  - Andheri W"/>
    <s v="Mumbai"/>
    <m/>
    <m/>
    <m/>
    <m/>
    <s v=""/>
    <m/>
    <s v=""/>
    <m/>
    <d v="1899-12-30T00:00:00"/>
    <s v=""/>
    <m/>
    <s v=""/>
    <m/>
    <s v=""/>
    <m/>
    <s v=" "/>
    <s v=" "/>
    <x v="4"/>
    <s v="11. HOLD"/>
    <m/>
  </r>
  <r>
    <s v="SEVEBK16524"/>
    <n v="108"/>
    <s v="E. Other Business"/>
    <s v="Other Business"/>
    <x v="0"/>
    <s v="NSO"/>
    <s v="West"/>
    <s v="BK"/>
    <s v="Maharashtra"/>
    <s v="Mumbai Metro -Line 2&amp;7 - Gundavali"/>
    <s v="Mumbai"/>
    <m/>
    <m/>
    <m/>
    <m/>
    <s v=""/>
    <m/>
    <s v=""/>
    <m/>
    <d v="1899-12-30T00:00:00"/>
    <s v=""/>
    <m/>
    <s v=""/>
    <m/>
    <s v=""/>
    <m/>
    <s v=" "/>
    <s v=" "/>
    <x v="4"/>
    <s v="11. HOLD"/>
    <m/>
  </r>
  <r>
    <s v="SEVEBK16525"/>
    <n v="109"/>
    <s v="E. Other Business"/>
    <s v="Other Business"/>
    <x v="0"/>
    <s v="NSO"/>
    <s v="West"/>
    <s v="BK"/>
    <s v="Maharashtra"/>
    <s v="Mumbai Metro -Line 2&amp;7  - Dahisar"/>
    <s v="Mumbai"/>
    <m/>
    <m/>
    <m/>
    <m/>
    <s v=""/>
    <m/>
    <s v=""/>
    <m/>
    <d v="1899-12-30T00:00:00"/>
    <s v=""/>
    <m/>
    <s v=""/>
    <m/>
    <s v=""/>
    <m/>
    <s v=" "/>
    <s v=" "/>
    <x v="4"/>
    <s v="11. HOLD"/>
    <m/>
  </r>
  <r>
    <s v="JIDGAK16526"/>
    <n v="109"/>
    <s v="E. Other Business"/>
    <s v="Other Business"/>
    <x v="3"/>
    <s v="NSO"/>
    <s v="South"/>
    <s v="AK"/>
    <s v="Karnataka"/>
    <s v="Sri Electronics"/>
    <s v="Nanjangud"/>
    <n v="233"/>
    <s v="JMDKA000666"/>
    <s v="NA"/>
    <d v="2026-04-27T00:00:00"/>
    <s v="April 26 Week 4"/>
    <d v="2026-04-27T00:00:00"/>
    <s v="April 26 Week 4"/>
    <n v="7"/>
    <d v="2026-05-04T00:00:00"/>
    <s v="May 26 Week 1"/>
    <d v="2026-05-02T00:00:00"/>
    <s v="May 26 Week 1"/>
    <m/>
    <s v=""/>
    <d v="2026-05-02T00:00:00"/>
    <s v="MAY 26 PLANNED"/>
    <s v="MAY 26"/>
    <x v="0"/>
    <e v="#N/A"/>
    <m/>
  </r>
  <r>
    <s v="URBSSD16527"/>
    <n v="110"/>
    <s v="E. Other Business"/>
    <s v="Other Business"/>
    <x v="1"/>
    <s v="SIS"/>
    <s v="East"/>
    <s v="SD"/>
    <s v="Bihar"/>
    <s v="Centro, Patna"/>
    <s v="Patna"/>
    <n v="3608"/>
    <m/>
    <m/>
    <m/>
    <s v=""/>
    <m/>
    <s v=""/>
    <m/>
    <d v="1899-12-30T00:00:00"/>
    <s v=""/>
    <m/>
    <s v=""/>
    <m/>
    <s v=""/>
    <m/>
    <s v=" "/>
    <s v=" "/>
    <x v="6"/>
    <s v="4. Budget Approval Pending"/>
    <m/>
  </r>
  <r>
    <s v="URBSBK16528"/>
    <n v="111"/>
    <s v="E. Other Business"/>
    <s v="Other Business"/>
    <x v="1"/>
    <s v="SIS"/>
    <s v="West"/>
    <s v="BK"/>
    <s v="Maharashtra"/>
    <s v="Centro, Thakur Mall Dahisar"/>
    <s v="Mumbai"/>
    <m/>
    <m/>
    <m/>
    <m/>
    <s v=""/>
    <m/>
    <s v=""/>
    <m/>
    <d v="1899-12-30T00:00:00"/>
    <s v=""/>
    <m/>
    <s v=""/>
    <m/>
    <s v=""/>
    <m/>
    <s v=" "/>
    <s v=" "/>
    <x v="6"/>
    <s v="4. Budget Approval Pending"/>
    <m/>
  </r>
  <r>
    <s v="URBLBK16607"/>
    <n v="112"/>
    <s v="E. Other Business"/>
    <s v="Other Business"/>
    <x v="9"/>
    <s v="NSO"/>
    <s v="West"/>
    <s v="BK"/>
    <s v="Maharashtra"/>
    <s v="Creaticity - Pune"/>
    <s v="Pune"/>
    <m/>
    <m/>
    <m/>
    <m/>
    <s v=""/>
    <m/>
    <s v=""/>
    <m/>
    <d v="1899-12-30T00:00:00"/>
    <s v=""/>
    <m/>
    <s v=""/>
    <m/>
    <s v=""/>
    <m/>
    <s v=" "/>
    <s v=" "/>
    <x v="8"/>
    <s v="2. ML Awaited"/>
    <m/>
  </r>
  <r>
    <s v="URBLSZ FO16608"/>
    <n v="113"/>
    <s v="E. Other Business"/>
    <s v="Other Business"/>
    <x v="9"/>
    <s v="NSO"/>
    <s v="South"/>
    <m/>
    <s v="Karnataka"/>
    <s v="Electronic City, Hosur Road"/>
    <s v="Bangalore"/>
    <m/>
    <m/>
    <m/>
    <m/>
    <s v=""/>
    <m/>
    <s v=""/>
    <m/>
    <d v="1899-12-30T00:00:00"/>
    <s v=""/>
    <m/>
    <s v=""/>
    <m/>
    <s v=""/>
    <m/>
    <s v=" "/>
    <s v=" "/>
    <x v="8"/>
    <s v="2. ML Awaited"/>
    <m/>
  </r>
  <r>
    <s v="SEVEBK16617"/>
    <n v="114"/>
    <s v="E. Other Business"/>
    <s v="Other Business"/>
    <x v="0"/>
    <s v="NSO"/>
    <s v="West"/>
    <s v="BK"/>
    <s v="Maharashtra"/>
    <s v="Agastya Corporate Park, Piramal Realty, Kurla"/>
    <s v="Mumbai"/>
    <m/>
    <m/>
    <m/>
    <m/>
    <s v=""/>
    <m/>
    <s v=""/>
    <m/>
    <d v="1899-12-30T00:00:00"/>
    <s v=""/>
    <m/>
    <s v=""/>
    <m/>
    <s v=""/>
    <m/>
    <s v=" "/>
    <s v=" "/>
    <x v="8"/>
    <s v="2. ML Awaited"/>
    <m/>
  </r>
  <r>
    <s v="SEVEBK16618"/>
    <n v="115"/>
    <s v="E. Other Business"/>
    <s v="Other Business"/>
    <x v="0"/>
    <s v="NSO"/>
    <s v="West"/>
    <s v="BK"/>
    <s v="Maharashtra"/>
    <s v="Wah Punjab, Pune"/>
    <s v="Pune"/>
    <m/>
    <m/>
    <m/>
    <m/>
    <s v=""/>
    <m/>
    <s v=""/>
    <m/>
    <d v="1899-12-30T00:00:00"/>
    <s v=""/>
    <m/>
    <s v=""/>
    <m/>
    <s v=""/>
    <m/>
    <s v=" "/>
    <s v=" "/>
    <x v="9"/>
    <s v="14. Dropped"/>
    <m/>
  </r>
  <r>
    <s v="SEVEBK16619"/>
    <n v="116"/>
    <s v="E. Other Business"/>
    <s v="Other Business"/>
    <x v="0"/>
    <s v="NSO"/>
    <s v="West"/>
    <s v="BK"/>
    <s v="Maharashtra"/>
    <s v="Runwal Garden, Dombivli"/>
    <s v="Mumbai"/>
    <m/>
    <m/>
    <m/>
    <m/>
    <s v=""/>
    <m/>
    <s v=""/>
    <m/>
    <d v="1899-12-30T00:00:00"/>
    <s v=""/>
    <m/>
    <s v=""/>
    <m/>
    <s v=""/>
    <m/>
    <s v=" "/>
    <s v=" "/>
    <x v="8"/>
    <s v="2. ML Awaited"/>
    <m/>
  </r>
  <r>
    <s v="SEVEBK16620"/>
    <n v="117"/>
    <s v="E. Other Business"/>
    <s v="Other Business"/>
    <x v="0"/>
    <s v="NSO"/>
    <s v="West"/>
    <s v="BK"/>
    <s v="Maharashtra"/>
    <s v="One BKC, Mumbai"/>
    <s v="Mumbai"/>
    <m/>
    <m/>
    <m/>
    <m/>
    <s v=""/>
    <m/>
    <s v=""/>
    <m/>
    <d v="1899-12-30T00:00:00"/>
    <s v=""/>
    <m/>
    <s v=""/>
    <m/>
    <s v=""/>
    <m/>
    <s v=" "/>
    <s v=" "/>
    <x v="8"/>
    <s v="2. ML Awaited"/>
    <m/>
  </r>
  <r>
    <s v="SEVEBK16621"/>
    <n v="118"/>
    <s v="E. Other Business"/>
    <s v="Other Business"/>
    <x v="0"/>
    <s v="NSO"/>
    <s v="West"/>
    <s v="BK"/>
    <s v="Maharashtra"/>
    <s v="Yashwant Prestige, Virar"/>
    <s v="Mumbai"/>
    <m/>
    <m/>
    <m/>
    <m/>
    <s v=""/>
    <m/>
    <s v=""/>
    <m/>
    <d v="1899-12-30T00:00:00"/>
    <s v=""/>
    <m/>
    <s v=""/>
    <m/>
    <s v=""/>
    <m/>
    <s v=" "/>
    <s v=" "/>
    <x v="8"/>
    <s v="2. ML Awaited"/>
    <m/>
  </r>
  <r>
    <s v="SEVEBK16694"/>
    <n v="119"/>
    <s v="E. Other Business"/>
    <s v="Other Business"/>
    <x v="0"/>
    <s v="NSO"/>
    <s v="West"/>
    <s v="BK"/>
    <s v="Maharashtra"/>
    <s v="Capital Mall, Vasai/Nalasopara"/>
    <s v="Mumbai"/>
    <m/>
    <m/>
    <m/>
    <m/>
    <s v=""/>
    <m/>
    <s v=""/>
    <m/>
    <d v="1899-12-30T00:00:00"/>
    <s v=""/>
    <m/>
    <s v=""/>
    <m/>
    <s v=""/>
    <m/>
    <s v=" "/>
    <s v=" "/>
    <x v="8"/>
    <s v="2. ML Awaited"/>
    <m/>
  </r>
  <r>
    <s v="JIDGAK16636"/>
    <n v="120"/>
    <s v="E. Other Business"/>
    <s v="Other Business"/>
    <x v="3"/>
    <s v="NSO"/>
    <s v="South"/>
    <s v="AK"/>
    <s v="Telangana"/>
    <s v="ANJANEYA MOBILES"/>
    <s v="Gadwal"/>
    <n v="299"/>
    <s v="JMDTG000669"/>
    <s v="NA"/>
    <d v="2026-05-22T00:00:00"/>
    <s v="May 26 Week 4"/>
    <d v="2026-05-23T00:00:00"/>
    <s v="May 26 Week 4"/>
    <n v="7"/>
    <d v="2026-05-30T00:00:00"/>
    <s v="May 26 Week 5"/>
    <d v="2026-05-25T00:00:00"/>
    <s v="May 26 Week 4"/>
    <m/>
    <s v=""/>
    <d v="2026-05-25T00:00:00"/>
    <s v="MAY 26 PLANNED"/>
    <s v="MAY 26"/>
    <x v="0"/>
    <e v="#N/A"/>
    <m/>
  </r>
  <r>
    <s v="JIDGKC16637"/>
    <n v="121"/>
    <s v="E. Other Business"/>
    <s v="Other Business"/>
    <x v="3"/>
    <s v="NSO"/>
    <s v="North"/>
    <s v="KC"/>
    <s v="Rajasthan"/>
    <s v="METHI INDUSTRIES"/>
    <s v="Sawaimadhopur"/>
    <n v="600"/>
    <s v="JMDRJ000676"/>
    <s v="NA"/>
    <d v="2026-05-03T00:00:00"/>
    <s v="May 26 Week 1"/>
    <d v="2026-05-03T00:00:00"/>
    <s v="May 26 Week 1"/>
    <n v="7"/>
    <d v="2026-05-10T00:00:00"/>
    <s v="May 26 Week 2"/>
    <d v="2026-05-07T00:00:00"/>
    <s v="May 26 Week 1"/>
    <m/>
    <s v=""/>
    <d v="2026-05-07T00:00:00"/>
    <s v="MAY 26 PLANNED"/>
    <s v="MAY 26"/>
    <x v="0"/>
    <e v="#N/A"/>
    <m/>
  </r>
  <r>
    <s v="URBLSZ FO16679"/>
    <n v="122"/>
    <s v="E. Other Business"/>
    <s v="Other Business"/>
    <x v="9"/>
    <s v="NSO"/>
    <s v="South"/>
    <m/>
    <s v="Karnataka"/>
    <s v="Airport road , Hunsmaranhalli, Bangalore"/>
    <s v="Bangalore"/>
    <m/>
    <m/>
    <m/>
    <m/>
    <s v=""/>
    <m/>
    <s v=""/>
    <m/>
    <d v="1899-12-30T00:00:00"/>
    <s v=""/>
    <m/>
    <s v=""/>
    <m/>
    <s v=""/>
    <m/>
    <s v=" "/>
    <s v=" "/>
    <x v="8"/>
    <s v="2. ML Awaited"/>
    <m/>
  </r>
  <r>
    <s v="ADOFSZ FO16680"/>
    <n v="123"/>
    <s v="K. Other Office Infrastructure"/>
    <s v="Office"/>
    <x v="8"/>
    <s v="NSO"/>
    <s v="South"/>
    <m/>
    <s v="Tamilnadu"/>
    <s v="Rk salai - 8105 Trends 2nd floor, Chennai"/>
    <s v="Chennai"/>
    <m/>
    <m/>
    <m/>
    <m/>
    <s v=""/>
    <m/>
    <s v=""/>
    <m/>
    <d v="1899-12-30T00:00:00"/>
    <s v=""/>
    <m/>
    <s v=""/>
    <m/>
    <s v=""/>
    <m/>
    <s v=" "/>
    <s v=" "/>
    <x v="10"/>
    <s v="1. SDR in Progress"/>
    <m/>
  </r>
  <r>
    <s v="SEVEBK16681"/>
    <n v="124"/>
    <s v="E. Other Business"/>
    <s v="Other Business"/>
    <x v="0"/>
    <s v="NSO"/>
    <s v="West"/>
    <s v="BK"/>
    <s v="Maharashtra"/>
    <s v="Pizza Hut, Versova- Mumbai"/>
    <s v="Mumbai"/>
    <m/>
    <m/>
    <m/>
    <m/>
    <s v=""/>
    <m/>
    <s v=""/>
    <m/>
    <d v="1899-12-30T00:00:00"/>
    <s v=""/>
    <m/>
    <s v=""/>
    <m/>
    <s v=""/>
    <m/>
    <s v=" "/>
    <s v=" "/>
    <x v="8"/>
    <s v="2. ML Awaited"/>
    <m/>
  </r>
  <r>
    <s v="SEVEBK16682"/>
    <n v="125"/>
    <s v="E. Other Business"/>
    <s v="Other Business"/>
    <x v="0"/>
    <s v="NSO"/>
    <s v="West"/>
    <s v="BK"/>
    <s v="Maharashtra"/>
    <s v="Vastu Viva Building, Wakad, Pune"/>
    <s v="Pune"/>
    <m/>
    <m/>
    <m/>
    <m/>
    <s v=""/>
    <m/>
    <s v=""/>
    <m/>
    <d v="1899-12-30T00:00:00"/>
    <s v=""/>
    <m/>
    <s v=""/>
    <m/>
    <s v=""/>
    <m/>
    <s v=" "/>
    <s v=" "/>
    <x v="8"/>
    <s v="2. ML Awaited"/>
    <m/>
  </r>
  <r>
    <s v="SEVEBK16683"/>
    <n v="126"/>
    <s v="E. Other Business"/>
    <s v="Other Business"/>
    <x v="0"/>
    <s v="NSO"/>
    <s v="West"/>
    <s v="BK"/>
    <s v="Maharashtra"/>
    <s v="93 Avenue, Pune"/>
    <s v="Pune"/>
    <m/>
    <m/>
    <m/>
    <m/>
    <s v=""/>
    <m/>
    <s v=""/>
    <m/>
    <d v="1899-12-30T00:00:00"/>
    <s v=""/>
    <m/>
    <s v=""/>
    <m/>
    <s v=""/>
    <m/>
    <s v=" "/>
    <s v=" "/>
    <x v="8"/>
    <s v="2. ML Awaited"/>
    <m/>
  </r>
  <r>
    <s v="JIDGAK16684"/>
    <n v="127"/>
    <s v="E. Other Business"/>
    <s v="Other Business"/>
    <x v="3"/>
    <s v="NSO"/>
    <s v="South"/>
    <s v="AK"/>
    <s v="Kerala"/>
    <s v="Impulse Mobiles"/>
    <s v="Idukki"/>
    <n v="985"/>
    <s v="JMDKL000661"/>
    <s v="NA"/>
    <d v="2026-05-15T00:00:00"/>
    <s v="May 26 Week 3"/>
    <d v="2026-05-15T00:00:00"/>
    <s v="May 26 Week 3"/>
    <n v="7"/>
    <d v="2026-05-22T00:00:00"/>
    <s v="May 26 Week 4"/>
    <d v="2026-05-18T00:00:00"/>
    <s v="May 26 Week 3"/>
    <m/>
    <s v=""/>
    <m/>
    <s v="MAY 26 PLANNED"/>
    <s v="MAY 26"/>
    <x v="0"/>
    <e v="#N/A"/>
    <m/>
  </r>
  <r>
    <s v="SEVEBK16685"/>
    <n v="128"/>
    <s v="E. Other Business"/>
    <s v="Other Business"/>
    <x v="0"/>
    <s v="NSO"/>
    <s v="West"/>
    <s v="BK"/>
    <s v="Maharashtra"/>
    <s v="Piramal Mahalaxmi , Mumbai"/>
    <s v="Mumbai"/>
    <m/>
    <m/>
    <m/>
    <m/>
    <s v=""/>
    <m/>
    <s v=""/>
    <m/>
    <d v="1899-12-30T00:00:00"/>
    <s v=""/>
    <m/>
    <s v=""/>
    <m/>
    <s v=""/>
    <m/>
    <s v=" "/>
    <s v=" "/>
    <x v="8"/>
    <s v="2. ML Awaited"/>
    <m/>
  </r>
  <r>
    <s v="SEVEBK16686"/>
    <n v="129"/>
    <s v="E. Other Business"/>
    <s v="Other Business"/>
    <x v="0"/>
    <s v="NSO"/>
    <s v="West"/>
    <s v="BK"/>
    <s v="Maharashtra"/>
    <s v="Piramal Byculla , Mumbai"/>
    <s v="Mumbai"/>
    <m/>
    <m/>
    <m/>
    <m/>
    <s v=""/>
    <m/>
    <s v=""/>
    <m/>
    <d v="1899-12-30T00:00:00"/>
    <s v=""/>
    <m/>
    <s v=""/>
    <m/>
    <s v=""/>
    <m/>
    <s v=" "/>
    <s v=" "/>
    <x v="8"/>
    <s v="2. ML Awaited"/>
    <m/>
  </r>
  <r>
    <s v="SEVEBK16687"/>
    <n v="130"/>
    <s v="E. Other Business"/>
    <s v="Other Business"/>
    <x v="0"/>
    <s v="NSO"/>
    <s v="West"/>
    <s v="BK"/>
    <s v="Maharashtra"/>
    <s v="Flame University, Pune Campus. "/>
    <s v="Pune"/>
    <m/>
    <m/>
    <m/>
    <m/>
    <s v=""/>
    <m/>
    <s v=""/>
    <m/>
    <d v="1899-12-30T00:00:00"/>
    <s v=""/>
    <m/>
    <s v=""/>
    <m/>
    <s v=""/>
    <m/>
    <s v=" "/>
    <s v=" "/>
    <x v="4"/>
    <s v="11. HOLD"/>
    <m/>
  </r>
  <r>
    <s v="SEVEBK16688"/>
    <n v="131"/>
    <s v="E. Other Business"/>
    <s v="Other Business"/>
    <x v="0"/>
    <s v="NSO"/>
    <s v="West"/>
    <s v="BK"/>
    <s v="Maharashtra"/>
    <s v="KIMS, Hospital -Thane"/>
    <s v="Mumbai"/>
    <m/>
    <m/>
    <m/>
    <m/>
    <s v=""/>
    <m/>
    <s v=""/>
    <m/>
    <d v="1899-12-30T00:00:00"/>
    <s v=""/>
    <m/>
    <s v=""/>
    <m/>
    <s v=""/>
    <m/>
    <s v=" "/>
    <s v=" "/>
    <x v="8"/>
    <s v="2. ML Awaited"/>
    <m/>
  </r>
  <r>
    <s v="SEVEBK16689"/>
    <n v="132"/>
    <s v="E. Other Business"/>
    <s v="Other Business"/>
    <x v="0"/>
    <s v="NSO"/>
    <s v="West"/>
    <s v="BK"/>
    <s v="Maharashtra"/>
    <s v="Plutonium Business Park, Turbhe"/>
    <s v="Mumbai"/>
    <m/>
    <m/>
    <m/>
    <m/>
    <s v=""/>
    <m/>
    <s v=""/>
    <m/>
    <d v="1899-12-30T00:00:00"/>
    <s v=""/>
    <m/>
    <s v=""/>
    <m/>
    <s v=""/>
    <m/>
    <s v=" "/>
    <s v=" "/>
    <x v="8"/>
    <s v="2. ML Awaited"/>
    <m/>
  </r>
  <r>
    <s v="SEVEBK16690"/>
    <n v="133"/>
    <s v="E. Other Business"/>
    <s v="Other Business"/>
    <x v="0"/>
    <s v="NSO"/>
    <s v="West"/>
    <s v="BK"/>
    <s v="Maharashtra"/>
    <s v="Ace Signature, Thane"/>
    <s v="Mumbai"/>
    <m/>
    <m/>
    <m/>
    <m/>
    <s v=""/>
    <m/>
    <s v=""/>
    <m/>
    <d v="1899-12-30T00:00:00"/>
    <s v=""/>
    <m/>
    <s v=""/>
    <m/>
    <s v=""/>
    <m/>
    <s v=" "/>
    <s v=" "/>
    <x v="8"/>
    <s v="2. ML Awaited"/>
    <m/>
  </r>
  <r>
    <s v="SEVEBK16691"/>
    <n v="134"/>
    <s v="E. Other Business"/>
    <s v="Other Business"/>
    <x v="0"/>
    <s v="NSO"/>
    <s v="West"/>
    <s v="BK"/>
    <s v="Maharashtra"/>
    <s v="Mumbai Metro Station, Andheri (W), Line2A - Yellow Line"/>
    <s v="Mumbai"/>
    <m/>
    <m/>
    <m/>
    <m/>
    <s v=""/>
    <m/>
    <s v=""/>
    <m/>
    <d v="1899-12-30T00:00:00"/>
    <s v=""/>
    <m/>
    <s v=""/>
    <m/>
    <s v=""/>
    <m/>
    <s v=" "/>
    <s v=" "/>
    <x v="8"/>
    <s v="2. ML Awaited"/>
    <m/>
  </r>
  <r>
    <s v="JIDGKC16692"/>
    <n v="135"/>
    <s v="E. Other Business"/>
    <s v="Other Business"/>
    <x v="3"/>
    <s v="NSO"/>
    <s v="West"/>
    <s v="KC"/>
    <s v="Maharashtra"/>
    <s v="Sandesh Agencies"/>
    <s v="Pune"/>
    <n v="753"/>
    <s v="JMDMH000658"/>
    <s v="NA"/>
    <d v="2026-05-22T00:00:00"/>
    <s v="May 26 Week 4"/>
    <d v="2026-05-22T00:00:00"/>
    <s v="May 26 Week 4"/>
    <n v="7"/>
    <d v="2026-05-29T00:00:00"/>
    <s v="May 26 Week 5"/>
    <d v="2026-05-23T00:00:00"/>
    <s v="May 26 Week 4"/>
    <m/>
    <s v=""/>
    <d v="2026-05-23T00:00:00"/>
    <s v="MAY 26 PLANNED"/>
    <s v="MAY 26"/>
    <x v="0"/>
    <e v="#N/A"/>
    <m/>
  </r>
  <r>
    <s v="JIDGAK16693"/>
    <n v="136"/>
    <s v="E. Other Business"/>
    <s v="Other Business"/>
    <x v="3"/>
    <s v="NSO"/>
    <s v="South"/>
    <s v="AK"/>
    <s v="Karnataka"/>
    <s v="NEXUS ENTERPRISES"/>
    <s v="Bangalore"/>
    <n v="227"/>
    <s v="JMDKA000670"/>
    <s v="NA"/>
    <d v="2026-06-01T00:00:00"/>
    <s v="June 26 Week 1"/>
    <d v="2026-06-01T00:00:00"/>
    <s v="June 26 Week 1"/>
    <n v="7"/>
    <d v="2026-06-08T00:00:00"/>
    <s v="June 26 Week 2"/>
    <d v="2026-06-02T00:00:00"/>
    <s v="June 26 Week 1"/>
    <m/>
    <s v=""/>
    <d v="2026-06-02T00:00:00"/>
    <s v="JUNE 26 PLANNED"/>
    <s v="JUNE 26"/>
    <x v="0"/>
    <e v="#N/A"/>
    <m/>
  </r>
  <r>
    <m/>
    <n v="137"/>
    <s v="E. Other Business"/>
    <s v="Other Business"/>
    <x v="0"/>
    <s v="NSO"/>
    <s v="West"/>
    <s v="BK"/>
    <s v="Maharashtra"/>
    <s v="Ghatkopar Line 1 Mumbai Metro Station"/>
    <s v="Mumbai"/>
    <m/>
    <m/>
    <m/>
    <m/>
    <s v=""/>
    <m/>
    <s v=""/>
    <m/>
    <d v="1899-12-30T00:00:00"/>
    <s v=""/>
    <m/>
    <s v=""/>
    <m/>
    <s v=""/>
    <m/>
    <s v=" "/>
    <s v=" "/>
    <x v="10"/>
    <s v="1. SDR in Progress"/>
    <m/>
  </r>
  <r>
    <m/>
    <n v="138"/>
    <s v="E. Other Business"/>
    <s v="Other Business"/>
    <x v="0"/>
    <s v="NSO"/>
    <s v="West"/>
    <s v="BK"/>
    <s v="Maharashtra"/>
    <s v="Saki Naka Line 1 Mumbai Metro"/>
    <s v="Mumbai"/>
    <m/>
    <m/>
    <m/>
    <m/>
    <s v=""/>
    <m/>
    <s v=""/>
    <m/>
    <d v="1899-12-30T00:00:00"/>
    <s v=""/>
    <m/>
    <s v=""/>
    <m/>
    <s v=""/>
    <m/>
    <s v=" "/>
    <s v=" "/>
    <x v="10"/>
    <s v="1. SDR in Progress"/>
    <m/>
  </r>
  <r>
    <m/>
    <n v="139"/>
    <s v="E. Other Business"/>
    <s v="Other Business"/>
    <x v="0"/>
    <s v="NSO"/>
    <s v="West"/>
    <s v="BK"/>
    <s v="Maharashtra"/>
    <s v="Chakala Line 1 Mumbai Metro Store 2"/>
    <s v="Mumbai"/>
    <m/>
    <m/>
    <m/>
    <m/>
    <s v=""/>
    <m/>
    <s v=""/>
    <m/>
    <d v="1899-12-30T00:00:00"/>
    <s v=""/>
    <m/>
    <s v=""/>
    <m/>
    <s v=""/>
    <m/>
    <s v=" "/>
    <s v=" "/>
    <x v="10"/>
    <s v="1. SDR in Progress"/>
    <m/>
  </r>
  <r>
    <m/>
    <n v="140"/>
    <s v="E. Other Business"/>
    <s v="Other Business"/>
    <x v="0"/>
    <s v="NSO"/>
    <s v="West"/>
    <s v="BK"/>
    <s v="Maharashtra"/>
    <s v="Chakala Line 1 Mumbai Metro"/>
    <s v="Mumbai"/>
    <m/>
    <m/>
    <m/>
    <m/>
    <s v=""/>
    <m/>
    <s v=""/>
    <m/>
    <d v="1899-12-30T00:00:00"/>
    <s v=""/>
    <m/>
    <s v=""/>
    <m/>
    <s v=""/>
    <m/>
    <s v=" "/>
    <s v=" "/>
    <x v="10"/>
    <s v="1. SDR in Progress"/>
    <m/>
  </r>
  <r>
    <m/>
    <n v="141"/>
    <s v="E. Other Business"/>
    <s v="Other Business"/>
    <x v="0"/>
    <s v="NSO"/>
    <s v="West"/>
    <s v="BK"/>
    <s v="Maharashtra"/>
    <s v="Airport Road Line 1 Mumbai Metro Station"/>
    <s v="Mumbai"/>
    <m/>
    <m/>
    <m/>
    <m/>
    <s v=""/>
    <m/>
    <s v=""/>
    <m/>
    <d v="1899-12-30T00:00:00"/>
    <s v=""/>
    <m/>
    <s v=""/>
    <m/>
    <s v=""/>
    <m/>
    <s v=" "/>
    <s v=" "/>
    <x v="10"/>
    <s v="1. SDR in Progress"/>
    <m/>
  </r>
  <r>
    <m/>
    <n v="142"/>
    <s v="E. Other Business"/>
    <s v="Other Business"/>
    <x v="0"/>
    <s v="NSO"/>
    <s v="West"/>
    <s v="BK"/>
    <s v="Maharashtra"/>
    <s v="Soho Shop No 2,3 , Shastri Nagar, Pune"/>
    <s v="Pune"/>
    <m/>
    <m/>
    <m/>
    <m/>
    <s v=""/>
    <m/>
    <s v=""/>
    <m/>
    <d v="1899-12-30T00:00:00"/>
    <s v=""/>
    <m/>
    <s v=""/>
    <m/>
    <s v=""/>
    <m/>
    <s v=" "/>
    <s v=" "/>
    <x v="10"/>
    <s v="1. SDR in Progress"/>
    <m/>
  </r>
  <r>
    <m/>
    <n v="143"/>
    <s v="E. Other Business"/>
    <s v="Other Business"/>
    <x v="0"/>
    <s v="NSO"/>
    <s v="West"/>
    <s v="BK"/>
    <s v="Maharashtra"/>
    <s v="Hermes Complex, Shastri Nagar, Pune"/>
    <s v="Pune"/>
    <m/>
    <m/>
    <m/>
    <m/>
    <s v=""/>
    <m/>
    <s v=""/>
    <m/>
    <d v="1899-12-30T00:00:00"/>
    <s v=""/>
    <m/>
    <s v=""/>
    <m/>
    <s v=""/>
    <m/>
    <s v=" "/>
    <s v=" "/>
    <x v="10"/>
    <s v="1. SDR in Progress"/>
    <m/>
  </r>
  <r>
    <m/>
    <n v="144"/>
    <s v="E. Other Business"/>
    <s v="Other Business"/>
    <x v="0"/>
    <s v="NSO"/>
    <s v="West"/>
    <s v="BK"/>
    <s v="Maharashtra"/>
    <s v="VI Store, Ratan Height, Mahim "/>
    <s v="Mumbai"/>
    <m/>
    <m/>
    <m/>
    <m/>
    <s v=""/>
    <m/>
    <s v=""/>
    <m/>
    <d v="1899-12-30T00:00:00"/>
    <s v=""/>
    <m/>
    <s v=""/>
    <m/>
    <s v=""/>
    <m/>
    <s v=" "/>
    <s v=" "/>
    <x v="10"/>
    <s v="1. SDR in Progress"/>
    <m/>
  </r>
  <r>
    <m/>
    <n v="145"/>
    <s v="E. Other Business"/>
    <s v="Other Business"/>
    <x v="0"/>
    <s v="NSO"/>
    <s v="West"/>
    <s v="BK"/>
    <s v="Maharashtra"/>
    <s v="God Gift, LJ Road, Mahim"/>
    <s v="Mumbai"/>
    <m/>
    <m/>
    <m/>
    <m/>
    <s v=""/>
    <m/>
    <s v=""/>
    <m/>
    <d v="1899-12-30T00:00:00"/>
    <s v=""/>
    <m/>
    <s v=""/>
    <m/>
    <s v=""/>
    <m/>
    <s v=" "/>
    <s v=" "/>
    <x v="10"/>
    <s v="1. SDR in Progress"/>
    <m/>
  </r>
  <r>
    <m/>
    <n v="146"/>
    <s v="E. Other Business"/>
    <s v="Other Business"/>
    <x v="0"/>
    <s v="NSO"/>
    <s v="West"/>
    <s v="BK"/>
    <s v="Maharashtra"/>
    <s v="Queens Lawn CHS, Vile Parle"/>
    <s v="Mumbai"/>
    <m/>
    <m/>
    <m/>
    <m/>
    <s v=""/>
    <m/>
    <s v=""/>
    <m/>
    <d v="1899-12-30T00:00:00"/>
    <s v=""/>
    <m/>
    <s v=""/>
    <m/>
    <s v=""/>
    <m/>
    <s v=" "/>
    <s v=" "/>
    <x v="10"/>
    <s v="1. SDR in Progress"/>
    <m/>
  </r>
  <r>
    <m/>
    <n v="147"/>
    <s v="E. Other Business"/>
    <s v="Other Business"/>
    <x v="0"/>
    <s v="NSO"/>
    <s v="West"/>
    <s v="BK"/>
    <s v="Maharashtra"/>
    <s v="VTP Atherus, Mahalunge, Pune"/>
    <s v="Mumbai"/>
    <m/>
    <m/>
    <m/>
    <m/>
    <s v=""/>
    <m/>
    <s v=""/>
    <m/>
    <d v="1899-12-30T00:00:00"/>
    <s v=""/>
    <m/>
    <s v=""/>
    <m/>
    <s v=""/>
    <m/>
    <s v=" "/>
    <s v=" "/>
    <x v="10"/>
    <s v="1. SDR in Progress"/>
    <m/>
  </r>
  <r>
    <m/>
    <m/>
    <m/>
    <m/>
    <x v="14"/>
    <m/>
    <m/>
    <m/>
    <m/>
    <m/>
    <m/>
    <m/>
    <m/>
    <m/>
    <m/>
    <m/>
    <m/>
    <m/>
    <m/>
    <m/>
    <m/>
    <m/>
    <m/>
    <m/>
    <m/>
    <m/>
    <m/>
    <m/>
    <x v="11"/>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s v="SEVEBK13813"/>
    <n v="1"/>
    <s v="E. Other Business"/>
    <s v="Other Business"/>
    <s v="NSO 7-Eleven"/>
    <s v="NSO"/>
    <x v="0"/>
    <s v="BK"/>
    <s v="Maharashtra"/>
    <s v="BITS Kalyan shop no 6&amp;7"/>
    <s v="Mumbai"/>
    <n v="675"/>
    <s v="7ICRMQHMT00"/>
    <s v="Rajesh Nikalaje"/>
    <d v="2026-03-02T00:00:00"/>
    <s v="March 26 Week 1"/>
    <d v="2026-03-02T00:00:00"/>
    <s v="March 26 Week 1"/>
    <n v="35"/>
    <d v="2026-04-06T00:00:00"/>
    <s v="April 26 Week 1"/>
    <d v="2026-04-09T00:00:00"/>
    <s v="April 26 Week 2"/>
    <d v="2026-04-09T00:00:00"/>
    <s v="April 26 Week 2"/>
    <d v="2026-04-10T00:00:00"/>
    <s v="APRIL 26 PLANNED"/>
    <s v="APRIL 26"/>
    <x v="0"/>
  </r>
  <r>
    <s v="URBSAS14526"/>
    <n v="2"/>
    <s v="E. Other Business"/>
    <s v="Other Business"/>
    <s v="Urban Ladder -SIS"/>
    <s v="Refit"/>
    <x v="1"/>
    <s v="AS"/>
    <s v="Karnataka"/>
    <s v="Centro Bellandur, Bangalore (Partial area Partition &amp; Fixture Works)"/>
    <s v="Bangalore"/>
    <n v="948"/>
    <s v="URLAKQX7E00"/>
    <s v="Sh. Debkamal B"/>
    <d v="2026-01-15T00:00:00"/>
    <s v="January 26 Week 3"/>
    <d v="2026-03-11T00:00:00"/>
    <s v="March 26 Week 2"/>
    <n v="15"/>
    <d v="2026-03-26T00:00:00"/>
    <s v="March 26 Week 4"/>
    <d v="2026-05-31T00:00:00"/>
    <s v="May 26 Week 5"/>
    <d v="2025-06-01T00:00:00"/>
    <s v="June 25 Week 1"/>
    <d v="2026-05-31T00:00:00"/>
    <s v="MARCH 26 PLANNED"/>
    <s v="MAY 26"/>
    <x v="0"/>
  </r>
  <r>
    <s v="SEVDKC15002"/>
    <n v="3"/>
    <s v="E. Other Business"/>
    <s v="Other Business"/>
    <s v="NSO 7-Eleven-Dehire"/>
    <s v="Dehire"/>
    <x v="0"/>
    <s v="KC"/>
    <s v="Maharashtra"/>
    <s v="Dehire-D'Victoria Mall, Borivali"/>
    <s v="Mumbai"/>
    <n v="450"/>
    <s v="DH-7ICR-451-9132-MH-TAXP"/>
    <s v="Hareshprasad M"/>
    <d v="2026-03-16T00:00:00"/>
    <s v="March 26 Week 3"/>
    <d v="2026-03-16T00:00:00"/>
    <s v="March 26 Week 3"/>
    <n v="21"/>
    <d v="2026-04-06T00:00:00"/>
    <s v="April 26 Week 1"/>
    <d v="2026-04-30T00:00:00"/>
    <s v="April 26 Week 5"/>
    <d v="2026-04-30T00:00:00"/>
    <s v="April 26 Week 5"/>
    <m/>
    <s v="APRIL 26 PLANNED"/>
    <s v="APRIL 26"/>
    <x v="0"/>
  </r>
  <r>
    <s v="SEVDKC15003"/>
    <n v="4"/>
    <s v="E. Other Business"/>
    <s v="Other Business"/>
    <s v="NSO 7-Eleven-Dehire"/>
    <s v="Dehire"/>
    <x v="0"/>
    <s v="KC"/>
    <s v="Maharashtra"/>
    <s v="Dehire-Smart Bazaar, Orion mall,Panvel"/>
    <s v="Mumbai"/>
    <n v="600"/>
    <s v="DH-7ICR-451-9132-MH-T1IY"/>
    <s v="Ajay Kumar"/>
    <d v="2026-03-12T00:00:00"/>
    <s v="March 26 Week 2"/>
    <d v="2026-03-12T00:00:00"/>
    <s v="March 26 Week 2"/>
    <n v="21"/>
    <d v="2026-04-02T00:00:00"/>
    <s v="April 26 Week 1"/>
    <d v="2026-04-21T00:00:00"/>
    <s v="April 26 Week 3"/>
    <d v="2026-04-21T00:00:00"/>
    <s v="April 26 Week 3"/>
    <m/>
    <s v="APRIL 26 PLANNED"/>
    <s v="APRIL 26"/>
    <x v="0"/>
  </r>
  <r>
    <s v="SEVDKC15004"/>
    <n v="5"/>
    <s v="E. Other Business"/>
    <s v="Other Business"/>
    <s v="NSO 7-Eleven-Dehire"/>
    <s v="Dehire"/>
    <x v="0"/>
    <s v="KC"/>
    <s v="Maharashtra"/>
    <s v="Dehire-Smart Bazaar, Xperia Mall, Dombivali"/>
    <s v="Mumbai"/>
    <n v="698"/>
    <s v="DH-7ICR-451-9132-MH-T1JL"/>
    <s v="Ajay Kumar"/>
    <d v="2026-03-14T00:00:00"/>
    <s v="March 26 Week 2"/>
    <d v="2026-03-14T00:00:00"/>
    <s v="March 26 Week 2"/>
    <n v="21"/>
    <d v="2026-04-04T00:00:00"/>
    <s v="April 26 Week 1"/>
    <d v="2026-05-28T00:00:00"/>
    <s v="May 26 Week 4"/>
    <d v="2026-05-30T00:00:00"/>
    <s v="May 26 Week 5"/>
    <m/>
    <s v="APRIL 26 PLANNED"/>
    <s v="MAY 26"/>
    <x v="0"/>
  </r>
  <r>
    <s v="SEVDKC15005"/>
    <n v="6"/>
    <s v="E. Other Business"/>
    <s v="Other Business"/>
    <s v="NSO 7-Eleven-Dehire"/>
    <s v="Dehire"/>
    <x v="0"/>
    <s v="KC"/>
    <s v="Maharashtra"/>
    <s v="Dehire-Smart Bazaar, Kothrud Road, Pune"/>
    <s v="Pune"/>
    <n v="495"/>
    <s v="DH-7ICR-451-9132-MH-T52V"/>
    <s v="Prashant Wankhede"/>
    <d v="2026-01-15T00:00:00"/>
    <s v="January 26 Week 3"/>
    <d v="2026-01-15T00:00:00"/>
    <s v="January 26 Week 3"/>
    <n v="21"/>
    <d v="2026-02-05T00:00:00"/>
    <s v="February 26 Week 1"/>
    <d v="2026-05-16T00:00:00"/>
    <s v="May 26 Week 3"/>
    <d v="2026-05-14T00:00:00"/>
    <s v="May 26 Week 2"/>
    <s v="NA"/>
    <s v="FEBRUARY 26 PLANNED"/>
    <s v="MAY 26"/>
    <x v="0"/>
  </r>
  <r>
    <s v="JIDGKC16291"/>
    <n v="7"/>
    <s v="E. Other Business"/>
    <s v="Other Business"/>
    <s v="JioMart digital"/>
    <s v="NSO"/>
    <x v="2"/>
    <s v="KC"/>
    <s v="Haryana"/>
    <s v="Cosmoss Gadget"/>
    <s v="Panipat"/>
    <n v="891"/>
    <s v="JMDHR000650"/>
    <s v="NA"/>
    <d v="2026-05-13T00:00:00"/>
    <d v="2026-05-13T00:00:00"/>
    <d v="2026-05-13T00:00:00"/>
    <s v="May 26 Week 2"/>
    <n v="7"/>
    <d v="2026-05-20T00:00:00"/>
    <s v="May 26 Week 3"/>
    <d v="2026-05-15T00:00:00"/>
    <s v="May 26 Week 3"/>
    <m/>
    <s v=""/>
    <d v="2026-05-15T00:00:00"/>
    <s v="MAY 26 PLANNED"/>
    <s v="MAY 26"/>
    <x v="0"/>
  </r>
  <r>
    <s v="JIDGKC16292"/>
    <n v="8"/>
    <s v="E. Other Business"/>
    <s v="Other Business"/>
    <s v="JioMart digital"/>
    <s v="NSO"/>
    <x v="2"/>
    <s v="KC"/>
    <s v="Rajasthan"/>
    <s v="DB DIGITAL MART"/>
    <s v="Dholpur"/>
    <n v="770"/>
    <s v="JMDRJ000675"/>
    <s v="NA"/>
    <d v="2026-04-29T00:00:00"/>
    <s v="April 26 Week 5"/>
    <d v="2026-04-29T00:00:00"/>
    <s v="April 26 Week 5"/>
    <n v="7"/>
    <d v="2026-05-06T00:00:00"/>
    <s v="May 26 Week 1"/>
    <d v="2026-05-02T00:00:00"/>
    <s v="May 26 Week 1"/>
    <m/>
    <s v=""/>
    <d v="2026-05-02T00:00:00"/>
    <s v="MAY 26 PLANNED"/>
    <s v="MAY 26"/>
    <x v="0"/>
  </r>
  <r>
    <s v="SEVEBK14548"/>
    <n v="9"/>
    <s v="E. Other Business"/>
    <s v="Other Business"/>
    <s v="NSO 7-Eleven"/>
    <s v="NSO"/>
    <x v="0"/>
    <s v="BK"/>
    <s v="Maharashtra"/>
    <s v="Kiosk Panchshil Business Tech Park ,Viman Nagar"/>
    <s v="Pune"/>
    <n v="731.74"/>
    <s v="7ICRMQIBY00"/>
    <s v="Nishant narsapur"/>
    <d v="2026-04-21T00:00:00"/>
    <s v="April 26 Week 3"/>
    <d v="2026-05-25T00:00:00"/>
    <s v="May 26 Week 4"/>
    <n v="15"/>
    <d v="2026-06-09T00:00:00"/>
    <s v="June 26 Week 2"/>
    <m/>
    <s v=""/>
    <m/>
    <s v=""/>
    <m/>
    <s v="JUNE 26 PLANNED"/>
    <s v=" "/>
    <x v="1"/>
  </r>
  <r>
    <s v="SEVEBK12858"/>
    <n v="10"/>
    <s v="E. Other Business"/>
    <s v="Other Business"/>
    <s v="NSO 7-Eleven"/>
    <s v="NSO"/>
    <x v="0"/>
    <s v="BK"/>
    <s v="Maharashtra"/>
    <s v="Kiosk-Avanche 1, Hinjewadi"/>
    <s v="Pune"/>
    <n v="160"/>
    <s v="Pending"/>
    <m/>
    <m/>
    <s v=""/>
    <m/>
    <s v=""/>
    <m/>
    <d v="1899-12-30T00:00:00"/>
    <s v=""/>
    <m/>
    <s v=""/>
    <m/>
    <s v=""/>
    <m/>
    <e v="#N/A"/>
    <s v=" "/>
    <x v="2"/>
  </r>
  <r>
    <s v="SEVEBK12642"/>
    <n v="11"/>
    <s v="E. Other Business"/>
    <s v="Other Business"/>
    <s v="NSO 7-Eleven"/>
    <s v="NSO"/>
    <x v="0"/>
    <s v="BK"/>
    <s v="Maharashtra"/>
    <s v="Kiosk-Solitaire Business Hub ,Viman Nagar 2"/>
    <s v="Pune"/>
    <n v="160"/>
    <s v="Pending"/>
    <m/>
    <m/>
    <s v=""/>
    <m/>
    <s v=""/>
    <m/>
    <d v="1899-12-30T00:00:00"/>
    <s v=""/>
    <m/>
    <s v=""/>
    <m/>
    <s v=""/>
    <m/>
    <e v="#N/A"/>
    <s v=" "/>
    <x v="2"/>
  </r>
  <r>
    <s v="SEVEBK13812"/>
    <n v="12"/>
    <s v="E. Other Business"/>
    <s v="Other Business"/>
    <s v="NSO 7-Eleven"/>
    <s v="NSO"/>
    <x v="0"/>
    <s v="BK"/>
    <s v="Maharashtra"/>
    <s v="Kiosk 247 Embassy, Vikhroli, Mumbai-1"/>
    <s v="Mumbai"/>
    <n v="200"/>
    <s v="Pending"/>
    <m/>
    <m/>
    <s v=""/>
    <m/>
    <s v=""/>
    <m/>
    <d v="1899-12-30T00:00:00"/>
    <s v=""/>
    <m/>
    <s v=""/>
    <m/>
    <s v=""/>
    <m/>
    <s v=" "/>
    <s v=" "/>
    <x v="3"/>
  </r>
  <r>
    <s v="SEVEBK14014"/>
    <n v="13"/>
    <s v="E. Other Business"/>
    <s v="Other Business"/>
    <s v="NSO 7-Eleven"/>
    <s v="NSO"/>
    <x v="0"/>
    <s v="BK"/>
    <s v="Maharashtra"/>
    <s v="Kiosk Marathon, FutureX, Lower Parel -Mumbai-1"/>
    <s v="Mumbai"/>
    <n v="287.61"/>
    <s v="Pending"/>
    <m/>
    <m/>
    <s v=""/>
    <m/>
    <s v=""/>
    <m/>
    <d v="1899-12-30T00:00:00"/>
    <s v=""/>
    <m/>
    <s v=""/>
    <m/>
    <s v=""/>
    <m/>
    <s v=" "/>
    <s v=" "/>
    <x v="4"/>
  </r>
  <r>
    <s v="SEVEBK14527"/>
    <n v="14"/>
    <s v="E. Other Business"/>
    <s v="Other Business"/>
    <s v="NSO 7-Eleven"/>
    <s v="NSO"/>
    <x v="0"/>
    <s v="BK"/>
    <s v="Maharashtra"/>
    <s v="Kiosk Reliable Tech Park(Empire Tower), Airoli-1"/>
    <s v="Mumbai"/>
    <n v="219"/>
    <m/>
    <m/>
    <m/>
    <s v=""/>
    <m/>
    <s v=""/>
    <m/>
    <d v="1899-12-30T00:00:00"/>
    <s v=""/>
    <m/>
    <s v=""/>
    <m/>
    <s v=""/>
    <m/>
    <s v=" "/>
    <s v=" "/>
    <x v="3"/>
  </r>
  <r>
    <s v="SEVEBK14528"/>
    <n v="15"/>
    <s v="E. Other Business"/>
    <s v="Other Business"/>
    <s v="NSO 7-Eleven"/>
    <s v="NSO"/>
    <x v="0"/>
    <s v="BK"/>
    <s v="Maharashtra"/>
    <s v="Kiosk Commerzone Yerwada"/>
    <s v="Pune"/>
    <n v="160"/>
    <m/>
    <m/>
    <m/>
    <s v=""/>
    <m/>
    <s v=""/>
    <m/>
    <d v="1899-12-30T00:00:00"/>
    <s v=""/>
    <m/>
    <s v=""/>
    <m/>
    <s v=""/>
    <m/>
    <s v=" "/>
    <s v=" "/>
    <x v="3"/>
  </r>
  <r>
    <s v="SEVEBK14529"/>
    <n v="16"/>
    <s v="E. Other Business"/>
    <s v="Other Business"/>
    <s v="NSO 7-Eleven"/>
    <s v="NSO"/>
    <x v="0"/>
    <s v="BK"/>
    <s v="Maharashtra"/>
    <s v="Kiosk Commerzone Kharadi"/>
    <s v="Pune"/>
    <n v="160"/>
    <m/>
    <m/>
    <m/>
    <s v=""/>
    <m/>
    <s v=""/>
    <m/>
    <d v="1899-12-30T00:00:00"/>
    <s v=""/>
    <m/>
    <s v=""/>
    <m/>
    <s v=""/>
    <m/>
    <s v=" "/>
    <s v=" "/>
    <x v="3"/>
  </r>
  <r>
    <s v="SEVEBK14530"/>
    <n v="17"/>
    <s v="E. Other Business"/>
    <s v="Other Business"/>
    <s v="NSO 7-Eleven"/>
    <s v="NSO"/>
    <x v="0"/>
    <s v="BK"/>
    <s v="Maharashtra"/>
    <s v="Kiosk Fortis Mulund"/>
    <s v="Mumbai"/>
    <n v="200"/>
    <m/>
    <m/>
    <m/>
    <s v=""/>
    <m/>
    <s v=""/>
    <m/>
    <d v="1899-12-30T00:00:00"/>
    <s v=""/>
    <m/>
    <s v=""/>
    <m/>
    <s v=""/>
    <m/>
    <s v=" "/>
    <s v=" "/>
    <x v="3"/>
  </r>
  <r>
    <s v="SEVEBK14678"/>
    <n v="18"/>
    <s v="E. Other Business"/>
    <s v="Other Business"/>
    <s v="NSO 7-Eleven"/>
    <s v="NSO"/>
    <x v="0"/>
    <s v="BK"/>
    <s v="Maharashtra"/>
    <s v="Mindspace Gigaplex , Airoli W"/>
    <s v="Mumbai"/>
    <n v="431"/>
    <m/>
    <m/>
    <m/>
    <s v=""/>
    <m/>
    <s v=""/>
    <m/>
    <d v="1899-12-30T00:00:00"/>
    <s v=""/>
    <m/>
    <s v=""/>
    <m/>
    <s v=""/>
    <m/>
    <s v=" "/>
    <s v=" "/>
    <x v="3"/>
  </r>
  <r>
    <s v="SEVEBK14696"/>
    <n v="19"/>
    <s v="E. Other Business"/>
    <s v="Other Business"/>
    <s v="NSO 7-Eleven"/>
    <s v="NSO"/>
    <x v="0"/>
    <m/>
    <s v="Maharashtra"/>
    <s v="Panchshil Business Hub (Kharadi 40) Kharadi, Pune"/>
    <s v="Pune"/>
    <n v="292.18"/>
    <m/>
    <m/>
    <m/>
    <s v=""/>
    <m/>
    <s v=""/>
    <m/>
    <d v="1899-12-30T00:00:00"/>
    <s v=""/>
    <m/>
    <s v=""/>
    <m/>
    <s v=""/>
    <m/>
    <s v=" "/>
    <s v=" "/>
    <x v="5"/>
  </r>
  <r>
    <s v="MIRERT14584"/>
    <n v="20"/>
    <s v="E. Other Business"/>
    <s v="Other Business"/>
    <s v="Urban Ladder - Refit"/>
    <s v="Refit"/>
    <x v="2"/>
    <s v="RT"/>
    <s v="Haryana"/>
    <s v="Sector 14, Gurgoan"/>
    <s v="Gurgoan"/>
    <n v="3907"/>
    <m/>
    <m/>
    <m/>
    <s v=""/>
    <m/>
    <s v=""/>
    <m/>
    <d v="1899-12-30T00:00:00"/>
    <s v=""/>
    <m/>
    <s v=""/>
    <m/>
    <s v=""/>
    <m/>
    <s v=" "/>
    <s v=" "/>
    <x v="6"/>
  </r>
  <r>
    <s v="PHCOKC14704"/>
    <n v="21"/>
    <s v="D. Pharma Format"/>
    <s v="Pharma Format"/>
    <s v="Additional Work-NETMED COCO"/>
    <s v="Additional Work"/>
    <x v="0"/>
    <s v="KC"/>
    <s v="Maharashtra"/>
    <s v="ONLINE NETMED STORE_BHANDUP METRO"/>
    <s v="Mumbai"/>
    <n v="368"/>
    <m/>
    <m/>
    <m/>
    <s v=""/>
    <m/>
    <s v=""/>
    <m/>
    <d v="1899-12-30T00:00:00"/>
    <s v=""/>
    <m/>
    <s v=""/>
    <m/>
    <s v=""/>
    <m/>
    <s v=" "/>
    <s v=" "/>
    <x v="6"/>
  </r>
  <r>
    <s v="SEVEBK15001"/>
    <n v="22"/>
    <s v="E. Other Business"/>
    <s v="Other Business"/>
    <s v="NSO 7-Eleven"/>
    <s v="NSO"/>
    <x v="0"/>
    <s v="BK"/>
    <s v="Maharashtra"/>
    <s v="Kiosk Kohinoor World Tower, Pimpri Chinchwad"/>
    <s v="Pune"/>
    <n v="120"/>
    <m/>
    <m/>
    <m/>
    <s v=""/>
    <m/>
    <s v=""/>
    <m/>
    <d v="1899-12-30T00:00:00"/>
    <s v=""/>
    <m/>
    <s v=""/>
    <m/>
    <s v=""/>
    <m/>
    <s v=" "/>
    <s v=" "/>
    <x v="5"/>
  </r>
  <r>
    <s v="MIREBK15075"/>
    <n v="23"/>
    <s v="E. Other Business"/>
    <s v="Other Business"/>
    <s v="7-Eleven - Additional Work"/>
    <s v="Refit"/>
    <x v="0"/>
    <s v="BK"/>
    <s v="Maharashtra"/>
    <s v="Rupa Solitare, Koparkhairane - Relay Work"/>
    <s v="Mumbai"/>
    <n v="847"/>
    <m/>
    <m/>
    <m/>
    <s v=""/>
    <m/>
    <s v=""/>
    <m/>
    <d v="1899-12-30T00:00:00"/>
    <s v=""/>
    <m/>
    <s v=""/>
    <m/>
    <s v=""/>
    <m/>
    <s v=" "/>
    <s v=" "/>
    <x v="6"/>
  </r>
  <r>
    <s v="MIDHAK15077"/>
    <n v="24"/>
    <s v="E. Other Business"/>
    <s v="Other Business"/>
    <s v="Urban Ladder -Dehiring"/>
    <s v="Dehire"/>
    <x v="1"/>
    <s v="AK"/>
    <s v="Kerala"/>
    <s v="Home and Décor, Kumaranalloor Store"/>
    <s v="Kottayam"/>
    <n v="2731"/>
    <m/>
    <m/>
    <m/>
    <s v=""/>
    <m/>
    <s v=""/>
    <m/>
    <d v="1899-12-30T00:00:00"/>
    <s v=""/>
    <m/>
    <s v=""/>
    <m/>
    <s v=""/>
    <m/>
    <s v=" "/>
    <s v=" "/>
    <x v="7"/>
  </r>
  <r>
    <s v="SEVEBK15080"/>
    <n v="25"/>
    <s v="E. Other Business"/>
    <s v="Other Business"/>
    <s v="NSO 7-Eleven"/>
    <s v="NSO"/>
    <x v="0"/>
    <s v="BK"/>
    <s v="Maharashtra"/>
    <s v="Kiosk AIMS Hospital, Dombivli"/>
    <s v="Mumbai"/>
    <n v="144"/>
    <m/>
    <m/>
    <m/>
    <s v=""/>
    <m/>
    <s v=""/>
    <m/>
    <d v="1899-12-30T00:00:00"/>
    <s v=""/>
    <m/>
    <s v=""/>
    <m/>
    <s v=""/>
    <m/>
    <s v=" "/>
    <s v=" "/>
    <x v="3"/>
  </r>
  <r>
    <s v="MIREBK15280"/>
    <n v="26"/>
    <s v="E. Other Business"/>
    <s v="Other Business"/>
    <s v="7-Eleven - Additional Work"/>
    <s v="Refit"/>
    <x v="0"/>
    <s v="BK"/>
    <s v="Maharashtra"/>
    <s v="HVAC Initiative _Chaturbhuj Kharghar"/>
    <s v="Mumbai"/>
    <n v="863"/>
    <m/>
    <m/>
    <m/>
    <s v=""/>
    <m/>
    <s v=""/>
    <m/>
    <d v="1899-12-30T00:00:00"/>
    <s v=""/>
    <m/>
    <s v=""/>
    <m/>
    <s v=""/>
    <m/>
    <s v=" "/>
    <s v=" "/>
    <x v="3"/>
  </r>
  <r>
    <s v="MIREBK15281"/>
    <n v="27"/>
    <s v="E. Other Business"/>
    <s v="Other Business"/>
    <s v="7-Eleven - Additional Work"/>
    <s v="Refit"/>
    <x v="0"/>
    <s v="BK"/>
    <s v="Maharashtra"/>
    <s v="HVAC Initiative _Samrin Heritage"/>
    <s v="Mumbai"/>
    <n v="1000"/>
    <m/>
    <m/>
    <m/>
    <s v=""/>
    <m/>
    <s v=""/>
    <m/>
    <d v="1899-12-30T00:00:00"/>
    <s v=""/>
    <m/>
    <s v=""/>
    <m/>
    <s v=""/>
    <m/>
    <s v=" "/>
    <s v=" "/>
    <x v="3"/>
  </r>
  <r>
    <s v="MIREBK15282"/>
    <n v="28"/>
    <s v="E. Other Business"/>
    <s v="Other Business"/>
    <s v="7-Eleven - Additional Work"/>
    <s v="Refit"/>
    <x v="0"/>
    <s v="BK"/>
    <s v="Maharashtra"/>
    <s v="HVAC Initiative _Sai Miracle In homes Kharghar"/>
    <s v="Mumbai"/>
    <n v="715"/>
    <m/>
    <m/>
    <m/>
    <s v=""/>
    <m/>
    <s v=""/>
    <m/>
    <d v="1899-12-30T00:00:00"/>
    <s v=""/>
    <m/>
    <s v=""/>
    <m/>
    <s v=""/>
    <m/>
    <s v=" "/>
    <s v=" "/>
    <x v="3"/>
  </r>
  <r>
    <s v="MIREBK15463"/>
    <n v="29"/>
    <s v="E. Other Business"/>
    <s v="Other Business"/>
    <s v="7-Eleven - Additional Work"/>
    <s v="Refit"/>
    <x v="0"/>
    <s v="BK"/>
    <s v="Maharashtra"/>
    <s v="HVAC-Haware Centurion "/>
    <s v="Mumbai"/>
    <n v="1230"/>
    <m/>
    <m/>
    <m/>
    <s v=""/>
    <m/>
    <s v=""/>
    <m/>
    <d v="1899-12-30T00:00:00"/>
    <s v=""/>
    <m/>
    <s v=""/>
    <m/>
    <s v=""/>
    <m/>
    <s v=" "/>
    <s v=" "/>
    <x v="3"/>
  </r>
  <r>
    <s v="MIREBK15560"/>
    <n v="30"/>
    <s v="E. Other Business"/>
    <s v="Other Business"/>
    <s v="7-Eleven - Additional Work"/>
    <s v="Refit"/>
    <x v="0"/>
    <s v="BK"/>
    <s v="Maharashtra"/>
    <s v="HVAC Initiative _Giriraj Seawoods"/>
    <s v="Mumbai"/>
    <n v="1200"/>
    <m/>
    <m/>
    <m/>
    <s v=""/>
    <m/>
    <s v=""/>
    <m/>
    <d v="1899-12-30T00:00:00"/>
    <s v=""/>
    <m/>
    <s v=""/>
    <m/>
    <s v=""/>
    <m/>
    <s v=" "/>
    <s v=" "/>
    <x v="3"/>
  </r>
  <r>
    <s v="MIREBK15561"/>
    <n v="31"/>
    <s v="E. Other Business"/>
    <s v="Other Business"/>
    <s v="7-Eleven - Additional Work"/>
    <s v="Refit"/>
    <x v="0"/>
    <s v="BK"/>
    <s v="Maharashtra"/>
    <s v="HVAC Initiative _Platinum Experio Kalamboli"/>
    <s v="Mumbai"/>
    <n v="860"/>
    <m/>
    <m/>
    <m/>
    <s v=""/>
    <m/>
    <s v=""/>
    <m/>
    <d v="1899-12-30T00:00:00"/>
    <s v=""/>
    <m/>
    <s v=""/>
    <m/>
    <s v=""/>
    <m/>
    <s v=" "/>
    <s v=" "/>
    <x v="3"/>
  </r>
  <r>
    <s v="MIREBK15562"/>
    <n v="32"/>
    <s v="E. Other Business"/>
    <s v="Other Business"/>
    <s v="7-Eleven - Additional Work"/>
    <s v="Refit"/>
    <x v="0"/>
    <s v="BK"/>
    <s v="Maharashtra"/>
    <s v="HVAC Initiative _Shree Siddhivinayak Koparkhairane "/>
    <s v="Mumbai"/>
    <n v="1118"/>
    <m/>
    <m/>
    <m/>
    <s v=""/>
    <m/>
    <s v=""/>
    <m/>
    <d v="1899-12-30T00:00:00"/>
    <s v=""/>
    <m/>
    <s v=""/>
    <m/>
    <s v=""/>
    <m/>
    <s v=" "/>
    <s v=" "/>
    <x v="3"/>
  </r>
  <r>
    <s v="MIREBK15563"/>
    <n v="33"/>
    <s v="E. Other Business"/>
    <s v="Other Business"/>
    <s v="7-Eleven - Additional Work"/>
    <s v="Refit"/>
    <x v="0"/>
    <s v="BK"/>
    <s v="Maharashtra"/>
    <s v="HVAC Initiative _Mulund Munish Apartment "/>
    <s v="Mumbai"/>
    <n v="940"/>
    <m/>
    <m/>
    <m/>
    <s v=""/>
    <m/>
    <s v=""/>
    <m/>
    <d v="1899-12-30T00:00:00"/>
    <s v=""/>
    <m/>
    <s v=""/>
    <m/>
    <s v=""/>
    <m/>
    <s v=" "/>
    <s v=" "/>
    <x v="3"/>
  </r>
  <r>
    <s v="ADOFRT10637"/>
    <n v="34"/>
    <s v="K. Other Office Infrastructure"/>
    <s v="Office"/>
    <s v="Admin Office (Corporate Services)"/>
    <s v="NSO"/>
    <x v="2"/>
    <s v="RT"/>
    <s v="Delhi &amp; NCR"/>
    <s v="Okhla Office"/>
    <s v="Delhi"/>
    <m/>
    <m/>
    <m/>
    <m/>
    <s v=""/>
    <m/>
    <s v=""/>
    <n v="55"/>
    <d v="1900-02-23T00:00:00"/>
    <s v=""/>
    <m/>
    <s v=""/>
    <m/>
    <s v=""/>
    <m/>
    <s v=" "/>
    <s v=" "/>
    <x v="6"/>
  </r>
  <r>
    <s v="URBLKC14062"/>
    <n v="35"/>
    <s v="E. Other Business"/>
    <s v="Other Business"/>
    <s v="Furniture - Mid Premium Store (UL)"/>
    <s v="NSO"/>
    <x v="0"/>
    <s v="KC"/>
    <s v="Gujarat"/>
    <s v="RIL- Jamnagar Retail Mall"/>
    <s v="Jamnagar"/>
    <n v="6000"/>
    <m/>
    <m/>
    <m/>
    <s v=""/>
    <m/>
    <s v=""/>
    <m/>
    <d v="1899-12-30T00:00:00"/>
    <s v=""/>
    <m/>
    <s v=""/>
    <m/>
    <s v=""/>
    <m/>
    <s v=" "/>
    <s v=" "/>
    <x v="7"/>
  </r>
  <r>
    <s v="SEVEBK15078"/>
    <n v="36"/>
    <s v="E. Other Business"/>
    <s v="Other Business"/>
    <s v="NSO 7-Eleven"/>
    <s v="NSO"/>
    <x v="0"/>
    <s v="BK"/>
    <s v="Maharashtra"/>
    <s v="Kiosk One World, Lower Parel, Mumbai"/>
    <s v="Mumbai"/>
    <n v="200"/>
    <m/>
    <m/>
    <m/>
    <s v=""/>
    <m/>
    <s v=""/>
    <m/>
    <d v="1899-12-30T00:00:00"/>
    <s v=""/>
    <m/>
    <s v=""/>
    <m/>
    <s v=""/>
    <m/>
    <s v=" "/>
    <s v=" "/>
    <x v="6"/>
  </r>
  <r>
    <s v="URBLSD15762"/>
    <n v="37"/>
    <s v="E. Other Business"/>
    <s v="Other Business"/>
    <s v="Furniture - Mid Premium Store (UL)"/>
    <s v="NSO"/>
    <x v="3"/>
    <s v="SD"/>
    <s v="Bihar"/>
    <s v="RPS More , Patna - Second Floor"/>
    <s v="Patna"/>
    <n v="3333"/>
    <m/>
    <m/>
    <m/>
    <s v=""/>
    <m/>
    <s v=""/>
    <m/>
    <d v="1899-12-30T00:00:00"/>
    <s v=""/>
    <m/>
    <s v=""/>
    <m/>
    <s v=""/>
    <m/>
    <s v=" "/>
    <s v=" "/>
    <x v="7"/>
  </r>
  <r>
    <s v="SEVEBK16026"/>
    <n v="38"/>
    <s v="E. Other Business"/>
    <s v="Other Business"/>
    <s v="NSO 7-Eleven"/>
    <s v="NSO"/>
    <x v="0"/>
    <s v="BK"/>
    <s v="Maharashtra"/>
    <s v="Twin Tower- RCP, Ghansoli ."/>
    <s v="Mumbai"/>
    <n v="505"/>
    <m/>
    <m/>
    <m/>
    <s v=""/>
    <m/>
    <s v=""/>
    <m/>
    <d v="1899-12-30T00:00:00"/>
    <s v=""/>
    <m/>
    <s v=""/>
    <m/>
    <s v=""/>
    <m/>
    <s v=" "/>
    <s v=" "/>
    <x v="3"/>
  </r>
  <r>
    <s v="MIDHAK16420"/>
    <n v="39"/>
    <s v="E. Other Business"/>
    <s v="Other Business"/>
    <s v="Office-Dehire"/>
    <s v="Dehire"/>
    <x v="1"/>
    <s v="AK"/>
    <s v="Tamil Nadu"/>
    <s v="EA Office Space - 5th Floor - Netmeds Office, Chennai"/>
    <s v="Chennai"/>
    <m/>
    <m/>
    <m/>
    <m/>
    <s v=""/>
    <m/>
    <s v=""/>
    <m/>
    <d v="1899-12-30T00:00:00"/>
    <s v=""/>
    <m/>
    <s v=""/>
    <m/>
    <s v=""/>
    <m/>
    <s v=" "/>
    <s v=" "/>
    <x v="4"/>
  </r>
  <r>
    <s v="SEVEBK15079"/>
    <n v="40"/>
    <s v="E. Other Business"/>
    <s v="Other Business"/>
    <s v="NSO 7-Eleven"/>
    <s v="NSO"/>
    <x v="0"/>
    <s v="BK"/>
    <s v="Maharashtra"/>
    <s v="One International, Lower Parel, Mumbai"/>
    <s v="Mumbai"/>
    <m/>
    <m/>
    <m/>
    <m/>
    <s v=""/>
    <m/>
    <s v=""/>
    <m/>
    <d v="1899-12-30T00:00:00"/>
    <s v=""/>
    <m/>
    <s v=""/>
    <m/>
    <s v=""/>
    <m/>
    <s v=" "/>
    <s v=" "/>
    <x v="8"/>
  </r>
  <r>
    <s v="SEVEBK15459"/>
    <n v="41"/>
    <s v="E. Other Business"/>
    <s v="Other Business"/>
    <s v="NSO 7-Eleven"/>
    <s v="NSO"/>
    <x v="0"/>
    <s v="BK"/>
    <s v="Maharashtra"/>
    <s v="Urmi Real Estate, Lower Parel, Mumbai"/>
    <s v="Mumbai"/>
    <m/>
    <m/>
    <m/>
    <m/>
    <s v=""/>
    <m/>
    <s v=""/>
    <m/>
    <d v="1899-12-30T00:00:00"/>
    <s v=""/>
    <m/>
    <s v=""/>
    <m/>
    <s v=""/>
    <m/>
    <s v=" "/>
    <s v=" "/>
    <x v="8"/>
  </r>
  <r>
    <s v="SEVEBK15462"/>
    <n v="42"/>
    <s v="E. Other Business"/>
    <s v="Other Business"/>
    <s v="NSO 7-Eleven"/>
    <s v="NSO"/>
    <x v="0"/>
    <s v="BK"/>
    <s v="Maharashtra"/>
    <s v="Kiosk Peninsula Business Park, Lower Parel, Mumbai"/>
    <s v="Mumbai"/>
    <m/>
    <m/>
    <m/>
    <m/>
    <s v=""/>
    <m/>
    <s v=""/>
    <m/>
    <d v="1899-12-30T00:00:00"/>
    <s v=""/>
    <m/>
    <s v=""/>
    <m/>
    <s v=""/>
    <m/>
    <s v=" "/>
    <s v=" "/>
    <x v="6"/>
  </r>
  <r>
    <s v="SEVEBK16192"/>
    <n v="43"/>
    <s v="E. Other Business"/>
    <s v="Other Business"/>
    <s v="NSO 7-Eleven"/>
    <s v="NSO"/>
    <x v="0"/>
    <s v="BK"/>
    <s v="Maharashtra"/>
    <s v="Kiosk DAKC, Ghansoli"/>
    <s v="Mumbai"/>
    <n v="464"/>
    <m/>
    <m/>
    <m/>
    <s v=""/>
    <m/>
    <s v=""/>
    <m/>
    <d v="1899-12-30T00:00:00"/>
    <s v=""/>
    <m/>
    <s v=""/>
    <m/>
    <s v=""/>
    <m/>
    <s v=" "/>
    <s v=" "/>
    <x v="3"/>
  </r>
  <r>
    <s v="SEVEBK16421"/>
    <n v="44"/>
    <s v="E. Other Business"/>
    <s v="Other Business"/>
    <s v="NSO 7-Eleven"/>
    <s v="NSO"/>
    <x v="0"/>
    <s v="BK"/>
    <s v="Maharashtra"/>
    <s v="Kiosk Pune Metro Wipro Station"/>
    <s v="Pune"/>
    <m/>
    <m/>
    <m/>
    <m/>
    <s v=""/>
    <m/>
    <s v=""/>
    <m/>
    <d v="1899-12-30T00:00:00"/>
    <s v=""/>
    <m/>
    <s v=""/>
    <m/>
    <s v=""/>
    <m/>
    <s v=" "/>
    <s v=" "/>
    <x v="8"/>
  </r>
  <r>
    <s v="SEVEBK16422"/>
    <n v="45"/>
    <s v="E. Other Business"/>
    <s v="Other Business"/>
    <s v="NSO 7-Eleven"/>
    <s v="NSO"/>
    <x v="0"/>
    <s v="BK"/>
    <s v="Maharashtra"/>
    <s v="Kiosk Pune Metro Infosys Station"/>
    <s v="Pune"/>
    <m/>
    <m/>
    <m/>
    <m/>
    <s v=""/>
    <m/>
    <s v=""/>
    <m/>
    <d v="1899-12-30T00:00:00"/>
    <s v=""/>
    <m/>
    <s v=""/>
    <m/>
    <s v=""/>
    <m/>
    <s v=" "/>
    <s v=" "/>
    <x v="8"/>
  </r>
  <r>
    <s v="SEVEBK16423"/>
    <n v="46"/>
    <s v="E. Other Business"/>
    <s v="Other Business"/>
    <s v="NSO 7-Eleven"/>
    <s v="NSO"/>
    <x v="0"/>
    <s v="BK"/>
    <s v="Maharashtra"/>
    <s v="Kiosk Pune Metro Pall India Station"/>
    <s v="Pune"/>
    <m/>
    <m/>
    <m/>
    <m/>
    <s v=""/>
    <m/>
    <s v=""/>
    <m/>
    <d v="1899-12-30T00:00:00"/>
    <s v=""/>
    <m/>
    <s v=""/>
    <m/>
    <s v=""/>
    <m/>
    <s v=" "/>
    <s v=" "/>
    <x v="8"/>
  </r>
  <r>
    <s v="SEVEBK16424"/>
    <n v="47"/>
    <s v="E. Other Business"/>
    <s v="Other Business"/>
    <s v="NSO 7-Eleven"/>
    <s v="NSO"/>
    <x v="0"/>
    <s v="BK"/>
    <s v="Maharashtra"/>
    <s v="Kiosk Pune Metro Wakad Chowk"/>
    <s v="Pune"/>
    <m/>
    <m/>
    <m/>
    <m/>
    <s v=""/>
    <m/>
    <s v=""/>
    <m/>
    <d v="1899-12-30T00:00:00"/>
    <s v=""/>
    <m/>
    <s v=""/>
    <m/>
    <s v=""/>
    <m/>
    <s v=" "/>
    <s v=" "/>
    <x v="8"/>
  </r>
  <r>
    <s v="SEVEBK16425"/>
    <n v="48"/>
    <s v="E. Other Business"/>
    <s v="Other Business"/>
    <s v="NSO 7-Eleven"/>
    <s v="NSO"/>
    <x v="0"/>
    <s v="BK"/>
    <s v="Maharashtra"/>
    <s v="Kiosk Pune Metro- Agriculture Station"/>
    <s v="Pune"/>
    <m/>
    <m/>
    <m/>
    <m/>
    <s v=""/>
    <m/>
    <s v=""/>
    <m/>
    <d v="1899-12-30T00:00:00"/>
    <s v=""/>
    <m/>
    <s v=""/>
    <m/>
    <s v=""/>
    <m/>
    <s v=" "/>
    <s v=" "/>
    <x v="4"/>
  </r>
  <r>
    <s v="SEVEBK16426"/>
    <n v="49"/>
    <s v="E. Other Business"/>
    <s v="Other Business"/>
    <s v="NSO 7-Eleven"/>
    <s v="NSO"/>
    <x v="0"/>
    <s v="BK"/>
    <s v="Maharashtra"/>
    <s v="Bhumi World, Bhiwandi Bypass"/>
    <s v="Mumbai"/>
    <m/>
    <m/>
    <m/>
    <m/>
    <s v=""/>
    <m/>
    <s v=""/>
    <m/>
    <d v="1899-12-30T00:00:00"/>
    <s v=""/>
    <m/>
    <s v=""/>
    <m/>
    <s v=""/>
    <m/>
    <s v=" "/>
    <s v=" "/>
    <x v="8"/>
  </r>
  <r>
    <s v="SEVEBK16427"/>
    <n v="50"/>
    <s v="E. Other Business"/>
    <s v="Other Business"/>
    <s v="NSO 7-Eleven"/>
    <s v="NSO"/>
    <x v="0"/>
    <s v="BK"/>
    <s v="Maharashtra"/>
    <s v="Snooze House, Amantran, Dombivli"/>
    <s v="Mumbai"/>
    <m/>
    <m/>
    <m/>
    <m/>
    <s v=""/>
    <m/>
    <s v=""/>
    <m/>
    <d v="1899-12-30T00:00:00"/>
    <s v=""/>
    <m/>
    <s v=""/>
    <m/>
    <s v=""/>
    <m/>
    <s v=" "/>
    <s v=" "/>
    <x v="4"/>
  </r>
  <r>
    <s v="SEVEBK16428"/>
    <n v="51"/>
    <s v="E. Other Business"/>
    <s v="Other Business"/>
    <s v="NSO 7-Eleven"/>
    <s v="NSO"/>
    <x v="0"/>
    <s v="BK"/>
    <s v="Maharashtra"/>
    <s v="Gabi Business Park, Bhivandi Bypass"/>
    <s v="Mumbai"/>
    <m/>
    <m/>
    <m/>
    <m/>
    <s v=""/>
    <m/>
    <s v=""/>
    <m/>
    <d v="1899-12-30T00:00:00"/>
    <s v=""/>
    <m/>
    <s v=""/>
    <m/>
    <s v=""/>
    <m/>
    <s v=" "/>
    <s v=" "/>
    <x v="4"/>
  </r>
  <r>
    <s v="SESBBK10620"/>
    <n v="52"/>
    <s v="E. Other Business"/>
    <s v="Other Business"/>
    <s v="7 Eleven in Smart Bazar"/>
    <s v="NSO"/>
    <x v="0"/>
    <s v="BK"/>
    <s v="Maharashtra"/>
    <s v="Metro Mall, Kalyan"/>
    <s v="Mumbai"/>
    <n v="601"/>
    <s v="Pending"/>
    <m/>
    <m/>
    <s v=""/>
    <m/>
    <s v=""/>
    <n v="35"/>
    <d v="1900-02-03T00:00:00"/>
    <s v=""/>
    <m/>
    <s v=""/>
    <m/>
    <s v=""/>
    <m/>
    <s v=" "/>
    <s v=" "/>
    <x v="4"/>
  </r>
  <r>
    <s v="SEVEBK10609"/>
    <n v="53"/>
    <s v="E. Other Business"/>
    <s v="Other Business"/>
    <s v="NSO 7-Eleven"/>
    <s v="NSO"/>
    <x v="0"/>
    <s v="BK"/>
    <s v="Gujarat"/>
    <s v="Ashirwad High Street"/>
    <s v="Surat"/>
    <m/>
    <s v="Pending"/>
    <m/>
    <m/>
    <s v=""/>
    <m/>
    <s v=""/>
    <n v="35"/>
    <d v="1900-02-03T00:00:00"/>
    <s v=""/>
    <m/>
    <s v=""/>
    <m/>
    <s v=""/>
    <m/>
    <s v=" "/>
    <s v=" "/>
    <x v="4"/>
  </r>
  <r>
    <s v="SEVEBK10611"/>
    <n v="54"/>
    <s v="E. Other Business"/>
    <s v="Other Business"/>
    <s v="NSO 7-Eleven"/>
    <s v="NSO"/>
    <x v="0"/>
    <s v="BK"/>
    <s v="Maharashtra"/>
    <s v="Aum Supreme, Kalyan"/>
    <s v="Mumbai"/>
    <m/>
    <s v="Pending"/>
    <m/>
    <m/>
    <s v=""/>
    <m/>
    <s v=""/>
    <n v="35"/>
    <d v="1900-02-03T00:00:00"/>
    <s v=""/>
    <m/>
    <s v=""/>
    <m/>
    <s v=""/>
    <m/>
    <s v=" "/>
    <s v=" "/>
    <x v="4"/>
  </r>
  <r>
    <s v="SEVEBK10612"/>
    <n v="55"/>
    <s v="E. Other Business"/>
    <s v="Other Business"/>
    <s v="NSO 7-Eleven"/>
    <s v="NSO"/>
    <x v="0"/>
    <s v="BK"/>
    <s v="Gujarat"/>
    <s v="Avadh Kontina"/>
    <s v="Surat"/>
    <m/>
    <s v="Pending"/>
    <m/>
    <m/>
    <s v=""/>
    <m/>
    <s v=""/>
    <n v="35"/>
    <d v="1900-02-03T00:00:00"/>
    <s v=""/>
    <m/>
    <s v=""/>
    <m/>
    <s v=""/>
    <m/>
    <s v=" "/>
    <s v=" "/>
    <x v="4"/>
  </r>
  <r>
    <s v="SEVEBK10628"/>
    <n v="56"/>
    <s v="E. Other Business"/>
    <s v="Other Business"/>
    <s v="NSO 7-Eleven"/>
    <s v="NSO"/>
    <x v="0"/>
    <s v="BK"/>
    <s v="Maharashtra"/>
    <s v="Marathon Future X"/>
    <s v="Mumbai"/>
    <n v="666"/>
    <s v="Pending"/>
    <m/>
    <m/>
    <s v=""/>
    <m/>
    <s v=""/>
    <n v="35"/>
    <d v="1900-02-03T00:00:00"/>
    <s v=""/>
    <m/>
    <s v=""/>
    <m/>
    <s v=""/>
    <m/>
    <s v=" "/>
    <s v=" "/>
    <x v="4"/>
  </r>
  <r>
    <s v="SEVEBK10630"/>
    <n v="57"/>
    <s v="E. Other Business"/>
    <s v="Other Business"/>
    <s v="NSO 7-Eleven"/>
    <s v="NSO"/>
    <x v="0"/>
    <s v="BK"/>
    <s v="Maharashtra"/>
    <s v="Adi Elementis"/>
    <s v="Pune"/>
    <n v="1245"/>
    <s v="Pending"/>
    <m/>
    <m/>
    <s v=""/>
    <m/>
    <s v=""/>
    <n v="35"/>
    <d v="1900-02-03T00:00:00"/>
    <s v=""/>
    <m/>
    <s v=""/>
    <m/>
    <s v=""/>
    <m/>
    <s v=" "/>
    <s v=" "/>
    <x v="4"/>
  </r>
  <r>
    <s v="SEVEBK11344"/>
    <n v="58"/>
    <s v="E. Other Business"/>
    <s v="Other Business"/>
    <s v="NSO 7-Eleven"/>
    <s v="NSO"/>
    <x v="0"/>
    <s v="BK"/>
    <s v="Maharashtra"/>
    <s v="Capital Mall, Vasai  1"/>
    <s v="Mumbai"/>
    <n v="523"/>
    <s v="Pending"/>
    <m/>
    <m/>
    <s v=""/>
    <m/>
    <s v=""/>
    <n v="35"/>
    <d v="1900-02-03T00:00:00"/>
    <s v=""/>
    <m/>
    <s v=""/>
    <m/>
    <s v=""/>
    <m/>
    <s v=" "/>
    <s v=" "/>
    <x v="9"/>
  </r>
  <r>
    <s v="SEVEBK11345"/>
    <n v="59"/>
    <s v="E. Other Business"/>
    <s v="Other Business"/>
    <s v="NSO 7-Eleven"/>
    <s v="NSO"/>
    <x v="0"/>
    <s v="BK"/>
    <s v="Maharashtra"/>
    <s v="Times Square - Stall 1"/>
    <s v="Mumbai"/>
    <n v="251"/>
    <s v="Pending"/>
    <m/>
    <m/>
    <s v=""/>
    <m/>
    <s v=""/>
    <n v="35"/>
    <d v="1900-02-03T00:00:00"/>
    <s v=""/>
    <m/>
    <s v=""/>
    <m/>
    <s v=""/>
    <m/>
    <s v=" "/>
    <s v=" "/>
    <x v="4"/>
  </r>
  <r>
    <s v="ADOFAS10639"/>
    <n v="60"/>
    <s v="K. Other Office Infrastructure"/>
    <s v="Office"/>
    <s v="Admin Office (Corporate Services)"/>
    <s v="NSO"/>
    <x v="1"/>
    <s v="AS"/>
    <s v="Karnataka"/>
    <s v="IBC Knowledge Park-Tower B_x000a_1st, 3rd &amp; 7th Floor"/>
    <s v="Bangalore"/>
    <n v="5669.98"/>
    <s v="DCDCKQCDJ00"/>
    <m/>
    <m/>
    <s v=""/>
    <m/>
    <s v=""/>
    <n v="55"/>
    <d v="1900-02-23T00:00:00"/>
    <s v=""/>
    <m/>
    <s v=""/>
    <m/>
    <s v=""/>
    <m/>
    <s v=" "/>
    <s v=" "/>
    <x v="4"/>
  </r>
  <r>
    <s v="ADOFAS10640"/>
    <n v="61"/>
    <s v="K. Other Office Infrastructure"/>
    <s v="Office"/>
    <s v="Admin Office (Corporate Services)"/>
    <s v="NSO"/>
    <x v="1"/>
    <s v="AS"/>
    <s v="Karnataka"/>
    <s v="IBC Knowledge Park Tower A - 5th"/>
    <s v="Bangalore"/>
    <m/>
    <s v="DCDCKQ5EV00"/>
    <m/>
    <m/>
    <s v=""/>
    <m/>
    <s v=""/>
    <n v="55"/>
    <d v="1900-02-23T00:00:00"/>
    <s v=""/>
    <m/>
    <s v=""/>
    <m/>
    <s v=""/>
    <m/>
    <s v=" "/>
    <s v=" "/>
    <x v="4"/>
  </r>
  <r>
    <s v="ADOFRT12644"/>
    <n v="62"/>
    <s v="K. Other Office Infrastructure"/>
    <s v="Office"/>
    <s v="Admin Office (Corporate Services)"/>
    <s v="NSO"/>
    <x v="2"/>
    <s v="RT"/>
    <s v="Delhi NCR"/>
    <s v="7th floor (Prakshdeep Building )"/>
    <s v="Delhi"/>
    <n v="1105"/>
    <m/>
    <m/>
    <m/>
    <s v=""/>
    <m/>
    <s v=""/>
    <m/>
    <d v="1899-12-30T00:00:00"/>
    <s v=""/>
    <m/>
    <s v=""/>
    <m/>
    <s v=""/>
    <m/>
    <s v=" "/>
    <s v=" "/>
    <x v="4"/>
  </r>
  <r>
    <s v="ADOFAS11458"/>
    <n v="63"/>
    <s v="K. Other Office Infrastructure"/>
    <s v="Office"/>
    <s v="Admin Office (Corporate Services)"/>
    <s v="NSO"/>
    <x v="1"/>
    <s v="AS"/>
    <s v="Karnataka"/>
    <s v="Ajio Studio"/>
    <s v="Bangalore"/>
    <n v="1120"/>
    <m/>
    <m/>
    <m/>
    <s v=""/>
    <m/>
    <s v=""/>
    <m/>
    <d v="1899-12-30T00:00:00"/>
    <s v=""/>
    <m/>
    <s v=""/>
    <m/>
    <s v=""/>
    <m/>
    <s v=" "/>
    <s v=" "/>
    <x v="4"/>
  </r>
  <r>
    <s v="ADOFRT10638"/>
    <n v="64"/>
    <s v="K. Other Office Infrastructure"/>
    <s v="Office"/>
    <s v="Admin Office (Corporate Services)"/>
    <s v="NSO"/>
    <x v="2"/>
    <s v="RT"/>
    <s v="Delhi &amp; NCR"/>
    <s v="CBD Shahadra"/>
    <s v="Delhi"/>
    <m/>
    <m/>
    <m/>
    <m/>
    <s v=""/>
    <m/>
    <s v=""/>
    <n v="55"/>
    <d v="1900-02-23T00:00:00"/>
    <s v=""/>
    <m/>
    <s v=""/>
    <m/>
    <s v=""/>
    <m/>
    <s v=" "/>
    <s v=" "/>
    <x v="4"/>
  </r>
  <r>
    <s v="ADOFAS11354"/>
    <n v="65"/>
    <s v="K. Other Office Infrastructure"/>
    <s v="Office"/>
    <s v="Admin Office (Corporate Services)"/>
    <s v="Additional Work"/>
    <x v="1"/>
    <s v="AS"/>
    <s v="Karnataka"/>
    <s v="IBC Knowledge Park-Category room- Tower D Additional Work"/>
    <s v="Bangalore"/>
    <m/>
    <s v="DCDCKQ5EU00 "/>
    <m/>
    <m/>
    <s v=""/>
    <m/>
    <s v=""/>
    <m/>
    <d v="1899-12-30T00:00:00"/>
    <s v=""/>
    <m/>
    <s v=""/>
    <m/>
    <s v=""/>
    <m/>
    <s v=" "/>
    <s v=" "/>
    <x v="4"/>
  </r>
  <r>
    <s v="ADOFAS11743"/>
    <n v="66"/>
    <s v="K. Other Office Infrastructure"/>
    <s v="Office"/>
    <s v="Admin Office (Corporate Services)"/>
    <s v="NSO"/>
    <x v="1"/>
    <s v="AS"/>
    <s v="Karnataka"/>
    <s v="Performax Category room – At IBC Tower B, 4th Floor"/>
    <s v="Bangalore"/>
    <n v="924"/>
    <m/>
    <m/>
    <m/>
    <s v=""/>
    <m/>
    <s v=""/>
    <m/>
    <d v="1899-12-30T00:00:00"/>
    <s v=""/>
    <m/>
    <s v=""/>
    <m/>
    <s v=""/>
    <m/>
    <s v=" "/>
    <s v=" "/>
    <x v="4"/>
  </r>
  <r>
    <s v="NETMAS10520"/>
    <n v="67"/>
    <s v="D. Pharma Format"/>
    <s v="Pharma Format"/>
    <s v="NETMED COCO"/>
    <s v="NSO"/>
    <x v="1"/>
    <s v="AS"/>
    <s v="Tamil Nadu"/>
    <s v="Mr.Jahir Hussain &amp; Others, No.1-B, Srinivasa Nagar, 1st Main Road, Srinivasa Nagar, Kolathur, Chennai  - 600 099"/>
    <s v="Chenai"/>
    <n v="1031"/>
    <s v="NETMTQH1F00"/>
    <m/>
    <m/>
    <s v=""/>
    <m/>
    <s v=""/>
    <n v="15"/>
    <d v="1900-01-14T00:00:00"/>
    <s v=""/>
    <m/>
    <s v=""/>
    <m/>
    <s v=""/>
    <m/>
    <s v=" "/>
    <s v=" "/>
    <x v="4"/>
  </r>
  <r>
    <s v="NETMAS10546"/>
    <n v="68"/>
    <s v="D. Pharma Format"/>
    <s v="Pharma Format"/>
    <s v="NETMED COCO"/>
    <s v="NSO"/>
    <x v="1"/>
    <s v="AS"/>
    <s v="Karnataka"/>
    <s v="Anand Patil Property – BIET Collage Rd – Davanagere"/>
    <s v="Bangalore"/>
    <n v="1560"/>
    <s v="NETMKQHTT00"/>
    <m/>
    <d v="2022-11-11T00:00:00"/>
    <s v="November 22 Week 2"/>
    <m/>
    <s v=""/>
    <n v="15"/>
    <d v="1900-01-14T00:00:00"/>
    <s v=""/>
    <m/>
    <s v=""/>
    <m/>
    <s v=""/>
    <m/>
    <s v=" "/>
    <s v=" "/>
    <x v="4"/>
  </r>
  <r>
    <s v="NETMAS10547"/>
    <n v="69"/>
    <s v="D. Pharma Format"/>
    <s v="Pharma Format"/>
    <s v="NETMED COCO"/>
    <s v="NSO"/>
    <x v="1"/>
    <s v="AS"/>
    <s v="Karnataka"/>
    <s v="Sathyanarayan property - RR Nagar"/>
    <s v="Bangalore"/>
    <n v="770"/>
    <m/>
    <m/>
    <d v="2022-11-07T00:00:00"/>
    <s v="November 22 Week 1"/>
    <m/>
    <s v=""/>
    <n v="15"/>
    <d v="1900-01-14T00:00:00"/>
    <s v=""/>
    <m/>
    <s v=""/>
    <m/>
    <s v=""/>
    <m/>
    <s v=" "/>
    <s v=" "/>
    <x v="4"/>
  </r>
  <r>
    <s v="NETMAS10548"/>
    <n v="70"/>
    <s v="D. Pharma Format"/>
    <s v="Pharma Format"/>
    <s v="NETMED COCO"/>
    <s v="NSO"/>
    <x v="1"/>
    <s v="AS"/>
    <s v="Karnataka"/>
    <s v="Arun Kumar -NO 10/2 9th Cross Jp nagar 1st phase Bangalore 560078"/>
    <s v="Bangalore"/>
    <n v="1400"/>
    <s v="NETMKQ3T200"/>
    <m/>
    <d v="2022-09-01T00:00:00"/>
    <s v="September 22 Week 1"/>
    <m/>
    <s v=""/>
    <n v="15"/>
    <d v="1900-01-14T00:00:00"/>
    <s v=""/>
    <m/>
    <s v=""/>
    <m/>
    <s v=""/>
    <m/>
    <s v=" "/>
    <s v=" "/>
    <x v="4"/>
  </r>
  <r>
    <s v="NETMBK10549"/>
    <n v="71"/>
    <s v="D. Pharma Format"/>
    <s v="Pharma Format"/>
    <s v="NETMED COCO"/>
    <s v="NSO"/>
    <x v="0"/>
    <s v="BK"/>
    <s v="Gujarat"/>
    <s v="Grace business park, sola road,ahmedabad"/>
    <s v="Ahmedabad"/>
    <n v="970"/>
    <s v="NETMGQIJJ00"/>
    <m/>
    <d v="2022-11-03T00:00:00"/>
    <s v="November 22 Week 1"/>
    <m/>
    <s v=""/>
    <n v="15"/>
    <d v="1900-01-14T00:00:00"/>
    <s v=""/>
    <m/>
    <s v=""/>
    <m/>
    <s v=""/>
    <m/>
    <s v=" "/>
    <s v=" "/>
    <x v="4"/>
  </r>
  <r>
    <s v="NETMBK10550"/>
    <n v="72"/>
    <s v="D. Pharma Format"/>
    <s v="Pharma Format"/>
    <s v="NETMED COCO"/>
    <s v="NSO"/>
    <x v="0"/>
    <s v="BK"/>
    <s v="Maharashtra"/>
    <s v="Neelsidhi Amrante, Roadpali ,Kalamboli,Navi Mumbai"/>
    <s v="Navi Mumbai"/>
    <n v="750"/>
    <m/>
    <m/>
    <d v="2022-12-20T00:00:00"/>
    <s v="December 22 Week 3"/>
    <m/>
    <s v=""/>
    <n v="15"/>
    <d v="1900-01-14T00:00:00"/>
    <s v=""/>
    <m/>
    <s v=""/>
    <m/>
    <s v=""/>
    <m/>
    <s v=" "/>
    <s v=" "/>
    <x v="4"/>
  </r>
  <r>
    <s v="NETMBK10551"/>
    <n v="73"/>
    <s v="D. Pharma Format"/>
    <s v="Pharma Format"/>
    <s v="NETMED COCO"/>
    <s v="NSO"/>
    <x v="0"/>
    <s v="BK"/>
    <s v="Maharashtra"/>
    <s v="Ganraya Krupa Bldg - Next to Wellness Pharmacy, Katrap, Badlapur "/>
    <s v="Thane"/>
    <n v="895"/>
    <m/>
    <m/>
    <d v="2022-12-14T00:00:00"/>
    <s v="December 22 Week 2"/>
    <m/>
    <s v=""/>
    <n v="15"/>
    <d v="1900-01-14T00:00:00"/>
    <s v=""/>
    <m/>
    <s v=""/>
    <m/>
    <s v=""/>
    <m/>
    <s v=" "/>
    <s v=" "/>
    <x v="4"/>
  </r>
  <r>
    <s v="NETMSD10552"/>
    <n v="74"/>
    <s v="D. Pharma Format"/>
    <s v="Pharma Format"/>
    <s v="NETMED COCO"/>
    <s v="NSO"/>
    <x v="3"/>
    <s v="SD"/>
    <s v="West Bengal"/>
    <s v="Barasaat Taki Road"/>
    <s v="Barasaat"/>
    <n v="1000"/>
    <m/>
    <m/>
    <d v="2023-03-20T00:00:00"/>
    <s v="March 23 Week 3"/>
    <m/>
    <s v=""/>
    <n v="15"/>
    <d v="1900-01-14T00:00:00"/>
    <s v=""/>
    <m/>
    <s v=""/>
    <m/>
    <s v=""/>
    <m/>
    <s v=" "/>
    <s v=" "/>
    <x v="4"/>
  </r>
  <r>
    <s v="PHSmarS321"/>
    <n v="75"/>
    <s v="D. Pharma Format"/>
    <s v="Pharma Format"/>
    <s v="Pharma COCO Store (SP Fix Setup)"/>
    <s v="Refit"/>
    <x v="1"/>
    <s v="AK"/>
    <s v="Karnataka"/>
    <s v="Gavisiddappa Banikatti Gadag Road  , Koppal , Ward No 21 Next To Patanjali  , KOPPAL , 583231"/>
    <s v="KOPPAL"/>
    <n v="400"/>
    <s v="NETMKQB3O00"/>
    <s v="Sreekanth.Bijjhalli-9900039061"/>
    <d v="2024-03-26T00:00:00"/>
    <s v="March 24 Week 4"/>
    <d v="2024-03-26T00:00:00"/>
    <s v="March 24 Week 4"/>
    <n v="7"/>
    <d v="2024-04-02T00:00:00"/>
    <s v="April 24 Week 1"/>
    <m/>
    <s v=""/>
    <d v="2024-03-30T00:00:00"/>
    <s v="March 24 Week 5"/>
    <m/>
    <s v=" "/>
    <s v=" "/>
    <x v="4"/>
  </r>
  <r>
    <s v="PHCOAS10497"/>
    <n v="76"/>
    <s v="D. Pharma Format"/>
    <s v="Pharma Format"/>
    <s v="Pharma COCO Store (SP Fix Setup)"/>
    <s v="Refit"/>
    <x v="1"/>
    <s v="AS"/>
    <s v="Kerala"/>
    <s v="Alfiya Business Centre Abc Alamcode  , Thiruvananthapuram , Attingal Market Road  , ALAMCODE , 695102"/>
    <s v="ALAMCODE"/>
    <n v="400"/>
    <s v="NETMVQECU00"/>
    <m/>
    <m/>
    <s v=""/>
    <m/>
    <s v=""/>
    <n v="0"/>
    <d v="1899-12-30T00:00:00"/>
    <s v=""/>
    <m/>
    <s v=""/>
    <m/>
    <s v=""/>
    <m/>
    <s v=" "/>
    <s v=" "/>
    <x v="4"/>
  </r>
  <r>
    <s v="PHCOSD10498"/>
    <n v="77"/>
    <s v="D. Pharma Format"/>
    <s v="Pharma Format"/>
    <s v="Pharma COCO Store (SP Fix Setup)"/>
    <s v="Refit"/>
    <x v="3"/>
    <s v="SD"/>
    <s v="West Bengal"/>
    <s v="Arambagh Taltala Bazar  , Hooghly Nr B K Ray Super Market , Ward No 5 Po Ps Arambag  , ARAMBAG , 712601"/>
    <s v="Arambag"/>
    <n v="400"/>
    <s v="NETMWQDWN00"/>
    <m/>
    <m/>
    <s v=""/>
    <m/>
    <s v=""/>
    <n v="0"/>
    <d v="1899-12-30T00:00:00"/>
    <s v=""/>
    <m/>
    <s v=""/>
    <m/>
    <s v=""/>
    <m/>
    <s v=" "/>
    <s v=" "/>
    <x v="4"/>
  </r>
  <r>
    <s v="PHCOAS10499"/>
    <n v="78"/>
    <s v="D. Pharma Format"/>
    <s v="Pharma Format"/>
    <s v="Pharma COCO Store (SP Fix Setup)"/>
    <s v="Refit"/>
    <x v="1"/>
    <s v="AS"/>
    <s v="Kerala"/>
    <s v="Chungath Building  , Chavara P O , N H 66  , KOLLAM , 690524"/>
    <s v="Chavera"/>
    <n v="400"/>
    <s v="NETMVQ9W500"/>
    <m/>
    <m/>
    <s v=""/>
    <m/>
    <s v=""/>
    <n v="0"/>
    <d v="1899-12-30T00:00:00"/>
    <s v=""/>
    <m/>
    <s v=""/>
    <m/>
    <s v=""/>
    <m/>
    <s v=" "/>
    <s v=" "/>
    <x v="4"/>
  </r>
  <r>
    <s v="PHCOSD10500"/>
    <n v="79"/>
    <s v="D. Pharma Format"/>
    <s v="Pharma Format"/>
    <s v="Pharma COCO Store (SP Fix Setup)"/>
    <s v="Refit"/>
    <x v="3"/>
    <s v="SD"/>
    <s v="Assam &amp; NE"/>
    <s v="GF Hukuta Gaon Mouza  , Circle Duliajan Dist Dibrugarh , Tipling Tengakhat Revenue  , DULIAJAN , 786602"/>
    <s v="DHULIAJAN"/>
    <n v="401"/>
    <s v="NETMFQB7S00"/>
    <m/>
    <m/>
    <s v=""/>
    <m/>
    <s v=""/>
    <n v="0"/>
    <d v="1899-12-30T00:00:00"/>
    <s v=""/>
    <m/>
    <s v=""/>
    <m/>
    <s v=""/>
    <m/>
    <s v=" "/>
    <s v=" "/>
    <x v="4"/>
  </r>
  <r>
    <s v="PHCOSD10501"/>
    <n v="80"/>
    <s v="D. Pharma Format"/>
    <s v="Pharma Format"/>
    <s v="Pharma COCO Store (SP Fix Setup)"/>
    <s v="Refit"/>
    <x v="3"/>
    <s v="SD"/>
    <s v="Assam &amp; NE"/>
    <s v="GF JSB Pavillion Dag no339 P P Patta  , Dibrugarh Dist Dibrugarh , 5 Old 13 New Niz Kadamini gaon Mouza  , DIBRUGARH , 786003"/>
    <s v="Dibrugarh"/>
    <n v="407"/>
    <s v="NETMFQ6ON00"/>
    <m/>
    <m/>
    <s v=""/>
    <m/>
    <s v=""/>
    <n v="0"/>
    <d v="1899-12-30T00:00:00"/>
    <s v=""/>
    <m/>
    <s v=""/>
    <m/>
    <s v=""/>
    <m/>
    <s v=" "/>
    <s v=" "/>
    <x v="4"/>
  </r>
  <r>
    <s v="PHCOAS10502"/>
    <n v="81"/>
    <s v="D. Pharma Format"/>
    <s v="Pharma Format"/>
    <s v="Pharma COCO Store (SP Fix Setup)"/>
    <s v="Refit"/>
    <x v="1"/>
    <s v="AS"/>
    <s v="Kerala"/>
    <s v="Vinayaka Plaza Near Kerala Gramin Bank  , Pathanamthitta , Mannadi Road Enathu Adoor  , Enathu , 691526"/>
    <s v="ENATHU"/>
    <n v="409"/>
    <s v="NETMVQB1O00"/>
    <m/>
    <m/>
    <s v=""/>
    <m/>
    <s v=""/>
    <n v="0"/>
    <d v="1899-12-30T00:00:00"/>
    <s v=""/>
    <m/>
    <s v=""/>
    <m/>
    <s v=""/>
    <m/>
    <s v=" "/>
    <s v=" "/>
    <x v="4"/>
  </r>
  <r>
    <s v="PHCOSD10503"/>
    <n v="82"/>
    <s v="D. Pharma Format"/>
    <s v="Pharma Format"/>
    <s v="Pharma COCO Store (SP Fix Setup)"/>
    <s v="Refit"/>
    <x v="3"/>
    <s v="SD"/>
    <s v="Assam &amp; NE"/>
    <s v="GF Haryana Bhawan Narayan Nagar Dag No  , Kumarpara , 1438 &amp; 2104 Periodic Patta No 1209 , Mouza Guwahati Dist Kamrup , GUWAHATI , 781009"/>
    <s v="Guwahati"/>
    <n v="400"/>
    <m/>
    <m/>
    <m/>
    <s v=""/>
    <m/>
    <s v=""/>
    <n v="0"/>
    <d v="1899-12-30T00:00:00"/>
    <s v=""/>
    <m/>
    <s v=""/>
    <m/>
    <s v=""/>
    <m/>
    <s v=" "/>
    <s v=" "/>
    <x v="4"/>
  </r>
  <r>
    <s v="PHCOSD10504"/>
    <n v="83"/>
    <s v="D. Pharma Format"/>
    <s v="Pharma Format"/>
    <s v="Pharma COCO Store (SP Fix Setup)"/>
    <s v="Refit"/>
    <x v="3"/>
    <s v="SD"/>
    <s v="Assam &amp; NE"/>
    <s v="GF Village No41 Chingamathak Patta 41 94  , Sbi Bank Manipur , Old 132 569 New Dag No 1204 1297 1204 , 1300 Sub Division &amp; Tehsil Lamphel Centr , IMPHAL , 795001"/>
    <s v="Imphal"/>
    <n v="400"/>
    <s v="NETMPQDWF00"/>
    <m/>
    <m/>
    <s v=""/>
    <m/>
    <s v=""/>
    <n v="0"/>
    <d v="1899-12-30T00:00:00"/>
    <s v=""/>
    <m/>
    <s v=""/>
    <m/>
    <s v=""/>
    <m/>
    <s v=" "/>
    <s v=" "/>
    <x v="4"/>
  </r>
  <r>
    <s v="PHCOSD10505"/>
    <n v="84"/>
    <s v="D. Pharma Format"/>
    <s v="Pharma Format"/>
    <s v="Pharma COCO Store (SP Fix Setup)"/>
    <s v="Refit"/>
    <x v="3"/>
    <s v="SD"/>
    <s v="Assam &amp; NE"/>
    <s v="GFVilaage No26 Wangkheirakpam Leikai Sub  , Imphal East , Division Tehsil Porompat District  , IMPHAL , 795005"/>
    <s v="Imphal"/>
    <n v="395"/>
    <s v="NETMPQCZO00"/>
    <m/>
    <m/>
    <s v=""/>
    <m/>
    <s v=""/>
    <n v="0"/>
    <d v="1899-12-30T00:00:00"/>
    <s v=""/>
    <m/>
    <s v=""/>
    <m/>
    <s v=""/>
    <m/>
    <s v=" "/>
    <s v=" "/>
    <x v="4"/>
  </r>
  <r>
    <s v="PHCOAS10507"/>
    <n v="85"/>
    <s v="D. Pharma Format"/>
    <s v="Pharma Format"/>
    <s v="Pharma COCO Store (SP Fix Setup)"/>
    <s v="Refit"/>
    <x v="1"/>
    <s v="AS"/>
    <s v="Tamil Nadu"/>
    <s v="GF Malar Complex Door No 37 A  , KVB Thanthonimalai Dist Karur , Collectorate Road Near  , KARUR , 639005"/>
    <s v="Karur"/>
    <n v="400"/>
    <s v="NETMTQBIW00"/>
    <m/>
    <m/>
    <s v=""/>
    <m/>
    <s v=""/>
    <n v="0"/>
    <d v="1899-12-30T00:00:00"/>
    <s v=""/>
    <m/>
    <s v=""/>
    <m/>
    <s v=""/>
    <m/>
    <s v=" "/>
    <s v=" "/>
    <x v="4"/>
  </r>
  <r>
    <s v="PHCOAS10508"/>
    <n v="86"/>
    <s v="D. Pharma Format"/>
    <s v="Pharma Format"/>
    <s v="Pharma COCO Store (SP Fix Setup)"/>
    <s v="Refit"/>
    <x v="1"/>
    <s v="AS"/>
    <s v="Andhra Pradesh"/>
    <s v="Ground Floor SATHYA LAKSHMI COMPLEX  , Rural &amp; District- Ankapalle , Dno 1SYno 110/2NH16 MAIN ROAD KASIMKOTA  , KASIMKOTA , 531031"/>
    <s v="KASIMKOTA"/>
    <n v="427"/>
    <s v="NETMAQDPV00"/>
    <m/>
    <m/>
    <s v=""/>
    <m/>
    <s v=""/>
    <n v="0"/>
    <d v="1899-12-30T00:00:00"/>
    <s v=""/>
    <m/>
    <s v=""/>
    <m/>
    <s v=""/>
    <m/>
    <s v=" "/>
    <s v=" "/>
    <x v="4"/>
  </r>
  <r>
    <s v="PHCOBK10509"/>
    <n v="87"/>
    <s v="D. Pharma Format"/>
    <s v="Pharma Format"/>
    <s v="Pharma COCO Store (SP Fix Setup)"/>
    <s v="Refit"/>
    <x v="0"/>
    <s v="BK"/>
    <s v="Maharashtra"/>
    <s v="Gat No 1 2 3 Plot No 01 Nira Baramati  , Malegaon Budruk Pune , Road Near Ss Computers  , MALEGAON , 413115"/>
    <s v="Malegaon"/>
    <n v="280"/>
    <m/>
    <m/>
    <m/>
    <s v=""/>
    <m/>
    <s v=""/>
    <n v="0"/>
    <d v="1899-12-30T00:00:00"/>
    <s v=""/>
    <m/>
    <s v=""/>
    <m/>
    <s v=""/>
    <m/>
    <s v=" "/>
    <s v=" "/>
    <x v="4"/>
  </r>
  <r>
    <s v="PHCOAS10510"/>
    <n v="88"/>
    <s v="D. Pharma Format"/>
    <s v="Pharma Format"/>
    <s v="Pharma COCO Store (SP Fix Setup)"/>
    <s v="Refit"/>
    <x v="1"/>
    <s v="AS"/>
    <s v="Kerala"/>
    <s v="Satvikam Arcade Opp to Siva Parvathy  , Kottayam , Temple Mariapalli Natakom PO  , Nattakom , 686013"/>
    <s v="NATTAKOM"/>
    <n v="400"/>
    <s v="NETMVQB1G00"/>
    <m/>
    <m/>
    <s v=""/>
    <m/>
    <s v=""/>
    <n v="0"/>
    <d v="1899-12-30T00:00:00"/>
    <s v=""/>
    <m/>
    <s v=""/>
    <m/>
    <s v=""/>
    <m/>
    <s v=" "/>
    <s v=" "/>
    <x v="4"/>
  </r>
  <r>
    <s v="PHCOAS10511"/>
    <n v="89"/>
    <s v="D. Pharma Format"/>
    <s v="Pharma Format"/>
    <s v="Pharma COCO Store (SP Fix Setup)"/>
    <s v="Refit"/>
    <x v="1"/>
    <s v="AS"/>
    <s v="Andhra Pradesh"/>
    <s v="Sri Lakshmi Talkies  , Medarmetla , Near Ysr Circle  , Medarametla , 523212"/>
    <s v="Ongole"/>
    <n v="400"/>
    <s v="NETMAQCXP00"/>
    <m/>
    <m/>
    <s v=""/>
    <m/>
    <s v=""/>
    <n v="0"/>
    <d v="1899-12-30T00:00:00"/>
    <s v=""/>
    <m/>
    <s v=""/>
    <m/>
    <s v=""/>
    <m/>
    <s v=" "/>
    <s v=" "/>
    <x v="4"/>
  </r>
  <r>
    <s v="PHCOAS10512"/>
    <n v="90"/>
    <s v="D. Pharma Format"/>
    <s v="Pharma Format"/>
    <s v="Pharma COCO Store (SP Fix Setup)"/>
    <s v="Refit"/>
    <x v="1"/>
    <s v="AS"/>
    <s v="Andhra Pradesh"/>
    <s v="Murali Complex Pakala  ,  , Andhra Pradesh  , PAKALA , 517112"/>
    <s v="Pakala"/>
    <n v="400"/>
    <s v="NETMAQ7Z800"/>
    <m/>
    <m/>
    <s v=""/>
    <m/>
    <s v=""/>
    <n v="0"/>
    <d v="1899-12-30T00:00:00"/>
    <s v=""/>
    <m/>
    <s v=""/>
    <m/>
    <s v=""/>
    <m/>
    <s v=" "/>
    <s v=" "/>
    <x v="4"/>
  </r>
  <r>
    <s v="PHCOAS10513"/>
    <n v="91"/>
    <s v="D. Pharma Format"/>
    <s v="Pharma Format"/>
    <s v="Pharma COCO Store (SP Fix Setup)"/>
    <s v="Refit"/>
    <x v="1"/>
    <s v="AS"/>
    <s v="Kerala"/>
    <s v="Shamil Tower Opposite Federal Bank  ,  , Kizhakethala Karuvarukund Malappuram  , PERINTHALMANNA , 676523"/>
    <s v="Perinthalmanna"/>
    <n v="400"/>
    <s v="NETMVQCEZ00"/>
    <m/>
    <m/>
    <s v=""/>
    <m/>
    <s v=""/>
    <n v="0"/>
    <d v="1899-12-30T00:00:00"/>
    <s v=""/>
    <m/>
    <s v=""/>
    <m/>
    <s v=""/>
    <m/>
    <s v=" "/>
    <s v=" "/>
    <x v="4"/>
  </r>
  <r>
    <s v="PHCOAS10514"/>
    <n v="92"/>
    <s v="D. Pharma Format"/>
    <s v="Pharma Format"/>
    <s v="Pharma COCO Store (SP Fix Setup)"/>
    <s v="Refit"/>
    <x v="1"/>
    <s v="AS"/>
    <s v="Andhra Pradesh"/>
    <s v="SP Pharma SRINIVASAPURAM PROPERTY"/>
    <s v="Tirupati"/>
    <n v="395"/>
    <s v="NETMAQ7Z900"/>
    <s v="Mr. Sudhakar Veerla"/>
    <m/>
    <s v=""/>
    <m/>
    <s v=""/>
    <n v="0"/>
    <d v="1899-12-30T00:00:00"/>
    <s v=""/>
    <m/>
    <s v=""/>
    <m/>
    <s v=""/>
    <m/>
    <s v=" "/>
    <s v=" "/>
    <x v="4"/>
  </r>
  <r>
    <s v="PHCOAS10516"/>
    <n v="93"/>
    <s v="D. Pharma Format"/>
    <s v="Pharma Format"/>
    <s v="Pharma COCO Store (SP Fix Setup)"/>
    <s v="Refit"/>
    <x v="1"/>
    <s v="AS"/>
    <s v="Kerala"/>
    <s v="GF, Unit/Shop No. 4/978/A,B,C &amp; D  , Stop, PO. Vadasserikkara, Pathanamthitta , Universal  Tower,Opp.Vadasserikkara Bus  , Vadasserikkara , 689662"/>
    <s v="VADASSERIKKARA"/>
    <n v="392"/>
    <s v="NETMVQBUB00"/>
    <m/>
    <m/>
    <s v=""/>
    <m/>
    <s v=""/>
    <n v="0"/>
    <d v="1899-12-30T00:00:00"/>
    <s v=""/>
    <m/>
    <s v=""/>
    <m/>
    <s v=""/>
    <m/>
    <s v=" "/>
    <s v=" "/>
    <x v="4"/>
  </r>
  <r>
    <s v="PHCOAS10517"/>
    <n v="94"/>
    <s v="D. Pharma Format"/>
    <s v="Pharma Format"/>
    <s v="Pharma COCO Store (SP Fix Setup)"/>
    <s v="Refit"/>
    <x v="1"/>
    <s v="AS"/>
    <s v="Andhra Pradesh"/>
    <s v="Srinivas Complex Lingamparthi Main Road  ,  , Besides Apsrtc Bus Stand Yeleswaram  , YELESWARAM , 533429"/>
    <s v="YELESWARAM"/>
    <n v="400"/>
    <s v="NETMAQ6KH00"/>
    <m/>
    <m/>
    <s v=""/>
    <m/>
    <s v=""/>
    <n v="0"/>
    <d v="1899-12-30T00:00:00"/>
    <s v=""/>
    <m/>
    <s v=""/>
    <m/>
    <s v=""/>
    <m/>
    <s v=" "/>
    <s v=" "/>
    <x v="4"/>
  </r>
  <r>
    <s v="SEVEBK14549"/>
    <n v="95"/>
    <s v="E. Other Business"/>
    <s v="Other Business"/>
    <s v="NSO 7-Eleven"/>
    <s v="NSO"/>
    <x v="0"/>
    <s v="BK"/>
    <s v="Maharashtra"/>
    <s v="Kiosk Panchshil EON W-Wakad"/>
    <s v="Pune"/>
    <n v="147.25"/>
    <m/>
    <m/>
    <m/>
    <s v=""/>
    <m/>
    <s v=""/>
    <m/>
    <d v="1899-12-30T00:00:00"/>
    <s v=""/>
    <m/>
    <s v=""/>
    <m/>
    <s v=""/>
    <m/>
    <s v=" "/>
    <s v=" "/>
    <x v="10"/>
  </r>
  <r>
    <s v="SEVEBK14695"/>
    <n v="96"/>
    <s v="E. Other Business"/>
    <s v="Other Business"/>
    <s v="NSO 7-Eleven"/>
    <s v="NSO"/>
    <x v="0"/>
    <s v="BK"/>
    <s v="Maharashtra"/>
    <s v="Kiosk Panchshil Vantage, Kharadi, Pune"/>
    <s v="Pune"/>
    <m/>
    <m/>
    <m/>
    <m/>
    <s v=""/>
    <m/>
    <s v=""/>
    <m/>
    <d v="1899-12-30T00:00:00"/>
    <s v=""/>
    <m/>
    <s v=""/>
    <m/>
    <s v=""/>
    <m/>
    <s v=" "/>
    <s v=" "/>
    <x v="4"/>
  </r>
  <r>
    <s v="SEVEBK15761"/>
    <n v="97"/>
    <s v="E. Other Business"/>
    <s v="Other Business"/>
    <s v="NSO 7-Eleven"/>
    <s v="NSO"/>
    <x v="0"/>
    <s v="BK"/>
    <s v="Maharashtra"/>
    <s v="Bhavan's College  Andheri"/>
    <s v="Mumbai"/>
    <m/>
    <m/>
    <m/>
    <m/>
    <s v=""/>
    <m/>
    <s v=""/>
    <m/>
    <d v="1899-12-30T00:00:00"/>
    <s v=""/>
    <m/>
    <s v=""/>
    <m/>
    <s v=""/>
    <m/>
    <s v=" "/>
    <s v=" "/>
    <x v="4"/>
  </r>
  <r>
    <s v="SEVEBK16290"/>
    <n v="98"/>
    <s v="E. Other Business"/>
    <s v="Other Business"/>
    <s v="NSO 7-Eleven"/>
    <s v="NSO"/>
    <x v="0"/>
    <s v="BK"/>
    <s v="Maharashtra"/>
    <s v="Godrej II, Vikhroli"/>
    <s v="Mumbai"/>
    <m/>
    <m/>
    <m/>
    <m/>
    <s v=""/>
    <m/>
    <s v=""/>
    <m/>
    <d v="1899-12-30T00:00:00"/>
    <s v=""/>
    <m/>
    <s v=""/>
    <m/>
    <s v=""/>
    <m/>
    <s v=" "/>
    <s v=" "/>
    <x v="4"/>
  </r>
  <r>
    <s v="SEVEBK16515"/>
    <n v="99"/>
    <s v="E. Other Business"/>
    <s v="Other Business"/>
    <s v="NSO 7-Eleven"/>
    <s v="NSO"/>
    <x v="0"/>
    <s v="BK"/>
    <s v="Maharashtra"/>
    <s v="Chaitanya ,Viman Nagar -Pune."/>
    <s v="Pune"/>
    <m/>
    <m/>
    <m/>
    <m/>
    <s v=""/>
    <m/>
    <s v=""/>
    <m/>
    <d v="1899-12-30T00:00:00"/>
    <s v=""/>
    <m/>
    <s v=""/>
    <m/>
    <s v=""/>
    <m/>
    <s v=" "/>
    <s v=" "/>
    <x v="8"/>
  </r>
  <r>
    <s v="SEVEBK16516"/>
    <n v="100"/>
    <s v="E. Other Business"/>
    <s v="Other Business"/>
    <s v="NSO 7-Eleven"/>
    <s v="NSO"/>
    <x v="0"/>
    <s v="BK"/>
    <s v="Maharashtra"/>
    <s v="Keppel Tensteps Kharadi Pune"/>
    <s v="Pune"/>
    <m/>
    <m/>
    <m/>
    <m/>
    <s v=""/>
    <m/>
    <s v=""/>
    <m/>
    <d v="1899-12-30T00:00:00"/>
    <s v=""/>
    <m/>
    <s v=""/>
    <m/>
    <s v=""/>
    <m/>
    <s v=" "/>
    <s v=" "/>
    <x v="8"/>
  </r>
  <r>
    <s v="SEVEBK16517"/>
    <n v="101"/>
    <s v="E. Other Business"/>
    <s v="Other Business"/>
    <s v="NSO 7-Eleven"/>
    <s v="NSO"/>
    <x v="0"/>
    <s v="BK"/>
    <s v="Maharashtra"/>
    <s v="Godrej, Koregaon Park, Pune"/>
    <s v="Pune"/>
    <m/>
    <m/>
    <m/>
    <m/>
    <s v=""/>
    <m/>
    <s v=""/>
    <m/>
    <d v="1899-12-30T00:00:00"/>
    <s v=""/>
    <m/>
    <s v=""/>
    <m/>
    <s v=""/>
    <m/>
    <s v=" "/>
    <s v=" "/>
    <x v="8"/>
  </r>
  <r>
    <s v="SEVEBK16518"/>
    <n v="102"/>
    <s v="E. Other Business"/>
    <s v="Other Business"/>
    <s v="NSO 7-Eleven"/>
    <s v="NSO"/>
    <x v="0"/>
    <s v="BK"/>
    <s v="Maharashtra"/>
    <s v="Mumbai Metro -Aqua Line - MIDC"/>
    <s v="Mumbai"/>
    <m/>
    <m/>
    <m/>
    <m/>
    <s v=""/>
    <m/>
    <s v=""/>
    <m/>
    <d v="1899-12-30T00:00:00"/>
    <s v=""/>
    <m/>
    <s v=""/>
    <m/>
    <s v=""/>
    <m/>
    <s v=" "/>
    <s v=" "/>
    <x v="4"/>
  </r>
  <r>
    <s v="SEVEBK16519"/>
    <n v="103"/>
    <s v="E. Other Business"/>
    <s v="Other Business"/>
    <s v="NSO 7-Eleven"/>
    <s v="NSO"/>
    <x v="0"/>
    <s v="BK"/>
    <s v="Maharashtra"/>
    <s v="Mumbai Metro -Aqua Line  - BKC"/>
    <s v="Mumbai"/>
    <m/>
    <m/>
    <m/>
    <m/>
    <s v=""/>
    <m/>
    <s v=""/>
    <m/>
    <d v="1899-12-30T00:00:00"/>
    <s v=""/>
    <m/>
    <s v=""/>
    <m/>
    <s v=""/>
    <m/>
    <s v=" "/>
    <s v=" "/>
    <x v="4"/>
  </r>
  <r>
    <s v="SEVEBK16520"/>
    <n v="104"/>
    <s v="E. Other Business"/>
    <s v="Other Business"/>
    <s v="NSO 7-Eleven"/>
    <s v="NSO"/>
    <x v="0"/>
    <s v="BK"/>
    <s v="Maharashtra"/>
    <s v="Mumbai Metro -Aqua Line - Dadar"/>
    <s v="Mumbai"/>
    <m/>
    <m/>
    <m/>
    <m/>
    <s v=""/>
    <m/>
    <s v=""/>
    <m/>
    <d v="1899-12-30T00:00:00"/>
    <s v=""/>
    <m/>
    <s v=""/>
    <m/>
    <s v=""/>
    <m/>
    <s v=" "/>
    <s v=" "/>
    <x v="4"/>
  </r>
  <r>
    <s v="SEVEBK16521"/>
    <n v="105"/>
    <s v="E. Other Business"/>
    <s v="Other Business"/>
    <s v="NSO 7-Eleven"/>
    <s v="NSO"/>
    <x v="0"/>
    <s v="BK"/>
    <s v="Maharashtra"/>
    <s v="Mumbai Metro -Aqua Line  - Worli"/>
    <s v="Mumbai"/>
    <m/>
    <m/>
    <m/>
    <m/>
    <s v=""/>
    <m/>
    <s v=""/>
    <m/>
    <d v="1899-12-30T00:00:00"/>
    <s v=""/>
    <m/>
    <s v=""/>
    <m/>
    <s v=""/>
    <m/>
    <s v=" "/>
    <s v=" "/>
    <x v="4"/>
  </r>
  <r>
    <s v="SEVEBK16522"/>
    <n v="106"/>
    <s v="E. Other Business"/>
    <s v="Other Business"/>
    <s v="NSO 7-Eleven"/>
    <s v="NSO"/>
    <x v="0"/>
    <s v="BK"/>
    <s v="Maharashtra"/>
    <s v="Mumbai Metro -Aqua Line  - CSMT"/>
    <s v="Mumbai"/>
    <m/>
    <m/>
    <m/>
    <m/>
    <s v=""/>
    <m/>
    <s v=""/>
    <m/>
    <d v="1899-12-30T00:00:00"/>
    <s v=""/>
    <m/>
    <s v=""/>
    <m/>
    <s v=""/>
    <m/>
    <s v=" "/>
    <s v=" "/>
    <x v="4"/>
  </r>
  <r>
    <s v="SEVEBK16523"/>
    <n v="107"/>
    <s v="E. Other Business"/>
    <s v="Other Business"/>
    <s v="NSO 7-Eleven"/>
    <s v="NSO"/>
    <x v="0"/>
    <s v="BK"/>
    <s v="Maharashtra"/>
    <s v="Mumbai Metro -Line 2&amp;7  - Andheri W"/>
    <s v="Mumbai"/>
    <m/>
    <m/>
    <m/>
    <m/>
    <s v=""/>
    <m/>
    <s v=""/>
    <m/>
    <d v="1899-12-30T00:00:00"/>
    <s v=""/>
    <m/>
    <s v=""/>
    <m/>
    <s v=""/>
    <m/>
    <s v=" "/>
    <s v=" "/>
    <x v="4"/>
  </r>
  <r>
    <s v="SEVEBK16524"/>
    <n v="108"/>
    <s v="E. Other Business"/>
    <s v="Other Business"/>
    <s v="NSO 7-Eleven"/>
    <s v="NSO"/>
    <x v="0"/>
    <s v="BK"/>
    <s v="Maharashtra"/>
    <s v="Mumbai Metro -Line 2&amp;7 - Gundavali"/>
    <s v="Mumbai"/>
    <m/>
    <m/>
    <m/>
    <m/>
    <s v=""/>
    <m/>
    <s v=""/>
    <m/>
    <d v="1899-12-30T00:00:00"/>
    <s v=""/>
    <m/>
    <s v=""/>
    <m/>
    <s v=""/>
    <m/>
    <s v=" "/>
    <s v=" "/>
    <x v="4"/>
  </r>
  <r>
    <s v="SEVEBK16525"/>
    <n v="109"/>
    <s v="E. Other Business"/>
    <s v="Other Business"/>
    <s v="NSO 7-Eleven"/>
    <s v="NSO"/>
    <x v="0"/>
    <s v="BK"/>
    <s v="Maharashtra"/>
    <s v="Mumbai Metro -Line 2&amp;7  - Dahisar"/>
    <s v="Mumbai"/>
    <m/>
    <m/>
    <m/>
    <m/>
    <s v=""/>
    <m/>
    <s v=""/>
    <m/>
    <d v="1899-12-30T00:00:00"/>
    <s v=""/>
    <m/>
    <s v=""/>
    <m/>
    <s v=""/>
    <m/>
    <s v=" "/>
    <s v=" "/>
    <x v="4"/>
  </r>
  <r>
    <s v="JIDGAK16526"/>
    <n v="109"/>
    <s v="E. Other Business"/>
    <s v="Other Business"/>
    <s v="JioMart digital"/>
    <s v="NSO"/>
    <x v="1"/>
    <s v="AK"/>
    <s v="Karnataka"/>
    <s v="Sri Electronics"/>
    <s v="Nanjangud"/>
    <n v="233"/>
    <s v="JMDKA000666"/>
    <s v="NA"/>
    <d v="2026-04-27T00:00:00"/>
    <s v="April 26 Week 4"/>
    <d v="2026-04-27T00:00:00"/>
    <s v="April 26 Week 4"/>
    <n v="7"/>
    <d v="2026-05-04T00:00:00"/>
    <s v="May 26 Week 1"/>
    <d v="2026-05-02T00:00:00"/>
    <s v="May 26 Week 1"/>
    <m/>
    <s v=""/>
    <d v="2026-05-02T00:00:00"/>
    <s v="MAY 26 PLANNED"/>
    <s v="MAY 26"/>
    <x v="0"/>
  </r>
  <r>
    <s v="URBSSD16527"/>
    <n v="110"/>
    <s v="E. Other Business"/>
    <s v="Other Business"/>
    <s v="Urban Ladder -SIS"/>
    <s v="SIS"/>
    <x v="3"/>
    <s v="SD"/>
    <s v="Bihar"/>
    <s v="Centro, Patna"/>
    <s v="Patna"/>
    <n v="3608"/>
    <m/>
    <m/>
    <m/>
    <s v=""/>
    <m/>
    <s v=""/>
    <m/>
    <d v="1899-12-30T00:00:00"/>
    <s v=""/>
    <m/>
    <s v=""/>
    <m/>
    <s v=""/>
    <m/>
    <s v=" "/>
    <s v=" "/>
    <x v="6"/>
  </r>
  <r>
    <s v="URBSBK16528"/>
    <n v="111"/>
    <s v="E. Other Business"/>
    <s v="Other Business"/>
    <s v="Urban Ladder -SIS"/>
    <s v="SIS"/>
    <x v="0"/>
    <s v="BK"/>
    <s v="Maharashtra"/>
    <s v="Centro, Thakur Mall Dahisar"/>
    <s v="Mumbai"/>
    <m/>
    <m/>
    <m/>
    <m/>
    <s v=""/>
    <m/>
    <s v=""/>
    <m/>
    <d v="1899-12-30T00:00:00"/>
    <s v=""/>
    <m/>
    <s v=""/>
    <m/>
    <s v=""/>
    <m/>
    <s v=" "/>
    <s v=" "/>
    <x v="6"/>
  </r>
  <r>
    <s v="URBLBK16607"/>
    <n v="112"/>
    <s v="E. Other Business"/>
    <s v="Other Business"/>
    <s v="Furniture - Mid Premium Store (UL)"/>
    <s v="NSO"/>
    <x v="0"/>
    <s v="BK"/>
    <s v="Maharashtra"/>
    <s v="Creaticity - Pune"/>
    <s v="Pune"/>
    <m/>
    <m/>
    <m/>
    <m/>
    <s v=""/>
    <m/>
    <s v=""/>
    <m/>
    <d v="1899-12-30T00:00:00"/>
    <s v=""/>
    <m/>
    <s v=""/>
    <m/>
    <s v=""/>
    <m/>
    <s v=" "/>
    <s v=" "/>
    <x v="8"/>
  </r>
  <r>
    <s v="URBLSZ FO16608"/>
    <n v="113"/>
    <s v="E. Other Business"/>
    <s v="Other Business"/>
    <s v="Furniture - Mid Premium Store (UL)"/>
    <s v="NSO"/>
    <x v="1"/>
    <m/>
    <s v="Karnataka"/>
    <s v="Electronic City, Hosur Road"/>
    <s v="Bangalore"/>
    <m/>
    <m/>
    <m/>
    <m/>
    <s v=""/>
    <m/>
    <s v=""/>
    <m/>
    <d v="1899-12-30T00:00:00"/>
    <s v=""/>
    <m/>
    <s v=""/>
    <m/>
    <s v=""/>
    <m/>
    <s v=" "/>
    <s v=" "/>
    <x v="8"/>
  </r>
  <r>
    <s v="SEVEBK16617"/>
    <n v="114"/>
    <s v="E. Other Business"/>
    <s v="Other Business"/>
    <s v="NSO 7-Eleven"/>
    <s v="NSO"/>
    <x v="0"/>
    <s v="BK"/>
    <s v="Maharashtra"/>
    <s v="Agastya Corporate Park, Piramal Realty, Kurla"/>
    <s v="Mumbai"/>
    <m/>
    <m/>
    <m/>
    <m/>
    <s v=""/>
    <m/>
    <s v=""/>
    <m/>
    <d v="1899-12-30T00:00:00"/>
    <s v=""/>
    <m/>
    <s v=""/>
    <m/>
    <s v=""/>
    <m/>
    <s v=" "/>
    <s v=" "/>
    <x v="8"/>
  </r>
  <r>
    <s v="SEVEBK16618"/>
    <n v="115"/>
    <s v="E. Other Business"/>
    <s v="Other Business"/>
    <s v="NSO 7-Eleven"/>
    <s v="NSO"/>
    <x v="0"/>
    <s v="BK"/>
    <s v="Maharashtra"/>
    <s v="Wah Punjab, Pune"/>
    <s v="Pune"/>
    <m/>
    <m/>
    <m/>
    <m/>
    <s v=""/>
    <m/>
    <s v=""/>
    <m/>
    <d v="1899-12-30T00:00:00"/>
    <s v=""/>
    <m/>
    <s v=""/>
    <m/>
    <s v=""/>
    <m/>
    <s v=" "/>
    <s v=" "/>
    <x v="9"/>
  </r>
  <r>
    <s v="SEVEBK16619"/>
    <n v="116"/>
    <s v="E. Other Business"/>
    <s v="Other Business"/>
    <s v="NSO 7-Eleven"/>
    <s v="NSO"/>
    <x v="0"/>
    <s v="BK"/>
    <s v="Maharashtra"/>
    <s v="Runwal Garden, Dombivli"/>
    <s v="Mumbai"/>
    <m/>
    <m/>
    <m/>
    <m/>
    <s v=""/>
    <m/>
    <s v=""/>
    <m/>
    <d v="1899-12-30T00:00:00"/>
    <s v=""/>
    <m/>
    <s v=""/>
    <m/>
    <s v=""/>
    <m/>
    <s v=" "/>
    <s v=" "/>
    <x v="8"/>
  </r>
  <r>
    <s v="SEVEBK16620"/>
    <n v="117"/>
    <s v="E. Other Business"/>
    <s v="Other Business"/>
    <s v="NSO 7-Eleven"/>
    <s v="NSO"/>
    <x v="0"/>
    <s v="BK"/>
    <s v="Maharashtra"/>
    <s v="One BKC, Mumbai"/>
    <s v="Mumbai"/>
    <m/>
    <m/>
    <m/>
    <m/>
    <s v=""/>
    <m/>
    <s v=""/>
    <m/>
    <d v="1899-12-30T00:00:00"/>
    <s v=""/>
    <m/>
    <s v=""/>
    <m/>
    <s v=""/>
    <m/>
    <s v=" "/>
    <s v=" "/>
    <x v="8"/>
  </r>
  <r>
    <s v="SEVEBK16621"/>
    <n v="118"/>
    <s v="E. Other Business"/>
    <s v="Other Business"/>
    <s v="NSO 7-Eleven"/>
    <s v="NSO"/>
    <x v="0"/>
    <s v="BK"/>
    <s v="Maharashtra"/>
    <s v="Yashwant Prestige, Virar"/>
    <s v="Mumbai"/>
    <m/>
    <m/>
    <m/>
    <m/>
    <s v=""/>
    <m/>
    <s v=""/>
    <m/>
    <d v="1899-12-30T00:00:00"/>
    <s v=""/>
    <m/>
    <s v=""/>
    <m/>
    <s v=""/>
    <m/>
    <s v=" "/>
    <s v=" "/>
    <x v="8"/>
  </r>
  <r>
    <s v="SEVEBK16694"/>
    <n v="119"/>
    <s v="E. Other Business"/>
    <s v="Other Business"/>
    <s v="NSO 7-Eleven"/>
    <s v="NSO"/>
    <x v="0"/>
    <s v="BK"/>
    <s v="Maharashtra"/>
    <s v="Capital Mall, Vasai/Nalasopara"/>
    <s v="Mumbai"/>
    <m/>
    <m/>
    <m/>
    <m/>
    <s v=""/>
    <m/>
    <s v=""/>
    <m/>
    <d v="1899-12-30T00:00:00"/>
    <s v=""/>
    <m/>
    <s v=""/>
    <m/>
    <s v=""/>
    <m/>
    <s v=" "/>
    <s v=" "/>
    <x v="8"/>
  </r>
  <r>
    <s v="JIDGAK16636"/>
    <n v="120"/>
    <s v="E. Other Business"/>
    <s v="Other Business"/>
    <s v="JioMart digital"/>
    <s v="NSO"/>
    <x v="1"/>
    <s v="AK"/>
    <s v="Telangana"/>
    <s v="ANJANEYA MOBILES"/>
    <s v="Gadwal"/>
    <n v="299"/>
    <s v="JMDTG000669"/>
    <s v="NA"/>
    <d v="2026-05-22T00:00:00"/>
    <s v="May 26 Week 4"/>
    <d v="2026-05-23T00:00:00"/>
    <s v="May 26 Week 4"/>
    <n v="7"/>
    <d v="2026-05-30T00:00:00"/>
    <s v="May 26 Week 5"/>
    <d v="2026-05-25T00:00:00"/>
    <s v="May 26 Week 4"/>
    <m/>
    <s v=""/>
    <d v="2026-05-25T00:00:00"/>
    <s v="MAY 26 PLANNED"/>
    <s v="MAY 26"/>
    <x v="0"/>
  </r>
  <r>
    <s v="JIDGKC16637"/>
    <n v="121"/>
    <s v="E. Other Business"/>
    <s v="Other Business"/>
    <s v="JioMart digital"/>
    <s v="NSO"/>
    <x v="2"/>
    <s v="KC"/>
    <s v="Rajasthan"/>
    <s v="METHI INDUSTRIES"/>
    <s v="Sawaimadhopur"/>
    <n v="600"/>
    <s v="JMDRJ000676"/>
    <s v="NA"/>
    <d v="2026-05-03T00:00:00"/>
    <s v="May 26 Week 1"/>
    <d v="2026-05-03T00:00:00"/>
    <s v="May 26 Week 1"/>
    <n v="7"/>
    <d v="2026-05-10T00:00:00"/>
    <s v="May 26 Week 2"/>
    <d v="2026-05-07T00:00:00"/>
    <s v="May 26 Week 1"/>
    <m/>
    <s v=""/>
    <d v="2026-05-07T00:00:00"/>
    <s v="MAY 26 PLANNED"/>
    <s v="MAY 26"/>
    <x v="0"/>
  </r>
  <r>
    <s v="URBLSZ FO16679"/>
    <n v="122"/>
    <s v="E. Other Business"/>
    <s v="Other Business"/>
    <s v="Furniture - Mid Premium Store (UL)"/>
    <s v="NSO"/>
    <x v="1"/>
    <m/>
    <s v="Karnataka"/>
    <s v="Airport road , Hunsmaranhalli, Bangalore"/>
    <s v="Bangalore"/>
    <m/>
    <m/>
    <m/>
    <m/>
    <s v=""/>
    <m/>
    <s v=""/>
    <m/>
    <d v="1899-12-30T00:00:00"/>
    <s v=""/>
    <m/>
    <s v=""/>
    <m/>
    <s v=""/>
    <m/>
    <s v=" "/>
    <s v=" "/>
    <x v="8"/>
  </r>
  <r>
    <s v="ADOFSZ FO16680"/>
    <n v="123"/>
    <s v="K. Other Office Infrastructure"/>
    <s v="Office"/>
    <s v="Admin Office (Corporate Services)"/>
    <s v="NSO"/>
    <x v="1"/>
    <m/>
    <s v="Tamilnadu"/>
    <s v="Rk salai - 8105 Trends 2nd floor, Chennai"/>
    <s v="Chennai"/>
    <m/>
    <m/>
    <m/>
    <m/>
    <s v=""/>
    <m/>
    <s v=""/>
    <m/>
    <d v="1899-12-30T00:00:00"/>
    <s v=""/>
    <m/>
    <s v=""/>
    <m/>
    <s v=""/>
    <m/>
    <s v=" "/>
    <s v=" "/>
    <x v="10"/>
  </r>
  <r>
    <s v="SEVEBK16681"/>
    <n v="124"/>
    <s v="E. Other Business"/>
    <s v="Other Business"/>
    <s v="NSO 7-Eleven"/>
    <s v="NSO"/>
    <x v="0"/>
    <s v="BK"/>
    <s v="Maharashtra"/>
    <s v="Pizza Hut, Versova- Mumbai"/>
    <s v="Mumbai"/>
    <m/>
    <m/>
    <m/>
    <m/>
    <s v=""/>
    <m/>
    <s v=""/>
    <m/>
    <d v="1899-12-30T00:00:00"/>
    <s v=""/>
    <m/>
    <s v=""/>
    <m/>
    <s v=""/>
    <m/>
    <s v=" "/>
    <s v=" "/>
    <x v="8"/>
  </r>
  <r>
    <s v="SEVEBK16682"/>
    <n v="125"/>
    <s v="E. Other Business"/>
    <s v="Other Business"/>
    <s v="NSO 7-Eleven"/>
    <s v="NSO"/>
    <x v="0"/>
    <s v="BK"/>
    <s v="Maharashtra"/>
    <s v="Vastu Viva Building, Wakad, Pune"/>
    <s v="Pune"/>
    <m/>
    <m/>
    <m/>
    <m/>
    <s v=""/>
    <m/>
    <s v=""/>
    <m/>
    <d v="1899-12-30T00:00:00"/>
    <s v=""/>
    <m/>
    <s v=""/>
    <m/>
    <s v=""/>
    <m/>
    <s v=" "/>
    <s v=" "/>
    <x v="8"/>
  </r>
  <r>
    <s v="SEVEBK16683"/>
    <n v="126"/>
    <s v="E. Other Business"/>
    <s v="Other Business"/>
    <s v="NSO 7-Eleven"/>
    <s v="NSO"/>
    <x v="0"/>
    <s v="BK"/>
    <s v="Maharashtra"/>
    <s v="93 Avenue, Pune"/>
    <s v="Pune"/>
    <m/>
    <m/>
    <m/>
    <m/>
    <s v=""/>
    <m/>
    <s v=""/>
    <m/>
    <d v="1899-12-30T00:00:00"/>
    <s v=""/>
    <m/>
    <s v=""/>
    <m/>
    <s v=""/>
    <m/>
    <s v=" "/>
    <s v=" "/>
    <x v="8"/>
  </r>
  <r>
    <s v="JIDGAK16684"/>
    <n v="127"/>
    <s v="E. Other Business"/>
    <s v="Other Business"/>
    <s v="JioMart digital"/>
    <s v="NSO"/>
    <x v="1"/>
    <s v="AK"/>
    <s v="Kerala"/>
    <s v="Impulse Mobiles"/>
    <s v="Idukki"/>
    <n v="985"/>
    <s v="JMDKL000661"/>
    <s v="NA"/>
    <d v="2026-05-15T00:00:00"/>
    <s v="May 26 Week 3"/>
    <d v="2026-05-15T00:00:00"/>
    <s v="May 26 Week 3"/>
    <n v="7"/>
    <d v="2026-05-22T00:00:00"/>
    <s v="May 26 Week 4"/>
    <d v="2026-05-18T00:00:00"/>
    <s v="May 26 Week 3"/>
    <m/>
    <s v=""/>
    <m/>
    <s v="MAY 26 PLANNED"/>
    <s v="MAY 26"/>
    <x v="0"/>
  </r>
  <r>
    <s v="SEVEBK16685"/>
    <n v="128"/>
    <s v="E. Other Business"/>
    <s v="Other Business"/>
    <s v="NSO 7-Eleven"/>
    <s v="NSO"/>
    <x v="0"/>
    <s v="BK"/>
    <s v="Maharashtra"/>
    <s v="Piramal Mahalaxmi , Mumbai"/>
    <s v="Mumbai"/>
    <m/>
    <m/>
    <m/>
    <m/>
    <s v=""/>
    <m/>
    <s v=""/>
    <m/>
    <d v="1899-12-30T00:00:00"/>
    <s v=""/>
    <m/>
    <s v=""/>
    <m/>
    <s v=""/>
    <m/>
    <s v=" "/>
    <s v=" "/>
    <x v="8"/>
  </r>
  <r>
    <s v="SEVEBK16686"/>
    <n v="129"/>
    <s v="E. Other Business"/>
    <s v="Other Business"/>
    <s v="NSO 7-Eleven"/>
    <s v="NSO"/>
    <x v="0"/>
    <s v="BK"/>
    <s v="Maharashtra"/>
    <s v="Piramal Byculla , Mumbai"/>
    <s v="Mumbai"/>
    <m/>
    <m/>
    <m/>
    <m/>
    <s v=""/>
    <m/>
    <s v=""/>
    <m/>
    <d v="1899-12-30T00:00:00"/>
    <s v=""/>
    <m/>
    <s v=""/>
    <m/>
    <s v=""/>
    <m/>
    <s v=" "/>
    <s v=" "/>
    <x v="8"/>
  </r>
  <r>
    <s v="SEVEBK16687"/>
    <n v="130"/>
    <s v="E. Other Business"/>
    <s v="Other Business"/>
    <s v="NSO 7-Eleven"/>
    <s v="NSO"/>
    <x v="0"/>
    <s v="BK"/>
    <s v="Maharashtra"/>
    <s v="Flame University, Pune Campus. "/>
    <s v="Pune"/>
    <m/>
    <m/>
    <m/>
    <m/>
    <s v=""/>
    <m/>
    <s v=""/>
    <m/>
    <d v="1899-12-30T00:00:00"/>
    <s v=""/>
    <m/>
    <s v=""/>
    <m/>
    <s v=""/>
    <m/>
    <s v=" "/>
    <s v=" "/>
    <x v="4"/>
  </r>
  <r>
    <s v="SEVEBK16688"/>
    <n v="131"/>
    <s v="E. Other Business"/>
    <s v="Other Business"/>
    <s v="NSO 7-Eleven"/>
    <s v="NSO"/>
    <x v="0"/>
    <s v="BK"/>
    <s v="Maharashtra"/>
    <s v="KIMS, Hospital -Thane"/>
    <s v="Mumbai"/>
    <m/>
    <m/>
    <m/>
    <m/>
    <s v=""/>
    <m/>
    <s v=""/>
    <m/>
    <d v="1899-12-30T00:00:00"/>
    <s v=""/>
    <m/>
    <s v=""/>
    <m/>
    <s v=""/>
    <m/>
    <s v=" "/>
    <s v=" "/>
    <x v="8"/>
  </r>
  <r>
    <s v="SEVEBK16689"/>
    <n v="132"/>
    <s v="E. Other Business"/>
    <s v="Other Business"/>
    <s v="NSO 7-Eleven"/>
    <s v="NSO"/>
    <x v="0"/>
    <s v="BK"/>
    <s v="Maharashtra"/>
    <s v="Plutonium Business Park, Turbhe"/>
    <s v="Mumbai"/>
    <m/>
    <m/>
    <m/>
    <m/>
    <s v=""/>
    <m/>
    <s v=""/>
    <m/>
    <d v="1899-12-30T00:00:00"/>
    <s v=""/>
    <m/>
    <s v=""/>
    <m/>
    <s v=""/>
    <m/>
    <s v=" "/>
    <s v=" "/>
    <x v="8"/>
  </r>
  <r>
    <s v="SEVEBK16690"/>
    <n v="133"/>
    <s v="E. Other Business"/>
    <s v="Other Business"/>
    <s v="NSO 7-Eleven"/>
    <s v="NSO"/>
    <x v="0"/>
    <s v="BK"/>
    <s v="Maharashtra"/>
    <s v="Ace Signature, Thane"/>
    <s v="Mumbai"/>
    <m/>
    <m/>
    <m/>
    <m/>
    <s v=""/>
    <m/>
    <s v=""/>
    <m/>
    <d v="1899-12-30T00:00:00"/>
    <s v=""/>
    <m/>
    <s v=""/>
    <m/>
    <s v=""/>
    <m/>
    <s v=" "/>
    <s v=" "/>
    <x v="8"/>
  </r>
  <r>
    <s v="SEVEBK16691"/>
    <n v="134"/>
    <s v="E. Other Business"/>
    <s v="Other Business"/>
    <s v="NSO 7-Eleven"/>
    <s v="NSO"/>
    <x v="0"/>
    <s v="BK"/>
    <s v="Maharashtra"/>
    <s v="Mumbai Metro Station, Andheri (W), Line2A - Yellow Line"/>
    <s v="Mumbai"/>
    <m/>
    <m/>
    <m/>
    <m/>
    <s v=""/>
    <m/>
    <s v=""/>
    <m/>
    <d v="1899-12-30T00:00:00"/>
    <s v=""/>
    <m/>
    <s v=""/>
    <m/>
    <s v=""/>
    <m/>
    <s v=" "/>
    <s v=" "/>
    <x v="8"/>
  </r>
  <r>
    <s v="JIDGKC16692"/>
    <n v="135"/>
    <s v="E. Other Business"/>
    <s v="Other Business"/>
    <s v="JioMart digital"/>
    <s v="NSO"/>
    <x v="0"/>
    <s v="KC"/>
    <s v="Maharashtra"/>
    <s v="Sandesh Agencies"/>
    <s v="Pune"/>
    <n v="753"/>
    <s v="JMDMH000658"/>
    <s v="NA"/>
    <d v="2026-05-22T00:00:00"/>
    <s v="May 26 Week 4"/>
    <d v="2026-05-22T00:00:00"/>
    <s v="May 26 Week 4"/>
    <n v="7"/>
    <d v="2026-05-29T00:00:00"/>
    <s v="May 26 Week 5"/>
    <d v="2026-05-23T00:00:00"/>
    <s v="May 26 Week 4"/>
    <m/>
    <s v=""/>
    <d v="2026-05-23T00:00:00"/>
    <s v="MAY 26 PLANNED"/>
    <s v="MAY 26"/>
    <x v="0"/>
  </r>
  <r>
    <s v="JIDGAK16693"/>
    <n v="136"/>
    <s v="E. Other Business"/>
    <s v="Other Business"/>
    <s v="JioMart digital"/>
    <s v="NSO"/>
    <x v="1"/>
    <s v="AK"/>
    <s v="Karnataka"/>
    <s v="NEXUS ENTERPRISES"/>
    <s v="Bangalore"/>
    <n v="227"/>
    <s v="JMDKA000670"/>
    <s v="NA"/>
    <d v="2026-06-01T00:00:00"/>
    <s v="June 26 Week 1"/>
    <d v="2026-06-01T00:00:00"/>
    <s v="June 26 Week 1"/>
    <n v="7"/>
    <d v="2026-06-08T00:00:00"/>
    <s v="June 26 Week 2"/>
    <d v="2026-06-02T00:00:00"/>
    <s v="June 26 Week 1"/>
    <m/>
    <s v=""/>
    <d v="2026-06-02T00:00:00"/>
    <s v="JUNE 26 PLANNED"/>
    <s v="JUNE 26"/>
    <x v="0"/>
  </r>
  <r>
    <m/>
    <n v="137"/>
    <s v="E. Other Business"/>
    <s v="Other Business"/>
    <s v="NSO 7-Eleven"/>
    <s v="NSO"/>
    <x v="0"/>
    <s v="BK"/>
    <s v="Maharashtra"/>
    <s v="Ghatkopar Line 1 Mumbai Metro Station"/>
    <s v="Mumbai"/>
    <m/>
    <m/>
    <m/>
    <m/>
    <s v=""/>
    <m/>
    <s v=""/>
    <m/>
    <d v="1899-12-30T00:00:00"/>
    <s v=""/>
    <m/>
    <s v=""/>
    <m/>
    <s v=""/>
    <m/>
    <s v=" "/>
    <s v=" "/>
    <x v="10"/>
  </r>
  <r>
    <m/>
    <n v="138"/>
    <s v="E. Other Business"/>
    <s v="Other Business"/>
    <s v="NSO 7-Eleven"/>
    <s v="NSO"/>
    <x v="0"/>
    <s v="BK"/>
    <s v="Maharashtra"/>
    <s v="Saki Naka Line 1 Mumbai Metro"/>
    <s v="Mumbai"/>
    <m/>
    <m/>
    <m/>
    <m/>
    <s v=""/>
    <m/>
    <s v=""/>
    <m/>
    <d v="1899-12-30T00:00:00"/>
    <s v=""/>
    <m/>
    <s v=""/>
    <m/>
    <s v=""/>
    <m/>
    <s v=" "/>
    <s v=" "/>
    <x v="10"/>
  </r>
  <r>
    <m/>
    <n v="139"/>
    <s v="E. Other Business"/>
    <s v="Other Business"/>
    <s v="NSO 7-Eleven"/>
    <s v="NSO"/>
    <x v="0"/>
    <s v="BK"/>
    <s v="Maharashtra"/>
    <s v="Chakala Line 1 Mumbai Metro Store 2"/>
    <s v="Mumbai"/>
    <m/>
    <m/>
    <m/>
    <m/>
    <s v=""/>
    <m/>
    <s v=""/>
    <m/>
    <d v="1899-12-30T00:00:00"/>
    <s v=""/>
    <m/>
    <s v=""/>
    <m/>
    <s v=""/>
    <m/>
    <s v=" "/>
    <s v=" "/>
    <x v="10"/>
  </r>
  <r>
    <m/>
    <n v="140"/>
    <s v="E. Other Business"/>
    <s v="Other Business"/>
    <s v="NSO 7-Eleven"/>
    <s v="NSO"/>
    <x v="0"/>
    <s v="BK"/>
    <s v="Maharashtra"/>
    <s v="Chakala Line 1 Mumbai Metro"/>
    <s v="Mumbai"/>
    <m/>
    <m/>
    <m/>
    <m/>
    <s v=""/>
    <m/>
    <s v=""/>
    <m/>
    <d v="1899-12-30T00:00:00"/>
    <s v=""/>
    <m/>
    <s v=""/>
    <m/>
    <s v=""/>
    <m/>
    <s v=" "/>
    <s v=" "/>
    <x v="10"/>
  </r>
  <r>
    <m/>
    <n v="141"/>
    <s v="E. Other Business"/>
    <s v="Other Business"/>
    <s v="NSO 7-Eleven"/>
    <s v="NSO"/>
    <x v="0"/>
    <s v="BK"/>
    <s v="Maharashtra"/>
    <s v="Airport Road Line 1 Mumbai Metro Station"/>
    <s v="Mumbai"/>
    <m/>
    <m/>
    <m/>
    <m/>
    <s v=""/>
    <m/>
    <s v=""/>
    <m/>
    <d v="1899-12-30T00:00:00"/>
    <s v=""/>
    <m/>
    <s v=""/>
    <m/>
    <s v=""/>
    <m/>
    <s v=" "/>
    <s v=" "/>
    <x v="10"/>
  </r>
  <r>
    <m/>
    <n v="142"/>
    <s v="E. Other Business"/>
    <s v="Other Business"/>
    <s v="NSO 7-Eleven"/>
    <s v="NSO"/>
    <x v="0"/>
    <s v="BK"/>
    <s v="Maharashtra"/>
    <s v="Soho Shop No 2,3 , Shastri Nagar, Pune"/>
    <s v="Pune"/>
    <m/>
    <m/>
    <m/>
    <m/>
    <s v=""/>
    <m/>
    <s v=""/>
    <m/>
    <d v="1899-12-30T00:00:00"/>
    <s v=""/>
    <m/>
    <s v=""/>
    <m/>
    <s v=""/>
    <m/>
    <s v=" "/>
    <s v=" "/>
    <x v="10"/>
  </r>
  <r>
    <m/>
    <n v="143"/>
    <s v="E. Other Business"/>
    <s v="Other Business"/>
    <s v="NSO 7-Eleven"/>
    <s v="NSO"/>
    <x v="0"/>
    <s v="BK"/>
    <s v="Maharashtra"/>
    <s v="Hermes Complex, Shastri Nagar, Pune"/>
    <s v="Pune"/>
    <m/>
    <m/>
    <m/>
    <m/>
    <s v=""/>
    <m/>
    <s v=""/>
    <m/>
    <d v="1899-12-30T00:00:00"/>
    <s v=""/>
    <m/>
    <s v=""/>
    <m/>
    <s v=""/>
    <m/>
    <s v=" "/>
    <s v=" "/>
    <x v="10"/>
  </r>
  <r>
    <m/>
    <n v="144"/>
    <s v="E. Other Business"/>
    <s v="Other Business"/>
    <s v="NSO 7-Eleven"/>
    <s v="NSO"/>
    <x v="0"/>
    <s v="BK"/>
    <s v="Maharashtra"/>
    <s v="VI Store, Ratan Height, Mahim "/>
    <s v="Mumbai"/>
    <m/>
    <m/>
    <m/>
    <m/>
    <s v=""/>
    <m/>
    <s v=""/>
    <m/>
    <d v="1899-12-30T00:00:00"/>
    <s v=""/>
    <m/>
    <s v=""/>
    <m/>
    <s v=""/>
    <m/>
    <s v=" "/>
    <s v=" "/>
    <x v="10"/>
  </r>
  <r>
    <m/>
    <n v="145"/>
    <s v="E. Other Business"/>
    <s v="Other Business"/>
    <s v="NSO 7-Eleven"/>
    <s v="NSO"/>
    <x v="0"/>
    <s v="BK"/>
    <s v="Maharashtra"/>
    <s v="God Gift, LJ Road, Mahim"/>
    <s v="Mumbai"/>
    <m/>
    <m/>
    <m/>
    <m/>
    <s v=""/>
    <m/>
    <s v=""/>
    <m/>
    <d v="1899-12-30T00:00:00"/>
    <s v=""/>
    <m/>
    <s v=""/>
    <m/>
    <s v=""/>
    <m/>
    <s v=" "/>
    <s v=" "/>
    <x v="10"/>
  </r>
  <r>
    <m/>
    <n v="146"/>
    <s v="E. Other Business"/>
    <s v="Other Business"/>
    <s v="NSO 7-Eleven"/>
    <s v="NSO"/>
    <x v="0"/>
    <s v="BK"/>
    <s v="Maharashtra"/>
    <s v="Queens Lawn CHS, Vile Parle"/>
    <s v="Mumbai"/>
    <m/>
    <m/>
    <m/>
    <m/>
    <s v=""/>
    <m/>
    <s v=""/>
    <m/>
    <d v="1899-12-30T00:00:00"/>
    <s v=""/>
    <m/>
    <s v=""/>
    <m/>
    <s v=""/>
    <m/>
    <s v=" "/>
    <s v=" "/>
    <x v="10"/>
  </r>
  <r>
    <m/>
    <n v="147"/>
    <s v="E. Other Business"/>
    <s v="Other Business"/>
    <s v="NSO 7-Eleven"/>
    <s v="NSO"/>
    <x v="0"/>
    <s v="BK"/>
    <s v="Maharashtra"/>
    <s v="VTP Atherus, Mahalunge, Pune"/>
    <s v="Mumbai"/>
    <m/>
    <m/>
    <m/>
    <m/>
    <s v=""/>
    <m/>
    <s v=""/>
    <m/>
    <d v="1899-12-30T00:00:00"/>
    <s v=""/>
    <m/>
    <s v=""/>
    <m/>
    <s v=""/>
    <m/>
    <s v=" "/>
    <s v=" "/>
    <x v="10"/>
  </r>
  <r>
    <m/>
    <m/>
    <m/>
    <m/>
    <m/>
    <m/>
    <x v="4"/>
    <m/>
    <m/>
    <m/>
    <m/>
    <m/>
    <m/>
    <m/>
    <m/>
    <m/>
    <m/>
    <m/>
    <m/>
    <m/>
    <m/>
    <m/>
    <m/>
    <m/>
    <m/>
    <m/>
    <m/>
    <m/>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02C7D8-6455-433D-B183-DA0243BCA4DE}" name="PivotTable2"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ZH">
  <location ref="B4:L12" firstHeaderRow="1" firstDataRow="2" firstDataCol="1"/>
  <pivotFields count="32">
    <pivotField showAll="0"/>
    <pivotField showAll="0"/>
    <pivotField showAll="0"/>
    <pivotField showAll="0"/>
    <pivotField axis="axisRow" showAll="0">
      <items count="15">
        <item x="0"/>
        <item x="7"/>
        <item x="9"/>
        <item x="13"/>
        <item x="4"/>
        <item x="12"/>
        <item x="3"/>
        <item x="11"/>
        <item x="5"/>
        <item x="2"/>
        <item x="1"/>
        <item x="8"/>
        <item x="10"/>
        <item x="6"/>
        <item t="default"/>
      </items>
    </pivotField>
    <pivotField showAll="0"/>
    <pivotField showAll="0"/>
    <pivotField axis="axisRow" showAll="0">
      <items count="9">
        <item sd="0" x="3"/>
        <item sd="0" x="1"/>
        <item sd="0" x="0"/>
        <item sd="0" x="6"/>
        <item sd="0" x="4"/>
        <item sd="0" x="2"/>
        <item sd="0" x="5"/>
        <item h="1" x="7"/>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13">
        <item h="1" x="7"/>
        <item x="2"/>
        <item x="1"/>
        <item x="4"/>
        <item x="5"/>
        <item x="11"/>
        <item x="9"/>
        <item x="6"/>
        <item x="0"/>
        <item x="10"/>
        <item x="3"/>
        <item x="8"/>
        <item t="default"/>
      </items>
    </pivotField>
    <pivotField showAll="0"/>
    <pivotField showAll="0"/>
    <pivotField showAll="0"/>
  </pivotFields>
  <rowFields count="2">
    <field x="7"/>
    <field x="4"/>
  </rowFields>
  <rowItems count="7">
    <i>
      <x/>
    </i>
    <i>
      <x v="1"/>
    </i>
    <i>
      <x v="2"/>
    </i>
    <i>
      <x v="4"/>
    </i>
    <i>
      <x v="5"/>
    </i>
    <i>
      <x v="6"/>
    </i>
    <i t="grand">
      <x/>
    </i>
  </rowItems>
  <colFields count="1">
    <field x="28"/>
  </colFields>
  <colItems count="10">
    <i>
      <x v="1"/>
    </i>
    <i>
      <x v="2"/>
    </i>
    <i>
      <x v="3"/>
    </i>
    <i>
      <x v="4"/>
    </i>
    <i>
      <x v="6"/>
    </i>
    <i>
      <x v="7"/>
    </i>
    <i>
      <x v="8"/>
    </i>
    <i>
      <x v="10"/>
    </i>
    <i>
      <x v="11"/>
    </i>
    <i t="grand">
      <x/>
    </i>
  </colItems>
  <dataFields count="1">
    <dataField name="Count of Site Name" fld="9" subtotal="count" baseField="0" baseItem="0"/>
  </dataFields>
  <formats count="113">
    <format dxfId="1201">
      <pivotArea outline="0" collapsedLevelsAreSubtotals="1" fieldPosition="0"/>
    </format>
    <format dxfId="1200">
      <pivotArea field="7" type="button" dataOnly="0" labelOnly="1" outline="0" axis="axisRow" fieldPosition="0"/>
    </format>
    <format dxfId="1199">
      <pivotArea dataOnly="0" labelOnly="1" fieldPosition="0">
        <references count="1">
          <reference field="7" count="0"/>
        </references>
      </pivotArea>
    </format>
    <format dxfId="1198">
      <pivotArea dataOnly="0" labelOnly="1" grandRow="1" outline="0" fieldPosition="0"/>
    </format>
    <format dxfId="1197">
      <pivotArea dataOnly="0" labelOnly="1" fieldPosition="0">
        <references count="2">
          <reference field="4" count="1">
            <x v="2"/>
          </reference>
          <reference field="7" count="1" selected="0">
            <x v="0"/>
          </reference>
        </references>
      </pivotArea>
    </format>
    <format dxfId="1196">
      <pivotArea dataOnly="0" labelOnly="1" fieldPosition="0">
        <references count="2">
          <reference field="4" count="2">
            <x v="1"/>
            <x v="2"/>
          </reference>
          <reference field="7" count="1" selected="0">
            <x v="1"/>
          </reference>
        </references>
      </pivotArea>
    </format>
    <format dxfId="1195">
      <pivotArea dataOnly="0" labelOnly="1" fieldPosition="0">
        <references count="2">
          <reference field="4" count="3">
            <x v="0"/>
            <x v="1"/>
            <x v="2"/>
          </reference>
          <reference field="7" count="1" selected="0">
            <x v="2"/>
          </reference>
        </references>
      </pivotArea>
    </format>
    <format dxfId="1194">
      <pivotArea dataOnly="0" labelOnly="1" fieldPosition="0">
        <references count="2">
          <reference field="4" count="1">
            <x v="2"/>
          </reference>
          <reference field="7" count="1" selected="0">
            <x v="3"/>
          </reference>
        </references>
      </pivotArea>
    </format>
    <format dxfId="1193">
      <pivotArea dataOnly="0" labelOnly="1" fieldPosition="0">
        <references count="2">
          <reference field="4" count="1">
            <x v="2"/>
          </reference>
          <reference field="7" count="1" selected="0">
            <x v="4"/>
          </reference>
        </references>
      </pivotArea>
    </format>
    <format dxfId="1192">
      <pivotArea dataOnly="0" labelOnly="1" fieldPosition="0">
        <references count="2">
          <reference field="4" count="2">
            <x v="1"/>
            <x v="2"/>
          </reference>
          <reference field="7" count="1" selected="0">
            <x v="6"/>
          </reference>
        </references>
      </pivotArea>
    </format>
    <format dxfId="1191">
      <pivotArea dataOnly="0" labelOnly="1" fieldPosition="0">
        <references count="2">
          <reference field="4" count="1">
            <x v="3"/>
          </reference>
          <reference field="7" count="1" selected="0">
            <x v="7"/>
          </reference>
        </references>
      </pivotArea>
    </format>
    <format dxfId="1190">
      <pivotArea dataOnly="0" labelOnly="1" grandCol="1" outline="0" fieldPosition="0"/>
    </format>
    <format dxfId="1189">
      <pivotArea outline="0" collapsedLevelsAreSubtotals="1" fieldPosition="0"/>
    </format>
    <format dxfId="1188">
      <pivotArea field="7" type="button" dataOnly="0" labelOnly="1" outline="0" axis="axisRow" fieldPosition="0"/>
    </format>
    <format dxfId="1187">
      <pivotArea dataOnly="0" labelOnly="1" fieldPosition="0">
        <references count="1">
          <reference field="7" count="0"/>
        </references>
      </pivotArea>
    </format>
    <format dxfId="1186">
      <pivotArea dataOnly="0" labelOnly="1" grandRow="1" outline="0" fieldPosition="0"/>
    </format>
    <format dxfId="1185">
      <pivotArea dataOnly="0" labelOnly="1" fieldPosition="0">
        <references count="2">
          <reference field="4" count="1">
            <x v="2"/>
          </reference>
          <reference field="7" count="1" selected="0">
            <x v="0"/>
          </reference>
        </references>
      </pivotArea>
    </format>
    <format dxfId="1184">
      <pivotArea dataOnly="0" labelOnly="1" fieldPosition="0">
        <references count="2">
          <reference field="4" count="2">
            <x v="1"/>
            <x v="2"/>
          </reference>
          <reference field="7" count="1" selected="0">
            <x v="1"/>
          </reference>
        </references>
      </pivotArea>
    </format>
    <format dxfId="1183">
      <pivotArea dataOnly="0" labelOnly="1" fieldPosition="0">
        <references count="2">
          <reference field="4" count="3">
            <x v="0"/>
            <x v="1"/>
            <x v="2"/>
          </reference>
          <reference field="7" count="1" selected="0">
            <x v="2"/>
          </reference>
        </references>
      </pivotArea>
    </format>
    <format dxfId="1182">
      <pivotArea dataOnly="0" labelOnly="1" fieldPosition="0">
        <references count="2">
          <reference field="4" count="1">
            <x v="2"/>
          </reference>
          <reference field="7" count="1" selected="0">
            <x v="3"/>
          </reference>
        </references>
      </pivotArea>
    </format>
    <format dxfId="1181">
      <pivotArea dataOnly="0" labelOnly="1" fieldPosition="0">
        <references count="2">
          <reference field="4" count="1">
            <x v="2"/>
          </reference>
          <reference field="7" count="1" selected="0">
            <x v="4"/>
          </reference>
        </references>
      </pivotArea>
    </format>
    <format dxfId="1180">
      <pivotArea dataOnly="0" labelOnly="1" fieldPosition="0">
        <references count="2">
          <reference field="4" count="2">
            <x v="1"/>
            <x v="2"/>
          </reference>
          <reference field="7" count="1" selected="0">
            <x v="6"/>
          </reference>
        </references>
      </pivotArea>
    </format>
    <format dxfId="1179">
      <pivotArea dataOnly="0" labelOnly="1" fieldPosition="0">
        <references count="2">
          <reference field="4" count="1">
            <x v="3"/>
          </reference>
          <reference field="7" count="1" selected="0">
            <x v="7"/>
          </reference>
        </references>
      </pivotArea>
    </format>
    <format dxfId="1178">
      <pivotArea dataOnly="0" labelOnly="1" grandCol="1" outline="0" fieldPosition="0"/>
    </format>
    <format dxfId="1177">
      <pivotArea outline="0" collapsedLevelsAreSubtotals="1" fieldPosition="0"/>
    </format>
    <format dxfId="1176">
      <pivotArea field="7" type="button" dataOnly="0" labelOnly="1" outline="0" axis="axisRow" fieldPosition="0"/>
    </format>
    <format dxfId="1175">
      <pivotArea dataOnly="0" labelOnly="1" fieldPosition="0">
        <references count="1">
          <reference field="7" count="0"/>
        </references>
      </pivotArea>
    </format>
    <format dxfId="1174">
      <pivotArea dataOnly="0" labelOnly="1" grandRow="1" outline="0" fieldPosition="0"/>
    </format>
    <format dxfId="1173">
      <pivotArea dataOnly="0" labelOnly="1" fieldPosition="0">
        <references count="2">
          <reference field="4" count="1">
            <x v="2"/>
          </reference>
          <reference field="7" count="1" selected="0">
            <x v="0"/>
          </reference>
        </references>
      </pivotArea>
    </format>
    <format dxfId="1172">
      <pivotArea dataOnly="0" labelOnly="1" fieldPosition="0">
        <references count="2">
          <reference field="4" count="2">
            <x v="1"/>
            <x v="2"/>
          </reference>
          <reference field="7" count="1" selected="0">
            <x v="1"/>
          </reference>
        </references>
      </pivotArea>
    </format>
    <format dxfId="1171">
      <pivotArea dataOnly="0" labelOnly="1" fieldPosition="0">
        <references count="2">
          <reference field="4" count="3">
            <x v="0"/>
            <x v="1"/>
            <x v="2"/>
          </reference>
          <reference field="7" count="1" selected="0">
            <x v="2"/>
          </reference>
        </references>
      </pivotArea>
    </format>
    <format dxfId="1170">
      <pivotArea dataOnly="0" labelOnly="1" fieldPosition="0">
        <references count="2">
          <reference field="4" count="1">
            <x v="2"/>
          </reference>
          <reference field="7" count="1" selected="0">
            <x v="3"/>
          </reference>
        </references>
      </pivotArea>
    </format>
    <format dxfId="1169">
      <pivotArea dataOnly="0" labelOnly="1" fieldPosition="0">
        <references count="2">
          <reference field="4" count="1">
            <x v="2"/>
          </reference>
          <reference field="7" count="1" selected="0">
            <x v="4"/>
          </reference>
        </references>
      </pivotArea>
    </format>
    <format dxfId="1168">
      <pivotArea dataOnly="0" labelOnly="1" fieldPosition="0">
        <references count="2">
          <reference field="4" count="2">
            <x v="1"/>
            <x v="2"/>
          </reference>
          <reference field="7" count="1" selected="0">
            <x v="6"/>
          </reference>
        </references>
      </pivotArea>
    </format>
    <format dxfId="1167">
      <pivotArea dataOnly="0" labelOnly="1" fieldPosition="0">
        <references count="2">
          <reference field="4" count="1">
            <x v="3"/>
          </reference>
          <reference field="7" count="1" selected="0">
            <x v="7"/>
          </reference>
        </references>
      </pivotArea>
    </format>
    <format dxfId="1166">
      <pivotArea dataOnly="0" labelOnly="1" grandCol="1" outline="0" fieldPosition="0"/>
    </format>
    <format dxfId="1165">
      <pivotArea dataOnly="0" labelOnly="1" fieldPosition="0">
        <references count="1">
          <reference field="7" count="0"/>
        </references>
      </pivotArea>
    </format>
    <format dxfId="1164">
      <pivotArea dataOnly="0" labelOnly="1" fieldPosition="0">
        <references count="1">
          <reference field="4" count="0"/>
        </references>
      </pivotArea>
    </format>
    <format dxfId="1163">
      <pivotArea field="7" type="button" dataOnly="0" labelOnly="1" outline="0" axis="axisRow" fieldPosition="0"/>
    </format>
    <format dxfId="1162">
      <pivotArea dataOnly="0" labelOnly="1" grandCol="1" outline="0" fieldPosition="0"/>
    </format>
    <format dxfId="1161">
      <pivotArea grandRow="1" outline="0" collapsedLevelsAreSubtotals="1" fieldPosition="0"/>
    </format>
    <format dxfId="1160">
      <pivotArea dataOnly="0" labelOnly="1" grandRow="1" outline="0" fieldPosition="0"/>
    </format>
    <format dxfId="1159">
      <pivotArea field="7" type="button" dataOnly="0" labelOnly="1" outline="0" axis="axisRow" fieldPosition="0"/>
    </format>
    <format dxfId="1158">
      <pivotArea dataOnly="0" labelOnly="1" grandCol="1" outline="0" fieldPosition="0"/>
    </format>
    <format dxfId="1157">
      <pivotArea grandRow="1" outline="0" collapsedLevelsAreSubtotals="1" fieldPosition="0"/>
    </format>
    <format dxfId="1156">
      <pivotArea dataOnly="0" labelOnly="1" grandRow="1" outline="0" fieldPosition="0"/>
    </format>
    <format dxfId="1155">
      <pivotArea field="28" type="button" dataOnly="0" labelOnly="1" outline="0" axis="axisCol" fieldPosition="0"/>
    </format>
    <format dxfId="1154">
      <pivotArea type="topRight" dataOnly="0" labelOnly="1" outline="0" fieldPosition="0"/>
    </format>
    <format dxfId="1153">
      <pivotArea field="28" type="button" dataOnly="0" labelOnly="1" outline="0" axis="axisCol" fieldPosition="0"/>
    </format>
    <format dxfId="1152">
      <pivotArea type="topRight" dataOnly="0" labelOnly="1" outline="0" fieldPosition="0"/>
    </format>
    <format dxfId="1151">
      <pivotArea field="28" type="button" dataOnly="0" labelOnly="1" outline="0" axis="axisCol" fieldPosition="0"/>
    </format>
    <format dxfId="1150">
      <pivotArea type="topRight" dataOnly="0" labelOnly="1" outline="0" fieldPosition="0"/>
    </format>
    <format dxfId="1149">
      <pivotArea field="7" type="button" dataOnly="0" labelOnly="1" outline="0" axis="axisRow" fieldPosition="0"/>
    </format>
    <format dxfId="1148">
      <pivotArea dataOnly="0" labelOnly="1" grandCol="1" outline="0" fieldPosition="0"/>
    </format>
    <format dxfId="1147">
      <pivotArea grandRow="1" outline="0" collapsedLevelsAreSubtotals="1" fieldPosition="0"/>
    </format>
    <format dxfId="1146">
      <pivotArea dataOnly="0" labelOnly="1" grandRow="1" outline="0" fieldPosition="0"/>
    </format>
    <format dxfId="1145">
      <pivotArea field="7" type="button" dataOnly="0" labelOnly="1" outline="0" axis="axisRow" fieldPosition="0"/>
    </format>
    <format dxfId="1144">
      <pivotArea dataOnly="0" labelOnly="1" grandCol="1" outline="0" fieldPosition="0"/>
    </format>
    <format dxfId="1143">
      <pivotArea grandRow="1" outline="0" collapsedLevelsAreSubtotals="1" fieldPosition="0"/>
    </format>
    <format dxfId="1142">
      <pivotArea dataOnly="0" labelOnly="1" grandRow="1" outline="0" fieldPosition="0"/>
    </format>
    <format dxfId="1141">
      <pivotArea outline="0" collapsedLevelsAreSubtotals="1" fieldPosition="0"/>
    </format>
    <format dxfId="1140">
      <pivotArea dataOnly="0" labelOnly="1" fieldPosition="0">
        <references count="1">
          <reference field="7" count="0"/>
        </references>
      </pivotArea>
    </format>
    <format dxfId="1139">
      <pivotArea dataOnly="0" labelOnly="1" grandRow="1" outline="0" fieldPosition="0"/>
    </format>
    <format dxfId="1138">
      <pivotArea field="7" type="button" dataOnly="0" labelOnly="1" outline="0" axis="axisRow" fieldPosition="0"/>
    </format>
    <format dxfId="1137">
      <pivotArea dataOnly="0" labelOnly="1" grandCol="1" outline="0" fieldPosition="0"/>
    </format>
    <format dxfId="1136">
      <pivotArea dataOnly="0" labelOnly="1" grandCol="1" outline="0" fieldPosition="0"/>
    </format>
    <format dxfId="1135">
      <pivotArea dataOnly="0" labelOnly="1" grandCol="1" outline="0" fieldPosition="0"/>
    </format>
    <format dxfId="1134">
      <pivotArea type="all" dataOnly="0" outline="0" fieldPosition="0"/>
    </format>
    <format dxfId="1133">
      <pivotArea outline="0" collapsedLevelsAreSubtotals="1" fieldPosition="0"/>
    </format>
    <format dxfId="1132">
      <pivotArea type="origin" dataOnly="0" labelOnly="1" outline="0" fieldPosition="0"/>
    </format>
    <format dxfId="1131">
      <pivotArea field="28" type="button" dataOnly="0" labelOnly="1" outline="0" axis="axisCol" fieldPosition="0"/>
    </format>
    <format dxfId="1130">
      <pivotArea type="topRight" dataOnly="0" labelOnly="1" outline="0" fieldPosition="0"/>
    </format>
    <format dxfId="1129">
      <pivotArea field="7" type="button" dataOnly="0" labelOnly="1" outline="0" axis="axisRow" fieldPosition="0"/>
    </format>
    <format dxfId="1128">
      <pivotArea dataOnly="0" labelOnly="1" fieldPosition="0">
        <references count="1">
          <reference field="7" count="0"/>
        </references>
      </pivotArea>
    </format>
    <format dxfId="1127">
      <pivotArea dataOnly="0" labelOnly="1" grandRow="1" outline="0" fieldPosition="0"/>
    </format>
    <format dxfId="1126">
      <pivotArea dataOnly="0" labelOnly="1" grandCol="1" outline="0" fieldPosition="0"/>
    </format>
    <format dxfId="1125">
      <pivotArea dataOnly="0" labelOnly="1" fieldPosition="0">
        <references count="1">
          <reference field="28" count="0"/>
        </references>
      </pivotArea>
    </format>
    <format dxfId="1124">
      <pivotArea dataOnly="0" labelOnly="1" fieldPosition="0">
        <references count="1">
          <reference field="28" count="6">
            <x v="0"/>
            <x v="1"/>
            <x v="2"/>
            <x v="3"/>
            <x v="4"/>
            <x v="7"/>
          </reference>
        </references>
      </pivotArea>
    </format>
    <format dxfId="1123">
      <pivotArea outline="0" collapsedLevelsAreSubtotals="1" fieldPosition="0">
        <references count="1">
          <reference field="28" count="3" selected="0">
            <x v="3"/>
            <x v="4"/>
            <x v="7"/>
          </reference>
        </references>
      </pivotArea>
    </format>
    <format dxfId="1122">
      <pivotArea outline="0" collapsedLevelsAreSubtotals="1" fieldPosition="0">
        <references count="1">
          <reference field="28" count="3" selected="0">
            <x v="3"/>
            <x v="4"/>
            <x v="7"/>
          </reference>
        </references>
      </pivotArea>
    </format>
    <format dxfId="1121">
      <pivotArea outline="0" collapsedLevelsAreSubtotals="1" fieldPosition="0">
        <references count="1">
          <reference field="28" count="1" selected="0">
            <x v="0"/>
          </reference>
        </references>
      </pivotArea>
    </format>
    <format dxfId="1120">
      <pivotArea field="28" type="button" dataOnly="0" labelOnly="1" outline="0" axis="axisCol" fieldPosition="0"/>
    </format>
    <format dxfId="1119">
      <pivotArea dataOnly="0" labelOnly="1" fieldPosition="0">
        <references count="1">
          <reference field="28" count="1">
            <x v="0"/>
          </reference>
        </references>
      </pivotArea>
    </format>
    <format dxfId="1118">
      <pivotArea outline="0" collapsedLevelsAreSubtotals="1" fieldPosition="0">
        <references count="1">
          <reference field="28" count="1" selected="0">
            <x v="0"/>
          </reference>
        </references>
      </pivotArea>
    </format>
    <format dxfId="1117">
      <pivotArea field="28" type="button" dataOnly="0" labelOnly="1" outline="0" axis="axisCol" fieldPosition="0"/>
    </format>
    <format dxfId="1116">
      <pivotArea dataOnly="0" labelOnly="1" fieldPosition="0">
        <references count="1">
          <reference field="28" count="1">
            <x v="0"/>
          </reference>
        </references>
      </pivotArea>
    </format>
    <format dxfId="1115">
      <pivotArea collapsedLevelsAreSubtotals="1" fieldPosition="0">
        <references count="2">
          <reference field="7" count="1">
            <x v="0"/>
          </reference>
          <reference field="28" count="6" selected="0">
            <x v="0"/>
            <x v="1"/>
            <x v="2"/>
            <x v="3"/>
            <x v="4"/>
            <x v="7"/>
          </reference>
        </references>
      </pivotArea>
    </format>
    <format dxfId="1114">
      <pivotArea dataOnly="0" labelOnly="1" fieldPosition="0">
        <references count="1">
          <reference field="28" count="6">
            <x v="0"/>
            <x v="1"/>
            <x v="2"/>
            <x v="3"/>
            <x v="4"/>
            <x v="7"/>
          </reference>
        </references>
      </pivotArea>
    </format>
    <format dxfId="1113">
      <pivotArea collapsedLevelsAreSubtotals="1" fieldPosition="0">
        <references count="2">
          <reference field="7" count="1">
            <x v="0"/>
          </reference>
          <reference field="28" count="6" selected="0">
            <x v="0"/>
            <x v="1"/>
            <x v="2"/>
            <x v="3"/>
            <x v="4"/>
            <x v="7"/>
          </reference>
        </references>
      </pivotArea>
    </format>
    <format dxfId="1112">
      <pivotArea dataOnly="0" labelOnly="1" fieldPosition="0">
        <references count="1">
          <reference field="28" count="6">
            <x v="0"/>
            <x v="1"/>
            <x v="2"/>
            <x v="3"/>
            <x v="4"/>
            <x v="7"/>
          </reference>
        </references>
      </pivotArea>
    </format>
    <format dxfId="1111">
      <pivotArea collapsedLevelsAreSubtotals="1" fieldPosition="0">
        <references count="2">
          <reference field="7" count="1">
            <x v="0"/>
          </reference>
          <reference field="28" count="6" selected="0">
            <x v="0"/>
            <x v="1"/>
            <x v="2"/>
            <x v="3"/>
            <x v="4"/>
            <x v="7"/>
          </reference>
        </references>
      </pivotArea>
    </format>
    <format dxfId="1110">
      <pivotArea dataOnly="0" labelOnly="1" fieldPosition="0">
        <references count="1">
          <reference field="28" count="6">
            <x v="0"/>
            <x v="1"/>
            <x v="2"/>
            <x v="3"/>
            <x v="4"/>
            <x v="7"/>
          </reference>
        </references>
      </pivotArea>
    </format>
    <format dxfId="1109">
      <pivotArea dataOnly="0" labelOnly="1" fieldPosition="0">
        <references count="1">
          <reference field="28" count="1">
            <x v="10"/>
          </reference>
        </references>
      </pivotArea>
    </format>
    <format dxfId="1108">
      <pivotArea dataOnly="0" labelOnly="1" fieldPosition="0">
        <references count="1">
          <reference field="28" count="1">
            <x v="6"/>
          </reference>
        </references>
      </pivotArea>
    </format>
    <format dxfId="1107">
      <pivotArea outline="0" collapsedLevelsAreSubtotals="1" fieldPosition="0">
        <references count="1">
          <reference field="28" count="1" selected="0">
            <x v="6"/>
          </reference>
        </references>
      </pivotArea>
    </format>
    <format dxfId="1106">
      <pivotArea outline="0" collapsedLevelsAreSubtotals="1" fieldPosition="0">
        <references count="1">
          <reference field="28" count="1" selected="0">
            <x v="6"/>
          </reference>
        </references>
      </pivotArea>
    </format>
    <format dxfId="1105">
      <pivotArea dataOnly="0" outline="0" fieldPosition="0">
        <references count="1">
          <reference field="28" count="1">
            <x v="3"/>
          </reference>
        </references>
      </pivotArea>
    </format>
    <format dxfId="1104">
      <pivotArea dataOnly="0" labelOnly="1" fieldPosition="0">
        <references count="1">
          <reference field="28" count="1">
            <x v="6"/>
          </reference>
        </references>
      </pivotArea>
    </format>
    <format dxfId="1103">
      <pivotArea dataOnly="0" labelOnly="1" fieldPosition="0">
        <references count="1">
          <reference field="28" count="1">
            <x v="6"/>
          </reference>
        </references>
      </pivotArea>
    </format>
    <format dxfId="1102">
      <pivotArea dataOnly="0" labelOnly="1" fieldPosition="0">
        <references count="1">
          <reference field="28" count="1">
            <x v="11"/>
          </reference>
        </references>
      </pivotArea>
    </format>
    <format dxfId="1101">
      <pivotArea outline="0" collapsedLevelsAreSubtotals="1" fieldPosition="0">
        <references count="1">
          <reference field="28" count="1" selected="0">
            <x v="6"/>
          </reference>
        </references>
      </pivotArea>
    </format>
    <format dxfId="1100">
      <pivotArea outline="0" collapsedLevelsAreSubtotals="1" fieldPosition="0">
        <references count="1">
          <reference field="28" count="1" selected="0">
            <x v="6"/>
          </reference>
        </references>
      </pivotArea>
    </format>
    <format dxfId="1099">
      <pivotArea dataOnly="0" labelOnly="1" fieldPosition="0">
        <references count="1">
          <reference field="28" count="1">
            <x v="9"/>
          </reference>
        </references>
      </pivotArea>
    </format>
    <format dxfId="1098">
      <pivotArea outline="0" collapsedLevelsAreSubtotals="1" fieldPosition="0">
        <references count="1">
          <reference field="28" count="1" selected="0">
            <x v="9"/>
          </reference>
        </references>
      </pivotArea>
    </format>
    <format dxfId="1097">
      <pivotArea outline="0" collapsedLevelsAreSubtotals="1" fieldPosition="0">
        <references count="1">
          <reference field="28" count="1" selected="0">
            <x v="9"/>
          </reference>
        </references>
      </pivotArea>
    </format>
    <format dxfId="1096">
      <pivotArea dataOnly="0" labelOnly="1" fieldPosition="0">
        <references count="1">
          <reference field="28" count="8">
            <x v="0"/>
            <x v="1"/>
            <x v="2"/>
            <x v="3"/>
            <x v="4"/>
            <x v="6"/>
            <x v="10"/>
            <x v="11"/>
          </reference>
        </references>
      </pivotArea>
    </format>
    <format dxfId="1095">
      <pivotArea outline="0" collapsedLevelsAreSubtotals="1" fieldPosition="0"/>
    </format>
    <format dxfId="1094">
      <pivotArea field="7" type="button" dataOnly="0" labelOnly="1" outline="0" axis="axisRow" fieldPosition="0"/>
    </format>
    <format dxfId="1093">
      <pivotArea dataOnly="0" labelOnly="1" fieldPosition="0">
        <references count="1">
          <reference field="7" count="0"/>
        </references>
      </pivotArea>
    </format>
    <format dxfId="1092">
      <pivotArea dataOnly="0" labelOnly="1" grandRow="1" outline="0" fieldPosition="0"/>
    </format>
    <format dxfId="1091">
      <pivotArea dataOnly="0" labelOnly="1" fieldPosition="0">
        <references count="1">
          <reference field="28" count="9">
            <x v="0"/>
            <x v="1"/>
            <x v="2"/>
            <x v="3"/>
            <x v="4"/>
            <x v="7"/>
            <x v="8"/>
            <x v="10"/>
            <x v="11"/>
          </reference>
        </references>
      </pivotArea>
    </format>
    <format dxfId="1090">
      <pivotArea dataOnly="0" labelOnly="1" grandCol="1" outline="0" fieldPosition="0"/>
    </format>
    <format dxfId="1089">
      <pivotArea dataOnly="0" labelOnly="1" fieldPosition="0">
        <references count="1">
          <reference field="28" count="1">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DD9DD5-FE76-4EDC-A445-6281265E334C}" name="PivotTable1"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Formats">
  <location ref="B4:N20" firstHeaderRow="1" firstDataRow="2" firstDataCol="1"/>
  <pivotFields count="31">
    <pivotField showAll="0" insertBlankRow="1"/>
    <pivotField showAll="0" insertBlankRow="1"/>
    <pivotField showAll="0" insertBlankRow="1"/>
    <pivotField showAll="0" insertBlankRow="1"/>
    <pivotField axis="axisRow" showAll="0" insertBlankRow="1">
      <items count="22">
        <item x="0"/>
        <item x="11"/>
        <item x="6"/>
        <item x="2"/>
        <item m="1" x="20"/>
        <item x="8"/>
        <item x="10"/>
        <item x="9"/>
        <item x="1"/>
        <item x="4"/>
        <item x="7"/>
        <item m="1" x="16"/>
        <item x="3"/>
        <item x="12"/>
        <item x="13"/>
        <item m="1" x="17"/>
        <item x="5"/>
        <item x="14"/>
        <item m="1" x="19"/>
        <item m="1" x="15"/>
        <item m="1" x="18"/>
        <item t="default"/>
      </items>
    </pivotField>
    <pivotField showAll="0" insertBlankRow="1"/>
    <pivotField showAll="0" insertBlankRow="1"/>
    <pivotField showAll="0" insertBlankRow="1"/>
    <pivotField showAll="0" insertBlankRow="1"/>
    <pivotField dataField="1"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axis="axisCol" showAll="0" insertBlankRow="1">
      <items count="16">
        <item x="0"/>
        <item h="1" m="1" x="14"/>
        <item x="1"/>
        <item x="2"/>
        <item x="5"/>
        <item x="3"/>
        <item x="6"/>
        <item m="1" x="13"/>
        <item x="7"/>
        <item x="8"/>
        <item x="10"/>
        <item x="4"/>
        <item m="1" x="12"/>
        <item x="9"/>
        <item h="1" x="11"/>
        <item t="default"/>
      </items>
    </pivotField>
    <pivotField showAll="0" insertBlankRow="1" defaultSubtotal="0"/>
    <pivotField showAll="0" insertBlankRow="1"/>
  </pivotFields>
  <rowFields count="1">
    <field x="4"/>
  </rowFields>
  <rowItems count="15">
    <i>
      <x/>
    </i>
    <i>
      <x v="1"/>
    </i>
    <i>
      <x v="2"/>
    </i>
    <i>
      <x v="3"/>
    </i>
    <i>
      <x v="5"/>
    </i>
    <i>
      <x v="6"/>
    </i>
    <i>
      <x v="7"/>
    </i>
    <i>
      <x v="8"/>
    </i>
    <i>
      <x v="9"/>
    </i>
    <i>
      <x v="10"/>
    </i>
    <i>
      <x v="12"/>
    </i>
    <i>
      <x v="13"/>
    </i>
    <i>
      <x v="14"/>
    </i>
    <i>
      <x v="16"/>
    </i>
    <i t="grand">
      <x/>
    </i>
  </rowItems>
  <colFields count="1">
    <field x="28"/>
  </colFields>
  <colItems count="12">
    <i>
      <x/>
    </i>
    <i>
      <x v="2"/>
    </i>
    <i>
      <x v="3"/>
    </i>
    <i>
      <x v="4"/>
    </i>
    <i>
      <x v="5"/>
    </i>
    <i>
      <x v="6"/>
    </i>
    <i>
      <x v="8"/>
    </i>
    <i>
      <x v="9"/>
    </i>
    <i>
      <x v="10"/>
    </i>
    <i>
      <x v="11"/>
    </i>
    <i>
      <x v="13"/>
    </i>
    <i t="grand">
      <x/>
    </i>
  </colItems>
  <dataFields count="1">
    <dataField name="Count of Site Name" fld="9" subtotal="count" baseField="0" baseItem="0"/>
  </dataFields>
  <formats count="453">
    <format dxfId="1088">
      <pivotArea outline="0" collapsedLevelsAreSubtotals="1" fieldPosition="0"/>
    </format>
    <format dxfId="1087">
      <pivotArea field="4" type="button" dataOnly="0" labelOnly="1" outline="0" axis="axisRow" fieldPosition="0"/>
    </format>
    <format dxfId="1086">
      <pivotArea dataOnly="0" labelOnly="1" fieldPosition="0">
        <references count="1">
          <reference field="4" count="3">
            <x v="1"/>
            <x v="4"/>
            <x v="14"/>
          </reference>
        </references>
      </pivotArea>
    </format>
    <format dxfId="1085">
      <pivotArea dataOnly="0" labelOnly="1" grandRow="1" outline="0" fieldPosition="0"/>
    </format>
    <format dxfId="1084">
      <pivotArea dataOnly="0" labelOnly="1" grandCol="1" outline="0" fieldPosition="0"/>
    </format>
    <format dxfId="1083">
      <pivotArea outline="0" collapsedLevelsAreSubtotals="1" fieldPosition="0"/>
    </format>
    <format dxfId="1082">
      <pivotArea field="4" type="button" dataOnly="0" labelOnly="1" outline="0" axis="axisRow" fieldPosition="0"/>
    </format>
    <format dxfId="1081">
      <pivotArea dataOnly="0" labelOnly="1" fieldPosition="0">
        <references count="1">
          <reference field="4" count="3">
            <x v="1"/>
            <x v="4"/>
            <x v="14"/>
          </reference>
        </references>
      </pivotArea>
    </format>
    <format dxfId="1080">
      <pivotArea dataOnly="0" labelOnly="1" grandRow="1" outline="0" fieldPosition="0"/>
    </format>
    <format dxfId="1079">
      <pivotArea dataOnly="0" labelOnly="1" grandCol="1" outline="0" fieldPosition="0"/>
    </format>
    <format dxfId="1078">
      <pivotArea outline="0" collapsedLevelsAreSubtotals="1" fieldPosition="0"/>
    </format>
    <format dxfId="1077">
      <pivotArea field="4" type="button" dataOnly="0" labelOnly="1" outline="0" axis="axisRow" fieldPosition="0"/>
    </format>
    <format dxfId="1076">
      <pivotArea dataOnly="0" labelOnly="1" fieldPosition="0">
        <references count="1">
          <reference field="4" count="3">
            <x v="1"/>
            <x v="4"/>
            <x v="14"/>
          </reference>
        </references>
      </pivotArea>
    </format>
    <format dxfId="1075">
      <pivotArea dataOnly="0" labelOnly="1" grandRow="1" outline="0" fieldPosition="0"/>
    </format>
    <format dxfId="1074">
      <pivotArea dataOnly="0" labelOnly="1" grandCol="1" outline="0" fieldPosition="0"/>
    </format>
    <format dxfId="1073">
      <pivotArea dataOnly="0" labelOnly="1" fieldPosition="0">
        <references count="1">
          <reference field="4" count="0"/>
        </references>
      </pivotArea>
    </format>
    <format dxfId="1072">
      <pivotArea dataOnly="0" labelOnly="1" fieldPosition="0">
        <references count="1">
          <reference field="4" count="0"/>
        </references>
      </pivotArea>
    </format>
    <format dxfId="1071">
      <pivotArea dataOnly="0" labelOnly="1" fieldPosition="0">
        <references count="1">
          <reference field="4" count="0"/>
        </references>
      </pivotArea>
    </format>
    <format dxfId="1070">
      <pivotArea outline="0" collapsedLevelsAreSubtotals="1" fieldPosition="0"/>
    </format>
    <format dxfId="1069">
      <pivotArea field="4" type="button" dataOnly="0" labelOnly="1" outline="0" axis="axisRow" fieldPosition="0"/>
    </format>
    <format dxfId="1068">
      <pivotArea dataOnly="0" labelOnly="1" fieldPosition="0">
        <references count="1">
          <reference field="4" count="3">
            <x v="1"/>
            <x v="4"/>
            <x v="14"/>
          </reference>
        </references>
      </pivotArea>
    </format>
    <format dxfId="1067">
      <pivotArea dataOnly="0" labelOnly="1" grandRow="1" outline="0" fieldPosition="0"/>
    </format>
    <format dxfId="1066">
      <pivotArea dataOnly="0" labelOnly="1" grandCol="1" outline="0" fieldPosition="0"/>
    </format>
    <format dxfId="1065">
      <pivotArea outline="0" collapsedLevelsAreSubtotals="1" fieldPosition="0"/>
    </format>
    <format dxfId="1064">
      <pivotArea field="4" type="button" dataOnly="0" labelOnly="1" outline="0" axis="axisRow" fieldPosition="0"/>
    </format>
    <format dxfId="1063">
      <pivotArea dataOnly="0" labelOnly="1" fieldPosition="0">
        <references count="1">
          <reference field="4" count="3">
            <x v="1"/>
            <x v="4"/>
            <x v="14"/>
          </reference>
        </references>
      </pivotArea>
    </format>
    <format dxfId="1062">
      <pivotArea dataOnly="0" labelOnly="1" grandRow="1" outline="0" fieldPosition="0"/>
    </format>
    <format dxfId="1061">
      <pivotArea dataOnly="0" labelOnly="1" grandCol="1" outline="0" fieldPosition="0"/>
    </format>
    <format dxfId="1060">
      <pivotArea outline="0" collapsedLevelsAreSubtotals="1" fieldPosition="0"/>
    </format>
    <format dxfId="1059">
      <pivotArea field="4" type="button" dataOnly="0" labelOnly="1" outline="0" axis="axisRow" fieldPosition="0"/>
    </format>
    <format dxfId="1058">
      <pivotArea dataOnly="0" labelOnly="1" fieldPosition="0">
        <references count="1">
          <reference field="4" count="3">
            <x v="1"/>
            <x v="4"/>
            <x v="14"/>
          </reference>
        </references>
      </pivotArea>
    </format>
    <format dxfId="1057">
      <pivotArea dataOnly="0" labelOnly="1" grandRow="1" outline="0" fieldPosition="0"/>
    </format>
    <format dxfId="1056">
      <pivotArea dataOnly="0" labelOnly="1" grandCol="1" outline="0" fieldPosition="0"/>
    </format>
    <format dxfId="1055">
      <pivotArea outline="0" collapsedLevelsAreSubtotals="1" fieldPosition="0"/>
    </format>
    <format dxfId="1054">
      <pivotArea field="4" type="button" dataOnly="0" labelOnly="1" outline="0" axis="axisRow" fieldPosition="0"/>
    </format>
    <format dxfId="1053">
      <pivotArea dataOnly="0" labelOnly="1" fieldPosition="0">
        <references count="1">
          <reference field="4" count="3">
            <x v="1"/>
            <x v="4"/>
            <x v="14"/>
          </reference>
        </references>
      </pivotArea>
    </format>
    <format dxfId="1052">
      <pivotArea dataOnly="0" labelOnly="1" grandRow="1" outline="0" fieldPosition="0"/>
    </format>
    <format dxfId="1051">
      <pivotArea dataOnly="0" labelOnly="1" grandCol="1" outline="0" fieldPosition="0"/>
    </format>
    <format dxfId="1050">
      <pivotArea outline="0" collapsedLevelsAreSubtotals="1" fieldPosition="0"/>
    </format>
    <format dxfId="1049">
      <pivotArea field="4" type="button" dataOnly="0" labelOnly="1" outline="0" axis="axisRow" fieldPosition="0"/>
    </format>
    <format dxfId="1048">
      <pivotArea dataOnly="0" labelOnly="1" fieldPosition="0">
        <references count="1">
          <reference field="4" count="3">
            <x v="1"/>
            <x v="4"/>
            <x v="14"/>
          </reference>
        </references>
      </pivotArea>
    </format>
    <format dxfId="1047">
      <pivotArea dataOnly="0" labelOnly="1" grandRow="1" outline="0" fieldPosition="0"/>
    </format>
    <format dxfId="1046">
      <pivotArea dataOnly="0" labelOnly="1" grandCol="1" outline="0" fieldPosition="0"/>
    </format>
    <format dxfId="1045">
      <pivotArea outline="0" collapsedLevelsAreSubtotals="1" fieldPosition="0"/>
    </format>
    <format dxfId="1044">
      <pivotArea field="4" type="button" dataOnly="0" labelOnly="1" outline="0" axis="axisRow" fieldPosition="0"/>
    </format>
    <format dxfId="1043">
      <pivotArea dataOnly="0" labelOnly="1" fieldPosition="0">
        <references count="1">
          <reference field="4" count="0"/>
        </references>
      </pivotArea>
    </format>
    <format dxfId="1042">
      <pivotArea dataOnly="0" labelOnly="1" grandRow="1" outline="0" fieldPosition="0"/>
    </format>
    <format dxfId="1041">
      <pivotArea dataOnly="0" labelOnly="1" fieldPosition="0">
        <references count="1">
          <reference field="28" count="6">
            <x v="0"/>
            <x v="1"/>
            <x v="2"/>
            <x v="5"/>
            <x v="6"/>
            <x v="9"/>
          </reference>
        </references>
      </pivotArea>
    </format>
    <format dxfId="1040">
      <pivotArea dataOnly="0" labelOnly="1" grandCol="1" outline="0" fieldPosition="0"/>
    </format>
    <format dxfId="1039">
      <pivotArea outline="0" collapsedLevelsAreSubtotals="1" fieldPosition="0"/>
    </format>
    <format dxfId="1038">
      <pivotArea field="4" type="button" dataOnly="0" labelOnly="1" outline="0" axis="axisRow" fieldPosition="0"/>
    </format>
    <format dxfId="1037">
      <pivotArea dataOnly="0" labelOnly="1" fieldPosition="0">
        <references count="1">
          <reference field="4" count="0"/>
        </references>
      </pivotArea>
    </format>
    <format dxfId="1036">
      <pivotArea dataOnly="0" labelOnly="1" grandRow="1" outline="0" fieldPosition="0"/>
    </format>
    <format dxfId="1035">
      <pivotArea dataOnly="0" labelOnly="1" fieldPosition="0">
        <references count="1">
          <reference field="28" count="6">
            <x v="0"/>
            <x v="1"/>
            <x v="2"/>
            <x v="5"/>
            <x v="6"/>
            <x v="9"/>
          </reference>
        </references>
      </pivotArea>
    </format>
    <format dxfId="1034">
      <pivotArea dataOnly="0" labelOnly="1" grandCol="1" outline="0" fieldPosition="0"/>
    </format>
    <format dxfId="1033">
      <pivotArea outline="0" collapsedLevelsAreSubtotals="1" fieldPosition="0"/>
    </format>
    <format dxfId="1032">
      <pivotArea field="4" type="button" dataOnly="0" labelOnly="1" outline="0" axis="axisRow" fieldPosition="0"/>
    </format>
    <format dxfId="1031">
      <pivotArea dataOnly="0" labelOnly="1" fieldPosition="0">
        <references count="1">
          <reference field="4" count="0"/>
        </references>
      </pivotArea>
    </format>
    <format dxfId="1030">
      <pivotArea dataOnly="0" labelOnly="1" grandRow="1" outline="0" fieldPosition="0"/>
    </format>
    <format dxfId="1029">
      <pivotArea dataOnly="0" labelOnly="1" fieldPosition="0">
        <references count="1">
          <reference field="28" count="6">
            <x v="0"/>
            <x v="1"/>
            <x v="2"/>
            <x v="5"/>
            <x v="6"/>
            <x v="9"/>
          </reference>
        </references>
      </pivotArea>
    </format>
    <format dxfId="1028">
      <pivotArea dataOnly="0" labelOnly="1" grandCol="1" outline="0" fieldPosition="0"/>
    </format>
    <format dxfId="1027">
      <pivotArea outline="0" collapsedLevelsAreSubtotals="1" fieldPosition="0"/>
    </format>
    <format dxfId="1026">
      <pivotArea field="4" type="button" dataOnly="0" labelOnly="1" outline="0" axis="axisRow" fieldPosition="0"/>
    </format>
    <format dxfId="1025">
      <pivotArea dataOnly="0" labelOnly="1" fieldPosition="0">
        <references count="1">
          <reference field="4" count="0"/>
        </references>
      </pivotArea>
    </format>
    <format dxfId="1024">
      <pivotArea dataOnly="0" labelOnly="1" grandRow="1" outline="0" fieldPosition="0"/>
    </format>
    <format dxfId="1023">
      <pivotArea dataOnly="0" labelOnly="1" fieldPosition="0">
        <references count="1">
          <reference field="28" count="6">
            <x v="0"/>
            <x v="1"/>
            <x v="2"/>
            <x v="5"/>
            <x v="6"/>
            <x v="9"/>
          </reference>
        </references>
      </pivotArea>
    </format>
    <format dxfId="1022">
      <pivotArea dataOnly="0" labelOnly="1" grandCol="1" outline="0" fieldPosition="0"/>
    </format>
    <format dxfId="1021">
      <pivotArea outline="0" collapsedLevelsAreSubtotals="1" fieldPosition="0"/>
    </format>
    <format dxfId="1020">
      <pivotArea field="4" type="button" dataOnly="0" labelOnly="1" outline="0" axis="axisRow" fieldPosition="0"/>
    </format>
    <format dxfId="1019">
      <pivotArea dataOnly="0" labelOnly="1" fieldPosition="0">
        <references count="1">
          <reference field="4" count="0"/>
        </references>
      </pivotArea>
    </format>
    <format dxfId="1018">
      <pivotArea dataOnly="0" labelOnly="1" grandRow="1" outline="0" fieldPosition="0"/>
    </format>
    <format dxfId="1017">
      <pivotArea dataOnly="0" labelOnly="1" fieldPosition="0">
        <references count="1">
          <reference field="28" count="6">
            <x v="0"/>
            <x v="1"/>
            <x v="2"/>
            <x v="5"/>
            <x v="6"/>
            <x v="9"/>
          </reference>
        </references>
      </pivotArea>
    </format>
    <format dxfId="1016">
      <pivotArea dataOnly="0" labelOnly="1" grandCol="1" outline="0" fieldPosition="0"/>
    </format>
    <format dxfId="1015">
      <pivotArea dataOnly="0" labelOnly="1" fieldPosition="0">
        <references count="1">
          <reference field="28" count="3">
            <x v="5"/>
            <x v="6"/>
            <x v="9"/>
          </reference>
        </references>
      </pivotArea>
    </format>
    <format dxfId="1014">
      <pivotArea outline="0" collapsedLevelsAreSubtotals="1" fieldPosition="0">
        <references count="1">
          <reference field="28" count="3" selected="0">
            <x v="5"/>
            <x v="6"/>
            <x v="9"/>
          </reference>
        </references>
      </pivotArea>
    </format>
    <format dxfId="1013">
      <pivotArea dataOnly="0" labelOnly="1" fieldPosition="0">
        <references count="1">
          <reference field="28" count="4">
            <x v="0"/>
            <x v="1"/>
            <x v="2"/>
            <x v="5"/>
          </reference>
        </references>
      </pivotArea>
    </format>
    <format dxfId="1012">
      <pivotArea outline="0" collapsedLevelsAreSubtotals="1" fieldPosition="0">
        <references count="1">
          <reference field="28" count="3" selected="0">
            <x v="5"/>
            <x v="6"/>
            <x v="9"/>
          </reference>
        </references>
      </pivotArea>
    </format>
    <format dxfId="1011">
      <pivotArea outline="0" collapsedLevelsAreSubtotals="1" fieldPosition="0">
        <references count="1">
          <reference field="28" count="3" selected="0">
            <x v="5"/>
            <x v="6"/>
            <x v="9"/>
          </reference>
        </references>
      </pivotArea>
    </format>
    <format dxfId="1010">
      <pivotArea outline="0" collapsedLevelsAreSubtotals="1" fieldPosition="0">
        <references count="1">
          <reference field="28" count="2" selected="0">
            <x v="5"/>
            <x v="6"/>
          </reference>
        </references>
      </pivotArea>
    </format>
    <format dxfId="1009">
      <pivotArea outline="0" collapsedLevelsAreSubtotals="1" fieldPosition="0">
        <references count="1">
          <reference field="28" count="2" selected="0">
            <x v="5"/>
            <x v="6"/>
          </reference>
        </references>
      </pivotArea>
    </format>
    <format dxfId="1008">
      <pivotArea outline="0" collapsedLevelsAreSubtotals="1" fieldPosition="0">
        <references count="1">
          <reference field="28" count="1" selected="0">
            <x v="9"/>
          </reference>
        </references>
      </pivotArea>
    </format>
    <format dxfId="1007">
      <pivotArea outline="0" collapsedLevelsAreSubtotals="1" fieldPosition="0">
        <references count="1">
          <reference field="28" count="1" selected="0">
            <x v="9"/>
          </reference>
        </references>
      </pivotArea>
    </format>
    <format dxfId="1006">
      <pivotArea outline="0" collapsedLevelsAreSubtotals="1" fieldPosition="0">
        <references count="1">
          <reference field="28" count="3" selected="0">
            <x v="5"/>
            <x v="6"/>
            <x v="9"/>
          </reference>
        </references>
      </pivotArea>
    </format>
    <format dxfId="1005">
      <pivotArea outline="0" collapsedLevelsAreSubtotals="1" fieldPosition="0">
        <references count="1">
          <reference field="28" count="3" selected="0">
            <x v="5"/>
            <x v="6"/>
            <x v="9"/>
          </reference>
        </references>
      </pivotArea>
    </format>
    <format dxfId="1004">
      <pivotArea outline="0" collapsedLevelsAreSubtotals="1" fieldPosition="0">
        <references count="1">
          <reference field="28" count="3" selected="0">
            <x v="5"/>
            <x v="6"/>
            <x v="9"/>
          </reference>
        </references>
      </pivotArea>
    </format>
    <format dxfId="1003">
      <pivotArea outline="0" collapsedLevelsAreSubtotals="1" fieldPosition="0">
        <references count="1">
          <reference field="28" count="3" selected="0">
            <x v="5"/>
            <x v="6"/>
            <x v="9"/>
          </reference>
        </references>
      </pivotArea>
    </format>
    <format dxfId="1002">
      <pivotArea outline="0" collapsedLevelsAreSubtotals="1" fieldPosition="0">
        <references count="1">
          <reference field="28" count="1" selected="0">
            <x v="1"/>
          </reference>
        </references>
      </pivotArea>
    </format>
    <format dxfId="1001">
      <pivotArea type="topRight" dataOnly="0" labelOnly="1" outline="0" fieldPosition="0"/>
    </format>
    <format dxfId="1000">
      <pivotArea dataOnly="0" labelOnly="1" fieldPosition="0">
        <references count="1">
          <reference field="28" count="1">
            <x v="1"/>
          </reference>
        </references>
      </pivotArea>
    </format>
    <format dxfId="999">
      <pivotArea outline="0" collapsedLevelsAreSubtotals="1" fieldPosition="0">
        <references count="1">
          <reference field="28" count="3" selected="0">
            <x v="5"/>
            <x v="6"/>
            <x v="9"/>
          </reference>
        </references>
      </pivotArea>
    </format>
    <format dxfId="998">
      <pivotArea outline="0" collapsedLevelsAreSubtotals="1" fieldPosition="0">
        <references count="1">
          <reference field="28" count="3" selected="0">
            <x v="5"/>
            <x v="6"/>
            <x v="9"/>
          </reference>
        </references>
      </pivotArea>
    </format>
    <format dxfId="997">
      <pivotArea outline="0" collapsedLevelsAreSubtotals="1" fieldPosition="0">
        <references count="1">
          <reference field="28" count="3" selected="0">
            <x v="5"/>
            <x v="6"/>
            <x v="9"/>
          </reference>
        </references>
      </pivotArea>
    </format>
    <format dxfId="996">
      <pivotArea outline="0" collapsedLevelsAreSubtotals="1" fieldPosition="0">
        <references count="1">
          <reference field="28" count="3" selected="0">
            <x v="5"/>
            <x v="6"/>
            <x v="9"/>
          </reference>
        </references>
      </pivotArea>
    </format>
    <format dxfId="995">
      <pivotArea type="all" dataOnly="0" outline="0" fieldPosition="0"/>
    </format>
    <format dxfId="994">
      <pivotArea outline="0" collapsedLevelsAreSubtotals="1" fieldPosition="0"/>
    </format>
    <format dxfId="993">
      <pivotArea type="origin" dataOnly="0" labelOnly="1" outline="0" fieldPosition="0"/>
    </format>
    <format dxfId="992">
      <pivotArea field="28" type="button" dataOnly="0" labelOnly="1" outline="0" axis="axisCol" fieldPosition="0"/>
    </format>
    <format dxfId="991">
      <pivotArea type="topRight" dataOnly="0" labelOnly="1" outline="0" fieldPosition="0"/>
    </format>
    <format dxfId="990">
      <pivotArea field="4" type="button" dataOnly="0" labelOnly="1" outline="0" axis="axisRow" fieldPosition="0"/>
    </format>
    <format dxfId="989">
      <pivotArea dataOnly="0" labelOnly="1" fieldPosition="0">
        <references count="1">
          <reference field="4" count="0"/>
        </references>
      </pivotArea>
    </format>
    <format dxfId="988">
      <pivotArea dataOnly="0" labelOnly="1" grandRow="1" outline="0" fieldPosition="0"/>
    </format>
    <format dxfId="987">
      <pivotArea dataOnly="0" labelOnly="1" fieldPosition="0">
        <references count="1">
          <reference field="28" count="6">
            <x v="0"/>
            <x v="1"/>
            <x v="2"/>
            <x v="5"/>
            <x v="6"/>
            <x v="9"/>
          </reference>
        </references>
      </pivotArea>
    </format>
    <format dxfId="986">
      <pivotArea dataOnly="0" labelOnly="1" grandCol="1" outline="0" fieldPosition="0"/>
    </format>
    <format dxfId="985">
      <pivotArea dataOnly="0" labelOnly="1" fieldPosition="0">
        <references count="1">
          <reference field="4" count="1">
            <x v="14"/>
          </reference>
        </references>
      </pivotArea>
    </format>
    <format dxfId="984">
      <pivotArea type="all" dataOnly="0" outline="0" fieldPosition="0"/>
    </format>
    <format dxfId="983">
      <pivotArea outline="0" collapsedLevelsAreSubtotals="1" fieldPosition="0"/>
    </format>
    <format dxfId="982">
      <pivotArea type="origin" dataOnly="0" labelOnly="1" outline="0" fieldPosition="0"/>
    </format>
    <format dxfId="981">
      <pivotArea field="28" type="button" dataOnly="0" labelOnly="1" outline="0" axis="axisCol" fieldPosition="0"/>
    </format>
    <format dxfId="980">
      <pivotArea type="topRight" dataOnly="0" labelOnly="1" outline="0" fieldPosition="0"/>
    </format>
    <format dxfId="979">
      <pivotArea field="4" type="button" dataOnly="0" labelOnly="1" outline="0" axis="axisRow" fieldPosition="0"/>
    </format>
    <format dxfId="978">
      <pivotArea dataOnly="0" labelOnly="1" fieldPosition="0">
        <references count="1">
          <reference field="4" count="0"/>
        </references>
      </pivotArea>
    </format>
    <format dxfId="977">
      <pivotArea dataOnly="0" labelOnly="1" grandRow="1" outline="0" fieldPosition="0"/>
    </format>
    <format dxfId="976">
      <pivotArea dataOnly="0" labelOnly="1" fieldPosition="0">
        <references count="1">
          <reference field="28" count="6">
            <x v="0"/>
            <x v="1"/>
            <x v="2"/>
            <x v="5"/>
            <x v="6"/>
            <x v="9"/>
          </reference>
        </references>
      </pivotArea>
    </format>
    <format dxfId="975">
      <pivotArea dataOnly="0" labelOnly="1" grandCol="1" outline="0" fieldPosition="0"/>
    </format>
    <format dxfId="974">
      <pivotArea outline="0" collapsedLevelsAreSubtotals="1" fieldPosition="0">
        <references count="1">
          <reference field="28" count="3" selected="0">
            <x v="5"/>
            <x v="6"/>
            <x v="9"/>
          </reference>
        </references>
      </pivotArea>
    </format>
    <format dxfId="973">
      <pivotArea outline="0" collapsedLevelsAreSubtotals="1" fieldPosition="0">
        <references count="1">
          <reference field="28" count="3" selected="0">
            <x v="5"/>
            <x v="6"/>
            <x v="9"/>
          </reference>
        </references>
      </pivotArea>
    </format>
    <format dxfId="972">
      <pivotArea outline="0" collapsedLevelsAreSubtotals="1" fieldPosition="0">
        <references count="1">
          <reference field="28" count="3" selected="0">
            <x v="5"/>
            <x v="6"/>
            <x v="9"/>
          </reference>
        </references>
      </pivotArea>
    </format>
    <format dxfId="971">
      <pivotArea outline="0" collapsedLevelsAreSubtotals="1" fieldPosition="0">
        <references count="1">
          <reference field="28" count="3" selected="0">
            <x v="5"/>
            <x v="6"/>
            <x v="9"/>
          </reference>
        </references>
      </pivotArea>
    </format>
    <format dxfId="970">
      <pivotArea outline="0" collapsedLevelsAreSubtotals="1" fieldPosition="0">
        <references count="1">
          <reference field="28" count="2" selected="0">
            <x v="5"/>
            <x v="6"/>
          </reference>
        </references>
      </pivotArea>
    </format>
    <format dxfId="969">
      <pivotArea outline="0" collapsedLevelsAreSubtotals="1" fieldPosition="0">
        <references count="1">
          <reference field="28" count="2" selected="0">
            <x v="5"/>
            <x v="6"/>
          </reference>
        </references>
      </pivotArea>
    </format>
    <format dxfId="968">
      <pivotArea outline="0" collapsedLevelsAreSubtotals="1" fieldPosition="0">
        <references count="1">
          <reference field="28" count="2" selected="0">
            <x v="5"/>
            <x v="6"/>
          </reference>
        </references>
      </pivotArea>
    </format>
    <format dxfId="967">
      <pivotArea outline="0" collapsedLevelsAreSubtotals="1" fieldPosition="0">
        <references count="1">
          <reference field="28" count="2" selected="0">
            <x v="5"/>
            <x v="6"/>
          </reference>
        </references>
      </pivotArea>
    </format>
    <format dxfId="966">
      <pivotArea outline="0" collapsedLevelsAreSubtotals="1" fieldPosition="0">
        <references count="1">
          <reference field="28" count="1" selected="0">
            <x v="9"/>
          </reference>
        </references>
      </pivotArea>
    </format>
    <format dxfId="965">
      <pivotArea outline="0" collapsedLevelsAreSubtotals="1" fieldPosition="0">
        <references count="1">
          <reference field="28" count="1" selected="0">
            <x v="9"/>
          </reference>
        </references>
      </pivotArea>
    </format>
    <format dxfId="964">
      <pivotArea outline="0" collapsedLevelsAreSubtotals="1" fieldPosition="0">
        <references count="1">
          <reference field="28" count="2" selected="0">
            <x v="5"/>
            <x v="6"/>
          </reference>
        </references>
      </pivotArea>
    </format>
    <format dxfId="963">
      <pivotArea outline="0" collapsedLevelsAreSubtotals="1" fieldPosition="0">
        <references count="1">
          <reference field="28" count="2" selected="0">
            <x v="5"/>
            <x v="6"/>
          </reference>
        </references>
      </pivotArea>
    </format>
    <format dxfId="962">
      <pivotArea outline="0" collapsedLevelsAreSubtotals="1" fieldPosition="0"/>
    </format>
    <format dxfId="961">
      <pivotArea field="4" type="button" dataOnly="0" labelOnly="1" outline="0" axis="axisRow" fieldPosition="0"/>
    </format>
    <format dxfId="960">
      <pivotArea dataOnly="0" labelOnly="1" fieldPosition="0">
        <references count="1">
          <reference field="4" count="0"/>
        </references>
      </pivotArea>
    </format>
    <format dxfId="959">
      <pivotArea dataOnly="0" labelOnly="1" grandRow="1" outline="0" fieldPosition="0"/>
    </format>
    <format dxfId="958">
      <pivotArea dataOnly="0" labelOnly="1" fieldPosition="0">
        <references count="1">
          <reference field="28" count="6">
            <x v="0"/>
            <x v="1"/>
            <x v="2"/>
            <x v="5"/>
            <x v="6"/>
            <x v="9"/>
          </reference>
        </references>
      </pivotArea>
    </format>
    <format dxfId="957">
      <pivotArea dataOnly="0" labelOnly="1" grandCol="1" outline="0" fieldPosition="0"/>
    </format>
    <format dxfId="956">
      <pivotArea outline="0" collapsedLevelsAreSubtotals="1" fieldPosition="0"/>
    </format>
    <format dxfId="955">
      <pivotArea field="4" type="button" dataOnly="0" labelOnly="1" outline="0" axis="axisRow" fieldPosition="0"/>
    </format>
    <format dxfId="954">
      <pivotArea dataOnly="0" labelOnly="1" fieldPosition="0">
        <references count="1">
          <reference field="4" count="0"/>
        </references>
      </pivotArea>
    </format>
    <format dxfId="953">
      <pivotArea dataOnly="0" labelOnly="1" grandRow="1" outline="0" fieldPosition="0"/>
    </format>
    <format dxfId="952">
      <pivotArea dataOnly="0" labelOnly="1" fieldPosition="0">
        <references count="1">
          <reference field="28" count="6">
            <x v="0"/>
            <x v="1"/>
            <x v="2"/>
            <x v="5"/>
            <x v="6"/>
            <x v="9"/>
          </reference>
        </references>
      </pivotArea>
    </format>
    <format dxfId="951">
      <pivotArea dataOnly="0" labelOnly="1" grandCol="1" outline="0" fieldPosition="0"/>
    </format>
    <format dxfId="950">
      <pivotArea outline="0" collapsedLevelsAreSubtotals="1" fieldPosition="0"/>
    </format>
    <format dxfId="949">
      <pivotArea field="4" type="button" dataOnly="0" labelOnly="1" outline="0" axis="axisRow" fieldPosition="0"/>
    </format>
    <format dxfId="948">
      <pivotArea dataOnly="0" labelOnly="1" fieldPosition="0">
        <references count="1">
          <reference field="4" count="0"/>
        </references>
      </pivotArea>
    </format>
    <format dxfId="947">
      <pivotArea dataOnly="0" labelOnly="1" grandRow="1" outline="0" fieldPosition="0"/>
    </format>
    <format dxfId="946">
      <pivotArea dataOnly="0" labelOnly="1" fieldPosition="0">
        <references count="1">
          <reference field="28" count="6">
            <x v="0"/>
            <x v="1"/>
            <x v="2"/>
            <x v="5"/>
            <x v="6"/>
            <x v="9"/>
          </reference>
        </references>
      </pivotArea>
    </format>
    <format dxfId="945">
      <pivotArea dataOnly="0" labelOnly="1" grandCol="1" outline="0" fieldPosition="0"/>
    </format>
    <format dxfId="944">
      <pivotArea outline="0" collapsedLevelsAreSubtotals="1" fieldPosition="0"/>
    </format>
    <format dxfId="943">
      <pivotArea outline="0" collapsedLevelsAreSubtotals="1" fieldPosition="0">
        <references count="1">
          <reference field="28" count="1" selected="0">
            <x v="9"/>
          </reference>
        </references>
      </pivotArea>
    </format>
    <format dxfId="942">
      <pivotArea outline="0" collapsedLevelsAreSubtotals="1" fieldPosition="0">
        <references count="1">
          <reference field="28" count="1" selected="0">
            <x v="9"/>
          </reference>
        </references>
      </pivotArea>
    </format>
    <format dxfId="941">
      <pivotArea outline="0" collapsedLevelsAreSubtotals="1" fieldPosition="0">
        <references count="1">
          <reference field="28" count="3" selected="0">
            <x v="5"/>
            <x v="6"/>
            <x v="9"/>
          </reference>
        </references>
      </pivotArea>
    </format>
    <format dxfId="940">
      <pivotArea outline="0" collapsedLevelsAreSubtotals="1" fieldPosition="0">
        <references count="1">
          <reference field="28" count="3" selected="0">
            <x v="5"/>
            <x v="6"/>
            <x v="9"/>
          </reference>
        </references>
      </pivotArea>
    </format>
    <format dxfId="939">
      <pivotArea outline="0" collapsedLevelsAreSubtotals="1" fieldPosition="0">
        <references count="1">
          <reference field="28" count="3" selected="0">
            <x v="5"/>
            <x v="6"/>
            <x v="9"/>
          </reference>
        </references>
      </pivotArea>
    </format>
    <format dxfId="938">
      <pivotArea outline="0" collapsedLevelsAreSubtotals="1" fieldPosition="0">
        <references count="1">
          <reference field="28" count="3" selected="0">
            <x v="5"/>
            <x v="6"/>
            <x v="9"/>
          </reference>
        </references>
      </pivotArea>
    </format>
    <format dxfId="937">
      <pivotArea outline="0" collapsedLevelsAreSubtotals="1" fieldPosition="0">
        <references count="1">
          <reference field="28" count="2" selected="0">
            <x v="5"/>
            <x v="6"/>
          </reference>
        </references>
      </pivotArea>
    </format>
    <format dxfId="936">
      <pivotArea outline="0" collapsedLevelsAreSubtotals="1" fieldPosition="0">
        <references count="1">
          <reference field="28" count="2" selected="0">
            <x v="5"/>
            <x v="6"/>
          </reference>
        </references>
      </pivotArea>
    </format>
    <format dxfId="935">
      <pivotArea outline="0" collapsedLevelsAreSubtotals="1" fieldPosition="0">
        <references count="1">
          <reference field="28" count="1" selected="0">
            <x v="9"/>
          </reference>
        </references>
      </pivotArea>
    </format>
    <format dxfId="934">
      <pivotArea outline="0" collapsedLevelsAreSubtotals="1" fieldPosition="0">
        <references count="1">
          <reference field="28" count="1" selected="0">
            <x v="9"/>
          </reference>
        </references>
      </pivotArea>
    </format>
    <format dxfId="933">
      <pivotArea outline="0" collapsedLevelsAreSubtotals="1" fieldPosition="0">
        <references count="1">
          <reference field="28" count="2" selected="0">
            <x v="5"/>
            <x v="6"/>
          </reference>
        </references>
      </pivotArea>
    </format>
    <format dxfId="932">
      <pivotArea outline="0" collapsedLevelsAreSubtotals="1" fieldPosition="0">
        <references count="1">
          <reference field="28" count="2" selected="0">
            <x v="5"/>
            <x v="6"/>
          </reference>
        </references>
      </pivotArea>
    </format>
    <format dxfId="931">
      <pivotArea outline="0" collapsedLevelsAreSubtotals="1" fieldPosition="0">
        <references count="1">
          <reference field="28" count="1" selected="0">
            <x v="9"/>
          </reference>
        </references>
      </pivotArea>
    </format>
    <format dxfId="930">
      <pivotArea outline="0" collapsedLevelsAreSubtotals="1" fieldPosition="0">
        <references count="1">
          <reference field="28" count="1" selected="0">
            <x v="9"/>
          </reference>
        </references>
      </pivotArea>
    </format>
    <format dxfId="929">
      <pivotArea dataOnly="0" labelOnly="1" fieldPosition="0">
        <references count="1">
          <reference field="28" count="1">
            <x v="13"/>
          </reference>
        </references>
      </pivotArea>
    </format>
    <format dxfId="928">
      <pivotArea outline="0" collapsedLevelsAreSubtotals="1" fieldPosition="0">
        <references count="1">
          <reference field="28" count="1" selected="0">
            <x v="9"/>
          </reference>
        </references>
      </pivotArea>
    </format>
    <format dxfId="927">
      <pivotArea outline="0" collapsedLevelsAreSubtotals="1" fieldPosition="0">
        <references count="1">
          <reference field="28" count="1" selected="0">
            <x v="9"/>
          </reference>
        </references>
      </pivotArea>
    </format>
    <format dxfId="926">
      <pivotArea outline="0" collapsedLevelsAreSubtotals="1" fieldPosition="0">
        <references count="1">
          <reference field="28" count="2" selected="0">
            <x v="5"/>
            <x v="6"/>
          </reference>
        </references>
      </pivotArea>
    </format>
    <format dxfId="925">
      <pivotArea outline="0" collapsedLevelsAreSubtotals="1" fieldPosition="0">
        <references count="1">
          <reference field="28" count="2" selected="0">
            <x v="5"/>
            <x v="6"/>
          </reference>
        </references>
      </pivotArea>
    </format>
    <format dxfId="924">
      <pivotArea outline="0" collapsedLevelsAreSubtotals="1" fieldPosition="0">
        <references count="1">
          <reference field="28" count="2" selected="0">
            <x v="5"/>
            <x v="6"/>
          </reference>
        </references>
      </pivotArea>
    </format>
    <format dxfId="923">
      <pivotArea outline="0" collapsedLevelsAreSubtotals="1" fieldPosition="0">
        <references count="1">
          <reference field="28" count="2" selected="0">
            <x v="5"/>
            <x v="6"/>
          </reference>
        </references>
      </pivotArea>
    </format>
    <format dxfId="922">
      <pivotArea outline="0" collapsedLevelsAreSubtotals="1" fieldPosition="0">
        <references count="1">
          <reference field="28" count="1" selected="0">
            <x v="9"/>
          </reference>
        </references>
      </pivotArea>
    </format>
    <format dxfId="921">
      <pivotArea outline="0" collapsedLevelsAreSubtotals="1" fieldPosition="0">
        <references count="1">
          <reference field="28" count="1" selected="0">
            <x v="9"/>
          </reference>
        </references>
      </pivotArea>
    </format>
    <format dxfId="920">
      <pivotArea dataOnly="0" labelOnly="1" fieldPosition="0">
        <references count="1">
          <reference field="28" count="1">
            <x v="13"/>
          </reference>
        </references>
      </pivotArea>
    </format>
    <format dxfId="919">
      <pivotArea outline="0" collapsedLevelsAreSubtotals="1" fieldPosition="0">
        <references count="1">
          <reference field="28" count="2" selected="0">
            <x v="5"/>
            <x v="6"/>
          </reference>
        </references>
      </pivotArea>
    </format>
    <format dxfId="918">
      <pivotArea outline="0" collapsedLevelsAreSubtotals="1" fieldPosition="0">
        <references count="1">
          <reference field="28" count="2" selected="0">
            <x v="5"/>
            <x v="6"/>
          </reference>
        </references>
      </pivotArea>
    </format>
    <format dxfId="917">
      <pivotArea outline="0" collapsedLevelsAreSubtotals="1" fieldPosition="0">
        <references count="1">
          <reference field="28" count="1" selected="0">
            <x v="9"/>
          </reference>
        </references>
      </pivotArea>
    </format>
    <format dxfId="916">
      <pivotArea outline="0" collapsedLevelsAreSubtotals="1" fieldPosition="0">
        <references count="1">
          <reference field="28" count="1" selected="0">
            <x v="9"/>
          </reference>
        </references>
      </pivotArea>
    </format>
    <format dxfId="915">
      <pivotArea dataOnly="0" labelOnly="1" fieldPosition="0">
        <references count="1">
          <reference field="28" count="1">
            <x v="13"/>
          </reference>
        </references>
      </pivotArea>
    </format>
    <format dxfId="914">
      <pivotArea outline="0" collapsedLevelsAreSubtotals="1" fieldPosition="0">
        <references count="1">
          <reference field="28" count="2" selected="0">
            <x v="5"/>
            <x v="6"/>
          </reference>
        </references>
      </pivotArea>
    </format>
    <format dxfId="913">
      <pivotArea outline="0" collapsedLevelsAreSubtotals="1" fieldPosition="0">
        <references count="1">
          <reference field="28" count="2" selected="0">
            <x v="5"/>
            <x v="6"/>
          </reference>
        </references>
      </pivotArea>
    </format>
    <format dxfId="912">
      <pivotArea outline="0" collapsedLevelsAreSubtotals="1" fieldPosition="0">
        <references count="1">
          <reference field="28" count="1" selected="0">
            <x v="9"/>
          </reference>
        </references>
      </pivotArea>
    </format>
    <format dxfId="911">
      <pivotArea outline="0" collapsedLevelsAreSubtotals="1" fieldPosition="0">
        <references count="1">
          <reference field="28" count="1" selected="0">
            <x v="9"/>
          </reference>
        </references>
      </pivotArea>
    </format>
    <format dxfId="910">
      <pivotArea outline="0" collapsedLevelsAreSubtotals="1" fieldPosition="0">
        <references count="1">
          <reference field="28" count="2" selected="0">
            <x v="5"/>
            <x v="6"/>
          </reference>
        </references>
      </pivotArea>
    </format>
    <format dxfId="909">
      <pivotArea outline="0" collapsedLevelsAreSubtotals="1" fieldPosition="0">
        <references count="1">
          <reference field="28" count="2" selected="0">
            <x v="5"/>
            <x v="6"/>
          </reference>
        </references>
      </pivotArea>
    </format>
    <format dxfId="908">
      <pivotArea outline="0" collapsedLevelsAreSubtotals="1" fieldPosition="0">
        <references count="1">
          <reference field="28" count="1" selected="0">
            <x v="9"/>
          </reference>
        </references>
      </pivotArea>
    </format>
    <format dxfId="907">
      <pivotArea outline="0" collapsedLevelsAreSubtotals="1" fieldPosition="0">
        <references count="1">
          <reference field="28" count="1" selected="0">
            <x v="9"/>
          </reference>
        </references>
      </pivotArea>
    </format>
    <format dxfId="906">
      <pivotArea outline="0" collapsedLevelsAreSubtotals="1" fieldPosition="0">
        <references count="1">
          <reference field="28" count="2" selected="0">
            <x v="5"/>
            <x v="6"/>
          </reference>
        </references>
      </pivotArea>
    </format>
    <format dxfId="905">
      <pivotArea outline="0" collapsedLevelsAreSubtotals="1" fieldPosition="0">
        <references count="1">
          <reference field="28" count="2" selected="0">
            <x v="5"/>
            <x v="6"/>
          </reference>
        </references>
      </pivotArea>
    </format>
    <format dxfId="904">
      <pivotArea outline="0" collapsedLevelsAreSubtotals="1" fieldPosition="0">
        <references count="1">
          <reference field="28" count="1" selected="0">
            <x v="9"/>
          </reference>
        </references>
      </pivotArea>
    </format>
    <format dxfId="903">
      <pivotArea outline="0" collapsedLevelsAreSubtotals="1" fieldPosition="0">
        <references count="1">
          <reference field="28" count="1" selected="0">
            <x v="9"/>
          </reference>
        </references>
      </pivotArea>
    </format>
    <format dxfId="902">
      <pivotArea outline="0" collapsedLevelsAreSubtotals="1" fieldPosition="0">
        <references count="1">
          <reference field="28" count="2" selected="0">
            <x v="5"/>
            <x v="6"/>
          </reference>
        </references>
      </pivotArea>
    </format>
    <format dxfId="901">
      <pivotArea outline="0" collapsedLevelsAreSubtotals="1" fieldPosition="0">
        <references count="1">
          <reference field="28" count="2" selected="0">
            <x v="5"/>
            <x v="6"/>
          </reference>
        </references>
      </pivotArea>
    </format>
    <format dxfId="900">
      <pivotArea outline="0" collapsedLevelsAreSubtotals="1" fieldPosition="0">
        <references count="1">
          <reference field="28" count="2" selected="0">
            <x v="5"/>
            <x v="6"/>
          </reference>
        </references>
      </pivotArea>
    </format>
    <format dxfId="899">
      <pivotArea outline="0" collapsedLevelsAreSubtotals="1" fieldPosition="0">
        <references count="1">
          <reference field="28" count="2" selected="0">
            <x v="5"/>
            <x v="6"/>
          </reference>
        </references>
      </pivotArea>
    </format>
    <format dxfId="898">
      <pivotArea outline="0" collapsedLevelsAreSubtotals="1" fieldPosition="0">
        <references count="1">
          <reference field="28" count="1" selected="0">
            <x v="9"/>
          </reference>
        </references>
      </pivotArea>
    </format>
    <format dxfId="897">
      <pivotArea outline="0" collapsedLevelsAreSubtotals="1" fieldPosition="0">
        <references count="1">
          <reference field="28" count="1" selected="0">
            <x v="9"/>
          </reference>
        </references>
      </pivotArea>
    </format>
    <format dxfId="896">
      <pivotArea outline="0" collapsedLevelsAreSubtotals="1" fieldPosition="0">
        <references count="1">
          <reference field="28" count="2" selected="0">
            <x v="5"/>
            <x v="6"/>
          </reference>
        </references>
      </pivotArea>
    </format>
    <format dxfId="895">
      <pivotArea outline="0" collapsedLevelsAreSubtotals="1" fieldPosition="0">
        <references count="1">
          <reference field="28" count="2" selected="0">
            <x v="5"/>
            <x v="6"/>
          </reference>
        </references>
      </pivotArea>
    </format>
    <format dxfId="894">
      <pivotArea outline="0" collapsedLevelsAreSubtotals="1" fieldPosition="0">
        <references count="1">
          <reference field="28" count="1" selected="0">
            <x v="9"/>
          </reference>
        </references>
      </pivotArea>
    </format>
    <format dxfId="893">
      <pivotArea outline="0" collapsedLevelsAreSubtotals="1" fieldPosition="0">
        <references count="1">
          <reference field="28" count="1" selected="0">
            <x v="9"/>
          </reference>
        </references>
      </pivotArea>
    </format>
    <format dxfId="892">
      <pivotArea outline="0" collapsedLevelsAreSubtotals="1" fieldPosition="0">
        <references count="1">
          <reference field="28" count="2" selected="0">
            <x v="5"/>
            <x v="6"/>
          </reference>
        </references>
      </pivotArea>
    </format>
    <format dxfId="891">
      <pivotArea outline="0" collapsedLevelsAreSubtotals="1" fieldPosition="0">
        <references count="1">
          <reference field="28" count="2" selected="0">
            <x v="5"/>
            <x v="6"/>
          </reference>
        </references>
      </pivotArea>
    </format>
    <format dxfId="890">
      <pivotArea outline="0" collapsedLevelsAreSubtotals="1" fieldPosition="0">
        <references count="1">
          <reference field="28" count="1" selected="0">
            <x v="9"/>
          </reference>
        </references>
      </pivotArea>
    </format>
    <format dxfId="889">
      <pivotArea outline="0" collapsedLevelsAreSubtotals="1" fieldPosition="0">
        <references count="1">
          <reference field="28" count="1" selected="0">
            <x v="9"/>
          </reference>
        </references>
      </pivotArea>
    </format>
    <format dxfId="888">
      <pivotArea outline="0" collapsedLevelsAreSubtotals="1" fieldPosition="0">
        <references count="1">
          <reference field="28" count="2" selected="0">
            <x v="5"/>
            <x v="6"/>
          </reference>
        </references>
      </pivotArea>
    </format>
    <format dxfId="887">
      <pivotArea outline="0" collapsedLevelsAreSubtotals="1" fieldPosition="0">
        <references count="1">
          <reference field="28" count="2" selected="0">
            <x v="5"/>
            <x v="6"/>
          </reference>
        </references>
      </pivotArea>
    </format>
    <format dxfId="886">
      <pivotArea outline="0" collapsedLevelsAreSubtotals="1" fieldPosition="0">
        <references count="1">
          <reference field="28" count="1" selected="0">
            <x v="9"/>
          </reference>
        </references>
      </pivotArea>
    </format>
    <format dxfId="885">
      <pivotArea outline="0" collapsedLevelsAreSubtotals="1" fieldPosition="0">
        <references count="1">
          <reference field="28" count="1" selected="0">
            <x v="9"/>
          </reference>
        </references>
      </pivotArea>
    </format>
    <format dxfId="884">
      <pivotArea outline="0" collapsedLevelsAreSubtotals="1" fieldPosition="0">
        <references count="1">
          <reference field="28" count="2" selected="0">
            <x v="5"/>
            <x v="6"/>
          </reference>
        </references>
      </pivotArea>
    </format>
    <format dxfId="883">
      <pivotArea outline="0" collapsedLevelsAreSubtotals="1" fieldPosition="0">
        <references count="1">
          <reference field="28" count="2" selected="0">
            <x v="5"/>
            <x v="6"/>
          </reference>
        </references>
      </pivotArea>
    </format>
    <format dxfId="882">
      <pivotArea dataOnly="0" outline="0" fieldPosition="0">
        <references count="1">
          <reference field="28" count="1">
            <x v="9"/>
          </reference>
        </references>
      </pivotArea>
    </format>
    <format dxfId="881">
      <pivotArea outline="0" collapsedLevelsAreSubtotals="1" fieldPosition="0">
        <references count="1">
          <reference field="28" count="2" selected="0">
            <x v="5"/>
            <x v="6"/>
          </reference>
        </references>
      </pivotArea>
    </format>
    <format dxfId="880">
      <pivotArea outline="0" collapsedLevelsAreSubtotals="1" fieldPosition="0">
        <references count="1">
          <reference field="28" count="2" selected="0">
            <x v="5"/>
            <x v="6"/>
          </reference>
        </references>
      </pivotArea>
    </format>
    <format dxfId="879">
      <pivotArea dataOnly="0" labelOnly="1" fieldPosition="0">
        <references count="1">
          <reference field="28" count="1">
            <x v="7"/>
          </reference>
        </references>
      </pivotArea>
    </format>
    <format dxfId="878">
      <pivotArea dataOnly="0" outline="0" fieldPosition="0">
        <references count="1">
          <reference field="28" count="1">
            <x v="7"/>
          </reference>
        </references>
      </pivotArea>
    </format>
    <format dxfId="877">
      <pivotArea outline="0" collapsedLevelsAreSubtotals="1" fieldPosition="0">
        <references count="1">
          <reference field="28" count="2" selected="0">
            <x v="5"/>
            <x v="6"/>
          </reference>
        </references>
      </pivotArea>
    </format>
    <format dxfId="876">
      <pivotArea outline="0" collapsedLevelsAreSubtotals="1" fieldPosition="0">
        <references count="1">
          <reference field="28" count="2" selected="0">
            <x v="5"/>
            <x v="6"/>
          </reference>
        </references>
      </pivotArea>
    </format>
    <format dxfId="875">
      <pivotArea outline="0" collapsedLevelsAreSubtotals="1" fieldPosition="0">
        <references count="1">
          <reference field="28" count="2" selected="0">
            <x v="5"/>
            <x v="6"/>
          </reference>
        </references>
      </pivotArea>
    </format>
    <format dxfId="874">
      <pivotArea outline="0" collapsedLevelsAreSubtotals="1" fieldPosition="0">
        <references count="1">
          <reference field="28" count="2" selected="0">
            <x v="5"/>
            <x v="6"/>
          </reference>
        </references>
      </pivotArea>
    </format>
    <format dxfId="873">
      <pivotArea dataOnly="0" labelOnly="1" fieldPosition="0">
        <references count="1">
          <reference field="28" count="1">
            <x v="7"/>
          </reference>
        </references>
      </pivotArea>
    </format>
    <format dxfId="872">
      <pivotArea dataOnly="0" labelOnly="1" fieldPosition="0">
        <references count="1">
          <reference field="28" count="1">
            <x v="7"/>
          </reference>
        </references>
      </pivotArea>
    </format>
    <format dxfId="871">
      <pivotArea outline="0" collapsedLevelsAreSubtotals="1" fieldPosition="0">
        <references count="1">
          <reference field="28" count="2" selected="0">
            <x v="5"/>
            <x v="6"/>
          </reference>
        </references>
      </pivotArea>
    </format>
    <format dxfId="870">
      <pivotArea outline="0" collapsedLevelsAreSubtotals="1" fieldPosition="0">
        <references count="1">
          <reference field="28" count="2" selected="0">
            <x v="5"/>
            <x v="6"/>
          </reference>
        </references>
      </pivotArea>
    </format>
    <format dxfId="869">
      <pivotArea outline="0" collapsedLevelsAreSubtotals="1" fieldPosition="0">
        <references count="1">
          <reference field="28" count="2" selected="0">
            <x v="5"/>
            <x v="6"/>
          </reference>
        </references>
      </pivotArea>
    </format>
    <format dxfId="868">
      <pivotArea outline="0" collapsedLevelsAreSubtotals="1" fieldPosition="0">
        <references count="1">
          <reference field="28" count="2" selected="0">
            <x v="5"/>
            <x v="6"/>
          </reference>
        </references>
      </pivotArea>
    </format>
    <format dxfId="867">
      <pivotArea outline="0" collapsedLevelsAreSubtotals="1" fieldPosition="0">
        <references count="1">
          <reference field="28" count="2" selected="0">
            <x v="5"/>
            <x v="6"/>
          </reference>
        </references>
      </pivotArea>
    </format>
    <format dxfId="866">
      <pivotArea outline="0" collapsedLevelsAreSubtotals="1" fieldPosition="0">
        <references count="1">
          <reference field="28" count="2" selected="0">
            <x v="5"/>
            <x v="6"/>
          </reference>
        </references>
      </pivotArea>
    </format>
    <format dxfId="865">
      <pivotArea outline="0" collapsedLevelsAreSubtotals="1" fieldPosition="0">
        <references count="1">
          <reference field="28" count="2" selected="0">
            <x v="5"/>
            <x v="6"/>
          </reference>
        </references>
      </pivotArea>
    </format>
    <format dxfId="864">
      <pivotArea outline="0" collapsedLevelsAreSubtotals="1" fieldPosition="0">
        <references count="1">
          <reference field="28" count="2" selected="0">
            <x v="5"/>
            <x v="6"/>
          </reference>
        </references>
      </pivotArea>
    </format>
    <format dxfId="863">
      <pivotArea outline="0" collapsedLevelsAreSubtotals="1" fieldPosition="0">
        <references count="1">
          <reference field="28" count="2" selected="0">
            <x v="5"/>
            <x v="6"/>
          </reference>
        </references>
      </pivotArea>
    </format>
    <format dxfId="862">
      <pivotArea outline="0" collapsedLevelsAreSubtotals="1" fieldPosition="0">
        <references count="1">
          <reference field="28" count="2" selected="0">
            <x v="5"/>
            <x v="6"/>
          </reference>
        </references>
      </pivotArea>
    </format>
    <format dxfId="861">
      <pivotArea dataOnly="0" outline="0" fieldPosition="0">
        <references count="1">
          <reference field="28" count="1">
            <x v="7"/>
          </reference>
        </references>
      </pivotArea>
    </format>
    <format dxfId="860">
      <pivotArea outline="0" collapsedLevelsAreSubtotals="1" fieldPosition="0">
        <references count="1">
          <reference field="28" count="2" selected="0">
            <x v="5"/>
            <x v="6"/>
          </reference>
        </references>
      </pivotArea>
    </format>
    <format dxfId="859">
      <pivotArea outline="0" collapsedLevelsAreSubtotals="1" fieldPosition="0">
        <references count="1">
          <reference field="28" count="2" selected="0">
            <x v="5"/>
            <x v="6"/>
          </reference>
        </references>
      </pivotArea>
    </format>
    <format dxfId="858">
      <pivotArea outline="0" collapsedLevelsAreSubtotals="1" fieldPosition="0">
        <references count="1">
          <reference field="28" count="2" selected="0">
            <x v="5"/>
            <x v="6"/>
          </reference>
        </references>
      </pivotArea>
    </format>
    <format dxfId="857">
      <pivotArea outline="0" collapsedLevelsAreSubtotals="1" fieldPosition="0">
        <references count="1">
          <reference field="28" count="2" selected="0">
            <x v="5"/>
            <x v="6"/>
          </reference>
        </references>
      </pivotArea>
    </format>
    <format dxfId="856">
      <pivotArea outline="0" collapsedLevelsAreSubtotals="1" fieldPosition="0">
        <references count="1">
          <reference field="28" count="2" selected="0">
            <x v="5"/>
            <x v="6"/>
          </reference>
        </references>
      </pivotArea>
    </format>
    <format dxfId="855">
      <pivotArea outline="0" collapsedLevelsAreSubtotals="1" fieldPosition="0">
        <references count="1">
          <reference field="28" count="2" selected="0">
            <x v="5"/>
            <x v="6"/>
          </reference>
        </references>
      </pivotArea>
    </format>
    <format dxfId="854">
      <pivotArea outline="0" collapsedLevelsAreSubtotals="1" fieldPosition="0">
        <references count="1">
          <reference field="28" count="2" selected="0">
            <x v="5"/>
            <x v="6"/>
          </reference>
        </references>
      </pivotArea>
    </format>
    <format dxfId="853">
      <pivotArea outline="0" collapsedLevelsAreSubtotals="1" fieldPosition="0">
        <references count="1">
          <reference field="28" count="2" selected="0">
            <x v="5"/>
            <x v="6"/>
          </reference>
        </references>
      </pivotArea>
    </format>
    <format dxfId="852">
      <pivotArea dataOnly="0" labelOnly="1" fieldPosition="0">
        <references count="1">
          <reference field="4" count="0"/>
        </references>
      </pivotArea>
    </format>
    <format dxfId="851">
      <pivotArea dataOnly="0" labelOnly="1" fieldPosition="0">
        <references count="1">
          <reference field="4" count="0"/>
        </references>
      </pivotArea>
    </format>
    <format dxfId="850">
      <pivotArea outline="0" collapsedLevelsAreSubtotals="1" fieldPosition="0">
        <references count="1">
          <reference field="28" count="2" selected="0">
            <x v="5"/>
            <x v="6"/>
          </reference>
        </references>
      </pivotArea>
    </format>
    <format dxfId="849">
      <pivotArea outline="0" collapsedLevelsAreSubtotals="1" fieldPosition="0">
        <references count="1">
          <reference field="28" count="2" selected="0">
            <x v="5"/>
            <x v="6"/>
          </reference>
        </references>
      </pivotArea>
    </format>
    <format dxfId="848">
      <pivotArea type="origin" dataOnly="0" labelOnly="1" outline="0" fieldPosition="0"/>
    </format>
    <format dxfId="847">
      <pivotArea field="4" type="button" dataOnly="0" labelOnly="1" outline="0" axis="axisRow" fieldPosition="0"/>
    </format>
    <format dxfId="846">
      <pivotArea dataOnly="0" labelOnly="1" fieldPosition="0">
        <references count="1">
          <reference field="4" count="0"/>
        </references>
      </pivotArea>
    </format>
    <format dxfId="845">
      <pivotArea dataOnly="0" labelOnly="1" grandRow="1" outline="0" fieldPosition="0"/>
    </format>
    <format dxfId="844">
      <pivotArea dataOnly="0" labelOnly="1" fieldPosition="0">
        <references count="1">
          <reference field="4" count="0"/>
        </references>
      </pivotArea>
    </format>
    <format dxfId="843">
      <pivotArea outline="0" collapsedLevelsAreSubtotals="1" fieldPosition="0">
        <references count="1">
          <reference field="28" count="2" selected="0">
            <x v="5"/>
            <x v="6"/>
          </reference>
        </references>
      </pivotArea>
    </format>
    <format dxfId="842">
      <pivotArea outline="0" collapsedLevelsAreSubtotals="1" fieldPosition="0">
        <references count="1">
          <reference field="28" count="2" selected="0">
            <x v="5"/>
            <x v="6"/>
          </reference>
        </references>
      </pivotArea>
    </format>
    <format dxfId="841">
      <pivotArea dataOnly="0" labelOnly="1" fieldPosition="0">
        <references count="1">
          <reference field="4" count="0"/>
        </references>
      </pivotArea>
    </format>
    <format dxfId="840">
      <pivotArea outline="0" collapsedLevelsAreSubtotals="1" fieldPosition="0">
        <references count="1">
          <reference field="28" count="2" selected="0">
            <x v="5"/>
            <x v="6"/>
          </reference>
        </references>
      </pivotArea>
    </format>
    <format dxfId="839">
      <pivotArea outline="0" collapsedLevelsAreSubtotals="1" fieldPosition="0">
        <references count="1">
          <reference field="28" count="2" selected="0">
            <x v="5"/>
            <x v="6"/>
          </reference>
        </references>
      </pivotArea>
    </format>
    <format dxfId="838">
      <pivotArea dataOnly="0" labelOnly="1" fieldPosition="0">
        <references count="1">
          <reference field="4" count="0"/>
        </references>
      </pivotArea>
    </format>
    <format dxfId="837">
      <pivotArea outline="0" collapsedLevelsAreSubtotals="1" fieldPosition="0">
        <references count="1">
          <reference field="28" count="2" selected="0">
            <x v="5"/>
            <x v="6"/>
          </reference>
        </references>
      </pivotArea>
    </format>
    <format dxfId="836">
      <pivotArea outline="0" collapsedLevelsAreSubtotals="1" fieldPosition="0">
        <references count="1">
          <reference field="28" count="2" selected="0">
            <x v="5"/>
            <x v="6"/>
          </reference>
        </references>
      </pivotArea>
    </format>
    <format dxfId="835">
      <pivotArea dataOnly="0" labelOnly="1" fieldPosition="0">
        <references count="1">
          <reference field="4" count="0"/>
        </references>
      </pivotArea>
    </format>
    <format dxfId="834">
      <pivotArea outline="0" collapsedLevelsAreSubtotals="1" fieldPosition="0">
        <references count="1">
          <reference field="28" count="2" selected="0">
            <x v="5"/>
            <x v="6"/>
          </reference>
        </references>
      </pivotArea>
    </format>
    <format dxfId="833">
      <pivotArea outline="0" collapsedLevelsAreSubtotals="1" fieldPosition="0">
        <references count="1">
          <reference field="28" count="2" selected="0">
            <x v="5"/>
            <x v="6"/>
          </reference>
        </references>
      </pivotArea>
    </format>
    <format dxfId="832">
      <pivotArea dataOnly="0" labelOnly="1" fieldPosition="0">
        <references count="1">
          <reference field="4" count="0"/>
        </references>
      </pivotArea>
    </format>
    <format dxfId="831">
      <pivotArea outline="0" collapsedLevelsAreSubtotals="1" fieldPosition="0">
        <references count="1">
          <reference field="28" count="2" selected="0">
            <x v="5"/>
            <x v="6"/>
          </reference>
        </references>
      </pivotArea>
    </format>
    <format dxfId="830">
      <pivotArea outline="0" collapsedLevelsAreSubtotals="1" fieldPosition="0">
        <references count="1">
          <reference field="28" count="2" selected="0">
            <x v="5"/>
            <x v="6"/>
          </reference>
        </references>
      </pivotArea>
    </format>
    <format dxfId="829">
      <pivotArea type="origin" dataOnly="0" labelOnly="1" outline="0" fieldPosition="0"/>
    </format>
    <format dxfId="828">
      <pivotArea field="4" type="button" dataOnly="0" labelOnly="1" outline="0" axis="axisRow" fieldPosition="0"/>
    </format>
    <format dxfId="827">
      <pivotArea dataOnly="0" labelOnly="1" fieldPosition="0">
        <references count="1">
          <reference field="4" count="0"/>
        </references>
      </pivotArea>
    </format>
    <format dxfId="826">
      <pivotArea dataOnly="0" labelOnly="1" grandRow="1" outline="0" fieldPosition="0"/>
    </format>
    <format dxfId="825">
      <pivotArea type="origin" dataOnly="0" labelOnly="1" outline="0" fieldPosition="0"/>
    </format>
    <format dxfId="824">
      <pivotArea field="4" type="button" dataOnly="0" labelOnly="1" outline="0" axis="axisRow" fieldPosition="0"/>
    </format>
    <format dxfId="823">
      <pivotArea dataOnly="0" labelOnly="1" fieldPosition="0">
        <references count="1">
          <reference field="4" count="0"/>
        </references>
      </pivotArea>
    </format>
    <format dxfId="822">
      <pivotArea dataOnly="0" labelOnly="1" grandRow="1" outline="0" fieldPosition="0"/>
    </format>
    <format dxfId="821">
      <pivotArea outline="0" collapsedLevelsAreSubtotals="1" fieldPosition="0">
        <references count="1">
          <reference field="28" count="2" selected="0">
            <x v="5"/>
            <x v="6"/>
          </reference>
        </references>
      </pivotArea>
    </format>
    <format dxfId="820">
      <pivotArea outline="0" collapsedLevelsAreSubtotals="1" fieldPosition="0">
        <references count="1">
          <reference field="28" count="2" selected="0">
            <x v="5"/>
            <x v="6"/>
          </reference>
        </references>
      </pivotArea>
    </format>
    <format dxfId="819">
      <pivotArea outline="0" collapsedLevelsAreSubtotals="1" fieldPosition="0">
        <references count="1">
          <reference field="28" count="2" selected="0">
            <x v="5"/>
            <x v="6"/>
          </reference>
        </references>
      </pivotArea>
    </format>
    <format dxfId="818">
      <pivotArea outline="0" collapsedLevelsAreSubtotals="1" fieldPosition="0">
        <references count="1">
          <reference field="28" count="2" selected="0">
            <x v="5"/>
            <x v="6"/>
          </reference>
        </references>
      </pivotArea>
    </format>
    <format dxfId="817">
      <pivotArea outline="0" collapsedLevelsAreSubtotals="1" fieldPosition="0">
        <references count="1">
          <reference field="28" count="2" selected="0">
            <x v="5"/>
            <x v="6"/>
          </reference>
        </references>
      </pivotArea>
    </format>
    <format dxfId="816">
      <pivotArea outline="0" collapsedLevelsAreSubtotals="1" fieldPosition="0">
        <references count="1">
          <reference field="28" count="2" selected="0">
            <x v="5"/>
            <x v="6"/>
          </reference>
        </references>
      </pivotArea>
    </format>
    <format dxfId="815">
      <pivotArea outline="0" collapsedLevelsAreSubtotals="1" fieldPosition="0">
        <references count="1">
          <reference field="28" count="2" selected="0">
            <x v="5"/>
            <x v="6"/>
          </reference>
        </references>
      </pivotArea>
    </format>
    <format dxfId="814">
      <pivotArea outline="0" collapsedLevelsAreSubtotals="1" fieldPosition="0">
        <references count="1">
          <reference field="28" count="2" selected="0">
            <x v="5"/>
            <x v="6"/>
          </reference>
        </references>
      </pivotArea>
    </format>
    <format dxfId="813">
      <pivotArea outline="0" collapsedLevelsAreSubtotals="1" fieldPosition="0">
        <references count="1">
          <reference field="28" count="2" selected="0">
            <x v="5"/>
            <x v="6"/>
          </reference>
        </references>
      </pivotArea>
    </format>
    <format dxfId="812">
      <pivotArea outline="0" collapsedLevelsAreSubtotals="1" fieldPosition="0">
        <references count="1">
          <reference field="28" count="2" selected="0">
            <x v="5"/>
            <x v="6"/>
          </reference>
        </references>
      </pivotArea>
    </format>
    <format dxfId="811">
      <pivotArea outline="0" collapsedLevelsAreSubtotals="1" fieldPosition="0">
        <references count="1">
          <reference field="28" count="2" selected="0">
            <x v="5"/>
            <x v="6"/>
          </reference>
        </references>
      </pivotArea>
    </format>
    <format dxfId="810">
      <pivotArea outline="0" collapsedLevelsAreSubtotals="1" fieldPosition="0">
        <references count="1">
          <reference field="28" count="2" selected="0">
            <x v="5"/>
            <x v="6"/>
          </reference>
        </references>
      </pivotArea>
    </format>
    <format dxfId="809">
      <pivotArea outline="0" collapsedLevelsAreSubtotals="1" fieldPosition="0">
        <references count="1">
          <reference field="28" count="2" selected="0">
            <x v="5"/>
            <x v="6"/>
          </reference>
        </references>
      </pivotArea>
    </format>
    <format dxfId="808">
      <pivotArea outline="0" collapsedLevelsAreSubtotals="1" fieldPosition="0">
        <references count="1">
          <reference field="28" count="2" selected="0">
            <x v="5"/>
            <x v="6"/>
          </reference>
        </references>
      </pivotArea>
    </format>
    <format dxfId="807">
      <pivotArea field="4" type="button" dataOnly="0" labelOnly="1" outline="0" axis="axisRow" fieldPosition="0"/>
    </format>
    <format dxfId="806">
      <pivotArea dataOnly="0" labelOnly="1" fieldPosition="0">
        <references count="1">
          <reference field="28" count="8">
            <x v="0"/>
            <x v="1"/>
            <x v="2"/>
            <x v="5"/>
            <x v="6"/>
            <x v="7"/>
            <x v="12"/>
            <x v="13"/>
          </reference>
        </references>
      </pivotArea>
    </format>
    <format dxfId="805">
      <pivotArea field="4" type="button" dataOnly="0" labelOnly="1" outline="0" axis="axisRow" fieldPosition="0"/>
    </format>
    <format dxfId="804">
      <pivotArea dataOnly="0" labelOnly="1" fieldPosition="0">
        <references count="1">
          <reference field="28" count="8">
            <x v="0"/>
            <x v="1"/>
            <x v="2"/>
            <x v="5"/>
            <x v="6"/>
            <x v="7"/>
            <x v="12"/>
            <x v="13"/>
          </reference>
        </references>
      </pivotArea>
    </format>
    <format dxfId="803">
      <pivotArea field="4" type="button" dataOnly="0" labelOnly="1" outline="0" axis="axisRow" fieldPosition="0"/>
    </format>
    <format dxfId="802">
      <pivotArea dataOnly="0" labelOnly="1" fieldPosition="0">
        <references count="1">
          <reference field="28" count="8">
            <x v="0"/>
            <x v="1"/>
            <x v="2"/>
            <x v="5"/>
            <x v="6"/>
            <x v="7"/>
            <x v="12"/>
            <x v="13"/>
          </reference>
        </references>
      </pivotArea>
    </format>
    <format dxfId="801">
      <pivotArea field="4" type="button" dataOnly="0" labelOnly="1" outline="0" axis="axisRow" fieldPosition="0"/>
    </format>
    <format dxfId="800">
      <pivotArea dataOnly="0" labelOnly="1" fieldPosition="0">
        <references count="1">
          <reference field="28" count="8">
            <x v="0"/>
            <x v="1"/>
            <x v="2"/>
            <x v="5"/>
            <x v="6"/>
            <x v="7"/>
            <x v="12"/>
            <x v="13"/>
          </reference>
        </references>
      </pivotArea>
    </format>
    <format dxfId="799">
      <pivotArea field="4" type="button" dataOnly="0" labelOnly="1" outline="0" axis="axisRow" fieldPosition="0"/>
    </format>
    <format dxfId="798">
      <pivotArea dataOnly="0" labelOnly="1" fieldPosition="0">
        <references count="1">
          <reference field="28" count="8">
            <x v="0"/>
            <x v="1"/>
            <x v="2"/>
            <x v="5"/>
            <x v="6"/>
            <x v="7"/>
            <x v="12"/>
            <x v="13"/>
          </reference>
        </references>
      </pivotArea>
    </format>
    <format dxfId="797">
      <pivotArea outline="0" collapsedLevelsAreSubtotals="1" fieldPosition="0">
        <references count="1">
          <reference field="28" count="2" selected="0">
            <x v="5"/>
            <x v="6"/>
          </reference>
        </references>
      </pivotArea>
    </format>
    <format dxfId="796">
      <pivotArea outline="0" collapsedLevelsAreSubtotals="1" fieldPosition="0">
        <references count="1">
          <reference field="28" count="2" selected="0">
            <x v="5"/>
            <x v="6"/>
          </reference>
        </references>
      </pivotArea>
    </format>
    <format dxfId="795">
      <pivotArea outline="0" collapsedLevelsAreSubtotals="1" fieldPosition="0">
        <references count="1">
          <reference field="28" count="2" selected="0">
            <x v="5"/>
            <x v="6"/>
          </reference>
        </references>
      </pivotArea>
    </format>
    <format dxfId="794">
      <pivotArea outline="0" collapsedLevelsAreSubtotals="1" fieldPosition="0">
        <references count="1">
          <reference field="28" count="2" selected="0">
            <x v="5"/>
            <x v="6"/>
          </reference>
        </references>
      </pivotArea>
    </format>
    <format dxfId="793">
      <pivotArea dataOnly="0" labelOnly="1" fieldPosition="0">
        <references count="1">
          <reference field="28" count="1">
            <x v="12"/>
          </reference>
        </references>
      </pivotArea>
    </format>
    <format dxfId="792">
      <pivotArea outline="0" collapsedLevelsAreSubtotals="1" fieldPosition="0">
        <references count="1">
          <reference field="28" count="2" selected="0">
            <x v="5"/>
            <x v="6"/>
          </reference>
        </references>
      </pivotArea>
    </format>
    <format dxfId="791">
      <pivotArea outline="0" collapsedLevelsAreSubtotals="1" fieldPosition="0">
        <references count="1">
          <reference field="28" count="2" selected="0">
            <x v="5"/>
            <x v="6"/>
          </reference>
        </references>
      </pivotArea>
    </format>
    <format dxfId="790">
      <pivotArea outline="0" collapsedLevelsAreSubtotals="1" fieldPosition="0">
        <references count="1">
          <reference field="28" count="2" selected="0">
            <x v="5"/>
            <x v="6"/>
          </reference>
        </references>
      </pivotArea>
    </format>
    <format dxfId="789">
      <pivotArea outline="0" collapsedLevelsAreSubtotals="1" fieldPosition="0">
        <references count="1">
          <reference field="28" count="2" selected="0">
            <x v="5"/>
            <x v="6"/>
          </reference>
        </references>
      </pivotArea>
    </format>
    <format dxfId="788">
      <pivotArea outline="0" collapsedLevelsAreSubtotals="1" fieldPosition="0">
        <references count="1">
          <reference field="28" count="2" selected="0">
            <x v="5"/>
            <x v="6"/>
          </reference>
        </references>
      </pivotArea>
    </format>
    <format dxfId="787">
      <pivotArea outline="0" collapsedLevelsAreSubtotals="1" fieldPosition="0">
        <references count="1">
          <reference field="28" count="2" selected="0">
            <x v="5"/>
            <x v="6"/>
          </reference>
        </references>
      </pivotArea>
    </format>
    <format dxfId="786">
      <pivotArea outline="0" collapsedLevelsAreSubtotals="1" fieldPosition="0">
        <references count="1">
          <reference field="28" count="2" selected="0">
            <x v="5"/>
            <x v="6"/>
          </reference>
        </references>
      </pivotArea>
    </format>
    <format dxfId="785">
      <pivotArea outline="0" collapsedLevelsAreSubtotals="1" fieldPosition="0">
        <references count="1">
          <reference field="28" count="2" selected="0">
            <x v="5"/>
            <x v="6"/>
          </reference>
        </references>
      </pivotArea>
    </format>
    <format dxfId="784">
      <pivotArea outline="0" collapsedLevelsAreSubtotals="1" fieldPosition="0">
        <references count="1">
          <reference field="28" count="2" selected="0">
            <x v="5"/>
            <x v="6"/>
          </reference>
        </references>
      </pivotArea>
    </format>
    <format dxfId="783">
      <pivotArea outline="0" collapsedLevelsAreSubtotals="1" fieldPosition="0">
        <references count="1">
          <reference field="28" count="2" selected="0">
            <x v="5"/>
            <x v="6"/>
          </reference>
        </references>
      </pivotArea>
    </format>
    <format dxfId="782">
      <pivotArea outline="0" collapsedLevelsAreSubtotals="1" fieldPosition="0">
        <references count="1">
          <reference field="28" count="2" selected="0">
            <x v="5"/>
            <x v="6"/>
          </reference>
        </references>
      </pivotArea>
    </format>
    <format dxfId="781">
      <pivotArea outline="0" collapsedLevelsAreSubtotals="1" fieldPosition="0">
        <references count="1">
          <reference field="28" count="2" selected="0">
            <x v="5"/>
            <x v="6"/>
          </reference>
        </references>
      </pivotArea>
    </format>
    <format dxfId="780">
      <pivotArea outline="0" collapsedLevelsAreSubtotals="1" fieldPosition="0">
        <references count="1">
          <reference field="28" count="2" selected="0">
            <x v="5"/>
            <x v="6"/>
          </reference>
        </references>
      </pivotArea>
    </format>
    <format dxfId="779">
      <pivotArea outline="0" collapsedLevelsAreSubtotals="1" fieldPosition="0">
        <references count="1">
          <reference field="28" count="2" selected="0">
            <x v="5"/>
            <x v="6"/>
          </reference>
        </references>
      </pivotArea>
    </format>
    <format dxfId="778">
      <pivotArea outline="0" collapsedLevelsAreSubtotals="1" fieldPosition="0">
        <references count="1">
          <reference field="28" count="2" selected="0">
            <x v="5"/>
            <x v="6"/>
          </reference>
        </references>
      </pivotArea>
    </format>
    <format dxfId="777">
      <pivotArea outline="0" collapsedLevelsAreSubtotals="1" fieldPosition="0">
        <references count="1">
          <reference field="28" count="2" selected="0">
            <x v="5"/>
            <x v="6"/>
          </reference>
        </references>
      </pivotArea>
    </format>
    <format dxfId="776">
      <pivotArea outline="0" collapsedLevelsAreSubtotals="1" fieldPosition="0">
        <references count="1">
          <reference field="28" count="2" selected="0">
            <x v="5"/>
            <x v="6"/>
          </reference>
        </references>
      </pivotArea>
    </format>
    <format dxfId="775">
      <pivotArea outline="0" collapsedLevelsAreSubtotals="1" fieldPosition="0">
        <references count="1">
          <reference field="28" count="2" selected="0">
            <x v="5"/>
            <x v="6"/>
          </reference>
        </references>
      </pivotArea>
    </format>
    <format dxfId="774">
      <pivotArea outline="0" collapsedLevelsAreSubtotals="1" fieldPosition="0">
        <references count="1">
          <reference field="28" count="2" selected="0">
            <x v="5"/>
            <x v="6"/>
          </reference>
        </references>
      </pivotArea>
    </format>
    <format dxfId="773">
      <pivotArea outline="0" collapsedLevelsAreSubtotals="1" fieldPosition="0">
        <references count="1">
          <reference field="28" count="2" selected="0">
            <x v="5"/>
            <x v="6"/>
          </reference>
        </references>
      </pivotArea>
    </format>
    <format dxfId="772">
      <pivotArea outline="0" collapsedLevelsAreSubtotals="1" fieldPosition="0">
        <references count="1">
          <reference field="28" count="2" selected="0">
            <x v="5"/>
            <x v="6"/>
          </reference>
        </references>
      </pivotArea>
    </format>
    <format dxfId="771">
      <pivotArea outline="0" collapsedLevelsAreSubtotals="1" fieldPosition="0">
        <references count="1">
          <reference field="28" count="2" selected="0">
            <x v="5"/>
            <x v="6"/>
          </reference>
        </references>
      </pivotArea>
    </format>
    <format dxfId="770">
      <pivotArea outline="0" collapsedLevelsAreSubtotals="1" fieldPosition="0">
        <references count="1">
          <reference field="28" count="2" selected="0">
            <x v="5"/>
            <x v="6"/>
          </reference>
        </references>
      </pivotArea>
    </format>
    <format dxfId="769">
      <pivotArea outline="0" collapsedLevelsAreSubtotals="1" fieldPosition="0">
        <references count="1">
          <reference field="28" count="2" selected="0">
            <x v="5"/>
            <x v="6"/>
          </reference>
        </references>
      </pivotArea>
    </format>
    <format dxfId="768">
      <pivotArea outline="0" collapsedLevelsAreSubtotals="1" fieldPosition="0">
        <references count="1">
          <reference field="28" count="2" selected="0">
            <x v="5"/>
            <x v="6"/>
          </reference>
        </references>
      </pivotArea>
    </format>
    <format dxfId="767">
      <pivotArea outline="0" collapsedLevelsAreSubtotals="1" fieldPosition="0">
        <references count="1">
          <reference field="28" count="2" selected="0">
            <x v="5"/>
            <x v="6"/>
          </reference>
        </references>
      </pivotArea>
    </format>
    <format dxfId="766">
      <pivotArea outline="0" collapsedLevelsAreSubtotals="1" fieldPosition="0">
        <references count="1">
          <reference field="28" count="2" selected="0">
            <x v="5"/>
            <x v="6"/>
          </reference>
        </references>
      </pivotArea>
    </format>
    <format dxfId="765">
      <pivotArea outline="0" collapsedLevelsAreSubtotals="1" fieldPosition="0">
        <references count="1">
          <reference field="28" count="2" selected="0">
            <x v="5"/>
            <x v="6"/>
          </reference>
        </references>
      </pivotArea>
    </format>
    <format dxfId="764">
      <pivotArea outline="0" collapsedLevelsAreSubtotals="1" fieldPosition="0">
        <references count="1">
          <reference field="28" count="2" selected="0">
            <x v="5"/>
            <x v="6"/>
          </reference>
        </references>
      </pivotArea>
    </format>
    <format dxfId="763">
      <pivotArea outline="0" collapsedLevelsAreSubtotals="1" fieldPosition="0">
        <references count="1">
          <reference field="28" count="2" selected="0">
            <x v="5"/>
            <x v="6"/>
          </reference>
        </references>
      </pivotArea>
    </format>
    <format dxfId="762">
      <pivotArea outline="0" collapsedLevelsAreSubtotals="1" fieldPosition="0">
        <references count="1">
          <reference field="28" count="2" selected="0">
            <x v="5"/>
            <x v="6"/>
          </reference>
        </references>
      </pivotArea>
    </format>
    <format dxfId="761">
      <pivotArea outline="0" collapsedLevelsAreSubtotals="1" fieldPosition="0">
        <references count="1">
          <reference field="28" count="2" selected="0">
            <x v="5"/>
            <x v="6"/>
          </reference>
        </references>
      </pivotArea>
    </format>
    <format dxfId="760">
      <pivotArea outline="0" collapsedLevelsAreSubtotals="1" fieldPosition="0">
        <references count="1">
          <reference field="28" count="2" selected="0">
            <x v="5"/>
            <x v="6"/>
          </reference>
        </references>
      </pivotArea>
    </format>
    <format dxfId="759">
      <pivotArea outline="0" collapsedLevelsAreSubtotals="1" fieldPosition="0">
        <references count="1">
          <reference field="28" count="2" selected="0">
            <x v="5"/>
            <x v="6"/>
          </reference>
        </references>
      </pivotArea>
    </format>
    <format dxfId="758">
      <pivotArea outline="0" collapsedLevelsAreSubtotals="1" fieldPosition="0">
        <references count="1">
          <reference field="28" count="2" selected="0">
            <x v="5"/>
            <x v="6"/>
          </reference>
        </references>
      </pivotArea>
    </format>
    <format dxfId="757">
      <pivotArea outline="0" collapsedLevelsAreSubtotals="1" fieldPosition="0">
        <references count="1">
          <reference field="28" count="2" selected="0">
            <x v="5"/>
            <x v="6"/>
          </reference>
        </references>
      </pivotArea>
    </format>
    <format dxfId="756">
      <pivotArea outline="0" collapsedLevelsAreSubtotals="1" fieldPosition="0">
        <references count="1">
          <reference field="28" count="2" selected="0">
            <x v="5"/>
            <x v="6"/>
          </reference>
        </references>
      </pivotArea>
    </format>
    <format dxfId="755">
      <pivotArea outline="0" collapsedLevelsAreSubtotals="1" fieldPosition="0">
        <references count="1">
          <reference field="28" count="2" selected="0">
            <x v="5"/>
            <x v="6"/>
          </reference>
        </references>
      </pivotArea>
    </format>
    <format dxfId="754">
      <pivotArea outline="0" collapsedLevelsAreSubtotals="1" fieldPosition="0">
        <references count="1">
          <reference field="28" count="2" selected="0">
            <x v="5"/>
            <x v="6"/>
          </reference>
        </references>
      </pivotArea>
    </format>
    <format dxfId="753">
      <pivotArea outline="0" collapsedLevelsAreSubtotals="1" fieldPosition="0">
        <references count="1">
          <reference field="28" count="2" selected="0">
            <x v="5"/>
            <x v="6"/>
          </reference>
        </references>
      </pivotArea>
    </format>
    <format dxfId="752">
      <pivotArea outline="0" collapsedLevelsAreSubtotals="1" fieldPosition="0">
        <references count="1">
          <reference field="28" count="2" selected="0">
            <x v="5"/>
            <x v="6"/>
          </reference>
        </references>
      </pivotArea>
    </format>
    <format dxfId="751">
      <pivotArea outline="0" collapsedLevelsAreSubtotals="1" fieldPosition="0">
        <references count="1">
          <reference field="28" count="2" selected="0">
            <x v="5"/>
            <x v="6"/>
          </reference>
        </references>
      </pivotArea>
    </format>
    <format dxfId="750">
      <pivotArea outline="0" collapsedLevelsAreSubtotals="1" fieldPosition="0">
        <references count="1">
          <reference field="28" count="2" selected="0">
            <x v="5"/>
            <x v="6"/>
          </reference>
        </references>
      </pivotArea>
    </format>
    <format dxfId="749">
      <pivotArea outline="0" collapsedLevelsAreSubtotals="1" fieldPosition="0">
        <references count="1">
          <reference field="28" count="2" selected="0">
            <x v="5"/>
            <x v="6"/>
          </reference>
        </references>
      </pivotArea>
    </format>
    <format dxfId="748">
      <pivotArea outline="0" collapsedLevelsAreSubtotals="1" fieldPosition="0">
        <references count="1">
          <reference field="28" count="2" selected="0">
            <x v="5"/>
            <x v="6"/>
          </reference>
        </references>
      </pivotArea>
    </format>
    <format dxfId="747">
      <pivotArea outline="0" collapsedLevelsAreSubtotals="1" fieldPosition="0">
        <references count="1">
          <reference field="28" count="2" selected="0">
            <x v="5"/>
            <x v="6"/>
          </reference>
        </references>
      </pivotArea>
    </format>
    <format dxfId="746">
      <pivotArea grandCol="1" outline="0" collapsedLevelsAreSubtotals="1" fieldPosition="0"/>
    </format>
    <format dxfId="745">
      <pivotArea type="all" dataOnly="0" outline="0" fieldPosition="0"/>
    </format>
    <format dxfId="744">
      <pivotArea field="4" type="button" dataOnly="0" labelOnly="1" outline="0" axis="axisRow" fieldPosition="0"/>
    </format>
    <format dxfId="743">
      <pivotArea dataOnly="0" labelOnly="1" fieldPosition="0">
        <references count="1">
          <reference field="4" count="0"/>
        </references>
      </pivotArea>
    </format>
    <format dxfId="742">
      <pivotArea dataOnly="0" labelOnly="1" fieldPosition="0">
        <references count="1">
          <reference field="28" count="8">
            <x v="0"/>
            <x v="1"/>
            <x v="2"/>
            <x v="5"/>
            <x v="6"/>
            <x v="7"/>
            <x v="12"/>
            <x v="13"/>
          </reference>
        </references>
      </pivotArea>
    </format>
    <format dxfId="741">
      <pivotArea dataOnly="0" labelOnly="1" grandCol="1" outline="0" fieldPosition="0"/>
    </format>
    <format dxfId="740">
      <pivotArea outline="0" collapsedLevelsAreSubtotals="1" fieldPosition="0">
        <references count="1">
          <reference field="28" count="2" selected="0">
            <x v="5"/>
            <x v="6"/>
          </reference>
        </references>
      </pivotArea>
    </format>
    <format dxfId="739">
      <pivotArea field="4" type="button" dataOnly="0" labelOnly="1" outline="0" axis="axisRow" fieldPosition="0"/>
    </format>
    <format dxfId="738">
      <pivotArea dataOnly="0" labelOnly="1" fieldPosition="0">
        <references count="1">
          <reference field="28" count="8">
            <x v="0"/>
            <x v="1"/>
            <x v="2"/>
            <x v="5"/>
            <x v="6"/>
            <x v="7"/>
            <x v="12"/>
            <x v="13"/>
          </reference>
        </references>
      </pivotArea>
    </format>
    <format dxfId="737">
      <pivotArea dataOnly="0" labelOnly="1" grandCol="1" outline="0" fieldPosition="0"/>
    </format>
    <format dxfId="736">
      <pivotArea dataOnly="0" labelOnly="1" fieldPosition="0">
        <references count="1">
          <reference field="28" count="5">
            <x v="5"/>
            <x v="6"/>
            <x v="7"/>
            <x v="12"/>
            <x v="13"/>
          </reference>
        </references>
      </pivotArea>
    </format>
    <format dxfId="735">
      <pivotArea dataOnly="0" labelOnly="1" fieldPosition="0">
        <references count="1">
          <reference field="28" count="8">
            <x v="0"/>
            <x v="1"/>
            <x v="2"/>
            <x v="5"/>
            <x v="6"/>
            <x v="7"/>
            <x v="12"/>
            <x v="13"/>
          </reference>
        </references>
      </pivotArea>
    </format>
    <format dxfId="734">
      <pivotArea dataOnly="0" labelOnly="1" fieldPosition="0">
        <references count="1">
          <reference field="4" count="0"/>
        </references>
      </pivotArea>
    </format>
    <format dxfId="733">
      <pivotArea dataOnly="0" labelOnly="1" fieldPosition="0">
        <references count="1">
          <reference field="28" count="8">
            <x v="0"/>
            <x v="1"/>
            <x v="2"/>
            <x v="5"/>
            <x v="6"/>
            <x v="7"/>
            <x v="12"/>
            <x v="13"/>
          </reference>
        </references>
      </pivotArea>
    </format>
    <format dxfId="732">
      <pivotArea dataOnly="0" labelOnly="1" fieldPosition="0">
        <references count="1">
          <reference field="4" count="1">
            <x v="5"/>
          </reference>
        </references>
      </pivotArea>
    </format>
    <format dxfId="731">
      <pivotArea type="all" dataOnly="0" outline="0" fieldPosition="0"/>
    </format>
    <format dxfId="730">
      <pivotArea outline="0" collapsedLevelsAreSubtotals="1" fieldPosition="0"/>
    </format>
    <format dxfId="729">
      <pivotArea type="origin" dataOnly="0" labelOnly="1" outline="0" fieldPosition="0"/>
    </format>
    <format dxfId="728">
      <pivotArea field="28" type="button" dataOnly="0" labelOnly="1" outline="0" axis="axisCol" fieldPosition="0"/>
    </format>
    <format dxfId="727">
      <pivotArea type="topRight" dataOnly="0" labelOnly="1" outline="0" fieldPosition="0"/>
    </format>
    <format dxfId="726">
      <pivotArea field="4" type="button" dataOnly="0" labelOnly="1" outline="0" axis="axisRow" fieldPosition="0"/>
    </format>
    <format dxfId="725">
      <pivotArea dataOnly="0" labelOnly="1" fieldPosition="0">
        <references count="1">
          <reference field="4" count="0"/>
        </references>
      </pivotArea>
    </format>
    <format dxfId="724">
      <pivotArea dataOnly="0" labelOnly="1" grandRow="1" outline="0" fieldPosition="0"/>
    </format>
    <format dxfId="723">
      <pivotArea dataOnly="0" labelOnly="1" fieldPosition="0">
        <references count="1">
          <reference field="28" count="8">
            <x v="0"/>
            <x v="1"/>
            <x v="2"/>
            <x v="5"/>
            <x v="6"/>
            <x v="7"/>
            <x v="12"/>
            <x v="13"/>
          </reference>
        </references>
      </pivotArea>
    </format>
    <format dxfId="722">
      <pivotArea dataOnly="0" labelOnly="1" grandCol="1" outline="0" fieldPosition="0"/>
    </format>
    <format dxfId="721">
      <pivotArea type="all" dataOnly="0" outline="0" fieldPosition="0"/>
    </format>
    <format dxfId="720">
      <pivotArea outline="0" collapsedLevelsAreSubtotals="1" fieldPosition="0"/>
    </format>
    <format dxfId="719">
      <pivotArea type="origin" dataOnly="0" labelOnly="1" outline="0" fieldPosition="0"/>
    </format>
    <format dxfId="718">
      <pivotArea field="28" type="button" dataOnly="0" labelOnly="1" outline="0" axis="axisCol" fieldPosition="0"/>
    </format>
    <format dxfId="717">
      <pivotArea type="topRight" dataOnly="0" labelOnly="1" outline="0" fieldPosition="0"/>
    </format>
    <format dxfId="716">
      <pivotArea field="4" type="button" dataOnly="0" labelOnly="1" outline="0" axis="axisRow" fieldPosition="0"/>
    </format>
    <format dxfId="715">
      <pivotArea dataOnly="0" labelOnly="1" fieldPosition="0">
        <references count="1">
          <reference field="4" count="0"/>
        </references>
      </pivotArea>
    </format>
    <format dxfId="714">
      <pivotArea dataOnly="0" labelOnly="1" grandRow="1" outline="0" fieldPosition="0"/>
    </format>
    <format dxfId="713">
      <pivotArea dataOnly="0" labelOnly="1" fieldPosition="0">
        <references count="1">
          <reference field="28" count="8">
            <x v="0"/>
            <x v="1"/>
            <x v="2"/>
            <x v="5"/>
            <x v="6"/>
            <x v="7"/>
            <x v="12"/>
            <x v="13"/>
          </reference>
        </references>
      </pivotArea>
    </format>
    <format dxfId="712">
      <pivotArea dataOnly="0" labelOnly="1" grandCol="1" outline="0" fieldPosition="0"/>
    </format>
    <format dxfId="711">
      <pivotArea dataOnly="0" labelOnly="1" fieldPosition="0">
        <references count="1">
          <reference field="4" count="0"/>
        </references>
      </pivotArea>
    </format>
    <format dxfId="710">
      <pivotArea field="4" type="button" dataOnly="0" labelOnly="1" outline="0" axis="axisRow" fieldPosition="0"/>
    </format>
    <format dxfId="709">
      <pivotArea dataOnly="0" labelOnly="1" fieldPosition="0">
        <references count="1">
          <reference field="28" count="8">
            <x v="0"/>
            <x v="5"/>
            <x v="6"/>
            <x v="7"/>
            <x v="9"/>
            <x v="11"/>
            <x v="12"/>
            <x v="13"/>
          </reference>
        </references>
      </pivotArea>
    </format>
    <format dxfId="708">
      <pivotArea dataOnly="0" labelOnly="1" grandCol="1" outline="0" fieldPosition="0"/>
    </format>
    <format dxfId="707">
      <pivotArea field="4" type="button" dataOnly="0" labelOnly="1" outline="0" axis="axisRow" fieldPosition="0"/>
    </format>
    <format dxfId="706">
      <pivotArea dataOnly="0" labelOnly="1" fieldPosition="0">
        <references count="1">
          <reference field="28" count="8">
            <x v="0"/>
            <x v="5"/>
            <x v="6"/>
            <x v="7"/>
            <x v="9"/>
            <x v="11"/>
            <x v="12"/>
            <x v="13"/>
          </reference>
        </references>
      </pivotArea>
    </format>
    <format dxfId="705">
      <pivotArea dataOnly="0" labelOnly="1" grandCol="1" outline="0" fieldPosition="0"/>
    </format>
    <format dxfId="704">
      <pivotArea type="all" dataOnly="0" outline="0" fieldPosition="0"/>
    </format>
    <format dxfId="703">
      <pivotArea outline="0" collapsedLevelsAreSubtotals="1" fieldPosition="0"/>
    </format>
    <format dxfId="702">
      <pivotArea type="origin" dataOnly="0" labelOnly="1" outline="0" fieldPosition="0"/>
    </format>
    <format dxfId="701">
      <pivotArea field="28" type="button" dataOnly="0" labelOnly="1" outline="0" axis="axisCol" fieldPosition="0"/>
    </format>
    <format dxfId="700">
      <pivotArea type="topRight" dataOnly="0" labelOnly="1" outline="0" fieldPosition="0"/>
    </format>
    <format dxfId="699">
      <pivotArea field="4" type="button" dataOnly="0" labelOnly="1" outline="0" axis="axisRow" fieldPosition="0"/>
    </format>
    <format dxfId="698">
      <pivotArea dataOnly="0" labelOnly="1" fieldPosition="0">
        <references count="1">
          <reference field="4" count="12">
            <x v="0"/>
            <x v="1"/>
            <x v="3"/>
            <x v="4"/>
            <x v="5"/>
            <x v="7"/>
            <x v="8"/>
            <x v="10"/>
            <x v="11"/>
            <x v="12"/>
            <x v="14"/>
            <x v="16"/>
          </reference>
        </references>
      </pivotArea>
    </format>
    <format dxfId="697">
      <pivotArea dataOnly="0" labelOnly="1" grandRow="1" outline="0" fieldPosition="0"/>
    </format>
    <format dxfId="696">
      <pivotArea dataOnly="0" labelOnly="1" fieldPosition="0">
        <references count="1">
          <reference field="28" count="0"/>
        </references>
      </pivotArea>
    </format>
    <format dxfId="695">
      <pivotArea dataOnly="0" labelOnly="1" grandCol="1" outline="0" fieldPosition="0"/>
    </format>
    <format dxfId="694">
      <pivotArea field="4" type="button" dataOnly="0" labelOnly="1" outline="0" axis="axisRow" fieldPosition="0"/>
    </format>
    <format dxfId="693">
      <pivotArea dataOnly="0" labelOnly="1" fieldPosition="0">
        <references count="1">
          <reference field="28" count="0"/>
        </references>
      </pivotArea>
    </format>
    <format dxfId="692">
      <pivotArea dataOnly="0" labelOnly="1" grandCol="1" outline="0" fieldPosition="0"/>
    </format>
    <format dxfId="691">
      <pivotArea dataOnly="0" labelOnly="1" fieldPosition="0">
        <references count="1">
          <reference field="4" count="12">
            <x v="0"/>
            <x v="1"/>
            <x v="3"/>
            <x v="4"/>
            <x v="5"/>
            <x v="7"/>
            <x v="8"/>
            <x v="10"/>
            <x v="11"/>
            <x v="12"/>
            <x v="14"/>
            <x v="16"/>
          </reference>
        </references>
      </pivotArea>
    </format>
    <format dxfId="690">
      <pivotArea dataOnly="0" labelOnly="1" fieldPosition="0">
        <references count="1">
          <reference field="28" count="0"/>
        </references>
      </pivotArea>
    </format>
    <format dxfId="689">
      <pivotArea dataOnly="0" labelOnly="1" fieldPosition="0">
        <references count="1">
          <reference field="28" count="1">
            <x v="10"/>
          </reference>
        </references>
      </pivotArea>
    </format>
    <format dxfId="688">
      <pivotArea dataOnly="0" labelOnly="1" fieldPosition="0">
        <references count="1">
          <reference field="28" count="1">
            <x v="3"/>
          </reference>
        </references>
      </pivotArea>
    </format>
    <format dxfId="687">
      <pivotArea dataOnly="0" labelOnly="1" fieldPosition="0">
        <references count="1">
          <reference field="28" count="1">
            <x v="10"/>
          </reference>
        </references>
      </pivotArea>
    </format>
    <format dxfId="686">
      <pivotArea dataOnly="0" labelOnly="1" fieldPosition="0">
        <references count="1">
          <reference field="28" count="1">
            <x v="8"/>
          </reference>
        </references>
      </pivotArea>
    </format>
    <format dxfId="685">
      <pivotArea dataOnly="0" labelOnly="1" fieldPosition="0">
        <references count="1">
          <reference field="28" count="1">
            <x v="8"/>
          </reference>
        </references>
      </pivotArea>
    </format>
    <format dxfId="684">
      <pivotArea dataOnly="0" labelOnly="1" fieldPosition="0">
        <references count="1">
          <reference field="4" count="2">
            <x v="12"/>
            <x v="18"/>
          </reference>
        </references>
      </pivotArea>
    </format>
    <format dxfId="683">
      <pivotArea dataOnly="0" labelOnly="1" fieldPosition="0">
        <references count="1">
          <reference field="4" count="13">
            <x v="0"/>
            <x v="1"/>
            <x v="3"/>
            <x v="4"/>
            <x v="5"/>
            <x v="7"/>
            <x v="8"/>
            <x v="10"/>
            <x v="11"/>
            <x v="12"/>
            <x v="14"/>
            <x v="16"/>
            <x v="18"/>
          </reference>
        </references>
      </pivotArea>
    </format>
    <format dxfId="682">
      <pivotArea dataOnly="0" labelOnly="1" fieldPosition="0">
        <references count="1">
          <reference field="4" count="15">
            <x v="0"/>
            <x v="1"/>
            <x v="3"/>
            <x v="4"/>
            <x v="5"/>
            <x v="6"/>
            <x v="7"/>
            <x v="8"/>
            <x v="9"/>
            <x v="10"/>
            <x v="11"/>
            <x v="12"/>
            <x v="14"/>
            <x v="16"/>
            <x v="19"/>
          </reference>
        </references>
      </pivotArea>
    </format>
    <format dxfId="681">
      <pivotArea outline="0" collapsedLevelsAreSubtotals="1" fieldPosition="0"/>
    </format>
    <format dxfId="680">
      <pivotArea dataOnly="0" labelOnly="1" fieldPosition="0">
        <references count="1">
          <reference field="28" count="0"/>
        </references>
      </pivotArea>
    </format>
    <format dxfId="679">
      <pivotArea field="4" type="button" dataOnly="0" labelOnly="1" outline="0" axis="axisRow" fieldPosition="0"/>
    </format>
    <format dxfId="678">
      <pivotArea dataOnly="0" labelOnly="1" grandRow="1" outline="0" fieldPosition="0"/>
    </format>
    <format dxfId="677">
      <pivotArea field="4" grandCol="1" collapsedLevelsAreSubtotals="1" axis="axisRow" fieldPosition="0">
        <references count="1">
          <reference field="4" count="15">
            <x v="0"/>
            <x v="1"/>
            <x v="2"/>
            <x v="3"/>
            <x v="5"/>
            <x v="6"/>
            <x v="7"/>
            <x v="8"/>
            <x v="9"/>
            <x v="10"/>
            <x v="11"/>
            <x v="12"/>
            <x v="13"/>
            <x v="14"/>
            <x v="16"/>
          </reference>
        </references>
      </pivotArea>
    </format>
    <format dxfId="676">
      <pivotArea dataOnly="0" labelOnly="1" grandCol="1" outline="0" fieldPosition="0"/>
    </format>
    <format dxfId="675">
      <pivotArea field="4" type="button" dataOnly="0" labelOnly="1" outline="0" axis="axisRow" fieldPosition="0"/>
    </format>
    <format dxfId="674">
      <pivotArea dataOnly="0" labelOnly="1" fieldPosition="0">
        <references count="1">
          <reference field="28" count="0"/>
        </references>
      </pivotArea>
    </format>
    <format dxfId="673">
      <pivotArea dataOnly="0" labelOnly="1" grandCol="1" outline="0" fieldPosition="0"/>
    </format>
    <format dxfId="672">
      <pivotArea grandRow="1" outline="0" collapsedLevelsAreSubtotals="1" fieldPosition="0"/>
    </format>
    <format dxfId="671">
      <pivotArea dataOnly="0" labelOnly="1" grandRow="1" outline="0" fieldPosition="0"/>
    </format>
    <format dxfId="670">
      <pivotArea dataOnly="0" labelOnly="1" fieldPosition="0">
        <references count="1">
          <reference field="28" count="1">
            <x v="4"/>
          </reference>
        </references>
      </pivotArea>
    </format>
    <format dxfId="669">
      <pivotArea collapsedLevelsAreSubtotals="1" fieldPosition="0">
        <references count="1">
          <reference field="4" count="16">
            <x v="0"/>
            <x v="1"/>
            <x v="2"/>
            <x v="3"/>
            <x v="5"/>
            <x v="6"/>
            <x v="7"/>
            <x v="8"/>
            <x v="9"/>
            <x v="10"/>
            <x v="11"/>
            <x v="12"/>
            <x v="13"/>
            <x v="14"/>
            <x v="16"/>
            <x v="20"/>
          </reference>
        </references>
      </pivotArea>
    </format>
    <format dxfId="668">
      <pivotArea dataOnly="0" labelOnly="1" fieldPosition="0">
        <references count="1">
          <reference field="4" count="16">
            <x v="0"/>
            <x v="1"/>
            <x v="2"/>
            <x v="3"/>
            <x v="5"/>
            <x v="6"/>
            <x v="7"/>
            <x v="8"/>
            <x v="9"/>
            <x v="10"/>
            <x v="11"/>
            <x v="12"/>
            <x v="13"/>
            <x v="14"/>
            <x v="16"/>
            <x v="20"/>
          </reference>
        </references>
      </pivotArea>
    </format>
    <format dxfId="667">
      <pivotArea dataOnly="0" grandCol="1" outline="0" axis="axisCol" fieldPosition="0"/>
    </format>
    <format dxfId="666">
      <pivotArea field="4" grandCol="1" collapsedLevelsAreSubtotals="1" axis="axisRow" fieldPosition="0">
        <references count="1">
          <reference field="4" count="15">
            <x v="0"/>
            <x v="1"/>
            <x v="2"/>
            <x v="3"/>
            <x v="5"/>
            <x v="6"/>
            <x v="7"/>
            <x v="8"/>
            <x v="9"/>
            <x v="10"/>
            <x v="11"/>
            <x v="12"/>
            <x v="13"/>
            <x v="14"/>
            <x v="16"/>
          </reference>
        </references>
      </pivotArea>
    </format>
    <format dxfId="665">
      <pivotArea dataOnly="0" labelOnly="1" grandCol="1" outline="0" fieldPosition="0"/>
    </format>
    <format dxfId="664">
      <pivotArea dataOnly="0" labelOnly="1" fieldPosition="0">
        <references count="1">
          <reference field="4" count="0"/>
        </references>
      </pivotArea>
    </format>
    <format dxfId="663">
      <pivotArea field="4" grandCol="1" collapsedLevelsAreSubtotals="1" axis="axisRow" fieldPosition="0">
        <references count="1">
          <reference field="4" count="15">
            <x v="0"/>
            <x v="1"/>
            <x v="2"/>
            <x v="3"/>
            <x v="5"/>
            <x v="6"/>
            <x v="7"/>
            <x v="8"/>
            <x v="9"/>
            <x v="10"/>
            <x v="11"/>
            <x v="12"/>
            <x v="13"/>
            <x v="14"/>
            <x v="16"/>
          </reference>
        </references>
      </pivotArea>
    </format>
    <format dxfId="662">
      <pivotArea collapsedLevelsAreSubtotals="1" fieldPosition="0">
        <references count="1">
          <reference field="4" count="15">
            <x v="0"/>
            <x v="1"/>
            <x v="2"/>
            <x v="3"/>
            <x v="5"/>
            <x v="6"/>
            <x v="7"/>
            <x v="8"/>
            <x v="9"/>
            <x v="10"/>
            <x v="11"/>
            <x v="12"/>
            <x v="13"/>
            <x v="14"/>
            <x v="16"/>
          </reference>
        </references>
      </pivotArea>
    </format>
    <format dxfId="661">
      <pivotArea dataOnly="0" labelOnly="1" fieldPosition="0">
        <references count="1">
          <reference field="4" count="15">
            <x v="0"/>
            <x v="1"/>
            <x v="2"/>
            <x v="3"/>
            <x v="5"/>
            <x v="6"/>
            <x v="7"/>
            <x v="8"/>
            <x v="9"/>
            <x v="10"/>
            <x v="11"/>
            <x v="12"/>
            <x v="13"/>
            <x v="14"/>
            <x v="16"/>
          </reference>
        </references>
      </pivotArea>
    </format>
    <format dxfId="660">
      <pivotArea collapsedLevelsAreSubtotals="1" fieldPosition="0">
        <references count="1">
          <reference field="4" count="5">
            <x v="7"/>
            <x v="8"/>
            <x v="9"/>
            <x v="10"/>
            <x v="11"/>
          </reference>
        </references>
      </pivotArea>
    </format>
    <format dxfId="659">
      <pivotArea dataOnly="0" labelOnly="1" fieldPosition="0">
        <references count="1">
          <reference field="4" count="5">
            <x v="7"/>
            <x v="8"/>
            <x v="9"/>
            <x v="10"/>
            <x v="11"/>
          </reference>
        </references>
      </pivotArea>
    </format>
    <format dxfId="658">
      <pivotArea dataOnly="0" labelOnly="1" fieldPosition="0">
        <references count="1">
          <reference field="4" count="15">
            <x v="0"/>
            <x v="1"/>
            <x v="2"/>
            <x v="3"/>
            <x v="5"/>
            <x v="6"/>
            <x v="7"/>
            <x v="8"/>
            <x v="9"/>
            <x v="10"/>
            <x v="11"/>
            <x v="12"/>
            <x v="13"/>
            <x v="14"/>
            <x v="16"/>
          </reference>
        </references>
      </pivotArea>
    </format>
    <format dxfId="657">
      <pivotArea field="4" type="button" dataOnly="0" labelOnly="1" outline="0" axis="axisRow" fieldPosition="0"/>
    </format>
    <format dxfId="656">
      <pivotArea dataOnly="0" labelOnly="1" grandRow="1" outline="0" fieldPosition="0"/>
    </format>
    <format dxfId="655">
      <pivotArea grandCol="1" outline="0" collapsedLevelsAreSubtotals="1" fieldPosition="0"/>
    </format>
    <format dxfId="654">
      <pivotArea dataOnly="0" labelOnly="1" grandCol="1" outline="0" fieldPosition="0"/>
    </format>
    <format dxfId="653">
      <pivotArea field="4" type="button" dataOnly="0" labelOnly="1" outline="0" axis="axisRow" fieldPosition="0"/>
    </format>
    <format dxfId="652">
      <pivotArea dataOnly="0" labelOnly="1" grandCol="1" outline="0" fieldPosition="0"/>
    </format>
    <format dxfId="651">
      <pivotArea dataOnly="0" labelOnly="1" grandRow="1" outline="0" fieldPosition="0"/>
    </format>
    <format dxfId="650">
      <pivotArea grandCol="1" outline="0" collapsedLevelsAreSubtotals="1" fieldPosition="0"/>
    </format>
    <format dxfId="649">
      <pivotArea collapsedLevelsAreSubtotals="1" fieldPosition="0">
        <references count="1">
          <reference field="4" count="14">
            <x v="0"/>
            <x v="1"/>
            <x v="2"/>
            <x v="3"/>
            <x v="5"/>
            <x v="6"/>
            <x v="7"/>
            <x v="8"/>
            <x v="9"/>
            <x v="10"/>
            <x v="12"/>
            <x v="13"/>
            <x v="14"/>
            <x v="16"/>
          </reference>
        </references>
      </pivotArea>
    </format>
    <format dxfId="648">
      <pivotArea dataOnly="0" labelOnly="1" fieldPosition="0">
        <references count="1">
          <reference field="4" count="14">
            <x v="0"/>
            <x v="1"/>
            <x v="2"/>
            <x v="3"/>
            <x v="5"/>
            <x v="6"/>
            <x v="7"/>
            <x v="8"/>
            <x v="9"/>
            <x v="10"/>
            <x v="12"/>
            <x v="13"/>
            <x v="14"/>
            <x v="16"/>
          </reference>
        </references>
      </pivotArea>
    </format>
    <format dxfId="647">
      <pivotArea collapsedLevelsAreSubtotals="1" fieldPosition="0">
        <references count="1">
          <reference field="4" count="4">
            <x v="0"/>
            <x v="1"/>
            <x v="2"/>
            <x v="3"/>
          </reference>
        </references>
      </pivotArea>
    </format>
    <format dxfId="646">
      <pivotArea dataOnly="0" labelOnly="1" fieldPosition="0">
        <references count="1">
          <reference field="4" count="4">
            <x v="0"/>
            <x v="1"/>
            <x v="2"/>
            <x v="3"/>
          </reference>
        </references>
      </pivotArea>
    </format>
    <format dxfId="645">
      <pivotArea collapsedLevelsAreSubtotals="1" fieldPosition="0">
        <references count="1">
          <reference field="4" count="2">
            <x v="5"/>
            <x v="6"/>
          </reference>
        </references>
      </pivotArea>
    </format>
    <format dxfId="644">
      <pivotArea dataOnly="0" labelOnly="1" fieldPosition="0">
        <references count="1">
          <reference field="4" count="2">
            <x v="5"/>
            <x v="6"/>
          </reference>
        </references>
      </pivotArea>
    </format>
    <format dxfId="643">
      <pivotArea collapsedLevelsAreSubtotals="1" fieldPosition="0">
        <references count="1">
          <reference field="4" count="4">
            <x v="7"/>
            <x v="8"/>
            <x v="9"/>
            <x v="10"/>
          </reference>
        </references>
      </pivotArea>
    </format>
    <format dxfId="642">
      <pivotArea dataOnly="0" labelOnly="1" fieldPosition="0">
        <references count="1">
          <reference field="4" count="4">
            <x v="7"/>
            <x v="8"/>
            <x v="9"/>
            <x v="10"/>
          </reference>
        </references>
      </pivotArea>
    </format>
    <format dxfId="641">
      <pivotArea collapsedLevelsAreSubtotals="1" fieldPosition="0">
        <references count="1">
          <reference field="4" count="1">
            <x v="12"/>
          </reference>
        </references>
      </pivotArea>
    </format>
    <format dxfId="640">
      <pivotArea dataOnly="0" labelOnly="1" fieldPosition="0">
        <references count="1">
          <reference field="4" count="1">
            <x v="12"/>
          </reference>
        </references>
      </pivotArea>
    </format>
    <format dxfId="639">
      <pivotArea collapsedLevelsAreSubtotals="1" fieldPosition="0">
        <references count="1">
          <reference field="4" count="3">
            <x v="13"/>
            <x v="14"/>
            <x v="16"/>
          </reference>
        </references>
      </pivotArea>
    </format>
    <format dxfId="638">
      <pivotArea dataOnly="0" labelOnly="1" fieldPosition="0">
        <references count="1">
          <reference field="4" count="3">
            <x v="13"/>
            <x v="14"/>
            <x v="16"/>
          </reference>
        </references>
      </pivotArea>
    </format>
    <format dxfId="637">
      <pivotArea dataOnly="0" labelOnly="1" fieldPosition="0">
        <references count="1">
          <reference field="4" count="14">
            <x v="0"/>
            <x v="1"/>
            <x v="2"/>
            <x v="3"/>
            <x v="5"/>
            <x v="6"/>
            <x v="7"/>
            <x v="8"/>
            <x v="9"/>
            <x v="10"/>
            <x v="12"/>
            <x v="13"/>
            <x v="14"/>
            <x v="16"/>
          </reference>
        </references>
      </pivotArea>
    </format>
    <format dxfId="636">
      <pivotArea field="4" grandCol="1" collapsedLevelsAreSubtotals="1" axis="axisRow" fieldPosition="0">
        <references count="1">
          <reference field="4" count="14">
            <x v="0"/>
            <x v="1"/>
            <x v="2"/>
            <x v="3"/>
            <x v="5"/>
            <x v="6"/>
            <x v="7"/>
            <x v="8"/>
            <x v="9"/>
            <x v="10"/>
            <x v="12"/>
            <x v="13"/>
            <x v="14"/>
            <x v="1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3E411E-B2F8-41A5-ABEB-BD9609E4B147}" name="PivotTable1"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EPC Status">
  <location ref="B3:G16" firstHeaderRow="1" firstDataRow="2" firstDataCol="1"/>
  <pivotFields count="29">
    <pivotField showAll="0"/>
    <pivotField showAll="0"/>
    <pivotField showAll="0"/>
    <pivotField showAll="0"/>
    <pivotField showAll="0"/>
    <pivotField showAll="0"/>
    <pivotField axis="axisCol" showAll="0">
      <items count="8">
        <item x="3"/>
        <item x="2"/>
        <item m="1" x="6"/>
        <item x="1"/>
        <item m="1" x="5"/>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4">
        <item x="0"/>
        <item x="1"/>
        <item x="2"/>
        <item x="5"/>
        <item x="3"/>
        <item x="6"/>
        <item x="7"/>
        <item x="8"/>
        <item x="10"/>
        <item x="4"/>
        <item x="9"/>
        <item h="1" m="1" x="12"/>
        <item h="1" x="11"/>
        <item t="default"/>
      </items>
    </pivotField>
  </pivotFields>
  <rowFields count="1">
    <field x="28"/>
  </rowFields>
  <rowItems count="12">
    <i>
      <x/>
    </i>
    <i>
      <x v="1"/>
    </i>
    <i>
      <x v="2"/>
    </i>
    <i>
      <x v="3"/>
    </i>
    <i>
      <x v="4"/>
    </i>
    <i>
      <x v="5"/>
    </i>
    <i>
      <x v="6"/>
    </i>
    <i>
      <x v="7"/>
    </i>
    <i>
      <x v="8"/>
    </i>
    <i>
      <x v="9"/>
    </i>
    <i>
      <x v="10"/>
    </i>
    <i t="grand">
      <x/>
    </i>
  </rowItems>
  <colFields count="1">
    <field x="6"/>
  </colFields>
  <colItems count="5">
    <i>
      <x/>
    </i>
    <i>
      <x v="1"/>
    </i>
    <i>
      <x v="3"/>
    </i>
    <i>
      <x v="5"/>
    </i>
    <i t="grand">
      <x/>
    </i>
  </colItems>
  <dataFields count="1">
    <dataField name="Count of EPC Status" fld="28" subtotal="count" baseField="0" baseItem="0"/>
  </dataFields>
  <formats count="41">
    <format dxfId="635">
      <pivotArea type="all" dataOnly="0" outline="0" fieldPosition="0"/>
    </format>
    <format dxfId="634">
      <pivotArea dataOnly="0" labelOnly="1" fieldPosition="0">
        <references count="1">
          <reference field="6" count="4">
            <x v="0"/>
            <x v="1"/>
            <x v="3"/>
            <x v="5"/>
          </reference>
        </references>
      </pivotArea>
    </format>
    <format dxfId="633">
      <pivotArea dataOnly="0" labelOnly="1" grandCol="1" outline="0" fieldPosition="0"/>
    </format>
    <format dxfId="632">
      <pivotArea outline="0" collapsedLevelsAreSubtotals="1" fieldPosition="0"/>
    </format>
    <format dxfId="631">
      <pivotArea outline="0" collapsedLevelsAreSubtotals="1" fieldPosition="0"/>
    </format>
    <format dxfId="630">
      <pivotArea outline="0" collapsedLevelsAreSubtotals="1" fieldPosition="0"/>
    </format>
    <format dxfId="629">
      <pivotArea field="28" type="button" dataOnly="0" labelOnly="1" outline="0" axis="axisRow" fieldPosition="0"/>
    </format>
    <format dxfId="628">
      <pivotArea dataOnly="0" labelOnly="1" fieldPosition="0">
        <references count="1">
          <reference field="28" count="0"/>
        </references>
      </pivotArea>
    </format>
    <format dxfId="627">
      <pivotArea dataOnly="0" labelOnly="1" grandRow="1" outline="0" fieldPosition="0"/>
    </format>
    <format dxfId="626">
      <pivotArea dataOnly="0" labelOnly="1" fieldPosition="0">
        <references count="1">
          <reference field="6" count="4">
            <x v="0"/>
            <x v="1"/>
            <x v="3"/>
            <x v="5"/>
          </reference>
        </references>
      </pivotArea>
    </format>
    <format dxfId="625">
      <pivotArea dataOnly="0" labelOnly="1" grandCol="1" outline="0" fieldPosition="0"/>
    </format>
    <format dxfId="624">
      <pivotArea field="28" type="button" dataOnly="0" labelOnly="1" outline="0" axis="axisRow" fieldPosition="0"/>
    </format>
    <format dxfId="623">
      <pivotArea dataOnly="0" labelOnly="1" fieldPosition="0">
        <references count="1">
          <reference field="6" count="4">
            <x v="0"/>
            <x v="1"/>
            <x v="3"/>
            <x v="5"/>
          </reference>
        </references>
      </pivotArea>
    </format>
    <format dxfId="622">
      <pivotArea dataOnly="0" labelOnly="1" grandCol="1" outline="0" fieldPosition="0"/>
    </format>
    <format dxfId="621">
      <pivotArea field="28" type="button" dataOnly="0" labelOnly="1" outline="0" axis="axisRow" fieldPosition="0"/>
    </format>
    <format dxfId="620">
      <pivotArea dataOnly="0" labelOnly="1" fieldPosition="0">
        <references count="1">
          <reference field="6" count="4">
            <x v="0"/>
            <x v="1"/>
            <x v="3"/>
            <x v="5"/>
          </reference>
        </references>
      </pivotArea>
    </format>
    <format dxfId="619">
      <pivotArea dataOnly="0" labelOnly="1" grandCol="1" outline="0" fieldPosition="0"/>
    </format>
    <format dxfId="618">
      <pivotArea field="28" type="button" dataOnly="0" labelOnly="1" outline="0" axis="axisRow" fieldPosition="0"/>
    </format>
    <format dxfId="617">
      <pivotArea dataOnly="0" labelOnly="1" fieldPosition="0">
        <references count="1">
          <reference field="6" count="4">
            <x v="0"/>
            <x v="1"/>
            <x v="3"/>
            <x v="5"/>
          </reference>
        </references>
      </pivotArea>
    </format>
    <format dxfId="616">
      <pivotArea dataOnly="0" labelOnly="1" grandCol="1" outline="0" fieldPosition="0"/>
    </format>
    <format dxfId="615">
      <pivotArea field="28" type="button" dataOnly="0" labelOnly="1" outline="0" axis="axisRow" fieldPosition="0"/>
    </format>
    <format dxfId="614">
      <pivotArea dataOnly="0" labelOnly="1" fieldPosition="0">
        <references count="1">
          <reference field="6" count="4">
            <x v="0"/>
            <x v="1"/>
            <x v="3"/>
            <x v="5"/>
          </reference>
        </references>
      </pivotArea>
    </format>
    <format dxfId="613">
      <pivotArea dataOnly="0" labelOnly="1" grandCol="1" outline="0" fieldPosition="0"/>
    </format>
    <format dxfId="612">
      <pivotArea grandRow="1" outline="0" collapsedLevelsAreSubtotals="1" fieldPosition="0"/>
    </format>
    <format dxfId="611">
      <pivotArea dataOnly="0" labelOnly="1" grandRow="1" outline="0" fieldPosition="0"/>
    </format>
    <format dxfId="610">
      <pivotArea grandRow="1" outline="0" collapsedLevelsAreSubtotals="1" fieldPosition="0"/>
    </format>
    <format dxfId="609">
      <pivotArea dataOnly="0" labelOnly="1" grandRow="1" outline="0" fieldPosition="0"/>
    </format>
    <format dxfId="608">
      <pivotArea dataOnly="0" labelOnly="1" fieldPosition="0">
        <references count="1">
          <reference field="28" count="0"/>
        </references>
      </pivotArea>
    </format>
    <format dxfId="607">
      <pivotArea outline="0" collapsedLevelsAreSubtotals="1" fieldPosition="0"/>
    </format>
    <format dxfId="606">
      <pivotArea field="28" type="button" dataOnly="0" labelOnly="1" outline="0" axis="axisRow" fieldPosition="0"/>
    </format>
    <format dxfId="605">
      <pivotArea dataOnly="0" labelOnly="1" fieldPosition="0">
        <references count="1">
          <reference field="28" count="0"/>
        </references>
      </pivotArea>
    </format>
    <format dxfId="604">
      <pivotArea dataOnly="0" labelOnly="1" grandRow="1" outline="0" fieldPosition="0"/>
    </format>
    <format dxfId="603">
      <pivotArea dataOnly="0" labelOnly="1" fieldPosition="0">
        <references count="1">
          <reference field="6" count="4">
            <x v="0"/>
            <x v="1"/>
            <x v="3"/>
            <x v="5"/>
          </reference>
        </references>
      </pivotArea>
    </format>
    <format dxfId="602">
      <pivotArea dataOnly="0" labelOnly="1" grandCol="1" outline="0" fieldPosition="0"/>
    </format>
    <format dxfId="601">
      <pivotArea field="28" type="button" dataOnly="0" labelOnly="1" outline="0" axis="axisRow" fieldPosition="0"/>
    </format>
    <format dxfId="600">
      <pivotArea dataOnly="0" labelOnly="1" fieldPosition="0">
        <references count="1">
          <reference field="6" count="4">
            <x v="0"/>
            <x v="1"/>
            <x v="3"/>
            <x v="5"/>
          </reference>
        </references>
      </pivotArea>
    </format>
    <format dxfId="599">
      <pivotArea dataOnly="0" labelOnly="1" grandCol="1" outline="0" fieldPosition="0"/>
    </format>
    <format dxfId="598">
      <pivotArea grandRow="1" outline="0" collapsedLevelsAreSubtotals="1" fieldPosition="0"/>
    </format>
    <format dxfId="597">
      <pivotArea dataOnly="0" labelOnly="1" grandRow="1" outline="0" fieldPosition="0"/>
    </format>
    <format dxfId="596">
      <pivotArea grandCol="1" outline="0" collapsedLevelsAreSubtotals="1" fieldPosition="0"/>
    </format>
    <format dxfId="59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0F842D-6923-4351-AA04-93F12EDC0BDC}" name="TableAOPTarget" displayName="TableAOPTarget" ref="A1:AF149" totalsRowShown="0" headerRowDxfId="552" dataDxfId="551">
  <autoFilter ref="A1:AF149" xr:uid="{444381B6-E62A-4DA1-8ED0-87CE6F57ECF5}"/>
  <tableColumns count="32">
    <tableColumn id="9" xr3:uid="{8DF2E178-0CDE-4973-97E7-7652092D62EF}" name="Apex ID" dataDxfId="550"/>
    <tableColumn id="1" xr3:uid="{B53B3B8C-F07A-40A9-AE4F-E2FC8A486A00}" name="Sl. No." dataDxfId="549"/>
    <tableColumn id="3" xr3:uid="{D56B508B-354C-4241-83F4-9E9CB353F5CE}" name="Business Format" dataDxfId="548"/>
    <tableColumn id="5" xr3:uid="{F5C99E2F-8E32-4BD7-BE4D-248A288B68E9}" name="Format" dataDxfId="547"/>
    <tableColumn id="6" xr3:uid="{B8693B6A-94EC-4C62-BB15-0DD07EDC3636}" name="Sub Format" dataDxfId="546"/>
    <tableColumn id="60" xr3:uid="{FC87579E-4C04-49CF-B4EF-544752818820}" name="Site Type" dataDxfId="545"/>
    <tableColumn id="2" xr3:uid="{B6A1C110-8CF9-473B-99C7-EE392CB7ADF1}" name="Zone" dataDxfId="544"/>
    <tableColumn id="8" xr3:uid="{C6DDCDCF-8EB5-4784-B72B-218475EE6CA7}" name="ZH" dataDxfId="543"/>
    <tableColumn id="7" xr3:uid="{0AFC8020-5B48-4F04-BE10-1B4381E1FD5E}" name="State" dataDxfId="542"/>
    <tableColumn id="10" xr3:uid="{88690346-8B71-4B6B-84FB-E7BD2E9C508C}" name="Site Name" dataDxfId="541"/>
    <tableColumn id="45" xr3:uid="{E1720E18-2BAA-46D6-9316-18208338AD16}" name="City" dataDxfId="540"/>
    <tableColumn id="11" xr3:uid="{082F00F8-15F0-4593-853A-C0A62616B231}" name="Area (Sqft)" dataDxfId="539"/>
    <tableColumn id="12" xr3:uid="{48963CDC-AAE5-4377-9CBE-026B9E37F4BD}" name="PD" dataDxfId="538"/>
    <tableColumn id="34" xr3:uid="{13691957-4C2B-448B-9614-739F34D04E84}" name="EIC" dataDxfId="537"/>
    <tableColumn id="22" xr3:uid="{5296AC95-C107-4D89-B9A6-84E8DC5A7ED8}" name="RFC Date" dataDxfId="536"/>
    <tableColumn id="26" xr3:uid="{898C75D2-7AEA-4C8A-AB81-A09BEBFDD0A7}" name="RFC Weekwise Bucket" dataDxfId="535">
      <calculatedColumnFormula>IFERROR(VLOOKUP(TableAOPTarget[[#This Row],[RFC Date]],TableAopCalendar[[Date]:[Concatenate Month &amp; Week]],7,FALSE),"")</calculatedColumnFormula>
    </tableColumn>
    <tableColumn id="17" xr3:uid="{9AF76A6D-DB58-4699-B0D9-A523D8846333}" name="Actual Start Date" dataDxfId="534"/>
    <tableColumn id="29" xr3:uid="{909FB978-8D7D-4FDE-999D-EBC3327AA706}" name="Actual Start Weekwise" dataDxfId="533">
      <calculatedColumnFormula>IFERROR(VLOOKUP(TableAOPTarget[[#This Row],[Actual Start Date]],TableAopCalendar[[Date]:[Concatenate Month &amp; Week]],7,FALSE),"")</calculatedColumnFormula>
    </tableColumn>
    <tableColumn id="18" xr3:uid="{55B814A9-7295-4A35-972C-5AA4ADE6D4CF}" name="Standard Duration" dataDxfId="532"/>
    <tableColumn id="20" xr3:uid="{55C86F64-5019-4C01-AF48-0E93F632DBB0}" name="Planned Finish Date" dataDxfId="531">
      <calculatedColumnFormula>TableAOPTarget[[#This Row],[Actual Start Date]]+TableAOPTarget[[#This Row],[Standard Duration]]</calculatedColumnFormula>
    </tableColumn>
    <tableColumn id="28" xr3:uid="{92E4A85B-BB65-492F-8252-C01FC6109878}" name="Planned Finish Weekwise Bucket" dataDxfId="530">
      <calculatedColumnFormula>IFERROR(VLOOKUP(TableAOPTarget[[#This Row],[Planned Finish Date]],TableAopCalendar[[Date]:[Concatenate Month &amp; Week]],7,FALSE),"")</calculatedColumnFormula>
    </tableColumn>
    <tableColumn id="21" xr3:uid="{FC2063B0-E071-4FA1-929A-4818024BB084}" name="Actual Finish Date" dataDxfId="529"/>
    <tableColumn id="30" xr3:uid="{84B34021-0563-4824-A6EB-E5A509776642}" name="Actual Finish Weekwise Bucket" dataDxfId="528">
      <calculatedColumnFormula>IFERROR(VLOOKUP(TableAOPTarget[[#This Row],[Actual Finish Date]],TableAopCalendar[[Date]:[Concatenate Month &amp; Week]],7,FALSE),"")</calculatedColumnFormula>
    </tableColumn>
    <tableColumn id="53" xr3:uid="{ACE8475A-DFE7-4634-94D9-BF6754087DBD}" name="Forecasted Finish Date" dataDxfId="527"/>
    <tableColumn id="52" xr3:uid="{35C6653C-5867-4D00-9DE3-171B21609E20}" name="Forecasted Finish Weekwise" dataDxfId="526">
      <calculatedColumnFormula>IFERROR(VLOOKUP(TableAOPTarget[[#This Row],[Forecasted Finish Date]],TableAopCalendar[[Date]:[Concatenate Month &amp; Week]],7,FALSE),"")</calculatedColumnFormula>
    </tableColumn>
    <tableColumn id="23" xr3:uid="{EB236EC9-A86A-4B3B-828B-D7BD6809A2E4}" name="Launched Date" dataDxfId="525"/>
    <tableColumn id="35" xr3:uid="{D9755247-1114-4D8F-8D71-7AD224372776}" name="Planned (Month) Bucket" dataDxfId="524">
      <calculatedColumnFormula>IF(OR(TableAOPTarget[[#This Row],[EPC Status]]="EPC Ready",TableAOPTarget[[#This Row],[EPC Status]]="WIP",TableAOPTarget[[#This Row],[EPC Status]]="YTS"),INDEX(TableAopCalendar[Concatenate Month &amp; Plan],MATCH(TableAOPTarget[[#This Row],[Planned Finish Date]],TableAopCalendar[Date],0))," ")</calculatedColumnFormula>
    </tableColumn>
    <tableColumn id="4" xr3:uid="{8B3DB629-E417-40B8-95E7-5C1E5CD4445C}" name="Actual (Month) Bucket" dataDxfId="523">
      <calculatedColumnFormula>IF(TableAOPTarget[[#This Row],[EPC Status]]="EPC Ready",INDEX(TableAopCalendar[Month for Plan],MATCH(TableAOPTarget[[#This Row],[Actual Finish Date]],TableAopCalendar[Date],0))," ")</calculatedColumnFormula>
    </tableColumn>
    <tableColumn id="13" xr3:uid="{F3834283-1EB0-4BCC-A52A-D8A537AEC684}" name="EPC Status" dataDxfId="522"/>
    <tableColumn id="33" xr3:uid="{6A720838-EC20-4138-8BEE-D149E3277ED9}" name="Column12" dataDxfId="521">
      <calculatedColumnFormula>VLOOKUP(TableAOPTarget[[#This Row],[Site Name]],[17]Backup!$E:$F,2,0)</calculatedColumnFormula>
    </tableColumn>
    <tableColumn id="32" xr3:uid="{CB58B6E5-31F4-4BEE-90D1-8156EBFFC1AB}" name="% Completion" dataDxfId="520"/>
    <tableColumn id="38" xr3:uid="{9D1284F8-2AB8-4048-9A18-D00A7AC95D13}" name="FY" dataDxfId="519">
      <calculatedColumnFormula>VLOOKUP(TableAOPTarget[[#This Row],[Site Name]],[17]Backup!$E:$GG,185,0)</calculatedColumnFormula>
    </tableColum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AOP" displayName="TableAOP" ref="A1:G255" totalsRowShown="0" headerRowDxfId="518" dataDxfId="516" headerRowBorderDxfId="517" tableBorderDxfId="515" totalsRowBorderDxfId="514">
  <autoFilter ref="A1:G255" xr:uid="{00000000-0009-0000-0100-000003000000}"/>
  <tableColumns count="7">
    <tableColumn id="1" xr3:uid="{00000000-0010-0000-0000-000001000000}" name="Sl. No." dataDxfId="513"/>
    <tableColumn id="2" xr3:uid="{00000000-0010-0000-0000-000002000000}" name="Business Format" dataDxfId="512"/>
    <tableColumn id="5" xr3:uid="{00000000-0010-0000-0000-000005000000}" name="Format" dataDxfId="511"/>
    <tableColumn id="3" xr3:uid="{00000000-0010-0000-0000-000003000000}" name="Sub Format" dataDxfId="510"/>
    <tableColumn id="11" xr3:uid="{00000000-0010-0000-0000-00000B000000}" name="AOP / NON AOP" dataDxfId="509"/>
    <tableColumn id="4" xr3:uid="{00000000-0010-0000-0000-000004000000}" name="AOP" dataDxfId="508"/>
    <tableColumn id="6" xr3:uid="{00000000-0010-0000-0000-000006000000}" name="PM Head" dataDxfId="507"/>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TableAopCalendar" displayName="TableAopCalendar" ref="A1:K2923" totalsRowShown="0" headerRowDxfId="506" dataDxfId="505">
  <autoFilter ref="A1:K2923" xr:uid="{00000000-0009-0000-0100-000005000000}"/>
  <tableColumns count="11">
    <tableColumn id="1" xr3:uid="{00000000-0010-0000-0100-000001000000}" name="Sl. No." dataDxfId="504">
      <calculatedColumnFormula>IF(G2=G1,A1+1,1)</calculatedColumnFormula>
    </tableColumn>
    <tableColumn id="2" xr3:uid="{00000000-0010-0000-0100-000002000000}" name="Date" dataDxfId="503"/>
    <tableColumn id="3" xr3:uid="{00000000-0010-0000-0100-000003000000}" name="Month" dataDxfId="502"/>
    <tableColumn id="8" xr3:uid="{00000000-0010-0000-0100-000008000000}" name="Year" dataDxfId="501"/>
    <tableColumn id="4" xr3:uid="{00000000-0010-0000-0100-000004000000}" name="Day" dataDxfId="500">
      <calculatedColumnFormula>DAY(TableAopCalendar[[#This Row],[Date]])</calculatedColumnFormula>
    </tableColumn>
    <tableColumn id="5" xr3:uid="{00000000-0010-0000-0100-000005000000}" name="No." dataDxfId="499">
      <calculatedColumnFormula>IF(TableAopCalendar[[#This Row],[Day]]&lt;8,1,IF(TableAopCalendar[[#This Row],[Day]]&lt;15,2,IF(TableAopCalendar[[#This Row],[Day]]&lt;22,3,IF(TableAopCalendar[[#This Row],[Day]]&lt;29,4,IF(TableAopCalendar[[#This Row],[Day]]&lt;32,5)))))</calculatedColumnFormula>
    </tableColumn>
    <tableColumn id="6" xr3:uid="{00000000-0010-0000-0100-000006000000}" name="Week No." dataDxfId="498">
      <calculatedColumnFormula>"Week"&amp;" "&amp;F2</calculatedColumnFormula>
    </tableColumn>
    <tableColumn id="7" xr3:uid="{00000000-0010-0000-0100-000007000000}" name="Concatenate Month &amp; Week" dataDxfId="497">
      <calculatedColumnFormula>CONCATENATE(C2," ",D2," ",G2)</calculatedColumnFormula>
    </tableColumn>
    <tableColumn id="11" xr3:uid="{00000000-0010-0000-0100-00000B000000}" name="Month for Plan" dataDxfId="496">
      <calculatedColumnFormula>CONCATENATE(UPPER(TableAopCalendar[[#This Row],[Month]])," ",TableAopCalendar[[#This Row],[Year]])</calculatedColumnFormula>
    </tableColumn>
    <tableColumn id="12" xr3:uid="{00000000-0010-0000-0100-00000C000000}" name="Plan" dataDxfId="495"/>
    <tableColumn id="13" xr3:uid="{00000000-0010-0000-0100-00000D000000}" name="Concatenate Month &amp; Plan" dataDxfId="494">
      <calculatedColumnFormula>CONCATENATE(TableAopCalendar[[#This Row],[Month for Plan]]," ",TableAopCalendar[[#This Row],[Plan]])</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R17"/>
  <sheetViews>
    <sheetView showGridLines="0" zoomScale="85" zoomScaleNormal="85" workbookViewId="0">
      <selection activeCell="G7" sqref="G7"/>
    </sheetView>
  </sheetViews>
  <sheetFormatPr defaultColWidth="9.109375" defaultRowHeight="14.4" x14ac:dyDescent="0.3"/>
  <cols>
    <col min="1" max="1" width="1.109375" style="38" customWidth="1"/>
    <col min="2" max="2" width="18.5546875" style="38" bestFit="1" customWidth="1"/>
    <col min="3" max="3" width="16.44140625" style="39" bestFit="1" customWidth="1"/>
    <col min="4" max="4" width="11.88671875" style="39" customWidth="1"/>
    <col min="5" max="5" width="16.88671875" style="39" bestFit="1" customWidth="1"/>
    <col min="6" max="6" width="18" style="39" bestFit="1" customWidth="1"/>
    <col min="7" max="7" width="17.33203125" style="39" bestFit="1" customWidth="1"/>
    <col min="8" max="8" width="13.6640625" style="39" customWidth="1"/>
    <col min="9" max="9" width="11.6640625" style="39" customWidth="1"/>
    <col min="10" max="10" width="10.6640625" style="39" customWidth="1"/>
    <col min="11" max="11" width="9" style="39" customWidth="1"/>
    <col min="12" max="12" width="14.6640625" style="39" customWidth="1"/>
    <col min="13" max="13" width="11.44140625" style="39" bestFit="1" customWidth="1"/>
    <col min="14" max="14" width="11.33203125" style="39" bestFit="1" customWidth="1"/>
    <col min="15" max="15" width="5.6640625" style="38" bestFit="1" customWidth="1"/>
    <col min="16" max="16" width="20.88671875" style="38" bestFit="1" customWidth="1"/>
    <col min="17" max="17" width="11.33203125" style="38" bestFit="1" customWidth="1"/>
    <col min="18" max="18" width="10.88671875" style="38" bestFit="1" customWidth="1"/>
    <col min="19" max="16384" width="9.109375" style="38"/>
  </cols>
  <sheetData>
    <row r="1" spans="2:18" ht="6" customHeight="1" x14ac:dyDescent="0.3">
      <c r="O1"/>
      <c r="P1"/>
    </row>
    <row r="2" spans="2:18" ht="27" customHeight="1" x14ac:dyDescent="0.3">
      <c r="B2" s="168" t="s">
        <v>384</v>
      </c>
      <c r="C2" s="168"/>
      <c r="D2" s="168"/>
      <c r="E2" s="168"/>
      <c r="F2" s="168"/>
      <c r="G2" s="168"/>
      <c r="H2" s="168"/>
      <c r="I2" s="168"/>
      <c r="J2" s="168"/>
      <c r="K2" s="168"/>
      <c r="L2" s="168"/>
      <c r="O2"/>
      <c r="P2"/>
    </row>
    <row r="3" spans="2:18" ht="5.25" customHeight="1" x14ac:dyDescent="0.3">
      <c r="O3"/>
      <c r="P3"/>
    </row>
    <row r="4" spans="2:18" x14ac:dyDescent="0.3">
      <c r="B4" s="40" t="s">
        <v>382</v>
      </c>
      <c r="C4" s="41" t="s">
        <v>381</v>
      </c>
      <c r="M4"/>
      <c r="O4"/>
      <c r="P4"/>
      <c r="R4"/>
    </row>
    <row r="5" spans="2:18" ht="38.25" customHeight="1" x14ac:dyDescent="0.3">
      <c r="B5" s="35" t="s">
        <v>0</v>
      </c>
      <c r="C5" s="55" t="s">
        <v>379</v>
      </c>
      <c r="D5" s="57" t="s">
        <v>380</v>
      </c>
      <c r="E5" s="57" t="s">
        <v>458</v>
      </c>
      <c r="F5" s="58" t="s">
        <v>457</v>
      </c>
      <c r="G5" s="57" t="s">
        <v>515</v>
      </c>
      <c r="H5" s="61" t="s">
        <v>506</v>
      </c>
      <c r="I5" s="56" t="s">
        <v>505</v>
      </c>
      <c r="J5" s="56" t="s">
        <v>501</v>
      </c>
      <c r="K5" s="56" t="s">
        <v>491</v>
      </c>
      <c r="L5" s="35" t="s">
        <v>8</v>
      </c>
      <c r="M5"/>
      <c r="O5"/>
      <c r="P5"/>
      <c r="R5"/>
    </row>
    <row r="6" spans="2:18" ht="20.25" customHeight="1" x14ac:dyDescent="0.3">
      <c r="B6" s="42" t="s">
        <v>351</v>
      </c>
      <c r="C6" s="43">
        <v>7</v>
      </c>
      <c r="D6" s="43"/>
      <c r="E6" s="43"/>
      <c r="F6" s="43"/>
      <c r="G6" s="43"/>
      <c r="H6" s="43"/>
      <c r="I6" s="44">
        <v>1</v>
      </c>
      <c r="J6" s="44">
        <v>1</v>
      </c>
      <c r="K6" s="44"/>
      <c r="L6" s="44">
        <v>9</v>
      </c>
      <c r="M6"/>
      <c r="N6"/>
      <c r="O6"/>
      <c r="P6"/>
      <c r="Q6"/>
      <c r="R6"/>
    </row>
    <row r="7" spans="2:18" ht="20.25" customHeight="1" x14ac:dyDescent="0.3">
      <c r="B7" s="42" t="s">
        <v>349</v>
      </c>
      <c r="C7" s="44">
        <v>4</v>
      </c>
      <c r="D7" s="44"/>
      <c r="E7" s="43"/>
      <c r="F7" s="43">
        <v>3</v>
      </c>
      <c r="G7" s="43">
        <v>1</v>
      </c>
      <c r="H7" s="43"/>
      <c r="I7" s="44">
        <v>18</v>
      </c>
      <c r="J7" s="44">
        <v>1</v>
      </c>
      <c r="K7" s="44"/>
      <c r="L7" s="44">
        <v>27</v>
      </c>
      <c r="M7"/>
      <c r="N7"/>
      <c r="O7"/>
      <c r="P7"/>
      <c r="Q7"/>
      <c r="R7"/>
    </row>
    <row r="8" spans="2:18" ht="20.25" customHeight="1" x14ac:dyDescent="0.3">
      <c r="B8" s="42" t="s">
        <v>343</v>
      </c>
      <c r="C8" s="44">
        <v>5</v>
      </c>
      <c r="D8" s="44">
        <v>2</v>
      </c>
      <c r="E8" s="43">
        <v>8</v>
      </c>
      <c r="F8" s="43">
        <v>3</v>
      </c>
      <c r="G8" s="43"/>
      <c r="H8" s="43">
        <v>1</v>
      </c>
      <c r="I8" s="44">
        <v>13</v>
      </c>
      <c r="J8" s="44">
        <v>7</v>
      </c>
      <c r="K8" s="44">
        <v>1</v>
      </c>
      <c r="L8" s="44">
        <v>40</v>
      </c>
      <c r="M8"/>
      <c r="N8"/>
      <c r="O8"/>
      <c r="P8"/>
      <c r="Q8"/>
      <c r="R8"/>
    </row>
    <row r="9" spans="2:18" ht="20.25" customHeight="1" x14ac:dyDescent="0.3">
      <c r="B9" s="42" t="s">
        <v>350</v>
      </c>
      <c r="C9" s="44">
        <v>12</v>
      </c>
      <c r="D9" s="44"/>
      <c r="E9" s="43"/>
      <c r="F9" s="43"/>
      <c r="G9" s="43">
        <v>1</v>
      </c>
      <c r="H9" s="43">
        <v>1</v>
      </c>
      <c r="I9" s="44"/>
      <c r="J9" s="44"/>
      <c r="K9" s="44"/>
      <c r="L9" s="44">
        <v>14</v>
      </c>
      <c r="M9"/>
      <c r="N9"/>
      <c r="O9"/>
      <c r="P9"/>
      <c r="Q9"/>
      <c r="R9"/>
    </row>
    <row r="10" spans="2:18" ht="20.25" customHeight="1" x14ac:dyDescent="0.3">
      <c r="B10" s="42" t="s">
        <v>345</v>
      </c>
      <c r="C10" s="44"/>
      <c r="D10" s="44"/>
      <c r="E10" s="43"/>
      <c r="F10" s="43">
        <v>2</v>
      </c>
      <c r="G10" s="43"/>
      <c r="H10" s="43">
        <v>1</v>
      </c>
      <c r="I10" s="44"/>
      <c r="J10" s="44"/>
      <c r="K10" s="44"/>
      <c r="L10" s="44">
        <v>3</v>
      </c>
      <c r="M10"/>
      <c r="N10"/>
      <c r="O10"/>
      <c r="P10"/>
      <c r="Q10"/>
      <c r="R10"/>
    </row>
    <row r="11" spans="2:18" ht="20.25" customHeight="1" x14ac:dyDescent="0.3">
      <c r="B11" s="42" t="s">
        <v>347</v>
      </c>
      <c r="C11" s="44"/>
      <c r="D11" s="44"/>
      <c r="E11" s="43"/>
      <c r="F11" s="43"/>
      <c r="G11" s="43"/>
      <c r="H11" s="43"/>
      <c r="I11" s="44">
        <v>7</v>
      </c>
      <c r="J11" s="44"/>
      <c r="K11" s="44"/>
      <c r="L11" s="44">
        <v>7</v>
      </c>
      <c r="M11"/>
      <c r="N11"/>
      <c r="O11"/>
      <c r="P11"/>
      <c r="Q11"/>
      <c r="R11"/>
    </row>
    <row r="12" spans="2:18" ht="20.25" customHeight="1" x14ac:dyDescent="0.3">
      <c r="B12" s="35" t="s">
        <v>8</v>
      </c>
      <c r="C12" s="36">
        <v>28</v>
      </c>
      <c r="D12" s="36">
        <v>2</v>
      </c>
      <c r="E12" s="37">
        <v>8</v>
      </c>
      <c r="F12" s="37">
        <v>8</v>
      </c>
      <c r="G12" s="37">
        <v>2</v>
      </c>
      <c r="H12" s="37">
        <v>3</v>
      </c>
      <c r="I12" s="36">
        <v>39</v>
      </c>
      <c r="J12" s="36">
        <v>9</v>
      </c>
      <c r="K12" s="36">
        <v>1</v>
      </c>
      <c r="L12" s="36">
        <v>100</v>
      </c>
      <c r="M12"/>
      <c r="N12"/>
      <c r="O12"/>
      <c r="P12"/>
      <c r="Q12"/>
      <c r="R12"/>
    </row>
    <row r="13" spans="2:18" ht="20.25" customHeight="1" x14ac:dyDescent="0.3">
      <c r="B13"/>
      <c r="C13"/>
      <c r="D13"/>
      <c r="E13"/>
      <c r="F13"/>
      <c r="G13"/>
      <c r="H13"/>
      <c r="I13"/>
      <c r="J13"/>
      <c r="K13"/>
      <c r="L13"/>
      <c r="M13"/>
      <c r="N13"/>
      <c r="O13"/>
      <c r="P13"/>
      <c r="Q13"/>
      <c r="R13"/>
    </row>
    <row r="14" spans="2:18" x14ac:dyDescent="0.3">
      <c r="B14"/>
      <c r="C14"/>
      <c r="D14"/>
      <c r="E14"/>
      <c r="F14"/>
      <c r="G14"/>
      <c r="H14"/>
      <c r="I14"/>
      <c r="J14"/>
      <c r="K14" s="47"/>
      <c r="L14" s="47"/>
      <c r="M14" s="47"/>
      <c r="N14"/>
      <c r="O14"/>
      <c r="P14"/>
      <c r="Q14"/>
    </row>
    <row r="15" spans="2:18" x14ac:dyDescent="0.3">
      <c r="B15"/>
      <c r="C15"/>
      <c r="D15"/>
      <c r="E15"/>
      <c r="F15"/>
      <c r="G15"/>
      <c r="H15"/>
      <c r="I15"/>
      <c r="J15"/>
      <c r="K15" s="47"/>
      <c r="L15" s="47"/>
      <c r="M15" s="47"/>
      <c r="N15"/>
      <c r="O15"/>
      <c r="P15"/>
      <c r="Q15"/>
    </row>
    <row r="16" spans="2:18" x14ac:dyDescent="0.3">
      <c r="B16"/>
      <c r="C16"/>
      <c r="D16"/>
      <c r="E16"/>
      <c r="F16"/>
      <c r="G16"/>
      <c r="H16"/>
      <c r="I16"/>
      <c r="J16"/>
      <c r="K16" s="47"/>
      <c r="L16" s="47"/>
      <c r="M16" s="47"/>
      <c r="N16"/>
      <c r="O16"/>
      <c r="P16"/>
      <c r="Q16"/>
    </row>
    <row r="17" spans="2:17" x14ac:dyDescent="0.3">
      <c r="B17"/>
      <c r="C17"/>
      <c r="D17"/>
      <c r="E17"/>
      <c r="F17"/>
      <c r="G17"/>
      <c r="H17"/>
      <c r="I17"/>
      <c r="J17"/>
      <c r="K17" s="47"/>
      <c r="L17" s="47"/>
      <c r="M17" s="47"/>
      <c r="N17"/>
      <c r="O17"/>
      <c r="P17"/>
      <c r="Q17"/>
    </row>
  </sheetData>
  <mergeCells count="1">
    <mergeCell ref="B2:L2"/>
  </mergeCells>
  <pageMargins left="0.25" right="0.25" top="0.75" bottom="0.75" header="0.3" footer="0.3"/>
  <pageSetup paperSize="9" scale="94"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22"/>
  <sheetViews>
    <sheetView showGridLines="0" tabSelected="1" zoomScale="80" zoomScaleNormal="80" zoomScaleSheetLayoutView="50" workbookViewId="0">
      <selection activeCell="D16" sqref="D16"/>
    </sheetView>
  </sheetViews>
  <sheetFormatPr defaultColWidth="9.109375" defaultRowHeight="14.4" x14ac:dyDescent="0.3"/>
  <cols>
    <col min="1" max="1" width="1.33203125" style="46" customWidth="1"/>
    <col min="2" max="2" width="39.88671875" style="45" bestFit="1" customWidth="1"/>
    <col min="3" max="3" width="16.88671875" style="46" customWidth="1"/>
    <col min="4" max="4" width="15.6640625" style="45" customWidth="1"/>
    <col min="5" max="5" width="15.6640625" style="46" customWidth="1"/>
    <col min="6" max="6" width="18" style="46" customWidth="1"/>
    <col min="7" max="7" width="24.5546875" style="45" customWidth="1"/>
    <col min="8" max="8" width="25.5546875" style="45" customWidth="1"/>
    <col min="9" max="9" width="18.33203125" style="45" customWidth="1"/>
    <col min="10" max="10" width="19.88671875" style="45" customWidth="1"/>
    <col min="11" max="11" width="14.44140625" style="45" customWidth="1"/>
    <col min="12" max="12" width="13.44140625" style="46" customWidth="1"/>
    <col min="13" max="13" width="14.6640625" style="46" customWidth="1"/>
    <col min="14" max="14" width="18.88671875" style="46" customWidth="1"/>
    <col min="15" max="16384" width="9.109375" style="46"/>
  </cols>
  <sheetData>
    <row r="1" spans="1:14" ht="6.75" customHeight="1" thickBot="1" x14ac:dyDescent="0.35">
      <c r="B1" s="39"/>
      <c r="C1" s="38"/>
    </row>
    <row r="2" spans="1:14" ht="26.4" customHeight="1" thickBot="1" x14ac:dyDescent="0.35">
      <c r="A2" s="39"/>
      <c r="B2" s="169" t="s">
        <v>385</v>
      </c>
      <c r="C2" s="170"/>
      <c r="D2" s="170"/>
      <c r="E2" s="170"/>
      <c r="F2" s="170"/>
      <c r="G2" s="170"/>
      <c r="H2" s="170"/>
      <c r="I2" s="170"/>
      <c r="J2" s="170"/>
      <c r="K2" s="170"/>
      <c r="L2" s="170"/>
      <c r="M2" s="170"/>
      <c r="N2" s="171"/>
    </row>
    <row r="3" spans="1:14" ht="7.5" customHeight="1" thickBot="1" x14ac:dyDescent="0.4">
      <c r="B3" s="79"/>
      <c r="C3" s="79"/>
      <c r="D3" s="79"/>
      <c r="E3" s="79"/>
      <c r="F3" s="79"/>
      <c r="G3" s="79"/>
      <c r="H3" s="79"/>
      <c r="I3" s="79"/>
      <c r="J3" s="79"/>
      <c r="K3" s="79"/>
    </row>
    <row r="4" spans="1:14" ht="48.6" hidden="1" customHeight="1" thickBot="1" x14ac:dyDescent="0.4">
      <c r="B4" s="93" t="s">
        <v>382</v>
      </c>
      <c r="C4" s="94" t="s">
        <v>381</v>
      </c>
      <c r="D4" s="95"/>
      <c r="E4" s="95"/>
      <c r="F4" s="95"/>
      <c r="G4" s="95"/>
      <c r="H4" s="95"/>
      <c r="I4" s="95"/>
      <c r="J4" s="95"/>
      <c r="K4" s="95"/>
      <c r="L4" s="95"/>
      <c r="M4" s="95"/>
      <c r="N4" s="95"/>
    </row>
    <row r="5" spans="1:14" s="45" customFormat="1" ht="39.75" customHeight="1" thickBot="1" x14ac:dyDescent="0.35">
      <c r="B5" s="148" t="s">
        <v>383</v>
      </c>
      <c r="C5" s="146" t="s">
        <v>379</v>
      </c>
      <c r="D5" s="146" t="s">
        <v>380</v>
      </c>
      <c r="E5" s="147" t="s">
        <v>650</v>
      </c>
      <c r="F5" s="147" t="s">
        <v>636</v>
      </c>
      <c r="G5" s="146" t="s">
        <v>458</v>
      </c>
      <c r="H5" s="146" t="s">
        <v>457</v>
      </c>
      <c r="I5" s="146" t="s">
        <v>553</v>
      </c>
      <c r="J5" s="146" t="s">
        <v>506</v>
      </c>
      <c r="K5" s="146" t="s">
        <v>694</v>
      </c>
      <c r="L5" s="147" t="s">
        <v>505</v>
      </c>
      <c r="M5" s="146" t="s">
        <v>501</v>
      </c>
      <c r="N5" s="149" t="s">
        <v>8</v>
      </c>
    </row>
    <row r="6" spans="1:14" ht="25.2" customHeight="1" x14ac:dyDescent="0.3">
      <c r="B6" s="96" t="s">
        <v>504</v>
      </c>
      <c r="C6" s="150">
        <v>1</v>
      </c>
      <c r="D6" s="88">
        <v>1</v>
      </c>
      <c r="E6" s="88">
        <v>2</v>
      </c>
      <c r="F6" s="88">
        <v>2</v>
      </c>
      <c r="G6" s="89">
        <v>9</v>
      </c>
      <c r="H6" s="89">
        <v>2</v>
      </c>
      <c r="I6" s="88"/>
      <c r="J6" s="89">
        <v>24</v>
      </c>
      <c r="K6" s="88">
        <v>12</v>
      </c>
      <c r="L6" s="88">
        <v>22</v>
      </c>
      <c r="M6" s="88">
        <v>2</v>
      </c>
      <c r="N6" s="99">
        <v>77</v>
      </c>
    </row>
    <row r="7" spans="1:14" ht="25.2" customHeight="1" x14ac:dyDescent="0.3">
      <c r="B7" s="98" t="s">
        <v>73</v>
      </c>
      <c r="C7" s="151"/>
      <c r="D7" s="85"/>
      <c r="E7" s="85"/>
      <c r="F7" s="85"/>
      <c r="G7" s="86"/>
      <c r="H7" s="86"/>
      <c r="I7" s="85"/>
      <c r="J7" s="86"/>
      <c r="K7" s="85"/>
      <c r="L7" s="85">
        <v>1</v>
      </c>
      <c r="M7" s="85"/>
      <c r="N7" s="100">
        <v>1</v>
      </c>
    </row>
    <row r="8" spans="1:14" ht="25.2" customHeight="1" x14ac:dyDescent="0.3">
      <c r="B8" s="98" t="s">
        <v>571</v>
      </c>
      <c r="C8" s="151"/>
      <c r="D8" s="85"/>
      <c r="E8" s="85"/>
      <c r="F8" s="85"/>
      <c r="G8" s="86">
        <v>8</v>
      </c>
      <c r="H8" s="86">
        <v>1</v>
      </c>
      <c r="I8" s="85"/>
      <c r="J8" s="86"/>
      <c r="K8" s="85"/>
      <c r="L8" s="85"/>
      <c r="M8" s="85"/>
      <c r="N8" s="100">
        <v>9</v>
      </c>
    </row>
    <row r="9" spans="1:14" ht="25.2" customHeight="1" thickBot="1" x14ac:dyDescent="0.35">
      <c r="B9" s="97" t="s">
        <v>497</v>
      </c>
      <c r="C9" s="152">
        <v>4</v>
      </c>
      <c r="D9" s="92"/>
      <c r="E9" s="92"/>
      <c r="F9" s="92"/>
      <c r="G9" s="91"/>
      <c r="H9" s="91"/>
      <c r="I9" s="92"/>
      <c r="J9" s="91"/>
      <c r="K9" s="92"/>
      <c r="L9" s="92"/>
      <c r="M9" s="92"/>
      <c r="N9" s="101">
        <v>4</v>
      </c>
    </row>
    <row r="10" spans="1:14" ht="25.2" customHeight="1" x14ac:dyDescent="0.3">
      <c r="B10" s="153" t="s">
        <v>93</v>
      </c>
      <c r="C10" s="151"/>
      <c r="D10" s="85"/>
      <c r="E10" s="85"/>
      <c r="F10" s="85"/>
      <c r="G10" s="86"/>
      <c r="H10" s="86">
        <v>1</v>
      </c>
      <c r="I10" s="85"/>
      <c r="J10" s="86"/>
      <c r="K10" s="85">
        <v>1</v>
      </c>
      <c r="L10" s="85">
        <v>7</v>
      </c>
      <c r="M10" s="85"/>
      <c r="N10" s="100">
        <v>9</v>
      </c>
    </row>
    <row r="11" spans="1:14" ht="25.2" customHeight="1" thickBot="1" x14ac:dyDescent="0.35">
      <c r="B11" s="97" t="s">
        <v>567</v>
      </c>
      <c r="C11" s="152"/>
      <c r="D11" s="92"/>
      <c r="E11" s="92"/>
      <c r="F11" s="92"/>
      <c r="G11" s="91"/>
      <c r="H11" s="91"/>
      <c r="I11" s="92"/>
      <c r="J11" s="91"/>
      <c r="K11" s="92"/>
      <c r="L11" s="92">
        <v>1</v>
      </c>
      <c r="M11" s="92"/>
      <c r="N11" s="101">
        <v>1</v>
      </c>
    </row>
    <row r="12" spans="1:14" ht="25.2" customHeight="1" x14ac:dyDescent="0.3">
      <c r="B12" s="98" t="s">
        <v>35</v>
      </c>
      <c r="C12" s="151"/>
      <c r="D12" s="85"/>
      <c r="E12" s="85"/>
      <c r="F12" s="85"/>
      <c r="G12" s="86"/>
      <c r="H12" s="86"/>
      <c r="I12" s="85">
        <v>2</v>
      </c>
      <c r="J12" s="86">
        <v>3</v>
      </c>
      <c r="K12" s="85"/>
      <c r="L12" s="85"/>
      <c r="M12" s="85"/>
      <c r="N12" s="100">
        <v>5</v>
      </c>
    </row>
    <row r="13" spans="1:14" ht="25.2" customHeight="1" x14ac:dyDescent="0.3">
      <c r="B13" s="98" t="s">
        <v>499</v>
      </c>
      <c r="C13" s="151">
        <v>1</v>
      </c>
      <c r="D13" s="85"/>
      <c r="E13" s="85"/>
      <c r="F13" s="85"/>
      <c r="G13" s="86"/>
      <c r="H13" s="86">
        <v>2</v>
      </c>
      <c r="I13" s="85"/>
      <c r="J13" s="86"/>
      <c r="K13" s="85"/>
      <c r="L13" s="85"/>
      <c r="M13" s="85"/>
      <c r="N13" s="100">
        <v>3</v>
      </c>
    </row>
    <row r="14" spans="1:14" ht="25.2" customHeight="1" x14ac:dyDescent="0.3">
      <c r="B14" s="98" t="s">
        <v>557</v>
      </c>
      <c r="C14" s="151"/>
      <c r="D14" s="85"/>
      <c r="E14" s="85"/>
      <c r="F14" s="85"/>
      <c r="G14" s="86"/>
      <c r="H14" s="86">
        <v>1</v>
      </c>
      <c r="I14" s="85"/>
      <c r="J14" s="86"/>
      <c r="K14" s="85"/>
      <c r="L14" s="85"/>
      <c r="M14" s="85"/>
      <c r="N14" s="100">
        <v>1</v>
      </c>
    </row>
    <row r="15" spans="1:14" ht="25.2" customHeight="1" thickBot="1" x14ac:dyDescent="0.35">
      <c r="B15" s="97" t="s">
        <v>498</v>
      </c>
      <c r="C15" s="152"/>
      <c r="D15" s="92"/>
      <c r="E15" s="92"/>
      <c r="F15" s="92"/>
      <c r="G15" s="91"/>
      <c r="H15" s="91"/>
      <c r="I15" s="92">
        <v>1</v>
      </c>
      <c r="J15" s="91"/>
      <c r="K15" s="92"/>
      <c r="L15" s="92"/>
      <c r="M15" s="92"/>
      <c r="N15" s="101">
        <v>1</v>
      </c>
    </row>
    <row r="16" spans="1:14" ht="25.2" customHeight="1" thickBot="1" x14ac:dyDescent="0.35">
      <c r="B16" s="97" t="s">
        <v>502</v>
      </c>
      <c r="C16" s="152">
        <v>8</v>
      </c>
      <c r="D16" s="92"/>
      <c r="E16" s="92"/>
      <c r="F16" s="92"/>
      <c r="G16" s="91"/>
      <c r="H16" s="91"/>
      <c r="I16" s="92"/>
      <c r="J16" s="91"/>
      <c r="K16" s="92"/>
      <c r="L16" s="92"/>
      <c r="M16" s="92"/>
      <c r="N16" s="101">
        <v>8</v>
      </c>
    </row>
    <row r="17" spans="2:14" ht="25.2" customHeight="1" x14ac:dyDescent="0.3">
      <c r="B17" s="98" t="s">
        <v>568</v>
      </c>
      <c r="C17" s="151"/>
      <c r="D17" s="85"/>
      <c r="E17" s="85"/>
      <c r="F17" s="85"/>
      <c r="G17" s="86"/>
      <c r="H17" s="86"/>
      <c r="I17" s="85"/>
      <c r="J17" s="86"/>
      <c r="K17" s="85"/>
      <c r="L17" s="85">
        <v>8</v>
      </c>
      <c r="M17" s="85"/>
      <c r="N17" s="100">
        <v>8</v>
      </c>
    </row>
    <row r="18" spans="2:14" ht="25.2" customHeight="1" x14ac:dyDescent="0.3">
      <c r="B18" s="98" t="s">
        <v>212</v>
      </c>
      <c r="C18" s="151"/>
      <c r="D18" s="85"/>
      <c r="E18" s="85"/>
      <c r="F18" s="85"/>
      <c r="G18" s="86"/>
      <c r="H18" s="86"/>
      <c r="I18" s="85"/>
      <c r="J18" s="86"/>
      <c r="K18" s="85"/>
      <c r="L18" s="85">
        <v>20</v>
      </c>
      <c r="M18" s="85"/>
      <c r="N18" s="100">
        <v>20</v>
      </c>
    </row>
    <row r="19" spans="2:14" ht="25.2" customHeight="1" thickBot="1" x14ac:dyDescent="0.35">
      <c r="B19" s="97" t="s">
        <v>500</v>
      </c>
      <c r="C19" s="152"/>
      <c r="D19" s="92"/>
      <c r="E19" s="92"/>
      <c r="F19" s="92"/>
      <c r="G19" s="91"/>
      <c r="H19" s="91">
        <v>1</v>
      </c>
      <c r="I19" s="92"/>
      <c r="J19" s="91"/>
      <c r="K19" s="92"/>
      <c r="L19" s="92"/>
      <c r="M19" s="92"/>
      <c r="N19" s="101">
        <v>1</v>
      </c>
    </row>
    <row r="20" spans="2:14" ht="25.2" customHeight="1" thickBot="1" x14ac:dyDescent="0.35">
      <c r="B20" s="149" t="s">
        <v>8</v>
      </c>
      <c r="C20" s="128">
        <v>14</v>
      </c>
      <c r="D20" s="128">
        <v>1</v>
      </c>
      <c r="E20" s="128">
        <v>2</v>
      </c>
      <c r="F20" s="128">
        <v>2</v>
      </c>
      <c r="G20" s="129">
        <v>17</v>
      </c>
      <c r="H20" s="129">
        <v>8</v>
      </c>
      <c r="I20" s="128">
        <v>3</v>
      </c>
      <c r="J20" s="129">
        <v>27</v>
      </c>
      <c r="K20" s="128">
        <v>13</v>
      </c>
      <c r="L20" s="128">
        <v>59</v>
      </c>
      <c r="M20" s="128">
        <v>2</v>
      </c>
      <c r="N20" s="130">
        <v>148</v>
      </c>
    </row>
    <row r="21" spans="2:14" ht="25.2" customHeight="1" x14ac:dyDescent="0.3">
      <c r="B21"/>
      <c r="C21"/>
      <c r="D21"/>
      <c r="E21"/>
      <c r="F21"/>
      <c r="G21"/>
      <c r="H21"/>
      <c r="I21"/>
      <c r="J21"/>
      <c r="K21"/>
    </row>
    <row r="22" spans="2:14" x14ac:dyDescent="0.3">
      <c r="B22"/>
      <c r="C22"/>
      <c r="D22"/>
      <c r="E22"/>
      <c r="F22"/>
      <c r="G22"/>
      <c r="H22"/>
      <c r="I22"/>
      <c r="J22"/>
      <c r="K22"/>
    </row>
  </sheetData>
  <mergeCells count="1">
    <mergeCell ref="B2:N2"/>
  </mergeCells>
  <pageMargins left="0.25" right="0.25" top="0.75" bottom="0.75" header="0.3" footer="0.3"/>
  <pageSetup paperSize="9" scale="56"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1231D-7DE9-463C-828A-D3946AFDB171}">
  <sheetPr>
    <pageSetUpPr fitToPage="1"/>
  </sheetPr>
  <dimension ref="B1:N29"/>
  <sheetViews>
    <sheetView zoomScale="90" zoomScaleNormal="90" workbookViewId="0">
      <selection activeCell="I20" sqref="I20"/>
    </sheetView>
  </sheetViews>
  <sheetFormatPr defaultRowHeight="14.4" x14ac:dyDescent="0.3"/>
  <cols>
    <col min="1" max="1" width="4.44140625" customWidth="1"/>
    <col min="2" max="2" width="36.88671875" bestFit="1" customWidth="1"/>
    <col min="3" max="7" width="16.88671875" customWidth="1"/>
    <col min="8" max="8" width="7.77734375" bestFit="1" customWidth="1"/>
    <col min="9" max="9" width="21" bestFit="1" customWidth="1"/>
    <col min="10" max="10" width="14" bestFit="1" customWidth="1"/>
    <col min="11" max="11" width="4.44140625" bestFit="1" customWidth="1"/>
    <col min="12" max="12" width="4" bestFit="1" customWidth="1"/>
    <col min="13" max="13" width="10.77734375" bestFit="1" customWidth="1"/>
    <col min="14" max="14" width="7" hidden="1" customWidth="1"/>
    <col min="15" max="15" width="21" bestFit="1" customWidth="1"/>
    <col min="16" max="16" width="13.109375" bestFit="1" customWidth="1"/>
    <col min="17" max="17" width="17.88671875" bestFit="1" customWidth="1"/>
    <col min="18" max="18" width="13.109375" bestFit="1" customWidth="1"/>
    <col min="19" max="19" width="17.88671875" bestFit="1" customWidth="1"/>
    <col min="20" max="20" width="13.109375" bestFit="1" customWidth="1"/>
    <col min="21" max="21" width="17.88671875" bestFit="1" customWidth="1"/>
    <col min="22" max="22" width="13.109375" bestFit="1" customWidth="1"/>
    <col min="23" max="23" width="22.6640625" bestFit="1" customWidth="1"/>
    <col min="24" max="24" width="17.88671875" bestFit="1" customWidth="1"/>
  </cols>
  <sheetData>
    <row r="1" spans="2:7" ht="15" thickBot="1" x14ac:dyDescent="0.35"/>
    <row r="2" spans="2:7" ht="25.2" customHeight="1" thickBot="1" x14ac:dyDescent="0.35">
      <c r="B2" s="169" t="s">
        <v>610</v>
      </c>
      <c r="C2" s="170"/>
      <c r="D2" s="170"/>
      <c r="E2" s="170"/>
      <c r="F2" s="170"/>
      <c r="G2" s="171"/>
    </row>
    <row r="3" spans="2:7" hidden="1" x14ac:dyDescent="0.3">
      <c r="B3" s="104" t="s">
        <v>603</v>
      </c>
      <c r="C3" s="104" t="s">
        <v>381</v>
      </c>
      <c r="D3" s="134"/>
      <c r="E3" s="134"/>
      <c r="F3" s="134"/>
      <c r="G3" s="134"/>
    </row>
    <row r="4" spans="2:7" ht="21" customHeight="1" thickBot="1" x14ac:dyDescent="0.35">
      <c r="B4" s="108" t="s">
        <v>102</v>
      </c>
      <c r="C4" s="113" t="s">
        <v>346</v>
      </c>
      <c r="D4" s="102" t="s">
        <v>344</v>
      </c>
      <c r="E4" s="102" t="s">
        <v>348</v>
      </c>
      <c r="F4" s="119" t="s">
        <v>342</v>
      </c>
      <c r="G4" s="114" t="s">
        <v>8</v>
      </c>
    </row>
    <row r="5" spans="2:7" ht="21" customHeight="1" x14ac:dyDescent="0.3">
      <c r="B5" s="109" t="s">
        <v>379</v>
      </c>
      <c r="C5" s="105"/>
      <c r="D5" s="106">
        <v>3</v>
      </c>
      <c r="E5" s="106">
        <v>5</v>
      </c>
      <c r="F5" s="106">
        <v>6</v>
      </c>
      <c r="G5" s="116">
        <v>14</v>
      </c>
    </row>
    <row r="6" spans="2:7" ht="21" customHeight="1" x14ac:dyDescent="0.3">
      <c r="B6" s="110" t="s">
        <v>380</v>
      </c>
      <c r="C6" s="107"/>
      <c r="D6" s="84"/>
      <c r="E6" s="84"/>
      <c r="F6" s="84">
        <v>1</v>
      </c>
      <c r="G6" s="117">
        <v>1</v>
      </c>
    </row>
    <row r="7" spans="2:7" ht="21" customHeight="1" x14ac:dyDescent="0.3">
      <c r="B7" s="110" t="s">
        <v>650</v>
      </c>
      <c r="C7" s="107"/>
      <c r="D7" s="84"/>
      <c r="E7" s="84"/>
      <c r="F7" s="84">
        <v>2</v>
      </c>
      <c r="G7" s="117">
        <v>2</v>
      </c>
    </row>
    <row r="8" spans="2:7" ht="21" customHeight="1" x14ac:dyDescent="0.3">
      <c r="B8" s="110" t="s">
        <v>636</v>
      </c>
      <c r="C8" s="107"/>
      <c r="D8" s="84"/>
      <c r="E8" s="84"/>
      <c r="F8" s="84">
        <v>2</v>
      </c>
      <c r="G8" s="117">
        <v>2</v>
      </c>
    </row>
    <row r="9" spans="2:7" ht="21" customHeight="1" x14ac:dyDescent="0.3">
      <c r="B9" s="110" t="s">
        <v>458</v>
      </c>
      <c r="C9" s="107"/>
      <c r="D9" s="84"/>
      <c r="E9" s="84"/>
      <c r="F9" s="84">
        <v>17</v>
      </c>
      <c r="G9" s="117">
        <v>17</v>
      </c>
    </row>
    <row r="10" spans="2:7" ht="21" customHeight="1" x14ac:dyDescent="0.3">
      <c r="B10" s="110" t="s">
        <v>457</v>
      </c>
      <c r="C10" s="107">
        <v>1</v>
      </c>
      <c r="D10" s="84">
        <v>2</v>
      </c>
      <c r="E10" s="84"/>
      <c r="F10" s="84">
        <v>5</v>
      </c>
      <c r="G10" s="117">
        <v>8</v>
      </c>
    </row>
    <row r="11" spans="2:7" ht="21" customHeight="1" x14ac:dyDescent="0.3">
      <c r="B11" s="110" t="s">
        <v>553</v>
      </c>
      <c r="C11" s="107">
        <v>1</v>
      </c>
      <c r="D11" s="84"/>
      <c r="E11" s="84">
        <v>1</v>
      </c>
      <c r="F11" s="84">
        <v>1</v>
      </c>
      <c r="G11" s="117">
        <v>3</v>
      </c>
    </row>
    <row r="12" spans="2:7" ht="21" customHeight="1" x14ac:dyDescent="0.3">
      <c r="B12" s="110" t="s">
        <v>506</v>
      </c>
      <c r="C12" s="107"/>
      <c r="D12" s="84"/>
      <c r="E12" s="84">
        <v>2</v>
      </c>
      <c r="F12" s="84">
        <v>25</v>
      </c>
      <c r="G12" s="117">
        <v>27</v>
      </c>
    </row>
    <row r="13" spans="2:7" ht="21" customHeight="1" x14ac:dyDescent="0.3">
      <c r="B13" s="110" t="s">
        <v>694</v>
      </c>
      <c r="C13" s="107"/>
      <c r="D13" s="84"/>
      <c r="E13" s="84">
        <v>1</v>
      </c>
      <c r="F13" s="84">
        <v>12</v>
      </c>
      <c r="G13" s="117">
        <v>13</v>
      </c>
    </row>
    <row r="14" spans="2:7" ht="21" customHeight="1" x14ac:dyDescent="0.3">
      <c r="B14" s="110" t="s">
        <v>505</v>
      </c>
      <c r="C14" s="107">
        <v>7</v>
      </c>
      <c r="D14" s="84">
        <v>2</v>
      </c>
      <c r="E14" s="84">
        <v>23</v>
      </c>
      <c r="F14" s="84">
        <v>27</v>
      </c>
      <c r="G14" s="117">
        <v>59</v>
      </c>
    </row>
    <row r="15" spans="2:7" ht="21" customHeight="1" thickBot="1" x14ac:dyDescent="0.35">
      <c r="B15" s="111" t="s">
        <v>501</v>
      </c>
      <c r="C15" s="107"/>
      <c r="D15" s="84"/>
      <c r="E15" s="84"/>
      <c r="F15" s="84">
        <v>2</v>
      </c>
      <c r="G15" s="117">
        <v>2</v>
      </c>
    </row>
    <row r="16" spans="2:7" ht="16.2" thickBot="1" x14ac:dyDescent="0.35">
      <c r="B16" s="112" t="s">
        <v>8</v>
      </c>
      <c r="C16" s="115">
        <v>9</v>
      </c>
      <c r="D16" s="103">
        <v>7</v>
      </c>
      <c r="E16" s="103">
        <v>32</v>
      </c>
      <c r="F16" s="103">
        <v>100</v>
      </c>
      <c r="G16" s="118">
        <v>148</v>
      </c>
    </row>
    <row r="17" spans="2:7" ht="15.6" hidden="1" x14ac:dyDescent="0.3">
      <c r="C17" s="131"/>
      <c r="D17" s="131"/>
      <c r="E17" s="131"/>
      <c r="F17" s="131"/>
      <c r="G17" s="131"/>
    </row>
    <row r="18" spans="2:7" ht="16.2" thickBot="1" x14ac:dyDescent="0.35">
      <c r="C18" s="131"/>
      <c r="D18" s="131"/>
      <c r="E18" s="131"/>
      <c r="F18" s="131"/>
      <c r="G18" s="131"/>
    </row>
    <row r="19" spans="2:7" ht="28.8" customHeight="1" thickBot="1" x14ac:dyDescent="0.35">
      <c r="B19" s="172" t="s">
        <v>609</v>
      </c>
      <c r="C19" s="173"/>
      <c r="D19" s="173"/>
      <c r="E19" s="174"/>
    </row>
    <row r="20" spans="2:7" ht="32.4" customHeight="1" thickBot="1" x14ac:dyDescent="0.35">
      <c r="B20" s="120" t="s">
        <v>383</v>
      </c>
      <c r="C20" s="120" t="s">
        <v>341</v>
      </c>
      <c r="D20" s="120" t="s">
        <v>460</v>
      </c>
      <c r="E20" s="121" t="s">
        <v>604</v>
      </c>
    </row>
    <row r="21" spans="2:7" ht="32.4" customHeight="1" x14ac:dyDescent="0.3">
      <c r="B21" s="135" t="s">
        <v>605</v>
      </c>
      <c r="C21" s="136">
        <v>100</v>
      </c>
      <c r="D21" s="136">
        <v>4</v>
      </c>
      <c r="E21" s="137">
        <f>C21+D21</f>
        <v>104</v>
      </c>
    </row>
    <row r="22" spans="2:7" ht="32.4" customHeight="1" x14ac:dyDescent="0.3">
      <c r="B22" s="138" t="s">
        <v>778</v>
      </c>
      <c r="C22" s="139">
        <v>15</v>
      </c>
      <c r="D22" s="139">
        <v>1</v>
      </c>
      <c r="E22" s="137">
        <f t="shared" ref="E22:E24" si="0">C22+D22</f>
        <v>16</v>
      </c>
    </row>
    <row r="23" spans="2:7" ht="32.4" customHeight="1" x14ac:dyDescent="0.3">
      <c r="B23" s="138" t="s">
        <v>606</v>
      </c>
      <c r="C23" s="139">
        <v>185</v>
      </c>
      <c r="D23" s="139">
        <v>0</v>
      </c>
      <c r="E23" s="137">
        <f t="shared" si="0"/>
        <v>185</v>
      </c>
    </row>
    <row r="24" spans="2:7" ht="32.4" customHeight="1" x14ac:dyDescent="0.3">
      <c r="B24" s="138" t="s">
        <v>607</v>
      </c>
      <c r="C24" s="139">
        <f>SUM(C25:C28)</f>
        <v>4091</v>
      </c>
      <c r="D24" s="139">
        <v>0</v>
      </c>
      <c r="E24" s="137">
        <f t="shared" si="0"/>
        <v>4091</v>
      </c>
    </row>
    <row r="25" spans="2:7" ht="20.399999999999999" customHeight="1" x14ac:dyDescent="0.3">
      <c r="B25" s="122" t="s">
        <v>637</v>
      </c>
      <c r="C25" s="123">
        <v>212</v>
      </c>
      <c r="D25" s="123">
        <v>0</v>
      </c>
      <c r="E25" s="124">
        <f t="shared" ref="E25:E28" si="1">C25</f>
        <v>212</v>
      </c>
    </row>
    <row r="26" spans="2:7" ht="20.399999999999999" customHeight="1" x14ac:dyDescent="0.3">
      <c r="B26" s="122" t="s">
        <v>638</v>
      </c>
      <c r="C26" s="123">
        <v>669</v>
      </c>
      <c r="D26" s="123">
        <v>0</v>
      </c>
      <c r="E26" s="124">
        <f t="shared" si="1"/>
        <v>669</v>
      </c>
    </row>
    <row r="27" spans="2:7" ht="20.399999999999999" customHeight="1" x14ac:dyDescent="0.3">
      <c r="B27" s="122" t="s">
        <v>639</v>
      </c>
      <c r="C27" s="123">
        <v>75</v>
      </c>
      <c r="D27" s="123">
        <v>0</v>
      </c>
      <c r="E27" s="124">
        <f t="shared" si="1"/>
        <v>75</v>
      </c>
    </row>
    <row r="28" spans="2:7" ht="20.399999999999999" customHeight="1" x14ac:dyDescent="0.3">
      <c r="B28" s="122" t="s">
        <v>640</v>
      </c>
      <c r="C28" s="123">
        <v>3135</v>
      </c>
      <c r="D28" s="123">
        <v>0</v>
      </c>
      <c r="E28" s="124">
        <f t="shared" si="1"/>
        <v>3135</v>
      </c>
    </row>
    <row r="29" spans="2:7" ht="18.600000000000001" thickBot="1" x14ac:dyDescent="0.35">
      <c r="B29" s="125" t="s">
        <v>608</v>
      </c>
      <c r="C29" s="125">
        <f>SUM(C21:C24)</f>
        <v>4391</v>
      </c>
      <c r="D29" s="125">
        <f>SUM(D21:D24)</f>
        <v>5</v>
      </c>
      <c r="E29" s="126">
        <f>SUM(E21:E24)</f>
        <v>4396</v>
      </c>
    </row>
  </sheetData>
  <mergeCells count="2">
    <mergeCell ref="B2:G2"/>
    <mergeCell ref="B19:E19"/>
  </mergeCells>
  <pageMargins left="0.43307086614173229" right="0.23622047244094491" top="0.74803149606299213" bottom="0.74803149606299213" header="0.31496062992125984" footer="0.31496062992125984"/>
  <pageSetup paperSize="9" scale="78" fitToWidth="0"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AEC46-56B6-4266-9691-4202310AC74A}">
  <dimension ref="A1:AF149"/>
  <sheetViews>
    <sheetView zoomScale="76" zoomScaleNormal="76" workbookViewId="0">
      <pane xSplit="10" ySplit="1" topLeftCell="AB2" activePane="bottomRight" state="frozen"/>
      <selection activeCell="B1" sqref="B1"/>
      <selection pane="topRight" activeCell="L1" sqref="L1"/>
      <selection pane="bottomLeft" activeCell="B2" sqref="B2"/>
      <selection pane="bottomRight" activeCell="AD1" sqref="AD1:AD1048576"/>
    </sheetView>
  </sheetViews>
  <sheetFormatPr defaultColWidth="9.109375" defaultRowHeight="15.6" x14ac:dyDescent="0.3"/>
  <cols>
    <col min="1" max="1" width="16.77734375" style="75" customWidth="1"/>
    <col min="2" max="2" width="11.5546875" style="60" customWidth="1"/>
    <col min="3" max="3" width="18.6640625" style="60" customWidth="1"/>
    <col min="4" max="4" width="20" style="60" customWidth="1"/>
    <col min="5" max="5" width="19.6640625" style="75" customWidth="1"/>
    <col min="6" max="6" width="15.33203125" style="75" customWidth="1"/>
    <col min="7" max="7" width="10.88671875" style="60" customWidth="1"/>
    <col min="8" max="8" width="9.109375" style="60"/>
    <col min="9" max="9" width="16.88671875" style="75" customWidth="1"/>
    <col min="10" max="10" width="46.6640625" style="81" customWidth="1"/>
    <col min="11" max="11" width="18.5546875" style="76" customWidth="1"/>
    <col min="12" max="12" width="16.88671875" style="76" customWidth="1"/>
    <col min="13" max="13" width="27.6640625" style="76" customWidth="1"/>
    <col min="14" max="14" width="20.6640625" style="76" customWidth="1"/>
    <col min="15" max="15" width="19.109375" style="76" customWidth="1"/>
    <col min="16" max="16" width="25.33203125" style="76" customWidth="1"/>
    <col min="17" max="17" width="21" style="76" bestFit="1" customWidth="1"/>
    <col min="18" max="18" width="25.88671875" style="76" customWidth="1"/>
    <col min="19" max="19" width="18.88671875" style="76" customWidth="1"/>
    <col min="20" max="20" width="23.44140625" style="76" bestFit="1" customWidth="1"/>
    <col min="21" max="21" width="27.109375" style="76" customWidth="1"/>
    <col min="22" max="22" width="22" style="76" customWidth="1"/>
    <col min="23" max="23" width="26.6640625" style="76" customWidth="1"/>
    <col min="24" max="24" width="25.88671875" style="76" bestFit="1" customWidth="1"/>
    <col min="25" max="25" width="30.6640625" style="76" bestFit="1" customWidth="1"/>
    <col min="26" max="26" width="19.33203125" style="76" bestFit="1" customWidth="1"/>
    <col min="27" max="27" width="27.33203125" style="76" bestFit="1" customWidth="1"/>
    <col min="28" max="28" width="23.109375" style="76" customWidth="1"/>
    <col min="29" max="29" width="36.5546875" style="77" customWidth="1"/>
    <col min="30" max="30" width="31.77734375" style="60" hidden="1" customWidth="1"/>
    <col min="31" max="31" width="18.77734375" style="78" customWidth="1"/>
    <col min="32" max="32" width="21.33203125" style="60" hidden="1" customWidth="1"/>
    <col min="33" max="16384" width="9.109375" style="60"/>
  </cols>
  <sheetData>
    <row r="1" spans="1:32" ht="31.2" x14ac:dyDescent="0.3">
      <c r="A1" s="49" t="s">
        <v>334</v>
      </c>
      <c r="B1" s="49" t="s">
        <v>86</v>
      </c>
      <c r="C1" s="49" t="s">
        <v>103</v>
      </c>
      <c r="D1" s="49" t="s">
        <v>11</v>
      </c>
      <c r="E1" s="49" t="s">
        <v>101</v>
      </c>
      <c r="F1" s="49" t="s">
        <v>89</v>
      </c>
      <c r="G1" s="49" t="s">
        <v>9</v>
      </c>
      <c r="H1" s="49" t="s">
        <v>0</v>
      </c>
      <c r="I1" s="49" t="s">
        <v>10</v>
      </c>
      <c r="J1" s="49" t="s">
        <v>12</v>
      </c>
      <c r="K1" s="49" t="s">
        <v>285</v>
      </c>
      <c r="L1" s="49" t="s">
        <v>286</v>
      </c>
      <c r="M1" s="49" t="s">
        <v>287</v>
      </c>
      <c r="N1" s="49" t="s">
        <v>111</v>
      </c>
      <c r="O1" s="50" t="s">
        <v>105</v>
      </c>
      <c r="P1" s="49" t="s">
        <v>106</v>
      </c>
      <c r="Q1" s="49" t="s">
        <v>278</v>
      </c>
      <c r="R1" s="49" t="s">
        <v>107</v>
      </c>
      <c r="S1" s="49" t="s">
        <v>110</v>
      </c>
      <c r="T1" s="51" t="s">
        <v>279</v>
      </c>
      <c r="U1" s="51" t="s">
        <v>280</v>
      </c>
      <c r="V1" s="52" t="s">
        <v>281</v>
      </c>
      <c r="W1" s="52" t="s">
        <v>282</v>
      </c>
      <c r="X1" s="49" t="s">
        <v>283</v>
      </c>
      <c r="Y1" s="49" t="s">
        <v>213</v>
      </c>
      <c r="Z1" s="49" t="s">
        <v>36</v>
      </c>
      <c r="AA1" s="51" t="s">
        <v>284</v>
      </c>
      <c r="AB1" s="51" t="s">
        <v>290</v>
      </c>
      <c r="AC1" s="52" t="s">
        <v>102</v>
      </c>
      <c r="AD1" s="54" t="s">
        <v>459</v>
      </c>
      <c r="AE1" s="62" t="s">
        <v>517</v>
      </c>
      <c r="AF1" s="132" t="s">
        <v>654</v>
      </c>
    </row>
    <row r="2" spans="1:32" x14ac:dyDescent="0.3">
      <c r="A2" s="90" t="s">
        <v>507</v>
      </c>
      <c r="B2" s="64">
        <v>1</v>
      </c>
      <c r="C2" s="87" t="s">
        <v>42</v>
      </c>
      <c r="D2" s="63" t="s">
        <v>225</v>
      </c>
      <c r="E2" s="65" t="s">
        <v>504</v>
      </c>
      <c r="F2" s="66" t="s">
        <v>341</v>
      </c>
      <c r="G2" s="64" t="s">
        <v>342</v>
      </c>
      <c r="H2" s="64" t="s">
        <v>343</v>
      </c>
      <c r="I2" s="64" t="s">
        <v>353</v>
      </c>
      <c r="J2" s="59" t="s">
        <v>566</v>
      </c>
      <c r="K2" s="64" t="s">
        <v>419</v>
      </c>
      <c r="L2" s="67">
        <v>675</v>
      </c>
      <c r="M2" s="65" t="s">
        <v>581</v>
      </c>
      <c r="N2" s="69" t="s">
        <v>621</v>
      </c>
      <c r="O2" s="68">
        <v>46083</v>
      </c>
      <c r="P2" s="69" t="str">
        <f>IFERROR(VLOOKUP(TableAOPTarget[[#This Row],[RFC Date]],TableAopCalendar[[Date]:[Concatenate Month &amp; Week]],7,FALSE),"")</f>
        <v>March 26 Week 1</v>
      </c>
      <c r="Q2" s="68">
        <v>46083</v>
      </c>
      <c r="R2" s="69" t="str">
        <f>IFERROR(VLOOKUP(TableAOPTarget[[#This Row],[Actual Start Date]],TableAopCalendar[[Date]:[Concatenate Month &amp; Week]],7,FALSE),"")</f>
        <v>March 26 Week 1</v>
      </c>
      <c r="S2" s="69">
        <v>35</v>
      </c>
      <c r="T2" s="68">
        <f>TableAOPTarget[[#This Row],[Actual Start Date]]+TableAOPTarget[[#This Row],[Standard Duration]]</f>
        <v>46118</v>
      </c>
      <c r="U2" s="65" t="str">
        <f>IFERROR(VLOOKUP(TableAOPTarget[[#This Row],[Planned Finish Date]],TableAopCalendar[[Date]:[Concatenate Month &amp; Week]],7,FALSE),"")</f>
        <v>April 26 Week 1</v>
      </c>
      <c r="V2" s="68">
        <v>46121</v>
      </c>
      <c r="W2" s="69" t="str">
        <f>IFERROR(VLOOKUP(TableAOPTarget[[#This Row],[Actual Finish Date]],TableAopCalendar[[Date]:[Concatenate Month &amp; Week]],7,FALSE),"")</f>
        <v>April 26 Week 2</v>
      </c>
      <c r="X2" s="68">
        <v>46121</v>
      </c>
      <c r="Y2" s="69" t="str">
        <f>IFERROR(VLOOKUP(TableAOPTarget[[#This Row],[Forecasted Finish Date]],TableAopCalendar[[Date]:[Concatenate Month &amp; Week]],7,FALSE),"")</f>
        <v>April 26 Week 2</v>
      </c>
      <c r="Z2" s="68">
        <v>46122</v>
      </c>
      <c r="AA2" s="69" t="str">
        <f>IF(OR(TableAOPTarget[[#This Row],[EPC Status]]="EPC Ready",TableAOPTarget[[#This Row],[EPC Status]]="WIP",TableAOPTarget[[#This Row],[EPC Status]]="YTS"),INDEX(TableAopCalendar[Concatenate Month &amp; Plan],MATCH(TableAOPTarget[[#This Row],[Planned Finish Date]],TableAopCalendar[Date],0))," ")</f>
        <v>APRIL 26 PLANNED</v>
      </c>
      <c r="AB2" s="69" t="str">
        <f>IF(TableAOPTarget[[#This Row],[EPC Status]]="EPC Ready",INDEX(TableAopCalendar[Month for Plan],MATCH(TableAOPTarget[[#This Row],[Actual Finish Date]],TableAopCalendar[Date],0))," ")</f>
        <v>APRIL 26</v>
      </c>
      <c r="AC2" s="87" t="s">
        <v>379</v>
      </c>
      <c r="AD2" s="63" t="str">
        <f>VLOOKUP(TableAOPTarget[[#This Row],[Site Name]],[17]Backup!$E:$F,2,0)</f>
        <v>10. Launched</v>
      </c>
      <c r="AE2" s="80"/>
      <c r="AF2" s="60" t="str">
        <f>VLOOKUP(TableAOPTarget[[#This Row],[Site Name]],[17]Backup!$E:$GG,185,0)</f>
        <v>2026-2027</v>
      </c>
    </row>
    <row r="3" spans="1:32" ht="31.2" x14ac:dyDescent="0.3">
      <c r="A3" s="64" t="s">
        <v>522</v>
      </c>
      <c r="B3" s="64">
        <v>2</v>
      </c>
      <c r="C3" s="87" t="s">
        <v>42</v>
      </c>
      <c r="D3" s="63" t="s">
        <v>225</v>
      </c>
      <c r="E3" s="65" t="s">
        <v>499</v>
      </c>
      <c r="F3" s="66" t="s">
        <v>352</v>
      </c>
      <c r="G3" s="72" t="s">
        <v>348</v>
      </c>
      <c r="H3" s="66" t="s">
        <v>349</v>
      </c>
      <c r="I3" s="48" t="s">
        <v>361</v>
      </c>
      <c r="J3" s="59" t="s">
        <v>518</v>
      </c>
      <c r="K3" s="72" t="s">
        <v>366</v>
      </c>
      <c r="L3" s="72">
        <v>948</v>
      </c>
      <c r="M3" s="53" t="s">
        <v>564</v>
      </c>
      <c r="N3" s="69" t="s">
        <v>623</v>
      </c>
      <c r="O3" s="68">
        <v>46037</v>
      </c>
      <c r="P3" s="69" t="str">
        <f>IFERROR(VLOOKUP(TableAOPTarget[[#This Row],[RFC Date]],TableAopCalendar[[Date]:[Concatenate Month &amp; Week]],7,FALSE),"")</f>
        <v>January 26 Week 3</v>
      </c>
      <c r="Q3" s="68">
        <v>46092</v>
      </c>
      <c r="R3" s="69" t="str">
        <f>IFERROR(VLOOKUP(TableAOPTarget[[#This Row],[Actual Start Date]],TableAopCalendar[[Date]:[Concatenate Month &amp; Week]],7,FALSE),"")</f>
        <v>March 26 Week 2</v>
      </c>
      <c r="S3" s="69">
        <v>15</v>
      </c>
      <c r="T3" s="68">
        <f>TableAOPTarget[[#This Row],[Actual Start Date]]+TableAOPTarget[[#This Row],[Standard Duration]]</f>
        <v>46107</v>
      </c>
      <c r="U3" s="65" t="str">
        <f>IFERROR(VLOOKUP(TableAOPTarget[[#This Row],[Planned Finish Date]],TableAopCalendar[[Date]:[Concatenate Month &amp; Week]],7,FALSE),"")</f>
        <v>March 26 Week 4</v>
      </c>
      <c r="V3" s="68">
        <v>46173</v>
      </c>
      <c r="W3" s="69" t="str">
        <f>IFERROR(VLOOKUP(TableAOPTarget[[#This Row],[Actual Finish Date]],TableAopCalendar[[Date]:[Concatenate Month &amp; Week]],7,FALSE),"")</f>
        <v>May 26 Week 5</v>
      </c>
      <c r="X3" s="68">
        <v>45809</v>
      </c>
      <c r="Y3" s="69" t="str">
        <f>IFERROR(VLOOKUP(TableAOPTarget[[#This Row],[Forecasted Finish Date]],TableAopCalendar[[Date]:[Concatenate Month &amp; Week]],7,FALSE),"")</f>
        <v>June 25 Week 1</v>
      </c>
      <c r="Z3" s="68">
        <v>46173</v>
      </c>
      <c r="AA3" s="69" t="str">
        <f>IF(OR(TableAOPTarget[[#This Row],[EPC Status]]="EPC Ready",TableAOPTarget[[#This Row],[EPC Status]]="WIP",TableAOPTarget[[#This Row],[EPC Status]]="YTS"),INDEX(TableAopCalendar[Concatenate Month &amp; Plan],MATCH(TableAOPTarget[[#This Row],[Planned Finish Date]],TableAopCalendar[Date],0))," ")</f>
        <v>MARCH 26 PLANNED</v>
      </c>
      <c r="AB3" s="69" t="str">
        <f>IF(TableAOPTarget[[#This Row],[EPC Status]]="EPC Ready",INDEX(TableAopCalendar[Month for Plan],MATCH(TableAOPTarget[[#This Row],[Actual Finish Date]],TableAopCalendar[Date],0))," ")</f>
        <v>MAY 26</v>
      </c>
      <c r="AC3" s="87" t="s">
        <v>379</v>
      </c>
      <c r="AD3" s="63" t="str">
        <f>VLOOKUP(TableAOPTarget[[#This Row],[Site Name]],[17]Backup!$E:$F,2,0)</f>
        <v>9. EPC Ready</v>
      </c>
      <c r="AE3" s="80"/>
      <c r="AF3" s="60" t="str">
        <f>VLOOKUP(TableAOPTarget[[#This Row],[Site Name]],[17]Backup!$E:$GG,185,0)</f>
        <v>2026-2027</v>
      </c>
    </row>
    <row r="4" spans="1:32" ht="31.2" x14ac:dyDescent="0.3">
      <c r="A4" s="64" t="s">
        <v>574</v>
      </c>
      <c r="B4" s="64">
        <v>3</v>
      </c>
      <c r="C4" s="87" t="s">
        <v>42</v>
      </c>
      <c r="D4" s="63" t="s">
        <v>225</v>
      </c>
      <c r="E4" s="65" t="s">
        <v>497</v>
      </c>
      <c r="F4" s="66" t="s">
        <v>460</v>
      </c>
      <c r="G4" s="84" t="s">
        <v>342</v>
      </c>
      <c r="H4" s="66" t="s">
        <v>350</v>
      </c>
      <c r="I4" s="66" t="s">
        <v>353</v>
      </c>
      <c r="J4" s="59" t="s">
        <v>569</v>
      </c>
      <c r="K4" s="53" t="s">
        <v>419</v>
      </c>
      <c r="L4" s="67">
        <v>450</v>
      </c>
      <c r="M4" s="69" t="s">
        <v>631</v>
      </c>
      <c r="N4" s="69" t="s">
        <v>565</v>
      </c>
      <c r="O4" s="68">
        <v>46097</v>
      </c>
      <c r="P4" s="69" t="str">
        <f>IFERROR(VLOOKUP(TableAOPTarget[[#This Row],[RFC Date]],TableAopCalendar[[Date]:[Concatenate Month &amp; Week]],7,FALSE),"")</f>
        <v>March 26 Week 3</v>
      </c>
      <c r="Q4" s="68">
        <v>46097</v>
      </c>
      <c r="R4" s="69" t="str">
        <f>IFERROR(VLOOKUP(TableAOPTarget[[#This Row],[Actual Start Date]],TableAopCalendar[[Date]:[Concatenate Month &amp; Week]],7,FALSE),"")</f>
        <v>March 26 Week 3</v>
      </c>
      <c r="S4" s="69">
        <v>21</v>
      </c>
      <c r="T4" s="68">
        <f>TableAOPTarget[[#This Row],[Actual Start Date]]+TableAOPTarget[[#This Row],[Standard Duration]]</f>
        <v>46118</v>
      </c>
      <c r="U4" s="65" t="str">
        <f>IFERROR(VLOOKUP(TableAOPTarget[[#This Row],[Planned Finish Date]],TableAopCalendar[[Date]:[Concatenate Month &amp; Week]],7,FALSE),"")</f>
        <v>April 26 Week 1</v>
      </c>
      <c r="V4" s="68">
        <v>46142</v>
      </c>
      <c r="W4" s="69" t="str">
        <f>IFERROR(VLOOKUP(TableAOPTarget[[#This Row],[Actual Finish Date]],TableAopCalendar[[Date]:[Concatenate Month &amp; Week]],7,FALSE),"")</f>
        <v>April 26 Week 5</v>
      </c>
      <c r="X4" s="68">
        <v>46142</v>
      </c>
      <c r="Y4" s="69" t="str">
        <f>IFERROR(VLOOKUP(TableAOPTarget[[#This Row],[Forecasted Finish Date]],TableAopCalendar[[Date]:[Concatenate Month &amp; Week]],7,FALSE),"")</f>
        <v>April 26 Week 5</v>
      </c>
      <c r="Z4" s="68"/>
      <c r="AA4" s="69" t="str">
        <f>IF(OR(TableAOPTarget[[#This Row],[EPC Status]]="EPC Ready",TableAOPTarget[[#This Row],[EPC Status]]="WIP",TableAOPTarget[[#This Row],[EPC Status]]="YTS"),INDEX(TableAopCalendar[Concatenate Month &amp; Plan],MATCH(TableAOPTarget[[#This Row],[Planned Finish Date]],TableAopCalendar[Date],0))," ")</f>
        <v>APRIL 26 PLANNED</v>
      </c>
      <c r="AB4" s="69" t="str">
        <f>IF(TableAOPTarget[[#This Row],[EPC Status]]="EPC Ready",INDEX(TableAopCalendar[Month for Plan],MATCH(TableAOPTarget[[#This Row],[Actual Finish Date]],TableAopCalendar[Date],0))," ")</f>
        <v>APRIL 26</v>
      </c>
      <c r="AC4" s="87" t="s">
        <v>379</v>
      </c>
      <c r="AD4" s="87" t="str">
        <f>VLOOKUP(TableAOPTarget[[#This Row],[Site Name]],[17]Backup!$E:$F,2,0)</f>
        <v>9. EPC Ready</v>
      </c>
      <c r="AE4" s="80"/>
      <c r="AF4" s="60" t="str">
        <f>VLOOKUP(TableAOPTarget[[#This Row],[Site Name]],[17]Backup!$E:$GG,185,0)</f>
        <v>2026-2027</v>
      </c>
    </row>
    <row r="5" spans="1:32" ht="31.2" x14ac:dyDescent="0.3">
      <c r="A5" s="64" t="s">
        <v>575</v>
      </c>
      <c r="B5" s="64">
        <v>4</v>
      </c>
      <c r="C5" s="87" t="s">
        <v>42</v>
      </c>
      <c r="D5" s="63" t="s">
        <v>225</v>
      </c>
      <c r="E5" s="65" t="s">
        <v>497</v>
      </c>
      <c r="F5" s="66" t="s">
        <v>460</v>
      </c>
      <c r="G5" s="84" t="s">
        <v>342</v>
      </c>
      <c r="H5" s="66" t="s">
        <v>350</v>
      </c>
      <c r="I5" s="66" t="s">
        <v>353</v>
      </c>
      <c r="J5" s="59" t="s">
        <v>618</v>
      </c>
      <c r="K5" s="64" t="s">
        <v>419</v>
      </c>
      <c r="L5" s="67">
        <v>600</v>
      </c>
      <c r="M5" s="69" t="s">
        <v>626</v>
      </c>
      <c r="N5" s="69" t="s">
        <v>629</v>
      </c>
      <c r="O5" s="68">
        <v>46093</v>
      </c>
      <c r="P5" s="69" t="str">
        <f>IFERROR(VLOOKUP(TableAOPTarget[[#This Row],[RFC Date]],TableAopCalendar[[Date]:[Concatenate Month &amp; Week]],7,FALSE),"")</f>
        <v>March 26 Week 2</v>
      </c>
      <c r="Q5" s="68">
        <v>46093</v>
      </c>
      <c r="R5" s="69" t="str">
        <f>IFERROR(VLOOKUP(TableAOPTarget[[#This Row],[Actual Start Date]],TableAopCalendar[[Date]:[Concatenate Month &amp; Week]],7,FALSE),"")</f>
        <v>March 26 Week 2</v>
      </c>
      <c r="S5" s="69">
        <v>21</v>
      </c>
      <c r="T5" s="68">
        <f>TableAOPTarget[[#This Row],[Actual Start Date]]+TableAOPTarget[[#This Row],[Standard Duration]]</f>
        <v>46114</v>
      </c>
      <c r="U5" s="65" t="str">
        <f>IFERROR(VLOOKUP(TableAOPTarget[[#This Row],[Planned Finish Date]],TableAopCalendar[[Date]:[Concatenate Month &amp; Week]],7,FALSE),"")</f>
        <v>April 26 Week 1</v>
      </c>
      <c r="V5" s="68">
        <v>46133</v>
      </c>
      <c r="W5" s="69" t="str">
        <f>IFERROR(VLOOKUP(TableAOPTarget[[#This Row],[Actual Finish Date]],TableAopCalendar[[Date]:[Concatenate Month &amp; Week]],7,FALSE),"")</f>
        <v>April 26 Week 3</v>
      </c>
      <c r="X5" s="68">
        <v>46133</v>
      </c>
      <c r="Y5" s="69" t="str">
        <f>IFERROR(VLOOKUP(TableAOPTarget[[#This Row],[Forecasted Finish Date]],TableAopCalendar[[Date]:[Concatenate Month &amp; Week]],7,FALSE),"")</f>
        <v>April 26 Week 3</v>
      </c>
      <c r="Z5" s="68"/>
      <c r="AA5" s="69" t="str">
        <f>IF(OR(TableAOPTarget[[#This Row],[EPC Status]]="EPC Ready",TableAOPTarget[[#This Row],[EPC Status]]="WIP",TableAOPTarget[[#This Row],[EPC Status]]="YTS"),INDEX(TableAopCalendar[Concatenate Month &amp; Plan],MATCH(TableAOPTarget[[#This Row],[Planned Finish Date]],TableAopCalendar[Date],0))," ")</f>
        <v>APRIL 26 PLANNED</v>
      </c>
      <c r="AB5" s="69" t="str">
        <f>IF(TableAOPTarget[[#This Row],[EPC Status]]="EPC Ready",INDEX(TableAopCalendar[Month for Plan],MATCH(TableAOPTarget[[#This Row],[Actual Finish Date]],TableAopCalendar[Date],0))," ")</f>
        <v>APRIL 26</v>
      </c>
      <c r="AC5" s="87" t="s">
        <v>379</v>
      </c>
      <c r="AD5" s="87" t="str">
        <f>VLOOKUP(TableAOPTarget[[#This Row],[Site Name]],[17]Backup!$E:$F,2,0)</f>
        <v>9. EPC Ready</v>
      </c>
      <c r="AE5" s="80"/>
      <c r="AF5" s="60" t="str">
        <f>VLOOKUP(TableAOPTarget[[#This Row],[Site Name]],[17]Backup!$E:$GG,185,0)</f>
        <v>2026-2027</v>
      </c>
    </row>
    <row r="6" spans="1:32" ht="31.2" x14ac:dyDescent="0.3">
      <c r="A6" s="64" t="s">
        <v>576</v>
      </c>
      <c r="B6" s="64">
        <v>5</v>
      </c>
      <c r="C6" s="87" t="s">
        <v>42</v>
      </c>
      <c r="D6" s="63" t="s">
        <v>225</v>
      </c>
      <c r="E6" s="65" t="s">
        <v>497</v>
      </c>
      <c r="F6" s="66" t="s">
        <v>460</v>
      </c>
      <c r="G6" s="84" t="s">
        <v>342</v>
      </c>
      <c r="H6" s="66" t="s">
        <v>350</v>
      </c>
      <c r="I6" s="66" t="s">
        <v>353</v>
      </c>
      <c r="J6" s="59" t="s">
        <v>632</v>
      </c>
      <c r="K6" s="64" t="s">
        <v>419</v>
      </c>
      <c r="L6" s="67">
        <v>698</v>
      </c>
      <c r="M6" s="69" t="s">
        <v>627</v>
      </c>
      <c r="N6" s="69" t="s">
        <v>629</v>
      </c>
      <c r="O6" s="68">
        <v>46095</v>
      </c>
      <c r="P6" s="69" t="str">
        <f>IFERROR(VLOOKUP(TableAOPTarget[[#This Row],[RFC Date]],TableAopCalendar[[Date]:[Concatenate Month &amp; Week]],7,FALSE),"")</f>
        <v>March 26 Week 2</v>
      </c>
      <c r="Q6" s="68">
        <v>46095</v>
      </c>
      <c r="R6" s="69" t="str">
        <f>IFERROR(VLOOKUP(TableAOPTarget[[#This Row],[Actual Start Date]],TableAopCalendar[[Date]:[Concatenate Month &amp; Week]],7,FALSE),"")</f>
        <v>March 26 Week 2</v>
      </c>
      <c r="S6" s="69">
        <v>21</v>
      </c>
      <c r="T6" s="68">
        <f>TableAOPTarget[[#This Row],[Actual Start Date]]+TableAOPTarget[[#This Row],[Standard Duration]]</f>
        <v>46116</v>
      </c>
      <c r="U6" s="65" t="str">
        <f>IFERROR(VLOOKUP(TableAOPTarget[[#This Row],[Planned Finish Date]],TableAopCalendar[[Date]:[Concatenate Month &amp; Week]],7,FALSE),"")</f>
        <v>April 26 Week 1</v>
      </c>
      <c r="V6" s="68">
        <v>46170</v>
      </c>
      <c r="W6" s="69" t="str">
        <f>IFERROR(VLOOKUP(TableAOPTarget[[#This Row],[Actual Finish Date]],TableAopCalendar[[Date]:[Concatenate Month &amp; Week]],7,FALSE),"")</f>
        <v>May 26 Week 4</v>
      </c>
      <c r="X6" s="68">
        <v>46172</v>
      </c>
      <c r="Y6" s="69" t="str">
        <f>IFERROR(VLOOKUP(TableAOPTarget[[#This Row],[Forecasted Finish Date]],TableAopCalendar[[Date]:[Concatenate Month &amp; Week]],7,FALSE),"")</f>
        <v>May 26 Week 5</v>
      </c>
      <c r="Z6" s="68"/>
      <c r="AA6" s="69" t="str">
        <f>IF(OR(TableAOPTarget[[#This Row],[EPC Status]]="EPC Ready",TableAOPTarget[[#This Row],[EPC Status]]="WIP",TableAOPTarget[[#This Row],[EPC Status]]="YTS"),INDEX(TableAopCalendar[Concatenate Month &amp; Plan],MATCH(TableAOPTarget[[#This Row],[Planned Finish Date]],TableAopCalendar[Date],0))," ")</f>
        <v>APRIL 26 PLANNED</v>
      </c>
      <c r="AB6" s="69" t="str">
        <f>IF(TableAOPTarget[[#This Row],[EPC Status]]="EPC Ready",INDEX(TableAopCalendar[Month for Plan],MATCH(TableAOPTarget[[#This Row],[Actual Finish Date]],TableAopCalendar[Date],0))," ")</f>
        <v>MAY 26</v>
      </c>
      <c r="AC6" s="87" t="s">
        <v>379</v>
      </c>
      <c r="AD6" s="87" t="str">
        <f>VLOOKUP(TableAOPTarget[[#This Row],[Site Name]],[17]Backup!$E:$F,2,0)</f>
        <v>9. EPC Ready</v>
      </c>
      <c r="AE6" s="80"/>
      <c r="AF6" s="60" t="str">
        <f>VLOOKUP(TableAOPTarget[[#This Row],[Site Name]],[17]Backup!$E:$GG,185,0)</f>
        <v>2026-2027</v>
      </c>
    </row>
    <row r="7" spans="1:32" ht="31.2" x14ac:dyDescent="0.3">
      <c r="A7" s="64" t="s">
        <v>577</v>
      </c>
      <c r="B7" s="64">
        <v>6</v>
      </c>
      <c r="C7" s="87" t="s">
        <v>42</v>
      </c>
      <c r="D7" s="63" t="s">
        <v>225</v>
      </c>
      <c r="E7" s="65" t="s">
        <v>497</v>
      </c>
      <c r="F7" s="66" t="s">
        <v>460</v>
      </c>
      <c r="G7" s="84" t="s">
        <v>342</v>
      </c>
      <c r="H7" s="66" t="s">
        <v>350</v>
      </c>
      <c r="I7" s="66" t="s">
        <v>353</v>
      </c>
      <c r="J7" s="59" t="s">
        <v>570</v>
      </c>
      <c r="K7" s="64" t="s">
        <v>365</v>
      </c>
      <c r="L7" s="67">
        <v>495</v>
      </c>
      <c r="M7" s="69" t="s">
        <v>628</v>
      </c>
      <c r="N7" s="69" t="s">
        <v>630</v>
      </c>
      <c r="O7" s="68">
        <v>46037</v>
      </c>
      <c r="P7" s="69" t="str">
        <f>IFERROR(VLOOKUP(TableAOPTarget[[#This Row],[RFC Date]],TableAopCalendar[[Date]:[Concatenate Month &amp; Week]],7,FALSE),"")</f>
        <v>January 26 Week 3</v>
      </c>
      <c r="Q7" s="68">
        <v>46037</v>
      </c>
      <c r="R7" s="69" t="str">
        <f>IFERROR(VLOOKUP(TableAOPTarget[[#This Row],[Actual Start Date]],TableAopCalendar[[Date]:[Concatenate Month &amp; Week]],7,FALSE),"")</f>
        <v>January 26 Week 3</v>
      </c>
      <c r="S7" s="69">
        <v>21</v>
      </c>
      <c r="T7" s="68">
        <f>TableAOPTarget[[#This Row],[Actual Start Date]]+TableAOPTarget[[#This Row],[Standard Duration]]</f>
        <v>46058</v>
      </c>
      <c r="U7" s="65" t="str">
        <f>IFERROR(VLOOKUP(TableAOPTarget[[#This Row],[Planned Finish Date]],TableAopCalendar[[Date]:[Concatenate Month &amp; Week]],7,FALSE),"")</f>
        <v>February 26 Week 1</v>
      </c>
      <c r="V7" s="68">
        <v>46158</v>
      </c>
      <c r="W7" s="69" t="str">
        <f>IFERROR(VLOOKUP(TableAOPTarget[[#This Row],[Actual Finish Date]],TableAopCalendar[[Date]:[Concatenate Month &amp; Week]],7,FALSE),"")</f>
        <v>May 26 Week 3</v>
      </c>
      <c r="X7" s="68">
        <v>46156</v>
      </c>
      <c r="Y7" s="69" t="str">
        <f>IFERROR(VLOOKUP(TableAOPTarget[[#This Row],[Forecasted Finish Date]],TableAopCalendar[[Date]:[Concatenate Month &amp; Week]],7,FALSE),"")</f>
        <v>May 26 Week 2</v>
      </c>
      <c r="Z7" s="68" t="s">
        <v>514</v>
      </c>
      <c r="AA7" s="69" t="str">
        <f>IF(OR(TableAOPTarget[[#This Row],[EPC Status]]="EPC Ready",TableAOPTarget[[#This Row],[EPC Status]]="WIP",TableAOPTarget[[#This Row],[EPC Status]]="YTS"),INDEX(TableAopCalendar[Concatenate Month &amp; Plan],MATCH(TableAOPTarget[[#This Row],[Planned Finish Date]],TableAopCalendar[Date],0))," ")</f>
        <v>FEBRUARY 26 PLANNED</v>
      </c>
      <c r="AB7" s="69" t="str">
        <f>IF(TableAOPTarget[[#This Row],[EPC Status]]="EPC Ready",INDEX(TableAopCalendar[Month for Plan],MATCH(TableAOPTarget[[#This Row],[Actual Finish Date]],TableAopCalendar[Date],0))," ")</f>
        <v>MAY 26</v>
      </c>
      <c r="AC7" s="87" t="s">
        <v>379</v>
      </c>
      <c r="AD7" s="87" t="str">
        <f>VLOOKUP(TableAOPTarget[[#This Row],[Site Name]],[17]Backup!$E:$F,2,0)</f>
        <v>9. EPC Ready</v>
      </c>
      <c r="AE7" s="80"/>
      <c r="AF7" s="60" t="str">
        <f>VLOOKUP(TableAOPTarget[[#This Row],[Site Name]],[17]Backup!$E:$GG,185,0)</f>
        <v>2026-2027</v>
      </c>
    </row>
    <row r="8" spans="1:32" x14ac:dyDescent="0.3">
      <c r="A8" s="64" t="s">
        <v>652</v>
      </c>
      <c r="B8" s="64">
        <v>7</v>
      </c>
      <c r="C8" s="87" t="s">
        <v>42</v>
      </c>
      <c r="D8" s="63" t="s">
        <v>225</v>
      </c>
      <c r="E8" s="65" t="s">
        <v>502</v>
      </c>
      <c r="F8" s="66" t="s">
        <v>341</v>
      </c>
      <c r="G8" s="66" t="s">
        <v>344</v>
      </c>
      <c r="H8" s="66" t="s">
        <v>350</v>
      </c>
      <c r="I8" s="66" t="s">
        <v>360</v>
      </c>
      <c r="J8" s="59" t="s">
        <v>644</v>
      </c>
      <c r="K8" s="65" t="s">
        <v>646</v>
      </c>
      <c r="L8" s="67">
        <v>891</v>
      </c>
      <c r="M8" s="53" t="s">
        <v>648</v>
      </c>
      <c r="N8" s="69" t="s">
        <v>514</v>
      </c>
      <c r="O8" s="68">
        <v>46155</v>
      </c>
      <c r="P8" s="68">
        <v>46155</v>
      </c>
      <c r="Q8" s="68">
        <v>46155</v>
      </c>
      <c r="R8" s="69" t="str">
        <f>IFERROR(VLOOKUP(TableAOPTarget[[#This Row],[Actual Start Date]],TableAopCalendar[[Date]:[Concatenate Month &amp; Week]],7,FALSE),"")</f>
        <v>May 26 Week 2</v>
      </c>
      <c r="S8" s="69">
        <v>7</v>
      </c>
      <c r="T8" s="68">
        <f>TableAOPTarget[[#This Row],[Actual Start Date]]+TableAOPTarget[[#This Row],[Standard Duration]]</f>
        <v>46162</v>
      </c>
      <c r="U8" s="69" t="str">
        <f>IFERROR(VLOOKUP(TableAOPTarget[[#This Row],[Planned Finish Date]],TableAopCalendar[[Date]:[Concatenate Month &amp; Week]],7,FALSE),"")</f>
        <v>May 26 Week 3</v>
      </c>
      <c r="V8" s="68">
        <v>46157</v>
      </c>
      <c r="W8" s="69" t="str">
        <f>IFERROR(VLOOKUP(TableAOPTarget[[#This Row],[Actual Finish Date]],TableAopCalendar[[Date]:[Concatenate Month &amp; Week]],7,FALSE),"")</f>
        <v>May 26 Week 3</v>
      </c>
      <c r="X8" s="68"/>
      <c r="Y8" s="69" t="str">
        <f>IFERROR(VLOOKUP(TableAOPTarget[[#This Row],[Forecasted Finish Date]],TableAopCalendar[[Date]:[Concatenate Month &amp; Week]],7,FALSE),"")</f>
        <v/>
      </c>
      <c r="Z8" s="68">
        <v>46157</v>
      </c>
      <c r="AA8" s="69" t="str">
        <f>IF(OR(TableAOPTarget[[#This Row],[EPC Status]]="EPC Ready",TableAOPTarget[[#This Row],[EPC Status]]="WIP",TableAOPTarget[[#This Row],[EPC Status]]="YTS"),INDEX(TableAopCalendar[Concatenate Month &amp; Plan],MATCH(TableAOPTarget[[#This Row],[Planned Finish Date]],TableAopCalendar[Date],0))," ")</f>
        <v>MAY 26 PLANNED</v>
      </c>
      <c r="AB8" s="69" t="str">
        <f>IF(TableAOPTarget[[#This Row],[EPC Status]]="EPC Ready",INDEX(TableAopCalendar[Month for Plan],MATCH(TableAOPTarget[[#This Row],[Actual Finish Date]],TableAopCalendar[Date],0))," ")</f>
        <v>MAY 26</v>
      </c>
      <c r="AC8" s="87" t="s">
        <v>379</v>
      </c>
      <c r="AD8" s="87" t="e">
        <f>VLOOKUP(TableAOPTarget[[#This Row],[Site Name]],[17]Backup!$E:$F,2,0)</f>
        <v>#N/A</v>
      </c>
      <c r="AE8" s="71"/>
      <c r="AF8" s="60" t="s">
        <v>655</v>
      </c>
    </row>
    <row r="9" spans="1:32" x14ac:dyDescent="0.3">
      <c r="A9" s="64" t="s">
        <v>653</v>
      </c>
      <c r="B9" s="64">
        <v>8</v>
      </c>
      <c r="C9" s="87" t="s">
        <v>42</v>
      </c>
      <c r="D9" s="63" t="s">
        <v>225</v>
      </c>
      <c r="E9" s="65" t="s">
        <v>502</v>
      </c>
      <c r="F9" s="66" t="s">
        <v>341</v>
      </c>
      <c r="G9" s="66" t="s">
        <v>344</v>
      </c>
      <c r="H9" s="66" t="s">
        <v>350</v>
      </c>
      <c r="I9" s="66" t="s">
        <v>354</v>
      </c>
      <c r="J9" s="59" t="s">
        <v>645</v>
      </c>
      <c r="K9" s="65" t="s">
        <v>647</v>
      </c>
      <c r="L9" s="67">
        <v>770</v>
      </c>
      <c r="M9" s="53" t="s">
        <v>649</v>
      </c>
      <c r="N9" s="69" t="s">
        <v>514</v>
      </c>
      <c r="O9" s="68">
        <v>46141</v>
      </c>
      <c r="P9" s="69" t="str">
        <f>IFERROR(VLOOKUP(TableAOPTarget[[#This Row],[RFC Date]],TableAopCalendar[[Date]:[Concatenate Month &amp; Week]],7,FALSE),"")</f>
        <v>April 26 Week 5</v>
      </c>
      <c r="Q9" s="68">
        <v>46141</v>
      </c>
      <c r="R9" s="69" t="str">
        <f>IFERROR(VLOOKUP(TableAOPTarget[[#This Row],[Actual Start Date]],TableAopCalendar[[Date]:[Concatenate Month &amp; Week]],7,FALSE),"")</f>
        <v>April 26 Week 5</v>
      </c>
      <c r="S9" s="69">
        <v>7</v>
      </c>
      <c r="T9" s="68">
        <f>TableAOPTarget[[#This Row],[Actual Start Date]]+TableAOPTarget[[#This Row],[Standard Duration]]</f>
        <v>46148</v>
      </c>
      <c r="U9" s="69" t="str">
        <f>IFERROR(VLOOKUP(TableAOPTarget[[#This Row],[Planned Finish Date]],TableAopCalendar[[Date]:[Concatenate Month &amp; Week]],7,FALSE),"")</f>
        <v>May 26 Week 1</v>
      </c>
      <c r="V9" s="68">
        <v>46144</v>
      </c>
      <c r="W9" s="69" t="str">
        <f>IFERROR(VLOOKUP(TableAOPTarget[[#This Row],[Actual Finish Date]],TableAopCalendar[[Date]:[Concatenate Month &amp; Week]],7,FALSE),"")</f>
        <v>May 26 Week 1</v>
      </c>
      <c r="X9" s="68"/>
      <c r="Y9" s="69" t="str">
        <f>IFERROR(VLOOKUP(TableAOPTarget[[#This Row],[Forecasted Finish Date]],TableAopCalendar[[Date]:[Concatenate Month &amp; Week]],7,FALSE),"")</f>
        <v/>
      </c>
      <c r="Z9" s="68">
        <v>46144</v>
      </c>
      <c r="AA9" s="69" t="str">
        <f>IF(OR(TableAOPTarget[[#This Row],[EPC Status]]="EPC Ready",TableAOPTarget[[#This Row],[EPC Status]]="WIP",TableAOPTarget[[#This Row],[EPC Status]]="YTS"),INDEX(TableAopCalendar[Concatenate Month &amp; Plan],MATCH(TableAOPTarget[[#This Row],[Planned Finish Date]],TableAopCalendar[Date],0))," ")</f>
        <v>MAY 26 PLANNED</v>
      </c>
      <c r="AB9" s="69" t="str">
        <f>IF(TableAOPTarget[[#This Row],[EPC Status]]="EPC Ready",INDEX(TableAopCalendar[Month for Plan],MATCH(TableAOPTarget[[#This Row],[Actual Finish Date]],TableAopCalendar[Date],0))," ")</f>
        <v>MAY 26</v>
      </c>
      <c r="AC9" s="87" t="s">
        <v>379</v>
      </c>
      <c r="AD9" s="87" t="e">
        <f>VLOOKUP(TableAOPTarget[[#This Row],[Site Name]],[17]Backup!$E:$F,2,0)</f>
        <v>#N/A</v>
      </c>
      <c r="AE9" s="71"/>
      <c r="AF9" s="60" t="s">
        <v>655</v>
      </c>
    </row>
    <row r="10" spans="1:32" ht="18.600000000000001" customHeight="1" x14ac:dyDescent="0.3">
      <c r="A10" s="64" t="s">
        <v>529</v>
      </c>
      <c r="B10" s="64">
        <v>9</v>
      </c>
      <c r="C10" s="87" t="s">
        <v>42</v>
      </c>
      <c r="D10" s="63" t="s">
        <v>225</v>
      </c>
      <c r="E10" s="65" t="s">
        <v>504</v>
      </c>
      <c r="F10" s="66" t="s">
        <v>341</v>
      </c>
      <c r="G10" s="66" t="s">
        <v>342</v>
      </c>
      <c r="H10" s="66" t="s">
        <v>343</v>
      </c>
      <c r="I10" s="66" t="s">
        <v>353</v>
      </c>
      <c r="J10" s="59" t="s">
        <v>527</v>
      </c>
      <c r="K10" s="65" t="s">
        <v>365</v>
      </c>
      <c r="L10" s="72">
        <v>731.74</v>
      </c>
      <c r="M10" s="69" t="s">
        <v>642</v>
      </c>
      <c r="N10" s="69" t="s">
        <v>599</v>
      </c>
      <c r="O10" s="68">
        <v>46133</v>
      </c>
      <c r="P10" s="69" t="str">
        <f>IFERROR(VLOOKUP(TableAOPTarget[[#This Row],[RFC Date]],TableAopCalendar[[Date]:[Concatenate Month &amp; Week]],7,FALSE),"")</f>
        <v>April 26 Week 3</v>
      </c>
      <c r="Q10" s="68">
        <v>46167</v>
      </c>
      <c r="R10" s="69" t="str">
        <f>IFERROR(VLOOKUP(TableAOPTarget[[#This Row],[Actual Start Date]],TableAopCalendar[[Date]:[Concatenate Month &amp; Week]],7,FALSE),"")</f>
        <v>May 26 Week 4</v>
      </c>
      <c r="S10" s="69">
        <v>15</v>
      </c>
      <c r="T10" s="68">
        <f>TableAOPTarget[[#This Row],[Actual Start Date]]+TableAOPTarget[[#This Row],[Standard Duration]]</f>
        <v>46182</v>
      </c>
      <c r="U10" s="65" t="str">
        <f>IFERROR(VLOOKUP(TableAOPTarget[[#This Row],[Planned Finish Date]],TableAopCalendar[[Date]:[Concatenate Month &amp; Week]],7,FALSE),"")</f>
        <v>June 26 Week 2</v>
      </c>
      <c r="V10" s="68"/>
      <c r="W10" s="69" t="str">
        <f>IFERROR(VLOOKUP(TableAOPTarget[[#This Row],[Actual Finish Date]],TableAopCalendar[[Date]:[Concatenate Month &amp; Week]],7,FALSE),"")</f>
        <v/>
      </c>
      <c r="X10" s="68"/>
      <c r="Y10" s="69" t="str">
        <f>IFERROR(VLOOKUP(TableAOPTarget[[#This Row],[Forecasted Finish Date]],TableAopCalendar[[Date]:[Concatenate Month &amp; Week]],7,FALSE),"")</f>
        <v/>
      </c>
      <c r="Z10" s="68"/>
      <c r="AA10" s="69" t="str">
        <f>IF(OR(TableAOPTarget[[#This Row],[EPC Status]]="EPC Ready",TableAOPTarget[[#This Row],[EPC Status]]="WIP",TableAOPTarget[[#This Row],[EPC Status]]="YTS"),INDEX(TableAopCalendar[Concatenate Month &amp; Plan],MATCH(TableAOPTarget[[#This Row],[Planned Finish Date]],TableAopCalendar[Date],0))," ")</f>
        <v>JUNE 26 PLANNED</v>
      </c>
      <c r="AB10" s="69" t="str">
        <f>IF(TableAOPTarget[[#This Row],[EPC Status]]="EPC Ready",INDEX(TableAopCalendar[Month for Plan],MATCH(TableAOPTarget[[#This Row],[Actual Finish Date]],TableAopCalendar[Date],0))," ")</f>
        <v xml:space="preserve"> </v>
      </c>
      <c r="AC10" s="87" t="s">
        <v>380</v>
      </c>
      <c r="AD10" s="63" t="str">
        <f>VLOOKUP(TableAOPTarget[[#This Row],[Site Name]],[17]Backup!$E:$F,2,0)</f>
        <v>8. WIP</v>
      </c>
      <c r="AE10" s="71"/>
      <c r="AF10" s="60" t="str">
        <f>VLOOKUP(TableAOPTarget[[#This Row],[Site Name]],[17]Backup!$E:$GG,185,0)</f>
        <v>2026-2027</v>
      </c>
    </row>
    <row r="11" spans="1:32" x14ac:dyDescent="0.3">
      <c r="A11" s="64" t="s">
        <v>495</v>
      </c>
      <c r="B11" s="64">
        <v>10</v>
      </c>
      <c r="C11" s="87" t="s">
        <v>42</v>
      </c>
      <c r="D11" s="63" t="s">
        <v>225</v>
      </c>
      <c r="E11" s="65" t="s">
        <v>504</v>
      </c>
      <c r="F11" s="66" t="s">
        <v>341</v>
      </c>
      <c r="G11" s="66" t="s">
        <v>342</v>
      </c>
      <c r="H11" s="66" t="s">
        <v>343</v>
      </c>
      <c r="I11" s="66" t="s">
        <v>353</v>
      </c>
      <c r="J11" s="59" t="s">
        <v>496</v>
      </c>
      <c r="K11" s="65" t="s">
        <v>365</v>
      </c>
      <c r="L11" s="67">
        <v>160</v>
      </c>
      <c r="M11" s="65" t="s">
        <v>531</v>
      </c>
      <c r="N11" s="65"/>
      <c r="O11" s="68"/>
      <c r="P11" s="69" t="str">
        <f>IFERROR(VLOOKUP(TableAOPTarget[[#This Row],[RFC Date]],TableAopCalendar[[Date]:[Concatenate Month &amp; Week]],7,FALSE),"")</f>
        <v/>
      </c>
      <c r="Q11" s="68"/>
      <c r="R11" s="69" t="str">
        <f>IFERROR(VLOOKUP(TableAOPTarget[[#This Row],[Actual Start Date]],TableAopCalendar[[Date]:[Concatenate Month &amp; Week]],7,FALSE),"")</f>
        <v/>
      </c>
      <c r="S11" s="69"/>
      <c r="T11" s="68">
        <f>TableAOPTarget[[#This Row],[Actual Start Date]]+TableAOPTarget[[#This Row],[Standard Duration]]</f>
        <v>0</v>
      </c>
      <c r="U11" s="65" t="str">
        <f>IFERROR(VLOOKUP(TableAOPTarget[[#This Row],[Planned Finish Date]],TableAopCalendar[[Date]:[Concatenate Month &amp; Week]],7,FALSE),"")</f>
        <v/>
      </c>
      <c r="V11" s="68"/>
      <c r="W11" s="65" t="str">
        <f>IFERROR(VLOOKUP(TableAOPTarget[[#This Row],[Actual Finish Date]],TableAopCalendar[[Date]:[Concatenate Month &amp; Week]],7,FALSE),"")</f>
        <v/>
      </c>
      <c r="X11" s="68"/>
      <c r="Y11" s="69" t="str">
        <f>IFERROR(VLOOKUP(TableAOPTarget[[#This Row],[Forecasted Finish Date]],TableAopCalendar[[Date]:[Concatenate Month &amp; Week]],7,FALSE),"")</f>
        <v/>
      </c>
      <c r="Z11" s="68"/>
      <c r="AA11" s="65" t="e">
        <f>IF(OR(TableAOPTarget[[#This Row],[EPC Status]]="EPC Ready",TableAOPTarget[[#This Row],[EPC Status]]="WIP",TableAOPTarget[[#This Row],[EPC Status]]="YTS"),INDEX(TableAopCalendar[Concatenate Month &amp; Plan],MATCH(TableAOPTarget[[#This Row],[Planned Finish Date]],TableAopCalendar[Date],0))," ")</f>
        <v>#N/A</v>
      </c>
      <c r="AB11" s="65" t="str">
        <f>IF(TableAOPTarget[[#This Row],[EPC Status]]="EPC Ready",INDEX(TableAopCalendar[Month for Plan],MATCH(TableAOPTarget[[#This Row],[Actual Finish Date]],TableAopCalendar[Date],0))," ")</f>
        <v xml:space="preserve"> </v>
      </c>
      <c r="AC11" s="63" t="s">
        <v>650</v>
      </c>
      <c r="AD11" s="63" t="str">
        <f>VLOOKUP(TableAOPTarget[[#This Row],[Site Name]],[17]Backup!$E:$F,2,0)</f>
        <v>7. YTS</v>
      </c>
      <c r="AE11" s="71"/>
      <c r="AF11" s="60" t="str">
        <f>VLOOKUP(TableAOPTarget[[#This Row],[Site Name]],[17]Backup!$E:$GG,185,0)</f>
        <v>2026-2027</v>
      </c>
    </row>
    <row r="12" spans="1:32" x14ac:dyDescent="0.3">
      <c r="A12" s="64" t="s">
        <v>493</v>
      </c>
      <c r="B12" s="64">
        <v>11</v>
      </c>
      <c r="C12" s="87" t="s">
        <v>42</v>
      </c>
      <c r="D12" s="63" t="s">
        <v>225</v>
      </c>
      <c r="E12" s="65" t="s">
        <v>504</v>
      </c>
      <c r="F12" s="66" t="s">
        <v>341</v>
      </c>
      <c r="G12" s="66" t="s">
        <v>342</v>
      </c>
      <c r="H12" s="66" t="s">
        <v>343</v>
      </c>
      <c r="I12" s="66" t="s">
        <v>353</v>
      </c>
      <c r="J12" s="59" t="s">
        <v>780</v>
      </c>
      <c r="K12" s="65" t="s">
        <v>365</v>
      </c>
      <c r="L12" s="67">
        <v>160</v>
      </c>
      <c r="M12" s="65" t="s">
        <v>531</v>
      </c>
      <c r="N12" s="65"/>
      <c r="O12" s="68"/>
      <c r="P12" s="69" t="str">
        <f>IFERROR(VLOOKUP(TableAOPTarget[[#This Row],[RFC Date]],TableAopCalendar[[Date]:[Concatenate Month &amp; Week]],7,FALSE),"")</f>
        <v/>
      </c>
      <c r="Q12" s="68"/>
      <c r="R12" s="69" t="str">
        <f>IFERROR(VLOOKUP(TableAOPTarget[[#This Row],[Actual Start Date]],TableAopCalendar[[Date]:[Concatenate Month &amp; Week]],7,FALSE),"")</f>
        <v/>
      </c>
      <c r="S12" s="69"/>
      <c r="T12" s="68">
        <f>TableAOPTarget[[#This Row],[Actual Start Date]]+TableAOPTarget[[#This Row],[Standard Duration]]</f>
        <v>0</v>
      </c>
      <c r="U12" s="65" t="str">
        <f>IFERROR(VLOOKUP(TableAOPTarget[[#This Row],[Planned Finish Date]],TableAopCalendar[[Date]:[Concatenate Month &amp; Week]],7,FALSE),"")</f>
        <v/>
      </c>
      <c r="V12" s="68"/>
      <c r="W12" s="65" t="str">
        <f>IFERROR(VLOOKUP(TableAOPTarget[[#This Row],[Actual Finish Date]],TableAopCalendar[[Date]:[Concatenate Month &amp; Week]],7,FALSE),"")</f>
        <v/>
      </c>
      <c r="X12" s="68"/>
      <c r="Y12" s="69" t="str">
        <f>IFERROR(VLOOKUP(TableAOPTarget[[#This Row],[Forecasted Finish Date]],TableAopCalendar[[Date]:[Concatenate Month &amp; Week]],7,FALSE),"")</f>
        <v/>
      </c>
      <c r="Z12" s="68"/>
      <c r="AA12" s="65" t="e">
        <f>IF(OR(TableAOPTarget[[#This Row],[EPC Status]]="EPC Ready",TableAOPTarget[[#This Row],[EPC Status]]="WIP",TableAOPTarget[[#This Row],[EPC Status]]="YTS"),INDEX(TableAopCalendar[Concatenate Month &amp; Plan],MATCH(TableAOPTarget[[#This Row],[Planned Finish Date]],TableAopCalendar[Date],0))," ")</f>
        <v>#N/A</v>
      </c>
      <c r="AB12" s="65" t="str">
        <f>IF(TableAOPTarget[[#This Row],[EPC Status]]="EPC Ready",INDEX(TableAopCalendar[Month for Plan],MATCH(TableAOPTarget[[#This Row],[Actual Finish Date]],TableAopCalendar[Date],0))," ")</f>
        <v xml:space="preserve"> </v>
      </c>
      <c r="AC12" s="63" t="s">
        <v>650</v>
      </c>
      <c r="AD12" s="63" t="str">
        <f>VLOOKUP(TableAOPTarget[[#This Row],[Site Name]],[17]Backup!$E:$F,2,0)</f>
        <v>7. YTS</v>
      </c>
      <c r="AE12" s="71"/>
      <c r="AF12" s="60" t="str">
        <f>VLOOKUP(TableAOPTarget[[#This Row],[Site Name]],[17]Backup!$E:$GG,185,0)</f>
        <v>2026-2027</v>
      </c>
    </row>
    <row r="13" spans="1:32" x14ac:dyDescent="0.3">
      <c r="A13" s="64" t="s">
        <v>516</v>
      </c>
      <c r="B13" s="64">
        <v>12</v>
      </c>
      <c r="C13" s="87" t="s">
        <v>42</v>
      </c>
      <c r="D13" s="63" t="s">
        <v>225</v>
      </c>
      <c r="E13" s="65" t="s">
        <v>504</v>
      </c>
      <c r="F13" s="66" t="s">
        <v>341</v>
      </c>
      <c r="G13" s="66" t="s">
        <v>342</v>
      </c>
      <c r="H13" s="66" t="s">
        <v>343</v>
      </c>
      <c r="I13" s="66" t="s">
        <v>353</v>
      </c>
      <c r="J13" s="59" t="s">
        <v>503</v>
      </c>
      <c r="K13" s="64" t="s">
        <v>419</v>
      </c>
      <c r="L13" s="67">
        <v>200</v>
      </c>
      <c r="M13" s="65" t="s">
        <v>531</v>
      </c>
      <c r="N13" s="69"/>
      <c r="O13" s="68"/>
      <c r="P13" s="69" t="str">
        <f>IFERROR(VLOOKUP(TableAOPTarget[[#This Row],[RFC Date]],TableAopCalendar[[Date]:[Concatenate Month &amp; Week]],7,FALSE),"")</f>
        <v/>
      </c>
      <c r="Q13" s="68"/>
      <c r="R13" s="69" t="str">
        <f>IFERROR(VLOOKUP(TableAOPTarget[[#This Row],[Actual Start Date]],TableAopCalendar[[Date]:[Concatenate Month &amp; Week]],7,FALSE),"")</f>
        <v/>
      </c>
      <c r="S13" s="69"/>
      <c r="T13" s="68">
        <f>TableAOPTarget[[#This Row],[Actual Start Date]]+TableAOPTarget[[#This Row],[Standard Duration]]</f>
        <v>0</v>
      </c>
      <c r="U13" s="65" t="str">
        <f>IFERROR(VLOOKUP(TableAOPTarget[[#This Row],[Planned Finish Date]],TableAopCalendar[[Date]:[Concatenate Month &amp; Week]],7,FALSE),"")</f>
        <v/>
      </c>
      <c r="V13" s="68"/>
      <c r="W13" s="69" t="str">
        <f>IFERROR(VLOOKUP(TableAOPTarget[[#This Row],[Actual Finish Date]],TableAopCalendar[[Date]:[Concatenate Month &amp; Week]],7,FALSE),"")</f>
        <v/>
      </c>
      <c r="X13" s="68"/>
      <c r="Y13" s="69" t="str">
        <f>IFERROR(VLOOKUP(TableAOPTarget[[#This Row],[Forecasted Finish Date]],TableAopCalendar[[Date]:[Concatenate Month &amp; Week]],7,FALSE),"")</f>
        <v/>
      </c>
      <c r="Z13" s="68"/>
      <c r="AA13" s="69" t="str">
        <f>IF(OR(TableAOPTarget[[#This Row],[EPC Status]]="EPC Ready",TableAOPTarget[[#This Row],[EPC Status]]="WIP",TableAOPTarget[[#This Row],[EPC Status]]="YTS"),INDEX(TableAopCalendar[Concatenate Month &amp; Plan],MATCH(TableAOPTarget[[#This Row],[Planned Finish Date]],TableAopCalendar[Date],0))," ")</f>
        <v xml:space="preserve"> </v>
      </c>
      <c r="AB13" s="69" t="str">
        <f>IF(TableAOPTarget[[#This Row],[EPC Status]]="EPC Ready",INDEX(TableAopCalendar[Month for Plan],MATCH(TableAOPTarget[[#This Row],[Actual Finish Date]],TableAopCalendar[Date],0))," ")</f>
        <v xml:space="preserve"> </v>
      </c>
      <c r="AC13" s="83" t="s">
        <v>458</v>
      </c>
      <c r="AD13" s="63" t="str">
        <f>VLOOKUP(TableAOPTarget[[#This Row],[Site Name]],[17]Backup!$E:$F,2,0)</f>
        <v>5. Budget approved RFC awaited</v>
      </c>
      <c r="AE13" s="71"/>
      <c r="AF13" s="60" t="str">
        <f>VLOOKUP(TableAOPTarget[[#This Row],[Site Name]],[17]Backup!$E:$GG,185,0)</f>
        <v>2026-2027</v>
      </c>
    </row>
    <row r="14" spans="1:32" ht="20.399999999999999" customHeight="1" x14ac:dyDescent="0.3">
      <c r="A14" s="90" t="s">
        <v>510</v>
      </c>
      <c r="B14" s="64">
        <v>13</v>
      </c>
      <c r="C14" s="87" t="s">
        <v>42</v>
      </c>
      <c r="D14" s="63" t="s">
        <v>225</v>
      </c>
      <c r="E14" s="65" t="s">
        <v>504</v>
      </c>
      <c r="F14" s="66" t="s">
        <v>341</v>
      </c>
      <c r="G14" s="64" t="s">
        <v>342</v>
      </c>
      <c r="H14" s="64" t="s">
        <v>343</v>
      </c>
      <c r="I14" s="64" t="s">
        <v>353</v>
      </c>
      <c r="J14" s="59" t="s">
        <v>509</v>
      </c>
      <c r="K14" s="64" t="s">
        <v>419</v>
      </c>
      <c r="L14" s="67">
        <v>287.61</v>
      </c>
      <c r="M14" s="65" t="s">
        <v>531</v>
      </c>
      <c r="N14" s="69"/>
      <c r="O14" s="68"/>
      <c r="P14" s="69" t="str">
        <f>IFERROR(VLOOKUP(TableAOPTarget[[#This Row],[RFC Date]],TableAopCalendar[[Date]:[Concatenate Month &amp; Week]],7,FALSE),"")</f>
        <v/>
      </c>
      <c r="Q14" s="68"/>
      <c r="R14" s="69" t="str">
        <f>IFERROR(VLOOKUP(TableAOPTarget[[#This Row],[Actual Start Date]],TableAopCalendar[[Date]:[Concatenate Month &amp; Week]],7,FALSE),"")</f>
        <v/>
      </c>
      <c r="S14" s="69"/>
      <c r="T14" s="68">
        <f>TableAOPTarget[[#This Row],[Actual Start Date]]+TableAOPTarget[[#This Row],[Standard Duration]]</f>
        <v>0</v>
      </c>
      <c r="U14" s="65" t="str">
        <f>IFERROR(VLOOKUP(TableAOPTarget[[#This Row],[Planned Finish Date]],TableAopCalendar[[Date]:[Concatenate Month &amp; Week]],7,FALSE),"")</f>
        <v/>
      </c>
      <c r="V14" s="68"/>
      <c r="W14" s="69" t="str">
        <f>IFERROR(VLOOKUP(TableAOPTarget[[#This Row],[Actual Finish Date]],TableAopCalendar[[Date]:[Concatenate Month &amp; Week]],7,FALSE),"")</f>
        <v/>
      </c>
      <c r="X14" s="68"/>
      <c r="Y14" s="69" t="str">
        <f>IFERROR(VLOOKUP(TableAOPTarget[[#This Row],[Forecasted Finish Date]],TableAopCalendar[[Date]:[Concatenate Month &amp; Week]],7,FALSE),"")</f>
        <v/>
      </c>
      <c r="Z14" s="68"/>
      <c r="AA14" s="69" t="str">
        <f>IF(OR(TableAOPTarget[[#This Row],[EPC Status]]="EPC Ready",TableAOPTarget[[#This Row],[EPC Status]]="WIP",TableAOPTarget[[#This Row],[EPC Status]]="YTS"),INDEX(TableAopCalendar[Concatenate Month &amp; Plan],MATCH(TableAOPTarget[[#This Row],[Planned Finish Date]],TableAopCalendar[Date],0))," ")</f>
        <v xml:space="preserve"> </v>
      </c>
      <c r="AB14" s="69" t="str">
        <f>IF(TableAOPTarget[[#This Row],[EPC Status]]="EPC Ready",INDEX(TableAopCalendar[Month for Plan],MATCH(TableAOPTarget[[#This Row],[Actual Finish Date]],TableAopCalendar[Date],0))," ")</f>
        <v xml:space="preserve"> </v>
      </c>
      <c r="AC14" s="87" t="s">
        <v>505</v>
      </c>
      <c r="AD14" s="63" t="str">
        <f>VLOOKUP(TableAOPTarget[[#This Row],[Site Name]],[17]Backup!$E:$F,2,0)</f>
        <v>11. HOLD</v>
      </c>
      <c r="AE14" s="71"/>
      <c r="AF14" s="60" t="str">
        <f>VLOOKUP(TableAOPTarget[[#This Row],[Site Name]],[17]Backup!$E:$GG,185,0)</f>
        <v>2026-2027</v>
      </c>
    </row>
    <row r="15" spans="1:32" ht="21" customHeight="1" x14ac:dyDescent="0.3">
      <c r="A15" s="64" t="s">
        <v>523</v>
      </c>
      <c r="B15" s="64">
        <v>14</v>
      </c>
      <c r="C15" s="87" t="s">
        <v>42</v>
      </c>
      <c r="D15" s="63" t="s">
        <v>225</v>
      </c>
      <c r="E15" s="65" t="s">
        <v>504</v>
      </c>
      <c r="F15" s="66" t="s">
        <v>341</v>
      </c>
      <c r="G15" s="66" t="s">
        <v>342</v>
      </c>
      <c r="H15" s="66" t="s">
        <v>343</v>
      </c>
      <c r="I15" s="66" t="s">
        <v>353</v>
      </c>
      <c r="J15" s="59" t="s">
        <v>615</v>
      </c>
      <c r="K15" s="65" t="s">
        <v>419</v>
      </c>
      <c r="L15" s="72">
        <v>219</v>
      </c>
      <c r="M15" s="69"/>
      <c r="N15" s="69"/>
      <c r="O15" s="68"/>
      <c r="P15" s="69" t="str">
        <f>IFERROR(VLOOKUP(TableAOPTarget[[#This Row],[RFC Date]],TableAopCalendar[[Date]:[Concatenate Month &amp; Week]],7,FALSE),"")</f>
        <v/>
      </c>
      <c r="Q15" s="68"/>
      <c r="R15" s="69" t="str">
        <f>IFERROR(VLOOKUP(TableAOPTarget[[#This Row],[Actual Start Date]],TableAopCalendar[[Date]:[Concatenate Month &amp; Week]],7,FALSE),"")</f>
        <v/>
      </c>
      <c r="S15" s="69"/>
      <c r="T15" s="68">
        <f>TableAOPTarget[[#This Row],[Actual Start Date]]+TableAOPTarget[[#This Row],[Standard Duration]]</f>
        <v>0</v>
      </c>
      <c r="U15" s="65" t="str">
        <f>IFERROR(VLOOKUP(TableAOPTarget[[#This Row],[Planned Finish Date]],TableAopCalendar[[Date]:[Concatenate Month &amp; Week]],7,FALSE),"")</f>
        <v/>
      </c>
      <c r="V15" s="68"/>
      <c r="W15" s="69" t="str">
        <f>IFERROR(VLOOKUP(TableAOPTarget[[#This Row],[Actual Finish Date]],TableAopCalendar[[Date]:[Concatenate Month &amp; Week]],7,FALSE),"")</f>
        <v/>
      </c>
      <c r="X15" s="68"/>
      <c r="Y15" s="69" t="str">
        <f>IFERROR(VLOOKUP(TableAOPTarget[[#This Row],[Forecasted Finish Date]],TableAopCalendar[[Date]:[Concatenate Month &amp; Week]],7,FALSE),"")</f>
        <v/>
      </c>
      <c r="Z15" s="68"/>
      <c r="AA15" s="69" t="str">
        <f>IF(OR(TableAOPTarget[[#This Row],[EPC Status]]="EPC Ready",TableAOPTarget[[#This Row],[EPC Status]]="WIP",TableAOPTarget[[#This Row],[EPC Status]]="YTS"),INDEX(TableAopCalendar[Concatenate Month &amp; Plan],MATCH(TableAOPTarget[[#This Row],[Planned Finish Date]],TableAopCalendar[Date],0))," ")</f>
        <v xml:space="preserve"> </v>
      </c>
      <c r="AB15" s="69" t="str">
        <f>IF(TableAOPTarget[[#This Row],[EPC Status]]="EPC Ready",INDEX(TableAopCalendar[Month for Plan],MATCH(TableAOPTarget[[#This Row],[Actual Finish Date]],TableAopCalendar[Date],0))," ")</f>
        <v xml:space="preserve"> </v>
      </c>
      <c r="AC15" s="87" t="s">
        <v>458</v>
      </c>
      <c r="AD15" s="63" t="str">
        <f>VLOOKUP(TableAOPTarget[[#This Row],[Site Name]],[17]Backup!$E:$F,2,0)</f>
        <v>5. Budget approved RFC awaited</v>
      </c>
      <c r="AE15" s="71"/>
      <c r="AF15" s="60" t="str">
        <f>VLOOKUP(TableAOPTarget[[#This Row],[Site Name]],[17]Backup!$E:$GG,185,0)</f>
        <v>2026-2027</v>
      </c>
    </row>
    <row r="16" spans="1:32" x14ac:dyDescent="0.3">
      <c r="A16" s="64" t="s">
        <v>524</v>
      </c>
      <c r="B16" s="64">
        <v>15</v>
      </c>
      <c r="C16" s="87" t="s">
        <v>42</v>
      </c>
      <c r="D16" s="63" t="s">
        <v>225</v>
      </c>
      <c r="E16" s="65" t="s">
        <v>504</v>
      </c>
      <c r="F16" s="66" t="s">
        <v>341</v>
      </c>
      <c r="G16" s="66" t="s">
        <v>342</v>
      </c>
      <c r="H16" s="66" t="s">
        <v>343</v>
      </c>
      <c r="I16" s="66" t="s">
        <v>353</v>
      </c>
      <c r="J16" s="59" t="s">
        <v>519</v>
      </c>
      <c r="K16" s="65" t="s">
        <v>365</v>
      </c>
      <c r="L16" s="72">
        <v>160</v>
      </c>
      <c r="M16" s="69"/>
      <c r="N16" s="69"/>
      <c r="O16" s="68"/>
      <c r="P16" s="69" t="str">
        <f>IFERROR(VLOOKUP(TableAOPTarget[[#This Row],[RFC Date]],TableAopCalendar[[Date]:[Concatenate Month &amp; Week]],7,FALSE),"")</f>
        <v/>
      </c>
      <c r="Q16" s="68"/>
      <c r="R16" s="69" t="str">
        <f>IFERROR(VLOOKUP(TableAOPTarget[[#This Row],[Actual Start Date]],TableAopCalendar[[Date]:[Concatenate Month &amp; Week]],7,FALSE),"")</f>
        <v/>
      </c>
      <c r="S16" s="69"/>
      <c r="T16" s="68">
        <f>TableAOPTarget[[#This Row],[Actual Start Date]]+TableAOPTarget[[#This Row],[Standard Duration]]</f>
        <v>0</v>
      </c>
      <c r="U16" s="65" t="str">
        <f>IFERROR(VLOOKUP(TableAOPTarget[[#This Row],[Planned Finish Date]],TableAopCalendar[[Date]:[Concatenate Month &amp; Week]],7,FALSE),"")</f>
        <v/>
      </c>
      <c r="V16" s="68"/>
      <c r="W16" s="69" t="str">
        <f>IFERROR(VLOOKUP(TableAOPTarget[[#This Row],[Actual Finish Date]],TableAopCalendar[[Date]:[Concatenate Month &amp; Week]],7,FALSE),"")</f>
        <v/>
      </c>
      <c r="X16" s="68"/>
      <c r="Y16" s="69" t="str">
        <f>IFERROR(VLOOKUP(TableAOPTarget[[#This Row],[Forecasted Finish Date]],TableAopCalendar[[Date]:[Concatenate Month &amp; Week]],7,FALSE),"")</f>
        <v/>
      </c>
      <c r="Z16" s="68"/>
      <c r="AA16" s="69" t="str">
        <f>IF(OR(TableAOPTarget[[#This Row],[EPC Status]]="EPC Ready",TableAOPTarget[[#This Row],[EPC Status]]="WIP",TableAOPTarget[[#This Row],[EPC Status]]="YTS"),INDEX(TableAopCalendar[Concatenate Month &amp; Plan],MATCH(TableAOPTarget[[#This Row],[Planned Finish Date]],TableAopCalendar[Date],0))," ")</f>
        <v xml:space="preserve"> </v>
      </c>
      <c r="AB16" s="69" t="str">
        <f>IF(TableAOPTarget[[#This Row],[EPC Status]]="EPC Ready",INDEX(TableAopCalendar[Month for Plan],MATCH(TableAOPTarget[[#This Row],[Actual Finish Date]],TableAopCalendar[Date],0))," ")</f>
        <v xml:space="preserve"> </v>
      </c>
      <c r="AC16" s="87" t="s">
        <v>458</v>
      </c>
      <c r="AD16" s="63" t="str">
        <f>VLOOKUP(TableAOPTarget[[#This Row],[Site Name]],[17]Backup!$E:$F,2,0)</f>
        <v>5. Budget approved RFC awaited</v>
      </c>
      <c r="AE16" s="71"/>
      <c r="AF16" s="60" t="str">
        <f>VLOOKUP(TableAOPTarget[[#This Row],[Site Name]],[17]Backup!$E:$GG,185,0)</f>
        <v>2026-2027</v>
      </c>
    </row>
    <row r="17" spans="1:32" x14ac:dyDescent="0.3">
      <c r="A17" s="64" t="s">
        <v>525</v>
      </c>
      <c r="B17" s="64">
        <v>16</v>
      </c>
      <c r="C17" s="87" t="s">
        <v>42</v>
      </c>
      <c r="D17" s="63" t="s">
        <v>225</v>
      </c>
      <c r="E17" s="65" t="s">
        <v>504</v>
      </c>
      <c r="F17" s="66" t="s">
        <v>341</v>
      </c>
      <c r="G17" s="66" t="s">
        <v>342</v>
      </c>
      <c r="H17" s="66" t="s">
        <v>343</v>
      </c>
      <c r="I17" s="66" t="s">
        <v>353</v>
      </c>
      <c r="J17" s="59" t="s">
        <v>520</v>
      </c>
      <c r="K17" s="65" t="s">
        <v>365</v>
      </c>
      <c r="L17" s="72">
        <v>160</v>
      </c>
      <c r="M17" s="69"/>
      <c r="N17" s="69"/>
      <c r="O17" s="68"/>
      <c r="P17" s="69" t="str">
        <f>IFERROR(VLOOKUP(TableAOPTarget[[#This Row],[RFC Date]],TableAopCalendar[[Date]:[Concatenate Month &amp; Week]],7,FALSE),"")</f>
        <v/>
      </c>
      <c r="Q17" s="68"/>
      <c r="R17" s="69" t="str">
        <f>IFERROR(VLOOKUP(TableAOPTarget[[#This Row],[Actual Start Date]],TableAopCalendar[[Date]:[Concatenate Month &amp; Week]],7,FALSE),"")</f>
        <v/>
      </c>
      <c r="S17" s="69"/>
      <c r="T17" s="68">
        <f>TableAOPTarget[[#This Row],[Actual Start Date]]+TableAOPTarget[[#This Row],[Standard Duration]]</f>
        <v>0</v>
      </c>
      <c r="U17" s="65" t="str">
        <f>IFERROR(VLOOKUP(TableAOPTarget[[#This Row],[Planned Finish Date]],TableAopCalendar[[Date]:[Concatenate Month &amp; Week]],7,FALSE),"")</f>
        <v/>
      </c>
      <c r="V17" s="68"/>
      <c r="W17" s="69" t="str">
        <f>IFERROR(VLOOKUP(TableAOPTarget[[#This Row],[Actual Finish Date]],TableAopCalendar[[Date]:[Concatenate Month &amp; Week]],7,FALSE),"")</f>
        <v/>
      </c>
      <c r="X17" s="68"/>
      <c r="Y17" s="69" t="str">
        <f>IFERROR(VLOOKUP(TableAOPTarget[[#This Row],[Forecasted Finish Date]],TableAopCalendar[[Date]:[Concatenate Month &amp; Week]],7,FALSE),"")</f>
        <v/>
      </c>
      <c r="Z17" s="68"/>
      <c r="AA17" s="69" t="str">
        <f>IF(OR(TableAOPTarget[[#This Row],[EPC Status]]="EPC Ready",TableAOPTarget[[#This Row],[EPC Status]]="WIP",TableAOPTarget[[#This Row],[EPC Status]]="YTS"),INDEX(TableAopCalendar[Concatenate Month &amp; Plan],MATCH(TableAOPTarget[[#This Row],[Planned Finish Date]],TableAopCalendar[Date],0))," ")</f>
        <v xml:space="preserve"> </v>
      </c>
      <c r="AB17" s="69" t="str">
        <f>IF(TableAOPTarget[[#This Row],[EPC Status]]="EPC Ready",INDEX(TableAopCalendar[Month for Plan],MATCH(TableAOPTarget[[#This Row],[Actual Finish Date]],TableAopCalendar[Date],0))," ")</f>
        <v xml:space="preserve"> </v>
      </c>
      <c r="AC17" s="87" t="s">
        <v>458</v>
      </c>
      <c r="AD17" s="63" t="str">
        <f>VLOOKUP(TableAOPTarget[[#This Row],[Site Name]],[17]Backup!$E:$F,2,0)</f>
        <v>5. Budget approved RFC awaited</v>
      </c>
      <c r="AE17" s="71"/>
      <c r="AF17" s="60" t="str">
        <f>VLOOKUP(TableAOPTarget[[#This Row],[Site Name]],[17]Backup!$E:$GG,185,0)</f>
        <v>2026-2027</v>
      </c>
    </row>
    <row r="18" spans="1:32" ht="13.8" customHeight="1" x14ac:dyDescent="0.3">
      <c r="A18" s="64" t="s">
        <v>526</v>
      </c>
      <c r="B18" s="64">
        <v>17</v>
      </c>
      <c r="C18" s="87" t="s">
        <v>42</v>
      </c>
      <c r="D18" s="63" t="s">
        <v>225</v>
      </c>
      <c r="E18" s="65" t="s">
        <v>504</v>
      </c>
      <c r="F18" s="66" t="s">
        <v>341</v>
      </c>
      <c r="G18" s="66" t="s">
        <v>342</v>
      </c>
      <c r="H18" s="66" t="s">
        <v>343</v>
      </c>
      <c r="I18" s="66" t="s">
        <v>353</v>
      </c>
      <c r="J18" s="59" t="s">
        <v>521</v>
      </c>
      <c r="K18" s="65" t="s">
        <v>419</v>
      </c>
      <c r="L18" s="72">
        <v>200</v>
      </c>
      <c r="M18" s="69"/>
      <c r="N18" s="69"/>
      <c r="O18" s="68"/>
      <c r="P18" s="69" t="str">
        <f>IFERROR(VLOOKUP(TableAOPTarget[[#This Row],[RFC Date]],TableAopCalendar[[Date]:[Concatenate Month &amp; Week]],7,FALSE),"")</f>
        <v/>
      </c>
      <c r="Q18" s="68"/>
      <c r="R18" s="69" t="str">
        <f>IFERROR(VLOOKUP(TableAOPTarget[[#This Row],[Actual Start Date]],TableAopCalendar[[Date]:[Concatenate Month &amp; Week]],7,FALSE),"")</f>
        <v/>
      </c>
      <c r="S18" s="69"/>
      <c r="T18" s="68">
        <f>TableAOPTarget[[#This Row],[Actual Start Date]]+TableAOPTarget[[#This Row],[Standard Duration]]</f>
        <v>0</v>
      </c>
      <c r="U18" s="65" t="str">
        <f>IFERROR(VLOOKUP(TableAOPTarget[[#This Row],[Planned Finish Date]],TableAopCalendar[[Date]:[Concatenate Month &amp; Week]],7,FALSE),"")</f>
        <v/>
      </c>
      <c r="V18" s="68"/>
      <c r="W18" s="69" t="str">
        <f>IFERROR(VLOOKUP(TableAOPTarget[[#This Row],[Actual Finish Date]],TableAopCalendar[[Date]:[Concatenate Month &amp; Week]],7,FALSE),"")</f>
        <v/>
      </c>
      <c r="X18" s="68"/>
      <c r="Y18" s="69" t="str">
        <f>IFERROR(VLOOKUP(TableAOPTarget[[#This Row],[Forecasted Finish Date]],TableAopCalendar[[Date]:[Concatenate Month &amp; Week]],7,FALSE),"")</f>
        <v/>
      </c>
      <c r="Z18" s="68"/>
      <c r="AA18" s="69" t="str">
        <f>IF(OR(TableAOPTarget[[#This Row],[EPC Status]]="EPC Ready",TableAOPTarget[[#This Row],[EPC Status]]="WIP",TableAOPTarget[[#This Row],[EPC Status]]="YTS"),INDEX(TableAopCalendar[Concatenate Month &amp; Plan],MATCH(TableAOPTarget[[#This Row],[Planned Finish Date]],TableAopCalendar[Date],0))," ")</f>
        <v xml:space="preserve"> </v>
      </c>
      <c r="AB18" s="69" t="str">
        <f>IF(TableAOPTarget[[#This Row],[EPC Status]]="EPC Ready",INDEX(TableAopCalendar[Month for Plan],MATCH(TableAOPTarget[[#This Row],[Actual Finish Date]],TableAopCalendar[Date],0))," ")</f>
        <v xml:space="preserve"> </v>
      </c>
      <c r="AC18" s="87" t="s">
        <v>458</v>
      </c>
      <c r="AD18" s="63" t="str">
        <f>VLOOKUP(TableAOPTarget[[#This Row],[Site Name]],[17]Backup!$E:$F,2,0)</f>
        <v>5. Budget approved RFC awaited</v>
      </c>
      <c r="AE18" s="71"/>
      <c r="AF18" s="60" t="str">
        <f>VLOOKUP(TableAOPTarget[[#This Row],[Site Name]],[17]Backup!$E:$GG,185,0)</f>
        <v>2026-2027</v>
      </c>
    </row>
    <row r="19" spans="1:32" x14ac:dyDescent="0.3">
      <c r="A19" s="64" t="s">
        <v>558</v>
      </c>
      <c r="B19" s="64">
        <v>18</v>
      </c>
      <c r="C19" s="87" t="s">
        <v>42</v>
      </c>
      <c r="D19" s="63" t="s">
        <v>225</v>
      </c>
      <c r="E19" s="65" t="s">
        <v>504</v>
      </c>
      <c r="F19" s="66" t="s">
        <v>341</v>
      </c>
      <c r="G19" s="66" t="s">
        <v>342</v>
      </c>
      <c r="H19" s="66" t="s">
        <v>343</v>
      </c>
      <c r="I19" s="66" t="s">
        <v>353</v>
      </c>
      <c r="J19" s="59" t="s">
        <v>563</v>
      </c>
      <c r="K19" s="65" t="s">
        <v>419</v>
      </c>
      <c r="L19" s="67">
        <v>431</v>
      </c>
      <c r="M19" s="69"/>
      <c r="N19" s="69"/>
      <c r="O19" s="68"/>
      <c r="P19" s="69" t="str">
        <f>IFERROR(VLOOKUP(TableAOPTarget[[#This Row],[RFC Date]],TableAopCalendar[[Date]:[Concatenate Month &amp; Week]],7,FALSE),"")</f>
        <v/>
      </c>
      <c r="Q19" s="68"/>
      <c r="R19" s="69" t="str">
        <f>IFERROR(VLOOKUP(TableAOPTarget[[#This Row],[Actual Start Date]],TableAopCalendar[[Date]:[Concatenate Month &amp; Week]],7,FALSE),"")</f>
        <v/>
      </c>
      <c r="S19" s="69"/>
      <c r="T19" s="68">
        <f>TableAOPTarget[[#This Row],[Actual Start Date]]+TableAOPTarget[[#This Row],[Standard Duration]]</f>
        <v>0</v>
      </c>
      <c r="U19" s="65" t="str">
        <f>IFERROR(VLOOKUP(TableAOPTarget[[#This Row],[Planned Finish Date]],TableAopCalendar[[Date]:[Concatenate Month &amp; Week]],7,FALSE),"")</f>
        <v/>
      </c>
      <c r="V19" s="68"/>
      <c r="W19" s="69" t="str">
        <f>IFERROR(VLOOKUP(TableAOPTarget[[#This Row],[Actual Finish Date]],TableAopCalendar[[Date]:[Concatenate Month &amp; Week]],7,FALSE),"")</f>
        <v/>
      </c>
      <c r="X19" s="68"/>
      <c r="Y19" s="69" t="str">
        <f>IFERROR(VLOOKUP(TableAOPTarget[[#This Row],[Forecasted Finish Date]],TableAopCalendar[[Date]:[Concatenate Month &amp; Week]],7,FALSE),"")</f>
        <v/>
      </c>
      <c r="Z19" s="68"/>
      <c r="AA19" s="69" t="str">
        <f>IF(OR(TableAOPTarget[[#This Row],[EPC Status]]="EPC Ready",TableAOPTarget[[#This Row],[EPC Status]]="WIP",TableAOPTarget[[#This Row],[EPC Status]]="YTS"),INDEX(TableAopCalendar[Concatenate Month &amp; Plan],MATCH(TableAOPTarget[[#This Row],[Planned Finish Date]],TableAopCalendar[Date],0))," ")</f>
        <v xml:space="preserve"> </v>
      </c>
      <c r="AB19" s="69" t="str">
        <f>IF(TableAOPTarget[[#This Row],[EPC Status]]="EPC Ready",INDEX(TableAopCalendar[Month for Plan],MATCH(TableAOPTarget[[#This Row],[Actual Finish Date]],TableAopCalendar[Date],0))," ")</f>
        <v xml:space="preserve"> </v>
      </c>
      <c r="AC19" s="87" t="s">
        <v>458</v>
      </c>
      <c r="AD19" s="63" t="str">
        <f>VLOOKUP(TableAOPTarget[[#This Row],[Site Name]],[17]Backup!$E:$F,2,0)</f>
        <v>5. Budget approved RFC awaited</v>
      </c>
      <c r="AE19" s="71"/>
      <c r="AF19" s="60" t="str">
        <f>VLOOKUP(TableAOPTarget[[#This Row],[Site Name]],[17]Backup!$E:$GG,185,0)</f>
        <v>2026-2027</v>
      </c>
    </row>
    <row r="20" spans="1:32" ht="31.2" x14ac:dyDescent="0.3">
      <c r="A20" s="64" t="s">
        <v>560</v>
      </c>
      <c r="B20" s="64">
        <v>19</v>
      </c>
      <c r="C20" s="87" t="s">
        <v>42</v>
      </c>
      <c r="D20" s="63" t="s">
        <v>225</v>
      </c>
      <c r="E20" s="65" t="s">
        <v>504</v>
      </c>
      <c r="F20" s="66" t="s">
        <v>341</v>
      </c>
      <c r="G20" s="66" t="s">
        <v>342</v>
      </c>
      <c r="H20" s="66"/>
      <c r="I20" s="66" t="s">
        <v>353</v>
      </c>
      <c r="J20" s="127" t="s">
        <v>779</v>
      </c>
      <c r="K20" s="65" t="s">
        <v>365</v>
      </c>
      <c r="L20" s="67">
        <v>292.18</v>
      </c>
      <c r="M20" s="69"/>
      <c r="N20" s="69"/>
      <c r="O20" s="68"/>
      <c r="P20" s="69" t="str">
        <f>IFERROR(VLOOKUP(TableAOPTarget[[#This Row],[RFC Date]],TableAopCalendar[[Date]:[Concatenate Month &amp; Week]],7,FALSE),"")</f>
        <v/>
      </c>
      <c r="Q20" s="68"/>
      <c r="R20" s="69" t="str">
        <f>IFERROR(VLOOKUP(TableAOPTarget[[#This Row],[Actual Start Date]],TableAopCalendar[[Date]:[Concatenate Month &amp; Week]],7,FALSE),"")</f>
        <v/>
      </c>
      <c r="S20" s="69"/>
      <c r="T20" s="68">
        <f>TableAOPTarget[[#This Row],[Actual Start Date]]+TableAOPTarget[[#This Row],[Standard Duration]]</f>
        <v>0</v>
      </c>
      <c r="U20" s="65" t="str">
        <f>IFERROR(VLOOKUP(TableAOPTarget[[#This Row],[Planned Finish Date]],TableAopCalendar[[Date]:[Concatenate Month &amp; Week]],7,FALSE),"")</f>
        <v/>
      </c>
      <c r="V20" s="68"/>
      <c r="W20" s="69" t="str">
        <f>IFERROR(VLOOKUP(TableAOPTarget[[#This Row],[Actual Finish Date]],TableAopCalendar[[Date]:[Concatenate Month &amp; Week]],7,FALSE),"")</f>
        <v/>
      </c>
      <c r="X20" s="68"/>
      <c r="Y20" s="69" t="str">
        <f>IFERROR(VLOOKUP(TableAOPTarget[[#This Row],[Forecasted Finish Date]],TableAopCalendar[[Date]:[Concatenate Month &amp; Week]],7,FALSE),"")</f>
        <v/>
      </c>
      <c r="Z20" s="68"/>
      <c r="AA20" s="69" t="str">
        <f>IF(OR(TableAOPTarget[[#This Row],[EPC Status]]="EPC Ready",TableAOPTarget[[#This Row],[EPC Status]]="WIP",TableAOPTarget[[#This Row],[EPC Status]]="YTS"),INDEX(TableAopCalendar[Concatenate Month &amp; Plan],MATCH(TableAOPTarget[[#This Row],[Planned Finish Date]],TableAopCalendar[Date],0))," ")</f>
        <v xml:space="preserve"> </v>
      </c>
      <c r="AB20" s="69" t="str">
        <f>IF(TableAOPTarget[[#This Row],[EPC Status]]="EPC Ready",INDEX(TableAopCalendar[Month for Plan],MATCH(TableAOPTarget[[#This Row],[Actual Finish Date]],TableAopCalendar[Date],0))," ")</f>
        <v xml:space="preserve"> </v>
      </c>
      <c r="AC20" s="87" t="s">
        <v>636</v>
      </c>
      <c r="AD20" s="63" t="str">
        <f>VLOOKUP(TableAOPTarget[[#This Row],[Site Name]],[17]Backup!$E:$F,2,0)</f>
        <v>6. RFC offered</v>
      </c>
      <c r="AE20" s="71"/>
      <c r="AF20" s="60" t="str">
        <f>VLOOKUP(TableAOPTarget[[#This Row],[Site Name]],[17]Backup!$E:$GG,185,0)</f>
        <v>2026-2027</v>
      </c>
    </row>
    <row r="21" spans="1:32" x14ac:dyDescent="0.3">
      <c r="A21" s="64" t="s">
        <v>556</v>
      </c>
      <c r="B21" s="64">
        <v>20</v>
      </c>
      <c r="C21" s="87" t="s">
        <v>42</v>
      </c>
      <c r="D21" s="63" t="s">
        <v>225</v>
      </c>
      <c r="E21" s="87" t="s">
        <v>557</v>
      </c>
      <c r="F21" s="66" t="s">
        <v>352</v>
      </c>
      <c r="G21" s="74" t="s">
        <v>344</v>
      </c>
      <c r="H21" s="66" t="s">
        <v>345</v>
      </c>
      <c r="I21" s="66" t="s">
        <v>360</v>
      </c>
      <c r="J21" s="59" t="s">
        <v>554</v>
      </c>
      <c r="K21" s="65" t="s">
        <v>555</v>
      </c>
      <c r="L21" s="67">
        <v>3907</v>
      </c>
      <c r="M21" s="69"/>
      <c r="N21" s="69"/>
      <c r="O21" s="68"/>
      <c r="P21" s="69" t="str">
        <f>IFERROR(VLOOKUP(TableAOPTarget[[#This Row],[RFC Date]],TableAopCalendar[[Date]:[Concatenate Month &amp; Week]],7,FALSE),"")</f>
        <v/>
      </c>
      <c r="Q21" s="68"/>
      <c r="R21" s="69" t="str">
        <f>IFERROR(VLOOKUP(TableAOPTarget[[#This Row],[Actual Start Date]],TableAopCalendar[[Date]:[Concatenate Month &amp; Week]],7,FALSE),"")</f>
        <v/>
      </c>
      <c r="S21" s="69"/>
      <c r="T21" s="68">
        <f>TableAOPTarget[[#This Row],[Actual Start Date]]+TableAOPTarget[[#This Row],[Standard Duration]]</f>
        <v>0</v>
      </c>
      <c r="U21" s="65" t="str">
        <f>IFERROR(VLOOKUP(TableAOPTarget[[#This Row],[Planned Finish Date]],TableAopCalendar[[Date]:[Concatenate Month &amp; Week]],7,FALSE),"")</f>
        <v/>
      </c>
      <c r="V21" s="68"/>
      <c r="W21" s="69" t="str">
        <f>IFERROR(VLOOKUP(TableAOPTarget[[#This Row],[Actual Finish Date]],TableAopCalendar[[Date]:[Concatenate Month &amp; Week]],7,FALSE),"")</f>
        <v/>
      </c>
      <c r="X21" s="68"/>
      <c r="Y21" s="69" t="str">
        <f>IFERROR(VLOOKUP(TableAOPTarget[[#This Row],[Forecasted Finish Date]],TableAopCalendar[[Date]:[Concatenate Month &amp; Week]],7,FALSE),"")</f>
        <v/>
      </c>
      <c r="Z21" s="68"/>
      <c r="AA21" s="69" t="str">
        <f>IF(OR(TableAOPTarget[[#This Row],[EPC Status]]="EPC Ready",TableAOPTarget[[#This Row],[EPC Status]]="WIP",TableAOPTarget[[#This Row],[EPC Status]]="YTS"),INDEX(TableAopCalendar[Concatenate Month &amp; Plan],MATCH(TableAOPTarget[[#This Row],[Planned Finish Date]],TableAopCalendar[Date],0))," ")</f>
        <v xml:space="preserve"> </v>
      </c>
      <c r="AB21" s="69" t="str">
        <f>IF(TableAOPTarget[[#This Row],[EPC Status]]="EPC Ready",INDEX(TableAopCalendar[Month for Plan],MATCH(TableAOPTarget[[#This Row],[Actual Finish Date]],TableAopCalendar[Date],0))," ")</f>
        <v xml:space="preserve"> </v>
      </c>
      <c r="AC21" s="87" t="s">
        <v>457</v>
      </c>
      <c r="AD21" s="63" t="str">
        <f>VLOOKUP(TableAOPTarget[[#This Row],[Site Name]],[17]Backup!$E:$F,2,0)</f>
        <v>4. Budget Approval Pending</v>
      </c>
      <c r="AE21" s="71"/>
      <c r="AF21" s="60" t="str">
        <f>VLOOKUP(TableAOPTarget[[#This Row],[Site Name]],[17]Backup!$E:$GG,185,0)</f>
        <v>2026-2027</v>
      </c>
    </row>
    <row r="22" spans="1:32" ht="31.2" x14ac:dyDescent="0.3">
      <c r="A22" s="64" t="s">
        <v>562</v>
      </c>
      <c r="B22" s="64">
        <v>21</v>
      </c>
      <c r="C22" s="87" t="s">
        <v>63</v>
      </c>
      <c r="D22" s="63" t="s">
        <v>224</v>
      </c>
      <c r="E22" s="65" t="s">
        <v>500</v>
      </c>
      <c r="F22" s="66" t="s">
        <v>484</v>
      </c>
      <c r="G22" s="66" t="s">
        <v>342</v>
      </c>
      <c r="H22" s="66" t="s">
        <v>350</v>
      </c>
      <c r="I22" s="66" t="s">
        <v>353</v>
      </c>
      <c r="J22" s="59" t="s">
        <v>561</v>
      </c>
      <c r="K22" s="65" t="s">
        <v>419</v>
      </c>
      <c r="L22" s="67">
        <v>368</v>
      </c>
      <c r="M22" s="69"/>
      <c r="N22" s="69"/>
      <c r="O22" s="68"/>
      <c r="P22" s="69" t="str">
        <f>IFERROR(VLOOKUP(TableAOPTarget[[#This Row],[RFC Date]],TableAopCalendar[[Date]:[Concatenate Month &amp; Week]],7,FALSE),"")</f>
        <v/>
      </c>
      <c r="Q22" s="68"/>
      <c r="R22" s="69" t="str">
        <f>IFERROR(VLOOKUP(TableAOPTarget[[#This Row],[Actual Start Date]],TableAopCalendar[[Date]:[Concatenate Month &amp; Week]],7,FALSE),"")</f>
        <v/>
      </c>
      <c r="S22" s="69"/>
      <c r="T22" s="68">
        <f>TableAOPTarget[[#This Row],[Actual Start Date]]+TableAOPTarget[[#This Row],[Standard Duration]]</f>
        <v>0</v>
      </c>
      <c r="U22" s="65" t="str">
        <f>IFERROR(VLOOKUP(TableAOPTarget[[#This Row],[Planned Finish Date]],TableAopCalendar[[Date]:[Concatenate Month &amp; Week]],7,FALSE),"")</f>
        <v/>
      </c>
      <c r="V22" s="68"/>
      <c r="W22" s="65" t="str">
        <f>IFERROR(VLOOKUP(TableAOPTarget[[#This Row],[Actual Finish Date]],TableAopCalendar[[Date]:[Concatenate Month &amp; Week]],7,FALSE),"")</f>
        <v/>
      </c>
      <c r="X22" s="68"/>
      <c r="Y22" s="69" t="str">
        <f>IFERROR(VLOOKUP(TableAOPTarget[[#This Row],[Forecasted Finish Date]],TableAopCalendar[[Date]:[Concatenate Month &amp; Week]],7,FALSE),"")</f>
        <v/>
      </c>
      <c r="Z22" s="68"/>
      <c r="AA22" s="65" t="str">
        <f>IF(OR(TableAOPTarget[[#This Row],[EPC Status]]="EPC Ready",TableAOPTarget[[#This Row],[EPC Status]]="WIP",TableAOPTarget[[#This Row],[EPC Status]]="YTS"),INDEX(TableAopCalendar[Concatenate Month &amp; Plan],MATCH(TableAOPTarget[[#This Row],[Planned Finish Date]],TableAopCalendar[Date],0))," ")</f>
        <v xml:space="preserve"> </v>
      </c>
      <c r="AB22" s="65" t="str">
        <f>IF(TableAOPTarget[[#This Row],[EPC Status]]="EPC Ready",INDEX(TableAopCalendar[Month for Plan],MATCH(TableAOPTarget[[#This Row],[Actual Finish Date]],TableAopCalendar[Date],0))," ")</f>
        <v xml:space="preserve"> </v>
      </c>
      <c r="AC22" s="87" t="s">
        <v>457</v>
      </c>
      <c r="AD22" s="63" t="str">
        <f>VLOOKUP(TableAOPTarget[[#This Row],[Site Name]],[17]Backup!$E:$F,2,0)</f>
        <v>4. Budget Approval Pending</v>
      </c>
      <c r="AE22" s="71"/>
      <c r="AF22" s="60" t="str">
        <f>VLOOKUP(TableAOPTarget[[#This Row],[Site Name]],[17]Backup!$E:$GG,185,0)</f>
        <v>2026-2027</v>
      </c>
    </row>
    <row r="23" spans="1:32" x14ac:dyDescent="0.3">
      <c r="A23" s="64" t="s">
        <v>573</v>
      </c>
      <c r="B23" s="64">
        <v>22</v>
      </c>
      <c r="C23" s="87" t="s">
        <v>42</v>
      </c>
      <c r="D23" s="63" t="s">
        <v>225</v>
      </c>
      <c r="E23" s="65" t="s">
        <v>504</v>
      </c>
      <c r="F23" s="66" t="s">
        <v>341</v>
      </c>
      <c r="G23" s="84" t="s">
        <v>342</v>
      </c>
      <c r="H23" s="66" t="s">
        <v>343</v>
      </c>
      <c r="I23" s="66" t="s">
        <v>353</v>
      </c>
      <c r="J23" s="59" t="s">
        <v>633</v>
      </c>
      <c r="K23" s="64" t="s">
        <v>365</v>
      </c>
      <c r="L23" s="67">
        <v>120</v>
      </c>
      <c r="M23" s="69"/>
      <c r="N23" s="69"/>
      <c r="O23" s="68"/>
      <c r="P23" s="69" t="str">
        <f>IFERROR(VLOOKUP(TableAOPTarget[[#This Row],[RFC Date]],TableAopCalendar[[Date]:[Concatenate Month &amp; Week]],7,FALSE),"")</f>
        <v/>
      </c>
      <c r="Q23" s="68"/>
      <c r="R23" s="69" t="str">
        <f>IFERROR(VLOOKUP(TableAOPTarget[[#This Row],[Actual Start Date]],TableAopCalendar[[Date]:[Concatenate Month &amp; Week]],7,FALSE),"")</f>
        <v/>
      </c>
      <c r="S23" s="69"/>
      <c r="T23" s="68">
        <f>TableAOPTarget[[#This Row],[Actual Start Date]]+TableAOPTarget[[#This Row],[Standard Duration]]</f>
        <v>0</v>
      </c>
      <c r="U23" s="65" t="str">
        <f>IFERROR(VLOOKUP(TableAOPTarget[[#This Row],[Planned Finish Date]],TableAopCalendar[[Date]:[Concatenate Month &amp; Week]],7,FALSE),"")</f>
        <v/>
      </c>
      <c r="V23" s="68"/>
      <c r="W23" s="69" t="str">
        <f>IFERROR(VLOOKUP(TableAOPTarget[[#This Row],[Actual Finish Date]],TableAopCalendar[[Date]:[Concatenate Month &amp; Week]],7,FALSE),"")</f>
        <v/>
      </c>
      <c r="X23" s="68"/>
      <c r="Y23" s="69" t="str">
        <f>IFERROR(VLOOKUP(TableAOPTarget[[#This Row],[Forecasted Finish Date]],TableAopCalendar[[Date]:[Concatenate Month &amp; Week]],7,FALSE),"")</f>
        <v/>
      </c>
      <c r="Z23" s="68"/>
      <c r="AA23" s="69" t="str">
        <f>IF(OR(TableAOPTarget[[#This Row],[EPC Status]]="EPC Ready",TableAOPTarget[[#This Row],[EPC Status]]="WIP",TableAOPTarget[[#This Row],[EPC Status]]="YTS"),INDEX(TableAopCalendar[Concatenate Month &amp; Plan],MATCH(TableAOPTarget[[#This Row],[Planned Finish Date]],TableAopCalendar[Date],0))," ")</f>
        <v xml:space="preserve"> </v>
      </c>
      <c r="AB23" s="69" t="str">
        <f>IF(TableAOPTarget[[#This Row],[EPC Status]]="EPC Ready",INDEX(TableAopCalendar[Month for Plan],MATCH(TableAOPTarget[[#This Row],[Actual Finish Date]],TableAopCalendar[Date],0))," ")</f>
        <v xml:space="preserve"> </v>
      </c>
      <c r="AC23" s="87" t="s">
        <v>636</v>
      </c>
      <c r="AD23" s="87" t="str">
        <f>VLOOKUP(TableAOPTarget[[#This Row],[Site Name]],[17]Backup!$E:$F,2,0)</f>
        <v>6. RFC offered</v>
      </c>
      <c r="AE23" s="71"/>
      <c r="AF23" s="60" t="str">
        <f>VLOOKUP(TableAOPTarget[[#This Row],[Site Name]],[17]Backup!$E:$GG,185,0)</f>
        <v>2026-2027</v>
      </c>
    </row>
    <row r="24" spans="1:32" ht="33.6" customHeight="1" x14ac:dyDescent="0.3">
      <c r="A24" s="64" t="s">
        <v>583</v>
      </c>
      <c r="B24" s="64">
        <v>23</v>
      </c>
      <c r="C24" s="87" t="s">
        <v>42</v>
      </c>
      <c r="D24" s="63" t="s">
        <v>225</v>
      </c>
      <c r="E24" s="65" t="s">
        <v>571</v>
      </c>
      <c r="F24" s="66" t="s">
        <v>352</v>
      </c>
      <c r="G24" s="66" t="s">
        <v>342</v>
      </c>
      <c r="H24" s="66" t="s">
        <v>343</v>
      </c>
      <c r="I24" s="66" t="s">
        <v>353</v>
      </c>
      <c r="J24" s="59" t="s">
        <v>578</v>
      </c>
      <c r="K24" s="64" t="s">
        <v>419</v>
      </c>
      <c r="L24" s="67">
        <v>847</v>
      </c>
      <c r="M24" s="69"/>
      <c r="N24" s="69"/>
      <c r="O24" s="68"/>
      <c r="P24" s="69" t="str">
        <f>IFERROR(VLOOKUP(TableAOPTarget[[#This Row],[RFC Date]],TableAopCalendar[[Date]:[Concatenate Month &amp; Week]],7,FALSE),"")</f>
        <v/>
      </c>
      <c r="Q24" s="68"/>
      <c r="R24" s="69" t="str">
        <f>IFERROR(VLOOKUP(TableAOPTarget[[#This Row],[Actual Start Date]],TableAopCalendar[[Date]:[Concatenate Month &amp; Week]],7,FALSE),"")</f>
        <v/>
      </c>
      <c r="S24" s="69"/>
      <c r="T24" s="68">
        <f>TableAOPTarget[[#This Row],[Actual Start Date]]+TableAOPTarget[[#This Row],[Standard Duration]]</f>
        <v>0</v>
      </c>
      <c r="U24" s="65" t="str">
        <f>IFERROR(VLOOKUP(TableAOPTarget[[#This Row],[Planned Finish Date]],TableAopCalendar[[Date]:[Concatenate Month &amp; Week]],7,FALSE),"")</f>
        <v/>
      </c>
      <c r="V24" s="68"/>
      <c r="W24" s="69" t="str">
        <f>IFERROR(VLOOKUP(TableAOPTarget[[#This Row],[Actual Finish Date]],TableAopCalendar[[Date]:[Concatenate Month &amp; Week]],7,FALSE),"")</f>
        <v/>
      </c>
      <c r="X24" s="68"/>
      <c r="Y24" s="69" t="str">
        <f>IFERROR(VLOOKUP(TableAOPTarget[[#This Row],[Forecasted Finish Date]],TableAopCalendar[[Date]:[Concatenate Month &amp; Week]],7,FALSE),"")</f>
        <v/>
      </c>
      <c r="Z24" s="68"/>
      <c r="AA24" s="69" t="str">
        <f>IF(OR(TableAOPTarget[[#This Row],[EPC Status]]="EPC Ready",TableAOPTarget[[#This Row],[EPC Status]]="WIP",TableAOPTarget[[#This Row],[EPC Status]]="YTS"),INDEX(TableAopCalendar[Concatenate Month &amp; Plan],MATCH(TableAOPTarget[[#This Row],[Planned Finish Date]],TableAopCalendar[Date],0))," ")</f>
        <v xml:space="preserve"> </v>
      </c>
      <c r="AB24" s="69" t="str">
        <f>IF(TableAOPTarget[[#This Row],[EPC Status]]="EPC Ready",INDEX(TableAopCalendar[Month for Plan],MATCH(TableAOPTarget[[#This Row],[Actual Finish Date]],TableAopCalendar[Date],0))," ")</f>
        <v xml:space="preserve"> </v>
      </c>
      <c r="AC24" s="87" t="s">
        <v>457</v>
      </c>
      <c r="AD24" s="87" t="str">
        <f>VLOOKUP(TableAOPTarget[[#This Row],[Site Name]],[17]Backup!$E:$F,2,0)</f>
        <v>4. Budget Approval Pending</v>
      </c>
      <c r="AE24" s="71"/>
      <c r="AF24" s="60" t="str">
        <f>VLOOKUP(TableAOPTarget[[#This Row],[Site Name]],[17]Backup!$E:$GG,185,0)</f>
        <v>2026-2027</v>
      </c>
    </row>
    <row r="25" spans="1:32" ht="31.2" x14ac:dyDescent="0.3">
      <c r="A25" s="64" t="s">
        <v>584</v>
      </c>
      <c r="B25" s="64">
        <v>24</v>
      </c>
      <c r="C25" s="87" t="s">
        <v>42</v>
      </c>
      <c r="D25" s="82" t="s">
        <v>225</v>
      </c>
      <c r="E25" s="65" t="s">
        <v>498</v>
      </c>
      <c r="F25" s="66" t="s">
        <v>460</v>
      </c>
      <c r="G25" s="66" t="s">
        <v>348</v>
      </c>
      <c r="H25" s="66" t="s">
        <v>351</v>
      </c>
      <c r="I25" s="66" t="s">
        <v>358</v>
      </c>
      <c r="J25" s="73" t="s">
        <v>579</v>
      </c>
      <c r="K25" s="65" t="s">
        <v>580</v>
      </c>
      <c r="L25" s="64">
        <v>2731</v>
      </c>
      <c r="M25" s="69"/>
      <c r="N25" s="69"/>
      <c r="O25" s="68"/>
      <c r="P25" s="69" t="str">
        <f>IFERROR(VLOOKUP(TableAOPTarget[[#This Row],[RFC Date]],TableAopCalendar[[Date]:[Concatenate Month &amp; Week]],7,FALSE),"")</f>
        <v/>
      </c>
      <c r="Q25" s="68"/>
      <c r="R25" s="69" t="str">
        <f>IFERROR(VLOOKUP(TableAOPTarget[[#This Row],[Actual Start Date]],TableAopCalendar[[Date]:[Concatenate Month &amp; Week]],7,FALSE),"")</f>
        <v/>
      </c>
      <c r="S25" s="69"/>
      <c r="T25" s="68">
        <f>TableAOPTarget[[#This Row],[Actual Start Date]]+TableAOPTarget[[#This Row],[Standard Duration]]</f>
        <v>0</v>
      </c>
      <c r="U25" s="69" t="str">
        <f>IFERROR(VLOOKUP(TableAOPTarget[[#This Row],[Planned Finish Date]],TableAopCalendar[[Date]:[Concatenate Month &amp; Week]],7,FALSE),"")</f>
        <v/>
      </c>
      <c r="V25" s="68"/>
      <c r="W25" s="69" t="str">
        <f>IFERROR(VLOOKUP(TableAOPTarget[[#This Row],[Actual Finish Date]],TableAopCalendar[[Date]:[Concatenate Month &amp; Week]],7,FALSE),"")</f>
        <v/>
      </c>
      <c r="X25" s="68"/>
      <c r="Y25" s="69" t="str">
        <f>IFERROR(VLOOKUP(TableAOPTarget[[#This Row],[Forecasted Finish Date]],TableAopCalendar[[Date]:[Concatenate Month &amp; Week]],7,FALSE),"")</f>
        <v/>
      </c>
      <c r="Z25" s="68"/>
      <c r="AA25" s="69" t="str">
        <f>IF(OR(TableAOPTarget[[#This Row],[EPC Status]]="EPC Ready",TableAOPTarget[[#This Row],[EPC Status]]="WIP",TableAOPTarget[[#This Row],[EPC Status]]="YTS"),INDEX(TableAopCalendar[Concatenate Month &amp; Plan],MATCH(TableAOPTarget[[#This Row],[Planned Finish Date]],TableAopCalendar[Date],0))," ")</f>
        <v xml:space="preserve"> </v>
      </c>
      <c r="AB25" s="69" t="str">
        <f>IF(TableAOPTarget[[#This Row],[EPC Status]]="EPC Ready",INDEX(TableAopCalendar[Month for Plan],MATCH(TableAOPTarget[[#This Row],[Actual Finish Date]],TableAopCalendar[Date],0))," ")</f>
        <v xml:space="preserve"> </v>
      </c>
      <c r="AC25" s="87" t="s">
        <v>553</v>
      </c>
      <c r="AD25" s="87" t="str">
        <f>VLOOKUP(TableAOPTarget[[#This Row],[Site Name]],[17]Backup!$E:$F,2,0)</f>
        <v>3. Design In progress</v>
      </c>
      <c r="AE25" s="71"/>
      <c r="AF25" s="60" t="str">
        <f>VLOOKUP(TableAOPTarget[[#This Row],[Site Name]],[17]Backup!$E:$GG,185,0)</f>
        <v>2026-2027</v>
      </c>
    </row>
    <row r="26" spans="1:32" x14ac:dyDescent="0.3">
      <c r="A26" s="64" t="s">
        <v>587</v>
      </c>
      <c r="B26" s="64">
        <v>25</v>
      </c>
      <c r="C26" s="87" t="s">
        <v>42</v>
      </c>
      <c r="D26" s="63" t="s">
        <v>225</v>
      </c>
      <c r="E26" s="65" t="s">
        <v>504</v>
      </c>
      <c r="F26" s="66" t="s">
        <v>341</v>
      </c>
      <c r="G26" s="66" t="s">
        <v>342</v>
      </c>
      <c r="H26" s="66" t="s">
        <v>343</v>
      </c>
      <c r="I26" s="66" t="s">
        <v>353</v>
      </c>
      <c r="J26" s="59" t="s">
        <v>635</v>
      </c>
      <c r="K26" s="64" t="s">
        <v>419</v>
      </c>
      <c r="L26" s="67">
        <v>144</v>
      </c>
      <c r="M26" s="69"/>
      <c r="N26" s="69"/>
      <c r="O26" s="68"/>
      <c r="P26" s="69" t="str">
        <f>IFERROR(VLOOKUP(TableAOPTarget[[#This Row],[RFC Date]],TableAopCalendar[[Date]:[Concatenate Month &amp; Week]],7,FALSE),"")</f>
        <v/>
      </c>
      <c r="Q26" s="68"/>
      <c r="R26" s="69" t="str">
        <f>IFERROR(VLOOKUP(TableAOPTarget[[#This Row],[Actual Start Date]],TableAopCalendar[[Date]:[Concatenate Month &amp; Week]],7,FALSE),"")</f>
        <v/>
      </c>
      <c r="S26" s="69"/>
      <c r="T26" s="68">
        <f>TableAOPTarget[[#This Row],[Actual Start Date]]+TableAOPTarget[[#This Row],[Standard Duration]]</f>
        <v>0</v>
      </c>
      <c r="U26" s="69" t="str">
        <f>IFERROR(VLOOKUP(TableAOPTarget[[#This Row],[Planned Finish Date]],TableAopCalendar[[Date]:[Concatenate Month &amp; Week]],7,FALSE),"")</f>
        <v/>
      </c>
      <c r="V26" s="68"/>
      <c r="W26" s="69" t="str">
        <f>IFERROR(VLOOKUP(TableAOPTarget[[#This Row],[Actual Finish Date]],TableAopCalendar[[Date]:[Concatenate Month &amp; Week]],7,FALSE),"")</f>
        <v/>
      </c>
      <c r="X26" s="68"/>
      <c r="Y26" s="69" t="str">
        <f>IFERROR(VLOOKUP(TableAOPTarget[[#This Row],[Forecasted Finish Date]],TableAopCalendar[[Date]:[Concatenate Month &amp; Week]],7,FALSE),"")</f>
        <v/>
      </c>
      <c r="Z26" s="68"/>
      <c r="AA26" s="69" t="str">
        <f>IF(OR(TableAOPTarget[[#This Row],[EPC Status]]="EPC Ready",TableAOPTarget[[#This Row],[EPC Status]]="WIP",TableAOPTarget[[#This Row],[EPC Status]]="YTS"),INDEX(TableAopCalendar[Concatenate Month &amp; Plan],MATCH(TableAOPTarget[[#This Row],[Planned Finish Date]],TableAopCalendar[Date],0))," ")</f>
        <v xml:space="preserve"> </v>
      </c>
      <c r="AB26" s="69" t="str">
        <f>IF(TableAOPTarget[[#This Row],[EPC Status]]="EPC Ready",INDEX(TableAopCalendar[Month for Plan],MATCH(TableAOPTarget[[#This Row],[Actual Finish Date]],TableAopCalendar[Date],0))," ")</f>
        <v xml:space="preserve"> </v>
      </c>
      <c r="AC26" s="87" t="s">
        <v>458</v>
      </c>
      <c r="AD26" s="87" t="str">
        <f>VLOOKUP(TableAOPTarget[[#This Row],[Site Name]],[17]Backup!$E:$F,2,0)</f>
        <v>5. Budget approved RFC awaited</v>
      </c>
      <c r="AE26" s="71"/>
      <c r="AF26" s="60" t="str">
        <f>VLOOKUP(TableAOPTarget[[#This Row],[Site Name]],[17]Backup!$E:$GG,185,0)</f>
        <v>2026-2027</v>
      </c>
    </row>
    <row r="27" spans="1:32" ht="31.2" x14ac:dyDescent="0.3">
      <c r="A27" s="64" t="s">
        <v>591</v>
      </c>
      <c r="B27" s="64">
        <v>26</v>
      </c>
      <c r="C27" s="87" t="s">
        <v>42</v>
      </c>
      <c r="D27" s="63" t="s">
        <v>225</v>
      </c>
      <c r="E27" s="65" t="s">
        <v>571</v>
      </c>
      <c r="F27" s="66" t="s">
        <v>352</v>
      </c>
      <c r="G27" s="66" t="s">
        <v>342</v>
      </c>
      <c r="H27" s="66" t="s">
        <v>343</v>
      </c>
      <c r="I27" s="66" t="s">
        <v>353</v>
      </c>
      <c r="J27" s="59" t="s">
        <v>588</v>
      </c>
      <c r="K27" s="65" t="s">
        <v>419</v>
      </c>
      <c r="L27" s="67">
        <v>863</v>
      </c>
      <c r="M27" s="69"/>
      <c r="N27" s="69"/>
      <c r="O27" s="68"/>
      <c r="P27" s="69" t="str">
        <f>IFERROR(VLOOKUP(TableAOPTarget[[#This Row],[RFC Date]],TableAopCalendar[[Date]:[Concatenate Month &amp; Week]],7,FALSE),"")</f>
        <v/>
      </c>
      <c r="Q27" s="68"/>
      <c r="R27" s="69" t="str">
        <f>IFERROR(VLOOKUP(TableAOPTarget[[#This Row],[Actual Start Date]],TableAopCalendar[[Date]:[Concatenate Month &amp; Week]],7,FALSE),"")</f>
        <v/>
      </c>
      <c r="S27" s="69"/>
      <c r="T27" s="68">
        <f>TableAOPTarget[[#This Row],[Actual Start Date]]+TableAOPTarget[[#This Row],[Standard Duration]]</f>
        <v>0</v>
      </c>
      <c r="U27" s="69" t="str">
        <f>IFERROR(VLOOKUP(TableAOPTarget[[#This Row],[Planned Finish Date]],TableAopCalendar[[Date]:[Concatenate Month &amp; Week]],7,FALSE),"")</f>
        <v/>
      </c>
      <c r="V27" s="68"/>
      <c r="W27" s="69" t="str">
        <f>IFERROR(VLOOKUP(TableAOPTarget[[#This Row],[Actual Finish Date]],TableAopCalendar[[Date]:[Concatenate Month &amp; Week]],7,FALSE),"")</f>
        <v/>
      </c>
      <c r="X27" s="68"/>
      <c r="Y27" s="69" t="str">
        <f>IFERROR(VLOOKUP(TableAOPTarget[[#This Row],[Forecasted Finish Date]],TableAopCalendar[[Date]:[Concatenate Month &amp; Week]],7,FALSE),"")</f>
        <v/>
      </c>
      <c r="Z27" s="68"/>
      <c r="AA27" s="69" t="str">
        <f>IF(OR(TableAOPTarget[[#This Row],[EPC Status]]="EPC Ready",TableAOPTarget[[#This Row],[EPC Status]]="WIP",TableAOPTarget[[#This Row],[EPC Status]]="YTS"),INDEX(TableAopCalendar[Concatenate Month &amp; Plan],MATCH(TableAOPTarget[[#This Row],[Planned Finish Date]],TableAopCalendar[Date],0))," ")</f>
        <v xml:space="preserve"> </v>
      </c>
      <c r="AB27" s="69" t="str">
        <f>IF(TableAOPTarget[[#This Row],[EPC Status]]="EPC Ready",INDEX(TableAopCalendar[Month for Plan],MATCH(TableAOPTarget[[#This Row],[Actual Finish Date]],TableAopCalendar[Date],0))," ")</f>
        <v xml:space="preserve"> </v>
      </c>
      <c r="AC27" s="87" t="s">
        <v>458</v>
      </c>
      <c r="AD27" s="87" t="str">
        <f>VLOOKUP(TableAOPTarget[[#This Row],[Site Name]],[17]Backup!$E:$F,2,0)</f>
        <v>5. Budget approved RFC awaited</v>
      </c>
      <c r="AE27" s="71"/>
      <c r="AF27" s="60" t="str">
        <f>VLOOKUP(TableAOPTarget[[#This Row],[Site Name]],[17]Backup!$E:$GG,185,0)</f>
        <v>2026-2027</v>
      </c>
    </row>
    <row r="28" spans="1:32" ht="31.2" x14ac:dyDescent="0.3">
      <c r="A28" s="64" t="s">
        <v>592</v>
      </c>
      <c r="B28" s="64">
        <v>27</v>
      </c>
      <c r="C28" s="87" t="s">
        <v>42</v>
      </c>
      <c r="D28" s="63" t="s">
        <v>225</v>
      </c>
      <c r="E28" s="65" t="s">
        <v>571</v>
      </c>
      <c r="F28" s="66" t="s">
        <v>352</v>
      </c>
      <c r="G28" s="66" t="s">
        <v>342</v>
      </c>
      <c r="H28" s="66" t="s">
        <v>343</v>
      </c>
      <c r="I28" s="66" t="s">
        <v>353</v>
      </c>
      <c r="J28" s="59" t="s">
        <v>589</v>
      </c>
      <c r="K28" s="65" t="s">
        <v>419</v>
      </c>
      <c r="L28" s="67">
        <v>1000</v>
      </c>
      <c r="M28" s="69"/>
      <c r="N28" s="69"/>
      <c r="O28" s="68"/>
      <c r="P28" s="69" t="str">
        <f>IFERROR(VLOOKUP(TableAOPTarget[[#This Row],[RFC Date]],TableAopCalendar[[Date]:[Concatenate Month &amp; Week]],7,FALSE),"")</f>
        <v/>
      </c>
      <c r="Q28" s="68"/>
      <c r="R28" s="69" t="str">
        <f>IFERROR(VLOOKUP(TableAOPTarget[[#This Row],[Actual Start Date]],TableAopCalendar[[Date]:[Concatenate Month &amp; Week]],7,FALSE),"")</f>
        <v/>
      </c>
      <c r="S28" s="69"/>
      <c r="T28" s="68">
        <f>TableAOPTarget[[#This Row],[Actual Start Date]]+TableAOPTarget[[#This Row],[Standard Duration]]</f>
        <v>0</v>
      </c>
      <c r="U28" s="69" t="str">
        <f>IFERROR(VLOOKUP(TableAOPTarget[[#This Row],[Planned Finish Date]],TableAopCalendar[[Date]:[Concatenate Month &amp; Week]],7,FALSE),"")</f>
        <v/>
      </c>
      <c r="V28" s="68"/>
      <c r="W28" s="69" t="str">
        <f>IFERROR(VLOOKUP(TableAOPTarget[[#This Row],[Actual Finish Date]],TableAopCalendar[[Date]:[Concatenate Month &amp; Week]],7,FALSE),"")</f>
        <v/>
      </c>
      <c r="X28" s="68"/>
      <c r="Y28" s="69" t="str">
        <f>IFERROR(VLOOKUP(TableAOPTarget[[#This Row],[Forecasted Finish Date]],TableAopCalendar[[Date]:[Concatenate Month &amp; Week]],7,FALSE),"")</f>
        <v/>
      </c>
      <c r="Z28" s="68"/>
      <c r="AA28" s="69" t="str">
        <f>IF(OR(TableAOPTarget[[#This Row],[EPC Status]]="EPC Ready",TableAOPTarget[[#This Row],[EPC Status]]="WIP",TableAOPTarget[[#This Row],[EPC Status]]="YTS"),INDEX(TableAopCalendar[Concatenate Month &amp; Plan],MATCH(TableAOPTarget[[#This Row],[Planned Finish Date]],TableAopCalendar[Date],0))," ")</f>
        <v xml:space="preserve"> </v>
      </c>
      <c r="AB28" s="69" t="str">
        <f>IF(TableAOPTarget[[#This Row],[EPC Status]]="EPC Ready",INDEX(TableAopCalendar[Month for Plan],MATCH(TableAOPTarget[[#This Row],[Actual Finish Date]],TableAopCalendar[Date],0))," ")</f>
        <v xml:space="preserve"> </v>
      </c>
      <c r="AC28" s="87" t="s">
        <v>458</v>
      </c>
      <c r="AD28" s="87" t="str">
        <f>VLOOKUP(TableAOPTarget[[#This Row],[Site Name]],[17]Backup!$E:$F,2,0)</f>
        <v>5. Budget approved RFC awaited</v>
      </c>
      <c r="AE28" s="71"/>
      <c r="AF28" s="60" t="str">
        <f>VLOOKUP(TableAOPTarget[[#This Row],[Site Name]],[17]Backup!$E:$GG,185,0)</f>
        <v>2026-2027</v>
      </c>
    </row>
    <row r="29" spans="1:32" ht="31.2" x14ac:dyDescent="0.3">
      <c r="A29" s="64" t="s">
        <v>593</v>
      </c>
      <c r="B29" s="64">
        <v>28</v>
      </c>
      <c r="C29" s="87" t="s">
        <v>42</v>
      </c>
      <c r="D29" s="63" t="s">
        <v>225</v>
      </c>
      <c r="E29" s="65" t="s">
        <v>571</v>
      </c>
      <c r="F29" s="66" t="s">
        <v>352</v>
      </c>
      <c r="G29" s="66" t="s">
        <v>342</v>
      </c>
      <c r="H29" s="66" t="s">
        <v>343</v>
      </c>
      <c r="I29" s="66" t="s">
        <v>353</v>
      </c>
      <c r="J29" s="59" t="s">
        <v>590</v>
      </c>
      <c r="K29" s="65" t="s">
        <v>419</v>
      </c>
      <c r="L29" s="67">
        <v>715</v>
      </c>
      <c r="M29" s="69"/>
      <c r="N29" s="69"/>
      <c r="O29" s="68"/>
      <c r="P29" s="69" t="str">
        <f>IFERROR(VLOOKUP(TableAOPTarget[[#This Row],[RFC Date]],TableAopCalendar[[Date]:[Concatenate Month &amp; Week]],7,FALSE),"")</f>
        <v/>
      </c>
      <c r="Q29" s="68"/>
      <c r="R29" s="69" t="str">
        <f>IFERROR(VLOOKUP(TableAOPTarget[[#This Row],[Actual Start Date]],TableAopCalendar[[Date]:[Concatenate Month &amp; Week]],7,FALSE),"")</f>
        <v/>
      </c>
      <c r="S29" s="69"/>
      <c r="T29" s="68">
        <f>TableAOPTarget[[#This Row],[Actual Start Date]]+TableAOPTarget[[#This Row],[Standard Duration]]</f>
        <v>0</v>
      </c>
      <c r="U29" s="69" t="str">
        <f>IFERROR(VLOOKUP(TableAOPTarget[[#This Row],[Planned Finish Date]],TableAopCalendar[[Date]:[Concatenate Month &amp; Week]],7,FALSE),"")</f>
        <v/>
      </c>
      <c r="V29" s="68"/>
      <c r="W29" s="69" t="str">
        <f>IFERROR(VLOOKUP(TableAOPTarget[[#This Row],[Actual Finish Date]],TableAopCalendar[[Date]:[Concatenate Month &amp; Week]],7,FALSE),"")</f>
        <v/>
      </c>
      <c r="X29" s="68"/>
      <c r="Y29" s="69" t="str">
        <f>IFERROR(VLOOKUP(TableAOPTarget[[#This Row],[Forecasted Finish Date]],TableAopCalendar[[Date]:[Concatenate Month &amp; Week]],7,FALSE),"")</f>
        <v/>
      </c>
      <c r="Z29" s="68"/>
      <c r="AA29" s="69" t="str">
        <f>IF(OR(TableAOPTarget[[#This Row],[EPC Status]]="EPC Ready",TableAOPTarget[[#This Row],[EPC Status]]="WIP",TableAOPTarget[[#This Row],[EPC Status]]="YTS"),INDEX(TableAopCalendar[Concatenate Month &amp; Plan],MATCH(TableAOPTarget[[#This Row],[Planned Finish Date]],TableAopCalendar[Date],0))," ")</f>
        <v xml:space="preserve"> </v>
      </c>
      <c r="AB29" s="69" t="str">
        <f>IF(TableAOPTarget[[#This Row],[EPC Status]]="EPC Ready",INDEX(TableAopCalendar[Month for Plan],MATCH(TableAOPTarget[[#This Row],[Actual Finish Date]],TableAopCalendar[Date],0))," ")</f>
        <v xml:space="preserve"> </v>
      </c>
      <c r="AC29" s="87" t="s">
        <v>458</v>
      </c>
      <c r="AD29" s="87" t="str">
        <f>VLOOKUP(TableAOPTarget[[#This Row],[Site Name]],[17]Backup!$E:$F,2,0)</f>
        <v>5. Budget approved RFC awaited</v>
      </c>
      <c r="AE29" s="71"/>
      <c r="AF29" s="60" t="str">
        <f>VLOOKUP(TableAOPTarget[[#This Row],[Site Name]],[17]Backup!$E:$GG,185,0)</f>
        <v>2026-2027</v>
      </c>
    </row>
    <row r="30" spans="1:32" ht="31.2" x14ac:dyDescent="0.3">
      <c r="A30" s="64" t="s">
        <v>598</v>
      </c>
      <c r="B30" s="64">
        <v>29</v>
      </c>
      <c r="C30" s="87" t="s">
        <v>42</v>
      </c>
      <c r="D30" s="63" t="s">
        <v>225</v>
      </c>
      <c r="E30" s="65" t="s">
        <v>571</v>
      </c>
      <c r="F30" s="66" t="s">
        <v>352</v>
      </c>
      <c r="G30" s="66" t="s">
        <v>342</v>
      </c>
      <c r="H30" s="66" t="s">
        <v>343</v>
      </c>
      <c r="I30" s="66" t="s">
        <v>353</v>
      </c>
      <c r="J30" s="59" t="s">
        <v>595</v>
      </c>
      <c r="K30" s="65" t="s">
        <v>419</v>
      </c>
      <c r="L30" s="67">
        <v>1230</v>
      </c>
      <c r="M30" s="69"/>
      <c r="N30" s="69"/>
      <c r="O30" s="68"/>
      <c r="P30" s="69" t="str">
        <f>IFERROR(VLOOKUP(TableAOPTarget[[#This Row],[RFC Date]],TableAopCalendar[[Date]:[Concatenate Month &amp; Week]],7,FALSE),"")</f>
        <v/>
      </c>
      <c r="Q30" s="68"/>
      <c r="R30" s="69" t="str">
        <f>IFERROR(VLOOKUP(TableAOPTarget[[#This Row],[Actual Start Date]],TableAopCalendar[[Date]:[Concatenate Month &amp; Week]],7,FALSE),"")</f>
        <v/>
      </c>
      <c r="S30" s="69"/>
      <c r="T30" s="68">
        <f>TableAOPTarget[[#This Row],[Actual Start Date]]+TableAOPTarget[[#This Row],[Standard Duration]]</f>
        <v>0</v>
      </c>
      <c r="U30" s="69" t="str">
        <f>IFERROR(VLOOKUP(TableAOPTarget[[#This Row],[Planned Finish Date]],TableAopCalendar[[Date]:[Concatenate Month &amp; Week]],7,FALSE),"")</f>
        <v/>
      </c>
      <c r="V30" s="68"/>
      <c r="W30" s="69" t="str">
        <f>IFERROR(VLOOKUP(TableAOPTarget[[#This Row],[Actual Finish Date]],TableAopCalendar[[Date]:[Concatenate Month &amp; Week]],7,FALSE),"")</f>
        <v/>
      </c>
      <c r="X30" s="68"/>
      <c r="Y30" s="69" t="str">
        <f>IFERROR(VLOOKUP(TableAOPTarget[[#This Row],[Forecasted Finish Date]],TableAopCalendar[[Date]:[Concatenate Month &amp; Week]],7,FALSE),"")</f>
        <v/>
      </c>
      <c r="Z30" s="68"/>
      <c r="AA30" s="69" t="str">
        <f>IF(OR(TableAOPTarget[[#This Row],[EPC Status]]="EPC Ready",TableAOPTarget[[#This Row],[EPC Status]]="WIP",TableAOPTarget[[#This Row],[EPC Status]]="YTS"),INDEX(TableAopCalendar[Concatenate Month &amp; Plan],MATCH(TableAOPTarget[[#This Row],[Planned Finish Date]],TableAopCalendar[Date],0))," ")</f>
        <v xml:space="preserve"> </v>
      </c>
      <c r="AB30" s="69" t="str">
        <f>IF(TableAOPTarget[[#This Row],[EPC Status]]="EPC Ready",INDEX(TableAopCalendar[Month for Plan],MATCH(TableAOPTarget[[#This Row],[Actual Finish Date]],TableAopCalendar[Date],0))," ")</f>
        <v xml:space="preserve"> </v>
      </c>
      <c r="AC30" s="87" t="s">
        <v>458</v>
      </c>
      <c r="AD30" s="87" t="str">
        <f>VLOOKUP(TableAOPTarget[[#This Row],[Site Name]],[17]Backup!$E:$F,2,0)</f>
        <v>5. Budget approved RFC awaited</v>
      </c>
      <c r="AE30" s="71"/>
      <c r="AF30" s="60" t="str">
        <f>VLOOKUP(TableAOPTarget[[#This Row],[Site Name]],[17]Backup!$E:$GG,185,0)</f>
        <v>2026-2027</v>
      </c>
    </row>
    <row r="31" spans="1:32" ht="31.2" x14ac:dyDescent="0.3">
      <c r="A31" s="64" t="s">
        <v>611</v>
      </c>
      <c r="B31" s="64">
        <v>30</v>
      </c>
      <c r="C31" s="87" t="s">
        <v>42</v>
      </c>
      <c r="D31" s="63" t="s">
        <v>225</v>
      </c>
      <c r="E31" s="65" t="s">
        <v>571</v>
      </c>
      <c r="F31" s="66" t="s">
        <v>352</v>
      </c>
      <c r="G31" s="66" t="s">
        <v>342</v>
      </c>
      <c r="H31" s="66" t="s">
        <v>343</v>
      </c>
      <c r="I31" s="66" t="s">
        <v>353</v>
      </c>
      <c r="J31" s="59" t="s">
        <v>600</v>
      </c>
      <c r="K31" s="65" t="s">
        <v>419</v>
      </c>
      <c r="L31" s="67">
        <v>1200</v>
      </c>
      <c r="M31" s="69"/>
      <c r="N31" s="69"/>
      <c r="O31" s="68"/>
      <c r="P31" s="69" t="str">
        <f>IFERROR(VLOOKUP(TableAOPTarget[[#This Row],[RFC Date]],TableAopCalendar[[Date]:[Concatenate Month &amp; Week]],7,FALSE),"")</f>
        <v/>
      </c>
      <c r="Q31" s="68"/>
      <c r="R31" s="69" t="str">
        <f>IFERROR(VLOOKUP(TableAOPTarget[[#This Row],[Actual Start Date]],TableAopCalendar[[Date]:[Concatenate Month &amp; Week]],7,FALSE),"")</f>
        <v/>
      </c>
      <c r="S31" s="69"/>
      <c r="T31" s="68">
        <f>TableAOPTarget[[#This Row],[Actual Start Date]]+TableAOPTarget[[#This Row],[Standard Duration]]</f>
        <v>0</v>
      </c>
      <c r="U31" s="69" t="str">
        <f>IFERROR(VLOOKUP(TableAOPTarget[[#This Row],[Planned Finish Date]],TableAopCalendar[[Date]:[Concatenate Month &amp; Week]],7,FALSE),"")</f>
        <v/>
      </c>
      <c r="V31" s="68"/>
      <c r="W31" s="69" t="str">
        <f>IFERROR(VLOOKUP(TableAOPTarget[[#This Row],[Actual Finish Date]],TableAopCalendar[[Date]:[Concatenate Month &amp; Week]],7,FALSE),"")</f>
        <v/>
      </c>
      <c r="X31" s="68"/>
      <c r="Y31" s="69" t="str">
        <f>IFERROR(VLOOKUP(TableAOPTarget[[#This Row],[Forecasted Finish Date]],TableAopCalendar[[Date]:[Concatenate Month &amp; Week]],7,FALSE),"")</f>
        <v/>
      </c>
      <c r="Z31" s="68"/>
      <c r="AA31" s="69" t="str">
        <f>IF(OR(TableAOPTarget[[#This Row],[EPC Status]]="EPC Ready",TableAOPTarget[[#This Row],[EPC Status]]="WIP",TableAOPTarget[[#This Row],[EPC Status]]="YTS"),INDEX(TableAopCalendar[Concatenate Month &amp; Plan],MATCH(TableAOPTarget[[#This Row],[Planned Finish Date]],TableAopCalendar[Date],0))," ")</f>
        <v xml:space="preserve"> </v>
      </c>
      <c r="AB31" s="69" t="str">
        <f>IF(TableAOPTarget[[#This Row],[EPC Status]]="EPC Ready",INDEX(TableAopCalendar[Month for Plan],MATCH(TableAOPTarget[[#This Row],[Actual Finish Date]],TableAopCalendar[Date],0))," ")</f>
        <v xml:space="preserve"> </v>
      </c>
      <c r="AC31" s="87" t="s">
        <v>458</v>
      </c>
      <c r="AD31" s="87" t="str">
        <f>VLOOKUP(TableAOPTarget[[#This Row],[Site Name]],[17]Backup!$E:$F,2,0)</f>
        <v>5. Budget approved RFC awaited</v>
      </c>
      <c r="AE31" s="71"/>
      <c r="AF31" s="60" t="str">
        <f>VLOOKUP(TableAOPTarget[[#This Row],[Site Name]],[17]Backup!$E:$GG,185,0)</f>
        <v>2026-2027</v>
      </c>
    </row>
    <row r="32" spans="1:32" ht="31.2" x14ac:dyDescent="0.3">
      <c r="A32" s="64" t="s">
        <v>612</v>
      </c>
      <c r="B32" s="64">
        <v>31</v>
      </c>
      <c r="C32" s="87" t="s">
        <v>42</v>
      </c>
      <c r="D32" s="63" t="s">
        <v>225</v>
      </c>
      <c r="E32" s="65" t="s">
        <v>571</v>
      </c>
      <c r="F32" s="66" t="s">
        <v>352</v>
      </c>
      <c r="G32" s="66" t="s">
        <v>342</v>
      </c>
      <c r="H32" s="66" t="s">
        <v>343</v>
      </c>
      <c r="I32" s="66" t="s">
        <v>353</v>
      </c>
      <c r="J32" s="59" t="s">
        <v>601</v>
      </c>
      <c r="K32" s="65" t="s">
        <v>419</v>
      </c>
      <c r="L32" s="67">
        <v>860</v>
      </c>
      <c r="M32" s="69"/>
      <c r="N32" s="69"/>
      <c r="O32" s="68"/>
      <c r="P32" s="69" t="str">
        <f>IFERROR(VLOOKUP(TableAOPTarget[[#This Row],[RFC Date]],TableAopCalendar[[Date]:[Concatenate Month &amp; Week]],7,FALSE),"")</f>
        <v/>
      </c>
      <c r="Q32" s="68"/>
      <c r="R32" s="69" t="str">
        <f>IFERROR(VLOOKUP(TableAOPTarget[[#This Row],[Actual Start Date]],TableAopCalendar[[Date]:[Concatenate Month &amp; Week]],7,FALSE),"")</f>
        <v/>
      </c>
      <c r="S32" s="69"/>
      <c r="T32" s="68">
        <f>TableAOPTarget[[#This Row],[Actual Start Date]]+TableAOPTarget[[#This Row],[Standard Duration]]</f>
        <v>0</v>
      </c>
      <c r="U32" s="69" t="str">
        <f>IFERROR(VLOOKUP(TableAOPTarget[[#This Row],[Planned Finish Date]],TableAopCalendar[[Date]:[Concatenate Month &amp; Week]],7,FALSE),"")</f>
        <v/>
      </c>
      <c r="V32" s="68"/>
      <c r="W32" s="69" t="str">
        <f>IFERROR(VLOOKUP(TableAOPTarget[[#This Row],[Actual Finish Date]],TableAopCalendar[[Date]:[Concatenate Month &amp; Week]],7,FALSE),"")</f>
        <v/>
      </c>
      <c r="X32" s="68"/>
      <c r="Y32" s="69" t="str">
        <f>IFERROR(VLOOKUP(TableAOPTarget[[#This Row],[Forecasted Finish Date]],TableAopCalendar[[Date]:[Concatenate Month &amp; Week]],7,FALSE),"")</f>
        <v/>
      </c>
      <c r="Z32" s="68"/>
      <c r="AA32" s="69" t="str">
        <f>IF(OR(TableAOPTarget[[#This Row],[EPC Status]]="EPC Ready",TableAOPTarget[[#This Row],[EPC Status]]="WIP",TableAOPTarget[[#This Row],[EPC Status]]="YTS"),INDEX(TableAopCalendar[Concatenate Month &amp; Plan],MATCH(TableAOPTarget[[#This Row],[Planned Finish Date]],TableAopCalendar[Date],0))," ")</f>
        <v xml:space="preserve"> </v>
      </c>
      <c r="AB32" s="69" t="str">
        <f>IF(TableAOPTarget[[#This Row],[EPC Status]]="EPC Ready",INDEX(TableAopCalendar[Month for Plan],MATCH(TableAOPTarget[[#This Row],[Actual Finish Date]],TableAopCalendar[Date],0))," ")</f>
        <v xml:space="preserve"> </v>
      </c>
      <c r="AC32" s="87" t="s">
        <v>458</v>
      </c>
      <c r="AD32" s="87" t="str">
        <f>VLOOKUP(TableAOPTarget[[#This Row],[Site Name]],[17]Backup!$E:$F,2,0)</f>
        <v>5. Budget approved RFC awaited</v>
      </c>
      <c r="AE32" s="71"/>
      <c r="AF32" s="60" t="str">
        <f>VLOOKUP(TableAOPTarget[[#This Row],[Site Name]],[17]Backup!$E:$GG,185,0)</f>
        <v>2026-2027</v>
      </c>
    </row>
    <row r="33" spans="1:32" ht="31.2" x14ac:dyDescent="0.3">
      <c r="A33" s="64" t="s">
        <v>613</v>
      </c>
      <c r="B33" s="64">
        <v>32</v>
      </c>
      <c r="C33" s="87" t="s">
        <v>42</v>
      </c>
      <c r="D33" s="63" t="s">
        <v>225</v>
      </c>
      <c r="E33" s="65" t="s">
        <v>571</v>
      </c>
      <c r="F33" s="66" t="s">
        <v>352</v>
      </c>
      <c r="G33" s="66" t="s">
        <v>342</v>
      </c>
      <c r="H33" s="66" t="s">
        <v>343</v>
      </c>
      <c r="I33" s="66" t="s">
        <v>353</v>
      </c>
      <c r="J33" s="59" t="s">
        <v>625</v>
      </c>
      <c r="K33" s="65" t="s">
        <v>419</v>
      </c>
      <c r="L33" s="67">
        <v>1118</v>
      </c>
      <c r="M33" s="69"/>
      <c r="N33" s="69"/>
      <c r="O33" s="68"/>
      <c r="P33" s="69" t="str">
        <f>IFERROR(VLOOKUP(TableAOPTarget[[#This Row],[RFC Date]],TableAopCalendar[[Date]:[Concatenate Month &amp; Week]],7,FALSE),"")</f>
        <v/>
      </c>
      <c r="Q33" s="68"/>
      <c r="R33" s="69" t="str">
        <f>IFERROR(VLOOKUP(TableAOPTarget[[#This Row],[Actual Start Date]],TableAopCalendar[[Date]:[Concatenate Month &amp; Week]],7,FALSE),"")</f>
        <v/>
      </c>
      <c r="S33" s="69"/>
      <c r="T33" s="68">
        <f>TableAOPTarget[[#This Row],[Actual Start Date]]+TableAOPTarget[[#This Row],[Standard Duration]]</f>
        <v>0</v>
      </c>
      <c r="U33" s="69" t="str">
        <f>IFERROR(VLOOKUP(TableAOPTarget[[#This Row],[Planned Finish Date]],TableAopCalendar[[Date]:[Concatenate Month &amp; Week]],7,FALSE),"")</f>
        <v/>
      </c>
      <c r="V33" s="68"/>
      <c r="W33" s="69" t="str">
        <f>IFERROR(VLOOKUP(TableAOPTarget[[#This Row],[Actual Finish Date]],TableAopCalendar[[Date]:[Concatenate Month &amp; Week]],7,FALSE),"")</f>
        <v/>
      </c>
      <c r="X33" s="68"/>
      <c r="Y33" s="69" t="str">
        <f>IFERROR(VLOOKUP(TableAOPTarget[[#This Row],[Forecasted Finish Date]],TableAopCalendar[[Date]:[Concatenate Month &amp; Week]],7,FALSE),"")</f>
        <v/>
      </c>
      <c r="Z33" s="68"/>
      <c r="AA33" s="69" t="str">
        <f>IF(OR(TableAOPTarget[[#This Row],[EPC Status]]="EPC Ready",TableAOPTarget[[#This Row],[EPC Status]]="WIP",TableAOPTarget[[#This Row],[EPC Status]]="YTS"),INDEX(TableAopCalendar[Concatenate Month &amp; Plan],MATCH(TableAOPTarget[[#This Row],[Planned Finish Date]],TableAopCalendar[Date],0))," ")</f>
        <v xml:space="preserve"> </v>
      </c>
      <c r="AB33" s="69" t="str">
        <f>IF(TableAOPTarget[[#This Row],[EPC Status]]="EPC Ready",INDEX(TableAopCalendar[Month for Plan],MATCH(TableAOPTarget[[#This Row],[Actual Finish Date]],TableAopCalendar[Date],0))," ")</f>
        <v xml:space="preserve"> </v>
      </c>
      <c r="AC33" s="87" t="s">
        <v>458</v>
      </c>
      <c r="AD33" s="87" t="str">
        <f>VLOOKUP(TableAOPTarget[[#This Row],[Site Name]],[17]Backup!$E:$F,2,0)</f>
        <v>5. Budget approved RFC awaited</v>
      </c>
      <c r="AE33" s="71"/>
      <c r="AF33" s="60" t="str">
        <f>VLOOKUP(TableAOPTarget[[#This Row],[Site Name]],[17]Backup!$E:$GG,185,0)</f>
        <v>2026-2027</v>
      </c>
    </row>
    <row r="34" spans="1:32" ht="31.2" x14ac:dyDescent="0.3">
      <c r="A34" s="64" t="s">
        <v>614</v>
      </c>
      <c r="B34" s="64">
        <v>33</v>
      </c>
      <c r="C34" s="87" t="s">
        <v>42</v>
      </c>
      <c r="D34" s="63" t="s">
        <v>225</v>
      </c>
      <c r="E34" s="65" t="s">
        <v>571</v>
      </c>
      <c r="F34" s="66" t="s">
        <v>352</v>
      </c>
      <c r="G34" s="66" t="s">
        <v>342</v>
      </c>
      <c r="H34" s="66" t="s">
        <v>343</v>
      </c>
      <c r="I34" s="66" t="s">
        <v>353</v>
      </c>
      <c r="J34" s="59" t="s">
        <v>602</v>
      </c>
      <c r="K34" s="65" t="s">
        <v>419</v>
      </c>
      <c r="L34" s="67">
        <v>940</v>
      </c>
      <c r="M34" s="69"/>
      <c r="N34" s="69"/>
      <c r="O34" s="68"/>
      <c r="P34" s="69" t="str">
        <f>IFERROR(VLOOKUP(TableAOPTarget[[#This Row],[RFC Date]],TableAopCalendar[[Date]:[Concatenate Month &amp; Week]],7,FALSE),"")</f>
        <v/>
      </c>
      <c r="Q34" s="68"/>
      <c r="R34" s="69" t="str">
        <f>IFERROR(VLOOKUP(TableAOPTarget[[#This Row],[Actual Start Date]],TableAopCalendar[[Date]:[Concatenate Month &amp; Week]],7,FALSE),"")</f>
        <v/>
      </c>
      <c r="S34" s="69"/>
      <c r="T34" s="68">
        <f>TableAOPTarget[[#This Row],[Actual Start Date]]+TableAOPTarget[[#This Row],[Standard Duration]]</f>
        <v>0</v>
      </c>
      <c r="U34" s="69" t="str">
        <f>IFERROR(VLOOKUP(TableAOPTarget[[#This Row],[Planned Finish Date]],TableAopCalendar[[Date]:[Concatenate Month &amp; Week]],7,FALSE),"")</f>
        <v/>
      </c>
      <c r="V34" s="68"/>
      <c r="W34" s="69" t="str">
        <f>IFERROR(VLOOKUP(TableAOPTarget[[#This Row],[Actual Finish Date]],TableAopCalendar[[Date]:[Concatenate Month &amp; Week]],7,FALSE),"")</f>
        <v/>
      </c>
      <c r="X34" s="68"/>
      <c r="Y34" s="69" t="str">
        <f>IFERROR(VLOOKUP(TableAOPTarget[[#This Row],[Forecasted Finish Date]],TableAopCalendar[[Date]:[Concatenate Month &amp; Week]],7,FALSE),"")</f>
        <v/>
      </c>
      <c r="Z34" s="68"/>
      <c r="AA34" s="69" t="str">
        <f>IF(OR(TableAOPTarget[[#This Row],[EPC Status]]="EPC Ready",TableAOPTarget[[#This Row],[EPC Status]]="WIP",TableAOPTarget[[#This Row],[EPC Status]]="YTS"),INDEX(TableAopCalendar[Concatenate Month &amp; Plan],MATCH(TableAOPTarget[[#This Row],[Planned Finish Date]],TableAopCalendar[Date],0))," ")</f>
        <v xml:space="preserve"> </v>
      </c>
      <c r="AB34" s="69" t="str">
        <f>IF(TableAOPTarget[[#This Row],[EPC Status]]="EPC Ready",INDEX(TableAopCalendar[Month for Plan],MATCH(TableAOPTarget[[#This Row],[Actual Finish Date]],TableAopCalendar[Date],0))," ")</f>
        <v xml:space="preserve"> </v>
      </c>
      <c r="AC34" s="87" t="s">
        <v>458</v>
      </c>
      <c r="AD34" s="87" t="str">
        <f>VLOOKUP(TableAOPTarget[[#This Row],[Site Name]],[17]Backup!$E:$F,2,0)</f>
        <v>5. Budget approved RFC awaited</v>
      </c>
      <c r="AE34" s="71"/>
      <c r="AF34" s="60" t="str">
        <f>VLOOKUP(TableAOPTarget[[#This Row],[Site Name]],[17]Backup!$E:$GG,185,0)</f>
        <v>2026-2027</v>
      </c>
    </row>
    <row r="35" spans="1:32" ht="46.8" x14ac:dyDescent="0.3">
      <c r="A35" s="64" t="s">
        <v>479</v>
      </c>
      <c r="B35" s="64">
        <v>34</v>
      </c>
      <c r="C35" s="87" t="s">
        <v>137</v>
      </c>
      <c r="D35" s="63" t="s">
        <v>478</v>
      </c>
      <c r="E35" s="65" t="s">
        <v>93</v>
      </c>
      <c r="F35" s="66" t="s">
        <v>341</v>
      </c>
      <c r="G35" s="66" t="s">
        <v>344</v>
      </c>
      <c r="H35" s="66" t="s">
        <v>345</v>
      </c>
      <c r="I35" s="66" t="s">
        <v>355</v>
      </c>
      <c r="J35" s="59" t="s">
        <v>480</v>
      </c>
      <c r="K35" s="65" t="s">
        <v>367</v>
      </c>
      <c r="L35" s="67"/>
      <c r="M35" s="65"/>
      <c r="N35" s="65"/>
      <c r="O35" s="68"/>
      <c r="P35" s="69" t="str">
        <f>IFERROR(VLOOKUP(TableAOPTarget[[#This Row],[RFC Date]],TableAopCalendar[[Date]:[Concatenate Month &amp; Week]],7,FALSE),"")</f>
        <v/>
      </c>
      <c r="Q35" s="68"/>
      <c r="R35" s="69" t="str">
        <f>IFERROR(VLOOKUP(TableAOPTarget[[#This Row],[Actual Start Date]],TableAopCalendar[[Date]:[Concatenate Month &amp; Week]],7,FALSE),"")</f>
        <v/>
      </c>
      <c r="S35" s="69">
        <v>55</v>
      </c>
      <c r="T35" s="68">
        <f>TableAOPTarget[[#This Row],[Actual Start Date]]+TableAOPTarget[[#This Row],[Standard Duration]]</f>
        <v>55</v>
      </c>
      <c r="U35" s="65" t="str">
        <f>IFERROR(VLOOKUP(TableAOPTarget[[#This Row],[Planned Finish Date]],TableAopCalendar[[Date]:[Concatenate Month &amp; Week]],7,FALSE),"")</f>
        <v/>
      </c>
      <c r="V35" s="68"/>
      <c r="W35" s="65" t="str">
        <f>IFERROR(VLOOKUP(TableAOPTarget[[#This Row],[Actual Finish Date]],TableAopCalendar[[Date]:[Concatenate Month &amp; Week]],7,FALSE),"")</f>
        <v/>
      </c>
      <c r="X35" s="68"/>
      <c r="Y35" s="69" t="str">
        <f>IFERROR(VLOOKUP(TableAOPTarget[[#This Row],[Forecasted Finish Date]],TableAopCalendar[[Date]:[Concatenate Month &amp; Week]],7,FALSE),"")</f>
        <v/>
      </c>
      <c r="Z35" s="68"/>
      <c r="AA35" s="65" t="str">
        <f>IF(OR(TableAOPTarget[[#This Row],[EPC Status]]="EPC Ready",TableAOPTarget[[#This Row],[EPC Status]]="WIP",TableAOPTarget[[#This Row],[EPC Status]]="YTS"),INDEX(TableAopCalendar[Concatenate Month &amp; Plan],MATCH(TableAOPTarget[[#This Row],[Planned Finish Date]],TableAopCalendar[Date],0))," ")</f>
        <v xml:space="preserve"> </v>
      </c>
      <c r="AB35" s="65" t="str">
        <f>IF(TableAOPTarget[[#This Row],[EPC Status]]="EPC Ready",INDEX(TableAopCalendar[Month for Plan],MATCH(TableAOPTarget[[#This Row],[Actual Finish Date]],TableAopCalendar[Date],0))," ")</f>
        <v xml:space="preserve"> </v>
      </c>
      <c r="AC35" s="70" t="s">
        <v>457</v>
      </c>
      <c r="AD35" s="63" t="str">
        <f>VLOOKUP(TableAOPTarget[[#This Row],[Site Name]],[17]Backup!$E:$F,2,0)</f>
        <v>4. Budget Approval Pending</v>
      </c>
      <c r="AE35" s="71"/>
      <c r="AF35" s="60" t="str">
        <f>VLOOKUP(TableAOPTarget[[#This Row],[Site Name]],[17]Backup!$E:$GG,185,0)</f>
        <v>2026-2027</v>
      </c>
    </row>
    <row r="36" spans="1:32" ht="31.2" x14ac:dyDescent="0.3">
      <c r="A36" s="64" t="s">
        <v>513</v>
      </c>
      <c r="B36" s="64">
        <v>35</v>
      </c>
      <c r="C36" s="87" t="s">
        <v>42</v>
      </c>
      <c r="D36" s="63" t="s">
        <v>225</v>
      </c>
      <c r="E36" s="65" t="s">
        <v>35</v>
      </c>
      <c r="F36" s="66" t="s">
        <v>341</v>
      </c>
      <c r="G36" s="66" t="s">
        <v>342</v>
      </c>
      <c r="H36" s="66" t="s">
        <v>350</v>
      </c>
      <c r="I36" s="53" t="s">
        <v>356</v>
      </c>
      <c r="J36" s="59" t="s">
        <v>511</v>
      </c>
      <c r="K36" s="65" t="s">
        <v>512</v>
      </c>
      <c r="L36" s="53">
        <v>6000</v>
      </c>
      <c r="M36" s="69"/>
      <c r="N36" s="69"/>
      <c r="O36" s="68"/>
      <c r="P36" s="69" t="str">
        <f>IFERROR(VLOOKUP(TableAOPTarget[[#This Row],[RFC Date]],TableAopCalendar[[Date]:[Concatenate Month &amp; Week]],7,FALSE),"")</f>
        <v/>
      </c>
      <c r="Q36" s="68"/>
      <c r="R36" s="69" t="str">
        <f>IFERROR(VLOOKUP(TableAOPTarget[[#This Row],[Actual Start Date]],TableAopCalendar[[Date]:[Concatenate Month &amp; Week]],7,FALSE),"")</f>
        <v/>
      </c>
      <c r="S36" s="69"/>
      <c r="T36" s="68">
        <f>TableAOPTarget[[#This Row],[Actual Start Date]]+TableAOPTarget[[#This Row],[Standard Duration]]</f>
        <v>0</v>
      </c>
      <c r="U36" s="65" t="str">
        <f>IFERROR(VLOOKUP(TableAOPTarget[[#This Row],[Planned Finish Date]],TableAopCalendar[[Date]:[Concatenate Month &amp; Week]],7,FALSE),"")</f>
        <v/>
      </c>
      <c r="V36" s="68"/>
      <c r="W36" s="69" t="str">
        <f>IFERROR(VLOOKUP(TableAOPTarget[[#This Row],[Actual Finish Date]],TableAopCalendar[[Date]:[Concatenate Month &amp; Week]],7,FALSE),"")</f>
        <v/>
      </c>
      <c r="X36" s="68"/>
      <c r="Y36" s="69" t="str">
        <f>IFERROR(VLOOKUP(TableAOPTarget[[#This Row],[Forecasted Finish Date]],TableAopCalendar[[Date]:[Concatenate Month &amp; Week]],7,FALSE),"")</f>
        <v/>
      </c>
      <c r="Z36" s="68"/>
      <c r="AA36" s="69" t="str">
        <f>IF(OR(TableAOPTarget[[#This Row],[EPC Status]]="EPC Ready",TableAOPTarget[[#This Row],[EPC Status]]="WIP",TableAOPTarget[[#This Row],[EPC Status]]="YTS"),INDEX(TableAopCalendar[Concatenate Month &amp; Plan],MATCH(TableAOPTarget[[#This Row],[Planned Finish Date]],TableAopCalendar[Date],0))," ")</f>
        <v xml:space="preserve"> </v>
      </c>
      <c r="AB36" s="69" t="str">
        <f>IF(TableAOPTarget[[#This Row],[EPC Status]]="EPC Ready",INDEX(TableAopCalendar[Month for Plan],MATCH(TableAOPTarget[[#This Row],[Actual Finish Date]],TableAopCalendar[Date],0))," ")</f>
        <v xml:space="preserve"> </v>
      </c>
      <c r="AC36" s="87" t="s">
        <v>553</v>
      </c>
      <c r="AD36" s="63" t="str">
        <f>VLOOKUP(TableAOPTarget[[#This Row],[Site Name]],[17]Backup!$E:$F,2,0)</f>
        <v>3. Design In progress</v>
      </c>
      <c r="AE36" s="71"/>
      <c r="AF36" s="60" t="str">
        <f>VLOOKUP(TableAOPTarget[[#This Row],[Site Name]],[17]Backup!$E:$GG,185,0)</f>
        <v>2026-2027</v>
      </c>
    </row>
    <row r="37" spans="1:32" ht="19.2" customHeight="1" x14ac:dyDescent="0.3">
      <c r="A37" s="64" t="s">
        <v>585</v>
      </c>
      <c r="B37" s="64">
        <v>36</v>
      </c>
      <c r="C37" s="87" t="s">
        <v>42</v>
      </c>
      <c r="D37" s="63" t="s">
        <v>225</v>
      </c>
      <c r="E37" s="65" t="s">
        <v>504</v>
      </c>
      <c r="F37" s="66" t="s">
        <v>341</v>
      </c>
      <c r="G37" s="66" t="s">
        <v>342</v>
      </c>
      <c r="H37" s="66" t="s">
        <v>343</v>
      </c>
      <c r="I37" s="66" t="s">
        <v>353</v>
      </c>
      <c r="J37" s="59" t="s">
        <v>634</v>
      </c>
      <c r="K37" s="64" t="s">
        <v>419</v>
      </c>
      <c r="L37" s="67">
        <v>200</v>
      </c>
      <c r="M37" s="69"/>
      <c r="N37" s="69"/>
      <c r="O37" s="68"/>
      <c r="P37" s="69" t="str">
        <f>IFERROR(VLOOKUP(TableAOPTarget[[#This Row],[RFC Date]],TableAopCalendar[[Date]:[Concatenate Month &amp; Week]],7,FALSE),"")</f>
        <v/>
      </c>
      <c r="Q37" s="68"/>
      <c r="R37" s="69" t="str">
        <f>IFERROR(VLOOKUP(TableAOPTarget[[#This Row],[Actual Start Date]],TableAopCalendar[[Date]:[Concatenate Month &amp; Week]],7,FALSE),"")</f>
        <v/>
      </c>
      <c r="S37" s="69"/>
      <c r="T37" s="68">
        <f>TableAOPTarget[[#This Row],[Actual Start Date]]+TableAOPTarget[[#This Row],[Standard Duration]]</f>
        <v>0</v>
      </c>
      <c r="U37" s="69" t="str">
        <f>IFERROR(VLOOKUP(TableAOPTarget[[#This Row],[Planned Finish Date]],TableAopCalendar[[Date]:[Concatenate Month &amp; Week]],7,FALSE),"")</f>
        <v/>
      </c>
      <c r="V37" s="68"/>
      <c r="W37" s="69" t="str">
        <f>IFERROR(VLOOKUP(TableAOPTarget[[#This Row],[Actual Finish Date]],TableAopCalendar[[Date]:[Concatenate Month &amp; Week]],7,FALSE),"")</f>
        <v/>
      </c>
      <c r="X37" s="68"/>
      <c r="Y37" s="69" t="str">
        <f>IFERROR(VLOOKUP(TableAOPTarget[[#This Row],[Forecasted Finish Date]],TableAopCalendar[[Date]:[Concatenate Month &amp; Week]],7,FALSE),"")</f>
        <v/>
      </c>
      <c r="Z37" s="68"/>
      <c r="AA37" s="69" t="str">
        <f>IF(OR(TableAOPTarget[[#This Row],[EPC Status]]="EPC Ready",TableAOPTarget[[#This Row],[EPC Status]]="WIP",TableAOPTarget[[#This Row],[EPC Status]]="YTS"),INDEX(TableAopCalendar[Concatenate Month &amp; Plan],MATCH(TableAOPTarget[[#This Row],[Planned Finish Date]],TableAopCalendar[Date],0))," ")</f>
        <v xml:space="preserve"> </v>
      </c>
      <c r="AB37" s="69" t="str">
        <f>IF(TableAOPTarget[[#This Row],[EPC Status]]="EPC Ready",INDEX(TableAopCalendar[Month for Plan],MATCH(TableAOPTarget[[#This Row],[Actual Finish Date]],TableAopCalendar[Date],0))," ")</f>
        <v xml:space="preserve"> </v>
      </c>
      <c r="AC37" s="87" t="s">
        <v>457</v>
      </c>
      <c r="AD37" s="87" t="str">
        <f>VLOOKUP(TableAOPTarget[[#This Row],[Site Name]],[17]Backup!$E:$F,2,0)</f>
        <v>4. Budget Approval Pending</v>
      </c>
      <c r="AE37" s="71"/>
      <c r="AF37" s="60" t="str">
        <f>VLOOKUP(TableAOPTarget[[#This Row],[Site Name]],[17]Backup!$E:$GG,185,0)</f>
        <v>2026-2027</v>
      </c>
    </row>
    <row r="38" spans="1:32" ht="31.2" x14ac:dyDescent="0.3">
      <c r="A38" s="64" t="s">
        <v>620</v>
      </c>
      <c r="B38" s="64">
        <v>37</v>
      </c>
      <c r="C38" s="87" t="s">
        <v>42</v>
      </c>
      <c r="D38" s="63" t="s">
        <v>225</v>
      </c>
      <c r="E38" s="65" t="s">
        <v>35</v>
      </c>
      <c r="F38" s="66" t="s">
        <v>341</v>
      </c>
      <c r="G38" s="66" t="s">
        <v>346</v>
      </c>
      <c r="H38" s="66" t="s">
        <v>347</v>
      </c>
      <c r="I38" s="66" t="s">
        <v>362</v>
      </c>
      <c r="J38" s="59" t="s">
        <v>617</v>
      </c>
      <c r="K38" s="65" t="s">
        <v>369</v>
      </c>
      <c r="L38" s="67">
        <v>3333</v>
      </c>
      <c r="M38" s="69"/>
      <c r="N38" s="69"/>
      <c r="O38" s="68"/>
      <c r="P38" s="69" t="str">
        <f>IFERROR(VLOOKUP(TableAOPTarget[[#This Row],[RFC Date]],TableAopCalendar[[Date]:[Concatenate Month &amp; Week]],7,FALSE),"")</f>
        <v/>
      </c>
      <c r="Q38" s="68"/>
      <c r="R38" s="69" t="str">
        <f>IFERROR(VLOOKUP(TableAOPTarget[[#This Row],[Actual Start Date]],TableAopCalendar[[Date]:[Concatenate Month &amp; Week]],7,FALSE),"")</f>
        <v/>
      </c>
      <c r="S38" s="69"/>
      <c r="T38" s="68">
        <f>TableAOPTarget[[#This Row],[Actual Start Date]]+TableAOPTarget[[#This Row],[Standard Duration]]</f>
        <v>0</v>
      </c>
      <c r="U38" s="69" t="str">
        <f>IFERROR(VLOOKUP(TableAOPTarget[[#This Row],[Planned Finish Date]],TableAopCalendar[[Date]:[Concatenate Month &amp; Week]],7,FALSE),"")</f>
        <v/>
      </c>
      <c r="V38" s="68"/>
      <c r="W38" s="69" t="str">
        <f>IFERROR(VLOOKUP(TableAOPTarget[[#This Row],[Actual Finish Date]],TableAopCalendar[[Date]:[Concatenate Month &amp; Week]],7,FALSE),"")</f>
        <v/>
      </c>
      <c r="X38" s="68"/>
      <c r="Y38" s="69" t="str">
        <f>IFERROR(VLOOKUP(TableAOPTarget[[#This Row],[Forecasted Finish Date]],TableAopCalendar[[Date]:[Concatenate Month &amp; Week]],7,FALSE),"")</f>
        <v/>
      </c>
      <c r="Z38" s="68"/>
      <c r="AA38" s="69" t="str">
        <f>IF(OR(TableAOPTarget[[#This Row],[EPC Status]]="EPC Ready",TableAOPTarget[[#This Row],[EPC Status]]="WIP",TableAOPTarget[[#This Row],[EPC Status]]="YTS"),INDEX(TableAopCalendar[Concatenate Month &amp; Plan],MATCH(TableAOPTarget[[#This Row],[Planned Finish Date]],TableAopCalendar[Date],0))," ")</f>
        <v xml:space="preserve"> </v>
      </c>
      <c r="AB38" s="69" t="str">
        <f>IF(TableAOPTarget[[#This Row],[EPC Status]]="EPC Ready",INDEX(TableAopCalendar[Month for Plan],MATCH(TableAOPTarget[[#This Row],[Actual Finish Date]],TableAopCalendar[Date],0))," ")</f>
        <v xml:space="preserve"> </v>
      </c>
      <c r="AC38" s="70" t="s">
        <v>553</v>
      </c>
      <c r="AD38" s="87" t="str">
        <f>VLOOKUP(TableAOPTarget[[#This Row],[Site Name]],[17]Backup!$E:$F,2,0)</f>
        <v>3. Design In progress</v>
      </c>
      <c r="AE38" s="71"/>
      <c r="AF38" s="60" t="str">
        <f>VLOOKUP(TableAOPTarget[[#This Row],[Site Name]],[17]Backup!$E:$GG,185,0)</f>
        <v>2026-2027</v>
      </c>
    </row>
    <row r="39" spans="1:32" x14ac:dyDescent="0.3">
      <c r="A39" s="64" t="s">
        <v>624</v>
      </c>
      <c r="B39" s="64">
        <v>38</v>
      </c>
      <c r="C39" s="87" t="s">
        <v>42</v>
      </c>
      <c r="D39" s="63" t="s">
        <v>225</v>
      </c>
      <c r="E39" s="65" t="s">
        <v>504</v>
      </c>
      <c r="F39" s="66" t="s">
        <v>341</v>
      </c>
      <c r="G39" s="66" t="s">
        <v>342</v>
      </c>
      <c r="H39" s="66" t="s">
        <v>343</v>
      </c>
      <c r="I39" s="66" t="s">
        <v>353</v>
      </c>
      <c r="J39" s="59" t="s">
        <v>622</v>
      </c>
      <c r="K39" s="65" t="s">
        <v>419</v>
      </c>
      <c r="L39" s="67">
        <v>505</v>
      </c>
      <c r="M39" s="69"/>
      <c r="N39" s="69"/>
      <c r="O39" s="68"/>
      <c r="P39" s="69" t="str">
        <f>IFERROR(VLOOKUP(TableAOPTarget[[#This Row],[RFC Date]],TableAopCalendar[[Date]:[Concatenate Month &amp; Week]],7,FALSE),"")</f>
        <v/>
      </c>
      <c r="Q39" s="68"/>
      <c r="R39" s="69" t="str">
        <f>IFERROR(VLOOKUP(TableAOPTarget[[#This Row],[Actual Start Date]],TableAopCalendar[[Date]:[Concatenate Month &amp; Week]],7,FALSE),"")</f>
        <v/>
      </c>
      <c r="S39" s="69"/>
      <c r="T39" s="68">
        <f>TableAOPTarget[[#This Row],[Actual Start Date]]+TableAOPTarget[[#This Row],[Standard Duration]]</f>
        <v>0</v>
      </c>
      <c r="U39" s="69" t="str">
        <f>IFERROR(VLOOKUP(TableAOPTarget[[#This Row],[Planned Finish Date]],TableAopCalendar[[Date]:[Concatenate Month &amp; Week]],7,FALSE),"")</f>
        <v/>
      </c>
      <c r="V39" s="68"/>
      <c r="W39" s="69" t="str">
        <f>IFERROR(VLOOKUP(TableAOPTarget[[#This Row],[Actual Finish Date]],TableAopCalendar[[Date]:[Concatenate Month &amp; Week]],7,FALSE),"")</f>
        <v/>
      </c>
      <c r="X39" s="68"/>
      <c r="Y39" s="69" t="str">
        <f>IFERROR(VLOOKUP(TableAOPTarget[[#This Row],[Forecasted Finish Date]],TableAopCalendar[[Date]:[Concatenate Month &amp; Week]],7,FALSE),"")</f>
        <v/>
      </c>
      <c r="Z39" s="68"/>
      <c r="AA39" s="69" t="str">
        <f>IF(OR(TableAOPTarget[[#This Row],[EPC Status]]="EPC Ready",TableAOPTarget[[#This Row],[EPC Status]]="WIP",TableAOPTarget[[#This Row],[EPC Status]]="YTS"),INDEX(TableAopCalendar[Concatenate Month &amp; Plan],MATCH(TableAOPTarget[[#This Row],[Planned Finish Date]],TableAopCalendar[Date],0))," ")</f>
        <v xml:space="preserve"> </v>
      </c>
      <c r="AB39" s="69" t="str">
        <f>IF(TableAOPTarget[[#This Row],[EPC Status]]="EPC Ready",INDEX(TableAopCalendar[Month for Plan],MATCH(TableAOPTarget[[#This Row],[Actual Finish Date]],TableAopCalendar[Date],0))," ")</f>
        <v xml:space="preserve"> </v>
      </c>
      <c r="AC39" s="87" t="s">
        <v>458</v>
      </c>
      <c r="AD39" s="87" t="str">
        <f>VLOOKUP(TableAOPTarget[[#This Row],[Site Name]],[17]Backup!$E:$F,2,0)</f>
        <v>5. Budget approved RFC awaited</v>
      </c>
      <c r="AE39" s="71"/>
      <c r="AF39" s="60" t="str">
        <f>VLOOKUP(TableAOPTarget[[#This Row],[Site Name]],[17]Backup!$E:$GG,185,0)</f>
        <v>2026-2027</v>
      </c>
    </row>
    <row r="40" spans="1:32" ht="31.2" x14ac:dyDescent="0.3">
      <c r="A40" s="64" t="s">
        <v>666</v>
      </c>
      <c r="B40" s="64">
        <v>39</v>
      </c>
      <c r="C40" s="87" t="s">
        <v>42</v>
      </c>
      <c r="D40" s="63" t="s">
        <v>225</v>
      </c>
      <c r="E40" s="65" t="s">
        <v>567</v>
      </c>
      <c r="F40" s="66" t="s">
        <v>460</v>
      </c>
      <c r="G40" s="66" t="s">
        <v>348</v>
      </c>
      <c r="H40" s="66" t="s">
        <v>351</v>
      </c>
      <c r="I40" s="66" t="s">
        <v>359</v>
      </c>
      <c r="J40" s="59" t="s">
        <v>656</v>
      </c>
      <c r="K40" s="65" t="s">
        <v>657</v>
      </c>
      <c r="L40" s="67"/>
      <c r="M40" s="69"/>
      <c r="N40" s="69"/>
      <c r="O40" s="68"/>
      <c r="P40" s="69" t="str">
        <f>IFERROR(VLOOKUP(TableAOPTarget[[#This Row],[RFC Date]],TableAopCalendar[[Date]:[Concatenate Month &amp; Week]],7,FALSE),"")</f>
        <v/>
      </c>
      <c r="Q40" s="68"/>
      <c r="R40" s="69" t="str">
        <f>IFERROR(VLOOKUP(TableAOPTarget[[#This Row],[Actual Start Date]],TableAopCalendar[[Date]:[Concatenate Month &amp; Week]],7,FALSE),"")</f>
        <v/>
      </c>
      <c r="S40" s="69"/>
      <c r="T40" s="68">
        <f>TableAOPTarget[[#This Row],[Actual Start Date]]+TableAOPTarget[[#This Row],[Standard Duration]]</f>
        <v>0</v>
      </c>
      <c r="U40" s="69" t="str">
        <f>IFERROR(VLOOKUP(TableAOPTarget[[#This Row],[Planned Finish Date]],TableAopCalendar[[Date]:[Concatenate Month &amp; Week]],7,FALSE),"")</f>
        <v/>
      </c>
      <c r="V40" s="68"/>
      <c r="W40" s="69" t="str">
        <f>IFERROR(VLOOKUP(TableAOPTarget[[#This Row],[Actual Finish Date]],TableAopCalendar[[Date]:[Concatenate Month &amp; Week]],7,FALSE),"")</f>
        <v/>
      </c>
      <c r="X40" s="68"/>
      <c r="Y40" s="69" t="str">
        <f>IFERROR(VLOOKUP(TableAOPTarget[[#This Row],[Forecasted Finish Date]],TableAopCalendar[[Date]:[Concatenate Month &amp; Week]],7,FALSE),"")</f>
        <v/>
      </c>
      <c r="Z40" s="68"/>
      <c r="AA40" s="69" t="str">
        <f>IF(OR(TableAOPTarget[[#This Row],[EPC Status]]="EPC Ready",TableAOPTarget[[#This Row],[EPC Status]]="WIP",TableAOPTarget[[#This Row],[EPC Status]]="YTS"),INDEX(TableAopCalendar[Concatenate Month &amp; Plan],MATCH(TableAOPTarget[[#This Row],[Planned Finish Date]],TableAopCalendar[Date],0))," ")</f>
        <v xml:space="preserve"> </v>
      </c>
      <c r="AB40" s="69" t="str">
        <f>IF(TableAOPTarget[[#This Row],[EPC Status]]="EPC Ready",INDEX(TableAopCalendar[Month for Plan],MATCH(TableAOPTarget[[#This Row],[Actual Finish Date]],TableAopCalendar[Date],0))," ")</f>
        <v xml:space="preserve"> </v>
      </c>
      <c r="AC40" s="87" t="s">
        <v>505</v>
      </c>
      <c r="AD40" s="87" t="str">
        <f>VLOOKUP(TableAOPTarget[[#This Row],[Site Name]],[17]Backup!$E:$F,2,0)</f>
        <v>11. HOLD</v>
      </c>
      <c r="AE40" s="71"/>
      <c r="AF40" s="133" t="str">
        <f>VLOOKUP(TableAOPTarget[[#This Row],[Site Name]],[17]Backup!$E:$GG,185,0)</f>
        <v>2026-2027</v>
      </c>
    </row>
    <row r="41" spans="1:32" x14ac:dyDescent="0.3">
      <c r="A41" s="64" t="s">
        <v>586</v>
      </c>
      <c r="B41" s="64">
        <v>40</v>
      </c>
      <c r="C41" s="87" t="s">
        <v>42</v>
      </c>
      <c r="D41" s="63" t="s">
        <v>225</v>
      </c>
      <c r="E41" s="65" t="s">
        <v>504</v>
      </c>
      <c r="F41" s="66" t="s">
        <v>341</v>
      </c>
      <c r="G41" s="66" t="s">
        <v>342</v>
      </c>
      <c r="H41" s="66" t="s">
        <v>343</v>
      </c>
      <c r="I41" s="66" t="s">
        <v>353</v>
      </c>
      <c r="J41" s="59" t="s">
        <v>582</v>
      </c>
      <c r="K41" s="64" t="s">
        <v>419</v>
      </c>
      <c r="L41" s="67"/>
      <c r="M41" s="69"/>
      <c r="N41" s="69"/>
      <c r="O41" s="68"/>
      <c r="P41" s="69" t="str">
        <f>IFERROR(VLOOKUP(TableAOPTarget[[#This Row],[RFC Date]],TableAopCalendar[[Date]:[Concatenate Month &amp; Week]],7,FALSE),"")</f>
        <v/>
      </c>
      <c r="Q41" s="68"/>
      <c r="R41" s="69" t="str">
        <f>IFERROR(VLOOKUP(TableAOPTarget[[#This Row],[Actual Start Date]],TableAopCalendar[[Date]:[Concatenate Month &amp; Week]],7,FALSE),"")</f>
        <v/>
      </c>
      <c r="S41" s="69"/>
      <c r="T41" s="68">
        <f>TableAOPTarget[[#This Row],[Actual Start Date]]+TableAOPTarget[[#This Row],[Standard Duration]]</f>
        <v>0</v>
      </c>
      <c r="U41" s="69" t="str">
        <f>IFERROR(VLOOKUP(TableAOPTarget[[#This Row],[Planned Finish Date]],TableAopCalendar[[Date]:[Concatenate Month &amp; Week]],7,FALSE),"")</f>
        <v/>
      </c>
      <c r="V41" s="68"/>
      <c r="W41" s="69" t="str">
        <f>IFERROR(VLOOKUP(TableAOPTarget[[#This Row],[Actual Finish Date]],TableAopCalendar[[Date]:[Concatenate Month &amp; Week]],7,FALSE),"")</f>
        <v/>
      </c>
      <c r="X41" s="68"/>
      <c r="Y41" s="69" t="str">
        <f>IFERROR(VLOOKUP(TableAOPTarget[[#This Row],[Forecasted Finish Date]],TableAopCalendar[[Date]:[Concatenate Month &amp; Week]],7,FALSE),"")</f>
        <v/>
      </c>
      <c r="Z41" s="68"/>
      <c r="AA41" s="69" t="str">
        <f>IF(OR(TableAOPTarget[[#This Row],[EPC Status]]="EPC Ready",TableAOPTarget[[#This Row],[EPC Status]]="WIP",TableAOPTarget[[#This Row],[EPC Status]]="YTS"),INDEX(TableAopCalendar[Concatenate Month &amp; Plan],MATCH(TableAOPTarget[[#This Row],[Planned Finish Date]],TableAopCalendar[Date],0))," ")</f>
        <v xml:space="preserve"> </v>
      </c>
      <c r="AB41" s="69" t="str">
        <f>IF(TableAOPTarget[[#This Row],[EPC Status]]="EPC Ready",INDEX(TableAopCalendar[Month for Plan],MATCH(TableAOPTarget[[#This Row],[Actual Finish Date]],TableAopCalendar[Date],0))," ")</f>
        <v xml:space="preserve"> </v>
      </c>
      <c r="AC41" s="87" t="s">
        <v>506</v>
      </c>
      <c r="AD41" s="87" t="str">
        <f>VLOOKUP(TableAOPTarget[[#This Row],[Site Name]],[17]Backup!$E:$F,2,0)</f>
        <v>2. ML Awaited</v>
      </c>
      <c r="AE41" s="71"/>
      <c r="AF41" s="60" t="str">
        <f>VLOOKUP(TableAOPTarget[[#This Row],[Site Name]],[17]Backup!$E:$GG,185,0)</f>
        <v>2026-2027</v>
      </c>
    </row>
    <row r="42" spans="1:32" x14ac:dyDescent="0.3">
      <c r="A42" s="64" t="s">
        <v>596</v>
      </c>
      <c r="B42" s="64">
        <v>41</v>
      </c>
      <c r="C42" s="87" t="s">
        <v>42</v>
      </c>
      <c r="D42" s="63" t="s">
        <v>225</v>
      </c>
      <c r="E42" s="65" t="s">
        <v>504</v>
      </c>
      <c r="F42" s="66" t="s">
        <v>341</v>
      </c>
      <c r="G42" s="66" t="s">
        <v>342</v>
      </c>
      <c r="H42" s="66" t="s">
        <v>343</v>
      </c>
      <c r="I42" s="66" t="s">
        <v>353</v>
      </c>
      <c r="J42" s="59" t="s">
        <v>594</v>
      </c>
      <c r="K42" s="65" t="s">
        <v>419</v>
      </c>
      <c r="L42" s="67"/>
      <c r="M42" s="69"/>
      <c r="N42" s="69"/>
      <c r="O42" s="68"/>
      <c r="P42" s="69" t="str">
        <f>IFERROR(VLOOKUP(TableAOPTarget[[#This Row],[RFC Date]],TableAopCalendar[[Date]:[Concatenate Month &amp; Week]],7,FALSE),"")</f>
        <v/>
      </c>
      <c r="Q42" s="68"/>
      <c r="R42" s="69" t="str">
        <f>IFERROR(VLOOKUP(TableAOPTarget[[#This Row],[Actual Start Date]],TableAopCalendar[[Date]:[Concatenate Month &amp; Week]],7,FALSE),"")</f>
        <v/>
      </c>
      <c r="S42" s="69"/>
      <c r="T42" s="68">
        <f>TableAOPTarget[[#This Row],[Actual Start Date]]+TableAOPTarget[[#This Row],[Standard Duration]]</f>
        <v>0</v>
      </c>
      <c r="U42" s="69" t="str">
        <f>IFERROR(VLOOKUP(TableAOPTarget[[#This Row],[Planned Finish Date]],TableAopCalendar[[Date]:[Concatenate Month &amp; Week]],7,FALSE),"")</f>
        <v/>
      </c>
      <c r="V42" s="68"/>
      <c r="W42" s="69" t="str">
        <f>IFERROR(VLOOKUP(TableAOPTarget[[#This Row],[Actual Finish Date]],TableAopCalendar[[Date]:[Concatenate Month &amp; Week]],7,FALSE),"")</f>
        <v/>
      </c>
      <c r="X42" s="68"/>
      <c r="Y42" s="69" t="str">
        <f>IFERROR(VLOOKUP(TableAOPTarget[[#This Row],[Forecasted Finish Date]],TableAopCalendar[[Date]:[Concatenate Month &amp; Week]],7,FALSE),"")</f>
        <v/>
      </c>
      <c r="Z42" s="68"/>
      <c r="AA42" s="69" t="str">
        <f>IF(OR(TableAOPTarget[[#This Row],[EPC Status]]="EPC Ready",TableAOPTarget[[#This Row],[EPC Status]]="WIP",TableAOPTarget[[#This Row],[EPC Status]]="YTS"),INDEX(TableAopCalendar[Concatenate Month &amp; Plan],MATCH(TableAOPTarget[[#This Row],[Planned Finish Date]],TableAopCalendar[Date],0))," ")</f>
        <v xml:space="preserve"> </v>
      </c>
      <c r="AB42" s="69" t="str">
        <f>IF(TableAOPTarget[[#This Row],[EPC Status]]="EPC Ready",INDEX(TableAopCalendar[Month for Plan],MATCH(TableAOPTarget[[#This Row],[Actual Finish Date]],TableAopCalendar[Date],0))," ")</f>
        <v xml:space="preserve"> </v>
      </c>
      <c r="AC42" s="87" t="s">
        <v>506</v>
      </c>
      <c r="AD42" s="87" t="str">
        <f>VLOOKUP(TableAOPTarget[[#This Row],[Site Name]],[17]Backup!$E:$F,2,0)</f>
        <v>2. ML Awaited</v>
      </c>
      <c r="AE42" s="71"/>
      <c r="AF42" s="60" t="str">
        <f>VLOOKUP(TableAOPTarget[[#This Row],[Site Name]],[17]Backup!$E:$GG,185,0)</f>
        <v>2026-2027</v>
      </c>
    </row>
    <row r="43" spans="1:32" ht="31.2" x14ac:dyDescent="0.3">
      <c r="A43" s="64" t="s">
        <v>597</v>
      </c>
      <c r="B43" s="64">
        <v>42</v>
      </c>
      <c r="C43" s="87" t="s">
        <v>42</v>
      </c>
      <c r="D43" s="63" t="s">
        <v>225</v>
      </c>
      <c r="E43" s="65" t="s">
        <v>504</v>
      </c>
      <c r="F43" s="66" t="s">
        <v>341</v>
      </c>
      <c r="G43" s="66" t="s">
        <v>342</v>
      </c>
      <c r="H43" s="66" t="s">
        <v>343</v>
      </c>
      <c r="I43" s="66" t="s">
        <v>353</v>
      </c>
      <c r="J43" s="59" t="s">
        <v>741</v>
      </c>
      <c r="K43" s="65" t="s">
        <v>419</v>
      </c>
      <c r="L43" s="67"/>
      <c r="M43" s="69"/>
      <c r="N43" s="69"/>
      <c r="O43" s="68"/>
      <c r="P43" s="69" t="str">
        <f>IFERROR(VLOOKUP(TableAOPTarget[[#This Row],[RFC Date]],TableAopCalendar[[Date]:[Concatenate Month &amp; Week]],7,FALSE),"")</f>
        <v/>
      </c>
      <c r="Q43" s="68"/>
      <c r="R43" s="69" t="str">
        <f>IFERROR(VLOOKUP(TableAOPTarget[[#This Row],[Actual Start Date]],TableAopCalendar[[Date]:[Concatenate Month &amp; Week]],7,FALSE),"")</f>
        <v/>
      </c>
      <c r="S43" s="69"/>
      <c r="T43" s="68">
        <f>TableAOPTarget[[#This Row],[Actual Start Date]]+TableAOPTarget[[#This Row],[Standard Duration]]</f>
        <v>0</v>
      </c>
      <c r="U43" s="69" t="str">
        <f>IFERROR(VLOOKUP(TableAOPTarget[[#This Row],[Planned Finish Date]],TableAopCalendar[[Date]:[Concatenate Month &amp; Week]],7,FALSE),"")</f>
        <v/>
      </c>
      <c r="V43" s="68"/>
      <c r="W43" s="69" t="str">
        <f>IFERROR(VLOOKUP(TableAOPTarget[[#This Row],[Actual Finish Date]],TableAopCalendar[[Date]:[Concatenate Month &amp; Week]],7,FALSE),"")</f>
        <v/>
      </c>
      <c r="X43" s="68"/>
      <c r="Y43" s="69" t="str">
        <f>IFERROR(VLOOKUP(TableAOPTarget[[#This Row],[Forecasted Finish Date]],TableAopCalendar[[Date]:[Concatenate Month &amp; Week]],7,FALSE),"")</f>
        <v/>
      </c>
      <c r="Z43" s="68"/>
      <c r="AA43" s="69" t="str">
        <f>IF(OR(TableAOPTarget[[#This Row],[EPC Status]]="EPC Ready",TableAOPTarget[[#This Row],[EPC Status]]="WIP",TableAOPTarget[[#This Row],[EPC Status]]="YTS"),INDEX(TableAopCalendar[Concatenate Month &amp; Plan],MATCH(TableAOPTarget[[#This Row],[Planned Finish Date]],TableAopCalendar[Date],0))," ")</f>
        <v xml:space="preserve"> </v>
      </c>
      <c r="AB43" s="69" t="str">
        <f>IF(TableAOPTarget[[#This Row],[EPC Status]]="EPC Ready",INDEX(TableAopCalendar[Month for Plan],MATCH(TableAOPTarget[[#This Row],[Actual Finish Date]],TableAopCalendar[Date],0))," ")</f>
        <v xml:space="preserve"> </v>
      </c>
      <c r="AC43" s="87" t="s">
        <v>457</v>
      </c>
      <c r="AD43" s="87" t="str">
        <f>VLOOKUP(TableAOPTarget[[#This Row],[Site Name]],[17]Backup!$E:$F,2,0)</f>
        <v>4. Budget Approval Pending</v>
      </c>
      <c r="AE43" s="71"/>
      <c r="AF43" s="60" t="str">
        <f>VLOOKUP(TableAOPTarget[[#This Row],[Site Name]],[17]Backup!$E:$GG,185,0)</f>
        <v>2026-2027</v>
      </c>
    </row>
    <row r="44" spans="1:32" ht="22.8" customHeight="1" x14ac:dyDescent="0.3">
      <c r="A44" s="64" t="s">
        <v>641</v>
      </c>
      <c r="B44" s="64">
        <v>43</v>
      </c>
      <c r="C44" s="87" t="s">
        <v>42</v>
      </c>
      <c r="D44" s="63" t="s">
        <v>225</v>
      </c>
      <c r="E44" s="65" t="s">
        <v>504</v>
      </c>
      <c r="F44" s="66" t="s">
        <v>341</v>
      </c>
      <c r="G44" s="66" t="s">
        <v>342</v>
      </c>
      <c r="H44" s="66" t="s">
        <v>343</v>
      </c>
      <c r="I44" s="66" t="s">
        <v>353</v>
      </c>
      <c r="J44" s="59" t="s">
        <v>740</v>
      </c>
      <c r="K44" s="65" t="s">
        <v>419</v>
      </c>
      <c r="L44" s="67">
        <v>464</v>
      </c>
      <c r="M44" s="69"/>
      <c r="N44" s="69"/>
      <c r="O44" s="68"/>
      <c r="P44" s="69" t="str">
        <f>IFERROR(VLOOKUP(TableAOPTarget[[#This Row],[RFC Date]],TableAopCalendar[[Date]:[Concatenate Month &amp; Week]],7,FALSE),"")</f>
        <v/>
      </c>
      <c r="Q44" s="68"/>
      <c r="R44" s="69" t="str">
        <f>IFERROR(VLOOKUP(TableAOPTarget[[#This Row],[Actual Start Date]],TableAopCalendar[[Date]:[Concatenate Month &amp; Week]],7,FALSE),"")</f>
        <v/>
      </c>
      <c r="S44" s="69"/>
      <c r="T44" s="68">
        <f>TableAOPTarget[[#This Row],[Actual Start Date]]+TableAOPTarget[[#This Row],[Standard Duration]]</f>
        <v>0</v>
      </c>
      <c r="U44" s="69" t="str">
        <f>IFERROR(VLOOKUP(TableAOPTarget[[#This Row],[Planned Finish Date]],TableAopCalendar[[Date]:[Concatenate Month &amp; Week]],7,FALSE),"")</f>
        <v/>
      </c>
      <c r="V44" s="68"/>
      <c r="W44" s="69" t="str">
        <f>IFERROR(VLOOKUP(TableAOPTarget[[#This Row],[Actual Finish Date]],TableAopCalendar[[Date]:[Concatenate Month &amp; Week]],7,FALSE),"")</f>
        <v/>
      </c>
      <c r="X44" s="68"/>
      <c r="Y44" s="69" t="str">
        <f>IFERROR(VLOOKUP(TableAOPTarget[[#This Row],[Forecasted Finish Date]],TableAopCalendar[[Date]:[Concatenate Month &amp; Week]],7,FALSE),"")</f>
        <v/>
      </c>
      <c r="Z44" s="68"/>
      <c r="AA44" s="69" t="str">
        <f>IF(OR(TableAOPTarget[[#This Row],[EPC Status]]="EPC Ready",TableAOPTarget[[#This Row],[EPC Status]]="WIP",TableAOPTarget[[#This Row],[EPC Status]]="YTS"),INDEX(TableAopCalendar[Concatenate Month &amp; Plan],MATCH(TableAOPTarget[[#This Row],[Planned Finish Date]],TableAopCalendar[Date],0))," ")</f>
        <v xml:space="preserve"> </v>
      </c>
      <c r="AB44" s="69" t="str">
        <f>IF(TableAOPTarget[[#This Row],[EPC Status]]="EPC Ready",INDEX(TableAopCalendar[Month for Plan],MATCH(TableAOPTarget[[#This Row],[Actual Finish Date]],TableAopCalendar[Date],0))," ")</f>
        <v xml:space="preserve"> </v>
      </c>
      <c r="AC44" s="87" t="s">
        <v>458</v>
      </c>
      <c r="AD44" s="87" t="str">
        <f>VLOOKUP(TableAOPTarget[[#This Row],[Site Name]],[17]Backup!$E:$F,2,0)</f>
        <v>5. Budget approved RFC awaited</v>
      </c>
      <c r="AE44" s="71"/>
      <c r="AF44" s="60" t="str">
        <f>VLOOKUP(TableAOPTarget[[#This Row],[Site Name]],[17]Backup!$E:$GG,185,0)</f>
        <v>2026-2027</v>
      </c>
    </row>
    <row r="45" spans="1:32" ht="22.8" customHeight="1" x14ac:dyDescent="0.3">
      <c r="A45" s="64" t="s">
        <v>667</v>
      </c>
      <c r="B45" s="64">
        <v>44</v>
      </c>
      <c r="C45" s="87" t="s">
        <v>42</v>
      </c>
      <c r="D45" s="63" t="s">
        <v>225</v>
      </c>
      <c r="E45" s="65" t="s">
        <v>504</v>
      </c>
      <c r="F45" s="66" t="s">
        <v>341</v>
      </c>
      <c r="G45" s="66" t="s">
        <v>342</v>
      </c>
      <c r="H45" s="66" t="s">
        <v>343</v>
      </c>
      <c r="I45" s="66" t="s">
        <v>353</v>
      </c>
      <c r="J45" s="59" t="s">
        <v>658</v>
      </c>
      <c r="K45" s="65" t="s">
        <v>365</v>
      </c>
      <c r="L45" s="67"/>
      <c r="M45" s="69"/>
      <c r="N45" s="69"/>
      <c r="O45" s="68"/>
      <c r="P45" s="69" t="str">
        <f>IFERROR(VLOOKUP(TableAOPTarget[[#This Row],[RFC Date]],TableAopCalendar[[Date]:[Concatenate Month &amp; Week]],7,FALSE),"")</f>
        <v/>
      </c>
      <c r="Q45" s="68"/>
      <c r="R45" s="69" t="str">
        <f>IFERROR(VLOOKUP(TableAOPTarget[[#This Row],[Actual Start Date]],TableAopCalendar[[Date]:[Concatenate Month &amp; Week]],7,FALSE),"")</f>
        <v/>
      </c>
      <c r="S45" s="69"/>
      <c r="T45" s="68">
        <f>TableAOPTarget[[#This Row],[Actual Start Date]]+TableAOPTarget[[#This Row],[Standard Duration]]</f>
        <v>0</v>
      </c>
      <c r="U45" s="69" t="str">
        <f>IFERROR(VLOOKUP(TableAOPTarget[[#This Row],[Planned Finish Date]],TableAopCalendar[[Date]:[Concatenate Month &amp; Week]],7,FALSE),"")</f>
        <v/>
      </c>
      <c r="V45" s="68"/>
      <c r="W45" s="69" t="str">
        <f>IFERROR(VLOOKUP(TableAOPTarget[[#This Row],[Actual Finish Date]],TableAopCalendar[[Date]:[Concatenate Month &amp; Week]],7,FALSE),"")</f>
        <v/>
      </c>
      <c r="X45" s="68"/>
      <c r="Y45" s="69" t="str">
        <f>IFERROR(VLOOKUP(TableAOPTarget[[#This Row],[Forecasted Finish Date]],TableAopCalendar[[Date]:[Concatenate Month &amp; Week]],7,FALSE),"")</f>
        <v/>
      </c>
      <c r="Z45" s="68"/>
      <c r="AA45" s="69" t="str">
        <f>IF(OR(TableAOPTarget[[#This Row],[EPC Status]]="EPC Ready",TableAOPTarget[[#This Row],[EPC Status]]="WIP",TableAOPTarget[[#This Row],[EPC Status]]="YTS"),INDEX(TableAopCalendar[Concatenate Month &amp; Plan],MATCH(TableAOPTarget[[#This Row],[Planned Finish Date]],TableAopCalendar[Date],0))," ")</f>
        <v xml:space="preserve"> </v>
      </c>
      <c r="AB45" s="69" t="str">
        <f>IF(TableAOPTarget[[#This Row],[EPC Status]]="EPC Ready",INDEX(TableAopCalendar[Month for Plan],MATCH(TableAOPTarget[[#This Row],[Actual Finish Date]],TableAopCalendar[Date],0))," ")</f>
        <v xml:space="preserve"> </v>
      </c>
      <c r="AC45" s="87" t="s">
        <v>506</v>
      </c>
      <c r="AD45" s="87" t="str">
        <f>VLOOKUP(TableAOPTarget[[#This Row],[Site Name]],[17]Backup!$E:$F,2,0)</f>
        <v>2. ML Awaited</v>
      </c>
      <c r="AE45" s="71"/>
      <c r="AF45" s="133">
        <f>VLOOKUP(TableAOPTarget[[#This Row],[Site Name]],[17]Backup!$E:$GG,185,0)</f>
        <v>0</v>
      </c>
    </row>
    <row r="46" spans="1:32" ht="21.6" customHeight="1" x14ac:dyDescent="0.3">
      <c r="A46" s="64" t="s">
        <v>668</v>
      </c>
      <c r="B46" s="64">
        <v>45</v>
      </c>
      <c r="C46" s="87" t="s">
        <v>42</v>
      </c>
      <c r="D46" s="63" t="s">
        <v>225</v>
      </c>
      <c r="E46" s="65" t="s">
        <v>504</v>
      </c>
      <c r="F46" s="66" t="s">
        <v>341</v>
      </c>
      <c r="G46" s="66" t="s">
        <v>342</v>
      </c>
      <c r="H46" s="66" t="s">
        <v>343</v>
      </c>
      <c r="I46" s="66" t="s">
        <v>353</v>
      </c>
      <c r="J46" s="59" t="s">
        <v>659</v>
      </c>
      <c r="K46" s="65" t="s">
        <v>365</v>
      </c>
      <c r="L46" s="67"/>
      <c r="M46" s="69"/>
      <c r="N46" s="69"/>
      <c r="O46" s="68"/>
      <c r="P46" s="69" t="str">
        <f>IFERROR(VLOOKUP(TableAOPTarget[[#This Row],[RFC Date]],TableAopCalendar[[Date]:[Concatenate Month &amp; Week]],7,FALSE),"")</f>
        <v/>
      </c>
      <c r="Q46" s="68"/>
      <c r="R46" s="69" t="str">
        <f>IFERROR(VLOOKUP(TableAOPTarget[[#This Row],[Actual Start Date]],TableAopCalendar[[Date]:[Concatenate Month &amp; Week]],7,FALSE),"")</f>
        <v/>
      </c>
      <c r="S46" s="69"/>
      <c r="T46" s="68">
        <f>TableAOPTarget[[#This Row],[Actual Start Date]]+TableAOPTarget[[#This Row],[Standard Duration]]</f>
        <v>0</v>
      </c>
      <c r="U46" s="69" t="str">
        <f>IFERROR(VLOOKUP(TableAOPTarget[[#This Row],[Planned Finish Date]],TableAopCalendar[[Date]:[Concatenate Month &amp; Week]],7,FALSE),"")</f>
        <v/>
      </c>
      <c r="V46" s="68"/>
      <c r="W46" s="69" t="str">
        <f>IFERROR(VLOOKUP(TableAOPTarget[[#This Row],[Actual Finish Date]],TableAopCalendar[[Date]:[Concatenate Month &amp; Week]],7,FALSE),"")</f>
        <v/>
      </c>
      <c r="X46" s="68"/>
      <c r="Y46" s="69" t="str">
        <f>IFERROR(VLOOKUP(TableAOPTarget[[#This Row],[Forecasted Finish Date]],TableAopCalendar[[Date]:[Concatenate Month &amp; Week]],7,FALSE),"")</f>
        <v/>
      </c>
      <c r="Z46" s="68"/>
      <c r="AA46" s="69" t="str">
        <f>IF(OR(TableAOPTarget[[#This Row],[EPC Status]]="EPC Ready",TableAOPTarget[[#This Row],[EPC Status]]="WIP",TableAOPTarget[[#This Row],[EPC Status]]="YTS"),INDEX(TableAopCalendar[Concatenate Month &amp; Plan],MATCH(TableAOPTarget[[#This Row],[Planned Finish Date]],TableAopCalendar[Date],0))," ")</f>
        <v xml:space="preserve"> </v>
      </c>
      <c r="AB46" s="69" t="str">
        <f>IF(TableAOPTarget[[#This Row],[EPC Status]]="EPC Ready",INDEX(TableAopCalendar[Month for Plan],MATCH(TableAOPTarget[[#This Row],[Actual Finish Date]],TableAopCalendar[Date],0))," ")</f>
        <v xml:space="preserve"> </v>
      </c>
      <c r="AC46" s="87" t="s">
        <v>506</v>
      </c>
      <c r="AD46" s="87" t="str">
        <f>VLOOKUP(TableAOPTarget[[#This Row],[Site Name]],[17]Backup!$E:$F,2,0)</f>
        <v>2. ML Awaited</v>
      </c>
      <c r="AE46" s="71"/>
      <c r="AF46" s="133">
        <f>VLOOKUP(TableAOPTarget[[#This Row],[Site Name]],[17]Backup!$E:$GG,185,0)</f>
        <v>0</v>
      </c>
    </row>
    <row r="47" spans="1:32" ht="22.8" customHeight="1" x14ac:dyDescent="0.3">
      <c r="A47" s="64" t="s">
        <v>669</v>
      </c>
      <c r="B47" s="64">
        <v>46</v>
      </c>
      <c r="C47" s="87" t="s">
        <v>42</v>
      </c>
      <c r="D47" s="63" t="s">
        <v>225</v>
      </c>
      <c r="E47" s="65" t="s">
        <v>504</v>
      </c>
      <c r="F47" s="66" t="s">
        <v>341</v>
      </c>
      <c r="G47" s="66" t="s">
        <v>342</v>
      </c>
      <c r="H47" s="66" t="s">
        <v>343</v>
      </c>
      <c r="I47" s="66" t="s">
        <v>353</v>
      </c>
      <c r="J47" s="59" t="s">
        <v>660</v>
      </c>
      <c r="K47" s="65" t="s">
        <v>365</v>
      </c>
      <c r="L47" s="67"/>
      <c r="M47" s="69"/>
      <c r="N47" s="69"/>
      <c r="O47" s="68"/>
      <c r="P47" s="69" t="str">
        <f>IFERROR(VLOOKUP(TableAOPTarget[[#This Row],[RFC Date]],TableAopCalendar[[Date]:[Concatenate Month &amp; Week]],7,FALSE),"")</f>
        <v/>
      </c>
      <c r="Q47" s="68"/>
      <c r="R47" s="69" t="str">
        <f>IFERROR(VLOOKUP(TableAOPTarget[[#This Row],[Actual Start Date]],TableAopCalendar[[Date]:[Concatenate Month &amp; Week]],7,FALSE),"")</f>
        <v/>
      </c>
      <c r="S47" s="69"/>
      <c r="T47" s="68">
        <f>TableAOPTarget[[#This Row],[Actual Start Date]]+TableAOPTarget[[#This Row],[Standard Duration]]</f>
        <v>0</v>
      </c>
      <c r="U47" s="69" t="str">
        <f>IFERROR(VLOOKUP(TableAOPTarget[[#This Row],[Planned Finish Date]],TableAopCalendar[[Date]:[Concatenate Month &amp; Week]],7,FALSE),"")</f>
        <v/>
      </c>
      <c r="V47" s="68"/>
      <c r="W47" s="69" t="str">
        <f>IFERROR(VLOOKUP(TableAOPTarget[[#This Row],[Actual Finish Date]],TableAopCalendar[[Date]:[Concatenate Month &amp; Week]],7,FALSE),"")</f>
        <v/>
      </c>
      <c r="X47" s="68"/>
      <c r="Y47" s="69" t="str">
        <f>IFERROR(VLOOKUP(TableAOPTarget[[#This Row],[Forecasted Finish Date]],TableAopCalendar[[Date]:[Concatenate Month &amp; Week]],7,FALSE),"")</f>
        <v/>
      </c>
      <c r="Z47" s="68"/>
      <c r="AA47" s="69" t="str">
        <f>IF(OR(TableAOPTarget[[#This Row],[EPC Status]]="EPC Ready",TableAOPTarget[[#This Row],[EPC Status]]="WIP",TableAOPTarget[[#This Row],[EPC Status]]="YTS"),INDEX(TableAopCalendar[Concatenate Month &amp; Plan],MATCH(TableAOPTarget[[#This Row],[Planned Finish Date]],TableAopCalendar[Date],0))," ")</f>
        <v xml:space="preserve"> </v>
      </c>
      <c r="AB47" s="69" t="str">
        <f>IF(TableAOPTarget[[#This Row],[EPC Status]]="EPC Ready",INDEX(TableAopCalendar[Month for Plan],MATCH(TableAOPTarget[[#This Row],[Actual Finish Date]],TableAopCalendar[Date],0))," ")</f>
        <v xml:space="preserve"> </v>
      </c>
      <c r="AC47" s="87" t="s">
        <v>506</v>
      </c>
      <c r="AD47" s="87" t="str">
        <f>VLOOKUP(TableAOPTarget[[#This Row],[Site Name]],[17]Backup!$E:$F,2,0)</f>
        <v>2. ML Awaited</v>
      </c>
      <c r="AE47" s="71"/>
      <c r="AF47" s="133">
        <f>VLOOKUP(TableAOPTarget[[#This Row],[Site Name]],[17]Backup!$E:$GG,185,0)</f>
        <v>0</v>
      </c>
    </row>
    <row r="48" spans="1:32" ht="18" customHeight="1" x14ac:dyDescent="0.3">
      <c r="A48" s="64" t="s">
        <v>670</v>
      </c>
      <c r="B48" s="64">
        <v>47</v>
      </c>
      <c r="C48" s="87" t="s">
        <v>42</v>
      </c>
      <c r="D48" s="63" t="s">
        <v>225</v>
      </c>
      <c r="E48" s="65" t="s">
        <v>504</v>
      </c>
      <c r="F48" s="66" t="s">
        <v>341</v>
      </c>
      <c r="G48" s="66" t="s">
        <v>342</v>
      </c>
      <c r="H48" s="66" t="s">
        <v>343</v>
      </c>
      <c r="I48" s="66" t="s">
        <v>353</v>
      </c>
      <c r="J48" s="59" t="s">
        <v>661</v>
      </c>
      <c r="K48" s="65" t="s">
        <v>365</v>
      </c>
      <c r="L48" s="67"/>
      <c r="M48" s="69"/>
      <c r="N48" s="69"/>
      <c r="O48" s="68"/>
      <c r="P48" s="69" t="str">
        <f>IFERROR(VLOOKUP(TableAOPTarget[[#This Row],[RFC Date]],TableAopCalendar[[Date]:[Concatenate Month &amp; Week]],7,FALSE),"")</f>
        <v/>
      </c>
      <c r="Q48" s="68"/>
      <c r="R48" s="69" t="str">
        <f>IFERROR(VLOOKUP(TableAOPTarget[[#This Row],[Actual Start Date]],TableAopCalendar[[Date]:[Concatenate Month &amp; Week]],7,FALSE),"")</f>
        <v/>
      </c>
      <c r="S48" s="69"/>
      <c r="T48" s="68">
        <f>TableAOPTarget[[#This Row],[Actual Start Date]]+TableAOPTarget[[#This Row],[Standard Duration]]</f>
        <v>0</v>
      </c>
      <c r="U48" s="69" t="str">
        <f>IFERROR(VLOOKUP(TableAOPTarget[[#This Row],[Planned Finish Date]],TableAopCalendar[[Date]:[Concatenate Month &amp; Week]],7,FALSE),"")</f>
        <v/>
      </c>
      <c r="V48" s="68"/>
      <c r="W48" s="69" t="str">
        <f>IFERROR(VLOOKUP(TableAOPTarget[[#This Row],[Actual Finish Date]],TableAopCalendar[[Date]:[Concatenate Month &amp; Week]],7,FALSE),"")</f>
        <v/>
      </c>
      <c r="X48" s="68"/>
      <c r="Y48" s="69" t="str">
        <f>IFERROR(VLOOKUP(TableAOPTarget[[#This Row],[Forecasted Finish Date]],TableAopCalendar[[Date]:[Concatenate Month &amp; Week]],7,FALSE),"")</f>
        <v/>
      </c>
      <c r="Z48" s="68"/>
      <c r="AA48" s="69" t="str">
        <f>IF(OR(TableAOPTarget[[#This Row],[EPC Status]]="EPC Ready",TableAOPTarget[[#This Row],[EPC Status]]="WIP",TableAOPTarget[[#This Row],[EPC Status]]="YTS"),INDEX(TableAopCalendar[Concatenate Month &amp; Plan],MATCH(TableAOPTarget[[#This Row],[Planned Finish Date]],TableAopCalendar[Date],0))," ")</f>
        <v xml:space="preserve"> </v>
      </c>
      <c r="AB48" s="69" t="str">
        <f>IF(TableAOPTarget[[#This Row],[EPC Status]]="EPC Ready",INDEX(TableAopCalendar[Month for Plan],MATCH(TableAOPTarget[[#This Row],[Actual Finish Date]],TableAopCalendar[Date],0))," ")</f>
        <v xml:space="preserve"> </v>
      </c>
      <c r="AC48" s="87" t="s">
        <v>506</v>
      </c>
      <c r="AD48" s="87" t="str">
        <f>VLOOKUP(TableAOPTarget[[#This Row],[Site Name]],[17]Backup!$E:$F,2,0)</f>
        <v>2. ML Awaited</v>
      </c>
      <c r="AE48" s="71"/>
      <c r="AF48" s="133">
        <f>VLOOKUP(TableAOPTarget[[#This Row],[Site Name]],[17]Backup!$E:$GG,185,0)</f>
        <v>0</v>
      </c>
    </row>
    <row r="49" spans="1:32" x14ac:dyDescent="0.3">
      <c r="A49" s="64" t="s">
        <v>671</v>
      </c>
      <c r="B49" s="64">
        <v>48</v>
      </c>
      <c r="C49" s="87" t="s">
        <v>42</v>
      </c>
      <c r="D49" s="63" t="s">
        <v>225</v>
      </c>
      <c r="E49" s="65" t="s">
        <v>504</v>
      </c>
      <c r="F49" s="66" t="s">
        <v>341</v>
      </c>
      <c r="G49" s="66" t="s">
        <v>342</v>
      </c>
      <c r="H49" s="66" t="s">
        <v>343</v>
      </c>
      <c r="I49" s="66" t="s">
        <v>353</v>
      </c>
      <c r="J49" s="59" t="s">
        <v>662</v>
      </c>
      <c r="K49" s="65" t="s">
        <v>365</v>
      </c>
      <c r="L49" s="67"/>
      <c r="M49" s="69"/>
      <c r="N49" s="69"/>
      <c r="O49" s="68"/>
      <c r="P49" s="69" t="str">
        <f>IFERROR(VLOOKUP(TableAOPTarget[[#This Row],[RFC Date]],TableAopCalendar[[Date]:[Concatenate Month &amp; Week]],7,FALSE),"")</f>
        <v/>
      </c>
      <c r="Q49" s="68"/>
      <c r="R49" s="69" t="str">
        <f>IFERROR(VLOOKUP(TableAOPTarget[[#This Row],[Actual Start Date]],TableAopCalendar[[Date]:[Concatenate Month &amp; Week]],7,FALSE),"")</f>
        <v/>
      </c>
      <c r="S49" s="69"/>
      <c r="T49" s="68">
        <f>TableAOPTarget[[#This Row],[Actual Start Date]]+TableAOPTarget[[#This Row],[Standard Duration]]</f>
        <v>0</v>
      </c>
      <c r="U49" s="69" t="str">
        <f>IFERROR(VLOOKUP(TableAOPTarget[[#This Row],[Planned Finish Date]],TableAopCalendar[[Date]:[Concatenate Month &amp; Week]],7,FALSE),"")</f>
        <v/>
      </c>
      <c r="V49" s="68"/>
      <c r="W49" s="69" t="str">
        <f>IFERROR(VLOOKUP(TableAOPTarget[[#This Row],[Actual Finish Date]],TableAopCalendar[[Date]:[Concatenate Month &amp; Week]],7,FALSE),"")</f>
        <v/>
      </c>
      <c r="X49" s="68"/>
      <c r="Y49" s="69" t="str">
        <f>IFERROR(VLOOKUP(TableAOPTarget[[#This Row],[Forecasted Finish Date]],TableAopCalendar[[Date]:[Concatenate Month &amp; Week]],7,FALSE),"")</f>
        <v/>
      </c>
      <c r="Z49" s="68"/>
      <c r="AA49" s="69" t="str">
        <f>IF(OR(TableAOPTarget[[#This Row],[EPC Status]]="EPC Ready",TableAOPTarget[[#This Row],[EPC Status]]="WIP",TableAOPTarget[[#This Row],[EPC Status]]="YTS"),INDEX(TableAopCalendar[Concatenate Month &amp; Plan],MATCH(TableAOPTarget[[#This Row],[Planned Finish Date]],TableAopCalendar[Date],0))," ")</f>
        <v xml:space="preserve"> </v>
      </c>
      <c r="AB49" s="69" t="str">
        <f>IF(TableAOPTarget[[#This Row],[EPC Status]]="EPC Ready",INDEX(TableAopCalendar[Month for Plan],MATCH(TableAOPTarget[[#This Row],[Actual Finish Date]],TableAopCalendar[Date],0))," ")</f>
        <v xml:space="preserve"> </v>
      </c>
      <c r="AC49" s="87" t="s">
        <v>505</v>
      </c>
      <c r="AD49" s="87" t="str">
        <f>VLOOKUP(TableAOPTarget[[#This Row],[Site Name]],[17]Backup!$E:$F,2,0)</f>
        <v>11. HOLD</v>
      </c>
      <c r="AE49" s="71"/>
      <c r="AF49" s="133">
        <f>VLOOKUP(TableAOPTarget[[#This Row],[Site Name]],[17]Backup!$E:$GG,185,0)</f>
        <v>0</v>
      </c>
    </row>
    <row r="50" spans="1:32" ht="19.2" customHeight="1" x14ac:dyDescent="0.3">
      <c r="A50" s="64" t="s">
        <v>672</v>
      </c>
      <c r="B50" s="64">
        <v>49</v>
      </c>
      <c r="C50" s="87" t="s">
        <v>42</v>
      </c>
      <c r="D50" s="63" t="s">
        <v>225</v>
      </c>
      <c r="E50" s="65" t="s">
        <v>504</v>
      </c>
      <c r="F50" s="66" t="s">
        <v>341</v>
      </c>
      <c r="G50" s="66" t="s">
        <v>342</v>
      </c>
      <c r="H50" s="66" t="s">
        <v>343</v>
      </c>
      <c r="I50" s="66" t="s">
        <v>353</v>
      </c>
      <c r="J50" s="59" t="s">
        <v>663</v>
      </c>
      <c r="K50" s="65" t="s">
        <v>419</v>
      </c>
      <c r="L50" s="67"/>
      <c r="M50" s="69"/>
      <c r="N50" s="69"/>
      <c r="O50" s="68"/>
      <c r="P50" s="69" t="str">
        <f>IFERROR(VLOOKUP(TableAOPTarget[[#This Row],[RFC Date]],TableAopCalendar[[Date]:[Concatenate Month &amp; Week]],7,FALSE),"")</f>
        <v/>
      </c>
      <c r="Q50" s="68"/>
      <c r="R50" s="69" t="str">
        <f>IFERROR(VLOOKUP(TableAOPTarget[[#This Row],[Actual Start Date]],TableAopCalendar[[Date]:[Concatenate Month &amp; Week]],7,FALSE),"")</f>
        <v/>
      </c>
      <c r="S50" s="69"/>
      <c r="T50" s="68">
        <f>TableAOPTarget[[#This Row],[Actual Start Date]]+TableAOPTarget[[#This Row],[Standard Duration]]</f>
        <v>0</v>
      </c>
      <c r="U50" s="69" t="str">
        <f>IFERROR(VLOOKUP(TableAOPTarget[[#This Row],[Planned Finish Date]],TableAopCalendar[[Date]:[Concatenate Month &amp; Week]],7,FALSE),"")</f>
        <v/>
      </c>
      <c r="V50" s="68"/>
      <c r="W50" s="69" t="str">
        <f>IFERROR(VLOOKUP(TableAOPTarget[[#This Row],[Actual Finish Date]],TableAopCalendar[[Date]:[Concatenate Month &amp; Week]],7,FALSE),"")</f>
        <v/>
      </c>
      <c r="X50" s="68"/>
      <c r="Y50" s="69" t="str">
        <f>IFERROR(VLOOKUP(TableAOPTarget[[#This Row],[Forecasted Finish Date]],TableAopCalendar[[Date]:[Concatenate Month &amp; Week]],7,FALSE),"")</f>
        <v/>
      </c>
      <c r="Z50" s="68"/>
      <c r="AA50" s="69" t="str">
        <f>IF(OR(TableAOPTarget[[#This Row],[EPC Status]]="EPC Ready",TableAOPTarget[[#This Row],[EPC Status]]="WIP",TableAOPTarget[[#This Row],[EPC Status]]="YTS"),INDEX(TableAopCalendar[Concatenate Month &amp; Plan],MATCH(TableAOPTarget[[#This Row],[Planned Finish Date]],TableAopCalendar[Date],0))," ")</f>
        <v xml:space="preserve"> </v>
      </c>
      <c r="AB50" s="69" t="str">
        <f>IF(TableAOPTarget[[#This Row],[EPC Status]]="EPC Ready",INDEX(TableAopCalendar[Month for Plan],MATCH(TableAOPTarget[[#This Row],[Actual Finish Date]],TableAopCalendar[Date],0))," ")</f>
        <v xml:space="preserve"> </v>
      </c>
      <c r="AC50" s="87" t="s">
        <v>506</v>
      </c>
      <c r="AD50" s="87" t="str">
        <f>VLOOKUP(TableAOPTarget[[#This Row],[Site Name]],[17]Backup!$E:$F,2,0)</f>
        <v>2. ML Awaited</v>
      </c>
      <c r="AE50" s="71"/>
      <c r="AF50" s="133">
        <f>VLOOKUP(TableAOPTarget[[#This Row],[Site Name]],[17]Backup!$E:$GG,185,0)</f>
        <v>0</v>
      </c>
    </row>
    <row r="51" spans="1:32" x14ac:dyDescent="0.3">
      <c r="A51" s="64" t="s">
        <v>673</v>
      </c>
      <c r="B51" s="64">
        <v>50</v>
      </c>
      <c r="C51" s="87" t="s">
        <v>42</v>
      </c>
      <c r="D51" s="63" t="s">
        <v>225</v>
      </c>
      <c r="E51" s="65" t="s">
        <v>504</v>
      </c>
      <c r="F51" s="66" t="s">
        <v>341</v>
      </c>
      <c r="G51" s="66" t="s">
        <v>342</v>
      </c>
      <c r="H51" s="66" t="s">
        <v>343</v>
      </c>
      <c r="I51" s="66" t="s">
        <v>353</v>
      </c>
      <c r="J51" s="59" t="s">
        <v>664</v>
      </c>
      <c r="K51" s="65" t="s">
        <v>419</v>
      </c>
      <c r="L51" s="67"/>
      <c r="M51" s="69"/>
      <c r="N51" s="69"/>
      <c r="O51" s="68"/>
      <c r="P51" s="69" t="str">
        <f>IFERROR(VLOOKUP(TableAOPTarget[[#This Row],[RFC Date]],TableAopCalendar[[Date]:[Concatenate Month &amp; Week]],7,FALSE),"")</f>
        <v/>
      </c>
      <c r="Q51" s="68"/>
      <c r="R51" s="69" t="str">
        <f>IFERROR(VLOOKUP(TableAOPTarget[[#This Row],[Actual Start Date]],TableAopCalendar[[Date]:[Concatenate Month &amp; Week]],7,FALSE),"")</f>
        <v/>
      </c>
      <c r="S51" s="69"/>
      <c r="T51" s="68">
        <f>TableAOPTarget[[#This Row],[Actual Start Date]]+TableAOPTarget[[#This Row],[Standard Duration]]</f>
        <v>0</v>
      </c>
      <c r="U51" s="69" t="str">
        <f>IFERROR(VLOOKUP(TableAOPTarget[[#This Row],[Planned Finish Date]],TableAopCalendar[[Date]:[Concatenate Month &amp; Week]],7,FALSE),"")</f>
        <v/>
      </c>
      <c r="V51" s="68"/>
      <c r="W51" s="69" t="str">
        <f>IFERROR(VLOOKUP(TableAOPTarget[[#This Row],[Actual Finish Date]],TableAopCalendar[[Date]:[Concatenate Month &amp; Week]],7,FALSE),"")</f>
        <v/>
      </c>
      <c r="X51" s="68"/>
      <c r="Y51" s="69" t="str">
        <f>IFERROR(VLOOKUP(TableAOPTarget[[#This Row],[Forecasted Finish Date]],TableAopCalendar[[Date]:[Concatenate Month &amp; Week]],7,FALSE),"")</f>
        <v/>
      </c>
      <c r="Z51" s="68"/>
      <c r="AA51" s="69" t="str">
        <f>IF(OR(TableAOPTarget[[#This Row],[EPC Status]]="EPC Ready",TableAOPTarget[[#This Row],[EPC Status]]="WIP",TableAOPTarget[[#This Row],[EPC Status]]="YTS"),INDEX(TableAopCalendar[Concatenate Month &amp; Plan],MATCH(TableAOPTarget[[#This Row],[Planned Finish Date]],TableAopCalendar[Date],0))," ")</f>
        <v xml:space="preserve"> </v>
      </c>
      <c r="AB51" s="69" t="str">
        <f>IF(TableAOPTarget[[#This Row],[EPC Status]]="EPC Ready",INDEX(TableAopCalendar[Month for Plan],MATCH(TableAOPTarget[[#This Row],[Actual Finish Date]],TableAopCalendar[Date],0))," ")</f>
        <v xml:space="preserve"> </v>
      </c>
      <c r="AC51" s="87" t="s">
        <v>505</v>
      </c>
      <c r="AD51" s="87" t="str">
        <f>VLOOKUP(TableAOPTarget[[#This Row],[Site Name]],[17]Backup!$E:$F,2,0)</f>
        <v>11. HOLD</v>
      </c>
      <c r="AE51" s="71"/>
      <c r="AF51" s="133">
        <f>VLOOKUP(TableAOPTarget[[#This Row],[Site Name]],[17]Backup!$E:$GG,185,0)</f>
        <v>0</v>
      </c>
    </row>
    <row r="52" spans="1:32" x14ac:dyDescent="0.3">
      <c r="A52" s="64" t="s">
        <v>674</v>
      </c>
      <c r="B52" s="64">
        <v>51</v>
      </c>
      <c r="C52" s="87" t="s">
        <v>42</v>
      </c>
      <c r="D52" s="63" t="s">
        <v>225</v>
      </c>
      <c r="E52" s="65" t="s">
        <v>504</v>
      </c>
      <c r="F52" s="66" t="s">
        <v>341</v>
      </c>
      <c r="G52" s="66" t="s">
        <v>342</v>
      </c>
      <c r="H52" s="66" t="s">
        <v>343</v>
      </c>
      <c r="I52" s="66" t="s">
        <v>353</v>
      </c>
      <c r="J52" s="59" t="s">
        <v>665</v>
      </c>
      <c r="K52" s="65" t="s">
        <v>419</v>
      </c>
      <c r="L52" s="67"/>
      <c r="M52" s="69"/>
      <c r="N52" s="69"/>
      <c r="O52" s="68"/>
      <c r="P52" s="69" t="str">
        <f>IFERROR(VLOOKUP(TableAOPTarget[[#This Row],[RFC Date]],TableAopCalendar[[Date]:[Concatenate Month &amp; Week]],7,FALSE),"")</f>
        <v/>
      </c>
      <c r="Q52" s="68"/>
      <c r="R52" s="69" t="str">
        <f>IFERROR(VLOOKUP(TableAOPTarget[[#This Row],[Actual Start Date]],TableAopCalendar[[Date]:[Concatenate Month &amp; Week]],7,FALSE),"")</f>
        <v/>
      </c>
      <c r="S52" s="69"/>
      <c r="T52" s="68">
        <f>TableAOPTarget[[#This Row],[Actual Start Date]]+TableAOPTarget[[#This Row],[Standard Duration]]</f>
        <v>0</v>
      </c>
      <c r="U52" s="69" t="str">
        <f>IFERROR(VLOOKUP(TableAOPTarget[[#This Row],[Planned Finish Date]],TableAopCalendar[[Date]:[Concatenate Month &amp; Week]],7,FALSE),"")</f>
        <v/>
      </c>
      <c r="V52" s="68"/>
      <c r="W52" s="69" t="str">
        <f>IFERROR(VLOOKUP(TableAOPTarget[[#This Row],[Actual Finish Date]],TableAopCalendar[[Date]:[Concatenate Month &amp; Week]],7,FALSE),"")</f>
        <v/>
      </c>
      <c r="X52" s="68"/>
      <c r="Y52" s="69" t="str">
        <f>IFERROR(VLOOKUP(TableAOPTarget[[#This Row],[Forecasted Finish Date]],TableAopCalendar[[Date]:[Concatenate Month &amp; Week]],7,FALSE),"")</f>
        <v/>
      </c>
      <c r="Z52" s="68"/>
      <c r="AA52" s="69" t="str">
        <f>IF(OR(TableAOPTarget[[#This Row],[EPC Status]]="EPC Ready",TableAOPTarget[[#This Row],[EPC Status]]="WIP",TableAOPTarget[[#This Row],[EPC Status]]="YTS"),INDEX(TableAopCalendar[Concatenate Month &amp; Plan],MATCH(TableAOPTarget[[#This Row],[Planned Finish Date]],TableAopCalendar[Date],0))," ")</f>
        <v xml:space="preserve"> </v>
      </c>
      <c r="AB52" s="69" t="str">
        <f>IF(TableAOPTarget[[#This Row],[EPC Status]]="EPC Ready",INDEX(TableAopCalendar[Month for Plan],MATCH(TableAOPTarget[[#This Row],[Actual Finish Date]],TableAopCalendar[Date],0))," ")</f>
        <v xml:space="preserve"> </v>
      </c>
      <c r="AC52" s="87" t="s">
        <v>505</v>
      </c>
      <c r="AD52" s="87" t="str">
        <f>VLOOKUP(TableAOPTarget[[#This Row],[Site Name]],[17]Backup!$E:$F,2,0)</f>
        <v>11. HOLD</v>
      </c>
      <c r="AE52" s="71"/>
      <c r="AF52" s="133">
        <f>VLOOKUP(TableAOPTarget[[#This Row],[Site Name]],[17]Backup!$E:$GG,185,0)</f>
        <v>0</v>
      </c>
    </row>
    <row r="53" spans="1:32" ht="31.2" x14ac:dyDescent="0.3">
      <c r="A53" s="64" t="s">
        <v>681</v>
      </c>
      <c r="B53" s="64">
        <v>52</v>
      </c>
      <c r="C53" s="87" t="s">
        <v>42</v>
      </c>
      <c r="D53" s="63" t="s">
        <v>225</v>
      </c>
      <c r="E53" s="65" t="s">
        <v>73</v>
      </c>
      <c r="F53" s="66" t="s">
        <v>341</v>
      </c>
      <c r="G53" s="66" t="s">
        <v>342</v>
      </c>
      <c r="H53" s="66" t="s">
        <v>343</v>
      </c>
      <c r="I53" s="66" t="s">
        <v>353</v>
      </c>
      <c r="J53" s="59" t="s">
        <v>682</v>
      </c>
      <c r="K53" s="65" t="s">
        <v>419</v>
      </c>
      <c r="L53" s="67">
        <v>601</v>
      </c>
      <c r="M53" s="65" t="s">
        <v>531</v>
      </c>
      <c r="N53" s="141"/>
      <c r="O53" s="142"/>
      <c r="P53" s="141" t="str">
        <f>IFERROR(VLOOKUP(TableAOPTarget[[#This Row],[RFC Date]],TableAopCalendar[[Date]:[Concatenate Month &amp; Week]],7,FALSE),"")</f>
        <v/>
      </c>
      <c r="Q53" s="143"/>
      <c r="R53" s="140" t="str">
        <f>IFERROR(VLOOKUP(TableAOPTarget[[#This Row],[Actual Start Date]],TableAopCalendar[[Date]:[Concatenate Month &amp; Week]],7,FALSE),"")</f>
        <v/>
      </c>
      <c r="S53" s="69">
        <v>35</v>
      </c>
      <c r="T53" s="142">
        <f>TableAOPTarget[[#This Row],[Actual Start Date]]+TableAOPTarget[[#This Row],[Standard Duration]]</f>
        <v>35</v>
      </c>
      <c r="U53" s="140" t="str">
        <f>IFERROR(VLOOKUP(TableAOPTarget[[#This Row],[Planned Finish Date]],TableAopCalendar[[Date]:[Concatenate Month &amp; Week]],7,FALSE),"")</f>
        <v/>
      </c>
      <c r="V53" s="143"/>
      <c r="W53" s="140" t="str">
        <f>IFERROR(VLOOKUP(TableAOPTarget[[#This Row],[Actual Finish Date]],TableAopCalendar[[Date]:[Concatenate Month &amp; Week]],7,FALSE),"")</f>
        <v/>
      </c>
      <c r="X53" s="142"/>
      <c r="Y53" s="141" t="str">
        <f>IFERROR(VLOOKUP(TableAOPTarget[[#This Row],[Forecasted Finish Date]],TableAopCalendar[[Date]:[Concatenate Month &amp; Week]],7,FALSE),"")</f>
        <v/>
      </c>
      <c r="Z53" s="143"/>
      <c r="AA53" s="140" t="str">
        <f>IF(OR(TableAOPTarget[[#This Row],[EPC Status]]="EPC Ready",TableAOPTarget[[#This Row],[EPC Status]]="WIP",TableAOPTarget[[#This Row],[EPC Status]]="YTS"),INDEX(TableAopCalendar[Concatenate Month &amp; Plan],MATCH(TableAOPTarget[[#This Row],[Planned Finish Date]],TableAopCalendar[Date],0))," ")</f>
        <v xml:space="preserve"> </v>
      </c>
      <c r="AB53" s="141" t="str">
        <f>IF(TableAOPTarget[[#This Row],[EPC Status]]="EPC Ready",INDEX(TableAopCalendar[Month for Plan],MATCH(TableAOPTarget[[#This Row],[Actual Finish Date]],TableAopCalendar[Date],0))," ")</f>
        <v xml:space="preserve"> </v>
      </c>
      <c r="AC53" s="70" t="s">
        <v>505</v>
      </c>
      <c r="AD53" s="83" t="str">
        <f>VLOOKUP(TableAOPTarget[[#This Row],[Site Name]],[17]Backup!$E:$F,2,0)</f>
        <v>11. HOLD</v>
      </c>
      <c r="AE53" s="144"/>
      <c r="AF53" s="145" t="str">
        <f>VLOOKUP(TableAOPTarget[[#This Row],[Site Name]],[17]Backup!$E:$GG,185,0)</f>
        <v>2026-2027</v>
      </c>
    </row>
    <row r="54" spans="1:32" x14ac:dyDescent="0.3">
      <c r="A54" s="64" t="s">
        <v>414</v>
      </c>
      <c r="B54" s="64">
        <v>53</v>
      </c>
      <c r="C54" s="87" t="s">
        <v>42</v>
      </c>
      <c r="D54" s="63" t="s">
        <v>225</v>
      </c>
      <c r="E54" s="65" t="s">
        <v>504</v>
      </c>
      <c r="F54" s="66" t="s">
        <v>341</v>
      </c>
      <c r="G54" s="66" t="s">
        <v>342</v>
      </c>
      <c r="H54" s="66" t="s">
        <v>343</v>
      </c>
      <c r="I54" s="66" t="s">
        <v>386</v>
      </c>
      <c r="J54" s="59" t="s">
        <v>451</v>
      </c>
      <c r="K54" s="65" t="s">
        <v>452</v>
      </c>
      <c r="L54" s="67"/>
      <c r="M54" s="65" t="s">
        <v>531</v>
      </c>
      <c r="N54" s="65"/>
      <c r="O54" s="68"/>
      <c r="P54" s="69" t="str">
        <f>IFERROR(VLOOKUP(TableAOPTarget[[#This Row],[RFC Date]],TableAopCalendar[[Date]:[Concatenate Month &amp; Week]],7,FALSE),"")</f>
        <v/>
      </c>
      <c r="Q54" s="68"/>
      <c r="R54" s="69" t="str">
        <f>IFERROR(VLOOKUP(TableAOPTarget[[#This Row],[Actual Start Date]],TableAopCalendar[[Date]:[Concatenate Month &amp; Week]],7,FALSE),"")</f>
        <v/>
      </c>
      <c r="S54" s="69">
        <v>35</v>
      </c>
      <c r="T54" s="68">
        <f>TableAOPTarget[[#This Row],[Actual Start Date]]+TableAOPTarget[[#This Row],[Standard Duration]]</f>
        <v>35</v>
      </c>
      <c r="U54" s="65" t="str">
        <f>IFERROR(VLOOKUP(TableAOPTarget[[#This Row],[Planned Finish Date]],TableAopCalendar[[Date]:[Concatenate Month &amp; Week]],7,FALSE),"")</f>
        <v/>
      </c>
      <c r="V54" s="68"/>
      <c r="W54" s="65" t="str">
        <f>IFERROR(VLOOKUP(TableAOPTarget[[#This Row],[Actual Finish Date]],TableAopCalendar[[Date]:[Concatenate Month &amp; Week]],7,FALSE),"")</f>
        <v/>
      </c>
      <c r="X54" s="68"/>
      <c r="Y54" s="69" t="str">
        <f>IFERROR(VLOOKUP(TableAOPTarget[[#This Row],[Forecasted Finish Date]],TableAopCalendar[[Date]:[Concatenate Month &amp; Week]],7,FALSE),"")</f>
        <v/>
      </c>
      <c r="Z54" s="68"/>
      <c r="AA54" s="65" t="str">
        <f>IF(OR(TableAOPTarget[[#This Row],[EPC Status]]="EPC Ready",TableAOPTarget[[#This Row],[EPC Status]]="WIP",TableAOPTarget[[#This Row],[EPC Status]]="YTS"),INDEX(TableAopCalendar[Concatenate Month &amp; Plan],MATCH(TableAOPTarget[[#This Row],[Planned Finish Date]],TableAopCalendar[Date],0))," ")</f>
        <v xml:space="preserve"> </v>
      </c>
      <c r="AB54" s="65" t="str">
        <f>IF(TableAOPTarget[[#This Row],[EPC Status]]="EPC Ready",INDEX(TableAopCalendar[Month for Plan],MATCH(TableAOPTarget[[#This Row],[Actual Finish Date]],TableAopCalendar[Date],0))," ")</f>
        <v xml:space="preserve"> </v>
      </c>
      <c r="AC54" s="70" t="s">
        <v>505</v>
      </c>
      <c r="AD54" s="63" t="str">
        <f>VLOOKUP(TableAOPTarget[[#This Row],[Site Name]],[17]Backup!$E:$F,2,0)</f>
        <v>11. HOLD</v>
      </c>
      <c r="AE54" s="71"/>
      <c r="AF54" s="60" t="str">
        <f>VLOOKUP(TableAOPTarget[[#This Row],[Site Name]],[17]Backup!$E:$GG,185,0)</f>
        <v>2026-2027</v>
      </c>
    </row>
    <row r="55" spans="1:32" x14ac:dyDescent="0.3">
      <c r="A55" s="64" t="s">
        <v>415</v>
      </c>
      <c r="B55" s="64">
        <v>54</v>
      </c>
      <c r="C55" s="87" t="s">
        <v>42</v>
      </c>
      <c r="D55" s="63" t="s">
        <v>225</v>
      </c>
      <c r="E55" s="65" t="s">
        <v>504</v>
      </c>
      <c r="F55" s="66" t="s">
        <v>341</v>
      </c>
      <c r="G55" s="66" t="s">
        <v>342</v>
      </c>
      <c r="H55" s="66" t="s">
        <v>343</v>
      </c>
      <c r="I55" s="66" t="s">
        <v>353</v>
      </c>
      <c r="J55" s="59" t="s">
        <v>453</v>
      </c>
      <c r="K55" s="65" t="s">
        <v>419</v>
      </c>
      <c r="L55" s="67"/>
      <c r="M55" s="65" t="s">
        <v>531</v>
      </c>
      <c r="N55" s="65"/>
      <c r="O55" s="68"/>
      <c r="P55" s="69" t="str">
        <f>IFERROR(VLOOKUP(TableAOPTarget[[#This Row],[RFC Date]],TableAopCalendar[[Date]:[Concatenate Month &amp; Week]],7,FALSE),"")</f>
        <v/>
      </c>
      <c r="Q55" s="68"/>
      <c r="R55" s="69" t="str">
        <f>IFERROR(VLOOKUP(TableAOPTarget[[#This Row],[Actual Start Date]],TableAopCalendar[[Date]:[Concatenate Month &amp; Week]],7,FALSE),"")</f>
        <v/>
      </c>
      <c r="S55" s="69">
        <v>35</v>
      </c>
      <c r="T55" s="68">
        <f>TableAOPTarget[[#This Row],[Actual Start Date]]+TableAOPTarget[[#This Row],[Standard Duration]]</f>
        <v>35</v>
      </c>
      <c r="U55" s="65" t="str">
        <f>IFERROR(VLOOKUP(TableAOPTarget[[#This Row],[Planned Finish Date]],TableAopCalendar[[Date]:[Concatenate Month &amp; Week]],7,FALSE),"")</f>
        <v/>
      </c>
      <c r="V55" s="68"/>
      <c r="W55" s="65" t="str">
        <f>IFERROR(VLOOKUP(TableAOPTarget[[#This Row],[Actual Finish Date]],TableAopCalendar[[Date]:[Concatenate Month &amp; Week]],7,FALSE),"")</f>
        <v/>
      </c>
      <c r="X55" s="68"/>
      <c r="Y55" s="69" t="str">
        <f>IFERROR(VLOOKUP(TableAOPTarget[[#This Row],[Forecasted Finish Date]],TableAopCalendar[[Date]:[Concatenate Month &amp; Week]],7,FALSE),"")</f>
        <v/>
      </c>
      <c r="Z55" s="68"/>
      <c r="AA55" s="65" t="str">
        <f>IF(OR(TableAOPTarget[[#This Row],[EPC Status]]="EPC Ready",TableAOPTarget[[#This Row],[EPC Status]]="WIP",TableAOPTarget[[#This Row],[EPC Status]]="YTS"),INDEX(TableAopCalendar[Concatenate Month &amp; Plan],MATCH(TableAOPTarget[[#This Row],[Planned Finish Date]],TableAopCalendar[Date],0))," ")</f>
        <v xml:space="preserve"> </v>
      </c>
      <c r="AB55" s="65" t="str">
        <f>IF(TableAOPTarget[[#This Row],[EPC Status]]="EPC Ready",INDEX(TableAopCalendar[Month for Plan],MATCH(TableAOPTarget[[#This Row],[Actual Finish Date]],TableAopCalendar[Date],0))," ")</f>
        <v xml:space="preserve"> </v>
      </c>
      <c r="AC55" s="70" t="s">
        <v>505</v>
      </c>
      <c r="AD55" s="63" t="str">
        <f>VLOOKUP(TableAOPTarget[[#This Row],[Site Name]],[17]Backup!$E:$F,2,0)</f>
        <v>11. HOLD</v>
      </c>
      <c r="AE55" s="71"/>
      <c r="AF55" s="60" t="str">
        <f>VLOOKUP(TableAOPTarget[[#This Row],[Site Name]],[17]Backup!$E:$GG,185,0)</f>
        <v>2026-2027</v>
      </c>
    </row>
    <row r="56" spans="1:32" x14ac:dyDescent="0.3">
      <c r="A56" s="64" t="s">
        <v>416</v>
      </c>
      <c r="B56" s="64">
        <v>55</v>
      </c>
      <c r="C56" s="87" t="s">
        <v>42</v>
      </c>
      <c r="D56" s="63" t="s">
        <v>225</v>
      </c>
      <c r="E56" s="65" t="s">
        <v>504</v>
      </c>
      <c r="F56" s="66" t="s">
        <v>341</v>
      </c>
      <c r="G56" s="66" t="s">
        <v>342</v>
      </c>
      <c r="H56" s="66" t="s">
        <v>343</v>
      </c>
      <c r="I56" s="66" t="s">
        <v>386</v>
      </c>
      <c r="J56" s="59" t="s">
        <v>454</v>
      </c>
      <c r="K56" s="65" t="s">
        <v>452</v>
      </c>
      <c r="L56" s="67"/>
      <c r="M56" s="65" t="s">
        <v>531</v>
      </c>
      <c r="N56" s="65"/>
      <c r="O56" s="68"/>
      <c r="P56" s="69" t="str">
        <f>IFERROR(VLOOKUP(TableAOPTarget[[#This Row],[RFC Date]],TableAopCalendar[[Date]:[Concatenate Month &amp; Week]],7,FALSE),"")</f>
        <v/>
      </c>
      <c r="Q56" s="68"/>
      <c r="R56" s="69" t="str">
        <f>IFERROR(VLOOKUP(TableAOPTarget[[#This Row],[Actual Start Date]],TableAopCalendar[[Date]:[Concatenate Month &amp; Week]],7,FALSE),"")</f>
        <v/>
      </c>
      <c r="S56" s="69">
        <v>35</v>
      </c>
      <c r="T56" s="68">
        <f>TableAOPTarget[[#This Row],[Actual Start Date]]+TableAOPTarget[[#This Row],[Standard Duration]]</f>
        <v>35</v>
      </c>
      <c r="U56" s="65" t="str">
        <f>IFERROR(VLOOKUP(TableAOPTarget[[#This Row],[Planned Finish Date]],TableAopCalendar[[Date]:[Concatenate Month &amp; Week]],7,FALSE),"")</f>
        <v/>
      </c>
      <c r="V56" s="68"/>
      <c r="W56" s="65" t="str">
        <f>IFERROR(VLOOKUP(TableAOPTarget[[#This Row],[Actual Finish Date]],TableAopCalendar[[Date]:[Concatenate Month &amp; Week]],7,FALSE),"")</f>
        <v/>
      </c>
      <c r="X56" s="68"/>
      <c r="Y56" s="69" t="str">
        <f>IFERROR(VLOOKUP(TableAOPTarget[[#This Row],[Forecasted Finish Date]],TableAopCalendar[[Date]:[Concatenate Month &amp; Week]],7,FALSE),"")</f>
        <v/>
      </c>
      <c r="Z56" s="68"/>
      <c r="AA56" s="65" t="str">
        <f>IF(OR(TableAOPTarget[[#This Row],[EPC Status]]="EPC Ready",TableAOPTarget[[#This Row],[EPC Status]]="WIP",TableAOPTarget[[#This Row],[EPC Status]]="YTS"),INDEX(TableAopCalendar[Concatenate Month &amp; Plan],MATCH(TableAOPTarget[[#This Row],[Planned Finish Date]],TableAopCalendar[Date],0))," ")</f>
        <v xml:space="preserve"> </v>
      </c>
      <c r="AB56" s="65" t="str">
        <f>IF(TableAOPTarget[[#This Row],[EPC Status]]="EPC Ready",INDEX(TableAopCalendar[Month for Plan],MATCH(TableAOPTarget[[#This Row],[Actual Finish Date]],TableAopCalendar[Date],0))," ")</f>
        <v xml:space="preserve"> </v>
      </c>
      <c r="AC56" s="70" t="s">
        <v>505</v>
      </c>
      <c r="AD56" s="63" t="str">
        <f>VLOOKUP(TableAOPTarget[[#This Row],[Site Name]],[17]Backup!$E:$F,2,0)</f>
        <v>11. HOLD</v>
      </c>
      <c r="AE56" s="71"/>
      <c r="AF56" s="60" t="str">
        <f>VLOOKUP(TableAOPTarget[[#This Row],[Site Name]],[17]Backup!$E:$GG,185,0)</f>
        <v>2026-2027</v>
      </c>
    </row>
    <row r="57" spans="1:32" x14ac:dyDescent="0.3">
      <c r="A57" s="64" t="s">
        <v>417</v>
      </c>
      <c r="B57" s="64">
        <v>56</v>
      </c>
      <c r="C57" s="87" t="s">
        <v>42</v>
      </c>
      <c r="D57" s="63" t="s">
        <v>225</v>
      </c>
      <c r="E57" s="65" t="s">
        <v>504</v>
      </c>
      <c r="F57" s="66" t="s">
        <v>341</v>
      </c>
      <c r="G57" s="66" t="s">
        <v>342</v>
      </c>
      <c r="H57" s="66" t="s">
        <v>343</v>
      </c>
      <c r="I57" s="66" t="s">
        <v>353</v>
      </c>
      <c r="J57" s="59" t="s">
        <v>455</v>
      </c>
      <c r="K57" s="65" t="s">
        <v>419</v>
      </c>
      <c r="L57" s="67">
        <v>666</v>
      </c>
      <c r="M57" s="65" t="s">
        <v>531</v>
      </c>
      <c r="N57" s="65"/>
      <c r="O57" s="68"/>
      <c r="P57" s="69" t="str">
        <f>IFERROR(VLOOKUP(TableAOPTarget[[#This Row],[RFC Date]],TableAopCalendar[[Date]:[Concatenate Month &amp; Week]],7,FALSE),"")</f>
        <v/>
      </c>
      <c r="Q57" s="68"/>
      <c r="R57" s="69" t="str">
        <f>IFERROR(VLOOKUP(TableAOPTarget[[#This Row],[Actual Start Date]],TableAopCalendar[[Date]:[Concatenate Month &amp; Week]],7,FALSE),"")</f>
        <v/>
      </c>
      <c r="S57" s="69">
        <v>35</v>
      </c>
      <c r="T57" s="68">
        <f>TableAOPTarget[[#This Row],[Actual Start Date]]+TableAOPTarget[[#This Row],[Standard Duration]]</f>
        <v>35</v>
      </c>
      <c r="U57" s="65" t="str">
        <f>IFERROR(VLOOKUP(TableAOPTarget[[#This Row],[Planned Finish Date]],TableAopCalendar[[Date]:[Concatenate Month &amp; Week]],7,FALSE),"")</f>
        <v/>
      </c>
      <c r="V57" s="68"/>
      <c r="W57" s="65" t="str">
        <f>IFERROR(VLOOKUP(TableAOPTarget[[#This Row],[Actual Finish Date]],TableAopCalendar[[Date]:[Concatenate Month &amp; Week]],7,FALSE),"")</f>
        <v/>
      </c>
      <c r="X57" s="68"/>
      <c r="Y57" s="69" t="str">
        <f>IFERROR(VLOOKUP(TableAOPTarget[[#This Row],[Forecasted Finish Date]],TableAopCalendar[[Date]:[Concatenate Month &amp; Week]],7,FALSE),"")</f>
        <v/>
      </c>
      <c r="Z57" s="68"/>
      <c r="AA57" s="65" t="str">
        <f>IF(OR(TableAOPTarget[[#This Row],[EPC Status]]="EPC Ready",TableAOPTarget[[#This Row],[EPC Status]]="WIP",TableAOPTarget[[#This Row],[EPC Status]]="YTS"),INDEX(TableAopCalendar[Concatenate Month &amp; Plan],MATCH(TableAOPTarget[[#This Row],[Planned Finish Date]],TableAopCalendar[Date],0))," ")</f>
        <v xml:space="preserve"> </v>
      </c>
      <c r="AB57" s="65" t="str">
        <f>IF(TableAOPTarget[[#This Row],[EPC Status]]="EPC Ready",INDEX(TableAopCalendar[Month for Plan],MATCH(TableAOPTarget[[#This Row],[Actual Finish Date]],TableAopCalendar[Date],0))," ")</f>
        <v xml:space="preserve"> </v>
      </c>
      <c r="AC57" s="70" t="s">
        <v>505</v>
      </c>
      <c r="AD57" s="63" t="str">
        <f>VLOOKUP(TableAOPTarget[[#This Row],[Site Name]],[17]Backup!$E:$F,2,0)</f>
        <v>11. HOLD</v>
      </c>
      <c r="AE57" s="71"/>
      <c r="AF57" s="60" t="str">
        <f>VLOOKUP(TableAOPTarget[[#This Row],[Site Name]],[17]Backup!$E:$GG,185,0)</f>
        <v>2026-2027</v>
      </c>
    </row>
    <row r="58" spans="1:32" x14ac:dyDescent="0.3">
      <c r="A58" s="64" t="s">
        <v>418</v>
      </c>
      <c r="B58" s="64">
        <v>57</v>
      </c>
      <c r="C58" s="87" t="s">
        <v>42</v>
      </c>
      <c r="D58" s="63" t="s">
        <v>225</v>
      </c>
      <c r="E58" s="65" t="s">
        <v>504</v>
      </c>
      <c r="F58" s="66" t="s">
        <v>341</v>
      </c>
      <c r="G58" s="66" t="s">
        <v>342</v>
      </c>
      <c r="H58" s="66" t="s">
        <v>343</v>
      </c>
      <c r="I58" s="66" t="s">
        <v>353</v>
      </c>
      <c r="J58" s="59" t="s">
        <v>456</v>
      </c>
      <c r="K58" s="65" t="s">
        <v>365</v>
      </c>
      <c r="L58" s="67">
        <v>1245</v>
      </c>
      <c r="M58" s="65" t="s">
        <v>531</v>
      </c>
      <c r="N58" s="65"/>
      <c r="O58" s="68"/>
      <c r="P58" s="69" t="str">
        <f>IFERROR(VLOOKUP(TableAOPTarget[[#This Row],[RFC Date]],TableAopCalendar[[Date]:[Concatenate Month &amp; Week]],7,FALSE),"")</f>
        <v/>
      </c>
      <c r="Q58" s="68"/>
      <c r="R58" s="69" t="str">
        <f>IFERROR(VLOOKUP(TableAOPTarget[[#This Row],[Actual Start Date]],TableAopCalendar[[Date]:[Concatenate Month &amp; Week]],7,FALSE),"")</f>
        <v/>
      </c>
      <c r="S58" s="69">
        <v>35</v>
      </c>
      <c r="T58" s="68">
        <f>TableAOPTarget[[#This Row],[Actual Start Date]]+TableAOPTarget[[#This Row],[Standard Duration]]</f>
        <v>35</v>
      </c>
      <c r="U58" s="65" t="str">
        <f>IFERROR(VLOOKUP(TableAOPTarget[[#This Row],[Planned Finish Date]],TableAopCalendar[[Date]:[Concatenate Month &amp; Week]],7,FALSE),"")</f>
        <v/>
      </c>
      <c r="V58" s="68"/>
      <c r="W58" s="65" t="str">
        <f>IFERROR(VLOOKUP(TableAOPTarget[[#This Row],[Actual Finish Date]],TableAopCalendar[[Date]:[Concatenate Month &amp; Week]],7,FALSE),"")</f>
        <v/>
      </c>
      <c r="X58" s="68"/>
      <c r="Y58" s="69" t="str">
        <f>IFERROR(VLOOKUP(TableAOPTarget[[#This Row],[Forecasted Finish Date]],TableAopCalendar[[Date]:[Concatenate Month &amp; Week]],7,FALSE),"")</f>
        <v/>
      </c>
      <c r="Z58" s="68"/>
      <c r="AA58" s="65" t="str">
        <f>IF(OR(TableAOPTarget[[#This Row],[EPC Status]]="EPC Ready",TableAOPTarget[[#This Row],[EPC Status]]="WIP",TableAOPTarget[[#This Row],[EPC Status]]="YTS"),INDEX(TableAopCalendar[Concatenate Month &amp; Plan],MATCH(TableAOPTarget[[#This Row],[Planned Finish Date]],TableAopCalendar[Date],0))," ")</f>
        <v xml:space="preserve"> </v>
      </c>
      <c r="AB58" s="65" t="str">
        <f>IF(TableAOPTarget[[#This Row],[EPC Status]]="EPC Ready",INDEX(TableAopCalendar[Month for Plan],MATCH(TableAOPTarget[[#This Row],[Actual Finish Date]],TableAopCalendar[Date],0))," ")</f>
        <v xml:space="preserve"> </v>
      </c>
      <c r="AC58" s="70" t="s">
        <v>505</v>
      </c>
      <c r="AD58" s="63" t="str">
        <f>VLOOKUP(TableAOPTarget[[#This Row],[Site Name]],[17]Backup!$E:$F,2,0)</f>
        <v>11. HOLD</v>
      </c>
      <c r="AE58" s="71"/>
      <c r="AF58" s="60" t="str">
        <f>VLOOKUP(TableAOPTarget[[#This Row],[Site Name]],[17]Backup!$E:$GG,185,0)</f>
        <v>2026-2027</v>
      </c>
    </row>
    <row r="59" spans="1:32" x14ac:dyDescent="0.3">
      <c r="A59" s="64" t="s">
        <v>476</v>
      </c>
      <c r="B59" s="64">
        <v>58</v>
      </c>
      <c r="C59" s="87" t="s">
        <v>42</v>
      </c>
      <c r="D59" s="63" t="s">
        <v>225</v>
      </c>
      <c r="E59" s="65" t="s">
        <v>504</v>
      </c>
      <c r="F59" s="66" t="s">
        <v>341</v>
      </c>
      <c r="G59" s="66" t="s">
        <v>342</v>
      </c>
      <c r="H59" s="66" t="s">
        <v>343</v>
      </c>
      <c r="I59" s="66" t="s">
        <v>353</v>
      </c>
      <c r="J59" s="59" t="s">
        <v>722</v>
      </c>
      <c r="K59" s="65" t="s">
        <v>419</v>
      </c>
      <c r="L59" s="67">
        <v>523</v>
      </c>
      <c r="M59" s="65" t="s">
        <v>531</v>
      </c>
      <c r="N59" s="65"/>
      <c r="O59" s="68"/>
      <c r="P59" s="69" t="str">
        <f>IFERROR(VLOOKUP(TableAOPTarget[[#This Row],[RFC Date]],TableAopCalendar[[Date]:[Concatenate Month &amp; Week]],7,FALSE),"")</f>
        <v/>
      </c>
      <c r="Q59" s="68"/>
      <c r="R59" s="69" t="str">
        <f>IFERROR(VLOOKUP(TableAOPTarget[[#This Row],[Actual Start Date]],TableAopCalendar[[Date]:[Concatenate Month &amp; Week]],7,FALSE),"")</f>
        <v/>
      </c>
      <c r="S59" s="69">
        <v>35</v>
      </c>
      <c r="T59" s="68">
        <f>TableAOPTarget[[#This Row],[Actual Start Date]]+TableAOPTarget[[#This Row],[Standard Duration]]</f>
        <v>35</v>
      </c>
      <c r="U59" s="65" t="str">
        <f>IFERROR(VLOOKUP(TableAOPTarget[[#This Row],[Planned Finish Date]],TableAopCalendar[[Date]:[Concatenate Month &amp; Week]],7,FALSE),"")</f>
        <v/>
      </c>
      <c r="V59" s="68"/>
      <c r="W59" s="65" t="str">
        <f>IFERROR(VLOOKUP(TableAOPTarget[[#This Row],[Actual Finish Date]],TableAopCalendar[[Date]:[Concatenate Month &amp; Week]],7,FALSE),"")</f>
        <v/>
      </c>
      <c r="X59" s="68"/>
      <c r="Y59" s="69" t="str">
        <f>IFERROR(VLOOKUP(TableAOPTarget[[#This Row],[Forecasted Finish Date]],TableAopCalendar[[Date]:[Concatenate Month &amp; Week]],7,FALSE),"")</f>
        <v/>
      </c>
      <c r="Z59" s="68"/>
      <c r="AA59" s="65" t="str">
        <f>IF(OR(TableAOPTarget[[#This Row],[EPC Status]]="EPC Ready",TableAOPTarget[[#This Row],[EPC Status]]="WIP",TableAOPTarget[[#This Row],[EPC Status]]="YTS"),INDEX(TableAopCalendar[Concatenate Month &amp; Plan],MATCH(TableAOPTarget[[#This Row],[Planned Finish Date]],TableAopCalendar[Date],0))," ")</f>
        <v xml:space="preserve"> </v>
      </c>
      <c r="AB59" s="65" t="str">
        <f>IF(TableAOPTarget[[#This Row],[EPC Status]]="EPC Ready",INDEX(TableAopCalendar[Month for Plan],MATCH(TableAOPTarget[[#This Row],[Actual Finish Date]],TableAopCalendar[Date],0))," ")</f>
        <v xml:space="preserve"> </v>
      </c>
      <c r="AC59" s="70" t="s">
        <v>501</v>
      </c>
      <c r="AD59" s="63" t="str">
        <f>VLOOKUP(TableAOPTarget[[#This Row],[Site Name]],[17]Backup!$E:$F,2,0)</f>
        <v>14. Dropped</v>
      </c>
      <c r="AE59" s="71"/>
      <c r="AF59" s="60" t="str">
        <f>VLOOKUP(TableAOPTarget[[#This Row],[Site Name]],[17]Backup!$E:$GG,185,0)</f>
        <v>2026-2027</v>
      </c>
    </row>
    <row r="60" spans="1:32" x14ac:dyDescent="0.3">
      <c r="A60" s="64" t="s">
        <v>477</v>
      </c>
      <c r="B60" s="64">
        <v>59</v>
      </c>
      <c r="C60" s="87" t="s">
        <v>42</v>
      </c>
      <c r="D60" s="63" t="s">
        <v>225</v>
      </c>
      <c r="E60" s="65" t="s">
        <v>504</v>
      </c>
      <c r="F60" s="66" t="s">
        <v>341</v>
      </c>
      <c r="G60" s="66" t="s">
        <v>342</v>
      </c>
      <c r="H60" s="66" t="s">
        <v>343</v>
      </c>
      <c r="I60" s="66" t="s">
        <v>353</v>
      </c>
      <c r="J60" s="59" t="s">
        <v>475</v>
      </c>
      <c r="K60" s="65" t="s">
        <v>419</v>
      </c>
      <c r="L60" s="67">
        <v>251</v>
      </c>
      <c r="M60" s="65" t="s">
        <v>531</v>
      </c>
      <c r="N60" s="65"/>
      <c r="O60" s="68"/>
      <c r="P60" s="69" t="str">
        <f>IFERROR(VLOOKUP(TableAOPTarget[[#This Row],[RFC Date]],TableAopCalendar[[Date]:[Concatenate Month &amp; Week]],7,FALSE),"")</f>
        <v/>
      </c>
      <c r="Q60" s="68"/>
      <c r="R60" s="69" t="str">
        <f>IFERROR(VLOOKUP(TableAOPTarget[[#This Row],[Actual Start Date]],TableAopCalendar[[Date]:[Concatenate Month &amp; Week]],7,FALSE),"")</f>
        <v/>
      </c>
      <c r="S60" s="69">
        <v>35</v>
      </c>
      <c r="T60" s="68">
        <f>TableAOPTarget[[#This Row],[Actual Start Date]]+TableAOPTarget[[#This Row],[Standard Duration]]</f>
        <v>35</v>
      </c>
      <c r="U60" s="65" t="str">
        <f>IFERROR(VLOOKUP(TableAOPTarget[[#This Row],[Planned Finish Date]],TableAopCalendar[[Date]:[Concatenate Month &amp; Week]],7,FALSE),"")</f>
        <v/>
      </c>
      <c r="V60" s="68"/>
      <c r="W60" s="65" t="str">
        <f>IFERROR(VLOOKUP(TableAOPTarget[[#This Row],[Actual Finish Date]],TableAopCalendar[[Date]:[Concatenate Month &amp; Week]],7,FALSE),"")</f>
        <v/>
      </c>
      <c r="X60" s="68"/>
      <c r="Y60" s="69" t="str">
        <f>IFERROR(VLOOKUP(TableAOPTarget[[#This Row],[Forecasted Finish Date]],TableAopCalendar[[Date]:[Concatenate Month &amp; Week]],7,FALSE),"")</f>
        <v/>
      </c>
      <c r="Z60" s="68"/>
      <c r="AA60" s="65" t="str">
        <f>IF(OR(TableAOPTarget[[#This Row],[EPC Status]]="EPC Ready",TableAOPTarget[[#This Row],[EPC Status]]="WIP",TableAOPTarget[[#This Row],[EPC Status]]="YTS"),INDEX(TableAopCalendar[Concatenate Month &amp; Plan],MATCH(TableAOPTarget[[#This Row],[Planned Finish Date]],TableAopCalendar[Date],0))," ")</f>
        <v xml:space="preserve"> </v>
      </c>
      <c r="AB60" s="65" t="str">
        <f>IF(TableAOPTarget[[#This Row],[EPC Status]]="EPC Ready",INDEX(TableAopCalendar[Month for Plan],MATCH(TableAOPTarget[[#This Row],[Actual Finish Date]],TableAopCalendar[Date],0))," ")</f>
        <v xml:space="preserve"> </v>
      </c>
      <c r="AC60" s="70" t="s">
        <v>505</v>
      </c>
      <c r="AD60" s="63" t="str">
        <f>VLOOKUP(TableAOPTarget[[#This Row],[Site Name]],[17]Backup!$E:$F,2,0)</f>
        <v>11. HOLD</v>
      </c>
      <c r="AE60" s="71"/>
      <c r="AF60" s="60" t="str">
        <f>VLOOKUP(TableAOPTarget[[#This Row],[Site Name]],[17]Backup!$E:$GG,185,0)</f>
        <v>2026-2027</v>
      </c>
    </row>
    <row r="61" spans="1:32" ht="46.8" x14ac:dyDescent="0.3">
      <c r="A61" s="64" t="s">
        <v>675</v>
      </c>
      <c r="B61" s="64">
        <v>60</v>
      </c>
      <c r="C61" s="87" t="s">
        <v>137</v>
      </c>
      <c r="D61" s="63" t="s">
        <v>478</v>
      </c>
      <c r="E61" s="65" t="s">
        <v>93</v>
      </c>
      <c r="F61" s="66" t="s">
        <v>341</v>
      </c>
      <c r="G61" s="66" t="s">
        <v>348</v>
      </c>
      <c r="H61" s="66" t="s">
        <v>349</v>
      </c>
      <c r="I61" s="66" t="s">
        <v>361</v>
      </c>
      <c r="J61" s="59" t="s">
        <v>676</v>
      </c>
      <c r="K61" s="65" t="s">
        <v>366</v>
      </c>
      <c r="L61" s="67">
        <v>5669.98</v>
      </c>
      <c r="M61" s="69" t="s">
        <v>677</v>
      </c>
      <c r="N61" s="69"/>
      <c r="O61" s="68"/>
      <c r="P61" s="69" t="str">
        <f>IFERROR(VLOOKUP(TableAOPTarget[[#This Row],[RFC Date]],TableAopCalendar[[Date]:[Concatenate Month &amp; Week]],7,FALSE),"")</f>
        <v/>
      </c>
      <c r="Q61" s="68"/>
      <c r="R61" s="69" t="str">
        <f>IFERROR(VLOOKUP(TableAOPTarget[[#This Row],[Actual Start Date]],TableAopCalendar[[Date]:[Concatenate Month &amp; Week]],7,FALSE),"")</f>
        <v/>
      </c>
      <c r="S61" s="69">
        <v>55</v>
      </c>
      <c r="T61" s="68">
        <f>TableAOPTarget[[#This Row],[Actual Start Date]]+TableAOPTarget[[#This Row],[Standard Duration]]</f>
        <v>55</v>
      </c>
      <c r="U61" s="69" t="str">
        <f>IFERROR(VLOOKUP(TableAOPTarget[[#This Row],[Planned Finish Date]],TableAopCalendar[[Date]:[Concatenate Month &amp; Week]],7,FALSE),"")</f>
        <v/>
      </c>
      <c r="V61" s="68"/>
      <c r="W61" s="69" t="str">
        <f>IFERROR(VLOOKUP(TableAOPTarget[[#This Row],[Actual Finish Date]],TableAopCalendar[[Date]:[Concatenate Month &amp; Week]],7,FALSE),"")</f>
        <v/>
      </c>
      <c r="X61" s="68"/>
      <c r="Y61" s="69" t="str">
        <f>IFERROR(VLOOKUP(TableAOPTarget[[#This Row],[Forecasted Finish Date]],TableAopCalendar[[Date]:[Concatenate Month &amp; Week]],7,FALSE),"")</f>
        <v/>
      </c>
      <c r="Z61" s="68"/>
      <c r="AA61" s="69" t="str">
        <f>IF(OR(TableAOPTarget[[#This Row],[EPC Status]]="EPC Ready",TableAOPTarget[[#This Row],[EPC Status]]="WIP",TableAOPTarget[[#This Row],[EPC Status]]="YTS"),INDEX(TableAopCalendar[Concatenate Month &amp; Plan],MATCH(TableAOPTarget[[#This Row],[Planned Finish Date]],TableAopCalendar[Date],0))," ")</f>
        <v xml:space="preserve"> </v>
      </c>
      <c r="AB61" s="69" t="str">
        <f>IF(TableAOPTarget[[#This Row],[EPC Status]]="EPC Ready",INDEX(TableAopCalendar[Month for Plan],MATCH(TableAOPTarget[[#This Row],[Actual Finish Date]],TableAopCalendar[Date],0))," ")</f>
        <v xml:space="preserve"> </v>
      </c>
      <c r="AC61" s="70" t="s">
        <v>505</v>
      </c>
      <c r="AD61" s="87" t="str">
        <f>VLOOKUP(TableAOPTarget[[#This Row],[Site Name]],[17]Backup!$E:$F,2,0)</f>
        <v>11. HOLD</v>
      </c>
      <c r="AE61" s="71"/>
      <c r="AF61" s="133" t="str">
        <f>VLOOKUP(TableAOPTarget[[#This Row],[Site Name]],[17]Backup!$E:$GG,185,0)</f>
        <v>2026-2027</v>
      </c>
    </row>
    <row r="62" spans="1:32" ht="46.8" x14ac:dyDescent="0.3">
      <c r="A62" s="64" t="s">
        <v>678</v>
      </c>
      <c r="B62" s="64">
        <v>61</v>
      </c>
      <c r="C62" s="87" t="s">
        <v>137</v>
      </c>
      <c r="D62" s="63" t="s">
        <v>478</v>
      </c>
      <c r="E62" s="65" t="s">
        <v>93</v>
      </c>
      <c r="F62" s="66" t="s">
        <v>341</v>
      </c>
      <c r="G62" s="66" t="s">
        <v>348</v>
      </c>
      <c r="H62" s="66" t="s">
        <v>349</v>
      </c>
      <c r="I62" s="66" t="s">
        <v>361</v>
      </c>
      <c r="J62" s="59" t="s">
        <v>679</v>
      </c>
      <c r="K62" s="65" t="s">
        <v>366</v>
      </c>
      <c r="L62" s="67"/>
      <c r="M62" s="69" t="s">
        <v>680</v>
      </c>
      <c r="N62" s="69"/>
      <c r="O62" s="68"/>
      <c r="P62" s="69" t="str">
        <f>IFERROR(VLOOKUP(TableAOPTarget[[#This Row],[RFC Date]],TableAopCalendar[[Date]:[Concatenate Month &amp; Week]],7,FALSE),"")</f>
        <v/>
      </c>
      <c r="Q62" s="68"/>
      <c r="R62" s="69" t="str">
        <f>IFERROR(VLOOKUP(TableAOPTarget[[#This Row],[Actual Start Date]],TableAopCalendar[[Date]:[Concatenate Month &amp; Week]],7,FALSE),"")</f>
        <v/>
      </c>
      <c r="S62" s="69">
        <v>55</v>
      </c>
      <c r="T62" s="68">
        <f>TableAOPTarget[[#This Row],[Actual Start Date]]+TableAOPTarget[[#This Row],[Standard Duration]]</f>
        <v>55</v>
      </c>
      <c r="U62" s="69" t="str">
        <f>IFERROR(VLOOKUP(TableAOPTarget[[#This Row],[Planned Finish Date]],TableAopCalendar[[Date]:[Concatenate Month &amp; Week]],7,FALSE),"")</f>
        <v/>
      </c>
      <c r="V62" s="68"/>
      <c r="W62" s="69" t="str">
        <f>IFERROR(VLOOKUP(TableAOPTarget[[#This Row],[Actual Finish Date]],TableAopCalendar[[Date]:[Concatenate Month &amp; Week]],7,FALSE),"")</f>
        <v/>
      </c>
      <c r="X62" s="68"/>
      <c r="Y62" s="69" t="str">
        <f>IFERROR(VLOOKUP(TableAOPTarget[[#This Row],[Forecasted Finish Date]],TableAopCalendar[[Date]:[Concatenate Month &amp; Week]],7,FALSE),"")</f>
        <v/>
      </c>
      <c r="Z62" s="68"/>
      <c r="AA62" s="69" t="str">
        <f>IF(OR(TableAOPTarget[[#This Row],[EPC Status]]="EPC Ready",TableAOPTarget[[#This Row],[EPC Status]]="WIP",TableAOPTarget[[#This Row],[EPC Status]]="YTS"),INDEX(TableAopCalendar[Concatenate Month &amp; Plan],MATCH(TableAOPTarget[[#This Row],[Planned Finish Date]],TableAopCalendar[Date],0))," ")</f>
        <v xml:space="preserve"> </v>
      </c>
      <c r="AB62" s="69" t="str">
        <f>IF(TableAOPTarget[[#This Row],[EPC Status]]="EPC Ready",INDEX(TableAopCalendar[Month for Plan],MATCH(TableAOPTarget[[#This Row],[Actual Finish Date]],TableAopCalendar[Date],0))," ")</f>
        <v xml:space="preserve"> </v>
      </c>
      <c r="AC62" s="70" t="s">
        <v>505</v>
      </c>
      <c r="AD62" s="87" t="str">
        <f>VLOOKUP(TableAOPTarget[[#This Row],[Site Name]],[17]Backup!$E:$F,2,0)</f>
        <v>11. HOLD</v>
      </c>
      <c r="AE62" s="71"/>
      <c r="AF62" s="133" t="str">
        <f>VLOOKUP(TableAOPTarget[[#This Row],[Site Name]],[17]Backup!$E:$GG,185,0)</f>
        <v>2026-2027</v>
      </c>
    </row>
    <row r="63" spans="1:32" ht="46.8" x14ac:dyDescent="0.3">
      <c r="A63" s="64" t="s">
        <v>494</v>
      </c>
      <c r="B63" s="64">
        <v>62</v>
      </c>
      <c r="C63" s="87" t="s">
        <v>137</v>
      </c>
      <c r="D63" s="63" t="s">
        <v>478</v>
      </c>
      <c r="E63" s="65" t="s">
        <v>93</v>
      </c>
      <c r="F63" s="66" t="s">
        <v>341</v>
      </c>
      <c r="G63" s="66" t="s">
        <v>344</v>
      </c>
      <c r="H63" s="66" t="s">
        <v>345</v>
      </c>
      <c r="I63" s="66" t="s">
        <v>482</v>
      </c>
      <c r="J63" s="59" t="s">
        <v>492</v>
      </c>
      <c r="K63" s="65" t="s">
        <v>367</v>
      </c>
      <c r="L63" s="67">
        <v>1105</v>
      </c>
      <c r="M63" s="65"/>
      <c r="N63" s="65"/>
      <c r="O63" s="68"/>
      <c r="P63" s="69" t="str">
        <f>IFERROR(VLOOKUP(TableAOPTarget[[#This Row],[RFC Date]],TableAopCalendar[[Date]:[Concatenate Month &amp; Week]],7,FALSE),"")</f>
        <v/>
      </c>
      <c r="Q63" s="68"/>
      <c r="R63" s="69" t="str">
        <f>IFERROR(VLOOKUP(TableAOPTarget[[#This Row],[Actual Start Date]],TableAopCalendar[[Date]:[Concatenate Month &amp; Week]],7,FALSE),"")</f>
        <v/>
      </c>
      <c r="S63" s="69"/>
      <c r="T63" s="68">
        <f>TableAOPTarget[[#This Row],[Actual Start Date]]+TableAOPTarget[[#This Row],[Standard Duration]]</f>
        <v>0</v>
      </c>
      <c r="U63" s="65" t="str">
        <f>IFERROR(VLOOKUP(TableAOPTarget[[#This Row],[Planned Finish Date]],TableAopCalendar[[Date]:[Concatenate Month &amp; Week]],7,FALSE),"")</f>
        <v/>
      </c>
      <c r="V63" s="68"/>
      <c r="W63" s="65" t="str">
        <f>IFERROR(VLOOKUP(TableAOPTarget[[#This Row],[Actual Finish Date]],TableAopCalendar[[Date]:[Concatenate Month &amp; Week]],7,FALSE),"")</f>
        <v/>
      </c>
      <c r="X63" s="68"/>
      <c r="Y63" s="69" t="str">
        <f>IFERROR(VLOOKUP(TableAOPTarget[[#This Row],[Forecasted Finish Date]],TableAopCalendar[[Date]:[Concatenate Month &amp; Week]],7,FALSE),"")</f>
        <v/>
      </c>
      <c r="Z63" s="68"/>
      <c r="AA63" s="65" t="str">
        <f>IF(OR(TableAOPTarget[[#This Row],[EPC Status]]="EPC Ready",TableAOPTarget[[#This Row],[EPC Status]]="WIP",TableAOPTarget[[#This Row],[EPC Status]]="YTS"),INDEX(TableAopCalendar[Concatenate Month &amp; Plan],MATCH(TableAOPTarget[[#This Row],[Planned Finish Date]],TableAopCalendar[Date],0))," ")</f>
        <v xml:space="preserve"> </v>
      </c>
      <c r="AB63" s="65" t="str">
        <f>IF(TableAOPTarget[[#This Row],[EPC Status]]="EPC Ready",INDEX(TableAopCalendar[Month for Plan],MATCH(TableAOPTarget[[#This Row],[Actual Finish Date]],TableAopCalendar[Date],0))," ")</f>
        <v xml:space="preserve"> </v>
      </c>
      <c r="AC63" s="63" t="s">
        <v>505</v>
      </c>
      <c r="AD63" s="63" t="str">
        <f>VLOOKUP(TableAOPTarget[[#This Row],[Site Name]],[17]Backup!$E:$F,2,0)</f>
        <v>11. HOLD</v>
      </c>
      <c r="AE63" s="71"/>
      <c r="AF63" s="60" t="str">
        <f>VLOOKUP(TableAOPTarget[[#This Row],[Site Name]],[17]Backup!$E:$GG,185,0)</f>
        <v>2026-2027</v>
      </c>
    </row>
    <row r="64" spans="1:32" ht="46.8" x14ac:dyDescent="0.3">
      <c r="A64" s="64" t="s">
        <v>487</v>
      </c>
      <c r="B64" s="64">
        <v>63</v>
      </c>
      <c r="C64" s="87" t="s">
        <v>137</v>
      </c>
      <c r="D64" s="63" t="s">
        <v>478</v>
      </c>
      <c r="E64" s="65" t="s">
        <v>93</v>
      </c>
      <c r="F64" s="66" t="s">
        <v>341</v>
      </c>
      <c r="G64" s="66" t="s">
        <v>348</v>
      </c>
      <c r="H64" s="66" t="s">
        <v>349</v>
      </c>
      <c r="I64" s="66" t="s">
        <v>361</v>
      </c>
      <c r="J64" s="59" t="s">
        <v>489</v>
      </c>
      <c r="K64" s="65" t="s">
        <v>366</v>
      </c>
      <c r="L64" s="67">
        <v>1120</v>
      </c>
      <c r="M64" s="65"/>
      <c r="N64" s="65"/>
      <c r="O64" s="68"/>
      <c r="P64" s="69" t="str">
        <f>IFERROR(VLOOKUP(TableAOPTarget[[#This Row],[RFC Date]],TableAopCalendar[[Date]:[Concatenate Month &amp; Week]],7,FALSE),"")</f>
        <v/>
      </c>
      <c r="Q64" s="68"/>
      <c r="R64" s="69" t="str">
        <f>IFERROR(VLOOKUP(TableAOPTarget[[#This Row],[Actual Start Date]],TableAopCalendar[[Date]:[Concatenate Month &amp; Week]],7,FALSE),"")</f>
        <v/>
      </c>
      <c r="S64" s="69"/>
      <c r="T64" s="68">
        <f>TableAOPTarget[[#This Row],[Actual Start Date]]+TableAOPTarget[[#This Row],[Standard Duration]]</f>
        <v>0</v>
      </c>
      <c r="U64" s="65" t="str">
        <f>IFERROR(VLOOKUP(TableAOPTarget[[#This Row],[Planned Finish Date]],TableAopCalendar[[Date]:[Concatenate Month &amp; Week]],7,FALSE),"")</f>
        <v/>
      </c>
      <c r="V64" s="68"/>
      <c r="W64" s="65" t="str">
        <f>IFERROR(VLOOKUP(TableAOPTarget[[#This Row],[Actual Finish Date]],TableAopCalendar[[Date]:[Concatenate Month &amp; Week]],7,FALSE),"")</f>
        <v/>
      </c>
      <c r="X64" s="68"/>
      <c r="Y64" s="69" t="str">
        <f>IFERROR(VLOOKUP(TableAOPTarget[[#This Row],[Forecasted Finish Date]],TableAopCalendar[[Date]:[Concatenate Month &amp; Week]],7,FALSE),"")</f>
        <v/>
      </c>
      <c r="Z64" s="68"/>
      <c r="AA64" s="65" t="str">
        <f>IF(OR(TableAOPTarget[[#This Row],[EPC Status]]="EPC Ready",TableAOPTarget[[#This Row],[EPC Status]]="WIP",TableAOPTarget[[#This Row],[EPC Status]]="YTS"),INDEX(TableAopCalendar[Concatenate Month &amp; Plan],MATCH(TableAOPTarget[[#This Row],[Planned Finish Date]],TableAopCalendar[Date],0))," ")</f>
        <v xml:space="preserve"> </v>
      </c>
      <c r="AB64" s="65" t="str">
        <f>IF(TableAOPTarget[[#This Row],[EPC Status]]="EPC Ready",INDEX(TableAopCalendar[Month for Plan],MATCH(TableAOPTarget[[#This Row],[Actual Finish Date]],TableAopCalendar[Date],0))," ")</f>
        <v xml:space="preserve"> </v>
      </c>
      <c r="AC64" s="63" t="s">
        <v>505</v>
      </c>
      <c r="AD64" s="63" t="str">
        <f>VLOOKUP(TableAOPTarget[[#This Row],[Site Name]],[17]Backup!$E:$F,2,0)</f>
        <v>11. HOLD</v>
      </c>
      <c r="AE64" s="71"/>
      <c r="AF64" s="60" t="str">
        <f>VLOOKUP(TableAOPTarget[[#This Row],[Site Name]],[17]Backup!$E:$GG,185,0)</f>
        <v>2026-2027</v>
      </c>
    </row>
    <row r="65" spans="1:32" ht="46.8" x14ac:dyDescent="0.3">
      <c r="A65" s="64" t="s">
        <v>481</v>
      </c>
      <c r="B65" s="64">
        <v>64</v>
      </c>
      <c r="C65" s="87" t="s">
        <v>137</v>
      </c>
      <c r="D65" s="63" t="s">
        <v>478</v>
      </c>
      <c r="E65" s="65" t="s">
        <v>93</v>
      </c>
      <c r="F65" s="66" t="s">
        <v>341</v>
      </c>
      <c r="G65" s="66" t="s">
        <v>344</v>
      </c>
      <c r="H65" s="66" t="s">
        <v>345</v>
      </c>
      <c r="I65" s="66" t="s">
        <v>355</v>
      </c>
      <c r="J65" s="59" t="s">
        <v>486</v>
      </c>
      <c r="K65" s="65" t="s">
        <v>367</v>
      </c>
      <c r="L65" s="67"/>
      <c r="M65" s="65"/>
      <c r="N65" s="65"/>
      <c r="O65" s="68"/>
      <c r="P65" s="69" t="str">
        <f>IFERROR(VLOOKUP(TableAOPTarget[[#This Row],[RFC Date]],TableAopCalendar[[Date]:[Concatenate Month &amp; Week]],7,FALSE),"")</f>
        <v/>
      </c>
      <c r="Q65" s="68"/>
      <c r="R65" s="69" t="str">
        <f>IFERROR(VLOOKUP(TableAOPTarget[[#This Row],[Actual Start Date]],TableAopCalendar[[Date]:[Concatenate Month &amp; Week]],7,FALSE),"")</f>
        <v/>
      </c>
      <c r="S65" s="69">
        <v>55</v>
      </c>
      <c r="T65" s="68">
        <f>TableAOPTarget[[#This Row],[Actual Start Date]]+TableAOPTarget[[#This Row],[Standard Duration]]</f>
        <v>55</v>
      </c>
      <c r="U65" s="65" t="str">
        <f>IFERROR(VLOOKUP(TableAOPTarget[[#This Row],[Planned Finish Date]],TableAopCalendar[[Date]:[Concatenate Month &amp; Week]],7,FALSE),"")</f>
        <v/>
      </c>
      <c r="V65" s="68"/>
      <c r="W65" s="65" t="str">
        <f>IFERROR(VLOOKUP(TableAOPTarget[[#This Row],[Actual Finish Date]],TableAopCalendar[[Date]:[Concatenate Month &amp; Week]],7,FALSE),"")</f>
        <v/>
      </c>
      <c r="X65" s="68"/>
      <c r="Y65" s="69" t="str">
        <f>IFERROR(VLOOKUP(TableAOPTarget[[#This Row],[Forecasted Finish Date]],TableAopCalendar[[Date]:[Concatenate Month &amp; Week]],7,FALSE),"")</f>
        <v/>
      </c>
      <c r="Z65" s="68"/>
      <c r="AA65" s="65" t="str">
        <f>IF(OR(TableAOPTarget[[#This Row],[EPC Status]]="EPC Ready",TableAOPTarget[[#This Row],[EPC Status]]="WIP",TableAOPTarget[[#This Row],[EPC Status]]="YTS"),INDEX(TableAopCalendar[Concatenate Month &amp; Plan],MATCH(TableAOPTarget[[#This Row],[Planned Finish Date]],TableAopCalendar[Date],0))," ")</f>
        <v xml:space="preserve"> </v>
      </c>
      <c r="AB65" s="65" t="str">
        <f>IF(TableAOPTarget[[#This Row],[EPC Status]]="EPC Ready",INDEX(TableAopCalendar[Month for Plan],MATCH(TableAOPTarget[[#This Row],[Actual Finish Date]],TableAopCalendar[Date],0))," ")</f>
        <v xml:space="preserve"> </v>
      </c>
      <c r="AC65" s="63" t="s">
        <v>505</v>
      </c>
      <c r="AD65" s="63" t="str">
        <f>VLOOKUP(TableAOPTarget[[#This Row],[Site Name]],[17]Backup!$E:$F,2,0)</f>
        <v>11. HOLD</v>
      </c>
      <c r="AE65" s="71"/>
      <c r="AF65" s="60" t="str">
        <f>VLOOKUP(TableAOPTarget[[#This Row],[Site Name]],[17]Backup!$E:$GG,185,0)</f>
        <v>2026-2027</v>
      </c>
    </row>
    <row r="66" spans="1:32" ht="46.8" x14ac:dyDescent="0.3">
      <c r="A66" s="64" t="s">
        <v>483</v>
      </c>
      <c r="B66" s="64">
        <v>65</v>
      </c>
      <c r="C66" s="87" t="s">
        <v>137</v>
      </c>
      <c r="D66" s="63" t="s">
        <v>478</v>
      </c>
      <c r="E66" s="65" t="s">
        <v>93</v>
      </c>
      <c r="F66" s="66" t="s">
        <v>484</v>
      </c>
      <c r="G66" s="66" t="s">
        <v>348</v>
      </c>
      <c r="H66" s="66" t="s">
        <v>349</v>
      </c>
      <c r="I66" s="66" t="s">
        <v>361</v>
      </c>
      <c r="J66" s="59" t="s">
        <v>485</v>
      </c>
      <c r="K66" s="65" t="s">
        <v>366</v>
      </c>
      <c r="L66" s="67"/>
      <c r="M66" s="65" t="s">
        <v>508</v>
      </c>
      <c r="N66" s="65"/>
      <c r="O66" s="68"/>
      <c r="P66" s="69" t="str">
        <f>IFERROR(VLOOKUP(TableAOPTarget[[#This Row],[RFC Date]],TableAopCalendar[[Date]:[Concatenate Month &amp; Week]],7,FALSE),"")</f>
        <v/>
      </c>
      <c r="Q66" s="68"/>
      <c r="R66" s="69" t="str">
        <f>IFERROR(VLOOKUP(TableAOPTarget[[#This Row],[Actual Start Date]],TableAopCalendar[[Date]:[Concatenate Month &amp; Week]],7,FALSE),"")</f>
        <v/>
      </c>
      <c r="S66" s="69"/>
      <c r="T66" s="68">
        <f>TableAOPTarget[[#This Row],[Actual Start Date]]+TableAOPTarget[[#This Row],[Standard Duration]]</f>
        <v>0</v>
      </c>
      <c r="U66" s="65" t="str">
        <f>IFERROR(VLOOKUP(TableAOPTarget[[#This Row],[Planned Finish Date]],TableAopCalendar[[Date]:[Concatenate Month &amp; Week]],7,FALSE),"")</f>
        <v/>
      </c>
      <c r="V66" s="68"/>
      <c r="W66" s="65" t="str">
        <f>IFERROR(VLOOKUP(TableAOPTarget[[#This Row],[Actual Finish Date]],TableAopCalendar[[Date]:[Concatenate Month &amp; Week]],7,FALSE),"")</f>
        <v/>
      </c>
      <c r="X66" s="68"/>
      <c r="Y66" s="69" t="str">
        <f>IFERROR(VLOOKUP(TableAOPTarget[[#This Row],[Forecasted Finish Date]],TableAopCalendar[[Date]:[Concatenate Month &amp; Week]],7,FALSE),"")</f>
        <v/>
      </c>
      <c r="Z66" s="68"/>
      <c r="AA66" s="65" t="str">
        <f>IF(OR(TableAOPTarget[[#This Row],[EPC Status]]="EPC Ready",TableAOPTarget[[#This Row],[EPC Status]]="WIP",TableAOPTarget[[#This Row],[EPC Status]]="YTS"),INDEX(TableAopCalendar[Concatenate Month &amp; Plan],MATCH(TableAOPTarget[[#This Row],[Planned Finish Date]],TableAopCalendar[Date],0))," ")</f>
        <v xml:space="preserve"> </v>
      </c>
      <c r="AB66" s="65" t="str">
        <f>IF(TableAOPTarget[[#This Row],[EPC Status]]="EPC Ready",INDEX(TableAopCalendar[Month for Plan],MATCH(TableAOPTarget[[#This Row],[Actual Finish Date]],TableAopCalendar[Date],0))," ")</f>
        <v xml:space="preserve"> </v>
      </c>
      <c r="AC66" s="63" t="s">
        <v>505</v>
      </c>
      <c r="AD66" s="63" t="str">
        <f>VLOOKUP(TableAOPTarget[[#This Row],[Site Name]],[17]Backup!$E:$F,2,0)</f>
        <v>11. HOLD</v>
      </c>
      <c r="AE66" s="71"/>
      <c r="AF66" s="60" t="str">
        <f>VLOOKUP(TableAOPTarget[[#This Row],[Site Name]],[17]Backup!$E:$GG,185,0)</f>
        <v>2026-2027</v>
      </c>
    </row>
    <row r="67" spans="1:32" ht="46.8" x14ac:dyDescent="0.3">
      <c r="A67" s="64" t="s">
        <v>490</v>
      </c>
      <c r="B67" s="64">
        <v>66</v>
      </c>
      <c r="C67" s="87" t="s">
        <v>137</v>
      </c>
      <c r="D67" s="63" t="s">
        <v>478</v>
      </c>
      <c r="E67" s="65" t="s">
        <v>93</v>
      </c>
      <c r="F67" s="66" t="s">
        <v>341</v>
      </c>
      <c r="G67" s="66" t="s">
        <v>348</v>
      </c>
      <c r="H67" s="66" t="s">
        <v>349</v>
      </c>
      <c r="I67" s="66" t="s">
        <v>361</v>
      </c>
      <c r="J67" s="59" t="s">
        <v>488</v>
      </c>
      <c r="K67" s="65" t="s">
        <v>366</v>
      </c>
      <c r="L67" s="67">
        <v>924</v>
      </c>
      <c r="M67" s="65"/>
      <c r="N67" s="65"/>
      <c r="O67" s="68"/>
      <c r="P67" s="69" t="str">
        <f>IFERROR(VLOOKUP(TableAOPTarget[[#This Row],[RFC Date]],TableAopCalendar[[Date]:[Concatenate Month &amp; Week]],7,FALSE),"")</f>
        <v/>
      </c>
      <c r="Q67" s="68"/>
      <c r="R67" s="69" t="str">
        <f>IFERROR(VLOOKUP(TableAOPTarget[[#This Row],[Actual Start Date]],TableAopCalendar[[Date]:[Concatenate Month &amp; Week]],7,FALSE),"")</f>
        <v/>
      </c>
      <c r="S67" s="69"/>
      <c r="T67" s="68">
        <f>TableAOPTarget[[#This Row],[Actual Start Date]]+TableAOPTarget[[#This Row],[Standard Duration]]</f>
        <v>0</v>
      </c>
      <c r="U67" s="65" t="str">
        <f>IFERROR(VLOOKUP(TableAOPTarget[[#This Row],[Planned Finish Date]],TableAopCalendar[[Date]:[Concatenate Month &amp; Week]],7,FALSE),"")</f>
        <v/>
      </c>
      <c r="V67" s="68"/>
      <c r="W67" s="65" t="str">
        <f>IFERROR(VLOOKUP(TableAOPTarget[[#This Row],[Actual Finish Date]],TableAopCalendar[[Date]:[Concatenate Month &amp; Week]],7,FALSE),"")</f>
        <v/>
      </c>
      <c r="X67" s="68"/>
      <c r="Y67" s="69" t="str">
        <f>IFERROR(VLOOKUP(TableAOPTarget[[#This Row],[Forecasted Finish Date]],TableAopCalendar[[Date]:[Concatenate Month &amp; Week]],7,FALSE),"")</f>
        <v/>
      </c>
      <c r="Z67" s="68"/>
      <c r="AA67" s="65" t="str">
        <f>IF(OR(TableAOPTarget[[#This Row],[EPC Status]]="EPC Ready",TableAOPTarget[[#This Row],[EPC Status]]="WIP",TableAOPTarget[[#This Row],[EPC Status]]="YTS"),INDEX(TableAopCalendar[Concatenate Month &amp; Plan],MATCH(TableAOPTarget[[#This Row],[Planned Finish Date]],TableAopCalendar[Date],0))," ")</f>
        <v xml:space="preserve"> </v>
      </c>
      <c r="AB67" s="65" t="str">
        <f>IF(TableAOPTarget[[#This Row],[EPC Status]]="EPC Ready",INDEX(TableAopCalendar[Month for Plan],MATCH(TableAOPTarget[[#This Row],[Actual Finish Date]],TableAopCalendar[Date],0))," ")</f>
        <v xml:space="preserve"> </v>
      </c>
      <c r="AC67" s="63" t="s">
        <v>505</v>
      </c>
      <c r="AD67" s="63" t="str">
        <f>VLOOKUP(TableAOPTarget[[#This Row],[Site Name]],[17]Backup!$E:$F,2,0)</f>
        <v>11. HOLD</v>
      </c>
      <c r="AE67" s="71"/>
      <c r="AF67" s="60" t="str">
        <f>VLOOKUP(TableAOPTarget[[#This Row],[Site Name]],[17]Backup!$E:$GG,185,0)</f>
        <v>2026-2027</v>
      </c>
    </row>
    <row r="68" spans="1:32" ht="46.8" x14ac:dyDescent="0.3">
      <c r="A68" s="64" t="s">
        <v>387</v>
      </c>
      <c r="B68" s="64">
        <v>67</v>
      </c>
      <c r="C68" s="87" t="s">
        <v>63</v>
      </c>
      <c r="D68" s="63" t="s">
        <v>224</v>
      </c>
      <c r="E68" s="65" t="s">
        <v>568</v>
      </c>
      <c r="F68" s="66" t="s">
        <v>341</v>
      </c>
      <c r="G68" s="66" t="s">
        <v>348</v>
      </c>
      <c r="H68" s="66" t="s">
        <v>349</v>
      </c>
      <c r="I68" s="66" t="s">
        <v>359</v>
      </c>
      <c r="J68" s="59" t="s">
        <v>420</v>
      </c>
      <c r="K68" s="65" t="s">
        <v>461</v>
      </c>
      <c r="L68" s="67">
        <v>1031</v>
      </c>
      <c r="M68" s="65" t="s">
        <v>532</v>
      </c>
      <c r="N68" s="65"/>
      <c r="O68" s="68"/>
      <c r="P68" s="69" t="str">
        <f>IFERROR(VLOOKUP(TableAOPTarget[[#This Row],[RFC Date]],TableAopCalendar[[Date]:[Concatenate Month &amp; Week]],7,FALSE),"")</f>
        <v/>
      </c>
      <c r="Q68" s="68"/>
      <c r="R68" s="69" t="str">
        <f>IFERROR(VLOOKUP(TableAOPTarget[[#This Row],[Actual Start Date]],TableAopCalendar[[Date]:[Concatenate Month &amp; Week]],7,FALSE),"")</f>
        <v/>
      </c>
      <c r="S68" s="69">
        <v>15</v>
      </c>
      <c r="T68" s="68">
        <f>TableAOPTarget[[#This Row],[Actual Start Date]]+TableAOPTarget[[#This Row],[Standard Duration]]</f>
        <v>15</v>
      </c>
      <c r="U68" s="65" t="str">
        <f>IFERROR(VLOOKUP(TableAOPTarget[[#This Row],[Planned Finish Date]],TableAopCalendar[[Date]:[Concatenate Month &amp; Week]],7,FALSE),"")</f>
        <v/>
      </c>
      <c r="V68" s="68"/>
      <c r="W68" s="65" t="str">
        <f>IFERROR(VLOOKUP(TableAOPTarget[[#This Row],[Actual Finish Date]],TableAopCalendar[[Date]:[Concatenate Month &amp; Week]],7,FALSE),"")</f>
        <v/>
      </c>
      <c r="X68" s="68"/>
      <c r="Y68" s="69" t="str">
        <f>IFERROR(VLOOKUP(TableAOPTarget[[#This Row],[Forecasted Finish Date]],TableAopCalendar[[Date]:[Concatenate Month &amp; Week]],7,FALSE),"")</f>
        <v/>
      </c>
      <c r="Z68" s="68"/>
      <c r="AA68" s="65" t="str">
        <f>IF(OR(TableAOPTarget[[#This Row],[EPC Status]]="EPC Ready",TableAOPTarget[[#This Row],[EPC Status]]="WIP",TableAOPTarget[[#This Row],[EPC Status]]="YTS"),INDEX(TableAopCalendar[Concatenate Month &amp; Plan],MATCH(TableAOPTarget[[#This Row],[Planned Finish Date]],TableAopCalendar[Date],0))," ")</f>
        <v xml:space="preserve"> </v>
      </c>
      <c r="AB68" s="65" t="str">
        <f>IF(TableAOPTarget[[#This Row],[EPC Status]]="EPC Ready",INDEX(TableAopCalendar[Month for Plan],MATCH(TableAOPTarget[[#This Row],[Actual Finish Date]],TableAopCalendar[Date],0))," ")</f>
        <v xml:space="preserve"> </v>
      </c>
      <c r="AC68" s="70" t="s">
        <v>505</v>
      </c>
      <c r="AD68" s="63" t="str">
        <f>VLOOKUP(TableAOPTarget[[#This Row],[Site Name]],[17]Backup!$E:$F,2,0)</f>
        <v>11. HOLD</v>
      </c>
      <c r="AE68" s="71"/>
      <c r="AF68" s="60" t="str">
        <f>VLOOKUP(TableAOPTarget[[#This Row],[Site Name]],[17]Backup!$E:$GG,185,0)</f>
        <v>2026-2027</v>
      </c>
    </row>
    <row r="69" spans="1:32" ht="31.2" x14ac:dyDescent="0.3">
      <c r="A69" s="64" t="s">
        <v>388</v>
      </c>
      <c r="B69" s="64">
        <v>68</v>
      </c>
      <c r="C69" s="87" t="s">
        <v>63</v>
      </c>
      <c r="D69" s="63" t="s">
        <v>224</v>
      </c>
      <c r="E69" s="65" t="s">
        <v>568</v>
      </c>
      <c r="F69" s="66" t="s">
        <v>341</v>
      </c>
      <c r="G69" s="66" t="s">
        <v>348</v>
      </c>
      <c r="H69" s="66" t="s">
        <v>349</v>
      </c>
      <c r="I69" s="66" t="s">
        <v>361</v>
      </c>
      <c r="J69" s="59" t="s">
        <v>421</v>
      </c>
      <c r="K69" s="65" t="s">
        <v>366</v>
      </c>
      <c r="L69" s="67">
        <v>1560</v>
      </c>
      <c r="M69" s="65" t="s">
        <v>533</v>
      </c>
      <c r="N69" s="65"/>
      <c r="O69" s="68">
        <v>44876</v>
      </c>
      <c r="P69" s="69" t="str">
        <f>IFERROR(VLOOKUP(TableAOPTarget[[#This Row],[RFC Date]],TableAopCalendar[[Date]:[Concatenate Month &amp; Week]],7,FALSE),"")</f>
        <v>November 22 Week 2</v>
      </c>
      <c r="Q69" s="68"/>
      <c r="R69" s="69" t="str">
        <f>IFERROR(VLOOKUP(TableAOPTarget[[#This Row],[Actual Start Date]],TableAopCalendar[[Date]:[Concatenate Month &amp; Week]],7,FALSE),"")</f>
        <v/>
      </c>
      <c r="S69" s="69">
        <v>15</v>
      </c>
      <c r="T69" s="68">
        <f>TableAOPTarget[[#This Row],[Actual Start Date]]+TableAOPTarget[[#This Row],[Standard Duration]]</f>
        <v>15</v>
      </c>
      <c r="U69" s="65" t="str">
        <f>IFERROR(VLOOKUP(TableAOPTarget[[#This Row],[Planned Finish Date]],TableAopCalendar[[Date]:[Concatenate Month &amp; Week]],7,FALSE),"")</f>
        <v/>
      </c>
      <c r="V69" s="68"/>
      <c r="W69" s="65" t="str">
        <f>IFERROR(VLOOKUP(TableAOPTarget[[#This Row],[Actual Finish Date]],TableAopCalendar[[Date]:[Concatenate Month &amp; Week]],7,FALSE),"")</f>
        <v/>
      </c>
      <c r="X69" s="68"/>
      <c r="Y69" s="69" t="str">
        <f>IFERROR(VLOOKUP(TableAOPTarget[[#This Row],[Forecasted Finish Date]],TableAopCalendar[[Date]:[Concatenate Month &amp; Week]],7,FALSE),"")</f>
        <v/>
      </c>
      <c r="Z69" s="68"/>
      <c r="AA69" s="65" t="str">
        <f>IF(OR(TableAOPTarget[[#This Row],[EPC Status]]="EPC Ready",TableAOPTarget[[#This Row],[EPC Status]]="WIP",TableAOPTarget[[#This Row],[EPC Status]]="YTS"),INDEX(TableAopCalendar[Concatenate Month &amp; Plan],MATCH(TableAOPTarget[[#This Row],[Planned Finish Date]],TableAopCalendar[Date],0))," ")</f>
        <v xml:space="preserve"> </v>
      </c>
      <c r="AB69" s="65" t="str">
        <f>IF(TableAOPTarget[[#This Row],[EPC Status]]="EPC Ready",INDEX(TableAopCalendar[Month for Plan],MATCH(TableAOPTarget[[#This Row],[Actual Finish Date]],TableAopCalendar[Date],0))," ")</f>
        <v xml:space="preserve"> </v>
      </c>
      <c r="AC69" s="70" t="s">
        <v>505</v>
      </c>
      <c r="AD69" s="63" t="str">
        <f>VLOOKUP(TableAOPTarget[[#This Row],[Site Name]],[17]Backup!$E:$F,2,0)</f>
        <v>11. HOLD</v>
      </c>
      <c r="AE69" s="71"/>
      <c r="AF69" s="60" t="str">
        <f>VLOOKUP(TableAOPTarget[[#This Row],[Site Name]],[17]Backup!$E:$GG,185,0)</f>
        <v>2026-2027</v>
      </c>
    </row>
    <row r="70" spans="1:32" x14ac:dyDescent="0.3">
      <c r="A70" s="64" t="s">
        <v>389</v>
      </c>
      <c r="B70" s="64">
        <v>69</v>
      </c>
      <c r="C70" s="87" t="s">
        <v>63</v>
      </c>
      <c r="D70" s="63" t="s">
        <v>224</v>
      </c>
      <c r="E70" s="65" t="s">
        <v>568</v>
      </c>
      <c r="F70" s="66" t="s">
        <v>341</v>
      </c>
      <c r="G70" s="66" t="s">
        <v>348</v>
      </c>
      <c r="H70" s="66" t="s">
        <v>349</v>
      </c>
      <c r="I70" s="66" t="s">
        <v>361</v>
      </c>
      <c r="J70" s="59" t="s">
        <v>422</v>
      </c>
      <c r="K70" s="65" t="s">
        <v>366</v>
      </c>
      <c r="L70" s="67">
        <v>770</v>
      </c>
      <c r="M70" s="65"/>
      <c r="N70" s="65"/>
      <c r="O70" s="68">
        <v>44872</v>
      </c>
      <c r="P70" s="69" t="str">
        <f>IFERROR(VLOOKUP(TableAOPTarget[[#This Row],[RFC Date]],TableAopCalendar[[Date]:[Concatenate Month &amp; Week]],7,FALSE),"")</f>
        <v>November 22 Week 1</v>
      </c>
      <c r="Q70" s="68"/>
      <c r="R70" s="69" t="str">
        <f>IFERROR(VLOOKUP(TableAOPTarget[[#This Row],[Actual Start Date]],TableAopCalendar[[Date]:[Concatenate Month &amp; Week]],7,FALSE),"")</f>
        <v/>
      </c>
      <c r="S70" s="69">
        <v>15</v>
      </c>
      <c r="T70" s="68">
        <f>TableAOPTarget[[#This Row],[Actual Start Date]]+TableAOPTarget[[#This Row],[Standard Duration]]</f>
        <v>15</v>
      </c>
      <c r="U70" s="65" t="str">
        <f>IFERROR(VLOOKUP(TableAOPTarget[[#This Row],[Planned Finish Date]],TableAopCalendar[[Date]:[Concatenate Month &amp; Week]],7,FALSE),"")</f>
        <v/>
      </c>
      <c r="V70" s="68"/>
      <c r="W70" s="65" t="str">
        <f>IFERROR(VLOOKUP(TableAOPTarget[[#This Row],[Actual Finish Date]],TableAopCalendar[[Date]:[Concatenate Month &amp; Week]],7,FALSE),"")</f>
        <v/>
      </c>
      <c r="X70" s="68"/>
      <c r="Y70" s="69" t="str">
        <f>IFERROR(VLOOKUP(TableAOPTarget[[#This Row],[Forecasted Finish Date]],TableAopCalendar[[Date]:[Concatenate Month &amp; Week]],7,FALSE),"")</f>
        <v/>
      </c>
      <c r="Z70" s="68"/>
      <c r="AA70" s="65" t="str">
        <f>IF(OR(TableAOPTarget[[#This Row],[EPC Status]]="EPC Ready",TableAOPTarget[[#This Row],[EPC Status]]="WIP",TableAOPTarget[[#This Row],[EPC Status]]="YTS"),INDEX(TableAopCalendar[Concatenate Month &amp; Plan],MATCH(TableAOPTarget[[#This Row],[Planned Finish Date]],TableAopCalendar[Date],0))," ")</f>
        <v xml:space="preserve"> </v>
      </c>
      <c r="AB70" s="65" t="str">
        <f>IF(TableAOPTarget[[#This Row],[EPC Status]]="EPC Ready",INDEX(TableAopCalendar[Month for Plan],MATCH(TableAOPTarget[[#This Row],[Actual Finish Date]],TableAopCalendar[Date],0))," ")</f>
        <v xml:space="preserve"> </v>
      </c>
      <c r="AC70" s="70" t="s">
        <v>505</v>
      </c>
      <c r="AD70" s="63" t="str">
        <f>VLOOKUP(TableAOPTarget[[#This Row],[Site Name]],[17]Backup!$E:$F,2,0)</f>
        <v>11. HOLD</v>
      </c>
      <c r="AE70" s="71"/>
      <c r="AF70" s="60" t="str">
        <f>VLOOKUP(TableAOPTarget[[#This Row],[Site Name]],[17]Backup!$E:$GG,185,0)</f>
        <v>2026-2027</v>
      </c>
    </row>
    <row r="71" spans="1:32" ht="31.2" x14ac:dyDescent="0.3">
      <c r="A71" s="64" t="s">
        <v>390</v>
      </c>
      <c r="B71" s="64">
        <v>70</v>
      </c>
      <c r="C71" s="87" t="s">
        <v>63</v>
      </c>
      <c r="D71" s="63" t="s">
        <v>224</v>
      </c>
      <c r="E71" s="65" t="s">
        <v>568</v>
      </c>
      <c r="F71" s="66" t="s">
        <v>341</v>
      </c>
      <c r="G71" s="66" t="s">
        <v>348</v>
      </c>
      <c r="H71" s="66" t="s">
        <v>349</v>
      </c>
      <c r="I71" s="66" t="s">
        <v>361</v>
      </c>
      <c r="J71" s="59" t="s">
        <v>423</v>
      </c>
      <c r="K71" s="65" t="s">
        <v>366</v>
      </c>
      <c r="L71" s="67">
        <v>1400</v>
      </c>
      <c r="M71" s="65" t="s">
        <v>534</v>
      </c>
      <c r="N71" s="65"/>
      <c r="O71" s="68">
        <v>44805</v>
      </c>
      <c r="P71" s="69" t="str">
        <f>IFERROR(VLOOKUP(TableAOPTarget[[#This Row],[RFC Date]],TableAopCalendar[[Date]:[Concatenate Month &amp; Week]],7,FALSE),"")</f>
        <v>September 22 Week 1</v>
      </c>
      <c r="Q71" s="68"/>
      <c r="R71" s="69" t="str">
        <f>IFERROR(VLOOKUP(TableAOPTarget[[#This Row],[Actual Start Date]],TableAopCalendar[[Date]:[Concatenate Month &amp; Week]],7,FALSE),"")</f>
        <v/>
      </c>
      <c r="S71" s="69">
        <v>15</v>
      </c>
      <c r="T71" s="68">
        <f>TableAOPTarget[[#This Row],[Actual Start Date]]+TableAOPTarget[[#This Row],[Standard Duration]]</f>
        <v>15</v>
      </c>
      <c r="U71" s="65" t="str">
        <f>IFERROR(VLOOKUP(TableAOPTarget[[#This Row],[Planned Finish Date]],TableAopCalendar[[Date]:[Concatenate Month &amp; Week]],7,FALSE),"")</f>
        <v/>
      </c>
      <c r="V71" s="68"/>
      <c r="W71" s="65" t="str">
        <f>IFERROR(VLOOKUP(TableAOPTarget[[#This Row],[Actual Finish Date]],TableAopCalendar[[Date]:[Concatenate Month &amp; Week]],7,FALSE),"")</f>
        <v/>
      </c>
      <c r="X71" s="68"/>
      <c r="Y71" s="69" t="str">
        <f>IFERROR(VLOOKUP(TableAOPTarget[[#This Row],[Forecasted Finish Date]],TableAopCalendar[[Date]:[Concatenate Month &amp; Week]],7,FALSE),"")</f>
        <v/>
      </c>
      <c r="Z71" s="68"/>
      <c r="AA71" s="65" t="str">
        <f>IF(OR(TableAOPTarget[[#This Row],[EPC Status]]="EPC Ready",TableAOPTarget[[#This Row],[EPC Status]]="WIP",TableAOPTarget[[#This Row],[EPC Status]]="YTS"),INDEX(TableAopCalendar[Concatenate Month &amp; Plan],MATCH(TableAOPTarget[[#This Row],[Planned Finish Date]],TableAopCalendar[Date],0))," ")</f>
        <v xml:space="preserve"> </v>
      </c>
      <c r="AB71" s="65" t="str">
        <f>IF(TableAOPTarget[[#This Row],[EPC Status]]="EPC Ready",INDEX(TableAopCalendar[Month for Plan],MATCH(TableAOPTarget[[#This Row],[Actual Finish Date]],TableAopCalendar[Date],0))," ")</f>
        <v xml:space="preserve"> </v>
      </c>
      <c r="AC71" s="70" t="s">
        <v>505</v>
      </c>
      <c r="AD71" s="63" t="str">
        <f>VLOOKUP(TableAOPTarget[[#This Row],[Site Name]],[17]Backup!$E:$F,2,0)</f>
        <v>11. HOLD</v>
      </c>
      <c r="AE71" s="71"/>
      <c r="AF71" s="60" t="str">
        <f>VLOOKUP(TableAOPTarget[[#This Row],[Site Name]],[17]Backup!$E:$GG,185,0)</f>
        <v>2026-2027</v>
      </c>
    </row>
    <row r="72" spans="1:32" x14ac:dyDescent="0.3">
      <c r="A72" s="64" t="s">
        <v>391</v>
      </c>
      <c r="B72" s="64">
        <v>71</v>
      </c>
      <c r="C72" s="87" t="s">
        <v>63</v>
      </c>
      <c r="D72" s="63" t="s">
        <v>224</v>
      </c>
      <c r="E72" s="65" t="s">
        <v>568</v>
      </c>
      <c r="F72" s="66" t="s">
        <v>341</v>
      </c>
      <c r="G72" s="66" t="s">
        <v>342</v>
      </c>
      <c r="H72" s="66" t="s">
        <v>343</v>
      </c>
      <c r="I72" s="66" t="s">
        <v>386</v>
      </c>
      <c r="J72" s="59" t="s">
        <v>424</v>
      </c>
      <c r="K72" s="65" t="s">
        <v>425</v>
      </c>
      <c r="L72" s="67">
        <v>970</v>
      </c>
      <c r="M72" s="65" t="s">
        <v>535</v>
      </c>
      <c r="N72" s="65"/>
      <c r="O72" s="68">
        <v>44868</v>
      </c>
      <c r="P72" s="69" t="str">
        <f>IFERROR(VLOOKUP(TableAOPTarget[[#This Row],[RFC Date]],TableAopCalendar[[Date]:[Concatenate Month &amp; Week]],7,FALSE),"")</f>
        <v>November 22 Week 1</v>
      </c>
      <c r="Q72" s="68"/>
      <c r="R72" s="69" t="str">
        <f>IFERROR(VLOOKUP(TableAOPTarget[[#This Row],[Actual Start Date]],TableAopCalendar[[Date]:[Concatenate Month &amp; Week]],7,FALSE),"")</f>
        <v/>
      </c>
      <c r="S72" s="69">
        <v>15</v>
      </c>
      <c r="T72" s="68">
        <f>TableAOPTarget[[#This Row],[Actual Start Date]]+TableAOPTarget[[#This Row],[Standard Duration]]</f>
        <v>15</v>
      </c>
      <c r="U72" s="65" t="str">
        <f>IFERROR(VLOOKUP(TableAOPTarget[[#This Row],[Planned Finish Date]],TableAopCalendar[[Date]:[Concatenate Month &amp; Week]],7,FALSE),"")</f>
        <v/>
      </c>
      <c r="V72" s="68"/>
      <c r="W72" s="65" t="str">
        <f>IFERROR(VLOOKUP(TableAOPTarget[[#This Row],[Actual Finish Date]],TableAopCalendar[[Date]:[Concatenate Month &amp; Week]],7,FALSE),"")</f>
        <v/>
      </c>
      <c r="X72" s="68"/>
      <c r="Y72" s="69" t="str">
        <f>IFERROR(VLOOKUP(TableAOPTarget[[#This Row],[Forecasted Finish Date]],TableAopCalendar[[Date]:[Concatenate Month &amp; Week]],7,FALSE),"")</f>
        <v/>
      </c>
      <c r="Z72" s="68"/>
      <c r="AA72" s="65" t="str">
        <f>IF(OR(TableAOPTarget[[#This Row],[EPC Status]]="EPC Ready",TableAOPTarget[[#This Row],[EPC Status]]="WIP",TableAOPTarget[[#This Row],[EPC Status]]="YTS"),INDEX(TableAopCalendar[Concatenate Month &amp; Plan],MATCH(TableAOPTarget[[#This Row],[Planned Finish Date]],TableAopCalendar[Date],0))," ")</f>
        <v xml:space="preserve"> </v>
      </c>
      <c r="AB72" s="65" t="str">
        <f>IF(TableAOPTarget[[#This Row],[EPC Status]]="EPC Ready",INDEX(TableAopCalendar[Month for Plan],MATCH(TableAOPTarget[[#This Row],[Actual Finish Date]],TableAopCalendar[Date],0))," ")</f>
        <v xml:space="preserve"> </v>
      </c>
      <c r="AC72" s="70" t="s">
        <v>505</v>
      </c>
      <c r="AD72" s="63" t="str">
        <f>VLOOKUP(TableAOPTarget[[#This Row],[Site Name]],[17]Backup!$E:$F,2,0)</f>
        <v>11. HOLD</v>
      </c>
      <c r="AE72" s="71"/>
      <c r="AF72" s="60" t="str">
        <f>VLOOKUP(TableAOPTarget[[#This Row],[Site Name]],[17]Backup!$E:$GG,185,0)</f>
        <v>2026-2027</v>
      </c>
    </row>
    <row r="73" spans="1:32" ht="31.2" x14ac:dyDescent="0.3">
      <c r="A73" s="64" t="s">
        <v>392</v>
      </c>
      <c r="B73" s="64">
        <v>72</v>
      </c>
      <c r="C73" s="87" t="s">
        <v>63</v>
      </c>
      <c r="D73" s="63" t="s">
        <v>224</v>
      </c>
      <c r="E73" s="65" t="s">
        <v>568</v>
      </c>
      <c r="F73" s="66" t="s">
        <v>341</v>
      </c>
      <c r="G73" s="66" t="s">
        <v>342</v>
      </c>
      <c r="H73" s="66" t="s">
        <v>343</v>
      </c>
      <c r="I73" s="66" t="s">
        <v>353</v>
      </c>
      <c r="J73" s="59" t="s">
        <v>426</v>
      </c>
      <c r="K73" s="65" t="s">
        <v>427</v>
      </c>
      <c r="L73" s="67">
        <v>750</v>
      </c>
      <c r="M73" s="65"/>
      <c r="N73" s="65"/>
      <c r="O73" s="68">
        <v>44915</v>
      </c>
      <c r="P73" s="69" t="str">
        <f>IFERROR(VLOOKUP(TableAOPTarget[[#This Row],[RFC Date]],TableAopCalendar[[Date]:[Concatenate Month &amp; Week]],7,FALSE),"")</f>
        <v>December 22 Week 3</v>
      </c>
      <c r="Q73" s="68"/>
      <c r="R73" s="69" t="str">
        <f>IFERROR(VLOOKUP(TableAOPTarget[[#This Row],[Actual Start Date]],TableAopCalendar[[Date]:[Concatenate Month &amp; Week]],7,FALSE),"")</f>
        <v/>
      </c>
      <c r="S73" s="69">
        <v>15</v>
      </c>
      <c r="T73" s="68">
        <f>TableAOPTarget[[#This Row],[Actual Start Date]]+TableAOPTarget[[#This Row],[Standard Duration]]</f>
        <v>15</v>
      </c>
      <c r="U73" s="65" t="str">
        <f>IFERROR(VLOOKUP(TableAOPTarget[[#This Row],[Planned Finish Date]],TableAopCalendar[[Date]:[Concatenate Month &amp; Week]],7,FALSE),"")</f>
        <v/>
      </c>
      <c r="V73" s="68"/>
      <c r="W73" s="65" t="str">
        <f>IFERROR(VLOOKUP(TableAOPTarget[[#This Row],[Actual Finish Date]],TableAopCalendar[[Date]:[Concatenate Month &amp; Week]],7,FALSE),"")</f>
        <v/>
      </c>
      <c r="X73" s="68"/>
      <c r="Y73" s="69" t="str">
        <f>IFERROR(VLOOKUP(TableAOPTarget[[#This Row],[Forecasted Finish Date]],TableAopCalendar[[Date]:[Concatenate Month &amp; Week]],7,FALSE),"")</f>
        <v/>
      </c>
      <c r="Z73" s="68"/>
      <c r="AA73" s="65" t="str">
        <f>IF(OR(TableAOPTarget[[#This Row],[EPC Status]]="EPC Ready",TableAOPTarget[[#This Row],[EPC Status]]="WIP",TableAOPTarget[[#This Row],[EPC Status]]="YTS"),INDEX(TableAopCalendar[Concatenate Month &amp; Plan],MATCH(TableAOPTarget[[#This Row],[Planned Finish Date]],TableAopCalendar[Date],0))," ")</f>
        <v xml:space="preserve"> </v>
      </c>
      <c r="AB73" s="65" t="str">
        <f>IF(TableAOPTarget[[#This Row],[EPC Status]]="EPC Ready",INDEX(TableAopCalendar[Month for Plan],MATCH(TableAOPTarget[[#This Row],[Actual Finish Date]],TableAopCalendar[Date],0))," ")</f>
        <v xml:space="preserve"> </v>
      </c>
      <c r="AC73" s="70" t="s">
        <v>505</v>
      </c>
      <c r="AD73" s="63" t="str">
        <f>VLOOKUP(TableAOPTarget[[#This Row],[Site Name]],[17]Backup!$E:$F,2,0)</f>
        <v>11. HOLD</v>
      </c>
      <c r="AE73" s="71"/>
      <c r="AF73" s="60" t="str">
        <f>VLOOKUP(TableAOPTarget[[#This Row],[Site Name]],[17]Backup!$E:$GG,185,0)</f>
        <v>2026-2027</v>
      </c>
    </row>
    <row r="74" spans="1:32" ht="31.2" x14ac:dyDescent="0.3">
      <c r="A74" s="64" t="s">
        <v>393</v>
      </c>
      <c r="B74" s="64">
        <v>73</v>
      </c>
      <c r="C74" s="87" t="s">
        <v>63</v>
      </c>
      <c r="D74" s="63" t="s">
        <v>224</v>
      </c>
      <c r="E74" s="65" t="s">
        <v>568</v>
      </c>
      <c r="F74" s="66" t="s">
        <v>341</v>
      </c>
      <c r="G74" s="66" t="s">
        <v>342</v>
      </c>
      <c r="H74" s="66" t="s">
        <v>343</v>
      </c>
      <c r="I74" s="66" t="s">
        <v>353</v>
      </c>
      <c r="J74" s="59" t="s">
        <v>428</v>
      </c>
      <c r="K74" s="65" t="s">
        <v>429</v>
      </c>
      <c r="L74" s="67">
        <v>895</v>
      </c>
      <c r="M74" s="65"/>
      <c r="N74" s="65"/>
      <c r="O74" s="68">
        <v>44909</v>
      </c>
      <c r="P74" s="69" t="str">
        <f>IFERROR(VLOOKUP(TableAOPTarget[[#This Row],[RFC Date]],TableAopCalendar[[Date]:[Concatenate Month &amp; Week]],7,FALSE),"")</f>
        <v>December 22 Week 2</v>
      </c>
      <c r="Q74" s="68"/>
      <c r="R74" s="69" t="str">
        <f>IFERROR(VLOOKUP(TableAOPTarget[[#This Row],[Actual Start Date]],TableAopCalendar[[Date]:[Concatenate Month &amp; Week]],7,FALSE),"")</f>
        <v/>
      </c>
      <c r="S74" s="69">
        <v>15</v>
      </c>
      <c r="T74" s="68">
        <f>TableAOPTarget[[#This Row],[Actual Start Date]]+TableAOPTarget[[#This Row],[Standard Duration]]</f>
        <v>15</v>
      </c>
      <c r="U74" s="65" t="str">
        <f>IFERROR(VLOOKUP(TableAOPTarget[[#This Row],[Planned Finish Date]],TableAopCalendar[[Date]:[Concatenate Month &amp; Week]],7,FALSE),"")</f>
        <v/>
      </c>
      <c r="V74" s="68"/>
      <c r="W74" s="65" t="str">
        <f>IFERROR(VLOOKUP(TableAOPTarget[[#This Row],[Actual Finish Date]],TableAopCalendar[[Date]:[Concatenate Month &amp; Week]],7,FALSE),"")</f>
        <v/>
      </c>
      <c r="X74" s="68"/>
      <c r="Y74" s="69" t="str">
        <f>IFERROR(VLOOKUP(TableAOPTarget[[#This Row],[Forecasted Finish Date]],TableAopCalendar[[Date]:[Concatenate Month &amp; Week]],7,FALSE),"")</f>
        <v/>
      </c>
      <c r="Z74" s="68"/>
      <c r="AA74" s="65" t="str">
        <f>IF(OR(TableAOPTarget[[#This Row],[EPC Status]]="EPC Ready",TableAOPTarget[[#This Row],[EPC Status]]="WIP",TableAOPTarget[[#This Row],[EPC Status]]="YTS"),INDEX(TableAopCalendar[Concatenate Month &amp; Plan],MATCH(TableAOPTarget[[#This Row],[Planned Finish Date]],TableAopCalendar[Date],0))," ")</f>
        <v xml:space="preserve"> </v>
      </c>
      <c r="AB74" s="65" t="str">
        <f>IF(TableAOPTarget[[#This Row],[EPC Status]]="EPC Ready",INDEX(TableAopCalendar[Month for Plan],MATCH(TableAOPTarget[[#This Row],[Actual Finish Date]],TableAopCalendar[Date],0))," ")</f>
        <v xml:space="preserve"> </v>
      </c>
      <c r="AC74" s="70" t="s">
        <v>505</v>
      </c>
      <c r="AD74" s="63" t="str">
        <f>VLOOKUP(TableAOPTarget[[#This Row],[Site Name]],[17]Backup!$E:$F,2,0)</f>
        <v>11. HOLD</v>
      </c>
      <c r="AE74" s="71"/>
      <c r="AF74" s="60" t="str">
        <f>VLOOKUP(TableAOPTarget[[#This Row],[Site Name]],[17]Backup!$E:$GG,185,0)</f>
        <v>2026-2027</v>
      </c>
    </row>
    <row r="75" spans="1:32" x14ac:dyDescent="0.3">
      <c r="A75" s="64" t="s">
        <v>394</v>
      </c>
      <c r="B75" s="64">
        <v>74</v>
      </c>
      <c r="C75" s="87" t="s">
        <v>63</v>
      </c>
      <c r="D75" s="63" t="s">
        <v>224</v>
      </c>
      <c r="E75" s="65" t="s">
        <v>568</v>
      </c>
      <c r="F75" s="66" t="s">
        <v>341</v>
      </c>
      <c r="G75" s="66" t="s">
        <v>346</v>
      </c>
      <c r="H75" s="66" t="s">
        <v>347</v>
      </c>
      <c r="I75" s="66" t="s">
        <v>357</v>
      </c>
      <c r="J75" s="59" t="s">
        <v>430</v>
      </c>
      <c r="K75" s="65" t="s">
        <v>431</v>
      </c>
      <c r="L75" s="67">
        <v>1000</v>
      </c>
      <c r="M75" s="65"/>
      <c r="N75" s="65"/>
      <c r="O75" s="68">
        <v>45005</v>
      </c>
      <c r="P75" s="69" t="str">
        <f>IFERROR(VLOOKUP(TableAOPTarget[[#This Row],[RFC Date]],TableAopCalendar[[Date]:[Concatenate Month &amp; Week]],7,FALSE),"")</f>
        <v>March 23 Week 3</v>
      </c>
      <c r="Q75" s="68"/>
      <c r="R75" s="69" t="str">
        <f>IFERROR(VLOOKUP(TableAOPTarget[[#This Row],[Actual Start Date]],TableAopCalendar[[Date]:[Concatenate Month &amp; Week]],7,FALSE),"")</f>
        <v/>
      </c>
      <c r="S75" s="69">
        <v>15</v>
      </c>
      <c r="T75" s="68">
        <f>TableAOPTarget[[#This Row],[Actual Start Date]]+TableAOPTarget[[#This Row],[Standard Duration]]</f>
        <v>15</v>
      </c>
      <c r="U75" s="65" t="str">
        <f>IFERROR(VLOOKUP(TableAOPTarget[[#This Row],[Planned Finish Date]],TableAopCalendar[[Date]:[Concatenate Month &amp; Week]],7,FALSE),"")</f>
        <v/>
      </c>
      <c r="V75" s="68"/>
      <c r="W75" s="65" t="str">
        <f>IFERROR(VLOOKUP(TableAOPTarget[[#This Row],[Actual Finish Date]],TableAopCalendar[[Date]:[Concatenate Month &amp; Week]],7,FALSE),"")</f>
        <v/>
      </c>
      <c r="X75" s="68"/>
      <c r="Y75" s="69" t="str">
        <f>IFERROR(VLOOKUP(TableAOPTarget[[#This Row],[Forecasted Finish Date]],TableAopCalendar[[Date]:[Concatenate Month &amp; Week]],7,FALSE),"")</f>
        <v/>
      </c>
      <c r="Z75" s="68"/>
      <c r="AA75" s="65" t="str">
        <f>IF(OR(TableAOPTarget[[#This Row],[EPC Status]]="EPC Ready",TableAOPTarget[[#This Row],[EPC Status]]="WIP",TableAOPTarget[[#This Row],[EPC Status]]="YTS"),INDEX(TableAopCalendar[Concatenate Month &amp; Plan],MATCH(TableAOPTarget[[#This Row],[Planned Finish Date]],TableAopCalendar[Date],0))," ")</f>
        <v xml:space="preserve"> </v>
      </c>
      <c r="AB75" s="65" t="str">
        <f>IF(TableAOPTarget[[#This Row],[EPC Status]]="EPC Ready",INDEX(TableAopCalendar[Month for Plan],MATCH(TableAOPTarget[[#This Row],[Actual Finish Date]],TableAopCalendar[Date],0))," ")</f>
        <v xml:space="preserve"> </v>
      </c>
      <c r="AC75" s="70" t="s">
        <v>505</v>
      </c>
      <c r="AD75" s="63" t="str">
        <f>VLOOKUP(TableAOPTarget[[#This Row],[Site Name]],[17]Backup!$E:$F,2,0)</f>
        <v>11. HOLD</v>
      </c>
      <c r="AE75" s="71"/>
      <c r="AF75" s="60" t="str">
        <f>VLOOKUP(TableAOPTarget[[#This Row],[Site Name]],[17]Backup!$E:$GG,185,0)</f>
        <v>2026-2027</v>
      </c>
    </row>
    <row r="76" spans="1:32" ht="46.8" x14ac:dyDescent="0.3">
      <c r="A76" s="64" t="s">
        <v>340</v>
      </c>
      <c r="B76" s="64">
        <v>75</v>
      </c>
      <c r="C76" s="87" t="s">
        <v>63</v>
      </c>
      <c r="D76" s="63" t="s">
        <v>224</v>
      </c>
      <c r="E76" s="65" t="s">
        <v>212</v>
      </c>
      <c r="F76" s="66" t="s">
        <v>352</v>
      </c>
      <c r="G76" s="66" t="s">
        <v>348</v>
      </c>
      <c r="H76" s="66" t="s">
        <v>351</v>
      </c>
      <c r="I76" s="66" t="s">
        <v>361</v>
      </c>
      <c r="J76" s="59" t="s">
        <v>374</v>
      </c>
      <c r="K76" s="65" t="s">
        <v>375</v>
      </c>
      <c r="L76" s="67">
        <v>400</v>
      </c>
      <c r="M76" s="65" t="s">
        <v>376</v>
      </c>
      <c r="N76" s="65" t="s">
        <v>377</v>
      </c>
      <c r="O76" s="68">
        <v>45377</v>
      </c>
      <c r="P76" s="69" t="str">
        <f>IFERROR(VLOOKUP(TableAOPTarget[[#This Row],[RFC Date]],TableAopCalendar[[Date]:[Concatenate Month &amp; Week]],7,FALSE),"")</f>
        <v>March 24 Week 4</v>
      </c>
      <c r="Q76" s="68">
        <v>45377</v>
      </c>
      <c r="R76" s="69" t="str">
        <f>IFERROR(VLOOKUP(TableAOPTarget[[#This Row],[Actual Start Date]],TableAopCalendar[[Date]:[Concatenate Month &amp; Week]],7,FALSE),"")</f>
        <v>March 24 Week 4</v>
      </c>
      <c r="S76" s="69">
        <v>7</v>
      </c>
      <c r="T76" s="68">
        <f>TableAOPTarget[[#This Row],[Actual Start Date]]+TableAOPTarget[[#This Row],[Standard Duration]]</f>
        <v>45384</v>
      </c>
      <c r="U76" s="65" t="str">
        <f>IFERROR(VLOOKUP(TableAOPTarget[[#This Row],[Planned Finish Date]],TableAopCalendar[[Date]:[Concatenate Month &amp; Week]],7,FALSE),"")</f>
        <v>April 24 Week 1</v>
      </c>
      <c r="V76" s="68"/>
      <c r="W76" s="65" t="str">
        <f>IFERROR(VLOOKUP(TableAOPTarget[[#This Row],[Actual Finish Date]],TableAopCalendar[[Date]:[Concatenate Month &amp; Week]],7,FALSE),"")</f>
        <v/>
      </c>
      <c r="X76" s="68">
        <v>45381</v>
      </c>
      <c r="Y76" s="69" t="str">
        <f>IFERROR(VLOOKUP(TableAOPTarget[[#This Row],[Forecasted Finish Date]],TableAopCalendar[[Date]:[Concatenate Month &amp; Week]],7,FALSE),"")</f>
        <v>March 24 Week 5</v>
      </c>
      <c r="Z76" s="68"/>
      <c r="AA76" s="65" t="str">
        <f>IF(OR(TableAOPTarget[[#This Row],[EPC Status]]="EPC Ready",TableAOPTarget[[#This Row],[EPC Status]]="WIP",TableAOPTarget[[#This Row],[EPC Status]]="YTS"),INDEX(TableAopCalendar[Concatenate Month &amp; Plan],MATCH(TableAOPTarget[[#This Row],[Planned Finish Date]],TableAopCalendar[Date],0))," ")</f>
        <v xml:space="preserve"> </v>
      </c>
      <c r="AB76" s="65" t="str">
        <f>IF(TableAOPTarget[[#This Row],[EPC Status]]="EPC Ready",INDEX(TableAopCalendar[Month for Plan],MATCH(TableAOPTarget[[#This Row],[Actual Finish Date]],TableAopCalendar[Date],0))," ")</f>
        <v xml:space="preserve"> </v>
      </c>
      <c r="AC76" s="70" t="s">
        <v>505</v>
      </c>
      <c r="AD76" s="63" t="str">
        <f>VLOOKUP(TableAOPTarget[[#This Row],[Site Name]],[17]Backup!$E:$F,2,0)</f>
        <v>11. HOLD</v>
      </c>
      <c r="AE76" s="71"/>
      <c r="AF76" s="60" t="str">
        <f>VLOOKUP(TableAOPTarget[[#This Row],[Site Name]],[17]Backup!$E:$GG,185,0)</f>
        <v>2026-2027</v>
      </c>
    </row>
    <row r="77" spans="1:32" ht="46.8" x14ac:dyDescent="0.3">
      <c r="A77" s="64" t="s">
        <v>395</v>
      </c>
      <c r="B77" s="64">
        <v>76</v>
      </c>
      <c r="C77" s="87" t="s">
        <v>63</v>
      </c>
      <c r="D77" s="63" t="s">
        <v>224</v>
      </c>
      <c r="E77" s="65" t="s">
        <v>212</v>
      </c>
      <c r="F77" s="66" t="s">
        <v>352</v>
      </c>
      <c r="G77" s="66" t="s">
        <v>348</v>
      </c>
      <c r="H77" s="66" t="s">
        <v>349</v>
      </c>
      <c r="I77" s="66" t="s">
        <v>358</v>
      </c>
      <c r="J77" s="59" t="s">
        <v>432</v>
      </c>
      <c r="K77" s="65" t="s">
        <v>462</v>
      </c>
      <c r="L77" s="67">
        <v>400</v>
      </c>
      <c r="M77" s="65" t="s">
        <v>536</v>
      </c>
      <c r="N77" s="65"/>
      <c r="O77" s="68"/>
      <c r="P77" s="69" t="str">
        <f>IFERROR(VLOOKUP(TableAOPTarget[[#This Row],[RFC Date]],TableAopCalendar[[Date]:[Concatenate Month &amp; Week]],7,FALSE),"")</f>
        <v/>
      </c>
      <c r="Q77" s="68"/>
      <c r="R77" s="69" t="str">
        <f>IFERROR(VLOOKUP(TableAOPTarget[[#This Row],[Actual Start Date]],TableAopCalendar[[Date]:[Concatenate Month &amp; Week]],7,FALSE),"")</f>
        <v/>
      </c>
      <c r="S77" s="69">
        <v>0</v>
      </c>
      <c r="T77" s="68">
        <f>TableAOPTarget[[#This Row],[Actual Start Date]]+TableAOPTarget[[#This Row],[Standard Duration]]</f>
        <v>0</v>
      </c>
      <c r="U77" s="65" t="str">
        <f>IFERROR(VLOOKUP(TableAOPTarget[[#This Row],[Planned Finish Date]],TableAopCalendar[[Date]:[Concatenate Month &amp; Week]],7,FALSE),"")</f>
        <v/>
      </c>
      <c r="V77" s="68"/>
      <c r="W77" s="65" t="str">
        <f>IFERROR(VLOOKUP(TableAOPTarget[[#This Row],[Actual Finish Date]],TableAopCalendar[[Date]:[Concatenate Month &amp; Week]],7,FALSE),"")</f>
        <v/>
      </c>
      <c r="X77" s="68"/>
      <c r="Y77" s="69" t="str">
        <f>IFERROR(VLOOKUP(TableAOPTarget[[#This Row],[Forecasted Finish Date]],TableAopCalendar[[Date]:[Concatenate Month &amp; Week]],7,FALSE),"")</f>
        <v/>
      </c>
      <c r="Z77" s="68"/>
      <c r="AA77" s="65" t="str">
        <f>IF(OR(TableAOPTarget[[#This Row],[EPC Status]]="EPC Ready",TableAOPTarget[[#This Row],[EPC Status]]="WIP",TableAOPTarget[[#This Row],[EPC Status]]="YTS"),INDEX(TableAopCalendar[Concatenate Month &amp; Plan],MATCH(TableAOPTarget[[#This Row],[Planned Finish Date]],TableAopCalendar[Date],0))," ")</f>
        <v xml:space="preserve"> </v>
      </c>
      <c r="AB77" s="65" t="str">
        <f>IF(TableAOPTarget[[#This Row],[EPC Status]]="EPC Ready",INDEX(TableAopCalendar[Month for Plan],MATCH(TableAOPTarget[[#This Row],[Actual Finish Date]],TableAopCalendar[Date],0))," ")</f>
        <v xml:space="preserve"> </v>
      </c>
      <c r="AC77" s="70" t="s">
        <v>505</v>
      </c>
      <c r="AD77" s="63" t="str">
        <f>VLOOKUP(TableAOPTarget[[#This Row],[Site Name]],[17]Backup!$E:$F,2,0)</f>
        <v>11. HOLD</v>
      </c>
      <c r="AE77" s="71"/>
      <c r="AF77" s="60" t="str">
        <f>VLOOKUP(TableAOPTarget[[#This Row],[Site Name]],[17]Backup!$E:$GG,185,0)</f>
        <v>2026-2027</v>
      </c>
    </row>
    <row r="78" spans="1:32" ht="46.8" x14ac:dyDescent="0.3">
      <c r="A78" s="64" t="s">
        <v>396</v>
      </c>
      <c r="B78" s="64">
        <v>77</v>
      </c>
      <c r="C78" s="87" t="s">
        <v>63</v>
      </c>
      <c r="D78" s="63" t="s">
        <v>224</v>
      </c>
      <c r="E78" s="65" t="s">
        <v>212</v>
      </c>
      <c r="F78" s="66" t="s">
        <v>352</v>
      </c>
      <c r="G78" s="66" t="s">
        <v>346</v>
      </c>
      <c r="H78" s="66" t="s">
        <v>347</v>
      </c>
      <c r="I78" s="66" t="s">
        <v>357</v>
      </c>
      <c r="J78" s="59" t="s">
        <v>433</v>
      </c>
      <c r="K78" s="65" t="s">
        <v>463</v>
      </c>
      <c r="L78" s="67">
        <v>400</v>
      </c>
      <c r="M78" s="65" t="s">
        <v>537</v>
      </c>
      <c r="N78" s="65"/>
      <c r="O78" s="68"/>
      <c r="P78" s="69" t="str">
        <f>IFERROR(VLOOKUP(TableAOPTarget[[#This Row],[RFC Date]],TableAopCalendar[[Date]:[Concatenate Month &amp; Week]],7,FALSE),"")</f>
        <v/>
      </c>
      <c r="Q78" s="68"/>
      <c r="R78" s="69" t="str">
        <f>IFERROR(VLOOKUP(TableAOPTarget[[#This Row],[Actual Start Date]],TableAopCalendar[[Date]:[Concatenate Month &amp; Week]],7,FALSE),"")</f>
        <v/>
      </c>
      <c r="S78" s="69">
        <v>0</v>
      </c>
      <c r="T78" s="68">
        <f>TableAOPTarget[[#This Row],[Actual Start Date]]+TableAOPTarget[[#This Row],[Standard Duration]]</f>
        <v>0</v>
      </c>
      <c r="U78" s="65" t="str">
        <f>IFERROR(VLOOKUP(TableAOPTarget[[#This Row],[Planned Finish Date]],TableAopCalendar[[Date]:[Concatenate Month &amp; Week]],7,FALSE),"")</f>
        <v/>
      </c>
      <c r="V78" s="68"/>
      <c r="W78" s="65" t="str">
        <f>IFERROR(VLOOKUP(TableAOPTarget[[#This Row],[Actual Finish Date]],TableAopCalendar[[Date]:[Concatenate Month &amp; Week]],7,FALSE),"")</f>
        <v/>
      </c>
      <c r="X78" s="68"/>
      <c r="Y78" s="69" t="str">
        <f>IFERROR(VLOOKUP(TableAOPTarget[[#This Row],[Forecasted Finish Date]],TableAopCalendar[[Date]:[Concatenate Month &amp; Week]],7,FALSE),"")</f>
        <v/>
      </c>
      <c r="Z78" s="68"/>
      <c r="AA78" s="65" t="str">
        <f>IF(OR(TableAOPTarget[[#This Row],[EPC Status]]="EPC Ready",TableAOPTarget[[#This Row],[EPC Status]]="WIP",TableAOPTarget[[#This Row],[EPC Status]]="YTS"),INDEX(TableAopCalendar[Concatenate Month &amp; Plan],MATCH(TableAOPTarget[[#This Row],[Planned Finish Date]],TableAopCalendar[Date],0))," ")</f>
        <v xml:space="preserve"> </v>
      </c>
      <c r="AB78" s="65" t="str">
        <f>IF(TableAOPTarget[[#This Row],[EPC Status]]="EPC Ready",INDEX(TableAopCalendar[Month for Plan],MATCH(TableAOPTarget[[#This Row],[Actual Finish Date]],TableAopCalendar[Date],0))," ")</f>
        <v xml:space="preserve"> </v>
      </c>
      <c r="AC78" s="70" t="s">
        <v>505</v>
      </c>
      <c r="AD78" s="63" t="str">
        <f>VLOOKUP(TableAOPTarget[[#This Row],[Site Name]],[17]Backup!$E:$F,2,0)</f>
        <v>11. HOLD</v>
      </c>
      <c r="AE78" s="71"/>
      <c r="AF78" s="60" t="str">
        <f>VLOOKUP(TableAOPTarget[[#This Row],[Site Name]],[17]Backup!$E:$GG,185,0)</f>
        <v>2026-2027</v>
      </c>
    </row>
    <row r="79" spans="1:32" ht="19.2" customHeight="1" x14ac:dyDescent="0.3">
      <c r="A79" s="64" t="s">
        <v>397</v>
      </c>
      <c r="B79" s="64">
        <v>78</v>
      </c>
      <c r="C79" s="87" t="s">
        <v>63</v>
      </c>
      <c r="D79" s="63" t="s">
        <v>224</v>
      </c>
      <c r="E79" s="65" t="s">
        <v>212</v>
      </c>
      <c r="F79" s="66" t="s">
        <v>352</v>
      </c>
      <c r="G79" s="66" t="s">
        <v>348</v>
      </c>
      <c r="H79" s="66" t="s">
        <v>349</v>
      </c>
      <c r="I79" s="66" t="s">
        <v>358</v>
      </c>
      <c r="J79" s="59" t="s">
        <v>434</v>
      </c>
      <c r="K79" s="65" t="s">
        <v>464</v>
      </c>
      <c r="L79" s="67">
        <v>400</v>
      </c>
      <c r="M79" s="65" t="s">
        <v>538</v>
      </c>
      <c r="N79" s="65"/>
      <c r="O79" s="68"/>
      <c r="P79" s="69" t="str">
        <f>IFERROR(VLOOKUP(TableAOPTarget[[#This Row],[RFC Date]],TableAopCalendar[[Date]:[Concatenate Month &amp; Week]],7,FALSE),"")</f>
        <v/>
      </c>
      <c r="Q79" s="68"/>
      <c r="R79" s="69" t="str">
        <f>IFERROR(VLOOKUP(TableAOPTarget[[#This Row],[Actual Start Date]],TableAopCalendar[[Date]:[Concatenate Month &amp; Week]],7,FALSE),"")</f>
        <v/>
      </c>
      <c r="S79" s="69">
        <v>0</v>
      </c>
      <c r="T79" s="68">
        <f>TableAOPTarget[[#This Row],[Actual Start Date]]+TableAOPTarget[[#This Row],[Standard Duration]]</f>
        <v>0</v>
      </c>
      <c r="U79" s="65" t="str">
        <f>IFERROR(VLOOKUP(TableAOPTarget[[#This Row],[Planned Finish Date]],TableAopCalendar[[Date]:[Concatenate Month &amp; Week]],7,FALSE),"")</f>
        <v/>
      </c>
      <c r="V79" s="68"/>
      <c r="W79" s="65" t="str">
        <f>IFERROR(VLOOKUP(TableAOPTarget[[#This Row],[Actual Finish Date]],TableAopCalendar[[Date]:[Concatenate Month &amp; Week]],7,FALSE),"")</f>
        <v/>
      </c>
      <c r="X79" s="68"/>
      <c r="Y79" s="69" t="str">
        <f>IFERROR(VLOOKUP(TableAOPTarget[[#This Row],[Forecasted Finish Date]],TableAopCalendar[[Date]:[Concatenate Month &amp; Week]],7,FALSE),"")</f>
        <v/>
      </c>
      <c r="Z79" s="68"/>
      <c r="AA79" s="65" t="str">
        <f>IF(OR(TableAOPTarget[[#This Row],[EPC Status]]="EPC Ready",TableAOPTarget[[#This Row],[EPC Status]]="WIP",TableAOPTarget[[#This Row],[EPC Status]]="YTS"),INDEX(TableAopCalendar[Concatenate Month &amp; Plan],MATCH(TableAOPTarget[[#This Row],[Planned Finish Date]],TableAopCalendar[Date],0))," ")</f>
        <v xml:space="preserve"> </v>
      </c>
      <c r="AB79" s="65" t="str">
        <f>IF(TableAOPTarget[[#This Row],[EPC Status]]="EPC Ready",INDEX(TableAopCalendar[Month for Plan],MATCH(TableAOPTarget[[#This Row],[Actual Finish Date]],TableAopCalendar[Date],0))," ")</f>
        <v xml:space="preserve"> </v>
      </c>
      <c r="AC79" s="70" t="s">
        <v>505</v>
      </c>
      <c r="AD79" s="63" t="str">
        <f>VLOOKUP(TableAOPTarget[[#This Row],[Site Name]],[17]Backup!$E:$F,2,0)</f>
        <v>11. HOLD</v>
      </c>
      <c r="AE79" s="71"/>
      <c r="AF79" s="60" t="str">
        <f>VLOOKUP(TableAOPTarget[[#This Row],[Site Name]],[17]Backup!$E:$GG,185,0)</f>
        <v>2026-2027</v>
      </c>
    </row>
    <row r="80" spans="1:32" ht="46.8" x14ac:dyDescent="0.3">
      <c r="A80" s="64" t="s">
        <v>398</v>
      </c>
      <c r="B80" s="64">
        <v>79</v>
      </c>
      <c r="C80" s="87" t="s">
        <v>63</v>
      </c>
      <c r="D80" s="63" t="s">
        <v>224</v>
      </c>
      <c r="E80" s="65" t="s">
        <v>212</v>
      </c>
      <c r="F80" s="66" t="s">
        <v>352</v>
      </c>
      <c r="G80" s="66" t="s">
        <v>346</v>
      </c>
      <c r="H80" s="66" t="s">
        <v>347</v>
      </c>
      <c r="I80" s="66" t="s">
        <v>363</v>
      </c>
      <c r="J80" s="59" t="s">
        <v>435</v>
      </c>
      <c r="K80" s="65" t="s">
        <v>465</v>
      </c>
      <c r="L80" s="67">
        <v>401</v>
      </c>
      <c r="M80" s="65" t="s">
        <v>539</v>
      </c>
      <c r="N80" s="65"/>
      <c r="O80" s="68"/>
      <c r="P80" s="69" t="str">
        <f>IFERROR(VLOOKUP(TableAOPTarget[[#This Row],[RFC Date]],TableAopCalendar[[Date]:[Concatenate Month &amp; Week]],7,FALSE),"")</f>
        <v/>
      </c>
      <c r="Q80" s="68"/>
      <c r="R80" s="69" t="str">
        <f>IFERROR(VLOOKUP(TableAOPTarget[[#This Row],[Actual Start Date]],TableAopCalendar[[Date]:[Concatenate Month &amp; Week]],7,FALSE),"")</f>
        <v/>
      </c>
      <c r="S80" s="69">
        <v>0</v>
      </c>
      <c r="T80" s="68">
        <f>TableAOPTarget[[#This Row],[Actual Start Date]]+TableAOPTarget[[#This Row],[Standard Duration]]</f>
        <v>0</v>
      </c>
      <c r="U80" s="65" t="str">
        <f>IFERROR(VLOOKUP(TableAOPTarget[[#This Row],[Planned Finish Date]],TableAopCalendar[[Date]:[Concatenate Month &amp; Week]],7,FALSE),"")</f>
        <v/>
      </c>
      <c r="V80" s="68"/>
      <c r="W80" s="65" t="str">
        <f>IFERROR(VLOOKUP(TableAOPTarget[[#This Row],[Actual Finish Date]],TableAopCalendar[[Date]:[Concatenate Month &amp; Week]],7,FALSE),"")</f>
        <v/>
      </c>
      <c r="X80" s="68"/>
      <c r="Y80" s="69" t="str">
        <f>IFERROR(VLOOKUP(TableAOPTarget[[#This Row],[Forecasted Finish Date]],TableAopCalendar[[Date]:[Concatenate Month &amp; Week]],7,FALSE),"")</f>
        <v/>
      </c>
      <c r="Z80" s="68"/>
      <c r="AA80" s="65" t="str">
        <f>IF(OR(TableAOPTarget[[#This Row],[EPC Status]]="EPC Ready",TableAOPTarget[[#This Row],[EPC Status]]="WIP",TableAOPTarget[[#This Row],[EPC Status]]="YTS"),INDEX(TableAopCalendar[Concatenate Month &amp; Plan],MATCH(TableAOPTarget[[#This Row],[Planned Finish Date]],TableAopCalendar[Date],0))," ")</f>
        <v xml:space="preserve"> </v>
      </c>
      <c r="AB80" s="65" t="str">
        <f>IF(TableAOPTarget[[#This Row],[EPC Status]]="EPC Ready",INDEX(TableAopCalendar[Month for Plan],MATCH(TableAOPTarget[[#This Row],[Actual Finish Date]],TableAopCalendar[Date],0))," ")</f>
        <v xml:space="preserve"> </v>
      </c>
      <c r="AC80" s="70" t="s">
        <v>505</v>
      </c>
      <c r="AD80" s="63" t="str">
        <f>VLOOKUP(TableAOPTarget[[#This Row],[Site Name]],[17]Backup!$E:$F,2,0)</f>
        <v>11. HOLD</v>
      </c>
      <c r="AE80" s="71"/>
      <c r="AF80" s="60" t="str">
        <f>VLOOKUP(TableAOPTarget[[#This Row],[Site Name]],[17]Backup!$E:$GG,185,0)</f>
        <v>2026-2027</v>
      </c>
    </row>
    <row r="81" spans="1:32" ht="46.8" x14ac:dyDescent="0.3">
      <c r="A81" s="64" t="s">
        <v>399</v>
      </c>
      <c r="B81" s="64">
        <v>80</v>
      </c>
      <c r="C81" s="87" t="s">
        <v>63</v>
      </c>
      <c r="D81" s="63" t="s">
        <v>224</v>
      </c>
      <c r="E81" s="65" t="s">
        <v>212</v>
      </c>
      <c r="F81" s="66" t="s">
        <v>352</v>
      </c>
      <c r="G81" s="66" t="s">
        <v>346</v>
      </c>
      <c r="H81" s="66" t="s">
        <v>347</v>
      </c>
      <c r="I81" s="66" t="s">
        <v>363</v>
      </c>
      <c r="J81" s="59" t="s">
        <v>436</v>
      </c>
      <c r="K81" s="65" t="s">
        <v>372</v>
      </c>
      <c r="L81" s="67">
        <v>407</v>
      </c>
      <c r="M81" s="65" t="s">
        <v>540</v>
      </c>
      <c r="N81" s="65"/>
      <c r="O81" s="68"/>
      <c r="P81" s="69" t="str">
        <f>IFERROR(VLOOKUP(TableAOPTarget[[#This Row],[RFC Date]],TableAopCalendar[[Date]:[Concatenate Month &amp; Week]],7,FALSE),"")</f>
        <v/>
      </c>
      <c r="Q81" s="68"/>
      <c r="R81" s="69" t="str">
        <f>IFERROR(VLOOKUP(TableAOPTarget[[#This Row],[Actual Start Date]],TableAopCalendar[[Date]:[Concatenate Month &amp; Week]],7,FALSE),"")</f>
        <v/>
      </c>
      <c r="S81" s="69">
        <v>0</v>
      </c>
      <c r="T81" s="68">
        <f>TableAOPTarget[[#This Row],[Actual Start Date]]+TableAOPTarget[[#This Row],[Standard Duration]]</f>
        <v>0</v>
      </c>
      <c r="U81" s="65" t="str">
        <f>IFERROR(VLOOKUP(TableAOPTarget[[#This Row],[Planned Finish Date]],TableAopCalendar[[Date]:[Concatenate Month &amp; Week]],7,FALSE),"")</f>
        <v/>
      </c>
      <c r="V81" s="68"/>
      <c r="W81" s="65" t="str">
        <f>IFERROR(VLOOKUP(TableAOPTarget[[#This Row],[Actual Finish Date]],TableAopCalendar[[Date]:[Concatenate Month &amp; Week]],7,FALSE),"")</f>
        <v/>
      </c>
      <c r="X81" s="68"/>
      <c r="Y81" s="69" t="str">
        <f>IFERROR(VLOOKUP(TableAOPTarget[[#This Row],[Forecasted Finish Date]],TableAopCalendar[[Date]:[Concatenate Month &amp; Week]],7,FALSE),"")</f>
        <v/>
      </c>
      <c r="Z81" s="68"/>
      <c r="AA81" s="65" t="str">
        <f>IF(OR(TableAOPTarget[[#This Row],[EPC Status]]="EPC Ready",TableAOPTarget[[#This Row],[EPC Status]]="WIP",TableAOPTarget[[#This Row],[EPC Status]]="YTS"),INDEX(TableAopCalendar[Concatenate Month &amp; Plan],MATCH(TableAOPTarget[[#This Row],[Planned Finish Date]],TableAopCalendar[Date],0))," ")</f>
        <v xml:space="preserve"> </v>
      </c>
      <c r="AB81" s="65" t="str">
        <f>IF(TableAOPTarget[[#This Row],[EPC Status]]="EPC Ready",INDEX(TableAopCalendar[Month for Plan],MATCH(TableAOPTarget[[#This Row],[Actual Finish Date]],TableAopCalendar[Date],0))," ")</f>
        <v xml:space="preserve"> </v>
      </c>
      <c r="AC81" s="70" t="s">
        <v>505</v>
      </c>
      <c r="AD81" s="63" t="str">
        <f>VLOOKUP(TableAOPTarget[[#This Row],[Site Name]],[17]Backup!$E:$F,2,0)</f>
        <v>11. HOLD</v>
      </c>
      <c r="AE81" s="71"/>
      <c r="AF81" s="60" t="str">
        <f>VLOOKUP(TableAOPTarget[[#This Row],[Site Name]],[17]Backup!$E:$GG,185,0)</f>
        <v>2026-2027</v>
      </c>
    </row>
    <row r="82" spans="1:32" ht="22.2" customHeight="1" x14ac:dyDescent="0.3">
      <c r="A82" s="64" t="s">
        <v>400</v>
      </c>
      <c r="B82" s="64">
        <v>81</v>
      </c>
      <c r="C82" s="87" t="s">
        <v>63</v>
      </c>
      <c r="D82" s="63" t="s">
        <v>224</v>
      </c>
      <c r="E82" s="65" t="s">
        <v>212</v>
      </c>
      <c r="F82" s="66" t="s">
        <v>352</v>
      </c>
      <c r="G82" s="66" t="s">
        <v>348</v>
      </c>
      <c r="H82" s="66" t="s">
        <v>349</v>
      </c>
      <c r="I82" s="66" t="s">
        <v>358</v>
      </c>
      <c r="J82" s="59" t="s">
        <v>437</v>
      </c>
      <c r="K82" s="65" t="s">
        <v>466</v>
      </c>
      <c r="L82" s="67">
        <v>409</v>
      </c>
      <c r="M82" s="65" t="s">
        <v>541</v>
      </c>
      <c r="N82" s="65"/>
      <c r="O82" s="68"/>
      <c r="P82" s="69" t="str">
        <f>IFERROR(VLOOKUP(TableAOPTarget[[#This Row],[RFC Date]],TableAopCalendar[[Date]:[Concatenate Month &amp; Week]],7,FALSE),"")</f>
        <v/>
      </c>
      <c r="Q82" s="68"/>
      <c r="R82" s="69" t="str">
        <f>IFERROR(VLOOKUP(TableAOPTarget[[#This Row],[Actual Start Date]],TableAopCalendar[[Date]:[Concatenate Month &amp; Week]],7,FALSE),"")</f>
        <v/>
      </c>
      <c r="S82" s="69">
        <v>0</v>
      </c>
      <c r="T82" s="68">
        <f>TableAOPTarget[[#This Row],[Actual Start Date]]+TableAOPTarget[[#This Row],[Standard Duration]]</f>
        <v>0</v>
      </c>
      <c r="U82" s="65" t="str">
        <f>IFERROR(VLOOKUP(TableAOPTarget[[#This Row],[Planned Finish Date]],TableAopCalendar[[Date]:[Concatenate Month &amp; Week]],7,FALSE),"")</f>
        <v/>
      </c>
      <c r="V82" s="68"/>
      <c r="W82" s="65" t="str">
        <f>IFERROR(VLOOKUP(TableAOPTarget[[#This Row],[Actual Finish Date]],TableAopCalendar[[Date]:[Concatenate Month &amp; Week]],7,FALSE),"")</f>
        <v/>
      </c>
      <c r="X82" s="68"/>
      <c r="Y82" s="69" t="str">
        <f>IFERROR(VLOOKUP(TableAOPTarget[[#This Row],[Forecasted Finish Date]],TableAopCalendar[[Date]:[Concatenate Month &amp; Week]],7,FALSE),"")</f>
        <v/>
      </c>
      <c r="Z82" s="68"/>
      <c r="AA82" s="65" t="str">
        <f>IF(OR(TableAOPTarget[[#This Row],[EPC Status]]="EPC Ready",TableAOPTarget[[#This Row],[EPC Status]]="WIP",TableAOPTarget[[#This Row],[EPC Status]]="YTS"),INDEX(TableAopCalendar[Concatenate Month &amp; Plan],MATCH(TableAOPTarget[[#This Row],[Planned Finish Date]],TableAopCalendar[Date],0))," ")</f>
        <v xml:space="preserve"> </v>
      </c>
      <c r="AB82" s="65" t="str">
        <f>IF(TableAOPTarget[[#This Row],[EPC Status]]="EPC Ready",INDEX(TableAopCalendar[Month for Plan],MATCH(TableAOPTarget[[#This Row],[Actual Finish Date]],TableAopCalendar[Date],0))," ")</f>
        <v xml:space="preserve"> </v>
      </c>
      <c r="AC82" s="70" t="s">
        <v>505</v>
      </c>
      <c r="AD82" s="63" t="str">
        <f>VLOOKUP(TableAOPTarget[[#This Row],[Site Name]],[17]Backup!$E:$F,2,0)</f>
        <v>11. HOLD</v>
      </c>
      <c r="AE82" s="71"/>
      <c r="AF82" s="60" t="str">
        <f>VLOOKUP(TableAOPTarget[[#This Row],[Site Name]],[17]Backup!$E:$GG,185,0)</f>
        <v>2026-2027</v>
      </c>
    </row>
    <row r="83" spans="1:32" ht="62.4" x14ac:dyDescent="0.3">
      <c r="A83" s="64" t="s">
        <v>401</v>
      </c>
      <c r="B83" s="64">
        <v>82</v>
      </c>
      <c r="C83" s="87" t="s">
        <v>63</v>
      </c>
      <c r="D83" s="63" t="s">
        <v>224</v>
      </c>
      <c r="E83" s="65" t="s">
        <v>212</v>
      </c>
      <c r="F83" s="66" t="s">
        <v>352</v>
      </c>
      <c r="G83" s="66" t="s">
        <v>346</v>
      </c>
      <c r="H83" s="66" t="s">
        <v>347</v>
      </c>
      <c r="I83" s="66" t="s">
        <v>363</v>
      </c>
      <c r="J83" s="59" t="s">
        <v>438</v>
      </c>
      <c r="K83" s="65" t="s">
        <v>368</v>
      </c>
      <c r="L83" s="67">
        <v>400</v>
      </c>
      <c r="M83" s="65"/>
      <c r="N83" s="65"/>
      <c r="O83" s="68"/>
      <c r="P83" s="69" t="str">
        <f>IFERROR(VLOOKUP(TableAOPTarget[[#This Row],[RFC Date]],TableAopCalendar[[Date]:[Concatenate Month &amp; Week]],7,FALSE),"")</f>
        <v/>
      </c>
      <c r="Q83" s="68"/>
      <c r="R83" s="69" t="str">
        <f>IFERROR(VLOOKUP(TableAOPTarget[[#This Row],[Actual Start Date]],TableAopCalendar[[Date]:[Concatenate Month &amp; Week]],7,FALSE),"")</f>
        <v/>
      </c>
      <c r="S83" s="69">
        <v>0</v>
      </c>
      <c r="T83" s="68">
        <f>TableAOPTarget[[#This Row],[Actual Start Date]]+TableAOPTarget[[#This Row],[Standard Duration]]</f>
        <v>0</v>
      </c>
      <c r="U83" s="65" t="str">
        <f>IFERROR(VLOOKUP(TableAOPTarget[[#This Row],[Planned Finish Date]],TableAopCalendar[[Date]:[Concatenate Month &amp; Week]],7,FALSE),"")</f>
        <v/>
      </c>
      <c r="V83" s="68"/>
      <c r="W83" s="65" t="str">
        <f>IFERROR(VLOOKUP(TableAOPTarget[[#This Row],[Actual Finish Date]],TableAopCalendar[[Date]:[Concatenate Month &amp; Week]],7,FALSE),"")</f>
        <v/>
      </c>
      <c r="X83" s="68"/>
      <c r="Y83" s="69" t="str">
        <f>IFERROR(VLOOKUP(TableAOPTarget[[#This Row],[Forecasted Finish Date]],TableAopCalendar[[Date]:[Concatenate Month &amp; Week]],7,FALSE),"")</f>
        <v/>
      </c>
      <c r="Z83" s="68"/>
      <c r="AA83" s="65" t="str">
        <f>IF(OR(TableAOPTarget[[#This Row],[EPC Status]]="EPC Ready",TableAOPTarget[[#This Row],[EPC Status]]="WIP",TableAOPTarget[[#This Row],[EPC Status]]="YTS"),INDEX(TableAopCalendar[Concatenate Month &amp; Plan],MATCH(TableAOPTarget[[#This Row],[Planned Finish Date]],TableAopCalendar[Date],0))," ")</f>
        <v xml:space="preserve"> </v>
      </c>
      <c r="AB83" s="65" t="str">
        <f>IF(TableAOPTarget[[#This Row],[EPC Status]]="EPC Ready",INDEX(TableAopCalendar[Month for Plan],MATCH(TableAOPTarget[[#This Row],[Actual Finish Date]],TableAopCalendar[Date],0))," ")</f>
        <v xml:space="preserve"> </v>
      </c>
      <c r="AC83" s="70" t="s">
        <v>505</v>
      </c>
      <c r="AD83" s="63" t="str">
        <f>VLOOKUP(TableAOPTarget[[#This Row],[Site Name]],[17]Backup!$E:$F,2,0)</f>
        <v>11. HOLD</v>
      </c>
      <c r="AE83" s="71"/>
      <c r="AF83" s="60" t="str">
        <f>VLOOKUP(TableAOPTarget[[#This Row],[Site Name]],[17]Backup!$E:$GG,185,0)</f>
        <v>2026-2027</v>
      </c>
    </row>
    <row r="84" spans="1:32" ht="62.4" x14ac:dyDescent="0.3">
      <c r="A84" s="64" t="s">
        <v>402</v>
      </c>
      <c r="B84" s="64">
        <v>83</v>
      </c>
      <c r="C84" s="87" t="s">
        <v>63</v>
      </c>
      <c r="D84" s="63" t="s">
        <v>224</v>
      </c>
      <c r="E84" s="65" t="s">
        <v>212</v>
      </c>
      <c r="F84" s="66" t="s">
        <v>352</v>
      </c>
      <c r="G84" s="66" t="s">
        <v>346</v>
      </c>
      <c r="H84" s="66" t="s">
        <v>347</v>
      </c>
      <c r="I84" s="66" t="s">
        <v>363</v>
      </c>
      <c r="J84" s="59" t="s">
        <v>439</v>
      </c>
      <c r="K84" s="65" t="s">
        <v>467</v>
      </c>
      <c r="L84" s="67">
        <v>400</v>
      </c>
      <c r="M84" s="65" t="s">
        <v>542</v>
      </c>
      <c r="N84" s="65"/>
      <c r="O84" s="68"/>
      <c r="P84" s="69" t="str">
        <f>IFERROR(VLOOKUP(TableAOPTarget[[#This Row],[RFC Date]],TableAopCalendar[[Date]:[Concatenate Month &amp; Week]],7,FALSE),"")</f>
        <v/>
      </c>
      <c r="Q84" s="68"/>
      <c r="R84" s="69" t="str">
        <f>IFERROR(VLOOKUP(TableAOPTarget[[#This Row],[Actual Start Date]],TableAopCalendar[[Date]:[Concatenate Month &amp; Week]],7,FALSE),"")</f>
        <v/>
      </c>
      <c r="S84" s="69">
        <v>0</v>
      </c>
      <c r="T84" s="68">
        <f>TableAOPTarget[[#This Row],[Actual Start Date]]+TableAOPTarget[[#This Row],[Standard Duration]]</f>
        <v>0</v>
      </c>
      <c r="U84" s="65" t="str">
        <f>IFERROR(VLOOKUP(TableAOPTarget[[#This Row],[Planned Finish Date]],TableAopCalendar[[Date]:[Concatenate Month &amp; Week]],7,FALSE),"")</f>
        <v/>
      </c>
      <c r="V84" s="68"/>
      <c r="W84" s="65" t="str">
        <f>IFERROR(VLOOKUP(TableAOPTarget[[#This Row],[Actual Finish Date]],TableAopCalendar[[Date]:[Concatenate Month &amp; Week]],7,FALSE),"")</f>
        <v/>
      </c>
      <c r="X84" s="68"/>
      <c r="Y84" s="69" t="str">
        <f>IFERROR(VLOOKUP(TableAOPTarget[[#This Row],[Forecasted Finish Date]],TableAopCalendar[[Date]:[Concatenate Month &amp; Week]],7,FALSE),"")</f>
        <v/>
      </c>
      <c r="Z84" s="68"/>
      <c r="AA84" s="65" t="str">
        <f>IF(OR(TableAOPTarget[[#This Row],[EPC Status]]="EPC Ready",TableAOPTarget[[#This Row],[EPC Status]]="WIP",TableAOPTarget[[#This Row],[EPC Status]]="YTS"),INDEX(TableAopCalendar[Concatenate Month &amp; Plan],MATCH(TableAOPTarget[[#This Row],[Planned Finish Date]],TableAopCalendar[Date],0))," ")</f>
        <v xml:space="preserve"> </v>
      </c>
      <c r="AB84" s="65" t="str">
        <f>IF(TableAOPTarget[[#This Row],[EPC Status]]="EPC Ready",INDEX(TableAopCalendar[Month for Plan],MATCH(TableAOPTarget[[#This Row],[Actual Finish Date]],TableAopCalendar[Date],0))," ")</f>
        <v xml:space="preserve"> </v>
      </c>
      <c r="AC84" s="70" t="s">
        <v>505</v>
      </c>
      <c r="AD84" s="63" t="str">
        <f>VLOOKUP(TableAOPTarget[[#This Row],[Site Name]],[17]Backup!$E:$F,2,0)</f>
        <v>11. HOLD</v>
      </c>
      <c r="AE84" s="71"/>
      <c r="AF84" s="60" t="str">
        <f>VLOOKUP(TableAOPTarget[[#This Row],[Site Name]],[17]Backup!$E:$GG,185,0)</f>
        <v>2026-2027</v>
      </c>
    </row>
    <row r="85" spans="1:32" ht="46.8" x14ac:dyDescent="0.3">
      <c r="A85" s="64" t="s">
        <v>403</v>
      </c>
      <c r="B85" s="64">
        <v>84</v>
      </c>
      <c r="C85" s="87" t="s">
        <v>63</v>
      </c>
      <c r="D85" s="63" t="s">
        <v>224</v>
      </c>
      <c r="E85" s="65" t="s">
        <v>212</v>
      </c>
      <c r="F85" s="66" t="s">
        <v>352</v>
      </c>
      <c r="G85" s="66" t="s">
        <v>346</v>
      </c>
      <c r="H85" s="66" t="s">
        <v>347</v>
      </c>
      <c r="I85" s="66" t="s">
        <v>363</v>
      </c>
      <c r="J85" s="59" t="s">
        <v>440</v>
      </c>
      <c r="K85" s="65" t="s">
        <v>467</v>
      </c>
      <c r="L85" s="67">
        <v>395</v>
      </c>
      <c r="M85" s="65" t="s">
        <v>543</v>
      </c>
      <c r="N85" s="65"/>
      <c r="O85" s="68"/>
      <c r="P85" s="69" t="str">
        <f>IFERROR(VLOOKUP(TableAOPTarget[[#This Row],[RFC Date]],TableAopCalendar[[Date]:[Concatenate Month &amp; Week]],7,FALSE),"")</f>
        <v/>
      </c>
      <c r="Q85" s="68"/>
      <c r="R85" s="69" t="str">
        <f>IFERROR(VLOOKUP(TableAOPTarget[[#This Row],[Actual Start Date]],TableAopCalendar[[Date]:[Concatenate Month &amp; Week]],7,FALSE),"")</f>
        <v/>
      </c>
      <c r="S85" s="69">
        <v>0</v>
      </c>
      <c r="T85" s="68">
        <f>TableAOPTarget[[#This Row],[Actual Start Date]]+TableAOPTarget[[#This Row],[Standard Duration]]</f>
        <v>0</v>
      </c>
      <c r="U85" s="65" t="str">
        <f>IFERROR(VLOOKUP(TableAOPTarget[[#This Row],[Planned Finish Date]],TableAopCalendar[[Date]:[Concatenate Month &amp; Week]],7,FALSE),"")</f>
        <v/>
      </c>
      <c r="V85" s="68"/>
      <c r="W85" s="65" t="str">
        <f>IFERROR(VLOOKUP(TableAOPTarget[[#This Row],[Actual Finish Date]],TableAopCalendar[[Date]:[Concatenate Month &amp; Week]],7,FALSE),"")</f>
        <v/>
      </c>
      <c r="X85" s="68"/>
      <c r="Y85" s="69" t="str">
        <f>IFERROR(VLOOKUP(TableAOPTarget[[#This Row],[Forecasted Finish Date]],TableAopCalendar[[Date]:[Concatenate Month &amp; Week]],7,FALSE),"")</f>
        <v/>
      </c>
      <c r="Z85" s="68"/>
      <c r="AA85" s="65" t="str">
        <f>IF(OR(TableAOPTarget[[#This Row],[EPC Status]]="EPC Ready",TableAOPTarget[[#This Row],[EPC Status]]="WIP",TableAOPTarget[[#This Row],[EPC Status]]="YTS"),INDEX(TableAopCalendar[Concatenate Month &amp; Plan],MATCH(TableAOPTarget[[#This Row],[Planned Finish Date]],TableAopCalendar[Date],0))," ")</f>
        <v xml:space="preserve"> </v>
      </c>
      <c r="AB85" s="65" t="str">
        <f>IF(TableAOPTarget[[#This Row],[EPC Status]]="EPC Ready",INDEX(TableAopCalendar[Month for Plan],MATCH(TableAOPTarget[[#This Row],[Actual Finish Date]],TableAopCalendar[Date],0))," ")</f>
        <v xml:space="preserve"> </v>
      </c>
      <c r="AC85" s="70" t="s">
        <v>505</v>
      </c>
      <c r="AD85" s="63" t="str">
        <f>VLOOKUP(TableAOPTarget[[#This Row],[Site Name]],[17]Backup!$E:$F,2,0)</f>
        <v>11. HOLD</v>
      </c>
      <c r="AE85" s="71"/>
      <c r="AF85" s="60" t="str">
        <f>VLOOKUP(TableAOPTarget[[#This Row],[Site Name]],[17]Backup!$E:$GG,185,0)</f>
        <v>2026-2027</v>
      </c>
    </row>
    <row r="86" spans="1:32" ht="46.8" x14ac:dyDescent="0.3">
      <c r="A86" s="64" t="s">
        <v>404</v>
      </c>
      <c r="B86" s="64">
        <v>85</v>
      </c>
      <c r="C86" s="87" t="s">
        <v>63</v>
      </c>
      <c r="D86" s="63" t="s">
        <v>224</v>
      </c>
      <c r="E86" s="65" t="s">
        <v>212</v>
      </c>
      <c r="F86" s="66" t="s">
        <v>352</v>
      </c>
      <c r="G86" s="66" t="s">
        <v>348</v>
      </c>
      <c r="H86" s="66" t="s">
        <v>349</v>
      </c>
      <c r="I86" s="66" t="s">
        <v>359</v>
      </c>
      <c r="J86" s="59" t="s">
        <v>441</v>
      </c>
      <c r="K86" s="65" t="s">
        <v>370</v>
      </c>
      <c r="L86" s="67">
        <v>400</v>
      </c>
      <c r="M86" s="65" t="s">
        <v>544</v>
      </c>
      <c r="N86" s="65"/>
      <c r="O86" s="68"/>
      <c r="P86" s="69" t="str">
        <f>IFERROR(VLOOKUP(TableAOPTarget[[#This Row],[RFC Date]],TableAopCalendar[[Date]:[Concatenate Month &amp; Week]],7,FALSE),"")</f>
        <v/>
      </c>
      <c r="Q86" s="68"/>
      <c r="R86" s="69" t="str">
        <f>IFERROR(VLOOKUP(TableAOPTarget[[#This Row],[Actual Start Date]],TableAopCalendar[[Date]:[Concatenate Month &amp; Week]],7,FALSE),"")</f>
        <v/>
      </c>
      <c r="S86" s="69">
        <v>0</v>
      </c>
      <c r="T86" s="68">
        <f>TableAOPTarget[[#This Row],[Actual Start Date]]+TableAOPTarget[[#This Row],[Standard Duration]]</f>
        <v>0</v>
      </c>
      <c r="U86" s="65" t="str">
        <f>IFERROR(VLOOKUP(TableAOPTarget[[#This Row],[Planned Finish Date]],TableAopCalendar[[Date]:[Concatenate Month &amp; Week]],7,FALSE),"")</f>
        <v/>
      </c>
      <c r="V86" s="68"/>
      <c r="W86" s="65" t="str">
        <f>IFERROR(VLOOKUP(TableAOPTarget[[#This Row],[Actual Finish Date]],TableAopCalendar[[Date]:[Concatenate Month &amp; Week]],7,FALSE),"")</f>
        <v/>
      </c>
      <c r="X86" s="68"/>
      <c r="Y86" s="69" t="str">
        <f>IFERROR(VLOOKUP(TableAOPTarget[[#This Row],[Forecasted Finish Date]],TableAopCalendar[[Date]:[Concatenate Month &amp; Week]],7,FALSE),"")</f>
        <v/>
      </c>
      <c r="Z86" s="68"/>
      <c r="AA86" s="65" t="str">
        <f>IF(OR(TableAOPTarget[[#This Row],[EPC Status]]="EPC Ready",TableAOPTarget[[#This Row],[EPC Status]]="WIP",TableAOPTarget[[#This Row],[EPC Status]]="YTS"),INDEX(TableAopCalendar[Concatenate Month &amp; Plan],MATCH(TableAOPTarget[[#This Row],[Planned Finish Date]],TableAopCalendar[Date],0))," ")</f>
        <v xml:space="preserve"> </v>
      </c>
      <c r="AB86" s="65" t="str">
        <f>IF(TableAOPTarget[[#This Row],[EPC Status]]="EPC Ready",INDEX(TableAopCalendar[Month for Plan],MATCH(TableAOPTarget[[#This Row],[Actual Finish Date]],TableAopCalendar[Date],0))," ")</f>
        <v xml:space="preserve"> </v>
      </c>
      <c r="AC86" s="70" t="s">
        <v>505</v>
      </c>
      <c r="AD86" s="63" t="str">
        <f>VLOOKUP(TableAOPTarget[[#This Row],[Site Name]],[17]Backup!$E:$F,2,0)</f>
        <v>11. HOLD</v>
      </c>
      <c r="AE86" s="71"/>
      <c r="AF86" s="60" t="str">
        <f>VLOOKUP(TableAOPTarget[[#This Row],[Site Name]],[17]Backup!$E:$GG,185,0)</f>
        <v>2026-2027</v>
      </c>
    </row>
    <row r="87" spans="1:32" ht="62.4" x14ac:dyDescent="0.3">
      <c r="A87" s="64" t="s">
        <v>405</v>
      </c>
      <c r="B87" s="64">
        <v>86</v>
      </c>
      <c r="C87" s="87" t="s">
        <v>63</v>
      </c>
      <c r="D87" s="63" t="s">
        <v>224</v>
      </c>
      <c r="E87" s="65" t="s">
        <v>212</v>
      </c>
      <c r="F87" s="66" t="s">
        <v>352</v>
      </c>
      <c r="G87" s="66" t="s">
        <v>348</v>
      </c>
      <c r="H87" s="66" t="s">
        <v>349</v>
      </c>
      <c r="I87" s="66" t="s">
        <v>364</v>
      </c>
      <c r="J87" s="59" t="s">
        <v>442</v>
      </c>
      <c r="K87" s="65" t="s">
        <v>468</v>
      </c>
      <c r="L87" s="67">
        <v>427</v>
      </c>
      <c r="M87" s="65" t="s">
        <v>545</v>
      </c>
      <c r="N87" s="65"/>
      <c r="O87" s="68"/>
      <c r="P87" s="69" t="str">
        <f>IFERROR(VLOOKUP(TableAOPTarget[[#This Row],[RFC Date]],TableAopCalendar[[Date]:[Concatenate Month &amp; Week]],7,FALSE),"")</f>
        <v/>
      </c>
      <c r="Q87" s="68"/>
      <c r="R87" s="69" t="str">
        <f>IFERROR(VLOOKUP(TableAOPTarget[[#This Row],[Actual Start Date]],TableAopCalendar[[Date]:[Concatenate Month &amp; Week]],7,FALSE),"")</f>
        <v/>
      </c>
      <c r="S87" s="69">
        <v>0</v>
      </c>
      <c r="T87" s="68">
        <f>TableAOPTarget[[#This Row],[Actual Start Date]]+TableAOPTarget[[#This Row],[Standard Duration]]</f>
        <v>0</v>
      </c>
      <c r="U87" s="65" t="str">
        <f>IFERROR(VLOOKUP(TableAOPTarget[[#This Row],[Planned Finish Date]],TableAopCalendar[[Date]:[Concatenate Month &amp; Week]],7,FALSE),"")</f>
        <v/>
      </c>
      <c r="V87" s="68"/>
      <c r="W87" s="65" t="str">
        <f>IFERROR(VLOOKUP(TableAOPTarget[[#This Row],[Actual Finish Date]],TableAopCalendar[[Date]:[Concatenate Month &amp; Week]],7,FALSE),"")</f>
        <v/>
      </c>
      <c r="X87" s="68"/>
      <c r="Y87" s="69" t="str">
        <f>IFERROR(VLOOKUP(TableAOPTarget[[#This Row],[Forecasted Finish Date]],TableAopCalendar[[Date]:[Concatenate Month &amp; Week]],7,FALSE),"")</f>
        <v/>
      </c>
      <c r="Z87" s="68"/>
      <c r="AA87" s="65" t="str">
        <f>IF(OR(TableAOPTarget[[#This Row],[EPC Status]]="EPC Ready",TableAOPTarget[[#This Row],[EPC Status]]="WIP",TableAOPTarget[[#This Row],[EPC Status]]="YTS"),INDEX(TableAopCalendar[Concatenate Month &amp; Plan],MATCH(TableAOPTarget[[#This Row],[Planned Finish Date]],TableAopCalendar[Date],0))," ")</f>
        <v xml:space="preserve"> </v>
      </c>
      <c r="AB87" s="65" t="str">
        <f>IF(TableAOPTarget[[#This Row],[EPC Status]]="EPC Ready",INDEX(TableAopCalendar[Month for Plan],MATCH(TableAOPTarget[[#This Row],[Actual Finish Date]],TableAopCalendar[Date],0))," ")</f>
        <v xml:space="preserve"> </v>
      </c>
      <c r="AC87" s="70" t="s">
        <v>505</v>
      </c>
      <c r="AD87" s="63" t="str">
        <f>VLOOKUP(TableAOPTarget[[#This Row],[Site Name]],[17]Backup!$E:$F,2,0)</f>
        <v>11. HOLD</v>
      </c>
      <c r="AE87" s="71"/>
      <c r="AF87" s="60" t="str">
        <f>VLOOKUP(TableAOPTarget[[#This Row],[Site Name]],[17]Backup!$E:$GG,185,0)</f>
        <v>2026-2027</v>
      </c>
    </row>
    <row r="88" spans="1:32" ht="46.8" x14ac:dyDescent="0.3">
      <c r="A88" s="64" t="s">
        <v>406</v>
      </c>
      <c r="B88" s="64">
        <v>87</v>
      </c>
      <c r="C88" s="87" t="s">
        <v>63</v>
      </c>
      <c r="D88" s="63" t="s">
        <v>224</v>
      </c>
      <c r="E88" s="65" t="s">
        <v>212</v>
      </c>
      <c r="F88" s="66" t="s">
        <v>352</v>
      </c>
      <c r="G88" s="66" t="s">
        <v>342</v>
      </c>
      <c r="H88" s="66" t="s">
        <v>343</v>
      </c>
      <c r="I88" s="66" t="s">
        <v>353</v>
      </c>
      <c r="J88" s="59" t="s">
        <v>443</v>
      </c>
      <c r="K88" s="65" t="s">
        <v>469</v>
      </c>
      <c r="L88" s="67">
        <v>280</v>
      </c>
      <c r="M88" s="65"/>
      <c r="N88" s="65"/>
      <c r="O88" s="68"/>
      <c r="P88" s="69" t="str">
        <f>IFERROR(VLOOKUP(TableAOPTarget[[#This Row],[RFC Date]],TableAopCalendar[[Date]:[Concatenate Month &amp; Week]],7,FALSE),"")</f>
        <v/>
      </c>
      <c r="Q88" s="68"/>
      <c r="R88" s="69" t="str">
        <f>IFERROR(VLOOKUP(TableAOPTarget[[#This Row],[Actual Start Date]],TableAopCalendar[[Date]:[Concatenate Month &amp; Week]],7,FALSE),"")</f>
        <v/>
      </c>
      <c r="S88" s="69">
        <v>0</v>
      </c>
      <c r="T88" s="68">
        <f>TableAOPTarget[[#This Row],[Actual Start Date]]+TableAOPTarget[[#This Row],[Standard Duration]]</f>
        <v>0</v>
      </c>
      <c r="U88" s="65" t="str">
        <f>IFERROR(VLOOKUP(TableAOPTarget[[#This Row],[Planned Finish Date]],TableAopCalendar[[Date]:[Concatenate Month &amp; Week]],7,FALSE),"")</f>
        <v/>
      </c>
      <c r="V88" s="68"/>
      <c r="W88" s="65" t="str">
        <f>IFERROR(VLOOKUP(TableAOPTarget[[#This Row],[Actual Finish Date]],TableAopCalendar[[Date]:[Concatenate Month &amp; Week]],7,FALSE),"")</f>
        <v/>
      </c>
      <c r="X88" s="68"/>
      <c r="Y88" s="69" t="str">
        <f>IFERROR(VLOOKUP(TableAOPTarget[[#This Row],[Forecasted Finish Date]],TableAopCalendar[[Date]:[Concatenate Month &amp; Week]],7,FALSE),"")</f>
        <v/>
      </c>
      <c r="Z88" s="68"/>
      <c r="AA88" s="65" t="str">
        <f>IF(OR(TableAOPTarget[[#This Row],[EPC Status]]="EPC Ready",TableAOPTarget[[#This Row],[EPC Status]]="WIP",TableAOPTarget[[#This Row],[EPC Status]]="YTS"),INDEX(TableAopCalendar[Concatenate Month &amp; Plan],MATCH(TableAOPTarget[[#This Row],[Planned Finish Date]],TableAopCalendar[Date],0))," ")</f>
        <v xml:space="preserve"> </v>
      </c>
      <c r="AB88" s="65" t="str">
        <f>IF(TableAOPTarget[[#This Row],[EPC Status]]="EPC Ready",INDEX(TableAopCalendar[Month for Plan],MATCH(TableAOPTarget[[#This Row],[Actual Finish Date]],TableAopCalendar[Date],0))," ")</f>
        <v xml:space="preserve"> </v>
      </c>
      <c r="AC88" s="70" t="s">
        <v>505</v>
      </c>
      <c r="AD88" s="63" t="str">
        <f>VLOOKUP(TableAOPTarget[[#This Row],[Site Name]],[17]Backup!$E:$F,2,0)</f>
        <v>11. HOLD</v>
      </c>
      <c r="AE88" s="71"/>
      <c r="AF88" s="60" t="str">
        <f>VLOOKUP(TableAOPTarget[[#This Row],[Site Name]],[17]Backup!$E:$GG,185,0)</f>
        <v>2026-2027</v>
      </c>
    </row>
    <row r="89" spans="1:32" ht="46.8" x14ac:dyDescent="0.3">
      <c r="A89" s="64" t="s">
        <v>407</v>
      </c>
      <c r="B89" s="64">
        <v>88</v>
      </c>
      <c r="C89" s="87" t="s">
        <v>63</v>
      </c>
      <c r="D89" s="63" t="s">
        <v>224</v>
      </c>
      <c r="E89" s="65" t="s">
        <v>212</v>
      </c>
      <c r="F89" s="66" t="s">
        <v>352</v>
      </c>
      <c r="G89" s="66" t="s">
        <v>348</v>
      </c>
      <c r="H89" s="66" t="s">
        <v>349</v>
      </c>
      <c r="I89" s="66" t="s">
        <v>358</v>
      </c>
      <c r="J89" s="59" t="s">
        <v>444</v>
      </c>
      <c r="K89" s="65" t="s">
        <v>470</v>
      </c>
      <c r="L89" s="67">
        <v>400</v>
      </c>
      <c r="M89" s="65" t="s">
        <v>546</v>
      </c>
      <c r="N89" s="65"/>
      <c r="O89" s="68"/>
      <c r="P89" s="69" t="str">
        <f>IFERROR(VLOOKUP(TableAOPTarget[[#This Row],[RFC Date]],TableAopCalendar[[Date]:[Concatenate Month &amp; Week]],7,FALSE),"")</f>
        <v/>
      </c>
      <c r="Q89" s="68"/>
      <c r="R89" s="69" t="str">
        <f>IFERROR(VLOOKUP(TableAOPTarget[[#This Row],[Actual Start Date]],TableAopCalendar[[Date]:[Concatenate Month &amp; Week]],7,FALSE),"")</f>
        <v/>
      </c>
      <c r="S89" s="69">
        <v>0</v>
      </c>
      <c r="T89" s="68">
        <f>TableAOPTarget[[#This Row],[Actual Start Date]]+TableAOPTarget[[#This Row],[Standard Duration]]</f>
        <v>0</v>
      </c>
      <c r="U89" s="65" t="str">
        <f>IFERROR(VLOOKUP(TableAOPTarget[[#This Row],[Planned Finish Date]],TableAopCalendar[[Date]:[Concatenate Month &amp; Week]],7,FALSE),"")</f>
        <v/>
      </c>
      <c r="V89" s="68"/>
      <c r="W89" s="65" t="str">
        <f>IFERROR(VLOOKUP(TableAOPTarget[[#This Row],[Actual Finish Date]],TableAopCalendar[[Date]:[Concatenate Month &amp; Week]],7,FALSE),"")</f>
        <v/>
      </c>
      <c r="X89" s="68"/>
      <c r="Y89" s="69" t="str">
        <f>IFERROR(VLOOKUP(TableAOPTarget[[#This Row],[Forecasted Finish Date]],TableAopCalendar[[Date]:[Concatenate Month &amp; Week]],7,FALSE),"")</f>
        <v/>
      </c>
      <c r="Z89" s="68"/>
      <c r="AA89" s="65" t="str">
        <f>IF(OR(TableAOPTarget[[#This Row],[EPC Status]]="EPC Ready",TableAOPTarget[[#This Row],[EPC Status]]="WIP",TableAOPTarget[[#This Row],[EPC Status]]="YTS"),INDEX(TableAopCalendar[Concatenate Month &amp; Plan],MATCH(TableAOPTarget[[#This Row],[Planned Finish Date]],TableAopCalendar[Date],0))," ")</f>
        <v xml:space="preserve"> </v>
      </c>
      <c r="AB89" s="65" t="str">
        <f>IF(TableAOPTarget[[#This Row],[EPC Status]]="EPC Ready",INDEX(TableAopCalendar[Month for Plan],MATCH(TableAOPTarget[[#This Row],[Actual Finish Date]],TableAopCalendar[Date],0))," ")</f>
        <v xml:space="preserve"> </v>
      </c>
      <c r="AC89" s="70" t="s">
        <v>505</v>
      </c>
      <c r="AD89" s="63" t="str">
        <f>VLOOKUP(TableAOPTarget[[#This Row],[Site Name]],[17]Backup!$E:$F,2,0)</f>
        <v>11. HOLD</v>
      </c>
      <c r="AE89" s="71"/>
      <c r="AF89" s="60" t="str">
        <f>VLOOKUP(TableAOPTarget[[#This Row],[Site Name]],[17]Backup!$E:$GG,185,0)</f>
        <v>2026-2027</v>
      </c>
    </row>
    <row r="90" spans="1:32" ht="31.2" x14ac:dyDescent="0.3">
      <c r="A90" s="64" t="s">
        <v>408</v>
      </c>
      <c r="B90" s="64">
        <v>89</v>
      </c>
      <c r="C90" s="87" t="s">
        <v>63</v>
      </c>
      <c r="D90" s="63" t="s">
        <v>224</v>
      </c>
      <c r="E90" s="65" t="s">
        <v>212</v>
      </c>
      <c r="F90" s="66" t="s">
        <v>352</v>
      </c>
      <c r="G90" s="66" t="s">
        <v>348</v>
      </c>
      <c r="H90" s="66" t="s">
        <v>349</v>
      </c>
      <c r="I90" s="66" t="s">
        <v>364</v>
      </c>
      <c r="J90" s="59" t="s">
        <v>445</v>
      </c>
      <c r="K90" s="65" t="s">
        <v>373</v>
      </c>
      <c r="L90" s="67">
        <v>400</v>
      </c>
      <c r="M90" s="65" t="s">
        <v>547</v>
      </c>
      <c r="N90" s="65"/>
      <c r="O90" s="68"/>
      <c r="P90" s="69" t="str">
        <f>IFERROR(VLOOKUP(TableAOPTarget[[#This Row],[RFC Date]],TableAopCalendar[[Date]:[Concatenate Month &amp; Week]],7,FALSE),"")</f>
        <v/>
      </c>
      <c r="Q90" s="68"/>
      <c r="R90" s="69" t="str">
        <f>IFERROR(VLOOKUP(TableAOPTarget[[#This Row],[Actual Start Date]],TableAopCalendar[[Date]:[Concatenate Month &amp; Week]],7,FALSE),"")</f>
        <v/>
      </c>
      <c r="S90" s="69">
        <v>0</v>
      </c>
      <c r="T90" s="68">
        <f>TableAOPTarget[[#This Row],[Actual Start Date]]+TableAOPTarget[[#This Row],[Standard Duration]]</f>
        <v>0</v>
      </c>
      <c r="U90" s="65" t="str">
        <f>IFERROR(VLOOKUP(TableAOPTarget[[#This Row],[Planned Finish Date]],TableAopCalendar[[Date]:[Concatenate Month &amp; Week]],7,FALSE),"")</f>
        <v/>
      </c>
      <c r="V90" s="68"/>
      <c r="W90" s="65" t="str">
        <f>IFERROR(VLOOKUP(TableAOPTarget[[#This Row],[Actual Finish Date]],TableAopCalendar[[Date]:[Concatenate Month &amp; Week]],7,FALSE),"")</f>
        <v/>
      </c>
      <c r="X90" s="68"/>
      <c r="Y90" s="69" t="str">
        <f>IFERROR(VLOOKUP(TableAOPTarget[[#This Row],[Forecasted Finish Date]],TableAopCalendar[[Date]:[Concatenate Month &amp; Week]],7,FALSE),"")</f>
        <v/>
      </c>
      <c r="Z90" s="68"/>
      <c r="AA90" s="65" t="str">
        <f>IF(OR(TableAOPTarget[[#This Row],[EPC Status]]="EPC Ready",TableAOPTarget[[#This Row],[EPC Status]]="WIP",TableAOPTarget[[#This Row],[EPC Status]]="YTS"),INDEX(TableAopCalendar[Concatenate Month &amp; Plan],MATCH(TableAOPTarget[[#This Row],[Planned Finish Date]],TableAopCalendar[Date],0))," ")</f>
        <v xml:space="preserve"> </v>
      </c>
      <c r="AB90" s="65" t="str">
        <f>IF(TableAOPTarget[[#This Row],[EPC Status]]="EPC Ready",INDEX(TableAopCalendar[Month for Plan],MATCH(TableAOPTarget[[#This Row],[Actual Finish Date]],TableAopCalendar[Date],0))," ")</f>
        <v xml:space="preserve"> </v>
      </c>
      <c r="AC90" s="70" t="s">
        <v>505</v>
      </c>
      <c r="AD90" s="63" t="str">
        <f>VLOOKUP(TableAOPTarget[[#This Row],[Site Name]],[17]Backup!$E:$F,2,0)</f>
        <v>11. HOLD</v>
      </c>
      <c r="AE90" s="71"/>
      <c r="AF90" s="60" t="str">
        <f>VLOOKUP(TableAOPTarget[[#This Row],[Site Name]],[17]Backup!$E:$GG,185,0)</f>
        <v>2026-2027</v>
      </c>
    </row>
    <row r="91" spans="1:32" ht="31.2" x14ac:dyDescent="0.3">
      <c r="A91" s="64" t="s">
        <v>409</v>
      </c>
      <c r="B91" s="64">
        <v>90</v>
      </c>
      <c r="C91" s="87" t="s">
        <v>63</v>
      </c>
      <c r="D91" s="63" t="s">
        <v>224</v>
      </c>
      <c r="E91" s="65" t="s">
        <v>212</v>
      </c>
      <c r="F91" s="66" t="s">
        <v>352</v>
      </c>
      <c r="G91" s="66" t="s">
        <v>348</v>
      </c>
      <c r="H91" s="66" t="s">
        <v>349</v>
      </c>
      <c r="I91" s="66" t="s">
        <v>364</v>
      </c>
      <c r="J91" s="59" t="s">
        <v>446</v>
      </c>
      <c r="K91" s="65" t="s">
        <v>471</v>
      </c>
      <c r="L91" s="67">
        <v>400</v>
      </c>
      <c r="M91" s="65" t="s">
        <v>548</v>
      </c>
      <c r="N91" s="65"/>
      <c r="O91" s="68"/>
      <c r="P91" s="69" t="str">
        <f>IFERROR(VLOOKUP(TableAOPTarget[[#This Row],[RFC Date]],TableAopCalendar[[Date]:[Concatenate Month &amp; Week]],7,FALSE),"")</f>
        <v/>
      </c>
      <c r="Q91" s="68"/>
      <c r="R91" s="69" t="str">
        <f>IFERROR(VLOOKUP(TableAOPTarget[[#This Row],[Actual Start Date]],TableAopCalendar[[Date]:[Concatenate Month &amp; Week]],7,FALSE),"")</f>
        <v/>
      </c>
      <c r="S91" s="69">
        <v>0</v>
      </c>
      <c r="T91" s="68">
        <f>TableAOPTarget[[#This Row],[Actual Start Date]]+TableAOPTarget[[#This Row],[Standard Duration]]</f>
        <v>0</v>
      </c>
      <c r="U91" s="65" t="str">
        <f>IFERROR(VLOOKUP(TableAOPTarget[[#This Row],[Planned Finish Date]],TableAopCalendar[[Date]:[Concatenate Month &amp; Week]],7,FALSE),"")</f>
        <v/>
      </c>
      <c r="V91" s="68"/>
      <c r="W91" s="65" t="str">
        <f>IFERROR(VLOOKUP(TableAOPTarget[[#This Row],[Actual Finish Date]],TableAopCalendar[[Date]:[Concatenate Month &amp; Week]],7,FALSE),"")</f>
        <v/>
      </c>
      <c r="X91" s="68"/>
      <c r="Y91" s="69" t="str">
        <f>IFERROR(VLOOKUP(TableAOPTarget[[#This Row],[Forecasted Finish Date]],TableAopCalendar[[Date]:[Concatenate Month &amp; Week]],7,FALSE),"")</f>
        <v/>
      </c>
      <c r="Z91" s="68"/>
      <c r="AA91" s="65" t="str">
        <f>IF(OR(TableAOPTarget[[#This Row],[EPC Status]]="EPC Ready",TableAOPTarget[[#This Row],[EPC Status]]="WIP",TableAOPTarget[[#This Row],[EPC Status]]="YTS"),INDEX(TableAopCalendar[Concatenate Month &amp; Plan],MATCH(TableAOPTarget[[#This Row],[Planned Finish Date]],TableAopCalendar[Date],0))," ")</f>
        <v xml:space="preserve"> </v>
      </c>
      <c r="AB91" s="65" t="str">
        <f>IF(TableAOPTarget[[#This Row],[EPC Status]]="EPC Ready",INDEX(TableAopCalendar[Month for Plan],MATCH(TableAOPTarget[[#This Row],[Actual Finish Date]],TableAopCalendar[Date],0))," ")</f>
        <v xml:space="preserve"> </v>
      </c>
      <c r="AC91" s="70" t="s">
        <v>505</v>
      </c>
      <c r="AD91" s="63" t="str">
        <f>VLOOKUP(TableAOPTarget[[#This Row],[Site Name]],[17]Backup!$E:$F,2,0)</f>
        <v>11. HOLD</v>
      </c>
      <c r="AE91" s="71"/>
      <c r="AF91" s="60" t="str">
        <f>VLOOKUP(TableAOPTarget[[#This Row],[Site Name]],[17]Backup!$E:$GG,185,0)</f>
        <v>2026-2027</v>
      </c>
    </row>
    <row r="92" spans="1:32" ht="46.8" x14ac:dyDescent="0.3">
      <c r="A92" s="64" t="s">
        <v>410</v>
      </c>
      <c r="B92" s="64">
        <v>91</v>
      </c>
      <c r="C92" s="87" t="s">
        <v>63</v>
      </c>
      <c r="D92" s="63" t="s">
        <v>224</v>
      </c>
      <c r="E92" s="65" t="s">
        <v>212</v>
      </c>
      <c r="F92" s="66" t="s">
        <v>352</v>
      </c>
      <c r="G92" s="66" t="s">
        <v>348</v>
      </c>
      <c r="H92" s="66" t="s">
        <v>349</v>
      </c>
      <c r="I92" s="66" t="s">
        <v>358</v>
      </c>
      <c r="J92" s="59" t="s">
        <v>447</v>
      </c>
      <c r="K92" s="65" t="s">
        <v>472</v>
      </c>
      <c r="L92" s="67">
        <v>400</v>
      </c>
      <c r="M92" s="65" t="s">
        <v>549</v>
      </c>
      <c r="N92" s="65"/>
      <c r="O92" s="68"/>
      <c r="P92" s="69" t="str">
        <f>IFERROR(VLOOKUP(TableAOPTarget[[#This Row],[RFC Date]],TableAopCalendar[[Date]:[Concatenate Month &amp; Week]],7,FALSE),"")</f>
        <v/>
      </c>
      <c r="Q92" s="68"/>
      <c r="R92" s="69" t="str">
        <f>IFERROR(VLOOKUP(TableAOPTarget[[#This Row],[Actual Start Date]],TableAopCalendar[[Date]:[Concatenate Month &amp; Week]],7,FALSE),"")</f>
        <v/>
      </c>
      <c r="S92" s="69">
        <v>0</v>
      </c>
      <c r="T92" s="68">
        <f>TableAOPTarget[[#This Row],[Actual Start Date]]+TableAOPTarget[[#This Row],[Standard Duration]]</f>
        <v>0</v>
      </c>
      <c r="U92" s="65" t="str">
        <f>IFERROR(VLOOKUP(TableAOPTarget[[#This Row],[Planned Finish Date]],TableAopCalendar[[Date]:[Concatenate Month &amp; Week]],7,FALSE),"")</f>
        <v/>
      </c>
      <c r="V92" s="68"/>
      <c r="W92" s="65" t="str">
        <f>IFERROR(VLOOKUP(TableAOPTarget[[#This Row],[Actual Finish Date]],TableAopCalendar[[Date]:[Concatenate Month &amp; Week]],7,FALSE),"")</f>
        <v/>
      </c>
      <c r="X92" s="68"/>
      <c r="Y92" s="69" t="str">
        <f>IFERROR(VLOOKUP(TableAOPTarget[[#This Row],[Forecasted Finish Date]],TableAopCalendar[[Date]:[Concatenate Month &amp; Week]],7,FALSE),"")</f>
        <v/>
      </c>
      <c r="Z92" s="68"/>
      <c r="AA92" s="65" t="str">
        <f>IF(OR(TableAOPTarget[[#This Row],[EPC Status]]="EPC Ready",TableAOPTarget[[#This Row],[EPC Status]]="WIP",TableAOPTarget[[#This Row],[EPC Status]]="YTS"),INDEX(TableAopCalendar[Concatenate Month &amp; Plan],MATCH(TableAOPTarget[[#This Row],[Planned Finish Date]],TableAopCalendar[Date],0))," ")</f>
        <v xml:space="preserve"> </v>
      </c>
      <c r="AB92" s="65" t="str">
        <f>IF(TableAOPTarget[[#This Row],[EPC Status]]="EPC Ready",INDEX(TableAopCalendar[Month for Plan],MATCH(TableAOPTarget[[#This Row],[Actual Finish Date]],TableAopCalendar[Date],0))," ")</f>
        <v xml:space="preserve"> </v>
      </c>
      <c r="AC92" s="70" t="s">
        <v>505</v>
      </c>
      <c r="AD92" s="63" t="str">
        <f>VLOOKUP(TableAOPTarget[[#This Row],[Site Name]],[17]Backup!$E:$F,2,0)</f>
        <v>11. HOLD</v>
      </c>
      <c r="AE92" s="71"/>
      <c r="AF92" s="60" t="str">
        <f>VLOOKUP(TableAOPTarget[[#This Row],[Site Name]],[17]Backup!$E:$GG,185,0)</f>
        <v>2026-2027</v>
      </c>
    </row>
    <row r="93" spans="1:32" ht="31.2" x14ac:dyDescent="0.3">
      <c r="A93" s="64" t="s">
        <v>411</v>
      </c>
      <c r="B93" s="64">
        <v>92</v>
      </c>
      <c r="C93" s="87" t="s">
        <v>63</v>
      </c>
      <c r="D93" s="63" t="s">
        <v>224</v>
      </c>
      <c r="E93" s="65" t="s">
        <v>212</v>
      </c>
      <c r="F93" s="66" t="s">
        <v>352</v>
      </c>
      <c r="G93" s="66" t="s">
        <v>348</v>
      </c>
      <c r="H93" s="66" t="s">
        <v>349</v>
      </c>
      <c r="I93" s="66" t="s">
        <v>364</v>
      </c>
      <c r="J93" s="59" t="s">
        <v>448</v>
      </c>
      <c r="K93" s="65" t="s">
        <v>371</v>
      </c>
      <c r="L93" s="67">
        <v>395</v>
      </c>
      <c r="M93" s="65" t="s">
        <v>550</v>
      </c>
      <c r="N93" s="65" t="s">
        <v>378</v>
      </c>
      <c r="O93" s="68"/>
      <c r="P93" s="69" t="str">
        <f>IFERROR(VLOOKUP(TableAOPTarget[[#This Row],[RFC Date]],TableAopCalendar[[Date]:[Concatenate Month &amp; Week]],7,FALSE),"")</f>
        <v/>
      </c>
      <c r="Q93" s="68"/>
      <c r="R93" s="69" t="str">
        <f>IFERROR(VLOOKUP(TableAOPTarget[[#This Row],[Actual Start Date]],TableAopCalendar[[Date]:[Concatenate Month &amp; Week]],7,FALSE),"")</f>
        <v/>
      </c>
      <c r="S93" s="69">
        <v>0</v>
      </c>
      <c r="T93" s="68">
        <f>TableAOPTarget[[#This Row],[Actual Start Date]]+TableAOPTarget[[#This Row],[Standard Duration]]</f>
        <v>0</v>
      </c>
      <c r="U93" s="65" t="str">
        <f>IFERROR(VLOOKUP(TableAOPTarget[[#This Row],[Planned Finish Date]],TableAopCalendar[[Date]:[Concatenate Month &amp; Week]],7,FALSE),"")</f>
        <v/>
      </c>
      <c r="V93" s="68"/>
      <c r="W93" s="65" t="str">
        <f>IFERROR(VLOOKUP(TableAOPTarget[[#This Row],[Actual Finish Date]],TableAopCalendar[[Date]:[Concatenate Month &amp; Week]],7,FALSE),"")</f>
        <v/>
      </c>
      <c r="X93" s="68"/>
      <c r="Y93" s="69" t="str">
        <f>IFERROR(VLOOKUP(TableAOPTarget[[#This Row],[Forecasted Finish Date]],TableAopCalendar[[Date]:[Concatenate Month &amp; Week]],7,FALSE),"")</f>
        <v/>
      </c>
      <c r="Z93" s="68"/>
      <c r="AA93" s="65" t="str">
        <f>IF(OR(TableAOPTarget[[#This Row],[EPC Status]]="EPC Ready",TableAOPTarget[[#This Row],[EPC Status]]="WIP",TableAOPTarget[[#This Row],[EPC Status]]="YTS"),INDEX(TableAopCalendar[Concatenate Month &amp; Plan],MATCH(TableAOPTarget[[#This Row],[Planned Finish Date]],TableAopCalendar[Date],0))," ")</f>
        <v xml:space="preserve"> </v>
      </c>
      <c r="AB93" s="65" t="str">
        <f>IF(TableAOPTarget[[#This Row],[EPC Status]]="EPC Ready",INDEX(TableAopCalendar[Month for Plan],MATCH(TableAOPTarget[[#This Row],[Actual Finish Date]],TableAopCalendar[Date],0))," ")</f>
        <v xml:space="preserve"> </v>
      </c>
      <c r="AC93" s="70" t="s">
        <v>505</v>
      </c>
      <c r="AD93" s="63" t="str">
        <f>VLOOKUP(TableAOPTarget[[#This Row],[Site Name]],[17]Backup!$E:$F,2,0)</f>
        <v>11. HOLD</v>
      </c>
      <c r="AE93" s="71"/>
      <c r="AF93" s="60" t="str">
        <f>VLOOKUP(TableAOPTarget[[#This Row],[Site Name]],[17]Backup!$E:$GG,185,0)</f>
        <v>2026-2027</v>
      </c>
    </row>
    <row r="94" spans="1:32" ht="62.4" x14ac:dyDescent="0.3">
      <c r="A94" s="64" t="s">
        <v>412</v>
      </c>
      <c r="B94" s="64">
        <v>93</v>
      </c>
      <c r="C94" s="87" t="s">
        <v>63</v>
      </c>
      <c r="D94" s="63" t="s">
        <v>224</v>
      </c>
      <c r="E94" s="65" t="s">
        <v>212</v>
      </c>
      <c r="F94" s="66" t="s">
        <v>352</v>
      </c>
      <c r="G94" s="66" t="s">
        <v>348</v>
      </c>
      <c r="H94" s="66" t="s">
        <v>349</v>
      </c>
      <c r="I94" s="66" t="s">
        <v>358</v>
      </c>
      <c r="J94" s="59" t="s">
        <v>449</v>
      </c>
      <c r="K94" s="65" t="s">
        <v>473</v>
      </c>
      <c r="L94" s="67">
        <v>392</v>
      </c>
      <c r="M94" s="65" t="s">
        <v>551</v>
      </c>
      <c r="N94" s="65"/>
      <c r="O94" s="68"/>
      <c r="P94" s="69" t="str">
        <f>IFERROR(VLOOKUP(TableAOPTarget[[#This Row],[RFC Date]],TableAopCalendar[[Date]:[Concatenate Month &amp; Week]],7,FALSE),"")</f>
        <v/>
      </c>
      <c r="Q94" s="68"/>
      <c r="R94" s="69" t="str">
        <f>IFERROR(VLOOKUP(TableAOPTarget[[#This Row],[Actual Start Date]],TableAopCalendar[[Date]:[Concatenate Month &amp; Week]],7,FALSE),"")</f>
        <v/>
      </c>
      <c r="S94" s="69">
        <v>0</v>
      </c>
      <c r="T94" s="68">
        <f>TableAOPTarget[[#This Row],[Actual Start Date]]+TableAOPTarget[[#This Row],[Standard Duration]]</f>
        <v>0</v>
      </c>
      <c r="U94" s="65" t="str">
        <f>IFERROR(VLOOKUP(TableAOPTarget[[#This Row],[Planned Finish Date]],TableAopCalendar[[Date]:[Concatenate Month &amp; Week]],7,FALSE),"")</f>
        <v/>
      </c>
      <c r="V94" s="68"/>
      <c r="W94" s="65" t="str">
        <f>IFERROR(VLOOKUP(TableAOPTarget[[#This Row],[Actual Finish Date]],TableAopCalendar[[Date]:[Concatenate Month &amp; Week]],7,FALSE),"")</f>
        <v/>
      </c>
      <c r="X94" s="68"/>
      <c r="Y94" s="69" t="str">
        <f>IFERROR(VLOOKUP(TableAOPTarget[[#This Row],[Forecasted Finish Date]],TableAopCalendar[[Date]:[Concatenate Month &amp; Week]],7,FALSE),"")</f>
        <v/>
      </c>
      <c r="Z94" s="68"/>
      <c r="AA94" s="65" t="str">
        <f>IF(OR(TableAOPTarget[[#This Row],[EPC Status]]="EPC Ready",TableAOPTarget[[#This Row],[EPC Status]]="WIP",TableAOPTarget[[#This Row],[EPC Status]]="YTS"),INDEX(TableAopCalendar[Concatenate Month &amp; Plan],MATCH(TableAOPTarget[[#This Row],[Planned Finish Date]],TableAopCalendar[Date],0))," ")</f>
        <v xml:space="preserve"> </v>
      </c>
      <c r="AB94" s="65" t="str">
        <f>IF(TableAOPTarget[[#This Row],[EPC Status]]="EPC Ready",INDEX(TableAopCalendar[Month for Plan],MATCH(TableAOPTarget[[#This Row],[Actual Finish Date]],TableAopCalendar[Date],0))," ")</f>
        <v xml:space="preserve"> </v>
      </c>
      <c r="AC94" s="70" t="s">
        <v>505</v>
      </c>
      <c r="AD94" s="63" t="str">
        <f>VLOOKUP(TableAOPTarget[[#This Row],[Site Name]],[17]Backup!$E:$F,2,0)</f>
        <v>11. HOLD</v>
      </c>
      <c r="AE94" s="71"/>
      <c r="AF94" s="60" t="str">
        <f>VLOOKUP(TableAOPTarget[[#This Row],[Site Name]],[17]Backup!$E:$GG,185,0)</f>
        <v>2026-2027</v>
      </c>
    </row>
    <row r="95" spans="1:32" ht="46.8" x14ac:dyDescent="0.3">
      <c r="A95" s="64" t="s">
        <v>413</v>
      </c>
      <c r="B95" s="64">
        <v>94</v>
      </c>
      <c r="C95" s="87" t="s">
        <v>63</v>
      </c>
      <c r="D95" s="63" t="s">
        <v>224</v>
      </c>
      <c r="E95" s="65" t="s">
        <v>212</v>
      </c>
      <c r="F95" s="66" t="s">
        <v>352</v>
      </c>
      <c r="G95" s="66" t="s">
        <v>348</v>
      </c>
      <c r="H95" s="66" t="s">
        <v>349</v>
      </c>
      <c r="I95" s="66" t="s">
        <v>364</v>
      </c>
      <c r="J95" s="59" t="s">
        <v>450</v>
      </c>
      <c r="K95" s="65" t="s">
        <v>474</v>
      </c>
      <c r="L95" s="67">
        <v>400</v>
      </c>
      <c r="M95" s="65" t="s">
        <v>552</v>
      </c>
      <c r="N95" s="65"/>
      <c r="O95" s="68"/>
      <c r="P95" s="69" t="str">
        <f>IFERROR(VLOOKUP(TableAOPTarget[[#This Row],[RFC Date]],TableAopCalendar[[Date]:[Concatenate Month &amp; Week]],7,FALSE),"")</f>
        <v/>
      </c>
      <c r="Q95" s="68"/>
      <c r="R95" s="69" t="str">
        <f>IFERROR(VLOOKUP(TableAOPTarget[[#This Row],[Actual Start Date]],TableAopCalendar[[Date]:[Concatenate Month &amp; Week]],7,FALSE),"")</f>
        <v/>
      </c>
      <c r="S95" s="69">
        <v>0</v>
      </c>
      <c r="T95" s="68">
        <f>TableAOPTarget[[#This Row],[Actual Start Date]]+TableAOPTarget[[#This Row],[Standard Duration]]</f>
        <v>0</v>
      </c>
      <c r="U95" s="65" t="str">
        <f>IFERROR(VLOOKUP(TableAOPTarget[[#This Row],[Planned Finish Date]],TableAopCalendar[[Date]:[Concatenate Month &amp; Week]],7,FALSE),"")</f>
        <v/>
      </c>
      <c r="V95" s="68"/>
      <c r="W95" s="65" t="str">
        <f>IFERROR(VLOOKUP(TableAOPTarget[[#This Row],[Actual Finish Date]],TableAopCalendar[[Date]:[Concatenate Month &amp; Week]],7,FALSE),"")</f>
        <v/>
      </c>
      <c r="X95" s="68"/>
      <c r="Y95" s="69" t="str">
        <f>IFERROR(VLOOKUP(TableAOPTarget[[#This Row],[Forecasted Finish Date]],TableAopCalendar[[Date]:[Concatenate Month &amp; Week]],7,FALSE),"")</f>
        <v/>
      </c>
      <c r="Z95" s="68"/>
      <c r="AA95" s="65" t="str">
        <f>IF(OR(TableAOPTarget[[#This Row],[EPC Status]]="EPC Ready",TableAOPTarget[[#This Row],[EPC Status]]="WIP",TableAOPTarget[[#This Row],[EPC Status]]="YTS"),INDEX(TableAopCalendar[Concatenate Month &amp; Plan],MATCH(TableAOPTarget[[#This Row],[Planned Finish Date]],TableAopCalendar[Date],0))," ")</f>
        <v xml:space="preserve"> </v>
      </c>
      <c r="AB95" s="65" t="str">
        <f>IF(TableAOPTarget[[#This Row],[EPC Status]]="EPC Ready",INDEX(TableAopCalendar[Month for Plan],MATCH(TableAOPTarget[[#This Row],[Actual Finish Date]],TableAopCalendar[Date],0))," ")</f>
        <v xml:space="preserve"> </v>
      </c>
      <c r="AC95" s="70" t="s">
        <v>505</v>
      </c>
      <c r="AD95" s="63" t="str">
        <f>VLOOKUP(TableAOPTarget[[#This Row],[Site Name]],[17]Backup!$E:$F,2,0)</f>
        <v>11. HOLD</v>
      </c>
      <c r="AE95" s="71"/>
      <c r="AF95" s="60" t="str">
        <f>VLOOKUP(TableAOPTarget[[#This Row],[Site Name]],[17]Backup!$E:$GG,185,0)</f>
        <v>2026-2027</v>
      </c>
    </row>
    <row r="96" spans="1:32" x14ac:dyDescent="0.3">
      <c r="A96" s="64" t="s">
        <v>530</v>
      </c>
      <c r="B96" s="64">
        <v>95</v>
      </c>
      <c r="C96" s="87" t="s">
        <v>42</v>
      </c>
      <c r="D96" s="63" t="s">
        <v>225</v>
      </c>
      <c r="E96" s="65" t="s">
        <v>504</v>
      </c>
      <c r="F96" s="66" t="s">
        <v>341</v>
      </c>
      <c r="G96" s="66" t="s">
        <v>342</v>
      </c>
      <c r="H96" s="66" t="s">
        <v>343</v>
      </c>
      <c r="I96" s="66" t="s">
        <v>353</v>
      </c>
      <c r="J96" s="59" t="s">
        <v>528</v>
      </c>
      <c r="K96" s="65" t="s">
        <v>365</v>
      </c>
      <c r="L96" s="159">
        <v>147.25</v>
      </c>
      <c r="M96" s="69"/>
      <c r="N96" s="69"/>
      <c r="O96" s="68"/>
      <c r="P96" s="69" t="str">
        <f>IFERROR(VLOOKUP(TableAOPTarget[[#This Row],[RFC Date]],TableAopCalendar[[Date]:[Concatenate Month &amp; Week]],7,FALSE),"")</f>
        <v/>
      </c>
      <c r="Q96" s="68"/>
      <c r="R96" s="69" t="str">
        <f>IFERROR(VLOOKUP(TableAOPTarget[[#This Row],[Actual Start Date]],TableAopCalendar[[Date]:[Concatenate Month &amp; Week]],7,FALSE),"")</f>
        <v/>
      </c>
      <c r="S96" s="69"/>
      <c r="T96" s="68">
        <f>TableAOPTarget[[#This Row],[Actual Start Date]]+TableAOPTarget[[#This Row],[Standard Duration]]</f>
        <v>0</v>
      </c>
      <c r="U96" s="65" t="str">
        <f>IFERROR(VLOOKUP(TableAOPTarget[[#This Row],[Planned Finish Date]],TableAopCalendar[[Date]:[Concatenate Month &amp; Week]],7,FALSE),"")</f>
        <v/>
      </c>
      <c r="V96" s="68"/>
      <c r="W96" s="69" t="str">
        <f>IFERROR(VLOOKUP(TableAOPTarget[[#This Row],[Actual Finish Date]],TableAopCalendar[[Date]:[Concatenate Month &amp; Week]],7,FALSE),"")</f>
        <v/>
      </c>
      <c r="X96" s="68"/>
      <c r="Y96" s="69" t="str">
        <f>IFERROR(VLOOKUP(TableAOPTarget[[#This Row],[Forecasted Finish Date]],TableAopCalendar[[Date]:[Concatenate Month &amp; Week]],7,FALSE),"")</f>
        <v/>
      </c>
      <c r="Z96" s="68"/>
      <c r="AA96" s="69" t="str">
        <f>IF(OR(TableAOPTarget[[#This Row],[EPC Status]]="EPC Ready",TableAOPTarget[[#This Row],[EPC Status]]="WIP",TableAOPTarget[[#This Row],[EPC Status]]="YTS"),INDEX(TableAopCalendar[Concatenate Month &amp; Plan],MATCH(TableAOPTarget[[#This Row],[Planned Finish Date]],TableAopCalendar[Date],0))," ")</f>
        <v xml:space="preserve"> </v>
      </c>
      <c r="AB96" s="69" t="str">
        <f>IF(TableAOPTarget[[#This Row],[EPC Status]]="EPC Ready",INDEX(TableAopCalendar[Month for Plan],MATCH(TableAOPTarget[[#This Row],[Actual Finish Date]],TableAopCalendar[Date],0))," ")</f>
        <v xml:space="preserve"> </v>
      </c>
      <c r="AC96" s="87" t="s">
        <v>694</v>
      </c>
      <c r="AD96" s="63" t="str">
        <f>VLOOKUP(TableAOPTarget[[#This Row],[Site Name]],[17]Backup!$E:$F,2,0)</f>
        <v>1. SDR in Progress</v>
      </c>
      <c r="AE96" s="71"/>
      <c r="AF96" s="60" t="str">
        <f>VLOOKUP(TableAOPTarget[[#This Row],[Site Name]],[17]Backup!$E:$GG,185,0)</f>
        <v>2026-2027</v>
      </c>
    </row>
    <row r="97" spans="1:32" x14ac:dyDescent="0.3">
      <c r="A97" s="64" t="s">
        <v>559</v>
      </c>
      <c r="B97" s="64">
        <v>96</v>
      </c>
      <c r="C97" s="87" t="s">
        <v>42</v>
      </c>
      <c r="D97" s="63" t="s">
        <v>225</v>
      </c>
      <c r="E97" s="65" t="s">
        <v>504</v>
      </c>
      <c r="F97" s="66" t="s">
        <v>341</v>
      </c>
      <c r="G97" s="66" t="s">
        <v>342</v>
      </c>
      <c r="H97" s="66" t="s">
        <v>343</v>
      </c>
      <c r="I97" s="66" t="s">
        <v>353</v>
      </c>
      <c r="J97" s="59" t="s">
        <v>572</v>
      </c>
      <c r="K97" s="65" t="s">
        <v>365</v>
      </c>
      <c r="L97" s="67"/>
      <c r="M97" s="69"/>
      <c r="N97" s="69"/>
      <c r="O97" s="68"/>
      <c r="P97" s="69" t="str">
        <f>IFERROR(VLOOKUP(TableAOPTarget[[#This Row],[RFC Date]],TableAopCalendar[[Date]:[Concatenate Month &amp; Week]],7,FALSE),"")</f>
        <v/>
      </c>
      <c r="Q97" s="68"/>
      <c r="R97" s="69" t="str">
        <f>IFERROR(VLOOKUP(TableAOPTarget[[#This Row],[Actual Start Date]],TableAopCalendar[[Date]:[Concatenate Month &amp; Week]],7,FALSE),"")</f>
        <v/>
      </c>
      <c r="S97" s="69"/>
      <c r="T97" s="68">
        <f>TableAOPTarget[[#This Row],[Actual Start Date]]+TableAOPTarget[[#This Row],[Standard Duration]]</f>
        <v>0</v>
      </c>
      <c r="U97" s="65" t="str">
        <f>IFERROR(VLOOKUP(TableAOPTarget[[#This Row],[Planned Finish Date]],TableAopCalendar[[Date]:[Concatenate Month &amp; Week]],7,FALSE),"")</f>
        <v/>
      </c>
      <c r="V97" s="68"/>
      <c r="W97" s="69" t="str">
        <f>IFERROR(VLOOKUP(TableAOPTarget[[#This Row],[Actual Finish Date]],TableAopCalendar[[Date]:[Concatenate Month &amp; Week]],7,FALSE),"")</f>
        <v/>
      </c>
      <c r="X97" s="68"/>
      <c r="Y97" s="69" t="str">
        <f>IFERROR(VLOOKUP(TableAOPTarget[[#This Row],[Forecasted Finish Date]],TableAopCalendar[[Date]:[Concatenate Month &amp; Week]],7,FALSE),"")</f>
        <v/>
      </c>
      <c r="Z97" s="68"/>
      <c r="AA97" s="69" t="str">
        <f>IF(OR(TableAOPTarget[[#This Row],[EPC Status]]="EPC Ready",TableAOPTarget[[#This Row],[EPC Status]]="WIP",TableAOPTarget[[#This Row],[EPC Status]]="YTS"),INDEX(TableAopCalendar[Concatenate Month &amp; Plan],MATCH(TableAOPTarget[[#This Row],[Planned Finish Date]],TableAopCalendar[Date],0))," ")</f>
        <v xml:space="preserve"> </v>
      </c>
      <c r="AB97" s="69" t="str">
        <f>IF(TableAOPTarget[[#This Row],[EPC Status]]="EPC Ready",INDEX(TableAopCalendar[Month for Plan],MATCH(TableAOPTarget[[#This Row],[Actual Finish Date]],TableAopCalendar[Date],0))," ")</f>
        <v xml:space="preserve"> </v>
      </c>
      <c r="AC97" s="87" t="s">
        <v>505</v>
      </c>
      <c r="AD97" s="63" t="str">
        <f>VLOOKUP(TableAOPTarget[[#This Row],[Site Name]],[17]Backup!$E:$F,2,0)</f>
        <v>11. HOLD</v>
      </c>
      <c r="AE97" s="71"/>
      <c r="AF97" s="60" t="str">
        <f>VLOOKUP(TableAOPTarget[[#This Row],[Site Name]],[17]Backup!$E:$GG,185,0)</f>
        <v>2026-2027</v>
      </c>
    </row>
    <row r="98" spans="1:32" x14ac:dyDescent="0.3">
      <c r="A98" s="64" t="s">
        <v>619</v>
      </c>
      <c r="B98" s="64">
        <v>97</v>
      </c>
      <c r="C98" s="87" t="s">
        <v>42</v>
      </c>
      <c r="D98" s="63" t="s">
        <v>225</v>
      </c>
      <c r="E98" s="65" t="s">
        <v>504</v>
      </c>
      <c r="F98" s="66" t="s">
        <v>341</v>
      </c>
      <c r="G98" s="66" t="s">
        <v>342</v>
      </c>
      <c r="H98" s="66" t="s">
        <v>343</v>
      </c>
      <c r="I98" s="66" t="s">
        <v>353</v>
      </c>
      <c r="J98" s="59" t="s">
        <v>616</v>
      </c>
      <c r="K98" s="65" t="s">
        <v>419</v>
      </c>
      <c r="L98" s="67"/>
      <c r="M98" s="69"/>
      <c r="N98" s="69"/>
      <c r="O98" s="68"/>
      <c r="P98" s="69" t="str">
        <f>IFERROR(VLOOKUP(TableAOPTarget[[#This Row],[RFC Date]],TableAopCalendar[[Date]:[Concatenate Month &amp; Week]],7,FALSE),"")</f>
        <v/>
      </c>
      <c r="Q98" s="68"/>
      <c r="R98" s="69" t="str">
        <f>IFERROR(VLOOKUP(TableAOPTarget[[#This Row],[Actual Start Date]],TableAopCalendar[[Date]:[Concatenate Month &amp; Week]],7,FALSE),"")</f>
        <v/>
      </c>
      <c r="S98" s="69"/>
      <c r="T98" s="68">
        <f>TableAOPTarget[[#This Row],[Actual Start Date]]+TableAOPTarget[[#This Row],[Standard Duration]]</f>
        <v>0</v>
      </c>
      <c r="U98" s="69" t="str">
        <f>IFERROR(VLOOKUP(TableAOPTarget[[#This Row],[Planned Finish Date]],TableAopCalendar[[Date]:[Concatenate Month &amp; Week]],7,FALSE),"")</f>
        <v/>
      </c>
      <c r="V98" s="68"/>
      <c r="W98" s="69" t="str">
        <f>IFERROR(VLOOKUP(TableAOPTarget[[#This Row],[Actual Finish Date]],TableAopCalendar[[Date]:[Concatenate Month &amp; Week]],7,FALSE),"")</f>
        <v/>
      </c>
      <c r="X98" s="68"/>
      <c r="Y98" s="69" t="str">
        <f>IFERROR(VLOOKUP(TableAOPTarget[[#This Row],[Forecasted Finish Date]],TableAopCalendar[[Date]:[Concatenate Month &amp; Week]],7,FALSE),"")</f>
        <v/>
      </c>
      <c r="Z98" s="68"/>
      <c r="AA98" s="69" t="str">
        <f>IF(OR(TableAOPTarget[[#This Row],[EPC Status]]="EPC Ready",TableAOPTarget[[#This Row],[EPC Status]]="WIP",TableAOPTarget[[#This Row],[EPC Status]]="YTS"),INDEX(TableAopCalendar[Concatenate Month &amp; Plan],MATCH(TableAOPTarget[[#This Row],[Planned Finish Date]],TableAopCalendar[Date],0))," ")</f>
        <v xml:space="preserve"> </v>
      </c>
      <c r="AB98" s="69" t="str">
        <f>IF(TableAOPTarget[[#This Row],[EPC Status]]="EPC Ready",INDEX(TableAopCalendar[Month for Plan],MATCH(TableAOPTarget[[#This Row],[Actual Finish Date]],TableAopCalendar[Date],0))," ")</f>
        <v xml:space="preserve"> </v>
      </c>
      <c r="AC98" s="87" t="s">
        <v>505</v>
      </c>
      <c r="AD98" s="87" t="str">
        <f>VLOOKUP(TableAOPTarget[[#This Row],[Site Name]],[17]Backup!$E:$F,2,0)</f>
        <v>11. HOLD</v>
      </c>
      <c r="AE98" s="71"/>
      <c r="AF98" s="60" t="str">
        <f>VLOOKUP(TableAOPTarget[[#This Row],[Site Name]],[17]Backup!$E:$GG,185,0)</f>
        <v>2026-2027</v>
      </c>
    </row>
    <row r="99" spans="1:32" x14ac:dyDescent="0.3">
      <c r="A99" s="64" t="s">
        <v>651</v>
      </c>
      <c r="B99" s="64">
        <v>98</v>
      </c>
      <c r="C99" s="87" t="s">
        <v>42</v>
      </c>
      <c r="D99" s="63" t="s">
        <v>225</v>
      </c>
      <c r="E99" s="65" t="s">
        <v>504</v>
      </c>
      <c r="F99" s="66" t="s">
        <v>341</v>
      </c>
      <c r="G99" s="66" t="s">
        <v>342</v>
      </c>
      <c r="H99" s="66" t="s">
        <v>343</v>
      </c>
      <c r="I99" s="66" t="s">
        <v>353</v>
      </c>
      <c r="J99" s="59" t="s">
        <v>643</v>
      </c>
      <c r="K99" s="65" t="s">
        <v>419</v>
      </c>
      <c r="L99" s="67"/>
      <c r="M99" s="69"/>
      <c r="N99" s="69"/>
      <c r="O99" s="68"/>
      <c r="P99" s="69" t="str">
        <f>IFERROR(VLOOKUP(TableAOPTarget[[#This Row],[RFC Date]],TableAopCalendar[[Date]:[Concatenate Month &amp; Week]],7,FALSE),"")</f>
        <v/>
      </c>
      <c r="Q99" s="68"/>
      <c r="R99" s="69" t="str">
        <f>IFERROR(VLOOKUP(TableAOPTarget[[#This Row],[Actual Start Date]],TableAopCalendar[[Date]:[Concatenate Month &amp; Week]],7,FALSE),"")</f>
        <v/>
      </c>
      <c r="S99" s="69"/>
      <c r="T99" s="68">
        <f>TableAOPTarget[[#This Row],[Actual Start Date]]+TableAOPTarget[[#This Row],[Standard Duration]]</f>
        <v>0</v>
      </c>
      <c r="U99" s="69" t="str">
        <f>IFERROR(VLOOKUP(TableAOPTarget[[#This Row],[Planned Finish Date]],TableAopCalendar[[Date]:[Concatenate Month &amp; Week]],7,FALSE),"")</f>
        <v/>
      </c>
      <c r="V99" s="68"/>
      <c r="W99" s="69" t="str">
        <f>IFERROR(VLOOKUP(TableAOPTarget[[#This Row],[Actual Finish Date]],TableAopCalendar[[Date]:[Concatenate Month &amp; Week]],7,FALSE),"")</f>
        <v/>
      </c>
      <c r="X99" s="68"/>
      <c r="Y99" s="69" t="str">
        <f>IFERROR(VLOOKUP(TableAOPTarget[[#This Row],[Forecasted Finish Date]],TableAopCalendar[[Date]:[Concatenate Month &amp; Week]],7,FALSE),"")</f>
        <v/>
      </c>
      <c r="Z99" s="68"/>
      <c r="AA99" s="69" t="str">
        <f>IF(OR(TableAOPTarget[[#This Row],[EPC Status]]="EPC Ready",TableAOPTarget[[#This Row],[EPC Status]]="WIP",TableAOPTarget[[#This Row],[EPC Status]]="YTS"),INDEX(TableAopCalendar[Concatenate Month &amp; Plan],MATCH(TableAOPTarget[[#This Row],[Planned Finish Date]],TableAopCalendar[Date],0))," ")</f>
        <v xml:space="preserve"> </v>
      </c>
      <c r="AB99" s="69" t="str">
        <f>IF(TableAOPTarget[[#This Row],[EPC Status]]="EPC Ready",INDEX(TableAopCalendar[Month for Plan],MATCH(TableAOPTarget[[#This Row],[Actual Finish Date]],TableAopCalendar[Date],0))," ")</f>
        <v xml:space="preserve"> </v>
      </c>
      <c r="AC99" s="87" t="s">
        <v>505</v>
      </c>
      <c r="AD99" s="87" t="str">
        <f>VLOOKUP(TableAOPTarget[[#This Row],[Site Name]],[17]Backup!$E:$F,2,0)</f>
        <v>11. HOLD</v>
      </c>
      <c r="AE99" s="71"/>
      <c r="AF99" s="60" t="str">
        <f>VLOOKUP(TableAOPTarget[[#This Row],[Site Name]],[17]Backup!$E:$GG,185,0)</f>
        <v>2026-2027</v>
      </c>
    </row>
    <row r="100" spans="1:32" x14ac:dyDescent="0.3">
      <c r="A100" s="64" t="s">
        <v>701</v>
      </c>
      <c r="B100" s="64">
        <v>99</v>
      </c>
      <c r="C100" s="87" t="s">
        <v>42</v>
      </c>
      <c r="D100" s="63" t="s">
        <v>225</v>
      </c>
      <c r="E100" s="65" t="s">
        <v>504</v>
      </c>
      <c r="F100" s="66" t="s">
        <v>341</v>
      </c>
      <c r="G100" s="66" t="s">
        <v>342</v>
      </c>
      <c r="H100" s="66" t="s">
        <v>343</v>
      </c>
      <c r="I100" s="66" t="s">
        <v>353</v>
      </c>
      <c r="J100" s="59" t="s">
        <v>683</v>
      </c>
      <c r="K100" s="65" t="s">
        <v>365</v>
      </c>
      <c r="L100" s="67"/>
      <c r="M100" s="69"/>
      <c r="N100" s="69"/>
      <c r="O100" s="68"/>
      <c r="P100" s="69" t="str">
        <f>IFERROR(VLOOKUP(TableAOPTarget[[#This Row],[RFC Date]],TableAopCalendar[[Date]:[Concatenate Month &amp; Week]],7,FALSE),"")</f>
        <v/>
      </c>
      <c r="Q100" s="68"/>
      <c r="R100" s="69" t="str">
        <f>IFERROR(VLOOKUP(TableAOPTarget[[#This Row],[Actual Start Date]],TableAopCalendar[[Date]:[Concatenate Month &amp; Week]],7,FALSE),"")</f>
        <v/>
      </c>
      <c r="S100" s="69"/>
      <c r="T100" s="68">
        <f>TableAOPTarget[[#This Row],[Actual Start Date]]+TableAOPTarget[[#This Row],[Standard Duration]]</f>
        <v>0</v>
      </c>
      <c r="U100" s="69" t="str">
        <f>IFERROR(VLOOKUP(TableAOPTarget[[#This Row],[Planned Finish Date]],TableAopCalendar[[Date]:[Concatenate Month &amp; Week]],7,FALSE),"")</f>
        <v/>
      </c>
      <c r="V100" s="68"/>
      <c r="W100" s="69" t="str">
        <f>IFERROR(VLOOKUP(TableAOPTarget[[#This Row],[Actual Finish Date]],TableAopCalendar[[Date]:[Concatenate Month &amp; Week]],7,FALSE),"")</f>
        <v/>
      </c>
      <c r="X100" s="68"/>
      <c r="Y100" s="69" t="str">
        <f>IFERROR(VLOOKUP(TableAOPTarget[[#This Row],[Forecasted Finish Date]],TableAopCalendar[[Date]:[Concatenate Month &amp; Week]],7,FALSE),"")</f>
        <v/>
      </c>
      <c r="Z100" s="68"/>
      <c r="AA100" s="69" t="str">
        <f>IF(OR(TableAOPTarget[[#This Row],[EPC Status]]="EPC Ready",TableAOPTarget[[#This Row],[EPC Status]]="WIP",TableAOPTarget[[#This Row],[EPC Status]]="YTS"),INDEX(TableAopCalendar[Concatenate Month &amp; Plan],MATCH(TableAOPTarget[[#This Row],[Planned Finish Date]],TableAopCalendar[Date],0))," ")</f>
        <v xml:space="preserve"> </v>
      </c>
      <c r="AB100" s="69" t="str">
        <f>IF(TableAOPTarget[[#This Row],[EPC Status]]="EPC Ready",INDEX(TableAopCalendar[Month for Plan],MATCH(TableAOPTarget[[#This Row],[Actual Finish Date]],TableAopCalendar[Date],0))," ")</f>
        <v xml:space="preserve"> </v>
      </c>
      <c r="AC100" s="87" t="s">
        <v>506</v>
      </c>
      <c r="AD100" s="87" t="str">
        <f>VLOOKUP(TableAOPTarget[[#This Row],[Site Name]],[17]Backup!$E:$F,2,0)</f>
        <v>2. ML Awaited</v>
      </c>
      <c r="AE100" s="71"/>
      <c r="AF100" s="133">
        <f>VLOOKUP(TableAOPTarget[[#This Row],[Site Name]],[17]Backup!$E:$GG,185,0)</f>
        <v>0</v>
      </c>
    </row>
    <row r="101" spans="1:32" x14ac:dyDescent="0.3">
      <c r="A101" s="64" t="s">
        <v>702</v>
      </c>
      <c r="B101" s="64">
        <v>100</v>
      </c>
      <c r="C101" s="87" t="s">
        <v>42</v>
      </c>
      <c r="D101" s="63" t="s">
        <v>225</v>
      </c>
      <c r="E101" s="65" t="s">
        <v>504</v>
      </c>
      <c r="F101" s="66" t="s">
        <v>341</v>
      </c>
      <c r="G101" s="66" t="s">
        <v>342</v>
      </c>
      <c r="H101" s="66" t="s">
        <v>343</v>
      </c>
      <c r="I101" s="66" t="s">
        <v>353</v>
      </c>
      <c r="J101" s="59" t="s">
        <v>684</v>
      </c>
      <c r="K101" s="65" t="s">
        <v>365</v>
      </c>
      <c r="L101" s="67"/>
      <c r="M101" s="69"/>
      <c r="N101" s="69"/>
      <c r="O101" s="68"/>
      <c r="P101" s="69" t="str">
        <f>IFERROR(VLOOKUP(TableAOPTarget[[#This Row],[RFC Date]],TableAopCalendar[[Date]:[Concatenate Month &amp; Week]],7,FALSE),"")</f>
        <v/>
      </c>
      <c r="Q101" s="68"/>
      <c r="R101" s="69" t="str">
        <f>IFERROR(VLOOKUP(TableAOPTarget[[#This Row],[Actual Start Date]],TableAopCalendar[[Date]:[Concatenate Month &amp; Week]],7,FALSE),"")</f>
        <v/>
      </c>
      <c r="S101" s="69"/>
      <c r="T101" s="68">
        <f>TableAOPTarget[[#This Row],[Actual Start Date]]+TableAOPTarget[[#This Row],[Standard Duration]]</f>
        <v>0</v>
      </c>
      <c r="U101" s="69" t="str">
        <f>IFERROR(VLOOKUP(TableAOPTarget[[#This Row],[Planned Finish Date]],TableAopCalendar[[Date]:[Concatenate Month &amp; Week]],7,FALSE),"")</f>
        <v/>
      </c>
      <c r="V101" s="68"/>
      <c r="W101" s="69" t="str">
        <f>IFERROR(VLOOKUP(TableAOPTarget[[#This Row],[Actual Finish Date]],TableAopCalendar[[Date]:[Concatenate Month &amp; Week]],7,FALSE),"")</f>
        <v/>
      </c>
      <c r="X101" s="68"/>
      <c r="Y101" s="69" t="str">
        <f>IFERROR(VLOOKUP(TableAOPTarget[[#This Row],[Forecasted Finish Date]],TableAopCalendar[[Date]:[Concatenate Month &amp; Week]],7,FALSE),"")</f>
        <v/>
      </c>
      <c r="Z101" s="68"/>
      <c r="AA101" s="69" t="str">
        <f>IF(OR(TableAOPTarget[[#This Row],[EPC Status]]="EPC Ready",TableAOPTarget[[#This Row],[EPC Status]]="WIP",TableAOPTarget[[#This Row],[EPC Status]]="YTS"),INDEX(TableAopCalendar[Concatenate Month &amp; Plan],MATCH(TableAOPTarget[[#This Row],[Planned Finish Date]],TableAopCalendar[Date],0))," ")</f>
        <v xml:space="preserve"> </v>
      </c>
      <c r="AB101" s="69" t="str">
        <f>IF(TableAOPTarget[[#This Row],[EPC Status]]="EPC Ready",INDEX(TableAopCalendar[Month for Plan],MATCH(TableAOPTarget[[#This Row],[Actual Finish Date]],TableAopCalendar[Date],0))," ")</f>
        <v xml:space="preserve"> </v>
      </c>
      <c r="AC101" s="87" t="s">
        <v>506</v>
      </c>
      <c r="AD101" s="87" t="str">
        <f>VLOOKUP(TableAOPTarget[[#This Row],[Site Name]],[17]Backup!$E:$F,2,0)</f>
        <v>2. ML Awaited</v>
      </c>
      <c r="AE101" s="71"/>
      <c r="AF101" s="133">
        <f>VLOOKUP(TableAOPTarget[[#This Row],[Site Name]],[17]Backup!$E:$GG,185,0)</f>
        <v>0</v>
      </c>
    </row>
    <row r="102" spans="1:32" x14ac:dyDescent="0.3">
      <c r="A102" s="64" t="s">
        <v>703</v>
      </c>
      <c r="B102" s="64">
        <v>101</v>
      </c>
      <c r="C102" s="87" t="s">
        <v>42</v>
      </c>
      <c r="D102" s="63" t="s">
        <v>225</v>
      </c>
      <c r="E102" s="65" t="s">
        <v>504</v>
      </c>
      <c r="F102" s="66" t="s">
        <v>341</v>
      </c>
      <c r="G102" s="66" t="s">
        <v>342</v>
      </c>
      <c r="H102" s="66" t="s">
        <v>343</v>
      </c>
      <c r="I102" s="66" t="s">
        <v>353</v>
      </c>
      <c r="J102" s="59" t="s">
        <v>685</v>
      </c>
      <c r="K102" s="65" t="s">
        <v>365</v>
      </c>
      <c r="L102" s="67"/>
      <c r="M102" s="69"/>
      <c r="N102" s="69"/>
      <c r="O102" s="68"/>
      <c r="P102" s="69" t="str">
        <f>IFERROR(VLOOKUP(TableAOPTarget[[#This Row],[RFC Date]],TableAopCalendar[[Date]:[Concatenate Month &amp; Week]],7,FALSE),"")</f>
        <v/>
      </c>
      <c r="Q102" s="68"/>
      <c r="R102" s="69" t="str">
        <f>IFERROR(VLOOKUP(TableAOPTarget[[#This Row],[Actual Start Date]],TableAopCalendar[[Date]:[Concatenate Month &amp; Week]],7,FALSE),"")</f>
        <v/>
      </c>
      <c r="S102" s="69"/>
      <c r="T102" s="68">
        <f>TableAOPTarget[[#This Row],[Actual Start Date]]+TableAOPTarget[[#This Row],[Standard Duration]]</f>
        <v>0</v>
      </c>
      <c r="U102" s="69" t="str">
        <f>IFERROR(VLOOKUP(TableAOPTarget[[#This Row],[Planned Finish Date]],TableAopCalendar[[Date]:[Concatenate Month &amp; Week]],7,FALSE),"")</f>
        <v/>
      </c>
      <c r="V102" s="68"/>
      <c r="W102" s="69" t="str">
        <f>IFERROR(VLOOKUP(TableAOPTarget[[#This Row],[Actual Finish Date]],TableAopCalendar[[Date]:[Concatenate Month &amp; Week]],7,FALSE),"")</f>
        <v/>
      </c>
      <c r="X102" s="68"/>
      <c r="Y102" s="69" t="str">
        <f>IFERROR(VLOOKUP(TableAOPTarget[[#This Row],[Forecasted Finish Date]],TableAopCalendar[[Date]:[Concatenate Month &amp; Week]],7,FALSE),"")</f>
        <v/>
      </c>
      <c r="Z102" s="68"/>
      <c r="AA102" s="69" t="str">
        <f>IF(OR(TableAOPTarget[[#This Row],[EPC Status]]="EPC Ready",TableAOPTarget[[#This Row],[EPC Status]]="WIP",TableAOPTarget[[#This Row],[EPC Status]]="YTS"),INDEX(TableAopCalendar[Concatenate Month &amp; Plan],MATCH(TableAOPTarget[[#This Row],[Planned Finish Date]],TableAopCalendar[Date],0))," ")</f>
        <v xml:space="preserve"> </v>
      </c>
      <c r="AB102" s="69" t="str">
        <f>IF(TableAOPTarget[[#This Row],[EPC Status]]="EPC Ready",INDEX(TableAopCalendar[Month for Plan],MATCH(TableAOPTarget[[#This Row],[Actual Finish Date]],TableAopCalendar[Date],0))," ")</f>
        <v xml:space="preserve"> </v>
      </c>
      <c r="AC102" s="87" t="s">
        <v>506</v>
      </c>
      <c r="AD102" s="87" t="str">
        <f>VLOOKUP(TableAOPTarget[[#This Row],[Site Name]],[17]Backup!$E:$F,2,0)</f>
        <v>2. ML Awaited</v>
      </c>
      <c r="AE102" s="71"/>
      <c r="AF102" s="133">
        <f>VLOOKUP(TableAOPTarget[[#This Row],[Site Name]],[17]Backup!$E:$GG,185,0)</f>
        <v>0</v>
      </c>
    </row>
    <row r="103" spans="1:32" x14ac:dyDescent="0.3">
      <c r="A103" s="64" t="s">
        <v>704</v>
      </c>
      <c r="B103" s="64">
        <v>102</v>
      </c>
      <c r="C103" s="87" t="s">
        <v>42</v>
      </c>
      <c r="D103" s="63" t="s">
        <v>225</v>
      </c>
      <c r="E103" s="65" t="s">
        <v>504</v>
      </c>
      <c r="F103" s="66" t="s">
        <v>341</v>
      </c>
      <c r="G103" s="66" t="s">
        <v>342</v>
      </c>
      <c r="H103" s="66" t="s">
        <v>343</v>
      </c>
      <c r="I103" s="66" t="s">
        <v>353</v>
      </c>
      <c r="J103" s="59" t="s">
        <v>686</v>
      </c>
      <c r="K103" s="65" t="s">
        <v>419</v>
      </c>
      <c r="L103" s="67"/>
      <c r="M103" s="69"/>
      <c r="N103" s="69"/>
      <c r="O103" s="68"/>
      <c r="P103" s="69" t="str">
        <f>IFERROR(VLOOKUP(TableAOPTarget[[#This Row],[RFC Date]],TableAopCalendar[[Date]:[Concatenate Month &amp; Week]],7,FALSE),"")</f>
        <v/>
      </c>
      <c r="Q103" s="68"/>
      <c r="R103" s="69" t="str">
        <f>IFERROR(VLOOKUP(TableAOPTarget[[#This Row],[Actual Start Date]],TableAopCalendar[[Date]:[Concatenate Month &amp; Week]],7,FALSE),"")</f>
        <v/>
      </c>
      <c r="S103" s="69"/>
      <c r="T103" s="68">
        <f>TableAOPTarget[[#This Row],[Actual Start Date]]+TableAOPTarget[[#This Row],[Standard Duration]]</f>
        <v>0</v>
      </c>
      <c r="U103" s="69" t="str">
        <f>IFERROR(VLOOKUP(TableAOPTarget[[#This Row],[Planned Finish Date]],TableAopCalendar[[Date]:[Concatenate Month &amp; Week]],7,FALSE),"")</f>
        <v/>
      </c>
      <c r="V103" s="68"/>
      <c r="W103" s="69" t="str">
        <f>IFERROR(VLOOKUP(TableAOPTarget[[#This Row],[Actual Finish Date]],TableAopCalendar[[Date]:[Concatenate Month &amp; Week]],7,FALSE),"")</f>
        <v/>
      </c>
      <c r="X103" s="68"/>
      <c r="Y103" s="69" t="str">
        <f>IFERROR(VLOOKUP(TableAOPTarget[[#This Row],[Forecasted Finish Date]],TableAopCalendar[[Date]:[Concatenate Month &amp; Week]],7,FALSE),"")</f>
        <v/>
      </c>
      <c r="Z103" s="68"/>
      <c r="AA103" s="69" t="str">
        <f>IF(OR(TableAOPTarget[[#This Row],[EPC Status]]="EPC Ready",TableAOPTarget[[#This Row],[EPC Status]]="WIP",TableAOPTarget[[#This Row],[EPC Status]]="YTS"),INDEX(TableAopCalendar[Concatenate Month &amp; Plan],MATCH(TableAOPTarget[[#This Row],[Planned Finish Date]],TableAopCalendar[Date],0))," ")</f>
        <v xml:space="preserve"> </v>
      </c>
      <c r="AB103" s="69" t="str">
        <f>IF(TableAOPTarget[[#This Row],[EPC Status]]="EPC Ready",INDEX(TableAopCalendar[Month for Plan],MATCH(TableAOPTarget[[#This Row],[Actual Finish Date]],TableAopCalendar[Date],0))," ")</f>
        <v xml:space="preserve"> </v>
      </c>
      <c r="AC103" s="87" t="s">
        <v>505</v>
      </c>
      <c r="AD103" s="87" t="str">
        <f>VLOOKUP(TableAOPTarget[[#This Row],[Site Name]],[17]Backup!$E:$F,2,0)</f>
        <v>11. HOLD</v>
      </c>
      <c r="AE103" s="71"/>
      <c r="AF103" s="133">
        <f>VLOOKUP(TableAOPTarget[[#This Row],[Site Name]],[17]Backup!$E:$GG,185,0)</f>
        <v>0</v>
      </c>
    </row>
    <row r="104" spans="1:32" x14ac:dyDescent="0.3">
      <c r="A104" s="64" t="s">
        <v>705</v>
      </c>
      <c r="B104" s="64">
        <v>103</v>
      </c>
      <c r="C104" s="87" t="s">
        <v>42</v>
      </c>
      <c r="D104" s="63" t="s">
        <v>225</v>
      </c>
      <c r="E104" s="65" t="s">
        <v>504</v>
      </c>
      <c r="F104" s="66" t="s">
        <v>341</v>
      </c>
      <c r="G104" s="66" t="s">
        <v>342</v>
      </c>
      <c r="H104" s="66" t="s">
        <v>343</v>
      </c>
      <c r="I104" s="66" t="s">
        <v>353</v>
      </c>
      <c r="J104" s="59" t="s">
        <v>687</v>
      </c>
      <c r="K104" s="65" t="s">
        <v>419</v>
      </c>
      <c r="L104" s="67"/>
      <c r="M104" s="69"/>
      <c r="N104" s="69"/>
      <c r="O104" s="68"/>
      <c r="P104" s="69" t="str">
        <f>IFERROR(VLOOKUP(TableAOPTarget[[#This Row],[RFC Date]],TableAopCalendar[[Date]:[Concatenate Month &amp; Week]],7,FALSE),"")</f>
        <v/>
      </c>
      <c r="Q104" s="68"/>
      <c r="R104" s="69" t="str">
        <f>IFERROR(VLOOKUP(TableAOPTarget[[#This Row],[Actual Start Date]],TableAopCalendar[[Date]:[Concatenate Month &amp; Week]],7,FALSE),"")</f>
        <v/>
      </c>
      <c r="S104" s="69"/>
      <c r="T104" s="68">
        <f>TableAOPTarget[[#This Row],[Actual Start Date]]+TableAOPTarget[[#This Row],[Standard Duration]]</f>
        <v>0</v>
      </c>
      <c r="U104" s="69" t="str">
        <f>IFERROR(VLOOKUP(TableAOPTarget[[#This Row],[Planned Finish Date]],TableAopCalendar[[Date]:[Concatenate Month &amp; Week]],7,FALSE),"")</f>
        <v/>
      </c>
      <c r="V104" s="68"/>
      <c r="W104" s="69" t="str">
        <f>IFERROR(VLOOKUP(TableAOPTarget[[#This Row],[Actual Finish Date]],TableAopCalendar[[Date]:[Concatenate Month &amp; Week]],7,FALSE),"")</f>
        <v/>
      </c>
      <c r="X104" s="68"/>
      <c r="Y104" s="69" t="str">
        <f>IFERROR(VLOOKUP(TableAOPTarget[[#This Row],[Forecasted Finish Date]],TableAopCalendar[[Date]:[Concatenate Month &amp; Week]],7,FALSE),"")</f>
        <v/>
      </c>
      <c r="Z104" s="68"/>
      <c r="AA104" s="69" t="str">
        <f>IF(OR(TableAOPTarget[[#This Row],[EPC Status]]="EPC Ready",TableAOPTarget[[#This Row],[EPC Status]]="WIP",TableAOPTarget[[#This Row],[EPC Status]]="YTS"),INDEX(TableAopCalendar[Concatenate Month &amp; Plan],MATCH(TableAOPTarget[[#This Row],[Planned Finish Date]],TableAopCalendar[Date],0))," ")</f>
        <v xml:space="preserve"> </v>
      </c>
      <c r="AB104" s="69" t="str">
        <f>IF(TableAOPTarget[[#This Row],[EPC Status]]="EPC Ready",INDEX(TableAopCalendar[Month for Plan],MATCH(TableAOPTarget[[#This Row],[Actual Finish Date]],TableAopCalendar[Date],0))," ")</f>
        <v xml:space="preserve"> </v>
      </c>
      <c r="AC104" s="87" t="s">
        <v>505</v>
      </c>
      <c r="AD104" s="87" t="str">
        <f>VLOOKUP(TableAOPTarget[[#This Row],[Site Name]],[17]Backup!$E:$F,2,0)</f>
        <v>11. HOLD</v>
      </c>
      <c r="AE104" s="71"/>
      <c r="AF104" s="133">
        <f>VLOOKUP(TableAOPTarget[[#This Row],[Site Name]],[17]Backup!$E:$GG,185,0)</f>
        <v>0</v>
      </c>
    </row>
    <row r="105" spans="1:32" x14ac:dyDescent="0.3">
      <c r="A105" s="64" t="s">
        <v>706</v>
      </c>
      <c r="B105" s="64">
        <v>104</v>
      </c>
      <c r="C105" s="87" t="s">
        <v>42</v>
      </c>
      <c r="D105" s="63" t="s">
        <v>225</v>
      </c>
      <c r="E105" s="65" t="s">
        <v>504</v>
      </c>
      <c r="F105" s="66" t="s">
        <v>341</v>
      </c>
      <c r="G105" s="66" t="s">
        <v>342</v>
      </c>
      <c r="H105" s="66" t="s">
        <v>343</v>
      </c>
      <c r="I105" s="66" t="s">
        <v>353</v>
      </c>
      <c r="J105" s="59" t="s">
        <v>688</v>
      </c>
      <c r="K105" s="65" t="s">
        <v>419</v>
      </c>
      <c r="L105" s="67"/>
      <c r="M105" s="69"/>
      <c r="N105" s="69"/>
      <c r="O105" s="68"/>
      <c r="P105" s="69" t="str">
        <f>IFERROR(VLOOKUP(TableAOPTarget[[#This Row],[RFC Date]],TableAopCalendar[[Date]:[Concatenate Month &amp; Week]],7,FALSE),"")</f>
        <v/>
      </c>
      <c r="Q105" s="68"/>
      <c r="R105" s="69" t="str">
        <f>IFERROR(VLOOKUP(TableAOPTarget[[#This Row],[Actual Start Date]],TableAopCalendar[[Date]:[Concatenate Month &amp; Week]],7,FALSE),"")</f>
        <v/>
      </c>
      <c r="S105" s="69"/>
      <c r="T105" s="68">
        <f>TableAOPTarget[[#This Row],[Actual Start Date]]+TableAOPTarget[[#This Row],[Standard Duration]]</f>
        <v>0</v>
      </c>
      <c r="U105" s="69" t="str">
        <f>IFERROR(VLOOKUP(TableAOPTarget[[#This Row],[Planned Finish Date]],TableAopCalendar[[Date]:[Concatenate Month &amp; Week]],7,FALSE),"")</f>
        <v/>
      </c>
      <c r="V105" s="68"/>
      <c r="W105" s="69" t="str">
        <f>IFERROR(VLOOKUP(TableAOPTarget[[#This Row],[Actual Finish Date]],TableAopCalendar[[Date]:[Concatenate Month &amp; Week]],7,FALSE),"")</f>
        <v/>
      </c>
      <c r="X105" s="68"/>
      <c r="Y105" s="69" t="str">
        <f>IFERROR(VLOOKUP(TableAOPTarget[[#This Row],[Forecasted Finish Date]],TableAopCalendar[[Date]:[Concatenate Month &amp; Week]],7,FALSE),"")</f>
        <v/>
      </c>
      <c r="Z105" s="68"/>
      <c r="AA105" s="69" t="str">
        <f>IF(OR(TableAOPTarget[[#This Row],[EPC Status]]="EPC Ready",TableAOPTarget[[#This Row],[EPC Status]]="WIP",TableAOPTarget[[#This Row],[EPC Status]]="YTS"),INDEX(TableAopCalendar[Concatenate Month &amp; Plan],MATCH(TableAOPTarget[[#This Row],[Planned Finish Date]],TableAopCalendar[Date],0))," ")</f>
        <v xml:space="preserve"> </v>
      </c>
      <c r="AB105" s="69" t="str">
        <f>IF(TableAOPTarget[[#This Row],[EPC Status]]="EPC Ready",INDEX(TableAopCalendar[Month for Plan],MATCH(TableAOPTarget[[#This Row],[Actual Finish Date]],TableAopCalendar[Date],0))," ")</f>
        <v xml:space="preserve"> </v>
      </c>
      <c r="AC105" s="87" t="s">
        <v>505</v>
      </c>
      <c r="AD105" s="87" t="str">
        <f>VLOOKUP(TableAOPTarget[[#This Row],[Site Name]],[17]Backup!$E:$F,2,0)</f>
        <v>11. HOLD</v>
      </c>
      <c r="AE105" s="71"/>
      <c r="AF105" s="133">
        <f>VLOOKUP(TableAOPTarget[[#This Row],[Site Name]],[17]Backup!$E:$GG,185,0)</f>
        <v>0</v>
      </c>
    </row>
    <row r="106" spans="1:32" x14ac:dyDescent="0.3">
      <c r="A106" s="64" t="s">
        <v>707</v>
      </c>
      <c r="B106" s="64">
        <v>105</v>
      </c>
      <c r="C106" s="87" t="s">
        <v>42</v>
      </c>
      <c r="D106" s="63" t="s">
        <v>225</v>
      </c>
      <c r="E106" s="65" t="s">
        <v>504</v>
      </c>
      <c r="F106" s="66" t="s">
        <v>341</v>
      </c>
      <c r="G106" s="66" t="s">
        <v>342</v>
      </c>
      <c r="H106" s="66" t="s">
        <v>343</v>
      </c>
      <c r="I106" s="66" t="s">
        <v>353</v>
      </c>
      <c r="J106" s="59" t="s">
        <v>689</v>
      </c>
      <c r="K106" s="65" t="s">
        <v>419</v>
      </c>
      <c r="L106" s="67"/>
      <c r="M106" s="69"/>
      <c r="N106" s="69"/>
      <c r="O106" s="68"/>
      <c r="P106" s="69" t="str">
        <f>IFERROR(VLOOKUP(TableAOPTarget[[#This Row],[RFC Date]],TableAopCalendar[[Date]:[Concatenate Month &amp; Week]],7,FALSE),"")</f>
        <v/>
      </c>
      <c r="Q106" s="68"/>
      <c r="R106" s="69" t="str">
        <f>IFERROR(VLOOKUP(TableAOPTarget[[#This Row],[Actual Start Date]],TableAopCalendar[[Date]:[Concatenate Month &amp; Week]],7,FALSE),"")</f>
        <v/>
      </c>
      <c r="S106" s="69"/>
      <c r="T106" s="68">
        <f>TableAOPTarget[[#This Row],[Actual Start Date]]+TableAOPTarget[[#This Row],[Standard Duration]]</f>
        <v>0</v>
      </c>
      <c r="U106" s="69" t="str">
        <f>IFERROR(VLOOKUP(TableAOPTarget[[#This Row],[Planned Finish Date]],TableAopCalendar[[Date]:[Concatenate Month &amp; Week]],7,FALSE),"")</f>
        <v/>
      </c>
      <c r="V106" s="68"/>
      <c r="W106" s="69" t="str">
        <f>IFERROR(VLOOKUP(TableAOPTarget[[#This Row],[Actual Finish Date]],TableAopCalendar[[Date]:[Concatenate Month &amp; Week]],7,FALSE),"")</f>
        <v/>
      </c>
      <c r="X106" s="68"/>
      <c r="Y106" s="69" t="str">
        <f>IFERROR(VLOOKUP(TableAOPTarget[[#This Row],[Forecasted Finish Date]],TableAopCalendar[[Date]:[Concatenate Month &amp; Week]],7,FALSE),"")</f>
        <v/>
      </c>
      <c r="Z106" s="68"/>
      <c r="AA106" s="69" t="str">
        <f>IF(OR(TableAOPTarget[[#This Row],[EPC Status]]="EPC Ready",TableAOPTarget[[#This Row],[EPC Status]]="WIP",TableAOPTarget[[#This Row],[EPC Status]]="YTS"),INDEX(TableAopCalendar[Concatenate Month &amp; Plan],MATCH(TableAOPTarget[[#This Row],[Planned Finish Date]],TableAopCalendar[Date],0))," ")</f>
        <v xml:space="preserve"> </v>
      </c>
      <c r="AB106" s="69" t="str">
        <f>IF(TableAOPTarget[[#This Row],[EPC Status]]="EPC Ready",INDEX(TableAopCalendar[Month for Plan],MATCH(TableAOPTarget[[#This Row],[Actual Finish Date]],TableAopCalendar[Date],0))," ")</f>
        <v xml:space="preserve"> </v>
      </c>
      <c r="AC106" s="87" t="s">
        <v>505</v>
      </c>
      <c r="AD106" s="87" t="str">
        <f>VLOOKUP(TableAOPTarget[[#This Row],[Site Name]],[17]Backup!$E:$F,2,0)</f>
        <v>11. HOLD</v>
      </c>
      <c r="AE106" s="71"/>
      <c r="AF106" s="133">
        <f>VLOOKUP(TableAOPTarget[[#This Row],[Site Name]],[17]Backup!$E:$GG,185,0)</f>
        <v>0</v>
      </c>
    </row>
    <row r="107" spans="1:32" x14ac:dyDescent="0.3">
      <c r="A107" s="64" t="s">
        <v>708</v>
      </c>
      <c r="B107" s="64">
        <v>106</v>
      </c>
      <c r="C107" s="87" t="s">
        <v>42</v>
      </c>
      <c r="D107" s="63" t="s">
        <v>225</v>
      </c>
      <c r="E107" s="65" t="s">
        <v>504</v>
      </c>
      <c r="F107" s="66" t="s">
        <v>341</v>
      </c>
      <c r="G107" s="66" t="s">
        <v>342</v>
      </c>
      <c r="H107" s="66" t="s">
        <v>343</v>
      </c>
      <c r="I107" s="66" t="s">
        <v>353</v>
      </c>
      <c r="J107" s="59" t="s">
        <v>690</v>
      </c>
      <c r="K107" s="65" t="s">
        <v>419</v>
      </c>
      <c r="L107" s="67"/>
      <c r="M107" s="69"/>
      <c r="N107" s="69"/>
      <c r="O107" s="68"/>
      <c r="P107" s="69" t="str">
        <f>IFERROR(VLOOKUP(TableAOPTarget[[#This Row],[RFC Date]],TableAopCalendar[[Date]:[Concatenate Month &amp; Week]],7,FALSE),"")</f>
        <v/>
      </c>
      <c r="Q107" s="68"/>
      <c r="R107" s="69" t="str">
        <f>IFERROR(VLOOKUP(TableAOPTarget[[#This Row],[Actual Start Date]],TableAopCalendar[[Date]:[Concatenate Month &amp; Week]],7,FALSE),"")</f>
        <v/>
      </c>
      <c r="S107" s="69"/>
      <c r="T107" s="68">
        <f>TableAOPTarget[[#This Row],[Actual Start Date]]+TableAOPTarget[[#This Row],[Standard Duration]]</f>
        <v>0</v>
      </c>
      <c r="U107" s="69" t="str">
        <f>IFERROR(VLOOKUP(TableAOPTarget[[#This Row],[Planned Finish Date]],TableAopCalendar[[Date]:[Concatenate Month &amp; Week]],7,FALSE),"")</f>
        <v/>
      </c>
      <c r="V107" s="68"/>
      <c r="W107" s="69" t="str">
        <f>IFERROR(VLOOKUP(TableAOPTarget[[#This Row],[Actual Finish Date]],TableAopCalendar[[Date]:[Concatenate Month &amp; Week]],7,FALSE),"")</f>
        <v/>
      </c>
      <c r="X107" s="68"/>
      <c r="Y107" s="69" t="str">
        <f>IFERROR(VLOOKUP(TableAOPTarget[[#This Row],[Forecasted Finish Date]],TableAopCalendar[[Date]:[Concatenate Month &amp; Week]],7,FALSE),"")</f>
        <v/>
      </c>
      <c r="Z107" s="68"/>
      <c r="AA107" s="69" t="str">
        <f>IF(OR(TableAOPTarget[[#This Row],[EPC Status]]="EPC Ready",TableAOPTarget[[#This Row],[EPC Status]]="WIP",TableAOPTarget[[#This Row],[EPC Status]]="YTS"),INDEX(TableAopCalendar[Concatenate Month &amp; Plan],MATCH(TableAOPTarget[[#This Row],[Planned Finish Date]],TableAopCalendar[Date],0))," ")</f>
        <v xml:space="preserve"> </v>
      </c>
      <c r="AB107" s="69" t="str">
        <f>IF(TableAOPTarget[[#This Row],[EPC Status]]="EPC Ready",INDEX(TableAopCalendar[Month for Plan],MATCH(TableAOPTarget[[#This Row],[Actual Finish Date]],TableAopCalendar[Date],0))," ")</f>
        <v xml:space="preserve"> </v>
      </c>
      <c r="AC107" s="87" t="s">
        <v>505</v>
      </c>
      <c r="AD107" s="87" t="str">
        <f>VLOOKUP(TableAOPTarget[[#This Row],[Site Name]],[17]Backup!$E:$F,2,0)</f>
        <v>11. HOLD</v>
      </c>
      <c r="AE107" s="71"/>
      <c r="AF107" s="133">
        <f>VLOOKUP(TableAOPTarget[[#This Row],[Site Name]],[17]Backup!$E:$GG,185,0)</f>
        <v>0</v>
      </c>
    </row>
    <row r="108" spans="1:32" x14ac:dyDescent="0.3">
      <c r="A108" s="64" t="s">
        <v>709</v>
      </c>
      <c r="B108" s="64">
        <v>107</v>
      </c>
      <c r="C108" s="87" t="s">
        <v>42</v>
      </c>
      <c r="D108" s="63" t="s">
        <v>225</v>
      </c>
      <c r="E108" s="65" t="s">
        <v>504</v>
      </c>
      <c r="F108" s="66" t="s">
        <v>341</v>
      </c>
      <c r="G108" s="66" t="s">
        <v>342</v>
      </c>
      <c r="H108" s="66" t="s">
        <v>343</v>
      </c>
      <c r="I108" s="66" t="s">
        <v>353</v>
      </c>
      <c r="J108" s="59" t="s">
        <v>691</v>
      </c>
      <c r="K108" s="65" t="s">
        <v>419</v>
      </c>
      <c r="L108" s="67"/>
      <c r="M108" s="69"/>
      <c r="N108" s="69"/>
      <c r="O108" s="68"/>
      <c r="P108" s="69" t="str">
        <f>IFERROR(VLOOKUP(TableAOPTarget[[#This Row],[RFC Date]],TableAopCalendar[[Date]:[Concatenate Month &amp; Week]],7,FALSE),"")</f>
        <v/>
      </c>
      <c r="Q108" s="68"/>
      <c r="R108" s="69" t="str">
        <f>IFERROR(VLOOKUP(TableAOPTarget[[#This Row],[Actual Start Date]],TableAopCalendar[[Date]:[Concatenate Month &amp; Week]],7,FALSE),"")</f>
        <v/>
      </c>
      <c r="S108" s="69"/>
      <c r="T108" s="68">
        <f>TableAOPTarget[[#This Row],[Actual Start Date]]+TableAOPTarget[[#This Row],[Standard Duration]]</f>
        <v>0</v>
      </c>
      <c r="U108" s="69" t="str">
        <f>IFERROR(VLOOKUP(TableAOPTarget[[#This Row],[Planned Finish Date]],TableAopCalendar[[Date]:[Concatenate Month &amp; Week]],7,FALSE),"")</f>
        <v/>
      </c>
      <c r="V108" s="68"/>
      <c r="W108" s="69" t="str">
        <f>IFERROR(VLOOKUP(TableAOPTarget[[#This Row],[Actual Finish Date]],TableAopCalendar[[Date]:[Concatenate Month &amp; Week]],7,FALSE),"")</f>
        <v/>
      </c>
      <c r="X108" s="68"/>
      <c r="Y108" s="69" t="str">
        <f>IFERROR(VLOOKUP(TableAOPTarget[[#This Row],[Forecasted Finish Date]],TableAopCalendar[[Date]:[Concatenate Month &amp; Week]],7,FALSE),"")</f>
        <v/>
      </c>
      <c r="Z108" s="68"/>
      <c r="AA108" s="69" t="str">
        <f>IF(OR(TableAOPTarget[[#This Row],[EPC Status]]="EPC Ready",TableAOPTarget[[#This Row],[EPC Status]]="WIP",TableAOPTarget[[#This Row],[EPC Status]]="YTS"),INDEX(TableAopCalendar[Concatenate Month &amp; Plan],MATCH(TableAOPTarget[[#This Row],[Planned Finish Date]],TableAopCalendar[Date],0))," ")</f>
        <v xml:space="preserve"> </v>
      </c>
      <c r="AB108" s="69" t="str">
        <f>IF(TableAOPTarget[[#This Row],[EPC Status]]="EPC Ready",INDEX(TableAopCalendar[Month for Plan],MATCH(TableAOPTarget[[#This Row],[Actual Finish Date]],TableAopCalendar[Date],0))," ")</f>
        <v xml:space="preserve"> </v>
      </c>
      <c r="AC108" s="87" t="s">
        <v>505</v>
      </c>
      <c r="AD108" s="87" t="str">
        <f>VLOOKUP(TableAOPTarget[[#This Row],[Site Name]],[17]Backup!$E:$F,2,0)</f>
        <v>11. HOLD</v>
      </c>
      <c r="AE108" s="71"/>
      <c r="AF108" s="133">
        <f>VLOOKUP(TableAOPTarget[[#This Row],[Site Name]],[17]Backup!$E:$GG,185,0)</f>
        <v>0</v>
      </c>
    </row>
    <row r="109" spans="1:32" x14ac:dyDescent="0.3">
      <c r="A109" s="64" t="s">
        <v>710</v>
      </c>
      <c r="B109" s="64">
        <v>108</v>
      </c>
      <c r="C109" s="87" t="s">
        <v>42</v>
      </c>
      <c r="D109" s="63" t="s">
        <v>225</v>
      </c>
      <c r="E109" s="65" t="s">
        <v>504</v>
      </c>
      <c r="F109" s="66" t="s">
        <v>341</v>
      </c>
      <c r="G109" s="66" t="s">
        <v>342</v>
      </c>
      <c r="H109" s="66" t="s">
        <v>343</v>
      </c>
      <c r="I109" s="66" t="s">
        <v>353</v>
      </c>
      <c r="J109" s="59" t="s">
        <v>692</v>
      </c>
      <c r="K109" s="65" t="s">
        <v>419</v>
      </c>
      <c r="L109" s="67"/>
      <c r="M109" s="69"/>
      <c r="N109" s="69"/>
      <c r="O109" s="68"/>
      <c r="P109" s="69" t="str">
        <f>IFERROR(VLOOKUP(TableAOPTarget[[#This Row],[RFC Date]],TableAopCalendar[[Date]:[Concatenate Month &amp; Week]],7,FALSE),"")</f>
        <v/>
      </c>
      <c r="Q109" s="68"/>
      <c r="R109" s="69" t="str">
        <f>IFERROR(VLOOKUP(TableAOPTarget[[#This Row],[Actual Start Date]],TableAopCalendar[[Date]:[Concatenate Month &amp; Week]],7,FALSE),"")</f>
        <v/>
      </c>
      <c r="S109" s="69"/>
      <c r="T109" s="68">
        <f>TableAOPTarget[[#This Row],[Actual Start Date]]+TableAOPTarget[[#This Row],[Standard Duration]]</f>
        <v>0</v>
      </c>
      <c r="U109" s="69" t="str">
        <f>IFERROR(VLOOKUP(TableAOPTarget[[#This Row],[Planned Finish Date]],TableAopCalendar[[Date]:[Concatenate Month &amp; Week]],7,FALSE),"")</f>
        <v/>
      </c>
      <c r="V109" s="68"/>
      <c r="W109" s="69" t="str">
        <f>IFERROR(VLOOKUP(TableAOPTarget[[#This Row],[Actual Finish Date]],TableAopCalendar[[Date]:[Concatenate Month &amp; Week]],7,FALSE),"")</f>
        <v/>
      </c>
      <c r="X109" s="68"/>
      <c r="Y109" s="69" t="str">
        <f>IFERROR(VLOOKUP(TableAOPTarget[[#This Row],[Forecasted Finish Date]],TableAopCalendar[[Date]:[Concatenate Month &amp; Week]],7,FALSE),"")</f>
        <v/>
      </c>
      <c r="Z109" s="68"/>
      <c r="AA109" s="69" t="str">
        <f>IF(OR(TableAOPTarget[[#This Row],[EPC Status]]="EPC Ready",TableAOPTarget[[#This Row],[EPC Status]]="WIP",TableAOPTarget[[#This Row],[EPC Status]]="YTS"),INDEX(TableAopCalendar[Concatenate Month &amp; Plan],MATCH(TableAOPTarget[[#This Row],[Planned Finish Date]],TableAopCalendar[Date],0))," ")</f>
        <v xml:space="preserve"> </v>
      </c>
      <c r="AB109" s="69" t="str">
        <f>IF(TableAOPTarget[[#This Row],[EPC Status]]="EPC Ready",INDEX(TableAopCalendar[Month for Plan],MATCH(TableAOPTarget[[#This Row],[Actual Finish Date]],TableAopCalendar[Date],0))," ")</f>
        <v xml:space="preserve"> </v>
      </c>
      <c r="AC109" s="87" t="s">
        <v>505</v>
      </c>
      <c r="AD109" s="87" t="str">
        <f>VLOOKUP(TableAOPTarget[[#This Row],[Site Name]],[17]Backup!$E:$F,2,0)</f>
        <v>11. HOLD</v>
      </c>
      <c r="AE109" s="71"/>
      <c r="AF109" s="133">
        <f>VLOOKUP(TableAOPTarget[[#This Row],[Site Name]],[17]Backup!$E:$GG,185,0)</f>
        <v>0</v>
      </c>
    </row>
    <row r="110" spans="1:32" x14ac:dyDescent="0.3">
      <c r="A110" s="64" t="s">
        <v>711</v>
      </c>
      <c r="B110" s="64">
        <v>109</v>
      </c>
      <c r="C110" s="87" t="s">
        <v>42</v>
      </c>
      <c r="D110" s="63" t="s">
        <v>225</v>
      </c>
      <c r="E110" s="65" t="s">
        <v>504</v>
      </c>
      <c r="F110" s="66" t="s">
        <v>341</v>
      </c>
      <c r="G110" s="66" t="s">
        <v>342</v>
      </c>
      <c r="H110" s="66" t="s">
        <v>343</v>
      </c>
      <c r="I110" s="66" t="s">
        <v>353</v>
      </c>
      <c r="J110" s="59" t="s">
        <v>693</v>
      </c>
      <c r="K110" s="65" t="s">
        <v>419</v>
      </c>
      <c r="L110" s="155"/>
      <c r="M110" s="156"/>
      <c r="N110" s="156"/>
      <c r="O110" s="157"/>
      <c r="P110" s="156" t="str">
        <f>IFERROR(VLOOKUP(TableAOPTarget[[#This Row],[RFC Date]],TableAopCalendar[[Date]:[Concatenate Month &amp; Week]],7,FALSE),"")</f>
        <v/>
      </c>
      <c r="Q110" s="157"/>
      <c r="R110" s="156" t="str">
        <f>IFERROR(VLOOKUP(TableAOPTarget[[#This Row],[Actual Start Date]],TableAopCalendar[[Date]:[Concatenate Month &amp; Week]],7,FALSE),"")</f>
        <v/>
      </c>
      <c r="S110" s="156"/>
      <c r="T110" s="157">
        <f>TableAOPTarget[[#This Row],[Actual Start Date]]+TableAOPTarget[[#This Row],[Standard Duration]]</f>
        <v>0</v>
      </c>
      <c r="U110" s="156" t="str">
        <f>IFERROR(VLOOKUP(TableAOPTarget[[#This Row],[Planned Finish Date]],TableAopCalendar[[Date]:[Concatenate Month &amp; Week]],7,FALSE),"")</f>
        <v/>
      </c>
      <c r="V110" s="157"/>
      <c r="W110" s="156" t="str">
        <f>IFERROR(VLOOKUP(TableAOPTarget[[#This Row],[Actual Finish Date]],TableAopCalendar[[Date]:[Concatenate Month &amp; Week]],7,FALSE),"")</f>
        <v/>
      </c>
      <c r="X110" s="157"/>
      <c r="Y110" s="156" t="str">
        <f>IFERROR(VLOOKUP(TableAOPTarget[[#This Row],[Forecasted Finish Date]],TableAopCalendar[[Date]:[Concatenate Month &amp; Week]],7,FALSE),"")</f>
        <v/>
      </c>
      <c r="Z110" s="157"/>
      <c r="AA110" s="156" t="str">
        <f>IF(OR(TableAOPTarget[[#This Row],[EPC Status]]="EPC Ready",TableAOPTarget[[#This Row],[EPC Status]]="WIP",TableAOPTarget[[#This Row],[EPC Status]]="YTS"),INDEX(TableAopCalendar[Concatenate Month &amp; Plan],MATCH(TableAOPTarget[[#This Row],[Planned Finish Date]],TableAopCalendar[Date],0))," ")</f>
        <v xml:space="preserve"> </v>
      </c>
      <c r="AB110" s="156" t="str">
        <f>IF(TableAOPTarget[[#This Row],[EPC Status]]="EPC Ready",INDEX(TableAopCalendar[Month for Plan],MATCH(TableAOPTarget[[#This Row],[Actual Finish Date]],TableAopCalendar[Date],0))," ")</f>
        <v xml:space="preserve"> </v>
      </c>
      <c r="AC110" s="87" t="s">
        <v>505</v>
      </c>
      <c r="AD110" s="154" t="str">
        <f>VLOOKUP(TableAOPTarget[[#This Row],[Site Name]],[17]Backup!$E:$F,2,0)</f>
        <v>11. HOLD</v>
      </c>
      <c r="AE110" s="158"/>
      <c r="AF110" s="133">
        <f>VLOOKUP(TableAOPTarget[[#This Row],[Site Name]],[17]Backup!$E:$GG,185,0)</f>
        <v>0</v>
      </c>
    </row>
    <row r="111" spans="1:32" x14ac:dyDescent="0.3">
      <c r="A111" s="64" t="s">
        <v>712</v>
      </c>
      <c r="B111" s="64">
        <v>109</v>
      </c>
      <c r="C111" s="87" t="s">
        <v>42</v>
      </c>
      <c r="D111" s="63" t="s">
        <v>225</v>
      </c>
      <c r="E111" s="65" t="s">
        <v>502</v>
      </c>
      <c r="F111" s="66" t="s">
        <v>341</v>
      </c>
      <c r="G111" s="66" t="s">
        <v>348</v>
      </c>
      <c r="H111" s="66" t="s">
        <v>351</v>
      </c>
      <c r="I111" s="66" t="s">
        <v>361</v>
      </c>
      <c r="J111" s="59" t="s">
        <v>697</v>
      </c>
      <c r="K111" s="65" t="s">
        <v>696</v>
      </c>
      <c r="L111" s="67">
        <v>233</v>
      </c>
      <c r="M111" s="69" t="s">
        <v>695</v>
      </c>
      <c r="N111" s="69" t="s">
        <v>514</v>
      </c>
      <c r="O111" s="68">
        <v>46139</v>
      </c>
      <c r="P111" s="69" t="str">
        <f>IFERROR(VLOOKUP(TableAOPTarget[[#This Row],[RFC Date]],TableAopCalendar[[Date]:[Concatenate Month &amp; Week]],7,FALSE),"")</f>
        <v>April 26 Week 4</v>
      </c>
      <c r="Q111" s="68">
        <v>46139</v>
      </c>
      <c r="R111" s="69" t="str">
        <f>IFERROR(VLOOKUP(TableAOPTarget[[#This Row],[Actual Start Date]],TableAopCalendar[[Date]:[Concatenate Month &amp; Week]],7,FALSE),"")</f>
        <v>April 26 Week 4</v>
      </c>
      <c r="S111" s="69">
        <v>7</v>
      </c>
      <c r="T111" s="68">
        <f>TableAOPTarget[[#This Row],[Actual Start Date]]+TableAOPTarget[[#This Row],[Standard Duration]]</f>
        <v>46146</v>
      </c>
      <c r="U111" s="69" t="str">
        <f>IFERROR(VLOOKUP(TableAOPTarget[[#This Row],[Planned Finish Date]],TableAopCalendar[[Date]:[Concatenate Month &amp; Week]],7,FALSE),"")</f>
        <v>May 26 Week 1</v>
      </c>
      <c r="V111" s="68">
        <v>46144</v>
      </c>
      <c r="W111" s="69" t="str">
        <f>IFERROR(VLOOKUP(TableAOPTarget[[#This Row],[Actual Finish Date]],TableAopCalendar[[Date]:[Concatenate Month &amp; Week]],7,FALSE),"")</f>
        <v>May 26 Week 1</v>
      </c>
      <c r="X111" s="68"/>
      <c r="Y111" s="69" t="str">
        <f>IFERROR(VLOOKUP(TableAOPTarget[[#This Row],[Forecasted Finish Date]],TableAopCalendar[[Date]:[Concatenate Month &amp; Week]],7,FALSE),"")</f>
        <v/>
      </c>
      <c r="Z111" s="68">
        <v>46144</v>
      </c>
      <c r="AA111" s="69" t="str">
        <f>IF(OR(TableAOPTarget[[#This Row],[EPC Status]]="EPC Ready",TableAOPTarget[[#This Row],[EPC Status]]="WIP",TableAOPTarget[[#This Row],[EPC Status]]="YTS"),INDEX(TableAopCalendar[Concatenate Month &amp; Plan],MATCH(TableAOPTarget[[#This Row],[Planned Finish Date]],TableAopCalendar[Date],0))," ")</f>
        <v>MAY 26 PLANNED</v>
      </c>
      <c r="AB111" s="69" t="str">
        <f>IF(TableAOPTarget[[#This Row],[EPC Status]]="EPC Ready",INDEX(TableAopCalendar[Month for Plan],MATCH(TableAOPTarget[[#This Row],[Actual Finish Date]],TableAopCalendar[Date],0))," ")</f>
        <v>MAY 26</v>
      </c>
      <c r="AC111" s="87" t="s">
        <v>379</v>
      </c>
      <c r="AD111" s="87" t="e">
        <f>VLOOKUP(TableAOPTarget[[#This Row],[Site Name]],[17]Backup!$E:$F,2,0)</f>
        <v>#N/A</v>
      </c>
      <c r="AE111" s="71"/>
      <c r="AF111" s="133" t="e">
        <f>VLOOKUP(TableAOPTarget[[#This Row],[Site Name]],[17]Backup!$E:$GG,185,0)</f>
        <v>#N/A</v>
      </c>
    </row>
    <row r="112" spans="1:32" x14ac:dyDescent="0.3">
      <c r="A112" s="64" t="s">
        <v>713</v>
      </c>
      <c r="B112" s="64">
        <v>110</v>
      </c>
      <c r="C112" s="87" t="s">
        <v>42</v>
      </c>
      <c r="D112" s="63" t="s">
        <v>225</v>
      </c>
      <c r="E112" s="65" t="s">
        <v>499</v>
      </c>
      <c r="F112" s="66" t="s">
        <v>698</v>
      </c>
      <c r="G112" s="66" t="s">
        <v>346</v>
      </c>
      <c r="H112" s="66" t="s">
        <v>347</v>
      </c>
      <c r="I112" s="66" t="s">
        <v>362</v>
      </c>
      <c r="J112" s="59" t="s">
        <v>699</v>
      </c>
      <c r="K112" s="65" t="s">
        <v>369</v>
      </c>
      <c r="L112" s="67">
        <v>3608</v>
      </c>
      <c r="M112" s="69"/>
      <c r="N112" s="69"/>
      <c r="O112" s="68"/>
      <c r="P112" s="69" t="str">
        <f>IFERROR(VLOOKUP(TableAOPTarget[[#This Row],[RFC Date]],TableAopCalendar[[Date]:[Concatenate Month &amp; Week]],7,FALSE),"")</f>
        <v/>
      </c>
      <c r="Q112" s="68"/>
      <c r="R112" s="69" t="str">
        <f>IFERROR(VLOOKUP(TableAOPTarget[[#This Row],[Actual Start Date]],TableAopCalendar[[Date]:[Concatenate Month &amp; Week]],7,FALSE),"")</f>
        <v/>
      </c>
      <c r="S112" s="69"/>
      <c r="T112" s="68">
        <f>TableAOPTarget[[#This Row],[Actual Start Date]]+TableAOPTarget[[#This Row],[Standard Duration]]</f>
        <v>0</v>
      </c>
      <c r="U112" s="69" t="str">
        <f>IFERROR(VLOOKUP(TableAOPTarget[[#This Row],[Planned Finish Date]],TableAopCalendar[[Date]:[Concatenate Month &amp; Week]],7,FALSE),"")</f>
        <v/>
      </c>
      <c r="V112" s="68"/>
      <c r="W112" s="69" t="str">
        <f>IFERROR(VLOOKUP(TableAOPTarget[[#This Row],[Actual Finish Date]],TableAopCalendar[[Date]:[Concatenate Month &amp; Week]],7,FALSE),"")</f>
        <v/>
      </c>
      <c r="X112" s="68"/>
      <c r="Y112" s="69" t="str">
        <f>IFERROR(VLOOKUP(TableAOPTarget[[#This Row],[Forecasted Finish Date]],TableAopCalendar[[Date]:[Concatenate Month &amp; Week]],7,FALSE),"")</f>
        <v/>
      </c>
      <c r="Z112" s="68"/>
      <c r="AA112" s="69" t="str">
        <f>IF(OR(TableAOPTarget[[#This Row],[EPC Status]]="EPC Ready",TableAOPTarget[[#This Row],[EPC Status]]="WIP",TableAOPTarget[[#This Row],[EPC Status]]="YTS"),INDEX(TableAopCalendar[Concatenate Month &amp; Plan],MATCH(TableAOPTarget[[#This Row],[Planned Finish Date]],TableAopCalendar[Date],0))," ")</f>
        <v xml:space="preserve"> </v>
      </c>
      <c r="AB112" s="69" t="str">
        <f>IF(TableAOPTarget[[#This Row],[EPC Status]]="EPC Ready",INDEX(TableAopCalendar[Month for Plan],MATCH(TableAOPTarget[[#This Row],[Actual Finish Date]],TableAopCalendar[Date],0))," ")</f>
        <v xml:space="preserve"> </v>
      </c>
      <c r="AC112" s="87" t="s">
        <v>457</v>
      </c>
      <c r="AD112" s="87" t="str">
        <f>VLOOKUP(TableAOPTarget[[#This Row],[Site Name]],[17]Backup!$E:$F,2,0)</f>
        <v>4. Budget Approval Pending</v>
      </c>
      <c r="AE112" s="71"/>
      <c r="AF112" s="133">
        <f>VLOOKUP(TableAOPTarget[[#This Row],[Site Name]],[17]Backup!$E:$GG,185,0)</f>
        <v>0</v>
      </c>
    </row>
    <row r="113" spans="1:32" x14ac:dyDescent="0.3">
      <c r="A113" s="64" t="s">
        <v>714</v>
      </c>
      <c r="B113" s="64">
        <v>111</v>
      </c>
      <c r="C113" s="87" t="s">
        <v>42</v>
      </c>
      <c r="D113" s="63" t="s">
        <v>225</v>
      </c>
      <c r="E113" s="65" t="s">
        <v>499</v>
      </c>
      <c r="F113" s="66" t="s">
        <v>698</v>
      </c>
      <c r="G113" s="66" t="s">
        <v>342</v>
      </c>
      <c r="H113" s="66" t="s">
        <v>343</v>
      </c>
      <c r="I113" s="66" t="s">
        <v>353</v>
      </c>
      <c r="J113" s="59" t="s">
        <v>700</v>
      </c>
      <c r="K113" s="65" t="s">
        <v>419</v>
      </c>
      <c r="L113" s="67"/>
      <c r="M113" s="69"/>
      <c r="N113" s="69"/>
      <c r="O113" s="68"/>
      <c r="P113" s="69" t="str">
        <f>IFERROR(VLOOKUP(TableAOPTarget[[#This Row],[RFC Date]],TableAopCalendar[[Date]:[Concatenate Month &amp; Week]],7,FALSE),"")</f>
        <v/>
      </c>
      <c r="Q113" s="68"/>
      <c r="R113" s="69" t="str">
        <f>IFERROR(VLOOKUP(TableAOPTarget[[#This Row],[Actual Start Date]],TableAopCalendar[[Date]:[Concatenate Month &amp; Week]],7,FALSE),"")</f>
        <v/>
      </c>
      <c r="S113" s="69"/>
      <c r="T113" s="68">
        <f>TableAOPTarget[[#This Row],[Actual Start Date]]+TableAOPTarget[[#This Row],[Standard Duration]]</f>
        <v>0</v>
      </c>
      <c r="U113" s="69" t="str">
        <f>IFERROR(VLOOKUP(TableAOPTarget[[#This Row],[Planned Finish Date]],TableAopCalendar[[Date]:[Concatenate Month &amp; Week]],7,FALSE),"")</f>
        <v/>
      </c>
      <c r="V113" s="68"/>
      <c r="W113" s="69" t="str">
        <f>IFERROR(VLOOKUP(TableAOPTarget[[#This Row],[Actual Finish Date]],TableAopCalendar[[Date]:[Concatenate Month &amp; Week]],7,FALSE),"")</f>
        <v/>
      </c>
      <c r="X113" s="68"/>
      <c r="Y113" s="69" t="str">
        <f>IFERROR(VLOOKUP(TableAOPTarget[[#This Row],[Forecasted Finish Date]],TableAopCalendar[[Date]:[Concatenate Month &amp; Week]],7,FALSE),"")</f>
        <v/>
      </c>
      <c r="Z113" s="68"/>
      <c r="AA113" s="69" t="str">
        <f>IF(OR(TableAOPTarget[[#This Row],[EPC Status]]="EPC Ready",TableAOPTarget[[#This Row],[EPC Status]]="WIP",TableAOPTarget[[#This Row],[EPC Status]]="YTS"),INDEX(TableAopCalendar[Concatenate Month &amp; Plan],MATCH(TableAOPTarget[[#This Row],[Planned Finish Date]],TableAopCalendar[Date],0))," ")</f>
        <v xml:space="preserve"> </v>
      </c>
      <c r="AB113" s="69" t="str">
        <f>IF(TableAOPTarget[[#This Row],[EPC Status]]="EPC Ready",INDEX(TableAopCalendar[Month for Plan],MATCH(TableAOPTarget[[#This Row],[Actual Finish Date]],TableAopCalendar[Date],0))," ")</f>
        <v xml:space="preserve"> </v>
      </c>
      <c r="AC113" s="87" t="s">
        <v>457</v>
      </c>
      <c r="AD113" s="87" t="str">
        <f>VLOOKUP(TableAOPTarget[[#This Row],[Site Name]],[17]Backup!$E:$F,2,0)</f>
        <v>4. Budget Approval Pending</v>
      </c>
      <c r="AE113" s="71"/>
      <c r="AF113" s="133">
        <f>VLOOKUP(TableAOPTarget[[#This Row],[Site Name]],[17]Backup!$E:$GG,185,0)</f>
        <v>0</v>
      </c>
    </row>
    <row r="114" spans="1:32" ht="31.2" x14ac:dyDescent="0.3">
      <c r="A114" s="64" t="s">
        <v>753</v>
      </c>
      <c r="B114" s="64">
        <v>112</v>
      </c>
      <c r="C114" s="87" t="s">
        <v>42</v>
      </c>
      <c r="D114" s="63" t="s">
        <v>225</v>
      </c>
      <c r="E114" s="65" t="s">
        <v>35</v>
      </c>
      <c r="F114" s="66" t="s">
        <v>341</v>
      </c>
      <c r="G114" s="66" t="s">
        <v>342</v>
      </c>
      <c r="H114" s="66" t="s">
        <v>343</v>
      </c>
      <c r="I114" s="66" t="s">
        <v>353</v>
      </c>
      <c r="J114" s="59" t="s">
        <v>715</v>
      </c>
      <c r="K114" s="65" t="s">
        <v>365</v>
      </c>
      <c r="L114" s="67"/>
      <c r="M114" s="69"/>
      <c r="N114" s="69"/>
      <c r="O114" s="68"/>
      <c r="P114" s="69" t="str">
        <f>IFERROR(VLOOKUP(TableAOPTarget[[#This Row],[RFC Date]],TableAopCalendar[[Date]:[Concatenate Month &amp; Week]],7,FALSE),"")</f>
        <v/>
      </c>
      <c r="Q114" s="68"/>
      <c r="R114" s="69" t="str">
        <f>IFERROR(VLOOKUP(TableAOPTarget[[#This Row],[Actual Start Date]],TableAopCalendar[[Date]:[Concatenate Month &amp; Week]],7,FALSE),"")</f>
        <v/>
      </c>
      <c r="S114" s="69"/>
      <c r="T114" s="68">
        <f>TableAOPTarget[[#This Row],[Actual Start Date]]+TableAOPTarget[[#This Row],[Standard Duration]]</f>
        <v>0</v>
      </c>
      <c r="U114" s="69" t="str">
        <f>IFERROR(VLOOKUP(TableAOPTarget[[#This Row],[Planned Finish Date]],TableAopCalendar[[Date]:[Concatenate Month &amp; Week]],7,FALSE),"")</f>
        <v/>
      </c>
      <c r="V114" s="68"/>
      <c r="W114" s="69" t="str">
        <f>IFERROR(VLOOKUP(TableAOPTarget[[#This Row],[Actual Finish Date]],TableAopCalendar[[Date]:[Concatenate Month &amp; Week]],7,FALSE),"")</f>
        <v/>
      </c>
      <c r="X114" s="68"/>
      <c r="Y114" s="69" t="str">
        <f>IFERROR(VLOOKUP(TableAOPTarget[[#This Row],[Forecasted Finish Date]],TableAopCalendar[[Date]:[Concatenate Month &amp; Week]],7,FALSE),"")</f>
        <v/>
      </c>
      <c r="Z114" s="68"/>
      <c r="AA114" s="69" t="str">
        <f>IF(OR(TableAOPTarget[[#This Row],[EPC Status]]="EPC Ready",TableAOPTarget[[#This Row],[EPC Status]]="WIP",TableAOPTarget[[#This Row],[EPC Status]]="YTS"),INDEX(TableAopCalendar[Concatenate Month &amp; Plan],MATCH(TableAOPTarget[[#This Row],[Planned Finish Date]],TableAopCalendar[Date],0))," ")</f>
        <v xml:space="preserve"> </v>
      </c>
      <c r="AB114" s="69" t="str">
        <f>IF(TableAOPTarget[[#This Row],[EPC Status]]="EPC Ready",INDEX(TableAopCalendar[Month for Plan],MATCH(TableAOPTarget[[#This Row],[Actual Finish Date]],TableAopCalendar[Date],0))," ")</f>
        <v xml:space="preserve"> </v>
      </c>
      <c r="AC114" s="87" t="s">
        <v>506</v>
      </c>
      <c r="AD114" s="87" t="str">
        <f>VLOOKUP(TableAOPTarget[[#This Row],[Site Name]],[17]Backup!$E:$F,2,0)</f>
        <v>2. ML Awaited</v>
      </c>
      <c r="AE114" s="71"/>
      <c r="AF114" s="133">
        <f>VLOOKUP(TableAOPTarget[[#This Row],[Site Name]],[17]Backup!$E:$GG,185,0)</f>
        <v>0</v>
      </c>
    </row>
    <row r="115" spans="1:32" ht="31.2" x14ac:dyDescent="0.3">
      <c r="A115" s="64" t="s">
        <v>754</v>
      </c>
      <c r="B115" s="64">
        <v>113</v>
      </c>
      <c r="C115" s="87" t="s">
        <v>42</v>
      </c>
      <c r="D115" s="63" t="s">
        <v>225</v>
      </c>
      <c r="E115" s="65" t="s">
        <v>35</v>
      </c>
      <c r="F115" s="66" t="s">
        <v>341</v>
      </c>
      <c r="G115" s="66" t="s">
        <v>348</v>
      </c>
      <c r="H115" s="66"/>
      <c r="I115" s="66" t="s">
        <v>361</v>
      </c>
      <c r="J115" s="59" t="s">
        <v>716</v>
      </c>
      <c r="K115" s="65" t="s">
        <v>366</v>
      </c>
      <c r="L115" s="65"/>
      <c r="M115" s="69"/>
      <c r="N115" s="69"/>
      <c r="O115" s="68"/>
      <c r="P115" s="69" t="str">
        <f>IFERROR(VLOOKUP(TableAOPTarget[[#This Row],[RFC Date]],TableAopCalendar[[Date]:[Concatenate Month &amp; Week]],7,FALSE),"")</f>
        <v/>
      </c>
      <c r="Q115" s="68"/>
      <c r="R115" s="69" t="str">
        <f>IFERROR(VLOOKUP(TableAOPTarget[[#This Row],[Actual Start Date]],TableAopCalendar[[Date]:[Concatenate Month &amp; Week]],7,FALSE),"")</f>
        <v/>
      </c>
      <c r="S115" s="69"/>
      <c r="T115" s="68">
        <f>TableAOPTarget[[#This Row],[Actual Start Date]]+TableAOPTarget[[#This Row],[Standard Duration]]</f>
        <v>0</v>
      </c>
      <c r="U115" s="69" t="str">
        <f>IFERROR(VLOOKUP(TableAOPTarget[[#This Row],[Planned Finish Date]],TableAopCalendar[[Date]:[Concatenate Month &amp; Week]],7,FALSE),"")</f>
        <v/>
      </c>
      <c r="V115" s="68"/>
      <c r="W115" s="69" t="str">
        <f>IFERROR(VLOOKUP(TableAOPTarget[[#This Row],[Actual Finish Date]],TableAopCalendar[[Date]:[Concatenate Month &amp; Week]],7,FALSE),"")</f>
        <v/>
      </c>
      <c r="X115" s="68"/>
      <c r="Y115" s="69" t="str">
        <f>IFERROR(VLOOKUP(TableAOPTarget[[#This Row],[Forecasted Finish Date]],TableAopCalendar[[Date]:[Concatenate Month &amp; Week]],7,FALSE),"")</f>
        <v/>
      </c>
      <c r="Z115" s="68"/>
      <c r="AA115" s="69" t="str">
        <f>IF(OR(TableAOPTarget[[#This Row],[EPC Status]]="EPC Ready",TableAOPTarget[[#This Row],[EPC Status]]="WIP",TableAOPTarget[[#This Row],[EPC Status]]="YTS"),INDEX(TableAopCalendar[Concatenate Month &amp; Plan],MATCH(TableAOPTarget[[#This Row],[Planned Finish Date]],TableAopCalendar[Date],0))," ")</f>
        <v xml:space="preserve"> </v>
      </c>
      <c r="AB115" s="69" t="str">
        <f>IF(TableAOPTarget[[#This Row],[EPC Status]]="EPC Ready",INDEX(TableAopCalendar[Month for Plan],MATCH(TableAOPTarget[[#This Row],[Actual Finish Date]],TableAopCalendar[Date],0))," ")</f>
        <v xml:space="preserve"> </v>
      </c>
      <c r="AC115" s="87" t="s">
        <v>506</v>
      </c>
      <c r="AD115" s="87" t="str">
        <f>VLOOKUP(TableAOPTarget[[#This Row],[Site Name]],[17]Backup!$E:$F,2,0)</f>
        <v>2. ML Awaited</v>
      </c>
      <c r="AE115" s="71"/>
      <c r="AF115" s="133">
        <f>VLOOKUP(TableAOPTarget[[#This Row],[Site Name]],[17]Backup!$E:$GG,185,0)</f>
        <v>0</v>
      </c>
    </row>
    <row r="116" spans="1:32" x14ac:dyDescent="0.3">
      <c r="A116" s="64" t="s">
        <v>755</v>
      </c>
      <c r="B116" s="64">
        <v>114</v>
      </c>
      <c r="C116" s="87" t="s">
        <v>42</v>
      </c>
      <c r="D116" s="63" t="s">
        <v>225</v>
      </c>
      <c r="E116" s="65" t="s">
        <v>504</v>
      </c>
      <c r="F116" s="66" t="s">
        <v>341</v>
      </c>
      <c r="G116" s="66" t="s">
        <v>342</v>
      </c>
      <c r="H116" s="66" t="s">
        <v>343</v>
      </c>
      <c r="I116" s="66" t="s">
        <v>353</v>
      </c>
      <c r="J116" s="59" t="s">
        <v>717</v>
      </c>
      <c r="K116" s="65" t="s">
        <v>419</v>
      </c>
      <c r="L116" s="67"/>
      <c r="M116" s="69"/>
      <c r="N116" s="69"/>
      <c r="O116" s="68"/>
      <c r="P116" s="69" t="str">
        <f>IFERROR(VLOOKUP(TableAOPTarget[[#This Row],[RFC Date]],TableAopCalendar[[Date]:[Concatenate Month &amp; Week]],7,FALSE),"")</f>
        <v/>
      </c>
      <c r="Q116" s="68"/>
      <c r="R116" s="69" t="str">
        <f>IFERROR(VLOOKUP(TableAOPTarget[[#This Row],[Actual Start Date]],TableAopCalendar[[Date]:[Concatenate Month &amp; Week]],7,FALSE),"")</f>
        <v/>
      </c>
      <c r="S116" s="69"/>
      <c r="T116" s="68">
        <f>TableAOPTarget[[#This Row],[Actual Start Date]]+TableAOPTarget[[#This Row],[Standard Duration]]</f>
        <v>0</v>
      </c>
      <c r="U116" s="69" t="str">
        <f>IFERROR(VLOOKUP(TableAOPTarget[[#This Row],[Planned Finish Date]],TableAopCalendar[[Date]:[Concatenate Month &amp; Week]],7,FALSE),"")</f>
        <v/>
      </c>
      <c r="V116" s="68"/>
      <c r="W116" s="69" t="str">
        <f>IFERROR(VLOOKUP(TableAOPTarget[[#This Row],[Actual Finish Date]],TableAopCalendar[[Date]:[Concatenate Month &amp; Week]],7,FALSE),"")</f>
        <v/>
      </c>
      <c r="X116" s="68"/>
      <c r="Y116" s="69" t="str">
        <f>IFERROR(VLOOKUP(TableAOPTarget[[#This Row],[Forecasted Finish Date]],TableAopCalendar[[Date]:[Concatenate Month &amp; Week]],7,FALSE),"")</f>
        <v/>
      </c>
      <c r="Z116" s="68"/>
      <c r="AA116" s="69" t="str">
        <f>IF(OR(TableAOPTarget[[#This Row],[EPC Status]]="EPC Ready",TableAOPTarget[[#This Row],[EPC Status]]="WIP",TableAOPTarget[[#This Row],[EPC Status]]="YTS"),INDEX(TableAopCalendar[Concatenate Month &amp; Plan],MATCH(TableAOPTarget[[#This Row],[Planned Finish Date]],TableAopCalendar[Date],0))," ")</f>
        <v xml:space="preserve"> </v>
      </c>
      <c r="AB116" s="69" t="str">
        <f>IF(TableAOPTarget[[#This Row],[EPC Status]]="EPC Ready",INDEX(TableAopCalendar[Month for Plan],MATCH(TableAOPTarget[[#This Row],[Actual Finish Date]],TableAopCalendar[Date],0))," ")</f>
        <v xml:space="preserve"> </v>
      </c>
      <c r="AC116" s="87" t="s">
        <v>506</v>
      </c>
      <c r="AD116" s="87" t="str">
        <f>VLOOKUP(TableAOPTarget[[#This Row],[Site Name]],[17]Backup!$E:$F,2,0)</f>
        <v>2. ML Awaited</v>
      </c>
      <c r="AE116" s="71"/>
      <c r="AF116" s="133">
        <f>VLOOKUP(TableAOPTarget[[#This Row],[Site Name]],[17]Backup!$E:$GG,185,0)</f>
        <v>0</v>
      </c>
    </row>
    <row r="117" spans="1:32" x14ac:dyDescent="0.3">
      <c r="A117" s="64" t="s">
        <v>756</v>
      </c>
      <c r="B117" s="64">
        <v>115</v>
      </c>
      <c r="C117" s="87" t="s">
        <v>42</v>
      </c>
      <c r="D117" s="63" t="s">
        <v>225</v>
      </c>
      <c r="E117" s="65" t="s">
        <v>504</v>
      </c>
      <c r="F117" s="66" t="s">
        <v>341</v>
      </c>
      <c r="G117" s="66" t="s">
        <v>342</v>
      </c>
      <c r="H117" s="66" t="s">
        <v>343</v>
      </c>
      <c r="I117" s="66" t="s">
        <v>353</v>
      </c>
      <c r="J117" s="59" t="s">
        <v>718</v>
      </c>
      <c r="K117" s="65" t="s">
        <v>365</v>
      </c>
      <c r="L117" s="67"/>
      <c r="M117" s="69"/>
      <c r="N117" s="69"/>
      <c r="O117" s="68"/>
      <c r="P117" s="69" t="str">
        <f>IFERROR(VLOOKUP(TableAOPTarget[[#This Row],[RFC Date]],TableAopCalendar[[Date]:[Concatenate Month &amp; Week]],7,FALSE),"")</f>
        <v/>
      </c>
      <c r="Q117" s="68"/>
      <c r="R117" s="69" t="str">
        <f>IFERROR(VLOOKUP(TableAOPTarget[[#This Row],[Actual Start Date]],TableAopCalendar[[Date]:[Concatenate Month &amp; Week]],7,FALSE),"")</f>
        <v/>
      </c>
      <c r="S117" s="69"/>
      <c r="T117" s="68">
        <f>TableAOPTarget[[#This Row],[Actual Start Date]]+TableAOPTarget[[#This Row],[Standard Duration]]</f>
        <v>0</v>
      </c>
      <c r="U117" s="69" t="str">
        <f>IFERROR(VLOOKUP(TableAOPTarget[[#This Row],[Planned Finish Date]],TableAopCalendar[[Date]:[Concatenate Month &amp; Week]],7,FALSE),"")</f>
        <v/>
      </c>
      <c r="V117" s="68"/>
      <c r="W117" s="69" t="str">
        <f>IFERROR(VLOOKUP(TableAOPTarget[[#This Row],[Actual Finish Date]],TableAopCalendar[[Date]:[Concatenate Month &amp; Week]],7,FALSE),"")</f>
        <v/>
      </c>
      <c r="X117" s="68"/>
      <c r="Y117" s="69" t="str">
        <f>IFERROR(VLOOKUP(TableAOPTarget[[#This Row],[Forecasted Finish Date]],TableAopCalendar[[Date]:[Concatenate Month &amp; Week]],7,FALSE),"")</f>
        <v/>
      </c>
      <c r="Z117" s="68"/>
      <c r="AA117" s="69" t="str">
        <f>IF(OR(TableAOPTarget[[#This Row],[EPC Status]]="EPC Ready",TableAOPTarget[[#This Row],[EPC Status]]="WIP",TableAOPTarget[[#This Row],[EPC Status]]="YTS"),INDEX(TableAopCalendar[Concatenate Month &amp; Plan],MATCH(TableAOPTarget[[#This Row],[Planned Finish Date]],TableAopCalendar[Date],0))," ")</f>
        <v xml:space="preserve"> </v>
      </c>
      <c r="AB117" s="69" t="str">
        <f>IF(TableAOPTarget[[#This Row],[EPC Status]]="EPC Ready",INDEX(TableAopCalendar[Month for Plan],MATCH(TableAOPTarget[[#This Row],[Actual Finish Date]],TableAopCalendar[Date],0))," ")</f>
        <v xml:space="preserve"> </v>
      </c>
      <c r="AC117" s="87" t="s">
        <v>501</v>
      </c>
      <c r="AD117" s="87" t="str">
        <f>VLOOKUP(TableAOPTarget[[#This Row],[Site Name]],[17]Backup!$E:$F,2,0)</f>
        <v>14. Dropped</v>
      </c>
      <c r="AE117" s="71"/>
      <c r="AF117" s="133">
        <f>VLOOKUP(TableAOPTarget[[#This Row],[Site Name]],[17]Backup!$E:$GG,185,0)</f>
        <v>0</v>
      </c>
    </row>
    <row r="118" spans="1:32" x14ac:dyDescent="0.3">
      <c r="A118" s="64" t="s">
        <v>757</v>
      </c>
      <c r="B118" s="64">
        <v>116</v>
      </c>
      <c r="C118" s="87" t="s">
        <v>42</v>
      </c>
      <c r="D118" s="63" t="s">
        <v>225</v>
      </c>
      <c r="E118" s="65" t="s">
        <v>504</v>
      </c>
      <c r="F118" s="66" t="s">
        <v>341</v>
      </c>
      <c r="G118" s="66" t="s">
        <v>342</v>
      </c>
      <c r="H118" s="66" t="s">
        <v>343</v>
      </c>
      <c r="I118" s="66" t="s">
        <v>353</v>
      </c>
      <c r="J118" s="59" t="s">
        <v>719</v>
      </c>
      <c r="K118" s="65" t="s">
        <v>419</v>
      </c>
      <c r="L118" s="155"/>
      <c r="M118" s="156"/>
      <c r="N118" s="156"/>
      <c r="O118" s="157"/>
      <c r="P118" s="156" t="str">
        <f>IFERROR(VLOOKUP(TableAOPTarget[[#This Row],[RFC Date]],TableAopCalendar[[Date]:[Concatenate Month &amp; Week]],7,FALSE),"")</f>
        <v/>
      </c>
      <c r="Q118" s="157"/>
      <c r="R118" s="156" t="str">
        <f>IFERROR(VLOOKUP(TableAOPTarget[[#This Row],[Actual Start Date]],TableAopCalendar[[Date]:[Concatenate Month &amp; Week]],7,FALSE),"")</f>
        <v/>
      </c>
      <c r="S118" s="156"/>
      <c r="T118" s="157">
        <f>TableAOPTarget[[#This Row],[Actual Start Date]]+TableAOPTarget[[#This Row],[Standard Duration]]</f>
        <v>0</v>
      </c>
      <c r="U118" s="156" t="str">
        <f>IFERROR(VLOOKUP(TableAOPTarget[[#This Row],[Planned Finish Date]],TableAopCalendar[[Date]:[Concatenate Month &amp; Week]],7,FALSE),"")</f>
        <v/>
      </c>
      <c r="V118" s="157"/>
      <c r="W118" s="156" t="str">
        <f>IFERROR(VLOOKUP(TableAOPTarget[[#This Row],[Actual Finish Date]],TableAopCalendar[[Date]:[Concatenate Month &amp; Week]],7,FALSE),"")</f>
        <v/>
      </c>
      <c r="X118" s="157"/>
      <c r="Y118" s="156" t="str">
        <f>IFERROR(VLOOKUP(TableAOPTarget[[#This Row],[Forecasted Finish Date]],TableAopCalendar[[Date]:[Concatenate Month &amp; Week]],7,FALSE),"")</f>
        <v/>
      </c>
      <c r="Z118" s="157"/>
      <c r="AA118" s="156" t="str">
        <f>IF(OR(TableAOPTarget[[#This Row],[EPC Status]]="EPC Ready",TableAOPTarget[[#This Row],[EPC Status]]="WIP",TableAOPTarget[[#This Row],[EPC Status]]="YTS"),INDEX(TableAopCalendar[Concatenate Month &amp; Plan],MATCH(TableAOPTarget[[#This Row],[Planned Finish Date]],TableAopCalendar[Date],0))," ")</f>
        <v xml:space="preserve"> </v>
      </c>
      <c r="AB118" s="156" t="str">
        <f>IF(TableAOPTarget[[#This Row],[EPC Status]]="EPC Ready",INDEX(TableAopCalendar[Month for Plan],MATCH(TableAOPTarget[[#This Row],[Actual Finish Date]],TableAopCalendar[Date],0))," ")</f>
        <v xml:space="preserve"> </v>
      </c>
      <c r="AC118" s="87" t="s">
        <v>506</v>
      </c>
      <c r="AD118" s="154" t="str">
        <f>VLOOKUP(TableAOPTarget[[#This Row],[Site Name]],[17]Backup!$E:$F,2,0)</f>
        <v>2. ML Awaited</v>
      </c>
      <c r="AE118" s="158"/>
      <c r="AF118" s="133">
        <f>VLOOKUP(TableAOPTarget[[#This Row],[Site Name]],[17]Backup!$E:$GG,185,0)</f>
        <v>0</v>
      </c>
    </row>
    <row r="119" spans="1:32" x14ac:dyDescent="0.3">
      <c r="A119" s="64" t="s">
        <v>758</v>
      </c>
      <c r="B119" s="64">
        <v>117</v>
      </c>
      <c r="C119" s="87" t="s">
        <v>42</v>
      </c>
      <c r="D119" s="63" t="s">
        <v>225</v>
      </c>
      <c r="E119" s="65" t="s">
        <v>504</v>
      </c>
      <c r="F119" s="66" t="s">
        <v>341</v>
      </c>
      <c r="G119" s="66" t="s">
        <v>342</v>
      </c>
      <c r="H119" s="66" t="s">
        <v>343</v>
      </c>
      <c r="I119" s="66" t="s">
        <v>353</v>
      </c>
      <c r="J119" s="59" t="s">
        <v>720</v>
      </c>
      <c r="K119" s="65" t="s">
        <v>419</v>
      </c>
      <c r="L119" s="67"/>
      <c r="M119" s="69"/>
      <c r="N119" s="69"/>
      <c r="O119" s="68"/>
      <c r="P119" s="69" t="str">
        <f>IFERROR(VLOOKUP(TableAOPTarget[[#This Row],[RFC Date]],TableAopCalendar[[Date]:[Concatenate Month &amp; Week]],7,FALSE),"")</f>
        <v/>
      </c>
      <c r="Q119" s="68"/>
      <c r="R119" s="69" t="str">
        <f>IFERROR(VLOOKUP(TableAOPTarget[[#This Row],[Actual Start Date]],TableAopCalendar[[Date]:[Concatenate Month &amp; Week]],7,FALSE),"")</f>
        <v/>
      </c>
      <c r="S119" s="69"/>
      <c r="T119" s="68">
        <f>TableAOPTarget[[#This Row],[Actual Start Date]]+TableAOPTarget[[#This Row],[Standard Duration]]</f>
        <v>0</v>
      </c>
      <c r="U119" s="69" t="str">
        <f>IFERROR(VLOOKUP(TableAOPTarget[[#This Row],[Planned Finish Date]],TableAopCalendar[[Date]:[Concatenate Month &amp; Week]],7,FALSE),"")</f>
        <v/>
      </c>
      <c r="V119" s="68"/>
      <c r="W119" s="69" t="str">
        <f>IFERROR(VLOOKUP(TableAOPTarget[[#This Row],[Actual Finish Date]],TableAopCalendar[[Date]:[Concatenate Month &amp; Week]],7,FALSE),"")</f>
        <v/>
      </c>
      <c r="X119" s="68"/>
      <c r="Y119" s="69" t="str">
        <f>IFERROR(VLOOKUP(TableAOPTarget[[#This Row],[Forecasted Finish Date]],TableAopCalendar[[Date]:[Concatenate Month &amp; Week]],7,FALSE),"")</f>
        <v/>
      </c>
      <c r="Z119" s="68"/>
      <c r="AA119" s="69" t="str">
        <f>IF(OR(TableAOPTarget[[#This Row],[EPC Status]]="EPC Ready",TableAOPTarget[[#This Row],[EPC Status]]="WIP",TableAOPTarget[[#This Row],[EPC Status]]="YTS"),INDEX(TableAopCalendar[Concatenate Month &amp; Plan],MATCH(TableAOPTarget[[#This Row],[Planned Finish Date]],TableAopCalendar[Date],0))," ")</f>
        <v xml:space="preserve"> </v>
      </c>
      <c r="AB119" s="69" t="str">
        <f>IF(TableAOPTarget[[#This Row],[EPC Status]]="EPC Ready",INDEX(TableAopCalendar[Month for Plan],MATCH(TableAOPTarget[[#This Row],[Actual Finish Date]],TableAopCalendar[Date],0))," ")</f>
        <v xml:space="preserve"> </v>
      </c>
      <c r="AC119" s="87" t="s">
        <v>506</v>
      </c>
      <c r="AD119" s="87" t="str">
        <f>VLOOKUP(TableAOPTarget[[#This Row],[Site Name]],[17]Backup!$E:$F,2,0)</f>
        <v>2. ML Awaited</v>
      </c>
      <c r="AE119" s="71"/>
      <c r="AF119" s="133">
        <f>VLOOKUP(TableAOPTarget[[#This Row],[Site Name]],[17]Backup!$E:$GG,185,0)</f>
        <v>0</v>
      </c>
    </row>
    <row r="120" spans="1:32" x14ac:dyDescent="0.3">
      <c r="A120" s="64" t="s">
        <v>759</v>
      </c>
      <c r="B120" s="64">
        <v>118</v>
      </c>
      <c r="C120" s="87" t="s">
        <v>42</v>
      </c>
      <c r="D120" s="63" t="s">
        <v>225</v>
      </c>
      <c r="E120" s="65" t="s">
        <v>504</v>
      </c>
      <c r="F120" s="66" t="s">
        <v>341</v>
      </c>
      <c r="G120" s="66" t="s">
        <v>342</v>
      </c>
      <c r="H120" s="66" t="s">
        <v>343</v>
      </c>
      <c r="I120" s="66" t="s">
        <v>353</v>
      </c>
      <c r="J120" s="59" t="s">
        <v>721</v>
      </c>
      <c r="K120" s="65" t="s">
        <v>419</v>
      </c>
      <c r="L120" s="67"/>
      <c r="M120" s="69"/>
      <c r="N120" s="69"/>
      <c r="O120" s="68"/>
      <c r="P120" s="69" t="str">
        <f>IFERROR(VLOOKUP(TableAOPTarget[[#This Row],[RFC Date]],TableAopCalendar[[Date]:[Concatenate Month &amp; Week]],7,FALSE),"")</f>
        <v/>
      </c>
      <c r="Q120" s="68"/>
      <c r="R120" s="69" t="str">
        <f>IFERROR(VLOOKUP(TableAOPTarget[[#This Row],[Actual Start Date]],TableAopCalendar[[Date]:[Concatenate Month &amp; Week]],7,FALSE),"")</f>
        <v/>
      </c>
      <c r="S120" s="69"/>
      <c r="T120" s="68">
        <f>TableAOPTarget[[#This Row],[Actual Start Date]]+TableAOPTarget[[#This Row],[Standard Duration]]</f>
        <v>0</v>
      </c>
      <c r="U120" s="69" t="str">
        <f>IFERROR(VLOOKUP(TableAOPTarget[[#This Row],[Planned Finish Date]],TableAopCalendar[[Date]:[Concatenate Month &amp; Week]],7,FALSE),"")</f>
        <v/>
      </c>
      <c r="V120" s="68"/>
      <c r="W120" s="69" t="str">
        <f>IFERROR(VLOOKUP(TableAOPTarget[[#This Row],[Actual Finish Date]],TableAopCalendar[[Date]:[Concatenate Month &amp; Week]],7,FALSE),"")</f>
        <v/>
      </c>
      <c r="X120" s="68"/>
      <c r="Y120" s="69" t="str">
        <f>IFERROR(VLOOKUP(TableAOPTarget[[#This Row],[Forecasted Finish Date]],TableAopCalendar[[Date]:[Concatenate Month &amp; Week]],7,FALSE),"")</f>
        <v/>
      </c>
      <c r="Z120" s="68"/>
      <c r="AA120" s="69" t="str">
        <f>IF(OR(TableAOPTarget[[#This Row],[EPC Status]]="EPC Ready",TableAOPTarget[[#This Row],[EPC Status]]="WIP",TableAOPTarget[[#This Row],[EPC Status]]="YTS"),INDEX(TableAopCalendar[Concatenate Month &amp; Plan],MATCH(TableAOPTarget[[#This Row],[Planned Finish Date]],TableAopCalendar[Date],0))," ")</f>
        <v xml:space="preserve"> </v>
      </c>
      <c r="AB120" s="69" t="str">
        <f>IF(TableAOPTarget[[#This Row],[EPC Status]]="EPC Ready",INDEX(TableAopCalendar[Month for Plan],MATCH(TableAOPTarget[[#This Row],[Actual Finish Date]],TableAopCalendar[Date],0))," ")</f>
        <v xml:space="preserve"> </v>
      </c>
      <c r="AC120" s="87" t="s">
        <v>506</v>
      </c>
      <c r="AD120" s="87" t="str">
        <f>VLOOKUP(TableAOPTarget[[#This Row],[Site Name]],[17]Backup!$E:$F,2,0)</f>
        <v>2. ML Awaited</v>
      </c>
      <c r="AE120" s="71"/>
      <c r="AF120" s="133">
        <f>VLOOKUP(TableAOPTarget[[#This Row],[Site Name]],[17]Backup!$E:$GG,185,0)</f>
        <v>0</v>
      </c>
    </row>
    <row r="121" spans="1:32" x14ac:dyDescent="0.3">
      <c r="A121" s="64" t="s">
        <v>760</v>
      </c>
      <c r="B121" s="64">
        <v>119</v>
      </c>
      <c r="C121" s="87" t="s">
        <v>42</v>
      </c>
      <c r="D121" s="63" t="s">
        <v>225</v>
      </c>
      <c r="E121" s="65" t="s">
        <v>504</v>
      </c>
      <c r="F121" s="66" t="s">
        <v>341</v>
      </c>
      <c r="G121" s="66" t="s">
        <v>342</v>
      </c>
      <c r="H121" s="66" t="s">
        <v>343</v>
      </c>
      <c r="I121" s="66" t="s">
        <v>353</v>
      </c>
      <c r="J121" s="59" t="s">
        <v>739</v>
      </c>
      <c r="K121" s="65" t="s">
        <v>419</v>
      </c>
      <c r="L121" s="67"/>
      <c r="M121" s="69"/>
      <c r="N121" s="69"/>
      <c r="O121" s="68"/>
      <c r="P121" s="69" t="str">
        <f>IFERROR(VLOOKUP(TableAOPTarget[[#This Row],[RFC Date]],TableAopCalendar[[Date]:[Concatenate Month &amp; Week]],7,FALSE),"")</f>
        <v/>
      </c>
      <c r="Q121" s="68"/>
      <c r="R121" s="69" t="str">
        <f>IFERROR(VLOOKUP(TableAOPTarget[[#This Row],[Actual Start Date]],TableAopCalendar[[Date]:[Concatenate Month &amp; Week]],7,FALSE),"")</f>
        <v/>
      </c>
      <c r="S121" s="69"/>
      <c r="T121" s="68">
        <f>TableAOPTarget[[#This Row],[Actual Start Date]]+TableAOPTarget[[#This Row],[Standard Duration]]</f>
        <v>0</v>
      </c>
      <c r="U121" s="69" t="str">
        <f>IFERROR(VLOOKUP(TableAOPTarget[[#This Row],[Planned Finish Date]],TableAopCalendar[[Date]:[Concatenate Month &amp; Week]],7,FALSE),"")</f>
        <v/>
      </c>
      <c r="V121" s="68"/>
      <c r="W121" s="69" t="str">
        <f>IFERROR(VLOOKUP(TableAOPTarget[[#This Row],[Actual Finish Date]],TableAopCalendar[[Date]:[Concatenate Month &amp; Week]],7,FALSE),"")</f>
        <v/>
      </c>
      <c r="X121" s="68"/>
      <c r="Y121" s="69" t="str">
        <f>IFERROR(VLOOKUP(TableAOPTarget[[#This Row],[Forecasted Finish Date]],TableAopCalendar[[Date]:[Concatenate Month &amp; Week]],7,FALSE),"")</f>
        <v/>
      </c>
      <c r="Z121" s="68"/>
      <c r="AA121" s="69" t="str">
        <f>IF(OR(TableAOPTarget[[#This Row],[EPC Status]]="EPC Ready",TableAOPTarget[[#This Row],[EPC Status]]="WIP",TableAOPTarget[[#This Row],[EPC Status]]="YTS"),INDEX(TableAopCalendar[Concatenate Month &amp; Plan],MATCH(TableAOPTarget[[#This Row],[Planned Finish Date]],TableAopCalendar[Date],0))," ")</f>
        <v xml:space="preserve"> </v>
      </c>
      <c r="AB121" s="69" t="str">
        <f>IF(TableAOPTarget[[#This Row],[EPC Status]]="EPC Ready",INDEX(TableAopCalendar[Month for Plan],MATCH(TableAOPTarget[[#This Row],[Actual Finish Date]],TableAopCalendar[Date],0))," ")</f>
        <v xml:space="preserve"> </v>
      </c>
      <c r="AC121" s="87" t="s">
        <v>506</v>
      </c>
      <c r="AD121" s="87" t="str">
        <f>VLOOKUP(TableAOPTarget[[#This Row],[Site Name]],[17]Backup!$E:$F,2,0)</f>
        <v>2. ML Awaited</v>
      </c>
      <c r="AE121" s="71"/>
      <c r="AF121" s="133">
        <f>VLOOKUP(TableAOPTarget[[#This Row],[Site Name]],[17]Backup!$E:$GG,185,0)</f>
        <v>0</v>
      </c>
    </row>
    <row r="122" spans="1:32" x14ac:dyDescent="0.3">
      <c r="A122" s="64" t="s">
        <v>761</v>
      </c>
      <c r="B122" s="64">
        <v>120</v>
      </c>
      <c r="C122" s="87" t="s">
        <v>42</v>
      </c>
      <c r="D122" s="63" t="s">
        <v>225</v>
      </c>
      <c r="E122" s="65" t="s">
        <v>502</v>
      </c>
      <c r="F122" s="66" t="s">
        <v>341</v>
      </c>
      <c r="G122" s="162" t="s">
        <v>348</v>
      </c>
      <c r="H122" s="66" t="s">
        <v>351</v>
      </c>
      <c r="I122" s="162" t="s">
        <v>725</v>
      </c>
      <c r="J122" s="161" t="s">
        <v>723</v>
      </c>
      <c r="K122" s="65" t="s">
        <v>726</v>
      </c>
      <c r="L122" s="67">
        <v>299</v>
      </c>
      <c r="M122" s="69" t="s">
        <v>728</v>
      </c>
      <c r="N122" s="69" t="s">
        <v>514</v>
      </c>
      <c r="O122" s="68">
        <v>46164</v>
      </c>
      <c r="P122" s="69" t="str">
        <f>IFERROR(VLOOKUP(TableAOPTarget[[#This Row],[RFC Date]],TableAopCalendar[[Date]:[Concatenate Month &amp; Week]],7,FALSE),"")</f>
        <v>May 26 Week 4</v>
      </c>
      <c r="Q122" s="68">
        <v>46165</v>
      </c>
      <c r="R122" s="69" t="str">
        <f>IFERROR(VLOOKUP(TableAOPTarget[[#This Row],[Actual Start Date]],TableAopCalendar[[Date]:[Concatenate Month &amp; Week]],7,FALSE),"")</f>
        <v>May 26 Week 4</v>
      </c>
      <c r="S122" s="69">
        <v>7</v>
      </c>
      <c r="T122" s="68">
        <f>TableAOPTarget[[#This Row],[Actual Start Date]]+TableAOPTarget[[#This Row],[Standard Duration]]</f>
        <v>46172</v>
      </c>
      <c r="U122" s="69" t="str">
        <f>IFERROR(VLOOKUP(TableAOPTarget[[#This Row],[Planned Finish Date]],TableAopCalendar[[Date]:[Concatenate Month &amp; Week]],7,FALSE),"")</f>
        <v>May 26 Week 5</v>
      </c>
      <c r="V122" s="68">
        <v>46167</v>
      </c>
      <c r="W122" s="69" t="str">
        <f>IFERROR(VLOOKUP(TableAOPTarget[[#This Row],[Actual Finish Date]],TableAopCalendar[[Date]:[Concatenate Month &amp; Week]],7,FALSE),"")</f>
        <v>May 26 Week 4</v>
      </c>
      <c r="X122" s="68"/>
      <c r="Y122" s="69" t="str">
        <f>IFERROR(VLOOKUP(TableAOPTarget[[#This Row],[Forecasted Finish Date]],TableAopCalendar[[Date]:[Concatenate Month &amp; Week]],7,FALSE),"")</f>
        <v/>
      </c>
      <c r="Z122" s="68">
        <v>46167</v>
      </c>
      <c r="AA122" s="69" t="str">
        <f>IF(OR(TableAOPTarget[[#This Row],[EPC Status]]="EPC Ready",TableAOPTarget[[#This Row],[EPC Status]]="WIP",TableAOPTarget[[#This Row],[EPC Status]]="YTS"),INDEX(TableAopCalendar[Concatenate Month &amp; Plan],MATCH(TableAOPTarget[[#This Row],[Planned Finish Date]],TableAopCalendar[Date],0))," ")</f>
        <v>MAY 26 PLANNED</v>
      </c>
      <c r="AB122" s="69" t="str">
        <f>IF(TableAOPTarget[[#This Row],[EPC Status]]="EPC Ready",INDEX(TableAopCalendar[Month for Plan],MATCH(TableAOPTarget[[#This Row],[Actual Finish Date]],TableAopCalendar[Date],0))," ")</f>
        <v>MAY 26</v>
      </c>
      <c r="AC122" s="87" t="s">
        <v>379</v>
      </c>
      <c r="AD122" s="87" t="e">
        <f>VLOOKUP(TableAOPTarget[[#This Row],[Site Name]],[17]Backup!$E:$F,2,0)</f>
        <v>#N/A</v>
      </c>
      <c r="AE122" s="71"/>
      <c r="AF122" s="133" t="e">
        <f>VLOOKUP(TableAOPTarget[[#This Row],[Site Name]],[17]Backup!$E:$GG,185,0)</f>
        <v>#N/A</v>
      </c>
    </row>
    <row r="123" spans="1:32" x14ac:dyDescent="0.3">
      <c r="A123" s="64" t="s">
        <v>762</v>
      </c>
      <c r="B123" s="64">
        <v>121</v>
      </c>
      <c r="C123" s="87" t="s">
        <v>42</v>
      </c>
      <c r="D123" s="63" t="s">
        <v>225</v>
      </c>
      <c r="E123" s="65" t="s">
        <v>502</v>
      </c>
      <c r="F123" s="66" t="s">
        <v>341</v>
      </c>
      <c r="G123" s="162" t="s">
        <v>344</v>
      </c>
      <c r="H123" s="66" t="s">
        <v>350</v>
      </c>
      <c r="I123" s="162" t="s">
        <v>354</v>
      </c>
      <c r="J123" s="161" t="s">
        <v>724</v>
      </c>
      <c r="K123" s="65" t="s">
        <v>727</v>
      </c>
      <c r="L123" s="67">
        <v>600</v>
      </c>
      <c r="M123" s="69" t="s">
        <v>729</v>
      </c>
      <c r="N123" s="69" t="s">
        <v>514</v>
      </c>
      <c r="O123" s="68">
        <v>46145</v>
      </c>
      <c r="P123" s="69" t="str">
        <f>IFERROR(VLOOKUP(TableAOPTarget[[#This Row],[RFC Date]],TableAopCalendar[[Date]:[Concatenate Month &amp; Week]],7,FALSE),"")</f>
        <v>May 26 Week 1</v>
      </c>
      <c r="Q123" s="68">
        <v>46145</v>
      </c>
      <c r="R123" s="69" t="str">
        <f>IFERROR(VLOOKUP(TableAOPTarget[[#This Row],[Actual Start Date]],TableAopCalendar[[Date]:[Concatenate Month &amp; Week]],7,FALSE),"")</f>
        <v>May 26 Week 1</v>
      </c>
      <c r="S123" s="69">
        <v>7</v>
      </c>
      <c r="T123" s="68">
        <f>TableAOPTarget[[#This Row],[Actual Start Date]]+TableAOPTarget[[#This Row],[Standard Duration]]</f>
        <v>46152</v>
      </c>
      <c r="U123" s="69" t="str">
        <f>IFERROR(VLOOKUP(TableAOPTarget[[#This Row],[Planned Finish Date]],TableAopCalendar[[Date]:[Concatenate Month &amp; Week]],7,FALSE),"")</f>
        <v>May 26 Week 2</v>
      </c>
      <c r="V123" s="68">
        <v>46149</v>
      </c>
      <c r="W123" s="69" t="str">
        <f>IFERROR(VLOOKUP(TableAOPTarget[[#This Row],[Actual Finish Date]],TableAopCalendar[[Date]:[Concatenate Month &amp; Week]],7,FALSE),"")</f>
        <v>May 26 Week 1</v>
      </c>
      <c r="X123" s="68"/>
      <c r="Y123" s="69" t="str">
        <f>IFERROR(VLOOKUP(TableAOPTarget[[#This Row],[Forecasted Finish Date]],TableAopCalendar[[Date]:[Concatenate Month &amp; Week]],7,FALSE),"")</f>
        <v/>
      </c>
      <c r="Z123" s="68">
        <v>46149</v>
      </c>
      <c r="AA123" s="69" t="str">
        <f>IF(OR(TableAOPTarget[[#This Row],[EPC Status]]="EPC Ready",TableAOPTarget[[#This Row],[EPC Status]]="WIP",TableAOPTarget[[#This Row],[EPC Status]]="YTS"),INDEX(TableAopCalendar[Concatenate Month &amp; Plan],MATCH(TableAOPTarget[[#This Row],[Planned Finish Date]],TableAopCalendar[Date],0))," ")</f>
        <v>MAY 26 PLANNED</v>
      </c>
      <c r="AB123" s="69" t="str">
        <f>IF(TableAOPTarget[[#This Row],[EPC Status]]="EPC Ready",INDEX(TableAopCalendar[Month for Plan],MATCH(TableAOPTarget[[#This Row],[Actual Finish Date]],TableAopCalendar[Date],0))," ")</f>
        <v>MAY 26</v>
      </c>
      <c r="AC123" s="87" t="s">
        <v>379</v>
      </c>
      <c r="AD123" s="87" t="e">
        <f>VLOOKUP(TableAOPTarget[[#This Row],[Site Name]],[17]Backup!$E:$F,2,0)</f>
        <v>#N/A</v>
      </c>
      <c r="AE123" s="71"/>
      <c r="AF123" s="133" t="e">
        <f>VLOOKUP(TableAOPTarget[[#This Row],[Site Name]],[17]Backup!$E:$GG,185,0)</f>
        <v>#N/A</v>
      </c>
    </row>
    <row r="124" spans="1:32" ht="31.2" x14ac:dyDescent="0.3">
      <c r="A124" s="64" t="s">
        <v>763</v>
      </c>
      <c r="B124" s="64">
        <v>122</v>
      </c>
      <c r="C124" s="87" t="s">
        <v>42</v>
      </c>
      <c r="D124" s="63" t="s">
        <v>225</v>
      </c>
      <c r="E124" s="65" t="s">
        <v>35</v>
      </c>
      <c r="F124" s="66" t="s">
        <v>341</v>
      </c>
      <c r="G124" s="66" t="s">
        <v>348</v>
      </c>
      <c r="H124" s="66"/>
      <c r="I124" s="66" t="s">
        <v>361</v>
      </c>
      <c r="J124" s="59" t="s">
        <v>730</v>
      </c>
      <c r="K124" s="65" t="s">
        <v>366</v>
      </c>
      <c r="L124" s="65"/>
      <c r="M124" s="69"/>
      <c r="N124" s="69"/>
      <c r="O124" s="68"/>
      <c r="P124" s="69" t="str">
        <f>IFERROR(VLOOKUP(TableAOPTarget[[#This Row],[RFC Date]],TableAopCalendar[[Date]:[Concatenate Month &amp; Week]],7,FALSE),"")</f>
        <v/>
      </c>
      <c r="Q124" s="68"/>
      <c r="R124" s="69" t="str">
        <f>IFERROR(VLOOKUP(TableAOPTarget[[#This Row],[Actual Start Date]],TableAopCalendar[[Date]:[Concatenate Month &amp; Week]],7,FALSE),"")</f>
        <v/>
      </c>
      <c r="S124" s="69"/>
      <c r="T124" s="68">
        <f>TableAOPTarget[[#This Row],[Actual Start Date]]+TableAOPTarget[[#This Row],[Standard Duration]]</f>
        <v>0</v>
      </c>
      <c r="U124" s="69" t="str">
        <f>IFERROR(VLOOKUP(TableAOPTarget[[#This Row],[Planned Finish Date]],TableAopCalendar[[Date]:[Concatenate Month &amp; Week]],7,FALSE),"")</f>
        <v/>
      </c>
      <c r="V124" s="68"/>
      <c r="W124" s="69" t="str">
        <f>IFERROR(VLOOKUP(TableAOPTarget[[#This Row],[Actual Finish Date]],TableAopCalendar[[Date]:[Concatenate Month &amp; Week]],7,FALSE),"")</f>
        <v/>
      </c>
      <c r="X124" s="68"/>
      <c r="Y124" s="69" t="str">
        <f>IFERROR(VLOOKUP(TableAOPTarget[[#This Row],[Forecasted Finish Date]],TableAopCalendar[[Date]:[Concatenate Month &amp; Week]],7,FALSE),"")</f>
        <v/>
      </c>
      <c r="Z124" s="68"/>
      <c r="AA124" s="69" t="str">
        <f>IF(OR(TableAOPTarget[[#This Row],[EPC Status]]="EPC Ready",TableAOPTarget[[#This Row],[EPC Status]]="WIP",TableAOPTarget[[#This Row],[EPC Status]]="YTS"),INDEX(TableAopCalendar[Concatenate Month &amp; Plan],MATCH(TableAOPTarget[[#This Row],[Planned Finish Date]],TableAopCalendar[Date],0))," ")</f>
        <v xml:space="preserve"> </v>
      </c>
      <c r="AB124" s="69" t="str">
        <f>IF(TableAOPTarget[[#This Row],[EPC Status]]="EPC Ready",INDEX(TableAopCalendar[Month for Plan],MATCH(TableAOPTarget[[#This Row],[Actual Finish Date]],TableAopCalendar[Date],0))," ")</f>
        <v xml:space="preserve"> </v>
      </c>
      <c r="AC124" s="87" t="s">
        <v>506</v>
      </c>
      <c r="AD124" s="87" t="str">
        <f>VLOOKUP(TableAOPTarget[[#This Row],[Site Name]],[17]Backup!$E:$F,2,0)</f>
        <v>2. ML Awaited</v>
      </c>
      <c r="AE124" s="71"/>
      <c r="AF124" s="133">
        <f>VLOOKUP(TableAOPTarget[[#This Row],[Site Name]],[17]Backup!$E:$GG,185,0)</f>
        <v>0</v>
      </c>
    </row>
    <row r="125" spans="1:32" ht="28.8" customHeight="1" x14ac:dyDescent="0.3">
      <c r="A125" s="64" t="s">
        <v>764</v>
      </c>
      <c r="B125" s="64">
        <v>123</v>
      </c>
      <c r="C125" s="163" t="s">
        <v>137</v>
      </c>
      <c r="D125" s="73" t="s">
        <v>478</v>
      </c>
      <c r="E125" s="48" t="s">
        <v>93</v>
      </c>
      <c r="F125" s="66" t="s">
        <v>341</v>
      </c>
      <c r="G125" s="66" t="s">
        <v>348</v>
      </c>
      <c r="H125" s="66"/>
      <c r="I125" s="66" t="s">
        <v>732</v>
      </c>
      <c r="J125" s="59" t="s">
        <v>731</v>
      </c>
      <c r="K125" s="65" t="s">
        <v>657</v>
      </c>
      <c r="L125" s="67"/>
      <c r="M125" s="69"/>
      <c r="N125" s="69"/>
      <c r="O125" s="68"/>
      <c r="P125" s="69" t="str">
        <f>IFERROR(VLOOKUP(TableAOPTarget[[#This Row],[RFC Date]],TableAopCalendar[[Date]:[Concatenate Month &amp; Week]],7,FALSE),"")</f>
        <v/>
      </c>
      <c r="Q125" s="68"/>
      <c r="R125" s="69" t="str">
        <f>IFERROR(VLOOKUP(TableAOPTarget[[#This Row],[Actual Start Date]],TableAopCalendar[[Date]:[Concatenate Month &amp; Week]],7,FALSE),"")</f>
        <v/>
      </c>
      <c r="S125" s="69"/>
      <c r="T125" s="68">
        <f>TableAOPTarget[[#This Row],[Actual Start Date]]+TableAOPTarget[[#This Row],[Standard Duration]]</f>
        <v>0</v>
      </c>
      <c r="U125" s="69" t="str">
        <f>IFERROR(VLOOKUP(TableAOPTarget[[#This Row],[Planned Finish Date]],TableAopCalendar[[Date]:[Concatenate Month &amp; Week]],7,FALSE),"")</f>
        <v/>
      </c>
      <c r="V125" s="68"/>
      <c r="W125" s="69" t="str">
        <f>IFERROR(VLOOKUP(TableAOPTarget[[#This Row],[Actual Finish Date]],TableAopCalendar[[Date]:[Concatenate Month &amp; Week]],7,FALSE),"")</f>
        <v/>
      </c>
      <c r="X125" s="68"/>
      <c r="Y125" s="69" t="str">
        <f>IFERROR(VLOOKUP(TableAOPTarget[[#This Row],[Forecasted Finish Date]],TableAopCalendar[[Date]:[Concatenate Month &amp; Week]],7,FALSE),"")</f>
        <v/>
      </c>
      <c r="Z125" s="68"/>
      <c r="AA125" s="69" t="str">
        <f>IF(OR(TableAOPTarget[[#This Row],[EPC Status]]="EPC Ready",TableAOPTarget[[#This Row],[EPC Status]]="WIP",TableAOPTarget[[#This Row],[EPC Status]]="YTS"),INDEX(TableAopCalendar[Concatenate Month &amp; Plan],MATCH(TableAOPTarget[[#This Row],[Planned Finish Date]],TableAopCalendar[Date],0))," ")</f>
        <v xml:space="preserve"> </v>
      </c>
      <c r="AB125" s="69" t="str">
        <f>IF(TableAOPTarget[[#This Row],[EPC Status]]="EPC Ready",INDEX(TableAopCalendar[Month for Plan],MATCH(TableAOPTarget[[#This Row],[Actual Finish Date]],TableAopCalendar[Date],0))," ")</f>
        <v xml:space="preserve"> </v>
      </c>
      <c r="AC125" s="87" t="s">
        <v>694</v>
      </c>
      <c r="AD125" s="87" t="str">
        <f>VLOOKUP(TableAOPTarget[[#This Row],[Site Name]],[17]Backup!$E:$F,2,0)</f>
        <v>1. SDR in Progress</v>
      </c>
      <c r="AE125" s="71"/>
      <c r="AF125" s="133">
        <f>VLOOKUP(TableAOPTarget[[#This Row],[Site Name]],[17]Backup!$E:$GG,185,0)</f>
        <v>0</v>
      </c>
    </row>
    <row r="126" spans="1:32" x14ac:dyDescent="0.3">
      <c r="A126" s="64" t="s">
        <v>765</v>
      </c>
      <c r="B126" s="64">
        <v>124</v>
      </c>
      <c r="C126" s="87" t="s">
        <v>42</v>
      </c>
      <c r="D126" s="63" t="s">
        <v>225</v>
      </c>
      <c r="E126" s="65" t="s">
        <v>504</v>
      </c>
      <c r="F126" s="66" t="s">
        <v>341</v>
      </c>
      <c r="G126" s="66" t="s">
        <v>342</v>
      </c>
      <c r="H126" s="66" t="s">
        <v>343</v>
      </c>
      <c r="I126" s="66" t="s">
        <v>353</v>
      </c>
      <c r="J126" s="59" t="s">
        <v>733</v>
      </c>
      <c r="K126" s="65" t="s">
        <v>419</v>
      </c>
      <c r="L126" s="67"/>
      <c r="M126" s="69"/>
      <c r="N126" s="69"/>
      <c r="O126" s="68"/>
      <c r="P126" s="69" t="str">
        <f>IFERROR(VLOOKUP(TableAOPTarget[[#This Row],[RFC Date]],TableAopCalendar[[Date]:[Concatenate Month &amp; Week]],7,FALSE),"")</f>
        <v/>
      </c>
      <c r="Q126" s="68"/>
      <c r="R126" s="69" t="str">
        <f>IFERROR(VLOOKUP(TableAOPTarget[[#This Row],[Actual Start Date]],TableAopCalendar[[Date]:[Concatenate Month &amp; Week]],7,FALSE),"")</f>
        <v/>
      </c>
      <c r="S126" s="69"/>
      <c r="T126" s="68">
        <f>TableAOPTarget[[#This Row],[Actual Start Date]]+TableAOPTarget[[#This Row],[Standard Duration]]</f>
        <v>0</v>
      </c>
      <c r="U126" s="69" t="str">
        <f>IFERROR(VLOOKUP(TableAOPTarget[[#This Row],[Planned Finish Date]],TableAopCalendar[[Date]:[Concatenate Month &amp; Week]],7,FALSE),"")</f>
        <v/>
      </c>
      <c r="V126" s="68"/>
      <c r="W126" s="69" t="str">
        <f>IFERROR(VLOOKUP(TableAOPTarget[[#This Row],[Actual Finish Date]],TableAopCalendar[[Date]:[Concatenate Month &amp; Week]],7,FALSE),"")</f>
        <v/>
      </c>
      <c r="X126" s="68"/>
      <c r="Y126" s="69" t="str">
        <f>IFERROR(VLOOKUP(TableAOPTarget[[#This Row],[Forecasted Finish Date]],TableAopCalendar[[Date]:[Concatenate Month &amp; Week]],7,FALSE),"")</f>
        <v/>
      </c>
      <c r="Z126" s="68"/>
      <c r="AA126" s="69" t="str">
        <f>IF(OR(TableAOPTarget[[#This Row],[EPC Status]]="EPC Ready",TableAOPTarget[[#This Row],[EPC Status]]="WIP",TableAOPTarget[[#This Row],[EPC Status]]="YTS"),INDEX(TableAopCalendar[Concatenate Month &amp; Plan],MATCH(TableAOPTarget[[#This Row],[Planned Finish Date]],TableAopCalendar[Date],0))," ")</f>
        <v xml:space="preserve"> </v>
      </c>
      <c r="AB126" s="69" t="str">
        <f>IF(TableAOPTarget[[#This Row],[EPC Status]]="EPC Ready",INDEX(TableAopCalendar[Month for Plan],MATCH(TableAOPTarget[[#This Row],[Actual Finish Date]],TableAopCalendar[Date],0))," ")</f>
        <v xml:space="preserve"> </v>
      </c>
      <c r="AC126" s="87" t="s">
        <v>506</v>
      </c>
      <c r="AD126" s="87" t="str">
        <f>VLOOKUP(TableAOPTarget[[#This Row],[Site Name]],[17]Backup!$E:$F,2,0)</f>
        <v>2. ML Awaited</v>
      </c>
      <c r="AE126" s="71"/>
      <c r="AF126" s="133">
        <f>VLOOKUP(TableAOPTarget[[#This Row],[Site Name]],[17]Backup!$E:$GG,185,0)</f>
        <v>0</v>
      </c>
    </row>
    <row r="127" spans="1:32" x14ac:dyDescent="0.3">
      <c r="A127" s="64" t="s">
        <v>766</v>
      </c>
      <c r="B127" s="64">
        <v>125</v>
      </c>
      <c r="C127" s="87" t="s">
        <v>42</v>
      </c>
      <c r="D127" s="63" t="s">
        <v>225</v>
      </c>
      <c r="E127" s="65" t="s">
        <v>504</v>
      </c>
      <c r="F127" s="66" t="s">
        <v>341</v>
      </c>
      <c r="G127" s="66" t="s">
        <v>342</v>
      </c>
      <c r="H127" s="66" t="s">
        <v>343</v>
      </c>
      <c r="I127" s="66" t="s">
        <v>353</v>
      </c>
      <c r="J127" s="59" t="s">
        <v>734</v>
      </c>
      <c r="K127" s="65" t="s">
        <v>365</v>
      </c>
      <c r="L127" s="67"/>
      <c r="M127" s="69"/>
      <c r="N127" s="69"/>
      <c r="O127" s="68"/>
      <c r="P127" s="69" t="str">
        <f>IFERROR(VLOOKUP(TableAOPTarget[[#This Row],[RFC Date]],TableAopCalendar[[Date]:[Concatenate Month &amp; Week]],7,FALSE),"")</f>
        <v/>
      </c>
      <c r="Q127" s="68"/>
      <c r="R127" s="69" t="str">
        <f>IFERROR(VLOOKUP(TableAOPTarget[[#This Row],[Actual Start Date]],TableAopCalendar[[Date]:[Concatenate Month &amp; Week]],7,FALSE),"")</f>
        <v/>
      </c>
      <c r="S127" s="69"/>
      <c r="T127" s="68">
        <f>TableAOPTarget[[#This Row],[Actual Start Date]]+TableAOPTarget[[#This Row],[Standard Duration]]</f>
        <v>0</v>
      </c>
      <c r="U127" s="69" t="str">
        <f>IFERROR(VLOOKUP(TableAOPTarget[[#This Row],[Planned Finish Date]],TableAopCalendar[[Date]:[Concatenate Month &amp; Week]],7,FALSE),"")</f>
        <v/>
      </c>
      <c r="V127" s="68"/>
      <c r="W127" s="69" t="str">
        <f>IFERROR(VLOOKUP(TableAOPTarget[[#This Row],[Actual Finish Date]],TableAopCalendar[[Date]:[Concatenate Month &amp; Week]],7,FALSE),"")</f>
        <v/>
      </c>
      <c r="X127" s="68"/>
      <c r="Y127" s="69" t="str">
        <f>IFERROR(VLOOKUP(TableAOPTarget[[#This Row],[Forecasted Finish Date]],TableAopCalendar[[Date]:[Concatenate Month &amp; Week]],7,FALSE),"")</f>
        <v/>
      </c>
      <c r="Z127" s="68"/>
      <c r="AA127" s="69" t="str">
        <f>IF(OR(TableAOPTarget[[#This Row],[EPC Status]]="EPC Ready",TableAOPTarget[[#This Row],[EPC Status]]="WIP",TableAOPTarget[[#This Row],[EPC Status]]="YTS"),INDEX(TableAopCalendar[Concatenate Month &amp; Plan],MATCH(TableAOPTarget[[#This Row],[Planned Finish Date]],TableAopCalendar[Date],0))," ")</f>
        <v xml:space="preserve"> </v>
      </c>
      <c r="AB127" s="69" t="str">
        <f>IF(TableAOPTarget[[#This Row],[EPC Status]]="EPC Ready",INDEX(TableAopCalendar[Month for Plan],MATCH(TableAOPTarget[[#This Row],[Actual Finish Date]],TableAopCalendar[Date],0))," ")</f>
        <v xml:space="preserve"> </v>
      </c>
      <c r="AC127" s="87" t="s">
        <v>506</v>
      </c>
      <c r="AD127" s="87" t="str">
        <f>VLOOKUP(TableAOPTarget[[#This Row],[Site Name]],[17]Backup!$E:$F,2,0)</f>
        <v>2. ML Awaited</v>
      </c>
      <c r="AE127" s="71"/>
      <c r="AF127" s="133">
        <f>VLOOKUP(TableAOPTarget[[#This Row],[Site Name]],[17]Backup!$E:$GG,185,0)</f>
        <v>0</v>
      </c>
    </row>
    <row r="128" spans="1:32" x14ac:dyDescent="0.3">
      <c r="A128" s="64" t="s">
        <v>767</v>
      </c>
      <c r="B128" s="64">
        <v>126</v>
      </c>
      <c r="C128" s="87" t="s">
        <v>42</v>
      </c>
      <c r="D128" s="63" t="s">
        <v>225</v>
      </c>
      <c r="E128" s="65" t="s">
        <v>504</v>
      </c>
      <c r="F128" s="66" t="s">
        <v>341</v>
      </c>
      <c r="G128" s="66" t="s">
        <v>342</v>
      </c>
      <c r="H128" s="66" t="s">
        <v>343</v>
      </c>
      <c r="I128" s="66" t="s">
        <v>353</v>
      </c>
      <c r="J128" s="59" t="s">
        <v>738</v>
      </c>
      <c r="K128" s="65" t="s">
        <v>365</v>
      </c>
      <c r="L128" s="67"/>
      <c r="M128" s="69"/>
      <c r="N128" s="69"/>
      <c r="O128" s="68"/>
      <c r="P128" s="69" t="str">
        <f>IFERROR(VLOOKUP(TableAOPTarget[[#This Row],[RFC Date]],TableAopCalendar[[Date]:[Concatenate Month &amp; Week]],7,FALSE),"")</f>
        <v/>
      </c>
      <c r="Q128" s="68"/>
      <c r="R128" s="69" t="str">
        <f>IFERROR(VLOOKUP(TableAOPTarget[[#This Row],[Actual Start Date]],TableAopCalendar[[Date]:[Concatenate Month &amp; Week]],7,FALSE),"")</f>
        <v/>
      </c>
      <c r="S128" s="69"/>
      <c r="T128" s="68">
        <f>TableAOPTarget[[#This Row],[Actual Start Date]]+TableAOPTarget[[#This Row],[Standard Duration]]</f>
        <v>0</v>
      </c>
      <c r="U128" s="69" t="str">
        <f>IFERROR(VLOOKUP(TableAOPTarget[[#This Row],[Planned Finish Date]],TableAopCalendar[[Date]:[Concatenate Month &amp; Week]],7,FALSE),"")</f>
        <v/>
      </c>
      <c r="V128" s="68"/>
      <c r="W128" s="69" t="str">
        <f>IFERROR(VLOOKUP(TableAOPTarget[[#This Row],[Actual Finish Date]],TableAopCalendar[[Date]:[Concatenate Month &amp; Week]],7,FALSE),"")</f>
        <v/>
      </c>
      <c r="X128" s="68"/>
      <c r="Y128" s="69" t="str">
        <f>IFERROR(VLOOKUP(TableAOPTarget[[#This Row],[Forecasted Finish Date]],TableAopCalendar[[Date]:[Concatenate Month &amp; Week]],7,FALSE),"")</f>
        <v/>
      </c>
      <c r="Z128" s="68"/>
      <c r="AA128" s="69" t="str">
        <f>IF(OR(TableAOPTarget[[#This Row],[EPC Status]]="EPC Ready",TableAOPTarget[[#This Row],[EPC Status]]="WIP",TableAOPTarget[[#This Row],[EPC Status]]="YTS"),INDEX(TableAopCalendar[Concatenate Month &amp; Plan],MATCH(TableAOPTarget[[#This Row],[Planned Finish Date]],TableAopCalendar[Date],0))," ")</f>
        <v xml:space="preserve"> </v>
      </c>
      <c r="AB128" s="69" t="str">
        <f>IF(TableAOPTarget[[#This Row],[EPC Status]]="EPC Ready",INDEX(TableAopCalendar[Month for Plan],MATCH(TableAOPTarget[[#This Row],[Actual Finish Date]],TableAopCalendar[Date],0))," ")</f>
        <v xml:space="preserve"> </v>
      </c>
      <c r="AC128" s="87" t="s">
        <v>506</v>
      </c>
      <c r="AD128" s="87" t="str">
        <f>VLOOKUP(TableAOPTarget[[#This Row],[Site Name]],[17]Backup!$E:$F,2,0)</f>
        <v>2. ML Awaited</v>
      </c>
      <c r="AE128" s="71"/>
      <c r="AF128" s="133">
        <f>VLOOKUP(TableAOPTarget[[#This Row],[Site Name]],[17]Backup!$E:$GG,185,0)</f>
        <v>0</v>
      </c>
    </row>
    <row r="129" spans="1:32" x14ac:dyDescent="0.3">
      <c r="A129" s="64" t="s">
        <v>768</v>
      </c>
      <c r="B129" s="64">
        <v>127</v>
      </c>
      <c r="C129" s="87" t="s">
        <v>42</v>
      </c>
      <c r="D129" s="63" t="s">
        <v>225</v>
      </c>
      <c r="E129" s="65" t="s">
        <v>502</v>
      </c>
      <c r="F129" s="66" t="s">
        <v>341</v>
      </c>
      <c r="G129" s="66" t="s">
        <v>348</v>
      </c>
      <c r="H129" s="66" t="s">
        <v>351</v>
      </c>
      <c r="I129" s="66" t="s">
        <v>358</v>
      </c>
      <c r="J129" s="59" t="s">
        <v>736</v>
      </c>
      <c r="K129" s="65" t="s">
        <v>735</v>
      </c>
      <c r="L129" s="67">
        <v>985</v>
      </c>
      <c r="M129" s="69" t="s">
        <v>737</v>
      </c>
      <c r="N129" s="69" t="s">
        <v>514</v>
      </c>
      <c r="O129" s="68">
        <v>46157</v>
      </c>
      <c r="P129" s="69" t="str">
        <f>IFERROR(VLOOKUP(TableAOPTarget[[#This Row],[RFC Date]],TableAopCalendar[[Date]:[Concatenate Month &amp; Week]],7,FALSE),"")</f>
        <v>May 26 Week 3</v>
      </c>
      <c r="Q129" s="68">
        <v>46157</v>
      </c>
      <c r="R129" s="69" t="str">
        <f>IFERROR(VLOOKUP(TableAOPTarget[[#This Row],[Actual Start Date]],TableAopCalendar[[Date]:[Concatenate Month &amp; Week]],7,FALSE),"")</f>
        <v>May 26 Week 3</v>
      </c>
      <c r="S129" s="69">
        <v>7</v>
      </c>
      <c r="T129" s="68">
        <f>TableAOPTarget[[#This Row],[Actual Start Date]]+TableAOPTarget[[#This Row],[Standard Duration]]</f>
        <v>46164</v>
      </c>
      <c r="U129" s="69" t="str">
        <f>IFERROR(VLOOKUP(TableAOPTarget[[#This Row],[Planned Finish Date]],TableAopCalendar[[Date]:[Concatenate Month &amp; Week]],7,FALSE),"")</f>
        <v>May 26 Week 4</v>
      </c>
      <c r="V129" s="68">
        <v>46160</v>
      </c>
      <c r="W129" s="69" t="str">
        <f>IFERROR(VLOOKUP(TableAOPTarget[[#This Row],[Actual Finish Date]],TableAopCalendar[[Date]:[Concatenate Month &amp; Week]],7,FALSE),"")</f>
        <v>May 26 Week 3</v>
      </c>
      <c r="X129" s="68"/>
      <c r="Y129" s="69" t="str">
        <f>IFERROR(VLOOKUP(TableAOPTarget[[#This Row],[Forecasted Finish Date]],TableAopCalendar[[Date]:[Concatenate Month &amp; Week]],7,FALSE),"")</f>
        <v/>
      </c>
      <c r="Z129" s="68"/>
      <c r="AA129" s="69" t="str">
        <f>IF(OR(TableAOPTarget[[#This Row],[EPC Status]]="EPC Ready",TableAOPTarget[[#This Row],[EPC Status]]="WIP",TableAOPTarget[[#This Row],[EPC Status]]="YTS"),INDEX(TableAopCalendar[Concatenate Month &amp; Plan],MATCH(TableAOPTarget[[#This Row],[Planned Finish Date]],TableAopCalendar[Date],0))," ")</f>
        <v>MAY 26 PLANNED</v>
      </c>
      <c r="AB129" s="69" t="str">
        <f>IF(TableAOPTarget[[#This Row],[EPC Status]]="EPC Ready",INDEX(TableAopCalendar[Month for Plan],MATCH(TableAOPTarget[[#This Row],[Actual Finish Date]],TableAopCalendar[Date],0))," ")</f>
        <v>MAY 26</v>
      </c>
      <c r="AC129" s="87" t="s">
        <v>379</v>
      </c>
      <c r="AD129" s="87" t="e">
        <f>VLOOKUP(TableAOPTarget[[#This Row],[Site Name]],[17]Backup!$E:$F,2,0)</f>
        <v>#N/A</v>
      </c>
      <c r="AE129" s="71"/>
      <c r="AF129" s="133" t="e">
        <f>VLOOKUP(TableAOPTarget[[#This Row],[Site Name]],[17]Backup!$E:$GG,185,0)</f>
        <v>#N/A</v>
      </c>
    </row>
    <row r="130" spans="1:32" x14ac:dyDescent="0.3">
      <c r="A130" s="64" t="s">
        <v>769</v>
      </c>
      <c r="B130" s="64">
        <v>128</v>
      </c>
      <c r="C130" s="87" t="s">
        <v>42</v>
      </c>
      <c r="D130" s="63" t="s">
        <v>225</v>
      </c>
      <c r="E130" s="65" t="s">
        <v>504</v>
      </c>
      <c r="F130" s="66" t="s">
        <v>341</v>
      </c>
      <c r="G130" s="66" t="s">
        <v>342</v>
      </c>
      <c r="H130" s="66" t="s">
        <v>343</v>
      </c>
      <c r="I130" s="66" t="s">
        <v>353</v>
      </c>
      <c r="J130" s="59" t="s">
        <v>742</v>
      </c>
      <c r="K130" s="65" t="s">
        <v>419</v>
      </c>
      <c r="L130" s="67"/>
      <c r="M130" s="69"/>
      <c r="N130" s="69"/>
      <c r="O130" s="68"/>
      <c r="P130" s="69" t="str">
        <f>IFERROR(VLOOKUP(TableAOPTarget[[#This Row],[RFC Date]],TableAopCalendar[[Date]:[Concatenate Month &amp; Week]],7,FALSE),"")</f>
        <v/>
      </c>
      <c r="Q130" s="68"/>
      <c r="R130" s="69" t="str">
        <f>IFERROR(VLOOKUP(TableAOPTarget[[#This Row],[Actual Start Date]],TableAopCalendar[[Date]:[Concatenate Month &amp; Week]],7,FALSE),"")</f>
        <v/>
      </c>
      <c r="S130" s="69"/>
      <c r="T130" s="68">
        <f>TableAOPTarget[[#This Row],[Actual Start Date]]+TableAOPTarget[[#This Row],[Standard Duration]]</f>
        <v>0</v>
      </c>
      <c r="U130" s="69" t="str">
        <f>IFERROR(VLOOKUP(TableAOPTarget[[#This Row],[Planned Finish Date]],TableAopCalendar[[Date]:[Concatenate Month &amp; Week]],7,FALSE),"")</f>
        <v/>
      </c>
      <c r="V130" s="68"/>
      <c r="W130" s="69" t="str">
        <f>IFERROR(VLOOKUP(TableAOPTarget[[#This Row],[Actual Finish Date]],TableAopCalendar[[Date]:[Concatenate Month &amp; Week]],7,FALSE),"")</f>
        <v/>
      </c>
      <c r="X130" s="68"/>
      <c r="Y130" s="69" t="str">
        <f>IFERROR(VLOOKUP(TableAOPTarget[[#This Row],[Forecasted Finish Date]],TableAopCalendar[[Date]:[Concatenate Month &amp; Week]],7,FALSE),"")</f>
        <v/>
      </c>
      <c r="Z130" s="68"/>
      <c r="AA130" s="69" t="str">
        <f>IF(OR(TableAOPTarget[[#This Row],[EPC Status]]="EPC Ready",TableAOPTarget[[#This Row],[EPC Status]]="WIP",TableAOPTarget[[#This Row],[EPC Status]]="YTS"),INDEX(TableAopCalendar[Concatenate Month &amp; Plan],MATCH(TableAOPTarget[[#This Row],[Planned Finish Date]],TableAopCalendar[Date],0))," ")</f>
        <v xml:space="preserve"> </v>
      </c>
      <c r="AB130" s="69" t="str">
        <f>IF(TableAOPTarget[[#This Row],[EPC Status]]="EPC Ready",INDEX(TableAopCalendar[Month for Plan],MATCH(TableAOPTarget[[#This Row],[Actual Finish Date]],TableAopCalendar[Date],0))," ")</f>
        <v xml:space="preserve"> </v>
      </c>
      <c r="AC130" s="87" t="s">
        <v>506</v>
      </c>
      <c r="AD130" s="87" t="str">
        <f>VLOOKUP(TableAOPTarget[[#This Row],[Site Name]],[17]Backup!$E:$F,2,0)</f>
        <v>2. ML Awaited</v>
      </c>
      <c r="AE130" s="71"/>
      <c r="AF130" s="133">
        <f>VLOOKUP(TableAOPTarget[[#This Row],[Site Name]],[17]Backup!$E:$GG,185,0)</f>
        <v>0</v>
      </c>
    </row>
    <row r="131" spans="1:32" x14ac:dyDescent="0.3">
      <c r="A131" s="64" t="s">
        <v>770</v>
      </c>
      <c r="B131" s="64">
        <v>129</v>
      </c>
      <c r="C131" s="87" t="s">
        <v>42</v>
      </c>
      <c r="D131" s="63" t="s">
        <v>225</v>
      </c>
      <c r="E131" s="65" t="s">
        <v>504</v>
      </c>
      <c r="F131" s="66" t="s">
        <v>341</v>
      </c>
      <c r="G131" s="66" t="s">
        <v>342</v>
      </c>
      <c r="H131" s="66" t="s">
        <v>343</v>
      </c>
      <c r="I131" s="66" t="s">
        <v>353</v>
      </c>
      <c r="J131" s="59" t="s">
        <v>743</v>
      </c>
      <c r="K131" s="65" t="s">
        <v>419</v>
      </c>
      <c r="L131" s="67"/>
      <c r="M131" s="69"/>
      <c r="N131" s="69"/>
      <c r="O131" s="68"/>
      <c r="P131" s="69" t="str">
        <f>IFERROR(VLOOKUP(TableAOPTarget[[#This Row],[RFC Date]],TableAopCalendar[[Date]:[Concatenate Month &amp; Week]],7,FALSE),"")</f>
        <v/>
      </c>
      <c r="Q131" s="68"/>
      <c r="R131" s="69" t="str">
        <f>IFERROR(VLOOKUP(TableAOPTarget[[#This Row],[Actual Start Date]],TableAopCalendar[[Date]:[Concatenate Month &amp; Week]],7,FALSE),"")</f>
        <v/>
      </c>
      <c r="S131" s="69"/>
      <c r="T131" s="68">
        <f>TableAOPTarget[[#This Row],[Actual Start Date]]+TableAOPTarget[[#This Row],[Standard Duration]]</f>
        <v>0</v>
      </c>
      <c r="U131" s="69" t="str">
        <f>IFERROR(VLOOKUP(TableAOPTarget[[#This Row],[Planned Finish Date]],TableAopCalendar[[Date]:[Concatenate Month &amp; Week]],7,FALSE),"")</f>
        <v/>
      </c>
      <c r="V131" s="68"/>
      <c r="W131" s="69" t="str">
        <f>IFERROR(VLOOKUP(TableAOPTarget[[#This Row],[Actual Finish Date]],TableAopCalendar[[Date]:[Concatenate Month &amp; Week]],7,FALSE),"")</f>
        <v/>
      </c>
      <c r="X131" s="68"/>
      <c r="Y131" s="69" t="str">
        <f>IFERROR(VLOOKUP(TableAOPTarget[[#This Row],[Forecasted Finish Date]],TableAopCalendar[[Date]:[Concatenate Month &amp; Week]],7,FALSE),"")</f>
        <v/>
      </c>
      <c r="Z131" s="68"/>
      <c r="AA131" s="69" t="str">
        <f>IF(OR(TableAOPTarget[[#This Row],[EPC Status]]="EPC Ready",TableAOPTarget[[#This Row],[EPC Status]]="WIP",TableAOPTarget[[#This Row],[EPC Status]]="YTS"),INDEX(TableAopCalendar[Concatenate Month &amp; Plan],MATCH(TableAOPTarget[[#This Row],[Planned Finish Date]],TableAopCalendar[Date],0))," ")</f>
        <v xml:space="preserve"> </v>
      </c>
      <c r="AB131" s="69" t="str">
        <f>IF(TableAOPTarget[[#This Row],[EPC Status]]="EPC Ready",INDEX(TableAopCalendar[Month for Plan],MATCH(TableAOPTarget[[#This Row],[Actual Finish Date]],TableAopCalendar[Date],0))," ")</f>
        <v xml:space="preserve"> </v>
      </c>
      <c r="AC131" s="87" t="s">
        <v>506</v>
      </c>
      <c r="AD131" s="87" t="str">
        <f>VLOOKUP(TableAOPTarget[[#This Row],[Site Name]],[17]Backup!$E:$F,2,0)</f>
        <v>2. ML Awaited</v>
      </c>
      <c r="AE131" s="71"/>
      <c r="AF131" s="133">
        <f>VLOOKUP(TableAOPTarget[[#This Row],[Site Name]],[17]Backup!$E:$GG,185,0)</f>
        <v>0</v>
      </c>
    </row>
    <row r="132" spans="1:32" x14ac:dyDescent="0.3">
      <c r="A132" s="64" t="s">
        <v>771</v>
      </c>
      <c r="B132" s="64">
        <v>130</v>
      </c>
      <c r="C132" s="87" t="s">
        <v>42</v>
      </c>
      <c r="D132" s="63" t="s">
        <v>225</v>
      </c>
      <c r="E132" s="65" t="s">
        <v>504</v>
      </c>
      <c r="F132" s="66" t="s">
        <v>341</v>
      </c>
      <c r="G132" s="66" t="s">
        <v>342</v>
      </c>
      <c r="H132" s="66" t="s">
        <v>343</v>
      </c>
      <c r="I132" s="66" t="s">
        <v>353</v>
      </c>
      <c r="J132" s="59" t="s">
        <v>744</v>
      </c>
      <c r="K132" s="65" t="s">
        <v>365</v>
      </c>
      <c r="L132" s="67"/>
      <c r="M132" s="69"/>
      <c r="N132" s="69"/>
      <c r="O132" s="68"/>
      <c r="P132" s="69" t="str">
        <f>IFERROR(VLOOKUP(TableAOPTarget[[#This Row],[RFC Date]],TableAopCalendar[[Date]:[Concatenate Month &amp; Week]],7,FALSE),"")</f>
        <v/>
      </c>
      <c r="Q132" s="68"/>
      <c r="R132" s="69" t="str">
        <f>IFERROR(VLOOKUP(TableAOPTarget[[#This Row],[Actual Start Date]],TableAopCalendar[[Date]:[Concatenate Month &amp; Week]],7,FALSE),"")</f>
        <v/>
      </c>
      <c r="S132" s="69"/>
      <c r="T132" s="68">
        <f>TableAOPTarget[[#This Row],[Actual Start Date]]+TableAOPTarget[[#This Row],[Standard Duration]]</f>
        <v>0</v>
      </c>
      <c r="U132" s="69" t="str">
        <f>IFERROR(VLOOKUP(TableAOPTarget[[#This Row],[Planned Finish Date]],TableAopCalendar[[Date]:[Concatenate Month &amp; Week]],7,FALSE),"")</f>
        <v/>
      </c>
      <c r="V132" s="68"/>
      <c r="W132" s="69" t="str">
        <f>IFERROR(VLOOKUP(TableAOPTarget[[#This Row],[Actual Finish Date]],TableAopCalendar[[Date]:[Concatenate Month &amp; Week]],7,FALSE),"")</f>
        <v/>
      </c>
      <c r="X132" s="68"/>
      <c r="Y132" s="69" t="str">
        <f>IFERROR(VLOOKUP(TableAOPTarget[[#This Row],[Forecasted Finish Date]],TableAopCalendar[[Date]:[Concatenate Month &amp; Week]],7,FALSE),"")</f>
        <v/>
      </c>
      <c r="Z132" s="68"/>
      <c r="AA132" s="69" t="str">
        <f>IF(OR(TableAOPTarget[[#This Row],[EPC Status]]="EPC Ready",TableAOPTarget[[#This Row],[EPC Status]]="WIP",TableAOPTarget[[#This Row],[EPC Status]]="YTS"),INDEX(TableAopCalendar[Concatenate Month &amp; Plan],MATCH(TableAOPTarget[[#This Row],[Planned Finish Date]],TableAopCalendar[Date],0))," ")</f>
        <v xml:space="preserve"> </v>
      </c>
      <c r="AB132" s="69" t="str">
        <f>IF(TableAOPTarget[[#This Row],[EPC Status]]="EPC Ready",INDEX(TableAopCalendar[Month for Plan],MATCH(TableAOPTarget[[#This Row],[Actual Finish Date]],TableAopCalendar[Date],0))," ")</f>
        <v xml:space="preserve"> </v>
      </c>
      <c r="AC132" s="87" t="s">
        <v>505</v>
      </c>
      <c r="AD132" s="87" t="str">
        <f>VLOOKUP(TableAOPTarget[[#This Row],[Site Name]],[17]Backup!$E:$F,2,0)</f>
        <v>11. HOLD</v>
      </c>
      <c r="AE132" s="71"/>
      <c r="AF132" s="133">
        <f>VLOOKUP(TableAOPTarget[[#This Row],[Site Name]],[17]Backup!$E:$GG,185,0)</f>
        <v>0</v>
      </c>
    </row>
    <row r="133" spans="1:32" x14ac:dyDescent="0.3">
      <c r="A133" s="64" t="s">
        <v>772</v>
      </c>
      <c r="B133" s="64">
        <v>131</v>
      </c>
      <c r="C133" s="87" t="s">
        <v>42</v>
      </c>
      <c r="D133" s="63" t="s">
        <v>225</v>
      </c>
      <c r="E133" s="65" t="s">
        <v>504</v>
      </c>
      <c r="F133" s="66" t="s">
        <v>341</v>
      </c>
      <c r="G133" s="66" t="s">
        <v>342</v>
      </c>
      <c r="H133" s="66" t="s">
        <v>343</v>
      </c>
      <c r="I133" s="66" t="s">
        <v>353</v>
      </c>
      <c r="J133" s="59" t="s">
        <v>745</v>
      </c>
      <c r="K133" s="65" t="s">
        <v>419</v>
      </c>
      <c r="L133" s="67"/>
      <c r="M133" s="69"/>
      <c r="N133" s="69"/>
      <c r="O133" s="68"/>
      <c r="P133" s="69" t="str">
        <f>IFERROR(VLOOKUP(TableAOPTarget[[#This Row],[RFC Date]],TableAopCalendar[[Date]:[Concatenate Month &amp; Week]],7,FALSE),"")</f>
        <v/>
      </c>
      <c r="Q133" s="68"/>
      <c r="R133" s="69" t="str">
        <f>IFERROR(VLOOKUP(TableAOPTarget[[#This Row],[Actual Start Date]],TableAopCalendar[[Date]:[Concatenate Month &amp; Week]],7,FALSE),"")</f>
        <v/>
      </c>
      <c r="S133" s="69"/>
      <c r="T133" s="68">
        <f>TableAOPTarget[[#This Row],[Actual Start Date]]+TableAOPTarget[[#This Row],[Standard Duration]]</f>
        <v>0</v>
      </c>
      <c r="U133" s="69" t="str">
        <f>IFERROR(VLOOKUP(TableAOPTarget[[#This Row],[Planned Finish Date]],TableAopCalendar[[Date]:[Concatenate Month &amp; Week]],7,FALSE),"")</f>
        <v/>
      </c>
      <c r="V133" s="68"/>
      <c r="W133" s="69" t="str">
        <f>IFERROR(VLOOKUP(TableAOPTarget[[#This Row],[Actual Finish Date]],TableAopCalendar[[Date]:[Concatenate Month &amp; Week]],7,FALSE),"")</f>
        <v/>
      </c>
      <c r="X133" s="68"/>
      <c r="Y133" s="69" t="str">
        <f>IFERROR(VLOOKUP(TableAOPTarget[[#This Row],[Forecasted Finish Date]],TableAopCalendar[[Date]:[Concatenate Month &amp; Week]],7,FALSE),"")</f>
        <v/>
      </c>
      <c r="Z133" s="68"/>
      <c r="AA133" s="69" t="str">
        <f>IF(OR(TableAOPTarget[[#This Row],[EPC Status]]="EPC Ready",TableAOPTarget[[#This Row],[EPC Status]]="WIP",TableAOPTarget[[#This Row],[EPC Status]]="YTS"),INDEX(TableAopCalendar[Concatenate Month &amp; Plan],MATCH(TableAOPTarget[[#This Row],[Planned Finish Date]],TableAopCalendar[Date],0))," ")</f>
        <v xml:space="preserve"> </v>
      </c>
      <c r="AB133" s="69" t="str">
        <f>IF(TableAOPTarget[[#This Row],[EPC Status]]="EPC Ready",INDEX(TableAopCalendar[Month for Plan],MATCH(TableAOPTarget[[#This Row],[Actual Finish Date]],TableAopCalendar[Date],0))," ")</f>
        <v xml:space="preserve"> </v>
      </c>
      <c r="AC133" s="87" t="s">
        <v>506</v>
      </c>
      <c r="AD133" s="87" t="str">
        <f>VLOOKUP(TableAOPTarget[[#This Row],[Site Name]],[17]Backup!$E:$F,2,0)</f>
        <v>2. ML Awaited</v>
      </c>
      <c r="AE133" s="71"/>
      <c r="AF133" s="133">
        <f>VLOOKUP(TableAOPTarget[[#This Row],[Site Name]],[17]Backup!$E:$GG,185,0)</f>
        <v>0</v>
      </c>
    </row>
    <row r="134" spans="1:32" x14ac:dyDescent="0.3">
      <c r="A134" s="64" t="s">
        <v>773</v>
      </c>
      <c r="B134" s="64">
        <v>132</v>
      </c>
      <c r="C134" s="87" t="s">
        <v>42</v>
      </c>
      <c r="D134" s="63" t="s">
        <v>225</v>
      </c>
      <c r="E134" s="65" t="s">
        <v>504</v>
      </c>
      <c r="F134" s="66" t="s">
        <v>341</v>
      </c>
      <c r="G134" s="66" t="s">
        <v>342</v>
      </c>
      <c r="H134" s="66" t="s">
        <v>343</v>
      </c>
      <c r="I134" s="66" t="s">
        <v>353</v>
      </c>
      <c r="J134" s="59" t="s">
        <v>746</v>
      </c>
      <c r="K134" s="65" t="s">
        <v>419</v>
      </c>
      <c r="L134" s="67"/>
      <c r="M134" s="69"/>
      <c r="N134" s="69"/>
      <c r="O134" s="68"/>
      <c r="P134" s="69" t="str">
        <f>IFERROR(VLOOKUP(TableAOPTarget[[#This Row],[RFC Date]],TableAopCalendar[[Date]:[Concatenate Month &amp; Week]],7,FALSE),"")</f>
        <v/>
      </c>
      <c r="Q134" s="68"/>
      <c r="R134" s="69" t="str">
        <f>IFERROR(VLOOKUP(TableAOPTarget[[#This Row],[Actual Start Date]],TableAopCalendar[[Date]:[Concatenate Month &amp; Week]],7,FALSE),"")</f>
        <v/>
      </c>
      <c r="S134" s="69"/>
      <c r="T134" s="68">
        <f>TableAOPTarget[[#This Row],[Actual Start Date]]+TableAOPTarget[[#This Row],[Standard Duration]]</f>
        <v>0</v>
      </c>
      <c r="U134" s="69" t="str">
        <f>IFERROR(VLOOKUP(TableAOPTarget[[#This Row],[Planned Finish Date]],TableAopCalendar[[Date]:[Concatenate Month &amp; Week]],7,FALSE),"")</f>
        <v/>
      </c>
      <c r="V134" s="68"/>
      <c r="W134" s="69" t="str">
        <f>IFERROR(VLOOKUP(TableAOPTarget[[#This Row],[Actual Finish Date]],TableAopCalendar[[Date]:[Concatenate Month &amp; Week]],7,FALSE),"")</f>
        <v/>
      </c>
      <c r="X134" s="68"/>
      <c r="Y134" s="69" t="str">
        <f>IFERROR(VLOOKUP(TableAOPTarget[[#This Row],[Forecasted Finish Date]],TableAopCalendar[[Date]:[Concatenate Month &amp; Week]],7,FALSE),"")</f>
        <v/>
      </c>
      <c r="Z134" s="68"/>
      <c r="AA134" s="69" t="str">
        <f>IF(OR(TableAOPTarget[[#This Row],[EPC Status]]="EPC Ready",TableAOPTarget[[#This Row],[EPC Status]]="WIP",TableAOPTarget[[#This Row],[EPC Status]]="YTS"),INDEX(TableAopCalendar[Concatenate Month &amp; Plan],MATCH(TableAOPTarget[[#This Row],[Planned Finish Date]],TableAopCalendar[Date],0))," ")</f>
        <v xml:space="preserve"> </v>
      </c>
      <c r="AB134" s="69" t="str">
        <f>IF(TableAOPTarget[[#This Row],[EPC Status]]="EPC Ready",INDEX(TableAopCalendar[Month for Plan],MATCH(TableAOPTarget[[#This Row],[Actual Finish Date]],TableAopCalendar[Date],0))," ")</f>
        <v xml:space="preserve"> </v>
      </c>
      <c r="AC134" s="87" t="s">
        <v>506</v>
      </c>
      <c r="AD134" s="87" t="str">
        <f>VLOOKUP(TableAOPTarget[[#This Row],[Site Name]],[17]Backup!$E:$F,2,0)</f>
        <v>2. ML Awaited</v>
      </c>
      <c r="AE134" s="71"/>
      <c r="AF134" s="133">
        <f>VLOOKUP(TableAOPTarget[[#This Row],[Site Name]],[17]Backup!$E:$GG,185,0)</f>
        <v>0</v>
      </c>
    </row>
    <row r="135" spans="1:32" x14ac:dyDescent="0.3">
      <c r="A135" s="64" t="s">
        <v>774</v>
      </c>
      <c r="B135" s="64">
        <v>133</v>
      </c>
      <c r="C135" s="87" t="s">
        <v>42</v>
      </c>
      <c r="D135" s="63" t="s">
        <v>225</v>
      </c>
      <c r="E135" s="65" t="s">
        <v>504</v>
      </c>
      <c r="F135" s="66" t="s">
        <v>341</v>
      </c>
      <c r="G135" s="66" t="s">
        <v>342</v>
      </c>
      <c r="H135" s="66" t="s">
        <v>343</v>
      </c>
      <c r="I135" s="66" t="s">
        <v>353</v>
      </c>
      <c r="J135" s="164" t="s">
        <v>747</v>
      </c>
      <c r="K135" s="65" t="s">
        <v>419</v>
      </c>
      <c r="L135" s="155"/>
      <c r="M135" s="156"/>
      <c r="N135" s="156"/>
      <c r="O135" s="157"/>
      <c r="P135" s="156" t="str">
        <f>IFERROR(VLOOKUP(TableAOPTarget[[#This Row],[RFC Date]],TableAopCalendar[[Date]:[Concatenate Month &amp; Week]],7,FALSE),"")</f>
        <v/>
      </c>
      <c r="Q135" s="157"/>
      <c r="R135" s="156" t="str">
        <f>IFERROR(VLOOKUP(TableAOPTarget[[#This Row],[Actual Start Date]],TableAopCalendar[[Date]:[Concatenate Month &amp; Week]],7,FALSE),"")</f>
        <v/>
      </c>
      <c r="S135" s="156"/>
      <c r="T135" s="157">
        <f>TableAOPTarget[[#This Row],[Actual Start Date]]+TableAOPTarget[[#This Row],[Standard Duration]]</f>
        <v>0</v>
      </c>
      <c r="U135" s="156" t="str">
        <f>IFERROR(VLOOKUP(TableAOPTarget[[#This Row],[Planned Finish Date]],TableAopCalendar[[Date]:[Concatenate Month &amp; Week]],7,FALSE),"")</f>
        <v/>
      </c>
      <c r="V135" s="157"/>
      <c r="W135" s="156" t="str">
        <f>IFERROR(VLOOKUP(TableAOPTarget[[#This Row],[Actual Finish Date]],TableAopCalendar[[Date]:[Concatenate Month &amp; Week]],7,FALSE),"")</f>
        <v/>
      </c>
      <c r="X135" s="157"/>
      <c r="Y135" s="156" t="str">
        <f>IFERROR(VLOOKUP(TableAOPTarget[[#This Row],[Forecasted Finish Date]],TableAopCalendar[[Date]:[Concatenate Month &amp; Week]],7,FALSE),"")</f>
        <v/>
      </c>
      <c r="Z135" s="157"/>
      <c r="AA135" s="156" t="str">
        <f>IF(OR(TableAOPTarget[[#This Row],[EPC Status]]="EPC Ready",TableAOPTarget[[#This Row],[EPC Status]]="WIP",TableAOPTarget[[#This Row],[EPC Status]]="YTS"),INDEX(TableAopCalendar[Concatenate Month &amp; Plan],MATCH(TableAOPTarget[[#This Row],[Planned Finish Date]],TableAopCalendar[Date],0))," ")</f>
        <v xml:space="preserve"> </v>
      </c>
      <c r="AB135" s="156" t="str">
        <f>IF(TableAOPTarget[[#This Row],[EPC Status]]="EPC Ready",INDEX(TableAopCalendar[Month for Plan],MATCH(TableAOPTarget[[#This Row],[Actual Finish Date]],TableAopCalendar[Date],0))," ")</f>
        <v xml:space="preserve"> </v>
      </c>
      <c r="AC135" s="87" t="s">
        <v>506</v>
      </c>
      <c r="AD135" s="154" t="str">
        <f>VLOOKUP(TableAOPTarget[[#This Row],[Site Name]],[17]Backup!$E:$F,2,0)</f>
        <v>2. ML Awaited</v>
      </c>
      <c r="AE135" s="158"/>
      <c r="AF135" s="133">
        <f>VLOOKUP(TableAOPTarget[[#This Row],[Site Name]],[17]Backup!$E:$GG,185,0)</f>
        <v>0</v>
      </c>
    </row>
    <row r="136" spans="1:32" x14ac:dyDescent="0.3">
      <c r="A136" s="64" t="s">
        <v>775</v>
      </c>
      <c r="B136" s="64">
        <v>134</v>
      </c>
      <c r="C136" s="87" t="s">
        <v>42</v>
      </c>
      <c r="D136" s="63" t="s">
        <v>225</v>
      </c>
      <c r="E136" s="65" t="s">
        <v>504</v>
      </c>
      <c r="F136" s="66" t="s">
        <v>341</v>
      </c>
      <c r="G136" s="66" t="s">
        <v>342</v>
      </c>
      <c r="H136" s="66" t="s">
        <v>343</v>
      </c>
      <c r="I136" s="66" t="s">
        <v>353</v>
      </c>
      <c r="J136" s="164" t="s">
        <v>748</v>
      </c>
      <c r="K136" s="65" t="s">
        <v>419</v>
      </c>
      <c r="L136" s="155"/>
      <c r="M136" s="156"/>
      <c r="N136" s="156"/>
      <c r="O136" s="157"/>
      <c r="P136" s="156" t="str">
        <f>IFERROR(VLOOKUP(TableAOPTarget[[#This Row],[RFC Date]],TableAopCalendar[[Date]:[Concatenate Month &amp; Week]],7,FALSE),"")</f>
        <v/>
      </c>
      <c r="Q136" s="157"/>
      <c r="R136" s="156" t="str">
        <f>IFERROR(VLOOKUP(TableAOPTarget[[#This Row],[Actual Start Date]],TableAopCalendar[[Date]:[Concatenate Month &amp; Week]],7,FALSE),"")</f>
        <v/>
      </c>
      <c r="S136" s="156"/>
      <c r="T136" s="157">
        <f>TableAOPTarget[[#This Row],[Actual Start Date]]+TableAOPTarget[[#This Row],[Standard Duration]]</f>
        <v>0</v>
      </c>
      <c r="U136" s="156" t="str">
        <f>IFERROR(VLOOKUP(TableAOPTarget[[#This Row],[Planned Finish Date]],TableAopCalendar[[Date]:[Concatenate Month &amp; Week]],7,FALSE),"")</f>
        <v/>
      </c>
      <c r="V136" s="157"/>
      <c r="W136" s="156" t="str">
        <f>IFERROR(VLOOKUP(TableAOPTarget[[#This Row],[Actual Finish Date]],TableAopCalendar[[Date]:[Concatenate Month &amp; Week]],7,FALSE),"")</f>
        <v/>
      </c>
      <c r="X136" s="157"/>
      <c r="Y136" s="156" t="str">
        <f>IFERROR(VLOOKUP(TableAOPTarget[[#This Row],[Forecasted Finish Date]],TableAopCalendar[[Date]:[Concatenate Month &amp; Week]],7,FALSE),"")</f>
        <v/>
      </c>
      <c r="Z136" s="157"/>
      <c r="AA136" s="156" t="str">
        <f>IF(OR(TableAOPTarget[[#This Row],[EPC Status]]="EPC Ready",TableAOPTarget[[#This Row],[EPC Status]]="WIP",TableAOPTarget[[#This Row],[EPC Status]]="YTS"),INDEX(TableAopCalendar[Concatenate Month &amp; Plan],MATCH(TableAOPTarget[[#This Row],[Planned Finish Date]],TableAopCalendar[Date],0))," ")</f>
        <v xml:space="preserve"> </v>
      </c>
      <c r="AB136" s="156" t="str">
        <f>IF(TableAOPTarget[[#This Row],[EPC Status]]="EPC Ready",INDEX(TableAopCalendar[Month for Plan],MATCH(TableAOPTarget[[#This Row],[Actual Finish Date]],TableAopCalendar[Date],0))," ")</f>
        <v xml:space="preserve"> </v>
      </c>
      <c r="AC136" s="87" t="s">
        <v>506</v>
      </c>
      <c r="AD136" s="154" t="str">
        <f>VLOOKUP(TableAOPTarget[[#This Row],[Site Name]],[17]Backup!$E:$F,2,0)</f>
        <v>2. ML Awaited</v>
      </c>
      <c r="AE136" s="158"/>
      <c r="AF136" s="133">
        <f>VLOOKUP(TableAOPTarget[[#This Row],[Site Name]],[17]Backup!$E:$GG,185,0)</f>
        <v>0</v>
      </c>
    </row>
    <row r="137" spans="1:32" x14ac:dyDescent="0.3">
      <c r="A137" s="64" t="s">
        <v>776</v>
      </c>
      <c r="B137" s="160">
        <v>135</v>
      </c>
      <c r="C137" s="87" t="s">
        <v>42</v>
      </c>
      <c r="D137" s="63" t="s">
        <v>225</v>
      </c>
      <c r="E137" s="65" t="s">
        <v>502</v>
      </c>
      <c r="F137" s="66" t="s">
        <v>341</v>
      </c>
      <c r="G137" s="66" t="s">
        <v>342</v>
      </c>
      <c r="H137" s="66" t="s">
        <v>350</v>
      </c>
      <c r="I137" s="167" t="s">
        <v>353</v>
      </c>
      <c r="J137" s="164" t="s">
        <v>749</v>
      </c>
      <c r="K137" s="166" t="s">
        <v>365</v>
      </c>
      <c r="L137" s="67">
        <v>753</v>
      </c>
      <c r="M137" s="165" t="s">
        <v>751</v>
      </c>
      <c r="N137" s="69" t="s">
        <v>514</v>
      </c>
      <c r="O137" s="68">
        <v>46164</v>
      </c>
      <c r="P137" s="156" t="str">
        <f>IFERROR(VLOOKUP(TableAOPTarget[[#This Row],[RFC Date]],TableAopCalendar[[Date]:[Concatenate Month &amp; Week]],7,FALSE),"")</f>
        <v>May 26 Week 4</v>
      </c>
      <c r="Q137" s="68">
        <v>46164</v>
      </c>
      <c r="R137" s="156" t="str">
        <f>IFERROR(VLOOKUP(TableAOPTarget[[#This Row],[Actual Start Date]],TableAopCalendar[[Date]:[Concatenate Month &amp; Week]],7,FALSE),"")</f>
        <v>May 26 Week 4</v>
      </c>
      <c r="S137" s="69">
        <v>7</v>
      </c>
      <c r="T137" s="157">
        <f>TableAOPTarget[[#This Row],[Actual Start Date]]+TableAOPTarget[[#This Row],[Standard Duration]]</f>
        <v>46171</v>
      </c>
      <c r="U137" s="156" t="str">
        <f>IFERROR(VLOOKUP(TableAOPTarget[[#This Row],[Planned Finish Date]],TableAopCalendar[[Date]:[Concatenate Month &amp; Week]],7,FALSE),"")</f>
        <v>May 26 Week 5</v>
      </c>
      <c r="V137" s="68">
        <v>46165</v>
      </c>
      <c r="W137" s="156" t="str">
        <f>IFERROR(VLOOKUP(TableAOPTarget[[#This Row],[Actual Finish Date]],TableAopCalendar[[Date]:[Concatenate Month &amp; Week]],7,FALSE),"")</f>
        <v>May 26 Week 4</v>
      </c>
      <c r="X137" s="157"/>
      <c r="Y137" s="156" t="str">
        <f>IFERROR(VLOOKUP(TableAOPTarget[[#This Row],[Forecasted Finish Date]],TableAopCalendar[[Date]:[Concatenate Month &amp; Week]],7,FALSE),"")</f>
        <v/>
      </c>
      <c r="Z137" s="68">
        <v>46165</v>
      </c>
      <c r="AA137" s="156" t="str">
        <f>IF(OR(TableAOPTarget[[#This Row],[EPC Status]]="EPC Ready",TableAOPTarget[[#This Row],[EPC Status]]="WIP",TableAOPTarget[[#This Row],[EPC Status]]="YTS"),INDEX(TableAopCalendar[Concatenate Month &amp; Plan],MATCH(TableAOPTarget[[#This Row],[Planned Finish Date]],TableAopCalendar[Date],0))," ")</f>
        <v>MAY 26 PLANNED</v>
      </c>
      <c r="AB137" s="156" t="str">
        <f>IF(TableAOPTarget[[#This Row],[EPC Status]]="EPC Ready",INDEX(TableAopCalendar[Month for Plan],MATCH(TableAOPTarget[[#This Row],[Actual Finish Date]],TableAopCalendar[Date],0))," ")</f>
        <v>MAY 26</v>
      </c>
      <c r="AC137" s="87" t="s">
        <v>379</v>
      </c>
      <c r="AD137" s="154" t="e">
        <f>VLOOKUP(TableAOPTarget[[#This Row],[Site Name]],[17]Backup!$E:$F,2,0)</f>
        <v>#N/A</v>
      </c>
      <c r="AE137" s="158"/>
      <c r="AF137" s="133" t="e">
        <f>VLOOKUP(TableAOPTarget[[#This Row],[Site Name]],[17]Backup!$E:$GG,185,0)</f>
        <v>#N/A</v>
      </c>
    </row>
    <row r="138" spans="1:32" x14ac:dyDescent="0.3">
      <c r="A138" s="64" t="s">
        <v>777</v>
      </c>
      <c r="B138" s="160">
        <v>136</v>
      </c>
      <c r="C138" s="87" t="s">
        <v>42</v>
      </c>
      <c r="D138" s="63" t="s">
        <v>225</v>
      </c>
      <c r="E138" s="65" t="s">
        <v>502</v>
      </c>
      <c r="F138" s="66" t="s">
        <v>341</v>
      </c>
      <c r="G138" s="162" t="s">
        <v>348</v>
      </c>
      <c r="H138" s="66" t="s">
        <v>351</v>
      </c>
      <c r="I138" s="66" t="s">
        <v>361</v>
      </c>
      <c r="J138" s="164" t="s">
        <v>750</v>
      </c>
      <c r="K138" s="166" t="s">
        <v>366</v>
      </c>
      <c r="L138" s="67">
        <v>227</v>
      </c>
      <c r="M138" s="165" t="s">
        <v>752</v>
      </c>
      <c r="N138" s="69" t="s">
        <v>514</v>
      </c>
      <c r="O138" s="157">
        <v>46174</v>
      </c>
      <c r="P138" s="156" t="str">
        <f>IFERROR(VLOOKUP(TableAOPTarget[[#This Row],[RFC Date]],TableAopCalendar[[Date]:[Concatenate Month &amp; Week]],7,FALSE),"")</f>
        <v>June 26 Week 1</v>
      </c>
      <c r="Q138" s="157">
        <v>46174</v>
      </c>
      <c r="R138" s="156" t="str">
        <f>IFERROR(VLOOKUP(TableAOPTarget[[#This Row],[Actual Start Date]],TableAopCalendar[[Date]:[Concatenate Month &amp; Week]],7,FALSE),"")</f>
        <v>June 26 Week 1</v>
      </c>
      <c r="S138" s="69">
        <v>7</v>
      </c>
      <c r="T138" s="157">
        <f>TableAOPTarget[[#This Row],[Actual Start Date]]+TableAOPTarget[[#This Row],[Standard Duration]]</f>
        <v>46181</v>
      </c>
      <c r="U138" s="156" t="str">
        <f>IFERROR(VLOOKUP(TableAOPTarget[[#This Row],[Planned Finish Date]],TableAopCalendar[[Date]:[Concatenate Month &amp; Week]],7,FALSE),"")</f>
        <v>June 26 Week 2</v>
      </c>
      <c r="V138" s="157">
        <v>46175</v>
      </c>
      <c r="W138" s="156" t="str">
        <f>IFERROR(VLOOKUP(TableAOPTarget[[#This Row],[Actual Finish Date]],TableAopCalendar[[Date]:[Concatenate Month &amp; Week]],7,FALSE),"")</f>
        <v>June 26 Week 1</v>
      </c>
      <c r="X138" s="157"/>
      <c r="Y138" s="156" t="str">
        <f>IFERROR(VLOOKUP(TableAOPTarget[[#This Row],[Forecasted Finish Date]],TableAopCalendar[[Date]:[Concatenate Month &amp; Week]],7,FALSE),"")</f>
        <v/>
      </c>
      <c r="Z138" s="157">
        <v>46175</v>
      </c>
      <c r="AA138" s="156" t="str">
        <f>IF(OR(TableAOPTarget[[#This Row],[EPC Status]]="EPC Ready",TableAOPTarget[[#This Row],[EPC Status]]="WIP",TableAOPTarget[[#This Row],[EPC Status]]="YTS"),INDEX(TableAopCalendar[Concatenate Month &amp; Plan],MATCH(TableAOPTarget[[#This Row],[Planned Finish Date]],TableAopCalendar[Date],0))," ")</f>
        <v>JUNE 26 PLANNED</v>
      </c>
      <c r="AB138" s="156" t="str">
        <f>IF(TableAOPTarget[[#This Row],[EPC Status]]="EPC Ready",INDEX(TableAopCalendar[Month for Plan],MATCH(TableAOPTarget[[#This Row],[Actual Finish Date]],TableAopCalendar[Date],0))," ")</f>
        <v>JUNE 26</v>
      </c>
      <c r="AC138" s="87" t="s">
        <v>379</v>
      </c>
      <c r="AD138" s="154" t="e">
        <f>VLOOKUP(TableAOPTarget[[#This Row],[Site Name]],[17]Backup!$E:$F,2,0)</f>
        <v>#N/A</v>
      </c>
      <c r="AE138" s="158"/>
      <c r="AF138" s="133" t="e">
        <f>VLOOKUP(TableAOPTarget[[#This Row],[Site Name]],[17]Backup!$E:$GG,185,0)</f>
        <v>#N/A</v>
      </c>
    </row>
    <row r="139" spans="1:32" x14ac:dyDescent="0.3">
      <c r="A139" s="64"/>
      <c r="B139" s="160">
        <v>137</v>
      </c>
      <c r="C139" s="87" t="s">
        <v>42</v>
      </c>
      <c r="D139" s="63" t="s">
        <v>225</v>
      </c>
      <c r="E139" s="65" t="s">
        <v>504</v>
      </c>
      <c r="F139" s="66" t="s">
        <v>341</v>
      </c>
      <c r="G139" s="66" t="s">
        <v>342</v>
      </c>
      <c r="H139" s="66" t="s">
        <v>343</v>
      </c>
      <c r="I139" s="66" t="s">
        <v>353</v>
      </c>
      <c r="J139" s="59" t="s">
        <v>781</v>
      </c>
      <c r="K139" s="65" t="s">
        <v>419</v>
      </c>
      <c r="L139" s="67"/>
      <c r="M139" s="69"/>
      <c r="N139" s="69"/>
      <c r="O139" s="68"/>
      <c r="P139" s="69" t="str">
        <f>IFERROR(VLOOKUP(TableAOPTarget[[#This Row],[RFC Date]],TableAopCalendar[[Date]:[Concatenate Month &amp; Week]],7,FALSE),"")</f>
        <v/>
      </c>
      <c r="Q139" s="68"/>
      <c r="R139" s="69" t="str">
        <f>IFERROR(VLOOKUP(TableAOPTarget[[#This Row],[Actual Start Date]],TableAopCalendar[[Date]:[Concatenate Month &amp; Week]],7,FALSE),"")</f>
        <v/>
      </c>
      <c r="S139" s="69"/>
      <c r="T139" s="68">
        <f>TableAOPTarget[[#This Row],[Actual Start Date]]+TableAOPTarget[[#This Row],[Standard Duration]]</f>
        <v>0</v>
      </c>
      <c r="U139" s="69" t="str">
        <f>IFERROR(VLOOKUP(TableAOPTarget[[#This Row],[Planned Finish Date]],TableAopCalendar[[Date]:[Concatenate Month &amp; Week]],7,FALSE),"")</f>
        <v/>
      </c>
      <c r="V139" s="68"/>
      <c r="W139" s="69" t="str">
        <f>IFERROR(VLOOKUP(TableAOPTarget[[#This Row],[Actual Finish Date]],TableAopCalendar[[Date]:[Concatenate Month &amp; Week]],7,FALSE),"")</f>
        <v/>
      </c>
      <c r="X139" s="68"/>
      <c r="Y139" s="69" t="str">
        <f>IFERROR(VLOOKUP(TableAOPTarget[[#This Row],[Forecasted Finish Date]],TableAopCalendar[[Date]:[Concatenate Month &amp; Week]],7,FALSE),"")</f>
        <v/>
      </c>
      <c r="Z139" s="68"/>
      <c r="AA139" s="69" t="str">
        <f>IF(OR(TableAOPTarget[[#This Row],[EPC Status]]="EPC Ready",TableAOPTarget[[#This Row],[EPC Status]]="WIP",TableAOPTarget[[#This Row],[EPC Status]]="YTS"),INDEX(TableAopCalendar[Concatenate Month &amp; Plan],MATCH(TableAOPTarget[[#This Row],[Planned Finish Date]],TableAopCalendar[Date],0))," ")</f>
        <v xml:space="preserve"> </v>
      </c>
      <c r="AB139" s="69" t="str">
        <f>IF(TableAOPTarget[[#This Row],[EPC Status]]="EPC Ready",INDEX(TableAopCalendar[Month for Plan],MATCH(TableAOPTarget[[#This Row],[Actual Finish Date]],TableAopCalendar[Date],0))," ")</f>
        <v xml:space="preserve"> </v>
      </c>
      <c r="AC139" s="87" t="s">
        <v>694</v>
      </c>
      <c r="AD139" s="87" t="str">
        <f>VLOOKUP(TableAOPTarget[[#This Row],[Site Name]],[17]Backup!$E:$F,2,0)</f>
        <v>1. SDR in Progress</v>
      </c>
      <c r="AE139" s="71"/>
      <c r="AF139" s="133">
        <f>VLOOKUP(TableAOPTarget[[#This Row],[Site Name]],[17]Backup!$E:$GG,185,0)</f>
        <v>0</v>
      </c>
    </row>
    <row r="140" spans="1:32" x14ac:dyDescent="0.3">
      <c r="A140" s="64"/>
      <c r="B140" s="160">
        <v>138</v>
      </c>
      <c r="C140" s="87" t="s">
        <v>42</v>
      </c>
      <c r="D140" s="63" t="s">
        <v>225</v>
      </c>
      <c r="E140" s="65" t="s">
        <v>504</v>
      </c>
      <c r="F140" s="66" t="s">
        <v>341</v>
      </c>
      <c r="G140" s="66" t="s">
        <v>342</v>
      </c>
      <c r="H140" s="66" t="s">
        <v>343</v>
      </c>
      <c r="I140" s="66" t="s">
        <v>353</v>
      </c>
      <c r="J140" s="59" t="s">
        <v>782</v>
      </c>
      <c r="K140" s="65" t="s">
        <v>419</v>
      </c>
      <c r="L140" s="67"/>
      <c r="M140" s="69"/>
      <c r="N140" s="69"/>
      <c r="O140" s="68"/>
      <c r="P140" s="69" t="str">
        <f>IFERROR(VLOOKUP(TableAOPTarget[[#This Row],[RFC Date]],TableAopCalendar[[Date]:[Concatenate Month &amp; Week]],7,FALSE),"")</f>
        <v/>
      </c>
      <c r="Q140" s="68"/>
      <c r="R140" s="69" t="str">
        <f>IFERROR(VLOOKUP(TableAOPTarget[[#This Row],[Actual Start Date]],TableAopCalendar[[Date]:[Concatenate Month &amp; Week]],7,FALSE),"")</f>
        <v/>
      </c>
      <c r="S140" s="69"/>
      <c r="T140" s="68">
        <f>TableAOPTarget[[#This Row],[Actual Start Date]]+TableAOPTarget[[#This Row],[Standard Duration]]</f>
        <v>0</v>
      </c>
      <c r="U140" s="69" t="str">
        <f>IFERROR(VLOOKUP(TableAOPTarget[[#This Row],[Planned Finish Date]],TableAopCalendar[[Date]:[Concatenate Month &amp; Week]],7,FALSE),"")</f>
        <v/>
      </c>
      <c r="V140" s="68"/>
      <c r="W140" s="69" t="str">
        <f>IFERROR(VLOOKUP(TableAOPTarget[[#This Row],[Actual Finish Date]],TableAopCalendar[[Date]:[Concatenate Month &amp; Week]],7,FALSE),"")</f>
        <v/>
      </c>
      <c r="X140" s="68"/>
      <c r="Y140" s="69" t="str">
        <f>IFERROR(VLOOKUP(TableAOPTarget[[#This Row],[Forecasted Finish Date]],TableAopCalendar[[Date]:[Concatenate Month &amp; Week]],7,FALSE),"")</f>
        <v/>
      </c>
      <c r="Z140" s="68"/>
      <c r="AA140" s="69" t="str">
        <f>IF(OR(TableAOPTarget[[#This Row],[EPC Status]]="EPC Ready",TableAOPTarget[[#This Row],[EPC Status]]="WIP",TableAOPTarget[[#This Row],[EPC Status]]="YTS"),INDEX(TableAopCalendar[Concatenate Month &amp; Plan],MATCH(TableAOPTarget[[#This Row],[Planned Finish Date]],TableAopCalendar[Date],0))," ")</f>
        <v xml:space="preserve"> </v>
      </c>
      <c r="AB140" s="69" t="str">
        <f>IF(TableAOPTarget[[#This Row],[EPC Status]]="EPC Ready",INDEX(TableAopCalendar[Month for Plan],MATCH(TableAOPTarget[[#This Row],[Actual Finish Date]],TableAopCalendar[Date],0))," ")</f>
        <v xml:space="preserve"> </v>
      </c>
      <c r="AC140" s="87" t="s">
        <v>694</v>
      </c>
      <c r="AD140" s="87" t="str">
        <f>VLOOKUP(TableAOPTarget[[#This Row],[Site Name]],[17]Backup!$E:$F,2,0)</f>
        <v>1. SDR in Progress</v>
      </c>
      <c r="AE140" s="71"/>
      <c r="AF140" s="133">
        <f>VLOOKUP(TableAOPTarget[[#This Row],[Site Name]],[17]Backup!$E:$GG,185,0)</f>
        <v>0</v>
      </c>
    </row>
    <row r="141" spans="1:32" x14ac:dyDescent="0.3">
      <c r="A141" s="64"/>
      <c r="B141" s="160">
        <v>139</v>
      </c>
      <c r="C141" s="87" t="s">
        <v>42</v>
      </c>
      <c r="D141" s="63" t="s">
        <v>225</v>
      </c>
      <c r="E141" s="65" t="s">
        <v>504</v>
      </c>
      <c r="F141" s="66" t="s">
        <v>341</v>
      </c>
      <c r="G141" s="66" t="s">
        <v>342</v>
      </c>
      <c r="H141" s="66" t="s">
        <v>343</v>
      </c>
      <c r="I141" s="66" t="s">
        <v>353</v>
      </c>
      <c r="J141" s="59" t="s">
        <v>783</v>
      </c>
      <c r="K141" s="65" t="s">
        <v>419</v>
      </c>
      <c r="L141" s="67"/>
      <c r="M141" s="69"/>
      <c r="N141" s="69"/>
      <c r="O141" s="68"/>
      <c r="P141" s="69" t="str">
        <f>IFERROR(VLOOKUP(TableAOPTarget[[#This Row],[RFC Date]],TableAopCalendar[[Date]:[Concatenate Month &amp; Week]],7,FALSE),"")</f>
        <v/>
      </c>
      <c r="Q141" s="68"/>
      <c r="R141" s="69" t="str">
        <f>IFERROR(VLOOKUP(TableAOPTarget[[#This Row],[Actual Start Date]],TableAopCalendar[[Date]:[Concatenate Month &amp; Week]],7,FALSE),"")</f>
        <v/>
      </c>
      <c r="S141" s="69"/>
      <c r="T141" s="68">
        <f>TableAOPTarget[[#This Row],[Actual Start Date]]+TableAOPTarget[[#This Row],[Standard Duration]]</f>
        <v>0</v>
      </c>
      <c r="U141" s="69" t="str">
        <f>IFERROR(VLOOKUP(TableAOPTarget[[#This Row],[Planned Finish Date]],TableAopCalendar[[Date]:[Concatenate Month &amp; Week]],7,FALSE),"")</f>
        <v/>
      </c>
      <c r="V141" s="68"/>
      <c r="W141" s="69" t="str">
        <f>IFERROR(VLOOKUP(TableAOPTarget[[#This Row],[Actual Finish Date]],TableAopCalendar[[Date]:[Concatenate Month &amp; Week]],7,FALSE),"")</f>
        <v/>
      </c>
      <c r="X141" s="68"/>
      <c r="Y141" s="69" t="str">
        <f>IFERROR(VLOOKUP(TableAOPTarget[[#This Row],[Forecasted Finish Date]],TableAopCalendar[[Date]:[Concatenate Month &amp; Week]],7,FALSE),"")</f>
        <v/>
      </c>
      <c r="Z141" s="68"/>
      <c r="AA141" s="69" t="str">
        <f>IF(OR(TableAOPTarget[[#This Row],[EPC Status]]="EPC Ready",TableAOPTarget[[#This Row],[EPC Status]]="WIP",TableAOPTarget[[#This Row],[EPC Status]]="YTS"),INDEX(TableAopCalendar[Concatenate Month &amp; Plan],MATCH(TableAOPTarget[[#This Row],[Planned Finish Date]],TableAopCalendar[Date],0))," ")</f>
        <v xml:space="preserve"> </v>
      </c>
      <c r="AB141" s="69" t="str">
        <f>IF(TableAOPTarget[[#This Row],[EPC Status]]="EPC Ready",INDEX(TableAopCalendar[Month for Plan],MATCH(TableAOPTarget[[#This Row],[Actual Finish Date]],TableAopCalendar[Date],0))," ")</f>
        <v xml:space="preserve"> </v>
      </c>
      <c r="AC141" s="87" t="s">
        <v>694</v>
      </c>
      <c r="AD141" s="87" t="str">
        <f>VLOOKUP(TableAOPTarget[[#This Row],[Site Name]],[17]Backup!$E:$F,2,0)</f>
        <v>1. SDR in Progress</v>
      </c>
      <c r="AE141" s="71"/>
      <c r="AF141" s="133">
        <f>VLOOKUP(TableAOPTarget[[#This Row],[Site Name]],[17]Backup!$E:$GG,185,0)</f>
        <v>0</v>
      </c>
    </row>
    <row r="142" spans="1:32" x14ac:dyDescent="0.3">
      <c r="A142" s="64"/>
      <c r="B142" s="160">
        <v>140</v>
      </c>
      <c r="C142" s="87" t="s">
        <v>42</v>
      </c>
      <c r="D142" s="63" t="s">
        <v>225</v>
      </c>
      <c r="E142" s="65" t="s">
        <v>504</v>
      </c>
      <c r="F142" s="66" t="s">
        <v>341</v>
      </c>
      <c r="G142" s="66" t="s">
        <v>342</v>
      </c>
      <c r="H142" s="66" t="s">
        <v>343</v>
      </c>
      <c r="I142" s="66" t="s">
        <v>353</v>
      </c>
      <c r="J142" s="59" t="s">
        <v>784</v>
      </c>
      <c r="K142" s="65" t="s">
        <v>419</v>
      </c>
      <c r="L142" s="67"/>
      <c r="M142" s="69"/>
      <c r="N142" s="69"/>
      <c r="O142" s="68"/>
      <c r="P142" s="69" t="str">
        <f>IFERROR(VLOOKUP(TableAOPTarget[[#This Row],[RFC Date]],TableAopCalendar[[Date]:[Concatenate Month &amp; Week]],7,FALSE),"")</f>
        <v/>
      </c>
      <c r="Q142" s="68"/>
      <c r="R142" s="69" t="str">
        <f>IFERROR(VLOOKUP(TableAOPTarget[[#This Row],[Actual Start Date]],TableAopCalendar[[Date]:[Concatenate Month &amp; Week]],7,FALSE),"")</f>
        <v/>
      </c>
      <c r="S142" s="69"/>
      <c r="T142" s="68">
        <f>TableAOPTarget[[#This Row],[Actual Start Date]]+TableAOPTarget[[#This Row],[Standard Duration]]</f>
        <v>0</v>
      </c>
      <c r="U142" s="69" t="str">
        <f>IFERROR(VLOOKUP(TableAOPTarget[[#This Row],[Planned Finish Date]],TableAopCalendar[[Date]:[Concatenate Month &amp; Week]],7,FALSE),"")</f>
        <v/>
      </c>
      <c r="V142" s="68"/>
      <c r="W142" s="69" t="str">
        <f>IFERROR(VLOOKUP(TableAOPTarget[[#This Row],[Actual Finish Date]],TableAopCalendar[[Date]:[Concatenate Month &amp; Week]],7,FALSE),"")</f>
        <v/>
      </c>
      <c r="X142" s="68"/>
      <c r="Y142" s="69" t="str">
        <f>IFERROR(VLOOKUP(TableAOPTarget[[#This Row],[Forecasted Finish Date]],TableAopCalendar[[Date]:[Concatenate Month &amp; Week]],7,FALSE),"")</f>
        <v/>
      </c>
      <c r="Z142" s="68"/>
      <c r="AA142" s="69" t="str">
        <f>IF(OR(TableAOPTarget[[#This Row],[EPC Status]]="EPC Ready",TableAOPTarget[[#This Row],[EPC Status]]="WIP",TableAOPTarget[[#This Row],[EPC Status]]="YTS"),INDEX(TableAopCalendar[Concatenate Month &amp; Plan],MATCH(TableAOPTarget[[#This Row],[Planned Finish Date]],TableAopCalendar[Date],0))," ")</f>
        <v xml:space="preserve"> </v>
      </c>
      <c r="AB142" s="69" t="str">
        <f>IF(TableAOPTarget[[#This Row],[EPC Status]]="EPC Ready",INDEX(TableAopCalendar[Month for Plan],MATCH(TableAOPTarget[[#This Row],[Actual Finish Date]],TableAopCalendar[Date],0))," ")</f>
        <v xml:space="preserve"> </v>
      </c>
      <c r="AC142" s="87" t="s">
        <v>694</v>
      </c>
      <c r="AD142" s="87" t="str">
        <f>VLOOKUP(TableAOPTarget[[#This Row],[Site Name]],[17]Backup!$E:$F,2,0)</f>
        <v>1. SDR in Progress</v>
      </c>
      <c r="AE142" s="71"/>
      <c r="AF142" s="133">
        <f>VLOOKUP(TableAOPTarget[[#This Row],[Site Name]],[17]Backup!$E:$GG,185,0)</f>
        <v>0</v>
      </c>
    </row>
    <row r="143" spans="1:32" x14ac:dyDescent="0.3">
      <c r="A143" s="64"/>
      <c r="B143" s="160">
        <v>141</v>
      </c>
      <c r="C143" s="87" t="s">
        <v>42</v>
      </c>
      <c r="D143" s="63" t="s">
        <v>225</v>
      </c>
      <c r="E143" s="65" t="s">
        <v>504</v>
      </c>
      <c r="F143" s="66" t="s">
        <v>341</v>
      </c>
      <c r="G143" s="66" t="s">
        <v>342</v>
      </c>
      <c r="H143" s="66" t="s">
        <v>343</v>
      </c>
      <c r="I143" s="66" t="s">
        <v>353</v>
      </c>
      <c r="J143" s="59" t="s">
        <v>785</v>
      </c>
      <c r="K143" s="65" t="s">
        <v>419</v>
      </c>
      <c r="L143" s="67"/>
      <c r="M143" s="69"/>
      <c r="N143" s="69"/>
      <c r="O143" s="68"/>
      <c r="P143" s="69" t="str">
        <f>IFERROR(VLOOKUP(TableAOPTarget[[#This Row],[RFC Date]],TableAopCalendar[[Date]:[Concatenate Month &amp; Week]],7,FALSE),"")</f>
        <v/>
      </c>
      <c r="Q143" s="68"/>
      <c r="R143" s="69" t="str">
        <f>IFERROR(VLOOKUP(TableAOPTarget[[#This Row],[Actual Start Date]],TableAopCalendar[[Date]:[Concatenate Month &amp; Week]],7,FALSE),"")</f>
        <v/>
      </c>
      <c r="S143" s="69"/>
      <c r="T143" s="68">
        <f>TableAOPTarget[[#This Row],[Actual Start Date]]+TableAOPTarget[[#This Row],[Standard Duration]]</f>
        <v>0</v>
      </c>
      <c r="U143" s="69" t="str">
        <f>IFERROR(VLOOKUP(TableAOPTarget[[#This Row],[Planned Finish Date]],TableAopCalendar[[Date]:[Concatenate Month &amp; Week]],7,FALSE),"")</f>
        <v/>
      </c>
      <c r="V143" s="68"/>
      <c r="W143" s="69" t="str">
        <f>IFERROR(VLOOKUP(TableAOPTarget[[#This Row],[Actual Finish Date]],TableAopCalendar[[Date]:[Concatenate Month &amp; Week]],7,FALSE),"")</f>
        <v/>
      </c>
      <c r="X143" s="68"/>
      <c r="Y143" s="69" t="str">
        <f>IFERROR(VLOOKUP(TableAOPTarget[[#This Row],[Forecasted Finish Date]],TableAopCalendar[[Date]:[Concatenate Month &amp; Week]],7,FALSE),"")</f>
        <v/>
      </c>
      <c r="Z143" s="68"/>
      <c r="AA143" s="69" t="str">
        <f>IF(OR(TableAOPTarget[[#This Row],[EPC Status]]="EPC Ready",TableAOPTarget[[#This Row],[EPC Status]]="WIP",TableAOPTarget[[#This Row],[EPC Status]]="YTS"),INDEX(TableAopCalendar[Concatenate Month &amp; Plan],MATCH(TableAOPTarget[[#This Row],[Planned Finish Date]],TableAopCalendar[Date],0))," ")</f>
        <v xml:space="preserve"> </v>
      </c>
      <c r="AB143" s="69" t="str">
        <f>IF(TableAOPTarget[[#This Row],[EPC Status]]="EPC Ready",INDEX(TableAopCalendar[Month for Plan],MATCH(TableAOPTarget[[#This Row],[Actual Finish Date]],TableAopCalendar[Date],0))," ")</f>
        <v xml:space="preserve"> </v>
      </c>
      <c r="AC143" s="87" t="s">
        <v>694</v>
      </c>
      <c r="AD143" s="87" t="str">
        <f>VLOOKUP(TableAOPTarget[[#This Row],[Site Name]],[17]Backup!$E:$F,2,0)</f>
        <v>1. SDR in Progress</v>
      </c>
      <c r="AE143" s="71"/>
      <c r="AF143" s="133">
        <f>VLOOKUP(TableAOPTarget[[#This Row],[Site Name]],[17]Backup!$E:$GG,185,0)</f>
        <v>0</v>
      </c>
    </row>
    <row r="144" spans="1:32" x14ac:dyDescent="0.3">
      <c r="A144" s="64"/>
      <c r="B144" s="160">
        <v>142</v>
      </c>
      <c r="C144" s="87" t="s">
        <v>42</v>
      </c>
      <c r="D144" s="63" t="s">
        <v>225</v>
      </c>
      <c r="E144" s="65" t="s">
        <v>504</v>
      </c>
      <c r="F144" s="66" t="s">
        <v>341</v>
      </c>
      <c r="G144" s="66" t="s">
        <v>342</v>
      </c>
      <c r="H144" s="66" t="s">
        <v>343</v>
      </c>
      <c r="I144" s="66" t="s">
        <v>353</v>
      </c>
      <c r="J144" s="59" t="s">
        <v>786</v>
      </c>
      <c r="K144" s="65" t="s">
        <v>365</v>
      </c>
      <c r="L144" s="67"/>
      <c r="M144" s="69"/>
      <c r="N144" s="69"/>
      <c r="O144" s="68"/>
      <c r="P144" s="69" t="str">
        <f>IFERROR(VLOOKUP(TableAOPTarget[[#This Row],[RFC Date]],TableAopCalendar[[Date]:[Concatenate Month &amp; Week]],7,FALSE),"")</f>
        <v/>
      </c>
      <c r="Q144" s="68"/>
      <c r="R144" s="69" t="str">
        <f>IFERROR(VLOOKUP(TableAOPTarget[[#This Row],[Actual Start Date]],TableAopCalendar[[Date]:[Concatenate Month &amp; Week]],7,FALSE),"")</f>
        <v/>
      </c>
      <c r="S144" s="69"/>
      <c r="T144" s="68">
        <f>TableAOPTarget[[#This Row],[Actual Start Date]]+TableAOPTarget[[#This Row],[Standard Duration]]</f>
        <v>0</v>
      </c>
      <c r="U144" s="69" t="str">
        <f>IFERROR(VLOOKUP(TableAOPTarget[[#This Row],[Planned Finish Date]],TableAopCalendar[[Date]:[Concatenate Month &amp; Week]],7,FALSE),"")</f>
        <v/>
      </c>
      <c r="V144" s="68"/>
      <c r="W144" s="69" t="str">
        <f>IFERROR(VLOOKUP(TableAOPTarget[[#This Row],[Actual Finish Date]],TableAopCalendar[[Date]:[Concatenate Month &amp; Week]],7,FALSE),"")</f>
        <v/>
      </c>
      <c r="X144" s="68"/>
      <c r="Y144" s="69" t="str">
        <f>IFERROR(VLOOKUP(TableAOPTarget[[#This Row],[Forecasted Finish Date]],TableAopCalendar[[Date]:[Concatenate Month &amp; Week]],7,FALSE),"")</f>
        <v/>
      </c>
      <c r="Z144" s="68"/>
      <c r="AA144" s="69" t="str">
        <f>IF(OR(TableAOPTarget[[#This Row],[EPC Status]]="EPC Ready",TableAOPTarget[[#This Row],[EPC Status]]="WIP",TableAOPTarget[[#This Row],[EPC Status]]="YTS"),INDEX(TableAopCalendar[Concatenate Month &amp; Plan],MATCH(TableAOPTarget[[#This Row],[Planned Finish Date]],TableAopCalendar[Date],0))," ")</f>
        <v xml:space="preserve"> </v>
      </c>
      <c r="AB144" s="69" t="str">
        <f>IF(TableAOPTarget[[#This Row],[EPC Status]]="EPC Ready",INDEX(TableAopCalendar[Month for Plan],MATCH(TableAOPTarget[[#This Row],[Actual Finish Date]],TableAopCalendar[Date],0))," ")</f>
        <v xml:space="preserve"> </v>
      </c>
      <c r="AC144" s="87" t="s">
        <v>694</v>
      </c>
      <c r="AD144" s="87" t="str">
        <f>VLOOKUP(TableAOPTarget[[#This Row],[Site Name]],[17]Backup!$E:$F,2,0)</f>
        <v>1. SDR in Progress</v>
      </c>
      <c r="AE144" s="71"/>
      <c r="AF144" s="133">
        <f>VLOOKUP(TableAOPTarget[[#This Row],[Site Name]],[17]Backup!$E:$GG,185,0)</f>
        <v>0</v>
      </c>
    </row>
    <row r="145" spans="1:32" x14ac:dyDescent="0.3">
      <c r="A145" s="64"/>
      <c r="B145" s="160">
        <v>143</v>
      </c>
      <c r="C145" s="87" t="s">
        <v>42</v>
      </c>
      <c r="D145" s="63" t="s">
        <v>225</v>
      </c>
      <c r="E145" s="65" t="s">
        <v>504</v>
      </c>
      <c r="F145" s="66" t="s">
        <v>341</v>
      </c>
      <c r="G145" s="66" t="s">
        <v>342</v>
      </c>
      <c r="H145" s="66" t="s">
        <v>343</v>
      </c>
      <c r="I145" s="66" t="s">
        <v>353</v>
      </c>
      <c r="J145" s="59" t="s">
        <v>787</v>
      </c>
      <c r="K145" s="65" t="s">
        <v>365</v>
      </c>
      <c r="L145" s="67"/>
      <c r="M145" s="69"/>
      <c r="N145" s="69"/>
      <c r="O145" s="68"/>
      <c r="P145" s="69" t="str">
        <f>IFERROR(VLOOKUP(TableAOPTarget[[#This Row],[RFC Date]],TableAopCalendar[[Date]:[Concatenate Month &amp; Week]],7,FALSE),"")</f>
        <v/>
      </c>
      <c r="Q145" s="68"/>
      <c r="R145" s="69" t="str">
        <f>IFERROR(VLOOKUP(TableAOPTarget[[#This Row],[Actual Start Date]],TableAopCalendar[[Date]:[Concatenate Month &amp; Week]],7,FALSE),"")</f>
        <v/>
      </c>
      <c r="S145" s="69"/>
      <c r="T145" s="68">
        <f>TableAOPTarget[[#This Row],[Actual Start Date]]+TableAOPTarget[[#This Row],[Standard Duration]]</f>
        <v>0</v>
      </c>
      <c r="U145" s="69" t="str">
        <f>IFERROR(VLOOKUP(TableAOPTarget[[#This Row],[Planned Finish Date]],TableAopCalendar[[Date]:[Concatenate Month &amp; Week]],7,FALSE),"")</f>
        <v/>
      </c>
      <c r="V145" s="68"/>
      <c r="W145" s="69" t="str">
        <f>IFERROR(VLOOKUP(TableAOPTarget[[#This Row],[Actual Finish Date]],TableAopCalendar[[Date]:[Concatenate Month &amp; Week]],7,FALSE),"")</f>
        <v/>
      </c>
      <c r="X145" s="68"/>
      <c r="Y145" s="69" t="str">
        <f>IFERROR(VLOOKUP(TableAOPTarget[[#This Row],[Forecasted Finish Date]],TableAopCalendar[[Date]:[Concatenate Month &amp; Week]],7,FALSE),"")</f>
        <v/>
      </c>
      <c r="Z145" s="68"/>
      <c r="AA145" s="69" t="str">
        <f>IF(OR(TableAOPTarget[[#This Row],[EPC Status]]="EPC Ready",TableAOPTarget[[#This Row],[EPC Status]]="WIP",TableAOPTarget[[#This Row],[EPC Status]]="YTS"),INDEX(TableAopCalendar[Concatenate Month &amp; Plan],MATCH(TableAOPTarget[[#This Row],[Planned Finish Date]],TableAopCalendar[Date],0))," ")</f>
        <v xml:space="preserve"> </v>
      </c>
      <c r="AB145" s="69" t="str">
        <f>IF(TableAOPTarget[[#This Row],[EPC Status]]="EPC Ready",INDEX(TableAopCalendar[Month for Plan],MATCH(TableAOPTarget[[#This Row],[Actual Finish Date]],TableAopCalendar[Date],0))," ")</f>
        <v xml:space="preserve"> </v>
      </c>
      <c r="AC145" s="87" t="s">
        <v>694</v>
      </c>
      <c r="AD145" s="87" t="str">
        <f>VLOOKUP(TableAOPTarget[[#This Row],[Site Name]],[17]Backup!$E:$F,2,0)</f>
        <v>1. SDR in Progress</v>
      </c>
      <c r="AE145" s="71"/>
      <c r="AF145" s="133">
        <f>VLOOKUP(TableAOPTarget[[#This Row],[Site Name]],[17]Backup!$E:$GG,185,0)</f>
        <v>0</v>
      </c>
    </row>
    <row r="146" spans="1:32" x14ac:dyDescent="0.3">
      <c r="A146" s="64"/>
      <c r="B146" s="160">
        <v>144</v>
      </c>
      <c r="C146" s="87" t="s">
        <v>42</v>
      </c>
      <c r="D146" s="63" t="s">
        <v>225</v>
      </c>
      <c r="E146" s="65" t="s">
        <v>504</v>
      </c>
      <c r="F146" s="66" t="s">
        <v>341</v>
      </c>
      <c r="G146" s="66" t="s">
        <v>342</v>
      </c>
      <c r="H146" s="66" t="s">
        <v>343</v>
      </c>
      <c r="I146" s="66" t="s">
        <v>353</v>
      </c>
      <c r="J146" s="59" t="s">
        <v>788</v>
      </c>
      <c r="K146" s="65" t="s">
        <v>419</v>
      </c>
      <c r="L146" s="67"/>
      <c r="M146" s="69"/>
      <c r="N146" s="69"/>
      <c r="O146" s="68"/>
      <c r="P146" s="69" t="str">
        <f>IFERROR(VLOOKUP(TableAOPTarget[[#This Row],[RFC Date]],TableAopCalendar[[Date]:[Concatenate Month &amp; Week]],7,FALSE),"")</f>
        <v/>
      </c>
      <c r="Q146" s="68"/>
      <c r="R146" s="69" t="str">
        <f>IFERROR(VLOOKUP(TableAOPTarget[[#This Row],[Actual Start Date]],TableAopCalendar[[Date]:[Concatenate Month &amp; Week]],7,FALSE),"")</f>
        <v/>
      </c>
      <c r="S146" s="69"/>
      <c r="T146" s="68">
        <f>TableAOPTarget[[#This Row],[Actual Start Date]]+TableAOPTarget[[#This Row],[Standard Duration]]</f>
        <v>0</v>
      </c>
      <c r="U146" s="69" t="str">
        <f>IFERROR(VLOOKUP(TableAOPTarget[[#This Row],[Planned Finish Date]],TableAopCalendar[[Date]:[Concatenate Month &amp; Week]],7,FALSE),"")</f>
        <v/>
      </c>
      <c r="V146" s="68"/>
      <c r="W146" s="69" t="str">
        <f>IFERROR(VLOOKUP(TableAOPTarget[[#This Row],[Actual Finish Date]],TableAopCalendar[[Date]:[Concatenate Month &amp; Week]],7,FALSE),"")</f>
        <v/>
      </c>
      <c r="X146" s="68"/>
      <c r="Y146" s="69" t="str">
        <f>IFERROR(VLOOKUP(TableAOPTarget[[#This Row],[Forecasted Finish Date]],TableAopCalendar[[Date]:[Concatenate Month &amp; Week]],7,FALSE),"")</f>
        <v/>
      </c>
      <c r="Z146" s="68"/>
      <c r="AA146" s="69" t="str">
        <f>IF(OR(TableAOPTarget[[#This Row],[EPC Status]]="EPC Ready",TableAOPTarget[[#This Row],[EPC Status]]="WIP",TableAOPTarget[[#This Row],[EPC Status]]="YTS"),INDEX(TableAopCalendar[Concatenate Month &amp; Plan],MATCH(TableAOPTarget[[#This Row],[Planned Finish Date]],TableAopCalendar[Date],0))," ")</f>
        <v xml:space="preserve"> </v>
      </c>
      <c r="AB146" s="69" t="str">
        <f>IF(TableAOPTarget[[#This Row],[EPC Status]]="EPC Ready",INDEX(TableAopCalendar[Month for Plan],MATCH(TableAOPTarget[[#This Row],[Actual Finish Date]],TableAopCalendar[Date],0))," ")</f>
        <v xml:space="preserve"> </v>
      </c>
      <c r="AC146" s="87" t="s">
        <v>694</v>
      </c>
      <c r="AD146" s="87" t="str">
        <f>VLOOKUP(TableAOPTarget[[#This Row],[Site Name]],[17]Backup!$E:$F,2,0)</f>
        <v>1. SDR in Progress</v>
      </c>
      <c r="AE146" s="71"/>
      <c r="AF146" s="133">
        <f>VLOOKUP(TableAOPTarget[[#This Row],[Site Name]],[17]Backup!$E:$GG,185,0)</f>
        <v>0</v>
      </c>
    </row>
    <row r="147" spans="1:32" x14ac:dyDescent="0.3">
      <c r="A147" s="64"/>
      <c r="B147" s="160">
        <v>145</v>
      </c>
      <c r="C147" s="87" t="s">
        <v>42</v>
      </c>
      <c r="D147" s="63" t="s">
        <v>225</v>
      </c>
      <c r="E147" s="65" t="s">
        <v>504</v>
      </c>
      <c r="F147" s="66" t="s">
        <v>341</v>
      </c>
      <c r="G147" s="66" t="s">
        <v>342</v>
      </c>
      <c r="H147" s="66" t="s">
        <v>343</v>
      </c>
      <c r="I147" s="66" t="s">
        <v>353</v>
      </c>
      <c r="J147" s="59" t="s">
        <v>789</v>
      </c>
      <c r="K147" s="65" t="s">
        <v>419</v>
      </c>
      <c r="L147" s="67"/>
      <c r="M147" s="69"/>
      <c r="N147" s="69"/>
      <c r="O147" s="68"/>
      <c r="P147" s="69" t="str">
        <f>IFERROR(VLOOKUP(TableAOPTarget[[#This Row],[RFC Date]],TableAopCalendar[[Date]:[Concatenate Month &amp; Week]],7,FALSE),"")</f>
        <v/>
      </c>
      <c r="Q147" s="68"/>
      <c r="R147" s="69" t="str">
        <f>IFERROR(VLOOKUP(TableAOPTarget[[#This Row],[Actual Start Date]],TableAopCalendar[[Date]:[Concatenate Month &amp; Week]],7,FALSE),"")</f>
        <v/>
      </c>
      <c r="S147" s="69"/>
      <c r="T147" s="68">
        <f>TableAOPTarget[[#This Row],[Actual Start Date]]+TableAOPTarget[[#This Row],[Standard Duration]]</f>
        <v>0</v>
      </c>
      <c r="U147" s="69" t="str">
        <f>IFERROR(VLOOKUP(TableAOPTarget[[#This Row],[Planned Finish Date]],TableAopCalendar[[Date]:[Concatenate Month &amp; Week]],7,FALSE),"")</f>
        <v/>
      </c>
      <c r="V147" s="68"/>
      <c r="W147" s="69" t="str">
        <f>IFERROR(VLOOKUP(TableAOPTarget[[#This Row],[Actual Finish Date]],TableAopCalendar[[Date]:[Concatenate Month &amp; Week]],7,FALSE),"")</f>
        <v/>
      </c>
      <c r="X147" s="68"/>
      <c r="Y147" s="69" t="str">
        <f>IFERROR(VLOOKUP(TableAOPTarget[[#This Row],[Forecasted Finish Date]],TableAopCalendar[[Date]:[Concatenate Month &amp; Week]],7,FALSE),"")</f>
        <v/>
      </c>
      <c r="Z147" s="68"/>
      <c r="AA147" s="69" t="str">
        <f>IF(OR(TableAOPTarget[[#This Row],[EPC Status]]="EPC Ready",TableAOPTarget[[#This Row],[EPC Status]]="WIP",TableAOPTarget[[#This Row],[EPC Status]]="YTS"),INDEX(TableAopCalendar[Concatenate Month &amp; Plan],MATCH(TableAOPTarget[[#This Row],[Planned Finish Date]],TableAopCalendar[Date],0))," ")</f>
        <v xml:space="preserve"> </v>
      </c>
      <c r="AB147" s="69" t="str">
        <f>IF(TableAOPTarget[[#This Row],[EPC Status]]="EPC Ready",INDEX(TableAopCalendar[Month for Plan],MATCH(TableAOPTarget[[#This Row],[Actual Finish Date]],TableAopCalendar[Date],0))," ")</f>
        <v xml:space="preserve"> </v>
      </c>
      <c r="AC147" s="87" t="s">
        <v>694</v>
      </c>
      <c r="AD147" s="87" t="str">
        <f>VLOOKUP(TableAOPTarget[[#This Row],[Site Name]],[17]Backup!$E:$F,2,0)</f>
        <v>1. SDR in Progress</v>
      </c>
      <c r="AE147" s="71"/>
      <c r="AF147" s="133">
        <f>VLOOKUP(TableAOPTarget[[#This Row],[Site Name]],[17]Backup!$E:$GG,185,0)</f>
        <v>0</v>
      </c>
    </row>
    <row r="148" spans="1:32" x14ac:dyDescent="0.3">
      <c r="A148" s="64"/>
      <c r="B148" s="160">
        <v>146</v>
      </c>
      <c r="C148" s="87" t="s">
        <v>42</v>
      </c>
      <c r="D148" s="63" t="s">
        <v>225</v>
      </c>
      <c r="E148" s="65" t="s">
        <v>504</v>
      </c>
      <c r="F148" s="66" t="s">
        <v>341</v>
      </c>
      <c r="G148" s="66" t="s">
        <v>342</v>
      </c>
      <c r="H148" s="66" t="s">
        <v>343</v>
      </c>
      <c r="I148" s="66" t="s">
        <v>353</v>
      </c>
      <c r="J148" s="59" t="s">
        <v>790</v>
      </c>
      <c r="K148" s="65" t="s">
        <v>419</v>
      </c>
      <c r="L148" s="67"/>
      <c r="M148" s="69"/>
      <c r="N148" s="69"/>
      <c r="O148" s="68"/>
      <c r="P148" s="69" t="str">
        <f>IFERROR(VLOOKUP(TableAOPTarget[[#This Row],[RFC Date]],TableAopCalendar[[Date]:[Concatenate Month &amp; Week]],7,FALSE),"")</f>
        <v/>
      </c>
      <c r="Q148" s="68"/>
      <c r="R148" s="69" t="str">
        <f>IFERROR(VLOOKUP(TableAOPTarget[[#This Row],[Actual Start Date]],TableAopCalendar[[Date]:[Concatenate Month &amp; Week]],7,FALSE),"")</f>
        <v/>
      </c>
      <c r="S148" s="69"/>
      <c r="T148" s="68">
        <f>TableAOPTarget[[#This Row],[Actual Start Date]]+TableAOPTarget[[#This Row],[Standard Duration]]</f>
        <v>0</v>
      </c>
      <c r="U148" s="69" t="str">
        <f>IFERROR(VLOOKUP(TableAOPTarget[[#This Row],[Planned Finish Date]],TableAopCalendar[[Date]:[Concatenate Month &amp; Week]],7,FALSE),"")</f>
        <v/>
      </c>
      <c r="V148" s="68"/>
      <c r="W148" s="69" t="str">
        <f>IFERROR(VLOOKUP(TableAOPTarget[[#This Row],[Actual Finish Date]],TableAopCalendar[[Date]:[Concatenate Month &amp; Week]],7,FALSE),"")</f>
        <v/>
      </c>
      <c r="X148" s="68"/>
      <c r="Y148" s="69" t="str">
        <f>IFERROR(VLOOKUP(TableAOPTarget[[#This Row],[Forecasted Finish Date]],TableAopCalendar[[Date]:[Concatenate Month &amp; Week]],7,FALSE),"")</f>
        <v/>
      </c>
      <c r="Z148" s="68"/>
      <c r="AA148" s="69" t="str">
        <f>IF(OR(TableAOPTarget[[#This Row],[EPC Status]]="EPC Ready",TableAOPTarget[[#This Row],[EPC Status]]="WIP",TableAOPTarget[[#This Row],[EPC Status]]="YTS"),INDEX(TableAopCalendar[Concatenate Month &amp; Plan],MATCH(TableAOPTarget[[#This Row],[Planned Finish Date]],TableAopCalendar[Date],0))," ")</f>
        <v xml:space="preserve"> </v>
      </c>
      <c r="AB148" s="69" t="str">
        <f>IF(TableAOPTarget[[#This Row],[EPC Status]]="EPC Ready",INDEX(TableAopCalendar[Month for Plan],MATCH(TableAOPTarget[[#This Row],[Actual Finish Date]],TableAopCalendar[Date],0))," ")</f>
        <v xml:space="preserve"> </v>
      </c>
      <c r="AC148" s="87" t="s">
        <v>694</v>
      </c>
      <c r="AD148" s="87" t="str">
        <f>VLOOKUP(TableAOPTarget[[#This Row],[Site Name]],[17]Backup!$E:$F,2,0)</f>
        <v>1. SDR in Progress</v>
      </c>
      <c r="AE148" s="71"/>
      <c r="AF148" s="133">
        <f>VLOOKUP(TableAOPTarget[[#This Row],[Site Name]],[17]Backup!$E:$GG,185,0)</f>
        <v>0</v>
      </c>
    </row>
    <row r="149" spans="1:32" x14ac:dyDescent="0.3">
      <c r="A149" s="64"/>
      <c r="B149" s="160">
        <v>147</v>
      </c>
      <c r="C149" s="87" t="s">
        <v>42</v>
      </c>
      <c r="D149" s="63" t="s">
        <v>225</v>
      </c>
      <c r="E149" s="65" t="s">
        <v>504</v>
      </c>
      <c r="F149" s="66" t="s">
        <v>341</v>
      </c>
      <c r="G149" s="66" t="s">
        <v>342</v>
      </c>
      <c r="H149" s="66" t="s">
        <v>343</v>
      </c>
      <c r="I149" s="66" t="s">
        <v>353</v>
      </c>
      <c r="J149" s="59" t="s">
        <v>791</v>
      </c>
      <c r="K149" s="65" t="s">
        <v>419</v>
      </c>
      <c r="L149" s="67"/>
      <c r="M149" s="69"/>
      <c r="N149" s="69"/>
      <c r="O149" s="68"/>
      <c r="P149" s="69" t="str">
        <f>IFERROR(VLOOKUP(TableAOPTarget[[#This Row],[RFC Date]],TableAopCalendar[[Date]:[Concatenate Month &amp; Week]],7,FALSE),"")</f>
        <v/>
      </c>
      <c r="Q149" s="68"/>
      <c r="R149" s="69" t="str">
        <f>IFERROR(VLOOKUP(TableAOPTarget[[#This Row],[Actual Start Date]],TableAopCalendar[[Date]:[Concatenate Month &amp; Week]],7,FALSE),"")</f>
        <v/>
      </c>
      <c r="S149" s="69"/>
      <c r="T149" s="68">
        <f>TableAOPTarget[[#This Row],[Actual Start Date]]+TableAOPTarget[[#This Row],[Standard Duration]]</f>
        <v>0</v>
      </c>
      <c r="U149" s="69" t="str">
        <f>IFERROR(VLOOKUP(TableAOPTarget[[#This Row],[Planned Finish Date]],TableAopCalendar[[Date]:[Concatenate Month &amp; Week]],7,FALSE),"")</f>
        <v/>
      </c>
      <c r="V149" s="68"/>
      <c r="W149" s="69" t="str">
        <f>IFERROR(VLOOKUP(TableAOPTarget[[#This Row],[Actual Finish Date]],TableAopCalendar[[Date]:[Concatenate Month &amp; Week]],7,FALSE),"")</f>
        <v/>
      </c>
      <c r="X149" s="68"/>
      <c r="Y149" s="69" t="str">
        <f>IFERROR(VLOOKUP(TableAOPTarget[[#This Row],[Forecasted Finish Date]],TableAopCalendar[[Date]:[Concatenate Month &amp; Week]],7,FALSE),"")</f>
        <v/>
      </c>
      <c r="Z149" s="68"/>
      <c r="AA149" s="69" t="str">
        <f>IF(OR(TableAOPTarget[[#This Row],[EPC Status]]="EPC Ready",TableAOPTarget[[#This Row],[EPC Status]]="WIP",TableAOPTarget[[#This Row],[EPC Status]]="YTS"),INDEX(TableAopCalendar[Concatenate Month &amp; Plan],MATCH(TableAOPTarget[[#This Row],[Planned Finish Date]],TableAopCalendar[Date],0))," ")</f>
        <v xml:space="preserve"> </v>
      </c>
      <c r="AB149" s="69" t="str">
        <f>IF(TableAOPTarget[[#This Row],[EPC Status]]="EPC Ready",INDEX(TableAopCalendar[Month for Plan],MATCH(TableAOPTarget[[#This Row],[Actual Finish Date]],TableAopCalendar[Date],0))," ")</f>
        <v xml:space="preserve"> </v>
      </c>
      <c r="AC149" s="87" t="s">
        <v>694</v>
      </c>
      <c r="AD149" s="87" t="str">
        <f>VLOOKUP(TableAOPTarget[[#This Row],[Site Name]],[17]Backup!$E:$F,2,0)</f>
        <v>1. SDR in Progress</v>
      </c>
      <c r="AE149" s="71"/>
      <c r="AF149" s="133">
        <f>VLOOKUP(TableAOPTarget[[#This Row],[Site Name]],[17]Backup!$E:$GG,185,0)</f>
        <v>0</v>
      </c>
    </row>
  </sheetData>
  <conditionalFormatting sqref="J53:J54">
    <cfRule type="duplicateValues" dxfId="594" priority="1735"/>
  </conditionalFormatting>
  <conditionalFormatting sqref="J55">
    <cfRule type="duplicateValues" dxfId="593" priority="1737"/>
  </conditionalFormatting>
  <conditionalFormatting sqref="J56">
    <cfRule type="duplicateValues" dxfId="592" priority="1738"/>
  </conditionalFormatting>
  <conditionalFormatting sqref="J57">
    <cfRule type="duplicateValues" dxfId="591" priority="1740"/>
  </conditionalFormatting>
  <conditionalFormatting sqref="J58">
    <cfRule type="duplicateValues" dxfId="590" priority="1741"/>
  </conditionalFormatting>
  <conditionalFormatting sqref="J59">
    <cfRule type="duplicateValues" dxfId="589" priority="1743"/>
  </conditionalFormatting>
  <conditionalFormatting sqref="J61">
    <cfRule type="duplicateValues" dxfId="588" priority="1745"/>
  </conditionalFormatting>
  <conditionalFormatting sqref="J62">
    <cfRule type="duplicateValues" dxfId="587" priority="1747"/>
  </conditionalFormatting>
  <conditionalFormatting sqref="J63">
    <cfRule type="duplicateValues" dxfId="586" priority="1748"/>
  </conditionalFormatting>
  <conditionalFormatting sqref="J64:J66">
    <cfRule type="duplicateValues" dxfId="585" priority="1751"/>
  </conditionalFormatting>
  <conditionalFormatting sqref="J67">
    <cfRule type="duplicateValues" dxfId="584" priority="1753"/>
  </conditionalFormatting>
  <conditionalFormatting sqref="J68">
    <cfRule type="duplicateValues" dxfId="583" priority="1754"/>
  </conditionalFormatting>
  <conditionalFormatting sqref="J69">
    <cfRule type="duplicateValues" dxfId="582" priority="1755"/>
  </conditionalFormatting>
  <conditionalFormatting sqref="J70">
    <cfRule type="duplicateValues" dxfId="581" priority="1756"/>
  </conditionalFormatting>
  <conditionalFormatting sqref="J71">
    <cfRule type="duplicateValues" dxfId="580" priority="1774"/>
  </conditionalFormatting>
  <conditionalFormatting sqref="J72">
    <cfRule type="duplicateValues" dxfId="579" priority="1782"/>
  </conditionalFormatting>
  <conditionalFormatting sqref="J73:J75">
    <cfRule type="duplicateValues" dxfId="578" priority="1783"/>
  </conditionalFormatting>
  <conditionalFormatting sqref="J76">
    <cfRule type="duplicateValues" dxfId="577" priority="1784"/>
  </conditionalFormatting>
  <conditionalFormatting sqref="J77:J78">
    <cfRule type="duplicateValues" dxfId="576" priority="1785"/>
  </conditionalFormatting>
  <conditionalFormatting sqref="J79">
    <cfRule type="duplicateValues" dxfId="575" priority="1787"/>
  </conditionalFormatting>
  <conditionalFormatting sqref="J81:J82">
    <cfRule type="duplicateValues" dxfId="574" priority="1788"/>
  </conditionalFormatting>
  <conditionalFormatting sqref="J83">
    <cfRule type="duplicateValues" dxfId="573" priority="1789"/>
  </conditionalFormatting>
  <conditionalFormatting sqref="J42">
    <cfRule type="duplicateValues" dxfId="572" priority="24"/>
  </conditionalFormatting>
  <conditionalFormatting sqref="J14:J16 J18:J39 J1:J2">
    <cfRule type="duplicateValues" dxfId="571" priority="2150"/>
  </conditionalFormatting>
  <conditionalFormatting sqref="J14:J16 J18:J39 J2">
    <cfRule type="duplicateValues" dxfId="570" priority="2154"/>
  </conditionalFormatting>
  <conditionalFormatting sqref="A12:A40 A53:A58 A1:A2">
    <cfRule type="duplicateValues" dxfId="569" priority="2157"/>
  </conditionalFormatting>
  <conditionalFormatting sqref="J12:J40 J53:J60 J1:J2">
    <cfRule type="duplicateValues" dxfId="568" priority="2159"/>
  </conditionalFormatting>
  <conditionalFormatting sqref="J90">
    <cfRule type="duplicateValues" dxfId="567" priority="2160"/>
  </conditionalFormatting>
  <conditionalFormatting sqref="M72">
    <cfRule type="duplicateValues" dxfId="566" priority="2165"/>
  </conditionalFormatting>
  <conditionalFormatting sqref="M49:M50">
    <cfRule type="duplicateValues" dxfId="565" priority="2166"/>
  </conditionalFormatting>
  <conditionalFormatting sqref="M59:M62 M64:M70 M12:M40 M53:M57 M1:M2">
    <cfRule type="duplicateValues" dxfId="564" priority="2167"/>
  </conditionalFormatting>
  <conditionalFormatting sqref="A11">
    <cfRule type="duplicateValues" dxfId="563" priority="19"/>
  </conditionalFormatting>
  <conditionalFormatting sqref="J11">
    <cfRule type="duplicateValues" dxfId="562" priority="20"/>
  </conditionalFormatting>
  <conditionalFormatting sqref="M11">
    <cfRule type="duplicateValues" dxfId="561" priority="18"/>
  </conditionalFormatting>
  <conditionalFormatting sqref="J116:J121">
    <cfRule type="duplicateValues" dxfId="560" priority="2168"/>
  </conditionalFormatting>
  <conditionalFormatting sqref="J122:J123">
    <cfRule type="duplicateValues" dxfId="559" priority="13"/>
  </conditionalFormatting>
  <conditionalFormatting sqref="J137">
    <cfRule type="duplicateValues" dxfId="558" priority="7"/>
  </conditionalFormatting>
  <conditionalFormatting sqref="J138">
    <cfRule type="duplicateValues" dxfId="557" priority="2169"/>
  </conditionalFormatting>
  <conditionalFormatting sqref="M137">
    <cfRule type="duplicateValues" dxfId="556" priority="4"/>
  </conditionalFormatting>
  <conditionalFormatting sqref="M137">
    <cfRule type="duplicateValues" dxfId="555" priority="5"/>
  </conditionalFormatting>
  <conditionalFormatting sqref="M138">
    <cfRule type="duplicateValues" dxfId="554" priority="2"/>
  </conditionalFormatting>
  <conditionalFormatting sqref="M138">
    <cfRule type="duplicateValues" dxfId="553" priority="3"/>
  </conditionalFormatting>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55"/>
  <sheetViews>
    <sheetView zoomScale="80" zoomScaleNormal="80" workbookViewId="0">
      <pane ySplit="1" topLeftCell="A41" activePane="bottomLeft" state="frozen"/>
      <selection pane="bottomLeft" activeCell="D25" sqref="D25"/>
    </sheetView>
  </sheetViews>
  <sheetFormatPr defaultRowHeight="14.4" x14ac:dyDescent="0.3"/>
  <cols>
    <col min="1" max="1" width="12.109375" bestFit="1" customWidth="1"/>
    <col min="2" max="4" width="40.6640625" customWidth="1"/>
    <col min="5" max="7" width="20.6640625" customWidth="1"/>
    <col min="8" max="11" width="18.33203125" customWidth="1"/>
  </cols>
  <sheetData>
    <row r="1" spans="1:7" x14ac:dyDescent="0.3">
      <c r="A1" s="22" t="s">
        <v>86</v>
      </c>
      <c r="B1" s="8" t="s">
        <v>103</v>
      </c>
      <c r="C1" s="8" t="s">
        <v>11</v>
      </c>
      <c r="D1" s="8" t="s">
        <v>101</v>
      </c>
      <c r="E1" s="8" t="s">
        <v>315</v>
      </c>
      <c r="F1" s="8" t="s">
        <v>113</v>
      </c>
      <c r="G1" s="8" t="s">
        <v>335</v>
      </c>
    </row>
    <row r="2" spans="1:7" x14ac:dyDescent="0.3">
      <c r="A2" s="17" t="s">
        <v>13</v>
      </c>
      <c r="B2" s="9"/>
      <c r="C2" s="9"/>
      <c r="D2" s="9" t="s">
        <v>37</v>
      </c>
      <c r="E2" s="9"/>
      <c r="F2" s="10">
        <f>SUM(F3:F18)</f>
        <v>325</v>
      </c>
      <c r="G2" s="9"/>
    </row>
    <row r="3" spans="1:7" x14ac:dyDescent="0.3">
      <c r="A3" s="18">
        <v>1</v>
      </c>
      <c r="B3" s="11" t="s">
        <v>37</v>
      </c>
      <c r="C3" s="11" t="s">
        <v>223</v>
      </c>
      <c r="D3" s="11" t="s">
        <v>44</v>
      </c>
      <c r="E3" s="11" t="s">
        <v>113</v>
      </c>
      <c r="F3" s="12">
        <v>98</v>
      </c>
      <c r="G3" s="11" t="s">
        <v>336</v>
      </c>
    </row>
    <row r="4" spans="1:7" x14ac:dyDescent="0.3">
      <c r="A4" s="18">
        <v>2</v>
      </c>
      <c r="B4" s="11" t="s">
        <v>37</v>
      </c>
      <c r="C4" s="11" t="s">
        <v>223</v>
      </c>
      <c r="D4" s="11" t="s">
        <v>30</v>
      </c>
      <c r="E4" s="11" t="s">
        <v>113</v>
      </c>
      <c r="F4" s="12">
        <v>65</v>
      </c>
      <c r="G4" s="11" t="s">
        <v>336</v>
      </c>
    </row>
    <row r="5" spans="1:7" x14ac:dyDescent="0.3">
      <c r="A5" s="18">
        <v>3</v>
      </c>
      <c r="B5" s="13" t="s">
        <v>37</v>
      </c>
      <c r="C5" s="11" t="s">
        <v>223</v>
      </c>
      <c r="D5" s="13" t="s">
        <v>142</v>
      </c>
      <c r="E5" s="11" t="s">
        <v>113</v>
      </c>
      <c r="F5" s="14">
        <v>30</v>
      </c>
      <c r="G5" s="11" t="s">
        <v>336</v>
      </c>
    </row>
    <row r="6" spans="1:7" x14ac:dyDescent="0.3">
      <c r="A6" s="18">
        <v>4</v>
      </c>
      <c r="B6" s="11" t="s">
        <v>37</v>
      </c>
      <c r="C6" s="11" t="s">
        <v>223</v>
      </c>
      <c r="D6" s="11" t="s">
        <v>45</v>
      </c>
      <c r="E6" s="11" t="s">
        <v>113</v>
      </c>
      <c r="F6" s="12">
        <v>1</v>
      </c>
      <c r="G6" s="11" t="s">
        <v>336</v>
      </c>
    </row>
    <row r="7" spans="1:7" x14ac:dyDescent="0.3">
      <c r="A7" s="18">
        <v>5</v>
      </c>
      <c r="B7" s="13" t="s">
        <v>37</v>
      </c>
      <c r="C7" s="11" t="s">
        <v>223</v>
      </c>
      <c r="D7" s="13" t="s">
        <v>49</v>
      </c>
      <c r="E7" s="13" t="s">
        <v>316</v>
      </c>
      <c r="F7" s="14">
        <v>0</v>
      </c>
      <c r="G7" s="11" t="s">
        <v>336</v>
      </c>
    </row>
    <row r="8" spans="1:7" x14ac:dyDescent="0.3">
      <c r="A8" s="18">
        <v>6</v>
      </c>
      <c r="B8" s="11" t="s">
        <v>37</v>
      </c>
      <c r="C8" s="11" t="s">
        <v>223</v>
      </c>
      <c r="D8" s="11" t="s">
        <v>145</v>
      </c>
      <c r="E8" s="11" t="s">
        <v>113</v>
      </c>
      <c r="F8" s="12">
        <v>20</v>
      </c>
      <c r="G8" s="11" t="s">
        <v>336</v>
      </c>
    </row>
    <row r="9" spans="1:7" x14ac:dyDescent="0.3">
      <c r="A9" s="18">
        <v>7</v>
      </c>
      <c r="B9" s="13" t="s">
        <v>37</v>
      </c>
      <c r="C9" s="11" t="s">
        <v>223</v>
      </c>
      <c r="D9" s="13" t="s">
        <v>146</v>
      </c>
      <c r="E9" s="13" t="s">
        <v>316</v>
      </c>
      <c r="F9" s="14">
        <v>0</v>
      </c>
      <c r="G9" s="11" t="s">
        <v>336</v>
      </c>
    </row>
    <row r="10" spans="1:7" x14ac:dyDescent="0.3">
      <c r="A10" s="18">
        <v>8</v>
      </c>
      <c r="B10" s="13" t="s">
        <v>37</v>
      </c>
      <c r="C10" s="11" t="s">
        <v>223</v>
      </c>
      <c r="D10" s="13" t="s">
        <v>47</v>
      </c>
      <c r="E10" s="11" t="s">
        <v>113</v>
      </c>
      <c r="F10" s="14">
        <v>11</v>
      </c>
      <c r="G10" s="11" t="s">
        <v>336</v>
      </c>
    </row>
    <row r="11" spans="1:7" x14ac:dyDescent="0.3">
      <c r="A11" s="18">
        <v>9</v>
      </c>
      <c r="B11" s="13" t="s">
        <v>37</v>
      </c>
      <c r="C11" s="11" t="s">
        <v>223</v>
      </c>
      <c r="D11" s="13" t="s">
        <v>46</v>
      </c>
      <c r="E11" s="11" t="s">
        <v>113</v>
      </c>
      <c r="F11" s="14">
        <v>84</v>
      </c>
      <c r="G11" s="11" t="s">
        <v>336</v>
      </c>
    </row>
    <row r="12" spans="1:7" x14ac:dyDescent="0.3">
      <c r="A12" s="18">
        <v>10</v>
      </c>
      <c r="B12" s="13" t="s">
        <v>37</v>
      </c>
      <c r="C12" s="11" t="s">
        <v>223</v>
      </c>
      <c r="D12" s="13" t="s">
        <v>112</v>
      </c>
      <c r="E12" s="13" t="s">
        <v>316</v>
      </c>
      <c r="F12" s="14">
        <v>0</v>
      </c>
      <c r="G12" s="11" t="s">
        <v>336</v>
      </c>
    </row>
    <row r="13" spans="1:7" x14ac:dyDescent="0.3">
      <c r="A13" s="18">
        <v>11</v>
      </c>
      <c r="B13" s="11" t="s">
        <v>37</v>
      </c>
      <c r="C13" s="11" t="s">
        <v>223</v>
      </c>
      <c r="D13" s="11" t="s">
        <v>214</v>
      </c>
      <c r="E13" s="11" t="s">
        <v>113</v>
      </c>
      <c r="F13" s="14">
        <v>4</v>
      </c>
      <c r="G13" s="11" t="s">
        <v>336</v>
      </c>
    </row>
    <row r="14" spans="1:7" x14ac:dyDescent="0.3">
      <c r="A14" s="18">
        <v>12</v>
      </c>
      <c r="B14" s="11" t="s">
        <v>37</v>
      </c>
      <c r="C14" s="11" t="s">
        <v>223</v>
      </c>
      <c r="D14" s="11" t="s">
        <v>231</v>
      </c>
      <c r="E14" s="11" t="s">
        <v>316</v>
      </c>
      <c r="F14" s="12">
        <v>0</v>
      </c>
      <c r="G14" s="11" t="s">
        <v>336</v>
      </c>
    </row>
    <row r="15" spans="1:7" x14ac:dyDescent="0.3">
      <c r="A15" s="18">
        <v>13</v>
      </c>
      <c r="B15" s="11" t="s">
        <v>37</v>
      </c>
      <c r="C15" s="11" t="s">
        <v>223</v>
      </c>
      <c r="D15" s="11" t="s">
        <v>232</v>
      </c>
      <c r="E15" s="11" t="s">
        <v>316</v>
      </c>
      <c r="F15" s="12">
        <v>0</v>
      </c>
      <c r="G15" s="11" t="s">
        <v>336</v>
      </c>
    </row>
    <row r="16" spans="1:7" x14ac:dyDescent="0.3">
      <c r="A16" s="18">
        <v>14</v>
      </c>
      <c r="B16" s="11" t="s">
        <v>37</v>
      </c>
      <c r="C16" s="11" t="s">
        <v>223</v>
      </c>
      <c r="D16" s="11" t="s">
        <v>233</v>
      </c>
      <c r="E16" s="13" t="s">
        <v>316</v>
      </c>
      <c r="F16" s="12">
        <v>0</v>
      </c>
      <c r="G16" s="11" t="s">
        <v>336</v>
      </c>
    </row>
    <row r="17" spans="1:7" x14ac:dyDescent="0.3">
      <c r="A17" s="18">
        <v>15</v>
      </c>
      <c r="B17" s="11" t="s">
        <v>37</v>
      </c>
      <c r="C17" s="11" t="s">
        <v>223</v>
      </c>
      <c r="D17" s="11" t="s">
        <v>217</v>
      </c>
      <c r="E17" s="11" t="s">
        <v>316</v>
      </c>
      <c r="F17" s="12">
        <v>0</v>
      </c>
      <c r="G17" s="11" t="s">
        <v>336</v>
      </c>
    </row>
    <row r="18" spans="1:7" x14ac:dyDescent="0.3">
      <c r="A18" s="18">
        <v>15</v>
      </c>
      <c r="B18" s="11" t="s">
        <v>37</v>
      </c>
      <c r="C18" s="11" t="s">
        <v>223</v>
      </c>
      <c r="D18" s="11" t="s">
        <v>234</v>
      </c>
      <c r="E18" s="11" t="s">
        <v>113</v>
      </c>
      <c r="F18" s="12">
        <v>12</v>
      </c>
      <c r="G18" s="11" t="s">
        <v>336</v>
      </c>
    </row>
    <row r="19" spans="1:7" x14ac:dyDescent="0.3">
      <c r="A19" s="17" t="s">
        <v>147</v>
      </c>
      <c r="B19" s="9"/>
      <c r="C19" s="9"/>
      <c r="D19" s="9" t="s">
        <v>38</v>
      </c>
      <c r="E19" s="9"/>
      <c r="F19" s="10">
        <f>SUM(F20,F61,F91,F95,F101)</f>
        <v>1320</v>
      </c>
      <c r="G19" s="9"/>
    </row>
    <row r="20" spans="1:7" x14ac:dyDescent="0.3">
      <c r="A20" s="19" t="s">
        <v>148</v>
      </c>
      <c r="B20" s="15"/>
      <c r="C20" s="15"/>
      <c r="D20" s="15" t="s">
        <v>215</v>
      </c>
      <c r="E20" s="15"/>
      <c r="F20" s="16">
        <f>SUM(F21:F60)</f>
        <v>618</v>
      </c>
      <c r="G20" s="15"/>
    </row>
    <row r="21" spans="1:7" x14ac:dyDescent="0.3">
      <c r="A21" s="20">
        <v>1</v>
      </c>
      <c r="B21" s="11" t="s">
        <v>38</v>
      </c>
      <c r="C21" s="11" t="s">
        <v>215</v>
      </c>
      <c r="D21" s="11" t="s">
        <v>6</v>
      </c>
      <c r="E21" s="11" t="s">
        <v>113</v>
      </c>
      <c r="F21" s="12">
        <v>122</v>
      </c>
      <c r="G21" s="11" t="s">
        <v>337</v>
      </c>
    </row>
    <row r="22" spans="1:7" x14ac:dyDescent="0.3">
      <c r="A22" s="20">
        <v>2</v>
      </c>
      <c r="B22" s="11" t="s">
        <v>38</v>
      </c>
      <c r="C22" s="11" t="s">
        <v>215</v>
      </c>
      <c r="D22" s="11" t="s">
        <v>2</v>
      </c>
      <c r="E22" s="11" t="s">
        <v>113</v>
      </c>
      <c r="F22" s="12">
        <v>39</v>
      </c>
      <c r="G22" s="11" t="s">
        <v>337</v>
      </c>
    </row>
    <row r="23" spans="1:7" x14ac:dyDescent="0.3">
      <c r="A23" s="20">
        <v>3</v>
      </c>
      <c r="B23" s="11" t="s">
        <v>38</v>
      </c>
      <c r="C23" s="11" t="s">
        <v>215</v>
      </c>
      <c r="D23" s="11" t="s">
        <v>5</v>
      </c>
      <c r="E23" s="11" t="s">
        <v>113</v>
      </c>
      <c r="F23" s="12">
        <v>24</v>
      </c>
      <c r="G23" s="11" t="s">
        <v>337</v>
      </c>
    </row>
    <row r="24" spans="1:7" x14ac:dyDescent="0.3">
      <c r="A24" s="20">
        <v>4</v>
      </c>
      <c r="B24" s="11" t="s">
        <v>38</v>
      </c>
      <c r="C24" s="11" t="s">
        <v>215</v>
      </c>
      <c r="D24" s="11" t="s">
        <v>1</v>
      </c>
      <c r="E24" s="11" t="s">
        <v>113</v>
      </c>
      <c r="F24" s="12">
        <v>9</v>
      </c>
      <c r="G24" s="11" t="s">
        <v>337</v>
      </c>
    </row>
    <row r="25" spans="1:7" x14ac:dyDescent="0.3">
      <c r="A25" s="20">
        <v>5</v>
      </c>
      <c r="B25" s="11" t="s">
        <v>38</v>
      </c>
      <c r="C25" s="11" t="s">
        <v>215</v>
      </c>
      <c r="D25" s="11" t="s">
        <v>59</v>
      </c>
      <c r="E25" s="11" t="s">
        <v>113</v>
      </c>
      <c r="F25" s="12">
        <v>90</v>
      </c>
      <c r="G25" s="11" t="s">
        <v>337</v>
      </c>
    </row>
    <row r="26" spans="1:7" x14ac:dyDescent="0.3">
      <c r="A26" s="20">
        <v>6</v>
      </c>
      <c r="B26" s="11" t="s">
        <v>38</v>
      </c>
      <c r="C26" s="11" t="s">
        <v>215</v>
      </c>
      <c r="D26" s="11" t="s">
        <v>3</v>
      </c>
      <c r="E26" s="11" t="s">
        <v>113</v>
      </c>
      <c r="F26" s="12">
        <v>32</v>
      </c>
      <c r="G26" s="11" t="s">
        <v>337</v>
      </c>
    </row>
    <row r="27" spans="1:7" x14ac:dyDescent="0.3">
      <c r="A27" s="20">
        <v>7</v>
      </c>
      <c r="B27" s="11" t="s">
        <v>38</v>
      </c>
      <c r="C27" s="11" t="s">
        <v>215</v>
      </c>
      <c r="D27" s="11" t="s">
        <v>60</v>
      </c>
      <c r="E27" s="11" t="s">
        <v>113</v>
      </c>
      <c r="F27" s="12">
        <v>38</v>
      </c>
      <c r="G27" s="11" t="s">
        <v>337</v>
      </c>
    </row>
    <row r="28" spans="1:7" x14ac:dyDescent="0.3">
      <c r="A28" s="20">
        <v>8</v>
      </c>
      <c r="B28" s="11" t="s">
        <v>38</v>
      </c>
      <c r="C28" s="11" t="s">
        <v>215</v>
      </c>
      <c r="D28" s="11" t="s">
        <v>7</v>
      </c>
      <c r="E28" s="11" t="s">
        <v>113</v>
      </c>
      <c r="F28" s="12">
        <v>8</v>
      </c>
      <c r="G28" s="11" t="s">
        <v>337</v>
      </c>
    </row>
    <row r="29" spans="1:7" x14ac:dyDescent="0.3">
      <c r="A29" s="20">
        <v>9</v>
      </c>
      <c r="B29" s="11" t="s">
        <v>38</v>
      </c>
      <c r="C29" s="11" t="s">
        <v>215</v>
      </c>
      <c r="D29" s="11" t="s">
        <v>326</v>
      </c>
      <c r="E29" s="11" t="s">
        <v>113</v>
      </c>
      <c r="F29" s="12">
        <v>18</v>
      </c>
      <c r="G29" s="11" t="s">
        <v>337</v>
      </c>
    </row>
    <row r="30" spans="1:7" x14ac:dyDescent="0.3">
      <c r="A30" s="20">
        <v>10</v>
      </c>
      <c r="B30" s="13" t="s">
        <v>38</v>
      </c>
      <c r="C30" s="11" t="s">
        <v>215</v>
      </c>
      <c r="D30" s="13" t="s">
        <v>34</v>
      </c>
      <c r="E30" s="11" t="s">
        <v>113</v>
      </c>
      <c r="F30" s="14">
        <v>29</v>
      </c>
      <c r="G30" s="11" t="s">
        <v>337</v>
      </c>
    </row>
    <row r="31" spans="1:7" x14ac:dyDescent="0.3">
      <c r="A31" s="20">
        <v>11</v>
      </c>
      <c r="B31" s="11" t="s">
        <v>38</v>
      </c>
      <c r="C31" s="11" t="s">
        <v>215</v>
      </c>
      <c r="D31" s="11" t="s">
        <v>57</v>
      </c>
      <c r="E31" s="11" t="s">
        <v>113</v>
      </c>
      <c r="F31" s="12">
        <v>11</v>
      </c>
      <c r="G31" s="11" t="s">
        <v>337</v>
      </c>
    </row>
    <row r="32" spans="1:7" x14ac:dyDescent="0.3">
      <c r="A32" s="20">
        <v>12</v>
      </c>
      <c r="B32" s="13" t="s">
        <v>38</v>
      </c>
      <c r="C32" s="11" t="s">
        <v>215</v>
      </c>
      <c r="D32" s="13" t="s">
        <v>4</v>
      </c>
      <c r="E32" s="11" t="s">
        <v>113</v>
      </c>
      <c r="F32" s="14">
        <v>1</v>
      </c>
      <c r="G32" s="11" t="s">
        <v>337</v>
      </c>
    </row>
    <row r="33" spans="1:7" x14ac:dyDescent="0.3">
      <c r="A33" s="20">
        <v>13</v>
      </c>
      <c r="B33" s="11" t="s">
        <v>38</v>
      </c>
      <c r="C33" s="11" t="s">
        <v>215</v>
      </c>
      <c r="D33" s="11" t="s">
        <v>210</v>
      </c>
      <c r="E33" s="11" t="s">
        <v>113</v>
      </c>
      <c r="F33" s="12">
        <v>2</v>
      </c>
      <c r="G33" s="11" t="s">
        <v>337</v>
      </c>
    </row>
    <row r="34" spans="1:7" x14ac:dyDescent="0.3">
      <c r="A34" s="20">
        <v>14</v>
      </c>
      <c r="B34" s="13" t="s">
        <v>38</v>
      </c>
      <c r="C34" s="11" t="s">
        <v>215</v>
      </c>
      <c r="D34" s="13" t="s">
        <v>67</v>
      </c>
      <c r="E34" s="11" t="s">
        <v>113</v>
      </c>
      <c r="F34" s="12">
        <v>12</v>
      </c>
      <c r="G34" s="11" t="s">
        <v>337</v>
      </c>
    </row>
    <row r="35" spans="1:7" x14ac:dyDescent="0.3">
      <c r="A35" s="20">
        <v>15</v>
      </c>
      <c r="B35" s="11" t="s">
        <v>38</v>
      </c>
      <c r="C35" s="11" t="s">
        <v>215</v>
      </c>
      <c r="D35" s="11" t="s">
        <v>17</v>
      </c>
      <c r="E35" s="13" t="s">
        <v>316</v>
      </c>
      <c r="F35" s="12">
        <v>0</v>
      </c>
      <c r="G35" s="11" t="s">
        <v>337</v>
      </c>
    </row>
    <row r="36" spans="1:7" x14ac:dyDescent="0.3">
      <c r="A36" s="20">
        <v>16</v>
      </c>
      <c r="B36" s="11" t="s">
        <v>38</v>
      </c>
      <c r="C36" s="11" t="s">
        <v>215</v>
      </c>
      <c r="D36" s="11" t="s">
        <v>66</v>
      </c>
      <c r="E36" s="11" t="s">
        <v>113</v>
      </c>
      <c r="F36" s="12">
        <v>3</v>
      </c>
      <c r="G36" s="11" t="s">
        <v>337</v>
      </c>
    </row>
    <row r="37" spans="1:7" x14ac:dyDescent="0.3">
      <c r="A37" s="20">
        <v>17</v>
      </c>
      <c r="B37" s="13" t="s">
        <v>38</v>
      </c>
      <c r="C37" s="11" t="s">
        <v>215</v>
      </c>
      <c r="D37" s="13" t="s">
        <v>68</v>
      </c>
      <c r="E37" s="13" t="s">
        <v>316</v>
      </c>
      <c r="F37" s="12">
        <v>0</v>
      </c>
      <c r="G37" s="11" t="s">
        <v>337</v>
      </c>
    </row>
    <row r="38" spans="1:7" x14ac:dyDescent="0.3">
      <c r="A38" s="20">
        <v>18</v>
      </c>
      <c r="B38" s="13" t="s">
        <v>38</v>
      </c>
      <c r="C38" s="11" t="s">
        <v>215</v>
      </c>
      <c r="D38" s="13" t="s">
        <v>69</v>
      </c>
      <c r="E38" s="13" t="s">
        <v>316</v>
      </c>
      <c r="F38" s="12">
        <v>0</v>
      </c>
      <c r="G38" s="11" t="s">
        <v>337</v>
      </c>
    </row>
    <row r="39" spans="1:7" x14ac:dyDescent="0.3">
      <c r="A39" s="20">
        <v>19</v>
      </c>
      <c r="B39" s="13" t="s">
        <v>38</v>
      </c>
      <c r="C39" s="11" t="s">
        <v>215</v>
      </c>
      <c r="D39" s="13" t="s">
        <v>70</v>
      </c>
      <c r="E39" s="13" t="s">
        <v>316</v>
      </c>
      <c r="F39" s="12">
        <v>0</v>
      </c>
      <c r="G39" s="11" t="s">
        <v>337</v>
      </c>
    </row>
    <row r="40" spans="1:7" x14ac:dyDescent="0.3">
      <c r="A40" s="20">
        <v>20</v>
      </c>
      <c r="B40" s="11" t="s">
        <v>38</v>
      </c>
      <c r="C40" s="11" t="s">
        <v>215</v>
      </c>
      <c r="D40" s="11" t="s">
        <v>15</v>
      </c>
      <c r="E40" s="13" t="s">
        <v>316</v>
      </c>
      <c r="F40" s="12">
        <v>0</v>
      </c>
      <c r="G40" s="11" t="s">
        <v>337</v>
      </c>
    </row>
    <row r="41" spans="1:7" x14ac:dyDescent="0.3">
      <c r="A41" s="20">
        <v>21</v>
      </c>
      <c r="B41" s="11" t="s">
        <v>38</v>
      </c>
      <c r="C41" s="11" t="s">
        <v>215</v>
      </c>
      <c r="D41" s="11" t="s">
        <v>14</v>
      </c>
      <c r="E41" s="11" t="s">
        <v>113</v>
      </c>
      <c r="F41" s="12">
        <v>3</v>
      </c>
      <c r="G41" s="11" t="s">
        <v>337</v>
      </c>
    </row>
    <row r="42" spans="1:7" x14ac:dyDescent="0.3">
      <c r="A42" s="20">
        <v>22</v>
      </c>
      <c r="B42" s="11" t="s">
        <v>38</v>
      </c>
      <c r="C42" s="11" t="s">
        <v>215</v>
      </c>
      <c r="D42" s="11" t="s">
        <v>71</v>
      </c>
      <c r="E42" s="13" t="s">
        <v>316</v>
      </c>
      <c r="F42" s="12">
        <v>0</v>
      </c>
      <c r="G42" s="11" t="s">
        <v>337</v>
      </c>
    </row>
    <row r="43" spans="1:7" x14ac:dyDescent="0.3">
      <c r="A43" s="20">
        <v>23</v>
      </c>
      <c r="B43" s="13" t="s">
        <v>38</v>
      </c>
      <c r="C43" s="11" t="s">
        <v>215</v>
      </c>
      <c r="D43" s="13" t="s">
        <v>81</v>
      </c>
      <c r="E43" s="13" t="s">
        <v>316</v>
      </c>
      <c r="F43" s="12">
        <v>0</v>
      </c>
      <c r="G43" s="11" t="s">
        <v>337</v>
      </c>
    </row>
    <row r="44" spans="1:7" x14ac:dyDescent="0.3">
      <c r="A44" s="20">
        <v>24</v>
      </c>
      <c r="B44" s="11" t="s">
        <v>38</v>
      </c>
      <c r="C44" s="11" t="s">
        <v>215</v>
      </c>
      <c r="D44" s="11" t="s">
        <v>80</v>
      </c>
      <c r="E44" s="13" t="s">
        <v>316</v>
      </c>
      <c r="F44" s="12">
        <v>0</v>
      </c>
      <c r="G44" s="11" t="s">
        <v>337</v>
      </c>
    </row>
    <row r="45" spans="1:7" x14ac:dyDescent="0.3">
      <c r="A45" s="20">
        <v>25</v>
      </c>
      <c r="B45" s="11" t="s">
        <v>38</v>
      </c>
      <c r="C45" s="11" t="s">
        <v>215</v>
      </c>
      <c r="D45" s="11" t="s">
        <v>88</v>
      </c>
      <c r="E45" s="13" t="s">
        <v>316</v>
      </c>
      <c r="F45" s="12">
        <v>0</v>
      </c>
      <c r="G45" s="11" t="s">
        <v>337</v>
      </c>
    </row>
    <row r="46" spans="1:7" x14ac:dyDescent="0.3">
      <c r="A46" s="20">
        <v>26</v>
      </c>
      <c r="B46" s="13" t="s">
        <v>38</v>
      </c>
      <c r="C46" s="11" t="s">
        <v>215</v>
      </c>
      <c r="D46" s="13" t="s">
        <v>79</v>
      </c>
      <c r="E46" s="11" t="s">
        <v>113</v>
      </c>
      <c r="F46" s="14">
        <v>34</v>
      </c>
      <c r="G46" s="11" t="s">
        <v>337</v>
      </c>
    </row>
    <row r="47" spans="1:7" x14ac:dyDescent="0.3">
      <c r="A47" s="20">
        <v>27</v>
      </c>
      <c r="B47" s="13" t="s">
        <v>38</v>
      </c>
      <c r="C47" s="11" t="s">
        <v>215</v>
      </c>
      <c r="D47" s="13" t="s">
        <v>92</v>
      </c>
      <c r="E47" s="11" t="s">
        <v>113</v>
      </c>
      <c r="F47" s="14">
        <v>16</v>
      </c>
      <c r="G47" s="11" t="s">
        <v>339</v>
      </c>
    </row>
    <row r="48" spans="1:7" x14ac:dyDescent="0.3">
      <c r="A48" s="20">
        <v>28</v>
      </c>
      <c r="B48" s="13" t="s">
        <v>38</v>
      </c>
      <c r="C48" s="11" t="s">
        <v>215</v>
      </c>
      <c r="D48" s="13" t="s">
        <v>235</v>
      </c>
      <c r="E48" s="11" t="s">
        <v>113</v>
      </c>
      <c r="F48" s="14">
        <v>2</v>
      </c>
      <c r="G48" s="11" t="s">
        <v>337</v>
      </c>
    </row>
    <row r="49" spans="1:7" x14ac:dyDescent="0.3">
      <c r="A49" s="20">
        <v>29</v>
      </c>
      <c r="B49" s="13" t="s">
        <v>38</v>
      </c>
      <c r="C49" s="11" t="s">
        <v>215</v>
      </c>
      <c r="D49" s="13" t="s">
        <v>296</v>
      </c>
      <c r="E49" s="13" t="s">
        <v>316</v>
      </c>
      <c r="F49" s="12">
        <v>0</v>
      </c>
      <c r="G49" s="11" t="s">
        <v>337</v>
      </c>
    </row>
    <row r="50" spans="1:7" x14ac:dyDescent="0.3">
      <c r="A50" s="20">
        <v>30</v>
      </c>
      <c r="B50" s="13" t="s">
        <v>38</v>
      </c>
      <c r="C50" s="11" t="s">
        <v>215</v>
      </c>
      <c r="D50" s="13" t="s">
        <v>328</v>
      </c>
      <c r="E50" s="11" t="s">
        <v>113</v>
      </c>
      <c r="F50" s="14">
        <v>106</v>
      </c>
      <c r="G50" s="11" t="s">
        <v>337</v>
      </c>
    </row>
    <row r="51" spans="1:7" x14ac:dyDescent="0.3">
      <c r="A51" s="20">
        <v>31</v>
      </c>
      <c r="B51" s="11" t="s">
        <v>38</v>
      </c>
      <c r="C51" s="11" t="s">
        <v>215</v>
      </c>
      <c r="D51" s="11" t="s">
        <v>138</v>
      </c>
      <c r="E51" s="13" t="s">
        <v>316</v>
      </c>
      <c r="F51" s="12">
        <v>0</v>
      </c>
      <c r="G51" s="11" t="s">
        <v>337</v>
      </c>
    </row>
    <row r="52" spans="1:7" x14ac:dyDescent="0.3">
      <c r="A52" s="20">
        <v>32</v>
      </c>
      <c r="B52" s="11" t="s">
        <v>38</v>
      </c>
      <c r="C52" s="11" t="s">
        <v>215</v>
      </c>
      <c r="D52" s="11" t="s">
        <v>299</v>
      </c>
      <c r="E52" s="11" t="s">
        <v>316</v>
      </c>
      <c r="F52" s="14">
        <v>0</v>
      </c>
      <c r="G52" s="11" t="s">
        <v>337</v>
      </c>
    </row>
    <row r="53" spans="1:7" x14ac:dyDescent="0.3">
      <c r="A53" s="20">
        <v>33</v>
      </c>
      <c r="B53" s="11" t="s">
        <v>38</v>
      </c>
      <c r="C53" s="11" t="s">
        <v>215</v>
      </c>
      <c r="D53" s="11" t="s">
        <v>329</v>
      </c>
      <c r="E53" s="11" t="s">
        <v>316</v>
      </c>
      <c r="F53" s="14">
        <v>0</v>
      </c>
      <c r="G53" s="11" t="s">
        <v>337</v>
      </c>
    </row>
    <row r="54" spans="1:7" x14ac:dyDescent="0.3">
      <c r="A54" s="20">
        <v>34</v>
      </c>
      <c r="B54" s="11" t="s">
        <v>38</v>
      </c>
      <c r="C54" s="11" t="s">
        <v>215</v>
      </c>
      <c r="D54" s="11" t="s">
        <v>330</v>
      </c>
      <c r="E54" s="11" t="s">
        <v>316</v>
      </c>
      <c r="F54" s="14">
        <v>0</v>
      </c>
      <c r="G54" s="11" t="s">
        <v>337</v>
      </c>
    </row>
    <row r="55" spans="1:7" x14ac:dyDescent="0.3">
      <c r="A55" s="20">
        <v>35</v>
      </c>
      <c r="B55" s="11" t="s">
        <v>38</v>
      </c>
      <c r="C55" s="11" t="s">
        <v>215</v>
      </c>
      <c r="D55" s="11" t="s">
        <v>220</v>
      </c>
      <c r="E55" s="13" t="s">
        <v>113</v>
      </c>
      <c r="F55" s="14">
        <v>2</v>
      </c>
      <c r="G55" s="11" t="s">
        <v>337</v>
      </c>
    </row>
    <row r="56" spans="1:7" x14ac:dyDescent="0.3">
      <c r="A56" s="20">
        <v>36</v>
      </c>
      <c r="B56" s="11" t="s">
        <v>38</v>
      </c>
      <c r="C56" s="11" t="s">
        <v>215</v>
      </c>
      <c r="D56" s="11" t="s">
        <v>87</v>
      </c>
      <c r="E56" s="13" t="s">
        <v>316</v>
      </c>
      <c r="F56" s="12">
        <v>0</v>
      </c>
      <c r="G56" s="11" t="s">
        <v>337</v>
      </c>
    </row>
    <row r="57" spans="1:7" x14ac:dyDescent="0.3">
      <c r="A57" s="20">
        <v>37</v>
      </c>
      <c r="B57" s="11" t="s">
        <v>38</v>
      </c>
      <c r="C57" s="11" t="s">
        <v>215</v>
      </c>
      <c r="D57" s="28" t="s">
        <v>240</v>
      </c>
      <c r="E57" s="29" t="s">
        <v>316</v>
      </c>
      <c r="F57" s="12">
        <v>0</v>
      </c>
      <c r="G57" s="11" t="s">
        <v>337</v>
      </c>
    </row>
    <row r="58" spans="1:7" x14ac:dyDescent="0.3">
      <c r="A58" s="20">
        <v>38</v>
      </c>
      <c r="B58" s="11" t="s">
        <v>38</v>
      </c>
      <c r="C58" s="11" t="s">
        <v>215</v>
      </c>
      <c r="D58" s="11" t="s">
        <v>141</v>
      </c>
      <c r="E58" s="11" t="s">
        <v>113</v>
      </c>
      <c r="F58" s="14">
        <v>9</v>
      </c>
      <c r="G58" s="11" t="s">
        <v>337</v>
      </c>
    </row>
    <row r="59" spans="1:7" x14ac:dyDescent="0.3">
      <c r="A59" s="20">
        <v>39</v>
      </c>
      <c r="B59" s="11" t="s">
        <v>38</v>
      </c>
      <c r="C59" s="11" t="s">
        <v>215</v>
      </c>
      <c r="D59" s="11" t="s">
        <v>322</v>
      </c>
      <c r="E59" s="11" t="s">
        <v>113</v>
      </c>
      <c r="F59" s="14">
        <v>6</v>
      </c>
      <c r="G59" s="11" t="s">
        <v>337</v>
      </c>
    </row>
    <row r="60" spans="1:7" x14ac:dyDescent="0.3">
      <c r="A60" s="20">
        <v>40</v>
      </c>
      <c r="B60" s="11" t="s">
        <v>38</v>
      </c>
      <c r="C60" s="11" t="s">
        <v>215</v>
      </c>
      <c r="D60" s="11" t="s">
        <v>116</v>
      </c>
      <c r="E60" s="11" t="s">
        <v>113</v>
      </c>
      <c r="F60" s="14">
        <v>2</v>
      </c>
      <c r="G60" s="11" t="s">
        <v>339</v>
      </c>
    </row>
    <row r="61" spans="1:7" x14ac:dyDescent="0.3">
      <c r="A61" s="19" t="s">
        <v>155</v>
      </c>
      <c r="B61" s="15"/>
      <c r="C61" s="15"/>
      <c r="D61" s="15" t="s">
        <v>216</v>
      </c>
      <c r="E61" s="15"/>
      <c r="F61" s="16">
        <f>SUM(F62:F90)</f>
        <v>289</v>
      </c>
      <c r="G61" s="15"/>
    </row>
    <row r="62" spans="1:7" x14ac:dyDescent="0.3">
      <c r="A62" s="20">
        <v>1</v>
      </c>
      <c r="B62" s="11" t="s">
        <v>38</v>
      </c>
      <c r="C62" s="11" t="s">
        <v>216</v>
      </c>
      <c r="D62" s="11" t="s">
        <v>143</v>
      </c>
      <c r="E62" s="13" t="s">
        <v>316</v>
      </c>
      <c r="F62" s="12">
        <v>0</v>
      </c>
      <c r="G62" s="13" t="s">
        <v>337</v>
      </c>
    </row>
    <row r="63" spans="1:7" x14ac:dyDescent="0.3">
      <c r="A63" s="20">
        <v>2</v>
      </c>
      <c r="B63" s="11" t="s">
        <v>38</v>
      </c>
      <c r="C63" s="11" t="s">
        <v>216</v>
      </c>
      <c r="D63" s="11" t="s">
        <v>56</v>
      </c>
      <c r="E63" s="11" t="s">
        <v>113</v>
      </c>
      <c r="F63" s="12">
        <v>53</v>
      </c>
      <c r="G63" s="13" t="s">
        <v>337</v>
      </c>
    </row>
    <row r="64" spans="1:7" x14ac:dyDescent="0.3">
      <c r="A64" s="20">
        <v>3</v>
      </c>
      <c r="B64" s="13" t="s">
        <v>38</v>
      </c>
      <c r="C64" s="11" t="s">
        <v>216</v>
      </c>
      <c r="D64" s="13" t="s">
        <v>300</v>
      </c>
      <c r="E64" s="11" t="s">
        <v>113</v>
      </c>
      <c r="F64" s="14">
        <v>94</v>
      </c>
      <c r="G64" s="13" t="s">
        <v>337</v>
      </c>
    </row>
    <row r="65" spans="1:7" x14ac:dyDescent="0.3">
      <c r="A65" s="20">
        <v>4</v>
      </c>
      <c r="B65" s="13" t="s">
        <v>38</v>
      </c>
      <c r="C65" s="11" t="s">
        <v>216</v>
      </c>
      <c r="D65" s="13" t="s">
        <v>104</v>
      </c>
      <c r="E65" s="13" t="s">
        <v>316</v>
      </c>
      <c r="F65" s="12">
        <v>0</v>
      </c>
      <c r="G65" s="13" t="s">
        <v>337</v>
      </c>
    </row>
    <row r="66" spans="1:7" x14ac:dyDescent="0.3">
      <c r="A66" s="20">
        <v>5</v>
      </c>
      <c r="B66" s="13" t="s">
        <v>38</v>
      </c>
      <c r="C66" s="11" t="s">
        <v>216</v>
      </c>
      <c r="D66" s="13" t="s">
        <v>90</v>
      </c>
      <c r="E66" s="13" t="s">
        <v>316</v>
      </c>
      <c r="F66" s="12">
        <v>0</v>
      </c>
      <c r="G66" s="13" t="s">
        <v>337</v>
      </c>
    </row>
    <row r="67" spans="1:7" x14ac:dyDescent="0.3">
      <c r="A67" s="20">
        <v>6</v>
      </c>
      <c r="B67" s="13" t="s">
        <v>38</v>
      </c>
      <c r="C67" s="11" t="s">
        <v>216</v>
      </c>
      <c r="D67" s="13" t="s">
        <v>149</v>
      </c>
      <c r="E67" s="13" t="s">
        <v>316</v>
      </c>
      <c r="F67" s="12">
        <v>0</v>
      </c>
      <c r="G67" s="13" t="s">
        <v>337</v>
      </c>
    </row>
    <row r="68" spans="1:7" x14ac:dyDescent="0.3">
      <c r="A68" s="20">
        <v>7</v>
      </c>
      <c r="B68" s="13" t="s">
        <v>38</v>
      </c>
      <c r="C68" s="11" t="s">
        <v>216</v>
      </c>
      <c r="D68" s="13" t="s">
        <v>150</v>
      </c>
      <c r="E68" s="13" t="s">
        <v>316</v>
      </c>
      <c r="F68" s="12">
        <v>0</v>
      </c>
      <c r="G68" s="13" t="s">
        <v>337</v>
      </c>
    </row>
    <row r="69" spans="1:7" x14ac:dyDescent="0.3">
      <c r="A69" s="20">
        <v>8</v>
      </c>
      <c r="B69" s="13" t="s">
        <v>38</v>
      </c>
      <c r="C69" s="11" t="s">
        <v>216</v>
      </c>
      <c r="D69" s="13" t="s">
        <v>151</v>
      </c>
      <c r="E69" s="13" t="s">
        <v>316</v>
      </c>
      <c r="F69" s="12">
        <v>0</v>
      </c>
      <c r="G69" s="13" t="s">
        <v>337</v>
      </c>
    </row>
    <row r="70" spans="1:7" x14ac:dyDescent="0.3">
      <c r="A70" s="20">
        <v>9</v>
      </c>
      <c r="B70" s="13" t="s">
        <v>38</v>
      </c>
      <c r="C70" s="11" t="s">
        <v>216</v>
      </c>
      <c r="D70" s="13" t="s">
        <v>152</v>
      </c>
      <c r="E70" s="13" t="s">
        <v>316</v>
      </c>
      <c r="F70" s="12">
        <v>0</v>
      </c>
      <c r="G70" s="13" t="s">
        <v>337</v>
      </c>
    </row>
    <row r="71" spans="1:7" x14ac:dyDescent="0.3">
      <c r="A71" s="20">
        <v>10</v>
      </c>
      <c r="B71" s="13" t="s">
        <v>38</v>
      </c>
      <c r="C71" s="11" t="s">
        <v>216</v>
      </c>
      <c r="D71" s="13" t="s">
        <v>327</v>
      </c>
      <c r="E71" s="13" t="s">
        <v>316</v>
      </c>
      <c r="F71" s="12">
        <v>0</v>
      </c>
      <c r="G71" s="13" t="s">
        <v>337</v>
      </c>
    </row>
    <row r="72" spans="1:7" x14ac:dyDescent="0.3">
      <c r="A72" s="20">
        <v>11</v>
      </c>
      <c r="B72" s="11" t="s">
        <v>38</v>
      </c>
      <c r="C72" s="11" t="s">
        <v>216</v>
      </c>
      <c r="D72" s="11" t="s">
        <v>153</v>
      </c>
      <c r="E72" s="13" t="s">
        <v>316</v>
      </c>
      <c r="F72" s="12">
        <v>0</v>
      </c>
      <c r="G72" s="13" t="s">
        <v>337</v>
      </c>
    </row>
    <row r="73" spans="1:7" x14ac:dyDescent="0.3">
      <c r="A73" s="20">
        <v>12</v>
      </c>
      <c r="B73" s="13" t="s">
        <v>38</v>
      </c>
      <c r="C73" s="11" t="s">
        <v>216</v>
      </c>
      <c r="D73" s="13" t="s">
        <v>154</v>
      </c>
      <c r="E73" s="13" t="s">
        <v>113</v>
      </c>
      <c r="F73" s="14">
        <v>2</v>
      </c>
      <c r="G73" s="13" t="s">
        <v>337</v>
      </c>
    </row>
    <row r="74" spans="1:7" x14ac:dyDescent="0.3">
      <c r="A74" s="20">
        <v>13</v>
      </c>
      <c r="B74" s="13" t="s">
        <v>38</v>
      </c>
      <c r="C74" s="11" t="s">
        <v>216</v>
      </c>
      <c r="D74" s="13" t="s">
        <v>115</v>
      </c>
      <c r="E74" s="11" t="s">
        <v>316</v>
      </c>
      <c r="F74" s="12">
        <v>0</v>
      </c>
      <c r="G74" s="13" t="s">
        <v>337</v>
      </c>
    </row>
    <row r="75" spans="1:7" x14ac:dyDescent="0.3">
      <c r="A75" s="20">
        <v>14</v>
      </c>
      <c r="B75" s="13" t="s">
        <v>38</v>
      </c>
      <c r="C75" s="11" t="s">
        <v>216</v>
      </c>
      <c r="D75" s="13" t="s">
        <v>58</v>
      </c>
      <c r="E75" s="13" t="s">
        <v>316</v>
      </c>
      <c r="F75" s="12">
        <v>0</v>
      </c>
      <c r="G75" s="13" t="s">
        <v>337</v>
      </c>
    </row>
    <row r="76" spans="1:7" x14ac:dyDescent="0.3">
      <c r="A76" s="20">
        <v>15</v>
      </c>
      <c r="B76" s="13" t="s">
        <v>38</v>
      </c>
      <c r="C76" s="11" t="s">
        <v>216</v>
      </c>
      <c r="D76" s="13" t="s">
        <v>331</v>
      </c>
      <c r="E76" s="13" t="s">
        <v>316</v>
      </c>
      <c r="F76" s="12">
        <v>0</v>
      </c>
      <c r="G76" s="13" t="s">
        <v>337</v>
      </c>
    </row>
    <row r="77" spans="1:7" x14ac:dyDescent="0.3">
      <c r="A77" s="20">
        <v>16</v>
      </c>
      <c r="B77" s="13" t="s">
        <v>38</v>
      </c>
      <c r="C77" s="11" t="s">
        <v>216</v>
      </c>
      <c r="D77" s="13" t="s">
        <v>236</v>
      </c>
      <c r="E77" s="11" t="s">
        <v>316</v>
      </c>
      <c r="F77" s="12">
        <v>0</v>
      </c>
      <c r="G77" s="13" t="s">
        <v>337</v>
      </c>
    </row>
    <row r="78" spans="1:7" x14ac:dyDescent="0.3">
      <c r="A78" s="20">
        <v>17</v>
      </c>
      <c r="B78" s="13" t="s">
        <v>38</v>
      </c>
      <c r="C78" s="11" t="s">
        <v>216</v>
      </c>
      <c r="D78" s="13" t="s">
        <v>237</v>
      </c>
      <c r="E78" s="13" t="s">
        <v>316</v>
      </c>
      <c r="F78" s="12">
        <v>0</v>
      </c>
      <c r="G78" s="13" t="s">
        <v>337</v>
      </c>
    </row>
    <row r="79" spans="1:7" x14ac:dyDescent="0.3">
      <c r="A79" s="20">
        <v>18</v>
      </c>
      <c r="B79" s="13" t="s">
        <v>38</v>
      </c>
      <c r="C79" s="11" t="s">
        <v>216</v>
      </c>
      <c r="D79" s="13" t="s">
        <v>238</v>
      </c>
      <c r="E79" s="13" t="s">
        <v>316</v>
      </c>
      <c r="F79" s="12">
        <v>0</v>
      </c>
      <c r="G79" s="13" t="s">
        <v>337</v>
      </c>
    </row>
    <row r="80" spans="1:7" x14ac:dyDescent="0.3">
      <c r="A80" s="20">
        <v>19</v>
      </c>
      <c r="B80" s="13" t="s">
        <v>38</v>
      </c>
      <c r="C80" s="11" t="s">
        <v>216</v>
      </c>
      <c r="D80" s="13" t="s">
        <v>313</v>
      </c>
      <c r="E80" s="13" t="s">
        <v>316</v>
      </c>
      <c r="F80" s="12">
        <v>0</v>
      </c>
      <c r="G80" s="13" t="s">
        <v>337</v>
      </c>
    </row>
    <row r="81" spans="1:7" x14ac:dyDescent="0.3">
      <c r="A81" s="20">
        <v>20</v>
      </c>
      <c r="B81" s="13" t="s">
        <v>38</v>
      </c>
      <c r="C81" s="11" t="s">
        <v>216</v>
      </c>
      <c r="D81" s="13" t="s">
        <v>239</v>
      </c>
      <c r="E81" s="13" t="s">
        <v>316</v>
      </c>
      <c r="F81" s="12">
        <v>0</v>
      </c>
      <c r="G81" s="13" t="s">
        <v>337</v>
      </c>
    </row>
    <row r="82" spans="1:7" x14ac:dyDescent="0.3">
      <c r="A82" s="20">
        <v>21</v>
      </c>
      <c r="B82" s="13" t="s">
        <v>38</v>
      </c>
      <c r="C82" s="11" t="s">
        <v>216</v>
      </c>
      <c r="D82" s="13" t="s">
        <v>108</v>
      </c>
      <c r="E82" s="13" t="s">
        <v>316</v>
      </c>
      <c r="F82" s="12">
        <v>0</v>
      </c>
      <c r="G82" s="13" t="s">
        <v>337</v>
      </c>
    </row>
    <row r="83" spans="1:7" x14ac:dyDescent="0.3">
      <c r="A83" s="20">
        <v>22</v>
      </c>
      <c r="B83" s="13" t="s">
        <v>38</v>
      </c>
      <c r="C83" s="11" t="s">
        <v>216</v>
      </c>
      <c r="D83" s="13" t="s">
        <v>241</v>
      </c>
      <c r="E83" s="13" t="s">
        <v>316</v>
      </c>
      <c r="F83" s="12">
        <v>0</v>
      </c>
      <c r="G83" s="13" t="s">
        <v>337</v>
      </c>
    </row>
    <row r="84" spans="1:7" x14ac:dyDescent="0.3">
      <c r="A84" s="20">
        <v>23</v>
      </c>
      <c r="B84" s="13" t="s">
        <v>38</v>
      </c>
      <c r="C84" s="11" t="s">
        <v>216</v>
      </c>
      <c r="D84" s="13" t="s">
        <v>242</v>
      </c>
      <c r="E84" s="13" t="s">
        <v>316</v>
      </c>
      <c r="F84" s="12">
        <v>0</v>
      </c>
      <c r="G84" s="13" t="s">
        <v>337</v>
      </c>
    </row>
    <row r="85" spans="1:7" x14ac:dyDescent="0.3">
      <c r="A85" s="20">
        <v>24</v>
      </c>
      <c r="B85" s="13" t="s">
        <v>38</v>
      </c>
      <c r="C85" s="11" t="s">
        <v>216</v>
      </c>
      <c r="D85" s="13" t="s">
        <v>243</v>
      </c>
      <c r="E85" s="13" t="s">
        <v>316</v>
      </c>
      <c r="F85" s="12">
        <v>0</v>
      </c>
      <c r="G85" s="13" t="s">
        <v>337</v>
      </c>
    </row>
    <row r="86" spans="1:7" x14ac:dyDescent="0.3">
      <c r="A86" s="20">
        <v>25</v>
      </c>
      <c r="B86" s="13" t="s">
        <v>38</v>
      </c>
      <c r="C86" s="11" t="s">
        <v>216</v>
      </c>
      <c r="D86" s="13" t="s">
        <v>324</v>
      </c>
      <c r="E86" s="11" t="s">
        <v>316</v>
      </c>
      <c r="F86" s="12">
        <v>0</v>
      </c>
      <c r="G86" s="13" t="s">
        <v>337</v>
      </c>
    </row>
    <row r="87" spans="1:7" x14ac:dyDescent="0.3">
      <c r="A87" s="20">
        <v>26</v>
      </c>
      <c r="B87" s="13" t="s">
        <v>38</v>
      </c>
      <c r="C87" s="11" t="s">
        <v>216</v>
      </c>
      <c r="D87" s="13" t="s">
        <v>293</v>
      </c>
      <c r="E87" s="11" t="s">
        <v>316</v>
      </c>
      <c r="F87" s="12">
        <v>0</v>
      </c>
      <c r="G87" s="13" t="s">
        <v>337</v>
      </c>
    </row>
    <row r="88" spans="1:7" x14ac:dyDescent="0.3">
      <c r="A88" s="20">
        <v>27</v>
      </c>
      <c r="B88" s="13" t="s">
        <v>38</v>
      </c>
      <c r="C88" s="11" t="s">
        <v>216</v>
      </c>
      <c r="D88" s="13" t="s">
        <v>297</v>
      </c>
      <c r="E88" s="13" t="s">
        <v>113</v>
      </c>
      <c r="F88" s="14">
        <v>16</v>
      </c>
      <c r="G88" s="13" t="s">
        <v>336</v>
      </c>
    </row>
    <row r="89" spans="1:7" x14ac:dyDescent="0.3">
      <c r="A89" s="20">
        <v>28</v>
      </c>
      <c r="B89" s="13" t="s">
        <v>38</v>
      </c>
      <c r="C89" s="11" t="s">
        <v>216</v>
      </c>
      <c r="D89" s="13" t="s">
        <v>298</v>
      </c>
      <c r="E89" s="13" t="s">
        <v>113</v>
      </c>
      <c r="F89" s="14">
        <v>39</v>
      </c>
      <c r="G89" s="13" t="s">
        <v>336</v>
      </c>
    </row>
    <row r="90" spans="1:7" x14ac:dyDescent="0.3">
      <c r="A90" s="20">
        <v>29</v>
      </c>
      <c r="B90" s="11" t="s">
        <v>38</v>
      </c>
      <c r="C90" s="11" t="s">
        <v>216</v>
      </c>
      <c r="D90" s="11" t="s">
        <v>317</v>
      </c>
      <c r="E90" s="11" t="s">
        <v>113</v>
      </c>
      <c r="F90" s="14">
        <v>85</v>
      </c>
      <c r="G90" s="13" t="s">
        <v>336</v>
      </c>
    </row>
    <row r="91" spans="1:7" x14ac:dyDescent="0.3">
      <c r="A91" s="19" t="s">
        <v>158</v>
      </c>
      <c r="B91" s="15"/>
      <c r="C91" s="15"/>
      <c r="D91" s="15" t="s">
        <v>301</v>
      </c>
      <c r="E91" s="15"/>
      <c r="F91" s="16">
        <f>SUM(F92:F94)</f>
        <v>1</v>
      </c>
      <c r="G91" s="15"/>
    </row>
    <row r="92" spans="1:7" x14ac:dyDescent="0.3">
      <c r="A92" s="20">
        <v>1</v>
      </c>
      <c r="B92" s="11" t="s">
        <v>38</v>
      </c>
      <c r="C92" s="11" t="s">
        <v>301</v>
      </c>
      <c r="D92" s="11" t="s">
        <v>302</v>
      </c>
      <c r="E92" s="13" t="s">
        <v>316</v>
      </c>
      <c r="F92" s="12">
        <v>0</v>
      </c>
      <c r="G92" s="13" t="s">
        <v>337</v>
      </c>
    </row>
    <row r="93" spans="1:7" x14ac:dyDescent="0.3">
      <c r="A93" s="20">
        <v>2</v>
      </c>
      <c r="B93" s="11" t="s">
        <v>38</v>
      </c>
      <c r="C93" s="11" t="s">
        <v>301</v>
      </c>
      <c r="D93" s="11" t="s">
        <v>303</v>
      </c>
      <c r="E93" s="13" t="s">
        <v>316</v>
      </c>
      <c r="F93" s="12">
        <v>0</v>
      </c>
      <c r="G93" s="13" t="s">
        <v>337</v>
      </c>
    </row>
    <row r="94" spans="1:7" x14ac:dyDescent="0.3">
      <c r="A94" s="20">
        <v>3</v>
      </c>
      <c r="B94" s="11" t="s">
        <v>38</v>
      </c>
      <c r="C94" s="11" t="s">
        <v>301</v>
      </c>
      <c r="D94" s="11" t="s">
        <v>304</v>
      </c>
      <c r="E94" s="13" t="s">
        <v>113</v>
      </c>
      <c r="F94" s="12">
        <v>1</v>
      </c>
      <c r="G94" s="13" t="s">
        <v>337</v>
      </c>
    </row>
    <row r="95" spans="1:7" x14ac:dyDescent="0.3">
      <c r="A95" s="19" t="s">
        <v>203</v>
      </c>
      <c r="B95" s="15"/>
      <c r="C95" s="15"/>
      <c r="D95" s="15" t="s">
        <v>156</v>
      </c>
      <c r="E95" s="15"/>
      <c r="F95" s="16">
        <f>SUM(F96:F100)</f>
        <v>107</v>
      </c>
      <c r="G95" s="15"/>
    </row>
    <row r="96" spans="1:7" x14ac:dyDescent="0.3">
      <c r="A96" s="20">
        <v>1</v>
      </c>
      <c r="B96" s="11" t="s">
        <v>38</v>
      </c>
      <c r="C96" s="11" t="s">
        <v>156</v>
      </c>
      <c r="D96" s="11" t="s">
        <v>48</v>
      </c>
      <c r="E96" s="11" t="s">
        <v>113</v>
      </c>
      <c r="F96" s="12">
        <v>22</v>
      </c>
      <c r="G96" s="11" t="s">
        <v>336</v>
      </c>
    </row>
    <row r="97" spans="1:7" x14ac:dyDescent="0.3">
      <c r="A97" s="20">
        <v>2</v>
      </c>
      <c r="B97" s="11" t="s">
        <v>38</v>
      </c>
      <c r="C97" s="11" t="s">
        <v>156</v>
      </c>
      <c r="D97" s="11" t="s">
        <v>118</v>
      </c>
      <c r="E97" s="11" t="s">
        <v>113</v>
      </c>
      <c r="F97" s="12">
        <v>67</v>
      </c>
      <c r="G97" s="11" t="s">
        <v>336</v>
      </c>
    </row>
    <row r="98" spans="1:7" x14ac:dyDescent="0.3">
      <c r="A98" s="20">
        <v>3</v>
      </c>
      <c r="B98" s="11" t="s">
        <v>38</v>
      </c>
      <c r="C98" s="11" t="s">
        <v>156</v>
      </c>
      <c r="D98" s="11" t="s">
        <v>157</v>
      </c>
      <c r="E98" s="13" t="s">
        <v>316</v>
      </c>
      <c r="F98" s="12">
        <v>0</v>
      </c>
      <c r="G98" s="11" t="s">
        <v>336</v>
      </c>
    </row>
    <row r="99" spans="1:7" x14ac:dyDescent="0.3">
      <c r="A99" s="20">
        <v>4</v>
      </c>
      <c r="B99" s="11" t="s">
        <v>38</v>
      </c>
      <c r="C99" s="11" t="s">
        <v>156</v>
      </c>
      <c r="D99" s="11" t="s">
        <v>84</v>
      </c>
      <c r="E99" s="11" t="s">
        <v>113</v>
      </c>
      <c r="F99" s="12">
        <v>18</v>
      </c>
      <c r="G99" s="11" t="s">
        <v>336</v>
      </c>
    </row>
    <row r="100" spans="1:7" x14ac:dyDescent="0.3">
      <c r="A100" s="20">
        <v>5</v>
      </c>
      <c r="B100" s="11" t="s">
        <v>38</v>
      </c>
      <c r="C100" s="11" t="s">
        <v>156</v>
      </c>
      <c r="D100" s="11" t="s">
        <v>244</v>
      </c>
      <c r="E100" s="13" t="s">
        <v>316</v>
      </c>
      <c r="F100" s="12">
        <v>0</v>
      </c>
      <c r="G100" s="11" t="s">
        <v>336</v>
      </c>
    </row>
    <row r="101" spans="1:7" x14ac:dyDescent="0.3">
      <c r="A101" s="19" t="s">
        <v>305</v>
      </c>
      <c r="B101" s="15"/>
      <c r="C101" s="15"/>
      <c r="D101" s="15" t="s">
        <v>76</v>
      </c>
      <c r="E101" s="15"/>
      <c r="F101" s="16">
        <f>SUM(F102:F123)</f>
        <v>305</v>
      </c>
      <c r="G101" s="15"/>
    </row>
    <row r="102" spans="1:7" x14ac:dyDescent="0.3">
      <c r="A102" s="20">
        <v>1</v>
      </c>
      <c r="B102" s="11" t="s">
        <v>38</v>
      </c>
      <c r="C102" s="11" t="s">
        <v>76</v>
      </c>
      <c r="D102" s="11" t="s">
        <v>72</v>
      </c>
      <c r="E102" s="11" t="s">
        <v>113</v>
      </c>
      <c r="F102" s="14">
        <v>9</v>
      </c>
      <c r="G102" s="11" t="s">
        <v>339</v>
      </c>
    </row>
    <row r="103" spans="1:7" x14ac:dyDescent="0.3">
      <c r="A103" s="20">
        <v>2</v>
      </c>
      <c r="B103" s="11" t="s">
        <v>38</v>
      </c>
      <c r="C103" s="11" t="s">
        <v>76</v>
      </c>
      <c r="D103" s="11" t="s">
        <v>306</v>
      </c>
      <c r="E103" s="11" t="s">
        <v>316</v>
      </c>
      <c r="F103" s="14">
        <v>0</v>
      </c>
      <c r="G103" s="11" t="s">
        <v>339</v>
      </c>
    </row>
    <row r="104" spans="1:7" x14ac:dyDescent="0.3">
      <c r="A104" s="20">
        <v>3</v>
      </c>
      <c r="B104" s="11" t="s">
        <v>38</v>
      </c>
      <c r="C104" s="11" t="s">
        <v>76</v>
      </c>
      <c r="D104" s="11" t="s">
        <v>18</v>
      </c>
      <c r="E104" s="11" t="s">
        <v>113</v>
      </c>
      <c r="F104" s="12">
        <v>88</v>
      </c>
      <c r="G104" s="11" t="s">
        <v>338</v>
      </c>
    </row>
    <row r="105" spans="1:7" x14ac:dyDescent="0.3">
      <c r="A105" s="20">
        <v>4</v>
      </c>
      <c r="B105" s="13" t="s">
        <v>38</v>
      </c>
      <c r="C105" s="11" t="s">
        <v>76</v>
      </c>
      <c r="D105" s="13" t="s">
        <v>82</v>
      </c>
      <c r="E105" s="13" t="s">
        <v>316</v>
      </c>
      <c r="F105" s="12">
        <v>0</v>
      </c>
      <c r="G105" s="11" t="s">
        <v>338</v>
      </c>
    </row>
    <row r="106" spans="1:7" x14ac:dyDescent="0.3">
      <c r="A106" s="20">
        <v>5</v>
      </c>
      <c r="B106" s="11" t="s">
        <v>38</v>
      </c>
      <c r="C106" s="11" t="s">
        <v>76</v>
      </c>
      <c r="D106" s="11" t="s">
        <v>35</v>
      </c>
      <c r="E106" s="11" t="s">
        <v>113</v>
      </c>
      <c r="F106" s="12">
        <v>17</v>
      </c>
      <c r="G106" s="11" t="s">
        <v>339</v>
      </c>
    </row>
    <row r="107" spans="1:7" x14ac:dyDescent="0.3">
      <c r="A107" s="20">
        <v>6</v>
      </c>
      <c r="B107" s="13" t="s">
        <v>38</v>
      </c>
      <c r="C107" s="11" t="s">
        <v>76</v>
      </c>
      <c r="D107" s="13" t="s">
        <v>43</v>
      </c>
      <c r="E107" s="11" t="s">
        <v>316</v>
      </c>
      <c r="F107" s="12">
        <v>0</v>
      </c>
      <c r="G107" s="11" t="s">
        <v>339</v>
      </c>
    </row>
    <row r="108" spans="1:7" x14ac:dyDescent="0.3">
      <c r="A108" s="20">
        <v>7</v>
      </c>
      <c r="B108" s="11" t="s">
        <v>38</v>
      </c>
      <c r="C108" s="11" t="s">
        <v>76</v>
      </c>
      <c r="D108" s="11" t="s">
        <v>78</v>
      </c>
      <c r="E108" s="11" t="s">
        <v>113</v>
      </c>
      <c r="F108" s="12">
        <v>21</v>
      </c>
      <c r="G108" s="11" t="s">
        <v>338</v>
      </c>
    </row>
    <row r="109" spans="1:7" x14ac:dyDescent="0.3">
      <c r="A109" s="20">
        <v>8</v>
      </c>
      <c r="B109" s="11" t="s">
        <v>38</v>
      </c>
      <c r="C109" s="11" t="s">
        <v>76</v>
      </c>
      <c r="D109" s="11" t="s">
        <v>97</v>
      </c>
      <c r="E109" s="11" t="s">
        <v>113</v>
      </c>
      <c r="F109" s="12">
        <v>107</v>
      </c>
      <c r="G109" s="11" t="s">
        <v>338</v>
      </c>
    </row>
    <row r="110" spans="1:7" x14ac:dyDescent="0.3">
      <c r="A110" s="20">
        <v>9</v>
      </c>
      <c r="B110" s="11" t="s">
        <v>38</v>
      </c>
      <c r="C110" s="11" t="s">
        <v>76</v>
      </c>
      <c r="D110" s="11" t="s">
        <v>109</v>
      </c>
      <c r="E110" s="11" t="s">
        <v>113</v>
      </c>
      <c r="F110" s="12">
        <v>19</v>
      </c>
      <c r="G110" s="11" t="s">
        <v>339</v>
      </c>
    </row>
    <row r="111" spans="1:7" x14ac:dyDescent="0.3">
      <c r="A111" s="20">
        <v>10</v>
      </c>
      <c r="B111" s="13" t="s">
        <v>38</v>
      </c>
      <c r="C111" s="11" t="s">
        <v>76</v>
      </c>
      <c r="D111" s="13" t="s">
        <v>198</v>
      </c>
      <c r="E111" s="13" t="s">
        <v>316</v>
      </c>
      <c r="F111" s="12">
        <v>0</v>
      </c>
      <c r="G111" s="11" t="s">
        <v>339</v>
      </c>
    </row>
    <row r="112" spans="1:7" x14ac:dyDescent="0.3">
      <c r="A112" s="20">
        <v>11</v>
      </c>
      <c r="B112" s="11" t="s">
        <v>38</v>
      </c>
      <c r="C112" s="11" t="s">
        <v>76</v>
      </c>
      <c r="D112" s="11" t="s">
        <v>98</v>
      </c>
      <c r="E112" s="11" t="s">
        <v>113</v>
      </c>
      <c r="F112" s="12">
        <v>24</v>
      </c>
      <c r="G112" s="11" t="s">
        <v>338</v>
      </c>
    </row>
    <row r="113" spans="1:7" x14ac:dyDescent="0.3">
      <c r="A113" s="20">
        <v>12</v>
      </c>
      <c r="B113" s="11" t="s">
        <v>38</v>
      </c>
      <c r="C113" s="11" t="s">
        <v>76</v>
      </c>
      <c r="D113" s="11" t="s">
        <v>119</v>
      </c>
      <c r="E113" s="11" t="s">
        <v>113</v>
      </c>
      <c r="F113" s="12">
        <v>7</v>
      </c>
      <c r="G113" s="11" t="s">
        <v>338</v>
      </c>
    </row>
    <row r="114" spans="1:7" x14ac:dyDescent="0.3">
      <c r="A114" s="20">
        <v>13</v>
      </c>
      <c r="B114" s="11" t="s">
        <v>38</v>
      </c>
      <c r="C114" s="11" t="s">
        <v>76</v>
      </c>
      <c r="D114" s="11" t="s">
        <v>160</v>
      </c>
      <c r="E114" s="13" t="s">
        <v>316</v>
      </c>
      <c r="F114" s="12">
        <v>0</v>
      </c>
      <c r="G114" s="11" t="s">
        <v>338</v>
      </c>
    </row>
    <row r="115" spans="1:7" x14ac:dyDescent="0.3">
      <c r="A115" s="20">
        <v>14</v>
      </c>
      <c r="B115" s="11" t="s">
        <v>38</v>
      </c>
      <c r="C115" s="11" t="s">
        <v>76</v>
      </c>
      <c r="D115" s="11" t="s">
        <v>161</v>
      </c>
      <c r="E115" s="13" t="s">
        <v>316</v>
      </c>
      <c r="F115" s="12">
        <v>0</v>
      </c>
      <c r="G115" s="11" t="s">
        <v>339</v>
      </c>
    </row>
    <row r="116" spans="1:7" x14ac:dyDescent="0.3">
      <c r="A116" s="20">
        <v>15</v>
      </c>
      <c r="B116" s="11" t="s">
        <v>38</v>
      </c>
      <c r="C116" s="11" t="s">
        <v>76</v>
      </c>
      <c r="D116" s="11" t="s">
        <v>77</v>
      </c>
      <c r="E116" s="13" t="s">
        <v>316</v>
      </c>
      <c r="F116" s="12">
        <v>0</v>
      </c>
      <c r="G116" s="11" t="s">
        <v>339</v>
      </c>
    </row>
    <row r="117" spans="1:7" x14ac:dyDescent="0.3">
      <c r="A117" s="20">
        <v>16</v>
      </c>
      <c r="B117" s="11" t="s">
        <v>38</v>
      </c>
      <c r="C117" s="11" t="s">
        <v>76</v>
      </c>
      <c r="D117" s="11" t="s">
        <v>159</v>
      </c>
      <c r="E117" s="13" t="s">
        <v>316</v>
      </c>
      <c r="F117" s="12">
        <v>0</v>
      </c>
      <c r="G117" s="11" t="s">
        <v>339</v>
      </c>
    </row>
    <row r="118" spans="1:7" x14ac:dyDescent="0.3">
      <c r="A118" s="20">
        <v>17</v>
      </c>
      <c r="B118" s="11" t="s">
        <v>38</v>
      </c>
      <c r="C118" s="11" t="s">
        <v>76</v>
      </c>
      <c r="D118" s="11" t="s">
        <v>162</v>
      </c>
      <c r="E118" s="13" t="s">
        <v>316</v>
      </c>
      <c r="F118" s="12">
        <v>0</v>
      </c>
      <c r="G118" s="11" t="s">
        <v>338</v>
      </c>
    </row>
    <row r="119" spans="1:7" x14ac:dyDescent="0.3">
      <c r="A119" s="20">
        <v>18</v>
      </c>
      <c r="B119" s="11" t="s">
        <v>38</v>
      </c>
      <c r="C119" s="11" t="s">
        <v>76</v>
      </c>
      <c r="D119" s="11" t="s">
        <v>163</v>
      </c>
      <c r="E119" s="13" t="s">
        <v>316</v>
      </c>
      <c r="F119" s="12">
        <v>0</v>
      </c>
      <c r="G119" s="11" t="s">
        <v>338</v>
      </c>
    </row>
    <row r="120" spans="1:7" x14ac:dyDescent="0.3">
      <c r="A120" s="20">
        <v>19</v>
      </c>
      <c r="B120" s="11" t="s">
        <v>38</v>
      </c>
      <c r="C120" s="11" t="s">
        <v>76</v>
      </c>
      <c r="D120" s="11" t="s">
        <v>245</v>
      </c>
      <c r="E120" s="11" t="s">
        <v>316</v>
      </c>
      <c r="F120" s="12">
        <v>0</v>
      </c>
      <c r="G120" s="11" t="s">
        <v>338</v>
      </c>
    </row>
    <row r="121" spans="1:7" x14ac:dyDescent="0.3">
      <c r="A121" s="20">
        <v>20</v>
      </c>
      <c r="B121" s="11" t="s">
        <v>38</v>
      </c>
      <c r="C121" s="11" t="s">
        <v>76</v>
      </c>
      <c r="D121" s="11" t="s">
        <v>288</v>
      </c>
      <c r="E121" s="11" t="s">
        <v>113</v>
      </c>
      <c r="F121" s="12">
        <v>7</v>
      </c>
      <c r="G121" s="11" t="s">
        <v>338</v>
      </c>
    </row>
    <row r="122" spans="1:7" x14ac:dyDescent="0.3">
      <c r="A122" s="20">
        <v>21</v>
      </c>
      <c r="B122" s="11" t="s">
        <v>38</v>
      </c>
      <c r="C122" s="11" t="s">
        <v>76</v>
      </c>
      <c r="D122" s="11" t="s">
        <v>289</v>
      </c>
      <c r="E122" s="11" t="s">
        <v>113</v>
      </c>
      <c r="F122" s="12">
        <v>5</v>
      </c>
      <c r="G122" s="11" t="s">
        <v>339</v>
      </c>
    </row>
    <row r="123" spans="1:7" x14ac:dyDescent="0.3">
      <c r="A123" s="20">
        <v>22</v>
      </c>
      <c r="B123" s="11" t="s">
        <v>38</v>
      </c>
      <c r="C123" s="11" t="s">
        <v>76</v>
      </c>
      <c r="D123" s="11" t="s">
        <v>332</v>
      </c>
      <c r="E123" s="11" t="s">
        <v>113</v>
      </c>
      <c r="F123" s="12">
        <v>1</v>
      </c>
      <c r="G123" s="11" t="s">
        <v>338</v>
      </c>
    </row>
    <row r="124" spans="1:7" x14ac:dyDescent="0.3">
      <c r="A124" s="17" t="s">
        <v>164</v>
      </c>
      <c r="B124" s="9"/>
      <c r="C124" s="9"/>
      <c r="D124" s="9" t="s">
        <v>41</v>
      </c>
      <c r="E124" s="9"/>
      <c r="F124" s="10">
        <f>SUM(F125:F164)</f>
        <v>1079</v>
      </c>
      <c r="G124" s="9"/>
    </row>
    <row r="125" spans="1:7" x14ac:dyDescent="0.3">
      <c r="A125" s="20">
        <v>1</v>
      </c>
      <c r="B125" s="11" t="s">
        <v>41</v>
      </c>
      <c r="C125" s="11" t="s">
        <v>222</v>
      </c>
      <c r="D125" s="11" t="s">
        <v>96</v>
      </c>
      <c r="E125" s="11" t="s">
        <v>113</v>
      </c>
      <c r="F125" s="12">
        <v>258</v>
      </c>
      <c r="G125" s="11" t="s">
        <v>336</v>
      </c>
    </row>
    <row r="126" spans="1:7" x14ac:dyDescent="0.3">
      <c r="A126" s="20">
        <v>2</v>
      </c>
      <c r="B126" s="11" t="s">
        <v>41</v>
      </c>
      <c r="C126" s="11" t="s">
        <v>222</v>
      </c>
      <c r="D126" s="11" t="s">
        <v>31</v>
      </c>
      <c r="E126" s="11" t="s">
        <v>113</v>
      </c>
      <c r="F126" s="12">
        <v>290</v>
      </c>
      <c r="G126" s="11" t="s">
        <v>336</v>
      </c>
    </row>
    <row r="127" spans="1:7" x14ac:dyDescent="0.3">
      <c r="A127" s="20">
        <v>3</v>
      </c>
      <c r="B127" s="11" t="s">
        <v>41</v>
      </c>
      <c r="C127" s="11" t="s">
        <v>222</v>
      </c>
      <c r="D127" s="11" t="s">
        <v>16</v>
      </c>
      <c r="E127" s="13" t="s">
        <v>316</v>
      </c>
      <c r="F127" s="12">
        <v>0</v>
      </c>
      <c r="G127" s="11" t="s">
        <v>336</v>
      </c>
    </row>
    <row r="128" spans="1:7" x14ac:dyDescent="0.3">
      <c r="A128" s="20">
        <v>4</v>
      </c>
      <c r="B128" s="11" t="s">
        <v>41</v>
      </c>
      <c r="C128" s="11" t="s">
        <v>222</v>
      </c>
      <c r="D128" s="11" t="s">
        <v>32</v>
      </c>
      <c r="E128" s="11" t="s">
        <v>113</v>
      </c>
      <c r="F128" s="12">
        <v>5</v>
      </c>
      <c r="G128" s="11" t="s">
        <v>336</v>
      </c>
    </row>
    <row r="129" spans="1:7" x14ac:dyDescent="0.3">
      <c r="A129" s="20">
        <v>5</v>
      </c>
      <c r="B129" s="11" t="s">
        <v>41</v>
      </c>
      <c r="C129" s="11" t="s">
        <v>222</v>
      </c>
      <c r="D129" s="11" t="s">
        <v>55</v>
      </c>
      <c r="E129" s="13" t="s">
        <v>316</v>
      </c>
      <c r="F129" s="12">
        <v>0</v>
      </c>
      <c r="G129" s="11" t="s">
        <v>336</v>
      </c>
    </row>
    <row r="130" spans="1:7" x14ac:dyDescent="0.3">
      <c r="A130" s="20">
        <v>6</v>
      </c>
      <c r="B130" s="11" t="s">
        <v>41</v>
      </c>
      <c r="C130" s="11" t="s">
        <v>222</v>
      </c>
      <c r="D130" s="11" t="s">
        <v>121</v>
      </c>
      <c r="E130" s="13" t="s">
        <v>316</v>
      </c>
      <c r="F130" s="12">
        <v>0</v>
      </c>
      <c r="G130" s="11" t="s">
        <v>336</v>
      </c>
    </row>
    <row r="131" spans="1:7" x14ac:dyDescent="0.3">
      <c r="A131" s="20">
        <v>7</v>
      </c>
      <c r="B131" s="13" t="s">
        <v>41</v>
      </c>
      <c r="C131" s="11" t="s">
        <v>222</v>
      </c>
      <c r="D131" s="13" t="s">
        <v>144</v>
      </c>
      <c r="E131" s="13" t="s">
        <v>113</v>
      </c>
      <c r="F131" s="12">
        <v>9</v>
      </c>
      <c r="G131" s="11" t="s">
        <v>336</v>
      </c>
    </row>
    <row r="132" spans="1:7" x14ac:dyDescent="0.3">
      <c r="A132" s="20">
        <v>8</v>
      </c>
      <c r="B132" s="13" t="s">
        <v>41</v>
      </c>
      <c r="C132" s="11" t="s">
        <v>222</v>
      </c>
      <c r="D132" s="13" t="s">
        <v>120</v>
      </c>
      <c r="E132" s="13" t="s">
        <v>316</v>
      </c>
      <c r="F132" s="12">
        <v>0</v>
      </c>
      <c r="G132" s="11" t="s">
        <v>336</v>
      </c>
    </row>
    <row r="133" spans="1:7" x14ac:dyDescent="0.3">
      <c r="A133" s="20">
        <v>9</v>
      </c>
      <c r="B133" s="13" t="s">
        <v>41</v>
      </c>
      <c r="C133" s="11" t="s">
        <v>222</v>
      </c>
      <c r="D133" s="13" t="s">
        <v>75</v>
      </c>
      <c r="E133" s="13" t="s">
        <v>316</v>
      </c>
      <c r="F133" s="12">
        <v>0</v>
      </c>
      <c r="G133" s="11" t="s">
        <v>336</v>
      </c>
    </row>
    <row r="134" spans="1:7" x14ac:dyDescent="0.3">
      <c r="A134" s="20">
        <v>10</v>
      </c>
      <c r="B134" s="13" t="s">
        <v>41</v>
      </c>
      <c r="C134" s="11" t="s">
        <v>222</v>
      </c>
      <c r="D134" s="13" t="s">
        <v>62</v>
      </c>
      <c r="E134" s="13" t="s">
        <v>113</v>
      </c>
      <c r="F134" s="12">
        <v>19</v>
      </c>
      <c r="G134" s="11" t="s">
        <v>336</v>
      </c>
    </row>
    <row r="135" spans="1:7" x14ac:dyDescent="0.3">
      <c r="A135" s="20">
        <v>11</v>
      </c>
      <c r="B135" s="13" t="s">
        <v>41</v>
      </c>
      <c r="C135" s="11" t="s">
        <v>222</v>
      </c>
      <c r="D135" s="13" t="s">
        <v>211</v>
      </c>
      <c r="E135" s="13" t="s">
        <v>113</v>
      </c>
      <c r="F135" s="12">
        <v>30</v>
      </c>
      <c r="G135" s="11" t="s">
        <v>336</v>
      </c>
    </row>
    <row r="136" spans="1:7" x14ac:dyDescent="0.3">
      <c r="A136" s="20">
        <v>12</v>
      </c>
      <c r="B136" s="11" t="s">
        <v>41</v>
      </c>
      <c r="C136" s="11" t="s">
        <v>222</v>
      </c>
      <c r="D136" s="11" t="s">
        <v>165</v>
      </c>
      <c r="E136" s="11" t="s">
        <v>113</v>
      </c>
      <c r="F136" s="14">
        <v>3</v>
      </c>
      <c r="G136" s="11" t="s">
        <v>336</v>
      </c>
    </row>
    <row r="137" spans="1:7" x14ac:dyDescent="0.3">
      <c r="A137" s="20">
        <v>13</v>
      </c>
      <c r="B137" s="13" t="s">
        <v>41</v>
      </c>
      <c r="C137" s="11" t="s">
        <v>222</v>
      </c>
      <c r="D137" s="13" t="s">
        <v>199</v>
      </c>
      <c r="E137" s="13" t="s">
        <v>316</v>
      </c>
      <c r="F137" s="12">
        <v>0</v>
      </c>
      <c r="G137" s="11" t="s">
        <v>336</v>
      </c>
    </row>
    <row r="138" spans="1:7" x14ac:dyDescent="0.3">
      <c r="A138" s="20">
        <v>14</v>
      </c>
      <c r="B138" s="13" t="s">
        <v>41</v>
      </c>
      <c r="C138" s="11" t="s">
        <v>222</v>
      </c>
      <c r="D138" s="13" t="s">
        <v>200</v>
      </c>
      <c r="E138" s="13" t="s">
        <v>316</v>
      </c>
      <c r="F138" s="12">
        <v>0</v>
      </c>
      <c r="G138" s="11" t="s">
        <v>336</v>
      </c>
    </row>
    <row r="139" spans="1:7" x14ac:dyDescent="0.3">
      <c r="A139" s="20">
        <v>15</v>
      </c>
      <c r="B139" s="13" t="s">
        <v>41</v>
      </c>
      <c r="C139" s="11" t="s">
        <v>222</v>
      </c>
      <c r="D139" s="13" t="s">
        <v>201</v>
      </c>
      <c r="E139" s="13" t="s">
        <v>316</v>
      </c>
      <c r="F139" s="12">
        <v>0</v>
      </c>
      <c r="G139" s="11" t="s">
        <v>336</v>
      </c>
    </row>
    <row r="140" spans="1:7" x14ac:dyDescent="0.3">
      <c r="A140" s="20">
        <v>16</v>
      </c>
      <c r="B140" s="13" t="s">
        <v>41</v>
      </c>
      <c r="C140" s="11" t="s">
        <v>222</v>
      </c>
      <c r="D140" s="13" t="s">
        <v>202</v>
      </c>
      <c r="E140" s="13" t="s">
        <v>316</v>
      </c>
      <c r="F140" s="12">
        <v>0</v>
      </c>
      <c r="G140" s="11" t="s">
        <v>336</v>
      </c>
    </row>
    <row r="141" spans="1:7" x14ac:dyDescent="0.3">
      <c r="A141" s="20">
        <v>17</v>
      </c>
      <c r="B141" s="13" t="s">
        <v>41</v>
      </c>
      <c r="C141" s="11" t="s">
        <v>222</v>
      </c>
      <c r="D141" s="13" t="s">
        <v>204</v>
      </c>
      <c r="E141" s="13" t="s">
        <v>316</v>
      </c>
      <c r="F141" s="12">
        <v>0</v>
      </c>
      <c r="G141" s="11" t="s">
        <v>336</v>
      </c>
    </row>
    <row r="142" spans="1:7" x14ac:dyDescent="0.3">
      <c r="A142" s="20">
        <v>18</v>
      </c>
      <c r="B142" s="13" t="s">
        <v>41</v>
      </c>
      <c r="C142" s="11" t="s">
        <v>222</v>
      </c>
      <c r="D142" s="13" t="s">
        <v>205</v>
      </c>
      <c r="E142" s="13" t="s">
        <v>316</v>
      </c>
      <c r="F142" s="12">
        <v>0</v>
      </c>
      <c r="G142" s="11" t="s">
        <v>336</v>
      </c>
    </row>
    <row r="143" spans="1:7" x14ac:dyDescent="0.3">
      <c r="A143" s="20">
        <v>19</v>
      </c>
      <c r="B143" s="11" t="s">
        <v>41</v>
      </c>
      <c r="C143" s="11" t="s">
        <v>222</v>
      </c>
      <c r="D143" s="11" t="s">
        <v>166</v>
      </c>
      <c r="E143" s="11" t="s">
        <v>113</v>
      </c>
      <c r="F143" s="12">
        <v>1</v>
      </c>
      <c r="G143" s="11" t="s">
        <v>339</v>
      </c>
    </row>
    <row r="144" spans="1:7" x14ac:dyDescent="0.3">
      <c r="A144" s="20">
        <v>20</v>
      </c>
      <c r="B144" s="11" t="s">
        <v>41</v>
      </c>
      <c r="C144" s="11" t="s">
        <v>222</v>
      </c>
      <c r="D144" s="31" t="s">
        <v>325</v>
      </c>
      <c r="E144" s="11" t="s">
        <v>113</v>
      </c>
      <c r="F144" s="12">
        <v>1</v>
      </c>
      <c r="G144" s="11" t="s">
        <v>336</v>
      </c>
    </row>
    <row r="145" spans="1:7" x14ac:dyDescent="0.3">
      <c r="A145" s="20">
        <v>21</v>
      </c>
      <c r="B145" s="11" t="s">
        <v>41</v>
      </c>
      <c r="C145" s="11" t="s">
        <v>222</v>
      </c>
      <c r="D145" s="11" t="s">
        <v>85</v>
      </c>
      <c r="E145" s="13" t="s">
        <v>316</v>
      </c>
      <c r="F145" s="12">
        <v>0</v>
      </c>
      <c r="G145" s="11" t="s">
        <v>336</v>
      </c>
    </row>
    <row r="146" spans="1:7" x14ac:dyDescent="0.3">
      <c r="A146" s="20">
        <v>22</v>
      </c>
      <c r="B146" s="11" t="s">
        <v>41</v>
      </c>
      <c r="C146" s="11" t="s">
        <v>222</v>
      </c>
      <c r="D146" s="11" t="s">
        <v>246</v>
      </c>
      <c r="E146" s="11" t="s">
        <v>113</v>
      </c>
      <c r="F146" s="12">
        <v>5</v>
      </c>
      <c r="G146" s="11" t="s">
        <v>336</v>
      </c>
    </row>
    <row r="147" spans="1:7" x14ac:dyDescent="0.3">
      <c r="A147" s="20">
        <v>23</v>
      </c>
      <c r="B147" s="11" t="s">
        <v>41</v>
      </c>
      <c r="C147" s="11" t="s">
        <v>222</v>
      </c>
      <c r="D147" s="11" t="s">
        <v>312</v>
      </c>
      <c r="E147" s="11" t="s">
        <v>113</v>
      </c>
      <c r="F147" s="12">
        <v>17</v>
      </c>
      <c r="G147" s="11" t="s">
        <v>336</v>
      </c>
    </row>
    <row r="148" spans="1:7" x14ac:dyDescent="0.3">
      <c r="A148" s="20">
        <v>24</v>
      </c>
      <c r="B148" s="11" t="s">
        <v>41</v>
      </c>
      <c r="C148" s="11" t="s">
        <v>222</v>
      </c>
      <c r="D148" s="11" t="s">
        <v>247</v>
      </c>
      <c r="E148" s="13" t="s">
        <v>316</v>
      </c>
      <c r="F148" s="12">
        <v>0</v>
      </c>
      <c r="G148" s="11" t="s">
        <v>336</v>
      </c>
    </row>
    <row r="149" spans="1:7" x14ac:dyDescent="0.3">
      <c r="A149" s="20">
        <v>25</v>
      </c>
      <c r="B149" s="11" t="s">
        <v>41</v>
      </c>
      <c r="C149" s="11" t="s">
        <v>222</v>
      </c>
      <c r="D149" s="11" t="s">
        <v>248</v>
      </c>
      <c r="E149" s="13" t="s">
        <v>316</v>
      </c>
      <c r="F149" s="12">
        <v>0</v>
      </c>
      <c r="G149" s="11" t="s">
        <v>336</v>
      </c>
    </row>
    <row r="150" spans="1:7" x14ac:dyDescent="0.3">
      <c r="A150" s="20">
        <v>26</v>
      </c>
      <c r="B150" s="11" t="s">
        <v>41</v>
      </c>
      <c r="C150" s="11" t="s">
        <v>222</v>
      </c>
      <c r="D150" s="11" t="s">
        <v>249</v>
      </c>
      <c r="E150" s="13" t="s">
        <v>316</v>
      </c>
      <c r="F150" s="12">
        <v>0</v>
      </c>
      <c r="G150" s="11" t="s">
        <v>336</v>
      </c>
    </row>
    <row r="151" spans="1:7" x14ac:dyDescent="0.3">
      <c r="A151" s="20">
        <v>27</v>
      </c>
      <c r="B151" s="11" t="s">
        <v>41</v>
      </c>
      <c r="C151" s="11" t="s">
        <v>222</v>
      </c>
      <c r="D151" s="11" t="s">
        <v>230</v>
      </c>
      <c r="E151" s="13" t="s">
        <v>113</v>
      </c>
      <c r="F151" s="12">
        <v>41</v>
      </c>
      <c r="G151" s="11" t="s">
        <v>336</v>
      </c>
    </row>
    <row r="152" spans="1:7" x14ac:dyDescent="0.3">
      <c r="A152" s="20">
        <v>28</v>
      </c>
      <c r="B152" s="11" t="s">
        <v>41</v>
      </c>
      <c r="C152" s="11" t="s">
        <v>222</v>
      </c>
      <c r="D152" s="11" t="s">
        <v>250</v>
      </c>
      <c r="E152" s="13" t="s">
        <v>316</v>
      </c>
      <c r="F152" s="12">
        <v>0</v>
      </c>
      <c r="G152" s="11" t="s">
        <v>336</v>
      </c>
    </row>
    <row r="153" spans="1:7" x14ac:dyDescent="0.3">
      <c r="A153" s="20">
        <v>29</v>
      </c>
      <c r="B153" s="11" t="s">
        <v>41</v>
      </c>
      <c r="C153" s="11" t="s">
        <v>222</v>
      </c>
      <c r="D153" s="11" t="s">
        <v>251</v>
      </c>
      <c r="E153" s="13" t="s">
        <v>316</v>
      </c>
      <c r="F153" s="12">
        <v>0</v>
      </c>
      <c r="G153" s="11" t="s">
        <v>336</v>
      </c>
    </row>
    <row r="154" spans="1:7" x14ac:dyDescent="0.3">
      <c r="A154" s="20">
        <v>30</v>
      </c>
      <c r="B154" s="11" t="s">
        <v>41</v>
      </c>
      <c r="C154" s="11" t="s">
        <v>222</v>
      </c>
      <c r="D154" s="11" t="s">
        <v>252</v>
      </c>
      <c r="E154" s="13" t="s">
        <v>316</v>
      </c>
      <c r="F154" s="12">
        <v>0</v>
      </c>
      <c r="G154" s="11" t="s">
        <v>336</v>
      </c>
    </row>
    <row r="155" spans="1:7" x14ac:dyDescent="0.3">
      <c r="A155" s="20">
        <v>31</v>
      </c>
      <c r="B155" s="11" t="s">
        <v>41</v>
      </c>
      <c r="C155" s="11" t="s">
        <v>222</v>
      </c>
      <c r="D155" s="11" t="s">
        <v>253</v>
      </c>
      <c r="E155" s="13" t="s">
        <v>316</v>
      </c>
      <c r="F155" s="12">
        <v>0</v>
      </c>
      <c r="G155" s="11" t="s">
        <v>336</v>
      </c>
    </row>
    <row r="156" spans="1:7" x14ac:dyDescent="0.3">
      <c r="A156" s="20">
        <v>32</v>
      </c>
      <c r="B156" s="11" t="s">
        <v>41</v>
      </c>
      <c r="C156" s="11" t="s">
        <v>222</v>
      </c>
      <c r="D156" s="11" t="s">
        <v>292</v>
      </c>
      <c r="E156" s="13" t="s">
        <v>316</v>
      </c>
      <c r="F156" s="12">
        <v>0</v>
      </c>
      <c r="G156" s="11" t="s">
        <v>336</v>
      </c>
    </row>
    <row r="157" spans="1:7" x14ac:dyDescent="0.3">
      <c r="A157" s="20">
        <v>33</v>
      </c>
      <c r="B157" s="11" t="s">
        <v>41</v>
      </c>
      <c r="C157" s="11" t="s">
        <v>222</v>
      </c>
      <c r="D157" s="11" t="s">
        <v>333</v>
      </c>
      <c r="E157" s="13" t="s">
        <v>316</v>
      </c>
      <c r="F157" s="12">
        <v>0</v>
      </c>
      <c r="G157" s="11" t="s">
        <v>336</v>
      </c>
    </row>
    <row r="158" spans="1:7" x14ac:dyDescent="0.3">
      <c r="A158" s="20">
        <v>34</v>
      </c>
      <c r="B158" s="11" t="s">
        <v>41</v>
      </c>
      <c r="C158" s="11" t="s">
        <v>222</v>
      </c>
      <c r="D158" s="26" t="s">
        <v>311</v>
      </c>
      <c r="E158" s="27" t="s">
        <v>316</v>
      </c>
      <c r="F158" s="12">
        <v>0</v>
      </c>
      <c r="G158" s="11" t="s">
        <v>336</v>
      </c>
    </row>
    <row r="159" spans="1:7" x14ac:dyDescent="0.3">
      <c r="A159" s="20">
        <v>35</v>
      </c>
      <c r="B159" s="11" t="s">
        <v>41</v>
      </c>
      <c r="C159" s="11" t="s">
        <v>222</v>
      </c>
      <c r="D159" s="26" t="s">
        <v>318</v>
      </c>
      <c r="E159" s="27" t="s">
        <v>316</v>
      </c>
      <c r="F159" s="12">
        <v>0</v>
      </c>
      <c r="G159" s="11" t="s">
        <v>336</v>
      </c>
    </row>
    <row r="160" spans="1:7" x14ac:dyDescent="0.3">
      <c r="A160" s="20">
        <v>36</v>
      </c>
      <c r="B160" s="11" t="s">
        <v>41</v>
      </c>
      <c r="C160" s="11" t="s">
        <v>222</v>
      </c>
      <c r="D160" s="26" t="s">
        <v>319</v>
      </c>
      <c r="E160" s="27" t="s">
        <v>113</v>
      </c>
      <c r="F160" s="12">
        <v>10</v>
      </c>
      <c r="G160" s="11" t="s">
        <v>336</v>
      </c>
    </row>
    <row r="161" spans="1:7" x14ac:dyDescent="0.3">
      <c r="A161" s="20">
        <v>37</v>
      </c>
      <c r="B161" s="11" t="s">
        <v>41</v>
      </c>
      <c r="C161" s="11" t="s">
        <v>222</v>
      </c>
      <c r="D161" s="11" t="s">
        <v>320</v>
      </c>
      <c r="E161" s="13" t="s">
        <v>316</v>
      </c>
      <c r="F161" s="12">
        <v>0</v>
      </c>
      <c r="G161" s="11" t="s">
        <v>336</v>
      </c>
    </row>
    <row r="162" spans="1:7" x14ac:dyDescent="0.3">
      <c r="A162" s="20">
        <v>38</v>
      </c>
      <c r="B162" s="11" t="s">
        <v>41</v>
      </c>
      <c r="C162" s="11" t="s">
        <v>222</v>
      </c>
      <c r="D162" s="28" t="s">
        <v>218</v>
      </c>
      <c r="E162" s="29" t="s">
        <v>316</v>
      </c>
      <c r="F162" s="12">
        <v>0</v>
      </c>
      <c r="G162" s="11" t="s">
        <v>336</v>
      </c>
    </row>
    <row r="163" spans="1:7" x14ac:dyDescent="0.3">
      <c r="A163" s="20">
        <v>39</v>
      </c>
      <c r="B163" s="11" t="s">
        <v>41</v>
      </c>
      <c r="C163" s="11" t="s">
        <v>222</v>
      </c>
      <c r="D163" s="28" t="s">
        <v>219</v>
      </c>
      <c r="E163" s="29" t="s">
        <v>113</v>
      </c>
      <c r="F163" s="30">
        <v>240</v>
      </c>
      <c r="G163" s="11" t="s">
        <v>336</v>
      </c>
    </row>
    <row r="164" spans="1:7" x14ac:dyDescent="0.3">
      <c r="A164" s="20">
        <v>40</v>
      </c>
      <c r="B164" s="11" t="s">
        <v>41</v>
      </c>
      <c r="C164" s="11" t="s">
        <v>222</v>
      </c>
      <c r="D164" s="28" t="s">
        <v>294</v>
      </c>
      <c r="E164" s="29" t="s">
        <v>113</v>
      </c>
      <c r="F164" s="30">
        <v>150</v>
      </c>
      <c r="G164" s="11" t="s">
        <v>336</v>
      </c>
    </row>
    <row r="165" spans="1:7" x14ac:dyDescent="0.3">
      <c r="A165" s="17" t="s">
        <v>167</v>
      </c>
      <c r="B165" s="9"/>
      <c r="C165" s="9"/>
      <c r="D165" s="9" t="s">
        <v>63</v>
      </c>
      <c r="E165" s="9"/>
      <c r="F165" s="10">
        <f>SUM(F167:F174)</f>
        <v>459</v>
      </c>
      <c r="G165" s="9"/>
    </row>
    <row r="166" spans="1:7" x14ac:dyDescent="0.3">
      <c r="A166" s="20">
        <v>1</v>
      </c>
      <c r="B166" s="11" t="s">
        <v>63</v>
      </c>
      <c r="C166" s="11" t="s">
        <v>224</v>
      </c>
      <c r="D166" s="11" t="s">
        <v>168</v>
      </c>
      <c r="E166" s="13" t="s">
        <v>316</v>
      </c>
      <c r="F166" s="12">
        <v>0</v>
      </c>
      <c r="G166" s="13" t="s">
        <v>338</v>
      </c>
    </row>
    <row r="167" spans="1:7" x14ac:dyDescent="0.3">
      <c r="A167" s="20">
        <v>2</v>
      </c>
      <c r="B167" s="11" t="s">
        <v>63</v>
      </c>
      <c r="C167" s="11" t="s">
        <v>224</v>
      </c>
      <c r="D167" s="11" t="s">
        <v>169</v>
      </c>
      <c r="E167" s="13" t="s">
        <v>316</v>
      </c>
      <c r="F167" s="12">
        <v>0</v>
      </c>
      <c r="G167" s="13" t="s">
        <v>338</v>
      </c>
    </row>
    <row r="168" spans="1:7" x14ac:dyDescent="0.3">
      <c r="A168" s="20">
        <v>3</v>
      </c>
      <c r="B168" s="11" t="s">
        <v>63</v>
      </c>
      <c r="C168" s="11" t="s">
        <v>224</v>
      </c>
      <c r="D168" s="11" t="s">
        <v>170</v>
      </c>
      <c r="E168" s="13" t="s">
        <v>316</v>
      </c>
      <c r="F168" s="12">
        <v>0</v>
      </c>
      <c r="G168" s="13" t="s">
        <v>338</v>
      </c>
    </row>
    <row r="169" spans="1:7" x14ac:dyDescent="0.3">
      <c r="A169" s="20">
        <v>4</v>
      </c>
      <c r="B169" s="11" t="s">
        <v>63</v>
      </c>
      <c r="C169" s="11" t="s">
        <v>224</v>
      </c>
      <c r="D169" s="11" t="s">
        <v>171</v>
      </c>
      <c r="E169" s="13" t="s">
        <v>316</v>
      </c>
      <c r="F169" s="12">
        <v>0</v>
      </c>
      <c r="G169" s="13" t="s">
        <v>338</v>
      </c>
    </row>
    <row r="170" spans="1:7" x14ac:dyDescent="0.3">
      <c r="A170" s="20">
        <v>5</v>
      </c>
      <c r="B170" s="11" t="s">
        <v>63</v>
      </c>
      <c r="C170" s="11" t="s">
        <v>224</v>
      </c>
      <c r="D170" s="11" t="s">
        <v>64</v>
      </c>
      <c r="E170" s="13" t="s">
        <v>113</v>
      </c>
      <c r="F170" s="12">
        <v>18</v>
      </c>
      <c r="G170" s="13" t="s">
        <v>338</v>
      </c>
    </row>
    <row r="171" spans="1:7" x14ac:dyDescent="0.3">
      <c r="A171" s="20">
        <v>6</v>
      </c>
      <c r="B171" s="11" t="s">
        <v>63</v>
      </c>
      <c r="C171" s="11" t="s">
        <v>224</v>
      </c>
      <c r="D171" s="11" t="s">
        <v>308</v>
      </c>
      <c r="E171" s="13" t="s">
        <v>113</v>
      </c>
      <c r="F171" s="12">
        <v>27</v>
      </c>
      <c r="G171" s="13" t="s">
        <v>338</v>
      </c>
    </row>
    <row r="172" spans="1:7" x14ac:dyDescent="0.3">
      <c r="A172" s="20">
        <v>7</v>
      </c>
      <c r="B172" s="11" t="s">
        <v>63</v>
      </c>
      <c r="C172" s="11" t="s">
        <v>224</v>
      </c>
      <c r="D172" s="11" t="s">
        <v>212</v>
      </c>
      <c r="E172" s="13" t="s">
        <v>113</v>
      </c>
      <c r="F172" s="12">
        <v>409</v>
      </c>
      <c r="G172" s="13" t="s">
        <v>338</v>
      </c>
    </row>
    <row r="173" spans="1:7" x14ac:dyDescent="0.3">
      <c r="A173" s="20">
        <v>8</v>
      </c>
      <c r="B173" s="11" t="s">
        <v>63</v>
      </c>
      <c r="C173" s="11" t="s">
        <v>224</v>
      </c>
      <c r="D173" s="11" t="s">
        <v>295</v>
      </c>
      <c r="E173" s="13" t="s">
        <v>316</v>
      </c>
      <c r="F173" s="12">
        <v>0</v>
      </c>
      <c r="G173" s="13" t="s">
        <v>338</v>
      </c>
    </row>
    <row r="174" spans="1:7" x14ac:dyDescent="0.3">
      <c r="A174" s="20">
        <v>9</v>
      </c>
      <c r="B174" s="11" t="s">
        <v>63</v>
      </c>
      <c r="C174" s="11" t="s">
        <v>224</v>
      </c>
      <c r="D174" s="11" t="s">
        <v>314</v>
      </c>
      <c r="E174" s="13" t="s">
        <v>113</v>
      </c>
      <c r="F174" s="12">
        <v>5</v>
      </c>
      <c r="G174" s="13" t="s">
        <v>338</v>
      </c>
    </row>
    <row r="175" spans="1:7" x14ac:dyDescent="0.3">
      <c r="A175" s="17" t="s">
        <v>172</v>
      </c>
      <c r="B175" s="9"/>
      <c r="C175" s="9"/>
      <c r="D175" s="9" t="s">
        <v>42</v>
      </c>
      <c r="E175" s="9"/>
      <c r="F175" s="10">
        <f>SUM(F176:F178)</f>
        <v>66</v>
      </c>
      <c r="G175" s="9"/>
    </row>
    <row r="176" spans="1:7" x14ac:dyDescent="0.3">
      <c r="A176" s="20">
        <v>1</v>
      </c>
      <c r="B176" s="11" t="s">
        <v>42</v>
      </c>
      <c r="C176" s="11" t="s">
        <v>225</v>
      </c>
      <c r="D176" s="11" t="s">
        <v>33</v>
      </c>
      <c r="E176" s="11" t="s">
        <v>113</v>
      </c>
      <c r="F176" s="12">
        <v>48</v>
      </c>
      <c r="G176" s="11" t="s">
        <v>338</v>
      </c>
    </row>
    <row r="177" spans="1:7" x14ac:dyDescent="0.3">
      <c r="A177" s="21">
        <v>2</v>
      </c>
      <c r="B177" s="13" t="s">
        <v>42</v>
      </c>
      <c r="C177" s="11" t="s">
        <v>225</v>
      </c>
      <c r="D177" s="13" t="s">
        <v>73</v>
      </c>
      <c r="E177" s="11" t="s">
        <v>113</v>
      </c>
      <c r="F177" s="12">
        <v>2</v>
      </c>
      <c r="G177" s="11" t="s">
        <v>338</v>
      </c>
    </row>
    <row r="178" spans="1:7" x14ac:dyDescent="0.3">
      <c r="A178" s="21">
        <v>3</v>
      </c>
      <c r="B178" s="13" t="s">
        <v>42</v>
      </c>
      <c r="C178" s="11" t="s">
        <v>225</v>
      </c>
      <c r="D178" s="13" t="s">
        <v>229</v>
      </c>
      <c r="E178" s="11" t="s">
        <v>113</v>
      </c>
      <c r="F178" s="12">
        <v>16</v>
      </c>
      <c r="G178" s="11" t="s">
        <v>338</v>
      </c>
    </row>
    <row r="179" spans="1:7" x14ac:dyDescent="0.3">
      <c r="A179" s="17" t="s">
        <v>173</v>
      </c>
      <c r="B179" s="9"/>
      <c r="C179" s="9"/>
      <c r="D179" s="9" t="s">
        <v>19</v>
      </c>
      <c r="E179" s="9"/>
      <c r="F179" s="10">
        <f>SUM(F180:F189)</f>
        <v>75</v>
      </c>
      <c r="G179" s="9"/>
    </row>
    <row r="180" spans="1:7" x14ac:dyDescent="0.3">
      <c r="A180" s="21">
        <v>1</v>
      </c>
      <c r="B180" s="11" t="s">
        <v>19</v>
      </c>
      <c r="C180" s="11" t="s">
        <v>221</v>
      </c>
      <c r="D180" s="11" t="s">
        <v>24</v>
      </c>
      <c r="E180" s="11" t="s">
        <v>113</v>
      </c>
      <c r="F180" s="12">
        <v>4</v>
      </c>
      <c r="G180" s="11" t="s">
        <v>337</v>
      </c>
    </row>
    <row r="181" spans="1:7" x14ac:dyDescent="0.3">
      <c r="A181" s="21">
        <v>2</v>
      </c>
      <c r="B181" s="11" t="s">
        <v>19</v>
      </c>
      <c r="C181" s="11" t="s">
        <v>221</v>
      </c>
      <c r="D181" s="11" t="s">
        <v>26</v>
      </c>
      <c r="E181" s="11" t="s">
        <v>316</v>
      </c>
      <c r="F181" s="12">
        <v>0</v>
      </c>
      <c r="G181" s="11" t="s">
        <v>337</v>
      </c>
    </row>
    <row r="182" spans="1:7" x14ac:dyDescent="0.3">
      <c r="A182" s="21">
        <v>3</v>
      </c>
      <c r="B182" s="11" t="s">
        <v>19</v>
      </c>
      <c r="C182" s="11" t="s">
        <v>221</v>
      </c>
      <c r="D182" s="11" t="s">
        <v>74</v>
      </c>
      <c r="E182" s="11" t="s">
        <v>113</v>
      </c>
      <c r="F182" s="12">
        <v>2</v>
      </c>
      <c r="G182" s="11" t="s">
        <v>337</v>
      </c>
    </row>
    <row r="183" spans="1:7" x14ac:dyDescent="0.3">
      <c r="A183" s="21">
        <v>4</v>
      </c>
      <c r="B183" s="13" t="s">
        <v>19</v>
      </c>
      <c r="C183" s="11" t="s">
        <v>221</v>
      </c>
      <c r="D183" s="13" t="s">
        <v>91</v>
      </c>
      <c r="E183" s="13" t="s">
        <v>316</v>
      </c>
      <c r="F183" s="12">
        <v>0</v>
      </c>
      <c r="G183" s="11" t="s">
        <v>337</v>
      </c>
    </row>
    <row r="184" spans="1:7" x14ac:dyDescent="0.3">
      <c r="A184" s="21">
        <v>5</v>
      </c>
      <c r="B184" s="11" t="s">
        <v>19</v>
      </c>
      <c r="C184" s="11" t="s">
        <v>221</v>
      </c>
      <c r="D184" s="11" t="s">
        <v>132</v>
      </c>
      <c r="E184" s="13" t="s">
        <v>316</v>
      </c>
      <c r="F184" s="12">
        <v>0</v>
      </c>
      <c r="G184" s="11" t="s">
        <v>337</v>
      </c>
    </row>
    <row r="185" spans="1:7" x14ac:dyDescent="0.3">
      <c r="A185" s="21">
        <v>6</v>
      </c>
      <c r="B185" s="11" t="s">
        <v>19</v>
      </c>
      <c r="C185" s="11" t="s">
        <v>221</v>
      </c>
      <c r="D185" s="11" t="s">
        <v>125</v>
      </c>
      <c r="E185" s="13" t="s">
        <v>316</v>
      </c>
      <c r="F185" s="12">
        <v>0</v>
      </c>
      <c r="G185" s="11" t="s">
        <v>337</v>
      </c>
    </row>
    <row r="186" spans="1:7" x14ac:dyDescent="0.3">
      <c r="A186" s="21">
        <v>7</v>
      </c>
      <c r="B186" s="11" t="s">
        <v>19</v>
      </c>
      <c r="C186" s="11" t="s">
        <v>221</v>
      </c>
      <c r="D186" s="11" t="s">
        <v>174</v>
      </c>
      <c r="E186" s="13" t="s">
        <v>316</v>
      </c>
      <c r="F186" s="12">
        <v>0</v>
      </c>
      <c r="G186" s="11" t="s">
        <v>337</v>
      </c>
    </row>
    <row r="187" spans="1:7" x14ac:dyDescent="0.3">
      <c r="A187" s="21">
        <v>8</v>
      </c>
      <c r="B187" s="13" t="s">
        <v>19</v>
      </c>
      <c r="C187" s="11" t="s">
        <v>221</v>
      </c>
      <c r="D187" s="13" t="s">
        <v>323</v>
      </c>
      <c r="E187" s="13" t="s">
        <v>316</v>
      </c>
      <c r="F187" s="12">
        <v>0</v>
      </c>
      <c r="G187" s="11" t="s">
        <v>337</v>
      </c>
    </row>
    <row r="188" spans="1:7" x14ac:dyDescent="0.3">
      <c r="A188" s="21">
        <v>9</v>
      </c>
      <c r="B188" s="13" t="s">
        <v>19</v>
      </c>
      <c r="C188" s="11" t="s">
        <v>221</v>
      </c>
      <c r="D188" s="11" t="s">
        <v>307</v>
      </c>
      <c r="E188" s="11" t="s">
        <v>113</v>
      </c>
      <c r="F188" s="12">
        <v>2</v>
      </c>
      <c r="G188" s="11" t="s">
        <v>337</v>
      </c>
    </row>
    <row r="189" spans="1:7" x14ac:dyDescent="0.3">
      <c r="A189" s="19" t="s">
        <v>148</v>
      </c>
      <c r="B189" s="15"/>
      <c r="C189" s="15"/>
      <c r="D189" s="15" t="s">
        <v>65</v>
      </c>
      <c r="E189" s="15"/>
      <c r="F189" s="16">
        <f>SUM(F190:F218)</f>
        <v>67</v>
      </c>
      <c r="G189" s="15"/>
    </row>
    <row r="190" spans="1:7" x14ac:dyDescent="0.3">
      <c r="A190" s="21">
        <v>1</v>
      </c>
      <c r="B190" s="11" t="s">
        <v>19</v>
      </c>
      <c r="C190" s="11" t="s">
        <v>65</v>
      </c>
      <c r="D190" s="11" t="s">
        <v>99</v>
      </c>
      <c r="E190" s="11" t="s">
        <v>113</v>
      </c>
      <c r="F190" s="12">
        <v>1</v>
      </c>
      <c r="G190" s="11" t="s">
        <v>337</v>
      </c>
    </row>
    <row r="191" spans="1:7" x14ac:dyDescent="0.3">
      <c r="A191" s="21">
        <v>2</v>
      </c>
      <c r="B191" s="11" t="s">
        <v>19</v>
      </c>
      <c r="C191" s="11" t="s">
        <v>65</v>
      </c>
      <c r="D191" s="11" t="s">
        <v>122</v>
      </c>
      <c r="E191" s="13" t="s">
        <v>316</v>
      </c>
      <c r="F191" s="12">
        <v>0</v>
      </c>
      <c r="G191" s="11" t="s">
        <v>337</v>
      </c>
    </row>
    <row r="192" spans="1:7" x14ac:dyDescent="0.3">
      <c r="A192" s="21">
        <v>3</v>
      </c>
      <c r="B192" s="11" t="s">
        <v>19</v>
      </c>
      <c r="C192" s="11" t="s">
        <v>65</v>
      </c>
      <c r="D192" s="11" t="s">
        <v>100</v>
      </c>
      <c r="E192" s="11" t="s">
        <v>113</v>
      </c>
      <c r="F192" s="12">
        <v>24</v>
      </c>
      <c r="G192" s="11" t="s">
        <v>337</v>
      </c>
    </row>
    <row r="193" spans="1:7" x14ac:dyDescent="0.3">
      <c r="A193" s="21">
        <v>4</v>
      </c>
      <c r="B193" s="11" t="s">
        <v>19</v>
      </c>
      <c r="C193" s="11" t="s">
        <v>65</v>
      </c>
      <c r="D193" s="11" t="s">
        <v>130</v>
      </c>
      <c r="E193" s="13" t="s">
        <v>316</v>
      </c>
      <c r="F193" s="12">
        <v>0</v>
      </c>
      <c r="G193" s="11" t="s">
        <v>337</v>
      </c>
    </row>
    <row r="194" spans="1:7" x14ac:dyDescent="0.3">
      <c r="A194" s="21">
        <v>5</v>
      </c>
      <c r="B194" s="11" t="s">
        <v>19</v>
      </c>
      <c r="C194" s="11" t="s">
        <v>65</v>
      </c>
      <c r="D194" s="11" t="s">
        <v>23</v>
      </c>
      <c r="E194" s="13" t="s">
        <v>316</v>
      </c>
      <c r="F194" s="12">
        <v>0</v>
      </c>
      <c r="G194" s="11" t="s">
        <v>337</v>
      </c>
    </row>
    <row r="195" spans="1:7" x14ac:dyDescent="0.3">
      <c r="A195" s="21">
        <v>6</v>
      </c>
      <c r="B195" s="11" t="s">
        <v>19</v>
      </c>
      <c r="C195" s="11" t="s">
        <v>65</v>
      </c>
      <c r="D195" s="11" t="s">
        <v>123</v>
      </c>
      <c r="E195" s="11" t="s">
        <v>113</v>
      </c>
      <c r="F195" s="12">
        <v>2</v>
      </c>
      <c r="G195" s="11" t="s">
        <v>337</v>
      </c>
    </row>
    <row r="196" spans="1:7" x14ac:dyDescent="0.3">
      <c r="A196" s="21">
        <v>7</v>
      </c>
      <c r="B196" s="11" t="s">
        <v>19</v>
      </c>
      <c r="C196" s="11" t="s">
        <v>65</v>
      </c>
      <c r="D196" s="11" t="s">
        <v>21</v>
      </c>
      <c r="E196" s="11" t="s">
        <v>113</v>
      </c>
      <c r="F196" s="12">
        <v>13</v>
      </c>
      <c r="G196" s="11" t="s">
        <v>337</v>
      </c>
    </row>
    <row r="197" spans="1:7" x14ac:dyDescent="0.3">
      <c r="A197" s="21">
        <v>8</v>
      </c>
      <c r="B197" s="11" t="s">
        <v>19</v>
      </c>
      <c r="C197" s="11" t="s">
        <v>65</v>
      </c>
      <c r="D197" s="11" t="s">
        <v>22</v>
      </c>
      <c r="E197" s="11" t="s">
        <v>113</v>
      </c>
      <c r="F197" s="12">
        <v>2</v>
      </c>
      <c r="G197" s="11" t="s">
        <v>337</v>
      </c>
    </row>
    <row r="198" spans="1:7" x14ac:dyDescent="0.3">
      <c r="A198" s="21">
        <v>9</v>
      </c>
      <c r="B198" s="11" t="s">
        <v>19</v>
      </c>
      <c r="C198" s="11" t="s">
        <v>65</v>
      </c>
      <c r="D198" s="11" t="s">
        <v>27</v>
      </c>
      <c r="E198" s="13" t="s">
        <v>316</v>
      </c>
      <c r="F198" s="12">
        <v>0</v>
      </c>
      <c r="G198" s="11" t="s">
        <v>337</v>
      </c>
    </row>
    <row r="199" spans="1:7" x14ac:dyDescent="0.3">
      <c r="A199" s="21">
        <v>10</v>
      </c>
      <c r="B199" s="11" t="s">
        <v>19</v>
      </c>
      <c r="C199" s="11" t="s">
        <v>65</v>
      </c>
      <c r="D199" s="11" t="s">
        <v>20</v>
      </c>
      <c r="E199" s="11" t="s">
        <v>113</v>
      </c>
      <c r="F199" s="12">
        <v>20</v>
      </c>
      <c r="G199" s="11" t="s">
        <v>337</v>
      </c>
    </row>
    <row r="200" spans="1:7" x14ac:dyDescent="0.3">
      <c r="A200" s="21">
        <v>11</v>
      </c>
      <c r="B200" s="11" t="s">
        <v>19</v>
      </c>
      <c r="C200" s="11" t="s">
        <v>65</v>
      </c>
      <c r="D200" s="11" t="s">
        <v>124</v>
      </c>
      <c r="E200" s="11" t="s">
        <v>113</v>
      </c>
      <c r="F200" s="12">
        <v>1</v>
      </c>
      <c r="G200" s="11" t="s">
        <v>337</v>
      </c>
    </row>
    <row r="201" spans="1:7" x14ac:dyDescent="0.3">
      <c r="A201" s="21">
        <v>12</v>
      </c>
      <c r="B201" s="11" t="s">
        <v>19</v>
      </c>
      <c r="C201" s="11" t="s">
        <v>65</v>
      </c>
      <c r="D201" s="11" t="s">
        <v>25</v>
      </c>
      <c r="E201" s="11" t="s">
        <v>113</v>
      </c>
      <c r="F201" s="12">
        <v>1</v>
      </c>
      <c r="G201" s="11" t="s">
        <v>337</v>
      </c>
    </row>
    <row r="202" spans="1:7" x14ac:dyDescent="0.3">
      <c r="A202" s="21">
        <v>13</v>
      </c>
      <c r="B202" s="11" t="s">
        <v>19</v>
      </c>
      <c r="C202" s="11" t="s">
        <v>65</v>
      </c>
      <c r="D202" s="11" t="s">
        <v>94</v>
      </c>
      <c r="E202" s="11" t="s">
        <v>113</v>
      </c>
      <c r="F202" s="12">
        <v>3</v>
      </c>
      <c r="G202" s="11" t="s">
        <v>337</v>
      </c>
    </row>
    <row r="203" spans="1:7" x14ac:dyDescent="0.3">
      <c r="A203" s="21">
        <v>14</v>
      </c>
      <c r="B203" s="11" t="s">
        <v>19</v>
      </c>
      <c r="C203" s="11" t="s">
        <v>65</v>
      </c>
      <c r="D203" s="11" t="s">
        <v>129</v>
      </c>
      <c r="E203" s="13" t="s">
        <v>316</v>
      </c>
      <c r="F203" s="12">
        <v>0</v>
      </c>
      <c r="G203" s="11" t="s">
        <v>337</v>
      </c>
    </row>
    <row r="204" spans="1:7" x14ac:dyDescent="0.3">
      <c r="A204" s="21">
        <v>15</v>
      </c>
      <c r="B204" s="11" t="s">
        <v>19</v>
      </c>
      <c r="C204" s="11" t="s">
        <v>65</v>
      </c>
      <c r="D204" s="11" t="s">
        <v>128</v>
      </c>
      <c r="E204" s="13" t="s">
        <v>316</v>
      </c>
      <c r="F204" s="12">
        <v>0</v>
      </c>
      <c r="G204" s="11" t="s">
        <v>337</v>
      </c>
    </row>
    <row r="205" spans="1:7" x14ac:dyDescent="0.3">
      <c r="A205" s="21">
        <v>16</v>
      </c>
      <c r="B205" s="11" t="s">
        <v>19</v>
      </c>
      <c r="C205" s="11" t="s">
        <v>65</v>
      </c>
      <c r="D205" s="11" t="s">
        <v>131</v>
      </c>
      <c r="E205" s="13" t="s">
        <v>316</v>
      </c>
      <c r="F205" s="12">
        <v>0</v>
      </c>
      <c r="G205" s="11" t="s">
        <v>337</v>
      </c>
    </row>
    <row r="206" spans="1:7" x14ac:dyDescent="0.3">
      <c r="A206" s="21">
        <v>17</v>
      </c>
      <c r="B206" s="11" t="s">
        <v>19</v>
      </c>
      <c r="C206" s="11" t="s">
        <v>65</v>
      </c>
      <c r="D206" s="11" t="s">
        <v>133</v>
      </c>
      <c r="E206" s="13" t="s">
        <v>316</v>
      </c>
      <c r="F206" s="12">
        <v>0</v>
      </c>
      <c r="G206" s="11" t="s">
        <v>337</v>
      </c>
    </row>
    <row r="207" spans="1:7" x14ac:dyDescent="0.3">
      <c r="A207" s="21">
        <v>18</v>
      </c>
      <c r="B207" s="11" t="s">
        <v>19</v>
      </c>
      <c r="C207" s="11" t="s">
        <v>65</v>
      </c>
      <c r="D207" s="11" t="s">
        <v>134</v>
      </c>
      <c r="E207" s="13" t="s">
        <v>316</v>
      </c>
      <c r="F207" s="12">
        <v>0</v>
      </c>
      <c r="G207" s="11" t="s">
        <v>337</v>
      </c>
    </row>
    <row r="208" spans="1:7" x14ac:dyDescent="0.3">
      <c r="A208" s="21">
        <v>19</v>
      </c>
      <c r="B208" s="11" t="s">
        <v>19</v>
      </c>
      <c r="C208" s="11" t="s">
        <v>65</v>
      </c>
      <c r="D208" s="11" t="s">
        <v>127</v>
      </c>
      <c r="E208" s="13" t="s">
        <v>316</v>
      </c>
      <c r="F208" s="12">
        <v>0</v>
      </c>
      <c r="G208" s="11" t="s">
        <v>337</v>
      </c>
    </row>
    <row r="209" spans="1:7" x14ac:dyDescent="0.3">
      <c r="A209" s="21">
        <v>20</v>
      </c>
      <c r="B209" s="11" t="s">
        <v>19</v>
      </c>
      <c r="C209" s="11" t="s">
        <v>65</v>
      </c>
      <c r="D209" s="11" t="s">
        <v>126</v>
      </c>
      <c r="E209" s="13" t="s">
        <v>316</v>
      </c>
      <c r="F209" s="12">
        <v>0</v>
      </c>
      <c r="G209" s="11" t="s">
        <v>337</v>
      </c>
    </row>
    <row r="210" spans="1:7" x14ac:dyDescent="0.3">
      <c r="A210" s="21">
        <v>21</v>
      </c>
      <c r="B210" s="11" t="s">
        <v>19</v>
      </c>
      <c r="C210" s="11" t="s">
        <v>65</v>
      </c>
      <c r="D210" s="11" t="s">
        <v>139</v>
      </c>
      <c r="E210" s="13" t="s">
        <v>316</v>
      </c>
      <c r="F210" s="12">
        <v>0</v>
      </c>
      <c r="G210" s="11" t="s">
        <v>337</v>
      </c>
    </row>
    <row r="211" spans="1:7" x14ac:dyDescent="0.3">
      <c r="A211" s="21">
        <v>22</v>
      </c>
      <c r="B211" s="11" t="s">
        <v>19</v>
      </c>
      <c r="C211" s="11" t="s">
        <v>65</v>
      </c>
      <c r="D211" s="11" t="s">
        <v>95</v>
      </c>
      <c r="E211" s="13" t="s">
        <v>316</v>
      </c>
      <c r="F211" s="12">
        <v>0</v>
      </c>
      <c r="G211" s="11" t="s">
        <v>337</v>
      </c>
    </row>
    <row r="212" spans="1:7" x14ac:dyDescent="0.3">
      <c r="A212" s="21">
        <v>23</v>
      </c>
      <c r="B212" s="11" t="s">
        <v>19</v>
      </c>
      <c r="C212" s="11" t="s">
        <v>65</v>
      </c>
      <c r="D212" s="11" t="s">
        <v>209</v>
      </c>
      <c r="E212" s="13" t="s">
        <v>316</v>
      </c>
      <c r="F212" s="12">
        <v>0</v>
      </c>
      <c r="G212" s="11" t="s">
        <v>337</v>
      </c>
    </row>
    <row r="213" spans="1:7" x14ac:dyDescent="0.3">
      <c r="A213" s="21">
        <v>24</v>
      </c>
      <c r="B213" s="11" t="s">
        <v>19</v>
      </c>
      <c r="C213" s="11" t="s">
        <v>65</v>
      </c>
      <c r="D213" s="11" t="s">
        <v>207</v>
      </c>
      <c r="E213" s="13" t="s">
        <v>316</v>
      </c>
      <c r="F213" s="12">
        <v>0</v>
      </c>
      <c r="G213" s="11" t="s">
        <v>337</v>
      </c>
    </row>
    <row r="214" spans="1:7" x14ac:dyDescent="0.3">
      <c r="A214" s="21">
        <v>25</v>
      </c>
      <c r="B214" s="11" t="s">
        <v>19</v>
      </c>
      <c r="C214" s="11" t="s">
        <v>65</v>
      </c>
      <c r="D214" s="11" t="s">
        <v>208</v>
      </c>
      <c r="E214" s="13" t="s">
        <v>316</v>
      </c>
      <c r="F214" s="12">
        <v>0</v>
      </c>
      <c r="G214" s="11" t="s">
        <v>337</v>
      </c>
    </row>
    <row r="215" spans="1:7" x14ac:dyDescent="0.3">
      <c r="A215" s="21">
        <v>26</v>
      </c>
      <c r="B215" s="11" t="s">
        <v>19</v>
      </c>
      <c r="C215" s="11" t="s">
        <v>65</v>
      </c>
      <c r="D215" s="11" t="s">
        <v>206</v>
      </c>
      <c r="E215" s="13" t="s">
        <v>316</v>
      </c>
      <c r="F215" s="12">
        <v>0</v>
      </c>
      <c r="G215" s="11" t="s">
        <v>337</v>
      </c>
    </row>
    <row r="216" spans="1:7" x14ac:dyDescent="0.3">
      <c r="A216" s="21">
        <v>27</v>
      </c>
      <c r="B216" s="11" t="s">
        <v>19</v>
      </c>
      <c r="C216" s="11" t="s">
        <v>65</v>
      </c>
      <c r="D216" s="11" t="s">
        <v>140</v>
      </c>
      <c r="E216" s="13" t="s">
        <v>316</v>
      </c>
      <c r="F216" s="12">
        <v>0</v>
      </c>
      <c r="G216" s="11" t="s">
        <v>337</v>
      </c>
    </row>
    <row r="217" spans="1:7" x14ac:dyDescent="0.3">
      <c r="A217" s="21">
        <v>28</v>
      </c>
      <c r="B217" s="11" t="s">
        <v>19</v>
      </c>
      <c r="C217" s="11" t="s">
        <v>65</v>
      </c>
      <c r="D217" s="11" t="s">
        <v>291</v>
      </c>
      <c r="E217" s="11" t="s">
        <v>316</v>
      </c>
      <c r="F217" s="12">
        <v>0</v>
      </c>
      <c r="G217" s="11" t="s">
        <v>337</v>
      </c>
    </row>
    <row r="218" spans="1:7" x14ac:dyDescent="0.3">
      <c r="A218" s="21">
        <v>29</v>
      </c>
      <c r="B218" s="11" t="s">
        <v>19</v>
      </c>
      <c r="C218" s="11" t="s">
        <v>65</v>
      </c>
      <c r="D218" s="11" t="s">
        <v>310</v>
      </c>
      <c r="E218" s="13" t="s">
        <v>316</v>
      </c>
      <c r="F218" s="12">
        <v>0</v>
      </c>
      <c r="G218" s="11" t="s">
        <v>337</v>
      </c>
    </row>
    <row r="219" spans="1:7" x14ac:dyDescent="0.3">
      <c r="A219" s="17" t="s">
        <v>175</v>
      </c>
      <c r="B219" s="9"/>
      <c r="C219" s="9"/>
      <c r="D219" s="9" t="s">
        <v>28</v>
      </c>
      <c r="E219" s="9"/>
      <c r="F219" s="10">
        <f>SUM(F220:F221)</f>
        <v>3</v>
      </c>
      <c r="G219" s="9"/>
    </row>
    <row r="220" spans="1:7" x14ac:dyDescent="0.3">
      <c r="A220" s="21">
        <v>1</v>
      </c>
      <c r="B220" s="11" t="s">
        <v>28</v>
      </c>
      <c r="C220" s="11" t="s">
        <v>226</v>
      </c>
      <c r="D220" s="11" t="s">
        <v>135</v>
      </c>
      <c r="E220" s="11" t="s">
        <v>113</v>
      </c>
      <c r="F220" s="12">
        <v>3</v>
      </c>
      <c r="G220" s="11" t="s">
        <v>337</v>
      </c>
    </row>
    <row r="221" spans="1:7" x14ac:dyDescent="0.3">
      <c r="A221" s="21">
        <v>2</v>
      </c>
      <c r="B221" s="11" t="s">
        <v>28</v>
      </c>
      <c r="C221" s="11" t="s">
        <v>226</v>
      </c>
      <c r="D221" s="11" t="s">
        <v>29</v>
      </c>
      <c r="E221" s="13" t="s">
        <v>316</v>
      </c>
      <c r="F221" s="12">
        <v>0</v>
      </c>
      <c r="G221" s="11" t="s">
        <v>337</v>
      </c>
    </row>
    <row r="222" spans="1:7" x14ac:dyDescent="0.3">
      <c r="A222" s="17" t="s">
        <v>176</v>
      </c>
      <c r="B222" s="9"/>
      <c r="C222" s="9"/>
      <c r="D222" s="9" t="s">
        <v>40</v>
      </c>
      <c r="E222" s="9"/>
      <c r="F222" s="10">
        <f>SUM(F223)</f>
        <v>0</v>
      </c>
      <c r="G222" s="9"/>
    </row>
    <row r="223" spans="1:7" x14ac:dyDescent="0.3">
      <c r="A223" s="20">
        <v>1</v>
      </c>
      <c r="B223" s="11" t="s">
        <v>40</v>
      </c>
      <c r="C223" s="11" t="s">
        <v>321</v>
      </c>
      <c r="D223" s="11" t="s">
        <v>61</v>
      </c>
      <c r="E223" s="13" t="s">
        <v>316</v>
      </c>
      <c r="F223" s="12">
        <v>0</v>
      </c>
      <c r="G223" s="11" t="s">
        <v>337</v>
      </c>
    </row>
    <row r="224" spans="1:7" x14ac:dyDescent="0.3">
      <c r="A224" s="17" t="s">
        <v>177</v>
      </c>
      <c r="B224" s="9"/>
      <c r="C224" s="9"/>
      <c r="D224" s="9" t="s">
        <v>39</v>
      </c>
      <c r="E224" s="9"/>
      <c r="F224" s="10">
        <f>SUM(F225:F228)</f>
        <v>61</v>
      </c>
      <c r="G224" s="9"/>
    </row>
    <row r="225" spans="1:7" x14ac:dyDescent="0.3">
      <c r="A225" s="20">
        <v>1</v>
      </c>
      <c r="B225" s="11" t="s">
        <v>39</v>
      </c>
      <c r="C225" s="11" t="s">
        <v>50</v>
      </c>
      <c r="D225" s="11" t="s">
        <v>51</v>
      </c>
      <c r="E225" s="11" t="s">
        <v>113</v>
      </c>
      <c r="F225" s="12">
        <v>16</v>
      </c>
      <c r="G225" s="11" t="s">
        <v>339</v>
      </c>
    </row>
    <row r="226" spans="1:7" x14ac:dyDescent="0.3">
      <c r="A226" s="20">
        <v>2</v>
      </c>
      <c r="B226" s="11" t="s">
        <v>39</v>
      </c>
      <c r="C226" s="11" t="s">
        <v>50</v>
      </c>
      <c r="D226" s="11" t="s">
        <v>52</v>
      </c>
      <c r="E226" s="11" t="s">
        <v>113</v>
      </c>
      <c r="F226" s="12">
        <v>38</v>
      </c>
      <c r="G226" s="11" t="s">
        <v>339</v>
      </c>
    </row>
    <row r="227" spans="1:7" x14ac:dyDescent="0.3">
      <c r="A227" s="20">
        <v>3</v>
      </c>
      <c r="B227" s="11" t="s">
        <v>39</v>
      </c>
      <c r="C227" s="11" t="s">
        <v>50</v>
      </c>
      <c r="D227" s="11" t="s">
        <v>136</v>
      </c>
      <c r="E227" s="11" t="s">
        <v>113</v>
      </c>
      <c r="F227" s="12">
        <v>2</v>
      </c>
      <c r="G227" s="11" t="s">
        <v>339</v>
      </c>
    </row>
    <row r="228" spans="1:7" x14ac:dyDescent="0.3">
      <c r="A228" s="19" t="s">
        <v>148</v>
      </c>
      <c r="B228" s="15"/>
      <c r="C228" s="15"/>
      <c r="D228" s="15" t="s">
        <v>178</v>
      </c>
      <c r="E228" s="15"/>
      <c r="F228" s="16">
        <f>SUM(F229:F243)</f>
        <v>5</v>
      </c>
      <c r="G228" s="15"/>
    </row>
    <row r="229" spans="1:7" x14ac:dyDescent="0.3">
      <c r="A229" s="21">
        <v>1</v>
      </c>
      <c r="B229" s="11" t="s">
        <v>39</v>
      </c>
      <c r="C229" s="11" t="s">
        <v>178</v>
      </c>
      <c r="D229" s="11" t="s">
        <v>179</v>
      </c>
      <c r="E229" s="13" t="s">
        <v>316</v>
      </c>
      <c r="F229" s="12">
        <v>0</v>
      </c>
      <c r="G229" s="11" t="s">
        <v>339</v>
      </c>
    </row>
    <row r="230" spans="1:7" x14ac:dyDescent="0.3">
      <c r="A230" s="21">
        <v>2</v>
      </c>
      <c r="B230" s="11" t="s">
        <v>39</v>
      </c>
      <c r="C230" s="11" t="s">
        <v>178</v>
      </c>
      <c r="D230" s="11" t="s">
        <v>180</v>
      </c>
      <c r="E230" s="13" t="s">
        <v>316</v>
      </c>
      <c r="F230" s="12">
        <v>0</v>
      </c>
      <c r="G230" s="11" t="s">
        <v>339</v>
      </c>
    </row>
    <row r="231" spans="1:7" x14ac:dyDescent="0.3">
      <c r="A231" s="21">
        <v>3</v>
      </c>
      <c r="B231" s="11" t="s">
        <v>39</v>
      </c>
      <c r="C231" s="11" t="s">
        <v>178</v>
      </c>
      <c r="D231" s="11" t="s">
        <v>181</v>
      </c>
      <c r="E231" s="13" t="s">
        <v>316</v>
      </c>
      <c r="F231" s="12">
        <v>0</v>
      </c>
      <c r="G231" s="11" t="s">
        <v>339</v>
      </c>
    </row>
    <row r="232" spans="1:7" x14ac:dyDescent="0.3">
      <c r="A232" s="21">
        <v>4</v>
      </c>
      <c r="B232" s="11" t="s">
        <v>39</v>
      </c>
      <c r="C232" s="11" t="s">
        <v>178</v>
      </c>
      <c r="D232" s="11" t="s">
        <v>182</v>
      </c>
      <c r="E232" s="13" t="s">
        <v>316</v>
      </c>
      <c r="F232" s="12">
        <v>0</v>
      </c>
      <c r="G232" s="11" t="s">
        <v>339</v>
      </c>
    </row>
    <row r="233" spans="1:7" x14ac:dyDescent="0.3">
      <c r="A233" s="21">
        <v>5</v>
      </c>
      <c r="B233" s="11" t="s">
        <v>39</v>
      </c>
      <c r="C233" s="11" t="s">
        <v>178</v>
      </c>
      <c r="D233" s="11" t="s">
        <v>183</v>
      </c>
      <c r="E233" s="13" t="s">
        <v>316</v>
      </c>
      <c r="F233" s="12">
        <v>0</v>
      </c>
      <c r="G233" s="11" t="s">
        <v>339</v>
      </c>
    </row>
    <row r="234" spans="1:7" x14ac:dyDescent="0.3">
      <c r="A234" s="21">
        <v>6</v>
      </c>
      <c r="B234" s="11" t="s">
        <v>39</v>
      </c>
      <c r="C234" s="11" t="s">
        <v>178</v>
      </c>
      <c r="D234" s="11" t="s">
        <v>184</v>
      </c>
      <c r="E234" s="13" t="s">
        <v>316</v>
      </c>
      <c r="F234" s="12">
        <v>0</v>
      </c>
      <c r="G234" s="11" t="s">
        <v>339</v>
      </c>
    </row>
    <row r="235" spans="1:7" x14ac:dyDescent="0.3">
      <c r="A235" s="21">
        <v>7</v>
      </c>
      <c r="B235" s="11" t="s">
        <v>39</v>
      </c>
      <c r="C235" s="11" t="s">
        <v>178</v>
      </c>
      <c r="D235" s="11" t="s">
        <v>185</v>
      </c>
      <c r="E235" s="13" t="s">
        <v>316</v>
      </c>
      <c r="F235" s="12">
        <v>0</v>
      </c>
      <c r="G235" s="11" t="s">
        <v>339</v>
      </c>
    </row>
    <row r="236" spans="1:7" x14ac:dyDescent="0.3">
      <c r="A236" s="21">
        <v>8</v>
      </c>
      <c r="B236" s="11" t="s">
        <v>39</v>
      </c>
      <c r="C236" s="11" t="s">
        <v>178</v>
      </c>
      <c r="D236" s="11" t="s">
        <v>186</v>
      </c>
      <c r="E236" s="13" t="s">
        <v>316</v>
      </c>
      <c r="F236" s="12">
        <v>0</v>
      </c>
      <c r="G236" s="11" t="s">
        <v>339</v>
      </c>
    </row>
    <row r="237" spans="1:7" x14ac:dyDescent="0.3">
      <c r="A237" s="21">
        <v>9</v>
      </c>
      <c r="B237" s="11" t="s">
        <v>39</v>
      </c>
      <c r="C237" s="11" t="s">
        <v>178</v>
      </c>
      <c r="D237" s="11" t="s">
        <v>187</v>
      </c>
      <c r="E237" s="13" t="s">
        <v>316</v>
      </c>
      <c r="F237" s="12">
        <v>0</v>
      </c>
      <c r="G237" s="11" t="s">
        <v>339</v>
      </c>
    </row>
    <row r="238" spans="1:7" x14ac:dyDescent="0.3">
      <c r="A238" s="21">
        <v>10</v>
      </c>
      <c r="B238" s="11" t="s">
        <v>39</v>
      </c>
      <c r="C238" s="11" t="s">
        <v>178</v>
      </c>
      <c r="D238" s="11" t="s">
        <v>188</v>
      </c>
      <c r="E238" s="13" t="s">
        <v>316</v>
      </c>
      <c r="F238" s="12">
        <v>0</v>
      </c>
      <c r="G238" s="11" t="s">
        <v>339</v>
      </c>
    </row>
    <row r="239" spans="1:7" x14ac:dyDescent="0.3">
      <c r="A239" s="21">
        <v>11</v>
      </c>
      <c r="B239" s="11" t="s">
        <v>39</v>
      </c>
      <c r="C239" s="11" t="s">
        <v>178</v>
      </c>
      <c r="D239" s="11" t="s">
        <v>189</v>
      </c>
      <c r="E239" s="13" t="s">
        <v>316</v>
      </c>
      <c r="F239" s="12">
        <v>0</v>
      </c>
      <c r="G239" s="11" t="s">
        <v>339</v>
      </c>
    </row>
    <row r="240" spans="1:7" x14ac:dyDescent="0.3">
      <c r="A240" s="21">
        <v>12</v>
      </c>
      <c r="B240" s="11" t="s">
        <v>39</v>
      </c>
      <c r="C240" s="11" t="s">
        <v>178</v>
      </c>
      <c r="D240" s="11" t="s">
        <v>190</v>
      </c>
      <c r="E240" s="13" t="s">
        <v>316</v>
      </c>
      <c r="F240" s="12">
        <v>0</v>
      </c>
      <c r="G240" s="11" t="s">
        <v>339</v>
      </c>
    </row>
    <row r="241" spans="1:7" x14ac:dyDescent="0.3">
      <c r="A241" s="21">
        <v>13</v>
      </c>
      <c r="B241" s="11" t="s">
        <v>39</v>
      </c>
      <c r="C241" s="11" t="s">
        <v>178</v>
      </c>
      <c r="D241" s="11" t="s">
        <v>191</v>
      </c>
      <c r="E241" s="13" t="s">
        <v>316</v>
      </c>
      <c r="F241" s="12">
        <v>0</v>
      </c>
      <c r="G241" s="11" t="s">
        <v>339</v>
      </c>
    </row>
    <row r="242" spans="1:7" x14ac:dyDescent="0.3">
      <c r="A242" s="21">
        <v>14</v>
      </c>
      <c r="B242" s="11" t="s">
        <v>39</v>
      </c>
      <c r="C242" s="11" t="s">
        <v>178</v>
      </c>
      <c r="D242" s="11" t="s">
        <v>192</v>
      </c>
      <c r="E242" s="11" t="s">
        <v>113</v>
      </c>
      <c r="F242" s="12">
        <v>5</v>
      </c>
      <c r="G242" s="11" t="s">
        <v>339</v>
      </c>
    </row>
    <row r="243" spans="1:7" x14ac:dyDescent="0.3">
      <c r="A243" s="21">
        <v>15</v>
      </c>
      <c r="B243" s="11" t="s">
        <v>39</v>
      </c>
      <c r="C243" s="11" t="s">
        <v>178</v>
      </c>
      <c r="D243" s="11" t="s">
        <v>193</v>
      </c>
      <c r="E243" s="13" t="s">
        <v>316</v>
      </c>
      <c r="F243" s="12">
        <v>0</v>
      </c>
      <c r="G243" s="11" t="s">
        <v>339</v>
      </c>
    </row>
    <row r="244" spans="1:7" x14ac:dyDescent="0.3">
      <c r="A244" s="17" t="s">
        <v>194</v>
      </c>
      <c r="B244" s="9"/>
      <c r="C244" s="9"/>
      <c r="D244" s="9" t="s">
        <v>53</v>
      </c>
      <c r="E244" s="9"/>
      <c r="F244" s="10">
        <f>SUM(F245:F248)</f>
        <v>686</v>
      </c>
      <c r="G244" s="9"/>
    </row>
    <row r="245" spans="1:7" x14ac:dyDescent="0.3">
      <c r="A245" s="20">
        <v>1</v>
      </c>
      <c r="B245" s="11" t="s">
        <v>53</v>
      </c>
      <c r="C245" s="11" t="s">
        <v>227</v>
      </c>
      <c r="D245" s="11" t="s">
        <v>54</v>
      </c>
      <c r="E245" s="13" t="s">
        <v>113</v>
      </c>
      <c r="F245" s="12">
        <v>21</v>
      </c>
      <c r="G245" s="13" t="s">
        <v>338</v>
      </c>
    </row>
    <row r="246" spans="1:7" x14ac:dyDescent="0.3">
      <c r="A246" s="20">
        <v>2</v>
      </c>
      <c r="B246" s="11" t="s">
        <v>53</v>
      </c>
      <c r="C246" s="11" t="s">
        <v>227</v>
      </c>
      <c r="D246" s="11" t="s">
        <v>254</v>
      </c>
      <c r="E246" s="11" t="s">
        <v>113</v>
      </c>
      <c r="F246" s="12">
        <v>638</v>
      </c>
      <c r="G246" s="13" t="s">
        <v>338</v>
      </c>
    </row>
    <row r="247" spans="1:7" x14ac:dyDescent="0.3">
      <c r="A247" s="20">
        <v>3</v>
      </c>
      <c r="B247" s="11" t="s">
        <v>53</v>
      </c>
      <c r="C247" s="11" t="s">
        <v>227</v>
      </c>
      <c r="D247" s="11" t="s">
        <v>83</v>
      </c>
      <c r="E247" s="13" t="s">
        <v>113</v>
      </c>
      <c r="F247" s="12">
        <v>22</v>
      </c>
      <c r="G247" s="13" t="s">
        <v>337</v>
      </c>
    </row>
    <row r="248" spans="1:7" x14ac:dyDescent="0.3">
      <c r="A248" s="20">
        <v>4</v>
      </c>
      <c r="B248" s="11" t="s">
        <v>53</v>
      </c>
      <c r="C248" s="11" t="s">
        <v>227</v>
      </c>
      <c r="D248" s="11" t="s">
        <v>195</v>
      </c>
      <c r="E248" s="11" t="s">
        <v>113</v>
      </c>
      <c r="F248" s="12">
        <v>5</v>
      </c>
      <c r="G248" s="13" t="s">
        <v>337</v>
      </c>
    </row>
    <row r="249" spans="1:7" x14ac:dyDescent="0.3">
      <c r="A249" s="17" t="s">
        <v>196</v>
      </c>
      <c r="B249" s="9"/>
      <c r="C249" s="9"/>
      <c r="D249" s="9" t="s">
        <v>137</v>
      </c>
      <c r="E249" s="9"/>
      <c r="F249" s="10">
        <f>SUM(F250:F254)</f>
        <v>11</v>
      </c>
      <c r="G249" s="9"/>
    </row>
    <row r="250" spans="1:7" x14ac:dyDescent="0.3">
      <c r="A250" s="20">
        <v>1</v>
      </c>
      <c r="B250" s="11" t="s">
        <v>137</v>
      </c>
      <c r="C250" s="11" t="s">
        <v>228</v>
      </c>
      <c r="D250" s="11" t="s">
        <v>197</v>
      </c>
      <c r="E250" s="13" t="s">
        <v>316</v>
      </c>
      <c r="F250" s="12">
        <v>0</v>
      </c>
      <c r="G250" s="11" t="s">
        <v>339</v>
      </c>
    </row>
    <row r="251" spans="1:7" x14ac:dyDescent="0.3">
      <c r="A251" s="20">
        <v>2</v>
      </c>
      <c r="B251" s="11" t="s">
        <v>137</v>
      </c>
      <c r="C251" s="11" t="s">
        <v>228</v>
      </c>
      <c r="D251" s="11" t="s">
        <v>93</v>
      </c>
      <c r="E251" s="11" t="s">
        <v>113</v>
      </c>
      <c r="F251" s="12">
        <v>9</v>
      </c>
      <c r="G251" s="11" t="s">
        <v>339</v>
      </c>
    </row>
    <row r="252" spans="1:7" x14ac:dyDescent="0.3">
      <c r="A252" s="20">
        <v>3</v>
      </c>
      <c r="B252" s="11" t="s">
        <v>137</v>
      </c>
      <c r="C252" s="11" t="s">
        <v>228</v>
      </c>
      <c r="D252" s="11" t="s">
        <v>255</v>
      </c>
      <c r="E252" s="11" t="s">
        <v>113</v>
      </c>
      <c r="F252" s="12">
        <v>1</v>
      </c>
      <c r="G252" s="11" t="s">
        <v>339</v>
      </c>
    </row>
    <row r="253" spans="1:7" x14ac:dyDescent="0.3">
      <c r="A253" s="20">
        <v>4</v>
      </c>
      <c r="B253" s="11" t="s">
        <v>137</v>
      </c>
      <c r="C253" s="11" t="s">
        <v>228</v>
      </c>
      <c r="D253" s="11" t="s">
        <v>256</v>
      </c>
      <c r="E253" s="13" t="s">
        <v>316</v>
      </c>
      <c r="F253" s="12">
        <v>0</v>
      </c>
      <c r="G253" s="11" t="s">
        <v>339</v>
      </c>
    </row>
    <row r="254" spans="1:7" x14ac:dyDescent="0.3">
      <c r="A254" s="20">
        <v>5</v>
      </c>
      <c r="B254" s="11" t="s">
        <v>137</v>
      </c>
      <c r="C254" s="11" t="s">
        <v>228</v>
      </c>
      <c r="D254" s="11" t="s">
        <v>309</v>
      </c>
      <c r="E254" s="11" t="s">
        <v>113</v>
      </c>
      <c r="F254" s="12">
        <v>1</v>
      </c>
      <c r="G254" s="11" t="s">
        <v>339</v>
      </c>
    </row>
    <row r="255" spans="1:7" x14ac:dyDescent="0.3">
      <c r="A255" s="23"/>
      <c r="B255" s="24"/>
      <c r="C255" s="24"/>
      <c r="D255" s="24" t="s">
        <v>8</v>
      </c>
      <c r="E255" s="24"/>
      <c r="F255" s="25">
        <f>SUM(F2,F19,F124,F165,F175,F179,F219,F222,F224,F244,F249)</f>
        <v>4085</v>
      </c>
      <c r="G255" s="24"/>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923"/>
  <sheetViews>
    <sheetView zoomScale="80" zoomScaleNormal="80" workbookViewId="0">
      <pane ySplit="1" topLeftCell="A1072" activePane="bottomLeft" state="frozen"/>
      <selection pane="bottomLeft" activeCell="B1" sqref="B1:H1048576"/>
    </sheetView>
  </sheetViews>
  <sheetFormatPr defaultColWidth="20.6640625" defaultRowHeight="14.4" x14ac:dyDescent="0.3"/>
  <cols>
    <col min="1" max="2" width="20.6640625" customWidth="1"/>
    <col min="4" max="4" width="20.6640625" customWidth="1"/>
    <col min="6" max="6" width="20.6640625" customWidth="1"/>
    <col min="8" max="10" width="20.6640625" customWidth="1"/>
  </cols>
  <sheetData>
    <row r="1" spans="1:11" ht="27.6" x14ac:dyDescent="0.3">
      <c r="A1" s="1" t="s">
        <v>86</v>
      </c>
      <c r="B1" s="2" t="s">
        <v>257</v>
      </c>
      <c r="C1" s="3" t="s">
        <v>258</v>
      </c>
      <c r="D1" s="3" t="s">
        <v>263</v>
      </c>
      <c r="E1" s="1" t="s">
        <v>259</v>
      </c>
      <c r="F1" s="1" t="s">
        <v>260</v>
      </c>
      <c r="G1" s="1" t="s">
        <v>261</v>
      </c>
      <c r="H1" s="1" t="s">
        <v>262</v>
      </c>
      <c r="I1" s="1" t="s">
        <v>275</v>
      </c>
      <c r="J1" s="1" t="s">
        <v>276</v>
      </c>
      <c r="K1" s="1" t="s">
        <v>277</v>
      </c>
    </row>
    <row r="2" spans="1:11" x14ac:dyDescent="0.3">
      <c r="A2" s="4">
        <f t="shared" ref="A2:A65" si="0">IF(G2=G1,A1+1,1)</f>
        <v>1</v>
      </c>
      <c r="B2" s="5">
        <v>44652</v>
      </c>
      <c r="C2" s="6" t="s">
        <v>264</v>
      </c>
      <c r="D2" s="6">
        <v>22</v>
      </c>
      <c r="E2" s="4">
        <f>DAY(TableAopCalendar[[#This Row],[Date]])</f>
        <v>1</v>
      </c>
      <c r="F2" s="4">
        <f>IF(TableAopCalendar[[#This Row],[Day]]&lt;8,1,IF(TableAopCalendar[[#This Row],[Day]]&lt;15,2,IF(TableAopCalendar[[#This Row],[Day]]&lt;22,3,IF(TableAopCalendar[[#This Row],[Day]]&lt;29,4,IF(TableAopCalendar[[#This Row],[Day]]&lt;32,5)))))</f>
        <v>1</v>
      </c>
      <c r="G2" s="4" t="str">
        <f t="shared" ref="G2:G65" si="1">"Week"&amp;" "&amp;F2</f>
        <v>Week 1</v>
      </c>
      <c r="H2" s="4" t="str">
        <f t="shared" ref="H2:H65" si="2">CONCATENATE(C2," ",D2," ",G2)</f>
        <v>April 22 Week 1</v>
      </c>
      <c r="I2" s="4" t="str">
        <f>CONCATENATE(UPPER(TableAopCalendar[[#This Row],[Month]])," ",TableAopCalendar[[#This Row],[Year]])</f>
        <v>APRIL 22</v>
      </c>
      <c r="J2" s="7" t="s">
        <v>274</v>
      </c>
      <c r="K2" s="7" t="str">
        <f>CONCATENATE(TableAopCalendar[[#This Row],[Month for Plan]]," ",TableAopCalendar[[#This Row],[Plan]])</f>
        <v>APRIL 22 PLANNED</v>
      </c>
    </row>
    <row r="3" spans="1:11" x14ac:dyDescent="0.3">
      <c r="A3" s="4">
        <f t="shared" si="0"/>
        <v>2</v>
      </c>
      <c r="B3" s="5">
        <v>44653</v>
      </c>
      <c r="C3" s="6" t="s">
        <v>264</v>
      </c>
      <c r="D3" s="6">
        <v>22</v>
      </c>
      <c r="E3" s="4">
        <f>DAY(TableAopCalendar[[#This Row],[Date]])</f>
        <v>2</v>
      </c>
      <c r="F3" s="4">
        <f>IF(TableAopCalendar[[#This Row],[Day]]&lt;8,1,IF(TableAopCalendar[[#This Row],[Day]]&lt;15,2,IF(TableAopCalendar[[#This Row],[Day]]&lt;22,3,IF(TableAopCalendar[[#This Row],[Day]]&lt;29,4,IF(TableAopCalendar[[#This Row],[Day]]&lt;32,5)))))</f>
        <v>1</v>
      </c>
      <c r="G3" s="4" t="str">
        <f t="shared" si="1"/>
        <v>Week 1</v>
      </c>
      <c r="H3" s="4" t="str">
        <f t="shared" si="2"/>
        <v>April 22 Week 1</v>
      </c>
      <c r="I3" s="4" t="str">
        <f>CONCATENATE(UPPER(TableAopCalendar[[#This Row],[Month]])," ",TableAopCalendar[[#This Row],[Year]])</f>
        <v>APRIL 22</v>
      </c>
      <c r="J3" s="7" t="s">
        <v>274</v>
      </c>
      <c r="K3" s="7" t="str">
        <f>CONCATENATE(TableAopCalendar[[#This Row],[Month for Plan]]," ",TableAopCalendar[[#This Row],[Plan]])</f>
        <v>APRIL 22 PLANNED</v>
      </c>
    </row>
    <row r="4" spans="1:11" x14ac:dyDescent="0.3">
      <c r="A4" s="4">
        <f t="shared" si="0"/>
        <v>3</v>
      </c>
      <c r="B4" s="5">
        <v>44654</v>
      </c>
      <c r="C4" s="6" t="s">
        <v>264</v>
      </c>
      <c r="D4" s="6">
        <v>22</v>
      </c>
      <c r="E4" s="4">
        <f>DAY(TableAopCalendar[[#This Row],[Date]])</f>
        <v>3</v>
      </c>
      <c r="F4" s="4">
        <f>IF(TableAopCalendar[[#This Row],[Day]]&lt;8,1,IF(TableAopCalendar[[#This Row],[Day]]&lt;15,2,IF(TableAopCalendar[[#This Row],[Day]]&lt;22,3,IF(TableAopCalendar[[#This Row],[Day]]&lt;29,4,IF(TableAopCalendar[[#This Row],[Day]]&lt;32,5)))))</f>
        <v>1</v>
      </c>
      <c r="G4" s="4" t="str">
        <f t="shared" si="1"/>
        <v>Week 1</v>
      </c>
      <c r="H4" s="4" t="str">
        <f t="shared" si="2"/>
        <v>April 22 Week 1</v>
      </c>
      <c r="I4" s="4" t="str">
        <f>CONCATENATE(UPPER(TableAopCalendar[[#This Row],[Month]])," ",TableAopCalendar[[#This Row],[Year]])</f>
        <v>APRIL 22</v>
      </c>
      <c r="J4" s="7" t="s">
        <v>274</v>
      </c>
      <c r="K4" s="7" t="str">
        <f>CONCATENATE(TableAopCalendar[[#This Row],[Month for Plan]]," ",TableAopCalendar[[#This Row],[Plan]])</f>
        <v>APRIL 22 PLANNED</v>
      </c>
    </row>
    <row r="5" spans="1:11" x14ac:dyDescent="0.3">
      <c r="A5" s="4">
        <f t="shared" si="0"/>
        <v>4</v>
      </c>
      <c r="B5" s="5">
        <v>44655</v>
      </c>
      <c r="C5" s="6" t="s">
        <v>264</v>
      </c>
      <c r="D5" s="6">
        <v>22</v>
      </c>
      <c r="E5" s="4">
        <f>DAY(TableAopCalendar[[#This Row],[Date]])</f>
        <v>4</v>
      </c>
      <c r="F5" s="4">
        <f>IF(TableAopCalendar[[#This Row],[Day]]&lt;8,1,IF(TableAopCalendar[[#This Row],[Day]]&lt;15,2,IF(TableAopCalendar[[#This Row],[Day]]&lt;22,3,IF(TableAopCalendar[[#This Row],[Day]]&lt;29,4,IF(TableAopCalendar[[#This Row],[Day]]&lt;32,5)))))</f>
        <v>1</v>
      </c>
      <c r="G5" s="4" t="str">
        <f t="shared" si="1"/>
        <v>Week 1</v>
      </c>
      <c r="H5" s="4" t="str">
        <f t="shared" si="2"/>
        <v>April 22 Week 1</v>
      </c>
      <c r="I5" s="4" t="str">
        <f>CONCATENATE(UPPER(TableAopCalendar[[#This Row],[Month]])," ",TableAopCalendar[[#This Row],[Year]])</f>
        <v>APRIL 22</v>
      </c>
      <c r="J5" s="7" t="s">
        <v>274</v>
      </c>
      <c r="K5" s="7" t="str">
        <f>CONCATENATE(TableAopCalendar[[#This Row],[Month for Plan]]," ",TableAopCalendar[[#This Row],[Plan]])</f>
        <v>APRIL 22 PLANNED</v>
      </c>
    </row>
    <row r="6" spans="1:11" x14ac:dyDescent="0.3">
      <c r="A6" s="4">
        <f t="shared" si="0"/>
        <v>5</v>
      </c>
      <c r="B6" s="5">
        <v>44656</v>
      </c>
      <c r="C6" s="6" t="s">
        <v>264</v>
      </c>
      <c r="D6" s="6">
        <v>22</v>
      </c>
      <c r="E6" s="4">
        <f>DAY(TableAopCalendar[[#This Row],[Date]])</f>
        <v>5</v>
      </c>
      <c r="F6" s="4">
        <f>IF(TableAopCalendar[[#This Row],[Day]]&lt;8,1,IF(TableAopCalendar[[#This Row],[Day]]&lt;15,2,IF(TableAopCalendar[[#This Row],[Day]]&lt;22,3,IF(TableAopCalendar[[#This Row],[Day]]&lt;29,4,IF(TableAopCalendar[[#This Row],[Day]]&lt;32,5)))))</f>
        <v>1</v>
      </c>
      <c r="G6" s="4" t="str">
        <f t="shared" si="1"/>
        <v>Week 1</v>
      </c>
      <c r="H6" s="4" t="str">
        <f t="shared" si="2"/>
        <v>April 22 Week 1</v>
      </c>
      <c r="I6" s="4" t="str">
        <f>CONCATENATE(UPPER(TableAopCalendar[[#This Row],[Month]])," ",TableAopCalendar[[#This Row],[Year]])</f>
        <v>APRIL 22</v>
      </c>
      <c r="J6" s="7" t="s">
        <v>274</v>
      </c>
      <c r="K6" s="7" t="str">
        <f>CONCATENATE(TableAopCalendar[[#This Row],[Month for Plan]]," ",TableAopCalendar[[#This Row],[Plan]])</f>
        <v>APRIL 22 PLANNED</v>
      </c>
    </row>
    <row r="7" spans="1:11" x14ac:dyDescent="0.3">
      <c r="A7" s="4">
        <f t="shared" si="0"/>
        <v>6</v>
      </c>
      <c r="B7" s="5">
        <v>44657</v>
      </c>
      <c r="C7" s="6" t="s">
        <v>264</v>
      </c>
      <c r="D7" s="6">
        <v>22</v>
      </c>
      <c r="E7" s="4">
        <f>DAY(TableAopCalendar[[#This Row],[Date]])</f>
        <v>6</v>
      </c>
      <c r="F7" s="4">
        <f>IF(TableAopCalendar[[#This Row],[Day]]&lt;8,1,IF(TableAopCalendar[[#This Row],[Day]]&lt;15,2,IF(TableAopCalendar[[#This Row],[Day]]&lt;22,3,IF(TableAopCalendar[[#This Row],[Day]]&lt;29,4,IF(TableAopCalendar[[#This Row],[Day]]&lt;32,5)))))</f>
        <v>1</v>
      </c>
      <c r="G7" s="4" t="str">
        <f t="shared" si="1"/>
        <v>Week 1</v>
      </c>
      <c r="H7" s="4" t="str">
        <f t="shared" si="2"/>
        <v>April 22 Week 1</v>
      </c>
      <c r="I7" s="4" t="str">
        <f>CONCATENATE(UPPER(TableAopCalendar[[#This Row],[Month]])," ",TableAopCalendar[[#This Row],[Year]])</f>
        <v>APRIL 22</v>
      </c>
      <c r="J7" s="7" t="s">
        <v>274</v>
      </c>
      <c r="K7" s="7" t="str">
        <f>CONCATENATE(TableAopCalendar[[#This Row],[Month for Plan]]," ",TableAopCalendar[[#This Row],[Plan]])</f>
        <v>APRIL 22 PLANNED</v>
      </c>
    </row>
    <row r="8" spans="1:11" x14ac:dyDescent="0.3">
      <c r="A8" s="4">
        <f t="shared" si="0"/>
        <v>7</v>
      </c>
      <c r="B8" s="5">
        <v>44658</v>
      </c>
      <c r="C8" s="6" t="s">
        <v>264</v>
      </c>
      <c r="D8" s="6">
        <v>22</v>
      </c>
      <c r="E8" s="4">
        <f>DAY(TableAopCalendar[[#This Row],[Date]])</f>
        <v>7</v>
      </c>
      <c r="F8" s="4">
        <f>IF(TableAopCalendar[[#This Row],[Day]]&lt;8,1,IF(TableAopCalendar[[#This Row],[Day]]&lt;15,2,IF(TableAopCalendar[[#This Row],[Day]]&lt;22,3,IF(TableAopCalendar[[#This Row],[Day]]&lt;29,4,IF(TableAopCalendar[[#This Row],[Day]]&lt;32,5)))))</f>
        <v>1</v>
      </c>
      <c r="G8" s="4" t="str">
        <f t="shared" si="1"/>
        <v>Week 1</v>
      </c>
      <c r="H8" s="4" t="str">
        <f t="shared" si="2"/>
        <v>April 22 Week 1</v>
      </c>
      <c r="I8" s="4" t="str">
        <f>CONCATENATE(UPPER(TableAopCalendar[[#This Row],[Month]])," ",TableAopCalendar[[#This Row],[Year]])</f>
        <v>APRIL 22</v>
      </c>
      <c r="J8" s="7" t="s">
        <v>274</v>
      </c>
      <c r="K8" s="7" t="str">
        <f>CONCATENATE(TableAopCalendar[[#This Row],[Month for Plan]]," ",TableAopCalendar[[#This Row],[Plan]])</f>
        <v>APRIL 22 PLANNED</v>
      </c>
    </row>
    <row r="9" spans="1:11" x14ac:dyDescent="0.3">
      <c r="A9" s="4">
        <f t="shared" si="0"/>
        <v>1</v>
      </c>
      <c r="B9" s="5">
        <v>44659</v>
      </c>
      <c r="C9" s="6" t="s">
        <v>264</v>
      </c>
      <c r="D9" s="6">
        <v>22</v>
      </c>
      <c r="E9" s="4">
        <f>DAY(TableAopCalendar[[#This Row],[Date]])</f>
        <v>8</v>
      </c>
      <c r="F9" s="4">
        <f>IF(TableAopCalendar[[#This Row],[Day]]&lt;8,1,IF(TableAopCalendar[[#This Row],[Day]]&lt;15,2,IF(TableAopCalendar[[#This Row],[Day]]&lt;22,3,IF(TableAopCalendar[[#This Row],[Day]]&lt;29,4,IF(TableAopCalendar[[#This Row],[Day]]&lt;32,5)))))</f>
        <v>2</v>
      </c>
      <c r="G9" s="4" t="str">
        <f t="shared" si="1"/>
        <v>Week 2</v>
      </c>
      <c r="H9" s="4" t="str">
        <f t="shared" si="2"/>
        <v>April 22 Week 2</v>
      </c>
      <c r="I9" s="4" t="str">
        <f>CONCATENATE(UPPER(TableAopCalendar[[#This Row],[Month]])," ",TableAopCalendar[[#This Row],[Year]])</f>
        <v>APRIL 22</v>
      </c>
      <c r="J9" s="7" t="s">
        <v>274</v>
      </c>
      <c r="K9" s="7" t="str">
        <f>CONCATENATE(TableAopCalendar[[#This Row],[Month for Plan]]," ",TableAopCalendar[[#This Row],[Plan]])</f>
        <v>APRIL 22 PLANNED</v>
      </c>
    </row>
    <row r="10" spans="1:11" x14ac:dyDescent="0.3">
      <c r="A10" s="4">
        <f t="shared" si="0"/>
        <v>2</v>
      </c>
      <c r="B10" s="5">
        <v>44660</v>
      </c>
      <c r="C10" s="6" t="s">
        <v>264</v>
      </c>
      <c r="D10" s="6">
        <v>22</v>
      </c>
      <c r="E10" s="4">
        <f>DAY(TableAopCalendar[[#This Row],[Date]])</f>
        <v>9</v>
      </c>
      <c r="F10" s="4">
        <f>IF(TableAopCalendar[[#This Row],[Day]]&lt;8,1,IF(TableAopCalendar[[#This Row],[Day]]&lt;15,2,IF(TableAopCalendar[[#This Row],[Day]]&lt;22,3,IF(TableAopCalendar[[#This Row],[Day]]&lt;29,4,IF(TableAopCalendar[[#This Row],[Day]]&lt;32,5)))))</f>
        <v>2</v>
      </c>
      <c r="G10" s="4" t="str">
        <f t="shared" si="1"/>
        <v>Week 2</v>
      </c>
      <c r="H10" s="4" t="str">
        <f t="shared" si="2"/>
        <v>April 22 Week 2</v>
      </c>
      <c r="I10" s="4" t="str">
        <f>CONCATENATE(UPPER(TableAopCalendar[[#This Row],[Month]])," ",TableAopCalendar[[#This Row],[Year]])</f>
        <v>APRIL 22</v>
      </c>
      <c r="J10" s="7" t="s">
        <v>274</v>
      </c>
      <c r="K10" s="7" t="str">
        <f>CONCATENATE(TableAopCalendar[[#This Row],[Month for Plan]]," ",TableAopCalendar[[#This Row],[Plan]])</f>
        <v>APRIL 22 PLANNED</v>
      </c>
    </row>
    <row r="11" spans="1:11" x14ac:dyDescent="0.3">
      <c r="A11" s="4">
        <f t="shared" si="0"/>
        <v>3</v>
      </c>
      <c r="B11" s="5">
        <v>44661</v>
      </c>
      <c r="C11" s="6" t="s">
        <v>264</v>
      </c>
      <c r="D11" s="6">
        <v>22</v>
      </c>
      <c r="E11" s="4">
        <f>DAY(TableAopCalendar[[#This Row],[Date]])</f>
        <v>10</v>
      </c>
      <c r="F11" s="4">
        <f>IF(TableAopCalendar[[#This Row],[Day]]&lt;8,1,IF(TableAopCalendar[[#This Row],[Day]]&lt;15,2,IF(TableAopCalendar[[#This Row],[Day]]&lt;22,3,IF(TableAopCalendar[[#This Row],[Day]]&lt;29,4,IF(TableAopCalendar[[#This Row],[Day]]&lt;32,5)))))</f>
        <v>2</v>
      </c>
      <c r="G11" s="4" t="str">
        <f t="shared" si="1"/>
        <v>Week 2</v>
      </c>
      <c r="H11" s="4" t="str">
        <f t="shared" si="2"/>
        <v>April 22 Week 2</v>
      </c>
      <c r="I11" s="4" t="str">
        <f>CONCATENATE(UPPER(TableAopCalendar[[#This Row],[Month]])," ",TableAopCalendar[[#This Row],[Year]])</f>
        <v>APRIL 22</v>
      </c>
      <c r="J11" s="7" t="s">
        <v>274</v>
      </c>
      <c r="K11" s="7" t="str">
        <f>CONCATENATE(TableAopCalendar[[#This Row],[Month for Plan]]," ",TableAopCalendar[[#This Row],[Plan]])</f>
        <v>APRIL 22 PLANNED</v>
      </c>
    </row>
    <row r="12" spans="1:11" x14ac:dyDescent="0.3">
      <c r="A12" s="4">
        <f t="shared" si="0"/>
        <v>4</v>
      </c>
      <c r="B12" s="5">
        <v>44662</v>
      </c>
      <c r="C12" s="6" t="s">
        <v>264</v>
      </c>
      <c r="D12" s="6">
        <v>22</v>
      </c>
      <c r="E12" s="4">
        <f>DAY(TableAopCalendar[[#This Row],[Date]])</f>
        <v>11</v>
      </c>
      <c r="F12" s="4">
        <f>IF(TableAopCalendar[[#This Row],[Day]]&lt;8,1,IF(TableAopCalendar[[#This Row],[Day]]&lt;15,2,IF(TableAopCalendar[[#This Row],[Day]]&lt;22,3,IF(TableAopCalendar[[#This Row],[Day]]&lt;29,4,IF(TableAopCalendar[[#This Row],[Day]]&lt;32,5)))))</f>
        <v>2</v>
      </c>
      <c r="G12" s="4" t="str">
        <f t="shared" si="1"/>
        <v>Week 2</v>
      </c>
      <c r="H12" s="4" t="str">
        <f t="shared" si="2"/>
        <v>April 22 Week 2</v>
      </c>
      <c r="I12" s="4" t="str">
        <f>CONCATENATE(UPPER(TableAopCalendar[[#This Row],[Month]])," ",TableAopCalendar[[#This Row],[Year]])</f>
        <v>APRIL 22</v>
      </c>
      <c r="J12" s="7" t="s">
        <v>274</v>
      </c>
      <c r="K12" s="7" t="str">
        <f>CONCATENATE(TableAopCalendar[[#This Row],[Month for Plan]]," ",TableAopCalendar[[#This Row],[Plan]])</f>
        <v>APRIL 22 PLANNED</v>
      </c>
    </row>
    <row r="13" spans="1:11" x14ac:dyDescent="0.3">
      <c r="A13" s="4">
        <f t="shared" si="0"/>
        <v>5</v>
      </c>
      <c r="B13" s="5">
        <v>44663</v>
      </c>
      <c r="C13" s="6" t="s">
        <v>264</v>
      </c>
      <c r="D13" s="6">
        <v>22</v>
      </c>
      <c r="E13" s="4">
        <f>DAY(TableAopCalendar[[#This Row],[Date]])</f>
        <v>12</v>
      </c>
      <c r="F13" s="4">
        <f>IF(TableAopCalendar[[#This Row],[Day]]&lt;8,1,IF(TableAopCalendar[[#This Row],[Day]]&lt;15,2,IF(TableAopCalendar[[#This Row],[Day]]&lt;22,3,IF(TableAopCalendar[[#This Row],[Day]]&lt;29,4,IF(TableAopCalendar[[#This Row],[Day]]&lt;32,5)))))</f>
        <v>2</v>
      </c>
      <c r="G13" s="4" t="str">
        <f t="shared" si="1"/>
        <v>Week 2</v>
      </c>
      <c r="H13" s="4" t="str">
        <f t="shared" si="2"/>
        <v>April 22 Week 2</v>
      </c>
      <c r="I13" s="4" t="str">
        <f>CONCATENATE(UPPER(TableAopCalendar[[#This Row],[Month]])," ",TableAopCalendar[[#This Row],[Year]])</f>
        <v>APRIL 22</v>
      </c>
      <c r="J13" s="7" t="s">
        <v>274</v>
      </c>
      <c r="K13" s="7" t="str">
        <f>CONCATENATE(TableAopCalendar[[#This Row],[Month for Plan]]," ",TableAopCalendar[[#This Row],[Plan]])</f>
        <v>APRIL 22 PLANNED</v>
      </c>
    </row>
    <row r="14" spans="1:11" x14ac:dyDescent="0.3">
      <c r="A14" s="4">
        <f t="shared" si="0"/>
        <v>6</v>
      </c>
      <c r="B14" s="5">
        <v>44664</v>
      </c>
      <c r="C14" s="6" t="s">
        <v>264</v>
      </c>
      <c r="D14" s="6">
        <v>22</v>
      </c>
      <c r="E14" s="4">
        <f>DAY(TableAopCalendar[[#This Row],[Date]])</f>
        <v>13</v>
      </c>
      <c r="F14" s="4">
        <f>IF(TableAopCalendar[[#This Row],[Day]]&lt;8,1,IF(TableAopCalendar[[#This Row],[Day]]&lt;15,2,IF(TableAopCalendar[[#This Row],[Day]]&lt;22,3,IF(TableAopCalendar[[#This Row],[Day]]&lt;29,4,IF(TableAopCalendar[[#This Row],[Day]]&lt;32,5)))))</f>
        <v>2</v>
      </c>
      <c r="G14" s="4" t="str">
        <f t="shared" si="1"/>
        <v>Week 2</v>
      </c>
      <c r="H14" s="4" t="str">
        <f t="shared" si="2"/>
        <v>April 22 Week 2</v>
      </c>
      <c r="I14" s="4" t="str">
        <f>CONCATENATE(UPPER(TableAopCalendar[[#This Row],[Month]])," ",TableAopCalendar[[#This Row],[Year]])</f>
        <v>APRIL 22</v>
      </c>
      <c r="J14" s="7" t="s">
        <v>274</v>
      </c>
      <c r="K14" s="7" t="str">
        <f>CONCATENATE(TableAopCalendar[[#This Row],[Month for Plan]]," ",TableAopCalendar[[#This Row],[Plan]])</f>
        <v>APRIL 22 PLANNED</v>
      </c>
    </row>
    <row r="15" spans="1:11" x14ac:dyDescent="0.3">
      <c r="A15" s="4">
        <f t="shared" si="0"/>
        <v>7</v>
      </c>
      <c r="B15" s="5">
        <v>44665</v>
      </c>
      <c r="C15" s="6" t="s">
        <v>264</v>
      </c>
      <c r="D15" s="6">
        <v>22</v>
      </c>
      <c r="E15" s="4">
        <f>DAY(TableAopCalendar[[#This Row],[Date]])</f>
        <v>14</v>
      </c>
      <c r="F15" s="4">
        <f>IF(TableAopCalendar[[#This Row],[Day]]&lt;8,1,IF(TableAopCalendar[[#This Row],[Day]]&lt;15,2,IF(TableAopCalendar[[#This Row],[Day]]&lt;22,3,IF(TableAopCalendar[[#This Row],[Day]]&lt;29,4,IF(TableAopCalendar[[#This Row],[Day]]&lt;32,5)))))</f>
        <v>2</v>
      </c>
      <c r="G15" s="4" t="str">
        <f t="shared" si="1"/>
        <v>Week 2</v>
      </c>
      <c r="H15" s="4" t="str">
        <f t="shared" si="2"/>
        <v>April 22 Week 2</v>
      </c>
      <c r="I15" s="4" t="str">
        <f>CONCATENATE(UPPER(TableAopCalendar[[#This Row],[Month]])," ",TableAopCalendar[[#This Row],[Year]])</f>
        <v>APRIL 22</v>
      </c>
      <c r="J15" s="7" t="s">
        <v>274</v>
      </c>
      <c r="K15" s="7" t="str">
        <f>CONCATENATE(TableAopCalendar[[#This Row],[Month for Plan]]," ",TableAopCalendar[[#This Row],[Plan]])</f>
        <v>APRIL 22 PLANNED</v>
      </c>
    </row>
    <row r="16" spans="1:11" x14ac:dyDescent="0.3">
      <c r="A16" s="4">
        <f t="shared" si="0"/>
        <v>1</v>
      </c>
      <c r="B16" s="5">
        <v>44666</v>
      </c>
      <c r="C16" s="6" t="s">
        <v>264</v>
      </c>
      <c r="D16" s="6">
        <v>22</v>
      </c>
      <c r="E16" s="4">
        <f>DAY(TableAopCalendar[[#This Row],[Date]])</f>
        <v>15</v>
      </c>
      <c r="F16" s="4">
        <f>IF(TableAopCalendar[[#This Row],[Day]]&lt;8,1,IF(TableAopCalendar[[#This Row],[Day]]&lt;15,2,IF(TableAopCalendar[[#This Row],[Day]]&lt;22,3,IF(TableAopCalendar[[#This Row],[Day]]&lt;29,4,IF(TableAopCalendar[[#This Row],[Day]]&lt;32,5)))))</f>
        <v>3</v>
      </c>
      <c r="G16" s="4" t="str">
        <f t="shared" si="1"/>
        <v>Week 3</v>
      </c>
      <c r="H16" s="4" t="str">
        <f t="shared" si="2"/>
        <v>April 22 Week 3</v>
      </c>
      <c r="I16" s="4" t="str">
        <f>CONCATENATE(UPPER(TableAopCalendar[[#This Row],[Month]])," ",TableAopCalendar[[#This Row],[Year]])</f>
        <v>APRIL 22</v>
      </c>
      <c r="J16" s="7" t="s">
        <v>274</v>
      </c>
      <c r="K16" s="7" t="str">
        <f>CONCATENATE(TableAopCalendar[[#This Row],[Month for Plan]]," ",TableAopCalendar[[#This Row],[Plan]])</f>
        <v>APRIL 22 PLANNED</v>
      </c>
    </row>
    <row r="17" spans="1:11" x14ac:dyDescent="0.3">
      <c r="A17" s="4">
        <f t="shared" si="0"/>
        <v>2</v>
      </c>
      <c r="B17" s="5">
        <v>44667</v>
      </c>
      <c r="C17" s="6" t="s">
        <v>264</v>
      </c>
      <c r="D17" s="6">
        <v>22</v>
      </c>
      <c r="E17" s="4">
        <f>DAY(TableAopCalendar[[#This Row],[Date]])</f>
        <v>16</v>
      </c>
      <c r="F17" s="4">
        <f>IF(TableAopCalendar[[#This Row],[Day]]&lt;8,1,IF(TableAopCalendar[[#This Row],[Day]]&lt;15,2,IF(TableAopCalendar[[#This Row],[Day]]&lt;22,3,IF(TableAopCalendar[[#This Row],[Day]]&lt;29,4,IF(TableAopCalendar[[#This Row],[Day]]&lt;32,5)))))</f>
        <v>3</v>
      </c>
      <c r="G17" s="4" t="str">
        <f t="shared" si="1"/>
        <v>Week 3</v>
      </c>
      <c r="H17" s="4" t="str">
        <f t="shared" si="2"/>
        <v>April 22 Week 3</v>
      </c>
      <c r="I17" s="4" t="str">
        <f>CONCATENATE(UPPER(TableAopCalendar[[#This Row],[Month]])," ",TableAopCalendar[[#This Row],[Year]])</f>
        <v>APRIL 22</v>
      </c>
      <c r="J17" s="7" t="s">
        <v>274</v>
      </c>
      <c r="K17" s="7" t="str">
        <f>CONCATENATE(TableAopCalendar[[#This Row],[Month for Plan]]," ",TableAopCalendar[[#This Row],[Plan]])</f>
        <v>APRIL 22 PLANNED</v>
      </c>
    </row>
    <row r="18" spans="1:11" x14ac:dyDescent="0.3">
      <c r="A18" s="4">
        <f t="shared" si="0"/>
        <v>3</v>
      </c>
      <c r="B18" s="5">
        <v>44668</v>
      </c>
      <c r="C18" s="6" t="s">
        <v>264</v>
      </c>
      <c r="D18" s="6">
        <v>22</v>
      </c>
      <c r="E18" s="4">
        <f>DAY(TableAopCalendar[[#This Row],[Date]])</f>
        <v>17</v>
      </c>
      <c r="F18" s="4">
        <f>IF(TableAopCalendar[[#This Row],[Day]]&lt;8,1,IF(TableAopCalendar[[#This Row],[Day]]&lt;15,2,IF(TableAopCalendar[[#This Row],[Day]]&lt;22,3,IF(TableAopCalendar[[#This Row],[Day]]&lt;29,4,IF(TableAopCalendar[[#This Row],[Day]]&lt;32,5)))))</f>
        <v>3</v>
      </c>
      <c r="G18" s="4" t="str">
        <f t="shared" si="1"/>
        <v>Week 3</v>
      </c>
      <c r="H18" s="4" t="str">
        <f t="shared" si="2"/>
        <v>April 22 Week 3</v>
      </c>
      <c r="I18" s="4" t="str">
        <f>CONCATENATE(UPPER(TableAopCalendar[[#This Row],[Month]])," ",TableAopCalendar[[#This Row],[Year]])</f>
        <v>APRIL 22</v>
      </c>
      <c r="J18" s="7" t="s">
        <v>274</v>
      </c>
      <c r="K18" s="7" t="str">
        <f>CONCATENATE(TableAopCalendar[[#This Row],[Month for Plan]]," ",TableAopCalendar[[#This Row],[Plan]])</f>
        <v>APRIL 22 PLANNED</v>
      </c>
    </row>
    <row r="19" spans="1:11" x14ac:dyDescent="0.3">
      <c r="A19" s="4">
        <f t="shared" si="0"/>
        <v>4</v>
      </c>
      <c r="B19" s="5">
        <v>44669</v>
      </c>
      <c r="C19" s="6" t="s">
        <v>264</v>
      </c>
      <c r="D19" s="6">
        <v>22</v>
      </c>
      <c r="E19" s="4">
        <f>DAY(TableAopCalendar[[#This Row],[Date]])</f>
        <v>18</v>
      </c>
      <c r="F19" s="4">
        <f>IF(TableAopCalendar[[#This Row],[Day]]&lt;8,1,IF(TableAopCalendar[[#This Row],[Day]]&lt;15,2,IF(TableAopCalendar[[#This Row],[Day]]&lt;22,3,IF(TableAopCalendar[[#This Row],[Day]]&lt;29,4,IF(TableAopCalendar[[#This Row],[Day]]&lt;32,5)))))</f>
        <v>3</v>
      </c>
      <c r="G19" s="4" t="str">
        <f t="shared" si="1"/>
        <v>Week 3</v>
      </c>
      <c r="H19" s="4" t="str">
        <f t="shared" si="2"/>
        <v>April 22 Week 3</v>
      </c>
      <c r="I19" s="4" t="str">
        <f>CONCATENATE(UPPER(TableAopCalendar[[#This Row],[Month]])," ",TableAopCalendar[[#This Row],[Year]])</f>
        <v>APRIL 22</v>
      </c>
      <c r="J19" s="7" t="s">
        <v>274</v>
      </c>
      <c r="K19" s="7" t="str">
        <f>CONCATENATE(TableAopCalendar[[#This Row],[Month for Plan]]," ",TableAopCalendar[[#This Row],[Plan]])</f>
        <v>APRIL 22 PLANNED</v>
      </c>
    </row>
    <row r="20" spans="1:11" x14ac:dyDescent="0.3">
      <c r="A20" s="4">
        <f t="shared" si="0"/>
        <v>5</v>
      </c>
      <c r="B20" s="5">
        <v>44670</v>
      </c>
      <c r="C20" s="6" t="s">
        <v>264</v>
      </c>
      <c r="D20" s="6">
        <v>22</v>
      </c>
      <c r="E20" s="4">
        <f>DAY(TableAopCalendar[[#This Row],[Date]])</f>
        <v>19</v>
      </c>
      <c r="F20" s="4">
        <f>IF(TableAopCalendar[[#This Row],[Day]]&lt;8,1,IF(TableAopCalendar[[#This Row],[Day]]&lt;15,2,IF(TableAopCalendar[[#This Row],[Day]]&lt;22,3,IF(TableAopCalendar[[#This Row],[Day]]&lt;29,4,IF(TableAopCalendar[[#This Row],[Day]]&lt;32,5)))))</f>
        <v>3</v>
      </c>
      <c r="G20" s="4" t="str">
        <f t="shared" si="1"/>
        <v>Week 3</v>
      </c>
      <c r="H20" s="4" t="str">
        <f t="shared" si="2"/>
        <v>April 22 Week 3</v>
      </c>
      <c r="I20" s="4" t="str">
        <f>CONCATENATE(UPPER(TableAopCalendar[[#This Row],[Month]])," ",TableAopCalendar[[#This Row],[Year]])</f>
        <v>APRIL 22</v>
      </c>
      <c r="J20" s="7" t="s">
        <v>274</v>
      </c>
      <c r="K20" s="7" t="str">
        <f>CONCATENATE(TableAopCalendar[[#This Row],[Month for Plan]]," ",TableAopCalendar[[#This Row],[Plan]])</f>
        <v>APRIL 22 PLANNED</v>
      </c>
    </row>
    <row r="21" spans="1:11" x14ac:dyDescent="0.3">
      <c r="A21" s="4">
        <f t="shared" si="0"/>
        <v>6</v>
      </c>
      <c r="B21" s="5">
        <v>44671</v>
      </c>
      <c r="C21" s="6" t="s">
        <v>264</v>
      </c>
      <c r="D21" s="6">
        <v>22</v>
      </c>
      <c r="E21" s="4">
        <f>DAY(TableAopCalendar[[#This Row],[Date]])</f>
        <v>20</v>
      </c>
      <c r="F21" s="4">
        <f>IF(TableAopCalendar[[#This Row],[Day]]&lt;8,1,IF(TableAopCalendar[[#This Row],[Day]]&lt;15,2,IF(TableAopCalendar[[#This Row],[Day]]&lt;22,3,IF(TableAopCalendar[[#This Row],[Day]]&lt;29,4,IF(TableAopCalendar[[#This Row],[Day]]&lt;32,5)))))</f>
        <v>3</v>
      </c>
      <c r="G21" s="4" t="str">
        <f t="shared" si="1"/>
        <v>Week 3</v>
      </c>
      <c r="H21" s="4" t="str">
        <f t="shared" si="2"/>
        <v>April 22 Week 3</v>
      </c>
      <c r="I21" s="4" t="str">
        <f>CONCATENATE(UPPER(TableAopCalendar[[#This Row],[Month]])," ",TableAopCalendar[[#This Row],[Year]])</f>
        <v>APRIL 22</v>
      </c>
      <c r="J21" s="7" t="s">
        <v>274</v>
      </c>
      <c r="K21" s="7" t="str">
        <f>CONCATENATE(TableAopCalendar[[#This Row],[Month for Plan]]," ",TableAopCalendar[[#This Row],[Plan]])</f>
        <v>APRIL 22 PLANNED</v>
      </c>
    </row>
    <row r="22" spans="1:11" x14ac:dyDescent="0.3">
      <c r="A22" s="4">
        <f t="shared" si="0"/>
        <v>7</v>
      </c>
      <c r="B22" s="5">
        <v>44672</v>
      </c>
      <c r="C22" s="6" t="s">
        <v>264</v>
      </c>
      <c r="D22" s="6">
        <v>22</v>
      </c>
      <c r="E22" s="4">
        <f>DAY(TableAopCalendar[[#This Row],[Date]])</f>
        <v>21</v>
      </c>
      <c r="F22" s="4">
        <f>IF(TableAopCalendar[[#This Row],[Day]]&lt;8,1,IF(TableAopCalendar[[#This Row],[Day]]&lt;15,2,IF(TableAopCalendar[[#This Row],[Day]]&lt;22,3,IF(TableAopCalendar[[#This Row],[Day]]&lt;29,4,IF(TableAopCalendar[[#This Row],[Day]]&lt;32,5)))))</f>
        <v>3</v>
      </c>
      <c r="G22" s="4" t="str">
        <f t="shared" si="1"/>
        <v>Week 3</v>
      </c>
      <c r="H22" s="4" t="str">
        <f t="shared" si="2"/>
        <v>April 22 Week 3</v>
      </c>
      <c r="I22" s="4" t="str">
        <f>CONCATENATE(UPPER(TableAopCalendar[[#This Row],[Month]])," ",TableAopCalendar[[#This Row],[Year]])</f>
        <v>APRIL 22</v>
      </c>
      <c r="J22" s="7" t="s">
        <v>274</v>
      </c>
      <c r="K22" s="7" t="str">
        <f>CONCATENATE(TableAopCalendar[[#This Row],[Month for Plan]]," ",TableAopCalendar[[#This Row],[Plan]])</f>
        <v>APRIL 22 PLANNED</v>
      </c>
    </row>
    <row r="23" spans="1:11" x14ac:dyDescent="0.3">
      <c r="A23" s="4">
        <f t="shared" si="0"/>
        <v>1</v>
      </c>
      <c r="B23" s="5">
        <v>44673</v>
      </c>
      <c r="C23" s="6" t="s">
        <v>264</v>
      </c>
      <c r="D23" s="6">
        <v>22</v>
      </c>
      <c r="E23" s="4">
        <f>DAY(TableAopCalendar[[#This Row],[Date]])</f>
        <v>22</v>
      </c>
      <c r="F23" s="4">
        <f>IF(TableAopCalendar[[#This Row],[Day]]&lt;8,1,IF(TableAopCalendar[[#This Row],[Day]]&lt;15,2,IF(TableAopCalendar[[#This Row],[Day]]&lt;22,3,IF(TableAopCalendar[[#This Row],[Day]]&lt;29,4,IF(TableAopCalendar[[#This Row],[Day]]&lt;32,5)))))</f>
        <v>4</v>
      </c>
      <c r="G23" s="4" t="str">
        <f t="shared" si="1"/>
        <v>Week 4</v>
      </c>
      <c r="H23" s="4" t="str">
        <f t="shared" si="2"/>
        <v>April 22 Week 4</v>
      </c>
      <c r="I23" s="4" t="str">
        <f>CONCATENATE(UPPER(TableAopCalendar[[#This Row],[Month]])," ",TableAopCalendar[[#This Row],[Year]])</f>
        <v>APRIL 22</v>
      </c>
      <c r="J23" s="7" t="s">
        <v>274</v>
      </c>
      <c r="K23" s="7" t="str">
        <f>CONCATENATE(TableAopCalendar[[#This Row],[Month for Plan]]," ",TableAopCalendar[[#This Row],[Plan]])</f>
        <v>APRIL 22 PLANNED</v>
      </c>
    </row>
    <row r="24" spans="1:11" x14ac:dyDescent="0.3">
      <c r="A24" s="4">
        <f t="shared" si="0"/>
        <v>2</v>
      </c>
      <c r="B24" s="5">
        <v>44674</v>
      </c>
      <c r="C24" s="6" t="s">
        <v>264</v>
      </c>
      <c r="D24" s="6">
        <v>22</v>
      </c>
      <c r="E24" s="4">
        <f>DAY(TableAopCalendar[[#This Row],[Date]])</f>
        <v>23</v>
      </c>
      <c r="F24" s="4">
        <f>IF(TableAopCalendar[[#This Row],[Day]]&lt;8,1,IF(TableAopCalendar[[#This Row],[Day]]&lt;15,2,IF(TableAopCalendar[[#This Row],[Day]]&lt;22,3,IF(TableAopCalendar[[#This Row],[Day]]&lt;29,4,IF(TableAopCalendar[[#This Row],[Day]]&lt;32,5)))))</f>
        <v>4</v>
      </c>
      <c r="G24" s="4" t="str">
        <f t="shared" si="1"/>
        <v>Week 4</v>
      </c>
      <c r="H24" s="4" t="str">
        <f t="shared" si="2"/>
        <v>April 22 Week 4</v>
      </c>
      <c r="I24" s="4" t="str">
        <f>CONCATENATE(UPPER(TableAopCalendar[[#This Row],[Month]])," ",TableAopCalendar[[#This Row],[Year]])</f>
        <v>APRIL 22</v>
      </c>
      <c r="J24" s="7" t="s">
        <v>274</v>
      </c>
      <c r="K24" s="7" t="str">
        <f>CONCATENATE(TableAopCalendar[[#This Row],[Month for Plan]]," ",TableAopCalendar[[#This Row],[Plan]])</f>
        <v>APRIL 22 PLANNED</v>
      </c>
    </row>
    <row r="25" spans="1:11" x14ac:dyDescent="0.3">
      <c r="A25" s="4">
        <f t="shared" si="0"/>
        <v>3</v>
      </c>
      <c r="B25" s="5">
        <v>44675</v>
      </c>
      <c r="C25" s="6" t="s">
        <v>264</v>
      </c>
      <c r="D25" s="6">
        <v>22</v>
      </c>
      <c r="E25" s="4">
        <f>DAY(TableAopCalendar[[#This Row],[Date]])</f>
        <v>24</v>
      </c>
      <c r="F25" s="4">
        <f>IF(TableAopCalendar[[#This Row],[Day]]&lt;8,1,IF(TableAopCalendar[[#This Row],[Day]]&lt;15,2,IF(TableAopCalendar[[#This Row],[Day]]&lt;22,3,IF(TableAopCalendar[[#This Row],[Day]]&lt;29,4,IF(TableAopCalendar[[#This Row],[Day]]&lt;32,5)))))</f>
        <v>4</v>
      </c>
      <c r="G25" s="4" t="str">
        <f t="shared" si="1"/>
        <v>Week 4</v>
      </c>
      <c r="H25" s="4" t="str">
        <f t="shared" si="2"/>
        <v>April 22 Week 4</v>
      </c>
      <c r="I25" s="4" t="str">
        <f>CONCATENATE(UPPER(TableAopCalendar[[#This Row],[Month]])," ",TableAopCalendar[[#This Row],[Year]])</f>
        <v>APRIL 22</v>
      </c>
      <c r="J25" s="7" t="s">
        <v>274</v>
      </c>
      <c r="K25" s="7" t="str">
        <f>CONCATENATE(TableAopCalendar[[#This Row],[Month for Plan]]," ",TableAopCalendar[[#This Row],[Plan]])</f>
        <v>APRIL 22 PLANNED</v>
      </c>
    </row>
    <row r="26" spans="1:11" x14ac:dyDescent="0.3">
      <c r="A26" s="4">
        <f t="shared" si="0"/>
        <v>4</v>
      </c>
      <c r="B26" s="5">
        <v>44676</v>
      </c>
      <c r="C26" s="6" t="s">
        <v>264</v>
      </c>
      <c r="D26" s="6">
        <v>22</v>
      </c>
      <c r="E26" s="4">
        <f>DAY(TableAopCalendar[[#This Row],[Date]])</f>
        <v>25</v>
      </c>
      <c r="F26" s="4">
        <f>IF(TableAopCalendar[[#This Row],[Day]]&lt;8,1,IF(TableAopCalendar[[#This Row],[Day]]&lt;15,2,IF(TableAopCalendar[[#This Row],[Day]]&lt;22,3,IF(TableAopCalendar[[#This Row],[Day]]&lt;29,4,IF(TableAopCalendar[[#This Row],[Day]]&lt;32,5)))))</f>
        <v>4</v>
      </c>
      <c r="G26" s="4" t="str">
        <f t="shared" si="1"/>
        <v>Week 4</v>
      </c>
      <c r="H26" s="4" t="str">
        <f t="shared" si="2"/>
        <v>April 22 Week 4</v>
      </c>
      <c r="I26" s="4" t="str">
        <f>CONCATENATE(UPPER(TableAopCalendar[[#This Row],[Month]])," ",TableAopCalendar[[#This Row],[Year]])</f>
        <v>APRIL 22</v>
      </c>
      <c r="J26" s="7" t="s">
        <v>274</v>
      </c>
      <c r="K26" s="7" t="str">
        <f>CONCATENATE(TableAopCalendar[[#This Row],[Month for Plan]]," ",TableAopCalendar[[#This Row],[Plan]])</f>
        <v>APRIL 22 PLANNED</v>
      </c>
    </row>
    <row r="27" spans="1:11" x14ac:dyDescent="0.3">
      <c r="A27" s="4">
        <f t="shared" si="0"/>
        <v>5</v>
      </c>
      <c r="B27" s="5">
        <v>44677</v>
      </c>
      <c r="C27" s="6" t="s">
        <v>264</v>
      </c>
      <c r="D27" s="6">
        <v>22</v>
      </c>
      <c r="E27" s="4">
        <f>DAY(TableAopCalendar[[#This Row],[Date]])</f>
        <v>26</v>
      </c>
      <c r="F27" s="4">
        <f>IF(TableAopCalendar[[#This Row],[Day]]&lt;8,1,IF(TableAopCalendar[[#This Row],[Day]]&lt;15,2,IF(TableAopCalendar[[#This Row],[Day]]&lt;22,3,IF(TableAopCalendar[[#This Row],[Day]]&lt;29,4,IF(TableAopCalendar[[#This Row],[Day]]&lt;32,5)))))</f>
        <v>4</v>
      </c>
      <c r="G27" s="4" t="str">
        <f t="shared" si="1"/>
        <v>Week 4</v>
      </c>
      <c r="H27" s="4" t="str">
        <f t="shared" si="2"/>
        <v>April 22 Week 4</v>
      </c>
      <c r="I27" s="4" t="str">
        <f>CONCATENATE(UPPER(TableAopCalendar[[#This Row],[Month]])," ",TableAopCalendar[[#This Row],[Year]])</f>
        <v>APRIL 22</v>
      </c>
      <c r="J27" s="7" t="s">
        <v>274</v>
      </c>
      <c r="K27" s="7" t="str">
        <f>CONCATENATE(TableAopCalendar[[#This Row],[Month for Plan]]," ",TableAopCalendar[[#This Row],[Plan]])</f>
        <v>APRIL 22 PLANNED</v>
      </c>
    </row>
    <row r="28" spans="1:11" x14ac:dyDescent="0.3">
      <c r="A28" s="4">
        <f t="shared" si="0"/>
        <v>6</v>
      </c>
      <c r="B28" s="5">
        <v>44678</v>
      </c>
      <c r="C28" s="6" t="s">
        <v>264</v>
      </c>
      <c r="D28" s="6">
        <v>22</v>
      </c>
      <c r="E28" s="4">
        <f>DAY(TableAopCalendar[[#This Row],[Date]])</f>
        <v>27</v>
      </c>
      <c r="F28" s="4">
        <f>IF(TableAopCalendar[[#This Row],[Day]]&lt;8,1,IF(TableAopCalendar[[#This Row],[Day]]&lt;15,2,IF(TableAopCalendar[[#This Row],[Day]]&lt;22,3,IF(TableAopCalendar[[#This Row],[Day]]&lt;29,4,IF(TableAopCalendar[[#This Row],[Day]]&lt;32,5)))))</f>
        <v>4</v>
      </c>
      <c r="G28" s="4" t="str">
        <f t="shared" si="1"/>
        <v>Week 4</v>
      </c>
      <c r="H28" s="4" t="str">
        <f t="shared" si="2"/>
        <v>April 22 Week 4</v>
      </c>
      <c r="I28" s="4" t="str">
        <f>CONCATENATE(UPPER(TableAopCalendar[[#This Row],[Month]])," ",TableAopCalendar[[#This Row],[Year]])</f>
        <v>APRIL 22</v>
      </c>
      <c r="J28" s="7" t="s">
        <v>274</v>
      </c>
      <c r="K28" s="7" t="str">
        <f>CONCATENATE(TableAopCalendar[[#This Row],[Month for Plan]]," ",TableAopCalendar[[#This Row],[Plan]])</f>
        <v>APRIL 22 PLANNED</v>
      </c>
    </row>
    <row r="29" spans="1:11" x14ac:dyDescent="0.3">
      <c r="A29" s="4">
        <f t="shared" si="0"/>
        <v>7</v>
      </c>
      <c r="B29" s="5">
        <v>44679</v>
      </c>
      <c r="C29" s="6" t="s">
        <v>264</v>
      </c>
      <c r="D29" s="6">
        <v>22</v>
      </c>
      <c r="E29" s="4">
        <f>DAY(TableAopCalendar[[#This Row],[Date]])</f>
        <v>28</v>
      </c>
      <c r="F29" s="4">
        <f>IF(TableAopCalendar[[#This Row],[Day]]&lt;8,1,IF(TableAopCalendar[[#This Row],[Day]]&lt;15,2,IF(TableAopCalendar[[#This Row],[Day]]&lt;22,3,IF(TableAopCalendar[[#This Row],[Day]]&lt;29,4,IF(TableAopCalendar[[#This Row],[Day]]&lt;32,5)))))</f>
        <v>4</v>
      </c>
      <c r="G29" s="4" t="str">
        <f t="shared" si="1"/>
        <v>Week 4</v>
      </c>
      <c r="H29" s="4" t="str">
        <f t="shared" si="2"/>
        <v>April 22 Week 4</v>
      </c>
      <c r="I29" s="4" t="str">
        <f>CONCATENATE(UPPER(TableAopCalendar[[#This Row],[Month]])," ",TableAopCalendar[[#This Row],[Year]])</f>
        <v>APRIL 22</v>
      </c>
      <c r="J29" s="7" t="s">
        <v>274</v>
      </c>
      <c r="K29" s="7" t="str">
        <f>CONCATENATE(TableAopCalendar[[#This Row],[Month for Plan]]," ",TableAopCalendar[[#This Row],[Plan]])</f>
        <v>APRIL 22 PLANNED</v>
      </c>
    </row>
    <row r="30" spans="1:11" x14ac:dyDescent="0.3">
      <c r="A30" s="4">
        <f t="shared" si="0"/>
        <v>1</v>
      </c>
      <c r="B30" s="5">
        <v>44680</v>
      </c>
      <c r="C30" s="6" t="s">
        <v>264</v>
      </c>
      <c r="D30" s="6">
        <v>22</v>
      </c>
      <c r="E30" s="4">
        <f>DAY(TableAopCalendar[[#This Row],[Date]])</f>
        <v>29</v>
      </c>
      <c r="F30" s="4">
        <f>IF(TableAopCalendar[[#This Row],[Day]]&lt;8,1,IF(TableAopCalendar[[#This Row],[Day]]&lt;15,2,IF(TableAopCalendar[[#This Row],[Day]]&lt;22,3,IF(TableAopCalendar[[#This Row],[Day]]&lt;29,4,IF(TableAopCalendar[[#This Row],[Day]]&lt;32,5)))))</f>
        <v>5</v>
      </c>
      <c r="G30" s="4" t="str">
        <f t="shared" si="1"/>
        <v>Week 5</v>
      </c>
      <c r="H30" s="4" t="str">
        <f t="shared" si="2"/>
        <v>April 22 Week 5</v>
      </c>
      <c r="I30" s="4" t="str">
        <f>CONCATENATE(UPPER(TableAopCalendar[[#This Row],[Month]])," ",TableAopCalendar[[#This Row],[Year]])</f>
        <v>APRIL 22</v>
      </c>
      <c r="J30" s="7" t="s">
        <v>274</v>
      </c>
      <c r="K30" s="7" t="str">
        <f>CONCATENATE(TableAopCalendar[[#This Row],[Month for Plan]]," ",TableAopCalendar[[#This Row],[Plan]])</f>
        <v>APRIL 22 PLANNED</v>
      </c>
    </row>
    <row r="31" spans="1:11" x14ac:dyDescent="0.3">
      <c r="A31" s="4">
        <f t="shared" si="0"/>
        <v>2</v>
      </c>
      <c r="B31" s="5">
        <v>44681</v>
      </c>
      <c r="C31" s="6" t="s">
        <v>264</v>
      </c>
      <c r="D31" s="6">
        <v>22</v>
      </c>
      <c r="E31" s="4">
        <f>DAY(TableAopCalendar[[#This Row],[Date]])</f>
        <v>30</v>
      </c>
      <c r="F31" s="4">
        <f>IF(TableAopCalendar[[#This Row],[Day]]&lt;8,1,IF(TableAopCalendar[[#This Row],[Day]]&lt;15,2,IF(TableAopCalendar[[#This Row],[Day]]&lt;22,3,IF(TableAopCalendar[[#This Row],[Day]]&lt;29,4,IF(TableAopCalendar[[#This Row],[Day]]&lt;32,5)))))</f>
        <v>5</v>
      </c>
      <c r="G31" s="4" t="str">
        <f t="shared" si="1"/>
        <v>Week 5</v>
      </c>
      <c r="H31" s="4" t="str">
        <f t="shared" si="2"/>
        <v>April 22 Week 5</v>
      </c>
      <c r="I31" s="4" t="str">
        <f>CONCATENATE(UPPER(TableAopCalendar[[#This Row],[Month]])," ",TableAopCalendar[[#This Row],[Year]])</f>
        <v>APRIL 22</v>
      </c>
      <c r="J31" s="7" t="s">
        <v>274</v>
      </c>
      <c r="K31" s="7" t="str">
        <f>CONCATENATE(TableAopCalendar[[#This Row],[Month for Plan]]," ",TableAopCalendar[[#This Row],[Plan]])</f>
        <v>APRIL 22 PLANNED</v>
      </c>
    </row>
    <row r="32" spans="1:11" x14ac:dyDescent="0.3">
      <c r="A32" s="4">
        <f t="shared" si="0"/>
        <v>1</v>
      </c>
      <c r="B32" s="5">
        <v>44682</v>
      </c>
      <c r="C32" s="6" t="s">
        <v>265</v>
      </c>
      <c r="D32" s="6">
        <v>22</v>
      </c>
      <c r="E32" s="4">
        <f>DAY(TableAopCalendar[[#This Row],[Date]])</f>
        <v>1</v>
      </c>
      <c r="F32" s="4">
        <f>IF(TableAopCalendar[[#This Row],[Day]]&lt;8,1,IF(TableAopCalendar[[#This Row],[Day]]&lt;15,2,IF(TableAopCalendar[[#This Row],[Day]]&lt;22,3,IF(TableAopCalendar[[#This Row],[Day]]&lt;29,4,IF(TableAopCalendar[[#This Row],[Day]]&lt;32,5)))))</f>
        <v>1</v>
      </c>
      <c r="G32" s="4" t="str">
        <f t="shared" si="1"/>
        <v>Week 1</v>
      </c>
      <c r="H32" s="4" t="str">
        <f t="shared" si="2"/>
        <v>May 22 Week 1</v>
      </c>
      <c r="I32" s="4" t="str">
        <f>CONCATENATE(UPPER(TableAopCalendar[[#This Row],[Month]])," ",TableAopCalendar[[#This Row],[Year]])</f>
        <v>MAY 22</v>
      </c>
      <c r="J32" s="7" t="s">
        <v>274</v>
      </c>
      <c r="K32" s="7" t="str">
        <f>CONCATENATE(TableAopCalendar[[#This Row],[Month for Plan]]," ",TableAopCalendar[[#This Row],[Plan]])</f>
        <v>MAY 22 PLANNED</v>
      </c>
    </row>
    <row r="33" spans="1:11" x14ac:dyDescent="0.3">
      <c r="A33" s="4">
        <f t="shared" si="0"/>
        <v>2</v>
      </c>
      <c r="B33" s="5">
        <v>44683</v>
      </c>
      <c r="C33" s="6" t="s">
        <v>265</v>
      </c>
      <c r="D33" s="6">
        <v>22</v>
      </c>
      <c r="E33" s="4">
        <f>DAY(TableAopCalendar[[#This Row],[Date]])</f>
        <v>2</v>
      </c>
      <c r="F33" s="4">
        <f>IF(TableAopCalendar[[#This Row],[Day]]&lt;8,1,IF(TableAopCalendar[[#This Row],[Day]]&lt;15,2,IF(TableAopCalendar[[#This Row],[Day]]&lt;22,3,IF(TableAopCalendar[[#This Row],[Day]]&lt;29,4,IF(TableAopCalendar[[#This Row],[Day]]&lt;32,5)))))</f>
        <v>1</v>
      </c>
      <c r="G33" s="4" t="str">
        <f t="shared" si="1"/>
        <v>Week 1</v>
      </c>
      <c r="H33" s="4" t="str">
        <f t="shared" si="2"/>
        <v>May 22 Week 1</v>
      </c>
      <c r="I33" s="4" t="str">
        <f>CONCATENATE(UPPER(TableAopCalendar[[#This Row],[Month]])," ",TableAopCalendar[[#This Row],[Year]])</f>
        <v>MAY 22</v>
      </c>
      <c r="J33" s="7" t="s">
        <v>274</v>
      </c>
      <c r="K33" s="7" t="str">
        <f>CONCATENATE(TableAopCalendar[[#This Row],[Month for Plan]]," ",TableAopCalendar[[#This Row],[Plan]])</f>
        <v>MAY 22 PLANNED</v>
      </c>
    </row>
    <row r="34" spans="1:11" x14ac:dyDescent="0.3">
      <c r="A34" s="4">
        <f t="shared" si="0"/>
        <v>3</v>
      </c>
      <c r="B34" s="5">
        <v>44684</v>
      </c>
      <c r="C34" s="6" t="s">
        <v>265</v>
      </c>
      <c r="D34" s="6">
        <v>22</v>
      </c>
      <c r="E34" s="4">
        <f>DAY(TableAopCalendar[[#This Row],[Date]])</f>
        <v>3</v>
      </c>
      <c r="F34" s="4">
        <f>IF(TableAopCalendar[[#This Row],[Day]]&lt;8,1,IF(TableAopCalendar[[#This Row],[Day]]&lt;15,2,IF(TableAopCalendar[[#This Row],[Day]]&lt;22,3,IF(TableAopCalendar[[#This Row],[Day]]&lt;29,4,IF(TableAopCalendar[[#This Row],[Day]]&lt;32,5)))))</f>
        <v>1</v>
      </c>
      <c r="G34" s="4" t="str">
        <f t="shared" si="1"/>
        <v>Week 1</v>
      </c>
      <c r="H34" s="4" t="str">
        <f t="shared" si="2"/>
        <v>May 22 Week 1</v>
      </c>
      <c r="I34" s="4" t="str">
        <f>CONCATENATE(UPPER(TableAopCalendar[[#This Row],[Month]])," ",TableAopCalendar[[#This Row],[Year]])</f>
        <v>MAY 22</v>
      </c>
      <c r="J34" s="7" t="s">
        <v>274</v>
      </c>
      <c r="K34" s="7" t="str">
        <f>CONCATENATE(TableAopCalendar[[#This Row],[Month for Plan]]," ",TableAopCalendar[[#This Row],[Plan]])</f>
        <v>MAY 22 PLANNED</v>
      </c>
    </row>
    <row r="35" spans="1:11" x14ac:dyDescent="0.3">
      <c r="A35" s="4">
        <f t="shared" si="0"/>
        <v>4</v>
      </c>
      <c r="B35" s="5">
        <v>44685</v>
      </c>
      <c r="C35" s="6" t="s">
        <v>265</v>
      </c>
      <c r="D35" s="6">
        <v>22</v>
      </c>
      <c r="E35" s="4">
        <f>DAY(TableAopCalendar[[#This Row],[Date]])</f>
        <v>4</v>
      </c>
      <c r="F35" s="4">
        <f>IF(TableAopCalendar[[#This Row],[Day]]&lt;8,1,IF(TableAopCalendar[[#This Row],[Day]]&lt;15,2,IF(TableAopCalendar[[#This Row],[Day]]&lt;22,3,IF(TableAopCalendar[[#This Row],[Day]]&lt;29,4,IF(TableAopCalendar[[#This Row],[Day]]&lt;32,5)))))</f>
        <v>1</v>
      </c>
      <c r="G35" s="4" t="str">
        <f t="shared" si="1"/>
        <v>Week 1</v>
      </c>
      <c r="H35" s="4" t="str">
        <f t="shared" si="2"/>
        <v>May 22 Week 1</v>
      </c>
      <c r="I35" s="4" t="str">
        <f>CONCATENATE(UPPER(TableAopCalendar[[#This Row],[Month]])," ",TableAopCalendar[[#This Row],[Year]])</f>
        <v>MAY 22</v>
      </c>
      <c r="J35" s="7" t="s">
        <v>274</v>
      </c>
      <c r="K35" s="7" t="str">
        <f>CONCATENATE(TableAopCalendar[[#This Row],[Month for Plan]]," ",TableAopCalendar[[#This Row],[Plan]])</f>
        <v>MAY 22 PLANNED</v>
      </c>
    </row>
    <row r="36" spans="1:11" x14ac:dyDescent="0.3">
      <c r="A36" s="4">
        <f t="shared" si="0"/>
        <v>5</v>
      </c>
      <c r="B36" s="5">
        <v>44686</v>
      </c>
      <c r="C36" s="6" t="s">
        <v>265</v>
      </c>
      <c r="D36" s="6">
        <v>22</v>
      </c>
      <c r="E36" s="4">
        <f>DAY(TableAopCalendar[[#This Row],[Date]])</f>
        <v>5</v>
      </c>
      <c r="F36" s="4">
        <f>IF(TableAopCalendar[[#This Row],[Day]]&lt;8,1,IF(TableAopCalendar[[#This Row],[Day]]&lt;15,2,IF(TableAopCalendar[[#This Row],[Day]]&lt;22,3,IF(TableAopCalendar[[#This Row],[Day]]&lt;29,4,IF(TableAopCalendar[[#This Row],[Day]]&lt;32,5)))))</f>
        <v>1</v>
      </c>
      <c r="G36" s="4" t="str">
        <f t="shared" si="1"/>
        <v>Week 1</v>
      </c>
      <c r="H36" s="4" t="str">
        <f t="shared" si="2"/>
        <v>May 22 Week 1</v>
      </c>
      <c r="I36" s="4" t="str">
        <f>CONCATENATE(UPPER(TableAopCalendar[[#This Row],[Month]])," ",TableAopCalendar[[#This Row],[Year]])</f>
        <v>MAY 22</v>
      </c>
      <c r="J36" s="7" t="s">
        <v>274</v>
      </c>
      <c r="K36" s="7" t="str">
        <f>CONCATENATE(TableAopCalendar[[#This Row],[Month for Plan]]," ",TableAopCalendar[[#This Row],[Plan]])</f>
        <v>MAY 22 PLANNED</v>
      </c>
    </row>
    <row r="37" spans="1:11" x14ac:dyDescent="0.3">
      <c r="A37" s="4">
        <f t="shared" si="0"/>
        <v>6</v>
      </c>
      <c r="B37" s="5">
        <v>44687</v>
      </c>
      <c r="C37" s="6" t="s">
        <v>265</v>
      </c>
      <c r="D37" s="6">
        <v>22</v>
      </c>
      <c r="E37" s="4">
        <f>DAY(TableAopCalendar[[#This Row],[Date]])</f>
        <v>6</v>
      </c>
      <c r="F37" s="4">
        <f>IF(TableAopCalendar[[#This Row],[Day]]&lt;8,1,IF(TableAopCalendar[[#This Row],[Day]]&lt;15,2,IF(TableAopCalendar[[#This Row],[Day]]&lt;22,3,IF(TableAopCalendar[[#This Row],[Day]]&lt;29,4,IF(TableAopCalendar[[#This Row],[Day]]&lt;32,5)))))</f>
        <v>1</v>
      </c>
      <c r="G37" s="4" t="str">
        <f t="shared" si="1"/>
        <v>Week 1</v>
      </c>
      <c r="H37" s="4" t="str">
        <f t="shared" si="2"/>
        <v>May 22 Week 1</v>
      </c>
      <c r="I37" s="4" t="str">
        <f>CONCATENATE(UPPER(TableAopCalendar[[#This Row],[Month]])," ",TableAopCalendar[[#This Row],[Year]])</f>
        <v>MAY 22</v>
      </c>
      <c r="J37" s="7" t="s">
        <v>274</v>
      </c>
      <c r="K37" s="7" t="str">
        <f>CONCATENATE(TableAopCalendar[[#This Row],[Month for Plan]]," ",TableAopCalendar[[#This Row],[Plan]])</f>
        <v>MAY 22 PLANNED</v>
      </c>
    </row>
    <row r="38" spans="1:11" x14ac:dyDescent="0.3">
      <c r="A38" s="4">
        <f t="shared" si="0"/>
        <v>7</v>
      </c>
      <c r="B38" s="5">
        <v>44688</v>
      </c>
      <c r="C38" s="6" t="s">
        <v>265</v>
      </c>
      <c r="D38" s="6">
        <v>22</v>
      </c>
      <c r="E38" s="4">
        <f>DAY(TableAopCalendar[[#This Row],[Date]])</f>
        <v>7</v>
      </c>
      <c r="F38" s="4">
        <f>IF(TableAopCalendar[[#This Row],[Day]]&lt;8,1,IF(TableAopCalendar[[#This Row],[Day]]&lt;15,2,IF(TableAopCalendar[[#This Row],[Day]]&lt;22,3,IF(TableAopCalendar[[#This Row],[Day]]&lt;29,4,IF(TableAopCalendar[[#This Row],[Day]]&lt;32,5)))))</f>
        <v>1</v>
      </c>
      <c r="G38" s="4" t="str">
        <f t="shared" si="1"/>
        <v>Week 1</v>
      </c>
      <c r="H38" s="4" t="str">
        <f t="shared" si="2"/>
        <v>May 22 Week 1</v>
      </c>
      <c r="I38" s="4" t="str">
        <f>CONCATENATE(UPPER(TableAopCalendar[[#This Row],[Month]])," ",TableAopCalendar[[#This Row],[Year]])</f>
        <v>MAY 22</v>
      </c>
      <c r="J38" s="7" t="s">
        <v>274</v>
      </c>
      <c r="K38" s="7" t="str">
        <f>CONCATENATE(TableAopCalendar[[#This Row],[Month for Plan]]," ",TableAopCalendar[[#This Row],[Plan]])</f>
        <v>MAY 22 PLANNED</v>
      </c>
    </row>
    <row r="39" spans="1:11" x14ac:dyDescent="0.3">
      <c r="A39" s="4">
        <f t="shared" si="0"/>
        <v>1</v>
      </c>
      <c r="B39" s="5">
        <v>44689</v>
      </c>
      <c r="C39" s="6" t="s">
        <v>265</v>
      </c>
      <c r="D39" s="6">
        <v>22</v>
      </c>
      <c r="E39" s="4">
        <f>DAY(TableAopCalendar[[#This Row],[Date]])</f>
        <v>8</v>
      </c>
      <c r="F39" s="4">
        <f>IF(TableAopCalendar[[#This Row],[Day]]&lt;8,1,IF(TableAopCalendar[[#This Row],[Day]]&lt;15,2,IF(TableAopCalendar[[#This Row],[Day]]&lt;22,3,IF(TableAopCalendar[[#This Row],[Day]]&lt;29,4,IF(TableAopCalendar[[#This Row],[Day]]&lt;32,5)))))</f>
        <v>2</v>
      </c>
      <c r="G39" s="4" t="str">
        <f t="shared" si="1"/>
        <v>Week 2</v>
      </c>
      <c r="H39" s="4" t="str">
        <f t="shared" si="2"/>
        <v>May 22 Week 2</v>
      </c>
      <c r="I39" s="4" t="str">
        <f>CONCATENATE(UPPER(TableAopCalendar[[#This Row],[Month]])," ",TableAopCalendar[[#This Row],[Year]])</f>
        <v>MAY 22</v>
      </c>
      <c r="J39" s="7" t="s">
        <v>274</v>
      </c>
      <c r="K39" s="7" t="str">
        <f>CONCATENATE(TableAopCalendar[[#This Row],[Month for Plan]]," ",TableAopCalendar[[#This Row],[Plan]])</f>
        <v>MAY 22 PLANNED</v>
      </c>
    </row>
    <row r="40" spans="1:11" x14ac:dyDescent="0.3">
      <c r="A40" s="4">
        <f t="shared" si="0"/>
        <v>2</v>
      </c>
      <c r="B40" s="5">
        <v>44690</v>
      </c>
      <c r="C40" s="6" t="s">
        <v>265</v>
      </c>
      <c r="D40" s="6">
        <v>22</v>
      </c>
      <c r="E40" s="4">
        <f>DAY(TableAopCalendar[[#This Row],[Date]])</f>
        <v>9</v>
      </c>
      <c r="F40" s="4">
        <f>IF(TableAopCalendar[[#This Row],[Day]]&lt;8,1,IF(TableAopCalendar[[#This Row],[Day]]&lt;15,2,IF(TableAopCalendar[[#This Row],[Day]]&lt;22,3,IF(TableAopCalendar[[#This Row],[Day]]&lt;29,4,IF(TableAopCalendar[[#This Row],[Day]]&lt;32,5)))))</f>
        <v>2</v>
      </c>
      <c r="G40" s="4" t="str">
        <f t="shared" si="1"/>
        <v>Week 2</v>
      </c>
      <c r="H40" s="4" t="str">
        <f t="shared" si="2"/>
        <v>May 22 Week 2</v>
      </c>
      <c r="I40" s="4" t="str">
        <f>CONCATENATE(UPPER(TableAopCalendar[[#This Row],[Month]])," ",TableAopCalendar[[#This Row],[Year]])</f>
        <v>MAY 22</v>
      </c>
      <c r="J40" s="7" t="s">
        <v>274</v>
      </c>
      <c r="K40" s="7" t="str">
        <f>CONCATENATE(TableAopCalendar[[#This Row],[Month for Plan]]," ",TableAopCalendar[[#This Row],[Plan]])</f>
        <v>MAY 22 PLANNED</v>
      </c>
    </row>
    <row r="41" spans="1:11" x14ac:dyDescent="0.3">
      <c r="A41" s="4">
        <f t="shared" si="0"/>
        <v>3</v>
      </c>
      <c r="B41" s="5">
        <v>44691</v>
      </c>
      <c r="C41" s="6" t="s">
        <v>265</v>
      </c>
      <c r="D41" s="6">
        <v>22</v>
      </c>
      <c r="E41" s="4">
        <f>DAY(TableAopCalendar[[#This Row],[Date]])</f>
        <v>10</v>
      </c>
      <c r="F41" s="4">
        <f>IF(TableAopCalendar[[#This Row],[Day]]&lt;8,1,IF(TableAopCalendar[[#This Row],[Day]]&lt;15,2,IF(TableAopCalendar[[#This Row],[Day]]&lt;22,3,IF(TableAopCalendar[[#This Row],[Day]]&lt;29,4,IF(TableAopCalendar[[#This Row],[Day]]&lt;32,5)))))</f>
        <v>2</v>
      </c>
      <c r="G41" s="4" t="str">
        <f t="shared" si="1"/>
        <v>Week 2</v>
      </c>
      <c r="H41" s="4" t="str">
        <f t="shared" si="2"/>
        <v>May 22 Week 2</v>
      </c>
      <c r="I41" s="4" t="str">
        <f>CONCATENATE(UPPER(TableAopCalendar[[#This Row],[Month]])," ",TableAopCalendar[[#This Row],[Year]])</f>
        <v>MAY 22</v>
      </c>
      <c r="J41" s="7" t="s">
        <v>274</v>
      </c>
      <c r="K41" s="7" t="str">
        <f>CONCATENATE(TableAopCalendar[[#This Row],[Month for Plan]]," ",TableAopCalendar[[#This Row],[Plan]])</f>
        <v>MAY 22 PLANNED</v>
      </c>
    </row>
    <row r="42" spans="1:11" x14ac:dyDescent="0.3">
      <c r="A42" s="4">
        <f t="shared" si="0"/>
        <v>4</v>
      </c>
      <c r="B42" s="5">
        <v>44692</v>
      </c>
      <c r="C42" s="6" t="s">
        <v>265</v>
      </c>
      <c r="D42" s="6">
        <v>22</v>
      </c>
      <c r="E42" s="4">
        <f>DAY(TableAopCalendar[[#This Row],[Date]])</f>
        <v>11</v>
      </c>
      <c r="F42" s="4">
        <f>IF(TableAopCalendar[[#This Row],[Day]]&lt;8,1,IF(TableAopCalendar[[#This Row],[Day]]&lt;15,2,IF(TableAopCalendar[[#This Row],[Day]]&lt;22,3,IF(TableAopCalendar[[#This Row],[Day]]&lt;29,4,IF(TableAopCalendar[[#This Row],[Day]]&lt;32,5)))))</f>
        <v>2</v>
      </c>
      <c r="G42" s="4" t="str">
        <f t="shared" si="1"/>
        <v>Week 2</v>
      </c>
      <c r="H42" s="4" t="str">
        <f t="shared" si="2"/>
        <v>May 22 Week 2</v>
      </c>
      <c r="I42" s="4" t="str">
        <f>CONCATENATE(UPPER(TableAopCalendar[[#This Row],[Month]])," ",TableAopCalendar[[#This Row],[Year]])</f>
        <v>MAY 22</v>
      </c>
      <c r="J42" s="7" t="s">
        <v>274</v>
      </c>
      <c r="K42" s="7" t="str">
        <f>CONCATENATE(TableAopCalendar[[#This Row],[Month for Plan]]," ",TableAopCalendar[[#This Row],[Plan]])</f>
        <v>MAY 22 PLANNED</v>
      </c>
    </row>
    <row r="43" spans="1:11" x14ac:dyDescent="0.3">
      <c r="A43" s="4">
        <f t="shared" si="0"/>
        <v>5</v>
      </c>
      <c r="B43" s="5">
        <v>44693</v>
      </c>
      <c r="C43" s="6" t="s">
        <v>265</v>
      </c>
      <c r="D43" s="6">
        <v>22</v>
      </c>
      <c r="E43" s="4">
        <f>DAY(TableAopCalendar[[#This Row],[Date]])</f>
        <v>12</v>
      </c>
      <c r="F43" s="4">
        <f>IF(TableAopCalendar[[#This Row],[Day]]&lt;8,1,IF(TableAopCalendar[[#This Row],[Day]]&lt;15,2,IF(TableAopCalendar[[#This Row],[Day]]&lt;22,3,IF(TableAopCalendar[[#This Row],[Day]]&lt;29,4,IF(TableAopCalendar[[#This Row],[Day]]&lt;32,5)))))</f>
        <v>2</v>
      </c>
      <c r="G43" s="4" t="str">
        <f t="shared" si="1"/>
        <v>Week 2</v>
      </c>
      <c r="H43" s="4" t="str">
        <f t="shared" si="2"/>
        <v>May 22 Week 2</v>
      </c>
      <c r="I43" s="4" t="str">
        <f>CONCATENATE(UPPER(TableAopCalendar[[#This Row],[Month]])," ",TableAopCalendar[[#This Row],[Year]])</f>
        <v>MAY 22</v>
      </c>
      <c r="J43" s="7" t="s">
        <v>274</v>
      </c>
      <c r="K43" s="7" t="str">
        <f>CONCATENATE(TableAopCalendar[[#This Row],[Month for Plan]]," ",TableAopCalendar[[#This Row],[Plan]])</f>
        <v>MAY 22 PLANNED</v>
      </c>
    </row>
    <row r="44" spans="1:11" x14ac:dyDescent="0.3">
      <c r="A44" s="4">
        <f t="shared" si="0"/>
        <v>6</v>
      </c>
      <c r="B44" s="5">
        <v>44694</v>
      </c>
      <c r="C44" s="6" t="s">
        <v>265</v>
      </c>
      <c r="D44" s="6">
        <v>22</v>
      </c>
      <c r="E44" s="4">
        <f>DAY(TableAopCalendar[[#This Row],[Date]])</f>
        <v>13</v>
      </c>
      <c r="F44" s="4">
        <f>IF(TableAopCalendar[[#This Row],[Day]]&lt;8,1,IF(TableAopCalendar[[#This Row],[Day]]&lt;15,2,IF(TableAopCalendar[[#This Row],[Day]]&lt;22,3,IF(TableAopCalendar[[#This Row],[Day]]&lt;29,4,IF(TableAopCalendar[[#This Row],[Day]]&lt;32,5)))))</f>
        <v>2</v>
      </c>
      <c r="G44" s="4" t="str">
        <f t="shared" si="1"/>
        <v>Week 2</v>
      </c>
      <c r="H44" s="4" t="str">
        <f t="shared" si="2"/>
        <v>May 22 Week 2</v>
      </c>
      <c r="I44" s="4" t="str">
        <f>CONCATENATE(UPPER(TableAopCalendar[[#This Row],[Month]])," ",TableAopCalendar[[#This Row],[Year]])</f>
        <v>MAY 22</v>
      </c>
      <c r="J44" s="7" t="s">
        <v>274</v>
      </c>
      <c r="K44" s="7" t="str">
        <f>CONCATENATE(TableAopCalendar[[#This Row],[Month for Plan]]," ",TableAopCalendar[[#This Row],[Plan]])</f>
        <v>MAY 22 PLANNED</v>
      </c>
    </row>
    <row r="45" spans="1:11" x14ac:dyDescent="0.3">
      <c r="A45" s="4">
        <f t="shared" si="0"/>
        <v>7</v>
      </c>
      <c r="B45" s="5">
        <v>44695</v>
      </c>
      <c r="C45" s="6" t="s">
        <v>265</v>
      </c>
      <c r="D45" s="6">
        <v>22</v>
      </c>
      <c r="E45" s="4">
        <f>DAY(TableAopCalendar[[#This Row],[Date]])</f>
        <v>14</v>
      </c>
      <c r="F45" s="4">
        <f>IF(TableAopCalendar[[#This Row],[Day]]&lt;8,1,IF(TableAopCalendar[[#This Row],[Day]]&lt;15,2,IF(TableAopCalendar[[#This Row],[Day]]&lt;22,3,IF(TableAopCalendar[[#This Row],[Day]]&lt;29,4,IF(TableAopCalendar[[#This Row],[Day]]&lt;32,5)))))</f>
        <v>2</v>
      </c>
      <c r="G45" s="4" t="str">
        <f t="shared" si="1"/>
        <v>Week 2</v>
      </c>
      <c r="H45" s="4" t="str">
        <f t="shared" si="2"/>
        <v>May 22 Week 2</v>
      </c>
      <c r="I45" s="4" t="str">
        <f>CONCATENATE(UPPER(TableAopCalendar[[#This Row],[Month]])," ",TableAopCalendar[[#This Row],[Year]])</f>
        <v>MAY 22</v>
      </c>
      <c r="J45" s="7" t="s">
        <v>274</v>
      </c>
      <c r="K45" s="7" t="str">
        <f>CONCATENATE(TableAopCalendar[[#This Row],[Month for Plan]]," ",TableAopCalendar[[#This Row],[Plan]])</f>
        <v>MAY 22 PLANNED</v>
      </c>
    </row>
    <row r="46" spans="1:11" x14ac:dyDescent="0.3">
      <c r="A46" s="4">
        <f t="shared" si="0"/>
        <v>1</v>
      </c>
      <c r="B46" s="5">
        <v>44696</v>
      </c>
      <c r="C46" s="6" t="s">
        <v>265</v>
      </c>
      <c r="D46" s="6">
        <v>22</v>
      </c>
      <c r="E46" s="4">
        <f>DAY(TableAopCalendar[[#This Row],[Date]])</f>
        <v>15</v>
      </c>
      <c r="F46" s="4">
        <f>IF(TableAopCalendar[[#This Row],[Day]]&lt;8,1,IF(TableAopCalendar[[#This Row],[Day]]&lt;15,2,IF(TableAopCalendar[[#This Row],[Day]]&lt;22,3,IF(TableAopCalendar[[#This Row],[Day]]&lt;29,4,IF(TableAopCalendar[[#This Row],[Day]]&lt;32,5)))))</f>
        <v>3</v>
      </c>
      <c r="G46" s="4" t="str">
        <f t="shared" si="1"/>
        <v>Week 3</v>
      </c>
      <c r="H46" s="4" t="str">
        <f t="shared" si="2"/>
        <v>May 22 Week 3</v>
      </c>
      <c r="I46" s="4" t="str">
        <f>CONCATENATE(UPPER(TableAopCalendar[[#This Row],[Month]])," ",TableAopCalendar[[#This Row],[Year]])</f>
        <v>MAY 22</v>
      </c>
      <c r="J46" s="7" t="s">
        <v>274</v>
      </c>
      <c r="K46" s="7" t="str">
        <f>CONCATENATE(TableAopCalendar[[#This Row],[Month for Plan]]," ",TableAopCalendar[[#This Row],[Plan]])</f>
        <v>MAY 22 PLANNED</v>
      </c>
    </row>
    <row r="47" spans="1:11" x14ac:dyDescent="0.3">
      <c r="A47" s="4">
        <f t="shared" si="0"/>
        <v>2</v>
      </c>
      <c r="B47" s="5">
        <v>44697</v>
      </c>
      <c r="C47" s="6" t="s">
        <v>265</v>
      </c>
      <c r="D47" s="6">
        <v>22</v>
      </c>
      <c r="E47" s="4">
        <f>DAY(TableAopCalendar[[#This Row],[Date]])</f>
        <v>16</v>
      </c>
      <c r="F47" s="4">
        <f>IF(TableAopCalendar[[#This Row],[Day]]&lt;8,1,IF(TableAopCalendar[[#This Row],[Day]]&lt;15,2,IF(TableAopCalendar[[#This Row],[Day]]&lt;22,3,IF(TableAopCalendar[[#This Row],[Day]]&lt;29,4,IF(TableAopCalendar[[#This Row],[Day]]&lt;32,5)))))</f>
        <v>3</v>
      </c>
      <c r="G47" s="4" t="str">
        <f t="shared" si="1"/>
        <v>Week 3</v>
      </c>
      <c r="H47" s="4" t="str">
        <f t="shared" si="2"/>
        <v>May 22 Week 3</v>
      </c>
      <c r="I47" s="4" t="str">
        <f>CONCATENATE(UPPER(TableAopCalendar[[#This Row],[Month]])," ",TableAopCalendar[[#This Row],[Year]])</f>
        <v>MAY 22</v>
      </c>
      <c r="J47" s="7" t="s">
        <v>274</v>
      </c>
      <c r="K47" s="7" t="str">
        <f>CONCATENATE(TableAopCalendar[[#This Row],[Month for Plan]]," ",TableAopCalendar[[#This Row],[Plan]])</f>
        <v>MAY 22 PLANNED</v>
      </c>
    </row>
    <row r="48" spans="1:11" x14ac:dyDescent="0.3">
      <c r="A48" s="4">
        <f t="shared" si="0"/>
        <v>3</v>
      </c>
      <c r="B48" s="5">
        <v>44698</v>
      </c>
      <c r="C48" s="6" t="s">
        <v>265</v>
      </c>
      <c r="D48" s="6">
        <v>22</v>
      </c>
      <c r="E48" s="4">
        <f>DAY(TableAopCalendar[[#This Row],[Date]])</f>
        <v>17</v>
      </c>
      <c r="F48" s="4">
        <f>IF(TableAopCalendar[[#This Row],[Day]]&lt;8,1,IF(TableAopCalendar[[#This Row],[Day]]&lt;15,2,IF(TableAopCalendar[[#This Row],[Day]]&lt;22,3,IF(TableAopCalendar[[#This Row],[Day]]&lt;29,4,IF(TableAopCalendar[[#This Row],[Day]]&lt;32,5)))))</f>
        <v>3</v>
      </c>
      <c r="G48" s="4" t="str">
        <f t="shared" si="1"/>
        <v>Week 3</v>
      </c>
      <c r="H48" s="4" t="str">
        <f t="shared" si="2"/>
        <v>May 22 Week 3</v>
      </c>
      <c r="I48" s="4" t="str">
        <f>CONCATENATE(UPPER(TableAopCalendar[[#This Row],[Month]])," ",TableAopCalendar[[#This Row],[Year]])</f>
        <v>MAY 22</v>
      </c>
      <c r="J48" s="7" t="s">
        <v>274</v>
      </c>
      <c r="K48" s="7" t="str">
        <f>CONCATENATE(TableAopCalendar[[#This Row],[Month for Plan]]," ",TableAopCalendar[[#This Row],[Plan]])</f>
        <v>MAY 22 PLANNED</v>
      </c>
    </row>
    <row r="49" spans="1:11" x14ac:dyDescent="0.3">
      <c r="A49" s="4">
        <f t="shared" si="0"/>
        <v>4</v>
      </c>
      <c r="B49" s="5">
        <v>44699</v>
      </c>
      <c r="C49" s="6" t="s">
        <v>265</v>
      </c>
      <c r="D49" s="6">
        <v>22</v>
      </c>
      <c r="E49" s="4">
        <f>DAY(TableAopCalendar[[#This Row],[Date]])</f>
        <v>18</v>
      </c>
      <c r="F49" s="4">
        <f>IF(TableAopCalendar[[#This Row],[Day]]&lt;8,1,IF(TableAopCalendar[[#This Row],[Day]]&lt;15,2,IF(TableAopCalendar[[#This Row],[Day]]&lt;22,3,IF(TableAopCalendar[[#This Row],[Day]]&lt;29,4,IF(TableAopCalendar[[#This Row],[Day]]&lt;32,5)))))</f>
        <v>3</v>
      </c>
      <c r="G49" s="4" t="str">
        <f t="shared" si="1"/>
        <v>Week 3</v>
      </c>
      <c r="H49" s="4" t="str">
        <f t="shared" si="2"/>
        <v>May 22 Week 3</v>
      </c>
      <c r="I49" s="4" t="str">
        <f>CONCATENATE(UPPER(TableAopCalendar[[#This Row],[Month]])," ",TableAopCalendar[[#This Row],[Year]])</f>
        <v>MAY 22</v>
      </c>
      <c r="J49" s="7" t="s">
        <v>274</v>
      </c>
      <c r="K49" s="7" t="str">
        <f>CONCATENATE(TableAopCalendar[[#This Row],[Month for Plan]]," ",TableAopCalendar[[#This Row],[Plan]])</f>
        <v>MAY 22 PLANNED</v>
      </c>
    </row>
    <row r="50" spans="1:11" x14ac:dyDescent="0.3">
      <c r="A50" s="4">
        <f t="shared" si="0"/>
        <v>5</v>
      </c>
      <c r="B50" s="5">
        <v>44700</v>
      </c>
      <c r="C50" s="6" t="s">
        <v>265</v>
      </c>
      <c r="D50" s="6">
        <v>22</v>
      </c>
      <c r="E50" s="4">
        <f>DAY(TableAopCalendar[[#This Row],[Date]])</f>
        <v>19</v>
      </c>
      <c r="F50" s="4">
        <f>IF(TableAopCalendar[[#This Row],[Day]]&lt;8,1,IF(TableAopCalendar[[#This Row],[Day]]&lt;15,2,IF(TableAopCalendar[[#This Row],[Day]]&lt;22,3,IF(TableAopCalendar[[#This Row],[Day]]&lt;29,4,IF(TableAopCalendar[[#This Row],[Day]]&lt;32,5)))))</f>
        <v>3</v>
      </c>
      <c r="G50" s="4" t="str">
        <f t="shared" si="1"/>
        <v>Week 3</v>
      </c>
      <c r="H50" s="4" t="str">
        <f t="shared" si="2"/>
        <v>May 22 Week 3</v>
      </c>
      <c r="I50" s="4" t="str">
        <f>CONCATENATE(UPPER(TableAopCalendar[[#This Row],[Month]])," ",TableAopCalendar[[#This Row],[Year]])</f>
        <v>MAY 22</v>
      </c>
      <c r="J50" s="7" t="s">
        <v>274</v>
      </c>
      <c r="K50" s="7" t="str">
        <f>CONCATENATE(TableAopCalendar[[#This Row],[Month for Plan]]," ",TableAopCalendar[[#This Row],[Plan]])</f>
        <v>MAY 22 PLANNED</v>
      </c>
    </row>
    <row r="51" spans="1:11" x14ac:dyDescent="0.3">
      <c r="A51" s="4">
        <f t="shared" si="0"/>
        <v>6</v>
      </c>
      <c r="B51" s="5">
        <v>44701</v>
      </c>
      <c r="C51" s="6" t="s">
        <v>265</v>
      </c>
      <c r="D51" s="6">
        <v>22</v>
      </c>
      <c r="E51" s="4">
        <f>DAY(TableAopCalendar[[#This Row],[Date]])</f>
        <v>20</v>
      </c>
      <c r="F51" s="4">
        <f>IF(TableAopCalendar[[#This Row],[Day]]&lt;8,1,IF(TableAopCalendar[[#This Row],[Day]]&lt;15,2,IF(TableAopCalendar[[#This Row],[Day]]&lt;22,3,IF(TableAopCalendar[[#This Row],[Day]]&lt;29,4,IF(TableAopCalendar[[#This Row],[Day]]&lt;32,5)))))</f>
        <v>3</v>
      </c>
      <c r="G51" s="4" t="str">
        <f t="shared" si="1"/>
        <v>Week 3</v>
      </c>
      <c r="H51" s="4" t="str">
        <f t="shared" si="2"/>
        <v>May 22 Week 3</v>
      </c>
      <c r="I51" s="4" t="str">
        <f>CONCATENATE(UPPER(TableAopCalendar[[#This Row],[Month]])," ",TableAopCalendar[[#This Row],[Year]])</f>
        <v>MAY 22</v>
      </c>
      <c r="J51" s="7" t="s">
        <v>274</v>
      </c>
      <c r="K51" s="7" t="str">
        <f>CONCATENATE(TableAopCalendar[[#This Row],[Month for Plan]]," ",TableAopCalendar[[#This Row],[Plan]])</f>
        <v>MAY 22 PLANNED</v>
      </c>
    </row>
    <row r="52" spans="1:11" x14ac:dyDescent="0.3">
      <c r="A52" s="4">
        <f t="shared" si="0"/>
        <v>7</v>
      </c>
      <c r="B52" s="5">
        <v>44702</v>
      </c>
      <c r="C52" s="6" t="s">
        <v>265</v>
      </c>
      <c r="D52" s="6">
        <v>22</v>
      </c>
      <c r="E52" s="4">
        <f>DAY(TableAopCalendar[[#This Row],[Date]])</f>
        <v>21</v>
      </c>
      <c r="F52" s="4">
        <f>IF(TableAopCalendar[[#This Row],[Day]]&lt;8,1,IF(TableAopCalendar[[#This Row],[Day]]&lt;15,2,IF(TableAopCalendar[[#This Row],[Day]]&lt;22,3,IF(TableAopCalendar[[#This Row],[Day]]&lt;29,4,IF(TableAopCalendar[[#This Row],[Day]]&lt;32,5)))))</f>
        <v>3</v>
      </c>
      <c r="G52" s="4" t="str">
        <f t="shared" si="1"/>
        <v>Week 3</v>
      </c>
      <c r="H52" s="4" t="str">
        <f t="shared" si="2"/>
        <v>May 22 Week 3</v>
      </c>
      <c r="I52" s="4" t="str">
        <f>CONCATENATE(UPPER(TableAopCalendar[[#This Row],[Month]])," ",TableAopCalendar[[#This Row],[Year]])</f>
        <v>MAY 22</v>
      </c>
      <c r="J52" s="7" t="s">
        <v>274</v>
      </c>
      <c r="K52" s="7" t="str">
        <f>CONCATENATE(TableAopCalendar[[#This Row],[Month for Plan]]," ",TableAopCalendar[[#This Row],[Plan]])</f>
        <v>MAY 22 PLANNED</v>
      </c>
    </row>
    <row r="53" spans="1:11" x14ac:dyDescent="0.3">
      <c r="A53" s="4">
        <f t="shared" si="0"/>
        <v>1</v>
      </c>
      <c r="B53" s="5">
        <v>44703</v>
      </c>
      <c r="C53" s="6" t="s">
        <v>265</v>
      </c>
      <c r="D53" s="6">
        <v>22</v>
      </c>
      <c r="E53" s="4">
        <f>DAY(TableAopCalendar[[#This Row],[Date]])</f>
        <v>22</v>
      </c>
      <c r="F53" s="4">
        <f>IF(TableAopCalendar[[#This Row],[Day]]&lt;8,1,IF(TableAopCalendar[[#This Row],[Day]]&lt;15,2,IF(TableAopCalendar[[#This Row],[Day]]&lt;22,3,IF(TableAopCalendar[[#This Row],[Day]]&lt;29,4,IF(TableAopCalendar[[#This Row],[Day]]&lt;32,5)))))</f>
        <v>4</v>
      </c>
      <c r="G53" s="4" t="str">
        <f t="shared" si="1"/>
        <v>Week 4</v>
      </c>
      <c r="H53" s="4" t="str">
        <f t="shared" si="2"/>
        <v>May 22 Week 4</v>
      </c>
      <c r="I53" s="4" t="str">
        <f>CONCATENATE(UPPER(TableAopCalendar[[#This Row],[Month]])," ",TableAopCalendar[[#This Row],[Year]])</f>
        <v>MAY 22</v>
      </c>
      <c r="J53" s="7" t="s">
        <v>274</v>
      </c>
      <c r="K53" s="7" t="str">
        <f>CONCATENATE(TableAopCalendar[[#This Row],[Month for Plan]]," ",TableAopCalendar[[#This Row],[Plan]])</f>
        <v>MAY 22 PLANNED</v>
      </c>
    </row>
    <row r="54" spans="1:11" x14ac:dyDescent="0.3">
      <c r="A54" s="4">
        <f t="shared" si="0"/>
        <v>2</v>
      </c>
      <c r="B54" s="5">
        <v>44704</v>
      </c>
      <c r="C54" s="6" t="s">
        <v>265</v>
      </c>
      <c r="D54" s="6">
        <v>22</v>
      </c>
      <c r="E54" s="4">
        <f>DAY(TableAopCalendar[[#This Row],[Date]])</f>
        <v>23</v>
      </c>
      <c r="F54" s="4">
        <f>IF(TableAopCalendar[[#This Row],[Day]]&lt;8,1,IF(TableAopCalendar[[#This Row],[Day]]&lt;15,2,IF(TableAopCalendar[[#This Row],[Day]]&lt;22,3,IF(TableAopCalendar[[#This Row],[Day]]&lt;29,4,IF(TableAopCalendar[[#This Row],[Day]]&lt;32,5)))))</f>
        <v>4</v>
      </c>
      <c r="G54" s="4" t="str">
        <f t="shared" si="1"/>
        <v>Week 4</v>
      </c>
      <c r="H54" s="4" t="str">
        <f t="shared" si="2"/>
        <v>May 22 Week 4</v>
      </c>
      <c r="I54" s="4" t="str">
        <f>CONCATENATE(UPPER(TableAopCalendar[[#This Row],[Month]])," ",TableAopCalendar[[#This Row],[Year]])</f>
        <v>MAY 22</v>
      </c>
      <c r="J54" s="7" t="s">
        <v>274</v>
      </c>
      <c r="K54" s="7" t="str">
        <f>CONCATENATE(TableAopCalendar[[#This Row],[Month for Plan]]," ",TableAopCalendar[[#This Row],[Plan]])</f>
        <v>MAY 22 PLANNED</v>
      </c>
    </row>
    <row r="55" spans="1:11" x14ac:dyDescent="0.3">
      <c r="A55" s="4">
        <f t="shared" si="0"/>
        <v>3</v>
      </c>
      <c r="B55" s="5">
        <v>44705</v>
      </c>
      <c r="C55" s="6" t="s">
        <v>265</v>
      </c>
      <c r="D55" s="6">
        <v>22</v>
      </c>
      <c r="E55" s="4">
        <f>DAY(TableAopCalendar[[#This Row],[Date]])</f>
        <v>24</v>
      </c>
      <c r="F55" s="4">
        <f>IF(TableAopCalendar[[#This Row],[Day]]&lt;8,1,IF(TableAopCalendar[[#This Row],[Day]]&lt;15,2,IF(TableAopCalendar[[#This Row],[Day]]&lt;22,3,IF(TableAopCalendar[[#This Row],[Day]]&lt;29,4,IF(TableAopCalendar[[#This Row],[Day]]&lt;32,5)))))</f>
        <v>4</v>
      </c>
      <c r="G55" s="4" t="str">
        <f t="shared" si="1"/>
        <v>Week 4</v>
      </c>
      <c r="H55" s="4" t="str">
        <f t="shared" si="2"/>
        <v>May 22 Week 4</v>
      </c>
      <c r="I55" s="4" t="str">
        <f>CONCATENATE(UPPER(TableAopCalendar[[#This Row],[Month]])," ",TableAopCalendar[[#This Row],[Year]])</f>
        <v>MAY 22</v>
      </c>
      <c r="J55" s="7" t="s">
        <v>274</v>
      </c>
      <c r="K55" s="7" t="str">
        <f>CONCATENATE(TableAopCalendar[[#This Row],[Month for Plan]]," ",TableAopCalendar[[#This Row],[Plan]])</f>
        <v>MAY 22 PLANNED</v>
      </c>
    </row>
    <row r="56" spans="1:11" x14ac:dyDescent="0.3">
      <c r="A56" s="4">
        <f t="shared" si="0"/>
        <v>4</v>
      </c>
      <c r="B56" s="5">
        <v>44706</v>
      </c>
      <c r="C56" s="6" t="s">
        <v>265</v>
      </c>
      <c r="D56" s="6">
        <v>22</v>
      </c>
      <c r="E56" s="4">
        <f>DAY(TableAopCalendar[[#This Row],[Date]])</f>
        <v>25</v>
      </c>
      <c r="F56" s="4">
        <f>IF(TableAopCalendar[[#This Row],[Day]]&lt;8,1,IF(TableAopCalendar[[#This Row],[Day]]&lt;15,2,IF(TableAopCalendar[[#This Row],[Day]]&lt;22,3,IF(TableAopCalendar[[#This Row],[Day]]&lt;29,4,IF(TableAopCalendar[[#This Row],[Day]]&lt;32,5)))))</f>
        <v>4</v>
      </c>
      <c r="G56" s="4" t="str">
        <f t="shared" si="1"/>
        <v>Week 4</v>
      </c>
      <c r="H56" s="4" t="str">
        <f t="shared" si="2"/>
        <v>May 22 Week 4</v>
      </c>
      <c r="I56" s="4" t="str">
        <f>CONCATENATE(UPPER(TableAopCalendar[[#This Row],[Month]])," ",TableAopCalendar[[#This Row],[Year]])</f>
        <v>MAY 22</v>
      </c>
      <c r="J56" s="7" t="s">
        <v>274</v>
      </c>
      <c r="K56" s="7" t="str">
        <f>CONCATENATE(TableAopCalendar[[#This Row],[Month for Plan]]," ",TableAopCalendar[[#This Row],[Plan]])</f>
        <v>MAY 22 PLANNED</v>
      </c>
    </row>
    <row r="57" spans="1:11" x14ac:dyDescent="0.3">
      <c r="A57" s="4">
        <f t="shared" si="0"/>
        <v>5</v>
      </c>
      <c r="B57" s="5">
        <v>44707</v>
      </c>
      <c r="C57" s="6" t="s">
        <v>265</v>
      </c>
      <c r="D57" s="6">
        <v>22</v>
      </c>
      <c r="E57" s="4">
        <f>DAY(TableAopCalendar[[#This Row],[Date]])</f>
        <v>26</v>
      </c>
      <c r="F57" s="4">
        <f>IF(TableAopCalendar[[#This Row],[Day]]&lt;8,1,IF(TableAopCalendar[[#This Row],[Day]]&lt;15,2,IF(TableAopCalendar[[#This Row],[Day]]&lt;22,3,IF(TableAopCalendar[[#This Row],[Day]]&lt;29,4,IF(TableAopCalendar[[#This Row],[Day]]&lt;32,5)))))</f>
        <v>4</v>
      </c>
      <c r="G57" s="4" t="str">
        <f t="shared" si="1"/>
        <v>Week 4</v>
      </c>
      <c r="H57" s="4" t="str">
        <f t="shared" si="2"/>
        <v>May 22 Week 4</v>
      </c>
      <c r="I57" s="4" t="str">
        <f>CONCATENATE(UPPER(TableAopCalendar[[#This Row],[Month]])," ",TableAopCalendar[[#This Row],[Year]])</f>
        <v>MAY 22</v>
      </c>
      <c r="J57" s="7" t="s">
        <v>274</v>
      </c>
      <c r="K57" s="7" t="str">
        <f>CONCATENATE(TableAopCalendar[[#This Row],[Month for Plan]]," ",TableAopCalendar[[#This Row],[Plan]])</f>
        <v>MAY 22 PLANNED</v>
      </c>
    </row>
    <row r="58" spans="1:11" x14ac:dyDescent="0.3">
      <c r="A58" s="4">
        <f t="shared" si="0"/>
        <v>6</v>
      </c>
      <c r="B58" s="5">
        <v>44708</v>
      </c>
      <c r="C58" s="6" t="s">
        <v>265</v>
      </c>
      <c r="D58" s="6">
        <v>22</v>
      </c>
      <c r="E58" s="4">
        <f>DAY(TableAopCalendar[[#This Row],[Date]])</f>
        <v>27</v>
      </c>
      <c r="F58" s="4">
        <f>IF(TableAopCalendar[[#This Row],[Day]]&lt;8,1,IF(TableAopCalendar[[#This Row],[Day]]&lt;15,2,IF(TableAopCalendar[[#This Row],[Day]]&lt;22,3,IF(TableAopCalendar[[#This Row],[Day]]&lt;29,4,IF(TableAopCalendar[[#This Row],[Day]]&lt;32,5)))))</f>
        <v>4</v>
      </c>
      <c r="G58" s="4" t="str">
        <f t="shared" si="1"/>
        <v>Week 4</v>
      </c>
      <c r="H58" s="4" t="str">
        <f t="shared" si="2"/>
        <v>May 22 Week 4</v>
      </c>
      <c r="I58" s="4" t="str">
        <f>CONCATENATE(UPPER(TableAopCalendar[[#This Row],[Month]])," ",TableAopCalendar[[#This Row],[Year]])</f>
        <v>MAY 22</v>
      </c>
      <c r="J58" s="7" t="s">
        <v>274</v>
      </c>
      <c r="K58" s="7" t="str">
        <f>CONCATENATE(TableAopCalendar[[#This Row],[Month for Plan]]," ",TableAopCalendar[[#This Row],[Plan]])</f>
        <v>MAY 22 PLANNED</v>
      </c>
    </row>
    <row r="59" spans="1:11" x14ac:dyDescent="0.3">
      <c r="A59" s="4">
        <f t="shared" si="0"/>
        <v>7</v>
      </c>
      <c r="B59" s="5">
        <v>44709</v>
      </c>
      <c r="C59" s="6" t="s">
        <v>265</v>
      </c>
      <c r="D59" s="6">
        <v>22</v>
      </c>
      <c r="E59" s="4">
        <f>DAY(TableAopCalendar[[#This Row],[Date]])</f>
        <v>28</v>
      </c>
      <c r="F59" s="4">
        <f>IF(TableAopCalendar[[#This Row],[Day]]&lt;8,1,IF(TableAopCalendar[[#This Row],[Day]]&lt;15,2,IF(TableAopCalendar[[#This Row],[Day]]&lt;22,3,IF(TableAopCalendar[[#This Row],[Day]]&lt;29,4,IF(TableAopCalendar[[#This Row],[Day]]&lt;32,5)))))</f>
        <v>4</v>
      </c>
      <c r="G59" s="4" t="str">
        <f t="shared" si="1"/>
        <v>Week 4</v>
      </c>
      <c r="H59" s="4" t="str">
        <f t="shared" si="2"/>
        <v>May 22 Week 4</v>
      </c>
      <c r="I59" s="4" t="str">
        <f>CONCATENATE(UPPER(TableAopCalendar[[#This Row],[Month]])," ",TableAopCalendar[[#This Row],[Year]])</f>
        <v>MAY 22</v>
      </c>
      <c r="J59" s="7" t="s">
        <v>274</v>
      </c>
      <c r="K59" s="7" t="str">
        <f>CONCATENATE(TableAopCalendar[[#This Row],[Month for Plan]]," ",TableAopCalendar[[#This Row],[Plan]])</f>
        <v>MAY 22 PLANNED</v>
      </c>
    </row>
    <row r="60" spans="1:11" x14ac:dyDescent="0.3">
      <c r="A60" s="4">
        <f t="shared" si="0"/>
        <v>1</v>
      </c>
      <c r="B60" s="5">
        <v>44710</v>
      </c>
      <c r="C60" s="6" t="s">
        <v>265</v>
      </c>
      <c r="D60" s="6">
        <v>22</v>
      </c>
      <c r="E60" s="4">
        <f>DAY(TableAopCalendar[[#This Row],[Date]])</f>
        <v>29</v>
      </c>
      <c r="F60" s="4">
        <f>IF(TableAopCalendar[[#This Row],[Day]]&lt;8,1,IF(TableAopCalendar[[#This Row],[Day]]&lt;15,2,IF(TableAopCalendar[[#This Row],[Day]]&lt;22,3,IF(TableAopCalendar[[#This Row],[Day]]&lt;29,4,IF(TableAopCalendar[[#This Row],[Day]]&lt;32,5)))))</f>
        <v>5</v>
      </c>
      <c r="G60" s="4" t="str">
        <f t="shared" si="1"/>
        <v>Week 5</v>
      </c>
      <c r="H60" s="4" t="str">
        <f t="shared" si="2"/>
        <v>May 22 Week 5</v>
      </c>
      <c r="I60" s="4" t="str">
        <f>CONCATENATE(UPPER(TableAopCalendar[[#This Row],[Month]])," ",TableAopCalendar[[#This Row],[Year]])</f>
        <v>MAY 22</v>
      </c>
      <c r="J60" s="7" t="s">
        <v>274</v>
      </c>
      <c r="K60" s="7" t="str">
        <f>CONCATENATE(TableAopCalendar[[#This Row],[Month for Plan]]," ",TableAopCalendar[[#This Row],[Plan]])</f>
        <v>MAY 22 PLANNED</v>
      </c>
    </row>
    <row r="61" spans="1:11" x14ac:dyDescent="0.3">
      <c r="A61" s="4">
        <f t="shared" si="0"/>
        <v>2</v>
      </c>
      <c r="B61" s="5">
        <v>44711</v>
      </c>
      <c r="C61" s="6" t="s">
        <v>265</v>
      </c>
      <c r="D61" s="6">
        <v>22</v>
      </c>
      <c r="E61" s="4">
        <f>DAY(TableAopCalendar[[#This Row],[Date]])</f>
        <v>30</v>
      </c>
      <c r="F61" s="4">
        <f>IF(TableAopCalendar[[#This Row],[Day]]&lt;8,1,IF(TableAopCalendar[[#This Row],[Day]]&lt;15,2,IF(TableAopCalendar[[#This Row],[Day]]&lt;22,3,IF(TableAopCalendar[[#This Row],[Day]]&lt;29,4,IF(TableAopCalendar[[#This Row],[Day]]&lt;32,5)))))</f>
        <v>5</v>
      </c>
      <c r="G61" s="4" t="str">
        <f t="shared" si="1"/>
        <v>Week 5</v>
      </c>
      <c r="H61" s="4" t="str">
        <f t="shared" si="2"/>
        <v>May 22 Week 5</v>
      </c>
      <c r="I61" s="4" t="str">
        <f>CONCATENATE(UPPER(TableAopCalendar[[#This Row],[Month]])," ",TableAopCalendar[[#This Row],[Year]])</f>
        <v>MAY 22</v>
      </c>
      <c r="J61" s="7" t="s">
        <v>274</v>
      </c>
      <c r="K61" s="7" t="str">
        <f>CONCATENATE(TableAopCalendar[[#This Row],[Month for Plan]]," ",TableAopCalendar[[#This Row],[Plan]])</f>
        <v>MAY 22 PLANNED</v>
      </c>
    </row>
    <row r="62" spans="1:11" x14ac:dyDescent="0.3">
      <c r="A62" s="4">
        <f t="shared" si="0"/>
        <v>3</v>
      </c>
      <c r="B62" s="5">
        <v>44712</v>
      </c>
      <c r="C62" s="6" t="s">
        <v>265</v>
      </c>
      <c r="D62" s="6">
        <v>22</v>
      </c>
      <c r="E62" s="4">
        <f>DAY(TableAopCalendar[[#This Row],[Date]])</f>
        <v>31</v>
      </c>
      <c r="F62" s="4">
        <f>IF(TableAopCalendar[[#This Row],[Day]]&lt;8,1,IF(TableAopCalendar[[#This Row],[Day]]&lt;15,2,IF(TableAopCalendar[[#This Row],[Day]]&lt;22,3,IF(TableAopCalendar[[#This Row],[Day]]&lt;29,4,IF(TableAopCalendar[[#This Row],[Day]]&lt;32,5)))))</f>
        <v>5</v>
      </c>
      <c r="G62" s="4" t="str">
        <f t="shared" si="1"/>
        <v>Week 5</v>
      </c>
      <c r="H62" s="4" t="str">
        <f t="shared" si="2"/>
        <v>May 22 Week 5</v>
      </c>
      <c r="I62" s="4" t="str">
        <f>CONCATENATE(UPPER(TableAopCalendar[[#This Row],[Month]])," ",TableAopCalendar[[#This Row],[Year]])</f>
        <v>MAY 22</v>
      </c>
      <c r="J62" s="7" t="s">
        <v>274</v>
      </c>
      <c r="K62" s="7" t="str">
        <f>CONCATENATE(TableAopCalendar[[#This Row],[Month for Plan]]," ",TableAopCalendar[[#This Row],[Plan]])</f>
        <v>MAY 22 PLANNED</v>
      </c>
    </row>
    <row r="63" spans="1:11" x14ac:dyDescent="0.3">
      <c r="A63" s="4">
        <f t="shared" si="0"/>
        <v>1</v>
      </c>
      <c r="B63" s="5">
        <v>44713</v>
      </c>
      <c r="C63" s="6" t="s">
        <v>266</v>
      </c>
      <c r="D63" s="6">
        <v>22</v>
      </c>
      <c r="E63" s="4">
        <f>DAY(TableAopCalendar[[#This Row],[Date]])</f>
        <v>1</v>
      </c>
      <c r="F63" s="4">
        <f>IF(TableAopCalendar[[#This Row],[Day]]&lt;8,1,IF(TableAopCalendar[[#This Row],[Day]]&lt;15,2,IF(TableAopCalendar[[#This Row],[Day]]&lt;22,3,IF(TableAopCalendar[[#This Row],[Day]]&lt;29,4,IF(TableAopCalendar[[#This Row],[Day]]&lt;32,5)))))</f>
        <v>1</v>
      </c>
      <c r="G63" s="4" t="str">
        <f t="shared" si="1"/>
        <v>Week 1</v>
      </c>
      <c r="H63" s="4" t="str">
        <f t="shared" si="2"/>
        <v>June 22 Week 1</v>
      </c>
      <c r="I63" s="4" t="str">
        <f>CONCATENATE(UPPER(TableAopCalendar[[#This Row],[Month]])," ",TableAopCalendar[[#This Row],[Year]])</f>
        <v>JUNE 22</v>
      </c>
      <c r="J63" s="7" t="s">
        <v>274</v>
      </c>
      <c r="K63" s="7" t="str">
        <f>CONCATENATE(TableAopCalendar[[#This Row],[Month for Plan]]," ",TableAopCalendar[[#This Row],[Plan]])</f>
        <v>JUNE 22 PLANNED</v>
      </c>
    </row>
    <row r="64" spans="1:11" x14ac:dyDescent="0.3">
      <c r="A64" s="4">
        <f t="shared" si="0"/>
        <v>2</v>
      </c>
      <c r="B64" s="5">
        <v>44714</v>
      </c>
      <c r="C64" s="6" t="s">
        <v>266</v>
      </c>
      <c r="D64" s="6">
        <v>22</v>
      </c>
      <c r="E64" s="4">
        <f>DAY(TableAopCalendar[[#This Row],[Date]])</f>
        <v>2</v>
      </c>
      <c r="F64" s="4">
        <f>IF(TableAopCalendar[[#This Row],[Day]]&lt;8,1,IF(TableAopCalendar[[#This Row],[Day]]&lt;15,2,IF(TableAopCalendar[[#This Row],[Day]]&lt;22,3,IF(TableAopCalendar[[#This Row],[Day]]&lt;29,4,IF(TableAopCalendar[[#This Row],[Day]]&lt;32,5)))))</f>
        <v>1</v>
      </c>
      <c r="G64" s="4" t="str">
        <f t="shared" si="1"/>
        <v>Week 1</v>
      </c>
      <c r="H64" s="4" t="str">
        <f t="shared" si="2"/>
        <v>June 22 Week 1</v>
      </c>
      <c r="I64" s="4" t="str">
        <f>CONCATENATE(UPPER(TableAopCalendar[[#This Row],[Month]])," ",TableAopCalendar[[#This Row],[Year]])</f>
        <v>JUNE 22</v>
      </c>
      <c r="J64" s="7" t="s">
        <v>274</v>
      </c>
      <c r="K64" s="7" t="str">
        <f>CONCATENATE(TableAopCalendar[[#This Row],[Month for Plan]]," ",TableAopCalendar[[#This Row],[Plan]])</f>
        <v>JUNE 22 PLANNED</v>
      </c>
    </row>
    <row r="65" spans="1:11" x14ac:dyDescent="0.3">
      <c r="A65" s="4">
        <f t="shared" si="0"/>
        <v>3</v>
      </c>
      <c r="B65" s="5">
        <v>44715</v>
      </c>
      <c r="C65" s="6" t="s">
        <v>266</v>
      </c>
      <c r="D65" s="6">
        <v>22</v>
      </c>
      <c r="E65" s="4">
        <f>DAY(TableAopCalendar[[#This Row],[Date]])</f>
        <v>3</v>
      </c>
      <c r="F65" s="4">
        <f>IF(TableAopCalendar[[#This Row],[Day]]&lt;8,1,IF(TableAopCalendar[[#This Row],[Day]]&lt;15,2,IF(TableAopCalendar[[#This Row],[Day]]&lt;22,3,IF(TableAopCalendar[[#This Row],[Day]]&lt;29,4,IF(TableAopCalendar[[#This Row],[Day]]&lt;32,5)))))</f>
        <v>1</v>
      </c>
      <c r="G65" s="4" t="str">
        <f t="shared" si="1"/>
        <v>Week 1</v>
      </c>
      <c r="H65" s="4" t="str">
        <f t="shared" si="2"/>
        <v>June 22 Week 1</v>
      </c>
      <c r="I65" s="4" t="str">
        <f>CONCATENATE(UPPER(TableAopCalendar[[#This Row],[Month]])," ",TableAopCalendar[[#This Row],[Year]])</f>
        <v>JUNE 22</v>
      </c>
      <c r="J65" s="7" t="s">
        <v>274</v>
      </c>
      <c r="K65" s="7" t="str">
        <f>CONCATENATE(TableAopCalendar[[#This Row],[Month for Plan]]," ",TableAopCalendar[[#This Row],[Plan]])</f>
        <v>JUNE 22 PLANNED</v>
      </c>
    </row>
    <row r="66" spans="1:11" x14ac:dyDescent="0.3">
      <c r="A66" s="4">
        <f t="shared" ref="A66:A129" si="3">IF(G66=G65,A65+1,1)</f>
        <v>4</v>
      </c>
      <c r="B66" s="5">
        <v>44716</v>
      </c>
      <c r="C66" s="6" t="s">
        <v>266</v>
      </c>
      <c r="D66" s="6">
        <v>22</v>
      </c>
      <c r="E66" s="4">
        <f>DAY(TableAopCalendar[[#This Row],[Date]])</f>
        <v>4</v>
      </c>
      <c r="F66" s="4">
        <f>IF(TableAopCalendar[[#This Row],[Day]]&lt;8,1,IF(TableAopCalendar[[#This Row],[Day]]&lt;15,2,IF(TableAopCalendar[[#This Row],[Day]]&lt;22,3,IF(TableAopCalendar[[#This Row],[Day]]&lt;29,4,IF(TableAopCalendar[[#This Row],[Day]]&lt;32,5)))))</f>
        <v>1</v>
      </c>
      <c r="G66" s="4" t="str">
        <f t="shared" ref="G66:G129" si="4">"Week"&amp;" "&amp;F66</f>
        <v>Week 1</v>
      </c>
      <c r="H66" s="4" t="str">
        <f t="shared" ref="H66:H129" si="5">CONCATENATE(C66," ",D66," ",G66)</f>
        <v>June 22 Week 1</v>
      </c>
      <c r="I66" s="4" t="str">
        <f>CONCATENATE(UPPER(TableAopCalendar[[#This Row],[Month]])," ",TableAopCalendar[[#This Row],[Year]])</f>
        <v>JUNE 22</v>
      </c>
      <c r="J66" s="7" t="s">
        <v>274</v>
      </c>
      <c r="K66" s="7" t="str">
        <f>CONCATENATE(TableAopCalendar[[#This Row],[Month for Plan]]," ",TableAopCalendar[[#This Row],[Plan]])</f>
        <v>JUNE 22 PLANNED</v>
      </c>
    </row>
    <row r="67" spans="1:11" x14ac:dyDescent="0.3">
      <c r="A67" s="4">
        <f t="shared" si="3"/>
        <v>5</v>
      </c>
      <c r="B67" s="5">
        <v>44717</v>
      </c>
      <c r="C67" s="6" t="s">
        <v>266</v>
      </c>
      <c r="D67" s="6">
        <v>22</v>
      </c>
      <c r="E67" s="4">
        <f>DAY(TableAopCalendar[[#This Row],[Date]])</f>
        <v>5</v>
      </c>
      <c r="F67" s="4">
        <f>IF(TableAopCalendar[[#This Row],[Day]]&lt;8,1,IF(TableAopCalendar[[#This Row],[Day]]&lt;15,2,IF(TableAopCalendar[[#This Row],[Day]]&lt;22,3,IF(TableAopCalendar[[#This Row],[Day]]&lt;29,4,IF(TableAopCalendar[[#This Row],[Day]]&lt;32,5)))))</f>
        <v>1</v>
      </c>
      <c r="G67" s="4" t="str">
        <f t="shared" si="4"/>
        <v>Week 1</v>
      </c>
      <c r="H67" s="4" t="str">
        <f t="shared" si="5"/>
        <v>June 22 Week 1</v>
      </c>
      <c r="I67" s="4" t="str">
        <f>CONCATENATE(UPPER(TableAopCalendar[[#This Row],[Month]])," ",TableAopCalendar[[#This Row],[Year]])</f>
        <v>JUNE 22</v>
      </c>
      <c r="J67" s="7" t="s">
        <v>274</v>
      </c>
      <c r="K67" s="7" t="str">
        <f>CONCATENATE(TableAopCalendar[[#This Row],[Month for Plan]]," ",TableAopCalendar[[#This Row],[Plan]])</f>
        <v>JUNE 22 PLANNED</v>
      </c>
    </row>
    <row r="68" spans="1:11" x14ac:dyDescent="0.3">
      <c r="A68" s="4">
        <f t="shared" si="3"/>
        <v>6</v>
      </c>
      <c r="B68" s="5">
        <v>44718</v>
      </c>
      <c r="C68" s="6" t="s">
        <v>266</v>
      </c>
      <c r="D68" s="6">
        <v>22</v>
      </c>
      <c r="E68" s="4">
        <f>DAY(TableAopCalendar[[#This Row],[Date]])</f>
        <v>6</v>
      </c>
      <c r="F68" s="4">
        <f>IF(TableAopCalendar[[#This Row],[Day]]&lt;8,1,IF(TableAopCalendar[[#This Row],[Day]]&lt;15,2,IF(TableAopCalendar[[#This Row],[Day]]&lt;22,3,IF(TableAopCalendar[[#This Row],[Day]]&lt;29,4,IF(TableAopCalendar[[#This Row],[Day]]&lt;32,5)))))</f>
        <v>1</v>
      </c>
      <c r="G68" s="4" t="str">
        <f t="shared" si="4"/>
        <v>Week 1</v>
      </c>
      <c r="H68" s="4" t="str">
        <f t="shared" si="5"/>
        <v>June 22 Week 1</v>
      </c>
      <c r="I68" s="4" t="str">
        <f>CONCATENATE(UPPER(TableAopCalendar[[#This Row],[Month]])," ",TableAopCalendar[[#This Row],[Year]])</f>
        <v>JUNE 22</v>
      </c>
      <c r="J68" s="7" t="s">
        <v>274</v>
      </c>
      <c r="K68" s="7" t="str">
        <f>CONCATENATE(TableAopCalendar[[#This Row],[Month for Plan]]," ",TableAopCalendar[[#This Row],[Plan]])</f>
        <v>JUNE 22 PLANNED</v>
      </c>
    </row>
    <row r="69" spans="1:11" x14ac:dyDescent="0.3">
      <c r="A69" s="4">
        <f t="shared" si="3"/>
        <v>7</v>
      </c>
      <c r="B69" s="5">
        <v>44719</v>
      </c>
      <c r="C69" s="6" t="s">
        <v>266</v>
      </c>
      <c r="D69" s="6">
        <v>22</v>
      </c>
      <c r="E69" s="4">
        <f>DAY(TableAopCalendar[[#This Row],[Date]])</f>
        <v>7</v>
      </c>
      <c r="F69" s="4">
        <f>IF(TableAopCalendar[[#This Row],[Day]]&lt;8,1,IF(TableAopCalendar[[#This Row],[Day]]&lt;15,2,IF(TableAopCalendar[[#This Row],[Day]]&lt;22,3,IF(TableAopCalendar[[#This Row],[Day]]&lt;29,4,IF(TableAopCalendar[[#This Row],[Day]]&lt;32,5)))))</f>
        <v>1</v>
      </c>
      <c r="G69" s="4" t="str">
        <f t="shared" si="4"/>
        <v>Week 1</v>
      </c>
      <c r="H69" s="4" t="str">
        <f t="shared" si="5"/>
        <v>June 22 Week 1</v>
      </c>
      <c r="I69" s="4" t="str">
        <f>CONCATENATE(UPPER(TableAopCalendar[[#This Row],[Month]])," ",TableAopCalendar[[#This Row],[Year]])</f>
        <v>JUNE 22</v>
      </c>
      <c r="J69" s="7" t="s">
        <v>274</v>
      </c>
      <c r="K69" s="7" t="str">
        <f>CONCATENATE(TableAopCalendar[[#This Row],[Month for Plan]]," ",TableAopCalendar[[#This Row],[Plan]])</f>
        <v>JUNE 22 PLANNED</v>
      </c>
    </row>
    <row r="70" spans="1:11" x14ac:dyDescent="0.3">
      <c r="A70" s="4">
        <f t="shared" si="3"/>
        <v>1</v>
      </c>
      <c r="B70" s="5">
        <v>44720</v>
      </c>
      <c r="C70" s="6" t="s">
        <v>266</v>
      </c>
      <c r="D70" s="6">
        <v>22</v>
      </c>
      <c r="E70" s="4">
        <f>DAY(TableAopCalendar[[#This Row],[Date]])</f>
        <v>8</v>
      </c>
      <c r="F70" s="4">
        <f>IF(TableAopCalendar[[#This Row],[Day]]&lt;8,1,IF(TableAopCalendar[[#This Row],[Day]]&lt;15,2,IF(TableAopCalendar[[#This Row],[Day]]&lt;22,3,IF(TableAopCalendar[[#This Row],[Day]]&lt;29,4,IF(TableAopCalendar[[#This Row],[Day]]&lt;32,5)))))</f>
        <v>2</v>
      </c>
      <c r="G70" s="4" t="str">
        <f t="shared" si="4"/>
        <v>Week 2</v>
      </c>
      <c r="H70" s="4" t="str">
        <f t="shared" si="5"/>
        <v>June 22 Week 2</v>
      </c>
      <c r="I70" s="4" t="str">
        <f>CONCATENATE(UPPER(TableAopCalendar[[#This Row],[Month]])," ",TableAopCalendar[[#This Row],[Year]])</f>
        <v>JUNE 22</v>
      </c>
      <c r="J70" s="7" t="s">
        <v>274</v>
      </c>
      <c r="K70" s="7" t="str">
        <f>CONCATENATE(TableAopCalendar[[#This Row],[Month for Plan]]," ",TableAopCalendar[[#This Row],[Plan]])</f>
        <v>JUNE 22 PLANNED</v>
      </c>
    </row>
    <row r="71" spans="1:11" x14ac:dyDescent="0.3">
      <c r="A71" s="4">
        <f t="shared" si="3"/>
        <v>2</v>
      </c>
      <c r="B71" s="5">
        <v>44721</v>
      </c>
      <c r="C71" s="6" t="s">
        <v>266</v>
      </c>
      <c r="D71" s="6">
        <v>22</v>
      </c>
      <c r="E71" s="4">
        <f>DAY(TableAopCalendar[[#This Row],[Date]])</f>
        <v>9</v>
      </c>
      <c r="F71" s="4">
        <f>IF(TableAopCalendar[[#This Row],[Day]]&lt;8,1,IF(TableAopCalendar[[#This Row],[Day]]&lt;15,2,IF(TableAopCalendar[[#This Row],[Day]]&lt;22,3,IF(TableAopCalendar[[#This Row],[Day]]&lt;29,4,IF(TableAopCalendar[[#This Row],[Day]]&lt;32,5)))))</f>
        <v>2</v>
      </c>
      <c r="G71" s="4" t="str">
        <f t="shared" si="4"/>
        <v>Week 2</v>
      </c>
      <c r="H71" s="4" t="str">
        <f t="shared" si="5"/>
        <v>June 22 Week 2</v>
      </c>
      <c r="I71" s="4" t="str">
        <f>CONCATENATE(UPPER(TableAopCalendar[[#This Row],[Month]])," ",TableAopCalendar[[#This Row],[Year]])</f>
        <v>JUNE 22</v>
      </c>
      <c r="J71" s="7" t="s">
        <v>274</v>
      </c>
      <c r="K71" s="7" t="str">
        <f>CONCATENATE(TableAopCalendar[[#This Row],[Month for Plan]]," ",TableAopCalendar[[#This Row],[Plan]])</f>
        <v>JUNE 22 PLANNED</v>
      </c>
    </row>
    <row r="72" spans="1:11" x14ac:dyDescent="0.3">
      <c r="A72" s="4">
        <f t="shared" si="3"/>
        <v>3</v>
      </c>
      <c r="B72" s="5">
        <v>44722</v>
      </c>
      <c r="C72" s="6" t="s">
        <v>266</v>
      </c>
      <c r="D72" s="6">
        <v>22</v>
      </c>
      <c r="E72" s="4">
        <f>DAY(TableAopCalendar[[#This Row],[Date]])</f>
        <v>10</v>
      </c>
      <c r="F72" s="4">
        <f>IF(TableAopCalendar[[#This Row],[Day]]&lt;8,1,IF(TableAopCalendar[[#This Row],[Day]]&lt;15,2,IF(TableAopCalendar[[#This Row],[Day]]&lt;22,3,IF(TableAopCalendar[[#This Row],[Day]]&lt;29,4,IF(TableAopCalendar[[#This Row],[Day]]&lt;32,5)))))</f>
        <v>2</v>
      </c>
      <c r="G72" s="4" t="str">
        <f t="shared" si="4"/>
        <v>Week 2</v>
      </c>
      <c r="H72" s="4" t="str">
        <f t="shared" si="5"/>
        <v>June 22 Week 2</v>
      </c>
      <c r="I72" s="4" t="str">
        <f>CONCATENATE(UPPER(TableAopCalendar[[#This Row],[Month]])," ",TableAopCalendar[[#This Row],[Year]])</f>
        <v>JUNE 22</v>
      </c>
      <c r="J72" s="7" t="s">
        <v>274</v>
      </c>
      <c r="K72" s="7" t="str">
        <f>CONCATENATE(TableAopCalendar[[#This Row],[Month for Plan]]," ",TableAopCalendar[[#This Row],[Plan]])</f>
        <v>JUNE 22 PLANNED</v>
      </c>
    </row>
    <row r="73" spans="1:11" x14ac:dyDescent="0.3">
      <c r="A73" s="4">
        <f t="shared" si="3"/>
        <v>4</v>
      </c>
      <c r="B73" s="5">
        <v>44723</v>
      </c>
      <c r="C73" s="6" t="s">
        <v>266</v>
      </c>
      <c r="D73" s="6">
        <v>22</v>
      </c>
      <c r="E73" s="4">
        <f>DAY(TableAopCalendar[[#This Row],[Date]])</f>
        <v>11</v>
      </c>
      <c r="F73" s="4">
        <f>IF(TableAopCalendar[[#This Row],[Day]]&lt;8,1,IF(TableAopCalendar[[#This Row],[Day]]&lt;15,2,IF(TableAopCalendar[[#This Row],[Day]]&lt;22,3,IF(TableAopCalendar[[#This Row],[Day]]&lt;29,4,IF(TableAopCalendar[[#This Row],[Day]]&lt;32,5)))))</f>
        <v>2</v>
      </c>
      <c r="G73" s="4" t="str">
        <f t="shared" si="4"/>
        <v>Week 2</v>
      </c>
      <c r="H73" s="4" t="str">
        <f t="shared" si="5"/>
        <v>June 22 Week 2</v>
      </c>
      <c r="I73" s="4" t="str">
        <f>CONCATENATE(UPPER(TableAopCalendar[[#This Row],[Month]])," ",TableAopCalendar[[#This Row],[Year]])</f>
        <v>JUNE 22</v>
      </c>
      <c r="J73" s="7" t="s">
        <v>274</v>
      </c>
      <c r="K73" s="7" t="str">
        <f>CONCATENATE(TableAopCalendar[[#This Row],[Month for Plan]]," ",TableAopCalendar[[#This Row],[Plan]])</f>
        <v>JUNE 22 PLANNED</v>
      </c>
    </row>
    <row r="74" spans="1:11" x14ac:dyDescent="0.3">
      <c r="A74" s="4">
        <f t="shared" si="3"/>
        <v>5</v>
      </c>
      <c r="B74" s="5">
        <v>44724</v>
      </c>
      <c r="C74" s="6" t="s">
        <v>266</v>
      </c>
      <c r="D74" s="6">
        <v>22</v>
      </c>
      <c r="E74" s="4">
        <f>DAY(TableAopCalendar[[#This Row],[Date]])</f>
        <v>12</v>
      </c>
      <c r="F74" s="4">
        <f>IF(TableAopCalendar[[#This Row],[Day]]&lt;8,1,IF(TableAopCalendar[[#This Row],[Day]]&lt;15,2,IF(TableAopCalendar[[#This Row],[Day]]&lt;22,3,IF(TableAopCalendar[[#This Row],[Day]]&lt;29,4,IF(TableAopCalendar[[#This Row],[Day]]&lt;32,5)))))</f>
        <v>2</v>
      </c>
      <c r="G74" s="4" t="str">
        <f t="shared" si="4"/>
        <v>Week 2</v>
      </c>
      <c r="H74" s="4" t="str">
        <f t="shared" si="5"/>
        <v>June 22 Week 2</v>
      </c>
      <c r="I74" s="4" t="str">
        <f>CONCATENATE(UPPER(TableAopCalendar[[#This Row],[Month]])," ",TableAopCalendar[[#This Row],[Year]])</f>
        <v>JUNE 22</v>
      </c>
      <c r="J74" s="7" t="s">
        <v>274</v>
      </c>
      <c r="K74" s="7" t="str">
        <f>CONCATENATE(TableAopCalendar[[#This Row],[Month for Plan]]," ",TableAopCalendar[[#This Row],[Plan]])</f>
        <v>JUNE 22 PLANNED</v>
      </c>
    </row>
    <row r="75" spans="1:11" x14ac:dyDescent="0.3">
      <c r="A75" s="4">
        <f t="shared" si="3"/>
        <v>6</v>
      </c>
      <c r="B75" s="5">
        <v>44725</v>
      </c>
      <c r="C75" s="6" t="s">
        <v>266</v>
      </c>
      <c r="D75" s="6">
        <v>22</v>
      </c>
      <c r="E75" s="4">
        <f>DAY(TableAopCalendar[[#This Row],[Date]])</f>
        <v>13</v>
      </c>
      <c r="F75" s="4">
        <f>IF(TableAopCalendar[[#This Row],[Day]]&lt;8,1,IF(TableAopCalendar[[#This Row],[Day]]&lt;15,2,IF(TableAopCalendar[[#This Row],[Day]]&lt;22,3,IF(TableAopCalendar[[#This Row],[Day]]&lt;29,4,IF(TableAopCalendar[[#This Row],[Day]]&lt;32,5)))))</f>
        <v>2</v>
      </c>
      <c r="G75" s="4" t="str">
        <f t="shared" si="4"/>
        <v>Week 2</v>
      </c>
      <c r="H75" s="4" t="str">
        <f t="shared" si="5"/>
        <v>June 22 Week 2</v>
      </c>
      <c r="I75" s="4" t="str">
        <f>CONCATENATE(UPPER(TableAopCalendar[[#This Row],[Month]])," ",TableAopCalendar[[#This Row],[Year]])</f>
        <v>JUNE 22</v>
      </c>
      <c r="J75" s="7" t="s">
        <v>274</v>
      </c>
      <c r="K75" s="7" t="str">
        <f>CONCATENATE(TableAopCalendar[[#This Row],[Month for Plan]]," ",TableAopCalendar[[#This Row],[Plan]])</f>
        <v>JUNE 22 PLANNED</v>
      </c>
    </row>
    <row r="76" spans="1:11" x14ac:dyDescent="0.3">
      <c r="A76" s="4">
        <f t="shared" si="3"/>
        <v>7</v>
      </c>
      <c r="B76" s="5">
        <v>44726</v>
      </c>
      <c r="C76" s="6" t="s">
        <v>266</v>
      </c>
      <c r="D76" s="6">
        <v>22</v>
      </c>
      <c r="E76" s="4">
        <f>DAY(TableAopCalendar[[#This Row],[Date]])</f>
        <v>14</v>
      </c>
      <c r="F76" s="4">
        <f>IF(TableAopCalendar[[#This Row],[Day]]&lt;8,1,IF(TableAopCalendar[[#This Row],[Day]]&lt;15,2,IF(TableAopCalendar[[#This Row],[Day]]&lt;22,3,IF(TableAopCalendar[[#This Row],[Day]]&lt;29,4,IF(TableAopCalendar[[#This Row],[Day]]&lt;32,5)))))</f>
        <v>2</v>
      </c>
      <c r="G76" s="4" t="str">
        <f t="shared" si="4"/>
        <v>Week 2</v>
      </c>
      <c r="H76" s="4" t="str">
        <f t="shared" si="5"/>
        <v>June 22 Week 2</v>
      </c>
      <c r="I76" s="4" t="str">
        <f>CONCATENATE(UPPER(TableAopCalendar[[#This Row],[Month]])," ",TableAopCalendar[[#This Row],[Year]])</f>
        <v>JUNE 22</v>
      </c>
      <c r="J76" s="7" t="s">
        <v>274</v>
      </c>
      <c r="K76" s="7" t="str">
        <f>CONCATENATE(TableAopCalendar[[#This Row],[Month for Plan]]," ",TableAopCalendar[[#This Row],[Plan]])</f>
        <v>JUNE 22 PLANNED</v>
      </c>
    </row>
    <row r="77" spans="1:11" x14ac:dyDescent="0.3">
      <c r="A77" s="4">
        <f t="shared" si="3"/>
        <v>1</v>
      </c>
      <c r="B77" s="5">
        <v>44727</v>
      </c>
      <c r="C77" s="6" t="s">
        <v>266</v>
      </c>
      <c r="D77" s="6">
        <v>22</v>
      </c>
      <c r="E77" s="4">
        <f>DAY(TableAopCalendar[[#This Row],[Date]])</f>
        <v>15</v>
      </c>
      <c r="F77" s="4">
        <f>IF(TableAopCalendar[[#This Row],[Day]]&lt;8,1,IF(TableAopCalendar[[#This Row],[Day]]&lt;15,2,IF(TableAopCalendar[[#This Row],[Day]]&lt;22,3,IF(TableAopCalendar[[#This Row],[Day]]&lt;29,4,IF(TableAopCalendar[[#This Row],[Day]]&lt;32,5)))))</f>
        <v>3</v>
      </c>
      <c r="G77" s="4" t="str">
        <f t="shared" si="4"/>
        <v>Week 3</v>
      </c>
      <c r="H77" s="4" t="str">
        <f t="shared" si="5"/>
        <v>June 22 Week 3</v>
      </c>
      <c r="I77" s="4" t="str">
        <f>CONCATENATE(UPPER(TableAopCalendar[[#This Row],[Month]])," ",TableAopCalendar[[#This Row],[Year]])</f>
        <v>JUNE 22</v>
      </c>
      <c r="J77" s="7" t="s">
        <v>274</v>
      </c>
      <c r="K77" s="7" t="str">
        <f>CONCATENATE(TableAopCalendar[[#This Row],[Month for Plan]]," ",TableAopCalendar[[#This Row],[Plan]])</f>
        <v>JUNE 22 PLANNED</v>
      </c>
    </row>
    <row r="78" spans="1:11" x14ac:dyDescent="0.3">
      <c r="A78" s="4">
        <f t="shared" si="3"/>
        <v>2</v>
      </c>
      <c r="B78" s="5">
        <v>44728</v>
      </c>
      <c r="C78" s="6" t="s">
        <v>266</v>
      </c>
      <c r="D78" s="6">
        <v>22</v>
      </c>
      <c r="E78" s="4">
        <f>DAY(TableAopCalendar[[#This Row],[Date]])</f>
        <v>16</v>
      </c>
      <c r="F78" s="4">
        <f>IF(TableAopCalendar[[#This Row],[Day]]&lt;8,1,IF(TableAopCalendar[[#This Row],[Day]]&lt;15,2,IF(TableAopCalendar[[#This Row],[Day]]&lt;22,3,IF(TableAopCalendar[[#This Row],[Day]]&lt;29,4,IF(TableAopCalendar[[#This Row],[Day]]&lt;32,5)))))</f>
        <v>3</v>
      </c>
      <c r="G78" s="4" t="str">
        <f t="shared" si="4"/>
        <v>Week 3</v>
      </c>
      <c r="H78" s="4" t="str">
        <f t="shared" si="5"/>
        <v>June 22 Week 3</v>
      </c>
      <c r="I78" s="4" t="str">
        <f>CONCATENATE(UPPER(TableAopCalendar[[#This Row],[Month]])," ",TableAopCalendar[[#This Row],[Year]])</f>
        <v>JUNE 22</v>
      </c>
      <c r="J78" s="7" t="s">
        <v>274</v>
      </c>
      <c r="K78" s="7" t="str">
        <f>CONCATENATE(TableAopCalendar[[#This Row],[Month for Plan]]," ",TableAopCalendar[[#This Row],[Plan]])</f>
        <v>JUNE 22 PLANNED</v>
      </c>
    </row>
    <row r="79" spans="1:11" x14ac:dyDescent="0.3">
      <c r="A79" s="4">
        <f t="shared" si="3"/>
        <v>3</v>
      </c>
      <c r="B79" s="5">
        <v>44729</v>
      </c>
      <c r="C79" s="6" t="s">
        <v>266</v>
      </c>
      <c r="D79" s="6">
        <v>22</v>
      </c>
      <c r="E79" s="4">
        <f>DAY(TableAopCalendar[[#This Row],[Date]])</f>
        <v>17</v>
      </c>
      <c r="F79" s="4">
        <f>IF(TableAopCalendar[[#This Row],[Day]]&lt;8,1,IF(TableAopCalendar[[#This Row],[Day]]&lt;15,2,IF(TableAopCalendar[[#This Row],[Day]]&lt;22,3,IF(TableAopCalendar[[#This Row],[Day]]&lt;29,4,IF(TableAopCalendar[[#This Row],[Day]]&lt;32,5)))))</f>
        <v>3</v>
      </c>
      <c r="G79" s="4" t="str">
        <f t="shared" si="4"/>
        <v>Week 3</v>
      </c>
      <c r="H79" s="4" t="str">
        <f t="shared" si="5"/>
        <v>June 22 Week 3</v>
      </c>
      <c r="I79" s="4" t="str">
        <f>CONCATENATE(UPPER(TableAopCalendar[[#This Row],[Month]])," ",TableAopCalendar[[#This Row],[Year]])</f>
        <v>JUNE 22</v>
      </c>
      <c r="J79" s="7" t="s">
        <v>274</v>
      </c>
      <c r="K79" s="7" t="str">
        <f>CONCATENATE(TableAopCalendar[[#This Row],[Month for Plan]]," ",TableAopCalendar[[#This Row],[Plan]])</f>
        <v>JUNE 22 PLANNED</v>
      </c>
    </row>
    <row r="80" spans="1:11" x14ac:dyDescent="0.3">
      <c r="A80" s="4">
        <f t="shared" si="3"/>
        <v>4</v>
      </c>
      <c r="B80" s="5">
        <v>44730</v>
      </c>
      <c r="C80" s="6" t="s">
        <v>266</v>
      </c>
      <c r="D80" s="6">
        <v>22</v>
      </c>
      <c r="E80" s="4">
        <f>DAY(TableAopCalendar[[#This Row],[Date]])</f>
        <v>18</v>
      </c>
      <c r="F80" s="4">
        <f>IF(TableAopCalendar[[#This Row],[Day]]&lt;8,1,IF(TableAopCalendar[[#This Row],[Day]]&lt;15,2,IF(TableAopCalendar[[#This Row],[Day]]&lt;22,3,IF(TableAopCalendar[[#This Row],[Day]]&lt;29,4,IF(TableAopCalendar[[#This Row],[Day]]&lt;32,5)))))</f>
        <v>3</v>
      </c>
      <c r="G80" s="4" t="str">
        <f t="shared" si="4"/>
        <v>Week 3</v>
      </c>
      <c r="H80" s="4" t="str">
        <f t="shared" si="5"/>
        <v>June 22 Week 3</v>
      </c>
      <c r="I80" s="4" t="str">
        <f>CONCATENATE(UPPER(TableAopCalendar[[#This Row],[Month]])," ",TableAopCalendar[[#This Row],[Year]])</f>
        <v>JUNE 22</v>
      </c>
      <c r="J80" s="7" t="s">
        <v>274</v>
      </c>
      <c r="K80" s="7" t="str">
        <f>CONCATENATE(TableAopCalendar[[#This Row],[Month for Plan]]," ",TableAopCalendar[[#This Row],[Plan]])</f>
        <v>JUNE 22 PLANNED</v>
      </c>
    </row>
    <row r="81" spans="1:11" x14ac:dyDescent="0.3">
      <c r="A81" s="4">
        <f t="shared" si="3"/>
        <v>5</v>
      </c>
      <c r="B81" s="5">
        <v>44731</v>
      </c>
      <c r="C81" s="6" t="s">
        <v>266</v>
      </c>
      <c r="D81" s="6">
        <v>22</v>
      </c>
      <c r="E81" s="4">
        <f>DAY(TableAopCalendar[[#This Row],[Date]])</f>
        <v>19</v>
      </c>
      <c r="F81" s="4">
        <f>IF(TableAopCalendar[[#This Row],[Day]]&lt;8,1,IF(TableAopCalendar[[#This Row],[Day]]&lt;15,2,IF(TableAopCalendar[[#This Row],[Day]]&lt;22,3,IF(TableAopCalendar[[#This Row],[Day]]&lt;29,4,IF(TableAopCalendar[[#This Row],[Day]]&lt;32,5)))))</f>
        <v>3</v>
      </c>
      <c r="G81" s="4" t="str">
        <f t="shared" si="4"/>
        <v>Week 3</v>
      </c>
      <c r="H81" s="4" t="str">
        <f t="shared" si="5"/>
        <v>June 22 Week 3</v>
      </c>
      <c r="I81" s="4" t="str">
        <f>CONCATENATE(UPPER(TableAopCalendar[[#This Row],[Month]])," ",TableAopCalendar[[#This Row],[Year]])</f>
        <v>JUNE 22</v>
      </c>
      <c r="J81" s="7" t="s">
        <v>274</v>
      </c>
      <c r="K81" s="7" t="str">
        <f>CONCATENATE(TableAopCalendar[[#This Row],[Month for Plan]]," ",TableAopCalendar[[#This Row],[Plan]])</f>
        <v>JUNE 22 PLANNED</v>
      </c>
    </row>
    <row r="82" spans="1:11" x14ac:dyDescent="0.3">
      <c r="A82" s="4">
        <f t="shared" si="3"/>
        <v>6</v>
      </c>
      <c r="B82" s="5">
        <v>44732</v>
      </c>
      <c r="C82" s="6" t="s">
        <v>266</v>
      </c>
      <c r="D82" s="6">
        <v>22</v>
      </c>
      <c r="E82" s="4">
        <f>DAY(TableAopCalendar[[#This Row],[Date]])</f>
        <v>20</v>
      </c>
      <c r="F82" s="4">
        <f>IF(TableAopCalendar[[#This Row],[Day]]&lt;8,1,IF(TableAopCalendar[[#This Row],[Day]]&lt;15,2,IF(TableAopCalendar[[#This Row],[Day]]&lt;22,3,IF(TableAopCalendar[[#This Row],[Day]]&lt;29,4,IF(TableAopCalendar[[#This Row],[Day]]&lt;32,5)))))</f>
        <v>3</v>
      </c>
      <c r="G82" s="4" t="str">
        <f t="shared" si="4"/>
        <v>Week 3</v>
      </c>
      <c r="H82" s="4" t="str">
        <f t="shared" si="5"/>
        <v>June 22 Week 3</v>
      </c>
      <c r="I82" s="4" t="str">
        <f>CONCATENATE(UPPER(TableAopCalendar[[#This Row],[Month]])," ",TableAopCalendar[[#This Row],[Year]])</f>
        <v>JUNE 22</v>
      </c>
      <c r="J82" s="7" t="s">
        <v>274</v>
      </c>
      <c r="K82" s="7" t="str">
        <f>CONCATENATE(TableAopCalendar[[#This Row],[Month for Plan]]," ",TableAopCalendar[[#This Row],[Plan]])</f>
        <v>JUNE 22 PLANNED</v>
      </c>
    </row>
    <row r="83" spans="1:11" x14ac:dyDescent="0.3">
      <c r="A83" s="4">
        <f t="shared" si="3"/>
        <v>7</v>
      </c>
      <c r="B83" s="5">
        <v>44733</v>
      </c>
      <c r="C83" s="6" t="s">
        <v>266</v>
      </c>
      <c r="D83" s="6">
        <v>22</v>
      </c>
      <c r="E83" s="4">
        <f>DAY(TableAopCalendar[[#This Row],[Date]])</f>
        <v>21</v>
      </c>
      <c r="F83" s="4">
        <f>IF(TableAopCalendar[[#This Row],[Day]]&lt;8,1,IF(TableAopCalendar[[#This Row],[Day]]&lt;15,2,IF(TableAopCalendar[[#This Row],[Day]]&lt;22,3,IF(TableAopCalendar[[#This Row],[Day]]&lt;29,4,IF(TableAopCalendar[[#This Row],[Day]]&lt;32,5)))))</f>
        <v>3</v>
      </c>
      <c r="G83" s="4" t="str">
        <f t="shared" si="4"/>
        <v>Week 3</v>
      </c>
      <c r="H83" s="4" t="str">
        <f t="shared" si="5"/>
        <v>June 22 Week 3</v>
      </c>
      <c r="I83" s="4" t="str">
        <f>CONCATENATE(UPPER(TableAopCalendar[[#This Row],[Month]])," ",TableAopCalendar[[#This Row],[Year]])</f>
        <v>JUNE 22</v>
      </c>
      <c r="J83" s="7" t="s">
        <v>274</v>
      </c>
      <c r="K83" s="7" t="str">
        <f>CONCATENATE(TableAopCalendar[[#This Row],[Month for Plan]]," ",TableAopCalendar[[#This Row],[Plan]])</f>
        <v>JUNE 22 PLANNED</v>
      </c>
    </row>
    <row r="84" spans="1:11" x14ac:dyDescent="0.3">
      <c r="A84" s="4">
        <f t="shared" si="3"/>
        <v>1</v>
      </c>
      <c r="B84" s="5">
        <v>44734</v>
      </c>
      <c r="C84" s="6" t="s">
        <v>266</v>
      </c>
      <c r="D84" s="6">
        <v>22</v>
      </c>
      <c r="E84" s="4">
        <f>DAY(TableAopCalendar[[#This Row],[Date]])</f>
        <v>22</v>
      </c>
      <c r="F84" s="4">
        <f>IF(TableAopCalendar[[#This Row],[Day]]&lt;8,1,IF(TableAopCalendar[[#This Row],[Day]]&lt;15,2,IF(TableAopCalendar[[#This Row],[Day]]&lt;22,3,IF(TableAopCalendar[[#This Row],[Day]]&lt;29,4,IF(TableAopCalendar[[#This Row],[Day]]&lt;32,5)))))</f>
        <v>4</v>
      </c>
      <c r="G84" s="4" t="str">
        <f t="shared" si="4"/>
        <v>Week 4</v>
      </c>
      <c r="H84" s="4" t="str">
        <f t="shared" si="5"/>
        <v>June 22 Week 4</v>
      </c>
      <c r="I84" s="4" t="str">
        <f>CONCATENATE(UPPER(TableAopCalendar[[#This Row],[Month]])," ",TableAopCalendar[[#This Row],[Year]])</f>
        <v>JUNE 22</v>
      </c>
      <c r="J84" s="7" t="s">
        <v>274</v>
      </c>
      <c r="K84" s="7" t="str">
        <f>CONCATENATE(TableAopCalendar[[#This Row],[Month for Plan]]," ",TableAopCalendar[[#This Row],[Plan]])</f>
        <v>JUNE 22 PLANNED</v>
      </c>
    </row>
    <row r="85" spans="1:11" x14ac:dyDescent="0.3">
      <c r="A85" s="4">
        <f t="shared" si="3"/>
        <v>2</v>
      </c>
      <c r="B85" s="5">
        <v>44735</v>
      </c>
      <c r="C85" s="6" t="s">
        <v>266</v>
      </c>
      <c r="D85" s="6">
        <v>22</v>
      </c>
      <c r="E85" s="4">
        <f>DAY(TableAopCalendar[[#This Row],[Date]])</f>
        <v>23</v>
      </c>
      <c r="F85" s="4">
        <f>IF(TableAopCalendar[[#This Row],[Day]]&lt;8,1,IF(TableAopCalendar[[#This Row],[Day]]&lt;15,2,IF(TableAopCalendar[[#This Row],[Day]]&lt;22,3,IF(TableAopCalendar[[#This Row],[Day]]&lt;29,4,IF(TableAopCalendar[[#This Row],[Day]]&lt;32,5)))))</f>
        <v>4</v>
      </c>
      <c r="G85" s="4" t="str">
        <f t="shared" si="4"/>
        <v>Week 4</v>
      </c>
      <c r="H85" s="4" t="str">
        <f t="shared" si="5"/>
        <v>June 22 Week 4</v>
      </c>
      <c r="I85" s="4" t="str">
        <f>CONCATENATE(UPPER(TableAopCalendar[[#This Row],[Month]])," ",TableAopCalendar[[#This Row],[Year]])</f>
        <v>JUNE 22</v>
      </c>
      <c r="J85" s="7" t="s">
        <v>274</v>
      </c>
      <c r="K85" s="7" t="str">
        <f>CONCATENATE(TableAopCalendar[[#This Row],[Month for Plan]]," ",TableAopCalendar[[#This Row],[Plan]])</f>
        <v>JUNE 22 PLANNED</v>
      </c>
    </row>
    <row r="86" spans="1:11" x14ac:dyDescent="0.3">
      <c r="A86" s="4">
        <f t="shared" si="3"/>
        <v>3</v>
      </c>
      <c r="B86" s="5">
        <v>44736</v>
      </c>
      <c r="C86" s="6" t="s">
        <v>266</v>
      </c>
      <c r="D86" s="6">
        <v>22</v>
      </c>
      <c r="E86" s="4">
        <f>DAY(TableAopCalendar[[#This Row],[Date]])</f>
        <v>24</v>
      </c>
      <c r="F86" s="4">
        <f>IF(TableAopCalendar[[#This Row],[Day]]&lt;8,1,IF(TableAopCalendar[[#This Row],[Day]]&lt;15,2,IF(TableAopCalendar[[#This Row],[Day]]&lt;22,3,IF(TableAopCalendar[[#This Row],[Day]]&lt;29,4,IF(TableAopCalendar[[#This Row],[Day]]&lt;32,5)))))</f>
        <v>4</v>
      </c>
      <c r="G86" s="4" t="str">
        <f t="shared" si="4"/>
        <v>Week 4</v>
      </c>
      <c r="H86" s="4" t="str">
        <f t="shared" si="5"/>
        <v>June 22 Week 4</v>
      </c>
      <c r="I86" s="4" t="str">
        <f>CONCATENATE(UPPER(TableAopCalendar[[#This Row],[Month]])," ",TableAopCalendar[[#This Row],[Year]])</f>
        <v>JUNE 22</v>
      </c>
      <c r="J86" s="7" t="s">
        <v>274</v>
      </c>
      <c r="K86" s="7" t="str">
        <f>CONCATENATE(TableAopCalendar[[#This Row],[Month for Plan]]," ",TableAopCalendar[[#This Row],[Plan]])</f>
        <v>JUNE 22 PLANNED</v>
      </c>
    </row>
    <row r="87" spans="1:11" x14ac:dyDescent="0.3">
      <c r="A87" s="4">
        <f t="shared" si="3"/>
        <v>4</v>
      </c>
      <c r="B87" s="5">
        <v>44737</v>
      </c>
      <c r="C87" s="6" t="s">
        <v>266</v>
      </c>
      <c r="D87" s="6">
        <v>22</v>
      </c>
      <c r="E87" s="4">
        <f>DAY(TableAopCalendar[[#This Row],[Date]])</f>
        <v>25</v>
      </c>
      <c r="F87" s="4">
        <f>IF(TableAopCalendar[[#This Row],[Day]]&lt;8,1,IF(TableAopCalendar[[#This Row],[Day]]&lt;15,2,IF(TableAopCalendar[[#This Row],[Day]]&lt;22,3,IF(TableAopCalendar[[#This Row],[Day]]&lt;29,4,IF(TableAopCalendar[[#This Row],[Day]]&lt;32,5)))))</f>
        <v>4</v>
      </c>
      <c r="G87" s="4" t="str">
        <f t="shared" si="4"/>
        <v>Week 4</v>
      </c>
      <c r="H87" s="4" t="str">
        <f t="shared" si="5"/>
        <v>June 22 Week 4</v>
      </c>
      <c r="I87" s="4" t="str">
        <f>CONCATENATE(UPPER(TableAopCalendar[[#This Row],[Month]])," ",TableAopCalendar[[#This Row],[Year]])</f>
        <v>JUNE 22</v>
      </c>
      <c r="J87" s="7" t="s">
        <v>274</v>
      </c>
      <c r="K87" s="7" t="str">
        <f>CONCATENATE(TableAopCalendar[[#This Row],[Month for Plan]]," ",TableAopCalendar[[#This Row],[Plan]])</f>
        <v>JUNE 22 PLANNED</v>
      </c>
    </row>
    <row r="88" spans="1:11" x14ac:dyDescent="0.3">
      <c r="A88" s="4">
        <f t="shared" si="3"/>
        <v>5</v>
      </c>
      <c r="B88" s="5">
        <v>44738</v>
      </c>
      <c r="C88" s="6" t="s">
        <v>266</v>
      </c>
      <c r="D88" s="6">
        <v>22</v>
      </c>
      <c r="E88" s="4">
        <f>DAY(TableAopCalendar[[#This Row],[Date]])</f>
        <v>26</v>
      </c>
      <c r="F88" s="4">
        <f>IF(TableAopCalendar[[#This Row],[Day]]&lt;8,1,IF(TableAopCalendar[[#This Row],[Day]]&lt;15,2,IF(TableAopCalendar[[#This Row],[Day]]&lt;22,3,IF(TableAopCalendar[[#This Row],[Day]]&lt;29,4,IF(TableAopCalendar[[#This Row],[Day]]&lt;32,5)))))</f>
        <v>4</v>
      </c>
      <c r="G88" s="4" t="str">
        <f t="shared" si="4"/>
        <v>Week 4</v>
      </c>
      <c r="H88" s="4" t="str">
        <f t="shared" si="5"/>
        <v>June 22 Week 4</v>
      </c>
      <c r="I88" s="4" t="str">
        <f>CONCATENATE(UPPER(TableAopCalendar[[#This Row],[Month]])," ",TableAopCalendar[[#This Row],[Year]])</f>
        <v>JUNE 22</v>
      </c>
      <c r="J88" s="7" t="s">
        <v>274</v>
      </c>
      <c r="K88" s="7" t="str">
        <f>CONCATENATE(TableAopCalendar[[#This Row],[Month for Plan]]," ",TableAopCalendar[[#This Row],[Plan]])</f>
        <v>JUNE 22 PLANNED</v>
      </c>
    </row>
    <row r="89" spans="1:11" x14ac:dyDescent="0.3">
      <c r="A89" s="4">
        <f t="shared" si="3"/>
        <v>6</v>
      </c>
      <c r="B89" s="5">
        <v>44739</v>
      </c>
      <c r="C89" s="6" t="s">
        <v>266</v>
      </c>
      <c r="D89" s="6">
        <v>22</v>
      </c>
      <c r="E89" s="4">
        <f>DAY(TableAopCalendar[[#This Row],[Date]])</f>
        <v>27</v>
      </c>
      <c r="F89" s="4">
        <f>IF(TableAopCalendar[[#This Row],[Day]]&lt;8,1,IF(TableAopCalendar[[#This Row],[Day]]&lt;15,2,IF(TableAopCalendar[[#This Row],[Day]]&lt;22,3,IF(TableAopCalendar[[#This Row],[Day]]&lt;29,4,IF(TableAopCalendar[[#This Row],[Day]]&lt;32,5)))))</f>
        <v>4</v>
      </c>
      <c r="G89" s="4" t="str">
        <f t="shared" si="4"/>
        <v>Week 4</v>
      </c>
      <c r="H89" s="4" t="str">
        <f t="shared" si="5"/>
        <v>June 22 Week 4</v>
      </c>
      <c r="I89" s="4" t="str">
        <f>CONCATENATE(UPPER(TableAopCalendar[[#This Row],[Month]])," ",TableAopCalendar[[#This Row],[Year]])</f>
        <v>JUNE 22</v>
      </c>
      <c r="J89" s="7" t="s">
        <v>274</v>
      </c>
      <c r="K89" s="7" t="str">
        <f>CONCATENATE(TableAopCalendar[[#This Row],[Month for Plan]]," ",TableAopCalendar[[#This Row],[Plan]])</f>
        <v>JUNE 22 PLANNED</v>
      </c>
    </row>
    <row r="90" spans="1:11" x14ac:dyDescent="0.3">
      <c r="A90" s="4">
        <f t="shared" si="3"/>
        <v>7</v>
      </c>
      <c r="B90" s="5">
        <v>44740</v>
      </c>
      <c r="C90" s="6" t="s">
        <v>266</v>
      </c>
      <c r="D90" s="6">
        <v>22</v>
      </c>
      <c r="E90" s="4">
        <f>DAY(TableAopCalendar[[#This Row],[Date]])</f>
        <v>28</v>
      </c>
      <c r="F90" s="4">
        <f>IF(TableAopCalendar[[#This Row],[Day]]&lt;8,1,IF(TableAopCalendar[[#This Row],[Day]]&lt;15,2,IF(TableAopCalendar[[#This Row],[Day]]&lt;22,3,IF(TableAopCalendar[[#This Row],[Day]]&lt;29,4,IF(TableAopCalendar[[#This Row],[Day]]&lt;32,5)))))</f>
        <v>4</v>
      </c>
      <c r="G90" s="4" t="str">
        <f t="shared" si="4"/>
        <v>Week 4</v>
      </c>
      <c r="H90" s="4" t="str">
        <f t="shared" si="5"/>
        <v>June 22 Week 4</v>
      </c>
      <c r="I90" s="4" t="str">
        <f>CONCATENATE(UPPER(TableAopCalendar[[#This Row],[Month]])," ",TableAopCalendar[[#This Row],[Year]])</f>
        <v>JUNE 22</v>
      </c>
      <c r="J90" s="7" t="s">
        <v>274</v>
      </c>
      <c r="K90" s="7" t="str">
        <f>CONCATENATE(TableAopCalendar[[#This Row],[Month for Plan]]," ",TableAopCalendar[[#This Row],[Plan]])</f>
        <v>JUNE 22 PLANNED</v>
      </c>
    </row>
    <row r="91" spans="1:11" x14ac:dyDescent="0.3">
      <c r="A91" s="4">
        <f t="shared" si="3"/>
        <v>1</v>
      </c>
      <c r="B91" s="5">
        <v>44741</v>
      </c>
      <c r="C91" s="6" t="s">
        <v>266</v>
      </c>
      <c r="D91" s="6">
        <v>22</v>
      </c>
      <c r="E91" s="4">
        <f>DAY(TableAopCalendar[[#This Row],[Date]])</f>
        <v>29</v>
      </c>
      <c r="F91" s="4">
        <f>IF(TableAopCalendar[[#This Row],[Day]]&lt;8,1,IF(TableAopCalendar[[#This Row],[Day]]&lt;15,2,IF(TableAopCalendar[[#This Row],[Day]]&lt;22,3,IF(TableAopCalendar[[#This Row],[Day]]&lt;29,4,IF(TableAopCalendar[[#This Row],[Day]]&lt;32,5)))))</f>
        <v>5</v>
      </c>
      <c r="G91" s="4" t="str">
        <f t="shared" si="4"/>
        <v>Week 5</v>
      </c>
      <c r="H91" s="4" t="str">
        <f t="shared" si="5"/>
        <v>June 22 Week 5</v>
      </c>
      <c r="I91" s="4" t="str">
        <f>CONCATENATE(UPPER(TableAopCalendar[[#This Row],[Month]])," ",TableAopCalendar[[#This Row],[Year]])</f>
        <v>JUNE 22</v>
      </c>
      <c r="J91" s="7" t="s">
        <v>274</v>
      </c>
      <c r="K91" s="7" t="str">
        <f>CONCATENATE(TableAopCalendar[[#This Row],[Month for Plan]]," ",TableAopCalendar[[#This Row],[Plan]])</f>
        <v>JUNE 22 PLANNED</v>
      </c>
    </row>
    <row r="92" spans="1:11" x14ac:dyDescent="0.3">
      <c r="A92" s="4">
        <f t="shared" si="3"/>
        <v>2</v>
      </c>
      <c r="B92" s="5">
        <v>44742</v>
      </c>
      <c r="C92" s="6" t="s">
        <v>266</v>
      </c>
      <c r="D92" s="6">
        <v>22</v>
      </c>
      <c r="E92" s="4">
        <f>DAY(TableAopCalendar[[#This Row],[Date]])</f>
        <v>30</v>
      </c>
      <c r="F92" s="4">
        <f>IF(TableAopCalendar[[#This Row],[Day]]&lt;8,1,IF(TableAopCalendar[[#This Row],[Day]]&lt;15,2,IF(TableAopCalendar[[#This Row],[Day]]&lt;22,3,IF(TableAopCalendar[[#This Row],[Day]]&lt;29,4,IF(TableAopCalendar[[#This Row],[Day]]&lt;32,5)))))</f>
        <v>5</v>
      </c>
      <c r="G92" s="4" t="str">
        <f t="shared" si="4"/>
        <v>Week 5</v>
      </c>
      <c r="H92" s="4" t="str">
        <f t="shared" si="5"/>
        <v>June 22 Week 5</v>
      </c>
      <c r="I92" s="4" t="str">
        <f>CONCATENATE(UPPER(TableAopCalendar[[#This Row],[Month]])," ",TableAopCalendar[[#This Row],[Year]])</f>
        <v>JUNE 22</v>
      </c>
      <c r="J92" s="7" t="s">
        <v>274</v>
      </c>
      <c r="K92" s="7" t="str">
        <f>CONCATENATE(TableAopCalendar[[#This Row],[Month for Plan]]," ",TableAopCalendar[[#This Row],[Plan]])</f>
        <v>JUNE 22 PLANNED</v>
      </c>
    </row>
    <row r="93" spans="1:11" x14ac:dyDescent="0.3">
      <c r="A93" s="4">
        <f t="shared" si="3"/>
        <v>1</v>
      </c>
      <c r="B93" s="5">
        <v>44743</v>
      </c>
      <c r="C93" s="6" t="s">
        <v>267</v>
      </c>
      <c r="D93" s="6">
        <v>22</v>
      </c>
      <c r="E93" s="4">
        <f>DAY(TableAopCalendar[[#This Row],[Date]])</f>
        <v>1</v>
      </c>
      <c r="F93" s="4">
        <f>IF(TableAopCalendar[[#This Row],[Day]]&lt;8,1,IF(TableAopCalendar[[#This Row],[Day]]&lt;15,2,IF(TableAopCalendar[[#This Row],[Day]]&lt;22,3,IF(TableAopCalendar[[#This Row],[Day]]&lt;29,4,IF(TableAopCalendar[[#This Row],[Day]]&lt;32,5)))))</f>
        <v>1</v>
      </c>
      <c r="G93" s="4" t="str">
        <f t="shared" si="4"/>
        <v>Week 1</v>
      </c>
      <c r="H93" s="4" t="str">
        <f t="shared" si="5"/>
        <v>July 22 Week 1</v>
      </c>
      <c r="I93" s="4" t="str">
        <f>CONCATENATE(UPPER(TableAopCalendar[[#This Row],[Month]])," ",TableAopCalendar[[#This Row],[Year]])</f>
        <v>JULY 22</v>
      </c>
      <c r="J93" s="7" t="s">
        <v>274</v>
      </c>
      <c r="K93" s="7" t="str">
        <f>CONCATENATE(TableAopCalendar[[#This Row],[Month for Plan]]," ",TableAopCalendar[[#This Row],[Plan]])</f>
        <v>JULY 22 PLANNED</v>
      </c>
    </row>
    <row r="94" spans="1:11" x14ac:dyDescent="0.3">
      <c r="A94" s="4">
        <f t="shared" si="3"/>
        <v>2</v>
      </c>
      <c r="B94" s="5">
        <v>44744</v>
      </c>
      <c r="C94" s="6" t="s">
        <v>267</v>
      </c>
      <c r="D94" s="6">
        <v>22</v>
      </c>
      <c r="E94" s="4">
        <f>DAY(TableAopCalendar[[#This Row],[Date]])</f>
        <v>2</v>
      </c>
      <c r="F94" s="4">
        <f>IF(TableAopCalendar[[#This Row],[Day]]&lt;8,1,IF(TableAopCalendar[[#This Row],[Day]]&lt;15,2,IF(TableAopCalendar[[#This Row],[Day]]&lt;22,3,IF(TableAopCalendar[[#This Row],[Day]]&lt;29,4,IF(TableAopCalendar[[#This Row],[Day]]&lt;32,5)))))</f>
        <v>1</v>
      </c>
      <c r="G94" s="4" t="str">
        <f t="shared" si="4"/>
        <v>Week 1</v>
      </c>
      <c r="H94" s="4" t="str">
        <f t="shared" si="5"/>
        <v>July 22 Week 1</v>
      </c>
      <c r="I94" s="4" t="str">
        <f>CONCATENATE(UPPER(TableAopCalendar[[#This Row],[Month]])," ",TableAopCalendar[[#This Row],[Year]])</f>
        <v>JULY 22</v>
      </c>
      <c r="J94" s="7" t="s">
        <v>274</v>
      </c>
      <c r="K94" s="7" t="str">
        <f>CONCATENATE(TableAopCalendar[[#This Row],[Month for Plan]]," ",TableAopCalendar[[#This Row],[Plan]])</f>
        <v>JULY 22 PLANNED</v>
      </c>
    </row>
    <row r="95" spans="1:11" x14ac:dyDescent="0.3">
      <c r="A95" s="4">
        <f t="shared" si="3"/>
        <v>3</v>
      </c>
      <c r="B95" s="5">
        <v>44745</v>
      </c>
      <c r="C95" s="6" t="s">
        <v>267</v>
      </c>
      <c r="D95" s="6">
        <v>22</v>
      </c>
      <c r="E95" s="4">
        <f>DAY(TableAopCalendar[[#This Row],[Date]])</f>
        <v>3</v>
      </c>
      <c r="F95" s="4">
        <f>IF(TableAopCalendar[[#This Row],[Day]]&lt;8,1,IF(TableAopCalendar[[#This Row],[Day]]&lt;15,2,IF(TableAopCalendar[[#This Row],[Day]]&lt;22,3,IF(TableAopCalendar[[#This Row],[Day]]&lt;29,4,IF(TableAopCalendar[[#This Row],[Day]]&lt;32,5)))))</f>
        <v>1</v>
      </c>
      <c r="G95" s="4" t="str">
        <f t="shared" si="4"/>
        <v>Week 1</v>
      </c>
      <c r="H95" s="4" t="str">
        <f t="shared" si="5"/>
        <v>July 22 Week 1</v>
      </c>
      <c r="I95" s="4" t="str">
        <f>CONCATENATE(UPPER(TableAopCalendar[[#This Row],[Month]])," ",TableAopCalendar[[#This Row],[Year]])</f>
        <v>JULY 22</v>
      </c>
      <c r="J95" s="7" t="s">
        <v>274</v>
      </c>
      <c r="K95" s="7" t="str">
        <f>CONCATENATE(TableAopCalendar[[#This Row],[Month for Plan]]," ",TableAopCalendar[[#This Row],[Plan]])</f>
        <v>JULY 22 PLANNED</v>
      </c>
    </row>
    <row r="96" spans="1:11" x14ac:dyDescent="0.3">
      <c r="A96" s="4">
        <f t="shared" si="3"/>
        <v>4</v>
      </c>
      <c r="B96" s="5">
        <v>44746</v>
      </c>
      <c r="C96" s="6" t="s">
        <v>267</v>
      </c>
      <c r="D96" s="6">
        <v>22</v>
      </c>
      <c r="E96" s="4">
        <f>DAY(TableAopCalendar[[#This Row],[Date]])</f>
        <v>4</v>
      </c>
      <c r="F96" s="4">
        <f>IF(TableAopCalendar[[#This Row],[Day]]&lt;8,1,IF(TableAopCalendar[[#This Row],[Day]]&lt;15,2,IF(TableAopCalendar[[#This Row],[Day]]&lt;22,3,IF(TableAopCalendar[[#This Row],[Day]]&lt;29,4,IF(TableAopCalendar[[#This Row],[Day]]&lt;32,5)))))</f>
        <v>1</v>
      </c>
      <c r="G96" s="4" t="str">
        <f t="shared" si="4"/>
        <v>Week 1</v>
      </c>
      <c r="H96" s="4" t="str">
        <f t="shared" si="5"/>
        <v>July 22 Week 1</v>
      </c>
      <c r="I96" s="4" t="str">
        <f>CONCATENATE(UPPER(TableAopCalendar[[#This Row],[Month]])," ",TableAopCalendar[[#This Row],[Year]])</f>
        <v>JULY 22</v>
      </c>
      <c r="J96" s="7" t="s">
        <v>274</v>
      </c>
      <c r="K96" s="7" t="str">
        <f>CONCATENATE(TableAopCalendar[[#This Row],[Month for Plan]]," ",TableAopCalendar[[#This Row],[Plan]])</f>
        <v>JULY 22 PLANNED</v>
      </c>
    </row>
    <row r="97" spans="1:11" x14ac:dyDescent="0.3">
      <c r="A97" s="4">
        <f t="shared" si="3"/>
        <v>5</v>
      </c>
      <c r="B97" s="5">
        <v>44747</v>
      </c>
      <c r="C97" s="6" t="s">
        <v>267</v>
      </c>
      <c r="D97" s="6">
        <v>22</v>
      </c>
      <c r="E97" s="4">
        <f>DAY(TableAopCalendar[[#This Row],[Date]])</f>
        <v>5</v>
      </c>
      <c r="F97" s="4">
        <f>IF(TableAopCalendar[[#This Row],[Day]]&lt;8,1,IF(TableAopCalendar[[#This Row],[Day]]&lt;15,2,IF(TableAopCalendar[[#This Row],[Day]]&lt;22,3,IF(TableAopCalendar[[#This Row],[Day]]&lt;29,4,IF(TableAopCalendar[[#This Row],[Day]]&lt;32,5)))))</f>
        <v>1</v>
      </c>
      <c r="G97" s="4" t="str">
        <f t="shared" si="4"/>
        <v>Week 1</v>
      </c>
      <c r="H97" s="4" t="str">
        <f t="shared" si="5"/>
        <v>July 22 Week 1</v>
      </c>
      <c r="I97" s="4" t="str">
        <f>CONCATENATE(UPPER(TableAopCalendar[[#This Row],[Month]])," ",TableAopCalendar[[#This Row],[Year]])</f>
        <v>JULY 22</v>
      </c>
      <c r="J97" s="7" t="s">
        <v>274</v>
      </c>
      <c r="K97" s="7" t="str">
        <f>CONCATENATE(TableAopCalendar[[#This Row],[Month for Plan]]," ",TableAopCalendar[[#This Row],[Plan]])</f>
        <v>JULY 22 PLANNED</v>
      </c>
    </row>
    <row r="98" spans="1:11" x14ac:dyDescent="0.3">
      <c r="A98" s="4">
        <f t="shared" si="3"/>
        <v>6</v>
      </c>
      <c r="B98" s="5">
        <v>44748</v>
      </c>
      <c r="C98" s="6" t="s">
        <v>267</v>
      </c>
      <c r="D98" s="6">
        <v>22</v>
      </c>
      <c r="E98" s="4">
        <f>DAY(TableAopCalendar[[#This Row],[Date]])</f>
        <v>6</v>
      </c>
      <c r="F98" s="4">
        <f>IF(TableAopCalendar[[#This Row],[Day]]&lt;8,1,IF(TableAopCalendar[[#This Row],[Day]]&lt;15,2,IF(TableAopCalendar[[#This Row],[Day]]&lt;22,3,IF(TableAopCalendar[[#This Row],[Day]]&lt;29,4,IF(TableAopCalendar[[#This Row],[Day]]&lt;32,5)))))</f>
        <v>1</v>
      </c>
      <c r="G98" s="4" t="str">
        <f t="shared" si="4"/>
        <v>Week 1</v>
      </c>
      <c r="H98" s="4" t="str">
        <f t="shared" si="5"/>
        <v>July 22 Week 1</v>
      </c>
      <c r="I98" s="4" t="str">
        <f>CONCATENATE(UPPER(TableAopCalendar[[#This Row],[Month]])," ",TableAopCalendar[[#This Row],[Year]])</f>
        <v>JULY 22</v>
      </c>
      <c r="J98" s="7" t="s">
        <v>274</v>
      </c>
      <c r="K98" s="7" t="str">
        <f>CONCATENATE(TableAopCalendar[[#This Row],[Month for Plan]]," ",TableAopCalendar[[#This Row],[Plan]])</f>
        <v>JULY 22 PLANNED</v>
      </c>
    </row>
    <row r="99" spans="1:11" x14ac:dyDescent="0.3">
      <c r="A99" s="4">
        <f t="shared" si="3"/>
        <v>7</v>
      </c>
      <c r="B99" s="5">
        <v>44749</v>
      </c>
      <c r="C99" s="6" t="s">
        <v>267</v>
      </c>
      <c r="D99" s="6">
        <v>22</v>
      </c>
      <c r="E99" s="4">
        <f>DAY(TableAopCalendar[[#This Row],[Date]])</f>
        <v>7</v>
      </c>
      <c r="F99" s="4">
        <f>IF(TableAopCalendar[[#This Row],[Day]]&lt;8,1,IF(TableAopCalendar[[#This Row],[Day]]&lt;15,2,IF(TableAopCalendar[[#This Row],[Day]]&lt;22,3,IF(TableAopCalendar[[#This Row],[Day]]&lt;29,4,IF(TableAopCalendar[[#This Row],[Day]]&lt;32,5)))))</f>
        <v>1</v>
      </c>
      <c r="G99" s="4" t="str">
        <f t="shared" si="4"/>
        <v>Week 1</v>
      </c>
      <c r="H99" s="4" t="str">
        <f t="shared" si="5"/>
        <v>July 22 Week 1</v>
      </c>
      <c r="I99" s="4" t="str">
        <f>CONCATENATE(UPPER(TableAopCalendar[[#This Row],[Month]])," ",TableAopCalendar[[#This Row],[Year]])</f>
        <v>JULY 22</v>
      </c>
      <c r="J99" s="7" t="s">
        <v>274</v>
      </c>
      <c r="K99" s="7" t="str">
        <f>CONCATENATE(TableAopCalendar[[#This Row],[Month for Plan]]," ",TableAopCalendar[[#This Row],[Plan]])</f>
        <v>JULY 22 PLANNED</v>
      </c>
    </row>
    <row r="100" spans="1:11" x14ac:dyDescent="0.3">
      <c r="A100" s="4">
        <f t="shared" si="3"/>
        <v>1</v>
      </c>
      <c r="B100" s="5">
        <v>44750</v>
      </c>
      <c r="C100" s="6" t="s">
        <v>267</v>
      </c>
      <c r="D100" s="6">
        <v>22</v>
      </c>
      <c r="E100" s="4">
        <f>DAY(TableAopCalendar[[#This Row],[Date]])</f>
        <v>8</v>
      </c>
      <c r="F100" s="4">
        <f>IF(TableAopCalendar[[#This Row],[Day]]&lt;8,1,IF(TableAopCalendar[[#This Row],[Day]]&lt;15,2,IF(TableAopCalendar[[#This Row],[Day]]&lt;22,3,IF(TableAopCalendar[[#This Row],[Day]]&lt;29,4,IF(TableAopCalendar[[#This Row],[Day]]&lt;32,5)))))</f>
        <v>2</v>
      </c>
      <c r="G100" s="4" t="str">
        <f t="shared" si="4"/>
        <v>Week 2</v>
      </c>
      <c r="H100" s="4" t="str">
        <f t="shared" si="5"/>
        <v>July 22 Week 2</v>
      </c>
      <c r="I100" s="4" t="str">
        <f>CONCATENATE(UPPER(TableAopCalendar[[#This Row],[Month]])," ",TableAopCalendar[[#This Row],[Year]])</f>
        <v>JULY 22</v>
      </c>
      <c r="J100" s="7" t="s">
        <v>274</v>
      </c>
      <c r="K100" s="7" t="str">
        <f>CONCATENATE(TableAopCalendar[[#This Row],[Month for Plan]]," ",TableAopCalendar[[#This Row],[Plan]])</f>
        <v>JULY 22 PLANNED</v>
      </c>
    </row>
    <row r="101" spans="1:11" x14ac:dyDescent="0.3">
      <c r="A101" s="4">
        <f t="shared" si="3"/>
        <v>2</v>
      </c>
      <c r="B101" s="5">
        <v>44751</v>
      </c>
      <c r="C101" s="6" t="s">
        <v>267</v>
      </c>
      <c r="D101" s="6">
        <v>22</v>
      </c>
      <c r="E101" s="4">
        <f>DAY(TableAopCalendar[[#This Row],[Date]])</f>
        <v>9</v>
      </c>
      <c r="F101" s="4">
        <f>IF(TableAopCalendar[[#This Row],[Day]]&lt;8,1,IF(TableAopCalendar[[#This Row],[Day]]&lt;15,2,IF(TableAopCalendar[[#This Row],[Day]]&lt;22,3,IF(TableAopCalendar[[#This Row],[Day]]&lt;29,4,IF(TableAopCalendar[[#This Row],[Day]]&lt;32,5)))))</f>
        <v>2</v>
      </c>
      <c r="G101" s="4" t="str">
        <f t="shared" si="4"/>
        <v>Week 2</v>
      </c>
      <c r="H101" s="4" t="str">
        <f t="shared" si="5"/>
        <v>July 22 Week 2</v>
      </c>
      <c r="I101" s="4" t="str">
        <f>CONCATENATE(UPPER(TableAopCalendar[[#This Row],[Month]])," ",TableAopCalendar[[#This Row],[Year]])</f>
        <v>JULY 22</v>
      </c>
      <c r="J101" s="7" t="s">
        <v>274</v>
      </c>
      <c r="K101" s="7" t="str">
        <f>CONCATENATE(TableAopCalendar[[#This Row],[Month for Plan]]," ",TableAopCalendar[[#This Row],[Plan]])</f>
        <v>JULY 22 PLANNED</v>
      </c>
    </row>
    <row r="102" spans="1:11" x14ac:dyDescent="0.3">
      <c r="A102" s="4">
        <f t="shared" si="3"/>
        <v>3</v>
      </c>
      <c r="B102" s="5">
        <v>44752</v>
      </c>
      <c r="C102" s="6" t="s">
        <v>267</v>
      </c>
      <c r="D102" s="6">
        <v>22</v>
      </c>
      <c r="E102" s="4">
        <f>DAY(TableAopCalendar[[#This Row],[Date]])</f>
        <v>10</v>
      </c>
      <c r="F102" s="4">
        <f>IF(TableAopCalendar[[#This Row],[Day]]&lt;8,1,IF(TableAopCalendar[[#This Row],[Day]]&lt;15,2,IF(TableAopCalendar[[#This Row],[Day]]&lt;22,3,IF(TableAopCalendar[[#This Row],[Day]]&lt;29,4,IF(TableAopCalendar[[#This Row],[Day]]&lt;32,5)))))</f>
        <v>2</v>
      </c>
      <c r="G102" s="4" t="str">
        <f t="shared" si="4"/>
        <v>Week 2</v>
      </c>
      <c r="H102" s="4" t="str">
        <f t="shared" si="5"/>
        <v>July 22 Week 2</v>
      </c>
      <c r="I102" s="4" t="str">
        <f>CONCATENATE(UPPER(TableAopCalendar[[#This Row],[Month]])," ",TableAopCalendar[[#This Row],[Year]])</f>
        <v>JULY 22</v>
      </c>
      <c r="J102" s="7" t="s">
        <v>274</v>
      </c>
      <c r="K102" s="7" t="str">
        <f>CONCATENATE(TableAopCalendar[[#This Row],[Month for Plan]]," ",TableAopCalendar[[#This Row],[Plan]])</f>
        <v>JULY 22 PLANNED</v>
      </c>
    </row>
    <row r="103" spans="1:11" x14ac:dyDescent="0.3">
      <c r="A103" s="4">
        <f t="shared" si="3"/>
        <v>4</v>
      </c>
      <c r="B103" s="5">
        <v>44753</v>
      </c>
      <c r="C103" s="6" t="s">
        <v>267</v>
      </c>
      <c r="D103" s="6">
        <v>22</v>
      </c>
      <c r="E103" s="4">
        <f>DAY(TableAopCalendar[[#This Row],[Date]])</f>
        <v>11</v>
      </c>
      <c r="F103" s="4">
        <f>IF(TableAopCalendar[[#This Row],[Day]]&lt;8,1,IF(TableAopCalendar[[#This Row],[Day]]&lt;15,2,IF(TableAopCalendar[[#This Row],[Day]]&lt;22,3,IF(TableAopCalendar[[#This Row],[Day]]&lt;29,4,IF(TableAopCalendar[[#This Row],[Day]]&lt;32,5)))))</f>
        <v>2</v>
      </c>
      <c r="G103" s="4" t="str">
        <f t="shared" si="4"/>
        <v>Week 2</v>
      </c>
      <c r="H103" s="4" t="str">
        <f t="shared" si="5"/>
        <v>July 22 Week 2</v>
      </c>
      <c r="I103" s="4" t="str">
        <f>CONCATENATE(UPPER(TableAopCalendar[[#This Row],[Month]])," ",TableAopCalendar[[#This Row],[Year]])</f>
        <v>JULY 22</v>
      </c>
      <c r="J103" s="7" t="s">
        <v>274</v>
      </c>
      <c r="K103" s="7" t="str">
        <f>CONCATENATE(TableAopCalendar[[#This Row],[Month for Plan]]," ",TableAopCalendar[[#This Row],[Plan]])</f>
        <v>JULY 22 PLANNED</v>
      </c>
    </row>
    <row r="104" spans="1:11" x14ac:dyDescent="0.3">
      <c r="A104" s="4">
        <f t="shared" si="3"/>
        <v>5</v>
      </c>
      <c r="B104" s="5">
        <v>44754</v>
      </c>
      <c r="C104" s="6" t="s">
        <v>267</v>
      </c>
      <c r="D104" s="6">
        <v>22</v>
      </c>
      <c r="E104" s="4">
        <f>DAY(TableAopCalendar[[#This Row],[Date]])</f>
        <v>12</v>
      </c>
      <c r="F104" s="4">
        <f>IF(TableAopCalendar[[#This Row],[Day]]&lt;8,1,IF(TableAopCalendar[[#This Row],[Day]]&lt;15,2,IF(TableAopCalendar[[#This Row],[Day]]&lt;22,3,IF(TableAopCalendar[[#This Row],[Day]]&lt;29,4,IF(TableAopCalendar[[#This Row],[Day]]&lt;32,5)))))</f>
        <v>2</v>
      </c>
      <c r="G104" s="4" t="str">
        <f t="shared" si="4"/>
        <v>Week 2</v>
      </c>
      <c r="H104" s="4" t="str">
        <f t="shared" si="5"/>
        <v>July 22 Week 2</v>
      </c>
      <c r="I104" s="4" t="str">
        <f>CONCATENATE(UPPER(TableAopCalendar[[#This Row],[Month]])," ",TableAopCalendar[[#This Row],[Year]])</f>
        <v>JULY 22</v>
      </c>
      <c r="J104" s="7" t="s">
        <v>274</v>
      </c>
      <c r="K104" s="7" t="str">
        <f>CONCATENATE(TableAopCalendar[[#This Row],[Month for Plan]]," ",TableAopCalendar[[#This Row],[Plan]])</f>
        <v>JULY 22 PLANNED</v>
      </c>
    </row>
    <row r="105" spans="1:11" x14ac:dyDescent="0.3">
      <c r="A105" s="4">
        <f t="shared" si="3"/>
        <v>6</v>
      </c>
      <c r="B105" s="5">
        <v>44755</v>
      </c>
      <c r="C105" s="6" t="s">
        <v>267</v>
      </c>
      <c r="D105" s="6">
        <v>22</v>
      </c>
      <c r="E105" s="4">
        <f>DAY(TableAopCalendar[[#This Row],[Date]])</f>
        <v>13</v>
      </c>
      <c r="F105" s="4">
        <f>IF(TableAopCalendar[[#This Row],[Day]]&lt;8,1,IF(TableAopCalendar[[#This Row],[Day]]&lt;15,2,IF(TableAopCalendar[[#This Row],[Day]]&lt;22,3,IF(TableAopCalendar[[#This Row],[Day]]&lt;29,4,IF(TableAopCalendar[[#This Row],[Day]]&lt;32,5)))))</f>
        <v>2</v>
      </c>
      <c r="G105" s="4" t="str">
        <f t="shared" si="4"/>
        <v>Week 2</v>
      </c>
      <c r="H105" s="4" t="str">
        <f t="shared" si="5"/>
        <v>July 22 Week 2</v>
      </c>
      <c r="I105" s="4" t="str">
        <f>CONCATENATE(UPPER(TableAopCalendar[[#This Row],[Month]])," ",TableAopCalendar[[#This Row],[Year]])</f>
        <v>JULY 22</v>
      </c>
      <c r="J105" s="7" t="s">
        <v>274</v>
      </c>
      <c r="K105" s="7" t="str">
        <f>CONCATENATE(TableAopCalendar[[#This Row],[Month for Plan]]," ",TableAopCalendar[[#This Row],[Plan]])</f>
        <v>JULY 22 PLANNED</v>
      </c>
    </row>
    <row r="106" spans="1:11" x14ac:dyDescent="0.3">
      <c r="A106" s="4">
        <f t="shared" si="3"/>
        <v>7</v>
      </c>
      <c r="B106" s="5">
        <v>44756</v>
      </c>
      <c r="C106" s="6" t="s">
        <v>267</v>
      </c>
      <c r="D106" s="6">
        <v>22</v>
      </c>
      <c r="E106" s="4">
        <f>DAY(TableAopCalendar[[#This Row],[Date]])</f>
        <v>14</v>
      </c>
      <c r="F106" s="4">
        <f>IF(TableAopCalendar[[#This Row],[Day]]&lt;8,1,IF(TableAopCalendar[[#This Row],[Day]]&lt;15,2,IF(TableAopCalendar[[#This Row],[Day]]&lt;22,3,IF(TableAopCalendar[[#This Row],[Day]]&lt;29,4,IF(TableAopCalendar[[#This Row],[Day]]&lt;32,5)))))</f>
        <v>2</v>
      </c>
      <c r="G106" s="4" t="str">
        <f t="shared" si="4"/>
        <v>Week 2</v>
      </c>
      <c r="H106" s="4" t="str">
        <f t="shared" si="5"/>
        <v>July 22 Week 2</v>
      </c>
      <c r="I106" s="4" t="str">
        <f>CONCATENATE(UPPER(TableAopCalendar[[#This Row],[Month]])," ",TableAopCalendar[[#This Row],[Year]])</f>
        <v>JULY 22</v>
      </c>
      <c r="J106" s="7" t="s">
        <v>274</v>
      </c>
      <c r="K106" s="7" t="str">
        <f>CONCATENATE(TableAopCalendar[[#This Row],[Month for Plan]]," ",TableAopCalendar[[#This Row],[Plan]])</f>
        <v>JULY 22 PLANNED</v>
      </c>
    </row>
    <row r="107" spans="1:11" x14ac:dyDescent="0.3">
      <c r="A107" s="4">
        <f t="shared" si="3"/>
        <v>1</v>
      </c>
      <c r="B107" s="5">
        <v>44757</v>
      </c>
      <c r="C107" s="6" t="s">
        <v>267</v>
      </c>
      <c r="D107" s="6">
        <v>22</v>
      </c>
      <c r="E107" s="4">
        <f>DAY(TableAopCalendar[[#This Row],[Date]])</f>
        <v>15</v>
      </c>
      <c r="F107" s="4">
        <f>IF(TableAopCalendar[[#This Row],[Day]]&lt;8,1,IF(TableAopCalendar[[#This Row],[Day]]&lt;15,2,IF(TableAopCalendar[[#This Row],[Day]]&lt;22,3,IF(TableAopCalendar[[#This Row],[Day]]&lt;29,4,IF(TableAopCalendar[[#This Row],[Day]]&lt;32,5)))))</f>
        <v>3</v>
      </c>
      <c r="G107" s="4" t="str">
        <f t="shared" si="4"/>
        <v>Week 3</v>
      </c>
      <c r="H107" s="4" t="str">
        <f t="shared" si="5"/>
        <v>July 22 Week 3</v>
      </c>
      <c r="I107" s="4" t="str">
        <f>CONCATENATE(UPPER(TableAopCalendar[[#This Row],[Month]])," ",TableAopCalendar[[#This Row],[Year]])</f>
        <v>JULY 22</v>
      </c>
      <c r="J107" s="7" t="s">
        <v>274</v>
      </c>
      <c r="K107" s="7" t="str">
        <f>CONCATENATE(TableAopCalendar[[#This Row],[Month for Plan]]," ",TableAopCalendar[[#This Row],[Plan]])</f>
        <v>JULY 22 PLANNED</v>
      </c>
    </row>
    <row r="108" spans="1:11" x14ac:dyDescent="0.3">
      <c r="A108" s="4">
        <f t="shared" si="3"/>
        <v>2</v>
      </c>
      <c r="B108" s="5">
        <v>44758</v>
      </c>
      <c r="C108" s="6" t="s">
        <v>267</v>
      </c>
      <c r="D108" s="6">
        <v>22</v>
      </c>
      <c r="E108" s="4">
        <f>DAY(TableAopCalendar[[#This Row],[Date]])</f>
        <v>16</v>
      </c>
      <c r="F108" s="4">
        <f>IF(TableAopCalendar[[#This Row],[Day]]&lt;8,1,IF(TableAopCalendar[[#This Row],[Day]]&lt;15,2,IF(TableAopCalendar[[#This Row],[Day]]&lt;22,3,IF(TableAopCalendar[[#This Row],[Day]]&lt;29,4,IF(TableAopCalendar[[#This Row],[Day]]&lt;32,5)))))</f>
        <v>3</v>
      </c>
      <c r="G108" s="4" t="str">
        <f t="shared" si="4"/>
        <v>Week 3</v>
      </c>
      <c r="H108" s="4" t="str">
        <f t="shared" si="5"/>
        <v>July 22 Week 3</v>
      </c>
      <c r="I108" s="4" t="str">
        <f>CONCATENATE(UPPER(TableAopCalendar[[#This Row],[Month]])," ",TableAopCalendar[[#This Row],[Year]])</f>
        <v>JULY 22</v>
      </c>
      <c r="J108" s="7" t="s">
        <v>274</v>
      </c>
      <c r="K108" s="7" t="str">
        <f>CONCATENATE(TableAopCalendar[[#This Row],[Month for Plan]]," ",TableAopCalendar[[#This Row],[Plan]])</f>
        <v>JULY 22 PLANNED</v>
      </c>
    </row>
    <row r="109" spans="1:11" x14ac:dyDescent="0.3">
      <c r="A109" s="4">
        <f t="shared" si="3"/>
        <v>3</v>
      </c>
      <c r="B109" s="5">
        <v>44759</v>
      </c>
      <c r="C109" s="6" t="s">
        <v>267</v>
      </c>
      <c r="D109" s="6">
        <v>22</v>
      </c>
      <c r="E109" s="4">
        <f>DAY(TableAopCalendar[[#This Row],[Date]])</f>
        <v>17</v>
      </c>
      <c r="F109" s="4">
        <f>IF(TableAopCalendar[[#This Row],[Day]]&lt;8,1,IF(TableAopCalendar[[#This Row],[Day]]&lt;15,2,IF(TableAopCalendar[[#This Row],[Day]]&lt;22,3,IF(TableAopCalendar[[#This Row],[Day]]&lt;29,4,IF(TableAopCalendar[[#This Row],[Day]]&lt;32,5)))))</f>
        <v>3</v>
      </c>
      <c r="G109" s="4" t="str">
        <f t="shared" si="4"/>
        <v>Week 3</v>
      </c>
      <c r="H109" s="4" t="str">
        <f t="shared" si="5"/>
        <v>July 22 Week 3</v>
      </c>
      <c r="I109" s="4" t="str">
        <f>CONCATENATE(UPPER(TableAopCalendar[[#This Row],[Month]])," ",TableAopCalendar[[#This Row],[Year]])</f>
        <v>JULY 22</v>
      </c>
      <c r="J109" s="7" t="s">
        <v>274</v>
      </c>
      <c r="K109" s="7" t="str">
        <f>CONCATENATE(TableAopCalendar[[#This Row],[Month for Plan]]," ",TableAopCalendar[[#This Row],[Plan]])</f>
        <v>JULY 22 PLANNED</v>
      </c>
    </row>
    <row r="110" spans="1:11" x14ac:dyDescent="0.3">
      <c r="A110" s="4">
        <f t="shared" si="3"/>
        <v>4</v>
      </c>
      <c r="B110" s="5">
        <v>44760</v>
      </c>
      <c r="C110" s="6" t="s">
        <v>267</v>
      </c>
      <c r="D110" s="6">
        <v>22</v>
      </c>
      <c r="E110" s="4">
        <f>DAY(TableAopCalendar[[#This Row],[Date]])</f>
        <v>18</v>
      </c>
      <c r="F110" s="4">
        <f>IF(TableAopCalendar[[#This Row],[Day]]&lt;8,1,IF(TableAopCalendar[[#This Row],[Day]]&lt;15,2,IF(TableAopCalendar[[#This Row],[Day]]&lt;22,3,IF(TableAopCalendar[[#This Row],[Day]]&lt;29,4,IF(TableAopCalendar[[#This Row],[Day]]&lt;32,5)))))</f>
        <v>3</v>
      </c>
      <c r="G110" s="4" t="str">
        <f t="shared" si="4"/>
        <v>Week 3</v>
      </c>
      <c r="H110" s="4" t="str">
        <f t="shared" si="5"/>
        <v>July 22 Week 3</v>
      </c>
      <c r="I110" s="4" t="str">
        <f>CONCATENATE(UPPER(TableAopCalendar[[#This Row],[Month]])," ",TableAopCalendar[[#This Row],[Year]])</f>
        <v>JULY 22</v>
      </c>
      <c r="J110" s="7" t="s">
        <v>274</v>
      </c>
      <c r="K110" s="7" t="str">
        <f>CONCATENATE(TableAopCalendar[[#This Row],[Month for Plan]]," ",TableAopCalendar[[#This Row],[Plan]])</f>
        <v>JULY 22 PLANNED</v>
      </c>
    </row>
    <row r="111" spans="1:11" x14ac:dyDescent="0.3">
      <c r="A111" s="4">
        <f t="shared" si="3"/>
        <v>5</v>
      </c>
      <c r="B111" s="5">
        <v>44761</v>
      </c>
      <c r="C111" s="6" t="s">
        <v>267</v>
      </c>
      <c r="D111" s="6">
        <v>22</v>
      </c>
      <c r="E111" s="4">
        <f>DAY(TableAopCalendar[[#This Row],[Date]])</f>
        <v>19</v>
      </c>
      <c r="F111" s="4">
        <f>IF(TableAopCalendar[[#This Row],[Day]]&lt;8,1,IF(TableAopCalendar[[#This Row],[Day]]&lt;15,2,IF(TableAopCalendar[[#This Row],[Day]]&lt;22,3,IF(TableAopCalendar[[#This Row],[Day]]&lt;29,4,IF(TableAopCalendar[[#This Row],[Day]]&lt;32,5)))))</f>
        <v>3</v>
      </c>
      <c r="G111" s="4" t="str">
        <f t="shared" si="4"/>
        <v>Week 3</v>
      </c>
      <c r="H111" s="4" t="str">
        <f t="shared" si="5"/>
        <v>July 22 Week 3</v>
      </c>
      <c r="I111" s="4" t="str">
        <f>CONCATENATE(UPPER(TableAopCalendar[[#This Row],[Month]])," ",TableAopCalendar[[#This Row],[Year]])</f>
        <v>JULY 22</v>
      </c>
      <c r="J111" s="7" t="s">
        <v>274</v>
      </c>
      <c r="K111" s="7" t="str">
        <f>CONCATENATE(TableAopCalendar[[#This Row],[Month for Plan]]," ",TableAopCalendar[[#This Row],[Plan]])</f>
        <v>JULY 22 PLANNED</v>
      </c>
    </row>
    <row r="112" spans="1:11" x14ac:dyDescent="0.3">
      <c r="A112" s="4">
        <f t="shared" si="3"/>
        <v>6</v>
      </c>
      <c r="B112" s="5">
        <v>44762</v>
      </c>
      <c r="C112" s="6" t="s">
        <v>267</v>
      </c>
      <c r="D112" s="6">
        <v>22</v>
      </c>
      <c r="E112" s="4">
        <f>DAY(TableAopCalendar[[#This Row],[Date]])</f>
        <v>20</v>
      </c>
      <c r="F112" s="4">
        <f>IF(TableAopCalendar[[#This Row],[Day]]&lt;8,1,IF(TableAopCalendar[[#This Row],[Day]]&lt;15,2,IF(TableAopCalendar[[#This Row],[Day]]&lt;22,3,IF(TableAopCalendar[[#This Row],[Day]]&lt;29,4,IF(TableAopCalendar[[#This Row],[Day]]&lt;32,5)))))</f>
        <v>3</v>
      </c>
      <c r="G112" s="4" t="str">
        <f t="shared" si="4"/>
        <v>Week 3</v>
      </c>
      <c r="H112" s="4" t="str">
        <f t="shared" si="5"/>
        <v>July 22 Week 3</v>
      </c>
      <c r="I112" s="4" t="str">
        <f>CONCATENATE(UPPER(TableAopCalendar[[#This Row],[Month]])," ",TableAopCalendar[[#This Row],[Year]])</f>
        <v>JULY 22</v>
      </c>
      <c r="J112" s="7" t="s">
        <v>274</v>
      </c>
      <c r="K112" s="7" t="str">
        <f>CONCATENATE(TableAopCalendar[[#This Row],[Month for Plan]]," ",TableAopCalendar[[#This Row],[Plan]])</f>
        <v>JULY 22 PLANNED</v>
      </c>
    </row>
    <row r="113" spans="1:11" x14ac:dyDescent="0.3">
      <c r="A113" s="4">
        <f t="shared" si="3"/>
        <v>7</v>
      </c>
      <c r="B113" s="5">
        <v>44763</v>
      </c>
      <c r="C113" s="6" t="s">
        <v>267</v>
      </c>
      <c r="D113" s="6">
        <v>22</v>
      </c>
      <c r="E113" s="4">
        <f>DAY(TableAopCalendar[[#This Row],[Date]])</f>
        <v>21</v>
      </c>
      <c r="F113" s="4">
        <f>IF(TableAopCalendar[[#This Row],[Day]]&lt;8,1,IF(TableAopCalendar[[#This Row],[Day]]&lt;15,2,IF(TableAopCalendar[[#This Row],[Day]]&lt;22,3,IF(TableAopCalendar[[#This Row],[Day]]&lt;29,4,IF(TableAopCalendar[[#This Row],[Day]]&lt;32,5)))))</f>
        <v>3</v>
      </c>
      <c r="G113" s="4" t="str">
        <f t="shared" si="4"/>
        <v>Week 3</v>
      </c>
      <c r="H113" s="4" t="str">
        <f t="shared" si="5"/>
        <v>July 22 Week 3</v>
      </c>
      <c r="I113" s="4" t="str">
        <f>CONCATENATE(UPPER(TableAopCalendar[[#This Row],[Month]])," ",TableAopCalendar[[#This Row],[Year]])</f>
        <v>JULY 22</v>
      </c>
      <c r="J113" s="7" t="s">
        <v>274</v>
      </c>
      <c r="K113" s="7" t="str">
        <f>CONCATENATE(TableAopCalendar[[#This Row],[Month for Plan]]," ",TableAopCalendar[[#This Row],[Plan]])</f>
        <v>JULY 22 PLANNED</v>
      </c>
    </row>
    <row r="114" spans="1:11" x14ac:dyDescent="0.3">
      <c r="A114" s="4">
        <f t="shared" si="3"/>
        <v>1</v>
      </c>
      <c r="B114" s="5">
        <v>44764</v>
      </c>
      <c r="C114" s="6" t="s">
        <v>267</v>
      </c>
      <c r="D114" s="6">
        <v>22</v>
      </c>
      <c r="E114" s="4">
        <f>DAY(TableAopCalendar[[#This Row],[Date]])</f>
        <v>22</v>
      </c>
      <c r="F114" s="4">
        <f>IF(TableAopCalendar[[#This Row],[Day]]&lt;8,1,IF(TableAopCalendar[[#This Row],[Day]]&lt;15,2,IF(TableAopCalendar[[#This Row],[Day]]&lt;22,3,IF(TableAopCalendar[[#This Row],[Day]]&lt;29,4,IF(TableAopCalendar[[#This Row],[Day]]&lt;32,5)))))</f>
        <v>4</v>
      </c>
      <c r="G114" s="4" t="str">
        <f t="shared" si="4"/>
        <v>Week 4</v>
      </c>
      <c r="H114" s="4" t="str">
        <f t="shared" si="5"/>
        <v>July 22 Week 4</v>
      </c>
      <c r="I114" s="4" t="str">
        <f>CONCATENATE(UPPER(TableAopCalendar[[#This Row],[Month]])," ",TableAopCalendar[[#This Row],[Year]])</f>
        <v>JULY 22</v>
      </c>
      <c r="J114" s="7" t="s">
        <v>274</v>
      </c>
      <c r="K114" s="7" t="str">
        <f>CONCATENATE(TableAopCalendar[[#This Row],[Month for Plan]]," ",TableAopCalendar[[#This Row],[Plan]])</f>
        <v>JULY 22 PLANNED</v>
      </c>
    </row>
    <row r="115" spans="1:11" x14ac:dyDescent="0.3">
      <c r="A115" s="4">
        <f t="shared" si="3"/>
        <v>2</v>
      </c>
      <c r="B115" s="5">
        <v>44765</v>
      </c>
      <c r="C115" s="6" t="s">
        <v>267</v>
      </c>
      <c r="D115" s="6">
        <v>22</v>
      </c>
      <c r="E115" s="4">
        <f>DAY(TableAopCalendar[[#This Row],[Date]])</f>
        <v>23</v>
      </c>
      <c r="F115" s="4">
        <f>IF(TableAopCalendar[[#This Row],[Day]]&lt;8,1,IF(TableAopCalendar[[#This Row],[Day]]&lt;15,2,IF(TableAopCalendar[[#This Row],[Day]]&lt;22,3,IF(TableAopCalendar[[#This Row],[Day]]&lt;29,4,IF(TableAopCalendar[[#This Row],[Day]]&lt;32,5)))))</f>
        <v>4</v>
      </c>
      <c r="G115" s="4" t="str">
        <f t="shared" si="4"/>
        <v>Week 4</v>
      </c>
      <c r="H115" s="4" t="str">
        <f t="shared" si="5"/>
        <v>July 22 Week 4</v>
      </c>
      <c r="I115" s="4" t="str">
        <f>CONCATENATE(UPPER(TableAopCalendar[[#This Row],[Month]])," ",TableAopCalendar[[#This Row],[Year]])</f>
        <v>JULY 22</v>
      </c>
      <c r="J115" s="7" t="s">
        <v>274</v>
      </c>
      <c r="K115" s="7" t="str">
        <f>CONCATENATE(TableAopCalendar[[#This Row],[Month for Plan]]," ",TableAopCalendar[[#This Row],[Plan]])</f>
        <v>JULY 22 PLANNED</v>
      </c>
    </row>
    <row r="116" spans="1:11" x14ac:dyDescent="0.3">
      <c r="A116" s="4">
        <f t="shared" si="3"/>
        <v>3</v>
      </c>
      <c r="B116" s="5">
        <v>44766</v>
      </c>
      <c r="C116" s="6" t="s">
        <v>267</v>
      </c>
      <c r="D116" s="6">
        <v>22</v>
      </c>
      <c r="E116" s="4">
        <f>DAY(TableAopCalendar[[#This Row],[Date]])</f>
        <v>24</v>
      </c>
      <c r="F116" s="4">
        <f>IF(TableAopCalendar[[#This Row],[Day]]&lt;8,1,IF(TableAopCalendar[[#This Row],[Day]]&lt;15,2,IF(TableAopCalendar[[#This Row],[Day]]&lt;22,3,IF(TableAopCalendar[[#This Row],[Day]]&lt;29,4,IF(TableAopCalendar[[#This Row],[Day]]&lt;32,5)))))</f>
        <v>4</v>
      </c>
      <c r="G116" s="4" t="str">
        <f t="shared" si="4"/>
        <v>Week 4</v>
      </c>
      <c r="H116" s="4" t="str">
        <f t="shared" si="5"/>
        <v>July 22 Week 4</v>
      </c>
      <c r="I116" s="4" t="str">
        <f>CONCATENATE(UPPER(TableAopCalendar[[#This Row],[Month]])," ",TableAopCalendar[[#This Row],[Year]])</f>
        <v>JULY 22</v>
      </c>
      <c r="J116" s="7" t="s">
        <v>274</v>
      </c>
      <c r="K116" s="7" t="str">
        <f>CONCATENATE(TableAopCalendar[[#This Row],[Month for Plan]]," ",TableAopCalendar[[#This Row],[Plan]])</f>
        <v>JULY 22 PLANNED</v>
      </c>
    </row>
    <row r="117" spans="1:11" x14ac:dyDescent="0.3">
      <c r="A117" s="4">
        <f t="shared" si="3"/>
        <v>4</v>
      </c>
      <c r="B117" s="5">
        <v>44767</v>
      </c>
      <c r="C117" s="6" t="s">
        <v>267</v>
      </c>
      <c r="D117" s="6">
        <v>22</v>
      </c>
      <c r="E117" s="4">
        <f>DAY(TableAopCalendar[[#This Row],[Date]])</f>
        <v>25</v>
      </c>
      <c r="F117" s="4">
        <f>IF(TableAopCalendar[[#This Row],[Day]]&lt;8,1,IF(TableAopCalendar[[#This Row],[Day]]&lt;15,2,IF(TableAopCalendar[[#This Row],[Day]]&lt;22,3,IF(TableAopCalendar[[#This Row],[Day]]&lt;29,4,IF(TableAopCalendar[[#This Row],[Day]]&lt;32,5)))))</f>
        <v>4</v>
      </c>
      <c r="G117" s="4" t="str">
        <f t="shared" si="4"/>
        <v>Week 4</v>
      </c>
      <c r="H117" s="4" t="str">
        <f t="shared" si="5"/>
        <v>July 22 Week 4</v>
      </c>
      <c r="I117" s="4" t="str">
        <f>CONCATENATE(UPPER(TableAopCalendar[[#This Row],[Month]])," ",TableAopCalendar[[#This Row],[Year]])</f>
        <v>JULY 22</v>
      </c>
      <c r="J117" s="7" t="s">
        <v>274</v>
      </c>
      <c r="K117" s="7" t="str">
        <f>CONCATENATE(TableAopCalendar[[#This Row],[Month for Plan]]," ",TableAopCalendar[[#This Row],[Plan]])</f>
        <v>JULY 22 PLANNED</v>
      </c>
    </row>
    <row r="118" spans="1:11" x14ac:dyDescent="0.3">
      <c r="A118" s="4">
        <f t="shared" si="3"/>
        <v>5</v>
      </c>
      <c r="B118" s="5">
        <v>44768</v>
      </c>
      <c r="C118" s="6" t="s">
        <v>267</v>
      </c>
      <c r="D118" s="6">
        <v>22</v>
      </c>
      <c r="E118" s="4">
        <f>DAY(TableAopCalendar[[#This Row],[Date]])</f>
        <v>26</v>
      </c>
      <c r="F118" s="4">
        <f>IF(TableAopCalendar[[#This Row],[Day]]&lt;8,1,IF(TableAopCalendar[[#This Row],[Day]]&lt;15,2,IF(TableAopCalendar[[#This Row],[Day]]&lt;22,3,IF(TableAopCalendar[[#This Row],[Day]]&lt;29,4,IF(TableAopCalendar[[#This Row],[Day]]&lt;32,5)))))</f>
        <v>4</v>
      </c>
      <c r="G118" s="4" t="str">
        <f t="shared" si="4"/>
        <v>Week 4</v>
      </c>
      <c r="H118" s="4" t="str">
        <f t="shared" si="5"/>
        <v>July 22 Week 4</v>
      </c>
      <c r="I118" s="4" t="str">
        <f>CONCATENATE(UPPER(TableAopCalendar[[#This Row],[Month]])," ",TableAopCalendar[[#This Row],[Year]])</f>
        <v>JULY 22</v>
      </c>
      <c r="J118" s="7" t="s">
        <v>274</v>
      </c>
      <c r="K118" s="7" t="str">
        <f>CONCATENATE(TableAopCalendar[[#This Row],[Month for Plan]]," ",TableAopCalendar[[#This Row],[Plan]])</f>
        <v>JULY 22 PLANNED</v>
      </c>
    </row>
    <row r="119" spans="1:11" x14ac:dyDescent="0.3">
      <c r="A119" s="4">
        <f t="shared" si="3"/>
        <v>6</v>
      </c>
      <c r="B119" s="5">
        <v>44769</v>
      </c>
      <c r="C119" s="6" t="s">
        <v>267</v>
      </c>
      <c r="D119" s="6">
        <v>22</v>
      </c>
      <c r="E119" s="4">
        <f>DAY(TableAopCalendar[[#This Row],[Date]])</f>
        <v>27</v>
      </c>
      <c r="F119" s="4">
        <f>IF(TableAopCalendar[[#This Row],[Day]]&lt;8,1,IF(TableAopCalendar[[#This Row],[Day]]&lt;15,2,IF(TableAopCalendar[[#This Row],[Day]]&lt;22,3,IF(TableAopCalendar[[#This Row],[Day]]&lt;29,4,IF(TableAopCalendar[[#This Row],[Day]]&lt;32,5)))))</f>
        <v>4</v>
      </c>
      <c r="G119" s="4" t="str">
        <f t="shared" si="4"/>
        <v>Week 4</v>
      </c>
      <c r="H119" s="4" t="str">
        <f t="shared" si="5"/>
        <v>July 22 Week 4</v>
      </c>
      <c r="I119" s="4" t="str">
        <f>CONCATENATE(UPPER(TableAopCalendar[[#This Row],[Month]])," ",TableAopCalendar[[#This Row],[Year]])</f>
        <v>JULY 22</v>
      </c>
      <c r="J119" s="7" t="s">
        <v>274</v>
      </c>
      <c r="K119" s="7" t="str">
        <f>CONCATENATE(TableAopCalendar[[#This Row],[Month for Plan]]," ",TableAopCalendar[[#This Row],[Plan]])</f>
        <v>JULY 22 PLANNED</v>
      </c>
    </row>
    <row r="120" spans="1:11" x14ac:dyDescent="0.3">
      <c r="A120" s="4">
        <f t="shared" si="3"/>
        <v>7</v>
      </c>
      <c r="B120" s="5">
        <v>44770</v>
      </c>
      <c r="C120" s="6" t="s">
        <v>267</v>
      </c>
      <c r="D120" s="6">
        <v>22</v>
      </c>
      <c r="E120" s="4">
        <f>DAY(TableAopCalendar[[#This Row],[Date]])</f>
        <v>28</v>
      </c>
      <c r="F120" s="4">
        <f>IF(TableAopCalendar[[#This Row],[Day]]&lt;8,1,IF(TableAopCalendar[[#This Row],[Day]]&lt;15,2,IF(TableAopCalendar[[#This Row],[Day]]&lt;22,3,IF(TableAopCalendar[[#This Row],[Day]]&lt;29,4,IF(TableAopCalendar[[#This Row],[Day]]&lt;32,5)))))</f>
        <v>4</v>
      </c>
      <c r="G120" s="4" t="str">
        <f t="shared" si="4"/>
        <v>Week 4</v>
      </c>
      <c r="H120" s="4" t="str">
        <f t="shared" si="5"/>
        <v>July 22 Week 4</v>
      </c>
      <c r="I120" s="4" t="str">
        <f>CONCATENATE(UPPER(TableAopCalendar[[#This Row],[Month]])," ",TableAopCalendar[[#This Row],[Year]])</f>
        <v>JULY 22</v>
      </c>
      <c r="J120" s="7" t="s">
        <v>274</v>
      </c>
      <c r="K120" s="7" t="str">
        <f>CONCATENATE(TableAopCalendar[[#This Row],[Month for Plan]]," ",TableAopCalendar[[#This Row],[Plan]])</f>
        <v>JULY 22 PLANNED</v>
      </c>
    </row>
    <row r="121" spans="1:11" x14ac:dyDescent="0.3">
      <c r="A121" s="4">
        <f t="shared" si="3"/>
        <v>1</v>
      </c>
      <c r="B121" s="5">
        <v>44771</v>
      </c>
      <c r="C121" s="6" t="s">
        <v>267</v>
      </c>
      <c r="D121" s="6">
        <v>22</v>
      </c>
      <c r="E121" s="4">
        <f>DAY(TableAopCalendar[[#This Row],[Date]])</f>
        <v>29</v>
      </c>
      <c r="F121" s="4">
        <f>IF(TableAopCalendar[[#This Row],[Day]]&lt;8,1,IF(TableAopCalendar[[#This Row],[Day]]&lt;15,2,IF(TableAopCalendar[[#This Row],[Day]]&lt;22,3,IF(TableAopCalendar[[#This Row],[Day]]&lt;29,4,IF(TableAopCalendar[[#This Row],[Day]]&lt;32,5)))))</f>
        <v>5</v>
      </c>
      <c r="G121" s="4" t="str">
        <f t="shared" si="4"/>
        <v>Week 5</v>
      </c>
      <c r="H121" s="4" t="str">
        <f t="shared" si="5"/>
        <v>July 22 Week 5</v>
      </c>
      <c r="I121" s="4" t="str">
        <f>CONCATENATE(UPPER(TableAopCalendar[[#This Row],[Month]])," ",TableAopCalendar[[#This Row],[Year]])</f>
        <v>JULY 22</v>
      </c>
      <c r="J121" s="7" t="s">
        <v>274</v>
      </c>
      <c r="K121" s="7" t="str">
        <f>CONCATENATE(TableAopCalendar[[#This Row],[Month for Plan]]," ",TableAopCalendar[[#This Row],[Plan]])</f>
        <v>JULY 22 PLANNED</v>
      </c>
    </row>
    <row r="122" spans="1:11" x14ac:dyDescent="0.3">
      <c r="A122" s="4">
        <f t="shared" si="3"/>
        <v>2</v>
      </c>
      <c r="B122" s="5">
        <v>44772</v>
      </c>
      <c r="C122" s="6" t="s">
        <v>267</v>
      </c>
      <c r="D122" s="6">
        <v>22</v>
      </c>
      <c r="E122" s="4">
        <f>DAY(TableAopCalendar[[#This Row],[Date]])</f>
        <v>30</v>
      </c>
      <c r="F122" s="4">
        <f>IF(TableAopCalendar[[#This Row],[Day]]&lt;8,1,IF(TableAopCalendar[[#This Row],[Day]]&lt;15,2,IF(TableAopCalendar[[#This Row],[Day]]&lt;22,3,IF(TableAopCalendar[[#This Row],[Day]]&lt;29,4,IF(TableAopCalendar[[#This Row],[Day]]&lt;32,5)))))</f>
        <v>5</v>
      </c>
      <c r="G122" s="4" t="str">
        <f t="shared" si="4"/>
        <v>Week 5</v>
      </c>
      <c r="H122" s="4" t="str">
        <f t="shared" si="5"/>
        <v>July 22 Week 5</v>
      </c>
      <c r="I122" s="4" t="str">
        <f>CONCATENATE(UPPER(TableAopCalendar[[#This Row],[Month]])," ",TableAopCalendar[[#This Row],[Year]])</f>
        <v>JULY 22</v>
      </c>
      <c r="J122" s="7" t="s">
        <v>274</v>
      </c>
      <c r="K122" s="7" t="str">
        <f>CONCATENATE(TableAopCalendar[[#This Row],[Month for Plan]]," ",TableAopCalendar[[#This Row],[Plan]])</f>
        <v>JULY 22 PLANNED</v>
      </c>
    </row>
    <row r="123" spans="1:11" x14ac:dyDescent="0.3">
      <c r="A123" s="4">
        <f t="shared" si="3"/>
        <v>3</v>
      </c>
      <c r="B123" s="5">
        <v>44773</v>
      </c>
      <c r="C123" s="6" t="s">
        <v>267</v>
      </c>
      <c r="D123" s="6">
        <v>22</v>
      </c>
      <c r="E123" s="4">
        <f>DAY(TableAopCalendar[[#This Row],[Date]])</f>
        <v>31</v>
      </c>
      <c r="F123" s="4">
        <f>IF(TableAopCalendar[[#This Row],[Day]]&lt;8,1,IF(TableAopCalendar[[#This Row],[Day]]&lt;15,2,IF(TableAopCalendar[[#This Row],[Day]]&lt;22,3,IF(TableAopCalendar[[#This Row],[Day]]&lt;29,4,IF(TableAopCalendar[[#This Row],[Day]]&lt;32,5)))))</f>
        <v>5</v>
      </c>
      <c r="G123" s="4" t="str">
        <f t="shared" si="4"/>
        <v>Week 5</v>
      </c>
      <c r="H123" s="4" t="str">
        <f t="shared" si="5"/>
        <v>July 22 Week 5</v>
      </c>
      <c r="I123" s="4" t="str">
        <f>CONCATENATE(UPPER(TableAopCalendar[[#This Row],[Month]])," ",TableAopCalendar[[#This Row],[Year]])</f>
        <v>JULY 22</v>
      </c>
      <c r="J123" s="7" t="s">
        <v>274</v>
      </c>
      <c r="K123" s="7" t="str">
        <f>CONCATENATE(TableAopCalendar[[#This Row],[Month for Plan]]," ",TableAopCalendar[[#This Row],[Plan]])</f>
        <v>JULY 22 PLANNED</v>
      </c>
    </row>
    <row r="124" spans="1:11" x14ac:dyDescent="0.3">
      <c r="A124" s="4">
        <f t="shared" si="3"/>
        <v>1</v>
      </c>
      <c r="B124" s="5">
        <v>44774</v>
      </c>
      <c r="C124" s="6" t="s">
        <v>268</v>
      </c>
      <c r="D124" s="6">
        <v>22</v>
      </c>
      <c r="E124" s="4">
        <f>DAY(TableAopCalendar[[#This Row],[Date]])</f>
        <v>1</v>
      </c>
      <c r="F124" s="4">
        <f>IF(TableAopCalendar[[#This Row],[Day]]&lt;8,1,IF(TableAopCalendar[[#This Row],[Day]]&lt;15,2,IF(TableAopCalendar[[#This Row],[Day]]&lt;22,3,IF(TableAopCalendar[[#This Row],[Day]]&lt;29,4,IF(TableAopCalendar[[#This Row],[Day]]&lt;32,5)))))</f>
        <v>1</v>
      </c>
      <c r="G124" s="4" t="str">
        <f t="shared" si="4"/>
        <v>Week 1</v>
      </c>
      <c r="H124" s="4" t="str">
        <f t="shared" si="5"/>
        <v>August 22 Week 1</v>
      </c>
      <c r="I124" s="4" t="str">
        <f>CONCATENATE(UPPER(TableAopCalendar[[#This Row],[Month]])," ",TableAopCalendar[[#This Row],[Year]])</f>
        <v>AUGUST 22</v>
      </c>
      <c r="J124" s="7" t="s">
        <v>274</v>
      </c>
      <c r="K124" s="7" t="str">
        <f>CONCATENATE(TableAopCalendar[[#This Row],[Month for Plan]]," ",TableAopCalendar[[#This Row],[Plan]])</f>
        <v>AUGUST 22 PLANNED</v>
      </c>
    </row>
    <row r="125" spans="1:11" x14ac:dyDescent="0.3">
      <c r="A125" s="4">
        <f t="shared" si="3"/>
        <v>2</v>
      </c>
      <c r="B125" s="5">
        <v>44775</v>
      </c>
      <c r="C125" s="6" t="s">
        <v>268</v>
      </c>
      <c r="D125" s="6">
        <v>22</v>
      </c>
      <c r="E125" s="4">
        <f>DAY(TableAopCalendar[[#This Row],[Date]])</f>
        <v>2</v>
      </c>
      <c r="F125" s="4">
        <f>IF(TableAopCalendar[[#This Row],[Day]]&lt;8,1,IF(TableAopCalendar[[#This Row],[Day]]&lt;15,2,IF(TableAopCalendar[[#This Row],[Day]]&lt;22,3,IF(TableAopCalendar[[#This Row],[Day]]&lt;29,4,IF(TableAopCalendar[[#This Row],[Day]]&lt;32,5)))))</f>
        <v>1</v>
      </c>
      <c r="G125" s="4" t="str">
        <f t="shared" si="4"/>
        <v>Week 1</v>
      </c>
      <c r="H125" s="4" t="str">
        <f t="shared" si="5"/>
        <v>August 22 Week 1</v>
      </c>
      <c r="I125" s="4" t="str">
        <f>CONCATENATE(UPPER(TableAopCalendar[[#This Row],[Month]])," ",TableAopCalendar[[#This Row],[Year]])</f>
        <v>AUGUST 22</v>
      </c>
      <c r="J125" s="7" t="s">
        <v>274</v>
      </c>
      <c r="K125" s="7" t="str">
        <f>CONCATENATE(TableAopCalendar[[#This Row],[Month for Plan]]," ",TableAopCalendar[[#This Row],[Plan]])</f>
        <v>AUGUST 22 PLANNED</v>
      </c>
    </row>
    <row r="126" spans="1:11" x14ac:dyDescent="0.3">
      <c r="A126" s="4">
        <f t="shared" si="3"/>
        <v>3</v>
      </c>
      <c r="B126" s="5">
        <v>44776</v>
      </c>
      <c r="C126" s="6" t="s">
        <v>268</v>
      </c>
      <c r="D126" s="6">
        <v>22</v>
      </c>
      <c r="E126" s="4">
        <f>DAY(TableAopCalendar[[#This Row],[Date]])</f>
        <v>3</v>
      </c>
      <c r="F126" s="4">
        <f>IF(TableAopCalendar[[#This Row],[Day]]&lt;8,1,IF(TableAopCalendar[[#This Row],[Day]]&lt;15,2,IF(TableAopCalendar[[#This Row],[Day]]&lt;22,3,IF(TableAopCalendar[[#This Row],[Day]]&lt;29,4,IF(TableAopCalendar[[#This Row],[Day]]&lt;32,5)))))</f>
        <v>1</v>
      </c>
      <c r="G126" s="4" t="str">
        <f t="shared" si="4"/>
        <v>Week 1</v>
      </c>
      <c r="H126" s="4" t="str">
        <f t="shared" si="5"/>
        <v>August 22 Week 1</v>
      </c>
      <c r="I126" s="4" t="str">
        <f>CONCATENATE(UPPER(TableAopCalendar[[#This Row],[Month]])," ",TableAopCalendar[[#This Row],[Year]])</f>
        <v>AUGUST 22</v>
      </c>
      <c r="J126" s="7" t="s">
        <v>274</v>
      </c>
      <c r="K126" s="7" t="str">
        <f>CONCATENATE(TableAopCalendar[[#This Row],[Month for Plan]]," ",TableAopCalendar[[#This Row],[Plan]])</f>
        <v>AUGUST 22 PLANNED</v>
      </c>
    </row>
    <row r="127" spans="1:11" x14ac:dyDescent="0.3">
      <c r="A127" s="4">
        <f t="shared" si="3"/>
        <v>4</v>
      </c>
      <c r="B127" s="5">
        <v>44777</v>
      </c>
      <c r="C127" s="6" t="s">
        <v>268</v>
      </c>
      <c r="D127" s="6">
        <v>22</v>
      </c>
      <c r="E127" s="4">
        <f>DAY(TableAopCalendar[[#This Row],[Date]])</f>
        <v>4</v>
      </c>
      <c r="F127" s="4">
        <f>IF(TableAopCalendar[[#This Row],[Day]]&lt;8,1,IF(TableAopCalendar[[#This Row],[Day]]&lt;15,2,IF(TableAopCalendar[[#This Row],[Day]]&lt;22,3,IF(TableAopCalendar[[#This Row],[Day]]&lt;29,4,IF(TableAopCalendar[[#This Row],[Day]]&lt;32,5)))))</f>
        <v>1</v>
      </c>
      <c r="G127" s="4" t="str">
        <f t="shared" si="4"/>
        <v>Week 1</v>
      </c>
      <c r="H127" s="4" t="str">
        <f t="shared" si="5"/>
        <v>August 22 Week 1</v>
      </c>
      <c r="I127" s="4" t="str">
        <f>CONCATENATE(UPPER(TableAopCalendar[[#This Row],[Month]])," ",TableAopCalendar[[#This Row],[Year]])</f>
        <v>AUGUST 22</v>
      </c>
      <c r="J127" s="7" t="s">
        <v>274</v>
      </c>
      <c r="K127" s="7" t="str">
        <f>CONCATENATE(TableAopCalendar[[#This Row],[Month for Plan]]," ",TableAopCalendar[[#This Row],[Plan]])</f>
        <v>AUGUST 22 PLANNED</v>
      </c>
    </row>
    <row r="128" spans="1:11" x14ac:dyDescent="0.3">
      <c r="A128" s="4">
        <f t="shared" si="3"/>
        <v>5</v>
      </c>
      <c r="B128" s="5">
        <v>44778</v>
      </c>
      <c r="C128" s="6" t="s">
        <v>268</v>
      </c>
      <c r="D128" s="6">
        <v>22</v>
      </c>
      <c r="E128" s="4">
        <f>DAY(TableAopCalendar[[#This Row],[Date]])</f>
        <v>5</v>
      </c>
      <c r="F128" s="4">
        <f>IF(TableAopCalendar[[#This Row],[Day]]&lt;8,1,IF(TableAopCalendar[[#This Row],[Day]]&lt;15,2,IF(TableAopCalendar[[#This Row],[Day]]&lt;22,3,IF(TableAopCalendar[[#This Row],[Day]]&lt;29,4,IF(TableAopCalendar[[#This Row],[Day]]&lt;32,5)))))</f>
        <v>1</v>
      </c>
      <c r="G128" s="4" t="str">
        <f t="shared" si="4"/>
        <v>Week 1</v>
      </c>
      <c r="H128" s="4" t="str">
        <f t="shared" si="5"/>
        <v>August 22 Week 1</v>
      </c>
      <c r="I128" s="4" t="str">
        <f>CONCATENATE(UPPER(TableAopCalendar[[#This Row],[Month]])," ",TableAopCalendar[[#This Row],[Year]])</f>
        <v>AUGUST 22</v>
      </c>
      <c r="J128" s="7" t="s">
        <v>274</v>
      </c>
      <c r="K128" s="7" t="str">
        <f>CONCATENATE(TableAopCalendar[[#This Row],[Month for Plan]]," ",TableAopCalendar[[#This Row],[Plan]])</f>
        <v>AUGUST 22 PLANNED</v>
      </c>
    </row>
    <row r="129" spans="1:11" x14ac:dyDescent="0.3">
      <c r="A129" s="4">
        <f t="shared" si="3"/>
        <v>6</v>
      </c>
      <c r="B129" s="5">
        <v>44779</v>
      </c>
      <c r="C129" s="6" t="s">
        <v>268</v>
      </c>
      <c r="D129" s="6">
        <v>22</v>
      </c>
      <c r="E129" s="4">
        <f>DAY(TableAopCalendar[[#This Row],[Date]])</f>
        <v>6</v>
      </c>
      <c r="F129" s="4">
        <f>IF(TableAopCalendar[[#This Row],[Day]]&lt;8,1,IF(TableAopCalendar[[#This Row],[Day]]&lt;15,2,IF(TableAopCalendar[[#This Row],[Day]]&lt;22,3,IF(TableAopCalendar[[#This Row],[Day]]&lt;29,4,IF(TableAopCalendar[[#This Row],[Day]]&lt;32,5)))))</f>
        <v>1</v>
      </c>
      <c r="G129" s="4" t="str">
        <f t="shared" si="4"/>
        <v>Week 1</v>
      </c>
      <c r="H129" s="4" t="str">
        <f t="shared" si="5"/>
        <v>August 22 Week 1</v>
      </c>
      <c r="I129" s="4" t="str">
        <f>CONCATENATE(UPPER(TableAopCalendar[[#This Row],[Month]])," ",TableAopCalendar[[#This Row],[Year]])</f>
        <v>AUGUST 22</v>
      </c>
      <c r="J129" s="7" t="s">
        <v>274</v>
      </c>
      <c r="K129" s="7" t="str">
        <f>CONCATENATE(TableAopCalendar[[#This Row],[Month for Plan]]," ",TableAopCalendar[[#This Row],[Plan]])</f>
        <v>AUGUST 22 PLANNED</v>
      </c>
    </row>
    <row r="130" spans="1:11" x14ac:dyDescent="0.3">
      <c r="A130" s="4">
        <f t="shared" ref="A130:A193" si="6">IF(G130=G129,A129+1,1)</f>
        <v>7</v>
      </c>
      <c r="B130" s="5">
        <v>44780</v>
      </c>
      <c r="C130" s="6" t="s">
        <v>268</v>
      </c>
      <c r="D130" s="6">
        <v>22</v>
      </c>
      <c r="E130" s="4">
        <f>DAY(TableAopCalendar[[#This Row],[Date]])</f>
        <v>7</v>
      </c>
      <c r="F130" s="4">
        <f>IF(TableAopCalendar[[#This Row],[Day]]&lt;8,1,IF(TableAopCalendar[[#This Row],[Day]]&lt;15,2,IF(TableAopCalendar[[#This Row],[Day]]&lt;22,3,IF(TableAopCalendar[[#This Row],[Day]]&lt;29,4,IF(TableAopCalendar[[#This Row],[Day]]&lt;32,5)))))</f>
        <v>1</v>
      </c>
      <c r="G130" s="4" t="str">
        <f t="shared" ref="G130:G193" si="7">"Week"&amp;" "&amp;F130</f>
        <v>Week 1</v>
      </c>
      <c r="H130" s="4" t="str">
        <f t="shared" ref="H130:H193" si="8">CONCATENATE(C130," ",D130," ",G130)</f>
        <v>August 22 Week 1</v>
      </c>
      <c r="I130" s="4" t="str">
        <f>CONCATENATE(UPPER(TableAopCalendar[[#This Row],[Month]])," ",TableAopCalendar[[#This Row],[Year]])</f>
        <v>AUGUST 22</v>
      </c>
      <c r="J130" s="7" t="s">
        <v>274</v>
      </c>
      <c r="K130" s="7" t="str">
        <f>CONCATENATE(TableAopCalendar[[#This Row],[Month for Plan]]," ",TableAopCalendar[[#This Row],[Plan]])</f>
        <v>AUGUST 22 PLANNED</v>
      </c>
    </row>
    <row r="131" spans="1:11" x14ac:dyDescent="0.3">
      <c r="A131" s="4">
        <f t="shared" si="6"/>
        <v>1</v>
      </c>
      <c r="B131" s="5">
        <v>44781</v>
      </c>
      <c r="C131" s="6" t="s">
        <v>268</v>
      </c>
      <c r="D131" s="6">
        <v>22</v>
      </c>
      <c r="E131" s="4">
        <f>DAY(TableAopCalendar[[#This Row],[Date]])</f>
        <v>8</v>
      </c>
      <c r="F131" s="4">
        <f>IF(TableAopCalendar[[#This Row],[Day]]&lt;8,1,IF(TableAopCalendar[[#This Row],[Day]]&lt;15,2,IF(TableAopCalendar[[#This Row],[Day]]&lt;22,3,IF(TableAopCalendar[[#This Row],[Day]]&lt;29,4,IF(TableAopCalendar[[#This Row],[Day]]&lt;32,5)))))</f>
        <v>2</v>
      </c>
      <c r="G131" s="4" t="str">
        <f t="shared" si="7"/>
        <v>Week 2</v>
      </c>
      <c r="H131" s="4" t="str">
        <f t="shared" si="8"/>
        <v>August 22 Week 2</v>
      </c>
      <c r="I131" s="4" t="str">
        <f>CONCATENATE(UPPER(TableAopCalendar[[#This Row],[Month]])," ",TableAopCalendar[[#This Row],[Year]])</f>
        <v>AUGUST 22</v>
      </c>
      <c r="J131" s="7" t="s">
        <v>274</v>
      </c>
      <c r="K131" s="7" t="str">
        <f>CONCATENATE(TableAopCalendar[[#This Row],[Month for Plan]]," ",TableAopCalendar[[#This Row],[Plan]])</f>
        <v>AUGUST 22 PLANNED</v>
      </c>
    </row>
    <row r="132" spans="1:11" x14ac:dyDescent="0.3">
      <c r="A132" s="4">
        <f t="shared" si="6"/>
        <v>2</v>
      </c>
      <c r="B132" s="5">
        <v>44782</v>
      </c>
      <c r="C132" s="6" t="s">
        <v>268</v>
      </c>
      <c r="D132" s="6">
        <v>22</v>
      </c>
      <c r="E132" s="4">
        <f>DAY(TableAopCalendar[[#This Row],[Date]])</f>
        <v>9</v>
      </c>
      <c r="F132" s="4">
        <f>IF(TableAopCalendar[[#This Row],[Day]]&lt;8,1,IF(TableAopCalendar[[#This Row],[Day]]&lt;15,2,IF(TableAopCalendar[[#This Row],[Day]]&lt;22,3,IF(TableAopCalendar[[#This Row],[Day]]&lt;29,4,IF(TableAopCalendar[[#This Row],[Day]]&lt;32,5)))))</f>
        <v>2</v>
      </c>
      <c r="G132" s="4" t="str">
        <f t="shared" si="7"/>
        <v>Week 2</v>
      </c>
      <c r="H132" s="4" t="str">
        <f t="shared" si="8"/>
        <v>August 22 Week 2</v>
      </c>
      <c r="I132" s="4" t="str">
        <f>CONCATENATE(UPPER(TableAopCalendar[[#This Row],[Month]])," ",TableAopCalendar[[#This Row],[Year]])</f>
        <v>AUGUST 22</v>
      </c>
      <c r="J132" s="7" t="s">
        <v>274</v>
      </c>
      <c r="K132" s="7" t="str">
        <f>CONCATENATE(TableAopCalendar[[#This Row],[Month for Plan]]," ",TableAopCalendar[[#This Row],[Plan]])</f>
        <v>AUGUST 22 PLANNED</v>
      </c>
    </row>
    <row r="133" spans="1:11" x14ac:dyDescent="0.3">
      <c r="A133" s="4">
        <f t="shared" si="6"/>
        <v>3</v>
      </c>
      <c r="B133" s="5">
        <v>44783</v>
      </c>
      <c r="C133" s="6" t="s">
        <v>268</v>
      </c>
      <c r="D133" s="6">
        <v>22</v>
      </c>
      <c r="E133" s="4">
        <f>DAY(TableAopCalendar[[#This Row],[Date]])</f>
        <v>10</v>
      </c>
      <c r="F133" s="4">
        <f>IF(TableAopCalendar[[#This Row],[Day]]&lt;8,1,IF(TableAopCalendar[[#This Row],[Day]]&lt;15,2,IF(TableAopCalendar[[#This Row],[Day]]&lt;22,3,IF(TableAopCalendar[[#This Row],[Day]]&lt;29,4,IF(TableAopCalendar[[#This Row],[Day]]&lt;32,5)))))</f>
        <v>2</v>
      </c>
      <c r="G133" s="4" t="str">
        <f t="shared" si="7"/>
        <v>Week 2</v>
      </c>
      <c r="H133" s="4" t="str">
        <f t="shared" si="8"/>
        <v>August 22 Week 2</v>
      </c>
      <c r="I133" s="4" t="str">
        <f>CONCATENATE(UPPER(TableAopCalendar[[#This Row],[Month]])," ",TableAopCalendar[[#This Row],[Year]])</f>
        <v>AUGUST 22</v>
      </c>
      <c r="J133" s="7" t="s">
        <v>274</v>
      </c>
      <c r="K133" s="7" t="str">
        <f>CONCATENATE(TableAopCalendar[[#This Row],[Month for Plan]]," ",TableAopCalendar[[#This Row],[Plan]])</f>
        <v>AUGUST 22 PLANNED</v>
      </c>
    </row>
    <row r="134" spans="1:11" x14ac:dyDescent="0.3">
      <c r="A134" s="4">
        <f t="shared" si="6"/>
        <v>4</v>
      </c>
      <c r="B134" s="5">
        <v>44784</v>
      </c>
      <c r="C134" s="6" t="s">
        <v>268</v>
      </c>
      <c r="D134" s="6">
        <v>22</v>
      </c>
      <c r="E134" s="4">
        <f>DAY(TableAopCalendar[[#This Row],[Date]])</f>
        <v>11</v>
      </c>
      <c r="F134" s="4">
        <f>IF(TableAopCalendar[[#This Row],[Day]]&lt;8,1,IF(TableAopCalendar[[#This Row],[Day]]&lt;15,2,IF(TableAopCalendar[[#This Row],[Day]]&lt;22,3,IF(TableAopCalendar[[#This Row],[Day]]&lt;29,4,IF(TableAopCalendar[[#This Row],[Day]]&lt;32,5)))))</f>
        <v>2</v>
      </c>
      <c r="G134" s="4" t="str">
        <f t="shared" si="7"/>
        <v>Week 2</v>
      </c>
      <c r="H134" s="4" t="str">
        <f t="shared" si="8"/>
        <v>August 22 Week 2</v>
      </c>
      <c r="I134" s="4" t="str">
        <f>CONCATENATE(UPPER(TableAopCalendar[[#This Row],[Month]])," ",TableAopCalendar[[#This Row],[Year]])</f>
        <v>AUGUST 22</v>
      </c>
      <c r="J134" s="7" t="s">
        <v>274</v>
      </c>
      <c r="K134" s="7" t="str">
        <f>CONCATENATE(TableAopCalendar[[#This Row],[Month for Plan]]," ",TableAopCalendar[[#This Row],[Plan]])</f>
        <v>AUGUST 22 PLANNED</v>
      </c>
    </row>
    <row r="135" spans="1:11" x14ac:dyDescent="0.3">
      <c r="A135" s="4">
        <f t="shared" si="6"/>
        <v>5</v>
      </c>
      <c r="B135" s="5">
        <v>44785</v>
      </c>
      <c r="C135" s="6" t="s">
        <v>268</v>
      </c>
      <c r="D135" s="6">
        <v>22</v>
      </c>
      <c r="E135" s="4">
        <f>DAY(TableAopCalendar[[#This Row],[Date]])</f>
        <v>12</v>
      </c>
      <c r="F135" s="4">
        <f>IF(TableAopCalendar[[#This Row],[Day]]&lt;8,1,IF(TableAopCalendar[[#This Row],[Day]]&lt;15,2,IF(TableAopCalendar[[#This Row],[Day]]&lt;22,3,IF(TableAopCalendar[[#This Row],[Day]]&lt;29,4,IF(TableAopCalendar[[#This Row],[Day]]&lt;32,5)))))</f>
        <v>2</v>
      </c>
      <c r="G135" s="4" t="str">
        <f t="shared" si="7"/>
        <v>Week 2</v>
      </c>
      <c r="H135" s="4" t="str">
        <f t="shared" si="8"/>
        <v>August 22 Week 2</v>
      </c>
      <c r="I135" s="4" t="str">
        <f>CONCATENATE(UPPER(TableAopCalendar[[#This Row],[Month]])," ",TableAopCalendar[[#This Row],[Year]])</f>
        <v>AUGUST 22</v>
      </c>
      <c r="J135" s="7" t="s">
        <v>274</v>
      </c>
      <c r="K135" s="7" t="str">
        <f>CONCATENATE(TableAopCalendar[[#This Row],[Month for Plan]]," ",TableAopCalendar[[#This Row],[Plan]])</f>
        <v>AUGUST 22 PLANNED</v>
      </c>
    </row>
    <row r="136" spans="1:11" x14ac:dyDescent="0.3">
      <c r="A136" s="4">
        <f t="shared" si="6"/>
        <v>6</v>
      </c>
      <c r="B136" s="5">
        <v>44786</v>
      </c>
      <c r="C136" s="6" t="s">
        <v>268</v>
      </c>
      <c r="D136" s="6">
        <v>22</v>
      </c>
      <c r="E136" s="4">
        <f>DAY(TableAopCalendar[[#This Row],[Date]])</f>
        <v>13</v>
      </c>
      <c r="F136" s="4">
        <f>IF(TableAopCalendar[[#This Row],[Day]]&lt;8,1,IF(TableAopCalendar[[#This Row],[Day]]&lt;15,2,IF(TableAopCalendar[[#This Row],[Day]]&lt;22,3,IF(TableAopCalendar[[#This Row],[Day]]&lt;29,4,IF(TableAopCalendar[[#This Row],[Day]]&lt;32,5)))))</f>
        <v>2</v>
      </c>
      <c r="G136" s="4" t="str">
        <f t="shared" si="7"/>
        <v>Week 2</v>
      </c>
      <c r="H136" s="4" t="str">
        <f t="shared" si="8"/>
        <v>August 22 Week 2</v>
      </c>
      <c r="I136" s="4" t="str">
        <f>CONCATENATE(UPPER(TableAopCalendar[[#This Row],[Month]])," ",TableAopCalendar[[#This Row],[Year]])</f>
        <v>AUGUST 22</v>
      </c>
      <c r="J136" s="7" t="s">
        <v>274</v>
      </c>
      <c r="K136" s="7" t="str">
        <f>CONCATENATE(TableAopCalendar[[#This Row],[Month for Plan]]," ",TableAopCalendar[[#This Row],[Plan]])</f>
        <v>AUGUST 22 PLANNED</v>
      </c>
    </row>
    <row r="137" spans="1:11" x14ac:dyDescent="0.3">
      <c r="A137" s="4">
        <f t="shared" si="6"/>
        <v>7</v>
      </c>
      <c r="B137" s="5">
        <v>44787</v>
      </c>
      <c r="C137" s="6" t="s">
        <v>268</v>
      </c>
      <c r="D137" s="6">
        <v>22</v>
      </c>
      <c r="E137" s="4">
        <f>DAY(TableAopCalendar[[#This Row],[Date]])</f>
        <v>14</v>
      </c>
      <c r="F137" s="4">
        <f>IF(TableAopCalendar[[#This Row],[Day]]&lt;8,1,IF(TableAopCalendar[[#This Row],[Day]]&lt;15,2,IF(TableAopCalendar[[#This Row],[Day]]&lt;22,3,IF(TableAopCalendar[[#This Row],[Day]]&lt;29,4,IF(TableAopCalendar[[#This Row],[Day]]&lt;32,5)))))</f>
        <v>2</v>
      </c>
      <c r="G137" s="4" t="str">
        <f t="shared" si="7"/>
        <v>Week 2</v>
      </c>
      <c r="H137" s="4" t="str">
        <f t="shared" si="8"/>
        <v>August 22 Week 2</v>
      </c>
      <c r="I137" s="4" t="str">
        <f>CONCATENATE(UPPER(TableAopCalendar[[#This Row],[Month]])," ",TableAopCalendar[[#This Row],[Year]])</f>
        <v>AUGUST 22</v>
      </c>
      <c r="J137" s="7" t="s">
        <v>274</v>
      </c>
      <c r="K137" s="7" t="str">
        <f>CONCATENATE(TableAopCalendar[[#This Row],[Month for Plan]]," ",TableAopCalendar[[#This Row],[Plan]])</f>
        <v>AUGUST 22 PLANNED</v>
      </c>
    </row>
    <row r="138" spans="1:11" x14ac:dyDescent="0.3">
      <c r="A138" s="4">
        <f t="shared" si="6"/>
        <v>1</v>
      </c>
      <c r="B138" s="5">
        <v>44788</v>
      </c>
      <c r="C138" s="6" t="s">
        <v>268</v>
      </c>
      <c r="D138" s="6">
        <v>22</v>
      </c>
      <c r="E138" s="4">
        <f>DAY(TableAopCalendar[[#This Row],[Date]])</f>
        <v>15</v>
      </c>
      <c r="F138" s="4">
        <f>IF(TableAopCalendar[[#This Row],[Day]]&lt;8,1,IF(TableAopCalendar[[#This Row],[Day]]&lt;15,2,IF(TableAopCalendar[[#This Row],[Day]]&lt;22,3,IF(TableAopCalendar[[#This Row],[Day]]&lt;29,4,IF(TableAopCalendar[[#This Row],[Day]]&lt;32,5)))))</f>
        <v>3</v>
      </c>
      <c r="G138" s="4" t="str">
        <f t="shared" si="7"/>
        <v>Week 3</v>
      </c>
      <c r="H138" s="4" t="str">
        <f t="shared" si="8"/>
        <v>August 22 Week 3</v>
      </c>
      <c r="I138" s="4" t="str">
        <f>CONCATENATE(UPPER(TableAopCalendar[[#This Row],[Month]])," ",TableAopCalendar[[#This Row],[Year]])</f>
        <v>AUGUST 22</v>
      </c>
      <c r="J138" s="7" t="s">
        <v>274</v>
      </c>
      <c r="K138" s="7" t="str">
        <f>CONCATENATE(TableAopCalendar[[#This Row],[Month for Plan]]," ",TableAopCalendar[[#This Row],[Plan]])</f>
        <v>AUGUST 22 PLANNED</v>
      </c>
    </row>
    <row r="139" spans="1:11" x14ac:dyDescent="0.3">
      <c r="A139" s="4">
        <f t="shared" si="6"/>
        <v>2</v>
      </c>
      <c r="B139" s="5">
        <v>44789</v>
      </c>
      <c r="C139" s="6" t="s">
        <v>268</v>
      </c>
      <c r="D139" s="6">
        <v>22</v>
      </c>
      <c r="E139" s="4">
        <f>DAY(TableAopCalendar[[#This Row],[Date]])</f>
        <v>16</v>
      </c>
      <c r="F139" s="4">
        <f>IF(TableAopCalendar[[#This Row],[Day]]&lt;8,1,IF(TableAopCalendar[[#This Row],[Day]]&lt;15,2,IF(TableAopCalendar[[#This Row],[Day]]&lt;22,3,IF(TableAopCalendar[[#This Row],[Day]]&lt;29,4,IF(TableAopCalendar[[#This Row],[Day]]&lt;32,5)))))</f>
        <v>3</v>
      </c>
      <c r="G139" s="4" t="str">
        <f t="shared" si="7"/>
        <v>Week 3</v>
      </c>
      <c r="H139" s="4" t="str">
        <f t="shared" si="8"/>
        <v>August 22 Week 3</v>
      </c>
      <c r="I139" s="4" t="str">
        <f>CONCATENATE(UPPER(TableAopCalendar[[#This Row],[Month]])," ",TableAopCalendar[[#This Row],[Year]])</f>
        <v>AUGUST 22</v>
      </c>
      <c r="J139" s="7" t="s">
        <v>274</v>
      </c>
      <c r="K139" s="7" t="str">
        <f>CONCATENATE(TableAopCalendar[[#This Row],[Month for Plan]]," ",TableAopCalendar[[#This Row],[Plan]])</f>
        <v>AUGUST 22 PLANNED</v>
      </c>
    </row>
    <row r="140" spans="1:11" x14ac:dyDescent="0.3">
      <c r="A140" s="4">
        <f t="shared" si="6"/>
        <v>3</v>
      </c>
      <c r="B140" s="5">
        <v>44790</v>
      </c>
      <c r="C140" s="6" t="s">
        <v>268</v>
      </c>
      <c r="D140" s="6">
        <v>22</v>
      </c>
      <c r="E140" s="4">
        <f>DAY(TableAopCalendar[[#This Row],[Date]])</f>
        <v>17</v>
      </c>
      <c r="F140" s="4">
        <f>IF(TableAopCalendar[[#This Row],[Day]]&lt;8,1,IF(TableAopCalendar[[#This Row],[Day]]&lt;15,2,IF(TableAopCalendar[[#This Row],[Day]]&lt;22,3,IF(TableAopCalendar[[#This Row],[Day]]&lt;29,4,IF(TableAopCalendar[[#This Row],[Day]]&lt;32,5)))))</f>
        <v>3</v>
      </c>
      <c r="G140" s="4" t="str">
        <f t="shared" si="7"/>
        <v>Week 3</v>
      </c>
      <c r="H140" s="4" t="str">
        <f t="shared" si="8"/>
        <v>August 22 Week 3</v>
      </c>
      <c r="I140" s="4" t="str">
        <f>CONCATENATE(UPPER(TableAopCalendar[[#This Row],[Month]])," ",TableAopCalendar[[#This Row],[Year]])</f>
        <v>AUGUST 22</v>
      </c>
      <c r="J140" s="7" t="s">
        <v>274</v>
      </c>
      <c r="K140" s="7" t="str">
        <f>CONCATENATE(TableAopCalendar[[#This Row],[Month for Plan]]," ",TableAopCalendar[[#This Row],[Plan]])</f>
        <v>AUGUST 22 PLANNED</v>
      </c>
    </row>
    <row r="141" spans="1:11" x14ac:dyDescent="0.3">
      <c r="A141" s="4">
        <f t="shared" si="6"/>
        <v>4</v>
      </c>
      <c r="B141" s="5">
        <v>44791</v>
      </c>
      <c r="C141" s="6" t="s">
        <v>268</v>
      </c>
      <c r="D141" s="6">
        <v>22</v>
      </c>
      <c r="E141" s="4">
        <f>DAY(TableAopCalendar[[#This Row],[Date]])</f>
        <v>18</v>
      </c>
      <c r="F141" s="4">
        <f>IF(TableAopCalendar[[#This Row],[Day]]&lt;8,1,IF(TableAopCalendar[[#This Row],[Day]]&lt;15,2,IF(TableAopCalendar[[#This Row],[Day]]&lt;22,3,IF(TableAopCalendar[[#This Row],[Day]]&lt;29,4,IF(TableAopCalendar[[#This Row],[Day]]&lt;32,5)))))</f>
        <v>3</v>
      </c>
      <c r="G141" s="4" t="str">
        <f t="shared" si="7"/>
        <v>Week 3</v>
      </c>
      <c r="H141" s="4" t="str">
        <f t="shared" si="8"/>
        <v>August 22 Week 3</v>
      </c>
      <c r="I141" s="4" t="str">
        <f>CONCATENATE(UPPER(TableAopCalendar[[#This Row],[Month]])," ",TableAopCalendar[[#This Row],[Year]])</f>
        <v>AUGUST 22</v>
      </c>
      <c r="J141" s="7" t="s">
        <v>274</v>
      </c>
      <c r="K141" s="7" t="str">
        <f>CONCATENATE(TableAopCalendar[[#This Row],[Month for Plan]]," ",TableAopCalendar[[#This Row],[Plan]])</f>
        <v>AUGUST 22 PLANNED</v>
      </c>
    </row>
    <row r="142" spans="1:11" x14ac:dyDescent="0.3">
      <c r="A142" s="4">
        <f t="shared" si="6"/>
        <v>5</v>
      </c>
      <c r="B142" s="5">
        <v>44792</v>
      </c>
      <c r="C142" s="6" t="s">
        <v>268</v>
      </c>
      <c r="D142" s="6">
        <v>22</v>
      </c>
      <c r="E142" s="4">
        <f>DAY(TableAopCalendar[[#This Row],[Date]])</f>
        <v>19</v>
      </c>
      <c r="F142" s="4">
        <f>IF(TableAopCalendar[[#This Row],[Day]]&lt;8,1,IF(TableAopCalendar[[#This Row],[Day]]&lt;15,2,IF(TableAopCalendar[[#This Row],[Day]]&lt;22,3,IF(TableAopCalendar[[#This Row],[Day]]&lt;29,4,IF(TableAopCalendar[[#This Row],[Day]]&lt;32,5)))))</f>
        <v>3</v>
      </c>
      <c r="G142" s="4" t="str">
        <f t="shared" si="7"/>
        <v>Week 3</v>
      </c>
      <c r="H142" s="4" t="str">
        <f t="shared" si="8"/>
        <v>August 22 Week 3</v>
      </c>
      <c r="I142" s="4" t="str">
        <f>CONCATENATE(UPPER(TableAopCalendar[[#This Row],[Month]])," ",TableAopCalendar[[#This Row],[Year]])</f>
        <v>AUGUST 22</v>
      </c>
      <c r="J142" s="7" t="s">
        <v>274</v>
      </c>
      <c r="K142" s="7" t="str">
        <f>CONCATENATE(TableAopCalendar[[#This Row],[Month for Plan]]," ",TableAopCalendar[[#This Row],[Plan]])</f>
        <v>AUGUST 22 PLANNED</v>
      </c>
    </row>
    <row r="143" spans="1:11" x14ac:dyDescent="0.3">
      <c r="A143" s="4">
        <f t="shared" si="6"/>
        <v>6</v>
      </c>
      <c r="B143" s="5">
        <v>44793</v>
      </c>
      <c r="C143" s="6" t="s">
        <v>268</v>
      </c>
      <c r="D143" s="6">
        <v>22</v>
      </c>
      <c r="E143" s="4">
        <f>DAY(TableAopCalendar[[#This Row],[Date]])</f>
        <v>20</v>
      </c>
      <c r="F143" s="4">
        <f>IF(TableAopCalendar[[#This Row],[Day]]&lt;8,1,IF(TableAopCalendar[[#This Row],[Day]]&lt;15,2,IF(TableAopCalendar[[#This Row],[Day]]&lt;22,3,IF(TableAopCalendar[[#This Row],[Day]]&lt;29,4,IF(TableAopCalendar[[#This Row],[Day]]&lt;32,5)))))</f>
        <v>3</v>
      </c>
      <c r="G143" s="4" t="str">
        <f t="shared" si="7"/>
        <v>Week 3</v>
      </c>
      <c r="H143" s="4" t="str">
        <f t="shared" si="8"/>
        <v>August 22 Week 3</v>
      </c>
      <c r="I143" s="4" t="str">
        <f>CONCATENATE(UPPER(TableAopCalendar[[#This Row],[Month]])," ",TableAopCalendar[[#This Row],[Year]])</f>
        <v>AUGUST 22</v>
      </c>
      <c r="J143" s="7" t="s">
        <v>274</v>
      </c>
      <c r="K143" s="7" t="str">
        <f>CONCATENATE(TableAopCalendar[[#This Row],[Month for Plan]]," ",TableAopCalendar[[#This Row],[Plan]])</f>
        <v>AUGUST 22 PLANNED</v>
      </c>
    </row>
    <row r="144" spans="1:11" x14ac:dyDescent="0.3">
      <c r="A144" s="4">
        <f t="shared" si="6"/>
        <v>7</v>
      </c>
      <c r="B144" s="5">
        <v>44794</v>
      </c>
      <c r="C144" s="6" t="s">
        <v>268</v>
      </c>
      <c r="D144" s="6">
        <v>22</v>
      </c>
      <c r="E144" s="4">
        <f>DAY(TableAopCalendar[[#This Row],[Date]])</f>
        <v>21</v>
      </c>
      <c r="F144" s="4">
        <f>IF(TableAopCalendar[[#This Row],[Day]]&lt;8,1,IF(TableAopCalendar[[#This Row],[Day]]&lt;15,2,IF(TableAopCalendar[[#This Row],[Day]]&lt;22,3,IF(TableAopCalendar[[#This Row],[Day]]&lt;29,4,IF(TableAopCalendar[[#This Row],[Day]]&lt;32,5)))))</f>
        <v>3</v>
      </c>
      <c r="G144" s="4" t="str">
        <f t="shared" si="7"/>
        <v>Week 3</v>
      </c>
      <c r="H144" s="4" t="str">
        <f t="shared" si="8"/>
        <v>August 22 Week 3</v>
      </c>
      <c r="I144" s="4" t="str">
        <f>CONCATENATE(UPPER(TableAopCalendar[[#This Row],[Month]])," ",TableAopCalendar[[#This Row],[Year]])</f>
        <v>AUGUST 22</v>
      </c>
      <c r="J144" s="7" t="s">
        <v>274</v>
      </c>
      <c r="K144" s="7" t="str">
        <f>CONCATENATE(TableAopCalendar[[#This Row],[Month for Plan]]," ",TableAopCalendar[[#This Row],[Plan]])</f>
        <v>AUGUST 22 PLANNED</v>
      </c>
    </row>
    <row r="145" spans="1:11" x14ac:dyDescent="0.3">
      <c r="A145" s="4">
        <f t="shared" si="6"/>
        <v>1</v>
      </c>
      <c r="B145" s="5">
        <v>44795</v>
      </c>
      <c r="C145" s="6" t="s">
        <v>268</v>
      </c>
      <c r="D145" s="6">
        <v>22</v>
      </c>
      <c r="E145" s="4">
        <f>DAY(TableAopCalendar[[#This Row],[Date]])</f>
        <v>22</v>
      </c>
      <c r="F145" s="4">
        <f>IF(TableAopCalendar[[#This Row],[Day]]&lt;8,1,IF(TableAopCalendar[[#This Row],[Day]]&lt;15,2,IF(TableAopCalendar[[#This Row],[Day]]&lt;22,3,IF(TableAopCalendar[[#This Row],[Day]]&lt;29,4,IF(TableAopCalendar[[#This Row],[Day]]&lt;32,5)))))</f>
        <v>4</v>
      </c>
      <c r="G145" s="4" t="str">
        <f t="shared" si="7"/>
        <v>Week 4</v>
      </c>
      <c r="H145" s="4" t="str">
        <f t="shared" si="8"/>
        <v>August 22 Week 4</v>
      </c>
      <c r="I145" s="4" t="str">
        <f>CONCATENATE(UPPER(TableAopCalendar[[#This Row],[Month]])," ",TableAopCalendar[[#This Row],[Year]])</f>
        <v>AUGUST 22</v>
      </c>
      <c r="J145" s="7" t="s">
        <v>274</v>
      </c>
      <c r="K145" s="7" t="str">
        <f>CONCATENATE(TableAopCalendar[[#This Row],[Month for Plan]]," ",TableAopCalendar[[#This Row],[Plan]])</f>
        <v>AUGUST 22 PLANNED</v>
      </c>
    </row>
    <row r="146" spans="1:11" x14ac:dyDescent="0.3">
      <c r="A146" s="4">
        <f t="shared" si="6"/>
        <v>2</v>
      </c>
      <c r="B146" s="5">
        <v>44796</v>
      </c>
      <c r="C146" s="6" t="s">
        <v>268</v>
      </c>
      <c r="D146" s="6">
        <v>22</v>
      </c>
      <c r="E146" s="4">
        <f>DAY(TableAopCalendar[[#This Row],[Date]])</f>
        <v>23</v>
      </c>
      <c r="F146" s="4">
        <f>IF(TableAopCalendar[[#This Row],[Day]]&lt;8,1,IF(TableAopCalendar[[#This Row],[Day]]&lt;15,2,IF(TableAopCalendar[[#This Row],[Day]]&lt;22,3,IF(TableAopCalendar[[#This Row],[Day]]&lt;29,4,IF(TableAopCalendar[[#This Row],[Day]]&lt;32,5)))))</f>
        <v>4</v>
      </c>
      <c r="G146" s="4" t="str">
        <f t="shared" si="7"/>
        <v>Week 4</v>
      </c>
      <c r="H146" s="4" t="str">
        <f t="shared" si="8"/>
        <v>August 22 Week 4</v>
      </c>
      <c r="I146" s="4" t="str">
        <f>CONCATENATE(UPPER(TableAopCalendar[[#This Row],[Month]])," ",TableAopCalendar[[#This Row],[Year]])</f>
        <v>AUGUST 22</v>
      </c>
      <c r="J146" s="7" t="s">
        <v>274</v>
      </c>
      <c r="K146" s="7" t="str">
        <f>CONCATENATE(TableAopCalendar[[#This Row],[Month for Plan]]," ",TableAopCalendar[[#This Row],[Plan]])</f>
        <v>AUGUST 22 PLANNED</v>
      </c>
    </row>
    <row r="147" spans="1:11" x14ac:dyDescent="0.3">
      <c r="A147" s="4">
        <f t="shared" si="6"/>
        <v>3</v>
      </c>
      <c r="B147" s="5">
        <v>44797</v>
      </c>
      <c r="C147" s="6" t="s">
        <v>268</v>
      </c>
      <c r="D147" s="6">
        <v>22</v>
      </c>
      <c r="E147" s="4">
        <f>DAY(TableAopCalendar[[#This Row],[Date]])</f>
        <v>24</v>
      </c>
      <c r="F147" s="4">
        <f>IF(TableAopCalendar[[#This Row],[Day]]&lt;8,1,IF(TableAopCalendar[[#This Row],[Day]]&lt;15,2,IF(TableAopCalendar[[#This Row],[Day]]&lt;22,3,IF(TableAopCalendar[[#This Row],[Day]]&lt;29,4,IF(TableAopCalendar[[#This Row],[Day]]&lt;32,5)))))</f>
        <v>4</v>
      </c>
      <c r="G147" s="4" t="str">
        <f t="shared" si="7"/>
        <v>Week 4</v>
      </c>
      <c r="H147" s="4" t="str">
        <f t="shared" si="8"/>
        <v>August 22 Week 4</v>
      </c>
      <c r="I147" s="4" t="str">
        <f>CONCATENATE(UPPER(TableAopCalendar[[#This Row],[Month]])," ",TableAopCalendar[[#This Row],[Year]])</f>
        <v>AUGUST 22</v>
      </c>
      <c r="J147" s="7" t="s">
        <v>274</v>
      </c>
      <c r="K147" s="7" t="str">
        <f>CONCATENATE(TableAopCalendar[[#This Row],[Month for Plan]]," ",TableAopCalendar[[#This Row],[Plan]])</f>
        <v>AUGUST 22 PLANNED</v>
      </c>
    </row>
    <row r="148" spans="1:11" x14ac:dyDescent="0.3">
      <c r="A148" s="4">
        <f t="shared" si="6"/>
        <v>4</v>
      </c>
      <c r="B148" s="5">
        <v>44798</v>
      </c>
      <c r="C148" s="6" t="s">
        <v>268</v>
      </c>
      <c r="D148" s="6">
        <v>22</v>
      </c>
      <c r="E148" s="4">
        <f>DAY(TableAopCalendar[[#This Row],[Date]])</f>
        <v>25</v>
      </c>
      <c r="F148" s="4">
        <f>IF(TableAopCalendar[[#This Row],[Day]]&lt;8,1,IF(TableAopCalendar[[#This Row],[Day]]&lt;15,2,IF(TableAopCalendar[[#This Row],[Day]]&lt;22,3,IF(TableAopCalendar[[#This Row],[Day]]&lt;29,4,IF(TableAopCalendar[[#This Row],[Day]]&lt;32,5)))))</f>
        <v>4</v>
      </c>
      <c r="G148" s="4" t="str">
        <f t="shared" si="7"/>
        <v>Week 4</v>
      </c>
      <c r="H148" s="4" t="str">
        <f t="shared" si="8"/>
        <v>August 22 Week 4</v>
      </c>
      <c r="I148" s="4" t="str">
        <f>CONCATENATE(UPPER(TableAopCalendar[[#This Row],[Month]])," ",TableAopCalendar[[#This Row],[Year]])</f>
        <v>AUGUST 22</v>
      </c>
      <c r="J148" s="7" t="s">
        <v>274</v>
      </c>
      <c r="K148" s="7" t="str">
        <f>CONCATENATE(TableAopCalendar[[#This Row],[Month for Plan]]," ",TableAopCalendar[[#This Row],[Plan]])</f>
        <v>AUGUST 22 PLANNED</v>
      </c>
    </row>
    <row r="149" spans="1:11" x14ac:dyDescent="0.3">
      <c r="A149" s="4">
        <f t="shared" si="6"/>
        <v>5</v>
      </c>
      <c r="B149" s="5">
        <v>44799</v>
      </c>
      <c r="C149" s="6" t="s">
        <v>268</v>
      </c>
      <c r="D149" s="6">
        <v>22</v>
      </c>
      <c r="E149" s="4">
        <f>DAY(TableAopCalendar[[#This Row],[Date]])</f>
        <v>26</v>
      </c>
      <c r="F149" s="4">
        <f>IF(TableAopCalendar[[#This Row],[Day]]&lt;8,1,IF(TableAopCalendar[[#This Row],[Day]]&lt;15,2,IF(TableAopCalendar[[#This Row],[Day]]&lt;22,3,IF(TableAopCalendar[[#This Row],[Day]]&lt;29,4,IF(TableAopCalendar[[#This Row],[Day]]&lt;32,5)))))</f>
        <v>4</v>
      </c>
      <c r="G149" s="4" t="str">
        <f t="shared" si="7"/>
        <v>Week 4</v>
      </c>
      <c r="H149" s="4" t="str">
        <f t="shared" si="8"/>
        <v>August 22 Week 4</v>
      </c>
      <c r="I149" s="4" t="str">
        <f>CONCATENATE(UPPER(TableAopCalendar[[#This Row],[Month]])," ",TableAopCalendar[[#This Row],[Year]])</f>
        <v>AUGUST 22</v>
      </c>
      <c r="J149" s="7" t="s">
        <v>274</v>
      </c>
      <c r="K149" s="7" t="str">
        <f>CONCATENATE(TableAopCalendar[[#This Row],[Month for Plan]]," ",TableAopCalendar[[#This Row],[Plan]])</f>
        <v>AUGUST 22 PLANNED</v>
      </c>
    </row>
    <row r="150" spans="1:11" x14ac:dyDescent="0.3">
      <c r="A150" s="4">
        <f t="shared" si="6"/>
        <v>6</v>
      </c>
      <c r="B150" s="5">
        <v>44800</v>
      </c>
      <c r="C150" s="6" t="s">
        <v>268</v>
      </c>
      <c r="D150" s="6">
        <v>22</v>
      </c>
      <c r="E150" s="4">
        <f>DAY(TableAopCalendar[[#This Row],[Date]])</f>
        <v>27</v>
      </c>
      <c r="F150" s="4">
        <f>IF(TableAopCalendar[[#This Row],[Day]]&lt;8,1,IF(TableAopCalendar[[#This Row],[Day]]&lt;15,2,IF(TableAopCalendar[[#This Row],[Day]]&lt;22,3,IF(TableAopCalendar[[#This Row],[Day]]&lt;29,4,IF(TableAopCalendar[[#This Row],[Day]]&lt;32,5)))))</f>
        <v>4</v>
      </c>
      <c r="G150" s="4" t="str">
        <f t="shared" si="7"/>
        <v>Week 4</v>
      </c>
      <c r="H150" s="4" t="str">
        <f t="shared" si="8"/>
        <v>August 22 Week 4</v>
      </c>
      <c r="I150" s="4" t="str">
        <f>CONCATENATE(UPPER(TableAopCalendar[[#This Row],[Month]])," ",TableAopCalendar[[#This Row],[Year]])</f>
        <v>AUGUST 22</v>
      </c>
      <c r="J150" s="7" t="s">
        <v>274</v>
      </c>
      <c r="K150" s="7" t="str">
        <f>CONCATENATE(TableAopCalendar[[#This Row],[Month for Plan]]," ",TableAopCalendar[[#This Row],[Plan]])</f>
        <v>AUGUST 22 PLANNED</v>
      </c>
    </row>
    <row r="151" spans="1:11" x14ac:dyDescent="0.3">
      <c r="A151" s="4">
        <f t="shared" si="6"/>
        <v>7</v>
      </c>
      <c r="B151" s="5">
        <v>44801</v>
      </c>
      <c r="C151" s="6" t="s">
        <v>268</v>
      </c>
      <c r="D151" s="6">
        <v>22</v>
      </c>
      <c r="E151" s="4">
        <f>DAY(TableAopCalendar[[#This Row],[Date]])</f>
        <v>28</v>
      </c>
      <c r="F151" s="4">
        <f>IF(TableAopCalendar[[#This Row],[Day]]&lt;8,1,IF(TableAopCalendar[[#This Row],[Day]]&lt;15,2,IF(TableAopCalendar[[#This Row],[Day]]&lt;22,3,IF(TableAopCalendar[[#This Row],[Day]]&lt;29,4,IF(TableAopCalendar[[#This Row],[Day]]&lt;32,5)))))</f>
        <v>4</v>
      </c>
      <c r="G151" s="4" t="str">
        <f t="shared" si="7"/>
        <v>Week 4</v>
      </c>
      <c r="H151" s="4" t="str">
        <f t="shared" si="8"/>
        <v>August 22 Week 4</v>
      </c>
      <c r="I151" s="4" t="str">
        <f>CONCATENATE(UPPER(TableAopCalendar[[#This Row],[Month]])," ",TableAopCalendar[[#This Row],[Year]])</f>
        <v>AUGUST 22</v>
      </c>
      <c r="J151" s="7" t="s">
        <v>274</v>
      </c>
      <c r="K151" s="7" t="str">
        <f>CONCATENATE(TableAopCalendar[[#This Row],[Month for Plan]]," ",TableAopCalendar[[#This Row],[Plan]])</f>
        <v>AUGUST 22 PLANNED</v>
      </c>
    </row>
    <row r="152" spans="1:11" x14ac:dyDescent="0.3">
      <c r="A152" s="4">
        <f t="shared" si="6"/>
        <v>1</v>
      </c>
      <c r="B152" s="5">
        <v>44802</v>
      </c>
      <c r="C152" s="6" t="s">
        <v>268</v>
      </c>
      <c r="D152" s="6">
        <v>22</v>
      </c>
      <c r="E152" s="4">
        <f>DAY(TableAopCalendar[[#This Row],[Date]])</f>
        <v>29</v>
      </c>
      <c r="F152" s="4">
        <f>IF(TableAopCalendar[[#This Row],[Day]]&lt;8,1,IF(TableAopCalendar[[#This Row],[Day]]&lt;15,2,IF(TableAopCalendar[[#This Row],[Day]]&lt;22,3,IF(TableAopCalendar[[#This Row],[Day]]&lt;29,4,IF(TableAopCalendar[[#This Row],[Day]]&lt;32,5)))))</f>
        <v>5</v>
      </c>
      <c r="G152" s="4" t="str">
        <f t="shared" si="7"/>
        <v>Week 5</v>
      </c>
      <c r="H152" s="4" t="str">
        <f t="shared" si="8"/>
        <v>August 22 Week 5</v>
      </c>
      <c r="I152" s="4" t="str">
        <f>CONCATENATE(UPPER(TableAopCalendar[[#This Row],[Month]])," ",TableAopCalendar[[#This Row],[Year]])</f>
        <v>AUGUST 22</v>
      </c>
      <c r="J152" s="7" t="s">
        <v>274</v>
      </c>
      <c r="K152" s="7" t="str">
        <f>CONCATENATE(TableAopCalendar[[#This Row],[Month for Plan]]," ",TableAopCalendar[[#This Row],[Plan]])</f>
        <v>AUGUST 22 PLANNED</v>
      </c>
    </row>
    <row r="153" spans="1:11" x14ac:dyDescent="0.3">
      <c r="A153" s="4">
        <f t="shared" si="6"/>
        <v>2</v>
      </c>
      <c r="B153" s="5">
        <v>44803</v>
      </c>
      <c r="C153" s="6" t="s">
        <v>268</v>
      </c>
      <c r="D153" s="6">
        <v>22</v>
      </c>
      <c r="E153" s="4">
        <f>DAY(TableAopCalendar[[#This Row],[Date]])</f>
        <v>30</v>
      </c>
      <c r="F153" s="4">
        <f>IF(TableAopCalendar[[#This Row],[Day]]&lt;8,1,IF(TableAopCalendar[[#This Row],[Day]]&lt;15,2,IF(TableAopCalendar[[#This Row],[Day]]&lt;22,3,IF(TableAopCalendar[[#This Row],[Day]]&lt;29,4,IF(TableAopCalendar[[#This Row],[Day]]&lt;32,5)))))</f>
        <v>5</v>
      </c>
      <c r="G153" s="4" t="str">
        <f t="shared" si="7"/>
        <v>Week 5</v>
      </c>
      <c r="H153" s="4" t="str">
        <f t="shared" si="8"/>
        <v>August 22 Week 5</v>
      </c>
      <c r="I153" s="4" t="str">
        <f>CONCATENATE(UPPER(TableAopCalendar[[#This Row],[Month]])," ",TableAopCalendar[[#This Row],[Year]])</f>
        <v>AUGUST 22</v>
      </c>
      <c r="J153" s="7" t="s">
        <v>274</v>
      </c>
      <c r="K153" s="7" t="str">
        <f>CONCATENATE(TableAopCalendar[[#This Row],[Month for Plan]]," ",TableAopCalendar[[#This Row],[Plan]])</f>
        <v>AUGUST 22 PLANNED</v>
      </c>
    </row>
    <row r="154" spans="1:11" x14ac:dyDescent="0.3">
      <c r="A154" s="4">
        <f t="shared" si="6"/>
        <v>3</v>
      </c>
      <c r="B154" s="5">
        <v>44804</v>
      </c>
      <c r="C154" s="6" t="s">
        <v>268</v>
      </c>
      <c r="D154" s="6">
        <v>22</v>
      </c>
      <c r="E154" s="4">
        <f>DAY(TableAopCalendar[[#This Row],[Date]])</f>
        <v>31</v>
      </c>
      <c r="F154" s="4">
        <f>IF(TableAopCalendar[[#This Row],[Day]]&lt;8,1,IF(TableAopCalendar[[#This Row],[Day]]&lt;15,2,IF(TableAopCalendar[[#This Row],[Day]]&lt;22,3,IF(TableAopCalendar[[#This Row],[Day]]&lt;29,4,IF(TableAopCalendar[[#This Row],[Day]]&lt;32,5)))))</f>
        <v>5</v>
      </c>
      <c r="G154" s="4" t="str">
        <f t="shared" si="7"/>
        <v>Week 5</v>
      </c>
      <c r="H154" s="4" t="str">
        <f t="shared" si="8"/>
        <v>August 22 Week 5</v>
      </c>
      <c r="I154" s="4" t="str">
        <f>CONCATENATE(UPPER(TableAopCalendar[[#This Row],[Month]])," ",TableAopCalendar[[#This Row],[Year]])</f>
        <v>AUGUST 22</v>
      </c>
      <c r="J154" s="7" t="s">
        <v>274</v>
      </c>
      <c r="K154" s="7" t="str">
        <f>CONCATENATE(TableAopCalendar[[#This Row],[Month for Plan]]," ",TableAopCalendar[[#This Row],[Plan]])</f>
        <v>AUGUST 22 PLANNED</v>
      </c>
    </row>
    <row r="155" spans="1:11" x14ac:dyDescent="0.3">
      <c r="A155" s="4">
        <f t="shared" si="6"/>
        <v>1</v>
      </c>
      <c r="B155" s="5">
        <v>44805</v>
      </c>
      <c r="C155" s="6" t="s">
        <v>269</v>
      </c>
      <c r="D155" s="6">
        <v>22</v>
      </c>
      <c r="E155" s="4">
        <f>DAY(TableAopCalendar[[#This Row],[Date]])</f>
        <v>1</v>
      </c>
      <c r="F155" s="4">
        <f>IF(TableAopCalendar[[#This Row],[Day]]&lt;8,1,IF(TableAopCalendar[[#This Row],[Day]]&lt;15,2,IF(TableAopCalendar[[#This Row],[Day]]&lt;22,3,IF(TableAopCalendar[[#This Row],[Day]]&lt;29,4,IF(TableAopCalendar[[#This Row],[Day]]&lt;32,5)))))</f>
        <v>1</v>
      </c>
      <c r="G155" s="4" t="str">
        <f t="shared" si="7"/>
        <v>Week 1</v>
      </c>
      <c r="H155" s="4" t="str">
        <f t="shared" si="8"/>
        <v>September 22 Week 1</v>
      </c>
      <c r="I155" s="4" t="str">
        <f>CONCATENATE(UPPER(TableAopCalendar[[#This Row],[Month]])," ",TableAopCalendar[[#This Row],[Year]])</f>
        <v>SEPTEMBER 22</v>
      </c>
      <c r="J155" s="7" t="s">
        <v>274</v>
      </c>
      <c r="K155" s="7" t="str">
        <f>CONCATENATE(TableAopCalendar[[#This Row],[Month for Plan]]," ",TableAopCalendar[[#This Row],[Plan]])</f>
        <v>SEPTEMBER 22 PLANNED</v>
      </c>
    </row>
    <row r="156" spans="1:11" x14ac:dyDescent="0.3">
      <c r="A156" s="4">
        <f t="shared" si="6"/>
        <v>2</v>
      </c>
      <c r="B156" s="5">
        <v>44806</v>
      </c>
      <c r="C156" s="6" t="s">
        <v>269</v>
      </c>
      <c r="D156" s="6">
        <v>22</v>
      </c>
      <c r="E156" s="4">
        <f>DAY(TableAopCalendar[[#This Row],[Date]])</f>
        <v>2</v>
      </c>
      <c r="F156" s="4">
        <f>IF(TableAopCalendar[[#This Row],[Day]]&lt;8,1,IF(TableAopCalendar[[#This Row],[Day]]&lt;15,2,IF(TableAopCalendar[[#This Row],[Day]]&lt;22,3,IF(TableAopCalendar[[#This Row],[Day]]&lt;29,4,IF(TableAopCalendar[[#This Row],[Day]]&lt;32,5)))))</f>
        <v>1</v>
      </c>
      <c r="G156" s="4" t="str">
        <f t="shared" si="7"/>
        <v>Week 1</v>
      </c>
      <c r="H156" s="4" t="str">
        <f t="shared" si="8"/>
        <v>September 22 Week 1</v>
      </c>
      <c r="I156" s="4" t="str">
        <f>CONCATENATE(UPPER(TableAopCalendar[[#This Row],[Month]])," ",TableAopCalendar[[#This Row],[Year]])</f>
        <v>SEPTEMBER 22</v>
      </c>
      <c r="J156" s="7" t="s">
        <v>274</v>
      </c>
      <c r="K156" s="7" t="str">
        <f>CONCATENATE(TableAopCalendar[[#This Row],[Month for Plan]]," ",TableAopCalendar[[#This Row],[Plan]])</f>
        <v>SEPTEMBER 22 PLANNED</v>
      </c>
    </row>
    <row r="157" spans="1:11" x14ac:dyDescent="0.3">
      <c r="A157" s="4">
        <f t="shared" si="6"/>
        <v>3</v>
      </c>
      <c r="B157" s="5">
        <v>44807</v>
      </c>
      <c r="C157" s="6" t="s">
        <v>269</v>
      </c>
      <c r="D157" s="6">
        <v>22</v>
      </c>
      <c r="E157" s="4">
        <f>DAY(TableAopCalendar[[#This Row],[Date]])</f>
        <v>3</v>
      </c>
      <c r="F157" s="4">
        <f>IF(TableAopCalendar[[#This Row],[Day]]&lt;8,1,IF(TableAopCalendar[[#This Row],[Day]]&lt;15,2,IF(TableAopCalendar[[#This Row],[Day]]&lt;22,3,IF(TableAopCalendar[[#This Row],[Day]]&lt;29,4,IF(TableAopCalendar[[#This Row],[Day]]&lt;32,5)))))</f>
        <v>1</v>
      </c>
      <c r="G157" s="4" t="str">
        <f t="shared" si="7"/>
        <v>Week 1</v>
      </c>
      <c r="H157" s="4" t="str">
        <f t="shared" si="8"/>
        <v>September 22 Week 1</v>
      </c>
      <c r="I157" s="4" t="str">
        <f>CONCATENATE(UPPER(TableAopCalendar[[#This Row],[Month]])," ",TableAopCalendar[[#This Row],[Year]])</f>
        <v>SEPTEMBER 22</v>
      </c>
      <c r="J157" s="7" t="s">
        <v>274</v>
      </c>
      <c r="K157" s="7" t="str">
        <f>CONCATENATE(TableAopCalendar[[#This Row],[Month for Plan]]," ",TableAopCalendar[[#This Row],[Plan]])</f>
        <v>SEPTEMBER 22 PLANNED</v>
      </c>
    </row>
    <row r="158" spans="1:11" x14ac:dyDescent="0.3">
      <c r="A158" s="4">
        <f t="shared" si="6"/>
        <v>4</v>
      </c>
      <c r="B158" s="5">
        <v>44808</v>
      </c>
      <c r="C158" s="6" t="s">
        <v>269</v>
      </c>
      <c r="D158" s="6">
        <v>22</v>
      </c>
      <c r="E158" s="4">
        <f>DAY(TableAopCalendar[[#This Row],[Date]])</f>
        <v>4</v>
      </c>
      <c r="F158" s="4">
        <f>IF(TableAopCalendar[[#This Row],[Day]]&lt;8,1,IF(TableAopCalendar[[#This Row],[Day]]&lt;15,2,IF(TableAopCalendar[[#This Row],[Day]]&lt;22,3,IF(TableAopCalendar[[#This Row],[Day]]&lt;29,4,IF(TableAopCalendar[[#This Row],[Day]]&lt;32,5)))))</f>
        <v>1</v>
      </c>
      <c r="G158" s="4" t="str">
        <f t="shared" si="7"/>
        <v>Week 1</v>
      </c>
      <c r="H158" s="4" t="str">
        <f t="shared" si="8"/>
        <v>September 22 Week 1</v>
      </c>
      <c r="I158" s="4" t="str">
        <f>CONCATENATE(UPPER(TableAopCalendar[[#This Row],[Month]])," ",TableAopCalendar[[#This Row],[Year]])</f>
        <v>SEPTEMBER 22</v>
      </c>
      <c r="J158" s="7" t="s">
        <v>274</v>
      </c>
      <c r="K158" s="7" t="str">
        <f>CONCATENATE(TableAopCalendar[[#This Row],[Month for Plan]]," ",TableAopCalendar[[#This Row],[Plan]])</f>
        <v>SEPTEMBER 22 PLANNED</v>
      </c>
    </row>
    <row r="159" spans="1:11" x14ac:dyDescent="0.3">
      <c r="A159" s="4">
        <f t="shared" si="6"/>
        <v>5</v>
      </c>
      <c r="B159" s="5">
        <v>44809</v>
      </c>
      <c r="C159" s="6" t="s">
        <v>269</v>
      </c>
      <c r="D159" s="6">
        <v>22</v>
      </c>
      <c r="E159" s="4">
        <f>DAY(TableAopCalendar[[#This Row],[Date]])</f>
        <v>5</v>
      </c>
      <c r="F159" s="4">
        <f>IF(TableAopCalendar[[#This Row],[Day]]&lt;8,1,IF(TableAopCalendar[[#This Row],[Day]]&lt;15,2,IF(TableAopCalendar[[#This Row],[Day]]&lt;22,3,IF(TableAopCalendar[[#This Row],[Day]]&lt;29,4,IF(TableAopCalendar[[#This Row],[Day]]&lt;32,5)))))</f>
        <v>1</v>
      </c>
      <c r="G159" s="4" t="str">
        <f t="shared" si="7"/>
        <v>Week 1</v>
      </c>
      <c r="H159" s="4" t="str">
        <f t="shared" si="8"/>
        <v>September 22 Week 1</v>
      </c>
      <c r="I159" s="4" t="str">
        <f>CONCATENATE(UPPER(TableAopCalendar[[#This Row],[Month]])," ",TableAopCalendar[[#This Row],[Year]])</f>
        <v>SEPTEMBER 22</v>
      </c>
      <c r="J159" s="7" t="s">
        <v>274</v>
      </c>
      <c r="K159" s="7" t="str">
        <f>CONCATENATE(TableAopCalendar[[#This Row],[Month for Plan]]," ",TableAopCalendar[[#This Row],[Plan]])</f>
        <v>SEPTEMBER 22 PLANNED</v>
      </c>
    </row>
    <row r="160" spans="1:11" x14ac:dyDescent="0.3">
      <c r="A160" s="4">
        <f t="shared" si="6"/>
        <v>6</v>
      </c>
      <c r="B160" s="5">
        <v>44810</v>
      </c>
      <c r="C160" s="6" t="s">
        <v>269</v>
      </c>
      <c r="D160" s="6">
        <v>22</v>
      </c>
      <c r="E160" s="4">
        <f>DAY(TableAopCalendar[[#This Row],[Date]])</f>
        <v>6</v>
      </c>
      <c r="F160" s="4">
        <f>IF(TableAopCalendar[[#This Row],[Day]]&lt;8,1,IF(TableAopCalendar[[#This Row],[Day]]&lt;15,2,IF(TableAopCalendar[[#This Row],[Day]]&lt;22,3,IF(TableAopCalendar[[#This Row],[Day]]&lt;29,4,IF(TableAopCalendar[[#This Row],[Day]]&lt;32,5)))))</f>
        <v>1</v>
      </c>
      <c r="G160" s="4" t="str">
        <f t="shared" si="7"/>
        <v>Week 1</v>
      </c>
      <c r="H160" s="4" t="str">
        <f t="shared" si="8"/>
        <v>September 22 Week 1</v>
      </c>
      <c r="I160" s="4" t="str">
        <f>CONCATENATE(UPPER(TableAopCalendar[[#This Row],[Month]])," ",TableAopCalendar[[#This Row],[Year]])</f>
        <v>SEPTEMBER 22</v>
      </c>
      <c r="J160" s="7" t="s">
        <v>274</v>
      </c>
      <c r="K160" s="7" t="str">
        <f>CONCATENATE(TableAopCalendar[[#This Row],[Month for Plan]]," ",TableAopCalendar[[#This Row],[Plan]])</f>
        <v>SEPTEMBER 22 PLANNED</v>
      </c>
    </row>
    <row r="161" spans="1:11" x14ac:dyDescent="0.3">
      <c r="A161" s="4">
        <f t="shared" si="6"/>
        <v>7</v>
      </c>
      <c r="B161" s="5">
        <v>44811</v>
      </c>
      <c r="C161" s="6" t="s">
        <v>269</v>
      </c>
      <c r="D161" s="6">
        <v>22</v>
      </c>
      <c r="E161" s="4">
        <f>DAY(TableAopCalendar[[#This Row],[Date]])</f>
        <v>7</v>
      </c>
      <c r="F161" s="4">
        <f>IF(TableAopCalendar[[#This Row],[Day]]&lt;8,1,IF(TableAopCalendar[[#This Row],[Day]]&lt;15,2,IF(TableAopCalendar[[#This Row],[Day]]&lt;22,3,IF(TableAopCalendar[[#This Row],[Day]]&lt;29,4,IF(TableAopCalendar[[#This Row],[Day]]&lt;32,5)))))</f>
        <v>1</v>
      </c>
      <c r="G161" s="4" t="str">
        <f t="shared" si="7"/>
        <v>Week 1</v>
      </c>
      <c r="H161" s="4" t="str">
        <f t="shared" si="8"/>
        <v>September 22 Week 1</v>
      </c>
      <c r="I161" s="4" t="str">
        <f>CONCATENATE(UPPER(TableAopCalendar[[#This Row],[Month]])," ",TableAopCalendar[[#This Row],[Year]])</f>
        <v>SEPTEMBER 22</v>
      </c>
      <c r="J161" s="7" t="s">
        <v>274</v>
      </c>
      <c r="K161" s="7" t="str">
        <f>CONCATENATE(TableAopCalendar[[#This Row],[Month for Plan]]," ",TableAopCalendar[[#This Row],[Plan]])</f>
        <v>SEPTEMBER 22 PLANNED</v>
      </c>
    </row>
    <row r="162" spans="1:11" x14ac:dyDescent="0.3">
      <c r="A162" s="4">
        <f t="shared" si="6"/>
        <v>1</v>
      </c>
      <c r="B162" s="5">
        <v>44812</v>
      </c>
      <c r="C162" s="6" t="s">
        <v>269</v>
      </c>
      <c r="D162" s="6">
        <v>22</v>
      </c>
      <c r="E162" s="4">
        <f>DAY(TableAopCalendar[[#This Row],[Date]])</f>
        <v>8</v>
      </c>
      <c r="F162" s="4">
        <f>IF(TableAopCalendar[[#This Row],[Day]]&lt;8,1,IF(TableAopCalendar[[#This Row],[Day]]&lt;15,2,IF(TableAopCalendar[[#This Row],[Day]]&lt;22,3,IF(TableAopCalendar[[#This Row],[Day]]&lt;29,4,IF(TableAopCalendar[[#This Row],[Day]]&lt;32,5)))))</f>
        <v>2</v>
      </c>
      <c r="G162" s="4" t="str">
        <f t="shared" si="7"/>
        <v>Week 2</v>
      </c>
      <c r="H162" s="4" t="str">
        <f t="shared" si="8"/>
        <v>September 22 Week 2</v>
      </c>
      <c r="I162" s="4" t="str">
        <f>CONCATENATE(UPPER(TableAopCalendar[[#This Row],[Month]])," ",TableAopCalendar[[#This Row],[Year]])</f>
        <v>SEPTEMBER 22</v>
      </c>
      <c r="J162" s="7" t="s">
        <v>274</v>
      </c>
      <c r="K162" s="7" t="str">
        <f>CONCATENATE(TableAopCalendar[[#This Row],[Month for Plan]]," ",TableAopCalendar[[#This Row],[Plan]])</f>
        <v>SEPTEMBER 22 PLANNED</v>
      </c>
    </row>
    <row r="163" spans="1:11" x14ac:dyDescent="0.3">
      <c r="A163" s="4">
        <f t="shared" si="6"/>
        <v>2</v>
      </c>
      <c r="B163" s="5">
        <v>44813</v>
      </c>
      <c r="C163" s="6" t="s">
        <v>269</v>
      </c>
      <c r="D163" s="6">
        <v>22</v>
      </c>
      <c r="E163" s="4">
        <f>DAY(TableAopCalendar[[#This Row],[Date]])</f>
        <v>9</v>
      </c>
      <c r="F163" s="4">
        <f>IF(TableAopCalendar[[#This Row],[Day]]&lt;8,1,IF(TableAopCalendar[[#This Row],[Day]]&lt;15,2,IF(TableAopCalendar[[#This Row],[Day]]&lt;22,3,IF(TableAopCalendar[[#This Row],[Day]]&lt;29,4,IF(TableAopCalendar[[#This Row],[Day]]&lt;32,5)))))</f>
        <v>2</v>
      </c>
      <c r="G163" s="4" t="str">
        <f t="shared" si="7"/>
        <v>Week 2</v>
      </c>
      <c r="H163" s="4" t="str">
        <f t="shared" si="8"/>
        <v>September 22 Week 2</v>
      </c>
      <c r="I163" s="4" t="str">
        <f>CONCATENATE(UPPER(TableAopCalendar[[#This Row],[Month]])," ",TableAopCalendar[[#This Row],[Year]])</f>
        <v>SEPTEMBER 22</v>
      </c>
      <c r="J163" s="7" t="s">
        <v>274</v>
      </c>
      <c r="K163" s="7" t="str">
        <f>CONCATENATE(TableAopCalendar[[#This Row],[Month for Plan]]," ",TableAopCalendar[[#This Row],[Plan]])</f>
        <v>SEPTEMBER 22 PLANNED</v>
      </c>
    </row>
    <row r="164" spans="1:11" x14ac:dyDescent="0.3">
      <c r="A164" s="4">
        <f t="shared" si="6"/>
        <v>3</v>
      </c>
      <c r="B164" s="5">
        <v>44814</v>
      </c>
      <c r="C164" s="6" t="s">
        <v>269</v>
      </c>
      <c r="D164" s="6">
        <v>22</v>
      </c>
      <c r="E164" s="4">
        <f>DAY(TableAopCalendar[[#This Row],[Date]])</f>
        <v>10</v>
      </c>
      <c r="F164" s="4">
        <f>IF(TableAopCalendar[[#This Row],[Day]]&lt;8,1,IF(TableAopCalendar[[#This Row],[Day]]&lt;15,2,IF(TableAopCalendar[[#This Row],[Day]]&lt;22,3,IF(TableAopCalendar[[#This Row],[Day]]&lt;29,4,IF(TableAopCalendar[[#This Row],[Day]]&lt;32,5)))))</f>
        <v>2</v>
      </c>
      <c r="G164" s="4" t="str">
        <f t="shared" si="7"/>
        <v>Week 2</v>
      </c>
      <c r="H164" s="4" t="str">
        <f t="shared" si="8"/>
        <v>September 22 Week 2</v>
      </c>
      <c r="I164" s="4" t="str">
        <f>CONCATENATE(UPPER(TableAopCalendar[[#This Row],[Month]])," ",TableAopCalendar[[#This Row],[Year]])</f>
        <v>SEPTEMBER 22</v>
      </c>
      <c r="J164" s="7" t="s">
        <v>274</v>
      </c>
      <c r="K164" s="7" t="str">
        <f>CONCATENATE(TableAopCalendar[[#This Row],[Month for Plan]]," ",TableAopCalendar[[#This Row],[Plan]])</f>
        <v>SEPTEMBER 22 PLANNED</v>
      </c>
    </row>
    <row r="165" spans="1:11" x14ac:dyDescent="0.3">
      <c r="A165" s="4">
        <f t="shared" si="6"/>
        <v>4</v>
      </c>
      <c r="B165" s="5">
        <v>44815</v>
      </c>
      <c r="C165" s="6" t="s">
        <v>269</v>
      </c>
      <c r="D165" s="6">
        <v>22</v>
      </c>
      <c r="E165" s="4">
        <f>DAY(TableAopCalendar[[#This Row],[Date]])</f>
        <v>11</v>
      </c>
      <c r="F165" s="4">
        <f>IF(TableAopCalendar[[#This Row],[Day]]&lt;8,1,IF(TableAopCalendar[[#This Row],[Day]]&lt;15,2,IF(TableAopCalendar[[#This Row],[Day]]&lt;22,3,IF(TableAopCalendar[[#This Row],[Day]]&lt;29,4,IF(TableAopCalendar[[#This Row],[Day]]&lt;32,5)))))</f>
        <v>2</v>
      </c>
      <c r="G165" s="4" t="str">
        <f t="shared" si="7"/>
        <v>Week 2</v>
      </c>
      <c r="H165" s="4" t="str">
        <f t="shared" si="8"/>
        <v>September 22 Week 2</v>
      </c>
      <c r="I165" s="4" t="str">
        <f>CONCATENATE(UPPER(TableAopCalendar[[#This Row],[Month]])," ",TableAopCalendar[[#This Row],[Year]])</f>
        <v>SEPTEMBER 22</v>
      </c>
      <c r="J165" s="7" t="s">
        <v>274</v>
      </c>
      <c r="K165" s="7" t="str">
        <f>CONCATENATE(TableAopCalendar[[#This Row],[Month for Plan]]," ",TableAopCalendar[[#This Row],[Plan]])</f>
        <v>SEPTEMBER 22 PLANNED</v>
      </c>
    </row>
    <row r="166" spans="1:11" x14ac:dyDescent="0.3">
      <c r="A166" s="4">
        <f t="shared" si="6"/>
        <v>5</v>
      </c>
      <c r="B166" s="5">
        <v>44816</v>
      </c>
      <c r="C166" s="6" t="s">
        <v>269</v>
      </c>
      <c r="D166" s="6">
        <v>22</v>
      </c>
      <c r="E166" s="4">
        <f>DAY(TableAopCalendar[[#This Row],[Date]])</f>
        <v>12</v>
      </c>
      <c r="F166" s="4">
        <f>IF(TableAopCalendar[[#This Row],[Day]]&lt;8,1,IF(TableAopCalendar[[#This Row],[Day]]&lt;15,2,IF(TableAopCalendar[[#This Row],[Day]]&lt;22,3,IF(TableAopCalendar[[#This Row],[Day]]&lt;29,4,IF(TableAopCalendar[[#This Row],[Day]]&lt;32,5)))))</f>
        <v>2</v>
      </c>
      <c r="G166" s="4" t="str">
        <f t="shared" si="7"/>
        <v>Week 2</v>
      </c>
      <c r="H166" s="4" t="str">
        <f t="shared" si="8"/>
        <v>September 22 Week 2</v>
      </c>
      <c r="I166" s="4" t="str">
        <f>CONCATENATE(UPPER(TableAopCalendar[[#This Row],[Month]])," ",TableAopCalendar[[#This Row],[Year]])</f>
        <v>SEPTEMBER 22</v>
      </c>
      <c r="J166" s="7" t="s">
        <v>274</v>
      </c>
      <c r="K166" s="7" t="str">
        <f>CONCATENATE(TableAopCalendar[[#This Row],[Month for Plan]]," ",TableAopCalendar[[#This Row],[Plan]])</f>
        <v>SEPTEMBER 22 PLANNED</v>
      </c>
    </row>
    <row r="167" spans="1:11" x14ac:dyDescent="0.3">
      <c r="A167" s="4">
        <f t="shared" si="6"/>
        <v>6</v>
      </c>
      <c r="B167" s="5">
        <v>44817</v>
      </c>
      <c r="C167" s="6" t="s">
        <v>269</v>
      </c>
      <c r="D167" s="6">
        <v>22</v>
      </c>
      <c r="E167" s="4">
        <f>DAY(TableAopCalendar[[#This Row],[Date]])</f>
        <v>13</v>
      </c>
      <c r="F167" s="4">
        <f>IF(TableAopCalendar[[#This Row],[Day]]&lt;8,1,IF(TableAopCalendar[[#This Row],[Day]]&lt;15,2,IF(TableAopCalendar[[#This Row],[Day]]&lt;22,3,IF(TableAopCalendar[[#This Row],[Day]]&lt;29,4,IF(TableAopCalendar[[#This Row],[Day]]&lt;32,5)))))</f>
        <v>2</v>
      </c>
      <c r="G167" s="4" t="str">
        <f t="shared" si="7"/>
        <v>Week 2</v>
      </c>
      <c r="H167" s="4" t="str">
        <f t="shared" si="8"/>
        <v>September 22 Week 2</v>
      </c>
      <c r="I167" s="4" t="str">
        <f>CONCATENATE(UPPER(TableAopCalendar[[#This Row],[Month]])," ",TableAopCalendar[[#This Row],[Year]])</f>
        <v>SEPTEMBER 22</v>
      </c>
      <c r="J167" s="7" t="s">
        <v>274</v>
      </c>
      <c r="K167" s="7" t="str">
        <f>CONCATENATE(TableAopCalendar[[#This Row],[Month for Plan]]," ",TableAopCalendar[[#This Row],[Plan]])</f>
        <v>SEPTEMBER 22 PLANNED</v>
      </c>
    </row>
    <row r="168" spans="1:11" x14ac:dyDescent="0.3">
      <c r="A168" s="4">
        <f t="shared" si="6"/>
        <v>7</v>
      </c>
      <c r="B168" s="5">
        <v>44818</v>
      </c>
      <c r="C168" s="6" t="s">
        <v>269</v>
      </c>
      <c r="D168" s="6">
        <v>22</v>
      </c>
      <c r="E168" s="4">
        <f>DAY(TableAopCalendar[[#This Row],[Date]])</f>
        <v>14</v>
      </c>
      <c r="F168" s="4">
        <f>IF(TableAopCalendar[[#This Row],[Day]]&lt;8,1,IF(TableAopCalendar[[#This Row],[Day]]&lt;15,2,IF(TableAopCalendar[[#This Row],[Day]]&lt;22,3,IF(TableAopCalendar[[#This Row],[Day]]&lt;29,4,IF(TableAopCalendar[[#This Row],[Day]]&lt;32,5)))))</f>
        <v>2</v>
      </c>
      <c r="G168" s="4" t="str">
        <f t="shared" si="7"/>
        <v>Week 2</v>
      </c>
      <c r="H168" s="4" t="str">
        <f t="shared" si="8"/>
        <v>September 22 Week 2</v>
      </c>
      <c r="I168" s="4" t="str">
        <f>CONCATENATE(UPPER(TableAopCalendar[[#This Row],[Month]])," ",TableAopCalendar[[#This Row],[Year]])</f>
        <v>SEPTEMBER 22</v>
      </c>
      <c r="J168" s="7" t="s">
        <v>274</v>
      </c>
      <c r="K168" s="7" t="str">
        <f>CONCATENATE(TableAopCalendar[[#This Row],[Month for Plan]]," ",TableAopCalendar[[#This Row],[Plan]])</f>
        <v>SEPTEMBER 22 PLANNED</v>
      </c>
    </row>
    <row r="169" spans="1:11" x14ac:dyDescent="0.3">
      <c r="A169" s="4">
        <f t="shared" si="6"/>
        <v>1</v>
      </c>
      <c r="B169" s="5">
        <v>44819</v>
      </c>
      <c r="C169" s="6" t="s">
        <v>269</v>
      </c>
      <c r="D169" s="6">
        <v>22</v>
      </c>
      <c r="E169" s="4">
        <f>DAY(TableAopCalendar[[#This Row],[Date]])</f>
        <v>15</v>
      </c>
      <c r="F169" s="4">
        <f>IF(TableAopCalendar[[#This Row],[Day]]&lt;8,1,IF(TableAopCalendar[[#This Row],[Day]]&lt;15,2,IF(TableAopCalendar[[#This Row],[Day]]&lt;22,3,IF(TableAopCalendar[[#This Row],[Day]]&lt;29,4,IF(TableAopCalendar[[#This Row],[Day]]&lt;32,5)))))</f>
        <v>3</v>
      </c>
      <c r="G169" s="4" t="str">
        <f t="shared" si="7"/>
        <v>Week 3</v>
      </c>
      <c r="H169" s="4" t="str">
        <f t="shared" si="8"/>
        <v>September 22 Week 3</v>
      </c>
      <c r="I169" s="4" t="str">
        <f>CONCATENATE(UPPER(TableAopCalendar[[#This Row],[Month]])," ",TableAopCalendar[[#This Row],[Year]])</f>
        <v>SEPTEMBER 22</v>
      </c>
      <c r="J169" s="7" t="s">
        <v>274</v>
      </c>
      <c r="K169" s="7" t="str">
        <f>CONCATENATE(TableAopCalendar[[#This Row],[Month for Plan]]," ",TableAopCalendar[[#This Row],[Plan]])</f>
        <v>SEPTEMBER 22 PLANNED</v>
      </c>
    </row>
    <row r="170" spans="1:11" x14ac:dyDescent="0.3">
      <c r="A170" s="4">
        <f t="shared" si="6"/>
        <v>2</v>
      </c>
      <c r="B170" s="5">
        <v>44820</v>
      </c>
      <c r="C170" s="6" t="s">
        <v>269</v>
      </c>
      <c r="D170" s="6">
        <v>22</v>
      </c>
      <c r="E170" s="4">
        <f>DAY(TableAopCalendar[[#This Row],[Date]])</f>
        <v>16</v>
      </c>
      <c r="F170" s="4">
        <f>IF(TableAopCalendar[[#This Row],[Day]]&lt;8,1,IF(TableAopCalendar[[#This Row],[Day]]&lt;15,2,IF(TableAopCalendar[[#This Row],[Day]]&lt;22,3,IF(TableAopCalendar[[#This Row],[Day]]&lt;29,4,IF(TableAopCalendar[[#This Row],[Day]]&lt;32,5)))))</f>
        <v>3</v>
      </c>
      <c r="G170" s="4" t="str">
        <f t="shared" si="7"/>
        <v>Week 3</v>
      </c>
      <c r="H170" s="4" t="str">
        <f t="shared" si="8"/>
        <v>September 22 Week 3</v>
      </c>
      <c r="I170" s="4" t="str">
        <f>CONCATENATE(UPPER(TableAopCalendar[[#This Row],[Month]])," ",TableAopCalendar[[#This Row],[Year]])</f>
        <v>SEPTEMBER 22</v>
      </c>
      <c r="J170" s="7" t="s">
        <v>274</v>
      </c>
      <c r="K170" s="7" t="str">
        <f>CONCATENATE(TableAopCalendar[[#This Row],[Month for Plan]]," ",TableAopCalendar[[#This Row],[Plan]])</f>
        <v>SEPTEMBER 22 PLANNED</v>
      </c>
    </row>
    <row r="171" spans="1:11" x14ac:dyDescent="0.3">
      <c r="A171" s="4">
        <f t="shared" si="6"/>
        <v>3</v>
      </c>
      <c r="B171" s="5">
        <v>44821</v>
      </c>
      <c r="C171" s="6" t="s">
        <v>269</v>
      </c>
      <c r="D171" s="6">
        <v>22</v>
      </c>
      <c r="E171" s="4">
        <f>DAY(TableAopCalendar[[#This Row],[Date]])</f>
        <v>17</v>
      </c>
      <c r="F171" s="4">
        <f>IF(TableAopCalendar[[#This Row],[Day]]&lt;8,1,IF(TableAopCalendar[[#This Row],[Day]]&lt;15,2,IF(TableAopCalendar[[#This Row],[Day]]&lt;22,3,IF(TableAopCalendar[[#This Row],[Day]]&lt;29,4,IF(TableAopCalendar[[#This Row],[Day]]&lt;32,5)))))</f>
        <v>3</v>
      </c>
      <c r="G171" s="4" t="str">
        <f t="shared" si="7"/>
        <v>Week 3</v>
      </c>
      <c r="H171" s="4" t="str">
        <f t="shared" si="8"/>
        <v>September 22 Week 3</v>
      </c>
      <c r="I171" s="4" t="str">
        <f>CONCATENATE(UPPER(TableAopCalendar[[#This Row],[Month]])," ",TableAopCalendar[[#This Row],[Year]])</f>
        <v>SEPTEMBER 22</v>
      </c>
      <c r="J171" s="7" t="s">
        <v>274</v>
      </c>
      <c r="K171" s="7" t="str">
        <f>CONCATENATE(TableAopCalendar[[#This Row],[Month for Plan]]," ",TableAopCalendar[[#This Row],[Plan]])</f>
        <v>SEPTEMBER 22 PLANNED</v>
      </c>
    </row>
    <row r="172" spans="1:11" x14ac:dyDescent="0.3">
      <c r="A172" s="4">
        <f t="shared" si="6"/>
        <v>4</v>
      </c>
      <c r="B172" s="5">
        <v>44822</v>
      </c>
      <c r="C172" s="6" t="s">
        <v>269</v>
      </c>
      <c r="D172" s="6">
        <v>22</v>
      </c>
      <c r="E172" s="4">
        <f>DAY(TableAopCalendar[[#This Row],[Date]])</f>
        <v>18</v>
      </c>
      <c r="F172" s="4">
        <f>IF(TableAopCalendar[[#This Row],[Day]]&lt;8,1,IF(TableAopCalendar[[#This Row],[Day]]&lt;15,2,IF(TableAopCalendar[[#This Row],[Day]]&lt;22,3,IF(TableAopCalendar[[#This Row],[Day]]&lt;29,4,IF(TableAopCalendar[[#This Row],[Day]]&lt;32,5)))))</f>
        <v>3</v>
      </c>
      <c r="G172" s="4" t="str">
        <f t="shared" si="7"/>
        <v>Week 3</v>
      </c>
      <c r="H172" s="4" t="str">
        <f t="shared" si="8"/>
        <v>September 22 Week 3</v>
      </c>
      <c r="I172" s="4" t="str">
        <f>CONCATENATE(UPPER(TableAopCalendar[[#This Row],[Month]])," ",TableAopCalendar[[#This Row],[Year]])</f>
        <v>SEPTEMBER 22</v>
      </c>
      <c r="J172" s="7" t="s">
        <v>274</v>
      </c>
      <c r="K172" s="7" t="str">
        <f>CONCATENATE(TableAopCalendar[[#This Row],[Month for Plan]]," ",TableAopCalendar[[#This Row],[Plan]])</f>
        <v>SEPTEMBER 22 PLANNED</v>
      </c>
    </row>
    <row r="173" spans="1:11" x14ac:dyDescent="0.3">
      <c r="A173" s="4">
        <f t="shared" si="6"/>
        <v>5</v>
      </c>
      <c r="B173" s="5">
        <v>44823</v>
      </c>
      <c r="C173" s="6" t="s">
        <v>269</v>
      </c>
      <c r="D173" s="6">
        <v>22</v>
      </c>
      <c r="E173" s="4">
        <f>DAY(TableAopCalendar[[#This Row],[Date]])</f>
        <v>19</v>
      </c>
      <c r="F173" s="4">
        <f>IF(TableAopCalendar[[#This Row],[Day]]&lt;8,1,IF(TableAopCalendar[[#This Row],[Day]]&lt;15,2,IF(TableAopCalendar[[#This Row],[Day]]&lt;22,3,IF(TableAopCalendar[[#This Row],[Day]]&lt;29,4,IF(TableAopCalendar[[#This Row],[Day]]&lt;32,5)))))</f>
        <v>3</v>
      </c>
      <c r="G173" s="4" t="str">
        <f t="shared" si="7"/>
        <v>Week 3</v>
      </c>
      <c r="H173" s="4" t="str">
        <f t="shared" si="8"/>
        <v>September 22 Week 3</v>
      </c>
      <c r="I173" s="4" t="str">
        <f>CONCATENATE(UPPER(TableAopCalendar[[#This Row],[Month]])," ",TableAopCalendar[[#This Row],[Year]])</f>
        <v>SEPTEMBER 22</v>
      </c>
      <c r="J173" s="7" t="s">
        <v>274</v>
      </c>
      <c r="K173" s="7" t="str">
        <f>CONCATENATE(TableAopCalendar[[#This Row],[Month for Plan]]," ",TableAopCalendar[[#This Row],[Plan]])</f>
        <v>SEPTEMBER 22 PLANNED</v>
      </c>
    </row>
    <row r="174" spans="1:11" x14ac:dyDescent="0.3">
      <c r="A174" s="4">
        <f t="shared" si="6"/>
        <v>6</v>
      </c>
      <c r="B174" s="5">
        <v>44824</v>
      </c>
      <c r="C174" s="6" t="s">
        <v>269</v>
      </c>
      <c r="D174" s="6">
        <v>22</v>
      </c>
      <c r="E174" s="4">
        <f>DAY(TableAopCalendar[[#This Row],[Date]])</f>
        <v>20</v>
      </c>
      <c r="F174" s="4">
        <f>IF(TableAopCalendar[[#This Row],[Day]]&lt;8,1,IF(TableAopCalendar[[#This Row],[Day]]&lt;15,2,IF(TableAopCalendar[[#This Row],[Day]]&lt;22,3,IF(TableAopCalendar[[#This Row],[Day]]&lt;29,4,IF(TableAopCalendar[[#This Row],[Day]]&lt;32,5)))))</f>
        <v>3</v>
      </c>
      <c r="G174" s="4" t="str">
        <f t="shared" si="7"/>
        <v>Week 3</v>
      </c>
      <c r="H174" s="4" t="str">
        <f t="shared" si="8"/>
        <v>September 22 Week 3</v>
      </c>
      <c r="I174" s="4" t="str">
        <f>CONCATENATE(UPPER(TableAopCalendar[[#This Row],[Month]])," ",TableAopCalendar[[#This Row],[Year]])</f>
        <v>SEPTEMBER 22</v>
      </c>
      <c r="J174" s="7" t="s">
        <v>274</v>
      </c>
      <c r="K174" s="7" t="str">
        <f>CONCATENATE(TableAopCalendar[[#This Row],[Month for Plan]]," ",TableAopCalendar[[#This Row],[Plan]])</f>
        <v>SEPTEMBER 22 PLANNED</v>
      </c>
    </row>
    <row r="175" spans="1:11" x14ac:dyDescent="0.3">
      <c r="A175" s="4">
        <f t="shared" si="6"/>
        <v>7</v>
      </c>
      <c r="B175" s="5">
        <v>44825</v>
      </c>
      <c r="C175" s="6" t="s">
        <v>269</v>
      </c>
      <c r="D175" s="6">
        <v>22</v>
      </c>
      <c r="E175" s="4">
        <f>DAY(TableAopCalendar[[#This Row],[Date]])</f>
        <v>21</v>
      </c>
      <c r="F175" s="4">
        <f>IF(TableAopCalendar[[#This Row],[Day]]&lt;8,1,IF(TableAopCalendar[[#This Row],[Day]]&lt;15,2,IF(TableAopCalendar[[#This Row],[Day]]&lt;22,3,IF(TableAopCalendar[[#This Row],[Day]]&lt;29,4,IF(TableAopCalendar[[#This Row],[Day]]&lt;32,5)))))</f>
        <v>3</v>
      </c>
      <c r="G175" s="4" t="str">
        <f t="shared" si="7"/>
        <v>Week 3</v>
      </c>
      <c r="H175" s="4" t="str">
        <f t="shared" si="8"/>
        <v>September 22 Week 3</v>
      </c>
      <c r="I175" s="4" t="str">
        <f>CONCATENATE(UPPER(TableAopCalendar[[#This Row],[Month]])," ",TableAopCalendar[[#This Row],[Year]])</f>
        <v>SEPTEMBER 22</v>
      </c>
      <c r="J175" s="7" t="s">
        <v>274</v>
      </c>
      <c r="K175" s="7" t="str">
        <f>CONCATENATE(TableAopCalendar[[#This Row],[Month for Plan]]," ",TableAopCalendar[[#This Row],[Plan]])</f>
        <v>SEPTEMBER 22 PLANNED</v>
      </c>
    </row>
    <row r="176" spans="1:11" x14ac:dyDescent="0.3">
      <c r="A176" s="4">
        <f t="shared" si="6"/>
        <v>1</v>
      </c>
      <c r="B176" s="5">
        <v>44826</v>
      </c>
      <c r="C176" s="6" t="s">
        <v>269</v>
      </c>
      <c r="D176" s="6">
        <v>22</v>
      </c>
      <c r="E176" s="4">
        <f>DAY(TableAopCalendar[[#This Row],[Date]])</f>
        <v>22</v>
      </c>
      <c r="F176" s="4">
        <f>IF(TableAopCalendar[[#This Row],[Day]]&lt;8,1,IF(TableAopCalendar[[#This Row],[Day]]&lt;15,2,IF(TableAopCalendar[[#This Row],[Day]]&lt;22,3,IF(TableAopCalendar[[#This Row],[Day]]&lt;29,4,IF(TableAopCalendar[[#This Row],[Day]]&lt;32,5)))))</f>
        <v>4</v>
      </c>
      <c r="G176" s="4" t="str">
        <f t="shared" si="7"/>
        <v>Week 4</v>
      </c>
      <c r="H176" s="4" t="str">
        <f t="shared" si="8"/>
        <v>September 22 Week 4</v>
      </c>
      <c r="I176" s="4" t="str">
        <f>CONCATENATE(UPPER(TableAopCalendar[[#This Row],[Month]])," ",TableAopCalendar[[#This Row],[Year]])</f>
        <v>SEPTEMBER 22</v>
      </c>
      <c r="J176" s="7" t="s">
        <v>274</v>
      </c>
      <c r="K176" s="7" t="str">
        <f>CONCATENATE(TableAopCalendar[[#This Row],[Month for Plan]]," ",TableAopCalendar[[#This Row],[Plan]])</f>
        <v>SEPTEMBER 22 PLANNED</v>
      </c>
    </row>
    <row r="177" spans="1:11" x14ac:dyDescent="0.3">
      <c r="A177" s="4">
        <f t="shared" si="6"/>
        <v>2</v>
      </c>
      <c r="B177" s="5">
        <v>44827</v>
      </c>
      <c r="C177" s="6" t="s">
        <v>269</v>
      </c>
      <c r="D177" s="6">
        <v>22</v>
      </c>
      <c r="E177" s="4">
        <f>DAY(TableAopCalendar[[#This Row],[Date]])</f>
        <v>23</v>
      </c>
      <c r="F177" s="4">
        <f>IF(TableAopCalendar[[#This Row],[Day]]&lt;8,1,IF(TableAopCalendar[[#This Row],[Day]]&lt;15,2,IF(TableAopCalendar[[#This Row],[Day]]&lt;22,3,IF(TableAopCalendar[[#This Row],[Day]]&lt;29,4,IF(TableAopCalendar[[#This Row],[Day]]&lt;32,5)))))</f>
        <v>4</v>
      </c>
      <c r="G177" s="4" t="str">
        <f t="shared" si="7"/>
        <v>Week 4</v>
      </c>
      <c r="H177" s="4" t="str">
        <f t="shared" si="8"/>
        <v>September 22 Week 4</v>
      </c>
      <c r="I177" s="4" t="str">
        <f>CONCATENATE(UPPER(TableAopCalendar[[#This Row],[Month]])," ",TableAopCalendar[[#This Row],[Year]])</f>
        <v>SEPTEMBER 22</v>
      </c>
      <c r="J177" s="7" t="s">
        <v>274</v>
      </c>
      <c r="K177" s="7" t="str">
        <f>CONCATENATE(TableAopCalendar[[#This Row],[Month for Plan]]," ",TableAopCalendar[[#This Row],[Plan]])</f>
        <v>SEPTEMBER 22 PLANNED</v>
      </c>
    </row>
    <row r="178" spans="1:11" x14ac:dyDescent="0.3">
      <c r="A178" s="4">
        <f t="shared" si="6"/>
        <v>3</v>
      </c>
      <c r="B178" s="5">
        <v>44828</v>
      </c>
      <c r="C178" s="6" t="s">
        <v>269</v>
      </c>
      <c r="D178" s="6">
        <v>22</v>
      </c>
      <c r="E178" s="4">
        <f>DAY(TableAopCalendar[[#This Row],[Date]])</f>
        <v>24</v>
      </c>
      <c r="F178" s="4">
        <f>IF(TableAopCalendar[[#This Row],[Day]]&lt;8,1,IF(TableAopCalendar[[#This Row],[Day]]&lt;15,2,IF(TableAopCalendar[[#This Row],[Day]]&lt;22,3,IF(TableAopCalendar[[#This Row],[Day]]&lt;29,4,IF(TableAopCalendar[[#This Row],[Day]]&lt;32,5)))))</f>
        <v>4</v>
      </c>
      <c r="G178" s="4" t="str">
        <f t="shared" si="7"/>
        <v>Week 4</v>
      </c>
      <c r="H178" s="4" t="str">
        <f t="shared" si="8"/>
        <v>September 22 Week 4</v>
      </c>
      <c r="I178" s="4" t="str">
        <f>CONCATENATE(UPPER(TableAopCalendar[[#This Row],[Month]])," ",TableAopCalendar[[#This Row],[Year]])</f>
        <v>SEPTEMBER 22</v>
      </c>
      <c r="J178" s="7" t="s">
        <v>274</v>
      </c>
      <c r="K178" s="7" t="str">
        <f>CONCATENATE(TableAopCalendar[[#This Row],[Month for Plan]]," ",TableAopCalendar[[#This Row],[Plan]])</f>
        <v>SEPTEMBER 22 PLANNED</v>
      </c>
    </row>
    <row r="179" spans="1:11" x14ac:dyDescent="0.3">
      <c r="A179" s="4">
        <f t="shared" si="6"/>
        <v>4</v>
      </c>
      <c r="B179" s="5">
        <v>44829</v>
      </c>
      <c r="C179" s="6" t="s">
        <v>269</v>
      </c>
      <c r="D179" s="6">
        <v>22</v>
      </c>
      <c r="E179" s="4">
        <f>DAY(TableAopCalendar[[#This Row],[Date]])</f>
        <v>25</v>
      </c>
      <c r="F179" s="4">
        <f>IF(TableAopCalendar[[#This Row],[Day]]&lt;8,1,IF(TableAopCalendar[[#This Row],[Day]]&lt;15,2,IF(TableAopCalendar[[#This Row],[Day]]&lt;22,3,IF(TableAopCalendar[[#This Row],[Day]]&lt;29,4,IF(TableAopCalendar[[#This Row],[Day]]&lt;32,5)))))</f>
        <v>4</v>
      </c>
      <c r="G179" s="4" t="str">
        <f t="shared" si="7"/>
        <v>Week 4</v>
      </c>
      <c r="H179" s="4" t="str">
        <f t="shared" si="8"/>
        <v>September 22 Week 4</v>
      </c>
      <c r="I179" s="4" t="str">
        <f>CONCATENATE(UPPER(TableAopCalendar[[#This Row],[Month]])," ",TableAopCalendar[[#This Row],[Year]])</f>
        <v>SEPTEMBER 22</v>
      </c>
      <c r="J179" s="7" t="s">
        <v>274</v>
      </c>
      <c r="K179" s="7" t="str">
        <f>CONCATENATE(TableAopCalendar[[#This Row],[Month for Plan]]," ",TableAopCalendar[[#This Row],[Plan]])</f>
        <v>SEPTEMBER 22 PLANNED</v>
      </c>
    </row>
    <row r="180" spans="1:11" x14ac:dyDescent="0.3">
      <c r="A180" s="4">
        <f t="shared" si="6"/>
        <v>5</v>
      </c>
      <c r="B180" s="5">
        <v>44830</v>
      </c>
      <c r="C180" s="6" t="s">
        <v>269</v>
      </c>
      <c r="D180" s="6">
        <v>22</v>
      </c>
      <c r="E180" s="4">
        <f>DAY(TableAopCalendar[[#This Row],[Date]])</f>
        <v>26</v>
      </c>
      <c r="F180" s="4">
        <f>IF(TableAopCalendar[[#This Row],[Day]]&lt;8,1,IF(TableAopCalendar[[#This Row],[Day]]&lt;15,2,IF(TableAopCalendar[[#This Row],[Day]]&lt;22,3,IF(TableAopCalendar[[#This Row],[Day]]&lt;29,4,IF(TableAopCalendar[[#This Row],[Day]]&lt;32,5)))))</f>
        <v>4</v>
      </c>
      <c r="G180" s="4" t="str">
        <f t="shared" si="7"/>
        <v>Week 4</v>
      </c>
      <c r="H180" s="4" t="str">
        <f t="shared" si="8"/>
        <v>September 22 Week 4</v>
      </c>
      <c r="I180" s="4" t="str">
        <f>CONCATENATE(UPPER(TableAopCalendar[[#This Row],[Month]])," ",TableAopCalendar[[#This Row],[Year]])</f>
        <v>SEPTEMBER 22</v>
      </c>
      <c r="J180" s="7" t="s">
        <v>274</v>
      </c>
      <c r="K180" s="7" t="str">
        <f>CONCATENATE(TableAopCalendar[[#This Row],[Month for Plan]]," ",TableAopCalendar[[#This Row],[Plan]])</f>
        <v>SEPTEMBER 22 PLANNED</v>
      </c>
    </row>
    <row r="181" spans="1:11" x14ac:dyDescent="0.3">
      <c r="A181" s="4">
        <f t="shared" si="6"/>
        <v>6</v>
      </c>
      <c r="B181" s="5">
        <v>44831</v>
      </c>
      <c r="C181" s="6" t="s">
        <v>269</v>
      </c>
      <c r="D181" s="6">
        <v>22</v>
      </c>
      <c r="E181" s="4">
        <f>DAY(TableAopCalendar[[#This Row],[Date]])</f>
        <v>27</v>
      </c>
      <c r="F181" s="4">
        <f>IF(TableAopCalendar[[#This Row],[Day]]&lt;8,1,IF(TableAopCalendar[[#This Row],[Day]]&lt;15,2,IF(TableAopCalendar[[#This Row],[Day]]&lt;22,3,IF(TableAopCalendar[[#This Row],[Day]]&lt;29,4,IF(TableAopCalendar[[#This Row],[Day]]&lt;32,5)))))</f>
        <v>4</v>
      </c>
      <c r="G181" s="4" t="str">
        <f t="shared" si="7"/>
        <v>Week 4</v>
      </c>
      <c r="H181" s="4" t="str">
        <f t="shared" si="8"/>
        <v>September 22 Week 4</v>
      </c>
      <c r="I181" s="4" t="str">
        <f>CONCATENATE(UPPER(TableAopCalendar[[#This Row],[Month]])," ",TableAopCalendar[[#This Row],[Year]])</f>
        <v>SEPTEMBER 22</v>
      </c>
      <c r="J181" s="7" t="s">
        <v>274</v>
      </c>
      <c r="K181" s="7" t="str">
        <f>CONCATENATE(TableAopCalendar[[#This Row],[Month for Plan]]," ",TableAopCalendar[[#This Row],[Plan]])</f>
        <v>SEPTEMBER 22 PLANNED</v>
      </c>
    </row>
    <row r="182" spans="1:11" x14ac:dyDescent="0.3">
      <c r="A182" s="4">
        <f t="shared" si="6"/>
        <v>7</v>
      </c>
      <c r="B182" s="5">
        <v>44832</v>
      </c>
      <c r="C182" s="6" t="s">
        <v>269</v>
      </c>
      <c r="D182" s="6">
        <v>22</v>
      </c>
      <c r="E182" s="4">
        <f>DAY(TableAopCalendar[[#This Row],[Date]])</f>
        <v>28</v>
      </c>
      <c r="F182" s="4">
        <f>IF(TableAopCalendar[[#This Row],[Day]]&lt;8,1,IF(TableAopCalendar[[#This Row],[Day]]&lt;15,2,IF(TableAopCalendar[[#This Row],[Day]]&lt;22,3,IF(TableAopCalendar[[#This Row],[Day]]&lt;29,4,IF(TableAopCalendar[[#This Row],[Day]]&lt;32,5)))))</f>
        <v>4</v>
      </c>
      <c r="G182" s="4" t="str">
        <f t="shared" si="7"/>
        <v>Week 4</v>
      </c>
      <c r="H182" s="4" t="str">
        <f t="shared" si="8"/>
        <v>September 22 Week 4</v>
      </c>
      <c r="I182" s="4" t="str">
        <f>CONCATENATE(UPPER(TableAopCalendar[[#This Row],[Month]])," ",TableAopCalendar[[#This Row],[Year]])</f>
        <v>SEPTEMBER 22</v>
      </c>
      <c r="J182" s="7" t="s">
        <v>274</v>
      </c>
      <c r="K182" s="7" t="str">
        <f>CONCATENATE(TableAopCalendar[[#This Row],[Month for Plan]]," ",TableAopCalendar[[#This Row],[Plan]])</f>
        <v>SEPTEMBER 22 PLANNED</v>
      </c>
    </row>
    <row r="183" spans="1:11" x14ac:dyDescent="0.3">
      <c r="A183" s="4">
        <f t="shared" si="6"/>
        <v>1</v>
      </c>
      <c r="B183" s="5">
        <v>44833</v>
      </c>
      <c r="C183" s="6" t="s">
        <v>269</v>
      </c>
      <c r="D183" s="6">
        <v>22</v>
      </c>
      <c r="E183" s="4">
        <f>DAY(TableAopCalendar[[#This Row],[Date]])</f>
        <v>29</v>
      </c>
      <c r="F183" s="4">
        <f>IF(TableAopCalendar[[#This Row],[Day]]&lt;8,1,IF(TableAopCalendar[[#This Row],[Day]]&lt;15,2,IF(TableAopCalendar[[#This Row],[Day]]&lt;22,3,IF(TableAopCalendar[[#This Row],[Day]]&lt;29,4,IF(TableAopCalendar[[#This Row],[Day]]&lt;32,5)))))</f>
        <v>5</v>
      </c>
      <c r="G183" s="4" t="str">
        <f t="shared" si="7"/>
        <v>Week 5</v>
      </c>
      <c r="H183" s="4" t="str">
        <f t="shared" si="8"/>
        <v>September 22 Week 5</v>
      </c>
      <c r="I183" s="4" t="str">
        <f>CONCATENATE(UPPER(TableAopCalendar[[#This Row],[Month]])," ",TableAopCalendar[[#This Row],[Year]])</f>
        <v>SEPTEMBER 22</v>
      </c>
      <c r="J183" s="7" t="s">
        <v>274</v>
      </c>
      <c r="K183" s="7" t="str">
        <f>CONCATENATE(TableAopCalendar[[#This Row],[Month for Plan]]," ",TableAopCalendar[[#This Row],[Plan]])</f>
        <v>SEPTEMBER 22 PLANNED</v>
      </c>
    </row>
    <row r="184" spans="1:11" x14ac:dyDescent="0.3">
      <c r="A184" s="4">
        <f t="shared" si="6"/>
        <v>2</v>
      </c>
      <c r="B184" s="5">
        <v>44834</v>
      </c>
      <c r="C184" s="6" t="s">
        <v>269</v>
      </c>
      <c r="D184" s="6">
        <v>22</v>
      </c>
      <c r="E184" s="4">
        <f>DAY(TableAopCalendar[[#This Row],[Date]])</f>
        <v>30</v>
      </c>
      <c r="F184" s="4">
        <f>IF(TableAopCalendar[[#This Row],[Day]]&lt;8,1,IF(TableAopCalendar[[#This Row],[Day]]&lt;15,2,IF(TableAopCalendar[[#This Row],[Day]]&lt;22,3,IF(TableAopCalendar[[#This Row],[Day]]&lt;29,4,IF(TableAopCalendar[[#This Row],[Day]]&lt;32,5)))))</f>
        <v>5</v>
      </c>
      <c r="G184" s="4" t="str">
        <f t="shared" si="7"/>
        <v>Week 5</v>
      </c>
      <c r="H184" s="4" t="str">
        <f t="shared" si="8"/>
        <v>September 22 Week 5</v>
      </c>
      <c r="I184" s="4" t="str">
        <f>CONCATENATE(UPPER(TableAopCalendar[[#This Row],[Month]])," ",TableAopCalendar[[#This Row],[Year]])</f>
        <v>SEPTEMBER 22</v>
      </c>
      <c r="J184" s="7" t="s">
        <v>274</v>
      </c>
      <c r="K184" s="7" t="str">
        <f>CONCATENATE(TableAopCalendar[[#This Row],[Month for Plan]]," ",TableAopCalendar[[#This Row],[Plan]])</f>
        <v>SEPTEMBER 22 PLANNED</v>
      </c>
    </row>
    <row r="185" spans="1:11" x14ac:dyDescent="0.3">
      <c r="A185" s="4">
        <f t="shared" si="6"/>
        <v>1</v>
      </c>
      <c r="B185" s="5">
        <v>44835</v>
      </c>
      <c r="C185" s="6" t="s">
        <v>114</v>
      </c>
      <c r="D185" s="6">
        <v>22</v>
      </c>
      <c r="E185" s="4">
        <f>DAY(TableAopCalendar[[#This Row],[Date]])</f>
        <v>1</v>
      </c>
      <c r="F185" s="4">
        <f>IF(TableAopCalendar[[#This Row],[Day]]&lt;8,1,IF(TableAopCalendar[[#This Row],[Day]]&lt;15,2,IF(TableAopCalendar[[#This Row],[Day]]&lt;22,3,IF(TableAopCalendar[[#This Row],[Day]]&lt;29,4,IF(TableAopCalendar[[#This Row],[Day]]&lt;32,5)))))</f>
        <v>1</v>
      </c>
      <c r="G185" s="4" t="str">
        <f t="shared" si="7"/>
        <v>Week 1</v>
      </c>
      <c r="H185" s="4" t="str">
        <f t="shared" si="8"/>
        <v>October 22 Week 1</v>
      </c>
      <c r="I185" s="4" t="str">
        <f>CONCATENATE(UPPER(TableAopCalendar[[#This Row],[Month]])," ",TableAopCalendar[[#This Row],[Year]])</f>
        <v>OCTOBER 22</v>
      </c>
      <c r="J185" s="7" t="s">
        <v>274</v>
      </c>
      <c r="K185" s="7" t="str">
        <f>CONCATENATE(TableAopCalendar[[#This Row],[Month for Plan]]," ",TableAopCalendar[[#This Row],[Plan]])</f>
        <v>OCTOBER 22 PLANNED</v>
      </c>
    </row>
    <row r="186" spans="1:11" x14ac:dyDescent="0.3">
      <c r="A186" s="4">
        <f t="shared" si="6"/>
        <v>2</v>
      </c>
      <c r="B186" s="5">
        <v>44836</v>
      </c>
      <c r="C186" s="6" t="s">
        <v>114</v>
      </c>
      <c r="D186" s="6">
        <v>22</v>
      </c>
      <c r="E186" s="4">
        <f>DAY(TableAopCalendar[[#This Row],[Date]])</f>
        <v>2</v>
      </c>
      <c r="F186" s="4">
        <f>IF(TableAopCalendar[[#This Row],[Day]]&lt;8,1,IF(TableAopCalendar[[#This Row],[Day]]&lt;15,2,IF(TableAopCalendar[[#This Row],[Day]]&lt;22,3,IF(TableAopCalendar[[#This Row],[Day]]&lt;29,4,IF(TableAopCalendar[[#This Row],[Day]]&lt;32,5)))))</f>
        <v>1</v>
      </c>
      <c r="G186" s="4" t="str">
        <f t="shared" si="7"/>
        <v>Week 1</v>
      </c>
      <c r="H186" s="4" t="str">
        <f t="shared" si="8"/>
        <v>October 22 Week 1</v>
      </c>
      <c r="I186" s="4" t="str">
        <f>CONCATENATE(UPPER(TableAopCalendar[[#This Row],[Month]])," ",TableAopCalendar[[#This Row],[Year]])</f>
        <v>OCTOBER 22</v>
      </c>
      <c r="J186" s="7" t="s">
        <v>274</v>
      </c>
      <c r="K186" s="7" t="str">
        <f>CONCATENATE(TableAopCalendar[[#This Row],[Month for Plan]]," ",TableAopCalendar[[#This Row],[Plan]])</f>
        <v>OCTOBER 22 PLANNED</v>
      </c>
    </row>
    <row r="187" spans="1:11" x14ac:dyDescent="0.3">
      <c r="A187" s="4">
        <f t="shared" si="6"/>
        <v>3</v>
      </c>
      <c r="B187" s="5">
        <v>44837</v>
      </c>
      <c r="C187" s="6" t="s">
        <v>114</v>
      </c>
      <c r="D187" s="6">
        <v>22</v>
      </c>
      <c r="E187" s="4">
        <f>DAY(TableAopCalendar[[#This Row],[Date]])</f>
        <v>3</v>
      </c>
      <c r="F187" s="4">
        <f>IF(TableAopCalendar[[#This Row],[Day]]&lt;8,1,IF(TableAopCalendar[[#This Row],[Day]]&lt;15,2,IF(TableAopCalendar[[#This Row],[Day]]&lt;22,3,IF(TableAopCalendar[[#This Row],[Day]]&lt;29,4,IF(TableAopCalendar[[#This Row],[Day]]&lt;32,5)))))</f>
        <v>1</v>
      </c>
      <c r="G187" s="4" t="str">
        <f t="shared" si="7"/>
        <v>Week 1</v>
      </c>
      <c r="H187" s="4" t="str">
        <f t="shared" si="8"/>
        <v>October 22 Week 1</v>
      </c>
      <c r="I187" s="4" t="str">
        <f>CONCATENATE(UPPER(TableAopCalendar[[#This Row],[Month]])," ",TableAopCalendar[[#This Row],[Year]])</f>
        <v>OCTOBER 22</v>
      </c>
      <c r="J187" s="7" t="s">
        <v>274</v>
      </c>
      <c r="K187" s="7" t="str">
        <f>CONCATENATE(TableAopCalendar[[#This Row],[Month for Plan]]," ",TableAopCalendar[[#This Row],[Plan]])</f>
        <v>OCTOBER 22 PLANNED</v>
      </c>
    </row>
    <row r="188" spans="1:11" x14ac:dyDescent="0.3">
      <c r="A188" s="4">
        <f t="shared" si="6"/>
        <v>4</v>
      </c>
      <c r="B188" s="5">
        <v>44838</v>
      </c>
      <c r="C188" s="6" t="s">
        <v>114</v>
      </c>
      <c r="D188" s="6">
        <v>22</v>
      </c>
      <c r="E188" s="4">
        <f>DAY(TableAopCalendar[[#This Row],[Date]])</f>
        <v>4</v>
      </c>
      <c r="F188" s="4">
        <f>IF(TableAopCalendar[[#This Row],[Day]]&lt;8,1,IF(TableAopCalendar[[#This Row],[Day]]&lt;15,2,IF(TableAopCalendar[[#This Row],[Day]]&lt;22,3,IF(TableAopCalendar[[#This Row],[Day]]&lt;29,4,IF(TableAopCalendar[[#This Row],[Day]]&lt;32,5)))))</f>
        <v>1</v>
      </c>
      <c r="G188" s="4" t="str">
        <f t="shared" si="7"/>
        <v>Week 1</v>
      </c>
      <c r="H188" s="4" t="str">
        <f t="shared" si="8"/>
        <v>October 22 Week 1</v>
      </c>
      <c r="I188" s="4" t="str">
        <f>CONCATENATE(UPPER(TableAopCalendar[[#This Row],[Month]])," ",TableAopCalendar[[#This Row],[Year]])</f>
        <v>OCTOBER 22</v>
      </c>
      <c r="J188" s="7" t="s">
        <v>274</v>
      </c>
      <c r="K188" s="7" t="str">
        <f>CONCATENATE(TableAopCalendar[[#This Row],[Month for Plan]]," ",TableAopCalendar[[#This Row],[Plan]])</f>
        <v>OCTOBER 22 PLANNED</v>
      </c>
    </row>
    <row r="189" spans="1:11" x14ac:dyDescent="0.3">
      <c r="A189" s="4">
        <f t="shared" si="6"/>
        <v>5</v>
      </c>
      <c r="B189" s="5">
        <v>44839</v>
      </c>
      <c r="C189" s="6" t="s">
        <v>114</v>
      </c>
      <c r="D189" s="6">
        <v>22</v>
      </c>
      <c r="E189" s="4">
        <f>DAY(TableAopCalendar[[#This Row],[Date]])</f>
        <v>5</v>
      </c>
      <c r="F189" s="4">
        <f>IF(TableAopCalendar[[#This Row],[Day]]&lt;8,1,IF(TableAopCalendar[[#This Row],[Day]]&lt;15,2,IF(TableAopCalendar[[#This Row],[Day]]&lt;22,3,IF(TableAopCalendar[[#This Row],[Day]]&lt;29,4,IF(TableAopCalendar[[#This Row],[Day]]&lt;32,5)))))</f>
        <v>1</v>
      </c>
      <c r="G189" s="4" t="str">
        <f t="shared" si="7"/>
        <v>Week 1</v>
      </c>
      <c r="H189" s="4" t="str">
        <f t="shared" si="8"/>
        <v>October 22 Week 1</v>
      </c>
      <c r="I189" s="4" t="str">
        <f>CONCATENATE(UPPER(TableAopCalendar[[#This Row],[Month]])," ",TableAopCalendar[[#This Row],[Year]])</f>
        <v>OCTOBER 22</v>
      </c>
      <c r="J189" s="7" t="s">
        <v>274</v>
      </c>
      <c r="K189" s="7" t="str">
        <f>CONCATENATE(TableAopCalendar[[#This Row],[Month for Plan]]," ",TableAopCalendar[[#This Row],[Plan]])</f>
        <v>OCTOBER 22 PLANNED</v>
      </c>
    </row>
    <row r="190" spans="1:11" x14ac:dyDescent="0.3">
      <c r="A190" s="4">
        <f t="shared" si="6"/>
        <v>6</v>
      </c>
      <c r="B190" s="5">
        <v>44840</v>
      </c>
      <c r="C190" s="6" t="s">
        <v>114</v>
      </c>
      <c r="D190" s="6">
        <v>22</v>
      </c>
      <c r="E190" s="4">
        <f>DAY(TableAopCalendar[[#This Row],[Date]])</f>
        <v>6</v>
      </c>
      <c r="F190" s="4">
        <f>IF(TableAopCalendar[[#This Row],[Day]]&lt;8,1,IF(TableAopCalendar[[#This Row],[Day]]&lt;15,2,IF(TableAopCalendar[[#This Row],[Day]]&lt;22,3,IF(TableAopCalendar[[#This Row],[Day]]&lt;29,4,IF(TableAopCalendar[[#This Row],[Day]]&lt;32,5)))))</f>
        <v>1</v>
      </c>
      <c r="G190" s="4" t="str">
        <f t="shared" si="7"/>
        <v>Week 1</v>
      </c>
      <c r="H190" s="4" t="str">
        <f t="shared" si="8"/>
        <v>October 22 Week 1</v>
      </c>
      <c r="I190" s="4" t="str">
        <f>CONCATENATE(UPPER(TableAopCalendar[[#This Row],[Month]])," ",TableAopCalendar[[#This Row],[Year]])</f>
        <v>OCTOBER 22</v>
      </c>
      <c r="J190" s="7" t="s">
        <v>274</v>
      </c>
      <c r="K190" s="7" t="str">
        <f>CONCATENATE(TableAopCalendar[[#This Row],[Month for Plan]]," ",TableAopCalendar[[#This Row],[Plan]])</f>
        <v>OCTOBER 22 PLANNED</v>
      </c>
    </row>
    <row r="191" spans="1:11" x14ac:dyDescent="0.3">
      <c r="A191" s="4">
        <f t="shared" si="6"/>
        <v>7</v>
      </c>
      <c r="B191" s="5">
        <v>44841</v>
      </c>
      <c r="C191" s="6" t="s">
        <v>114</v>
      </c>
      <c r="D191" s="6">
        <v>22</v>
      </c>
      <c r="E191" s="4">
        <f>DAY(TableAopCalendar[[#This Row],[Date]])</f>
        <v>7</v>
      </c>
      <c r="F191" s="4">
        <f>IF(TableAopCalendar[[#This Row],[Day]]&lt;8,1,IF(TableAopCalendar[[#This Row],[Day]]&lt;15,2,IF(TableAopCalendar[[#This Row],[Day]]&lt;22,3,IF(TableAopCalendar[[#This Row],[Day]]&lt;29,4,IF(TableAopCalendar[[#This Row],[Day]]&lt;32,5)))))</f>
        <v>1</v>
      </c>
      <c r="G191" s="4" t="str">
        <f t="shared" si="7"/>
        <v>Week 1</v>
      </c>
      <c r="H191" s="4" t="str">
        <f t="shared" si="8"/>
        <v>October 22 Week 1</v>
      </c>
      <c r="I191" s="4" t="str">
        <f>CONCATENATE(UPPER(TableAopCalendar[[#This Row],[Month]])," ",TableAopCalendar[[#This Row],[Year]])</f>
        <v>OCTOBER 22</v>
      </c>
      <c r="J191" s="7" t="s">
        <v>274</v>
      </c>
      <c r="K191" s="7" t="str">
        <f>CONCATENATE(TableAopCalendar[[#This Row],[Month for Plan]]," ",TableAopCalendar[[#This Row],[Plan]])</f>
        <v>OCTOBER 22 PLANNED</v>
      </c>
    </row>
    <row r="192" spans="1:11" x14ac:dyDescent="0.3">
      <c r="A192" s="4">
        <f t="shared" si="6"/>
        <v>1</v>
      </c>
      <c r="B192" s="5">
        <v>44842</v>
      </c>
      <c r="C192" s="6" t="s">
        <v>114</v>
      </c>
      <c r="D192" s="6">
        <v>22</v>
      </c>
      <c r="E192" s="4">
        <f>DAY(TableAopCalendar[[#This Row],[Date]])</f>
        <v>8</v>
      </c>
      <c r="F192" s="4">
        <f>IF(TableAopCalendar[[#This Row],[Day]]&lt;8,1,IF(TableAopCalendar[[#This Row],[Day]]&lt;15,2,IF(TableAopCalendar[[#This Row],[Day]]&lt;22,3,IF(TableAopCalendar[[#This Row],[Day]]&lt;29,4,IF(TableAopCalendar[[#This Row],[Day]]&lt;32,5)))))</f>
        <v>2</v>
      </c>
      <c r="G192" s="4" t="str">
        <f t="shared" si="7"/>
        <v>Week 2</v>
      </c>
      <c r="H192" s="4" t="str">
        <f t="shared" si="8"/>
        <v>October 22 Week 2</v>
      </c>
      <c r="I192" s="4" t="str">
        <f>CONCATENATE(UPPER(TableAopCalendar[[#This Row],[Month]])," ",TableAopCalendar[[#This Row],[Year]])</f>
        <v>OCTOBER 22</v>
      </c>
      <c r="J192" s="7" t="s">
        <v>274</v>
      </c>
      <c r="K192" s="7" t="str">
        <f>CONCATENATE(TableAopCalendar[[#This Row],[Month for Plan]]," ",TableAopCalendar[[#This Row],[Plan]])</f>
        <v>OCTOBER 22 PLANNED</v>
      </c>
    </row>
    <row r="193" spans="1:11" x14ac:dyDescent="0.3">
      <c r="A193" s="4">
        <f t="shared" si="6"/>
        <v>2</v>
      </c>
      <c r="B193" s="5">
        <v>44843</v>
      </c>
      <c r="C193" s="6" t="s">
        <v>114</v>
      </c>
      <c r="D193" s="6">
        <v>22</v>
      </c>
      <c r="E193" s="4">
        <f>DAY(TableAopCalendar[[#This Row],[Date]])</f>
        <v>9</v>
      </c>
      <c r="F193" s="4">
        <f>IF(TableAopCalendar[[#This Row],[Day]]&lt;8,1,IF(TableAopCalendar[[#This Row],[Day]]&lt;15,2,IF(TableAopCalendar[[#This Row],[Day]]&lt;22,3,IF(TableAopCalendar[[#This Row],[Day]]&lt;29,4,IF(TableAopCalendar[[#This Row],[Day]]&lt;32,5)))))</f>
        <v>2</v>
      </c>
      <c r="G193" s="4" t="str">
        <f t="shared" si="7"/>
        <v>Week 2</v>
      </c>
      <c r="H193" s="4" t="str">
        <f t="shared" si="8"/>
        <v>October 22 Week 2</v>
      </c>
      <c r="I193" s="4" t="str">
        <f>CONCATENATE(UPPER(TableAopCalendar[[#This Row],[Month]])," ",TableAopCalendar[[#This Row],[Year]])</f>
        <v>OCTOBER 22</v>
      </c>
      <c r="J193" s="7" t="s">
        <v>274</v>
      </c>
      <c r="K193" s="7" t="str">
        <f>CONCATENATE(TableAopCalendar[[#This Row],[Month for Plan]]," ",TableAopCalendar[[#This Row],[Plan]])</f>
        <v>OCTOBER 22 PLANNED</v>
      </c>
    </row>
    <row r="194" spans="1:11" x14ac:dyDescent="0.3">
      <c r="A194" s="4">
        <f t="shared" ref="A194:A257" si="9">IF(G194=G193,A193+1,1)</f>
        <v>3</v>
      </c>
      <c r="B194" s="5">
        <v>44844</v>
      </c>
      <c r="C194" s="6" t="s">
        <v>114</v>
      </c>
      <c r="D194" s="6">
        <v>22</v>
      </c>
      <c r="E194" s="4">
        <f>DAY(TableAopCalendar[[#This Row],[Date]])</f>
        <v>10</v>
      </c>
      <c r="F194" s="4">
        <f>IF(TableAopCalendar[[#This Row],[Day]]&lt;8,1,IF(TableAopCalendar[[#This Row],[Day]]&lt;15,2,IF(TableAopCalendar[[#This Row],[Day]]&lt;22,3,IF(TableAopCalendar[[#This Row],[Day]]&lt;29,4,IF(TableAopCalendar[[#This Row],[Day]]&lt;32,5)))))</f>
        <v>2</v>
      </c>
      <c r="G194" s="4" t="str">
        <f t="shared" ref="G194:G257" si="10">"Week"&amp;" "&amp;F194</f>
        <v>Week 2</v>
      </c>
      <c r="H194" s="4" t="str">
        <f t="shared" ref="H194:H257" si="11">CONCATENATE(C194," ",D194," ",G194)</f>
        <v>October 22 Week 2</v>
      </c>
      <c r="I194" s="4" t="str">
        <f>CONCATENATE(UPPER(TableAopCalendar[[#This Row],[Month]])," ",TableAopCalendar[[#This Row],[Year]])</f>
        <v>OCTOBER 22</v>
      </c>
      <c r="J194" s="7" t="s">
        <v>274</v>
      </c>
      <c r="K194" s="7" t="str">
        <f>CONCATENATE(TableAopCalendar[[#This Row],[Month for Plan]]," ",TableAopCalendar[[#This Row],[Plan]])</f>
        <v>OCTOBER 22 PLANNED</v>
      </c>
    </row>
    <row r="195" spans="1:11" x14ac:dyDescent="0.3">
      <c r="A195" s="4">
        <f t="shared" si="9"/>
        <v>4</v>
      </c>
      <c r="B195" s="5">
        <v>44845</v>
      </c>
      <c r="C195" s="6" t="s">
        <v>114</v>
      </c>
      <c r="D195" s="6">
        <v>22</v>
      </c>
      <c r="E195" s="4">
        <f>DAY(TableAopCalendar[[#This Row],[Date]])</f>
        <v>11</v>
      </c>
      <c r="F195" s="4">
        <f>IF(TableAopCalendar[[#This Row],[Day]]&lt;8,1,IF(TableAopCalendar[[#This Row],[Day]]&lt;15,2,IF(TableAopCalendar[[#This Row],[Day]]&lt;22,3,IF(TableAopCalendar[[#This Row],[Day]]&lt;29,4,IF(TableAopCalendar[[#This Row],[Day]]&lt;32,5)))))</f>
        <v>2</v>
      </c>
      <c r="G195" s="4" t="str">
        <f t="shared" si="10"/>
        <v>Week 2</v>
      </c>
      <c r="H195" s="4" t="str">
        <f t="shared" si="11"/>
        <v>October 22 Week 2</v>
      </c>
      <c r="I195" s="4" t="str">
        <f>CONCATENATE(UPPER(TableAopCalendar[[#This Row],[Month]])," ",TableAopCalendar[[#This Row],[Year]])</f>
        <v>OCTOBER 22</v>
      </c>
      <c r="J195" s="7" t="s">
        <v>274</v>
      </c>
      <c r="K195" s="7" t="str">
        <f>CONCATENATE(TableAopCalendar[[#This Row],[Month for Plan]]," ",TableAopCalendar[[#This Row],[Plan]])</f>
        <v>OCTOBER 22 PLANNED</v>
      </c>
    </row>
    <row r="196" spans="1:11" x14ac:dyDescent="0.3">
      <c r="A196" s="4">
        <f t="shared" si="9"/>
        <v>5</v>
      </c>
      <c r="B196" s="5">
        <v>44846</v>
      </c>
      <c r="C196" s="6" t="s">
        <v>114</v>
      </c>
      <c r="D196" s="6">
        <v>22</v>
      </c>
      <c r="E196" s="4">
        <f>DAY(TableAopCalendar[[#This Row],[Date]])</f>
        <v>12</v>
      </c>
      <c r="F196" s="4">
        <f>IF(TableAopCalendar[[#This Row],[Day]]&lt;8,1,IF(TableAopCalendar[[#This Row],[Day]]&lt;15,2,IF(TableAopCalendar[[#This Row],[Day]]&lt;22,3,IF(TableAopCalendar[[#This Row],[Day]]&lt;29,4,IF(TableAopCalendar[[#This Row],[Day]]&lt;32,5)))))</f>
        <v>2</v>
      </c>
      <c r="G196" s="4" t="str">
        <f t="shared" si="10"/>
        <v>Week 2</v>
      </c>
      <c r="H196" s="4" t="str">
        <f t="shared" si="11"/>
        <v>October 22 Week 2</v>
      </c>
      <c r="I196" s="4" t="str">
        <f>CONCATENATE(UPPER(TableAopCalendar[[#This Row],[Month]])," ",TableAopCalendar[[#This Row],[Year]])</f>
        <v>OCTOBER 22</v>
      </c>
      <c r="J196" s="7" t="s">
        <v>274</v>
      </c>
      <c r="K196" s="7" t="str">
        <f>CONCATENATE(TableAopCalendar[[#This Row],[Month for Plan]]," ",TableAopCalendar[[#This Row],[Plan]])</f>
        <v>OCTOBER 22 PLANNED</v>
      </c>
    </row>
    <row r="197" spans="1:11" x14ac:dyDescent="0.3">
      <c r="A197" s="4">
        <f t="shared" si="9"/>
        <v>6</v>
      </c>
      <c r="B197" s="5">
        <v>44847</v>
      </c>
      <c r="C197" s="6" t="s">
        <v>114</v>
      </c>
      <c r="D197" s="6">
        <v>22</v>
      </c>
      <c r="E197" s="4">
        <f>DAY(TableAopCalendar[[#This Row],[Date]])</f>
        <v>13</v>
      </c>
      <c r="F197" s="4">
        <f>IF(TableAopCalendar[[#This Row],[Day]]&lt;8,1,IF(TableAopCalendar[[#This Row],[Day]]&lt;15,2,IF(TableAopCalendar[[#This Row],[Day]]&lt;22,3,IF(TableAopCalendar[[#This Row],[Day]]&lt;29,4,IF(TableAopCalendar[[#This Row],[Day]]&lt;32,5)))))</f>
        <v>2</v>
      </c>
      <c r="G197" s="4" t="str">
        <f t="shared" si="10"/>
        <v>Week 2</v>
      </c>
      <c r="H197" s="4" t="str">
        <f t="shared" si="11"/>
        <v>October 22 Week 2</v>
      </c>
      <c r="I197" s="4" t="str">
        <f>CONCATENATE(UPPER(TableAopCalendar[[#This Row],[Month]])," ",TableAopCalendar[[#This Row],[Year]])</f>
        <v>OCTOBER 22</v>
      </c>
      <c r="J197" s="7" t="s">
        <v>274</v>
      </c>
      <c r="K197" s="7" t="str">
        <f>CONCATENATE(TableAopCalendar[[#This Row],[Month for Plan]]," ",TableAopCalendar[[#This Row],[Plan]])</f>
        <v>OCTOBER 22 PLANNED</v>
      </c>
    </row>
    <row r="198" spans="1:11" x14ac:dyDescent="0.3">
      <c r="A198" s="4">
        <f t="shared" si="9"/>
        <v>7</v>
      </c>
      <c r="B198" s="5">
        <v>44848</v>
      </c>
      <c r="C198" s="6" t="s">
        <v>114</v>
      </c>
      <c r="D198" s="6">
        <v>22</v>
      </c>
      <c r="E198" s="4">
        <f>DAY(TableAopCalendar[[#This Row],[Date]])</f>
        <v>14</v>
      </c>
      <c r="F198" s="4">
        <f>IF(TableAopCalendar[[#This Row],[Day]]&lt;8,1,IF(TableAopCalendar[[#This Row],[Day]]&lt;15,2,IF(TableAopCalendar[[#This Row],[Day]]&lt;22,3,IF(TableAopCalendar[[#This Row],[Day]]&lt;29,4,IF(TableAopCalendar[[#This Row],[Day]]&lt;32,5)))))</f>
        <v>2</v>
      </c>
      <c r="G198" s="4" t="str">
        <f t="shared" si="10"/>
        <v>Week 2</v>
      </c>
      <c r="H198" s="4" t="str">
        <f t="shared" si="11"/>
        <v>October 22 Week 2</v>
      </c>
      <c r="I198" s="4" t="str">
        <f>CONCATENATE(UPPER(TableAopCalendar[[#This Row],[Month]])," ",TableAopCalendar[[#This Row],[Year]])</f>
        <v>OCTOBER 22</v>
      </c>
      <c r="J198" s="7" t="s">
        <v>274</v>
      </c>
      <c r="K198" s="7" t="str">
        <f>CONCATENATE(TableAopCalendar[[#This Row],[Month for Plan]]," ",TableAopCalendar[[#This Row],[Plan]])</f>
        <v>OCTOBER 22 PLANNED</v>
      </c>
    </row>
    <row r="199" spans="1:11" x14ac:dyDescent="0.3">
      <c r="A199" s="4">
        <f t="shared" si="9"/>
        <v>1</v>
      </c>
      <c r="B199" s="5">
        <v>44849</v>
      </c>
      <c r="C199" s="6" t="s">
        <v>114</v>
      </c>
      <c r="D199" s="6">
        <v>22</v>
      </c>
      <c r="E199" s="4">
        <f>DAY(TableAopCalendar[[#This Row],[Date]])</f>
        <v>15</v>
      </c>
      <c r="F199" s="4">
        <f>IF(TableAopCalendar[[#This Row],[Day]]&lt;8,1,IF(TableAopCalendar[[#This Row],[Day]]&lt;15,2,IF(TableAopCalendar[[#This Row],[Day]]&lt;22,3,IF(TableAopCalendar[[#This Row],[Day]]&lt;29,4,IF(TableAopCalendar[[#This Row],[Day]]&lt;32,5)))))</f>
        <v>3</v>
      </c>
      <c r="G199" s="4" t="str">
        <f t="shared" si="10"/>
        <v>Week 3</v>
      </c>
      <c r="H199" s="4" t="str">
        <f t="shared" si="11"/>
        <v>October 22 Week 3</v>
      </c>
      <c r="I199" s="4" t="str">
        <f>CONCATENATE(UPPER(TableAopCalendar[[#This Row],[Month]])," ",TableAopCalendar[[#This Row],[Year]])</f>
        <v>OCTOBER 22</v>
      </c>
      <c r="J199" s="7" t="s">
        <v>274</v>
      </c>
      <c r="K199" s="7" t="str">
        <f>CONCATENATE(TableAopCalendar[[#This Row],[Month for Plan]]," ",TableAopCalendar[[#This Row],[Plan]])</f>
        <v>OCTOBER 22 PLANNED</v>
      </c>
    </row>
    <row r="200" spans="1:11" x14ac:dyDescent="0.3">
      <c r="A200" s="4">
        <f t="shared" si="9"/>
        <v>2</v>
      </c>
      <c r="B200" s="5">
        <v>44850</v>
      </c>
      <c r="C200" s="6" t="s">
        <v>114</v>
      </c>
      <c r="D200" s="6">
        <v>22</v>
      </c>
      <c r="E200" s="4">
        <f>DAY(TableAopCalendar[[#This Row],[Date]])</f>
        <v>16</v>
      </c>
      <c r="F200" s="4">
        <f>IF(TableAopCalendar[[#This Row],[Day]]&lt;8,1,IF(TableAopCalendar[[#This Row],[Day]]&lt;15,2,IF(TableAopCalendar[[#This Row],[Day]]&lt;22,3,IF(TableAopCalendar[[#This Row],[Day]]&lt;29,4,IF(TableAopCalendar[[#This Row],[Day]]&lt;32,5)))))</f>
        <v>3</v>
      </c>
      <c r="G200" s="4" t="str">
        <f t="shared" si="10"/>
        <v>Week 3</v>
      </c>
      <c r="H200" s="4" t="str">
        <f t="shared" si="11"/>
        <v>October 22 Week 3</v>
      </c>
      <c r="I200" s="4" t="str">
        <f>CONCATENATE(UPPER(TableAopCalendar[[#This Row],[Month]])," ",TableAopCalendar[[#This Row],[Year]])</f>
        <v>OCTOBER 22</v>
      </c>
      <c r="J200" s="7" t="s">
        <v>274</v>
      </c>
      <c r="K200" s="7" t="str">
        <f>CONCATENATE(TableAopCalendar[[#This Row],[Month for Plan]]," ",TableAopCalendar[[#This Row],[Plan]])</f>
        <v>OCTOBER 22 PLANNED</v>
      </c>
    </row>
    <row r="201" spans="1:11" x14ac:dyDescent="0.3">
      <c r="A201" s="4">
        <f t="shared" si="9"/>
        <v>3</v>
      </c>
      <c r="B201" s="5">
        <v>44851</v>
      </c>
      <c r="C201" s="6" t="s">
        <v>114</v>
      </c>
      <c r="D201" s="6">
        <v>22</v>
      </c>
      <c r="E201" s="4">
        <f>DAY(TableAopCalendar[[#This Row],[Date]])</f>
        <v>17</v>
      </c>
      <c r="F201" s="4">
        <f>IF(TableAopCalendar[[#This Row],[Day]]&lt;8,1,IF(TableAopCalendar[[#This Row],[Day]]&lt;15,2,IF(TableAopCalendar[[#This Row],[Day]]&lt;22,3,IF(TableAopCalendar[[#This Row],[Day]]&lt;29,4,IF(TableAopCalendar[[#This Row],[Day]]&lt;32,5)))))</f>
        <v>3</v>
      </c>
      <c r="G201" s="4" t="str">
        <f t="shared" si="10"/>
        <v>Week 3</v>
      </c>
      <c r="H201" s="4" t="str">
        <f t="shared" si="11"/>
        <v>October 22 Week 3</v>
      </c>
      <c r="I201" s="4" t="str">
        <f>CONCATENATE(UPPER(TableAopCalendar[[#This Row],[Month]])," ",TableAopCalendar[[#This Row],[Year]])</f>
        <v>OCTOBER 22</v>
      </c>
      <c r="J201" s="7" t="s">
        <v>274</v>
      </c>
      <c r="K201" s="7" t="str">
        <f>CONCATENATE(TableAopCalendar[[#This Row],[Month for Plan]]," ",TableAopCalendar[[#This Row],[Plan]])</f>
        <v>OCTOBER 22 PLANNED</v>
      </c>
    </row>
    <row r="202" spans="1:11" x14ac:dyDescent="0.3">
      <c r="A202" s="4">
        <f t="shared" si="9"/>
        <v>4</v>
      </c>
      <c r="B202" s="5">
        <v>44852</v>
      </c>
      <c r="C202" s="6" t="s">
        <v>114</v>
      </c>
      <c r="D202" s="6">
        <v>22</v>
      </c>
      <c r="E202" s="4">
        <f>DAY(TableAopCalendar[[#This Row],[Date]])</f>
        <v>18</v>
      </c>
      <c r="F202" s="4">
        <f>IF(TableAopCalendar[[#This Row],[Day]]&lt;8,1,IF(TableAopCalendar[[#This Row],[Day]]&lt;15,2,IF(TableAopCalendar[[#This Row],[Day]]&lt;22,3,IF(TableAopCalendar[[#This Row],[Day]]&lt;29,4,IF(TableAopCalendar[[#This Row],[Day]]&lt;32,5)))))</f>
        <v>3</v>
      </c>
      <c r="G202" s="4" t="str">
        <f t="shared" si="10"/>
        <v>Week 3</v>
      </c>
      <c r="H202" s="4" t="str">
        <f t="shared" si="11"/>
        <v>October 22 Week 3</v>
      </c>
      <c r="I202" s="4" t="str">
        <f>CONCATENATE(UPPER(TableAopCalendar[[#This Row],[Month]])," ",TableAopCalendar[[#This Row],[Year]])</f>
        <v>OCTOBER 22</v>
      </c>
      <c r="J202" s="7" t="s">
        <v>274</v>
      </c>
      <c r="K202" s="7" t="str">
        <f>CONCATENATE(TableAopCalendar[[#This Row],[Month for Plan]]," ",TableAopCalendar[[#This Row],[Plan]])</f>
        <v>OCTOBER 22 PLANNED</v>
      </c>
    </row>
    <row r="203" spans="1:11" x14ac:dyDescent="0.3">
      <c r="A203" s="4">
        <f t="shared" si="9"/>
        <v>5</v>
      </c>
      <c r="B203" s="5">
        <v>44853</v>
      </c>
      <c r="C203" s="6" t="s">
        <v>114</v>
      </c>
      <c r="D203" s="6">
        <v>22</v>
      </c>
      <c r="E203" s="4">
        <f>DAY(TableAopCalendar[[#This Row],[Date]])</f>
        <v>19</v>
      </c>
      <c r="F203" s="4">
        <f>IF(TableAopCalendar[[#This Row],[Day]]&lt;8,1,IF(TableAopCalendar[[#This Row],[Day]]&lt;15,2,IF(TableAopCalendar[[#This Row],[Day]]&lt;22,3,IF(TableAopCalendar[[#This Row],[Day]]&lt;29,4,IF(TableAopCalendar[[#This Row],[Day]]&lt;32,5)))))</f>
        <v>3</v>
      </c>
      <c r="G203" s="4" t="str">
        <f t="shared" si="10"/>
        <v>Week 3</v>
      </c>
      <c r="H203" s="4" t="str">
        <f t="shared" si="11"/>
        <v>October 22 Week 3</v>
      </c>
      <c r="I203" s="4" t="str">
        <f>CONCATENATE(UPPER(TableAopCalendar[[#This Row],[Month]])," ",TableAopCalendar[[#This Row],[Year]])</f>
        <v>OCTOBER 22</v>
      </c>
      <c r="J203" s="7" t="s">
        <v>274</v>
      </c>
      <c r="K203" s="7" t="str">
        <f>CONCATENATE(TableAopCalendar[[#This Row],[Month for Plan]]," ",TableAopCalendar[[#This Row],[Plan]])</f>
        <v>OCTOBER 22 PLANNED</v>
      </c>
    </row>
    <row r="204" spans="1:11" x14ac:dyDescent="0.3">
      <c r="A204" s="4">
        <f t="shared" si="9"/>
        <v>6</v>
      </c>
      <c r="B204" s="5">
        <v>44854</v>
      </c>
      <c r="C204" s="6" t="s">
        <v>114</v>
      </c>
      <c r="D204" s="6">
        <v>22</v>
      </c>
      <c r="E204" s="4">
        <f>DAY(TableAopCalendar[[#This Row],[Date]])</f>
        <v>20</v>
      </c>
      <c r="F204" s="4">
        <f>IF(TableAopCalendar[[#This Row],[Day]]&lt;8,1,IF(TableAopCalendar[[#This Row],[Day]]&lt;15,2,IF(TableAopCalendar[[#This Row],[Day]]&lt;22,3,IF(TableAopCalendar[[#This Row],[Day]]&lt;29,4,IF(TableAopCalendar[[#This Row],[Day]]&lt;32,5)))))</f>
        <v>3</v>
      </c>
      <c r="G204" s="4" t="str">
        <f t="shared" si="10"/>
        <v>Week 3</v>
      </c>
      <c r="H204" s="4" t="str">
        <f t="shared" si="11"/>
        <v>October 22 Week 3</v>
      </c>
      <c r="I204" s="4" t="str">
        <f>CONCATENATE(UPPER(TableAopCalendar[[#This Row],[Month]])," ",TableAopCalendar[[#This Row],[Year]])</f>
        <v>OCTOBER 22</v>
      </c>
      <c r="J204" s="7" t="s">
        <v>274</v>
      </c>
      <c r="K204" s="7" t="str">
        <f>CONCATENATE(TableAopCalendar[[#This Row],[Month for Plan]]," ",TableAopCalendar[[#This Row],[Plan]])</f>
        <v>OCTOBER 22 PLANNED</v>
      </c>
    </row>
    <row r="205" spans="1:11" x14ac:dyDescent="0.3">
      <c r="A205" s="4">
        <f t="shared" si="9"/>
        <v>7</v>
      </c>
      <c r="B205" s="5">
        <v>44855</v>
      </c>
      <c r="C205" s="6" t="s">
        <v>114</v>
      </c>
      <c r="D205" s="6">
        <v>22</v>
      </c>
      <c r="E205" s="4">
        <f>DAY(TableAopCalendar[[#This Row],[Date]])</f>
        <v>21</v>
      </c>
      <c r="F205" s="4">
        <f>IF(TableAopCalendar[[#This Row],[Day]]&lt;8,1,IF(TableAopCalendar[[#This Row],[Day]]&lt;15,2,IF(TableAopCalendar[[#This Row],[Day]]&lt;22,3,IF(TableAopCalendar[[#This Row],[Day]]&lt;29,4,IF(TableAopCalendar[[#This Row],[Day]]&lt;32,5)))))</f>
        <v>3</v>
      </c>
      <c r="G205" s="4" t="str">
        <f t="shared" si="10"/>
        <v>Week 3</v>
      </c>
      <c r="H205" s="4" t="str">
        <f t="shared" si="11"/>
        <v>October 22 Week 3</v>
      </c>
      <c r="I205" s="4" t="str">
        <f>CONCATENATE(UPPER(TableAopCalendar[[#This Row],[Month]])," ",TableAopCalendar[[#This Row],[Year]])</f>
        <v>OCTOBER 22</v>
      </c>
      <c r="J205" s="7" t="s">
        <v>274</v>
      </c>
      <c r="K205" s="7" t="str">
        <f>CONCATENATE(TableAopCalendar[[#This Row],[Month for Plan]]," ",TableAopCalendar[[#This Row],[Plan]])</f>
        <v>OCTOBER 22 PLANNED</v>
      </c>
    </row>
    <row r="206" spans="1:11" x14ac:dyDescent="0.3">
      <c r="A206" s="4">
        <f t="shared" si="9"/>
        <v>1</v>
      </c>
      <c r="B206" s="5">
        <v>44856</v>
      </c>
      <c r="C206" s="6" t="s">
        <v>114</v>
      </c>
      <c r="D206" s="6">
        <v>22</v>
      </c>
      <c r="E206" s="4">
        <f>DAY(TableAopCalendar[[#This Row],[Date]])</f>
        <v>22</v>
      </c>
      <c r="F206" s="4">
        <f>IF(TableAopCalendar[[#This Row],[Day]]&lt;8,1,IF(TableAopCalendar[[#This Row],[Day]]&lt;15,2,IF(TableAopCalendar[[#This Row],[Day]]&lt;22,3,IF(TableAopCalendar[[#This Row],[Day]]&lt;29,4,IF(TableAopCalendar[[#This Row],[Day]]&lt;32,5)))))</f>
        <v>4</v>
      </c>
      <c r="G206" s="4" t="str">
        <f t="shared" si="10"/>
        <v>Week 4</v>
      </c>
      <c r="H206" s="4" t="str">
        <f t="shared" si="11"/>
        <v>October 22 Week 4</v>
      </c>
      <c r="I206" s="4" t="str">
        <f>CONCATENATE(UPPER(TableAopCalendar[[#This Row],[Month]])," ",TableAopCalendar[[#This Row],[Year]])</f>
        <v>OCTOBER 22</v>
      </c>
      <c r="J206" s="7" t="s">
        <v>274</v>
      </c>
      <c r="K206" s="7" t="str">
        <f>CONCATENATE(TableAopCalendar[[#This Row],[Month for Plan]]," ",TableAopCalendar[[#This Row],[Plan]])</f>
        <v>OCTOBER 22 PLANNED</v>
      </c>
    </row>
    <row r="207" spans="1:11" x14ac:dyDescent="0.3">
      <c r="A207" s="4">
        <f t="shared" si="9"/>
        <v>2</v>
      </c>
      <c r="B207" s="5">
        <v>44857</v>
      </c>
      <c r="C207" s="6" t="s">
        <v>114</v>
      </c>
      <c r="D207" s="6">
        <v>22</v>
      </c>
      <c r="E207" s="4">
        <f>DAY(TableAopCalendar[[#This Row],[Date]])</f>
        <v>23</v>
      </c>
      <c r="F207" s="4">
        <f>IF(TableAopCalendar[[#This Row],[Day]]&lt;8,1,IF(TableAopCalendar[[#This Row],[Day]]&lt;15,2,IF(TableAopCalendar[[#This Row],[Day]]&lt;22,3,IF(TableAopCalendar[[#This Row],[Day]]&lt;29,4,IF(TableAopCalendar[[#This Row],[Day]]&lt;32,5)))))</f>
        <v>4</v>
      </c>
      <c r="G207" s="4" t="str">
        <f t="shared" si="10"/>
        <v>Week 4</v>
      </c>
      <c r="H207" s="4" t="str">
        <f t="shared" si="11"/>
        <v>October 22 Week 4</v>
      </c>
      <c r="I207" s="4" t="str">
        <f>CONCATENATE(UPPER(TableAopCalendar[[#This Row],[Month]])," ",TableAopCalendar[[#This Row],[Year]])</f>
        <v>OCTOBER 22</v>
      </c>
      <c r="J207" s="7" t="s">
        <v>274</v>
      </c>
      <c r="K207" s="7" t="str">
        <f>CONCATENATE(TableAopCalendar[[#This Row],[Month for Plan]]," ",TableAopCalendar[[#This Row],[Plan]])</f>
        <v>OCTOBER 22 PLANNED</v>
      </c>
    </row>
    <row r="208" spans="1:11" x14ac:dyDescent="0.3">
      <c r="A208" s="4">
        <f t="shared" si="9"/>
        <v>3</v>
      </c>
      <c r="B208" s="5">
        <v>44858</v>
      </c>
      <c r="C208" s="6" t="s">
        <v>114</v>
      </c>
      <c r="D208" s="6">
        <v>22</v>
      </c>
      <c r="E208" s="4">
        <f>DAY(TableAopCalendar[[#This Row],[Date]])</f>
        <v>24</v>
      </c>
      <c r="F208" s="4">
        <f>IF(TableAopCalendar[[#This Row],[Day]]&lt;8,1,IF(TableAopCalendar[[#This Row],[Day]]&lt;15,2,IF(TableAopCalendar[[#This Row],[Day]]&lt;22,3,IF(TableAopCalendar[[#This Row],[Day]]&lt;29,4,IF(TableAopCalendar[[#This Row],[Day]]&lt;32,5)))))</f>
        <v>4</v>
      </c>
      <c r="G208" s="4" t="str">
        <f t="shared" si="10"/>
        <v>Week 4</v>
      </c>
      <c r="H208" s="4" t="str">
        <f t="shared" si="11"/>
        <v>October 22 Week 4</v>
      </c>
      <c r="I208" s="4" t="str">
        <f>CONCATENATE(UPPER(TableAopCalendar[[#This Row],[Month]])," ",TableAopCalendar[[#This Row],[Year]])</f>
        <v>OCTOBER 22</v>
      </c>
      <c r="J208" s="7" t="s">
        <v>274</v>
      </c>
      <c r="K208" s="7" t="str">
        <f>CONCATENATE(TableAopCalendar[[#This Row],[Month for Plan]]," ",TableAopCalendar[[#This Row],[Plan]])</f>
        <v>OCTOBER 22 PLANNED</v>
      </c>
    </row>
    <row r="209" spans="1:11" x14ac:dyDescent="0.3">
      <c r="A209" s="4">
        <f t="shared" si="9"/>
        <v>4</v>
      </c>
      <c r="B209" s="5">
        <v>44859</v>
      </c>
      <c r="C209" s="6" t="s">
        <v>114</v>
      </c>
      <c r="D209" s="6">
        <v>22</v>
      </c>
      <c r="E209" s="4">
        <f>DAY(TableAopCalendar[[#This Row],[Date]])</f>
        <v>25</v>
      </c>
      <c r="F209" s="4">
        <f>IF(TableAopCalendar[[#This Row],[Day]]&lt;8,1,IF(TableAopCalendar[[#This Row],[Day]]&lt;15,2,IF(TableAopCalendar[[#This Row],[Day]]&lt;22,3,IF(TableAopCalendar[[#This Row],[Day]]&lt;29,4,IF(TableAopCalendar[[#This Row],[Day]]&lt;32,5)))))</f>
        <v>4</v>
      </c>
      <c r="G209" s="4" t="str">
        <f t="shared" si="10"/>
        <v>Week 4</v>
      </c>
      <c r="H209" s="4" t="str">
        <f t="shared" si="11"/>
        <v>October 22 Week 4</v>
      </c>
      <c r="I209" s="4" t="str">
        <f>CONCATENATE(UPPER(TableAopCalendar[[#This Row],[Month]])," ",TableAopCalendar[[#This Row],[Year]])</f>
        <v>OCTOBER 22</v>
      </c>
      <c r="J209" s="7" t="s">
        <v>274</v>
      </c>
      <c r="K209" s="7" t="str">
        <f>CONCATENATE(TableAopCalendar[[#This Row],[Month for Plan]]," ",TableAopCalendar[[#This Row],[Plan]])</f>
        <v>OCTOBER 22 PLANNED</v>
      </c>
    </row>
    <row r="210" spans="1:11" x14ac:dyDescent="0.3">
      <c r="A210" s="4">
        <f t="shared" si="9"/>
        <v>5</v>
      </c>
      <c r="B210" s="5">
        <v>44860</v>
      </c>
      <c r="C210" s="6" t="s">
        <v>114</v>
      </c>
      <c r="D210" s="6">
        <v>22</v>
      </c>
      <c r="E210" s="4">
        <f>DAY(TableAopCalendar[[#This Row],[Date]])</f>
        <v>26</v>
      </c>
      <c r="F210" s="4">
        <f>IF(TableAopCalendar[[#This Row],[Day]]&lt;8,1,IF(TableAopCalendar[[#This Row],[Day]]&lt;15,2,IF(TableAopCalendar[[#This Row],[Day]]&lt;22,3,IF(TableAopCalendar[[#This Row],[Day]]&lt;29,4,IF(TableAopCalendar[[#This Row],[Day]]&lt;32,5)))))</f>
        <v>4</v>
      </c>
      <c r="G210" s="4" t="str">
        <f t="shared" si="10"/>
        <v>Week 4</v>
      </c>
      <c r="H210" s="4" t="str">
        <f t="shared" si="11"/>
        <v>October 22 Week 4</v>
      </c>
      <c r="I210" s="4" t="str">
        <f>CONCATENATE(UPPER(TableAopCalendar[[#This Row],[Month]])," ",TableAopCalendar[[#This Row],[Year]])</f>
        <v>OCTOBER 22</v>
      </c>
      <c r="J210" s="7" t="s">
        <v>274</v>
      </c>
      <c r="K210" s="7" t="str">
        <f>CONCATENATE(TableAopCalendar[[#This Row],[Month for Plan]]," ",TableAopCalendar[[#This Row],[Plan]])</f>
        <v>OCTOBER 22 PLANNED</v>
      </c>
    </row>
    <row r="211" spans="1:11" x14ac:dyDescent="0.3">
      <c r="A211" s="4">
        <f t="shared" si="9"/>
        <v>6</v>
      </c>
      <c r="B211" s="5">
        <v>44861</v>
      </c>
      <c r="C211" s="6" t="s">
        <v>114</v>
      </c>
      <c r="D211" s="6">
        <v>22</v>
      </c>
      <c r="E211" s="4">
        <f>DAY(TableAopCalendar[[#This Row],[Date]])</f>
        <v>27</v>
      </c>
      <c r="F211" s="4">
        <f>IF(TableAopCalendar[[#This Row],[Day]]&lt;8,1,IF(TableAopCalendar[[#This Row],[Day]]&lt;15,2,IF(TableAopCalendar[[#This Row],[Day]]&lt;22,3,IF(TableAopCalendar[[#This Row],[Day]]&lt;29,4,IF(TableAopCalendar[[#This Row],[Day]]&lt;32,5)))))</f>
        <v>4</v>
      </c>
      <c r="G211" s="4" t="str">
        <f t="shared" si="10"/>
        <v>Week 4</v>
      </c>
      <c r="H211" s="4" t="str">
        <f t="shared" si="11"/>
        <v>October 22 Week 4</v>
      </c>
      <c r="I211" s="4" t="str">
        <f>CONCATENATE(UPPER(TableAopCalendar[[#This Row],[Month]])," ",TableAopCalendar[[#This Row],[Year]])</f>
        <v>OCTOBER 22</v>
      </c>
      <c r="J211" s="7" t="s">
        <v>274</v>
      </c>
      <c r="K211" s="7" t="str">
        <f>CONCATENATE(TableAopCalendar[[#This Row],[Month for Plan]]," ",TableAopCalendar[[#This Row],[Plan]])</f>
        <v>OCTOBER 22 PLANNED</v>
      </c>
    </row>
    <row r="212" spans="1:11" x14ac:dyDescent="0.3">
      <c r="A212" s="4">
        <f t="shared" si="9"/>
        <v>7</v>
      </c>
      <c r="B212" s="5">
        <v>44862</v>
      </c>
      <c r="C212" s="6" t="s">
        <v>114</v>
      </c>
      <c r="D212" s="6">
        <v>22</v>
      </c>
      <c r="E212" s="4">
        <f>DAY(TableAopCalendar[[#This Row],[Date]])</f>
        <v>28</v>
      </c>
      <c r="F212" s="4">
        <f>IF(TableAopCalendar[[#This Row],[Day]]&lt;8,1,IF(TableAopCalendar[[#This Row],[Day]]&lt;15,2,IF(TableAopCalendar[[#This Row],[Day]]&lt;22,3,IF(TableAopCalendar[[#This Row],[Day]]&lt;29,4,IF(TableAopCalendar[[#This Row],[Day]]&lt;32,5)))))</f>
        <v>4</v>
      </c>
      <c r="G212" s="4" t="str">
        <f t="shared" si="10"/>
        <v>Week 4</v>
      </c>
      <c r="H212" s="4" t="str">
        <f t="shared" si="11"/>
        <v>October 22 Week 4</v>
      </c>
      <c r="I212" s="4" t="str">
        <f>CONCATENATE(UPPER(TableAopCalendar[[#This Row],[Month]])," ",TableAopCalendar[[#This Row],[Year]])</f>
        <v>OCTOBER 22</v>
      </c>
      <c r="J212" s="7" t="s">
        <v>274</v>
      </c>
      <c r="K212" s="7" t="str">
        <f>CONCATENATE(TableAopCalendar[[#This Row],[Month for Plan]]," ",TableAopCalendar[[#This Row],[Plan]])</f>
        <v>OCTOBER 22 PLANNED</v>
      </c>
    </row>
    <row r="213" spans="1:11" x14ac:dyDescent="0.3">
      <c r="A213" s="4">
        <f t="shared" si="9"/>
        <v>1</v>
      </c>
      <c r="B213" s="5">
        <v>44863</v>
      </c>
      <c r="C213" s="6" t="s">
        <v>114</v>
      </c>
      <c r="D213" s="6">
        <v>22</v>
      </c>
      <c r="E213" s="4">
        <f>DAY(TableAopCalendar[[#This Row],[Date]])</f>
        <v>29</v>
      </c>
      <c r="F213" s="4">
        <f>IF(TableAopCalendar[[#This Row],[Day]]&lt;8,1,IF(TableAopCalendar[[#This Row],[Day]]&lt;15,2,IF(TableAopCalendar[[#This Row],[Day]]&lt;22,3,IF(TableAopCalendar[[#This Row],[Day]]&lt;29,4,IF(TableAopCalendar[[#This Row],[Day]]&lt;32,5)))))</f>
        <v>5</v>
      </c>
      <c r="G213" s="4" t="str">
        <f t="shared" si="10"/>
        <v>Week 5</v>
      </c>
      <c r="H213" s="4" t="str">
        <f t="shared" si="11"/>
        <v>October 22 Week 5</v>
      </c>
      <c r="I213" s="4" t="str">
        <f>CONCATENATE(UPPER(TableAopCalendar[[#This Row],[Month]])," ",TableAopCalendar[[#This Row],[Year]])</f>
        <v>OCTOBER 22</v>
      </c>
      <c r="J213" s="7" t="s">
        <v>274</v>
      </c>
      <c r="K213" s="7" t="str">
        <f>CONCATENATE(TableAopCalendar[[#This Row],[Month for Plan]]," ",TableAopCalendar[[#This Row],[Plan]])</f>
        <v>OCTOBER 22 PLANNED</v>
      </c>
    </row>
    <row r="214" spans="1:11" x14ac:dyDescent="0.3">
      <c r="A214" s="4">
        <f t="shared" si="9"/>
        <v>2</v>
      </c>
      <c r="B214" s="5">
        <v>44864</v>
      </c>
      <c r="C214" s="6" t="s">
        <v>114</v>
      </c>
      <c r="D214" s="6">
        <v>22</v>
      </c>
      <c r="E214" s="4">
        <f>DAY(TableAopCalendar[[#This Row],[Date]])</f>
        <v>30</v>
      </c>
      <c r="F214" s="4">
        <f>IF(TableAopCalendar[[#This Row],[Day]]&lt;8,1,IF(TableAopCalendar[[#This Row],[Day]]&lt;15,2,IF(TableAopCalendar[[#This Row],[Day]]&lt;22,3,IF(TableAopCalendar[[#This Row],[Day]]&lt;29,4,IF(TableAopCalendar[[#This Row],[Day]]&lt;32,5)))))</f>
        <v>5</v>
      </c>
      <c r="G214" s="4" t="str">
        <f t="shared" si="10"/>
        <v>Week 5</v>
      </c>
      <c r="H214" s="4" t="str">
        <f t="shared" si="11"/>
        <v>October 22 Week 5</v>
      </c>
      <c r="I214" s="4" t="str">
        <f>CONCATENATE(UPPER(TableAopCalendar[[#This Row],[Month]])," ",TableAopCalendar[[#This Row],[Year]])</f>
        <v>OCTOBER 22</v>
      </c>
      <c r="J214" s="7" t="s">
        <v>274</v>
      </c>
      <c r="K214" s="7" t="str">
        <f>CONCATENATE(TableAopCalendar[[#This Row],[Month for Plan]]," ",TableAopCalendar[[#This Row],[Plan]])</f>
        <v>OCTOBER 22 PLANNED</v>
      </c>
    </row>
    <row r="215" spans="1:11" x14ac:dyDescent="0.3">
      <c r="A215" s="4">
        <f t="shared" si="9"/>
        <v>3</v>
      </c>
      <c r="B215" s="5">
        <v>44865</v>
      </c>
      <c r="C215" s="6" t="s">
        <v>114</v>
      </c>
      <c r="D215" s="6">
        <v>22</v>
      </c>
      <c r="E215" s="4">
        <f>DAY(TableAopCalendar[[#This Row],[Date]])</f>
        <v>31</v>
      </c>
      <c r="F215" s="4">
        <f>IF(TableAopCalendar[[#This Row],[Day]]&lt;8,1,IF(TableAopCalendar[[#This Row],[Day]]&lt;15,2,IF(TableAopCalendar[[#This Row],[Day]]&lt;22,3,IF(TableAopCalendar[[#This Row],[Day]]&lt;29,4,IF(TableAopCalendar[[#This Row],[Day]]&lt;32,5)))))</f>
        <v>5</v>
      </c>
      <c r="G215" s="4" t="str">
        <f t="shared" si="10"/>
        <v>Week 5</v>
      </c>
      <c r="H215" s="4" t="str">
        <f t="shared" si="11"/>
        <v>October 22 Week 5</v>
      </c>
      <c r="I215" s="4" t="str">
        <f>CONCATENATE(UPPER(TableAopCalendar[[#This Row],[Month]])," ",TableAopCalendar[[#This Row],[Year]])</f>
        <v>OCTOBER 22</v>
      </c>
      <c r="J215" s="7" t="s">
        <v>274</v>
      </c>
      <c r="K215" s="7" t="str">
        <f>CONCATENATE(TableAopCalendar[[#This Row],[Month for Plan]]," ",TableAopCalendar[[#This Row],[Plan]])</f>
        <v>OCTOBER 22 PLANNED</v>
      </c>
    </row>
    <row r="216" spans="1:11" x14ac:dyDescent="0.3">
      <c r="A216" s="4">
        <f t="shared" si="9"/>
        <v>1</v>
      </c>
      <c r="B216" s="5">
        <v>44866</v>
      </c>
      <c r="C216" s="6" t="s">
        <v>117</v>
      </c>
      <c r="D216" s="6">
        <v>22</v>
      </c>
      <c r="E216" s="4">
        <f>DAY(TableAopCalendar[[#This Row],[Date]])</f>
        <v>1</v>
      </c>
      <c r="F216" s="4">
        <f>IF(TableAopCalendar[[#This Row],[Day]]&lt;8,1,IF(TableAopCalendar[[#This Row],[Day]]&lt;15,2,IF(TableAopCalendar[[#This Row],[Day]]&lt;22,3,IF(TableAopCalendar[[#This Row],[Day]]&lt;29,4,IF(TableAopCalendar[[#This Row],[Day]]&lt;32,5)))))</f>
        <v>1</v>
      </c>
      <c r="G216" s="4" t="str">
        <f t="shared" si="10"/>
        <v>Week 1</v>
      </c>
      <c r="H216" s="4" t="str">
        <f t="shared" si="11"/>
        <v>November 22 Week 1</v>
      </c>
      <c r="I216" s="4" t="str">
        <f>CONCATENATE(UPPER(TableAopCalendar[[#This Row],[Month]])," ",TableAopCalendar[[#This Row],[Year]])</f>
        <v>NOVEMBER 22</v>
      </c>
      <c r="J216" s="7" t="s">
        <v>274</v>
      </c>
      <c r="K216" s="7" t="str">
        <f>CONCATENATE(TableAopCalendar[[#This Row],[Month for Plan]]," ",TableAopCalendar[[#This Row],[Plan]])</f>
        <v>NOVEMBER 22 PLANNED</v>
      </c>
    </row>
    <row r="217" spans="1:11" x14ac:dyDescent="0.3">
      <c r="A217" s="4">
        <f t="shared" si="9"/>
        <v>2</v>
      </c>
      <c r="B217" s="5">
        <v>44867</v>
      </c>
      <c r="C217" s="6" t="s">
        <v>117</v>
      </c>
      <c r="D217" s="6">
        <v>22</v>
      </c>
      <c r="E217" s="4">
        <f>DAY(TableAopCalendar[[#This Row],[Date]])</f>
        <v>2</v>
      </c>
      <c r="F217" s="4">
        <f>IF(TableAopCalendar[[#This Row],[Day]]&lt;8,1,IF(TableAopCalendar[[#This Row],[Day]]&lt;15,2,IF(TableAopCalendar[[#This Row],[Day]]&lt;22,3,IF(TableAopCalendar[[#This Row],[Day]]&lt;29,4,IF(TableAopCalendar[[#This Row],[Day]]&lt;32,5)))))</f>
        <v>1</v>
      </c>
      <c r="G217" s="4" t="str">
        <f t="shared" si="10"/>
        <v>Week 1</v>
      </c>
      <c r="H217" s="4" t="str">
        <f t="shared" si="11"/>
        <v>November 22 Week 1</v>
      </c>
      <c r="I217" s="4" t="str">
        <f>CONCATENATE(UPPER(TableAopCalendar[[#This Row],[Month]])," ",TableAopCalendar[[#This Row],[Year]])</f>
        <v>NOVEMBER 22</v>
      </c>
      <c r="J217" s="7" t="s">
        <v>274</v>
      </c>
      <c r="K217" s="7" t="str">
        <f>CONCATENATE(TableAopCalendar[[#This Row],[Month for Plan]]," ",TableAopCalendar[[#This Row],[Plan]])</f>
        <v>NOVEMBER 22 PLANNED</v>
      </c>
    </row>
    <row r="218" spans="1:11" x14ac:dyDescent="0.3">
      <c r="A218" s="4">
        <f t="shared" si="9"/>
        <v>3</v>
      </c>
      <c r="B218" s="5">
        <v>44868</v>
      </c>
      <c r="C218" s="6" t="s">
        <v>117</v>
      </c>
      <c r="D218" s="6">
        <v>22</v>
      </c>
      <c r="E218" s="4">
        <f>DAY(TableAopCalendar[[#This Row],[Date]])</f>
        <v>3</v>
      </c>
      <c r="F218" s="4">
        <f>IF(TableAopCalendar[[#This Row],[Day]]&lt;8,1,IF(TableAopCalendar[[#This Row],[Day]]&lt;15,2,IF(TableAopCalendar[[#This Row],[Day]]&lt;22,3,IF(TableAopCalendar[[#This Row],[Day]]&lt;29,4,IF(TableAopCalendar[[#This Row],[Day]]&lt;32,5)))))</f>
        <v>1</v>
      </c>
      <c r="G218" s="4" t="str">
        <f t="shared" si="10"/>
        <v>Week 1</v>
      </c>
      <c r="H218" s="4" t="str">
        <f t="shared" si="11"/>
        <v>November 22 Week 1</v>
      </c>
      <c r="I218" s="4" t="str">
        <f>CONCATENATE(UPPER(TableAopCalendar[[#This Row],[Month]])," ",TableAopCalendar[[#This Row],[Year]])</f>
        <v>NOVEMBER 22</v>
      </c>
      <c r="J218" s="7" t="s">
        <v>274</v>
      </c>
      <c r="K218" s="7" t="str">
        <f>CONCATENATE(TableAopCalendar[[#This Row],[Month for Plan]]," ",TableAopCalendar[[#This Row],[Plan]])</f>
        <v>NOVEMBER 22 PLANNED</v>
      </c>
    </row>
    <row r="219" spans="1:11" x14ac:dyDescent="0.3">
      <c r="A219" s="4">
        <f t="shared" si="9"/>
        <v>4</v>
      </c>
      <c r="B219" s="5">
        <v>44869</v>
      </c>
      <c r="C219" s="6" t="s">
        <v>117</v>
      </c>
      <c r="D219" s="6">
        <v>22</v>
      </c>
      <c r="E219" s="4">
        <f>DAY(TableAopCalendar[[#This Row],[Date]])</f>
        <v>4</v>
      </c>
      <c r="F219" s="4">
        <f>IF(TableAopCalendar[[#This Row],[Day]]&lt;8,1,IF(TableAopCalendar[[#This Row],[Day]]&lt;15,2,IF(TableAopCalendar[[#This Row],[Day]]&lt;22,3,IF(TableAopCalendar[[#This Row],[Day]]&lt;29,4,IF(TableAopCalendar[[#This Row],[Day]]&lt;32,5)))))</f>
        <v>1</v>
      </c>
      <c r="G219" s="4" t="str">
        <f t="shared" si="10"/>
        <v>Week 1</v>
      </c>
      <c r="H219" s="4" t="str">
        <f t="shared" si="11"/>
        <v>November 22 Week 1</v>
      </c>
      <c r="I219" s="4" t="str">
        <f>CONCATENATE(UPPER(TableAopCalendar[[#This Row],[Month]])," ",TableAopCalendar[[#This Row],[Year]])</f>
        <v>NOVEMBER 22</v>
      </c>
      <c r="J219" s="7" t="s">
        <v>274</v>
      </c>
      <c r="K219" s="7" t="str">
        <f>CONCATENATE(TableAopCalendar[[#This Row],[Month for Plan]]," ",TableAopCalendar[[#This Row],[Plan]])</f>
        <v>NOVEMBER 22 PLANNED</v>
      </c>
    </row>
    <row r="220" spans="1:11" x14ac:dyDescent="0.3">
      <c r="A220" s="4">
        <f t="shared" si="9"/>
        <v>5</v>
      </c>
      <c r="B220" s="5">
        <v>44870</v>
      </c>
      <c r="C220" s="6" t="s">
        <v>117</v>
      </c>
      <c r="D220" s="6">
        <v>22</v>
      </c>
      <c r="E220" s="4">
        <f>DAY(TableAopCalendar[[#This Row],[Date]])</f>
        <v>5</v>
      </c>
      <c r="F220" s="4">
        <f>IF(TableAopCalendar[[#This Row],[Day]]&lt;8,1,IF(TableAopCalendar[[#This Row],[Day]]&lt;15,2,IF(TableAopCalendar[[#This Row],[Day]]&lt;22,3,IF(TableAopCalendar[[#This Row],[Day]]&lt;29,4,IF(TableAopCalendar[[#This Row],[Day]]&lt;32,5)))))</f>
        <v>1</v>
      </c>
      <c r="G220" s="4" t="str">
        <f t="shared" si="10"/>
        <v>Week 1</v>
      </c>
      <c r="H220" s="4" t="str">
        <f t="shared" si="11"/>
        <v>November 22 Week 1</v>
      </c>
      <c r="I220" s="4" t="str">
        <f>CONCATENATE(UPPER(TableAopCalendar[[#This Row],[Month]])," ",TableAopCalendar[[#This Row],[Year]])</f>
        <v>NOVEMBER 22</v>
      </c>
      <c r="J220" s="7" t="s">
        <v>274</v>
      </c>
      <c r="K220" s="7" t="str">
        <f>CONCATENATE(TableAopCalendar[[#This Row],[Month for Plan]]," ",TableAopCalendar[[#This Row],[Plan]])</f>
        <v>NOVEMBER 22 PLANNED</v>
      </c>
    </row>
    <row r="221" spans="1:11" x14ac:dyDescent="0.3">
      <c r="A221" s="4">
        <f t="shared" si="9"/>
        <v>6</v>
      </c>
      <c r="B221" s="5">
        <v>44871</v>
      </c>
      <c r="C221" s="6" t="s">
        <v>117</v>
      </c>
      <c r="D221" s="6">
        <v>22</v>
      </c>
      <c r="E221" s="4">
        <f>DAY(TableAopCalendar[[#This Row],[Date]])</f>
        <v>6</v>
      </c>
      <c r="F221" s="4">
        <f>IF(TableAopCalendar[[#This Row],[Day]]&lt;8,1,IF(TableAopCalendar[[#This Row],[Day]]&lt;15,2,IF(TableAopCalendar[[#This Row],[Day]]&lt;22,3,IF(TableAopCalendar[[#This Row],[Day]]&lt;29,4,IF(TableAopCalendar[[#This Row],[Day]]&lt;32,5)))))</f>
        <v>1</v>
      </c>
      <c r="G221" s="4" t="str">
        <f t="shared" si="10"/>
        <v>Week 1</v>
      </c>
      <c r="H221" s="4" t="str">
        <f t="shared" si="11"/>
        <v>November 22 Week 1</v>
      </c>
      <c r="I221" s="4" t="str">
        <f>CONCATENATE(UPPER(TableAopCalendar[[#This Row],[Month]])," ",TableAopCalendar[[#This Row],[Year]])</f>
        <v>NOVEMBER 22</v>
      </c>
      <c r="J221" s="7" t="s">
        <v>274</v>
      </c>
      <c r="K221" s="7" t="str">
        <f>CONCATENATE(TableAopCalendar[[#This Row],[Month for Plan]]," ",TableAopCalendar[[#This Row],[Plan]])</f>
        <v>NOVEMBER 22 PLANNED</v>
      </c>
    </row>
    <row r="222" spans="1:11" x14ac:dyDescent="0.3">
      <c r="A222" s="4">
        <f t="shared" si="9"/>
        <v>7</v>
      </c>
      <c r="B222" s="5">
        <v>44872</v>
      </c>
      <c r="C222" s="6" t="s">
        <v>117</v>
      </c>
      <c r="D222" s="6">
        <v>22</v>
      </c>
      <c r="E222" s="4">
        <f>DAY(TableAopCalendar[[#This Row],[Date]])</f>
        <v>7</v>
      </c>
      <c r="F222" s="4">
        <f>IF(TableAopCalendar[[#This Row],[Day]]&lt;8,1,IF(TableAopCalendar[[#This Row],[Day]]&lt;15,2,IF(TableAopCalendar[[#This Row],[Day]]&lt;22,3,IF(TableAopCalendar[[#This Row],[Day]]&lt;29,4,IF(TableAopCalendar[[#This Row],[Day]]&lt;32,5)))))</f>
        <v>1</v>
      </c>
      <c r="G222" s="4" t="str">
        <f t="shared" si="10"/>
        <v>Week 1</v>
      </c>
      <c r="H222" s="4" t="str">
        <f t="shared" si="11"/>
        <v>November 22 Week 1</v>
      </c>
      <c r="I222" s="4" t="str">
        <f>CONCATENATE(UPPER(TableAopCalendar[[#This Row],[Month]])," ",TableAopCalendar[[#This Row],[Year]])</f>
        <v>NOVEMBER 22</v>
      </c>
      <c r="J222" s="7" t="s">
        <v>274</v>
      </c>
      <c r="K222" s="7" t="str">
        <f>CONCATENATE(TableAopCalendar[[#This Row],[Month for Plan]]," ",TableAopCalendar[[#This Row],[Plan]])</f>
        <v>NOVEMBER 22 PLANNED</v>
      </c>
    </row>
    <row r="223" spans="1:11" x14ac:dyDescent="0.3">
      <c r="A223" s="4">
        <f t="shared" si="9"/>
        <v>1</v>
      </c>
      <c r="B223" s="5">
        <v>44873</v>
      </c>
      <c r="C223" s="6" t="s">
        <v>117</v>
      </c>
      <c r="D223" s="6">
        <v>22</v>
      </c>
      <c r="E223" s="4">
        <f>DAY(TableAopCalendar[[#This Row],[Date]])</f>
        <v>8</v>
      </c>
      <c r="F223" s="4">
        <f>IF(TableAopCalendar[[#This Row],[Day]]&lt;8,1,IF(TableAopCalendar[[#This Row],[Day]]&lt;15,2,IF(TableAopCalendar[[#This Row],[Day]]&lt;22,3,IF(TableAopCalendar[[#This Row],[Day]]&lt;29,4,IF(TableAopCalendar[[#This Row],[Day]]&lt;32,5)))))</f>
        <v>2</v>
      </c>
      <c r="G223" s="4" t="str">
        <f t="shared" si="10"/>
        <v>Week 2</v>
      </c>
      <c r="H223" s="4" t="str">
        <f t="shared" si="11"/>
        <v>November 22 Week 2</v>
      </c>
      <c r="I223" s="4" t="str">
        <f>CONCATENATE(UPPER(TableAopCalendar[[#This Row],[Month]])," ",TableAopCalendar[[#This Row],[Year]])</f>
        <v>NOVEMBER 22</v>
      </c>
      <c r="J223" s="7" t="s">
        <v>274</v>
      </c>
      <c r="K223" s="7" t="str">
        <f>CONCATENATE(TableAopCalendar[[#This Row],[Month for Plan]]," ",TableAopCalendar[[#This Row],[Plan]])</f>
        <v>NOVEMBER 22 PLANNED</v>
      </c>
    </row>
    <row r="224" spans="1:11" x14ac:dyDescent="0.3">
      <c r="A224" s="4">
        <f t="shared" si="9"/>
        <v>2</v>
      </c>
      <c r="B224" s="5">
        <v>44874</v>
      </c>
      <c r="C224" s="6" t="s">
        <v>117</v>
      </c>
      <c r="D224" s="6">
        <v>22</v>
      </c>
      <c r="E224" s="4">
        <f>DAY(TableAopCalendar[[#This Row],[Date]])</f>
        <v>9</v>
      </c>
      <c r="F224" s="4">
        <f>IF(TableAopCalendar[[#This Row],[Day]]&lt;8,1,IF(TableAopCalendar[[#This Row],[Day]]&lt;15,2,IF(TableAopCalendar[[#This Row],[Day]]&lt;22,3,IF(TableAopCalendar[[#This Row],[Day]]&lt;29,4,IF(TableAopCalendar[[#This Row],[Day]]&lt;32,5)))))</f>
        <v>2</v>
      </c>
      <c r="G224" s="4" t="str">
        <f t="shared" si="10"/>
        <v>Week 2</v>
      </c>
      <c r="H224" s="4" t="str">
        <f t="shared" si="11"/>
        <v>November 22 Week 2</v>
      </c>
      <c r="I224" s="4" t="str">
        <f>CONCATENATE(UPPER(TableAopCalendar[[#This Row],[Month]])," ",TableAopCalendar[[#This Row],[Year]])</f>
        <v>NOVEMBER 22</v>
      </c>
      <c r="J224" s="7" t="s">
        <v>274</v>
      </c>
      <c r="K224" s="7" t="str">
        <f>CONCATENATE(TableAopCalendar[[#This Row],[Month for Plan]]," ",TableAopCalendar[[#This Row],[Plan]])</f>
        <v>NOVEMBER 22 PLANNED</v>
      </c>
    </row>
    <row r="225" spans="1:11" x14ac:dyDescent="0.3">
      <c r="A225" s="4">
        <f t="shared" si="9"/>
        <v>3</v>
      </c>
      <c r="B225" s="5">
        <v>44875</v>
      </c>
      <c r="C225" s="6" t="s">
        <v>117</v>
      </c>
      <c r="D225" s="6">
        <v>22</v>
      </c>
      <c r="E225" s="4">
        <f>DAY(TableAopCalendar[[#This Row],[Date]])</f>
        <v>10</v>
      </c>
      <c r="F225" s="4">
        <f>IF(TableAopCalendar[[#This Row],[Day]]&lt;8,1,IF(TableAopCalendar[[#This Row],[Day]]&lt;15,2,IF(TableAopCalendar[[#This Row],[Day]]&lt;22,3,IF(TableAopCalendar[[#This Row],[Day]]&lt;29,4,IF(TableAopCalendar[[#This Row],[Day]]&lt;32,5)))))</f>
        <v>2</v>
      </c>
      <c r="G225" s="4" t="str">
        <f t="shared" si="10"/>
        <v>Week 2</v>
      </c>
      <c r="H225" s="4" t="str">
        <f t="shared" si="11"/>
        <v>November 22 Week 2</v>
      </c>
      <c r="I225" s="4" t="str">
        <f>CONCATENATE(UPPER(TableAopCalendar[[#This Row],[Month]])," ",TableAopCalendar[[#This Row],[Year]])</f>
        <v>NOVEMBER 22</v>
      </c>
      <c r="J225" s="7" t="s">
        <v>274</v>
      </c>
      <c r="K225" s="7" t="str">
        <f>CONCATENATE(TableAopCalendar[[#This Row],[Month for Plan]]," ",TableAopCalendar[[#This Row],[Plan]])</f>
        <v>NOVEMBER 22 PLANNED</v>
      </c>
    </row>
    <row r="226" spans="1:11" x14ac:dyDescent="0.3">
      <c r="A226" s="4">
        <f t="shared" si="9"/>
        <v>4</v>
      </c>
      <c r="B226" s="5">
        <v>44876</v>
      </c>
      <c r="C226" s="6" t="s">
        <v>117</v>
      </c>
      <c r="D226" s="6">
        <v>22</v>
      </c>
      <c r="E226" s="4">
        <f>DAY(TableAopCalendar[[#This Row],[Date]])</f>
        <v>11</v>
      </c>
      <c r="F226" s="4">
        <f>IF(TableAopCalendar[[#This Row],[Day]]&lt;8,1,IF(TableAopCalendar[[#This Row],[Day]]&lt;15,2,IF(TableAopCalendar[[#This Row],[Day]]&lt;22,3,IF(TableAopCalendar[[#This Row],[Day]]&lt;29,4,IF(TableAopCalendar[[#This Row],[Day]]&lt;32,5)))))</f>
        <v>2</v>
      </c>
      <c r="G226" s="4" t="str">
        <f t="shared" si="10"/>
        <v>Week 2</v>
      </c>
      <c r="H226" s="4" t="str">
        <f t="shared" si="11"/>
        <v>November 22 Week 2</v>
      </c>
      <c r="I226" s="4" t="str">
        <f>CONCATENATE(UPPER(TableAopCalendar[[#This Row],[Month]])," ",TableAopCalendar[[#This Row],[Year]])</f>
        <v>NOVEMBER 22</v>
      </c>
      <c r="J226" s="7" t="s">
        <v>274</v>
      </c>
      <c r="K226" s="7" t="str">
        <f>CONCATENATE(TableAopCalendar[[#This Row],[Month for Plan]]," ",TableAopCalendar[[#This Row],[Plan]])</f>
        <v>NOVEMBER 22 PLANNED</v>
      </c>
    </row>
    <row r="227" spans="1:11" x14ac:dyDescent="0.3">
      <c r="A227" s="4">
        <f t="shared" si="9"/>
        <v>5</v>
      </c>
      <c r="B227" s="5">
        <v>44877</v>
      </c>
      <c r="C227" s="6" t="s">
        <v>117</v>
      </c>
      <c r="D227" s="6">
        <v>22</v>
      </c>
      <c r="E227" s="4">
        <f>DAY(TableAopCalendar[[#This Row],[Date]])</f>
        <v>12</v>
      </c>
      <c r="F227" s="4">
        <f>IF(TableAopCalendar[[#This Row],[Day]]&lt;8,1,IF(TableAopCalendar[[#This Row],[Day]]&lt;15,2,IF(TableAopCalendar[[#This Row],[Day]]&lt;22,3,IF(TableAopCalendar[[#This Row],[Day]]&lt;29,4,IF(TableAopCalendar[[#This Row],[Day]]&lt;32,5)))))</f>
        <v>2</v>
      </c>
      <c r="G227" s="4" t="str">
        <f t="shared" si="10"/>
        <v>Week 2</v>
      </c>
      <c r="H227" s="4" t="str">
        <f t="shared" si="11"/>
        <v>November 22 Week 2</v>
      </c>
      <c r="I227" s="4" t="str">
        <f>CONCATENATE(UPPER(TableAopCalendar[[#This Row],[Month]])," ",TableAopCalendar[[#This Row],[Year]])</f>
        <v>NOVEMBER 22</v>
      </c>
      <c r="J227" s="7" t="s">
        <v>274</v>
      </c>
      <c r="K227" s="7" t="str">
        <f>CONCATENATE(TableAopCalendar[[#This Row],[Month for Plan]]," ",TableAopCalendar[[#This Row],[Plan]])</f>
        <v>NOVEMBER 22 PLANNED</v>
      </c>
    </row>
    <row r="228" spans="1:11" x14ac:dyDescent="0.3">
      <c r="A228" s="4">
        <f t="shared" si="9"/>
        <v>6</v>
      </c>
      <c r="B228" s="5">
        <v>44878</v>
      </c>
      <c r="C228" s="6" t="s">
        <v>117</v>
      </c>
      <c r="D228" s="6">
        <v>22</v>
      </c>
      <c r="E228" s="4">
        <f>DAY(TableAopCalendar[[#This Row],[Date]])</f>
        <v>13</v>
      </c>
      <c r="F228" s="4">
        <f>IF(TableAopCalendar[[#This Row],[Day]]&lt;8,1,IF(TableAopCalendar[[#This Row],[Day]]&lt;15,2,IF(TableAopCalendar[[#This Row],[Day]]&lt;22,3,IF(TableAopCalendar[[#This Row],[Day]]&lt;29,4,IF(TableAopCalendar[[#This Row],[Day]]&lt;32,5)))))</f>
        <v>2</v>
      </c>
      <c r="G228" s="4" t="str">
        <f t="shared" si="10"/>
        <v>Week 2</v>
      </c>
      <c r="H228" s="4" t="str">
        <f t="shared" si="11"/>
        <v>November 22 Week 2</v>
      </c>
      <c r="I228" s="4" t="str">
        <f>CONCATENATE(UPPER(TableAopCalendar[[#This Row],[Month]])," ",TableAopCalendar[[#This Row],[Year]])</f>
        <v>NOVEMBER 22</v>
      </c>
      <c r="J228" s="7" t="s">
        <v>274</v>
      </c>
      <c r="K228" s="7" t="str">
        <f>CONCATENATE(TableAopCalendar[[#This Row],[Month for Plan]]," ",TableAopCalendar[[#This Row],[Plan]])</f>
        <v>NOVEMBER 22 PLANNED</v>
      </c>
    </row>
    <row r="229" spans="1:11" x14ac:dyDescent="0.3">
      <c r="A229" s="4">
        <f t="shared" si="9"/>
        <v>7</v>
      </c>
      <c r="B229" s="5">
        <v>44879</v>
      </c>
      <c r="C229" s="6" t="s">
        <v>117</v>
      </c>
      <c r="D229" s="6">
        <v>22</v>
      </c>
      <c r="E229" s="4">
        <f>DAY(TableAopCalendar[[#This Row],[Date]])</f>
        <v>14</v>
      </c>
      <c r="F229" s="4">
        <f>IF(TableAopCalendar[[#This Row],[Day]]&lt;8,1,IF(TableAopCalendar[[#This Row],[Day]]&lt;15,2,IF(TableAopCalendar[[#This Row],[Day]]&lt;22,3,IF(TableAopCalendar[[#This Row],[Day]]&lt;29,4,IF(TableAopCalendar[[#This Row],[Day]]&lt;32,5)))))</f>
        <v>2</v>
      </c>
      <c r="G229" s="4" t="str">
        <f t="shared" si="10"/>
        <v>Week 2</v>
      </c>
      <c r="H229" s="4" t="str">
        <f t="shared" si="11"/>
        <v>November 22 Week 2</v>
      </c>
      <c r="I229" s="4" t="str">
        <f>CONCATENATE(UPPER(TableAopCalendar[[#This Row],[Month]])," ",TableAopCalendar[[#This Row],[Year]])</f>
        <v>NOVEMBER 22</v>
      </c>
      <c r="J229" s="7" t="s">
        <v>274</v>
      </c>
      <c r="K229" s="7" t="str">
        <f>CONCATENATE(TableAopCalendar[[#This Row],[Month for Plan]]," ",TableAopCalendar[[#This Row],[Plan]])</f>
        <v>NOVEMBER 22 PLANNED</v>
      </c>
    </row>
    <row r="230" spans="1:11" x14ac:dyDescent="0.3">
      <c r="A230" s="4">
        <f t="shared" si="9"/>
        <v>1</v>
      </c>
      <c r="B230" s="5">
        <v>44880</v>
      </c>
      <c r="C230" s="6" t="s">
        <v>117</v>
      </c>
      <c r="D230" s="6">
        <v>22</v>
      </c>
      <c r="E230" s="4">
        <f>DAY(TableAopCalendar[[#This Row],[Date]])</f>
        <v>15</v>
      </c>
      <c r="F230" s="4">
        <f>IF(TableAopCalendar[[#This Row],[Day]]&lt;8,1,IF(TableAopCalendar[[#This Row],[Day]]&lt;15,2,IF(TableAopCalendar[[#This Row],[Day]]&lt;22,3,IF(TableAopCalendar[[#This Row],[Day]]&lt;29,4,IF(TableAopCalendar[[#This Row],[Day]]&lt;32,5)))))</f>
        <v>3</v>
      </c>
      <c r="G230" s="4" t="str">
        <f t="shared" si="10"/>
        <v>Week 3</v>
      </c>
      <c r="H230" s="4" t="str">
        <f t="shared" si="11"/>
        <v>November 22 Week 3</v>
      </c>
      <c r="I230" s="4" t="str">
        <f>CONCATENATE(UPPER(TableAopCalendar[[#This Row],[Month]])," ",TableAopCalendar[[#This Row],[Year]])</f>
        <v>NOVEMBER 22</v>
      </c>
      <c r="J230" s="7" t="s">
        <v>274</v>
      </c>
      <c r="K230" s="7" t="str">
        <f>CONCATENATE(TableAopCalendar[[#This Row],[Month for Plan]]," ",TableAopCalendar[[#This Row],[Plan]])</f>
        <v>NOVEMBER 22 PLANNED</v>
      </c>
    </row>
    <row r="231" spans="1:11" x14ac:dyDescent="0.3">
      <c r="A231" s="4">
        <f t="shared" si="9"/>
        <v>2</v>
      </c>
      <c r="B231" s="5">
        <v>44881</v>
      </c>
      <c r="C231" s="6" t="s">
        <v>117</v>
      </c>
      <c r="D231" s="6">
        <v>22</v>
      </c>
      <c r="E231" s="4">
        <f>DAY(TableAopCalendar[[#This Row],[Date]])</f>
        <v>16</v>
      </c>
      <c r="F231" s="4">
        <f>IF(TableAopCalendar[[#This Row],[Day]]&lt;8,1,IF(TableAopCalendar[[#This Row],[Day]]&lt;15,2,IF(TableAopCalendar[[#This Row],[Day]]&lt;22,3,IF(TableAopCalendar[[#This Row],[Day]]&lt;29,4,IF(TableAopCalendar[[#This Row],[Day]]&lt;32,5)))))</f>
        <v>3</v>
      </c>
      <c r="G231" s="4" t="str">
        <f t="shared" si="10"/>
        <v>Week 3</v>
      </c>
      <c r="H231" s="4" t="str">
        <f t="shared" si="11"/>
        <v>November 22 Week 3</v>
      </c>
      <c r="I231" s="4" t="str">
        <f>CONCATENATE(UPPER(TableAopCalendar[[#This Row],[Month]])," ",TableAopCalendar[[#This Row],[Year]])</f>
        <v>NOVEMBER 22</v>
      </c>
      <c r="J231" s="7" t="s">
        <v>274</v>
      </c>
      <c r="K231" s="7" t="str">
        <f>CONCATENATE(TableAopCalendar[[#This Row],[Month for Plan]]," ",TableAopCalendar[[#This Row],[Plan]])</f>
        <v>NOVEMBER 22 PLANNED</v>
      </c>
    </row>
    <row r="232" spans="1:11" x14ac:dyDescent="0.3">
      <c r="A232" s="4">
        <f t="shared" si="9"/>
        <v>3</v>
      </c>
      <c r="B232" s="5">
        <v>44882</v>
      </c>
      <c r="C232" s="6" t="s">
        <v>117</v>
      </c>
      <c r="D232" s="6">
        <v>22</v>
      </c>
      <c r="E232" s="4">
        <f>DAY(TableAopCalendar[[#This Row],[Date]])</f>
        <v>17</v>
      </c>
      <c r="F232" s="4">
        <f>IF(TableAopCalendar[[#This Row],[Day]]&lt;8,1,IF(TableAopCalendar[[#This Row],[Day]]&lt;15,2,IF(TableAopCalendar[[#This Row],[Day]]&lt;22,3,IF(TableAopCalendar[[#This Row],[Day]]&lt;29,4,IF(TableAopCalendar[[#This Row],[Day]]&lt;32,5)))))</f>
        <v>3</v>
      </c>
      <c r="G232" s="4" t="str">
        <f t="shared" si="10"/>
        <v>Week 3</v>
      </c>
      <c r="H232" s="4" t="str">
        <f t="shared" si="11"/>
        <v>November 22 Week 3</v>
      </c>
      <c r="I232" s="4" t="str">
        <f>CONCATENATE(UPPER(TableAopCalendar[[#This Row],[Month]])," ",TableAopCalendar[[#This Row],[Year]])</f>
        <v>NOVEMBER 22</v>
      </c>
      <c r="J232" s="7" t="s">
        <v>274</v>
      </c>
      <c r="K232" s="7" t="str">
        <f>CONCATENATE(TableAopCalendar[[#This Row],[Month for Plan]]," ",TableAopCalendar[[#This Row],[Plan]])</f>
        <v>NOVEMBER 22 PLANNED</v>
      </c>
    </row>
    <row r="233" spans="1:11" x14ac:dyDescent="0.3">
      <c r="A233" s="4">
        <f t="shared" si="9"/>
        <v>4</v>
      </c>
      <c r="B233" s="5">
        <v>44883</v>
      </c>
      <c r="C233" s="6" t="s">
        <v>117</v>
      </c>
      <c r="D233" s="6">
        <v>22</v>
      </c>
      <c r="E233" s="4">
        <f>DAY(TableAopCalendar[[#This Row],[Date]])</f>
        <v>18</v>
      </c>
      <c r="F233" s="4">
        <f>IF(TableAopCalendar[[#This Row],[Day]]&lt;8,1,IF(TableAopCalendar[[#This Row],[Day]]&lt;15,2,IF(TableAopCalendar[[#This Row],[Day]]&lt;22,3,IF(TableAopCalendar[[#This Row],[Day]]&lt;29,4,IF(TableAopCalendar[[#This Row],[Day]]&lt;32,5)))))</f>
        <v>3</v>
      </c>
      <c r="G233" s="4" t="str">
        <f t="shared" si="10"/>
        <v>Week 3</v>
      </c>
      <c r="H233" s="4" t="str">
        <f t="shared" si="11"/>
        <v>November 22 Week 3</v>
      </c>
      <c r="I233" s="4" t="str">
        <f>CONCATENATE(UPPER(TableAopCalendar[[#This Row],[Month]])," ",TableAopCalendar[[#This Row],[Year]])</f>
        <v>NOVEMBER 22</v>
      </c>
      <c r="J233" s="7" t="s">
        <v>274</v>
      </c>
      <c r="K233" s="7" t="str">
        <f>CONCATENATE(TableAopCalendar[[#This Row],[Month for Plan]]," ",TableAopCalendar[[#This Row],[Plan]])</f>
        <v>NOVEMBER 22 PLANNED</v>
      </c>
    </row>
    <row r="234" spans="1:11" x14ac:dyDescent="0.3">
      <c r="A234" s="4">
        <f t="shared" si="9"/>
        <v>5</v>
      </c>
      <c r="B234" s="5">
        <v>44884</v>
      </c>
      <c r="C234" s="6" t="s">
        <v>117</v>
      </c>
      <c r="D234" s="6">
        <v>22</v>
      </c>
      <c r="E234" s="4">
        <f>DAY(TableAopCalendar[[#This Row],[Date]])</f>
        <v>19</v>
      </c>
      <c r="F234" s="4">
        <f>IF(TableAopCalendar[[#This Row],[Day]]&lt;8,1,IF(TableAopCalendar[[#This Row],[Day]]&lt;15,2,IF(TableAopCalendar[[#This Row],[Day]]&lt;22,3,IF(TableAopCalendar[[#This Row],[Day]]&lt;29,4,IF(TableAopCalendar[[#This Row],[Day]]&lt;32,5)))))</f>
        <v>3</v>
      </c>
      <c r="G234" s="4" t="str">
        <f t="shared" si="10"/>
        <v>Week 3</v>
      </c>
      <c r="H234" s="4" t="str">
        <f t="shared" si="11"/>
        <v>November 22 Week 3</v>
      </c>
      <c r="I234" s="4" t="str">
        <f>CONCATENATE(UPPER(TableAopCalendar[[#This Row],[Month]])," ",TableAopCalendar[[#This Row],[Year]])</f>
        <v>NOVEMBER 22</v>
      </c>
      <c r="J234" s="7" t="s">
        <v>274</v>
      </c>
      <c r="K234" s="7" t="str">
        <f>CONCATENATE(TableAopCalendar[[#This Row],[Month for Plan]]," ",TableAopCalendar[[#This Row],[Plan]])</f>
        <v>NOVEMBER 22 PLANNED</v>
      </c>
    </row>
    <row r="235" spans="1:11" x14ac:dyDescent="0.3">
      <c r="A235" s="4">
        <f t="shared" si="9"/>
        <v>6</v>
      </c>
      <c r="B235" s="5">
        <v>44885</v>
      </c>
      <c r="C235" s="6" t="s">
        <v>117</v>
      </c>
      <c r="D235" s="6">
        <v>22</v>
      </c>
      <c r="E235" s="4">
        <f>DAY(TableAopCalendar[[#This Row],[Date]])</f>
        <v>20</v>
      </c>
      <c r="F235" s="4">
        <f>IF(TableAopCalendar[[#This Row],[Day]]&lt;8,1,IF(TableAopCalendar[[#This Row],[Day]]&lt;15,2,IF(TableAopCalendar[[#This Row],[Day]]&lt;22,3,IF(TableAopCalendar[[#This Row],[Day]]&lt;29,4,IF(TableAopCalendar[[#This Row],[Day]]&lt;32,5)))))</f>
        <v>3</v>
      </c>
      <c r="G235" s="4" t="str">
        <f t="shared" si="10"/>
        <v>Week 3</v>
      </c>
      <c r="H235" s="4" t="str">
        <f t="shared" si="11"/>
        <v>November 22 Week 3</v>
      </c>
      <c r="I235" s="4" t="str">
        <f>CONCATENATE(UPPER(TableAopCalendar[[#This Row],[Month]])," ",TableAopCalendar[[#This Row],[Year]])</f>
        <v>NOVEMBER 22</v>
      </c>
      <c r="J235" s="7" t="s">
        <v>274</v>
      </c>
      <c r="K235" s="7" t="str">
        <f>CONCATENATE(TableAopCalendar[[#This Row],[Month for Plan]]," ",TableAopCalendar[[#This Row],[Plan]])</f>
        <v>NOVEMBER 22 PLANNED</v>
      </c>
    </row>
    <row r="236" spans="1:11" x14ac:dyDescent="0.3">
      <c r="A236" s="4">
        <f t="shared" si="9"/>
        <v>7</v>
      </c>
      <c r="B236" s="5">
        <v>44886</v>
      </c>
      <c r="C236" s="6" t="s">
        <v>117</v>
      </c>
      <c r="D236" s="6">
        <v>22</v>
      </c>
      <c r="E236" s="4">
        <f>DAY(TableAopCalendar[[#This Row],[Date]])</f>
        <v>21</v>
      </c>
      <c r="F236" s="4">
        <f>IF(TableAopCalendar[[#This Row],[Day]]&lt;8,1,IF(TableAopCalendar[[#This Row],[Day]]&lt;15,2,IF(TableAopCalendar[[#This Row],[Day]]&lt;22,3,IF(TableAopCalendar[[#This Row],[Day]]&lt;29,4,IF(TableAopCalendar[[#This Row],[Day]]&lt;32,5)))))</f>
        <v>3</v>
      </c>
      <c r="G236" s="4" t="str">
        <f t="shared" si="10"/>
        <v>Week 3</v>
      </c>
      <c r="H236" s="4" t="str">
        <f t="shared" si="11"/>
        <v>November 22 Week 3</v>
      </c>
      <c r="I236" s="4" t="str">
        <f>CONCATENATE(UPPER(TableAopCalendar[[#This Row],[Month]])," ",TableAopCalendar[[#This Row],[Year]])</f>
        <v>NOVEMBER 22</v>
      </c>
      <c r="J236" s="7" t="s">
        <v>274</v>
      </c>
      <c r="K236" s="7" t="str">
        <f>CONCATENATE(TableAopCalendar[[#This Row],[Month for Plan]]," ",TableAopCalendar[[#This Row],[Plan]])</f>
        <v>NOVEMBER 22 PLANNED</v>
      </c>
    </row>
    <row r="237" spans="1:11" x14ac:dyDescent="0.3">
      <c r="A237" s="4">
        <f t="shared" si="9"/>
        <v>1</v>
      </c>
      <c r="B237" s="5">
        <v>44887</v>
      </c>
      <c r="C237" s="6" t="s">
        <v>117</v>
      </c>
      <c r="D237" s="6">
        <v>22</v>
      </c>
      <c r="E237" s="4">
        <f>DAY(TableAopCalendar[[#This Row],[Date]])</f>
        <v>22</v>
      </c>
      <c r="F237" s="4">
        <f>IF(TableAopCalendar[[#This Row],[Day]]&lt;8,1,IF(TableAopCalendar[[#This Row],[Day]]&lt;15,2,IF(TableAopCalendar[[#This Row],[Day]]&lt;22,3,IF(TableAopCalendar[[#This Row],[Day]]&lt;29,4,IF(TableAopCalendar[[#This Row],[Day]]&lt;32,5)))))</f>
        <v>4</v>
      </c>
      <c r="G237" s="4" t="str">
        <f t="shared" si="10"/>
        <v>Week 4</v>
      </c>
      <c r="H237" s="4" t="str">
        <f t="shared" si="11"/>
        <v>November 22 Week 4</v>
      </c>
      <c r="I237" s="4" t="str">
        <f>CONCATENATE(UPPER(TableAopCalendar[[#This Row],[Month]])," ",TableAopCalendar[[#This Row],[Year]])</f>
        <v>NOVEMBER 22</v>
      </c>
      <c r="J237" s="7" t="s">
        <v>274</v>
      </c>
      <c r="K237" s="7" t="str">
        <f>CONCATENATE(TableAopCalendar[[#This Row],[Month for Plan]]," ",TableAopCalendar[[#This Row],[Plan]])</f>
        <v>NOVEMBER 22 PLANNED</v>
      </c>
    </row>
    <row r="238" spans="1:11" x14ac:dyDescent="0.3">
      <c r="A238" s="4">
        <f t="shared" si="9"/>
        <v>2</v>
      </c>
      <c r="B238" s="5">
        <v>44888</v>
      </c>
      <c r="C238" s="6" t="s">
        <v>117</v>
      </c>
      <c r="D238" s="6">
        <v>22</v>
      </c>
      <c r="E238" s="4">
        <f>DAY(TableAopCalendar[[#This Row],[Date]])</f>
        <v>23</v>
      </c>
      <c r="F238" s="4">
        <f>IF(TableAopCalendar[[#This Row],[Day]]&lt;8,1,IF(TableAopCalendar[[#This Row],[Day]]&lt;15,2,IF(TableAopCalendar[[#This Row],[Day]]&lt;22,3,IF(TableAopCalendar[[#This Row],[Day]]&lt;29,4,IF(TableAopCalendar[[#This Row],[Day]]&lt;32,5)))))</f>
        <v>4</v>
      </c>
      <c r="G238" s="4" t="str">
        <f t="shared" si="10"/>
        <v>Week 4</v>
      </c>
      <c r="H238" s="4" t="str">
        <f t="shared" si="11"/>
        <v>November 22 Week 4</v>
      </c>
      <c r="I238" s="4" t="str">
        <f>CONCATENATE(UPPER(TableAopCalendar[[#This Row],[Month]])," ",TableAopCalendar[[#This Row],[Year]])</f>
        <v>NOVEMBER 22</v>
      </c>
      <c r="J238" s="7" t="s">
        <v>274</v>
      </c>
      <c r="K238" s="7" t="str">
        <f>CONCATENATE(TableAopCalendar[[#This Row],[Month for Plan]]," ",TableAopCalendar[[#This Row],[Plan]])</f>
        <v>NOVEMBER 22 PLANNED</v>
      </c>
    </row>
    <row r="239" spans="1:11" x14ac:dyDescent="0.3">
      <c r="A239" s="4">
        <f t="shared" si="9"/>
        <v>3</v>
      </c>
      <c r="B239" s="5">
        <v>44889</v>
      </c>
      <c r="C239" s="6" t="s">
        <v>117</v>
      </c>
      <c r="D239" s="6">
        <v>22</v>
      </c>
      <c r="E239" s="4">
        <f>DAY(TableAopCalendar[[#This Row],[Date]])</f>
        <v>24</v>
      </c>
      <c r="F239" s="4">
        <f>IF(TableAopCalendar[[#This Row],[Day]]&lt;8,1,IF(TableAopCalendar[[#This Row],[Day]]&lt;15,2,IF(TableAopCalendar[[#This Row],[Day]]&lt;22,3,IF(TableAopCalendar[[#This Row],[Day]]&lt;29,4,IF(TableAopCalendar[[#This Row],[Day]]&lt;32,5)))))</f>
        <v>4</v>
      </c>
      <c r="G239" s="4" t="str">
        <f t="shared" si="10"/>
        <v>Week 4</v>
      </c>
      <c r="H239" s="4" t="str">
        <f t="shared" si="11"/>
        <v>November 22 Week 4</v>
      </c>
      <c r="I239" s="4" t="str">
        <f>CONCATENATE(UPPER(TableAopCalendar[[#This Row],[Month]])," ",TableAopCalendar[[#This Row],[Year]])</f>
        <v>NOVEMBER 22</v>
      </c>
      <c r="J239" s="7" t="s">
        <v>274</v>
      </c>
      <c r="K239" s="7" t="str">
        <f>CONCATENATE(TableAopCalendar[[#This Row],[Month for Plan]]," ",TableAopCalendar[[#This Row],[Plan]])</f>
        <v>NOVEMBER 22 PLANNED</v>
      </c>
    </row>
    <row r="240" spans="1:11" x14ac:dyDescent="0.3">
      <c r="A240" s="4">
        <f t="shared" si="9"/>
        <v>4</v>
      </c>
      <c r="B240" s="5">
        <v>44890</v>
      </c>
      <c r="C240" s="6" t="s">
        <v>117</v>
      </c>
      <c r="D240" s="6">
        <v>22</v>
      </c>
      <c r="E240" s="4">
        <f>DAY(TableAopCalendar[[#This Row],[Date]])</f>
        <v>25</v>
      </c>
      <c r="F240" s="4">
        <f>IF(TableAopCalendar[[#This Row],[Day]]&lt;8,1,IF(TableAopCalendar[[#This Row],[Day]]&lt;15,2,IF(TableAopCalendar[[#This Row],[Day]]&lt;22,3,IF(TableAopCalendar[[#This Row],[Day]]&lt;29,4,IF(TableAopCalendar[[#This Row],[Day]]&lt;32,5)))))</f>
        <v>4</v>
      </c>
      <c r="G240" s="4" t="str">
        <f t="shared" si="10"/>
        <v>Week 4</v>
      </c>
      <c r="H240" s="4" t="str">
        <f t="shared" si="11"/>
        <v>November 22 Week 4</v>
      </c>
      <c r="I240" s="4" t="str">
        <f>CONCATENATE(UPPER(TableAopCalendar[[#This Row],[Month]])," ",TableAopCalendar[[#This Row],[Year]])</f>
        <v>NOVEMBER 22</v>
      </c>
      <c r="J240" s="7" t="s">
        <v>274</v>
      </c>
      <c r="K240" s="7" t="str">
        <f>CONCATENATE(TableAopCalendar[[#This Row],[Month for Plan]]," ",TableAopCalendar[[#This Row],[Plan]])</f>
        <v>NOVEMBER 22 PLANNED</v>
      </c>
    </row>
    <row r="241" spans="1:11" x14ac:dyDescent="0.3">
      <c r="A241" s="4">
        <f t="shared" si="9"/>
        <v>5</v>
      </c>
      <c r="B241" s="5">
        <v>44891</v>
      </c>
      <c r="C241" s="6" t="s">
        <v>117</v>
      </c>
      <c r="D241" s="6">
        <v>22</v>
      </c>
      <c r="E241" s="4">
        <f>DAY(TableAopCalendar[[#This Row],[Date]])</f>
        <v>26</v>
      </c>
      <c r="F241" s="4">
        <f>IF(TableAopCalendar[[#This Row],[Day]]&lt;8,1,IF(TableAopCalendar[[#This Row],[Day]]&lt;15,2,IF(TableAopCalendar[[#This Row],[Day]]&lt;22,3,IF(TableAopCalendar[[#This Row],[Day]]&lt;29,4,IF(TableAopCalendar[[#This Row],[Day]]&lt;32,5)))))</f>
        <v>4</v>
      </c>
      <c r="G241" s="4" t="str">
        <f t="shared" si="10"/>
        <v>Week 4</v>
      </c>
      <c r="H241" s="4" t="str">
        <f t="shared" si="11"/>
        <v>November 22 Week 4</v>
      </c>
      <c r="I241" s="4" t="str">
        <f>CONCATENATE(UPPER(TableAopCalendar[[#This Row],[Month]])," ",TableAopCalendar[[#This Row],[Year]])</f>
        <v>NOVEMBER 22</v>
      </c>
      <c r="J241" s="7" t="s">
        <v>274</v>
      </c>
      <c r="K241" s="7" t="str">
        <f>CONCATENATE(TableAopCalendar[[#This Row],[Month for Plan]]," ",TableAopCalendar[[#This Row],[Plan]])</f>
        <v>NOVEMBER 22 PLANNED</v>
      </c>
    </row>
    <row r="242" spans="1:11" x14ac:dyDescent="0.3">
      <c r="A242" s="4">
        <f t="shared" si="9"/>
        <v>6</v>
      </c>
      <c r="B242" s="5">
        <v>44892</v>
      </c>
      <c r="C242" s="6" t="s">
        <v>117</v>
      </c>
      <c r="D242" s="6">
        <v>22</v>
      </c>
      <c r="E242" s="4">
        <f>DAY(TableAopCalendar[[#This Row],[Date]])</f>
        <v>27</v>
      </c>
      <c r="F242" s="4">
        <f>IF(TableAopCalendar[[#This Row],[Day]]&lt;8,1,IF(TableAopCalendar[[#This Row],[Day]]&lt;15,2,IF(TableAopCalendar[[#This Row],[Day]]&lt;22,3,IF(TableAopCalendar[[#This Row],[Day]]&lt;29,4,IF(TableAopCalendar[[#This Row],[Day]]&lt;32,5)))))</f>
        <v>4</v>
      </c>
      <c r="G242" s="4" t="str">
        <f t="shared" si="10"/>
        <v>Week 4</v>
      </c>
      <c r="H242" s="4" t="str">
        <f t="shared" si="11"/>
        <v>November 22 Week 4</v>
      </c>
      <c r="I242" s="4" t="str">
        <f>CONCATENATE(UPPER(TableAopCalendar[[#This Row],[Month]])," ",TableAopCalendar[[#This Row],[Year]])</f>
        <v>NOVEMBER 22</v>
      </c>
      <c r="J242" s="7" t="s">
        <v>274</v>
      </c>
      <c r="K242" s="7" t="str">
        <f>CONCATENATE(TableAopCalendar[[#This Row],[Month for Plan]]," ",TableAopCalendar[[#This Row],[Plan]])</f>
        <v>NOVEMBER 22 PLANNED</v>
      </c>
    </row>
    <row r="243" spans="1:11" x14ac:dyDescent="0.3">
      <c r="A243" s="4">
        <f t="shared" si="9"/>
        <v>7</v>
      </c>
      <c r="B243" s="5">
        <v>44893</v>
      </c>
      <c r="C243" s="6" t="s">
        <v>117</v>
      </c>
      <c r="D243" s="6">
        <v>22</v>
      </c>
      <c r="E243" s="4">
        <f>DAY(TableAopCalendar[[#This Row],[Date]])</f>
        <v>28</v>
      </c>
      <c r="F243" s="4">
        <f>IF(TableAopCalendar[[#This Row],[Day]]&lt;8,1,IF(TableAopCalendar[[#This Row],[Day]]&lt;15,2,IF(TableAopCalendar[[#This Row],[Day]]&lt;22,3,IF(TableAopCalendar[[#This Row],[Day]]&lt;29,4,IF(TableAopCalendar[[#This Row],[Day]]&lt;32,5)))))</f>
        <v>4</v>
      </c>
      <c r="G243" s="4" t="str">
        <f t="shared" si="10"/>
        <v>Week 4</v>
      </c>
      <c r="H243" s="4" t="str">
        <f t="shared" si="11"/>
        <v>November 22 Week 4</v>
      </c>
      <c r="I243" s="4" t="str">
        <f>CONCATENATE(UPPER(TableAopCalendar[[#This Row],[Month]])," ",TableAopCalendar[[#This Row],[Year]])</f>
        <v>NOVEMBER 22</v>
      </c>
      <c r="J243" s="7" t="s">
        <v>274</v>
      </c>
      <c r="K243" s="7" t="str">
        <f>CONCATENATE(TableAopCalendar[[#This Row],[Month for Plan]]," ",TableAopCalendar[[#This Row],[Plan]])</f>
        <v>NOVEMBER 22 PLANNED</v>
      </c>
    </row>
    <row r="244" spans="1:11" x14ac:dyDescent="0.3">
      <c r="A244" s="4">
        <f t="shared" si="9"/>
        <v>1</v>
      </c>
      <c r="B244" s="5">
        <v>44894</v>
      </c>
      <c r="C244" s="6" t="s">
        <v>117</v>
      </c>
      <c r="D244" s="6">
        <v>22</v>
      </c>
      <c r="E244" s="4">
        <f>DAY(TableAopCalendar[[#This Row],[Date]])</f>
        <v>29</v>
      </c>
      <c r="F244" s="4">
        <f>IF(TableAopCalendar[[#This Row],[Day]]&lt;8,1,IF(TableAopCalendar[[#This Row],[Day]]&lt;15,2,IF(TableAopCalendar[[#This Row],[Day]]&lt;22,3,IF(TableAopCalendar[[#This Row],[Day]]&lt;29,4,IF(TableAopCalendar[[#This Row],[Day]]&lt;32,5)))))</f>
        <v>5</v>
      </c>
      <c r="G244" s="4" t="str">
        <f t="shared" si="10"/>
        <v>Week 5</v>
      </c>
      <c r="H244" s="4" t="str">
        <f t="shared" si="11"/>
        <v>November 22 Week 5</v>
      </c>
      <c r="I244" s="4" t="str">
        <f>CONCATENATE(UPPER(TableAopCalendar[[#This Row],[Month]])," ",TableAopCalendar[[#This Row],[Year]])</f>
        <v>NOVEMBER 22</v>
      </c>
      <c r="J244" s="7" t="s">
        <v>274</v>
      </c>
      <c r="K244" s="7" t="str">
        <f>CONCATENATE(TableAopCalendar[[#This Row],[Month for Plan]]," ",TableAopCalendar[[#This Row],[Plan]])</f>
        <v>NOVEMBER 22 PLANNED</v>
      </c>
    </row>
    <row r="245" spans="1:11" x14ac:dyDescent="0.3">
      <c r="A245" s="4">
        <f t="shared" si="9"/>
        <v>2</v>
      </c>
      <c r="B245" s="5">
        <v>44895</v>
      </c>
      <c r="C245" s="6" t="s">
        <v>117</v>
      </c>
      <c r="D245" s="6">
        <v>22</v>
      </c>
      <c r="E245" s="4">
        <f>DAY(TableAopCalendar[[#This Row],[Date]])</f>
        <v>30</v>
      </c>
      <c r="F245" s="4">
        <f>IF(TableAopCalendar[[#This Row],[Day]]&lt;8,1,IF(TableAopCalendar[[#This Row],[Day]]&lt;15,2,IF(TableAopCalendar[[#This Row],[Day]]&lt;22,3,IF(TableAopCalendar[[#This Row],[Day]]&lt;29,4,IF(TableAopCalendar[[#This Row],[Day]]&lt;32,5)))))</f>
        <v>5</v>
      </c>
      <c r="G245" s="4" t="str">
        <f t="shared" si="10"/>
        <v>Week 5</v>
      </c>
      <c r="H245" s="4" t="str">
        <f t="shared" si="11"/>
        <v>November 22 Week 5</v>
      </c>
      <c r="I245" s="4" t="str">
        <f>CONCATENATE(UPPER(TableAopCalendar[[#This Row],[Month]])," ",TableAopCalendar[[#This Row],[Year]])</f>
        <v>NOVEMBER 22</v>
      </c>
      <c r="J245" s="7" t="s">
        <v>274</v>
      </c>
      <c r="K245" s="7" t="str">
        <f>CONCATENATE(TableAopCalendar[[#This Row],[Month for Plan]]," ",TableAopCalendar[[#This Row],[Plan]])</f>
        <v>NOVEMBER 22 PLANNED</v>
      </c>
    </row>
    <row r="246" spans="1:11" x14ac:dyDescent="0.3">
      <c r="A246" s="4">
        <f t="shared" si="9"/>
        <v>1</v>
      </c>
      <c r="B246" s="5">
        <v>44896</v>
      </c>
      <c r="C246" s="6" t="s">
        <v>270</v>
      </c>
      <c r="D246" s="6">
        <v>22</v>
      </c>
      <c r="E246" s="4">
        <f>DAY(TableAopCalendar[[#This Row],[Date]])</f>
        <v>1</v>
      </c>
      <c r="F246" s="4">
        <f>IF(TableAopCalendar[[#This Row],[Day]]&lt;8,1,IF(TableAopCalendar[[#This Row],[Day]]&lt;15,2,IF(TableAopCalendar[[#This Row],[Day]]&lt;22,3,IF(TableAopCalendar[[#This Row],[Day]]&lt;29,4,IF(TableAopCalendar[[#This Row],[Day]]&lt;32,5)))))</f>
        <v>1</v>
      </c>
      <c r="G246" s="4" t="str">
        <f t="shared" si="10"/>
        <v>Week 1</v>
      </c>
      <c r="H246" s="4" t="str">
        <f t="shared" si="11"/>
        <v>December 22 Week 1</v>
      </c>
      <c r="I246" s="4" t="str">
        <f>CONCATENATE(UPPER(TableAopCalendar[[#This Row],[Month]])," ",TableAopCalendar[[#This Row],[Year]])</f>
        <v>DECEMBER 22</v>
      </c>
      <c r="J246" s="7" t="s">
        <v>274</v>
      </c>
      <c r="K246" s="7" t="str">
        <f>CONCATENATE(TableAopCalendar[[#This Row],[Month for Plan]]," ",TableAopCalendar[[#This Row],[Plan]])</f>
        <v>DECEMBER 22 PLANNED</v>
      </c>
    </row>
    <row r="247" spans="1:11" x14ac:dyDescent="0.3">
      <c r="A247" s="4">
        <f t="shared" si="9"/>
        <v>2</v>
      </c>
      <c r="B247" s="5">
        <v>44897</v>
      </c>
      <c r="C247" s="6" t="s">
        <v>270</v>
      </c>
      <c r="D247" s="6">
        <v>22</v>
      </c>
      <c r="E247" s="4">
        <f>DAY(TableAopCalendar[[#This Row],[Date]])</f>
        <v>2</v>
      </c>
      <c r="F247" s="4">
        <f>IF(TableAopCalendar[[#This Row],[Day]]&lt;8,1,IF(TableAopCalendar[[#This Row],[Day]]&lt;15,2,IF(TableAopCalendar[[#This Row],[Day]]&lt;22,3,IF(TableAopCalendar[[#This Row],[Day]]&lt;29,4,IF(TableAopCalendar[[#This Row],[Day]]&lt;32,5)))))</f>
        <v>1</v>
      </c>
      <c r="G247" s="4" t="str">
        <f t="shared" si="10"/>
        <v>Week 1</v>
      </c>
      <c r="H247" s="4" t="str">
        <f t="shared" si="11"/>
        <v>December 22 Week 1</v>
      </c>
      <c r="I247" s="4" t="str">
        <f>CONCATENATE(UPPER(TableAopCalendar[[#This Row],[Month]])," ",TableAopCalendar[[#This Row],[Year]])</f>
        <v>DECEMBER 22</v>
      </c>
      <c r="J247" s="7" t="s">
        <v>274</v>
      </c>
      <c r="K247" s="7" t="str">
        <f>CONCATENATE(TableAopCalendar[[#This Row],[Month for Plan]]," ",TableAopCalendar[[#This Row],[Plan]])</f>
        <v>DECEMBER 22 PLANNED</v>
      </c>
    </row>
    <row r="248" spans="1:11" x14ac:dyDescent="0.3">
      <c r="A248" s="4">
        <f t="shared" si="9"/>
        <v>3</v>
      </c>
      <c r="B248" s="5">
        <v>44898</v>
      </c>
      <c r="C248" s="6" t="s">
        <v>270</v>
      </c>
      <c r="D248" s="6">
        <v>22</v>
      </c>
      <c r="E248" s="4">
        <f>DAY(TableAopCalendar[[#This Row],[Date]])</f>
        <v>3</v>
      </c>
      <c r="F248" s="4">
        <f>IF(TableAopCalendar[[#This Row],[Day]]&lt;8,1,IF(TableAopCalendar[[#This Row],[Day]]&lt;15,2,IF(TableAopCalendar[[#This Row],[Day]]&lt;22,3,IF(TableAopCalendar[[#This Row],[Day]]&lt;29,4,IF(TableAopCalendar[[#This Row],[Day]]&lt;32,5)))))</f>
        <v>1</v>
      </c>
      <c r="G248" s="4" t="str">
        <f t="shared" si="10"/>
        <v>Week 1</v>
      </c>
      <c r="H248" s="4" t="str">
        <f t="shared" si="11"/>
        <v>December 22 Week 1</v>
      </c>
      <c r="I248" s="4" t="str">
        <f>CONCATENATE(UPPER(TableAopCalendar[[#This Row],[Month]])," ",TableAopCalendar[[#This Row],[Year]])</f>
        <v>DECEMBER 22</v>
      </c>
      <c r="J248" s="7" t="s">
        <v>274</v>
      </c>
      <c r="K248" s="7" t="str">
        <f>CONCATENATE(TableAopCalendar[[#This Row],[Month for Plan]]," ",TableAopCalendar[[#This Row],[Plan]])</f>
        <v>DECEMBER 22 PLANNED</v>
      </c>
    </row>
    <row r="249" spans="1:11" x14ac:dyDescent="0.3">
      <c r="A249" s="4">
        <f t="shared" si="9"/>
        <v>4</v>
      </c>
      <c r="B249" s="5">
        <v>44899</v>
      </c>
      <c r="C249" s="6" t="s">
        <v>270</v>
      </c>
      <c r="D249" s="6">
        <v>22</v>
      </c>
      <c r="E249" s="4">
        <f>DAY(TableAopCalendar[[#This Row],[Date]])</f>
        <v>4</v>
      </c>
      <c r="F249" s="4">
        <f>IF(TableAopCalendar[[#This Row],[Day]]&lt;8,1,IF(TableAopCalendar[[#This Row],[Day]]&lt;15,2,IF(TableAopCalendar[[#This Row],[Day]]&lt;22,3,IF(TableAopCalendar[[#This Row],[Day]]&lt;29,4,IF(TableAopCalendar[[#This Row],[Day]]&lt;32,5)))))</f>
        <v>1</v>
      </c>
      <c r="G249" s="4" t="str">
        <f t="shared" si="10"/>
        <v>Week 1</v>
      </c>
      <c r="H249" s="4" t="str">
        <f t="shared" si="11"/>
        <v>December 22 Week 1</v>
      </c>
      <c r="I249" s="4" t="str">
        <f>CONCATENATE(UPPER(TableAopCalendar[[#This Row],[Month]])," ",TableAopCalendar[[#This Row],[Year]])</f>
        <v>DECEMBER 22</v>
      </c>
      <c r="J249" s="7" t="s">
        <v>274</v>
      </c>
      <c r="K249" s="7" t="str">
        <f>CONCATENATE(TableAopCalendar[[#This Row],[Month for Plan]]," ",TableAopCalendar[[#This Row],[Plan]])</f>
        <v>DECEMBER 22 PLANNED</v>
      </c>
    </row>
    <row r="250" spans="1:11" x14ac:dyDescent="0.3">
      <c r="A250" s="4">
        <f t="shared" si="9"/>
        <v>5</v>
      </c>
      <c r="B250" s="5">
        <v>44900</v>
      </c>
      <c r="C250" s="6" t="s">
        <v>270</v>
      </c>
      <c r="D250" s="6">
        <v>22</v>
      </c>
      <c r="E250" s="4">
        <f>DAY(TableAopCalendar[[#This Row],[Date]])</f>
        <v>5</v>
      </c>
      <c r="F250" s="4">
        <f>IF(TableAopCalendar[[#This Row],[Day]]&lt;8,1,IF(TableAopCalendar[[#This Row],[Day]]&lt;15,2,IF(TableAopCalendar[[#This Row],[Day]]&lt;22,3,IF(TableAopCalendar[[#This Row],[Day]]&lt;29,4,IF(TableAopCalendar[[#This Row],[Day]]&lt;32,5)))))</f>
        <v>1</v>
      </c>
      <c r="G250" s="4" t="str">
        <f t="shared" si="10"/>
        <v>Week 1</v>
      </c>
      <c r="H250" s="4" t="str">
        <f t="shared" si="11"/>
        <v>December 22 Week 1</v>
      </c>
      <c r="I250" s="4" t="str">
        <f>CONCATENATE(UPPER(TableAopCalendar[[#This Row],[Month]])," ",TableAopCalendar[[#This Row],[Year]])</f>
        <v>DECEMBER 22</v>
      </c>
      <c r="J250" s="7" t="s">
        <v>274</v>
      </c>
      <c r="K250" s="7" t="str">
        <f>CONCATENATE(TableAopCalendar[[#This Row],[Month for Plan]]," ",TableAopCalendar[[#This Row],[Plan]])</f>
        <v>DECEMBER 22 PLANNED</v>
      </c>
    </row>
    <row r="251" spans="1:11" x14ac:dyDescent="0.3">
      <c r="A251" s="4">
        <f t="shared" si="9"/>
        <v>6</v>
      </c>
      <c r="B251" s="5">
        <v>44901</v>
      </c>
      <c r="C251" s="6" t="s">
        <v>270</v>
      </c>
      <c r="D251" s="6">
        <v>22</v>
      </c>
      <c r="E251" s="4">
        <f>DAY(TableAopCalendar[[#This Row],[Date]])</f>
        <v>6</v>
      </c>
      <c r="F251" s="4">
        <f>IF(TableAopCalendar[[#This Row],[Day]]&lt;8,1,IF(TableAopCalendar[[#This Row],[Day]]&lt;15,2,IF(TableAopCalendar[[#This Row],[Day]]&lt;22,3,IF(TableAopCalendar[[#This Row],[Day]]&lt;29,4,IF(TableAopCalendar[[#This Row],[Day]]&lt;32,5)))))</f>
        <v>1</v>
      </c>
      <c r="G251" s="4" t="str">
        <f t="shared" si="10"/>
        <v>Week 1</v>
      </c>
      <c r="H251" s="4" t="str">
        <f t="shared" si="11"/>
        <v>December 22 Week 1</v>
      </c>
      <c r="I251" s="4" t="str">
        <f>CONCATENATE(UPPER(TableAopCalendar[[#This Row],[Month]])," ",TableAopCalendar[[#This Row],[Year]])</f>
        <v>DECEMBER 22</v>
      </c>
      <c r="J251" s="7" t="s">
        <v>274</v>
      </c>
      <c r="K251" s="7" t="str">
        <f>CONCATENATE(TableAopCalendar[[#This Row],[Month for Plan]]," ",TableAopCalendar[[#This Row],[Plan]])</f>
        <v>DECEMBER 22 PLANNED</v>
      </c>
    </row>
    <row r="252" spans="1:11" x14ac:dyDescent="0.3">
      <c r="A252" s="4">
        <f t="shared" si="9"/>
        <v>7</v>
      </c>
      <c r="B252" s="5">
        <v>44902</v>
      </c>
      <c r="C252" s="6" t="s">
        <v>270</v>
      </c>
      <c r="D252" s="6">
        <v>22</v>
      </c>
      <c r="E252" s="4">
        <f>DAY(TableAopCalendar[[#This Row],[Date]])</f>
        <v>7</v>
      </c>
      <c r="F252" s="4">
        <f>IF(TableAopCalendar[[#This Row],[Day]]&lt;8,1,IF(TableAopCalendar[[#This Row],[Day]]&lt;15,2,IF(TableAopCalendar[[#This Row],[Day]]&lt;22,3,IF(TableAopCalendar[[#This Row],[Day]]&lt;29,4,IF(TableAopCalendar[[#This Row],[Day]]&lt;32,5)))))</f>
        <v>1</v>
      </c>
      <c r="G252" s="4" t="str">
        <f t="shared" si="10"/>
        <v>Week 1</v>
      </c>
      <c r="H252" s="4" t="str">
        <f t="shared" si="11"/>
        <v>December 22 Week 1</v>
      </c>
      <c r="I252" s="4" t="str">
        <f>CONCATENATE(UPPER(TableAopCalendar[[#This Row],[Month]])," ",TableAopCalendar[[#This Row],[Year]])</f>
        <v>DECEMBER 22</v>
      </c>
      <c r="J252" s="7" t="s">
        <v>274</v>
      </c>
      <c r="K252" s="7" t="str">
        <f>CONCATENATE(TableAopCalendar[[#This Row],[Month for Plan]]," ",TableAopCalendar[[#This Row],[Plan]])</f>
        <v>DECEMBER 22 PLANNED</v>
      </c>
    </row>
    <row r="253" spans="1:11" x14ac:dyDescent="0.3">
      <c r="A253" s="4">
        <f t="shared" si="9"/>
        <v>1</v>
      </c>
      <c r="B253" s="5">
        <v>44903</v>
      </c>
      <c r="C253" s="6" t="s">
        <v>270</v>
      </c>
      <c r="D253" s="6">
        <v>22</v>
      </c>
      <c r="E253" s="4">
        <f>DAY(TableAopCalendar[[#This Row],[Date]])</f>
        <v>8</v>
      </c>
      <c r="F253" s="4">
        <f>IF(TableAopCalendar[[#This Row],[Day]]&lt;8,1,IF(TableAopCalendar[[#This Row],[Day]]&lt;15,2,IF(TableAopCalendar[[#This Row],[Day]]&lt;22,3,IF(TableAopCalendar[[#This Row],[Day]]&lt;29,4,IF(TableAopCalendar[[#This Row],[Day]]&lt;32,5)))))</f>
        <v>2</v>
      </c>
      <c r="G253" s="4" t="str">
        <f t="shared" si="10"/>
        <v>Week 2</v>
      </c>
      <c r="H253" s="4" t="str">
        <f t="shared" si="11"/>
        <v>December 22 Week 2</v>
      </c>
      <c r="I253" s="4" t="str">
        <f>CONCATENATE(UPPER(TableAopCalendar[[#This Row],[Month]])," ",TableAopCalendar[[#This Row],[Year]])</f>
        <v>DECEMBER 22</v>
      </c>
      <c r="J253" s="7" t="s">
        <v>274</v>
      </c>
      <c r="K253" s="7" t="str">
        <f>CONCATENATE(TableAopCalendar[[#This Row],[Month for Plan]]," ",TableAopCalendar[[#This Row],[Plan]])</f>
        <v>DECEMBER 22 PLANNED</v>
      </c>
    </row>
    <row r="254" spans="1:11" x14ac:dyDescent="0.3">
      <c r="A254" s="4">
        <f t="shared" si="9"/>
        <v>2</v>
      </c>
      <c r="B254" s="5">
        <v>44904</v>
      </c>
      <c r="C254" s="6" t="s">
        <v>270</v>
      </c>
      <c r="D254" s="6">
        <v>22</v>
      </c>
      <c r="E254" s="4">
        <f>DAY(TableAopCalendar[[#This Row],[Date]])</f>
        <v>9</v>
      </c>
      <c r="F254" s="4">
        <f>IF(TableAopCalendar[[#This Row],[Day]]&lt;8,1,IF(TableAopCalendar[[#This Row],[Day]]&lt;15,2,IF(TableAopCalendar[[#This Row],[Day]]&lt;22,3,IF(TableAopCalendar[[#This Row],[Day]]&lt;29,4,IF(TableAopCalendar[[#This Row],[Day]]&lt;32,5)))))</f>
        <v>2</v>
      </c>
      <c r="G254" s="4" t="str">
        <f t="shared" si="10"/>
        <v>Week 2</v>
      </c>
      <c r="H254" s="4" t="str">
        <f t="shared" si="11"/>
        <v>December 22 Week 2</v>
      </c>
      <c r="I254" s="4" t="str">
        <f>CONCATENATE(UPPER(TableAopCalendar[[#This Row],[Month]])," ",TableAopCalendar[[#This Row],[Year]])</f>
        <v>DECEMBER 22</v>
      </c>
      <c r="J254" s="7" t="s">
        <v>274</v>
      </c>
      <c r="K254" s="7" t="str">
        <f>CONCATENATE(TableAopCalendar[[#This Row],[Month for Plan]]," ",TableAopCalendar[[#This Row],[Plan]])</f>
        <v>DECEMBER 22 PLANNED</v>
      </c>
    </row>
    <row r="255" spans="1:11" x14ac:dyDescent="0.3">
      <c r="A255" s="4">
        <f t="shared" si="9"/>
        <v>3</v>
      </c>
      <c r="B255" s="5">
        <v>44905</v>
      </c>
      <c r="C255" s="6" t="s">
        <v>270</v>
      </c>
      <c r="D255" s="6">
        <v>22</v>
      </c>
      <c r="E255" s="4">
        <f>DAY(TableAopCalendar[[#This Row],[Date]])</f>
        <v>10</v>
      </c>
      <c r="F255" s="4">
        <f>IF(TableAopCalendar[[#This Row],[Day]]&lt;8,1,IF(TableAopCalendar[[#This Row],[Day]]&lt;15,2,IF(TableAopCalendar[[#This Row],[Day]]&lt;22,3,IF(TableAopCalendar[[#This Row],[Day]]&lt;29,4,IF(TableAopCalendar[[#This Row],[Day]]&lt;32,5)))))</f>
        <v>2</v>
      </c>
      <c r="G255" s="4" t="str">
        <f t="shared" si="10"/>
        <v>Week 2</v>
      </c>
      <c r="H255" s="4" t="str">
        <f t="shared" si="11"/>
        <v>December 22 Week 2</v>
      </c>
      <c r="I255" s="4" t="str">
        <f>CONCATENATE(UPPER(TableAopCalendar[[#This Row],[Month]])," ",TableAopCalendar[[#This Row],[Year]])</f>
        <v>DECEMBER 22</v>
      </c>
      <c r="J255" s="7" t="s">
        <v>274</v>
      </c>
      <c r="K255" s="7" t="str">
        <f>CONCATENATE(TableAopCalendar[[#This Row],[Month for Plan]]," ",TableAopCalendar[[#This Row],[Plan]])</f>
        <v>DECEMBER 22 PLANNED</v>
      </c>
    </row>
    <row r="256" spans="1:11" x14ac:dyDescent="0.3">
      <c r="A256" s="4">
        <f t="shared" si="9"/>
        <v>4</v>
      </c>
      <c r="B256" s="5">
        <v>44906</v>
      </c>
      <c r="C256" s="6" t="s">
        <v>270</v>
      </c>
      <c r="D256" s="6">
        <v>22</v>
      </c>
      <c r="E256" s="4">
        <f>DAY(TableAopCalendar[[#This Row],[Date]])</f>
        <v>11</v>
      </c>
      <c r="F256" s="4">
        <f>IF(TableAopCalendar[[#This Row],[Day]]&lt;8,1,IF(TableAopCalendar[[#This Row],[Day]]&lt;15,2,IF(TableAopCalendar[[#This Row],[Day]]&lt;22,3,IF(TableAopCalendar[[#This Row],[Day]]&lt;29,4,IF(TableAopCalendar[[#This Row],[Day]]&lt;32,5)))))</f>
        <v>2</v>
      </c>
      <c r="G256" s="4" t="str">
        <f t="shared" si="10"/>
        <v>Week 2</v>
      </c>
      <c r="H256" s="4" t="str">
        <f t="shared" si="11"/>
        <v>December 22 Week 2</v>
      </c>
      <c r="I256" s="4" t="str">
        <f>CONCATENATE(UPPER(TableAopCalendar[[#This Row],[Month]])," ",TableAopCalendar[[#This Row],[Year]])</f>
        <v>DECEMBER 22</v>
      </c>
      <c r="J256" s="7" t="s">
        <v>274</v>
      </c>
      <c r="K256" s="7" t="str">
        <f>CONCATENATE(TableAopCalendar[[#This Row],[Month for Plan]]," ",TableAopCalendar[[#This Row],[Plan]])</f>
        <v>DECEMBER 22 PLANNED</v>
      </c>
    </row>
    <row r="257" spans="1:11" x14ac:dyDescent="0.3">
      <c r="A257" s="4">
        <f t="shared" si="9"/>
        <v>5</v>
      </c>
      <c r="B257" s="5">
        <v>44907</v>
      </c>
      <c r="C257" s="6" t="s">
        <v>270</v>
      </c>
      <c r="D257" s="6">
        <v>22</v>
      </c>
      <c r="E257" s="4">
        <f>DAY(TableAopCalendar[[#This Row],[Date]])</f>
        <v>12</v>
      </c>
      <c r="F257" s="4">
        <f>IF(TableAopCalendar[[#This Row],[Day]]&lt;8,1,IF(TableAopCalendar[[#This Row],[Day]]&lt;15,2,IF(TableAopCalendar[[#This Row],[Day]]&lt;22,3,IF(TableAopCalendar[[#This Row],[Day]]&lt;29,4,IF(TableAopCalendar[[#This Row],[Day]]&lt;32,5)))))</f>
        <v>2</v>
      </c>
      <c r="G257" s="4" t="str">
        <f t="shared" si="10"/>
        <v>Week 2</v>
      </c>
      <c r="H257" s="4" t="str">
        <f t="shared" si="11"/>
        <v>December 22 Week 2</v>
      </c>
      <c r="I257" s="4" t="str">
        <f>CONCATENATE(UPPER(TableAopCalendar[[#This Row],[Month]])," ",TableAopCalendar[[#This Row],[Year]])</f>
        <v>DECEMBER 22</v>
      </c>
      <c r="J257" s="7" t="s">
        <v>274</v>
      </c>
      <c r="K257" s="7" t="str">
        <f>CONCATENATE(TableAopCalendar[[#This Row],[Month for Plan]]," ",TableAopCalendar[[#This Row],[Plan]])</f>
        <v>DECEMBER 22 PLANNED</v>
      </c>
    </row>
    <row r="258" spans="1:11" x14ac:dyDescent="0.3">
      <c r="A258" s="4">
        <f t="shared" ref="A258:A321" si="12">IF(G258=G257,A257+1,1)</f>
        <v>6</v>
      </c>
      <c r="B258" s="5">
        <v>44908</v>
      </c>
      <c r="C258" s="6" t="s">
        <v>270</v>
      </c>
      <c r="D258" s="6">
        <v>22</v>
      </c>
      <c r="E258" s="4">
        <f>DAY(TableAopCalendar[[#This Row],[Date]])</f>
        <v>13</v>
      </c>
      <c r="F258" s="4">
        <f>IF(TableAopCalendar[[#This Row],[Day]]&lt;8,1,IF(TableAopCalendar[[#This Row],[Day]]&lt;15,2,IF(TableAopCalendar[[#This Row],[Day]]&lt;22,3,IF(TableAopCalendar[[#This Row],[Day]]&lt;29,4,IF(TableAopCalendar[[#This Row],[Day]]&lt;32,5)))))</f>
        <v>2</v>
      </c>
      <c r="G258" s="4" t="str">
        <f t="shared" ref="G258:G321" si="13">"Week"&amp;" "&amp;F258</f>
        <v>Week 2</v>
      </c>
      <c r="H258" s="4" t="str">
        <f t="shared" ref="H258:H321" si="14">CONCATENATE(C258," ",D258," ",G258)</f>
        <v>December 22 Week 2</v>
      </c>
      <c r="I258" s="4" t="str">
        <f>CONCATENATE(UPPER(TableAopCalendar[[#This Row],[Month]])," ",TableAopCalendar[[#This Row],[Year]])</f>
        <v>DECEMBER 22</v>
      </c>
      <c r="J258" s="7" t="s">
        <v>274</v>
      </c>
      <c r="K258" s="7" t="str">
        <f>CONCATENATE(TableAopCalendar[[#This Row],[Month for Plan]]," ",TableAopCalendar[[#This Row],[Plan]])</f>
        <v>DECEMBER 22 PLANNED</v>
      </c>
    </row>
    <row r="259" spans="1:11" x14ac:dyDescent="0.3">
      <c r="A259" s="4">
        <f t="shared" si="12"/>
        <v>7</v>
      </c>
      <c r="B259" s="5">
        <v>44909</v>
      </c>
      <c r="C259" s="6" t="s">
        <v>270</v>
      </c>
      <c r="D259" s="6">
        <v>22</v>
      </c>
      <c r="E259" s="4">
        <f>DAY(TableAopCalendar[[#This Row],[Date]])</f>
        <v>14</v>
      </c>
      <c r="F259" s="4">
        <f>IF(TableAopCalendar[[#This Row],[Day]]&lt;8,1,IF(TableAopCalendar[[#This Row],[Day]]&lt;15,2,IF(TableAopCalendar[[#This Row],[Day]]&lt;22,3,IF(TableAopCalendar[[#This Row],[Day]]&lt;29,4,IF(TableAopCalendar[[#This Row],[Day]]&lt;32,5)))))</f>
        <v>2</v>
      </c>
      <c r="G259" s="4" t="str">
        <f t="shared" si="13"/>
        <v>Week 2</v>
      </c>
      <c r="H259" s="4" t="str">
        <f t="shared" si="14"/>
        <v>December 22 Week 2</v>
      </c>
      <c r="I259" s="4" t="str">
        <f>CONCATENATE(UPPER(TableAopCalendar[[#This Row],[Month]])," ",TableAopCalendar[[#This Row],[Year]])</f>
        <v>DECEMBER 22</v>
      </c>
      <c r="J259" s="7" t="s">
        <v>274</v>
      </c>
      <c r="K259" s="7" t="str">
        <f>CONCATENATE(TableAopCalendar[[#This Row],[Month for Plan]]," ",TableAopCalendar[[#This Row],[Plan]])</f>
        <v>DECEMBER 22 PLANNED</v>
      </c>
    </row>
    <row r="260" spans="1:11" x14ac:dyDescent="0.3">
      <c r="A260" s="4">
        <f t="shared" si="12"/>
        <v>1</v>
      </c>
      <c r="B260" s="5">
        <v>44910</v>
      </c>
      <c r="C260" s="6" t="s">
        <v>270</v>
      </c>
      <c r="D260" s="6">
        <v>22</v>
      </c>
      <c r="E260" s="4">
        <f>DAY(TableAopCalendar[[#This Row],[Date]])</f>
        <v>15</v>
      </c>
      <c r="F260" s="4">
        <f>IF(TableAopCalendar[[#This Row],[Day]]&lt;8,1,IF(TableAopCalendar[[#This Row],[Day]]&lt;15,2,IF(TableAopCalendar[[#This Row],[Day]]&lt;22,3,IF(TableAopCalendar[[#This Row],[Day]]&lt;29,4,IF(TableAopCalendar[[#This Row],[Day]]&lt;32,5)))))</f>
        <v>3</v>
      </c>
      <c r="G260" s="4" t="str">
        <f t="shared" si="13"/>
        <v>Week 3</v>
      </c>
      <c r="H260" s="4" t="str">
        <f t="shared" si="14"/>
        <v>December 22 Week 3</v>
      </c>
      <c r="I260" s="4" t="str">
        <f>CONCATENATE(UPPER(TableAopCalendar[[#This Row],[Month]])," ",TableAopCalendar[[#This Row],[Year]])</f>
        <v>DECEMBER 22</v>
      </c>
      <c r="J260" s="7" t="s">
        <v>274</v>
      </c>
      <c r="K260" s="7" t="str">
        <f>CONCATENATE(TableAopCalendar[[#This Row],[Month for Plan]]," ",TableAopCalendar[[#This Row],[Plan]])</f>
        <v>DECEMBER 22 PLANNED</v>
      </c>
    </row>
    <row r="261" spans="1:11" x14ac:dyDescent="0.3">
      <c r="A261" s="4">
        <f t="shared" si="12"/>
        <v>2</v>
      </c>
      <c r="B261" s="5">
        <v>44911</v>
      </c>
      <c r="C261" s="6" t="s">
        <v>270</v>
      </c>
      <c r="D261" s="6">
        <v>22</v>
      </c>
      <c r="E261" s="4">
        <f>DAY(TableAopCalendar[[#This Row],[Date]])</f>
        <v>16</v>
      </c>
      <c r="F261" s="4">
        <f>IF(TableAopCalendar[[#This Row],[Day]]&lt;8,1,IF(TableAopCalendar[[#This Row],[Day]]&lt;15,2,IF(TableAopCalendar[[#This Row],[Day]]&lt;22,3,IF(TableAopCalendar[[#This Row],[Day]]&lt;29,4,IF(TableAopCalendar[[#This Row],[Day]]&lt;32,5)))))</f>
        <v>3</v>
      </c>
      <c r="G261" s="4" t="str">
        <f t="shared" si="13"/>
        <v>Week 3</v>
      </c>
      <c r="H261" s="4" t="str">
        <f t="shared" si="14"/>
        <v>December 22 Week 3</v>
      </c>
      <c r="I261" s="4" t="str">
        <f>CONCATENATE(UPPER(TableAopCalendar[[#This Row],[Month]])," ",TableAopCalendar[[#This Row],[Year]])</f>
        <v>DECEMBER 22</v>
      </c>
      <c r="J261" s="7" t="s">
        <v>274</v>
      </c>
      <c r="K261" s="7" t="str">
        <f>CONCATENATE(TableAopCalendar[[#This Row],[Month for Plan]]," ",TableAopCalendar[[#This Row],[Plan]])</f>
        <v>DECEMBER 22 PLANNED</v>
      </c>
    </row>
    <row r="262" spans="1:11" x14ac:dyDescent="0.3">
      <c r="A262" s="4">
        <f t="shared" si="12"/>
        <v>3</v>
      </c>
      <c r="B262" s="5">
        <v>44912</v>
      </c>
      <c r="C262" s="6" t="s">
        <v>270</v>
      </c>
      <c r="D262" s="6">
        <v>22</v>
      </c>
      <c r="E262" s="4">
        <f>DAY(TableAopCalendar[[#This Row],[Date]])</f>
        <v>17</v>
      </c>
      <c r="F262" s="4">
        <f>IF(TableAopCalendar[[#This Row],[Day]]&lt;8,1,IF(TableAopCalendar[[#This Row],[Day]]&lt;15,2,IF(TableAopCalendar[[#This Row],[Day]]&lt;22,3,IF(TableAopCalendar[[#This Row],[Day]]&lt;29,4,IF(TableAopCalendar[[#This Row],[Day]]&lt;32,5)))))</f>
        <v>3</v>
      </c>
      <c r="G262" s="4" t="str">
        <f t="shared" si="13"/>
        <v>Week 3</v>
      </c>
      <c r="H262" s="4" t="str">
        <f t="shared" si="14"/>
        <v>December 22 Week 3</v>
      </c>
      <c r="I262" s="4" t="str">
        <f>CONCATENATE(UPPER(TableAopCalendar[[#This Row],[Month]])," ",TableAopCalendar[[#This Row],[Year]])</f>
        <v>DECEMBER 22</v>
      </c>
      <c r="J262" s="7" t="s">
        <v>274</v>
      </c>
      <c r="K262" s="7" t="str">
        <f>CONCATENATE(TableAopCalendar[[#This Row],[Month for Plan]]," ",TableAopCalendar[[#This Row],[Plan]])</f>
        <v>DECEMBER 22 PLANNED</v>
      </c>
    </row>
    <row r="263" spans="1:11" x14ac:dyDescent="0.3">
      <c r="A263" s="4">
        <f t="shared" si="12"/>
        <v>4</v>
      </c>
      <c r="B263" s="5">
        <v>44913</v>
      </c>
      <c r="C263" s="6" t="s">
        <v>270</v>
      </c>
      <c r="D263" s="6">
        <v>22</v>
      </c>
      <c r="E263" s="4">
        <f>DAY(TableAopCalendar[[#This Row],[Date]])</f>
        <v>18</v>
      </c>
      <c r="F263" s="4">
        <f>IF(TableAopCalendar[[#This Row],[Day]]&lt;8,1,IF(TableAopCalendar[[#This Row],[Day]]&lt;15,2,IF(TableAopCalendar[[#This Row],[Day]]&lt;22,3,IF(TableAopCalendar[[#This Row],[Day]]&lt;29,4,IF(TableAopCalendar[[#This Row],[Day]]&lt;32,5)))))</f>
        <v>3</v>
      </c>
      <c r="G263" s="4" t="str">
        <f t="shared" si="13"/>
        <v>Week 3</v>
      </c>
      <c r="H263" s="4" t="str">
        <f t="shared" si="14"/>
        <v>December 22 Week 3</v>
      </c>
      <c r="I263" s="4" t="str">
        <f>CONCATENATE(UPPER(TableAopCalendar[[#This Row],[Month]])," ",TableAopCalendar[[#This Row],[Year]])</f>
        <v>DECEMBER 22</v>
      </c>
      <c r="J263" s="7" t="s">
        <v>274</v>
      </c>
      <c r="K263" s="7" t="str">
        <f>CONCATENATE(TableAopCalendar[[#This Row],[Month for Plan]]," ",TableAopCalendar[[#This Row],[Plan]])</f>
        <v>DECEMBER 22 PLANNED</v>
      </c>
    </row>
    <row r="264" spans="1:11" x14ac:dyDescent="0.3">
      <c r="A264" s="4">
        <f t="shared" si="12"/>
        <v>5</v>
      </c>
      <c r="B264" s="5">
        <v>44914</v>
      </c>
      <c r="C264" s="6" t="s">
        <v>270</v>
      </c>
      <c r="D264" s="6">
        <v>22</v>
      </c>
      <c r="E264" s="4">
        <f>DAY(TableAopCalendar[[#This Row],[Date]])</f>
        <v>19</v>
      </c>
      <c r="F264" s="4">
        <f>IF(TableAopCalendar[[#This Row],[Day]]&lt;8,1,IF(TableAopCalendar[[#This Row],[Day]]&lt;15,2,IF(TableAopCalendar[[#This Row],[Day]]&lt;22,3,IF(TableAopCalendar[[#This Row],[Day]]&lt;29,4,IF(TableAopCalendar[[#This Row],[Day]]&lt;32,5)))))</f>
        <v>3</v>
      </c>
      <c r="G264" s="4" t="str">
        <f t="shared" si="13"/>
        <v>Week 3</v>
      </c>
      <c r="H264" s="4" t="str">
        <f t="shared" si="14"/>
        <v>December 22 Week 3</v>
      </c>
      <c r="I264" s="4" t="str">
        <f>CONCATENATE(UPPER(TableAopCalendar[[#This Row],[Month]])," ",TableAopCalendar[[#This Row],[Year]])</f>
        <v>DECEMBER 22</v>
      </c>
      <c r="J264" s="7" t="s">
        <v>274</v>
      </c>
      <c r="K264" s="7" t="str">
        <f>CONCATENATE(TableAopCalendar[[#This Row],[Month for Plan]]," ",TableAopCalendar[[#This Row],[Plan]])</f>
        <v>DECEMBER 22 PLANNED</v>
      </c>
    </row>
    <row r="265" spans="1:11" x14ac:dyDescent="0.3">
      <c r="A265" s="4">
        <f t="shared" si="12"/>
        <v>6</v>
      </c>
      <c r="B265" s="5">
        <v>44915</v>
      </c>
      <c r="C265" s="6" t="s">
        <v>270</v>
      </c>
      <c r="D265" s="6">
        <v>22</v>
      </c>
      <c r="E265" s="4">
        <f>DAY(TableAopCalendar[[#This Row],[Date]])</f>
        <v>20</v>
      </c>
      <c r="F265" s="4">
        <f>IF(TableAopCalendar[[#This Row],[Day]]&lt;8,1,IF(TableAopCalendar[[#This Row],[Day]]&lt;15,2,IF(TableAopCalendar[[#This Row],[Day]]&lt;22,3,IF(TableAopCalendar[[#This Row],[Day]]&lt;29,4,IF(TableAopCalendar[[#This Row],[Day]]&lt;32,5)))))</f>
        <v>3</v>
      </c>
      <c r="G265" s="4" t="str">
        <f t="shared" si="13"/>
        <v>Week 3</v>
      </c>
      <c r="H265" s="4" t="str">
        <f t="shared" si="14"/>
        <v>December 22 Week 3</v>
      </c>
      <c r="I265" s="4" t="str">
        <f>CONCATENATE(UPPER(TableAopCalendar[[#This Row],[Month]])," ",TableAopCalendar[[#This Row],[Year]])</f>
        <v>DECEMBER 22</v>
      </c>
      <c r="J265" s="7" t="s">
        <v>274</v>
      </c>
      <c r="K265" s="7" t="str">
        <f>CONCATENATE(TableAopCalendar[[#This Row],[Month for Plan]]," ",TableAopCalendar[[#This Row],[Plan]])</f>
        <v>DECEMBER 22 PLANNED</v>
      </c>
    </row>
    <row r="266" spans="1:11" x14ac:dyDescent="0.3">
      <c r="A266" s="4">
        <f t="shared" si="12"/>
        <v>7</v>
      </c>
      <c r="B266" s="5">
        <v>44916</v>
      </c>
      <c r="C266" s="6" t="s">
        <v>270</v>
      </c>
      <c r="D266" s="6">
        <v>22</v>
      </c>
      <c r="E266" s="4">
        <f>DAY(TableAopCalendar[[#This Row],[Date]])</f>
        <v>21</v>
      </c>
      <c r="F266" s="4">
        <f>IF(TableAopCalendar[[#This Row],[Day]]&lt;8,1,IF(TableAopCalendar[[#This Row],[Day]]&lt;15,2,IF(TableAopCalendar[[#This Row],[Day]]&lt;22,3,IF(TableAopCalendar[[#This Row],[Day]]&lt;29,4,IF(TableAopCalendar[[#This Row],[Day]]&lt;32,5)))))</f>
        <v>3</v>
      </c>
      <c r="G266" s="4" t="str">
        <f t="shared" si="13"/>
        <v>Week 3</v>
      </c>
      <c r="H266" s="4" t="str">
        <f t="shared" si="14"/>
        <v>December 22 Week 3</v>
      </c>
      <c r="I266" s="4" t="str">
        <f>CONCATENATE(UPPER(TableAopCalendar[[#This Row],[Month]])," ",TableAopCalendar[[#This Row],[Year]])</f>
        <v>DECEMBER 22</v>
      </c>
      <c r="J266" s="7" t="s">
        <v>274</v>
      </c>
      <c r="K266" s="7" t="str">
        <f>CONCATENATE(TableAopCalendar[[#This Row],[Month for Plan]]," ",TableAopCalendar[[#This Row],[Plan]])</f>
        <v>DECEMBER 22 PLANNED</v>
      </c>
    </row>
    <row r="267" spans="1:11" x14ac:dyDescent="0.3">
      <c r="A267" s="4">
        <f t="shared" si="12"/>
        <v>1</v>
      </c>
      <c r="B267" s="5">
        <v>44917</v>
      </c>
      <c r="C267" s="6" t="s">
        <v>270</v>
      </c>
      <c r="D267" s="6">
        <v>22</v>
      </c>
      <c r="E267" s="4">
        <f>DAY(TableAopCalendar[[#This Row],[Date]])</f>
        <v>22</v>
      </c>
      <c r="F267" s="4">
        <f>IF(TableAopCalendar[[#This Row],[Day]]&lt;8,1,IF(TableAopCalendar[[#This Row],[Day]]&lt;15,2,IF(TableAopCalendar[[#This Row],[Day]]&lt;22,3,IF(TableAopCalendar[[#This Row],[Day]]&lt;29,4,IF(TableAopCalendar[[#This Row],[Day]]&lt;32,5)))))</f>
        <v>4</v>
      </c>
      <c r="G267" s="4" t="str">
        <f t="shared" si="13"/>
        <v>Week 4</v>
      </c>
      <c r="H267" s="4" t="str">
        <f t="shared" si="14"/>
        <v>December 22 Week 4</v>
      </c>
      <c r="I267" s="4" t="str">
        <f>CONCATENATE(UPPER(TableAopCalendar[[#This Row],[Month]])," ",TableAopCalendar[[#This Row],[Year]])</f>
        <v>DECEMBER 22</v>
      </c>
      <c r="J267" s="7" t="s">
        <v>274</v>
      </c>
      <c r="K267" s="7" t="str">
        <f>CONCATENATE(TableAopCalendar[[#This Row],[Month for Plan]]," ",TableAopCalendar[[#This Row],[Plan]])</f>
        <v>DECEMBER 22 PLANNED</v>
      </c>
    </row>
    <row r="268" spans="1:11" x14ac:dyDescent="0.3">
      <c r="A268" s="4">
        <f t="shared" si="12"/>
        <v>2</v>
      </c>
      <c r="B268" s="5">
        <v>44918</v>
      </c>
      <c r="C268" s="6" t="s">
        <v>270</v>
      </c>
      <c r="D268" s="6">
        <v>22</v>
      </c>
      <c r="E268" s="4">
        <f>DAY(TableAopCalendar[[#This Row],[Date]])</f>
        <v>23</v>
      </c>
      <c r="F268" s="4">
        <f>IF(TableAopCalendar[[#This Row],[Day]]&lt;8,1,IF(TableAopCalendar[[#This Row],[Day]]&lt;15,2,IF(TableAopCalendar[[#This Row],[Day]]&lt;22,3,IF(TableAopCalendar[[#This Row],[Day]]&lt;29,4,IF(TableAopCalendar[[#This Row],[Day]]&lt;32,5)))))</f>
        <v>4</v>
      </c>
      <c r="G268" s="4" t="str">
        <f t="shared" si="13"/>
        <v>Week 4</v>
      </c>
      <c r="H268" s="4" t="str">
        <f t="shared" si="14"/>
        <v>December 22 Week 4</v>
      </c>
      <c r="I268" s="4" t="str">
        <f>CONCATENATE(UPPER(TableAopCalendar[[#This Row],[Month]])," ",TableAopCalendar[[#This Row],[Year]])</f>
        <v>DECEMBER 22</v>
      </c>
      <c r="J268" s="7" t="s">
        <v>274</v>
      </c>
      <c r="K268" s="7" t="str">
        <f>CONCATENATE(TableAopCalendar[[#This Row],[Month for Plan]]," ",TableAopCalendar[[#This Row],[Plan]])</f>
        <v>DECEMBER 22 PLANNED</v>
      </c>
    </row>
    <row r="269" spans="1:11" x14ac:dyDescent="0.3">
      <c r="A269" s="4">
        <f t="shared" si="12"/>
        <v>3</v>
      </c>
      <c r="B269" s="5">
        <v>44919</v>
      </c>
      <c r="C269" s="6" t="s">
        <v>270</v>
      </c>
      <c r="D269" s="6">
        <v>22</v>
      </c>
      <c r="E269" s="4">
        <f>DAY(TableAopCalendar[[#This Row],[Date]])</f>
        <v>24</v>
      </c>
      <c r="F269" s="4">
        <f>IF(TableAopCalendar[[#This Row],[Day]]&lt;8,1,IF(TableAopCalendar[[#This Row],[Day]]&lt;15,2,IF(TableAopCalendar[[#This Row],[Day]]&lt;22,3,IF(TableAopCalendar[[#This Row],[Day]]&lt;29,4,IF(TableAopCalendar[[#This Row],[Day]]&lt;32,5)))))</f>
        <v>4</v>
      </c>
      <c r="G269" s="4" t="str">
        <f t="shared" si="13"/>
        <v>Week 4</v>
      </c>
      <c r="H269" s="4" t="str">
        <f t="shared" si="14"/>
        <v>December 22 Week 4</v>
      </c>
      <c r="I269" s="4" t="str">
        <f>CONCATENATE(UPPER(TableAopCalendar[[#This Row],[Month]])," ",TableAopCalendar[[#This Row],[Year]])</f>
        <v>DECEMBER 22</v>
      </c>
      <c r="J269" s="7" t="s">
        <v>274</v>
      </c>
      <c r="K269" s="7" t="str">
        <f>CONCATENATE(TableAopCalendar[[#This Row],[Month for Plan]]," ",TableAopCalendar[[#This Row],[Plan]])</f>
        <v>DECEMBER 22 PLANNED</v>
      </c>
    </row>
    <row r="270" spans="1:11" x14ac:dyDescent="0.3">
      <c r="A270" s="4">
        <f t="shared" si="12"/>
        <v>4</v>
      </c>
      <c r="B270" s="5">
        <v>44920</v>
      </c>
      <c r="C270" s="6" t="s">
        <v>270</v>
      </c>
      <c r="D270" s="6">
        <v>22</v>
      </c>
      <c r="E270" s="4">
        <f>DAY(TableAopCalendar[[#This Row],[Date]])</f>
        <v>25</v>
      </c>
      <c r="F270" s="4">
        <f>IF(TableAopCalendar[[#This Row],[Day]]&lt;8,1,IF(TableAopCalendar[[#This Row],[Day]]&lt;15,2,IF(TableAopCalendar[[#This Row],[Day]]&lt;22,3,IF(TableAopCalendar[[#This Row],[Day]]&lt;29,4,IF(TableAopCalendar[[#This Row],[Day]]&lt;32,5)))))</f>
        <v>4</v>
      </c>
      <c r="G270" s="4" t="str">
        <f t="shared" si="13"/>
        <v>Week 4</v>
      </c>
      <c r="H270" s="4" t="str">
        <f t="shared" si="14"/>
        <v>December 22 Week 4</v>
      </c>
      <c r="I270" s="4" t="str">
        <f>CONCATENATE(UPPER(TableAopCalendar[[#This Row],[Month]])," ",TableAopCalendar[[#This Row],[Year]])</f>
        <v>DECEMBER 22</v>
      </c>
      <c r="J270" s="7" t="s">
        <v>274</v>
      </c>
      <c r="K270" s="7" t="str">
        <f>CONCATENATE(TableAopCalendar[[#This Row],[Month for Plan]]," ",TableAopCalendar[[#This Row],[Plan]])</f>
        <v>DECEMBER 22 PLANNED</v>
      </c>
    </row>
    <row r="271" spans="1:11" x14ac:dyDescent="0.3">
      <c r="A271" s="4">
        <f t="shared" si="12"/>
        <v>5</v>
      </c>
      <c r="B271" s="5">
        <v>44921</v>
      </c>
      <c r="C271" s="6" t="s">
        <v>270</v>
      </c>
      <c r="D271" s="6">
        <v>22</v>
      </c>
      <c r="E271" s="4">
        <f>DAY(TableAopCalendar[[#This Row],[Date]])</f>
        <v>26</v>
      </c>
      <c r="F271" s="4">
        <f>IF(TableAopCalendar[[#This Row],[Day]]&lt;8,1,IF(TableAopCalendar[[#This Row],[Day]]&lt;15,2,IF(TableAopCalendar[[#This Row],[Day]]&lt;22,3,IF(TableAopCalendar[[#This Row],[Day]]&lt;29,4,IF(TableAopCalendar[[#This Row],[Day]]&lt;32,5)))))</f>
        <v>4</v>
      </c>
      <c r="G271" s="4" t="str">
        <f t="shared" si="13"/>
        <v>Week 4</v>
      </c>
      <c r="H271" s="4" t="str">
        <f t="shared" si="14"/>
        <v>December 22 Week 4</v>
      </c>
      <c r="I271" s="4" t="str">
        <f>CONCATENATE(UPPER(TableAopCalendar[[#This Row],[Month]])," ",TableAopCalendar[[#This Row],[Year]])</f>
        <v>DECEMBER 22</v>
      </c>
      <c r="J271" s="7" t="s">
        <v>274</v>
      </c>
      <c r="K271" s="7" t="str">
        <f>CONCATENATE(TableAopCalendar[[#This Row],[Month for Plan]]," ",TableAopCalendar[[#This Row],[Plan]])</f>
        <v>DECEMBER 22 PLANNED</v>
      </c>
    </row>
    <row r="272" spans="1:11" x14ac:dyDescent="0.3">
      <c r="A272" s="4">
        <f t="shared" si="12"/>
        <v>6</v>
      </c>
      <c r="B272" s="5">
        <v>44922</v>
      </c>
      <c r="C272" s="6" t="s">
        <v>270</v>
      </c>
      <c r="D272" s="6">
        <v>22</v>
      </c>
      <c r="E272" s="4">
        <f>DAY(TableAopCalendar[[#This Row],[Date]])</f>
        <v>27</v>
      </c>
      <c r="F272" s="4">
        <f>IF(TableAopCalendar[[#This Row],[Day]]&lt;8,1,IF(TableAopCalendar[[#This Row],[Day]]&lt;15,2,IF(TableAopCalendar[[#This Row],[Day]]&lt;22,3,IF(TableAopCalendar[[#This Row],[Day]]&lt;29,4,IF(TableAopCalendar[[#This Row],[Day]]&lt;32,5)))))</f>
        <v>4</v>
      </c>
      <c r="G272" s="4" t="str">
        <f t="shared" si="13"/>
        <v>Week 4</v>
      </c>
      <c r="H272" s="4" t="str">
        <f t="shared" si="14"/>
        <v>December 22 Week 4</v>
      </c>
      <c r="I272" s="4" t="str">
        <f>CONCATENATE(UPPER(TableAopCalendar[[#This Row],[Month]])," ",TableAopCalendar[[#This Row],[Year]])</f>
        <v>DECEMBER 22</v>
      </c>
      <c r="J272" s="7" t="s">
        <v>274</v>
      </c>
      <c r="K272" s="7" t="str">
        <f>CONCATENATE(TableAopCalendar[[#This Row],[Month for Plan]]," ",TableAopCalendar[[#This Row],[Plan]])</f>
        <v>DECEMBER 22 PLANNED</v>
      </c>
    </row>
    <row r="273" spans="1:11" x14ac:dyDescent="0.3">
      <c r="A273" s="4">
        <f t="shared" si="12"/>
        <v>7</v>
      </c>
      <c r="B273" s="5">
        <v>44923</v>
      </c>
      <c r="C273" s="6" t="s">
        <v>270</v>
      </c>
      <c r="D273" s="6">
        <v>22</v>
      </c>
      <c r="E273" s="4">
        <f>DAY(TableAopCalendar[[#This Row],[Date]])</f>
        <v>28</v>
      </c>
      <c r="F273" s="4">
        <f>IF(TableAopCalendar[[#This Row],[Day]]&lt;8,1,IF(TableAopCalendar[[#This Row],[Day]]&lt;15,2,IF(TableAopCalendar[[#This Row],[Day]]&lt;22,3,IF(TableAopCalendar[[#This Row],[Day]]&lt;29,4,IF(TableAopCalendar[[#This Row],[Day]]&lt;32,5)))))</f>
        <v>4</v>
      </c>
      <c r="G273" s="4" t="str">
        <f t="shared" si="13"/>
        <v>Week 4</v>
      </c>
      <c r="H273" s="4" t="str">
        <f t="shared" si="14"/>
        <v>December 22 Week 4</v>
      </c>
      <c r="I273" s="4" t="str">
        <f>CONCATENATE(UPPER(TableAopCalendar[[#This Row],[Month]])," ",TableAopCalendar[[#This Row],[Year]])</f>
        <v>DECEMBER 22</v>
      </c>
      <c r="J273" s="7" t="s">
        <v>274</v>
      </c>
      <c r="K273" s="7" t="str">
        <f>CONCATENATE(TableAopCalendar[[#This Row],[Month for Plan]]," ",TableAopCalendar[[#This Row],[Plan]])</f>
        <v>DECEMBER 22 PLANNED</v>
      </c>
    </row>
    <row r="274" spans="1:11" x14ac:dyDescent="0.3">
      <c r="A274" s="4">
        <f t="shared" si="12"/>
        <v>1</v>
      </c>
      <c r="B274" s="5">
        <v>44924</v>
      </c>
      <c r="C274" s="6" t="s">
        <v>270</v>
      </c>
      <c r="D274" s="6">
        <v>22</v>
      </c>
      <c r="E274" s="4">
        <f>DAY(TableAopCalendar[[#This Row],[Date]])</f>
        <v>29</v>
      </c>
      <c r="F274" s="4">
        <f>IF(TableAopCalendar[[#This Row],[Day]]&lt;8,1,IF(TableAopCalendar[[#This Row],[Day]]&lt;15,2,IF(TableAopCalendar[[#This Row],[Day]]&lt;22,3,IF(TableAopCalendar[[#This Row],[Day]]&lt;29,4,IF(TableAopCalendar[[#This Row],[Day]]&lt;32,5)))))</f>
        <v>5</v>
      </c>
      <c r="G274" s="4" t="str">
        <f t="shared" si="13"/>
        <v>Week 5</v>
      </c>
      <c r="H274" s="4" t="str">
        <f t="shared" si="14"/>
        <v>December 22 Week 5</v>
      </c>
      <c r="I274" s="4" t="str">
        <f>CONCATENATE(UPPER(TableAopCalendar[[#This Row],[Month]])," ",TableAopCalendar[[#This Row],[Year]])</f>
        <v>DECEMBER 22</v>
      </c>
      <c r="J274" s="7" t="s">
        <v>274</v>
      </c>
      <c r="K274" s="7" t="str">
        <f>CONCATENATE(TableAopCalendar[[#This Row],[Month for Plan]]," ",TableAopCalendar[[#This Row],[Plan]])</f>
        <v>DECEMBER 22 PLANNED</v>
      </c>
    </row>
    <row r="275" spans="1:11" x14ac:dyDescent="0.3">
      <c r="A275" s="4">
        <f t="shared" si="12"/>
        <v>2</v>
      </c>
      <c r="B275" s="5">
        <v>44925</v>
      </c>
      <c r="C275" s="6" t="s">
        <v>270</v>
      </c>
      <c r="D275" s="6">
        <v>22</v>
      </c>
      <c r="E275" s="4">
        <f>DAY(TableAopCalendar[[#This Row],[Date]])</f>
        <v>30</v>
      </c>
      <c r="F275" s="4">
        <f>IF(TableAopCalendar[[#This Row],[Day]]&lt;8,1,IF(TableAopCalendar[[#This Row],[Day]]&lt;15,2,IF(TableAopCalendar[[#This Row],[Day]]&lt;22,3,IF(TableAopCalendar[[#This Row],[Day]]&lt;29,4,IF(TableAopCalendar[[#This Row],[Day]]&lt;32,5)))))</f>
        <v>5</v>
      </c>
      <c r="G275" s="4" t="str">
        <f t="shared" si="13"/>
        <v>Week 5</v>
      </c>
      <c r="H275" s="4" t="str">
        <f t="shared" si="14"/>
        <v>December 22 Week 5</v>
      </c>
      <c r="I275" s="4" t="str">
        <f>CONCATENATE(UPPER(TableAopCalendar[[#This Row],[Month]])," ",TableAopCalendar[[#This Row],[Year]])</f>
        <v>DECEMBER 22</v>
      </c>
      <c r="J275" s="7" t="s">
        <v>274</v>
      </c>
      <c r="K275" s="7" t="str">
        <f>CONCATENATE(TableAopCalendar[[#This Row],[Month for Plan]]," ",TableAopCalendar[[#This Row],[Plan]])</f>
        <v>DECEMBER 22 PLANNED</v>
      </c>
    </row>
    <row r="276" spans="1:11" x14ac:dyDescent="0.3">
      <c r="A276" s="4">
        <f t="shared" si="12"/>
        <v>3</v>
      </c>
      <c r="B276" s="5">
        <v>44926</v>
      </c>
      <c r="C276" s="6" t="s">
        <v>270</v>
      </c>
      <c r="D276" s="6">
        <v>22</v>
      </c>
      <c r="E276" s="4">
        <f>DAY(TableAopCalendar[[#This Row],[Date]])</f>
        <v>31</v>
      </c>
      <c r="F276" s="4">
        <f>IF(TableAopCalendar[[#This Row],[Day]]&lt;8,1,IF(TableAopCalendar[[#This Row],[Day]]&lt;15,2,IF(TableAopCalendar[[#This Row],[Day]]&lt;22,3,IF(TableAopCalendar[[#This Row],[Day]]&lt;29,4,IF(TableAopCalendar[[#This Row],[Day]]&lt;32,5)))))</f>
        <v>5</v>
      </c>
      <c r="G276" s="4" t="str">
        <f t="shared" si="13"/>
        <v>Week 5</v>
      </c>
      <c r="H276" s="4" t="str">
        <f t="shared" si="14"/>
        <v>December 22 Week 5</v>
      </c>
      <c r="I276" s="4" t="str">
        <f>CONCATENATE(UPPER(TableAopCalendar[[#This Row],[Month]])," ",TableAopCalendar[[#This Row],[Year]])</f>
        <v>DECEMBER 22</v>
      </c>
      <c r="J276" s="7" t="s">
        <v>274</v>
      </c>
      <c r="K276" s="7" t="str">
        <f>CONCATENATE(TableAopCalendar[[#This Row],[Month for Plan]]," ",TableAopCalendar[[#This Row],[Plan]])</f>
        <v>DECEMBER 22 PLANNED</v>
      </c>
    </row>
    <row r="277" spans="1:11" x14ac:dyDescent="0.3">
      <c r="A277" s="4">
        <f t="shared" si="12"/>
        <v>1</v>
      </c>
      <c r="B277" s="5">
        <v>44927</v>
      </c>
      <c r="C277" s="6" t="s">
        <v>271</v>
      </c>
      <c r="D277" s="6">
        <v>23</v>
      </c>
      <c r="E277" s="4">
        <f>DAY(TableAopCalendar[[#This Row],[Date]])</f>
        <v>1</v>
      </c>
      <c r="F277" s="4">
        <f>IF(TableAopCalendar[[#This Row],[Day]]&lt;8,1,IF(TableAopCalendar[[#This Row],[Day]]&lt;15,2,IF(TableAopCalendar[[#This Row],[Day]]&lt;22,3,IF(TableAopCalendar[[#This Row],[Day]]&lt;29,4,IF(TableAopCalendar[[#This Row],[Day]]&lt;32,5)))))</f>
        <v>1</v>
      </c>
      <c r="G277" s="4" t="str">
        <f t="shared" si="13"/>
        <v>Week 1</v>
      </c>
      <c r="H277" s="4" t="str">
        <f t="shared" si="14"/>
        <v>January 23 Week 1</v>
      </c>
      <c r="I277" s="4" t="str">
        <f>CONCATENATE(UPPER(TableAopCalendar[[#This Row],[Month]])," ",TableAopCalendar[[#This Row],[Year]])</f>
        <v>JANUARY 23</v>
      </c>
      <c r="J277" s="7" t="s">
        <v>274</v>
      </c>
      <c r="K277" s="7" t="str">
        <f>CONCATENATE(TableAopCalendar[[#This Row],[Month for Plan]]," ",TableAopCalendar[[#This Row],[Plan]])</f>
        <v>JANUARY 23 PLANNED</v>
      </c>
    </row>
    <row r="278" spans="1:11" x14ac:dyDescent="0.3">
      <c r="A278" s="4">
        <f t="shared" si="12"/>
        <v>2</v>
      </c>
      <c r="B278" s="5">
        <v>44928</v>
      </c>
      <c r="C278" s="6" t="s">
        <v>271</v>
      </c>
      <c r="D278" s="6">
        <v>23</v>
      </c>
      <c r="E278" s="4">
        <f>DAY(TableAopCalendar[[#This Row],[Date]])</f>
        <v>2</v>
      </c>
      <c r="F278" s="4">
        <f>IF(TableAopCalendar[[#This Row],[Day]]&lt;8,1,IF(TableAopCalendar[[#This Row],[Day]]&lt;15,2,IF(TableAopCalendar[[#This Row],[Day]]&lt;22,3,IF(TableAopCalendar[[#This Row],[Day]]&lt;29,4,IF(TableAopCalendar[[#This Row],[Day]]&lt;32,5)))))</f>
        <v>1</v>
      </c>
      <c r="G278" s="4" t="str">
        <f t="shared" si="13"/>
        <v>Week 1</v>
      </c>
      <c r="H278" s="4" t="str">
        <f t="shared" si="14"/>
        <v>January 23 Week 1</v>
      </c>
      <c r="I278" s="4" t="str">
        <f>CONCATENATE(UPPER(TableAopCalendar[[#This Row],[Month]])," ",TableAopCalendar[[#This Row],[Year]])</f>
        <v>JANUARY 23</v>
      </c>
      <c r="J278" s="7" t="s">
        <v>274</v>
      </c>
      <c r="K278" s="7" t="str">
        <f>CONCATENATE(TableAopCalendar[[#This Row],[Month for Plan]]," ",TableAopCalendar[[#This Row],[Plan]])</f>
        <v>JANUARY 23 PLANNED</v>
      </c>
    </row>
    <row r="279" spans="1:11" x14ac:dyDescent="0.3">
      <c r="A279" s="4">
        <f t="shared" si="12"/>
        <v>3</v>
      </c>
      <c r="B279" s="5">
        <v>44929</v>
      </c>
      <c r="C279" s="6" t="s">
        <v>271</v>
      </c>
      <c r="D279" s="6">
        <v>23</v>
      </c>
      <c r="E279" s="4">
        <f>DAY(TableAopCalendar[[#This Row],[Date]])</f>
        <v>3</v>
      </c>
      <c r="F279" s="4">
        <f>IF(TableAopCalendar[[#This Row],[Day]]&lt;8,1,IF(TableAopCalendar[[#This Row],[Day]]&lt;15,2,IF(TableAopCalendar[[#This Row],[Day]]&lt;22,3,IF(TableAopCalendar[[#This Row],[Day]]&lt;29,4,IF(TableAopCalendar[[#This Row],[Day]]&lt;32,5)))))</f>
        <v>1</v>
      </c>
      <c r="G279" s="4" t="str">
        <f t="shared" si="13"/>
        <v>Week 1</v>
      </c>
      <c r="H279" s="4" t="str">
        <f t="shared" si="14"/>
        <v>January 23 Week 1</v>
      </c>
      <c r="I279" s="4" t="str">
        <f>CONCATENATE(UPPER(TableAopCalendar[[#This Row],[Month]])," ",TableAopCalendar[[#This Row],[Year]])</f>
        <v>JANUARY 23</v>
      </c>
      <c r="J279" s="7" t="s">
        <v>274</v>
      </c>
      <c r="K279" s="7" t="str">
        <f>CONCATENATE(TableAopCalendar[[#This Row],[Month for Plan]]," ",TableAopCalendar[[#This Row],[Plan]])</f>
        <v>JANUARY 23 PLANNED</v>
      </c>
    </row>
    <row r="280" spans="1:11" x14ac:dyDescent="0.3">
      <c r="A280" s="4">
        <f t="shared" si="12"/>
        <v>4</v>
      </c>
      <c r="B280" s="5">
        <v>44930</v>
      </c>
      <c r="C280" s="6" t="s">
        <v>271</v>
      </c>
      <c r="D280" s="6">
        <v>23</v>
      </c>
      <c r="E280" s="4">
        <f>DAY(TableAopCalendar[[#This Row],[Date]])</f>
        <v>4</v>
      </c>
      <c r="F280" s="4">
        <f>IF(TableAopCalendar[[#This Row],[Day]]&lt;8,1,IF(TableAopCalendar[[#This Row],[Day]]&lt;15,2,IF(TableAopCalendar[[#This Row],[Day]]&lt;22,3,IF(TableAopCalendar[[#This Row],[Day]]&lt;29,4,IF(TableAopCalendar[[#This Row],[Day]]&lt;32,5)))))</f>
        <v>1</v>
      </c>
      <c r="G280" s="4" t="str">
        <f t="shared" si="13"/>
        <v>Week 1</v>
      </c>
      <c r="H280" s="4" t="str">
        <f t="shared" si="14"/>
        <v>January 23 Week 1</v>
      </c>
      <c r="I280" s="4" t="str">
        <f>CONCATENATE(UPPER(TableAopCalendar[[#This Row],[Month]])," ",TableAopCalendar[[#This Row],[Year]])</f>
        <v>JANUARY 23</v>
      </c>
      <c r="J280" s="7" t="s">
        <v>274</v>
      </c>
      <c r="K280" s="7" t="str">
        <f>CONCATENATE(TableAopCalendar[[#This Row],[Month for Plan]]," ",TableAopCalendar[[#This Row],[Plan]])</f>
        <v>JANUARY 23 PLANNED</v>
      </c>
    </row>
    <row r="281" spans="1:11" x14ac:dyDescent="0.3">
      <c r="A281" s="4">
        <f t="shared" si="12"/>
        <v>5</v>
      </c>
      <c r="B281" s="5">
        <v>44931</v>
      </c>
      <c r="C281" s="6" t="s">
        <v>271</v>
      </c>
      <c r="D281" s="6">
        <v>23</v>
      </c>
      <c r="E281" s="4">
        <f>DAY(TableAopCalendar[[#This Row],[Date]])</f>
        <v>5</v>
      </c>
      <c r="F281" s="4">
        <f>IF(TableAopCalendar[[#This Row],[Day]]&lt;8,1,IF(TableAopCalendar[[#This Row],[Day]]&lt;15,2,IF(TableAopCalendar[[#This Row],[Day]]&lt;22,3,IF(TableAopCalendar[[#This Row],[Day]]&lt;29,4,IF(TableAopCalendar[[#This Row],[Day]]&lt;32,5)))))</f>
        <v>1</v>
      </c>
      <c r="G281" s="4" t="str">
        <f t="shared" si="13"/>
        <v>Week 1</v>
      </c>
      <c r="H281" s="4" t="str">
        <f t="shared" si="14"/>
        <v>January 23 Week 1</v>
      </c>
      <c r="I281" s="4" t="str">
        <f>CONCATENATE(UPPER(TableAopCalendar[[#This Row],[Month]])," ",TableAopCalendar[[#This Row],[Year]])</f>
        <v>JANUARY 23</v>
      </c>
      <c r="J281" s="7" t="s">
        <v>274</v>
      </c>
      <c r="K281" s="7" t="str">
        <f>CONCATENATE(TableAopCalendar[[#This Row],[Month for Plan]]," ",TableAopCalendar[[#This Row],[Plan]])</f>
        <v>JANUARY 23 PLANNED</v>
      </c>
    </row>
    <row r="282" spans="1:11" x14ac:dyDescent="0.3">
      <c r="A282" s="4">
        <f t="shared" si="12"/>
        <v>6</v>
      </c>
      <c r="B282" s="5">
        <v>44932</v>
      </c>
      <c r="C282" s="6" t="s">
        <v>271</v>
      </c>
      <c r="D282" s="6">
        <v>23</v>
      </c>
      <c r="E282" s="4">
        <f>DAY(TableAopCalendar[[#This Row],[Date]])</f>
        <v>6</v>
      </c>
      <c r="F282" s="4">
        <f>IF(TableAopCalendar[[#This Row],[Day]]&lt;8,1,IF(TableAopCalendar[[#This Row],[Day]]&lt;15,2,IF(TableAopCalendar[[#This Row],[Day]]&lt;22,3,IF(TableAopCalendar[[#This Row],[Day]]&lt;29,4,IF(TableAopCalendar[[#This Row],[Day]]&lt;32,5)))))</f>
        <v>1</v>
      </c>
      <c r="G282" s="4" t="str">
        <f t="shared" si="13"/>
        <v>Week 1</v>
      </c>
      <c r="H282" s="4" t="str">
        <f t="shared" si="14"/>
        <v>January 23 Week 1</v>
      </c>
      <c r="I282" s="4" t="str">
        <f>CONCATENATE(UPPER(TableAopCalendar[[#This Row],[Month]])," ",TableAopCalendar[[#This Row],[Year]])</f>
        <v>JANUARY 23</v>
      </c>
      <c r="J282" s="7" t="s">
        <v>274</v>
      </c>
      <c r="K282" s="7" t="str">
        <f>CONCATENATE(TableAopCalendar[[#This Row],[Month for Plan]]," ",TableAopCalendar[[#This Row],[Plan]])</f>
        <v>JANUARY 23 PLANNED</v>
      </c>
    </row>
    <row r="283" spans="1:11" x14ac:dyDescent="0.3">
      <c r="A283" s="4">
        <f t="shared" si="12"/>
        <v>7</v>
      </c>
      <c r="B283" s="5">
        <v>44933</v>
      </c>
      <c r="C283" s="6" t="s">
        <v>271</v>
      </c>
      <c r="D283" s="6">
        <v>23</v>
      </c>
      <c r="E283" s="4">
        <f>DAY(TableAopCalendar[[#This Row],[Date]])</f>
        <v>7</v>
      </c>
      <c r="F283" s="4">
        <f>IF(TableAopCalendar[[#This Row],[Day]]&lt;8,1,IF(TableAopCalendar[[#This Row],[Day]]&lt;15,2,IF(TableAopCalendar[[#This Row],[Day]]&lt;22,3,IF(TableAopCalendar[[#This Row],[Day]]&lt;29,4,IF(TableAopCalendar[[#This Row],[Day]]&lt;32,5)))))</f>
        <v>1</v>
      </c>
      <c r="G283" s="4" t="str">
        <f t="shared" si="13"/>
        <v>Week 1</v>
      </c>
      <c r="H283" s="4" t="str">
        <f t="shared" si="14"/>
        <v>January 23 Week 1</v>
      </c>
      <c r="I283" s="4" t="str">
        <f>CONCATENATE(UPPER(TableAopCalendar[[#This Row],[Month]])," ",TableAopCalendar[[#This Row],[Year]])</f>
        <v>JANUARY 23</v>
      </c>
      <c r="J283" s="7" t="s">
        <v>274</v>
      </c>
      <c r="K283" s="7" t="str">
        <f>CONCATENATE(TableAopCalendar[[#This Row],[Month for Plan]]," ",TableAopCalendar[[#This Row],[Plan]])</f>
        <v>JANUARY 23 PLANNED</v>
      </c>
    </row>
    <row r="284" spans="1:11" x14ac:dyDescent="0.3">
      <c r="A284" s="4">
        <f t="shared" si="12"/>
        <v>1</v>
      </c>
      <c r="B284" s="5">
        <v>44934</v>
      </c>
      <c r="C284" s="6" t="s">
        <v>271</v>
      </c>
      <c r="D284" s="6">
        <v>23</v>
      </c>
      <c r="E284" s="4">
        <f>DAY(TableAopCalendar[[#This Row],[Date]])</f>
        <v>8</v>
      </c>
      <c r="F284" s="4">
        <f>IF(TableAopCalendar[[#This Row],[Day]]&lt;8,1,IF(TableAopCalendar[[#This Row],[Day]]&lt;15,2,IF(TableAopCalendar[[#This Row],[Day]]&lt;22,3,IF(TableAopCalendar[[#This Row],[Day]]&lt;29,4,IF(TableAopCalendar[[#This Row],[Day]]&lt;32,5)))))</f>
        <v>2</v>
      </c>
      <c r="G284" s="4" t="str">
        <f t="shared" si="13"/>
        <v>Week 2</v>
      </c>
      <c r="H284" s="4" t="str">
        <f t="shared" si="14"/>
        <v>January 23 Week 2</v>
      </c>
      <c r="I284" s="4" t="str">
        <f>CONCATENATE(UPPER(TableAopCalendar[[#This Row],[Month]])," ",TableAopCalendar[[#This Row],[Year]])</f>
        <v>JANUARY 23</v>
      </c>
      <c r="J284" s="7" t="s">
        <v>274</v>
      </c>
      <c r="K284" s="7" t="str">
        <f>CONCATENATE(TableAopCalendar[[#This Row],[Month for Plan]]," ",TableAopCalendar[[#This Row],[Plan]])</f>
        <v>JANUARY 23 PLANNED</v>
      </c>
    </row>
    <row r="285" spans="1:11" x14ac:dyDescent="0.3">
      <c r="A285" s="4">
        <f t="shared" si="12"/>
        <v>2</v>
      </c>
      <c r="B285" s="5">
        <v>44935</v>
      </c>
      <c r="C285" s="6" t="s">
        <v>271</v>
      </c>
      <c r="D285" s="6">
        <v>23</v>
      </c>
      <c r="E285" s="4">
        <f>DAY(TableAopCalendar[[#This Row],[Date]])</f>
        <v>9</v>
      </c>
      <c r="F285" s="4">
        <f>IF(TableAopCalendar[[#This Row],[Day]]&lt;8,1,IF(TableAopCalendar[[#This Row],[Day]]&lt;15,2,IF(TableAopCalendar[[#This Row],[Day]]&lt;22,3,IF(TableAopCalendar[[#This Row],[Day]]&lt;29,4,IF(TableAopCalendar[[#This Row],[Day]]&lt;32,5)))))</f>
        <v>2</v>
      </c>
      <c r="G285" s="4" t="str">
        <f t="shared" si="13"/>
        <v>Week 2</v>
      </c>
      <c r="H285" s="4" t="str">
        <f t="shared" si="14"/>
        <v>January 23 Week 2</v>
      </c>
      <c r="I285" s="4" t="str">
        <f>CONCATENATE(UPPER(TableAopCalendar[[#This Row],[Month]])," ",TableAopCalendar[[#This Row],[Year]])</f>
        <v>JANUARY 23</v>
      </c>
      <c r="J285" s="7" t="s">
        <v>274</v>
      </c>
      <c r="K285" s="7" t="str">
        <f>CONCATENATE(TableAopCalendar[[#This Row],[Month for Plan]]," ",TableAopCalendar[[#This Row],[Plan]])</f>
        <v>JANUARY 23 PLANNED</v>
      </c>
    </row>
    <row r="286" spans="1:11" x14ac:dyDescent="0.3">
      <c r="A286" s="4">
        <f t="shared" si="12"/>
        <v>3</v>
      </c>
      <c r="B286" s="5">
        <v>44936</v>
      </c>
      <c r="C286" s="6" t="s">
        <v>271</v>
      </c>
      <c r="D286" s="6">
        <v>23</v>
      </c>
      <c r="E286" s="4">
        <f>DAY(TableAopCalendar[[#This Row],[Date]])</f>
        <v>10</v>
      </c>
      <c r="F286" s="4">
        <f>IF(TableAopCalendar[[#This Row],[Day]]&lt;8,1,IF(TableAopCalendar[[#This Row],[Day]]&lt;15,2,IF(TableAopCalendar[[#This Row],[Day]]&lt;22,3,IF(TableAopCalendar[[#This Row],[Day]]&lt;29,4,IF(TableAopCalendar[[#This Row],[Day]]&lt;32,5)))))</f>
        <v>2</v>
      </c>
      <c r="G286" s="4" t="str">
        <f t="shared" si="13"/>
        <v>Week 2</v>
      </c>
      <c r="H286" s="4" t="str">
        <f t="shared" si="14"/>
        <v>January 23 Week 2</v>
      </c>
      <c r="I286" s="4" t="str">
        <f>CONCATENATE(UPPER(TableAopCalendar[[#This Row],[Month]])," ",TableAopCalendar[[#This Row],[Year]])</f>
        <v>JANUARY 23</v>
      </c>
      <c r="J286" s="7" t="s">
        <v>274</v>
      </c>
      <c r="K286" s="7" t="str">
        <f>CONCATENATE(TableAopCalendar[[#This Row],[Month for Plan]]," ",TableAopCalendar[[#This Row],[Plan]])</f>
        <v>JANUARY 23 PLANNED</v>
      </c>
    </row>
    <row r="287" spans="1:11" x14ac:dyDescent="0.3">
      <c r="A287" s="4">
        <f t="shared" si="12"/>
        <v>4</v>
      </c>
      <c r="B287" s="5">
        <v>44937</v>
      </c>
      <c r="C287" s="6" t="s">
        <v>271</v>
      </c>
      <c r="D287" s="6">
        <v>23</v>
      </c>
      <c r="E287" s="4">
        <f>DAY(TableAopCalendar[[#This Row],[Date]])</f>
        <v>11</v>
      </c>
      <c r="F287" s="4">
        <f>IF(TableAopCalendar[[#This Row],[Day]]&lt;8,1,IF(TableAopCalendar[[#This Row],[Day]]&lt;15,2,IF(TableAopCalendar[[#This Row],[Day]]&lt;22,3,IF(TableAopCalendar[[#This Row],[Day]]&lt;29,4,IF(TableAopCalendar[[#This Row],[Day]]&lt;32,5)))))</f>
        <v>2</v>
      </c>
      <c r="G287" s="4" t="str">
        <f t="shared" si="13"/>
        <v>Week 2</v>
      </c>
      <c r="H287" s="4" t="str">
        <f t="shared" si="14"/>
        <v>January 23 Week 2</v>
      </c>
      <c r="I287" s="4" t="str">
        <f>CONCATENATE(UPPER(TableAopCalendar[[#This Row],[Month]])," ",TableAopCalendar[[#This Row],[Year]])</f>
        <v>JANUARY 23</v>
      </c>
      <c r="J287" s="7" t="s">
        <v>274</v>
      </c>
      <c r="K287" s="7" t="str">
        <f>CONCATENATE(TableAopCalendar[[#This Row],[Month for Plan]]," ",TableAopCalendar[[#This Row],[Plan]])</f>
        <v>JANUARY 23 PLANNED</v>
      </c>
    </row>
    <row r="288" spans="1:11" x14ac:dyDescent="0.3">
      <c r="A288" s="4">
        <f t="shared" si="12"/>
        <v>5</v>
      </c>
      <c r="B288" s="5">
        <v>44938</v>
      </c>
      <c r="C288" s="6" t="s">
        <v>271</v>
      </c>
      <c r="D288" s="6">
        <v>23</v>
      </c>
      <c r="E288" s="4">
        <f>DAY(TableAopCalendar[[#This Row],[Date]])</f>
        <v>12</v>
      </c>
      <c r="F288" s="4">
        <f>IF(TableAopCalendar[[#This Row],[Day]]&lt;8,1,IF(TableAopCalendar[[#This Row],[Day]]&lt;15,2,IF(TableAopCalendar[[#This Row],[Day]]&lt;22,3,IF(TableAopCalendar[[#This Row],[Day]]&lt;29,4,IF(TableAopCalendar[[#This Row],[Day]]&lt;32,5)))))</f>
        <v>2</v>
      </c>
      <c r="G288" s="4" t="str">
        <f t="shared" si="13"/>
        <v>Week 2</v>
      </c>
      <c r="H288" s="4" t="str">
        <f t="shared" si="14"/>
        <v>January 23 Week 2</v>
      </c>
      <c r="I288" s="4" t="str">
        <f>CONCATENATE(UPPER(TableAopCalendar[[#This Row],[Month]])," ",TableAopCalendar[[#This Row],[Year]])</f>
        <v>JANUARY 23</v>
      </c>
      <c r="J288" s="7" t="s">
        <v>274</v>
      </c>
      <c r="K288" s="7" t="str">
        <f>CONCATENATE(TableAopCalendar[[#This Row],[Month for Plan]]," ",TableAopCalendar[[#This Row],[Plan]])</f>
        <v>JANUARY 23 PLANNED</v>
      </c>
    </row>
    <row r="289" spans="1:11" x14ac:dyDescent="0.3">
      <c r="A289" s="4">
        <f t="shared" si="12"/>
        <v>6</v>
      </c>
      <c r="B289" s="5">
        <v>44939</v>
      </c>
      <c r="C289" s="6" t="s">
        <v>271</v>
      </c>
      <c r="D289" s="6">
        <v>23</v>
      </c>
      <c r="E289" s="4">
        <f>DAY(TableAopCalendar[[#This Row],[Date]])</f>
        <v>13</v>
      </c>
      <c r="F289" s="4">
        <f>IF(TableAopCalendar[[#This Row],[Day]]&lt;8,1,IF(TableAopCalendar[[#This Row],[Day]]&lt;15,2,IF(TableAopCalendar[[#This Row],[Day]]&lt;22,3,IF(TableAopCalendar[[#This Row],[Day]]&lt;29,4,IF(TableAopCalendar[[#This Row],[Day]]&lt;32,5)))))</f>
        <v>2</v>
      </c>
      <c r="G289" s="4" t="str">
        <f t="shared" si="13"/>
        <v>Week 2</v>
      </c>
      <c r="H289" s="4" t="str">
        <f t="shared" si="14"/>
        <v>January 23 Week 2</v>
      </c>
      <c r="I289" s="4" t="str">
        <f>CONCATENATE(UPPER(TableAopCalendar[[#This Row],[Month]])," ",TableAopCalendar[[#This Row],[Year]])</f>
        <v>JANUARY 23</v>
      </c>
      <c r="J289" s="7" t="s">
        <v>274</v>
      </c>
      <c r="K289" s="7" t="str">
        <f>CONCATENATE(TableAopCalendar[[#This Row],[Month for Plan]]," ",TableAopCalendar[[#This Row],[Plan]])</f>
        <v>JANUARY 23 PLANNED</v>
      </c>
    </row>
    <row r="290" spans="1:11" x14ac:dyDescent="0.3">
      <c r="A290" s="4">
        <f t="shared" si="12"/>
        <v>7</v>
      </c>
      <c r="B290" s="5">
        <v>44940</v>
      </c>
      <c r="C290" s="6" t="s">
        <v>271</v>
      </c>
      <c r="D290" s="6">
        <v>23</v>
      </c>
      <c r="E290" s="4">
        <f>DAY(TableAopCalendar[[#This Row],[Date]])</f>
        <v>14</v>
      </c>
      <c r="F290" s="4">
        <f>IF(TableAopCalendar[[#This Row],[Day]]&lt;8,1,IF(TableAopCalendar[[#This Row],[Day]]&lt;15,2,IF(TableAopCalendar[[#This Row],[Day]]&lt;22,3,IF(TableAopCalendar[[#This Row],[Day]]&lt;29,4,IF(TableAopCalendar[[#This Row],[Day]]&lt;32,5)))))</f>
        <v>2</v>
      </c>
      <c r="G290" s="4" t="str">
        <f t="shared" si="13"/>
        <v>Week 2</v>
      </c>
      <c r="H290" s="4" t="str">
        <f t="shared" si="14"/>
        <v>January 23 Week 2</v>
      </c>
      <c r="I290" s="4" t="str">
        <f>CONCATENATE(UPPER(TableAopCalendar[[#This Row],[Month]])," ",TableAopCalendar[[#This Row],[Year]])</f>
        <v>JANUARY 23</v>
      </c>
      <c r="J290" s="7" t="s">
        <v>274</v>
      </c>
      <c r="K290" s="7" t="str">
        <f>CONCATENATE(TableAopCalendar[[#This Row],[Month for Plan]]," ",TableAopCalendar[[#This Row],[Plan]])</f>
        <v>JANUARY 23 PLANNED</v>
      </c>
    </row>
    <row r="291" spans="1:11" x14ac:dyDescent="0.3">
      <c r="A291" s="4">
        <f t="shared" si="12"/>
        <v>1</v>
      </c>
      <c r="B291" s="5">
        <v>44941</v>
      </c>
      <c r="C291" s="6" t="s">
        <v>271</v>
      </c>
      <c r="D291" s="6">
        <v>23</v>
      </c>
      <c r="E291" s="4">
        <f>DAY(TableAopCalendar[[#This Row],[Date]])</f>
        <v>15</v>
      </c>
      <c r="F291" s="4">
        <f>IF(TableAopCalendar[[#This Row],[Day]]&lt;8,1,IF(TableAopCalendar[[#This Row],[Day]]&lt;15,2,IF(TableAopCalendar[[#This Row],[Day]]&lt;22,3,IF(TableAopCalendar[[#This Row],[Day]]&lt;29,4,IF(TableAopCalendar[[#This Row],[Day]]&lt;32,5)))))</f>
        <v>3</v>
      </c>
      <c r="G291" s="4" t="str">
        <f t="shared" si="13"/>
        <v>Week 3</v>
      </c>
      <c r="H291" s="4" t="str">
        <f t="shared" si="14"/>
        <v>January 23 Week 3</v>
      </c>
      <c r="I291" s="4" t="str">
        <f>CONCATENATE(UPPER(TableAopCalendar[[#This Row],[Month]])," ",TableAopCalendar[[#This Row],[Year]])</f>
        <v>JANUARY 23</v>
      </c>
      <c r="J291" s="7" t="s">
        <v>274</v>
      </c>
      <c r="K291" s="7" t="str">
        <f>CONCATENATE(TableAopCalendar[[#This Row],[Month for Plan]]," ",TableAopCalendar[[#This Row],[Plan]])</f>
        <v>JANUARY 23 PLANNED</v>
      </c>
    </row>
    <row r="292" spans="1:11" x14ac:dyDescent="0.3">
      <c r="A292" s="4">
        <f t="shared" si="12"/>
        <v>2</v>
      </c>
      <c r="B292" s="5">
        <v>44942</v>
      </c>
      <c r="C292" s="6" t="s">
        <v>271</v>
      </c>
      <c r="D292" s="6">
        <v>23</v>
      </c>
      <c r="E292" s="4">
        <f>DAY(TableAopCalendar[[#This Row],[Date]])</f>
        <v>16</v>
      </c>
      <c r="F292" s="4">
        <f>IF(TableAopCalendar[[#This Row],[Day]]&lt;8,1,IF(TableAopCalendar[[#This Row],[Day]]&lt;15,2,IF(TableAopCalendar[[#This Row],[Day]]&lt;22,3,IF(TableAopCalendar[[#This Row],[Day]]&lt;29,4,IF(TableAopCalendar[[#This Row],[Day]]&lt;32,5)))))</f>
        <v>3</v>
      </c>
      <c r="G292" s="4" t="str">
        <f t="shared" si="13"/>
        <v>Week 3</v>
      </c>
      <c r="H292" s="4" t="str">
        <f t="shared" si="14"/>
        <v>January 23 Week 3</v>
      </c>
      <c r="I292" s="4" t="str">
        <f>CONCATENATE(UPPER(TableAopCalendar[[#This Row],[Month]])," ",TableAopCalendar[[#This Row],[Year]])</f>
        <v>JANUARY 23</v>
      </c>
      <c r="J292" s="7" t="s">
        <v>274</v>
      </c>
      <c r="K292" s="7" t="str">
        <f>CONCATENATE(TableAopCalendar[[#This Row],[Month for Plan]]," ",TableAopCalendar[[#This Row],[Plan]])</f>
        <v>JANUARY 23 PLANNED</v>
      </c>
    </row>
    <row r="293" spans="1:11" x14ac:dyDescent="0.3">
      <c r="A293" s="4">
        <f t="shared" si="12"/>
        <v>3</v>
      </c>
      <c r="B293" s="5">
        <v>44943</v>
      </c>
      <c r="C293" s="6" t="s">
        <v>271</v>
      </c>
      <c r="D293" s="6">
        <v>23</v>
      </c>
      <c r="E293" s="4">
        <f>DAY(TableAopCalendar[[#This Row],[Date]])</f>
        <v>17</v>
      </c>
      <c r="F293" s="4">
        <f>IF(TableAopCalendar[[#This Row],[Day]]&lt;8,1,IF(TableAopCalendar[[#This Row],[Day]]&lt;15,2,IF(TableAopCalendar[[#This Row],[Day]]&lt;22,3,IF(TableAopCalendar[[#This Row],[Day]]&lt;29,4,IF(TableAopCalendar[[#This Row],[Day]]&lt;32,5)))))</f>
        <v>3</v>
      </c>
      <c r="G293" s="4" t="str">
        <f t="shared" si="13"/>
        <v>Week 3</v>
      </c>
      <c r="H293" s="4" t="str">
        <f t="shared" si="14"/>
        <v>January 23 Week 3</v>
      </c>
      <c r="I293" s="4" t="str">
        <f>CONCATENATE(UPPER(TableAopCalendar[[#This Row],[Month]])," ",TableAopCalendar[[#This Row],[Year]])</f>
        <v>JANUARY 23</v>
      </c>
      <c r="J293" s="7" t="s">
        <v>274</v>
      </c>
      <c r="K293" s="7" t="str">
        <f>CONCATENATE(TableAopCalendar[[#This Row],[Month for Plan]]," ",TableAopCalendar[[#This Row],[Plan]])</f>
        <v>JANUARY 23 PLANNED</v>
      </c>
    </row>
    <row r="294" spans="1:11" x14ac:dyDescent="0.3">
      <c r="A294" s="4">
        <f t="shared" si="12"/>
        <v>4</v>
      </c>
      <c r="B294" s="5">
        <v>44944</v>
      </c>
      <c r="C294" s="6" t="s">
        <v>271</v>
      </c>
      <c r="D294" s="6">
        <v>23</v>
      </c>
      <c r="E294" s="4">
        <f>DAY(TableAopCalendar[[#This Row],[Date]])</f>
        <v>18</v>
      </c>
      <c r="F294" s="4">
        <f>IF(TableAopCalendar[[#This Row],[Day]]&lt;8,1,IF(TableAopCalendar[[#This Row],[Day]]&lt;15,2,IF(TableAopCalendar[[#This Row],[Day]]&lt;22,3,IF(TableAopCalendar[[#This Row],[Day]]&lt;29,4,IF(TableAopCalendar[[#This Row],[Day]]&lt;32,5)))))</f>
        <v>3</v>
      </c>
      <c r="G294" s="4" t="str">
        <f t="shared" si="13"/>
        <v>Week 3</v>
      </c>
      <c r="H294" s="4" t="str">
        <f t="shared" si="14"/>
        <v>January 23 Week 3</v>
      </c>
      <c r="I294" s="4" t="str">
        <f>CONCATENATE(UPPER(TableAopCalendar[[#This Row],[Month]])," ",TableAopCalendar[[#This Row],[Year]])</f>
        <v>JANUARY 23</v>
      </c>
      <c r="J294" s="7" t="s">
        <v>274</v>
      </c>
      <c r="K294" s="7" t="str">
        <f>CONCATENATE(TableAopCalendar[[#This Row],[Month for Plan]]," ",TableAopCalendar[[#This Row],[Plan]])</f>
        <v>JANUARY 23 PLANNED</v>
      </c>
    </row>
    <row r="295" spans="1:11" x14ac:dyDescent="0.3">
      <c r="A295" s="4">
        <f t="shared" si="12"/>
        <v>5</v>
      </c>
      <c r="B295" s="5">
        <v>44945</v>
      </c>
      <c r="C295" s="6" t="s">
        <v>271</v>
      </c>
      <c r="D295" s="6">
        <v>23</v>
      </c>
      <c r="E295" s="4">
        <f>DAY(TableAopCalendar[[#This Row],[Date]])</f>
        <v>19</v>
      </c>
      <c r="F295" s="4">
        <f>IF(TableAopCalendar[[#This Row],[Day]]&lt;8,1,IF(TableAopCalendar[[#This Row],[Day]]&lt;15,2,IF(TableAopCalendar[[#This Row],[Day]]&lt;22,3,IF(TableAopCalendar[[#This Row],[Day]]&lt;29,4,IF(TableAopCalendar[[#This Row],[Day]]&lt;32,5)))))</f>
        <v>3</v>
      </c>
      <c r="G295" s="4" t="str">
        <f t="shared" si="13"/>
        <v>Week 3</v>
      </c>
      <c r="H295" s="4" t="str">
        <f t="shared" si="14"/>
        <v>January 23 Week 3</v>
      </c>
      <c r="I295" s="4" t="str">
        <f>CONCATENATE(UPPER(TableAopCalendar[[#This Row],[Month]])," ",TableAopCalendar[[#This Row],[Year]])</f>
        <v>JANUARY 23</v>
      </c>
      <c r="J295" s="7" t="s">
        <v>274</v>
      </c>
      <c r="K295" s="7" t="str">
        <f>CONCATENATE(TableAopCalendar[[#This Row],[Month for Plan]]," ",TableAopCalendar[[#This Row],[Plan]])</f>
        <v>JANUARY 23 PLANNED</v>
      </c>
    </row>
    <row r="296" spans="1:11" x14ac:dyDescent="0.3">
      <c r="A296" s="4">
        <f t="shared" si="12"/>
        <v>6</v>
      </c>
      <c r="B296" s="5">
        <v>44946</v>
      </c>
      <c r="C296" s="6" t="s">
        <v>271</v>
      </c>
      <c r="D296" s="6">
        <v>23</v>
      </c>
      <c r="E296" s="4">
        <f>DAY(TableAopCalendar[[#This Row],[Date]])</f>
        <v>20</v>
      </c>
      <c r="F296" s="4">
        <f>IF(TableAopCalendar[[#This Row],[Day]]&lt;8,1,IF(TableAopCalendar[[#This Row],[Day]]&lt;15,2,IF(TableAopCalendar[[#This Row],[Day]]&lt;22,3,IF(TableAopCalendar[[#This Row],[Day]]&lt;29,4,IF(TableAopCalendar[[#This Row],[Day]]&lt;32,5)))))</f>
        <v>3</v>
      </c>
      <c r="G296" s="4" t="str">
        <f t="shared" si="13"/>
        <v>Week 3</v>
      </c>
      <c r="H296" s="4" t="str">
        <f t="shared" si="14"/>
        <v>January 23 Week 3</v>
      </c>
      <c r="I296" s="4" t="str">
        <f>CONCATENATE(UPPER(TableAopCalendar[[#This Row],[Month]])," ",TableAopCalendar[[#This Row],[Year]])</f>
        <v>JANUARY 23</v>
      </c>
      <c r="J296" s="7" t="s">
        <v>274</v>
      </c>
      <c r="K296" s="7" t="str">
        <f>CONCATENATE(TableAopCalendar[[#This Row],[Month for Plan]]," ",TableAopCalendar[[#This Row],[Plan]])</f>
        <v>JANUARY 23 PLANNED</v>
      </c>
    </row>
    <row r="297" spans="1:11" x14ac:dyDescent="0.3">
      <c r="A297" s="4">
        <f t="shared" si="12"/>
        <v>7</v>
      </c>
      <c r="B297" s="5">
        <v>44947</v>
      </c>
      <c r="C297" s="6" t="s">
        <v>271</v>
      </c>
      <c r="D297" s="6">
        <v>23</v>
      </c>
      <c r="E297" s="4">
        <f>DAY(TableAopCalendar[[#This Row],[Date]])</f>
        <v>21</v>
      </c>
      <c r="F297" s="4">
        <f>IF(TableAopCalendar[[#This Row],[Day]]&lt;8,1,IF(TableAopCalendar[[#This Row],[Day]]&lt;15,2,IF(TableAopCalendar[[#This Row],[Day]]&lt;22,3,IF(TableAopCalendar[[#This Row],[Day]]&lt;29,4,IF(TableAopCalendar[[#This Row],[Day]]&lt;32,5)))))</f>
        <v>3</v>
      </c>
      <c r="G297" s="4" t="str">
        <f t="shared" si="13"/>
        <v>Week 3</v>
      </c>
      <c r="H297" s="4" t="str">
        <f t="shared" si="14"/>
        <v>January 23 Week 3</v>
      </c>
      <c r="I297" s="4" t="str">
        <f>CONCATENATE(UPPER(TableAopCalendar[[#This Row],[Month]])," ",TableAopCalendar[[#This Row],[Year]])</f>
        <v>JANUARY 23</v>
      </c>
      <c r="J297" s="7" t="s">
        <v>274</v>
      </c>
      <c r="K297" s="7" t="str">
        <f>CONCATENATE(TableAopCalendar[[#This Row],[Month for Plan]]," ",TableAopCalendar[[#This Row],[Plan]])</f>
        <v>JANUARY 23 PLANNED</v>
      </c>
    </row>
    <row r="298" spans="1:11" x14ac:dyDescent="0.3">
      <c r="A298" s="4">
        <f t="shared" si="12"/>
        <v>1</v>
      </c>
      <c r="B298" s="5">
        <v>44948</v>
      </c>
      <c r="C298" s="6" t="s">
        <v>271</v>
      </c>
      <c r="D298" s="6">
        <v>23</v>
      </c>
      <c r="E298" s="4">
        <f>DAY(TableAopCalendar[[#This Row],[Date]])</f>
        <v>22</v>
      </c>
      <c r="F298" s="4">
        <f>IF(TableAopCalendar[[#This Row],[Day]]&lt;8,1,IF(TableAopCalendar[[#This Row],[Day]]&lt;15,2,IF(TableAopCalendar[[#This Row],[Day]]&lt;22,3,IF(TableAopCalendar[[#This Row],[Day]]&lt;29,4,IF(TableAopCalendar[[#This Row],[Day]]&lt;32,5)))))</f>
        <v>4</v>
      </c>
      <c r="G298" s="4" t="str">
        <f t="shared" si="13"/>
        <v>Week 4</v>
      </c>
      <c r="H298" s="4" t="str">
        <f t="shared" si="14"/>
        <v>January 23 Week 4</v>
      </c>
      <c r="I298" s="4" t="str">
        <f>CONCATENATE(UPPER(TableAopCalendar[[#This Row],[Month]])," ",TableAopCalendar[[#This Row],[Year]])</f>
        <v>JANUARY 23</v>
      </c>
      <c r="J298" s="7" t="s">
        <v>274</v>
      </c>
      <c r="K298" s="7" t="str">
        <f>CONCATENATE(TableAopCalendar[[#This Row],[Month for Plan]]," ",TableAopCalendar[[#This Row],[Plan]])</f>
        <v>JANUARY 23 PLANNED</v>
      </c>
    </row>
    <row r="299" spans="1:11" x14ac:dyDescent="0.3">
      <c r="A299" s="4">
        <f t="shared" si="12"/>
        <v>2</v>
      </c>
      <c r="B299" s="5">
        <v>44949</v>
      </c>
      <c r="C299" s="6" t="s">
        <v>271</v>
      </c>
      <c r="D299" s="6">
        <v>23</v>
      </c>
      <c r="E299" s="4">
        <f>DAY(TableAopCalendar[[#This Row],[Date]])</f>
        <v>23</v>
      </c>
      <c r="F299" s="4">
        <f>IF(TableAopCalendar[[#This Row],[Day]]&lt;8,1,IF(TableAopCalendar[[#This Row],[Day]]&lt;15,2,IF(TableAopCalendar[[#This Row],[Day]]&lt;22,3,IF(TableAopCalendar[[#This Row],[Day]]&lt;29,4,IF(TableAopCalendar[[#This Row],[Day]]&lt;32,5)))))</f>
        <v>4</v>
      </c>
      <c r="G299" s="4" t="str">
        <f t="shared" si="13"/>
        <v>Week 4</v>
      </c>
      <c r="H299" s="4" t="str">
        <f t="shared" si="14"/>
        <v>January 23 Week 4</v>
      </c>
      <c r="I299" s="4" t="str">
        <f>CONCATENATE(UPPER(TableAopCalendar[[#This Row],[Month]])," ",TableAopCalendar[[#This Row],[Year]])</f>
        <v>JANUARY 23</v>
      </c>
      <c r="J299" s="7" t="s">
        <v>274</v>
      </c>
      <c r="K299" s="7" t="str">
        <f>CONCATENATE(TableAopCalendar[[#This Row],[Month for Plan]]," ",TableAopCalendar[[#This Row],[Plan]])</f>
        <v>JANUARY 23 PLANNED</v>
      </c>
    </row>
    <row r="300" spans="1:11" x14ac:dyDescent="0.3">
      <c r="A300" s="4">
        <f t="shared" si="12"/>
        <v>3</v>
      </c>
      <c r="B300" s="5">
        <v>44950</v>
      </c>
      <c r="C300" s="6" t="s">
        <v>271</v>
      </c>
      <c r="D300" s="6">
        <v>23</v>
      </c>
      <c r="E300" s="4">
        <f>DAY(TableAopCalendar[[#This Row],[Date]])</f>
        <v>24</v>
      </c>
      <c r="F300" s="4">
        <f>IF(TableAopCalendar[[#This Row],[Day]]&lt;8,1,IF(TableAopCalendar[[#This Row],[Day]]&lt;15,2,IF(TableAopCalendar[[#This Row],[Day]]&lt;22,3,IF(TableAopCalendar[[#This Row],[Day]]&lt;29,4,IF(TableAopCalendar[[#This Row],[Day]]&lt;32,5)))))</f>
        <v>4</v>
      </c>
      <c r="G300" s="4" t="str">
        <f t="shared" si="13"/>
        <v>Week 4</v>
      </c>
      <c r="H300" s="4" t="str">
        <f t="shared" si="14"/>
        <v>January 23 Week 4</v>
      </c>
      <c r="I300" s="4" t="str">
        <f>CONCATENATE(UPPER(TableAopCalendar[[#This Row],[Month]])," ",TableAopCalendar[[#This Row],[Year]])</f>
        <v>JANUARY 23</v>
      </c>
      <c r="J300" s="7" t="s">
        <v>274</v>
      </c>
      <c r="K300" s="7" t="str">
        <f>CONCATENATE(TableAopCalendar[[#This Row],[Month for Plan]]," ",TableAopCalendar[[#This Row],[Plan]])</f>
        <v>JANUARY 23 PLANNED</v>
      </c>
    </row>
    <row r="301" spans="1:11" x14ac:dyDescent="0.3">
      <c r="A301" s="4">
        <f t="shared" si="12"/>
        <v>4</v>
      </c>
      <c r="B301" s="5">
        <v>44951</v>
      </c>
      <c r="C301" s="6" t="s">
        <v>271</v>
      </c>
      <c r="D301" s="6">
        <v>23</v>
      </c>
      <c r="E301" s="4">
        <f>DAY(TableAopCalendar[[#This Row],[Date]])</f>
        <v>25</v>
      </c>
      <c r="F301" s="4">
        <f>IF(TableAopCalendar[[#This Row],[Day]]&lt;8,1,IF(TableAopCalendar[[#This Row],[Day]]&lt;15,2,IF(TableAopCalendar[[#This Row],[Day]]&lt;22,3,IF(TableAopCalendar[[#This Row],[Day]]&lt;29,4,IF(TableAopCalendar[[#This Row],[Day]]&lt;32,5)))))</f>
        <v>4</v>
      </c>
      <c r="G301" s="4" t="str">
        <f t="shared" si="13"/>
        <v>Week 4</v>
      </c>
      <c r="H301" s="4" t="str">
        <f t="shared" si="14"/>
        <v>January 23 Week 4</v>
      </c>
      <c r="I301" s="4" t="str">
        <f>CONCATENATE(UPPER(TableAopCalendar[[#This Row],[Month]])," ",TableAopCalendar[[#This Row],[Year]])</f>
        <v>JANUARY 23</v>
      </c>
      <c r="J301" s="7" t="s">
        <v>274</v>
      </c>
      <c r="K301" s="7" t="str">
        <f>CONCATENATE(TableAopCalendar[[#This Row],[Month for Plan]]," ",TableAopCalendar[[#This Row],[Plan]])</f>
        <v>JANUARY 23 PLANNED</v>
      </c>
    </row>
    <row r="302" spans="1:11" x14ac:dyDescent="0.3">
      <c r="A302" s="4">
        <f t="shared" si="12"/>
        <v>5</v>
      </c>
      <c r="B302" s="5">
        <v>44952</v>
      </c>
      <c r="C302" s="6" t="s">
        <v>271</v>
      </c>
      <c r="D302" s="6">
        <v>23</v>
      </c>
      <c r="E302" s="4">
        <f>DAY(TableAopCalendar[[#This Row],[Date]])</f>
        <v>26</v>
      </c>
      <c r="F302" s="4">
        <f>IF(TableAopCalendar[[#This Row],[Day]]&lt;8,1,IF(TableAopCalendar[[#This Row],[Day]]&lt;15,2,IF(TableAopCalendar[[#This Row],[Day]]&lt;22,3,IF(TableAopCalendar[[#This Row],[Day]]&lt;29,4,IF(TableAopCalendar[[#This Row],[Day]]&lt;32,5)))))</f>
        <v>4</v>
      </c>
      <c r="G302" s="4" t="str">
        <f t="shared" si="13"/>
        <v>Week 4</v>
      </c>
      <c r="H302" s="4" t="str">
        <f t="shared" si="14"/>
        <v>January 23 Week 4</v>
      </c>
      <c r="I302" s="4" t="str">
        <f>CONCATENATE(UPPER(TableAopCalendar[[#This Row],[Month]])," ",TableAopCalendar[[#This Row],[Year]])</f>
        <v>JANUARY 23</v>
      </c>
      <c r="J302" s="7" t="s">
        <v>274</v>
      </c>
      <c r="K302" s="7" t="str">
        <f>CONCATENATE(TableAopCalendar[[#This Row],[Month for Plan]]," ",TableAopCalendar[[#This Row],[Plan]])</f>
        <v>JANUARY 23 PLANNED</v>
      </c>
    </row>
    <row r="303" spans="1:11" x14ac:dyDescent="0.3">
      <c r="A303" s="4">
        <f t="shared" si="12"/>
        <v>6</v>
      </c>
      <c r="B303" s="5">
        <v>44953</v>
      </c>
      <c r="C303" s="6" t="s">
        <v>271</v>
      </c>
      <c r="D303" s="6">
        <v>23</v>
      </c>
      <c r="E303" s="4">
        <f>DAY(TableAopCalendar[[#This Row],[Date]])</f>
        <v>27</v>
      </c>
      <c r="F303" s="4">
        <f>IF(TableAopCalendar[[#This Row],[Day]]&lt;8,1,IF(TableAopCalendar[[#This Row],[Day]]&lt;15,2,IF(TableAopCalendar[[#This Row],[Day]]&lt;22,3,IF(TableAopCalendar[[#This Row],[Day]]&lt;29,4,IF(TableAopCalendar[[#This Row],[Day]]&lt;32,5)))))</f>
        <v>4</v>
      </c>
      <c r="G303" s="4" t="str">
        <f t="shared" si="13"/>
        <v>Week 4</v>
      </c>
      <c r="H303" s="4" t="str">
        <f t="shared" si="14"/>
        <v>January 23 Week 4</v>
      </c>
      <c r="I303" s="4" t="str">
        <f>CONCATENATE(UPPER(TableAopCalendar[[#This Row],[Month]])," ",TableAopCalendar[[#This Row],[Year]])</f>
        <v>JANUARY 23</v>
      </c>
      <c r="J303" s="7" t="s">
        <v>274</v>
      </c>
      <c r="K303" s="7" t="str">
        <f>CONCATENATE(TableAopCalendar[[#This Row],[Month for Plan]]," ",TableAopCalendar[[#This Row],[Plan]])</f>
        <v>JANUARY 23 PLANNED</v>
      </c>
    </row>
    <row r="304" spans="1:11" x14ac:dyDescent="0.3">
      <c r="A304" s="4">
        <f t="shared" si="12"/>
        <v>7</v>
      </c>
      <c r="B304" s="5">
        <v>44954</v>
      </c>
      <c r="C304" s="6" t="s">
        <v>271</v>
      </c>
      <c r="D304" s="6">
        <v>23</v>
      </c>
      <c r="E304" s="4">
        <f>DAY(TableAopCalendar[[#This Row],[Date]])</f>
        <v>28</v>
      </c>
      <c r="F304" s="4">
        <f>IF(TableAopCalendar[[#This Row],[Day]]&lt;8,1,IF(TableAopCalendar[[#This Row],[Day]]&lt;15,2,IF(TableAopCalendar[[#This Row],[Day]]&lt;22,3,IF(TableAopCalendar[[#This Row],[Day]]&lt;29,4,IF(TableAopCalendar[[#This Row],[Day]]&lt;32,5)))))</f>
        <v>4</v>
      </c>
      <c r="G304" s="4" t="str">
        <f t="shared" si="13"/>
        <v>Week 4</v>
      </c>
      <c r="H304" s="4" t="str">
        <f t="shared" si="14"/>
        <v>January 23 Week 4</v>
      </c>
      <c r="I304" s="4" t="str">
        <f>CONCATENATE(UPPER(TableAopCalendar[[#This Row],[Month]])," ",TableAopCalendar[[#This Row],[Year]])</f>
        <v>JANUARY 23</v>
      </c>
      <c r="J304" s="7" t="s">
        <v>274</v>
      </c>
      <c r="K304" s="7" t="str">
        <f>CONCATENATE(TableAopCalendar[[#This Row],[Month for Plan]]," ",TableAopCalendar[[#This Row],[Plan]])</f>
        <v>JANUARY 23 PLANNED</v>
      </c>
    </row>
    <row r="305" spans="1:11" x14ac:dyDescent="0.3">
      <c r="A305" s="4">
        <f t="shared" si="12"/>
        <v>1</v>
      </c>
      <c r="B305" s="5">
        <v>44955</v>
      </c>
      <c r="C305" s="6" t="s">
        <v>271</v>
      </c>
      <c r="D305" s="6">
        <v>23</v>
      </c>
      <c r="E305" s="4">
        <f>DAY(TableAopCalendar[[#This Row],[Date]])</f>
        <v>29</v>
      </c>
      <c r="F305" s="4">
        <f>IF(TableAopCalendar[[#This Row],[Day]]&lt;8,1,IF(TableAopCalendar[[#This Row],[Day]]&lt;15,2,IF(TableAopCalendar[[#This Row],[Day]]&lt;22,3,IF(TableAopCalendar[[#This Row],[Day]]&lt;29,4,IF(TableAopCalendar[[#This Row],[Day]]&lt;32,5)))))</f>
        <v>5</v>
      </c>
      <c r="G305" s="4" t="str">
        <f t="shared" si="13"/>
        <v>Week 5</v>
      </c>
      <c r="H305" s="4" t="str">
        <f t="shared" si="14"/>
        <v>January 23 Week 5</v>
      </c>
      <c r="I305" s="4" t="str">
        <f>CONCATENATE(UPPER(TableAopCalendar[[#This Row],[Month]])," ",TableAopCalendar[[#This Row],[Year]])</f>
        <v>JANUARY 23</v>
      </c>
      <c r="J305" s="7" t="s">
        <v>274</v>
      </c>
      <c r="K305" s="7" t="str">
        <f>CONCATENATE(TableAopCalendar[[#This Row],[Month for Plan]]," ",TableAopCalendar[[#This Row],[Plan]])</f>
        <v>JANUARY 23 PLANNED</v>
      </c>
    </row>
    <row r="306" spans="1:11" x14ac:dyDescent="0.3">
      <c r="A306" s="4">
        <f t="shared" si="12"/>
        <v>2</v>
      </c>
      <c r="B306" s="5">
        <v>44956</v>
      </c>
      <c r="C306" s="6" t="s">
        <v>271</v>
      </c>
      <c r="D306" s="6">
        <v>23</v>
      </c>
      <c r="E306" s="4">
        <f>DAY(TableAopCalendar[[#This Row],[Date]])</f>
        <v>30</v>
      </c>
      <c r="F306" s="4">
        <f>IF(TableAopCalendar[[#This Row],[Day]]&lt;8,1,IF(TableAopCalendar[[#This Row],[Day]]&lt;15,2,IF(TableAopCalendar[[#This Row],[Day]]&lt;22,3,IF(TableAopCalendar[[#This Row],[Day]]&lt;29,4,IF(TableAopCalendar[[#This Row],[Day]]&lt;32,5)))))</f>
        <v>5</v>
      </c>
      <c r="G306" s="4" t="str">
        <f t="shared" si="13"/>
        <v>Week 5</v>
      </c>
      <c r="H306" s="4" t="str">
        <f t="shared" si="14"/>
        <v>January 23 Week 5</v>
      </c>
      <c r="I306" s="4" t="str">
        <f>CONCATENATE(UPPER(TableAopCalendar[[#This Row],[Month]])," ",TableAopCalendar[[#This Row],[Year]])</f>
        <v>JANUARY 23</v>
      </c>
      <c r="J306" s="7" t="s">
        <v>274</v>
      </c>
      <c r="K306" s="7" t="str">
        <f>CONCATENATE(TableAopCalendar[[#This Row],[Month for Plan]]," ",TableAopCalendar[[#This Row],[Plan]])</f>
        <v>JANUARY 23 PLANNED</v>
      </c>
    </row>
    <row r="307" spans="1:11" x14ac:dyDescent="0.3">
      <c r="A307" s="4">
        <f t="shared" si="12"/>
        <v>3</v>
      </c>
      <c r="B307" s="5">
        <v>44957</v>
      </c>
      <c r="C307" s="6" t="s">
        <v>271</v>
      </c>
      <c r="D307" s="6">
        <v>23</v>
      </c>
      <c r="E307" s="4">
        <f>DAY(TableAopCalendar[[#This Row],[Date]])</f>
        <v>31</v>
      </c>
      <c r="F307" s="4">
        <f>IF(TableAopCalendar[[#This Row],[Day]]&lt;8,1,IF(TableAopCalendar[[#This Row],[Day]]&lt;15,2,IF(TableAopCalendar[[#This Row],[Day]]&lt;22,3,IF(TableAopCalendar[[#This Row],[Day]]&lt;29,4,IF(TableAopCalendar[[#This Row],[Day]]&lt;32,5)))))</f>
        <v>5</v>
      </c>
      <c r="G307" s="4" t="str">
        <f t="shared" si="13"/>
        <v>Week 5</v>
      </c>
      <c r="H307" s="4" t="str">
        <f t="shared" si="14"/>
        <v>January 23 Week 5</v>
      </c>
      <c r="I307" s="4" t="str">
        <f>CONCATENATE(UPPER(TableAopCalendar[[#This Row],[Month]])," ",TableAopCalendar[[#This Row],[Year]])</f>
        <v>JANUARY 23</v>
      </c>
      <c r="J307" s="7" t="s">
        <v>274</v>
      </c>
      <c r="K307" s="7" t="str">
        <f>CONCATENATE(TableAopCalendar[[#This Row],[Month for Plan]]," ",TableAopCalendar[[#This Row],[Plan]])</f>
        <v>JANUARY 23 PLANNED</v>
      </c>
    </row>
    <row r="308" spans="1:11" x14ac:dyDescent="0.3">
      <c r="A308" s="4">
        <f t="shared" si="12"/>
        <v>1</v>
      </c>
      <c r="B308" s="5">
        <v>44958</v>
      </c>
      <c r="C308" s="6" t="s">
        <v>272</v>
      </c>
      <c r="D308" s="6">
        <v>23</v>
      </c>
      <c r="E308" s="4">
        <f>DAY(TableAopCalendar[[#This Row],[Date]])</f>
        <v>1</v>
      </c>
      <c r="F308" s="4">
        <f>IF(TableAopCalendar[[#This Row],[Day]]&lt;8,1,IF(TableAopCalendar[[#This Row],[Day]]&lt;15,2,IF(TableAopCalendar[[#This Row],[Day]]&lt;22,3,IF(TableAopCalendar[[#This Row],[Day]]&lt;29,4,IF(TableAopCalendar[[#This Row],[Day]]&lt;32,5)))))</f>
        <v>1</v>
      </c>
      <c r="G308" s="4" t="str">
        <f t="shared" si="13"/>
        <v>Week 1</v>
      </c>
      <c r="H308" s="4" t="str">
        <f t="shared" si="14"/>
        <v>February 23 Week 1</v>
      </c>
      <c r="I308" s="4" t="str">
        <f>CONCATENATE(UPPER(TableAopCalendar[[#This Row],[Month]])," ",TableAopCalendar[[#This Row],[Year]])</f>
        <v>FEBRUARY 23</v>
      </c>
      <c r="J308" s="7" t="s">
        <v>274</v>
      </c>
      <c r="K308" s="7" t="str">
        <f>CONCATENATE(TableAopCalendar[[#This Row],[Month for Plan]]," ",TableAopCalendar[[#This Row],[Plan]])</f>
        <v>FEBRUARY 23 PLANNED</v>
      </c>
    </row>
    <row r="309" spans="1:11" x14ac:dyDescent="0.3">
      <c r="A309" s="4">
        <f t="shared" si="12"/>
        <v>2</v>
      </c>
      <c r="B309" s="5">
        <v>44959</v>
      </c>
      <c r="C309" s="6" t="s">
        <v>272</v>
      </c>
      <c r="D309" s="6">
        <v>23</v>
      </c>
      <c r="E309" s="4">
        <f>DAY(TableAopCalendar[[#This Row],[Date]])</f>
        <v>2</v>
      </c>
      <c r="F309" s="4">
        <f>IF(TableAopCalendar[[#This Row],[Day]]&lt;8,1,IF(TableAopCalendar[[#This Row],[Day]]&lt;15,2,IF(TableAopCalendar[[#This Row],[Day]]&lt;22,3,IF(TableAopCalendar[[#This Row],[Day]]&lt;29,4,IF(TableAopCalendar[[#This Row],[Day]]&lt;32,5)))))</f>
        <v>1</v>
      </c>
      <c r="G309" s="4" t="str">
        <f t="shared" si="13"/>
        <v>Week 1</v>
      </c>
      <c r="H309" s="4" t="str">
        <f t="shared" si="14"/>
        <v>February 23 Week 1</v>
      </c>
      <c r="I309" s="4" t="str">
        <f>CONCATENATE(UPPER(TableAopCalendar[[#This Row],[Month]])," ",TableAopCalendar[[#This Row],[Year]])</f>
        <v>FEBRUARY 23</v>
      </c>
      <c r="J309" s="7" t="s">
        <v>274</v>
      </c>
      <c r="K309" s="7" t="str">
        <f>CONCATENATE(TableAopCalendar[[#This Row],[Month for Plan]]," ",TableAopCalendar[[#This Row],[Plan]])</f>
        <v>FEBRUARY 23 PLANNED</v>
      </c>
    </row>
    <row r="310" spans="1:11" x14ac:dyDescent="0.3">
      <c r="A310" s="4">
        <f t="shared" si="12"/>
        <v>3</v>
      </c>
      <c r="B310" s="5">
        <v>44960</v>
      </c>
      <c r="C310" s="6" t="s">
        <v>272</v>
      </c>
      <c r="D310" s="6">
        <v>23</v>
      </c>
      <c r="E310" s="4">
        <f>DAY(TableAopCalendar[[#This Row],[Date]])</f>
        <v>3</v>
      </c>
      <c r="F310" s="4">
        <f>IF(TableAopCalendar[[#This Row],[Day]]&lt;8,1,IF(TableAopCalendar[[#This Row],[Day]]&lt;15,2,IF(TableAopCalendar[[#This Row],[Day]]&lt;22,3,IF(TableAopCalendar[[#This Row],[Day]]&lt;29,4,IF(TableAopCalendar[[#This Row],[Day]]&lt;32,5)))))</f>
        <v>1</v>
      </c>
      <c r="G310" s="4" t="str">
        <f t="shared" si="13"/>
        <v>Week 1</v>
      </c>
      <c r="H310" s="4" t="str">
        <f t="shared" si="14"/>
        <v>February 23 Week 1</v>
      </c>
      <c r="I310" s="4" t="str">
        <f>CONCATENATE(UPPER(TableAopCalendar[[#This Row],[Month]])," ",TableAopCalendar[[#This Row],[Year]])</f>
        <v>FEBRUARY 23</v>
      </c>
      <c r="J310" s="7" t="s">
        <v>274</v>
      </c>
      <c r="K310" s="7" t="str">
        <f>CONCATENATE(TableAopCalendar[[#This Row],[Month for Plan]]," ",TableAopCalendar[[#This Row],[Plan]])</f>
        <v>FEBRUARY 23 PLANNED</v>
      </c>
    </row>
    <row r="311" spans="1:11" x14ac:dyDescent="0.3">
      <c r="A311" s="4">
        <f t="shared" si="12"/>
        <v>4</v>
      </c>
      <c r="B311" s="5">
        <v>44961</v>
      </c>
      <c r="C311" s="6" t="s">
        <v>272</v>
      </c>
      <c r="D311" s="6">
        <v>23</v>
      </c>
      <c r="E311" s="4">
        <f>DAY(TableAopCalendar[[#This Row],[Date]])</f>
        <v>4</v>
      </c>
      <c r="F311" s="4">
        <f>IF(TableAopCalendar[[#This Row],[Day]]&lt;8,1,IF(TableAopCalendar[[#This Row],[Day]]&lt;15,2,IF(TableAopCalendar[[#This Row],[Day]]&lt;22,3,IF(TableAopCalendar[[#This Row],[Day]]&lt;29,4,IF(TableAopCalendar[[#This Row],[Day]]&lt;32,5)))))</f>
        <v>1</v>
      </c>
      <c r="G311" s="4" t="str">
        <f t="shared" si="13"/>
        <v>Week 1</v>
      </c>
      <c r="H311" s="4" t="str">
        <f t="shared" si="14"/>
        <v>February 23 Week 1</v>
      </c>
      <c r="I311" s="4" t="str">
        <f>CONCATENATE(UPPER(TableAopCalendar[[#This Row],[Month]])," ",TableAopCalendar[[#This Row],[Year]])</f>
        <v>FEBRUARY 23</v>
      </c>
      <c r="J311" s="7" t="s">
        <v>274</v>
      </c>
      <c r="K311" s="7" t="str">
        <f>CONCATENATE(TableAopCalendar[[#This Row],[Month for Plan]]," ",TableAopCalendar[[#This Row],[Plan]])</f>
        <v>FEBRUARY 23 PLANNED</v>
      </c>
    </row>
    <row r="312" spans="1:11" x14ac:dyDescent="0.3">
      <c r="A312" s="4">
        <f t="shared" si="12"/>
        <v>5</v>
      </c>
      <c r="B312" s="5">
        <v>44962</v>
      </c>
      <c r="C312" s="6" t="s">
        <v>272</v>
      </c>
      <c r="D312" s="6">
        <v>23</v>
      </c>
      <c r="E312" s="4">
        <f>DAY(TableAopCalendar[[#This Row],[Date]])</f>
        <v>5</v>
      </c>
      <c r="F312" s="4">
        <f>IF(TableAopCalendar[[#This Row],[Day]]&lt;8,1,IF(TableAopCalendar[[#This Row],[Day]]&lt;15,2,IF(TableAopCalendar[[#This Row],[Day]]&lt;22,3,IF(TableAopCalendar[[#This Row],[Day]]&lt;29,4,IF(TableAopCalendar[[#This Row],[Day]]&lt;32,5)))))</f>
        <v>1</v>
      </c>
      <c r="G312" s="4" t="str">
        <f t="shared" si="13"/>
        <v>Week 1</v>
      </c>
      <c r="H312" s="4" t="str">
        <f t="shared" si="14"/>
        <v>February 23 Week 1</v>
      </c>
      <c r="I312" s="4" t="str">
        <f>CONCATENATE(UPPER(TableAopCalendar[[#This Row],[Month]])," ",TableAopCalendar[[#This Row],[Year]])</f>
        <v>FEBRUARY 23</v>
      </c>
      <c r="J312" s="7" t="s">
        <v>274</v>
      </c>
      <c r="K312" s="7" t="str">
        <f>CONCATENATE(TableAopCalendar[[#This Row],[Month for Plan]]," ",TableAopCalendar[[#This Row],[Plan]])</f>
        <v>FEBRUARY 23 PLANNED</v>
      </c>
    </row>
    <row r="313" spans="1:11" x14ac:dyDescent="0.3">
      <c r="A313" s="4">
        <f t="shared" si="12"/>
        <v>6</v>
      </c>
      <c r="B313" s="5">
        <v>44963</v>
      </c>
      <c r="C313" s="6" t="s">
        <v>272</v>
      </c>
      <c r="D313" s="6">
        <v>23</v>
      </c>
      <c r="E313" s="4">
        <f>DAY(TableAopCalendar[[#This Row],[Date]])</f>
        <v>6</v>
      </c>
      <c r="F313" s="4">
        <f>IF(TableAopCalendar[[#This Row],[Day]]&lt;8,1,IF(TableAopCalendar[[#This Row],[Day]]&lt;15,2,IF(TableAopCalendar[[#This Row],[Day]]&lt;22,3,IF(TableAopCalendar[[#This Row],[Day]]&lt;29,4,IF(TableAopCalendar[[#This Row],[Day]]&lt;32,5)))))</f>
        <v>1</v>
      </c>
      <c r="G313" s="4" t="str">
        <f t="shared" si="13"/>
        <v>Week 1</v>
      </c>
      <c r="H313" s="4" t="str">
        <f t="shared" si="14"/>
        <v>February 23 Week 1</v>
      </c>
      <c r="I313" s="4" t="str">
        <f>CONCATENATE(UPPER(TableAopCalendar[[#This Row],[Month]])," ",TableAopCalendar[[#This Row],[Year]])</f>
        <v>FEBRUARY 23</v>
      </c>
      <c r="J313" s="7" t="s">
        <v>274</v>
      </c>
      <c r="K313" s="7" t="str">
        <f>CONCATENATE(TableAopCalendar[[#This Row],[Month for Plan]]," ",TableAopCalendar[[#This Row],[Plan]])</f>
        <v>FEBRUARY 23 PLANNED</v>
      </c>
    </row>
    <row r="314" spans="1:11" x14ac:dyDescent="0.3">
      <c r="A314" s="4">
        <f t="shared" si="12"/>
        <v>7</v>
      </c>
      <c r="B314" s="5">
        <v>44964</v>
      </c>
      <c r="C314" s="6" t="s">
        <v>272</v>
      </c>
      <c r="D314" s="6">
        <v>23</v>
      </c>
      <c r="E314" s="4">
        <f>DAY(TableAopCalendar[[#This Row],[Date]])</f>
        <v>7</v>
      </c>
      <c r="F314" s="4">
        <f>IF(TableAopCalendar[[#This Row],[Day]]&lt;8,1,IF(TableAopCalendar[[#This Row],[Day]]&lt;15,2,IF(TableAopCalendar[[#This Row],[Day]]&lt;22,3,IF(TableAopCalendar[[#This Row],[Day]]&lt;29,4,IF(TableAopCalendar[[#This Row],[Day]]&lt;32,5)))))</f>
        <v>1</v>
      </c>
      <c r="G314" s="4" t="str">
        <f t="shared" si="13"/>
        <v>Week 1</v>
      </c>
      <c r="H314" s="4" t="str">
        <f t="shared" si="14"/>
        <v>February 23 Week 1</v>
      </c>
      <c r="I314" s="4" t="str">
        <f>CONCATENATE(UPPER(TableAopCalendar[[#This Row],[Month]])," ",TableAopCalendar[[#This Row],[Year]])</f>
        <v>FEBRUARY 23</v>
      </c>
      <c r="J314" s="7" t="s">
        <v>274</v>
      </c>
      <c r="K314" s="7" t="str">
        <f>CONCATENATE(TableAopCalendar[[#This Row],[Month for Plan]]," ",TableAopCalendar[[#This Row],[Plan]])</f>
        <v>FEBRUARY 23 PLANNED</v>
      </c>
    </row>
    <row r="315" spans="1:11" x14ac:dyDescent="0.3">
      <c r="A315" s="4">
        <f t="shared" si="12"/>
        <v>1</v>
      </c>
      <c r="B315" s="5">
        <v>44965</v>
      </c>
      <c r="C315" s="6" t="s">
        <v>272</v>
      </c>
      <c r="D315" s="6">
        <v>23</v>
      </c>
      <c r="E315" s="4">
        <f>DAY(TableAopCalendar[[#This Row],[Date]])</f>
        <v>8</v>
      </c>
      <c r="F315" s="4">
        <f>IF(TableAopCalendar[[#This Row],[Day]]&lt;8,1,IF(TableAopCalendar[[#This Row],[Day]]&lt;15,2,IF(TableAopCalendar[[#This Row],[Day]]&lt;22,3,IF(TableAopCalendar[[#This Row],[Day]]&lt;29,4,IF(TableAopCalendar[[#This Row],[Day]]&lt;32,5)))))</f>
        <v>2</v>
      </c>
      <c r="G315" s="4" t="str">
        <f t="shared" si="13"/>
        <v>Week 2</v>
      </c>
      <c r="H315" s="4" t="str">
        <f t="shared" si="14"/>
        <v>February 23 Week 2</v>
      </c>
      <c r="I315" s="4" t="str">
        <f>CONCATENATE(UPPER(TableAopCalendar[[#This Row],[Month]])," ",TableAopCalendar[[#This Row],[Year]])</f>
        <v>FEBRUARY 23</v>
      </c>
      <c r="J315" s="7" t="s">
        <v>274</v>
      </c>
      <c r="K315" s="7" t="str">
        <f>CONCATENATE(TableAopCalendar[[#This Row],[Month for Plan]]," ",TableAopCalendar[[#This Row],[Plan]])</f>
        <v>FEBRUARY 23 PLANNED</v>
      </c>
    </row>
    <row r="316" spans="1:11" x14ac:dyDescent="0.3">
      <c r="A316" s="4">
        <f t="shared" si="12"/>
        <v>2</v>
      </c>
      <c r="B316" s="5">
        <v>44966</v>
      </c>
      <c r="C316" s="6" t="s">
        <v>272</v>
      </c>
      <c r="D316" s="6">
        <v>23</v>
      </c>
      <c r="E316" s="4">
        <f>DAY(TableAopCalendar[[#This Row],[Date]])</f>
        <v>9</v>
      </c>
      <c r="F316" s="4">
        <f>IF(TableAopCalendar[[#This Row],[Day]]&lt;8,1,IF(TableAopCalendar[[#This Row],[Day]]&lt;15,2,IF(TableAopCalendar[[#This Row],[Day]]&lt;22,3,IF(TableAopCalendar[[#This Row],[Day]]&lt;29,4,IF(TableAopCalendar[[#This Row],[Day]]&lt;32,5)))))</f>
        <v>2</v>
      </c>
      <c r="G316" s="4" t="str">
        <f t="shared" si="13"/>
        <v>Week 2</v>
      </c>
      <c r="H316" s="4" t="str">
        <f t="shared" si="14"/>
        <v>February 23 Week 2</v>
      </c>
      <c r="I316" s="4" t="str">
        <f>CONCATENATE(UPPER(TableAopCalendar[[#This Row],[Month]])," ",TableAopCalendar[[#This Row],[Year]])</f>
        <v>FEBRUARY 23</v>
      </c>
      <c r="J316" s="7" t="s">
        <v>274</v>
      </c>
      <c r="K316" s="7" t="str">
        <f>CONCATENATE(TableAopCalendar[[#This Row],[Month for Plan]]," ",TableAopCalendar[[#This Row],[Plan]])</f>
        <v>FEBRUARY 23 PLANNED</v>
      </c>
    </row>
    <row r="317" spans="1:11" x14ac:dyDescent="0.3">
      <c r="A317" s="4">
        <f t="shared" si="12"/>
        <v>3</v>
      </c>
      <c r="B317" s="5">
        <v>44967</v>
      </c>
      <c r="C317" s="6" t="s">
        <v>272</v>
      </c>
      <c r="D317" s="6">
        <v>23</v>
      </c>
      <c r="E317" s="4">
        <f>DAY(TableAopCalendar[[#This Row],[Date]])</f>
        <v>10</v>
      </c>
      <c r="F317" s="4">
        <f>IF(TableAopCalendar[[#This Row],[Day]]&lt;8,1,IF(TableAopCalendar[[#This Row],[Day]]&lt;15,2,IF(TableAopCalendar[[#This Row],[Day]]&lt;22,3,IF(TableAopCalendar[[#This Row],[Day]]&lt;29,4,IF(TableAopCalendar[[#This Row],[Day]]&lt;32,5)))))</f>
        <v>2</v>
      </c>
      <c r="G317" s="4" t="str">
        <f t="shared" si="13"/>
        <v>Week 2</v>
      </c>
      <c r="H317" s="4" t="str">
        <f t="shared" si="14"/>
        <v>February 23 Week 2</v>
      </c>
      <c r="I317" s="4" t="str">
        <f>CONCATENATE(UPPER(TableAopCalendar[[#This Row],[Month]])," ",TableAopCalendar[[#This Row],[Year]])</f>
        <v>FEBRUARY 23</v>
      </c>
      <c r="J317" s="7" t="s">
        <v>274</v>
      </c>
      <c r="K317" s="7" t="str">
        <f>CONCATENATE(TableAopCalendar[[#This Row],[Month for Plan]]," ",TableAopCalendar[[#This Row],[Plan]])</f>
        <v>FEBRUARY 23 PLANNED</v>
      </c>
    </row>
    <row r="318" spans="1:11" x14ac:dyDescent="0.3">
      <c r="A318" s="4">
        <f t="shared" si="12"/>
        <v>4</v>
      </c>
      <c r="B318" s="5">
        <v>44968</v>
      </c>
      <c r="C318" s="6" t="s">
        <v>272</v>
      </c>
      <c r="D318" s="6">
        <v>23</v>
      </c>
      <c r="E318" s="4">
        <f>DAY(TableAopCalendar[[#This Row],[Date]])</f>
        <v>11</v>
      </c>
      <c r="F318" s="4">
        <f>IF(TableAopCalendar[[#This Row],[Day]]&lt;8,1,IF(TableAopCalendar[[#This Row],[Day]]&lt;15,2,IF(TableAopCalendar[[#This Row],[Day]]&lt;22,3,IF(TableAopCalendar[[#This Row],[Day]]&lt;29,4,IF(TableAopCalendar[[#This Row],[Day]]&lt;32,5)))))</f>
        <v>2</v>
      </c>
      <c r="G318" s="4" t="str">
        <f t="shared" si="13"/>
        <v>Week 2</v>
      </c>
      <c r="H318" s="4" t="str">
        <f t="shared" si="14"/>
        <v>February 23 Week 2</v>
      </c>
      <c r="I318" s="4" t="str">
        <f>CONCATENATE(UPPER(TableAopCalendar[[#This Row],[Month]])," ",TableAopCalendar[[#This Row],[Year]])</f>
        <v>FEBRUARY 23</v>
      </c>
      <c r="J318" s="7" t="s">
        <v>274</v>
      </c>
      <c r="K318" s="7" t="str">
        <f>CONCATENATE(TableAopCalendar[[#This Row],[Month for Plan]]," ",TableAopCalendar[[#This Row],[Plan]])</f>
        <v>FEBRUARY 23 PLANNED</v>
      </c>
    </row>
    <row r="319" spans="1:11" x14ac:dyDescent="0.3">
      <c r="A319" s="4">
        <f t="shared" si="12"/>
        <v>5</v>
      </c>
      <c r="B319" s="5">
        <v>44969</v>
      </c>
      <c r="C319" s="6" t="s">
        <v>272</v>
      </c>
      <c r="D319" s="6">
        <v>23</v>
      </c>
      <c r="E319" s="4">
        <f>DAY(TableAopCalendar[[#This Row],[Date]])</f>
        <v>12</v>
      </c>
      <c r="F319" s="4">
        <f>IF(TableAopCalendar[[#This Row],[Day]]&lt;8,1,IF(TableAopCalendar[[#This Row],[Day]]&lt;15,2,IF(TableAopCalendar[[#This Row],[Day]]&lt;22,3,IF(TableAopCalendar[[#This Row],[Day]]&lt;29,4,IF(TableAopCalendar[[#This Row],[Day]]&lt;32,5)))))</f>
        <v>2</v>
      </c>
      <c r="G319" s="4" t="str">
        <f t="shared" si="13"/>
        <v>Week 2</v>
      </c>
      <c r="H319" s="4" t="str">
        <f t="shared" si="14"/>
        <v>February 23 Week 2</v>
      </c>
      <c r="I319" s="4" t="str">
        <f>CONCATENATE(UPPER(TableAopCalendar[[#This Row],[Month]])," ",TableAopCalendar[[#This Row],[Year]])</f>
        <v>FEBRUARY 23</v>
      </c>
      <c r="J319" s="7" t="s">
        <v>274</v>
      </c>
      <c r="K319" s="7" t="str">
        <f>CONCATENATE(TableAopCalendar[[#This Row],[Month for Plan]]," ",TableAopCalendar[[#This Row],[Plan]])</f>
        <v>FEBRUARY 23 PLANNED</v>
      </c>
    </row>
    <row r="320" spans="1:11" x14ac:dyDescent="0.3">
      <c r="A320" s="4">
        <f t="shared" si="12"/>
        <v>6</v>
      </c>
      <c r="B320" s="5">
        <v>44970</v>
      </c>
      <c r="C320" s="6" t="s">
        <v>272</v>
      </c>
      <c r="D320" s="6">
        <v>23</v>
      </c>
      <c r="E320" s="4">
        <f>DAY(TableAopCalendar[[#This Row],[Date]])</f>
        <v>13</v>
      </c>
      <c r="F320" s="4">
        <f>IF(TableAopCalendar[[#This Row],[Day]]&lt;8,1,IF(TableAopCalendar[[#This Row],[Day]]&lt;15,2,IF(TableAopCalendar[[#This Row],[Day]]&lt;22,3,IF(TableAopCalendar[[#This Row],[Day]]&lt;29,4,IF(TableAopCalendar[[#This Row],[Day]]&lt;32,5)))))</f>
        <v>2</v>
      </c>
      <c r="G320" s="4" t="str">
        <f t="shared" si="13"/>
        <v>Week 2</v>
      </c>
      <c r="H320" s="4" t="str">
        <f t="shared" si="14"/>
        <v>February 23 Week 2</v>
      </c>
      <c r="I320" s="4" t="str">
        <f>CONCATENATE(UPPER(TableAopCalendar[[#This Row],[Month]])," ",TableAopCalendar[[#This Row],[Year]])</f>
        <v>FEBRUARY 23</v>
      </c>
      <c r="J320" s="7" t="s">
        <v>274</v>
      </c>
      <c r="K320" s="7" t="str">
        <f>CONCATENATE(TableAopCalendar[[#This Row],[Month for Plan]]," ",TableAopCalendar[[#This Row],[Plan]])</f>
        <v>FEBRUARY 23 PLANNED</v>
      </c>
    </row>
    <row r="321" spans="1:11" x14ac:dyDescent="0.3">
      <c r="A321" s="4">
        <f t="shared" si="12"/>
        <v>7</v>
      </c>
      <c r="B321" s="5">
        <v>44971</v>
      </c>
      <c r="C321" s="6" t="s">
        <v>272</v>
      </c>
      <c r="D321" s="6">
        <v>23</v>
      </c>
      <c r="E321" s="4">
        <f>DAY(TableAopCalendar[[#This Row],[Date]])</f>
        <v>14</v>
      </c>
      <c r="F321" s="4">
        <f>IF(TableAopCalendar[[#This Row],[Day]]&lt;8,1,IF(TableAopCalendar[[#This Row],[Day]]&lt;15,2,IF(TableAopCalendar[[#This Row],[Day]]&lt;22,3,IF(TableAopCalendar[[#This Row],[Day]]&lt;29,4,IF(TableAopCalendar[[#This Row],[Day]]&lt;32,5)))))</f>
        <v>2</v>
      </c>
      <c r="G321" s="4" t="str">
        <f t="shared" si="13"/>
        <v>Week 2</v>
      </c>
      <c r="H321" s="4" t="str">
        <f t="shared" si="14"/>
        <v>February 23 Week 2</v>
      </c>
      <c r="I321" s="4" t="str">
        <f>CONCATENATE(UPPER(TableAopCalendar[[#This Row],[Month]])," ",TableAopCalendar[[#This Row],[Year]])</f>
        <v>FEBRUARY 23</v>
      </c>
      <c r="J321" s="7" t="s">
        <v>274</v>
      </c>
      <c r="K321" s="7" t="str">
        <f>CONCATENATE(TableAopCalendar[[#This Row],[Month for Plan]]," ",TableAopCalendar[[#This Row],[Plan]])</f>
        <v>FEBRUARY 23 PLANNED</v>
      </c>
    </row>
    <row r="322" spans="1:11" x14ac:dyDescent="0.3">
      <c r="A322" s="4">
        <f t="shared" ref="A322:A385" si="15">IF(G322=G321,A321+1,1)</f>
        <v>1</v>
      </c>
      <c r="B322" s="5">
        <v>44972</v>
      </c>
      <c r="C322" s="6" t="s">
        <v>272</v>
      </c>
      <c r="D322" s="6">
        <v>23</v>
      </c>
      <c r="E322" s="4">
        <f>DAY(TableAopCalendar[[#This Row],[Date]])</f>
        <v>15</v>
      </c>
      <c r="F322" s="4">
        <f>IF(TableAopCalendar[[#This Row],[Day]]&lt;8,1,IF(TableAopCalendar[[#This Row],[Day]]&lt;15,2,IF(TableAopCalendar[[#This Row],[Day]]&lt;22,3,IF(TableAopCalendar[[#This Row],[Day]]&lt;29,4,IF(TableAopCalendar[[#This Row],[Day]]&lt;32,5)))))</f>
        <v>3</v>
      </c>
      <c r="G322" s="4" t="str">
        <f t="shared" ref="G322:G385" si="16">"Week"&amp;" "&amp;F322</f>
        <v>Week 3</v>
      </c>
      <c r="H322" s="4" t="str">
        <f t="shared" ref="H322:H385" si="17">CONCATENATE(C322," ",D322," ",G322)</f>
        <v>February 23 Week 3</v>
      </c>
      <c r="I322" s="4" t="str">
        <f>CONCATENATE(UPPER(TableAopCalendar[[#This Row],[Month]])," ",TableAopCalendar[[#This Row],[Year]])</f>
        <v>FEBRUARY 23</v>
      </c>
      <c r="J322" s="7" t="s">
        <v>274</v>
      </c>
      <c r="K322" s="7" t="str">
        <f>CONCATENATE(TableAopCalendar[[#This Row],[Month for Plan]]," ",TableAopCalendar[[#This Row],[Plan]])</f>
        <v>FEBRUARY 23 PLANNED</v>
      </c>
    </row>
    <row r="323" spans="1:11" x14ac:dyDescent="0.3">
      <c r="A323" s="4">
        <f t="shared" si="15"/>
        <v>2</v>
      </c>
      <c r="B323" s="5">
        <v>44973</v>
      </c>
      <c r="C323" s="6" t="s">
        <v>272</v>
      </c>
      <c r="D323" s="6">
        <v>23</v>
      </c>
      <c r="E323" s="4">
        <f>DAY(TableAopCalendar[[#This Row],[Date]])</f>
        <v>16</v>
      </c>
      <c r="F323" s="4">
        <f>IF(TableAopCalendar[[#This Row],[Day]]&lt;8,1,IF(TableAopCalendar[[#This Row],[Day]]&lt;15,2,IF(TableAopCalendar[[#This Row],[Day]]&lt;22,3,IF(TableAopCalendar[[#This Row],[Day]]&lt;29,4,IF(TableAopCalendar[[#This Row],[Day]]&lt;32,5)))))</f>
        <v>3</v>
      </c>
      <c r="G323" s="4" t="str">
        <f t="shared" si="16"/>
        <v>Week 3</v>
      </c>
      <c r="H323" s="4" t="str">
        <f t="shared" si="17"/>
        <v>February 23 Week 3</v>
      </c>
      <c r="I323" s="4" t="str">
        <f>CONCATENATE(UPPER(TableAopCalendar[[#This Row],[Month]])," ",TableAopCalendar[[#This Row],[Year]])</f>
        <v>FEBRUARY 23</v>
      </c>
      <c r="J323" s="7" t="s">
        <v>274</v>
      </c>
      <c r="K323" s="7" t="str">
        <f>CONCATENATE(TableAopCalendar[[#This Row],[Month for Plan]]," ",TableAopCalendar[[#This Row],[Plan]])</f>
        <v>FEBRUARY 23 PLANNED</v>
      </c>
    </row>
    <row r="324" spans="1:11" x14ac:dyDescent="0.3">
      <c r="A324" s="4">
        <f t="shared" si="15"/>
        <v>3</v>
      </c>
      <c r="B324" s="5">
        <v>44974</v>
      </c>
      <c r="C324" s="6" t="s">
        <v>272</v>
      </c>
      <c r="D324" s="6">
        <v>23</v>
      </c>
      <c r="E324" s="4">
        <f>DAY(TableAopCalendar[[#This Row],[Date]])</f>
        <v>17</v>
      </c>
      <c r="F324" s="4">
        <f>IF(TableAopCalendar[[#This Row],[Day]]&lt;8,1,IF(TableAopCalendar[[#This Row],[Day]]&lt;15,2,IF(TableAopCalendar[[#This Row],[Day]]&lt;22,3,IF(TableAopCalendar[[#This Row],[Day]]&lt;29,4,IF(TableAopCalendar[[#This Row],[Day]]&lt;32,5)))))</f>
        <v>3</v>
      </c>
      <c r="G324" s="4" t="str">
        <f t="shared" si="16"/>
        <v>Week 3</v>
      </c>
      <c r="H324" s="4" t="str">
        <f t="shared" si="17"/>
        <v>February 23 Week 3</v>
      </c>
      <c r="I324" s="4" t="str">
        <f>CONCATENATE(UPPER(TableAopCalendar[[#This Row],[Month]])," ",TableAopCalendar[[#This Row],[Year]])</f>
        <v>FEBRUARY 23</v>
      </c>
      <c r="J324" s="7" t="s">
        <v>274</v>
      </c>
      <c r="K324" s="7" t="str">
        <f>CONCATENATE(TableAopCalendar[[#This Row],[Month for Plan]]," ",TableAopCalendar[[#This Row],[Plan]])</f>
        <v>FEBRUARY 23 PLANNED</v>
      </c>
    </row>
    <row r="325" spans="1:11" x14ac:dyDescent="0.3">
      <c r="A325" s="4">
        <f t="shared" si="15"/>
        <v>4</v>
      </c>
      <c r="B325" s="5">
        <v>44975</v>
      </c>
      <c r="C325" s="6" t="s">
        <v>272</v>
      </c>
      <c r="D325" s="6">
        <v>23</v>
      </c>
      <c r="E325" s="4">
        <f>DAY(TableAopCalendar[[#This Row],[Date]])</f>
        <v>18</v>
      </c>
      <c r="F325" s="4">
        <f>IF(TableAopCalendar[[#This Row],[Day]]&lt;8,1,IF(TableAopCalendar[[#This Row],[Day]]&lt;15,2,IF(TableAopCalendar[[#This Row],[Day]]&lt;22,3,IF(TableAopCalendar[[#This Row],[Day]]&lt;29,4,IF(TableAopCalendar[[#This Row],[Day]]&lt;32,5)))))</f>
        <v>3</v>
      </c>
      <c r="G325" s="4" t="str">
        <f t="shared" si="16"/>
        <v>Week 3</v>
      </c>
      <c r="H325" s="4" t="str">
        <f t="shared" si="17"/>
        <v>February 23 Week 3</v>
      </c>
      <c r="I325" s="4" t="str">
        <f>CONCATENATE(UPPER(TableAopCalendar[[#This Row],[Month]])," ",TableAopCalendar[[#This Row],[Year]])</f>
        <v>FEBRUARY 23</v>
      </c>
      <c r="J325" s="7" t="s">
        <v>274</v>
      </c>
      <c r="K325" s="7" t="str">
        <f>CONCATENATE(TableAopCalendar[[#This Row],[Month for Plan]]," ",TableAopCalendar[[#This Row],[Plan]])</f>
        <v>FEBRUARY 23 PLANNED</v>
      </c>
    </row>
    <row r="326" spans="1:11" x14ac:dyDescent="0.3">
      <c r="A326" s="4">
        <f t="shared" si="15"/>
        <v>5</v>
      </c>
      <c r="B326" s="5">
        <v>44976</v>
      </c>
      <c r="C326" s="6" t="s">
        <v>272</v>
      </c>
      <c r="D326" s="6">
        <v>23</v>
      </c>
      <c r="E326" s="4">
        <f>DAY(TableAopCalendar[[#This Row],[Date]])</f>
        <v>19</v>
      </c>
      <c r="F326" s="4">
        <f>IF(TableAopCalendar[[#This Row],[Day]]&lt;8,1,IF(TableAopCalendar[[#This Row],[Day]]&lt;15,2,IF(TableAopCalendar[[#This Row],[Day]]&lt;22,3,IF(TableAopCalendar[[#This Row],[Day]]&lt;29,4,IF(TableAopCalendar[[#This Row],[Day]]&lt;32,5)))))</f>
        <v>3</v>
      </c>
      <c r="G326" s="4" t="str">
        <f t="shared" si="16"/>
        <v>Week 3</v>
      </c>
      <c r="H326" s="4" t="str">
        <f t="shared" si="17"/>
        <v>February 23 Week 3</v>
      </c>
      <c r="I326" s="4" t="str">
        <f>CONCATENATE(UPPER(TableAopCalendar[[#This Row],[Month]])," ",TableAopCalendar[[#This Row],[Year]])</f>
        <v>FEBRUARY 23</v>
      </c>
      <c r="J326" s="7" t="s">
        <v>274</v>
      </c>
      <c r="K326" s="7" t="str">
        <f>CONCATENATE(TableAopCalendar[[#This Row],[Month for Plan]]," ",TableAopCalendar[[#This Row],[Plan]])</f>
        <v>FEBRUARY 23 PLANNED</v>
      </c>
    </row>
    <row r="327" spans="1:11" x14ac:dyDescent="0.3">
      <c r="A327" s="4">
        <f t="shared" si="15"/>
        <v>6</v>
      </c>
      <c r="B327" s="5">
        <v>44977</v>
      </c>
      <c r="C327" s="6" t="s">
        <v>272</v>
      </c>
      <c r="D327" s="6">
        <v>23</v>
      </c>
      <c r="E327" s="4">
        <f>DAY(TableAopCalendar[[#This Row],[Date]])</f>
        <v>20</v>
      </c>
      <c r="F327" s="4">
        <f>IF(TableAopCalendar[[#This Row],[Day]]&lt;8,1,IF(TableAopCalendar[[#This Row],[Day]]&lt;15,2,IF(TableAopCalendar[[#This Row],[Day]]&lt;22,3,IF(TableAopCalendar[[#This Row],[Day]]&lt;29,4,IF(TableAopCalendar[[#This Row],[Day]]&lt;32,5)))))</f>
        <v>3</v>
      </c>
      <c r="G327" s="4" t="str">
        <f t="shared" si="16"/>
        <v>Week 3</v>
      </c>
      <c r="H327" s="4" t="str">
        <f t="shared" si="17"/>
        <v>February 23 Week 3</v>
      </c>
      <c r="I327" s="4" t="str">
        <f>CONCATENATE(UPPER(TableAopCalendar[[#This Row],[Month]])," ",TableAopCalendar[[#This Row],[Year]])</f>
        <v>FEBRUARY 23</v>
      </c>
      <c r="J327" s="7" t="s">
        <v>274</v>
      </c>
      <c r="K327" s="7" t="str">
        <f>CONCATENATE(TableAopCalendar[[#This Row],[Month for Plan]]," ",TableAopCalendar[[#This Row],[Plan]])</f>
        <v>FEBRUARY 23 PLANNED</v>
      </c>
    </row>
    <row r="328" spans="1:11" x14ac:dyDescent="0.3">
      <c r="A328" s="4">
        <f t="shared" si="15"/>
        <v>7</v>
      </c>
      <c r="B328" s="5">
        <v>44978</v>
      </c>
      <c r="C328" s="6" t="s">
        <v>272</v>
      </c>
      <c r="D328" s="6">
        <v>23</v>
      </c>
      <c r="E328" s="4">
        <f>DAY(TableAopCalendar[[#This Row],[Date]])</f>
        <v>21</v>
      </c>
      <c r="F328" s="4">
        <f>IF(TableAopCalendar[[#This Row],[Day]]&lt;8,1,IF(TableAopCalendar[[#This Row],[Day]]&lt;15,2,IF(TableAopCalendar[[#This Row],[Day]]&lt;22,3,IF(TableAopCalendar[[#This Row],[Day]]&lt;29,4,IF(TableAopCalendar[[#This Row],[Day]]&lt;32,5)))))</f>
        <v>3</v>
      </c>
      <c r="G328" s="4" t="str">
        <f t="shared" si="16"/>
        <v>Week 3</v>
      </c>
      <c r="H328" s="4" t="str">
        <f t="shared" si="17"/>
        <v>February 23 Week 3</v>
      </c>
      <c r="I328" s="4" t="str">
        <f>CONCATENATE(UPPER(TableAopCalendar[[#This Row],[Month]])," ",TableAopCalendar[[#This Row],[Year]])</f>
        <v>FEBRUARY 23</v>
      </c>
      <c r="J328" s="7" t="s">
        <v>274</v>
      </c>
      <c r="K328" s="7" t="str">
        <f>CONCATENATE(TableAopCalendar[[#This Row],[Month for Plan]]," ",TableAopCalendar[[#This Row],[Plan]])</f>
        <v>FEBRUARY 23 PLANNED</v>
      </c>
    </row>
    <row r="329" spans="1:11" x14ac:dyDescent="0.3">
      <c r="A329" s="4">
        <f t="shared" si="15"/>
        <v>1</v>
      </c>
      <c r="B329" s="5">
        <v>44979</v>
      </c>
      <c r="C329" s="6" t="s">
        <v>272</v>
      </c>
      <c r="D329" s="6">
        <v>23</v>
      </c>
      <c r="E329" s="4">
        <f>DAY(TableAopCalendar[[#This Row],[Date]])</f>
        <v>22</v>
      </c>
      <c r="F329" s="4">
        <f>IF(TableAopCalendar[[#This Row],[Day]]&lt;8,1,IF(TableAopCalendar[[#This Row],[Day]]&lt;15,2,IF(TableAopCalendar[[#This Row],[Day]]&lt;22,3,IF(TableAopCalendar[[#This Row],[Day]]&lt;29,4,IF(TableAopCalendar[[#This Row],[Day]]&lt;32,5)))))</f>
        <v>4</v>
      </c>
      <c r="G329" s="4" t="str">
        <f t="shared" si="16"/>
        <v>Week 4</v>
      </c>
      <c r="H329" s="4" t="str">
        <f t="shared" si="17"/>
        <v>February 23 Week 4</v>
      </c>
      <c r="I329" s="4" t="str">
        <f>CONCATENATE(UPPER(TableAopCalendar[[#This Row],[Month]])," ",TableAopCalendar[[#This Row],[Year]])</f>
        <v>FEBRUARY 23</v>
      </c>
      <c r="J329" s="7" t="s">
        <v>274</v>
      </c>
      <c r="K329" s="7" t="str">
        <f>CONCATENATE(TableAopCalendar[[#This Row],[Month for Plan]]," ",TableAopCalendar[[#This Row],[Plan]])</f>
        <v>FEBRUARY 23 PLANNED</v>
      </c>
    </row>
    <row r="330" spans="1:11" x14ac:dyDescent="0.3">
      <c r="A330" s="4">
        <f t="shared" si="15"/>
        <v>2</v>
      </c>
      <c r="B330" s="5">
        <v>44980</v>
      </c>
      <c r="C330" s="6" t="s">
        <v>272</v>
      </c>
      <c r="D330" s="6">
        <v>23</v>
      </c>
      <c r="E330" s="4">
        <f>DAY(TableAopCalendar[[#This Row],[Date]])</f>
        <v>23</v>
      </c>
      <c r="F330" s="4">
        <f>IF(TableAopCalendar[[#This Row],[Day]]&lt;8,1,IF(TableAopCalendar[[#This Row],[Day]]&lt;15,2,IF(TableAopCalendar[[#This Row],[Day]]&lt;22,3,IF(TableAopCalendar[[#This Row],[Day]]&lt;29,4,IF(TableAopCalendar[[#This Row],[Day]]&lt;32,5)))))</f>
        <v>4</v>
      </c>
      <c r="G330" s="4" t="str">
        <f t="shared" si="16"/>
        <v>Week 4</v>
      </c>
      <c r="H330" s="4" t="str">
        <f t="shared" si="17"/>
        <v>February 23 Week 4</v>
      </c>
      <c r="I330" s="4" t="str">
        <f>CONCATENATE(UPPER(TableAopCalendar[[#This Row],[Month]])," ",TableAopCalendar[[#This Row],[Year]])</f>
        <v>FEBRUARY 23</v>
      </c>
      <c r="J330" s="7" t="s">
        <v>274</v>
      </c>
      <c r="K330" s="7" t="str">
        <f>CONCATENATE(TableAopCalendar[[#This Row],[Month for Plan]]," ",TableAopCalendar[[#This Row],[Plan]])</f>
        <v>FEBRUARY 23 PLANNED</v>
      </c>
    </row>
    <row r="331" spans="1:11" x14ac:dyDescent="0.3">
      <c r="A331" s="4">
        <f t="shared" si="15"/>
        <v>3</v>
      </c>
      <c r="B331" s="5">
        <v>44981</v>
      </c>
      <c r="C331" s="6" t="s">
        <v>272</v>
      </c>
      <c r="D331" s="6">
        <v>23</v>
      </c>
      <c r="E331" s="4">
        <f>DAY(TableAopCalendar[[#This Row],[Date]])</f>
        <v>24</v>
      </c>
      <c r="F331" s="4">
        <f>IF(TableAopCalendar[[#This Row],[Day]]&lt;8,1,IF(TableAopCalendar[[#This Row],[Day]]&lt;15,2,IF(TableAopCalendar[[#This Row],[Day]]&lt;22,3,IF(TableAopCalendar[[#This Row],[Day]]&lt;29,4,IF(TableAopCalendar[[#This Row],[Day]]&lt;32,5)))))</f>
        <v>4</v>
      </c>
      <c r="G331" s="4" t="str">
        <f t="shared" si="16"/>
        <v>Week 4</v>
      </c>
      <c r="H331" s="4" t="str">
        <f t="shared" si="17"/>
        <v>February 23 Week 4</v>
      </c>
      <c r="I331" s="4" t="str">
        <f>CONCATENATE(UPPER(TableAopCalendar[[#This Row],[Month]])," ",TableAopCalendar[[#This Row],[Year]])</f>
        <v>FEBRUARY 23</v>
      </c>
      <c r="J331" s="7" t="s">
        <v>274</v>
      </c>
      <c r="K331" s="7" t="str">
        <f>CONCATENATE(TableAopCalendar[[#This Row],[Month for Plan]]," ",TableAopCalendar[[#This Row],[Plan]])</f>
        <v>FEBRUARY 23 PLANNED</v>
      </c>
    </row>
    <row r="332" spans="1:11" x14ac:dyDescent="0.3">
      <c r="A332" s="4">
        <f t="shared" si="15"/>
        <v>4</v>
      </c>
      <c r="B332" s="5">
        <v>44982</v>
      </c>
      <c r="C332" s="6" t="s">
        <v>272</v>
      </c>
      <c r="D332" s="6">
        <v>23</v>
      </c>
      <c r="E332" s="4">
        <f>DAY(TableAopCalendar[[#This Row],[Date]])</f>
        <v>25</v>
      </c>
      <c r="F332" s="4">
        <f>IF(TableAopCalendar[[#This Row],[Day]]&lt;8,1,IF(TableAopCalendar[[#This Row],[Day]]&lt;15,2,IF(TableAopCalendar[[#This Row],[Day]]&lt;22,3,IF(TableAopCalendar[[#This Row],[Day]]&lt;29,4,IF(TableAopCalendar[[#This Row],[Day]]&lt;32,5)))))</f>
        <v>4</v>
      </c>
      <c r="G332" s="4" t="str">
        <f t="shared" si="16"/>
        <v>Week 4</v>
      </c>
      <c r="H332" s="4" t="str">
        <f t="shared" si="17"/>
        <v>February 23 Week 4</v>
      </c>
      <c r="I332" s="4" t="str">
        <f>CONCATENATE(UPPER(TableAopCalendar[[#This Row],[Month]])," ",TableAopCalendar[[#This Row],[Year]])</f>
        <v>FEBRUARY 23</v>
      </c>
      <c r="J332" s="7" t="s">
        <v>274</v>
      </c>
      <c r="K332" s="7" t="str">
        <f>CONCATENATE(TableAopCalendar[[#This Row],[Month for Plan]]," ",TableAopCalendar[[#This Row],[Plan]])</f>
        <v>FEBRUARY 23 PLANNED</v>
      </c>
    </row>
    <row r="333" spans="1:11" x14ac:dyDescent="0.3">
      <c r="A333" s="4">
        <f t="shared" si="15"/>
        <v>5</v>
      </c>
      <c r="B333" s="5">
        <v>44983</v>
      </c>
      <c r="C333" s="6" t="s">
        <v>272</v>
      </c>
      <c r="D333" s="6">
        <v>23</v>
      </c>
      <c r="E333" s="4">
        <f>DAY(TableAopCalendar[[#This Row],[Date]])</f>
        <v>26</v>
      </c>
      <c r="F333" s="4">
        <f>IF(TableAopCalendar[[#This Row],[Day]]&lt;8,1,IF(TableAopCalendar[[#This Row],[Day]]&lt;15,2,IF(TableAopCalendar[[#This Row],[Day]]&lt;22,3,IF(TableAopCalendar[[#This Row],[Day]]&lt;29,4,IF(TableAopCalendar[[#This Row],[Day]]&lt;32,5)))))</f>
        <v>4</v>
      </c>
      <c r="G333" s="4" t="str">
        <f t="shared" si="16"/>
        <v>Week 4</v>
      </c>
      <c r="H333" s="4" t="str">
        <f t="shared" si="17"/>
        <v>February 23 Week 4</v>
      </c>
      <c r="I333" s="4" t="str">
        <f>CONCATENATE(UPPER(TableAopCalendar[[#This Row],[Month]])," ",TableAopCalendar[[#This Row],[Year]])</f>
        <v>FEBRUARY 23</v>
      </c>
      <c r="J333" s="7" t="s">
        <v>274</v>
      </c>
      <c r="K333" s="7" t="str">
        <f>CONCATENATE(TableAopCalendar[[#This Row],[Month for Plan]]," ",TableAopCalendar[[#This Row],[Plan]])</f>
        <v>FEBRUARY 23 PLANNED</v>
      </c>
    </row>
    <row r="334" spans="1:11" x14ac:dyDescent="0.3">
      <c r="A334" s="4">
        <f t="shared" si="15"/>
        <v>6</v>
      </c>
      <c r="B334" s="5">
        <v>44984</v>
      </c>
      <c r="C334" s="6" t="s">
        <v>272</v>
      </c>
      <c r="D334" s="6">
        <v>23</v>
      </c>
      <c r="E334" s="4">
        <f>DAY(TableAopCalendar[[#This Row],[Date]])</f>
        <v>27</v>
      </c>
      <c r="F334" s="4">
        <f>IF(TableAopCalendar[[#This Row],[Day]]&lt;8,1,IF(TableAopCalendar[[#This Row],[Day]]&lt;15,2,IF(TableAopCalendar[[#This Row],[Day]]&lt;22,3,IF(TableAopCalendar[[#This Row],[Day]]&lt;29,4,IF(TableAopCalendar[[#This Row],[Day]]&lt;32,5)))))</f>
        <v>4</v>
      </c>
      <c r="G334" s="4" t="str">
        <f t="shared" si="16"/>
        <v>Week 4</v>
      </c>
      <c r="H334" s="4" t="str">
        <f t="shared" si="17"/>
        <v>February 23 Week 4</v>
      </c>
      <c r="I334" s="4" t="str">
        <f>CONCATENATE(UPPER(TableAopCalendar[[#This Row],[Month]])," ",TableAopCalendar[[#This Row],[Year]])</f>
        <v>FEBRUARY 23</v>
      </c>
      <c r="J334" s="7" t="s">
        <v>274</v>
      </c>
      <c r="K334" s="7" t="str">
        <f>CONCATENATE(TableAopCalendar[[#This Row],[Month for Plan]]," ",TableAopCalendar[[#This Row],[Plan]])</f>
        <v>FEBRUARY 23 PLANNED</v>
      </c>
    </row>
    <row r="335" spans="1:11" x14ac:dyDescent="0.3">
      <c r="A335" s="4">
        <f t="shared" si="15"/>
        <v>7</v>
      </c>
      <c r="B335" s="5">
        <v>44985</v>
      </c>
      <c r="C335" s="6" t="s">
        <v>272</v>
      </c>
      <c r="D335" s="6">
        <v>23</v>
      </c>
      <c r="E335" s="4">
        <f>DAY(TableAopCalendar[[#This Row],[Date]])</f>
        <v>28</v>
      </c>
      <c r="F335" s="4">
        <f>IF(TableAopCalendar[[#This Row],[Day]]&lt;8,1,IF(TableAopCalendar[[#This Row],[Day]]&lt;15,2,IF(TableAopCalendar[[#This Row],[Day]]&lt;22,3,IF(TableAopCalendar[[#This Row],[Day]]&lt;29,4,IF(TableAopCalendar[[#This Row],[Day]]&lt;32,5)))))</f>
        <v>4</v>
      </c>
      <c r="G335" s="4" t="str">
        <f t="shared" si="16"/>
        <v>Week 4</v>
      </c>
      <c r="H335" s="4" t="str">
        <f t="shared" si="17"/>
        <v>February 23 Week 4</v>
      </c>
      <c r="I335" s="4" t="str">
        <f>CONCATENATE(UPPER(TableAopCalendar[[#This Row],[Month]])," ",TableAopCalendar[[#This Row],[Year]])</f>
        <v>FEBRUARY 23</v>
      </c>
      <c r="J335" s="7" t="s">
        <v>274</v>
      </c>
      <c r="K335" s="7" t="str">
        <f>CONCATENATE(TableAopCalendar[[#This Row],[Month for Plan]]," ",TableAopCalendar[[#This Row],[Plan]])</f>
        <v>FEBRUARY 23 PLANNED</v>
      </c>
    </row>
    <row r="336" spans="1:11" x14ac:dyDescent="0.3">
      <c r="A336" s="4">
        <f t="shared" si="15"/>
        <v>1</v>
      </c>
      <c r="B336" s="5">
        <v>44986</v>
      </c>
      <c r="C336" s="6" t="s">
        <v>273</v>
      </c>
      <c r="D336" s="6">
        <v>23</v>
      </c>
      <c r="E336" s="4">
        <f>DAY(TableAopCalendar[[#This Row],[Date]])</f>
        <v>1</v>
      </c>
      <c r="F336" s="4">
        <f>IF(TableAopCalendar[[#This Row],[Day]]&lt;8,1,IF(TableAopCalendar[[#This Row],[Day]]&lt;15,2,IF(TableAopCalendar[[#This Row],[Day]]&lt;22,3,IF(TableAopCalendar[[#This Row],[Day]]&lt;29,4,IF(TableAopCalendar[[#This Row],[Day]]&lt;32,5)))))</f>
        <v>1</v>
      </c>
      <c r="G336" s="4" t="str">
        <f t="shared" si="16"/>
        <v>Week 1</v>
      </c>
      <c r="H336" s="4" t="str">
        <f t="shared" si="17"/>
        <v>March 23 Week 1</v>
      </c>
      <c r="I336" s="4" t="str">
        <f>CONCATENATE(UPPER(TableAopCalendar[[#This Row],[Month]])," ",TableAopCalendar[[#This Row],[Year]])</f>
        <v>MARCH 23</v>
      </c>
      <c r="J336" s="7" t="s">
        <v>274</v>
      </c>
      <c r="K336" s="7" t="str">
        <f>CONCATENATE(TableAopCalendar[[#This Row],[Month for Plan]]," ",TableAopCalendar[[#This Row],[Plan]])</f>
        <v>MARCH 23 PLANNED</v>
      </c>
    </row>
    <row r="337" spans="1:11" x14ac:dyDescent="0.3">
      <c r="A337" s="4">
        <f t="shared" si="15"/>
        <v>2</v>
      </c>
      <c r="B337" s="5">
        <v>44987</v>
      </c>
      <c r="C337" s="6" t="s">
        <v>273</v>
      </c>
      <c r="D337" s="6">
        <v>23</v>
      </c>
      <c r="E337" s="4">
        <f>DAY(TableAopCalendar[[#This Row],[Date]])</f>
        <v>2</v>
      </c>
      <c r="F337" s="4">
        <f>IF(TableAopCalendar[[#This Row],[Day]]&lt;8,1,IF(TableAopCalendar[[#This Row],[Day]]&lt;15,2,IF(TableAopCalendar[[#This Row],[Day]]&lt;22,3,IF(TableAopCalendar[[#This Row],[Day]]&lt;29,4,IF(TableAopCalendar[[#This Row],[Day]]&lt;32,5)))))</f>
        <v>1</v>
      </c>
      <c r="G337" s="4" t="str">
        <f t="shared" si="16"/>
        <v>Week 1</v>
      </c>
      <c r="H337" s="4" t="str">
        <f t="shared" si="17"/>
        <v>March 23 Week 1</v>
      </c>
      <c r="I337" s="4" t="str">
        <f>CONCATENATE(UPPER(TableAopCalendar[[#This Row],[Month]])," ",TableAopCalendar[[#This Row],[Year]])</f>
        <v>MARCH 23</v>
      </c>
      <c r="J337" s="7" t="s">
        <v>274</v>
      </c>
      <c r="K337" s="7" t="str">
        <f>CONCATENATE(TableAopCalendar[[#This Row],[Month for Plan]]," ",TableAopCalendar[[#This Row],[Plan]])</f>
        <v>MARCH 23 PLANNED</v>
      </c>
    </row>
    <row r="338" spans="1:11" x14ac:dyDescent="0.3">
      <c r="A338" s="4">
        <f t="shared" si="15"/>
        <v>3</v>
      </c>
      <c r="B338" s="5">
        <v>44988</v>
      </c>
      <c r="C338" s="6" t="s">
        <v>273</v>
      </c>
      <c r="D338" s="6">
        <v>23</v>
      </c>
      <c r="E338" s="4">
        <f>DAY(TableAopCalendar[[#This Row],[Date]])</f>
        <v>3</v>
      </c>
      <c r="F338" s="4">
        <f>IF(TableAopCalendar[[#This Row],[Day]]&lt;8,1,IF(TableAopCalendar[[#This Row],[Day]]&lt;15,2,IF(TableAopCalendar[[#This Row],[Day]]&lt;22,3,IF(TableAopCalendar[[#This Row],[Day]]&lt;29,4,IF(TableAopCalendar[[#This Row],[Day]]&lt;32,5)))))</f>
        <v>1</v>
      </c>
      <c r="G338" s="4" t="str">
        <f t="shared" si="16"/>
        <v>Week 1</v>
      </c>
      <c r="H338" s="4" t="str">
        <f t="shared" si="17"/>
        <v>March 23 Week 1</v>
      </c>
      <c r="I338" s="4" t="str">
        <f>CONCATENATE(UPPER(TableAopCalendar[[#This Row],[Month]])," ",TableAopCalendar[[#This Row],[Year]])</f>
        <v>MARCH 23</v>
      </c>
      <c r="J338" s="7" t="s">
        <v>274</v>
      </c>
      <c r="K338" s="7" t="str">
        <f>CONCATENATE(TableAopCalendar[[#This Row],[Month for Plan]]," ",TableAopCalendar[[#This Row],[Plan]])</f>
        <v>MARCH 23 PLANNED</v>
      </c>
    </row>
    <row r="339" spans="1:11" x14ac:dyDescent="0.3">
      <c r="A339" s="4">
        <f t="shared" si="15"/>
        <v>4</v>
      </c>
      <c r="B339" s="5">
        <v>44989</v>
      </c>
      <c r="C339" s="6" t="s">
        <v>273</v>
      </c>
      <c r="D339" s="6">
        <v>23</v>
      </c>
      <c r="E339" s="4">
        <f>DAY(TableAopCalendar[[#This Row],[Date]])</f>
        <v>4</v>
      </c>
      <c r="F339" s="4">
        <f>IF(TableAopCalendar[[#This Row],[Day]]&lt;8,1,IF(TableAopCalendar[[#This Row],[Day]]&lt;15,2,IF(TableAopCalendar[[#This Row],[Day]]&lt;22,3,IF(TableAopCalendar[[#This Row],[Day]]&lt;29,4,IF(TableAopCalendar[[#This Row],[Day]]&lt;32,5)))))</f>
        <v>1</v>
      </c>
      <c r="G339" s="4" t="str">
        <f t="shared" si="16"/>
        <v>Week 1</v>
      </c>
      <c r="H339" s="4" t="str">
        <f t="shared" si="17"/>
        <v>March 23 Week 1</v>
      </c>
      <c r="I339" s="4" t="str">
        <f>CONCATENATE(UPPER(TableAopCalendar[[#This Row],[Month]])," ",TableAopCalendar[[#This Row],[Year]])</f>
        <v>MARCH 23</v>
      </c>
      <c r="J339" s="7" t="s">
        <v>274</v>
      </c>
      <c r="K339" s="7" t="str">
        <f>CONCATENATE(TableAopCalendar[[#This Row],[Month for Plan]]," ",TableAopCalendar[[#This Row],[Plan]])</f>
        <v>MARCH 23 PLANNED</v>
      </c>
    </row>
    <row r="340" spans="1:11" x14ac:dyDescent="0.3">
      <c r="A340" s="4">
        <f t="shared" si="15"/>
        <v>5</v>
      </c>
      <c r="B340" s="5">
        <v>44990</v>
      </c>
      <c r="C340" s="6" t="s">
        <v>273</v>
      </c>
      <c r="D340" s="6">
        <v>23</v>
      </c>
      <c r="E340" s="4">
        <f>DAY(TableAopCalendar[[#This Row],[Date]])</f>
        <v>5</v>
      </c>
      <c r="F340" s="4">
        <f>IF(TableAopCalendar[[#This Row],[Day]]&lt;8,1,IF(TableAopCalendar[[#This Row],[Day]]&lt;15,2,IF(TableAopCalendar[[#This Row],[Day]]&lt;22,3,IF(TableAopCalendar[[#This Row],[Day]]&lt;29,4,IF(TableAopCalendar[[#This Row],[Day]]&lt;32,5)))))</f>
        <v>1</v>
      </c>
      <c r="G340" s="4" t="str">
        <f t="shared" si="16"/>
        <v>Week 1</v>
      </c>
      <c r="H340" s="4" t="str">
        <f t="shared" si="17"/>
        <v>March 23 Week 1</v>
      </c>
      <c r="I340" s="4" t="str">
        <f>CONCATENATE(UPPER(TableAopCalendar[[#This Row],[Month]])," ",TableAopCalendar[[#This Row],[Year]])</f>
        <v>MARCH 23</v>
      </c>
      <c r="J340" s="7" t="s">
        <v>274</v>
      </c>
      <c r="K340" s="7" t="str">
        <f>CONCATENATE(TableAopCalendar[[#This Row],[Month for Plan]]," ",TableAopCalendar[[#This Row],[Plan]])</f>
        <v>MARCH 23 PLANNED</v>
      </c>
    </row>
    <row r="341" spans="1:11" x14ac:dyDescent="0.3">
      <c r="A341" s="4">
        <f t="shared" si="15"/>
        <v>6</v>
      </c>
      <c r="B341" s="5">
        <v>44991</v>
      </c>
      <c r="C341" s="6" t="s">
        <v>273</v>
      </c>
      <c r="D341" s="6">
        <v>23</v>
      </c>
      <c r="E341" s="4">
        <f>DAY(TableAopCalendar[[#This Row],[Date]])</f>
        <v>6</v>
      </c>
      <c r="F341" s="4">
        <f>IF(TableAopCalendar[[#This Row],[Day]]&lt;8,1,IF(TableAopCalendar[[#This Row],[Day]]&lt;15,2,IF(TableAopCalendar[[#This Row],[Day]]&lt;22,3,IF(TableAopCalendar[[#This Row],[Day]]&lt;29,4,IF(TableAopCalendar[[#This Row],[Day]]&lt;32,5)))))</f>
        <v>1</v>
      </c>
      <c r="G341" s="4" t="str">
        <f t="shared" si="16"/>
        <v>Week 1</v>
      </c>
      <c r="H341" s="4" t="str">
        <f t="shared" si="17"/>
        <v>March 23 Week 1</v>
      </c>
      <c r="I341" s="4" t="str">
        <f>CONCATENATE(UPPER(TableAopCalendar[[#This Row],[Month]])," ",TableAopCalendar[[#This Row],[Year]])</f>
        <v>MARCH 23</v>
      </c>
      <c r="J341" s="7" t="s">
        <v>274</v>
      </c>
      <c r="K341" s="7" t="str">
        <f>CONCATENATE(TableAopCalendar[[#This Row],[Month for Plan]]," ",TableAopCalendar[[#This Row],[Plan]])</f>
        <v>MARCH 23 PLANNED</v>
      </c>
    </row>
    <row r="342" spans="1:11" x14ac:dyDescent="0.3">
      <c r="A342" s="4">
        <f t="shared" si="15"/>
        <v>7</v>
      </c>
      <c r="B342" s="5">
        <v>44992</v>
      </c>
      <c r="C342" s="6" t="s">
        <v>273</v>
      </c>
      <c r="D342" s="6">
        <v>23</v>
      </c>
      <c r="E342" s="4">
        <f>DAY(TableAopCalendar[[#This Row],[Date]])</f>
        <v>7</v>
      </c>
      <c r="F342" s="4">
        <f>IF(TableAopCalendar[[#This Row],[Day]]&lt;8,1,IF(TableAopCalendar[[#This Row],[Day]]&lt;15,2,IF(TableAopCalendar[[#This Row],[Day]]&lt;22,3,IF(TableAopCalendar[[#This Row],[Day]]&lt;29,4,IF(TableAopCalendar[[#This Row],[Day]]&lt;32,5)))))</f>
        <v>1</v>
      </c>
      <c r="G342" s="4" t="str">
        <f t="shared" si="16"/>
        <v>Week 1</v>
      </c>
      <c r="H342" s="4" t="str">
        <f t="shared" si="17"/>
        <v>March 23 Week 1</v>
      </c>
      <c r="I342" s="4" t="str">
        <f>CONCATENATE(UPPER(TableAopCalendar[[#This Row],[Month]])," ",TableAopCalendar[[#This Row],[Year]])</f>
        <v>MARCH 23</v>
      </c>
      <c r="J342" s="7" t="s">
        <v>274</v>
      </c>
      <c r="K342" s="7" t="str">
        <f>CONCATENATE(TableAopCalendar[[#This Row],[Month for Plan]]," ",TableAopCalendar[[#This Row],[Plan]])</f>
        <v>MARCH 23 PLANNED</v>
      </c>
    </row>
    <row r="343" spans="1:11" x14ac:dyDescent="0.3">
      <c r="A343" s="4">
        <f t="shared" si="15"/>
        <v>1</v>
      </c>
      <c r="B343" s="5">
        <v>44993</v>
      </c>
      <c r="C343" s="6" t="s">
        <v>273</v>
      </c>
      <c r="D343" s="6">
        <v>23</v>
      </c>
      <c r="E343" s="4">
        <f>DAY(TableAopCalendar[[#This Row],[Date]])</f>
        <v>8</v>
      </c>
      <c r="F343" s="4">
        <f>IF(TableAopCalendar[[#This Row],[Day]]&lt;8,1,IF(TableAopCalendar[[#This Row],[Day]]&lt;15,2,IF(TableAopCalendar[[#This Row],[Day]]&lt;22,3,IF(TableAopCalendar[[#This Row],[Day]]&lt;29,4,IF(TableAopCalendar[[#This Row],[Day]]&lt;32,5)))))</f>
        <v>2</v>
      </c>
      <c r="G343" s="4" t="str">
        <f t="shared" si="16"/>
        <v>Week 2</v>
      </c>
      <c r="H343" s="4" t="str">
        <f t="shared" si="17"/>
        <v>March 23 Week 2</v>
      </c>
      <c r="I343" s="4" t="str">
        <f>CONCATENATE(UPPER(TableAopCalendar[[#This Row],[Month]])," ",TableAopCalendar[[#This Row],[Year]])</f>
        <v>MARCH 23</v>
      </c>
      <c r="J343" s="7" t="s">
        <v>274</v>
      </c>
      <c r="K343" s="7" t="str">
        <f>CONCATENATE(TableAopCalendar[[#This Row],[Month for Plan]]," ",TableAopCalendar[[#This Row],[Plan]])</f>
        <v>MARCH 23 PLANNED</v>
      </c>
    </row>
    <row r="344" spans="1:11" x14ac:dyDescent="0.3">
      <c r="A344" s="4">
        <f t="shared" si="15"/>
        <v>2</v>
      </c>
      <c r="B344" s="5">
        <v>44994</v>
      </c>
      <c r="C344" s="6" t="s">
        <v>273</v>
      </c>
      <c r="D344" s="6">
        <v>23</v>
      </c>
      <c r="E344" s="4">
        <f>DAY(TableAopCalendar[[#This Row],[Date]])</f>
        <v>9</v>
      </c>
      <c r="F344" s="4">
        <f>IF(TableAopCalendar[[#This Row],[Day]]&lt;8,1,IF(TableAopCalendar[[#This Row],[Day]]&lt;15,2,IF(TableAopCalendar[[#This Row],[Day]]&lt;22,3,IF(TableAopCalendar[[#This Row],[Day]]&lt;29,4,IF(TableAopCalendar[[#This Row],[Day]]&lt;32,5)))))</f>
        <v>2</v>
      </c>
      <c r="G344" s="4" t="str">
        <f t="shared" si="16"/>
        <v>Week 2</v>
      </c>
      <c r="H344" s="4" t="str">
        <f t="shared" si="17"/>
        <v>March 23 Week 2</v>
      </c>
      <c r="I344" s="4" t="str">
        <f>CONCATENATE(UPPER(TableAopCalendar[[#This Row],[Month]])," ",TableAopCalendar[[#This Row],[Year]])</f>
        <v>MARCH 23</v>
      </c>
      <c r="J344" s="7" t="s">
        <v>274</v>
      </c>
      <c r="K344" s="7" t="str">
        <f>CONCATENATE(TableAopCalendar[[#This Row],[Month for Plan]]," ",TableAopCalendar[[#This Row],[Plan]])</f>
        <v>MARCH 23 PLANNED</v>
      </c>
    </row>
    <row r="345" spans="1:11" x14ac:dyDescent="0.3">
      <c r="A345" s="4">
        <f t="shared" si="15"/>
        <v>3</v>
      </c>
      <c r="B345" s="5">
        <v>44995</v>
      </c>
      <c r="C345" s="6" t="s">
        <v>273</v>
      </c>
      <c r="D345" s="6">
        <v>23</v>
      </c>
      <c r="E345" s="4">
        <f>DAY(TableAopCalendar[[#This Row],[Date]])</f>
        <v>10</v>
      </c>
      <c r="F345" s="4">
        <f>IF(TableAopCalendar[[#This Row],[Day]]&lt;8,1,IF(TableAopCalendar[[#This Row],[Day]]&lt;15,2,IF(TableAopCalendar[[#This Row],[Day]]&lt;22,3,IF(TableAopCalendar[[#This Row],[Day]]&lt;29,4,IF(TableAopCalendar[[#This Row],[Day]]&lt;32,5)))))</f>
        <v>2</v>
      </c>
      <c r="G345" s="4" t="str">
        <f t="shared" si="16"/>
        <v>Week 2</v>
      </c>
      <c r="H345" s="4" t="str">
        <f t="shared" si="17"/>
        <v>March 23 Week 2</v>
      </c>
      <c r="I345" s="4" t="str">
        <f>CONCATENATE(UPPER(TableAopCalendar[[#This Row],[Month]])," ",TableAopCalendar[[#This Row],[Year]])</f>
        <v>MARCH 23</v>
      </c>
      <c r="J345" s="7" t="s">
        <v>274</v>
      </c>
      <c r="K345" s="7" t="str">
        <f>CONCATENATE(TableAopCalendar[[#This Row],[Month for Plan]]," ",TableAopCalendar[[#This Row],[Plan]])</f>
        <v>MARCH 23 PLANNED</v>
      </c>
    </row>
    <row r="346" spans="1:11" x14ac:dyDescent="0.3">
      <c r="A346" s="4">
        <f t="shared" si="15"/>
        <v>4</v>
      </c>
      <c r="B346" s="5">
        <v>44996</v>
      </c>
      <c r="C346" s="6" t="s">
        <v>273</v>
      </c>
      <c r="D346" s="6">
        <v>23</v>
      </c>
      <c r="E346" s="4">
        <f>DAY(TableAopCalendar[[#This Row],[Date]])</f>
        <v>11</v>
      </c>
      <c r="F346" s="4">
        <f>IF(TableAopCalendar[[#This Row],[Day]]&lt;8,1,IF(TableAopCalendar[[#This Row],[Day]]&lt;15,2,IF(TableAopCalendar[[#This Row],[Day]]&lt;22,3,IF(TableAopCalendar[[#This Row],[Day]]&lt;29,4,IF(TableAopCalendar[[#This Row],[Day]]&lt;32,5)))))</f>
        <v>2</v>
      </c>
      <c r="G346" s="4" t="str">
        <f t="shared" si="16"/>
        <v>Week 2</v>
      </c>
      <c r="H346" s="4" t="str">
        <f t="shared" si="17"/>
        <v>March 23 Week 2</v>
      </c>
      <c r="I346" s="4" t="str">
        <f>CONCATENATE(UPPER(TableAopCalendar[[#This Row],[Month]])," ",TableAopCalendar[[#This Row],[Year]])</f>
        <v>MARCH 23</v>
      </c>
      <c r="J346" s="7" t="s">
        <v>274</v>
      </c>
      <c r="K346" s="7" t="str">
        <f>CONCATENATE(TableAopCalendar[[#This Row],[Month for Plan]]," ",TableAopCalendar[[#This Row],[Plan]])</f>
        <v>MARCH 23 PLANNED</v>
      </c>
    </row>
    <row r="347" spans="1:11" x14ac:dyDescent="0.3">
      <c r="A347" s="4">
        <f t="shared" si="15"/>
        <v>5</v>
      </c>
      <c r="B347" s="5">
        <v>44997</v>
      </c>
      <c r="C347" s="6" t="s">
        <v>273</v>
      </c>
      <c r="D347" s="6">
        <v>23</v>
      </c>
      <c r="E347" s="4">
        <f>DAY(TableAopCalendar[[#This Row],[Date]])</f>
        <v>12</v>
      </c>
      <c r="F347" s="4">
        <f>IF(TableAopCalendar[[#This Row],[Day]]&lt;8,1,IF(TableAopCalendar[[#This Row],[Day]]&lt;15,2,IF(TableAopCalendar[[#This Row],[Day]]&lt;22,3,IF(TableAopCalendar[[#This Row],[Day]]&lt;29,4,IF(TableAopCalendar[[#This Row],[Day]]&lt;32,5)))))</f>
        <v>2</v>
      </c>
      <c r="G347" s="4" t="str">
        <f t="shared" si="16"/>
        <v>Week 2</v>
      </c>
      <c r="H347" s="4" t="str">
        <f t="shared" si="17"/>
        <v>March 23 Week 2</v>
      </c>
      <c r="I347" s="4" t="str">
        <f>CONCATENATE(UPPER(TableAopCalendar[[#This Row],[Month]])," ",TableAopCalendar[[#This Row],[Year]])</f>
        <v>MARCH 23</v>
      </c>
      <c r="J347" s="7" t="s">
        <v>274</v>
      </c>
      <c r="K347" s="7" t="str">
        <f>CONCATENATE(TableAopCalendar[[#This Row],[Month for Plan]]," ",TableAopCalendar[[#This Row],[Plan]])</f>
        <v>MARCH 23 PLANNED</v>
      </c>
    </row>
    <row r="348" spans="1:11" x14ac:dyDescent="0.3">
      <c r="A348" s="4">
        <f t="shared" si="15"/>
        <v>6</v>
      </c>
      <c r="B348" s="5">
        <v>44998</v>
      </c>
      <c r="C348" s="6" t="s">
        <v>273</v>
      </c>
      <c r="D348" s="6">
        <v>23</v>
      </c>
      <c r="E348" s="4">
        <f>DAY(TableAopCalendar[[#This Row],[Date]])</f>
        <v>13</v>
      </c>
      <c r="F348" s="4">
        <f>IF(TableAopCalendar[[#This Row],[Day]]&lt;8,1,IF(TableAopCalendar[[#This Row],[Day]]&lt;15,2,IF(TableAopCalendar[[#This Row],[Day]]&lt;22,3,IF(TableAopCalendar[[#This Row],[Day]]&lt;29,4,IF(TableAopCalendar[[#This Row],[Day]]&lt;32,5)))))</f>
        <v>2</v>
      </c>
      <c r="G348" s="4" t="str">
        <f t="shared" si="16"/>
        <v>Week 2</v>
      </c>
      <c r="H348" s="4" t="str">
        <f t="shared" si="17"/>
        <v>March 23 Week 2</v>
      </c>
      <c r="I348" s="4" t="str">
        <f>CONCATENATE(UPPER(TableAopCalendar[[#This Row],[Month]])," ",TableAopCalendar[[#This Row],[Year]])</f>
        <v>MARCH 23</v>
      </c>
      <c r="J348" s="7" t="s">
        <v>274</v>
      </c>
      <c r="K348" s="7" t="str">
        <f>CONCATENATE(TableAopCalendar[[#This Row],[Month for Plan]]," ",TableAopCalendar[[#This Row],[Plan]])</f>
        <v>MARCH 23 PLANNED</v>
      </c>
    </row>
    <row r="349" spans="1:11" x14ac:dyDescent="0.3">
      <c r="A349" s="4">
        <f t="shared" si="15"/>
        <v>7</v>
      </c>
      <c r="B349" s="5">
        <v>44999</v>
      </c>
      <c r="C349" s="6" t="s">
        <v>273</v>
      </c>
      <c r="D349" s="6">
        <v>23</v>
      </c>
      <c r="E349" s="4">
        <f>DAY(TableAopCalendar[[#This Row],[Date]])</f>
        <v>14</v>
      </c>
      <c r="F349" s="4">
        <f>IF(TableAopCalendar[[#This Row],[Day]]&lt;8,1,IF(TableAopCalendar[[#This Row],[Day]]&lt;15,2,IF(TableAopCalendar[[#This Row],[Day]]&lt;22,3,IF(TableAopCalendar[[#This Row],[Day]]&lt;29,4,IF(TableAopCalendar[[#This Row],[Day]]&lt;32,5)))))</f>
        <v>2</v>
      </c>
      <c r="G349" s="4" t="str">
        <f t="shared" si="16"/>
        <v>Week 2</v>
      </c>
      <c r="H349" s="4" t="str">
        <f t="shared" si="17"/>
        <v>March 23 Week 2</v>
      </c>
      <c r="I349" s="4" t="str">
        <f>CONCATENATE(UPPER(TableAopCalendar[[#This Row],[Month]])," ",TableAopCalendar[[#This Row],[Year]])</f>
        <v>MARCH 23</v>
      </c>
      <c r="J349" s="7" t="s">
        <v>274</v>
      </c>
      <c r="K349" s="7" t="str">
        <f>CONCATENATE(TableAopCalendar[[#This Row],[Month for Plan]]," ",TableAopCalendar[[#This Row],[Plan]])</f>
        <v>MARCH 23 PLANNED</v>
      </c>
    </row>
    <row r="350" spans="1:11" x14ac:dyDescent="0.3">
      <c r="A350" s="4">
        <f t="shared" si="15"/>
        <v>1</v>
      </c>
      <c r="B350" s="5">
        <v>45000</v>
      </c>
      <c r="C350" s="6" t="s">
        <v>273</v>
      </c>
      <c r="D350" s="6">
        <v>23</v>
      </c>
      <c r="E350" s="4">
        <f>DAY(TableAopCalendar[[#This Row],[Date]])</f>
        <v>15</v>
      </c>
      <c r="F350" s="4">
        <f>IF(TableAopCalendar[[#This Row],[Day]]&lt;8,1,IF(TableAopCalendar[[#This Row],[Day]]&lt;15,2,IF(TableAopCalendar[[#This Row],[Day]]&lt;22,3,IF(TableAopCalendar[[#This Row],[Day]]&lt;29,4,IF(TableAopCalendar[[#This Row],[Day]]&lt;32,5)))))</f>
        <v>3</v>
      </c>
      <c r="G350" s="4" t="str">
        <f t="shared" si="16"/>
        <v>Week 3</v>
      </c>
      <c r="H350" s="4" t="str">
        <f t="shared" si="17"/>
        <v>March 23 Week 3</v>
      </c>
      <c r="I350" s="4" t="str">
        <f>CONCATENATE(UPPER(TableAopCalendar[[#This Row],[Month]])," ",TableAopCalendar[[#This Row],[Year]])</f>
        <v>MARCH 23</v>
      </c>
      <c r="J350" s="7" t="s">
        <v>274</v>
      </c>
      <c r="K350" s="7" t="str">
        <f>CONCATENATE(TableAopCalendar[[#This Row],[Month for Plan]]," ",TableAopCalendar[[#This Row],[Plan]])</f>
        <v>MARCH 23 PLANNED</v>
      </c>
    </row>
    <row r="351" spans="1:11" x14ac:dyDescent="0.3">
      <c r="A351" s="4">
        <f t="shared" si="15"/>
        <v>2</v>
      </c>
      <c r="B351" s="5">
        <v>45001</v>
      </c>
      <c r="C351" s="6" t="s">
        <v>273</v>
      </c>
      <c r="D351" s="6">
        <v>23</v>
      </c>
      <c r="E351" s="4">
        <f>DAY(TableAopCalendar[[#This Row],[Date]])</f>
        <v>16</v>
      </c>
      <c r="F351" s="4">
        <f>IF(TableAopCalendar[[#This Row],[Day]]&lt;8,1,IF(TableAopCalendar[[#This Row],[Day]]&lt;15,2,IF(TableAopCalendar[[#This Row],[Day]]&lt;22,3,IF(TableAopCalendar[[#This Row],[Day]]&lt;29,4,IF(TableAopCalendar[[#This Row],[Day]]&lt;32,5)))))</f>
        <v>3</v>
      </c>
      <c r="G351" s="4" t="str">
        <f t="shared" si="16"/>
        <v>Week 3</v>
      </c>
      <c r="H351" s="4" t="str">
        <f t="shared" si="17"/>
        <v>March 23 Week 3</v>
      </c>
      <c r="I351" s="4" t="str">
        <f>CONCATENATE(UPPER(TableAopCalendar[[#This Row],[Month]])," ",TableAopCalendar[[#This Row],[Year]])</f>
        <v>MARCH 23</v>
      </c>
      <c r="J351" s="7" t="s">
        <v>274</v>
      </c>
      <c r="K351" s="7" t="str">
        <f>CONCATENATE(TableAopCalendar[[#This Row],[Month for Plan]]," ",TableAopCalendar[[#This Row],[Plan]])</f>
        <v>MARCH 23 PLANNED</v>
      </c>
    </row>
    <row r="352" spans="1:11" x14ac:dyDescent="0.3">
      <c r="A352" s="4">
        <f t="shared" si="15"/>
        <v>3</v>
      </c>
      <c r="B352" s="5">
        <v>45002</v>
      </c>
      <c r="C352" s="6" t="s">
        <v>273</v>
      </c>
      <c r="D352" s="6">
        <v>23</v>
      </c>
      <c r="E352" s="4">
        <f>DAY(TableAopCalendar[[#This Row],[Date]])</f>
        <v>17</v>
      </c>
      <c r="F352" s="4">
        <f>IF(TableAopCalendar[[#This Row],[Day]]&lt;8,1,IF(TableAopCalendar[[#This Row],[Day]]&lt;15,2,IF(TableAopCalendar[[#This Row],[Day]]&lt;22,3,IF(TableAopCalendar[[#This Row],[Day]]&lt;29,4,IF(TableAopCalendar[[#This Row],[Day]]&lt;32,5)))))</f>
        <v>3</v>
      </c>
      <c r="G352" s="4" t="str">
        <f t="shared" si="16"/>
        <v>Week 3</v>
      </c>
      <c r="H352" s="4" t="str">
        <f t="shared" si="17"/>
        <v>March 23 Week 3</v>
      </c>
      <c r="I352" s="4" t="str">
        <f>CONCATENATE(UPPER(TableAopCalendar[[#This Row],[Month]])," ",TableAopCalendar[[#This Row],[Year]])</f>
        <v>MARCH 23</v>
      </c>
      <c r="J352" s="7" t="s">
        <v>274</v>
      </c>
      <c r="K352" s="7" t="str">
        <f>CONCATENATE(TableAopCalendar[[#This Row],[Month for Plan]]," ",TableAopCalendar[[#This Row],[Plan]])</f>
        <v>MARCH 23 PLANNED</v>
      </c>
    </row>
    <row r="353" spans="1:11" x14ac:dyDescent="0.3">
      <c r="A353" s="4">
        <f t="shared" si="15"/>
        <v>4</v>
      </c>
      <c r="B353" s="5">
        <v>45003</v>
      </c>
      <c r="C353" s="6" t="s">
        <v>273</v>
      </c>
      <c r="D353" s="6">
        <v>23</v>
      </c>
      <c r="E353" s="4">
        <f>DAY(TableAopCalendar[[#This Row],[Date]])</f>
        <v>18</v>
      </c>
      <c r="F353" s="4">
        <f>IF(TableAopCalendar[[#This Row],[Day]]&lt;8,1,IF(TableAopCalendar[[#This Row],[Day]]&lt;15,2,IF(TableAopCalendar[[#This Row],[Day]]&lt;22,3,IF(TableAopCalendar[[#This Row],[Day]]&lt;29,4,IF(TableAopCalendar[[#This Row],[Day]]&lt;32,5)))))</f>
        <v>3</v>
      </c>
      <c r="G353" s="4" t="str">
        <f t="shared" si="16"/>
        <v>Week 3</v>
      </c>
      <c r="H353" s="4" t="str">
        <f t="shared" si="17"/>
        <v>March 23 Week 3</v>
      </c>
      <c r="I353" s="4" t="str">
        <f>CONCATENATE(UPPER(TableAopCalendar[[#This Row],[Month]])," ",TableAopCalendar[[#This Row],[Year]])</f>
        <v>MARCH 23</v>
      </c>
      <c r="J353" s="7" t="s">
        <v>274</v>
      </c>
      <c r="K353" s="7" t="str">
        <f>CONCATENATE(TableAopCalendar[[#This Row],[Month for Plan]]," ",TableAopCalendar[[#This Row],[Plan]])</f>
        <v>MARCH 23 PLANNED</v>
      </c>
    </row>
    <row r="354" spans="1:11" x14ac:dyDescent="0.3">
      <c r="A354" s="4">
        <f t="shared" si="15"/>
        <v>5</v>
      </c>
      <c r="B354" s="5">
        <v>45004</v>
      </c>
      <c r="C354" s="6" t="s">
        <v>273</v>
      </c>
      <c r="D354" s="6">
        <v>23</v>
      </c>
      <c r="E354" s="4">
        <f>DAY(TableAopCalendar[[#This Row],[Date]])</f>
        <v>19</v>
      </c>
      <c r="F354" s="4">
        <f>IF(TableAopCalendar[[#This Row],[Day]]&lt;8,1,IF(TableAopCalendar[[#This Row],[Day]]&lt;15,2,IF(TableAopCalendar[[#This Row],[Day]]&lt;22,3,IF(TableAopCalendar[[#This Row],[Day]]&lt;29,4,IF(TableAopCalendar[[#This Row],[Day]]&lt;32,5)))))</f>
        <v>3</v>
      </c>
      <c r="G354" s="4" t="str">
        <f t="shared" si="16"/>
        <v>Week 3</v>
      </c>
      <c r="H354" s="4" t="str">
        <f t="shared" si="17"/>
        <v>March 23 Week 3</v>
      </c>
      <c r="I354" s="4" t="str">
        <f>CONCATENATE(UPPER(TableAopCalendar[[#This Row],[Month]])," ",TableAopCalendar[[#This Row],[Year]])</f>
        <v>MARCH 23</v>
      </c>
      <c r="J354" s="7" t="s">
        <v>274</v>
      </c>
      <c r="K354" s="7" t="str">
        <f>CONCATENATE(TableAopCalendar[[#This Row],[Month for Plan]]," ",TableAopCalendar[[#This Row],[Plan]])</f>
        <v>MARCH 23 PLANNED</v>
      </c>
    </row>
    <row r="355" spans="1:11" x14ac:dyDescent="0.3">
      <c r="A355" s="4">
        <f t="shared" si="15"/>
        <v>6</v>
      </c>
      <c r="B355" s="5">
        <v>45005</v>
      </c>
      <c r="C355" s="6" t="s">
        <v>273</v>
      </c>
      <c r="D355" s="6">
        <v>23</v>
      </c>
      <c r="E355" s="4">
        <f>DAY(TableAopCalendar[[#This Row],[Date]])</f>
        <v>20</v>
      </c>
      <c r="F355" s="4">
        <f>IF(TableAopCalendar[[#This Row],[Day]]&lt;8,1,IF(TableAopCalendar[[#This Row],[Day]]&lt;15,2,IF(TableAopCalendar[[#This Row],[Day]]&lt;22,3,IF(TableAopCalendar[[#This Row],[Day]]&lt;29,4,IF(TableAopCalendar[[#This Row],[Day]]&lt;32,5)))))</f>
        <v>3</v>
      </c>
      <c r="G355" s="4" t="str">
        <f t="shared" si="16"/>
        <v>Week 3</v>
      </c>
      <c r="H355" s="4" t="str">
        <f t="shared" si="17"/>
        <v>March 23 Week 3</v>
      </c>
      <c r="I355" s="4" t="str">
        <f>CONCATENATE(UPPER(TableAopCalendar[[#This Row],[Month]])," ",TableAopCalendar[[#This Row],[Year]])</f>
        <v>MARCH 23</v>
      </c>
      <c r="J355" s="7" t="s">
        <v>274</v>
      </c>
      <c r="K355" s="7" t="str">
        <f>CONCATENATE(TableAopCalendar[[#This Row],[Month for Plan]]," ",TableAopCalendar[[#This Row],[Plan]])</f>
        <v>MARCH 23 PLANNED</v>
      </c>
    </row>
    <row r="356" spans="1:11" x14ac:dyDescent="0.3">
      <c r="A356" s="4">
        <f t="shared" si="15"/>
        <v>7</v>
      </c>
      <c r="B356" s="5">
        <v>45006</v>
      </c>
      <c r="C356" s="6" t="s">
        <v>273</v>
      </c>
      <c r="D356" s="6">
        <v>23</v>
      </c>
      <c r="E356" s="4">
        <f>DAY(TableAopCalendar[[#This Row],[Date]])</f>
        <v>21</v>
      </c>
      <c r="F356" s="4">
        <f>IF(TableAopCalendar[[#This Row],[Day]]&lt;8,1,IF(TableAopCalendar[[#This Row],[Day]]&lt;15,2,IF(TableAopCalendar[[#This Row],[Day]]&lt;22,3,IF(TableAopCalendar[[#This Row],[Day]]&lt;29,4,IF(TableAopCalendar[[#This Row],[Day]]&lt;32,5)))))</f>
        <v>3</v>
      </c>
      <c r="G356" s="4" t="str">
        <f t="shared" si="16"/>
        <v>Week 3</v>
      </c>
      <c r="H356" s="4" t="str">
        <f t="shared" si="17"/>
        <v>March 23 Week 3</v>
      </c>
      <c r="I356" s="4" t="str">
        <f>CONCATENATE(UPPER(TableAopCalendar[[#This Row],[Month]])," ",TableAopCalendar[[#This Row],[Year]])</f>
        <v>MARCH 23</v>
      </c>
      <c r="J356" s="7" t="s">
        <v>274</v>
      </c>
      <c r="K356" s="7" t="str">
        <f>CONCATENATE(TableAopCalendar[[#This Row],[Month for Plan]]," ",TableAopCalendar[[#This Row],[Plan]])</f>
        <v>MARCH 23 PLANNED</v>
      </c>
    </row>
    <row r="357" spans="1:11" x14ac:dyDescent="0.3">
      <c r="A357" s="4">
        <f t="shared" si="15"/>
        <v>1</v>
      </c>
      <c r="B357" s="5">
        <v>45007</v>
      </c>
      <c r="C357" s="6" t="s">
        <v>273</v>
      </c>
      <c r="D357" s="6">
        <v>23</v>
      </c>
      <c r="E357" s="4">
        <f>DAY(TableAopCalendar[[#This Row],[Date]])</f>
        <v>22</v>
      </c>
      <c r="F357" s="4">
        <f>IF(TableAopCalendar[[#This Row],[Day]]&lt;8,1,IF(TableAopCalendar[[#This Row],[Day]]&lt;15,2,IF(TableAopCalendar[[#This Row],[Day]]&lt;22,3,IF(TableAopCalendar[[#This Row],[Day]]&lt;29,4,IF(TableAopCalendar[[#This Row],[Day]]&lt;32,5)))))</f>
        <v>4</v>
      </c>
      <c r="G357" s="4" t="str">
        <f t="shared" si="16"/>
        <v>Week 4</v>
      </c>
      <c r="H357" s="4" t="str">
        <f t="shared" si="17"/>
        <v>March 23 Week 4</v>
      </c>
      <c r="I357" s="4" t="str">
        <f>CONCATENATE(UPPER(TableAopCalendar[[#This Row],[Month]])," ",TableAopCalendar[[#This Row],[Year]])</f>
        <v>MARCH 23</v>
      </c>
      <c r="J357" s="7" t="s">
        <v>274</v>
      </c>
      <c r="K357" s="7" t="str">
        <f>CONCATENATE(TableAopCalendar[[#This Row],[Month for Plan]]," ",TableAopCalendar[[#This Row],[Plan]])</f>
        <v>MARCH 23 PLANNED</v>
      </c>
    </row>
    <row r="358" spans="1:11" x14ac:dyDescent="0.3">
      <c r="A358" s="4">
        <f t="shared" si="15"/>
        <v>2</v>
      </c>
      <c r="B358" s="5">
        <v>45008</v>
      </c>
      <c r="C358" s="6" t="s">
        <v>273</v>
      </c>
      <c r="D358" s="6">
        <v>23</v>
      </c>
      <c r="E358" s="4">
        <f>DAY(TableAopCalendar[[#This Row],[Date]])</f>
        <v>23</v>
      </c>
      <c r="F358" s="4">
        <f>IF(TableAopCalendar[[#This Row],[Day]]&lt;8,1,IF(TableAopCalendar[[#This Row],[Day]]&lt;15,2,IF(TableAopCalendar[[#This Row],[Day]]&lt;22,3,IF(TableAopCalendar[[#This Row],[Day]]&lt;29,4,IF(TableAopCalendar[[#This Row],[Day]]&lt;32,5)))))</f>
        <v>4</v>
      </c>
      <c r="G358" s="4" t="str">
        <f t="shared" si="16"/>
        <v>Week 4</v>
      </c>
      <c r="H358" s="4" t="str">
        <f t="shared" si="17"/>
        <v>March 23 Week 4</v>
      </c>
      <c r="I358" s="4" t="str">
        <f>CONCATENATE(UPPER(TableAopCalendar[[#This Row],[Month]])," ",TableAopCalendar[[#This Row],[Year]])</f>
        <v>MARCH 23</v>
      </c>
      <c r="J358" s="7" t="s">
        <v>274</v>
      </c>
      <c r="K358" s="7" t="str">
        <f>CONCATENATE(TableAopCalendar[[#This Row],[Month for Plan]]," ",TableAopCalendar[[#This Row],[Plan]])</f>
        <v>MARCH 23 PLANNED</v>
      </c>
    </row>
    <row r="359" spans="1:11" x14ac:dyDescent="0.3">
      <c r="A359" s="4">
        <f t="shared" si="15"/>
        <v>3</v>
      </c>
      <c r="B359" s="5">
        <v>45009</v>
      </c>
      <c r="C359" s="6" t="s">
        <v>273</v>
      </c>
      <c r="D359" s="6">
        <v>23</v>
      </c>
      <c r="E359" s="4">
        <f>DAY(TableAopCalendar[[#This Row],[Date]])</f>
        <v>24</v>
      </c>
      <c r="F359" s="4">
        <f>IF(TableAopCalendar[[#This Row],[Day]]&lt;8,1,IF(TableAopCalendar[[#This Row],[Day]]&lt;15,2,IF(TableAopCalendar[[#This Row],[Day]]&lt;22,3,IF(TableAopCalendar[[#This Row],[Day]]&lt;29,4,IF(TableAopCalendar[[#This Row],[Day]]&lt;32,5)))))</f>
        <v>4</v>
      </c>
      <c r="G359" s="4" t="str">
        <f t="shared" si="16"/>
        <v>Week 4</v>
      </c>
      <c r="H359" s="4" t="str">
        <f t="shared" si="17"/>
        <v>March 23 Week 4</v>
      </c>
      <c r="I359" s="4" t="str">
        <f>CONCATENATE(UPPER(TableAopCalendar[[#This Row],[Month]])," ",TableAopCalendar[[#This Row],[Year]])</f>
        <v>MARCH 23</v>
      </c>
      <c r="J359" s="7" t="s">
        <v>274</v>
      </c>
      <c r="K359" s="7" t="str">
        <f>CONCATENATE(TableAopCalendar[[#This Row],[Month for Plan]]," ",TableAopCalendar[[#This Row],[Plan]])</f>
        <v>MARCH 23 PLANNED</v>
      </c>
    </row>
    <row r="360" spans="1:11" x14ac:dyDescent="0.3">
      <c r="A360" s="4">
        <f t="shared" si="15"/>
        <v>4</v>
      </c>
      <c r="B360" s="5">
        <v>45010</v>
      </c>
      <c r="C360" s="6" t="s">
        <v>273</v>
      </c>
      <c r="D360" s="6">
        <v>23</v>
      </c>
      <c r="E360" s="4">
        <f>DAY(TableAopCalendar[[#This Row],[Date]])</f>
        <v>25</v>
      </c>
      <c r="F360" s="4">
        <f>IF(TableAopCalendar[[#This Row],[Day]]&lt;8,1,IF(TableAopCalendar[[#This Row],[Day]]&lt;15,2,IF(TableAopCalendar[[#This Row],[Day]]&lt;22,3,IF(TableAopCalendar[[#This Row],[Day]]&lt;29,4,IF(TableAopCalendar[[#This Row],[Day]]&lt;32,5)))))</f>
        <v>4</v>
      </c>
      <c r="G360" s="4" t="str">
        <f t="shared" si="16"/>
        <v>Week 4</v>
      </c>
      <c r="H360" s="4" t="str">
        <f t="shared" si="17"/>
        <v>March 23 Week 4</v>
      </c>
      <c r="I360" s="4" t="str">
        <f>CONCATENATE(UPPER(TableAopCalendar[[#This Row],[Month]])," ",TableAopCalendar[[#This Row],[Year]])</f>
        <v>MARCH 23</v>
      </c>
      <c r="J360" s="7" t="s">
        <v>274</v>
      </c>
      <c r="K360" s="7" t="str">
        <f>CONCATENATE(TableAopCalendar[[#This Row],[Month for Plan]]," ",TableAopCalendar[[#This Row],[Plan]])</f>
        <v>MARCH 23 PLANNED</v>
      </c>
    </row>
    <row r="361" spans="1:11" x14ac:dyDescent="0.3">
      <c r="A361" s="4">
        <f t="shared" si="15"/>
        <v>5</v>
      </c>
      <c r="B361" s="5">
        <v>45011</v>
      </c>
      <c r="C361" s="6" t="s">
        <v>273</v>
      </c>
      <c r="D361" s="6">
        <v>23</v>
      </c>
      <c r="E361" s="4">
        <f>DAY(TableAopCalendar[[#This Row],[Date]])</f>
        <v>26</v>
      </c>
      <c r="F361" s="4">
        <f>IF(TableAopCalendar[[#This Row],[Day]]&lt;8,1,IF(TableAopCalendar[[#This Row],[Day]]&lt;15,2,IF(TableAopCalendar[[#This Row],[Day]]&lt;22,3,IF(TableAopCalendar[[#This Row],[Day]]&lt;29,4,IF(TableAopCalendar[[#This Row],[Day]]&lt;32,5)))))</f>
        <v>4</v>
      </c>
      <c r="G361" s="4" t="str">
        <f t="shared" si="16"/>
        <v>Week 4</v>
      </c>
      <c r="H361" s="4" t="str">
        <f t="shared" si="17"/>
        <v>March 23 Week 4</v>
      </c>
      <c r="I361" s="4" t="str">
        <f>CONCATENATE(UPPER(TableAopCalendar[[#This Row],[Month]])," ",TableAopCalendar[[#This Row],[Year]])</f>
        <v>MARCH 23</v>
      </c>
      <c r="J361" s="7" t="s">
        <v>274</v>
      </c>
      <c r="K361" s="7" t="str">
        <f>CONCATENATE(TableAopCalendar[[#This Row],[Month for Plan]]," ",TableAopCalendar[[#This Row],[Plan]])</f>
        <v>MARCH 23 PLANNED</v>
      </c>
    </row>
    <row r="362" spans="1:11" x14ac:dyDescent="0.3">
      <c r="A362" s="4">
        <f t="shared" si="15"/>
        <v>6</v>
      </c>
      <c r="B362" s="5">
        <v>45012</v>
      </c>
      <c r="C362" s="6" t="s">
        <v>273</v>
      </c>
      <c r="D362" s="6">
        <v>23</v>
      </c>
      <c r="E362" s="4">
        <f>DAY(TableAopCalendar[[#This Row],[Date]])</f>
        <v>27</v>
      </c>
      <c r="F362" s="4">
        <f>IF(TableAopCalendar[[#This Row],[Day]]&lt;8,1,IF(TableAopCalendar[[#This Row],[Day]]&lt;15,2,IF(TableAopCalendar[[#This Row],[Day]]&lt;22,3,IF(TableAopCalendar[[#This Row],[Day]]&lt;29,4,IF(TableAopCalendar[[#This Row],[Day]]&lt;32,5)))))</f>
        <v>4</v>
      </c>
      <c r="G362" s="4" t="str">
        <f t="shared" si="16"/>
        <v>Week 4</v>
      </c>
      <c r="H362" s="4" t="str">
        <f t="shared" si="17"/>
        <v>March 23 Week 4</v>
      </c>
      <c r="I362" s="4" t="str">
        <f>CONCATENATE(UPPER(TableAopCalendar[[#This Row],[Month]])," ",TableAopCalendar[[#This Row],[Year]])</f>
        <v>MARCH 23</v>
      </c>
      <c r="J362" s="7" t="s">
        <v>274</v>
      </c>
      <c r="K362" s="7" t="str">
        <f>CONCATENATE(TableAopCalendar[[#This Row],[Month for Plan]]," ",TableAopCalendar[[#This Row],[Plan]])</f>
        <v>MARCH 23 PLANNED</v>
      </c>
    </row>
    <row r="363" spans="1:11" x14ac:dyDescent="0.3">
      <c r="A363" s="4">
        <f t="shared" si="15"/>
        <v>7</v>
      </c>
      <c r="B363" s="5">
        <v>45013</v>
      </c>
      <c r="C363" s="6" t="s">
        <v>273</v>
      </c>
      <c r="D363" s="6">
        <v>23</v>
      </c>
      <c r="E363" s="4">
        <f>DAY(TableAopCalendar[[#This Row],[Date]])</f>
        <v>28</v>
      </c>
      <c r="F363" s="4">
        <f>IF(TableAopCalendar[[#This Row],[Day]]&lt;8,1,IF(TableAopCalendar[[#This Row],[Day]]&lt;15,2,IF(TableAopCalendar[[#This Row],[Day]]&lt;22,3,IF(TableAopCalendar[[#This Row],[Day]]&lt;29,4,IF(TableAopCalendar[[#This Row],[Day]]&lt;32,5)))))</f>
        <v>4</v>
      </c>
      <c r="G363" s="4" t="str">
        <f t="shared" si="16"/>
        <v>Week 4</v>
      </c>
      <c r="H363" s="4" t="str">
        <f t="shared" si="17"/>
        <v>March 23 Week 4</v>
      </c>
      <c r="I363" s="4" t="str">
        <f>CONCATENATE(UPPER(TableAopCalendar[[#This Row],[Month]])," ",TableAopCalendar[[#This Row],[Year]])</f>
        <v>MARCH 23</v>
      </c>
      <c r="J363" s="7" t="s">
        <v>274</v>
      </c>
      <c r="K363" s="7" t="str">
        <f>CONCATENATE(TableAopCalendar[[#This Row],[Month for Plan]]," ",TableAopCalendar[[#This Row],[Plan]])</f>
        <v>MARCH 23 PLANNED</v>
      </c>
    </row>
    <row r="364" spans="1:11" x14ac:dyDescent="0.3">
      <c r="A364" s="4">
        <f t="shared" si="15"/>
        <v>1</v>
      </c>
      <c r="B364" s="5">
        <v>45014</v>
      </c>
      <c r="C364" s="6" t="s">
        <v>273</v>
      </c>
      <c r="D364" s="6">
        <v>23</v>
      </c>
      <c r="E364" s="4">
        <f>DAY(TableAopCalendar[[#This Row],[Date]])</f>
        <v>29</v>
      </c>
      <c r="F364" s="4">
        <f>IF(TableAopCalendar[[#This Row],[Day]]&lt;8,1,IF(TableAopCalendar[[#This Row],[Day]]&lt;15,2,IF(TableAopCalendar[[#This Row],[Day]]&lt;22,3,IF(TableAopCalendar[[#This Row],[Day]]&lt;29,4,IF(TableAopCalendar[[#This Row],[Day]]&lt;32,5)))))</f>
        <v>5</v>
      </c>
      <c r="G364" s="4" t="str">
        <f t="shared" si="16"/>
        <v>Week 5</v>
      </c>
      <c r="H364" s="4" t="str">
        <f t="shared" si="17"/>
        <v>March 23 Week 5</v>
      </c>
      <c r="I364" s="4" t="str">
        <f>CONCATENATE(UPPER(TableAopCalendar[[#This Row],[Month]])," ",TableAopCalendar[[#This Row],[Year]])</f>
        <v>MARCH 23</v>
      </c>
      <c r="J364" s="7" t="s">
        <v>274</v>
      </c>
      <c r="K364" s="7" t="str">
        <f>CONCATENATE(TableAopCalendar[[#This Row],[Month for Plan]]," ",TableAopCalendar[[#This Row],[Plan]])</f>
        <v>MARCH 23 PLANNED</v>
      </c>
    </row>
    <row r="365" spans="1:11" x14ac:dyDescent="0.3">
      <c r="A365" s="4">
        <f t="shared" si="15"/>
        <v>2</v>
      </c>
      <c r="B365" s="5">
        <v>45015</v>
      </c>
      <c r="C365" s="6" t="s">
        <v>273</v>
      </c>
      <c r="D365" s="6">
        <v>23</v>
      </c>
      <c r="E365" s="4">
        <f>DAY(TableAopCalendar[[#This Row],[Date]])</f>
        <v>30</v>
      </c>
      <c r="F365" s="4">
        <f>IF(TableAopCalendar[[#This Row],[Day]]&lt;8,1,IF(TableAopCalendar[[#This Row],[Day]]&lt;15,2,IF(TableAopCalendar[[#This Row],[Day]]&lt;22,3,IF(TableAopCalendar[[#This Row],[Day]]&lt;29,4,IF(TableAopCalendar[[#This Row],[Day]]&lt;32,5)))))</f>
        <v>5</v>
      </c>
      <c r="G365" s="4" t="str">
        <f t="shared" si="16"/>
        <v>Week 5</v>
      </c>
      <c r="H365" s="4" t="str">
        <f t="shared" si="17"/>
        <v>March 23 Week 5</v>
      </c>
      <c r="I365" s="4" t="str">
        <f>CONCATENATE(UPPER(TableAopCalendar[[#This Row],[Month]])," ",TableAopCalendar[[#This Row],[Year]])</f>
        <v>MARCH 23</v>
      </c>
      <c r="J365" s="7" t="s">
        <v>274</v>
      </c>
      <c r="K365" s="7" t="str">
        <f>CONCATENATE(TableAopCalendar[[#This Row],[Month for Plan]]," ",TableAopCalendar[[#This Row],[Plan]])</f>
        <v>MARCH 23 PLANNED</v>
      </c>
    </row>
    <row r="366" spans="1:11" x14ac:dyDescent="0.3">
      <c r="A366" s="4">
        <f t="shared" si="15"/>
        <v>3</v>
      </c>
      <c r="B366" s="5">
        <v>45016</v>
      </c>
      <c r="C366" s="6" t="s">
        <v>273</v>
      </c>
      <c r="D366" s="6">
        <v>23</v>
      </c>
      <c r="E366" s="4">
        <f>DAY(TableAopCalendar[[#This Row],[Date]])</f>
        <v>31</v>
      </c>
      <c r="F366" s="4">
        <f>IF(TableAopCalendar[[#This Row],[Day]]&lt;8,1,IF(TableAopCalendar[[#This Row],[Day]]&lt;15,2,IF(TableAopCalendar[[#This Row],[Day]]&lt;22,3,IF(TableAopCalendar[[#This Row],[Day]]&lt;29,4,IF(TableAopCalendar[[#This Row],[Day]]&lt;32,5)))))</f>
        <v>5</v>
      </c>
      <c r="G366" s="4" t="str">
        <f t="shared" si="16"/>
        <v>Week 5</v>
      </c>
      <c r="H366" s="4" t="str">
        <f t="shared" si="17"/>
        <v>March 23 Week 5</v>
      </c>
      <c r="I366" s="4" t="str">
        <f>CONCATENATE(UPPER(TableAopCalendar[[#This Row],[Month]])," ",TableAopCalendar[[#This Row],[Year]])</f>
        <v>MARCH 23</v>
      </c>
      <c r="J366" s="7" t="s">
        <v>274</v>
      </c>
      <c r="K366" s="7" t="str">
        <f>CONCATENATE(TableAopCalendar[[#This Row],[Month for Plan]]," ",TableAopCalendar[[#This Row],[Plan]])</f>
        <v>MARCH 23 PLANNED</v>
      </c>
    </row>
    <row r="367" spans="1:11" x14ac:dyDescent="0.3">
      <c r="A367" s="4">
        <f t="shared" si="15"/>
        <v>1</v>
      </c>
      <c r="B367" s="5">
        <v>45017</v>
      </c>
      <c r="C367" s="6" t="s">
        <v>264</v>
      </c>
      <c r="D367" s="6">
        <v>23</v>
      </c>
      <c r="E367" s="4">
        <f>DAY(TableAopCalendar[[#This Row],[Date]])</f>
        <v>1</v>
      </c>
      <c r="F367" s="4">
        <f>IF(TableAopCalendar[[#This Row],[Day]]&lt;8,1,IF(TableAopCalendar[[#This Row],[Day]]&lt;15,2,IF(TableAopCalendar[[#This Row],[Day]]&lt;22,3,IF(TableAopCalendar[[#This Row],[Day]]&lt;29,4,IF(TableAopCalendar[[#This Row],[Day]]&lt;32,5)))))</f>
        <v>1</v>
      </c>
      <c r="G367" s="4" t="str">
        <f t="shared" si="16"/>
        <v>Week 1</v>
      </c>
      <c r="H367" s="7" t="str">
        <f t="shared" si="17"/>
        <v>April 23 Week 1</v>
      </c>
      <c r="I367" s="4" t="str">
        <f>CONCATENATE(UPPER(TableAopCalendar[[#This Row],[Month]])," ",TableAopCalendar[[#This Row],[Year]])</f>
        <v>APRIL 23</v>
      </c>
      <c r="J367" s="7" t="s">
        <v>274</v>
      </c>
      <c r="K367" s="7" t="str">
        <f>CONCATENATE(TableAopCalendar[[#This Row],[Month for Plan]]," ",TableAopCalendar[[#This Row],[Plan]])</f>
        <v>APRIL 23 PLANNED</v>
      </c>
    </row>
    <row r="368" spans="1:11" x14ac:dyDescent="0.3">
      <c r="A368" s="4">
        <f t="shared" si="15"/>
        <v>2</v>
      </c>
      <c r="B368" s="5">
        <v>45018</v>
      </c>
      <c r="C368" s="6" t="s">
        <v>264</v>
      </c>
      <c r="D368" s="6">
        <v>23</v>
      </c>
      <c r="E368" s="4">
        <f>DAY(TableAopCalendar[[#This Row],[Date]])</f>
        <v>2</v>
      </c>
      <c r="F368" s="4">
        <f>IF(TableAopCalendar[[#This Row],[Day]]&lt;8,1,IF(TableAopCalendar[[#This Row],[Day]]&lt;15,2,IF(TableAopCalendar[[#This Row],[Day]]&lt;22,3,IF(TableAopCalendar[[#This Row],[Day]]&lt;29,4,IF(TableAopCalendar[[#This Row],[Day]]&lt;32,5)))))</f>
        <v>1</v>
      </c>
      <c r="G368" s="4" t="str">
        <f t="shared" si="16"/>
        <v>Week 1</v>
      </c>
      <c r="H368" s="7" t="str">
        <f t="shared" si="17"/>
        <v>April 23 Week 1</v>
      </c>
      <c r="I368" s="4" t="str">
        <f>CONCATENATE(UPPER(TableAopCalendar[[#This Row],[Month]])," ",TableAopCalendar[[#This Row],[Year]])</f>
        <v>APRIL 23</v>
      </c>
      <c r="J368" s="7" t="s">
        <v>274</v>
      </c>
      <c r="K368" s="7" t="str">
        <f>CONCATENATE(TableAopCalendar[[#This Row],[Month for Plan]]," ",TableAopCalendar[[#This Row],[Plan]])</f>
        <v>APRIL 23 PLANNED</v>
      </c>
    </row>
    <row r="369" spans="1:11" x14ac:dyDescent="0.3">
      <c r="A369" s="4">
        <f t="shared" si="15"/>
        <v>3</v>
      </c>
      <c r="B369" s="5">
        <v>45019</v>
      </c>
      <c r="C369" s="6" t="s">
        <v>264</v>
      </c>
      <c r="D369" s="6">
        <v>23</v>
      </c>
      <c r="E369" s="4">
        <f>DAY(TableAopCalendar[[#This Row],[Date]])</f>
        <v>3</v>
      </c>
      <c r="F369" s="4">
        <f>IF(TableAopCalendar[[#This Row],[Day]]&lt;8,1,IF(TableAopCalendar[[#This Row],[Day]]&lt;15,2,IF(TableAopCalendar[[#This Row],[Day]]&lt;22,3,IF(TableAopCalendar[[#This Row],[Day]]&lt;29,4,IF(TableAopCalendar[[#This Row],[Day]]&lt;32,5)))))</f>
        <v>1</v>
      </c>
      <c r="G369" s="4" t="str">
        <f t="shared" si="16"/>
        <v>Week 1</v>
      </c>
      <c r="H369" s="7" t="str">
        <f t="shared" si="17"/>
        <v>April 23 Week 1</v>
      </c>
      <c r="I369" s="4" t="str">
        <f>CONCATENATE(UPPER(TableAopCalendar[[#This Row],[Month]])," ",TableAopCalendar[[#This Row],[Year]])</f>
        <v>APRIL 23</v>
      </c>
      <c r="J369" s="7" t="s">
        <v>274</v>
      </c>
      <c r="K369" s="7" t="str">
        <f>CONCATENATE(TableAopCalendar[[#This Row],[Month for Plan]]," ",TableAopCalendar[[#This Row],[Plan]])</f>
        <v>APRIL 23 PLANNED</v>
      </c>
    </row>
    <row r="370" spans="1:11" x14ac:dyDescent="0.3">
      <c r="A370" s="4">
        <f t="shared" si="15"/>
        <v>4</v>
      </c>
      <c r="B370" s="5">
        <v>45020</v>
      </c>
      <c r="C370" s="6" t="s">
        <v>264</v>
      </c>
      <c r="D370" s="6">
        <v>23</v>
      </c>
      <c r="E370" s="4">
        <f>DAY(TableAopCalendar[[#This Row],[Date]])</f>
        <v>4</v>
      </c>
      <c r="F370" s="4">
        <f>IF(TableAopCalendar[[#This Row],[Day]]&lt;8,1,IF(TableAopCalendar[[#This Row],[Day]]&lt;15,2,IF(TableAopCalendar[[#This Row],[Day]]&lt;22,3,IF(TableAopCalendar[[#This Row],[Day]]&lt;29,4,IF(TableAopCalendar[[#This Row],[Day]]&lt;32,5)))))</f>
        <v>1</v>
      </c>
      <c r="G370" s="4" t="str">
        <f t="shared" si="16"/>
        <v>Week 1</v>
      </c>
      <c r="H370" s="7" t="str">
        <f t="shared" si="17"/>
        <v>April 23 Week 1</v>
      </c>
      <c r="I370" s="4" t="str">
        <f>CONCATENATE(UPPER(TableAopCalendar[[#This Row],[Month]])," ",TableAopCalendar[[#This Row],[Year]])</f>
        <v>APRIL 23</v>
      </c>
      <c r="J370" s="7" t="s">
        <v>274</v>
      </c>
      <c r="K370" s="7" t="str">
        <f>CONCATENATE(TableAopCalendar[[#This Row],[Month for Plan]]," ",TableAopCalendar[[#This Row],[Plan]])</f>
        <v>APRIL 23 PLANNED</v>
      </c>
    </row>
    <row r="371" spans="1:11" x14ac:dyDescent="0.3">
      <c r="A371" s="4">
        <f t="shared" si="15"/>
        <v>5</v>
      </c>
      <c r="B371" s="5">
        <v>45021</v>
      </c>
      <c r="C371" s="6" t="s">
        <v>264</v>
      </c>
      <c r="D371" s="6">
        <v>23</v>
      </c>
      <c r="E371" s="4">
        <f>DAY(TableAopCalendar[[#This Row],[Date]])</f>
        <v>5</v>
      </c>
      <c r="F371" s="4">
        <f>IF(TableAopCalendar[[#This Row],[Day]]&lt;8,1,IF(TableAopCalendar[[#This Row],[Day]]&lt;15,2,IF(TableAopCalendar[[#This Row],[Day]]&lt;22,3,IF(TableAopCalendar[[#This Row],[Day]]&lt;29,4,IF(TableAopCalendar[[#This Row],[Day]]&lt;32,5)))))</f>
        <v>1</v>
      </c>
      <c r="G371" s="4" t="str">
        <f t="shared" si="16"/>
        <v>Week 1</v>
      </c>
      <c r="H371" s="7" t="str">
        <f t="shared" si="17"/>
        <v>April 23 Week 1</v>
      </c>
      <c r="I371" s="4" t="str">
        <f>CONCATENATE(UPPER(TableAopCalendar[[#This Row],[Month]])," ",TableAopCalendar[[#This Row],[Year]])</f>
        <v>APRIL 23</v>
      </c>
      <c r="J371" s="7" t="s">
        <v>274</v>
      </c>
      <c r="K371" s="7" t="str">
        <f>CONCATENATE(TableAopCalendar[[#This Row],[Month for Plan]]," ",TableAopCalendar[[#This Row],[Plan]])</f>
        <v>APRIL 23 PLANNED</v>
      </c>
    </row>
    <row r="372" spans="1:11" x14ac:dyDescent="0.3">
      <c r="A372" s="4">
        <f t="shared" si="15"/>
        <v>6</v>
      </c>
      <c r="B372" s="5">
        <v>45022</v>
      </c>
      <c r="C372" s="6" t="s">
        <v>264</v>
      </c>
      <c r="D372" s="6">
        <v>23</v>
      </c>
      <c r="E372" s="4">
        <f>DAY(TableAopCalendar[[#This Row],[Date]])</f>
        <v>6</v>
      </c>
      <c r="F372" s="4">
        <f>IF(TableAopCalendar[[#This Row],[Day]]&lt;8,1,IF(TableAopCalendar[[#This Row],[Day]]&lt;15,2,IF(TableAopCalendar[[#This Row],[Day]]&lt;22,3,IF(TableAopCalendar[[#This Row],[Day]]&lt;29,4,IF(TableAopCalendar[[#This Row],[Day]]&lt;32,5)))))</f>
        <v>1</v>
      </c>
      <c r="G372" s="4" t="str">
        <f t="shared" si="16"/>
        <v>Week 1</v>
      </c>
      <c r="H372" s="7" t="str">
        <f t="shared" si="17"/>
        <v>April 23 Week 1</v>
      </c>
      <c r="I372" s="4" t="str">
        <f>CONCATENATE(UPPER(TableAopCalendar[[#This Row],[Month]])," ",TableAopCalendar[[#This Row],[Year]])</f>
        <v>APRIL 23</v>
      </c>
      <c r="J372" s="7" t="s">
        <v>274</v>
      </c>
      <c r="K372" s="7" t="str">
        <f>CONCATENATE(TableAopCalendar[[#This Row],[Month for Plan]]," ",TableAopCalendar[[#This Row],[Plan]])</f>
        <v>APRIL 23 PLANNED</v>
      </c>
    </row>
    <row r="373" spans="1:11" x14ac:dyDescent="0.3">
      <c r="A373" s="4">
        <f t="shared" si="15"/>
        <v>7</v>
      </c>
      <c r="B373" s="5">
        <v>45023</v>
      </c>
      <c r="C373" s="6" t="s">
        <v>264</v>
      </c>
      <c r="D373" s="6">
        <v>23</v>
      </c>
      <c r="E373" s="4">
        <f>DAY(TableAopCalendar[[#This Row],[Date]])</f>
        <v>7</v>
      </c>
      <c r="F373" s="4">
        <f>IF(TableAopCalendar[[#This Row],[Day]]&lt;8,1,IF(TableAopCalendar[[#This Row],[Day]]&lt;15,2,IF(TableAopCalendar[[#This Row],[Day]]&lt;22,3,IF(TableAopCalendar[[#This Row],[Day]]&lt;29,4,IF(TableAopCalendar[[#This Row],[Day]]&lt;32,5)))))</f>
        <v>1</v>
      </c>
      <c r="G373" s="4" t="str">
        <f t="shared" si="16"/>
        <v>Week 1</v>
      </c>
      <c r="H373" s="7" t="str">
        <f t="shared" si="17"/>
        <v>April 23 Week 1</v>
      </c>
      <c r="I373" s="4" t="str">
        <f>CONCATENATE(UPPER(TableAopCalendar[[#This Row],[Month]])," ",TableAopCalendar[[#This Row],[Year]])</f>
        <v>APRIL 23</v>
      </c>
      <c r="J373" s="7" t="s">
        <v>274</v>
      </c>
      <c r="K373" s="7" t="str">
        <f>CONCATENATE(TableAopCalendar[[#This Row],[Month for Plan]]," ",TableAopCalendar[[#This Row],[Plan]])</f>
        <v>APRIL 23 PLANNED</v>
      </c>
    </row>
    <row r="374" spans="1:11" x14ac:dyDescent="0.3">
      <c r="A374" s="4">
        <f t="shared" si="15"/>
        <v>1</v>
      </c>
      <c r="B374" s="5">
        <v>45024</v>
      </c>
      <c r="C374" s="6" t="s">
        <v>264</v>
      </c>
      <c r="D374" s="6">
        <v>23</v>
      </c>
      <c r="E374" s="4">
        <f>DAY(TableAopCalendar[[#This Row],[Date]])</f>
        <v>8</v>
      </c>
      <c r="F374" s="4">
        <f>IF(TableAopCalendar[[#This Row],[Day]]&lt;8,1,IF(TableAopCalendar[[#This Row],[Day]]&lt;15,2,IF(TableAopCalendar[[#This Row],[Day]]&lt;22,3,IF(TableAopCalendar[[#This Row],[Day]]&lt;29,4,IF(TableAopCalendar[[#This Row],[Day]]&lt;32,5)))))</f>
        <v>2</v>
      </c>
      <c r="G374" s="4" t="str">
        <f t="shared" si="16"/>
        <v>Week 2</v>
      </c>
      <c r="H374" s="7" t="str">
        <f t="shared" si="17"/>
        <v>April 23 Week 2</v>
      </c>
      <c r="I374" s="4" t="str">
        <f>CONCATENATE(UPPER(TableAopCalendar[[#This Row],[Month]])," ",TableAopCalendar[[#This Row],[Year]])</f>
        <v>APRIL 23</v>
      </c>
      <c r="J374" s="7" t="s">
        <v>274</v>
      </c>
      <c r="K374" s="7" t="str">
        <f>CONCATENATE(TableAopCalendar[[#This Row],[Month for Plan]]," ",TableAopCalendar[[#This Row],[Plan]])</f>
        <v>APRIL 23 PLANNED</v>
      </c>
    </row>
    <row r="375" spans="1:11" x14ac:dyDescent="0.3">
      <c r="A375" s="4">
        <f t="shared" si="15"/>
        <v>2</v>
      </c>
      <c r="B375" s="5">
        <v>45025</v>
      </c>
      <c r="C375" s="6" t="s">
        <v>264</v>
      </c>
      <c r="D375" s="6">
        <v>23</v>
      </c>
      <c r="E375" s="4">
        <f>DAY(TableAopCalendar[[#This Row],[Date]])</f>
        <v>9</v>
      </c>
      <c r="F375" s="4">
        <f>IF(TableAopCalendar[[#This Row],[Day]]&lt;8,1,IF(TableAopCalendar[[#This Row],[Day]]&lt;15,2,IF(TableAopCalendar[[#This Row],[Day]]&lt;22,3,IF(TableAopCalendar[[#This Row],[Day]]&lt;29,4,IF(TableAopCalendar[[#This Row],[Day]]&lt;32,5)))))</f>
        <v>2</v>
      </c>
      <c r="G375" s="4" t="str">
        <f t="shared" si="16"/>
        <v>Week 2</v>
      </c>
      <c r="H375" s="7" t="str">
        <f t="shared" si="17"/>
        <v>April 23 Week 2</v>
      </c>
      <c r="I375" s="4" t="str">
        <f>CONCATENATE(UPPER(TableAopCalendar[[#This Row],[Month]])," ",TableAopCalendar[[#This Row],[Year]])</f>
        <v>APRIL 23</v>
      </c>
      <c r="J375" s="7" t="s">
        <v>274</v>
      </c>
      <c r="K375" s="7" t="str">
        <f>CONCATENATE(TableAopCalendar[[#This Row],[Month for Plan]]," ",TableAopCalendar[[#This Row],[Plan]])</f>
        <v>APRIL 23 PLANNED</v>
      </c>
    </row>
    <row r="376" spans="1:11" x14ac:dyDescent="0.3">
      <c r="A376" s="4">
        <f t="shared" si="15"/>
        <v>3</v>
      </c>
      <c r="B376" s="5">
        <v>45026</v>
      </c>
      <c r="C376" s="6" t="s">
        <v>264</v>
      </c>
      <c r="D376" s="6">
        <v>23</v>
      </c>
      <c r="E376" s="4">
        <f>DAY(TableAopCalendar[[#This Row],[Date]])</f>
        <v>10</v>
      </c>
      <c r="F376" s="4">
        <f>IF(TableAopCalendar[[#This Row],[Day]]&lt;8,1,IF(TableAopCalendar[[#This Row],[Day]]&lt;15,2,IF(TableAopCalendar[[#This Row],[Day]]&lt;22,3,IF(TableAopCalendar[[#This Row],[Day]]&lt;29,4,IF(TableAopCalendar[[#This Row],[Day]]&lt;32,5)))))</f>
        <v>2</v>
      </c>
      <c r="G376" s="4" t="str">
        <f t="shared" si="16"/>
        <v>Week 2</v>
      </c>
      <c r="H376" s="7" t="str">
        <f t="shared" si="17"/>
        <v>April 23 Week 2</v>
      </c>
      <c r="I376" s="4" t="str">
        <f>CONCATENATE(UPPER(TableAopCalendar[[#This Row],[Month]])," ",TableAopCalendar[[#This Row],[Year]])</f>
        <v>APRIL 23</v>
      </c>
      <c r="J376" s="7" t="s">
        <v>274</v>
      </c>
      <c r="K376" s="7" t="str">
        <f>CONCATENATE(TableAopCalendar[[#This Row],[Month for Plan]]," ",TableAopCalendar[[#This Row],[Plan]])</f>
        <v>APRIL 23 PLANNED</v>
      </c>
    </row>
    <row r="377" spans="1:11" x14ac:dyDescent="0.3">
      <c r="A377" s="4">
        <f t="shared" si="15"/>
        <v>4</v>
      </c>
      <c r="B377" s="5">
        <v>45027</v>
      </c>
      <c r="C377" s="6" t="s">
        <v>264</v>
      </c>
      <c r="D377" s="6">
        <v>23</v>
      </c>
      <c r="E377" s="4">
        <f>DAY(TableAopCalendar[[#This Row],[Date]])</f>
        <v>11</v>
      </c>
      <c r="F377" s="4">
        <f>IF(TableAopCalendar[[#This Row],[Day]]&lt;8,1,IF(TableAopCalendar[[#This Row],[Day]]&lt;15,2,IF(TableAopCalendar[[#This Row],[Day]]&lt;22,3,IF(TableAopCalendar[[#This Row],[Day]]&lt;29,4,IF(TableAopCalendar[[#This Row],[Day]]&lt;32,5)))))</f>
        <v>2</v>
      </c>
      <c r="G377" s="4" t="str">
        <f t="shared" si="16"/>
        <v>Week 2</v>
      </c>
      <c r="H377" s="7" t="str">
        <f t="shared" si="17"/>
        <v>April 23 Week 2</v>
      </c>
      <c r="I377" s="4" t="str">
        <f>CONCATENATE(UPPER(TableAopCalendar[[#This Row],[Month]])," ",TableAopCalendar[[#This Row],[Year]])</f>
        <v>APRIL 23</v>
      </c>
      <c r="J377" s="7" t="s">
        <v>274</v>
      </c>
      <c r="K377" s="7" t="str">
        <f>CONCATENATE(TableAopCalendar[[#This Row],[Month for Plan]]," ",TableAopCalendar[[#This Row],[Plan]])</f>
        <v>APRIL 23 PLANNED</v>
      </c>
    </row>
    <row r="378" spans="1:11" x14ac:dyDescent="0.3">
      <c r="A378" s="4">
        <f t="shared" si="15"/>
        <v>5</v>
      </c>
      <c r="B378" s="5">
        <v>45028</v>
      </c>
      <c r="C378" s="6" t="s">
        <v>264</v>
      </c>
      <c r="D378" s="6">
        <v>23</v>
      </c>
      <c r="E378" s="4">
        <f>DAY(TableAopCalendar[[#This Row],[Date]])</f>
        <v>12</v>
      </c>
      <c r="F378" s="4">
        <f>IF(TableAopCalendar[[#This Row],[Day]]&lt;8,1,IF(TableAopCalendar[[#This Row],[Day]]&lt;15,2,IF(TableAopCalendar[[#This Row],[Day]]&lt;22,3,IF(TableAopCalendar[[#This Row],[Day]]&lt;29,4,IF(TableAopCalendar[[#This Row],[Day]]&lt;32,5)))))</f>
        <v>2</v>
      </c>
      <c r="G378" s="4" t="str">
        <f t="shared" si="16"/>
        <v>Week 2</v>
      </c>
      <c r="H378" s="7" t="str">
        <f t="shared" si="17"/>
        <v>April 23 Week 2</v>
      </c>
      <c r="I378" s="4" t="str">
        <f>CONCATENATE(UPPER(TableAopCalendar[[#This Row],[Month]])," ",TableAopCalendar[[#This Row],[Year]])</f>
        <v>APRIL 23</v>
      </c>
      <c r="J378" s="7" t="s">
        <v>274</v>
      </c>
      <c r="K378" s="7" t="str">
        <f>CONCATENATE(TableAopCalendar[[#This Row],[Month for Plan]]," ",TableAopCalendar[[#This Row],[Plan]])</f>
        <v>APRIL 23 PLANNED</v>
      </c>
    </row>
    <row r="379" spans="1:11" x14ac:dyDescent="0.3">
      <c r="A379" s="4">
        <f t="shared" si="15"/>
        <v>6</v>
      </c>
      <c r="B379" s="5">
        <v>45029</v>
      </c>
      <c r="C379" s="6" t="s">
        <v>264</v>
      </c>
      <c r="D379" s="6">
        <v>23</v>
      </c>
      <c r="E379" s="4">
        <f>DAY(TableAopCalendar[[#This Row],[Date]])</f>
        <v>13</v>
      </c>
      <c r="F379" s="4">
        <f>IF(TableAopCalendar[[#This Row],[Day]]&lt;8,1,IF(TableAopCalendar[[#This Row],[Day]]&lt;15,2,IF(TableAopCalendar[[#This Row],[Day]]&lt;22,3,IF(TableAopCalendar[[#This Row],[Day]]&lt;29,4,IF(TableAopCalendar[[#This Row],[Day]]&lt;32,5)))))</f>
        <v>2</v>
      </c>
      <c r="G379" s="4" t="str">
        <f t="shared" si="16"/>
        <v>Week 2</v>
      </c>
      <c r="H379" s="7" t="str">
        <f t="shared" si="17"/>
        <v>April 23 Week 2</v>
      </c>
      <c r="I379" s="4" t="str">
        <f>CONCATENATE(UPPER(TableAopCalendar[[#This Row],[Month]])," ",TableAopCalendar[[#This Row],[Year]])</f>
        <v>APRIL 23</v>
      </c>
      <c r="J379" s="7" t="s">
        <v>274</v>
      </c>
      <c r="K379" s="7" t="str">
        <f>CONCATENATE(TableAopCalendar[[#This Row],[Month for Plan]]," ",TableAopCalendar[[#This Row],[Plan]])</f>
        <v>APRIL 23 PLANNED</v>
      </c>
    </row>
    <row r="380" spans="1:11" x14ac:dyDescent="0.3">
      <c r="A380" s="4">
        <f t="shared" si="15"/>
        <v>7</v>
      </c>
      <c r="B380" s="5">
        <v>45030</v>
      </c>
      <c r="C380" s="6" t="s">
        <v>264</v>
      </c>
      <c r="D380" s="6">
        <v>23</v>
      </c>
      <c r="E380" s="4">
        <f>DAY(TableAopCalendar[[#This Row],[Date]])</f>
        <v>14</v>
      </c>
      <c r="F380" s="4">
        <f>IF(TableAopCalendar[[#This Row],[Day]]&lt;8,1,IF(TableAopCalendar[[#This Row],[Day]]&lt;15,2,IF(TableAopCalendar[[#This Row],[Day]]&lt;22,3,IF(TableAopCalendar[[#This Row],[Day]]&lt;29,4,IF(TableAopCalendar[[#This Row],[Day]]&lt;32,5)))))</f>
        <v>2</v>
      </c>
      <c r="G380" s="4" t="str">
        <f t="shared" si="16"/>
        <v>Week 2</v>
      </c>
      <c r="H380" s="7" t="str">
        <f t="shared" si="17"/>
        <v>April 23 Week 2</v>
      </c>
      <c r="I380" s="4" t="str">
        <f>CONCATENATE(UPPER(TableAopCalendar[[#This Row],[Month]])," ",TableAopCalendar[[#This Row],[Year]])</f>
        <v>APRIL 23</v>
      </c>
      <c r="J380" s="7" t="s">
        <v>274</v>
      </c>
      <c r="K380" s="7" t="str">
        <f>CONCATENATE(TableAopCalendar[[#This Row],[Month for Plan]]," ",TableAopCalendar[[#This Row],[Plan]])</f>
        <v>APRIL 23 PLANNED</v>
      </c>
    </row>
    <row r="381" spans="1:11" x14ac:dyDescent="0.3">
      <c r="A381" s="4">
        <f t="shared" si="15"/>
        <v>1</v>
      </c>
      <c r="B381" s="5">
        <v>45031</v>
      </c>
      <c r="C381" s="6" t="s">
        <v>264</v>
      </c>
      <c r="D381" s="6">
        <v>23</v>
      </c>
      <c r="E381" s="4">
        <f>DAY(TableAopCalendar[[#This Row],[Date]])</f>
        <v>15</v>
      </c>
      <c r="F381" s="4">
        <f>IF(TableAopCalendar[[#This Row],[Day]]&lt;8,1,IF(TableAopCalendar[[#This Row],[Day]]&lt;15,2,IF(TableAopCalendar[[#This Row],[Day]]&lt;22,3,IF(TableAopCalendar[[#This Row],[Day]]&lt;29,4,IF(TableAopCalendar[[#This Row],[Day]]&lt;32,5)))))</f>
        <v>3</v>
      </c>
      <c r="G381" s="4" t="str">
        <f t="shared" si="16"/>
        <v>Week 3</v>
      </c>
      <c r="H381" s="7" t="str">
        <f t="shared" si="17"/>
        <v>April 23 Week 3</v>
      </c>
      <c r="I381" s="4" t="str">
        <f>CONCATENATE(UPPER(TableAopCalendar[[#This Row],[Month]])," ",TableAopCalendar[[#This Row],[Year]])</f>
        <v>APRIL 23</v>
      </c>
      <c r="J381" s="7" t="s">
        <v>274</v>
      </c>
      <c r="K381" s="7" t="str">
        <f>CONCATENATE(TableAopCalendar[[#This Row],[Month for Plan]]," ",TableAopCalendar[[#This Row],[Plan]])</f>
        <v>APRIL 23 PLANNED</v>
      </c>
    </row>
    <row r="382" spans="1:11" x14ac:dyDescent="0.3">
      <c r="A382" s="4">
        <f t="shared" si="15"/>
        <v>2</v>
      </c>
      <c r="B382" s="5">
        <v>45032</v>
      </c>
      <c r="C382" s="6" t="s">
        <v>264</v>
      </c>
      <c r="D382" s="6">
        <v>23</v>
      </c>
      <c r="E382" s="4">
        <f>DAY(TableAopCalendar[[#This Row],[Date]])</f>
        <v>16</v>
      </c>
      <c r="F382" s="4">
        <f>IF(TableAopCalendar[[#This Row],[Day]]&lt;8,1,IF(TableAopCalendar[[#This Row],[Day]]&lt;15,2,IF(TableAopCalendar[[#This Row],[Day]]&lt;22,3,IF(TableAopCalendar[[#This Row],[Day]]&lt;29,4,IF(TableAopCalendar[[#This Row],[Day]]&lt;32,5)))))</f>
        <v>3</v>
      </c>
      <c r="G382" s="4" t="str">
        <f t="shared" si="16"/>
        <v>Week 3</v>
      </c>
      <c r="H382" s="7" t="str">
        <f t="shared" si="17"/>
        <v>April 23 Week 3</v>
      </c>
      <c r="I382" s="4" t="str">
        <f>CONCATENATE(UPPER(TableAopCalendar[[#This Row],[Month]])," ",TableAopCalendar[[#This Row],[Year]])</f>
        <v>APRIL 23</v>
      </c>
      <c r="J382" s="7" t="s">
        <v>274</v>
      </c>
      <c r="K382" s="7" t="str">
        <f>CONCATENATE(TableAopCalendar[[#This Row],[Month for Plan]]," ",TableAopCalendar[[#This Row],[Plan]])</f>
        <v>APRIL 23 PLANNED</v>
      </c>
    </row>
    <row r="383" spans="1:11" x14ac:dyDescent="0.3">
      <c r="A383" s="4">
        <f t="shared" si="15"/>
        <v>3</v>
      </c>
      <c r="B383" s="5">
        <v>45033</v>
      </c>
      <c r="C383" s="6" t="s">
        <v>264</v>
      </c>
      <c r="D383" s="6">
        <v>23</v>
      </c>
      <c r="E383" s="4">
        <f>DAY(TableAopCalendar[[#This Row],[Date]])</f>
        <v>17</v>
      </c>
      <c r="F383" s="4">
        <f>IF(TableAopCalendar[[#This Row],[Day]]&lt;8,1,IF(TableAopCalendar[[#This Row],[Day]]&lt;15,2,IF(TableAopCalendar[[#This Row],[Day]]&lt;22,3,IF(TableAopCalendar[[#This Row],[Day]]&lt;29,4,IF(TableAopCalendar[[#This Row],[Day]]&lt;32,5)))))</f>
        <v>3</v>
      </c>
      <c r="G383" s="4" t="str">
        <f t="shared" si="16"/>
        <v>Week 3</v>
      </c>
      <c r="H383" s="7" t="str">
        <f t="shared" si="17"/>
        <v>April 23 Week 3</v>
      </c>
      <c r="I383" s="4" t="str">
        <f>CONCATENATE(UPPER(TableAopCalendar[[#This Row],[Month]])," ",TableAopCalendar[[#This Row],[Year]])</f>
        <v>APRIL 23</v>
      </c>
      <c r="J383" s="7" t="s">
        <v>274</v>
      </c>
      <c r="K383" s="7" t="str">
        <f>CONCATENATE(TableAopCalendar[[#This Row],[Month for Plan]]," ",TableAopCalendar[[#This Row],[Plan]])</f>
        <v>APRIL 23 PLANNED</v>
      </c>
    </row>
    <row r="384" spans="1:11" x14ac:dyDescent="0.3">
      <c r="A384" s="4">
        <f t="shared" si="15"/>
        <v>4</v>
      </c>
      <c r="B384" s="5">
        <v>45034</v>
      </c>
      <c r="C384" s="6" t="s">
        <v>264</v>
      </c>
      <c r="D384" s="6">
        <v>23</v>
      </c>
      <c r="E384" s="4">
        <f>DAY(TableAopCalendar[[#This Row],[Date]])</f>
        <v>18</v>
      </c>
      <c r="F384" s="4">
        <f>IF(TableAopCalendar[[#This Row],[Day]]&lt;8,1,IF(TableAopCalendar[[#This Row],[Day]]&lt;15,2,IF(TableAopCalendar[[#This Row],[Day]]&lt;22,3,IF(TableAopCalendar[[#This Row],[Day]]&lt;29,4,IF(TableAopCalendar[[#This Row],[Day]]&lt;32,5)))))</f>
        <v>3</v>
      </c>
      <c r="G384" s="4" t="str">
        <f t="shared" si="16"/>
        <v>Week 3</v>
      </c>
      <c r="H384" s="7" t="str">
        <f t="shared" si="17"/>
        <v>April 23 Week 3</v>
      </c>
      <c r="I384" s="4" t="str">
        <f>CONCATENATE(UPPER(TableAopCalendar[[#This Row],[Month]])," ",TableAopCalendar[[#This Row],[Year]])</f>
        <v>APRIL 23</v>
      </c>
      <c r="J384" s="7" t="s">
        <v>274</v>
      </c>
      <c r="K384" s="7" t="str">
        <f>CONCATENATE(TableAopCalendar[[#This Row],[Month for Plan]]," ",TableAopCalendar[[#This Row],[Plan]])</f>
        <v>APRIL 23 PLANNED</v>
      </c>
    </row>
    <row r="385" spans="1:11" x14ac:dyDescent="0.3">
      <c r="A385" s="4">
        <f t="shared" si="15"/>
        <v>5</v>
      </c>
      <c r="B385" s="5">
        <v>45035</v>
      </c>
      <c r="C385" s="6" t="s">
        <v>264</v>
      </c>
      <c r="D385" s="6">
        <v>23</v>
      </c>
      <c r="E385" s="4">
        <f>DAY(TableAopCalendar[[#This Row],[Date]])</f>
        <v>19</v>
      </c>
      <c r="F385" s="4">
        <f>IF(TableAopCalendar[[#This Row],[Day]]&lt;8,1,IF(TableAopCalendar[[#This Row],[Day]]&lt;15,2,IF(TableAopCalendar[[#This Row],[Day]]&lt;22,3,IF(TableAopCalendar[[#This Row],[Day]]&lt;29,4,IF(TableAopCalendar[[#This Row],[Day]]&lt;32,5)))))</f>
        <v>3</v>
      </c>
      <c r="G385" s="4" t="str">
        <f t="shared" si="16"/>
        <v>Week 3</v>
      </c>
      <c r="H385" s="7" t="str">
        <f t="shared" si="17"/>
        <v>April 23 Week 3</v>
      </c>
      <c r="I385" s="4" t="str">
        <f>CONCATENATE(UPPER(TableAopCalendar[[#This Row],[Month]])," ",TableAopCalendar[[#This Row],[Year]])</f>
        <v>APRIL 23</v>
      </c>
      <c r="J385" s="7" t="s">
        <v>274</v>
      </c>
      <c r="K385" s="7" t="str">
        <f>CONCATENATE(TableAopCalendar[[#This Row],[Month for Plan]]," ",TableAopCalendar[[#This Row],[Plan]])</f>
        <v>APRIL 23 PLANNED</v>
      </c>
    </row>
    <row r="386" spans="1:11" x14ac:dyDescent="0.3">
      <c r="A386" s="4">
        <f t="shared" ref="A386:A449" si="18">IF(G386=G385,A385+1,1)</f>
        <v>6</v>
      </c>
      <c r="B386" s="5">
        <v>45036</v>
      </c>
      <c r="C386" s="6" t="s">
        <v>264</v>
      </c>
      <c r="D386" s="6">
        <v>23</v>
      </c>
      <c r="E386" s="4">
        <f>DAY(TableAopCalendar[[#This Row],[Date]])</f>
        <v>20</v>
      </c>
      <c r="F386" s="4">
        <f>IF(TableAopCalendar[[#This Row],[Day]]&lt;8,1,IF(TableAopCalendar[[#This Row],[Day]]&lt;15,2,IF(TableAopCalendar[[#This Row],[Day]]&lt;22,3,IF(TableAopCalendar[[#This Row],[Day]]&lt;29,4,IF(TableAopCalendar[[#This Row],[Day]]&lt;32,5)))))</f>
        <v>3</v>
      </c>
      <c r="G386" s="4" t="str">
        <f t="shared" ref="G386:G449" si="19">"Week"&amp;" "&amp;F386</f>
        <v>Week 3</v>
      </c>
      <c r="H386" s="7" t="str">
        <f t="shared" ref="H386:H449" si="20">CONCATENATE(C386," ",D386," ",G386)</f>
        <v>April 23 Week 3</v>
      </c>
      <c r="I386" s="4" t="str">
        <f>CONCATENATE(UPPER(TableAopCalendar[[#This Row],[Month]])," ",TableAopCalendar[[#This Row],[Year]])</f>
        <v>APRIL 23</v>
      </c>
      <c r="J386" s="7" t="s">
        <v>274</v>
      </c>
      <c r="K386" s="7" t="str">
        <f>CONCATENATE(TableAopCalendar[[#This Row],[Month for Plan]]," ",TableAopCalendar[[#This Row],[Plan]])</f>
        <v>APRIL 23 PLANNED</v>
      </c>
    </row>
    <row r="387" spans="1:11" x14ac:dyDescent="0.3">
      <c r="A387" s="4">
        <f t="shared" si="18"/>
        <v>7</v>
      </c>
      <c r="B387" s="5">
        <v>45037</v>
      </c>
      <c r="C387" s="6" t="s">
        <v>264</v>
      </c>
      <c r="D387" s="6">
        <v>23</v>
      </c>
      <c r="E387" s="4">
        <f>DAY(TableAopCalendar[[#This Row],[Date]])</f>
        <v>21</v>
      </c>
      <c r="F387" s="4">
        <f>IF(TableAopCalendar[[#This Row],[Day]]&lt;8,1,IF(TableAopCalendar[[#This Row],[Day]]&lt;15,2,IF(TableAopCalendar[[#This Row],[Day]]&lt;22,3,IF(TableAopCalendar[[#This Row],[Day]]&lt;29,4,IF(TableAopCalendar[[#This Row],[Day]]&lt;32,5)))))</f>
        <v>3</v>
      </c>
      <c r="G387" s="4" t="str">
        <f t="shared" si="19"/>
        <v>Week 3</v>
      </c>
      <c r="H387" s="7" t="str">
        <f t="shared" si="20"/>
        <v>April 23 Week 3</v>
      </c>
      <c r="I387" s="4" t="str">
        <f>CONCATENATE(UPPER(TableAopCalendar[[#This Row],[Month]])," ",TableAopCalendar[[#This Row],[Year]])</f>
        <v>APRIL 23</v>
      </c>
      <c r="J387" s="7" t="s">
        <v>274</v>
      </c>
      <c r="K387" s="7" t="str">
        <f>CONCATENATE(TableAopCalendar[[#This Row],[Month for Plan]]," ",TableAopCalendar[[#This Row],[Plan]])</f>
        <v>APRIL 23 PLANNED</v>
      </c>
    </row>
    <row r="388" spans="1:11" x14ac:dyDescent="0.3">
      <c r="A388" s="4">
        <f t="shared" si="18"/>
        <v>1</v>
      </c>
      <c r="B388" s="5">
        <v>45038</v>
      </c>
      <c r="C388" s="6" t="s">
        <v>264</v>
      </c>
      <c r="D388" s="6">
        <v>23</v>
      </c>
      <c r="E388" s="4">
        <f>DAY(TableAopCalendar[[#This Row],[Date]])</f>
        <v>22</v>
      </c>
      <c r="F388" s="4">
        <f>IF(TableAopCalendar[[#This Row],[Day]]&lt;8,1,IF(TableAopCalendar[[#This Row],[Day]]&lt;15,2,IF(TableAopCalendar[[#This Row],[Day]]&lt;22,3,IF(TableAopCalendar[[#This Row],[Day]]&lt;29,4,IF(TableAopCalendar[[#This Row],[Day]]&lt;32,5)))))</f>
        <v>4</v>
      </c>
      <c r="G388" s="4" t="str">
        <f t="shared" si="19"/>
        <v>Week 4</v>
      </c>
      <c r="H388" s="7" t="str">
        <f t="shared" si="20"/>
        <v>April 23 Week 4</v>
      </c>
      <c r="I388" s="4" t="str">
        <f>CONCATENATE(UPPER(TableAopCalendar[[#This Row],[Month]])," ",TableAopCalendar[[#This Row],[Year]])</f>
        <v>APRIL 23</v>
      </c>
      <c r="J388" s="7" t="s">
        <v>274</v>
      </c>
      <c r="K388" s="7" t="str">
        <f>CONCATENATE(TableAopCalendar[[#This Row],[Month for Plan]]," ",TableAopCalendar[[#This Row],[Plan]])</f>
        <v>APRIL 23 PLANNED</v>
      </c>
    </row>
    <row r="389" spans="1:11" x14ac:dyDescent="0.3">
      <c r="A389" s="4">
        <f t="shared" si="18"/>
        <v>2</v>
      </c>
      <c r="B389" s="5">
        <v>45039</v>
      </c>
      <c r="C389" s="6" t="s">
        <v>264</v>
      </c>
      <c r="D389" s="6">
        <v>23</v>
      </c>
      <c r="E389" s="4">
        <f>DAY(TableAopCalendar[[#This Row],[Date]])</f>
        <v>23</v>
      </c>
      <c r="F389" s="4">
        <f>IF(TableAopCalendar[[#This Row],[Day]]&lt;8,1,IF(TableAopCalendar[[#This Row],[Day]]&lt;15,2,IF(TableAopCalendar[[#This Row],[Day]]&lt;22,3,IF(TableAopCalendar[[#This Row],[Day]]&lt;29,4,IF(TableAopCalendar[[#This Row],[Day]]&lt;32,5)))))</f>
        <v>4</v>
      </c>
      <c r="G389" s="4" t="str">
        <f t="shared" si="19"/>
        <v>Week 4</v>
      </c>
      <c r="H389" s="7" t="str">
        <f t="shared" si="20"/>
        <v>April 23 Week 4</v>
      </c>
      <c r="I389" s="4" t="str">
        <f>CONCATENATE(UPPER(TableAopCalendar[[#This Row],[Month]])," ",TableAopCalendar[[#This Row],[Year]])</f>
        <v>APRIL 23</v>
      </c>
      <c r="J389" s="7" t="s">
        <v>274</v>
      </c>
      <c r="K389" s="7" t="str">
        <f>CONCATENATE(TableAopCalendar[[#This Row],[Month for Plan]]," ",TableAopCalendar[[#This Row],[Plan]])</f>
        <v>APRIL 23 PLANNED</v>
      </c>
    </row>
    <row r="390" spans="1:11" x14ac:dyDescent="0.3">
      <c r="A390" s="4">
        <f t="shared" si="18"/>
        <v>3</v>
      </c>
      <c r="B390" s="5">
        <v>45040</v>
      </c>
      <c r="C390" s="6" t="s">
        <v>264</v>
      </c>
      <c r="D390" s="6">
        <v>23</v>
      </c>
      <c r="E390" s="4">
        <f>DAY(TableAopCalendar[[#This Row],[Date]])</f>
        <v>24</v>
      </c>
      <c r="F390" s="4">
        <f>IF(TableAopCalendar[[#This Row],[Day]]&lt;8,1,IF(TableAopCalendar[[#This Row],[Day]]&lt;15,2,IF(TableAopCalendar[[#This Row],[Day]]&lt;22,3,IF(TableAopCalendar[[#This Row],[Day]]&lt;29,4,IF(TableAopCalendar[[#This Row],[Day]]&lt;32,5)))))</f>
        <v>4</v>
      </c>
      <c r="G390" s="4" t="str">
        <f t="shared" si="19"/>
        <v>Week 4</v>
      </c>
      <c r="H390" s="7" t="str">
        <f t="shared" si="20"/>
        <v>April 23 Week 4</v>
      </c>
      <c r="I390" s="4" t="str">
        <f>CONCATENATE(UPPER(TableAopCalendar[[#This Row],[Month]])," ",TableAopCalendar[[#This Row],[Year]])</f>
        <v>APRIL 23</v>
      </c>
      <c r="J390" s="7" t="s">
        <v>274</v>
      </c>
      <c r="K390" s="7" t="str">
        <f>CONCATENATE(TableAopCalendar[[#This Row],[Month for Plan]]," ",TableAopCalendar[[#This Row],[Plan]])</f>
        <v>APRIL 23 PLANNED</v>
      </c>
    </row>
    <row r="391" spans="1:11" x14ac:dyDescent="0.3">
      <c r="A391" s="4">
        <f t="shared" si="18"/>
        <v>4</v>
      </c>
      <c r="B391" s="5">
        <v>45041</v>
      </c>
      <c r="C391" s="6" t="s">
        <v>264</v>
      </c>
      <c r="D391" s="6">
        <v>23</v>
      </c>
      <c r="E391" s="4">
        <f>DAY(TableAopCalendar[[#This Row],[Date]])</f>
        <v>25</v>
      </c>
      <c r="F391" s="4">
        <f>IF(TableAopCalendar[[#This Row],[Day]]&lt;8,1,IF(TableAopCalendar[[#This Row],[Day]]&lt;15,2,IF(TableAopCalendar[[#This Row],[Day]]&lt;22,3,IF(TableAopCalendar[[#This Row],[Day]]&lt;29,4,IF(TableAopCalendar[[#This Row],[Day]]&lt;32,5)))))</f>
        <v>4</v>
      </c>
      <c r="G391" s="4" t="str">
        <f t="shared" si="19"/>
        <v>Week 4</v>
      </c>
      <c r="H391" s="7" t="str">
        <f t="shared" si="20"/>
        <v>April 23 Week 4</v>
      </c>
      <c r="I391" s="4" t="str">
        <f>CONCATENATE(UPPER(TableAopCalendar[[#This Row],[Month]])," ",TableAopCalendar[[#This Row],[Year]])</f>
        <v>APRIL 23</v>
      </c>
      <c r="J391" s="7" t="s">
        <v>274</v>
      </c>
      <c r="K391" s="7" t="str">
        <f>CONCATENATE(TableAopCalendar[[#This Row],[Month for Plan]]," ",TableAopCalendar[[#This Row],[Plan]])</f>
        <v>APRIL 23 PLANNED</v>
      </c>
    </row>
    <row r="392" spans="1:11" x14ac:dyDescent="0.3">
      <c r="A392" s="4">
        <f t="shared" si="18"/>
        <v>5</v>
      </c>
      <c r="B392" s="5">
        <v>45042</v>
      </c>
      <c r="C392" s="6" t="s">
        <v>264</v>
      </c>
      <c r="D392" s="6">
        <v>23</v>
      </c>
      <c r="E392" s="4">
        <f>DAY(TableAopCalendar[[#This Row],[Date]])</f>
        <v>26</v>
      </c>
      <c r="F392" s="4">
        <f>IF(TableAopCalendar[[#This Row],[Day]]&lt;8,1,IF(TableAopCalendar[[#This Row],[Day]]&lt;15,2,IF(TableAopCalendar[[#This Row],[Day]]&lt;22,3,IF(TableAopCalendar[[#This Row],[Day]]&lt;29,4,IF(TableAopCalendar[[#This Row],[Day]]&lt;32,5)))))</f>
        <v>4</v>
      </c>
      <c r="G392" s="4" t="str">
        <f t="shared" si="19"/>
        <v>Week 4</v>
      </c>
      <c r="H392" s="7" t="str">
        <f t="shared" si="20"/>
        <v>April 23 Week 4</v>
      </c>
      <c r="I392" s="4" t="str">
        <f>CONCATENATE(UPPER(TableAopCalendar[[#This Row],[Month]])," ",TableAopCalendar[[#This Row],[Year]])</f>
        <v>APRIL 23</v>
      </c>
      <c r="J392" s="7" t="s">
        <v>274</v>
      </c>
      <c r="K392" s="7" t="str">
        <f>CONCATENATE(TableAopCalendar[[#This Row],[Month for Plan]]," ",TableAopCalendar[[#This Row],[Plan]])</f>
        <v>APRIL 23 PLANNED</v>
      </c>
    </row>
    <row r="393" spans="1:11" x14ac:dyDescent="0.3">
      <c r="A393" s="4">
        <f t="shared" si="18"/>
        <v>6</v>
      </c>
      <c r="B393" s="5">
        <v>45043</v>
      </c>
      <c r="C393" s="6" t="s">
        <v>264</v>
      </c>
      <c r="D393" s="6">
        <v>23</v>
      </c>
      <c r="E393" s="4">
        <f>DAY(TableAopCalendar[[#This Row],[Date]])</f>
        <v>27</v>
      </c>
      <c r="F393" s="4">
        <f>IF(TableAopCalendar[[#This Row],[Day]]&lt;8,1,IF(TableAopCalendar[[#This Row],[Day]]&lt;15,2,IF(TableAopCalendar[[#This Row],[Day]]&lt;22,3,IF(TableAopCalendar[[#This Row],[Day]]&lt;29,4,IF(TableAopCalendar[[#This Row],[Day]]&lt;32,5)))))</f>
        <v>4</v>
      </c>
      <c r="G393" s="4" t="str">
        <f t="shared" si="19"/>
        <v>Week 4</v>
      </c>
      <c r="H393" s="7" t="str">
        <f t="shared" si="20"/>
        <v>April 23 Week 4</v>
      </c>
      <c r="I393" s="4" t="str">
        <f>CONCATENATE(UPPER(TableAopCalendar[[#This Row],[Month]])," ",TableAopCalendar[[#This Row],[Year]])</f>
        <v>APRIL 23</v>
      </c>
      <c r="J393" s="7" t="s">
        <v>274</v>
      </c>
      <c r="K393" s="7" t="str">
        <f>CONCATENATE(TableAopCalendar[[#This Row],[Month for Plan]]," ",TableAopCalendar[[#This Row],[Plan]])</f>
        <v>APRIL 23 PLANNED</v>
      </c>
    </row>
    <row r="394" spans="1:11" x14ac:dyDescent="0.3">
      <c r="A394" s="4">
        <f t="shared" si="18"/>
        <v>7</v>
      </c>
      <c r="B394" s="5">
        <v>45044</v>
      </c>
      <c r="C394" s="6" t="s">
        <v>264</v>
      </c>
      <c r="D394" s="6">
        <v>23</v>
      </c>
      <c r="E394" s="4">
        <f>DAY(TableAopCalendar[[#This Row],[Date]])</f>
        <v>28</v>
      </c>
      <c r="F394" s="4">
        <f>IF(TableAopCalendar[[#This Row],[Day]]&lt;8,1,IF(TableAopCalendar[[#This Row],[Day]]&lt;15,2,IF(TableAopCalendar[[#This Row],[Day]]&lt;22,3,IF(TableAopCalendar[[#This Row],[Day]]&lt;29,4,IF(TableAopCalendar[[#This Row],[Day]]&lt;32,5)))))</f>
        <v>4</v>
      </c>
      <c r="G394" s="4" t="str">
        <f t="shared" si="19"/>
        <v>Week 4</v>
      </c>
      <c r="H394" s="7" t="str">
        <f t="shared" si="20"/>
        <v>April 23 Week 4</v>
      </c>
      <c r="I394" s="4" t="str">
        <f>CONCATENATE(UPPER(TableAopCalendar[[#This Row],[Month]])," ",TableAopCalendar[[#This Row],[Year]])</f>
        <v>APRIL 23</v>
      </c>
      <c r="J394" s="7" t="s">
        <v>274</v>
      </c>
      <c r="K394" s="7" t="str">
        <f>CONCATENATE(TableAopCalendar[[#This Row],[Month for Plan]]," ",TableAopCalendar[[#This Row],[Plan]])</f>
        <v>APRIL 23 PLANNED</v>
      </c>
    </row>
    <row r="395" spans="1:11" x14ac:dyDescent="0.3">
      <c r="A395" s="4">
        <f t="shared" si="18"/>
        <v>1</v>
      </c>
      <c r="B395" s="5">
        <v>45045</v>
      </c>
      <c r="C395" s="6" t="s">
        <v>264</v>
      </c>
      <c r="D395" s="6">
        <v>23</v>
      </c>
      <c r="E395" s="4">
        <f>DAY(TableAopCalendar[[#This Row],[Date]])</f>
        <v>29</v>
      </c>
      <c r="F395" s="4">
        <f>IF(TableAopCalendar[[#This Row],[Day]]&lt;8,1,IF(TableAopCalendar[[#This Row],[Day]]&lt;15,2,IF(TableAopCalendar[[#This Row],[Day]]&lt;22,3,IF(TableAopCalendar[[#This Row],[Day]]&lt;29,4,IF(TableAopCalendar[[#This Row],[Day]]&lt;32,5)))))</f>
        <v>5</v>
      </c>
      <c r="G395" s="4" t="str">
        <f t="shared" si="19"/>
        <v>Week 5</v>
      </c>
      <c r="H395" s="7" t="str">
        <f t="shared" si="20"/>
        <v>April 23 Week 5</v>
      </c>
      <c r="I395" s="4" t="str">
        <f>CONCATENATE(UPPER(TableAopCalendar[[#This Row],[Month]])," ",TableAopCalendar[[#This Row],[Year]])</f>
        <v>APRIL 23</v>
      </c>
      <c r="J395" s="7" t="s">
        <v>274</v>
      </c>
      <c r="K395" s="7" t="str">
        <f>CONCATENATE(TableAopCalendar[[#This Row],[Month for Plan]]," ",TableAopCalendar[[#This Row],[Plan]])</f>
        <v>APRIL 23 PLANNED</v>
      </c>
    </row>
    <row r="396" spans="1:11" x14ac:dyDescent="0.3">
      <c r="A396" s="4">
        <f t="shared" si="18"/>
        <v>2</v>
      </c>
      <c r="B396" s="5">
        <v>45046</v>
      </c>
      <c r="C396" s="6" t="s">
        <v>264</v>
      </c>
      <c r="D396" s="6">
        <v>23</v>
      </c>
      <c r="E396" s="4">
        <f>DAY(TableAopCalendar[[#This Row],[Date]])</f>
        <v>30</v>
      </c>
      <c r="F396" s="4">
        <f>IF(TableAopCalendar[[#This Row],[Day]]&lt;8,1,IF(TableAopCalendar[[#This Row],[Day]]&lt;15,2,IF(TableAopCalendar[[#This Row],[Day]]&lt;22,3,IF(TableAopCalendar[[#This Row],[Day]]&lt;29,4,IF(TableAopCalendar[[#This Row],[Day]]&lt;32,5)))))</f>
        <v>5</v>
      </c>
      <c r="G396" s="4" t="str">
        <f t="shared" si="19"/>
        <v>Week 5</v>
      </c>
      <c r="H396" s="7" t="str">
        <f t="shared" si="20"/>
        <v>April 23 Week 5</v>
      </c>
      <c r="I396" s="4" t="str">
        <f>CONCATENATE(UPPER(TableAopCalendar[[#This Row],[Month]])," ",TableAopCalendar[[#This Row],[Year]])</f>
        <v>APRIL 23</v>
      </c>
      <c r="J396" s="7" t="s">
        <v>274</v>
      </c>
      <c r="K396" s="7" t="str">
        <f>CONCATENATE(TableAopCalendar[[#This Row],[Month for Plan]]," ",TableAopCalendar[[#This Row],[Plan]])</f>
        <v>APRIL 23 PLANNED</v>
      </c>
    </row>
    <row r="397" spans="1:11" x14ac:dyDescent="0.3">
      <c r="A397" s="4">
        <f t="shared" si="18"/>
        <v>1</v>
      </c>
      <c r="B397" s="5">
        <v>45047</v>
      </c>
      <c r="C397" s="6" t="s">
        <v>265</v>
      </c>
      <c r="D397" s="6">
        <v>23</v>
      </c>
      <c r="E397" s="4">
        <f>DAY(TableAopCalendar[[#This Row],[Date]])</f>
        <v>1</v>
      </c>
      <c r="F397" s="4">
        <f>IF(TableAopCalendar[[#This Row],[Day]]&lt;8,1,IF(TableAopCalendar[[#This Row],[Day]]&lt;15,2,IF(TableAopCalendar[[#This Row],[Day]]&lt;22,3,IF(TableAopCalendar[[#This Row],[Day]]&lt;29,4,IF(TableAopCalendar[[#This Row],[Day]]&lt;32,5)))))</f>
        <v>1</v>
      </c>
      <c r="G397" s="4" t="str">
        <f t="shared" si="19"/>
        <v>Week 1</v>
      </c>
      <c r="H397" s="7" t="str">
        <f t="shared" si="20"/>
        <v>May 23 Week 1</v>
      </c>
      <c r="I397" s="4" t="str">
        <f>CONCATENATE(UPPER(TableAopCalendar[[#This Row],[Month]])," ",TableAopCalendar[[#This Row],[Year]])</f>
        <v>MAY 23</v>
      </c>
      <c r="J397" s="7" t="s">
        <v>274</v>
      </c>
      <c r="K397" s="7" t="str">
        <f>CONCATENATE(TableAopCalendar[[#This Row],[Month for Plan]]," ",TableAopCalendar[[#This Row],[Plan]])</f>
        <v>MAY 23 PLANNED</v>
      </c>
    </row>
    <row r="398" spans="1:11" x14ac:dyDescent="0.3">
      <c r="A398" s="4">
        <f t="shared" si="18"/>
        <v>2</v>
      </c>
      <c r="B398" s="5">
        <v>45048</v>
      </c>
      <c r="C398" s="6" t="s">
        <v>265</v>
      </c>
      <c r="D398" s="6">
        <v>23</v>
      </c>
      <c r="E398" s="4">
        <f>DAY(TableAopCalendar[[#This Row],[Date]])</f>
        <v>2</v>
      </c>
      <c r="F398" s="4">
        <f>IF(TableAopCalendar[[#This Row],[Day]]&lt;8,1,IF(TableAopCalendar[[#This Row],[Day]]&lt;15,2,IF(TableAopCalendar[[#This Row],[Day]]&lt;22,3,IF(TableAopCalendar[[#This Row],[Day]]&lt;29,4,IF(TableAopCalendar[[#This Row],[Day]]&lt;32,5)))))</f>
        <v>1</v>
      </c>
      <c r="G398" s="4" t="str">
        <f t="shared" si="19"/>
        <v>Week 1</v>
      </c>
      <c r="H398" s="7" t="str">
        <f t="shared" si="20"/>
        <v>May 23 Week 1</v>
      </c>
      <c r="I398" s="4" t="str">
        <f>CONCATENATE(UPPER(TableAopCalendar[[#This Row],[Month]])," ",TableAopCalendar[[#This Row],[Year]])</f>
        <v>MAY 23</v>
      </c>
      <c r="J398" s="7" t="s">
        <v>274</v>
      </c>
      <c r="K398" s="7" t="str">
        <f>CONCATENATE(TableAopCalendar[[#This Row],[Month for Plan]]," ",TableAopCalendar[[#This Row],[Plan]])</f>
        <v>MAY 23 PLANNED</v>
      </c>
    </row>
    <row r="399" spans="1:11" x14ac:dyDescent="0.3">
      <c r="A399" s="4">
        <f t="shared" si="18"/>
        <v>3</v>
      </c>
      <c r="B399" s="5">
        <v>45049</v>
      </c>
      <c r="C399" s="6" t="s">
        <v>265</v>
      </c>
      <c r="D399" s="6">
        <v>23</v>
      </c>
      <c r="E399" s="4">
        <f>DAY(TableAopCalendar[[#This Row],[Date]])</f>
        <v>3</v>
      </c>
      <c r="F399" s="4">
        <f>IF(TableAopCalendar[[#This Row],[Day]]&lt;8,1,IF(TableAopCalendar[[#This Row],[Day]]&lt;15,2,IF(TableAopCalendar[[#This Row],[Day]]&lt;22,3,IF(TableAopCalendar[[#This Row],[Day]]&lt;29,4,IF(TableAopCalendar[[#This Row],[Day]]&lt;32,5)))))</f>
        <v>1</v>
      </c>
      <c r="G399" s="4" t="str">
        <f t="shared" si="19"/>
        <v>Week 1</v>
      </c>
      <c r="H399" s="7" t="str">
        <f t="shared" si="20"/>
        <v>May 23 Week 1</v>
      </c>
      <c r="I399" s="4" t="str">
        <f>CONCATENATE(UPPER(TableAopCalendar[[#This Row],[Month]])," ",TableAopCalendar[[#This Row],[Year]])</f>
        <v>MAY 23</v>
      </c>
      <c r="J399" s="7" t="s">
        <v>274</v>
      </c>
      <c r="K399" s="7" t="str">
        <f>CONCATENATE(TableAopCalendar[[#This Row],[Month for Plan]]," ",TableAopCalendar[[#This Row],[Plan]])</f>
        <v>MAY 23 PLANNED</v>
      </c>
    </row>
    <row r="400" spans="1:11" x14ac:dyDescent="0.3">
      <c r="A400" s="4">
        <f t="shared" si="18"/>
        <v>4</v>
      </c>
      <c r="B400" s="5">
        <v>45050</v>
      </c>
      <c r="C400" s="6" t="s">
        <v>265</v>
      </c>
      <c r="D400" s="6">
        <v>23</v>
      </c>
      <c r="E400" s="4">
        <f>DAY(TableAopCalendar[[#This Row],[Date]])</f>
        <v>4</v>
      </c>
      <c r="F400" s="4">
        <f>IF(TableAopCalendar[[#This Row],[Day]]&lt;8,1,IF(TableAopCalendar[[#This Row],[Day]]&lt;15,2,IF(TableAopCalendar[[#This Row],[Day]]&lt;22,3,IF(TableAopCalendar[[#This Row],[Day]]&lt;29,4,IF(TableAopCalendar[[#This Row],[Day]]&lt;32,5)))))</f>
        <v>1</v>
      </c>
      <c r="G400" s="4" t="str">
        <f t="shared" si="19"/>
        <v>Week 1</v>
      </c>
      <c r="H400" s="7" t="str">
        <f t="shared" si="20"/>
        <v>May 23 Week 1</v>
      </c>
      <c r="I400" s="4" t="str">
        <f>CONCATENATE(UPPER(TableAopCalendar[[#This Row],[Month]])," ",TableAopCalendar[[#This Row],[Year]])</f>
        <v>MAY 23</v>
      </c>
      <c r="J400" s="7" t="s">
        <v>274</v>
      </c>
      <c r="K400" s="7" t="str">
        <f>CONCATENATE(TableAopCalendar[[#This Row],[Month for Plan]]," ",TableAopCalendar[[#This Row],[Plan]])</f>
        <v>MAY 23 PLANNED</v>
      </c>
    </row>
    <row r="401" spans="1:11" x14ac:dyDescent="0.3">
      <c r="A401" s="4">
        <f t="shared" si="18"/>
        <v>5</v>
      </c>
      <c r="B401" s="5">
        <v>45051</v>
      </c>
      <c r="C401" s="6" t="s">
        <v>265</v>
      </c>
      <c r="D401" s="6">
        <v>23</v>
      </c>
      <c r="E401" s="4">
        <f>DAY(TableAopCalendar[[#This Row],[Date]])</f>
        <v>5</v>
      </c>
      <c r="F401" s="4">
        <f>IF(TableAopCalendar[[#This Row],[Day]]&lt;8,1,IF(TableAopCalendar[[#This Row],[Day]]&lt;15,2,IF(TableAopCalendar[[#This Row],[Day]]&lt;22,3,IF(TableAopCalendar[[#This Row],[Day]]&lt;29,4,IF(TableAopCalendar[[#This Row],[Day]]&lt;32,5)))))</f>
        <v>1</v>
      </c>
      <c r="G401" s="4" t="str">
        <f t="shared" si="19"/>
        <v>Week 1</v>
      </c>
      <c r="H401" s="7" t="str">
        <f t="shared" si="20"/>
        <v>May 23 Week 1</v>
      </c>
      <c r="I401" s="4" t="str">
        <f>CONCATENATE(UPPER(TableAopCalendar[[#This Row],[Month]])," ",TableAopCalendar[[#This Row],[Year]])</f>
        <v>MAY 23</v>
      </c>
      <c r="J401" s="7" t="s">
        <v>274</v>
      </c>
      <c r="K401" s="7" t="str">
        <f>CONCATENATE(TableAopCalendar[[#This Row],[Month for Plan]]," ",TableAopCalendar[[#This Row],[Plan]])</f>
        <v>MAY 23 PLANNED</v>
      </c>
    </row>
    <row r="402" spans="1:11" x14ac:dyDescent="0.3">
      <c r="A402" s="4">
        <f t="shared" si="18"/>
        <v>6</v>
      </c>
      <c r="B402" s="5">
        <v>45052</v>
      </c>
      <c r="C402" s="6" t="s">
        <v>265</v>
      </c>
      <c r="D402" s="6">
        <v>23</v>
      </c>
      <c r="E402" s="4">
        <f>DAY(TableAopCalendar[[#This Row],[Date]])</f>
        <v>6</v>
      </c>
      <c r="F402" s="4">
        <f>IF(TableAopCalendar[[#This Row],[Day]]&lt;8,1,IF(TableAopCalendar[[#This Row],[Day]]&lt;15,2,IF(TableAopCalendar[[#This Row],[Day]]&lt;22,3,IF(TableAopCalendar[[#This Row],[Day]]&lt;29,4,IF(TableAopCalendar[[#This Row],[Day]]&lt;32,5)))))</f>
        <v>1</v>
      </c>
      <c r="G402" s="4" t="str">
        <f t="shared" si="19"/>
        <v>Week 1</v>
      </c>
      <c r="H402" s="7" t="str">
        <f t="shared" si="20"/>
        <v>May 23 Week 1</v>
      </c>
      <c r="I402" s="4" t="str">
        <f>CONCATENATE(UPPER(TableAopCalendar[[#This Row],[Month]])," ",TableAopCalendar[[#This Row],[Year]])</f>
        <v>MAY 23</v>
      </c>
      <c r="J402" s="7" t="s">
        <v>274</v>
      </c>
      <c r="K402" s="7" t="str">
        <f>CONCATENATE(TableAopCalendar[[#This Row],[Month for Plan]]," ",TableAopCalendar[[#This Row],[Plan]])</f>
        <v>MAY 23 PLANNED</v>
      </c>
    </row>
    <row r="403" spans="1:11" x14ac:dyDescent="0.3">
      <c r="A403" s="4">
        <f t="shared" si="18"/>
        <v>7</v>
      </c>
      <c r="B403" s="5">
        <v>45053</v>
      </c>
      <c r="C403" s="6" t="s">
        <v>265</v>
      </c>
      <c r="D403" s="6">
        <v>23</v>
      </c>
      <c r="E403" s="4">
        <f>DAY(TableAopCalendar[[#This Row],[Date]])</f>
        <v>7</v>
      </c>
      <c r="F403" s="4">
        <f>IF(TableAopCalendar[[#This Row],[Day]]&lt;8,1,IF(TableAopCalendar[[#This Row],[Day]]&lt;15,2,IF(TableAopCalendar[[#This Row],[Day]]&lt;22,3,IF(TableAopCalendar[[#This Row],[Day]]&lt;29,4,IF(TableAopCalendar[[#This Row],[Day]]&lt;32,5)))))</f>
        <v>1</v>
      </c>
      <c r="G403" s="4" t="str">
        <f t="shared" si="19"/>
        <v>Week 1</v>
      </c>
      <c r="H403" s="7" t="str">
        <f t="shared" si="20"/>
        <v>May 23 Week 1</v>
      </c>
      <c r="I403" s="4" t="str">
        <f>CONCATENATE(UPPER(TableAopCalendar[[#This Row],[Month]])," ",TableAopCalendar[[#This Row],[Year]])</f>
        <v>MAY 23</v>
      </c>
      <c r="J403" s="7" t="s">
        <v>274</v>
      </c>
      <c r="K403" s="7" t="str">
        <f>CONCATENATE(TableAopCalendar[[#This Row],[Month for Plan]]," ",TableAopCalendar[[#This Row],[Plan]])</f>
        <v>MAY 23 PLANNED</v>
      </c>
    </row>
    <row r="404" spans="1:11" x14ac:dyDescent="0.3">
      <c r="A404" s="4">
        <f t="shared" si="18"/>
        <v>1</v>
      </c>
      <c r="B404" s="5">
        <v>45054</v>
      </c>
      <c r="C404" s="6" t="s">
        <v>265</v>
      </c>
      <c r="D404" s="6">
        <v>23</v>
      </c>
      <c r="E404" s="4">
        <f>DAY(TableAopCalendar[[#This Row],[Date]])</f>
        <v>8</v>
      </c>
      <c r="F404" s="4">
        <f>IF(TableAopCalendar[[#This Row],[Day]]&lt;8,1,IF(TableAopCalendar[[#This Row],[Day]]&lt;15,2,IF(TableAopCalendar[[#This Row],[Day]]&lt;22,3,IF(TableAopCalendar[[#This Row],[Day]]&lt;29,4,IF(TableAopCalendar[[#This Row],[Day]]&lt;32,5)))))</f>
        <v>2</v>
      </c>
      <c r="G404" s="4" t="str">
        <f t="shared" si="19"/>
        <v>Week 2</v>
      </c>
      <c r="H404" s="7" t="str">
        <f t="shared" si="20"/>
        <v>May 23 Week 2</v>
      </c>
      <c r="I404" s="4" t="str">
        <f>CONCATENATE(UPPER(TableAopCalendar[[#This Row],[Month]])," ",TableAopCalendar[[#This Row],[Year]])</f>
        <v>MAY 23</v>
      </c>
      <c r="J404" s="7" t="s">
        <v>274</v>
      </c>
      <c r="K404" s="7" t="str">
        <f>CONCATENATE(TableAopCalendar[[#This Row],[Month for Plan]]," ",TableAopCalendar[[#This Row],[Plan]])</f>
        <v>MAY 23 PLANNED</v>
      </c>
    </row>
    <row r="405" spans="1:11" x14ac:dyDescent="0.3">
      <c r="A405" s="4">
        <f t="shared" si="18"/>
        <v>2</v>
      </c>
      <c r="B405" s="5">
        <v>45055</v>
      </c>
      <c r="C405" s="6" t="s">
        <v>265</v>
      </c>
      <c r="D405" s="6">
        <v>23</v>
      </c>
      <c r="E405" s="4">
        <f>DAY(TableAopCalendar[[#This Row],[Date]])</f>
        <v>9</v>
      </c>
      <c r="F405" s="4">
        <f>IF(TableAopCalendar[[#This Row],[Day]]&lt;8,1,IF(TableAopCalendar[[#This Row],[Day]]&lt;15,2,IF(TableAopCalendar[[#This Row],[Day]]&lt;22,3,IF(TableAopCalendar[[#This Row],[Day]]&lt;29,4,IF(TableAopCalendar[[#This Row],[Day]]&lt;32,5)))))</f>
        <v>2</v>
      </c>
      <c r="G405" s="4" t="str">
        <f t="shared" si="19"/>
        <v>Week 2</v>
      </c>
      <c r="H405" s="7" t="str">
        <f t="shared" si="20"/>
        <v>May 23 Week 2</v>
      </c>
      <c r="I405" s="4" t="str">
        <f>CONCATENATE(UPPER(TableAopCalendar[[#This Row],[Month]])," ",TableAopCalendar[[#This Row],[Year]])</f>
        <v>MAY 23</v>
      </c>
      <c r="J405" s="7" t="s">
        <v>274</v>
      </c>
      <c r="K405" s="7" t="str">
        <f>CONCATENATE(TableAopCalendar[[#This Row],[Month for Plan]]," ",TableAopCalendar[[#This Row],[Plan]])</f>
        <v>MAY 23 PLANNED</v>
      </c>
    </row>
    <row r="406" spans="1:11" x14ac:dyDescent="0.3">
      <c r="A406" s="4">
        <f t="shared" si="18"/>
        <v>3</v>
      </c>
      <c r="B406" s="5">
        <v>45056</v>
      </c>
      <c r="C406" s="6" t="s">
        <v>265</v>
      </c>
      <c r="D406" s="6">
        <v>23</v>
      </c>
      <c r="E406" s="4">
        <f>DAY(TableAopCalendar[[#This Row],[Date]])</f>
        <v>10</v>
      </c>
      <c r="F406" s="4">
        <f>IF(TableAopCalendar[[#This Row],[Day]]&lt;8,1,IF(TableAopCalendar[[#This Row],[Day]]&lt;15,2,IF(TableAopCalendar[[#This Row],[Day]]&lt;22,3,IF(TableAopCalendar[[#This Row],[Day]]&lt;29,4,IF(TableAopCalendar[[#This Row],[Day]]&lt;32,5)))))</f>
        <v>2</v>
      </c>
      <c r="G406" s="4" t="str">
        <f t="shared" si="19"/>
        <v>Week 2</v>
      </c>
      <c r="H406" s="7" t="str">
        <f t="shared" si="20"/>
        <v>May 23 Week 2</v>
      </c>
      <c r="I406" s="4" t="str">
        <f>CONCATENATE(UPPER(TableAopCalendar[[#This Row],[Month]])," ",TableAopCalendar[[#This Row],[Year]])</f>
        <v>MAY 23</v>
      </c>
      <c r="J406" s="7" t="s">
        <v>274</v>
      </c>
      <c r="K406" s="7" t="str">
        <f>CONCATENATE(TableAopCalendar[[#This Row],[Month for Plan]]," ",TableAopCalendar[[#This Row],[Plan]])</f>
        <v>MAY 23 PLANNED</v>
      </c>
    </row>
    <row r="407" spans="1:11" x14ac:dyDescent="0.3">
      <c r="A407" s="4">
        <f t="shared" si="18"/>
        <v>4</v>
      </c>
      <c r="B407" s="5">
        <v>45057</v>
      </c>
      <c r="C407" s="6" t="s">
        <v>265</v>
      </c>
      <c r="D407" s="6">
        <v>23</v>
      </c>
      <c r="E407" s="4">
        <f>DAY(TableAopCalendar[[#This Row],[Date]])</f>
        <v>11</v>
      </c>
      <c r="F407" s="4">
        <f>IF(TableAopCalendar[[#This Row],[Day]]&lt;8,1,IF(TableAopCalendar[[#This Row],[Day]]&lt;15,2,IF(TableAopCalendar[[#This Row],[Day]]&lt;22,3,IF(TableAopCalendar[[#This Row],[Day]]&lt;29,4,IF(TableAopCalendar[[#This Row],[Day]]&lt;32,5)))))</f>
        <v>2</v>
      </c>
      <c r="G407" s="4" t="str">
        <f t="shared" si="19"/>
        <v>Week 2</v>
      </c>
      <c r="H407" s="7" t="str">
        <f t="shared" si="20"/>
        <v>May 23 Week 2</v>
      </c>
      <c r="I407" s="4" t="str">
        <f>CONCATENATE(UPPER(TableAopCalendar[[#This Row],[Month]])," ",TableAopCalendar[[#This Row],[Year]])</f>
        <v>MAY 23</v>
      </c>
      <c r="J407" s="7" t="s">
        <v>274</v>
      </c>
      <c r="K407" s="7" t="str">
        <f>CONCATENATE(TableAopCalendar[[#This Row],[Month for Plan]]," ",TableAopCalendar[[#This Row],[Plan]])</f>
        <v>MAY 23 PLANNED</v>
      </c>
    </row>
    <row r="408" spans="1:11" x14ac:dyDescent="0.3">
      <c r="A408" s="4">
        <f t="shared" si="18"/>
        <v>5</v>
      </c>
      <c r="B408" s="5">
        <v>45058</v>
      </c>
      <c r="C408" s="6" t="s">
        <v>265</v>
      </c>
      <c r="D408" s="6">
        <v>23</v>
      </c>
      <c r="E408" s="4">
        <f>DAY(TableAopCalendar[[#This Row],[Date]])</f>
        <v>12</v>
      </c>
      <c r="F408" s="4">
        <f>IF(TableAopCalendar[[#This Row],[Day]]&lt;8,1,IF(TableAopCalendar[[#This Row],[Day]]&lt;15,2,IF(TableAopCalendar[[#This Row],[Day]]&lt;22,3,IF(TableAopCalendar[[#This Row],[Day]]&lt;29,4,IF(TableAopCalendar[[#This Row],[Day]]&lt;32,5)))))</f>
        <v>2</v>
      </c>
      <c r="G408" s="4" t="str">
        <f t="shared" si="19"/>
        <v>Week 2</v>
      </c>
      <c r="H408" s="7" t="str">
        <f t="shared" si="20"/>
        <v>May 23 Week 2</v>
      </c>
      <c r="I408" s="4" t="str">
        <f>CONCATENATE(UPPER(TableAopCalendar[[#This Row],[Month]])," ",TableAopCalendar[[#This Row],[Year]])</f>
        <v>MAY 23</v>
      </c>
      <c r="J408" s="7" t="s">
        <v>274</v>
      </c>
      <c r="K408" s="7" t="str">
        <f>CONCATENATE(TableAopCalendar[[#This Row],[Month for Plan]]," ",TableAopCalendar[[#This Row],[Plan]])</f>
        <v>MAY 23 PLANNED</v>
      </c>
    </row>
    <row r="409" spans="1:11" x14ac:dyDescent="0.3">
      <c r="A409" s="4">
        <f t="shared" si="18"/>
        <v>6</v>
      </c>
      <c r="B409" s="5">
        <v>45059</v>
      </c>
      <c r="C409" s="6" t="s">
        <v>265</v>
      </c>
      <c r="D409" s="6">
        <v>23</v>
      </c>
      <c r="E409" s="4">
        <f>DAY(TableAopCalendar[[#This Row],[Date]])</f>
        <v>13</v>
      </c>
      <c r="F409" s="4">
        <f>IF(TableAopCalendar[[#This Row],[Day]]&lt;8,1,IF(TableAopCalendar[[#This Row],[Day]]&lt;15,2,IF(TableAopCalendar[[#This Row],[Day]]&lt;22,3,IF(TableAopCalendar[[#This Row],[Day]]&lt;29,4,IF(TableAopCalendar[[#This Row],[Day]]&lt;32,5)))))</f>
        <v>2</v>
      </c>
      <c r="G409" s="4" t="str">
        <f t="shared" si="19"/>
        <v>Week 2</v>
      </c>
      <c r="H409" s="7" t="str">
        <f t="shared" si="20"/>
        <v>May 23 Week 2</v>
      </c>
      <c r="I409" s="4" t="str">
        <f>CONCATENATE(UPPER(TableAopCalendar[[#This Row],[Month]])," ",TableAopCalendar[[#This Row],[Year]])</f>
        <v>MAY 23</v>
      </c>
      <c r="J409" s="7" t="s">
        <v>274</v>
      </c>
      <c r="K409" s="7" t="str">
        <f>CONCATENATE(TableAopCalendar[[#This Row],[Month for Plan]]," ",TableAopCalendar[[#This Row],[Plan]])</f>
        <v>MAY 23 PLANNED</v>
      </c>
    </row>
    <row r="410" spans="1:11" x14ac:dyDescent="0.3">
      <c r="A410" s="4">
        <f t="shared" si="18"/>
        <v>7</v>
      </c>
      <c r="B410" s="5">
        <v>45060</v>
      </c>
      <c r="C410" s="6" t="s">
        <v>265</v>
      </c>
      <c r="D410" s="6">
        <v>23</v>
      </c>
      <c r="E410" s="4">
        <f>DAY(TableAopCalendar[[#This Row],[Date]])</f>
        <v>14</v>
      </c>
      <c r="F410" s="4">
        <f>IF(TableAopCalendar[[#This Row],[Day]]&lt;8,1,IF(TableAopCalendar[[#This Row],[Day]]&lt;15,2,IF(TableAopCalendar[[#This Row],[Day]]&lt;22,3,IF(TableAopCalendar[[#This Row],[Day]]&lt;29,4,IF(TableAopCalendar[[#This Row],[Day]]&lt;32,5)))))</f>
        <v>2</v>
      </c>
      <c r="G410" s="4" t="str">
        <f t="shared" si="19"/>
        <v>Week 2</v>
      </c>
      <c r="H410" s="7" t="str">
        <f t="shared" si="20"/>
        <v>May 23 Week 2</v>
      </c>
      <c r="I410" s="4" t="str">
        <f>CONCATENATE(UPPER(TableAopCalendar[[#This Row],[Month]])," ",TableAopCalendar[[#This Row],[Year]])</f>
        <v>MAY 23</v>
      </c>
      <c r="J410" s="7" t="s">
        <v>274</v>
      </c>
      <c r="K410" s="7" t="str">
        <f>CONCATENATE(TableAopCalendar[[#This Row],[Month for Plan]]," ",TableAopCalendar[[#This Row],[Plan]])</f>
        <v>MAY 23 PLANNED</v>
      </c>
    </row>
    <row r="411" spans="1:11" x14ac:dyDescent="0.3">
      <c r="A411" s="4">
        <f t="shared" si="18"/>
        <v>1</v>
      </c>
      <c r="B411" s="5">
        <v>45061</v>
      </c>
      <c r="C411" s="6" t="s">
        <v>265</v>
      </c>
      <c r="D411" s="6">
        <v>23</v>
      </c>
      <c r="E411" s="4">
        <f>DAY(TableAopCalendar[[#This Row],[Date]])</f>
        <v>15</v>
      </c>
      <c r="F411" s="4">
        <f>IF(TableAopCalendar[[#This Row],[Day]]&lt;8,1,IF(TableAopCalendar[[#This Row],[Day]]&lt;15,2,IF(TableAopCalendar[[#This Row],[Day]]&lt;22,3,IF(TableAopCalendar[[#This Row],[Day]]&lt;29,4,IF(TableAopCalendar[[#This Row],[Day]]&lt;32,5)))))</f>
        <v>3</v>
      </c>
      <c r="G411" s="4" t="str">
        <f t="shared" si="19"/>
        <v>Week 3</v>
      </c>
      <c r="H411" s="7" t="str">
        <f t="shared" si="20"/>
        <v>May 23 Week 3</v>
      </c>
      <c r="I411" s="4" t="str">
        <f>CONCATENATE(UPPER(TableAopCalendar[[#This Row],[Month]])," ",TableAopCalendar[[#This Row],[Year]])</f>
        <v>MAY 23</v>
      </c>
      <c r="J411" s="7" t="s">
        <v>274</v>
      </c>
      <c r="K411" s="7" t="str">
        <f>CONCATENATE(TableAopCalendar[[#This Row],[Month for Plan]]," ",TableAopCalendar[[#This Row],[Plan]])</f>
        <v>MAY 23 PLANNED</v>
      </c>
    </row>
    <row r="412" spans="1:11" x14ac:dyDescent="0.3">
      <c r="A412" s="4">
        <f t="shared" si="18"/>
        <v>2</v>
      </c>
      <c r="B412" s="5">
        <v>45062</v>
      </c>
      <c r="C412" s="6" t="s">
        <v>265</v>
      </c>
      <c r="D412" s="6">
        <v>23</v>
      </c>
      <c r="E412" s="4">
        <f>DAY(TableAopCalendar[[#This Row],[Date]])</f>
        <v>16</v>
      </c>
      <c r="F412" s="4">
        <f>IF(TableAopCalendar[[#This Row],[Day]]&lt;8,1,IF(TableAopCalendar[[#This Row],[Day]]&lt;15,2,IF(TableAopCalendar[[#This Row],[Day]]&lt;22,3,IF(TableAopCalendar[[#This Row],[Day]]&lt;29,4,IF(TableAopCalendar[[#This Row],[Day]]&lt;32,5)))))</f>
        <v>3</v>
      </c>
      <c r="G412" s="4" t="str">
        <f t="shared" si="19"/>
        <v>Week 3</v>
      </c>
      <c r="H412" s="7" t="str">
        <f t="shared" si="20"/>
        <v>May 23 Week 3</v>
      </c>
      <c r="I412" s="4" t="str">
        <f>CONCATENATE(UPPER(TableAopCalendar[[#This Row],[Month]])," ",TableAopCalendar[[#This Row],[Year]])</f>
        <v>MAY 23</v>
      </c>
      <c r="J412" s="7" t="s">
        <v>274</v>
      </c>
      <c r="K412" s="7" t="str">
        <f>CONCATENATE(TableAopCalendar[[#This Row],[Month for Plan]]," ",TableAopCalendar[[#This Row],[Plan]])</f>
        <v>MAY 23 PLANNED</v>
      </c>
    </row>
    <row r="413" spans="1:11" x14ac:dyDescent="0.3">
      <c r="A413" s="4">
        <f t="shared" si="18"/>
        <v>3</v>
      </c>
      <c r="B413" s="5">
        <v>45063</v>
      </c>
      <c r="C413" s="6" t="s">
        <v>265</v>
      </c>
      <c r="D413" s="6">
        <v>23</v>
      </c>
      <c r="E413" s="4">
        <f>DAY(TableAopCalendar[[#This Row],[Date]])</f>
        <v>17</v>
      </c>
      <c r="F413" s="4">
        <f>IF(TableAopCalendar[[#This Row],[Day]]&lt;8,1,IF(TableAopCalendar[[#This Row],[Day]]&lt;15,2,IF(TableAopCalendar[[#This Row],[Day]]&lt;22,3,IF(TableAopCalendar[[#This Row],[Day]]&lt;29,4,IF(TableAopCalendar[[#This Row],[Day]]&lt;32,5)))))</f>
        <v>3</v>
      </c>
      <c r="G413" s="4" t="str">
        <f t="shared" si="19"/>
        <v>Week 3</v>
      </c>
      <c r="H413" s="7" t="str">
        <f t="shared" si="20"/>
        <v>May 23 Week 3</v>
      </c>
      <c r="I413" s="4" t="str">
        <f>CONCATENATE(UPPER(TableAopCalendar[[#This Row],[Month]])," ",TableAopCalendar[[#This Row],[Year]])</f>
        <v>MAY 23</v>
      </c>
      <c r="J413" s="7" t="s">
        <v>274</v>
      </c>
      <c r="K413" s="7" t="str">
        <f>CONCATENATE(TableAopCalendar[[#This Row],[Month for Plan]]," ",TableAopCalendar[[#This Row],[Plan]])</f>
        <v>MAY 23 PLANNED</v>
      </c>
    </row>
    <row r="414" spans="1:11" x14ac:dyDescent="0.3">
      <c r="A414" s="4">
        <f t="shared" si="18"/>
        <v>4</v>
      </c>
      <c r="B414" s="5">
        <v>45064</v>
      </c>
      <c r="C414" s="6" t="s">
        <v>265</v>
      </c>
      <c r="D414" s="6">
        <v>23</v>
      </c>
      <c r="E414" s="4">
        <f>DAY(TableAopCalendar[[#This Row],[Date]])</f>
        <v>18</v>
      </c>
      <c r="F414" s="4">
        <f>IF(TableAopCalendar[[#This Row],[Day]]&lt;8,1,IF(TableAopCalendar[[#This Row],[Day]]&lt;15,2,IF(TableAopCalendar[[#This Row],[Day]]&lt;22,3,IF(TableAopCalendar[[#This Row],[Day]]&lt;29,4,IF(TableAopCalendar[[#This Row],[Day]]&lt;32,5)))))</f>
        <v>3</v>
      </c>
      <c r="G414" s="4" t="str">
        <f t="shared" si="19"/>
        <v>Week 3</v>
      </c>
      <c r="H414" s="7" t="str">
        <f t="shared" si="20"/>
        <v>May 23 Week 3</v>
      </c>
      <c r="I414" s="4" t="str">
        <f>CONCATENATE(UPPER(TableAopCalendar[[#This Row],[Month]])," ",TableAopCalendar[[#This Row],[Year]])</f>
        <v>MAY 23</v>
      </c>
      <c r="J414" s="7" t="s">
        <v>274</v>
      </c>
      <c r="K414" s="7" t="str">
        <f>CONCATENATE(TableAopCalendar[[#This Row],[Month for Plan]]," ",TableAopCalendar[[#This Row],[Plan]])</f>
        <v>MAY 23 PLANNED</v>
      </c>
    </row>
    <row r="415" spans="1:11" x14ac:dyDescent="0.3">
      <c r="A415" s="4">
        <f t="shared" si="18"/>
        <v>5</v>
      </c>
      <c r="B415" s="5">
        <v>45065</v>
      </c>
      <c r="C415" s="6" t="s">
        <v>265</v>
      </c>
      <c r="D415" s="6">
        <v>23</v>
      </c>
      <c r="E415" s="4">
        <f>DAY(TableAopCalendar[[#This Row],[Date]])</f>
        <v>19</v>
      </c>
      <c r="F415" s="4">
        <f>IF(TableAopCalendar[[#This Row],[Day]]&lt;8,1,IF(TableAopCalendar[[#This Row],[Day]]&lt;15,2,IF(TableAopCalendar[[#This Row],[Day]]&lt;22,3,IF(TableAopCalendar[[#This Row],[Day]]&lt;29,4,IF(TableAopCalendar[[#This Row],[Day]]&lt;32,5)))))</f>
        <v>3</v>
      </c>
      <c r="G415" s="4" t="str">
        <f t="shared" si="19"/>
        <v>Week 3</v>
      </c>
      <c r="H415" s="7" t="str">
        <f t="shared" si="20"/>
        <v>May 23 Week 3</v>
      </c>
      <c r="I415" s="4" t="str">
        <f>CONCATENATE(UPPER(TableAopCalendar[[#This Row],[Month]])," ",TableAopCalendar[[#This Row],[Year]])</f>
        <v>MAY 23</v>
      </c>
      <c r="J415" s="7" t="s">
        <v>274</v>
      </c>
      <c r="K415" s="7" t="str">
        <f>CONCATENATE(TableAopCalendar[[#This Row],[Month for Plan]]," ",TableAopCalendar[[#This Row],[Plan]])</f>
        <v>MAY 23 PLANNED</v>
      </c>
    </row>
    <row r="416" spans="1:11" x14ac:dyDescent="0.3">
      <c r="A416" s="4">
        <f t="shared" si="18"/>
        <v>6</v>
      </c>
      <c r="B416" s="5">
        <v>45066</v>
      </c>
      <c r="C416" s="6" t="s">
        <v>265</v>
      </c>
      <c r="D416" s="6">
        <v>23</v>
      </c>
      <c r="E416" s="4">
        <f>DAY(TableAopCalendar[[#This Row],[Date]])</f>
        <v>20</v>
      </c>
      <c r="F416" s="4">
        <f>IF(TableAopCalendar[[#This Row],[Day]]&lt;8,1,IF(TableAopCalendar[[#This Row],[Day]]&lt;15,2,IF(TableAopCalendar[[#This Row],[Day]]&lt;22,3,IF(TableAopCalendar[[#This Row],[Day]]&lt;29,4,IF(TableAopCalendar[[#This Row],[Day]]&lt;32,5)))))</f>
        <v>3</v>
      </c>
      <c r="G416" s="4" t="str">
        <f t="shared" si="19"/>
        <v>Week 3</v>
      </c>
      <c r="H416" s="7" t="str">
        <f t="shared" si="20"/>
        <v>May 23 Week 3</v>
      </c>
      <c r="I416" s="4" t="str">
        <f>CONCATENATE(UPPER(TableAopCalendar[[#This Row],[Month]])," ",TableAopCalendar[[#This Row],[Year]])</f>
        <v>MAY 23</v>
      </c>
      <c r="J416" s="7" t="s">
        <v>274</v>
      </c>
      <c r="K416" s="7" t="str">
        <f>CONCATENATE(TableAopCalendar[[#This Row],[Month for Plan]]," ",TableAopCalendar[[#This Row],[Plan]])</f>
        <v>MAY 23 PLANNED</v>
      </c>
    </row>
    <row r="417" spans="1:11" x14ac:dyDescent="0.3">
      <c r="A417" s="4">
        <f t="shared" si="18"/>
        <v>7</v>
      </c>
      <c r="B417" s="5">
        <v>45067</v>
      </c>
      <c r="C417" s="6" t="s">
        <v>265</v>
      </c>
      <c r="D417" s="6">
        <v>23</v>
      </c>
      <c r="E417" s="4">
        <f>DAY(TableAopCalendar[[#This Row],[Date]])</f>
        <v>21</v>
      </c>
      <c r="F417" s="4">
        <f>IF(TableAopCalendar[[#This Row],[Day]]&lt;8,1,IF(TableAopCalendar[[#This Row],[Day]]&lt;15,2,IF(TableAopCalendar[[#This Row],[Day]]&lt;22,3,IF(TableAopCalendar[[#This Row],[Day]]&lt;29,4,IF(TableAopCalendar[[#This Row],[Day]]&lt;32,5)))))</f>
        <v>3</v>
      </c>
      <c r="G417" s="4" t="str">
        <f t="shared" si="19"/>
        <v>Week 3</v>
      </c>
      <c r="H417" s="7" t="str">
        <f t="shared" si="20"/>
        <v>May 23 Week 3</v>
      </c>
      <c r="I417" s="4" t="str">
        <f>CONCATENATE(UPPER(TableAopCalendar[[#This Row],[Month]])," ",TableAopCalendar[[#This Row],[Year]])</f>
        <v>MAY 23</v>
      </c>
      <c r="J417" s="7" t="s">
        <v>274</v>
      </c>
      <c r="K417" s="7" t="str">
        <f>CONCATENATE(TableAopCalendar[[#This Row],[Month for Plan]]," ",TableAopCalendar[[#This Row],[Plan]])</f>
        <v>MAY 23 PLANNED</v>
      </c>
    </row>
    <row r="418" spans="1:11" x14ac:dyDescent="0.3">
      <c r="A418" s="4">
        <f t="shared" si="18"/>
        <v>1</v>
      </c>
      <c r="B418" s="5">
        <v>45068</v>
      </c>
      <c r="C418" s="6" t="s">
        <v>265</v>
      </c>
      <c r="D418" s="6">
        <v>23</v>
      </c>
      <c r="E418" s="4">
        <f>DAY(TableAopCalendar[[#This Row],[Date]])</f>
        <v>22</v>
      </c>
      <c r="F418" s="4">
        <f>IF(TableAopCalendar[[#This Row],[Day]]&lt;8,1,IF(TableAopCalendar[[#This Row],[Day]]&lt;15,2,IF(TableAopCalendar[[#This Row],[Day]]&lt;22,3,IF(TableAopCalendar[[#This Row],[Day]]&lt;29,4,IF(TableAopCalendar[[#This Row],[Day]]&lt;32,5)))))</f>
        <v>4</v>
      </c>
      <c r="G418" s="4" t="str">
        <f t="shared" si="19"/>
        <v>Week 4</v>
      </c>
      <c r="H418" s="7" t="str">
        <f t="shared" si="20"/>
        <v>May 23 Week 4</v>
      </c>
      <c r="I418" s="4" t="str">
        <f>CONCATENATE(UPPER(TableAopCalendar[[#This Row],[Month]])," ",TableAopCalendar[[#This Row],[Year]])</f>
        <v>MAY 23</v>
      </c>
      <c r="J418" s="7" t="s">
        <v>274</v>
      </c>
      <c r="K418" s="7" t="str">
        <f>CONCATENATE(TableAopCalendar[[#This Row],[Month for Plan]]," ",TableAopCalendar[[#This Row],[Plan]])</f>
        <v>MAY 23 PLANNED</v>
      </c>
    </row>
    <row r="419" spans="1:11" x14ac:dyDescent="0.3">
      <c r="A419" s="4">
        <f t="shared" si="18"/>
        <v>2</v>
      </c>
      <c r="B419" s="5">
        <v>45069</v>
      </c>
      <c r="C419" s="6" t="s">
        <v>265</v>
      </c>
      <c r="D419" s="6">
        <v>23</v>
      </c>
      <c r="E419" s="4">
        <f>DAY(TableAopCalendar[[#This Row],[Date]])</f>
        <v>23</v>
      </c>
      <c r="F419" s="4">
        <f>IF(TableAopCalendar[[#This Row],[Day]]&lt;8,1,IF(TableAopCalendar[[#This Row],[Day]]&lt;15,2,IF(TableAopCalendar[[#This Row],[Day]]&lt;22,3,IF(TableAopCalendar[[#This Row],[Day]]&lt;29,4,IF(TableAopCalendar[[#This Row],[Day]]&lt;32,5)))))</f>
        <v>4</v>
      </c>
      <c r="G419" s="4" t="str">
        <f t="shared" si="19"/>
        <v>Week 4</v>
      </c>
      <c r="H419" s="7" t="str">
        <f t="shared" si="20"/>
        <v>May 23 Week 4</v>
      </c>
      <c r="I419" s="4" t="str">
        <f>CONCATENATE(UPPER(TableAopCalendar[[#This Row],[Month]])," ",TableAopCalendar[[#This Row],[Year]])</f>
        <v>MAY 23</v>
      </c>
      <c r="J419" s="7" t="s">
        <v>274</v>
      </c>
      <c r="K419" s="7" t="str">
        <f>CONCATENATE(TableAopCalendar[[#This Row],[Month for Plan]]," ",TableAopCalendar[[#This Row],[Plan]])</f>
        <v>MAY 23 PLANNED</v>
      </c>
    </row>
    <row r="420" spans="1:11" x14ac:dyDescent="0.3">
      <c r="A420" s="4">
        <f t="shared" si="18"/>
        <v>3</v>
      </c>
      <c r="B420" s="5">
        <v>45070</v>
      </c>
      <c r="C420" s="6" t="s">
        <v>265</v>
      </c>
      <c r="D420" s="6">
        <v>23</v>
      </c>
      <c r="E420" s="4">
        <f>DAY(TableAopCalendar[[#This Row],[Date]])</f>
        <v>24</v>
      </c>
      <c r="F420" s="4">
        <f>IF(TableAopCalendar[[#This Row],[Day]]&lt;8,1,IF(TableAopCalendar[[#This Row],[Day]]&lt;15,2,IF(TableAopCalendar[[#This Row],[Day]]&lt;22,3,IF(TableAopCalendar[[#This Row],[Day]]&lt;29,4,IF(TableAopCalendar[[#This Row],[Day]]&lt;32,5)))))</f>
        <v>4</v>
      </c>
      <c r="G420" s="4" t="str">
        <f t="shared" si="19"/>
        <v>Week 4</v>
      </c>
      <c r="H420" s="7" t="str">
        <f t="shared" si="20"/>
        <v>May 23 Week 4</v>
      </c>
      <c r="I420" s="4" t="str">
        <f>CONCATENATE(UPPER(TableAopCalendar[[#This Row],[Month]])," ",TableAopCalendar[[#This Row],[Year]])</f>
        <v>MAY 23</v>
      </c>
      <c r="J420" s="7" t="s">
        <v>274</v>
      </c>
      <c r="K420" s="7" t="str">
        <f>CONCATENATE(TableAopCalendar[[#This Row],[Month for Plan]]," ",TableAopCalendar[[#This Row],[Plan]])</f>
        <v>MAY 23 PLANNED</v>
      </c>
    </row>
    <row r="421" spans="1:11" x14ac:dyDescent="0.3">
      <c r="A421" s="4">
        <f t="shared" si="18"/>
        <v>4</v>
      </c>
      <c r="B421" s="5">
        <v>45071</v>
      </c>
      <c r="C421" s="6" t="s">
        <v>265</v>
      </c>
      <c r="D421" s="6">
        <v>23</v>
      </c>
      <c r="E421" s="4">
        <f>DAY(TableAopCalendar[[#This Row],[Date]])</f>
        <v>25</v>
      </c>
      <c r="F421" s="4">
        <f>IF(TableAopCalendar[[#This Row],[Day]]&lt;8,1,IF(TableAopCalendar[[#This Row],[Day]]&lt;15,2,IF(TableAopCalendar[[#This Row],[Day]]&lt;22,3,IF(TableAopCalendar[[#This Row],[Day]]&lt;29,4,IF(TableAopCalendar[[#This Row],[Day]]&lt;32,5)))))</f>
        <v>4</v>
      </c>
      <c r="G421" s="4" t="str">
        <f t="shared" si="19"/>
        <v>Week 4</v>
      </c>
      <c r="H421" s="7" t="str">
        <f t="shared" si="20"/>
        <v>May 23 Week 4</v>
      </c>
      <c r="I421" s="4" t="str">
        <f>CONCATENATE(UPPER(TableAopCalendar[[#This Row],[Month]])," ",TableAopCalendar[[#This Row],[Year]])</f>
        <v>MAY 23</v>
      </c>
      <c r="J421" s="7" t="s">
        <v>274</v>
      </c>
      <c r="K421" s="7" t="str">
        <f>CONCATENATE(TableAopCalendar[[#This Row],[Month for Plan]]," ",TableAopCalendar[[#This Row],[Plan]])</f>
        <v>MAY 23 PLANNED</v>
      </c>
    </row>
    <row r="422" spans="1:11" x14ac:dyDescent="0.3">
      <c r="A422" s="4">
        <f t="shared" si="18"/>
        <v>5</v>
      </c>
      <c r="B422" s="5">
        <v>45072</v>
      </c>
      <c r="C422" s="6" t="s">
        <v>265</v>
      </c>
      <c r="D422" s="6">
        <v>23</v>
      </c>
      <c r="E422" s="4">
        <f>DAY(TableAopCalendar[[#This Row],[Date]])</f>
        <v>26</v>
      </c>
      <c r="F422" s="4">
        <f>IF(TableAopCalendar[[#This Row],[Day]]&lt;8,1,IF(TableAopCalendar[[#This Row],[Day]]&lt;15,2,IF(TableAopCalendar[[#This Row],[Day]]&lt;22,3,IF(TableAopCalendar[[#This Row],[Day]]&lt;29,4,IF(TableAopCalendar[[#This Row],[Day]]&lt;32,5)))))</f>
        <v>4</v>
      </c>
      <c r="G422" s="4" t="str">
        <f t="shared" si="19"/>
        <v>Week 4</v>
      </c>
      <c r="H422" s="7" t="str">
        <f t="shared" si="20"/>
        <v>May 23 Week 4</v>
      </c>
      <c r="I422" s="4" t="str">
        <f>CONCATENATE(UPPER(TableAopCalendar[[#This Row],[Month]])," ",TableAopCalendar[[#This Row],[Year]])</f>
        <v>MAY 23</v>
      </c>
      <c r="J422" s="7" t="s">
        <v>274</v>
      </c>
      <c r="K422" s="7" t="str">
        <f>CONCATENATE(TableAopCalendar[[#This Row],[Month for Plan]]," ",TableAopCalendar[[#This Row],[Plan]])</f>
        <v>MAY 23 PLANNED</v>
      </c>
    </row>
    <row r="423" spans="1:11" x14ac:dyDescent="0.3">
      <c r="A423" s="4">
        <f t="shared" si="18"/>
        <v>6</v>
      </c>
      <c r="B423" s="5">
        <v>45073</v>
      </c>
      <c r="C423" s="6" t="s">
        <v>265</v>
      </c>
      <c r="D423" s="6">
        <v>23</v>
      </c>
      <c r="E423" s="4">
        <f>DAY(TableAopCalendar[[#This Row],[Date]])</f>
        <v>27</v>
      </c>
      <c r="F423" s="4">
        <f>IF(TableAopCalendar[[#This Row],[Day]]&lt;8,1,IF(TableAopCalendar[[#This Row],[Day]]&lt;15,2,IF(TableAopCalendar[[#This Row],[Day]]&lt;22,3,IF(TableAopCalendar[[#This Row],[Day]]&lt;29,4,IF(TableAopCalendar[[#This Row],[Day]]&lt;32,5)))))</f>
        <v>4</v>
      </c>
      <c r="G423" s="4" t="str">
        <f t="shared" si="19"/>
        <v>Week 4</v>
      </c>
      <c r="H423" s="7" t="str">
        <f t="shared" si="20"/>
        <v>May 23 Week 4</v>
      </c>
      <c r="I423" s="4" t="str">
        <f>CONCATENATE(UPPER(TableAopCalendar[[#This Row],[Month]])," ",TableAopCalendar[[#This Row],[Year]])</f>
        <v>MAY 23</v>
      </c>
      <c r="J423" s="7" t="s">
        <v>274</v>
      </c>
      <c r="K423" s="7" t="str">
        <f>CONCATENATE(TableAopCalendar[[#This Row],[Month for Plan]]," ",TableAopCalendar[[#This Row],[Plan]])</f>
        <v>MAY 23 PLANNED</v>
      </c>
    </row>
    <row r="424" spans="1:11" x14ac:dyDescent="0.3">
      <c r="A424" s="4">
        <f t="shared" si="18"/>
        <v>7</v>
      </c>
      <c r="B424" s="5">
        <v>45074</v>
      </c>
      <c r="C424" s="6" t="s">
        <v>265</v>
      </c>
      <c r="D424" s="6">
        <v>23</v>
      </c>
      <c r="E424" s="4">
        <f>DAY(TableAopCalendar[[#This Row],[Date]])</f>
        <v>28</v>
      </c>
      <c r="F424" s="4">
        <f>IF(TableAopCalendar[[#This Row],[Day]]&lt;8,1,IF(TableAopCalendar[[#This Row],[Day]]&lt;15,2,IF(TableAopCalendar[[#This Row],[Day]]&lt;22,3,IF(TableAopCalendar[[#This Row],[Day]]&lt;29,4,IF(TableAopCalendar[[#This Row],[Day]]&lt;32,5)))))</f>
        <v>4</v>
      </c>
      <c r="G424" s="4" t="str">
        <f t="shared" si="19"/>
        <v>Week 4</v>
      </c>
      <c r="H424" s="7" t="str">
        <f t="shared" si="20"/>
        <v>May 23 Week 4</v>
      </c>
      <c r="I424" s="4" t="str">
        <f>CONCATENATE(UPPER(TableAopCalendar[[#This Row],[Month]])," ",TableAopCalendar[[#This Row],[Year]])</f>
        <v>MAY 23</v>
      </c>
      <c r="J424" s="7" t="s">
        <v>274</v>
      </c>
      <c r="K424" s="7" t="str">
        <f>CONCATENATE(TableAopCalendar[[#This Row],[Month for Plan]]," ",TableAopCalendar[[#This Row],[Plan]])</f>
        <v>MAY 23 PLANNED</v>
      </c>
    </row>
    <row r="425" spans="1:11" x14ac:dyDescent="0.3">
      <c r="A425" s="4">
        <f t="shared" si="18"/>
        <v>1</v>
      </c>
      <c r="B425" s="5">
        <v>45075</v>
      </c>
      <c r="C425" s="6" t="s">
        <v>265</v>
      </c>
      <c r="D425" s="6">
        <v>23</v>
      </c>
      <c r="E425" s="4">
        <f>DAY(TableAopCalendar[[#This Row],[Date]])</f>
        <v>29</v>
      </c>
      <c r="F425" s="4">
        <f>IF(TableAopCalendar[[#This Row],[Day]]&lt;8,1,IF(TableAopCalendar[[#This Row],[Day]]&lt;15,2,IF(TableAopCalendar[[#This Row],[Day]]&lt;22,3,IF(TableAopCalendar[[#This Row],[Day]]&lt;29,4,IF(TableAopCalendar[[#This Row],[Day]]&lt;32,5)))))</f>
        <v>5</v>
      </c>
      <c r="G425" s="4" t="str">
        <f t="shared" si="19"/>
        <v>Week 5</v>
      </c>
      <c r="H425" s="7" t="str">
        <f t="shared" si="20"/>
        <v>May 23 Week 5</v>
      </c>
      <c r="I425" s="4" t="str">
        <f>CONCATENATE(UPPER(TableAopCalendar[[#This Row],[Month]])," ",TableAopCalendar[[#This Row],[Year]])</f>
        <v>MAY 23</v>
      </c>
      <c r="J425" s="7" t="s">
        <v>274</v>
      </c>
      <c r="K425" s="7" t="str">
        <f>CONCATENATE(TableAopCalendar[[#This Row],[Month for Plan]]," ",TableAopCalendar[[#This Row],[Plan]])</f>
        <v>MAY 23 PLANNED</v>
      </c>
    </row>
    <row r="426" spans="1:11" x14ac:dyDescent="0.3">
      <c r="A426" s="4">
        <f t="shared" si="18"/>
        <v>2</v>
      </c>
      <c r="B426" s="5">
        <v>45076</v>
      </c>
      <c r="C426" s="6" t="s">
        <v>265</v>
      </c>
      <c r="D426" s="6">
        <v>23</v>
      </c>
      <c r="E426" s="4">
        <f>DAY(TableAopCalendar[[#This Row],[Date]])</f>
        <v>30</v>
      </c>
      <c r="F426" s="4">
        <f>IF(TableAopCalendar[[#This Row],[Day]]&lt;8,1,IF(TableAopCalendar[[#This Row],[Day]]&lt;15,2,IF(TableAopCalendar[[#This Row],[Day]]&lt;22,3,IF(TableAopCalendar[[#This Row],[Day]]&lt;29,4,IF(TableAopCalendar[[#This Row],[Day]]&lt;32,5)))))</f>
        <v>5</v>
      </c>
      <c r="G426" s="4" t="str">
        <f t="shared" si="19"/>
        <v>Week 5</v>
      </c>
      <c r="H426" s="7" t="str">
        <f t="shared" si="20"/>
        <v>May 23 Week 5</v>
      </c>
      <c r="I426" s="4" t="str">
        <f>CONCATENATE(UPPER(TableAopCalendar[[#This Row],[Month]])," ",TableAopCalendar[[#This Row],[Year]])</f>
        <v>MAY 23</v>
      </c>
      <c r="J426" s="7" t="s">
        <v>274</v>
      </c>
      <c r="K426" s="7" t="str">
        <f>CONCATENATE(TableAopCalendar[[#This Row],[Month for Plan]]," ",TableAopCalendar[[#This Row],[Plan]])</f>
        <v>MAY 23 PLANNED</v>
      </c>
    </row>
    <row r="427" spans="1:11" x14ac:dyDescent="0.3">
      <c r="A427" s="4">
        <f t="shared" si="18"/>
        <v>3</v>
      </c>
      <c r="B427" s="5">
        <v>45077</v>
      </c>
      <c r="C427" s="6" t="s">
        <v>265</v>
      </c>
      <c r="D427" s="6">
        <v>23</v>
      </c>
      <c r="E427" s="4">
        <f>DAY(TableAopCalendar[[#This Row],[Date]])</f>
        <v>31</v>
      </c>
      <c r="F427" s="4">
        <f>IF(TableAopCalendar[[#This Row],[Day]]&lt;8,1,IF(TableAopCalendar[[#This Row],[Day]]&lt;15,2,IF(TableAopCalendar[[#This Row],[Day]]&lt;22,3,IF(TableAopCalendar[[#This Row],[Day]]&lt;29,4,IF(TableAopCalendar[[#This Row],[Day]]&lt;32,5)))))</f>
        <v>5</v>
      </c>
      <c r="G427" s="4" t="str">
        <f t="shared" si="19"/>
        <v>Week 5</v>
      </c>
      <c r="H427" s="7" t="str">
        <f t="shared" si="20"/>
        <v>May 23 Week 5</v>
      </c>
      <c r="I427" s="4" t="str">
        <f>CONCATENATE(UPPER(TableAopCalendar[[#This Row],[Month]])," ",TableAopCalendar[[#This Row],[Year]])</f>
        <v>MAY 23</v>
      </c>
      <c r="J427" s="7" t="s">
        <v>274</v>
      </c>
      <c r="K427" s="7" t="str">
        <f>CONCATENATE(TableAopCalendar[[#This Row],[Month for Plan]]," ",TableAopCalendar[[#This Row],[Plan]])</f>
        <v>MAY 23 PLANNED</v>
      </c>
    </row>
    <row r="428" spans="1:11" x14ac:dyDescent="0.3">
      <c r="A428" s="4">
        <f t="shared" si="18"/>
        <v>1</v>
      </c>
      <c r="B428" s="5">
        <v>45078</v>
      </c>
      <c r="C428" s="6" t="s">
        <v>266</v>
      </c>
      <c r="D428" s="6">
        <v>23</v>
      </c>
      <c r="E428" s="4">
        <f>DAY(TableAopCalendar[[#This Row],[Date]])</f>
        <v>1</v>
      </c>
      <c r="F428" s="4">
        <f>IF(TableAopCalendar[[#This Row],[Day]]&lt;8,1,IF(TableAopCalendar[[#This Row],[Day]]&lt;15,2,IF(TableAopCalendar[[#This Row],[Day]]&lt;22,3,IF(TableAopCalendar[[#This Row],[Day]]&lt;29,4,IF(TableAopCalendar[[#This Row],[Day]]&lt;32,5)))))</f>
        <v>1</v>
      </c>
      <c r="G428" s="4" t="str">
        <f t="shared" si="19"/>
        <v>Week 1</v>
      </c>
      <c r="H428" s="7" t="str">
        <f t="shared" si="20"/>
        <v>June 23 Week 1</v>
      </c>
      <c r="I428" s="4" t="str">
        <f>CONCATENATE(UPPER(TableAopCalendar[[#This Row],[Month]])," ",TableAopCalendar[[#This Row],[Year]])</f>
        <v>JUNE 23</v>
      </c>
      <c r="J428" s="7" t="s">
        <v>274</v>
      </c>
      <c r="K428" s="7" t="str">
        <f>CONCATENATE(TableAopCalendar[[#This Row],[Month for Plan]]," ",TableAopCalendar[[#This Row],[Plan]])</f>
        <v>JUNE 23 PLANNED</v>
      </c>
    </row>
    <row r="429" spans="1:11" x14ac:dyDescent="0.3">
      <c r="A429" s="4">
        <f t="shared" si="18"/>
        <v>2</v>
      </c>
      <c r="B429" s="5">
        <v>45079</v>
      </c>
      <c r="C429" s="6" t="s">
        <v>266</v>
      </c>
      <c r="D429" s="6">
        <v>23</v>
      </c>
      <c r="E429" s="4">
        <f>DAY(TableAopCalendar[[#This Row],[Date]])</f>
        <v>2</v>
      </c>
      <c r="F429" s="4">
        <f>IF(TableAopCalendar[[#This Row],[Day]]&lt;8,1,IF(TableAopCalendar[[#This Row],[Day]]&lt;15,2,IF(TableAopCalendar[[#This Row],[Day]]&lt;22,3,IF(TableAopCalendar[[#This Row],[Day]]&lt;29,4,IF(TableAopCalendar[[#This Row],[Day]]&lt;32,5)))))</f>
        <v>1</v>
      </c>
      <c r="G429" s="4" t="str">
        <f t="shared" si="19"/>
        <v>Week 1</v>
      </c>
      <c r="H429" s="7" t="str">
        <f t="shared" si="20"/>
        <v>June 23 Week 1</v>
      </c>
      <c r="I429" s="4" t="str">
        <f>CONCATENATE(UPPER(TableAopCalendar[[#This Row],[Month]])," ",TableAopCalendar[[#This Row],[Year]])</f>
        <v>JUNE 23</v>
      </c>
      <c r="J429" s="7" t="s">
        <v>274</v>
      </c>
      <c r="K429" s="7" t="str">
        <f>CONCATENATE(TableAopCalendar[[#This Row],[Month for Plan]]," ",TableAopCalendar[[#This Row],[Plan]])</f>
        <v>JUNE 23 PLANNED</v>
      </c>
    </row>
    <row r="430" spans="1:11" x14ac:dyDescent="0.3">
      <c r="A430" s="4">
        <f t="shared" si="18"/>
        <v>3</v>
      </c>
      <c r="B430" s="5">
        <v>45080</v>
      </c>
      <c r="C430" s="6" t="s">
        <v>266</v>
      </c>
      <c r="D430" s="6">
        <v>23</v>
      </c>
      <c r="E430" s="4">
        <f>DAY(TableAopCalendar[[#This Row],[Date]])</f>
        <v>3</v>
      </c>
      <c r="F430" s="4">
        <f>IF(TableAopCalendar[[#This Row],[Day]]&lt;8,1,IF(TableAopCalendar[[#This Row],[Day]]&lt;15,2,IF(TableAopCalendar[[#This Row],[Day]]&lt;22,3,IF(TableAopCalendar[[#This Row],[Day]]&lt;29,4,IF(TableAopCalendar[[#This Row],[Day]]&lt;32,5)))))</f>
        <v>1</v>
      </c>
      <c r="G430" s="4" t="str">
        <f t="shared" si="19"/>
        <v>Week 1</v>
      </c>
      <c r="H430" s="7" t="str">
        <f t="shared" si="20"/>
        <v>June 23 Week 1</v>
      </c>
      <c r="I430" s="4" t="str">
        <f>CONCATENATE(UPPER(TableAopCalendar[[#This Row],[Month]])," ",TableAopCalendar[[#This Row],[Year]])</f>
        <v>JUNE 23</v>
      </c>
      <c r="J430" s="7" t="s">
        <v>274</v>
      </c>
      <c r="K430" s="7" t="str">
        <f>CONCATENATE(TableAopCalendar[[#This Row],[Month for Plan]]," ",TableAopCalendar[[#This Row],[Plan]])</f>
        <v>JUNE 23 PLANNED</v>
      </c>
    </row>
    <row r="431" spans="1:11" x14ac:dyDescent="0.3">
      <c r="A431" s="4">
        <f t="shared" si="18"/>
        <v>4</v>
      </c>
      <c r="B431" s="5">
        <v>45081</v>
      </c>
      <c r="C431" s="6" t="s">
        <v>266</v>
      </c>
      <c r="D431" s="6">
        <v>23</v>
      </c>
      <c r="E431" s="4">
        <f>DAY(TableAopCalendar[[#This Row],[Date]])</f>
        <v>4</v>
      </c>
      <c r="F431" s="4">
        <f>IF(TableAopCalendar[[#This Row],[Day]]&lt;8,1,IF(TableAopCalendar[[#This Row],[Day]]&lt;15,2,IF(TableAopCalendar[[#This Row],[Day]]&lt;22,3,IF(TableAopCalendar[[#This Row],[Day]]&lt;29,4,IF(TableAopCalendar[[#This Row],[Day]]&lt;32,5)))))</f>
        <v>1</v>
      </c>
      <c r="G431" s="4" t="str">
        <f t="shared" si="19"/>
        <v>Week 1</v>
      </c>
      <c r="H431" s="7" t="str">
        <f t="shared" si="20"/>
        <v>June 23 Week 1</v>
      </c>
      <c r="I431" s="4" t="str">
        <f>CONCATENATE(UPPER(TableAopCalendar[[#This Row],[Month]])," ",TableAopCalendar[[#This Row],[Year]])</f>
        <v>JUNE 23</v>
      </c>
      <c r="J431" s="7" t="s">
        <v>274</v>
      </c>
      <c r="K431" s="7" t="str">
        <f>CONCATENATE(TableAopCalendar[[#This Row],[Month for Plan]]," ",TableAopCalendar[[#This Row],[Plan]])</f>
        <v>JUNE 23 PLANNED</v>
      </c>
    </row>
    <row r="432" spans="1:11" x14ac:dyDescent="0.3">
      <c r="A432" s="4">
        <f t="shared" si="18"/>
        <v>5</v>
      </c>
      <c r="B432" s="5">
        <v>45082</v>
      </c>
      <c r="C432" s="6" t="s">
        <v>266</v>
      </c>
      <c r="D432" s="6">
        <v>23</v>
      </c>
      <c r="E432" s="4">
        <f>DAY(TableAopCalendar[[#This Row],[Date]])</f>
        <v>5</v>
      </c>
      <c r="F432" s="4">
        <f>IF(TableAopCalendar[[#This Row],[Day]]&lt;8,1,IF(TableAopCalendar[[#This Row],[Day]]&lt;15,2,IF(TableAopCalendar[[#This Row],[Day]]&lt;22,3,IF(TableAopCalendar[[#This Row],[Day]]&lt;29,4,IF(TableAopCalendar[[#This Row],[Day]]&lt;32,5)))))</f>
        <v>1</v>
      </c>
      <c r="G432" s="4" t="str">
        <f t="shared" si="19"/>
        <v>Week 1</v>
      </c>
      <c r="H432" s="7" t="str">
        <f t="shared" si="20"/>
        <v>June 23 Week 1</v>
      </c>
      <c r="I432" s="4" t="str">
        <f>CONCATENATE(UPPER(TableAopCalendar[[#This Row],[Month]])," ",TableAopCalendar[[#This Row],[Year]])</f>
        <v>JUNE 23</v>
      </c>
      <c r="J432" s="7" t="s">
        <v>274</v>
      </c>
      <c r="K432" s="7" t="str">
        <f>CONCATENATE(TableAopCalendar[[#This Row],[Month for Plan]]," ",TableAopCalendar[[#This Row],[Plan]])</f>
        <v>JUNE 23 PLANNED</v>
      </c>
    </row>
    <row r="433" spans="1:11" x14ac:dyDescent="0.3">
      <c r="A433" s="4">
        <f t="shared" si="18"/>
        <v>6</v>
      </c>
      <c r="B433" s="5">
        <v>45083</v>
      </c>
      <c r="C433" s="6" t="s">
        <v>266</v>
      </c>
      <c r="D433" s="6">
        <v>23</v>
      </c>
      <c r="E433" s="4">
        <f>DAY(TableAopCalendar[[#This Row],[Date]])</f>
        <v>6</v>
      </c>
      <c r="F433" s="4">
        <f>IF(TableAopCalendar[[#This Row],[Day]]&lt;8,1,IF(TableAopCalendar[[#This Row],[Day]]&lt;15,2,IF(TableAopCalendar[[#This Row],[Day]]&lt;22,3,IF(TableAopCalendar[[#This Row],[Day]]&lt;29,4,IF(TableAopCalendar[[#This Row],[Day]]&lt;32,5)))))</f>
        <v>1</v>
      </c>
      <c r="G433" s="4" t="str">
        <f t="shared" si="19"/>
        <v>Week 1</v>
      </c>
      <c r="H433" s="7" t="str">
        <f t="shared" si="20"/>
        <v>June 23 Week 1</v>
      </c>
      <c r="I433" s="4" t="str">
        <f>CONCATENATE(UPPER(TableAopCalendar[[#This Row],[Month]])," ",TableAopCalendar[[#This Row],[Year]])</f>
        <v>JUNE 23</v>
      </c>
      <c r="J433" s="7" t="s">
        <v>274</v>
      </c>
      <c r="K433" s="7" t="str">
        <f>CONCATENATE(TableAopCalendar[[#This Row],[Month for Plan]]," ",TableAopCalendar[[#This Row],[Plan]])</f>
        <v>JUNE 23 PLANNED</v>
      </c>
    </row>
    <row r="434" spans="1:11" x14ac:dyDescent="0.3">
      <c r="A434" s="4">
        <f t="shared" si="18"/>
        <v>7</v>
      </c>
      <c r="B434" s="5">
        <v>45084</v>
      </c>
      <c r="C434" s="6" t="s">
        <v>266</v>
      </c>
      <c r="D434" s="6">
        <v>23</v>
      </c>
      <c r="E434" s="4">
        <f>DAY(TableAopCalendar[[#This Row],[Date]])</f>
        <v>7</v>
      </c>
      <c r="F434" s="4">
        <f>IF(TableAopCalendar[[#This Row],[Day]]&lt;8,1,IF(TableAopCalendar[[#This Row],[Day]]&lt;15,2,IF(TableAopCalendar[[#This Row],[Day]]&lt;22,3,IF(TableAopCalendar[[#This Row],[Day]]&lt;29,4,IF(TableAopCalendar[[#This Row],[Day]]&lt;32,5)))))</f>
        <v>1</v>
      </c>
      <c r="G434" s="4" t="str">
        <f t="shared" si="19"/>
        <v>Week 1</v>
      </c>
      <c r="H434" s="7" t="str">
        <f t="shared" si="20"/>
        <v>June 23 Week 1</v>
      </c>
      <c r="I434" s="4" t="str">
        <f>CONCATENATE(UPPER(TableAopCalendar[[#This Row],[Month]])," ",TableAopCalendar[[#This Row],[Year]])</f>
        <v>JUNE 23</v>
      </c>
      <c r="J434" s="7" t="s">
        <v>274</v>
      </c>
      <c r="K434" s="7" t="str">
        <f>CONCATENATE(TableAopCalendar[[#This Row],[Month for Plan]]," ",TableAopCalendar[[#This Row],[Plan]])</f>
        <v>JUNE 23 PLANNED</v>
      </c>
    </row>
    <row r="435" spans="1:11" x14ac:dyDescent="0.3">
      <c r="A435" s="4">
        <f t="shared" si="18"/>
        <v>1</v>
      </c>
      <c r="B435" s="5">
        <v>45085</v>
      </c>
      <c r="C435" s="6" t="s">
        <v>266</v>
      </c>
      <c r="D435" s="6">
        <v>23</v>
      </c>
      <c r="E435" s="4">
        <f>DAY(TableAopCalendar[[#This Row],[Date]])</f>
        <v>8</v>
      </c>
      <c r="F435" s="4">
        <f>IF(TableAopCalendar[[#This Row],[Day]]&lt;8,1,IF(TableAopCalendar[[#This Row],[Day]]&lt;15,2,IF(TableAopCalendar[[#This Row],[Day]]&lt;22,3,IF(TableAopCalendar[[#This Row],[Day]]&lt;29,4,IF(TableAopCalendar[[#This Row],[Day]]&lt;32,5)))))</f>
        <v>2</v>
      </c>
      <c r="G435" s="4" t="str">
        <f t="shared" si="19"/>
        <v>Week 2</v>
      </c>
      <c r="H435" s="7" t="str">
        <f t="shared" si="20"/>
        <v>June 23 Week 2</v>
      </c>
      <c r="I435" s="4" t="str">
        <f>CONCATENATE(UPPER(TableAopCalendar[[#This Row],[Month]])," ",TableAopCalendar[[#This Row],[Year]])</f>
        <v>JUNE 23</v>
      </c>
      <c r="J435" s="7" t="s">
        <v>274</v>
      </c>
      <c r="K435" s="7" t="str">
        <f>CONCATENATE(TableAopCalendar[[#This Row],[Month for Plan]]," ",TableAopCalendar[[#This Row],[Plan]])</f>
        <v>JUNE 23 PLANNED</v>
      </c>
    </row>
    <row r="436" spans="1:11" x14ac:dyDescent="0.3">
      <c r="A436" s="4">
        <f t="shared" si="18"/>
        <v>2</v>
      </c>
      <c r="B436" s="5">
        <v>45086</v>
      </c>
      <c r="C436" s="6" t="s">
        <v>266</v>
      </c>
      <c r="D436" s="6">
        <v>23</v>
      </c>
      <c r="E436" s="4">
        <f>DAY(TableAopCalendar[[#This Row],[Date]])</f>
        <v>9</v>
      </c>
      <c r="F436" s="4">
        <f>IF(TableAopCalendar[[#This Row],[Day]]&lt;8,1,IF(TableAopCalendar[[#This Row],[Day]]&lt;15,2,IF(TableAopCalendar[[#This Row],[Day]]&lt;22,3,IF(TableAopCalendar[[#This Row],[Day]]&lt;29,4,IF(TableAopCalendar[[#This Row],[Day]]&lt;32,5)))))</f>
        <v>2</v>
      </c>
      <c r="G436" s="4" t="str">
        <f t="shared" si="19"/>
        <v>Week 2</v>
      </c>
      <c r="H436" s="7" t="str">
        <f t="shared" si="20"/>
        <v>June 23 Week 2</v>
      </c>
      <c r="I436" s="4" t="str">
        <f>CONCATENATE(UPPER(TableAopCalendar[[#This Row],[Month]])," ",TableAopCalendar[[#This Row],[Year]])</f>
        <v>JUNE 23</v>
      </c>
      <c r="J436" s="7" t="s">
        <v>274</v>
      </c>
      <c r="K436" s="7" t="str">
        <f>CONCATENATE(TableAopCalendar[[#This Row],[Month for Plan]]," ",TableAopCalendar[[#This Row],[Plan]])</f>
        <v>JUNE 23 PLANNED</v>
      </c>
    </row>
    <row r="437" spans="1:11" x14ac:dyDescent="0.3">
      <c r="A437" s="4">
        <f t="shared" si="18"/>
        <v>3</v>
      </c>
      <c r="B437" s="5">
        <v>45087</v>
      </c>
      <c r="C437" s="6" t="s">
        <v>266</v>
      </c>
      <c r="D437" s="6">
        <v>23</v>
      </c>
      <c r="E437" s="4">
        <f>DAY(TableAopCalendar[[#This Row],[Date]])</f>
        <v>10</v>
      </c>
      <c r="F437" s="4">
        <f>IF(TableAopCalendar[[#This Row],[Day]]&lt;8,1,IF(TableAopCalendar[[#This Row],[Day]]&lt;15,2,IF(TableAopCalendar[[#This Row],[Day]]&lt;22,3,IF(TableAopCalendar[[#This Row],[Day]]&lt;29,4,IF(TableAopCalendar[[#This Row],[Day]]&lt;32,5)))))</f>
        <v>2</v>
      </c>
      <c r="G437" s="4" t="str">
        <f t="shared" si="19"/>
        <v>Week 2</v>
      </c>
      <c r="H437" s="7" t="str">
        <f t="shared" si="20"/>
        <v>June 23 Week 2</v>
      </c>
      <c r="I437" s="4" t="str">
        <f>CONCATENATE(UPPER(TableAopCalendar[[#This Row],[Month]])," ",TableAopCalendar[[#This Row],[Year]])</f>
        <v>JUNE 23</v>
      </c>
      <c r="J437" s="7" t="s">
        <v>274</v>
      </c>
      <c r="K437" s="7" t="str">
        <f>CONCATENATE(TableAopCalendar[[#This Row],[Month for Plan]]," ",TableAopCalendar[[#This Row],[Plan]])</f>
        <v>JUNE 23 PLANNED</v>
      </c>
    </row>
    <row r="438" spans="1:11" x14ac:dyDescent="0.3">
      <c r="A438" s="4">
        <f t="shared" si="18"/>
        <v>4</v>
      </c>
      <c r="B438" s="5">
        <v>45088</v>
      </c>
      <c r="C438" s="6" t="s">
        <v>266</v>
      </c>
      <c r="D438" s="6">
        <v>23</v>
      </c>
      <c r="E438" s="4">
        <f>DAY(TableAopCalendar[[#This Row],[Date]])</f>
        <v>11</v>
      </c>
      <c r="F438" s="4">
        <f>IF(TableAopCalendar[[#This Row],[Day]]&lt;8,1,IF(TableAopCalendar[[#This Row],[Day]]&lt;15,2,IF(TableAopCalendar[[#This Row],[Day]]&lt;22,3,IF(TableAopCalendar[[#This Row],[Day]]&lt;29,4,IF(TableAopCalendar[[#This Row],[Day]]&lt;32,5)))))</f>
        <v>2</v>
      </c>
      <c r="G438" s="4" t="str">
        <f t="shared" si="19"/>
        <v>Week 2</v>
      </c>
      <c r="H438" s="7" t="str">
        <f t="shared" si="20"/>
        <v>June 23 Week 2</v>
      </c>
      <c r="I438" s="4" t="str">
        <f>CONCATENATE(UPPER(TableAopCalendar[[#This Row],[Month]])," ",TableAopCalendar[[#This Row],[Year]])</f>
        <v>JUNE 23</v>
      </c>
      <c r="J438" s="7" t="s">
        <v>274</v>
      </c>
      <c r="K438" s="7" t="str">
        <f>CONCATENATE(TableAopCalendar[[#This Row],[Month for Plan]]," ",TableAopCalendar[[#This Row],[Plan]])</f>
        <v>JUNE 23 PLANNED</v>
      </c>
    </row>
    <row r="439" spans="1:11" x14ac:dyDescent="0.3">
      <c r="A439" s="4">
        <f t="shared" si="18"/>
        <v>5</v>
      </c>
      <c r="B439" s="5">
        <v>45089</v>
      </c>
      <c r="C439" s="6" t="s">
        <v>266</v>
      </c>
      <c r="D439" s="6">
        <v>23</v>
      </c>
      <c r="E439" s="4">
        <f>DAY(TableAopCalendar[[#This Row],[Date]])</f>
        <v>12</v>
      </c>
      <c r="F439" s="4">
        <f>IF(TableAopCalendar[[#This Row],[Day]]&lt;8,1,IF(TableAopCalendar[[#This Row],[Day]]&lt;15,2,IF(TableAopCalendar[[#This Row],[Day]]&lt;22,3,IF(TableAopCalendar[[#This Row],[Day]]&lt;29,4,IF(TableAopCalendar[[#This Row],[Day]]&lt;32,5)))))</f>
        <v>2</v>
      </c>
      <c r="G439" s="4" t="str">
        <f t="shared" si="19"/>
        <v>Week 2</v>
      </c>
      <c r="H439" s="7" t="str">
        <f t="shared" si="20"/>
        <v>June 23 Week 2</v>
      </c>
      <c r="I439" s="4" t="str">
        <f>CONCATENATE(UPPER(TableAopCalendar[[#This Row],[Month]])," ",TableAopCalendar[[#This Row],[Year]])</f>
        <v>JUNE 23</v>
      </c>
      <c r="J439" s="7" t="s">
        <v>274</v>
      </c>
      <c r="K439" s="7" t="str">
        <f>CONCATENATE(TableAopCalendar[[#This Row],[Month for Plan]]," ",TableAopCalendar[[#This Row],[Plan]])</f>
        <v>JUNE 23 PLANNED</v>
      </c>
    </row>
    <row r="440" spans="1:11" x14ac:dyDescent="0.3">
      <c r="A440" s="4">
        <f t="shared" si="18"/>
        <v>6</v>
      </c>
      <c r="B440" s="5">
        <v>45090</v>
      </c>
      <c r="C440" s="6" t="s">
        <v>266</v>
      </c>
      <c r="D440" s="6">
        <v>23</v>
      </c>
      <c r="E440" s="4">
        <f>DAY(TableAopCalendar[[#This Row],[Date]])</f>
        <v>13</v>
      </c>
      <c r="F440" s="4">
        <f>IF(TableAopCalendar[[#This Row],[Day]]&lt;8,1,IF(TableAopCalendar[[#This Row],[Day]]&lt;15,2,IF(TableAopCalendar[[#This Row],[Day]]&lt;22,3,IF(TableAopCalendar[[#This Row],[Day]]&lt;29,4,IF(TableAopCalendar[[#This Row],[Day]]&lt;32,5)))))</f>
        <v>2</v>
      </c>
      <c r="G440" s="4" t="str">
        <f t="shared" si="19"/>
        <v>Week 2</v>
      </c>
      <c r="H440" s="7" t="str">
        <f t="shared" si="20"/>
        <v>June 23 Week 2</v>
      </c>
      <c r="I440" s="4" t="str">
        <f>CONCATENATE(UPPER(TableAopCalendar[[#This Row],[Month]])," ",TableAopCalendar[[#This Row],[Year]])</f>
        <v>JUNE 23</v>
      </c>
      <c r="J440" s="7" t="s">
        <v>274</v>
      </c>
      <c r="K440" s="7" t="str">
        <f>CONCATENATE(TableAopCalendar[[#This Row],[Month for Plan]]," ",TableAopCalendar[[#This Row],[Plan]])</f>
        <v>JUNE 23 PLANNED</v>
      </c>
    </row>
    <row r="441" spans="1:11" x14ac:dyDescent="0.3">
      <c r="A441" s="4">
        <f t="shared" si="18"/>
        <v>7</v>
      </c>
      <c r="B441" s="5">
        <v>45091</v>
      </c>
      <c r="C441" s="6" t="s">
        <v>266</v>
      </c>
      <c r="D441" s="6">
        <v>23</v>
      </c>
      <c r="E441" s="4">
        <f>DAY(TableAopCalendar[[#This Row],[Date]])</f>
        <v>14</v>
      </c>
      <c r="F441" s="4">
        <f>IF(TableAopCalendar[[#This Row],[Day]]&lt;8,1,IF(TableAopCalendar[[#This Row],[Day]]&lt;15,2,IF(TableAopCalendar[[#This Row],[Day]]&lt;22,3,IF(TableAopCalendar[[#This Row],[Day]]&lt;29,4,IF(TableAopCalendar[[#This Row],[Day]]&lt;32,5)))))</f>
        <v>2</v>
      </c>
      <c r="G441" s="4" t="str">
        <f t="shared" si="19"/>
        <v>Week 2</v>
      </c>
      <c r="H441" s="7" t="str">
        <f t="shared" si="20"/>
        <v>June 23 Week 2</v>
      </c>
      <c r="I441" s="4" t="str">
        <f>CONCATENATE(UPPER(TableAopCalendar[[#This Row],[Month]])," ",TableAopCalendar[[#This Row],[Year]])</f>
        <v>JUNE 23</v>
      </c>
      <c r="J441" s="7" t="s">
        <v>274</v>
      </c>
      <c r="K441" s="7" t="str">
        <f>CONCATENATE(TableAopCalendar[[#This Row],[Month for Plan]]," ",TableAopCalendar[[#This Row],[Plan]])</f>
        <v>JUNE 23 PLANNED</v>
      </c>
    </row>
    <row r="442" spans="1:11" x14ac:dyDescent="0.3">
      <c r="A442" s="4">
        <f t="shared" si="18"/>
        <v>1</v>
      </c>
      <c r="B442" s="5">
        <v>45092</v>
      </c>
      <c r="C442" s="6" t="s">
        <v>266</v>
      </c>
      <c r="D442" s="6">
        <v>23</v>
      </c>
      <c r="E442" s="4">
        <f>DAY(TableAopCalendar[[#This Row],[Date]])</f>
        <v>15</v>
      </c>
      <c r="F442" s="4">
        <f>IF(TableAopCalendar[[#This Row],[Day]]&lt;8,1,IF(TableAopCalendar[[#This Row],[Day]]&lt;15,2,IF(TableAopCalendar[[#This Row],[Day]]&lt;22,3,IF(TableAopCalendar[[#This Row],[Day]]&lt;29,4,IF(TableAopCalendar[[#This Row],[Day]]&lt;32,5)))))</f>
        <v>3</v>
      </c>
      <c r="G442" s="4" t="str">
        <f t="shared" si="19"/>
        <v>Week 3</v>
      </c>
      <c r="H442" s="7" t="str">
        <f t="shared" si="20"/>
        <v>June 23 Week 3</v>
      </c>
      <c r="I442" s="4" t="str">
        <f>CONCATENATE(UPPER(TableAopCalendar[[#This Row],[Month]])," ",TableAopCalendar[[#This Row],[Year]])</f>
        <v>JUNE 23</v>
      </c>
      <c r="J442" s="7" t="s">
        <v>274</v>
      </c>
      <c r="K442" s="7" t="str">
        <f>CONCATENATE(TableAopCalendar[[#This Row],[Month for Plan]]," ",TableAopCalendar[[#This Row],[Plan]])</f>
        <v>JUNE 23 PLANNED</v>
      </c>
    </row>
    <row r="443" spans="1:11" x14ac:dyDescent="0.3">
      <c r="A443" s="4">
        <f t="shared" si="18"/>
        <v>2</v>
      </c>
      <c r="B443" s="5">
        <v>45093</v>
      </c>
      <c r="C443" s="6" t="s">
        <v>266</v>
      </c>
      <c r="D443" s="6">
        <v>23</v>
      </c>
      <c r="E443" s="4">
        <f>DAY(TableAopCalendar[[#This Row],[Date]])</f>
        <v>16</v>
      </c>
      <c r="F443" s="4">
        <f>IF(TableAopCalendar[[#This Row],[Day]]&lt;8,1,IF(TableAopCalendar[[#This Row],[Day]]&lt;15,2,IF(TableAopCalendar[[#This Row],[Day]]&lt;22,3,IF(TableAopCalendar[[#This Row],[Day]]&lt;29,4,IF(TableAopCalendar[[#This Row],[Day]]&lt;32,5)))))</f>
        <v>3</v>
      </c>
      <c r="G443" s="4" t="str">
        <f t="shared" si="19"/>
        <v>Week 3</v>
      </c>
      <c r="H443" s="7" t="str">
        <f t="shared" si="20"/>
        <v>June 23 Week 3</v>
      </c>
      <c r="I443" s="4" t="str">
        <f>CONCATENATE(UPPER(TableAopCalendar[[#This Row],[Month]])," ",TableAopCalendar[[#This Row],[Year]])</f>
        <v>JUNE 23</v>
      </c>
      <c r="J443" s="7" t="s">
        <v>274</v>
      </c>
      <c r="K443" s="7" t="str">
        <f>CONCATENATE(TableAopCalendar[[#This Row],[Month for Plan]]," ",TableAopCalendar[[#This Row],[Plan]])</f>
        <v>JUNE 23 PLANNED</v>
      </c>
    </row>
    <row r="444" spans="1:11" x14ac:dyDescent="0.3">
      <c r="A444" s="4">
        <f t="shared" si="18"/>
        <v>3</v>
      </c>
      <c r="B444" s="5">
        <v>45094</v>
      </c>
      <c r="C444" s="6" t="s">
        <v>266</v>
      </c>
      <c r="D444" s="6">
        <v>23</v>
      </c>
      <c r="E444" s="4">
        <f>DAY(TableAopCalendar[[#This Row],[Date]])</f>
        <v>17</v>
      </c>
      <c r="F444" s="4">
        <f>IF(TableAopCalendar[[#This Row],[Day]]&lt;8,1,IF(TableAopCalendar[[#This Row],[Day]]&lt;15,2,IF(TableAopCalendar[[#This Row],[Day]]&lt;22,3,IF(TableAopCalendar[[#This Row],[Day]]&lt;29,4,IF(TableAopCalendar[[#This Row],[Day]]&lt;32,5)))))</f>
        <v>3</v>
      </c>
      <c r="G444" s="4" t="str">
        <f t="shared" si="19"/>
        <v>Week 3</v>
      </c>
      <c r="H444" s="7" t="str">
        <f t="shared" si="20"/>
        <v>June 23 Week 3</v>
      </c>
      <c r="I444" s="4" t="str">
        <f>CONCATENATE(UPPER(TableAopCalendar[[#This Row],[Month]])," ",TableAopCalendar[[#This Row],[Year]])</f>
        <v>JUNE 23</v>
      </c>
      <c r="J444" s="7" t="s">
        <v>274</v>
      </c>
      <c r="K444" s="7" t="str">
        <f>CONCATENATE(TableAopCalendar[[#This Row],[Month for Plan]]," ",TableAopCalendar[[#This Row],[Plan]])</f>
        <v>JUNE 23 PLANNED</v>
      </c>
    </row>
    <row r="445" spans="1:11" x14ac:dyDescent="0.3">
      <c r="A445" s="4">
        <f t="shared" si="18"/>
        <v>4</v>
      </c>
      <c r="B445" s="5">
        <v>45095</v>
      </c>
      <c r="C445" s="6" t="s">
        <v>266</v>
      </c>
      <c r="D445" s="6">
        <v>23</v>
      </c>
      <c r="E445" s="4">
        <f>DAY(TableAopCalendar[[#This Row],[Date]])</f>
        <v>18</v>
      </c>
      <c r="F445" s="4">
        <f>IF(TableAopCalendar[[#This Row],[Day]]&lt;8,1,IF(TableAopCalendar[[#This Row],[Day]]&lt;15,2,IF(TableAopCalendar[[#This Row],[Day]]&lt;22,3,IF(TableAopCalendar[[#This Row],[Day]]&lt;29,4,IF(TableAopCalendar[[#This Row],[Day]]&lt;32,5)))))</f>
        <v>3</v>
      </c>
      <c r="G445" s="4" t="str">
        <f t="shared" si="19"/>
        <v>Week 3</v>
      </c>
      <c r="H445" s="7" t="str">
        <f t="shared" si="20"/>
        <v>June 23 Week 3</v>
      </c>
      <c r="I445" s="4" t="str">
        <f>CONCATENATE(UPPER(TableAopCalendar[[#This Row],[Month]])," ",TableAopCalendar[[#This Row],[Year]])</f>
        <v>JUNE 23</v>
      </c>
      <c r="J445" s="7" t="s">
        <v>274</v>
      </c>
      <c r="K445" s="7" t="str">
        <f>CONCATENATE(TableAopCalendar[[#This Row],[Month for Plan]]," ",TableAopCalendar[[#This Row],[Plan]])</f>
        <v>JUNE 23 PLANNED</v>
      </c>
    </row>
    <row r="446" spans="1:11" x14ac:dyDescent="0.3">
      <c r="A446" s="4">
        <f t="shared" si="18"/>
        <v>5</v>
      </c>
      <c r="B446" s="5">
        <v>45096</v>
      </c>
      <c r="C446" s="6" t="s">
        <v>266</v>
      </c>
      <c r="D446" s="6">
        <v>23</v>
      </c>
      <c r="E446" s="4">
        <f>DAY(TableAopCalendar[[#This Row],[Date]])</f>
        <v>19</v>
      </c>
      <c r="F446" s="4">
        <f>IF(TableAopCalendar[[#This Row],[Day]]&lt;8,1,IF(TableAopCalendar[[#This Row],[Day]]&lt;15,2,IF(TableAopCalendar[[#This Row],[Day]]&lt;22,3,IF(TableAopCalendar[[#This Row],[Day]]&lt;29,4,IF(TableAopCalendar[[#This Row],[Day]]&lt;32,5)))))</f>
        <v>3</v>
      </c>
      <c r="G446" s="4" t="str">
        <f t="shared" si="19"/>
        <v>Week 3</v>
      </c>
      <c r="H446" s="7" t="str">
        <f t="shared" si="20"/>
        <v>June 23 Week 3</v>
      </c>
      <c r="I446" s="4" t="str">
        <f>CONCATENATE(UPPER(TableAopCalendar[[#This Row],[Month]])," ",TableAopCalendar[[#This Row],[Year]])</f>
        <v>JUNE 23</v>
      </c>
      <c r="J446" s="7" t="s">
        <v>274</v>
      </c>
      <c r="K446" s="7" t="str">
        <f>CONCATENATE(TableAopCalendar[[#This Row],[Month for Plan]]," ",TableAopCalendar[[#This Row],[Plan]])</f>
        <v>JUNE 23 PLANNED</v>
      </c>
    </row>
    <row r="447" spans="1:11" x14ac:dyDescent="0.3">
      <c r="A447" s="4">
        <f t="shared" si="18"/>
        <v>6</v>
      </c>
      <c r="B447" s="5">
        <v>45097</v>
      </c>
      <c r="C447" s="6" t="s">
        <v>266</v>
      </c>
      <c r="D447" s="6">
        <v>23</v>
      </c>
      <c r="E447" s="4">
        <f>DAY(TableAopCalendar[[#This Row],[Date]])</f>
        <v>20</v>
      </c>
      <c r="F447" s="4">
        <f>IF(TableAopCalendar[[#This Row],[Day]]&lt;8,1,IF(TableAopCalendar[[#This Row],[Day]]&lt;15,2,IF(TableAopCalendar[[#This Row],[Day]]&lt;22,3,IF(TableAopCalendar[[#This Row],[Day]]&lt;29,4,IF(TableAopCalendar[[#This Row],[Day]]&lt;32,5)))))</f>
        <v>3</v>
      </c>
      <c r="G447" s="4" t="str">
        <f t="shared" si="19"/>
        <v>Week 3</v>
      </c>
      <c r="H447" s="7" t="str">
        <f t="shared" si="20"/>
        <v>June 23 Week 3</v>
      </c>
      <c r="I447" s="4" t="str">
        <f>CONCATENATE(UPPER(TableAopCalendar[[#This Row],[Month]])," ",TableAopCalendar[[#This Row],[Year]])</f>
        <v>JUNE 23</v>
      </c>
      <c r="J447" s="7" t="s">
        <v>274</v>
      </c>
      <c r="K447" s="7" t="str">
        <f>CONCATENATE(TableAopCalendar[[#This Row],[Month for Plan]]," ",TableAopCalendar[[#This Row],[Plan]])</f>
        <v>JUNE 23 PLANNED</v>
      </c>
    </row>
    <row r="448" spans="1:11" x14ac:dyDescent="0.3">
      <c r="A448" s="4">
        <f t="shared" si="18"/>
        <v>7</v>
      </c>
      <c r="B448" s="5">
        <v>45098</v>
      </c>
      <c r="C448" s="6" t="s">
        <v>266</v>
      </c>
      <c r="D448" s="6">
        <v>23</v>
      </c>
      <c r="E448" s="4">
        <f>DAY(TableAopCalendar[[#This Row],[Date]])</f>
        <v>21</v>
      </c>
      <c r="F448" s="4">
        <f>IF(TableAopCalendar[[#This Row],[Day]]&lt;8,1,IF(TableAopCalendar[[#This Row],[Day]]&lt;15,2,IF(TableAopCalendar[[#This Row],[Day]]&lt;22,3,IF(TableAopCalendar[[#This Row],[Day]]&lt;29,4,IF(TableAopCalendar[[#This Row],[Day]]&lt;32,5)))))</f>
        <v>3</v>
      </c>
      <c r="G448" s="4" t="str">
        <f t="shared" si="19"/>
        <v>Week 3</v>
      </c>
      <c r="H448" s="7" t="str">
        <f t="shared" si="20"/>
        <v>June 23 Week 3</v>
      </c>
      <c r="I448" s="4" t="str">
        <f>CONCATENATE(UPPER(TableAopCalendar[[#This Row],[Month]])," ",TableAopCalendar[[#This Row],[Year]])</f>
        <v>JUNE 23</v>
      </c>
      <c r="J448" s="7" t="s">
        <v>274</v>
      </c>
      <c r="K448" s="7" t="str">
        <f>CONCATENATE(TableAopCalendar[[#This Row],[Month for Plan]]," ",TableAopCalendar[[#This Row],[Plan]])</f>
        <v>JUNE 23 PLANNED</v>
      </c>
    </row>
    <row r="449" spans="1:11" x14ac:dyDescent="0.3">
      <c r="A449" s="4">
        <f t="shared" si="18"/>
        <v>1</v>
      </c>
      <c r="B449" s="5">
        <v>45099</v>
      </c>
      <c r="C449" s="6" t="s">
        <v>266</v>
      </c>
      <c r="D449" s="6">
        <v>23</v>
      </c>
      <c r="E449" s="4">
        <f>DAY(TableAopCalendar[[#This Row],[Date]])</f>
        <v>22</v>
      </c>
      <c r="F449" s="4">
        <f>IF(TableAopCalendar[[#This Row],[Day]]&lt;8,1,IF(TableAopCalendar[[#This Row],[Day]]&lt;15,2,IF(TableAopCalendar[[#This Row],[Day]]&lt;22,3,IF(TableAopCalendar[[#This Row],[Day]]&lt;29,4,IF(TableAopCalendar[[#This Row],[Day]]&lt;32,5)))))</f>
        <v>4</v>
      </c>
      <c r="G449" s="4" t="str">
        <f t="shared" si="19"/>
        <v>Week 4</v>
      </c>
      <c r="H449" s="7" t="str">
        <f t="shared" si="20"/>
        <v>June 23 Week 4</v>
      </c>
      <c r="I449" s="4" t="str">
        <f>CONCATENATE(UPPER(TableAopCalendar[[#This Row],[Month]])," ",TableAopCalendar[[#This Row],[Year]])</f>
        <v>JUNE 23</v>
      </c>
      <c r="J449" s="7" t="s">
        <v>274</v>
      </c>
      <c r="K449" s="7" t="str">
        <f>CONCATENATE(TableAopCalendar[[#This Row],[Month for Plan]]," ",TableAopCalendar[[#This Row],[Plan]])</f>
        <v>JUNE 23 PLANNED</v>
      </c>
    </row>
    <row r="450" spans="1:11" x14ac:dyDescent="0.3">
      <c r="A450" s="4">
        <f t="shared" ref="A450:A513" si="21">IF(G450=G449,A449+1,1)</f>
        <v>2</v>
      </c>
      <c r="B450" s="5">
        <v>45100</v>
      </c>
      <c r="C450" s="6" t="s">
        <v>266</v>
      </c>
      <c r="D450" s="6">
        <v>23</v>
      </c>
      <c r="E450" s="4">
        <f>DAY(TableAopCalendar[[#This Row],[Date]])</f>
        <v>23</v>
      </c>
      <c r="F450" s="4">
        <f>IF(TableAopCalendar[[#This Row],[Day]]&lt;8,1,IF(TableAopCalendar[[#This Row],[Day]]&lt;15,2,IF(TableAopCalendar[[#This Row],[Day]]&lt;22,3,IF(TableAopCalendar[[#This Row],[Day]]&lt;29,4,IF(TableAopCalendar[[#This Row],[Day]]&lt;32,5)))))</f>
        <v>4</v>
      </c>
      <c r="G450" s="4" t="str">
        <f t="shared" ref="G450:G513" si="22">"Week"&amp;" "&amp;F450</f>
        <v>Week 4</v>
      </c>
      <c r="H450" s="7" t="str">
        <f t="shared" ref="H450:H513" si="23">CONCATENATE(C450," ",D450," ",G450)</f>
        <v>June 23 Week 4</v>
      </c>
      <c r="I450" s="4" t="str">
        <f>CONCATENATE(UPPER(TableAopCalendar[[#This Row],[Month]])," ",TableAopCalendar[[#This Row],[Year]])</f>
        <v>JUNE 23</v>
      </c>
      <c r="J450" s="7" t="s">
        <v>274</v>
      </c>
      <c r="K450" s="7" t="str">
        <f>CONCATENATE(TableAopCalendar[[#This Row],[Month for Plan]]," ",TableAopCalendar[[#This Row],[Plan]])</f>
        <v>JUNE 23 PLANNED</v>
      </c>
    </row>
    <row r="451" spans="1:11" x14ac:dyDescent="0.3">
      <c r="A451" s="4">
        <f t="shared" si="21"/>
        <v>3</v>
      </c>
      <c r="B451" s="5">
        <v>45101</v>
      </c>
      <c r="C451" s="6" t="s">
        <v>266</v>
      </c>
      <c r="D451" s="6">
        <v>23</v>
      </c>
      <c r="E451" s="4">
        <f>DAY(TableAopCalendar[[#This Row],[Date]])</f>
        <v>24</v>
      </c>
      <c r="F451" s="4">
        <f>IF(TableAopCalendar[[#This Row],[Day]]&lt;8,1,IF(TableAopCalendar[[#This Row],[Day]]&lt;15,2,IF(TableAopCalendar[[#This Row],[Day]]&lt;22,3,IF(TableAopCalendar[[#This Row],[Day]]&lt;29,4,IF(TableAopCalendar[[#This Row],[Day]]&lt;32,5)))))</f>
        <v>4</v>
      </c>
      <c r="G451" s="4" t="str">
        <f t="shared" si="22"/>
        <v>Week 4</v>
      </c>
      <c r="H451" s="7" t="str">
        <f t="shared" si="23"/>
        <v>June 23 Week 4</v>
      </c>
      <c r="I451" s="4" t="str">
        <f>CONCATENATE(UPPER(TableAopCalendar[[#This Row],[Month]])," ",TableAopCalendar[[#This Row],[Year]])</f>
        <v>JUNE 23</v>
      </c>
      <c r="J451" s="7" t="s">
        <v>274</v>
      </c>
      <c r="K451" s="7" t="str">
        <f>CONCATENATE(TableAopCalendar[[#This Row],[Month for Plan]]," ",TableAopCalendar[[#This Row],[Plan]])</f>
        <v>JUNE 23 PLANNED</v>
      </c>
    </row>
    <row r="452" spans="1:11" x14ac:dyDescent="0.3">
      <c r="A452" s="4">
        <f t="shared" si="21"/>
        <v>4</v>
      </c>
      <c r="B452" s="5">
        <v>45102</v>
      </c>
      <c r="C452" s="6" t="s">
        <v>266</v>
      </c>
      <c r="D452" s="6">
        <v>23</v>
      </c>
      <c r="E452" s="4">
        <f>DAY(TableAopCalendar[[#This Row],[Date]])</f>
        <v>25</v>
      </c>
      <c r="F452" s="4">
        <f>IF(TableAopCalendar[[#This Row],[Day]]&lt;8,1,IF(TableAopCalendar[[#This Row],[Day]]&lt;15,2,IF(TableAopCalendar[[#This Row],[Day]]&lt;22,3,IF(TableAopCalendar[[#This Row],[Day]]&lt;29,4,IF(TableAopCalendar[[#This Row],[Day]]&lt;32,5)))))</f>
        <v>4</v>
      </c>
      <c r="G452" s="4" t="str">
        <f t="shared" si="22"/>
        <v>Week 4</v>
      </c>
      <c r="H452" s="7" t="str">
        <f t="shared" si="23"/>
        <v>June 23 Week 4</v>
      </c>
      <c r="I452" s="4" t="str">
        <f>CONCATENATE(UPPER(TableAopCalendar[[#This Row],[Month]])," ",TableAopCalendar[[#This Row],[Year]])</f>
        <v>JUNE 23</v>
      </c>
      <c r="J452" s="7" t="s">
        <v>274</v>
      </c>
      <c r="K452" s="7" t="str">
        <f>CONCATENATE(TableAopCalendar[[#This Row],[Month for Plan]]," ",TableAopCalendar[[#This Row],[Plan]])</f>
        <v>JUNE 23 PLANNED</v>
      </c>
    </row>
    <row r="453" spans="1:11" x14ac:dyDescent="0.3">
      <c r="A453" s="4">
        <f t="shared" si="21"/>
        <v>5</v>
      </c>
      <c r="B453" s="5">
        <v>45103</v>
      </c>
      <c r="C453" s="6" t="s">
        <v>266</v>
      </c>
      <c r="D453" s="6">
        <v>23</v>
      </c>
      <c r="E453" s="4">
        <f>DAY(TableAopCalendar[[#This Row],[Date]])</f>
        <v>26</v>
      </c>
      <c r="F453" s="4">
        <f>IF(TableAopCalendar[[#This Row],[Day]]&lt;8,1,IF(TableAopCalendar[[#This Row],[Day]]&lt;15,2,IF(TableAopCalendar[[#This Row],[Day]]&lt;22,3,IF(TableAopCalendar[[#This Row],[Day]]&lt;29,4,IF(TableAopCalendar[[#This Row],[Day]]&lt;32,5)))))</f>
        <v>4</v>
      </c>
      <c r="G453" s="4" t="str">
        <f t="shared" si="22"/>
        <v>Week 4</v>
      </c>
      <c r="H453" s="7" t="str">
        <f t="shared" si="23"/>
        <v>June 23 Week 4</v>
      </c>
      <c r="I453" s="4" t="str">
        <f>CONCATENATE(UPPER(TableAopCalendar[[#This Row],[Month]])," ",TableAopCalendar[[#This Row],[Year]])</f>
        <v>JUNE 23</v>
      </c>
      <c r="J453" s="7" t="s">
        <v>274</v>
      </c>
      <c r="K453" s="7" t="str">
        <f>CONCATENATE(TableAopCalendar[[#This Row],[Month for Plan]]," ",TableAopCalendar[[#This Row],[Plan]])</f>
        <v>JUNE 23 PLANNED</v>
      </c>
    </row>
    <row r="454" spans="1:11" x14ac:dyDescent="0.3">
      <c r="A454" s="4">
        <f t="shared" si="21"/>
        <v>6</v>
      </c>
      <c r="B454" s="5">
        <v>45104</v>
      </c>
      <c r="C454" s="6" t="s">
        <v>266</v>
      </c>
      <c r="D454" s="6">
        <v>23</v>
      </c>
      <c r="E454" s="4">
        <f>DAY(TableAopCalendar[[#This Row],[Date]])</f>
        <v>27</v>
      </c>
      <c r="F454" s="4">
        <f>IF(TableAopCalendar[[#This Row],[Day]]&lt;8,1,IF(TableAopCalendar[[#This Row],[Day]]&lt;15,2,IF(TableAopCalendar[[#This Row],[Day]]&lt;22,3,IF(TableAopCalendar[[#This Row],[Day]]&lt;29,4,IF(TableAopCalendar[[#This Row],[Day]]&lt;32,5)))))</f>
        <v>4</v>
      </c>
      <c r="G454" s="4" t="str">
        <f t="shared" si="22"/>
        <v>Week 4</v>
      </c>
      <c r="H454" s="7" t="str">
        <f t="shared" si="23"/>
        <v>June 23 Week 4</v>
      </c>
      <c r="I454" s="4" t="str">
        <f>CONCATENATE(UPPER(TableAopCalendar[[#This Row],[Month]])," ",TableAopCalendar[[#This Row],[Year]])</f>
        <v>JUNE 23</v>
      </c>
      <c r="J454" s="7" t="s">
        <v>274</v>
      </c>
      <c r="K454" s="7" t="str">
        <f>CONCATENATE(TableAopCalendar[[#This Row],[Month for Plan]]," ",TableAopCalendar[[#This Row],[Plan]])</f>
        <v>JUNE 23 PLANNED</v>
      </c>
    </row>
    <row r="455" spans="1:11" x14ac:dyDescent="0.3">
      <c r="A455" s="4">
        <f t="shared" si="21"/>
        <v>7</v>
      </c>
      <c r="B455" s="5">
        <v>45105</v>
      </c>
      <c r="C455" s="6" t="s">
        <v>266</v>
      </c>
      <c r="D455" s="6">
        <v>23</v>
      </c>
      <c r="E455" s="4">
        <f>DAY(TableAopCalendar[[#This Row],[Date]])</f>
        <v>28</v>
      </c>
      <c r="F455" s="4">
        <f>IF(TableAopCalendar[[#This Row],[Day]]&lt;8,1,IF(TableAopCalendar[[#This Row],[Day]]&lt;15,2,IF(TableAopCalendar[[#This Row],[Day]]&lt;22,3,IF(TableAopCalendar[[#This Row],[Day]]&lt;29,4,IF(TableAopCalendar[[#This Row],[Day]]&lt;32,5)))))</f>
        <v>4</v>
      </c>
      <c r="G455" s="4" t="str">
        <f t="shared" si="22"/>
        <v>Week 4</v>
      </c>
      <c r="H455" s="7" t="str">
        <f t="shared" si="23"/>
        <v>June 23 Week 4</v>
      </c>
      <c r="I455" s="4" t="str">
        <f>CONCATENATE(UPPER(TableAopCalendar[[#This Row],[Month]])," ",TableAopCalendar[[#This Row],[Year]])</f>
        <v>JUNE 23</v>
      </c>
      <c r="J455" s="7" t="s">
        <v>274</v>
      </c>
      <c r="K455" s="7" t="str">
        <f>CONCATENATE(TableAopCalendar[[#This Row],[Month for Plan]]," ",TableAopCalendar[[#This Row],[Plan]])</f>
        <v>JUNE 23 PLANNED</v>
      </c>
    </row>
    <row r="456" spans="1:11" x14ac:dyDescent="0.3">
      <c r="A456" s="4">
        <f t="shared" si="21"/>
        <v>1</v>
      </c>
      <c r="B456" s="5">
        <v>45106</v>
      </c>
      <c r="C456" s="6" t="s">
        <v>266</v>
      </c>
      <c r="D456" s="6">
        <v>23</v>
      </c>
      <c r="E456" s="4">
        <f>DAY(TableAopCalendar[[#This Row],[Date]])</f>
        <v>29</v>
      </c>
      <c r="F456" s="4">
        <f>IF(TableAopCalendar[[#This Row],[Day]]&lt;8,1,IF(TableAopCalendar[[#This Row],[Day]]&lt;15,2,IF(TableAopCalendar[[#This Row],[Day]]&lt;22,3,IF(TableAopCalendar[[#This Row],[Day]]&lt;29,4,IF(TableAopCalendar[[#This Row],[Day]]&lt;32,5)))))</f>
        <v>5</v>
      </c>
      <c r="G456" s="4" t="str">
        <f t="shared" si="22"/>
        <v>Week 5</v>
      </c>
      <c r="H456" s="7" t="str">
        <f t="shared" si="23"/>
        <v>June 23 Week 5</v>
      </c>
      <c r="I456" s="4" t="str">
        <f>CONCATENATE(UPPER(TableAopCalendar[[#This Row],[Month]])," ",TableAopCalendar[[#This Row],[Year]])</f>
        <v>JUNE 23</v>
      </c>
      <c r="J456" s="7" t="s">
        <v>274</v>
      </c>
      <c r="K456" s="7" t="str">
        <f>CONCATENATE(TableAopCalendar[[#This Row],[Month for Plan]]," ",TableAopCalendar[[#This Row],[Plan]])</f>
        <v>JUNE 23 PLANNED</v>
      </c>
    </row>
    <row r="457" spans="1:11" x14ac:dyDescent="0.3">
      <c r="A457" s="4">
        <f t="shared" si="21"/>
        <v>2</v>
      </c>
      <c r="B457" s="5">
        <v>45107</v>
      </c>
      <c r="C457" s="6" t="s">
        <v>266</v>
      </c>
      <c r="D457" s="6">
        <v>23</v>
      </c>
      <c r="E457" s="4">
        <f>DAY(TableAopCalendar[[#This Row],[Date]])</f>
        <v>30</v>
      </c>
      <c r="F457" s="4">
        <f>IF(TableAopCalendar[[#This Row],[Day]]&lt;8,1,IF(TableAopCalendar[[#This Row],[Day]]&lt;15,2,IF(TableAopCalendar[[#This Row],[Day]]&lt;22,3,IF(TableAopCalendar[[#This Row],[Day]]&lt;29,4,IF(TableAopCalendar[[#This Row],[Day]]&lt;32,5)))))</f>
        <v>5</v>
      </c>
      <c r="G457" s="4" t="str">
        <f t="shared" si="22"/>
        <v>Week 5</v>
      </c>
      <c r="H457" s="7" t="str">
        <f t="shared" si="23"/>
        <v>June 23 Week 5</v>
      </c>
      <c r="I457" s="4" t="str">
        <f>CONCATENATE(UPPER(TableAopCalendar[[#This Row],[Month]])," ",TableAopCalendar[[#This Row],[Year]])</f>
        <v>JUNE 23</v>
      </c>
      <c r="J457" s="7" t="s">
        <v>274</v>
      </c>
      <c r="K457" s="7" t="str">
        <f>CONCATENATE(TableAopCalendar[[#This Row],[Month for Plan]]," ",TableAopCalendar[[#This Row],[Plan]])</f>
        <v>JUNE 23 PLANNED</v>
      </c>
    </row>
    <row r="458" spans="1:11" x14ac:dyDescent="0.3">
      <c r="A458" s="4">
        <f t="shared" si="21"/>
        <v>1</v>
      </c>
      <c r="B458" s="5">
        <v>45108</v>
      </c>
      <c r="C458" s="6" t="s">
        <v>267</v>
      </c>
      <c r="D458" s="6">
        <v>23</v>
      </c>
      <c r="E458" s="4">
        <f>DAY(TableAopCalendar[[#This Row],[Date]])</f>
        <v>1</v>
      </c>
      <c r="F458" s="4">
        <f>IF(TableAopCalendar[[#This Row],[Day]]&lt;8,1,IF(TableAopCalendar[[#This Row],[Day]]&lt;15,2,IF(TableAopCalendar[[#This Row],[Day]]&lt;22,3,IF(TableAopCalendar[[#This Row],[Day]]&lt;29,4,IF(TableAopCalendar[[#This Row],[Day]]&lt;32,5)))))</f>
        <v>1</v>
      </c>
      <c r="G458" s="4" t="str">
        <f t="shared" si="22"/>
        <v>Week 1</v>
      </c>
      <c r="H458" s="7" t="str">
        <f t="shared" si="23"/>
        <v>July 23 Week 1</v>
      </c>
      <c r="I458" s="4" t="str">
        <f>CONCATENATE(UPPER(TableAopCalendar[[#This Row],[Month]])," ",TableAopCalendar[[#This Row],[Year]])</f>
        <v>JULY 23</v>
      </c>
      <c r="J458" s="7" t="s">
        <v>274</v>
      </c>
      <c r="K458" s="7" t="str">
        <f>CONCATENATE(TableAopCalendar[[#This Row],[Month for Plan]]," ",TableAopCalendar[[#This Row],[Plan]])</f>
        <v>JULY 23 PLANNED</v>
      </c>
    </row>
    <row r="459" spans="1:11" x14ac:dyDescent="0.3">
      <c r="A459" s="4">
        <f t="shared" si="21"/>
        <v>2</v>
      </c>
      <c r="B459" s="5">
        <v>45109</v>
      </c>
      <c r="C459" s="6" t="s">
        <v>267</v>
      </c>
      <c r="D459" s="6">
        <v>23</v>
      </c>
      <c r="E459" s="4">
        <f>DAY(TableAopCalendar[[#This Row],[Date]])</f>
        <v>2</v>
      </c>
      <c r="F459" s="4">
        <f>IF(TableAopCalendar[[#This Row],[Day]]&lt;8,1,IF(TableAopCalendar[[#This Row],[Day]]&lt;15,2,IF(TableAopCalendar[[#This Row],[Day]]&lt;22,3,IF(TableAopCalendar[[#This Row],[Day]]&lt;29,4,IF(TableAopCalendar[[#This Row],[Day]]&lt;32,5)))))</f>
        <v>1</v>
      </c>
      <c r="G459" s="4" t="str">
        <f t="shared" si="22"/>
        <v>Week 1</v>
      </c>
      <c r="H459" s="7" t="str">
        <f t="shared" si="23"/>
        <v>July 23 Week 1</v>
      </c>
      <c r="I459" s="4" t="str">
        <f>CONCATENATE(UPPER(TableAopCalendar[[#This Row],[Month]])," ",TableAopCalendar[[#This Row],[Year]])</f>
        <v>JULY 23</v>
      </c>
      <c r="J459" s="7" t="s">
        <v>274</v>
      </c>
      <c r="K459" s="7" t="str">
        <f>CONCATENATE(TableAopCalendar[[#This Row],[Month for Plan]]," ",TableAopCalendar[[#This Row],[Plan]])</f>
        <v>JULY 23 PLANNED</v>
      </c>
    </row>
    <row r="460" spans="1:11" x14ac:dyDescent="0.3">
      <c r="A460" s="4">
        <f t="shared" si="21"/>
        <v>3</v>
      </c>
      <c r="B460" s="5">
        <v>45110</v>
      </c>
      <c r="C460" s="6" t="s">
        <v>267</v>
      </c>
      <c r="D460" s="6">
        <v>23</v>
      </c>
      <c r="E460" s="4">
        <f>DAY(TableAopCalendar[[#This Row],[Date]])</f>
        <v>3</v>
      </c>
      <c r="F460" s="4">
        <f>IF(TableAopCalendar[[#This Row],[Day]]&lt;8,1,IF(TableAopCalendar[[#This Row],[Day]]&lt;15,2,IF(TableAopCalendar[[#This Row],[Day]]&lt;22,3,IF(TableAopCalendar[[#This Row],[Day]]&lt;29,4,IF(TableAopCalendar[[#This Row],[Day]]&lt;32,5)))))</f>
        <v>1</v>
      </c>
      <c r="G460" s="4" t="str">
        <f t="shared" si="22"/>
        <v>Week 1</v>
      </c>
      <c r="H460" s="7" t="str">
        <f t="shared" si="23"/>
        <v>July 23 Week 1</v>
      </c>
      <c r="I460" s="4" t="str">
        <f>CONCATENATE(UPPER(TableAopCalendar[[#This Row],[Month]])," ",TableAopCalendar[[#This Row],[Year]])</f>
        <v>JULY 23</v>
      </c>
      <c r="J460" s="7" t="s">
        <v>274</v>
      </c>
      <c r="K460" s="7" t="str">
        <f>CONCATENATE(TableAopCalendar[[#This Row],[Month for Plan]]," ",TableAopCalendar[[#This Row],[Plan]])</f>
        <v>JULY 23 PLANNED</v>
      </c>
    </row>
    <row r="461" spans="1:11" x14ac:dyDescent="0.3">
      <c r="A461" s="4">
        <f t="shared" si="21"/>
        <v>4</v>
      </c>
      <c r="B461" s="5">
        <v>45111</v>
      </c>
      <c r="C461" s="6" t="s">
        <v>267</v>
      </c>
      <c r="D461" s="6">
        <v>23</v>
      </c>
      <c r="E461" s="4">
        <f>DAY(TableAopCalendar[[#This Row],[Date]])</f>
        <v>4</v>
      </c>
      <c r="F461" s="4">
        <f>IF(TableAopCalendar[[#This Row],[Day]]&lt;8,1,IF(TableAopCalendar[[#This Row],[Day]]&lt;15,2,IF(TableAopCalendar[[#This Row],[Day]]&lt;22,3,IF(TableAopCalendar[[#This Row],[Day]]&lt;29,4,IF(TableAopCalendar[[#This Row],[Day]]&lt;32,5)))))</f>
        <v>1</v>
      </c>
      <c r="G461" s="4" t="str">
        <f t="shared" si="22"/>
        <v>Week 1</v>
      </c>
      <c r="H461" s="7" t="str">
        <f t="shared" si="23"/>
        <v>July 23 Week 1</v>
      </c>
      <c r="I461" s="4" t="str">
        <f>CONCATENATE(UPPER(TableAopCalendar[[#This Row],[Month]])," ",TableAopCalendar[[#This Row],[Year]])</f>
        <v>JULY 23</v>
      </c>
      <c r="J461" s="7" t="s">
        <v>274</v>
      </c>
      <c r="K461" s="7" t="str">
        <f>CONCATENATE(TableAopCalendar[[#This Row],[Month for Plan]]," ",TableAopCalendar[[#This Row],[Plan]])</f>
        <v>JULY 23 PLANNED</v>
      </c>
    </row>
    <row r="462" spans="1:11" x14ac:dyDescent="0.3">
      <c r="A462" s="4">
        <f t="shared" si="21"/>
        <v>5</v>
      </c>
      <c r="B462" s="5">
        <v>45112</v>
      </c>
      <c r="C462" s="6" t="s">
        <v>267</v>
      </c>
      <c r="D462" s="6">
        <v>23</v>
      </c>
      <c r="E462" s="4">
        <f>DAY(TableAopCalendar[[#This Row],[Date]])</f>
        <v>5</v>
      </c>
      <c r="F462" s="4">
        <f>IF(TableAopCalendar[[#This Row],[Day]]&lt;8,1,IF(TableAopCalendar[[#This Row],[Day]]&lt;15,2,IF(TableAopCalendar[[#This Row],[Day]]&lt;22,3,IF(TableAopCalendar[[#This Row],[Day]]&lt;29,4,IF(TableAopCalendar[[#This Row],[Day]]&lt;32,5)))))</f>
        <v>1</v>
      </c>
      <c r="G462" s="4" t="str">
        <f t="shared" si="22"/>
        <v>Week 1</v>
      </c>
      <c r="H462" s="7" t="str">
        <f t="shared" si="23"/>
        <v>July 23 Week 1</v>
      </c>
      <c r="I462" s="4" t="str">
        <f>CONCATENATE(UPPER(TableAopCalendar[[#This Row],[Month]])," ",TableAopCalendar[[#This Row],[Year]])</f>
        <v>JULY 23</v>
      </c>
      <c r="J462" s="7" t="s">
        <v>274</v>
      </c>
      <c r="K462" s="7" t="str">
        <f>CONCATENATE(TableAopCalendar[[#This Row],[Month for Plan]]," ",TableAopCalendar[[#This Row],[Plan]])</f>
        <v>JULY 23 PLANNED</v>
      </c>
    </row>
    <row r="463" spans="1:11" x14ac:dyDescent="0.3">
      <c r="A463" s="4">
        <f t="shared" si="21"/>
        <v>6</v>
      </c>
      <c r="B463" s="5">
        <v>45113</v>
      </c>
      <c r="C463" s="6" t="s">
        <v>267</v>
      </c>
      <c r="D463" s="6">
        <v>23</v>
      </c>
      <c r="E463" s="4">
        <f>DAY(TableAopCalendar[[#This Row],[Date]])</f>
        <v>6</v>
      </c>
      <c r="F463" s="4">
        <f>IF(TableAopCalendar[[#This Row],[Day]]&lt;8,1,IF(TableAopCalendar[[#This Row],[Day]]&lt;15,2,IF(TableAopCalendar[[#This Row],[Day]]&lt;22,3,IF(TableAopCalendar[[#This Row],[Day]]&lt;29,4,IF(TableAopCalendar[[#This Row],[Day]]&lt;32,5)))))</f>
        <v>1</v>
      </c>
      <c r="G463" s="4" t="str">
        <f t="shared" si="22"/>
        <v>Week 1</v>
      </c>
      <c r="H463" s="7" t="str">
        <f t="shared" si="23"/>
        <v>July 23 Week 1</v>
      </c>
      <c r="I463" s="4" t="str">
        <f>CONCATENATE(UPPER(TableAopCalendar[[#This Row],[Month]])," ",TableAopCalendar[[#This Row],[Year]])</f>
        <v>JULY 23</v>
      </c>
      <c r="J463" s="7" t="s">
        <v>274</v>
      </c>
      <c r="K463" s="7" t="str">
        <f>CONCATENATE(TableAopCalendar[[#This Row],[Month for Plan]]," ",TableAopCalendar[[#This Row],[Plan]])</f>
        <v>JULY 23 PLANNED</v>
      </c>
    </row>
    <row r="464" spans="1:11" x14ac:dyDescent="0.3">
      <c r="A464" s="4">
        <f t="shared" si="21"/>
        <v>7</v>
      </c>
      <c r="B464" s="5">
        <v>45114</v>
      </c>
      <c r="C464" s="6" t="s">
        <v>267</v>
      </c>
      <c r="D464" s="6">
        <v>23</v>
      </c>
      <c r="E464" s="4">
        <f>DAY(TableAopCalendar[[#This Row],[Date]])</f>
        <v>7</v>
      </c>
      <c r="F464" s="4">
        <f>IF(TableAopCalendar[[#This Row],[Day]]&lt;8,1,IF(TableAopCalendar[[#This Row],[Day]]&lt;15,2,IF(TableAopCalendar[[#This Row],[Day]]&lt;22,3,IF(TableAopCalendar[[#This Row],[Day]]&lt;29,4,IF(TableAopCalendar[[#This Row],[Day]]&lt;32,5)))))</f>
        <v>1</v>
      </c>
      <c r="G464" s="4" t="str">
        <f t="shared" si="22"/>
        <v>Week 1</v>
      </c>
      <c r="H464" s="7" t="str">
        <f t="shared" si="23"/>
        <v>July 23 Week 1</v>
      </c>
      <c r="I464" s="4" t="str">
        <f>CONCATENATE(UPPER(TableAopCalendar[[#This Row],[Month]])," ",TableAopCalendar[[#This Row],[Year]])</f>
        <v>JULY 23</v>
      </c>
      <c r="J464" s="7" t="s">
        <v>274</v>
      </c>
      <c r="K464" s="7" t="str">
        <f>CONCATENATE(TableAopCalendar[[#This Row],[Month for Plan]]," ",TableAopCalendar[[#This Row],[Plan]])</f>
        <v>JULY 23 PLANNED</v>
      </c>
    </row>
    <row r="465" spans="1:11" x14ac:dyDescent="0.3">
      <c r="A465" s="4">
        <f t="shared" si="21"/>
        <v>1</v>
      </c>
      <c r="B465" s="5">
        <v>45115</v>
      </c>
      <c r="C465" s="6" t="s">
        <v>267</v>
      </c>
      <c r="D465" s="6">
        <v>23</v>
      </c>
      <c r="E465" s="4">
        <f>DAY(TableAopCalendar[[#This Row],[Date]])</f>
        <v>8</v>
      </c>
      <c r="F465" s="4">
        <f>IF(TableAopCalendar[[#This Row],[Day]]&lt;8,1,IF(TableAopCalendar[[#This Row],[Day]]&lt;15,2,IF(TableAopCalendar[[#This Row],[Day]]&lt;22,3,IF(TableAopCalendar[[#This Row],[Day]]&lt;29,4,IF(TableAopCalendar[[#This Row],[Day]]&lt;32,5)))))</f>
        <v>2</v>
      </c>
      <c r="G465" s="4" t="str">
        <f t="shared" si="22"/>
        <v>Week 2</v>
      </c>
      <c r="H465" s="7" t="str">
        <f t="shared" si="23"/>
        <v>July 23 Week 2</v>
      </c>
      <c r="I465" s="4" t="str">
        <f>CONCATENATE(UPPER(TableAopCalendar[[#This Row],[Month]])," ",TableAopCalendar[[#This Row],[Year]])</f>
        <v>JULY 23</v>
      </c>
      <c r="J465" s="7" t="s">
        <v>274</v>
      </c>
      <c r="K465" s="7" t="str">
        <f>CONCATENATE(TableAopCalendar[[#This Row],[Month for Plan]]," ",TableAopCalendar[[#This Row],[Plan]])</f>
        <v>JULY 23 PLANNED</v>
      </c>
    </row>
    <row r="466" spans="1:11" x14ac:dyDescent="0.3">
      <c r="A466" s="4">
        <f t="shared" si="21"/>
        <v>2</v>
      </c>
      <c r="B466" s="5">
        <v>45116</v>
      </c>
      <c r="C466" s="6" t="s">
        <v>267</v>
      </c>
      <c r="D466" s="6">
        <v>23</v>
      </c>
      <c r="E466" s="4">
        <f>DAY(TableAopCalendar[[#This Row],[Date]])</f>
        <v>9</v>
      </c>
      <c r="F466" s="4">
        <f>IF(TableAopCalendar[[#This Row],[Day]]&lt;8,1,IF(TableAopCalendar[[#This Row],[Day]]&lt;15,2,IF(TableAopCalendar[[#This Row],[Day]]&lt;22,3,IF(TableAopCalendar[[#This Row],[Day]]&lt;29,4,IF(TableAopCalendar[[#This Row],[Day]]&lt;32,5)))))</f>
        <v>2</v>
      </c>
      <c r="G466" s="4" t="str">
        <f t="shared" si="22"/>
        <v>Week 2</v>
      </c>
      <c r="H466" s="7" t="str">
        <f t="shared" si="23"/>
        <v>July 23 Week 2</v>
      </c>
      <c r="I466" s="4" t="str">
        <f>CONCATENATE(UPPER(TableAopCalendar[[#This Row],[Month]])," ",TableAopCalendar[[#This Row],[Year]])</f>
        <v>JULY 23</v>
      </c>
      <c r="J466" s="7" t="s">
        <v>274</v>
      </c>
      <c r="K466" s="7" t="str">
        <f>CONCATENATE(TableAopCalendar[[#This Row],[Month for Plan]]," ",TableAopCalendar[[#This Row],[Plan]])</f>
        <v>JULY 23 PLANNED</v>
      </c>
    </row>
    <row r="467" spans="1:11" x14ac:dyDescent="0.3">
      <c r="A467" s="4">
        <f t="shared" si="21"/>
        <v>3</v>
      </c>
      <c r="B467" s="5">
        <v>45117</v>
      </c>
      <c r="C467" s="6" t="s">
        <v>267</v>
      </c>
      <c r="D467" s="6">
        <v>23</v>
      </c>
      <c r="E467" s="4">
        <f>DAY(TableAopCalendar[[#This Row],[Date]])</f>
        <v>10</v>
      </c>
      <c r="F467" s="4">
        <f>IF(TableAopCalendar[[#This Row],[Day]]&lt;8,1,IF(TableAopCalendar[[#This Row],[Day]]&lt;15,2,IF(TableAopCalendar[[#This Row],[Day]]&lt;22,3,IF(TableAopCalendar[[#This Row],[Day]]&lt;29,4,IF(TableAopCalendar[[#This Row],[Day]]&lt;32,5)))))</f>
        <v>2</v>
      </c>
      <c r="G467" s="4" t="str">
        <f t="shared" si="22"/>
        <v>Week 2</v>
      </c>
      <c r="H467" s="7" t="str">
        <f t="shared" si="23"/>
        <v>July 23 Week 2</v>
      </c>
      <c r="I467" s="4" t="str">
        <f>CONCATENATE(UPPER(TableAopCalendar[[#This Row],[Month]])," ",TableAopCalendar[[#This Row],[Year]])</f>
        <v>JULY 23</v>
      </c>
      <c r="J467" s="7" t="s">
        <v>274</v>
      </c>
      <c r="K467" s="7" t="str">
        <f>CONCATENATE(TableAopCalendar[[#This Row],[Month for Plan]]," ",TableAopCalendar[[#This Row],[Plan]])</f>
        <v>JULY 23 PLANNED</v>
      </c>
    </row>
    <row r="468" spans="1:11" x14ac:dyDescent="0.3">
      <c r="A468" s="4">
        <f t="shared" si="21"/>
        <v>4</v>
      </c>
      <c r="B468" s="5">
        <v>45118</v>
      </c>
      <c r="C468" s="6" t="s">
        <v>267</v>
      </c>
      <c r="D468" s="6">
        <v>23</v>
      </c>
      <c r="E468" s="4">
        <f>DAY(TableAopCalendar[[#This Row],[Date]])</f>
        <v>11</v>
      </c>
      <c r="F468" s="4">
        <f>IF(TableAopCalendar[[#This Row],[Day]]&lt;8,1,IF(TableAopCalendar[[#This Row],[Day]]&lt;15,2,IF(TableAopCalendar[[#This Row],[Day]]&lt;22,3,IF(TableAopCalendar[[#This Row],[Day]]&lt;29,4,IF(TableAopCalendar[[#This Row],[Day]]&lt;32,5)))))</f>
        <v>2</v>
      </c>
      <c r="G468" s="4" t="str">
        <f t="shared" si="22"/>
        <v>Week 2</v>
      </c>
      <c r="H468" s="7" t="str">
        <f t="shared" si="23"/>
        <v>July 23 Week 2</v>
      </c>
      <c r="I468" s="4" t="str">
        <f>CONCATENATE(UPPER(TableAopCalendar[[#This Row],[Month]])," ",TableAopCalendar[[#This Row],[Year]])</f>
        <v>JULY 23</v>
      </c>
      <c r="J468" s="7" t="s">
        <v>274</v>
      </c>
      <c r="K468" s="7" t="str">
        <f>CONCATENATE(TableAopCalendar[[#This Row],[Month for Plan]]," ",TableAopCalendar[[#This Row],[Plan]])</f>
        <v>JULY 23 PLANNED</v>
      </c>
    </row>
    <row r="469" spans="1:11" x14ac:dyDescent="0.3">
      <c r="A469" s="4">
        <f t="shared" si="21"/>
        <v>5</v>
      </c>
      <c r="B469" s="5">
        <v>45119</v>
      </c>
      <c r="C469" s="6" t="s">
        <v>267</v>
      </c>
      <c r="D469" s="6">
        <v>23</v>
      </c>
      <c r="E469" s="4">
        <f>DAY(TableAopCalendar[[#This Row],[Date]])</f>
        <v>12</v>
      </c>
      <c r="F469" s="4">
        <f>IF(TableAopCalendar[[#This Row],[Day]]&lt;8,1,IF(TableAopCalendar[[#This Row],[Day]]&lt;15,2,IF(TableAopCalendar[[#This Row],[Day]]&lt;22,3,IF(TableAopCalendar[[#This Row],[Day]]&lt;29,4,IF(TableAopCalendar[[#This Row],[Day]]&lt;32,5)))))</f>
        <v>2</v>
      </c>
      <c r="G469" s="4" t="str">
        <f t="shared" si="22"/>
        <v>Week 2</v>
      </c>
      <c r="H469" s="7" t="str">
        <f t="shared" si="23"/>
        <v>July 23 Week 2</v>
      </c>
      <c r="I469" s="4" t="str">
        <f>CONCATENATE(UPPER(TableAopCalendar[[#This Row],[Month]])," ",TableAopCalendar[[#This Row],[Year]])</f>
        <v>JULY 23</v>
      </c>
      <c r="J469" s="7" t="s">
        <v>274</v>
      </c>
      <c r="K469" s="7" t="str">
        <f>CONCATENATE(TableAopCalendar[[#This Row],[Month for Plan]]," ",TableAopCalendar[[#This Row],[Plan]])</f>
        <v>JULY 23 PLANNED</v>
      </c>
    </row>
    <row r="470" spans="1:11" x14ac:dyDescent="0.3">
      <c r="A470" s="4">
        <f t="shared" si="21"/>
        <v>6</v>
      </c>
      <c r="B470" s="5">
        <v>45120</v>
      </c>
      <c r="C470" s="6" t="s">
        <v>267</v>
      </c>
      <c r="D470" s="6">
        <v>23</v>
      </c>
      <c r="E470" s="4">
        <f>DAY(TableAopCalendar[[#This Row],[Date]])</f>
        <v>13</v>
      </c>
      <c r="F470" s="4">
        <f>IF(TableAopCalendar[[#This Row],[Day]]&lt;8,1,IF(TableAopCalendar[[#This Row],[Day]]&lt;15,2,IF(TableAopCalendar[[#This Row],[Day]]&lt;22,3,IF(TableAopCalendar[[#This Row],[Day]]&lt;29,4,IF(TableAopCalendar[[#This Row],[Day]]&lt;32,5)))))</f>
        <v>2</v>
      </c>
      <c r="G470" s="4" t="str">
        <f t="shared" si="22"/>
        <v>Week 2</v>
      </c>
      <c r="H470" s="7" t="str">
        <f t="shared" si="23"/>
        <v>July 23 Week 2</v>
      </c>
      <c r="I470" s="4" t="str">
        <f>CONCATENATE(UPPER(TableAopCalendar[[#This Row],[Month]])," ",TableAopCalendar[[#This Row],[Year]])</f>
        <v>JULY 23</v>
      </c>
      <c r="J470" s="7" t="s">
        <v>274</v>
      </c>
      <c r="K470" s="7" t="str">
        <f>CONCATENATE(TableAopCalendar[[#This Row],[Month for Plan]]," ",TableAopCalendar[[#This Row],[Plan]])</f>
        <v>JULY 23 PLANNED</v>
      </c>
    </row>
    <row r="471" spans="1:11" x14ac:dyDescent="0.3">
      <c r="A471" s="4">
        <f t="shared" si="21"/>
        <v>7</v>
      </c>
      <c r="B471" s="5">
        <v>45121</v>
      </c>
      <c r="C471" s="6" t="s">
        <v>267</v>
      </c>
      <c r="D471" s="6">
        <v>23</v>
      </c>
      <c r="E471" s="4">
        <f>DAY(TableAopCalendar[[#This Row],[Date]])</f>
        <v>14</v>
      </c>
      <c r="F471" s="4">
        <f>IF(TableAopCalendar[[#This Row],[Day]]&lt;8,1,IF(TableAopCalendar[[#This Row],[Day]]&lt;15,2,IF(TableAopCalendar[[#This Row],[Day]]&lt;22,3,IF(TableAopCalendar[[#This Row],[Day]]&lt;29,4,IF(TableAopCalendar[[#This Row],[Day]]&lt;32,5)))))</f>
        <v>2</v>
      </c>
      <c r="G471" s="4" t="str">
        <f t="shared" si="22"/>
        <v>Week 2</v>
      </c>
      <c r="H471" s="7" t="str">
        <f t="shared" si="23"/>
        <v>July 23 Week 2</v>
      </c>
      <c r="I471" s="4" t="str">
        <f>CONCATENATE(UPPER(TableAopCalendar[[#This Row],[Month]])," ",TableAopCalendar[[#This Row],[Year]])</f>
        <v>JULY 23</v>
      </c>
      <c r="J471" s="7" t="s">
        <v>274</v>
      </c>
      <c r="K471" s="7" t="str">
        <f>CONCATENATE(TableAopCalendar[[#This Row],[Month for Plan]]," ",TableAopCalendar[[#This Row],[Plan]])</f>
        <v>JULY 23 PLANNED</v>
      </c>
    </row>
    <row r="472" spans="1:11" x14ac:dyDescent="0.3">
      <c r="A472" s="4">
        <f t="shared" si="21"/>
        <v>1</v>
      </c>
      <c r="B472" s="5">
        <v>45122</v>
      </c>
      <c r="C472" s="6" t="s">
        <v>267</v>
      </c>
      <c r="D472" s="6">
        <v>23</v>
      </c>
      <c r="E472" s="4">
        <f>DAY(TableAopCalendar[[#This Row],[Date]])</f>
        <v>15</v>
      </c>
      <c r="F472" s="4">
        <f>IF(TableAopCalendar[[#This Row],[Day]]&lt;8,1,IF(TableAopCalendar[[#This Row],[Day]]&lt;15,2,IF(TableAopCalendar[[#This Row],[Day]]&lt;22,3,IF(TableAopCalendar[[#This Row],[Day]]&lt;29,4,IF(TableAopCalendar[[#This Row],[Day]]&lt;32,5)))))</f>
        <v>3</v>
      </c>
      <c r="G472" s="4" t="str">
        <f t="shared" si="22"/>
        <v>Week 3</v>
      </c>
      <c r="H472" s="7" t="str">
        <f t="shared" si="23"/>
        <v>July 23 Week 3</v>
      </c>
      <c r="I472" s="4" t="str">
        <f>CONCATENATE(UPPER(TableAopCalendar[[#This Row],[Month]])," ",TableAopCalendar[[#This Row],[Year]])</f>
        <v>JULY 23</v>
      </c>
      <c r="J472" s="7" t="s">
        <v>274</v>
      </c>
      <c r="K472" s="7" t="str">
        <f>CONCATENATE(TableAopCalendar[[#This Row],[Month for Plan]]," ",TableAopCalendar[[#This Row],[Plan]])</f>
        <v>JULY 23 PLANNED</v>
      </c>
    </row>
    <row r="473" spans="1:11" x14ac:dyDescent="0.3">
      <c r="A473" s="4">
        <f t="shared" si="21"/>
        <v>2</v>
      </c>
      <c r="B473" s="5">
        <v>45123</v>
      </c>
      <c r="C473" s="6" t="s">
        <v>267</v>
      </c>
      <c r="D473" s="6">
        <v>23</v>
      </c>
      <c r="E473" s="4">
        <f>DAY(TableAopCalendar[[#This Row],[Date]])</f>
        <v>16</v>
      </c>
      <c r="F473" s="4">
        <f>IF(TableAopCalendar[[#This Row],[Day]]&lt;8,1,IF(TableAopCalendar[[#This Row],[Day]]&lt;15,2,IF(TableAopCalendar[[#This Row],[Day]]&lt;22,3,IF(TableAopCalendar[[#This Row],[Day]]&lt;29,4,IF(TableAopCalendar[[#This Row],[Day]]&lt;32,5)))))</f>
        <v>3</v>
      </c>
      <c r="G473" s="4" t="str">
        <f t="shared" si="22"/>
        <v>Week 3</v>
      </c>
      <c r="H473" s="7" t="str">
        <f t="shared" si="23"/>
        <v>July 23 Week 3</v>
      </c>
      <c r="I473" s="4" t="str">
        <f>CONCATENATE(UPPER(TableAopCalendar[[#This Row],[Month]])," ",TableAopCalendar[[#This Row],[Year]])</f>
        <v>JULY 23</v>
      </c>
      <c r="J473" s="7" t="s">
        <v>274</v>
      </c>
      <c r="K473" s="7" t="str">
        <f>CONCATENATE(TableAopCalendar[[#This Row],[Month for Plan]]," ",TableAopCalendar[[#This Row],[Plan]])</f>
        <v>JULY 23 PLANNED</v>
      </c>
    </row>
    <row r="474" spans="1:11" x14ac:dyDescent="0.3">
      <c r="A474" s="4">
        <f t="shared" si="21"/>
        <v>3</v>
      </c>
      <c r="B474" s="5">
        <v>45124</v>
      </c>
      <c r="C474" s="6" t="s">
        <v>267</v>
      </c>
      <c r="D474" s="6">
        <v>23</v>
      </c>
      <c r="E474" s="4">
        <f>DAY(TableAopCalendar[[#This Row],[Date]])</f>
        <v>17</v>
      </c>
      <c r="F474" s="4">
        <f>IF(TableAopCalendar[[#This Row],[Day]]&lt;8,1,IF(TableAopCalendar[[#This Row],[Day]]&lt;15,2,IF(TableAopCalendar[[#This Row],[Day]]&lt;22,3,IF(TableAopCalendar[[#This Row],[Day]]&lt;29,4,IF(TableAopCalendar[[#This Row],[Day]]&lt;32,5)))))</f>
        <v>3</v>
      </c>
      <c r="G474" s="4" t="str">
        <f t="shared" si="22"/>
        <v>Week 3</v>
      </c>
      <c r="H474" s="7" t="str">
        <f t="shared" si="23"/>
        <v>July 23 Week 3</v>
      </c>
      <c r="I474" s="4" t="str">
        <f>CONCATENATE(UPPER(TableAopCalendar[[#This Row],[Month]])," ",TableAopCalendar[[#This Row],[Year]])</f>
        <v>JULY 23</v>
      </c>
      <c r="J474" s="7" t="s">
        <v>274</v>
      </c>
      <c r="K474" s="7" t="str">
        <f>CONCATENATE(TableAopCalendar[[#This Row],[Month for Plan]]," ",TableAopCalendar[[#This Row],[Plan]])</f>
        <v>JULY 23 PLANNED</v>
      </c>
    </row>
    <row r="475" spans="1:11" x14ac:dyDescent="0.3">
      <c r="A475" s="4">
        <f t="shared" si="21"/>
        <v>4</v>
      </c>
      <c r="B475" s="5">
        <v>45125</v>
      </c>
      <c r="C475" s="6" t="s">
        <v>267</v>
      </c>
      <c r="D475" s="6">
        <v>23</v>
      </c>
      <c r="E475" s="4">
        <f>DAY(TableAopCalendar[[#This Row],[Date]])</f>
        <v>18</v>
      </c>
      <c r="F475" s="4">
        <f>IF(TableAopCalendar[[#This Row],[Day]]&lt;8,1,IF(TableAopCalendar[[#This Row],[Day]]&lt;15,2,IF(TableAopCalendar[[#This Row],[Day]]&lt;22,3,IF(TableAopCalendar[[#This Row],[Day]]&lt;29,4,IF(TableAopCalendar[[#This Row],[Day]]&lt;32,5)))))</f>
        <v>3</v>
      </c>
      <c r="G475" s="4" t="str">
        <f t="shared" si="22"/>
        <v>Week 3</v>
      </c>
      <c r="H475" s="7" t="str">
        <f t="shared" si="23"/>
        <v>July 23 Week 3</v>
      </c>
      <c r="I475" s="4" t="str">
        <f>CONCATENATE(UPPER(TableAopCalendar[[#This Row],[Month]])," ",TableAopCalendar[[#This Row],[Year]])</f>
        <v>JULY 23</v>
      </c>
      <c r="J475" s="7" t="s">
        <v>274</v>
      </c>
      <c r="K475" s="7" t="str">
        <f>CONCATENATE(TableAopCalendar[[#This Row],[Month for Plan]]," ",TableAopCalendar[[#This Row],[Plan]])</f>
        <v>JULY 23 PLANNED</v>
      </c>
    </row>
    <row r="476" spans="1:11" x14ac:dyDescent="0.3">
      <c r="A476" s="4">
        <f t="shared" si="21"/>
        <v>5</v>
      </c>
      <c r="B476" s="5">
        <v>45126</v>
      </c>
      <c r="C476" s="6" t="s">
        <v>267</v>
      </c>
      <c r="D476" s="6">
        <v>23</v>
      </c>
      <c r="E476" s="4">
        <f>DAY(TableAopCalendar[[#This Row],[Date]])</f>
        <v>19</v>
      </c>
      <c r="F476" s="4">
        <f>IF(TableAopCalendar[[#This Row],[Day]]&lt;8,1,IF(TableAopCalendar[[#This Row],[Day]]&lt;15,2,IF(TableAopCalendar[[#This Row],[Day]]&lt;22,3,IF(TableAopCalendar[[#This Row],[Day]]&lt;29,4,IF(TableAopCalendar[[#This Row],[Day]]&lt;32,5)))))</f>
        <v>3</v>
      </c>
      <c r="G476" s="4" t="str">
        <f t="shared" si="22"/>
        <v>Week 3</v>
      </c>
      <c r="H476" s="7" t="str">
        <f t="shared" si="23"/>
        <v>July 23 Week 3</v>
      </c>
      <c r="I476" s="4" t="str">
        <f>CONCATENATE(UPPER(TableAopCalendar[[#This Row],[Month]])," ",TableAopCalendar[[#This Row],[Year]])</f>
        <v>JULY 23</v>
      </c>
      <c r="J476" s="7" t="s">
        <v>274</v>
      </c>
      <c r="K476" s="7" t="str">
        <f>CONCATENATE(TableAopCalendar[[#This Row],[Month for Plan]]," ",TableAopCalendar[[#This Row],[Plan]])</f>
        <v>JULY 23 PLANNED</v>
      </c>
    </row>
    <row r="477" spans="1:11" x14ac:dyDescent="0.3">
      <c r="A477" s="4">
        <f t="shared" si="21"/>
        <v>6</v>
      </c>
      <c r="B477" s="5">
        <v>45127</v>
      </c>
      <c r="C477" s="6" t="s">
        <v>267</v>
      </c>
      <c r="D477" s="6">
        <v>23</v>
      </c>
      <c r="E477" s="4">
        <f>DAY(TableAopCalendar[[#This Row],[Date]])</f>
        <v>20</v>
      </c>
      <c r="F477" s="4">
        <f>IF(TableAopCalendar[[#This Row],[Day]]&lt;8,1,IF(TableAopCalendar[[#This Row],[Day]]&lt;15,2,IF(TableAopCalendar[[#This Row],[Day]]&lt;22,3,IF(TableAopCalendar[[#This Row],[Day]]&lt;29,4,IF(TableAopCalendar[[#This Row],[Day]]&lt;32,5)))))</f>
        <v>3</v>
      </c>
      <c r="G477" s="4" t="str">
        <f t="shared" si="22"/>
        <v>Week 3</v>
      </c>
      <c r="H477" s="7" t="str">
        <f t="shared" si="23"/>
        <v>July 23 Week 3</v>
      </c>
      <c r="I477" s="4" t="str">
        <f>CONCATENATE(UPPER(TableAopCalendar[[#This Row],[Month]])," ",TableAopCalendar[[#This Row],[Year]])</f>
        <v>JULY 23</v>
      </c>
      <c r="J477" s="7" t="s">
        <v>274</v>
      </c>
      <c r="K477" s="7" t="str">
        <f>CONCATENATE(TableAopCalendar[[#This Row],[Month for Plan]]," ",TableAopCalendar[[#This Row],[Plan]])</f>
        <v>JULY 23 PLANNED</v>
      </c>
    </row>
    <row r="478" spans="1:11" x14ac:dyDescent="0.3">
      <c r="A478" s="4">
        <f t="shared" si="21"/>
        <v>7</v>
      </c>
      <c r="B478" s="5">
        <v>45128</v>
      </c>
      <c r="C478" s="6" t="s">
        <v>267</v>
      </c>
      <c r="D478" s="6">
        <v>23</v>
      </c>
      <c r="E478" s="4">
        <f>DAY(TableAopCalendar[[#This Row],[Date]])</f>
        <v>21</v>
      </c>
      <c r="F478" s="4">
        <f>IF(TableAopCalendar[[#This Row],[Day]]&lt;8,1,IF(TableAopCalendar[[#This Row],[Day]]&lt;15,2,IF(TableAopCalendar[[#This Row],[Day]]&lt;22,3,IF(TableAopCalendar[[#This Row],[Day]]&lt;29,4,IF(TableAopCalendar[[#This Row],[Day]]&lt;32,5)))))</f>
        <v>3</v>
      </c>
      <c r="G478" s="4" t="str">
        <f t="shared" si="22"/>
        <v>Week 3</v>
      </c>
      <c r="H478" s="7" t="str">
        <f t="shared" si="23"/>
        <v>July 23 Week 3</v>
      </c>
      <c r="I478" s="4" t="str">
        <f>CONCATENATE(UPPER(TableAopCalendar[[#This Row],[Month]])," ",TableAopCalendar[[#This Row],[Year]])</f>
        <v>JULY 23</v>
      </c>
      <c r="J478" s="7" t="s">
        <v>274</v>
      </c>
      <c r="K478" s="7" t="str">
        <f>CONCATENATE(TableAopCalendar[[#This Row],[Month for Plan]]," ",TableAopCalendar[[#This Row],[Plan]])</f>
        <v>JULY 23 PLANNED</v>
      </c>
    </row>
    <row r="479" spans="1:11" x14ac:dyDescent="0.3">
      <c r="A479" s="4">
        <f t="shared" si="21"/>
        <v>1</v>
      </c>
      <c r="B479" s="5">
        <v>45129</v>
      </c>
      <c r="C479" s="6" t="s">
        <v>267</v>
      </c>
      <c r="D479" s="6">
        <v>23</v>
      </c>
      <c r="E479" s="4">
        <f>DAY(TableAopCalendar[[#This Row],[Date]])</f>
        <v>22</v>
      </c>
      <c r="F479" s="4">
        <f>IF(TableAopCalendar[[#This Row],[Day]]&lt;8,1,IF(TableAopCalendar[[#This Row],[Day]]&lt;15,2,IF(TableAopCalendar[[#This Row],[Day]]&lt;22,3,IF(TableAopCalendar[[#This Row],[Day]]&lt;29,4,IF(TableAopCalendar[[#This Row],[Day]]&lt;32,5)))))</f>
        <v>4</v>
      </c>
      <c r="G479" s="4" t="str">
        <f t="shared" si="22"/>
        <v>Week 4</v>
      </c>
      <c r="H479" s="7" t="str">
        <f t="shared" si="23"/>
        <v>July 23 Week 4</v>
      </c>
      <c r="I479" s="4" t="str">
        <f>CONCATENATE(UPPER(TableAopCalendar[[#This Row],[Month]])," ",TableAopCalendar[[#This Row],[Year]])</f>
        <v>JULY 23</v>
      </c>
      <c r="J479" s="7" t="s">
        <v>274</v>
      </c>
      <c r="K479" s="7" t="str">
        <f>CONCATENATE(TableAopCalendar[[#This Row],[Month for Plan]]," ",TableAopCalendar[[#This Row],[Plan]])</f>
        <v>JULY 23 PLANNED</v>
      </c>
    </row>
    <row r="480" spans="1:11" x14ac:dyDescent="0.3">
      <c r="A480" s="4">
        <f t="shared" si="21"/>
        <v>2</v>
      </c>
      <c r="B480" s="5">
        <v>45130</v>
      </c>
      <c r="C480" s="6" t="s">
        <v>267</v>
      </c>
      <c r="D480" s="6">
        <v>23</v>
      </c>
      <c r="E480" s="4">
        <f>DAY(TableAopCalendar[[#This Row],[Date]])</f>
        <v>23</v>
      </c>
      <c r="F480" s="4">
        <f>IF(TableAopCalendar[[#This Row],[Day]]&lt;8,1,IF(TableAopCalendar[[#This Row],[Day]]&lt;15,2,IF(TableAopCalendar[[#This Row],[Day]]&lt;22,3,IF(TableAopCalendar[[#This Row],[Day]]&lt;29,4,IF(TableAopCalendar[[#This Row],[Day]]&lt;32,5)))))</f>
        <v>4</v>
      </c>
      <c r="G480" s="4" t="str">
        <f t="shared" si="22"/>
        <v>Week 4</v>
      </c>
      <c r="H480" s="7" t="str">
        <f t="shared" si="23"/>
        <v>July 23 Week 4</v>
      </c>
      <c r="I480" s="4" t="str">
        <f>CONCATENATE(UPPER(TableAopCalendar[[#This Row],[Month]])," ",TableAopCalendar[[#This Row],[Year]])</f>
        <v>JULY 23</v>
      </c>
      <c r="J480" s="7" t="s">
        <v>274</v>
      </c>
      <c r="K480" s="7" t="str">
        <f>CONCATENATE(TableAopCalendar[[#This Row],[Month for Plan]]," ",TableAopCalendar[[#This Row],[Plan]])</f>
        <v>JULY 23 PLANNED</v>
      </c>
    </row>
    <row r="481" spans="1:11" x14ac:dyDescent="0.3">
      <c r="A481" s="4">
        <f t="shared" si="21"/>
        <v>3</v>
      </c>
      <c r="B481" s="5">
        <v>45131</v>
      </c>
      <c r="C481" s="6" t="s">
        <v>267</v>
      </c>
      <c r="D481" s="6">
        <v>23</v>
      </c>
      <c r="E481" s="4">
        <f>DAY(TableAopCalendar[[#This Row],[Date]])</f>
        <v>24</v>
      </c>
      <c r="F481" s="4">
        <f>IF(TableAopCalendar[[#This Row],[Day]]&lt;8,1,IF(TableAopCalendar[[#This Row],[Day]]&lt;15,2,IF(TableAopCalendar[[#This Row],[Day]]&lt;22,3,IF(TableAopCalendar[[#This Row],[Day]]&lt;29,4,IF(TableAopCalendar[[#This Row],[Day]]&lt;32,5)))))</f>
        <v>4</v>
      </c>
      <c r="G481" s="4" t="str">
        <f t="shared" si="22"/>
        <v>Week 4</v>
      </c>
      <c r="H481" s="7" t="str">
        <f t="shared" si="23"/>
        <v>July 23 Week 4</v>
      </c>
      <c r="I481" s="4" t="str">
        <f>CONCATENATE(UPPER(TableAopCalendar[[#This Row],[Month]])," ",TableAopCalendar[[#This Row],[Year]])</f>
        <v>JULY 23</v>
      </c>
      <c r="J481" s="7" t="s">
        <v>274</v>
      </c>
      <c r="K481" s="7" t="str">
        <f>CONCATENATE(TableAopCalendar[[#This Row],[Month for Plan]]," ",TableAopCalendar[[#This Row],[Plan]])</f>
        <v>JULY 23 PLANNED</v>
      </c>
    </row>
    <row r="482" spans="1:11" x14ac:dyDescent="0.3">
      <c r="A482" s="4">
        <f t="shared" si="21"/>
        <v>4</v>
      </c>
      <c r="B482" s="5">
        <v>45132</v>
      </c>
      <c r="C482" s="6" t="s">
        <v>267</v>
      </c>
      <c r="D482" s="6">
        <v>23</v>
      </c>
      <c r="E482" s="4">
        <f>DAY(TableAopCalendar[[#This Row],[Date]])</f>
        <v>25</v>
      </c>
      <c r="F482" s="4">
        <f>IF(TableAopCalendar[[#This Row],[Day]]&lt;8,1,IF(TableAopCalendar[[#This Row],[Day]]&lt;15,2,IF(TableAopCalendar[[#This Row],[Day]]&lt;22,3,IF(TableAopCalendar[[#This Row],[Day]]&lt;29,4,IF(TableAopCalendar[[#This Row],[Day]]&lt;32,5)))))</f>
        <v>4</v>
      </c>
      <c r="G482" s="4" t="str">
        <f t="shared" si="22"/>
        <v>Week 4</v>
      </c>
      <c r="H482" s="7" t="str">
        <f t="shared" si="23"/>
        <v>July 23 Week 4</v>
      </c>
      <c r="I482" s="4" t="str">
        <f>CONCATENATE(UPPER(TableAopCalendar[[#This Row],[Month]])," ",TableAopCalendar[[#This Row],[Year]])</f>
        <v>JULY 23</v>
      </c>
      <c r="J482" s="7" t="s">
        <v>274</v>
      </c>
      <c r="K482" s="7" t="str">
        <f>CONCATENATE(TableAopCalendar[[#This Row],[Month for Plan]]," ",TableAopCalendar[[#This Row],[Plan]])</f>
        <v>JULY 23 PLANNED</v>
      </c>
    </row>
    <row r="483" spans="1:11" x14ac:dyDescent="0.3">
      <c r="A483" s="4">
        <f t="shared" si="21"/>
        <v>5</v>
      </c>
      <c r="B483" s="5">
        <v>45133</v>
      </c>
      <c r="C483" s="6" t="s">
        <v>267</v>
      </c>
      <c r="D483" s="6">
        <v>23</v>
      </c>
      <c r="E483" s="4">
        <f>DAY(TableAopCalendar[[#This Row],[Date]])</f>
        <v>26</v>
      </c>
      <c r="F483" s="4">
        <f>IF(TableAopCalendar[[#This Row],[Day]]&lt;8,1,IF(TableAopCalendar[[#This Row],[Day]]&lt;15,2,IF(TableAopCalendar[[#This Row],[Day]]&lt;22,3,IF(TableAopCalendar[[#This Row],[Day]]&lt;29,4,IF(TableAopCalendar[[#This Row],[Day]]&lt;32,5)))))</f>
        <v>4</v>
      </c>
      <c r="G483" s="4" t="str">
        <f t="shared" si="22"/>
        <v>Week 4</v>
      </c>
      <c r="H483" s="7" t="str">
        <f t="shared" si="23"/>
        <v>July 23 Week 4</v>
      </c>
      <c r="I483" s="4" t="str">
        <f>CONCATENATE(UPPER(TableAopCalendar[[#This Row],[Month]])," ",TableAopCalendar[[#This Row],[Year]])</f>
        <v>JULY 23</v>
      </c>
      <c r="J483" s="7" t="s">
        <v>274</v>
      </c>
      <c r="K483" s="7" t="str">
        <f>CONCATENATE(TableAopCalendar[[#This Row],[Month for Plan]]," ",TableAopCalendar[[#This Row],[Plan]])</f>
        <v>JULY 23 PLANNED</v>
      </c>
    </row>
    <row r="484" spans="1:11" x14ac:dyDescent="0.3">
      <c r="A484" s="4">
        <f t="shared" si="21"/>
        <v>6</v>
      </c>
      <c r="B484" s="5">
        <v>45134</v>
      </c>
      <c r="C484" s="6" t="s">
        <v>267</v>
      </c>
      <c r="D484" s="6">
        <v>23</v>
      </c>
      <c r="E484" s="4">
        <f>DAY(TableAopCalendar[[#This Row],[Date]])</f>
        <v>27</v>
      </c>
      <c r="F484" s="4">
        <f>IF(TableAopCalendar[[#This Row],[Day]]&lt;8,1,IF(TableAopCalendar[[#This Row],[Day]]&lt;15,2,IF(TableAopCalendar[[#This Row],[Day]]&lt;22,3,IF(TableAopCalendar[[#This Row],[Day]]&lt;29,4,IF(TableAopCalendar[[#This Row],[Day]]&lt;32,5)))))</f>
        <v>4</v>
      </c>
      <c r="G484" s="4" t="str">
        <f t="shared" si="22"/>
        <v>Week 4</v>
      </c>
      <c r="H484" s="7" t="str">
        <f t="shared" si="23"/>
        <v>July 23 Week 4</v>
      </c>
      <c r="I484" s="4" t="str">
        <f>CONCATENATE(UPPER(TableAopCalendar[[#This Row],[Month]])," ",TableAopCalendar[[#This Row],[Year]])</f>
        <v>JULY 23</v>
      </c>
      <c r="J484" s="7" t="s">
        <v>274</v>
      </c>
      <c r="K484" s="7" t="str">
        <f>CONCATENATE(TableAopCalendar[[#This Row],[Month for Plan]]," ",TableAopCalendar[[#This Row],[Plan]])</f>
        <v>JULY 23 PLANNED</v>
      </c>
    </row>
    <row r="485" spans="1:11" x14ac:dyDescent="0.3">
      <c r="A485" s="4">
        <f t="shared" si="21"/>
        <v>7</v>
      </c>
      <c r="B485" s="5">
        <v>45135</v>
      </c>
      <c r="C485" s="6" t="s">
        <v>267</v>
      </c>
      <c r="D485" s="6">
        <v>23</v>
      </c>
      <c r="E485" s="4">
        <f>DAY(TableAopCalendar[[#This Row],[Date]])</f>
        <v>28</v>
      </c>
      <c r="F485" s="4">
        <f>IF(TableAopCalendar[[#This Row],[Day]]&lt;8,1,IF(TableAopCalendar[[#This Row],[Day]]&lt;15,2,IF(TableAopCalendar[[#This Row],[Day]]&lt;22,3,IF(TableAopCalendar[[#This Row],[Day]]&lt;29,4,IF(TableAopCalendar[[#This Row],[Day]]&lt;32,5)))))</f>
        <v>4</v>
      </c>
      <c r="G485" s="4" t="str">
        <f t="shared" si="22"/>
        <v>Week 4</v>
      </c>
      <c r="H485" s="7" t="str">
        <f t="shared" si="23"/>
        <v>July 23 Week 4</v>
      </c>
      <c r="I485" s="4" t="str">
        <f>CONCATENATE(UPPER(TableAopCalendar[[#This Row],[Month]])," ",TableAopCalendar[[#This Row],[Year]])</f>
        <v>JULY 23</v>
      </c>
      <c r="J485" s="7" t="s">
        <v>274</v>
      </c>
      <c r="K485" s="7" t="str">
        <f>CONCATENATE(TableAopCalendar[[#This Row],[Month for Plan]]," ",TableAopCalendar[[#This Row],[Plan]])</f>
        <v>JULY 23 PLANNED</v>
      </c>
    </row>
    <row r="486" spans="1:11" x14ac:dyDescent="0.3">
      <c r="A486" s="4">
        <f t="shared" si="21"/>
        <v>1</v>
      </c>
      <c r="B486" s="5">
        <v>45136</v>
      </c>
      <c r="C486" s="6" t="s">
        <v>267</v>
      </c>
      <c r="D486" s="6">
        <v>23</v>
      </c>
      <c r="E486" s="4">
        <f>DAY(TableAopCalendar[[#This Row],[Date]])</f>
        <v>29</v>
      </c>
      <c r="F486" s="4">
        <f>IF(TableAopCalendar[[#This Row],[Day]]&lt;8,1,IF(TableAopCalendar[[#This Row],[Day]]&lt;15,2,IF(TableAopCalendar[[#This Row],[Day]]&lt;22,3,IF(TableAopCalendar[[#This Row],[Day]]&lt;29,4,IF(TableAopCalendar[[#This Row],[Day]]&lt;32,5)))))</f>
        <v>5</v>
      </c>
      <c r="G486" s="4" t="str">
        <f t="shared" si="22"/>
        <v>Week 5</v>
      </c>
      <c r="H486" s="7" t="str">
        <f t="shared" si="23"/>
        <v>July 23 Week 5</v>
      </c>
      <c r="I486" s="4" t="str">
        <f>CONCATENATE(UPPER(TableAopCalendar[[#This Row],[Month]])," ",TableAopCalendar[[#This Row],[Year]])</f>
        <v>JULY 23</v>
      </c>
      <c r="J486" s="7" t="s">
        <v>274</v>
      </c>
      <c r="K486" s="7" t="str">
        <f>CONCATENATE(TableAopCalendar[[#This Row],[Month for Plan]]," ",TableAopCalendar[[#This Row],[Plan]])</f>
        <v>JULY 23 PLANNED</v>
      </c>
    </row>
    <row r="487" spans="1:11" x14ac:dyDescent="0.3">
      <c r="A487" s="4">
        <f t="shared" si="21"/>
        <v>2</v>
      </c>
      <c r="B487" s="5">
        <v>45137</v>
      </c>
      <c r="C487" s="6" t="s">
        <v>267</v>
      </c>
      <c r="D487" s="6">
        <v>23</v>
      </c>
      <c r="E487" s="4">
        <f>DAY(TableAopCalendar[[#This Row],[Date]])</f>
        <v>30</v>
      </c>
      <c r="F487" s="4">
        <f>IF(TableAopCalendar[[#This Row],[Day]]&lt;8,1,IF(TableAopCalendar[[#This Row],[Day]]&lt;15,2,IF(TableAopCalendar[[#This Row],[Day]]&lt;22,3,IF(TableAopCalendar[[#This Row],[Day]]&lt;29,4,IF(TableAopCalendar[[#This Row],[Day]]&lt;32,5)))))</f>
        <v>5</v>
      </c>
      <c r="G487" s="4" t="str">
        <f t="shared" si="22"/>
        <v>Week 5</v>
      </c>
      <c r="H487" s="7" t="str">
        <f t="shared" si="23"/>
        <v>July 23 Week 5</v>
      </c>
      <c r="I487" s="4" t="str">
        <f>CONCATENATE(UPPER(TableAopCalendar[[#This Row],[Month]])," ",TableAopCalendar[[#This Row],[Year]])</f>
        <v>JULY 23</v>
      </c>
      <c r="J487" s="7" t="s">
        <v>274</v>
      </c>
      <c r="K487" s="7" t="str">
        <f>CONCATENATE(TableAopCalendar[[#This Row],[Month for Plan]]," ",TableAopCalendar[[#This Row],[Plan]])</f>
        <v>JULY 23 PLANNED</v>
      </c>
    </row>
    <row r="488" spans="1:11" x14ac:dyDescent="0.3">
      <c r="A488" s="4">
        <f t="shared" si="21"/>
        <v>3</v>
      </c>
      <c r="B488" s="5">
        <v>45138</v>
      </c>
      <c r="C488" s="6" t="s">
        <v>267</v>
      </c>
      <c r="D488" s="6">
        <v>23</v>
      </c>
      <c r="E488" s="4">
        <f>DAY(TableAopCalendar[[#This Row],[Date]])</f>
        <v>31</v>
      </c>
      <c r="F488" s="4">
        <f>IF(TableAopCalendar[[#This Row],[Day]]&lt;8,1,IF(TableAopCalendar[[#This Row],[Day]]&lt;15,2,IF(TableAopCalendar[[#This Row],[Day]]&lt;22,3,IF(TableAopCalendar[[#This Row],[Day]]&lt;29,4,IF(TableAopCalendar[[#This Row],[Day]]&lt;32,5)))))</f>
        <v>5</v>
      </c>
      <c r="G488" s="4" t="str">
        <f t="shared" si="22"/>
        <v>Week 5</v>
      </c>
      <c r="H488" s="7" t="str">
        <f t="shared" si="23"/>
        <v>July 23 Week 5</v>
      </c>
      <c r="I488" s="4" t="str">
        <f>CONCATENATE(UPPER(TableAopCalendar[[#This Row],[Month]])," ",TableAopCalendar[[#This Row],[Year]])</f>
        <v>JULY 23</v>
      </c>
      <c r="J488" s="7" t="s">
        <v>274</v>
      </c>
      <c r="K488" s="7" t="str">
        <f>CONCATENATE(TableAopCalendar[[#This Row],[Month for Plan]]," ",TableAopCalendar[[#This Row],[Plan]])</f>
        <v>JULY 23 PLANNED</v>
      </c>
    </row>
    <row r="489" spans="1:11" x14ac:dyDescent="0.3">
      <c r="A489" s="4">
        <f t="shared" si="21"/>
        <v>1</v>
      </c>
      <c r="B489" s="5">
        <v>45139</v>
      </c>
      <c r="C489" s="6" t="s">
        <v>268</v>
      </c>
      <c r="D489" s="6">
        <v>23</v>
      </c>
      <c r="E489" s="4">
        <f>DAY(TableAopCalendar[[#This Row],[Date]])</f>
        <v>1</v>
      </c>
      <c r="F489" s="4">
        <f>IF(TableAopCalendar[[#This Row],[Day]]&lt;8,1,IF(TableAopCalendar[[#This Row],[Day]]&lt;15,2,IF(TableAopCalendar[[#This Row],[Day]]&lt;22,3,IF(TableAopCalendar[[#This Row],[Day]]&lt;29,4,IF(TableAopCalendar[[#This Row],[Day]]&lt;32,5)))))</f>
        <v>1</v>
      </c>
      <c r="G489" s="4" t="str">
        <f t="shared" si="22"/>
        <v>Week 1</v>
      </c>
      <c r="H489" s="7" t="str">
        <f t="shared" si="23"/>
        <v>August 23 Week 1</v>
      </c>
      <c r="I489" s="4" t="str">
        <f>CONCATENATE(UPPER(TableAopCalendar[[#This Row],[Month]])," ",TableAopCalendar[[#This Row],[Year]])</f>
        <v>AUGUST 23</v>
      </c>
      <c r="J489" s="7" t="s">
        <v>274</v>
      </c>
      <c r="K489" s="7" t="str">
        <f>CONCATENATE(TableAopCalendar[[#This Row],[Month for Plan]]," ",TableAopCalendar[[#This Row],[Plan]])</f>
        <v>AUGUST 23 PLANNED</v>
      </c>
    </row>
    <row r="490" spans="1:11" x14ac:dyDescent="0.3">
      <c r="A490" s="4">
        <f t="shared" si="21"/>
        <v>2</v>
      </c>
      <c r="B490" s="5">
        <v>45140</v>
      </c>
      <c r="C490" s="6" t="s">
        <v>268</v>
      </c>
      <c r="D490" s="6">
        <v>23</v>
      </c>
      <c r="E490" s="4">
        <f>DAY(TableAopCalendar[[#This Row],[Date]])</f>
        <v>2</v>
      </c>
      <c r="F490" s="4">
        <f>IF(TableAopCalendar[[#This Row],[Day]]&lt;8,1,IF(TableAopCalendar[[#This Row],[Day]]&lt;15,2,IF(TableAopCalendar[[#This Row],[Day]]&lt;22,3,IF(TableAopCalendar[[#This Row],[Day]]&lt;29,4,IF(TableAopCalendar[[#This Row],[Day]]&lt;32,5)))))</f>
        <v>1</v>
      </c>
      <c r="G490" s="4" t="str">
        <f t="shared" si="22"/>
        <v>Week 1</v>
      </c>
      <c r="H490" s="7" t="str">
        <f t="shared" si="23"/>
        <v>August 23 Week 1</v>
      </c>
      <c r="I490" s="4" t="str">
        <f>CONCATENATE(UPPER(TableAopCalendar[[#This Row],[Month]])," ",TableAopCalendar[[#This Row],[Year]])</f>
        <v>AUGUST 23</v>
      </c>
      <c r="J490" s="7" t="s">
        <v>274</v>
      </c>
      <c r="K490" s="7" t="str">
        <f>CONCATENATE(TableAopCalendar[[#This Row],[Month for Plan]]," ",TableAopCalendar[[#This Row],[Plan]])</f>
        <v>AUGUST 23 PLANNED</v>
      </c>
    </row>
    <row r="491" spans="1:11" x14ac:dyDescent="0.3">
      <c r="A491" s="4">
        <f t="shared" si="21"/>
        <v>3</v>
      </c>
      <c r="B491" s="5">
        <v>45141</v>
      </c>
      <c r="C491" s="6" t="s">
        <v>268</v>
      </c>
      <c r="D491" s="6">
        <v>23</v>
      </c>
      <c r="E491" s="4">
        <f>DAY(TableAopCalendar[[#This Row],[Date]])</f>
        <v>3</v>
      </c>
      <c r="F491" s="4">
        <f>IF(TableAopCalendar[[#This Row],[Day]]&lt;8,1,IF(TableAopCalendar[[#This Row],[Day]]&lt;15,2,IF(TableAopCalendar[[#This Row],[Day]]&lt;22,3,IF(TableAopCalendar[[#This Row],[Day]]&lt;29,4,IF(TableAopCalendar[[#This Row],[Day]]&lt;32,5)))))</f>
        <v>1</v>
      </c>
      <c r="G491" s="4" t="str">
        <f t="shared" si="22"/>
        <v>Week 1</v>
      </c>
      <c r="H491" s="7" t="str">
        <f t="shared" si="23"/>
        <v>August 23 Week 1</v>
      </c>
      <c r="I491" s="4" t="str">
        <f>CONCATENATE(UPPER(TableAopCalendar[[#This Row],[Month]])," ",TableAopCalendar[[#This Row],[Year]])</f>
        <v>AUGUST 23</v>
      </c>
      <c r="J491" s="7" t="s">
        <v>274</v>
      </c>
      <c r="K491" s="7" t="str">
        <f>CONCATENATE(TableAopCalendar[[#This Row],[Month for Plan]]," ",TableAopCalendar[[#This Row],[Plan]])</f>
        <v>AUGUST 23 PLANNED</v>
      </c>
    </row>
    <row r="492" spans="1:11" x14ac:dyDescent="0.3">
      <c r="A492" s="4">
        <f t="shared" si="21"/>
        <v>4</v>
      </c>
      <c r="B492" s="5">
        <v>45142</v>
      </c>
      <c r="C492" s="6" t="s">
        <v>268</v>
      </c>
      <c r="D492" s="6">
        <v>23</v>
      </c>
      <c r="E492" s="4">
        <f>DAY(TableAopCalendar[[#This Row],[Date]])</f>
        <v>4</v>
      </c>
      <c r="F492" s="4">
        <f>IF(TableAopCalendar[[#This Row],[Day]]&lt;8,1,IF(TableAopCalendar[[#This Row],[Day]]&lt;15,2,IF(TableAopCalendar[[#This Row],[Day]]&lt;22,3,IF(TableAopCalendar[[#This Row],[Day]]&lt;29,4,IF(TableAopCalendar[[#This Row],[Day]]&lt;32,5)))))</f>
        <v>1</v>
      </c>
      <c r="G492" s="4" t="str">
        <f t="shared" si="22"/>
        <v>Week 1</v>
      </c>
      <c r="H492" s="7" t="str">
        <f t="shared" si="23"/>
        <v>August 23 Week 1</v>
      </c>
      <c r="I492" s="4" t="str">
        <f>CONCATENATE(UPPER(TableAopCalendar[[#This Row],[Month]])," ",TableAopCalendar[[#This Row],[Year]])</f>
        <v>AUGUST 23</v>
      </c>
      <c r="J492" s="7" t="s">
        <v>274</v>
      </c>
      <c r="K492" s="7" t="str">
        <f>CONCATENATE(TableAopCalendar[[#This Row],[Month for Plan]]," ",TableAopCalendar[[#This Row],[Plan]])</f>
        <v>AUGUST 23 PLANNED</v>
      </c>
    </row>
    <row r="493" spans="1:11" x14ac:dyDescent="0.3">
      <c r="A493" s="4">
        <f t="shared" si="21"/>
        <v>5</v>
      </c>
      <c r="B493" s="5">
        <v>45143</v>
      </c>
      <c r="C493" s="6" t="s">
        <v>268</v>
      </c>
      <c r="D493" s="6">
        <v>23</v>
      </c>
      <c r="E493" s="4">
        <f>DAY(TableAopCalendar[[#This Row],[Date]])</f>
        <v>5</v>
      </c>
      <c r="F493" s="4">
        <f>IF(TableAopCalendar[[#This Row],[Day]]&lt;8,1,IF(TableAopCalendar[[#This Row],[Day]]&lt;15,2,IF(TableAopCalendar[[#This Row],[Day]]&lt;22,3,IF(TableAopCalendar[[#This Row],[Day]]&lt;29,4,IF(TableAopCalendar[[#This Row],[Day]]&lt;32,5)))))</f>
        <v>1</v>
      </c>
      <c r="G493" s="4" t="str">
        <f t="shared" si="22"/>
        <v>Week 1</v>
      </c>
      <c r="H493" s="7" t="str">
        <f t="shared" si="23"/>
        <v>August 23 Week 1</v>
      </c>
      <c r="I493" s="4" t="str">
        <f>CONCATENATE(UPPER(TableAopCalendar[[#This Row],[Month]])," ",TableAopCalendar[[#This Row],[Year]])</f>
        <v>AUGUST 23</v>
      </c>
      <c r="J493" s="7" t="s">
        <v>274</v>
      </c>
      <c r="K493" s="7" t="str">
        <f>CONCATENATE(TableAopCalendar[[#This Row],[Month for Plan]]," ",TableAopCalendar[[#This Row],[Plan]])</f>
        <v>AUGUST 23 PLANNED</v>
      </c>
    </row>
    <row r="494" spans="1:11" x14ac:dyDescent="0.3">
      <c r="A494" s="4">
        <f t="shared" si="21"/>
        <v>6</v>
      </c>
      <c r="B494" s="5">
        <v>45144</v>
      </c>
      <c r="C494" s="6" t="s">
        <v>268</v>
      </c>
      <c r="D494" s="6">
        <v>23</v>
      </c>
      <c r="E494" s="4">
        <f>DAY(TableAopCalendar[[#This Row],[Date]])</f>
        <v>6</v>
      </c>
      <c r="F494" s="4">
        <f>IF(TableAopCalendar[[#This Row],[Day]]&lt;8,1,IF(TableAopCalendar[[#This Row],[Day]]&lt;15,2,IF(TableAopCalendar[[#This Row],[Day]]&lt;22,3,IF(TableAopCalendar[[#This Row],[Day]]&lt;29,4,IF(TableAopCalendar[[#This Row],[Day]]&lt;32,5)))))</f>
        <v>1</v>
      </c>
      <c r="G494" s="4" t="str">
        <f t="shared" si="22"/>
        <v>Week 1</v>
      </c>
      <c r="H494" s="7" t="str">
        <f t="shared" si="23"/>
        <v>August 23 Week 1</v>
      </c>
      <c r="I494" s="4" t="str">
        <f>CONCATENATE(UPPER(TableAopCalendar[[#This Row],[Month]])," ",TableAopCalendar[[#This Row],[Year]])</f>
        <v>AUGUST 23</v>
      </c>
      <c r="J494" s="7" t="s">
        <v>274</v>
      </c>
      <c r="K494" s="7" t="str">
        <f>CONCATENATE(TableAopCalendar[[#This Row],[Month for Plan]]," ",TableAopCalendar[[#This Row],[Plan]])</f>
        <v>AUGUST 23 PLANNED</v>
      </c>
    </row>
    <row r="495" spans="1:11" x14ac:dyDescent="0.3">
      <c r="A495" s="4">
        <f t="shared" si="21"/>
        <v>7</v>
      </c>
      <c r="B495" s="5">
        <v>45145</v>
      </c>
      <c r="C495" s="6" t="s">
        <v>268</v>
      </c>
      <c r="D495" s="6">
        <v>23</v>
      </c>
      <c r="E495" s="4">
        <f>DAY(TableAopCalendar[[#This Row],[Date]])</f>
        <v>7</v>
      </c>
      <c r="F495" s="4">
        <f>IF(TableAopCalendar[[#This Row],[Day]]&lt;8,1,IF(TableAopCalendar[[#This Row],[Day]]&lt;15,2,IF(TableAopCalendar[[#This Row],[Day]]&lt;22,3,IF(TableAopCalendar[[#This Row],[Day]]&lt;29,4,IF(TableAopCalendar[[#This Row],[Day]]&lt;32,5)))))</f>
        <v>1</v>
      </c>
      <c r="G495" s="4" t="str">
        <f t="shared" si="22"/>
        <v>Week 1</v>
      </c>
      <c r="H495" s="7" t="str">
        <f t="shared" si="23"/>
        <v>August 23 Week 1</v>
      </c>
      <c r="I495" s="4" t="str">
        <f>CONCATENATE(UPPER(TableAopCalendar[[#This Row],[Month]])," ",TableAopCalendar[[#This Row],[Year]])</f>
        <v>AUGUST 23</v>
      </c>
      <c r="J495" s="7" t="s">
        <v>274</v>
      </c>
      <c r="K495" s="7" t="str">
        <f>CONCATENATE(TableAopCalendar[[#This Row],[Month for Plan]]," ",TableAopCalendar[[#This Row],[Plan]])</f>
        <v>AUGUST 23 PLANNED</v>
      </c>
    </row>
    <row r="496" spans="1:11" x14ac:dyDescent="0.3">
      <c r="A496" s="4">
        <f t="shared" si="21"/>
        <v>1</v>
      </c>
      <c r="B496" s="5">
        <v>45146</v>
      </c>
      <c r="C496" s="6" t="s">
        <v>268</v>
      </c>
      <c r="D496" s="6">
        <v>23</v>
      </c>
      <c r="E496" s="4">
        <f>DAY(TableAopCalendar[[#This Row],[Date]])</f>
        <v>8</v>
      </c>
      <c r="F496" s="4">
        <f>IF(TableAopCalendar[[#This Row],[Day]]&lt;8,1,IF(TableAopCalendar[[#This Row],[Day]]&lt;15,2,IF(TableAopCalendar[[#This Row],[Day]]&lt;22,3,IF(TableAopCalendar[[#This Row],[Day]]&lt;29,4,IF(TableAopCalendar[[#This Row],[Day]]&lt;32,5)))))</f>
        <v>2</v>
      </c>
      <c r="G496" s="4" t="str">
        <f t="shared" si="22"/>
        <v>Week 2</v>
      </c>
      <c r="H496" s="7" t="str">
        <f t="shared" si="23"/>
        <v>August 23 Week 2</v>
      </c>
      <c r="I496" s="4" t="str">
        <f>CONCATENATE(UPPER(TableAopCalendar[[#This Row],[Month]])," ",TableAopCalendar[[#This Row],[Year]])</f>
        <v>AUGUST 23</v>
      </c>
      <c r="J496" s="7" t="s">
        <v>274</v>
      </c>
      <c r="K496" s="7" t="str">
        <f>CONCATENATE(TableAopCalendar[[#This Row],[Month for Plan]]," ",TableAopCalendar[[#This Row],[Plan]])</f>
        <v>AUGUST 23 PLANNED</v>
      </c>
    </row>
    <row r="497" spans="1:11" x14ac:dyDescent="0.3">
      <c r="A497" s="4">
        <f t="shared" si="21"/>
        <v>2</v>
      </c>
      <c r="B497" s="5">
        <v>45147</v>
      </c>
      <c r="C497" s="6" t="s">
        <v>268</v>
      </c>
      <c r="D497" s="6">
        <v>23</v>
      </c>
      <c r="E497" s="4">
        <f>DAY(TableAopCalendar[[#This Row],[Date]])</f>
        <v>9</v>
      </c>
      <c r="F497" s="4">
        <f>IF(TableAopCalendar[[#This Row],[Day]]&lt;8,1,IF(TableAopCalendar[[#This Row],[Day]]&lt;15,2,IF(TableAopCalendar[[#This Row],[Day]]&lt;22,3,IF(TableAopCalendar[[#This Row],[Day]]&lt;29,4,IF(TableAopCalendar[[#This Row],[Day]]&lt;32,5)))))</f>
        <v>2</v>
      </c>
      <c r="G497" s="4" t="str">
        <f t="shared" si="22"/>
        <v>Week 2</v>
      </c>
      <c r="H497" s="7" t="str">
        <f t="shared" si="23"/>
        <v>August 23 Week 2</v>
      </c>
      <c r="I497" s="4" t="str">
        <f>CONCATENATE(UPPER(TableAopCalendar[[#This Row],[Month]])," ",TableAopCalendar[[#This Row],[Year]])</f>
        <v>AUGUST 23</v>
      </c>
      <c r="J497" s="7" t="s">
        <v>274</v>
      </c>
      <c r="K497" s="7" t="str">
        <f>CONCATENATE(TableAopCalendar[[#This Row],[Month for Plan]]," ",TableAopCalendar[[#This Row],[Plan]])</f>
        <v>AUGUST 23 PLANNED</v>
      </c>
    </row>
    <row r="498" spans="1:11" x14ac:dyDescent="0.3">
      <c r="A498" s="4">
        <f t="shared" si="21"/>
        <v>3</v>
      </c>
      <c r="B498" s="5">
        <v>45148</v>
      </c>
      <c r="C498" s="6" t="s">
        <v>268</v>
      </c>
      <c r="D498" s="6">
        <v>23</v>
      </c>
      <c r="E498" s="4">
        <f>DAY(TableAopCalendar[[#This Row],[Date]])</f>
        <v>10</v>
      </c>
      <c r="F498" s="4">
        <f>IF(TableAopCalendar[[#This Row],[Day]]&lt;8,1,IF(TableAopCalendar[[#This Row],[Day]]&lt;15,2,IF(TableAopCalendar[[#This Row],[Day]]&lt;22,3,IF(TableAopCalendar[[#This Row],[Day]]&lt;29,4,IF(TableAopCalendar[[#This Row],[Day]]&lt;32,5)))))</f>
        <v>2</v>
      </c>
      <c r="G498" s="4" t="str">
        <f t="shared" si="22"/>
        <v>Week 2</v>
      </c>
      <c r="H498" s="7" t="str">
        <f t="shared" si="23"/>
        <v>August 23 Week 2</v>
      </c>
      <c r="I498" s="4" t="str">
        <f>CONCATENATE(UPPER(TableAopCalendar[[#This Row],[Month]])," ",TableAopCalendar[[#This Row],[Year]])</f>
        <v>AUGUST 23</v>
      </c>
      <c r="J498" s="7" t="s">
        <v>274</v>
      </c>
      <c r="K498" s="7" t="str">
        <f>CONCATENATE(TableAopCalendar[[#This Row],[Month for Plan]]," ",TableAopCalendar[[#This Row],[Plan]])</f>
        <v>AUGUST 23 PLANNED</v>
      </c>
    </row>
    <row r="499" spans="1:11" x14ac:dyDescent="0.3">
      <c r="A499" s="4">
        <f t="shared" si="21"/>
        <v>4</v>
      </c>
      <c r="B499" s="5">
        <v>45149</v>
      </c>
      <c r="C499" s="6" t="s">
        <v>268</v>
      </c>
      <c r="D499" s="6">
        <v>23</v>
      </c>
      <c r="E499" s="4">
        <f>DAY(TableAopCalendar[[#This Row],[Date]])</f>
        <v>11</v>
      </c>
      <c r="F499" s="4">
        <f>IF(TableAopCalendar[[#This Row],[Day]]&lt;8,1,IF(TableAopCalendar[[#This Row],[Day]]&lt;15,2,IF(TableAopCalendar[[#This Row],[Day]]&lt;22,3,IF(TableAopCalendar[[#This Row],[Day]]&lt;29,4,IF(TableAopCalendar[[#This Row],[Day]]&lt;32,5)))))</f>
        <v>2</v>
      </c>
      <c r="G499" s="4" t="str">
        <f t="shared" si="22"/>
        <v>Week 2</v>
      </c>
      <c r="H499" s="7" t="str">
        <f t="shared" si="23"/>
        <v>August 23 Week 2</v>
      </c>
      <c r="I499" s="4" t="str">
        <f>CONCATENATE(UPPER(TableAopCalendar[[#This Row],[Month]])," ",TableAopCalendar[[#This Row],[Year]])</f>
        <v>AUGUST 23</v>
      </c>
      <c r="J499" s="7" t="s">
        <v>274</v>
      </c>
      <c r="K499" s="7" t="str">
        <f>CONCATENATE(TableAopCalendar[[#This Row],[Month for Plan]]," ",TableAopCalendar[[#This Row],[Plan]])</f>
        <v>AUGUST 23 PLANNED</v>
      </c>
    </row>
    <row r="500" spans="1:11" x14ac:dyDescent="0.3">
      <c r="A500" s="4">
        <f t="shared" si="21"/>
        <v>5</v>
      </c>
      <c r="B500" s="5">
        <v>45150</v>
      </c>
      <c r="C500" s="6" t="s">
        <v>268</v>
      </c>
      <c r="D500" s="6">
        <v>23</v>
      </c>
      <c r="E500" s="4">
        <f>DAY(TableAopCalendar[[#This Row],[Date]])</f>
        <v>12</v>
      </c>
      <c r="F500" s="4">
        <f>IF(TableAopCalendar[[#This Row],[Day]]&lt;8,1,IF(TableAopCalendar[[#This Row],[Day]]&lt;15,2,IF(TableAopCalendar[[#This Row],[Day]]&lt;22,3,IF(TableAopCalendar[[#This Row],[Day]]&lt;29,4,IF(TableAopCalendar[[#This Row],[Day]]&lt;32,5)))))</f>
        <v>2</v>
      </c>
      <c r="G500" s="4" t="str">
        <f t="shared" si="22"/>
        <v>Week 2</v>
      </c>
      <c r="H500" s="7" t="str">
        <f t="shared" si="23"/>
        <v>August 23 Week 2</v>
      </c>
      <c r="I500" s="4" t="str">
        <f>CONCATENATE(UPPER(TableAopCalendar[[#This Row],[Month]])," ",TableAopCalendar[[#This Row],[Year]])</f>
        <v>AUGUST 23</v>
      </c>
      <c r="J500" s="7" t="s">
        <v>274</v>
      </c>
      <c r="K500" s="7" t="str">
        <f>CONCATENATE(TableAopCalendar[[#This Row],[Month for Plan]]," ",TableAopCalendar[[#This Row],[Plan]])</f>
        <v>AUGUST 23 PLANNED</v>
      </c>
    </row>
    <row r="501" spans="1:11" x14ac:dyDescent="0.3">
      <c r="A501" s="4">
        <f t="shared" si="21"/>
        <v>6</v>
      </c>
      <c r="B501" s="5">
        <v>45151</v>
      </c>
      <c r="C501" s="6" t="s">
        <v>268</v>
      </c>
      <c r="D501" s="6">
        <v>23</v>
      </c>
      <c r="E501" s="4">
        <f>DAY(TableAopCalendar[[#This Row],[Date]])</f>
        <v>13</v>
      </c>
      <c r="F501" s="4">
        <f>IF(TableAopCalendar[[#This Row],[Day]]&lt;8,1,IF(TableAopCalendar[[#This Row],[Day]]&lt;15,2,IF(TableAopCalendar[[#This Row],[Day]]&lt;22,3,IF(TableAopCalendar[[#This Row],[Day]]&lt;29,4,IF(TableAopCalendar[[#This Row],[Day]]&lt;32,5)))))</f>
        <v>2</v>
      </c>
      <c r="G501" s="4" t="str">
        <f t="shared" si="22"/>
        <v>Week 2</v>
      </c>
      <c r="H501" s="7" t="str">
        <f t="shared" si="23"/>
        <v>August 23 Week 2</v>
      </c>
      <c r="I501" s="4" t="str">
        <f>CONCATENATE(UPPER(TableAopCalendar[[#This Row],[Month]])," ",TableAopCalendar[[#This Row],[Year]])</f>
        <v>AUGUST 23</v>
      </c>
      <c r="J501" s="7" t="s">
        <v>274</v>
      </c>
      <c r="K501" s="7" t="str">
        <f>CONCATENATE(TableAopCalendar[[#This Row],[Month for Plan]]," ",TableAopCalendar[[#This Row],[Plan]])</f>
        <v>AUGUST 23 PLANNED</v>
      </c>
    </row>
    <row r="502" spans="1:11" x14ac:dyDescent="0.3">
      <c r="A502" s="4">
        <f t="shared" si="21"/>
        <v>7</v>
      </c>
      <c r="B502" s="5">
        <v>45152</v>
      </c>
      <c r="C502" s="6" t="s">
        <v>268</v>
      </c>
      <c r="D502" s="6">
        <v>23</v>
      </c>
      <c r="E502" s="4">
        <f>DAY(TableAopCalendar[[#This Row],[Date]])</f>
        <v>14</v>
      </c>
      <c r="F502" s="4">
        <f>IF(TableAopCalendar[[#This Row],[Day]]&lt;8,1,IF(TableAopCalendar[[#This Row],[Day]]&lt;15,2,IF(TableAopCalendar[[#This Row],[Day]]&lt;22,3,IF(TableAopCalendar[[#This Row],[Day]]&lt;29,4,IF(TableAopCalendar[[#This Row],[Day]]&lt;32,5)))))</f>
        <v>2</v>
      </c>
      <c r="G502" s="4" t="str">
        <f t="shared" si="22"/>
        <v>Week 2</v>
      </c>
      <c r="H502" s="7" t="str">
        <f t="shared" si="23"/>
        <v>August 23 Week 2</v>
      </c>
      <c r="I502" s="4" t="str">
        <f>CONCATENATE(UPPER(TableAopCalendar[[#This Row],[Month]])," ",TableAopCalendar[[#This Row],[Year]])</f>
        <v>AUGUST 23</v>
      </c>
      <c r="J502" s="7" t="s">
        <v>274</v>
      </c>
      <c r="K502" s="7" t="str">
        <f>CONCATENATE(TableAopCalendar[[#This Row],[Month for Plan]]," ",TableAopCalendar[[#This Row],[Plan]])</f>
        <v>AUGUST 23 PLANNED</v>
      </c>
    </row>
    <row r="503" spans="1:11" x14ac:dyDescent="0.3">
      <c r="A503" s="4">
        <f t="shared" si="21"/>
        <v>1</v>
      </c>
      <c r="B503" s="5">
        <v>45153</v>
      </c>
      <c r="C503" s="6" t="s">
        <v>268</v>
      </c>
      <c r="D503" s="6">
        <v>23</v>
      </c>
      <c r="E503" s="4">
        <f>DAY(TableAopCalendar[[#This Row],[Date]])</f>
        <v>15</v>
      </c>
      <c r="F503" s="4">
        <f>IF(TableAopCalendar[[#This Row],[Day]]&lt;8,1,IF(TableAopCalendar[[#This Row],[Day]]&lt;15,2,IF(TableAopCalendar[[#This Row],[Day]]&lt;22,3,IF(TableAopCalendar[[#This Row],[Day]]&lt;29,4,IF(TableAopCalendar[[#This Row],[Day]]&lt;32,5)))))</f>
        <v>3</v>
      </c>
      <c r="G503" s="4" t="str">
        <f t="shared" si="22"/>
        <v>Week 3</v>
      </c>
      <c r="H503" s="7" t="str">
        <f t="shared" si="23"/>
        <v>August 23 Week 3</v>
      </c>
      <c r="I503" s="4" t="str">
        <f>CONCATENATE(UPPER(TableAopCalendar[[#This Row],[Month]])," ",TableAopCalendar[[#This Row],[Year]])</f>
        <v>AUGUST 23</v>
      </c>
      <c r="J503" s="7" t="s">
        <v>274</v>
      </c>
      <c r="K503" s="7" t="str">
        <f>CONCATENATE(TableAopCalendar[[#This Row],[Month for Plan]]," ",TableAopCalendar[[#This Row],[Plan]])</f>
        <v>AUGUST 23 PLANNED</v>
      </c>
    </row>
    <row r="504" spans="1:11" x14ac:dyDescent="0.3">
      <c r="A504" s="4">
        <f t="shared" si="21"/>
        <v>2</v>
      </c>
      <c r="B504" s="5">
        <v>45154</v>
      </c>
      <c r="C504" s="6" t="s">
        <v>268</v>
      </c>
      <c r="D504" s="6">
        <v>23</v>
      </c>
      <c r="E504" s="4">
        <f>DAY(TableAopCalendar[[#This Row],[Date]])</f>
        <v>16</v>
      </c>
      <c r="F504" s="4">
        <f>IF(TableAopCalendar[[#This Row],[Day]]&lt;8,1,IF(TableAopCalendar[[#This Row],[Day]]&lt;15,2,IF(TableAopCalendar[[#This Row],[Day]]&lt;22,3,IF(TableAopCalendar[[#This Row],[Day]]&lt;29,4,IF(TableAopCalendar[[#This Row],[Day]]&lt;32,5)))))</f>
        <v>3</v>
      </c>
      <c r="G504" s="4" t="str">
        <f t="shared" si="22"/>
        <v>Week 3</v>
      </c>
      <c r="H504" s="7" t="str">
        <f t="shared" si="23"/>
        <v>August 23 Week 3</v>
      </c>
      <c r="I504" s="4" t="str">
        <f>CONCATENATE(UPPER(TableAopCalendar[[#This Row],[Month]])," ",TableAopCalendar[[#This Row],[Year]])</f>
        <v>AUGUST 23</v>
      </c>
      <c r="J504" s="7" t="s">
        <v>274</v>
      </c>
      <c r="K504" s="7" t="str">
        <f>CONCATENATE(TableAopCalendar[[#This Row],[Month for Plan]]," ",TableAopCalendar[[#This Row],[Plan]])</f>
        <v>AUGUST 23 PLANNED</v>
      </c>
    </row>
    <row r="505" spans="1:11" x14ac:dyDescent="0.3">
      <c r="A505" s="4">
        <f t="shared" si="21"/>
        <v>3</v>
      </c>
      <c r="B505" s="5">
        <v>45155</v>
      </c>
      <c r="C505" s="6" t="s">
        <v>268</v>
      </c>
      <c r="D505" s="6">
        <v>23</v>
      </c>
      <c r="E505" s="4">
        <f>DAY(TableAopCalendar[[#This Row],[Date]])</f>
        <v>17</v>
      </c>
      <c r="F505" s="4">
        <f>IF(TableAopCalendar[[#This Row],[Day]]&lt;8,1,IF(TableAopCalendar[[#This Row],[Day]]&lt;15,2,IF(TableAopCalendar[[#This Row],[Day]]&lt;22,3,IF(TableAopCalendar[[#This Row],[Day]]&lt;29,4,IF(TableAopCalendar[[#This Row],[Day]]&lt;32,5)))))</f>
        <v>3</v>
      </c>
      <c r="G505" s="4" t="str">
        <f t="shared" si="22"/>
        <v>Week 3</v>
      </c>
      <c r="H505" s="7" t="str">
        <f t="shared" si="23"/>
        <v>August 23 Week 3</v>
      </c>
      <c r="I505" s="4" t="str">
        <f>CONCATENATE(UPPER(TableAopCalendar[[#This Row],[Month]])," ",TableAopCalendar[[#This Row],[Year]])</f>
        <v>AUGUST 23</v>
      </c>
      <c r="J505" s="7" t="s">
        <v>274</v>
      </c>
      <c r="K505" s="7" t="str">
        <f>CONCATENATE(TableAopCalendar[[#This Row],[Month for Plan]]," ",TableAopCalendar[[#This Row],[Plan]])</f>
        <v>AUGUST 23 PLANNED</v>
      </c>
    </row>
    <row r="506" spans="1:11" x14ac:dyDescent="0.3">
      <c r="A506" s="4">
        <f t="shared" si="21"/>
        <v>4</v>
      </c>
      <c r="B506" s="5">
        <v>45156</v>
      </c>
      <c r="C506" s="6" t="s">
        <v>268</v>
      </c>
      <c r="D506" s="6">
        <v>23</v>
      </c>
      <c r="E506" s="4">
        <f>DAY(TableAopCalendar[[#This Row],[Date]])</f>
        <v>18</v>
      </c>
      <c r="F506" s="4">
        <f>IF(TableAopCalendar[[#This Row],[Day]]&lt;8,1,IF(TableAopCalendar[[#This Row],[Day]]&lt;15,2,IF(TableAopCalendar[[#This Row],[Day]]&lt;22,3,IF(TableAopCalendar[[#This Row],[Day]]&lt;29,4,IF(TableAopCalendar[[#This Row],[Day]]&lt;32,5)))))</f>
        <v>3</v>
      </c>
      <c r="G506" s="4" t="str">
        <f t="shared" si="22"/>
        <v>Week 3</v>
      </c>
      <c r="H506" s="7" t="str">
        <f t="shared" si="23"/>
        <v>August 23 Week 3</v>
      </c>
      <c r="I506" s="4" t="str">
        <f>CONCATENATE(UPPER(TableAopCalendar[[#This Row],[Month]])," ",TableAopCalendar[[#This Row],[Year]])</f>
        <v>AUGUST 23</v>
      </c>
      <c r="J506" s="7" t="s">
        <v>274</v>
      </c>
      <c r="K506" s="7" t="str">
        <f>CONCATENATE(TableAopCalendar[[#This Row],[Month for Plan]]," ",TableAopCalendar[[#This Row],[Plan]])</f>
        <v>AUGUST 23 PLANNED</v>
      </c>
    </row>
    <row r="507" spans="1:11" x14ac:dyDescent="0.3">
      <c r="A507" s="4">
        <f t="shared" si="21"/>
        <v>5</v>
      </c>
      <c r="B507" s="5">
        <v>45157</v>
      </c>
      <c r="C507" s="6" t="s">
        <v>268</v>
      </c>
      <c r="D507" s="6">
        <v>23</v>
      </c>
      <c r="E507" s="4">
        <f>DAY(TableAopCalendar[[#This Row],[Date]])</f>
        <v>19</v>
      </c>
      <c r="F507" s="4">
        <f>IF(TableAopCalendar[[#This Row],[Day]]&lt;8,1,IF(TableAopCalendar[[#This Row],[Day]]&lt;15,2,IF(TableAopCalendar[[#This Row],[Day]]&lt;22,3,IF(TableAopCalendar[[#This Row],[Day]]&lt;29,4,IF(TableAopCalendar[[#This Row],[Day]]&lt;32,5)))))</f>
        <v>3</v>
      </c>
      <c r="G507" s="4" t="str">
        <f t="shared" si="22"/>
        <v>Week 3</v>
      </c>
      <c r="H507" s="7" t="str">
        <f t="shared" si="23"/>
        <v>August 23 Week 3</v>
      </c>
      <c r="I507" s="4" t="str">
        <f>CONCATENATE(UPPER(TableAopCalendar[[#This Row],[Month]])," ",TableAopCalendar[[#This Row],[Year]])</f>
        <v>AUGUST 23</v>
      </c>
      <c r="J507" s="7" t="s">
        <v>274</v>
      </c>
      <c r="K507" s="7" t="str">
        <f>CONCATENATE(TableAopCalendar[[#This Row],[Month for Plan]]," ",TableAopCalendar[[#This Row],[Plan]])</f>
        <v>AUGUST 23 PLANNED</v>
      </c>
    </row>
    <row r="508" spans="1:11" x14ac:dyDescent="0.3">
      <c r="A508" s="4">
        <f t="shared" si="21"/>
        <v>6</v>
      </c>
      <c r="B508" s="5">
        <v>45158</v>
      </c>
      <c r="C508" s="6" t="s">
        <v>268</v>
      </c>
      <c r="D508" s="6">
        <v>23</v>
      </c>
      <c r="E508" s="4">
        <f>DAY(TableAopCalendar[[#This Row],[Date]])</f>
        <v>20</v>
      </c>
      <c r="F508" s="4">
        <f>IF(TableAopCalendar[[#This Row],[Day]]&lt;8,1,IF(TableAopCalendar[[#This Row],[Day]]&lt;15,2,IF(TableAopCalendar[[#This Row],[Day]]&lt;22,3,IF(TableAopCalendar[[#This Row],[Day]]&lt;29,4,IF(TableAopCalendar[[#This Row],[Day]]&lt;32,5)))))</f>
        <v>3</v>
      </c>
      <c r="G508" s="4" t="str">
        <f t="shared" si="22"/>
        <v>Week 3</v>
      </c>
      <c r="H508" s="7" t="str">
        <f t="shared" si="23"/>
        <v>August 23 Week 3</v>
      </c>
      <c r="I508" s="4" t="str">
        <f>CONCATENATE(UPPER(TableAopCalendar[[#This Row],[Month]])," ",TableAopCalendar[[#This Row],[Year]])</f>
        <v>AUGUST 23</v>
      </c>
      <c r="J508" s="7" t="s">
        <v>274</v>
      </c>
      <c r="K508" s="7" t="str">
        <f>CONCATENATE(TableAopCalendar[[#This Row],[Month for Plan]]," ",TableAopCalendar[[#This Row],[Plan]])</f>
        <v>AUGUST 23 PLANNED</v>
      </c>
    </row>
    <row r="509" spans="1:11" x14ac:dyDescent="0.3">
      <c r="A509" s="4">
        <f t="shared" si="21"/>
        <v>7</v>
      </c>
      <c r="B509" s="5">
        <v>45159</v>
      </c>
      <c r="C509" s="6" t="s">
        <v>268</v>
      </c>
      <c r="D509" s="6">
        <v>23</v>
      </c>
      <c r="E509" s="4">
        <f>DAY(TableAopCalendar[[#This Row],[Date]])</f>
        <v>21</v>
      </c>
      <c r="F509" s="4">
        <f>IF(TableAopCalendar[[#This Row],[Day]]&lt;8,1,IF(TableAopCalendar[[#This Row],[Day]]&lt;15,2,IF(TableAopCalendar[[#This Row],[Day]]&lt;22,3,IF(TableAopCalendar[[#This Row],[Day]]&lt;29,4,IF(TableAopCalendar[[#This Row],[Day]]&lt;32,5)))))</f>
        <v>3</v>
      </c>
      <c r="G509" s="4" t="str">
        <f t="shared" si="22"/>
        <v>Week 3</v>
      </c>
      <c r="H509" s="7" t="str">
        <f t="shared" si="23"/>
        <v>August 23 Week 3</v>
      </c>
      <c r="I509" s="4" t="str">
        <f>CONCATENATE(UPPER(TableAopCalendar[[#This Row],[Month]])," ",TableAopCalendar[[#This Row],[Year]])</f>
        <v>AUGUST 23</v>
      </c>
      <c r="J509" s="7" t="s">
        <v>274</v>
      </c>
      <c r="K509" s="7" t="str">
        <f>CONCATENATE(TableAopCalendar[[#This Row],[Month for Plan]]," ",TableAopCalendar[[#This Row],[Plan]])</f>
        <v>AUGUST 23 PLANNED</v>
      </c>
    </row>
    <row r="510" spans="1:11" x14ac:dyDescent="0.3">
      <c r="A510" s="4">
        <f t="shared" si="21"/>
        <v>1</v>
      </c>
      <c r="B510" s="5">
        <v>45160</v>
      </c>
      <c r="C510" s="6" t="s">
        <v>268</v>
      </c>
      <c r="D510" s="6">
        <v>23</v>
      </c>
      <c r="E510" s="4">
        <f>DAY(TableAopCalendar[[#This Row],[Date]])</f>
        <v>22</v>
      </c>
      <c r="F510" s="4">
        <f>IF(TableAopCalendar[[#This Row],[Day]]&lt;8,1,IF(TableAopCalendar[[#This Row],[Day]]&lt;15,2,IF(TableAopCalendar[[#This Row],[Day]]&lt;22,3,IF(TableAopCalendar[[#This Row],[Day]]&lt;29,4,IF(TableAopCalendar[[#This Row],[Day]]&lt;32,5)))))</f>
        <v>4</v>
      </c>
      <c r="G510" s="4" t="str">
        <f t="shared" si="22"/>
        <v>Week 4</v>
      </c>
      <c r="H510" s="7" t="str">
        <f t="shared" si="23"/>
        <v>August 23 Week 4</v>
      </c>
      <c r="I510" s="4" t="str">
        <f>CONCATENATE(UPPER(TableAopCalendar[[#This Row],[Month]])," ",TableAopCalendar[[#This Row],[Year]])</f>
        <v>AUGUST 23</v>
      </c>
      <c r="J510" s="7" t="s">
        <v>274</v>
      </c>
      <c r="K510" s="7" t="str">
        <f>CONCATENATE(TableAopCalendar[[#This Row],[Month for Plan]]," ",TableAopCalendar[[#This Row],[Plan]])</f>
        <v>AUGUST 23 PLANNED</v>
      </c>
    </row>
    <row r="511" spans="1:11" x14ac:dyDescent="0.3">
      <c r="A511" s="4">
        <f t="shared" si="21"/>
        <v>2</v>
      </c>
      <c r="B511" s="5">
        <v>45161</v>
      </c>
      <c r="C511" s="6" t="s">
        <v>268</v>
      </c>
      <c r="D511" s="6">
        <v>23</v>
      </c>
      <c r="E511" s="4">
        <f>DAY(TableAopCalendar[[#This Row],[Date]])</f>
        <v>23</v>
      </c>
      <c r="F511" s="4">
        <f>IF(TableAopCalendar[[#This Row],[Day]]&lt;8,1,IF(TableAopCalendar[[#This Row],[Day]]&lt;15,2,IF(TableAopCalendar[[#This Row],[Day]]&lt;22,3,IF(TableAopCalendar[[#This Row],[Day]]&lt;29,4,IF(TableAopCalendar[[#This Row],[Day]]&lt;32,5)))))</f>
        <v>4</v>
      </c>
      <c r="G511" s="4" t="str">
        <f t="shared" si="22"/>
        <v>Week 4</v>
      </c>
      <c r="H511" s="7" t="str">
        <f t="shared" si="23"/>
        <v>August 23 Week 4</v>
      </c>
      <c r="I511" s="4" t="str">
        <f>CONCATENATE(UPPER(TableAopCalendar[[#This Row],[Month]])," ",TableAopCalendar[[#This Row],[Year]])</f>
        <v>AUGUST 23</v>
      </c>
      <c r="J511" s="7" t="s">
        <v>274</v>
      </c>
      <c r="K511" s="7" t="str">
        <f>CONCATENATE(TableAopCalendar[[#This Row],[Month for Plan]]," ",TableAopCalendar[[#This Row],[Plan]])</f>
        <v>AUGUST 23 PLANNED</v>
      </c>
    </row>
    <row r="512" spans="1:11" x14ac:dyDescent="0.3">
      <c r="A512" s="4">
        <f t="shared" si="21"/>
        <v>3</v>
      </c>
      <c r="B512" s="5">
        <v>45162</v>
      </c>
      <c r="C512" s="6" t="s">
        <v>268</v>
      </c>
      <c r="D512" s="6">
        <v>23</v>
      </c>
      <c r="E512" s="4">
        <f>DAY(TableAopCalendar[[#This Row],[Date]])</f>
        <v>24</v>
      </c>
      <c r="F512" s="4">
        <f>IF(TableAopCalendar[[#This Row],[Day]]&lt;8,1,IF(TableAopCalendar[[#This Row],[Day]]&lt;15,2,IF(TableAopCalendar[[#This Row],[Day]]&lt;22,3,IF(TableAopCalendar[[#This Row],[Day]]&lt;29,4,IF(TableAopCalendar[[#This Row],[Day]]&lt;32,5)))))</f>
        <v>4</v>
      </c>
      <c r="G512" s="4" t="str">
        <f t="shared" si="22"/>
        <v>Week 4</v>
      </c>
      <c r="H512" s="7" t="str">
        <f t="shared" si="23"/>
        <v>August 23 Week 4</v>
      </c>
      <c r="I512" s="4" t="str">
        <f>CONCATENATE(UPPER(TableAopCalendar[[#This Row],[Month]])," ",TableAopCalendar[[#This Row],[Year]])</f>
        <v>AUGUST 23</v>
      </c>
      <c r="J512" s="7" t="s">
        <v>274</v>
      </c>
      <c r="K512" s="7" t="str">
        <f>CONCATENATE(TableAopCalendar[[#This Row],[Month for Plan]]," ",TableAopCalendar[[#This Row],[Plan]])</f>
        <v>AUGUST 23 PLANNED</v>
      </c>
    </row>
    <row r="513" spans="1:11" x14ac:dyDescent="0.3">
      <c r="A513" s="4">
        <f t="shared" si="21"/>
        <v>4</v>
      </c>
      <c r="B513" s="5">
        <v>45163</v>
      </c>
      <c r="C513" s="6" t="s">
        <v>268</v>
      </c>
      <c r="D513" s="6">
        <v>23</v>
      </c>
      <c r="E513" s="4">
        <f>DAY(TableAopCalendar[[#This Row],[Date]])</f>
        <v>25</v>
      </c>
      <c r="F513" s="4">
        <f>IF(TableAopCalendar[[#This Row],[Day]]&lt;8,1,IF(TableAopCalendar[[#This Row],[Day]]&lt;15,2,IF(TableAopCalendar[[#This Row],[Day]]&lt;22,3,IF(TableAopCalendar[[#This Row],[Day]]&lt;29,4,IF(TableAopCalendar[[#This Row],[Day]]&lt;32,5)))))</f>
        <v>4</v>
      </c>
      <c r="G513" s="4" t="str">
        <f t="shared" si="22"/>
        <v>Week 4</v>
      </c>
      <c r="H513" s="7" t="str">
        <f t="shared" si="23"/>
        <v>August 23 Week 4</v>
      </c>
      <c r="I513" s="4" t="str">
        <f>CONCATENATE(UPPER(TableAopCalendar[[#This Row],[Month]])," ",TableAopCalendar[[#This Row],[Year]])</f>
        <v>AUGUST 23</v>
      </c>
      <c r="J513" s="7" t="s">
        <v>274</v>
      </c>
      <c r="K513" s="7" t="str">
        <f>CONCATENATE(TableAopCalendar[[#This Row],[Month for Plan]]," ",TableAopCalendar[[#This Row],[Plan]])</f>
        <v>AUGUST 23 PLANNED</v>
      </c>
    </row>
    <row r="514" spans="1:11" x14ac:dyDescent="0.3">
      <c r="A514" s="4">
        <f t="shared" ref="A514:A577" si="24">IF(G514=G513,A513+1,1)</f>
        <v>5</v>
      </c>
      <c r="B514" s="5">
        <v>45164</v>
      </c>
      <c r="C514" s="6" t="s">
        <v>268</v>
      </c>
      <c r="D514" s="6">
        <v>23</v>
      </c>
      <c r="E514" s="4">
        <f>DAY(TableAopCalendar[[#This Row],[Date]])</f>
        <v>26</v>
      </c>
      <c r="F514" s="4">
        <f>IF(TableAopCalendar[[#This Row],[Day]]&lt;8,1,IF(TableAopCalendar[[#This Row],[Day]]&lt;15,2,IF(TableAopCalendar[[#This Row],[Day]]&lt;22,3,IF(TableAopCalendar[[#This Row],[Day]]&lt;29,4,IF(TableAopCalendar[[#This Row],[Day]]&lt;32,5)))))</f>
        <v>4</v>
      </c>
      <c r="G514" s="4" t="str">
        <f t="shared" ref="G514:G577" si="25">"Week"&amp;" "&amp;F514</f>
        <v>Week 4</v>
      </c>
      <c r="H514" s="7" t="str">
        <f t="shared" ref="H514:H577" si="26">CONCATENATE(C514," ",D514," ",G514)</f>
        <v>August 23 Week 4</v>
      </c>
      <c r="I514" s="4" t="str">
        <f>CONCATENATE(UPPER(TableAopCalendar[[#This Row],[Month]])," ",TableAopCalendar[[#This Row],[Year]])</f>
        <v>AUGUST 23</v>
      </c>
      <c r="J514" s="7" t="s">
        <v>274</v>
      </c>
      <c r="K514" s="7" t="str">
        <f>CONCATENATE(TableAopCalendar[[#This Row],[Month for Plan]]," ",TableAopCalendar[[#This Row],[Plan]])</f>
        <v>AUGUST 23 PLANNED</v>
      </c>
    </row>
    <row r="515" spans="1:11" x14ac:dyDescent="0.3">
      <c r="A515" s="4">
        <f t="shared" si="24"/>
        <v>6</v>
      </c>
      <c r="B515" s="5">
        <v>45165</v>
      </c>
      <c r="C515" s="6" t="s">
        <v>268</v>
      </c>
      <c r="D515" s="6">
        <v>23</v>
      </c>
      <c r="E515" s="4">
        <f>DAY(TableAopCalendar[[#This Row],[Date]])</f>
        <v>27</v>
      </c>
      <c r="F515" s="4">
        <f>IF(TableAopCalendar[[#This Row],[Day]]&lt;8,1,IF(TableAopCalendar[[#This Row],[Day]]&lt;15,2,IF(TableAopCalendar[[#This Row],[Day]]&lt;22,3,IF(TableAopCalendar[[#This Row],[Day]]&lt;29,4,IF(TableAopCalendar[[#This Row],[Day]]&lt;32,5)))))</f>
        <v>4</v>
      </c>
      <c r="G515" s="4" t="str">
        <f t="shared" si="25"/>
        <v>Week 4</v>
      </c>
      <c r="H515" s="7" t="str">
        <f t="shared" si="26"/>
        <v>August 23 Week 4</v>
      </c>
      <c r="I515" s="4" t="str">
        <f>CONCATENATE(UPPER(TableAopCalendar[[#This Row],[Month]])," ",TableAopCalendar[[#This Row],[Year]])</f>
        <v>AUGUST 23</v>
      </c>
      <c r="J515" s="7" t="s">
        <v>274</v>
      </c>
      <c r="K515" s="7" t="str">
        <f>CONCATENATE(TableAopCalendar[[#This Row],[Month for Plan]]," ",TableAopCalendar[[#This Row],[Plan]])</f>
        <v>AUGUST 23 PLANNED</v>
      </c>
    </row>
    <row r="516" spans="1:11" x14ac:dyDescent="0.3">
      <c r="A516" s="4">
        <f t="shared" si="24"/>
        <v>7</v>
      </c>
      <c r="B516" s="5">
        <v>45166</v>
      </c>
      <c r="C516" s="6" t="s">
        <v>268</v>
      </c>
      <c r="D516" s="6">
        <v>23</v>
      </c>
      <c r="E516" s="4">
        <f>DAY(TableAopCalendar[[#This Row],[Date]])</f>
        <v>28</v>
      </c>
      <c r="F516" s="4">
        <f>IF(TableAopCalendar[[#This Row],[Day]]&lt;8,1,IF(TableAopCalendar[[#This Row],[Day]]&lt;15,2,IF(TableAopCalendar[[#This Row],[Day]]&lt;22,3,IF(TableAopCalendar[[#This Row],[Day]]&lt;29,4,IF(TableAopCalendar[[#This Row],[Day]]&lt;32,5)))))</f>
        <v>4</v>
      </c>
      <c r="G516" s="4" t="str">
        <f t="shared" si="25"/>
        <v>Week 4</v>
      </c>
      <c r="H516" s="7" t="str">
        <f t="shared" si="26"/>
        <v>August 23 Week 4</v>
      </c>
      <c r="I516" s="4" t="str">
        <f>CONCATENATE(UPPER(TableAopCalendar[[#This Row],[Month]])," ",TableAopCalendar[[#This Row],[Year]])</f>
        <v>AUGUST 23</v>
      </c>
      <c r="J516" s="7" t="s">
        <v>274</v>
      </c>
      <c r="K516" s="7" t="str">
        <f>CONCATENATE(TableAopCalendar[[#This Row],[Month for Plan]]," ",TableAopCalendar[[#This Row],[Plan]])</f>
        <v>AUGUST 23 PLANNED</v>
      </c>
    </row>
    <row r="517" spans="1:11" x14ac:dyDescent="0.3">
      <c r="A517" s="4">
        <f t="shared" si="24"/>
        <v>1</v>
      </c>
      <c r="B517" s="5">
        <v>45167</v>
      </c>
      <c r="C517" s="6" t="s">
        <v>268</v>
      </c>
      <c r="D517" s="6">
        <v>23</v>
      </c>
      <c r="E517" s="4">
        <f>DAY(TableAopCalendar[[#This Row],[Date]])</f>
        <v>29</v>
      </c>
      <c r="F517" s="4">
        <f>IF(TableAopCalendar[[#This Row],[Day]]&lt;8,1,IF(TableAopCalendar[[#This Row],[Day]]&lt;15,2,IF(TableAopCalendar[[#This Row],[Day]]&lt;22,3,IF(TableAopCalendar[[#This Row],[Day]]&lt;29,4,IF(TableAopCalendar[[#This Row],[Day]]&lt;32,5)))))</f>
        <v>5</v>
      </c>
      <c r="G517" s="4" t="str">
        <f t="shared" si="25"/>
        <v>Week 5</v>
      </c>
      <c r="H517" s="7" t="str">
        <f t="shared" si="26"/>
        <v>August 23 Week 5</v>
      </c>
      <c r="I517" s="4" t="str">
        <f>CONCATENATE(UPPER(TableAopCalendar[[#This Row],[Month]])," ",TableAopCalendar[[#This Row],[Year]])</f>
        <v>AUGUST 23</v>
      </c>
      <c r="J517" s="7" t="s">
        <v>274</v>
      </c>
      <c r="K517" s="7" t="str">
        <f>CONCATENATE(TableAopCalendar[[#This Row],[Month for Plan]]," ",TableAopCalendar[[#This Row],[Plan]])</f>
        <v>AUGUST 23 PLANNED</v>
      </c>
    </row>
    <row r="518" spans="1:11" x14ac:dyDescent="0.3">
      <c r="A518" s="4">
        <f t="shared" si="24"/>
        <v>2</v>
      </c>
      <c r="B518" s="5">
        <v>45168</v>
      </c>
      <c r="C518" s="6" t="s">
        <v>268</v>
      </c>
      <c r="D518" s="6">
        <v>23</v>
      </c>
      <c r="E518" s="4">
        <f>DAY(TableAopCalendar[[#This Row],[Date]])</f>
        <v>30</v>
      </c>
      <c r="F518" s="4">
        <f>IF(TableAopCalendar[[#This Row],[Day]]&lt;8,1,IF(TableAopCalendar[[#This Row],[Day]]&lt;15,2,IF(TableAopCalendar[[#This Row],[Day]]&lt;22,3,IF(TableAopCalendar[[#This Row],[Day]]&lt;29,4,IF(TableAopCalendar[[#This Row],[Day]]&lt;32,5)))))</f>
        <v>5</v>
      </c>
      <c r="G518" s="4" t="str">
        <f t="shared" si="25"/>
        <v>Week 5</v>
      </c>
      <c r="H518" s="7" t="str">
        <f t="shared" si="26"/>
        <v>August 23 Week 5</v>
      </c>
      <c r="I518" s="4" t="str">
        <f>CONCATENATE(UPPER(TableAopCalendar[[#This Row],[Month]])," ",TableAopCalendar[[#This Row],[Year]])</f>
        <v>AUGUST 23</v>
      </c>
      <c r="J518" s="7" t="s">
        <v>274</v>
      </c>
      <c r="K518" s="7" t="str">
        <f>CONCATENATE(TableAopCalendar[[#This Row],[Month for Plan]]," ",TableAopCalendar[[#This Row],[Plan]])</f>
        <v>AUGUST 23 PLANNED</v>
      </c>
    </row>
    <row r="519" spans="1:11" x14ac:dyDescent="0.3">
      <c r="A519" s="4">
        <f t="shared" si="24"/>
        <v>3</v>
      </c>
      <c r="B519" s="5">
        <v>45169</v>
      </c>
      <c r="C519" s="6" t="s">
        <v>268</v>
      </c>
      <c r="D519" s="6">
        <v>23</v>
      </c>
      <c r="E519" s="4">
        <f>DAY(TableAopCalendar[[#This Row],[Date]])</f>
        <v>31</v>
      </c>
      <c r="F519" s="4">
        <f>IF(TableAopCalendar[[#This Row],[Day]]&lt;8,1,IF(TableAopCalendar[[#This Row],[Day]]&lt;15,2,IF(TableAopCalendar[[#This Row],[Day]]&lt;22,3,IF(TableAopCalendar[[#This Row],[Day]]&lt;29,4,IF(TableAopCalendar[[#This Row],[Day]]&lt;32,5)))))</f>
        <v>5</v>
      </c>
      <c r="G519" s="4" t="str">
        <f t="shared" si="25"/>
        <v>Week 5</v>
      </c>
      <c r="H519" s="7" t="str">
        <f t="shared" si="26"/>
        <v>August 23 Week 5</v>
      </c>
      <c r="I519" s="4" t="str">
        <f>CONCATENATE(UPPER(TableAopCalendar[[#This Row],[Month]])," ",TableAopCalendar[[#This Row],[Year]])</f>
        <v>AUGUST 23</v>
      </c>
      <c r="J519" s="7" t="s">
        <v>274</v>
      </c>
      <c r="K519" s="7" t="str">
        <f>CONCATENATE(TableAopCalendar[[#This Row],[Month for Plan]]," ",TableAopCalendar[[#This Row],[Plan]])</f>
        <v>AUGUST 23 PLANNED</v>
      </c>
    </row>
    <row r="520" spans="1:11" x14ac:dyDescent="0.3">
      <c r="A520" s="4">
        <f t="shared" si="24"/>
        <v>1</v>
      </c>
      <c r="B520" s="5">
        <v>45170</v>
      </c>
      <c r="C520" s="6" t="s">
        <v>269</v>
      </c>
      <c r="D520" s="6">
        <v>23</v>
      </c>
      <c r="E520" s="4">
        <f>DAY(TableAopCalendar[[#This Row],[Date]])</f>
        <v>1</v>
      </c>
      <c r="F520" s="4">
        <f>IF(TableAopCalendar[[#This Row],[Day]]&lt;8,1,IF(TableAopCalendar[[#This Row],[Day]]&lt;15,2,IF(TableAopCalendar[[#This Row],[Day]]&lt;22,3,IF(TableAopCalendar[[#This Row],[Day]]&lt;29,4,IF(TableAopCalendar[[#This Row],[Day]]&lt;32,5)))))</f>
        <v>1</v>
      </c>
      <c r="G520" s="4" t="str">
        <f t="shared" si="25"/>
        <v>Week 1</v>
      </c>
      <c r="H520" s="7" t="str">
        <f t="shared" si="26"/>
        <v>September 23 Week 1</v>
      </c>
      <c r="I520" s="4" t="str">
        <f>CONCATENATE(UPPER(TableAopCalendar[[#This Row],[Month]])," ",TableAopCalendar[[#This Row],[Year]])</f>
        <v>SEPTEMBER 23</v>
      </c>
      <c r="J520" s="7" t="s">
        <v>274</v>
      </c>
      <c r="K520" s="7" t="str">
        <f>CONCATENATE(TableAopCalendar[[#This Row],[Month for Plan]]," ",TableAopCalendar[[#This Row],[Plan]])</f>
        <v>SEPTEMBER 23 PLANNED</v>
      </c>
    </row>
    <row r="521" spans="1:11" x14ac:dyDescent="0.3">
      <c r="A521" s="4">
        <f t="shared" si="24"/>
        <v>2</v>
      </c>
      <c r="B521" s="5">
        <v>45171</v>
      </c>
      <c r="C521" s="6" t="s">
        <v>269</v>
      </c>
      <c r="D521" s="6">
        <v>23</v>
      </c>
      <c r="E521" s="4">
        <f>DAY(TableAopCalendar[[#This Row],[Date]])</f>
        <v>2</v>
      </c>
      <c r="F521" s="4">
        <f>IF(TableAopCalendar[[#This Row],[Day]]&lt;8,1,IF(TableAopCalendar[[#This Row],[Day]]&lt;15,2,IF(TableAopCalendar[[#This Row],[Day]]&lt;22,3,IF(TableAopCalendar[[#This Row],[Day]]&lt;29,4,IF(TableAopCalendar[[#This Row],[Day]]&lt;32,5)))))</f>
        <v>1</v>
      </c>
      <c r="G521" s="4" t="str">
        <f t="shared" si="25"/>
        <v>Week 1</v>
      </c>
      <c r="H521" s="7" t="str">
        <f t="shared" si="26"/>
        <v>September 23 Week 1</v>
      </c>
      <c r="I521" s="4" t="str">
        <f>CONCATENATE(UPPER(TableAopCalendar[[#This Row],[Month]])," ",TableAopCalendar[[#This Row],[Year]])</f>
        <v>SEPTEMBER 23</v>
      </c>
      <c r="J521" s="7" t="s">
        <v>274</v>
      </c>
      <c r="K521" s="7" t="str">
        <f>CONCATENATE(TableAopCalendar[[#This Row],[Month for Plan]]," ",TableAopCalendar[[#This Row],[Plan]])</f>
        <v>SEPTEMBER 23 PLANNED</v>
      </c>
    </row>
    <row r="522" spans="1:11" x14ac:dyDescent="0.3">
      <c r="A522" s="4">
        <f t="shared" si="24"/>
        <v>3</v>
      </c>
      <c r="B522" s="5">
        <v>45172</v>
      </c>
      <c r="C522" s="6" t="s">
        <v>269</v>
      </c>
      <c r="D522" s="6">
        <v>23</v>
      </c>
      <c r="E522" s="4">
        <f>DAY(TableAopCalendar[[#This Row],[Date]])</f>
        <v>3</v>
      </c>
      <c r="F522" s="4">
        <f>IF(TableAopCalendar[[#This Row],[Day]]&lt;8,1,IF(TableAopCalendar[[#This Row],[Day]]&lt;15,2,IF(TableAopCalendar[[#This Row],[Day]]&lt;22,3,IF(TableAopCalendar[[#This Row],[Day]]&lt;29,4,IF(TableAopCalendar[[#This Row],[Day]]&lt;32,5)))))</f>
        <v>1</v>
      </c>
      <c r="G522" s="4" t="str">
        <f t="shared" si="25"/>
        <v>Week 1</v>
      </c>
      <c r="H522" s="7" t="str">
        <f t="shared" si="26"/>
        <v>September 23 Week 1</v>
      </c>
      <c r="I522" s="4" t="str">
        <f>CONCATENATE(UPPER(TableAopCalendar[[#This Row],[Month]])," ",TableAopCalendar[[#This Row],[Year]])</f>
        <v>SEPTEMBER 23</v>
      </c>
      <c r="J522" s="7" t="s">
        <v>274</v>
      </c>
      <c r="K522" s="7" t="str">
        <f>CONCATENATE(TableAopCalendar[[#This Row],[Month for Plan]]," ",TableAopCalendar[[#This Row],[Plan]])</f>
        <v>SEPTEMBER 23 PLANNED</v>
      </c>
    </row>
    <row r="523" spans="1:11" x14ac:dyDescent="0.3">
      <c r="A523" s="4">
        <f t="shared" si="24"/>
        <v>4</v>
      </c>
      <c r="B523" s="5">
        <v>45173</v>
      </c>
      <c r="C523" s="6" t="s">
        <v>269</v>
      </c>
      <c r="D523" s="6">
        <v>23</v>
      </c>
      <c r="E523" s="4">
        <f>DAY(TableAopCalendar[[#This Row],[Date]])</f>
        <v>4</v>
      </c>
      <c r="F523" s="4">
        <f>IF(TableAopCalendar[[#This Row],[Day]]&lt;8,1,IF(TableAopCalendar[[#This Row],[Day]]&lt;15,2,IF(TableAopCalendar[[#This Row],[Day]]&lt;22,3,IF(TableAopCalendar[[#This Row],[Day]]&lt;29,4,IF(TableAopCalendar[[#This Row],[Day]]&lt;32,5)))))</f>
        <v>1</v>
      </c>
      <c r="G523" s="4" t="str">
        <f t="shared" si="25"/>
        <v>Week 1</v>
      </c>
      <c r="H523" s="7" t="str">
        <f t="shared" si="26"/>
        <v>September 23 Week 1</v>
      </c>
      <c r="I523" s="4" t="str">
        <f>CONCATENATE(UPPER(TableAopCalendar[[#This Row],[Month]])," ",TableAopCalendar[[#This Row],[Year]])</f>
        <v>SEPTEMBER 23</v>
      </c>
      <c r="J523" s="7" t="s">
        <v>274</v>
      </c>
      <c r="K523" s="7" t="str">
        <f>CONCATENATE(TableAopCalendar[[#This Row],[Month for Plan]]," ",TableAopCalendar[[#This Row],[Plan]])</f>
        <v>SEPTEMBER 23 PLANNED</v>
      </c>
    </row>
    <row r="524" spans="1:11" x14ac:dyDescent="0.3">
      <c r="A524" s="4">
        <f t="shared" si="24"/>
        <v>5</v>
      </c>
      <c r="B524" s="5">
        <v>45174</v>
      </c>
      <c r="C524" s="6" t="s">
        <v>269</v>
      </c>
      <c r="D524" s="6">
        <v>23</v>
      </c>
      <c r="E524" s="4">
        <f>DAY(TableAopCalendar[[#This Row],[Date]])</f>
        <v>5</v>
      </c>
      <c r="F524" s="4">
        <f>IF(TableAopCalendar[[#This Row],[Day]]&lt;8,1,IF(TableAopCalendar[[#This Row],[Day]]&lt;15,2,IF(TableAopCalendar[[#This Row],[Day]]&lt;22,3,IF(TableAopCalendar[[#This Row],[Day]]&lt;29,4,IF(TableAopCalendar[[#This Row],[Day]]&lt;32,5)))))</f>
        <v>1</v>
      </c>
      <c r="G524" s="4" t="str">
        <f t="shared" si="25"/>
        <v>Week 1</v>
      </c>
      <c r="H524" s="7" t="str">
        <f t="shared" si="26"/>
        <v>September 23 Week 1</v>
      </c>
      <c r="I524" s="4" t="str">
        <f>CONCATENATE(UPPER(TableAopCalendar[[#This Row],[Month]])," ",TableAopCalendar[[#This Row],[Year]])</f>
        <v>SEPTEMBER 23</v>
      </c>
      <c r="J524" s="7" t="s">
        <v>274</v>
      </c>
      <c r="K524" s="7" t="str">
        <f>CONCATENATE(TableAopCalendar[[#This Row],[Month for Plan]]," ",TableAopCalendar[[#This Row],[Plan]])</f>
        <v>SEPTEMBER 23 PLANNED</v>
      </c>
    </row>
    <row r="525" spans="1:11" x14ac:dyDescent="0.3">
      <c r="A525" s="4">
        <f t="shared" si="24"/>
        <v>6</v>
      </c>
      <c r="B525" s="5">
        <v>45175</v>
      </c>
      <c r="C525" s="6" t="s">
        <v>269</v>
      </c>
      <c r="D525" s="6">
        <v>23</v>
      </c>
      <c r="E525" s="4">
        <f>DAY(TableAopCalendar[[#This Row],[Date]])</f>
        <v>6</v>
      </c>
      <c r="F525" s="4">
        <f>IF(TableAopCalendar[[#This Row],[Day]]&lt;8,1,IF(TableAopCalendar[[#This Row],[Day]]&lt;15,2,IF(TableAopCalendar[[#This Row],[Day]]&lt;22,3,IF(TableAopCalendar[[#This Row],[Day]]&lt;29,4,IF(TableAopCalendar[[#This Row],[Day]]&lt;32,5)))))</f>
        <v>1</v>
      </c>
      <c r="G525" s="4" t="str">
        <f t="shared" si="25"/>
        <v>Week 1</v>
      </c>
      <c r="H525" s="7" t="str">
        <f t="shared" si="26"/>
        <v>September 23 Week 1</v>
      </c>
      <c r="I525" s="4" t="str">
        <f>CONCATENATE(UPPER(TableAopCalendar[[#This Row],[Month]])," ",TableAopCalendar[[#This Row],[Year]])</f>
        <v>SEPTEMBER 23</v>
      </c>
      <c r="J525" s="7" t="s">
        <v>274</v>
      </c>
      <c r="K525" s="7" t="str">
        <f>CONCATENATE(TableAopCalendar[[#This Row],[Month for Plan]]," ",TableAopCalendar[[#This Row],[Plan]])</f>
        <v>SEPTEMBER 23 PLANNED</v>
      </c>
    </row>
    <row r="526" spans="1:11" x14ac:dyDescent="0.3">
      <c r="A526" s="4">
        <f t="shared" si="24"/>
        <v>7</v>
      </c>
      <c r="B526" s="5">
        <v>45176</v>
      </c>
      <c r="C526" s="6" t="s">
        <v>269</v>
      </c>
      <c r="D526" s="6">
        <v>23</v>
      </c>
      <c r="E526" s="4">
        <f>DAY(TableAopCalendar[[#This Row],[Date]])</f>
        <v>7</v>
      </c>
      <c r="F526" s="4">
        <f>IF(TableAopCalendar[[#This Row],[Day]]&lt;8,1,IF(TableAopCalendar[[#This Row],[Day]]&lt;15,2,IF(TableAopCalendar[[#This Row],[Day]]&lt;22,3,IF(TableAopCalendar[[#This Row],[Day]]&lt;29,4,IF(TableAopCalendar[[#This Row],[Day]]&lt;32,5)))))</f>
        <v>1</v>
      </c>
      <c r="G526" s="4" t="str">
        <f t="shared" si="25"/>
        <v>Week 1</v>
      </c>
      <c r="H526" s="7" t="str">
        <f t="shared" si="26"/>
        <v>September 23 Week 1</v>
      </c>
      <c r="I526" s="4" t="str">
        <f>CONCATENATE(UPPER(TableAopCalendar[[#This Row],[Month]])," ",TableAopCalendar[[#This Row],[Year]])</f>
        <v>SEPTEMBER 23</v>
      </c>
      <c r="J526" s="7" t="s">
        <v>274</v>
      </c>
      <c r="K526" s="7" t="str">
        <f>CONCATENATE(TableAopCalendar[[#This Row],[Month for Plan]]," ",TableAopCalendar[[#This Row],[Plan]])</f>
        <v>SEPTEMBER 23 PLANNED</v>
      </c>
    </row>
    <row r="527" spans="1:11" x14ac:dyDescent="0.3">
      <c r="A527" s="4">
        <f t="shared" si="24"/>
        <v>1</v>
      </c>
      <c r="B527" s="5">
        <v>45177</v>
      </c>
      <c r="C527" s="6" t="s">
        <v>269</v>
      </c>
      <c r="D527" s="6">
        <v>23</v>
      </c>
      <c r="E527" s="4">
        <f>DAY(TableAopCalendar[[#This Row],[Date]])</f>
        <v>8</v>
      </c>
      <c r="F527" s="4">
        <f>IF(TableAopCalendar[[#This Row],[Day]]&lt;8,1,IF(TableAopCalendar[[#This Row],[Day]]&lt;15,2,IF(TableAopCalendar[[#This Row],[Day]]&lt;22,3,IF(TableAopCalendar[[#This Row],[Day]]&lt;29,4,IF(TableAopCalendar[[#This Row],[Day]]&lt;32,5)))))</f>
        <v>2</v>
      </c>
      <c r="G527" s="4" t="str">
        <f t="shared" si="25"/>
        <v>Week 2</v>
      </c>
      <c r="H527" s="7" t="str">
        <f t="shared" si="26"/>
        <v>September 23 Week 2</v>
      </c>
      <c r="I527" s="4" t="str">
        <f>CONCATENATE(UPPER(TableAopCalendar[[#This Row],[Month]])," ",TableAopCalendar[[#This Row],[Year]])</f>
        <v>SEPTEMBER 23</v>
      </c>
      <c r="J527" s="7" t="s">
        <v>274</v>
      </c>
      <c r="K527" s="7" t="str">
        <f>CONCATENATE(TableAopCalendar[[#This Row],[Month for Plan]]," ",TableAopCalendar[[#This Row],[Plan]])</f>
        <v>SEPTEMBER 23 PLANNED</v>
      </c>
    </row>
    <row r="528" spans="1:11" x14ac:dyDescent="0.3">
      <c r="A528" s="4">
        <f t="shared" si="24"/>
        <v>2</v>
      </c>
      <c r="B528" s="5">
        <v>45178</v>
      </c>
      <c r="C528" s="6" t="s">
        <v>269</v>
      </c>
      <c r="D528" s="6">
        <v>23</v>
      </c>
      <c r="E528" s="4">
        <f>DAY(TableAopCalendar[[#This Row],[Date]])</f>
        <v>9</v>
      </c>
      <c r="F528" s="4">
        <f>IF(TableAopCalendar[[#This Row],[Day]]&lt;8,1,IF(TableAopCalendar[[#This Row],[Day]]&lt;15,2,IF(TableAopCalendar[[#This Row],[Day]]&lt;22,3,IF(TableAopCalendar[[#This Row],[Day]]&lt;29,4,IF(TableAopCalendar[[#This Row],[Day]]&lt;32,5)))))</f>
        <v>2</v>
      </c>
      <c r="G528" s="4" t="str">
        <f t="shared" si="25"/>
        <v>Week 2</v>
      </c>
      <c r="H528" s="7" t="str">
        <f t="shared" si="26"/>
        <v>September 23 Week 2</v>
      </c>
      <c r="I528" s="4" t="str">
        <f>CONCATENATE(UPPER(TableAopCalendar[[#This Row],[Month]])," ",TableAopCalendar[[#This Row],[Year]])</f>
        <v>SEPTEMBER 23</v>
      </c>
      <c r="J528" s="7" t="s">
        <v>274</v>
      </c>
      <c r="K528" s="7" t="str">
        <f>CONCATENATE(TableAopCalendar[[#This Row],[Month for Plan]]," ",TableAopCalendar[[#This Row],[Plan]])</f>
        <v>SEPTEMBER 23 PLANNED</v>
      </c>
    </row>
    <row r="529" spans="1:11" x14ac:dyDescent="0.3">
      <c r="A529" s="4">
        <f t="shared" si="24"/>
        <v>3</v>
      </c>
      <c r="B529" s="5">
        <v>45179</v>
      </c>
      <c r="C529" s="6" t="s">
        <v>269</v>
      </c>
      <c r="D529" s="6">
        <v>23</v>
      </c>
      <c r="E529" s="4">
        <f>DAY(TableAopCalendar[[#This Row],[Date]])</f>
        <v>10</v>
      </c>
      <c r="F529" s="4">
        <f>IF(TableAopCalendar[[#This Row],[Day]]&lt;8,1,IF(TableAopCalendar[[#This Row],[Day]]&lt;15,2,IF(TableAopCalendar[[#This Row],[Day]]&lt;22,3,IF(TableAopCalendar[[#This Row],[Day]]&lt;29,4,IF(TableAopCalendar[[#This Row],[Day]]&lt;32,5)))))</f>
        <v>2</v>
      </c>
      <c r="G529" s="4" t="str">
        <f t="shared" si="25"/>
        <v>Week 2</v>
      </c>
      <c r="H529" s="7" t="str">
        <f t="shared" si="26"/>
        <v>September 23 Week 2</v>
      </c>
      <c r="I529" s="4" t="str">
        <f>CONCATENATE(UPPER(TableAopCalendar[[#This Row],[Month]])," ",TableAopCalendar[[#This Row],[Year]])</f>
        <v>SEPTEMBER 23</v>
      </c>
      <c r="J529" s="7" t="s">
        <v>274</v>
      </c>
      <c r="K529" s="7" t="str">
        <f>CONCATENATE(TableAopCalendar[[#This Row],[Month for Plan]]," ",TableAopCalendar[[#This Row],[Plan]])</f>
        <v>SEPTEMBER 23 PLANNED</v>
      </c>
    </row>
    <row r="530" spans="1:11" x14ac:dyDescent="0.3">
      <c r="A530" s="4">
        <f t="shared" si="24"/>
        <v>4</v>
      </c>
      <c r="B530" s="5">
        <v>45180</v>
      </c>
      <c r="C530" s="6" t="s">
        <v>269</v>
      </c>
      <c r="D530" s="6">
        <v>23</v>
      </c>
      <c r="E530" s="4">
        <f>DAY(TableAopCalendar[[#This Row],[Date]])</f>
        <v>11</v>
      </c>
      <c r="F530" s="4">
        <f>IF(TableAopCalendar[[#This Row],[Day]]&lt;8,1,IF(TableAopCalendar[[#This Row],[Day]]&lt;15,2,IF(TableAopCalendar[[#This Row],[Day]]&lt;22,3,IF(TableAopCalendar[[#This Row],[Day]]&lt;29,4,IF(TableAopCalendar[[#This Row],[Day]]&lt;32,5)))))</f>
        <v>2</v>
      </c>
      <c r="G530" s="4" t="str">
        <f t="shared" si="25"/>
        <v>Week 2</v>
      </c>
      <c r="H530" s="7" t="str">
        <f t="shared" si="26"/>
        <v>September 23 Week 2</v>
      </c>
      <c r="I530" s="4" t="str">
        <f>CONCATENATE(UPPER(TableAopCalendar[[#This Row],[Month]])," ",TableAopCalendar[[#This Row],[Year]])</f>
        <v>SEPTEMBER 23</v>
      </c>
      <c r="J530" s="7" t="s">
        <v>274</v>
      </c>
      <c r="K530" s="7" t="str">
        <f>CONCATENATE(TableAopCalendar[[#This Row],[Month for Plan]]," ",TableAopCalendar[[#This Row],[Plan]])</f>
        <v>SEPTEMBER 23 PLANNED</v>
      </c>
    </row>
    <row r="531" spans="1:11" x14ac:dyDescent="0.3">
      <c r="A531" s="4">
        <f t="shared" si="24"/>
        <v>5</v>
      </c>
      <c r="B531" s="5">
        <v>45181</v>
      </c>
      <c r="C531" s="6" t="s">
        <v>269</v>
      </c>
      <c r="D531" s="6">
        <v>23</v>
      </c>
      <c r="E531" s="4">
        <f>DAY(TableAopCalendar[[#This Row],[Date]])</f>
        <v>12</v>
      </c>
      <c r="F531" s="4">
        <f>IF(TableAopCalendar[[#This Row],[Day]]&lt;8,1,IF(TableAopCalendar[[#This Row],[Day]]&lt;15,2,IF(TableAopCalendar[[#This Row],[Day]]&lt;22,3,IF(TableAopCalendar[[#This Row],[Day]]&lt;29,4,IF(TableAopCalendar[[#This Row],[Day]]&lt;32,5)))))</f>
        <v>2</v>
      </c>
      <c r="G531" s="4" t="str">
        <f t="shared" si="25"/>
        <v>Week 2</v>
      </c>
      <c r="H531" s="7" t="str">
        <f t="shared" si="26"/>
        <v>September 23 Week 2</v>
      </c>
      <c r="I531" s="4" t="str">
        <f>CONCATENATE(UPPER(TableAopCalendar[[#This Row],[Month]])," ",TableAopCalendar[[#This Row],[Year]])</f>
        <v>SEPTEMBER 23</v>
      </c>
      <c r="J531" s="7" t="s">
        <v>274</v>
      </c>
      <c r="K531" s="7" t="str">
        <f>CONCATENATE(TableAopCalendar[[#This Row],[Month for Plan]]," ",TableAopCalendar[[#This Row],[Plan]])</f>
        <v>SEPTEMBER 23 PLANNED</v>
      </c>
    </row>
    <row r="532" spans="1:11" x14ac:dyDescent="0.3">
      <c r="A532" s="4">
        <f t="shared" si="24"/>
        <v>6</v>
      </c>
      <c r="B532" s="5">
        <v>45182</v>
      </c>
      <c r="C532" s="6" t="s">
        <v>269</v>
      </c>
      <c r="D532" s="6">
        <v>23</v>
      </c>
      <c r="E532" s="4">
        <f>DAY(TableAopCalendar[[#This Row],[Date]])</f>
        <v>13</v>
      </c>
      <c r="F532" s="4">
        <f>IF(TableAopCalendar[[#This Row],[Day]]&lt;8,1,IF(TableAopCalendar[[#This Row],[Day]]&lt;15,2,IF(TableAopCalendar[[#This Row],[Day]]&lt;22,3,IF(TableAopCalendar[[#This Row],[Day]]&lt;29,4,IF(TableAopCalendar[[#This Row],[Day]]&lt;32,5)))))</f>
        <v>2</v>
      </c>
      <c r="G532" s="4" t="str">
        <f t="shared" si="25"/>
        <v>Week 2</v>
      </c>
      <c r="H532" s="7" t="str">
        <f t="shared" si="26"/>
        <v>September 23 Week 2</v>
      </c>
      <c r="I532" s="4" t="str">
        <f>CONCATENATE(UPPER(TableAopCalendar[[#This Row],[Month]])," ",TableAopCalendar[[#This Row],[Year]])</f>
        <v>SEPTEMBER 23</v>
      </c>
      <c r="J532" s="7" t="s">
        <v>274</v>
      </c>
      <c r="K532" s="7" t="str">
        <f>CONCATENATE(TableAopCalendar[[#This Row],[Month for Plan]]," ",TableAopCalendar[[#This Row],[Plan]])</f>
        <v>SEPTEMBER 23 PLANNED</v>
      </c>
    </row>
    <row r="533" spans="1:11" x14ac:dyDescent="0.3">
      <c r="A533" s="4">
        <f t="shared" si="24"/>
        <v>7</v>
      </c>
      <c r="B533" s="5">
        <v>45183</v>
      </c>
      <c r="C533" s="6" t="s">
        <v>269</v>
      </c>
      <c r="D533" s="6">
        <v>23</v>
      </c>
      <c r="E533" s="4">
        <f>DAY(TableAopCalendar[[#This Row],[Date]])</f>
        <v>14</v>
      </c>
      <c r="F533" s="4">
        <f>IF(TableAopCalendar[[#This Row],[Day]]&lt;8,1,IF(TableAopCalendar[[#This Row],[Day]]&lt;15,2,IF(TableAopCalendar[[#This Row],[Day]]&lt;22,3,IF(TableAopCalendar[[#This Row],[Day]]&lt;29,4,IF(TableAopCalendar[[#This Row],[Day]]&lt;32,5)))))</f>
        <v>2</v>
      </c>
      <c r="G533" s="4" t="str">
        <f t="shared" si="25"/>
        <v>Week 2</v>
      </c>
      <c r="H533" s="7" t="str">
        <f t="shared" si="26"/>
        <v>September 23 Week 2</v>
      </c>
      <c r="I533" s="4" t="str">
        <f>CONCATENATE(UPPER(TableAopCalendar[[#This Row],[Month]])," ",TableAopCalendar[[#This Row],[Year]])</f>
        <v>SEPTEMBER 23</v>
      </c>
      <c r="J533" s="7" t="s">
        <v>274</v>
      </c>
      <c r="K533" s="7" t="str">
        <f>CONCATENATE(TableAopCalendar[[#This Row],[Month for Plan]]," ",TableAopCalendar[[#This Row],[Plan]])</f>
        <v>SEPTEMBER 23 PLANNED</v>
      </c>
    </row>
    <row r="534" spans="1:11" x14ac:dyDescent="0.3">
      <c r="A534" s="4">
        <f t="shared" si="24"/>
        <v>1</v>
      </c>
      <c r="B534" s="5">
        <v>45184</v>
      </c>
      <c r="C534" s="6" t="s">
        <v>269</v>
      </c>
      <c r="D534" s="6">
        <v>23</v>
      </c>
      <c r="E534" s="4">
        <f>DAY(TableAopCalendar[[#This Row],[Date]])</f>
        <v>15</v>
      </c>
      <c r="F534" s="4">
        <f>IF(TableAopCalendar[[#This Row],[Day]]&lt;8,1,IF(TableAopCalendar[[#This Row],[Day]]&lt;15,2,IF(TableAopCalendar[[#This Row],[Day]]&lt;22,3,IF(TableAopCalendar[[#This Row],[Day]]&lt;29,4,IF(TableAopCalendar[[#This Row],[Day]]&lt;32,5)))))</f>
        <v>3</v>
      </c>
      <c r="G534" s="4" t="str">
        <f t="shared" si="25"/>
        <v>Week 3</v>
      </c>
      <c r="H534" s="7" t="str">
        <f t="shared" si="26"/>
        <v>September 23 Week 3</v>
      </c>
      <c r="I534" s="4" t="str">
        <f>CONCATENATE(UPPER(TableAopCalendar[[#This Row],[Month]])," ",TableAopCalendar[[#This Row],[Year]])</f>
        <v>SEPTEMBER 23</v>
      </c>
      <c r="J534" s="7" t="s">
        <v>274</v>
      </c>
      <c r="K534" s="7" t="str">
        <f>CONCATENATE(TableAopCalendar[[#This Row],[Month for Plan]]," ",TableAopCalendar[[#This Row],[Plan]])</f>
        <v>SEPTEMBER 23 PLANNED</v>
      </c>
    </row>
    <row r="535" spans="1:11" x14ac:dyDescent="0.3">
      <c r="A535" s="4">
        <f t="shared" si="24"/>
        <v>2</v>
      </c>
      <c r="B535" s="5">
        <v>45185</v>
      </c>
      <c r="C535" s="6" t="s">
        <v>269</v>
      </c>
      <c r="D535" s="6">
        <v>23</v>
      </c>
      <c r="E535" s="4">
        <f>DAY(TableAopCalendar[[#This Row],[Date]])</f>
        <v>16</v>
      </c>
      <c r="F535" s="4">
        <f>IF(TableAopCalendar[[#This Row],[Day]]&lt;8,1,IF(TableAopCalendar[[#This Row],[Day]]&lt;15,2,IF(TableAopCalendar[[#This Row],[Day]]&lt;22,3,IF(TableAopCalendar[[#This Row],[Day]]&lt;29,4,IF(TableAopCalendar[[#This Row],[Day]]&lt;32,5)))))</f>
        <v>3</v>
      </c>
      <c r="G535" s="4" t="str">
        <f t="shared" si="25"/>
        <v>Week 3</v>
      </c>
      <c r="H535" s="7" t="str">
        <f t="shared" si="26"/>
        <v>September 23 Week 3</v>
      </c>
      <c r="I535" s="4" t="str">
        <f>CONCATENATE(UPPER(TableAopCalendar[[#This Row],[Month]])," ",TableAopCalendar[[#This Row],[Year]])</f>
        <v>SEPTEMBER 23</v>
      </c>
      <c r="J535" s="7" t="s">
        <v>274</v>
      </c>
      <c r="K535" s="7" t="str">
        <f>CONCATENATE(TableAopCalendar[[#This Row],[Month for Plan]]," ",TableAopCalendar[[#This Row],[Plan]])</f>
        <v>SEPTEMBER 23 PLANNED</v>
      </c>
    </row>
    <row r="536" spans="1:11" x14ac:dyDescent="0.3">
      <c r="A536" s="4">
        <f t="shared" si="24"/>
        <v>3</v>
      </c>
      <c r="B536" s="5">
        <v>45186</v>
      </c>
      <c r="C536" s="6" t="s">
        <v>269</v>
      </c>
      <c r="D536" s="6">
        <v>23</v>
      </c>
      <c r="E536" s="4">
        <f>DAY(TableAopCalendar[[#This Row],[Date]])</f>
        <v>17</v>
      </c>
      <c r="F536" s="4">
        <f>IF(TableAopCalendar[[#This Row],[Day]]&lt;8,1,IF(TableAopCalendar[[#This Row],[Day]]&lt;15,2,IF(TableAopCalendar[[#This Row],[Day]]&lt;22,3,IF(TableAopCalendar[[#This Row],[Day]]&lt;29,4,IF(TableAopCalendar[[#This Row],[Day]]&lt;32,5)))))</f>
        <v>3</v>
      </c>
      <c r="G536" s="4" t="str">
        <f t="shared" si="25"/>
        <v>Week 3</v>
      </c>
      <c r="H536" s="7" t="str">
        <f t="shared" si="26"/>
        <v>September 23 Week 3</v>
      </c>
      <c r="I536" s="4" t="str">
        <f>CONCATENATE(UPPER(TableAopCalendar[[#This Row],[Month]])," ",TableAopCalendar[[#This Row],[Year]])</f>
        <v>SEPTEMBER 23</v>
      </c>
      <c r="J536" s="7" t="s">
        <v>274</v>
      </c>
      <c r="K536" s="7" t="str">
        <f>CONCATENATE(TableAopCalendar[[#This Row],[Month for Plan]]," ",TableAopCalendar[[#This Row],[Plan]])</f>
        <v>SEPTEMBER 23 PLANNED</v>
      </c>
    </row>
    <row r="537" spans="1:11" x14ac:dyDescent="0.3">
      <c r="A537" s="4">
        <f t="shared" si="24"/>
        <v>4</v>
      </c>
      <c r="B537" s="5">
        <v>45187</v>
      </c>
      <c r="C537" s="6" t="s">
        <v>269</v>
      </c>
      <c r="D537" s="6">
        <v>23</v>
      </c>
      <c r="E537" s="4">
        <f>DAY(TableAopCalendar[[#This Row],[Date]])</f>
        <v>18</v>
      </c>
      <c r="F537" s="4">
        <f>IF(TableAopCalendar[[#This Row],[Day]]&lt;8,1,IF(TableAopCalendar[[#This Row],[Day]]&lt;15,2,IF(TableAopCalendar[[#This Row],[Day]]&lt;22,3,IF(TableAopCalendar[[#This Row],[Day]]&lt;29,4,IF(TableAopCalendar[[#This Row],[Day]]&lt;32,5)))))</f>
        <v>3</v>
      </c>
      <c r="G537" s="4" t="str">
        <f t="shared" si="25"/>
        <v>Week 3</v>
      </c>
      <c r="H537" s="7" t="str">
        <f t="shared" si="26"/>
        <v>September 23 Week 3</v>
      </c>
      <c r="I537" s="4" t="str">
        <f>CONCATENATE(UPPER(TableAopCalendar[[#This Row],[Month]])," ",TableAopCalendar[[#This Row],[Year]])</f>
        <v>SEPTEMBER 23</v>
      </c>
      <c r="J537" s="7" t="s">
        <v>274</v>
      </c>
      <c r="K537" s="7" t="str">
        <f>CONCATENATE(TableAopCalendar[[#This Row],[Month for Plan]]," ",TableAopCalendar[[#This Row],[Plan]])</f>
        <v>SEPTEMBER 23 PLANNED</v>
      </c>
    </row>
    <row r="538" spans="1:11" x14ac:dyDescent="0.3">
      <c r="A538" s="4">
        <f t="shared" si="24"/>
        <v>5</v>
      </c>
      <c r="B538" s="5">
        <v>45188</v>
      </c>
      <c r="C538" s="6" t="s">
        <v>269</v>
      </c>
      <c r="D538" s="6">
        <v>23</v>
      </c>
      <c r="E538" s="4">
        <f>DAY(TableAopCalendar[[#This Row],[Date]])</f>
        <v>19</v>
      </c>
      <c r="F538" s="4">
        <f>IF(TableAopCalendar[[#This Row],[Day]]&lt;8,1,IF(TableAopCalendar[[#This Row],[Day]]&lt;15,2,IF(TableAopCalendar[[#This Row],[Day]]&lt;22,3,IF(TableAopCalendar[[#This Row],[Day]]&lt;29,4,IF(TableAopCalendar[[#This Row],[Day]]&lt;32,5)))))</f>
        <v>3</v>
      </c>
      <c r="G538" s="4" t="str">
        <f t="shared" si="25"/>
        <v>Week 3</v>
      </c>
      <c r="H538" s="7" t="str">
        <f t="shared" si="26"/>
        <v>September 23 Week 3</v>
      </c>
      <c r="I538" s="4" t="str">
        <f>CONCATENATE(UPPER(TableAopCalendar[[#This Row],[Month]])," ",TableAopCalendar[[#This Row],[Year]])</f>
        <v>SEPTEMBER 23</v>
      </c>
      <c r="J538" s="7" t="s">
        <v>274</v>
      </c>
      <c r="K538" s="7" t="str">
        <f>CONCATENATE(TableAopCalendar[[#This Row],[Month for Plan]]," ",TableAopCalendar[[#This Row],[Plan]])</f>
        <v>SEPTEMBER 23 PLANNED</v>
      </c>
    </row>
    <row r="539" spans="1:11" x14ac:dyDescent="0.3">
      <c r="A539" s="4">
        <f t="shared" si="24"/>
        <v>6</v>
      </c>
      <c r="B539" s="5">
        <v>45189</v>
      </c>
      <c r="C539" s="6" t="s">
        <v>269</v>
      </c>
      <c r="D539" s="6">
        <v>23</v>
      </c>
      <c r="E539" s="4">
        <f>DAY(TableAopCalendar[[#This Row],[Date]])</f>
        <v>20</v>
      </c>
      <c r="F539" s="4">
        <f>IF(TableAopCalendar[[#This Row],[Day]]&lt;8,1,IF(TableAopCalendar[[#This Row],[Day]]&lt;15,2,IF(TableAopCalendar[[#This Row],[Day]]&lt;22,3,IF(TableAopCalendar[[#This Row],[Day]]&lt;29,4,IF(TableAopCalendar[[#This Row],[Day]]&lt;32,5)))))</f>
        <v>3</v>
      </c>
      <c r="G539" s="4" t="str">
        <f t="shared" si="25"/>
        <v>Week 3</v>
      </c>
      <c r="H539" s="7" t="str">
        <f t="shared" si="26"/>
        <v>September 23 Week 3</v>
      </c>
      <c r="I539" s="4" t="str">
        <f>CONCATENATE(UPPER(TableAopCalendar[[#This Row],[Month]])," ",TableAopCalendar[[#This Row],[Year]])</f>
        <v>SEPTEMBER 23</v>
      </c>
      <c r="J539" s="7" t="s">
        <v>274</v>
      </c>
      <c r="K539" s="7" t="str">
        <f>CONCATENATE(TableAopCalendar[[#This Row],[Month for Plan]]," ",TableAopCalendar[[#This Row],[Plan]])</f>
        <v>SEPTEMBER 23 PLANNED</v>
      </c>
    </row>
    <row r="540" spans="1:11" x14ac:dyDescent="0.3">
      <c r="A540" s="4">
        <f t="shared" si="24"/>
        <v>7</v>
      </c>
      <c r="B540" s="5">
        <v>45190</v>
      </c>
      <c r="C540" s="6" t="s">
        <v>269</v>
      </c>
      <c r="D540" s="6">
        <v>23</v>
      </c>
      <c r="E540" s="4">
        <f>DAY(TableAopCalendar[[#This Row],[Date]])</f>
        <v>21</v>
      </c>
      <c r="F540" s="4">
        <f>IF(TableAopCalendar[[#This Row],[Day]]&lt;8,1,IF(TableAopCalendar[[#This Row],[Day]]&lt;15,2,IF(TableAopCalendar[[#This Row],[Day]]&lt;22,3,IF(TableAopCalendar[[#This Row],[Day]]&lt;29,4,IF(TableAopCalendar[[#This Row],[Day]]&lt;32,5)))))</f>
        <v>3</v>
      </c>
      <c r="G540" s="4" t="str">
        <f t="shared" si="25"/>
        <v>Week 3</v>
      </c>
      <c r="H540" s="7" t="str">
        <f t="shared" si="26"/>
        <v>September 23 Week 3</v>
      </c>
      <c r="I540" s="4" t="str">
        <f>CONCATENATE(UPPER(TableAopCalendar[[#This Row],[Month]])," ",TableAopCalendar[[#This Row],[Year]])</f>
        <v>SEPTEMBER 23</v>
      </c>
      <c r="J540" s="7" t="s">
        <v>274</v>
      </c>
      <c r="K540" s="7" t="str">
        <f>CONCATENATE(TableAopCalendar[[#This Row],[Month for Plan]]," ",TableAopCalendar[[#This Row],[Plan]])</f>
        <v>SEPTEMBER 23 PLANNED</v>
      </c>
    </row>
    <row r="541" spans="1:11" x14ac:dyDescent="0.3">
      <c r="A541" s="4">
        <f t="shared" si="24"/>
        <v>1</v>
      </c>
      <c r="B541" s="5">
        <v>45191</v>
      </c>
      <c r="C541" s="6" t="s">
        <v>269</v>
      </c>
      <c r="D541" s="6">
        <v>23</v>
      </c>
      <c r="E541" s="4">
        <f>DAY(TableAopCalendar[[#This Row],[Date]])</f>
        <v>22</v>
      </c>
      <c r="F541" s="4">
        <f>IF(TableAopCalendar[[#This Row],[Day]]&lt;8,1,IF(TableAopCalendar[[#This Row],[Day]]&lt;15,2,IF(TableAopCalendar[[#This Row],[Day]]&lt;22,3,IF(TableAopCalendar[[#This Row],[Day]]&lt;29,4,IF(TableAopCalendar[[#This Row],[Day]]&lt;32,5)))))</f>
        <v>4</v>
      </c>
      <c r="G541" s="4" t="str">
        <f t="shared" si="25"/>
        <v>Week 4</v>
      </c>
      <c r="H541" s="7" t="str">
        <f t="shared" si="26"/>
        <v>September 23 Week 4</v>
      </c>
      <c r="I541" s="4" t="str">
        <f>CONCATENATE(UPPER(TableAopCalendar[[#This Row],[Month]])," ",TableAopCalendar[[#This Row],[Year]])</f>
        <v>SEPTEMBER 23</v>
      </c>
      <c r="J541" s="7" t="s">
        <v>274</v>
      </c>
      <c r="K541" s="7" t="str">
        <f>CONCATENATE(TableAopCalendar[[#This Row],[Month for Plan]]," ",TableAopCalendar[[#This Row],[Plan]])</f>
        <v>SEPTEMBER 23 PLANNED</v>
      </c>
    </row>
    <row r="542" spans="1:11" x14ac:dyDescent="0.3">
      <c r="A542" s="4">
        <f t="shared" si="24"/>
        <v>2</v>
      </c>
      <c r="B542" s="5">
        <v>45192</v>
      </c>
      <c r="C542" s="6" t="s">
        <v>269</v>
      </c>
      <c r="D542" s="6">
        <v>23</v>
      </c>
      <c r="E542" s="4">
        <f>DAY(TableAopCalendar[[#This Row],[Date]])</f>
        <v>23</v>
      </c>
      <c r="F542" s="4">
        <f>IF(TableAopCalendar[[#This Row],[Day]]&lt;8,1,IF(TableAopCalendar[[#This Row],[Day]]&lt;15,2,IF(TableAopCalendar[[#This Row],[Day]]&lt;22,3,IF(TableAopCalendar[[#This Row],[Day]]&lt;29,4,IF(TableAopCalendar[[#This Row],[Day]]&lt;32,5)))))</f>
        <v>4</v>
      </c>
      <c r="G542" s="4" t="str">
        <f t="shared" si="25"/>
        <v>Week 4</v>
      </c>
      <c r="H542" s="7" t="str">
        <f t="shared" si="26"/>
        <v>September 23 Week 4</v>
      </c>
      <c r="I542" s="4" t="str">
        <f>CONCATENATE(UPPER(TableAopCalendar[[#This Row],[Month]])," ",TableAopCalendar[[#This Row],[Year]])</f>
        <v>SEPTEMBER 23</v>
      </c>
      <c r="J542" s="7" t="s">
        <v>274</v>
      </c>
      <c r="K542" s="7" t="str">
        <f>CONCATENATE(TableAopCalendar[[#This Row],[Month for Plan]]," ",TableAopCalendar[[#This Row],[Plan]])</f>
        <v>SEPTEMBER 23 PLANNED</v>
      </c>
    </row>
    <row r="543" spans="1:11" x14ac:dyDescent="0.3">
      <c r="A543" s="4">
        <f t="shared" si="24"/>
        <v>3</v>
      </c>
      <c r="B543" s="5">
        <v>45193</v>
      </c>
      <c r="C543" s="6" t="s">
        <v>269</v>
      </c>
      <c r="D543" s="6">
        <v>23</v>
      </c>
      <c r="E543" s="4">
        <f>DAY(TableAopCalendar[[#This Row],[Date]])</f>
        <v>24</v>
      </c>
      <c r="F543" s="4">
        <f>IF(TableAopCalendar[[#This Row],[Day]]&lt;8,1,IF(TableAopCalendar[[#This Row],[Day]]&lt;15,2,IF(TableAopCalendar[[#This Row],[Day]]&lt;22,3,IF(TableAopCalendar[[#This Row],[Day]]&lt;29,4,IF(TableAopCalendar[[#This Row],[Day]]&lt;32,5)))))</f>
        <v>4</v>
      </c>
      <c r="G543" s="4" t="str">
        <f t="shared" si="25"/>
        <v>Week 4</v>
      </c>
      <c r="H543" s="7" t="str">
        <f t="shared" si="26"/>
        <v>September 23 Week 4</v>
      </c>
      <c r="I543" s="4" t="str">
        <f>CONCATENATE(UPPER(TableAopCalendar[[#This Row],[Month]])," ",TableAopCalendar[[#This Row],[Year]])</f>
        <v>SEPTEMBER 23</v>
      </c>
      <c r="J543" s="7" t="s">
        <v>274</v>
      </c>
      <c r="K543" s="7" t="str">
        <f>CONCATENATE(TableAopCalendar[[#This Row],[Month for Plan]]," ",TableAopCalendar[[#This Row],[Plan]])</f>
        <v>SEPTEMBER 23 PLANNED</v>
      </c>
    </row>
    <row r="544" spans="1:11" x14ac:dyDescent="0.3">
      <c r="A544" s="4">
        <f t="shared" si="24"/>
        <v>4</v>
      </c>
      <c r="B544" s="5">
        <v>45194</v>
      </c>
      <c r="C544" s="6" t="s">
        <v>269</v>
      </c>
      <c r="D544" s="6">
        <v>23</v>
      </c>
      <c r="E544" s="4">
        <f>DAY(TableAopCalendar[[#This Row],[Date]])</f>
        <v>25</v>
      </c>
      <c r="F544" s="4">
        <f>IF(TableAopCalendar[[#This Row],[Day]]&lt;8,1,IF(TableAopCalendar[[#This Row],[Day]]&lt;15,2,IF(TableAopCalendar[[#This Row],[Day]]&lt;22,3,IF(TableAopCalendar[[#This Row],[Day]]&lt;29,4,IF(TableAopCalendar[[#This Row],[Day]]&lt;32,5)))))</f>
        <v>4</v>
      </c>
      <c r="G544" s="4" t="str">
        <f t="shared" si="25"/>
        <v>Week 4</v>
      </c>
      <c r="H544" s="7" t="str">
        <f t="shared" si="26"/>
        <v>September 23 Week 4</v>
      </c>
      <c r="I544" s="4" t="str">
        <f>CONCATENATE(UPPER(TableAopCalendar[[#This Row],[Month]])," ",TableAopCalendar[[#This Row],[Year]])</f>
        <v>SEPTEMBER 23</v>
      </c>
      <c r="J544" s="7" t="s">
        <v>274</v>
      </c>
      <c r="K544" s="7" t="str">
        <f>CONCATENATE(TableAopCalendar[[#This Row],[Month for Plan]]," ",TableAopCalendar[[#This Row],[Plan]])</f>
        <v>SEPTEMBER 23 PLANNED</v>
      </c>
    </row>
    <row r="545" spans="1:11" x14ac:dyDescent="0.3">
      <c r="A545" s="4">
        <f t="shared" si="24"/>
        <v>5</v>
      </c>
      <c r="B545" s="5">
        <v>45195</v>
      </c>
      <c r="C545" s="6" t="s">
        <v>269</v>
      </c>
      <c r="D545" s="6">
        <v>23</v>
      </c>
      <c r="E545" s="4">
        <f>DAY(TableAopCalendar[[#This Row],[Date]])</f>
        <v>26</v>
      </c>
      <c r="F545" s="4">
        <f>IF(TableAopCalendar[[#This Row],[Day]]&lt;8,1,IF(TableAopCalendar[[#This Row],[Day]]&lt;15,2,IF(TableAopCalendar[[#This Row],[Day]]&lt;22,3,IF(TableAopCalendar[[#This Row],[Day]]&lt;29,4,IF(TableAopCalendar[[#This Row],[Day]]&lt;32,5)))))</f>
        <v>4</v>
      </c>
      <c r="G545" s="4" t="str">
        <f t="shared" si="25"/>
        <v>Week 4</v>
      </c>
      <c r="H545" s="7" t="str">
        <f t="shared" si="26"/>
        <v>September 23 Week 4</v>
      </c>
      <c r="I545" s="4" t="str">
        <f>CONCATENATE(UPPER(TableAopCalendar[[#This Row],[Month]])," ",TableAopCalendar[[#This Row],[Year]])</f>
        <v>SEPTEMBER 23</v>
      </c>
      <c r="J545" s="7" t="s">
        <v>274</v>
      </c>
      <c r="K545" s="7" t="str">
        <f>CONCATENATE(TableAopCalendar[[#This Row],[Month for Plan]]," ",TableAopCalendar[[#This Row],[Plan]])</f>
        <v>SEPTEMBER 23 PLANNED</v>
      </c>
    </row>
    <row r="546" spans="1:11" x14ac:dyDescent="0.3">
      <c r="A546" s="4">
        <f t="shared" si="24"/>
        <v>6</v>
      </c>
      <c r="B546" s="5">
        <v>45196</v>
      </c>
      <c r="C546" s="6" t="s">
        <v>269</v>
      </c>
      <c r="D546" s="6">
        <v>23</v>
      </c>
      <c r="E546" s="4">
        <f>DAY(TableAopCalendar[[#This Row],[Date]])</f>
        <v>27</v>
      </c>
      <c r="F546" s="4">
        <f>IF(TableAopCalendar[[#This Row],[Day]]&lt;8,1,IF(TableAopCalendar[[#This Row],[Day]]&lt;15,2,IF(TableAopCalendar[[#This Row],[Day]]&lt;22,3,IF(TableAopCalendar[[#This Row],[Day]]&lt;29,4,IF(TableAopCalendar[[#This Row],[Day]]&lt;32,5)))))</f>
        <v>4</v>
      </c>
      <c r="G546" s="4" t="str">
        <f t="shared" si="25"/>
        <v>Week 4</v>
      </c>
      <c r="H546" s="7" t="str">
        <f t="shared" si="26"/>
        <v>September 23 Week 4</v>
      </c>
      <c r="I546" s="4" t="str">
        <f>CONCATENATE(UPPER(TableAopCalendar[[#This Row],[Month]])," ",TableAopCalendar[[#This Row],[Year]])</f>
        <v>SEPTEMBER 23</v>
      </c>
      <c r="J546" s="7" t="s">
        <v>274</v>
      </c>
      <c r="K546" s="7" t="str">
        <f>CONCATENATE(TableAopCalendar[[#This Row],[Month for Plan]]," ",TableAopCalendar[[#This Row],[Plan]])</f>
        <v>SEPTEMBER 23 PLANNED</v>
      </c>
    </row>
    <row r="547" spans="1:11" x14ac:dyDescent="0.3">
      <c r="A547" s="4">
        <f t="shared" si="24"/>
        <v>7</v>
      </c>
      <c r="B547" s="5">
        <v>45197</v>
      </c>
      <c r="C547" s="6" t="s">
        <v>269</v>
      </c>
      <c r="D547" s="6">
        <v>23</v>
      </c>
      <c r="E547" s="4">
        <f>DAY(TableAopCalendar[[#This Row],[Date]])</f>
        <v>28</v>
      </c>
      <c r="F547" s="4">
        <f>IF(TableAopCalendar[[#This Row],[Day]]&lt;8,1,IF(TableAopCalendar[[#This Row],[Day]]&lt;15,2,IF(TableAopCalendar[[#This Row],[Day]]&lt;22,3,IF(TableAopCalendar[[#This Row],[Day]]&lt;29,4,IF(TableAopCalendar[[#This Row],[Day]]&lt;32,5)))))</f>
        <v>4</v>
      </c>
      <c r="G547" s="4" t="str">
        <f t="shared" si="25"/>
        <v>Week 4</v>
      </c>
      <c r="H547" s="7" t="str">
        <f t="shared" si="26"/>
        <v>September 23 Week 4</v>
      </c>
      <c r="I547" s="4" t="str">
        <f>CONCATENATE(UPPER(TableAopCalendar[[#This Row],[Month]])," ",TableAopCalendar[[#This Row],[Year]])</f>
        <v>SEPTEMBER 23</v>
      </c>
      <c r="J547" s="7" t="s">
        <v>274</v>
      </c>
      <c r="K547" s="7" t="str">
        <f>CONCATENATE(TableAopCalendar[[#This Row],[Month for Plan]]," ",TableAopCalendar[[#This Row],[Plan]])</f>
        <v>SEPTEMBER 23 PLANNED</v>
      </c>
    </row>
    <row r="548" spans="1:11" x14ac:dyDescent="0.3">
      <c r="A548" s="4">
        <f t="shared" si="24"/>
        <v>1</v>
      </c>
      <c r="B548" s="5">
        <v>45198</v>
      </c>
      <c r="C548" s="6" t="s">
        <v>269</v>
      </c>
      <c r="D548" s="6">
        <v>23</v>
      </c>
      <c r="E548" s="4">
        <f>DAY(TableAopCalendar[[#This Row],[Date]])</f>
        <v>29</v>
      </c>
      <c r="F548" s="4">
        <f>IF(TableAopCalendar[[#This Row],[Day]]&lt;8,1,IF(TableAopCalendar[[#This Row],[Day]]&lt;15,2,IF(TableAopCalendar[[#This Row],[Day]]&lt;22,3,IF(TableAopCalendar[[#This Row],[Day]]&lt;29,4,IF(TableAopCalendar[[#This Row],[Day]]&lt;32,5)))))</f>
        <v>5</v>
      </c>
      <c r="G548" s="4" t="str">
        <f t="shared" si="25"/>
        <v>Week 5</v>
      </c>
      <c r="H548" s="7" t="str">
        <f t="shared" si="26"/>
        <v>September 23 Week 5</v>
      </c>
      <c r="I548" s="4" t="str">
        <f>CONCATENATE(UPPER(TableAopCalendar[[#This Row],[Month]])," ",TableAopCalendar[[#This Row],[Year]])</f>
        <v>SEPTEMBER 23</v>
      </c>
      <c r="J548" s="7" t="s">
        <v>274</v>
      </c>
      <c r="K548" s="7" t="str">
        <f>CONCATENATE(TableAopCalendar[[#This Row],[Month for Plan]]," ",TableAopCalendar[[#This Row],[Plan]])</f>
        <v>SEPTEMBER 23 PLANNED</v>
      </c>
    </row>
    <row r="549" spans="1:11" x14ac:dyDescent="0.3">
      <c r="A549" s="4">
        <f t="shared" si="24"/>
        <v>2</v>
      </c>
      <c r="B549" s="5">
        <v>45199</v>
      </c>
      <c r="C549" s="6" t="s">
        <v>269</v>
      </c>
      <c r="D549" s="6">
        <v>23</v>
      </c>
      <c r="E549" s="4">
        <f>DAY(TableAopCalendar[[#This Row],[Date]])</f>
        <v>30</v>
      </c>
      <c r="F549" s="4">
        <f>IF(TableAopCalendar[[#This Row],[Day]]&lt;8,1,IF(TableAopCalendar[[#This Row],[Day]]&lt;15,2,IF(TableAopCalendar[[#This Row],[Day]]&lt;22,3,IF(TableAopCalendar[[#This Row],[Day]]&lt;29,4,IF(TableAopCalendar[[#This Row],[Day]]&lt;32,5)))))</f>
        <v>5</v>
      </c>
      <c r="G549" s="4" t="str">
        <f t="shared" si="25"/>
        <v>Week 5</v>
      </c>
      <c r="H549" s="7" t="str">
        <f t="shared" si="26"/>
        <v>September 23 Week 5</v>
      </c>
      <c r="I549" s="4" t="str">
        <f>CONCATENATE(UPPER(TableAopCalendar[[#This Row],[Month]])," ",TableAopCalendar[[#This Row],[Year]])</f>
        <v>SEPTEMBER 23</v>
      </c>
      <c r="J549" s="7" t="s">
        <v>274</v>
      </c>
      <c r="K549" s="7" t="str">
        <f>CONCATENATE(TableAopCalendar[[#This Row],[Month for Plan]]," ",TableAopCalendar[[#This Row],[Plan]])</f>
        <v>SEPTEMBER 23 PLANNED</v>
      </c>
    </row>
    <row r="550" spans="1:11" x14ac:dyDescent="0.3">
      <c r="A550" s="4">
        <f t="shared" si="24"/>
        <v>1</v>
      </c>
      <c r="B550" s="5">
        <v>45200</v>
      </c>
      <c r="C550" s="6" t="s">
        <v>114</v>
      </c>
      <c r="D550" s="6">
        <v>23</v>
      </c>
      <c r="E550" s="4">
        <f>DAY(TableAopCalendar[[#This Row],[Date]])</f>
        <v>1</v>
      </c>
      <c r="F550" s="4">
        <f>IF(TableAopCalendar[[#This Row],[Day]]&lt;8,1,IF(TableAopCalendar[[#This Row],[Day]]&lt;15,2,IF(TableAopCalendar[[#This Row],[Day]]&lt;22,3,IF(TableAopCalendar[[#This Row],[Day]]&lt;29,4,IF(TableAopCalendar[[#This Row],[Day]]&lt;32,5)))))</f>
        <v>1</v>
      </c>
      <c r="G550" s="4" t="str">
        <f t="shared" si="25"/>
        <v>Week 1</v>
      </c>
      <c r="H550" s="7" t="str">
        <f t="shared" si="26"/>
        <v>October 23 Week 1</v>
      </c>
      <c r="I550" s="4" t="str">
        <f>CONCATENATE(UPPER(TableAopCalendar[[#This Row],[Month]])," ",TableAopCalendar[[#This Row],[Year]])</f>
        <v>OCTOBER 23</v>
      </c>
      <c r="J550" s="7" t="s">
        <v>274</v>
      </c>
      <c r="K550" s="7" t="str">
        <f>CONCATENATE(TableAopCalendar[[#This Row],[Month for Plan]]," ",TableAopCalendar[[#This Row],[Plan]])</f>
        <v>OCTOBER 23 PLANNED</v>
      </c>
    </row>
    <row r="551" spans="1:11" x14ac:dyDescent="0.3">
      <c r="A551" s="4">
        <f t="shared" si="24"/>
        <v>2</v>
      </c>
      <c r="B551" s="5">
        <v>45201</v>
      </c>
      <c r="C551" s="6" t="s">
        <v>114</v>
      </c>
      <c r="D551" s="6">
        <v>23</v>
      </c>
      <c r="E551" s="4">
        <f>DAY(TableAopCalendar[[#This Row],[Date]])</f>
        <v>2</v>
      </c>
      <c r="F551" s="4">
        <f>IF(TableAopCalendar[[#This Row],[Day]]&lt;8,1,IF(TableAopCalendar[[#This Row],[Day]]&lt;15,2,IF(TableAopCalendar[[#This Row],[Day]]&lt;22,3,IF(TableAopCalendar[[#This Row],[Day]]&lt;29,4,IF(TableAopCalendar[[#This Row],[Day]]&lt;32,5)))))</f>
        <v>1</v>
      </c>
      <c r="G551" s="4" t="str">
        <f t="shared" si="25"/>
        <v>Week 1</v>
      </c>
      <c r="H551" s="7" t="str">
        <f t="shared" si="26"/>
        <v>October 23 Week 1</v>
      </c>
      <c r="I551" s="4" t="str">
        <f>CONCATENATE(UPPER(TableAopCalendar[[#This Row],[Month]])," ",TableAopCalendar[[#This Row],[Year]])</f>
        <v>OCTOBER 23</v>
      </c>
      <c r="J551" s="7" t="s">
        <v>274</v>
      </c>
      <c r="K551" s="7" t="str">
        <f>CONCATENATE(TableAopCalendar[[#This Row],[Month for Plan]]," ",TableAopCalendar[[#This Row],[Plan]])</f>
        <v>OCTOBER 23 PLANNED</v>
      </c>
    </row>
    <row r="552" spans="1:11" x14ac:dyDescent="0.3">
      <c r="A552" s="4">
        <f t="shared" si="24"/>
        <v>3</v>
      </c>
      <c r="B552" s="5">
        <v>45202</v>
      </c>
      <c r="C552" s="6" t="s">
        <v>114</v>
      </c>
      <c r="D552" s="6">
        <v>23</v>
      </c>
      <c r="E552" s="4">
        <f>DAY(TableAopCalendar[[#This Row],[Date]])</f>
        <v>3</v>
      </c>
      <c r="F552" s="4">
        <f>IF(TableAopCalendar[[#This Row],[Day]]&lt;8,1,IF(TableAopCalendar[[#This Row],[Day]]&lt;15,2,IF(TableAopCalendar[[#This Row],[Day]]&lt;22,3,IF(TableAopCalendar[[#This Row],[Day]]&lt;29,4,IF(TableAopCalendar[[#This Row],[Day]]&lt;32,5)))))</f>
        <v>1</v>
      </c>
      <c r="G552" s="4" t="str">
        <f t="shared" si="25"/>
        <v>Week 1</v>
      </c>
      <c r="H552" s="7" t="str">
        <f t="shared" si="26"/>
        <v>October 23 Week 1</v>
      </c>
      <c r="I552" s="4" t="str">
        <f>CONCATENATE(UPPER(TableAopCalendar[[#This Row],[Month]])," ",TableAopCalendar[[#This Row],[Year]])</f>
        <v>OCTOBER 23</v>
      </c>
      <c r="J552" s="7" t="s">
        <v>274</v>
      </c>
      <c r="K552" s="7" t="str">
        <f>CONCATENATE(TableAopCalendar[[#This Row],[Month for Plan]]," ",TableAopCalendar[[#This Row],[Plan]])</f>
        <v>OCTOBER 23 PLANNED</v>
      </c>
    </row>
    <row r="553" spans="1:11" x14ac:dyDescent="0.3">
      <c r="A553" s="4">
        <f t="shared" si="24"/>
        <v>4</v>
      </c>
      <c r="B553" s="5">
        <v>45203</v>
      </c>
      <c r="C553" s="6" t="s">
        <v>114</v>
      </c>
      <c r="D553" s="6">
        <v>23</v>
      </c>
      <c r="E553" s="4">
        <f>DAY(TableAopCalendar[[#This Row],[Date]])</f>
        <v>4</v>
      </c>
      <c r="F553" s="4">
        <f>IF(TableAopCalendar[[#This Row],[Day]]&lt;8,1,IF(TableAopCalendar[[#This Row],[Day]]&lt;15,2,IF(TableAopCalendar[[#This Row],[Day]]&lt;22,3,IF(TableAopCalendar[[#This Row],[Day]]&lt;29,4,IF(TableAopCalendar[[#This Row],[Day]]&lt;32,5)))))</f>
        <v>1</v>
      </c>
      <c r="G553" s="4" t="str">
        <f t="shared" si="25"/>
        <v>Week 1</v>
      </c>
      <c r="H553" s="7" t="str">
        <f t="shared" si="26"/>
        <v>October 23 Week 1</v>
      </c>
      <c r="I553" s="4" t="str">
        <f>CONCATENATE(UPPER(TableAopCalendar[[#This Row],[Month]])," ",TableAopCalendar[[#This Row],[Year]])</f>
        <v>OCTOBER 23</v>
      </c>
      <c r="J553" s="7" t="s">
        <v>274</v>
      </c>
      <c r="K553" s="7" t="str">
        <f>CONCATENATE(TableAopCalendar[[#This Row],[Month for Plan]]," ",TableAopCalendar[[#This Row],[Plan]])</f>
        <v>OCTOBER 23 PLANNED</v>
      </c>
    </row>
    <row r="554" spans="1:11" x14ac:dyDescent="0.3">
      <c r="A554" s="4">
        <f t="shared" si="24"/>
        <v>5</v>
      </c>
      <c r="B554" s="5">
        <v>45204</v>
      </c>
      <c r="C554" s="6" t="s">
        <v>114</v>
      </c>
      <c r="D554" s="6">
        <v>23</v>
      </c>
      <c r="E554" s="4">
        <f>DAY(TableAopCalendar[[#This Row],[Date]])</f>
        <v>5</v>
      </c>
      <c r="F554" s="4">
        <f>IF(TableAopCalendar[[#This Row],[Day]]&lt;8,1,IF(TableAopCalendar[[#This Row],[Day]]&lt;15,2,IF(TableAopCalendar[[#This Row],[Day]]&lt;22,3,IF(TableAopCalendar[[#This Row],[Day]]&lt;29,4,IF(TableAopCalendar[[#This Row],[Day]]&lt;32,5)))))</f>
        <v>1</v>
      </c>
      <c r="G554" s="4" t="str">
        <f t="shared" si="25"/>
        <v>Week 1</v>
      </c>
      <c r="H554" s="7" t="str">
        <f t="shared" si="26"/>
        <v>October 23 Week 1</v>
      </c>
      <c r="I554" s="4" t="str">
        <f>CONCATENATE(UPPER(TableAopCalendar[[#This Row],[Month]])," ",TableAopCalendar[[#This Row],[Year]])</f>
        <v>OCTOBER 23</v>
      </c>
      <c r="J554" s="7" t="s">
        <v>274</v>
      </c>
      <c r="K554" s="7" t="str">
        <f>CONCATENATE(TableAopCalendar[[#This Row],[Month for Plan]]," ",TableAopCalendar[[#This Row],[Plan]])</f>
        <v>OCTOBER 23 PLANNED</v>
      </c>
    </row>
    <row r="555" spans="1:11" x14ac:dyDescent="0.3">
      <c r="A555" s="4">
        <f t="shared" si="24"/>
        <v>6</v>
      </c>
      <c r="B555" s="5">
        <v>45205</v>
      </c>
      <c r="C555" s="6" t="s">
        <v>114</v>
      </c>
      <c r="D555" s="6">
        <v>23</v>
      </c>
      <c r="E555" s="4">
        <f>DAY(TableAopCalendar[[#This Row],[Date]])</f>
        <v>6</v>
      </c>
      <c r="F555" s="4">
        <f>IF(TableAopCalendar[[#This Row],[Day]]&lt;8,1,IF(TableAopCalendar[[#This Row],[Day]]&lt;15,2,IF(TableAopCalendar[[#This Row],[Day]]&lt;22,3,IF(TableAopCalendar[[#This Row],[Day]]&lt;29,4,IF(TableAopCalendar[[#This Row],[Day]]&lt;32,5)))))</f>
        <v>1</v>
      </c>
      <c r="G555" s="4" t="str">
        <f t="shared" si="25"/>
        <v>Week 1</v>
      </c>
      <c r="H555" s="7" t="str">
        <f t="shared" si="26"/>
        <v>October 23 Week 1</v>
      </c>
      <c r="I555" s="4" t="str">
        <f>CONCATENATE(UPPER(TableAopCalendar[[#This Row],[Month]])," ",TableAopCalendar[[#This Row],[Year]])</f>
        <v>OCTOBER 23</v>
      </c>
      <c r="J555" s="7" t="s">
        <v>274</v>
      </c>
      <c r="K555" s="7" t="str">
        <f>CONCATENATE(TableAopCalendar[[#This Row],[Month for Plan]]," ",TableAopCalendar[[#This Row],[Plan]])</f>
        <v>OCTOBER 23 PLANNED</v>
      </c>
    </row>
    <row r="556" spans="1:11" x14ac:dyDescent="0.3">
      <c r="A556" s="4">
        <f t="shared" si="24"/>
        <v>7</v>
      </c>
      <c r="B556" s="5">
        <v>45206</v>
      </c>
      <c r="C556" s="6" t="s">
        <v>114</v>
      </c>
      <c r="D556" s="6">
        <v>23</v>
      </c>
      <c r="E556" s="4">
        <f>DAY(TableAopCalendar[[#This Row],[Date]])</f>
        <v>7</v>
      </c>
      <c r="F556" s="4">
        <f>IF(TableAopCalendar[[#This Row],[Day]]&lt;8,1,IF(TableAopCalendar[[#This Row],[Day]]&lt;15,2,IF(TableAopCalendar[[#This Row],[Day]]&lt;22,3,IF(TableAopCalendar[[#This Row],[Day]]&lt;29,4,IF(TableAopCalendar[[#This Row],[Day]]&lt;32,5)))))</f>
        <v>1</v>
      </c>
      <c r="G556" s="4" t="str">
        <f t="shared" si="25"/>
        <v>Week 1</v>
      </c>
      <c r="H556" s="7" t="str">
        <f t="shared" si="26"/>
        <v>October 23 Week 1</v>
      </c>
      <c r="I556" s="4" t="str">
        <f>CONCATENATE(UPPER(TableAopCalendar[[#This Row],[Month]])," ",TableAopCalendar[[#This Row],[Year]])</f>
        <v>OCTOBER 23</v>
      </c>
      <c r="J556" s="7" t="s">
        <v>274</v>
      </c>
      <c r="K556" s="7" t="str">
        <f>CONCATENATE(TableAopCalendar[[#This Row],[Month for Plan]]," ",TableAopCalendar[[#This Row],[Plan]])</f>
        <v>OCTOBER 23 PLANNED</v>
      </c>
    </row>
    <row r="557" spans="1:11" x14ac:dyDescent="0.3">
      <c r="A557" s="4">
        <f t="shared" si="24"/>
        <v>1</v>
      </c>
      <c r="B557" s="5">
        <v>45207</v>
      </c>
      <c r="C557" s="6" t="s">
        <v>114</v>
      </c>
      <c r="D557" s="6">
        <v>23</v>
      </c>
      <c r="E557" s="4">
        <f>DAY(TableAopCalendar[[#This Row],[Date]])</f>
        <v>8</v>
      </c>
      <c r="F557" s="4">
        <f>IF(TableAopCalendar[[#This Row],[Day]]&lt;8,1,IF(TableAopCalendar[[#This Row],[Day]]&lt;15,2,IF(TableAopCalendar[[#This Row],[Day]]&lt;22,3,IF(TableAopCalendar[[#This Row],[Day]]&lt;29,4,IF(TableAopCalendar[[#This Row],[Day]]&lt;32,5)))))</f>
        <v>2</v>
      </c>
      <c r="G557" s="4" t="str">
        <f t="shared" si="25"/>
        <v>Week 2</v>
      </c>
      <c r="H557" s="7" t="str">
        <f t="shared" si="26"/>
        <v>October 23 Week 2</v>
      </c>
      <c r="I557" s="4" t="str">
        <f>CONCATENATE(UPPER(TableAopCalendar[[#This Row],[Month]])," ",TableAopCalendar[[#This Row],[Year]])</f>
        <v>OCTOBER 23</v>
      </c>
      <c r="J557" s="7" t="s">
        <v>274</v>
      </c>
      <c r="K557" s="7" t="str">
        <f>CONCATENATE(TableAopCalendar[[#This Row],[Month for Plan]]," ",TableAopCalendar[[#This Row],[Plan]])</f>
        <v>OCTOBER 23 PLANNED</v>
      </c>
    </row>
    <row r="558" spans="1:11" x14ac:dyDescent="0.3">
      <c r="A558" s="4">
        <f t="shared" si="24"/>
        <v>2</v>
      </c>
      <c r="B558" s="5">
        <v>45208</v>
      </c>
      <c r="C558" s="6" t="s">
        <v>114</v>
      </c>
      <c r="D558" s="6">
        <v>23</v>
      </c>
      <c r="E558" s="4">
        <f>DAY(TableAopCalendar[[#This Row],[Date]])</f>
        <v>9</v>
      </c>
      <c r="F558" s="4">
        <f>IF(TableAopCalendar[[#This Row],[Day]]&lt;8,1,IF(TableAopCalendar[[#This Row],[Day]]&lt;15,2,IF(TableAopCalendar[[#This Row],[Day]]&lt;22,3,IF(TableAopCalendar[[#This Row],[Day]]&lt;29,4,IF(TableAopCalendar[[#This Row],[Day]]&lt;32,5)))))</f>
        <v>2</v>
      </c>
      <c r="G558" s="4" t="str">
        <f t="shared" si="25"/>
        <v>Week 2</v>
      </c>
      <c r="H558" s="7" t="str">
        <f t="shared" si="26"/>
        <v>October 23 Week 2</v>
      </c>
      <c r="I558" s="4" t="str">
        <f>CONCATENATE(UPPER(TableAopCalendar[[#This Row],[Month]])," ",TableAopCalendar[[#This Row],[Year]])</f>
        <v>OCTOBER 23</v>
      </c>
      <c r="J558" s="7" t="s">
        <v>274</v>
      </c>
      <c r="K558" s="7" t="str">
        <f>CONCATENATE(TableAopCalendar[[#This Row],[Month for Plan]]," ",TableAopCalendar[[#This Row],[Plan]])</f>
        <v>OCTOBER 23 PLANNED</v>
      </c>
    </row>
    <row r="559" spans="1:11" x14ac:dyDescent="0.3">
      <c r="A559" s="4">
        <f t="shared" si="24"/>
        <v>3</v>
      </c>
      <c r="B559" s="5">
        <v>45209</v>
      </c>
      <c r="C559" s="6" t="s">
        <v>114</v>
      </c>
      <c r="D559" s="6">
        <v>23</v>
      </c>
      <c r="E559" s="4">
        <f>DAY(TableAopCalendar[[#This Row],[Date]])</f>
        <v>10</v>
      </c>
      <c r="F559" s="4">
        <f>IF(TableAopCalendar[[#This Row],[Day]]&lt;8,1,IF(TableAopCalendar[[#This Row],[Day]]&lt;15,2,IF(TableAopCalendar[[#This Row],[Day]]&lt;22,3,IF(TableAopCalendar[[#This Row],[Day]]&lt;29,4,IF(TableAopCalendar[[#This Row],[Day]]&lt;32,5)))))</f>
        <v>2</v>
      </c>
      <c r="G559" s="4" t="str">
        <f t="shared" si="25"/>
        <v>Week 2</v>
      </c>
      <c r="H559" s="7" t="str">
        <f t="shared" si="26"/>
        <v>October 23 Week 2</v>
      </c>
      <c r="I559" s="4" t="str">
        <f>CONCATENATE(UPPER(TableAopCalendar[[#This Row],[Month]])," ",TableAopCalendar[[#This Row],[Year]])</f>
        <v>OCTOBER 23</v>
      </c>
      <c r="J559" s="7" t="s">
        <v>274</v>
      </c>
      <c r="K559" s="7" t="str">
        <f>CONCATENATE(TableAopCalendar[[#This Row],[Month for Plan]]," ",TableAopCalendar[[#This Row],[Plan]])</f>
        <v>OCTOBER 23 PLANNED</v>
      </c>
    </row>
    <row r="560" spans="1:11" x14ac:dyDescent="0.3">
      <c r="A560" s="4">
        <f t="shared" si="24"/>
        <v>4</v>
      </c>
      <c r="B560" s="5">
        <v>45210</v>
      </c>
      <c r="C560" s="6" t="s">
        <v>114</v>
      </c>
      <c r="D560" s="6">
        <v>23</v>
      </c>
      <c r="E560" s="4">
        <f>DAY(TableAopCalendar[[#This Row],[Date]])</f>
        <v>11</v>
      </c>
      <c r="F560" s="4">
        <f>IF(TableAopCalendar[[#This Row],[Day]]&lt;8,1,IF(TableAopCalendar[[#This Row],[Day]]&lt;15,2,IF(TableAopCalendar[[#This Row],[Day]]&lt;22,3,IF(TableAopCalendar[[#This Row],[Day]]&lt;29,4,IF(TableAopCalendar[[#This Row],[Day]]&lt;32,5)))))</f>
        <v>2</v>
      </c>
      <c r="G560" s="4" t="str">
        <f t="shared" si="25"/>
        <v>Week 2</v>
      </c>
      <c r="H560" s="7" t="str">
        <f t="shared" si="26"/>
        <v>October 23 Week 2</v>
      </c>
      <c r="I560" s="4" t="str">
        <f>CONCATENATE(UPPER(TableAopCalendar[[#This Row],[Month]])," ",TableAopCalendar[[#This Row],[Year]])</f>
        <v>OCTOBER 23</v>
      </c>
      <c r="J560" s="7" t="s">
        <v>274</v>
      </c>
      <c r="K560" s="7" t="str">
        <f>CONCATENATE(TableAopCalendar[[#This Row],[Month for Plan]]," ",TableAopCalendar[[#This Row],[Plan]])</f>
        <v>OCTOBER 23 PLANNED</v>
      </c>
    </row>
    <row r="561" spans="1:11" x14ac:dyDescent="0.3">
      <c r="A561" s="4">
        <f t="shared" si="24"/>
        <v>5</v>
      </c>
      <c r="B561" s="5">
        <v>45211</v>
      </c>
      <c r="C561" s="6" t="s">
        <v>114</v>
      </c>
      <c r="D561" s="6">
        <v>23</v>
      </c>
      <c r="E561" s="4">
        <f>DAY(TableAopCalendar[[#This Row],[Date]])</f>
        <v>12</v>
      </c>
      <c r="F561" s="4">
        <f>IF(TableAopCalendar[[#This Row],[Day]]&lt;8,1,IF(TableAopCalendar[[#This Row],[Day]]&lt;15,2,IF(TableAopCalendar[[#This Row],[Day]]&lt;22,3,IF(TableAopCalendar[[#This Row],[Day]]&lt;29,4,IF(TableAopCalendar[[#This Row],[Day]]&lt;32,5)))))</f>
        <v>2</v>
      </c>
      <c r="G561" s="4" t="str">
        <f t="shared" si="25"/>
        <v>Week 2</v>
      </c>
      <c r="H561" s="7" t="str">
        <f t="shared" si="26"/>
        <v>October 23 Week 2</v>
      </c>
      <c r="I561" s="4" t="str">
        <f>CONCATENATE(UPPER(TableAopCalendar[[#This Row],[Month]])," ",TableAopCalendar[[#This Row],[Year]])</f>
        <v>OCTOBER 23</v>
      </c>
      <c r="J561" s="7" t="s">
        <v>274</v>
      </c>
      <c r="K561" s="7" t="str">
        <f>CONCATENATE(TableAopCalendar[[#This Row],[Month for Plan]]," ",TableAopCalendar[[#This Row],[Plan]])</f>
        <v>OCTOBER 23 PLANNED</v>
      </c>
    </row>
    <row r="562" spans="1:11" x14ac:dyDescent="0.3">
      <c r="A562" s="4">
        <f t="shared" si="24"/>
        <v>6</v>
      </c>
      <c r="B562" s="5">
        <v>45212</v>
      </c>
      <c r="C562" s="6" t="s">
        <v>114</v>
      </c>
      <c r="D562" s="6">
        <v>23</v>
      </c>
      <c r="E562" s="4">
        <f>DAY(TableAopCalendar[[#This Row],[Date]])</f>
        <v>13</v>
      </c>
      <c r="F562" s="4">
        <f>IF(TableAopCalendar[[#This Row],[Day]]&lt;8,1,IF(TableAopCalendar[[#This Row],[Day]]&lt;15,2,IF(TableAopCalendar[[#This Row],[Day]]&lt;22,3,IF(TableAopCalendar[[#This Row],[Day]]&lt;29,4,IF(TableAopCalendar[[#This Row],[Day]]&lt;32,5)))))</f>
        <v>2</v>
      </c>
      <c r="G562" s="4" t="str">
        <f t="shared" si="25"/>
        <v>Week 2</v>
      </c>
      <c r="H562" s="7" t="str">
        <f t="shared" si="26"/>
        <v>October 23 Week 2</v>
      </c>
      <c r="I562" s="4" t="str">
        <f>CONCATENATE(UPPER(TableAopCalendar[[#This Row],[Month]])," ",TableAopCalendar[[#This Row],[Year]])</f>
        <v>OCTOBER 23</v>
      </c>
      <c r="J562" s="7" t="s">
        <v>274</v>
      </c>
      <c r="K562" s="7" t="str">
        <f>CONCATENATE(TableAopCalendar[[#This Row],[Month for Plan]]," ",TableAopCalendar[[#This Row],[Plan]])</f>
        <v>OCTOBER 23 PLANNED</v>
      </c>
    </row>
    <row r="563" spans="1:11" x14ac:dyDescent="0.3">
      <c r="A563" s="4">
        <f t="shared" si="24"/>
        <v>7</v>
      </c>
      <c r="B563" s="5">
        <v>45213</v>
      </c>
      <c r="C563" s="6" t="s">
        <v>114</v>
      </c>
      <c r="D563" s="6">
        <v>23</v>
      </c>
      <c r="E563" s="4">
        <f>DAY(TableAopCalendar[[#This Row],[Date]])</f>
        <v>14</v>
      </c>
      <c r="F563" s="4">
        <f>IF(TableAopCalendar[[#This Row],[Day]]&lt;8,1,IF(TableAopCalendar[[#This Row],[Day]]&lt;15,2,IF(TableAopCalendar[[#This Row],[Day]]&lt;22,3,IF(TableAopCalendar[[#This Row],[Day]]&lt;29,4,IF(TableAopCalendar[[#This Row],[Day]]&lt;32,5)))))</f>
        <v>2</v>
      </c>
      <c r="G563" s="4" t="str">
        <f t="shared" si="25"/>
        <v>Week 2</v>
      </c>
      <c r="H563" s="7" t="str">
        <f t="shared" si="26"/>
        <v>October 23 Week 2</v>
      </c>
      <c r="I563" s="4" t="str">
        <f>CONCATENATE(UPPER(TableAopCalendar[[#This Row],[Month]])," ",TableAopCalendar[[#This Row],[Year]])</f>
        <v>OCTOBER 23</v>
      </c>
      <c r="J563" s="7" t="s">
        <v>274</v>
      </c>
      <c r="K563" s="7" t="str">
        <f>CONCATENATE(TableAopCalendar[[#This Row],[Month for Plan]]," ",TableAopCalendar[[#This Row],[Plan]])</f>
        <v>OCTOBER 23 PLANNED</v>
      </c>
    </row>
    <row r="564" spans="1:11" x14ac:dyDescent="0.3">
      <c r="A564" s="4">
        <f t="shared" si="24"/>
        <v>1</v>
      </c>
      <c r="B564" s="5">
        <v>45214</v>
      </c>
      <c r="C564" s="6" t="s">
        <v>114</v>
      </c>
      <c r="D564" s="6">
        <v>23</v>
      </c>
      <c r="E564" s="4">
        <f>DAY(TableAopCalendar[[#This Row],[Date]])</f>
        <v>15</v>
      </c>
      <c r="F564" s="4">
        <f>IF(TableAopCalendar[[#This Row],[Day]]&lt;8,1,IF(TableAopCalendar[[#This Row],[Day]]&lt;15,2,IF(TableAopCalendar[[#This Row],[Day]]&lt;22,3,IF(TableAopCalendar[[#This Row],[Day]]&lt;29,4,IF(TableAopCalendar[[#This Row],[Day]]&lt;32,5)))))</f>
        <v>3</v>
      </c>
      <c r="G564" s="4" t="str">
        <f t="shared" si="25"/>
        <v>Week 3</v>
      </c>
      <c r="H564" s="7" t="str">
        <f t="shared" si="26"/>
        <v>October 23 Week 3</v>
      </c>
      <c r="I564" s="4" t="str">
        <f>CONCATENATE(UPPER(TableAopCalendar[[#This Row],[Month]])," ",TableAopCalendar[[#This Row],[Year]])</f>
        <v>OCTOBER 23</v>
      </c>
      <c r="J564" s="7" t="s">
        <v>274</v>
      </c>
      <c r="K564" s="7" t="str">
        <f>CONCATENATE(TableAopCalendar[[#This Row],[Month for Plan]]," ",TableAopCalendar[[#This Row],[Plan]])</f>
        <v>OCTOBER 23 PLANNED</v>
      </c>
    </row>
    <row r="565" spans="1:11" x14ac:dyDescent="0.3">
      <c r="A565" s="4">
        <f t="shared" si="24"/>
        <v>2</v>
      </c>
      <c r="B565" s="5">
        <v>45215</v>
      </c>
      <c r="C565" s="6" t="s">
        <v>114</v>
      </c>
      <c r="D565" s="6">
        <v>23</v>
      </c>
      <c r="E565" s="4">
        <f>DAY(TableAopCalendar[[#This Row],[Date]])</f>
        <v>16</v>
      </c>
      <c r="F565" s="4">
        <f>IF(TableAopCalendar[[#This Row],[Day]]&lt;8,1,IF(TableAopCalendar[[#This Row],[Day]]&lt;15,2,IF(TableAopCalendar[[#This Row],[Day]]&lt;22,3,IF(TableAopCalendar[[#This Row],[Day]]&lt;29,4,IF(TableAopCalendar[[#This Row],[Day]]&lt;32,5)))))</f>
        <v>3</v>
      </c>
      <c r="G565" s="4" t="str">
        <f t="shared" si="25"/>
        <v>Week 3</v>
      </c>
      <c r="H565" s="7" t="str">
        <f t="shared" si="26"/>
        <v>October 23 Week 3</v>
      </c>
      <c r="I565" s="4" t="str">
        <f>CONCATENATE(UPPER(TableAopCalendar[[#This Row],[Month]])," ",TableAopCalendar[[#This Row],[Year]])</f>
        <v>OCTOBER 23</v>
      </c>
      <c r="J565" s="7" t="s">
        <v>274</v>
      </c>
      <c r="K565" s="7" t="str">
        <f>CONCATENATE(TableAopCalendar[[#This Row],[Month for Plan]]," ",TableAopCalendar[[#This Row],[Plan]])</f>
        <v>OCTOBER 23 PLANNED</v>
      </c>
    </row>
    <row r="566" spans="1:11" x14ac:dyDescent="0.3">
      <c r="A566" s="4">
        <f t="shared" si="24"/>
        <v>3</v>
      </c>
      <c r="B566" s="5">
        <v>45216</v>
      </c>
      <c r="C566" s="6" t="s">
        <v>114</v>
      </c>
      <c r="D566" s="6">
        <v>23</v>
      </c>
      <c r="E566" s="4">
        <f>DAY(TableAopCalendar[[#This Row],[Date]])</f>
        <v>17</v>
      </c>
      <c r="F566" s="4">
        <f>IF(TableAopCalendar[[#This Row],[Day]]&lt;8,1,IF(TableAopCalendar[[#This Row],[Day]]&lt;15,2,IF(TableAopCalendar[[#This Row],[Day]]&lt;22,3,IF(TableAopCalendar[[#This Row],[Day]]&lt;29,4,IF(TableAopCalendar[[#This Row],[Day]]&lt;32,5)))))</f>
        <v>3</v>
      </c>
      <c r="G566" s="4" t="str">
        <f t="shared" si="25"/>
        <v>Week 3</v>
      </c>
      <c r="H566" s="7" t="str">
        <f t="shared" si="26"/>
        <v>October 23 Week 3</v>
      </c>
      <c r="I566" s="4" t="str">
        <f>CONCATENATE(UPPER(TableAopCalendar[[#This Row],[Month]])," ",TableAopCalendar[[#This Row],[Year]])</f>
        <v>OCTOBER 23</v>
      </c>
      <c r="J566" s="7" t="s">
        <v>274</v>
      </c>
      <c r="K566" s="7" t="str">
        <f>CONCATENATE(TableAopCalendar[[#This Row],[Month for Plan]]," ",TableAopCalendar[[#This Row],[Plan]])</f>
        <v>OCTOBER 23 PLANNED</v>
      </c>
    </row>
    <row r="567" spans="1:11" x14ac:dyDescent="0.3">
      <c r="A567" s="4">
        <f t="shared" si="24"/>
        <v>4</v>
      </c>
      <c r="B567" s="5">
        <v>45217</v>
      </c>
      <c r="C567" s="6" t="s">
        <v>114</v>
      </c>
      <c r="D567" s="6">
        <v>23</v>
      </c>
      <c r="E567" s="4">
        <f>DAY(TableAopCalendar[[#This Row],[Date]])</f>
        <v>18</v>
      </c>
      <c r="F567" s="4">
        <f>IF(TableAopCalendar[[#This Row],[Day]]&lt;8,1,IF(TableAopCalendar[[#This Row],[Day]]&lt;15,2,IF(TableAopCalendar[[#This Row],[Day]]&lt;22,3,IF(TableAopCalendar[[#This Row],[Day]]&lt;29,4,IF(TableAopCalendar[[#This Row],[Day]]&lt;32,5)))))</f>
        <v>3</v>
      </c>
      <c r="G567" s="4" t="str">
        <f t="shared" si="25"/>
        <v>Week 3</v>
      </c>
      <c r="H567" s="7" t="str">
        <f t="shared" si="26"/>
        <v>October 23 Week 3</v>
      </c>
      <c r="I567" s="4" t="str">
        <f>CONCATENATE(UPPER(TableAopCalendar[[#This Row],[Month]])," ",TableAopCalendar[[#This Row],[Year]])</f>
        <v>OCTOBER 23</v>
      </c>
      <c r="J567" s="7" t="s">
        <v>274</v>
      </c>
      <c r="K567" s="7" t="str">
        <f>CONCATENATE(TableAopCalendar[[#This Row],[Month for Plan]]," ",TableAopCalendar[[#This Row],[Plan]])</f>
        <v>OCTOBER 23 PLANNED</v>
      </c>
    </row>
    <row r="568" spans="1:11" x14ac:dyDescent="0.3">
      <c r="A568" s="4">
        <f t="shared" si="24"/>
        <v>5</v>
      </c>
      <c r="B568" s="5">
        <v>45218</v>
      </c>
      <c r="C568" s="6" t="s">
        <v>114</v>
      </c>
      <c r="D568" s="6">
        <v>23</v>
      </c>
      <c r="E568" s="4">
        <f>DAY(TableAopCalendar[[#This Row],[Date]])</f>
        <v>19</v>
      </c>
      <c r="F568" s="4">
        <f>IF(TableAopCalendar[[#This Row],[Day]]&lt;8,1,IF(TableAopCalendar[[#This Row],[Day]]&lt;15,2,IF(TableAopCalendar[[#This Row],[Day]]&lt;22,3,IF(TableAopCalendar[[#This Row],[Day]]&lt;29,4,IF(TableAopCalendar[[#This Row],[Day]]&lt;32,5)))))</f>
        <v>3</v>
      </c>
      <c r="G568" s="4" t="str">
        <f t="shared" si="25"/>
        <v>Week 3</v>
      </c>
      <c r="H568" s="7" t="str">
        <f t="shared" si="26"/>
        <v>October 23 Week 3</v>
      </c>
      <c r="I568" s="4" t="str">
        <f>CONCATENATE(UPPER(TableAopCalendar[[#This Row],[Month]])," ",TableAopCalendar[[#This Row],[Year]])</f>
        <v>OCTOBER 23</v>
      </c>
      <c r="J568" s="7" t="s">
        <v>274</v>
      </c>
      <c r="K568" s="7" t="str">
        <f>CONCATENATE(TableAopCalendar[[#This Row],[Month for Plan]]," ",TableAopCalendar[[#This Row],[Plan]])</f>
        <v>OCTOBER 23 PLANNED</v>
      </c>
    </row>
    <row r="569" spans="1:11" x14ac:dyDescent="0.3">
      <c r="A569" s="4">
        <f t="shared" si="24"/>
        <v>6</v>
      </c>
      <c r="B569" s="5">
        <v>45219</v>
      </c>
      <c r="C569" s="6" t="s">
        <v>114</v>
      </c>
      <c r="D569" s="6">
        <v>23</v>
      </c>
      <c r="E569" s="4">
        <f>DAY(TableAopCalendar[[#This Row],[Date]])</f>
        <v>20</v>
      </c>
      <c r="F569" s="4">
        <f>IF(TableAopCalendar[[#This Row],[Day]]&lt;8,1,IF(TableAopCalendar[[#This Row],[Day]]&lt;15,2,IF(TableAopCalendar[[#This Row],[Day]]&lt;22,3,IF(TableAopCalendar[[#This Row],[Day]]&lt;29,4,IF(TableAopCalendar[[#This Row],[Day]]&lt;32,5)))))</f>
        <v>3</v>
      </c>
      <c r="G569" s="4" t="str">
        <f t="shared" si="25"/>
        <v>Week 3</v>
      </c>
      <c r="H569" s="7" t="str">
        <f t="shared" si="26"/>
        <v>October 23 Week 3</v>
      </c>
      <c r="I569" s="4" t="str">
        <f>CONCATENATE(UPPER(TableAopCalendar[[#This Row],[Month]])," ",TableAopCalendar[[#This Row],[Year]])</f>
        <v>OCTOBER 23</v>
      </c>
      <c r="J569" s="7" t="s">
        <v>274</v>
      </c>
      <c r="K569" s="7" t="str">
        <f>CONCATENATE(TableAopCalendar[[#This Row],[Month for Plan]]," ",TableAopCalendar[[#This Row],[Plan]])</f>
        <v>OCTOBER 23 PLANNED</v>
      </c>
    </row>
    <row r="570" spans="1:11" x14ac:dyDescent="0.3">
      <c r="A570" s="4">
        <f t="shared" si="24"/>
        <v>7</v>
      </c>
      <c r="B570" s="5">
        <v>45220</v>
      </c>
      <c r="C570" s="6" t="s">
        <v>114</v>
      </c>
      <c r="D570" s="6">
        <v>23</v>
      </c>
      <c r="E570" s="4">
        <f>DAY(TableAopCalendar[[#This Row],[Date]])</f>
        <v>21</v>
      </c>
      <c r="F570" s="4">
        <f>IF(TableAopCalendar[[#This Row],[Day]]&lt;8,1,IF(TableAopCalendar[[#This Row],[Day]]&lt;15,2,IF(TableAopCalendar[[#This Row],[Day]]&lt;22,3,IF(TableAopCalendar[[#This Row],[Day]]&lt;29,4,IF(TableAopCalendar[[#This Row],[Day]]&lt;32,5)))))</f>
        <v>3</v>
      </c>
      <c r="G570" s="4" t="str">
        <f t="shared" si="25"/>
        <v>Week 3</v>
      </c>
      <c r="H570" s="7" t="str">
        <f t="shared" si="26"/>
        <v>October 23 Week 3</v>
      </c>
      <c r="I570" s="4" t="str">
        <f>CONCATENATE(UPPER(TableAopCalendar[[#This Row],[Month]])," ",TableAopCalendar[[#This Row],[Year]])</f>
        <v>OCTOBER 23</v>
      </c>
      <c r="J570" s="7" t="s">
        <v>274</v>
      </c>
      <c r="K570" s="7" t="str">
        <f>CONCATENATE(TableAopCalendar[[#This Row],[Month for Plan]]," ",TableAopCalendar[[#This Row],[Plan]])</f>
        <v>OCTOBER 23 PLANNED</v>
      </c>
    </row>
    <row r="571" spans="1:11" x14ac:dyDescent="0.3">
      <c r="A571" s="4">
        <f t="shared" si="24"/>
        <v>1</v>
      </c>
      <c r="B571" s="5">
        <v>45221</v>
      </c>
      <c r="C571" s="6" t="s">
        <v>114</v>
      </c>
      <c r="D571" s="6">
        <v>23</v>
      </c>
      <c r="E571" s="4">
        <f>DAY(TableAopCalendar[[#This Row],[Date]])</f>
        <v>22</v>
      </c>
      <c r="F571" s="4">
        <f>IF(TableAopCalendar[[#This Row],[Day]]&lt;8,1,IF(TableAopCalendar[[#This Row],[Day]]&lt;15,2,IF(TableAopCalendar[[#This Row],[Day]]&lt;22,3,IF(TableAopCalendar[[#This Row],[Day]]&lt;29,4,IF(TableAopCalendar[[#This Row],[Day]]&lt;32,5)))))</f>
        <v>4</v>
      </c>
      <c r="G571" s="4" t="str">
        <f t="shared" si="25"/>
        <v>Week 4</v>
      </c>
      <c r="H571" s="7" t="str">
        <f t="shared" si="26"/>
        <v>October 23 Week 4</v>
      </c>
      <c r="I571" s="4" t="str">
        <f>CONCATENATE(UPPER(TableAopCalendar[[#This Row],[Month]])," ",TableAopCalendar[[#This Row],[Year]])</f>
        <v>OCTOBER 23</v>
      </c>
      <c r="J571" s="7" t="s">
        <v>274</v>
      </c>
      <c r="K571" s="7" t="str">
        <f>CONCATENATE(TableAopCalendar[[#This Row],[Month for Plan]]," ",TableAopCalendar[[#This Row],[Plan]])</f>
        <v>OCTOBER 23 PLANNED</v>
      </c>
    </row>
    <row r="572" spans="1:11" x14ac:dyDescent="0.3">
      <c r="A572" s="4">
        <f t="shared" si="24"/>
        <v>2</v>
      </c>
      <c r="B572" s="5">
        <v>45222</v>
      </c>
      <c r="C572" s="6" t="s">
        <v>114</v>
      </c>
      <c r="D572" s="6">
        <v>23</v>
      </c>
      <c r="E572" s="4">
        <f>DAY(TableAopCalendar[[#This Row],[Date]])</f>
        <v>23</v>
      </c>
      <c r="F572" s="4">
        <f>IF(TableAopCalendar[[#This Row],[Day]]&lt;8,1,IF(TableAopCalendar[[#This Row],[Day]]&lt;15,2,IF(TableAopCalendar[[#This Row],[Day]]&lt;22,3,IF(TableAopCalendar[[#This Row],[Day]]&lt;29,4,IF(TableAopCalendar[[#This Row],[Day]]&lt;32,5)))))</f>
        <v>4</v>
      </c>
      <c r="G572" s="4" t="str">
        <f t="shared" si="25"/>
        <v>Week 4</v>
      </c>
      <c r="H572" s="7" t="str">
        <f t="shared" si="26"/>
        <v>October 23 Week 4</v>
      </c>
      <c r="I572" s="4" t="str">
        <f>CONCATENATE(UPPER(TableAopCalendar[[#This Row],[Month]])," ",TableAopCalendar[[#This Row],[Year]])</f>
        <v>OCTOBER 23</v>
      </c>
      <c r="J572" s="7" t="s">
        <v>274</v>
      </c>
      <c r="K572" s="7" t="str">
        <f>CONCATENATE(TableAopCalendar[[#This Row],[Month for Plan]]," ",TableAopCalendar[[#This Row],[Plan]])</f>
        <v>OCTOBER 23 PLANNED</v>
      </c>
    </row>
    <row r="573" spans="1:11" x14ac:dyDescent="0.3">
      <c r="A573" s="4">
        <f t="shared" si="24"/>
        <v>3</v>
      </c>
      <c r="B573" s="5">
        <v>45223</v>
      </c>
      <c r="C573" s="6" t="s">
        <v>114</v>
      </c>
      <c r="D573" s="6">
        <v>23</v>
      </c>
      <c r="E573" s="4">
        <f>DAY(TableAopCalendar[[#This Row],[Date]])</f>
        <v>24</v>
      </c>
      <c r="F573" s="4">
        <f>IF(TableAopCalendar[[#This Row],[Day]]&lt;8,1,IF(TableAopCalendar[[#This Row],[Day]]&lt;15,2,IF(TableAopCalendar[[#This Row],[Day]]&lt;22,3,IF(TableAopCalendar[[#This Row],[Day]]&lt;29,4,IF(TableAopCalendar[[#This Row],[Day]]&lt;32,5)))))</f>
        <v>4</v>
      </c>
      <c r="G573" s="4" t="str">
        <f t="shared" si="25"/>
        <v>Week 4</v>
      </c>
      <c r="H573" s="7" t="str">
        <f t="shared" si="26"/>
        <v>October 23 Week 4</v>
      </c>
      <c r="I573" s="4" t="str">
        <f>CONCATENATE(UPPER(TableAopCalendar[[#This Row],[Month]])," ",TableAopCalendar[[#This Row],[Year]])</f>
        <v>OCTOBER 23</v>
      </c>
      <c r="J573" s="7" t="s">
        <v>274</v>
      </c>
      <c r="K573" s="7" t="str">
        <f>CONCATENATE(TableAopCalendar[[#This Row],[Month for Plan]]," ",TableAopCalendar[[#This Row],[Plan]])</f>
        <v>OCTOBER 23 PLANNED</v>
      </c>
    </row>
    <row r="574" spans="1:11" x14ac:dyDescent="0.3">
      <c r="A574" s="4">
        <f t="shared" si="24"/>
        <v>4</v>
      </c>
      <c r="B574" s="5">
        <v>45224</v>
      </c>
      <c r="C574" s="6" t="s">
        <v>114</v>
      </c>
      <c r="D574" s="6">
        <v>23</v>
      </c>
      <c r="E574" s="4">
        <f>DAY(TableAopCalendar[[#This Row],[Date]])</f>
        <v>25</v>
      </c>
      <c r="F574" s="4">
        <f>IF(TableAopCalendar[[#This Row],[Day]]&lt;8,1,IF(TableAopCalendar[[#This Row],[Day]]&lt;15,2,IF(TableAopCalendar[[#This Row],[Day]]&lt;22,3,IF(TableAopCalendar[[#This Row],[Day]]&lt;29,4,IF(TableAopCalendar[[#This Row],[Day]]&lt;32,5)))))</f>
        <v>4</v>
      </c>
      <c r="G574" s="4" t="str">
        <f t="shared" si="25"/>
        <v>Week 4</v>
      </c>
      <c r="H574" s="7" t="str">
        <f t="shared" si="26"/>
        <v>October 23 Week 4</v>
      </c>
      <c r="I574" s="4" t="str">
        <f>CONCATENATE(UPPER(TableAopCalendar[[#This Row],[Month]])," ",TableAopCalendar[[#This Row],[Year]])</f>
        <v>OCTOBER 23</v>
      </c>
      <c r="J574" s="7" t="s">
        <v>274</v>
      </c>
      <c r="K574" s="7" t="str">
        <f>CONCATENATE(TableAopCalendar[[#This Row],[Month for Plan]]," ",TableAopCalendar[[#This Row],[Plan]])</f>
        <v>OCTOBER 23 PLANNED</v>
      </c>
    </row>
    <row r="575" spans="1:11" x14ac:dyDescent="0.3">
      <c r="A575" s="4">
        <f t="shared" si="24"/>
        <v>5</v>
      </c>
      <c r="B575" s="5">
        <v>45225</v>
      </c>
      <c r="C575" s="6" t="s">
        <v>114</v>
      </c>
      <c r="D575" s="6">
        <v>23</v>
      </c>
      <c r="E575" s="4">
        <f>DAY(TableAopCalendar[[#This Row],[Date]])</f>
        <v>26</v>
      </c>
      <c r="F575" s="4">
        <f>IF(TableAopCalendar[[#This Row],[Day]]&lt;8,1,IF(TableAopCalendar[[#This Row],[Day]]&lt;15,2,IF(TableAopCalendar[[#This Row],[Day]]&lt;22,3,IF(TableAopCalendar[[#This Row],[Day]]&lt;29,4,IF(TableAopCalendar[[#This Row],[Day]]&lt;32,5)))))</f>
        <v>4</v>
      </c>
      <c r="G575" s="4" t="str">
        <f t="shared" si="25"/>
        <v>Week 4</v>
      </c>
      <c r="H575" s="7" t="str">
        <f t="shared" si="26"/>
        <v>October 23 Week 4</v>
      </c>
      <c r="I575" s="4" t="str">
        <f>CONCATENATE(UPPER(TableAopCalendar[[#This Row],[Month]])," ",TableAopCalendar[[#This Row],[Year]])</f>
        <v>OCTOBER 23</v>
      </c>
      <c r="J575" s="7" t="s">
        <v>274</v>
      </c>
      <c r="K575" s="7" t="str">
        <f>CONCATENATE(TableAopCalendar[[#This Row],[Month for Plan]]," ",TableAopCalendar[[#This Row],[Plan]])</f>
        <v>OCTOBER 23 PLANNED</v>
      </c>
    </row>
    <row r="576" spans="1:11" x14ac:dyDescent="0.3">
      <c r="A576" s="4">
        <f t="shared" si="24"/>
        <v>6</v>
      </c>
      <c r="B576" s="5">
        <v>45226</v>
      </c>
      <c r="C576" s="6" t="s">
        <v>114</v>
      </c>
      <c r="D576" s="6">
        <v>23</v>
      </c>
      <c r="E576" s="4">
        <f>DAY(TableAopCalendar[[#This Row],[Date]])</f>
        <v>27</v>
      </c>
      <c r="F576" s="4">
        <f>IF(TableAopCalendar[[#This Row],[Day]]&lt;8,1,IF(TableAopCalendar[[#This Row],[Day]]&lt;15,2,IF(TableAopCalendar[[#This Row],[Day]]&lt;22,3,IF(TableAopCalendar[[#This Row],[Day]]&lt;29,4,IF(TableAopCalendar[[#This Row],[Day]]&lt;32,5)))))</f>
        <v>4</v>
      </c>
      <c r="G576" s="4" t="str">
        <f t="shared" si="25"/>
        <v>Week 4</v>
      </c>
      <c r="H576" s="7" t="str">
        <f t="shared" si="26"/>
        <v>October 23 Week 4</v>
      </c>
      <c r="I576" s="4" t="str">
        <f>CONCATENATE(UPPER(TableAopCalendar[[#This Row],[Month]])," ",TableAopCalendar[[#This Row],[Year]])</f>
        <v>OCTOBER 23</v>
      </c>
      <c r="J576" s="7" t="s">
        <v>274</v>
      </c>
      <c r="K576" s="7" t="str">
        <f>CONCATENATE(TableAopCalendar[[#This Row],[Month for Plan]]," ",TableAopCalendar[[#This Row],[Plan]])</f>
        <v>OCTOBER 23 PLANNED</v>
      </c>
    </row>
    <row r="577" spans="1:11" x14ac:dyDescent="0.3">
      <c r="A577" s="4">
        <f t="shared" si="24"/>
        <v>7</v>
      </c>
      <c r="B577" s="5">
        <v>45227</v>
      </c>
      <c r="C577" s="6" t="s">
        <v>114</v>
      </c>
      <c r="D577" s="6">
        <v>23</v>
      </c>
      <c r="E577" s="4">
        <f>DAY(TableAopCalendar[[#This Row],[Date]])</f>
        <v>28</v>
      </c>
      <c r="F577" s="4">
        <f>IF(TableAopCalendar[[#This Row],[Day]]&lt;8,1,IF(TableAopCalendar[[#This Row],[Day]]&lt;15,2,IF(TableAopCalendar[[#This Row],[Day]]&lt;22,3,IF(TableAopCalendar[[#This Row],[Day]]&lt;29,4,IF(TableAopCalendar[[#This Row],[Day]]&lt;32,5)))))</f>
        <v>4</v>
      </c>
      <c r="G577" s="4" t="str">
        <f t="shared" si="25"/>
        <v>Week 4</v>
      </c>
      <c r="H577" s="7" t="str">
        <f t="shared" si="26"/>
        <v>October 23 Week 4</v>
      </c>
      <c r="I577" s="4" t="str">
        <f>CONCATENATE(UPPER(TableAopCalendar[[#This Row],[Month]])," ",TableAopCalendar[[#This Row],[Year]])</f>
        <v>OCTOBER 23</v>
      </c>
      <c r="J577" s="7" t="s">
        <v>274</v>
      </c>
      <c r="K577" s="7" t="str">
        <f>CONCATENATE(TableAopCalendar[[#This Row],[Month for Plan]]," ",TableAopCalendar[[#This Row],[Plan]])</f>
        <v>OCTOBER 23 PLANNED</v>
      </c>
    </row>
    <row r="578" spans="1:11" x14ac:dyDescent="0.3">
      <c r="A578" s="4">
        <f t="shared" ref="A578:A641" si="27">IF(G578=G577,A577+1,1)</f>
        <v>1</v>
      </c>
      <c r="B578" s="5">
        <v>45228</v>
      </c>
      <c r="C578" s="6" t="s">
        <v>114</v>
      </c>
      <c r="D578" s="6">
        <v>23</v>
      </c>
      <c r="E578" s="4">
        <f>DAY(TableAopCalendar[[#This Row],[Date]])</f>
        <v>29</v>
      </c>
      <c r="F578" s="4">
        <f>IF(TableAopCalendar[[#This Row],[Day]]&lt;8,1,IF(TableAopCalendar[[#This Row],[Day]]&lt;15,2,IF(TableAopCalendar[[#This Row],[Day]]&lt;22,3,IF(TableAopCalendar[[#This Row],[Day]]&lt;29,4,IF(TableAopCalendar[[#This Row],[Day]]&lt;32,5)))))</f>
        <v>5</v>
      </c>
      <c r="G578" s="4" t="str">
        <f t="shared" ref="G578:G641" si="28">"Week"&amp;" "&amp;F578</f>
        <v>Week 5</v>
      </c>
      <c r="H578" s="7" t="str">
        <f t="shared" ref="H578:H641" si="29">CONCATENATE(C578," ",D578," ",G578)</f>
        <v>October 23 Week 5</v>
      </c>
      <c r="I578" s="4" t="str">
        <f>CONCATENATE(UPPER(TableAopCalendar[[#This Row],[Month]])," ",TableAopCalendar[[#This Row],[Year]])</f>
        <v>OCTOBER 23</v>
      </c>
      <c r="J578" s="7" t="s">
        <v>274</v>
      </c>
      <c r="K578" s="7" t="str">
        <f>CONCATENATE(TableAopCalendar[[#This Row],[Month for Plan]]," ",TableAopCalendar[[#This Row],[Plan]])</f>
        <v>OCTOBER 23 PLANNED</v>
      </c>
    </row>
    <row r="579" spans="1:11" x14ac:dyDescent="0.3">
      <c r="A579" s="4">
        <f t="shared" si="27"/>
        <v>2</v>
      </c>
      <c r="B579" s="5">
        <v>45229</v>
      </c>
      <c r="C579" s="6" t="s">
        <v>114</v>
      </c>
      <c r="D579" s="6">
        <v>23</v>
      </c>
      <c r="E579" s="4">
        <f>DAY(TableAopCalendar[[#This Row],[Date]])</f>
        <v>30</v>
      </c>
      <c r="F579" s="4">
        <f>IF(TableAopCalendar[[#This Row],[Day]]&lt;8,1,IF(TableAopCalendar[[#This Row],[Day]]&lt;15,2,IF(TableAopCalendar[[#This Row],[Day]]&lt;22,3,IF(TableAopCalendar[[#This Row],[Day]]&lt;29,4,IF(TableAopCalendar[[#This Row],[Day]]&lt;32,5)))))</f>
        <v>5</v>
      </c>
      <c r="G579" s="4" t="str">
        <f t="shared" si="28"/>
        <v>Week 5</v>
      </c>
      <c r="H579" s="7" t="str">
        <f t="shared" si="29"/>
        <v>October 23 Week 5</v>
      </c>
      <c r="I579" s="4" t="str">
        <f>CONCATENATE(UPPER(TableAopCalendar[[#This Row],[Month]])," ",TableAopCalendar[[#This Row],[Year]])</f>
        <v>OCTOBER 23</v>
      </c>
      <c r="J579" s="7" t="s">
        <v>274</v>
      </c>
      <c r="K579" s="7" t="str">
        <f>CONCATENATE(TableAopCalendar[[#This Row],[Month for Plan]]," ",TableAopCalendar[[#This Row],[Plan]])</f>
        <v>OCTOBER 23 PLANNED</v>
      </c>
    </row>
    <row r="580" spans="1:11" x14ac:dyDescent="0.3">
      <c r="A580" s="4">
        <f t="shared" si="27"/>
        <v>3</v>
      </c>
      <c r="B580" s="5">
        <v>45230</v>
      </c>
      <c r="C580" s="6" t="s">
        <v>114</v>
      </c>
      <c r="D580" s="6">
        <v>23</v>
      </c>
      <c r="E580" s="4">
        <f>DAY(TableAopCalendar[[#This Row],[Date]])</f>
        <v>31</v>
      </c>
      <c r="F580" s="4">
        <f>IF(TableAopCalendar[[#This Row],[Day]]&lt;8,1,IF(TableAopCalendar[[#This Row],[Day]]&lt;15,2,IF(TableAopCalendar[[#This Row],[Day]]&lt;22,3,IF(TableAopCalendar[[#This Row],[Day]]&lt;29,4,IF(TableAopCalendar[[#This Row],[Day]]&lt;32,5)))))</f>
        <v>5</v>
      </c>
      <c r="G580" s="4" t="str">
        <f t="shared" si="28"/>
        <v>Week 5</v>
      </c>
      <c r="H580" s="7" t="str">
        <f t="shared" si="29"/>
        <v>October 23 Week 5</v>
      </c>
      <c r="I580" s="4" t="str">
        <f>CONCATENATE(UPPER(TableAopCalendar[[#This Row],[Month]])," ",TableAopCalendar[[#This Row],[Year]])</f>
        <v>OCTOBER 23</v>
      </c>
      <c r="J580" s="7" t="s">
        <v>274</v>
      </c>
      <c r="K580" s="7" t="str">
        <f>CONCATENATE(TableAopCalendar[[#This Row],[Month for Plan]]," ",TableAopCalendar[[#This Row],[Plan]])</f>
        <v>OCTOBER 23 PLANNED</v>
      </c>
    </row>
    <row r="581" spans="1:11" x14ac:dyDescent="0.3">
      <c r="A581" s="4">
        <f t="shared" si="27"/>
        <v>1</v>
      </c>
      <c r="B581" s="5">
        <v>45231</v>
      </c>
      <c r="C581" s="6" t="s">
        <v>117</v>
      </c>
      <c r="D581" s="6">
        <v>23</v>
      </c>
      <c r="E581" s="4">
        <f>DAY(TableAopCalendar[[#This Row],[Date]])</f>
        <v>1</v>
      </c>
      <c r="F581" s="4">
        <f>IF(TableAopCalendar[[#This Row],[Day]]&lt;8,1,IF(TableAopCalendar[[#This Row],[Day]]&lt;15,2,IF(TableAopCalendar[[#This Row],[Day]]&lt;22,3,IF(TableAopCalendar[[#This Row],[Day]]&lt;29,4,IF(TableAopCalendar[[#This Row],[Day]]&lt;32,5)))))</f>
        <v>1</v>
      </c>
      <c r="G581" s="4" t="str">
        <f t="shared" si="28"/>
        <v>Week 1</v>
      </c>
      <c r="H581" s="7" t="str">
        <f t="shared" si="29"/>
        <v>November 23 Week 1</v>
      </c>
      <c r="I581" s="4" t="str">
        <f>CONCATENATE(UPPER(TableAopCalendar[[#This Row],[Month]])," ",TableAopCalendar[[#This Row],[Year]])</f>
        <v>NOVEMBER 23</v>
      </c>
      <c r="J581" s="7" t="s">
        <v>274</v>
      </c>
      <c r="K581" s="7" t="str">
        <f>CONCATENATE(TableAopCalendar[[#This Row],[Month for Plan]]," ",TableAopCalendar[[#This Row],[Plan]])</f>
        <v>NOVEMBER 23 PLANNED</v>
      </c>
    </row>
    <row r="582" spans="1:11" x14ac:dyDescent="0.3">
      <c r="A582" s="4">
        <f t="shared" si="27"/>
        <v>2</v>
      </c>
      <c r="B582" s="5">
        <v>45232</v>
      </c>
      <c r="C582" s="6" t="s">
        <v>117</v>
      </c>
      <c r="D582" s="6">
        <v>23</v>
      </c>
      <c r="E582" s="4">
        <f>DAY(TableAopCalendar[[#This Row],[Date]])</f>
        <v>2</v>
      </c>
      <c r="F582" s="4">
        <f>IF(TableAopCalendar[[#This Row],[Day]]&lt;8,1,IF(TableAopCalendar[[#This Row],[Day]]&lt;15,2,IF(TableAopCalendar[[#This Row],[Day]]&lt;22,3,IF(TableAopCalendar[[#This Row],[Day]]&lt;29,4,IF(TableAopCalendar[[#This Row],[Day]]&lt;32,5)))))</f>
        <v>1</v>
      </c>
      <c r="G582" s="4" t="str">
        <f t="shared" si="28"/>
        <v>Week 1</v>
      </c>
      <c r="H582" s="7" t="str">
        <f t="shared" si="29"/>
        <v>November 23 Week 1</v>
      </c>
      <c r="I582" s="4" t="str">
        <f>CONCATENATE(UPPER(TableAopCalendar[[#This Row],[Month]])," ",TableAopCalendar[[#This Row],[Year]])</f>
        <v>NOVEMBER 23</v>
      </c>
      <c r="J582" s="7" t="s">
        <v>274</v>
      </c>
      <c r="K582" s="7" t="str">
        <f>CONCATENATE(TableAopCalendar[[#This Row],[Month for Plan]]," ",TableAopCalendar[[#This Row],[Plan]])</f>
        <v>NOVEMBER 23 PLANNED</v>
      </c>
    </row>
    <row r="583" spans="1:11" x14ac:dyDescent="0.3">
      <c r="A583" s="4">
        <f t="shared" si="27"/>
        <v>3</v>
      </c>
      <c r="B583" s="5">
        <v>45233</v>
      </c>
      <c r="C583" s="6" t="s">
        <v>117</v>
      </c>
      <c r="D583" s="6">
        <v>23</v>
      </c>
      <c r="E583" s="4">
        <f>DAY(TableAopCalendar[[#This Row],[Date]])</f>
        <v>3</v>
      </c>
      <c r="F583" s="4">
        <f>IF(TableAopCalendar[[#This Row],[Day]]&lt;8,1,IF(TableAopCalendar[[#This Row],[Day]]&lt;15,2,IF(TableAopCalendar[[#This Row],[Day]]&lt;22,3,IF(TableAopCalendar[[#This Row],[Day]]&lt;29,4,IF(TableAopCalendar[[#This Row],[Day]]&lt;32,5)))))</f>
        <v>1</v>
      </c>
      <c r="G583" s="4" t="str">
        <f t="shared" si="28"/>
        <v>Week 1</v>
      </c>
      <c r="H583" s="7" t="str">
        <f t="shared" si="29"/>
        <v>November 23 Week 1</v>
      </c>
      <c r="I583" s="4" t="str">
        <f>CONCATENATE(UPPER(TableAopCalendar[[#This Row],[Month]])," ",TableAopCalendar[[#This Row],[Year]])</f>
        <v>NOVEMBER 23</v>
      </c>
      <c r="J583" s="7" t="s">
        <v>274</v>
      </c>
      <c r="K583" s="7" t="str">
        <f>CONCATENATE(TableAopCalendar[[#This Row],[Month for Plan]]," ",TableAopCalendar[[#This Row],[Plan]])</f>
        <v>NOVEMBER 23 PLANNED</v>
      </c>
    </row>
    <row r="584" spans="1:11" x14ac:dyDescent="0.3">
      <c r="A584" s="4">
        <f t="shared" si="27"/>
        <v>4</v>
      </c>
      <c r="B584" s="5">
        <v>45234</v>
      </c>
      <c r="C584" s="6" t="s">
        <v>117</v>
      </c>
      <c r="D584" s="6">
        <v>23</v>
      </c>
      <c r="E584" s="4">
        <f>DAY(TableAopCalendar[[#This Row],[Date]])</f>
        <v>4</v>
      </c>
      <c r="F584" s="4">
        <f>IF(TableAopCalendar[[#This Row],[Day]]&lt;8,1,IF(TableAopCalendar[[#This Row],[Day]]&lt;15,2,IF(TableAopCalendar[[#This Row],[Day]]&lt;22,3,IF(TableAopCalendar[[#This Row],[Day]]&lt;29,4,IF(TableAopCalendar[[#This Row],[Day]]&lt;32,5)))))</f>
        <v>1</v>
      </c>
      <c r="G584" s="4" t="str">
        <f t="shared" si="28"/>
        <v>Week 1</v>
      </c>
      <c r="H584" s="7" t="str">
        <f t="shared" si="29"/>
        <v>November 23 Week 1</v>
      </c>
      <c r="I584" s="4" t="str">
        <f>CONCATENATE(UPPER(TableAopCalendar[[#This Row],[Month]])," ",TableAopCalendar[[#This Row],[Year]])</f>
        <v>NOVEMBER 23</v>
      </c>
      <c r="J584" s="7" t="s">
        <v>274</v>
      </c>
      <c r="K584" s="7" t="str">
        <f>CONCATENATE(TableAopCalendar[[#This Row],[Month for Plan]]," ",TableAopCalendar[[#This Row],[Plan]])</f>
        <v>NOVEMBER 23 PLANNED</v>
      </c>
    </row>
    <row r="585" spans="1:11" x14ac:dyDescent="0.3">
      <c r="A585" s="4">
        <f t="shared" si="27"/>
        <v>5</v>
      </c>
      <c r="B585" s="5">
        <v>45235</v>
      </c>
      <c r="C585" s="6" t="s">
        <v>117</v>
      </c>
      <c r="D585" s="6">
        <v>23</v>
      </c>
      <c r="E585" s="4">
        <f>DAY(TableAopCalendar[[#This Row],[Date]])</f>
        <v>5</v>
      </c>
      <c r="F585" s="4">
        <f>IF(TableAopCalendar[[#This Row],[Day]]&lt;8,1,IF(TableAopCalendar[[#This Row],[Day]]&lt;15,2,IF(TableAopCalendar[[#This Row],[Day]]&lt;22,3,IF(TableAopCalendar[[#This Row],[Day]]&lt;29,4,IF(TableAopCalendar[[#This Row],[Day]]&lt;32,5)))))</f>
        <v>1</v>
      </c>
      <c r="G585" s="4" t="str">
        <f t="shared" si="28"/>
        <v>Week 1</v>
      </c>
      <c r="H585" s="7" t="str">
        <f t="shared" si="29"/>
        <v>November 23 Week 1</v>
      </c>
      <c r="I585" s="4" t="str">
        <f>CONCATENATE(UPPER(TableAopCalendar[[#This Row],[Month]])," ",TableAopCalendar[[#This Row],[Year]])</f>
        <v>NOVEMBER 23</v>
      </c>
      <c r="J585" s="7" t="s">
        <v>274</v>
      </c>
      <c r="K585" s="7" t="str">
        <f>CONCATENATE(TableAopCalendar[[#This Row],[Month for Plan]]," ",TableAopCalendar[[#This Row],[Plan]])</f>
        <v>NOVEMBER 23 PLANNED</v>
      </c>
    </row>
    <row r="586" spans="1:11" x14ac:dyDescent="0.3">
      <c r="A586" s="4">
        <f t="shared" si="27"/>
        <v>6</v>
      </c>
      <c r="B586" s="5">
        <v>45236</v>
      </c>
      <c r="C586" s="6" t="s">
        <v>117</v>
      </c>
      <c r="D586" s="6">
        <v>23</v>
      </c>
      <c r="E586" s="4">
        <f>DAY(TableAopCalendar[[#This Row],[Date]])</f>
        <v>6</v>
      </c>
      <c r="F586" s="4">
        <f>IF(TableAopCalendar[[#This Row],[Day]]&lt;8,1,IF(TableAopCalendar[[#This Row],[Day]]&lt;15,2,IF(TableAopCalendar[[#This Row],[Day]]&lt;22,3,IF(TableAopCalendar[[#This Row],[Day]]&lt;29,4,IF(TableAopCalendar[[#This Row],[Day]]&lt;32,5)))))</f>
        <v>1</v>
      </c>
      <c r="G586" s="4" t="str">
        <f t="shared" si="28"/>
        <v>Week 1</v>
      </c>
      <c r="H586" s="7" t="str">
        <f t="shared" si="29"/>
        <v>November 23 Week 1</v>
      </c>
      <c r="I586" s="4" t="str">
        <f>CONCATENATE(UPPER(TableAopCalendar[[#This Row],[Month]])," ",TableAopCalendar[[#This Row],[Year]])</f>
        <v>NOVEMBER 23</v>
      </c>
      <c r="J586" s="7" t="s">
        <v>274</v>
      </c>
      <c r="K586" s="7" t="str">
        <f>CONCATENATE(TableAopCalendar[[#This Row],[Month for Plan]]," ",TableAopCalendar[[#This Row],[Plan]])</f>
        <v>NOVEMBER 23 PLANNED</v>
      </c>
    </row>
    <row r="587" spans="1:11" x14ac:dyDescent="0.3">
      <c r="A587" s="4">
        <f t="shared" si="27"/>
        <v>7</v>
      </c>
      <c r="B587" s="5">
        <v>45237</v>
      </c>
      <c r="C587" s="6" t="s">
        <v>117</v>
      </c>
      <c r="D587" s="6">
        <v>23</v>
      </c>
      <c r="E587" s="4">
        <f>DAY(TableAopCalendar[[#This Row],[Date]])</f>
        <v>7</v>
      </c>
      <c r="F587" s="4">
        <f>IF(TableAopCalendar[[#This Row],[Day]]&lt;8,1,IF(TableAopCalendar[[#This Row],[Day]]&lt;15,2,IF(TableAopCalendar[[#This Row],[Day]]&lt;22,3,IF(TableAopCalendar[[#This Row],[Day]]&lt;29,4,IF(TableAopCalendar[[#This Row],[Day]]&lt;32,5)))))</f>
        <v>1</v>
      </c>
      <c r="G587" s="4" t="str">
        <f t="shared" si="28"/>
        <v>Week 1</v>
      </c>
      <c r="H587" s="7" t="str">
        <f t="shared" si="29"/>
        <v>November 23 Week 1</v>
      </c>
      <c r="I587" s="4" t="str">
        <f>CONCATENATE(UPPER(TableAopCalendar[[#This Row],[Month]])," ",TableAopCalendar[[#This Row],[Year]])</f>
        <v>NOVEMBER 23</v>
      </c>
      <c r="J587" s="7" t="s">
        <v>274</v>
      </c>
      <c r="K587" s="7" t="str">
        <f>CONCATENATE(TableAopCalendar[[#This Row],[Month for Plan]]," ",TableAopCalendar[[#This Row],[Plan]])</f>
        <v>NOVEMBER 23 PLANNED</v>
      </c>
    </row>
    <row r="588" spans="1:11" x14ac:dyDescent="0.3">
      <c r="A588" s="4">
        <f t="shared" si="27"/>
        <v>1</v>
      </c>
      <c r="B588" s="5">
        <v>45238</v>
      </c>
      <c r="C588" s="6" t="s">
        <v>117</v>
      </c>
      <c r="D588" s="6">
        <v>23</v>
      </c>
      <c r="E588" s="4">
        <f>DAY(TableAopCalendar[[#This Row],[Date]])</f>
        <v>8</v>
      </c>
      <c r="F588" s="4">
        <f>IF(TableAopCalendar[[#This Row],[Day]]&lt;8,1,IF(TableAopCalendar[[#This Row],[Day]]&lt;15,2,IF(TableAopCalendar[[#This Row],[Day]]&lt;22,3,IF(TableAopCalendar[[#This Row],[Day]]&lt;29,4,IF(TableAopCalendar[[#This Row],[Day]]&lt;32,5)))))</f>
        <v>2</v>
      </c>
      <c r="G588" s="4" t="str">
        <f t="shared" si="28"/>
        <v>Week 2</v>
      </c>
      <c r="H588" s="7" t="str">
        <f t="shared" si="29"/>
        <v>November 23 Week 2</v>
      </c>
      <c r="I588" s="4" t="str">
        <f>CONCATENATE(UPPER(TableAopCalendar[[#This Row],[Month]])," ",TableAopCalendar[[#This Row],[Year]])</f>
        <v>NOVEMBER 23</v>
      </c>
      <c r="J588" s="7" t="s">
        <v>274</v>
      </c>
      <c r="K588" s="7" t="str">
        <f>CONCATENATE(TableAopCalendar[[#This Row],[Month for Plan]]," ",TableAopCalendar[[#This Row],[Plan]])</f>
        <v>NOVEMBER 23 PLANNED</v>
      </c>
    </row>
    <row r="589" spans="1:11" x14ac:dyDescent="0.3">
      <c r="A589" s="4">
        <f t="shared" si="27"/>
        <v>2</v>
      </c>
      <c r="B589" s="5">
        <v>45239</v>
      </c>
      <c r="C589" s="6" t="s">
        <v>117</v>
      </c>
      <c r="D589" s="6">
        <v>23</v>
      </c>
      <c r="E589" s="4">
        <f>DAY(TableAopCalendar[[#This Row],[Date]])</f>
        <v>9</v>
      </c>
      <c r="F589" s="4">
        <f>IF(TableAopCalendar[[#This Row],[Day]]&lt;8,1,IF(TableAopCalendar[[#This Row],[Day]]&lt;15,2,IF(TableAopCalendar[[#This Row],[Day]]&lt;22,3,IF(TableAopCalendar[[#This Row],[Day]]&lt;29,4,IF(TableAopCalendar[[#This Row],[Day]]&lt;32,5)))))</f>
        <v>2</v>
      </c>
      <c r="G589" s="4" t="str">
        <f t="shared" si="28"/>
        <v>Week 2</v>
      </c>
      <c r="H589" s="7" t="str">
        <f t="shared" si="29"/>
        <v>November 23 Week 2</v>
      </c>
      <c r="I589" s="4" t="str">
        <f>CONCATENATE(UPPER(TableAopCalendar[[#This Row],[Month]])," ",TableAopCalendar[[#This Row],[Year]])</f>
        <v>NOVEMBER 23</v>
      </c>
      <c r="J589" s="7" t="s">
        <v>274</v>
      </c>
      <c r="K589" s="7" t="str">
        <f>CONCATENATE(TableAopCalendar[[#This Row],[Month for Plan]]," ",TableAopCalendar[[#This Row],[Plan]])</f>
        <v>NOVEMBER 23 PLANNED</v>
      </c>
    </row>
    <row r="590" spans="1:11" x14ac:dyDescent="0.3">
      <c r="A590" s="4">
        <f t="shared" si="27"/>
        <v>3</v>
      </c>
      <c r="B590" s="5">
        <v>45240</v>
      </c>
      <c r="C590" s="6" t="s">
        <v>117</v>
      </c>
      <c r="D590" s="6">
        <v>23</v>
      </c>
      <c r="E590" s="4">
        <f>DAY(TableAopCalendar[[#This Row],[Date]])</f>
        <v>10</v>
      </c>
      <c r="F590" s="4">
        <f>IF(TableAopCalendar[[#This Row],[Day]]&lt;8,1,IF(TableAopCalendar[[#This Row],[Day]]&lt;15,2,IF(TableAopCalendar[[#This Row],[Day]]&lt;22,3,IF(TableAopCalendar[[#This Row],[Day]]&lt;29,4,IF(TableAopCalendar[[#This Row],[Day]]&lt;32,5)))))</f>
        <v>2</v>
      </c>
      <c r="G590" s="4" t="str">
        <f t="shared" si="28"/>
        <v>Week 2</v>
      </c>
      <c r="H590" s="7" t="str">
        <f t="shared" si="29"/>
        <v>November 23 Week 2</v>
      </c>
      <c r="I590" s="4" t="str">
        <f>CONCATENATE(UPPER(TableAopCalendar[[#This Row],[Month]])," ",TableAopCalendar[[#This Row],[Year]])</f>
        <v>NOVEMBER 23</v>
      </c>
      <c r="J590" s="7" t="s">
        <v>274</v>
      </c>
      <c r="K590" s="7" t="str">
        <f>CONCATENATE(TableAopCalendar[[#This Row],[Month for Plan]]," ",TableAopCalendar[[#This Row],[Plan]])</f>
        <v>NOVEMBER 23 PLANNED</v>
      </c>
    </row>
    <row r="591" spans="1:11" x14ac:dyDescent="0.3">
      <c r="A591" s="4">
        <f t="shared" si="27"/>
        <v>4</v>
      </c>
      <c r="B591" s="5">
        <v>45241</v>
      </c>
      <c r="C591" s="6" t="s">
        <v>117</v>
      </c>
      <c r="D591" s="6">
        <v>23</v>
      </c>
      <c r="E591" s="4">
        <f>DAY(TableAopCalendar[[#This Row],[Date]])</f>
        <v>11</v>
      </c>
      <c r="F591" s="4">
        <f>IF(TableAopCalendar[[#This Row],[Day]]&lt;8,1,IF(TableAopCalendar[[#This Row],[Day]]&lt;15,2,IF(TableAopCalendar[[#This Row],[Day]]&lt;22,3,IF(TableAopCalendar[[#This Row],[Day]]&lt;29,4,IF(TableAopCalendar[[#This Row],[Day]]&lt;32,5)))))</f>
        <v>2</v>
      </c>
      <c r="G591" s="4" t="str">
        <f t="shared" si="28"/>
        <v>Week 2</v>
      </c>
      <c r="H591" s="7" t="str">
        <f t="shared" si="29"/>
        <v>November 23 Week 2</v>
      </c>
      <c r="I591" s="4" t="str">
        <f>CONCATENATE(UPPER(TableAopCalendar[[#This Row],[Month]])," ",TableAopCalendar[[#This Row],[Year]])</f>
        <v>NOVEMBER 23</v>
      </c>
      <c r="J591" s="7" t="s">
        <v>274</v>
      </c>
      <c r="K591" s="7" t="str">
        <f>CONCATENATE(TableAopCalendar[[#This Row],[Month for Plan]]," ",TableAopCalendar[[#This Row],[Plan]])</f>
        <v>NOVEMBER 23 PLANNED</v>
      </c>
    </row>
    <row r="592" spans="1:11" x14ac:dyDescent="0.3">
      <c r="A592" s="4">
        <f t="shared" si="27"/>
        <v>5</v>
      </c>
      <c r="B592" s="5">
        <v>45242</v>
      </c>
      <c r="C592" s="6" t="s">
        <v>117</v>
      </c>
      <c r="D592" s="6">
        <v>23</v>
      </c>
      <c r="E592" s="4">
        <f>DAY(TableAopCalendar[[#This Row],[Date]])</f>
        <v>12</v>
      </c>
      <c r="F592" s="4">
        <f>IF(TableAopCalendar[[#This Row],[Day]]&lt;8,1,IF(TableAopCalendar[[#This Row],[Day]]&lt;15,2,IF(TableAopCalendar[[#This Row],[Day]]&lt;22,3,IF(TableAopCalendar[[#This Row],[Day]]&lt;29,4,IF(TableAopCalendar[[#This Row],[Day]]&lt;32,5)))))</f>
        <v>2</v>
      </c>
      <c r="G592" s="4" t="str">
        <f t="shared" si="28"/>
        <v>Week 2</v>
      </c>
      <c r="H592" s="7" t="str">
        <f t="shared" si="29"/>
        <v>November 23 Week 2</v>
      </c>
      <c r="I592" s="4" t="str">
        <f>CONCATENATE(UPPER(TableAopCalendar[[#This Row],[Month]])," ",TableAopCalendar[[#This Row],[Year]])</f>
        <v>NOVEMBER 23</v>
      </c>
      <c r="J592" s="7" t="s">
        <v>274</v>
      </c>
      <c r="K592" s="7" t="str">
        <f>CONCATENATE(TableAopCalendar[[#This Row],[Month for Plan]]," ",TableAopCalendar[[#This Row],[Plan]])</f>
        <v>NOVEMBER 23 PLANNED</v>
      </c>
    </row>
    <row r="593" spans="1:11" x14ac:dyDescent="0.3">
      <c r="A593" s="4">
        <f t="shared" si="27"/>
        <v>6</v>
      </c>
      <c r="B593" s="5">
        <v>45243</v>
      </c>
      <c r="C593" s="6" t="s">
        <v>117</v>
      </c>
      <c r="D593" s="6">
        <v>23</v>
      </c>
      <c r="E593" s="4">
        <f>DAY(TableAopCalendar[[#This Row],[Date]])</f>
        <v>13</v>
      </c>
      <c r="F593" s="4">
        <f>IF(TableAopCalendar[[#This Row],[Day]]&lt;8,1,IF(TableAopCalendar[[#This Row],[Day]]&lt;15,2,IF(TableAopCalendar[[#This Row],[Day]]&lt;22,3,IF(TableAopCalendar[[#This Row],[Day]]&lt;29,4,IF(TableAopCalendar[[#This Row],[Day]]&lt;32,5)))))</f>
        <v>2</v>
      </c>
      <c r="G593" s="4" t="str">
        <f t="shared" si="28"/>
        <v>Week 2</v>
      </c>
      <c r="H593" s="7" t="str">
        <f t="shared" si="29"/>
        <v>November 23 Week 2</v>
      </c>
      <c r="I593" s="4" t="str">
        <f>CONCATENATE(UPPER(TableAopCalendar[[#This Row],[Month]])," ",TableAopCalendar[[#This Row],[Year]])</f>
        <v>NOVEMBER 23</v>
      </c>
      <c r="J593" s="7" t="s">
        <v>274</v>
      </c>
      <c r="K593" s="7" t="str">
        <f>CONCATENATE(TableAopCalendar[[#This Row],[Month for Plan]]," ",TableAopCalendar[[#This Row],[Plan]])</f>
        <v>NOVEMBER 23 PLANNED</v>
      </c>
    </row>
    <row r="594" spans="1:11" x14ac:dyDescent="0.3">
      <c r="A594" s="4">
        <f t="shared" si="27"/>
        <v>7</v>
      </c>
      <c r="B594" s="5">
        <v>45244</v>
      </c>
      <c r="C594" s="6" t="s">
        <v>117</v>
      </c>
      <c r="D594" s="6">
        <v>23</v>
      </c>
      <c r="E594" s="4">
        <f>DAY(TableAopCalendar[[#This Row],[Date]])</f>
        <v>14</v>
      </c>
      <c r="F594" s="4">
        <f>IF(TableAopCalendar[[#This Row],[Day]]&lt;8,1,IF(TableAopCalendar[[#This Row],[Day]]&lt;15,2,IF(TableAopCalendar[[#This Row],[Day]]&lt;22,3,IF(TableAopCalendar[[#This Row],[Day]]&lt;29,4,IF(TableAopCalendar[[#This Row],[Day]]&lt;32,5)))))</f>
        <v>2</v>
      </c>
      <c r="G594" s="4" t="str">
        <f t="shared" si="28"/>
        <v>Week 2</v>
      </c>
      <c r="H594" s="7" t="str">
        <f t="shared" si="29"/>
        <v>November 23 Week 2</v>
      </c>
      <c r="I594" s="4" t="str">
        <f>CONCATENATE(UPPER(TableAopCalendar[[#This Row],[Month]])," ",TableAopCalendar[[#This Row],[Year]])</f>
        <v>NOVEMBER 23</v>
      </c>
      <c r="J594" s="7" t="s">
        <v>274</v>
      </c>
      <c r="K594" s="7" t="str">
        <f>CONCATENATE(TableAopCalendar[[#This Row],[Month for Plan]]," ",TableAopCalendar[[#This Row],[Plan]])</f>
        <v>NOVEMBER 23 PLANNED</v>
      </c>
    </row>
    <row r="595" spans="1:11" x14ac:dyDescent="0.3">
      <c r="A595" s="4">
        <f t="shared" si="27"/>
        <v>1</v>
      </c>
      <c r="B595" s="5">
        <v>45245</v>
      </c>
      <c r="C595" s="6" t="s">
        <v>117</v>
      </c>
      <c r="D595" s="6">
        <v>23</v>
      </c>
      <c r="E595" s="4">
        <f>DAY(TableAopCalendar[[#This Row],[Date]])</f>
        <v>15</v>
      </c>
      <c r="F595" s="4">
        <f>IF(TableAopCalendar[[#This Row],[Day]]&lt;8,1,IF(TableAopCalendar[[#This Row],[Day]]&lt;15,2,IF(TableAopCalendar[[#This Row],[Day]]&lt;22,3,IF(TableAopCalendar[[#This Row],[Day]]&lt;29,4,IF(TableAopCalendar[[#This Row],[Day]]&lt;32,5)))))</f>
        <v>3</v>
      </c>
      <c r="G595" s="4" t="str">
        <f t="shared" si="28"/>
        <v>Week 3</v>
      </c>
      <c r="H595" s="7" t="str">
        <f t="shared" si="29"/>
        <v>November 23 Week 3</v>
      </c>
      <c r="I595" s="4" t="str">
        <f>CONCATENATE(UPPER(TableAopCalendar[[#This Row],[Month]])," ",TableAopCalendar[[#This Row],[Year]])</f>
        <v>NOVEMBER 23</v>
      </c>
      <c r="J595" s="7" t="s">
        <v>274</v>
      </c>
      <c r="K595" s="7" t="str">
        <f>CONCATENATE(TableAopCalendar[[#This Row],[Month for Plan]]," ",TableAopCalendar[[#This Row],[Plan]])</f>
        <v>NOVEMBER 23 PLANNED</v>
      </c>
    </row>
    <row r="596" spans="1:11" x14ac:dyDescent="0.3">
      <c r="A596" s="4">
        <f t="shared" si="27"/>
        <v>2</v>
      </c>
      <c r="B596" s="5">
        <v>45246</v>
      </c>
      <c r="C596" s="6" t="s">
        <v>117</v>
      </c>
      <c r="D596" s="6">
        <v>23</v>
      </c>
      <c r="E596" s="4">
        <f>DAY(TableAopCalendar[[#This Row],[Date]])</f>
        <v>16</v>
      </c>
      <c r="F596" s="4">
        <f>IF(TableAopCalendar[[#This Row],[Day]]&lt;8,1,IF(TableAopCalendar[[#This Row],[Day]]&lt;15,2,IF(TableAopCalendar[[#This Row],[Day]]&lt;22,3,IF(TableAopCalendar[[#This Row],[Day]]&lt;29,4,IF(TableAopCalendar[[#This Row],[Day]]&lt;32,5)))))</f>
        <v>3</v>
      </c>
      <c r="G596" s="4" t="str">
        <f t="shared" si="28"/>
        <v>Week 3</v>
      </c>
      <c r="H596" s="7" t="str">
        <f t="shared" si="29"/>
        <v>November 23 Week 3</v>
      </c>
      <c r="I596" s="4" t="str">
        <f>CONCATENATE(UPPER(TableAopCalendar[[#This Row],[Month]])," ",TableAopCalendar[[#This Row],[Year]])</f>
        <v>NOVEMBER 23</v>
      </c>
      <c r="J596" s="7" t="s">
        <v>274</v>
      </c>
      <c r="K596" s="7" t="str">
        <f>CONCATENATE(TableAopCalendar[[#This Row],[Month for Plan]]," ",TableAopCalendar[[#This Row],[Plan]])</f>
        <v>NOVEMBER 23 PLANNED</v>
      </c>
    </row>
    <row r="597" spans="1:11" x14ac:dyDescent="0.3">
      <c r="A597" s="4">
        <f t="shared" si="27"/>
        <v>3</v>
      </c>
      <c r="B597" s="5">
        <v>45247</v>
      </c>
      <c r="C597" s="6" t="s">
        <v>117</v>
      </c>
      <c r="D597" s="6">
        <v>23</v>
      </c>
      <c r="E597" s="4">
        <f>DAY(TableAopCalendar[[#This Row],[Date]])</f>
        <v>17</v>
      </c>
      <c r="F597" s="4">
        <f>IF(TableAopCalendar[[#This Row],[Day]]&lt;8,1,IF(TableAopCalendar[[#This Row],[Day]]&lt;15,2,IF(TableAopCalendar[[#This Row],[Day]]&lt;22,3,IF(TableAopCalendar[[#This Row],[Day]]&lt;29,4,IF(TableAopCalendar[[#This Row],[Day]]&lt;32,5)))))</f>
        <v>3</v>
      </c>
      <c r="G597" s="4" t="str">
        <f t="shared" si="28"/>
        <v>Week 3</v>
      </c>
      <c r="H597" s="7" t="str">
        <f t="shared" si="29"/>
        <v>November 23 Week 3</v>
      </c>
      <c r="I597" s="4" t="str">
        <f>CONCATENATE(UPPER(TableAopCalendar[[#This Row],[Month]])," ",TableAopCalendar[[#This Row],[Year]])</f>
        <v>NOVEMBER 23</v>
      </c>
      <c r="J597" s="7" t="s">
        <v>274</v>
      </c>
      <c r="K597" s="7" t="str">
        <f>CONCATENATE(TableAopCalendar[[#This Row],[Month for Plan]]," ",TableAopCalendar[[#This Row],[Plan]])</f>
        <v>NOVEMBER 23 PLANNED</v>
      </c>
    </row>
    <row r="598" spans="1:11" x14ac:dyDescent="0.3">
      <c r="A598" s="4">
        <f t="shared" si="27"/>
        <v>4</v>
      </c>
      <c r="B598" s="5">
        <v>45248</v>
      </c>
      <c r="C598" s="6" t="s">
        <v>117</v>
      </c>
      <c r="D598" s="6">
        <v>23</v>
      </c>
      <c r="E598" s="4">
        <f>DAY(TableAopCalendar[[#This Row],[Date]])</f>
        <v>18</v>
      </c>
      <c r="F598" s="4">
        <f>IF(TableAopCalendar[[#This Row],[Day]]&lt;8,1,IF(TableAopCalendar[[#This Row],[Day]]&lt;15,2,IF(TableAopCalendar[[#This Row],[Day]]&lt;22,3,IF(TableAopCalendar[[#This Row],[Day]]&lt;29,4,IF(TableAopCalendar[[#This Row],[Day]]&lt;32,5)))))</f>
        <v>3</v>
      </c>
      <c r="G598" s="4" t="str">
        <f t="shared" si="28"/>
        <v>Week 3</v>
      </c>
      <c r="H598" s="7" t="str">
        <f t="shared" si="29"/>
        <v>November 23 Week 3</v>
      </c>
      <c r="I598" s="4" t="str">
        <f>CONCATENATE(UPPER(TableAopCalendar[[#This Row],[Month]])," ",TableAopCalendar[[#This Row],[Year]])</f>
        <v>NOVEMBER 23</v>
      </c>
      <c r="J598" s="7" t="s">
        <v>274</v>
      </c>
      <c r="K598" s="7" t="str">
        <f>CONCATENATE(TableAopCalendar[[#This Row],[Month for Plan]]," ",TableAopCalendar[[#This Row],[Plan]])</f>
        <v>NOVEMBER 23 PLANNED</v>
      </c>
    </row>
    <row r="599" spans="1:11" x14ac:dyDescent="0.3">
      <c r="A599" s="4">
        <f t="shared" si="27"/>
        <v>5</v>
      </c>
      <c r="B599" s="5">
        <v>45249</v>
      </c>
      <c r="C599" s="6" t="s">
        <v>117</v>
      </c>
      <c r="D599" s="6">
        <v>23</v>
      </c>
      <c r="E599" s="4">
        <f>DAY(TableAopCalendar[[#This Row],[Date]])</f>
        <v>19</v>
      </c>
      <c r="F599" s="4">
        <f>IF(TableAopCalendar[[#This Row],[Day]]&lt;8,1,IF(TableAopCalendar[[#This Row],[Day]]&lt;15,2,IF(TableAopCalendar[[#This Row],[Day]]&lt;22,3,IF(TableAopCalendar[[#This Row],[Day]]&lt;29,4,IF(TableAopCalendar[[#This Row],[Day]]&lt;32,5)))))</f>
        <v>3</v>
      </c>
      <c r="G599" s="4" t="str">
        <f t="shared" si="28"/>
        <v>Week 3</v>
      </c>
      <c r="H599" s="7" t="str">
        <f t="shared" si="29"/>
        <v>November 23 Week 3</v>
      </c>
      <c r="I599" s="4" t="str">
        <f>CONCATENATE(UPPER(TableAopCalendar[[#This Row],[Month]])," ",TableAopCalendar[[#This Row],[Year]])</f>
        <v>NOVEMBER 23</v>
      </c>
      <c r="J599" s="7" t="s">
        <v>274</v>
      </c>
      <c r="K599" s="7" t="str">
        <f>CONCATENATE(TableAopCalendar[[#This Row],[Month for Plan]]," ",TableAopCalendar[[#This Row],[Plan]])</f>
        <v>NOVEMBER 23 PLANNED</v>
      </c>
    </row>
    <row r="600" spans="1:11" x14ac:dyDescent="0.3">
      <c r="A600" s="4">
        <f t="shared" si="27"/>
        <v>6</v>
      </c>
      <c r="B600" s="5">
        <v>45250</v>
      </c>
      <c r="C600" s="6" t="s">
        <v>117</v>
      </c>
      <c r="D600" s="6">
        <v>23</v>
      </c>
      <c r="E600" s="4">
        <f>DAY(TableAopCalendar[[#This Row],[Date]])</f>
        <v>20</v>
      </c>
      <c r="F600" s="4">
        <f>IF(TableAopCalendar[[#This Row],[Day]]&lt;8,1,IF(TableAopCalendar[[#This Row],[Day]]&lt;15,2,IF(TableAopCalendar[[#This Row],[Day]]&lt;22,3,IF(TableAopCalendar[[#This Row],[Day]]&lt;29,4,IF(TableAopCalendar[[#This Row],[Day]]&lt;32,5)))))</f>
        <v>3</v>
      </c>
      <c r="G600" s="4" t="str">
        <f t="shared" si="28"/>
        <v>Week 3</v>
      </c>
      <c r="H600" s="7" t="str">
        <f t="shared" si="29"/>
        <v>November 23 Week 3</v>
      </c>
      <c r="I600" s="4" t="str">
        <f>CONCATENATE(UPPER(TableAopCalendar[[#This Row],[Month]])," ",TableAopCalendar[[#This Row],[Year]])</f>
        <v>NOVEMBER 23</v>
      </c>
      <c r="J600" s="7" t="s">
        <v>274</v>
      </c>
      <c r="K600" s="7" t="str">
        <f>CONCATENATE(TableAopCalendar[[#This Row],[Month for Plan]]," ",TableAopCalendar[[#This Row],[Plan]])</f>
        <v>NOVEMBER 23 PLANNED</v>
      </c>
    </row>
    <row r="601" spans="1:11" x14ac:dyDescent="0.3">
      <c r="A601" s="4">
        <f t="shared" si="27"/>
        <v>7</v>
      </c>
      <c r="B601" s="5">
        <v>45251</v>
      </c>
      <c r="C601" s="6" t="s">
        <v>117</v>
      </c>
      <c r="D601" s="6">
        <v>23</v>
      </c>
      <c r="E601" s="4">
        <f>DAY(TableAopCalendar[[#This Row],[Date]])</f>
        <v>21</v>
      </c>
      <c r="F601" s="4">
        <f>IF(TableAopCalendar[[#This Row],[Day]]&lt;8,1,IF(TableAopCalendar[[#This Row],[Day]]&lt;15,2,IF(TableAopCalendar[[#This Row],[Day]]&lt;22,3,IF(TableAopCalendar[[#This Row],[Day]]&lt;29,4,IF(TableAopCalendar[[#This Row],[Day]]&lt;32,5)))))</f>
        <v>3</v>
      </c>
      <c r="G601" s="4" t="str">
        <f t="shared" si="28"/>
        <v>Week 3</v>
      </c>
      <c r="H601" s="7" t="str">
        <f t="shared" si="29"/>
        <v>November 23 Week 3</v>
      </c>
      <c r="I601" s="4" t="str">
        <f>CONCATENATE(UPPER(TableAopCalendar[[#This Row],[Month]])," ",TableAopCalendar[[#This Row],[Year]])</f>
        <v>NOVEMBER 23</v>
      </c>
      <c r="J601" s="7" t="s">
        <v>274</v>
      </c>
      <c r="K601" s="7" t="str">
        <f>CONCATENATE(TableAopCalendar[[#This Row],[Month for Plan]]," ",TableAopCalendar[[#This Row],[Plan]])</f>
        <v>NOVEMBER 23 PLANNED</v>
      </c>
    </row>
    <row r="602" spans="1:11" x14ac:dyDescent="0.3">
      <c r="A602" s="4">
        <f t="shared" si="27"/>
        <v>1</v>
      </c>
      <c r="B602" s="5">
        <v>45252</v>
      </c>
      <c r="C602" s="6" t="s">
        <v>117</v>
      </c>
      <c r="D602" s="6">
        <v>23</v>
      </c>
      <c r="E602" s="4">
        <f>DAY(TableAopCalendar[[#This Row],[Date]])</f>
        <v>22</v>
      </c>
      <c r="F602" s="4">
        <f>IF(TableAopCalendar[[#This Row],[Day]]&lt;8,1,IF(TableAopCalendar[[#This Row],[Day]]&lt;15,2,IF(TableAopCalendar[[#This Row],[Day]]&lt;22,3,IF(TableAopCalendar[[#This Row],[Day]]&lt;29,4,IF(TableAopCalendar[[#This Row],[Day]]&lt;32,5)))))</f>
        <v>4</v>
      </c>
      <c r="G602" s="4" t="str">
        <f t="shared" si="28"/>
        <v>Week 4</v>
      </c>
      <c r="H602" s="7" t="str">
        <f t="shared" si="29"/>
        <v>November 23 Week 4</v>
      </c>
      <c r="I602" s="4" t="str">
        <f>CONCATENATE(UPPER(TableAopCalendar[[#This Row],[Month]])," ",TableAopCalendar[[#This Row],[Year]])</f>
        <v>NOVEMBER 23</v>
      </c>
      <c r="J602" s="7" t="s">
        <v>274</v>
      </c>
      <c r="K602" s="7" t="str">
        <f>CONCATENATE(TableAopCalendar[[#This Row],[Month for Plan]]," ",TableAopCalendar[[#This Row],[Plan]])</f>
        <v>NOVEMBER 23 PLANNED</v>
      </c>
    </row>
    <row r="603" spans="1:11" x14ac:dyDescent="0.3">
      <c r="A603" s="4">
        <f t="shared" si="27"/>
        <v>2</v>
      </c>
      <c r="B603" s="5">
        <v>45253</v>
      </c>
      <c r="C603" s="6" t="s">
        <v>117</v>
      </c>
      <c r="D603" s="6">
        <v>23</v>
      </c>
      <c r="E603" s="4">
        <f>DAY(TableAopCalendar[[#This Row],[Date]])</f>
        <v>23</v>
      </c>
      <c r="F603" s="4">
        <f>IF(TableAopCalendar[[#This Row],[Day]]&lt;8,1,IF(TableAopCalendar[[#This Row],[Day]]&lt;15,2,IF(TableAopCalendar[[#This Row],[Day]]&lt;22,3,IF(TableAopCalendar[[#This Row],[Day]]&lt;29,4,IF(TableAopCalendar[[#This Row],[Day]]&lt;32,5)))))</f>
        <v>4</v>
      </c>
      <c r="G603" s="4" t="str">
        <f t="shared" si="28"/>
        <v>Week 4</v>
      </c>
      <c r="H603" s="7" t="str">
        <f t="shared" si="29"/>
        <v>November 23 Week 4</v>
      </c>
      <c r="I603" s="4" t="str">
        <f>CONCATENATE(UPPER(TableAopCalendar[[#This Row],[Month]])," ",TableAopCalendar[[#This Row],[Year]])</f>
        <v>NOVEMBER 23</v>
      </c>
      <c r="J603" s="7" t="s">
        <v>274</v>
      </c>
      <c r="K603" s="7" t="str">
        <f>CONCATENATE(TableAopCalendar[[#This Row],[Month for Plan]]," ",TableAopCalendar[[#This Row],[Plan]])</f>
        <v>NOVEMBER 23 PLANNED</v>
      </c>
    </row>
    <row r="604" spans="1:11" x14ac:dyDescent="0.3">
      <c r="A604" s="4">
        <f t="shared" si="27"/>
        <v>3</v>
      </c>
      <c r="B604" s="5">
        <v>45254</v>
      </c>
      <c r="C604" s="6" t="s">
        <v>117</v>
      </c>
      <c r="D604" s="6">
        <v>23</v>
      </c>
      <c r="E604" s="4">
        <f>DAY(TableAopCalendar[[#This Row],[Date]])</f>
        <v>24</v>
      </c>
      <c r="F604" s="4">
        <f>IF(TableAopCalendar[[#This Row],[Day]]&lt;8,1,IF(TableAopCalendar[[#This Row],[Day]]&lt;15,2,IF(TableAopCalendar[[#This Row],[Day]]&lt;22,3,IF(TableAopCalendar[[#This Row],[Day]]&lt;29,4,IF(TableAopCalendar[[#This Row],[Day]]&lt;32,5)))))</f>
        <v>4</v>
      </c>
      <c r="G604" s="4" t="str">
        <f t="shared" si="28"/>
        <v>Week 4</v>
      </c>
      <c r="H604" s="7" t="str">
        <f t="shared" si="29"/>
        <v>November 23 Week 4</v>
      </c>
      <c r="I604" s="4" t="str">
        <f>CONCATENATE(UPPER(TableAopCalendar[[#This Row],[Month]])," ",TableAopCalendar[[#This Row],[Year]])</f>
        <v>NOVEMBER 23</v>
      </c>
      <c r="J604" s="7" t="s">
        <v>274</v>
      </c>
      <c r="K604" s="7" t="str">
        <f>CONCATENATE(TableAopCalendar[[#This Row],[Month for Plan]]," ",TableAopCalendar[[#This Row],[Plan]])</f>
        <v>NOVEMBER 23 PLANNED</v>
      </c>
    </row>
    <row r="605" spans="1:11" x14ac:dyDescent="0.3">
      <c r="A605" s="4">
        <f t="shared" si="27"/>
        <v>4</v>
      </c>
      <c r="B605" s="5">
        <v>45255</v>
      </c>
      <c r="C605" s="6" t="s">
        <v>117</v>
      </c>
      <c r="D605" s="6">
        <v>23</v>
      </c>
      <c r="E605" s="4">
        <f>DAY(TableAopCalendar[[#This Row],[Date]])</f>
        <v>25</v>
      </c>
      <c r="F605" s="4">
        <f>IF(TableAopCalendar[[#This Row],[Day]]&lt;8,1,IF(TableAopCalendar[[#This Row],[Day]]&lt;15,2,IF(TableAopCalendar[[#This Row],[Day]]&lt;22,3,IF(TableAopCalendar[[#This Row],[Day]]&lt;29,4,IF(TableAopCalendar[[#This Row],[Day]]&lt;32,5)))))</f>
        <v>4</v>
      </c>
      <c r="G605" s="4" t="str">
        <f t="shared" si="28"/>
        <v>Week 4</v>
      </c>
      <c r="H605" s="7" t="str">
        <f t="shared" si="29"/>
        <v>November 23 Week 4</v>
      </c>
      <c r="I605" s="4" t="str">
        <f>CONCATENATE(UPPER(TableAopCalendar[[#This Row],[Month]])," ",TableAopCalendar[[#This Row],[Year]])</f>
        <v>NOVEMBER 23</v>
      </c>
      <c r="J605" s="7" t="s">
        <v>274</v>
      </c>
      <c r="K605" s="7" t="str">
        <f>CONCATENATE(TableAopCalendar[[#This Row],[Month for Plan]]," ",TableAopCalendar[[#This Row],[Plan]])</f>
        <v>NOVEMBER 23 PLANNED</v>
      </c>
    </row>
    <row r="606" spans="1:11" x14ac:dyDescent="0.3">
      <c r="A606" s="4">
        <f t="shared" si="27"/>
        <v>5</v>
      </c>
      <c r="B606" s="5">
        <v>45256</v>
      </c>
      <c r="C606" s="6" t="s">
        <v>117</v>
      </c>
      <c r="D606" s="6">
        <v>23</v>
      </c>
      <c r="E606" s="4">
        <f>DAY(TableAopCalendar[[#This Row],[Date]])</f>
        <v>26</v>
      </c>
      <c r="F606" s="4">
        <f>IF(TableAopCalendar[[#This Row],[Day]]&lt;8,1,IF(TableAopCalendar[[#This Row],[Day]]&lt;15,2,IF(TableAopCalendar[[#This Row],[Day]]&lt;22,3,IF(TableAopCalendar[[#This Row],[Day]]&lt;29,4,IF(TableAopCalendar[[#This Row],[Day]]&lt;32,5)))))</f>
        <v>4</v>
      </c>
      <c r="G606" s="4" t="str">
        <f t="shared" si="28"/>
        <v>Week 4</v>
      </c>
      <c r="H606" s="7" t="str">
        <f t="shared" si="29"/>
        <v>November 23 Week 4</v>
      </c>
      <c r="I606" s="4" t="str">
        <f>CONCATENATE(UPPER(TableAopCalendar[[#This Row],[Month]])," ",TableAopCalendar[[#This Row],[Year]])</f>
        <v>NOVEMBER 23</v>
      </c>
      <c r="J606" s="7" t="s">
        <v>274</v>
      </c>
      <c r="K606" s="7" t="str">
        <f>CONCATENATE(TableAopCalendar[[#This Row],[Month for Plan]]," ",TableAopCalendar[[#This Row],[Plan]])</f>
        <v>NOVEMBER 23 PLANNED</v>
      </c>
    </row>
    <row r="607" spans="1:11" x14ac:dyDescent="0.3">
      <c r="A607" s="4">
        <f t="shared" si="27"/>
        <v>6</v>
      </c>
      <c r="B607" s="5">
        <v>45257</v>
      </c>
      <c r="C607" s="6" t="s">
        <v>117</v>
      </c>
      <c r="D607" s="6">
        <v>23</v>
      </c>
      <c r="E607" s="4">
        <f>DAY(TableAopCalendar[[#This Row],[Date]])</f>
        <v>27</v>
      </c>
      <c r="F607" s="4">
        <f>IF(TableAopCalendar[[#This Row],[Day]]&lt;8,1,IF(TableAopCalendar[[#This Row],[Day]]&lt;15,2,IF(TableAopCalendar[[#This Row],[Day]]&lt;22,3,IF(TableAopCalendar[[#This Row],[Day]]&lt;29,4,IF(TableAopCalendar[[#This Row],[Day]]&lt;32,5)))))</f>
        <v>4</v>
      </c>
      <c r="G607" s="4" t="str">
        <f t="shared" si="28"/>
        <v>Week 4</v>
      </c>
      <c r="H607" s="7" t="str">
        <f t="shared" si="29"/>
        <v>November 23 Week 4</v>
      </c>
      <c r="I607" s="4" t="str">
        <f>CONCATENATE(UPPER(TableAopCalendar[[#This Row],[Month]])," ",TableAopCalendar[[#This Row],[Year]])</f>
        <v>NOVEMBER 23</v>
      </c>
      <c r="J607" s="7" t="s">
        <v>274</v>
      </c>
      <c r="K607" s="7" t="str">
        <f>CONCATENATE(TableAopCalendar[[#This Row],[Month for Plan]]," ",TableAopCalendar[[#This Row],[Plan]])</f>
        <v>NOVEMBER 23 PLANNED</v>
      </c>
    </row>
    <row r="608" spans="1:11" x14ac:dyDescent="0.3">
      <c r="A608" s="4">
        <f t="shared" si="27"/>
        <v>7</v>
      </c>
      <c r="B608" s="5">
        <v>45258</v>
      </c>
      <c r="C608" s="6" t="s">
        <v>117</v>
      </c>
      <c r="D608" s="6">
        <v>23</v>
      </c>
      <c r="E608" s="4">
        <f>DAY(TableAopCalendar[[#This Row],[Date]])</f>
        <v>28</v>
      </c>
      <c r="F608" s="4">
        <f>IF(TableAopCalendar[[#This Row],[Day]]&lt;8,1,IF(TableAopCalendar[[#This Row],[Day]]&lt;15,2,IF(TableAopCalendar[[#This Row],[Day]]&lt;22,3,IF(TableAopCalendar[[#This Row],[Day]]&lt;29,4,IF(TableAopCalendar[[#This Row],[Day]]&lt;32,5)))))</f>
        <v>4</v>
      </c>
      <c r="G608" s="4" t="str">
        <f t="shared" si="28"/>
        <v>Week 4</v>
      </c>
      <c r="H608" s="7" t="str">
        <f t="shared" si="29"/>
        <v>November 23 Week 4</v>
      </c>
      <c r="I608" s="4" t="str">
        <f>CONCATENATE(UPPER(TableAopCalendar[[#This Row],[Month]])," ",TableAopCalendar[[#This Row],[Year]])</f>
        <v>NOVEMBER 23</v>
      </c>
      <c r="J608" s="7" t="s">
        <v>274</v>
      </c>
      <c r="K608" s="7" t="str">
        <f>CONCATENATE(TableAopCalendar[[#This Row],[Month for Plan]]," ",TableAopCalendar[[#This Row],[Plan]])</f>
        <v>NOVEMBER 23 PLANNED</v>
      </c>
    </row>
    <row r="609" spans="1:11" x14ac:dyDescent="0.3">
      <c r="A609" s="4">
        <f t="shared" si="27"/>
        <v>1</v>
      </c>
      <c r="B609" s="5">
        <v>45259</v>
      </c>
      <c r="C609" s="6" t="s">
        <v>117</v>
      </c>
      <c r="D609" s="6">
        <v>23</v>
      </c>
      <c r="E609" s="4">
        <f>DAY(TableAopCalendar[[#This Row],[Date]])</f>
        <v>29</v>
      </c>
      <c r="F609" s="4">
        <f>IF(TableAopCalendar[[#This Row],[Day]]&lt;8,1,IF(TableAopCalendar[[#This Row],[Day]]&lt;15,2,IF(TableAopCalendar[[#This Row],[Day]]&lt;22,3,IF(TableAopCalendar[[#This Row],[Day]]&lt;29,4,IF(TableAopCalendar[[#This Row],[Day]]&lt;32,5)))))</f>
        <v>5</v>
      </c>
      <c r="G609" s="4" t="str">
        <f t="shared" si="28"/>
        <v>Week 5</v>
      </c>
      <c r="H609" s="7" t="str">
        <f t="shared" si="29"/>
        <v>November 23 Week 5</v>
      </c>
      <c r="I609" s="4" t="str">
        <f>CONCATENATE(UPPER(TableAopCalendar[[#This Row],[Month]])," ",TableAopCalendar[[#This Row],[Year]])</f>
        <v>NOVEMBER 23</v>
      </c>
      <c r="J609" s="7" t="s">
        <v>274</v>
      </c>
      <c r="K609" s="7" t="str">
        <f>CONCATENATE(TableAopCalendar[[#This Row],[Month for Plan]]," ",TableAopCalendar[[#This Row],[Plan]])</f>
        <v>NOVEMBER 23 PLANNED</v>
      </c>
    </row>
    <row r="610" spans="1:11" x14ac:dyDescent="0.3">
      <c r="A610" s="4">
        <f t="shared" si="27"/>
        <v>2</v>
      </c>
      <c r="B610" s="5">
        <v>45260</v>
      </c>
      <c r="C610" s="6" t="s">
        <v>117</v>
      </c>
      <c r="D610" s="6">
        <v>23</v>
      </c>
      <c r="E610" s="4">
        <f>DAY(TableAopCalendar[[#This Row],[Date]])</f>
        <v>30</v>
      </c>
      <c r="F610" s="4">
        <f>IF(TableAopCalendar[[#This Row],[Day]]&lt;8,1,IF(TableAopCalendar[[#This Row],[Day]]&lt;15,2,IF(TableAopCalendar[[#This Row],[Day]]&lt;22,3,IF(TableAopCalendar[[#This Row],[Day]]&lt;29,4,IF(TableAopCalendar[[#This Row],[Day]]&lt;32,5)))))</f>
        <v>5</v>
      </c>
      <c r="G610" s="4" t="str">
        <f t="shared" si="28"/>
        <v>Week 5</v>
      </c>
      <c r="H610" s="7" t="str">
        <f t="shared" si="29"/>
        <v>November 23 Week 5</v>
      </c>
      <c r="I610" s="4" t="str">
        <f>CONCATENATE(UPPER(TableAopCalendar[[#This Row],[Month]])," ",TableAopCalendar[[#This Row],[Year]])</f>
        <v>NOVEMBER 23</v>
      </c>
      <c r="J610" s="7" t="s">
        <v>274</v>
      </c>
      <c r="K610" s="7" t="str">
        <f>CONCATENATE(TableAopCalendar[[#This Row],[Month for Plan]]," ",TableAopCalendar[[#This Row],[Plan]])</f>
        <v>NOVEMBER 23 PLANNED</v>
      </c>
    </row>
    <row r="611" spans="1:11" x14ac:dyDescent="0.3">
      <c r="A611" s="4">
        <f t="shared" si="27"/>
        <v>1</v>
      </c>
      <c r="B611" s="5">
        <v>45261</v>
      </c>
      <c r="C611" s="6" t="s">
        <v>270</v>
      </c>
      <c r="D611" s="6">
        <v>23</v>
      </c>
      <c r="E611" s="4">
        <f>DAY(TableAopCalendar[[#This Row],[Date]])</f>
        <v>1</v>
      </c>
      <c r="F611" s="4">
        <f>IF(TableAopCalendar[[#This Row],[Day]]&lt;8,1,IF(TableAopCalendar[[#This Row],[Day]]&lt;15,2,IF(TableAopCalendar[[#This Row],[Day]]&lt;22,3,IF(TableAopCalendar[[#This Row],[Day]]&lt;29,4,IF(TableAopCalendar[[#This Row],[Day]]&lt;32,5)))))</f>
        <v>1</v>
      </c>
      <c r="G611" s="4" t="str">
        <f t="shared" si="28"/>
        <v>Week 1</v>
      </c>
      <c r="H611" s="7" t="str">
        <f t="shared" si="29"/>
        <v>December 23 Week 1</v>
      </c>
      <c r="I611" s="4" t="str">
        <f>CONCATENATE(UPPER(TableAopCalendar[[#This Row],[Month]])," ",TableAopCalendar[[#This Row],[Year]])</f>
        <v>DECEMBER 23</v>
      </c>
      <c r="J611" s="7" t="s">
        <v>274</v>
      </c>
      <c r="K611" s="7" t="str">
        <f>CONCATENATE(TableAopCalendar[[#This Row],[Month for Plan]]," ",TableAopCalendar[[#This Row],[Plan]])</f>
        <v>DECEMBER 23 PLANNED</v>
      </c>
    </row>
    <row r="612" spans="1:11" x14ac:dyDescent="0.3">
      <c r="A612" s="4">
        <f t="shared" si="27"/>
        <v>2</v>
      </c>
      <c r="B612" s="5">
        <v>45262</v>
      </c>
      <c r="C612" s="6" t="s">
        <v>270</v>
      </c>
      <c r="D612" s="6">
        <v>23</v>
      </c>
      <c r="E612" s="4">
        <f>DAY(TableAopCalendar[[#This Row],[Date]])</f>
        <v>2</v>
      </c>
      <c r="F612" s="4">
        <f>IF(TableAopCalendar[[#This Row],[Day]]&lt;8,1,IF(TableAopCalendar[[#This Row],[Day]]&lt;15,2,IF(TableAopCalendar[[#This Row],[Day]]&lt;22,3,IF(TableAopCalendar[[#This Row],[Day]]&lt;29,4,IF(TableAopCalendar[[#This Row],[Day]]&lt;32,5)))))</f>
        <v>1</v>
      </c>
      <c r="G612" s="4" t="str">
        <f t="shared" si="28"/>
        <v>Week 1</v>
      </c>
      <c r="H612" s="7" t="str">
        <f t="shared" si="29"/>
        <v>December 23 Week 1</v>
      </c>
      <c r="I612" s="4" t="str">
        <f>CONCATENATE(UPPER(TableAopCalendar[[#This Row],[Month]])," ",TableAopCalendar[[#This Row],[Year]])</f>
        <v>DECEMBER 23</v>
      </c>
      <c r="J612" s="7" t="s">
        <v>274</v>
      </c>
      <c r="K612" s="7" t="str">
        <f>CONCATENATE(TableAopCalendar[[#This Row],[Month for Plan]]," ",TableAopCalendar[[#This Row],[Plan]])</f>
        <v>DECEMBER 23 PLANNED</v>
      </c>
    </row>
    <row r="613" spans="1:11" x14ac:dyDescent="0.3">
      <c r="A613" s="4">
        <f t="shared" si="27"/>
        <v>3</v>
      </c>
      <c r="B613" s="5">
        <v>45263</v>
      </c>
      <c r="C613" s="6" t="s">
        <v>270</v>
      </c>
      <c r="D613" s="6">
        <v>23</v>
      </c>
      <c r="E613" s="4">
        <f>DAY(TableAopCalendar[[#This Row],[Date]])</f>
        <v>3</v>
      </c>
      <c r="F613" s="4">
        <f>IF(TableAopCalendar[[#This Row],[Day]]&lt;8,1,IF(TableAopCalendar[[#This Row],[Day]]&lt;15,2,IF(TableAopCalendar[[#This Row],[Day]]&lt;22,3,IF(TableAopCalendar[[#This Row],[Day]]&lt;29,4,IF(TableAopCalendar[[#This Row],[Day]]&lt;32,5)))))</f>
        <v>1</v>
      </c>
      <c r="G613" s="4" t="str">
        <f t="shared" si="28"/>
        <v>Week 1</v>
      </c>
      <c r="H613" s="7" t="str">
        <f t="shared" si="29"/>
        <v>December 23 Week 1</v>
      </c>
      <c r="I613" s="4" t="str">
        <f>CONCATENATE(UPPER(TableAopCalendar[[#This Row],[Month]])," ",TableAopCalendar[[#This Row],[Year]])</f>
        <v>DECEMBER 23</v>
      </c>
      <c r="J613" s="7" t="s">
        <v>274</v>
      </c>
      <c r="K613" s="7" t="str">
        <f>CONCATENATE(TableAopCalendar[[#This Row],[Month for Plan]]," ",TableAopCalendar[[#This Row],[Plan]])</f>
        <v>DECEMBER 23 PLANNED</v>
      </c>
    </row>
    <row r="614" spans="1:11" x14ac:dyDescent="0.3">
      <c r="A614" s="4">
        <f t="shared" si="27"/>
        <v>4</v>
      </c>
      <c r="B614" s="5">
        <v>45264</v>
      </c>
      <c r="C614" s="6" t="s">
        <v>270</v>
      </c>
      <c r="D614" s="6">
        <v>23</v>
      </c>
      <c r="E614" s="4">
        <f>DAY(TableAopCalendar[[#This Row],[Date]])</f>
        <v>4</v>
      </c>
      <c r="F614" s="4">
        <f>IF(TableAopCalendar[[#This Row],[Day]]&lt;8,1,IF(TableAopCalendar[[#This Row],[Day]]&lt;15,2,IF(TableAopCalendar[[#This Row],[Day]]&lt;22,3,IF(TableAopCalendar[[#This Row],[Day]]&lt;29,4,IF(TableAopCalendar[[#This Row],[Day]]&lt;32,5)))))</f>
        <v>1</v>
      </c>
      <c r="G614" s="4" t="str">
        <f t="shared" si="28"/>
        <v>Week 1</v>
      </c>
      <c r="H614" s="7" t="str">
        <f t="shared" si="29"/>
        <v>December 23 Week 1</v>
      </c>
      <c r="I614" s="4" t="str">
        <f>CONCATENATE(UPPER(TableAopCalendar[[#This Row],[Month]])," ",TableAopCalendar[[#This Row],[Year]])</f>
        <v>DECEMBER 23</v>
      </c>
      <c r="J614" s="7" t="s">
        <v>274</v>
      </c>
      <c r="K614" s="7" t="str">
        <f>CONCATENATE(TableAopCalendar[[#This Row],[Month for Plan]]," ",TableAopCalendar[[#This Row],[Plan]])</f>
        <v>DECEMBER 23 PLANNED</v>
      </c>
    </row>
    <row r="615" spans="1:11" x14ac:dyDescent="0.3">
      <c r="A615" s="4">
        <f t="shared" si="27"/>
        <v>5</v>
      </c>
      <c r="B615" s="5">
        <v>45265</v>
      </c>
      <c r="C615" s="6" t="s">
        <v>270</v>
      </c>
      <c r="D615" s="6">
        <v>23</v>
      </c>
      <c r="E615" s="4">
        <f>DAY(TableAopCalendar[[#This Row],[Date]])</f>
        <v>5</v>
      </c>
      <c r="F615" s="4">
        <f>IF(TableAopCalendar[[#This Row],[Day]]&lt;8,1,IF(TableAopCalendar[[#This Row],[Day]]&lt;15,2,IF(TableAopCalendar[[#This Row],[Day]]&lt;22,3,IF(TableAopCalendar[[#This Row],[Day]]&lt;29,4,IF(TableAopCalendar[[#This Row],[Day]]&lt;32,5)))))</f>
        <v>1</v>
      </c>
      <c r="G615" s="4" t="str">
        <f t="shared" si="28"/>
        <v>Week 1</v>
      </c>
      <c r="H615" s="7" t="str">
        <f t="shared" si="29"/>
        <v>December 23 Week 1</v>
      </c>
      <c r="I615" s="4" t="str">
        <f>CONCATENATE(UPPER(TableAopCalendar[[#This Row],[Month]])," ",TableAopCalendar[[#This Row],[Year]])</f>
        <v>DECEMBER 23</v>
      </c>
      <c r="J615" s="7" t="s">
        <v>274</v>
      </c>
      <c r="K615" s="7" t="str">
        <f>CONCATENATE(TableAopCalendar[[#This Row],[Month for Plan]]," ",TableAopCalendar[[#This Row],[Plan]])</f>
        <v>DECEMBER 23 PLANNED</v>
      </c>
    </row>
    <row r="616" spans="1:11" x14ac:dyDescent="0.3">
      <c r="A616" s="4">
        <f t="shared" si="27"/>
        <v>6</v>
      </c>
      <c r="B616" s="5">
        <v>45266</v>
      </c>
      <c r="C616" s="6" t="s">
        <v>270</v>
      </c>
      <c r="D616" s="6">
        <v>23</v>
      </c>
      <c r="E616" s="4">
        <f>DAY(TableAopCalendar[[#This Row],[Date]])</f>
        <v>6</v>
      </c>
      <c r="F616" s="4">
        <f>IF(TableAopCalendar[[#This Row],[Day]]&lt;8,1,IF(TableAopCalendar[[#This Row],[Day]]&lt;15,2,IF(TableAopCalendar[[#This Row],[Day]]&lt;22,3,IF(TableAopCalendar[[#This Row],[Day]]&lt;29,4,IF(TableAopCalendar[[#This Row],[Day]]&lt;32,5)))))</f>
        <v>1</v>
      </c>
      <c r="G616" s="4" t="str">
        <f t="shared" si="28"/>
        <v>Week 1</v>
      </c>
      <c r="H616" s="7" t="str">
        <f t="shared" si="29"/>
        <v>December 23 Week 1</v>
      </c>
      <c r="I616" s="4" t="str">
        <f>CONCATENATE(UPPER(TableAopCalendar[[#This Row],[Month]])," ",TableAopCalendar[[#This Row],[Year]])</f>
        <v>DECEMBER 23</v>
      </c>
      <c r="J616" s="7" t="s">
        <v>274</v>
      </c>
      <c r="K616" s="7" t="str">
        <f>CONCATENATE(TableAopCalendar[[#This Row],[Month for Plan]]," ",TableAopCalendar[[#This Row],[Plan]])</f>
        <v>DECEMBER 23 PLANNED</v>
      </c>
    </row>
    <row r="617" spans="1:11" x14ac:dyDescent="0.3">
      <c r="A617" s="4">
        <f t="shared" si="27"/>
        <v>7</v>
      </c>
      <c r="B617" s="5">
        <v>45267</v>
      </c>
      <c r="C617" s="6" t="s">
        <v>270</v>
      </c>
      <c r="D617" s="6">
        <v>23</v>
      </c>
      <c r="E617" s="4">
        <f>DAY(TableAopCalendar[[#This Row],[Date]])</f>
        <v>7</v>
      </c>
      <c r="F617" s="4">
        <f>IF(TableAopCalendar[[#This Row],[Day]]&lt;8,1,IF(TableAopCalendar[[#This Row],[Day]]&lt;15,2,IF(TableAopCalendar[[#This Row],[Day]]&lt;22,3,IF(TableAopCalendar[[#This Row],[Day]]&lt;29,4,IF(TableAopCalendar[[#This Row],[Day]]&lt;32,5)))))</f>
        <v>1</v>
      </c>
      <c r="G617" s="4" t="str">
        <f t="shared" si="28"/>
        <v>Week 1</v>
      </c>
      <c r="H617" s="7" t="str">
        <f t="shared" si="29"/>
        <v>December 23 Week 1</v>
      </c>
      <c r="I617" s="4" t="str">
        <f>CONCATENATE(UPPER(TableAopCalendar[[#This Row],[Month]])," ",TableAopCalendar[[#This Row],[Year]])</f>
        <v>DECEMBER 23</v>
      </c>
      <c r="J617" s="7" t="s">
        <v>274</v>
      </c>
      <c r="K617" s="7" t="str">
        <f>CONCATENATE(TableAopCalendar[[#This Row],[Month for Plan]]," ",TableAopCalendar[[#This Row],[Plan]])</f>
        <v>DECEMBER 23 PLANNED</v>
      </c>
    </row>
    <row r="618" spans="1:11" x14ac:dyDescent="0.3">
      <c r="A618" s="4">
        <f t="shared" si="27"/>
        <v>1</v>
      </c>
      <c r="B618" s="5">
        <v>45268</v>
      </c>
      <c r="C618" s="6" t="s">
        <v>270</v>
      </c>
      <c r="D618" s="6">
        <v>23</v>
      </c>
      <c r="E618" s="4">
        <f>DAY(TableAopCalendar[[#This Row],[Date]])</f>
        <v>8</v>
      </c>
      <c r="F618" s="4">
        <f>IF(TableAopCalendar[[#This Row],[Day]]&lt;8,1,IF(TableAopCalendar[[#This Row],[Day]]&lt;15,2,IF(TableAopCalendar[[#This Row],[Day]]&lt;22,3,IF(TableAopCalendar[[#This Row],[Day]]&lt;29,4,IF(TableAopCalendar[[#This Row],[Day]]&lt;32,5)))))</f>
        <v>2</v>
      </c>
      <c r="G618" s="4" t="str">
        <f t="shared" si="28"/>
        <v>Week 2</v>
      </c>
      <c r="H618" s="7" t="str">
        <f t="shared" si="29"/>
        <v>December 23 Week 2</v>
      </c>
      <c r="I618" s="4" t="str">
        <f>CONCATENATE(UPPER(TableAopCalendar[[#This Row],[Month]])," ",TableAopCalendar[[#This Row],[Year]])</f>
        <v>DECEMBER 23</v>
      </c>
      <c r="J618" s="7" t="s">
        <v>274</v>
      </c>
      <c r="K618" s="7" t="str">
        <f>CONCATENATE(TableAopCalendar[[#This Row],[Month for Plan]]," ",TableAopCalendar[[#This Row],[Plan]])</f>
        <v>DECEMBER 23 PLANNED</v>
      </c>
    </row>
    <row r="619" spans="1:11" x14ac:dyDescent="0.3">
      <c r="A619" s="4">
        <f t="shared" si="27"/>
        <v>2</v>
      </c>
      <c r="B619" s="5">
        <v>45269</v>
      </c>
      <c r="C619" s="6" t="s">
        <v>270</v>
      </c>
      <c r="D619" s="6">
        <v>23</v>
      </c>
      <c r="E619" s="4">
        <f>DAY(TableAopCalendar[[#This Row],[Date]])</f>
        <v>9</v>
      </c>
      <c r="F619" s="4">
        <f>IF(TableAopCalendar[[#This Row],[Day]]&lt;8,1,IF(TableAopCalendar[[#This Row],[Day]]&lt;15,2,IF(TableAopCalendar[[#This Row],[Day]]&lt;22,3,IF(TableAopCalendar[[#This Row],[Day]]&lt;29,4,IF(TableAopCalendar[[#This Row],[Day]]&lt;32,5)))))</f>
        <v>2</v>
      </c>
      <c r="G619" s="4" t="str">
        <f t="shared" si="28"/>
        <v>Week 2</v>
      </c>
      <c r="H619" s="7" t="str">
        <f t="shared" si="29"/>
        <v>December 23 Week 2</v>
      </c>
      <c r="I619" s="4" t="str">
        <f>CONCATENATE(UPPER(TableAopCalendar[[#This Row],[Month]])," ",TableAopCalendar[[#This Row],[Year]])</f>
        <v>DECEMBER 23</v>
      </c>
      <c r="J619" s="7" t="s">
        <v>274</v>
      </c>
      <c r="K619" s="7" t="str">
        <f>CONCATENATE(TableAopCalendar[[#This Row],[Month for Plan]]," ",TableAopCalendar[[#This Row],[Plan]])</f>
        <v>DECEMBER 23 PLANNED</v>
      </c>
    </row>
    <row r="620" spans="1:11" x14ac:dyDescent="0.3">
      <c r="A620" s="4">
        <f t="shared" si="27"/>
        <v>3</v>
      </c>
      <c r="B620" s="5">
        <v>45270</v>
      </c>
      <c r="C620" s="6" t="s">
        <v>270</v>
      </c>
      <c r="D620" s="6">
        <v>23</v>
      </c>
      <c r="E620" s="4">
        <f>DAY(TableAopCalendar[[#This Row],[Date]])</f>
        <v>10</v>
      </c>
      <c r="F620" s="4">
        <f>IF(TableAopCalendar[[#This Row],[Day]]&lt;8,1,IF(TableAopCalendar[[#This Row],[Day]]&lt;15,2,IF(TableAopCalendar[[#This Row],[Day]]&lt;22,3,IF(TableAopCalendar[[#This Row],[Day]]&lt;29,4,IF(TableAopCalendar[[#This Row],[Day]]&lt;32,5)))))</f>
        <v>2</v>
      </c>
      <c r="G620" s="4" t="str">
        <f t="shared" si="28"/>
        <v>Week 2</v>
      </c>
      <c r="H620" s="7" t="str">
        <f t="shared" si="29"/>
        <v>December 23 Week 2</v>
      </c>
      <c r="I620" s="4" t="str">
        <f>CONCATENATE(UPPER(TableAopCalendar[[#This Row],[Month]])," ",TableAopCalendar[[#This Row],[Year]])</f>
        <v>DECEMBER 23</v>
      </c>
      <c r="J620" s="7" t="s">
        <v>274</v>
      </c>
      <c r="K620" s="7" t="str">
        <f>CONCATENATE(TableAopCalendar[[#This Row],[Month for Plan]]," ",TableAopCalendar[[#This Row],[Plan]])</f>
        <v>DECEMBER 23 PLANNED</v>
      </c>
    </row>
    <row r="621" spans="1:11" x14ac:dyDescent="0.3">
      <c r="A621" s="4">
        <f t="shared" si="27"/>
        <v>4</v>
      </c>
      <c r="B621" s="5">
        <v>45271</v>
      </c>
      <c r="C621" s="6" t="s">
        <v>270</v>
      </c>
      <c r="D621" s="6">
        <v>23</v>
      </c>
      <c r="E621" s="4">
        <f>DAY(TableAopCalendar[[#This Row],[Date]])</f>
        <v>11</v>
      </c>
      <c r="F621" s="4">
        <f>IF(TableAopCalendar[[#This Row],[Day]]&lt;8,1,IF(TableAopCalendar[[#This Row],[Day]]&lt;15,2,IF(TableAopCalendar[[#This Row],[Day]]&lt;22,3,IF(TableAopCalendar[[#This Row],[Day]]&lt;29,4,IF(TableAopCalendar[[#This Row],[Day]]&lt;32,5)))))</f>
        <v>2</v>
      </c>
      <c r="G621" s="4" t="str">
        <f t="shared" si="28"/>
        <v>Week 2</v>
      </c>
      <c r="H621" s="7" t="str">
        <f t="shared" si="29"/>
        <v>December 23 Week 2</v>
      </c>
      <c r="I621" s="4" t="str">
        <f>CONCATENATE(UPPER(TableAopCalendar[[#This Row],[Month]])," ",TableAopCalendar[[#This Row],[Year]])</f>
        <v>DECEMBER 23</v>
      </c>
      <c r="J621" s="7" t="s">
        <v>274</v>
      </c>
      <c r="K621" s="7" t="str">
        <f>CONCATENATE(TableAopCalendar[[#This Row],[Month for Plan]]," ",TableAopCalendar[[#This Row],[Plan]])</f>
        <v>DECEMBER 23 PLANNED</v>
      </c>
    </row>
    <row r="622" spans="1:11" x14ac:dyDescent="0.3">
      <c r="A622" s="4">
        <f t="shared" si="27"/>
        <v>5</v>
      </c>
      <c r="B622" s="5">
        <v>45272</v>
      </c>
      <c r="C622" s="6" t="s">
        <v>270</v>
      </c>
      <c r="D622" s="6">
        <v>23</v>
      </c>
      <c r="E622" s="4">
        <f>DAY(TableAopCalendar[[#This Row],[Date]])</f>
        <v>12</v>
      </c>
      <c r="F622" s="4">
        <f>IF(TableAopCalendar[[#This Row],[Day]]&lt;8,1,IF(TableAopCalendar[[#This Row],[Day]]&lt;15,2,IF(TableAopCalendar[[#This Row],[Day]]&lt;22,3,IF(TableAopCalendar[[#This Row],[Day]]&lt;29,4,IF(TableAopCalendar[[#This Row],[Day]]&lt;32,5)))))</f>
        <v>2</v>
      </c>
      <c r="G622" s="4" t="str">
        <f t="shared" si="28"/>
        <v>Week 2</v>
      </c>
      <c r="H622" s="7" t="str">
        <f t="shared" si="29"/>
        <v>December 23 Week 2</v>
      </c>
      <c r="I622" s="4" t="str">
        <f>CONCATENATE(UPPER(TableAopCalendar[[#This Row],[Month]])," ",TableAopCalendar[[#This Row],[Year]])</f>
        <v>DECEMBER 23</v>
      </c>
      <c r="J622" s="7" t="s">
        <v>274</v>
      </c>
      <c r="K622" s="7" t="str">
        <f>CONCATENATE(TableAopCalendar[[#This Row],[Month for Plan]]," ",TableAopCalendar[[#This Row],[Plan]])</f>
        <v>DECEMBER 23 PLANNED</v>
      </c>
    </row>
    <row r="623" spans="1:11" x14ac:dyDescent="0.3">
      <c r="A623" s="4">
        <f t="shared" si="27"/>
        <v>6</v>
      </c>
      <c r="B623" s="5">
        <v>45273</v>
      </c>
      <c r="C623" s="6" t="s">
        <v>270</v>
      </c>
      <c r="D623" s="6">
        <v>23</v>
      </c>
      <c r="E623" s="4">
        <f>DAY(TableAopCalendar[[#This Row],[Date]])</f>
        <v>13</v>
      </c>
      <c r="F623" s="4">
        <f>IF(TableAopCalendar[[#This Row],[Day]]&lt;8,1,IF(TableAopCalendar[[#This Row],[Day]]&lt;15,2,IF(TableAopCalendar[[#This Row],[Day]]&lt;22,3,IF(TableAopCalendar[[#This Row],[Day]]&lt;29,4,IF(TableAopCalendar[[#This Row],[Day]]&lt;32,5)))))</f>
        <v>2</v>
      </c>
      <c r="G623" s="4" t="str">
        <f t="shared" si="28"/>
        <v>Week 2</v>
      </c>
      <c r="H623" s="7" t="str">
        <f t="shared" si="29"/>
        <v>December 23 Week 2</v>
      </c>
      <c r="I623" s="4" t="str">
        <f>CONCATENATE(UPPER(TableAopCalendar[[#This Row],[Month]])," ",TableAopCalendar[[#This Row],[Year]])</f>
        <v>DECEMBER 23</v>
      </c>
      <c r="J623" s="7" t="s">
        <v>274</v>
      </c>
      <c r="K623" s="7" t="str">
        <f>CONCATENATE(TableAopCalendar[[#This Row],[Month for Plan]]," ",TableAopCalendar[[#This Row],[Plan]])</f>
        <v>DECEMBER 23 PLANNED</v>
      </c>
    </row>
    <row r="624" spans="1:11" x14ac:dyDescent="0.3">
      <c r="A624" s="4">
        <f t="shared" si="27"/>
        <v>7</v>
      </c>
      <c r="B624" s="5">
        <v>45274</v>
      </c>
      <c r="C624" s="6" t="s">
        <v>270</v>
      </c>
      <c r="D624" s="6">
        <v>23</v>
      </c>
      <c r="E624" s="4">
        <f>DAY(TableAopCalendar[[#This Row],[Date]])</f>
        <v>14</v>
      </c>
      <c r="F624" s="4">
        <f>IF(TableAopCalendar[[#This Row],[Day]]&lt;8,1,IF(TableAopCalendar[[#This Row],[Day]]&lt;15,2,IF(TableAopCalendar[[#This Row],[Day]]&lt;22,3,IF(TableAopCalendar[[#This Row],[Day]]&lt;29,4,IF(TableAopCalendar[[#This Row],[Day]]&lt;32,5)))))</f>
        <v>2</v>
      </c>
      <c r="G624" s="4" t="str">
        <f t="shared" si="28"/>
        <v>Week 2</v>
      </c>
      <c r="H624" s="7" t="str">
        <f t="shared" si="29"/>
        <v>December 23 Week 2</v>
      </c>
      <c r="I624" s="4" t="str">
        <f>CONCATENATE(UPPER(TableAopCalendar[[#This Row],[Month]])," ",TableAopCalendar[[#This Row],[Year]])</f>
        <v>DECEMBER 23</v>
      </c>
      <c r="J624" s="7" t="s">
        <v>274</v>
      </c>
      <c r="K624" s="7" t="str">
        <f>CONCATENATE(TableAopCalendar[[#This Row],[Month for Plan]]," ",TableAopCalendar[[#This Row],[Plan]])</f>
        <v>DECEMBER 23 PLANNED</v>
      </c>
    </row>
    <row r="625" spans="1:11" x14ac:dyDescent="0.3">
      <c r="A625" s="4">
        <f t="shared" si="27"/>
        <v>1</v>
      </c>
      <c r="B625" s="5">
        <v>45275</v>
      </c>
      <c r="C625" s="6" t="s">
        <v>270</v>
      </c>
      <c r="D625" s="6">
        <v>23</v>
      </c>
      <c r="E625" s="4">
        <f>DAY(TableAopCalendar[[#This Row],[Date]])</f>
        <v>15</v>
      </c>
      <c r="F625" s="4">
        <f>IF(TableAopCalendar[[#This Row],[Day]]&lt;8,1,IF(TableAopCalendar[[#This Row],[Day]]&lt;15,2,IF(TableAopCalendar[[#This Row],[Day]]&lt;22,3,IF(TableAopCalendar[[#This Row],[Day]]&lt;29,4,IF(TableAopCalendar[[#This Row],[Day]]&lt;32,5)))))</f>
        <v>3</v>
      </c>
      <c r="G625" s="4" t="str">
        <f t="shared" si="28"/>
        <v>Week 3</v>
      </c>
      <c r="H625" s="7" t="str">
        <f t="shared" si="29"/>
        <v>December 23 Week 3</v>
      </c>
      <c r="I625" s="4" t="str">
        <f>CONCATENATE(UPPER(TableAopCalendar[[#This Row],[Month]])," ",TableAopCalendar[[#This Row],[Year]])</f>
        <v>DECEMBER 23</v>
      </c>
      <c r="J625" s="7" t="s">
        <v>274</v>
      </c>
      <c r="K625" s="7" t="str">
        <f>CONCATENATE(TableAopCalendar[[#This Row],[Month for Plan]]," ",TableAopCalendar[[#This Row],[Plan]])</f>
        <v>DECEMBER 23 PLANNED</v>
      </c>
    </row>
    <row r="626" spans="1:11" x14ac:dyDescent="0.3">
      <c r="A626" s="4">
        <f t="shared" si="27"/>
        <v>2</v>
      </c>
      <c r="B626" s="5">
        <v>45276</v>
      </c>
      <c r="C626" s="6" t="s">
        <v>270</v>
      </c>
      <c r="D626" s="6">
        <v>23</v>
      </c>
      <c r="E626" s="4">
        <f>DAY(TableAopCalendar[[#This Row],[Date]])</f>
        <v>16</v>
      </c>
      <c r="F626" s="4">
        <f>IF(TableAopCalendar[[#This Row],[Day]]&lt;8,1,IF(TableAopCalendar[[#This Row],[Day]]&lt;15,2,IF(TableAopCalendar[[#This Row],[Day]]&lt;22,3,IF(TableAopCalendar[[#This Row],[Day]]&lt;29,4,IF(TableAopCalendar[[#This Row],[Day]]&lt;32,5)))))</f>
        <v>3</v>
      </c>
      <c r="G626" s="4" t="str">
        <f t="shared" si="28"/>
        <v>Week 3</v>
      </c>
      <c r="H626" s="7" t="str">
        <f t="shared" si="29"/>
        <v>December 23 Week 3</v>
      </c>
      <c r="I626" s="4" t="str">
        <f>CONCATENATE(UPPER(TableAopCalendar[[#This Row],[Month]])," ",TableAopCalendar[[#This Row],[Year]])</f>
        <v>DECEMBER 23</v>
      </c>
      <c r="J626" s="7" t="s">
        <v>274</v>
      </c>
      <c r="K626" s="7" t="str">
        <f>CONCATENATE(TableAopCalendar[[#This Row],[Month for Plan]]," ",TableAopCalendar[[#This Row],[Plan]])</f>
        <v>DECEMBER 23 PLANNED</v>
      </c>
    </row>
    <row r="627" spans="1:11" x14ac:dyDescent="0.3">
      <c r="A627" s="4">
        <f t="shared" si="27"/>
        <v>3</v>
      </c>
      <c r="B627" s="5">
        <v>45277</v>
      </c>
      <c r="C627" s="6" t="s">
        <v>270</v>
      </c>
      <c r="D627" s="6">
        <v>23</v>
      </c>
      <c r="E627" s="4">
        <f>DAY(TableAopCalendar[[#This Row],[Date]])</f>
        <v>17</v>
      </c>
      <c r="F627" s="4">
        <f>IF(TableAopCalendar[[#This Row],[Day]]&lt;8,1,IF(TableAopCalendar[[#This Row],[Day]]&lt;15,2,IF(TableAopCalendar[[#This Row],[Day]]&lt;22,3,IF(TableAopCalendar[[#This Row],[Day]]&lt;29,4,IF(TableAopCalendar[[#This Row],[Day]]&lt;32,5)))))</f>
        <v>3</v>
      </c>
      <c r="G627" s="4" t="str">
        <f t="shared" si="28"/>
        <v>Week 3</v>
      </c>
      <c r="H627" s="7" t="str">
        <f t="shared" si="29"/>
        <v>December 23 Week 3</v>
      </c>
      <c r="I627" s="4" t="str">
        <f>CONCATENATE(UPPER(TableAopCalendar[[#This Row],[Month]])," ",TableAopCalendar[[#This Row],[Year]])</f>
        <v>DECEMBER 23</v>
      </c>
      <c r="J627" s="7" t="s">
        <v>274</v>
      </c>
      <c r="K627" s="7" t="str">
        <f>CONCATENATE(TableAopCalendar[[#This Row],[Month for Plan]]," ",TableAopCalendar[[#This Row],[Plan]])</f>
        <v>DECEMBER 23 PLANNED</v>
      </c>
    </row>
    <row r="628" spans="1:11" x14ac:dyDescent="0.3">
      <c r="A628" s="4">
        <f t="shared" si="27"/>
        <v>4</v>
      </c>
      <c r="B628" s="5">
        <v>45278</v>
      </c>
      <c r="C628" s="6" t="s">
        <v>270</v>
      </c>
      <c r="D628" s="6">
        <v>23</v>
      </c>
      <c r="E628" s="4">
        <f>DAY(TableAopCalendar[[#This Row],[Date]])</f>
        <v>18</v>
      </c>
      <c r="F628" s="4">
        <f>IF(TableAopCalendar[[#This Row],[Day]]&lt;8,1,IF(TableAopCalendar[[#This Row],[Day]]&lt;15,2,IF(TableAopCalendar[[#This Row],[Day]]&lt;22,3,IF(TableAopCalendar[[#This Row],[Day]]&lt;29,4,IF(TableAopCalendar[[#This Row],[Day]]&lt;32,5)))))</f>
        <v>3</v>
      </c>
      <c r="G628" s="4" t="str">
        <f t="shared" si="28"/>
        <v>Week 3</v>
      </c>
      <c r="H628" s="7" t="str">
        <f t="shared" si="29"/>
        <v>December 23 Week 3</v>
      </c>
      <c r="I628" s="4" t="str">
        <f>CONCATENATE(UPPER(TableAopCalendar[[#This Row],[Month]])," ",TableAopCalendar[[#This Row],[Year]])</f>
        <v>DECEMBER 23</v>
      </c>
      <c r="J628" s="7" t="s">
        <v>274</v>
      </c>
      <c r="K628" s="7" t="str">
        <f>CONCATENATE(TableAopCalendar[[#This Row],[Month for Plan]]," ",TableAopCalendar[[#This Row],[Plan]])</f>
        <v>DECEMBER 23 PLANNED</v>
      </c>
    </row>
    <row r="629" spans="1:11" x14ac:dyDescent="0.3">
      <c r="A629" s="4">
        <f t="shared" si="27"/>
        <v>5</v>
      </c>
      <c r="B629" s="5">
        <v>45279</v>
      </c>
      <c r="C629" s="6" t="s">
        <v>270</v>
      </c>
      <c r="D629" s="6">
        <v>23</v>
      </c>
      <c r="E629" s="4">
        <f>DAY(TableAopCalendar[[#This Row],[Date]])</f>
        <v>19</v>
      </c>
      <c r="F629" s="4">
        <f>IF(TableAopCalendar[[#This Row],[Day]]&lt;8,1,IF(TableAopCalendar[[#This Row],[Day]]&lt;15,2,IF(TableAopCalendar[[#This Row],[Day]]&lt;22,3,IF(TableAopCalendar[[#This Row],[Day]]&lt;29,4,IF(TableAopCalendar[[#This Row],[Day]]&lt;32,5)))))</f>
        <v>3</v>
      </c>
      <c r="G629" s="4" t="str">
        <f t="shared" si="28"/>
        <v>Week 3</v>
      </c>
      <c r="H629" s="7" t="str">
        <f t="shared" si="29"/>
        <v>December 23 Week 3</v>
      </c>
      <c r="I629" s="4" t="str">
        <f>CONCATENATE(UPPER(TableAopCalendar[[#This Row],[Month]])," ",TableAopCalendar[[#This Row],[Year]])</f>
        <v>DECEMBER 23</v>
      </c>
      <c r="J629" s="7" t="s">
        <v>274</v>
      </c>
      <c r="K629" s="7" t="str">
        <f>CONCATENATE(TableAopCalendar[[#This Row],[Month for Plan]]," ",TableAopCalendar[[#This Row],[Plan]])</f>
        <v>DECEMBER 23 PLANNED</v>
      </c>
    </row>
    <row r="630" spans="1:11" x14ac:dyDescent="0.3">
      <c r="A630" s="4">
        <f t="shared" si="27"/>
        <v>6</v>
      </c>
      <c r="B630" s="5">
        <v>45280</v>
      </c>
      <c r="C630" s="6" t="s">
        <v>270</v>
      </c>
      <c r="D630" s="6">
        <v>23</v>
      </c>
      <c r="E630" s="4">
        <f>DAY(TableAopCalendar[[#This Row],[Date]])</f>
        <v>20</v>
      </c>
      <c r="F630" s="4">
        <f>IF(TableAopCalendar[[#This Row],[Day]]&lt;8,1,IF(TableAopCalendar[[#This Row],[Day]]&lt;15,2,IF(TableAopCalendar[[#This Row],[Day]]&lt;22,3,IF(TableAopCalendar[[#This Row],[Day]]&lt;29,4,IF(TableAopCalendar[[#This Row],[Day]]&lt;32,5)))))</f>
        <v>3</v>
      </c>
      <c r="G630" s="4" t="str">
        <f t="shared" si="28"/>
        <v>Week 3</v>
      </c>
      <c r="H630" s="7" t="str">
        <f t="shared" si="29"/>
        <v>December 23 Week 3</v>
      </c>
      <c r="I630" s="4" t="str">
        <f>CONCATENATE(UPPER(TableAopCalendar[[#This Row],[Month]])," ",TableAopCalendar[[#This Row],[Year]])</f>
        <v>DECEMBER 23</v>
      </c>
      <c r="J630" s="7" t="s">
        <v>274</v>
      </c>
      <c r="K630" s="7" t="str">
        <f>CONCATENATE(TableAopCalendar[[#This Row],[Month for Plan]]," ",TableAopCalendar[[#This Row],[Plan]])</f>
        <v>DECEMBER 23 PLANNED</v>
      </c>
    </row>
    <row r="631" spans="1:11" x14ac:dyDescent="0.3">
      <c r="A631" s="4">
        <f t="shared" si="27"/>
        <v>7</v>
      </c>
      <c r="B631" s="5">
        <v>45281</v>
      </c>
      <c r="C631" s="6" t="s">
        <v>270</v>
      </c>
      <c r="D631" s="6">
        <v>23</v>
      </c>
      <c r="E631" s="4">
        <f>DAY(TableAopCalendar[[#This Row],[Date]])</f>
        <v>21</v>
      </c>
      <c r="F631" s="4">
        <f>IF(TableAopCalendar[[#This Row],[Day]]&lt;8,1,IF(TableAopCalendar[[#This Row],[Day]]&lt;15,2,IF(TableAopCalendar[[#This Row],[Day]]&lt;22,3,IF(TableAopCalendar[[#This Row],[Day]]&lt;29,4,IF(TableAopCalendar[[#This Row],[Day]]&lt;32,5)))))</f>
        <v>3</v>
      </c>
      <c r="G631" s="4" t="str">
        <f t="shared" si="28"/>
        <v>Week 3</v>
      </c>
      <c r="H631" s="7" t="str">
        <f t="shared" si="29"/>
        <v>December 23 Week 3</v>
      </c>
      <c r="I631" s="4" t="str">
        <f>CONCATENATE(UPPER(TableAopCalendar[[#This Row],[Month]])," ",TableAopCalendar[[#This Row],[Year]])</f>
        <v>DECEMBER 23</v>
      </c>
      <c r="J631" s="7" t="s">
        <v>274</v>
      </c>
      <c r="K631" s="7" t="str">
        <f>CONCATENATE(TableAopCalendar[[#This Row],[Month for Plan]]," ",TableAopCalendar[[#This Row],[Plan]])</f>
        <v>DECEMBER 23 PLANNED</v>
      </c>
    </row>
    <row r="632" spans="1:11" x14ac:dyDescent="0.3">
      <c r="A632" s="4">
        <f t="shared" si="27"/>
        <v>1</v>
      </c>
      <c r="B632" s="5">
        <v>45282</v>
      </c>
      <c r="C632" s="6" t="s">
        <v>270</v>
      </c>
      <c r="D632" s="6">
        <v>23</v>
      </c>
      <c r="E632" s="4">
        <f>DAY(TableAopCalendar[[#This Row],[Date]])</f>
        <v>22</v>
      </c>
      <c r="F632" s="4">
        <f>IF(TableAopCalendar[[#This Row],[Day]]&lt;8,1,IF(TableAopCalendar[[#This Row],[Day]]&lt;15,2,IF(TableAopCalendar[[#This Row],[Day]]&lt;22,3,IF(TableAopCalendar[[#This Row],[Day]]&lt;29,4,IF(TableAopCalendar[[#This Row],[Day]]&lt;32,5)))))</f>
        <v>4</v>
      </c>
      <c r="G632" s="4" t="str">
        <f t="shared" si="28"/>
        <v>Week 4</v>
      </c>
      <c r="H632" s="7" t="str">
        <f t="shared" si="29"/>
        <v>December 23 Week 4</v>
      </c>
      <c r="I632" s="4" t="str">
        <f>CONCATENATE(UPPER(TableAopCalendar[[#This Row],[Month]])," ",TableAopCalendar[[#This Row],[Year]])</f>
        <v>DECEMBER 23</v>
      </c>
      <c r="J632" s="7" t="s">
        <v>274</v>
      </c>
      <c r="K632" s="7" t="str">
        <f>CONCATENATE(TableAopCalendar[[#This Row],[Month for Plan]]," ",TableAopCalendar[[#This Row],[Plan]])</f>
        <v>DECEMBER 23 PLANNED</v>
      </c>
    </row>
    <row r="633" spans="1:11" x14ac:dyDescent="0.3">
      <c r="A633" s="4">
        <f t="shared" si="27"/>
        <v>2</v>
      </c>
      <c r="B633" s="5">
        <v>45283</v>
      </c>
      <c r="C633" s="6" t="s">
        <v>270</v>
      </c>
      <c r="D633" s="6">
        <v>23</v>
      </c>
      <c r="E633" s="4">
        <f>DAY(TableAopCalendar[[#This Row],[Date]])</f>
        <v>23</v>
      </c>
      <c r="F633" s="4">
        <f>IF(TableAopCalendar[[#This Row],[Day]]&lt;8,1,IF(TableAopCalendar[[#This Row],[Day]]&lt;15,2,IF(TableAopCalendar[[#This Row],[Day]]&lt;22,3,IF(TableAopCalendar[[#This Row],[Day]]&lt;29,4,IF(TableAopCalendar[[#This Row],[Day]]&lt;32,5)))))</f>
        <v>4</v>
      </c>
      <c r="G633" s="4" t="str">
        <f t="shared" si="28"/>
        <v>Week 4</v>
      </c>
      <c r="H633" s="7" t="str">
        <f t="shared" si="29"/>
        <v>December 23 Week 4</v>
      </c>
      <c r="I633" s="4" t="str">
        <f>CONCATENATE(UPPER(TableAopCalendar[[#This Row],[Month]])," ",TableAopCalendar[[#This Row],[Year]])</f>
        <v>DECEMBER 23</v>
      </c>
      <c r="J633" s="7" t="s">
        <v>274</v>
      </c>
      <c r="K633" s="7" t="str">
        <f>CONCATENATE(TableAopCalendar[[#This Row],[Month for Plan]]," ",TableAopCalendar[[#This Row],[Plan]])</f>
        <v>DECEMBER 23 PLANNED</v>
      </c>
    </row>
    <row r="634" spans="1:11" x14ac:dyDescent="0.3">
      <c r="A634" s="4">
        <f t="shared" si="27"/>
        <v>3</v>
      </c>
      <c r="B634" s="5">
        <v>45284</v>
      </c>
      <c r="C634" s="6" t="s">
        <v>270</v>
      </c>
      <c r="D634" s="6">
        <v>23</v>
      </c>
      <c r="E634" s="4">
        <f>DAY(TableAopCalendar[[#This Row],[Date]])</f>
        <v>24</v>
      </c>
      <c r="F634" s="4">
        <f>IF(TableAopCalendar[[#This Row],[Day]]&lt;8,1,IF(TableAopCalendar[[#This Row],[Day]]&lt;15,2,IF(TableAopCalendar[[#This Row],[Day]]&lt;22,3,IF(TableAopCalendar[[#This Row],[Day]]&lt;29,4,IF(TableAopCalendar[[#This Row],[Day]]&lt;32,5)))))</f>
        <v>4</v>
      </c>
      <c r="G634" s="4" t="str">
        <f t="shared" si="28"/>
        <v>Week 4</v>
      </c>
      <c r="H634" s="7" t="str">
        <f t="shared" si="29"/>
        <v>December 23 Week 4</v>
      </c>
      <c r="I634" s="4" t="str">
        <f>CONCATENATE(UPPER(TableAopCalendar[[#This Row],[Month]])," ",TableAopCalendar[[#This Row],[Year]])</f>
        <v>DECEMBER 23</v>
      </c>
      <c r="J634" s="7" t="s">
        <v>274</v>
      </c>
      <c r="K634" s="7" t="str">
        <f>CONCATENATE(TableAopCalendar[[#This Row],[Month for Plan]]," ",TableAopCalendar[[#This Row],[Plan]])</f>
        <v>DECEMBER 23 PLANNED</v>
      </c>
    </row>
    <row r="635" spans="1:11" x14ac:dyDescent="0.3">
      <c r="A635" s="4">
        <f t="shared" si="27"/>
        <v>4</v>
      </c>
      <c r="B635" s="5">
        <v>45285</v>
      </c>
      <c r="C635" s="6" t="s">
        <v>270</v>
      </c>
      <c r="D635" s="6">
        <v>23</v>
      </c>
      <c r="E635" s="4">
        <f>DAY(TableAopCalendar[[#This Row],[Date]])</f>
        <v>25</v>
      </c>
      <c r="F635" s="4">
        <f>IF(TableAopCalendar[[#This Row],[Day]]&lt;8,1,IF(TableAopCalendar[[#This Row],[Day]]&lt;15,2,IF(TableAopCalendar[[#This Row],[Day]]&lt;22,3,IF(TableAopCalendar[[#This Row],[Day]]&lt;29,4,IF(TableAopCalendar[[#This Row],[Day]]&lt;32,5)))))</f>
        <v>4</v>
      </c>
      <c r="G635" s="4" t="str">
        <f t="shared" si="28"/>
        <v>Week 4</v>
      </c>
      <c r="H635" s="7" t="str">
        <f t="shared" si="29"/>
        <v>December 23 Week 4</v>
      </c>
      <c r="I635" s="4" t="str">
        <f>CONCATENATE(UPPER(TableAopCalendar[[#This Row],[Month]])," ",TableAopCalendar[[#This Row],[Year]])</f>
        <v>DECEMBER 23</v>
      </c>
      <c r="J635" s="7" t="s">
        <v>274</v>
      </c>
      <c r="K635" s="7" t="str">
        <f>CONCATENATE(TableAopCalendar[[#This Row],[Month for Plan]]," ",TableAopCalendar[[#This Row],[Plan]])</f>
        <v>DECEMBER 23 PLANNED</v>
      </c>
    </row>
    <row r="636" spans="1:11" x14ac:dyDescent="0.3">
      <c r="A636" s="4">
        <f t="shared" si="27"/>
        <v>5</v>
      </c>
      <c r="B636" s="5">
        <v>45286</v>
      </c>
      <c r="C636" s="6" t="s">
        <v>270</v>
      </c>
      <c r="D636" s="6">
        <v>23</v>
      </c>
      <c r="E636" s="4">
        <f>DAY(TableAopCalendar[[#This Row],[Date]])</f>
        <v>26</v>
      </c>
      <c r="F636" s="4">
        <f>IF(TableAopCalendar[[#This Row],[Day]]&lt;8,1,IF(TableAopCalendar[[#This Row],[Day]]&lt;15,2,IF(TableAopCalendar[[#This Row],[Day]]&lt;22,3,IF(TableAopCalendar[[#This Row],[Day]]&lt;29,4,IF(TableAopCalendar[[#This Row],[Day]]&lt;32,5)))))</f>
        <v>4</v>
      </c>
      <c r="G636" s="4" t="str">
        <f t="shared" si="28"/>
        <v>Week 4</v>
      </c>
      <c r="H636" s="7" t="str">
        <f t="shared" si="29"/>
        <v>December 23 Week 4</v>
      </c>
      <c r="I636" s="4" t="str">
        <f>CONCATENATE(UPPER(TableAopCalendar[[#This Row],[Month]])," ",TableAopCalendar[[#This Row],[Year]])</f>
        <v>DECEMBER 23</v>
      </c>
      <c r="J636" s="7" t="s">
        <v>274</v>
      </c>
      <c r="K636" s="7" t="str">
        <f>CONCATENATE(TableAopCalendar[[#This Row],[Month for Plan]]," ",TableAopCalendar[[#This Row],[Plan]])</f>
        <v>DECEMBER 23 PLANNED</v>
      </c>
    </row>
    <row r="637" spans="1:11" x14ac:dyDescent="0.3">
      <c r="A637" s="4">
        <f t="shared" si="27"/>
        <v>6</v>
      </c>
      <c r="B637" s="5">
        <v>45287</v>
      </c>
      <c r="C637" s="6" t="s">
        <v>270</v>
      </c>
      <c r="D637" s="6">
        <v>23</v>
      </c>
      <c r="E637" s="4">
        <f>DAY(TableAopCalendar[[#This Row],[Date]])</f>
        <v>27</v>
      </c>
      <c r="F637" s="4">
        <f>IF(TableAopCalendar[[#This Row],[Day]]&lt;8,1,IF(TableAopCalendar[[#This Row],[Day]]&lt;15,2,IF(TableAopCalendar[[#This Row],[Day]]&lt;22,3,IF(TableAopCalendar[[#This Row],[Day]]&lt;29,4,IF(TableAopCalendar[[#This Row],[Day]]&lt;32,5)))))</f>
        <v>4</v>
      </c>
      <c r="G637" s="4" t="str">
        <f t="shared" si="28"/>
        <v>Week 4</v>
      </c>
      <c r="H637" s="7" t="str">
        <f t="shared" si="29"/>
        <v>December 23 Week 4</v>
      </c>
      <c r="I637" s="4" t="str">
        <f>CONCATENATE(UPPER(TableAopCalendar[[#This Row],[Month]])," ",TableAopCalendar[[#This Row],[Year]])</f>
        <v>DECEMBER 23</v>
      </c>
      <c r="J637" s="7" t="s">
        <v>274</v>
      </c>
      <c r="K637" s="7" t="str">
        <f>CONCATENATE(TableAopCalendar[[#This Row],[Month for Plan]]," ",TableAopCalendar[[#This Row],[Plan]])</f>
        <v>DECEMBER 23 PLANNED</v>
      </c>
    </row>
    <row r="638" spans="1:11" x14ac:dyDescent="0.3">
      <c r="A638" s="4">
        <f t="shared" si="27"/>
        <v>7</v>
      </c>
      <c r="B638" s="5">
        <v>45288</v>
      </c>
      <c r="C638" s="6" t="s">
        <v>270</v>
      </c>
      <c r="D638" s="6">
        <v>23</v>
      </c>
      <c r="E638" s="4">
        <f>DAY(TableAopCalendar[[#This Row],[Date]])</f>
        <v>28</v>
      </c>
      <c r="F638" s="4">
        <f>IF(TableAopCalendar[[#This Row],[Day]]&lt;8,1,IF(TableAopCalendar[[#This Row],[Day]]&lt;15,2,IF(TableAopCalendar[[#This Row],[Day]]&lt;22,3,IF(TableAopCalendar[[#This Row],[Day]]&lt;29,4,IF(TableAopCalendar[[#This Row],[Day]]&lt;32,5)))))</f>
        <v>4</v>
      </c>
      <c r="G638" s="4" t="str">
        <f t="shared" si="28"/>
        <v>Week 4</v>
      </c>
      <c r="H638" s="7" t="str">
        <f t="shared" si="29"/>
        <v>December 23 Week 4</v>
      </c>
      <c r="I638" s="4" t="str">
        <f>CONCATENATE(UPPER(TableAopCalendar[[#This Row],[Month]])," ",TableAopCalendar[[#This Row],[Year]])</f>
        <v>DECEMBER 23</v>
      </c>
      <c r="J638" s="7" t="s">
        <v>274</v>
      </c>
      <c r="K638" s="7" t="str">
        <f>CONCATENATE(TableAopCalendar[[#This Row],[Month for Plan]]," ",TableAopCalendar[[#This Row],[Plan]])</f>
        <v>DECEMBER 23 PLANNED</v>
      </c>
    </row>
    <row r="639" spans="1:11" x14ac:dyDescent="0.3">
      <c r="A639" s="4">
        <f t="shared" si="27"/>
        <v>1</v>
      </c>
      <c r="B639" s="5">
        <v>45289</v>
      </c>
      <c r="C639" s="6" t="s">
        <v>270</v>
      </c>
      <c r="D639" s="6">
        <v>23</v>
      </c>
      <c r="E639" s="4">
        <f>DAY(TableAopCalendar[[#This Row],[Date]])</f>
        <v>29</v>
      </c>
      <c r="F639" s="4">
        <f>IF(TableAopCalendar[[#This Row],[Day]]&lt;8,1,IF(TableAopCalendar[[#This Row],[Day]]&lt;15,2,IF(TableAopCalendar[[#This Row],[Day]]&lt;22,3,IF(TableAopCalendar[[#This Row],[Day]]&lt;29,4,IF(TableAopCalendar[[#This Row],[Day]]&lt;32,5)))))</f>
        <v>5</v>
      </c>
      <c r="G639" s="4" t="str">
        <f t="shared" si="28"/>
        <v>Week 5</v>
      </c>
      <c r="H639" s="7" t="str">
        <f t="shared" si="29"/>
        <v>December 23 Week 5</v>
      </c>
      <c r="I639" s="4" t="str">
        <f>CONCATENATE(UPPER(TableAopCalendar[[#This Row],[Month]])," ",TableAopCalendar[[#This Row],[Year]])</f>
        <v>DECEMBER 23</v>
      </c>
      <c r="J639" s="7" t="s">
        <v>274</v>
      </c>
      <c r="K639" s="7" t="str">
        <f>CONCATENATE(TableAopCalendar[[#This Row],[Month for Plan]]," ",TableAopCalendar[[#This Row],[Plan]])</f>
        <v>DECEMBER 23 PLANNED</v>
      </c>
    </row>
    <row r="640" spans="1:11" x14ac:dyDescent="0.3">
      <c r="A640" s="4">
        <f t="shared" si="27"/>
        <v>2</v>
      </c>
      <c r="B640" s="5">
        <v>45290</v>
      </c>
      <c r="C640" s="6" t="s">
        <v>270</v>
      </c>
      <c r="D640" s="6">
        <v>23</v>
      </c>
      <c r="E640" s="4">
        <f>DAY(TableAopCalendar[[#This Row],[Date]])</f>
        <v>30</v>
      </c>
      <c r="F640" s="4">
        <f>IF(TableAopCalendar[[#This Row],[Day]]&lt;8,1,IF(TableAopCalendar[[#This Row],[Day]]&lt;15,2,IF(TableAopCalendar[[#This Row],[Day]]&lt;22,3,IF(TableAopCalendar[[#This Row],[Day]]&lt;29,4,IF(TableAopCalendar[[#This Row],[Day]]&lt;32,5)))))</f>
        <v>5</v>
      </c>
      <c r="G640" s="4" t="str">
        <f t="shared" si="28"/>
        <v>Week 5</v>
      </c>
      <c r="H640" s="7" t="str">
        <f t="shared" si="29"/>
        <v>December 23 Week 5</v>
      </c>
      <c r="I640" s="4" t="str">
        <f>CONCATENATE(UPPER(TableAopCalendar[[#This Row],[Month]])," ",TableAopCalendar[[#This Row],[Year]])</f>
        <v>DECEMBER 23</v>
      </c>
      <c r="J640" s="7" t="s">
        <v>274</v>
      </c>
      <c r="K640" s="7" t="str">
        <f>CONCATENATE(TableAopCalendar[[#This Row],[Month for Plan]]," ",TableAopCalendar[[#This Row],[Plan]])</f>
        <v>DECEMBER 23 PLANNED</v>
      </c>
    </row>
    <row r="641" spans="1:11" x14ac:dyDescent="0.3">
      <c r="A641" s="4">
        <f t="shared" si="27"/>
        <v>3</v>
      </c>
      <c r="B641" s="5">
        <v>45291</v>
      </c>
      <c r="C641" s="6" t="s">
        <v>270</v>
      </c>
      <c r="D641" s="6">
        <v>23</v>
      </c>
      <c r="E641" s="4">
        <f>DAY(TableAopCalendar[[#This Row],[Date]])</f>
        <v>31</v>
      </c>
      <c r="F641" s="4">
        <f>IF(TableAopCalendar[[#This Row],[Day]]&lt;8,1,IF(TableAopCalendar[[#This Row],[Day]]&lt;15,2,IF(TableAopCalendar[[#This Row],[Day]]&lt;22,3,IF(TableAopCalendar[[#This Row],[Day]]&lt;29,4,IF(TableAopCalendar[[#This Row],[Day]]&lt;32,5)))))</f>
        <v>5</v>
      </c>
      <c r="G641" s="4" t="str">
        <f t="shared" si="28"/>
        <v>Week 5</v>
      </c>
      <c r="H641" s="7" t="str">
        <f t="shared" si="29"/>
        <v>December 23 Week 5</v>
      </c>
      <c r="I641" s="4" t="str">
        <f>CONCATENATE(UPPER(TableAopCalendar[[#This Row],[Month]])," ",TableAopCalendar[[#This Row],[Year]])</f>
        <v>DECEMBER 23</v>
      </c>
      <c r="J641" s="7" t="s">
        <v>274</v>
      </c>
      <c r="K641" s="7" t="str">
        <f>CONCATENATE(TableAopCalendar[[#This Row],[Month for Plan]]," ",TableAopCalendar[[#This Row],[Plan]])</f>
        <v>DECEMBER 23 PLANNED</v>
      </c>
    </row>
    <row r="642" spans="1:11" x14ac:dyDescent="0.3">
      <c r="A642" s="4">
        <f t="shared" ref="A642:A705" si="30">IF(G642=G641,A641+1,1)</f>
        <v>1</v>
      </c>
      <c r="B642" s="5">
        <v>45292</v>
      </c>
      <c r="C642" s="6" t="s">
        <v>271</v>
      </c>
      <c r="D642" s="6">
        <v>24</v>
      </c>
      <c r="E642" s="4">
        <f>DAY(TableAopCalendar[[#This Row],[Date]])</f>
        <v>1</v>
      </c>
      <c r="F642" s="4">
        <f>IF(TableAopCalendar[[#This Row],[Day]]&lt;8,1,IF(TableAopCalendar[[#This Row],[Day]]&lt;15,2,IF(TableAopCalendar[[#This Row],[Day]]&lt;22,3,IF(TableAopCalendar[[#This Row],[Day]]&lt;29,4,IF(TableAopCalendar[[#This Row],[Day]]&lt;32,5)))))</f>
        <v>1</v>
      </c>
      <c r="G642" s="4" t="str">
        <f t="shared" ref="G642:G705" si="31">"Week"&amp;" "&amp;F642</f>
        <v>Week 1</v>
      </c>
      <c r="H642" s="7" t="str">
        <f t="shared" ref="H642:H705" si="32">CONCATENATE(C642," ",D642," ",G642)</f>
        <v>January 24 Week 1</v>
      </c>
      <c r="I642" s="4" t="str">
        <f>CONCATENATE(UPPER(TableAopCalendar[[#This Row],[Month]])," ",TableAopCalendar[[#This Row],[Year]])</f>
        <v>JANUARY 24</v>
      </c>
      <c r="J642" s="7" t="s">
        <v>274</v>
      </c>
      <c r="K642" s="7" t="str">
        <f>CONCATENATE(TableAopCalendar[[#This Row],[Month for Plan]]," ",TableAopCalendar[[#This Row],[Plan]])</f>
        <v>JANUARY 24 PLANNED</v>
      </c>
    </row>
    <row r="643" spans="1:11" x14ac:dyDescent="0.3">
      <c r="A643" s="4">
        <f t="shared" si="30"/>
        <v>2</v>
      </c>
      <c r="B643" s="5">
        <v>45293</v>
      </c>
      <c r="C643" s="6" t="s">
        <v>271</v>
      </c>
      <c r="D643" s="6">
        <v>24</v>
      </c>
      <c r="E643" s="4">
        <f>DAY(TableAopCalendar[[#This Row],[Date]])</f>
        <v>2</v>
      </c>
      <c r="F643" s="4">
        <f>IF(TableAopCalendar[[#This Row],[Day]]&lt;8,1,IF(TableAopCalendar[[#This Row],[Day]]&lt;15,2,IF(TableAopCalendar[[#This Row],[Day]]&lt;22,3,IF(TableAopCalendar[[#This Row],[Day]]&lt;29,4,IF(TableAopCalendar[[#This Row],[Day]]&lt;32,5)))))</f>
        <v>1</v>
      </c>
      <c r="G643" s="4" t="str">
        <f t="shared" si="31"/>
        <v>Week 1</v>
      </c>
      <c r="H643" s="7" t="str">
        <f t="shared" si="32"/>
        <v>January 24 Week 1</v>
      </c>
      <c r="I643" s="4" t="str">
        <f>CONCATENATE(UPPER(TableAopCalendar[[#This Row],[Month]])," ",TableAopCalendar[[#This Row],[Year]])</f>
        <v>JANUARY 24</v>
      </c>
      <c r="J643" s="7" t="s">
        <v>274</v>
      </c>
      <c r="K643" s="7" t="str">
        <f>CONCATENATE(TableAopCalendar[[#This Row],[Month for Plan]]," ",TableAopCalendar[[#This Row],[Plan]])</f>
        <v>JANUARY 24 PLANNED</v>
      </c>
    </row>
    <row r="644" spans="1:11" x14ac:dyDescent="0.3">
      <c r="A644" s="4">
        <f t="shared" si="30"/>
        <v>3</v>
      </c>
      <c r="B644" s="5">
        <v>45294</v>
      </c>
      <c r="C644" s="6" t="s">
        <v>271</v>
      </c>
      <c r="D644" s="6">
        <v>24</v>
      </c>
      <c r="E644" s="4">
        <f>DAY(TableAopCalendar[[#This Row],[Date]])</f>
        <v>3</v>
      </c>
      <c r="F644" s="4">
        <f>IF(TableAopCalendar[[#This Row],[Day]]&lt;8,1,IF(TableAopCalendar[[#This Row],[Day]]&lt;15,2,IF(TableAopCalendar[[#This Row],[Day]]&lt;22,3,IF(TableAopCalendar[[#This Row],[Day]]&lt;29,4,IF(TableAopCalendar[[#This Row],[Day]]&lt;32,5)))))</f>
        <v>1</v>
      </c>
      <c r="G644" s="4" t="str">
        <f t="shared" si="31"/>
        <v>Week 1</v>
      </c>
      <c r="H644" s="7" t="str">
        <f t="shared" si="32"/>
        <v>January 24 Week 1</v>
      </c>
      <c r="I644" s="4" t="str">
        <f>CONCATENATE(UPPER(TableAopCalendar[[#This Row],[Month]])," ",TableAopCalendar[[#This Row],[Year]])</f>
        <v>JANUARY 24</v>
      </c>
      <c r="J644" s="7" t="s">
        <v>274</v>
      </c>
      <c r="K644" s="7" t="str">
        <f>CONCATENATE(TableAopCalendar[[#This Row],[Month for Plan]]," ",TableAopCalendar[[#This Row],[Plan]])</f>
        <v>JANUARY 24 PLANNED</v>
      </c>
    </row>
    <row r="645" spans="1:11" x14ac:dyDescent="0.3">
      <c r="A645" s="4">
        <f t="shared" si="30"/>
        <v>4</v>
      </c>
      <c r="B645" s="5">
        <v>45295</v>
      </c>
      <c r="C645" s="6" t="s">
        <v>271</v>
      </c>
      <c r="D645" s="6">
        <v>24</v>
      </c>
      <c r="E645" s="4">
        <f>DAY(TableAopCalendar[[#This Row],[Date]])</f>
        <v>4</v>
      </c>
      <c r="F645" s="4">
        <f>IF(TableAopCalendar[[#This Row],[Day]]&lt;8,1,IF(TableAopCalendar[[#This Row],[Day]]&lt;15,2,IF(TableAopCalendar[[#This Row],[Day]]&lt;22,3,IF(TableAopCalendar[[#This Row],[Day]]&lt;29,4,IF(TableAopCalendar[[#This Row],[Day]]&lt;32,5)))))</f>
        <v>1</v>
      </c>
      <c r="G645" s="4" t="str">
        <f t="shared" si="31"/>
        <v>Week 1</v>
      </c>
      <c r="H645" s="7" t="str">
        <f t="shared" si="32"/>
        <v>January 24 Week 1</v>
      </c>
      <c r="I645" s="4" t="str">
        <f>CONCATENATE(UPPER(TableAopCalendar[[#This Row],[Month]])," ",TableAopCalendar[[#This Row],[Year]])</f>
        <v>JANUARY 24</v>
      </c>
      <c r="J645" s="7" t="s">
        <v>274</v>
      </c>
      <c r="K645" s="7" t="str">
        <f>CONCATENATE(TableAopCalendar[[#This Row],[Month for Plan]]," ",TableAopCalendar[[#This Row],[Plan]])</f>
        <v>JANUARY 24 PLANNED</v>
      </c>
    </row>
    <row r="646" spans="1:11" x14ac:dyDescent="0.3">
      <c r="A646" s="4">
        <f t="shared" si="30"/>
        <v>5</v>
      </c>
      <c r="B646" s="5">
        <v>45296</v>
      </c>
      <c r="C646" s="6" t="s">
        <v>271</v>
      </c>
      <c r="D646" s="6">
        <v>24</v>
      </c>
      <c r="E646" s="4">
        <f>DAY(TableAopCalendar[[#This Row],[Date]])</f>
        <v>5</v>
      </c>
      <c r="F646" s="4">
        <f>IF(TableAopCalendar[[#This Row],[Day]]&lt;8,1,IF(TableAopCalendar[[#This Row],[Day]]&lt;15,2,IF(TableAopCalendar[[#This Row],[Day]]&lt;22,3,IF(TableAopCalendar[[#This Row],[Day]]&lt;29,4,IF(TableAopCalendar[[#This Row],[Day]]&lt;32,5)))))</f>
        <v>1</v>
      </c>
      <c r="G646" s="4" t="str">
        <f t="shared" si="31"/>
        <v>Week 1</v>
      </c>
      <c r="H646" s="7" t="str">
        <f t="shared" si="32"/>
        <v>January 24 Week 1</v>
      </c>
      <c r="I646" s="4" t="str">
        <f>CONCATENATE(UPPER(TableAopCalendar[[#This Row],[Month]])," ",TableAopCalendar[[#This Row],[Year]])</f>
        <v>JANUARY 24</v>
      </c>
      <c r="J646" s="7" t="s">
        <v>274</v>
      </c>
      <c r="K646" s="7" t="str">
        <f>CONCATENATE(TableAopCalendar[[#This Row],[Month for Plan]]," ",TableAopCalendar[[#This Row],[Plan]])</f>
        <v>JANUARY 24 PLANNED</v>
      </c>
    </row>
    <row r="647" spans="1:11" x14ac:dyDescent="0.3">
      <c r="A647" s="4">
        <f t="shared" si="30"/>
        <v>6</v>
      </c>
      <c r="B647" s="5">
        <v>45297</v>
      </c>
      <c r="C647" s="6" t="s">
        <v>271</v>
      </c>
      <c r="D647" s="6">
        <v>24</v>
      </c>
      <c r="E647" s="4">
        <f>DAY(TableAopCalendar[[#This Row],[Date]])</f>
        <v>6</v>
      </c>
      <c r="F647" s="4">
        <f>IF(TableAopCalendar[[#This Row],[Day]]&lt;8,1,IF(TableAopCalendar[[#This Row],[Day]]&lt;15,2,IF(TableAopCalendar[[#This Row],[Day]]&lt;22,3,IF(TableAopCalendar[[#This Row],[Day]]&lt;29,4,IF(TableAopCalendar[[#This Row],[Day]]&lt;32,5)))))</f>
        <v>1</v>
      </c>
      <c r="G647" s="4" t="str">
        <f t="shared" si="31"/>
        <v>Week 1</v>
      </c>
      <c r="H647" s="7" t="str">
        <f t="shared" si="32"/>
        <v>January 24 Week 1</v>
      </c>
      <c r="I647" s="4" t="str">
        <f>CONCATENATE(UPPER(TableAopCalendar[[#This Row],[Month]])," ",TableAopCalendar[[#This Row],[Year]])</f>
        <v>JANUARY 24</v>
      </c>
      <c r="J647" s="7" t="s">
        <v>274</v>
      </c>
      <c r="K647" s="7" t="str">
        <f>CONCATENATE(TableAopCalendar[[#This Row],[Month for Plan]]," ",TableAopCalendar[[#This Row],[Plan]])</f>
        <v>JANUARY 24 PLANNED</v>
      </c>
    </row>
    <row r="648" spans="1:11" x14ac:dyDescent="0.3">
      <c r="A648" s="4">
        <f t="shared" si="30"/>
        <v>7</v>
      </c>
      <c r="B648" s="5">
        <v>45298</v>
      </c>
      <c r="C648" s="6" t="s">
        <v>271</v>
      </c>
      <c r="D648" s="6">
        <v>24</v>
      </c>
      <c r="E648" s="4">
        <f>DAY(TableAopCalendar[[#This Row],[Date]])</f>
        <v>7</v>
      </c>
      <c r="F648" s="4">
        <f>IF(TableAopCalendar[[#This Row],[Day]]&lt;8,1,IF(TableAopCalendar[[#This Row],[Day]]&lt;15,2,IF(TableAopCalendar[[#This Row],[Day]]&lt;22,3,IF(TableAopCalendar[[#This Row],[Day]]&lt;29,4,IF(TableAopCalendar[[#This Row],[Day]]&lt;32,5)))))</f>
        <v>1</v>
      </c>
      <c r="G648" s="4" t="str">
        <f t="shared" si="31"/>
        <v>Week 1</v>
      </c>
      <c r="H648" s="7" t="str">
        <f t="shared" si="32"/>
        <v>January 24 Week 1</v>
      </c>
      <c r="I648" s="4" t="str">
        <f>CONCATENATE(UPPER(TableAopCalendar[[#This Row],[Month]])," ",TableAopCalendar[[#This Row],[Year]])</f>
        <v>JANUARY 24</v>
      </c>
      <c r="J648" s="7" t="s">
        <v>274</v>
      </c>
      <c r="K648" s="7" t="str">
        <f>CONCATENATE(TableAopCalendar[[#This Row],[Month for Plan]]," ",TableAopCalendar[[#This Row],[Plan]])</f>
        <v>JANUARY 24 PLANNED</v>
      </c>
    </row>
    <row r="649" spans="1:11" x14ac:dyDescent="0.3">
      <c r="A649" s="4">
        <f t="shared" si="30"/>
        <v>1</v>
      </c>
      <c r="B649" s="5">
        <v>45299</v>
      </c>
      <c r="C649" s="6" t="s">
        <v>271</v>
      </c>
      <c r="D649" s="6">
        <v>24</v>
      </c>
      <c r="E649" s="4">
        <f>DAY(TableAopCalendar[[#This Row],[Date]])</f>
        <v>8</v>
      </c>
      <c r="F649" s="4">
        <f>IF(TableAopCalendar[[#This Row],[Day]]&lt;8,1,IF(TableAopCalendar[[#This Row],[Day]]&lt;15,2,IF(TableAopCalendar[[#This Row],[Day]]&lt;22,3,IF(TableAopCalendar[[#This Row],[Day]]&lt;29,4,IF(TableAopCalendar[[#This Row],[Day]]&lt;32,5)))))</f>
        <v>2</v>
      </c>
      <c r="G649" s="4" t="str">
        <f t="shared" si="31"/>
        <v>Week 2</v>
      </c>
      <c r="H649" s="7" t="str">
        <f t="shared" si="32"/>
        <v>January 24 Week 2</v>
      </c>
      <c r="I649" s="4" t="str">
        <f>CONCATENATE(UPPER(TableAopCalendar[[#This Row],[Month]])," ",TableAopCalendar[[#This Row],[Year]])</f>
        <v>JANUARY 24</v>
      </c>
      <c r="J649" s="7" t="s">
        <v>274</v>
      </c>
      <c r="K649" s="7" t="str">
        <f>CONCATENATE(TableAopCalendar[[#This Row],[Month for Plan]]," ",TableAopCalendar[[#This Row],[Plan]])</f>
        <v>JANUARY 24 PLANNED</v>
      </c>
    </row>
    <row r="650" spans="1:11" x14ac:dyDescent="0.3">
      <c r="A650" s="4">
        <f t="shared" si="30"/>
        <v>2</v>
      </c>
      <c r="B650" s="5">
        <v>45300</v>
      </c>
      <c r="C650" s="6" t="s">
        <v>271</v>
      </c>
      <c r="D650" s="6">
        <v>24</v>
      </c>
      <c r="E650" s="4">
        <f>DAY(TableAopCalendar[[#This Row],[Date]])</f>
        <v>9</v>
      </c>
      <c r="F650" s="4">
        <f>IF(TableAopCalendar[[#This Row],[Day]]&lt;8,1,IF(TableAopCalendar[[#This Row],[Day]]&lt;15,2,IF(TableAopCalendar[[#This Row],[Day]]&lt;22,3,IF(TableAopCalendar[[#This Row],[Day]]&lt;29,4,IF(TableAopCalendar[[#This Row],[Day]]&lt;32,5)))))</f>
        <v>2</v>
      </c>
      <c r="G650" s="4" t="str">
        <f t="shared" si="31"/>
        <v>Week 2</v>
      </c>
      <c r="H650" s="7" t="str">
        <f t="shared" si="32"/>
        <v>January 24 Week 2</v>
      </c>
      <c r="I650" s="4" t="str">
        <f>CONCATENATE(UPPER(TableAopCalendar[[#This Row],[Month]])," ",TableAopCalendar[[#This Row],[Year]])</f>
        <v>JANUARY 24</v>
      </c>
      <c r="J650" s="7" t="s">
        <v>274</v>
      </c>
      <c r="K650" s="7" t="str">
        <f>CONCATENATE(TableAopCalendar[[#This Row],[Month for Plan]]," ",TableAopCalendar[[#This Row],[Plan]])</f>
        <v>JANUARY 24 PLANNED</v>
      </c>
    </row>
    <row r="651" spans="1:11" x14ac:dyDescent="0.3">
      <c r="A651" s="4">
        <f t="shared" si="30"/>
        <v>3</v>
      </c>
      <c r="B651" s="5">
        <v>45301</v>
      </c>
      <c r="C651" s="6" t="s">
        <v>271</v>
      </c>
      <c r="D651" s="6">
        <v>24</v>
      </c>
      <c r="E651" s="4">
        <f>DAY(TableAopCalendar[[#This Row],[Date]])</f>
        <v>10</v>
      </c>
      <c r="F651" s="4">
        <f>IF(TableAopCalendar[[#This Row],[Day]]&lt;8,1,IF(TableAopCalendar[[#This Row],[Day]]&lt;15,2,IF(TableAopCalendar[[#This Row],[Day]]&lt;22,3,IF(TableAopCalendar[[#This Row],[Day]]&lt;29,4,IF(TableAopCalendar[[#This Row],[Day]]&lt;32,5)))))</f>
        <v>2</v>
      </c>
      <c r="G651" s="4" t="str">
        <f t="shared" si="31"/>
        <v>Week 2</v>
      </c>
      <c r="H651" s="7" t="str">
        <f t="shared" si="32"/>
        <v>January 24 Week 2</v>
      </c>
      <c r="I651" s="4" t="str">
        <f>CONCATENATE(UPPER(TableAopCalendar[[#This Row],[Month]])," ",TableAopCalendar[[#This Row],[Year]])</f>
        <v>JANUARY 24</v>
      </c>
      <c r="J651" s="7" t="s">
        <v>274</v>
      </c>
      <c r="K651" s="7" t="str">
        <f>CONCATENATE(TableAopCalendar[[#This Row],[Month for Plan]]," ",TableAopCalendar[[#This Row],[Plan]])</f>
        <v>JANUARY 24 PLANNED</v>
      </c>
    </row>
    <row r="652" spans="1:11" x14ac:dyDescent="0.3">
      <c r="A652" s="4">
        <f t="shared" si="30"/>
        <v>4</v>
      </c>
      <c r="B652" s="5">
        <v>45302</v>
      </c>
      <c r="C652" s="6" t="s">
        <v>271</v>
      </c>
      <c r="D652" s="6">
        <v>24</v>
      </c>
      <c r="E652" s="4">
        <f>DAY(TableAopCalendar[[#This Row],[Date]])</f>
        <v>11</v>
      </c>
      <c r="F652" s="4">
        <f>IF(TableAopCalendar[[#This Row],[Day]]&lt;8,1,IF(TableAopCalendar[[#This Row],[Day]]&lt;15,2,IF(TableAopCalendar[[#This Row],[Day]]&lt;22,3,IF(TableAopCalendar[[#This Row],[Day]]&lt;29,4,IF(TableAopCalendar[[#This Row],[Day]]&lt;32,5)))))</f>
        <v>2</v>
      </c>
      <c r="G652" s="4" t="str">
        <f t="shared" si="31"/>
        <v>Week 2</v>
      </c>
      <c r="H652" s="7" t="str">
        <f t="shared" si="32"/>
        <v>January 24 Week 2</v>
      </c>
      <c r="I652" s="4" t="str">
        <f>CONCATENATE(UPPER(TableAopCalendar[[#This Row],[Month]])," ",TableAopCalendar[[#This Row],[Year]])</f>
        <v>JANUARY 24</v>
      </c>
      <c r="J652" s="7" t="s">
        <v>274</v>
      </c>
      <c r="K652" s="7" t="str">
        <f>CONCATENATE(TableAopCalendar[[#This Row],[Month for Plan]]," ",TableAopCalendar[[#This Row],[Plan]])</f>
        <v>JANUARY 24 PLANNED</v>
      </c>
    </row>
    <row r="653" spans="1:11" x14ac:dyDescent="0.3">
      <c r="A653" s="4">
        <f t="shared" si="30"/>
        <v>5</v>
      </c>
      <c r="B653" s="5">
        <v>45303</v>
      </c>
      <c r="C653" s="6" t="s">
        <v>271</v>
      </c>
      <c r="D653" s="6">
        <v>24</v>
      </c>
      <c r="E653" s="4">
        <f>DAY(TableAopCalendar[[#This Row],[Date]])</f>
        <v>12</v>
      </c>
      <c r="F653" s="4">
        <f>IF(TableAopCalendar[[#This Row],[Day]]&lt;8,1,IF(TableAopCalendar[[#This Row],[Day]]&lt;15,2,IF(TableAopCalendar[[#This Row],[Day]]&lt;22,3,IF(TableAopCalendar[[#This Row],[Day]]&lt;29,4,IF(TableAopCalendar[[#This Row],[Day]]&lt;32,5)))))</f>
        <v>2</v>
      </c>
      <c r="G653" s="4" t="str">
        <f t="shared" si="31"/>
        <v>Week 2</v>
      </c>
      <c r="H653" s="7" t="str">
        <f t="shared" si="32"/>
        <v>January 24 Week 2</v>
      </c>
      <c r="I653" s="4" t="str">
        <f>CONCATENATE(UPPER(TableAopCalendar[[#This Row],[Month]])," ",TableAopCalendar[[#This Row],[Year]])</f>
        <v>JANUARY 24</v>
      </c>
      <c r="J653" s="7" t="s">
        <v>274</v>
      </c>
      <c r="K653" s="7" t="str">
        <f>CONCATENATE(TableAopCalendar[[#This Row],[Month for Plan]]," ",TableAopCalendar[[#This Row],[Plan]])</f>
        <v>JANUARY 24 PLANNED</v>
      </c>
    </row>
    <row r="654" spans="1:11" x14ac:dyDescent="0.3">
      <c r="A654" s="4">
        <f t="shared" si="30"/>
        <v>6</v>
      </c>
      <c r="B654" s="5">
        <v>45304</v>
      </c>
      <c r="C654" s="6" t="s">
        <v>271</v>
      </c>
      <c r="D654" s="6">
        <v>24</v>
      </c>
      <c r="E654" s="4">
        <f>DAY(TableAopCalendar[[#This Row],[Date]])</f>
        <v>13</v>
      </c>
      <c r="F654" s="4">
        <f>IF(TableAopCalendar[[#This Row],[Day]]&lt;8,1,IF(TableAopCalendar[[#This Row],[Day]]&lt;15,2,IF(TableAopCalendar[[#This Row],[Day]]&lt;22,3,IF(TableAopCalendar[[#This Row],[Day]]&lt;29,4,IF(TableAopCalendar[[#This Row],[Day]]&lt;32,5)))))</f>
        <v>2</v>
      </c>
      <c r="G654" s="4" t="str">
        <f t="shared" si="31"/>
        <v>Week 2</v>
      </c>
      <c r="H654" s="7" t="str">
        <f t="shared" si="32"/>
        <v>January 24 Week 2</v>
      </c>
      <c r="I654" s="4" t="str">
        <f>CONCATENATE(UPPER(TableAopCalendar[[#This Row],[Month]])," ",TableAopCalendar[[#This Row],[Year]])</f>
        <v>JANUARY 24</v>
      </c>
      <c r="J654" s="7" t="s">
        <v>274</v>
      </c>
      <c r="K654" s="7" t="str">
        <f>CONCATENATE(TableAopCalendar[[#This Row],[Month for Plan]]," ",TableAopCalendar[[#This Row],[Plan]])</f>
        <v>JANUARY 24 PLANNED</v>
      </c>
    </row>
    <row r="655" spans="1:11" x14ac:dyDescent="0.3">
      <c r="A655" s="4">
        <f t="shared" si="30"/>
        <v>7</v>
      </c>
      <c r="B655" s="5">
        <v>45305</v>
      </c>
      <c r="C655" s="6" t="s">
        <v>271</v>
      </c>
      <c r="D655" s="6">
        <v>24</v>
      </c>
      <c r="E655" s="4">
        <f>DAY(TableAopCalendar[[#This Row],[Date]])</f>
        <v>14</v>
      </c>
      <c r="F655" s="4">
        <f>IF(TableAopCalendar[[#This Row],[Day]]&lt;8,1,IF(TableAopCalendar[[#This Row],[Day]]&lt;15,2,IF(TableAopCalendar[[#This Row],[Day]]&lt;22,3,IF(TableAopCalendar[[#This Row],[Day]]&lt;29,4,IF(TableAopCalendar[[#This Row],[Day]]&lt;32,5)))))</f>
        <v>2</v>
      </c>
      <c r="G655" s="4" t="str">
        <f t="shared" si="31"/>
        <v>Week 2</v>
      </c>
      <c r="H655" s="7" t="str">
        <f t="shared" si="32"/>
        <v>January 24 Week 2</v>
      </c>
      <c r="I655" s="4" t="str">
        <f>CONCATENATE(UPPER(TableAopCalendar[[#This Row],[Month]])," ",TableAopCalendar[[#This Row],[Year]])</f>
        <v>JANUARY 24</v>
      </c>
      <c r="J655" s="7" t="s">
        <v>274</v>
      </c>
      <c r="K655" s="7" t="str">
        <f>CONCATENATE(TableAopCalendar[[#This Row],[Month for Plan]]," ",TableAopCalendar[[#This Row],[Plan]])</f>
        <v>JANUARY 24 PLANNED</v>
      </c>
    </row>
    <row r="656" spans="1:11" x14ac:dyDescent="0.3">
      <c r="A656" s="4">
        <f t="shared" si="30"/>
        <v>1</v>
      </c>
      <c r="B656" s="5">
        <v>45306</v>
      </c>
      <c r="C656" s="6" t="s">
        <v>271</v>
      </c>
      <c r="D656" s="6">
        <v>24</v>
      </c>
      <c r="E656" s="4">
        <f>DAY(TableAopCalendar[[#This Row],[Date]])</f>
        <v>15</v>
      </c>
      <c r="F656" s="4">
        <f>IF(TableAopCalendar[[#This Row],[Day]]&lt;8,1,IF(TableAopCalendar[[#This Row],[Day]]&lt;15,2,IF(TableAopCalendar[[#This Row],[Day]]&lt;22,3,IF(TableAopCalendar[[#This Row],[Day]]&lt;29,4,IF(TableAopCalendar[[#This Row],[Day]]&lt;32,5)))))</f>
        <v>3</v>
      </c>
      <c r="G656" s="4" t="str">
        <f t="shared" si="31"/>
        <v>Week 3</v>
      </c>
      <c r="H656" s="7" t="str">
        <f t="shared" si="32"/>
        <v>January 24 Week 3</v>
      </c>
      <c r="I656" s="4" t="str">
        <f>CONCATENATE(UPPER(TableAopCalendar[[#This Row],[Month]])," ",TableAopCalendar[[#This Row],[Year]])</f>
        <v>JANUARY 24</v>
      </c>
      <c r="J656" s="7" t="s">
        <v>274</v>
      </c>
      <c r="K656" s="7" t="str">
        <f>CONCATENATE(TableAopCalendar[[#This Row],[Month for Plan]]," ",TableAopCalendar[[#This Row],[Plan]])</f>
        <v>JANUARY 24 PLANNED</v>
      </c>
    </row>
    <row r="657" spans="1:11" x14ac:dyDescent="0.3">
      <c r="A657" s="4">
        <f t="shared" si="30"/>
        <v>2</v>
      </c>
      <c r="B657" s="5">
        <v>45307</v>
      </c>
      <c r="C657" s="6" t="s">
        <v>271</v>
      </c>
      <c r="D657" s="6">
        <v>24</v>
      </c>
      <c r="E657" s="4">
        <f>DAY(TableAopCalendar[[#This Row],[Date]])</f>
        <v>16</v>
      </c>
      <c r="F657" s="4">
        <f>IF(TableAopCalendar[[#This Row],[Day]]&lt;8,1,IF(TableAopCalendar[[#This Row],[Day]]&lt;15,2,IF(TableAopCalendar[[#This Row],[Day]]&lt;22,3,IF(TableAopCalendar[[#This Row],[Day]]&lt;29,4,IF(TableAopCalendar[[#This Row],[Day]]&lt;32,5)))))</f>
        <v>3</v>
      </c>
      <c r="G657" s="4" t="str">
        <f t="shared" si="31"/>
        <v>Week 3</v>
      </c>
      <c r="H657" s="7" t="str">
        <f t="shared" si="32"/>
        <v>January 24 Week 3</v>
      </c>
      <c r="I657" s="4" t="str">
        <f>CONCATENATE(UPPER(TableAopCalendar[[#This Row],[Month]])," ",TableAopCalendar[[#This Row],[Year]])</f>
        <v>JANUARY 24</v>
      </c>
      <c r="J657" s="7" t="s">
        <v>274</v>
      </c>
      <c r="K657" s="7" t="str">
        <f>CONCATENATE(TableAopCalendar[[#This Row],[Month for Plan]]," ",TableAopCalendar[[#This Row],[Plan]])</f>
        <v>JANUARY 24 PLANNED</v>
      </c>
    </row>
    <row r="658" spans="1:11" x14ac:dyDescent="0.3">
      <c r="A658" s="4">
        <f t="shared" si="30"/>
        <v>3</v>
      </c>
      <c r="B658" s="5">
        <v>45308</v>
      </c>
      <c r="C658" s="6" t="s">
        <v>271</v>
      </c>
      <c r="D658" s="6">
        <v>24</v>
      </c>
      <c r="E658" s="4">
        <f>DAY(TableAopCalendar[[#This Row],[Date]])</f>
        <v>17</v>
      </c>
      <c r="F658" s="4">
        <f>IF(TableAopCalendar[[#This Row],[Day]]&lt;8,1,IF(TableAopCalendar[[#This Row],[Day]]&lt;15,2,IF(TableAopCalendar[[#This Row],[Day]]&lt;22,3,IF(TableAopCalendar[[#This Row],[Day]]&lt;29,4,IF(TableAopCalendar[[#This Row],[Day]]&lt;32,5)))))</f>
        <v>3</v>
      </c>
      <c r="G658" s="4" t="str">
        <f t="shared" si="31"/>
        <v>Week 3</v>
      </c>
      <c r="H658" s="7" t="str">
        <f t="shared" si="32"/>
        <v>January 24 Week 3</v>
      </c>
      <c r="I658" s="4" t="str">
        <f>CONCATENATE(UPPER(TableAopCalendar[[#This Row],[Month]])," ",TableAopCalendar[[#This Row],[Year]])</f>
        <v>JANUARY 24</v>
      </c>
      <c r="J658" s="7" t="s">
        <v>274</v>
      </c>
      <c r="K658" s="7" t="str">
        <f>CONCATENATE(TableAopCalendar[[#This Row],[Month for Plan]]," ",TableAopCalendar[[#This Row],[Plan]])</f>
        <v>JANUARY 24 PLANNED</v>
      </c>
    </row>
    <row r="659" spans="1:11" x14ac:dyDescent="0.3">
      <c r="A659" s="4">
        <f t="shared" si="30"/>
        <v>4</v>
      </c>
      <c r="B659" s="5">
        <v>45309</v>
      </c>
      <c r="C659" s="6" t="s">
        <v>271</v>
      </c>
      <c r="D659" s="6">
        <v>24</v>
      </c>
      <c r="E659" s="4">
        <f>DAY(TableAopCalendar[[#This Row],[Date]])</f>
        <v>18</v>
      </c>
      <c r="F659" s="4">
        <f>IF(TableAopCalendar[[#This Row],[Day]]&lt;8,1,IF(TableAopCalendar[[#This Row],[Day]]&lt;15,2,IF(TableAopCalendar[[#This Row],[Day]]&lt;22,3,IF(TableAopCalendar[[#This Row],[Day]]&lt;29,4,IF(TableAopCalendar[[#This Row],[Day]]&lt;32,5)))))</f>
        <v>3</v>
      </c>
      <c r="G659" s="4" t="str">
        <f t="shared" si="31"/>
        <v>Week 3</v>
      </c>
      <c r="H659" s="7" t="str">
        <f t="shared" si="32"/>
        <v>January 24 Week 3</v>
      </c>
      <c r="I659" s="4" t="str">
        <f>CONCATENATE(UPPER(TableAopCalendar[[#This Row],[Month]])," ",TableAopCalendar[[#This Row],[Year]])</f>
        <v>JANUARY 24</v>
      </c>
      <c r="J659" s="7" t="s">
        <v>274</v>
      </c>
      <c r="K659" s="7" t="str">
        <f>CONCATENATE(TableAopCalendar[[#This Row],[Month for Plan]]," ",TableAopCalendar[[#This Row],[Plan]])</f>
        <v>JANUARY 24 PLANNED</v>
      </c>
    </row>
    <row r="660" spans="1:11" x14ac:dyDescent="0.3">
      <c r="A660" s="4">
        <f t="shared" si="30"/>
        <v>5</v>
      </c>
      <c r="B660" s="5">
        <v>45310</v>
      </c>
      <c r="C660" s="6" t="s">
        <v>271</v>
      </c>
      <c r="D660" s="6">
        <v>24</v>
      </c>
      <c r="E660" s="4">
        <f>DAY(TableAopCalendar[[#This Row],[Date]])</f>
        <v>19</v>
      </c>
      <c r="F660" s="4">
        <f>IF(TableAopCalendar[[#This Row],[Day]]&lt;8,1,IF(TableAopCalendar[[#This Row],[Day]]&lt;15,2,IF(TableAopCalendar[[#This Row],[Day]]&lt;22,3,IF(TableAopCalendar[[#This Row],[Day]]&lt;29,4,IF(TableAopCalendar[[#This Row],[Day]]&lt;32,5)))))</f>
        <v>3</v>
      </c>
      <c r="G660" s="4" t="str">
        <f t="shared" si="31"/>
        <v>Week 3</v>
      </c>
      <c r="H660" s="7" t="str">
        <f t="shared" si="32"/>
        <v>January 24 Week 3</v>
      </c>
      <c r="I660" s="4" t="str">
        <f>CONCATENATE(UPPER(TableAopCalendar[[#This Row],[Month]])," ",TableAopCalendar[[#This Row],[Year]])</f>
        <v>JANUARY 24</v>
      </c>
      <c r="J660" s="7" t="s">
        <v>274</v>
      </c>
      <c r="K660" s="7" t="str">
        <f>CONCATENATE(TableAopCalendar[[#This Row],[Month for Plan]]," ",TableAopCalendar[[#This Row],[Plan]])</f>
        <v>JANUARY 24 PLANNED</v>
      </c>
    </row>
    <row r="661" spans="1:11" x14ac:dyDescent="0.3">
      <c r="A661" s="4">
        <f t="shared" si="30"/>
        <v>6</v>
      </c>
      <c r="B661" s="5">
        <v>45311</v>
      </c>
      <c r="C661" s="6" t="s">
        <v>271</v>
      </c>
      <c r="D661" s="6">
        <v>24</v>
      </c>
      <c r="E661" s="4">
        <f>DAY(TableAopCalendar[[#This Row],[Date]])</f>
        <v>20</v>
      </c>
      <c r="F661" s="4">
        <f>IF(TableAopCalendar[[#This Row],[Day]]&lt;8,1,IF(TableAopCalendar[[#This Row],[Day]]&lt;15,2,IF(TableAopCalendar[[#This Row],[Day]]&lt;22,3,IF(TableAopCalendar[[#This Row],[Day]]&lt;29,4,IF(TableAopCalendar[[#This Row],[Day]]&lt;32,5)))))</f>
        <v>3</v>
      </c>
      <c r="G661" s="4" t="str">
        <f t="shared" si="31"/>
        <v>Week 3</v>
      </c>
      <c r="H661" s="7" t="str">
        <f t="shared" si="32"/>
        <v>January 24 Week 3</v>
      </c>
      <c r="I661" s="4" t="str">
        <f>CONCATENATE(UPPER(TableAopCalendar[[#This Row],[Month]])," ",TableAopCalendar[[#This Row],[Year]])</f>
        <v>JANUARY 24</v>
      </c>
      <c r="J661" s="7" t="s">
        <v>274</v>
      </c>
      <c r="K661" s="7" t="str">
        <f>CONCATENATE(TableAopCalendar[[#This Row],[Month for Plan]]," ",TableAopCalendar[[#This Row],[Plan]])</f>
        <v>JANUARY 24 PLANNED</v>
      </c>
    </row>
    <row r="662" spans="1:11" x14ac:dyDescent="0.3">
      <c r="A662" s="4">
        <f t="shared" si="30"/>
        <v>7</v>
      </c>
      <c r="B662" s="5">
        <v>45312</v>
      </c>
      <c r="C662" s="6" t="s">
        <v>271</v>
      </c>
      <c r="D662" s="6">
        <v>24</v>
      </c>
      <c r="E662" s="4">
        <f>DAY(TableAopCalendar[[#This Row],[Date]])</f>
        <v>21</v>
      </c>
      <c r="F662" s="4">
        <f>IF(TableAopCalendar[[#This Row],[Day]]&lt;8,1,IF(TableAopCalendar[[#This Row],[Day]]&lt;15,2,IF(TableAopCalendar[[#This Row],[Day]]&lt;22,3,IF(TableAopCalendar[[#This Row],[Day]]&lt;29,4,IF(TableAopCalendar[[#This Row],[Day]]&lt;32,5)))))</f>
        <v>3</v>
      </c>
      <c r="G662" s="4" t="str">
        <f t="shared" si="31"/>
        <v>Week 3</v>
      </c>
      <c r="H662" s="7" t="str">
        <f t="shared" si="32"/>
        <v>January 24 Week 3</v>
      </c>
      <c r="I662" s="4" t="str">
        <f>CONCATENATE(UPPER(TableAopCalendar[[#This Row],[Month]])," ",TableAopCalendar[[#This Row],[Year]])</f>
        <v>JANUARY 24</v>
      </c>
      <c r="J662" s="7" t="s">
        <v>274</v>
      </c>
      <c r="K662" s="7" t="str">
        <f>CONCATENATE(TableAopCalendar[[#This Row],[Month for Plan]]," ",TableAopCalendar[[#This Row],[Plan]])</f>
        <v>JANUARY 24 PLANNED</v>
      </c>
    </row>
    <row r="663" spans="1:11" x14ac:dyDescent="0.3">
      <c r="A663" s="4">
        <f t="shared" si="30"/>
        <v>1</v>
      </c>
      <c r="B663" s="5">
        <v>45313</v>
      </c>
      <c r="C663" s="6" t="s">
        <v>271</v>
      </c>
      <c r="D663" s="6">
        <v>24</v>
      </c>
      <c r="E663" s="4">
        <f>DAY(TableAopCalendar[[#This Row],[Date]])</f>
        <v>22</v>
      </c>
      <c r="F663" s="4">
        <f>IF(TableAopCalendar[[#This Row],[Day]]&lt;8,1,IF(TableAopCalendar[[#This Row],[Day]]&lt;15,2,IF(TableAopCalendar[[#This Row],[Day]]&lt;22,3,IF(TableAopCalendar[[#This Row],[Day]]&lt;29,4,IF(TableAopCalendar[[#This Row],[Day]]&lt;32,5)))))</f>
        <v>4</v>
      </c>
      <c r="G663" s="4" t="str">
        <f t="shared" si="31"/>
        <v>Week 4</v>
      </c>
      <c r="H663" s="7" t="str">
        <f t="shared" si="32"/>
        <v>January 24 Week 4</v>
      </c>
      <c r="I663" s="4" t="str">
        <f>CONCATENATE(UPPER(TableAopCalendar[[#This Row],[Month]])," ",TableAopCalendar[[#This Row],[Year]])</f>
        <v>JANUARY 24</v>
      </c>
      <c r="J663" s="7" t="s">
        <v>274</v>
      </c>
      <c r="K663" s="7" t="str">
        <f>CONCATENATE(TableAopCalendar[[#This Row],[Month for Plan]]," ",TableAopCalendar[[#This Row],[Plan]])</f>
        <v>JANUARY 24 PLANNED</v>
      </c>
    </row>
    <row r="664" spans="1:11" x14ac:dyDescent="0.3">
      <c r="A664" s="4">
        <f t="shared" si="30"/>
        <v>2</v>
      </c>
      <c r="B664" s="5">
        <v>45314</v>
      </c>
      <c r="C664" s="6" t="s">
        <v>271</v>
      </c>
      <c r="D664" s="6">
        <v>24</v>
      </c>
      <c r="E664" s="4">
        <f>DAY(TableAopCalendar[[#This Row],[Date]])</f>
        <v>23</v>
      </c>
      <c r="F664" s="4">
        <f>IF(TableAopCalendar[[#This Row],[Day]]&lt;8,1,IF(TableAopCalendar[[#This Row],[Day]]&lt;15,2,IF(TableAopCalendar[[#This Row],[Day]]&lt;22,3,IF(TableAopCalendar[[#This Row],[Day]]&lt;29,4,IF(TableAopCalendar[[#This Row],[Day]]&lt;32,5)))))</f>
        <v>4</v>
      </c>
      <c r="G664" s="4" t="str">
        <f t="shared" si="31"/>
        <v>Week 4</v>
      </c>
      <c r="H664" s="7" t="str">
        <f t="shared" si="32"/>
        <v>January 24 Week 4</v>
      </c>
      <c r="I664" s="4" t="str">
        <f>CONCATENATE(UPPER(TableAopCalendar[[#This Row],[Month]])," ",TableAopCalendar[[#This Row],[Year]])</f>
        <v>JANUARY 24</v>
      </c>
      <c r="J664" s="7" t="s">
        <v>274</v>
      </c>
      <c r="K664" s="7" t="str">
        <f>CONCATENATE(TableAopCalendar[[#This Row],[Month for Plan]]," ",TableAopCalendar[[#This Row],[Plan]])</f>
        <v>JANUARY 24 PLANNED</v>
      </c>
    </row>
    <row r="665" spans="1:11" x14ac:dyDescent="0.3">
      <c r="A665" s="4">
        <f t="shared" si="30"/>
        <v>3</v>
      </c>
      <c r="B665" s="5">
        <v>45315</v>
      </c>
      <c r="C665" s="6" t="s">
        <v>271</v>
      </c>
      <c r="D665" s="6">
        <v>24</v>
      </c>
      <c r="E665" s="4">
        <f>DAY(TableAopCalendar[[#This Row],[Date]])</f>
        <v>24</v>
      </c>
      <c r="F665" s="4">
        <f>IF(TableAopCalendar[[#This Row],[Day]]&lt;8,1,IF(TableAopCalendar[[#This Row],[Day]]&lt;15,2,IF(TableAopCalendar[[#This Row],[Day]]&lt;22,3,IF(TableAopCalendar[[#This Row],[Day]]&lt;29,4,IF(TableAopCalendar[[#This Row],[Day]]&lt;32,5)))))</f>
        <v>4</v>
      </c>
      <c r="G665" s="4" t="str">
        <f t="shared" si="31"/>
        <v>Week 4</v>
      </c>
      <c r="H665" s="7" t="str">
        <f t="shared" si="32"/>
        <v>January 24 Week 4</v>
      </c>
      <c r="I665" s="4" t="str">
        <f>CONCATENATE(UPPER(TableAopCalendar[[#This Row],[Month]])," ",TableAopCalendar[[#This Row],[Year]])</f>
        <v>JANUARY 24</v>
      </c>
      <c r="J665" s="7" t="s">
        <v>274</v>
      </c>
      <c r="K665" s="7" t="str">
        <f>CONCATENATE(TableAopCalendar[[#This Row],[Month for Plan]]," ",TableAopCalendar[[#This Row],[Plan]])</f>
        <v>JANUARY 24 PLANNED</v>
      </c>
    </row>
    <row r="666" spans="1:11" x14ac:dyDescent="0.3">
      <c r="A666" s="4">
        <f t="shared" si="30"/>
        <v>4</v>
      </c>
      <c r="B666" s="5">
        <v>45316</v>
      </c>
      <c r="C666" s="6" t="s">
        <v>271</v>
      </c>
      <c r="D666" s="6">
        <v>24</v>
      </c>
      <c r="E666" s="4">
        <f>DAY(TableAopCalendar[[#This Row],[Date]])</f>
        <v>25</v>
      </c>
      <c r="F666" s="4">
        <f>IF(TableAopCalendar[[#This Row],[Day]]&lt;8,1,IF(TableAopCalendar[[#This Row],[Day]]&lt;15,2,IF(TableAopCalendar[[#This Row],[Day]]&lt;22,3,IF(TableAopCalendar[[#This Row],[Day]]&lt;29,4,IF(TableAopCalendar[[#This Row],[Day]]&lt;32,5)))))</f>
        <v>4</v>
      </c>
      <c r="G666" s="4" t="str">
        <f t="shared" si="31"/>
        <v>Week 4</v>
      </c>
      <c r="H666" s="7" t="str">
        <f t="shared" si="32"/>
        <v>January 24 Week 4</v>
      </c>
      <c r="I666" s="4" t="str">
        <f>CONCATENATE(UPPER(TableAopCalendar[[#This Row],[Month]])," ",TableAopCalendar[[#This Row],[Year]])</f>
        <v>JANUARY 24</v>
      </c>
      <c r="J666" s="7" t="s">
        <v>274</v>
      </c>
      <c r="K666" s="7" t="str">
        <f>CONCATENATE(TableAopCalendar[[#This Row],[Month for Plan]]," ",TableAopCalendar[[#This Row],[Plan]])</f>
        <v>JANUARY 24 PLANNED</v>
      </c>
    </row>
    <row r="667" spans="1:11" x14ac:dyDescent="0.3">
      <c r="A667" s="4">
        <f t="shared" si="30"/>
        <v>5</v>
      </c>
      <c r="B667" s="5">
        <v>45317</v>
      </c>
      <c r="C667" s="6" t="s">
        <v>271</v>
      </c>
      <c r="D667" s="6">
        <v>24</v>
      </c>
      <c r="E667" s="4">
        <f>DAY(TableAopCalendar[[#This Row],[Date]])</f>
        <v>26</v>
      </c>
      <c r="F667" s="4">
        <f>IF(TableAopCalendar[[#This Row],[Day]]&lt;8,1,IF(TableAopCalendar[[#This Row],[Day]]&lt;15,2,IF(TableAopCalendar[[#This Row],[Day]]&lt;22,3,IF(TableAopCalendar[[#This Row],[Day]]&lt;29,4,IF(TableAopCalendar[[#This Row],[Day]]&lt;32,5)))))</f>
        <v>4</v>
      </c>
      <c r="G667" s="4" t="str">
        <f t="shared" si="31"/>
        <v>Week 4</v>
      </c>
      <c r="H667" s="7" t="str">
        <f t="shared" si="32"/>
        <v>January 24 Week 4</v>
      </c>
      <c r="I667" s="4" t="str">
        <f>CONCATENATE(UPPER(TableAopCalendar[[#This Row],[Month]])," ",TableAopCalendar[[#This Row],[Year]])</f>
        <v>JANUARY 24</v>
      </c>
      <c r="J667" s="7" t="s">
        <v>274</v>
      </c>
      <c r="K667" s="7" t="str">
        <f>CONCATENATE(TableAopCalendar[[#This Row],[Month for Plan]]," ",TableAopCalendar[[#This Row],[Plan]])</f>
        <v>JANUARY 24 PLANNED</v>
      </c>
    </row>
    <row r="668" spans="1:11" x14ac:dyDescent="0.3">
      <c r="A668" s="4">
        <f t="shared" si="30"/>
        <v>6</v>
      </c>
      <c r="B668" s="5">
        <v>45318</v>
      </c>
      <c r="C668" s="6" t="s">
        <v>271</v>
      </c>
      <c r="D668" s="6">
        <v>24</v>
      </c>
      <c r="E668" s="4">
        <f>DAY(TableAopCalendar[[#This Row],[Date]])</f>
        <v>27</v>
      </c>
      <c r="F668" s="4">
        <f>IF(TableAopCalendar[[#This Row],[Day]]&lt;8,1,IF(TableAopCalendar[[#This Row],[Day]]&lt;15,2,IF(TableAopCalendar[[#This Row],[Day]]&lt;22,3,IF(TableAopCalendar[[#This Row],[Day]]&lt;29,4,IF(TableAopCalendar[[#This Row],[Day]]&lt;32,5)))))</f>
        <v>4</v>
      </c>
      <c r="G668" s="4" t="str">
        <f t="shared" si="31"/>
        <v>Week 4</v>
      </c>
      <c r="H668" s="7" t="str">
        <f t="shared" si="32"/>
        <v>January 24 Week 4</v>
      </c>
      <c r="I668" s="4" t="str">
        <f>CONCATENATE(UPPER(TableAopCalendar[[#This Row],[Month]])," ",TableAopCalendar[[#This Row],[Year]])</f>
        <v>JANUARY 24</v>
      </c>
      <c r="J668" s="7" t="s">
        <v>274</v>
      </c>
      <c r="K668" s="7" t="str">
        <f>CONCATENATE(TableAopCalendar[[#This Row],[Month for Plan]]," ",TableAopCalendar[[#This Row],[Plan]])</f>
        <v>JANUARY 24 PLANNED</v>
      </c>
    </row>
    <row r="669" spans="1:11" x14ac:dyDescent="0.3">
      <c r="A669" s="4">
        <f t="shared" si="30"/>
        <v>7</v>
      </c>
      <c r="B669" s="5">
        <v>45319</v>
      </c>
      <c r="C669" s="6" t="s">
        <v>271</v>
      </c>
      <c r="D669" s="6">
        <v>24</v>
      </c>
      <c r="E669" s="4">
        <f>DAY(TableAopCalendar[[#This Row],[Date]])</f>
        <v>28</v>
      </c>
      <c r="F669" s="4">
        <f>IF(TableAopCalendar[[#This Row],[Day]]&lt;8,1,IF(TableAopCalendar[[#This Row],[Day]]&lt;15,2,IF(TableAopCalendar[[#This Row],[Day]]&lt;22,3,IF(TableAopCalendar[[#This Row],[Day]]&lt;29,4,IF(TableAopCalendar[[#This Row],[Day]]&lt;32,5)))))</f>
        <v>4</v>
      </c>
      <c r="G669" s="4" t="str">
        <f t="shared" si="31"/>
        <v>Week 4</v>
      </c>
      <c r="H669" s="7" t="str">
        <f t="shared" si="32"/>
        <v>January 24 Week 4</v>
      </c>
      <c r="I669" s="4" t="str">
        <f>CONCATENATE(UPPER(TableAopCalendar[[#This Row],[Month]])," ",TableAopCalendar[[#This Row],[Year]])</f>
        <v>JANUARY 24</v>
      </c>
      <c r="J669" s="7" t="s">
        <v>274</v>
      </c>
      <c r="K669" s="7" t="str">
        <f>CONCATENATE(TableAopCalendar[[#This Row],[Month for Plan]]," ",TableAopCalendar[[#This Row],[Plan]])</f>
        <v>JANUARY 24 PLANNED</v>
      </c>
    </row>
    <row r="670" spans="1:11" x14ac:dyDescent="0.3">
      <c r="A670" s="4">
        <f t="shared" si="30"/>
        <v>1</v>
      </c>
      <c r="B670" s="5">
        <v>45320</v>
      </c>
      <c r="C670" s="6" t="s">
        <v>271</v>
      </c>
      <c r="D670" s="6">
        <v>24</v>
      </c>
      <c r="E670" s="4">
        <f>DAY(TableAopCalendar[[#This Row],[Date]])</f>
        <v>29</v>
      </c>
      <c r="F670" s="4">
        <f>IF(TableAopCalendar[[#This Row],[Day]]&lt;8,1,IF(TableAopCalendar[[#This Row],[Day]]&lt;15,2,IF(TableAopCalendar[[#This Row],[Day]]&lt;22,3,IF(TableAopCalendar[[#This Row],[Day]]&lt;29,4,IF(TableAopCalendar[[#This Row],[Day]]&lt;32,5)))))</f>
        <v>5</v>
      </c>
      <c r="G670" s="4" t="str">
        <f t="shared" si="31"/>
        <v>Week 5</v>
      </c>
      <c r="H670" s="7" t="str">
        <f t="shared" si="32"/>
        <v>January 24 Week 5</v>
      </c>
      <c r="I670" s="4" t="str">
        <f>CONCATENATE(UPPER(TableAopCalendar[[#This Row],[Month]])," ",TableAopCalendar[[#This Row],[Year]])</f>
        <v>JANUARY 24</v>
      </c>
      <c r="J670" s="7" t="s">
        <v>274</v>
      </c>
      <c r="K670" s="7" t="str">
        <f>CONCATENATE(TableAopCalendar[[#This Row],[Month for Plan]]," ",TableAopCalendar[[#This Row],[Plan]])</f>
        <v>JANUARY 24 PLANNED</v>
      </c>
    </row>
    <row r="671" spans="1:11" x14ac:dyDescent="0.3">
      <c r="A671" s="4">
        <f t="shared" si="30"/>
        <v>2</v>
      </c>
      <c r="B671" s="5">
        <v>45321</v>
      </c>
      <c r="C671" s="6" t="s">
        <v>271</v>
      </c>
      <c r="D671" s="6">
        <v>24</v>
      </c>
      <c r="E671" s="4">
        <f>DAY(TableAopCalendar[[#This Row],[Date]])</f>
        <v>30</v>
      </c>
      <c r="F671" s="4">
        <f>IF(TableAopCalendar[[#This Row],[Day]]&lt;8,1,IF(TableAopCalendar[[#This Row],[Day]]&lt;15,2,IF(TableAopCalendar[[#This Row],[Day]]&lt;22,3,IF(TableAopCalendar[[#This Row],[Day]]&lt;29,4,IF(TableAopCalendar[[#This Row],[Day]]&lt;32,5)))))</f>
        <v>5</v>
      </c>
      <c r="G671" s="4" t="str">
        <f t="shared" si="31"/>
        <v>Week 5</v>
      </c>
      <c r="H671" s="7" t="str">
        <f t="shared" si="32"/>
        <v>January 24 Week 5</v>
      </c>
      <c r="I671" s="4" t="str">
        <f>CONCATENATE(UPPER(TableAopCalendar[[#This Row],[Month]])," ",TableAopCalendar[[#This Row],[Year]])</f>
        <v>JANUARY 24</v>
      </c>
      <c r="J671" s="7" t="s">
        <v>274</v>
      </c>
      <c r="K671" s="7" t="str">
        <f>CONCATENATE(TableAopCalendar[[#This Row],[Month for Plan]]," ",TableAopCalendar[[#This Row],[Plan]])</f>
        <v>JANUARY 24 PLANNED</v>
      </c>
    </row>
    <row r="672" spans="1:11" x14ac:dyDescent="0.3">
      <c r="A672" s="4">
        <f t="shared" si="30"/>
        <v>3</v>
      </c>
      <c r="B672" s="5">
        <v>45322</v>
      </c>
      <c r="C672" s="6" t="s">
        <v>271</v>
      </c>
      <c r="D672" s="6">
        <v>24</v>
      </c>
      <c r="E672" s="4">
        <f>DAY(TableAopCalendar[[#This Row],[Date]])</f>
        <v>31</v>
      </c>
      <c r="F672" s="4">
        <f>IF(TableAopCalendar[[#This Row],[Day]]&lt;8,1,IF(TableAopCalendar[[#This Row],[Day]]&lt;15,2,IF(TableAopCalendar[[#This Row],[Day]]&lt;22,3,IF(TableAopCalendar[[#This Row],[Day]]&lt;29,4,IF(TableAopCalendar[[#This Row],[Day]]&lt;32,5)))))</f>
        <v>5</v>
      </c>
      <c r="G672" s="4" t="str">
        <f t="shared" si="31"/>
        <v>Week 5</v>
      </c>
      <c r="H672" s="7" t="str">
        <f t="shared" si="32"/>
        <v>January 24 Week 5</v>
      </c>
      <c r="I672" s="4" t="str">
        <f>CONCATENATE(UPPER(TableAopCalendar[[#This Row],[Month]])," ",TableAopCalendar[[#This Row],[Year]])</f>
        <v>JANUARY 24</v>
      </c>
      <c r="J672" s="7" t="s">
        <v>274</v>
      </c>
      <c r="K672" s="7" t="str">
        <f>CONCATENATE(TableAopCalendar[[#This Row],[Month for Plan]]," ",TableAopCalendar[[#This Row],[Plan]])</f>
        <v>JANUARY 24 PLANNED</v>
      </c>
    </row>
    <row r="673" spans="1:11" x14ac:dyDescent="0.3">
      <c r="A673" s="4">
        <f t="shared" si="30"/>
        <v>1</v>
      </c>
      <c r="B673" s="5">
        <v>45323</v>
      </c>
      <c r="C673" s="6" t="s">
        <v>272</v>
      </c>
      <c r="D673" s="6">
        <v>24</v>
      </c>
      <c r="E673" s="4">
        <f>DAY(TableAopCalendar[[#This Row],[Date]])</f>
        <v>1</v>
      </c>
      <c r="F673" s="4">
        <f>IF(TableAopCalendar[[#This Row],[Day]]&lt;8,1,IF(TableAopCalendar[[#This Row],[Day]]&lt;15,2,IF(TableAopCalendar[[#This Row],[Day]]&lt;22,3,IF(TableAopCalendar[[#This Row],[Day]]&lt;29,4,IF(TableAopCalendar[[#This Row],[Day]]&lt;32,5)))))</f>
        <v>1</v>
      </c>
      <c r="G673" s="4" t="str">
        <f t="shared" si="31"/>
        <v>Week 1</v>
      </c>
      <c r="H673" s="7" t="str">
        <f t="shared" si="32"/>
        <v>February 24 Week 1</v>
      </c>
      <c r="I673" s="4" t="str">
        <f>CONCATENATE(UPPER(TableAopCalendar[[#This Row],[Month]])," ",TableAopCalendar[[#This Row],[Year]])</f>
        <v>FEBRUARY 24</v>
      </c>
      <c r="J673" s="7" t="s">
        <v>274</v>
      </c>
      <c r="K673" s="7" t="str">
        <f>CONCATENATE(TableAopCalendar[[#This Row],[Month for Plan]]," ",TableAopCalendar[[#This Row],[Plan]])</f>
        <v>FEBRUARY 24 PLANNED</v>
      </c>
    </row>
    <row r="674" spans="1:11" x14ac:dyDescent="0.3">
      <c r="A674" s="4">
        <f t="shared" si="30"/>
        <v>2</v>
      </c>
      <c r="B674" s="5">
        <v>45324</v>
      </c>
      <c r="C674" s="6" t="s">
        <v>272</v>
      </c>
      <c r="D674" s="6">
        <v>24</v>
      </c>
      <c r="E674" s="4">
        <f>DAY(TableAopCalendar[[#This Row],[Date]])</f>
        <v>2</v>
      </c>
      <c r="F674" s="4">
        <f>IF(TableAopCalendar[[#This Row],[Day]]&lt;8,1,IF(TableAopCalendar[[#This Row],[Day]]&lt;15,2,IF(TableAopCalendar[[#This Row],[Day]]&lt;22,3,IF(TableAopCalendar[[#This Row],[Day]]&lt;29,4,IF(TableAopCalendar[[#This Row],[Day]]&lt;32,5)))))</f>
        <v>1</v>
      </c>
      <c r="G674" s="4" t="str">
        <f t="shared" si="31"/>
        <v>Week 1</v>
      </c>
      <c r="H674" s="7" t="str">
        <f t="shared" si="32"/>
        <v>February 24 Week 1</v>
      </c>
      <c r="I674" s="4" t="str">
        <f>CONCATENATE(UPPER(TableAopCalendar[[#This Row],[Month]])," ",TableAopCalendar[[#This Row],[Year]])</f>
        <v>FEBRUARY 24</v>
      </c>
      <c r="J674" s="7" t="s">
        <v>274</v>
      </c>
      <c r="K674" s="7" t="str">
        <f>CONCATENATE(TableAopCalendar[[#This Row],[Month for Plan]]," ",TableAopCalendar[[#This Row],[Plan]])</f>
        <v>FEBRUARY 24 PLANNED</v>
      </c>
    </row>
    <row r="675" spans="1:11" x14ac:dyDescent="0.3">
      <c r="A675" s="4">
        <f t="shared" si="30"/>
        <v>3</v>
      </c>
      <c r="B675" s="5">
        <v>45325</v>
      </c>
      <c r="C675" s="6" t="s">
        <v>272</v>
      </c>
      <c r="D675" s="6">
        <v>24</v>
      </c>
      <c r="E675" s="4">
        <f>DAY(TableAopCalendar[[#This Row],[Date]])</f>
        <v>3</v>
      </c>
      <c r="F675" s="4">
        <f>IF(TableAopCalendar[[#This Row],[Day]]&lt;8,1,IF(TableAopCalendar[[#This Row],[Day]]&lt;15,2,IF(TableAopCalendar[[#This Row],[Day]]&lt;22,3,IF(TableAopCalendar[[#This Row],[Day]]&lt;29,4,IF(TableAopCalendar[[#This Row],[Day]]&lt;32,5)))))</f>
        <v>1</v>
      </c>
      <c r="G675" s="4" t="str">
        <f t="shared" si="31"/>
        <v>Week 1</v>
      </c>
      <c r="H675" s="7" t="str">
        <f t="shared" si="32"/>
        <v>February 24 Week 1</v>
      </c>
      <c r="I675" s="4" t="str">
        <f>CONCATENATE(UPPER(TableAopCalendar[[#This Row],[Month]])," ",TableAopCalendar[[#This Row],[Year]])</f>
        <v>FEBRUARY 24</v>
      </c>
      <c r="J675" s="7" t="s">
        <v>274</v>
      </c>
      <c r="K675" s="7" t="str">
        <f>CONCATENATE(TableAopCalendar[[#This Row],[Month for Plan]]," ",TableAopCalendar[[#This Row],[Plan]])</f>
        <v>FEBRUARY 24 PLANNED</v>
      </c>
    </row>
    <row r="676" spans="1:11" x14ac:dyDescent="0.3">
      <c r="A676" s="4">
        <f t="shared" si="30"/>
        <v>4</v>
      </c>
      <c r="B676" s="5">
        <v>45326</v>
      </c>
      <c r="C676" s="6" t="s">
        <v>272</v>
      </c>
      <c r="D676" s="6">
        <v>24</v>
      </c>
      <c r="E676" s="4">
        <f>DAY(TableAopCalendar[[#This Row],[Date]])</f>
        <v>4</v>
      </c>
      <c r="F676" s="4">
        <f>IF(TableAopCalendar[[#This Row],[Day]]&lt;8,1,IF(TableAopCalendar[[#This Row],[Day]]&lt;15,2,IF(TableAopCalendar[[#This Row],[Day]]&lt;22,3,IF(TableAopCalendar[[#This Row],[Day]]&lt;29,4,IF(TableAopCalendar[[#This Row],[Day]]&lt;32,5)))))</f>
        <v>1</v>
      </c>
      <c r="G676" s="4" t="str">
        <f t="shared" si="31"/>
        <v>Week 1</v>
      </c>
      <c r="H676" s="7" t="str">
        <f t="shared" si="32"/>
        <v>February 24 Week 1</v>
      </c>
      <c r="I676" s="4" t="str">
        <f>CONCATENATE(UPPER(TableAopCalendar[[#This Row],[Month]])," ",TableAopCalendar[[#This Row],[Year]])</f>
        <v>FEBRUARY 24</v>
      </c>
      <c r="J676" s="7" t="s">
        <v>274</v>
      </c>
      <c r="K676" s="7" t="str">
        <f>CONCATENATE(TableAopCalendar[[#This Row],[Month for Plan]]," ",TableAopCalendar[[#This Row],[Plan]])</f>
        <v>FEBRUARY 24 PLANNED</v>
      </c>
    </row>
    <row r="677" spans="1:11" x14ac:dyDescent="0.3">
      <c r="A677" s="4">
        <f t="shared" si="30"/>
        <v>5</v>
      </c>
      <c r="B677" s="5">
        <v>45327</v>
      </c>
      <c r="C677" s="6" t="s">
        <v>272</v>
      </c>
      <c r="D677" s="6">
        <v>24</v>
      </c>
      <c r="E677" s="4">
        <f>DAY(TableAopCalendar[[#This Row],[Date]])</f>
        <v>5</v>
      </c>
      <c r="F677" s="4">
        <f>IF(TableAopCalendar[[#This Row],[Day]]&lt;8,1,IF(TableAopCalendar[[#This Row],[Day]]&lt;15,2,IF(TableAopCalendar[[#This Row],[Day]]&lt;22,3,IF(TableAopCalendar[[#This Row],[Day]]&lt;29,4,IF(TableAopCalendar[[#This Row],[Day]]&lt;32,5)))))</f>
        <v>1</v>
      </c>
      <c r="G677" s="4" t="str">
        <f t="shared" si="31"/>
        <v>Week 1</v>
      </c>
      <c r="H677" s="7" t="str">
        <f t="shared" si="32"/>
        <v>February 24 Week 1</v>
      </c>
      <c r="I677" s="4" t="str">
        <f>CONCATENATE(UPPER(TableAopCalendar[[#This Row],[Month]])," ",TableAopCalendar[[#This Row],[Year]])</f>
        <v>FEBRUARY 24</v>
      </c>
      <c r="J677" s="7" t="s">
        <v>274</v>
      </c>
      <c r="K677" s="7" t="str">
        <f>CONCATENATE(TableAopCalendar[[#This Row],[Month for Plan]]," ",TableAopCalendar[[#This Row],[Plan]])</f>
        <v>FEBRUARY 24 PLANNED</v>
      </c>
    </row>
    <row r="678" spans="1:11" x14ac:dyDescent="0.3">
      <c r="A678" s="4">
        <f t="shared" si="30"/>
        <v>6</v>
      </c>
      <c r="B678" s="5">
        <v>45328</v>
      </c>
      <c r="C678" s="6" t="s">
        <v>272</v>
      </c>
      <c r="D678" s="6">
        <v>24</v>
      </c>
      <c r="E678" s="4">
        <f>DAY(TableAopCalendar[[#This Row],[Date]])</f>
        <v>6</v>
      </c>
      <c r="F678" s="4">
        <f>IF(TableAopCalendar[[#This Row],[Day]]&lt;8,1,IF(TableAopCalendar[[#This Row],[Day]]&lt;15,2,IF(TableAopCalendar[[#This Row],[Day]]&lt;22,3,IF(TableAopCalendar[[#This Row],[Day]]&lt;29,4,IF(TableAopCalendar[[#This Row],[Day]]&lt;32,5)))))</f>
        <v>1</v>
      </c>
      <c r="G678" s="4" t="str">
        <f t="shared" si="31"/>
        <v>Week 1</v>
      </c>
      <c r="H678" s="7" t="str">
        <f t="shared" si="32"/>
        <v>February 24 Week 1</v>
      </c>
      <c r="I678" s="4" t="str">
        <f>CONCATENATE(UPPER(TableAopCalendar[[#This Row],[Month]])," ",TableAopCalendar[[#This Row],[Year]])</f>
        <v>FEBRUARY 24</v>
      </c>
      <c r="J678" s="7" t="s">
        <v>274</v>
      </c>
      <c r="K678" s="7" t="str">
        <f>CONCATENATE(TableAopCalendar[[#This Row],[Month for Plan]]," ",TableAopCalendar[[#This Row],[Plan]])</f>
        <v>FEBRUARY 24 PLANNED</v>
      </c>
    </row>
    <row r="679" spans="1:11" x14ac:dyDescent="0.3">
      <c r="A679" s="4">
        <f t="shared" si="30"/>
        <v>7</v>
      </c>
      <c r="B679" s="5">
        <v>45329</v>
      </c>
      <c r="C679" s="6" t="s">
        <v>272</v>
      </c>
      <c r="D679" s="6">
        <v>24</v>
      </c>
      <c r="E679" s="4">
        <f>DAY(TableAopCalendar[[#This Row],[Date]])</f>
        <v>7</v>
      </c>
      <c r="F679" s="4">
        <f>IF(TableAopCalendar[[#This Row],[Day]]&lt;8,1,IF(TableAopCalendar[[#This Row],[Day]]&lt;15,2,IF(TableAopCalendar[[#This Row],[Day]]&lt;22,3,IF(TableAopCalendar[[#This Row],[Day]]&lt;29,4,IF(TableAopCalendar[[#This Row],[Day]]&lt;32,5)))))</f>
        <v>1</v>
      </c>
      <c r="G679" s="4" t="str">
        <f t="shared" si="31"/>
        <v>Week 1</v>
      </c>
      <c r="H679" s="7" t="str">
        <f t="shared" si="32"/>
        <v>February 24 Week 1</v>
      </c>
      <c r="I679" s="4" t="str">
        <f>CONCATENATE(UPPER(TableAopCalendar[[#This Row],[Month]])," ",TableAopCalendar[[#This Row],[Year]])</f>
        <v>FEBRUARY 24</v>
      </c>
      <c r="J679" s="7" t="s">
        <v>274</v>
      </c>
      <c r="K679" s="7" t="str">
        <f>CONCATENATE(TableAopCalendar[[#This Row],[Month for Plan]]," ",TableAopCalendar[[#This Row],[Plan]])</f>
        <v>FEBRUARY 24 PLANNED</v>
      </c>
    </row>
    <row r="680" spans="1:11" x14ac:dyDescent="0.3">
      <c r="A680" s="4">
        <f t="shared" si="30"/>
        <v>1</v>
      </c>
      <c r="B680" s="5">
        <v>45330</v>
      </c>
      <c r="C680" s="6" t="s">
        <v>272</v>
      </c>
      <c r="D680" s="6">
        <v>24</v>
      </c>
      <c r="E680" s="4">
        <f>DAY(TableAopCalendar[[#This Row],[Date]])</f>
        <v>8</v>
      </c>
      <c r="F680" s="4">
        <f>IF(TableAopCalendar[[#This Row],[Day]]&lt;8,1,IF(TableAopCalendar[[#This Row],[Day]]&lt;15,2,IF(TableAopCalendar[[#This Row],[Day]]&lt;22,3,IF(TableAopCalendar[[#This Row],[Day]]&lt;29,4,IF(TableAopCalendar[[#This Row],[Day]]&lt;32,5)))))</f>
        <v>2</v>
      </c>
      <c r="G680" s="4" t="str">
        <f t="shared" si="31"/>
        <v>Week 2</v>
      </c>
      <c r="H680" s="7" t="str">
        <f t="shared" si="32"/>
        <v>February 24 Week 2</v>
      </c>
      <c r="I680" s="4" t="str">
        <f>CONCATENATE(UPPER(TableAopCalendar[[#This Row],[Month]])," ",TableAopCalendar[[#This Row],[Year]])</f>
        <v>FEBRUARY 24</v>
      </c>
      <c r="J680" s="7" t="s">
        <v>274</v>
      </c>
      <c r="K680" s="7" t="str">
        <f>CONCATENATE(TableAopCalendar[[#This Row],[Month for Plan]]," ",TableAopCalendar[[#This Row],[Plan]])</f>
        <v>FEBRUARY 24 PLANNED</v>
      </c>
    </row>
    <row r="681" spans="1:11" x14ac:dyDescent="0.3">
      <c r="A681" s="4">
        <f t="shared" si="30"/>
        <v>2</v>
      </c>
      <c r="B681" s="5">
        <v>45331</v>
      </c>
      <c r="C681" s="6" t="s">
        <v>272</v>
      </c>
      <c r="D681" s="6">
        <v>24</v>
      </c>
      <c r="E681" s="4">
        <f>DAY(TableAopCalendar[[#This Row],[Date]])</f>
        <v>9</v>
      </c>
      <c r="F681" s="4">
        <f>IF(TableAopCalendar[[#This Row],[Day]]&lt;8,1,IF(TableAopCalendar[[#This Row],[Day]]&lt;15,2,IF(TableAopCalendar[[#This Row],[Day]]&lt;22,3,IF(TableAopCalendar[[#This Row],[Day]]&lt;29,4,IF(TableAopCalendar[[#This Row],[Day]]&lt;32,5)))))</f>
        <v>2</v>
      </c>
      <c r="G681" s="4" t="str">
        <f t="shared" si="31"/>
        <v>Week 2</v>
      </c>
      <c r="H681" s="7" t="str">
        <f t="shared" si="32"/>
        <v>February 24 Week 2</v>
      </c>
      <c r="I681" s="4" t="str">
        <f>CONCATENATE(UPPER(TableAopCalendar[[#This Row],[Month]])," ",TableAopCalendar[[#This Row],[Year]])</f>
        <v>FEBRUARY 24</v>
      </c>
      <c r="J681" s="7" t="s">
        <v>274</v>
      </c>
      <c r="K681" s="7" t="str">
        <f>CONCATENATE(TableAopCalendar[[#This Row],[Month for Plan]]," ",TableAopCalendar[[#This Row],[Plan]])</f>
        <v>FEBRUARY 24 PLANNED</v>
      </c>
    </row>
    <row r="682" spans="1:11" x14ac:dyDescent="0.3">
      <c r="A682" s="4">
        <f t="shared" si="30"/>
        <v>3</v>
      </c>
      <c r="B682" s="5">
        <v>45332</v>
      </c>
      <c r="C682" s="6" t="s">
        <v>272</v>
      </c>
      <c r="D682" s="6">
        <v>24</v>
      </c>
      <c r="E682" s="4">
        <f>DAY(TableAopCalendar[[#This Row],[Date]])</f>
        <v>10</v>
      </c>
      <c r="F682" s="4">
        <f>IF(TableAopCalendar[[#This Row],[Day]]&lt;8,1,IF(TableAopCalendar[[#This Row],[Day]]&lt;15,2,IF(TableAopCalendar[[#This Row],[Day]]&lt;22,3,IF(TableAopCalendar[[#This Row],[Day]]&lt;29,4,IF(TableAopCalendar[[#This Row],[Day]]&lt;32,5)))))</f>
        <v>2</v>
      </c>
      <c r="G682" s="4" t="str">
        <f t="shared" si="31"/>
        <v>Week 2</v>
      </c>
      <c r="H682" s="7" t="str">
        <f t="shared" si="32"/>
        <v>February 24 Week 2</v>
      </c>
      <c r="I682" s="4" t="str">
        <f>CONCATENATE(UPPER(TableAopCalendar[[#This Row],[Month]])," ",TableAopCalendar[[#This Row],[Year]])</f>
        <v>FEBRUARY 24</v>
      </c>
      <c r="J682" s="7" t="s">
        <v>274</v>
      </c>
      <c r="K682" s="7" t="str">
        <f>CONCATENATE(TableAopCalendar[[#This Row],[Month for Plan]]," ",TableAopCalendar[[#This Row],[Plan]])</f>
        <v>FEBRUARY 24 PLANNED</v>
      </c>
    </row>
    <row r="683" spans="1:11" x14ac:dyDescent="0.3">
      <c r="A683" s="4">
        <f t="shared" si="30"/>
        <v>4</v>
      </c>
      <c r="B683" s="5">
        <v>45333</v>
      </c>
      <c r="C683" s="6" t="s">
        <v>272</v>
      </c>
      <c r="D683" s="6">
        <v>24</v>
      </c>
      <c r="E683" s="4">
        <f>DAY(TableAopCalendar[[#This Row],[Date]])</f>
        <v>11</v>
      </c>
      <c r="F683" s="4">
        <f>IF(TableAopCalendar[[#This Row],[Day]]&lt;8,1,IF(TableAopCalendar[[#This Row],[Day]]&lt;15,2,IF(TableAopCalendar[[#This Row],[Day]]&lt;22,3,IF(TableAopCalendar[[#This Row],[Day]]&lt;29,4,IF(TableAopCalendar[[#This Row],[Day]]&lt;32,5)))))</f>
        <v>2</v>
      </c>
      <c r="G683" s="4" t="str">
        <f t="shared" si="31"/>
        <v>Week 2</v>
      </c>
      <c r="H683" s="7" t="str">
        <f t="shared" si="32"/>
        <v>February 24 Week 2</v>
      </c>
      <c r="I683" s="4" t="str">
        <f>CONCATENATE(UPPER(TableAopCalendar[[#This Row],[Month]])," ",TableAopCalendar[[#This Row],[Year]])</f>
        <v>FEBRUARY 24</v>
      </c>
      <c r="J683" s="7" t="s">
        <v>274</v>
      </c>
      <c r="K683" s="7" t="str">
        <f>CONCATENATE(TableAopCalendar[[#This Row],[Month for Plan]]," ",TableAopCalendar[[#This Row],[Plan]])</f>
        <v>FEBRUARY 24 PLANNED</v>
      </c>
    </row>
    <row r="684" spans="1:11" x14ac:dyDescent="0.3">
      <c r="A684" s="4">
        <f t="shared" si="30"/>
        <v>5</v>
      </c>
      <c r="B684" s="5">
        <v>45334</v>
      </c>
      <c r="C684" s="6" t="s">
        <v>272</v>
      </c>
      <c r="D684" s="6">
        <v>24</v>
      </c>
      <c r="E684" s="4">
        <f>DAY(TableAopCalendar[[#This Row],[Date]])</f>
        <v>12</v>
      </c>
      <c r="F684" s="4">
        <f>IF(TableAopCalendar[[#This Row],[Day]]&lt;8,1,IF(TableAopCalendar[[#This Row],[Day]]&lt;15,2,IF(TableAopCalendar[[#This Row],[Day]]&lt;22,3,IF(TableAopCalendar[[#This Row],[Day]]&lt;29,4,IF(TableAopCalendar[[#This Row],[Day]]&lt;32,5)))))</f>
        <v>2</v>
      </c>
      <c r="G684" s="4" t="str">
        <f t="shared" si="31"/>
        <v>Week 2</v>
      </c>
      <c r="H684" s="7" t="str">
        <f t="shared" si="32"/>
        <v>February 24 Week 2</v>
      </c>
      <c r="I684" s="4" t="str">
        <f>CONCATENATE(UPPER(TableAopCalendar[[#This Row],[Month]])," ",TableAopCalendar[[#This Row],[Year]])</f>
        <v>FEBRUARY 24</v>
      </c>
      <c r="J684" s="7" t="s">
        <v>274</v>
      </c>
      <c r="K684" s="7" t="str">
        <f>CONCATENATE(TableAopCalendar[[#This Row],[Month for Plan]]," ",TableAopCalendar[[#This Row],[Plan]])</f>
        <v>FEBRUARY 24 PLANNED</v>
      </c>
    </row>
    <row r="685" spans="1:11" x14ac:dyDescent="0.3">
      <c r="A685" s="4">
        <f t="shared" si="30"/>
        <v>6</v>
      </c>
      <c r="B685" s="5">
        <v>45335</v>
      </c>
      <c r="C685" s="6" t="s">
        <v>272</v>
      </c>
      <c r="D685" s="6">
        <v>24</v>
      </c>
      <c r="E685" s="4">
        <f>DAY(TableAopCalendar[[#This Row],[Date]])</f>
        <v>13</v>
      </c>
      <c r="F685" s="4">
        <f>IF(TableAopCalendar[[#This Row],[Day]]&lt;8,1,IF(TableAopCalendar[[#This Row],[Day]]&lt;15,2,IF(TableAopCalendar[[#This Row],[Day]]&lt;22,3,IF(TableAopCalendar[[#This Row],[Day]]&lt;29,4,IF(TableAopCalendar[[#This Row],[Day]]&lt;32,5)))))</f>
        <v>2</v>
      </c>
      <c r="G685" s="4" t="str">
        <f t="shared" si="31"/>
        <v>Week 2</v>
      </c>
      <c r="H685" s="7" t="str">
        <f t="shared" si="32"/>
        <v>February 24 Week 2</v>
      </c>
      <c r="I685" s="4" t="str">
        <f>CONCATENATE(UPPER(TableAopCalendar[[#This Row],[Month]])," ",TableAopCalendar[[#This Row],[Year]])</f>
        <v>FEBRUARY 24</v>
      </c>
      <c r="J685" s="7" t="s">
        <v>274</v>
      </c>
      <c r="K685" s="7" t="str">
        <f>CONCATENATE(TableAopCalendar[[#This Row],[Month for Plan]]," ",TableAopCalendar[[#This Row],[Plan]])</f>
        <v>FEBRUARY 24 PLANNED</v>
      </c>
    </row>
    <row r="686" spans="1:11" x14ac:dyDescent="0.3">
      <c r="A686" s="4">
        <f t="shared" si="30"/>
        <v>7</v>
      </c>
      <c r="B686" s="5">
        <v>45336</v>
      </c>
      <c r="C686" s="6" t="s">
        <v>272</v>
      </c>
      <c r="D686" s="6">
        <v>24</v>
      </c>
      <c r="E686" s="4">
        <f>DAY(TableAopCalendar[[#This Row],[Date]])</f>
        <v>14</v>
      </c>
      <c r="F686" s="4">
        <f>IF(TableAopCalendar[[#This Row],[Day]]&lt;8,1,IF(TableAopCalendar[[#This Row],[Day]]&lt;15,2,IF(TableAopCalendar[[#This Row],[Day]]&lt;22,3,IF(TableAopCalendar[[#This Row],[Day]]&lt;29,4,IF(TableAopCalendar[[#This Row],[Day]]&lt;32,5)))))</f>
        <v>2</v>
      </c>
      <c r="G686" s="4" t="str">
        <f t="shared" si="31"/>
        <v>Week 2</v>
      </c>
      <c r="H686" s="7" t="str">
        <f t="shared" si="32"/>
        <v>February 24 Week 2</v>
      </c>
      <c r="I686" s="4" t="str">
        <f>CONCATENATE(UPPER(TableAopCalendar[[#This Row],[Month]])," ",TableAopCalendar[[#This Row],[Year]])</f>
        <v>FEBRUARY 24</v>
      </c>
      <c r="J686" s="7" t="s">
        <v>274</v>
      </c>
      <c r="K686" s="7" t="str">
        <f>CONCATENATE(TableAopCalendar[[#This Row],[Month for Plan]]," ",TableAopCalendar[[#This Row],[Plan]])</f>
        <v>FEBRUARY 24 PLANNED</v>
      </c>
    </row>
    <row r="687" spans="1:11" x14ac:dyDescent="0.3">
      <c r="A687" s="4">
        <f t="shared" si="30"/>
        <v>1</v>
      </c>
      <c r="B687" s="5">
        <v>45337</v>
      </c>
      <c r="C687" s="6" t="s">
        <v>272</v>
      </c>
      <c r="D687" s="6">
        <v>24</v>
      </c>
      <c r="E687" s="4">
        <f>DAY(TableAopCalendar[[#This Row],[Date]])</f>
        <v>15</v>
      </c>
      <c r="F687" s="4">
        <f>IF(TableAopCalendar[[#This Row],[Day]]&lt;8,1,IF(TableAopCalendar[[#This Row],[Day]]&lt;15,2,IF(TableAopCalendar[[#This Row],[Day]]&lt;22,3,IF(TableAopCalendar[[#This Row],[Day]]&lt;29,4,IF(TableAopCalendar[[#This Row],[Day]]&lt;32,5)))))</f>
        <v>3</v>
      </c>
      <c r="G687" s="4" t="str">
        <f t="shared" si="31"/>
        <v>Week 3</v>
      </c>
      <c r="H687" s="7" t="str">
        <f t="shared" si="32"/>
        <v>February 24 Week 3</v>
      </c>
      <c r="I687" s="4" t="str">
        <f>CONCATENATE(UPPER(TableAopCalendar[[#This Row],[Month]])," ",TableAopCalendar[[#This Row],[Year]])</f>
        <v>FEBRUARY 24</v>
      </c>
      <c r="J687" s="7" t="s">
        <v>274</v>
      </c>
      <c r="K687" s="7" t="str">
        <f>CONCATENATE(TableAopCalendar[[#This Row],[Month for Plan]]," ",TableAopCalendar[[#This Row],[Plan]])</f>
        <v>FEBRUARY 24 PLANNED</v>
      </c>
    </row>
    <row r="688" spans="1:11" x14ac:dyDescent="0.3">
      <c r="A688" s="4">
        <f t="shared" si="30"/>
        <v>2</v>
      </c>
      <c r="B688" s="5">
        <v>45338</v>
      </c>
      <c r="C688" s="6" t="s">
        <v>272</v>
      </c>
      <c r="D688" s="6">
        <v>24</v>
      </c>
      <c r="E688" s="4">
        <f>DAY(TableAopCalendar[[#This Row],[Date]])</f>
        <v>16</v>
      </c>
      <c r="F688" s="4">
        <f>IF(TableAopCalendar[[#This Row],[Day]]&lt;8,1,IF(TableAopCalendar[[#This Row],[Day]]&lt;15,2,IF(TableAopCalendar[[#This Row],[Day]]&lt;22,3,IF(TableAopCalendar[[#This Row],[Day]]&lt;29,4,IF(TableAopCalendar[[#This Row],[Day]]&lt;32,5)))))</f>
        <v>3</v>
      </c>
      <c r="G688" s="4" t="str">
        <f t="shared" si="31"/>
        <v>Week 3</v>
      </c>
      <c r="H688" s="7" t="str">
        <f t="shared" si="32"/>
        <v>February 24 Week 3</v>
      </c>
      <c r="I688" s="4" t="str">
        <f>CONCATENATE(UPPER(TableAopCalendar[[#This Row],[Month]])," ",TableAopCalendar[[#This Row],[Year]])</f>
        <v>FEBRUARY 24</v>
      </c>
      <c r="J688" s="7" t="s">
        <v>274</v>
      </c>
      <c r="K688" s="7" t="str">
        <f>CONCATENATE(TableAopCalendar[[#This Row],[Month for Plan]]," ",TableAopCalendar[[#This Row],[Plan]])</f>
        <v>FEBRUARY 24 PLANNED</v>
      </c>
    </row>
    <row r="689" spans="1:11" x14ac:dyDescent="0.3">
      <c r="A689" s="4">
        <f t="shared" si="30"/>
        <v>3</v>
      </c>
      <c r="B689" s="5">
        <v>45339</v>
      </c>
      <c r="C689" s="6" t="s">
        <v>272</v>
      </c>
      <c r="D689" s="6">
        <v>24</v>
      </c>
      <c r="E689" s="4">
        <f>DAY(TableAopCalendar[[#This Row],[Date]])</f>
        <v>17</v>
      </c>
      <c r="F689" s="4">
        <f>IF(TableAopCalendar[[#This Row],[Day]]&lt;8,1,IF(TableAopCalendar[[#This Row],[Day]]&lt;15,2,IF(TableAopCalendar[[#This Row],[Day]]&lt;22,3,IF(TableAopCalendar[[#This Row],[Day]]&lt;29,4,IF(TableAopCalendar[[#This Row],[Day]]&lt;32,5)))))</f>
        <v>3</v>
      </c>
      <c r="G689" s="4" t="str">
        <f t="shared" si="31"/>
        <v>Week 3</v>
      </c>
      <c r="H689" s="7" t="str">
        <f t="shared" si="32"/>
        <v>February 24 Week 3</v>
      </c>
      <c r="I689" s="4" t="str">
        <f>CONCATENATE(UPPER(TableAopCalendar[[#This Row],[Month]])," ",TableAopCalendar[[#This Row],[Year]])</f>
        <v>FEBRUARY 24</v>
      </c>
      <c r="J689" s="7" t="s">
        <v>274</v>
      </c>
      <c r="K689" s="7" t="str">
        <f>CONCATENATE(TableAopCalendar[[#This Row],[Month for Plan]]," ",TableAopCalendar[[#This Row],[Plan]])</f>
        <v>FEBRUARY 24 PLANNED</v>
      </c>
    </row>
    <row r="690" spans="1:11" x14ac:dyDescent="0.3">
      <c r="A690" s="4">
        <f t="shared" si="30"/>
        <v>4</v>
      </c>
      <c r="B690" s="5">
        <v>45340</v>
      </c>
      <c r="C690" s="6" t="s">
        <v>272</v>
      </c>
      <c r="D690" s="6">
        <v>24</v>
      </c>
      <c r="E690" s="4">
        <f>DAY(TableAopCalendar[[#This Row],[Date]])</f>
        <v>18</v>
      </c>
      <c r="F690" s="4">
        <f>IF(TableAopCalendar[[#This Row],[Day]]&lt;8,1,IF(TableAopCalendar[[#This Row],[Day]]&lt;15,2,IF(TableAopCalendar[[#This Row],[Day]]&lt;22,3,IF(TableAopCalendar[[#This Row],[Day]]&lt;29,4,IF(TableAopCalendar[[#This Row],[Day]]&lt;32,5)))))</f>
        <v>3</v>
      </c>
      <c r="G690" s="4" t="str">
        <f t="shared" si="31"/>
        <v>Week 3</v>
      </c>
      <c r="H690" s="7" t="str">
        <f t="shared" si="32"/>
        <v>February 24 Week 3</v>
      </c>
      <c r="I690" s="4" t="str">
        <f>CONCATENATE(UPPER(TableAopCalendar[[#This Row],[Month]])," ",TableAopCalendar[[#This Row],[Year]])</f>
        <v>FEBRUARY 24</v>
      </c>
      <c r="J690" s="7" t="s">
        <v>274</v>
      </c>
      <c r="K690" s="7" t="str">
        <f>CONCATENATE(TableAopCalendar[[#This Row],[Month for Plan]]," ",TableAopCalendar[[#This Row],[Plan]])</f>
        <v>FEBRUARY 24 PLANNED</v>
      </c>
    </row>
    <row r="691" spans="1:11" x14ac:dyDescent="0.3">
      <c r="A691" s="4">
        <f t="shared" si="30"/>
        <v>5</v>
      </c>
      <c r="B691" s="5">
        <v>45341</v>
      </c>
      <c r="C691" s="6" t="s">
        <v>272</v>
      </c>
      <c r="D691" s="6">
        <v>24</v>
      </c>
      <c r="E691" s="4">
        <f>DAY(TableAopCalendar[[#This Row],[Date]])</f>
        <v>19</v>
      </c>
      <c r="F691" s="4">
        <f>IF(TableAopCalendar[[#This Row],[Day]]&lt;8,1,IF(TableAopCalendar[[#This Row],[Day]]&lt;15,2,IF(TableAopCalendar[[#This Row],[Day]]&lt;22,3,IF(TableAopCalendar[[#This Row],[Day]]&lt;29,4,IF(TableAopCalendar[[#This Row],[Day]]&lt;32,5)))))</f>
        <v>3</v>
      </c>
      <c r="G691" s="4" t="str">
        <f t="shared" si="31"/>
        <v>Week 3</v>
      </c>
      <c r="H691" s="7" t="str">
        <f t="shared" si="32"/>
        <v>February 24 Week 3</v>
      </c>
      <c r="I691" s="4" t="str">
        <f>CONCATENATE(UPPER(TableAopCalendar[[#This Row],[Month]])," ",TableAopCalendar[[#This Row],[Year]])</f>
        <v>FEBRUARY 24</v>
      </c>
      <c r="J691" s="7" t="s">
        <v>274</v>
      </c>
      <c r="K691" s="7" t="str">
        <f>CONCATENATE(TableAopCalendar[[#This Row],[Month for Plan]]," ",TableAopCalendar[[#This Row],[Plan]])</f>
        <v>FEBRUARY 24 PLANNED</v>
      </c>
    </row>
    <row r="692" spans="1:11" x14ac:dyDescent="0.3">
      <c r="A692" s="4">
        <f t="shared" si="30"/>
        <v>6</v>
      </c>
      <c r="B692" s="5">
        <v>45342</v>
      </c>
      <c r="C692" s="6" t="s">
        <v>272</v>
      </c>
      <c r="D692" s="6">
        <v>24</v>
      </c>
      <c r="E692" s="4">
        <f>DAY(TableAopCalendar[[#This Row],[Date]])</f>
        <v>20</v>
      </c>
      <c r="F692" s="4">
        <f>IF(TableAopCalendar[[#This Row],[Day]]&lt;8,1,IF(TableAopCalendar[[#This Row],[Day]]&lt;15,2,IF(TableAopCalendar[[#This Row],[Day]]&lt;22,3,IF(TableAopCalendar[[#This Row],[Day]]&lt;29,4,IF(TableAopCalendar[[#This Row],[Day]]&lt;32,5)))))</f>
        <v>3</v>
      </c>
      <c r="G692" s="4" t="str">
        <f t="shared" si="31"/>
        <v>Week 3</v>
      </c>
      <c r="H692" s="7" t="str">
        <f t="shared" si="32"/>
        <v>February 24 Week 3</v>
      </c>
      <c r="I692" s="4" t="str">
        <f>CONCATENATE(UPPER(TableAopCalendar[[#This Row],[Month]])," ",TableAopCalendar[[#This Row],[Year]])</f>
        <v>FEBRUARY 24</v>
      </c>
      <c r="J692" s="7" t="s">
        <v>274</v>
      </c>
      <c r="K692" s="7" t="str">
        <f>CONCATENATE(TableAopCalendar[[#This Row],[Month for Plan]]," ",TableAopCalendar[[#This Row],[Plan]])</f>
        <v>FEBRUARY 24 PLANNED</v>
      </c>
    </row>
    <row r="693" spans="1:11" x14ac:dyDescent="0.3">
      <c r="A693" s="4">
        <f t="shared" si="30"/>
        <v>7</v>
      </c>
      <c r="B693" s="5">
        <v>45343</v>
      </c>
      <c r="C693" s="6" t="s">
        <v>272</v>
      </c>
      <c r="D693" s="6">
        <v>24</v>
      </c>
      <c r="E693" s="4">
        <f>DAY(TableAopCalendar[[#This Row],[Date]])</f>
        <v>21</v>
      </c>
      <c r="F693" s="4">
        <f>IF(TableAopCalendar[[#This Row],[Day]]&lt;8,1,IF(TableAopCalendar[[#This Row],[Day]]&lt;15,2,IF(TableAopCalendar[[#This Row],[Day]]&lt;22,3,IF(TableAopCalendar[[#This Row],[Day]]&lt;29,4,IF(TableAopCalendar[[#This Row],[Day]]&lt;32,5)))))</f>
        <v>3</v>
      </c>
      <c r="G693" s="4" t="str">
        <f t="shared" si="31"/>
        <v>Week 3</v>
      </c>
      <c r="H693" s="7" t="str">
        <f t="shared" si="32"/>
        <v>February 24 Week 3</v>
      </c>
      <c r="I693" s="4" t="str">
        <f>CONCATENATE(UPPER(TableAopCalendar[[#This Row],[Month]])," ",TableAopCalendar[[#This Row],[Year]])</f>
        <v>FEBRUARY 24</v>
      </c>
      <c r="J693" s="7" t="s">
        <v>274</v>
      </c>
      <c r="K693" s="7" t="str">
        <f>CONCATENATE(TableAopCalendar[[#This Row],[Month for Plan]]," ",TableAopCalendar[[#This Row],[Plan]])</f>
        <v>FEBRUARY 24 PLANNED</v>
      </c>
    </row>
    <row r="694" spans="1:11" x14ac:dyDescent="0.3">
      <c r="A694" s="4">
        <f t="shared" si="30"/>
        <v>1</v>
      </c>
      <c r="B694" s="5">
        <v>45344</v>
      </c>
      <c r="C694" s="6" t="s">
        <v>272</v>
      </c>
      <c r="D694" s="6">
        <v>24</v>
      </c>
      <c r="E694" s="4">
        <f>DAY(TableAopCalendar[[#This Row],[Date]])</f>
        <v>22</v>
      </c>
      <c r="F694" s="4">
        <f>IF(TableAopCalendar[[#This Row],[Day]]&lt;8,1,IF(TableAopCalendar[[#This Row],[Day]]&lt;15,2,IF(TableAopCalendar[[#This Row],[Day]]&lt;22,3,IF(TableAopCalendar[[#This Row],[Day]]&lt;29,4,IF(TableAopCalendar[[#This Row],[Day]]&lt;32,5)))))</f>
        <v>4</v>
      </c>
      <c r="G694" s="4" t="str">
        <f t="shared" si="31"/>
        <v>Week 4</v>
      </c>
      <c r="H694" s="7" t="str">
        <f t="shared" si="32"/>
        <v>February 24 Week 4</v>
      </c>
      <c r="I694" s="4" t="str">
        <f>CONCATENATE(UPPER(TableAopCalendar[[#This Row],[Month]])," ",TableAopCalendar[[#This Row],[Year]])</f>
        <v>FEBRUARY 24</v>
      </c>
      <c r="J694" s="7" t="s">
        <v>274</v>
      </c>
      <c r="K694" s="7" t="str">
        <f>CONCATENATE(TableAopCalendar[[#This Row],[Month for Plan]]," ",TableAopCalendar[[#This Row],[Plan]])</f>
        <v>FEBRUARY 24 PLANNED</v>
      </c>
    </row>
    <row r="695" spans="1:11" x14ac:dyDescent="0.3">
      <c r="A695" s="4">
        <f t="shared" si="30"/>
        <v>2</v>
      </c>
      <c r="B695" s="5">
        <v>45345</v>
      </c>
      <c r="C695" s="6" t="s">
        <v>272</v>
      </c>
      <c r="D695" s="6">
        <v>24</v>
      </c>
      <c r="E695" s="4">
        <f>DAY(TableAopCalendar[[#This Row],[Date]])</f>
        <v>23</v>
      </c>
      <c r="F695" s="4">
        <f>IF(TableAopCalendar[[#This Row],[Day]]&lt;8,1,IF(TableAopCalendar[[#This Row],[Day]]&lt;15,2,IF(TableAopCalendar[[#This Row],[Day]]&lt;22,3,IF(TableAopCalendar[[#This Row],[Day]]&lt;29,4,IF(TableAopCalendar[[#This Row],[Day]]&lt;32,5)))))</f>
        <v>4</v>
      </c>
      <c r="G695" s="4" t="str">
        <f t="shared" si="31"/>
        <v>Week 4</v>
      </c>
      <c r="H695" s="7" t="str">
        <f t="shared" si="32"/>
        <v>February 24 Week 4</v>
      </c>
      <c r="I695" s="4" t="str">
        <f>CONCATENATE(UPPER(TableAopCalendar[[#This Row],[Month]])," ",TableAopCalendar[[#This Row],[Year]])</f>
        <v>FEBRUARY 24</v>
      </c>
      <c r="J695" s="7" t="s">
        <v>274</v>
      </c>
      <c r="K695" s="7" t="str">
        <f>CONCATENATE(TableAopCalendar[[#This Row],[Month for Plan]]," ",TableAopCalendar[[#This Row],[Plan]])</f>
        <v>FEBRUARY 24 PLANNED</v>
      </c>
    </row>
    <row r="696" spans="1:11" x14ac:dyDescent="0.3">
      <c r="A696" s="4">
        <f t="shared" si="30"/>
        <v>3</v>
      </c>
      <c r="B696" s="5">
        <v>45346</v>
      </c>
      <c r="C696" s="6" t="s">
        <v>272</v>
      </c>
      <c r="D696" s="6">
        <v>24</v>
      </c>
      <c r="E696" s="4">
        <f>DAY(TableAopCalendar[[#This Row],[Date]])</f>
        <v>24</v>
      </c>
      <c r="F696" s="4">
        <f>IF(TableAopCalendar[[#This Row],[Day]]&lt;8,1,IF(TableAopCalendar[[#This Row],[Day]]&lt;15,2,IF(TableAopCalendar[[#This Row],[Day]]&lt;22,3,IF(TableAopCalendar[[#This Row],[Day]]&lt;29,4,IF(TableAopCalendar[[#This Row],[Day]]&lt;32,5)))))</f>
        <v>4</v>
      </c>
      <c r="G696" s="4" t="str">
        <f t="shared" si="31"/>
        <v>Week 4</v>
      </c>
      <c r="H696" s="7" t="str">
        <f t="shared" si="32"/>
        <v>February 24 Week 4</v>
      </c>
      <c r="I696" s="4" t="str">
        <f>CONCATENATE(UPPER(TableAopCalendar[[#This Row],[Month]])," ",TableAopCalendar[[#This Row],[Year]])</f>
        <v>FEBRUARY 24</v>
      </c>
      <c r="J696" s="7" t="s">
        <v>274</v>
      </c>
      <c r="K696" s="7" t="str">
        <f>CONCATENATE(TableAopCalendar[[#This Row],[Month for Plan]]," ",TableAopCalendar[[#This Row],[Plan]])</f>
        <v>FEBRUARY 24 PLANNED</v>
      </c>
    </row>
    <row r="697" spans="1:11" x14ac:dyDescent="0.3">
      <c r="A697" s="4">
        <f t="shared" si="30"/>
        <v>4</v>
      </c>
      <c r="B697" s="5">
        <v>45347</v>
      </c>
      <c r="C697" s="6" t="s">
        <v>272</v>
      </c>
      <c r="D697" s="6">
        <v>24</v>
      </c>
      <c r="E697" s="4">
        <f>DAY(TableAopCalendar[[#This Row],[Date]])</f>
        <v>25</v>
      </c>
      <c r="F697" s="4">
        <f>IF(TableAopCalendar[[#This Row],[Day]]&lt;8,1,IF(TableAopCalendar[[#This Row],[Day]]&lt;15,2,IF(TableAopCalendar[[#This Row],[Day]]&lt;22,3,IF(TableAopCalendar[[#This Row],[Day]]&lt;29,4,IF(TableAopCalendar[[#This Row],[Day]]&lt;32,5)))))</f>
        <v>4</v>
      </c>
      <c r="G697" s="4" t="str">
        <f t="shared" si="31"/>
        <v>Week 4</v>
      </c>
      <c r="H697" s="7" t="str">
        <f t="shared" si="32"/>
        <v>February 24 Week 4</v>
      </c>
      <c r="I697" s="4" t="str">
        <f>CONCATENATE(UPPER(TableAopCalendar[[#This Row],[Month]])," ",TableAopCalendar[[#This Row],[Year]])</f>
        <v>FEBRUARY 24</v>
      </c>
      <c r="J697" s="7" t="s">
        <v>274</v>
      </c>
      <c r="K697" s="7" t="str">
        <f>CONCATENATE(TableAopCalendar[[#This Row],[Month for Plan]]," ",TableAopCalendar[[#This Row],[Plan]])</f>
        <v>FEBRUARY 24 PLANNED</v>
      </c>
    </row>
    <row r="698" spans="1:11" x14ac:dyDescent="0.3">
      <c r="A698" s="4">
        <f t="shared" si="30"/>
        <v>5</v>
      </c>
      <c r="B698" s="5">
        <v>45348</v>
      </c>
      <c r="C698" s="6" t="s">
        <v>272</v>
      </c>
      <c r="D698" s="6">
        <v>24</v>
      </c>
      <c r="E698" s="4">
        <f>DAY(TableAopCalendar[[#This Row],[Date]])</f>
        <v>26</v>
      </c>
      <c r="F698" s="4">
        <f>IF(TableAopCalendar[[#This Row],[Day]]&lt;8,1,IF(TableAopCalendar[[#This Row],[Day]]&lt;15,2,IF(TableAopCalendar[[#This Row],[Day]]&lt;22,3,IF(TableAopCalendar[[#This Row],[Day]]&lt;29,4,IF(TableAopCalendar[[#This Row],[Day]]&lt;32,5)))))</f>
        <v>4</v>
      </c>
      <c r="G698" s="4" t="str">
        <f t="shared" si="31"/>
        <v>Week 4</v>
      </c>
      <c r="H698" s="7" t="str">
        <f t="shared" si="32"/>
        <v>February 24 Week 4</v>
      </c>
      <c r="I698" s="4" t="str">
        <f>CONCATENATE(UPPER(TableAopCalendar[[#This Row],[Month]])," ",TableAopCalendar[[#This Row],[Year]])</f>
        <v>FEBRUARY 24</v>
      </c>
      <c r="J698" s="7" t="s">
        <v>274</v>
      </c>
      <c r="K698" s="7" t="str">
        <f>CONCATENATE(TableAopCalendar[[#This Row],[Month for Plan]]," ",TableAopCalendar[[#This Row],[Plan]])</f>
        <v>FEBRUARY 24 PLANNED</v>
      </c>
    </row>
    <row r="699" spans="1:11" x14ac:dyDescent="0.3">
      <c r="A699" s="4">
        <f t="shared" si="30"/>
        <v>6</v>
      </c>
      <c r="B699" s="5">
        <v>45349</v>
      </c>
      <c r="C699" s="6" t="s">
        <v>272</v>
      </c>
      <c r="D699" s="6">
        <v>24</v>
      </c>
      <c r="E699" s="4">
        <f>DAY(TableAopCalendar[[#This Row],[Date]])</f>
        <v>27</v>
      </c>
      <c r="F699" s="4">
        <f>IF(TableAopCalendar[[#This Row],[Day]]&lt;8,1,IF(TableAopCalendar[[#This Row],[Day]]&lt;15,2,IF(TableAopCalendar[[#This Row],[Day]]&lt;22,3,IF(TableAopCalendar[[#This Row],[Day]]&lt;29,4,IF(TableAopCalendar[[#This Row],[Day]]&lt;32,5)))))</f>
        <v>4</v>
      </c>
      <c r="G699" s="4" t="str">
        <f t="shared" si="31"/>
        <v>Week 4</v>
      </c>
      <c r="H699" s="7" t="str">
        <f t="shared" si="32"/>
        <v>February 24 Week 4</v>
      </c>
      <c r="I699" s="4" t="str">
        <f>CONCATENATE(UPPER(TableAopCalendar[[#This Row],[Month]])," ",TableAopCalendar[[#This Row],[Year]])</f>
        <v>FEBRUARY 24</v>
      </c>
      <c r="J699" s="7" t="s">
        <v>274</v>
      </c>
      <c r="K699" s="7" t="str">
        <f>CONCATENATE(TableAopCalendar[[#This Row],[Month for Plan]]," ",TableAopCalendar[[#This Row],[Plan]])</f>
        <v>FEBRUARY 24 PLANNED</v>
      </c>
    </row>
    <row r="700" spans="1:11" x14ac:dyDescent="0.3">
      <c r="A700" s="4">
        <f t="shared" si="30"/>
        <v>7</v>
      </c>
      <c r="B700" s="5">
        <v>45350</v>
      </c>
      <c r="C700" s="6" t="s">
        <v>272</v>
      </c>
      <c r="D700" s="6">
        <v>24</v>
      </c>
      <c r="E700" s="4">
        <f>DAY(TableAopCalendar[[#This Row],[Date]])</f>
        <v>28</v>
      </c>
      <c r="F700" s="4">
        <f>IF(TableAopCalendar[[#This Row],[Day]]&lt;8,1,IF(TableAopCalendar[[#This Row],[Day]]&lt;15,2,IF(TableAopCalendar[[#This Row],[Day]]&lt;22,3,IF(TableAopCalendar[[#This Row],[Day]]&lt;29,4,IF(TableAopCalendar[[#This Row],[Day]]&lt;32,5)))))</f>
        <v>4</v>
      </c>
      <c r="G700" s="4" t="str">
        <f t="shared" si="31"/>
        <v>Week 4</v>
      </c>
      <c r="H700" s="7" t="str">
        <f t="shared" si="32"/>
        <v>February 24 Week 4</v>
      </c>
      <c r="I700" s="4" t="str">
        <f>CONCATENATE(UPPER(TableAopCalendar[[#This Row],[Month]])," ",TableAopCalendar[[#This Row],[Year]])</f>
        <v>FEBRUARY 24</v>
      </c>
      <c r="J700" s="7" t="s">
        <v>274</v>
      </c>
      <c r="K700" s="7" t="str">
        <f>CONCATENATE(TableAopCalendar[[#This Row],[Month for Plan]]," ",TableAopCalendar[[#This Row],[Plan]])</f>
        <v>FEBRUARY 24 PLANNED</v>
      </c>
    </row>
    <row r="701" spans="1:11" x14ac:dyDescent="0.3">
      <c r="A701" s="4">
        <f t="shared" si="30"/>
        <v>1</v>
      </c>
      <c r="B701" s="5">
        <v>45351</v>
      </c>
      <c r="C701" s="6" t="s">
        <v>272</v>
      </c>
      <c r="D701" s="6">
        <v>24</v>
      </c>
      <c r="E701" s="4">
        <f>DAY(TableAopCalendar[[#This Row],[Date]])</f>
        <v>29</v>
      </c>
      <c r="F701" s="4">
        <f>IF(TableAopCalendar[[#This Row],[Day]]&lt;8,1,IF(TableAopCalendar[[#This Row],[Day]]&lt;15,2,IF(TableAopCalendar[[#This Row],[Day]]&lt;22,3,IF(TableAopCalendar[[#This Row],[Day]]&lt;29,4,IF(TableAopCalendar[[#This Row],[Day]]&lt;32,5)))))</f>
        <v>5</v>
      </c>
      <c r="G701" s="4" t="str">
        <f t="shared" si="31"/>
        <v>Week 5</v>
      </c>
      <c r="H701" s="7" t="str">
        <f t="shared" si="32"/>
        <v>February 24 Week 5</v>
      </c>
      <c r="I701" s="4" t="str">
        <f>CONCATENATE(UPPER(TableAopCalendar[[#This Row],[Month]])," ",TableAopCalendar[[#This Row],[Year]])</f>
        <v>FEBRUARY 24</v>
      </c>
      <c r="J701" s="7" t="s">
        <v>274</v>
      </c>
      <c r="K701" s="7" t="str">
        <f>CONCATENATE(TableAopCalendar[[#This Row],[Month for Plan]]," ",TableAopCalendar[[#This Row],[Plan]])</f>
        <v>FEBRUARY 24 PLANNED</v>
      </c>
    </row>
    <row r="702" spans="1:11" x14ac:dyDescent="0.3">
      <c r="A702" s="4">
        <f t="shared" si="30"/>
        <v>1</v>
      </c>
      <c r="B702" s="5">
        <v>45352</v>
      </c>
      <c r="C702" s="6" t="s">
        <v>273</v>
      </c>
      <c r="D702" s="6">
        <v>24</v>
      </c>
      <c r="E702" s="4">
        <f>DAY(TableAopCalendar[[#This Row],[Date]])</f>
        <v>1</v>
      </c>
      <c r="F702" s="4">
        <f>IF(TableAopCalendar[[#This Row],[Day]]&lt;8,1,IF(TableAopCalendar[[#This Row],[Day]]&lt;15,2,IF(TableAopCalendar[[#This Row],[Day]]&lt;22,3,IF(TableAopCalendar[[#This Row],[Day]]&lt;29,4,IF(TableAopCalendar[[#This Row],[Day]]&lt;32,5)))))</f>
        <v>1</v>
      </c>
      <c r="G702" s="4" t="str">
        <f t="shared" si="31"/>
        <v>Week 1</v>
      </c>
      <c r="H702" s="7" t="str">
        <f t="shared" si="32"/>
        <v>March 24 Week 1</v>
      </c>
      <c r="I702" s="4" t="str">
        <f>CONCATENATE(UPPER(TableAopCalendar[[#This Row],[Month]])," ",TableAopCalendar[[#This Row],[Year]])</f>
        <v>MARCH 24</v>
      </c>
      <c r="J702" s="7" t="s">
        <v>274</v>
      </c>
      <c r="K702" s="7" t="str">
        <f>CONCATENATE(TableAopCalendar[[#This Row],[Month for Plan]]," ",TableAopCalendar[[#This Row],[Plan]])</f>
        <v>MARCH 24 PLANNED</v>
      </c>
    </row>
    <row r="703" spans="1:11" x14ac:dyDescent="0.3">
      <c r="A703" s="4">
        <f t="shared" si="30"/>
        <v>2</v>
      </c>
      <c r="B703" s="5">
        <v>45353</v>
      </c>
      <c r="C703" s="6" t="s">
        <v>273</v>
      </c>
      <c r="D703" s="6">
        <v>24</v>
      </c>
      <c r="E703" s="4">
        <f>DAY(TableAopCalendar[[#This Row],[Date]])</f>
        <v>2</v>
      </c>
      <c r="F703" s="4">
        <f>IF(TableAopCalendar[[#This Row],[Day]]&lt;8,1,IF(TableAopCalendar[[#This Row],[Day]]&lt;15,2,IF(TableAopCalendar[[#This Row],[Day]]&lt;22,3,IF(TableAopCalendar[[#This Row],[Day]]&lt;29,4,IF(TableAopCalendar[[#This Row],[Day]]&lt;32,5)))))</f>
        <v>1</v>
      </c>
      <c r="G703" s="4" t="str">
        <f t="shared" si="31"/>
        <v>Week 1</v>
      </c>
      <c r="H703" s="7" t="str">
        <f t="shared" si="32"/>
        <v>March 24 Week 1</v>
      </c>
      <c r="I703" s="4" t="str">
        <f>CONCATENATE(UPPER(TableAopCalendar[[#This Row],[Month]])," ",TableAopCalendar[[#This Row],[Year]])</f>
        <v>MARCH 24</v>
      </c>
      <c r="J703" s="7" t="s">
        <v>274</v>
      </c>
      <c r="K703" s="7" t="str">
        <f>CONCATENATE(TableAopCalendar[[#This Row],[Month for Plan]]," ",TableAopCalendar[[#This Row],[Plan]])</f>
        <v>MARCH 24 PLANNED</v>
      </c>
    </row>
    <row r="704" spans="1:11" x14ac:dyDescent="0.3">
      <c r="A704" s="4">
        <f t="shared" si="30"/>
        <v>3</v>
      </c>
      <c r="B704" s="5">
        <v>45354</v>
      </c>
      <c r="C704" s="6" t="s">
        <v>273</v>
      </c>
      <c r="D704" s="6">
        <v>24</v>
      </c>
      <c r="E704" s="4">
        <f>DAY(TableAopCalendar[[#This Row],[Date]])</f>
        <v>3</v>
      </c>
      <c r="F704" s="4">
        <f>IF(TableAopCalendar[[#This Row],[Day]]&lt;8,1,IF(TableAopCalendar[[#This Row],[Day]]&lt;15,2,IF(TableAopCalendar[[#This Row],[Day]]&lt;22,3,IF(TableAopCalendar[[#This Row],[Day]]&lt;29,4,IF(TableAopCalendar[[#This Row],[Day]]&lt;32,5)))))</f>
        <v>1</v>
      </c>
      <c r="G704" s="4" t="str">
        <f t="shared" si="31"/>
        <v>Week 1</v>
      </c>
      <c r="H704" s="7" t="str">
        <f t="shared" si="32"/>
        <v>March 24 Week 1</v>
      </c>
      <c r="I704" s="4" t="str">
        <f>CONCATENATE(UPPER(TableAopCalendar[[#This Row],[Month]])," ",TableAopCalendar[[#This Row],[Year]])</f>
        <v>MARCH 24</v>
      </c>
      <c r="J704" s="7" t="s">
        <v>274</v>
      </c>
      <c r="K704" s="7" t="str">
        <f>CONCATENATE(TableAopCalendar[[#This Row],[Month for Plan]]," ",TableAopCalendar[[#This Row],[Plan]])</f>
        <v>MARCH 24 PLANNED</v>
      </c>
    </row>
    <row r="705" spans="1:11" x14ac:dyDescent="0.3">
      <c r="A705" s="4">
        <f t="shared" si="30"/>
        <v>4</v>
      </c>
      <c r="B705" s="5">
        <v>45355</v>
      </c>
      <c r="C705" s="6" t="s">
        <v>273</v>
      </c>
      <c r="D705" s="6">
        <v>24</v>
      </c>
      <c r="E705" s="4">
        <f>DAY(TableAopCalendar[[#This Row],[Date]])</f>
        <v>4</v>
      </c>
      <c r="F705" s="4">
        <f>IF(TableAopCalendar[[#This Row],[Day]]&lt;8,1,IF(TableAopCalendar[[#This Row],[Day]]&lt;15,2,IF(TableAopCalendar[[#This Row],[Day]]&lt;22,3,IF(TableAopCalendar[[#This Row],[Day]]&lt;29,4,IF(TableAopCalendar[[#This Row],[Day]]&lt;32,5)))))</f>
        <v>1</v>
      </c>
      <c r="G705" s="4" t="str">
        <f t="shared" si="31"/>
        <v>Week 1</v>
      </c>
      <c r="H705" s="7" t="str">
        <f t="shared" si="32"/>
        <v>March 24 Week 1</v>
      </c>
      <c r="I705" s="4" t="str">
        <f>CONCATENATE(UPPER(TableAopCalendar[[#This Row],[Month]])," ",TableAopCalendar[[#This Row],[Year]])</f>
        <v>MARCH 24</v>
      </c>
      <c r="J705" s="7" t="s">
        <v>274</v>
      </c>
      <c r="K705" s="7" t="str">
        <f>CONCATENATE(TableAopCalendar[[#This Row],[Month for Plan]]," ",TableAopCalendar[[#This Row],[Plan]])</f>
        <v>MARCH 24 PLANNED</v>
      </c>
    </row>
    <row r="706" spans="1:11" x14ac:dyDescent="0.3">
      <c r="A706" s="4">
        <f t="shared" ref="A706:A732" si="33">IF(G706=G705,A705+1,1)</f>
        <v>5</v>
      </c>
      <c r="B706" s="5">
        <v>45356</v>
      </c>
      <c r="C706" s="6" t="s">
        <v>273</v>
      </c>
      <c r="D706" s="6">
        <v>24</v>
      </c>
      <c r="E706" s="4">
        <f>DAY(TableAopCalendar[[#This Row],[Date]])</f>
        <v>5</v>
      </c>
      <c r="F706" s="4">
        <f>IF(TableAopCalendar[[#This Row],[Day]]&lt;8,1,IF(TableAopCalendar[[#This Row],[Day]]&lt;15,2,IF(TableAopCalendar[[#This Row],[Day]]&lt;22,3,IF(TableAopCalendar[[#This Row],[Day]]&lt;29,4,IF(TableAopCalendar[[#This Row],[Day]]&lt;32,5)))))</f>
        <v>1</v>
      </c>
      <c r="G706" s="4" t="str">
        <f t="shared" ref="G706:G732" si="34">"Week"&amp;" "&amp;F706</f>
        <v>Week 1</v>
      </c>
      <c r="H706" s="7" t="str">
        <f t="shared" ref="H706:H732" si="35">CONCATENATE(C706," ",D706," ",G706)</f>
        <v>March 24 Week 1</v>
      </c>
      <c r="I706" s="4" t="str">
        <f>CONCATENATE(UPPER(TableAopCalendar[[#This Row],[Month]])," ",TableAopCalendar[[#This Row],[Year]])</f>
        <v>MARCH 24</v>
      </c>
      <c r="J706" s="7" t="s">
        <v>274</v>
      </c>
      <c r="K706" s="7" t="str">
        <f>CONCATENATE(TableAopCalendar[[#This Row],[Month for Plan]]," ",TableAopCalendar[[#This Row],[Plan]])</f>
        <v>MARCH 24 PLANNED</v>
      </c>
    </row>
    <row r="707" spans="1:11" x14ac:dyDescent="0.3">
      <c r="A707" s="4">
        <f t="shared" si="33"/>
        <v>6</v>
      </c>
      <c r="B707" s="5">
        <v>45357</v>
      </c>
      <c r="C707" s="6" t="s">
        <v>273</v>
      </c>
      <c r="D707" s="6">
        <v>24</v>
      </c>
      <c r="E707" s="4">
        <f>DAY(TableAopCalendar[[#This Row],[Date]])</f>
        <v>6</v>
      </c>
      <c r="F707" s="4">
        <f>IF(TableAopCalendar[[#This Row],[Day]]&lt;8,1,IF(TableAopCalendar[[#This Row],[Day]]&lt;15,2,IF(TableAopCalendar[[#This Row],[Day]]&lt;22,3,IF(TableAopCalendar[[#This Row],[Day]]&lt;29,4,IF(TableAopCalendar[[#This Row],[Day]]&lt;32,5)))))</f>
        <v>1</v>
      </c>
      <c r="G707" s="4" t="str">
        <f t="shared" si="34"/>
        <v>Week 1</v>
      </c>
      <c r="H707" s="7" t="str">
        <f t="shared" si="35"/>
        <v>March 24 Week 1</v>
      </c>
      <c r="I707" s="4" t="str">
        <f>CONCATENATE(UPPER(TableAopCalendar[[#This Row],[Month]])," ",TableAopCalendar[[#This Row],[Year]])</f>
        <v>MARCH 24</v>
      </c>
      <c r="J707" s="7" t="s">
        <v>274</v>
      </c>
      <c r="K707" s="7" t="str">
        <f>CONCATENATE(TableAopCalendar[[#This Row],[Month for Plan]]," ",TableAopCalendar[[#This Row],[Plan]])</f>
        <v>MARCH 24 PLANNED</v>
      </c>
    </row>
    <row r="708" spans="1:11" x14ac:dyDescent="0.3">
      <c r="A708" s="4">
        <f t="shared" si="33"/>
        <v>7</v>
      </c>
      <c r="B708" s="5">
        <v>45358</v>
      </c>
      <c r="C708" s="6" t="s">
        <v>273</v>
      </c>
      <c r="D708" s="6">
        <v>24</v>
      </c>
      <c r="E708" s="4">
        <f>DAY(TableAopCalendar[[#This Row],[Date]])</f>
        <v>7</v>
      </c>
      <c r="F708" s="4">
        <f>IF(TableAopCalendar[[#This Row],[Day]]&lt;8,1,IF(TableAopCalendar[[#This Row],[Day]]&lt;15,2,IF(TableAopCalendar[[#This Row],[Day]]&lt;22,3,IF(TableAopCalendar[[#This Row],[Day]]&lt;29,4,IF(TableAopCalendar[[#This Row],[Day]]&lt;32,5)))))</f>
        <v>1</v>
      </c>
      <c r="G708" s="4" t="str">
        <f t="shared" si="34"/>
        <v>Week 1</v>
      </c>
      <c r="H708" s="7" t="str">
        <f t="shared" si="35"/>
        <v>March 24 Week 1</v>
      </c>
      <c r="I708" s="4" t="str">
        <f>CONCATENATE(UPPER(TableAopCalendar[[#This Row],[Month]])," ",TableAopCalendar[[#This Row],[Year]])</f>
        <v>MARCH 24</v>
      </c>
      <c r="J708" s="7" t="s">
        <v>274</v>
      </c>
      <c r="K708" s="7" t="str">
        <f>CONCATENATE(TableAopCalendar[[#This Row],[Month for Plan]]," ",TableAopCalendar[[#This Row],[Plan]])</f>
        <v>MARCH 24 PLANNED</v>
      </c>
    </row>
    <row r="709" spans="1:11" x14ac:dyDescent="0.3">
      <c r="A709" s="4">
        <f t="shared" si="33"/>
        <v>1</v>
      </c>
      <c r="B709" s="5">
        <v>45359</v>
      </c>
      <c r="C709" s="6" t="s">
        <v>273</v>
      </c>
      <c r="D709" s="6">
        <v>24</v>
      </c>
      <c r="E709" s="4">
        <f>DAY(TableAopCalendar[[#This Row],[Date]])</f>
        <v>8</v>
      </c>
      <c r="F709" s="4">
        <f>IF(TableAopCalendar[[#This Row],[Day]]&lt;8,1,IF(TableAopCalendar[[#This Row],[Day]]&lt;15,2,IF(TableAopCalendar[[#This Row],[Day]]&lt;22,3,IF(TableAopCalendar[[#This Row],[Day]]&lt;29,4,IF(TableAopCalendar[[#This Row],[Day]]&lt;32,5)))))</f>
        <v>2</v>
      </c>
      <c r="G709" s="4" t="str">
        <f t="shared" si="34"/>
        <v>Week 2</v>
      </c>
      <c r="H709" s="7" t="str">
        <f t="shared" si="35"/>
        <v>March 24 Week 2</v>
      </c>
      <c r="I709" s="4" t="str">
        <f>CONCATENATE(UPPER(TableAopCalendar[[#This Row],[Month]])," ",TableAopCalendar[[#This Row],[Year]])</f>
        <v>MARCH 24</v>
      </c>
      <c r="J709" s="7" t="s">
        <v>274</v>
      </c>
      <c r="K709" s="7" t="str">
        <f>CONCATENATE(TableAopCalendar[[#This Row],[Month for Plan]]," ",TableAopCalendar[[#This Row],[Plan]])</f>
        <v>MARCH 24 PLANNED</v>
      </c>
    </row>
    <row r="710" spans="1:11" x14ac:dyDescent="0.3">
      <c r="A710" s="4">
        <f t="shared" si="33"/>
        <v>2</v>
      </c>
      <c r="B710" s="5">
        <v>45360</v>
      </c>
      <c r="C710" s="6" t="s">
        <v>273</v>
      </c>
      <c r="D710" s="6">
        <v>24</v>
      </c>
      <c r="E710" s="4">
        <f>DAY(TableAopCalendar[[#This Row],[Date]])</f>
        <v>9</v>
      </c>
      <c r="F710" s="4">
        <f>IF(TableAopCalendar[[#This Row],[Day]]&lt;8,1,IF(TableAopCalendar[[#This Row],[Day]]&lt;15,2,IF(TableAopCalendar[[#This Row],[Day]]&lt;22,3,IF(TableAopCalendar[[#This Row],[Day]]&lt;29,4,IF(TableAopCalendar[[#This Row],[Day]]&lt;32,5)))))</f>
        <v>2</v>
      </c>
      <c r="G710" s="4" t="str">
        <f t="shared" si="34"/>
        <v>Week 2</v>
      </c>
      <c r="H710" s="7" t="str">
        <f t="shared" si="35"/>
        <v>March 24 Week 2</v>
      </c>
      <c r="I710" s="4" t="str">
        <f>CONCATENATE(UPPER(TableAopCalendar[[#This Row],[Month]])," ",TableAopCalendar[[#This Row],[Year]])</f>
        <v>MARCH 24</v>
      </c>
      <c r="J710" s="7" t="s">
        <v>274</v>
      </c>
      <c r="K710" s="7" t="str">
        <f>CONCATENATE(TableAopCalendar[[#This Row],[Month for Plan]]," ",TableAopCalendar[[#This Row],[Plan]])</f>
        <v>MARCH 24 PLANNED</v>
      </c>
    </row>
    <row r="711" spans="1:11" x14ac:dyDescent="0.3">
      <c r="A711" s="4">
        <f t="shared" si="33"/>
        <v>3</v>
      </c>
      <c r="B711" s="5">
        <v>45361</v>
      </c>
      <c r="C711" s="6" t="s">
        <v>273</v>
      </c>
      <c r="D711" s="6">
        <v>24</v>
      </c>
      <c r="E711" s="4">
        <f>DAY(TableAopCalendar[[#This Row],[Date]])</f>
        <v>10</v>
      </c>
      <c r="F711" s="4">
        <f>IF(TableAopCalendar[[#This Row],[Day]]&lt;8,1,IF(TableAopCalendar[[#This Row],[Day]]&lt;15,2,IF(TableAopCalendar[[#This Row],[Day]]&lt;22,3,IF(TableAopCalendar[[#This Row],[Day]]&lt;29,4,IF(TableAopCalendar[[#This Row],[Day]]&lt;32,5)))))</f>
        <v>2</v>
      </c>
      <c r="G711" s="4" t="str">
        <f t="shared" si="34"/>
        <v>Week 2</v>
      </c>
      <c r="H711" s="7" t="str">
        <f t="shared" si="35"/>
        <v>March 24 Week 2</v>
      </c>
      <c r="I711" s="4" t="str">
        <f>CONCATENATE(UPPER(TableAopCalendar[[#This Row],[Month]])," ",TableAopCalendar[[#This Row],[Year]])</f>
        <v>MARCH 24</v>
      </c>
      <c r="J711" s="7" t="s">
        <v>274</v>
      </c>
      <c r="K711" s="7" t="str">
        <f>CONCATENATE(TableAopCalendar[[#This Row],[Month for Plan]]," ",TableAopCalendar[[#This Row],[Plan]])</f>
        <v>MARCH 24 PLANNED</v>
      </c>
    </row>
    <row r="712" spans="1:11" x14ac:dyDescent="0.3">
      <c r="A712" s="4">
        <f t="shared" si="33"/>
        <v>4</v>
      </c>
      <c r="B712" s="5">
        <v>45362</v>
      </c>
      <c r="C712" s="6" t="s">
        <v>273</v>
      </c>
      <c r="D712" s="6">
        <v>24</v>
      </c>
      <c r="E712" s="4">
        <f>DAY(TableAopCalendar[[#This Row],[Date]])</f>
        <v>11</v>
      </c>
      <c r="F712" s="4">
        <f>IF(TableAopCalendar[[#This Row],[Day]]&lt;8,1,IF(TableAopCalendar[[#This Row],[Day]]&lt;15,2,IF(TableAopCalendar[[#This Row],[Day]]&lt;22,3,IF(TableAopCalendar[[#This Row],[Day]]&lt;29,4,IF(TableAopCalendar[[#This Row],[Day]]&lt;32,5)))))</f>
        <v>2</v>
      </c>
      <c r="G712" s="4" t="str">
        <f t="shared" si="34"/>
        <v>Week 2</v>
      </c>
      <c r="H712" s="7" t="str">
        <f t="shared" si="35"/>
        <v>March 24 Week 2</v>
      </c>
      <c r="I712" s="4" t="str">
        <f>CONCATENATE(UPPER(TableAopCalendar[[#This Row],[Month]])," ",TableAopCalendar[[#This Row],[Year]])</f>
        <v>MARCH 24</v>
      </c>
      <c r="J712" s="7" t="s">
        <v>274</v>
      </c>
      <c r="K712" s="7" t="str">
        <f>CONCATENATE(TableAopCalendar[[#This Row],[Month for Plan]]," ",TableAopCalendar[[#This Row],[Plan]])</f>
        <v>MARCH 24 PLANNED</v>
      </c>
    </row>
    <row r="713" spans="1:11" x14ac:dyDescent="0.3">
      <c r="A713" s="4">
        <f t="shared" si="33"/>
        <v>5</v>
      </c>
      <c r="B713" s="5">
        <v>45363</v>
      </c>
      <c r="C713" s="6" t="s">
        <v>273</v>
      </c>
      <c r="D713" s="6">
        <v>24</v>
      </c>
      <c r="E713" s="4">
        <f>DAY(TableAopCalendar[[#This Row],[Date]])</f>
        <v>12</v>
      </c>
      <c r="F713" s="4">
        <f>IF(TableAopCalendar[[#This Row],[Day]]&lt;8,1,IF(TableAopCalendar[[#This Row],[Day]]&lt;15,2,IF(TableAopCalendar[[#This Row],[Day]]&lt;22,3,IF(TableAopCalendar[[#This Row],[Day]]&lt;29,4,IF(TableAopCalendar[[#This Row],[Day]]&lt;32,5)))))</f>
        <v>2</v>
      </c>
      <c r="G713" s="4" t="str">
        <f t="shared" si="34"/>
        <v>Week 2</v>
      </c>
      <c r="H713" s="7" t="str">
        <f t="shared" si="35"/>
        <v>March 24 Week 2</v>
      </c>
      <c r="I713" s="4" t="str">
        <f>CONCATENATE(UPPER(TableAopCalendar[[#This Row],[Month]])," ",TableAopCalendar[[#This Row],[Year]])</f>
        <v>MARCH 24</v>
      </c>
      <c r="J713" s="7" t="s">
        <v>274</v>
      </c>
      <c r="K713" s="7" t="str">
        <f>CONCATENATE(TableAopCalendar[[#This Row],[Month for Plan]]," ",TableAopCalendar[[#This Row],[Plan]])</f>
        <v>MARCH 24 PLANNED</v>
      </c>
    </row>
    <row r="714" spans="1:11" x14ac:dyDescent="0.3">
      <c r="A714" s="4">
        <f t="shared" si="33"/>
        <v>6</v>
      </c>
      <c r="B714" s="5">
        <v>45364</v>
      </c>
      <c r="C714" s="6" t="s">
        <v>273</v>
      </c>
      <c r="D714" s="6">
        <v>24</v>
      </c>
      <c r="E714" s="4">
        <f>DAY(TableAopCalendar[[#This Row],[Date]])</f>
        <v>13</v>
      </c>
      <c r="F714" s="4">
        <f>IF(TableAopCalendar[[#This Row],[Day]]&lt;8,1,IF(TableAopCalendar[[#This Row],[Day]]&lt;15,2,IF(TableAopCalendar[[#This Row],[Day]]&lt;22,3,IF(TableAopCalendar[[#This Row],[Day]]&lt;29,4,IF(TableAopCalendar[[#This Row],[Day]]&lt;32,5)))))</f>
        <v>2</v>
      </c>
      <c r="G714" s="4" t="str">
        <f t="shared" si="34"/>
        <v>Week 2</v>
      </c>
      <c r="H714" s="7" t="str">
        <f t="shared" si="35"/>
        <v>March 24 Week 2</v>
      </c>
      <c r="I714" s="4" t="str">
        <f>CONCATENATE(UPPER(TableAopCalendar[[#This Row],[Month]])," ",TableAopCalendar[[#This Row],[Year]])</f>
        <v>MARCH 24</v>
      </c>
      <c r="J714" s="7" t="s">
        <v>274</v>
      </c>
      <c r="K714" s="7" t="str">
        <f>CONCATENATE(TableAopCalendar[[#This Row],[Month for Plan]]," ",TableAopCalendar[[#This Row],[Plan]])</f>
        <v>MARCH 24 PLANNED</v>
      </c>
    </row>
    <row r="715" spans="1:11" x14ac:dyDescent="0.3">
      <c r="A715" s="4">
        <f t="shared" si="33"/>
        <v>7</v>
      </c>
      <c r="B715" s="5">
        <v>45365</v>
      </c>
      <c r="C715" s="6" t="s">
        <v>273</v>
      </c>
      <c r="D715" s="6">
        <v>24</v>
      </c>
      <c r="E715" s="4">
        <f>DAY(TableAopCalendar[[#This Row],[Date]])</f>
        <v>14</v>
      </c>
      <c r="F715" s="4">
        <f>IF(TableAopCalendar[[#This Row],[Day]]&lt;8,1,IF(TableAopCalendar[[#This Row],[Day]]&lt;15,2,IF(TableAopCalendar[[#This Row],[Day]]&lt;22,3,IF(TableAopCalendar[[#This Row],[Day]]&lt;29,4,IF(TableAopCalendar[[#This Row],[Day]]&lt;32,5)))))</f>
        <v>2</v>
      </c>
      <c r="G715" s="4" t="str">
        <f t="shared" si="34"/>
        <v>Week 2</v>
      </c>
      <c r="H715" s="7" t="str">
        <f t="shared" si="35"/>
        <v>March 24 Week 2</v>
      </c>
      <c r="I715" s="4" t="str">
        <f>CONCATENATE(UPPER(TableAopCalendar[[#This Row],[Month]])," ",TableAopCalendar[[#This Row],[Year]])</f>
        <v>MARCH 24</v>
      </c>
      <c r="J715" s="7" t="s">
        <v>274</v>
      </c>
      <c r="K715" s="7" t="str">
        <f>CONCATENATE(TableAopCalendar[[#This Row],[Month for Plan]]," ",TableAopCalendar[[#This Row],[Plan]])</f>
        <v>MARCH 24 PLANNED</v>
      </c>
    </row>
    <row r="716" spans="1:11" x14ac:dyDescent="0.3">
      <c r="A716" s="4">
        <f t="shared" si="33"/>
        <v>1</v>
      </c>
      <c r="B716" s="5">
        <v>45366</v>
      </c>
      <c r="C716" s="6" t="s">
        <v>273</v>
      </c>
      <c r="D716" s="6">
        <v>24</v>
      </c>
      <c r="E716" s="4">
        <f>DAY(TableAopCalendar[[#This Row],[Date]])</f>
        <v>15</v>
      </c>
      <c r="F716" s="4">
        <f>IF(TableAopCalendar[[#This Row],[Day]]&lt;8,1,IF(TableAopCalendar[[#This Row],[Day]]&lt;15,2,IF(TableAopCalendar[[#This Row],[Day]]&lt;22,3,IF(TableAopCalendar[[#This Row],[Day]]&lt;29,4,IF(TableAopCalendar[[#This Row],[Day]]&lt;32,5)))))</f>
        <v>3</v>
      </c>
      <c r="G716" s="4" t="str">
        <f t="shared" si="34"/>
        <v>Week 3</v>
      </c>
      <c r="H716" s="7" t="str">
        <f t="shared" si="35"/>
        <v>March 24 Week 3</v>
      </c>
      <c r="I716" s="4" t="str">
        <f>CONCATENATE(UPPER(TableAopCalendar[[#This Row],[Month]])," ",TableAopCalendar[[#This Row],[Year]])</f>
        <v>MARCH 24</v>
      </c>
      <c r="J716" s="7" t="s">
        <v>274</v>
      </c>
      <c r="K716" s="7" t="str">
        <f>CONCATENATE(TableAopCalendar[[#This Row],[Month for Plan]]," ",TableAopCalendar[[#This Row],[Plan]])</f>
        <v>MARCH 24 PLANNED</v>
      </c>
    </row>
    <row r="717" spans="1:11" x14ac:dyDescent="0.3">
      <c r="A717" s="4">
        <f t="shared" si="33"/>
        <v>2</v>
      </c>
      <c r="B717" s="5">
        <v>45367</v>
      </c>
      <c r="C717" s="6" t="s">
        <v>273</v>
      </c>
      <c r="D717" s="6">
        <v>24</v>
      </c>
      <c r="E717" s="4">
        <f>DAY(TableAopCalendar[[#This Row],[Date]])</f>
        <v>16</v>
      </c>
      <c r="F717" s="4">
        <f>IF(TableAopCalendar[[#This Row],[Day]]&lt;8,1,IF(TableAopCalendar[[#This Row],[Day]]&lt;15,2,IF(TableAopCalendar[[#This Row],[Day]]&lt;22,3,IF(TableAopCalendar[[#This Row],[Day]]&lt;29,4,IF(TableAopCalendar[[#This Row],[Day]]&lt;32,5)))))</f>
        <v>3</v>
      </c>
      <c r="G717" s="4" t="str">
        <f t="shared" si="34"/>
        <v>Week 3</v>
      </c>
      <c r="H717" s="7" t="str">
        <f t="shared" si="35"/>
        <v>March 24 Week 3</v>
      </c>
      <c r="I717" s="4" t="str">
        <f>CONCATENATE(UPPER(TableAopCalendar[[#This Row],[Month]])," ",TableAopCalendar[[#This Row],[Year]])</f>
        <v>MARCH 24</v>
      </c>
      <c r="J717" s="7" t="s">
        <v>274</v>
      </c>
      <c r="K717" s="7" t="str">
        <f>CONCATENATE(TableAopCalendar[[#This Row],[Month for Plan]]," ",TableAopCalendar[[#This Row],[Plan]])</f>
        <v>MARCH 24 PLANNED</v>
      </c>
    </row>
    <row r="718" spans="1:11" x14ac:dyDescent="0.3">
      <c r="A718" s="4">
        <f t="shared" si="33"/>
        <v>3</v>
      </c>
      <c r="B718" s="5">
        <v>45368</v>
      </c>
      <c r="C718" s="6" t="s">
        <v>273</v>
      </c>
      <c r="D718" s="6">
        <v>24</v>
      </c>
      <c r="E718" s="4">
        <f>DAY(TableAopCalendar[[#This Row],[Date]])</f>
        <v>17</v>
      </c>
      <c r="F718" s="4">
        <f>IF(TableAopCalendar[[#This Row],[Day]]&lt;8,1,IF(TableAopCalendar[[#This Row],[Day]]&lt;15,2,IF(TableAopCalendar[[#This Row],[Day]]&lt;22,3,IF(TableAopCalendar[[#This Row],[Day]]&lt;29,4,IF(TableAopCalendar[[#This Row],[Day]]&lt;32,5)))))</f>
        <v>3</v>
      </c>
      <c r="G718" s="4" t="str">
        <f t="shared" si="34"/>
        <v>Week 3</v>
      </c>
      <c r="H718" s="7" t="str">
        <f t="shared" si="35"/>
        <v>March 24 Week 3</v>
      </c>
      <c r="I718" s="4" t="str">
        <f>CONCATENATE(UPPER(TableAopCalendar[[#This Row],[Month]])," ",TableAopCalendar[[#This Row],[Year]])</f>
        <v>MARCH 24</v>
      </c>
      <c r="J718" s="7" t="s">
        <v>274</v>
      </c>
      <c r="K718" s="7" t="str">
        <f>CONCATENATE(TableAopCalendar[[#This Row],[Month for Plan]]," ",TableAopCalendar[[#This Row],[Plan]])</f>
        <v>MARCH 24 PLANNED</v>
      </c>
    </row>
    <row r="719" spans="1:11" x14ac:dyDescent="0.3">
      <c r="A719" s="4">
        <f t="shared" si="33"/>
        <v>4</v>
      </c>
      <c r="B719" s="5">
        <v>45369</v>
      </c>
      <c r="C719" s="6" t="s">
        <v>273</v>
      </c>
      <c r="D719" s="6">
        <v>24</v>
      </c>
      <c r="E719" s="4">
        <f>DAY(TableAopCalendar[[#This Row],[Date]])</f>
        <v>18</v>
      </c>
      <c r="F719" s="4">
        <f>IF(TableAopCalendar[[#This Row],[Day]]&lt;8,1,IF(TableAopCalendar[[#This Row],[Day]]&lt;15,2,IF(TableAopCalendar[[#This Row],[Day]]&lt;22,3,IF(TableAopCalendar[[#This Row],[Day]]&lt;29,4,IF(TableAopCalendar[[#This Row],[Day]]&lt;32,5)))))</f>
        <v>3</v>
      </c>
      <c r="G719" s="4" t="str">
        <f t="shared" si="34"/>
        <v>Week 3</v>
      </c>
      <c r="H719" s="7" t="str">
        <f t="shared" si="35"/>
        <v>March 24 Week 3</v>
      </c>
      <c r="I719" s="4" t="str">
        <f>CONCATENATE(UPPER(TableAopCalendar[[#This Row],[Month]])," ",TableAopCalendar[[#This Row],[Year]])</f>
        <v>MARCH 24</v>
      </c>
      <c r="J719" s="7" t="s">
        <v>274</v>
      </c>
      <c r="K719" s="7" t="str">
        <f>CONCATENATE(TableAopCalendar[[#This Row],[Month for Plan]]," ",TableAopCalendar[[#This Row],[Plan]])</f>
        <v>MARCH 24 PLANNED</v>
      </c>
    </row>
    <row r="720" spans="1:11" x14ac:dyDescent="0.3">
      <c r="A720" s="4">
        <f t="shared" si="33"/>
        <v>5</v>
      </c>
      <c r="B720" s="5">
        <v>45370</v>
      </c>
      <c r="C720" s="6" t="s">
        <v>273</v>
      </c>
      <c r="D720" s="6">
        <v>24</v>
      </c>
      <c r="E720" s="4">
        <f>DAY(TableAopCalendar[[#This Row],[Date]])</f>
        <v>19</v>
      </c>
      <c r="F720" s="4">
        <f>IF(TableAopCalendar[[#This Row],[Day]]&lt;8,1,IF(TableAopCalendar[[#This Row],[Day]]&lt;15,2,IF(TableAopCalendar[[#This Row],[Day]]&lt;22,3,IF(TableAopCalendar[[#This Row],[Day]]&lt;29,4,IF(TableAopCalendar[[#This Row],[Day]]&lt;32,5)))))</f>
        <v>3</v>
      </c>
      <c r="G720" s="4" t="str">
        <f t="shared" si="34"/>
        <v>Week 3</v>
      </c>
      <c r="H720" s="7" t="str">
        <f t="shared" si="35"/>
        <v>March 24 Week 3</v>
      </c>
      <c r="I720" s="4" t="str">
        <f>CONCATENATE(UPPER(TableAopCalendar[[#This Row],[Month]])," ",TableAopCalendar[[#This Row],[Year]])</f>
        <v>MARCH 24</v>
      </c>
      <c r="J720" s="7" t="s">
        <v>274</v>
      </c>
      <c r="K720" s="7" t="str">
        <f>CONCATENATE(TableAopCalendar[[#This Row],[Month for Plan]]," ",TableAopCalendar[[#This Row],[Plan]])</f>
        <v>MARCH 24 PLANNED</v>
      </c>
    </row>
    <row r="721" spans="1:11" x14ac:dyDescent="0.3">
      <c r="A721" s="4">
        <f t="shared" si="33"/>
        <v>6</v>
      </c>
      <c r="B721" s="5">
        <v>45371</v>
      </c>
      <c r="C721" s="6" t="s">
        <v>273</v>
      </c>
      <c r="D721" s="6">
        <v>24</v>
      </c>
      <c r="E721" s="4">
        <f>DAY(TableAopCalendar[[#This Row],[Date]])</f>
        <v>20</v>
      </c>
      <c r="F721" s="4">
        <f>IF(TableAopCalendar[[#This Row],[Day]]&lt;8,1,IF(TableAopCalendar[[#This Row],[Day]]&lt;15,2,IF(TableAopCalendar[[#This Row],[Day]]&lt;22,3,IF(TableAopCalendar[[#This Row],[Day]]&lt;29,4,IF(TableAopCalendar[[#This Row],[Day]]&lt;32,5)))))</f>
        <v>3</v>
      </c>
      <c r="G721" s="4" t="str">
        <f t="shared" si="34"/>
        <v>Week 3</v>
      </c>
      <c r="H721" s="7" t="str">
        <f t="shared" si="35"/>
        <v>March 24 Week 3</v>
      </c>
      <c r="I721" s="4" t="str">
        <f>CONCATENATE(UPPER(TableAopCalendar[[#This Row],[Month]])," ",TableAopCalendar[[#This Row],[Year]])</f>
        <v>MARCH 24</v>
      </c>
      <c r="J721" s="7" t="s">
        <v>274</v>
      </c>
      <c r="K721" s="7" t="str">
        <f>CONCATENATE(TableAopCalendar[[#This Row],[Month for Plan]]," ",TableAopCalendar[[#This Row],[Plan]])</f>
        <v>MARCH 24 PLANNED</v>
      </c>
    </row>
    <row r="722" spans="1:11" x14ac:dyDescent="0.3">
      <c r="A722" s="4">
        <f t="shared" si="33"/>
        <v>7</v>
      </c>
      <c r="B722" s="5">
        <v>45372</v>
      </c>
      <c r="C722" s="6" t="s">
        <v>273</v>
      </c>
      <c r="D722" s="6">
        <v>24</v>
      </c>
      <c r="E722" s="4">
        <f>DAY(TableAopCalendar[[#This Row],[Date]])</f>
        <v>21</v>
      </c>
      <c r="F722" s="4">
        <f>IF(TableAopCalendar[[#This Row],[Day]]&lt;8,1,IF(TableAopCalendar[[#This Row],[Day]]&lt;15,2,IF(TableAopCalendar[[#This Row],[Day]]&lt;22,3,IF(TableAopCalendar[[#This Row],[Day]]&lt;29,4,IF(TableAopCalendar[[#This Row],[Day]]&lt;32,5)))))</f>
        <v>3</v>
      </c>
      <c r="G722" s="4" t="str">
        <f t="shared" si="34"/>
        <v>Week 3</v>
      </c>
      <c r="H722" s="7" t="str">
        <f t="shared" si="35"/>
        <v>March 24 Week 3</v>
      </c>
      <c r="I722" s="4" t="str">
        <f>CONCATENATE(UPPER(TableAopCalendar[[#This Row],[Month]])," ",TableAopCalendar[[#This Row],[Year]])</f>
        <v>MARCH 24</v>
      </c>
      <c r="J722" s="7" t="s">
        <v>274</v>
      </c>
      <c r="K722" s="7" t="str">
        <f>CONCATENATE(TableAopCalendar[[#This Row],[Month for Plan]]," ",TableAopCalendar[[#This Row],[Plan]])</f>
        <v>MARCH 24 PLANNED</v>
      </c>
    </row>
    <row r="723" spans="1:11" x14ac:dyDescent="0.3">
      <c r="A723" s="4">
        <f t="shared" si="33"/>
        <v>1</v>
      </c>
      <c r="B723" s="5">
        <v>45373</v>
      </c>
      <c r="C723" s="6" t="s">
        <v>273</v>
      </c>
      <c r="D723" s="6">
        <v>24</v>
      </c>
      <c r="E723" s="4">
        <f>DAY(TableAopCalendar[[#This Row],[Date]])</f>
        <v>22</v>
      </c>
      <c r="F723" s="4">
        <f>IF(TableAopCalendar[[#This Row],[Day]]&lt;8,1,IF(TableAopCalendar[[#This Row],[Day]]&lt;15,2,IF(TableAopCalendar[[#This Row],[Day]]&lt;22,3,IF(TableAopCalendar[[#This Row],[Day]]&lt;29,4,IF(TableAopCalendar[[#This Row],[Day]]&lt;32,5)))))</f>
        <v>4</v>
      </c>
      <c r="G723" s="4" t="str">
        <f t="shared" si="34"/>
        <v>Week 4</v>
      </c>
      <c r="H723" s="7" t="str">
        <f t="shared" si="35"/>
        <v>March 24 Week 4</v>
      </c>
      <c r="I723" s="4" t="str">
        <f>CONCATENATE(UPPER(TableAopCalendar[[#This Row],[Month]])," ",TableAopCalendar[[#This Row],[Year]])</f>
        <v>MARCH 24</v>
      </c>
      <c r="J723" s="7" t="s">
        <v>274</v>
      </c>
      <c r="K723" s="7" t="str">
        <f>CONCATENATE(TableAopCalendar[[#This Row],[Month for Plan]]," ",TableAopCalendar[[#This Row],[Plan]])</f>
        <v>MARCH 24 PLANNED</v>
      </c>
    </row>
    <row r="724" spans="1:11" x14ac:dyDescent="0.3">
      <c r="A724" s="4">
        <f t="shared" si="33"/>
        <v>2</v>
      </c>
      <c r="B724" s="5">
        <v>45374</v>
      </c>
      <c r="C724" s="6" t="s">
        <v>273</v>
      </c>
      <c r="D724" s="6">
        <v>24</v>
      </c>
      <c r="E724" s="4">
        <f>DAY(TableAopCalendar[[#This Row],[Date]])</f>
        <v>23</v>
      </c>
      <c r="F724" s="4">
        <f>IF(TableAopCalendar[[#This Row],[Day]]&lt;8,1,IF(TableAopCalendar[[#This Row],[Day]]&lt;15,2,IF(TableAopCalendar[[#This Row],[Day]]&lt;22,3,IF(TableAopCalendar[[#This Row],[Day]]&lt;29,4,IF(TableAopCalendar[[#This Row],[Day]]&lt;32,5)))))</f>
        <v>4</v>
      </c>
      <c r="G724" s="4" t="str">
        <f t="shared" si="34"/>
        <v>Week 4</v>
      </c>
      <c r="H724" s="7" t="str">
        <f t="shared" si="35"/>
        <v>March 24 Week 4</v>
      </c>
      <c r="I724" s="4" t="str">
        <f>CONCATENATE(UPPER(TableAopCalendar[[#This Row],[Month]])," ",TableAopCalendar[[#This Row],[Year]])</f>
        <v>MARCH 24</v>
      </c>
      <c r="J724" s="7" t="s">
        <v>274</v>
      </c>
      <c r="K724" s="7" t="str">
        <f>CONCATENATE(TableAopCalendar[[#This Row],[Month for Plan]]," ",TableAopCalendar[[#This Row],[Plan]])</f>
        <v>MARCH 24 PLANNED</v>
      </c>
    </row>
    <row r="725" spans="1:11" x14ac:dyDescent="0.3">
      <c r="A725" s="4">
        <f t="shared" si="33"/>
        <v>3</v>
      </c>
      <c r="B725" s="5">
        <v>45375</v>
      </c>
      <c r="C725" s="6" t="s">
        <v>273</v>
      </c>
      <c r="D725" s="6">
        <v>24</v>
      </c>
      <c r="E725" s="4">
        <f>DAY(TableAopCalendar[[#This Row],[Date]])</f>
        <v>24</v>
      </c>
      <c r="F725" s="4">
        <f>IF(TableAopCalendar[[#This Row],[Day]]&lt;8,1,IF(TableAopCalendar[[#This Row],[Day]]&lt;15,2,IF(TableAopCalendar[[#This Row],[Day]]&lt;22,3,IF(TableAopCalendar[[#This Row],[Day]]&lt;29,4,IF(TableAopCalendar[[#This Row],[Day]]&lt;32,5)))))</f>
        <v>4</v>
      </c>
      <c r="G725" s="4" t="str">
        <f t="shared" si="34"/>
        <v>Week 4</v>
      </c>
      <c r="H725" s="7" t="str">
        <f t="shared" si="35"/>
        <v>March 24 Week 4</v>
      </c>
      <c r="I725" s="4" t="str">
        <f>CONCATENATE(UPPER(TableAopCalendar[[#This Row],[Month]])," ",TableAopCalendar[[#This Row],[Year]])</f>
        <v>MARCH 24</v>
      </c>
      <c r="J725" s="7" t="s">
        <v>274</v>
      </c>
      <c r="K725" s="7" t="str">
        <f>CONCATENATE(TableAopCalendar[[#This Row],[Month for Plan]]," ",TableAopCalendar[[#This Row],[Plan]])</f>
        <v>MARCH 24 PLANNED</v>
      </c>
    </row>
    <row r="726" spans="1:11" x14ac:dyDescent="0.3">
      <c r="A726" s="4">
        <f t="shared" si="33"/>
        <v>4</v>
      </c>
      <c r="B726" s="5">
        <v>45376</v>
      </c>
      <c r="C726" s="6" t="s">
        <v>273</v>
      </c>
      <c r="D726" s="6">
        <v>24</v>
      </c>
      <c r="E726" s="4">
        <f>DAY(TableAopCalendar[[#This Row],[Date]])</f>
        <v>25</v>
      </c>
      <c r="F726" s="4">
        <f>IF(TableAopCalendar[[#This Row],[Day]]&lt;8,1,IF(TableAopCalendar[[#This Row],[Day]]&lt;15,2,IF(TableAopCalendar[[#This Row],[Day]]&lt;22,3,IF(TableAopCalendar[[#This Row],[Day]]&lt;29,4,IF(TableAopCalendar[[#This Row],[Day]]&lt;32,5)))))</f>
        <v>4</v>
      </c>
      <c r="G726" s="4" t="str">
        <f t="shared" si="34"/>
        <v>Week 4</v>
      </c>
      <c r="H726" s="7" t="str">
        <f t="shared" si="35"/>
        <v>March 24 Week 4</v>
      </c>
      <c r="I726" s="4" t="str">
        <f>CONCATENATE(UPPER(TableAopCalendar[[#This Row],[Month]])," ",TableAopCalendar[[#This Row],[Year]])</f>
        <v>MARCH 24</v>
      </c>
      <c r="J726" s="7" t="s">
        <v>274</v>
      </c>
      <c r="K726" s="7" t="str">
        <f>CONCATENATE(TableAopCalendar[[#This Row],[Month for Plan]]," ",TableAopCalendar[[#This Row],[Plan]])</f>
        <v>MARCH 24 PLANNED</v>
      </c>
    </row>
    <row r="727" spans="1:11" x14ac:dyDescent="0.3">
      <c r="A727" s="4">
        <f t="shared" si="33"/>
        <v>5</v>
      </c>
      <c r="B727" s="5">
        <v>45377</v>
      </c>
      <c r="C727" s="6" t="s">
        <v>273</v>
      </c>
      <c r="D727" s="6">
        <v>24</v>
      </c>
      <c r="E727" s="4">
        <f>DAY(TableAopCalendar[[#This Row],[Date]])</f>
        <v>26</v>
      </c>
      <c r="F727" s="4">
        <f>IF(TableAopCalendar[[#This Row],[Day]]&lt;8,1,IF(TableAopCalendar[[#This Row],[Day]]&lt;15,2,IF(TableAopCalendar[[#This Row],[Day]]&lt;22,3,IF(TableAopCalendar[[#This Row],[Day]]&lt;29,4,IF(TableAopCalendar[[#This Row],[Day]]&lt;32,5)))))</f>
        <v>4</v>
      </c>
      <c r="G727" s="4" t="str">
        <f t="shared" si="34"/>
        <v>Week 4</v>
      </c>
      <c r="H727" s="7" t="str">
        <f t="shared" si="35"/>
        <v>March 24 Week 4</v>
      </c>
      <c r="I727" s="4" t="str">
        <f>CONCATENATE(UPPER(TableAopCalendar[[#This Row],[Month]])," ",TableAopCalendar[[#This Row],[Year]])</f>
        <v>MARCH 24</v>
      </c>
      <c r="J727" s="7" t="s">
        <v>274</v>
      </c>
      <c r="K727" s="7" t="str">
        <f>CONCATENATE(TableAopCalendar[[#This Row],[Month for Plan]]," ",TableAopCalendar[[#This Row],[Plan]])</f>
        <v>MARCH 24 PLANNED</v>
      </c>
    </row>
    <row r="728" spans="1:11" x14ac:dyDescent="0.3">
      <c r="A728" s="4">
        <f t="shared" si="33"/>
        <v>6</v>
      </c>
      <c r="B728" s="5">
        <v>45378</v>
      </c>
      <c r="C728" s="6" t="s">
        <v>273</v>
      </c>
      <c r="D728" s="6">
        <v>24</v>
      </c>
      <c r="E728" s="4">
        <f>DAY(TableAopCalendar[[#This Row],[Date]])</f>
        <v>27</v>
      </c>
      <c r="F728" s="4">
        <f>IF(TableAopCalendar[[#This Row],[Day]]&lt;8,1,IF(TableAopCalendar[[#This Row],[Day]]&lt;15,2,IF(TableAopCalendar[[#This Row],[Day]]&lt;22,3,IF(TableAopCalendar[[#This Row],[Day]]&lt;29,4,IF(TableAopCalendar[[#This Row],[Day]]&lt;32,5)))))</f>
        <v>4</v>
      </c>
      <c r="G728" s="4" t="str">
        <f t="shared" si="34"/>
        <v>Week 4</v>
      </c>
      <c r="H728" s="7" t="str">
        <f t="shared" si="35"/>
        <v>March 24 Week 4</v>
      </c>
      <c r="I728" s="4" t="str">
        <f>CONCATENATE(UPPER(TableAopCalendar[[#This Row],[Month]])," ",TableAopCalendar[[#This Row],[Year]])</f>
        <v>MARCH 24</v>
      </c>
      <c r="J728" s="7" t="s">
        <v>274</v>
      </c>
      <c r="K728" s="7" t="str">
        <f>CONCATENATE(TableAopCalendar[[#This Row],[Month for Plan]]," ",TableAopCalendar[[#This Row],[Plan]])</f>
        <v>MARCH 24 PLANNED</v>
      </c>
    </row>
    <row r="729" spans="1:11" x14ac:dyDescent="0.3">
      <c r="A729" s="4">
        <f t="shared" si="33"/>
        <v>7</v>
      </c>
      <c r="B729" s="5">
        <v>45379</v>
      </c>
      <c r="C729" s="6" t="s">
        <v>273</v>
      </c>
      <c r="D729" s="6">
        <v>24</v>
      </c>
      <c r="E729" s="4">
        <f>DAY(TableAopCalendar[[#This Row],[Date]])</f>
        <v>28</v>
      </c>
      <c r="F729" s="4">
        <f>IF(TableAopCalendar[[#This Row],[Day]]&lt;8,1,IF(TableAopCalendar[[#This Row],[Day]]&lt;15,2,IF(TableAopCalendar[[#This Row],[Day]]&lt;22,3,IF(TableAopCalendar[[#This Row],[Day]]&lt;29,4,IF(TableAopCalendar[[#This Row],[Day]]&lt;32,5)))))</f>
        <v>4</v>
      </c>
      <c r="G729" s="4" t="str">
        <f t="shared" si="34"/>
        <v>Week 4</v>
      </c>
      <c r="H729" s="7" t="str">
        <f t="shared" si="35"/>
        <v>March 24 Week 4</v>
      </c>
      <c r="I729" s="4" t="str">
        <f>CONCATENATE(UPPER(TableAopCalendar[[#This Row],[Month]])," ",TableAopCalendar[[#This Row],[Year]])</f>
        <v>MARCH 24</v>
      </c>
      <c r="J729" s="7" t="s">
        <v>274</v>
      </c>
      <c r="K729" s="7" t="str">
        <f>CONCATENATE(TableAopCalendar[[#This Row],[Month for Plan]]," ",TableAopCalendar[[#This Row],[Plan]])</f>
        <v>MARCH 24 PLANNED</v>
      </c>
    </row>
    <row r="730" spans="1:11" x14ac:dyDescent="0.3">
      <c r="A730" s="4">
        <f t="shared" si="33"/>
        <v>1</v>
      </c>
      <c r="B730" s="5">
        <v>45380</v>
      </c>
      <c r="C730" s="6" t="s">
        <v>273</v>
      </c>
      <c r="D730" s="6">
        <v>24</v>
      </c>
      <c r="E730" s="4">
        <f>DAY(TableAopCalendar[[#This Row],[Date]])</f>
        <v>29</v>
      </c>
      <c r="F730" s="4">
        <f>IF(TableAopCalendar[[#This Row],[Day]]&lt;8,1,IF(TableAopCalendar[[#This Row],[Day]]&lt;15,2,IF(TableAopCalendar[[#This Row],[Day]]&lt;22,3,IF(TableAopCalendar[[#This Row],[Day]]&lt;29,4,IF(TableAopCalendar[[#This Row],[Day]]&lt;32,5)))))</f>
        <v>5</v>
      </c>
      <c r="G730" s="4" t="str">
        <f t="shared" si="34"/>
        <v>Week 5</v>
      </c>
      <c r="H730" s="7" t="str">
        <f t="shared" si="35"/>
        <v>March 24 Week 5</v>
      </c>
      <c r="I730" s="4" t="str">
        <f>CONCATENATE(UPPER(TableAopCalendar[[#This Row],[Month]])," ",TableAopCalendar[[#This Row],[Year]])</f>
        <v>MARCH 24</v>
      </c>
      <c r="J730" s="7" t="s">
        <v>274</v>
      </c>
      <c r="K730" s="7" t="str">
        <f>CONCATENATE(TableAopCalendar[[#This Row],[Month for Plan]]," ",TableAopCalendar[[#This Row],[Plan]])</f>
        <v>MARCH 24 PLANNED</v>
      </c>
    </row>
    <row r="731" spans="1:11" x14ac:dyDescent="0.3">
      <c r="A731" s="4">
        <f t="shared" si="33"/>
        <v>2</v>
      </c>
      <c r="B731" s="5">
        <v>45381</v>
      </c>
      <c r="C731" s="6" t="s">
        <v>273</v>
      </c>
      <c r="D731" s="6">
        <v>24</v>
      </c>
      <c r="E731" s="4">
        <f>DAY(TableAopCalendar[[#This Row],[Date]])</f>
        <v>30</v>
      </c>
      <c r="F731" s="4">
        <f>IF(TableAopCalendar[[#This Row],[Day]]&lt;8,1,IF(TableAopCalendar[[#This Row],[Day]]&lt;15,2,IF(TableAopCalendar[[#This Row],[Day]]&lt;22,3,IF(TableAopCalendar[[#This Row],[Day]]&lt;29,4,IF(TableAopCalendar[[#This Row],[Day]]&lt;32,5)))))</f>
        <v>5</v>
      </c>
      <c r="G731" s="4" t="str">
        <f t="shared" si="34"/>
        <v>Week 5</v>
      </c>
      <c r="H731" s="7" t="str">
        <f t="shared" si="35"/>
        <v>March 24 Week 5</v>
      </c>
      <c r="I731" s="4" t="str">
        <f>CONCATENATE(UPPER(TableAopCalendar[[#This Row],[Month]])," ",TableAopCalendar[[#This Row],[Year]])</f>
        <v>MARCH 24</v>
      </c>
      <c r="J731" s="7" t="s">
        <v>274</v>
      </c>
      <c r="K731" s="7" t="str">
        <f>CONCATENATE(TableAopCalendar[[#This Row],[Month for Plan]]," ",TableAopCalendar[[#This Row],[Plan]])</f>
        <v>MARCH 24 PLANNED</v>
      </c>
    </row>
    <row r="732" spans="1:11" x14ac:dyDescent="0.3">
      <c r="A732" s="7">
        <f t="shared" si="33"/>
        <v>3</v>
      </c>
      <c r="B732" s="5">
        <v>45382</v>
      </c>
      <c r="C732" s="6" t="s">
        <v>273</v>
      </c>
      <c r="D732" s="6">
        <v>24</v>
      </c>
      <c r="E732" s="7">
        <f>DAY(TableAopCalendar[[#This Row],[Date]])</f>
        <v>31</v>
      </c>
      <c r="F732" s="7">
        <f>IF(TableAopCalendar[[#This Row],[Day]]&lt;8,1,IF(TableAopCalendar[[#This Row],[Day]]&lt;15,2,IF(TableAopCalendar[[#This Row],[Day]]&lt;22,3,IF(TableAopCalendar[[#This Row],[Day]]&lt;29,4,IF(TableAopCalendar[[#This Row],[Day]]&lt;32,5)))))</f>
        <v>5</v>
      </c>
      <c r="G732" s="7" t="str">
        <f t="shared" si="34"/>
        <v>Week 5</v>
      </c>
      <c r="H732" s="7" t="str">
        <f t="shared" si="35"/>
        <v>March 24 Week 5</v>
      </c>
      <c r="I732" s="4" t="str">
        <f>CONCATENATE(UPPER(TableAopCalendar[[#This Row],[Month]])," ",TableAopCalendar[[#This Row],[Year]])</f>
        <v>MARCH 24</v>
      </c>
      <c r="J732" s="7" t="s">
        <v>274</v>
      </c>
      <c r="K732" s="7" t="str">
        <f>CONCATENATE(TableAopCalendar[[#This Row],[Month for Plan]]," ",TableAopCalendar[[#This Row],[Plan]])</f>
        <v>MARCH 24 PLANNED</v>
      </c>
    </row>
    <row r="733" spans="1:11" x14ac:dyDescent="0.3">
      <c r="A733" s="7">
        <f t="shared" ref="A733:A764" si="36">IF(G733=G732,A732+1,1)</f>
        <v>1</v>
      </c>
      <c r="B733" s="5">
        <v>45383</v>
      </c>
      <c r="C733" s="6" t="s">
        <v>264</v>
      </c>
      <c r="D733" s="6">
        <v>24</v>
      </c>
      <c r="E733" s="7">
        <f>DAY(TableAopCalendar[[#This Row],[Date]])</f>
        <v>1</v>
      </c>
      <c r="F733" s="7">
        <f>IF(TableAopCalendar[[#This Row],[Day]]&lt;8,1,IF(TableAopCalendar[[#This Row],[Day]]&lt;15,2,IF(TableAopCalendar[[#This Row],[Day]]&lt;22,3,IF(TableAopCalendar[[#This Row],[Day]]&lt;29,4,IF(TableAopCalendar[[#This Row],[Day]]&lt;32,5)))))</f>
        <v>1</v>
      </c>
      <c r="G733" s="7" t="str">
        <f t="shared" ref="G733:G764" si="37">"Week"&amp;" "&amp;F733</f>
        <v>Week 1</v>
      </c>
      <c r="H733" s="7" t="str">
        <f t="shared" ref="H733:H764" si="38">CONCATENATE(C733," ",D733," ",G733)</f>
        <v>April 24 Week 1</v>
      </c>
      <c r="I733" s="7" t="str">
        <f>CONCATENATE(UPPER(TableAopCalendar[[#This Row],[Month]])," ",TableAopCalendar[[#This Row],[Year]])</f>
        <v>APRIL 24</v>
      </c>
      <c r="J733" s="7" t="s">
        <v>274</v>
      </c>
      <c r="K733" s="7" t="str">
        <f>CONCATENATE(TableAopCalendar[[#This Row],[Month for Plan]]," ",TableAopCalendar[[#This Row],[Plan]])</f>
        <v>APRIL 24 PLANNED</v>
      </c>
    </row>
    <row r="734" spans="1:11" x14ac:dyDescent="0.3">
      <c r="A734" s="7">
        <f t="shared" si="36"/>
        <v>2</v>
      </c>
      <c r="B734" s="5">
        <v>45384</v>
      </c>
      <c r="C734" s="6" t="s">
        <v>264</v>
      </c>
      <c r="D734" s="6">
        <v>24</v>
      </c>
      <c r="E734" s="7">
        <f>DAY(TableAopCalendar[[#This Row],[Date]])</f>
        <v>2</v>
      </c>
      <c r="F734" s="7">
        <f>IF(TableAopCalendar[[#This Row],[Day]]&lt;8,1,IF(TableAopCalendar[[#This Row],[Day]]&lt;15,2,IF(TableAopCalendar[[#This Row],[Day]]&lt;22,3,IF(TableAopCalendar[[#This Row],[Day]]&lt;29,4,IF(TableAopCalendar[[#This Row],[Day]]&lt;32,5)))))</f>
        <v>1</v>
      </c>
      <c r="G734" s="7" t="str">
        <f t="shared" si="37"/>
        <v>Week 1</v>
      </c>
      <c r="H734" s="7" t="str">
        <f t="shared" si="38"/>
        <v>April 24 Week 1</v>
      </c>
      <c r="I734" s="7" t="str">
        <f>CONCATENATE(UPPER(TableAopCalendar[[#This Row],[Month]])," ",TableAopCalendar[[#This Row],[Year]])</f>
        <v>APRIL 24</v>
      </c>
      <c r="J734" s="7" t="s">
        <v>274</v>
      </c>
      <c r="K734" s="7" t="str">
        <f>CONCATENATE(TableAopCalendar[[#This Row],[Month for Plan]]," ",TableAopCalendar[[#This Row],[Plan]])</f>
        <v>APRIL 24 PLANNED</v>
      </c>
    </row>
    <row r="735" spans="1:11" x14ac:dyDescent="0.3">
      <c r="A735" s="7">
        <f t="shared" si="36"/>
        <v>3</v>
      </c>
      <c r="B735" s="5">
        <v>45385</v>
      </c>
      <c r="C735" s="6" t="s">
        <v>264</v>
      </c>
      <c r="D735" s="6">
        <v>24</v>
      </c>
      <c r="E735" s="7">
        <f>DAY(TableAopCalendar[[#This Row],[Date]])</f>
        <v>3</v>
      </c>
      <c r="F735" s="7">
        <f>IF(TableAopCalendar[[#This Row],[Day]]&lt;8,1,IF(TableAopCalendar[[#This Row],[Day]]&lt;15,2,IF(TableAopCalendar[[#This Row],[Day]]&lt;22,3,IF(TableAopCalendar[[#This Row],[Day]]&lt;29,4,IF(TableAopCalendar[[#This Row],[Day]]&lt;32,5)))))</f>
        <v>1</v>
      </c>
      <c r="G735" s="7" t="str">
        <f t="shared" si="37"/>
        <v>Week 1</v>
      </c>
      <c r="H735" s="7" t="str">
        <f t="shared" si="38"/>
        <v>April 24 Week 1</v>
      </c>
      <c r="I735" s="7" t="str">
        <f>CONCATENATE(UPPER(TableAopCalendar[[#This Row],[Month]])," ",TableAopCalendar[[#This Row],[Year]])</f>
        <v>APRIL 24</v>
      </c>
      <c r="J735" s="7" t="s">
        <v>274</v>
      </c>
      <c r="K735" s="7" t="str">
        <f>CONCATENATE(TableAopCalendar[[#This Row],[Month for Plan]]," ",TableAopCalendar[[#This Row],[Plan]])</f>
        <v>APRIL 24 PLANNED</v>
      </c>
    </row>
    <row r="736" spans="1:11" x14ac:dyDescent="0.3">
      <c r="A736" s="7">
        <f t="shared" si="36"/>
        <v>4</v>
      </c>
      <c r="B736" s="5">
        <v>45386</v>
      </c>
      <c r="C736" s="6" t="s">
        <v>264</v>
      </c>
      <c r="D736" s="6">
        <v>24</v>
      </c>
      <c r="E736" s="7">
        <f>DAY(TableAopCalendar[[#This Row],[Date]])</f>
        <v>4</v>
      </c>
      <c r="F736" s="7">
        <f>IF(TableAopCalendar[[#This Row],[Day]]&lt;8,1,IF(TableAopCalendar[[#This Row],[Day]]&lt;15,2,IF(TableAopCalendar[[#This Row],[Day]]&lt;22,3,IF(TableAopCalendar[[#This Row],[Day]]&lt;29,4,IF(TableAopCalendar[[#This Row],[Day]]&lt;32,5)))))</f>
        <v>1</v>
      </c>
      <c r="G736" s="7" t="str">
        <f t="shared" si="37"/>
        <v>Week 1</v>
      </c>
      <c r="H736" s="7" t="str">
        <f t="shared" si="38"/>
        <v>April 24 Week 1</v>
      </c>
      <c r="I736" s="7" t="str">
        <f>CONCATENATE(UPPER(TableAopCalendar[[#This Row],[Month]])," ",TableAopCalendar[[#This Row],[Year]])</f>
        <v>APRIL 24</v>
      </c>
      <c r="J736" s="7" t="s">
        <v>274</v>
      </c>
      <c r="K736" s="7" t="str">
        <f>CONCATENATE(TableAopCalendar[[#This Row],[Month for Plan]]," ",TableAopCalendar[[#This Row],[Plan]])</f>
        <v>APRIL 24 PLANNED</v>
      </c>
    </row>
    <row r="737" spans="1:11" x14ac:dyDescent="0.3">
      <c r="A737" s="7">
        <f t="shared" si="36"/>
        <v>5</v>
      </c>
      <c r="B737" s="5">
        <v>45387</v>
      </c>
      <c r="C737" s="6" t="s">
        <v>264</v>
      </c>
      <c r="D737" s="6">
        <v>24</v>
      </c>
      <c r="E737" s="7">
        <f>DAY(TableAopCalendar[[#This Row],[Date]])</f>
        <v>5</v>
      </c>
      <c r="F737" s="7">
        <f>IF(TableAopCalendar[[#This Row],[Day]]&lt;8,1,IF(TableAopCalendar[[#This Row],[Day]]&lt;15,2,IF(TableAopCalendar[[#This Row],[Day]]&lt;22,3,IF(TableAopCalendar[[#This Row],[Day]]&lt;29,4,IF(TableAopCalendar[[#This Row],[Day]]&lt;32,5)))))</f>
        <v>1</v>
      </c>
      <c r="G737" s="7" t="str">
        <f t="shared" si="37"/>
        <v>Week 1</v>
      </c>
      <c r="H737" s="7" t="str">
        <f t="shared" si="38"/>
        <v>April 24 Week 1</v>
      </c>
      <c r="I737" s="7" t="str">
        <f>CONCATENATE(UPPER(TableAopCalendar[[#This Row],[Month]])," ",TableAopCalendar[[#This Row],[Year]])</f>
        <v>APRIL 24</v>
      </c>
      <c r="J737" s="7" t="s">
        <v>274</v>
      </c>
      <c r="K737" s="7" t="str">
        <f>CONCATENATE(TableAopCalendar[[#This Row],[Month for Plan]]," ",TableAopCalendar[[#This Row],[Plan]])</f>
        <v>APRIL 24 PLANNED</v>
      </c>
    </row>
    <row r="738" spans="1:11" x14ac:dyDescent="0.3">
      <c r="A738" s="7">
        <f t="shared" si="36"/>
        <v>6</v>
      </c>
      <c r="B738" s="5">
        <v>45388</v>
      </c>
      <c r="C738" s="6" t="s">
        <v>264</v>
      </c>
      <c r="D738" s="6">
        <v>24</v>
      </c>
      <c r="E738" s="7">
        <f>DAY(TableAopCalendar[[#This Row],[Date]])</f>
        <v>6</v>
      </c>
      <c r="F738" s="7">
        <f>IF(TableAopCalendar[[#This Row],[Day]]&lt;8,1,IF(TableAopCalendar[[#This Row],[Day]]&lt;15,2,IF(TableAopCalendar[[#This Row],[Day]]&lt;22,3,IF(TableAopCalendar[[#This Row],[Day]]&lt;29,4,IF(TableAopCalendar[[#This Row],[Day]]&lt;32,5)))))</f>
        <v>1</v>
      </c>
      <c r="G738" s="7" t="str">
        <f t="shared" si="37"/>
        <v>Week 1</v>
      </c>
      <c r="H738" s="7" t="str">
        <f t="shared" si="38"/>
        <v>April 24 Week 1</v>
      </c>
      <c r="I738" s="7" t="str">
        <f>CONCATENATE(UPPER(TableAopCalendar[[#This Row],[Month]])," ",TableAopCalendar[[#This Row],[Year]])</f>
        <v>APRIL 24</v>
      </c>
      <c r="J738" s="7" t="s">
        <v>274</v>
      </c>
      <c r="K738" s="7" t="str">
        <f>CONCATENATE(TableAopCalendar[[#This Row],[Month for Plan]]," ",TableAopCalendar[[#This Row],[Plan]])</f>
        <v>APRIL 24 PLANNED</v>
      </c>
    </row>
    <row r="739" spans="1:11" x14ac:dyDescent="0.3">
      <c r="A739" s="7">
        <f t="shared" si="36"/>
        <v>7</v>
      </c>
      <c r="B739" s="5">
        <v>45389</v>
      </c>
      <c r="C739" s="6" t="s">
        <v>264</v>
      </c>
      <c r="D739" s="6">
        <v>24</v>
      </c>
      <c r="E739" s="7">
        <f>DAY(TableAopCalendar[[#This Row],[Date]])</f>
        <v>7</v>
      </c>
      <c r="F739" s="7">
        <f>IF(TableAopCalendar[[#This Row],[Day]]&lt;8,1,IF(TableAopCalendar[[#This Row],[Day]]&lt;15,2,IF(TableAopCalendar[[#This Row],[Day]]&lt;22,3,IF(TableAopCalendar[[#This Row],[Day]]&lt;29,4,IF(TableAopCalendar[[#This Row],[Day]]&lt;32,5)))))</f>
        <v>1</v>
      </c>
      <c r="G739" s="7" t="str">
        <f t="shared" si="37"/>
        <v>Week 1</v>
      </c>
      <c r="H739" s="7" t="str">
        <f t="shared" si="38"/>
        <v>April 24 Week 1</v>
      </c>
      <c r="I739" s="7" t="str">
        <f>CONCATENATE(UPPER(TableAopCalendar[[#This Row],[Month]])," ",TableAopCalendar[[#This Row],[Year]])</f>
        <v>APRIL 24</v>
      </c>
      <c r="J739" s="7" t="s">
        <v>274</v>
      </c>
      <c r="K739" s="7" t="str">
        <f>CONCATENATE(TableAopCalendar[[#This Row],[Month for Plan]]," ",TableAopCalendar[[#This Row],[Plan]])</f>
        <v>APRIL 24 PLANNED</v>
      </c>
    </row>
    <row r="740" spans="1:11" x14ac:dyDescent="0.3">
      <c r="A740" s="7">
        <f t="shared" si="36"/>
        <v>1</v>
      </c>
      <c r="B740" s="5">
        <v>45390</v>
      </c>
      <c r="C740" s="6" t="s">
        <v>264</v>
      </c>
      <c r="D740" s="6">
        <v>24</v>
      </c>
      <c r="E740" s="7">
        <f>DAY(TableAopCalendar[[#This Row],[Date]])</f>
        <v>8</v>
      </c>
      <c r="F740" s="7">
        <f>IF(TableAopCalendar[[#This Row],[Day]]&lt;8,1,IF(TableAopCalendar[[#This Row],[Day]]&lt;15,2,IF(TableAopCalendar[[#This Row],[Day]]&lt;22,3,IF(TableAopCalendar[[#This Row],[Day]]&lt;29,4,IF(TableAopCalendar[[#This Row],[Day]]&lt;32,5)))))</f>
        <v>2</v>
      </c>
      <c r="G740" s="7" t="str">
        <f t="shared" si="37"/>
        <v>Week 2</v>
      </c>
      <c r="H740" s="7" t="str">
        <f t="shared" si="38"/>
        <v>April 24 Week 2</v>
      </c>
      <c r="I740" s="7" t="str">
        <f>CONCATENATE(UPPER(TableAopCalendar[[#This Row],[Month]])," ",TableAopCalendar[[#This Row],[Year]])</f>
        <v>APRIL 24</v>
      </c>
      <c r="J740" s="7" t="s">
        <v>274</v>
      </c>
      <c r="K740" s="7" t="str">
        <f>CONCATENATE(TableAopCalendar[[#This Row],[Month for Plan]]," ",TableAopCalendar[[#This Row],[Plan]])</f>
        <v>APRIL 24 PLANNED</v>
      </c>
    </row>
    <row r="741" spans="1:11" x14ac:dyDescent="0.3">
      <c r="A741" s="7">
        <f t="shared" si="36"/>
        <v>2</v>
      </c>
      <c r="B741" s="5">
        <v>45391</v>
      </c>
      <c r="C741" s="6" t="s">
        <v>264</v>
      </c>
      <c r="D741" s="6">
        <v>24</v>
      </c>
      <c r="E741" s="7">
        <f>DAY(TableAopCalendar[[#This Row],[Date]])</f>
        <v>9</v>
      </c>
      <c r="F741" s="7">
        <f>IF(TableAopCalendar[[#This Row],[Day]]&lt;8,1,IF(TableAopCalendar[[#This Row],[Day]]&lt;15,2,IF(TableAopCalendar[[#This Row],[Day]]&lt;22,3,IF(TableAopCalendar[[#This Row],[Day]]&lt;29,4,IF(TableAopCalendar[[#This Row],[Day]]&lt;32,5)))))</f>
        <v>2</v>
      </c>
      <c r="G741" s="7" t="str">
        <f t="shared" si="37"/>
        <v>Week 2</v>
      </c>
      <c r="H741" s="7" t="str">
        <f t="shared" si="38"/>
        <v>April 24 Week 2</v>
      </c>
      <c r="I741" s="7" t="str">
        <f>CONCATENATE(UPPER(TableAopCalendar[[#This Row],[Month]])," ",TableAopCalendar[[#This Row],[Year]])</f>
        <v>APRIL 24</v>
      </c>
      <c r="J741" s="7" t="s">
        <v>274</v>
      </c>
      <c r="K741" s="7" t="str">
        <f>CONCATENATE(TableAopCalendar[[#This Row],[Month for Plan]]," ",TableAopCalendar[[#This Row],[Plan]])</f>
        <v>APRIL 24 PLANNED</v>
      </c>
    </row>
    <row r="742" spans="1:11" x14ac:dyDescent="0.3">
      <c r="A742" s="7">
        <f t="shared" si="36"/>
        <v>3</v>
      </c>
      <c r="B742" s="5">
        <v>45392</v>
      </c>
      <c r="C742" s="6" t="s">
        <v>264</v>
      </c>
      <c r="D742" s="6">
        <v>24</v>
      </c>
      <c r="E742" s="7">
        <f>DAY(TableAopCalendar[[#This Row],[Date]])</f>
        <v>10</v>
      </c>
      <c r="F742" s="7">
        <f>IF(TableAopCalendar[[#This Row],[Day]]&lt;8,1,IF(TableAopCalendar[[#This Row],[Day]]&lt;15,2,IF(TableAopCalendar[[#This Row],[Day]]&lt;22,3,IF(TableAopCalendar[[#This Row],[Day]]&lt;29,4,IF(TableAopCalendar[[#This Row],[Day]]&lt;32,5)))))</f>
        <v>2</v>
      </c>
      <c r="G742" s="7" t="str">
        <f t="shared" si="37"/>
        <v>Week 2</v>
      </c>
      <c r="H742" s="7" t="str">
        <f t="shared" si="38"/>
        <v>April 24 Week 2</v>
      </c>
      <c r="I742" s="7" t="str">
        <f>CONCATENATE(UPPER(TableAopCalendar[[#This Row],[Month]])," ",TableAopCalendar[[#This Row],[Year]])</f>
        <v>APRIL 24</v>
      </c>
      <c r="J742" s="7" t="s">
        <v>274</v>
      </c>
      <c r="K742" s="7" t="str">
        <f>CONCATENATE(TableAopCalendar[[#This Row],[Month for Plan]]," ",TableAopCalendar[[#This Row],[Plan]])</f>
        <v>APRIL 24 PLANNED</v>
      </c>
    </row>
    <row r="743" spans="1:11" x14ac:dyDescent="0.3">
      <c r="A743" s="7">
        <f t="shared" si="36"/>
        <v>4</v>
      </c>
      <c r="B743" s="5">
        <v>45393</v>
      </c>
      <c r="C743" s="6" t="s">
        <v>264</v>
      </c>
      <c r="D743" s="6">
        <v>24</v>
      </c>
      <c r="E743" s="7">
        <f>DAY(TableAopCalendar[[#This Row],[Date]])</f>
        <v>11</v>
      </c>
      <c r="F743" s="7">
        <f>IF(TableAopCalendar[[#This Row],[Day]]&lt;8,1,IF(TableAopCalendar[[#This Row],[Day]]&lt;15,2,IF(TableAopCalendar[[#This Row],[Day]]&lt;22,3,IF(TableAopCalendar[[#This Row],[Day]]&lt;29,4,IF(TableAopCalendar[[#This Row],[Day]]&lt;32,5)))))</f>
        <v>2</v>
      </c>
      <c r="G743" s="7" t="str">
        <f t="shared" si="37"/>
        <v>Week 2</v>
      </c>
      <c r="H743" s="7" t="str">
        <f t="shared" si="38"/>
        <v>April 24 Week 2</v>
      </c>
      <c r="I743" s="7" t="str">
        <f>CONCATENATE(UPPER(TableAopCalendar[[#This Row],[Month]])," ",TableAopCalendar[[#This Row],[Year]])</f>
        <v>APRIL 24</v>
      </c>
      <c r="J743" s="7" t="s">
        <v>274</v>
      </c>
      <c r="K743" s="7" t="str">
        <f>CONCATENATE(TableAopCalendar[[#This Row],[Month for Plan]]," ",TableAopCalendar[[#This Row],[Plan]])</f>
        <v>APRIL 24 PLANNED</v>
      </c>
    </row>
    <row r="744" spans="1:11" x14ac:dyDescent="0.3">
      <c r="A744" s="7">
        <f t="shared" si="36"/>
        <v>5</v>
      </c>
      <c r="B744" s="5">
        <v>45394</v>
      </c>
      <c r="C744" s="6" t="s">
        <v>264</v>
      </c>
      <c r="D744" s="6">
        <v>24</v>
      </c>
      <c r="E744" s="7">
        <f>DAY(TableAopCalendar[[#This Row],[Date]])</f>
        <v>12</v>
      </c>
      <c r="F744" s="7">
        <f>IF(TableAopCalendar[[#This Row],[Day]]&lt;8,1,IF(TableAopCalendar[[#This Row],[Day]]&lt;15,2,IF(TableAopCalendar[[#This Row],[Day]]&lt;22,3,IF(TableAopCalendar[[#This Row],[Day]]&lt;29,4,IF(TableAopCalendar[[#This Row],[Day]]&lt;32,5)))))</f>
        <v>2</v>
      </c>
      <c r="G744" s="7" t="str">
        <f t="shared" si="37"/>
        <v>Week 2</v>
      </c>
      <c r="H744" s="7" t="str">
        <f t="shared" si="38"/>
        <v>April 24 Week 2</v>
      </c>
      <c r="I744" s="7" t="str">
        <f>CONCATENATE(UPPER(TableAopCalendar[[#This Row],[Month]])," ",TableAopCalendar[[#This Row],[Year]])</f>
        <v>APRIL 24</v>
      </c>
      <c r="J744" s="7" t="s">
        <v>274</v>
      </c>
      <c r="K744" s="7" t="str">
        <f>CONCATENATE(TableAopCalendar[[#This Row],[Month for Plan]]," ",TableAopCalendar[[#This Row],[Plan]])</f>
        <v>APRIL 24 PLANNED</v>
      </c>
    </row>
    <row r="745" spans="1:11" x14ac:dyDescent="0.3">
      <c r="A745" s="7">
        <f t="shared" si="36"/>
        <v>6</v>
      </c>
      <c r="B745" s="5">
        <v>45395</v>
      </c>
      <c r="C745" s="6" t="s">
        <v>264</v>
      </c>
      <c r="D745" s="6">
        <v>24</v>
      </c>
      <c r="E745" s="7">
        <f>DAY(TableAopCalendar[[#This Row],[Date]])</f>
        <v>13</v>
      </c>
      <c r="F745" s="7">
        <f>IF(TableAopCalendar[[#This Row],[Day]]&lt;8,1,IF(TableAopCalendar[[#This Row],[Day]]&lt;15,2,IF(TableAopCalendar[[#This Row],[Day]]&lt;22,3,IF(TableAopCalendar[[#This Row],[Day]]&lt;29,4,IF(TableAopCalendar[[#This Row],[Day]]&lt;32,5)))))</f>
        <v>2</v>
      </c>
      <c r="G745" s="7" t="str">
        <f t="shared" si="37"/>
        <v>Week 2</v>
      </c>
      <c r="H745" s="7" t="str">
        <f t="shared" si="38"/>
        <v>April 24 Week 2</v>
      </c>
      <c r="I745" s="7" t="str">
        <f>CONCATENATE(UPPER(TableAopCalendar[[#This Row],[Month]])," ",TableAopCalendar[[#This Row],[Year]])</f>
        <v>APRIL 24</v>
      </c>
      <c r="J745" s="7" t="s">
        <v>274</v>
      </c>
      <c r="K745" s="7" t="str">
        <f>CONCATENATE(TableAopCalendar[[#This Row],[Month for Plan]]," ",TableAopCalendar[[#This Row],[Plan]])</f>
        <v>APRIL 24 PLANNED</v>
      </c>
    </row>
    <row r="746" spans="1:11" x14ac:dyDescent="0.3">
      <c r="A746" s="7">
        <f t="shared" si="36"/>
        <v>7</v>
      </c>
      <c r="B746" s="5">
        <v>45396</v>
      </c>
      <c r="C746" s="6" t="s">
        <v>264</v>
      </c>
      <c r="D746" s="6">
        <v>24</v>
      </c>
      <c r="E746" s="7">
        <f>DAY(TableAopCalendar[[#This Row],[Date]])</f>
        <v>14</v>
      </c>
      <c r="F746" s="7">
        <f>IF(TableAopCalendar[[#This Row],[Day]]&lt;8,1,IF(TableAopCalendar[[#This Row],[Day]]&lt;15,2,IF(TableAopCalendar[[#This Row],[Day]]&lt;22,3,IF(TableAopCalendar[[#This Row],[Day]]&lt;29,4,IF(TableAopCalendar[[#This Row],[Day]]&lt;32,5)))))</f>
        <v>2</v>
      </c>
      <c r="G746" s="7" t="str">
        <f t="shared" si="37"/>
        <v>Week 2</v>
      </c>
      <c r="H746" s="7" t="str">
        <f t="shared" si="38"/>
        <v>April 24 Week 2</v>
      </c>
      <c r="I746" s="7" t="str">
        <f>CONCATENATE(UPPER(TableAopCalendar[[#This Row],[Month]])," ",TableAopCalendar[[#This Row],[Year]])</f>
        <v>APRIL 24</v>
      </c>
      <c r="J746" s="7" t="s">
        <v>274</v>
      </c>
      <c r="K746" s="7" t="str">
        <f>CONCATENATE(TableAopCalendar[[#This Row],[Month for Plan]]," ",TableAopCalendar[[#This Row],[Plan]])</f>
        <v>APRIL 24 PLANNED</v>
      </c>
    </row>
    <row r="747" spans="1:11" x14ac:dyDescent="0.3">
      <c r="A747" s="7">
        <f t="shared" si="36"/>
        <v>1</v>
      </c>
      <c r="B747" s="5">
        <v>45397</v>
      </c>
      <c r="C747" s="6" t="s">
        <v>264</v>
      </c>
      <c r="D747" s="6">
        <v>24</v>
      </c>
      <c r="E747" s="7">
        <f>DAY(TableAopCalendar[[#This Row],[Date]])</f>
        <v>15</v>
      </c>
      <c r="F747" s="7">
        <f>IF(TableAopCalendar[[#This Row],[Day]]&lt;8,1,IF(TableAopCalendar[[#This Row],[Day]]&lt;15,2,IF(TableAopCalendar[[#This Row],[Day]]&lt;22,3,IF(TableAopCalendar[[#This Row],[Day]]&lt;29,4,IF(TableAopCalendar[[#This Row],[Day]]&lt;32,5)))))</f>
        <v>3</v>
      </c>
      <c r="G747" s="7" t="str">
        <f t="shared" si="37"/>
        <v>Week 3</v>
      </c>
      <c r="H747" s="7" t="str">
        <f t="shared" si="38"/>
        <v>April 24 Week 3</v>
      </c>
      <c r="I747" s="7" t="str">
        <f>CONCATENATE(UPPER(TableAopCalendar[[#This Row],[Month]])," ",TableAopCalendar[[#This Row],[Year]])</f>
        <v>APRIL 24</v>
      </c>
      <c r="J747" s="7" t="s">
        <v>274</v>
      </c>
      <c r="K747" s="7" t="str">
        <f>CONCATENATE(TableAopCalendar[[#This Row],[Month for Plan]]," ",TableAopCalendar[[#This Row],[Plan]])</f>
        <v>APRIL 24 PLANNED</v>
      </c>
    </row>
    <row r="748" spans="1:11" x14ac:dyDescent="0.3">
      <c r="A748" s="7">
        <f t="shared" si="36"/>
        <v>2</v>
      </c>
      <c r="B748" s="5">
        <v>45398</v>
      </c>
      <c r="C748" s="6" t="s">
        <v>264</v>
      </c>
      <c r="D748" s="6">
        <v>24</v>
      </c>
      <c r="E748" s="7">
        <f>DAY(TableAopCalendar[[#This Row],[Date]])</f>
        <v>16</v>
      </c>
      <c r="F748" s="7">
        <f>IF(TableAopCalendar[[#This Row],[Day]]&lt;8,1,IF(TableAopCalendar[[#This Row],[Day]]&lt;15,2,IF(TableAopCalendar[[#This Row],[Day]]&lt;22,3,IF(TableAopCalendar[[#This Row],[Day]]&lt;29,4,IF(TableAopCalendar[[#This Row],[Day]]&lt;32,5)))))</f>
        <v>3</v>
      </c>
      <c r="G748" s="7" t="str">
        <f t="shared" si="37"/>
        <v>Week 3</v>
      </c>
      <c r="H748" s="7" t="str">
        <f t="shared" si="38"/>
        <v>April 24 Week 3</v>
      </c>
      <c r="I748" s="7" t="str">
        <f>CONCATENATE(UPPER(TableAopCalendar[[#This Row],[Month]])," ",TableAopCalendar[[#This Row],[Year]])</f>
        <v>APRIL 24</v>
      </c>
      <c r="J748" s="7" t="s">
        <v>274</v>
      </c>
      <c r="K748" s="7" t="str">
        <f>CONCATENATE(TableAopCalendar[[#This Row],[Month for Plan]]," ",TableAopCalendar[[#This Row],[Plan]])</f>
        <v>APRIL 24 PLANNED</v>
      </c>
    </row>
    <row r="749" spans="1:11" x14ac:dyDescent="0.3">
      <c r="A749" s="7">
        <f t="shared" si="36"/>
        <v>3</v>
      </c>
      <c r="B749" s="5">
        <v>45399</v>
      </c>
      <c r="C749" s="6" t="s">
        <v>264</v>
      </c>
      <c r="D749" s="6">
        <v>24</v>
      </c>
      <c r="E749" s="7">
        <f>DAY(TableAopCalendar[[#This Row],[Date]])</f>
        <v>17</v>
      </c>
      <c r="F749" s="7">
        <f>IF(TableAopCalendar[[#This Row],[Day]]&lt;8,1,IF(TableAopCalendar[[#This Row],[Day]]&lt;15,2,IF(TableAopCalendar[[#This Row],[Day]]&lt;22,3,IF(TableAopCalendar[[#This Row],[Day]]&lt;29,4,IF(TableAopCalendar[[#This Row],[Day]]&lt;32,5)))))</f>
        <v>3</v>
      </c>
      <c r="G749" s="7" t="str">
        <f t="shared" si="37"/>
        <v>Week 3</v>
      </c>
      <c r="H749" s="7" t="str">
        <f t="shared" si="38"/>
        <v>April 24 Week 3</v>
      </c>
      <c r="I749" s="7" t="str">
        <f>CONCATENATE(UPPER(TableAopCalendar[[#This Row],[Month]])," ",TableAopCalendar[[#This Row],[Year]])</f>
        <v>APRIL 24</v>
      </c>
      <c r="J749" s="7" t="s">
        <v>274</v>
      </c>
      <c r="K749" s="7" t="str">
        <f>CONCATENATE(TableAopCalendar[[#This Row],[Month for Plan]]," ",TableAopCalendar[[#This Row],[Plan]])</f>
        <v>APRIL 24 PLANNED</v>
      </c>
    </row>
    <row r="750" spans="1:11" x14ac:dyDescent="0.3">
      <c r="A750" s="7">
        <f t="shared" si="36"/>
        <v>4</v>
      </c>
      <c r="B750" s="5">
        <v>45400</v>
      </c>
      <c r="C750" s="6" t="s">
        <v>264</v>
      </c>
      <c r="D750" s="6">
        <v>24</v>
      </c>
      <c r="E750" s="7">
        <f>DAY(TableAopCalendar[[#This Row],[Date]])</f>
        <v>18</v>
      </c>
      <c r="F750" s="7">
        <f>IF(TableAopCalendar[[#This Row],[Day]]&lt;8,1,IF(TableAopCalendar[[#This Row],[Day]]&lt;15,2,IF(TableAopCalendar[[#This Row],[Day]]&lt;22,3,IF(TableAopCalendar[[#This Row],[Day]]&lt;29,4,IF(TableAopCalendar[[#This Row],[Day]]&lt;32,5)))))</f>
        <v>3</v>
      </c>
      <c r="G750" s="7" t="str">
        <f t="shared" si="37"/>
        <v>Week 3</v>
      </c>
      <c r="H750" s="7" t="str">
        <f t="shared" si="38"/>
        <v>April 24 Week 3</v>
      </c>
      <c r="I750" s="7" t="str">
        <f>CONCATENATE(UPPER(TableAopCalendar[[#This Row],[Month]])," ",TableAopCalendar[[#This Row],[Year]])</f>
        <v>APRIL 24</v>
      </c>
      <c r="J750" s="7" t="s">
        <v>274</v>
      </c>
      <c r="K750" s="7" t="str">
        <f>CONCATENATE(TableAopCalendar[[#This Row],[Month for Plan]]," ",TableAopCalendar[[#This Row],[Plan]])</f>
        <v>APRIL 24 PLANNED</v>
      </c>
    </row>
    <row r="751" spans="1:11" x14ac:dyDescent="0.3">
      <c r="A751" s="7">
        <f t="shared" si="36"/>
        <v>5</v>
      </c>
      <c r="B751" s="5">
        <v>45401</v>
      </c>
      <c r="C751" s="6" t="s">
        <v>264</v>
      </c>
      <c r="D751" s="6">
        <v>24</v>
      </c>
      <c r="E751" s="7">
        <f>DAY(TableAopCalendar[[#This Row],[Date]])</f>
        <v>19</v>
      </c>
      <c r="F751" s="7">
        <f>IF(TableAopCalendar[[#This Row],[Day]]&lt;8,1,IF(TableAopCalendar[[#This Row],[Day]]&lt;15,2,IF(TableAopCalendar[[#This Row],[Day]]&lt;22,3,IF(TableAopCalendar[[#This Row],[Day]]&lt;29,4,IF(TableAopCalendar[[#This Row],[Day]]&lt;32,5)))))</f>
        <v>3</v>
      </c>
      <c r="G751" s="7" t="str">
        <f t="shared" si="37"/>
        <v>Week 3</v>
      </c>
      <c r="H751" s="7" t="str">
        <f t="shared" si="38"/>
        <v>April 24 Week 3</v>
      </c>
      <c r="I751" s="7" t="str">
        <f>CONCATENATE(UPPER(TableAopCalendar[[#This Row],[Month]])," ",TableAopCalendar[[#This Row],[Year]])</f>
        <v>APRIL 24</v>
      </c>
      <c r="J751" s="7" t="s">
        <v>274</v>
      </c>
      <c r="K751" s="7" t="str">
        <f>CONCATENATE(TableAopCalendar[[#This Row],[Month for Plan]]," ",TableAopCalendar[[#This Row],[Plan]])</f>
        <v>APRIL 24 PLANNED</v>
      </c>
    </row>
    <row r="752" spans="1:11" x14ac:dyDescent="0.3">
      <c r="A752" s="7">
        <f t="shared" si="36"/>
        <v>6</v>
      </c>
      <c r="B752" s="5">
        <v>45402</v>
      </c>
      <c r="C752" s="6" t="s">
        <v>264</v>
      </c>
      <c r="D752" s="6">
        <v>24</v>
      </c>
      <c r="E752" s="7">
        <f>DAY(TableAopCalendar[[#This Row],[Date]])</f>
        <v>20</v>
      </c>
      <c r="F752" s="7">
        <f>IF(TableAopCalendar[[#This Row],[Day]]&lt;8,1,IF(TableAopCalendar[[#This Row],[Day]]&lt;15,2,IF(TableAopCalendar[[#This Row],[Day]]&lt;22,3,IF(TableAopCalendar[[#This Row],[Day]]&lt;29,4,IF(TableAopCalendar[[#This Row],[Day]]&lt;32,5)))))</f>
        <v>3</v>
      </c>
      <c r="G752" s="7" t="str">
        <f t="shared" si="37"/>
        <v>Week 3</v>
      </c>
      <c r="H752" s="7" t="str">
        <f t="shared" si="38"/>
        <v>April 24 Week 3</v>
      </c>
      <c r="I752" s="7" t="str">
        <f>CONCATENATE(UPPER(TableAopCalendar[[#This Row],[Month]])," ",TableAopCalendar[[#This Row],[Year]])</f>
        <v>APRIL 24</v>
      </c>
      <c r="J752" s="7" t="s">
        <v>274</v>
      </c>
      <c r="K752" s="7" t="str">
        <f>CONCATENATE(TableAopCalendar[[#This Row],[Month for Plan]]," ",TableAopCalendar[[#This Row],[Plan]])</f>
        <v>APRIL 24 PLANNED</v>
      </c>
    </row>
    <row r="753" spans="1:11" x14ac:dyDescent="0.3">
      <c r="A753" s="7">
        <f t="shared" si="36"/>
        <v>7</v>
      </c>
      <c r="B753" s="5">
        <v>45403</v>
      </c>
      <c r="C753" s="6" t="s">
        <v>264</v>
      </c>
      <c r="D753" s="6">
        <v>24</v>
      </c>
      <c r="E753" s="7">
        <f>DAY(TableAopCalendar[[#This Row],[Date]])</f>
        <v>21</v>
      </c>
      <c r="F753" s="7">
        <f>IF(TableAopCalendar[[#This Row],[Day]]&lt;8,1,IF(TableAopCalendar[[#This Row],[Day]]&lt;15,2,IF(TableAopCalendar[[#This Row],[Day]]&lt;22,3,IF(TableAopCalendar[[#This Row],[Day]]&lt;29,4,IF(TableAopCalendar[[#This Row],[Day]]&lt;32,5)))))</f>
        <v>3</v>
      </c>
      <c r="G753" s="7" t="str">
        <f t="shared" si="37"/>
        <v>Week 3</v>
      </c>
      <c r="H753" s="7" t="str">
        <f t="shared" si="38"/>
        <v>April 24 Week 3</v>
      </c>
      <c r="I753" s="7" t="str">
        <f>CONCATENATE(UPPER(TableAopCalendar[[#This Row],[Month]])," ",TableAopCalendar[[#This Row],[Year]])</f>
        <v>APRIL 24</v>
      </c>
      <c r="J753" s="7" t="s">
        <v>274</v>
      </c>
      <c r="K753" s="7" t="str">
        <f>CONCATENATE(TableAopCalendar[[#This Row],[Month for Plan]]," ",TableAopCalendar[[#This Row],[Plan]])</f>
        <v>APRIL 24 PLANNED</v>
      </c>
    </row>
    <row r="754" spans="1:11" x14ac:dyDescent="0.3">
      <c r="A754" s="7">
        <f t="shared" si="36"/>
        <v>1</v>
      </c>
      <c r="B754" s="5">
        <v>45404</v>
      </c>
      <c r="C754" s="6" t="s">
        <v>264</v>
      </c>
      <c r="D754" s="6">
        <v>24</v>
      </c>
      <c r="E754" s="7">
        <f>DAY(TableAopCalendar[[#This Row],[Date]])</f>
        <v>22</v>
      </c>
      <c r="F754" s="7">
        <f>IF(TableAopCalendar[[#This Row],[Day]]&lt;8,1,IF(TableAopCalendar[[#This Row],[Day]]&lt;15,2,IF(TableAopCalendar[[#This Row],[Day]]&lt;22,3,IF(TableAopCalendar[[#This Row],[Day]]&lt;29,4,IF(TableAopCalendar[[#This Row],[Day]]&lt;32,5)))))</f>
        <v>4</v>
      </c>
      <c r="G754" s="7" t="str">
        <f t="shared" si="37"/>
        <v>Week 4</v>
      </c>
      <c r="H754" s="7" t="str">
        <f t="shared" si="38"/>
        <v>April 24 Week 4</v>
      </c>
      <c r="I754" s="7" t="str">
        <f>CONCATENATE(UPPER(TableAopCalendar[[#This Row],[Month]])," ",TableAopCalendar[[#This Row],[Year]])</f>
        <v>APRIL 24</v>
      </c>
      <c r="J754" s="7" t="s">
        <v>274</v>
      </c>
      <c r="K754" s="7" t="str">
        <f>CONCATENATE(TableAopCalendar[[#This Row],[Month for Plan]]," ",TableAopCalendar[[#This Row],[Plan]])</f>
        <v>APRIL 24 PLANNED</v>
      </c>
    </row>
    <row r="755" spans="1:11" x14ac:dyDescent="0.3">
      <c r="A755" s="7">
        <f t="shared" si="36"/>
        <v>2</v>
      </c>
      <c r="B755" s="5">
        <v>45405</v>
      </c>
      <c r="C755" s="6" t="s">
        <v>264</v>
      </c>
      <c r="D755" s="6">
        <v>24</v>
      </c>
      <c r="E755" s="7">
        <f>DAY(TableAopCalendar[[#This Row],[Date]])</f>
        <v>23</v>
      </c>
      <c r="F755" s="7">
        <f>IF(TableAopCalendar[[#This Row],[Day]]&lt;8,1,IF(TableAopCalendar[[#This Row],[Day]]&lt;15,2,IF(TableAopCalendar[[#This Row],[Day]]&lt;22,3,IF(TableAopCalendar[[#This Row],[Day]]&lt;29,4,IF(TableAopCalendar[[#This Row],[Day]]&lt;32,5)))))</f>
        <v>4</v>
      </c>
      <c r="G755" s="7" t="str">
        <f t="shared" si="37"/>
        <v>Week 4</v>
      </c>
      <c r="H755" s="7" t="str">
        <f t="shared" si="38"/>
        <v>April 24 Week 4</v>
      </c>
      <c r="I755" s="7" t="str">
        <f>CONCATENATE(UPPER(TableAopCalendar[[#This Row],[Month]])," ",TableAopCalendar[[#This Row],[Year]])</f>
        <v>APRIL 24</v>
      </c>
      <c r="J755" s="7" t="s">
        <v>274</v>
      </c>
      <c r="K755" s="7" t="str">
        <f>CONCATENATE(TableAopCalendar[[#This Row],[Month for Plan]]," ",TableAopCalendar[[#This Row],[Plan]])</f>
        <v>APRIL 24 PLANNED</v>
      </c>
    </row>
    <row r="756" spans="1:11" x14ac:dyDescent="0.3">
      <c r="A756" s="7">
        <f t="shared" si="36"/>
        <v>3</v>
      </c>
      <c r="B756" s="5">
        <v>45406</v>
      </c>
      <c r="C756" s="6" t="s">
        <v>264</v>
      </c>
      <c r="D756" s="6">
        <v>24</v>
      </c>
      <c r="E756" s="7">
        <f>DAY(TableAopCalendar[[#This Row],[Date]])</f>
        <v>24</v>
      </c>
      <c r="F756" s="7">
        <f>IF(TableAopCalendar[[#This Row],[Day]]&lt;8,1,IF(TableAopCalendar[[#This Row],[Day]]&lt;15,2,IF(TableAopCalendar[[#This Row],[Day]]&lt;22,3,IF(TableAopCalendar[[#This Row],[Day]]&lt;29,4,IF(TableAopCalendar[[#This Row],[Day]]&lt;32,5)))))</f>
        <v>4</v>
      </c>
      <c r="G756" s="7" t="str">
        <f t="shared" si="37"/>
        <v>Week 4</v>
      </c>
      <c r="H756" s="7" t="str">
        <f t="shared" si="38"/>
        <v>April 24 Week 4</v>
      </c>
      <c r="I756" s="7" t="str">
        <f>CONCATENATE(UPPER(TableAopCalendar[[#This Row],[Month]])," ",TableAopCalendar[[#This Row],[Year]])</f>
        <v>APRIL 24</v>
      </c>
      <c r="J756" s="7" t="s">
        <v>274</v>
      </c>
      <c r="K756" s="7" t="str">
        <f>CONCATENATE(TableAopCalendar[[#This Row],[Month for Plan]]," ",TableAopCalendar[[#This Row],[Plan]])</f>
        <v>APRIL 24 PLANNED</v>
      </c>
    </row>
    <row r="757" spans="1:11" x14ac:dyDescent="0.3">
      <c r="A757" s="7">
        <f t="shared" si="36"/>
        <v>4</v>
      </c>
      <c r="B757" s="5">
        <v>45407</v>
      </c>
      <c r="C757" s="6" t="s">
        <v>264</v>
      </c>
      <c r="D757" s="6">
        <v>24</v>
      </c>
      <c r="E757" s="7">
        <f>DAY(TableAopCalendar[[#This Row],[Date]])</f>
        <v>25</v>
      </c>
      <c r="F757" s="7">
        <f>IF(TableAopCalendar[[#This Row],[Day]]&lt;8,1,IF(TableAopCalendar[[#This Row],[Day]]&lt;15,2,IF(TableAopCalendar[[#This Row],[Day]]&lt;22,3,IF(TableAopCalendar[[#This Row],[Day]]&lt;29,4,IF(TableAopCalendar[[#This Row],[Day]]&lt;32,5)))))</f>
        <v>4</v>
      </c>
      <c r="G757" s="7" t="str">
        <f t="shared" si="37"/>
        <v>Week 4</v>
      </c>
      <c r="H757" s="7" t="str">
        <f t="shared" si="38"/>
        <v>April 24 Week 4</v>
      </c>
      <c r="I757" s="7" t="str">
        <f>CONCATENATE(UPPER(TableAopCalendar[[#This Row],[Month]])," ",TableAopCalendar[[#This Row],[Year]])</f>
        <v>APRIL 24</v>
      </c>
      <c r="J757" s="7" t="s">
        <v>274</v>
      </c>
      <c r="K757" s="7" t="str">
        <f>CONCATENATE(TableAopCalendar[[#This Row],[Month for Plan]]," ",TableAopCalendar[[#This Row],[Plan]])</f>
        <v>APRIL 24 PLANNED</v>
      </c>
    </row>
    <row r="758" spans="1:11" x14ac:dyDescent="0.3">
      <c r="A758" s="7">
        <f t="shared" si="36"/>
        <v>5</v>
      </c>
      <c r="B758" s="5">
        <v>45408</v>
      </c>
      <c r="C758" s="6" t="s">
        <v>264</v>
      </c>
      <c r="D758" s="6">
        <v>24</v>
      </c>
      <c r="E758" s="7">
        <f>DAY(TableAopCalendar[[#This Row],[Date]])</f>
        <v>26</v>
      </c>
      <c r="F758" s="7">
        <f>IF(TableAopCalendar[[#This Row],[Day]]&lt;8,1,IF(TableAopCalendar[[#This Row],[Day]]&lt;15,2,IF(TableAopCalendar[[#This Row],[Day]]&lt;22,3,IF(TableAopCalendar[[#This Row],[Day]]&lt;29,4,IF(TableAopCalendar[[#This Row],[Day]]&lt;32,5)))))</f>
        <v>4</v>
      </c>
      <c r="G758" s="7" t="str">
        <f t="shared" si="37"/>
        <v>Week 4</v>
      </c>
      <c r="H758" s="7" t="str">
        <f t="shared" si="38"/>
        <v>April 24 Week 4</v>
      </c>
      <c r="I758" s="7" t="str">
        <f>CONCATENATE(UPPER(TableAopCalendar[[#This Row],[Month]])," ",TableAopCalendar[[#This Row],[Year]])</f>
        <v>APRIL 24</v>
      </c>
      <c r="J758" s="7" t="s">
        <v>274</v>
      </c>
      <c r="K758" s="7" t="str">
        <f>CONCATENATE(TableAopCalendar[[#This Row],[Month for Plan]]," ",TableAopCalendar[[#This Row],[Plan]])</f>
        <v>APRIL 24 PLANNED</v>
      </c>
    </row>
    <row r="759" spans="1:11" x14ac:dyDescent="0.3">
      <c r="A759" s="7">
        <f t="shared" si="36"/>
        <v>6</v>
      </c>
      <c r="B759" s="5">
        <v>45409</v>
      </c>
      <c r="C759" s="6" t="s">
        <v>264</v>
      </c>
      <c r="D759" s="6">
        <v>24</v>
      </c>
      <c r="E759" s="7">
        <f>DAY(TableAopCalendar[[#This Row],[Date]])</f>
        <v>27</v>
      </c>
      <c r="F759" s="7">
        <f>IF(TableAopCalendar[[#This Row],[Day]]&lt;8,1,IF(TableAopCalendar[[#This Row],[Day]]&lt;15,2,IF(TableAopCalendar[[#This Row],[Day]]&lt;22,3,IF(TableAopCalendar[[#This Row],[Day]]&lt;29,4,IF(TableAopCalendar[[#This Row],[Day]]&lt;32,5)))))</f>
        <v>4</v>
      </c>
      <c r="G759" s="7" t="str">
        <f t="shared" si="37"/>
        <v>Week 4</v>
      </c>
      <c r="H759" s="7" t="str">
        <f t="shared" si="38"/>
        <v>April 24 Week 4</v>
      </c>
      <c r="I759" s="7" t="str">
        <f>CONCATENATE(UPPER(TableAopCalendar[[#This Row],[Month]])," ",TableAopCalendar[[#This Row],[Year]])</f>
        <v>APRIL 24</v>
      </c>
      <c r="J759" s="7" t="s">
        <v>274</v>
      </c>
      <c r="K759" s="7" t="str">
        <f>CONCATENATE(TableAopCalendar[[#This Row],[Month for Plan]]," ",TableAopCalendar[[#This Row],[Plan]])</f>
        <v>APRIL 24 PLANNED</v>
      </c>
    </row>
    <row r="760" spans="1:11" x14ac:dyDescent="0.3">
      <c r="A760" s="7">
        <f t="shared" si="36"/>
        <v>7</v>
      </c>
      <c r="B760" s="5">
        <v>45410</v>
      </c>
      <c r="C760" s="6" t="s">
        <v>264</v>
      </c>
      <c r="D760" s="6">
        <v>24</v>
      </c>
      <c r="E760" s="7">
        <f>DAY(TableAopCalendar[[#This Row],[Date]])</f>
        <v>28</v>
      </c>
      <c r="F760" s="7">
        <f>IF(TableAopCalendar[[#This Row],[Day]]&lt;8,1,IF(TableAopCalendar[[#This Row],[Day]]&lt;15,2,IF(TableAopCalendar[[#This Row],[Day]]&lt;22,3,IF(TableAopCalendar[[#This Row],[Day]]&lt;29,4,IF(TableAopCalendar[[#This Row],[Day]]&lt;32,5)))))</f>
        <v>4</v>
      </c>
      <c r="G760" s="7" t="str">
        <f t="shared" si="37"/>
        <v>Week 4</v>
      </c>
      <c r="H760" s="7" t="str">
        <f t="shared" si="38"/>
        <v>April 24 Week 4</v>
      </c>
      <c r="I760" s="7" t="str">
        <f>CONCATENATE(UPPER(TableAopCalendar[[#This Row],[Month]])," ",TableAopCalendar[[#This Row],[Year]])</f>
        <v>APRIL 24</v>
      </c>
      <c r="J760" s="7" t="s">
        <v>274</v>
      </c>
      <c r="K760" s="7" t="str">
        <f>CONCATENATE(TableAopCalendar[[#This Row],[Month for Plan]]," ",TableAopCalendar[[#This Row],[Plan]])</f>
        <v>APRIL 24 PLANNED</v>
      </c>
    </row>
    <row r="761" spans="1:11" x14ac:dyDescent="0.3">
      <c r="A761" s="7">
        <f t="shared" si="36"/>
        <v>1</v>
      </c>
      <c r="B761" s="5">
        <v>45411</v>
      </c>
      <c r="C761" s="6" t="s">
        <v>264</v>
      </c>
      <c r="D761" s="6">
        <v>24</v>
      </c>
      <c r="E761" s="7">
        <f>DAY(TableAopCalendar[[#This Row],[Date]])</f>
        <v>29</v>
      </c>
      <c r="F761" s="7">
        <f>IF(TableAopCalendar[[#This Row],[Day]]&lt;8,1,IF(TableAopCalendar[[#This Row],[Day]]&lt;15,2,IF(TableAopCalendar[[#This Row],[Day]]&lt;22,3,IF(TableAopCalendar[[#This Row],[Day]]&lt;29,4,IF(TableAopCalendar[[#This Row],[Day]]&lt;32,5)))))</f>
        <v>5</v>
      </c>
      <c r="G761" s="7" t="str">
        <f t="shared" si="37"/>
        <v>Week 5</v>
      </c>
      <c r="H761" s="7" t="str">
        <f t="shared" si="38"/>
        <v>April 24 Week 5</v>
      </c>
      <c r="I761" s="7" t="str">
        <f>CONCATENATE(UPPER(TableAopCalendar[[#This Row],[Month]])," ",TableAopCalendar[[#This Row],[Year]])</f>
        <v>APRIL 24</v>
      </c>
      <c r="J761" s="7" t="s">
        <v>274</v>
      </c>
      <c r="K761" s="7" t="str">
        <f>CONCATENATE(TableAopCalendar[[#This Row],[Month for Plan]]," ",TableAopCalendar[[#This Row],[Plan]])</f>
        <v>APRIL 24 PLANNED</v>
      </c>
    </row>
    <row r="762" spans="1:11" x14ac:dyDescent="0.3">
      <c r="A762" s="7">
        <f t="shared" si="36"/>
        <v>2</v>
      </c>
      <c r="B762" s="5">
        <v>45412</v>
      </c>
      <c r="C762" s="6" t="s">
        <v>264</v>
      </c>
      <c r="D762" s="6">
        <v>24</v>
      </c>
      <c r="E762" s="7">
        <f>DAY(TableAopCalendar[[#This Row],[Date]])</f>
        <v>30</v>
      </c>
      <c r="F762" s="7">
        <f>IF(TableAopCalendar[[#This Row],[Day]]&lt;8,1,IF(TableAopCalendar[[#This Row],[Day]]&lt;15,2,IF(TableAopCalendar[[#This Row],[Day]]&lt;22,3,IF(TableAopCalendar[[#This Row],[Day]]&lt;29,4,IF(TableAopCalendar[[#This Row],[Day]]&lt;32,5)))))</f>
        <v>5</v>
      </c>
      <c r="G762" s="7" t="str">
        <f t="shared" si="37"/>
        <v>Week 5</v>
      </c>
      <c r="H762" s="7" t="str">
        <f t="shared" si="38"/>
        <v>April 24 Week 5</v>
      </c>
      <c r="I762" s="7" t="str">
        <f>CONCATENATE(UPPER(TableAopCalendar[[#This Row],[Month]])," ",TableAopCalendar[[#This Row],[Year]])</f>
        <v>APRIL 24</v>
      </c>
      <c r="J762" s="7" t="s">
        <v>274</v>
      </c>
      <c r="K762" s="7" t="str">
        <f>CONCATENATE(TableAopCalendar[[#This Row],[Month for Plan]]," ",TableAopCalendar[[#This Row],[Plan]])</f>
        <v>APRIL 24 PLANNED</v>
      </c>
    </row>
    <row r="763" spans="1:11" x14ac:dyDescent="0.3">
      <c r="A763" s="7">
        <f t="shared" si="36"/>
        <v>1</v>
      </c>
      <c r="B763" s="5">
        <v>45413</v>
      </c>
      <c r="C763" s="6" t="s">
        <v>265</v>
      </c>
      <c r="D763" s="6">
        <v>24</v>
      </c>
      <c r="E763" s="7">
        <f>DAY(TableAopCalendar[[#This Row],[Date]])</f>
        <v>1</v>
      </c>
      <c r="F763" s="7">
        <f>IF(TableAopCalendar[[#This Row],[Day]]&lt;8,1,IF(TableAopCalendar[[#This Row],[Day]]&lt;15,2,IF(TableAopCalendar[[#This Row],[Day]]&lt;22,3,IF(TableAopCalendar[[#This Row],[Day]]&lt;29,4,IF(TableAopCalendar[[#This Row],[Day]]&lt;32,5)))))</f>
        <v>1</v>
      </c>
      <c r="G763" s="7" t="str">
        <f t="shared" si="37"/>
        <v>Week 1</v>
      </c>
      <c r="H763" s="7" t="str">
        <f t="shared" si="38"/>
        <v>May 24 Week 1</v>
      </c>
      <c r="I763" s="7" t="str">
        <f>CONCATENATE(UPPER(TableAopCalendar[[#This Row],[Month]])," ",TableAopCalendar[[#This Row],[Year]])</f>
        <v>MAY 24</v>
      </c>
      <c r="J763" s="7" t="s">
        <v>274</v>
      </c>
      <c r="K763" s="7" t="str">
        <f>CONCATENATE(TableAopCalendar[[#This Row],[Month for Plan]]," ",TableAopCalendar[[#This Row],[Plan]])</f>
        <v>MAY 24 PLANNED</v>
      </c>
    </row>
    <row r="764" spans="1:11" x14ac:dyDescent="0.3">
      <c r="A764" s="7">
        <f t="shared" si="36"/>
        <v>2</v>
      </c>
      <c r="B764" s="5">
        <v>45414</v>
      </c>
      <c r="C764" s="6" t="s">
        <v>265</v>
      </c>
      <c r="D764" s="6">
        <v>24</v>
      </c>
      <c r="E764" s="7">
        <f>DAY(TableAopCalendar[[#This Row],[Date]])</f>
        <v>2</v>
      </c>
      <c r="F764" s="7">
        <f>IF(TableAopCalendar[[#This Row],[Day]]&lt;8,1,IF(TableAopCalendar[[#This Row],[Day]]&lt;15,2,IF(TableAopCalendar[[#This Row],[Day]]&lt;22,3,IF(TableAopCalendar[[#This Row],[Day]]&lt;29,4,IF(TableAopCalendar[[#This Row],[Day]]&lt;32,5)))))</f>
        <v>1</v>
      </c>
      <c r="G764" s="7" t="str">
        <f t="shared" si="37"/>
        <v>Week 1</v>
      </c>
      <c r="H764" s="7" t="str">
        <f t="shared" si="38"/>
        <v>May 24 Week 1</v>
      </c>
      <c r="I764" s="7" t="str">
        <f>CONCATENATE(UPPER(TableAopCalendar[[#This Row],[Month]])," ",TableAopCalendar[[#This Row],[Year]])</f>
        <v>MAY 24</v>
      </c>
      <c r="J764" s="7" t="s">
        <v>274</v>
      </c>
      <c r="K764" s="7" t="str">
        <f>CONCATENATE(TableAopCalendar[[#This Row],[Month for Plan]]," ",TableAopCalendar[[#This Row],[Plan]])</f>
        <v>MAY 24 PLANNED</v>
      </c>
    </row>
    <row r="765" spans="1:11" x14ac:dyDescent="0.3">
      <c r="A765" s="7">
        <f t="shared" ref="A765:A796" si="39">IF(G765=G764,A764+1,1)</f>
        <v>3</v>
      </c>
      <c r="B765" s="5">
        <v>45415</v>
      </c>
      <c r="C765" s="6" t="s">
        <v>265</v>
      </c>
      <c r="D765" s="6">
        <v>24</v>
      </c>
      <c r="E765" s="7">
        <f>DAY(TableAopCalendar[[#This Row],[Date]])</f>
        <v>3</v>
      </c>
      <c r="F765" s="7">
        <f>IF(TableAopCalendar[[#This Row],[Day]]&lt;8,1,IF(TableAopCalendar[[#This Row],[Day]]&lt;15,2,IF(TableAopCalendar[[#This Row],[Day]]&lt;22,3,IF(TableAopCalendar[[#This Row],[Day]]&lt;29,4,IF(TableAopCalendar[[#This Row],[Day]]&lt;32,5)))))</f>
        <v>1</v>
      </c>
      <c r="G765" s="7" t="str">
        <f t="shared" ref="G765:G796" si="40">"Week"&amp;" "&amp;F765</f>
        <v>Week 1</v>
      </c>
      <c r="H765" s="7" t="str">
        <f t="shared" ref="H765:H796" si="41">CONCATENATE(C765," ",D765," ",G765)</f>
        <v>May 24 Week 1</v>
      </c>
      <c r="I765" s="7" t="str">
        <f>CONCATENATE(UPPER(TableAopCalendar[[#This Row],[Month]])," ",TableAopCalendar[[#This Row],[Year]])</f>
        <v>MAY 24</v>
      </c>
      <c r="J765" s="7" t="s">
        <v>274</v>
      </c>
      <c r="K765" s="7" t="str">
        <f>CONCATENATE(TableAopCalendar[[#This Row],[Month for Plan]]," ",TableAopCalendar[[#This Row],[Plan]])</f>
        <v>MAY 24 PLANNED</v>
      </c>
    </row>
    <row r="766" spans="1:11" x14ac:dyDescent="0.3">
      <c r="A766" s="7">
        <f t="shared" si="39"/>
        <v>4</v>
      </c>
      <c r="B766" s="5">
        <v>45416</v>
      </c>
      <c r="C766" s="6" t="s">
        <v>265</v>
      </c>
      <c r="D766" s="6">
        <v>24</v>
      </c>
      <c r="E766" s="7">
        <f>DAY(TableAopCalendar[[#This Row],[Date]])</f>
        <v>4</v>
      </c>
      <c r="F766" s="7">
        <f>IF(TableAopCalendar[[#This Row],[Day]]&lt;8,1,IF(TableAopCalendar[[#This Row],[Day]]&lt;15,2,IF(TableAopCalendar[[#This Row],[Day]]&lt;22,3,IF(TableAopCalendar[[#This Row],[Day]]&lt;29,4,IF(TableAopCalendar[[#This Row],[Day]]&lt;32,5)))))</f>
        <v>1</v>
      </c>
      <c r="G766" s="7" t="str">
        <f t="shared" si="40"/>
        <v>Week 1</v>
      </c>
      <c r="H766" s="7" t="str">
        <f t="shared" si="41"/>
        <v>May 24 Week 1</v>
      </c>
      <c r="I766" s="7" t="str">
        <f>CONCATENATE(UPPER(TableAopCalendar[[#This Row],[Month]])," ",TableAopCalendar[[#This Row],[Year]])</f>
        <v>MAY 24</v>
      </c>
      <c r="J766" s="7" t="s">
        <v>274</v>
      </c>
      <c r="K766" s="7" t="str">
        <f>CONCATENATE(TableAopCalendar[[#This Row],[Month for Plan]]," ",TableAopCalendar[[#This Row],[Plan]])</f>
        <v>MAY 24 PLANNED</v>
      </c>
    </row>
    <row r="767" spans="1:11" x14ac:dyDescent="0.3">
      <c r="A767" s="7">
        <f t="shared" si="39"/>
        <v>5</v>
      </c>
      <c r="B767" s="5">
        <v>45417</v>
      </c>
      <c r="C767" s="6" t="s">
        <v>265</v>
      </c>
      <c r="D767" s="6">
        <v>24</v>
      </c>
      <c r="E767" s="7">
        <f>DAY(TableAopCalendar[[#This Row],[Date]])</f>
        <v>5</v>
      </c>
      <c r="F767" s="7">
        <f>IF(TableAopCalendar[[#This Row],[Day]]&lt;8,1,IF(TableAopCalendar[[#This Row],[Day]]&lt;15,2,IF(TableAopCalendar[[#This Row],[Day]]&lt;22,3,IF(TableAopCalendar[[#This Row],[Day]]&lt;29,4,IF(TableAopCalendar[[#This Row],[Day]]&lt;32,5)))))</f>
        <v>1</v>
      </c>
      <c r="G767" s="7" t="str">
        <f t="shared" si="40"/>
        <v>Week 1</v>
      </c>
      <c r="H767" s="7" t="str">
        <f t="shared" si="41"/>
        <v>May 24 Week 1</v>
      </c>
      <c r="I767" s="7" t="str">
        <f>CONCATENATE(UPPER(TableAopCalendar[[#This Row],[Month]])," ",TableAopCalendar[[#This Row],[Year]])</f>
        <v>MAY 24</v>
      </c>
      <c r="J767" s="7" t="s">
        <v>274</v>
      </c>
      <c r="K767" s="7" t="str">
        <f>CONCATENATE(TableAopCalendar[[#This Row],[Month for Plan]]," ",TableAopCalendar[[#This Row],[Plan]])</f>
        <v>MAY 24 PLANNED</v>
      </c>
    </row>
    <row r="768" spans="1:11" x14ac:dyDescent="0.3">
      <c r="A768" s="7">
        <f t="shared" si="39"/>
        <v>6</v>
      </c>
      <c r="B768" s="5">
        <v>45418</v>
      </c>
      <c r="C768" s="6" t="s">
        <v>265</v>
      </c>
      <c r="D768" s="6">
        <v>24</v>
      </c>
      <c r="E768" s="7">
        <f>DAY(TableAopCalendar[[#This Row],[Date]])</f>
        <v>6</v>
      </c>
      <c r="F768" s="7">
        <f>IF(TableAopCalendar[[#This Row],[Day]]&lt;8,1,IF(TableAopCalendar[[#This Row],[Day]]&lt;15,2,IF(TableAopCalendar[[#This Row],[Day]]&lt;22,3,IF(TableAopCalendar[[#This Row],[Day]]&lt;29,4,IF(TableAopCalendar[[#This Row],[Day]]&lt;32,5)))))</f>
        <v>1</v>
      </c>
      <c r="G768" s="7" t="str">
        <f t="shared" si="40"/>
        <v>Week 1</v>
      </c>
      <c r="H768" s="7" t="str">
        <f t="shared" si="41"/>
        <v>May 24 Week 1</v>
      </c>
      <c r="I768" s="7" t="str">
        <f>CONCATENATE(UPPER(TableAopCalendar[[#This Row],[Month]])," ",TableAopCalendar[[#This Row],[Year]])</f>
        <v>MAY 24</v>
      </c>
      <c r="J768" s="7" t="s">
        <v>274</v>
      </c>
      <c r="K768" s="7" t="str">
        <f>CONCATENATE(TableAopCalendar[[#This Row],[Month for Plan]]," ",TableAopCalendar[[#This Row],[Plan]])</f>
        <v>MAY 24 PLANNED</v>
      </c>
    </row>
    <row r="769" spans="1:11" x14ac:dyDescent="0.3">
      <c r="A769" s="7">
        <f t="shared" si="39"/>
        <v>7</v>
      </c>
      <c r="B769" s="5">
        <v>45419</v>
      </c>
      <c r="C769" s="6" t="s">
        <v>265</v>
      </c>
      <c r="D769" s="6">
        <v>24</v>
      </c>
      <c r="E769" s="7">
        <f>DAY(TableAopCalendar[[#This Row],[Date]])</f>
        <v>7</v>
      </c>
      <c r="F769" s="7">
        <f>IF(TableAopCalendar[[#This Row],[Day]]&lt;8,1,IF(TableAopCalendar[[#This Row],[Day]]&lt;15,2,IF(TableAopCalendar[[#This Row],[Day]]&lt;22,3,IF(TableAopCalendar[[#This Row],[Day]]&lt;29,4,IF(TableAopCalendar[[#This Row],[Day]]&lt;32,5)))))</f>
        <v>1</v>
      </c>
      <c r="G769" s="7" t="str">
        <f t="shared" si="40"/>
        <v>Week 1</v>
      </c>
      <c r="H769" s="7" t="str">
        <f t="shared" si="41"/>
        <v>May 24 Week 1</v>
      </c>
      <c r="I769" s="7" t="str">
        <f>CONCATENATE(UPPER(TableAopCalendar[[#This Row],[Month]])," ",TableAopCalendar[[#This Row],[Year]])</f>
        <v>MAY 24</v>
      </c>
      <c r="J769" s="7" t="s">
        <v>274</v>
      </c>
      <c r="K769" s="7" t="str">
        <f>CONCATENATE(TableAopCalendar[[#This Row],[Month for Plan]]," ",TableAopCalendar[[#This Row],[Plan]])</f>
        <v>MAY 24 PLANNED</v>
      </c>
    </row>
    <row r="770" spans="1:11" x14ac:dyDescent="0.3">
      <c r="A770" s="7">
        <f t="shared" si="39"/>
        <v>1</v>
      </c>
      <c r="B770" s="5">
        <v>45420</v>
      </c>
      <c r="C770" s="6" t="s">
        <v>265</v>
      </c>
      <c r="D770" s="6">
        <v>24</v>
      </c>
      <c r="E770" s="7">
        <f>DAY(TableAopCalendar[[#This Row],[Date]])</f>
        <v>8</v>
      </c>
      <c r="F770" s="7">
        <f>IF(TableAopCalendar[[#This Row],[Day]]&lt;8,1,IF(TableAopCalendar[[#This Row],[Day]]&lt;15,2,IF(TableAopCalendar[[#This Row],[Day]]&lt;22,3,IF(TableAopCalendar[[#This Row],[Day]]&lt;29,4,IF(TableAopCalendar[[#This Row],[Day]]&lt;32,5)))))</f>
        <v>2</v>
      </c>
      <c r="G770" s="7" t="str">
        <f t="shared" si="40"/>
        <v>Week 2</v>
      </c>
      <c r="H770" s="7" t="str">
        <f t="shared" si="41"/>
        <v>May 24 Week 2</v>
      </c>
      <c r="I770" s="7" t="str">
        <f>CONCATENATE(UPPER(TableAopCalendar[[#This Row],[Month]])," ",TableAopCalendar[[#This Row],[Year]])</f>
        <v>MAY 24</v>
      </c>
      <c r="J770" s="7" t="s">
        <v>274</v>
      </c>
      <c r="K770" s="7" t="str">
        <f>CONCATENATE(TableAopCalendar[[#This Row],[Month for Plan]]," ",TableAopCalendar[[#This Row],[Plan]])</f>
        <v>MAY 24 PLANNED</v>
      </c>
    </row>
    <row r="771" spans="1:11" x14ac:dyDescent="0.3">
      <c r="A771" s="7">
        <f t="shared" si="39"/>
        <v>2</v>
      </c>
      <c r="B771" s="5">
        <v>45421</v>
      </c>
      <c r="C771" s="6" t="s">
        <v>265</v>
      </c>
      <c r="D771" s="6">
        <v>24</v>
      </c>
      <c r="E771" s="7">
        <f>DAY(TableAopCalendar[[#This Row],[Date]])</f>
        <v>9</v>
      </c>
      <c r="F771" s="7">
        <f>IF(TableAopCalendar[[#This Row],[Day]]&lt;8,1,IF(TableAopCalendar[[#This Row],[Day]]&lt;15,2,IF(TableAopCalendar[[#This Row],[Day]]&lt;22,3,IF(TableAopCalendar[[#This Row],[Day]]&lt;29,4,IF(TableAopCalendar[[#This Row],[Day]]&lt;32,5)))))</f>
        <v>2</v>
      </c>
      <c r="G771" s="7" t="str">
        <f t="shared" si="40"/>
        <v>Week 2</v>
      </c>
      <c r="H771" s="7" t="str">
        <f t="shared" si="41"/>
        <v>May 24 Week 2</v>
      </c>
      <c r="I771" s="7" t="str">
        <f>CONCATENATE(UPPER(TableAopCalendar[[#This Row],[Month]])," ",TableAopCalendar[[#This Row],[Year]])</f>
        <v>MAY 24</v>
      </c>
      <c r="J771" s="7" t="s">
        <v>274</v>
      </c>
      <c r="K771" s="7" t="str">
        <f>CONCATENATE(TableAopCalendar[[#This Row],[Month for Plan]]," ",TableAopCalendar[[#This Row],[Plan]])</f>
        <v>MAY 24 PLANNED</v>
      </c>
    </row>
    <row r="772" spans="1:11" x14ac:dyDescent="0.3">
      <c r="A772" s="7">
        <f t="shared" si="39"/>
        <v>3</v>
      </c>
      <c r="B772" s="5">
        <v>45422</v>
      </c>
      <c r="C772" s="6" t="s">
        <v>265</v>
      </c>
      <c r="D772" s="6">
        <v>24</v>
      </c>
      <c r="E772" s="7">
        <f>DAY(TableAopCalendar[[#This Row],[Date]])</f>
        <v>10</v>
      </c>
      <c r="F772" s="7">
        <f>IF(TableAopCalendar[[#This Row],[Day]]&lt;8,1,IF(TableAopCalendar[[#This Row],[Day]]&lt;15,2,IF(TableAopCalendar[[#This Row],[Day]]&lt;22,3,IF(TableAopCalendar[[#This Row],[Day]]&lt;29,4,IF(TableAopCalendar[[#This Row],[Day]]&lt;32,5)))))</f>
        <v>2</v>
      </c>
      <c r="G772" s="7" t="str">
        <f t="shared" si="40"/>
        <v>Week 2</v>
      </c>
      <c r="H772" s="7" t="str">
        <f t="shared" si="41"/>
        <v>May 24 Week 2</v>
      </c>
      <c r="I772" s="7" t="str">
        <f>CONCATENATE(UPPER(TableAopCalendar[[#This Row],[Month]])," ",TableAopCalendar[[#This Row],[Year]])</f>
        <v>MAY 24</v>
      </c>
      <c r="J772" s="7" t="s">
        <v>274</v>
      </c>
      <c r="K772" s="7" t="str">
        <f>CONCATENATE(TableAopCalendar[[#This Row],[Month for Plan]]," ",TableAopCalendar[[#This Row],[Plan]])</f>
        <v>MAY 24 PLANNED</v>
      </c>
    </row>
    <row r="773" spans="1:11" x14ac:dyDescent="0.3">
      <c r="A773" s="7">
        <f t="shared" si="39"/>
        <v>4</v>
      </c>
      <c r="B773" s="5">
        <v>45423</v>
      </c>
      <c r="C773" s="6" t="s">
        <v>265</v>
      </c>
      <c r="D773" s="6">
        <v>24</v>
      </c>
      <c r="E773" s="7">
        <f>DAY(TableAopCalendar[[#This Row],[Date]])</f>
        <v>11</v>
      </c>
      <c r="F773" s="7">
        <f>IF(TableAopCalendar[[#This Row],[Day]]&lt;8,1,IF(TableAopCalendar[[#This Row],[Day]]&lt;15,2,IF(TableAopCalendar[[#This Row],[Day]]&lt;22,3,IF(TableAopCalendar[[#This Row],[Day]]&lt;29,4,IF(TableAopCalendar[[#This Row],[Day]]&lt;32,5)))))</f>
        <v>2</v>
      </c>
      <c r="G773" s="7" t="str">
        <f t="shared" si="40"/>
        <v>Week 2</v>
      </c>
      <c r="H773" s="7" t="str">
        <f t="shared" si="41"/>
        <v>May 24 Week 2</v>
      </c>
      <c r="I773" s="7" t="str">
        <f>CONCATENATE(UPPER(TableAopCalendar[[#This Row],[Month]])," ",TableAopCalendar[[#This Row],[Year]])</f>
        <v>MAY 24</v>
      </c>
      <c r="J773" s="7" t="s">
        <v>274</v>
      </c>
      <c r="K773" s="7" t="str">
        <f>CONCATENATE(TableAopCalendar[[#This Row],[Month for Plan]]," ",TableAopCalendar[[#This Row],[Plan]])</f>
        <v>MAY 24 PLANNED</v>
      </c>
    </row>
    <row r="774" spans="1:11" x14ac:dyDescent="0.3">
      <c r="A774" s="7">
        <f t="shared" si="39"/>
        <v>5</v>
      </c>
      <c r="B774" s="5">
        <v>45424</v>
      </c>
      <c r="C774" s="6" t="s">
        <v>265</v>
      </c>
      <c r="D774" s="6">
        <v>24</v>
      </c>
      <c r="E774" s="7">
        <f>DAY(TableAopCalendar[[#This Row],[Date]])</f>
        <v>12</v>
      </c>
      <c r="F774" s="7">
        <f>IF(TableAopCalendar[[#This Row],[Day]]&lt;8,1,IF(TableAopCalendar[[#This Row],[Day]]&lt;15,2,IF(TableAopCalendar[[#This Row],[Day]]&lt;22,3,IF(TableAopCalendar[[#This Row],[Day]]&lt;29,4,IF(TableAopCalendar[[#This Row],[Day]]&lt;32,5)))))</f>
        <v>2</v>
      </c>
      <c r="G774" s="7" t="str">
        <f t="shared" si="40"/>
        <v>Week 2</v>
      </c>
      <c r="H774" s="7" t="str">
        <f t="shared" si="41"/>
        <v>May 24 Week 2</v>
      </c>
      <c r="I774" s="7" t="str">
        <f>CONCATENATE(UPPER(TableAopCalendar[[#This Row],[Month]])," ",TableAopCalendar[[#This Row],[Year]])</f>
        <v>MAY 24</v>
      </c>
      <c r="J774" s="7" t="s">
        <v>274</v>
      </c>
      <c r="K774" s="7" t="str">
        <f>CONCATENATE(TableAopCalendar[[#This Row],[Month for Plan]]," ",TableAopCalendar[[#This Row],[Plan]])</f>
        <v>MAY 24 PLANNED</v>
      </c>
    </row>
    <row r="775" spans="1:11" x14ac:dyDescent="0.3">
      <c r="A775" s="7">
        <f t="shared" si="39"/>
        <v>6</v>
      </c>
      <c r="B775" s="5">
        <v>45425</v>
      </c>
      <c r="C775" s="6" t="s">
        <v>265</v>
      </c>
      <c r="D775" s="6">
        <v>24</v>
      </c>
      <c r="E775" s="7">
        <f>DAY(TableAopCalendar[[#This Row],[Date]])</f>
        <v>13</v>
      </c>
      <c r="F775" s="7">
        <f>IF(TableAopCalendar[[#This Row],[Day]]&lt;8,1,IF(TableAopCalendar[[#This Row],[Day]]&lt;15,2,IF(TableAopCalendar[[#This Row],[Day]]&lt;22,3,IF(TableAopCalendar[[#This Row],[Day]]&lt;29,4,IF(TableAopCalendar[[#This Row],[Day]]&lt;32,5)))))</f>
        <v>2</v>
      </c>
      <c r="G775" s="7" t="str">
        <f t="shared" si="40"/>
        <v>Week 2</v>
      </c>
      <c r="H775" s="7" t="str">
        <f t="shared" si="41"/>
        <v>May 24 Week 2</v>
      </c>
      <c r="I775" s="7" t="str">
        <f>CONCATENATE(UPPER(TableAopCalendar[[#This Row],[Month]])," ",TableAopCalendar[[#This Row],[Year]])</f>
        <v>MAY 24</v>
      </c>
      <c r="J775" s="7" t="s">
        <v>274</v>
      </c>
      <c r="K775" s="7" t="str">
        <f>CONCATENATE(TableAopCalendar[[#This Row],[Month for Plan]]," ",TableAopCalendar[[#This Row],[Plan]])</f>
        <v>MAY 24 PLANNED</v>
      </c>
    </row>
    <row r="776" spans="1:11" x14ac:dyDescent="0.3">
      <c r="A776" s="7">
        <f t="shared" si="39"/>
        <v>7</v>
      </c>
      <c r="B776" s="5">
        <v>45426</v>
      </c>
      <c r="C776" s="6" t="s">
        <v>265</v>
      </c>
      <c r="D776" s="6">
        <v>24</v>
      </c>
      <c r="E776" s="7">
        <f>DAY(TableAopCalendar[[#This Row],[Date]])</f>
        <v>14</v>
      </c>
      <c r="F776" s="7">
        <f>IF(TableAopCalendar[[#This Row],[Day]]&lt;8,1,IF(TableAopCalendar[[#This Row],[Day]]&lt;15,2,IF(TableAopCalendar[[#This Row],[Day]]&lt;22,3,IF(TableAopCalendar[[#This Row],[Day]]&lt;29,4,IF(TableAopCalendar[[#This Row],[Day]]&lt;32,5)))))</f>
        <v>2</v>
      </c>
      <c r="G776" s="7" t="str">
        <f t="shared" si="40"/>
        <v>Week 2</v>
      </c>
      <c r="H776" s="7" t="str">
        <f t="shared" si="41"/>
        <v>May 24 Week 2</v>
      </c>
      <c r="I776" s="7" t="str">
        <f>CONCATENATE(UPPER(TableAopCalendar[[#This Row],[Month]])," ",TableAopCalendar[[#This Row],[Year]])</f>
        <v>MAY 24</v>
      </c>
      <c r="J776" s="7" t="s">
        <v>274</v>
      </c>
      <c r="K776" s="7" t="str">
        <f>CONCATENATE(TableAopCalendar[[#This Row],[Month for Plan]]," ",TableAopCalendar[[#This Row],[Plan]])</f>
        <v>MAY 24 PLANNED</v>
      </c>
    </row>
    <row r="777" spans="1:11" x14ac:dyDescent="0.3">
      <c r="A777" s="7">
        <f t="shared" si="39"/>
        <v>1</v>
      </c>
      <c r="B777" s="5">
        <v>45427</v>
      </c>
      <c r="C777" s="6" t="s">
        <v>265</v>
      </c>
      <c r="D777" s="6">
        <v>24</v>
      </c>
      <c r="E777" s="7">
        <f>DAY(TableAopCalendar[[#This Row],[Date]])</f>
        <v>15</v>
      </c>
      <c r="F777" s="7">
        <f>IF(TableAopCalendar[[#This Row],[Day]]&lt;8,1,IF(TableAopCalendar[[#This Row],[Day]]&lt;15,2,IF(TableAopCalendar[[#This Row],[Day]]&lt;22,3,IF(TableAopCalendar[[#This Row],[Day]]&lt;29,4,IF(TableAopCalendar[[#This Row],[Day]]&lt;32,5)))))</f>
        <v>3</v>
      </c>
      <c r="G777" s="7" t="str">
        <f t="shared" si="40"/>
        <v>Week 3</v>
      </c>
      <c r="H777" s="7" t="str">
        <f t="shared" si="41"/>
        <v>May 24 Week 3</v>
      </c>
      <c r="I777" s="7" t="str">
        <f>CONCATENATE(UPPER(TableAopCalendar[[#This Row],[Month]])," ",TableAopCalendar[[#This Row],[Year]])</f>
        <v>MAY 24</v>
      </c>
      <c r="J777" s="7" t="s">
        <v>274</v>
      </c>
      <c r="K777" s="7" t="str">
        <f>CONCATENATE(TableAopCalendar[[#This Row],[Month for Plan]]," ",TableAopCalendar[[#This Row],[Plan]])</f>
        <v>MAY 24 PLANNED</v>
      </c>
    </row>
    <row r="778" spans="1:11" x14ac:dyDescent="0.3">
      <c r="A778" s="7">
        <f t="shared" si="39"/>
        <v>2</v>
      </c>
      <c r="B778" s="5">
        <v>45428</v>
      </c>
      <c r="C778" s="6" t="s">
        <v>265</v>
      </c>
      <c r="D778" s="6">
        <v>24</v>
      </c>
      <c r="E778" s="7">
        <f>DAY(TableAopCalendar[[#This Row],[Date]])</f>
        <v>16</v>
      </c>
      <c r="F778" s="7">
        <f>IF(TableAopCalendar[[#This Row],[Day]]&lt;8,1,IF(TableAopCalendar[[#This Row],[Day]]&lt;15,2,IF(TableAopCalendar[[#This Row],[Day]]&lt;22,3,IF(TableAopCalendar[[#This Row],[Day]]&lt;29,4,IF(TableAopCalendar[[#This Row],[Day]]&lt;32,5)))))</f>
        <v>3</v>
      </c>
      <c r="G778" s="7" t="str">
        <f t="shared" si="40"/>
        <v>Week 3</v>
      </c>
      <c r="H778" s="7" t="str">
        <f t="shared" si="41"/>
        <v>May 24 Week 3</v>
      </c>
      <c r="I778" s="7" t="str">
        <f>CONCATENATE(UPPER(TableAopCalendar[[#This Row],[Month]])," ",TableAopCalendar[[#This Row],[Year]])</f>
        <v>MAY 24</v>
      </c>
      <c r="J778" s="7" t="s">
        <v>274</v>
      </c>
      <c r="K778" s="7" t="str">
        <f>CONCATENATE(TableAopCalendar[[#This Row],[Month for Plan]]," ",TableAopCalendar[[#This Row],[Plan]])</f>
        <v>MAY 24 PLANNED</v>
      </c>
    </row>
    <row r="779" spans="1:11" x14ac:dyDescent="0.3">
      <c r="A779" s="7">
        <f t="shared" si="39"/>
        <v>3</v>
      </c>
      <c r="B779" s="5">
        <v>45429</v>
      </c>
      <c r="C779" s="6" t="s">
        <v>265</v>
      </c>
      <c r="D779" s="6">
        <v>24</v>
      </c>
      <c r="E779" s="7">
        <f>DAY(TableAopCalendar[[#This Row],[Date]])</f>
        <v>17</v>
      </c>
      <c r="F779" s="7">
        <f>IF(TableAopCalendar[[#This Row],[Day]]&lt;8,1,IF(TableAopCalendar[[#This Row],[Day]]&lt;15,2,IF(TableAopCalendar[[#This Row],[Day]]&lt;22,3,IF(TableAopCalendar[[#This Row],[Day]]&lt;29,4,IF(TableAopCalendar[[#This Row],[Day]]&lt;32,5)))))</f>
        <v>3</v>
      </c>
      <c r="G779" s="7" t="str">
        <f t="shared" si="40"/>
        <v>Week 3</v>
      </c>
      <c r="H779" s="7" t="str">
        <f t="shared" si="41"/>
        <v>May 24 Week 3</v>
      </c>
      <c r="I779" s="7" t="str">
        <f>CONCATENATE(UPPER(TableAopCalendar[[#This Row],[Month]])," ",TableAopCalendar[[#This Row],[Year]])</f>
        <v>MAY 24</v>
      </c>
      <c r="J779" s="7" t="s">
        <v>274</v>
      </c>
      <c r="K779" s="7" t="str">
        <f>CONCATENATE(TableAopCalendar[[#This Row],[Month for Plan]]," ",TableAopCalendar[[#This Row],[Plan]])</f>
        <v>MAY 24 PLANNED</v>
      </c>
    </row>
    <row r="780" spans="1:11" x14ac:dyDescent="0.3">
      <c r="A780" s="7">
        <f t="shared" si="39"/>
        <v>4</v>
      </c>
      <c r="B780" s="5">
        <v>45430</v>
      </c>
      <c r="C780" s="6" t="s">
        <v>265</v>
      </c>
      <c r="D780" s="6">
        <v>24</v>
      </c>
      <c r="E780" s="7">
        <f>DAY(TableAopCalendar[[#This Row],[Date]])</f>
        <v>18</v>
      </c>
      <c r="F780" s="7">
        <f>IF(TableAopCalendar[[#This Row],[Day]]&lt;8,1,IF(TableAopCalendar[[#This Row],[Day]]&lt;15,2,IF(TableAopCalendar[[#This Row],[Day]]&lt;22,3,IF(TableAopCalendar[[#This Row],[Day]]&lt;29,4,IF(TableAopCalendar[[#This Row],[Day]]&lt;32,5)))))</f>
        <v>3</v>
      </c>
      <c r="G780" s="7" t="str">
        <f t="shared" si="40"/>
        <v>Week 3</v>
      </c>
      <c r="H780" s="7" t="str">
        <f t="shared" si="41"/>
        <v>May 24 Week 3</v>
      </c>
      <c r="I780" s="7" t="str">
        <f>CONCATENATE(UPPER(TableAopCalendar[[#This Row],[Month]])," ",TableAopCalendar[[#This Row],[Year]])</f>
        <v>MAY 24</v>
      </c>
      <c r="J780" s="7" t="s">
        <v>274</v>
      </c>
      <c r="K780" s="7" t="str">
        <f>CONCATENATE(TableAopCalendar[[#This Row],[Month for Plan]]," ",TableAopCalendar[[#This Row],[Plan]])</f>
        <v>MAY 24 PLANNED</v>
      </c>
    </row>
    <row r="781" spans="1:11" x14ac:dyDescent="0.3">
      <c r="A781" s="7">
        <f t="shared" si="39"/>
        <v>5</v>
      </c>
      <c r="B781" s="5">
        <v>45431</v>
      </c>
      <c r="C781" s="6" t="s">
        <v>265</v>
      </c>
      <c r="D781" s="6">
        <v>24</v>
      </c>
      <c r="E781" s="7">
        <f>DAY(TableAopCalendar[[#This Row],[Date]])</f>
        <v>19</v>
      </c>
      <c r="F781" s="7">
        <f>IF(TableAopCalendar[[#This Row],[Day]]&lt;8,1,IF(TableAopCalendar[[#This Row],[Day]]&lt;15,2,IF(TableAopCalendar[[#This Row],[Day]]&lt;22,3,IF(TableAopCalendar[[#This Row],[Day]]&lt;29,4,IF(TableAopCalendar[[#This Row],[Day]]&lt;32,5)))))</f>
        <v>3</v>
      </c>
      <c r="G781" s="7" t="str">
        <f t="shared" si="40"/>
        <v>Week 3</v>
      </c>
      <c r="H781" s="7" t="str">
        <f t="shared" si="41"/>
        <v>May 24 Week 3</v>
      </c>
      <c r="I781" s="7" t="str">
        <f>CONCATENATE(UPPER(TableAopCalendar[[#This Row],[Month]])," ",TableAopCalendar[[#This Row],[Year]])</f>
        <v>MAY 24</v>
      </c>
      <c r="J781" s="7" t="s">
        <v>274</v>
      </c>
      <c r="K781" s="7" t="str">
        <f>CONCATENATE(TableAopCalendar[[#This Row],[Month for Plan]]," ",TableAopCalendar[[#This Row],[Plan]])</f>
        <v>MAY 24 PLANNED</v>
      </c>
    </row>
    <row r="782" spans="1:11" x14ac:dyDescent="0.3">
      <c r="A782" s="7">
        <f t="shared" si="39"/>
        <v>6</v>
      </c>
      <c r="B782" s="5">
        <v>45432</v>
      </c>
      <c r="C782" s="6" t="s">
        <v>265</v>
      </c>
      <c r="D782" s="6">
        <v>24</v>
      </c>
      <c r="E782" s="7">
        <f>DAY(TableAopCalendar[[#This Row],[Date]])</f>
        <v>20</v>
      </c>
      <c r="F782" s="7">
        <f>IF(TableAopCalendar[[#This Row],[Day]]&lt;8,1,IF(TableAopCalendar[[#This Row],[Day]]&lt;15,2,IF(TableAopCalendar[[#This Row],[Day]]&lt;22,3,IF(TableAopCalendar[[#This Row],[Day]]&lt;29,4,IF(TableAopCalendar[[#This Row],[Day]]&lt;32,5)))))</f>
        <v>3</v>
      </c>
      <c r="G782" s="7" t="str">
        <f t="shared" si="40"/>
        <v>Week 3</v>
      </c>
      <c r="H782" s="7" t="str">
        <f t="shared" si="41"/>
        <v>May 24 Week 3</v>
      </c>
      <c r="I782" s="7" t="str">
        <f>CONCATENATE(UPPER(TableAopCalendar[[#This Row],[Month]])," ",TableAopCalendar[[#This Row],[Year]])</f>
        <v>MAY 24</v>
      </c>
      <c r="J782" s="7" t="s">
        <v>274</v>
      </c>
      <c r="K782" s="7" t="str">
        <f>CONCATENATE(TableAopCalendar[[#This Row],[Month for Plan]]," ",TableAopCalendar[[#This Row],[Plan]])</f>
        <v>MAY 24 PLANNED</v>
      </c>
    </row>
    <row r="783" spans="1:11" x14ac:dyDescent="0.3">
      <c r="A783" s="7">
        <f t="shared" si="39"/>
        <v>7</v>
      </c>
      <c r="B783" s="5">
        <v>45433</v>
      </c>
      <c r="C783" s="6" t="s">
        <v>265</v>
      </c>
      <c r="D783" s="6">
        <v>24</v>
      </c>
      <c r="E783" s="7">
        <f>DAY(TableAopCalendar[[#This Row],[Date]])</f>
        <v>21</v>
      </c>
      <c r="F783" s="7">
        <f>IF(TableAopCalendar[[#This Row],[Day]]&lt;8,1,IF(TableAopCalendar[[#This Row],[Day]]&lt;15,2,IF(TableAopCalendar[[#This Row],[Day]]&lt;22,3,IF(TableAopCalendar[[#This Row],[Day]]&lt;29,4,IF(TableAopCalendar[[#This Row],[Day]]&lt;32,5)))))</f>
        <v>3</v>
      </c>
      <c r="G783" s="7" t="str">
        <f t="shared" si="40"/>
        <v>Week 3</v>
      </c>
      <c r="H783" s="7" t="str">
        <f t="shared" si="41"/>
        <v>May 24 Week 3</v>
      </c>
      <c r="I783" s="7" t="str">
        <f>CONCATENATE(UPPER(TableAopCalendar[[#This Row],[Month]])," ",TableAopCalendar[[#This Row],[Year]])</f>
        <v>MAY 24</v>
      </c>
      <c r="J783" s="7" t="s">
        <v>274</v>
      </c>
      <c r="K783" s="7" t="str">
        <f>CONCATENATE(TableAopCalendar[[#This Row],[Month for Plan]]," ",TableAopCalendar[[#This Row],[Plan]])</f>
        <v>MAY 24 PLANNED</v>
      </c>
    </row>
    <row r="784" spans="1:11" x14ac:dyDescent="0.3">
      <c r="A784" s="7">
        <f t="shared" si="39"/>
        <v>1</v>
      </c>
      <c r="B784" s="5">
        <v>45434</v>
      </c>
      <c r="C784" s="6" t="s">
        <v>265</v>
      </c>
      <c r="D784" s="6">
        <v>24</v>
      </c>
      <c r="E784" s="7">
        <f>DAY(TableAopCalendar[[#This Row],[Date]])</f>
        <v>22</v>
      </c>
      <c r="F784" s="7">
        <f>IF(TableAopCalendar[[#This Row],[Day]]&lt;8,1,IF(TableAopCalendar[[#This Row],[Day]]&lt;15,2,IF(TableAopCalendar[[#This Row],[Day]]&lt;22,3,IF(TableAopCalendar[[#This Row],[Day]]&lt;29,4,IF(TableAopCalendar[[#This Row],[Day]]&lt;32,5)))))</f>
        <v>4</v>
      </c>
      <c r="G784" s="7" t="str">
        <f t="shared" si="40"/>
        <v>Week 4</v>
      </c>
      <c r="H784" s="7" t="str">
        <f t="shared" si="41"/>
        <v>May 24 Week 4</v>
      </c>
      <c r="I784" s="7" t="str">
        <f>CONCATENATE(UPPER(TableAopCalendar[[#This Row],[Month]])," ",TableAopCalendar[[#This Row],[Year]])</f>
        <v>MAY 24</v>
      </c>
      <c r="J784" s="7" t="s">
        <v>274</v>
      </c>
      <c r="K784" s="7" t="str">
        <f>CONCATENATE(TableAopCalendar[[#This Row],[Month for Plan]]," ",TableAopCalendar[[#This Row],[Plan]])</f>
        <v>MAY 24 PLANNED</v>
      </c>
    </row>
    <row r="785" spans="1:11" x14ac:dyDescent="0.3">
      <c r="A785" s="7">
        <f t="shared" si="39"/>
        <v>2</v>
      </c>
      <c r="B785" s="5">
        <v>45435</v>
      </c>
      <c r="C785" s="6" t="s">
        <v>265</v>
      </c>
      <c r="D785" s="6">
        <v>24</v>
      </c>
      <c r="E785" s="7">
        <f>DAY(TableAopCalendar[[#This Row],[Date]])</f>
        <v>23</v>
      </c>
      <c r="F785" s="7">
        <f>IF(TableAopCalendar[[#This Row],[Day]]&lt;8,1,IF(TableAopCalendar[[#This Row],[Day]]&lt;15,2,IF(TableAopCalendar[[#This Row],[Day]]&lt;22,3,IF(TableAopCalendar[[#This Row],[Day]]&lt;29,4,IF(TableAopCalendar[[#This Row],[Day]]&lt;32,5)))))</f>
        <v>4</v>
      </c>
      <c r="G785" s="7" t="str">
        <f t="shared" si="40"/>
        <v>Week 4</v>
      </c>
      <c r="H785" s="7" t="str">
        <f t="shared" si="41"/>
        <v>May 24 Week 4</v>
      </c>
      <c r="I785" s="7" t="str">
        <f>CONCATENATE(UPPER(TableAopCalendar[[#This Row],[Month]])," ",TableAopCalendar[[#This Row],[Year]])</f>
        <v>MAY 24</v>
      </c>
      <c r="J785" s="7" t="s">
        <v>274</v>
      </c>
      <c r="K785" s="7" t="str">
        <f>CONCATENATE(TableAopCalendar[[#This Row],[Month for Plan]]," ",TableAopCalendar[[#This Row],[Plan]])</f>
        <v>MAY 24 PLANNED</v>
      </c>
    </row>
    <row r="786" spans="1:11" x14ac:dyDescent="0.3">
      <c r="A786" s="7">
        <f t="shared" si="39"/>
        <v>3</v>
      </c>
      <c r="B786" s="5">
        <v>45436</v>
      </c>
      <c r="C786" s="6" t="s">
        <v>265</v>
      </c>
      <c r="D786" s="6">
        <v>24</v>
      </c>
      <c r="E786" s="7">
        <f>DAY(TableAopCalendar[[#This Row],[Date]])</f>
        <v>24</v>
      </c>
      <c r="F786" s="7">
        <f>IF(TableAopCalendar[[#This Row],[Day]]&lt;8,1,IF(TableAopCalendar[[#This Row],[Day]]&lt;15,2,IF(TableAopCalendar[[#This Row],[Day]]&lt;22,3,IF(TableAopCalendar[[#This Row],[Day]]&lt;29,4,IF(TableAopCalendar[[#This Row],[Day]]&lt;32,5)))))</f>
        <v>4</v>
      </c>
      <c r="G786" s="7" t="str">
        <f t="shared" si="40"/>
        <v>Week 4</v>
      </c>
      <c r="H786" s="7" t="str">
        <f t="shared" si="41"/>
        <v>May 24 Week 4</v>
      </c>
      <c r="I786" s="7" t="str">
        <f>CONCATENATE(UPPER(TableAopCalendar[[#This Row],[Month]])," ",TableAopCalendar[[#This Row],[Year]])</f>
        <v>MAY 24</v>
      </c>
      <c r="J786" s="7" t="s">
        <v>274</v>
      </c>
      <c r="K786" s="7" t="str">
        <f>CONCATENATE(TableAopCalendar[[#This Row],[Month for Plan]]," ",TableAopCalendar[[#This Row],[Plan]])</f>
        <v>MAY 24 PLANNED</v>
      </c>
    </row>
    <row r="787" spans="1:11" x14ac:dyDescent="0.3">
      <c r="A787" s="7">
        <f t="shared" si="39"/>
        <v>4</v>
      </c>
      <c r="B787" s="5">
        <v>45437</v>
      </c>
      <c r="C787" s="6" t="s">
        <v>265</v>
      </c>
      <c r="D787" s="6">
        <v>24</v>
      </c>
      <c r="E787" s="7">
        <f>DAY(TableAopCalendar[[#This Row],[Date]])</f>
        <v>25</v>
      </c>
      <c r="F787" s="7">
        <f>IF(TableAopCalendar[[#This Row],[Day]]&lt;8,1,IF(TableAopCalendar[[#This Row],[Day]]&lt;15,2,IF(TableAopCalendar[[#This Row],[Day]]&lt;22,3,IF(TableAopCalendar[[#This Row],[Day]]&lt;29,4,IF(TableAopCalendar[[#This Row],[Day]]&lt;32,5)))))</f>
        <v>4</v>
      </c>
      <c r="G787" s="7" t="str">
        <f t="shared" si="40"/>
        <v>Week 4</v>
      </c>
      <c r="H787" s="7" t="str">
        <f t="shared" si="41"/>
        <v>May 24 Week 4</v>
      </c>
      <c r="I787" s="7" t="str">
        <f>CONCATENATE(UPPER(TableAopCalendar[[#This Row],[Month]])," ",TableAopCalendar[[#This Row],[Year]])</f>
        <v>MAY 24</v>
      </c>
      <c r="J787" s="7" t="s">
        <v>274</v>
      </c>
      <c r="K787" s="7" t="str">
        <f>CONCATENATE(TableAopCalendar[[#This Row],[Month for Plan]]," ",TableAopCalendar[[#This Row],[Plan]])</f>
        <v>MAY 24 PLANNED</v>
      </c>
    </row>
    <row r="788" spans="1:11" x14ac:dyDescent="0.3">
      <c r="A788" s="7">
        <f t="shared" si="39"/>
        <v>5</v>
      </c>
      <c r="B788" s="5">
        <v>45438</v>
      </c>
      <c r="C788" s="6" t="s">
        <v>265</v>
      </c>
      <c r="D788" s="6">
        <v>24</v>
      </c>
      <c r="E788" s="7">
        <f>DAY(TableAopCalendar[[#This Row],[Date]])</f>
        <v>26</v>
      </c>
      <c r="F788" s="7">
        <f>IF(TableAopCalendar[[#This Row],[Day]]&lt;8,1,IF(TableAopCalendar[[#This Row],[Day]]&lt;15,2,IF(TableAopCalendar[[#This Row],[Day]]&lt;22,3,IF(TableAopCalendar[[#This Row],[Day]]&lt;29,4,IF(TableAopCalendar[[#This Row],[Day]]&lt;32,5)))))</f>
        <v>4</v>
      </c>
      <c r="G788" s="7" t="str">
        <f t="shared" si="40"/>
        <v>Week 4</v>
      </c>
      <c r="H788" s="7" t="str">
        <f t="shared" si="41"/>
        <v>May 24 Week 4</v>
      </c>
      <c r="I788" s="7" t="str">
        <f>CONCATENATE(UPPER(TableAopCalendar[[#This Row],[Month]])," ",TableAopCalendar[[#This Row],[Year]])</f>
        <v>MAY 24</v>
      </c>
      <c r="J788" s="7" t="s">
        <v>274</v>
      </c>
      <c r="K788" s="7" t="str">
        <f>CONCATENATE(TableAopCalendar[[#This Row],[Month for Plan]]," ",TableAopCalendar[[#This Row],[Plan]])</f>
        <v>MAY 24 PLANNED</v>
      </c>
    </row>
    <row r="789" spans="1:11" x14ac:dyDescent="0.3">
      <c r="A789" s="7">
        <f t="shared" si="39"/>
        <v>6</v>
      </c>
      <c r="B789" s="5">
        <v>45439</v>
      </c>
      <c r="C789" s="6" t="s">
        <v>265</v>
      </c>
      <c r="D789" s="6">
        <v>24</v>
      </c>
      <c r="E789" s="7">
        <f>DAY(TableAopCalendar[[#This Row],[Date]])</f>
        <v>27</v>
      </c>
      <c r="F789" s="7">
        <f>IF(TableAopCalendar[[#This Row],[Day]]&lt;8,1,IF(TableAopCalendar[[#This Row],[Day]]&lt;15,2,IF(TableAopCalendar[[#This Row],[Day]]&lt;22,3,IF(TableAopCalendar[[#This Row],[Day]]&lt;29,4,IF(TableAopCalendar[[#This Row],[Day]]&lt;32,5)))))</f>
        <v>4</v>
      </c>
      <c r="G789" s="7" t="str">
        <f t="shared" si="40"/>
        <v>Week 4</v>
      </c>
      <c r="H789" s="7" t="str">
        <f t="shared" si="41"/>
        <v>May 24 Week 4</v>
      </c>
      <c r="I789" s="7" t="str">
        <f>CONCATENATE(UPPER(TableAopCalendar[[#This Row],[Month]])," ",TableAopCalendar[[#This Row],[Year]])</f>
        <v>MAY 24</v>
      </c>
      <c r="J789" s="7" t="s">
        <v>274</v>
      </c>
      <c r="K789" s="7" t="str">
        <f>CONCATENATE(TableAopCalendar[[#This Row],[Month for Plan]]," ",TableAopCalendar[[#This Row],[Plan]])</f>
        <v>MAY 24 PLANNED</v>
      </c>
    </row>
    <row r="790" spans="1:11" x14ac:dyDescent="0.3">
      <c r="A790" s="7">
        <f t="shared" si="39"/>
        <v>7</v>
      </c>
      <c r="B790" s="5">
        <v>45440</v>
      </c>
      <c r="C790" s="6" t="s">
        <v>265</v>
      </c>
      <c r="D790" s="6">
        <v>24</v>
      </c>
      <c r="E790" s="7">
        <f>DAY(TableAopCalendar[[#This Row],[Date]])</f>
        <v>28</v>
      </c>
      <c r="F790" s="7">
        <f>IF(TableAopCalendar[[#This Row],[Day]]&lt;8,1,IF(TableAopCalendar[[#This Row],[Day]]&lt;15,2,IF(TableAopCalendar[[#This Row],[Day]]&lt;22,3,IF(TableAopCalendar[[#This Row],[Day]]&lt;29,4,IF(TableAopCalendar[[#This Row],[Day]]&lt;32,5)))))</f>
        <v>4</v>
      </c>
      <c r="G790" s="7" t="str">
        <f t="shared" si="40"/>
        <v>Week 4</v>
      </c>
      <c r="H790" s="7" t="str">
        <f t="shared" si="41"/>
        <v>May 24 Week 4</v>
      </c>
      <c r="I790" s="7" t="str">
        <f>CONCATENATE(UPPER(TableAopCalendar[[#This Row],[Month]])," ",TableAopCalendar[[#This Row],[Year]])</f>
        <v>MAY 24</v>
      </c>
      <c r="J790" s="7" t="s">
        <v>274</v>
      </c>
      <c r="K790" s="7" t="str">
        <f>CONCATENATE(TableAopCalendar[[#This Row],[Month for Plan]]," ",TableAopCalendar[[#This Row],[Plan]])</f>
        <v>MAY 24 PLANNED</v>
      </c>
    </row>
    <row r="791" spans="1:11" x14ac:dyDescent="0.3">
      <c r="A791" s="7">
        <f t="shared" si="39"/>
        <v>1</v>
      </c>
      <c r="B791" s="5">
        <v>45441</v>
      </c>
      <c r="C791" s="6" t="s">
        <v>265</v>
      </c>
      <c r="D791" s="6">
        <v>24</v>
      </c>
      <c r="E791" s="7">
        <f>DAY(TableAopCalendar[[#This Row],[Date]])</f>
        <v>29</v>
      </c>
      <c r="F791" s="7">
        <f>IF(TableAopCalendar[[#This Row],[Day]]&lt;8,1,IF(TableAopCalendar[[#This Row],[Day]]&lt;15,2,IF(TableAopCalendar[[#This Row],[Day]]&lt;22,3,IF(TableAopCalendar[[#This Row],[Day]]&lt;29,4,IF(TableAopCalendar[[#This Row],[Day]]&lt;32,5)))))</f>
        <v>5</v>
      </c>
      <c r="G791" s="7" t="str">
        <f t="shared" si="40"/>
        <v>Week 5</v>
      </c>
      <c r="H791" s="7" t="str">
        <f t="shared" si="41"/>
        <v>May 24 Week 5</v>
      </c>
      <c r="I791" s="7" t="str">
        <f>CONCATENATE(UPPER(TableAopCalendar[[#This Row],[Month]])," ",TableAopCalendar[[#This Row],[Year]])</f>
        <v>MAY 24</v>
      </c>
      <c r="J791" s="7" t="s">
        <v>274</v>
      </c>
      <c r="K791" s="7" t="str">
        <f>CONCATENATE(TableAopCalendar[[#This Row],[Month for Plan]]," ",TableAopCalendar[[#This Row],[Plan]])</f>
        <v>MAY 24 PLANNED</v>
      </c>
    </row>
    <row r="792" spans="1:11" x14ac:dyDescent="0.3">
      <c r="A792" s="7">
        <f t="shared" si="39"/>
        <v>2</v>
      </c>
      <c r="B792" s="5">
        <v>45442</v>
      </c>
      <c r="C792" s="6" t="s">
        <v>265</v>
      </c>
      <c r="D792" s="6">
        <v>24</v>
      </c>
      <c r="E792" s="7">
        <f>DAY(TableAopCalendar[[#This Row],[Date]])</f>
        <v>30</v>
      </c>
      <c r="F792" s="7">
        <f>IF(TableAopCalendar[[#This Row],[Day]]&lt;8,1,IF(TableAopCalendar[[#This Row],[Day]]&lt;15,2,IF(TableAopCalendar[[#This Row],[Day]]&lt;22,3,IF(TableAopCalendar[[#This Row],[Day]]&lt;29,4,IF(TableAopCalendar[[#This Row],[Day]]&lt;32,5)))))</f>
        <v>5</v>
      </c>
      <c r="G792" s="7" t="str">
        <f t="shared" si="40"/>
        <v>Week 5</v>
      </c>
      <c r="H792" s="7" t="str">
        <f t="shared" si="41"/>
        <v>May 24 Week 5</v>
      </c>
      <c r="I792" s="7" t="str">
        <f>CONCATENATE(UPPER(TableAopCalendar[[#This Row],[Month]])," ",TableAopCalendar[[#This Row],[Year]])</f>
        <v>MAY 24</v>
      </c>
      <c r="J792" s="7" t="s">
        <v>274</v>
      </c>
      <c r="K792" s="7" t="str">
        <f>CONCATENATE(TableAopCalendar[[#This Row],[Month for Plan]]," ",TableAopCalendar[[#This Row],[Plan]])</f>
        <v>MAY 24 PLANNED</v>
      </c>
    </row>
    <row r="793" spans="1:11" x14ac:dyDescent="0.3">
      <c r="A793" s="7">
        <f t="shared" si="39"/>
        <v>3</v>
      </c>
      <c r="B793" s="5">
        <v>45443</v>
      </c>
      <c r="C793" s="6" t="s">
        <v>265</v>
      </c>
      <c r="D793" s="6">
        <v>24</v>
      </c>
      <c r="E793" s="7">
        <f>DAY(TableAopCalendar[[#This Row],[Date]])</f>
        <v>31</v>
      </c>
      <c r="F793" s="7">
        <f>IF(TableAopCalendar[[#This Row],[Day]]&lt;8,1,IF(TableAopCalendar[[#This Row],[Day]]&lt;15,2,IF(TableAopCalendar[[#This Row],[Day]]&lt;22,3,IF(TableAopCalendar[[#This Row],[Day]]&lt;29,4,IF(TableAopCalendar[[#This Row],[Day]]&lt;32,5)))))</f>
        <v>5</v>
      </c>
      <c r="G793" s="7" t="str">
        <f t="shared" si="40"/>
        <v>Week 5</v>
      </c>
      <c r="H793" s="7" t="str">
        <f t="shared" si="41"/>
        <v>May 24 Week 5</v>
      </c>
      <c r="I793" s="7" t="str">
        <f>CONCATENATE(UPPER(TableAopCalendar[[#This Row],[Month]])," ",TableAopCalendar[[#This Row],[Year]])</f>
        <v>MAY 24</v>
      </c>
      <c r="J793" s="7" t="s">
        <v>274</v>
      </c>
      <c r="K793" s="7" t="str">
        <f>CONCATENATE(TableAopCalendar[[#This Row],[Month for Plan]]," ",TableAopCalendar[[#This Row],[Plan]])</f>
        <v>MAY 24 PLANNED</v>
      </c>
    </row>
    <row r="794" spans="1:11" x14ac:dyDescent="0.3">
      <c r="A794" s="7">
        <f t="shared" si="39"/>
        <v>1</v>
      </c>
      <c r="B794" s="5">
        <v>45444</v>
      </c>
      <c r="C794" s="6" t="s">
        <v>266</v>
      </c>
      <c r="D794" s="6">
        <v>24</v>
      </c>
      <c r="E794" s="7">
        <f>DAY(TableAopCalendar[[#This Row],[Date]])</f>
        <v>1</v>
      </c>
      <c r="F794" s="7">
        <f>IF(TableAopCalendar[[#This Row],[Day]]&lt;8,1,IF(TableAopCalendar[[#This Row],[Day]]&lt;15,2,IF(TableAopCalendar[[#This Row],[Day]]&lt;22,3,IF(TableAopCalendar[[#This Row],[Day]]&lt;29,4,IF(TableAopCalendar[[#This Row],[Day]]&lt;32,5)))))</f>
        <v>1</v>
      </c>
      <c r="G794" s="7" t="str">
        <f t="shared" si="40"/>
        <v>Week 1</v>
      </c>
      <c r="H794" s="7" t="str">
        <f t="shared" si="41"/>
        <v>June 24 Week 1</v>
      </c>
      <c r="I794" s="7" t="str">
        <f>CONCATENATE(UPPER(TableAopCalendar[[#This Row],[Month]])," ",TableAopCalendar[[#This Row],[Year]])</f>
        <v>JUNE 24</v>
      </c>
      <c r="J794" s="7" t="s">
        <v>274</v>
      </c>
      <c r="K794" s="7" t="str">
        <f>CONCATENATE(TableAopCalendar[[#This Row],[Month for Plan]]," ",TableAopCalendar[[#This Row],[Plan]])</f>
        <v>JUNE 24 PLANNED</v>
      </c>
    </row>
    <row r="795" spans="1:11" x14ac:dyDescent="0.3">
      <c r="A795" s="7">
        <f t="shared" si="39"/>
        <v>2</v>
      </c>
      <c r="B795" s="5">
        <v>45445</v>
      </c>
      <c r="C795" s="6" t="s">
        <v>266</v>
      </c>
      <c r="D795" s="6">
        <v>24</v>
      </c>
      <c r="E795" s="7">
        <f>DAY(TableAopCalendar[[#This Row],[Date]])</f>
        <v>2</v>
      </c>
      <c r="F795" s="7">
        <f>IF(TableAopCalendar[[#This Row],[Day]]&lt;8,1,IF(TableAopCalendar[[#This Row],[Day]]&lt;15,2,IF(TableAopCalendar[[#This Row],[Day]]&lt;22,3,IF(TableAopCalendar[[#This Row],[Day]]&lt;29,4,IF(TableAopCalendar[[#This Row],[Day]]&lt;32,5)))))</f>
        <v>1</v>
      </c>
      <c r="G795" s="7" t="str">
        <f t="shared" si="40"/>
        <v>Week 1</v>
      </c>
      <c r="H795" s="7" t="str">
        <f t="shared" si="41"/>
        <v>June 24 Week 1</v>
      </c>
      <c r="I795" s="7" t="str">
        <f>CONCATENATE(UPPER(TableAopCalendar[[#This Row],[Month]])," ",TableAopCalendar[[#This Row],[Year]])</f>
        <v>JUNE 24</v>
      </c>
      <c r="J795" s="7" t="s">
        <v>274</v>
      </c>
      <c r="K795" s="7" t="str">
        <f>CONCATENATE(TableAopCalendar[[#This Row],[Month for Plan]]," ",TableAopCalendar[[#This Row],[Plan]])</f>
        <v>JUNE 24 PLANNED</v>
      </c>
    </row>
    <row r="796" spans="1:11" x14ac:dyDescent="0.3">
      <c r="A796" s="7">
        <f t="shared" si="39"/>
        <v>3</v>
      </c>
      <c r="B796" s="5">
        <v>45446</v>
      </c>
      <c r="C796" s="6" t="s">
        <v>266</v>
      </c>
      <c r="D796" s="6">
        <v>24</v>
      </c>
      <c r="E796" s="7">
        <f>DAY(TableAopCalendar[[#This Row],[Date]])</f>
        <v>3</v>
      </c>
      <c r="F796" s="7">
        <f>IF(TableAopCalendar[[#This Row],[Day]]&lt;8,1,IF(TableAopCalendar[[#This Row],[Day]]&lt;15,2,IF(TableAopCalendar[[#This Row],[Day]]&lt;22,3,IF(TableAopCalendar[[#This Row],[Day]]&lt;29,4,IF(TableAopCalendar[[#This Row],[Day]]&lt;32,5)))))</f>
        <v>1</v>
      </c>
      <c r="G796" s="7" t="str">
        <f t="shared" si="40"/>
        <v>Week 1</v>
      </c>
      <c r="H796" s="7" t="str">
        <f t="shared" si="41"/>
        <v>June 24 Week 1</v>
      </c>
      <c r="I796" s="7" t="str">
        <f>CONCATENATE(UPPER(TableAopCalendar[[#This Row],[Month]])," ",TableAopCalendar[[#This Row],[Year]])</f>
        <v>JUNE 24</v>
      </c>
      <c r="J796" s="7" t="s">
        <v>274</v>
      </c>
      <c r="K796" s="7" t="str">
        <f>CONCATENATE(TableAopCalendar[[#This Row],[Month for Plan]]," ",TableAopCalendar[[#This Row],[Plan]])</f>
        <v>JUNE 24 PLANNED</v>
      </c>
    </row>
    <row r="797" spans="1:11" x14ac:dyDescent="0.3">
      <c r="A797" s="7">
        <f t="shared" ref="A797:A828" si="42">IF(G797=G796,A796+1,1)</f>
        <v>4</v>
      </c>
      <c r="B797" s="5">
        <v>45447</v>
      </c>
      <c r="C797" s="6" t="s">
        <v>266</v>
      </c>
      <c r="D797" s="6">
        <v>24</v>
      </c>
      <c r="E797" s="7">
        <f>DAY(TableAopCalendar[[#This Row],[Date]])</f>
        <v>4</v>
      </c>
      <c r="F797" s="7">
        <f>IF(TableAopCalendar[[#This Row],[Day]]&lt;8,1,IF(TableAopCalendar[[#This Row],[Day]]&lt;15,2,IF(TableAopCalendar[[#This Row],[Day]]&lt;22,3,IF(TableAopCalendar[[#This Row],[Day]]&lt;29,4,IF(TableAopCalendar[[#This Row],[Day]]&lt;32,5)))))</f>
        <v>1</v>
      </c>
      <c r="G797" s="7" t="str">
        <f t="shared" ref="G797:G828" si="43">"Week"&amp;" "&amp;F797</f>
        <v>Week 1</v>
      </c>
      <c r="H797" s="7" t="str">
        <f t="shared" ref="H797:H828" si="44">CONCATENATE(C797," ",D797," ",G797)</f>
        <v>June 24 Week 1</v>
      </c>
      <c r="I797" s="7" t="str">
        <f>CONCATENATE(UPPER(TableAopCalendar[[#This Row],[Month]])," ",TableAopCalendar[[#This Row],[Year]])</f>
        <v>JUNE 24</v>
      </c>
      <c r="J797" s="7" t="s">
        <v>274</v>
      </c>
      <c r="K797" s="7" t="str">
        <f>CONCATENATE(TableAopCalendar[[#This Row],[Month for Plan]]," ",TableAopCalendar[[#This Row],[Plan]])</f>
        <v>JUNE 24 PLANNED</v>
      </c>
    </row>
    <row r="798" spans="1:11" x14ac:dyDescent="0.3">
      <c r="A798" s="7">
        <f t="shared" si="42"/>
        <v>5</v>
      </c>
      <c r="B798" s="5">
        <v>45448</v>
      </c>
      <c r="C798" s="6" t="s">
        <v>266</v>
      </c>
      <c r="D798" s="6">
        <v>24</v>
      </c>
      <c r="E798" s="7">
        <f>DAY(TableAopCalendar[[#This Row],[Date]])</f>
        <v>5</v>
      </c>
      <c r="F798" s="7">
        <f>IF(TableAopCalendar[[#This Row],[Day]]&lt;8,1,IF(TableAopCalendar[[#This Row],[Day]]&lt;15,2,IF(TableAopCalendar[[#This Row],[Day]]&lt;22,3,IF(TableAopCalendar[[#This Row],[Day]]&lt;29,4,IF(TableAopCalendar[[#This Row],[Day]]&lt;32,5)))))</f>
        <v>1</v>
      </c>
      <c r="G798" s="7" t="str">
        <f t="shared" si="43"/>
        <v>Week 1</v>
      </c>
      <c r="H798" s="7" t="str">
        <f t="shared" si="44"/>
        <v>June 24 Week 1</v>
      </c>
      <c r="I798" s="7" t="str">
        <f>CONCATENATE(UPPER(TableAopCalendar[[#This Row],[Month]])," ",TableAopCalendar[[#This Row],[Year]])</f>
        <v>JUNE 24</v>
      </c>
      <c r="J798" s="7" t="s">
        <v>274</v>
      </c>
      <c r="K798" s="7" t="str">
        <f>CONCATENATE(TableAopCalendar[[#This Row],[Month for Plan]]," ",TableAopCalendar[[#This Row],[Plan]])</f>
        <v>JUNE 24 PLANNED</v>
      </c>
    </row>
    <row r="799" spans="1:11" x14ac:dyDescent="0.3">
      <c r="A799" s="7">
        <f t="shared" si="42"/>
        <v>6</v>
      </c>
      <c r="B799" s="5">
        <v>45449</v>
      </c>
      <c r="C799" s="6" t="s">
        <v>266</v>
      </c>
      <c r="D799" s="6">
        <v>24</v>
      </c>
      <c r="E799" s="7">
        <f>DAY(TableAopCalendar[[#This Row],[Date]])</f>
        <v>6</v>
      </c>
      <c r="F799" s="7">
        <f>IF(TableAopCalendar[[#This Row],[Day]]&lt;8,1,IF(TableAopCalendar[[#This Row],[Day]]&lt;15,2,IF(TableAopCalendar[[#This Row],[Day]]&lt;22,3,IF(TableAopCalendar[[#This Row],[Day]]&lt;29,4,IF(TableAopCalendar[[#This Row],[Day]]&lt;32,5)))))</f>
        <v>1</v>
      </c>
      <c r="G799" s="7" t="str">
        <f t="shared" si="43"/>
        <v>Week 1</v>
      </c>
      <c r="H799" s="7" t="str">
        <f t="shared" si="44"/>
        <v>June 24 Week 1</v>
      </c>
      <c r="I799" s="7" t="str">
        <f>CONCATENATE(UPPER(TableAopCalendar[[#This Row],[Month]])," ",TableAopCalendar[[#This Row],[Year]])</f>
        <v>JUNE 24</v>
      </c>
      <c r="J799" s="7" t="s">
        <v>274</v>
      </c>
      <c r="K799" s="7" t="str">
        <f>CONCATENATE(TableAopCalendar[[#This Row],[Month for Plan]]," ",TableAopCalendar[[#This Row],[Plan]])</f>
        <v>JUNE 24 PLANNED</v>
      </c>
    </row>
    <row r="800" spans="1:11" x14ac:dyDescent="0.3">
      <c r="A800" s="7">
        <f t="shared" si="42"/>
        <v>7</v>
      </c>
      <c r="B800" s="5">
        <v>45450</v>
      </c>
      <c r="C800" s="6" t="s">
        <v>266</v>
      </c>
      <c r="D800" s="6">
        <v>24</v>
      </c>
      <c r="E800" s="7">
        <f>DAY(TableAopCalendar[[#This Row],[Date]])</f>
        <v>7</v>
      </c>
      <c r="F800" s="7">
        <f>IF(TableAopCalendar[[#This Row],[Day]]&lt;8,1,IF(TableAopCalendar[[#This Row],[Day]]&lt;15,2,IF(TableAopCalendar[[#This Row],[Day]]&lt;22,3,IF(TableAopCalendar[[#This Row],[Day]]&lt;29,4,IF(TableAopCalendar[[#This Row],[Day]]&lt;32,5)))))</f>
        <v>1</v>
      </c>
      <c r="G800" s="7" t="str">
        <f t="shared" si="43"/>
        <v>Week 1</v>
      </c>
      <c r="H800" s="7" t="str">
        <f t="shared" si="44"/>
        <v>June 24 Week 1</v>
      </c>
      <c r="I800" s="7" t="str">
        <f>CONCATENATE(UPPER(TableAopCalendar[[#This Row],[Month]])," ",TableAopCalendar[[#This Row],[Year]])</f>
        <v>JUNE 24</v>
      </c>
      <c r="J800" s="7" t="s">
        <v>274</v>
      </c>
      <c r="K800" s="7" t="str">
        <f>CONCATENATE(TableAopCalendar[[#This Row],[Month for Plan]]," ",TableAopCalendar[[#This Row],[Plan]])</f>
        <v>JUNE 24 PLANNED</v>
      </c>
    </row>
    <row r="801" spans="1:11" x14ac:dyDescent="0.3">
      <c r="A801" s="7">
        <f t="shared" si="42"/>
        <v>1</v>
      </c>
      <c r="B801" s="5">
        <v>45451</v>
      </c>
      <c r="C801" s="6" t="s">
        <v>266</v>
      </c>
      <c r="D801" s="6">
        <v>24</v>
      </c>
      <c r="E801" s="7">
        <f>DAY(TableAopCalendar[[#This Row],[Date]])</f>
        <v>8</v>
      </c>
      <c r="F801" s="7">
        <f>IF(TableAopCalendar[[#This Row],[Day]]&lt;8,1,IF(TableAopCalendar[[#This Row],[Day]]&lt;15,2,IF(TableAopCalendar[[#This Row],[Day]]&lt;22,3,IF(TableAopCalendar[[#This Row],[Day]]&lt;29,4,IF(TableAopCalendar[[#This Row],[Day]]&lt;32,5)))))</f>
        <v>2</v>
      </c>
      <c r="G801" s="7" t="str">
        <f t="shared" si="43"/>
        <v>Week 2</v>
      </c>
      <c r="H801" s="7" t="str">
        <f t="shared" si="44"/>
        <v>June 24 Week 2</v>
      </c>
      <c r="I801" s="7" t="str">
        <f>CONCATENATE(UPPER(TableAopCalendar[[#This Row],[Month]])," ",TableAopCalendar[[#This Row],[Year]])</f>
        <v>JUNE 24</v>
      </c>
      <c r="J801" s="7" t="s">
        <v>274</v>
      </c>
      <c r="K801" s="7" t="str">
        <f>CONCATENATE(TableAopCalendar[[#This Row],[Month for Plan]]," ",TableAopCalendar[[#This Row],[Plan]])</f>
        <v>JUNE 24 PLANNED</v>
      </c>
    </row>
    <row r="802" spans="1:11" x14ac:dyDescent="0.3">
      <c r="A802" s="7">
        <f t="shared" si="42"/>
        <v>2</v>
      </c>
      <c r="B802" s="5">
        <v>45452</v>
      </c>
      <c r="C802" s="6" t="s">
        <v>266</v>
      </c>
      <c r="D802" s="6">
        <v>24</v>
      </c>
      <c r="E802" s="7">
        <f>DAY(TableAopCalendar[[#This Row],[Date]])</f>
        <v>9</v>
      </c>
      <c r="F802" s="7">
        <f>IF(TableAopCalendar[[#This Row],[Day]]&lt;8,1,IF(TableAopCalendar[[#This Row],[Day]]&lt;15,2,IF(TableAopCalendar[[#This Row],[Day]]&lt;22,3,IF(TableAopCalendar[[#This Row],[Day]]&lt;29,4,IF(TableAopCalendar[[#This Row],[Day]]&lt;32,5)))))</f>
        <v>2</v>
      </c>
      <c r="G802" s="7" t="str">
        <f t="shared" si="43"/>
        <v>Week 2</v>
      </c>
      <c r="H802" s="7" t="str">
        <f t="shared" si="44"/>
        <v>June 24 Week 2</v>
      </c>
      <c r="I802" s="7" t="str">
        <f>CONCATENATE(UPPER(TableAopCalendar[[#This Row],[Month]])," ",TableAopCalendar[[#This Row],[Year]])</f>
        <v>JUNE 24</v>
      </c>
      <c r="J802" s="7" t="s">
        <v>274</v>
      </c>
      <c r="K802" s="7" t="str">
        <f>CONCATENATE(TableAopCalendar[[#This Row],[Month for Plan]]," ",TableAopCalendar[[#This Row],[Plan]])</f>
        <v>JUNE 24 PLANNED</v>
      </c>
    </row>
    <row r="803" spans="1:11" x14ac:dyDescent="0.3">
      <c r="A803" s="7">
        <f t="shared" si="42"/>
        <v>3</v>
      </c>
      <c r="B803" s="5">
        <v>45453</v>
      </c>
      <c r="C803" s="6" t="s">
        <v>266</v>
      </c>
      <c r="D803" s="6">
        <v>24</v>
      </c>
      <c r="E803" s="7">
        <f>DAY(TableAopCalendar[[#This Row],[Date]])</f>
        <v>10</v>
      </c>
      <c r="F803" s="7">
        <f>IF(TableAopCalendar[[#This Row],[Day]]&lt;8,1,IF(TableAopCalendar[[#This Row],[Day]]&lt;15,2,IF(TableAopCalendar[[#This Row],[Day]]&lt;22,3,IF(TableAopCalendar[[#This Row],[Day]]&lt;29,4,IF(TableAopCalendar[[#This Row],[Day]]&lt;32,5)))))</f>
        <v>2</v>
      </c>
      <c r="G803" s="7" t="str">
        <f t="shared" si="43"/>
        <v>Week 2</v>
      </c>
      <c r="H803" s="7" t="str">
        <f t="shared" si="44"/>
        <v>June 24 Week 2</v>
      </c>
      <c r="I803" s="7" t="str">
        <f>CONCATENATE(UPPER(TableAopCalendar[[#This Row],[Month]])," ",TableAopCalendar[[#This Row],[Year]])</f>
        <v>JUNE 24</v>
      </c>
      <c r="J803" s="7" t="s">
        <v>274</v>
      </c>
      <c r="K803" s="7" t="str">
        <f>CONCATENATE(TableAopCalendar[[#This Row],[Month for Plan]]," ",TableAopCalendar[[#This Row],[Plan]])</f>
        <v>JUNE 24 PLANNED</v>
      </c>
    </row>
    <row r="804" spans="1:11" x14ac:dyDescent="0.3">
      <c r="A804" s="7">
        <f t="shared" si="42"/>
        <v>4</v>
      </c>
      <c r="B804" s="5">
        <v>45454</v>
      </c>
      <c r="C804" s="6" t="s">
        <v>266</v>
      </c>
      <c r="D804" s="6">
        <v>24</v>
      </c>
      <c r="E804" s="7">
        <f>DAY(TableAopCalendar[[#This Row],[Date]])</f>
        <v>11</v>
      </c>
      <c r="F804" s="7">
        <f>IF(TableAopCalendar[[#This Row],[Day]]&lt;8,1,IF(TableAopCalendar[[#This Row],[Day]]&lt;15,2,IF(TableAopCalendar[[#This Row],[Day]]&lt;22,3,IF(TableAopCalendar[[#This Row],[Day]]&lt;29,4,IF(TableAopCalendar[[#This Row],[Day]]&lt;32,5)))))</f>
        <v>2</v>
      </c>
      <c r="G804" s="7" t="str">
        <f t="shared" si="43"/>
        <v>Week 2</v>
      </c>
      <c r="H804" s="7" t="str">
        <f t="shared" si="44"/>
        <v>June 24 Week 2</v>
      </c>
      <c r="I804" s="7" t="str">
        <f>CONCATENATE(UPPER(TableAopCalendar[[#This Row],[Month]])," ",TableAopCalendar[[#This Row],[Year]])</f>
        <v>JUNE 24</v>
      </c>
      <c r="J804" s="7" t="s">
        <v>274</v>
      </c>
      <c r="K804" s="7" t="str">
        <f>CONCATENATE(TableAopCalendar[[#This Row],[Month for Plan]]," ",TableAopCalendar[[#This Row],[Plan]])</f>
        <v>JUNE 24 PLANNED</v>
      </c>
    </row>
    <row r="805" spans="1:11" x14ac:dyDescent="0.3">
      <c r="A805" s="7">
        <f t="shared" si="42"/>
        <v>5</v>
      </c>
      <c r="B805" s="5">
        <v>45455</v>
      </c>
      <c r="C805" s="6" t="s">
        <v>266</v>
      </c>
      <c r="D805" s="6">
        <v>24</v>
      </c>
      <c r="E805" s="7">
        <f>DAY(TableAopCalendar[[#This Row],[Date]])</f>
        <v>12</v>
      </c>
      <c r="F805" s="7">
        <f>IF(TableAopCalendar[[#This Row],[Day]]&lt;8,1,IF(TableAopCalendar[[#This Row],[Day]]&lt;15,2,IF(TableAopCalendar[[#This Row],[Day]]&lt;22,3,IF(TableAopCalendar[[#This Row],[Day]]&lt;29,4,IF(TableAopCalendar[[#This Row],[Day]]&lt;32,5)))))</f>
        <v>2</v>
      </c>
      <c r="G805" s="7" t="str">
        <f t="shared" si="43"/>
        <v>Week 2</v>
      </c>
      <c r="H805" s="7" t="str">
        <f t="shared" si="44"/>
        <v>June 24 Week 2</v>
      </c>
      <c r="I805" s="7" t="str">
        <f>CONCATENATE(UPPER(TableAopCalendar[[#This Row],[Month]])," ",TableAopCalendar[[#This Row],[Year]])</f>
        <v>JUNE 24</v>
      </c>
      <c r="J805" s="7" t="s">
        <v>274</v>
      </c>
      <c r="K805" s="7" t="str">
        <f>CONCATENATE(TableAopCalendar[[#This Row],[Month for Plan]]," ",TableAopCalendar[[#This Row],[Plan]])</f>
        <v>JUNE 24 PLANNED</v>
      </c>
    </row>
    <row r="806" spans="1:11" x14ac:dyDescent="0.3">
      <c r="A806" s="7">
        <f t="shared" si="42"/>
        <v>6</v>
      </c>
      <c r="B806" s="5">
        <v>45456</v>
      </c>
      <c r="C806" s="6" t="s">
        <v>266</v>
      </c>
      <c r="D806" s="6">
        <v>24</v>
      </c>
      <c r="E806" s="7">
        <f>DAY(TableAopCalendar[[#This Row],[Date]])</f>
        <v>13</v>
      </c>
      <c r="F806" s="7">
        <f>IF(TableAopCalendar[[#This Row],[Day]]&lt;8,1,IF(TableAopCalendar[[#This Row],[Day]]&lt;15,2,IF(TableAopCalendar[[#This Row],[Day]]&lt;22,3,IF(TableAopCalendar[[#This Row],[Day]]&lt;29,4,IF(TableAopCalendar[[#This Row],[Day]]&lt;32,5)))))</f>
        <v>2</v>
      </c>
      <c r="G806" s="7" t="str">
        <f t="shared" si="43"/>
        <v>Week 2</v>
      </c>
      <c r="H806" s="7" t="str">
        <f t="shared" si="44"/>
        <v>June 24 Week 2</v>
      </c>
      <c r="I806" s="7" t="str">
        <f>CONCATENATE(UPPER(TableAopCalendar[[#This Row],[Month]])," ",TableAopCalendar[[#This Row],[Year]])</f>
        <v>JUNE 24</v>
      </c>
      <c r="J806" s="7" t="s">
        <v>274</v>
      </c>
      <c r="K806" s="7" t="str">
        <f>CONCATENATE(TableAopCalendar[[#This Row],[Month for Plan]]," ",TableAopCalendar[[#This Row],[Plan]])</f>
        <v>JUNE 24 PLANNED</v>
      </c>
    </row>
    <row r="807" spans="1:11" x14ac:dyDescent="0.3">
      <c r="A807" s="7">
        <f t="shared" si="42"/>
        <v>7</v>
      </c>
      <c r="B807" s="5">
        <v>45457</v>
      </c>
      <c r="C807" s="6" t="s">
        <v>266</v>
      </c>
      <c r="D807" s="6">
        <v>24</v>
      </c>
      <c r="E807" s="7">
        <f>DAY(TableAopCalendar[[#This Row],[Date]])</f>
        <v>14</v>
      </c>
      <c r="F807" s="7">
        <f>IF(TableAopCalendar[[#This Row],[Day]]&lt;8,1,IF(TableAopCalendar[[#This Row],[Day]]&lt;15,2,IF(TableAopCalendar[[#This Row],[Day]]&lt;22,3,IF(TableAopCalendar[[#This Row],[Day]]&lt;29,4,IF(TableAopCalendar[[#This Row],[Day]]&lt;32,5)))))</f>
        <v>2</v>
      </c>
      <c r="G807" s="7" t="str">
        <f t="shared" si="43"/>
        <v>Week 2</v>
      </c>
      <c r="H807" s="7" t="str">
        <f t="shared" si="44"/>
        <v>June 24 Week 2</v>
      </c>
      <c r="I807" s="7" t="str">
        <f>CONCATENATE(UPPER(TableAopCalendar[[#This Row],[Month]])," ",TableAopCalendar[[#This Row],[Year]])</f>
        <v>JUNE 24</v>
      </c>
      <c r="J807" s="7" t="s">
        <v>274</v>
      </c>
      <c r="K807" s="7" t="str">
        <f>CONCATENATE(TableAopCalendar[[#This Row],[Month for Plan]]," ",TableAopCalendar[[#This Row],[Plan]])</f>
        <v>JUNE 24 PLANNED</v>
      </c>
    </row>
    <row r="808" spans="1:11" x14ac:dyDescent="0.3">
      <c r="A808" s="7">
        <f t="shared" si="42"/>
        <v>1</v>
      </c>
      <c r="B808" s="5">
        <v>45458</v>
      </c>
      <c r="C808" s="6" t="s">
        <v>266</v>
      </c>
      <c r="D808" s="6">
        <v>24</v>
      </c>
      <c r="E808" s="7">
        <f>DAY(TableAopCalendar[[#This Row],[Date]])</f>
        <v>15</v>
      </c>
      <c r="F808" s="7">
        <f>IF(TableAopCalendar[[#This Row],[Day]]&lt;8,1,IF(TableAopCalendar[[#This Row],[Day]]&lt;15,2,IF(TableAopCalendar[[#This Row],[Day]]&lt;22,3,IF(TableAopCalendar[[#This Row],[Day]]&lt;29,4,IF(TableAopCalendar[[#This Row],[Day]]&lt;32,5)))))</f>
        <v>3</v>
      </c>
      <c r="G808" s="7" t="str">
        <f t="shared" si="43"/>
        <v>Week 3</v>
      </c>
      <c r="H808" s="7" t="str">
        <f t="shared" si="44"/>
        <v>June 24 Week 3</v>
      </c>
      <c r="I808" s="7" t="str">
        <f>CONCATENATE(UPPER(TableAopCalendar[[#This Row],[Month]])," ",TableAopCalendar[[#This Row],[Year]])</f>
        <v>JUNE 24</v>
      </c>
      <c r="J808" s="7" t="s">
        <v>274</v>
      </c>
      <c r="K808" s="7" t="str">
        <f>CONCATENATE(TableAopCalendar[[#This Row],[Month for Plan]]," ",TableAopCalendar[[#This Row],[Plan]])</f>
        <v>JUNE 24 PLANNED</v>
      </c>
    </row>
    <row r="809" spans="1:11" x14ac:dyDescent="0.3">
      <c r="A809" s="7">
        <f t="shared" si="42"/>
        <v>2</v>
      </c>
      <c r="B809" s="5">
        <v>45459</v>
      </c>
      <c r="C809" s="6" t="s">
        <v>266</v>
      </c>
      <c r="D809" s="6">
        <v>24</v>
      </c>
      <c r="E809" s="7">
        <f>DAY(TableAopCalendar[[#This Row],[Date]])</f>
        <v>16</v>
      </c>
      <c r="F809" s="7">
        <f>IF(TableAopCalendar[[#This Row],[Day]]&lt;8,1,IF(TableAopCalendar[[#This Row],[Day]]&lt;15,2,IF(TableAopCalendar[[#This Row],[Day]]&lt;22,3,IF(TableAopCalendar[[#This Row],[Day]]&lt;29,4,IF(TableAopCalendar[[#This Row],[Day]]&lt;32,5)))))</f>
        <v>3</v>
      </c>
      <c r="G809" s="7" t="str">
        <f t="shared" si="43"/>
        <v>Week 3</v>
      </c>
      <c r="H809" s="7" t="str">
        <f t="shared" si="44"/>
        <v>June 24 Week 3</v>
      </c>
      <c r="I809" s="7" t="str">
        <f>CONCATENATE(UPPER(TableAopCalendar[[#This Row],[Month]])," ",TableAopCalendar[[#This Row],[Year]])</f>
        <v>JUNE 24</v>
      </c>
      <c r="J809" s="7" t="s">
        <v>274</v>
      </c>
      <c r="K809" s="7" t="str">
        <f>CONCATENATE(TableAopCalendar[[#This Row],[Month for Plan]]," ",TableAopCalendar[[#This Row],[Plan]])</f>
        <v>JUNE 24 PLANNED</v>
      </c>
    </row>
    <row r="810" spans="1:11" x14ac:dyDescent="0.3">
      <c r="A810" s="7">
        <f t="shared" si="42"/>
        <v>3</v>
      </c>
      <c r="B810" s="5">
        <v>45460</v>
      </c>
      <c r="C810" s="6" t="s">
        <v>266</v>
      </c>
      <c r="D810" s="6">
        <v>24</v>
      </c>
      <c r="E810" s="7">
        <f>DAY(TableAopCalendar[[#This Row],[Date]])</f>
        <v>17</v>
      </c>
      <c r="F810" s="7">
        <f>IF(TableAopCalendar[[#This Row],[Day]]&lt;8,1,IF(TableAopCalendar[[#This Row],[Day]]&lt;15,2,IF(TableAopCalendar[[#This Row],[Day]]&lt;22,3,IF(TableAopCalendar[[#This Row],[Day]]&lt;29,4,IF(TableAopCalendar[[#This Row],[Day]]&lt;32,5)))))</f>
        <v>3</v>
      </c>
      <c r="G810" s="7" t="str">
        <f t="shared" si="43"/>
        <v>Week 3</v>
      </c>
      <c r="H810" s="7" t="str">
        <f t="shared" si="44"/>
        <v>June 24 Week 3</v>
      </c>
      <c r="I810" s="7" t="str">
        <f>CONCATENATE(UPPER(TableAopCalendar[[#This Row],[Month]])," ",TableAopCalendar[[#This Row],[Year]])</f>
        <v>JUNE 24</v>
      </c>
      <c r="J810" s="7" t="s">
        <v>274</v>
      </c>
      <c r="K810" s="7" t="str">
        <f>CONCATENATE(TableAopCalendar[[#This Row],[Month for Plan]]," ",TableAopCalendar[[#This Row],[Plan]])</f>
        <v>JUNE 24 PLANNED</v>
      </c>
    </row>
    <row r="811" spans="1:11" x14ac:dyDescent="0.3">
      <c r="A811" s="7">
        <f t="shared" si="42"/>
        <v>4</v>
      </c>
      <c r="B811" s="5">
        <v>45461</v>
      </c>
      <c r="C811" s="6" t="s">
        <v>266</v>
      </c>
      <c r="D811" s="6">
        <v>24</v>
      </c>
      <c r="E811" s="7">
        <f>DAY(TableAopCalendar[[#This Row],[Date]])</f>
        <v>18</v>
      </c>
      <c r="F811" s="7">
        <f>IF(TableAopCalendar[[#This Row],[Day]]&lt;8,1,IF(TableAopCalendar[[#This Row],[Day]]&lt;15,2,IF(TableAopCalendar[[#This Row],[Day]]&lt;22,3,IF(TableAopCalendar[[#This Row],[Day]]&lt;29,4,IF(TableAopCalendar[[#This Row],[Day]]&lt;32,5)))))</f>
        <v>3</v>
      </c>
      <c r="G811" s="7" t="str">
        <f t="shared" si="43"/>
        <v>Week 3</v>
      </c>
      <c r="H811" s="7" t="str">
        <f t="shared" si="44"/>
        <v>June 24 Week 3</v>
      </c>
      <c r="I811" s="7" t="str">
        <f>CONCATENATE(UPPER(TableAopCalendar[[#This Row],[Month]])," ",TableAopCalendar[[#This Row],[Year]])</f>
        <v>JUNE 24</v>
      </c>
      <c r="J811" s="7" t="s">
        <v>274</v>
      </c>
      <c r="K811" s="7" t="str">
        <f>CONCATENATE(TableAopCalendar[[#This Row],[Month for Plan]]," ",TableAopCalendar[[#This Row],[Plan]])</f>
        <v>JUNE 24 PLANNED</v>
      </c>
    </row>
    <row r="812" spans="1:11" x14ac:dyDescent="0.3">
      <c r="A812" s="7">
        <f t="shared" si="42"/>
        <v>5</v>
      </c>
      <c r="B812" s="5">
        <v>45462</v>
      </c>
      <c r="C812" s="6" t="s">
        <v>266</v>
      </c>
      <c r="D812" s="6">
        <v>24</v>
      </c>
      <c r="E812" s="7">
        <f>DAY(TableAopCalendar[[#This Row],[Date]])</f>
        <v>19</v>
      </c>
      <c r="F812" s="7">
        <f>IF(TableAopCalendar[[#This Row],[Day]]&lt;8,1,IF(TableAopCalendar[[#This Row],[Day]]&lt;15,2,IF(TableAopCalendar[[#This Row],[Day]]&lt;22,3,IF(TableAopCalendar[[#This Row],[Day]]&lt;29,4,IF(TableAopCalendar[[#This Row],[Day]]&lt;32,5)))))</f>
        <v>3</v>
      </c>
      <c r="G812" s="7" t="str">
        <f t="shared" si="43"/>
        <v>Week 3</v>
      </c>
      <c r="H812" s="7" t="str">
        <f t="shared" si="44"/>
        <v>June 24 Week 3</v>
      </c>
      <c r="I812" s="7" t="str">
        <f>CONCATENATE(UPPER(TableAopCalendar[[#This Row],[Month]])," ",TableAopCalendar[[#This Row],[Year]])</f>
        <v>JUNE 24</v>
      </c>
      <c r="J812" s="7" t="s">
        <v>274</v>
      </c>
      <c r="K812" s="7" t="str">
        <f>CONCATENATE(TableAopCalendar[[#This Row],[Month for Plan]]," ",TableAopCalendar[[#This Row],[Plan]])</f>
        <v>JUNE 24 PLANNED</v>
      </c>
    </row>
    <row r="813" spans="1:11" x14ac:dyDescent="0.3">
      <c r="A813" s="7">
        <f t="shared" si="42"/>
        <v>6</v>
      </c>
      <c r="B813" s="5">
        <v>45463</v>
      </c>
      <c r="C813" s="6" t="s">
        <v>266</v>
      </c>
      <c r="D813" s="6">
        <v>24</v>
      </c>
      <c r="E813" s="7">
        <f>DAY(TableAopCalendar[[#This Row],[Date]])</f>
        <v>20</v>
      </c>
      <c r="F813" s="7">
        <f>IF(TableAopCalendar[[#This Row],[Day]]&lt;8,1,IF(TableAopCalendar[[#This Row],[Day]]&lt;15,2,IF(TableAopCalendar[[#This Row],[Day]]&lt;22,3,IF(TableAopCalendar[[#This Row],[Day]]&lt;29,4,IF(TableAopCalendar[[#This Row],[Day]]&lt;32,5)))))</f>
        <v>3</v>
      </c>
      <c r="G813" s="7" t="str">
        <f t="shared" si="43"/>
        <v>Week 3</v>
      </c>
      <c r="H813" s="7" t="str">
        <f t="shared" si="44"/>
        <v>June 24 Week 3</v>
      </c>
      <c r="I813" s="7" t="str">
        <f>CONCATENATE(UPPER(TableAopCalendar[[#This Row],[Month]])," ",TableAopCalendar[[#This Row],[Year]])</f>
        <v>JUNE 24</v>
      </c>
      <c r="J813" s="7" t="s">
        <v>274</v>
      </c>
      <c r="K813" s="7" t="str">
        <f>CONCATENATE(TableAopCalendar[[#This Row],[Month for Plan]]," ",TableAopCalendar[[#This Row],[Plan]])</f>
        <v>JUNE 24 PLANNED</v>
      </c>
    </row>
    <row r="814" spans="1:11" x14ac:dyDescent="0.3">
      <c r="A814" s="7">
        <f t="shared" si="42"/>
        <v>7</v>
      </c>
      <c r="B814" s="5">
        <v>45464</v>
      </c>
      <c r="C814" s="6" t="s">
        <v>266</v>
      </c>
      <c r="D814" s="6">
        <v>24</v>
      </c>
      <c r="E814" s="7">
        <f>DAY(TableAopCalendar[[#This Row],[Date]])</f>
        <v>21</v>
      </c>
      <c r="F814" s="7">
        <f>IF(TableAopCalendar[[#This Row],[Day]]&lt;8,1,IF(TableAopCalendar[[#This Row],[Day]]&lt;15,2,IF(TableAopCalendar[[#This Row],[Day]]&lt;22,3,IF(TableAopCalendar[[#This Row],[Day]]&lt;29,4,IF(TableAopCalendar[[#This Row],[Day]]&lt;32,5)))))</f>
        <v>3</v>
      </c>
      <c r="G814" s="7" t="str">
        <f t="shared" si="43"/>
        <v>Week 3</v>
      </c>
      <c r="H814" s="7" t="str">
        <f t="shared" si="44"/>
        <v>June 24 Week 3</v>
      </c>
      <c r="I814" s="7" t="str">
        <f>CONCATENATE(UPPER(TableAopCalendar[[#This Row],[Month]])," ",TableAopCalendar[[#This Row],[Year]])</f>
        <v>JUNE 24</v>
      </c>
      <c r="J814" s="7" t="s">
        <v>274</v>
      </c>
      <c r="K814" s="7" t="str">
        <f>CONCATENATE(TableAopCalendar[[#This Row],[Month for Plan]]," ",TableAopCalendar[[#This Row],[Plan]])</f>
        <v>JUNE 24 PLANNED</v>
      </c>
    </row>
    <row r="815" spans="1:11" x14ac:dyDescent="0.3">
      <c r="A815" s="7">
        <f t="shared" si="42"/>
        <v>1</v>
      </c>
      <c r="B815" s="5">
        <v>45465</v>
      </c>
      <c r="C815" s="6" t="s">
        <v>266</v>
      </c>
      <c r="D815" s="6">
        <v>24</v>
      </c>
      <c r="E815" s="7">
        <f>DAY(TableAopCalendar[[#This Row],[Date]])</f>
        <v>22</v>
      </c>
      <c r="F815" s="7">
        <f>IF(TableAopCalendar[[#This Row],[Day]]&lt;8,1,IF(TableAopCalendar[[#This Row],[Day]]&lt;15,2,IF(TableAopCalendar[[#This Row],[Day]]&lt;22,3,IF(TableAopCalendar[[#This Row],[Day]]&lt;29,4,IF(TableAopCalendar[[#This Row],[Day]]&lt;32,5)))))</f>
        <v>4</v>
      </c>
      <c r="G815" s="7" t="str">
        <f t="shared" si="43"/>
        <v>Week 4</v>
      </c>
      <c r="H815" s="7" t="str">
        <f t="shared" si="44"/>
        <v>June 24 Week 4</v>
      </c>
      <c r="I815" s="7" t="str">
        <f>CONCATENATE(UPPER(TableAopCalendar[[#This Row],[Month]])," ",TableAopCalendar[[#This Row],[Year]])</f>
        <v>JUNE 24</v>
      </c>
      <c r="J815" s="7" t="s">
        <v>274</v>
      </c>
      <c r="K815" s="7" t="str">
        <f>CONCATENATE(TableAopCalendar[[#This Row],[Month for Plan]]," ",TableAopCalendar[[#This Row],[Plan]])</f>
        <v>JUNE 24 PLANNED</v>
      </c>
    </row>
    <row r="816" spans="1:11" x14ac:dyDescent="0.3">
      <c r="A816" s="7">
        <f t="shared" si="42"/>
        <v>2</v>
      </c>
      <c r="B816" s="5">
        <v>45466</v>
      </c>
      <c r="C816" s="6" t="s">
        <v>266</v>
      </c>
      <c r="D816" s="6">
        <v>24</v>
      </c>
      <c r="E816" s="7">
        <f>DAY(TableAopCalendar[[#This Row],[Date]])</f>
        <v>23</v>
      </c>
      <c r="F816" s="7">
        <f>IF(TableAopCalendar[[#This Row],[Day]]&lt;8,1,IF(TableAopCalendar[[#This Row],[Day]]&lt;15,2,IF(TableAopCalendar[[#This Row],[Day]]&lt;22,3,IF(TableAopCalendar[[#This Row],[Day]]&lt;29,4,IF(TableAopCalendar[[#This Row],[Day]]&lt;32,5)))))</f>
        <v>4</v>
      </c>
      <c r="G816" s="7" t="str">
        <f t="shared" si="43"/>
        <v>Week 4</v>
      </c>
      <c r="H816" s="7" t="str">
        <f t="shared" si="44"/>
        <v>June 24 Week 4</v>
      </c>
      <c r="I816" s="7" t="str">
        <f>CONCATENATE(UPPER(TableAopCalendar[[#This Row],[Month]])," ",TableAopCalendar[[#This Row],[Year]])</f>
        <v>JUNE 24</v>
      </c>
      <c r="J816" s="7" t="s">
        <v>274</v>
      </c>
      <c r="K816" s="7" t="str">
        <f>CONCATENATE(TableAopCalendar[[#This Row],[Month for Plan]]," ",TableAopCalendar[[#This Row],[Plan]])</f>
        <v>JUNE 24 PLANNED</v>
      </c>
    </row>
    <row r="817" spans="1:11" x14ac:dyDescent="0.3">
      <c r="A817" s="7">
        <f t="shared" si="42"/>
        <v>3</v>
      </c>
      <c r="B817" s="5">
        <v>45467</v>
      </c>
      <c r="C817" s="6" t="s">
        <v>266</v>
      </c>
      <c r="D817" s="6">
        <v>24</v>
      </c>
      <c r="E817" s="7">
        <f>DAY(TableAopCalendar[[#This Row],[Date]])</f>
        <v>24</v>
      </c>
      <c r="F817" s="7">
        <f>IF(TableAopCalendar[[#This Row],[Day]]&lt;8,1,IF(TableAopCalendar[[#This Row],[Day]]&lt;15,2,IF(TableAopCalendar[[#This Row],[Day]]&lt;22,3,IF(TableAopCalendar[[#This Row],[Day]]&lt;29,4,IF(TableAopCalendar[[#This Row],[Day]]&lt;32,5)))))</f>
        <v>4</v>
      </c>
      <c r="G817" s="7" t="str">
        <f t="shared" si="43"/>
        <v>Week 4</v>
      </c>
      <c r="H817" s="7" t="str">
        <f t="shared" si="44"/>
        <v>June 24 Week 4</v>
      </c>
      <c r="I817" s="7" t="str">
        <f>CONCATENATE(UPPER(TableAopCalendar[[#This Row],[Month]])," ",TableAopCalendar[[#This Row],[Year]])</f>
        <v>JUNE 24</v>
      </c>
      <c r="J817" s="7" t="s">
        <v>274</v>
      </c>
      <c r="K817" s="7" t="str">
        <f>CONCATENATE(TableAopCalendar[[#This Row],[Month for Plan]]," ",TableAopCalendar[[#This Row],[Plan]])</f>
        <v>JUNE 24 PLANNED</v>
      </c>
    </row>
    <row r="818" spans="1:11" x14ac:dyDescent="0.3">
      <c r="A818" s="7">
        <f t="shared" si="42"/>
        <v>4</v>
      </c>
      <c r="B818" s="5">
        <v>45468</v>
      </c>
      <c r="C818" s="6" t="s">
        <v>266</v>
      </c>
      <c r="D818" s="6">
        <v>24</v>
      </c>
      <c r="E818" s="7">
        <f>DAY(TableAopCalendar[[#This Row],[Date]])</f>
        <v>25</v>
      </c>
      <c r="F818" s="7">
        <f>IF(TableAopCalendar[[#This Row],[Day]]&lt;8,1,IF(TableAopCalendar[[#This Row],[Day]]&lt;15,2,IF(TableAopCalendar[[#This Row],[Day]]&lt;22,3,IF(TableAopCalendar[[#This Row],[Day]]&lt;29,4,IF(TableAopCalendar[[#This Row],[Day]]&lt;32,5)))))</f>
        <v>4</v>
      </c>
      <c r="G818" s="7" t="str">
        <f t="shared" si="43"/>
        <v>Week 4</v>
      </c>
      <c r="H818" s="7" t="str">
        <f t="shared" si="44"/>
        <v>June 24 Week 4</v>
      </c>
      <c r="I818" s="7" t="str">
        <f>CONCATENATE(UPPER(TableAopCalendar[[#This Row],[Month]])," ",TableAopCalendar[[#This Row],[Year]])</f>
        <v>JUNE 24</v>
      </c>
      <c r="J818" s="7" t="s">
        <v>274</v>
      </c>
      <c r="K818" s="7" t="str">
        <f>CONCATENATE(TableAopCalendar[[#This Row],[Month for Plan]]," ",TableAopCalendar[[#This Row],[Plan]])</f>
        <v>JUNE 24 PLANNED</v>
      </c>
    </row>
    <row r="819" spans="1:11" x14ac:dyDescent="0.3">
      <c r="A819" s="7">
        <f t="shared" si="42"/>
        <v>5</v>
      </c>
      <c r="B819" s="5">
        <v>45469</v>
      </c>
      <c r="C819" s="6" t="s">
        <v>266</v>
      </c>
      <c r="D819" s="6">
        <v>24</v>
      </c>
      <c r="E819" s="7">
        <f>DAY(TableAopCalendar[[#This Row],[Date]])</f>
        <v>26</v>
      </c>
      <c r="F819" s="7">
        <f>IF(TableAopCalendar[[#This Row],[Day]]&lt;8,1,IF(TableAopCalendar[[#This Row],[Day]]&lt;15,2,IF(TableAopCalendar[[#This Row],[Day]]&lt;22,3,IF(TableAopCalendar[[#This Row],[Day]]&lt;29,4,IF(TableAopCalendar[[#This Row],[Day]]&lt;32,5)))))</f>
        <v>4</v>
      </c>
      <c r="G819" s="7" t="str">
        <f t="shared" si="43"/>
        <v>Week 4</v>
      </c>
      <c r="H819" s="7" t="str">
        <f t="shared" si="44"/>
        <v>June 24 Week 4</v>
      </c>
      <c r="I819" s="7" t="str">
        <f>CONCATENATE(UPPER(TableAopCalendar[[#This Row],[Month]])," ",TableAopCalendar[[#This Row],[Year]])</f>
        <v>JUNE 24</v>
      </c>
      <c r="J819" s="7" t="s">
        <v>274</v>
      </c>
      <c r="K819" s="7" t="str">
        <f>CONCATENATE(TableAopCalendar[[#This Row],[Month for Plan]]," ",TableAopCalendar[[#This Row],[Plan]])</f>
        <v>JUNE 24 PLANNED</v>
      </c>
    </row>
    <row r="820" spans="1:11" x14ac:dyDescent="0.3">
      <c r="A820" s="7">
        <f t="shared" si="42"/>
        <v>6</v>
      </c>
      <c r="B820" s="5">
        <v>45470</v>
      </c>
      <c r="C820" s="6" t="s">
        <v>266</v>
      </c>
      <c r="D820" s="6">
        <v>24</v>
      </c>
      <c r="E820" s="7">
        <f>DAY(TableAopCalendar[[#This Row],[Date]])</f>
        <v>27</v>
      </c>
      <c r="F820" s="7">
        <f>IF(TableAopCalendar[[#This Row],[Day]]&lt;8,1,IF(TableAopCalendar[[#This Row],[Day]]&lt;15,2,IF(TableAopCalendar[[#This Row],[Day]]&lt;22,3,IF(TableAopCalendar[[#This Row],[Day]]&lt;29,4,IF(TableAopCalendar[[#This Row],[Day]]&lt;32,5)))))</f>
        <v>4</v>
      </c>
      <c r="G820" s="7" t="str">
        <f t="shared" si="43"/>
        <v>Week 4</v>
      </c>
      <c r="H820" s="7" t="str">
        <f t="shared" si="44"/>
        <v>June 24 Week 4</v>
      </c>
      <c r="I820" s="7" t="str">
        <f>CONCATENATE(UPPER(TableAopCalendar[[#This Row],[Month]])," ",TableAopCalendar[[#This Row],[Year]])</f>
        <v>JUNE 24</v>
      </c>
      <c r="J820" s="7" t="s">
        <v>274</v>
      </c>
      <c r="K820" s="7" t="str">
        <f>CONCATENATE(TableAopCalendar[[#This Row],[Month for Plan]]," ",TableAopCalendar[[#This Row],[Plan]])</f>
        <v>JUNE 24 PLANNED</v>
      </c>
    </row>
    <row r="821" spans="1:11" x14ac:dyDescent="0.3">
      <c r="A821" s="7">
        <f t="shared" si="42"/>
        <v>7</v>
      </c>
      <c r="B821" s="5">
        <v>45471</v>
      </c>
      <c r="C821" s="6" t="s">
        <v>266</v>
      </c>
      <c r="D821" s="6">
        <v>24</v>
      </c>
      <c r="E821" s="7">
        <f>DAY(TableAopCalendar[[#This Row],[Date]])</f>
        <v>28</v>
      </c>
      <c r="F821" s="7">
        <f>IF(TableAopCalendar[[#This Row],[Day]]&lt;8,1,IF(TableAopCalendar[[#This Row],[Day]]&lt;15,2,IF(TableAopCalendar[[#This Row],[Day]]&lt;22,3,IF(TableAopCalendar[[#This Row],[Day]]&lt;29,4,IF(TableAopCalendar[[#This Row],[Day]]&lt;32,5)))))</f>
        <v>4</v>
      </c>
      <c r="G821" s="7" t="str">
        <f t="shared" si="43"/>
        <v>Week 4</v>
      </c>
      <c r="H821" s="7" t="str">
        <f t="shared" si="44"/>
        <v>June 24 Week 4</v>
      </c>
      <c r="I821" s="7" t="str">
        <f>CONCATENATE(UPPER(TableAopCalendar[[#This Row],[Month]])," ",TableAopCalendar[[#This Row],[Year]])</f>
        <v>JUNE 24</v>
      </c>
      <c r="J821" s="7" t="s">
        <v>274</v>
      </c>
      <c r="K821" s="7" t="str">
        <f>CONCATENATE(TableAopCalendar[[#This Row],[Month for Plan]]," ",TableAopCalendar[[#This Row],[Plan]])</f>
        <v>JUNE 24 PLANNED</v>
      </c>
    </row>
    <row r="822" spans="1:11" x14ac:dyDescent="0.3">
      <c r="A822" s="7">
        <f t="shared" si="42"/>
        <v>1</v>
      </c>
      <c r="B822" s="5">
        <v>45472</v>
      </c>
      <c r="C822" s="6" t="s">
        <v>266</v>
      </c>
      <c r="D822" s="6">
        <v>24</v>
      </c>
      <c r="E822" s="7">
        <f>DAY(TableAopCalendar[[#This Row],[Date]])</f>
        <v>29</v>
      </c>
      <c r="F822" s="7">
        <f>IF(TableAopCalendar[[#This Row],[Day]]&lt;8,1,IF(TableAopCalendar[[#This Row],[Day]]&lt;15,2,IF(TableAopCalendar[[#This Row],[Day]]&lt;22,3,IF(TableAopCalendar[[#This Row],[Day]]&lt;29,4,IF(TableAopCalendar[[#This Row],[Day]]&lt;32,5)))))</f>
        <v>5</v>
      </c>
      <c r="G822" s="7" t="str">
        <f t="shared" si="43"/>
        <v>Week 5</v>
      </c>
      <c r="H822" s="7" t="str">
        <f t="shared" si="44"/>
        <v>June 24 Week 5</v>
      </c>
      <c r="I822" s="7" t="str">
        <f>CONCATENATE(UPPER(TableAopCalendar[[#This Row],[Month]])," ",TableAopCalendar[[#This Row],[Year]])</f>
        <v>JUNE 24</v>
      </c>
      <c r="J822" s="7" t="s">
        <v>274</v>
      </c>
      <c r="K822" s="7" t="str">
        <f>CONCATENATE(TableAopCalendar[[#This Row],[Month for Plan]]," ",TableAopCalendar[[#This Row],[Plan]])</f>
        <v>JUNE 24 PLANNED</v>
      </c>
    </row>
    <row r="823" spans="1:11" x14ac:dyDescent="0.3">
      <c r="A823" s="7">
        <f t="shared" si="42"/>
        <v>2</v>
      </c>
      <c r="B823" s="5">
        <v>45473</v>
      </c>
      <c r="C823" s="6" t="s">
        <v>266</v>
      </c>
      <c r="D823" s="6">
        <v>24</v>
      </c>
      <c r="E823" s="7">
        <f>DAY(TableAopCalendar[[#This Row],[Date]])</f>
        <v>30</v>
      </c>
      <c r="F823" s="7">
        <f>IF(TableAopCalendar[[#This Row],[Day]]&lt;8,1,IF(TableAopCalendar[[#This Row],[Day]]&lt;15,2,IF(TableAopCalendar[[#This Row],[Day]]&lt;22,3,IF(TableAopCalendar[[#This Row],[Day]]&lt;29,4,IF(TableAopCalendar[[#This Row],[Day]]&lt;32,5)))))</f>
        <v>5</v>
      </c>
      <c r="G823" s="7" t="str">
        <f t="shared" si="43"/>
        <v>Week 5</v>
      </c>
      <c r="H823" s="7" t="str">
        <f t="shared" si="44"/>
        <v>June 24 Week 5</v>
      </c>
      <c r="I823" s="7" t="str">
        <f>CONCATENATE(UPPER(TableAopCalendar[[#This Row],[Month]])," ",TableAopCalendar[[#This Row],[Year]])</f>
        <v>JUNE 24</v>
      </c>
      <c r="J823" s="7" t="s">
        <v>274</v>
      </c>
      <c r="K823" s="7" t="str">
        <f>CONCATENATE(TableAopCalendar[[#This Row],[Month for Plan]]," ",TableAopCalendar[[#This Row],[Plan]])</f>
        <v>JUNE 24 PLANNED</v>
      </c>
    </row>
    <row r="824" spans="1:11" x14ac:dyDescent="0.3">
      <c r="A824" s="7">
        <f t="shared" si="42"/>
        <v>1</v>
      </c>
      <c r="B824" s="5">
        <v>45474</v>
      </c>
      <c r="C824" s="6" t="s">
        <v>267</v>
      </c>
      <c r="D824" s="6">
        <v>24</v>
      </c>
      <c r="E824" s="7">
        <f>DAY(TableAopCalendar[[#This Row],[Date]])</f>
        <v>1</v>
      </c>
      <c r="F824" s="7">
        <f>IF(TableAopCalendar[[#This Row],[Day]]&lt;8,1,IF(TableAopCalendar[[#This Row],[Day]]&lt;15,2,IF(TableAopCalendar[[#This Row],[Day]]&lt;22,3,IF(TableAopCalendar[[#This Row],[Day]]&lt;29,4,IF(TableAopCalendar[[#This Row],[Day]]&lt;32,5)))))</f>
        <v>1</v>
      </c>
      <c r="G824" s="7" t="str">
        <f t="shared" si="43"/>
        <v>Week 1</v>
      </c>
      <c r="H824" s="7" t="str">
        <f t="shared" si="44"/>
        <v>July 24 Week 1</v>
      </c>
      <c r="I824" s="7" t="str">
        <f>CONCATENATE(UPPER(TableAopCalendar[[#This Row],[Month]])," ",TableAopCalendar[[#This Row],[Year]])</f>
        <v>JULY 24</v>
      </c>
      <c r="J824" s="7" t="s">
        <v>274</v>
      </c>
      <c r="K824" s="7" t="str">
        <f>CONCATENATE(TableAopCalendar[[#This Row],[Month for Plan]]," ",TableAopCalendar[[#This Row],[Plan]])</f>
        <v>JULY 24 PLANNED</v>
      </c>
    </row>
    <row r="825" spans="1:11" x14ac:dyDescent="0.3">
      <c r="A825" s="7">
        <f t="shared" si="42"/>
        <v>2</v>
      </c>
      <c r="B825" s="5">
        <v>45475</v>
      </c>
      <c r="C825" s="6" t="s">
        <v>267</v>
      </c>
      <c r="D825" s="6">
        <v>24</v>
      </c>
      <c r="E825" s="7">
        <f>DAY(TableAopCalendar[[#This Row],[Date]])</f>
        <v>2</v>
      </c>
      <c r="F825" s="7">
        <f>IF(TableAopCalendar[[#This Row],[Day]]&lt;8,1,IF(TableAopCalendar[[#This Row],[Day]]&lt;15,2,IF(TableAopCalendar[[#This Row],[Day]]&lt;22,3,IF(TableAopCalendar[[#This Row],[Day]]&lt;29,4,IF(TableAopCalendar[[#This Row],[Day]]&lt;32,5)))))</f>
        <v>1</v>
      </c>
      <c r="G825" s="7" t="str">
        <f t="shared" si="43"/>
        <v>Week 1</v>
      </c>
      <c r="H825" s="7" t="str">
        <f t="shared" si="44"/>
        <v>July 24 Week 1</v>
      </c>
      <c r="I825" s="7" t="str">
        <f>CONCATENATE(UPPER(TableAopCalendar[[#This Row],[Month]])," ",TableAopCalendar[[#This Row],[Year]])</f>
        <v>JULY 24</v>
      </c>
      <c r="J825" s="7" t="s">
        <v>274</v>
      </c>
      <c r="K825" s="7" t="str">
        <f>CONCATENATE(TableAopCalendar[[#This Row],[Month for Plan]]," ",TableAopCalendar[[#This Row],[Plan]])</f>
        <v>JULY 24 PLANNED</v>
      </c>
    </row>
    <row r="826" spans="1:11" x14ac:dyDescent="0.3">
      <c r="A826" s="7">
        <f t="shared" si="42"/>
        <v>3</v>
      </c>
      <c r="B826" s="5">
        <v>45476</v>
      </c>
      <c r="C826" s="6" t="s">
        <v>267</v>
      </c>
      <c r="D826" s="6">
        <v>24</v>
      </c>
      <c r="E826" s="7">
        <f>DAY(TableAopCalendar[[#This Row],[Date]])</f>
        <v>3</v>
      </c>
      <c r="F826" s="7">
        <f>IF(TableAopCalendar[[#This Row],[Day]]&lt;8,1,IF(TableAopCalendar[[#This Row],[Day]]&lt;15,2,IF(TableAopCalendar[[#This Row],[Day]]&lt;22,3,IF(TableAopCalendar[[#This Row],[Day]]&lt;29,4,IF(TableAopCalendar[[#This Row],[Day]]&lt;32,5)))))</f>
        <v>1</v>
      </c>
      <c r="G826" s="7" t="str">
        <f t="shared" si="43"/>
        <v>Week 1</v>
      </c>
      <c r="H826" s="7" t="str">
        <f t="shared" si="44"/>
        <v>July 24 Week 1</v>
      </c>
      <c r="I826" s="7" t="str">
        <f>CONCATENATE(UPPER(TableAopCalendar[[#This Row],[Month]])," ",TableAopCalendar[[#This Row],[Year]])</f>
        <v>JULY 24</v>
      </c>
      <c r="J826" s="7" t="s">
        <v>274</v>
      </c>
      <c r="K826" s="7" t="str">
        <f>CONCATENATE(TableAopCalendar[[#This Row],[Month for Plan]]," ",TableAopCalendar[[#This Row],[Plan]])</f>
        <v>JULY 24 PLANNED</v>
      </c>
    </row>
    <row r="827" spans="1:11" x14ac:dyDescent="0.3">
      <c r="A827" s="7">
        <f t="shared" si="42"/>
        <v>4</v>
      </c>
      <c r="B827" s="5">
        <v>45477</v>
      </c>
      <c r="C827" s="6" t="s">
        <v>267</v>
      </c>
      <c r="D827" s="6">
        <v>24</v>
      </c>
      <c r="E827" s="7">
        <f>DAY(TableAopCalendar[[#This Row],[Date]])</f>
        <v>4</v>
      </c>
      <c r="F827" s="7">
        <f>IF(TableAopCalendar[[#This Row],[Day]]&lt;8,1,IF(TableAopCalendar[[#This Row],[Day]]&lt;15,2,IF(TableAopCalendar[[#This Row],[Day]]&lt;22,3,IF(TableAopCalendar[[#This Row],[Day]]&lt;29,4,IF(TableAopCalendar[[#This Row],[Day]]&lt;32,5)))))</f>
        <v>1</v>
      </c>
      <c r="G827" s="7" t="str">
        <f t="shared" si="43"/>
        <v>Week 1</v>
      </c>
      <c r="H827" s="7" t="str">
        <f t="shared" si="44"/>
        <v>July 24 Week 1</v>
      </c>
      <c r="I827" s="7" t="str">
        <f>CONCATENATE(UPPER(TableAopCalendar[[#This Row],[Month]])," ",TableAopCalendar[[#This Row],[Year]])</f>
        <v>JULY 24</v>
      </c>
      <c r="J827" s="7" t="s">
        <v>274</v>
      </c>
      <c r="K827" s="7" t="str">
        <f>CONCATENATE(TableAopCalendar[[#This Row],[Month for Plan]]," ",TableAopCalendar[[#This Row],[Plan]])</f>
        <v>JULY 24 PLANNED</v>
      </c>
    </row>
    <row r="828" spans="1:11" x14ac:dyDescent="0.3">
      <c r="A828" s="7">
        <f t="shared" si="42"/>
        <v>5</v>
      </c>
      <c r="B828" s="5">
        <v>45478</v>
      </c>
      <c r="C828" s="6" t="s">
        <v>267</v>
      </c>
      <c r="D828" s="6">
        <v>24</v>
      </c>
      <c r="E828" s="7">
        <f>DAY(TableAopCalendar[[#This Row],[Date]])</f>
        <v>5</v>
      </c>
      <c r="F828" s="7">
        <f>IF(TableAopCalendar[[#This Row],[Day]]&lt;8,1,IF(TableAopCalendar[[#This Row],[Day]]&lt;15,2,IF(TableAopCalendar[[#This Row],[Day]]&lt;22,3,IF(TableAopCalendar[[#This Row],[Day]]&lt;29,4,IF(TableAopCalendar[[#This Row],[Day]]&lt;32,5)))))</f>
        <v>1</v>
      </c>
      <c r="G828" s="7" t="str">
        <f t="shared" si="43"/>
        <v>Week 1</v>
      </c>
      <c r="H828" s="7" t="str">
        <f t="shared" si="44"/>
        <v>July 24 Week 1</v>
      </c>
      <c r="I828" s="7" t="str">
        <f>CONCATENATE(UPPER(TableAopCalendar[[#This Row],[Month]])," ",TableAopCalendar[[#This Row],[Year]])</f>
        <v>JULY 24</v>
      </c>
      <c r="J828" s="7" t="s">
        <v>274</v>
      </c>
      <c r="K828" s="7" t="str">
        <f>CONCATENATE(TableAopCalendar[[#This Row],[Month for Plan]]," ",TableAopCalendar[[#This Row],[Plan]])</f>
        <v>JULY 24 PLANNED</v>
      </c>
    </row>
    <row r="829" spans="1:11" x14ac:dyDescent="0.3">
      <c r="A829" s="7">
        <f t="shared" ref="A829:A860" si="45">IF(G829=G828,A828+1,1)</f>
        <v>6</v>
      </c>
      <c r="B829" s="5">
        <v>45479</v>
      </c>
      <c r="C829" s="6" t="s">
        <v>267</v>
      </c>
      <c r="D829" s="6">
        <v>24</v>
      </c>
      <c r="E829" s="7">
        <f>DAY(TableAopCalendar[[#This Row],[Date]])</f>
        <v>6</v>
      </c>
      <c r="F829" s="7">
        <f>IF(TableAopCalendar[[#This Row],[Day]]&lt;8,1,IF(TableAopCalendar[[#This Row],[Day]]&lt;15,2,IF(TableAopCalendar[[#This Row],[Day]]&lt;22,3,IF(TableAopCalendar[[#This Row],[Day]]&lt;29,4,IF(TableAopCalendar[[#This Row],[Day]]&lt;32,5)))))</f>
        <v>1</v>
      </c>
      <c r="G829" s="7" t="str">
        <f t="shared" ref="G829:G860" si="46">"Week"&amp;" "&amp;F829</f>
        <v>Week 1</v>
      </c>
      <c r="H829" s="7" t="str">
        <f t="shared" ref="H829:H860" si="47">CONCATENATE(C829," ",D829," ",G829)</f>
        <v>July 24 Week 1</v>
      </c>
      <c r="I829" s="7" t="str">
        <f>CONCATENATE(UPPER(TableAopCalendar[[#This Row],[Month]])," ",TableAopCalendar[[#This Row],[Year]])</f>
        <v>JULY 24</v>
      </c>
      <c r="J829" s="7" t="s">
        <v>274</v>
      </c>
      <c r="K829" s="7" t="str">
        <f>CONCATENATE(TableAopCalendar[[#This Row],[Month for Plan]]," ",TableAopCalendar[[#This Row],[Plan]])</f>
        <v>JULY 24 PLANNED</v>
      </c>
    </row>
    <row r="830" spans="1:11" x14ac:dyDescent="0.3">
      <c r="A830" s="7">
        <f t="shared" si="45"/>
        <v>7</v>
      </c>
      <c r="B830" s="5">
        <v>45480</v>
      </c>
      <c r="C830" s="6" t="s">
        <v>267</v>
      </c>
      <c r="D830" s="6">
        <v>24</v>
      </c>
      <c r="E830" s="7">
        <f>DAY(TableAopCalendar[[#This Row],[Date]])</f>
        <v>7</v>
      </c>
      <c r="F830" s="7">
        <f>IF(TableAopCalendar[[#This Row],[Day]]&lt;8,1,IF(TableAopCalendar[[#This Row],[Day]]&lt;15,2,IF(TableAopCalendar[[#This Row],[Day]]&lt;22,3,IF(TableAopCalendar[[#This Row],[Day]]&lt;29,4,IF(TableAopCalendar[[#This Row],[Day]]&lt;32,5)))))</f>
        <v>1</v>
      </c>
      <c r="G830" s="7" t="str">
        <f t="shared" si="46"/>
        <v>Week 1</v>
      </c>
      <c r="H830" s="7" t="str">
        <f t="shared" si="47"/>
        <v>July 24 Week 1</v>
      </c>
      <c r="I830" s="7" t="str">
        <f>CONCATENATE(UPPER(TableAopCalendar[[#This Row],[Month]])," ",TableAopCalendar[[#This Row],[Year]])</f>
        <v>JULY 24</v>
      </c>
      <c r="J830" s="7" t="s">
        <v>274</v>
      </c>
      <c r="K830" s="7" t="str">
        <f>CONCATENATE(TableAopCalendar[[#This Row],[Month for Plan]]," ",TableAopCalendar[[#This Row],[Plan]])</f>
        <v>JULY 24 PLANNED</v>
      </c>
    </row>
    <row r="831" spans="1:11" x14ac:dyDescent="0.3">
      <c r="A831" s="7">
        <f t="shared" si="45"/>
        <v>1</v>
      </c>
      <c r="B831" s="5">
        <v>45481</v>
      </c>
      <c r="C831" s="6" t="s">
        <v>267</v>
      </c>
      <c r="D831" s="6">
        <v>24</v>
      </c>
      <c r="E831" s="7">
        <f>DAY(TableAopCalendar[[#This Row],[Date]])</f>
        <v>8</v>
      </c>
      <c r="F831" s="7">
        <f>IF(TableAopCalendar[[#This Row],[Day]]&lt;8,1,IF(TableAopCalendar[[#This Row],[Day]]&lt;15,2,IF(TableAopCalendar[[#This Row],[Day]]&lt;22,3,IF(TableAopCalendar[[#This Row],[Day]]&lt;29,4,IF(TableAopCalendar[[#This Row],[Day]]&lt;32,5)))))</f>
        <v>2</v>
      </c>
      <c r="G831" s="7" t="str">
        <f t="shared" si="46"/>
        <v>Week 2</v>
      </c>
      <c r="H831" s="7" t="str">
        <f t="shared" si="47"/>
        <v>July 24 Week 2</v>
      </c>
      <c r="I831" s="7" t="str">
        <f>CONCATENATE(UPPER(TableAopCalendar[[#This Row],[Month]])," ",TableAopCalendar[[#This Row],[Year]])</f>
        <v>JULY 24</v>
      </c>
      <c r="J831" s="7" t="s">
        <v>274</v>
      </c>
      <c r="K831" s="7" t="str">
        <f>CONCATENATE(TableAopCalendar[[#This Row],[Month for Plan]]," ",TableAopCalendar[[#This Row],[Plan]])</f>
        <v>JULY 24 PLANNED</v>
      </c>
    </row>
    <row r="832" spans="1:11" x14ac:dyDescent="0.3">
      <c r="A832" s="7">
        <f t="shared" si="45"/>
        <v>2</v>
      </c>
      <c r="B832" s="5">
        <v>45482</v>
      </c>
      <c r="C832" s="6" t="s">
        <v>267</v>
      </c>
      <c r="D832" s="6">
        <v>24</v>
      </c>
      <c r="E832" s="7">
        <f>DAY(TableAopCalendar[[#This Row],[Date]])</f>
        <v>9</v>
      </c>
      <c r="F832" s="7">
        <f>IF(TableAopCalendar[[#This Row],[Day]]&lt;8,1,IF(TableAopCalendar[[#This Row],[Day]]&lt;15,2,IF(TableAopCalendar[[#This Row],[Day]]&lt;22,3,IF(TableAopCalendar[[#This Row],[Day]]&lt;29,4,IF(TableAopCalendar[[#This Row],[Day]]&lt;32,5)))))</f>
        <v>2</v>
      </c>
      <c r="G832" s="7" t="str">
        <f t="shared" si="46"/>
        <v>Week 2</v>
      </c>
      <c r="H832" s="7" t="str">
        <f t="shared" si="47"/>
        <v>July 24 Week 2</v>
      </c>
      <c r="I832" s="7" t="str">
        <f>CONCATENATE(UPPER(TableAopCalendar[[#This Row],[Month]])," ",TableAopCalendar[[#This Row],[Year]])</f>
        <v>JULY 24</v>
      </c>
      <c r="J832" s="7" t="s">
        <v>274</v>
      </c>
      <c r="K832" s="7" t="str">
        <f>CONCATENATE(TableAopCalendar[[#This Row],[Month for Plan]]," ",TableAopCalendar[[#This Row],[Plan]])</f>
        <v>JULY 24 PLANNED</v>
      </c>
    </row>
    <row r="833" spans="1:11" x14ac:dyDescent="0.3">
      <c r="A833" s="7">
        <f t="shared" si="45"/>
        <v>3</v>
      </c>
      <c r="B833" s="5">
        <v>45483</v>
      </c>
      <c r="C833" s="6" t="s">
        <v>267</v>
      </c>
      <c r="D833" s="6">
        <v>24</v>
      </c>
      <c r="E833" s="7">
        <f>DAY(TableAopCalendar[[#This Row],[Date]])</f>
        <v>10</v>
      </c>
      <c r="F833" s="7">
        <f>IF(TableAopCalendar[[#This Row],[Day]]&lt;8,1,IF(TableAopCalendar[[#This Row],[Day]]&lt;15,2,IF(TableAopCalendar[[#This Row],[Day]]&lt;22,3,IF(TableAopCalendar[[#This Row],[Day]]&lt;29,4,IF(TableAopCalendar[[#This Row],[Day]]&lt;32,5)))))</f>
        <v>2</v>
      </c>
      <c r="G833" s="7" t="str">
        <f t="shared" si="46"/>
        <v>Week 2</v>
      </c>
      <c r="H833" s="7" t="str">
        <f t="shared" si="47"/>
        <v>July 24 Week 2</v>
      </c>
      <c r="I833" s="7" t="str">
        <f>CONCATENATE(UPPER(TableAopCalendar[[#This Row],[Month]])," ",TableAopCalendar[[#This Row],[Year]])</f>
        <v>JULY 24</v>
      </c>
      <c r="J833" s="7" t="s">
        <v>274</v>
      </c>
      <c r="K833" s="7" t="str">
        <f>CONCATENATE(TableAopCalendar[[#This Row],[Month for Plan]]," ",TableAopCalendar[[#This Row],[Plan]])</f>
        <v>JULY 24 PLANNED</v>
      </c>
    </row>
    <row r="834" spans="1:11" x14ac:dyDescent="0.3">
      <c r="A834" s="7">
        <f t="shared" si="45"/>
        <v>4</v>
      </c>
      <c r="B834" s="5">
        <v>45484</v>
      </c>
      <c r="C834" s="6" t="s">
        <v>267</v>
      </c>
      <c r="D834" s="6">
        <v>24</v>
      </c>
      <c r="E834" s="7">
        <f>DAY(TableAopCalendar[[#This Row],[Date]])</f>
        <v>11</v>
      </c>
      <c r="F834" s="7">
        <f>IF(TableAopCalendar[[#This Row],[Day]]&lt;8,1,IF(TableAopCalendar[[#This Row],[Day]]&lt;15,2,IF(TableAopCalendar[[#This Row],[Day]]&lt;22,3,IF(TableAopCalendar[[#This Row],[Day]]&lt;29,4,IF(TableAopCalendar[[#This Row],[Day]]&lt;32,5)))))</f>
        <v>2</v>
      </c>
      <c r="G834" s="7" t="str">
        <f t="shared" si="46"/>
        <v>Week 2</v>
      </c>
      <c r="H834" s="7" t="str">
        <f t="shared" si="47"/>
        <v>July 24 Week 2</v>
      </c>
      <c r="I834" s="7" t="str">
        <f>CONCATENATE(UPPER(TableAopCalendar[[#This Row],[Month]])," ",TableAopCalendar[[#This Row],[Year]])</f>
        <v>JULY 24</v>
      </c>
      <c r="J834" s="7" t="s">
        <v>274</v>
      </c>
      <c r="K834" s="7" t="str">
        <f>CONCATENATE(TableAopCalendar[[#This Row],[Month for Plan]]," ",TableAopCalendar[[#This Row],[Plan]])</f>
        <v>JULY 24 PLANNED</v>
      </c>
    </row>
    <row r="835" spans="1:11" x14ac:dyDescent="0.3">
      <c r="A835" s="7">
        <f t="shared" si="45"/>
        <v>5</v>
      </c>
      <c r="B835" s="5">
        <v>45485</v>
      </c>
      <c r="C835" s="6" t="s">
        <v>267</v>
      </c>
      <c r="D835" s="6">
        <v>24</v>
      </c>
      <c r="E835" s="7">
        <f>DAY(TableAopCalendar[[#This Row],[Date]])</f>
        <v>12</v>
      </c>
      <c r="F835" s="7">
        <f>IF(TableAopCalendar[[#This Row],[Day]]&lt;8,1,IF(TableAopCalendar[[#This Row],[Day]]&lt;15,2,IF(TableAopCalendar[[#This Row],[Day]]&lt;22,3,IF(TableAopCalendar[[#This Row],[Day]]&lt;29,4,IF(TableAopCalendar[[#This Row],[Day]]&lt;32,5)))))</f>
        <v>2</v>
      </c>
      <c r="G835" s="7" t="str">
        <f t="shared" si="46"/>
        <v>Week 2</v>
      </c>
      <c r="H835" s="7" t="str">
        <f t="shared" si="47"/>
        <v>July 24 Week 2</v>
      </c>
      <c r="I835" s="7" t="str">
        <f>CONCATENATE(UPPER(TableAopCalendar[[#This Row],[Month]])," ",TableAopCalendar[[#This Row],[Year]])</f>
        <v>JULY 24</v>
      </c>
      <c r="J835" s="7" t="s">
        <v>274</v>
      </c>
      <c r="K835" s="7" t="str">
        <f>CONCATENATE(TableAopCalendar[[#This Row],[Month for Plan]]," ",TableAopCalendar[[#This Row],[Plan]])</f>
        <v>JULY 24 PLANNED</v>
      </c>
    </row>
    <row r="836" spans="1:11" x14ac:dyDescent="0.3">
      <c r="A836" s="7">
        <f t="shared" si="45"/>
        <v>6</v>
      </c>
      <c r="B836" s="5">
        <v>45486</v>
      </c>
      <c r="C836" s="6" t="s">
        <v>267</v>
      </c>
      <c r="D836" s="6">
        <v>24</v>
      </c>
      <c r="E836" s="7">
        <f>DAY(TableAopCalendar[[#This Row],[Date]])</f>
        <v>13</v>
      </c>
      <c r="F836" s="7">
        <f>IF(TableAopCalendar[[#This Row],[Day]]&lt;8,1,IF(TableAopCalendar[[#This Row],[Day]]&lt;15,2,IF(TableAopCalendar[[#This Row],[Day]]&lt;22,3,IF(TableAopCalendar[[#This Row],[Day]]&lt;29,4,IF(TableAopCalendar[[#This Row],[Day]]&lt;32,5)))))</f>
        <v>2</v>
      </c>
      <c r="G836" s="7" t="str">
        <f t="shared" si="46"/>
        <v>Week 2</v>
      </c>
      <c r="H836" s="7" t="str">
        <f t="shared" si="47"/>
        <v>July 24 Week 2</v>
      </c>
      <c r="I836" s="7" t="str">
        <f>CONCATENATE(UPPER(TableAopCalendar[[#This Row],[Month]])," ",TableAopCalendar[[#This Row],[Year]])</f>
        <v>JULY 24</v>
      </c>
      <c r="J836" s="7" t="s">
        <v>274</v>
      </c>
      <c r="K836" s="7" t="str">
        <f>CONCATENATE(TableAopCalendar[[#This Row],[Month for Plan]]," ",TableAopCalendar[[#This Row],[Plan]])</f>
        <v>JULY 24 PLANNED</v>
      </c>
    </row>
    <row r="837" spans="1:11" x14ac:dyDescent="0.3">
      <c r="A837" s="7">
        <f t="shared" si="45"/>
        <v>7</v>
      </c>
      <c r="B837" s="5">
        <v>45487</v>
      </c>
      <c r="C837" s="6" t="s">
        <v>267</v>
      </c>
      <c r="D837" s="6">
        <v>24</v>
      </c>
      <c r="E837" s="7">
        <f>DAY(TableAopCalendar[[#This Row],[Date]])</f>
        <v>14</v>
      </c>
      <c r="F837" s="7">
        <f>IF(TableAopCalendar[[#This Row],[Day]]&lt;8,1,IF(TableAopCalendar[[#This Row],[Day]]&lt;15,2,IF(TableAopCalendar[[#This Row],[Day]]&lt;22,3,IF(TableAopCalendar[[#This Row],[Day]]&lt;29,4,IF(TableAopCalendar[[#This Row],[Day]]&lt;32,5)))))</f>
        <v>2</v>
      </c>
      <c r="G837" s="7" t="str">
        <f t="shared" si="46"/>
        <v>Week 2</v>
      </c>
      <c r="H837" s="7" t="str">
        <f t="shared" si="47"/>
        <v>July 24 Week 2</v>
      </c>
      <c r="I837" s="7" t="str">
        <f>CONCATENATE(UPPER(TableAopCalendar[[#This Row],[Month]])," ",TableAopCalendar[[#This Row],[Year]])</f>
        <v>JULY 24</v>
      </c>
      <c r="J837" s="7" t="s">
        <v>274</v>
      </c>
      <c r="K837" s="7" t="str">
        <f>CONCATENATE(TableAopCalendar[[#This Row],[Month for Plan]]," ",TableAopCalendar[[#This Row],[Plan]])</f>
        <v>JULY 24 PLANNED</v>
      </c>
    </row>
    <row r="838" spans="1:11" x14ac:dyDescent="0.3">
      <c r="A838" s="7">
        <f t="shared" si="45"/>
        <v>1</v>
      </c>
      <c r="B838" s="5">
        <v>45488</v>
      </c>
      <c r="C838" s="6" t="s">
        <v>267</v>
      </c>
      <c r="D838" s="6">
        <v>24</v>
      </c>
      <c r="E838" s="7">
        <f>DAY(TableAopCalendar[[#This Row],[Date]])</f>
        <v>15</v>
      </c>
      <c r="F838" s="7">
        <f>IF(TableAopCalendar[[#This Row],[Day]]&lt;8,1,IF(TableAopCalendar[[#This Row],[Day]]&lt;15,2,IF(TableAopCalendar[[#This Row],[Day]]&lt;22,3,IF(TableAopCalendar[[#This Row],[Day]]&lt;29,4,IF(TableAopCalendar[[#This Row],[Day]]&lt;32,5)))))</f>
        <v>3</v>
      </c>
      <c r="G838" s="7" t="str">
        <f t="shared" si="46"/>
        <v>Week 3</v>
      </c>
      <c r="H838" s="7" t="str">
        <f t="shared" si="47"/>
        <v>July 24 Week 3</v>
      </c>
      <c r="I838" s="7" t="str">
        <f>CONCATENATE(UPPER(TableAopCalendar[[#This Row],[Month]])," ",TableAopCalendar[[#This Row],[Year]])</f>
        <v>JULY 24</v>
      </c>
      <c r="J838" s="7" t="s">
        <v>274</v>
      </c>
      <c r="K838" s="7" t="str">
        <f>CONCATENATE(TableAopCalendar[[#This Row],[Month for Plan]]," ",TableAopCalendar[[#This Row],[Plan]])</f>
        <v>JULY 24 PLANNED</v>
      </c>
    </row>
    <row r="839" spans="1:11" x14ac:dyDescent="0.3">
      <c r="A839" s="7">
        <f t="shared" si="45"/>
        <v>2</v>
      </c>
      <c r="B839" s="5">
        <v>45489</v>
      </c>
      <c r="C839" s="6" t="s">
        <v>267</v>
      </c>
      <c r="D839" s="6">
        <v>24</v>
      </c>
      <c r="E839" s="7">
        <f>DAY(TableAopCalendar[[#This Row],[Date]])</f>
        <v>16</v>
      </c>
      <c r="F839" s="7">
        <f>IF(TableAopCalendar[[#This Row],[Day]]&lt;8,1,IF(TableAopCalendar[[#This Row],[Day]]&lt;15,2,IF(TableAopCalendar[[#This Row],[Day]]&lt;22,3,IF(TableAopCalendar[[#This Row],[Day]]&lt;29,4,IF(TableAopCalendar[[#This Row],[Day]]&lt;32,5)))))</f>
        <v>3</v>
      </c>
      <c r="G839" s="7" t="str">
        <f t="shared" si="46"/>
        <v>Week 3</v>
      </c>
      <c r="H839" s="7" t="str">
        <f t="shared" si="47"/>
        <v>July 24 Week 3</v>
      </c>
      <c r="I839" s="7" t="str">
        <f>CONCATENATE(UPPER(TableAopCalendar[[#This Row],[Month]])," ",TableAopCalendar[[#This Row],[Year]])</f>
        <v>JULY 24</v>
      </c>
      <c r="J839" s="7" t="s">
        <v>274</v>
      </c>
      <c r="K839" s="7" t="str">
        <f>CONCATENATE(TableAopCalendar[[#This Row],[Month for Plan]]," ",TableAopCalendar[[#This Row],[Plan]])</f>
        <v>JULY 24 PLANNED</v>
      </c>
    </row>
    <row r="840" spans="1:11" x14ac:dyDescent="0.3">
      <c r="A840" s="7">
        <f t="shared" si="45"/>
        <v>3</v>
      </c>
      <c r="B840" s="5">
        <v>45490</v>
      </c>
      <c r="C840" s="6" t="s">
        <v>267</v>
      </c>
      <c r="D840" s="6">
        <v>24</v>
      </c>
      <c r="E840" s="7">
        <f>DAY(TableAopCalendar[[#This Row],[Date]])</f>
        <v>17</v>
      </c>
      <c r="F840" s="7">
        <f>IF(TableAopCalendar[[#This Row],[Day]]&lt;8,1,IF(TableAopCalendar[[#This Row],[Day]]&lt;15,2,IF(TableAopCalendar[[#This Row],[Day]]&lt;22,3,IF(TableAopCalendar[[#This Row],[Day]]&lt;29,4,IF(TableAopCalendar[[#This Row],[Day]]&lt;32,5)))))</f>
        <v>3</v>
      </c>
      <c r="G840" s="7" t="str">
        <f t="shared" si="46"/>
        <v>Week 3</v>
      </c>
      <c r="H840" s="7" t="str">
        <f t="shared" si="47"/>
        <v>July 24 Week 3</v>
      </c>
      <c r="I840" s="7" t="str">
        <f>CONCATENATE(UPPER(TableAopCalendar[[#This Row],[Month]])," ",TableAopCalendar[[#This Row],[Year]])</f>
        <v>JULY 24</v>
      </c>
      <c r="J840" s="7" t="s">
        <v>274</v>
      </c>
      <c r="K840" s="7" t="str">
        <f>CONCATENATE(TableAopCalendar[[#This Row],[Month for Plan]]," ",TableAopCalendar[[#This Row],[Plan]])</f>
        <v>JULY 24 PLANNED</v>
      </c>
    </row>
    <row r="841" spans="1:11" x14ac:dyDescent="0.3">
      <c r="A841" s="7">
        <f t="shared" si="45"/>
        <v>4</v>
      </c>
      <c r="B841" s="5">
        <v>45491</v>
      </c>
      <c r="C841" s="6" t="s">
        <v>267</v>
      </c>
      <c r="D841" s="6">
        <v>24</v>
      </c>
      <c r="E841" s="7">
        <f>DAY(TableAopCalendar[[#This Row],[Date]])</f>
        <v>18</v>
      </c>
      <c r="F841" s="7">
        <f>IF(TableAopCalendar[[#This Row],[Day]]&lt;8,1,IF(TableAopCalendar[[#This Row],[Day]]&lt;15,2,IF(TableAopCalendar[[#This Row],[Day]]&lt;22,3,IF(TableAopCalendar[[#This Row],[Day]]&lt;29,4,IF(TableAopCalendar[[#This Row],[Day]]&lt;32,5)))))</f>
        <v>3</v>
      </c>
      <c r="G841" s="7" t="str">
        <f t="shared" si="46"/>
        <v>Week 3</v>
      </c>
      <c r="H841" s="7" t="str">
        <f t="shared" si="47"/>
        <v>July 24 Week 3</v>
      </c>
      <c r="I841" s="7" t="str">
        <f>CONCATENATE(UPPER(TableAopCalendar[[#This Row],[Month]])," ",TableAopCalendar[[#This Row],[Year]])</f>
        <v>JULY 24</v>
      </c>
      <c r="J841" s="7" t="s">
        <v>274</v>
      </c>
      <c r="K841" s="7" t="str">
        <f>CONCATENATE(TableAopCalendar[[#This Row],[Month for Plan]]," ",TableAopCalendar[[#This Row],[Plan]])</f>
        <v>JULY 24 PLANNED</v>
      </c>
    </row>
    <row r="842" spans="1:11" x14ac:dyDescent="0.3">
      <c r="A842" s="7">
        <f t="shared" si="45"/>
        <v>5</v>
      </c>
      <c r="B842" s="5">
        <v>45492</v>
      </c>
      <c r="C842" s="6" t="s">
        <v>267</v>
      </c>
      <c r="D842" s="6">
        <v>24</v>
      </c>
      <c r="E842" s="7">
        <f>DAY(TableAopCalendar[[#This Row],[Date]])</f>
        <v>19</v>
      </c>
      <c r="F842" s="7">
        <f>IF(TableAopCalendar[[#This Row],[Day]]&lt;8,1,IF(TableAopCalendar[[#This Row],[Day]]&lt;15,2,IF(TableAopCalendar[[#This Row],[Day]]&lt;22,3,IF(TableAopCalendar[[#This Row],[Day]]&lt;29,4,IF(TableAopCalendar[[#This Row],[Day]]&lt;32,5)))))</f>
        <v>3</v>
      </c>
      <c r="G842" s="7" t="str">
        <f t="shared" si="46"/>
        <v>Week 3</v>
      </c>
      <c r="H842" s="7" t="str">
        <f t="shared" si="47"/>
        <v>July 24 Week 3</v>
      </c>
      <c r="I842" s="7" t="str">
        <f>CONCATENATE(UPPER(TableAopCalendar[[#This Row],[Month]])," ",TableAopCalendar[[#This Row],[Year]])</f>
        <v>JULY 24</v>
      </c>
      <c r="J842" s="7" t="s">
        <v>274</v>
      </c>
      <c r="K842" s="7" t="str">
        <f>CONCATENATE(TableAopCalendar[[#This Row],[Month for Plan]]," ",TableAopCalendar[[#This Row],[Plan]])</f>
        <v>JULY 24 PLANNED</v>
      </c>
    </row>
    <row r="843" spans="1:11" x14ac:dyDescent="0.3">
      <c r="A843" s="7">
        <f t="shared" si="45"/>
        <v>6</v>
      </c>
      <c r="B843" s="5">
        <v>45493</v>
      </c>
      <c r="C843" s="6" t="s">
        <v>267</v>
      </c>
      <c r="D843" s="6">
        <v>24</v>
      </c>
      <c r="E843" s="7">
        <f>DAY(TableAopCalendar[[#This Row],[Date]])</f>
        <v>20</v>
      </c>
      <c r="F843" s="7">
        <f>IF(TableAopCalendar[[#This Row],[Day]]&lt;8,1,IF(TableAopCalendar[[#This Row],[Day]]&lt;15,2,IF(TableAopCalendar[[#This Row],[Day]]&lt;22,3,IF(TableAopCalendar[[#This Row],[Day]]&lt;29,4,IF(TableAopCalendar[[#This Row],[Day]]&lt;32,5)))))</f>
        <v>3</v>
      </c>
      <c r="G843" s="7" t="str">
        <f t="shared" si="46"/>
        <v>Week 3</v>
      </c>
      <c r="H843" s="7" t="str">
        <f t="shared" si="47"/>
        <v>July 24 Week 3</v>
      </c>
      <c r="I843" s="7" t="str">
        <f>CONCATENATE(UPPER(TableAopCalendar[[#This Row],[Month]])," ",TableAopCalendar[[#This Row],[Year]])</f>
        <v>JULY 24</v>
      </c>
      <c r="J843" s="7" t="s">
        <v>274</v>
      </c>
      <c r="K843" s="7" t="str">
        <f>CONCATENATE(TableAopCalendar[[#This Row],[Month for Plan]]," ",TableAopCalendar[[#This Row],[Plan]])</f>
        <v>JULY 24 PLANNED</v>
      </c>
    </row>
    <row r="844" spans="1:11" x14ac:dyDescent="0.3">
      <c r="A844" s="7">
        <f t="shared" si="45"/>
        <v>7</v>
      </c>
      <c r="B844" s="5">
        <v>45494</v>
      </c>
      <c r="C844" s="6" t="s">
        <v>267</v>
      </c>
      <c r="D844" s="6">
        <v>24</v>
      </c>
      <c r="E844" s="7">
        <f>DAY(TableAopCalendar[[#This Row],[Date]])</f>
        <v>21</v>
      </c>
      <c r="F844" s="7">
        <f>IF(TableAopCalendar[[#This Row],[Day]]&lt;8,1,IF(TableAopCalendar[[#This Row],[Day]]&lt;15,2,IF(TableAopCalendar[[#This Row],[Day]]&lt;22,3,IF(TableAopCalendar[[#This Row],[Day]]&lt;29,4,IF(TableAopCalendar[[#This Row],[Day]]&lt;32,5)))))</f>
        <v>3</v>
      </c>
      <c r="G844" s="7" t="str">
        <f t="shared" si="46"/>
        <v>Week 3</v>
      </c>
      <c r="H844" s="7" t="str">
        <f t="shared" si="47"/>
        <v>July 24 Week 3</v>
      </c>
      <c r="I844" s="7" t="str">
        <f>CONCATENATE(UPPER(TableAopCalendar[[#This Row],[Month]])," ",TableAopCalendar[[#This Row],[Year]])</f>
        <v>JULY 24</v>
      </c>
      <c r="J844" s="7" t="s">
        <v>274</v>
      </c>
      <c r="K844" s="7" t="str">
        <f>CONCATENATE(TableAopCalendar[[#This Row],[Month for Plan]]," ",TableAopCalendar[[#This Row],[Plan]])</f>
        <v>JULY 24 PLANNED</v>
      </c>
    </row>
    <row r="845" spans="1:11" x14ac:dyDescent="0.3">
      <c r="A845" s="7">
        <f t="shared" si="45"/>
        <v>1</v>
      </c>
      <c r="B845" s="5">
        <v>45495</v>
      </c>
      <c r="C845" s="6" t="s">
        <v>267</v>
      </c>
      <c r="D845" s="6">
        <v>24</v>
      </c>
      <c r="E845" s="7">
        <f>DAY(TableAopCalendar[[#This Row],[Date]])</f>
        <v>22</v>
      </c>
      <c r="F845" s="7">
        <f>IF(TableAopCalendar[[#This Row],[Day]]&lt;8,1,IF(TableAopCalendar[[#This Row],[Day]]&lt;15,2,IF(TableAopCalendar[[#This Row],[Day]]&lt;22,3,IF(TableAopCalendar[[#This Row],[Day]]&lt;29,4,IF(TableAopCalendar[[#This Row],[Day]]&lt;32,5)))))</f>
        <v>4</v>
      </c>
      <c r="G845" s="7" t="str">
        <f t="shared" si="46"/>
        <v>Week 4</v>
      </c>
      <c r="H845" s="7" t="str">
        <f t="shared" si="47"/>
        <v>July 24 Week 4</v>
      </c>
      <c r="I845" s="7" t="str">
        <f>CONCATENATE(UPPER(TableAopCalendar[[#This Row],[Month]])," ",TableAopCalendar[[#This Row],[Year]])</f>
        <v>JULY 24</v>
      </c>
      <c r="J845" s="7" t="s">
        <v>274</v>
      </c>
      <c r="K845" s="7" t="str">
        <f>CONCATENATE(TableAopCalendar[[#This Row],[Month for Plan]]," ",TableAopCalendar[[#This Row],[Plan]])</f>
        <v>JULY 24 PLANNED</v>
      </c>
    </row>
    <row r="846" spans="1:11" x14ac:dyDescent="0.3">
      <c r="A846" s="7">
        <f t="shared" si="45"/>
        <v>2</v>
      </c>
      <c r="B846" s="5">
        <v>45496</v>
      </c>
      <c r="C846" s="6" t="s">
        <v>267</v>
      </c>
      <c r="D846" s="6">
        <v>24</v>
      </c>
      <c r="E846" s="7">
        <f>DAY(TableAopCalendar[[#This Row],[Date]])</f>
        <v>23</v>
      </c>
      <c r="F846" s="7">
        <f>IF(TableAopCalendar[[#This Row],[Day]]&lt;8,1,IF(TableAopCalendar[[#This Row],[Day]]&lt;15,2,IF(TableAopCalendar[[#This Row],[Day]]&lt;22,3,IF(TableAopCalendar[[#This Row],[Day]]&lt;29,4,IF(TableAopCalendar[[#This Row],[Day]]&lt;32,5)))))</f>
        <v>4</v>
      </c>
      <c r="G846" s="7" t="str">
        <f t="shared" si="46"/>
        <v>Week 4</v>
      </c>
      <c r="H846" s="7" t="str">
        <f t="shared" si="47"/>
        <v>July 24 Week 4</v>
      </c>
      <c r="I846" s="7" t="str">
        <f>CONCATENATE(UPPER(TableAopCalendar[[#This Row],[Month]])," ",TableAopCalendar[[#This Row],[Year]])</f>
        <v>JULY 24</v>
      </c>
      <c r="J846" s="7" t="s">
        <v>274</v>
      </c>
      <c r="K846" s="7" t="str">
        <f>CONCATENATE(TableAopCalendar[[#This Row],[Month for Plan]]," ",TableAopCalendar[[#This Row],[Plan]])</f>
        <v>JULY 24 PLANNED</v>
      </c>
    </row>
    <row r="847" spans="1:11" x14ac:dyDescent="0.3">
      <c r="A847" s="7">
        <f t="shared" si="45"/>
        <v>3</v>
      </c>
      <c r="B847" s="5">
        <v>45497</v>
      </c>
      <c r="C847" s="6" t="s">
        <v>267</v>
      </c>
      <c r="D847" s="6">
        <v>24</v>
      </c>
      <c r="E847" s="7">
        <f>DAY(TableAopCalendar[[#This Row],[Date]])</f>
        <v>24</v>
      </c>
      <c r="F847" s="7">
        <f>IF(TableAopCalendar[[#This Row],[Day]]&lt;8,1,IF(TableAopCalendar[[#This Row],[Day]]&lt;15,2,IF(TableAopCalendar[[#This Row],[Day]]&lt;22,3,IF(TableAopCalendar[[#This Row],[Day]]&lt;29,4,IF(TableAopCalendar[[#This Row],[Day]]&lt;32,5)))))</f>
        <v>4</v>
      </c>
      <c r="G847" s="7" t="str">
        <f t="shared" si="46"/>
        <v>Week 4</v>
      </c>
      <c r="H847" s="7" t="str">
        <f t="shared" si="47"/>
        <v>July 24 Week 4</v>
      </c>
      <c r="I847" s="7" t="str">
        <f>CONCATENATE(UPPER(TableAopCalendar[[#This Row],[Month]])," ",TableAopCalendar[[#This Row],[Year]])</f>
        <v>JULY 24</v>
      </c>
      <c r="J847" s="7" t="s">
        <v>274</v>
      </c>
      <c r="K847" s="7" t="str">
        <f>CONCATENATE(TableAopCalendar[[#This Row],[Month for Plan]]," ",TableAopCalendar[[#This Row],[Plan]])</f>
        <v>JULY 24 PLANNED</v>
      </c>
    </row>
    <row r="848" spans="1:11" x14ac:dyDescent="0.3">
      <c r="A848" s="7">
        <f t="shared" si="45"/>
        <v>4</v>
      </c>
      <c r="B848" s="5">
        <v>45498</v>
      </c>
      <c r="C848" s="6" t="s">
        <v>267</v>
      </c>
      <c r="D848" s="6">
        <v>24</v>
      </c>
      <c r="E848" s="7">
        <f>DAY(TableAopCalendar[[#This Row],[Date]])</f>
        <v>25</v>
      </c>
      <c r="F848" s="7">
        <f>IF(TableAopCalendar[[#This Row],[Day]]&lt;8,1,IF(TableAopCalendar[[#This Row],[Day]]&lt;15,2,IF(TableAopCalendar[[#This Row],[Day]]&lt;22,3,IF(TableAopCalendar[[#This Row],[Day]]&lt;29,4,IF(TableAopCalendar[[#This Row],[Day]]&lt;32,5)))))</f>
        <v>4</v>
      </c>
      <c r="G848" s="7" t="str">
        <f t="shared" si="46"/>
        <v>Week 4</v>
      </c>
      <c r="H848" s="7" t="str">
        <f t="shared" si="47"/>
        <v>July 24 Week 4</v>
      </c>
      <c r="I848" s="7" t="str">
        <f>CONCATENATE(UPPER(TableAopCalendar[[#This Row],[Month]])," ",TableAopCalendar[[#This Row],[Year]])</f>
        <v>JULY 24</v>
      </c>
      <c r="J848" s="7" t="s">
        <v>274</v>
      </c>
      <c r="K848" s="7" t="str">
        <f>CONCATENATE(TableAopCalendar[[#This Row],[Month for Plan]]," ",TableAopCalendar[[#This Row],[Plan]])</f>
        <v>JULY 24 PLANNED</v>
      </c>
    </row>
    <row r="849" spans="1:11" x14ac:dyDescent="0.3">
      <c r="A849" s="7">
        <f t="shared" si="45"/>
        <v>5</v>
      </c>
      <c r="B849" s="5">
        <v>45499</v>
      </c>
      <c r="C849" s="6" t="s">
        <v>267</v>
      </c>
      <c r="D849" s="6">
        <v>24</v>
      </c>
      <c r="E849" s="7">
        <f>DAY(TableAopCalendar[[#This Row],[Date]])</f>
        <v>26</v>
      </c>
      <c r="F849" s="7">
        <f>IF(TableAopCalendar[[#This Row],[Day]]&lt;8,1,IF(TableAopCalendar[[#This Row],[Day]]&lt;15,2,IF(TableAopCalendar[[#This Row],[Day]]&lt;22,3,IF(TableAopCalendar[[#This Row],[Day]]&lt;29,4,IF(TableAopCalendar[[#This Row],[Day]]&lt;32,5)))))</f>
        <v>4</v>
      </c>
      <c r="G849" s="7" t="str">
        <f t="shared" si="46"/>
        <v>Week 4</v>
      </c>
      <c r="H849" s="7" t="str">
        <f t="shared" si="47"/>
        <v>July 24 Week 4</v>
      </c>
      <c r="I849" s="7" t="str">
        <f>CONCATENATE(UPPER(TableAopCalendar[[#This Row],[Month]])," ",TableAopCalendar[[#This Row],[Year]])</f>
        <v>JULY 24</v>
      </c>
      <c r="J849" s="7" t="s">
        <v>274</v>
      </c>
      <c r="K849" s="7" t="str">
        <f>CONCATENATE(TableAopCalendar[[#This Row],[Month for Plan]]," ",TableAopCalendar[[#This Row],[Plan]])</f>
        <v>JULY 24 PLANNED</v>
      </c>
    </row>
    <row r="850" spans="1:11" x14ac:dyDescent="0.3">
      <c r="A850" s="7">
        <f t="shared" si="45"/>
        <v>6</v>
      </c>
      <c r="B850" s="5">
        <v>45500</v>
      </c>
      <c r="C850" s="6" t="s">
        <v>267</v>
      </c>
      <c r="D850" s="6">
        <v>24</v>
      </c>
      <c r="E850" s="7">
        <f>DAY(TableAopCalendar[[#This Row],[Date]])</f>
        <v>27</v>
      </c>
      <c r="F850" s="7">
        <f>IF(TableAopCalendar[[#This Row],[Day]]&lt;8,1,IF(TableAopCalendar[[#This Row],[Day]]&lt;15,2,IF(TableAopCalendar[[#This Row],[Day]]&lt;22,3,IF(TableAopCalendar[[#This Row],[Day]]&lt;29,4,IF(TableAopCalendar[[#This Row],[Day]]&lt;32,5)))))</f>
        <v>4</v>
      </c>
      <c r="G850" s="7" t="str">
        <f t="shared" si="46"/>
        <v>Week 4</v>
      </c>
      <c r="H850" s="7" t="str">
        <f t="shared" si="47"/>
        <v>July 24 Week 4</v>
      </c>
      <c r="I850" s="7" t="str">
        <f>CONCATENATE(UPPER(TableAopCalendar[[#This Row],[Month]])," ",TableAopCalendar[[#This Row],[Year]])</f>
        <v>JULY 24</v>
      </c>
      <c r="J850" s="7" t="s">
        <v>274</v>
      </c>
      <c r="K850" s="7" t="str">
        <f>CONCATENATE(TableAopCalendar[[#This Row],[Month for Plan]]," ",TableAopCalendar[[#This Row],[Plan]])</f>
        <v>JULY 24 PLANNED</v>
      </c>
    </row>
    <row r="851" spans="1:11" x14ac:dyDescent="0.3">
      <c r="A851" s="7">
        <f t="shared" si="45"/>
        <v>7</v>
      </c>
      <c r="B851" s="5">
        <v>45501</v>
      </c>
      <c r="C851" s="6" t="s">
        <v>267</v>
      </c>
      <c r="D851" s="6">
        <v>24</v>
      </c>
      <c r="E851" s="7">
        <f>DAY(TableAopCalendar[[#This Row],[Date]])</f>
        <v>28</v>
      </c>
      <c r="F851" s="7">
        <f>IF(TableAopCalendar[[#This Row],[Day]]&lt;8,1,IF(TableAopCalendar[[#This Row],[Day]]&lt;15,2,IF(TableAopCalendar[[#This Row],[Day]]&lt;22,3,IF(TableAopCalendar[[#This Row],[Day]]&lt;29,4,IF(TableAopCalendar[[#This Row],[Day]]&lt;32,5)))))</f>
        <v>4</v>
      </c>
      <c r="G851" s="7" t="str">
        <f t="shared" si="46"/>
        <v>Week 4</v>
      </c>
      <c r="H851" s="7" t="str">
        <f t="shared" si="47"/>
        <v>July 24 Week 4</v>
      </c>
      <c r="I851" s="7" t="str">
        <f>CONCATENATE(UPPER(TableAopCalendar[[#This Row],[Month]])," ",TableAopCalendar[[#This Row],[Year]])</f>
        <v>JULY 24</v>
      </c>
      <c r="J851" s="7" t="s">
        <v>274</v>
      </c>
      <c r="K851" s="7" t="str">
        <f>CONCATENATE(TableAopCalendar[[#This Row],[Month for Plan]]," ",TableAopCalendar[[#This Row],[Plan]])</f>
        <v>JULY 24 PLANNED</v>
      </c>
    </row>
    <row r="852" spans="1:11" x14ac:dyDescent="0.3">
      <c r="A852" s="7">
        <f t="shared" si="45"/>
        <v>1</v>
      </c>
      <c r="B852" s="5">
        <v>45502</v>
      </c>
      <c r="C852" s="6" t="s">
        <v>267</v>
      </c>
      <c r="D852" s="6">
        <v>24</v>
      </c>
      <c r="E852" s="7">
        <f>DAY(TableAopCalendar[[#This Row],[Date]])</f>
        <v>29</v>
      </c>
      <c r="F852" s="7">
        <f>IF(TableAopCalendar[[#This Row],[Day]]&lt;8,1,IF(TableAopCalendar[[#This Row],[Day]]&lt;15,2,IF(TableAopCalendar[[#This Row],[Day]]&lt;22,3,IF(TableAopCalendar[[#This Row],[Day]]&lt;29,4,IF(TableAopCalendar[[#This Row],[Day]]&lt;32,5)))))</f>
        <v>5</v>
      </c>
      <c r="G852" s="7" t="str">
        <f t="shared" si="46"/>
        <v>Week 5</v>
      </c>
      <c r="H852" s="7" t="str">
        <f t="shared" si="47"/>
        <v>July 24 Week 5</v>
      </c>
      <c r="I852" s="7" t="str">
        <f>CONCATENATE(UPPER(TableAopCalendar[[#This Row],[Month]])," ",TableAopCalendar[[#This Row],[Year]])</f>
        <v>JULY 24</v>
      </c>
      <c r="J852" s="7" t="s">
        <v>274</v>
      </c>
      <c r="K852" s="7" t="str">
        <f>CONCATENATE(TableAopCalendar[[#This Row],[Month for Plan]]," ",TableAopCalendar[[#This Row],[Plan]])</f>
        <v>JULY 24 PLANNED</v>
      </c>
    </row>
    <row r="853" spans="1:11" x14ac:dyDescent="0.3">
      <c r="A853" s="7">
        <f t="shared" si="45"/>
        <v>2</v>
      </c>
      <c r="B853" s="5">
        <v>45503</v>
      </c>
      <c r="C853" s="6" t="s">
        <v>267</v>
      </c>
      <c r="D853" s="6">
        <v>24</v>
      </c>
      <c r="E853" s="7">
        <f>DAY(TableAopCalendar[[#This Row],[Date]])</f>
        <v>30</v>
      </c>
      <c r="F853" s="7">
        <f>IF(TableAopCalendar[[#This Row],[Day]]&lt;8,1,IF(TableAopCalendar[[#This Row],[Day]]&lt;15,2,IF(TableAopCalendar[[#This Row],[Day]]&lt;22,3,IF(TableAopCalendar[[#This Row],[Day]]&lt;29,4,IF(TableAopCalendar[[#This Row],[Day]]&lt;32,5)))))</f>
        <v>5</v>
      </c>
      <c r="G853" s="7" t="str">
        <f t="shared" si="46"/>
        <v>Week 5</v>
      </c>
      <c r="H853" s="7" t="str">
        <f t="shared" si="47"/>
        <v>July 24 Week 5</v>
      </c>
      <c r="I853" s="7" t="str">
        <f>CONCATENATE(UPPER(TableAopCalendar[[#This Row],[Month]])," ",TableAopCalendar[[#This Row],[Year]])</f>
        <v>JULY 24</v>
      </c>
      <c r="J853" s="7" t="s">
        <v>274</v>
      </c>
      <c r="K853" s="7" t="str">
        <f>CONCATENATE(TableAopCalendar[[#This Row],[Month for Plan]]," ",TableAopCalendar[[#This Row],[Plan]])</f>
        <v>JULY 24 PLANNED</v>
      </c>
    </row>
    <row r="854" spans="1:11" x14ac:dyDescent="0.3">
      <c r="A854" s="7">
        <f t="shared" si="45"/>
        <v>3</v>
      </c>
      <c r="B854" s="5">
        <v>45504</v>
      </c>
      <c r="C854" s="6" t="s">
        <v>267</v>
      </c>
      <c r="D854" s="6">
        <v>24</v>
      </c>
      <c r="E854" s="7">
        <f>DAY(TableAopCalendar[[#This Row],[Date]])</f>
        <v>31</v>
      </c>
      <c r="F854" s="7">
        <f>IF(TableAopCalendar[[#This Row],[Day]]&lt;8,1,IF(TableAopCalendar[[#This Row],[Day]]&lt;15,2,IF(TableAopCalendar[[#This Row],[Day]]&lt;22,3,IF(TableAopCalendar[[#This Row],[Day]]&lt;29,4,IF(TableAopCalendar[[#This Row],[Day]]&lt;32,5)))))</f>
        <v>5</v>
      </c>
      <c r="G854" s="7" t="str">
        <f t="shared" si="46"/>
        <v>Week 5</v>
      </c>
      <c r="H854" s="7" t="str">
        <f t="shared" si="47"/>
        <v>July 24 Week 5</v>
      </c>
      <c r="I854" s="7" t="str">
        <f>CONCATENATE(UPPER(TableAopCalendar[[#This Row],[Month]])," ",TableAopCalendar[[#This Row],[Year]])</f>
        <v>JULY 24</v>
      </c>
      <c r="J854" s="7" t="s">
        <v>274</v>
      </c>
      <c r="K854" s="7" t="str">
        <f>CONCATENATE(TableAopCalendar[[#This Row],[Month for Plan]]," ",TableAopCalendar[[#This Row],[Plan]])</f>
        <v>JULY 24 PLANNED</v>
      </c>
    </row>
    <row r="855" spans="1:11" x14ac:dyDescent="0.3">
      <c r="A855" s="7">
        <f t="shared" si="45"/>
        <v>1</v>
      </c>
      <c r="B855" s="5">
        <v>45505</v>
      </c>
      <c r="C855" s="6" t="s">
        <v>268</v>
      </c>
      <c r="D855" s="6">
        <v>24</v>
      </c>
      <c r="E855" s="7">
        <f>DAY(TableAopCalendar[[#This Row],[Date]])</f>
        <v>1</v>
      </c>
      <c r="F855" s="7">
        <f>IF(TableAopCalendar[[#This Row],[Day]]&lt;8,1,IF(TableAopCalendar[[#This Row],[Day]]&lt;15,2,IF(TableAopCalendar[[#This Row],[Day]]&lt;22,3,IF(TableAopCalendar[[#This Row],[Day]]&lt;29,4,IF(TableAopCalendar[[#This Row],[Day]]&lt;32,5)))))</f>
        <v>1</v>
      </c>
      <c r="G855" s="7" t="str">
        <f t="shared" si="46"/>
        <v>Week 1</v>
      </c>
      <c r="H855" s="7" t="str">
        <f t="shared" si="47"/>
        <v>August 24 Week 1</v>
      </c>
      <c r="I855" s="7" t="str">
        <f>CONCATENATE(UPPER(TableAopCalendar[[#This Row],[Month]])," ",TableAopCalendar[[#This Row],[Year]])</f>
        <v>AUGUST 24</v>
      </c>
      <c r="J855" s="7" t="s">
        <v>274</v>
      </c>
      <c r="K855" s="7" t="str">
        <f>CONCATENATE(TableAopCalendar[[#This Row],[Month for Plan]]," ",TableAopCalendar[[#This Row],[Plan]])</f>
        <v>AUGUST 24 PLANNED</v>
      </c>
    </row>
    <row r="856" spans="1:11" x14ac:dyDescent="0.3">
      <c r="A856" s="7">
        <f t="shared" si="45"/>
        <v>2</v>
      </c>
      <c r="B856" s="5">
        <v>45506</v>
      </c>
      <c r="C856" s="6" t="s">
        <v>268</v>
      </c>
      <c r="D856" s="6">
        <v>24</v>
      </c>
      <c r="E856" s="7">
        <f>DAY(TableAopCalendar[[#This Row],[Date]])</f>
        <v>2</v>
      </c>
      <c r="F856" s="7">
        <f>IF(TableAopCalendar[[#This Row],[Day]]&lt;8,1,IF(TableAopCalendar[[#This Row],[Day]]&lt;15,2,IF(TableAopCalendar[[#This Row],[Day]]&lt;22,3,IF(TableAopCalendar[[#This Row],[Day]]&lt;29,4,IF(TableAopCalendar[[#This Row],[Day]]&lt;32,5)))))</f>
        <v>1</v>
      </c>
      <c r="G856" s="7" t="str">
        <f t="shared" si="46"/>
        <v>Week 1</v>
      </c>
      <c r="H856" s="7" t="str">
        <f t="shared" si="47"/>
        <v>August 24 Week 1</v>
      </c>
      <c r="I856" s="7" t="str">
        <f>CONCATENATE(UPPER(TableAopCalendar[[#This Row],[Month]])," ",TableAopCalendar[[#This Row],[Year]])</f>
        <v>AUGUST 24</v>
      </c>
      <c r="J856" s="7" t="s">
        <v>274</v>
      </c>
      <c r="K856" s="7" t="str">
        <f>CONCATENATE(TableAopCalendar[[#This Row],[Month for Plan]]," ",TableAopCalendar[[#This Row],[Plan]])</f>
        <v>AUGUST 24 PLANNED</v>
      </c>
    </row>
    <row r="857" spans="1:11" x14ac:dyDescent="0.3">
      <c r="A857" s="7">
        <f t="shared" si="45"/>
        <v>3</v>
      </c>
      <c r="B857" s="5">
        <v>45507</v>
      </c>
      <c r="C857" s="6" t="s">
        <v>268</v>
      </c>
      <c r="D857" s="6">
        <v>24</v>
      </c>
      <c r="E857" s="7">
        <f>DAY(TableAopCalendar[[#This Row],[Date]])</f>
        <v>3</v>
      </c>
      <c r="F857" s="7">
        <f>IF(TableAopCalendar[[#This Row],[Day]]&lt;8,1,IF(TableAopCalendar[[#This Row],[Day]]&lt;15,2,IF(TableAopCalendar[[#This Row],[Day]]&lt;22,3,IF(TableAopCalendar[[#This Row],[Day]]&lt;29,4,IF(TableAopCalendar[[#This Row],[Day]]&lt;32,5)))))</f>
        <v>1</v>
      </c>
      <c r="G857" s="7" t="str">
        <f t="shared" si="46"/>
        <v>Week 1</v>
      </c>
      <c r="H857" s="7" t="str">
        <f t="shared" si="47"/>
        <v>August 24 Week 1</v>
      </c>
      <c r="I857" s="7" t="str">
        <f>CONCATENATE(UPPER(TableAopCalendar[[#This Row],[Month]])," ",TableAopCalendar[[#This Row],[Year]])</f>
        <v>AUGUST 24</v>
      </c>
      <c r="J857" s="7" t="s">
        <v>274</v>
      </c>
      <c r="K857" s="7" t="str">
        <f>CONCATENATE(TableAopCalendar[[#This Row],[Month for Plan]]," ",TableAopCalendar[[#This Row],[Plan]])</f>
        <v>AUGUST 24 PLANNED</v>
      </c>
    </row>
    <row r="858" spans="1:11" x14ac:dyDescent="0.3">
      <c r="A858" s="7">
        <f t="shared" si="45"/>
        <v>4</v>
      </c>
      <c r="B858" s="5">
        <v>45508</v>
      </c>
      <c r="C858" s="6" t="s">
        <v>268</v>
      </c>
      <c r="D858" s="6">
        <v>24</v>
      </c>
      <c r="E858" s="7">
        <f>DAY(TableAopCalendar[[#This Row],[Date]])</f>
        <v>4</v>
      </c>
      <c r="F858" s="7">
        <f>IF(TableAopCalendar[[#This Row],[Day]]&lt;8,1,IF(TableAopCalendar[[#This Row],[Day]]&lt;15,2,IF(TableAopCalendar[[#This Row],[Day]]&lt;22,3,IF(TableAopCalendar[[#This Row],[Day]]&lt;29,4,IF(TableAopCalendar[[#This Row],[Day]]&lt;32,5)))))</f>
        <v>1</v>
      </c>
      <c r="G858" s="7" t="str">
        <f t="shared" si="46"/>
        <v>Week 1</v>
      </c>
      <c r="H858" s="7" t="str">
        <f t="shared" si="47"/>
        <v>August 24 Week 1</v>
      </c>
      <c r="I858" s="7" t="str">
        <f>CONCATENATE(UPPER(TableAopCalendar[[#This Row],[Month]])," ",TableAopCalendar[[#This Row],[Year]])</f>
        <v>AUGUST 24</v>
      </c>
      <c r="J858" s="7" t="s">
        <v>274</v>
      </c>
      <c r="K858" s="7" t="str">
        <f>CONCATENATE(TableAopCalendar[[#This Row],[Month for Plan]]," ",TableAopCalendar[[#This Row],[Plan]])</f>
        <v>AUGUST 24 PLANNED</v>
      </c>
    </row>
    <row r="859" spans="1:11" x14ac:dyDescent="0.3">
      <c r="A859" s="7">
        <f t="shared" si="45"/>
        <v>5</v>
      </c>
      <c r="B859" s="5">
        <v>45509</v>
      </c>
      <c r="C859" s="6" t="s">
        <v>268</v>
      </c>
      <c r="D859" s="6">
        <v>24</v>
      </c>
      <c r="E859" s="7">
        <f>DAY(TableAopCalendar[[#This Row],[Date]])</f>
        <v>5</v>
      </c>
      <c r="F859" s="7">
        <f>IF(TableAopCalendar[[#This Row],[Day]]&lt;8,1,IF(TableAopCalendar[[#This Row],[Day]]&lt;15,2,IF(TableAopCalendar[[#This Row],[Day]]&lt;22,3,IF(TableAopCalendar[[#This Row],[Day]]&lt;29,4,IF(TableAopCalendar[[#This Row],[Day]]&lt;32,5)))))</f>
        <v>1</v>
      </c>
      <c r="G859" s="7" t="str">
        <f t="shared" si="46"/>
        <v>Week 1</v>
      </c>
      <c r="H859" s="7" t="str">
        <f t="shared" si="47"/>
        <v>August 24 Week 1</v>
      </c>
      <c r="I859" s="7" t="str">
        <f>CONCATENATE(UPPER(TableAopCalendar[[#This Row],[Month]])," ",TableAopCalendar[[#This Row],[Year]])</f>
        <v>AUGUST 24</v>
      </c>
      <c r="J859" s="7" t="s">
        <v>274</v>
      </c>
      <c r="K859" s="7" t="str">
        <f>CONCATENATE(TableAopCalendar[[#This Row],[Month for Plan]]," ",TableAopCalendar[[#This Row],[Plan]])</f>
        <v>AUGUST 24 PLANNED</v>
      </c>
    </row>
    <row r="860" spans="1:11" x14ac:dyDescent="0.3">
      <c r="A860" s="7">
        <f t="shared" si="45"/>
        <v>6</v>
      </c>
      <c r="B860" s="5">
        <v>45510</v>
      </c>
      <c r="C860" s="6" t="s">
        <v>268</v>
      </c>
      <c r="D860" s="6">
        <v>24</v>
      </c>
      <c r="E860" s="7">
        <f>DAY(TableAopCalendar[[#This Row],[Date]])</f>
        <v>6</v>
      </c>
      <c r="F860" s="7">
        <f>IF(TableAopCalendar[[#This Row],[Day]]&lt;8,1,IF(TableAopCalendar[[#This Row],[Day]]&lt;15,2,IF(TableAopCalendar[[#This Row],[Day]]&lt;22,3,IF(TableAopCalendar[[#This Row],[Day]]&lt;29,4,IF(TableAopCalendar[[#This Row],[Day]]&lt;32,5)))))</f>
        <v>1</v>
      </c>
      <c r="G860" s="7" t="str">
        <f t="shared" si="46"/>
        <v>Week 1</v>
      </c>
      <c r="H860" s="7" t="str">
        <f t="shared" si="47"/>
        <v>August 24 Week 1</v>
      </c>
      <c r="I860" s="7" t="str">
        <f>CONCATENATE(UPPER(TableAopCalendar[[#This Row],[Month]])," ",TableAopCalendar[[#This Row],[Year]])</f>
        <v>AUGUST 24</v>
      </c>
      <c r="J860" s="7" t="s">
        <v>274</v>
      </c>
      <c r="K860" s="7" t="str">
        <f>CONCATENATE(TableAopCalendar[[#This Row],[Month for Plan]]," ",TableAopCalendar[[#This Row],[Plan]])</f>
        <v>AUGUST 24 PLANNED</v>
      </c>
    </row>
    <row r="861" spans="1:11" x14ac:dyDescent="0.3">
      <c r="A861" s="7">
        <f t="shared" ref="A861:A884" si="48">IF(G861=G860,A860+1,1)</f>
        <v>7</v>
      </c>
      <c r="B861" s="5">
        <v>45511</v>
      </c>
      <c r="C861" s="6" t="s">
        <v>268</v>
      </c>
      <c r="D861" s="6">
        <v>24</v>
      </c>
      <c r="E861" s="7">
        <f>DAY(TableAopCalendar[[#This Row],[Date]])</f>
        <v>7</v>
      </c>
      <c r="F861" s="7">
        <f>IF(TableAopCalendar[[#This Row],[Day]]&lt;8,1,IF(TableAopCalendar[[#This Row],[Day]]&lt;15,2,IF(TableAopCalendar[[#This Row],[Day]]&lt;22,3,IF(TableAopCalendar[[#This Row],[Day]]&lt;29,4,IF(TableAopCalendar[[#This Row],[Day]]&lt;32,5)))))</f>
        <v>1</v>
      </c>
      <c r="G861" s="7" t="str">
        <f t="shared" ref="G861:G884" si="49">"Week"&amp;" "&amp;F861</f>
        <v>Week 1</v>
      </c>
      <c r="H861" s="7" t="str">
        <f t="shared" ref="H861:H884" si="50">CONCATENATE(C861," ",D861," ",G861)</f>
        <v>August 24 Week 1</v>
      </c>
      <c r="I861" s="7" t="str">
        <f>CONCATENATE(UPPER(TableAopCalendar[[#This Row],[Month]])," ",TableAopCalendar[[#This Row],[Year]])</f>
        <v>AUGUST 24</v>
      </c>
      <c r="J861" s="7" t="s">
        <v>274</v>
      </c>
      <c r="K861" s="7" t="str">
        <f>CONCATENATE(TableAopCalendar[[#This Row],[Month for Plan]]," ",TableAopCalendar[[#This Row],[Plan]])</f>
        <v>AUGUST 24 PLANNED</v>
      </c>
    </row>
    <row r="862" spans="1:11" x14ac:dyDescent="0.3">
      <c r="A862" s="7">
        <f t="shared" si="48"/>
        <v>1</v>
      </c>
      <c r="B862" s="5">
        <v>45512</v>
      </c>
      <c r="C862" s="6" t="s">
        <v>268</v>
      </c>
      <c r="D862" s="6">
        <v>24</v>
      </c>
      <c r="E862" s="7">
        <f>DAY(TableAopCalendar[[#This Row],[Date]])</f>
        <v>8</v>
      </c>
      <c r="F862" s="7">
        <f>IF(TableAopCalendar[[#This Row],[Day]]&lt;8,1,IF(TableAopCalendar[[#This Row],[Day]]&lt;15,2,IF(TableAopCalendar[[#This Row],[Day]]&lt;22,3,IF(TableAopCalendar[[#This Row],[Day]]&lt;29,4,IF(TableAopCalendar[[#This Row],[Day]]&lt;32,5)))))</f>
        <v>2</v>
      </c>
      <c r="G862" s="7" t="str">
        <f t="shared" si="49"/>
        <v>Week 2</v>
      </c>
      <c r="H862" s="7" t="str">
        <f t="shared" si="50"/>
        <v>August 24 Week 2</v>
      </c>
      <c r="I862" s="7" t="str">
        <f>CONCATENATE(UPPER(TableAopCalendar[[#This Row],[Month]])," ",TableAopCalendar[[#This Row],[Year]])</f>
        <v>AUGUST 24</v>
      </c>
      <c r="J862" s="7" t="s">
        <v>274</v>
      </c>
      <c r="K862" s="7" t="str">
        <f>CONCATENATE(TableAopCalendar[[#This Row],[Month for Plan]]," ",TableAopCalendar[[#This Row],[Plan]])</f>
        <v>AUGUST 24 PLANNED</v>
      </c>
    </row>
    <row r="863" spans="1:11" x14ac:dyDescent="0.3">
      <c r="A863" s="7">
        <f t="shared" si="48"/>
        <v>2</v>
      </c>
      <c r="B863" s="5">
        <v>45513</v>
      </c>
      <c r="C863" s="6" t="s">
        <v>268</v>
      </c>
      <c r="D863" s="6">
        <v>24</v>
      </c>
      <c r="E863" s="7">
        <f>DAY(TableAopCalendar[[#This Row],[Date]])</f>
        <v>9</v>
      </c>
      <c r="F863" s="7">
        <f>IF(TableAopCalendar[[#This Row],[Day]]&lt;8,1,IF(TableAopCalendar[[#This Row],[Day]]&lt;15,2,IF(TableAopCalendar[[#This Row],[Day]]&lt;22,3,IF(TableAopCalendar[[#This Row],[Day]]&lt;29,4,IF(TableAopCalendar[[#This Row],[Day]]&lt;32,5)))))</f>
        <v>2</v>
      </c>
      <c r="G863" s="7" t="str">
        <f t="shared" si="49"/>
        <v>Week 2</v>
      </c>
      <c r="H863" s="7" t="str">
        <f t="shared" si="50"/>
        <v>August 24 Week 2</v>
      </c>
      <c r="I863" s="7" t="str">
        <f>CONCATENATE(UPPER(TableAopCalendar[[#This Row],[Month]])," ",TableAopCalendar[[#This Row],[Year]])</f>
        <v>AUGUST 24</v>
      </c>
      <c r="J863" s="7" t="s">
        <v>274</v>
      </c>
      <c r="K863" s="7" t="str">
        <f>CONCATENATE(TableAopCalendar[[#This Row],[Month for Plan]]," ",TableAopCalendar[[#This Row],[Plan]])</f>
        <v>AUGUST 24 PLANNED</v>
      </c>
    </row>
    <row r="864" spans="1:11" x14ac:dyDescent="0.3">
      <c r="A864" s="7">
        <f t="shared" si="48"/>
        <v>3</v>
      </c>
      <c r="B864" s="5">
        <v>45514</v>
      </c>
      <c r="C864" s="6" t="s">
        <v>268</v>
      </c>
      <c r="D864" s="6">
        <v>24</v>
      </c>
      <c r="E864" s="7">
        <f>DAY(TableAopCalendar[[#This Row],[Date]])</f>
        <v>10</v>
      </c>
      <c r="F864" s="7">
        <f>IF(TableAopCalendar[[#This Row],[Day]]&lt;8,1,IF(TableAopCalendar[[#This Row],[Day]]&lt;15,2,IF(TableAopCalendar[[#This Row],[Day]]&lt;22,3,IF(TableAopCalendar[[#This Row],[Day]]&lt;29,4,IF(TableAopCalendar[[#This Row],[Day]]&lt;32,5)))))</f>
        <v>2</v>
      </c>
      <c r="G864" s="7" t="str">
        <f t="shared" si="49"/>
        <v>Week 2</v>
      </c>
      <c r="H864" s="7" t="str">
        <f t="shared" si="50"/>
        <v>August 24 Week 2</v>
      </c>
      <c r="I864" s="7" t="str">
        <f>CONCATENATE(UPPER(TableAopCalendar[[#This Row],[Month]])," ",TableAopCalendar[[#This Row],[Year]])</f>
        <v>AUGUST 24</v>
      </c>
      <c r="J864" s="7" t="s">
        <v>274</v>
      </c>
      <c r="K864" s="7" t="str">
        <f>CONCATENATE(TableAopCalendar[[#This Row],[Month for Plan]]," ",TableAopCalendar[[#This Row],[Plan]])</f>
        <v>AUGUST 24 PLANNED</v>
      </c>
    </row>
    <row r="865" spans="1:11" x14ac:dyDescent="0.3">
      <c r="A865" s="7">
        <f t="shared" si="48"/>
        <v>4</v>
      </c>
      <c r="B865" s="5">
        <v>45515</v>
      </c>
      <c r="C865" s="6" t="s">
        <v>268</v>
      </c>
      <c r="D865" s="6">
        <v>24</v>
      </c>
      <c r="E865" s="7">
        <f>DAY(TableAopCalendar[[#This Row],[Date]])</f>
        <v>11</v>
      </c>
      <c r="F865" s="7">
        <f>IF(TableAopCalendar[[#This Row],[Day]]&lt;8,1,IF(TableAopCalendar[[#This Row],[Day]]&lt;15,2,IF(TableAopCalendar[[#This Row],[Day]]&lt;22,3,IF(TableAopCalendar[[#This Row],[Day]]&lt;29,4,IF(TableAopCalendar[[#This Row],[Day]]&lt;32,5)))))</f>
        <v>2</v>
      </c>
      <c r="G865" s="7" t="str">
        <f t="shared" si="49"/>
        <v>Week 2</v>
      </c>
      <c r="H865" s="7" t="str">
        <f t="shared" si="50"/>
        <v>August 24 Week 2</v>
      </c>
      <c r="I865" s="7" t="str">
        <f>CONCATENATE(UPPER(TableAopCalendar[[#This Row],[Month]])," ",TableAopCalendar[[#This Row],[Year]])</f>
        <v>AUGUST 24</v>
      </c>
      <c r="J865" s="7" t="s">
        <v>274</v>
      </c>
      <c r="K865" s="7" t="str">
        <f>CONCATENATE(TableAopCalendar[[#This Row],[Month for Plan]]," ",TableAopCalendar[[#This Row],[Plan]])</f>
        <v>AUGUST 24 PLANNED</v>
      </c>
    </row>
    <row r="866" spans="1:11" x14ac:dyDescent="0.3">
      <c r="A866" s="7">
        <f t="shared" si="48"/>
        <v>5</v>
      </c>
      <c r="B866" s="5">
        <v>45516</v>
      </c>
      <c r="C866" s="6" t="s">
        <v>268</v>
      </c>
      <c r="D866" s="6">
        <v>24</v>
      </c>
      <c r="E866" s="7">
        <f>DAY(TableAopCalendar[[#This Row],[Date]])</f>
        <v>12</v>
      </c>
      <c r="F866" s="7">
        <f>IF(TableAopCalendar[[#This Row],[Day]]&lt;8,1,IF(TableAopCalendar[[#This Row],[Day]]&lt;15,2,IF(TableAopCalendar[[#This Row],[Day]]&lt;22,3,IF(TableAopCalendar[[#This Row],[Day]]&lt;29,4,IF(TableAopCalendar[[#This Row],[Day]]&lt;32,5)))))</f>
        <v>2</v>
      </c>
      <c r="G866" s="7" t="str">
        <f t="shared" si="49"/>
        <v>Week 2</v>
      </c>
      <c r="H866" s="7" t="str">
        <f t="shared" si="50"/>
        <v>August 24 Week 2</v>
      </c>
      <c r="I866" s="7" t="str">
        <f>CONCATENATE(UPPER(TableAopCalendar[[#This Row],[Month]])," ",TableAopCalendar[[#This Row],[Year]])</f>
        <v>AUGUST 24</v>
      </c>
      <c r="J866" s="7" t="s">
        <v>274</v>
      </c>
      <c r="K866" s="7" t="str">
        <f>CONCATENATE(TableAopCalendar[[#This Row],[Month for Plan]]," ",TableAopCalendar[[#This Row],[Plan]])</f>
        <v>AUGUST 24 PLANNED</v>
      </c>
    </row>
    <row r="867" spans="1:11" x14ac:dyDescent="0.3">
      <c r="A867" s="7">
        <f t="shared" si="48"/>
        <v>6</v>
      </c>
      <c r="B867" s="5">
        <v>45517</v>
      </c>
      <c r="C867" s="6" t="s">
        <v>268</v>
      </c>
      <c r="D867" s="6">
        <v>24</v>
      </c>
      <c r="E867" s="7">
        <f>DAY(TableAopCalendar[[#This Row],[Date]])</f>
        <v>13</v>
      </c>
      <c r="F867" s="7">
        <f>IF(TableAopCalendar[[#This Row],[Day]]&lt;8,1,IF(TableAopCalendar[[#This Row],[Day]]&lt;15,2,IF(TableAopCalendar[[#This Row],[Day]]&lt;22,3,IF(TableAopCalendar[[#This Row],[Day]]&lt;29,4,IF(TableAopCalendar[[#This Row],[Day]]&lt;32,5)))))</f>
        <v>2</v>
      </c>
      <c r="G867" s="7" t="str">
        <f t="shared" si="49"/>
        <v>Week 2</v>
      </c>
      <c r="H867" s="7" t="str">
        <f t="shared" si="50"/>
        <v>August 24 Week 2</v>
      </c>
      <c r="I867" s="7" t="str">
        <f>CONCATENATE(UPPER(TableAopCalendar[[#This Row],[Month]])," ",TableAopCalendar[[#This Row],[Year]])</f>
        <v>AUGUST 24</v>
      </c>
      <c r="J867" s="7" t="s">
        <v>274</v>
      </c>
      <c r="K867" s="7" t="str">
        <f>CONCATENATE(TableAopCalendar[[#This Row],[Month for Plan]]," ",TableAopCalendar[[#This Row],[Plan]])</f>
        <v>AUGUST 24 PLANNED</v>
      </c>
    </row>
    <row r="868" spans="1:11" x14ac:dyDescent="0.3">
      <c r="A868" s="7">
        <f t="shared" si="48"/>
        <v>7</v>
      </c>
      <c r="B868" s="5">
        <v>45518</v>
      </c>
      <c r="C868" s="6" t="s">
        <v>268</v>
      </c>
      <c r="D868" s="6">
        <v>24</v>
      </c>
      <c r="E868" s="7">
        <f>DAY(TableAopCalendar[[#This Row],[Date]])</f>
        <v>14</v>
      </c>
      <c r="F868" s="7">
        <f>IF(TableAopCalendar[[#This Row],[Day]]&lt;8,1,IF(TableAopCalendar[[#This Row],[Day]]&lt;15,2,IF(TableAopCalendar[[#This Row],[Day]]&lt;22,3,IF(TableAopCalendar[[#This Row],[Day]]&lt;29,4,IF(TableAopCalendar[[#This Row],[Day]]&lt;32,5)))))</f>
        <v>2</v>
      </c>
      <c r="G868" s="7" t="str">
        <f t="shared" si="49"/>
        <v>Week 2</v>
      </c>
      <c r="H868" s="7" t="str">
        <f t="shared" si="50"/>
        <v>August 24 Week 2</v>
      </c>
      <c r="I868" s="7" t="str">
        <f>CONCATENATE(UPPER(TableAopCalendar[[#This Row],[Month]])," ",TableAopCalendar[[#This Row],[Year]])</f>
        <v>AUGUST 24</v>
      </c>
      <c r="J868" s="7" t="s">
        <v>274</v>
      </c>
      <c r="K868" s="7" t="str">
        <f>CONCATENATE(TableAopCalendar[[#This Row],[Month for Plan]]," ",TableAopCalendar[[#This Row],[Plan]])</f>
        <v>AUGUST 24 PLANNED</v>
      </c>
    </row>
    <row r="869" spans="1:11" x14ac:dyDescent="0.3">
      <c r="A869" s="7">
        <f t="shared" si="48"/>
        <v>1</v>
      </c>
      <c r="B869" s="5">
        <v>45519</v>
      </c>
      <c r="C869" s="6" t="s">
        <v>268</v>
      </c>
      <c r="D869" s="6">
        <v>24</v>
      </c>
      <c r="E869" s="7">
        <f>DAY(TableAopCalendar[[#This Row],[Date]])</f>
        <v>15</v>
      </c>
      <c r="F869" s="7">
        <f>IF(TableAopCalendar[[#This Row],[Day]]&lt;8,1,IF(TableAopCalendar[[#This Row],[Day]]&lt;15,2,IF(TableAopCalendar[[#This Row],[Day]]&lt;22,3,IF(TableAopCalendar[[#This Row],[Day]]&lt;29,4,IF(TableAopCalendar[[#This Row],[Day]]&lt;32,5)))))</f>
        <v>3</v>
      </c>
      <c r="G869" s="7" t="str">
        <f t="shared" si="49"/>
        <v>Week 3</v>
      </c>
      <c r="H869" s="7" t="str">
        <f t="shared" si="50"/>
        <v>August 24 Week 3</v>
      </c>
      <c r="I869" s="7" t="str">
        <f>CONCATENATE(UPPER(TableAopCalendar[[#This Row],[Month]])," ",TableAopCalendar[[#This Row],[Year]])</f>
        <v>AUGUST 24</v>
      </c>
      <c r="J869" s="7" t="s">
        <v>274</v>
      </c>
      <c r="K869" s="7" t="str">
        <f>CONCATENATE(TableAopCalendar[[#This Row],[Month for Plan]]," ",TableAopCalendar[[#This Row],[Plan]])</f>
        <v>AUGUST 24 PLANNED</v>
      </c>
    </row>
    <row r="870" spans="1:11" x14ac:dyDescent="0.3">
      <c r="A870" s="7">
        <f t="shared" si="48"/>
        <v>2</v>
      </c>
      <c r="B870" s="5">
        <v>45520</v>
      </c>
      <c r="C870" s="6" t="s">
        <v>268</v>
      </c>
      <c r="D870" s="6">
        <v>24</v>
      </c>
      <c r="E870" s="7">
        <f>DAY(TableAopCalendar[[#This Row],[Date]])</f>
        <v>16</v>
      </c>
      <c r="F870" s="7">
        <f>IF(TableAopCalendar[[#This Row],[Day]]&lt;8,1,IF(TableAopCalendar[[#This Row],[Day]]&lt;15,2,IF(TableAopCalendar[[#This Row],[Day]]&lt;22,3,IF(TableAopCalendar[[#This Row],[Day]]&lt;29,4,IF(TableAopCalendar[[#This Row],[Day]]&lt;32,5)))))</f>
        <v>3</v>
      </c>
      <c r="G870" s="7" t="str">
        <f t="shared" si="49"/>
        <v>Week 3</v>
      </c>
      <c r="H870" s="7" t="str">
        <f t="shared" si="50"/>
        <v>August 24 Week 3</v>
      </c>
      <c r="I870" s="7" t="str">
        <f>CONCATENATE(UPPER(TableAopCalendar[[#This Row],[Month]])," ",TableAopCalendar[[#This Row],[Year]])</f>
        <v>AUGUST 24</v>
      </c>
      <c r="J870" s="7" t="s">
        <v>274</v>
      </c>
      <c r="K870" s="7" t="str">
        <f>CONCATENATE(TableAopCalendar[[#This Row],[Month for Plan]]," ",TableAopCalendar[[#This Row],[Plan]])</f>
        <v>AUGUST 24 PLANNED</v>
      </c>
    </row>
    <row r="871" spans="1:11" x14ac:dyDescent="0.3">
      <c r="A871" s="7">
        <f t="shared" si="48"/>
        <v>3</v>
      </c>
      <c r="B871" s="5">
        <v>45521</v>
      </c>
      <c r="C871" s="6" t="s">
        <v>268</v>
      </c>
      <c r="D871" s="6">
        <v>24</v>
      </c>
      <c r="E871" s="7">
        <f>DAY(TableAopCalendar[[#This Row],[Date]])</f>
        <v>17</v>
      </c>
      <c r="F871" s="7">
        <f>IF(TableAopCalendar[[#This Row],[Day]]&lt;8,1,IF(TableAopCalendar[[#This Row],[Day]]&lt;15,2,IF(TableAopCalendar[[#This Row],[Day]]&lt;22,3,IF(TableAopCalendar[[#This Row],[Day]]&lt;29,4,IF(TableAopCalendar[[#This Row],[Day]]&lt;32,5)))))</f>
        <v>3</v>
      </c>
      <c r="G871" s="7" t="str">
        <f t="shared" si="49"/>
        <v>Week 3</v>
      </c>
      <c r="H871" s="7" t="str">
        <f t="shared" si="50"/>
        <v>August 24 Week 3</v>
      </c>
      <c r="I871" s="7" t="str">
        <f>CONCATENATE(UPPER(TableAopCalendar[[#This Row],[Month]])," ",TableAopCalendar[[#This Row],[Year]])</f>
        <v>AUGUST 24</v>
      </c>
      <c r="J871" s="7" t="s">
        <v>274</v>
      </c>
      <c r="K871" s="7" t="str">
        <f>CONCATENATE(TableAopCalendar[[#This Row],[Month for Plan]]," ",TableAopCalendar[[#This Row],[Plan]])</f>
        <v>AUGUST 24 PLANNED</v>
      </c>
    </row>
    <row r="872" spans="1:11" x14ac:dyDescent="0.3">
      <c r="A872" s="7">
        <f t="shared" si="48"/>
        <v>4</v>
      </c>
      <c r="B872" s="5">
        <v>45522</v>
      </c>
      <c r="C872" s="6" t="s">
        <v>268</v>
      </c>
      <c r="D872" s="6">
        <v>24</v>
      </c>
      <c r="E872" s="7">
        <f>DAY(TableAopCalendar[[#This Row],[Date]])</f>
        <v>18</v>
      </c>
      <c r="F872" s="7">
        <f>IF(TableAopCalendar[[#This Row],[Day]]&lt;8,1,IF(TableAopCalendar[[#This Row],[Day]]&lt;15,2,IF(TableAopCalendar[[#This Row],[Day]]&lt;22,3,IF(TableAopCalendar[[#This Row],[Day]]&lt;29,4,IF(TableAopCalendar[[#This Row],[Day]]&lt;32,5)))))</f>
        <v>3</v>
      </c>
      <c r="G872" s="7" t="str">
        <f t="shared" si="49"/>
        <v>Week 3</v>
      </c>
      <c r="H872" s="7" t="str">
        <f t="shared" si="50"/>
        <v>August 24 Week 3</v>
      </c>
      <c r="I872" s="7" t="str">
        <f>CONCATENATE(UPPER(TableAopCalendar[[#This Row],[Month]])," ",TableAopCalendar[[#This Row],[Year]])</f>
        <v>AUGUST 24</v>
      </c>
      <c r="J872" s="7" t="s">
        <v>274</v>
      </c>
      <c r="K872" s="7" t="str">
        <f>CONCATENATE(TableAopCalendar[[#This Row],[Month for Plan]]," ",TableAopCalendar[[#This Row],[Plan]])</f>
        <v>AUGUST 24 PLANNED</v>
      </c>
    </row>
    <row r="873" spans="1:11" x14ac:dyDescent="0.3">
      <c r="A873" s="7">
        <f t="shared" si="48"/>
        <v>5</v>
      </c>
      <c r="B873" s="5">
        <v>45523</v>
      </c>
      <c r="C873" s="6" t="s">
        <v>268</v>
      </c>
      <c r="D873" s="6">
        <v>24</v>
      </c>
      <c r="E873" s="7">
        <f>DAY(TableAopCalendar[[#This Row],[Date]])</f>
        <v>19</v>
      </c>
      <c r="F873" s="7">
        <f>IF(TableAopCalendar[[#This Row],[Day]]&lt;8,1,IF(TableAopCalendar[[#This Row],[Day]]&lt;15,2,IF(TableAopCalendar[[#This Row],[Day]]&lt;22,3,IF(TableAopCalendar[[#This Row],[Day]]&lt;29,4,IF(TableAopCalendar[[#This Row],[Day]]&lt;32,5)))))</f>
        <v>3</v>
      </c>
      <c r="G873" s="7" t="str">
        <f t="shared" si="49"/>
        <v>Week 3</v>
      </c>
      <c r="H873" s="7" t="str">
        <f t="shared" si="50"/>
        <v>August 24 Week 3</v>
      </c>
      <c r="I873" s="7" t="str">
        <f>CONCATENATE(UPPER(TableAopCalendar[[#This Row],[Month]])," ",TableAopCalendar[[#This Row],[Year]])</f>
        <v>AUGUST 24</v>
      </c>
      <c r="J873" s="7" t="s">
        <v>274</v>
      </c>
      <c r="K873" s="7" t="str">
        <f>CONCATENATE(TableAopCalendar[[#This Row],[Month for Plan]]," ",TableAopCalendar[[#This Row],[Plan]])</f>
        <v>AUGUST 24 PLANNED</v>
      </c>
    </row>
    <row r="874" spans="1:11" x14ac:dyDescent="0.3">
      <c r="A874" s="7">
        <f t="shared" si="48"/>
        <v>6</v>
      </c>
      <c r="B874" s="5">
        <v>45524</v>
      </c>
      <c r="C874" s="6" t="s">
        <v>268</v>
      </c>
      <c r="D874" s="6">
        <v>24</v>
      </c>
      <c r="E874" s="7">
        <f>DAY(TableAopCalendar[[#This Row],[Date]])</f>
        <v>20</v>
      </c>
      <c r="F874" s="7">
        <f>IF(TableAopCalendar[[#This Row],[Day]]&lt;8,1,IF(TableAopCalendar[[#This Row],[Day]]&lt;15,2,IF(TableAopCalendar[[#This Row],[Day]]&lt;22,3,IF(TableAopCalendar[[#This Row],[Day]]&lt;29,4,IF(TableAopCalendar[[#This Row],[Day]]&lt;32,5)))))</f>
        <v>3</v>
      </c>
      <c r="G874" s="7" t="str">
        <f t="shared" si="49"/>
        <v>Week 3</v>
      </c>
      <c r="H874" s="7" t="str">
        <f t="shared" si="50"/>
        <v>August 24 Week 3</v>
      </c>
      <c r="I874" s="7" t="str">
        <f>CONCATENATE(UPPER(TableAopCalendar[[#This Row],[Month]])," ",TableAopCalendar[[#This Row],[Year]])</f>
        <v>AUGUST 24</v>
      </c>
      <c r="J874" s="7" t="s">
        <v>274</v>
      </c>
      <c r="K874" s="7" t="str">
        <f>CONCATENATE(TableAopCalendar[[#This Row],[Month for Plan]]," ",TableAopCalendar[[#This Row],[Plan]])</f>
        <v>AUGUST 24 PLANNED</v>
      </c>
    </row>
    <row r="875" spans="1:11" x14ac:dyDescent="0.3">
      <c r="A875" s="7">
        <f t="shared" si="48"/>
        <v>7</v>
      </c>
      <c r="B875" s="5">
        <v>45525</v>
      </c>
      <c r="C875" s="6" t="s">
        <v>268</v>
      </c>
      <c r="D875" s="6">
        <v>24</v>
      </c>
      <c r="E875" s="7">
        <f>DAY(TableAopCalendar[[#This Row],[Date]])</f>
        <v>21</v>
      </c>
      <c r="F875" s="7">
        <f>IF(TableAopCalendar[[#This Row],[Day]]&lt;8,1,IF(TableAopCalendar[[#This Row],[Day]]&lt;15,2,IF(TableAopCalendar[[#This Row],[Day]]&lt;22,3,IF(TableAopCalendar[[#This Row],[Day]]&lt;29,4,IF(TableAopCalendar[[#This Row],[Day]]&lt;32,5)))))</f>
        <v>3</v>
      </c>
      <c r="G875" s="7" t="str">
        <f t="shared" si="49"/>
        <v>Week 3</v>
      </c>
      <c r="H875" s="7" t="str">
        <f t="shared" si="50"/>
        <v>August 24 Week 3</v>
      </c>
      <c r="I875" s="7" t="str">
        <f>CONCATENATE(UPPER(TableAopCalendar[[#This Row],[Month]])," ",TableAopCalendar[[#This Row],[Year]])</f>
        <v>AUGUST 24</v>
      </c>
      <c r="J875" s="7" t="s">
        <v>274</v>
      </c>
      <c r="K875" s="7" t="str">
        <f>CONCATENATE(TableAopCalendar[[#This Row],[Month for Plan]]," ",TableAopCalendar[[#This Row],[Plan]])</f>
        <v>AUGUST 24 PLANNED</v>
      </c>
    </row>
    <row r="876" spans="1:11" x14ac:dyDescent="0.3">
      <c r="A876" s="7">
        <f t="shared" si="48"/>
        <v>1</v>
      </c>
      <c r="B876" s="5">
        <v>45526</v>
      </c>
      <c r="C876" s="6" t="s">
        <v>268</v>
      </c>
      <c r="D876" s="6">
        <v>24</v>
      </c>
      <c r="E876" s="7">
        <f>DAY(TableAopCalendar[[#This Row],[Date]])</f>
        <v>22</v>
      </c>
      <c r="F876" s="7">
        <f>IF(TableAopCalendar[[#This Row],[Day]]&lt;8,1,IF(TableAopCalendar[[#This Row],[Day]]&lt;15,2,IF(TableAopCalendar[[#This Row],[Day]]&lt;22,3,IF(TableAopCalendar[[#This Row],[Day]]&lt;29,4,IF(TableAopCalendar[[#This Row],[Day]]&lt;32,5)))))</f>
        <v>4</v>
      </c>
      <c r="G876" s="7" t="str">
        <f t="shared" si="49"/>
        <v>Week 4</v>
      </c>
      <c r="H876" s="7" t="str">
        <f t="shared" si="50"/>
        <v>August 24 Week 4</v>
      </c>
      <c r="I876" s="7" t="str">
        <f>CONCATENATE(UPPER(TableAopCalendar[[#This Row],[Month]])," ",TableAopCalendar[[#This Row],[Year]])</f>
        <v>AUGUST 24</v>
      </c>
      <c r="J876" s="7" t="s">
        <v>274</v>
      </c>
      <c r="K876" s="7" t="str">
        <f>CONCATENATE(TableAopCalendar[[#This Row],[Month for Plan]]," ",TableAopCalendar[[#This Row],[Plan]])</f>
        <v>AUGUST 24 PLANNED</v>
      </c>
    </row>
    <row r="877" spans="1:11" x14ac:dyDescent="0.3">
      <c r="A877" s="7">
        <f t="shared" si="48"/>
        <v>2</v>
      </c>
      <c r="B877" s="5">
        <v>45527</v>
      </c>
      <c r="C877" s="6" t="s">
        <v>268</v>
      </c>
      <c r="D877" s="6">
        <v>24</v>
      </c>
      <c r="E877" s="7">
        <f>DAY(TableAopCalendar[[#This Row],[Date]])</f>
        <v>23</v>
      </c>
      <c r="F877" s="7">
        <f>IF(TableAopCalendar[[#This Row],[Day]]&lt;8,1,IF(TableAopCalendar[[#This Row],[Day]]&lt;15,2,IF(TableAopCalendar[[#This Row],[Day]]&lt;22,3,IF(TableAopCalendar[[#This Row],[Day]]&lt;29,4,IF(TableAopCalendar[[#This Row],[Day]]&lt;32,5)))))</f>
        <v>4</v>
      </c>
      <c r="G877" s="7" t="str">
        <f t="shared" si="49"/>
        <v>Week 4</v>
      </c>
      <c r="H877" s="7" t="str">
        <f t="shared" si="50"/>
        <v>August 24 Week 4</v>
      </c>
      <c r="I877" s="7" t="str">
        <f>CONCATENATE(UPPER(TableAopCalendar[[#This Row],[Month]])," ",TableAopCalendar[[#This Row],[Year]])</f>
        <v>AUGUST 24</v>
      </c>
      <c r="J877" s="7" t="s">
        <v>274</v>
      </c>
      <c r="K877" s="7" t="str">
        <f>CONCATENATE(TableAopCalendar[[#This Row],[Month for Plan]]," ",TableAopCalendar[[#This Row],[Plan]])</f>
        <v>AUGUST 24 PLANNED</v>
      </c>
    </row>
    <row r="878" spans="1:11" x14ac:dyDescent="0.3">
      <c r="A878" s="7">
        <f t="shared" si="48"/>
        <v>3</v>
      </c>
      <c r="B878" s="5">
        <v>45528</v>
      </c>
      <c r="C878" s="6" t="s">
        <v>268</v>
      </c>
      <c r="D878" s="6">
        <v>24</v>
      </c>
      <c r="E878" s="7">
        <f>DAY(TableAopCalendar[[#This Row],[Date]])</f>
        <v>24</v>
      </c>
      <c r="F878" s="7">
        <f>IF(TableAopCalendar[[#This Row],[Day]]&lt;8,1,IF(TableAopCalendar[[#This Row],[Day]]&lt;15,2,IF(TableAopCalendar[[#This Row],[Day]]&lt;22,3,IF(TableAopCalendar[[#This Row],[Day]]&lt;29,4,IF(TableAopCalendar[[#This Row],[Day]]&lt;32,5)))))</f>
        <v>4</v>
      </c>
      <c r="G878" s="7" t="str">
        <f t="shared" si="49"/>
        <v>Week 4</v>
      </c>
      <c r="H878" s="7" t="str">
        <f t="shared" si="50"/>
        <v>August 24 Week 4</v>
      </c>
      <c r="I878" s="7" t="str">
        <f>CONCATENATE(UPPER(TableAopCalendar[[#This Row],[Month]])," ",TableAopCalendar[[#This Row],[Year]])</f>
        <v>AUGUST 24</v>
      </c>
      <c r="J878" s="7" t="s">
        <v>274</v>
      </c>
      <c r="K878" s="7" t="str">
        <f>CONCATENATE(TableAopCalendar[[#This Row],[Month for Plan]]," ",TableAopCalendar[[#This Row],[Plan]])</f>
        <v>AUGUST 24 PLANNED</v>
      </c>
    </row>
    <row r="879" spans="1:11" x14ac:dyDescent="0.3">
      <c r="A879" s="7">
        <f t="shared" si="48"/>
        <v>4</v>
      </c>
      <c r="B879" s="5">
        <v>45529</v>
      </c>
      <c r="C879" s="6" t="s">
        <v>268</v>
      </c>
      <c r="D879" s="6">
        <v>24</v>
      </c>
      <c r="E879" s="7">
        <f>DAY(TableAopCalendar[[#This Row],[Date]])</f>
        <v>25</v>
      </c>
      <c r="F879" s="7">
        <f>IF(TableAopCalendar[[#This Row],[Day]]&lt;8,1,IF(TableAopCalendar[[#This Row],[Day]]&lt;15,2,IF(TableAopCalendar[[#This Row],[Day]]&lt;22,3,IF(TableAopCalendar[[#This Row],[Day]]&lt;29,4,IF(TableAopCalendar[[#This Row],[Day]]&lt;32,5)))))</f>
        <v>4</v>
      </c>
      <c r="G879" s="7" t="str">
        <f t="shared" si="49"/>
        <v>Week 4</v>
      </c>
      <c r="H879" s="7" t="str">
        <f t="shared" si="50"/>
        <v>August 24 Week 4</v>
      </c>
      <c r="I879" s="7" t="str">
        <f>CONCATENATE(UPPER(TableAopCalendar[[#This Row],[Month]])," ",TableAopCalendar[[#This Row],[Year]])</f>
        <v>AUGUST 24</v>
      </c>
      <c r="J879" s="7" t="s">
        <v>274</v>
      </c>
      <c r="K879" s="7" t="str">
        <f>CONCATENATE(TableAopCalendar[[#This Row],[Month for Plan]]," ",TableAopCalendar[[#This Row],[Plan]])</f>
        <v>AUGUST 24 PLANNED</v>
      </c>
    </row>
    <row r="880" spans="1:11" x14ac:dyDescent="0.3">
      <c r="A880" s="7">
        <f t="shared" si="48"/>
        <v>5</v>
      </c>
      <c r="B880" s="5">
        <v>45530</v>
      </c>
      <c r="C880" s="6" t="s">
        <v>268</v>
      </c>
      <c r="D880" s="6">
        <v>24</v>
      </c>
      <c r="E880" s="7">
        <f>DAY(TableAopCalendar[[#This Row],[Date]])</f>
        <v>26</v>
      </c>
      <c r="F880" s="7">
        <f>IF(TableAopCalendar[[#This Row],[Day]]&lt;8,1,IF(TableAopCalendar[[#This Row],[Day]]&lt;15,2,IF(TableAopCalendar[[#This Row],[Day]]&lt;22,3,IF(TableAopCalendar[[#This Row],[Day]]&lt;29,4,IF(TableAopCalendar[[#This Row],[Day]]&lt;32,5)))))</f>
        <v>4</v>
      </c>
      <c r="G880" s="7" t="str">
        <f t="shared" si="49"/>
        <v>Week 4</v>
      </c>
      <c r="H880" s="7" t="str">
        <f t="shared" si="50"/>
        <v>August 24 Week 4</v>
      </c>
      <c r="I880" s="7" t="str">
        <f>CONCATENATE(UPPER(TableAopCalendar[[#This Row],[Month]])," ",TableAopCalendar[[#This Row],[Year]])</f>
        <v>AUGUST 24</v>
      </c>
      <c r="J880" s="7" t="s">
        <v>274</v>
      </c>
      <c r="K880" s="7" t="str">
        <f>CONCATENATE(TableAopCalendar[[#This Row],[Month for Plan]]," ",TableAopCalendar[[#This Row],[Plan]])</f>
        <v>AUGUST 24 PLANNED</v>
      </c>
    </row>
    <row r="881" spans="1:11" x14ac:dyDescent="0.3">
      <c r="A881" s="7">
        <f t="shared" si="48"/>
        <v>6</v>
      </c>
      <c r="B881" s="5">
        <v>45531</v>
      </c>
      <c r="C881" s="6" t="s">
        <v>268</v>
      </c>
      <c r="D881" s="6">
        <v>24</v>
      </c>
      <c r="E881" s="7">
        <f>DAY(TableAopCalendar[[#This Row],[Date]])</f>
        <v>27</v>
      </c>
      <c r="F881" s="7">
        <f>IF(TableAopCalendar[[#This Row],[Day]]&lt;8,1,IF(TableAopCalendar[[#This Row],[Day]]&lt;15,2,IF(TableAopCalendar[[#This Row],[Day]]&lt;22,3,IF(TableAopCalendar[[#This Row],[Day]]&lt;29,4,IF(TableAopCalendar[[#This Row],[Day]]&lt;32,5)))))</f>
        <v>4</v>
      </c>
      <c r="G881" s="7" t="str">
        <f t="shared" si="49"/>
        <v>Week 4</v>
      </c>
      <c r="H881" s="7" t="str">
        <f t="shared" si="50"/>
        <v>August 24 Week 4</v>
      </c>
      <c r="I881" s="7" t="str">
        <f>CONCATENATE(UPPER(TableAopCalendar[[#This Row],[Month]])," ",TableAopCalendar[[#This Row],[Year]])</f>
        <v>AUGUST 24</v>
      </c>
      <c r="J881" s="7" t="s">
        <v>274</v>
      </c>
      <c r="K881" s="7" t="str">
        <f>CONCATENATE(TableAopCalendar[[#This Row],[Month for Plan]]," ",TableAopCalendar[[#This Row],[Plan]])</f>
        <v>AUGUST 24 PLANNED</v>
      </c>
    </row>
    <row r="882" spans="1:11" x14ac:dyDescent="0.3">
      <c r="A882" s="7">
        <f t="shared" si="48"/>
        <v>7</v>
      </c>
      <c r="B882" s="5">
        <v>45532</v>
      </c>
      <c r="C882" s="6" t="s">
        <v>268</v>
      </c>
      <c r="D882" s="6">
        <v>24</v>
      </c>
      <c r="E882" s="7">
        <f>DAY(TableAopCalendar[[#This Row],[Date]])</f>
        <v>28</v>
      </c>
      <c r="F882" s="7">
        <f>IF(TableAopCalendar[[#This Row],[Day]]&lt;8,1,IF(TableAopCalendar[[#This Row],[Day]]&lt;15,2,IF(TableAopCalendar[[#This Row],[Day]]&lt;22,3,IF(TableAopCalendar[[#This Row],[Day]]&lt;29,4,IF(TableAopCalendar[[#This Row],[Day]]&lt;32,5)))))</f>
        <v>4</v>
      </c>
      <c r="G882" s="7" t="str">
        <f t="shared" si="49"/>
        <v>Week 4</v>
      </c>
      <c r="H882" s="7" t="str">
        <f t="shared" si="50"/>
        <v>August 24 Week 4</v>
      </c>
      <c r="I882" s="7" t="str">
        <f>CONCATENATE(UPPER(TableAopCalendar[[#This Row],[Month]])," ",TableAopCalendar[[#This Row],[Year]])</f>
        <v>AUGUST 24</v>
      </c>
      <c r="J882" s="7" t="s">
        <v>274</v>
      </c>
      <c r="K882" s="7" t="str">
        <f>CONCATENATE(TableAopCalendar[[#This Row],[Month for Plan]]," ",TableAopCalendar[[#This Row],[Plan]])</f>
        <v>AUGUST 24 PLANNED</v>
      </c>
    </row>
    <row r="883" spans="1:11" x14ac:dyDescent="0.3">
      <c r="A883" s="7">
        <f t="shared" si="48"/>
        <v>1</v>
      </c>
      <c r="B883" s="5">
        <v>45533</v>
      </c>
      <c r="C883" s="6" t="s">
        <v>268</v>
      </c>
      <c r="D883" s="6">
        <v>24</v>
      </c>
      <c r="E883" s="7">
        <f>DAY(TableAopCalendar[[#This Row],[Date]])</f>
        <v>29</v>
      </c>
      <c r="F883" s="7">
        <f>IF(TableAopCalendar[[#This Row],[Day]]&lt;8,1,IF(TableAopCalendar[[#This Row],[Day]]&lt;15,2,IF(TableAopCalendar[[#This Row],[Day]]&lt;22,3,IF(TableAopCalendar[[#This Row],[Day]]&lt;29,4,IF(TableAopCalendar[[#This Row],[Day]]&lt;32,5)))))</f>
        <v>5</v>
      </c>
      <c r="G883" s="7" t="str">
        <f t="shared" si="49"/>
        <v>Week 5</v>
      </c>
      <c r="H883" s="7" t="str">
        <f t="shared" si="50"/>
        <v>August 24 Week 5</v>
      </c>
      <c r="I883" s="7" t="str">
        <f>CONCATENATE(UPPER(TableAopCalendar[[#This Row],[Month]])," ",TableAopCalendar[[#This Row],[Year]])</f>
        <v>AUGUST 24</v>
      </c>
      <c r="J883" s="7" t="s">
        <v>274</v>
      </c>
      <c r="K883" s="7" t="str">
        <f>CONCATENATE(TableAopCalendar[[#This Row],[Month for Plan]]," ",TableAopCalendar[[#This Row],[Plan]])</f>
        <v>AUGUST 24 PLANNED</v>
      </c>
    </row>
    <row r="884" spans="1:11" x14ac:dyDescent="0.3">
      <c r="A884" s="7">
        <f t="shared" si="48"/>
        <v>2</v>
      </c>
      <c r="B884" s="5">
        <v>45534</v>
      </c>
      <c r="C884" s="6" t="s">
        <v>268</v>
      </c>
      <c r="D884" s="6">
        <v>24</v>
      </c>
      <c r="E884" s="7">
        <f>DAY(TableAopCalendar[[#This Row],[Date]])</f>
        <v>30</v>
      </c>
      <c r="F884" s="7">
        <f>IF(TableAopCalendar[[#This Row],[Day]]&lt;8,1,IF(TableAopCalendar[[#This Row],[Day]]&lt;15,2,IF(TableAopCalendar[[#This Row],[Day]]&lt;22,3,IF(TableAopCalendar[[#This Row],[Day]]&lt;29,4,IF(TableAopCalendar[[#This Row],[Day]]&lt;32,5)))))</f>
        <v>5</v>
      </c>
      <c r="G884" s="7" t="str">
        <f t="shared" si="49"/>
        <v>Week 5</v>
      </c>
      <c r="H884" s="7" t="str">
        <f t="shared" si="50"/>
        <v>August 24 Week 5</v>
      </c>
      <c r="I884" s="7" t="str">
        <f>CONCATENATE(UPPER(TableAopCalendar[[#This Row],[Month]])," ",TableAopCalendar[[#This Row],[Year]])</f>
        <v>AUGUST 24</v>
      </c>
      <c r="J884" s="7" t="s">
        <v>274</v>
      </c>
      <c r="K884" s="7" t="str">
        <f>CONCATENATE(TableAopCalendar[[#This Row],[Month for Plan]]," ",TableAopCalendar[[#This Row],[Plan]])</f>
        <v>AUGUST 24 PLANNED</v>
      </c>
    </row>
    <row r="885" spans="1:11" x14ac:dyDescent="0.3">
      <c r="A885" s="7">
        <f t="shared" ref="A885:A916" si="51">IF(G885=G884,A884+1,1)</f>
        <v>3</v>
      </c>
      <c r="B885" s="5">
        <v>45535</v>
      </c>
      <c r="C885" s="6" t="s">
        <v>268</v>
      </c>
      <c r="D885" s="6">
        <v>24</v>
      </c>
      <c r="E885" s="7">
        <f>DAY(TableAopCalendar[[#This Row],[Date]])</f>
        <v>31</v>
      </c>
      <c r="F885" s="7">
        <f>IF(TableAopCalendar[[#This Row],[Day]]&lt;8,1,IF(TableAopCalendar[[#This Row],[Day]]&lt;15,2,IF(TableAopCalendar[[#This Row],[Day]]&lt;22,3,IF(TableAopCalendar[[#This Row],[Day]]&lt;29,4,IF(TableAopCalendar[[#This Row],[Day]]&lt;32,5)))))</f>
        <v>5</v>
      </c>
      <c r="G885" s="7" t="str">
        <f t="shared" ref="G885:G916" si="52">"Week"&amp;" "&amp;F885</f>
        <v>Week 5</v>
      </c>
      <c r="H885" s="7" t="str">
        <f t="shared" ref="H885:H916" si="53">CONCATENATE(C885," ",D885," ",G885)</f>
        <v>August 24 Week 5</v>
      </c>
      <c r="I885" s="7" t="str">
        <f>CONCATENATE(UPPER(TableAopCalendar[[#This Row],[Month]])," ",TableAopCalendar[[#This Row],[Year]])</f>
        <v>AUGUST 24</v>
      </c>
      <c r="J885" s="7" t="s">
        <v>274</v>
      </c>
      <c r="K885" s="7" t="str">
        <f>CONCATENATE(TableAopCalendar[[#This Row],[Month for Plan]]," ",TableAopCalendar[[#This Row],[Plan]])</f>
        <v>AUGUST 24 PLANNED</v>
      </c>
    </row>
    <row r="886" spans="1:11" x14ac:dyDescent="0.3">
      <c r="A886" s="7">
        <f t="shared" si="51"/>
        <v>1</v>
      </c>
      <c r="B886" s="5">
        <v>45536</v>
      </c>
      <c r="C886" s="6" t="s">
        <v>269</v>
      </c>
      <c r="D886" s="6">
        <v>24</v>
      </c>
      <c r="E886" s="7">
        <f>DAY(TableAopCalendar[[#This Row],[Date]])</f>
        <v>1</v>
      </c>
      <c r="F886" s="7">
        <f>IF(TableAopCalendar[[#This Row],[Day]]&lt;8,1,IF(TableAopCalendar[[#This Row],[Day]]&lt;15,2,IF(TableAopCalendar[[#This Row],[Day]]&lt;22,3,IF(TableAopCalendar[[#This Row],[Day]]&lt;29,4,IF(TableAopCalendar[[#This Row],[Day]]&lt;32,5)))))</f>
        <v>1</v>
      </c>
      <c r="G886" s="7" t="str">
        <f t="shared" si="52"/>
        <v>Week 1</v>
      </c>
      <c r="H886" s="7" t="str">
        <f t="shared" si="53"/>
        <v>September 24 Week 1</v>
      </c>
      <c r="I886" s="7" t="str">
        <f>CONCATENATE(UPPER(TableAopCalendar[[#This Row],[Month]])," ",TableAopCalendar[[#This Row],[Year]])</f>
        <v>SEPTEMBER 24</v>
      </c>
      <c r="J886" s="7" t="s">
        <v>274</v>
      </c>
      <c r="K886" s="7" t="str">
        <f>CONCATENATE(TableAopCalendar[[#This Row],[Month for Plan]]," ",TableAopCalendar[[#This Row],[Plan]])</f>
        <v>SEPTEMBER 24 PLANNED</v>
      </c>
    </row>
    <row r="887" spans="1:11" x14ac:dyDescent="0.3">
      <c r="A887" s="7">
        <f t="shared" si="51"/>
        <v>2</v>
      </c>
      <c r="B887" s="5">
        <v>45537</v>
      </c>
      <c r="C887" s="6" t="s">
        <v>269</v>
      </c>
      <c r="D887" s="6">
        <v>24</v>
      </c>
      <c r="E887" s="7">
        <f>DAY(TableAopCalendar[[#This Row],[Date]])</f>
        <v>2</v>
      </c>
      <c r="F887" s="7">
        <f>IF(TableAopCalendar[[#This Row],[Day]]&lt;8,1,IF(TableAopCalendar[[#This Row],[Day]]&lt;15,2,IF(TableAopCalendar[[#This Row],[Day]]&lt;22,3,IF(TableAopCalendar[[#This Row],[Day]]&lt;29,4,IF(TableAopCalendar[[#This Row],[Day]]&lt;32,5)))))</f>
        <v>1</v>
      </c>
      <c r="G887" s="7" t="str">
        <f t="shared" si="52"/>
        <v>Week 1</v>
      </c>
      <c r="H887" s="7" t="str">
        <f t="shared" si="53"/>
        <v>September 24 Week 1</v>
      </c>
      <c r="I887" s="7" t="str">
        <f>CONCATENATE(UPPER(TableAopCalendar[[#This Row],[Month]])," ",TableAopCalendar[[#This Row],[Year]])</f>
        <v>SEPTEMBER 24</v>
      </c>
      <c r="J887" s="7" t="s">
        <v>274</v>
      </c>
      <c r="K887" s="7" t="str">
        <f>CONCATENATE(TableAopCalendar[[#This Row],[Month for Plan]]," ",TableAopCalendar[[#This Row],[Plan]])</f>
        <v>SEPTEMBER 24 PLANNED</v>
      </c>
    </row>
    <row r="888" spans="1:11" x14ac:dyDescent="0.3">
      <c r="A888" s="7">
        <f t="shared" si="51"/>
        <v>3</v>
      </c>
      <c r="B888" s="5">
        <v>45538</v>
      </c>
      <c r="C888" s="6" t="s">
        <v>269</v>
      </c>
      <c r="D888" s="6">
        <v>24</v>
      </c>
      <c r="E888" s="7">
        <f>DAY(TableAopCalendar[[#This Row],[Date]])</f>
        <v>3</v>
      </c>
      <c r="F888" s="7">
        <f>IF(TableAopCalendar[[#This Row],[Day]]&lt;8,1,IF(TableAopCalendar[[#This Row],[Day]]&lt;15,2,IF(TableAopCalendar[[#This Row],[Day]]&lt;22,3,IF(TableAopCalendar[[#This Row],[Day]]&lt;29,4,IF(TableAopCalendar[[#This Row],[Day]]&lt;32,5)))))</f>
        <v>1</v>
      </c>
      <c r="G888" s="7" t="str">
        <f t="shared" si="52"/>
        <v>Week 1</v>
      </c>
      <c r="H888" s="7" t="str">
        <f t="shared" si="53"/>
        <v>September 24 Week 1</v>
      </c>
      <c r="I888" s="7" t="str">
        <f>CONCATENATE(UPPER(TableAopCalendar[[#This Row],[Month]])," ",TableAopCalendar[[#This Row],[Year]])</f>
        <v>SEPTEMBER 24</v>
      </c>
      <c r="J888" s="7" t="s">
        <v>274</v>
      </c>
      <c r="K888" s="7" t="str">
        <f>CONCATENATE(TableAopCalendar[[#This Row],[Month for Plan]]," ",TableAopCalendar[[#This Row],[Plan]])</f>
        <v>SEPTEMBER 24 PLANNED</v>
      </c>
    </row>
    <row r="889" spans="1:11" x14ac:dyDescent="0.3">
      <c r="A889" s="7">
        <f t="shared" si="51"/>
        <v>4</v>
      </c>
      <c r="B889" s="5">
        <v>45539</v>
      </c>
      <c r="C889" s="6" t="s">
        <v>269</v>
      </c>
      <c r="D889" s="6">
        <v>24</v>
      </c>
      <c r="E889" s="7">
        <f>DAY(TableAopCalendar[[#This Row],[Date]])</f>
        <v>4</v>
      </c>
      <c r="F889" s="7">
        <f>IF(TableAopCalendar[[#This Row],[Day]]&lt;8,1,IF(TableAopCalendar[[#This Row],[Day]]&lt;15,2,IF(TableAopCalendar[[#This Row],[Day]]&lt;22,3,IF(TableAopCalendar[[#This Row],[Day]]&lt;29,4,IF(TableAopCalendar[[#This Row],[Day]]&lt;32,5)))))</f>
        <v>1</v>
      </c>
      <c r="G889" s="7" t="str">
        <f t="shared" si="52"/>
        <v>Week 1</v>
      </c>
      <c r="H889" s="7" t="str">
        <f t="shared" si="53"/>
        <v>September 24 Week 1</v>
      </c>
      <c r="I889" s="7" t="str">
        <f>CONCATENATE(UPPER(TableAopCalendar[[#This Row],[Month]])," ",TableAopCalendar[[#This Row],[Year]])</f>
        <v>SEPTEMBER 24</v>
      </c>
      <c r="J889" s="7" t="s">
        <v>274</v>
      </c>
      <c r="K889" s="7" t="str">
        <f>CONCATENATE(TableAopCalendar[[#This Row],[Month for Plan]]," ",TableAopCalendar[[#This Row],[Plan]])</f>
        <v>SEPTEMBER 24 PLANNED</v>
      </c>
    </row>
    <row r="890" spans="1:11" x14ac:dyDescent="0.3">
      <c r="A890" s="7">
        <f t="shared" si="51"/>
        <v>5</v>
      </c>
      <c r="B890" s="5">
        <v>45540</v>
      </c>
      <c r="C890" s="6" t="s">
        <v>269</v>
      </c>
      <c r="D890" s="6">
        <v>24</v>
      </c>
      <c r="E890" s="7">
        <f>DAY(TableAopCalendar[[#This Row],[Date]])</f>
        <v>5</v>
      </c>
      <c r="F890" s="7">
        <f>IF(TableAopCalendar[[#This Row],[Day]]&lt;8,1,IF(TableAopCalendar[[#This Row],[Day]]&lt;15,2,IF(TableAopCalendar[[#This Row],[Day]]&lt;22,3,IF(TableAopCalendar[[#This Row],[Day]]&lt;29,4,IF(TableAopCalendar[[#This Row],[Day]]&lt;32,5)))))</f>
        <v>1</v>
      </c>
      <c r="G890" s="7" t="str">
        <f t="shared" si="52"/>
        <v>Week 1</v>
      </c>
      <c r="H890" s="7" t="str">
        <f t="shared" si="53"/>
        <v>September 24 Week 1</v>
      </c>
      <c r="I890" s="7" t="str">
        <f>CONCATENATE(UPPER(TableAopCalendar[[#This Row],[Month]])," ",TableAopCalendar[[#This Row],[Year]])</f>
        <v>SEPTEMBER 24</v>
      </c>
      <c r="J890" s="7" t="s">
        <v>274</v>
      </c>
      <c r="K890" s="7" t="str">
        <f>CONCATENATE(TableAopCalendar[[#This Row],[Month for Plan]]," ",TableAopCalendar[[#This Row],[Plan]])</f>
        <v>SEPTEMBER 24 PLANNED</v>
      </c>
    </row>
    <row r="891" spans="1:11" x14ac:dyDescent="0.3">
      <c r="A891" s="7">
        <f t="shared" si="51"/>
        <v>6</v>
      </c>
      <c r="B891" s="5">
        <v>45541</v>
      </c>
      <c r="C891" s="6" t="s">
        <v>269</v>
      </c>
      <c r="D891" s="6">
        <v>24</v>
      </c>
      <c r="E891" s="7">
        <f>DAY(TableAopCalendar[[#This Row],[Date]])</f>
        <v>6</v>
      </c>
      <c r="F891" s="7">
        <f>IF(TableAopCalendar[[#This Row],[Day]]&lt;8,1,IF(TableAopCalendar[[#This Row],[Day]]&lt;15,2,IF(TableAopCalendar[[#This Row],[Day]]&lt;22,3,IF(TableAopCalendar[[#This Row],[Day]]&lt;29,4,IF(TableAopCalendar[[#This Row],[Day]]&lt;32,5)))))</f>
        <v>1</v>
      </c>
      <c r="G891" s="7" t="str">
        <f t="shared" si="52"/>
        <v>Week 1</v>
      </c>
      <c r="H891" s="7" t="str">
        <f t="shared" si="53"/>
        <v>September 24 Week 1</v>
      </c>
      <c r="I891" s="7" t="str">
        <f>CONCATENATE(UPPER(TableAopCalendar[[#This Row],[Month]])," ",TableAopCalendar[[#This Row],[Year]])</f>
        <v>SEPTEMBER 24</v>
      </c>
      <c r="J891" s="7" t="s">
        <v>274</v>
      </c>
      <c r="K891" s="7" t="str">
        <f>CONCATENATE(TableAopCalendar[[#This Row],[Month for Plan]]," ",TableAopCalendar[[#This Row],[Plan]])</f>
        <v>SEPTEMBER 24 PLANNED</v>
      </c>
    </row>
    <row r="892" spans="1:11" x14ac:dyDescent="0.3">
      <c r="A892" s="7">
        <f t="shared" si="51"/>
        <v>7</v>
      </c>
      <c r="B892" s="5">
        <v>45542</v>
      </c>
      <c r="C892" s="6" t="s">
        <v>269</v>
      </c>
      <c r="D892" s="6">
        <v>24</v>
      </c>
      <c r="E892" s="7">
        <f>DAY(TableAopCalendar[[#This Row],[Date]])</f>
        <v>7</v>
      </c>
      <c r="F892" s="7">
        <f>IF(TableAopCalendar[[#This Row],[Day]]&lt;8,1,IF(TableAopCalendar[[#This Row],[Day]]&lt;15,2,IF(TableAopCalendar[[#This Row],[Day]]&lt;22,3,IF(TableAopCalendar[[#This Row],[Day]]&lt;29,4,IF(TableAopCalendar[[#This Row],[Day]]&lt;32,5)))))</f>
        <v>1</v>
      </c>
      <c r="G892" s="7" t="str">
        <f t="shared" si="52"/>
        <v>Week 1</v>
      </c>
      <c r="H892" s="7" t="str">
        <f t="shared" si="53"/>
        <v>September 24 Week 1</v>
      </c>
      <c r="I892" s="7" t="str">
        <f>CONCATENATE(UPPER(TableAopCalendar[[#This Row],[Month]])," ",TableAopCalendar[[#This Row],[Year]])</f>
        <v>SEPTEMBER 24</v>
      </c>
      <c r="J892" s="7" t="s">
        <v>274</v>
      </c>
      <c r="K892" s="7" t="str">
        <f>CONCATENATE(TableAopCalendar[[#This Row],[Month for Plan]]," ",TableAopCalendar[[#This Row],[Plan]])</f>
        <v>SEPTEMBER 24 PLANNED</v>
      </c>
    </row>
    <row r="893" spans="1:11" x14ac:dyDescent="0.3">
      <c r="A893" s="7">
        <f t="shared" si="51"/>
        <v>1</v>
      </c>
      <c r="B893" s="5">
        <v>45543</v>
      </c>
      <c r="C893" s="6" t="s">
        <v>269</v>
      </c>
      <c r="D893" s="6">
        <v>24</v>
      </c>
      <c r="E893" s="7">
        <f>DAY(TableAopCalendar[[#This Row],[Date]])</f>
        <v>8</v>
      </c>
      <c r="F893" s="7">
        <f>IF(TableAopCalendar[[#This Row],[Day]]&lt;8,1,IF(TableAopCalendar[[#This Row],[Day]]&lt;15,2,IF(TableAopCalendar[[#This Row],[Day]]&lt;22,3,IF(TableAopCalendar[[#This Row],[Day]]&lt;29,4,IF(TableAopCalendar[[#This Row],[Day]]&lt;32,5)))))</f>
        <v>2</v>
      </c>
      <c r="G893" s="7" t="str">
        <f t="shared" si="52"/>
        <v>Week 2</v>
      </c>
      <c r="H893" s="7" t="str">
        <f t="shared" si="53"/>
        <v>September 24 Week 2</v>
      </c>
      <c r="I893" s="7" t="str">
        <f>CONCATENATE(UPPER(TableAopCalendar[[#This Row],[Month]])," ",TableAopCalendar[[#This Row],[Year]])</f>
        <v>SEPTEMBER 24</v>
      </c>
      <c r="J893" s="7" t="s">
        <v>274</v>
      </c>
      <c r="K893" s="7" t="str">
        <f>CONCATENATE(TableAopCalendar[[#This Row],[Month for Plan]]," ",TableAopCalendar[[#This Row],[Plan]])</f>
        <v>SEPTEMBER 24 PLANNED</v>
      </c>
    </row>
    <row r="894" spans="1:11" x14ac:dyDescent="0.3">
      <c r="A894" s="7">
        <f t="shared" si="51"/>
        <v>2</v>
      </c>
      <c r="B894" s="5">
        <v>45544</v>
      </c>
      <c r="C894" s="6" t="s">
        <v>269</v>
      </c>
      <c r="D894" s="6">
        <v>24</v>
      </c>
      <c r="E894" s="7">
        <f>DAY(TableAopCalendar[[#This Row],[Date]])</f>
        <v>9</v>
      </c>
      <c r="F894" s="7">
        <f>IF(TableAopCalendar[[#This Row],[Day]]&lt;8,1,IF(TableAopCalendar[[#This Row],[Day]]&lt;15,2,IF(TableAopCalendar[[#This Row],[Day]]&lt;22,3,IF(TableAopCalendar[[#This Row],[Day]]&lt;29,4,IF(TableAopCalendar[[#This Row],[Day]]&lt;32,5)))))</f>
        <v>2</v>
      </c>
      <c r="G894" s="7" t="str">
        <f t="shared" si="52"/>
        <v>Week 2</v>
      </c>
      <c r="H894" s="7" t="str">
        <f t="shared" si="53"/>
        <v>September 24 Week 2</v>
      </c>
      <c r="I894" s="7" t="str">
        <f>CONCATENATE(UPPER(TableAopCalendar[[#This Row],[Month]])," ",TableAopCalendar[[#This Row],[Year]])</f>
        <v>SEPTEMBER 24</v>
      </c>
      <c r="J894" s="7" t="s">
        <v>274</v>
      </c>
      <c r="K894" s="7" t="str">
        <f>CONCATENATE(TableAopCalendar[[#This Row],[Month for Plan]]," ",TableAopCalendar[[#This Row],[Plan]])</f>
        <v>SEPTEMBER 24 PLANNED</v>
      </c>
    </row>
    <row r="895" spans="1:11" x14ac:dyDescent="0.3">
      <c r="A895" s="7">
        <f t="shared" si="51"/>
        <v>3</v>
      </c>
      <c r="B895" s="5">
        <v>45545</v>
      </c>
      <c r="C895" s="6" t="s">
        <v>269</v>
      </c>
      <c r="D895" s="6">
        <v>24</v>
      </c>
      <c r="E895" s="7">
        <f>DAY(TableAopCalendar[[#This Row],[Date]])</f>
        <v>10</v>
      </c>
      <c r="F895" s="7">
        <f>IF(TableAopCalendar[[#This Row],[Day]]&lt;8,1,IF(TableAopCalendar[[#This Row],[Day]]&lt;15,2,IF(TableAopCalendar[[#This Row],[Day]]&lt;22,3,IF(TableAopCalendar[[#This Row],[Day]]&lt;29,4,IF(TableAopCalendar[[#This Row],[Day]]&lt;32,5)))))</f>
        <v>2</v>
      </c>
      <c r="G895" s="7" t="str">
        <f t="shared" si="52"/>
        <v>Week 2</v>
      </c>
      <c r="H895" s="7" t="str">
        <f t="shared" si="53"/>
        <v>September 24 Week 2</v>
      </c>
      <c r="I895" s="7" t="str">
        <f>CONCATENATE(UPPER(TableAopCalendar[[#This Row],[Month]])," ",TableAopCalendar[[#This Row],[Year]])</f>
        <v>SEPTEMBER 24</v>
      </c>
      <c r="J895" s="7" t="s">
        <v>274</v>
      </c>
      <c r="K895" s="7" t="str">
        <f>CONCATENATE(TableAopCalendar[[#This Row],[Month for Plan]]," ",TableAopCalendar[[#This Row],[Plan]])</f>
        <v>SEPTEMBER 24 PLANNED</v>
      </c>
    </row>
    <row r="896" spans="1:11" x14ac:dyDescent="0.3">
      <c r="A896" s="7">
        <f t="shared" si="51"/>
        <v>4</v>
      </c>
      <c r="B896" s="5">
        <v>45546</v>
      </c>
      <c r="C896" s="6" t="s">
        <v>269</v>
      </c>
      <c r="D896" s="6">
        <v>24</v>
      </c>
      <c r="E896" s="7">
        <f>DAY(TableAopCalendar[[#This Row],[Date]])</f>
        <v>11</v>
      </c>
      <c r="F896" s="7">
        <f>IF(TableAopCalendar[[#This Row],[Day]]&lt;8,1,IF(TableAopCalendar[[#This Row],[Day]]&lt;15,2,IF(TableAopCalendar[[#This Row],[Day]]&lt;22,3,IF(TableAopCalendar[[#This Row],[Day]]&lt;29,4,IF(TableAopCalendar[[#This Row],[Day]]&lt;32,5)))))</f>
        <v>2</v>
      </c>
      <c r="G896" s="7" t="str">
        <f t="shared" si="52"/>
        <v>Week 2</v>
      </c>
      <c r="H896" s="7" t="str">
        <f t="shared" si="53"/>
        <v>September 24 Week 2</v>
      </c>
      <c r="I896" s="7" t="str">
        <f>CONCATENATE(UPPER(TableAopCalendar[[#This Row],[Month]])," ",TableAopCalendar[[#This Row],[Year]])</f>
        <v>SEPTEMBER 24</v>
      </c>
      <c r="J896" s="7" t="s">
        <v>274</v>
      </c>
      <c r="K896" s="7" t="str">
        <f>CONCATENATE(TableAopCalendar[[#This Row],[Month for Plan]]," ",TableAopCalendar[[#This Row],[Plan]])</f>
        <v>SEPTEMBER 24 PLANNED</v>
      </c>
    </row>
    <row r="897" spans="1:11" x14ac:dyDescent="0.3">
      <c r="A897" s="7">
        <f t="shared" si="51"/>
        <v>5</v>
      </c>
      <c r="B897" s="5">
        <v>45547</v>
      </c>
      <c r="C897" s="6" t="s">
        <v>269</v>
      </c>
      <c r="D897" s="6">
        <v>24</v>
      </c>
      <c r="E897" s="7">
        <f>DAY(TableAopCalendar[[#This Row],[Date]])</f>
        <v>12</v>
      </c>
      <c r="F897" s="7">
        <f>IF(TableAopCalendar[[#This Row],[Day]]&lt;8,1,IF(TableAopCalendar[[#This Row],[Day]]&lt;15,2,IF(TableAopCalendar[[#This Row],[Day]]&lt;22,3,IF(TableAopCalendar[[#This Row],[Day]]&lt;29,4,IF(TableAopCalendar[[#This Row],[Day]]&lt;32,5)))))</f>
        <v>2</v>
      </c>
      <c r="G897" s="7" t="str">
        <f t="shared" si="52"/>
        <v>Week 2</v>
      </c>
      <c r="H897" s="7" t="str">
        <f t="shared" si="53"/>
        <v>September 24 Week 2</v>
      </c>
      <c r="I897" s="7" t="str">
        <f>CONCATENATE(UPPER(TableAopCalendar[[#This Row],[Month]])," ",TableAopCalendar[[#This Row],[Year]])</f>
        <v>SEPTEMBER 24</v>
      </c>
      <c r="J897" s="7" t="s">
        <v>274</v>
      </c>
      <c r="K897" s="7" t="str">
        <f>CONCATENATE(TableAopCalendar[[#This Row],[Month for Plan]]," ",TableAopCalendar[[#This Row],[Plan]])</f>
        <v>SEPTEMBER 24 PLANNED</v>
      </c>
    </row>
    <row r="898" spans="1:11" x14ac:dyDescent="0.3">
      <c r="A898" s="7">
        <f t="shared" si="51"/>
        <v>6</v>
      </c>
      <c r="B898" s="5">
        <v>45548</v>
      </c>
      <c r="C898" s="6" t="s">
        <v>269</v>
      </c>
      <c r="D898" s="6">
        <v>24</v>
      </c>
      <c r="E898" s="7">
        <f>DAY(TableAopCalendar[[#This Row],[Date]])</f>
        <v>13</v>
      </c>
      <c r="F898" s="7">
        <f>IF(TableAopCalendar[[#This Row],[Day]]&lt;8,1,IF(TableAopCalendar[[#This Row],[Day]]&lt;15,2,IF(TableAopCalendar[[#This Row],[Day]]&lt;22,3,IF(TableAopCalendar[[#This Row],[Day]]&lt;29,4,IF(TableAopCalendar[[#This Row],[Day]]&lt;32,5)))))</f>
        <v>2</v>
      </c>
      <c r="G898" s="7" t="str">
        <f t="shared" si="52"/>
        <v>Week 2</v>
      </c>
      <c r="H898" s="7" t="str">
        <f t="shared" si="53"/>
        <v>September 24 Week 2</v>
      </c>
      <c r="I898" s="7" t="str">
        <f>CONCATENATE(UPPER(TableAopCalendar[[#This Row],[Month]])," ",TableAopCalendar[[#This Row],[Year]])</f>
        <v>SEPTEMBER 24</v>
      </c>
      <c r="J898" s="7" t="s">
        <v>274</v>
      </c>
      <c r="K898" s="7" t="str">
        <f>CONCATENATE(TableAopCalendar[[#This Row],[Month for Plan]]," ",TableAopCalendar[[#This Row],[Plan]])</f>
        <v>SEPTEMBER 24 PLANNED</v>
      </c>
    </row>
    <row r="899" spans="1:11" x14ac:dyDescent="0.3">
      <c r="A899" s="7">
        <f t="shared" si="51"/>
        <v>7</v>
      </c>
      <c r="B899" s="5">
        <v>45549</v>
      </c>
      <c r="C899" s="6" t="s">
        <v>269</v>
      </c>
      <c r="D899" s="6">
        <v>24</v>
      </c>
      <c r="E899" s="7">
        <f>DAY(TableAopCalendar[[#This Row],[Date]])</f>
        <v>14</v>
      </c>
      <c r="F899" s="7">
        <f>IF(TableAopCalendar[[#This Row],[Day]]&lt;8,1,IF(TableAopCalendar[[#This Row],[Day]]&lt;15,2,IF(TableAopCalendar[[#This Row],[Day]]&lt;22,3,IF(TableAopCalendar[[#This Row],[Day]]&lt;29,4,IF(TableAopCalendar[[#This Row],[Day]]&lt;32,5)))))</f>
        <v>2</v>
      </c>
      <c r="G899" s="7" t="str">
        <f t="shared" si="52"/>
        <v>Week 2</v>
      </c>
      <c r="H899" s="7" t="str">
        <f t="shared" si="53"/>
        <v>September 24 Week 2</v>
      </c>
      <c r="I899" s="7" t="str">
        <f>CONCATENATE(UPPER(TableAopCalendar[[#This Row],[Month]])," ",TableAopCalendar[[#This Row],[Year]])</f>
        <v>SEPTEMBER 24</v>
      </c>
      <c r="J899" s="7" t="s">
        <v>274</v>
      </c>
      <c r="K899" s="7" t="str">
        <f>CONCATENATE(TableAopCalendar[[#This Row],[Month for Plan]]," ",TableAopCalendar[[#This Row],[Plan]])</f>
        <v>SEPTEMBER 24 PLANNED</v>
      </c>
    </row>
    <row r="900" spans="1:11" x14ac:dyDescent="0.3">
      <c r="A900" s="7">
        <f t="shared" si="51"/>
        <v>1</v>
      </c>
      <c r="B900" s="5">
        <v>45550</v>
      </c>
      <c r="C900" s="6" t="s">
        <v>269</v>
      </c>
      <c r="D900" s="6">
        <v>24</v>
      </c>
      <c r="E900" s="7">
        <f>DAY(TableAopCalendar[[#This Row],[Date]])</f>
        <v>15</v>
      </c>
      <c r="F900" s="7">
        <f>IF(TableAopCalendar[[#This Row],[Day]]&lt;8,1,IF(TableAopCalendar[[#This Row],[Day]]&lt;15,2,IF(TableAopCalendar[[#This Row],[Day]]&lt;22,3,IF(TableAopCalendar[[#This Row],[Day]]&lt;29,4,IF(TableAopCalendar[[#This Row],[Day]]&lt;32,5)))))</f>
        <v>3</v>
      </c>
      <c r="G900" s="7" t="str">
        <f t="shared" si="52"/>
        <v>Week 3</v>
      </c>
      <c r="H900" s="7" t="str">
        <f t="shared" si="53"/>
        <v>September 24 Week 3</v>
      </c>
      <c r="I900" s="7" t="str">
        <f>CONCATENATE(UPPER(TableAopCalendar[[#This Row],[Month]])," ",TableAopCalendar[[#This Row],[Year]])</f>
        <v>SEPTEMBER 24</v>
      </c>
      <c r="J900" s="7" t="s">
        <v>274</v>
      </c>
      <c r="K900" s="7" t="str">
        <f>CONCATENATE(TableAopCalendar[[#This Row],[Month for Plan]]," ",TableAopCalendar[[#This Row],[Plan]])</f>
        <v>SEPTEMBER 24 PLANNED</v>
      </c>
    </row>
    <row r="901" spans="1:11" x14ac:dyDescent="0.3">
      <c r="A901" s="7">
        <f t="shared" si="51"/>
        <v>2</v>
      </c>
      <c r="B901" s="5">
        <v>45551</v>
      </c>
      <c r="C901" s="6" t="s">
        <v>269</v>
      </c>
      <c r="D901" s="6">
        <v>24</v>
      </c>
      <c r="E901" s="7">
        <f>DAY(TableAopCalendar[[#This Row],[Date]])</f>
        <v>16</v>
      </c>
      <c r="F901" s="7">
        <f>IF(TableAopCalendar[[#This Row],[Day]]&lt;8,1,IF(TableAopCalendar[[#This Row],[Day]]&lt;15,2,IF(TableAopCalendar[[#This Row],[Day]]&lt;22,3,IF(TableAopCalendar[[#This Row],[Day]]&lt;29,4,IF(TableAopCalendar[[#This Row],[Day]]&lt;32,5)))))</f>
        <v>3</v>
      </c>
      <c r="G901" s="7" t="str">
        <f t="shared" si="52"/>
        <v>Week 3</v>
      </c>
      <c r="H901" s="7" t="str">
        <f t="shared" si="53"/>
        <v>September 24 Week 3</v>
      </c>
      <c r="I901" s="7" t="str">
        <f>CONCATENATE(UPPER(TableAopCalendar[[#This Row],[Month]])," ",TableAopCalendar[[#This Row],[Year]])</f>
        <v>SEPTEMBER 24</v>
      </c>
      <c r="J901" s="7" t="s">
        <v>274</v>
      </c>
      <c r="K901" s="7" t="str">
        <f>CONCATENATE(TableAopCalendar[[#This Row],[Month for Plan]]," ",TableAopCalendar[[#This Row],[Plan]])</f>
        <v>SEPTEMBER 24 PLANNED</v>
      </c>
    </row>
    <row r="902" spans="1:11" x14ac:dyDescent="0.3">
      <c r="A902" s="7">
        <f t="shared" si="51"/>
        <v>3</v>
      </c>
      <c r="B902" s="5">
        <v>45552</v>
      </c>
      <c r="C902" s="6" t="s">
        <v>269</v>
      </c>
      <c r="D902" s="6">
        <v>24</v>
      </c>
      <c r="E902" s="7">
        <f>DAY(TableAopCalendar[[#This Row],[Date]])</f>
        <v>17</v>
      </c>
      <c r="F902" s="7">
        <f>IF(TableAopCalendar[[#This Row],[Day]]&lt;8,1,IF(TableAopCalendar[[#This Row],[Day]]&lt;15,2,IF(TableAopCalendar[[#This Row],[Day]]&lt;22,3,IF(TableAopCalendar[[#This Row],[Day]]&lt;29,4,IF(TableAopCalendar[[#This Row],[Day]]&lt;32,5)))))</f>
        <v>3</v>
      </c>
      <c r="G902" s="7" t="str">
        <f t="shared" si="52"/>
        <v>Week 3</v>
      </c>
      <c r="H902" s="7" t="str">
        <f t="shared" si="53"/>
        <v>September 24 Week 3</v>
      </c>
      <c r="I902" s="7" t="str">
        <f>CONCATENATE(UPPER(TableAopCalendar[[#This Row],[Month]])," ",TableAopCalendar[[#This Row],[Year]])</f>
        <v>SEPTEMBER 24</v>
      </c>
      <c r="J902" s="7" t="s">
        <v>274</v>
      </c>
      <c r="K902" s="7" t="str">
        <f>CONCATENATE(TableAopCalendar[[#This Row],[Month for Plan]]," ",TableAopCalendar[[#This Row],[Plan]])</f>
        <v>SEPTEMBER 24 PLANNED</v>
      </c>
    </row>
    <row r="903" spans="1:11" x14ac:dyDescent="0.3">
      <c r="A903" s="7">
        <f t="shared" si="51"/>
        <v>4</v>
      </c>
      <c r="B903" s="5">
        <v>45553</v>
      </c>
      <c r="C903" s="6" t="s">
        <v>269</v>
      </c>
      <c r="D903" s="6">
        <v>24</v>
      </c>
      <c r="E903" s="7">
        <f>DAY(TableAopCalendar[[#This Row],[Date]])</f>
        <v>18</v>
      </c>
      <c r="F903" s="7">
        <f>IF(TableAopCalendar[[#This Row],[Day]]&lt;8,1,IF(TableAopCalendar[[#This Row],[Day]]&lt;15,2,IF(TableAopCalendar[[#This Row],[Day]]&lt;22,3,IF(TableAopCalendar[[#This Row],[Day]]&lt;29,4,IF(TableAopCalendar[[#This Row],[Day]]&lt;32,5)))))</f>
        <v>3</v>
      </c>
      <c r="G903" s="7" t="str">
        <f t="shared" si="52"/>
        <v>Week 3</v>
      </c>
      <c r="H903" s="7" t="str">
        <f t="shared" si="53"/>
        <v>September 24 Week 3</v>
      </c>
      <c r="I903" s="7" t="str">
        <f>CONCATENATE(UPPER(TableAopCalendar[[#This Row],[Month]])," ",TableAopCalendar[[#This Row],[Year]])</f>
        <v>SEPTEMBER 24</v>
      </c>
      <c r="J903" s="7" t="s">
        <v>274</v>
      </c>
      <c r="K903" s="7" t="str">
        <f>CONCATENATE(TableAopCalendar[[#This Row],[Month for Plan]]," ",TableAopCalendar[[#This Row],[Plan]])</f>
        <v>SEPTEMBER 24 PLANNED</v>
      </c>
    </row>
    <row r="904" spans="1:11" x14ac:dyDescent="0.3">
      <c r="A904" s="7">
        <f t="shared" si="51"/>
        <v>5</v>
      </c>
      <c r="B904" s="5">
        <v>45554</v>
      </c>
      <c r="C904" s="6" t="s">
        <v>269</v>
      </c>
      <c r="D904" s="6">
        <v>24</v>
      </c>
      <c r="E904" s="7">
        <f>DAY(TableAopCalendar[[#This Row],[Date]])</f>
        <v>19</v>
      </c>
      <c r="F904" s="7">
        <f>IF(TableAopCalendar[[#This Row],[Day]]&lt;8,1,IF(TableAopCalendar[[#This Row],[Day]]&lt;15,2,IF(TableAopCalendar[[#This Row],[Day]]&lt;22,3,IF(TableAopCalendar[[#This Row],[Day]]&lt;29,4,IF(TableAopCalendar[[#This Row],[Day]]&lt;32,5)))))</f>
        <v>3</v>
      </c>
      <c r="G904" s="7" t="str">
        <f t="shared" si="52"/>
        <v>Week 3</v>
      </c>
      <c r="H904" s="7" t="str">
        <f t="shared" si="53"/>
        <v>September 24 Week 3</v>
      </c>
      <c r="I904" s="7" t="str">
        <f>CONCATENATE(UPPER(TableAopCalendar[[#This Row],[Month]])," ",TableAopCalendar[[#This Row],[Year]])</f>
        <v>SEPTEMBER 24</v>
      </c>
      <c r="J904" s="7" t="s">
        <v>274</v>
      </c>
      <c r="K904" s="7" t="str">
        <f>CONCATENATE(TableAopCalendar[[#This Row],[Month for Plan]]," ",TableAopCalendar[[#This Row],[Plan]])</f>
        <v>SEPTEMBER 24 PLANNED</v>
      </c>
    </row>
    <row r="905" spans="1:11" x14ac:dyDescent="0.3">
      <c r="A905" s="7">
        <f t="shared" si="51"/>
        <v>6</v>
      </c>
      <c r="B905" s="5">
        <v>45555</v>
      </c>
      <c r="C905" s="6" t="s">
        <v>269</v>
      </c>
      <c r="D905" s="6">
        <v>24</v>
      </c>
      <c r="E905" s="7">
        <f>DAY(TableAopCalendar[[#This Row],[Date]])</f>
        <v>20</v>
      </c>
      <c r="F905" s="7">
        <f>IF(TableAopCalendar[[#This Row],[Day]]&lt;8,1,IF(TableAopCalendar[[#This Row],[Day]]&lt;15,2,IF(TableAopCalendar[[#This Row],[Day]]&lt;22,3,IF(TableAopCalendar[[#This Row],[Day]]&lt;29,4,IF(TableAopCalendar[[#This Row],[Day]]&lt;32,5)))))</f>
        <v>3</v>
      </c>
      <c r="G905" s="7" t="str">
        <f t="shared" si="52"/>
        <v>Week 3</v>
      </c>
      <c r="H905" s="7" t="str">
        <f t="shared" si="53"/>
        <v>September 24 Week 3</v>
      </c>
      <c r="I905" s="7" t="str">
        <f>CONCATENATE(UPPER(TableAopCalendar[[#This Row],[Month]])," ",TableAopCalendar[[#This Row],[Year]])</f>
        <v>SEPTEMBER 24</v>
      </c>
      <c r="J905" s="7" t="s">
        <v>274</v>
      </c>
      <c r="K905" s="7" t="str">
        <f>CONCATENATE(TableAopCalendar[[#This Row],[Month for Plan]]," ",TableAopCalendar[[#This Row],[Plan]])</f>
        <v>SEPTEMBER 24 PLANNED</v>
      </c>
    </row>
    <row r="906" spans="1:11" x14ac:dyDescent="0.3">
      <c r="A906" s="7">
        <f t="shared" si="51"/>
        <v>7</v>
      </c>
      <c r="B906" s="5">
        <v>45556</v>
      </c>
      <c r="C906" s="6" t="s">
        <v>269</v>
      </c>
      <c r="D906" s="6">
        <v>24</v>
      </c>
      <c r="E906" s="7">
        <f>DAY(TableAopCalendar[[#This Row],[Date]])</f>
        <v>21</v>
      </c>
      <c r="F906" s="7">
        <f>IF(TableAopCalendar[[#This Row],[Day]]&lt;8,1,IF(TableAopCalendar[[#This Row],[Day]]&lt;15,2,IF(TableAopCalendar[[#This Row],[Day]]&lt;22,3,IF(TableAopCalendar[[#This Row],[Day]]&lt;29,4,IF(TableAopCalendar[[#This Row],[Day]]&lt;32,5)))))</f>
        <v>3</v>
      </c>
      <c r="G906" s="7" t="str">
        <f t="shared" si="52"/>
        <v>Week 3</v>
      </c>
      <c r="H906" s="7" t="str">
        <f t="shared" si="53"/>
        <v>September 24 Week 3</v>
      </c>
      <c r="I906" s="7" t="str">
        <f>CONCATENATE(UPPER(TableAopCalendar[[#This Row],[Month]])," ",TableAopCalendar[[#This Row],[Year]])</f>
        <v>SEPTEMBER 24</v>
      </c>
      <c r="J906" s="7" t="s">
        <v>274</v>
      </c>
      <c r="K906" s="7" t="str">
        <f>CONCATENATE(TableAopCalendar[[#This Row],[Month for Plan]]," ",TableAopCalendar[[#This Row],[Plan]])</f>
        <v>SEPTEMBER 24 PLANNED</v>
      </c>
    </row>
    <row r="907" spans="1:11" x14ac:dyDescent="0.3">
      <c r="A907" s="7">
        <f t="shared" si="51"/>
        <v>1</v>
      </c>
      <c r="B907" s="5">
        <v>45557</v>
      </c>
      <c r="C907" s="6" t="s">
        <v>269</v>
      </c>
      <c r="D907" s="6">
        <v>24</v>
      </c>
      <c r="E907" s="7">
        <f>DAY(TableAopCalendar[[#This Row],[Date]])</f>
        <v>22</v>
      </c>
      <c r="F907" s="7">
        <f>IF(TableAopCalendar[[#This Row],[Day]]&lt;8,1,IF(TableAopCalendar[[#This Row],[Day]]&lt;15,2,IF(TableAopCalendar[[#This Row],[Day]]&lt;22,3,IF(TableAopCalendar[[#This Row],[Day]]&lt;29,4,IF(TableAopCalendar[[#This Row],[Day]]&lt;32,5)))))</f>
        <v>4</v>
      </c>
      <c r="G907" s="7" t="str">
        <f t="shared" si="52"/>
        <v>Week 4</v>
      </c>
      <c r="H907" s="7" t="str">
        <f t="shared" si="53"/>
        <v>September 24 Week 4</v>
      </c>
      <c r="I907" s="7" t="str">
        <f>CONCATENATE(UPPER(TableAopCalendar[[#This Row],[Month]])," ",TableAopCalendar[[#This Row],[Year]])</f>
        <v>SEPTEMBER 24</v>
      </c>
      <c r="J907" s="7" t="s">
        <v>274</v>
      </c>
      <c r="K907" s="7" t="str">
        <f>CONCATENATE(TableAopCalendar[[#This Row],[Month for Plan]]," ",TableAopCalendar[[#This Row],[Plan]])</f>
        <v>SEPTEMBER 24 PLANNED</v>
      </c>
    </row>
    <row r="908" spans="1:11" x14ac:dyDescent="0.3">
      <c r="A908" s="7">
        <f t="shared" si="51"/>
        <v>2</v>
      </c>
      <c r="B908" s="5">
        <v>45558</v>
      </c>
      <c r="C908" s="6" t="s">
        <v>269</v>
      </c>
      <c r="D908" s="6">
        <v>24</v>
      </c>
      <c r="E908" s="7">
        <f>DAY(TableAopCalendar[[#This Row],[Date]])</f>
        <v>23</v>
      </c>
      <c r="F908" s="7">
        <f>IF(TableAopCalendar[[#This Row],[Day]]&lt;8,1,IF(TableAopCalendar[[#This Row],[Day]]&lt;15,2,IF(TableAopCalendar[[#This Row],[Day]]&lt;22,3,IF(TableAopCalendar[[#This Row],[Day]]&lt;29,4,IF(TableAopCalendar[[#This Row],[Day]]&lt;32,5)))))</f>
        <v>4</v>
      </c>
      <c r="G908" s="7" t="str">
        <f t="shared" si="52"/>
        <v>Week 4</v>
      </c>
      <c r="H908" s="7" t="str">
        <f t="shared" si="53"/>
        <v>September 24 Week 4</v>
      </c>
      <c r="I908" s="7" t="str">
        <f>CONCATENATE(UPPER(TableAopCalendar[[#This Row],[Month]])," ",TableAopCalendar[[#This Row],[Year]])</f>
        <v>SEPTEMBER 24</v>
      </c>
      <c r="J908" s="7" t="s">
        <v>274</v>
      </c>
      <c r="K908" s="7" t="str">
        <f>CONCATENATE(TableAopCalendar[[#This Row],[Month for Plan]]," ",TableAopCalendar[[#This Row],[Plan]])</f>
        <v>SEPTEMBER 24 PLANNED</v>
      </c>
    </row>
    <row r="909" spans="1:11" x14ac:dyDescent="0.3">
      <c r="A909" s="7">
        <f t="shared" si="51"/>
        <v>3</v>
      </c>
      <c r="B909" s="5">
        <v>45559</v>
      </c>
      <c r="C909" s="6" t="s">
        <v>269</v>
      </c>
      <c r="D909" s="6">
        <v>24</v>
      </c>
      <c r="E909" s="7">
        <f>DAY(TableAopCalendar[[#This Row],[Date]])</f>
        <v>24</v>
      </c>
      <c r="F909" s="7">
        <f>IF(TableAopCalendar[[#This Row],[Day]]&lt;8,1,IF(TableAopCalendar[[#This Row],[Day]]&lt;15,2,IF(TableAopCalendar[[#This Row],[Day]]&lt;22,3,IF(TableAopCalendar[[#This Row],[Day]]&lt;29,4,IF(TableAopCalendar[[#This Row],[Day]]&lt;32,5)))))</f>
        <v>4</v>
      </c>
      <c r="G909" s="7" t="str">
        <f t="shared" si="52"/>
        <v>Week 4</v>
      </c>
      <c r="H909" s="7" t="str">
        <f t="shared" si="53"/>
        <v>September 24 Week 4</v>
      </c>
      <c r="I909" s="7" t="str">
        <f>CONCATENATE(UPPER(TableAopCalendar[[#This Row],[Month]])," ",TableAopCalendar[[#This Row],[Year]])</f>
        <v>SEPTEMBER 24</v>
      </c>
      <c r="J909" s="7" t="s">
        <v>274</v>
      </c>
      <c r="K909" s="7" t="str">
        <f>CONCATENATE(TableAopCalendar[[#This Row],[Month for Plan]]," ",TableAopCalendar[[#This Row],[Plan]])</f>
        <v>SEPTEMBER 24 PLANNED</v>
      </c>
    </row>
    <row r="910" spans="1:11" x14ac:dyDescent="0.3">
      <c r="A910" s="7">
        <f t="shared" si="51"/>
        <v>4</v>
      </c>
      <c r="B910" s="5">
        <v>45560</v>
      </c>
      <c r="C910" s="6" t="s">
        <v>269</v>
      </c>
      <c r="D910" s="6">
        <v>24</v>
      </c>
      <c r="E910" s="7">
        <f>DAY(TableAopCalendar[[#This Row],[Date]])</f>
        <v>25</v>
      </c>
      <c r="F910" s="7">
        <f>IF(TableAopCalendar[[#This Row],[Day]]&lt;8,1,IF(TableAopCalendar[[#This Row],[Day]]&lt;15,2,IF(TableAopCalendar[[#This Row],[Day]]&lt;22,3,IF(TableAopCalendar[[#This Row],[Day]]&lt;29,4,IF(TableAopCalendar[[#This Row],[Day]]&lt;32,5)))))</f>
        <v>4</v>
      </c>
      <c r="G910" s="7" t="str">
        <f t="shared" si="52"/>
        <v>Week 4</v>
      </c>
      <c r="H910" s="7" t="str">
        <f t="shared" si="53"/>
        <v>September 24 Week 4</v>
      </c>
      <c r="I910" s="7" t="str">
        <f>CONCATENATE(UPPER(TableAopCalendar[[#This Row],[Month]])," ",TableAopCalendar[[#This Row],[Year]])</f>
        <v>SEPTEMBER 24</v>
      </c>
      <c r="J910" s="7" t="s">
        <v>274</v>
      </c>
      <c r="K910" s="7" t="str">
        <f>CONCATENATE(TableAopCalendar[[#This Row],[Month for Plan]]," ",TableAopCalendar[[#This Row],[Plan]])</f>
        <v>SEPTEMBER 24 PLANNED</v>
      </c>
    </row>
    <row r="911" spans="1:11" x14ac:dyDescent="0.3">
      <c r="A911" s="7">
        <f t="shared" si="51"/>
        <v>5</v>
      </c>
      <c r="B911" s="5">
        <v>45561</v>
      </c>
      <c r="C911" s="6" t="s">
        <v>269</v>
      </c>
      <c r="D911" s="6">
        <v>24</v>
      </c>
      <c r="E911" s="7">
        <f>DAY(TableAopCalendar[[#This Row],[Date]])</f>
        <v>26</v>
      </c>
      <c r="F911" s="7">
        <f>IF(TableAopCalendar[[#This Row],[Day]]&lt;8,1,IF(TableAopCalendar[[#This Row],[Day]]&lt;15,2,IF(TableAopCalendar[[#This Row],[Day]]&lt;22,3,IF(TableAopCalendar[[#This Row],[Day]]&lt;29,4,IF(TableAopCalendar[[#This Row],[Day]]&lt;32,5)))))</f>
        <v>4</v>
      </c>
      <c r="G911" s="7" t="str">
        <f t="shared" si="52"/>
        <v>Week 4</v>
      </c>
      <c r="H911" s="7" t="str">
        <f t="shared" si="53"/>
        <v>September 24 Week 4</v>
      </c>
      <c r="I911" s="7" t="str">
        <f>CONCATENATE(UPPER(TableAopCalendar[[#This Row],[Month]])," ",TableAopCalendar[[#This Row],[Year]])</f>
        <v>SEPTEMBER 24</v>
      </c>
      <c r="J911" s="7" t="s">
        <v>274</v>
      </c>
      <c r="K911" s="7" t="str">
        <f>CONCATENATE(TableAopCalendar[[#This Row],[Month for Plan]]," ",TableAopCalendar[[#This Row],[Plan]])</f>
        <v>SEPTEMBER 24 PLANNED</v>
      </c>
    </row>
    <row r="912" spans="1:11" x14ac:dyDescent="0.3">
      <c r="A912" s="7">
        <f t="shared" si="51"/>
        <v>6</v>
      </c>
      <c r="B912" s="5">
        <v>45562</v>
      </c>
      <c r="C912" s="6" t="s">
        <v>269</v>
      </c>
      <c r="D912" s="6">
        <v>24</v>
      </c>
      <c r="E912" s="7">
        <f>DAY(TableAopCalendar[[#This Row],[Date]])</f>
        <v>27</v>
      </c>
      <c r="F912" s="7">
        <f>IF(TableAopCalendar[[#This Row],[Day]]&lt;8,1,IF(TableAopCalendar[[#This Row],[Day]]&lt;15,2,IF(TableAopCalendar[[#This Row],[Day]]&lt;22,3,IF(TableAopCalendar[[#This Row],[Day]]&lt;29,4,IF(TableAopCalendar[[#This Row],[Day]]&lt;32,5)))))</f>
        <v>4</v>
      </c>
      <c r="G912" s="7" t="str">
        <f t="shared" si="52"/>
        <v>Week 4</v>
      </c>
      <c r="H912" s="7" t="str">
        <f t="shared" si="53"/>
        <v>September 24 Week 4</v>
      </c>
      <c r="I912" s="7" t="str">
        <f>CONCATENATE(UPPER(TableAopCalendar[[#This Row],[Month]])," ",TableAopCalendar[[#This Row],[Year]])</f>
        <v>SEPTEMBER 24</v>
      </c>
      <c r="J912" s="7" t="s">
        <v>274</v>
      </c>
      <c r="K912" s="7" t="str">
        <f>CONCATENATE(TableAopCalendar[[#This Row],[Month for Plan]]," ",TableAopCalendar[[#This Row],[Plan]])</f>
        <v>SEPTEMBER 24 PLANNED</v>
      </c>
    </row>
    <row r="913" spans="1:11" x14ac:dyDescent="0.3">
      <c r="A913" s="7">
        <f t="shared" si="51"/>
        <v>7</v>
      </c>
      <c r="B913" s="5">
        <v>45563</v>
      </c>
      <c r="C913" s="6" t="s">
        <v>269</v>
      </c>
      <c r="D913" s="6">
        <v>24</v>
      </c>
      <c r="E913" s="7">
        <f>DAY(TableAopCalendar[[#This Row],[Date]])</f>
        <v>28</v>
      </c>
      <c r="F913" s="7">
        <f>IF(TableAopCalendar[[#This Row],[Day]]&lt;8,1,IF(TableAopCalendar[[#This Row],[Day]]&lt;15,2,IF(TableAopCalendar[[#This Row],[Day]]&lt;22,3,IF(TableAopCalendar[[#This Row],[Day]]&lt;29,4,IF(TableAopCalendar[[#This Row],[Day]]&lt;32,5)))))</f>
        <v>4</v>
      </c>
      <c r="G913" s="7" t="str">
        <f t="shared" si="52"/>
        <v>Week 4</v>
      </c>
      <c r="H913" s="7" t="str">
        <f t="shared" si="53"/>
        <v>September 24 Week 4</v>
      </c>
      <c r="I913" s="7" t="str">
        <f>CONCATENATE(UPPER(TableAopCalendar[[#This Row],[Month]])," ",TableAopCalendar[[#This Row],[Year]])</f>
        <v>SEPTEMBER 24</v>
      </c>
      <c r="J913" s="7" t="s">
        <v>274</v>
      </c>
      <c r="K913" s="7" t="str">
        <f>CONCATENATE(TableAopCalendar[[#This Row],[Month for Plan]]," ",TableAopCalendar[[#This Row],[Plan]])</f>
        <v>SEPTEMBER 24 PLANNED</v>
      </c>
    </row>
    <row r="914" spans="1:11" x14ac:dyDescent="0.3">
      <c r="A914" s="7">
        <f t="shared" si="51"/>
        <v>1</v>
      </c>
      <c r="B914" s="5">
        <v>45564</v>
      </c>
      <c r="C914" s="6" t="s">
        <v>269</v>
      </c>
      <c r="D914" s="6">
        <v>24</v>
      </c>
      <c r="E914" s="7">
        <f>DAY(TableAopCalendar[[#This Row],[Date]])</f>
        <v>29</v>
      </c>
      <c r="F914" s="7">
        <f>IF(TableAopCalendar[[#This Row],[Day]]&lt;8,1,IF(TableAopCalendar[[#This Row],[Day]]&lt;15,2,IF(TableAopCalendar[[#This Row],[Day]]&lt;22,3,IF(TableAopCalendar[[#This Row],[Day]]&lt;29,4,IF(TableAopCalendar[[#This Row],[Day]]&lt;32,5)))))</f>
        <v>5</v>
      </c>
      <c r="G914" s="7" t="str">
        <f t="shared" si="52"/>
        <v>Week 5</v>
      </c>
      <c r="H914" s="7" t="str">
        <f t="shared" si="53"/>
        <v>September 24 Week 5</v>
      </c>
      <c r="I914" s="7" t="str">
        <f>CONCATENATE(UPPER(TableAopCalendar[[#This Row],[Month]])," ",TableAopCalendar[[#This Row],[Year]])</f>
        <v>SEPTEMBER 24</v>
      </c>
      <c r="J914" s="7" t="s">
        <v>274</v>
      </c>
      <c r="K914" s="7" t="str">
        <f>CONCATENATE(TableAopCalendar[[#This Row],[Month for Plan]]," ",TableAopCalendar[[#This Row],[Plan]])</f>
        <v>SEPTEMBER 24 PLANNED</v>
      </c>
    </row>
    <row r="915" spans="1:11" x14ac:dyDescent="0.3">
      <c r="A915" s="7">
        <f t="shared" si="51"/>
        <v>2</v>
      </c>
      <c r="B915" s="5">
        <v>45565</v>
      </c>
      <c r="C915" s="6" t="s">
        <v>269</v>
      </c>
      <c r="D915" s="6">
        <v>24</v>
      </c>
      <c r="E915" s="7">
        <f>DAY(TableAopCalendar[[#This Row],[Date]])</f>
        <v>30</v>
      </c>
      <c r="F915" s="7">
        <f>IF(TableAopCalendar[[#This Row],[Day]]&lt;8,1,IF(TableAopCalendar[[#This Row],[Day]]&lt;15,2,IF(TableAopCalendar[[#This Row],[Day]]&lt;22,3,IF(TableAopCalendar[[#This Row],[Day]]&lt;29,4,IF(TableAopCalendar[[#This Row],[Day]]&lt;32,5)))))</f>
        <v>5</v>
      </c>
      <c r="G915" s="7" t="str">
        <f t="shared" si="52"/>
        <v>Week 5</v>
      </c>
      <c r="H915" s="7" t="str">
        <f t="shared" si="53"/>
        <v>September 24 Week 5</v>
      </c>
      <c r="I915" s="7" t="str">
        <f>CONCATENATE(UPPER(TableAopCalendar[[#This Row],[Month]])," ",TableAopCalendar[[#This Row],[Year]])</f>
        <v>SEPTEMBER 24</v>
      </c>
      <c r="J915" s="7" t="s">
        <v>274</v>
      </c>
      <c r="K915" s="7" t="str">
        <f>CONCATENATE(TableAopCalendar[[#This Row],[Month for Plan]]," ",TableAopCalendar[[#This Row],[Plan]])</f>
        <v>SEPTEMBER 24 PLANNED</v>
      </c>
    </row>
    <row r="916" spans="1:11" x14ac:dyDescent="0.3">
      <c r="A916" s="7">
        <f t="shared" si="51"/>
        <v>1</v>
      </c>
      <c r="B916" s="5">
        <v>45566</v>
      </c>
      <c r="C916" s="6" t="s">
        <v>114</v>
      </c>
      <c r="D916" s="6">
        <v>24</v>
      </c>
      <c r="E916" s="7">
        <f>DAY(TableAopCalendar[[#This Row],[Date]])</f>
        <v>1</v>
      </c>
      <c r="F916" s="7">
        <f>IF(TableAopCalendar[[#This Row],[Day]]&lt;8,1,IF(TableAopCalendar[[#This Row],[Day]]&lt;15,2,IF(TableAopCalendar[[#This Row],[Day]]&lt;22,3,IF(TableAopCalendar[[#This Row],[Day]]&lt;29,4,IF(TableAopCalendar[[#This Row],[Day]]&lt;32,5)))))</f>
        <v>1</v>
      </c>
      <c r="G916" s="7" t="str">
        <f t="shared" si="52"/>
        <v>Week 1</v>
      </c>
      <c r="H916" s="7" t="str">
        <f t="shared" si="53"/>
        <v>October 24 Week 1</v>
      </c>
      <c r="I916" s="7" t="str">
        <f>CONCATENATE(UPPER(TableAopCalendar[[#This Row],[Month]])," ",TableAopCalendar[[#This Row],[Year]])</f>
        <v>OCTOBER 24</v>
      </c>
      <c r="J916" s="7" t="s">
        <v>274</v>
      </c>
      <c r="K916" s="7" t="str">
        <f>CONCATENATE(TableAopCalendar[[#This Row],[Month for Plan]]," ",TableAopCalendar[[#This Row],[Plan]])</f>
        <v>OCTOBER 24 PLANNED</v>
      </c>
    </row>
    <row r="917" spans="1:11" x14ac:dyDescent="0.3">
      <c r="A917" s="7">
        <f t="shared" ref="A917:A948" si="54">IF(G917=G916,A916+1,1)</f>
        <v>2</v>
      </c>
      <c r="B917" s="5">
        <v>45567</v>
      </c>
      <c r="C917" s="6" t="s">
        <v>114</v>
      </c>
      <c r="D917" s="6">
        <v>24</v>
      </c>
      <c r="E917" s="7">
        <f>DAY(TableAopCalendar[[#This Row],[Date]])</f>
        <v>2</v>
      </c>
      <c r="F917" s="7">
        <f>IF(TableAopCalendar[[#This Row],[Day]]&lt;8,1,IF(TableAopCalendar[[#This Row],[Day]]&lt;15,2,IF(TableAopCalendar[[#This Row],[Day]]&lt;22,3,IF(TableAopCalendar[[#This Row],[Day]]&lt;29,4,IF(TableAopCalendar[[#This Row],[Day]]&lt;32,5)))))</f>
        <v>1</v>
      </c>
      <c r="G917" s="7" t="str">
        <f t="shared" ref="G917:G948" si="55">"Week"&amp;" "&amp;F917</f>
        <v>Week 1</v>
      </c>
      <c r="H917" s="7" t="str">
        <f t="shared" ref="H917:H948" si="56">CONCATENATE(C917," ",D917," ",G917)</f>
        <v>October 24 Week 1</v>
      </c>
      <c r="I917" s="7" t="str">
        <f>CONCATENATE(UPPER(TableAopCalendar[[#This Row],[Month]])," ",TableAopCalendar[[#This Row],[Year]])</f>
        <v>OCTOBER 24</v>
      </c>
      <c r="J917" s="7" t="s">
        <v>274</v>
      </c>
      <c r="K917" s="7" t="str">
        <f>CONCATENATE(TableAopCalendar[[#This Row],[Month for Plan]]," ",TableAopCalendar[[#This Row],[Plan]])</f>
        <v>OCTOBER 24 PLANNED</v>
      </c>
    </row>
    <row r="918" spans="1:11" x14ac:dyDescent="0.3">
      <c r="A918" s="7">
        <f t="shared" si="54"/>
        <v>3</v>
      </c>
      <c r="B918" s="5">
        <v>45568</v>
      </c>
      <c r="C918" s="6" t="s">
        <v>114</v>
      </c>
      <c r="D918" s="6">
        <v>24</v>
      </c>
      <c r="E918" s="7">
        <f>DAY(TableAopCalendar[[#This Row],[Date]])</f>
        <v>3</v>
      </c>
      <c r="F918" s="7">
        <f>IF(TableAopCalendar[[#This Row],[Day]]&lt;8,1,IF(TableAopCalendar[[#This Row],[Day]]&lt;15,2,IF(TableAopCalendar[[#This Row],[Day]]&lt;22,3,IF(TableAopCalendar[[#This Row],[Day]]&lt;29,4,IF(TableAopCalendar[[#This Row],[Day]]&lt;32,5)))))</f>
        <v>1</v>
      </c>
      <c r="G918" s="7" t="str">
        <f t="shared" si="55"/>
        <v>Week 1</v>
      </c>
      <c r="H918" s="7" t="str">
        <f t="shared" si="56"/>
        <v>October 24 Week 1</v>
      </c>
      <c r="I918" s="7" t="str">
        <f>CONCATENATE(UPPER(TableAopCalendar[[#This Row],[Month]])," ",TableAopCalendar[[#This Row],[Year]])</f>
        <v>OCTOBER 24</v>
      </c>
      <c r="J918" s="7" t="s">
        <v>274</v>
      </c>
      <c r="K918" s="7" t="str">
        <f>CONCATENATE(TableAopCalendar[[#This Row],[Month for Plan]]," ",TableAopCalendar[[#This Row],[Plan]])</f>
        <v>OCTOBER 24 PLANNED</v>
      </c>
    </row>
    <row r="919" spans="1:11" x14ac:dyDescent="0.3">
      <c r="A919" s="7">
        <f t="shared" si="54"/>
        <v>4</v>
      </c>
      <c r="B919" s="5">
        <v>45569</v>
      </c>
      <c r="C919" s="6" t="s">
        <v>114</v>
      </c>
      <c r="D919" s="6">
        <v>24</v>
      </c>
      <c r="E919" s="7">
        <f>DAY(TableAopCalendar[[#This Row],[Date]])</f>
        <v>4</v>
      </c>
      <c r="F919" s="7">
        <f>IF(TableAopCalendar[[#This Row],[Day]]&lt;8,1,IF(TableAopCalendar[[#This Row],[Day]]&lt;15,2,IF(TableAopCalendar[[#This Row],[Day]]&lt;22,3,IF(TableAopCalendar[[#This Row],[Day]]&lt;29,4,IF(TableAopCalendar[[#This Row],[Day]]&lt;32,5)))))</f>
        <v>1</v>
      </c>
      <c r="G919" s="7" t="str">
        <f t="shared" si="55"/>
        <v>Week 1</v>
      </c>
      <c r="H919" s="7" t="str">
        <f t="shared" si="56"/>
        <v>October 24 Week 1</v>
      </c>
      <c r="I919" s="7" t="str">
        <f>CONCATENATE(UPPER(TableAopCalendar[[#This Row],[Month]])," ",TableAopCalendar[[#This Row],[Year]])</f>
        <v>OCTOBER 24</v>
      </c>
      <c r="J919" s="7" t="s">
        <v>274</v>
      </c>
      <c r="K919" s="7" t="str">
        <f>CONCATENATE(TableAopCalendar[[#This Row],[Month for Plan]]," ",TableAopCalendar[[#This Row],[Plan]])</f>
        <v>OCTOBER 24 PLANNED</v>
      </c>
    </row>
    <row r="920" spans="1:11" x14ac:dyDescent="0.3">
      <c r="A920" s="7">
        <f t="shared" si="54"/>
        <v>5</v>
      </c>
      <c r="B920" s="5">
        <v>45570</v>
      </c>
      <c r="C920" s="6" t="s">
        <v>114</v>
      </c>
      <c r="D920" s="6">
        <v>24</v>
      </c>
      <c r="E920" s="7">
        <f>DAY(TableAopCalendar[[#This Row],[Date]])</f>
        <v>5</v>
      </c>
      <c r="F920" s="7">
        <f>IF(TableAopCalendar[[#This Row],[Day]]&lt;8,1,IF(TableAopCalendar[[#This Row],[Day]]&lt;15,2,IF(TableAopCalendar[[#This Row],[Day]]&lt;22,3,IF(TableAopCalendar[[#This Row],[Day]]&lt;29,4,IF(TableAopCalendar[[#This Row],[Day]]&lt;32,5)))))</f>
        <v>1</v>
      </c>
      <c r="G920" s="7" t="str">
        <f t="shared" si="55"/>
        <v>Week 1</v>
      </c>
      <c r="H920" s="7" t="str">
        <f t="shared" si="56"/>
        <v>October 24 Week 1</v>
      </c>
      <c r="I920" s="7" t="str">
        <f>CONCATENATE(UPPER(TableAopCalendar[[#This Row],[Month]])," ",TableAopCalendar[[#This Row],[Year]])</f>
        <v>OCTOBER 24</v>
      </c>
      <c r="J920" s="7" t="s">
        <v>274</v>
      </c>
      <c r="K920" s="7" t="str">
        <f>CONCATENATE(TableAopCalendar[[#This Row],[Month for Plan]]," ",TableAopCalendar[[#This Row],[Plan]])</f>
        <v>OCTOBER 24 PLANNED</v>
      </c>
    </row>
    <row r="921" spans="1:11" x14ac:dyDescent="0.3">
      <c r="A921" s="7">
        <f t="shared" si="54"/>
        <v>6</v>
      </c>
      <c r="B921" s="5">
        <v>45571</v>
      </c>
      <c r="C921" s="6" t="s">
        <v>114</v>
      </c>
      <c r="D921" s="6">
        <v>24</v>
      </c>
      <c r="E921" s="7">
        <f>DAY(TableAopCalendar[[#This Row],[Date]])</f>
        <v>6</v>
      </c>
      <c r="F921" s="7">
        <f>IF(TableAopCalendar[[#This Row],[Day]]&lt;8,1,IF(TableAopCalendar[[#This Row],[Day]]&lt;15,2,IF(TableAopCalendar[[#This Row],[Day]]&lt;22,3,IF(TableAopCalendar[[#This Row],[Day]]&lt;29,4,IF(TableAopCalendar[[#This Row],[Day]]&lt;32,5)))))</f>
        <v>1</v>
      </c>
      <c r="G921" s="7" t="str">
        <f t="shared" si="55"/>
        <v>Week 1</v>
      </c>
      <c r="H921" s="7" t="str">
        <f t="shared" si="56"/>
        <v>October 24 Week 1</v>
      </c>
      <c r="I921" s="7" t="str">
        <f>CONCATENATE(UPPER(TableAopCalendar[[#This Row],[Month]])," ",TableAopCalendar[[#This Row],[Year]])</f>
        <v>OCTOBER 24</v>
      </c>
      <c r="J921" s="7" t="s">
        <v>274</v>
      </c>
      <c r="K921" s="7" t="str">
        <f>CONCATENATE(TableAopCalendar[[#This Row],[Month for Plan]]," ",TableAopCalendar[[#This Row],[Plan]])</f>
        <v>OCTOBER 24 PLANNED</v>
      </c>
    </row>
    <row r="922" spans="1:11" x14ac:dyDescent="0.3">
      <c r="A922" s="7">
        <f t="shared" si="54"/>
        <v>7</v>
      </c>
      <c r="B922" s="5">
        <v>45572</v>
      </c>
      <c r="C922" s="6" t="s">
        <v>114</v>
      </c>
      <c r="D922" s="6">
        <v>24</v>
      </c>
      <c r="E922" s="7">
        <f>DAY(TableAopCalendar[[#This Row],[Date]])</f>
        <v>7</v>
      </c>
      <c r="F922" s="7">
        <f>IF(TableAopCalendar[[#This Row],[Day]]&lt;8,1,IF(TableAopCalendar[[#This Row],[Day]]&lt;15,2,IF(TableAopCalendar[[#This Row],[Day]]&lt;22,3,IF(TableAopCalendar[[#This Row],[Day]]&lt;29,4,IF(TableAopCalendar[[#This Row],[Day]]&lt;32,5)))))</f>
        <v>1</v>
      </c>
      <c r="G922" s="7" t="str">
        <f t="shared" si="55"/>
        <v>Week 1</v>
      </c>
      <c r="H922" s="7" t="str">
        <f t="shared" si="56"/>
        <v>October 24 Week 1</v>
      </c>
      <c r="I922" s="7" t="str">
        <f>CONCATENATE(UPPER(TableAopCalendar[[#This Row],[Month]])," ",TableAopCalendar[[#This Row],[Year]])</f>
        <v>OCTOBER 24</v>
      </c>
      <c r="J922" s="7" t="s">
        <v>274</v>
      </c>
      <c r="K922" s="7" t="str">
        <f>CONCATENATE(TableAopCalendar[[#This Row],[Month for Plan]]," ",TableAopCalendar[[#This Row],[Plan]])</f>
        <v>OCTOBER 24 PLANNED</v>
      </c>
    </row>
    <row r="923" spans="1:11" x14ac:dyDescent="0.3">
      <c r="A923" s="7">
        <f t="shared" si="54"/>
        <v>1</v>
      </c>
      <c r="B923" s="5">
        <v>45573</v>
      </c>
      <c r="C923" s="6" t="s">
        <v>114</v>
      </c>
      <c r="D923" s="6">
        <v>24</v>
      </c>
      <c r="E923" s="7">
        <f>DAY(TableAopCalendar[[#This Row],[Date]])</f>
        <v>8</v>
      </c>
      <c r="F923" s="7">
        <f>IF(TableAopCalendar[[#This Row],[Day]]&lt;8,1,IF(TableAopCalendar[[#This Row],[Day]]&lt;15,2,IF(TableAopCalendar[[#This Row],[Day]]&lt;22,3,IF(TableAopCalendar[[#This Row],[Day]]&lt;29,4,IF(TableAopCalendar[[#This Row],[Day]]&lt;32,5)))))</f>
        <v>2</v>
      </c>
      <c r="G923" s="7" t="str">
        <f t="shared" si="55"/>
        <v>Week 2</v>
      </c>
      <c r="H923" s="7" t="str">
        <f t="shared" si="56"/>
        <v>October 24 Week 2</v>
      </c>
      <c r="I923" s="7" t="str">
        <f>CONCATENATE(UPPER(TableAopCalendar[[#This Row],[Month]])," ",TableAopCalendar[[#This Row],[Year]])</f>
        <v>OCTOBER 24</v>
      </c>
      <c r="J923" s="7" t="s">
        <v>274</v>
      </c>
      <c r="K923" s="7" t="str">
        <f>CONCATENATE(TableAopCalendar[[#This Row],[Month for Plan]]," ",TableAopCalendar[[#This Row],[Plan]])</f>
        <v>OCTOBER 24 PLANNED</v>
      </c>
    </row>
    <row r="924" spans="1:11" x14ac:dyDescent="0.3">
      <c r="A924" s="7">
        <f t="shared" si="54"/>
        <v>2</v>
      </c>
      <c r="B924" s="5">
        <v>45574</v>
      </c>
      <c r="C924" s="6" t="s">
        <v>114</v>
      </c>
      <c r="D924" s="6">
        <v>24</v>
      </c>
      <c r="E924" s="7">
        <f>DAY(TableAopCalendar[[#This Row],[Date]])</f>
        <v>9</v>
      </c>
      <c r="F924" s="7">
        <f>IF(TableAopCalendar[[#This Row],[Day]]&lt;8,1,IF(TableAopCalendar[[#This Row],[Day]]&lt;15,2,IF(TableAopCalendar[[#This Row],[Day]]&lt;22,3,IF(TableAopCalendar[[#This Row],[Day]]&lt;29,4,IF(TableAopCalendar[[#This Row],[Day]]&lt;32,5)))))</f>
        <v>2</v>
      </c>
      <c r="G924" s="7" t="str">
        <f t="shared" si="55"/>
        <v>Week 2</v>
      </c>
      <c r="H924" s="7" t="str">
        <f t="shared" si="56"/>
        <v>October 24 Week 2</v>
      </c>
      <c r="I924" s="7" t="str">
        <f>CONCATENATE(UPPER(TableAopCalendar[[#This Row],[Month]])," ",TableAopCalendar[[#This Row],[Year]])</f>
        <v>OCTOBER 24</v>
      </c>
      <c r="J924" s="7" t="s">
        <v>274</v>
      </c>
      <c r="K924" s="7" t="str">
        <f>CONCATENATE(TableAopCalendar[[#This Row],[Month for Plan]]," ",TableAopCalendar[[#This Row],[Plan]])</f>
        <v>OCTOBER 24 PLANNED</v>
      </c>
    </row>
    <row r="925" spans="1:11" x14ac:dyDescent="0.3">
      <c r="A925" s="7">
        <f t="shared" si="54"/>
        <v>3</v>
      </c>
      <c r="B925" s="5">
        <v>45575</v>
      </c>
      <c r="C925" s="6" t="s">
        <v>114</v>
      </c>
      <c r="D925" s="6">
        <v>24</v>
      </c>
      <c r="E925" s="7">
        <f>DAY(TableAopCalendar[[#This Row],[Date]])</f>
        <v>10</v>
      </c>
      <c r="F925" s="7">
        <f>IF(TableAopCalendar[[#This Row],[Day]]&lt;8,1,IF(TableAopCalendar[[#This Row],[Day]]&lt;15,2,IF(TableAopCalendar[[#This Row],[Day]]&lt;22,3,IF(TableAopCalendar[[#This Row],[Day]]&lt;29,4,IF(TableAopCalendar[[#This Row],[Day]]&lt;32,5)))))</f>
        <v>2</v>
      </c>
      <c r="G925" s="7" t="str">
        <f t="shared" si="55"/>
        <v>Week 2</v>
      </c>
      <c r="H925" s="7" t="str">
        <f t="shared" si="56"/>
        <v>October 24 Week 2</v>
      </c>
      <c r="I925" s="7" t="str">
        <f>CONCATENATE(UPPER(TableAopCalendar[[#This Row],[Month]])," ",TableAopCalendar[[#This Row],[Year]])</f>
        <v>OCTOBER 24</v>
      </c>
      <c r="J925" s="7" t="s">
        <v>274</v>
      </c>
      <c r="K925" s="7" t="str">
        <f>CONCATENATE(TableAopCalendar[[#This Row],[Month for Plan]]," ",TableAopCalendar[[#This Row],[Plan]])</f>
        <v>OCTOBER 24 PLANNED</v>
      </c>
    </row>
    <row r="926" spans="1:11" x14ac:dyDescent="0.3">
      <c r="A926" s="7">
        <f t="shared" si="54"/>
        <v>4</v>
      </c>
      <c r="B926" s="5">
        <v>45576</v>
      </c>
      <c r="C926" s="6" t="s">
        <v>114</v>
      </c>
      <c r="D926" s="6">
        <v>24</v>
      </c>
      <c r="E926" s="7">
        <f>DAY(TableAopCalendar[[#This Row],[Date]])</f>
        <v>11</v>
      </c>
      <c r="F926" s="7">
        <f>IF(TableAopCalendar[[#This Row],[Day]]&lt;8,1,IF(TableAopCalendar[[#This Row],[Day]]&lt;15,2,IF(TableAopCalendar[[#This Row],[Day]]&lt;22,3,IF(TableAopCalendar[[#This Row],[Day]]&lt;29,4,IF(TableAopCalendar[[#This Row],[Day]]&lt;32,5)))))</f>
        <v>2</v>
      </c>
      <c r="G926" s="7" t="str">
        <f t="shared" si="55"/>
        <v>Week 2</v>
      </c>
      <c r="H926" s="7" t="str">
        <f t="shared" si="56"/>
        <v>October 24 Week 2</v>
      </c>
      <c r="I926" s="7" t="str">
        <f>CONCATENATE(UPPER(TableAopCalendar[[#This Row],[Month]])," ",TableAopCalendar[[#This Row],[Year]])</f>
        <v>OCTOBER 24</v>
      </c>
      <c r="J926" s="7" t="s">
        <v>274</v>
      </c>
      <c r="K926" s="7" t="str">
        <f>CONCATENATE(TableAopCalendar[[#This Row],[Month for Plan]]," ",TableAopCalendar[[#This Row],[Plan]])</f>
        <v>OCTOBER 24 PLANNED</v>
      </c>
    </row>
    <row r="927" spans="1:11" x14ac:dyDescent="0.3">
      <c r="A927" s="7">
        <f t="shared" si="54"/>
        <v>5</v>
      </c>
      <c r="B927" s="5">
        <v>45577</v>
      </c>
      <c r="C927" s="6" t="s">
        <v>114</v>
      </c>
      <c r="D927" s="6">
        <v>24</v>
      </c>
      <c r="E927" s="7">
        <f>DAY(TableAopCalendar[[#This Row],[Date]])</f>
        <v>12</v>
      </c>
      <c r="F927" s="7">
        <f>IF(TableAopCalendar[[#This Row],[Day]]&lt;8,1,IF(TableAopCalendar[[#This Row],[Day]]&lt;15,2,IF(TableAopCalendar[[#This Row],[Day]]&lt;22,3,IF(TableAopCalendar[[#This Row],[Day]]&lt;29,4,IF(TableAopCalendar[[#This Row],[Day]]&lt;32,5)))))</f>
        <v>2</v>
      </c>
      <c r="G927" s="7" t="str">
        <f t="shared" si="55"/>
        <v>Week 2</v>
      </c>
      <c r="H927" s="7" t="str">
        <f t="shared" si="56"/>
        <v>October 24 Week 2</v>
      </c>
      <c r="I927" s="7" t="str">
        <f>CONCATENATE(UPPER(TableAopCalendar[[#This Row],[Month]])," ",TableAopCalendar[[#This Row],[Year]])</f>
        <v>OCTOBER 24</v>
      </c>
      <c r="J927" s="7" t="s">
        <v>274</v>
      </c>
      <c r="K927" s="7" t="str">
        <f>CONCATENATE(TableAopCalendar[[#This Row],[Month for Plan]]," ",TableAopCalendar[[#This Row],[Plan]])</f>
        <v>OCTOBER 24 PLANNED</v>
      </c>
    </row>
    <row r="928" spans="1:11" x14ac:dyDescent="0.3">
      <c r="A928" s="7">
        <f t="shared" si="54"/>
        <v>6</v>
      </c>
      <c r="B928" s="5">
        <v>45578</v>
      </c>
      <c r="C928" s="6" t="s">
        <v>114</v>
      </c>
      <c r="D928" s="6">
        <v>24</v>
      </c>
      <c r="E928" s="7">
        <f>DAY(TableAopCalendar[[#This Row],[Date]])</f>
        <v>13</v>
      </c>
      <c r="F928" s="7">
        <f>IF(TableAopCalendar[[#This Row],[Day]]&lt;8,1,IF(TableAopCalendar[[#This Row],[Day]]&lt;15,2,IF(TableAopCalendar[[#This Row],[Day]]&lt;22,3,IF(TableAopCalendar[[#This Row],[Day]]&lt;29,4,IF(TableAopCalendar[[#This Row],[Day]]&lt;32,5)))))</f>
        <v>2</v>
      </c>
      <c r="G928" s="7" t="str">
        <f t="shared" si="55"/>
        <v>Week 2</v>
      </c>
      <c r="H928" s="7" t="str">
        <f t="shared" si="56"/>
        <v>October 24 Week 2</v>
      </c>
      <c r="I928" s="7" t="str">
        <f>CONCATENATE(UPPER(TableAopCalendar[[#This Row],[Month]])," ",TableAopCalendar[[#This Row],[Year]])</f>
        <v>OCTOBER 24</v>
      </c>
      <c r="J928" s="7" t="s">
        <v>274</v>
      </c>
      <c r="K928" s="7" t="str">
        <f>CONCATENATE(TableAopCalendar[[#This Row],[Month for Plan]]," ",TableAopCalendar[[#This Row],[Plan]])</f>
        <v>OCTOBER 24 PLANNED</v>
      </c>
    </row>
    <row r="929" spans="1:11" x14ac:dyDescent="0.3">
      <c r="A929" s="7">
        <f t="shared" si="54"/>
        <v>7</v>
      </c>
      <c r="B929" s="5">
        <v>45579</v>
      </c>
      <c r="C929" s="6" t="s">
        <v>114</v>
      </c>
      <c r="D929" s="6">
        <v>24</v>
      </c>
      <c r="E929" s="7">
        <f>DAY(TableAopCalendar[[#This Row],[Date]])</f>
        <v>14</v>
      </c>
      <c r="F929" s="7">
        <f>IF(TableAopCalendar[[#This Row],[Day]]&lt;8,1,IF(TableAopCalendar[[#This Row],[Day]]&lt;15,2,IF(TableAopCalendar[[#This Row],[Day]]&lt;22,3,IF(TableAopCalendar[[#This Row],[Day]]&lt;29,4,IF(TableAopCalendar[[#This Row],[Day]]&lt;32,5)))))</f>
        <v>2</v>
      </c>
      <c r="G929" s="7" t="str">
        <f t="shared" si="55"/>
        <v>Week 2</v>
      </c>
      <c r="H929" s="7" t="str">
        <f t="shared" si="56"/>
        <v>October 24 Week 2</v>
      </c>
      <c r="I929" s="7" t="str">
        <f>CONCATENATE(UPPER(TableAopCalendar[[#This Row],[Month]])," ",TableAopCalendar[[#This Row],[Year]])</f>
        <v>OCTOBER 24</v>
      </c>
      <c r="J929" s="7" t="s">
        <v>274</v>
      </c>
      <c r="K929" s="7" t="str">
        <f>CONCATENATE(TableAopCalendar[[#This Row],[Month for Plan]]," ",TableAopCalendar[[#This Row],[Plan]])</f>
        <v>OCTOBER 24 PLANNED</v>
      </c>
    </row>
    <row r="930" spans="1:11" x14ac:dyDescent="0.3">
      <c r="A930" s="7">
        <f t="shared" si="54"/>
        <v>1</v>
      </c>
      <c r="B930" s="5">
        <v>45580</v>
      </c>
      <c r="C930" s="6" t="s">
        <v>114</v>
      </c>
      <c r="D930" s="6">
        <v>24</v>
      </c>
      <c r="E930" s="7">
        <f>DAY(TableAopCalendar[[#This Row],[Date]])</f>
        <v>15</v>
      </c>
      <c r="F930" s="7">
        <f>IF(TableAopCalendar[[#This Row],[Day]]&lt;8,1,IF(TableAopCalendar[[#This Row],[Day]]&lt;15,2,IF(TableAopCalendar[[#This Row],[Day]]&lt;22,3,IF(TableAopCalendar[[#This Row],[Day]]&lt;29,4,IF(TableAopCalendar[[#This Row],[Day]]&lt;32,5)))))</f>
        <v>3</v>
      </c>
      <c r="G930" s="7" t="str">
        <f t="shared" si="55"/>
        <v>Week 3</v>
      </c>
      <c r="H930" s="7" t="str">
        <f t="shared" si="56"/>
        <v>October 24 Week 3</v>
      </c>
      <c r="I930" s="7" t="str">
        <f>CONCATENATE(UPPER(TableAopCalendar[[#This Row],[Month]])," ",TableAopCalendar[[#This Row],[Year]])</f>
        <v>OCTOBER 24</v>
      </c>
      <c r="J930" s="7" t="s">
        <v>274</v>
      </c>
      <c r="K930" s="7" t="str">
        <f>CONCATENATE(TableAopCalendar[[#This Row],[Month for Plan]]," ",TableAopCalendar[[#This Row],[Plan]])</f>
        <v>OCTOBER 24 PLANNED</v>
      </c>
    </row>
    <row r="931" spans="1:11" x14ac:dyDescent="0.3">
      <c r="A931" s="7">
        <f t="shared" si="54"/>
        <v>2</v>
      </c>
      <c r="B931" s="5">
        <v>45581</v>
      </c>
      <c r="C931" s="6" t="s">
        <v>114</v>
      </c>
      <c r="D931" s="6">
        <v>24</v>
      </c>
      <c r="E931" s="7">
        <f>DAY(TableAopCalendar[[#This Row],[Date]])</f>
        <v>16</v>
      </c>
      <c r="F931" s="7">
        <f>IF(TableAopCalendar[[#This Row],[Day]]&lt;8,1,IF(TableAopCalendar[[#This Row],[Day]]&lt;15,2,IF(TableAopCalendar[[#This Row],[Day]]&lt;22,3,IF(TableAopCalendar[[#This Row],[Day]]&lt;29,4,IF(TableAopCalendar[[#This Row],[Day]]&lt;32,5)))))</f>
        <v>3</v>
      </c>
      <c r="G931" s="7" t="str">
        <f t="shared" si="55"/>
        <v>Week 3</v>
      </c>
      <c r="H931" s="7" t="str">
        <f t="shared" si="56"/>
        <v>October 24 Week 3</v>
      </c>
      <c r="I931" s="7" t="str">
        <f>CONCATENATE(UPPER(TableAopCalendar[[#This Row],[Month]])," ",TableAopCalendar[[#This Row],[Year]])</f>
        <v>OCTOBER 24</v>
      </c>
      <c r="J931" s="7" t="s">
        <v>274</v>
      </c>
      <c r="K931" s="7" t="str">
        <f>CONCATENATE(TableAopCalendar[[#This Row],[Month for Plan]]," ",TableAopCalendar[[#This Row],[Plan]])</f>
        <v>OCTOBER 24 PLANNED</v>
      </c>
    </row>
    <row r="932" spans="1:11" x14ac:dyDescent="0.3">
      <c r="A932" s="7">
        <f t="shared" si="54"/>
        <v>3</v>
      </c>
      <c r="B932" s="5">
        <v>45582</v>
      </c>
      <c r="C932" s="6" t="s">
        <v>114</v>
      </c>
      <c r="D932" s="6">
        <v>24</v>
      </c>
      <c r="E932" s="7">
        <f>DAY(TableAopCalendar[[#This Row],[Date]])</f>
        <v>17</v>
      </c>
      <c r="F932" s="7">
        <f>IF(TableAopCalendar[[#This Row],[Day]]&lt;8,1,IF(TableAopCalendar[[#This Row],[Day]]&lt;15,2,IF(TableAopCalendar[[#This Row],[Day]]&lt;22,3,IF(TableAopCalendar[[#This Row],[Day]]&lt;29,4,IF(TableAopCalendar[[#This Row],[Day]]&lt;32,5)))))</f>
        <v>3</v>
      </c>
      <c r="G932" s="7" t="str">
        <f t="shared" si="55"/>
        <v>Week 3</v>
      </c>
      <c r="H932" s="7" t="str">
        <f t="shared" si="56"/>
        <v>October 24 Week 3</v>
      </c>
      <c r="I932" s="7" t="str">
        <f>CONCATENATE(UPPER(TableAopCalendar[[#This Row],[Month]])," ",TableAopCalendar[[#This Row],[Year]])</f>
        <v>OCTOBER 24</v>
      </c>
      <c r="J932" s="7" t="s">
        <v>274</v>
      </c>
      <c r="K932" s="7" t="str">
        <f>CONCATENATE(TableAopCalendar[[#This Row],[Month for Plan]]," ",TableAopCalendar[[#This Row],[Plan]])</f>
        <v>OCTOBER 24 PLANNED</v>
      </c>
    </row>
    <row r="933" spans="1:11" x14ac:dyDescent="0.3">
      <c r="A933" s="7">
        <f t="shared" si="54"/>
        <v>4</v>
      </c>
      <c r="B933" s="5">
        <v>45583</v>
      </c>
      <c r="C933" s="6" t="s">
        <v>114</v>
      </c>
      <c r="D933" s="6">
        <v>24</v>
      </c>
      <c r="E933" s="7">
        <f>DAY(TableAopCalendar[[#This Row],[Date]])</f>
        <v>18</v>
      </c>
      <c r="F933" s="7">
        <f>IF(TableAopCalendar[[#This Row],[Day]]&lt;8,1,IF(TableAopCalendar[[#This Row],[Day]]&lt;15,2,IF(TableAopCalendar[[#This Row],[Day]]&lt;22,3,IF(TableAopCalendar[[#This Row],[Day]]&lt;29,4,IF(TableAopCalendar[[#This Row],[Day]]&lt;32,5)))))</f>
        <v>3</v>
      </c>
      <c r="G933" s="7" t="str">
        <f t="shared" si="55"/>
        <v>Week 3</v>
      </c>
      <c r="H933" s="7" t="str">
        <f t="shared" si="56"/>
        <v>October 24 Week 3</v>
      </c>
      <c r="I933" s="7" t="str">
        <f>CONCATENATE(UPPER(TableAopCalendar[[#This Row],[Month]])," ",TableAopCalendar[[#This Row],[Year]])</f>
        <v>OCTOBER 24</v>
      </c>
      <c r="J933" s="7" t="s">
        <v>274</v>
      </c>
      <c r="K933" s="7" t="str">
        <f>CONCATENATE(TableAopCalendar[[#This Row],[Month for Plan]]," ",TableAopCalendar[[#This Row],[Plan]])</f>
        <v>OCTOBER 24 PLANNED</v>
      </c>
    </row>
    <row r="934" spans="1:11" x14ac:dyDescent="0.3">
      <c r="A934" s="7">
        <f t="shared" si="54"/>
        <v>5</v>
      </c>
      <c r="B934" s="5">
        <v>45584</v>
      </c>
      <c r="C934" s="6" t="s">
        <v>114</v>
      </c>
      <c r="D934" s="6">
        <v>24</v>
      </c>
      <c r="E934" s="7">
        <f>DAY(TableAopCalendar[[#This Row],[Date]])</f>
        <v>19</v>
      </c>
      <c r="F934" s="7">
        <f>IF(TableAopCalendar[[#This Row],[Day]]&lt;8,1,IF(TableAopCalendar[[#This Row],[Day]]&lt;15,2,IF(TableAopCalendar[[#This Row],[Day]]&lt;22,3,IF(TableAopCalendar[[#This Row],[Day]]&lt;29,4,IF(TableAopCalendar[[#This Row],[Day]]&lt;32,5)))))</f>
        <v>3</v>
      </c>
      <c r="G934" s="7" t="str">
        <f t="shared" si="55"/>
        <v>Week 3</v>
      </c>
      <c r="H934" s="7" t="str">
        <f t="shared" si="56"/>
        <v>October 24 Week 3</v>
      </c>
      <c r="I934" s="7" t="str">
        <f>CONCATENATE(UPPER(TableAopCalendar[[#This Row],[Month]])," ",TableAopCalendar[[#This Row],[Year]])</f>
        <v>OCTOBER 24</v>
      </c>
      <c r="J934" s="7" t="s">
        <v>274</v>
      </c>
      <c r="K934" s="7" t="str">
        <f>CONCATENATE(TableAopCalendar[[#This Row],[Month for Plan]]," ",TableAopCalendar[[#This Row],[Plan]])</f>
        <v>OCTOBER 24 PLANNED</v>
      </c>
    </row>
    <row r="935" spans="1:11" x14ac:dyDescent="0.3">
      <c r="A935" s="7">
        <f t="shared" si="54"/>
        <v>6</v>
      </c>
      <c r="B935" s="5">
        <v>45585</v>
      </c>
      <c r="C935" s="6" t="s">
        <v>114</v>
      </c>
      <c r="D935" s="6">
        <v>24</v>
      </c>
      <c r="E935" s="7">
        <f>DAY(TableAopCalendar[[#This Row],[Date]])</f>
        <v>20</v>
      </c>
      <c r="F935" s="7">
        <f>IF(TableAopCalendar[[#This Row],[Day]]&lt;8,1,IF(TableAopCalendar[[#This Row],[Day]]&lt;15,2,IF(TableAopCalendar[[#This Row],[Day]]&lt;22,3,IF(TableAopCalendar[[#This Row],[Day]]&lt;29,4,IF(TableAopCalendar[[#This Row],[Day]]&lt;32,5)))))</f>
        <v>3</v>
      </c>
      <c r="G935" s="7" t="str">
        <f t="shared" si="55"/>
        <v>Week 3</v>
      </c>
      <c r="H935" s="7" t="str">
        <f t="shared" si="56"/>
        <v>October 24 Week 3</v>
      </c>
      <c r="I935" s="7" t="str">
        <f>CONCATENATE(UPPER(TableAopCalendar[[#This Row],[Month]])," ",TableAopCalendar[[#This Row],[Year]])</f>
        <v>OCTOBER 24</v>
      </c>
      <c r="J935" s="7" t="s">
        <v>274</v>
      </c>
      <c r="K935" s="7" t="str">
        <f>CONCATENATE(TableAopCalendar[[#This Row],[Month for Plan]]," ",TableAopCalendar[[#This Row],[Plan]])</f>
        <v>OCTOBER 24 PLANNED</v>
      </c>
    </row>
    <row r="936" spans="1:11" x14ac:dyDescent="0.3">
      <c r="A936" s="7">
        <f t="shared" si="54"/>
        <v>7</v>
      </c>
      <c r="B936" s="5">
        <v>45586</v>
      </c>
      <c r="C936" s="6" t="s">
        <v>114</v>
      </c>
      <c r="D936" s="6">
        <v>24</v>
      </c>
      <c r="E936" s="7">
        <f>DAY(TableAopCalendar[[#This Row],[Date]])</f>
        <v>21</v>
      </c>
      <c r="F936" s="7">
        <f>IF(TableAopCalendar[[#This Row],[Day]]&lt;8,1,IF(TableAopCalendar[[#This Row],[Day]]&lt;15,2,IF(TableAopCalendar[[#This Row],[Day]]&lt;22,3,IF(TableAopCalendar[[#This Row],[Day]]&lt;29,4,IF(TableAopCalendar[[#This Row],[Day]]&lt;32,5)))))</f>
        <v>3</v>
      </c>
      <c r="G936" s="7" t="str">
        <f t="shared" si="55"/>
        <v>Week 3</v>
      </c>
      <c r="H936" s="7" t="str">
        <f t="shared" si="56"/>
        <v>October 24 Week 3</v>
      </c>
      <c r="I936" s="7" t="str">
        <f>CONCATENATE(UPPER(TableAopCalendar[[#This Row],[Month]])," ",TableAopCalendar[[#This Row],[Year]])</f>
        <v>OCTOBER 24</v>
      </c>
      <c r="J936" s="7" t="s">
        <v>274</v>
      </c>
      <c r="K936" s="7" t="str">
        <f>CONCATENATE(TableAopCalendar[[#This Row],[Month for Plan]]," ",TableAopCalendar[[#This Row],[Plan]])</f>
        <v>OCTOBER 24 PLANNED</v>
      </c>
    </row>
    <row r="937" spans="1:11" x14ac:dyDescent="0.3">
      <c r="A937" s="7">
        <f t="shared" si="54"/>
        <v>1</v>
      </c>
      <c r="B937" s="5">
        <v>45587</v>
      </c>
      <c r="C937" s="6" t="s">
        <v>114</v>
      </c>
      <c r="D937" s="6">
        <v>24</v>
      </c>
      <c r="E937" s="7">
        <f>DAY(TableAopCalendar[[#This Row],[Date]])</f>
        <v>22</v>
      </c>
      <c r="F937" s="7">
        <f>IF(TableAopCalendar[[#This Row],[Day]]&lt;8,1,IF(TableAopCalendar[[#This Row],[Day]]&lt;15,2,IF(TableAopCalendar[[#This Row],[Day]]&lt;22,3,IF(TableAopCalendar[[#This Row],[Day]]&lt;29,4,IF(TableAopCalendar[[#This Row],[Day]]&lt;32,5)))))</f>
        <v>4</v>
      </c>
      <c r="G937" s="7" t="str">
        <f t="shared" si="55"/>
        <v>Week 4</v>
      </c>
      <c r="H937" s="7" t="str">
        <f t="shared" si="56"/>
        <v>October 24 Week 4</v>
      </c>
      <c r="I937" s="7" t="str">
        <f>CONCATENATE(UPPER(TableAopCalendar[[#This Row],[Month]])," ",TableAopCalendar[[#This Row],[Year]])</f>
        <v>OCTOBER 24</v>
      </c>
      <c r="J937" s="7" t="s">
        <v>274</v>
      </c>
      <c r="K937" s="7" t="str">
        <f>CONCATENATE(TableAopCalendar[[#This Row],[Month for Plan]]," ",TableAopCalendar[[#This Row],[Plan]])</f>
        <v>OCTOBER 24 PLANNED</v>
      </c>
    </row>
    <row r="938" spans="1:11" x14ac:dyDescent="0.3">
      <c r="A938" s="7">
        <f t="shared" si="54"/>
        <v>2</v>
      </c>
      <c r="B938" s="5">
        <v>45588</v>
      </c>
      <c r="C938" s="6" t="s">
        <v>114</v>
      </c>
      <c r="D938" s="6">
        <v>24</v>
      </c>
      <c r="E938" s="7">
        <f>DAY(TableAopCalendar[[#This Row],[Date]])</f>
        <v>23</v>
      </c>
      <c r="F938" s="7">
        <f>IF(TableAopCalendar[[#This Row],[Day]]&lt;8,1,IF(TableAopCalendar[[#This Row],[Day]]&lt;15,2,IF(TableAopCalendar[[#This Row],[Day]]&lt;22,3,IF(TableAopCalendar[[#This Row],[Day]]&lt;29,4,IF(TableAopCalendar[[#This Row],[Day]]&lt;32,5)))))</f>
        <v>4</v>
      </c>
      <c r="G938" s="7" t="str">
        <f t="shared" si="55"/>
        <v>Week 4</v>
      </c>
      <c r="H938" s="7" t="str">
        <f t="shared" si="56"/>
        <v>October 24 Week 4</v>
      </c>
      <c r="I938" s="7" t="str">
        <f>CONCATENATE(UPPER(TableAopCalendar[[#This Row],[Month]])," ",TableAopCalendar[[#This Row],[Year]])</f>
        <v>OCTOBER 24</v>
      </c>
      <c r="J938" s="7" t="s">
        <v>274</v>
      </c>
      <c r="K938" s="7" t="str">
        <f>CONCATENATE(TableAopCalendar[[#This Row],[Month for Plan]]," ",TableAopCalendar[[#This Row],[Plan]])</f>
        <v>OCTOBER 24 PLANNED</v>
      </c>
    </row>
    <row r="939" spans="1:11" x14ac:dyDescent="0.3">
      <c r="A939" s="7">
        <f t="shared" si="54"/>
        <v>3</v>
      </c>
      <c r="B939" s="5">
        <v>45589</v>
      </c>
      <c r="C939" s="6" t="s">
        <v>114</v>
      </c>
      <c r="D939" s="6">
        <v>24</v>
      </c>
      <c r="E939" s="7">
        <f>DAY(TableAopCalendar[[#This Row],[Date]])</f>
        <v>24</v>
      </c>
      <c r="F939" s="7">
        <f>IF(TableAopCalendar[[#This Row],[Day]]&lt;8,1,IF(TableAopCalendar[[#This Row],[Day]]&lt;15,2,IF(TableAopCalendar[[#This Row],[Day]]&lt;22,3,IF(TableAopCalendar[[#This Row],[Day]]&lt;29,4,IF(TableAopCalendar[[#This Row],[Day]]&lt;32,5)))))</f>
        <v>4</v>
      </c>
      <c r="G939" s="7" t="str">
        <f t="shared" si="55"/>
        <v>Week 4</v>
      </c>
      <c r="H939" s="7" t="str">
        <f t="shared" si="56"/>
        <v>October 24 Week 4</v>
      </c>
      <c r="I939" s="7" t="str">
        <f>CONCATENATE(UPPER(TableAopCalendar[[#This Row],[Month]])," ",TableAopCalendar[[#This Row],[Year]])</f>
        <v>OCTOBER 24</v>
      </c>
      <c r="J939" s="7" t="s">
        <v>274</v>
      </c>
      <c r="K939" s="7" t="str">
        <f>CONCATENATE(TableAopCalendar[[#This Row],[Month for Plan]]," ",TableAopCalendar[[#This Row],[Plan]])</f>
        <v>OCTOBER 24 PLANNED</v>
      </c>
    </row>
    <row r="940" spans="1:11" x14ac:dyDescent="0.3">
      <c r="A940" s="7">
        <f t="shared" si="54"/>
        <v>4</v>
      </c>
      <c r="B940" s="5">
        <v>45590</v>
      </c>
      <c r="C940" s="6" t="s">
        <v>114</v>
      </c>
      <c r="D940" s="6">
        <v>24</v>
      </c>
      <c r="E940" s="7">
        <f>DAY(TableAopCalendar[[#This Row],[Date]])</f>
        <v>25</v>
      </c>
      <c r="F940" s="7">
        <f>IF(TableAopCalendar[[#This Row],[Day]]&lt;8,1,IF(TableAopCalendar[[#This Row],[Day]]&lt;15,2,IF(TableAopCalendar[[#This Row],[Day]]&lt;22,3,IF(TableAopCalendar[[#This Row],[Day]]&lt;29,4,IF(TableAopCalendar[[#This Row],[Day]]&lt;32,5)))))</f>
        <v>4</v>
      </c>
      <c r="G940" s="7" t="str">
        <f t="shared" si="55"/>
        <v>Week 4</v>
      </c>
      <c r="H940" s="7" t="str">
        <f t="shared" si="56"/>
        <v>October 24 Week 4</v>
      </c>
      <c r="I940" s="7" t="str">
        <f>CONCATENATE(UPPER(TableAopCalendar[[#This Row],[Month]])," ",TableAopCalendar[[#This Row],[Year]])</f>
        <v>OCTOBER 24</v>
      </c>
      <c r="J940" s="7" t="s">
        <v>274</v>
      </c>
      <c r="K940" s="7" t="str">
        <f>CONCATENATE(TableAopCalendar[[#This Row],[Month for Plan]]," ",TableAopCalendar[[#This Row],[Plan]])</f>
        <v>OCTOBER 24 PLANNED</v>
      </c>
    </row>
    <row r="941" spans="1:11" x14ac:dyDescent="0.3">
      <c r="A941" s="7">
        <f t="shared" si="54"/>
        <v>5</v>
      </c>
      <c r="B941" s="5">
        <v>45591</v>
      </c>
      <c r="C941" s="6" t="s">
        <v>114</v>
      </c>
      <c r="D941" s="6">
        <v>24</v>
      </c>
      <c r="E941" s="7">
        <f>DAY(TableAopCalendar[[#This Row],[Date]])</f>
        <v>26</v>
      </c>
      <c r="F941" s="7">
        <f>IF(TableAopCalendar[[#This Row],[Day]]&lt;8,1,IF(TableAopCalendar[[#This Row],[Day]]&lt;15,2,IF(TableAopCalendar[[#This Row],[Day]]&lt;22,3,IF(TableAopCalendar[[#This Row],[Day]]&lt;29,4,IF(TableAopCalendar[[#This Row],[Day]]&lt;32,5)))))</f>
        <v>4</v>
      </c>
      <c r="G941" s="7" t="str">
        <f t="shared" si="55"/>
        <v>Week 4</v>
      </c>
      <c r="H941" s="7" t="str">
        <f t="shared" si="56"/>
        <v>October 24 Week 4</v>
      </c>
      <c r="I941" s="7" t="str">
        <f>CONCATENATE(UPPER(TableAopCalendar[[#This Row],[Month]])," ",TableAopCalendar[[#This Row],[Year]])</f>
        <v>OCTOBER 24</v>
      </c>
      <c r="J941" s="7" t="s">
        <v>274</v>
      </c>
      <c r="K941" s="7" t="str">
        <f>CONCATENATE(TableAopCalendar[[#This Row],[Month for Plan]]," ",TableAopCalendar[[#This Row],[Plan]])</f>
        <v>OCTOBER 24 PLANNED</v>
      </c>
    </row>
    <row r="942" spans="1:11" x14ac:dyDescent="0.3">
      <c r="A942" s="7">
        <f t="shared" si="54"/>
        <v>6</v>
      </c>
      <c r="B942" s="5">
        <v>45592</v>
      </c>
      <c r="C942" s="6" t="s">
        <v>114</v>
      </c>
      <c r="D942" s="6">
        <v>24</v>
      </c>
      <c r="E942" s="7">
        <f>DAY(TableAopCalendar[[#This Row],[Date]])</f>
        <v>27</v>
      </c>
      <c r="F942" s="7">
        <f>IF(TableAopCalendar[[#This Row],[Day]]&lt;8,1,IF(TableAopCalendar[[#This Row],[Day]]&lt;15,2,IF(TableAopCalendar[[#This Row],[Day]]&lt;22,3,IF(TableAopCalendar[[#This Row],[Day]]&lt;29,4,IF(TableAopCalendar[[#This Row],[Day]]&lt;32,5)))))</f>
        <v>4</v>
      </c>
      <c r="G942" s="7" t="str">
        <f t="shared" si="55"/>
        <v>Week 4</v>
      </c>
      <c r="H942" s="7" t="str">
        <f t="shared" si="56"/>
        <v>October 24 Week 4</v>
      </c>
      <c r="I942" s="7" t="str">
        <f>CONCATENATE(UPPER(TableAopCalendar[[#This Row],[Month]])," ",TableAopCalendar[[#This Row],[Year]])</f>
        <v>OCTOBER 24</v>
      </c>
      <c r="J942" s="7" t="s">
        <v>274</v>
      </c>
      <c r="K942" s="7" t="str">
        <f>CONCATENATE(TableAopCalendar[[#This Row],[Month for Plan]]," ",TableAopCalendar[[#This Row],[Plan]])</f>
        <v>OCTOBER 24 PLANNED</v>
      </c>
    </row>
    <row r="943" spans="1:11" x14ac:dyDescent="0.3">
      <c r="A943" s="7">
        <f t="shared" si="54"/>
        <v>7</v>
      </c>
      <c r="B943" s="5">
        <v>45593</v>
      </c>
      <c r="C943" s="6" t="s">
        <v>114</v>
      </c>
      <c r="D943" s="6">
        <v>24</v>
      </c>
      <c r="E943" s="7">
        <f>DAY(TableAopCalendar[[#This Row],[Date]])</f>
        <v>28</v>
      </c>
      <c r="F943" s="7">
        <f>IF(TableAopCalendar[[#This Row],[Day]]&lt;8,1,IF(TableAopCalendar[[#This Row],[Day]]&lt;15,2,IF(TableAopCalendar[[#This Row],[Day]]&lt;22,3,IF(TableAopCalendar[[#This Row],[Day]]&lt;29,4,IF(TableAopCalendar[[#This Row],[Day]]&lt;32,5)))))</f>
        <v>4</v>
      </c>
      <c r="G943" s="7" t="str">
        <f t="shared" si="55"/>
        <v>Week 4</v>
      </c>
      <c r="H943" s="7" t="str">
        <f t="shared" si="56"/>
        <v>October 24 Week 4</v>
      </c>
      <c r="I943" s="7" t="str">
        <f>CONCATENATE(UPPER(TableAopCalendar[[#This Row],[Month]])," ",TableAopCalendar[[#This Row],[Year]])</f>
        <v>OCTOBER 24</v>
      </c>
      <c r="J943" s="7" t="s">
        <v>274</v>
      </c>
      <c r="K943" s="7" t="str">
        <f>CONCATENATE(TableAopCalendar[[#This Row],[Month for Plan]]," ",TableAopCalendar[[#This Row],[Plan]])</f>
        <v>OCTOBER 24 PLANNED</v>
      </c>
    </row>
    <row r="944" spans="1:11" x14ac:dyDescent="0.3">
      <c r="A944" s="7">
        <f t="shared" si="54"/>
        <v>1</v>
      </c>
      <c r="B944" s="5">
        <v>45594</v>
      </c>
      <c r="C944" s="6" t="s">
        <v>114</v>
      </c>
      <c r="D944" s="6">
        <v>24</v>
      </c>
      <c r="E944" s="7">
        <f>DAY(TableAopCalendar[[#This Row],[Date]])</f>
        <v>29</v>
      </c>
      <c r="F944" s="7">
        <f>IF(TableAopCalendar[[#This Row],[Day]]&lt;8,1,IF(TableAopCalendar[[#This Row],[Day]]&lt;15,2,IF(TableAopCalendar[[#This Row],[Day]]&lt;22,3,IF(TableAopCalendar[[#This Row],[Day]]&lt;29,4,IF(TableAopCalendar[[#This Row],[Day]]&lt;32,5)))))</f>
        <v>5</v>
      </c>
      <c r="G944" s="7" t="str">
        <f t="shared" si="55"/>
        <v>Week 5</v>
      </c>
      <c r="H944" s="7" t="str">
        <f t="shared" si="56"/>
        <v>October 24 Week 5</v>
      </c>
      <c r="I944" s="7" t="str">
        <f>CONCATENATE(UPPER(TableAopCalendar[[#This Row],[Month]])," ",TableAopCalendar[[#This Row],[Year]])</f>
        <v>OCTOBER 24</v>
      </c>
      <c r="J944" s="7" t="s">
        <v>274</v>
      </c>
      <c r="K944" s="7" t="str">
        <f>CONCATENATE(TableAopCalendar[[#This Row],[Month for Plan]]," ",TableAopCalendar[[#This Row],[Plan]])</f>
        <v>OCTOBER 24 PLANNED</v>
      </c>
    </row>
    <row r="945" spans="1:11" x14ac:dyDescent="0.3">
      <c r="A945" s="7">
        <f t="shared" si="54"/>
        <v>2</v>
      </c>
      <c r="B945" s="5">
        <v>45595</v>
      </c>
      <c r="C945" s="6" t="s">
        <v>114</v>
      </c>
      <c r="D945" s="6">
        <v>24</v>
      </c>
      <c r="E945" s="7">
        <f>DAY(TableAopCalendar[[#This Row],[Date]])</f>
        <v>30</v>
      </c>
      <c r="F945" s="7">
        <f>IF(TableAopCalendar[[#This Row],[Day]]&lt;8,1,IF(TableAopCalendar[[#This Row],[Day]]&lt;15,2,IF(TableAopCalendar[[#This Row],[Day]]&lt;22,3,IF(TableAopCalendar[[#This Row],[Day]]&lt;29,4,IF(TableAopCalendar[[#This Row],[Day]]&lt;32,5)))))</f>
        <v>5</v>
      </c>
      <c r="G945" s="7" t="str">
        <f t="shared" si="55"/>
        <v>Week 5</v>
      </c>
      <c r="H945" s="7" t="str">
        <f t="shared" si="56"/>
        <v>October 24 Week 5</v>
      </c>
      <c r="I945" s="7" t="str">
        <f>CONCATENATE(UPPER(TableAopCalendar[[#This Row],[Month]])," ",TableAopCalendar[[#This Row],[Year]])</f>
        <v>OCTOBER 24</v>
      </c>
      <c r="J945" s="7" t="s">
        <v>274</v>
      </c>
      <c r="K945" s="7" t="str">
        <f>CONCATENATE(TableAopCalendar[[#This Row],[Month for Plan]]," ",TableAopCalendar[[#This Row],[Plan]])</f>
        <v>OCTOBER 24 PLANNED</v>
      </c>
    </row>
    <row r="946" spans="1:11" x14ac:dyDescent="0.3">
      <c r="A946" s="7">
        <f t="shared" si="54"/>
        <v>3</v>
      </c>
      <c r="B946" s="5">
        <v>45596</v>
      </c>
      <c r="C946" s="6" t="s">
        <v>114</v>
      </c>
      <c r="D946" s="6">
        <v>24</v>
      </c>
      <c r="E946" s="7">
        <f>DAY(TableAopCalendar[[#This Row],[Date]])</f>
        <v>31</v>
      </c>
      <c r="F946" s="7">
        <f>IF(TableAopCalendar[[#This Row],[Day]]&lt;8,1,IF(TableAopCalendar[[#This Row],[Day]]&lt;15,2,IF(TableAopCalendar[[#This Row],[Day]]&lt;22,3,IF(TableAopCalendar[[#This Row],[Day]]&lt;29,4,IF(TableAopCalendar[[#This Row],[Day]]&lt;32,5)))))</f>
        <v>5</v>
      </c>
      <c r="G946" s="7" t="str">
        <f t="shared" si="55"/>
        <v>Week 5</v>
      </c>
      <c r="H946" s="7" t="str">
        <f t="shared" si="56"/>
        <v>October 24 Week 5</v>
      </c>
      <c r="I946" s="7" t="str">
        <f>CONCATENATE(UPPER(TableAopCalendar[[#This Row],[Month]])," ",TableAopCalendar[[#This Row],[Year]])</f>
        <v>OCTOBER 24</v>
      </c>
      <c r="J946" s="7" t="s">
        <v>274</v>
      </c>
      <c r="K946" s="7" t="str">
        <f>CONCATENATE(TableAopCalendar[[#This Row],[Month for Plan]]," ",TableAopCalendar[[#This Row],[Plan]])</f>
        <v>OCTOBER 24 PLANNED</v>
      </c>
    </row>
    <row r="947" spans="1:11" x14ac:dyDescent="0.3">
      <c r="A947" s="7">
        <f t="shared" si="54"/>
        <v>1</v>
      </c>
      <c r="B947" s="5">
        <v>45597</v>
      </c>
      <c r="C947" s="6" t="s">
        <v>117</v>
      </c>
      <c r="D947" s="6">
        <v>24</v>
      </c>
      <c r="E947" s="7">
        <f>DAY(TableAopCalendar[[#This Row],[Date]])</f>
        <v>1</v>
      </c>
      <c r="F947" s="7">
        <f>IF(TableAopCalendar[[#This Row],[Day]]&lt;8,1,IF(TableAopCalendar[[#This Row],[Day]]&lt;15,2,IF(TableAopCalendar[[#This Row],[Day]]&lt;22,3,IF(TableAopCalendar[[#This Row],[Day]]&lt;29,4,IF(TableAopCalendar[[#This Row],[Day]]&lt;32,5)))))</f>
        <v>1</v>
      </c>
      <c r="G947" s="7" t="str">
        <f t="shared" si="55"/>
        <v>Week 1</v>
      </c>
      <c r="H947" s="7" t="str">
        <f t="shared" si="56"/>
        <v>November 24 Week 1</v>
      </c>
      <c r="I947" s="7" t="str">
        <f>CONCATENATE(UPPER(TableAopCalendar[[#This Row],[Month]])," ",TableAopCalendar[[#This Row],[Year]])</f>
        <v>NOVEMBER 24</v>
      </c>
      <c r="J947" s="7" t="s">
        <v>274</v>
      </c>
      <c r="K947" s="7" t="str">
        <f>CONCATENATE(TableAopCalendar[[#This Row],[Month for Plan]]," ",TableAopCalendar[[#This Row],[Plan]])</f>
        <v>NOVEMBER 24 PLANNED</v>
      </c>
    </row>
    <row r="948" spans="1:11" x14ac:dyDescent="0.3">
      <c r="A948" s="7">
        <f t="shared" si="54"/>
        <v>2</v>
      </c>
      <c r="B948" s="5">
        <v>45598</v>
      </c>
      <c r="C948" s="6" t="s">
        <v>117</v>
      </c>
      <c r="D948" s="6">
        <v>24</v>
      </c>
      <c r="E948" s="7">
        <f>DAY(TableAopCalendar[[#This Row],[Date]])</f>
        <v>2</v>
      </c>
      <c r="F948" s="7">
        <f>IF(TableAopCalendar[[#This Row],[Day]]&lt;8,1,IF(TableAopCalendar[[#This Row],[Day]]&lt;15,2,IF(TableAopCalendar[[#This Row],[Day]]&lt;22,3,IF(TableAopCalendar[[#This Row],[Day]]&lt;29,4,IF(TableAopCalendar[[#This Row],[Day]]&lt;32,5)))))</f>
        <v>1</v>
      </c>
      <c r="G948" s="7" t="str">
        <f t="shared" si="55"/>
        <v>Week 1</v>
      </c>
      <c r="H948" s="7" t="str">
        <f t="shared" si="56"/>
        <v>November 24 Week 1</v>
      </c>
      <c r="I948" s="7" t="str">
        <f>CONCATENATE(UPPER(TableAopCalendar[[#This Row],[Month]])," ",TableAopCalendar[[#This Row],[Year]])</f>
        <v>NOVEMBER 24</v>
      </c>
      <c r="J948" s="7" t="s">
        <v>274</v>
      </c>
      <c r="K948" s="7" t="str">
        <f>CONCATENATE(TableAopCalendar[[#This Row],[Month for Plan]]," ",TableAopCalendar[[#This Row],[Plan]])</f>
        <v>NOVEMBER 24 PLANNED</v>
      </c>
    </row>
    <row r="949" spans="1:11" x14ac:dyDescent="0.3">
      <c r="A949" s="7">
        <f t="shared" ref="A949:A965" si="57">IF(G949=G948,A948+1,1)</f>
        <v>3</v>
      </c>
      <c r="B949" s="5">
        <v>45599</v>
      </c>
      <c r="C949" s="6" t="s">
        <v>117</v>
      </c>
      <c r="D949" s="6">
        <v>24</v>
      </c>
      <c r="E949" s="7">
        <f>DAY(TableAopCalendar[[#This Row],[Date]])</f>
        <v>3</v>
      </c>
      <c r="F949" s="7">
        <f>IF(TableAopCalendar[[#This Row],[Day]]&lt;8,1,IF(TableAopCalendar[[#This Row],[Day]]&lt;15,2,IF(TableAopCalendar[[#This Row],[Day]]&lt;22,3,IF(TableAopCalendar[[#This Row],[Day]]&lt;29,4,IF(TableAopCalendar[[#This Row],[Day]]&lt;32,5)))))</f>
        <v>1</v>
      </c>
      <c r="G949" s="7" t="str">
        <f t="shared" ref="G949:G965" si="58">"Week"&amp;" "&amp;F949</f>
        <v>Week 1</v>
      </c>
      <c r="H949" s="7" t="str">
        <f t="shared" ref="H949:H965" si="59">CONCATENATE(C949," ",D949," ",G949)</f>
        <v>November 24 Week 1</v>
      </c>
      <c r="I949" s="7" t="str">
        <f>CONCATENATE(UPPER(TableAopCalendar[[#This Row],[Month]])," ",TableAopCalendar[[#This Row],[Year]])</f>
        <v>NOVEMBER 24</v>
      </c>
      <c r="J949" s="7" t="s">
        <v>274</v>
      </c>
      <c r="K949" s="7" t="str">
        <f>CONCATENATE(TableAopCalendar[[#This Row],[Month for Plan]]," ",TableAopCalendar[[#This Row],[Plan]])</f>
        <v>NOVEMBER 24 PLANNED</v>
      </c>
    </row>
    <row r="950" spans="1:11" x14ac:dyDescent="0.3">
      <c r="A950" s="7">
        <f t="shared" si="57"/>
        <v>4</v>
      </c>
      <c r="B950" s="5">
        <v>45600</v>
      </c>
      <c r="C950" s="6" t="s">
        <v>117</v>
      </c>
      <c r="D950" s="6">
        <v>24</v>
      </c>
      <c r="E950" s="7">
        <f>DAY(TableAopCalendar[[#This Row],[Date]])</f>
        <v>4</v>
      </c>
      <c r="F950" s="7">
        <f>IF(TableAopCalendar[[#This Row],[Day]]&lt;8,1,IF(TableAopCalendar[[#This Row],[Day]]&lt;15,2,IF(TableAopCalendar[[#This Row],[Day]]&lt;22,3,IF(TableAopCalendar[[#This Row],[Day]]&lt;29,4,IF(TableAopCalendar[[#This Row],[Day]]&lt;32,5)))))</f>
        <v>1</v>
      </c>
      <c r="G950" s="7" t="str">
        <f t="shared" si="58"/>
        <v>Week 1</v>
      </c>
      <c r="H950" s="7" t="str">
        <f t="shared" si="59"/>
        <v>November 24 Week 1</v>
      </c>
      <c r="I950" s="7" t="str">
        <f>CONCATENATE(UPPER(TableAopCalendar[[#This Row],[Month]])," ",TableAopCalendar[[#This Row],[Year]])</f>
        <v>NOVEMBER 24</v>
      </c>
      <c r="J950" s="7" t="s">
        <v>274</v>
      </c>
      <c r="K950" s="7" t="str">
        <f>CONCATENATE(TableAopCalendar[[#This Row],[Month for Plan]]," ",TableAopCalendar[[#This Row],[Plan]])</f>
        <v>NOVEMBER 24 PLANNED</v>
      </c>
    </row>
    <row r="951" spans="1:11" x14ac:dyDescent="0.3">
      <c r="A951" s="7">
        <f t="shared" si="57"/>
        <v>5</v>
      </c>
      <c r="B951" s="5">
        <v>45601</v>
      </c>
      <c r="C951" s="6" t="s">
        <v>117</v>
      </c>
      <c r="D951" s="6">
        <v>24</v>
      </c>
      <c r="E951" s="7">
        <f>DAY(TableAopCalendar[[#This Row],[Date]])</f>
        <v>5</v>
      </c>
      <c r="F951" s="7">
        <f>IF(TableAopCalendar[[#This Row],[Day]]&lt;8,1,IF(TableAopCalendar[[#This Row],[Day]]&lt;15,2,IF(TableAopCalendar[[#This Row],[Day]]&lt;22,3,IF(TableAopCalendar[[#This Row],[Day]]&lt;29,4,IF(TableAopCalendar[[#This Row],[Day]]&lt;32,5)))))</f>
        <v>1</v>
      </c>
      <c r="G951" s="7" t="str">
        <f t="shared" si="58"/>
        <v>Week 1</v>
      </c>
      <c r="H951" s="7" t="str">
        <f t="shared" si="59"/>
        <v>November 24 Week 1</v>
      </c>
      <c r="I951" s="7" t="str">
        <f>CONCATENATE(UPPER(TableAopCalendar[[#This Row],[Month]])," ",TableAopCalendar[[#This Row],[Year]])</f>
        <v>NOVEMBER 24</v>
      </c>
      <c r="J951" s="7" t="s">
        <v>274</v>
      </c>
      <c r="K951" s="7" t="str">
        <f>CONCATENATE(TableAopCalendar[[#This Row],[Month for Plan]]," ",TableAopCalendar[[#This Row],[Plan]])</f>
        <v>NOVEMBER 24 PLANNED</v>
      </c>
    </row>
    <row r="952" spans="1:11" x14ac:dyDescent="0.3">
      <c r="A952" s="7">
        <f t="shared" si="57"/>
        <v>6</v>
      </c>
      <c r="B952" s="5">
        <v>45602</v>
      </c>
      <c r="C952" s="6" t="s">
        <v>117</v>
      </c>
      <c r="D952" s="6">
        <v>24</v>
      </c>
      <c r="E952" s="7">
        <f>DAY(TableAopCalendar[[#This Row],[Date]])</f>
        <v>6</v>
      </c>
      <c r="F952" s="7">
        <f>IF(TableAopCalendar[[#This Row],[Day]]&lt;8,1,IF(TableAopCalendar[[#This Row],[Day]]&lt;15,2,IF(TableAopCalendar[[#This Row],[Day]]&lt;22,3,IF(TableAopCalendar[[#This Row],[Day]]&lt;29,4,IF(TableAopCalendar[[#This Row],[Day]]&lt;32,5)))))</f>
        <v>1</v>
      </c>
      <c r="G952" s="7" t="str">
        <f t="shared" si="58"/>
        <v>Week 1</v>
      </c>
      <c r="H952" s="7" t="str">
        <f t="shared" si="59"/>
        <v>November 24 Week 1</v>
      </c>
      <c r="I952" s="7" t="str">
        <f>CONCATENATE(UPPER(TableAopCalendar[[#This Row],[Month]])," ",TableAopCalendar[[#This Row],[Year]])</f>
        <v>NOVEMBER 24</v>
      </c>
      <c r="J952" s="7" t="s">
        <v>274</v>
      </c>
      <c r="K952" s="7" t="str">
        <f>CONCATENATE(TableAopCalendar[[#This Row],[Month for Plan]]," ",TableAopCalendar[[#This Row],[Plan]])</f>
        <v>NOVEMBER 24 PLANNED</v>
      </c>
    </row>
    <row r="953" spans="1:11" x14ac:dyDescent="0.3">
      <c r="A953" s="7">
        <f t="shared" si="57"/>
        <v>7</v>
      </c>
      <c r="B953" s="5">
        <v>45603</v>
      </c>
      <c r="C953" s="6" t="s">
        <v>117</v>
      </c>
      <c r="D953" s="6">
        <v>24</v>
      </c>
      <c r="E953" s="7">
        <f>DAY(TableAopCalendar[[#This Row],[Date]])</f>
        <v>7</v>
      </c>
      <c r="F953" s="7">
        <f>IF(TableAopCalendar[[#This Row],[Day]]&lt;8,1,IF(TableAopCalendar[[#This Row],[Day]]&lt;15,2,IF(TableAopCalendar[[#This Row],[Day]]&lt;22,3,IF(TableAopCalendar[[#This Row],[Day]]&lt;29,4,IF(TableAopCalendar[[#This Row],[Day]]&lt;32,5)))))</f>
        <v>1</v>
      </c>
      <c r="G953" s="7" t="str">
        <f t="shared" si="58"/>
        <v>Week 1</v>
      </c>
      <c r="H953" s="7" t="str">
        <f t="shared" si="59"/>
        <v>November 24 Week 1</v>
      </c>
      <c r="I953" s="7" t="str">
        <f>CONCATENATE(UPPER(TableAopCalendar[[#This Row],[Month]])," ",TableAopCalendar[[#This Row],[Year]])</f>
        <v>NOVEMBER 24</v>
      </c>
      <c r="J953" s="7" t="s">
        <v>274</v>
      </c>
      <c r="K953" s="7" t="str">
        <f>CONCATENATE(TableAopCalendar[[#This Row],[Month for Plan]]," ",TableAopCalendar[[#This Row],[Plan]])</f>
        <v>NOVEMBER 24 PLANNED</v>
      </c>
    </row>
    <row r="954" spans="1:11" x14ac:dyDescent="0.3">
      <c r="A954" s="7">
        <f t="shared" si="57"/>
        <v>1</v>
      </c>
      <c r="B954" s="5">
        <v>45604</v>
      </c>
      <c r="C954" s="6" t="s">
        <v>117</v>
      </c>
      <c r="D954" s="6">
        <v>24</v>
      </c>
      <c r="E954" s="7">
        <f>DAY(TableAopCalendar[[#This Row],[Date]])</f>
        <v>8</v>
      </c>
      <c r="F954" s="7">
        <f>IF(TableAopCalendar[[#This Row],[Day]]&lt;8,1,IF(TableAopCalendar[[#This Row],[Day]]&lt;15,2,IF(TableAopCalendar[[#This Row],[Day]]&lt;22,3,IF(TableAopCalendar[[#This Row],[Day]]&lt;29,4,IF(TableAopCalendar[[#This Row],[Day]]&lt;32,5)))))</f>
        <v>2</v>
      </c>
      <c r="G954" s="7" t="str">
        <f t="shared" si="58"/>
        <v>Week 2</v>
      </c>
      <c r="H954" s="7" t="str">
        <f t="shared" si="59"/>
        <v>November 24 Week 2</v>
      </c>
      <c r="I954" s="7" t="str">
        <f>CONCATENATE(UPPER(TableAopCalendar[[#This Row],[Month]])," ",TableAopCalendar[[#This Row],[Year]])</f>
        <v>NOVEMBER 24</v>
      </c>
      <c r="J954" s="7" t="s">
        <v>274</v>
      </c>
      <c r="K954" s="7" t="str">
        <f>CONCATENATE(TableAopCalendar[[#This Row],[Month for Plan]]," ",TableAopCalendar[[#This Row],[Plan]])</f>
        <v>NOVEMBER 24 PLANNED</v>
      </c>
    </row>
    <row r="955" spans="1:11" x14ac:dyDescent="0.3">
      <c r="A955" s="7">
        <f t="shared" si="57"/>
        <v>2</v>
      </c>
      <c r="B955" s="5">
        <v>45605</v>
      </c>
      <c r="C955" s="6" t="s">
        <v>117</v>
      </c>
      <c r="D955" s="6">
        <v>24</v>
      </c>
      <c r="E955" s="7">
        <f>DAY(TableAopCalendar[[#This Row],[Date]])</f>
        <v>9</v>
      </c>
      <c r="F955" s="7">
        <f>IF(TableAopCalendar[[#This Row],[Day]]&lt;8,1,IF(TableAopCalendar[[#This Row],[Day]]&lt;15,2,IF(TableAopCalendar[[#This Row],[Day]]&lt;22,3,IF(TableAopCalendar[[#This Row],[Day]]&lt;29,4,IF(TableAopCalendar[[#This Row],[Day]]&lt;32,5)))))</f>
        <v>2</v>
      </c>
      <c r="G955" s="7" t="str">
        <f t="shared" si="58"/>
        <v>Week 2</v>
      </c>
      <c r="H955" s="7" t="str">
        <f t="shared" si="59"/>
        <v>November 24 Week 2</v>
      </c>
      <c r="I955" s="7" t="str">
        <f>CONCATENATE(UPPER(TableAopCalendar[[#This Row],[Month]])," ",TableAopCalendar[[#This Row],[Year]])</f>
        <v>NOVEMBER 24</v>
      </c>
      <c r="J955" s="7" t="s">
        <v>274</v>
      </c>
      <c r="K955" s="7" t="str">
        <f>CONCATENATE(TableAopCalendar[[#This Row],[Month for Plan]]," ",TableAopCalendar[[#This Row],[Plan]])</f>
        <v>NOVEMBER 24 PLANNED</v>
      </c>
    </row>
    <row r="956" spans="1:11" x14ac:dyDescent="0.3">
      <c r="A956" s="7">
        <f t="shared" si="57"/>
        <v>3</v>
      </c>
      <c r="B956" s="5">
        <v>45606</v>
      </c>
      <c r="C956" s="6" t="s">
        <v>117</v>
      </c>
      <c r="D956" s="6">
        <v>24</v>
      </c>
      <c r="E956" s="7">
        <f>DAY(TableAopCalendar[[#This Row],[Date]])</f>
        <v>10</v>
      </c>
      <c r="F956" s="7">
        <f>IF(TableAopCalendar[[#This Row],[Day]]&lt;8,1,IF(TableAopCalendar[[#This Row],[Day]]&lt;15,2,IF(TableAopCalendar[[#This Row],[Day]]&lt;22,3,IF(TableAopCalendar[[#This Row],[Day]]&lt;29,4,IF(TableAopCalendar[[#This Row],[Day]]&lt;32,5)))))</f>
        <v>2</v>
      </c>
      <c r="G956" s="7" t="str">
        <f t="shared" si="58"/>
        <v>Week 2</v>
      </c>
      <c r="H956" s="7" t="str">
        <f t="shared" si="59"/>
        <v>November 24 Week 2</v>
      </c>
      <c r="I956" s="7" t="str">
        <f>CONCATENATE(UPPER(TableAopCalendar[[#This Row],[Month]])," ",TableAopCalendar[[#This Row],[Year]])</f>
        <v>NOVEMBER 24</v>
      </c>
      <c r="J956" s="7" t="s">
        <v>274</v>
      </c>
      <c r="K956" s="7" t="str">
        <f>CONCATENATE(TableAopCalendar[[#This Row],[Month for Plan]]," ",TableAopCalendar[[#This Row],[Plan]])</f>
        <v>NOVEMBER 24 PLANNED</v>
      </c>
    </row>
    <row r="957" spans="1:11" x14ac:dyDescent="0.3">
      <c r="A957" s="7">
        <f t="shared" si="57"/>
        <v>4</v>
      </c>
      <c r="B957" s="5">
        <v>45607</v>
      </c>
      <c r="C957" s="6" t="s">
        <v>117</v>
      </c>
      <c r="D957" s="6">
        <v>24</v>
      </c>
      <c r="E957" s="7">
        <f>DAY(TableAopCalendar[[#This Row],[Date]])</f>
        <v>11</v>
      </c>
      <c r="F957" s="7">
        <f>IF(TableAopCalendar[[#This Row],[Day]]&lt;8,1,IF(TableAopCalendar[[#This Row],[Day]]&lt;15,2,IF(TableAopCalendar[[#This Row],[Day]]&lt;22,3,IF(TableAopCalendar[[#This Row],[Day]]&lt;29,4,IF(TableAopCalendar[[#This Row],[Day]]&lt;32,5)))))</f>
        <v>2</v>
      </c>
      <c r="G957" s="7" t="str">
        <f t="shared" si="58"/>
        <v>Week 2</v>
      </c>
      <c r="H957" s="7" t="str">
        <f t="shared" si="59"/>
        <v>November 24 Week 2</v>
      </c>
      <c r="I957" s="7" t="str">
        <f>CONCATENATE(UPPER(TableAopCalendar[[#This Row],[Month]])," ",TableAopCalendar[[#This Row],[Year]])</f>
        <v>NOVEMBER 24</v>
      </c>
      <c r="J957" s="7" t="s">
        <v>274</v>
      </c>
      <c r="K957" s="7" t="str">
        <f>CONCATENATE(TableAopCalendar[[#This Row],[Month for Plan]]," ",TableAopCalendar[[#This Row],[Plan]])</f>
        <v>NOVEMBER 24 PLANNED</v>
      </c>
    </row>
    <row r="958" spans="1:11" x14ac:dyDescent="0.3">
      <c r="A958" s="7">
        <f t="shared" si="57"/>
        <v>5</v>
      </c>
      <c r="B958" s="5">
        <v>45608</v>
      </c>
      <c r="C958" s="6" t="s">
        <v>117</v>
      </c>
      <c r="D958" s="6">
        <v>24</v>
      </c>
      <c r="E958" s="7">
        <f>DAY(TableAopCalendar[[#This Row],[Date]])</f>
        <v>12</v>
      </c>
      <c r="F958" s="7">
        <f>IF(TableAopCalendar[[#This Row],[Day]]&lt;8,1,IF(TableAopCalendar[[#This Row],[Day]]&lt;15,2,IF(TableAopCalendar[[#This Row],[Day]]&lt;22,3,IF(TableAopCalendar[[#This Row],[Day]]&lt;29,4,IF(TableAopCalendar[[#This Row],[Day]]&lt;32,5)))))</f>
        <v>2</v>
      </c>
      <c r="G958" s="7" t="str">
        <f t="shared" si="58"/>
        <v>Week 2</v>
      </c>
      <c r="H958" s="7" t="str">
        <f t="shared" si="59"/>
        <v>November 24 Week 2</v>
      </c>
      <c r="I958" s="7" t="str">
        <f>CONCATENATE(UPPER(TableAopCalendar[[#This Row],[Month]])," ",TableAopCalendar[[#This Row],[Year]])</f>
        <v>NOVEMBER 24</v>
      </c>
      <c r="J958" s="7" t="s">
        <v>274</v>
      </c>
      <c r="K958" s="7" t="str">
        <f>CONCATENATE(TableAopCalendar[[#This Row],[Month for Plan]]," ",TableAopCalendar[[#This Row],[Plan]])</f>
        <v>NOVEMBER 24 PLANNED</v>
      </c>
    </row>
    <row r="959" spans="1:11" x14ac:dyDescent="0.3">
      <c r="A959" s="7">
        <f t="shared" si="57"/>
        <v>6</v>
      </c>
      <c r="B959" s="5">
        <v>45609</v>
      </c>
      <c r="C959" s="6" t="s">
        <v>117</v>
      </c>
      <c r="D959" s="6">
        <v>24</v>
      </c>
      <c r="E959" s="7">
        <f>DAY(TableAopCalendar[[#This Row],[Date]])</f>
        <v>13</v>
      </c>
      <c r="F959" s="7">
        <f>IF(TableAopCalendar[[#This Row],[Day]]&lt;8,1,IF(TableAopCalendar[[#This Row],[Day]]&lt;15,2,IF(TableAopCalendar[[#This Row],[Day]]&lt;22,3,IF(TableAopCalendar[[#This Row],[Day]]&lt;29,4,IF(TableAopCalendar[[#This Row],[Day]]&lt;32,5)))))</f>
        <v>2</v>
      </c>
      <c r="G959" s="7" t="str">
        <f t="shared" si="58"/>
        <v>Week 2</v>
      </c>
      <c r="H959" s="7" t="str">
        <f t="shared" si="59"/>
        <v>November 24 Week 2</v>
      </c>
      <c r="I959" s="7" t="str">
        <f>CONCATENATE(UPPER(TableAopCalendar[[#This Row],[Month]])," ",TableAopCalendar[[#This Row],[Year]])</f>
        <v>NOVEMBER 24</v>
      </c>
      <c r="J959" s="7" t="s">
        <v>274</v>
      </c>
      <c r="K959" s="7" t="str">
        <f>CONCATENATE(TableAopCalendar[[#This Row],[Month for Plan]]," ",TableAopCalendar[[#This Row],[Plan]])</f>
        <v>NOVEMBER 24 PLANNED</v>
      </c>
    </row>
    <row r="960" spans="1:11" x14ac:dyDescent="0.3">
      <c r="A960" s="7">
        <f t="shared" si="57"/>
        <v>7</v>
      </c>
      <c r="B960" s="5">
        <v>45610</v>
      </c>
      <c r="C960" s="6" t="s">
        <v>117</v>
      </c>
      <c r="D960" s="6">
        <v>24</v>
      </c>
      <c r="E960" s="7">
        <f>DAY(TableAopCalendar[[#This Row],[Date]])</f>
        <v>14</v>
      </c>
      <c r="F960" s="7">
        <f>IF(TableAopCalendar[[#This Row],[Day]]&lt;8,1,IF(TableAopCalendar[[#This Row],[Day]]&lt;15,2,IF(TableAopCalendar[[#This Row],[Day]]&lt;22,3,IF(TableAopCalendar[[#This Row],[Day]]&lt;29,4,IF(TableAopCalendar[[#This Row],[Day]]&lt;32,5)))))</f>
        <v>2</v>
      </c>
      <c r="G960" s="7" t="str">
        <f t="shared" si="58"/>
        <v>Week 2</v>
      </c>
      <c r="H960" s="7" t="str">
        <f t="shared" si="59"/>
        <v>November 24 Week 2</v>
      </c>
      <c r="I960" s="7" t="str">
        <f>CONCATENATE(UPPER(TableAopCalendar[[#This Row],[Month]])," ",TableAopCalendar[[#This Row],[Year]])</f>
        <v>NOVEMBER 24</v>
      </c>
      <c r="J960" s="7" t="s">
        <v>274</v>
      </c>
      <c r="K960" s="7" t="str">
        <f>CONCATENATE(TableAopCalendar[[#This Row],[Month for Plan]]," ",TableAopCalendar[[#This Row],[Plan]])</f>
        <v>NOVEMBER 24 PLANNED</v>
      </c>
    </row>
    <row r="961" spans="1:11" x14ac:dyDescent="0.3">
      <c r="A961" s="7">
        <f t="shared" si="57"/>
        <v>1</v>
      </c>
      <c r="B961" s="5">
        <v>45611</v>
      </c>
      <c r="C961" s="6" t="s">
        <v>117</v>
      </c>
      <c r="D961" s="6">
        <v>24</v>
      </c>
      <c r="E961" s="7">
        <f>DAY(TableAopCalendar[[#This Row],[Date]])</f>
        <v>15</v>
      </c>
      <c r="F961" s="7">
        <f>IF(TableAopCalendar[[#This Row],[Day]]&lt;8,1,IF(TableAopCalendar[[#This Row],[Day]]&lt;15,2,IF(TableAopCalendar[[#This Row],[Day]]&lt;22,3,IF(TableAopCalendar[[#This Row],[Day]]&lt;29,4,IF(TableAopCalendar[[#This Row],[Day]]&lt;32,5)))))</f>
        <v>3</v>
      </c>
      <c r="G961" s="7" t="str">
        <f t="shared" si="58"/>
        <v>Week 3</v>
      </c>
      <c r="H961" s="7" t="str">
        <f t="shared" si="59"/>
        <v>November 24 Week 3</v>
      </c>
      <c r="I961" s="7" t="str">
        <f>CONCATENATE(UPPER(TableAopCalendar[[#This Row],[Month]])," ",TableAopCalendar[[#This Row],[Year]])</f>
        <v>NOVEMBER 24</v>
      </c>
      <c r="J961" s="7" t="s">
        <v>274</v>
      </c>
      <c r="K961" s="7" t="str">
        <f>CONCATENATE(TableAopCalendar[[#This Row],[Month for Plan]]," ",TableAopCalendar[[#This Row],[Plan]])</f>
        <v>NOVEMBER 24 PLANNED</v>
      </c>
    </row>
    <row r="962" spans="1:11" x14ac:dyDescent="0.3">
      <c r="A962" s="7">
        <f t="shared" si="57"/>
        <v>2</v>
      </c>
      <c r="B962" s="5">
        <v>45612</v>
      </c>
      <c r="C962" s="6" t="s">
        <v>117</v>
      </c>
      <c r="D962" s="6">
        <v>24</v>
      </c>
      <c r="E962" s="7">
        <f>DAY(TableAopCalendar[[#This Row],[Date]])</f>
        <v>16</v>
      </c>
      <c r="F962" s="7">
        <f>IF(TableAopCalendar[[#This Row],[Day]]&lt;8,1,IF(TableAopCalendar[[#This Row],[Day]]&lt;15,2,IF(TableAopCalendar[[#This Row],[Day]]&lt;22,3,IF(TableAopCalendar[[#This Row],[Day]]&lt;29,4,IF(TableAopCalendar[[#This Row],[Day]]&lt;32,5)))))</f>
        <v>3</v>
      </c>
      <c r="G962" s="7" t="str">
        <f t="shared" si="58"/>
        <v>Week 3</v>
      </c>
      <c r="H962" s="7" t="str">
        <f t="shared" si="59"/>
        <v>November 24 Week 3</v>
      </c>
      <c r="I962" s="7" t="str">
        <f>CONCATENATE(UPPER(TableAopCalendar[[#This Row],[Month]])," ",TableAopCalendar[[#This Row],[Year]])</f>
        <v>NOVEMBER 24</v>
      </c>
      <c r="J962" s="7" t="s">
        <v>274</v>
      </c>
      <c r="K962" s="7" t="str">
        <f>CONCATENATE(TableAopCalendar[[#This Row],[Month for Plan]]," ",TableAopCalendar[[#This Row],[Plan]])</f>
        <v>NOVEMBER 24 PLANNED</v>
      </c>
    </row>
    <row r="963" spans="1:11" x14ac:dyDescent="0.3">
      <c r="A963" s="7">
        <f t="shared" si="57"/>
        <v>3</v>
      </c>
      <c r="B963" s="5">
        <v>45613</v>
      </c>
      <c r="C963" s="6" t="s">
        <v>117</v>
      </c>
      <c r="D963" s="6">
        <v>24</v>
      </c>
      <c r="E963" s="7">
        <f>DAY(TableAopCalendar[[#This Row],[Date]])</f>
        <v>17</v>
      </c>
      <c r="F963" s="7">
        <f>IF(TableAopCalendar[[#This Row],[Day]]&lt;8,1,IF(TableAopCalendar[[#This Row],[Day]]&lt;15,2,IF(TableAopCalendar[[#This Row],[Day]]&lt;22,3,IF(TableAopCalendar[[#This Row],[Day]]&lt;29,4,IF(TableAopCalendar[[#This Row],[Day]]&lt;32,5)))))</f>
        <v>3</v>
      </c>
      <c r="G963" s="7" t="str">
        <f t="shared" si="58"/>
        <v>Week 3</v>
      </c>
      <c r="H963" s="7" t="str">
        <f t="shared" si="59"/>
        <v>November 24 Week 3</v>
      </c>
      <c r="I963" s="7" t="str">
        <f>CONCATENATE(UPPER(TableAopCalendar[[#This Row],[Month]])," ",TableAopCalendar[[#This Row],[Year]])</f>
        <v>NOVEMBER 24</v>
      </c>
      <c r="J963" s="7" t="s">
        <v>274</v>
      </c>
      <c r="K963" s="7" t="str">
        <f>CONCATENATE(TableAopCalendar[[#This Row],[Month for Plan]]," ",TableAopCalendar[[#This Row],[Plan]])</f>
        <v>NOVEMBER 24 PLANNED</v>
      </c>
    </row>
    <row r="964" spans="1:11" x14ac:dyDescent="0.3">
      <c r="A964" s="7">
        <f t="shared" si="57"/>
        <v>4</v>
      </c>
      <c r="B964" s="5">
        <v>45614</v>
      </c>
      <c r="C964" s="6" t="s">
        <v>117</v>
      </c>
      <c r="D964" s="6">
        <v>24</v>
      </c>
      <c r="E964" s="7">
        <f>DAY(TableAopCalendar[[#This Row],[Date]])</f>
        <v>18</v>
      </c>
      <c r="F964" s="7">
        <f>IF(TableAopCalendar[[#This Row],[Day]]&lt;8,1,IF(TableAopCalendar[[#This Row],[Day]]&lt;15,2,IF(TableAopCalendar[[#This Row],[Day]]&lt;22,3,IF(TableAopCalendar[[#This Row],[Day]]&lt;29,4,IF(TableAopCalendar[[#This Row],[Day]]&lt;32,5)))))</f>
        <v>3</v>
      </c>
      <c r="G964" s="7" t="str">
        <f t="shared" si="58"/>
        <v>Week 3</v>
      </c>
      <c r="H964" s="7" t="str">
        <f t="shared" si="59"/>
        <v>November 24 Week 3</v>
      </c>
      <c r="I964" s="7" t="str">
        <f>CONCATENATE(UPPER(TableAopCalendar[[#This Row],[Month]])," ",TableAopCalendar[[#This Row],[Year]])</f>
        <v>NOVEMBER 24</v>
      </c>
      <c r="J964" s="7" t="s">
        <v>274</v>
      </c>
      <c r="K964" s="7" t="str">
        <f>CONCATENATE(TableAopCalendar[[#This Row],[Month for Plan]]," ",TableAopCalendar[[#This Row],[Plan]])</f>
        <v>NOVEMBER 24 PLANNED</v>
      </c>
    </row>
    <row r="965" spans="1:11" x14ac:dyDescent="0.3">
      <c r="A965" s="7">
        <f t="shared" si="57"/>
        <v>5</v>
      </c>
      <c r="B965" s="5">
        <v>45615</v>
      </c>
      <c r="C965" s="6" t="s">
        <v>117</v>
      </c>
      <c r="D965" s="6">
        <v>24</v>
      </c>
      <c r="E965" s="7">
        <f>DAY(TableAopCalendar[[#This Row],[Date]])</f>
        <v>19</v>
      </c>
      <c r="F965" s="7">
        <f>IF(TableAopCalendar[[#This Row],[Day]]&lt;8,1,IF(TableAopCalendar[[#This Row],[Day]]&lt;15,2,IF(TableAopCalendar[[#This Row],[Day]]&lt;22,3,IF(TableAopCalendar[[#This Row],[Day]]&lt;29,4,IF(TableAopCalendar[[#This Row],[Day]]&lt;32,5)))))</f>
        <v>3</v>
      </c>
      <c r="G965" s="7" t="str">
        <f t="shared" si="58"/>
        <v>Week 3</v>
      </c>
      <c r="H965" s="7" t="str">
        <f t="shared" si="59"/>
        <v>November 24 Week 3</v>
      </c>
      <c r="I965" s="7" t="str">
        <f>CONCATENATE(UPPER(TableAopCalendar[[#This Row],[Month]])," ",TableAopCalendar[[#This Row],[Year]])</f>
        <v>NOVEMBER 24</v>
      </c>
      <c r="J965" s="7" t="s">
        <v>274</v>
      </c>
      <c r="K965" s="7" t="str">
        <f>CONCATENATE(TableAopCalendar[[#This Row],[Month for Plan]]," ",TableAopCalendar[[#This Row],[Plan]])</f>
        <v>NOVEMBER 24 PLANNED</v>
      </c>
    </row>
    <row r="966" spans="1:11" x14ac:dyDescent="0.3">
      <c r="A966" s="7">
        <f t="shared" ref="A966:A1029" si="60">IF(G966=G965,A965+1,1)</f>
        <v>6</v>
      </c>
      <c r="B966" s="5">
        <v>45616</v>
      </c>
      <c r="C966" s="6" t="s">
        <v>117</v>
      </c>
      <c r="D966" s="6">
        <v>24</v>
      </c>
      <c r="E966" s="7">
        <f>DAY(TableAopCalendar[[#This Row],[Date]])</f>
        <v>20</v>
      </c>
      <c r="F966" s="7">
        <f>IF(TableAopCalendar[[#This Row],[Day]]&lt;8,1,IF(TableAopCalendar[[#This Row],[Day]]&lt;15,2,IF(TableAopCalendar[[#This Row],[Day]]&lt;22,3,IF(TableAopCalendar[[#This Row],[Day]]&lt;29,4,IF(TableAopCalendar[[#This Row],[Day]]&lt;32,5)))))</f>
        <v>3</v>
      </c>
      <c r="G966" s="7" t="str">
        <f t="shared" ref="G966:G1029" si="61">"Week"&amp;" "&amp;F966</f>
        <v>Week 3</v>
      </c>
      <c r="H966" s="7" t="str">
        <f t="shared" ref="H966:H1029" si="62">CONCATENATE(C966," ",D966," ",G966)</f>
        <v>November 24 Week 3</v>
      </c>
      <c r="I966" s="7" t="str">
        <f>CONCATENATE(UPPER(TableAopCalendar[[#This Row],[Month]])," ",TableAopCalendar[[#This Row],[Year]])</f>
        <v>NOVEMBER 24</v>
      </c>
      <c r="J966" s="7" t="s">
        <v>274</v>
      </c>
      <c r="K966" s="7" t="str">
        <f>CONCATENATE(TableAopCalendar[[#This Row],[Month for Plan]]," ",TableAopCalendar[[#This Row],[Plan]])</f>
        <v>NOVEMBER 24 PLANNED</v>
      </c>
    </row>
    <row r="967" spans="1:11" x14ac:dyDescent="0.3">
      <c r="A967" s="7">
        <f t="shared" si="60"/>
        <v>7</v>
      </c>
      <c r="B967" s="5">
        <v>45617</v>
      </c>
      <c r="C967" s="6" t="s">
        <v>117</v>
      </c>
      <c r="D967" s="6">
        <v>24</v>
      </c>
      <c r="E967" s="7">
        <f>DAY(TableAopCalendar[[#This Row],[Date]])</f>
        <v>21</v>
      </c>
      <c r="F967" s="7">
        <f>IF(TableAopCalendar[[#This Row],[Day]]&lt;8,1,IF(TableAopCalendar[[#This Row],[Day]]&lt;15,2,IF(TableAopCalendar[[#This Row],[Day]]&lt;22,3,IF(TableAopCalendar[[#This Row],[Day]]&lt;29,4,IF(TableAopCalendar[[#This Row],[Day]]&lt;32,5)))))</f>
        <v>3</v>
      </c>
      <c r="G967" s="7" t="str">
        <f t="shared" si="61"/>
        <v>Week 3</v>
      </c>
      <c r="H967" s="7" t="str">
        <f t="shared" si="62"/>
        <v>November 24 Week 3</v>
      </c>
      <c r="I967" s="7" t="str">
        <f>CONCATENATE(UPPER(TableAopCalendar[[#This Row],[Month]])," ",TableAopCalendar[[#This Row],[Year]])</f>
        <v>NOVEMBER 24</v>
      </c>
      <c r="J967" s="7" t="s">
        <v>274</v>
      </c>
      <c r="K967" s="7" t="str">
        <f>CONCATENATE(TableAopCalendar[[#This Row],[Month for Plan]]," ",TableAopCalendar[[#This Row],[Plan]])</f>
        <v>NOVEMBER 24 PLANNED</v>
      </c>
    </row>
    <row r="968" spans="1:11" x14ac:dyDescent="0.3">
      <c r="A968" s="7">
        <f t="shared" si="60"/>
        <v>1</v>
      </c>
      <c r="B968" s="5">
        <v>45618</v>
      </c>
      <c r="C968" s="6" t="s">
        <v>117</v>
      </c>
      <c r="D968" s="6">
        <v>24</v>
      </c>
      <c r="E968" s="7">
        <f>DAY(TableAopCalendar[[#This Row],[Date]])</f>
        <v>22</v>
      </c>
      <c r="F968" s="7">
        <f>IF(TableAopCalendar[[#This Row],[Day]]&lt;8,1,IF(TableAopCalendar[[#This Row],[Day]]&lt;15,2,IF(TableAopCalendar[[#This Row],[Day]]&lt;22,3,IF(TableAopCalendar[[#This Row],[Day]]&lt;29,4,IF(TableAopCalendar[[#This Row],[Day]]&lt;32,5)))))</f>
        <v>4</v>
      </c>
      <c r="G968" s="7" t="str">
        <f t="shared" si="61"/>
        <v>Week 4</v>
      </c>
      <c r="H968" s="7" t="str">
        <f t="shared" si="62"/>
        <v>November 24 Week 4</v>
      </c>
      <c r="I968" s="7" t="str">
        <f>CONCATENATE(UPPER(TableAopCalendar[[#This Row],[Month]])," ",TableAopCalendar[[#This Row],[Year]])</f>
        <v>NOVEMBER 24</v>
      </c>
      <c r="J968" s="7" t="s">
        <v>274</v>
      </c>
      <c r="K968" s="7" t="str">
        <f>CONCATENATE(TableAopCalendar[[#This Row],[Month for Plan]]," ",TableAopCalendar[[#This Row],[Plan]])</f>
        <v>NOVEMBER 24 PLANNED</v>
      </c>
    </row>
    <row r="969" spans="1:11" x14ac:dyDescent="0.3">
      <c r="A969" s="7">
        <f t="shared" si="60"/>
        <v>2</v>
      </c>
      <c r="B969" s="5">
        <v>45619</v>
      </c>
      <c r="C969" s="6" t="s">
        <v>117</v>
      </c>
      <c r="D969" s="6">
        <v>24</v>
      </c>
      <c r="E969" s="7">
        <f>DAY(TableAopCalendar[[#This Row],[Date]])</f>
        <v>23</v>
      </c>
      <c r="F969" s="7">
        <f>IF(TableAopCalendar[[#This Row],[Day]]&lt;8,1,IF(TableAopCalendar[[#This Row],[Day]]&lt;15,2,IF(TableAopCalendar[[#This Row],[Day]]&lt;22,3,IF(TableAopCalendar[[#This Row],[Day]]&lt;29,4,IF(TableAopCalendar[[#This Row],[Day]]&lt;32,5)))))</f>
        <v>4</v>
      </c>
      <c r="G969" s="7" t="str">
        <f t="shared" si="61"/>
        <v>Week 4</v>
      </c>
      <c r="H969" s="7" t="str">
        <f t="shared" si="62"/>
        <v>November 24 Week 4</v>
      </c>
      <c r="I969" s="7" t="str">
        <f>CONCATENATE(UPPER(TableAopCalendar[[#This Row],[Month]])," ",TableAopCalendar[[#This Row],[Year]])</f>
        <v>NOVEMBER 24</v>
      </c>
      <c r="J969" s="7" t="s">
        <v>274</v>
      </c>
      <c r="K969" s="7" t="str">
        <f>CONCATENATE(TableAopCalendar[[#This Row],[Month for Plan]]," ",TableAopCalendar[[#This Row],[Plan]])</f>
        <v>NOVEMBER 24 PLANNED</v>
      </c>
    </row>
    <row r="970" spans="1:11" x14ac:dyDescent="0.3">
      <c r="A970" s="7">
        <f t="shared" si="60"/>
        <v>3</v>
      </c>
      <c r="B970" s="5">
        <v>45620</v>
      </c>
      <c r="C970" s="6" t="s">
        <v>117</v>
      </c>
      <c r="D970" s="6">
        <v>24</v>
      </c>
      <c r="E970" s="7">
        <f>DAY(TableAopCalendar[[#This Row],[Date]])</f>
        <v>24</v>
      </c>
      <c r="F970" s="7">
        <f>IF(TableAopCalendar[[#This Row],[Day]]&lt;8,1,IF(TableAopCalendar[[#This Row],[Day]]&lt;15,2,IF(TableAopCalendar[[#This Row],[Day]]&lt;22,3,IF(TableAopCalendar[[#This Row],[Day]]&lt;29,4,IF(TableAopCalendar[[#This Row],[Day]]&lt;32,5)))))</f>
        <v>4</v>
      </c>
      <c r="G970" s="7" t="str">
        <f t="shared" si="61"/>
        <v>Week 4</v>
      </c>
      <c r="H970" s="7" t="str">
        <f t="shared" si="62"/>
        <v>November 24 Week 4</v>
      </c>
      <c r="I970" s="7" t="str">
        <f>CONCATENATE(UPPER(TableAopCalendar[[#This Row],[Month]])," ",TableAopCalendar[[#This Row],[Year]])</f>
        <v>NOVEMBER 24</v>
      </c>
      <c r="J970" s="7" t="s">
        <v>274</v>
      </c>
      <c r="K970" s="7" t="str">
        <f>CONCATENATE(TableAopCalendar[[#This Row],[Month for Plan]]," ",TableAopCalendar[[#This Row],[Plan]])</f>
        <v>NOVEMBER 24 PLANNED</v>
      </c>
    </row>
    <row r="971" spans="1:11" x14ac:dyDescent="0.3">
      <c r="A971" s="7">
        <f t="shared" si="60"/>
        <v>4</v>
      </c>
      <c r="B971" s="5">
        <v>45621</v>
      </c>
      <c r="C971" s="6" t="s">
        <v>117</v>
      </c>
      <c r="D971" s="6">
        <v>24</v>
      </c>
      <c r="E971" s="7">
        <f>DAY(TableAopCalendar[[#This Row],[Date]])</f>
        <v>25</v>
      </c>
      <c r="F971" s="7">
        <f>IF(TableAopCalendar[[#This Row],[Day]]&lt;8,1,IF(TableAopCalendar[[#This Row],[Day]]&lt;15,2,IF(TableAopCalendar[[#This Row],[Day]]&lt;22,3,IF(TableAopCalendar[[#This Row],[Day]]&lt;29,4,IF(TableAopCalendar[[#This Row],[Day]]&lt;32,5)))))</f>
        <v>4</v>
      </c>
      <c r="G971" s="7" t="str">
        <f t="shared" si="61"/>
        <v>Week 4</v>
      </c>
      <c r="H971" s="7" t="str">
        <f t="shared" si="62"/>
        <v>November 24 Week 4</v>
      </c>
      <c r="I971" s="7" t="str">
        <f>CONCATENATE(UPPER(TableAopCalendar[[#This Row],[Month]])," ",TableAopCalendar[[#This Row],[Year]])</f>
        <v>NOVEMBER 24</v>
      </c>
      <c r="J971" s="7" t="s">
        <v>274</v>
      </c>
      <c r="K971" s="7" t="str">
        <f>CONCATENATE(TableAopCalendar[[#This Row],[Month for Plan]]," ",TableAopCalendar[[#This Row],[Plan]])</f>
        <v>NOVEMBER 24 PLANNED</v>
      </c>
    </row>
    <row r="972" spans="1:11" x14ac:dyDescent="0.3">
      <c r="A972" s="7">
        <f t="shared" si="60"/>
        <v>5</v>
      </c>
      <c r="B972" s="5">
        <v>45622</v>
      </c>
      <c r="C972" s="6" t="s">
        <v>117</v>
      </c>
      <c r="D972" s="6">
        <v>24</v>
      </c>
      <c r="E972" s="7">
        <f>DAY(TableAopCalendar[[#This Row],[Date]])</f>
        <v>26</v>
      </c>
      <c r="F972" s="7">
        <f>IF(TableAopCalendar[[#This Row],[Day]]&lt;8,1,IF(TableAopCalendar[[#This Row],[Day]]&lt;15,2,IF(TableAopCalendar[[#This Row],[Day]]&lt;22,3,IF(TableAopCalendar[[#This Row],[Day]]&lt;29,4,IF(TableAopCalendar[[#This Row],[Day]]&lt;32,5)))))</f>
        <v>4</v>
      </c>
      <c r="G972" s="7" t="str">
        <f t="shared" si="61"/>
        <v>Week 4</v>
      </c>
      <c r="H972" s="7" t="str">
        <f t="shared" si="62"/>
        <v>November 24 Week 4</v>
      </c>
      <c r="I972" s="7" t="str">
        <f>CONCATENATE(UPPER(TableAopCalendar[[#This Row],[Month]])," ",TableAopCalendar[[#This Row],[Year]])</f>
        <v>NOVEMBER 24</v>
      </c>
      <c r="J972" s="7" t="s">
        <v>274</v>
      </c>
      <c r="K972" s="7" t="str">
        <f>CONCATENATE(TableAopCalendar[[#This Row],[Month for Plan]]," ",TableAopCalendar[[#This Row],[Plan]])</f>
        <v>NOVEMBER 24 PLANNED</v>
      </c>
    </row>
    <row r="973" spans="1:11" x14ac:dyDescent="0.3">
      <c r="A973" s="7">
        <f t="shared" si="60"/>
        <v>6</v>
      </c>
      <c r="B973" s="5">
        <v>45623</v>
      </c>
      <c r="C973" s="6" t="s">
        <v>117</v>
      </c>
      <c r="D973" s="6">
        <v>24</v>
      </c>
      <c r="E973" s="7">
        <f>DAY(TableAopCalendar[[#This Row],[Date]])</f>
        <v>27</v>
      </c>
      <c r="F973" s="7">
        <f>IF(TableAopCalendar[[#This Row],[Day]]&lt;8,1,IF(TableAopCalendar[[#This Row],[Day]]&lt;15,2,IF(TableAopCalendar[[#This Row],[Day]]&lt;22,3,IF(TableAopCalendar[[#This Row],[Day]]&lt;29,4,IF(TableAopCalendar[[#This Row],[Day]]&lt;32,5)))))</f>
        <v>4</v>
      </c>
      <c r="G973" s="7" t="str">
        <f t="shared" si="61"/>
        <v>Week 4</v>
      </c>
      <c r="H973" s="7" t="str">
        <f t="shared" si="62"/>
        <v>November 24 Week 4</v>
      </c>
      <c r="I973" s="7" t="str">
        <f>CONCATENATE(UPPER(TableAopCalendar[[#This Row],[Month]])," ",TableAopCalendar[[#This Row],[Year]])</f>
        <v>NOVEMBER 24</v>
      </c>
      <c r="J973" s="7" t="s">
        <v>274</v>
      </c>
      <c r="K973" s="7" t="str">
        <f>CONCATENATE(TableAopCalendar[[#This Row],[Month for Plan]]," ",TableAopCalendar[[#This Row],[Plan]])</f>
        <v>NOVEMBER 24 PLANNED</v>
      </c>
    </row>
    <row r="974" spans="1:11" x14ac:dyDescent="0.3">
      <c r="A974" s="7">
        <f t="shared" si="60"/>
        <v>7</v>
      </c>
      <c r="B974" s="5">
        <v>45624</v>
      </c>
      <c r="C974" s="6" t="s">
        <v>117</v>
      </c>
      <c r="D974" s="6">
        <v>24</v>
      </c>
      <c r="E974" s="7">
        <f>DAY(TableAopCalendar[[#This Row],[Date]])</f>
        <v>28</v>
      </c>
      <c r="F974" s="7">
        <f>IF(TableAopCalendar[[#This Row],[Day]]&lt;8,1,IF(TableAopCalendar[[#This Row],[Day]]&lt;15,2,IF(TableAopCalendar[[#This Row],[Day]]&lt;22,3,IF(TableAopCalendar[[#This Row],[Day]]&lt;29,4,IF(TableAopCalendar[[#This Row],[Day]]&lt;32,5)))))</f>
        <v>4</v>
      </c>
      <c r="G974" s="7" t="str">
        <f t="shared" si="61"/>
        <v>Week 4</v>
      </c>
      <c r="H974" s="7" t="str">
        <f t="shared" si="62"/>
        <v>November 24 Week 4</v>
      </c>
      <c r="I974" s="7" t="str">
        <f>CONCATENATE(UPPER(TableAopCalendar[[#This Row],[Month]])," ",TableAopCalendar[[#This Row],[Year]])</f>
        <v>NOVEMBER 24</v>
      </c>
      <c r="J974" s="7" t="s">
        <v>274</v>
      </c>
      <c r="K974" s="7" t="str">
        <f>CONCATENATE(TableAopCalendar[[#This Row],[Month for Plan]]," ",TableAopCalendar[[#This Row],[Plan]])</f>
        <v>NOVEMBER 24 PLANNED</v>
      </c>
    </row>
    <row r="975" spans="1:11" x14ac:dyDescent="0.3">
      <c r="A975" s="7">
        <f t="shared" si="60"/>
        <v>1</v>
      </c>
      <c r="B975" s="5">
        <v>45625</v>
      </c>
      <c r="C975" s="6" t="s">
        <v>117</v>
      </c>
      <c r="D975" s="6">
        <v>24</v>
      </c>
      <c r="E975" s="7">
        <f>DAY(TableAopCalendar[[#This Row],[Date]])</f>
        <v>29</v>
      </c>
      <c r="F975" s="7">
        <f>IF(TableAopCalendar[[#This Row],[Day]]&lt;8,1,IF(TableAopCalendar[[#This Row],[Day]]&lt;15,2,IF(TableAopCalendar[[#This Row],[Day]]&lt;22,3,IF(TableAopCalendar[[#This Row],[Day]]&lt;29,4,IF(TableAopCalendar[[#This Row],[Day]]&lt;32,5)))))</f>
        <v>5</v>
      </c>
      <c r="G975" s="7" t="str">
        <f t="shared" si="61"/>
        <v>Week 5</v>
      </c>
      <c r="H975" s="7" t="str">
        <f t="shared" si="62"/>
        <v>November 24 Week 5</v>
      </c>
      <c r="I975" s="7" t="str">
        <f>CONCATENATE(UPPER(TableAopCalendar[[#This Row],[Month]])," ",TableAopCalendar[[#This Row],[Year]])</f>
        <v>NOVEMBER 24</v>
      </c>
      <c r="J975" s="7" t="s">
        <v>274</v>
      </c>
      <c r="K975" s="7" t="str">
        <f>CONCATENATE(TableAopCalendar[[#This Row],[Month for Plan]]," ",TableAopCalendar[[#This Row],[Plan]])</f>
        <v>NOVEMBER 24 PLANNED</v>
      </c>
    </row>
    <row r="976" spans="1:11" x14ac:dyDescent="0.3">
      <c r="A976" s="7">
        <f t="shared" si="60"/>
        <v>2</v>
      </c>
      <c r="B976" s="5">
        <v>45626</v>
      </c>
      <c r="C976" s="6" t="s">
        <v>117</v>
      </c>
      <c r="D976" s="6">
        <v>24</v>
      </c>
      <c r="E976" s="7">
        <f>DAY(TableAopCalendar[[#This Row],[Date]])</f>
        <v>30</v>
      </c>
      <c r="F976" s="7">
        <f>IF(TableAopCalendar[[#This Row],[Day]]&lt;8,1,IF(TableAopCalendar[[#This Row],[Day]]&lt;15,2,IF(TableAopCalendar[[#This Row],[Day]]&lt;22,3,IF(TableAopCalendar[[#This Row],[Day]]&lt;29,4,IF(TableAopCalendar[[#This Row],[Day]]&lt;32,5)))))</f>
        <v>5</v>
      </c>
      <c r="G976" s="7" t="str">
        <f t="shared" si="61"/>
        <v>Week 5</v>
      </c>
      <c r="H976" s="7" t="str">
        <f t="shared" si="62"/>
        <v>November 24 Week 5</v>
      </c>
      <c r="I976" s="7" t="str">
        <f>CONCATENATE(UPPER(TableAopCalendar[[#This Row],[Month]])," ",TableAopCalendar[[#This Row],[Year]])</f>
        <v>NOVEMBER 24</v>
      </c>
      <c r="J976" s="7" t="s">
        <v>274</v>
      </c>
      <c r="K976" s="7" t="str">
        <f>CONCATENATE(TableAopCalendar[[#This Row],[Month for Plan]]," ",TableAopCalendar[[#This Row],[Plan]])</f>
        <v>NOVEMBER 24 PLANNED</v>
      </c>
    </row>
    <row r="977" spans="1:11" x14ac:dyDescent="0.3">
      <c r="A977" s="7">
        <f t="shared" si="60"/>
        <v>1</v>
      </c>
      <c r="B977" s="5">
        <v>45627</v>
      </c>
      <c r="C977" s="6" t="s">
        <v>270</v>
      </c>
      <c r="D977" s="6">
        <v>24</v>
      </c>
      <c r="E977" s="7">
        <f>DAY(TableAopCalendar[[#This Row],[Date]])</f>
        <v>1</v>
      </c>
      <c r="F977" s="7">
        <f>IF(TableAopCalendar[[#This Row],[Day]]&lt;8,1,IF(TableAopCalendar[[#This Row],[Day]]&lt;15,2,IF(TableAopCalendar[[#This Row],[Day]]&lt;22,3,IF(TableAopCalendar[[#This Row],[Day]]&lt;29,4,IF(TableAopCalendar[[#This Row],[Day]]&lt;32,5)))))</f>
        <v>1</v>
      </c>
      <c r="G977" s="7" t="str">
        <f t="shared" si="61"/>
        <v>Week 1</v>
      </c>
      <c r="H977" s="7" t="str">
        <f t="shared" si="62"/>
        <v>December 24 Week 1</v>
      </c>
      <c r="I977" s="7" t="str">
        <f>CONCATENATE(UPPER(TableAopCalendar[[#This Row],[Month]])," ",TableAopCalendar[[#This Row],[Year]])</f>
        <v>DECEMBER 24</v>
      </c>
      <c r="J977" s="7" t="s">
        <v>274</v>
      </c>
      <c r="K977" s="7" t="str">
        <f>CONCATENATE(TableAopCalendar[[#This Row],[Month for Plan]]," ",TableAopCalendar[[#This Row],[Plan]])</f>
        <v>DECEMBER 24 PLANNED</v>
      </c>
    </row>
    <row r="978" spans="1:11" x14ac:dyDescent="0.3">
      <c r="A978" s="7">
        <f t="shared" si="60"/>
        <v>2</v>
      </c>
      <c r="B978" s="5">
        <v>45628</v>
      </c>
      <c r="C978" s="6" t="s">
        <v>270</v>
      </c>
      <c r="D978" s="6">
        <v>24</v>
      </c>
      <c r="E978" s="7">
        <f>DAY(TableAopCalendar[[#This Row],[Date]])</f>
        <v>2</v>
      </c>
      <c r="F978" s="7">
        <f>IF(TableAopCalendar[[#This Row],[Day]]&lt;8,1,IF(TableAopCalendar[[#This Row],[Day]]&lt;15,2,IF(TableAopCalendar[[#This Row],[Day]]&lt;22,3,IF(TableAopCalendar[[#This Row],[Day]]&lt;29,4,IF(TableAopCalendar[[#This Row],[Day]]&lt;32,5)))))</f>
        <v>1</v>
      </c>
      <c r="G978" s="7" t="str">
        <f t="shared" si="61"/>
        <v>Week 1</v>
      </c>
      <c r="H978" s="7" t="str">
        <f t="shared" si="62"/>
        <v>December 24 Week 1</v>
      </c>
      <c r="I978" s="7" t="str">
        <f>CONCATENATE(UPPER(TableAopCalendar[[#This Row],[Month]])," ",TableAopCalendar[[#This Row],[Year]])</f>
        <v>DECEMBER 24</v>
      </c>
      <c r="J978" s="7" t="s">
        <v>274</v>
      </c>
      <c r="K978" s="7" t="str">
        <f>CONCATENATE(TableAopCalendar[[#This Row],[Month for Plan]]," ",TableAopCalendar[[#This Row],[Plan]])</f>
        <v>DECEMBER 24 PLANNED</v>
      </c>
    </row>
    <row r="979" spans="1:11" x14ac:dyDescent="0.3">
      <c r="A979" s="7">
        <f t="shared" si="60"/>
        <v>3</v>
      </c>
      <c r="B979" s="5">
        <v>45629</v>
      </c>
      <c r="C979" s="6" t="s">
        <v>270</v>
      </c>
      <c r="D979" s="6">
        <v>24</v>
      </c>
      <c r="E979" s="7">
        <f>DAY(TableAopCalendar[[#This Row],[Date]])</f>
        <v>3</v>
      </c>
      <c r="F979" s="7">
        <f>IF(TableAopCalendar[[#This Row],[Day]]&lt;8,1,IF(TableAopCalendar[[#This Row],[Day]]&lt;15,2,IF(TableAopCalendar[[#This Row],[Day]]&lt;22,3,IF(TableAopCalendar[[#This Row],[Day]]&lt;29,4,IF(TableAopCalendar[[#This Row],[Day]]&lt;32,5)))))</f>
        <v>1</v>
      </c>
      <c r="G979" s="7" t="str">
        <f t="shared" si="61"/>
        <v>Week 1</v>
      </c>
      <c r="H979" s="7" t="str">
        <f t="shared" si="62"/>
        <v>December 24 Week 1</v>
      </c>
      <c r="I979" s="7" t="str">
        <f>CONCATENATE(UPPER(TableAopCalendar[[#This Row],[Month]])," ",TableAopCalendar[[#This Row],[Year]])</f>
        <v>DECEMBER 24</v>
      </c>
      <c r="J979" s="7" t="s">
        <v>274</v>
      </c>
      <c r="K979" s="7" t="str">
        <f>CONCATENATE(TableAopCalendar[[#This Row],[Month for Plan]]," ",TableAopCalendar[[#This Row],[Plan]])</f>
        <v>DECEMBER 24 PLANNED</v>
      </c>
    </row>
    <row r="980" spans="1:11" x14ac:dyDescent="0.3">
      <c r="A980" s="7">
        <f t="shared" si="60"/>
        <v>4</v>
      </c>
      <c r="B980" s="5">
        <v>45630</v>
      </c>
      <c r="C980" s="6" t="s">
        <v>270</v>
      </c>
      <c r="D980" s="6">
        <v>24</v>
      </c>
      <c r="E980" s="7">
        <f>DAY(TableAopCalendar[[#This Row],[Date]])</f>
        <v>4</v>
      </c>
      <c r="F980" s="7">
        <f>IF(TableAopCalendar[[#This Row],[Day]]&lt;8,1,IF(TableAopCalendar[[#This Row],[Day]]&lt;15,2,IF(TableAopCalendar[[#This Row],[Day]]&lt;22,3,IF(TableAopCalendar[[#This Row],[Day]]&lt;29,4,IF(TableAopCalendar[[#This Row],[Day]]&lt;32,5)))))</f>
        <v>1</v>
      </c>
      <c r="G980" s="7" t="str">
        <f t="shared" si="61"/>
        <v>Week 1</v>
      </c>
      <c r="H980" s="7" t="str">
        <f t="shared" si="62"/>
        <v>December 24 Week 1</v>
      </c>
      <c r="I980" s="7" t="str">
        <f>CONCATENATE(UPPER(TableAopCalendar[[#This Row],[Month]])," ",TableAopCalendar[[#This Row],[Year]])</f>
        <v>DECEMBER 24</v>
      </c>
      <c r="J980" s="7" t="s">
        <v>274</v>
      </c>
      <c r="K980" s="7" t="str">
        <f>CONCATENATE(TableAopCalendar[[#This Row],[Month for Plan]]," ",TableAopCalendar[[#This Row],[Plan]])</f>
        <v>DECEMBER 24 PLANNED</v>
      </c>
    </row>
    <row r="981" spans="1:11" x14ac:dyDescent="0.3">
      <c r="A981" s="7">
        <f t="shared" si="60"/>
        <v>5</v>
      </c>
      <c r="B981" s="5">
        <v>45631</v>
      </c>
      <c r="C981" s="6" t="s">
        <v>270</v>
      </c>
      <c r="D981" s="6">
        <v>24</v>
      </c>
      <c r="E981" s="7">
        <f>DAY(TableAopCalendar[[#This Row],[Date]])</f>
        <v>5</v>
      </c>
      <c r="F981" s="7">
        <f>IF(TableAopCalendar[[#This Row],[Day]]&lt;8,1,IF(TableAopCalendar[[#This Row],[Day]]&lt;15,2,IF(TableAopCalendar[[#This Row],[Day]]&lt;22,3,IF(TableAopCalendar[[#This Row],[Day]]&lt;29,4,IF(TableAopCalendar[[#This Row],[Day]]&lt;32,5)))))</f>
        <v>1</v>
      </c>
      <c r="G981" s="7" t="str">
        <f t="shared" si="61"/>
        <v>Week 1</v>
      </c>
      <c r="H981" s="7" t="str">
        <f t="shared" si="62"/>
        <v>December 24 Week 1</v>
      </c>
      <c r="I981" s="7" t="str">
        <f>CONCATENATE(UPPER(TableAopCalendar[[#This Row],[Month]])," ",TableAopCalendar[[#This Row],[Year]])</f>
        <v>DECEMBER 24</v>
      </c>
      <c r="J981" s="7" t="s">
        <v>274</v>
      </c>
      <c r="K981" s="7" t="str">
        <f>CONCATENATE(TableAopCalendar[[#This Row],[Month for Plan]]," ",TableAopCalendar[[#This Row],[Plan]])</f>
        <v>DECEMBER 24 PLANNED</v>
      </c>
    </row>
    <row r="982" spans="1:11" x14ac:dyDescent="0.3">
      <c r="A982" s="7">
        <f t="shared" si="60"/>
        <v>6</v>
      </c>
      <c r="B982" s="5">
        <v>45632</v>
      </c>
      <c r="C982" s="6" t="s">
        <v>270</v>
      </c>
      <c r="D982" s="6">
        <v>24</v>
      </c>
      <c r="E982" s="7">
        <f>DAY(TableAopCalendar[[#This Row],[Date]])</f>
        <v>6</v>
      </c>
      <c r="F982" s="7">
        <f>IF(TableAopCalendar[[#This Row],[Day]]&lt;8,1,IF(TableAopCalendar[[#This Row],[Day]]&lt;15,2,IF(TableAopCalendar[[#This Row],[Day]]&lt;22,3,IF(TableAopCalendar[[#This Row],[Day]]&lt;29,4,IF(TableAopCalendar[[#This Row],[Day]]&lt;32,5)))))</f>
        <v>1</v>
      </c>
      <c r="G982" s="7" t="str">
        <f t="shared" si="61"/>
        <v>Week 1</v>
      </c>
      <c r="H982" s="7" t="str">
        <f t="shared" si="62"/>
        <v>December 24 Week 1</v>
      </c>
      <c r="I982" s="7" t="str">
        <f>CONCATENATE(UPPER(TableAopCalendar[[#This Row],[Month]])," ",TableAopCalendar[[#This Row],[Year]])</f>
        <v>DECEMBER 24</v>
      </c>
      <c r="J982" s="7" t="s">
        <v>274</v>
      </c>
      <c r="K982" s="7" t="str">
        <f>CONCATENATE(TableAopCalendar[[#This Row],[Month for Plan]]," ",TableAopCalendar[[#This Row],[Plan]])</f>
        <v>DECEMBER 24 PLANNED</v>
      </c>
    </row>
    <row r="983" spans="1:11" x14ac:dyDescent="0.3">
      <c r="A983" s="7">
        <f t="shared" si="60"/>
        <v>7</v>
      </c>
      <c r="B983" s="5">
        <v>45633</v>
      </c>
      <c r="C983" s="6" t="s">
        <v>270</v>
      </c>
      <c r="D983" s="6">
        <v>24</v>
      </c>
      <c r="E983" s="7">
        <f>DAY(TableAopCalendar[[#This Row],[Date]])</f>
        <v>7</v>
      </c>
      <c r="F983" s="7">
        <f>IF(TableAopCalendar[[#This Row],[Day]]&lt;8,1,IF(TableAopCalendar[[#This Row],[Day]]&lt;15,2,IF(TableAopCalendar[[#This Row],[Day]]&lt;22,3,IF(TableAopCalendar[[#This Row],[Day]]&lt;29,4,IF(TableAopCalendar[[#This Row],[Day]]&lt;32,5)))))</f>
        <v>1</v>
      </c>
      <c r="G983" s="7" t="str">
        <f t="shared" si="61"/>
        <v>Week 1</v>
      </c>
      <c r="H983" s="7" t="str">
        <f t="shared" si="62"/>
        <v>December 24 Week 1</v>
      </c>
      <c r="I983" s="7" t="str">
        <f>CONCATENATE(UPPER(TableAopCalendar[[#This Row],[Month]])," ",TableAopCalendar[[#This Row],[Year]])</f>
        <v>DECEMBER 24</v>
      </c>
      <c r="J983" s="7" t="s">
        <v>274</v>
      </c>
      <c r="K983" s="7" t="str">
        <f>CONCATENATE(TableAopCalendar[[#This Row],[Month for Plan]]," ",TableAopCalendar[[#This Row],[Plan]])</f>
        <v>DECEMBER 24 PLANNED</v>
      </c>
    </row>
    <row r="984" spans="1:11" x14ac:dyDescent="0.3">
      <c r="A984" s="7">
        <f t="shared" si="60"/>
        <v>1</v>
      </c>
      <c r="B984" s="5">
        <v>45634</v>
      </c>
      <c r="C984" s="6" t="s">
        <v>270</v>
      </c>
      <c r="D984" s="6">
        <v>24</v>
      </c>
      <c r="E984" s="7">
        <f>DAY(TableAopCalendar[[#This Row],[Date]])</f>
        <v>8</v>
      </c>
      <c r="F984" s="7">
        <f>IF(TableAopCalendar[[#This Row],[Day]]&lt;8,1,IF(TableAopCalendar[[#This Row],[Day]]&lt;15,2,IF(TableAopCalendar[[#This Row],[Day]]&lt;22,3,IF(TableAopCalendar[[#This Row],[Day]]&lt;29,4,IF(TableAopCalendar[[#This Row],[Day]]&lt;32,5)))))</f>
        <v>2</v>
      </c>
      <c r="G984" s="7" t="str">
        <f t="shared" si="61"/>
        <v>Week 2</v>
      </c>
      <c r="H984" s="7" t="str">
        <f t="shared" si="62"/>
        <v>December 24 Week 2</v>
      </c>
      <c r="I984" s="7" t="str">
        <f>CONCATENATE(UPPER(TableAopCalendar[[#This Row],[Month]])," ",TableAopCalendar[[#This Row],[Year]])</f>
        <v>DECEMBER 24</v>
      </c>
      <c r="J984" s="7" t="s">
        <v>274</v>
      </c>
      <c r="K984" s="7" t="str">
        <f>CONCATENATE(TableAopCalendar[[#This Row],[Month for Plan]]," ",TableAopCalendar[[#This Row],[Plan]])</f>
        <v>DECEMBER 24 PLANNED</v>
      </c>
    </row>
    <row r="985" spans="1:11" x14ac:dyDescent="0.3">
      <c r="A985" s="7">
        <f t="shared" si="60"/>
        <v>2</v>
      </c>
      <c r="B985" s="5">
        <v>45635</v>
      </c>
      <c r="C985" s="6" t="s">
        <v>270</v>
      </c>
      <c r="D985" s="6">
        <v>24</v>
      </c>
      <c r="E985" s="7">
        <f>DAY(TableAopCalendar[[#This Row],[Date]])</f>
        <v>9</v>
      </c>
      <c r="F985" s="7">
        <f>IF(TableAopCalendar[[#This Row],[Day]]&lt;8,1,IF(TableAopCalendar[[#This Row],[Day]]&lt;15,2,IF(TableAopCalendar[[#This Row],[Day]]&lt;22,3,IF(TableAopCalendar[[#This Row],[Day]]&lt;29,4,IF(TableAopCalendar[[#This Row],[Day]]&lt;32,5)))))</f>
        <v>2</v>
      </c>
      <c r="G985" s="7" t="str">
        <f t="shared" si="61"/>
        <v>Week 2</v>
      </c>
      <c r="H985" s="7" t="str">
        <f t="shared" si="62"/>
        <v>December 24 Week 2</v>
      </c>
      <c r="I985" s="7" t="str">
        <f>CONCATENATE(UPPER(TableAopCalendar[[#This Row],[Month]])," ",TableAopCalendar[[#This Row],[Year]])</f>
        <v>DECEMBER 24</v>
      </c>
      <c r="J985" s="7" t="s">
        <v>274</v>
      </c>
      <c r="K985" s="7" t="str">
        <f>CONCATENATE(TableAopCalendar[[#This Row],[Month for Plan]]," ",TableAopCalendar[[#This Row],[Plan]])</f>
        <v>DECEMBER 24 PLANNED</v>
      </c>
    </row>
    <row r="986" spans="1:11" x14ac:dyDescent="0.3">
      <c r="A986" s="7">
        <f t="shared" si="60"/>
        <v>3</v>
      </c>
      <c r="B986" s="5">
        <v>45636</v>
      </c>
      <c r="C986" s="6" t="s">
        <v>270</v>
      </c>
      <c r="D986" s="6">
        <v>24</v>
      </c>
      <c r="E986" s="7">
        <f>DAY(TableAopCalendar[[#This Row],[Date]])</f>
        <v>10</v>
      </c>
      <c r="F986" s="7">
        <f>IF(TableAopCalendar[[#This Row],[Day]]&lt;8,1,IF(TableAopCalendar[[#This Row],[Day]]&lt;15,2,IF(TableAopCalendar[[#This Row],[Day]]&lt;22,3,IF(TableAopCalendar[[#This Row],[Day]]&lt;29,4,IF(TableAopCalendar[[#This Row],[Day]]&lt;32,5)))))</f>
        <v>2</v>
      </c>
      <c r="G986" s="7" t="str">
        <f t="shared" si="61"/>
        <v>Week 2</v>
      </c>
      <c r="H986" s="7" t="str">
        <f t="shared" si="62"/>
        <v>December 24 Week 2</v>
      </c>
      <c r="I986" s="7" t="str">
        <f>CONCATENATE(UPPER(TableAopCalendar[[#This Row],[Month]])," ",TableAopCalendar[[#This Row],[Year]])</f>
        <v>DECEMBER 24</v>
      </c>
      <c r="J986" s="7" t="s">
        <v>274</v>
      </c>
      <c r="K986" s="7" t="str">
        <f>CONCATENATE(TableAopCalendar[[#This Row],[Month for Plan]]," ",TableAopCalendar[[#This Row],[Plan]])</f>
        <v>DECEMBER 24 PLANNED</v>
      </c>
    </row>
    <row r="987" spans="1:11" x14ac:dyDescent="0.3">
      <c r="A987" s="7">
        <f t="shared" si="60"/>
        <v>4</v>
      </c>
      <c r="B987" s="5">
        <v>45637</v>
      </c>
      <c r="C987" s="6" t="s">
        <v>270</v>
      </c>
      <c r="D987" s="6">
        <v>24</v>
      </c>
      <c r="E987" s="7">
        <f>DAY(TableAopCalendar[[#This Row],[Date]])</f>
        <v>11</v>
      </c>
      <c r="F987" s="7">
        <f>IF(TableAopCalendar[[#This Row],[Day]]&lt;8,1,IF(TableAopCalendar[[#This Row],[Day]]&lt;15,2,IF(TableAopCalendar[[#This Row],[Day]]&lt;22,3,IF(TableAopCalendar[[#This Row],[Day]]&lt;29,4,IF(TableAopCalendar[[#This Row],[Day]]&lt;32,5)))))</f>
        <v>2</v>
      </c>
      <c r="G987" s="7" t="str">
        <f t="shared" si="61"/>
        <v>Week 2</v>
      </c>
      <c r="H987" s="7" t="str">
        <f t="shared" si="62"/>
        <v>December 24 Week 2</v>
      </c>
      <c r="I987" s="7" t="str">
        <f>CONCATENATE(UPPER(TableAopCalendar[[#This Row],[Month]])," ",TableAopCalendar[[#This Row],[Year]])</f>
        <v>DECEMBER 24</v>
      </c>
      <c r="J987" s="7" t="s">
        <v>274</v>
      </c>
      <c r="K987" s="7" t="str">
        <f>CONCATENATE(TableAopCalendar[[#This Row],[Month for Plan]]," ",TableAopCalendar[[#This Row],[Plan]])</f>
        <v>DECEMBER 24 PLANNED</v>
      </c>
    </row>
    <row r="988" spans="1:11" x14ac:dyDescent="0.3">
      <c r="A988" s="7">
        <f t="shared" si="60"/>
        <v>5</v>
      </c>
      <c r="B988" s="5">
        <v>45638</v>
      </c>
      <c r="C988" s="6" t="s">
        <v>270</v>
      </c>
      <c r="D988" s="6">
        <v>24</v>
      </c>
      <c r="E988" s="7">
        <f>DAY(TableAopCalendar[[#This Row],[Date]])</f>
        <v>12</v>
      </c>
      <c r="F988" s="7">
        <f>IF(TableAopCalendar[[#This Row],[Day]]&lt;8,1,IF(TableAopCalendar[[#This Row],[Day]]&lt;15,2,IF(TableAopCalendar[[#This Row],[Day]]&lt;22,3,IF(TableAopCalendar[[#This Row],[Day]]&lt;29,4,IF(TableAopCalendar[[#This Row],[Day]]&lt;32,5)))))</f>
        <v>2</v>
      </c>
      <c r="G988" s="7" t="str">
        <f t="shared" si="61"/>
        <v>Week 2</v>
      </c>
      <c r="H988" s="7" t="str">
        <f t="shared" si="62"/>
        <v>December 24 Week 2</v>
      </c>
      <c r="I988" s="7" t="str">
        <f>CONCATENATE(UPPER(TableAopCalendar[[#This Row],[Month]])," ",TableAopCalendar[[#This Row],[Year]])</f>
        <v>DECEMBER 24</v>
      </c>
      <c r="J988" s="7" t="s">
        <v>274</v>
      </c>
      <c r="K988" s="7" t="str">
        <f>CONCATENATE(TableAopCalendar[[#This Row],[Month for Plan]]," ",TableAopCalendar[[#This Row],[Plan]])</f>
        <v>DECEMBER 24 PLANNED</v>
      </c>
    </row>
    <row r="989" spans="1:11" x14ac:dyDescent="0.3">
      <c r="A989" s="7">
        <f t="shared" si="60"/>
        <v>6</v>
      </c>
      <c r="B989" s="5">
        <v>45639</v>
      </c>
      <c r="C989" s="6" t="s">
        <v>270</v>
      </c>
      <c r="D989" s="6">
        <v>24</v>
      </c>
      <c r="E989" s="7">
        <f>DAY(TableAopCalendar[[#This Row],[Date]])</f>
        <v>13</v>
      </c>
      <c r="F989" s="7">
        <f>IF(TableAopCalendar[[#This Row],[Day]]&lt;8,1,IF(TableAopCalendar[[#This Row],[Day]]&lt;15,2,IF(TableAopCalendar[[#This Row],[Day]]&lt;22,3,IF(TableAopCalendar[[#This Row],[Day]]&lt;29,4,IF(TableAopCalendar[[#This Row],[Day]]&lt;32,5)))))</f>
        <v>2</v>
      </c>
      <c r="G989" s="7" t="str">
        <f t="shared" si="61"/>
        <v>Week 2</v>
      </c>
      <c r="H989" s="7" t="str">
        <f t="shared" si="62"/>
        <v>December 24 Week 2</v>
      </c>
      <c r="I989" s="7" t="str">
        <f>CONCATENATE(UPPER(TableAopCalendar[[#This Row],[Month]])," ",TableAopCalendar[[#This Row],[Year]])</f>
        <v>DECEMBER 24</v>
      </c>
      <c r="J989" s="7" t="s">
        <v>274</v>
      </c>
      <c r="K989" s="7" t="str">
        <f>CONCATENATE(TableAopCalendar[[#This Row],[Month for Plan]]," ",TableAopCalendar[[#This Row],[Plan]])</f>
        <v>DECEMBER 24 PLANNED</v>
      </c>
    </row>
    <row r="990" spans="1:11" x14ac:dyDescent="0.3">
      <c r="A990" s="7">
        <f t="shared" si="60"/>
        <v>7</v>
      </c>
      <c r="B990" s="5">
        <v>45640</v>
      </c>
      <c r="C990" s="6" t="s">
        <v>270</v>
      </c>
      <c r="D990" s="6">
        <v>24</v>
      </c>
      <c r="E990" s="7">
        <f>DAY(TableAopCalendar[[#This Row],[Date]])</f>
        <v>14</v>
      </c>
      <c r="F990" s="7">
        <f>IF(TableAopCalendar[[#This Row],[Day]]&lt;8,1,IF(TableAopCalendar[[#This Row],[Day]]&lt;15,2,IF(TableAopCalendar[[#This Row],[Day]]&lt;22,3,IF(TableAopCalendar[[#This Row],[Day]]&lt;29,4,IF(TableAopCalendar[[#This Row],[Day]]&lt;32,5)))))</f>
        <v>2</v>
      </c>
      <c r="G990" s="7" t="str">
        <f t="shared" si="61"/>
        <v>Week 2</v>
      </c>
      <c r="H990" s="7" t="str">
        <f t="shared" si="62"/>
        <v>December 24 Week 2</v>
      </c>
      <c r="I990" s="7" t="str">
        <f>CONCATENATE(UPPER(TableAopCalendar[[#This Row],[Month]])," ",TableAopCalendar[[#This Row],[Year]])</f>
        <v>DECEMBER 24</v>
      </c>
      <c r="J990" s="7" t="s">
        <v>274</v>
      </c>
      <c r="K990" s="7" t="str">
        <f>CONCATENATE(TableAopCalendar[[#This Row],[Month for Plan]]," ",TableAopCalendar[[#This Row],[Plan]])</f>
        <v>DECEMBER 24 PLANNED</v>
      </c>
    </row>
    <row r="991" spans="1:11" x14ac:dyDescent="0.3">
      <c r="A991" s="7">
        <f t="shared" si="60"/>
        <v>1</v>
      </c>
      <c r="B991" s="5">
        <v>45641</v>
      </c>
      <c r="C991" s="6" t="s">
        <v>270</v>
      </c>
      <c r="D991" s="6">
        <v>24</v>
      </c>
      <c r="E991" s="7">
        <f>DAY(TableAopCalendar[[#This Row],[Date]])</f>
        <v>15</v>
      </c>
      <c r="F991" s="7">
        <f>IF(TableAopCalendar[[#This Row],[Day]]&lt;8,1,IF(TableAopCalendar[[#This Row],[Day]]&lt;15,2,IF(TableAopCalendar[[#This Row],[Day]]&lt;22,3,IF(TableAopCalendar[[#This Row],[Day]]&lt;29,4,IF(TableAopCalendar[[#This Row],[Day]]&lt;32,5)))))</f>
        <v>3</v>
      </c>
      <c r="G991" s="7" t="str">
        <f t="shared" si="61"/>
        <v>Week 3</v>
      </c>
      <c r="H991" s="7" t="str">
        <f t="shared" si="62"/>
        <v>December 24 Week 3</v>
      </c>
      <c r="I991" s="7" t="str">
        <f>CONCATENATE(UPPER(TableAopCalendar[[#This Row],[Month]])," ",TableAopCalendar[[#This Row],[Year]])</f>
        <v>DECEMBER 24</v>
      </c>
      <c r="J991" s="7" t="s">
        <v>274</v>
      </c>
      <c r="K991" s="7" t="str">
        <f>CONCATENATE(TableAopCalendar[[#This Row],[Month for Plan]]," ",TableAopCalendar[[#This Row],[Plan]])</f>
        <v>DECEMBER 24 PLANNED</v>
      </c>
    </row>
    <row r="992" spans="1:11" x14ac:dyDescent="0.3">
      <c r="A992" s="7">
        <f t="shared" si="60"/>
        <v>2</v>
      </c>
      <c r="B992" s="5">
        <v>45642</v>
      </c>
      <c r="C992" s="6" t="s">
        <v>270</v>
      </c>
      <c r="D992" s="6">
        <v>24</v>
      </c>
      <c r="E992" s="7">
        <f>DAY(TableAopCalendar[[#This Row],[Date]])</f>
        <v>16</v>
      </c>
      <c r="F992" s="7">
        <f>IF(TableAopCalendar[[#This Row],[Day]]&lt;8,1,IF(TableAopCalendar[[#This Row],[Day]]&lt;15,2,IF(TableAopCalendar[[#This Row],[Day]]&lt;22,3,IF(TableAopCalendar[[#This Row],[Day]]&lt;29,4,IF(TableAopCalendar[[#This Row],[Day]]&lt;32,5)))))</f>
        <v>3</v>
      </c>
      <c r="G992" s="7" t="str">
        <f t="shared" si="61"/>
        <v>Week 3</v>
      </c>
      <c r="H992" s="7" t="str">
        <f t="shared" si="62"/>
        <v>December 24 Week 3</v>
      </c>
      <c r="I992" s="7" t="str">
        <f>CONCATENATE(UPPER(TableAopCalendar[[#This Row],[Month]])," ",TableAopCalendar[[#This Row],[Year]])</f>
        <v>DECEMBER 24</v>
      </c>
      <c r="J992" s="7" t="s">
        <v>274</v>
      </c>
      <c r="K992" s="7" t="str">
        <f>CONCATENATE(TableAopCalendar[[#This Row],[Month for Plan]]," ",TableAopCalendar[[#This Row],[Plan]])</f>
        <v>DECEMBER 24 PLANNED</v>
      </c>
    </row>
    <row r="993" spans="1:11" x14ac:dyDescent="0.3">
      <c r="A993" s="7">
        <f t="shared" si="60"/>
        <v>3</v>
      </c>
      <c r="B993" s="5">
        <v>45643</v>
      </c>
      <c r="C993" s="6" t="s">
        <v>270</v>
      </c>
      <c r="D993" s="6">
        <v>24</v>
      </c>
      <c r="E993" s="7">
        <f>DAY(TableAopCalendar[[#This Row],[Date]])</f>
        <v>17</v>
      </c>
      <c r="F993" s="7">
        <f>IF(TableAopCalendar[[#This Row],[Day]]&lt;8,1,IF(TableAopCalendar[[#This Row],[Day]]&lt;15,2,IF(TableAopCalendar[[#This Row],[Day]]&lt;22,3,IF(TableAopCalendar[[#This Row],[Day]]&lt;29,4,IF(TableAopCalendar[[#This Row],[Day]]&lt;32,5)))))</f>
        <v>3</v>
      </c>
      <c r="G993" s="7" t="str">
        <f t="shared" si="61"/>
        <v>Week 3</v>
      </c>
      <c r="H993" s="7" t="str">
        <f t="shared" si="62"/>
        <v>December 24 Week 3</v>
      </c>
      <c r="I993" s="7" t="str">
        <f>CONCATENATE(UPPER(TableAopCalendar[[#This Row],[Month]])," ",TableAopCalendar[[#This Row],[Year]])</f>
        <v>DECEMBER 24</v>
      </c>
      <c r="J993" s="7" t="s">
        <v>274</v>
      </c>
      <c r="K993" s="7" t="str">
        <f>CONCATENATE(TableAopCalendar[[#This Row],[Month for Plan]]," ",TableAopCalendar[[#This Row],[Plan]])</f>
        <v>DECEMBER 24 PLANNED</v>
      </c>
    </row>
    <row r="994" spans="1:11" x14ac:dyDescent="0.3">
      <c r="A994" s="7">
        <f t="shared" si="60"/>
        <v>4</v>
      </c>
      <c r="B994" s="5">
        <v>45644</v>
      </c>
      <c r="C994" s="6" t="s">
        <v>270</v>
      </c>
      <c r="D994" s="6">
        <v>24</v>
      </c>
      <c r="E994" s="7">
        <f>DAY(TableAopCalendar[[#This Row],[Date]])</f>
        <v>18</v>
      </c>
      <c r="F994" s="7">
        <f>IF(TableAopCalendar[[#This Row],[Day]]&lt;8,1,IF(TableAopCalendar[[#This Row],[Day]]&lt;15,2,IF(TableAopCalendar[[#This Row],[Day]]&lt;22,3,IF(TableAopCalendar[[#This Row],[Day]]&lt;29,4,IF(TableAopCalendar[[#This Row],[Day]]&lt;32,5)))))</f>
        <v>3</v>
      </c>
      <c r="G994" s="7" t="str">
        <f t="shared" si="61"/>
        <v>Week 3</v>
      </c>
      <c r="H994" s="7" t="str">
        <f t="shared" si="62"/>
        <v>December 24 Week 3</v>
      </c>
      <c r="I994" s="7" t="str">
        <f>CONCATENATE(UPPER(TableAopCalendar[[#This Row],[Month]])," ",TableAopCalendar[[#This Row],[Year]])</f>
        <v>DECEMBER 24</v>
      </c>
      <c r="J994" s="7" t="s">
        <v>274</v>
      </c>
      <c r="K994" s="7" t="str">
        <f>CONCATENATE(TableAopCalendar[[#This Row],[Month for Plan]]," ",TableAopCalendar[[#This Row],[Plan]])</f>
        <v>DECEMBER 24 PLANNED</v>
      </c>
    </row>
    <row r="995" spans="1:11" x14ac:dyDescent="0.3">
      <c r="A995" s="7">
        <f t="shared" si="60"/>
        <v>5</v>
      </c>
      <c r="B995" s="5">
        <v>45645</v>
      </c>
      <c r="C995" s="6" t="s">
        <v>270</v>
      </c>
      <c r="D995" s="6">
        <v>24</v>
      </c>
      <c r="E995" s="7">
        <f>DAY(TableAopCalendar[[#This Row],[Date]])</f>
        <v>19</v>
      </c>
      <c r="F995" s="7">
        <f>IF(TableAopCalendar[[#This Row],[Day]]&lt;8,1,IF(TableAopCalendar[[#This Row],[Day]]&lt;15,2,IF(TableAopCalendar[[#This Row],[Day]]&lt;22,3,IF(TableAopCalendar[[#This Row],[Day]]&lt;29,4,IF(TableAopCalendar[[#This Row],[Day]]&lt;32,5)))))</f>
        <v>3</v>
      </c>
      <c r="G995" s="7" t="str">
        <f t="shared" si="61"/>
        <v>Week 3</v>
      </c>
      <c r="H995" s="7" t="str">
        <f t="shared" si="62"/>
        <v>December 24 Week 3</v>
      </c>
      <c r="I995" s="7" t="str">
        <f>CONCATENATE(UPPER(TableAopCalendar[[#This Row],[Month]])," ",TableAopCalendar[[#This Row],[Year]])</f>
        <v>DECEMBER 24</v>
      </c>
      <c r="J995" s="7" t="s">
        <v>274</v>
      </c>
      <c r="K995" s="7" t="str">
        <f>CONCATENATE(TableAopCalendar[[#This Row],[Month for Plan]]," ",TableAopCalendar[[#This Row],[Plan]])</f>
        <v>DECEMBER 24 PLANNED</v>
      </c>
    </row>
    <row r="996" spans="1:11" x14ac:dyDescent="0.3">
      <c r="A996" s="7">
        <f t="shared" si="60"/>
        <v>6</v>
      </c>
      <c r="B996" s="5">
        <v>45646</v>
      </c>
      <c r="C996" s="6" t="s">
        <v>270</v>
      </c>
      <c r="D996" s="6">
        <v>24</v>
      </c>
      <c r="E996" s="7">
        <f>DAY(TableAopCalendar[[#This Row],[Date]])</f>
        <v>20</v>
      </c>
      <c r="F996" s="7">
        <f>IF(TableAopCalendar[[#This Row],[Day]]&lt;8,1,IF(TableAopCalendar[[#This Row],[Day]]&lt;15,2,IF(TableAopCalendar[[#This Row],[Day]]&lt;22,3,IF(TableAopCalendar[[#This Row],[Day]]&lt;29,4,IF(TableAopCalendar[[#This Row],[Day]]&lt;32,5)))))</f>
        <v>3</v>
      </c>
      <c r="G996" s="7" t="str">
        <f t="shared" si="61"/>
        <v>Week 3</v>
      </c>
      <c r="H996" s="7" t="str">
        <f t="shared" si="62"/>
        <v>December 24 Week 3</v>
      </c>
      <c r="I996" s="7" t="str">
        <f>CONCATENATE(UPPER(TableAopCalendar[[#This Row],[Month]])," ",TableAopCalendar[[#This Row],[Year]])</f>
        <v>DECEMBER 24</v>
      </c>
      <c r="J996" s="7" t="s">
        <v>274</v>
      </c>
      <c r="K996" s="7" t="str">
        <f>CONCATENATE(TableAopCalendar[[#This Row],[Month for Plan]]," ",TableAopCalendar[[#This Row],[Plan]])</f>
        <v>DECEMBER 24 PLANNED</v>
      </c>
    </row>
    <row r="997" spans="1:11" x14ac:dyDescent="0.3">
      <c r="A997" s="7">
        <f t="shared" si="60"/>
        <v>7</v>
      </c>
      <c r="B997" s="5">
        <v>45647</v>
      </c>
      <c r="C997" s="6" t="s">
        <v>270</v>
      </c>
      <c r="D997" s="6">
        <v>24</v>
      </c>
      <c r="E997" s="7">
        <f>DAY(TableAopCalendar[[#This Row],[Date]])</f>
        <v>21</v>
      </c>
      <c r="F997" s="7">
        <f>IF(TableAopCalendar[[#This Row],[Day]]&lt;8,1,IF(TableAopCalendar[[#This Row],[Day]]&lt;15,2,IF(TableAopCalendar[[#This Row],[Day]]&lt;22,3,IF(TableAopCalendar[[#This Row],[Day]]&lt;29,4,IF(TableAopCalendar[[#This Row],[Day]]&lt;32,5)))))</f>
        <v>3</v>
      </c>
      <c r="G997" s="7" t="str">
        <f t="shared" si="61"/>
        <v>Week 3</v>
      </c>
      <c r="H997" s="7" t="str">
        <f t="shared" si="62"/>
        <v>December 24 Week 3</v>
      </c>
      <c r="I997" s="7" t="str">
        <f>CONCATENATE(UPPER(TableAopCalendar[[#This Row],[Month]])," ",TableAopCalendar[[#This Row],[Year]])</f>
        <v>DECEMBER 24</v>
      </c>
      <c r="J997" s="7" t="s">
        <v>274</v>
      </c>
      <c r="K997" s="7" t="str">
        <f>CONCATENATE(TableAopCalendar[[#This Row],[Month for Plan]]," ",TableAopCalendar[[#This Row],[Plan]])</f>
        <v>DECEMBER 24 PLANNED</v>
      </c>
    </row>
    <row r="998" spans="1:11" x14ac:dyDescent="0.3">
      <c r="A998" s="7">
        <f t="shared" si="60"/>
        <v>1</v>
      </c>
      <c r="B998" s="5">
        <v>45648</v>
      </c>
      <c r="C998" s="6" t="s">
        <v>270</v>
      </c>
      <c r="D998" s="6">
        <v>24</v>
      </c>
      <c r="E998" s="7">
        <f>DAY(TableAopCalendar[[#This Row],[Date]])</f>
        <v>22</v>
      </c>
      <c r="F998" s="7">
        <f>IF(TableAopCalendar[[#This Row],[Day]]&lt;8,1,IF(TableAopCalendar[[#This Row],[Day]]&lt;15,2,IF(TableAopCalendar[[#This Row],[Day]]&lt;22,3,IF(TableAopCalendar[[#This Row],[Day]]&lt;29,4,IF(TableAopCalendar[[#This Row],[Day]]&lt;32,5)))))</f>
        <v>4</v>
      </c>
      <c r="G998" s="7" t="str">
        <f t="shared" si="61"/>
        <v>Week 4</v>
      </c>
      <c r="H998" s="7" t="str">
        <f t="shared" si="62"/>
        <v>December 24 Week 4</v>
      </c>
      <c r="I998" s="7" t="str">
        <f>CONCATENATE(UPPER(TableAopCalendar[[#This Row],[Month]])," ",TableAopCalendar[[#This Row],[Year]])</f>
        <v>DECEMBER 24</v>
      </c>
      <c r="J998" s="7" t="s">
        <v>274</v>
      </c>
      <c r="K998" s="7" t="str">
        <f>CONCATENATE(TableAopCalendar[[#This Row],[Month for Plan]]," ",TableAopCalendar[[#This Row],[Plan]])</f>
        <v>DECEMBER 24 PLANNED</v>
      </c>
    </row>
    <row r="999" spans="1:11" x14ac:dyDescent="0.3">
      <c r="A999" s="7">
        <f t="shared" si="60"/>
        <v>2</v>
      </c>
      <c r="B999" s="5">
        <v>45649</v>
      </c>
      <c r="C999" s="6" t="s">
        <v>270</v>
      </c>
      <c r="D999" s="6">
        <v>24</v>
      </c>
      <c r="E999" s="7">
        <f>DAY(TableAopCalendar[[#This Row],[Date]])</f>
        <v>23</v>
      </c>
      <c r="F999" s="7">
        <f>IF(TableAopCalendar[[#This Row],[Day]]&lt;8,1,IF(TableAopCalendar[[#This Row],[Day]]&lt;15,2,IF(TableAopCalendar[[#This Row],[Day]]&lt;22,3,IF(TableAopCalendar[[#This Row],[Day]]&lt;29,4,IF(TableAopCalendar[[#This Row],[Day]]&lt;32,5)))))</f>
        <v>4</v>
      </c>
      <c r="G999" s="7" t="str">
        <f t="shared" si="61"/>
        <v>Week 4</v>
      </c>
      <c r="H999" s="7" t="str">
        <f t="shared" si="62"/>
        <v>December 24 Week 4</v>
      </c>
      <c r="I999" s="7" t="str">
        <f>CONCATENATE(UPPER(TableAopCalendar[[#This Row],[Month]])," ",TableAopCalendar[[#This Row],[Year]])</f>
        <v>DECEMBER 24</v>
      </c>
      <c r="J999" s="7" t="s">
        <v>274</v>
      </c>
      <c r="K999" s="7" t="str">
        <f>CONCATENATE(TableAopCalendar[[#This Row],[Month for Plan]]," ",TableAopCalendar[[#This Row],[Plan]])</f>
        <v>DECEMBER 24 PLANNED</v>
      </c>
    </row>
    <row r="1000" spans="1:11" x14ac:dyDescent="0.3">
      <c r="A1000" s="7">
        <f t="shared" si="60"/>
        <v>3</v>
      </c>
      <c r="B1000" s="5">
        <v>45650</v>
      </c>
      <c r="C1000" s="6" t="s">
        <v>270</v>
      </c>
      <c r="D1000" s="6">
        <v>24</v>
      </c>
      <c r="E1000" s="7">
        <f>DAY(TableAopCalendar[[#This Row],[Date]])</f>
        <v>24</v>
      </c>
      <c r="F1000" s="7">
        <f>IF(TableAopCalendar[[#This Row],[Day]]&lt;8,1,IF(TableAopCalendar[[#This Row],[Day]]&lt;15,2,IF(TableAopCalendar[[#This Row],[Day]]&lt;22,3,IF(TableAopCalendar[[#This Row],[Day]]&lt;29,4,IF(TableAopCalendar[[#This Row],[Day]]&lt;32,5)))))</f>
        <v>4</v>
      </c>
      <c r="G1000" s="7" t="str">
        <f t="shared" si="61"/>
        <v>Week 4</v>
      </c>
      <c r="H1000" s="7" t="str">
        <f t="shared" si="62"/>
        <v>December 24 Week 4</v>
      </c>
      <c r="I1000" s="7" t="str">
        <f>CONCATENATE(UPPER(TableAopCalendar[[#This Row],[Month]])," ",TableAopCalendar[[#This Row],[Year]])</f>
        <v>DECEMBER 24</v>
      </c>
      <c r="J1000" s="7" t="s">
        <v>274</v>
      </c>
      <c r="K1000" s="7" t="str">
        <f>CONCATENATE(TableAopCalendar[[#This Row],[Month for Plan]]," ",TableAopCalendar[[#This Row],[Plan]])</f>
        <v>DECEMBER 24 PLANNED</v>
      </c>
    </row>
    <row r="1001" spans="1:11" x14ac:dyDescent="0.3">
      <c r="A1001" s="7">
        <f t="shared" si="60"/>
        <v>4</v>
      </c>
      <c r="B1001" s="5">
        <v>45651</v>
      </c>
      <c r="C1001" s="6" t="s">
        <v>270</v>
      </c>
      <c r="D1001" s="6">
        <v>24</v>
      </c>
      <c r="E1001" s="7">
        <f>DAY(TableAopCalendar[[#This Row],[Date]])</f>
        <v>25</v>
      </c>
      <c r="F1001" s="7">
        <f>IF(TableAopCalendar[[#This Row],[Day]]&lt;8,1,IF(TableAopCalendar[[#This Row],[Day]]&lt;15,2,IF(TableAopCalendar[[#This Row],[Day]]&lt;22,3,IF(TableAopCalendar[[#This Row],[Day]]&lt;29,4,IF(TableAopCalendar[[#This Row],[Day]]&lt;32,5)))))</f>
        <v>4</v>
      </c>
      <c r="G1001" s="7" t="str">
        <f t="shared" si="61"/>
        <v>Week 4</v>
      </c>
      <c r="H1001" s="7" t="str">
        <f t="shared" si="62"/>
        <v>December 24 Week 4</v>
      </c>
      <c r="I1001" s="7" t="str">
        <f>CONCATENATE(UPPER(TableAopCalendar[[#This Row],[Month]])," ",TableAopCalendar[[#This Row],[Year]])</f>
        <v>DECEMBER 24</v>
      </c>
      <c r="J1001" s="7" t="s">
        <v>274</v>
      </c>
      <c r="K1001" s="7" t="str">
        <f>CONCATENATE(TableAopCalendar[[#This Row],[Month for Plan]]," ",TableAopCalendar[[#This Row],[Plan]])</f>
        <v>DECEMBER 24 PLANNED</v>
      </c>
    </row>
    <row r="1002" spans="1:11" x14ac:dyDescent="0.3">
      <c r="A1002" s="7">
        <f t="shared" si="60"/>
        <v>5</v>
      </c>
      <c r="B1002" s="5">
        <v>45652</v>
      </c>
      <c r="C1002" s="6" t="s">
        <v>270</v>
      </c>
      <c r="D1002" s="6">
        <v>24</v>
      </c>
      <c r="E1002" s="7">
        <f>DAY(TableAopCalendar[[#This Row],[Date]])</f>
        <v>26</v>
      </c>
      <c r="F1002" s="7">
        <f>IF(TableAopCalendar[[#This Row],[Day]]&lt;8,1,IF(TableAopCalendar[[#This Row],[Day]]&lt;15,2,IF(TableAopCalendar[[#This Row],[Day]]&lt;22,3,IF(TableAopCalendar[[#This Row],[Day]]&lt;29,4,IF(TableAopCalendar[[#This Row],[Day]]&lt;32,5)))))</f>
        <v>4</v>
      </c>
      <c r="G1002" s="7" t="str">
        <f t="shared" si="61"/>
        <v>Week 4</v>
      </c>
      <c r="H1002" s="7" t="str">
        <f t="shared" si="62"/>
        <v>December 24 Week 4</v>
      </c>
      <c r="I1002" s="7" t="str">
        <f>CONCATENATE(UPPER(TableAopCalendar[[#This Row],[Month]])," ",TableAopCalendar[[#This Row],[Year]])</f>
        <v>DECEMBER 24</v>
      </c>
      <c r="J1002" s="7" t="s">
        <v>274</v>
      </c>
      <c r="K1002" s="7" t="str">
        <f>CONCATENATE(TableAopCalendar[[#This Row],[Month for Plan]]," ",TableAopCalendar[[#This Row],[Plan]])</f>
        <v>DECEMBER 24 PLANNED</v>
      </c>
    </row>
    <row r="1003" spans="1:11" x14ac:dyDescent="0.3">
      <c r="A1003" s="7">
        <f t="shared" si="60"/>
        <v>6</v>
      </c>
      <c r="B1003" s="5">
        <v>45653</v>
      </c>
      <c r="C1003" s="6" t="s">
        <v>270</v>
      </c>
      <c r="D1003" s="6">
        <v>24</v>
      </c>
      <c r="E1003" s="7">
        <f>DAY(TableAopCalendar[[#This Row],[Date]])</f>
        <v>27</v>
      </c>
      <c r="F1003" s="7">
        <f>IF(TableAopCalendar[[#This Row],[Day]]&lt;8,1,IF(TableAopCalendar[[#This Row],[Day]]&lt;15,2,IF(TableAopCalendar[[#This Row],[Day]]&lt;22,3,IF(TableAopCalendar[[#This Row],[Day]]&lt;29,4,IF(TableAopCalendar[[#This Row],[Day]]&lt;32,5)))))</f>
        <v>4</v>
      </c>
      <c r="G1003" s="7" t="str">
        <f t="shared" si="61"/>
        <v>Week 4</v>
      </c>
      <c r="H1003" s="7" t="str">
        <f t="shared" si="62"/>
        <v>December 24 Week 4</v>
      </c>
      <c r="I1003" s="7" t="str">
        <f>CONCATENATE(UPPER(TableAopCalendar[[#This Row],[Month]])," ",TableAopCalendar[[#This Row],[Year]])</f>
        <v>DECEMBER 24</v>
      </c>
      <c r="J1003" s="7" t="s">
        <v>274</v>
      </c>
      <c r="K1003" s="7" t="str">
        <f>CONCATENATE(TableAopCalendar[[#This Row],[Month for Plan]]," ",TableAopCalendar[[#This Row],[Plan]])</f>
        <v>DECEMBER 24 PLANNED</v>
      </c>
    </row>
    <row r="1004" spans="1:11" x14ac:dyDescent="0.3">
      <c r="A1004" s="7">
        <f t="shared" si="60"/>
        <v>7</v>
      </c>
      <c r="B1004" s="5">
        <v>45654</v>
      </c>
      <c r="C1004" s="6" t="s">
        <v>270</v>
      </c>
      <c r="D1004" s="6">
        <v>24</v>
      </c>
      <c r="E1004" s="7">
        <f>DAY(TableAopCalendar[[#This Row],[Date]])</f>
        <v>28</v>
      </c>
      <c r="F1004" s="7">
        <f>IF(TableAopCalendar[[#This Row],[Day]]&lt;8,1,IF(TableAopCalendar[[#This Row],[Day]]&lt;15,2,IF(TableAopCalendar[[#This Row],[Day]]&lt;22,3,IF(TableAopCalendar[[#This Row],[Day]]&lt;29,4,IF(TableAopCalendar[[#This Row],[Day]]&lt;32,5)))))</f>
        <v>4</v>
      </c>
      <c r="G1004" s="7" t="str">
        <f t="shared" si="61"/>
        <v>Week 4</v>
      </c>
      <c r="H1004" s="7" t="str">
        <f t="shared" si="62"/>
        <v>December 24 Week 4</v>
      </c>
      <c r="I1004" s="7" t="str">
        <f>CONCATENATE(UPPER(TableAopCalendar[[#This Row],[Month]])," ",TableAopCalendar[[#This Row],[Year]])</f>
        <v>DECEMBER 24</v>
      </c>
      <c r="J1004" s="7" t="s">
        <v>274</v>
      </c>
      <c r="K1004" s="7" t="str">
        <f>CONCATENATE(TableAopCalendar[[#This Row],[Month for Plan]]," ",TableAopCalendar[[#This Row],[Plan]])</f>
        <v>DECEMBER 24 PLANNED</v>
      </c>
    </row>
    <row r="1005" spans="1:11" x14ac:dyDescent="0.3">
      <c r="A1005" s="7">
        <f t="shared" si="60"/>
        <v>1</v>
      </c>
      <c r="B1005" s="5">
        <v>45655</v>
      </c>
      <c r="C1005" s="6" t="s">
        <v>270</v>
      </c>
      <c r="D1005" s="6">
        <v>24</v>
      </c>
      <c r="E1005" s="7">
        <f>DAY(TableAopCalendar[[#This Row],[Date]])</f>
        <v>29</v>
      </c>
      <c r="F1005" s="7">
        <f>IF(TableAopCalendar[[#This Row],[Day]]&lt;8,1,IF(TableAopCalendar[[#This Row],[Day]]&lt;15,2,IF(TableAopCalendar[[#This Row],[Day]]&lt;22,3,IF(TableAopCalendar[[#This Row],[Day]]&lt;29,4,IF(TableAopCalendar[[#This Row],[Day]]&lt;32,5)))))</f>
        <v>5</v>
      </c>
      <c r="G1005" s="7" t="str">
        <f t="shared" si="61"/>
        <v>Week 5</v>
      </c>
      <c r="H1005" s="7" t="str">
        <f t="shared" si="62"/>
        <v>December 24 Week 5</v>
      </c>
      <c r="I1005" s="7" t="str">
        <f>CONCATENATE(UPPER(TableAopCalendar[[#This Row],[Month]])," ",TableAopCalendar[[#This Row],[Year]])</f>
        <v>DECEMBER 24</v>
      </c>
      <c r="J1005" s="7" t="s">
        <v>274</v>
      </c>
      <c r="K1005" s="7" t="str">
        <f>CONCATENATE(TableAopCalendar[[#This Row],[Month for Plan]]," ",TableAopCalendar[[#This Row],[Plan]])</f>
        <v>DECEMBER 24 PLANNED</v>
      </c>
    </row>
    <row r="1006" spans="1:11" x14ac:dyDescent="0.3">
      <c r="A1006" s="7">
        <f t="shared" si="60"/>
        <v>2</v>
      </c>
      <c r="B1006" s="5">
        <v>45656</v>
      </c>
      <c r="C1006" s="6" t="s">
        <v>270</v>
      </c>
      <c r="D1006" s="6">
        <v>24</v>
      </c>
      <c r="E1006" s="7">
        <f>DAY(TableAopCalendar[[#This Row],[Date]])</f>
        <v>30</v>
      </c>
      <c r="F1006" s="7">
        <f>IF(TableAopCalendar[[#This Row],[Day]]&lt;8,1,IF(TableAopCalendar[[#This Row],[Day]]&lt;15,2,IF(TableAopCalendar[[#This Row],[Day]]&lt;22,3,IF(TableAopCalendar[[#This Row],[Day]]&lt;29,4,IF(TableAopCalendar[[#This Row],[Day]]&lt;32,5)))))</f>
        <v>5</v>
      </c>
      <c r="G1006" s="7" t="str">
        <f t="shared" si="61"/>
        <v>Week 5</v>
      </c>
      <c r="H1006" s="7" t="str">
        <f t="shared" si="62"/>
        <v>December 24 Week 5</v>
      </c>
      <c r="I1006" s="7" t="str">
        <f>CONCATENATE(UPPER(TableAopCalendar[[#This Row],[Month]])," ",TableAopCalendar[[#This Row],[Year]])</f>
        <v>DECEMBER 24</v>
      </c>
      <c r="J1006" s="7" t="s">
        <v>274</v>
      </c>
      <c r="K1006" s="7" t="str">
        <f>CONCATENATE(TableAopCalendar[[#This Row],[Month for Plan]]," ",TableAopCalendar[[#This Row],[Plan]])</f>
        <v>DECEMBER 24 PLANNED</v>
      </c>
    </row>
    <row r="1007" spans="1:11" x14ac:dyDescent="0.3">
      <c r="A1007" s="7">
        <f t="shared" si="60"/>
        <v>3</v>
      </c>
      <c r="B1007" s="5">
        <v>45657</v>
      </c>
      <c r="C1007" s="6" t="s">
        <v>270</v>
      </c>
      <c r="D1007" s="6">
        <v>24</v>
      </c>
      <c r="E1007" s="7">
        <f>DAY(TableAopCalendar[[#This Row],[Date]])</f>
        <v>31</v>
      </c>
      <c r="F1007" s="7">
        <f>IF(TableAopCalendar[[#This Row],[Day]]&lt;8,1,IF(TableAopCalendar[[#This Row],[Day]]&lt;15,2,IF(TableAopCalendar[[#This Row],[Day]]&lt;22,3,IF(TableAopCalendar[[#This Row],[Day]]&lt;29,4,IF(TableAopCalendar[[#This Row],[Day]]&lt;32,5)))))</f>
        <v>5</v>
      </c>
      <c r="G1007" s="7" t="str">
        <f t="shared" si="61"/>
        <v>Week 5</v>
      </c>
      <c r="H1007" s="7" t="str">
        <f t="shared" si="62"/>
        <v>December 24 Week 5</v>
      </c>
      <c r="I1007" s="7" t="str">
        <f>CONCATENATE(UPPER(TableAopCalendar[[#This Row],[Month]])," ",TableAopCalendar[[#This Row],[Year]])</f>
        <v>DECEMBER 24</v>
      </c>
      <c r="J1007" s="7" t="s">
        <v>274</v>
      </c>
      <c r="K1007" s="7" t="str">
        <f>CONCATENATE(TableAopCalendar[[#This Row],[Month for Plan]]," ",TableAopCalendar[[#This Row],[Plan]])</f>
        <v>DECEMBER 24 PLANNED</v>
      </c>
    </row>
    <row r="1008" spans="1:11" x14ac:dyDescent="0.3">
      <c r="A1008" s="7">
        <f t="shared" si="60"/>
        <v>1</v>
      </c>
      <c r="B1008" s="5">
        <v>45658</v>
      </c>
      <c r="C1008" s="6" t="s">
        <v>271</v>
      </c>
      <c r="D1008" s="6">
        <v>25</v>
      </c>
      <c r="E1008" s="7">
        <f>DAY(TableAopCalendar[[#This Row],[Date]])</f>
        <v>1</v>
      </c>
      <c r="F1008" s="7">
        <f>IF(TableAopCalendar[[#This Row],[Day]]&lt;8,1,IF(TableAopCalendar[[#This Row],[Day]]&lt;15,2,IF(TableAopCalendar[[#This Row],[Day]]&lt;22,3,IF(TableAopCalendar[[#This Row],[Day]]&lt;29,4,IF(TableAopCalendar[[#This Row],[Day]]&lt;32,5)))))</f>
        <v>1</v>
      </c>
      <c r="G1008" s="7" t="str">
        <f t="shared" si="61"/>
        <v>Week 1</v>
      </c>
      <c r="H1008" s="7" t="str">
        <f t="shared" si="62"/>
        <v>January 25 Week 1</v>
      </c>
      <c r="I1008" s="7" t="str">
        <f>CONCATENATE(UPPER(TableAopCalendar[[#This Row],[Month]])," ",TableAopCalendar[[#This Row],[Year]])</f>
        <v>JANUARY 25</v>
      </c>
      <c r="J1008" s="7" t="s">
        <v>274</v>
      </c>
      <c r="K1008" s="7" t="str">
        <f>CONCATENATE(TableAopCalendar[[#This Row],[Month for Plan]]," ",TableAopCalendar[[#This Row],[Plan]])</f>
        <v>JANUARY 25 PLANNED</v>
      </c>
    </row>
    <row r="1009" spans="1:11" x14ac:dyDescent="0.3">
      <c r="A1009" s="7">
        <f t="shared" si="60"/>
        <v>2</v>
      </c>
      <c r="B1009" s="5">
        <v>45659</v>
      </c>
      <c r="C1009" s="6" t="s">
        <v>271</v>
      </c>
      <c r="D1009" s="6">
        <v>25</v>
      </c>
      <c r="E1009" s="7">
        <f>DAY(TableAopCalendar[[#This Row],[Date]])</f>
        <v>2</v>
      </c>
      <c r="F1009" s="7">
        <f>IF(TableAopCalendar[[#This Row],[Day]]&lt;8,1,IF(TableAopCalendar[[#This Row],[Day]]&lt;15,2,IF(TableAopCalendar[[#This Row],[Day]]&lt;22,3,IF(TableAopCalendar[[#This Row],[Day]]&lt;29,4,IF(TableAopCalendar[[#This Row],[Day]]&lt;32,5)))))</f>
        <v>1</v>
      </c>
      <c r="G1009" s="7" t="str">
        <f t="shared" si="61"/>
        <v>Week 1</v>
      </c>
      <c r="H1009" s="7" t="str">
        <f t="shared" si="62"/>
        <v>January 25 Week 1</v>
      </c>
      <c r="I1009" s="7" t="str">
        <f>CONCATENATE(UPPER(TableAopCalendar[[#This Row],[Month]])," ",TableAopCalendar[[#This Row],[Year]])</f>
        <v>JANUARY 25</v>
      </c>
      <c r="J1009" s="7" t="s">
        <v>274</v>
      </c>
      <c r="K1009" s="7" t="str">
        <f>CONCATENATE(TableAopCalendar[[#This Row],[Month for Plan]]," ",TableAopCalendar[[#This Row],[Plan]])</f>
        <v>JANUARY 25 PLANNED</v>
      </c>
    </row>
    <row r="1010" spans="1:11" x14ac:dyDescent="0.3">
      <c r="A1010" s="7">
        <f t="shared" si="60"/>
        <v>3</v>
      </c>
      <c r="B1010" s="5">
        <v>45660</v>
      </c>
      <c r="C1010" s="6" t="s">
        <v>271</v>
      </c>
      <c r="D1010" s="6">
        <v>25</v>
      </c>
      <c r="E1010" s="7">
        <f>DAY(TableAopCalendar[[#This Row],[Date]])</f>
        <v>3</v>
      </c>
      <c r="F1010" s="7">
        <f>IF(TableAopCalendar[[#This Row],[Day]]&lt;8,1,IF(TableAopCalendar[[#This Row],[Day]]&lt;15,2,IF(TableAopCalendar[[#This Row],[Day]]&lt;22,3,IF(TableAopCalendar[[#This Row],[Day]]&lt;29,4,IF(TableAopCalendar[[#This Row],[Day]]&lt;32,5)))))</f>
        <v>1</v>
      </c>
      <c r="G1010" s="7" t="str">
        <f t="shared" si="61"/>
        <v>Week 1</v>
      </c>
      <c r="H1010" s="7" t="str">
        <f t="shared" si="62"/>
        <v>January 25 Week 1</v>
      </c>
      <c r="I1010" s="7" t="str">
        <f>CONCATENATE(UPPER(TableAopCalendar[[#This Row],[Month]])," ",TableAopCalendar[[#This Row],[Year]])</f>
        <v>JANUARY 25</v>
      </c>
      <c r="J1010" s="7" t="s">
        <v>274</v>
      </c>
      <c r="K1010" s="7" t="str">
        <f>CONCATENATE(TableAopCalendar[[#This Row],[Month for Plan]]," ",TableAopCalendar[[#This Row],[Plan]])</f>
        <v>JANUARY 25 PLANNED</v>
      </c>
    </row>
    <row r="1011" spans="1:11" x14ac:dyDescent="0.3">
      <c r="A1011" s="7">
        <f t="shared" si="60"/>
        <v>4</v>
      </c>
      <c r="B1011" s="5">
        <v>45661</v>
      </c>
      <c r="C1011" s="6" t="s">
        <v>271</v>
      </c>
      <c r="D1011" s="6">
        <v>25</v>
      </c>
      <c r="E1011" s="7">
        <f>DAY(TableAopCalendar[[#This Row],[Date]])</f>
        <v>4</v>
      </c>
      <c r="F1011" s="7">
        <f>IF(TableAopCalendar[[#This Row],[Day]]&lt;8,1,IF(TableAopCalendar[[#This Row],[Day]]&lt;15,2,IF(TableAopCalendar[[#This Row],[Day]]&lt;22,3,IF(TableAopCalendar[[#This Row],[Day]]&lt;29,4,IF(TableAopCalendar[[#This Row],[Day]]&lt;32,5)))))</f>
        <v>1</v>
      </c>
      <c r="G1011" s="7" t="str">
        <f t="shared" si="61"/>
        <v>Week 1</v>
      </c>
      <c r="H1011" s="7" t="str">
        <f t="shared" si="62"/>
        <v>January 25 Week 1</v>
      </c>
      <c r="I1011" s="7" t="str">
        <f>CONCATENATE(UPPER(TableAopCalendar[[#This Row],[Month]])," ",TableAopCalendar[[#This Row],[Year]])</f>
        <v>JANUARY 25</v>
      </c>
      <c r="J1011" s="7" t="s">
        <v>274</v>
      </c>
      <c r="K1011" s="7" t="str">
        <f>CONCATENATE(TableAopCalendar[[#This Row],[Month for Plan]]," ",TableAopCalendar[[#This Row],[Plan]])</f>
        <v>JANUARY 25 PLANNED</v>
      </c>
    </row>
    <row r="1012" spans="1:11" x14ac:dyDescent="0.3">
      <c r="A1012" s="7">
        <f t="shared" si="60"/>
        <v>5</v>
      </c>
      <c r="B1012" s="5">
        <v>45662</v>
      </c>
      <c r="C1012" s="6" t="s">
        <v>271</v>
      </c>
      <c r="D1012" s="6">
        <v>25</v>
      </c>
      <c r="E1012" s="7">
        <f>DAY(TableAopCalendar[[#This Row],[Date]])</f>
        <v>5</v>
      </c>
      <c r="F1012" s="7">
        <f>IF(TableAopCalendar[[#This Row],[Day]]&lt;8,1,IF(TableAopCalendar[[#This Row],[Day]]&lt;15,2,IF(TableAopCalendar[[#This Row],[Day]]&lt;22,3,IF(TableAopCalendar[[#This Row],[Day]]&lt;29,4,IF(TableAopCalendar[[#This Row],[Day]]&lt;32,5)))))</f>
        <v>1</v>
      </c>
      <c r="G1012" s="7" t="str">
        <f t="shared" si="61"/>
        <v>Week 1</v>
      </c>
      <c r="H1012" s="7" t="str">
        <f t="shared" si="62"/>
        <v>January 25 Week 1</v>
      </c>
      <c r="I1012" s="7" t="str">
        <f>CONCATENATE(UPPER(TableAopCalendar[[#This Row],[Month]])," ",TableAopCalendar[[#This Row],[Year]])</f>
        <v>JANUARY 25</v>
      </c>
      <c r="J1012" s="7" t="s">
        <v>274</v>
      </c>
      <c r="K1012" s="7" t="str">
        <f>CONCATENATE(TableAopCalendar[[#This Row],[Month for Plan]]," ",TableAopCalendar[[#This Row],[Plan]])</f>
        <v>JANUARY 25 PLANNED</v>
      </c>
    </row>
    <row r="1013" spans="1:11" x14ac:dyDescent="0.3">
      <c r="A1013" s="7">
        <f t="shared" si="60"/>
        <v>6</v>
      </c>
      <c r="B1013" s="5">
        <v>45663</v>
      </c>
      <c r="C1013" s="6" t="s">
        <v>271</v>
      </c>
      <c r="D1013" s="6">
        <v>25</v>
      </c>
      <c r="E1013" s="7">
        <f>DAY(TableAopCalendar[[#This Row],[Date]])</f>
        <v>6</v>
      </c>
      <c r="F1013" s="7">
        <f>IF(TableAopCalendar[[#This Row],[Day]]&lt;8,1,IF(TableAopCalendar[[#This Row],[Day]]&lt;15,2,IF(TableAopCalendar[[#This Row],[Day]]&lt;22,3,IF(TableAopCalendar[[#This Row],[Day]]&lt;29,4,IF(TableAopCalendar[[#This Row],[Day]]&lt;32,5)))))</f>
        <v>1</v>
      </c>
      <c r="G1013" s="7" t="str">
        <f t="shared" si="61"/>
        <v>Week 1</v>
      </c>
      <c r="H1013" s="7" t="str">
        <f t="shared" si="62"/>
        <v>January 25 Week 1</v>
      </c>
      <c r="I1013" s="7" t="str">
        <f>CONCATENATE(UPPER(TableAopCalendar[[#This Row],[Month]])," ",TableAopCalendar[[#This Row],[Year]])</f>
        <v>JANUARY 25</v>
      </c>
      <c r="J1013" s="7" t="s">
        <v>274</v>
      </c>
      <c r="K1013" s="7" t="str">
        <f>CONCATENATE(TableAopCalendar[[#This Row],[Month for Plan]]," ",TableAopCalendar[[#This Row],[Plan]])</f>
        <v>JANUARY 25 PLANNED</v>
      </c>
    </row>
    <row r="1014" spans="1:11" x14ac:dyDescent="0.3">
      <c r="A1014" s="7">
        <f t="shared" si="60"/>
        <v>7</v>
      </c>
      <c r="B1014" s="5">
        <v>45664</v>
      </c>
      <c r="C1014" s="6" t="s">
        <v>271</v>
      </c>
      <c r="D1014" s="6">
        <v>25</v>
      </c>
      <c r="E1014" s="7">
        <f>DAY(TableAopCalendar[[#This Row],[Date]])</f>
        <v>7</v>
      </c>
      <c r="F1014" s="7">
        <f>IF(TableAopCalendar[[#This Row],[Day]]&lt;8,1,IF(TableAopCalendar[[#This Row],[Day]]&lt;15,2,IF(TableAopCalendar[[#This Row],[Day]]&lt;22,3,IF(TableAopCalendar[[#This Row],[Day]]&lt;29,4,IF(TableAopCalendar[[#This Row],[Day]]&lt;32,5)))))</f>
        <v>1</v>
      </c>
      <c r="G1014" s="7" t="str">
        <f t="shared" si="61"/>
        <v>Week 1</v>
      </c>
      <c r="H1014" s="7" t="str">
        <f t="shared" si="62"/>
        <v>January 25 Week 1</v>
      </c>
      <c r="I1014" s="7" t="str">
        <f>CONCATENATE(UPPER(TableAopCalendar[[#This Row],[Month]])," ",TableAopCalendar[[#This Row],[Year]])</f>
        <v>JANUARY 25</v>
      </c>
      <c r="J1014" s="7" t="s">
        <v>274</v>
      </c>
      <c r="K1014" s="7" t="str">
        <f>CONCATENATE(TableAopCalendar[[#This Row],[Month for Plan]]," ",TableAopCalendar[[#This Row],[Plan]])</f>
        <v>JANUARY 25 PLANNED</v>
      </c>
    </row>
    <row r="1015" spans="1:11" x14ac:dyDescent="0.3">
      <c r="A1015" s="7">
        <f t="shared" si="60"/>
        <v>1</v>
      </c>
      <c r="B1015" s="5">
        <v>45665</v>
      </c>
      <c r="C1015" s="6" t="s">
        <v>271</v>
      </c>
      <c r="D1015" s="6">
        <v>25</v>
      </c>
      <c r="E1015" s="7">
        <f>DAY(TableAopCalendar[[#This Row],[Date]])</f>
        <v>8</v>
      </c>
      <c r="F1015" s="7">
        <f>IF(TableAopCalendar[[#This Row],[Day]]&lt;8,1,IF(TableAopCalendar[[#This Row],[Day]]&lt;15,2,IF(TableAopCalendar[[#This Row],[Day]]&lt;22,3,IF(TableAopCalendar[[#This Row],[Day]]&lt;29,4,IF(TableAopCalendar[[#This Row],[Day]]&lt;32,5)))))</f>
        <v>2</v>
      </c>
      <c r="G1015" s="7" t="str">
        <f t="shared" si="61"/>
        <v>Week 2</v>
      </c>
      <c r="H1015" s="7" t="str">
        <f t="shared" si="62"/>
        <v>January 25 Week 2</v>
      </c>
      <c r="I1015" s="7" t="str">
        <f>CONCATENATE(UPPER(TableAopCalendar[[#This Row],[Month]])," ",TableAopCalendar[[#This Row],[Year]])</f>
        <v>JANUARY 25</v>
      </c>
      <c r="J1015" s="7" t="s">
        <v>274</v>
      </c>
      <c r="K1015" s="7" t="str">
        <f>CONCATENATE(TableAopCalendar[[#This Row],[Month for Plan]]," ",TableAopCalendar[[#This Row],[Plan]])</f>
        <v>JANUARY 25 PLANNED</v>
      </c>
    </row>
    <row r="1016" spans="1:11" x14ac:dyDescent="0.3">
      <c r="A1016" s="7">
        <f t="shared" si="60"/>
        <v>2</v>
      </c>
      <c r="B1016" s="5">
        <v>45666</v>
      </c>
      <c r="C1016" s="6" t="s">
        <v>271</v>
      </c>
      <c r="D1016" s="6">
        <v>25</v>
      </c>
      <c r="E1016" s="7">
        <f>DAY(TableAopCalendar[[#This Row],[Date]])</f>
        <v>9</v>
      </c>
      <c r="F1016" s="7">
        <f>IF(TableAopCalendar[[#This Row],[Day]]&lt;8,1,IF(TableAopCalendar[[#This Row],[Day]]&lt;15,2,IF(TableAopCalendar[[#This Row],[Day]]&lt;22,3,IF(TableAopCalendar[[#This Row],[Day]]&lt;29,4,IF(TableAopCalendar[[#This Row],[Day]]&lt;32,5)))))</f>
        <v>2</v>
      </c>
      <c r="G1016" s="7" t="str">
        <f t="shared" si="61"/>
        <v>Week 2</v>
      </c>
      <c r="H1016" s="7" t="str">
        <f t="shared" si="62"/>
        <v>January 25 Week 2</v>
      </c>
      <c r="I1016" s="7" t="str">
        <f>CONCATENATE(UPPER(TableAopCalendar[[#This Row],[Month]])," ",TableAopCalendar[[#This Row],[Year]])</f>
        <v>JANUARY 25</v>
      </c>
      <c r="J1016" s="7" t="s">
        <v>274</v>
      </c>
      <c r="K1016" s="7" t="str">
        <f>CONCATENATE(TableAopCalendar[[#This Row],[Month for Plan]]," ",TableAopCalendar[[#This Row],[Plan]])</f>
        <v>JANUARY 25 PLANNED</v>
      </c>
    </row>
    <row r="1017" spans="1:11" x14ac:dyDescent="0.3">
      <c r="A1017" s="7">
        <f t="shared" si="60"/>
        <v>3</v>
      </c>
      <c r="B1017" s="5">
        <v>45667</v>
      </c>
      <c r="C1017" s="6" t="s">
        <v>271</v>
      </c>
      <c r="D1017" s="6">
        <v>25</v>
      </c>
      <c r="E1017" s="7">
        <f>DAY(TableAopCalendar[[#This Row],[Date]])</f>
        <v>10</v>
      </c>
      <c r="F1017" s="7">
        <f>IF(TableAopCalendar[[#This Row],[Day]]&lt;8,1,IF(TableAopCalendar[[#This Row],[Day]]&lt;15,2,IF(TableAopCalendar[[#This Row],[Day]]&lt;22,3,IF(TableAopCalendar[[#This Row],[Day]]&lt;29,4,IF(TableAopCalendar[[#This Row],[Day]]&lt;32,5)))))</f>
        <v>2</v>
      </c>
      <c r="G1017" s="7" t="str">
        <f t="shared" si="61"/>
        <v>Week 2</v>
      </c>
      <c r="H1017" s="7" t="str">
        <f t="shared" si="62"/>
        <v>January 25 Week 2</v>
      </c>
      <c r="I1017" s="7" t="str">
        <f>CONCATENATE(UPPER(TableAopCalendar[[#This Row],[Month]])," ",TableAopCalendar[[#This Row],[Year]])</f>
        <v>JANUARY 25</v>
      </c>
      <c r="J1017" s="7" t="s">
        <v>274</v>
      </c>
      <c r="K1017" s="7" t="str">
        <f>CONCATENATE(TableAopCalendar[[#This Row],[Month for Plan]]," ",TableAopCalendar[[#This Row],[Plan]])</f>
        <v>JANUARY 25 PLANNED</v>
      </c>
    </row>
    <row r="1018" spans="1:11" x14ac:dyDescent="0.3">
      <c r="A1018" s="7">
        <f t="shared" si="60"/>
        <v>4</v>
      </c>
      <c r="B1018" s="5">
        <v>45668</v>
      </c>
      <c r="C1018" s="6" t="s">
        <v>271</v>
      </c>
      <c r="D1018" s="6">
        <v>25</v>
      </c>
      <c r="E1018" s="7">
        <f>DAY(TableAopCalendar[[#This Row],[Date]])</f>
        <v>11</v>
      </c>
      <c r="F1018" s="7">
        <f>IF(TableAopCalendar[[#This Row],[Day]]&lt;8,1,IF(TableAopCalendar[[#This Row],[Day]]&lt;15,2,IF(TableAopCalendar[[#This Row],[Day]]&lt;22,3,IF(TableAopCalendar[[#This Row],[Day]]&lt;29,4,IF(TableAopCalendar[[#This Row],[Day]]&lt;32,5)))))</f>
        <v>2</v>
      </c>
      <c r="G1018" s="7" t="str">
        <f t="shared" si="61"/>
        <v>Week 2</v>
      </c>
      <c r="H1018" s="7" t="str">
        <f t="shared" si="62"/>
        <v>January 25 Week 2</v>
      </c>
      <c r="I1018" s="7" t="str">
        <f>CONCATENATE(UPPER(TableAopCalendar[[#This Row],[Month]])," ",TableAopCalendar[[#This Row],[Year]])</f>
        <v>JANUARY 25</v>
      </c>
      <c r="J1018" s="7" t="s">
        <v>274</v>
      </c>
      <c r="K1018" s="7" t="str">
        <f>CONCATENATE(TableAopCalendar[[#This Row],[Month for Plan]]," ",TableAopCalendar[[#This Row],[Plan]])</f>
        <v>JANUARY 25 PLANNED</v>
      </c>
    </row>
    <row r="1019" spans="1:11" x14ac:dyDescent="0.3">
      <c r="A1019" s="7">
        <f t="shared" si="60"/>
        <v>5</v>
      </c>
      <c r="B1019" s="5">
        <v>45669</v>
      </c>
      <c r="C1019" s="6" t="s">
        <v>271</v>
      </c>
      <c r="D1019" s="6">
        <v>25</v>
      </c>
      <c r="E1019" s="7">
        <f>DAY(TableAopCalendar[[#This Row],[Date]])</f>
        <v>12</v>
      </c>
      <c r="F1019" s="7">
        <f>IF(TableAopCalendar[[#This Row],[Day]]&lt;8,1,IF(TableAopCalendar[[#This Row],[Day]]&lt;15,2,IF(TableAopCalendar[[#This Row],[Day]]&lt;22,3,IF(TableAopCalendar[[#This Row],[Day]]&lt;29,4,IF(TableAopCalendar[[#This Row],[Day]]&lt;32,5)))))</f>
        <v>2</v>
      </c>
      <c r="G1019" s="7" t="str">
        <f t="shared" si="61"/>
        <v>Week 2</v>
      </c>
      <c r="H1019" s="7" t="str">
        <f t="shared" si="62"/>
        <v>January 25 Week 2</v>
      </c>
      <c r="I1019" s="7" t="str">
        <f>CONCATENATE(UPPER(TableAopCalendar[[#This Row],[Month]])," ",TableAopCalendar[[#This Row],[Year]])</f>
        <v>JANUARY 25</v>
      </c>
      <c r="J1019" s="7" t="s">
        <v>274</v>
      </c>
      <c r="K1019" s="7" t="str">
        <f>CONCATENATE(TableAopCalendar[[#This Row],[Month for Plan]]," ",TableAopCalendar[[#This Row],[Plan]])</f>
        <v>JANUARY 25 PLANNED</v>
      </c>
    </row>
    <row r="1020" spans="1:11" x14ac:dyDescent="0.3">
      <c r="A1020" s="7">
        <f t="shared" si="60"/>
        <v>6</v>
      </c>
      <c r="B1020" s="5">
        <v>45670</v>
      </c>
      <c r="C1020" s="6" t="s">
        <v>271</v>
      </c>
      <c r="D1020" s="6">
        <v>25</v>
      </c>
      <c r="E1020" s="7">
        <f>DAY(TableAopCalendar[[#This Row],[Date]])</f>
        <v>13</v>
      </c>
      <c r="F1020" s="7">
        <f>IF(TableAopCalendar[[#This Row],[Day]]&lt;8,1,IF(TableAopCalendar[[#This Row],[Day]]&lt;15,2,IF(TableAopCalendar[[#This Row],[Day]]&lt;22,3,IF(TableAopCalendar[[#This Row],[Day]]&lt;29,4,IF(TableAopCalendar[[#This Row],[Day]]&lt;32,5)))))</f>
        <v>2</v>
      </c>
      <c r="G1020" s="7" t="str">
        <f t="shared" si="61"/>
        <v>Week 2</v>
      </c>
      <c r="H1020" s="7" t="str">
        <f t="shared" si="62"/>
        <v>January 25 Week 2</v>
      </c>
      <c r="I1020" s="7" t="str">
        <f>CONCATENATE(UPPER(TableAopCalendar[[#This Row],[Month]])," ",TableAopCalendar[[#This Row],[Year]])</f>
        <v>JANUARY 25</v>
      </c>
      <c r="J1020" s="7" t="s">
        <v>274</v>
      </c>
      <c r="K1020" s="7" t="str">
        <f>CONCATENATE(TableAopCalendar[[#This Row],[Month for Plan]]," ",TableAopCalendar[[#This Row],[Plan]])</f>
        <v>JANUARY 25 PLANNED</v>
      </c>
    </row>
    <row r="1021" spans="1:11" x14ac:dyDescent="0.3">
      <c r="A1021" s="7">
        <f t="shared" si="60"/>
        <v>7</v>
      </c>
      <c r="B1021" s="5">
        <v>45671</v>
      </c>
      <c r="C1021" s="6" t="s">
        <v>271</v>
      </c>
      <c r="D1021" s="6">
        <v>25</v>
      </c>
      <c r="E1021" s="7">
        <f>DAY(TableAopCalendar[[#This Row],[Date]])</f>
        <v>14</v>
      </c>
      <c r="F1021" s="7">
        <f>IF(TableAopCalendar[[#This Row],[Day]]&lt;8,1,IF(TableAopCalendar[[#This Row],[Day]]&lt;15,2,IF(TableAopCalendar[[#This Row],[Day]]&lt;22,3,IF(TableAopCalendar[[#This Row],[Day]]&lt;29,4,IF(TableAopCalendar[[#This Row],[Day]]&lt;32,5)))))</f>
        <v>2</v>
      </c>
      <c r="G1021" s="7" t="str">
        <f t="shared" si="61"/>
        <v>Week 2</v>
      </c>
      <c r="H1021" s="7" t="str">
        <f t="shared" si="62"/>
        <v>January 25 Week 2</v>
      </c>
      <c r="I1021" s="7" t="str">
        <f>CONCATENATE(UPPER(TableAopCalendar[[#This Row],[Month]])," ",TableAopCalendar[[#This Row],[Year]])</f>
        <v>JANUARY 25</v>
      </c>
      <c r="J1021" s="7" t="s">
        <v>274</v>
      </c>
      <c r="K1021" s="7" t="str">
        <f>CONCATENATE(TableAopCalendar[[#This Row],[Month for Plan]]," ",TableAopCalendar[[#This Row],[Plan]])</f>
        <v>JANUARY 25 PLANNED</v>
      </c>
    </row>
    <row r="1022" spans="1:11" x14ac:dyDescent="0.3">
      <c r="A1022" s="7">
        <f t="shared" si="60"/>
        <v>1</v>
      </c>
      <c r="B1022" s="5">
        <v>45672</v>
      </c>
      <c r="C1022" s="6" t="s">
        <v>271</v>
      </c>
      <c r="D1022" s="6">
        <v>25</v>
      </c>
      <c r="E1022" s="7">
        <f>DAY(TableAopCalendar[[#This Row],[Date]])</f>
        <v>15</v>
      </c>
      <c r="F1022" s="7">
        <f>IF(TableAopCalendar[[#This Row],[Day]]&lt;8,1,IF(TableAopCalendar[[#This Row],[Day]]&lt;15,2,IF(TableAopCalendar[[#This Row],[Day]]&lt;22,3,IF(TableAopCalendar[[#This Row],[Day]]&lt;29,4,IF(TableAopCalendar[[#This Row],[Day]]&lt;32,5)))))</f>
        <v>3</v>
      </c>
      <c r="G1022" s="7" t="str">
        <f t="shared" si="61"/>
        <v>Week 3</v>
      </c>
      <c r="H1022" s="7" t="str">
        <f t="shared" si="62"/>
        <v>January 25 Week 3</v>
      </c>
      <c r="I1022" s="7" t="str">
        <f>CONCATENATE(UPPER(TableAopCalendar[[#This Row],[Month]])," ",TableAopCalendar[[#This Row],[Year]])</f>
        <v>JANUARY 25</v>
      </c>
      <c r="J1022" s="7" t="s">
        <v>274</v>
      </c>
      <c r="K1022" s="7" t="str">
        <f>CONCATENATE(TableAopCalendar[[#This Row],[Month for Plan]]," ",TableAopCalendar[[#This Row],[Plan]])</f>
        <v>JANUARY 25 PLANNED</v>
      </c>
    </row>
    <row r="1023" spans="1:11" x14ac:dyDescent="0.3">
      <c r="A1023" s="7">
        <f t="shared" si="60"/>
        <v>2</v>
      </c>
      <c r="B1023" s="5">
        <v>45673</v>
      </c>
      <c r="C1023" s="6" t="s">
        <v>271</v>
      </c>
      <c r="D1023" s="6">
        <v>25</v>
      </c>
      <c r="E1023" s="7">
        <f>DAY(TableAopCalendar[[#This Row],[Date]])</f>
        <v>16</v>
      </c>
      <c r="F1023" s="7">
        <f>IF(TableAopCalendar[[#This Row],[Day]]&lt;8,1,IF(TableAopCalendar[[#This Row],[Day]]&lt;15,2,IF(TableAopCalendar[[#This Row],[Day]]&lt;22,3,IF(TableAopCalendar[[#This Row],[Day]]&lt;29,4,IF(TableAopCalendar[[#This Row],[Day]]&lt;32,5)))))</f>
        <v>3</v>
      </c>
      <c r="G1023" s="7" t="str">
        <f t="shared" si="61"/>
        <v>Week 3</v>
      </c>
      <c r="H1023" s="7" t="str">
        <f t="shared" si="62"/>
        <v>January 25 Week 3</v>
      </c>
      <c r="I1023" s="7" t="str">
        <f>CONCATENATE(UPPER(TableAopCalendar[[#This Row],[Month]])," ",TableAopCalendar[[#This Row],[Year]])</f>
        <v>JANUARY 25</v>
      </c>
      <c r="J1023" s="7" t="s">
        <v>274</v>
      </c>
      <c r="K1023" s="7" t="str">
        <f>CONCATENATE(TableAopCalendar[[#This Row],[Month for Plan]]," ",TableAopCalendar[[#This Row],[Plan]])</f>
        <v>JANUARY 25 PLANNED</v>
      </c>
    </row>
    <row r="1024" spans="1:11" x14ac:dyDescent="0.3">
      <c r="A1024" s="7">
        <f t="shared" si="60"/>
        <v>3</v>
      </c>
      <c r="B1024" s="5">
        <v>45674</v>
      </c>
      <c r="C1024" s="6" t="s">
        <v>271</v>
      </c>
      <c r="D1024" s="6">
        <v>25</v>
      </c>
      <c r="E1024" s="7">
        <f>DAY(TableAopCalendar[[#This Row],[Date]])</f>
        <v>17</v>
      </c>
      <c r="F1024" s="7">
        <f>IF(TableAopCalendar[[#This Row],[Day]]&lt;8,1,IF(TableAopCalendar[[#This Row],[Day]]&lt;15,2,IF(TableAopCalendar[[#This Row],[Day]]&lt;22,3,IF(TableAopCalendar[[#This Row],[Day]]&lt;29,4,IF(TableAopCalendar[[#This Row],[Day]]&lt;32,5)))))</f>
        <v>3</v>
      </c>
      <c r="G1024" s="7" t="str">
        <f t="shared" si="61"/>
        <v>Week 3</v>
      </c>
      <c r="H1024" s="7" t="str">
        <f t="shared" si="62"/>
        <v>January 25 Week 3</v>
      </c>
      <c r="I1024" s="7" t="str">
        <f>CONCATENATE(UPPER(TableAopCalendar[[#This Row],[Month]])," ",TableAopCalendar[[#This Row],[Year]])</f>
        <v>JANUARY 25</v>
      </c>
      <c r="J1024" s="7" t="s">
        <v>274</v>
      </c>
      <c r="K1024" s="7" t="str">
        <f>CONCATENATE(TableAopCalendar[[#This Row],[Month for Plan]]," ",TableAopCalendar[[#This Row],[Plan]])</f>
        <v>JANUARY 25 PLANNED</v>
      </c>
    </row>
    <row r="1025" spans="1:11" x14ac:dyDescent="0.3">
      <c r="A1025" s="7">
        <f t="shared" si="60"/>
        <v>4</v>
      </c>
      <c r="B1025" s="5">
        <v>45675</v>
      </c>
      <c r="C1025" s="6" t="s">
        <v>271</v>
      </c>
      <c r="D1025" s="6">
        <v>25</v>
      </c>
      <c r="E1025" s="7">
        <f>DAY(TableAopCalendar[[#This Row],[Date]])</f>
        <v>18</v>
      </c>
      <c r="F1025" s="7">
        <f>IF(TableAopCalendar[[#This Row],[Day]]&lt;8,1,IF(TableAopCalendar[[#This Row],[Day]]&lt;15,2,IF(TableAopCalendar[[#This Row],[Day]]&lt;22,3,IF(TableAopCalendar[[#This Row],[Day]]&lt;29,4,IF(TableAopCalendar[[#This Row],[Day]]&lt;32,5)))))</f>
        <v>3</v>
      </c>
      <c r="G1025" s="7" t="str">
        <f t="shared" si="61"/>
        <v>Week 3</v>
      </c>
      <c r="H1025" s="7" t="str">
        <f t="shared" si="62"/>
        <v>January 25 Week 3</v>
      </c>
      <c r="I1025" s="7" t="str">
        <f>CONCATENATE(UPPER(TableAopCalendar[[#This Row],[Month]])," ",TableAopCalendar[[#This Row],[Year]])</f>
        <v>JANUARY 25</v>
      </c>
      <c r="J1025" s="7" t="s">
        <v>274</v>
      </c>
      <c r="K1025" s="7" t="str">
        <f>CONCATENATE(TableAopCalendar[[#This Row],[Month for Plan]]," ",TableAopCalendar[[#This Row],[Plan]])</f>
        <v>JANUARY 25 PLANNED</v>
      </c>
    </row>
    <row r="1026" spans="1:11" x14ac:dyDescent="0.3">
      <c r="A1026" s="7">
        <f t="shared" si="60"/>
        <v>5</v>
      </c>
      <c r="B1026" s="5">
        <v>45676</v>
      </c>
      <c r="C1026" s="6" t="s">
        <v>271</v>
      </c>
      <c r="D1026" s="6">
        <v>25</v>
      </c>
      <c r="E1026" s="7">
        <f>DAY(TableAopCalendar[[#This Row],[Date]])</f>
        <v>19</v>
      </c>
      <c r="F1026" s="7">
        <f>IF(TableAopCalendar[[#This Row],[Day]]&lt;8,1,IF(TableAopCalendar[[#This Row],[Day]]&lt;15,2,IF(TableAopCalendar[[#This Row],[Day]]&lt;22,3,IF(TableAopCalendar[[#This Row],[Day]]&lt;29,4,IF(TableAopCalendar[[#This Row],[Day]]&lt;32,5)))))</f>
        <v>3</v>
      </c>
      <c r="G1026" s="7" t="str">
        <f t="shared" si="61"/>
        <v>Week 3</v>
      </c>
      <c r="H1026" s="7" t="str">
        <f t="shared" si="62"/>
        <v>January 25 Week 3</v>
      </c>
      <c r="I1026" s="7" t="str">
        <f>CONCATENATE(UPPER(TableAopCalendar[[#This Row],[Month]])," ",TableAopCalendar[[#This Row],[Year]])</f>
        <v>JANUARY 25</v>
      </c>
      <c r="J1026" s="7" t="s">
        <v>274</v>
      </c>
      <c r="K1026" s="7" t="str">
        <f>CONCATENATE(TableAopCalendar[[#This Row],[Month for Plan]]," ",TableAopCalendar[[#This Row],[Plan]])</f>
        <v>JANUARY 25 PLANNED</v>
      </c>
    </row>
    <row r="1027" spans="1:11" x14ac:dyDescent="0.3">
      <c r="A1027" s="7">
        <f t="shared" si="60"/>
        <v>6</v>
      </c>
      <c r="B1027" s="5">
        <v>45677</v>
      </c>
      <c r="C1027" s="6" t="s">
        <v>271</v>
      </c>
      <c r="D1027" s="6">
        <v>25</v>
      </c>
      <c r="E1027" s="7">
        <f>DAY(TableAopCalendar[[#This Row],[Date]])</f>
        <v>20</v>
      </c>
      <c r="F1027" s="7">
        <f>IF(TableAopCalendar[[#This Row],[Day]]&lt;8,1,IF(TableAopCalendar[[#This Row],[Day]]&lt;15,2,IF(TableAopCalendar[[#This Row],[Day]]&lt;22,3,IF(TableAopCalendar[[#This Row],[Day]]&lt;29,4,IF(TableAopCalendar[[#This Row],[Day]]&lt;32,5)))))</f>
        <v>3</v>
      </c>
      <c r="G1027" s="7" t="str">
        <f t="shared" si="61"/>
        <v>Week 3</v>
      </c>
      <c r="H1027" s="7" t="str">
        <f t="shared" si="62"/>
        <v>January 25 Week 3</v>
      </c>
      <c r="I1027" s="7" t="str">
        <f>CONCATENATE(UPPER(TableAopCalendar[[#This Row],[Month]])," ",TableAopCalendar[[#This Row],[Year]])</f>
        <v>JANUARY 25</v>
      </c>
      <c r="J1027" s="7" t="s">
        <v>274</v>
      </c>
      <c r="K1027" s="7" t="str">
        <f>CONCATENATE(TableAopCalendar[[#This Row],[Month for Plan]]," ",TableAopCalendar[[#This Row],[Plan]])</f>
        <v>JANUARY 25 PLANNED</v>
      </c>
    </row>
    <row r="1028" spans="1:11" x14ac:dyDescent="0.3">
      <c r="A1028" s="7">
        <f t="shared" si="60"/>
        <v>7</v>
      </c>
      <c r="B1028" s="5">
        <v>45678</v>
      </c>
      <c r="C1028" s="6" t="s">
        <v>271</v>
      </c>
      <c r="D1028" s="6">
        <v>25</v>
      </c>
      <c r="E1028" s="7">
        <f>DAY(TableAopCalendar[[#This Row],[Date]])</f>
        <v>21</v>
      </c>
      <c r="F1028" s="7">
        <f>IF(TableAopCalendar[[#This Row],[Day]]&lt;8,1,IF(TableAopCalendar[[#This Row],[Day]]&lt;15,2,IF(TableAopCalendar[[#This Row],[Day]]&lt;22,3,IF(TableAopCalendar[[#This Row],[Day]]&lt;29,4,IF(TableAopCalendar[[#This Row],[Day]]&lt;32,5)))))</f>
        <v>3</v>
      </c>
      <c r="G1028" s="7" t="str">
        <f t="shared" si="61"/>
        <v>Week 3</v>
      </c>
      <c r="H1028" s="7" t="str">
        <f t="shared" si="62"/>
        <v>January 25 Week 3</v>
      </c>
      <c r="I1028" s="7" t="str">
        <f>CONCATENATE(UPPER(TableAopCalendar[[#This Row],[Month]])," ",TableAopCalendar[[#This Row],[Year]])</f>
        <v>JANUARY 25</v>
      </c>
      <c r="J1028" s="7" t="s">
        <v>274</v>
      </c>
      <c r="K1028" s="7" t="str">
        <f>CONCATENATE(TableAopCalendar[[#This Row],[Month for Plan]]," ",TableAopCalendar[[#This Row],[Plan]])</f>
        <v>JANUARY 25 PLANNED</v>
      </c>
    </row>
    <row r="1029" spans="1:11" x14ac:dyDescent="0.3">
      <c r="A1029" s="7">
        <f t="shared" si="60"/>
        <v>1</v>
      </c>
      <c r="B1029" s="5">
        <v>45679</v>
      </c>
      <c r="C1029" s="6" t="s">
        <v>271</v>
      </c>
      <c r="D1029" s="6">
        <v>25</v>
      </c>
      <c r="E1029" s="7">
        <f>DAY(TableAopCalendar[[#This Row],[Date]])</f>
        <v>22</v>
      </c>
      <c r="F1029" s="7">
        <f>IF(TableAopCalendar[[#This Row],[Day]]&lt;8,1,IF(TableAopCalendar[[#This Row],[Day]]&lt;15,2,IF(TableAopCalendar[[#This Row],[Day]]&lt;22,3,IF(TableAopCalendar[[#This Row],[Day]]&lt;29,4,IF(TableAopCalendar[[#This Row],[Day]]&lt;32,5)))))</f>
        <v>4</v>
      </c>
      <c r="G1029" s="7" t="str">
        <f t="shared" si="61"/>
        <v>Week 4</v>
      </c>
      <c r="H1029" s="7" t="str">
        <f t="shared" si="62"/>
        <v>January 25 Week 4</v>
      </c>
      <c r="I1029" s="7" t="str">
        <f>CONCATENATE(UPPER(TableAopCalendar[[#This Row],[Month]])," ",TableAopCalendar[[#This Row],[Year]])</f>
        <v>JANUARY 25</v>
      </c>
      <c r="J1029" s="7" t="s">
        <v>274</v>
      </c>
      <c r="K1029" s="7" t="str">
        <f>CONCATENATE(TableAopCalendar[[#This Row],[Month for Plan]]," ",TableAopCalendar[[#This Row],[Plan]])</f>
        <v>JANUARY 25 PLANNED</v>
      </c>
    </row>
    <row r="1030" spans="1:11" x14ac:dyDescent="0.3">
      <c r="A1030" s="7">
        <f t="shared" ref="A1030:A1093" si="63">IF(G1030=G1029,A1029+1,1)</f>
        <v>2</v>
      </c>
      <c r="B1030" s="5">
        <v>45680</v>
      </c>
      <c r="C1030" s="6" t="s">
        <v>271</v>
      </c>
      <c r="D1030" s="6">
        <v>25</v>
      </c>
      <c r="E1030" s="7">
        <f>DAY(TableAopCalendar[[#This Row],[Date]])</f>
        <v>23</v>
      </c>
      <c r="F1030" s="7">
        <f>IF(TableAopCalendar[[#This Row],[Day]]&lt;8,1,IF(TableAopCalendar[[#This Row],[Day]]&lt;15,2,IF(TableAopCalendar[[#This Row],[Day]]&lt;22,3,IF(TableAopCalendar[[#This Row],[Day]]&lt;29,4,IF(TableAopCalendar[[#This Row],[Day]]&lt;32,5)))))</f>
        <v>4</v>
      </c>
      <c r="G1030" s="7" t="str">
        <f t="shared" ref="G1030:G1093" si="64">"Week"&amp;" "&amp;F1030</f>
        <v>Week 4</v>
      </c>
      <c r="H1030" s="7" t="str">
        <f t="shared" ref="H1030:H1093" si="65">CONCATENATE(C1030," ",D1030," ",G1030)</f>
        <v>January 25 Week 4</v>
      </c>
      <c r="I1030" s="7" t="str">
        <f>CONCATENATE(UPPER(TableAopCalendar[[#This Row],[Month]])," ",TableAopCalendar[[#This Row],[Year]])</f>
        <v>JANUARY 25</v>
      </c>
      <c r="J1030" s="7" t="s">
        <v>274</v>
      </c>
      <c r="K1030" s="7" t="str">
        <f>CONCATENATE(TableAopCalendar[[#This Row],[Month for Plan]]," ",TableAopCalendar[[#This Row],[Plan]])</f>
        <v>JANUARY 25 PLANNED</v>
      </c>
    </row>
    <row r="1031" spans="1:11" x14ac:dyDescent="0.3">
      <c r="A1031" s="7">
        <f t="shared" si="63"/>
        <v>3</v>
      </c>
      <c r="B1031" s="5">
        <v>45681</v>
      </c>
      <c r="C1031" s="6" t="s">
        <v>271</v>
      </c>
      <c r="D1031" s="6">
        <v>25</v>
      </c>
      <c r="E1031" s="7">
        <f>DAY(TableAopCalendar[[#This Row],[Date]])</f>
        <v>24</v>
      </c>
      <c r="F1031" s="7">
        <f>IF(TableAopCalendar[[#This Row],[Day]]&lt;8,1,IF(TableAopCalendar[[#This Row],[Day]]&lt;15,2,IF(TableAopCalendar[[#This Row],[Day]]&lt;22,3,IF(TableAopCalendar[[#This Row],[Day]]&lt;29,4,IF(TableAopCalendar[[#This Row],[Day]]&lt;32,5)))))</f>
        <v>4</v>
      </c>
      <c r="G1031" s="7" t="str">
        <f t="shared" si="64"/>
        <v>Week 4</v>
      </c>
      <c r="H1031" s="7" t="str">
        <f t="shared" si="65"/>
        <v>January 25 Week 4</v>
      </c>
      <c r="I1031" s="7" t="str">
        <f>CONCATENATE(UPPER(TableAopCalendar[[#This Row],[Month]])," ",TableAopCalendar[[#This Row],[Year]])</f>
        <v>JANUARY 25</v>
      </c>
      <c r="J1031" s="7" t="s">
        <v>274</v>
      </c>
      <c r="K1031" s="7" t="str">
        <f>CONCATENATE(TableAopCalendar[[#This Row],[Month for Plan]]," ",TableAopCalendar[[#This Row],[Plan]])</f>
        <v>JANUARY 25 PLANNED</v>
      </c>
    </row>
    <row r="1032" spans="1:11" x14ac:dyDescent="0.3">
      <c r="A1032" s="7">
        <f t="shared" si="63"/>
        <v>4</v>
      </c>
      <c r="B1032" s="5">
        <v>45682</v>
      </c>
      <c r="C1032" s="6" t="s">
        <v>271</v>
      </c>
      <c r="D1032" s="6">
        <v>25</v>
      </c>
      <c r="E1032" s="7">
        <f>DAY(TableAopCalendar[[#This Row],[Date]])</f>
        <v>25</v>
      </c>
      <c r="F1032" s="7">
        <f>IF(TableAopCalendar[[#This Row],[Day]]&lt;8,1,IF(TableAopCalendar[[#This Row],[Day]]&lt;15,2,IF(TableAopCalendar[[#This Row],[Day]]&lt;22,3,IF(TableAopCalendar[[#This Row],[Day]]&lt;29,4,IF(TableAopCalendar[[#This Row],[Day]]&lt;32,5)))))</f>
        <v>4</v>
      </c>
      <c r="G1032" s="7" t="str">
        <f t="shared" si="64"/>
        <v>Week 4</v>
      </c>
      <c r="H1032" s="7" t="str">
        <f t="shared" si="65"/>
        <v>January 25 Week 4</v>
      </c>
      <c r="I1032" s="7" t="str">
        <f>CONCATENATE(UPPER(TableAopCalendar[[#This Row],[Month]])," ",TableAopCalendar[[#This Row],[Year]])</f>
        <v>JANUARY 25</v>
      </c>
      <c r="J1032" s="7" t="s">
        <v>274</v>
      </c>
      <c r="K1032" s="7" t="str">
        <f>CONCATENATE(TableAopCalendar[[#This Row],[Month for Plan]]," ",TableAopCalendar[[#This Row],[Plan]])</f>
        <v>JANUARY 25 PLANNED</v>
      </c>
    </row>
    <row r="1033" spans="1:11" x14ac:dyDescent="0.3">
      <c r="A1033" s="7">
        <f t="shared" si="63"/>
        <v>5</v>
      </c>
      <c r="B1033" s="5">
        <v>45683</v>
      </c>
      <c r="C1033" s="6" t="s">
        <v>271</v>
      </c>
      <c r="D1033" s="6">
        <v>25</v>
      </c>
      <c r="E1033" s="7">
        <f>DAY(TableAopCalendar[[#This Row],[Date]])</f>
        <v>26</v>
      </c>
      <c r="F1033" s="7">
        <f>IF(TableAopCalendar[[#This Row],[Day]]&lt;8,1,IF(TableAopCalendar[[#This Row],[Day]]&lt;15,2,IF(TableAopCalendar[[#This Row],[Day]]&lt;22,3,IF(TableAopCalendar[[#This Row],[Day]]&lt;29,4,IF(TableAopCalendar[[#This Row],[Day]]&lt;32,5)))))</f>
        <v>4</v>
      </c>
      <c r="G1033" s="7" t="str">
        <f t="shared" si="64"/>
        <v>Week 4</v>
      </c>
      <c r="H1033" s="7" t="str">
        <f t="shared" si="65"/>
        <v>January 25 Week 4</v>
      </c>
      <c r="I1033" s="7" t="str">
        <f>CONCATENATE(UPPER(TableAopCalendar[[#This Row],[Month]])," ",TableAopCalendar[[#This Row],[Year]])</f>
        <v>JANUARY 25</v>
      </c>
      <c r="J1033" s="7" t="s">
        <v>274</v>
      </c>
      <c r="K1033" s="7" t="str">
        <f>CONCATENATE(TableAopCalendar[[#This Row],[Month for Plan]]," ",TableAopCalendar[[#This Row],[Plan]])</f>
        <v>JANUARY 25 PLANNED</v>
      </c>
    </row>
    <row r="1034" spans="1:11" x14ac:dyDescent="0.3">
      <c r="A1034" s="7">
        <f t="shared" si="63"/>
        <v>6</v>
      </c>
      <c r="B1034" s="5">
        <v>45684</v>
      </c>
      <c r="C1034" s="6" t="s">
        <v>271</v>
      </c>
      <c r="D1034" s="6">
        <v>25</v>
      </c>
      <c r="E1034" s="7">
        <f>DAY(TableAopCalendar[[#This Row],[Date]])</f>
        <v>27</v>
      </c>
      <c r="F1034" s="7">
        <f>IF(TableAopCalendar[[#This Row],[Day]]&lt;8,1,IF(TableAopCalendar[[#This Row],[Day]]&lt;15,2,IF(TableAopCalendar[[#This Row],[Day]]&lt;22,3,IF(TableAopCalendar[[#This Row],[Day]]&lt;29,4,IF(TableAopCalendar[[#This Row],[Day]]&lt;32,5)))))</f>
        <v>4</v>
      </c>
      <c r="G1034" s="7" t="str">
        <f t="shared" si="64"/>
        <v>Week 4</v>
      </c>
      <c r="H1034" s="7" t="str">
        <f t="shared" si="65"/>
        <v>January 25 Week 4</v>
      </c>
      <c r="I1034" s="7" t="str">
        <f>CONCATENATE(UPPER(TableAopCalendar[[#This Row],[Month]])," ",TableAopCalendar[[#This Row],[Year]])</f>
        <v>JANUARY 25</v>
      </c>
      <c r="J1034" s="7" t="s">
        <v>274</v>
      </c>
      <c r="K1034" s="7" t="str">
        <f>CONCATENATE(TableAopCalendar[[#This Row],[Month for Plan]]," ",TableAopCalendar[[#This Row],[Plan]])</f>
        <v>JANUARY 25 PLANNED</v>
      </c>
    </row>
    <row r="1035" spans="1:11" x14ac:dyDescent="0.3">
      <c r="A1035" s="7">
        <f t="shared" si="63"/>
        <v>7</v>
      </c>
      <c r="B1035" s="5">
        <v>45685</v>
      </c>
      <c r="C1035" s="6" t="s">
        <v>271</v>
      </c>
      <c r="D1035" s="6">
        <v>25</v>
      </c>
      <c r="E1035" s="7">
        <f>DAY(TableAopCalendar[[#This Row],[Date]])</f>
        <v>28</v>
      </c>
      <c r="F1035" s="7">
        <f>IF(TableAopCalendar[[#This Row],[Day]]&lt;8,1,IF(TableAopCalendar[[#This Row],[Day]]&lt;15,2,IF(TableAopCalendar[[#This Row],[Day]]&lt;22,3,IF(TableAopCalendar[[#This Row],[Day]]&lt;29,4,IF(TableAopCalendar[[#This Row],[Day]]&lt;32,5)))))</f>
        <v>4</v>
      </c>
      <c r="G1035" s="7" t="str">
        <f t="shared" si="64"/>
        <v>Week 4</v>
      </c>
      <c r="H1035" s="7" t="str">
        <f t="shared" si="65"/>
        <v>January 25 Week 4</v>
      </c>
      <c r="I1035" s="7" t="str">
        <f>CONCATENATE(UPPER(TableAopCalendar[[#This Row],[Month]])," ",TableAopCalendar[[#This Row],[Year]])</f>
        <v>JANUARY 25</v>
      </c>
      <c r="J1035" s="7" t="s">
        <v>274</v>
      </c>
      <c r="K1035" s="7" t="str">
        <f>CONCATENATE(TableAopCalendar[[#This Row],[Month for Plan]]," ",TableAopCalendar[[#This Row],[Plan]])</f>
        <v>JANUARY 25 PLANNED</v>
      </c>
    </row>
    <row r="1036" spans="1:11" x14ac:dyDescent="0.3">
      <c r="A1036" s="7">
        <f t="shared" si="63"/>
        <v>1</v>
      </c>
      <c r="B1036" s="5">
        <v>45686</v>
      </c>
      <c r="C1036" s="6" t="s">
        <v>271</v>
      </c>
      <c r="D1036" s="6">
        <v>25</v>
      </c>
      <c r="E1036" s="7">
        <f>DAY(TableAopCalendar[[#This Row],[Date]])</f>
        <v>29</v>
      </c>
      <c r="F1036" s="7">
        <f>IF(TableAopCalendar[[#This Row],[Day]]&lt;8,1,IF(TableAopCalendar[[#This Row],[Day]]&lt;15,2,IF(TableAopCalendar[[#This Row],[Day]]&lt;22,3,IF(TableAopCalendar[[#This Row],[Day]]&lt;29,4,IF(TableAopCalendar[[#This Row],[Day]]&lt;32,5)))))</f>
        <v>5</v>
      </c>
      <c r="G1036" s="7" t="str">
        <f t="shared" si="64"/>
        <v>Week 5</v>
      </c>
      <c r="H1036" s="7" t="str">
        <f t="shared" si="65"/>
        <v>January 25 Week 5</v>
      </c>
      <c r="I1036" s="7" t="str">
        <f>CONCATENATE(UPPER(TableAopCalendar[[#This Row],[Month]])," ",TableAopCalendar[[#This Row],[Year]])</f>
        <v>JANUARY 25</v>
      </c>
      <c r="J1036" s="7" t="s">
        <v>274</v>
      </c>
      <c r="K1036" s="7" t="str">
        <f>CONCATENATE(TableAopCalendar[[#This Row],[Month for Plan]]," ",TableAopCalendar[[#This Row],[Plan]])</f>
        <v>JANUARY 25 PLANNED</v>
      </c>
    </row>
    <row r="1037" spans="1:11" x14ac:dyDescent="0.3">
      <c r="A1037" s="7">
        <f t="shared" si="63"/>
        <v>2</v>
      </c>
      <c r="B1037" s="5">
        <v>45687</v>
      </c>
      <c r="C1037" s="6" t="s">
        <v>271</v>
      </c>
      <c r="D1037" s="6">
        <v>25</v>
      </c>
      <c r="E1037" s="7">
        <f>DAY(TableAopCalendar[[#This Row],[Date]])</f>
        <v>30</v>
      </c>
      <c r="F1037" s="7">
        <f>IF(TableAopCalendar[[#This Row],[Day]]&lt;8,1,IF(TableAopCalendar[[#This Row],[Day]]&lt;15,2,IF(TableAopCalendar[[#This Row],[Day]]&lt;22,3,IF(TableAopCalendar[[#This Row],[Day]]&lt;29,4,IF(TableAopCalendar[[#This Row],[Day]]&lt;32,5)))))</f>
        <v>5</v>
      </c>
      <c r="G1037" s="7" t="str">
        <f t="shared" si="64"/>
        <v>Week 5</v>
      </c>
      <c r="H1037" s="7" t="str">
        <f t="shared" si="65"/>
        <v>January 25 Week 5</v>
      </c>
      <c r="I1037" s="7" t="str">
        <f>CONCATENATE(UPPER(TableAopCalendar[[#This Row],[Month]])," ",TableAopCalendar[[#This Row],[Year]])</f>
        <v>JANUARY 25</v>
      </c>
      <c r="J1037" s="7" t="s">
        <v>274</v>
      </c>
      <c r="K1037" s="7" t="str">
        <f>CONCATENATE(TableAopCalendar[[#This Row],[Month for Plan]]," ",TableAopCalendar[[#This Row],[Plan]])</f>
        <v>JANUARY 25 PLANNED</v>
      </c>
    </row>
    <row r="1038" spans="1:11" x14ac:dyDescent="0.3">
      <c r="A1038" s="7">
        <f t="shared" si="63"/>
        <v>3</v>
      </c>
      <c r="B1038" s="5">
        <v>45688</v>
      </c>
      <c r="C1038" s="6" t="s">
        <v>271</v>
      </c>
      <c r="D1038" s="6">
        <v>25</v>
      </c>
      <c r="E1038" s="7">
        <f>DAY(TableAopCalendar[[#This Row],[Date]])</f>
        <v>31</v>
      </c>
      <c r="F1038" s="7">
        <f>IF(TableAopCalendar[[#This Row],[Day]]&lt;8,1,IF(TableAopCalendar[[#This Row],[Day]]&lt;15,2,IF(TableAopCalendar[[#This Row],[Day]]&lt;22,3,IF(TableAopCalendar[[#This Row],[Day]]&lt;29,4,IF(TableAopCalendar[[#This Row],[Day]]&lt;32,5)))))</f>
        <v>5</v>
      </c>
      <c r="G1038" s="7" t="str">
        <f t="shared" si="64"/>
        <v>Week 5</v>
      </c>
      <c r="H1038" s="7" t="str">
        <f t="shared" si="65"/>
        <v>January 25 Week 5</v>
      </c>
      <c r="I1038" s="7" t="str">
        <f>CONCATENATE(UPPER(TableAopCalendar[[#This Row],[Month]])," ",TableAopCalendar[[#This Row],[Year]])</f>
        <v>JANUARY 25</v>
      </c>
      <c r="J1038" s="7" t="s">
        <v>274</v>
      </c>
      <c r="K1038" s="7" t="str">
        <f>CONCATENATE(TableAopCalendar[[#This Row],[Month for Plan]]," ",TableAopCalendar[[#This Row],[Plan]])</f>
        <v>JANUARY 25 PLANNED</v>
      </c>
    </row>
    <row r="1039" spans="1:11" x14ac:dyDescent="0.3">
      <c r="A1039" s="7">
        <f t="shared" si="63"/>
        <v>1</v>
      </c>
      <c r="B1039" s="5">
        <v>45689</v>
      </c>
      <c r="C1039" s="6" t="s">
        <v>272</v>
      </c>
      <c r="D1039" s="6">
        <v>25</v>
      </c>
      <c r="E1039" s="7">
        <f>DAY(TableAopCalendar[[#This Row],[Date]])</f>
        <v>1</v>
      </c>
      <c r="F1039" s="7">
        <f>IF(TableAopCalendar[[#This Row],[Day]]&lt;8,1,IF(TableAopCalendar[[#This Row],[Day]]&lt;15,2,IF(TableAopCalendar[[#This Row],[Day]]&lt;22,3,IF(TableAopCalendar[[#This Row],[Day]]&lt;29,4,IF(TableAopCalendar[[#This Row],[Day]]&lt;32,5)))))</f>
        <v>1</v>
      </c>
      <c r="G1039" s="7" t="str">
        <f t="shared" si="64"/>
        <v>Week 1</v>
      </c>
      <c r="H1039" s="7" t="str">
        <f t="shared" si="65"/>
        <v>February 25 Week 1</v>
      </c>
      <c r="I1039" s="7" t="str">
        <f>CONCATENATE(UPPER(TableAopCalendar[[#This Row],[Month]])," ",TableAopCalendar[[#This Row],[Year]])</f>
        <v>FEBRUARY 25</v>
      </c>
      <c r="J1039" s="7" t="s">
        <v>274</v>
      </c>
      <c r="K1039" s="7" t="str">
        <f>CONCATENATE(TableAopCalendar[[#This Row],[Month for Plan]]," ",TableAopCalendar[[#This Row],[Plan]])</f>
        <v>FEBRUARY 25 PLANNED</v>
      </c>
    </row>
    <row r="1040" spans="1:11" x14ac:dyDescent="0.3">
      <c r="A1040" s="7">
        <f t="shared" si="63"/>
        <v>2</v>
      </c>
      <c r="B1040" s="5">
        <v>45690</v>
      </c>
      <c r="C1040" s="6" t="s">
        <v>272</v>
      </c>
      <c r="D1040" s="6">
        <v>25</v>
      </c>
      <c r="E1040" s="7">
        <f>DAY(TableAopCalendar[[#This Row],[Date]])</f>
        <v>2</v>
      </c>
      <c r="F1040" s="7">
        <f>IF(TableAopCalendar[[#This Row],[Day]]&lt;8,1,IF(TableAopCalendar[[#This Row],[Day]]&lt;15,2,IF(TableAopCalendar[[#This Row],[Day]]&lt;22,3,IF(TableAopCalendar[[#This Row],[Day]]&lt;29,4,IF(TableAopCalendar[[#This Row],[Day]]&lt;32,5)))))</f>
        <v>1</v>
      </c>
      <c r="G1040" s="7" t="str">
        <f t="shared" si="64"/>
        <v>Week 1</v>
      </c>
      <c r="H1040" s="7" t="str">
        <f t="shared" si="65"/>
        <v>February 25 Week 1</v>
      </c>
      <c r="I1040" s="7" t="str">
        <f>CONCATENATE(UPPER(TableAopCalendar[[#This Row],[Month]])," ",TableAopCalendar[[#This Row],[Year]])</f>
        <v>FEBRUARY 25</v>
      </c>
      <c r="J1040" s="7" t="s">
        <v>274</v>
      </c>
      <c r="K1040" s="7" t="str">
        <f>CONCATENATE(TableAopCalendar[[#This Row],[Month for Plan]]," ",TableAopCalendar[[#This Row],[Plan]])</f>
        <v>FEBRUARY 25 PLANNED</v>
      </c>
    </row>
    <row r="1041" spans="1:11" x14ac:dyDescent="0.3">
      <c r="A1041" s="7">
        <f t="shared" si="63"/>
        <v>3</v>
      </c>
      <c r="B1041" s="5">
        <v>45691</v>
      </c>
      <c r="C1041" s="6" t="s">
        <v>272</v>
      </c>
      <c r="D1041" s="6">
        <v>25</v>
      </c>
      <c r="E1041" s="7">
        <f>DAY(TableAopCalendar[[#This Row],[Date]])</f>
        <v>3</v>
      </c>
      <c r="F1041" s="7">
        <f>IF(TableAopCalendar[[#This Row],[Day]]&lt;8,1,IF(TableAopCalendar[[#This Row],[Day]]&lt;15,2,IF(TableAopCalendar[[#This Row],[Day]]&lt;22,3,IF(TableAopCalendar[[#This Row],[Day]]&lt;29,4,IF(TableAopCalendar[[#This Row],[Day]]&lt;32,5)))))</f>
        <v>1</v>
      </c>
      <c r="G1041" s="7" t="str">
        <f t="shared" si="64"/>
        <v>Week 1</v>
      </c>
      <c r="H1041" s="7" t="str">
        <f t="shared" si="65"/>
        <v>February 25 Week 1</v>
      </c>
      <c r="I1041" s="7" t="str">
        <f>CONCATENATE(UPPER(TableAopCalendar[[#This Row],[Month]])," ",TableAopCalendar[[#This Row],[Year]])</f>
        <v>FEBRUARY 25</v>
      </c>
      <c r="J1041" s="7" t="s">
        <v>274</v>
      </c>
      <c r="K1041" s="7" t="str">
        <f>CONCATENATE(TableAopCalendar[[#This Row],[Month for Plan]]," ",TableAopCalendar[[#This Row],[Plan]])</f>
        <v>FEBRUARY 25 PLANNED</v>
      </c>
    </row>
    <row r="1042" spans="1:11" x14ac:dyDescent="0.3">
      <c r="A1042" s="7">
        <f t="shared" si="63"/>
        <v>4</v>
      </c>
      <c r="B1042" s="5">
        <v>45692</v>
      </c>
      <c r="C1042" s="6" t="s">
        <v>272</v>
      </c>
      <c r="D1042" s="6">
        <v>25</v>
      </c>
      <c r="E1042" s="7">
        <f>DAY(TableAopCalendar[[#This Row],[Date]])</f>
        <v>4</v>
      </c>
      <c r="F1042" s="7">
        <f>IF(TableAopCalendar[[#This Row],[Day]]&lt;8,1,IF(TableAopCalendar[[#This Row],[Day]]&lt;15,2,IF(TableAopCalendar[[#This Row],[Day]]&lt;22,3,IF(TableAopCalendar[[#This Row],[Day]]&lt;29,4,IF(TableAopCalendar[[#This Row],[Day]]&lt;32,5)))))</f>
        <v>1</v>
      </c>
      <c r="G1042" s="7" t="str">
        <f t="shared" si="64"/>
        <v>Week 1</v>
      </c>
      <c r="H1042" s="7" t="str">
        <f t="shared" si="65"/>
        <v>February 25 Week 1</v>
      </c>
      <c r="I1042" s="7" t="str">
        <f>CONCATENATE(UPPER(TableAopCalendar[[#This Row],[Month]])," ",TableAopCalendar[[#This Row],[Year]])</f>
        <v>FEBRUARY 25</v>
      </c>
      <c r="J1042" s="7" t="s">
        <v>274</v>
      </c>
      <c r="K1042" s="7" t="str">
        <f>CONCATENATE(TableAopCalendar[[#This Row],[Month for Plan]]," ",TableAopCalendar[[#This Row],[Plan]])</f>
        <v>FEBRUARY 25 PLANNED</v>
      </c>
    </row>
    <row r="1043" spans="1:11" x14ac:dyDescent="0.3">
      <c r="A1043" s="7">
        <f t="shared" si="63"/>
        <v>5</v>
      </c>
      <c r="B1043" s="5">
        <v>45693</v>
      </c>
      <c r="C1043" s="6" t="s">
        <v>272</v>
      </c>
      <c r="D1043" s="6">
        <v>25</v>
      </c>
      <c r="E1043" s="7">
        <f>DAY(TableAopCalendar[[#This Row],[Date]])</f>
        <v>5</v>
      </c>
      <c r="F1043" s="7">
        <f>IF(TableAopCalendar[[#This Row],[Day]]&lt;8,1,IF(TableAopCalendar[[#This Row],[Day]]&lt;15,2,IF(TableAopCalendar[[#This Row],[Day]]&lt;22,3,IF(TableAopCalendar[[#This Row],[Day]]&lt;29,4,IF(TableAopCalendar[[#This Row],[Day]]&lt;32,5)))))</f>
        <v>1</v>
      </c>
      <c r="G1043" s="7" t="str">
        <f t="shared" si="64"/>
        <v>Week 1</v>
      </c>
      <c r="H1043" s="7" t="str">
        <f t="shared" si="65"/>
        <v>February 25 Week 1</v>
      </c>
      <c r="I1043" s="7" t="str">
        <f>CONCATENATE(UPPER(TableAopCalendar[[#This Row],[Month]])," ",TableAopCalendar[[#This Row],[Year]])</f>
        <v>FEBRUARY 25</v>
      </c>
      <c r="J1043" s="7" t="s">
        <v>274</v>
      </c>
      <c r="K1043" s="7" t="str">
        <f>CONCATENATE(TableAopCalendar[[#This Row],[Month for Plan]]," ",TableAopCalendar[[#This Row],[Plan]])</f>
        <v>FEBRUARY 25 PLANNED</v>
      </c>
    </row>
    <row r="1044" spans="1:11" x14ac:dyDescent="0.3">
      <c r="A1044" s="7">
        <f t="shared" si="63"/>
        <v>6</v>
      </c>
      <c r="B1044" s="5">
        <v>45694</v>
      </c>
      <c r="C1044" s="6" t="s">
        <v>272</v>
      </c>
      <c r="D1044" s="6">
        <v>25</v>
      </c>
      <c r="E1044" s="7">
        <f>DAY(TableAopCalendar[[#This Row],[Date]])</f>
        <v>6</v>
      </c>
      <c r="F1044" s="7">
        <f>IF(TableAopCalendar[[#This Row],[Day]]&lt;8,1,IF(TableAopCalendar[[#This Row],[Day]]&lt;15,2,IF(TableAopCalendar[[#This Row],[Day]]&lt;22,3,IF(TableAopCalendar[[#This Row],[Day]]&lt;29,4,IF(TableAopCalendar[[#This Row],[Day]]&lt;32,5)))))</f>
        <v>1</v>
      </c>
      <c r="G1044" s="7" t="str">
        <f t="shared" si="64"/>
        <v>Week 1</v>
      </c>
      <c r="H1044" s="7" t="str">
        <f t="shared" si="65"/>
        <v>February 25 Week 1</v>
      </c>
      <c r="I1044" s="7" t="str">
        <f>CONCATENATE(UPPER(TableAopCalendar[[#This Row],[Month]])," ",TableAopCalendar[[#This Row],[Year]])</f>
        <v>FEBRUARY 25</v>
      </c>
      <c r="J1044" s="7" t="s">
        <v>274</v>
      </c>
      <c r="K1044" s="7" t="str">
        <f>CONCATENATE(TableAopCalendar[[#This Row],[Month for Plan]]," ",TableAopCalendar[[#This Row],[Plan]])</f>
        <v>FEBRUARY 25 PLANNED</v>
      </c>
    </row>
    <row r="1045" spans="1:11" x14ac:dyDescent="0.3">
      <c r="A1045" s="7">
        <f t="shared" si="63"/>
        <v>7</v>
      </c>
      <c r="B1045" s="5">
        <v>45695</v>
      </c>
      <c r="C1045" s="6" t="s">
        <v>272</v>
      </c>
      <c r="D1045" s="6">
        <v>25</v>
      </c>
      <c r="E1045" s="7">
        <f>DAY(TableAopCalendar[[#This Row],[Date]])</f>
        <v>7</v>
      </c>
      <c r="F1045" s="7">
        <f>IF(TableAopCalendar[[#This Row],[Day]]&lt;8,1,IF(TableAopCalendar[[#This Row],[Day]]&lt;15,2,IF(TableAopCalendar[[#This Row],[Day]]&lt;22,3,IF(TableAopCalendar[[#This Row],[Day]]&lt;29,4,IF(TableAopCalendar[[#This Row],[Day]]&lt;32,5)))))</f>
        <v>1</v>
      </c>
      <c r="G1045" s="7" t="str">
        <f t="shared" si="64"/>
        <v>Week 1</v>
      </c>
      <c r="H1045" s="7" t="str">
        <f t="shared" si="65"/>
        <v>February 25 Week 1</v>
      </c>
      <c r="I1045" s="7" t="str">
        <f>CONCATENATE(UPPER(TableAopCalendar[[#This Row],[Month]])," ",TableAopCalendar[[#This Row],[Year]])</f>
        <v>FEBRUARY 25</v>
      </c>
      <c r="J1045" s="7" t="s">
        <v>274</v>
      </c>
      <c r="K1045" s="7" t="str">
        <f>CONCATENATE(TableAopCalendar[[#This Row],[Month for Plan]]," ",TableAopCalendar[[#This Row],[Plan]])</f>
        <v>FEBRUARY 25 PLANNED</v>
      </c>
    </row>
    <row r="1046" spans="1:11" x14ac:dyDescent="0.3">
      <c r="A1046" s="7">
        <f t="shared" si="63"/>
        <v>1</v>
      </c>
      <c r="B1046" s="5">
        <v>45696</v>
      </c>
      <c r="C1046" s="6" t="s">
        <v>272</v>
      </c>
      <c r="D1046" s="6">
        <v>25</v>
      </c>
      <c r="E1046" s="7">
        <f>DAY(TableAopCalendar[[#This Row],[Date]])</f>
        <v>8</v>
      </c>
      <c r="F1046" s="7">
        <f>IF(TableAopCalendar[[#This Row],[Day]]&lt;8,1,IF(TableAopCalendar[[#This Row],[Day]]&lt;15,2,IF(TableAopCalendar[[#This Row],[Day]]&lt;22,3,IF(TableAopCalendar[[#This Row],[Day]]&lt;29,4,IF(TableAopCalendar[[#This Row],[Day]]&lt;32,5)))))</f>
        <v>2</v>
      </c>
      <c r="G1046" s="7" t="str">
        <f t="shared" si="64"/>
        <v>Week 2</v>
      </c>
      <c r="H1046" s="7" t="str">
        <f t="shared" si="65"/>
        <v>February 25 Week 2</v>
      </c>
      <c r="I1046" s="7" t="str">
        <f>CONCATENATE(UPPER(TableAopCalendar[[#This Row],[Month]])," ",TableAopCalendar[[#This Row],[Year]])</f>
        <v>FEBRUARY 25</v>
      </c>
      <c r="J1046" s="7" t="s">
        <v>274</v>
      </c>
      <c r="K1046" s="7" t="str">
        <f>CONCATENATE(TableAopCalendar[[#This Row],[Month for Plan]]," ",TableAopCalendar[[#This Row],[Plan]])</f>
        <v>FEBRUARY 25 PLANNED</v>
      </c>
    </row>
    <row r="1047" spans="1:11" x14ac:dyDescent="0.3">
      <c r="A1047" s="7">
        <f t="shared" si="63"/>
        <v>2</v>
      </c>
      <c r="B1047" s="5">
        <v>45697</v>
      </c>
      <c r="C1047" s="6" t="s">
        <v>272</v>
      </c>
      <c r="D1047" s="6">
        <v>25</v>
      </c>
      <c r="E1047" s="7">
        <f>DAY(TableAopCalendar[[#This Row],[Date]])</f>
        <v>9</v>
      </c>
      <c r="F1047" s="7">
        <f>IF(TableAopCalendar[[#This Row],[Day]]&lt;8,1,IF(TableAopCalendar[[#This Row],[Day]]&lt;15,2,IF(TableAopCalendar[[#This Row],[Day]]&lt;22,3,IF(TableAopCalendar[[#This Row],[Day]]&lt;29,4,IF(TableAopCalendar[[#This Row],[Day]]&lt;32,5)))))</f>
        <v>2</v>
      </c>
      <c r="G1047" s="7" t="str">
        <f t="shared" si="64"/>
        <v>Week 2</v>
      </c>
      <c r="H1047" s="7" t="str">
        <f t="shared" si="65"/>
        <v>February 25 Week 2</v>
      </c>
      <c r="I1047" s="7" t="str">
        <f>CONCATENATE(UPPER(TableAopCalendar[[#This Row],[Month]])," ",TableAopCalendar[[#This Row],[Year]])</f>
        <v>FEBRUARY 25</v>
      </c>
      <c r="J1047" s="7" t="s">
        <v>274</v>
      </c>
      <c r="K1047" s="7" t="str">
        <f>CONCATENATE(TableAopCalendar[[#This Row],[Month for Plan]]," ",TableAopCalendar[[#This Row],[Plan]])</f>
        <v>FEBRUARY 25 PLANNED</v>
      </c>
    </row>
    <row r="1048" spans="1:11" x14ac:dyDescent="0.3">
      <c r="A1048" s="7">
        <f t="shared" si="63"/>
        <v>3</v>
      </c>
      <c r="B1048" s="5">
        <v>45698</v>
      </c>
      <c r="C1048" s="6" t="s">
        <v>272</v>
      </c>
      <c r="D1048" s="6">
        <v>25</v>
      </c>
      <c r="E1048" s="7">
        <f>DAY(TableAopCalendar[[#This Row],[Date]])</f>
        <v>10</v>
      </c>
      <c r="F1048" s="7">
        <f>IF(TableAopCalendar[[#This Row],[Day]]&lt;8,1,IF(TableAopCalendar[[#This Row],[Day]]&lt;15,2,IF(TableAopCalendar[[#This Row],[Day]]&lt;22,3,IF(TableAopCalendar[[#This Row],[Day]]&lt;29,4,IF(TableAopCalendar[[#This Row],[Day]]&lt;32,5)))))</f>
        <v>2</v>
      </c>
      <c r="G1048" s="7" t="str">
        <f t="shared" si="64"/>
        <v>Week 2</v>
      </c>
      <c r="H1048" s="7" t="str">
        <f t="shared" si="65"/>
        <v>February 25 Week 2</v>
      </c>
      <c r="I1048" s="7" t="str">
        <f>CONCATENATE(UPPER(TableAopCalendar[[#This Row],[Month]])," ",TableAopCalendar[[#This Row],[Year]])</f>
        <v>FEBRUARY 25</v>
      </c>
      <c r="J1048" s="7" t="s">
        <v>274</v>
      </c>
      <c r="K1048" s="7" t="str">
        <f>CONCATENATE(TableAopCalendar[[#This Row],[Month for Plan]]," ",TableAopCalendar[[#This Row],[Plan]])</f>
        <v>FEBRUARY 25 PLANNED</v>
      </c>
    </row>
    <row r="1049" spans="1:11" x14ac:dyDescent="0.3">
      <c r="A1049" s="7">
        <f t="shared" si="63"/>
        <v>4</v>
      </c>
      <c r="B1049" s="5">
        <v>45699</v>
      </c>
      <c r="C1049" s="6" t="s">
        <v>272</v>
      </c>
      <c r="D1049" s="6">
        <v>25</v>
      </c>
      <c r="E1049" s="7">
        <f>DAY(TableAopCalendar[[#This Row],[Date]])</f>
        <v>11</v>
      </c>
      <c r="F1049" s="7">
        <f>IF(TableAopCalendar[[#This Row],[Day]]&lt;8,1,IF(TableAopCalendar[[#This Row],[Day]]&lt;15,2,IF(TableAopCalendar[[#This Row],[Day]]&lt;22,3,IF(TableAopCalendar[[#This Row],[Day]]&lt;29,4,IF(TableAopCalendar[[#This Row],[Day]]&lt;32,5)))))</f>
        <v>2</v>
      </c>
      <c r="G1049" s="7" t="str">
        <f t="shared" si="64"/>
        <v>Week 2</v>
      </c>
      <c r="H1049" s="7" t="str">
        <f t="shared" si="65"/>
        <v>February 25 Week 2</v>
      </c>
      <c r="I1049" s="7" t="str">
        <f>CONCATENATE(UPPER(TableAopCalendar[[#This Row],[Month]])," ",TableAopCalendar[[#This Row],[Year]])</f>
        <v>FEBRUARY 25</v>
      </c>
      <c r="J1049" s="7" t="s">
        <v>274</v>
      </c>
      <c r="K1049" s="7" t="str">
        <f>CONCATENATE(TableAopCalendar[[#This Row],[Month for Plan]]," ",TableAopCalendar[[#This Row],[Plan]])</f>
        <v>FEBRUARY 25 PLANNED</v>
      </c>
    </row>
    <row r="1050" spans="1:11" x14ac:dyDescent="0.3">
      <c r="A1050" s="7">
        <f t="shared" si="63"/>
        <v>5</v>
      </c>
      <c r="B1050" s="5">
        <v>45700</v>
      </c>
      <c r="C1050" s="6" t="s">
        <v>272</v>
      </c>
      <c r="D1050" s="6">
        <v>25</v>
      </c>
      <c r="E1050" s="7">
        <f>DAY(TableAopCalendar[[#This Row],[Date]])</f>
        <v>12</v>
      </c>
      <c r="F1050" s="7">
        <f>IF(TableAopCalendar[[#This Row],[Day]]&lt;8,1,IF(TableAopCalendar[[#This Row],[Day]]&lt;15,2,IF(TableAopCalendar[[#This Row],[Day]]&lt;22,3,IF(TableAopCalendar[[#This Row],[Day]]&lt;29,4,IF(TableAopCalendar[[#This Row],[Day]]&lt;32,5)))))</f>
        <v>2</v>
      </c>
      <c r="G1050" s="7" t="str">
        <f t="shared" si="64"/>
        <v>Week 2</v>
      </c>
      <c r="H1050" s="7" t="str">
        <f t="shared" si="65"/>
        <v>February 25 Week 2</v>
      </c>
      <c r="I1050" s="7" t="str">
        <f>CONCATENATE(UPPER(TableAopCalendar[[#This Row],[Month]])," ",TableAopCalendar[[#This Row],[Year]])</f>
        <v>FEBRUARY 25</v>
      </c>
      <c r="J1050" s="7" t="s">
        <v>274</v>
      </c>
      <c r="K1050" s="7" t="str">
        <f>CONCATENATE(TableAopCalendar[[#This Row],[Month for Plan]]," ",TableAopCalendar[[#This Row],[Plan]])</f>
        <v>FEBRUARY 25 PLANNED</v>
      </c>
    </row>
    <row r="1051" spans="1:11" x14ac:dyDescent="0.3">
      <c r="A1051" s="7">
        <f t="shared" si="63"/>
        <v>6</v>
      </c>
      <c r="B1051" s="5">
        <v>45701</v>
      </c>
      <c r="C1051" s="6" t="s">
        <v>272</v>
      </c>
      <c r="D1051" s="6">
        <v>25</v>
      </c>
      <c r="E1051" s="7">
        <f>DAY(TableAopCalendar[[#This Row],[Date]])</f>
        <v>13</v>
      </c>
      <c r="F1051" s="7">
        <f>IF(TableAopCalendar[[#This Row],[Day]]&lt;8,1,IF(TableAopCalendar[[#This Row],[Day]]&lt;15,2,IF(TableAopCalendar[[#This Row],[Day]]&lt;22,3,IF(TableAopCalendar[[#This Row],[Day]]&lt;29,4,IF(TableAopCalendar[[#This Row],[Day]]&lt;32,5)))))</f>
        <v>2</v>
      </c>
      <c r="G1051" s="7" t="str">
        <f t="shared" si="64"/>
        <v>Week 2</v>
      </c>
      <c r="H1051" s="7" t="str">
        <f t="shared" si="65"/>
        <v>February 25 Week 2</v>
      </c>
      <c r="I1051" s="7" t="str">
        <f>CONCATENATE(UPPER(TableAopCalendar[[#This Row],[Month]])," ",TableAopCalendar[[#This Row],[Year]])</f>
        <v>FEBRUARY 25</v>
      </c>
      <c r="J1051" s="7" t="s">
        <v>274</v>
      </c>
      <c r="K1051" s="7" t="str">
        <f>CONCATENATE(TableAopCalendar[[#This Row],[Month for Plan]]," ",TableAopCalendar[[#This Row],[Plan]])</f>
        <v>FEBRUARY 25 PLANNED</v>
      </c>
    </row>
    <row r="1052" spans="1:11" x14ac:dyDescent="0.3">
      <c r="A1052" s="7">
        <f t="shared" si="63"/>
        <v>7</v>
      </c>
      <c r="B1052" s="5">
        <v>45702</v>
      </c>
      <c r="C1052" s="6" t="s">
        <v>272</v>
      </c>
      <c r="D1052" s="6">
        <v>25</v>
      </c>
      <c r="E1052" s="7">
        <f>DAY(TableAopCalendar[[#This Row],[Date]])</f>
        <v>14</v>
      </c>
      <c r="F1052" s="7">
        <f>IF(TableAopCalendar[[#This Row],[Day]]&lt;8,1,IF(TableAopCalendar[[#This Row],[Day]]&lt;15,2,IF(TableAopCalendar[[#This Row],[Day]]&lt;22,3,IF(TableAopCalendar[[#This Row],[Day]]&lt;29,4,IF(TableAopCalendar[[#This Row],[Day]]&lt;32,5)))))</f>
        <v>2</v>
      </c>
      <c r="G1052" s="7" t="str">
        <f t="shared" si="64"/>
        <v>Week 2</v>
      </c>
      <c r="H1052" s="7" t="str">
        <f t="shared" si="65"/>
        <v>February 25 Week 2</v>
      </c>
      <c r="I1052" s="7" t="str">
        <f>CONCATENATE(UPPER(TableAopCalendar[[#This Row],[Month]])," ",TableAopCalendar[[#This Row],[Year]])</f>
        <v>FEBRUARY 25</v>
      </c>
      <c r="J1052" s="7" t="s">
        <v>274</v>
      </c>
      <c r="K1052" s="7" t="str">
        <f>CONCATENATE(TableAopCalendar[[#This Row],[Month for Plan]]," ",TableAopCalendar[[#This Row],[Plan]])</f>
        <v>FEBRUARY 25 PLANNED</v>
      </c>
    </row>
    <row r="1053" spans="1:11" x14ac:dyDescent="0.3">
      <c r="A1053" s="7">
        <f t="shared" si="63"/>
        <v>1</v>
      </c>
      <c r="B1053" s="5">
        <v>45703</v>
      </c>
      <c r="C1053" s="6" t="s">
        <v>272</v>
      </c>
      <c r="D1053" s="6">
        <v>25</v>
      </c>
      <c r="E1053" s="7">
        <f>DAY(TableAopCalendar[[#This Row],[Date]])</f>
        <v>15</v>
      </c>
      <c r="F1053" s="7">
        <f>IF(TableAopCalendar[[#This Row],[Day]]&lt;8,1,IF(TableAopCalendar[[#This Row],[Day]]&lt;15,2,IF(TableAopCalendar[[#This Row],[Day]]&lt;22,3,IF(TableAopCalendar[[#This Row],[Day]]&lt;29,4,IF(TableAopCalendar[[#This Row],[Day]]&lt;32,5)))))</f>
        <v>3</v>
      </c>
      <c r="G1053" s="7" t="str">
        <f t="shared" si="64"/>
        <v>Week 3</v>
      </c>
      <c r="H1053" s="7" t="str">
        <f t="shared" si="65"/>
        <v>February 25 Week 3</v>
      </c>
      <c r="I1053" s="7" t="str">
        <f>CONCATENATE(UPPER(TableAopCalendar[[#This Row],[Month]])," ",TableAopCalendar[[#This Row],[Year]])</f>
        <v>FEBRUARY 25</v>
      </c>
      <c r="J1053" s="7" t="s">
        <v>274</v>
      </c>
      <c r="K1053" s="7" t="str">
        <f>CONCATENATE(TableAopCalendar[[#This Row],[Month for Plan]]," ",TableAopCalendar[[#This Row],[Plan]])</f>
        <v>FEBRUARY 25 PLANNED</v>
      </c>
    </row>
    <row r="1054" spans="1:11" x14ac:dyDescent="0.3">
      <c r="A1054" s="7">
        <f t="shared" si="63"/>
        <v>2</v>
      </c>
      <c r="B1054" s="5">
        <v>45704</v>
      </c>
      <c r="C1054" s="6" t="s">
        <v>272</v>
      </c>
      <c r="D1054" s="6">
        <v>25</v>
      </c>
      <c r="E1054" s="7">
        <f>DAY(TableAopCalendar[[#This Row],[Date]])</f>
        <v>16</v>
      </c>
      <c r="F1054" s="7">
        <f>IF(TableAopCalendar[[#This Row],[Day]]&lt;8,1,IF(TableAopCalendar[[#This Row],[Day]]&lt;15,2,IF(TableAopCalendar[[#This Row],[Day]]&lt;22,3,IF(TableAopCalendar[[#This Row],[Day]]&lt;29,4,IF(TableAopCalendar[[#This Row],[Day]]&lt;32,5)))))</f>
        <v>3</v>
      </c>
      <c r="G1054" s="7" t="str">
        <f t="shared" si="64"/>
        <v>Week 3</v>
      </c>
      <c r="H1054" s="7" t="str">
        <f t="shared" si="65"/>
        <v>February 25 Week 3</v>
      </c>
      <c r="I1054" s="7" t="str">
        <f>CONCATENATE(UPPER(TableAopCalendar[[#This Row],[Month]])," ",TableAopCalendar[[#This Row],[Year]])</f>
        <v>FEBRUARY 25</v>
      </c>
      <c r="J1054" s="7" t="s">
        <v>274</v>
      </c>
      <c r="K1054" s="7" t="str">
        <f>CONCATENATE(TableAopCalendar[[#This Row],[Month for Plan]]," ",TableAopCalendar[[#This Row],[Plan]])</f>
        <v>FEBRUARY 25 PLANNED</v>
      </c>
    </row>
    <row r="1055" spans="1:11" x14ac:dyDescent="0.3">
      <c r="A1055" s="7">
        <f t="shared" si="63"/>
        <v>3</v>
      </c>
      <c r="B1055" s="5">
        <v>45705</v>
      </c>
      <c r="C1055" s="6" t="s">
        <v>272</v>
      </c>
      <c r="D1055" s="6">
        <v>25</v>
      </c>
      <c r="E1055" s="7">
        <f>DAY(TableAopCalendar[[#This Row],[Date]])</f>
        <v>17</v>
      </c>
      <c r="F1055" s="7">
        <f>IF(TableAopCalendar[[#This Row],[Day]]&lt;8,1,IF(TableAopCalendar[[#This Row],[Day]]&lt;15,2,IF(TableAopCalendar[[#This Row],[Day]]&lt;22,3,IF(TableAopCalendar[[#This Row],[Day]]&lt;29,4,IF(TableAopCalendar[[#This Row],[Day]]&lt;32,5)))))</f>
        <v>3</v>
      </c>
      <c r="G1055" s="7" t="str">
        <f t="shared" si="64"/>
        <v>Week 3</v>
      </c>
      <c r="H1055" s="7" t="str">
        <f t="shared" si="65"/>
        <v>February 25 Week 3</v>
      </c>
      <c r="I1055" s="7" t="str">
        <f>CONCATENATE(UPPER(TableAopCalendar[[#This Row],[Month]])," ",TableAopCalendar[[#This Row],[Year]])</f>
        <v>FEBRUARY 25</v>
      </c>
      <c r="J1055" s="7" t="s">
        <v>274</v>
      </c>
      <c r="K1055" s="7" t="str">
        <f>CONCATENATE(TableAopCalendar[[#This Row],[Month for Plan]]," ",TableAopCalendar[[#This Row],[Plan]])</f>
        <v>FEBRUARY 25 PLANNED</v>
      </c>
    </row>
    <row r="1056" spans="1:11" x14ac:dyDescent="0.3">
      <c r="A1056" s="7">
        <f t="shared" si="63"/>
        <v>4</v>
      </c>
      <c r="B1056" s="5">
        <v>45706</v>
      </c>
      <c r="C1056" s="6" t="s">
        <v>272</v>
      </c>
      <c r="D1056" s="6">
        <v>25</v>
      </c>
      <c r="E1056" s="7">
        <f>DAY(TableAopCalendar[[#This Row],[Date]])</f>
        <v>18</v>
      </c>
      <c r="F1056" s="7">
        <f>IF(TableAopCalendar[[#This Row],[Day]]&lt;8,1,IF(TableAopCalendar[[#This Row],[Day]]&lt;15,2,IF(TableAopCalendar[[#This Row],[Day]]&lt;22,3,IF(TableAopCalendar[[#This Row],[Day]]&lt;29,4,IF(TableAopCalendar[[#This Row],[Day]]&lt;32,5)))))</f>
        <v>3</v>
      </c>
      <c r="G1056" s="7" t="str">
        <f t="shared" si="64"/>
        <v>Week 3</v>
      </c>
      <c r="H1056" s="7" t="str">
        <f t="shared" si="65"/>
        <v>February 25 Week 3</v>
      </c>
      <c r="I1056" s="7" t="str">
        <f>CONCATENATE(UPPER(TableAopCalendar[[#This Row],[Month]])," ",TableAopCalendar[[#This Row],[Year]])</f>
        <v>FEBRUARY 25</v>
      </c>
      <c r="J1056" s="7" t="s">
        <v>274</v>
      </c>
      <c r="K1056" s="7" t="str">
        <f>CONCATENATE(TableAopCalendar[[#This Row],[Month for Plan]]," ",TableAopCalendar[[#This Row],[Plan]])</f>
        <v>FEBRUARY 25 PLANNED</v>
      </c>
    </row>
    <row r="1057" spans="1:11" x14ac:dyDescent="0.3">
      <c r="A1057" s="7">
        <f t="shared" si="63"/>
        <v>5</v>
      </c>
      <c r="B1057" s="5">
        <v>45707</v>
      </c>
      <c r="C1057" s="6" t="s">
        <v>272</v>
      </c>
      <c r="D1057" s="6">
        <v>25</v>
      </c>
      <c r="E1057" s="7">
        <f>DAY(TableAopCalendar[[#This Row],[Date]])</f>
        <v>19</v>
      </c>
      <c r="F1057" s="7">
        <f>IF(TableAopCalendar[[#This Row],[Day]]&lt;8,1,IF(TableAopCalendar[[#This Row],[Day]]&lt;15,2,IF(TableAopCalendar[[#This Row],[Day]]&lt;22,3,IF(TableAopCalendar[[#This Row],[Day]]&lt;29,4,IF(TableAopCalendar[[#This Row],[Day]]&lt;32,5)))))</f>
        <v>3</v>
      </c>
      <c r="G1057" s="7" t="str">
        <f t="shared" si="64"/>
        <v>Week 3</v>
      </c>
      <c r="H1057" s="7" t="str">
        <f t="shared" si="65"/>
        <v>February 25 Week 3</v>
      </c>
      <c r="I1057" s="7" t="str">
        <f>CONCATENATE(UPPER(TableAopCalendar[[#This Row],[Month]])," ",TableAopCalendar[[#This Row],[Year]])</f>
        <v>FEBRUARY 25</v>
      </c>
      <c r="J1057" s="7" t="s">
        <v>274</v>
      </c>
      <c r="K1057" s="7" t="str">
        <f>CONCATENATE(TableAopCalendar[[#This Row],[Month for Plan]]," ",TableAopCalendar[[#This Row],[Plan]])</f>
        <v>FEBRUARY 25 PLANNED</v>
      </c>
    </row>
    <row r="1058" spans="1:11" x14ac:dyDescent="0.3">
      <c r="A1058" s="7">
        <f t="shared" si="63"/>
        <v>6</v>
      </c>
      <c r="B1058" s="5">
        <v>45708</v>
      </c>
      <c r="C1058" s="6" t="s">
        <v>272</v>
      </c>
      <c r="D1058" s="6">
        <v>25</v>
      </c>
      <c r="E1058" s="7">
        <f>DAY(TableAopCalendar[[#This Row],[Date]])</f>
        <v>20</v>
      </c>
      <c r="F1058" s="7">
        <f>IF(TableAopCalendar[[#This Row],[Day]]&lt;8,1,IF(TableAopCalendar[[#This Row],[Day]]&lt;15,2,IF(TableAopCalendar[[#This Row],[Day]]&lt;22,3,IF(TableAopCalendar[[#This Row],[Day]]&lt;29,4,IF(TableAopCalendar[[#This Row],[Day]]&lt;32,5)))))</f>
        <v>3</v>
      </c>
      <c r="G1058" s="7" t="str">
        <f t="shared" si="64"/>
        <v>Week 3</v>
      </c>
      <c r="H1058" s="7" t="str">
        <f t="shared" si="65"/>
        <v>February 25 Week 3</v>
      </c>
      <c r="I1058" s="7" t="str">
        <f>CONCATENATE(UPPER(TableAopCalendar[[#This Row],[Month]])," ",TableAopCalendar[[#This Row],[Year]])</f>
        <v>FEBRUARY 25</v>
      </c>
      <c r="J1058" s="7" t="s">
        <v>274</v>
      </c>
      <c r="K1058" s="7" t="str">
        <f>CONCATENATE(TableAopCalendar[[#This Row],[Month for Plan]]," ",TableAopCalendar[[#This Row],[Plan]])</f>
        <v>FEBRUARY 25 PLANNED</v>
      </c>
    </row>
    <row r="1059" spans="1:11" x14ac:dyDescent="0.3">
      <c r="A1059" s="7">
        <f t="shared" si="63"/>
        <v>7</v>
      </c>
      <c r="B1059" s="5">
        <v>45709</v>
      </c>
      <c r="C1059" s="6" t="s">
        <v>272</v>
      </c>
      <c r="D1059" s="6">
        <v>25</v>
      </c>
      <c r="E1059" s="7">
        <f>DAY(TableAopCalendar[[#This Row],[Date]])</f>
        <v>21</v>
      </c>
      <c r="F1059" s="7">
        <f>IF(TableAopCalendar[[#This Row],[Day]]&lt;8,1,IF(TableAopCalendar[[#This Row],[Day]]&lt;15,2,IF(TableAopCalendar[[#This Row],[Day]]&lt;22,3,IF(TableAopCalendar[[#This Row],[Day]]&lt;29,4,IF(TableAopCalendar[[#This Row],[Day]]&lt;32,5)))))</f>
        <v>3</v>
      </c>
      <c r="G1059" s="7" t="str">
        <f t="shared" si="64"/>
        <v>Week 3</v>
      </c>
      <c r="H1059" s="7" t="str">
        <f t="shared" si="65"/>
        <v>February 25 Week 3</v>
      </c>
      <c r="I1059" s="7" t="str">
        <f>CONCATENATE(UPPER(TableAopCalendar[[#This Row],[Month]])," ",TableAopCalendar[[#This Row],[Year]])</f>
        <v>FEBRUARY 25</v>
      </c>
      <c r="J1059" s="7" t="s">
        <v>274</v>
      </c>
      <c r="K1059" s="7" t="str">
        <f>CONCATENATE(TableAopCalendar[[#This Row],[Month for Plan]]," ",TableAopCalendar[[#This Row],[Plan]])</f>
        <v>FEBRUARY 25 PLANNED</v>
      </c>
    </row>
    <row r="1060" spans="1:11" x14ac:dyDescent="0.3">
      <c r="A1060" s="7">
        <f t="shared" si="63"/>
        <v>1</v>
      </c>
      <c r="B1060" s="5">
        <v>45710</v>
      </c>
      <c r="C1060" s="6" t="s">
        <v>272</v>
      </c>
      <c r="D1060" s="6">
        <v>25</v>
      </c>
      <c r="E1060" s="7">
        <f>DAY(TableAopCalendar[[#This Row],[Date]])</f>
        <v>22</v>
      </c>
      <c r="F1060" s="7">
        <f>IF(TableAopCalendar[[#This Row],[Day]]&lt;8,1,IF(TableAopCalendar[[#This Row],[Day]]&lt;15,2,IF(TableAopCalendar[[#This Row],[Day]]&lt;22,3,IF(TableAopCalendar[[#This Row],[Day]]&lt;29,4,IF(TableAopCalendar[[#This Row],[Day]]&lt;32,5)))))</f>
        <v>4</v>
      </c>
      <c r="G1060" s="7" t="str">
        <f t="shared" si="64"/>
        <v>Week 4</v>
      </c>
      <c r="H1060" s="7" t="str">
        <f t="shared" si="65"/>
        <v>February 25 Week 4</v>
      </c>
      <c r="I1060" s="7" t="str">
        <f>CONCATENATE(UPPER(TableAopCalendar[[#This Row],[Month]])," ",TableAopCalendar[[#This Row],[Year]])</f>
        <v>FEBRUARY 25</v>
      </c>
      <c r="J1060" s="7" t="s">
        <v>274</v>
      </c>
      <c r="K1060" s="7" t="str">
        <f>CONCATENATE(TableAopCalendar[[#This Row],[Month for Plan]]," ",TableAopCalendar[[#This Row],[Plan]])</f>
        <v>FEBRUARY 25 PLANNED</v>
      </c>
    </row>
    <row r="1061" spans="1:11" x14ac:dyDescent="0.3">
      <c r="A1061" s="7">
        <f t="shared" si="63"/>
        <v>2</v>
      </c>
      <c r="B1061" s="5">
        <v>45711</v>
      </c>
      <c r="C1061" s="6" t="s">
        <v>272</v>
      </c>
      <c r="D1061" s="6">
        <v>25</v>
      </c>
      <c r="E1061" s="7">
        <f>DAY(TableAopCalendar[[#This Row],[Date]])</f>
        <v>23</v>
      </c>
      <c r="F1061" s="7">
        <f>IF(TableAopCalendar[[#This Row],[Day]]&lt;8,1,IF(TableAopCalendar[[#This Row],[Day]]&lt;15,2,IF(TableAopCalendar[[#This Row],[Day]]&lt;22,3,IF(TableAopCalendar[[#This Row],[Day]]&lt;29,4,IF(TableAopCalendar[[#This Row],[Day]]&lt;32,5)))))</f>
        <v>4</v>
      </c>
      <c r="G1061" s="7" t="str">
        <f t="shared" si="64"/>
        <v>Week 4</v>
      </c>
      <c r="H1061" s="7" t="str">
        <f t="shared" si="65"/>
        <v>February 25 Week 4</v>
      </c>
      <c r="I1061" s="7" t="str">
        <f>CONCATENATE(UPPER(TableAopCalendar[[#This Row],[Month]])," ",TableAopCalendar[[#This Row],[Year]])</f>
        <v>FEBRUARY 25</v>
      </c>
      <c r="J1061" s="7" t="s">
        <v>274</v>
      </c>
      <c r="K1061" s="7" t="str">
        <f>CONCATENATE(TableAopCalendar[[#This Row],[Month for Plan]]," ",TableAopCalendar[[#This Row],[Plan]])</f>
        <v>FEBRUARY 25 PLANNED</v>
      </c>
    </row>
    <row r="1062" spans="1:11" x14ac:dyDescent="0.3">
      <c r="A1062" s="7">
        <f t="shared" si="63"/>
        <v>3</v>
      </c>
      <c r="B1062" s="5">
        <v>45712</v>
      </c>
      <c r="C1062" s="6" t="s">
        <v>272</v>
      </c>
      <c r="D1062" s="6">
        <v>25</v>
      </c>
      <c r="E1062" s="7">
        <f>DAY(TableAopCalendar[[#This Row],[Date]])</f>
        <v>24</v>
      </c>
      <c r="F1062" s="7">
        <f>IF(TableAopCalendar[[#This Row],[Day]]&lt;8,1,IF(TableAopCalendar[[#This Row],[Day]]&lt;15,2,IF(TableAopCalendar[[#This Row],[Day]]&lt;22,3,IF(TableAopCalendar[[#This Row],[Day]]&lt;29,4,IF(TableAopCalendar[[#This Row],[Day]]&lt;32,5)))))</f>
        <v>4</v>
      </c>
      <c r="G1062" s="7" t="str">
        <f t="shared" si="64"/>
        <v>Week 4</v>
      </c>
      <c r="H1062" s="7" t="str">
        <f t="shared" si="65"/>
        <v>February 25 Week 4</v>
      </c>
      <c r="I1062" s="7" t="str">
        <f>CONCATENATE(UPPER(TableAopCalendar[[#This Row],[Month]])," ",TableAopCalendar[[#This Row],[Year]])</f>
        <v>FEBRUARY 25</v>
      </c>
      <c r="J1062" s="7" t="s">
        <v>274</v>
      </c>
      <c r="K1062" s="7" t="str">
        <f>CONCATENATE(TableAopCalendar[[#This Row],[Month for Plan]]," ",TableAopCalendar[[#This Row],[Plan]])</f>
        <v>FEBRUARY 25 PLANNED</v>
      </c>
    </row>
    <row r="1063" spans="1:11" x14ac:dyDescent="0.3">
      <c r="A1063" s="7">
        <f t="shared" si="63"/>
        <v>4</v>
      </c>
      <c r="B1063" s="5">
        <v>45713</v>
      </c>
      <c r="C1063" s="6" t="s">
        <v>272</v>
      </c>
      <c r="D1063" s="6">
        <v>25</v>
      </c>
      <c r="E1063" s="7">
        <f>DAY(TableAopCalendar[[#This Row],[Date]])</f>
        <v>25</v>
      </c>
      <c r="F1063" s="7">
        <f>IF(TableAopCalendar[[#This Row],[Day]]&lt;8,1,IF(TableAopCalendar[[#This Row],[Day]]&lt;15,2,IF(TableAopCalendar[[#This Row],[Day]]&lt;22,3,IF(TableAopCalendar[[#This Row],[Day]]&lt;29,4,IF(TableAopCalendar[[#This Row],[Day]]&lt;32,5)))))</f>
        <v>4</v>
      </c>
      <c r="G1063" s="7" t="str">
        <f t="shared" si="64"/>
        <v>Week 4</v>
      </c>
      <c r="H1063" s="7" t="str">
        <f t="shared" si="65"/>
        <v>February 25 Week 4</v>
      </c>
      <c r="I1063" s="7" t="str">
        <f>CONCATENATE(UPPER(TableAopCalendar[[#This Row],[Month]])," ",TableAopCalendar[[#This Row],[Year]])</f>
        <v>FEBRUARY 25</v>
      </c>
      <c r="J1063" s="7" t="s">
        <v>274</v>
      </c>
      <c r="K1063" s="7" t="str">
        <f>CONCATENATE(TableAopCalendar[[#This Row],[Month for Plan]]," ",TableAopCalendar[[#This Row],[Plan]])</f>
        <v>FEBRUARY 25 PLANNED</v>
      </c>
    </row>
    <row r="1064" spans="1:11" x14ac:dyDescent="0.3">
      <c r="A1064" s="7">
        <f t="shared" si="63"/>
        <v>5</v>
      </c>
      <c r="B1064" s="5">
        <v>45714</v>
      </c>
      <c r="C1064" s="6" t="s">
        <v>272</v>
      </c>
      <c r="D1064" s="6">
        <v>25</v>
      </c>
      <c r="E1064" s="7">
        <f>DAY(TableAopCalendar[[#This Row],[Date]])</f>
        <v>26</v>
      </c>
      <c r="F1064" s="7">
        <f>IF(TableAopCalendar[[#This Row],[Day]]&lt;8,1,IF(TableAopCalendar[[#This Row],[Day]]&lt;15,2,IF(TableAopCalendar[[#This Row],[Day]]&lt;22,3,IF(TableAopCalendar[[#This Row],[Day]]&lt;29,4,IF(TableAopCalendar[[#This Row],[Day]]&lt;32,5)))))</f>
        <v>4</v>
      </c>
      <c r="G1064" s="7" t="str">
        <f t="shared" si="64"/>
        <v>Week 4</v>
      </c>
      <c r="H1064" s="7" t="str">
        <f t="shared" si="65"/>
        <v>February 25 Week 4</v>
      </c>
      <c r="I1064" s="7" t="str">
        <f>CONCATENATE(UPPER(TableAopCalendar[[#This Row],[Month]])," ",TableAopCalendar[[#This Row],[Year]])</f>
        <v>FEBRUARY 25</v>
      </c>
      <c r="J1064" s="7" t="s">
        <v>274</v>
      </c>
      <c r="K1064" s="7" t="str">
        <f>CONCATENATE(TableAopCalendar[[#This Row],[Month for Plan]]," ",TableAopCalendar[[#This Row],[Plan]])</f>
        <v>FEBRUARY 25 PLANNED</v>
      </c>
    </row>
    <row r="1065" spans="1:11" x14ac:dyDescent="0.3">
      <c r="A1065" s="7">
        <f t="shared" si="63"/>
        <v>6</v>
      </c>
      <c r="B1065" s="5">
        <v>45715</v>
      </c>
      <c r="C1065" s="6" t="s">
        <v>272</v>
      </c>
      <c r="D1065" s="6">
        <v>25</v>
      </c>
      <c r="E1065" s="7">
        <f>DAY(TableAopCalendar[[#This Row],[Date]])</f>
        <v>27</v>
      </c>
      <c r="F1065" s="7">
        <f>IF(TableAopCalendar[[#This Row],[Day]]&lt;8,1,IF(TableAopCalendar[[#This Row],[Day]]&lt;15,2,IF(TableAopCalendar[[#This Row],[Day]]&lt;22,3,IF(TableAopCalendar[[#This Row],[Day]]&lt;29,4,IF(TableAopCalendar[[#This Row],[Day]]&lt;32,5)))))</f>
        <v>4</v>
      </c>
      <c r="G1065" s="7" t="str">
        <f t="shared" si="64"/>
        <v>Week 4</v>
      </c>
      <c r="H1065" s="7" t="str">
        <f t="shared" si="65"/>
        <v>February 25 Week 4</v>
      </c>
      <c r="I1065" s="7" t="str">
        <f>CONCATENATE(UPPER(TableAopCalendar[[#This Row],[Month]])," ",TableAopCalendar[[#This Row],[Year]])</f>
        <v>FEBRUARY 25</v>
      </c>
      <c r="J1065" s="7" t="s">
        <v>274</v>
      </c>
      <c r="K1065" s="7" t="str">
        <f>CONCATENATE(TableAopCalendar[[#This Row],[Month for Plan]]," ",TableAopCalendar[[#This Row],[Plan]])</f>
        <v>FEBRUARY 25 PLANNED</v>
      </c>
    </row>
    <row r="1066" spans="1:11" x14ac:dyDescent="0.3">
      <c r="A1066" s="7">
        <f t="shared" si="63"/>
        <v>7</v>
      </c>
      <c r="B1066" s="5">
        <v>45716</v>
      </c>
      <c r="C1066" s="6" t="s">
        <v>272</v>
      </c>
      <c r="D1066" s="6">
        <v>25</v>
      </c>
      <c r="E1066" s="7">
        <f>DAY(TableAopCalendar[[#This Row],[Date]])</f>
        <v>28</v>
      </c>
      <c r="F1066" s="7">
        <f>IF(TableAopCalendar[[#This Row],[Day]]&lt;8,1,IF(TableAopCalendar[[#This Row],[Day]]&lt;15,2,IF(TableAopCalendar[[#This Row],[Day]]&lt;22,3,IF(TableAopCalendar[[#This Row],[Day]]&lt;29,4,IF(TableAopCalendar[[#This Row],[Day]]&lt;32,5)))))</f>
        <v>4</v>
      </c>
      <c r="G1066" s="7" t="str">
        <f t="shared" si="64"/>
        <v>Week 4</v>
      </c>
      <c r="H1066" s="7" t="str">
        <f t="shared" si="65"/>
        <v>February 25 Week 4</v>
      </c>
      <c r="I1066" s="7" t="str">
        <f>CONCATENATE(UPPER(TableAopCalendar[[#This Row],[Month]])," ",TableAopCalendar[[#This Row],[Year]])</f>
        <v>FEBRUARY 25</v>
      </c>
      <c r="J1066" s="7" t="s">
        <v>274</v>
      </c>
      <c r="K1066" s="7" t="str">
        <f>CONCATENATE(TableAopCalendar[[#This Row],[Month for Plan]]," ",TableAopCalendar[[#This Row],[Plan]])</f>
        <v>FEBRUARY 25 PLANNED</v>
      </c>
    </row>
    <row r="1067" spans="1:11" x14ac:dyDescent="0.3">
      <c r="A1067" s="7">
        <f t="shared" si="63"/>
        <v>1</v>
      </c>
      <c r="B1067" s="5">
        <v>45717</v>
      </c>
      <c r="C1067" s="6" t="s">
        <v>273</v>
      </c>
      <c r="D1067" s="6">
        <v>25</v>
      </c>
      <c r="E1067" s="7">
        <f>DAY(TableAopCalendar[[#This Row],[Date]])</f>
        <v>1</v>
      </c>
      <c r="F1067" s="7">
        <f>IF(TableAopCalendar[[#This Row],[Day]]&lt;8,1,IF(TableAopCalendar[[#This Row],[Day]]&lt;15,2,IF(TableAopCalendar[[#This Row],[Day]]&lt;22,3,IF(TableAopCalendar[[#This Row],[Day]]&lt;29,4,IF(TableAopCalendar[[#This Row],[Day]]&lt;32,5)))))</f>
        <v>1</v>
      </c>
      <c r="G1067" s="7" t="str">
        <f t="shared" si="64"/>
        <v>Week 1</v>
      </c>
      <c r="H1067" s="7" t="str">
        <f t="shared" si="65"/>
        <v>March 25 Week 1</v>
      </c>
      <c r="I1067" s="7" t="str">
        <f>CONCATENATE(UPPER(TableAopCalendar[[#This Row],[Month]])," ",TableAopCalendar[[#This Row],[Year]])</f>
        <v>MARCH 25</v>
      </c>
      <c r="J1067" s="7" t="s">
        <v>274</v>
      </c>
      <c r="K1067" s="7" t="str">
        <f>CONCATENATE(TableAopCalendar[[#This Row],[Month for Plan]]," ",TableAopCalendar[[#This Row],[Plan]])</f>
        <v>MARCH 25 PLANNED</v>
      </c>
    </row>
    <row r="1068" spans="1:11" x14ac:dyDescent="0.3">
      <c r="A1068" s="7">
        <f t="shared" si="63"/>
        <v>2</v>
      </c>
      <c r="B1068" s="5">
        <v>45718</v>
      </c>
      <c r="C1068" s="6" t="s">
        <v>273</v>
      </c>
      <c r="D1068" s="6">
        <v>25</v>
      </c>
      <c r="E1068" s="7">
        <f>DAY(TableAopCalendar[[#This Row],[Date]])</f>
        <v>2</v>
      </c>
      <c r="F1068" s="7">
        <f>IF(TableAopCalendar[[#This Row],[Day]]&lt;8,1,IF(TableAopCalendar[[#This Row],[Day]]&lt;15,2,IF(TableAopCalendar[[#This Row],[Day]]&lt;22,3,IF(TableAopCalendar[[#This Row],[Day]]&lt;29,4,IF(TableAopCalendar[[#This Row],[Day]]&lt;32,5)))))</f>
        <v>1</v>
      </c>
      <c r="G1068" s="7" t="str">
        <f t="shared" si="64"/>
        <v>Week 1</v>
      </c>
      <c r="H1068" s="7" t="str">
        <f t="shared" si="65"/>
        <v>March 25 Week 1</v>
      </c>
      <c r="I1068" s="7" t="str">
        <f>CONCATENATE(UPPER(TableAopCalendar[[#This Row],[Month]])," ",TableAopCalendar[[#This Row],[Year]])</f>
        <v>MARCH 25</v>
      </c>
      <c r="J1068" s="7" t="s">
        <v>274</v>
      </c>
      <c r="K1068" s="7" t="str">
        <f>CONCATENATE(TableAopCalendar[[#This Row],[Month for Plan]]," ",TableAopCalendar[[#This Row],[Plan]])</f>
        <v>MARCH 25 PLANNED</v>
      </c>
    </row>
    <row r="1069" spans="1:11" x14ac:dyDescent="0.3">
      <c r="A1069" s="7">
        <f t="shared" si="63"/>
        <v>3</v>
      </c>
      <c r="B1069" s="5">
        <v>45719</v>
      </c>
      <c r="C1069" s="6" t="s">
        <v>273</v>
      </c>
      <c r="D1069" s="6">
        <v>25</v>
      </c>
      <c r="E1069" s="7">
        <f>DAY(TableAopCalendar[[#This Row],[Date]])</f>
        <v>3</v>
      </c>
      <c r="F1069" s="7">
        <f>IF(TableAopCalendar[[#This Row],[Day]]&lt;8,1,IF(TableAopCalendar[[#This Row],[Day]]&lt;15,2,IF(TableAopCalendar[[#This Row],[Day]]&lt;22,3,IF(TableAopCalendar[[#This Row],[Day]]&lt;29,4,IF(TableAopCalendar[[#This Row],[Day]]&lt;32,5)))))</f>
        <v>1</v>
      </c>
      <c r="G1069" s="7" t="str">
        <f t="shared" si="64"/>
        <v>Week 1</v>
      </c>
      <c r="H1069" s="7" t="str">
        <f t="shared" si="65"/>
        <v>March 25 Week 1</v>
      </c>
      <c r="I1069" s="7" t="str">
        <f>CONCATENATE(UPPER(TableAopCalendar[[#This Row],[Month]])," ",TableAopCalendar[[#This Row],[Year]])</f>
        <v>MARCH 25</v>
      </c>
      <c r="J1069" s="7" t="s">
        <v>274</v>
      </c>
      <c r="K1069" s="7" t="str">
        <f>CONCATENATE(TableAopCalendar[[#This Row],[Month for Plan]]," ",TableAopCalendar[[#This Row],[Plan]])</f>
        <v>MARCH 25 PLANNED</v>
      </c>
    </row>
    <row r="1070" spans="1:11" x14ac:dyDescent="0.3">
      <c r="A1070" s="7">
        <f t="shared" si="63"/>
        <v>4</v>
      </c>
      <c r="B1070" s="5">
        <v>45720</v>
      </c>
      <c r="C1070" s="6" t="s">
        <v>273</v>
      </c>
      <c r="D1070" s="6">
        <v>25</v>
      </c>
      <c r="E1070" s="7">
        <f>DAY(TableAopCalendar[[#This Row],[Date]])</f>
        <v>4</v>
      </c>
      <c r="F1070" s="7">
        <f>IF(TableAopCalendar[[#This Row],[Day]]&lt;8,1,IF(TableAopCalendar[[#This Row],[Day]]&lt;15,2,IF(TableAopCalendar[[#This Row],[Day]]&lt;22,3,IF(TableAopCalendar[[#This Row],[Day]]&lt;29,4,IF(TableAopCalendar[[#This Row],[Day]]&lt;32,5)))))</f>
        <v>1</v>
      </c>
      <c r="G1070" s="7" t="str">
        <f t="shared" si="64"/>
        <v>Week 1</v>
      </c>
      <c r="H1070" s="7" t="str">
        <f t="shared" si="65"/>
        <v>March 25 Week 1</v>
      </c>
      <c r="I1070" s="7" t="str">
        <f>CONCATENATE(UPPER(TableAopCalendar[[#This Row],[Month]])," ",TableAopCalendar[[#This Row],[Year]])</f>
        <v>MARCH 25</v>
      </c>
      <c r="J1070" s="7" t="s">
        <v>274</v>
      </c>
      <c r="K1070" s="7" t="str">
        <f>CONCATENATE(TableAopCalendar[[#This Row],[Month for Plan]]," ",TableAopCalendar[[#This Row],[Plan]])</f>
        <v>MARCH 25 PLANNED</v>
      </c>
    </row>
    <row r="1071" spans="1:11" x14ac:dyDescent="0.3">
      <c r="A1071" s="7">
        <f t="shared" si="63"/>
        <v>5</v>
      </c>
      <c r="B1071" s="5">
        <v>45721</v>
      </c>
      <c r="C1071" s="6" t="s">
        <v>273</v>
      </c>
      <c r="D1071" s="6">
        <v>25</v>
      </c>
      <c r="E1071" s="7">
        <f>DAY(TableAopCalendar[[#This Row],[Date]])</f>
        <v>5</v>
      </c>
      <c r="F1071" s="7">
        <f>IF(TableAopCalendar[[#This Row],[Day]]&lt;8,1,IF(TableAopCalendar[[#This Row],[Day]]&lt;15,2,IF(TableAopCalendar[[#This Row],[Day]]&lt;22,3,IF(TableAopCalendar[[#This Row],[Day]]&lt;29,4,IF(TableAopCalendar[[#This Row],[Day]]&lt;32,5)))))</f>
        <v>1</v>
      </c>
      <c r="G1071" s="7" t="str">
        <f t="shared" si="64"/>
        <v>Week 1</v>
      </c>
      <c r="H1071" s="7" t="str">
        <f t="shared" si="65"/>
        <v>March 25 Week 1</v>
      </c>
      <c r="I1071" s="7" t="str">
        <f>CONCATENATE(UPPER(TableAopCalendar[[#This Row],[Month]])," ",TableAopCalendar[[#This Row],[Year]])</f>
        <v>MARCH 25</v>
      </c>
      <c r="J1071" s="7" t="s">
        <v>274</v>
      </c>
      <c r="K1071" s="7" t="str">
        <f>CONCATENATE(TableAopCalendar[[#This Row],[Month for Plan]]," ",TableAopCalendar[[#This Row],[Plan]])</f>
        <v>MARCH 25 PLANNED</v>
      </c>
    </row>
    <row r="1072" spans="1:11" x14ac:dyDescent="0.3">
      <c r="A1072" s="7">
        <f t="shared" si="63"/>
        <v>6</v>
      </c>
      <c r="B1072" s="5">
        <v>45722</v>
      </c>
      <c r="C1072" s="6" t="s">
        <v>273</v>
      </c>
      <c r="D1072" s="6">
        <v>25</v>
      </c>
      <c r="E1072" s="7">
        <f>DAY(TableAopCalendar[[#This Row],[Date]])</f>
        <v>6</v>
      </c>
      <c r="F1072" s="7">
        <f>IF(TableAopCalendar[[#This Row],[Day]]&lt;8,1,IF(TableAopCalendar[[#This Row],[Day]]&lt;15,2,IF(TableAopCalendar[[#This Row],[Day]]&lt;22,3,IF(TableAopCalendar[[#This Row],[Day]]&lt;29,4,IF(TableAopCalendar[[#This Row],[Day]]&lt;32,5)))))</f>
        <v>1</v>
      </c>
      <c r="G1072" s="7" t="str">
        <f t="shared" si="64"/>
        <v>Week 1</v>
      </c>
      <c r="H1072" s="7" t="str">
        <f t="shared" si="65"/>
        <v>March 25 Week 1</v>
      </c>
      <c r="I1072" s="7" t="str">
        <f>CONCATENATE(UPPER(TableAopCalendar[[#This Row],[Month]])," ",TableAopCalendar[[#This Row],[Year]])</f>
        <v>MARCH 25</v>
      </c>
      <c r="J1072" s="7" t="s">
        <v>274</v>
      </c>
      <c r="K1072" s="7" t="str">
        <f>CONCATENATE(TableAopCalendar[[#This Row],[Month for Plan]]," ",TableAopCalendar[[#This Row],[Plan]])</f>
        <v>MARCH 25 PLANNED</v>
      </c>
    </row>
    <row r="1073" spans="1:11" x14ac:dyDescent="0.3">
      <c r="A1073" s="7">
        <f t="shared" si="63"/>
        <v>7</v>
      </c>
      <c r="B1073" s="5">
        <v>45723</v>
      </c>
      <c r="C1073" s="6" t="s">
        <v>273</v>
      </c>
      <c r="D1073" s="6">
        <v>25</v>
      </c>
      <c r="E1073" s="7">
        <f>DAY(TableAopCalendar[[#This Row],[Date]])</f>
        <v>7</v>
      </c>
      <c r="F1073" s="7">
        <f>IF(TableAopCalendar[[#This Row],[Day]]&lt;8,1,IF(TableAopCalendar[[#This Row],[Day]]&lt;15,2,IF(TableAopCalendar[[#This Row],[Day]]&lt;22,3,IF(TableAopCalendar[[#This Row],[Day]]&lt;29,4,IF(TableAopCalendar[[#This Row],[Day]]&lt;32,5)))))</f>
        <v>1</v>
      </c>
      <c r="G1073" s="7" t="str">
        <f t="shared" si="64"/>
        <v>Week 1</v>
      </c>
      <c r="H1073" s="7" t="str">
        <f t="shared" si="65"/>
        <v>March 25 Week 1</v>
      </c>
      <c r="I1073" s="7" t="str">
        <f>CONCATENATE(UPPER(TableAopCalendar[[#This Row],[Month]])," ",TableAopCalendar[[#This Row],[Year]])</f>
        <v>MARCH 25</v>
      </c>
      <c r="J1073" s="7" t="s">
        <v>274</v>
      </c>
      <c r="K1073" s="7" t="str">
        <f>CONCATENATE(TableAopCalendar[[#This Row],[Month for Plan]]," ",TableAopCalendar[[#This Row],[Plan]])</f>
        <v>MARCH 25 PLANNED</v>
      </c>
    </row>
    <row r="1074" spans="1:11" x14ac:dyDescent="0.3">
      <c r="A1074" s="7">
        <f t="shared" si="63"/>
        <v>1</v>
      </c>
      <c r="B1074" s="5">
        <v>45724</v>
      </c>
      <c r="C1074" s="6" t="s">
        <v>273</v>
      </c>
      <c r="D1074" s="6">
        <v>25</v>
      </c>
      <c r="E1074" s="7">
        <f>DAY(TableAopCalendar[[#This Row],[Date]])</f>
        <v>8</v>
      </c>
      <c r="F1074" s="7">
        <f>IF(TableAopCalendar[[#This Row],[Day]]&lt;8,1,IF(TableAopCalendar[[#This Row],[Day]]&lt;15,2,IF(TableAopCalendar[[#This Row],[Day]]&lt;22,3,IF(TableAopCalendar[[#This Row],[Day]]&lt;29,4,IF(TableAopCalendar[[#This Row],[Day]]&lt;32,5)))))</f>
        <v>2</v>
      </c>
      <c r="G1074" s="7" t="str">
        <f t="shared" si="64"/>
        <v>Week 2</v>
      </c>
      <c r="H1074" s="7" t="str">
        <f t="shared" si="65"/>
        <v>March 25 Week 2</v>
      </c>
      <c r="I1074" s="7" t="str">
        <f>CONCATENATE(UPPER(TableAopCalendar[[#This Row],[Month]])," ",TableAopCalendar[[#This Row],[Year]])</f>
        <v>MARCH 25</v>
      </c>
      <c r="J1074" s="7" t="s">
        <v>274</v>
      </c>
      <c r="K1074" s="7" t="str">
        <f>CONCATENATE(TableAopCalendar[[#This Row],[Month for Plan]]," ",TableAopCalendar[[#This Row],[Plan]])</f>
        <v>MARCH 25 PLANNED</v>
      </c>
    </row>
    <row r="1075" spans="1:11" x14ac:dyDescent="0.3">
      <c r="A1075" s="7">
        <f t="shared" si="63"/>
        <v>2</v>
      </c>
      <c r="B1075" s="5">
        <v>45725</v>
      </c>
      <c r="C1075" s="6" t="s">
        <v>273</v>
      </c>
      <c r="D1075" s="6">
        <v>25</v>
      </c>
      <c r="E1075" s="7">
        <f>DAY(TableAopCalendar[[#This Row],[Date]])</f>
        <v>9</v>
      </c>
      <c r="F1075" s="7">
        <f>IF(TableAopCalendar[[#This Row],[Day]]&lt;8,1,IF(TableAopCalendar[[#This Row],[Day]]&lt;15,2,IF(TableAopCalendar[[#This Row],[Day]]&lt;22,3,IF(TableAopCalendar[[#This Row],[Day]]&lt;29,4,IF(TableAopCalendar[[#This Row],[Day]]&lt;32,5)))))</f>
        <v>2</v>
      </c>
      <c r="G1075" s="7" t="str">
        <f t="shared" si="64"/>
        <v>Week 2</v>
      </c>
      <c r="H1075" s="7" t="str">
        <f t="shared" si="65"/>
        <v>March 25 Week 2</v>
      </c>
      <c r="I1075" s="7" t="str">
        <f>CONCATENATE(UPPER(TableAopCalendar[[#This Row],[Month]])," ",TableAopCalendar[[#This Row],[Year]])</f>
        <v>MARCH 25</v>
      </c>
      <c r="J1075" s="7" t="s">
        <v>274</v>
      </c>
      <c r="K1075" s="7" t="str">
        <f>CONCATENATE(TableAopCalendar[[#This Row],[Month for Plan]]," ",TableAopCalendar[[#This Row],[Plan]])</f>
        <v>MARCH 25 PLANNED</v>
      </c>
    </row>
    <row r="1076" spans="1:11" x14ac:dyDescent="0.3">
      <c r="A1076" s="7">
        <f t="shared" si="63"/>
        <v>3</v>
      </c>
      <c r="B1076" s="5">
        <v>45726</v>
      </c>
      <c r="C1076" s="6" t="s">
        <v>273</v>
      </c>
      <c r="D1076" s="6">
        <v>25</v>
      </c>
      <c r="E1076" s="7">
        <f>DAY(TableAopCalendar[[#This Row],[Date]])</f>
        <v>10</v>
      </c>
      <c r="F1076" s="7">
        <f>IF(TableAopCalendar[[#This Row],[Day]]&lt;8,1,IF(TableAopCalendar[[#This Row],[Day]]&lt;15,2,IF(TableAopCalendar[[#This Row],[Day]]&lt;22,3,IF(TableAopCalendar[[#This Row],[Day]]&lt;29,4,IF(TableAopCalendar[[#This Row],[Day]]&lt;32,5)))))</f>
        <v>2</v>
      </c>
      <c r="G1076" s="7" t="str">
        <f t="shared" si="64"/>
        <v>Week 2</v>
      </c>
      <c r="H1076" s="7" t="str">
        <f t="shared" si="65"/>
        <v>March 25 Week 2</v>
      </c>
      <c r="I1076" s="7" t="str">
        <f>CONCATENATE(UPPER(TableAopCalendar[[#This Row],[Month]])," ",TableAopCalendar[[#This Row],[Year]])</f>
        <v>MARCH 25</v>
      </c>
      <c r="J1076" s="7" t="s">
        <v>274</v>
      </c>
      <c r="K1076" s="7" t="str">
        <f>CONCATENATE(TableAopCalendar[[#This Row],[Month for Plan]]," ",TableAopCalendar[[#This Row],[Plan]])</f>
        <v>MARCH 25 PLANNED</v>
      </c>
    </row>
    <row r="1077" spans="1:11" x14ac:dyDescent="0.3">
      <c r="A1077" s="7">
        <f t="shared" si="63"/>
        <v>4</v>
      </c>
      <c r="B1077" s="5">
        <v>45727</v>
      </c>
      <c r="C1077" s="6" t="s">
        <v>273</v>
      </c>
      <c r="D1077" s="6">
        <v>25</v>
      </c>
      <c r="E1077" s="7">
        <f>DAY(TableAopCalendar[[#This Row],[Date]])</f>
        <v>11</v>
      </c>
      <c r="F1077" s="7">
        <f>IF(TableAopCalendar[[#This Row],[Day]]&lt;8,1,IF(TableAopCalendar[[#This Row],[Day]]&lt;15,2,IF(TableAopCalendar[[#This Row],[Day]]&lt;22,3,IF(TableAopCalendar[[#This Row],[Day]]&lt;29,4,IF(TableAopCalendar[[#This Row],[Day]]&lt;32,5)))))</f>
        <v>2</v>
      </c>
      <c r="G1077" s="7" t="str">
        <f t="shared" si="64"/>
        <v>Week 2</v>
      </c>
      <c r="H1077" s="7" t="str">
        <f t="shared" si="65"/>
        <v>March 25 Week 2</v>
      </c>
      <c r="I1077" s="7" t="str">
        <f>CONCATENATE(UPPER(TableAopCalendar[[#This Row],[Month]])," ",TableAopCalendar[[#This Row],[Year]])</f>
        <v>MARCH 25</v>
      </c>
      <c r="J1077" s="7" t="s">
        <v>274</v>
      </c>
      <c r="K1077" s="7" t="str">
        <f>CONCATENATE(TableAopCalendar[[#This Row],[Month for Plan]]," ",TableAopCalendar[[#This Row],[Plan]])</f>
        <v>MARCH 25 PLANNED</v>
      </c>
    </row>
    <row r="1078" spans="1:11" x14ac:dyDescent="0.3">
      <c r="A1078" s="7">
        <f t="shared" si="63"/>
        <v>5</v>
      </c>
      <c r="B1078" s="5">
        <v>45728</v>
      </c>
      <c r="C1078" s="6" t="s">
        <v>273</v>
      </c>
      <c r="D1078" s="6">
        <v>25</v>
      </c>
      <c r="E1078" s="7">
        <f>DAY(TableAopCalendar[[#This Row],[Date]])</f>
        <v>12</v>
      </c>
      <c r="F1078" s="7">
        <f>IF(TableAopCalendar[[#This Row],[Day]]&lt;8,1,IF(TableAopCalendar[[#This Row],[Day]]&lt;15,2,IF(TableAopCalendar[[#This Row],[Day]]&lt;22,3,IF(TableAopCalendar[[#This Row],[Day]]&lt;29,4,IF(TableAopCalendar[[#This Row],[Day]]&lt;32,5)))))</f>
        <v>2</v>
      </c>
      <c r="G1078" s="7" t="str">
        <f t="shared" si="64"/>
        <v>Week 2</v>
      </c>
      <c r="H1078" s="7" t="str">
        <f t="shared" si="65"/>
        <v>March 25 Week 2</v>
      </c>
      <c r="I1078" s="7" t="str">
        <f>CONCATENATE(UPPER(TableAopCalendar[[#This Row],[Month]])," ",TableAopCalendar[[#This Row],[Year]])</f>
        <v>MARCH 25</v>
      </c>
      <c r="J1078" s="7" t="s">
        <v>274</v>
      </c>
      <c r="K1078" s="7" t="str">
        <f>CONCATENATE(TableAopCalendar[[#This Row],[Month for Plan]]," ",TableAopCalendar[[#This Row],[Plan]])</f>
        <v>MARCH 25 PLANNED</v>
      </c>
    </row>
    <row r="1079" spans="1:11" x14ac:dyDescent="0.3">
      <c r="A1079" s="7">
        <f t="shared" si="63"/>
        <v>6</v>
      </c>
      <c r="B1079" s="5">
        <v>45729</v>
      </c>
      <c r="C1079" s="6" t="s">
        <v>273</v>
      </c>
      <c r="D1079" s="6">
        <v>25</v>
      </c>
      <c r="E1079" s="7">
        <f>DAY(TableAopCalendar[[#This Row],[Date]])</f>
        <v>13</v>
      </c>
      <c r="F1079" s="7">
        <f>IF(TableAopCalendar[[#This Row],[Day]]&lt;8,1,IF(TableAopCalendar[[#This Row],[Day]]&lt;15,2,IF(TableAopCalendar[[#This Row],[Day]]&lt;22,3,IF(TableAopCalendar[[#This Row],[Day]]&lt;29,4,IF(TableAopCalendar[[#This Row],[Day]]&lt;32,5)))))</f>
        <v>2</v>
      </c>
      <c r="G1079" s="7" t="str">
        <f t="shared" si="64"/>
        <v>Week 2</v>
      </c>
      <c r="H1079" s="7" t="str">
        <f t="shared" si="65"/>
        <v>March 25 Week 2</v>
      </c>
      <c r="I1079" s="7" t="str">
        <f>CONCATENATE(UPPER(TableAopCalendar[[#This Row],[Month]])," ",TableAopCalendar[[#This Row],[Year]])</f>
        <v>MARCH 25</v>
      </c>
      <c r="J1079" s="7" t="s">
        <v>274</v>
      </c>
      <c r="K1079" s="7" t="str">
        <f>CONCATENATE(TableAopCalendar[[#This Row],[Month for Plan]]," ",TableAopCalendar[[#This Row],[Plan]])</f>
        <v>MARCH 25 PLANNED</v>
      </c>
    </row>
    <row r="1080" spans="1:11" x14ac:dyDescent="0.3">
      <c r="A1080" s="7">
        <f t="shared" si="63"/>
        <v>7</v>
      </c>
      <c r="B1080" s="5">
        <v>45730</v>
      </c>
      <c r="C1080" s="6" t="s">
        <v>273</v>
      </c>
      <c r="D1080" s="6">
        <v>25</v>
      </c>
      <c r="E1080" s="7">
        <f>DAY(TableAopCalendar[[#This Row],[Date]])</f>
        <v>14</v>
      </c>
      <c r="F1080" s="7">
        <f>IF(TableAopCalendar[[#This Row],[Day]]&lt;8,1,IF(TableAopCalendar[[#This Row],[Day]]&lt;15,2,IF(TableAopCalendar[[#This Row],[Day]]&lt;22,3,IF(TableAopCalendar[[#This Row],[Day]]&lt;29,4,IF(TableAopCalendar[[#This Row],[Day]]&lt;32,5)))))</f>
        <v>2</v>
      </c>
      <c r="G1080" s="7" t="str">
        <f t="shared" si="64"/>
        <v>Week 2</v>
      </c>
      <c r="H1080" s="7" t="str">
        <f t="shared" si="65"/>
        <v>March 25 Week 2</v>
      </c>
      <c r="I1080" s="7" t="str">
        <f>CONCATENATE(UPPER(TableAopCalendar[[#This Row],[Month]])," ",TableAopCalendar[[#This Row],[Year]])</f>
        <v>MARCH 25</v>
      </c>
      <c r="J1080" s="7" t="s">
        <v>274</v>
      </c>
      <c r="K1080" s="7" t="str">
        <f>CONCATENATE(TableAopCalendar[[#This Row],[Month for Plan]]," ",TableAopCalendar[[#This Row],[Plan]])</f>
        <v>MARCH 25 PLANNED</v>
      </c>
    </row>
    <row r="1081" spans="1:11" x14ac:dyDescent="0.3">
      <c r="A1081" s="7">
        <f t="shared" si="63"/>
        <v>1</v>
      </c>
      <c r="B1081" s="5">
        <v>45731</v>
      </c>
      <c r="C1081" s="6" t="s">
        <v>273</v>
      </c>
      <c r="D1081" s="6">
        <v>25</v>
      </c>
      <c r="E1081" s="7">
        <f>DAY(TableAopCalendar[[#This Row],[Date]])</f>
        <v>15</v>
      </c>
      <c r="F1081" s="7">
        <f>IF(TableAopCalendar[[#This Row],[Day]]&lt;8,1,IF(TableAopCalendar[[#This Row],[Day]]&lt;15,2,IF(TableAopCalendar[[#This Row],[Day]]&lt;22,3,IF(TableAopCalendar[[#This Row],[Day]]&lt;29,4,IF(TableAopCalendar[[#This Row],[Day]]&lt;32,5)))))</f>
        <v>3</v>
      </c>
      <c r="G1081" s="7" t="str">
        <f t="shared" si="64"/>
        <v>Week 3</v>
      </c>
      <c r="H1081" s="7" t="str">
        <f t="shared" si="65"/>
        <v>March 25 Week 3</v>
      </c>
      <c r="I1081" s="7" t="str">
        <f>CONCATENATE(UPPER(TableAopCalendar[[#This Row],[Month]])," ",TableAopCalendar[[#This Row],[Year]])</f>
        <v>MARCH 25</v>
      </c>
      <c r="J1081" s="7" t="s">
        <v>274</v>
      </c>
      <c r="K1081" s="7" t="str">
        <f>CONCATENATE(TableAopCalendar[[#This Row],[Month for Plan]]," ",TableAopCalendar[[#This Row],[Plan]])</f>
        <v>MARCH 25 PLANNED</v>
      </c>
    </row>
    <row r="1082" spans="1:11" x14ac:dyDescent="0.3">
      <c r="A1082" s="7">
        <f t="shared" si="63"/>
        <v>2</v>
      </c>
      <c r="B1082" s="5">
        <v>45732</v>
      </c>
      <c r="C1082" s="6" t="s">
        <v>273</v>
      </c>
      <c r="D1082" s="6">
        <v>25</v>
      </c>
      <c r="E1082" s="7">
        <f>DAY(TableAopCalendar[[#This Row],[Date]])</f>
        <v>16</v>
      </c>
      <c r="F1082" s="7">
        <f>IF(TableAopCalendar[[#This Row],[Day]]&lt;8,1,IF(TableAopCalendar[[#This Row],[Day]]&lt;15,2,IF(TableAopCalendar[[#This Row],[Day]]&lt;22,3,IF(TableAopCalendar[[#This Row],[Day]]&lt;29,4,IF(TableAopCalendar[[#This Row],[Day]]&lt;32,5)))))</f>
        <v>3</v>
      </c>
      <c r="G1082" s="7" t="str">
        <f t="shared" si="64"/>
        <v>Week 3</v>
      </c>
      <c r="H1082" s="7" t="str">
        <f t="shared" si="65"/>
        <v>March 25 Week 3</v>
      </c>
      <c r="I1082" s="7" t="str">
        <f>CONCATENATE(UPPER(TableAopCalendar[[#This Row],[Month]])," ",TableAopCalendar[[#This Row],[Year]])</f>
        <v>MARCH 25</v>
      </c>
      <c r="J1082" s="7" t="s">
        <v>274</v>
      </c>
      <c r="K1082" s="7" t="str">
        <f>CONCATENATE(TableAopCalendar[[#This Row],[Month for Plan]]," ",TableAopCalendar[[#This Row],[Plan]])</f>
        <v>MARCH 25 PLANNED</v>
      </c>
    </row>
    <row r="1083" spans="1:11" x14ac:dyDescent="0.3">
      <c r="A1083" s="7">
        <f t="shared" si="63"/>
        <v>3</v>
      </c>
      <c r="B1083" s="5">
        <v>45733</v>
      </c>
      <c r="C1083" s="6" t="s">
        <v>273</v>
      </c>
      <c r="D1083" s="6">
        <v>25</v>
      </c>
      <c r="E1083" s="7">
        <f>DAY(TableAopCalendar[[#This Row],[Date]])</f>
        <v>17</v>
      </c>
      <c r="F1083" s="7">
        <f>IF(TableAopCalendar[[#This Row],[Day]]&lt;8,1,IF(TableAopCalendar[[#This Row],[Day]]&lt;15,2,IF(TableAopCalendar[[#This Row],[Day]]&lt;22,3,IF(TableAopCalendar[[#This Row],[Day]]&lt;29,4,IF(TableAopCalendar[[#This Row],[Day]]&lt;32,5)))))</f>
        <v>3</v>
      </c>
      <c r="G1083" s="7" t="str">
        <f t="shared" si="64"/>
        <v>Week 3</v>
      </c>
      <c r="H1083" s="7" t="str">
        <f t="shared" si="65"/>
        <v>March 25 Week 3</v>
      </c>
      <c r="I1083" s="7" t="str">
        <f>CONCATENATE(UPPER(TableAopCalendar[[#This Row],[Month]])," ",TableAopCalendar[[#This Row],[Year]])</f>
        <v>MARCH 25</v>
      </c>
      <c r="J1083" s="7" t="s">
        <v>274</v>
      </c>
      <c r="K1083" s="7" t="str">
        <f>CONCATENATE(TableAopCalendar[[#This Row],[Month for Plan]]," ",TableAopCalendar[[#This Row],[Plan]])</f>
        <v>MARCH 25 PLANNED</v>
      </c>
    </row>
    <row r="1084" spans="1:11" x14ac:dyDescent="0.3">
      <c r="A1084" s="7">
        <f t="shared" si="63"/>
        <v>4</v>
      </c>
      <c r="B1084" s="5">
        <v>45734</v>
      </c>
      <c r="C1084" s="6" t="s">
        <v>273</v>
      </c>
      <c r="D1084" s="6">
        <v>25</v>
      </c>
      <c r="E1084" s="7">
        <f>DAY(TableAopCalendar[[#This Row],[Date]])</f>
        <v>18</v>
      </c>
      <c r="F1084" s="7">
        <f>IF(TableAopCalendar[[#This Row],[Day]]&lt;8,1,IF(TableAopCalendar[[#This Row],[Day]]&lt;15,2,IF(TableAopCalendar[[#This Row],[Day]]&lt;22,3,IF(TableAopCalendar[[#This Row],[Day]]&lt;29,4,IF(TableAopCalendar[[#This Row],[Day]]&lt;32,5)))))</f>
        <v>3</v>
      </c>
      <c r="G1084" s="7" t="str">
        <f t="shared" si="64"/>
        <v>Week 3</v>
      </c>
      <c r="H1084" s="7" t="str">
        <f t="shared" si="65"/>
        <v>March 25 Week 3</v>
      </c>
      <c r="I1084" s="7" t="str">
        <f>CONCATENATE(UPPER(TableAopCalendar[[#This Row],[Month]])," ",TableAopCalendar[[#This Row],[Year]])</f>
        <v>MARCH 25</v>
      </c>
      <c r="J1084" s="7" t="s">
        <v>274</v>
      </c>
      <c r="K1084" s="7" t="str">
        <f>CONCATENATE(TableAopCalendar[[#This Row],[Month for Plan]]," ",TableAopCalendar[[#This Row],[Plan]])</f>
        <v>MARCH 25 PLANNED</v>
      </c>
    </row>
    <row r="1085" spans="1:11" x14ac:dyDescent="0.3">
      <c r="A1085" s="7">
        <f t="shared" si="63"/>
        <v>5</v>
      </c>
      <c r="B1085" s="5">
        <v>45735</v>
      </c>
      <c r="C1085" s="6" t="s">
        <v>273</v>
      </c>
      <c r="D1085" s="6">
        <v>25</v>
      </c>
      <c r="E1085" s="7">
        <f>DAY(TableAopCalendar[[#This Row],[Date]])</f>
        <v>19</v>
      </c>
      <c r="F1085" s="7">
        <f>IF(TableAopCalendar[[#This Row],[Day]]&lt;8,1,IF(TableAopCalendar[[#This Row],[Day]]&lt;15,2,IF(TableAopCalendar[[#This Row],[Day]]&lt;22,3,IF(TableAopCalendar[[#This Row],[Day]]&lt;29,4,IF(TableAopCalendar[[#This Row],[Day]]&lt;32,5)))))</f>
        <v>3</v>
      </c>
      <c r="G1085" s="7" t="str">
        <f t="shared" si="64"/>
        <v>Week 3</v>
      </c>
      <c r="H1085" s="7" t="str">
        <f t="shared" si="65"/>
        <v>March 25 Week 3</v>
      </c>
      <c r="I1085" s="7" t="str">
        <f>CONCATENATE(UPPER(TableAopCalendar[[#This Row],[Month]])," ",TableAopCalendar[[#This Row],[Year]])</f>
        <v>MARCH 25</v>
      </c>
      <c r="J1085" s="7" t="s">
        <v>274</v>
      </c>
      <c r="K1085" s="7" t="str">
        <f>CONCATENATE(TableAopCalendar[[#This Row],[Month for Plan]]," ",TableAopCalendar[[#This Row],[Plan]])</f>
        <v>MARCH 25 PLANNED</v>
      </c>
    </row>
    <row r="1086" spans="1:11" x14ac:dyDescent="0.3">
      <c r="A1086" s="7">
        <f t="shared" si="63"/>
        <v>6</v>
      </c>
      <c r="B1086" s="5">
        <v>45736</v>
      </c>
      <c r="C1086" s="6" t="s">
        <v>273</v>
      </c>
      <c r="D1086" s="6">
        <v>25</v>
      </c>
      <c r="E1086" s="7">
        <f>DAY(TableAopCalendar[[#This Row],[Date]])</f>
        <v>20</v>
      </c>
      <c r="F1086" s="7">
        <f>IF(TableAopCalendar[[#This Row],[Day]]&lt;8,1,IF(TableAopCalendar[[#This Row],[Day]]&lt;15,2,IF(TableAopCalendar[[#This Row],[Day]]&lt;22,3,IF(TableAopCalendar[[#This Row],[Day]]&lt;29,4,IF(TableAopCalendar[[#This Row],[Day]]&lt;32,5)))))</f>
        <v>3</v>
      </c>
      <c r="G1086" s="7" t="str">
        <f t="shared" si="64"/>
        <v>Week 3</v>
      </c>
      <c r="H1086" s="7" t="str">
        <f t="shared" si="65"/>
        <v>March 25 Week 3</v>
      </c>
      <c r="I1086" s="7" t="str">
        <f>CONCATENATE(UPPER(TableAopCalendar[[#This Row],[Month]])," ",TableAopCalendar[[#This Row],[Year]])</f>
        <v>MARCH 25</v>
      </c>
      <c r="J1086" s="7" t="s">
        <v>274</v>
      </c>
      <c r="K1086" s="7" t="str">
        <f>CONCATENATE(TableAopCalendar[[#This Row],[Month for Plan]]," ",TableAopCalendar[[#This Row],[Plan]])</f>
        <v>MARCH 25 PLANNED</v>
      </c>
    </row>
    <row r="1087" spans="1:11" x14ac:dyDescent="0.3">
      <c r="A1087" s="7">
        <f t="shared" si="63"/>
        <v>7</v>
      </c>
      <c r="B1087" s="5">
        <v>45737</v>
      </c>
      <c r="C1087" s="6" t="s">
        <v>273</v>
      </c>
      <c r="D1087" s="6">
        <v>25</v>
      </c>
      <c r="E1087" s="7">
        <f>DAY(TableAopCalendar[[#This Row],[Date]])</f>
        <v>21</v>
      </c>
      <c r="F1087" s="7">
        <f>IF(TableAopCalendar[[#This Row],[Day]]&lt;8,1,IF(TableAopCalendar[[#This Row],[Day]]&lt;15,2,IF(TableAopCalendar[[#This Row],[Day]]&lt;22,3,IF(TableAopCalendar[[#This Row],[Day]]&lt;29,4,IF(TableAopCalendar[[#This Row],[Day]]&lt;32,5)))))</f>
        <v>3</v>
      </c>
      <c r="G1087" s="7" t="str">
        <f t="shared" si="64"/>
        <v>Week 3</v>
      </c>
      <c r="H1087" s="7" t="str">
        <f t="shared" si="65"/>
        <v>March 25 Week 3</v>
      </c>
      <c r="I1087" s="7" t="str">
        <f>CONCATENATE(UPPER(TableAopCalendar[[#This Row],[Month]])," ",TableAopCalendar[[#This Row],[Year]])</f>
        <v>MARCH 25</v>
      </c>
      <c r="J1087" s="7" t="s">
        <v>274</v>
      </c>
      <c r="K1087" s="7" t="str">
        <f>CONCATENATE(TableAopCalendar[[#This Row],[Month for Plan]]," ",TableAopCalendar[[#This Row],[Plan]])</f>
        <v>MARCH 25 PLANNED</v>
      </c>
    </row>
    <row r="1088" spans="1:11" x14ac:dyDescent="0.3">
      <c r="A1088" s="7">
        <f t="shared" si="63"/>
        <v>1</v>
      </c>
      <c r="B1088" s="5">
        <v>45738</v>
      </c>
      <c r="C1088" s="6" t="s">
        <v>273</v>
      </c>
      <c r="D1088" s="6">
        <v>25</v>
      </c>
      <c r="E1088" s="7">
        <f>DAY(TableAopCalendar[[#This Row],[Date]])</f>
        <v>22</v>
      </c>
      <c r="F1088" s="7">
        <f>IF(TableAopCalendar[[#This Row],[Day]]&lt;8,1,IF(TableAopCalendar[[#This Row],[Day]]&lt;15,2,IF(TableAopCalendar[[#This Row],[Day]]&lt;22,3,IF(TableAopCalendar[[#This Row],[Day]]&lt;29,4,IF(TableAopCalendar[[#This Row],[Day]]&lt;32,5)))))</f>
        <v>4</v>
      </c>
      <c r="G1088" s="7" t="str">
        <f t="shared" si="64"/>
        <v>Week 4</v>
      </c>
      <c r="H1088" s="7" t="str">
        <f t="shared" si="65"/>
        <v>March 25 Week 4</v>
      </c>
      <c r="I1088" s="7" t="str">
        <f>CONCATENATE(UPPER(TableAopCalendar[[#This Row],[Month]])," ",TableAopCalendar[[#This Row],[Year]])</f>
        <v>MARCH 25</v>
      </c>
      <c r="J1088" s="7" t="s">
        <v>274</v>
      </c>
      <c r="K1088" s="7" t="str">
        <f>CONCATENATE(TableAopCalendar[[#This Row],[Month for Plan]]," ",TableAopCalendar[[#This Row],[Plan]])</f>
        <v>MARCH 25 PLANNED</v>
      </c>
    </row>
    <row r="1089" spans="1:11" x14ac:dyDescent="0.3">
      <c r="A1089" s="7">
        <f t="shared" si="63"/>
        <v>2</v>
      </c>
      <c r="B1089" s="5">
        <v>45739</v>
      </c>
      <c r="C1089" s="6" t="s">
        <v>273</v>
      </c>
      <c r="D1089" s="6">
        <v>25</v>
      </c>
      <c r="E1089" s="7">
        <f>DAY(TableAopCalendar[[#This Row],[Date]])</f>
        <v>23</v>
      </c>
      <c r="F1089" s="7">
        <f>IF(TableAopCalendar[[#This Row],[Day]]&lt;8,1,IF(TableAopCalendar[[#This Row],[Day]]&lt;15,2,IF(TableAopCalendar[[#This Row],[Day]]&lt;22,3,IF(TableAopCalendar[[#This Row],[Day]]&lt;29,4,IF(TableAopCalendar[[#This Row],[Day]]&lt;32,5)))))</f>
        <v>4</v>
      </c>
      <c r="G1089" s="7" t="str">
        <f t="shared" si="64"/>
        <v>Week 4</v>
      </c>
      <c r="H1089" s="7" t="str">
        <f t="shared" si="65"/>
        <v>March 25 Week 4</v>
      </c>
      <c r="I1089" s="7" t="str">
        <f>CONCATENATE(UPPER(TableAopCalendar[[#This Row],[Month]])," ",TableAopCalendar[[#This Row],[Year]])</f>
        <v>MARCH 25</v>
      </c>
      <c r="J1089" s="7" t="s">
        <v>274</v>
      </c>
      <c r="K1089" s="7" t="str">
        <f>CONCATENATE(TableAopCalendar[[#This Row],[Month for Plan]]," ",TableAopCalendar[[#This Row],[Plan]])</f>
        <v>MARCH 25 PLANNED</v>
      </c>
    </row>
    <row r="1090" spans="1:11" x14ac:dyDescent="0.3">
      <c r="A1090" s="7">
        <f t="shared" si="63"/>
        <v>3</v>
      </c>
      <c r="B1090" s="5">
        <v>45740</v>
      </c>
      <c r="C1090" s="6" t="s">
        <v>273</v>
      </c>
      <c r="D1090" s="6">
        <v>25</v>
      </c>
      <c r="E1090" s="7">
        <f>DAY(TableAopCalendar[[#This Row],[Date]])</f>
        <v>24</v>
      </c>
      <c r="F1090" s="7">
        <f>IF(TableAopCalendar[[#This Row],[Day]]&lt;8,1,IF(TableAopCalendar[[#This Row],[Day]]&lt;15,2,IF(TableAopCalendar[[#This Row],[Day]]&lt;22,3,IF(TableAopCalendar[[#This Row],[Day]]&lt;29,4,IF(TableAopCalendar[[#This Row],[Day]]&lt;32,5)))))</f>
        <v>4</v>
      </c>
      <c r="G1090" s="7" t="str">
        <f t="shared" si="64"/>
        <v>Week 4</v>
      </c>
      <c r="H1090" s="7" t="str">
        <f t="shared" si="65"/>
        <v>March 25 Week 4</v>
      </c>
      <c r="I1090" s="7" t="str">
        <f>CONCATENATE(UPPER(TableAopCalendar[[#This Row],[Month]])," ",TableAopCalendar[[#This Row],[Year]])</f>
        <v>MARCH 25</v>
      </c>
      <c r="J1090" s="7" t="s">
        <v>274</v>
      </c>
      <c r="K1090" s="7" t="str">
        <f>CONCATENATE(TableAopCalendar[[#This Row],[Month for Plan]]," ",TableAopCalendar[[#This Row],[Plan]])</f>
        <v>MARCH 25 PLANNED</v>
      </c>
    </row>
    <row r="1091" spans="1:11" x14ac:dyDescent="0.3">
      <c r="A1091" s="7">
        <f t="shared" si="63"/>
        <v>4</v>
      </c>
      <c r="B1091" s="5">
        <v>45741</v>
      </c>
      <c r="C1091" s="6" t="s">
        <v>273</v>
      </c>
      <c r="D1091" s="6">
        <v>25</v>
      </c>
      <c r="E1091" s="7">
        <f>DAY(TableAopCalendar[[#This Row],[Date]])</f>
        <v>25</v>
      </c>
      <c r="F1091" s="7">
        <f>IF(TableAopCalendar[[#This Row],[Day]]&lt;8,1,IF(TableAopCalendar[[#This Row],[Day]]&lt;15,2,IF(TableAopCalendar[[#This Row],[Day]]&lt;22,3,IF(TableAopCalendar[[#This Row],[Day]]&lt;29,4,IF(TableAopCalendar[[#This Row],[Day]]&lt;32,5)))))</f>
        <v>4</v>
      </c>
      <c r="G1091" s="7" t="str">
        <f t="shared" si="64"/>
        <v>Week 4</v>
      </c>
      <c r="H1091" s="7" t="str">
        <f t="shared" si="65"/>
        <v>March 25 Week 4</v>
      </c>
      <c r="I1091" s="7" t="str">
        <f>CONCATENATE(UPPER(TableAopCalendar[[#This Row],[Month]])," ",TableAopCalendar[[#This Row],[Year]])</f>
        <v>MARCH 25</v>
      </c>
      <c r="J1091" s="7" t="s">
        <v>274</v>
      </c>
      <c r="K1091" s="7" t="str">
        <f>CONCATENATE(TableAopCalendar[[#This Row],[Month for Plan]]," ",TableAopCalendar[[#This Row],[Plan]])</f>
        <v>MARCH 25 PLANNED</v>
      </c>
    </row>
    <row r="1092" spans="1:11" x14ac:dyDescent="0.3">
      <c r="A1092" s="7">
        <f t="shared" si="63"/>
        <v>5</v>
      </c>
      <c r="B1092" s="5">
        <v>45742</v>
      </c>
      <c r="C1092" s="6" t="s">
        <v>273</v>
      </c>
      <c r="D1092" s="6">
        <v>25</v>
      </c>
      <c r="E1092" s="7">
        <f>DAY(TableAopCalendar[[#This Row],[Date]])</f>
        <v>26</v>
      </c>
      <c r="F1092" s="7">
        <f>IF(TableAopCalendar[[#This Row],[Day]]&lt;8,1,IF(TableAopCalendar[[#This Row],[Day]]&lt;15,2,IF(TableAopCalendar[[#This Row],[Day]]&lt;22,3,IF(TableAopCalendar[[#This Row],[Day]]&lt;29,4,IF(TableAopCalendar[[#This Row],[Day]]&lt;32,5)))))</f>
        <v>4</v>
      </c>
      <c r="G1092" s="7" t="str">
        <f t="shared" si="64"/>
        <v>Week 4</v>
      </c>
      <c r="H1092" s="7" t="str">
        <f t="shared" si="65"/>
        <v>March 25 Week 4</v>
      </c>
      <c r="I1092" s="7" t="str">
        <f>CONCATENATE(UPPER(TableAopCalendar[[#This Row],[Month]])," ",TableAopCalendar[[#This Row],[Year]])</f>
        <v>MARCH 25</v>
      </c>
      <c r="J1092" s="7" t="s">
        <v>274</v>
      </c>
      <c r="K1092" s="7" t="str">
        <f>CONCATENATE(TableAopCalendar[[#This Row],[Month for Plan]]," ",TableAopCalendar[[#This Row],[Plan]])</f>
        <v>MARCH 25 PLANNED</v>
      </c>
    </row>
    <row r="1093" spans="1:11" x14ac:dyDescent="0.3">
      <c r="A1093" s="7">
        <f t="shared" si="63"/>
        <v>6</v>
      </c>
      <c r="B1093" s="5">
        <v>45743</v>
      </c>
      <c r="C1093" s="6" t="s">
        <v>273</v>
      </c>
      <c r="D1093" s="6">
        <v>25</v>
      </c>
      <c r="E1093" s="7">
        <f>DAY(TableAopCalendar[[#This Row],[Date]])</f>
        <v>27</v>
      </c>
      <c r="F1093" s="7">
        <f>IF(TableAopCalendar[[#This Row],[Day]]&lt;8,1,IF(TableAopCalendar[[#This Row],[Day]]&lt;15,2,IF(TableAopCalendar[[#This Row],[Day]]&lt;22,3,IF(TableAopCalendar[[#This Row],[Day]]&lt;29,4,IF(TableAopCalendar[[#This Row],[Day]]&lt;32,5)))))</f>
        <v>4</v>
      </c>
      <c r="G1093" s="7" t="str">
        <f t="shared" si="64"/>
        <v>Week 4</v>
      </c>
      <c r="H1093" s="7" t="str">
        <f t="shared" si="65"/>
        <v>March 25 Week 4</v>
      </c>
      <c r="I1093" s="7" t="str">
        <f>CONCATENATE(UPPER(TableAopCalendar[[#This Row],[Month]])," ",TableAopCalendar[[#This Row],[Year]])</f>
        <v>MARCH 25</v>
      </c>
      <c r="J1093" s="7" t="s">
        <v>274</v>
      </c>
      <c r="K1093" s="7" t="str">
        <f>CONCATENATE(TableAopCalendar[[#This Row],[Month for Plan]]," ",TableAopCalendar[[#This Row],[Plan]])</f>
        <v>MARCH 25 PLANNED</v>
      </c>
    </row>
    <row r="1094" spans="1:11" x14ac:dyDescent="0.3">
      <c r="A1094" s="7">
        <f>IF(G1094=G1093,A1093+1,1)</f>
        <v>7</v>
      </c>
      <c r="B1094" s="5">
        <v>45744</v>
      </c>
      <c r="C1094" s="6" t="s">
        <v>273</v>
      </c>
      <c r="D1094" s="6">
        <v>25</v>
      </c>
      <c r="E1094" s="7">
        <f>DAY(TableAopCalendar[[#This Row],[Date]])</f>
        <v>28</v>
      </c>
      <c r="F1094" s="7">
        <f>IF(TableAopCalendar[[#This Row],[Day]]&lt;8,1,IF(TableAopCalendar[[#This Row],[Day]]&lt;15,2,IF(TableAopCalendar[[#This Row],[Day]]&lt;22,3,IF(TableAopCalendar[[#This Row],[Day]]&lt;29,4,IF(TableAopCalendar[[#This Row],[Day]]&lt;32,5)))))</f>
        <v>4</v>
      </c>
      <c r="G1094" s="7" t="str">
        <f>"Week"&amp;" "&amp;F1094</f>
        <v>Week 4</v>
      </c>
      <c r="H1094" s="7" t="str">
        <f>CONCATENATE(C1094," ",D1094," ",G1094)</f>
        <v>March 25 Week 4</v>
      </c>
      <c r="I1094" s="7" t="str">
        <f>CONCATENATE(UPPER(TableAopCalendar[[#This Row],[Month]])," ",TableAopCalendar[[#This Row],[Year]])</f>
        <v>MARCH 25</v>
      </c>
      <c r="J1094" s="7" t="s">
        <v>274</v>
      </c>
      <c r="K1094" s="7" t="str">
        <f>CONCATENATE(TableAopCalendar[[#This Row],[Month for Plan]]," ",TableAopCalendar[[#This Row],[Plan]])</f>
        <v>MARCH 25 PLANNED</v>
      </c>
    </row>
    <row r="1095" spans="1:11" x14ac:dyDescent="0.3">
      <c r="A1095" s="7">
        <f>IF(G1095=G1094,A1094+1,1)</f>
        <v>1</v>
      </c>
      <c r="B1095" s="5">
        <v>45745</v>
      </c>
      <c r="C1095" s="6" t="s">
        <v>273</v>
      </c>
      <c r="D1095" s="6">
        <v>25</v>
      </c>
      <c r="E1095" s="7">
        <f>DAY(TableAopCalendar[[#This Row],[Date]])</f>
        <v>29</v>
      </c>
      <c r="F1095" s="7">
        <f>IF(TableAopCalendar[[#This Row],[Day]]&lt;8,1,IF(TableAopCalendar[[#This Row],[Day]]&lt;15,2,IF(TableAopCalendar[[#This Row],[Day]]&lt;22,3,IF(TableAopCalendar[[#This Row],[Day]]&lt;29,4,IF(TableAopCalendar[[#This Row],[Day]]&lt;32,5)))))</f>
        <v>5</v>
      </c>
      <c r="G1095" s="7" t="str">
        <f>"Week"&amp;" "&amp;F1095</f>
        <v>Week 5</v>
      </c>
      <c r="H1095" s="7" t="str">
        <f>CONCATENATE(C1095," ",D1095," ",G1095)</f>
        <v>March 25 Week 5</v>
      </c>
      <c r="I1095" s="7" t="str">
        <f>CONCATENATE(UPPER(TableAopCalendar[[#This Row],[Month]])," ",TableAopCalendar[[#This Row],[Year]])</f>
        <v>MARCH 25</v>
      </c>
      <c r="J1095" s="7" t="s">
        <v>274</v>
      </c>
      <c r="K1095" s="7" t="str">
        <f>CONCATENATE(TableAopCalendar[[#This Row],[Month for Plan]]," ",TableAopCalendar[[#This Row],[Plan]])</f>
        <v>MARCH 25 PLANNED</v>
      </c>
    </row>
    <row r="1096" spans="1:11" x14ac:dyDescent="0.3">
      <c r="A1096" s="7">
        <f>IF(G1096=G1095,A1095+1,1)</f>
        <v>2</v>
      </c>
      <c r="B1096" s="5">
        <v>45746</v>
      </c>
      <c r="C1096" s="6" t="s">
        <v>273</v>
      </c>
      <c r="D1096" s="6">
        <v>25</v>
      </c>
      <c r="E1096" s="7">
        <f>DAY(TableAopCalendar[[#This Row],[Date]])</f>
        <v>30</v>
      </c>
      <c r="F1096" s="7">
        <f>IF(TableAopCalendar[[#This Row],[Day]]&lt;8,1,IF(TableAopCalendar[[#This Row],[Day]]&lt;15,2,IF(TableAopCalendar[[#This Row],[Day]]&lt;22,3,IF(TableAopCalendar[[#This Row],[Day]]&lt;29,4,IF(TableAopCalendar[[#This Row],[Day]]&lt;32,5)))))</f>
        <v>5</v>
      </c>
      <c r="G1096" s="7" t="str">
        <f>"Week"&amp;" "&amp;F1096</f>
        <v>Week 5</v>
      </c>
      <c r="H1096" s="7" t="str">
        <f>CONCATENATE(C1096," ",D1096," ",G1096)</f>
        <v>March 25 Week 5</v>
      </c>
      <c r="I1096" s="7" t="str">
        <f>CONCATENATE(UPPER(TableAopCalendar[[#This Row],[Month]])," ",TableAopCalendar[[#This Row],[Year]])</f>
        <v>MARCH 25</v>
      </c>
      <c r="J1096" s="7" t="s">
        <v>274</v>
      </c>
      <c r="K1096" s="7" t="str">
        <f>CONCATENATE(TableAopCalendar[[#This Row],[Month for Plan]]," ",TableAopCalendar[[#This Row],[Plan]])</f>
        <v>MARCH 25 PLANNED</v>
      </c>
    </row>
    <row r="1097" spans="1:11" x14ac:dyDescent="0.3">
      <c r="A1097" s="7">
        <f>IF(G1097=G1096,A1096+1,1)</f>
        <v>3</v>
      </c>
      <c r="B1097" s="5">
        <v>45747</v>
      </c>
      <c r="C1097" s="6" t="s">
        <v>273</v>
      </c>
      <c r="D1097" s="6">
        <v>25</v>
      </c>
      <c r="E1097" s="7">
        <f>DAY(TableAopCalendar[[#This Row],[Date]])</f>
        <v>31</v>
      </c>
      <c r="F1097" s="7">
        <f>IF(TableAopCalendar[[#This Row],[Day]]&lt;8,1,IF(TableAopCalendar[[#This Row],[Day]]&lt;15,2,IF(TableAopCalendar[[#This Row],[Day]]&lt;22,3,IF(TableAopCalendar[[#This Row],[Day]]&lt;29,4,IF(TableAopCalendar[[#This Row],[Day]]&lt;32,5)))))</f>
        <v>5</v>
      </c>
      <c r="G1097" s="7" t="str">
        <f>"Week"&amp;" "&amp;F1097</f>
        <v>Week 5</v>
      </c>
      <c r="H1097" s="7" t="str">
        <f>CONCATENATE(C1097," ",D1097," ",G1097)</f>
        <v>March 25 Week 5</v>
      </c>
      <c r="I1097" s="7" t="str">
        <f>CONCATENATE(UPPER(TableAopCalendar[[#This Row],[Month]])," ",TableAopCalendar[[#This Row],[Year]])</f>
        <v>MARCH 25</v>
      </c>
      <c r="J1097" s="7" t="s">
        <v>274</v>
      </c>
      <c r="K1097" s="7" t="str">
        <f>CONCATENATE(TableAopCalendar[[#This Row],[Month for Plan]]," ",TableAopCalendar[[#This Row],[Plan]])</f>
        <v>MARCH 25 PLANNED</v>
      </c>
    </row>
    <row r="1098" spans="1:11" x14ac:dyDescent="0.3">
      <c r="A1098" s="32">
        <f>IF(G1098=G1097,A1097+1,1)</f>
        <v>1</v>
      </c>
      <c r="B1098" s="33">
        <v>45748</v>
      </c>
      <c r="C1098" s="6" t="s">
        <v>264</v>
      </c>
      <c r="D1098" s="6">
        <v>25</v>
      </c>
      <c r="E1098" s="32">
        <f>DAY(TableAopCalendar[[#This Row],[Date]])</f>
        <v>1</v>
      </c>
      <c r="F1098" s="32">
        <f>IF(TableAopCalendar[[#This Row],[Day]]&lt;8,1,IF(TableAopCalendar[[#This Row],[Day]]&lt;15,2,IF(TableAopCalendar[[#This Row],[Day]]&lt;22,3,IF(TableAopCalendar[[#This Row],[Day]]&lt;29,4,IF(TableAopCalendar[[#This Row],[Day]]&lt;32,5)))))</f>
        <v>1</v>
      </c>
      <c r="G1098" s="32" t="str">
        <f>"Week"&amp;" "&amp;F1098</f>
        <v>Week 1</v>
      </c>
      <c r="H1098" s="32" t="str">
        <f>CONCATENATE(C1098," ",D1098," ",G1098)</f>
        <v>April 25 Week 1</v>
      </c>
      <c r="I1098" s="32" t="str">
        <f>CONCATENATE(UPPER(TableAopCalendar[[#This Row],[Month]])," ",TableAopCalendar[[#This Row],[Year]])</f>
        <v>APRIL 25</v>
      </c>
      <c r="J1098" s="7" t="s">
        <v>274</v>
      </c>
      <c r="K1098" s="32" t="str">
        <f>CONCATENATE(TableAopCalendar[[#This Row],[Month for Plan]]," ",TableAopCalendar[[#This Row],[Plan]])</f>
        <v>APRIL 25 PLANNED</v>
      </c>
    </row>
    <row r="1099" spans="1:11" x14ac:dyDescent="0.3">
      <c r="A1099" s="32">
        <f t="shared" ref="A1099:A1162" si="66">IF(G1099=G1098,A1098+1,1)</f>
        <v>2</v>
      </c>
      <c r="B1099" s="33">
        <v>45749</v>
      </c>
      <c r="C1099" s="6" t="s">
        <v>264</v>
      </c>
      <c r="D1099" s="6">
        <v>25</v>
      </c>
      <c r="E1099" s="32">
        <f>DAY(TableAopCalendar[[#This Row],[Date]])</f>
        <v>2</v>
      </c>
      <c r="F1099" s="32">
        <f>IF(TableAopCalendar[[#This Row],[Day]]&lt;8,1,IF(TableAopCalendar[[#This Row],[Day]]&lt;15,2,IF(TableAopCalendar[[#This Row],[Day]]&lt;22,3,IF(TableAopCalendar[[#This Row],[Day]]&lt;29,4,IF(TableAopCalendar[[#This Row],[Day]]&lt;32,5)))))</f>
        <v>1</v>
      </c>
      <c r="G1099" s="32" t="str">
        <f t="shared" ref="G1099:G1162" si="67">"Week"&amp;" "&amp;F1099</f>
        <v>Week 1</v>
      </c>
      <c r="H1099" s="32" t="str">
        <f t="shared" ref="H1099:H1162" si="68">CONCATENATE(C1099," ",D1099," ",G1099)</f>
        <v>April 25 Week 1</v>
      </c>
      <c r="I1099" s="32" t="str">
        <f>CONCATENATE(UPPER(TableAopCalendar[[#This Row],[Month]])," ",TableAopCalendar[[#This Row],[Year]])</f>
        <v>APRIL 25</v>
      </c>
      <c r="J1099" s="7" t="s">
        <v>274</v>
      </c>
      <c r="K1099" s="32" t="str">
        <f>CONCATENATE(TableAopCalendar[[#This Row],[Month for Plan]]," ",TableAopCalendar[[#This Row],[Plan]])</f>
        <v>APRIL 25 PLANNED</v>
      </c>
    </row>
    <row r="1100" spans="1:11" x14ac:dyDescent="0.3">
      <c r="A1100" s="32">
        <f t="shared" si="66"/>
        <v>3</v>
      </c>
      <c r="B1100" s="33">
        <v>45750</v>
      </c>
      <c r="C1100" s="6" t="s">
        <v>264</v>
      </c>
      <c r="D1100" s="6">
        <v>25</v>
      </c>
      <c r="E1100" s="32">
        <f>DAY(TableAopCalendar[[#This Row],[Date]])</f>
        <v>3</v>
      </c>
      <c r="F1100" s="32">
        <f>IF(TableAopCalendar[[#This Row],[Day]]&lt;8,1,IF(TableAopCalendar[[#This Row],[Day]]&lt;15,2,IF(TableAopCalendar[[#This Row],[Day]]&lt;22,3,IF(TableAopCalendar[[#This Row],[Day]]&lt;29,4,IF(TableAopCalendar[[#This Row],[Day]]&lt;32,5)))))</f>
        <v>1</v>
      </c>
      <c r="G1100" s="32" t="str">
        <f t="shared" si="67"/>
        <v>Week 1</v>
      </c>
      <c r="H1100" s="32" t="str">
        <f t="shared" si="68"/>
        <v>April 25 Week 1</v>
      </c>
      <c r="I1100" s="32" t="str">
        <f>CONCATENATE(UPPER(TableAopCalendar[[#This Row],[Month]])," ",TableAopCalendar[[#This Row],[Year]])</f>
        <v>APRIL 25</v>
      </c>
      <c r="J1100" s="7" t="s">
        <v>274</v>
      </c>
      <c r="K1100" s="32" t="str">
        <f>CONCATENATE(TableAopCalendar[[#This Row],[Month for Plan]]," ",TableAopCalendar[[#This Row],[Plan]])</f>
        <v>APRIL 25 PLANNED</v>
      </c>
    </row>
    <row r="1101" spans="1:11" x14ac:dyDescent="0.3">
      <c r="A1101" s="32">
        <f t="shared" si="66"/>
        <v>4</v>
      </c>
      <c r="B1101" s="33">
        <v>45751</v>
      </c>
      <c r="C1101" s="6" t="s">
        <v>264</v>
      </c>
      <c r="D1101" s="6">
        <v>25</v>
      </c>
      <c r="E1101" s="32">
        <f>DAY(TableAopCalendar[[#This Row],[Date]])</f>
        <v>4</v>
      </c>
      <c r="F1101" s="32">
        <f>IF(TableAopCalendar[[#This Row],[Day]]&lt;8,1,IF(TableAopCalendar[[#This Row],[Day]]&lt;15,2,IF(TableAopCalendar[[#This Row],[Day]]&lt;22,3,IF(TableAopCalendar[[#This Row],[Day]]&lt;29,4,IF(TableAopCalendar[[#This Row],[Day]]&lt;32,5)))))</f>
        <v>1</v>
      </c>
      <c r="G1101" s="32" t="str">
        <f t="shared" si="67"/>
        <v>Week 1</v>
      </c>
      <c r="H1101" s="32" t="str">
        <f t="shared" si="68"/>
        <v>April 25 Week 1</v>
      </c>
      <c r="I1101" s="32" t="str">
        <f>CONCATENATE(UPPER(TableAopCalendar[[#This Row],[Month]])," ",TableAopCalendar[[#This Row],[Year]])</f>
        <v>APRIL 25</v>
      </c>
      <c r="J1101" s="7" t="s">
        <v>274</v>
      </c>
      <c r="K1101" s="32" t="str">
        <f>CONCATENATE(TableAopCalendar[[#This Row],[Month for Plan]]," ",TableAopCalendar[[#This Row],[Plan]])</f>
        <v>APRIL 25 PLANNED</v>
      </c>
    </row>
    <row r="1102" spans="1:11" x14ac:dyDescent="0.3">
      <c r="A1102" s="32">
        <f t="shared" si="66"/>
        <v>5</v>
      </c>
      <c r="B1102" s="33">
        <v>45752</v>
      </c>
      <c r="C1102" s="6" t="s">
        <v>264</v>
      </c>
      <c r="D1102" s="6">
        <v>25</v>
      </c>
      <c r="E1102" s="32">
        <f>DAY(TableAopCalendar[[#This Row],[Date]])</f>
        <v>5</v>
      </c>
      <c r="F1102" s="32">
        <f>IF(TableAopCalendar[[#This Row],[Day]]&lt;8,1,IF(TableAopCalendar[[#This Row],[Day]]&lt;15,2,IF(TableAopCalendar[[#This Row],[Day]]&lt;22,3,IF(TableAopCalendar[[#This Row],[Day]]&lt;29,4,IF(TableAopCalendar[[#This Row],[Day]]&lt;32,5)))))</f>
        <v>1</v>
      </c>
      <c r="G1102" s="32" t="str">
        <f t="shared" si="67"/>
        <v>Week 1</v>
      </c>
      <c r="H1102" s="32" t="str">
        <f t="shared" si="68"/>
        <v>April 25 Week 1</v>
      </c>
      <c r="I1102" s="32" t="str">
        <f>CONCATENATE(UPPER(TableAopCalendar[[#This Row],[Month]])," ",TableAopCalendar[[#This Row],[Year]])</f>
        <v>APRIL 25</v>
      </c>
      <c r="J1102" s="7" t="s">
        <v>274</v>
      </c>
      <c r="K1102" s="32" t="str">
        <f>CONCATENATE(TableAopCalendar[[#This Row],[Month for Plan]]," ",TableAopCalendar[[#This Row],[Plan]])</f>
        <v>APRIL 25 PLANNED</v>
      </c>
    </row>
    <row r="1103" spans="1:11" x14ac:dyDescent="0.3">
      <c r="A1103" s="32">
        <f t="shared" si="66"/>
        <v>6</v>
      </c>
      <c r="B1103" s="33">
        <v>45753</v>
      </c>
      <c r="C1103" s="6" t="s">
        <v>264</v>
      </c>
      <c r="D1103" s="6">
        <v>25</v>
      </c>
      <c r="E1103" s="32">
        <f>DAY(TableAopCalendar[[#This Row],[Date]])</f>
        <v>6</v>
      </c>
      <c r="F1103" s="32">
        <f>IF(TableAopCalendar[[#This Row],[Day]]&lt;8,1,IF(TableAopCalendar[[#This Row],[Day]]&lt;15,2,IF(TableAopCalendar[[#This Row],[Day]]&lt;22,3,IF(TableAopCalendar[[#This Row],[Day]]&lt;29,4,IF(TableAopCalendar[[#This Row],[Day]]&lt;32,5)))))</f>
        <v>1</v>
      </c>
      <c r="G1103" s="32" t="str">
        <f t="shared" si="67"/>
        <v>Week 1</v>
      </c>
      <c r="H1103" s="32" t="str">
        <f t="shared" si="68"/>
        <v>April 25 Week 1</v>
      </c>
      <c r="I1103" s="32" t="str">
        <f>CONCATENATE(UPPER(TableAopCalendar[[#This Row],[Month]])," ",TableAopCalendar[[#This Row],[Year]])</f>
        <v>APRIL 25</v>
      </c>
      <c r="J1103" s="7" t="s">
        <v>274</v>
      </c>
      <c r="K1103" s="32" t="str">
        <f>CONCATENATE(TableAopCalendar[[#This Row],[Month for Plan]]," ",TableAopCalendar[[#This Row],[Plan]])</f>
        <v>APRIL 25 PLANNED</v>
      </c>
    </row>
    <row r="1104" spans="1:11" x14ac:dyDescent="0.3">
      <c r="A1104" s="32">
        <f t="shared" si="66"/>
        <v>7</v>
      </c>
      <c r="B1104" s="33">
        <v>45754</v>
      </c>
      <c r="C1104" s="6" t="s">
        <v>264</v>
      </c>
      <c r="D1104" s="6">
        <v>25</v>
      </c>
      <c r="E1104" s="32">
        <f>DAY(TableAopCalendar[[#This Row],[Date]])</f>
        <v>7</v>
      </c>
      <c r="F1104" s="32">
        <f>IF(TableAopCalendar[[#This Row],[Day]]&lt;8,1,IF(TableAopCalendar[[#This Row],[Day]]&lt;15,2,IF(TableAopCalendar[[#This Row],[Day]]&lt;22,3,IF(TableAopCalendar[[#This Row],[Day]]&lt;29,4,IF(TableAopCalendar[[#This Row],[Day]]&lt;32,5)))))</f>
        <v>1</v>
      </c>
      <c r="G1104" s="32" t="str">
        <f t="shared" si="67"/>
        <v>Week 1</v>
      </c>
      <c r="H1104" s="32" t="str">
        <f t="shared" si="68"/>
        <v>April 25 Week 1</v>
      </c>
      <c r="I1104" s="32" t="str">
        <f>CONCATENATE(UPPER(TableAopCalendar[[#This Row],[Month]])," ",TableAopCalendar[[#This Row],[Year]])</f>
        <v>APRIL 25</v>
      </c>
      <c r="J1104" s="7" t="s">
        <v>274</v>
      </c>
      <c r="K1104" s="32" t="str">
        <f>CONCATENATE(TableAopCalendar[[#This Row],[Month for Plan]]," ",TableAopCalendar[[#This Row],[Plan]])</f>
        <v>APRIL 25 PLANNED</v>
      </c>
    </row>
    <row r="1105" spans="1:11" x14ac:dyDescent="0.3">
      <c r="A1105" s="32">
        <f t="shared" si="66"/>
        <v>1</v>
      </c>
      <c r="B1105" s="33">
        <v>45755</v>
      </c>
      <c r="C1105" s="6" t="s">
        <v>264</v>
      </c>
      <c r="D1105" s="6">
        <v>25</v>
      </c>
      <c r="E1105" s="32">
        <f>DAY(TableAopCalendar[[#This Row],[Date]])</f>
        <v>8</v>
      </c>
      <c r="F1105" s="32">
        <f>IF(TableAopCalendar[[#This Row],[Day]]&lt;8,1,IF(TableAopCalendar[[#This Row],[Day]]&lt;15,2,IF(TableAopCalendar[[#This Row],[Day]]&lt;22,3,IF(TableAopCalendar[[#This Row],[Day]]&lt;29,4,IF(TableAopCalendar[[#This Row],[Day]]&lt;32,5)))))</f>
        <v>2</v>
      </c>
      <c r="G1105" s="32" t="str">
        <f t="shared" si="67"/>
        <v>Week 2</v>
      </c>
      <c r="H1105" s="32" t="str">
        <f t="shared" si="68"/>
        <v>April 25 Week 2</v>
      </c>
      <c r="I1105" s="32" t="str">
        <f>CONCATENATE(UPPER(TableAopCalendar[[#This Row],[Month]])," ",TableAopCalendar[[#This Row],[Year]])</f>
        <v>APRIL 25</v>
      </c>
      <c r="J1105" s="7" t="s">
        <v>274</v>
      </c>
      <c r="K1105" s="32" t="str">
        <f>CONCATENATE(TableAopCalendar[[#This Row],[Month for Plan]]," ",TableAopCalendar[[#This Row],[Plan]])</f>
        <v>APRIL 25 PLANNED</v>
      </c>
    </row>
    <row r="1106" spans="1:11" x14ac:dyDescent="0.3">
      <c r="A1106" s="32">
        <f t="shared" si="66"/>
        <v>2</v>
      </c>
      <c r="B1106" s="33">
        <v>45756</v>
      </c>
      <c r="C1106" s="6" t="s">
        <v>264</v>
      </c>
      <c r="D1106" s="6">
        <v>25</v>
      </c>
      <c r="E1106" s="32">
        <f>DAY(TableAopCalendar[[#This Row],[Date]])</f>
        <v>9</v>
      </c>
      <c r="F1106" s="32">
        <f>IF(TableAopCalendar[[#This Row],[Day]]&lt;8,1,IF(TableAopCalendar[[#This Row],[Day]]&lt;15,2,IF(TableAopCalendar[[#This Row],[Day]]&lt;22,3,IF(TableAopCalendar[[#This Row],[Day]]&lt;29,4,IF(TableAopCalendar[[#This Row],[Day]]&lt;32,5)))))</f>
        <v>2</v>
      </c>
      <c r="G1106" s="32" t="str">
        <f t="shared" si="67"/>
        <v>Week 2</v>
      </c>
      <c r="H1106" s="32" t="str">
        <f t="shared" si="68"/>
        <v>April 25 Week 2</v>
      </c>
      <c r="I1106" s="32" t="str">
        <f>CONCATENATE(UPPER(TableAopCalendar[[#This Row],[Month]])," ",TableAopCalendar[[#This Row],[Year]])</f>
        <v>APRIL 25</v>
      </c>
      <c r="J1106" s="7" t="s">
        <v>274</v>
      </c>
      <c r="K1106" s="32" t="str">
        <f>CONCATENATE(TableAopCalendar[[#This Row],[Month for Plan]]," ",TableAopCalendar[[#This Row],[Plan]])</f>
        <v>APRIL 25 PLANNED</v>
      </c>
    </row>
    <row r="1107" spans="1:11" x14ac:dyDescent="0.3">
      <c r="A1107" s="32">
        <f t="shared" si="66"/>
        <v>3</v>
      </c>
      <c r="B1107" s="33">
        <v>45757</v>
      </c>
      <c r="C1107" s="6" t="s">
        <v>264</v>
      </c>
      <c r="D1107" s="6">
        <v>25</v>
      </c>
      <c r="E1107" s="32">
        <f>DAY(TableAopCalendar[[#This Row],[Date]])</f>
        <v>10</v>
      </c>
      <c r="F1107" s="32">
        <f>IF(TableAopCalendar[[#This Row],[Day]]&lt;8,1,IF(TableAopCalendar[[#This Row],[Day]]&lt;15,2,IF(TableAopCalendar[[#This Row],[Day]]&lt;22,3,IF(TableAopCalendar[[#This Row],[Day]]&lt;29,4,IF(TableAopCalendar[[#This Row],[Day]]&lt;32,5)))))</f>
        <v>2</v>
      </c>
      <c r="G1107" s="32" t="str">
        <f t="shared" si="67"/>
        <v>Week 2</v>
      </c>
      <c r="H1107" s="32" t="str">
        <f t="shared" si="68"/>
        <v>April 25 Week 2</v>
      </c>
      <c r="I1107" s="32" t="str">
        <f>CONCATENATE(UPPER(TableAopCalendar[[#This Row],[Month]])," ",TableAopCalendar[[#This Row],[Year]])</f>
        <v>APRIL 25</v>
      </c>
      <c r="J1107" s="7" t="s">
        <v>274</v>
      </c>
      <c r="K1107" s="32" t="str">
        <f>CONCATENATE(TableAopCalendar[[#This Row],[Month for Plan]]," ",TableAopCalendar[[#This Row],[Plan]])</f>
        <v>APRIL 25 PLANNED</v>
      </c>
    </row>
    <row r="1108" spans="1:11" x14ac:dyDescent="0.3">
      <c r="A1108" s="32">
        <f t="shared" si="66"/>
        <v>4</v>
      </c>
      <c r="B1108" s="33">
        <v>45758</v>
      </c>
      <c r="C1108" s="6" t="s">
        <v>264</v>
      </c>
      <c r="D1108" s="6">
        <v>25</v>
      </c>
      <c r="E1108" s="32">
        <f>DAY(TableAopCalendar[[#This Row],[Date]])</f>
        <v>11</v>
      </c>
      <c r="F1108" s="32">
        <f>IF(TableAopCalendar[[#This Row],[Day]]&lt;8,1,IF(TableAopCalendar[[#This Row],[Day]]&lt;15,2,IF(TableAopCalendar[[#This Row],[Day]]&lt;22,3,IF(TableAopCalendar[[#This Row],[Day]]&lt;29,4,IF(TableAopCalendar[[#This Row],[Day]]&lt;32,5)))))</f>
        <v>2</v>
      </c>
      <c r="G1108" s="32" t="str">
        <f t="shared" si="67"/>
        <v>Week 2</v>
      </c>
      <c r="H1108" s="32" t="str">
        <f t="shared" si="68"/>
        <v>April 25 Week 2</v>
      </c>
      <c r="I1108" s="32" t="str">
        <f>CONCATENATE(UPPER(TableAopCalendar[[#This Row],[Month]])," ",TableAopCalendar[[#This Row],[Year]])</f>
        <v>APRIL 25</v>
      </c>
      <c r="J1108" s="7" t="s">
        <v>274</v>
      </c>
      <c r="K1108" s="32" t="str">
        <f>CONCATENATE(TableAopCalendar[[#This Row],[Month for Plan]]," ",TableAopCalendar[[#This Row],[Plan]])</f>
        <v>APRIL 25 PLANNED</v>
      </c>
    </row>
    <row r="1109" spans="1:11" x14ac:dyDescent="0.3">
      <c r="A1109" s="32">
        <f t="shared" si="66"/>
        <v>5</v>
      </c>
      <c r="B1109" s="33">
        <v>45759</v>
      </c>
      <c r="C1109" s="6" t="s">
        <v>264</v>
      </c>
      <c r="D1109" s="6">
        <v>25</v>
      </c>
      <c r="E1109" s="32">
        <f>DAY(TableAopCalendar[[#This Row],[Date]])</f>
        <v>12</v>
      </c>
      <c r="F1109" s="32">
        <f>IF(TableAopCalendar[[#This Row],[Day]]&lt;8,1,IF(TableAopCalendar[[#This Row],[Day]]&lt;15,2,IF(TableAopCalendar[[#This Row],[Day]]&lt;22,3,IF(TableAopCalendar[[#This Row],[Day]]&lt;29,4,IF(TableAopCalendar[[#This Row],[Day]]&lt;32,5)))))</f>
        <v>2</v>
      </c>
      <c r="G1109" s="32" t="str">
        <f t="shared" si="67"/>
        <v>Week 2</v>
      </c>
      <c r="H1109" s="32" t="str">
        <f t="shared" si="68"/>
        <v>April 25 Week 2</v>
      </c>
      <c r="I1109" s="32" t="str">
        <f>CONCATENATE(UPPER(TableAopCalendar[[#This Row],[Month]])," ",TableAopCalendar[[#This Row],[Year]])</f>
        <v>APRIL 25</v>
      </c>
      <c r="J1109" s="7" t="s">
        <v>274</v>
      </c>
      <c r="K1109" s="32" t="str">
        <f>CONCATENATE(TableAopCalendar[[#This Row],[Month for Plan]]," ",TableAopCalendar[[#This Row],[Plan]])</f>
        <v>APRIL 25 PLANNED</v>
      </c>
    </row>
    <row r="1110" spans="1:11" x14ac:dyDescent="0.3">
      <c r="A1110" s="32">
        <f t="shared" si="66"/>
        <v>6</v>
      </c>
      <c r="B1110" s="33">
        <v>45760</v>
      </c>
      <c r="C1110" s="6" t="s">
        <v>264</v>
      </c>
      <c r="D1110" s="6">
        <v>25</v>
      </c>
      <c r="E1110" s="32">
        <f>DAY(TableAopCalendar[[#This Row],[Date]])</f>
        <v>13</v>
      </c>
      <c r="F1110" s="32">
        <f>IF(TableAopCalendar[[#This Row],[Day]]&lt;8,1,IF(TableAopCalendar[[#This Row],[Day]]&lt;15,2,IF(TableAopCalendar[[#This Row],[Day]]&lt;22,3,IF(TableAopCalendar[[#This Row],[Day]]&lt;29,4,IF(TableAopCalendar[[#This Row],[Day]]&lt;32,5)))))</f>
        <v>2</v>
      </c>
      <c r="G1110" s="32" t="str">
        <f t="shared" si="67"/>
        <v>Week 2</v>
      </c>
      <c r="H1110" s="32" t="str">
        <f t="shared" si="68"/>
        <v>April 25 Week 2</v>
      </c>
      <c r="I1110" s="32" t="str">
        <f>CONCATENATE(UPPER(TableAopCalendar[[#This Row],[Month]])," ",TableAopCalendar[[#This Row],[Year]])</f>
        <v>APRIL 25</v>
      </c>
      <c r="J1110" s="7" t="s">
        <v>274</v>
      </c>
      <c r="K1110" s="32" t="str">
        <f>CONCATENATE(TableAopCalendar[[#This Row],[Month for Plan]]," ",TableAopCalendar[[#This Row],[Plan]])</f>
        <v>APRIL 25 PLANNED</v>
      </c>
    </row>
    <row r="1111" spans="1:11" x14ac:dyDescent="0.3">
      <c r="A1111" s="32">
        <f t="shared" si="66"/>
        <v>7</v>
      </c>
      <c r="B1111" s="33">
        <v>45761</v>
      </c>
      <c r="C1111" s="6" t="s">
        <v>264</v>
      </c>
      <c r="D1111" s="6">
        <v>25</v>
      </c>
      <c r="E1111" s="32">
        <f>DAY(TableAopCalendar[[#This Row],[Date]])</f>
        <v>14</v>
      </c>
      <c r="F1111" s="32">
        <f>IF(TableAopCalendar[[#This Row],[Day]]&lt;8,1,IF(TableAopCalendar[[#This Row],[Day]]&lt;15,2,IF(TableAopCalendar[[#This Row],[Day]]&lt;22,3,IF(TableAopCalendar[[#This Row],[Day]]&lt;29,4,IF(TableAopCalendar[[#This Row],[Day]]&lt;32,5)))))</f>
        <v>2</v>
      </c>
      <c r="G1111" s="32" t="str">
        <f t="shared" si="67"/>
        <v>Week 2</v>
      </c>
      <c r="H1111" s="32" t="str">
        <f t="shared" si="68"/>
        <v>April 25 Week 2</v>
      </c>
      <c r="I1111" s="32" t="str">
        <f>CONCATENATE(UPPER(TableAopCalendar[[#This Row],[Month]])," ",TableAopCalendar[[#This Row],[Year]])</f>
        <v>APRIL 25</v>
      </c>
      <c r="J1111" s="7" t="s">
        <v>274</v>
      </c>
      <c r="K1111" s="32" t="str">
        <f>CONCATENATE(TableAopCalendar[[#This Row],[Month for Plan]]," ",TableAopCalendar[[#This Row],[Plan]])</f>
        <v>APRIL 25 PLANNED</v>
      </c>
    </row>
    <row r="1112" spans="1:11" x14ac:dyDescent="0.3">
      <c r="A1112" s="32">
        <f t="shared" si="66"/>
        <v>1</v>
      </c>
      <c r="B1112" s="33">
        <v>45762</v>
      </c>
      <c r="C1112" s="6" t="s">
        <v>264</v>
      </c>
      <c r="D1112" s="6">
        <v>25</v>
      </c>
      <c r="E1112" s="32">
        <f>DAY(TableAopCalendar[[#This Row],[Date]])</f>
        <v>15</v>
      </c>
      <c r="F1112" s="32">
        <f>IF(TableAopCalendar[[#This Row],[Day]]&lt;8,1,IF(TableAopCalendar[[#This Row],[Day]]&lt;15,2,IF(TableAopCalendar[[#This Row],[Day]]&lt;22,3,IF(TableAopCalendar[[#This Row],[Day]]&lt;29,4,IF(TableAopCalendar[[#This Row],[Day]]&lt;32,5)))))</f>
        <v>3</v>
      </c>
      <c r="G1112" s="32" t="str">
        <f t="shared" si="67"/>
        <v>Week 3</v>
      </c>
      <c r="H1112" s="32" t="str">
        <f t="shared" si="68"/>
        <v>April 25 Week 3</v>
      </c>
      <c r="I1112" s="32" t="str">
        <f>CONCATENATE(UPPER(TableAopCalendar[[#This Row],[Month]])," ",TableAopCalendar[[#This Row],[Year]])</f>
        <v>APRIL 25</v>
      </c>
      <c r="J1112" s="7" t="s">
        <v>274</v>
      </c>
      <c r="K1112" s="32" t="str">
        <f>CONCATENATE(TableAopCalendar[[#This Row],[Month for Plan]]," ",TableAopCalendar[[#This Row],[Plan]])</f>
        <v>APRIL 25 PLANNED</v>
      </c>
    </row>
    <row r="1113" spans="1:11" x14ac:dyDescent="0.3">
      <c r="A1113" s="32">
        <f t="shared" si="66"/>
        <v>2</v>
      </c>
      <c r="B1113" s="33">
        <v>45763</v>
      </c>
      <c r="C1113" s="6" t="s">
        <v>264</v>
      </c>
      <c r="D1113" s="6">
        <v>25</v>
      </c>
      <c r="E1113" s="32">
        <f>DAY(TableAopCalendar[[#This Row],[Date]])</f>
        <v>16</v>
      </c>
      <c r="F1113" s="32">
        <f>IF(TableAopCalendar[[#This Row],[Day]]&lt;8,1,IF(TableAopCalendar[[#This Row],[Day]]&lt;15,2,IF(TableAopCalendar[[#This Row],[Day]]&lt;22,3,IF(TableAopCalendar[[#This Row],[Day]]&lt;29,4,IF(TableAopCalendar[[#This Row],[Day]]&lt;32,5)))))</f>
        <v>3</v>
      </c>
      <c r="G1113" s="32" t="str">
        <f t="shared" si="67"/>
        <v>Week 3</v>
      </c>
      <c r="H1113" s="32" t="str">
        <f t="shared" si="68"/>
        <v>April 25 Week 3</v>
      </c>
      <c r="I1113" s="32" t="str">
        <f>CONCATENATE(UPPER(TableAopCalendar[[#This Row],[Month]])," ",TableAopCalendar[[#This Row],[Year]])</f>
        <v>APRIL 25</v>
      </c>
      <c r="J1113" s="7" t="s">
        <v>274</v>
      </c>
      <c r="K1113" s="32" t="str">
        <f>CONCATENATE(TableAopCalendar[[#This Row],[Month for Plan]]," ",TableAopCalendar[[#This Row],[Plan]])</f>
        <v>APRIL 25 PLANNED</v>
      </c>
    </row>
    <row r="1114" spans="1:11" x14ac:dyDescent="0.3">
      <c r="A1114" s="32">
        <f t="shared" si="66"/>
        <v>3</v>
      </c>
      <c r="B1114" s="33">
        <v>45764</v>
      </c>
      <c r="C1114" s="6" t="s">
        <v>264</v>
      </c>
      <c r="D1114" s="6">
        <v>25</v>
      </c>
      <c r="E1114" s="32">
        <f>DAY(TableAopCalendar[[#This Row],[Date]])</f>
        <v>17</v>
      </c>
      <c r="F1114" s="32">
        <f>IF(TableAopCalendar[[#This Row],[Day]]&lt;8,1,IF(TableAopCalendar[[#This Row],[Day]]&lt;15,2,IF(TableAopCalendar[[#This Row],[Day]]&lt;22,3,IF(TableAopCalendar[[#This Row],[Day]]&lt;29,4,IF(TableAopCalendar[[#This Row],[Day]]&lt;32,5)))))</f>
        <v>3</v>
      </c>
      <c r="G1114" s="32" t="str">
        <f t="shared" si="67"/>
        <v>Week 3</v>
      </c>
      <c r="H1114" s="32" t="str">
        <f t="shared" si="68"/>
        <v>April 25 Week 3</v>
      </c>
      <c r="I1114" s="32" t="str">
        <f>CONCATENATE(UPPER(TableAopCalendar[[#This Row],[Month]])," ",TableAopCalendar[[#This Row],[Year]])</f>
        <v>APRIL 25</v>
      </c>
      <c r="J1114" s="7" t="s">
        <v>274</v>
      </c>
      <c r="K1114" s="32" t="str">
        <f>CONCATENATE(TableAopCalendar[[#This Row],[Month for Plan]]," ",TableAopCalendar[[#This Row],[Plan]])</f>
        <v>APRIL 25 PLANNED</v>
      </c>
    </row>
    <row r="1115" spans="1:11" x14ac:dyDescent="0.3">
      <c r="A1115" s="32">
        <f t="shared" si="66"/>
        <v>4</v>
      </c>
      <c r="B1115" s="33">
        <v>45765</v>
      </c>
      <c r="C1115" s="6" t="s">
        <v>264</v>
      </c>
      <c r="D1115" s="6">
        <v>25</v>
      </c>
      <c r="E1115" s="32">
        <f>DAY(TableAopCalendar[[#This Row],[Date]])</f>
        <v>18</v>
      </c>
      <c r="F1115" s="32">
        <f>IF(TableAopCalendar[[#This Row],[Day]]&lt;8,1,IF(TableAopCalendar[[#This Row],[Day]]&lt;15,2,IF(TableAopCalendar[[#This Row],[Day]]&lt;22,3,IF(TableAopCalendar[[#This Row],[Day]]&lt;29,4,IF(TableAopCalendar[[#This Row],[Day]]&lt;32,5)))))</f>
        <v>3</v>
      </c>
      <c r="G1115" s="32" t="str">
        <f t="shared" si="67"/>
        <v>Week 3</v>
      </c>
      <c r="H1115" s="32" t="str">
        <f t="shared" si="68"/>
        <v>April 25 Week 3</v>
      </c>
      <c r="I1115" s="32" t="str">
        <f>CONCATENATE(UPPER(TableAopCalendar[[#This Row],[Month]])," ",TableAopCalendar[[#This Row],[Year]])</f>
        <v>APRIL 25</v>
      </c>
      <c r="J1115" s="7" t="s">
        <v>274</v>
      </c>
      <c r="K1115" s="32" t="str">
        <f>CONCATENATE(TableAopCalendar[[#This Row],[Month for Plan]]," ",TableAopCalendar[[#This Row],[Plan]])</f>
        <v>APRIL 25 PLANNED</v>
      </c>
    </row>
    <row r="1116" spans="1:11" x14ac:dyDescent="0.3">
      <c r="A1116" s="32">
        <f t="shared" si="66"/>
        <v>5</v>
      </c>
      <c r="B1116" s="33">
        <v>45766</v>
      </c>
      <c r="C1116" s="6" t="s">
        <v>264</v>
      </c>
      <c r="D1116" s="6">
        <v>25</v>
      </c>
      <c r="E1116" s="32">
        <f>DAY(TableAopCalendar[[#This Row],[Date]])</f>
        <v>19</v>
      </c>
      <c r="F1116" s="32">
        <f>IF(TableAopCalendar[[#This Row],[Day]]&lt;8,1,IF(TableAopCalendar[[#This Row],[Day]]&lt;15,2,IF(TableAopCalendar[[#This Row],[Day]]&lt;22,3,IF(TableAopCalendar[[#This Row],[Day]]&lt;29,4,IF(TableAopCalendar[[#This Row],[Day]]&lt;32,5)))))</f>
        <v>3</v>
      </c>
      <c r="G1116" s="32" t="str">
        <f t="shared" si="67"/>
        <v>Week 3</v>
      </c>
      <c r="H1116" s="32" t="str">
        <f t="shared" si="68"/>
        <v>April 25 Week 3</v>
      </c>
      <c r="I1116" s="32" t="str">
        <f>CONCATENATE(UPPER(TableAopCalendar[[#This Row],[Month]])," ",TableAopCalendar[[#This Row],[Year]])</f>
        <v>APRIL 25</v>
      </c>
      <c r="J1116" s="7" t="s">
        <v>274</v>
      </c>
      <c r="K1116" s="32" t="str">
        <f>CONCATENATE(TableAopCalendar[[#This Row],[Month for Plan]]," ",TableAopCalendar[[#This Row],[Plan]])</f>
        <v>APRIL 25 PLANNED</v>
      </c>
    </row>
    <row r="1117" spans="1:11" x14ac:dyDescent="0.3">
      <c r="A1117" s="32">
        <f t="shared" si="66"/>
        <v>6</v>
      </c>
      <c r="B1117" s="33">
        <v>45767</v>
      </c>
      <c r="C1117" s="6" t="s">
        <v>264</v>
      </c>
      <c r="D1117" s="6">
        <v>25</v>
      </c>
      <c r="E1117" s="32">
        <f>DAY(TableAopCalendar[[#This Row],[Date]])</f>
        <v>20</v>
      </c>
      <c r="F1117" s="32">
        <f>IF(TableAopCalendar[[#This Row],[Day]]&lt;8,1,IF(TableAopCalendar[[#This Row],[Day]]&lt;15,2,IF(TableAopCalendar[[#This Row],[Day]]&lt;22,3,IF(TableAopCalendar[[#This Row],[Day]]&lt;29,4,IF(TableAopCalendar[[#This Row],[Day]]&lt;32,5)))))</f>
        <v>3</v>
      </c>
      <c r="G1117" s="32" t="str">
        <f t="shared" si="67"/>
        <v>Week 3</v>
      </c>
      <c r="H1117" s="32" t="str">
        <f t="shared" si="68"/>
        <v>April 25 Week 3</v>
      </c>
      <c r="I1117" s="32" t="str">
        <f>CONCATENATE(UPPER(TableAopCalendar[[#This Row],[Month]])," ",TableAopCalendar[[#This Row],[Year]])</f>
        <v>APRIL 25</v>
      </c>
      <c r="J1117" s="7" t="s">
        <v>274</v>
      </c>
      <c r="K1117" s="32" t="str">
        <f>CONCATENATE(TableAopCalendar[[#This Row],[Month for Plan]]," ",TableAopCalendar[[#This Row],[Plan]])</f>
        <v>APRIL 25 PLANNED</v>
      </c>
    </row>
    <row r="1118" spans="1:11" x14ac:dyDescent="0.3">
      <c r="A1118" s="32">
        <f t="shared" si="66"/>
        <v>7</v>
      </c>
      <c r="B1118" s="33">
        <v>45768</v>
      </c>
      <c r="C1118" s="6" t="s">
        <v>264</v>
      </c>
      <c r="D1118" s="6">
        <v>25</v>
      </c>
      <c r="E1118" s="32">
        <f>DAY(TableAopCalendar[[#This Row],[Date]])</f>
        <v>21</v>
      </c>
      <c r="F1118" s="32">
        <f>IF(TableAopCalendar[[#This Row],[Day]]&lt;8,1,IF(TableAopCalendar[[#This Row],[Day]]&lt;15,2,IF(TableAopCalendar[[#This Row],[Day]]&lt;22,3,IF(TableAopCalendar[[#This Row],[Day]]&lt;29,4,IF(TableAopCalendar[[#This Row],[Day]]&lt;32,5)))))</f>
        <v>3</v>
      </c>
      <c r="G1118" s="32" t="str">
        <f t="shared" si="67"/>
        <v>Week 3</v>
      </c>
      <c r="H1118" s="32" t="str">
        <f t="shared" si="68"/>
        <v>April 25 Week 3</v>
      </c>
      <c r="I1118" s="32" t="str">
        <f>CONCATENATE(UPPER(TableAopCalendar[[#This Row],[Month]])," ",TableAopCalendar[[#This Row],[Year]])</f>
        <v>APRIL 25</v>
      </c>
      <c r="J1118" s="7" t="s">
        <v>274</v>
      </c>
      <c r="K1118" s="32" t="str">
        <f>CONCATENATE(TableAopCalendar[[#This Row],[Month for Plan]]," ",TableAopCalendar[[#This Row],[Plan]])</f>
        <v>APRIL 25 PLANNED</v>
      </c>
    </row>
    <row r="1119" spans="1:11" x14ac:dyDescent="0.3">
      <c r="A1119" s="32">
        <f t="shared" si="66"/>
        <v>1</v>
      </c>
      <c r="B1119" s="33">
        <v>45769</v>
      </c>
      <c r="C1119" s="6" t="s">
        <v>264</v>
      </c>
      <c r="D1119" s="6">
        <v>25</v>
      </c>
      <c r="E1119" s="32">
        <f>DAY(TableAopCalendar[[#This Row],[Date]])</f>
        <v>22</v>
      </c>
      <c r="F1119" s="32">
        <f>IF(TableAopCalendar[[#This Row],[Day]]&lt;8,1,IF(TableAopCalendar[[#This Row],[Day]]&lt;15,2,IF(TableAopCalendar[[#This Row],[Day]]&lt;22,3,IF(TableAopCalendar[[#This Row],[Day]]&lt;29,4,IF(TableAopCalendar[[#This Row],[Day]]&lt;32,5)))))</f>
        <v>4</v>
      </c>
      <c r="G1119" s="32" t="str">
        <f t="shared" si="67"/>
        <v>Week 4</v>
      </c>
      <c r="H1119" s="32" t="str">
        <f t="shared" si="68"/>
        <v>April 25 Week 4</v>
      </c>
      <c r="I1119" s="32" t="str">
        <f>CONCATENATE(UPPER(TableAopCalendar[[#This Row],[Month]])," ",TableAopCalendar[[#This Row],[Year]])</f>
        <v>APRIL 25</v>
      </c>
      <c r="J1119" s="7" t="s">
        <v>274</v>
      </c>
      <c r="K1119" s="32" t="str">
        <f>CONCATENATE(TableAopCalendar[[#This Row],[Month for Plan]]," ",TableAopCalendar[[#This Row],[Plan]])</f>
        <v>APRIL 25 PLANNED</v>
      </c>
    </row>
    <row r="1120" spans="1:11" x14ac:dyDescent="0.3">
      <c r="A1120" s="32">
        <f t="shared" si="66"/>
        <v>2</v>
      </c>
      <c r="B1120" s="33">
        <v>45770</v>
      </c>
      <c r="C1120" s="6" t="s">
        <v>264</v>
      </c>
      <c r="D1120" s="6">
        <v>25</v>
      </c>
      <c r="E1120" s="32">
        <f>DAY(TableAopCalendar[[#This Row],[Date]])</f>
        <v>23</v>
      </c>
      <c r="F1120" s="32">
        <f>IF(TableAopCalendar[[#This Row],[Day]]&lt;8,1,IF(TableAopCalendar[[#This Row],[Day]]&lt;15,2,IF(TableAopCalendar[[#This Row],[Day]]&lt;22,3,IF(TableAopCalendar[[#This Row],[Day]]&lt;29,4,IF(TableAopCalendar[[#This Row],[Day]]&lt;32,5)))))</f>
        <v>4</v>
      </c>
      <c r="G1120" s="32" t="str">
        <f t="shared" si="67"/>
        <v>Week 4</v>
      </c>
      <c r="H1120" s="32" t="str">
        <f t="shared" si="68"/>
        <v>April 25 Week 4</v>
      </c>
      <c r="I1120" s="32" t="str">
        <f>CONCATENATE(UPPER(TableAopCalendar[[#This Row],[Month]])," ",TableAopCalendar[[#This Row],[Year]])</f>
        <v>APRIL 25</v>
      </c>
      <c r="J1120" s="7" t="s">
        <v>274</v>
      </c>
      <c r="K1120" s="32" t="str">
        <f>CONCATENATE(TableAopCalendar[[#This Row],[Month for Plan]]," ",TableAopCalendar[[#This Row],[Plan]])</f>
        <v>APRIL 25 PLANNED</v>
      </c>
    </row>
    <row r="1121" spans="1:11" x14ac:dyDescent="0.3">
      <c r="A1121" s="32">
        <f t="shared" si="66"/>
        <v>3</v>
      </c>
      <c r="B1121" s="33">
        <v>45771</v>
      </c>
      <c r="C1121" s="6" t="s">
        <v>264</v>
      </c>
      <c r="D1121" s="6">
        <v>25</v>
      </c>
      <c r="E1121" s="32">
        <f>DAY(TableAopCalendar[[#This Row],[Date]])</f>
        <v>24</v>
      </c>
      <c r="F1121" s="32">
        <f>IF(TableAopCalendar[[#This Row],[Day]]&lt;8,1,IF(TableAopCalendar[[#This Row],[Day]]&lt;15,2,IF(TableAopCalendar[[#This Row],[Day]]&lt;22,3,IF(TableAopCalendar[[#This Row],[Day]]&lt;29,4,IF(TableAopCalendar[[#This Row],[Day]]&lt;32,5)))))</f>
        <v>4</v>
      </c>
      <c r="G1121" s="32" t="str">
        <f t="shared" si="67"/>
        <v>Week 4</v>
      </c>
      <c r="H1121" s="32" t="str">
        <f t="shared" si="68"/>
        <v>April 25 Week 4</v>
      </c>
      <c r="I1121" s="32" t="str">
        <f>CONCATENATE(UPPER(TableAopCalendar[[#This Row],[Month]])," ",TableAopCalendar[[#This Row],[Year]])</f>
        <v>APRIL 25</v>
      </c>
      <c r="J1121" s="7" t="s">
        <v>274</v>
      </c>
      <c r="K1121" s="32" t="str">
        <f>CONCATENATE(TableAopCalendar[[#This Row],[Month for Plan]]," ",TableAopCalendar[[#This Row],[Plan]])</f>
        <v>APRIL 25 PLANNED</v>
      </c>
    </row>
    <row r="1122" spans="1:11" x14ac:dyDescent="0.3">
      <c r="A1122" s="32">
        <f t="shared" si="66"/>
        <v>4</v>
      </c>
      <c r="B1122" s="33">
        <v>45772</v>
      </c>
      <c r="C1122" s="6" t="s">
        <v>264</v>
      </c>
      <c r="D1122" s="6">
        <v>25</v>
      </c>
      <c r="E1122" s="32">
        <f>DAY(TableAopCalendar[[#This Row],[Date]])</f>
        <v>25</v>
      </c>
      <c r="F1122" s="32">
        <f>IF(TableAopCalendar[[#This Row],[Day]]&lt;8,1,IF(TableAopCalendar[[#This Row],[Day]]&lt;15,2,IF(TableAopCalendar[[#This Row],[Day]]&lt;22,3,IF(TableAopCalendar[[#This Row],[Day]]&lt;29,4,IF(TableAopCalendar[[#This Row],[Day]]&lt;32,5)))))</f>
        <v>4</v>
      </c>
      <c r="G1122" s="32" t="str">
        <f t="shared" si="67"/>
        <v>Week 4</v>
      </c>
      <c r="H1122" s="32" t="str">
        <f t="shared" si="68"/>
        <v>April 25 Week 4</v>
      </c>
      <c r="I1122" s="32" t="str">
        <f>CONCATENATE(UPPER(TableAopCalendar[[#This Row],[Month]])," ",TableAopCalendar[[#This Row],[Year]])</f>
        <v>APRIL 25</v>
      </c>
      <c r="J1122" s="7" t="s">
        <v>274</v>
      </c>
      <c r="K1122" s="32" t="str">
        <f>CONCATENATE(TableAopCalendar[[#This Row],[Month for Plan]]," ",TableAopCalendar[[#This Row],[Plan]])</f>
        <v>APRIL 25 PLANNED</v>
      </c>
    </row>
    <row r="1123" spans="1:11" x14ac:dyDescent="0.3">
      <c r="A1123" s="32">
        <f t="shared" si="66"/>
        <v>5</v>
      </c>
      <c r="B1123" s="33">
        <v>45773</v>
      </c>
      <c r="C1123" s="6" t="s">
        <v>264</v>
      </c>
      <c r="D1123" s="6">
        <v>25</v>
      </c>
      <c r="E1123" s="32">
        <f>DAY(TableAopCalendar[[#This Row],[Date]])</f>
        <v>26</v>
      </c>
      <c r="F1123" s="32">
        <f>IF(TableAopCalendar[[#This Row],[Day]]&lt;8,1,IF(TableAopCalendar[[#This Row],[Day]]&lt;15,2,IF(TableAopCalendar[[#This Row],[Day]]&lt;22,3,IF(TableAopCalendar[[#This Row],[Day]]&lt;29,4,IF(TableAopCalendar[[#This Row],[Day]]&lt;32,5)))))</f>
        <v>4</v>
      </c>
      <c r="G1123" s="32" t="str">
        <f t="shared" si="67"/>
        <v>Week 4</v>
      </c>
      <c r="H1123" s="32" t="str">
        <f t="shared" si="68"/>
        <v>April 25 Week 4</v>
      </c>
      <c r="I1123" s="32" t="str">
        <f>CONCATENATE(UPPER(TableAopCalendar[[#This Row],[Month]])," ",TableAopCalendar[[#This Row],[Year]])</f>
        <v>APRIL 25</v>
      </c>
      <c r="J1123" s="7" t="s">
        <v>274</v>
      </c>
      <c r="K1123" s="32" t="str">
        <f>CONCATENATE(TableAopCalendar[[#This Row],[Month for Plan]]," ",TableAopCalendar[[#This Row],[Plan]])</f>
        <v>APRIL 25 PLANNED</v>
      </c>
    </row>
    <row r="1124" spans="1:11" x14ac:dyDescent="0.3">
      <c r="A1124" s="32">
        <f t="shared" si="66"/>
        <v>6</v>
      </c>
      <c r="B1124" s="33">
        <v>45774</v>
      </c>
      <c r="C1124" s="6" t="s">
        <v>264</v>
      </c>
      <c r="D1124" s="6">
        <v>25</v>
      </c>
      <c r="E1124" s="32">
        <f>DAY(TableAopCalendar[[#This Row],[Date]])</f>
        <v>27</v>
      </c>
      <c r="F1124" s="32">
        <f>IF(TableAopCalendar[[#This Row],[Day]]&lt;8,1,IF(TableAopCalendar[[#This Row],[Day]]&lt;15,2,IF(TableAopCalendar[[#This Row],[Day]]&lt;22,3,IF(TableAopCalendar[[#This Row],[Day]]&lt;29,4,IF(TableAopCalendar[[#This Row],[Day]]&lt;32,5)))))</f>
        <v>4</v>
      </c>
      <c r="G1124" s="32" t="str">
        <f t="shared" si="67"/>
        <v>Week 4</v>
      </c>
      <c r="H1124" s="32" t="str">
        <f t="shared" si="68"/>
        <v>April 25 Week 4</v>
      </c>
      <c r="I1124" s="32" t="str">
        <f>CONCATENATE(UPPER(TableAopCalendar[[#This Row],[Month]])," ",TableAopCalendar[[#This Row],[Year]])</f>
        <v>APRIL 25</v>
      </c>
      <c r="J1124" s="7" t="s">
        <v>274</v>
      </c>
      <c r="K1124" s="32" t="str">
        <f>CONCATENATE(TableAopCalendar[[#This Row],[Month for Plan]]," ",TableAopCalendar[[#This Row],[Plan]])</f>
        <v>APRIL 25 PLANNED</v>
      </c>
    </row>
    <row r="1125" spans="1:11" x14ac:dyDescent="0.3">
      <c r="A1125" s="32">
        <f t="shared" si="66"/>
        <v>7</v>
      </c>
      <c r="B1125" s="33">
        <v>45775</v>
      </c>
      <c r="C1125" s="6" t="s">
        <v>264</v>
      </c>
      <c r="D1125" s="6">
        <v>25</v>
      </c>
      <c r="E1125" s="32">
        <f>DAY(TableAopCalendar[[#This Row],[Date]])</f>
        <v>28</v>
      </c>
      <c r="F1125" s="32">
        <f>IF(TableAopCalendar[[#This Row],[Day]]&lt;8,1,IF(TableAopCalendar[[#This Row],[Day]]&lt;15,2,IF(TableAopCalendar[[#This Row],[Day]]&lt;22,3,IF(TableAopCalendar[[#This Row],[Day]]&lt;29,4,IF(TableAopCalendar[[#This Row],[Day]]&lt;32,5)))))</f>
        <v>4</v>
      </c>
      <c r="G1125" s="32" t="str">
        <f t="shared" si="67"/>
        <v>Week 4</v>
      </c>
      <c r="H1125" s="32" t="str">
        <f t="shared" si="68"/>
        <v>April 25 Week 4</v>
      </c>
      <c r="I1125" s="32" t="str">
        <f>CONCATENATE(UPPER(TableAopCalendar[[#This Row],[Month]])," ",TableAopCalendar[[#This Row],[Year]])</f>
        <v>APRIL 25</v>
      </c>
      <c r="J1125" s="7" t="s">
        <v>274</v>
      </c>
      <c r="K1125" s="32" t="str">
        <f>CONCATENATE(TableAopCalendar[[#This Row],[Month for Plan]]," ",TableAopCalendar[[#This Row],[Plan]])</f>
        <v>APRIL 25 PLANNED</v>
      </c>
    </row>
    <row r="1126" spans="1:11" x14ac:dyDescent="0.3">
      <c r="A1126" s="32">
        <f t="shared" si="66"/>
        <v>1</v>
      </c>
      <c r="B1126" s="33">
        <v>45776</v>
      </c>
      <c r="C1126" s="6" t="s">
        <v>264</v>
      </c>
      <c r="D1126" s="6">
        <v>25</v>
      </c>
      <c r="E1126" s="32">
        <f>DAY(TableAopCalendar[[#This Row],[Date]])</f>
        <v>29</v>
      </c>
      <c r="F1126" s="32">
        <f>IF(TableAopCalendar[[#This Row],[Day]]&lt;8,1,IF(TableAopCalendar[[#This Row],[Day]]&lt;15,2,IF(TableAopCalendar[[#This Row],[Day]]&lt;22,3,IF(TableAopCalendar[[#This Row],[Day]]&lt;29,4,IF(TableAopCalendar[[#This Row],[Day]]&lt;32,5)))))</f>
        <v>5</v>
      </c>
      <c r="G1126" s="32" t="str">
        <f t="shared" si="67"/>
        <v>Week 5</v>
      </c>
      <c r="H1126" s="32" t="str">
        <f t="shared" si="68"/>
        <v>April 25 Week 5</v>
      </c>
      <c r="I1126" s="32" t="str">
        <f>CONCATENATE(UPPER(TableAopCalendar[[#This Row],[Month]])," ",TableAopCalendar[[#This Row],[Year]])</f>
        <v>APRIL 25</v>
      </c>
      <c r="J1126" s="7" t="s">
        <v>274</v>
      </c>
      <c r="K1126" s="32" t="str">
        <f>CONCATENATE(TableAopCalendar[[#This Row],[Month for Plan]]," ",TableAopCalendar[[#This Row],[Plan]])</f>
        <v>APRIL 25 PLANNED</v>
      </c>
    </row>
    <row r="1127" spans="1:11" x14ac:dyDescent="0.3">
      <c r="A1127" s="32">
        <f t="shared" si="66"/>
        <v>2</v>
      </c>
      <c r="B1127" s="33">
        <v>45777</v>
      </c>
      <c r="C1127" s="6" t="s">
        <v>264</v>
      </c>
      <c r="D1127" s="6">
        <v>25</v>
      </c>
      <c r="E1127" s="32">
        <f>DAY(TableAopCalendar[[#This Row],[Date]])</f>
        <v>30</v>
      </c>
      <c r="F1127" s="32">
        <f>IF(TableAopCalendar[[#This Row],[Day]]&lt;8,1,IF(TableAopCalendar[[#This Row],[Day]]&lt;15,2,IF(TableAopCalendar[[#This Row],[Day]]&lt;22,3,IF(TableAopCalendar[[#This Row],[Day]]&lt;29,4,IF(TableAopCalendar[[#This Row],[Day]]&lt;32,5)))))</f>
        <v>5</v>
      </c>
      <c r="G1127" s="32" t="str">
        <f t="shared" si="67"/>
        <v>Week 5</v>
      </c>
      <c r="H1127" s="32" t="str">
        <f t="shared" si="68"/>
        <v>April 25 Week 5</v>
      </c>
      <c r="I1127" s="32" t="str">
        <f>CONCATENATE(UPPER(TableAopCalendar[[#This Row],[Month]])," ",TableAopCalendar[[#This Row],[Year]])</f>
        <v>APRIL 25</v>
      </c>
      <c r="J1127" s="7" t="s">
        <v>274</v>
      </c>
      <c r="K1127" s="32" t="str">
        <f>CONCATENATE(TableAopCalendar[[#This Row],[Month for Plan]]," ",TableAopCalendar[[#This Row],[Plan]])</f>
        <v>APRIL 25 PLANNED</v>
      </c>
    </row>
    <row r="1128" spans="1:11" x14ac:dyDescent="0.3">
      <c r="A1128" s="32">
        <f t="shared" si="66"/>
        <v>1</v>
      </c>
      <c r="B1128" s="33">
        <v>45778</v>
      </c>
      <c r="C1128" s="6" t="s">
        <v>265</v>
      </c>
      <c r="D1128" s="6">
        <v>25</v>
      </c>
      <c r="E1128" s="32">
        <f>DAY(TableAopCalendar[[#This Row],[Date]])</f>
        <v>1</v>
      </c>
      <c r="F1128" s="32">
        <f>IF(TableAopCalendar[[#This Row],[Day]]&lt;8,1,IF(TableAopCalendar[[#This Row],[Day]]&lt;15,2,IF(TableAopCalendar[[#This Row],[Day]]&lt;22,3,IF(TableAopCalendar[[#This Row],[Day]]&lt;29,4,IF(TableAopCalendar[[#This Row],[Day]]&lt;32,5)))))</f>
        <v>1</v>
      </c>
      <c r="G1128" s="32" t="str">
        <f t="shared" si="67"/>
        <v>Week 1</v>
      </c>
      <c r="H1128" s="32" t="str">
        <f t="shared" si="68"/>
        <v>May 25 Week 1</v>
      </c>
      <c r="I1128" s="32" t="str">
        <f>CONCATENATE(UPPER(TableAopCalendar[[#This Row],[Month]])," ",TableAopCalendar[[#This Row],[Year]])</f>
        <v>MAY 25</v>
      </c>
      <c r="J1128" s="7" t="s">
        <v>274</v>
      </c>
      <c r="K1128" s="32" t="str">
        <f>CONCATENATE(TableAopCalendar[[#This Row],[Month for Plan]]," ",TableAopCalendar[[#This Row],[Plan]])</f>
        <v>MAY 25 PLANNED</v>
      </c>
    </row>
    <row r="1129" spans="1:11" x14ac:dyDescent="0.3">
      <c r="A1129" s="32">
        <f t="shared" si="66"/>
        <v>2</v>
      </c>
      <c r="B1129" s="33">
        <v>45779</v>
      </c>
      <c r="C1129" s="6" t="s">
        <v>265</v>
      </c>
      <c r="D1129" s="6">
        <v>25</v>
      </c>
      <c r="E1129" s="32">
        <f>DAY(TableAopCalendar[[#This Row],[Date]])</f>
        <v>2</v>
      </c>
      <c r="F1129" s="32">
        <f>IF(TableAopCalendar[[#This Row],[Day]]&lt;8,1,IF(TableAopCalendar[[#This Row],[Day]]&lt;15,2,IF(TableAopCalendar[[#This Row],[Day]]&lt;22,3,IF(TableAopCalendar[[#This Row],[Day]]&lt;29,4,IF(TableAopCalendar[[#This Row],[Day]]&lt;32,5)))))</f>
        <v>1</v>
      </c>
      <c r="G1129" s="32" t="str">
        <f t="shared" si="67"/>
        <v>Week 1</v>
      </c>
      <c r="H1129" s="32" t="str">
        <f t="shared" si="68"/>
        <v>May 25 Week 1</v>
      </c>
      <c r="I1129" s="32" t="str">
        <f>CONCATENATE(UPPER(TableAopCalendar[[#This Row],[Month]])," ",TableAopCalendar[[#This Row],[Year]])</f>
        <v>MAY 25</v>
      </c>
      <c r="J1129" s="7" t="s">
        <v>274</v>
      </c>
      <c r="K1129" s="32" t="str">
        <f>CONCATENATE(TableAopCalendar[[#This Row],[Month for Plan]]," ",TableAopCalendar[[#This Row],[Plan]])</f>
        <v>MAY 25 PLANNED</v>
      </c>
    </row>
    <row r="1130" spans="1:11" x14ac:dyDescent="0.3">
      <c r="A1130" s="32">
        <f t="shared" si="66"/>
        <v>3</v>
      </c>
      <c r="B1130" s="33">
        <v>45780</v>
      </c>
      <c r="C1130" s="6" t="s">
        <v>265</v>
      </c>
      <c r="D1130" s="6">
        <v>25</v>
      </c>
      <c r="E1130" s="32">
        <f>DAY(TableAopCalendar[[#This Row],[Date]])</f>
        <v>3</v>
      </c>
      <c r="F1130" s="32">
        <f>IF(TableAopCalendar[[#This Row],[Day]]&lt;8,1,IF(TableAopCalendar[[#This Row],[Day]]&lt;15,2,IF(TableAopCalendar[[#This Row],[Day]]&lt;22,3,IF(TableAopCalendar[[#This Row],[Day]]&lt;29,4,IF(TableAopCalendar[[#This Row],[Day]]&lt;32,5)))))</f>
        <v>1</v>
      </c>
      <c r="G1130" s="32" t="str">
        <f t="shared" si="67"/>
        <v>Week 1</v>
      </c>
      <c r="H1130" s="32" t="str">
        <f t="shared" si="68"/>
        <v>May 25 Week 1</v>
      </c>
      <c r="I1130" s="32" t="str">
        <f>CONCATENATE(UPPER(TableAopCalendar[[#This Row],[Month]])," ",TableAopCalendar[[#This Row],[Year]])</f>
        <v>MAY 25</v>
      </c>
      <c r="J1130" s="7" t="s">
        <v>274</v>
      </c>
      <c r="K1130" s="32" t="str">
        <f>CONCATENATE(TableAopCalendar[[#This Row],[Month for Plan]]," ",TableAopCalendar[[#This Row],[Plan]])</f>
        <v>MAY 25 PLANNED</v>
      </c>
    </row>
    <row r="1131" spans="1:11" x14ac:dyDescent="0.3">
      <c r="A1131" s="32">
        <f t="shared" si="66"/>
        <v>4</v>
      </c>
      <c r="B1131" s="33">
        <v>45781</v>
      </c>
      <c r="C1131" s="6" t="s">
        <v>265</v>
      </c>
      <c r="D1131" s="6">
        <v>25</v>
      </c>
      <c r="E1131" s="32">
        <f>DAY(TableAopCalendar[[#This Row],[Date]])</f>
        <v>4</v>
      </c>
      <c r="F1131" s="32">
        <f>IF(TableAopCalendar[[#This Row],[Day]]&lt;8,1,IF(TableAopCalendar[[#This Row],[Day]]&lt;15,2,IF(TableAopCalendar[[#This Row],[Day]]&lt;22,3,IF(TableAopCalendar[[#This Row],[Day]]&lt;29,4,IF(TableAopCalendar[[#This Row],[Day]]&lt;32,5)))))</f>
        <v>1</v>
      </c>
      <c r="G1131" s="32" t="str">
        <f t="shared" si="67"/>
        <v>Week 1</v>
      </c>
      <c r="H1131" s="32" t="str">
        <f t="shared" si="68"/>
        <v>May 25 Week 1</v>
      </c>
      <c r="I1131" s="32" t="str">
        <f>CONCATENATE(UPPER(TableAopCalendar[[#This Row],[Month]])," ",TableAopCalendar[[#This Row],[Year]])</f>
        <v>MAY 25</v>
      </c>
      <c r="J1131" s="7" t="s">
        <v>274</v>
      </c>
      <c r="K1131" s="32" t="str">
        <f>CONCATENATE(TableAopCalendar[[#This Row],[Month for Plan]]," ",TableAopCalendar[[#This Row],[Plan]])</f>
        <v>MAY 25 PLANNED</v>
      </c>
    </row>
    <row r="1132" spans="1:11" x14ac:dyDescent="0.3">
      <c r="A1132" s="32">
        <f t="shared" si="66"/>
        <v>5</v>
      </c>
      <c r="B1132" s="33">
        <v>45782</v>
      </c>
      <c r="C1132" s="6" t="s">
        <v>265</v>
      </c>
      <c r="D1132" s="6">
        <v>25</v>
      </c>
      <c r="E1132" s="32">
        <f>DAY(TableAopCalendar[[#This Row],[Date]])</f>
        <v>5</v>
      </c>
      <c r="F1132" s="32">
        <f>IF(TableAopCalendar[[#This Row],[Day]]&lt;8,1,IF(TableAopCalendar[[#This Row],[Day]]&lt;15,2,IF(TableAopCalendar[[#This Row],[Day]]&lt;22,3,IF(TableAopCalendar[[#This Row],[Day]]&lt;29,4,IF(TableAopCalendar[[#This Row],[Day]]&lt;32,5)))))</f>
        <v>1</v>
      </c>
      <c r="G1132" s="32" t="str">
        <f t="shared" si="67"/>
        <v>Week 1</v>
      </c>
      <c r="H1132" s="32" t="str">
        <f t="shared" si="68"/>
        <v>May 25 Week 1</v>
      </c>
      <c r="I1132" s="32" t="str">
        <f>CONCATENATE(UPPER(TableAopCalendar[[#This Row],[Month]])," ",TableAopCalendar[[#This Row],[Year]])</f>
        <v>MAY 25</v>
      </c>
      <c r="J1132" s="7" t="s">
        <v>274</v>
      </c>
      <c r="K1132" s="32" t="str">
        <f>CONCATENATE(TableAopCalendar[[#This Row],[Month for Plan]]," ",TableAopCalendar[[#This Row],[Plan]])</f>
        <v>MAY 25 PLANNED</v>
      </c>
    </row>
    <row r="1133" spans="1:11" x14ac:dyDescent="0.3">
      <c r="A1133" s="32">
        <f t="shared" si="66"/>
        <v>6</v>
      </c>
      <c r="B1133" s="33">
        <v>45783</v>
      </c>
      <c r="C1133" s="6" t="s">
        <v>265</v>
      </c>
      <c r="D1133" s="6">
        <v>25</v>
      </c>
      <c r="E1133" s="32">
        <f>DAY(TableAopCalendar[[#This Row],[Date]])</f>
        <v>6</v>
      </c>
      <c r="F1133" s="32">
        <f>IF(TableAopCalendar[[#This Row],[Day]]&lt;8,1,IF(TableAopCalendar[[#This Row],[Day]]&lt;15,2,IF(TableAopCalendar[[#This Row],[Day]]&lt;22,3,IF(TableAopCalendar[[#This Row],[Day]]&lt;29,4,IF(TableAopCalendar[[#This Row],[Day]]&lt;32,5)))))</f>
        <v>1</v>
      </c>
      <c r="G1133" s="32" t="str">
        <f t="shared" si="67"/>
        <v>Week 1</v>
      </c>
      <c r="H1133" s="32" t="str">
        <f t="shared" si="68"/>
        <v>May 25 Week 1</v>
      </c>
      <c r="I1133" s="32" t="str">
        <f>CONCATENATE(UPPER(TableAopCalendar[[#This Row],[Month]])," ",TableAopCalendar[[#This Row],[Year]])</f>
        <v>MAY 25</v>
      </c>
      <c r="J1133" s="7" t="s">
        <v>274</v>
      </c>
      <c r="K1133" s="32" t="str">
        <f>CONCATENATE(TableAopCalendar[[#This Row],[Month for Plan]]," ",TableAopCalendar[[#This Row],[Plan]])</f>
        <v>MAY 25 PLANNED</v>
      </c>
    </row>
    <row r="1134" spans="1:11" x14ac:dyDescent="0.3">
      <c r="A1134" s="32">
        <f t="shared" si="66"/>
        <v>7</v>
      </c>
      <c r="B1134" s="33">
        <v>45784</v>
      </c>
      <c r="C1134" s="6" t="s">
        <v>265</v>
      </c>
      <c r="D1134" s="6">
        <v>25</v>
      </c>
      <c r="E1134" s="32">
        <f>DAY(TableAopCalendar[[#This Row],[Date]])</f>
        <v>7</v>
      </c>
      <c r="F1134" s="32">
        <f>IF(TableAopCalendar[[#This Row],[Day]]&lt;8,1,IF(TableAopCalendar[[#This Row],[Day]]&lt;15,2,IF(TableAopCalendar[[#This Row],[Day]]&lt;22,3,IF(TableAopCalendar[[#This Row],[Day]]&lt;29,4,IF(TableAopCalendar[[#This Row],[Day]]&lt;32,5)))))</f>
        <v>1</v>
      </c>
      <c r="G1134" s="32" t="str">
        <f t="shared" si="67"/>
        <v>Week 1</v>
      </c>
      <c r="H1134" s="32" t="str">
        <f t="shared" si="68"/>
        <v>May 25 Week 1</v>
      </c>
      <c r="I1134" s="32" t="str">
        <f>CONCATENATE(UPPER(TableAopCalendar[[#This Row],[Month]])," ",TableAopCalendar[[#This Row],[Year]])</f>
        <v>MAY 25</v>
      </c>
      <c r="J1134" s="7" t="s">
        <v>274</v>
      </c>
      <c r="K1134" s="32" t="str">
        <f>CONCATENATE(TableAopCalendar[[#This Row],[Month for Plan]]," ",TableAopCalendar[[#This Row],[Plan]])</f>
        <v>MAY 25 PLANNED</v>
      </c>
    </row>
    <row r="1135" spans="1:11" x14ac:dyDescent="0.3">
      <c r="A1135" s="32">
        <f t="shared" si="66"/>
        <v>1</v>
      </c>
      <c r="B1135" s="33">
        <v>45785</v>
      </c>
      <c r="C1135" s="6" t="s">
        <v>265</v>
      </c>
      <c r="D1135" s="6">
        <v>25</v>
      </c>
      <c r="E1135" s="32">
        <f>DAY(TableAopCalendar[[#This Row],[Date]])</f>
        <v>8</v>
      </c>
      <c r="F1135" s="32">
        <f>IF(TableAopCalendar[[#This Row],[Day]]&lt;8,1,IF(TableAopCalendar[[#This Row],[Day]]&lt;15,2,IF(TableAopCalendar[[#This Row],[Day]]&lt;22,3,IF(TableAopCalendar[[#This Row],[Day]]&lt;29,4,IF(TableAopCalendar[[#This Row],[Day]]&lt;32,5)))))</f>
        <v>2</v>
      </c>
      <c r="G1135" s="32" t="str">
        <f t="shared" si="67"/>
        <v>Week 2</v>
      </c>
      <c r="H1135" s="32" t="str">
        <f t="shared" si="68"/>
        <v>May 25 Week 2</v>
      </c>
      <c r="I1135" s="32" t="str">
        <f>CONCATENATE(UPPER(TableAopCalendar[[#This Row],[Month]])," ",TableAopCalendar[[#This Row],[Year]])</f>
        <v>MAY 25</v>
      </c>
      <c r="J1135" s="7" t="s">
        <v>274</v>
      </c>
      <c r="K1135" s="32" t="str">
        <f>CONCATENATE(TableAopCalendar[[#This Row],[Month for Plan]]," ",TableAopCalendar[[#This Row],[Plan]])</f>
        <v>MAY 25 PLANNED</v>
      </c>
    </row>
    <row r="1136" spans="1:11" x14ac:dyDescent="0.3">
      <c r="A1136" s="32">
        <f t="shared" si="66"/>
        <v>2</v>
      </c>
      <c r="B1136" s="33">
        <v>45786</v>
      </c>
      <c r="C1136" s="6" t="s">
        <v>265</v>
      </c>
      <c r="D1136" s="6">
        <v>25</v>
      </c>
      <c r="E1136" s="32">
        <f>DAY(TableAopCalendar[[#This Row],[Date]])</f>
        <v>9</v>
      </c>
      <c r="F1136" s="32">
        <f>IF(TableAopCalendar[[#This Row],[Day]]&lt;8,1,IF(TableAopCalendar[[#This Row],[Day]]&lt;15,2,IF(TableAopCalendar[[#This Row],[Day]]&lt;22,3,IF(TableAopCalendar[[#This Row],[Day]]&lt;29,4,IF(TableAopCalendar[[#This Row],[Day]]&lt;32,5)))))</f>
        <v>2</v>
      </c>
      <c r="G1136" s="32" t="str">
        <f t="shared" si="67"/>
        <v>Week 2</v>
      </c>
      <c r="H1136" s="32" t="str">
        <f t="shared" si="68"/>
        <v>May 25 Week 2</v>
      </c>
      <c r="I1136" s="32" t="str">
        <f>CONCATENATE(UPPER(TableAopCalendar[[#This Row],[Month]])," ",TableAopCalendar[[#This Row],[Year]])</f>
        <v>MAY 25</v>
      </c>
      <c r="J1136" s="7" t="s">
        <v>274</v>
      </c>
      <c r="K1136" s="32" t="str">
        <f>CONCATENATE(TableAopCalendar[[#This Row],[Month for Plan]]," ",TableAopCalendar[[#This Row],[Plan]])</f>
        <v>MAY 25 PLANNED</v>
      </c>
    </row>
    <row r="1137" spans="1:11" x14ac:dyDescent="0.3">
      <c r="A1137" s="32">
        <f t="shared" si="66"/>
        <v>3</v>
      </c>
      <c r="B1137" s="33">
        <v>45787</v>
      </c>
      <c r="C1137" s="6" t="s">
        <v>265</v>
      </c>
      <c r="D1137" s="6">
        <v>25</v>
      </c>
      <c r="E1137" s="32">
        <f>DAY(TableAopCalendar[[#This Row],[Date]])</f>
        <v>10</v>
      </c>
      <c r="F1137" s="32">
        <f>IF(TableAopCalendar[[#This Row],[Day]]&lt;8,1,IF(TableAopCalendar[[#This Row],[Day]]&lt;15,2,IF(TableAopCalendar[[#This Row],[Day]]&lt;22,3,IF(TableAopCalendar[[#This Row],[Day]]&lt;29,4,IF(TableAopCalendar[[#This Row],[Day]]&lt;32,5)))))</f>
        <v>2</v>
      </c>
      <c r="G1137" s="32" t="str">
        <f t="shared" si="67"/>
        <v>Week 2</v>
      </c>
      <c r="H1137" s="32" t="str">
        <f t="shared" si="68"/>
        <v>May 25 Week 2</v>
      </c>
      <c r="I1137" s="32" t="str">
        <f>CONCATENATE(UPPER(TableAopCalendar[[#This Row],[Month]])," ",TableAopCalendar[[#This Row],[Year]])</f>
        <v>MAY 25</v>
      </c>
      <c r="J1137" s="7" t="s">
        <v>274</v>
      </c>
      <c r="K1137" s="32" t="str">
        <f>CONCATENATE(TableAopCalendar[[#This Row],[Month for Plan]]," ",TableAopCalendar[[#This Row],[Plan]])</f>
        <v>MAY 25 PLANNED</v>
      </c>
    </row>
    <row r="1138" spans="1:11" x14ac:dyDescent="0.3">
      <c r="A1138" s="32">
        <f t="shared" si="66"/>
        <v>4</v>
      </c>
      <c r="B1138" s="33">
        <v>45788</v>
      </c>
      <c r="C1138" s="6" t="s">
        <v>265</v>
      </c>
      <c r="D1138" s="6">
        <v>25</v>
      </c>
      <c r="E1138" s="32">
        <f>DAY(TableAopCalendar[[#This Row],[Date]])</f>
        <v>11</v>
      </c>
      <c r="F1138" s="32">
        <f>IF(TableAopCalendar[[#This Row],[Day]]&lt;8,1,IF(TableAopCalendar[[#This Row],[Day]]&lt;15,2,IF(TableAopCalendar[[#This Row],[Day]]&lt;22,3,IF(TableAopCalendar[[#This Row],[Day]]&lt;29,4,IF(TableAopCalendar[[#This Row],[Day]]&lt;32,5)))))</f>
        <v>2</v>
      </c>
      <c r="G1138" s="32" t="str">
        <f t="shared" si="67"/>
        <v>Week 2</v>
      </c>
      <c r="H1138" s="32" t="str">
        <f t="shared" si="68"/>
        <v>May 25 Week 2</v>
      </c>
      <c r="I1138" s="32" t="str">
        <f>CONCATENATE(UPPER(TableAopCalendar[[#This Row],[Month]])," ",TableAopCalendar[[#This Row],[Year]])</f>
        <v>MAY 25</v>
      </c>
      <c r="J1138" s="7" t="s">
        <v>274</v>
      </c>
      <c r="K1138" s="32" t="str">
        <f>CONCATENATE(TableAopCalendar[[#This Row],[Month for Plan]]," ",TableAopCalendar[[#This Row],[Plan]])</f>
        <v>MAY 25 PLANNED</v>
      </c>
    </row>
    <row r="1139" spans="1:11" x14ac:dyDescent="0.3">
      <c r="A1139" s="32">
        <f t="shared" si="66"/>
        <v>5</v>
      </c>
      <c r="B1139" s="33">
        <v>45789</v>
      </c>
      <c r="C1139" s="6" t="s">
        <v>265</v>
      </c>
      <c r="D1139" s="6">
        <v>25</v>
      </c>
      <c r="E1139" s="32">
        <f>DAY(TableAopCalendar[[#This Row],[Date]])</f>
        <v>12</v>
      </c>
      <c r="F1139" s="32">
        <f>IF(TableAopCalendar[[#This Row],[Day]]&lt;8,1,IF(TableAopCalendar[[#This Row],[Day]]&lt;15,2,IF(TableAopCalendar[[#This Row],[Day]]&lt;22,3,IF(TableAopCalendar[[#This Row],[Day]]&lt;29,4,IF(TableAopCalendar[[#This Row],[Day]]&lt;32,5)))))</f>
        <v>2</v>
      </c>
      <c r="G1139" s="32" t="str">
        <f t="shared" si="67"/>
        <v>Week 2</v>
      </c>
      <c r="H1139" s="32" t="str">
        <f t="shared" si="68"/>
        <v>May 25 Week 2</v>
      </c>
      <c r="I1139" s="32" t="str">
        <f>CONCATENATE(UPPER(TableAopCalendar[[#This Row],[Month]])," ",TableAopCalendar[[#This Row],[Year]])</f>
        <v>MAY 25</v>
      </c>
      <c r="J1139" s="7" t="s">
        <v>274</v>
      </c>
      <c r="K1139" s="32" t="str">
        <f>CONCATENATE(TableAopCalendar[[#This Row],[Month for Plan]]," ",TableAopCalendar[[#This Row],[Plan]])</f>
        <v>MAY 25 PLANNED</v>
      </c>
    </row>
    <row r="1140" spans="1:11" x14ac:dyDescent="0.3">
      <c r="A1140" s="32">
        <f t="shared" si="66"/>
        <v>6</v>
      </c>
      <c r="B1140" s="33">
        <v>45790</v>
      </c>
      <c r="C1140" s="6" t="s">
        <v>265</v>
      </c>
      <c r="D1140" s="6">
        <v>25</v>
      </c>
      <c r="E1140" s="32">
        <f>DAY(TableAopCalendar[[#This Row],[Date]])</f>
        <v>13</v>
      </c>
      <c r="F1140" s="32">
        <f>IF(TableAopCalendar[[#This Row],[Day]]&lt;8,1,IF(TableAopCalendar[[#This Row],[Day]]&lt;15,2,IF(TableAopCalendar[[#This Row],[Day]]&lt;22,3,IF(TableAopCalendar[[#This Row],[Day]]&lt;29,4,IF(TableAopCalendar[[#This Row],[Day]]&lt;32,5)))))</f>
        <v>2</v>
      </c>
      <c r="G1140" s="32" t="str">
        <f t="shared" si="67"/>
        <v>Week 2</v>
      </c>
      <c r="H1140" s="32" t="str">
        <f t="shared" si="68"/>
        <v>May 25 Week 2</v>
      </c>
      <c r="I1140" s="32" t="str">
        <f>CONCATENATE(UPPER(TableAopCalendar[[#This Row],[Month]])," ",TableAopCalendar[[#This Row],[Year]])</f>
        <v>MAY 25</v>
      </c>
      <c r="J1140" s="7" t="s">
        <v>274</v>
      </c>
      <c r="K1140" s="32" t="str">
        <f>CONCATENATE(TableAopCalendar[[#This Row],[Month for Plan]]," ",TableAopCalendar[[#This Row],[Plan]])</f>
        <v>MAY 25 PLANNED</v>
      </c>
    </row>
    <row r="1141" spans="1:11" x14ac:dyDescent="0.3">
      <c r="A1141" s="32">
        <f t="shared" si="66"/>
        <v>7</v>
      </c>
      <c r="B1141" s="33">
        <v>45791</v>
      </c>
      <c r="C1141" s="6" t="s">
        <v>265</v>
      </c>
      <c r="D1141" s="6">
        <v>25</v>
      </c>
      <c r="E1141" s="32">
        <f>DAY(TableAopCalendar[[#This Row],[Date]])</f>
        <v>14</v>
      </c>
      <c r="F1141" s="32">
        <f>IF(TableAopCalendar[[#This Row],[Day]]&lt;8,1,IF(TableAopCalendar[[#This Row],[Day]]&lt;15,2,IF(TableAopCalendar[[#This Row],[Day]]&lt;22,3,IF(TableAopCalendar[[#This Row],[Day]]&lt;29,4,IF(TableAopCalendar[[#This Row],[Day]]&lt;32,5)))))</f>
        <v>2</v>
      </c>
      <c r="G1141" s="32" t="str">
        <f t="shared" si="67"/>
        <v>Week 2</v>
      </c>
      <c r="H1141" s="32" t="str">
        <f t="shared" si="68"/>
        <v>May 25 Week 2</v>
      </c>
      <c r="I1141" s="32" t="str">
        <f>CONCATENATE(UPPER(TableAopCalendar[[#This Row],[Month]])," ",TableAopCalendar[[#This Row],[Year]])</f>
        <v>MAY 25</v>
      </c>
      <c r="J1141" s="7" t="s">
        <v>274</v>
      </c>
      <c r="K1141" s="32" t="str">
        <f>CONCATENATE(TableAopCalendar[[#This Row],[Month for Plan]]," ",TableAopCalendar[[#This Row],[Plan]])</f>
        <v>MAY 25 PLANNED</v>
      </c>
    </row>
    <row r="1142" spans="1:11" x14ac:dyDescent="0.3">
      <c r="A1142" s="32">
        <f t="shared" si="66"/>
        <v>1</v>
      </c>
      <c r="B1142" s="33">
        <v>45792</v>
      </c>
      <c r="C1142" s="6" t="s">
        <v>265</v>
      </c>
      <c r="D1142" s="6">
        <v>25</v>
      </c>
      <c r="E1142" s="32">
        <f>DAY(TableAopCalendar[[#This Row],[Date]])</f>
        <v>15</v>
      </c>
      <c r="F1142" s="32">
        <f>IF(TableAopCalendar[[#This Row],[Day]]&lt;8,1,IF(TableAopCalendar[[#This Row],[Day]]&lt;15,2,IF(TableAopCalendar[[#This Row],[Day]]&lt;22,3,IF(TableAopCalendar[[#This Row],[Day]]&lt;29,4,IF(TableAopCalendar[[#This Row],[Day]]&lt;32,5)))))</f>
        <v>3</v>
      </c>
      <c r="G1142" s="32" t="str">
        <f t="shared" si="67"/>
        <v>Week 3</v>
      </c>
      <c r="H1142" s="32" t="str">
        <f t="shared" si="68"/>
        <v>May 25 Week 3</v>
      </c>
      <c r="I1142" s="32" t="str">
        <f>CONCATENATE(UPPER(TableAopCalendar[[#This Row],[Month]])," ",TableAopCalendar[[#This Row],[Year]])</f>
        <v>MAY 25</v>
      </c>
      <c r="J1142" s="7" t="s">
        <v>274</v>
      </c>
      <c r="K1142" s="32" t="str">
        <f>CONCATENATE(TableAopCalendar[[#This Row],[Month for Plan]]," ",TableAopCalendar[[#This Row],[Plan]])</f>
        <v>MAY 25 PLANNED</v>
      </c>
    </row>
    <row r="1143" spans="1:11" x14ac:dyDescent="0.3">
      <c r="A1143" s="32">
        <f t="shared" si="66"/>
        <v>2</v>
      </c>
      <c r="B1143" s="33">
        <v>45793</v>
      </c>
      <c r="C1143" s="6" t="s">
        <v>265</v>
      </c>
      <c r="D1143" s="6">
        <v>25</v>
      </c>
      <c r="E1143" s="32">
        <f>DAY(TableAopCalendar[[#This Row],[Date]])</f>
        <v>16</v>
      </c>
      <c r="F1143" s="32">
        <f>IF(TableAopCalendar[[#This Row],[Day]]&lt;8,1,IF(TableAopCalendar[[#This Row],[Day]]&lt;15,2,IF(TableAopCalendar[[#This Row],[Day]]&lt;22,3,IF(TableAopCalendar[[#This Row],[Day]]&lt;29,4,IF(TableAopCalendar[[#This Row],[Day]]&lt;32,5)))))</f>
        <v>3</v>
      </c>
      <c r="G1143" s="32" t="str">
        <f t="shared" si="67"/>
        <v>Week 3</v>
      </c>
      <c r="H1143" s="32" t="str">
        <f t="shared" si="68"/>
        <v>May 25 Week 3</v>
      </c>
      <c r="I1143" s="32" t="str">
        <f>CONCATENATE(UPPER(TableAopCalendar[[#This Row],[Month]])," ",TableAopCalendar[[#This Row],[Year]])</f>
        <v>MAY 25</v>
      </c>
      <c r="J1143" s="7" t="s">
        <v>274</v>
      </c>
      <c r="K1143" s="32" t="str">
        <f>CONCATENATE(TableAopCalendar[[#This Row],[Month for Plan]]," ",TableAopCalendar[[#This Row],[Plan]])</f>
        <v>MAY 25 PLANNED</v>
      </c>
    </row>
    <row r="1144" spans="1:11" x14ac:dyDescent="0.3">
      <c r="A1144" s="32">
        <f t="shared" si="66"/>
        <v>3</v>
      </c>
      <c r="B1144" s="33">
        <v>45794</v>
      </c>
      <c r="C1144" s="6" t="s">
        <v>265</v>
      </c>
      <c r="D1144" s="6">
        <v>25</v>
      </c>
      <c r="E1144" s="32">
        <f>DAY(TableAopCalendar[[#This Row],[Date]])</f>
        <v>17</v>
      </c>
      <c r="F1144" s="32">
        <f>IF(TableAopCalendar[[#This Row],[Day]]&lt;8,1,IF(TableAopCalendar[[#This Row],[Day]]&lt;15,2,IF(TableAopCalendar[[#This Row],[Day]]&lt;22,3,IF(TableAopCalendar[[#This Row],[Day]]&lt;29,4,IF(TableAopCalendar[[#This Row],[Day]]&lt;32,5)))))</f>
        <v>3</v>
      </c>
      <c r="G1144" s="32" t="str">
        <f t="shared" si="67"/>
        <v>Week 3</v>
      </c>
      <c r="H1144" s="32" t="str">
        <f t="shared" si="68"/>
        <v>May 25 Week 3</v>
      </c>
      <c r="I1144" s="32" t="str">
        <f>CONCATENATE(UPPER(TableAopCalendar[[#This Row],[Month]])," ",TableAopCalendar[[#This Row],[Year]])</f>
        <v>MAY 25</v>
      </c>
      <c r="J1144" s="7" t="s">
        <v>274</v>
      </c>
      <c r="K1144" s="32" t="str">
        <f>CONCATENATE(TableAopCalendar[[#This Row],[Month for Plan]]," ",TableAopCalendar[[#This Row],[Plan]])</f>
        <v>MAY 25 PLANNED</v>
      </c>
    </row>
    <row r="1145" spans="1:11" x14ac:dyDescent="0.3">
      <c r="A1145" s="32">
        <f t="shared" si="66"/>
        <v>4</v>
      </c>
      <c r="B1145" s="33">
        <v>45795</v>
      </c>
      <c r="C1145" s="6" t="s">
        <v>265</v>
      </c>
      <c r="D1145" s="6">
        <v>25</v>
      </c>
      <c r="E1145" s="32">
        <f>DAY(TableAopCalendar[[#This Row],[Date]])</f>
        <v>18</v>
      </c>
      <c r="F1145" s="32">
        <f>IF(TableAopCalendar[[#This Row],[Day]]&lt;8,1,IF(TableAopCalendar[[#This Row],[Day]]&lt;15,2,IF(TableAopCalendar[[#This Row],[Day]]&lt;22,3,IF(TableAopCalendar[[#This Row],[Day]]&lt;29,4,IF(TableAopCalendar[[#This Row],[Day]]&lt;32,5)))))</f>
        <v>3</v>
      </c>
      <c r="G1145" s="32" t="str">
        <f t="shared" si="67"/>
        <v>Week 3</v>
      </c>
      <c r="H1145" s="32" t="str">
        <f t="shared" si="68"/>
        <v>May 25 Week 3</v>
      </c>
      <c r="I1145" s="32" t="str">
        <f>CONCATENATE(UPPER(TableAopCalendar[[#This Row],[Month]])," ",TableAopCalendar[[#This Row],[Year]])</f>
        <v>MAY 25</v>
      </c>
      <c r="J1145" s="7" t="s">
        <v>274</v>
      </c>
      <c r="K1145" s="32" t="str">
        <f>CONCATENATE(TableAopCalendar[[#This Row],[Month for Plan]]," ",TableAopCalendar[[#This Row],[Plan]])</f>
        <v>MAY 25 PLANNED</v>
      </c>
    </row>
    <row r="1146" spans="1:11" x14ac:dyDescent="0.3">
      <c r="A1146" s="32">
        <f t="shared" si="66"/>
        <v>5</v>
      </c>
      <c r="B1146" s="33">
        <v>45796</v>
      </c>
      <c r="C1146" s="6" t="s">
        <v>265</v>
      </c>
      <c r="D1146" s="6">
        <v>25</v>
      </c>
      <c r="E1146" s="32">
        <f>DAY(TableAopCalendar[[#This Row],[Date]])</f>
        <v>19</v>
      </c>
      <c r="F1146" s="32">
        <f>IF(TableAopCalendar[[#This Row],[Day]]&lt;8,1,IF(TableAopCalendar[[#This Row],[Day]]&lt;15,2,IF(TableAopCalendar[[#This Row],[Day]]&lt;22,3,IF(TableAopCalendar[[#This Row],[Day]]&lt;29,4,IF(TableAopCalendar[[#This Row],[Day]]&lt;32,5)))))</f>
        <v>3</v>
      </c>
      <c r="G1146" s="32" t="str">
        <f t="shared" si="67"/>
        <v>Week 3</v>
      </c>
      <c r="H1146" s="32" t="str">
        <f t="shared" si="68"/>
        <v>May 25 Week 3</v>
      </c>
      <c r="I1146" s="32" t="str">
        <f>CONCATENATE(UPPER(TableAopCalendar[[#This Row],[Month]])," ",TableAopCalendar[[#This Row],[Year]])</f>
        <v>MAY 25</v>
      </c>
      <c r="J1146" s="7" t="s">
        <v>274</v>
      </c>
      <c r="K1146" s="32" t="str">
        <f>CONCATENATE(TableAopCalendar[[#This Row],[Month for Plan]]," ",TableAopCalendar[[#This Row],[Plan]])</f>
        <v>MAY 25 PLANNED</v>
      </c>
    </row>
    <row r="1147" spans="1:11" x14ac:dyDescent="0.3">
      <c r="A1147" s="32">
        <f t="shared" si="66"/>
        <v>6</v>
      </c>
      <c r="B1147" s="33">
        <v>45797</v>
      </c>
      <c r="C1147" s="6" t="s">
        <v>265</v>
      </c>
      <c r="D1147" s="6">
        <v>25</v>
      </c>
      <c r="E1147" s="32">
        <f>DAY(TableAopCalendar[[#This Row],[Date]])</f>
        <v>20</v>
      </c>
      <c r="F1147" s="32">
        <f>IF(TableAopCalendar[[#This Row],[Day]]&lt;8,1,IF(TableAopCalendar[[#This Row],[Day]]&lt;15,2,IF(TableAopCalendar[[#This Row],[Day]]&lt;22,3,IF(TableAopCalendar[[#This Row],[Day]]&lt;29,4,IF(TableAopCalendar[[#This Row],[Day]]&lt;32,5)))))</f>
        <v>3</v>
      </c>
      <c r="G1147" s="32" t="str">
        <f t="shared" si="67"/>
        <v>Week 3</v>
      </c>
      <c r="H1147" s="32" t="str">
        <f t="shared" si="68"/>
        <v>May 25 Week 3</v>
      </c>
      <c r="I1147" s="32" t="str">
        <f>CONCATENATE(UPPER(TableAopCalendar[[#This Row],[Month]])," ",TableAopCalendar[[#This Row],[Year]])</f>
        <v>MAY 25</v>
      </c>
      <c r="J1147" s="7" t="s">
        <v>274</v>
      </c>
      <c r="K1147" s="32" t="str">
        <f>CONCATENATE(TableAopCalendar[[#This Row],[Month for Plan]]," ",TableAopCalendar[[#This Row],[Plan]])</f>
        <v>MAY 25 PLANNED</v>
      </c>
    </row>
    <row r="1148" spans="1:11" x14ac:dyDescent="0.3">
      <c r="A1148" s="32">
        <f t="shared" si="66"/>
        <v>7</v>
      </c>
      <c r="B1148" s="33">
        <v>45798</v>
      </c>
      <c r="C1148" s="6" t="s">
        <v>265</v>
      </c>
      <c r="D1148" s="6">
        <v>25</v>
      </c>
      <c r="E1148" s="32">
        <f>DAY(TableAopCalendar[[#This Row],[Date]])</f>
        <v>21</v>
      </c>
      <c r="F1148" s="32">
        <f>IF(TableAopCalendar[[#This Row],[Day]]&lt;8,1,IF(TableAopCalendar[[#This Row],[Day]]&lt;15,2,IF(TableAopCalendar[[#This Row],[Day]]&lt;22,3,IF(TableAopCalendar[[#This Row],[Day]]&lt;29,4,IF(TableAopCalendar[[#This Row],[Day]]&lt;32,5)))))</f>
        <v>3</v>
      </c>
      <c r="G1148" s="32" t="str">
        <f t="shared" si="67"/>
        <v>Week 3</v>
      </c>
      <c r="H1148" s="32" t="str">
        <f t="shared" si="68"/>
        <v>May 25 Week 3</v>
      </c>
      <c r="I1148" s="32" t="str">
        <f>CONCATENATE(UPPER(TableAopCalendar[[#This Row],[Month]])," ",TableAopCalendar[[#This Row],[Year]])</f>
        <v>MAY 25</v>
      </c>
      <c r="J1148" s="7" t="s">
        <v>274</v>
      </c>
      <c r="K1148" s="32" t="str">
        <f>CONCATENATE(TableAopCalendar[[#This Row],[Month for Plan]]," ",TableAopCalendar[[#This Row],[Plan]])</f>
        <v>MAY 25 PLANNED</v>
      </c>
    </row>
    <row r="1149" spans="1:11" x14ac:dyDescent="0.3">
      <c r="A1149" s="32">
        <f t="shared" si="66"/>
        <v>1</v>
      </c>
      <c r="B1149" s="33">
        <v>45799</v>
      </c>
      <c r="C1149" s="6" t="s">
        <v>265</v>
      </c>
      <c r="D1149" s="6">
        <v>25</v>
      </c>
      <c r="E1149" s="32">
        <f>DAY(TableAopCalendar[[#This Row],[Date]])</f>
        <v>22</v>
      </c>
      <c r="F1149" s="32">
        <f>IF(TableAopCalendar[[#This Row],[Day]]&lt;8,1,IF(TableAopCalendar[[#This Row],[Day]]&lt;15,2,IF(TableAopCalendar[[#This Row],[Day]]&lt;22,3,IF(TableAopCalendar[[#This Row],[Day]]&lt;29,4,IF(TableAopCalendar[[#This Row],[Day]]&lt;32,5)))))</f>
        <v>4</v>
      </c>
      <c r="G1149" s="32" t="str">
        <f t="shared" si="67"/>
        <v>Week 4</v>
      </c>
      <c r="H1149" s="32" t="str">
        <f t="shared" si="68"/>
        <v>May 25 Week 4</v>
      </c>
      <c r="I1149" s="32" t="str">
        <f>CONCATENATE(UPPER(TableAopCalendar[[#This Row],[Month]])," ",TableAopCalendar[[#This Row],[Year]])</f>
        <v>MAY 25</v>
      </c>
      <c r="J1149" s="7" t="s">
        <v>274</v>
      </c>
      <c r="K1149" s="32" t="str">
        <f>CONCATENATE(TableAopCalendar[[#This Row],[Month for Plan]]," ",TableAopCalendar[[#This Row],[Plan]])</f>
        <v>MAY 25 PLANNED</v>
      </c>
    </row>
    <row r="1150" spans="1:11" x14ac:dyDescent="0.3">
      <c r="A1150" s="32">
        <f t="shared" si="66"/>
        <v>2</v>
      </c>
      <c r="B1150" s="33">
        <v>45800</v>
      </c>
      <c r="C1150" s="6" t="s">
        <v>265</v>
      </c>
      <c r="D1150" s="6">
        <v>25</v>
      </c>
      <c r="E1150" s="32">
        <f>DAY(TableAopCalendar[[#This Row],[Date]])</f>
        <v>23</v>
      </c>
      <c r="F1150" s="32">
        <f>IF(TableAopCalendar[[#This Row],[Day]]&lt;8,1,IF(TableAopCalendar[[#This Row],[Day]]&lt;15,2,IF(TableAopCalendar[[#This Row],[Day]]&lt;22,3,IF(TableAopCalendar[[#This Row],[Day]]&lt;29,4,IF(TableAopCalendar[[#This Row],[Day]]&lt;32,5)))))</f>
        <v>4</v>
      </c>
      <c r="G1150" s="32" t="str">
        <f t="shared" si="67"/>
        <v>Week 4</v>
      </c>
      <c r="H1150" s="32" t="str">
        <f t="shared" si="68"/>
        <v>May 25 Week 4</v>
      </c>
      <c r="I1150" s="32" t="str">
        <f>CONCATENATE(UPPER(TableAopCalendar[[#This Row],[Month]])," ",TableAopCalendar[[#This Row],[Year]])</f>
        <v>MAY 25</v>
      </c>
      <c r="J1150" s="7" t="s">
        <v>274</v>
      </c>
      <c r="K1150" s="32" t="str">
        <f>CONCATENATE(TableAopCalendar[[#This Row],[Month for Plan]]," ",TableAopCalendar[[#This Row],[Plan]])</f>
        <v>MAY 25 PLANNED</v>
      </c>
    </row>
    <row r="1151" spans="1:11" x14ac:dyDescent="0.3">
      <c r="A1151" s="32">
        <f t="shared" si="66"/>
        <v>3</v>
      </c>
      <c r="B1151" s="33">
        <v>45801</v>
      </c>
      <c r="C1151" s="6" t="s">
        <v>265</v>
      </c>
      <c r="D1151" s="6">
        <v>25</v>
      </c>
      <c r="E1151" s="32">
        <f>DAY(TableAopCalendar[[#This Row],[Date]])</f>
        <v>24</v>
      </c>
      <c r="F1151" s="32">
        <f>IF(TableAopCalendar[[#This Row],[Day]]&lt;8,1,IF(TableAopCalendar[[#This Row],[Day]]&lt;15,2,IF(TableAopCalendar[[#This Row],[Day]]&lt;22,3,IF(TableAopCalendar[[#This Row],[Day]]&lt;29,4,IF(TableAopCalendar[[#This Row],[Day]]&lt;32,5)))))</f>
        <v>4</v>
      </c>
      <c r="G1151" s="32" t="str">
        <f t="shared" si="67"/>
        <v>Week 4</v>
      </c>
      <c r="H1151" s="32" t="str">
        <f t="shared" si="68"/>
        <v>May 25 Week 4</v>
      </c>
      <c r="I1151" s="32" t="str">
        <f>CONCATENATE(UPPER(TableAopCalendar[[#This Row],[Month]])," ",TableAopCalendar[[#This Row],[Year]])</f>
        <v>MAY 25</v>
      </c>
      <c r="J1151" s="7" t="s">
        <v>274</v>
      </c>
      <c r="K1151" s="32" t="str">
        <f>CONCATENATE(TableAopCalendar[[#This Row],[Month for Plan]]," ",TableAopCalendar[[#This Row],[Plan]])</f>
        <v>MAY 25 PLANNED</v>
      </c>
    </row>
    <row r="1152" spans="1:11" x14ac:dyDescent="0.3">
      <c r="A1152" s="32">
        <f t="shared" si="66"/>
        <v>4</v>
      </c>
      <c r="B1152" s="33">
        <v>45802</v>
      </c>
      <c r="C1152" s="6" t="s">
        <v>265</v>
      </c>
      <c r="D1152" s="6">
        <v>25</v>
      </c>
      <c r="E1152" s="32">
        <f>DAY(TableAopCalendar[[#This Row],[Date]])</f>
        <v>25</v>
      </c>
      <c r="F1152" s="32">
        <f>IF(TableAopCalendar[[#This Row],[Day]]&lt;8,1,IF(TableAopCalendar[[#This Row],[Day]]&lt;15,2,IF(TableAopCalendar[[#This Row],[Day]]&lt;22,3,IF(TableAopCalendar[[#This Row],[Day]]&lt;29,4,IF(TableAopCalendar[[#This Row],[Day]]&lt;32,5)))))</f>
        <v>4</v>
      </c>
      <c r="G1152" s="32" t="str">
        <f t="shared" si="67"/>
        <v>Week 4</v>
      </c>
      <c r="H1152" s="32" t="str">
        <f t="shared" si="68"/>
        <v>May 25 Week 4</v>
      </c>
      <c r="I1152" s="32" t="str">
        <f>CONCATENATE(UPPER(TableAopCalendar[[#This Row],[Month]])," ",TableAopCalendar[[#This Row],[Year]])</f>
        <v>MAY 25</v>
      </c>
      <c r="J1152" s="7" t="s">
        <v>274</v>
      </c>
      <c r="K1152" s="32" t="str">
        <f>CONCATENATE(TableAopCalendar[[#This Row],[Month for Plan]]," ",TableAopCalendar[[#This Row],[Plan]])</f>
        <v>MAY 25 PLANNED</v>
      </c>
    </row>
    <row r="1153" spans="1:11" x14ac:dyDescent="0.3">
      <c r="A1153" s="32">
        <f t="shared" si="66"/>
        <v>5</v>
      </c>
      <c r="B1153" s="33">
        <v>45803</v>
      </c>
      <c r="C1153" s="6" t="s">
        <v>265</v>
      </c>
      <c r="D1153" s="6">
        <v>25</v>
      </c>
      <c r="E1153" s="32">
        <f>DAY(TableAopCalendar[[#This Row],[Date]])</f>
        <v>26</v>
      </c>
      <c r="F1153" s="32">
        <f>IF(TableAopCalendar[[#This Row],[Day]]&lt;8,1,IF(TableAopCalendar[[#This Row],[Day]]&lt;15,2,IF(TableAopCalendar[[#This Row],[Day]]&lt;22,3,IF(TableAopCalendar[[#This Row],[Day]]&lt;29,4,IF(TableAopCalendar[[#This Row],[Day]]&lt;32,5)))))</f>
        <v>4</v>
      </c>
      <c r="G1153" s="32" t="str">
        <f t="shared" si="67"/>
        <v>Week 4</v>
      </c>
      <c r="H1153" s="32" t="str">
        <f t="shared" si="68"/>
        <v>May 25 Week 4</v>
      </c>
      <c r="I1153" s="32" t="str">
        <f>CONCATENATE(UPPER(TableAopCalendar[[#This Row],[Month]])," ",TableAopCalendar[[#This Row],[Year]])</f>
        <v>MAY 25</v>
      </c>
      <c r="J1153" s="7" t="s">
        <v>274</v>
      </c>
      <c r="K1153" s="32" t="str">
        <f>CONCATENATE(TableAopCalendar[[#This Row],[Month for Plan]]," ",TableAopCalendar[[#This Row],[Plan]])</f>
        <v>MAY 25 PLANNED</v>
      </c>
    </row>
    <row r="1154" spans="1:11" x14ac:dyDescent="0.3">
      <c r="A1154" s="32">
        <f t="shared" si="66"/>
        <v>6</v>
      </c>
      <c r="B1154" s="33">
        <v>45804</v>
      </c>
      <c r="C1154" s="6" t="s">
        <v>265</v>
      </c>
      <c r="D1154" s="6">
        <v>25</v>
      </c>
      <c r="E1154" s="32">
        <f>DAY(TableAopCalendar[[#This Row],[Date]])</f>
        <v>27</v>
      </c>
      <c r="F1154" s="32">
        <f>IF(TableAopCalendar[[#This Row],[Day]]&lt;8,1,IF(TableAopCalendar[[#This Row],[Day]]&lt;15,2,IF(TableAopCalendar[[#This Row],[Day]]&lt;22,3,IF(TableAopCalendar[[#This Row],[Day]]&lt;29,4,IF(TableAopCalendar[[#This Row],[Day]]&lt;32,5)))))</f>
        <v>4</v>
      </c>
      <c r="G1154" s="32" t="str">
        <f t="shared" si="67"/>
        <v>Week 4</v>
      </c>
      <c r="H1154" s="32" t="str">
        <f t="shared" si="68"/>
        <v>May 25 Week 4</v>
      </c>
      <c r="I1154" s="32" t="str">
        <f>CONCATENATE(UPPER(TableAopCalendar[[#This Row],[Month]])," ",TableAopCalendar[[#This Row],[Year]])</f>
        <v>MAY 25</v>
      </c>
      <c r="J1154" s="7" t="s">
        <v>274</v>
      </c>
      <c r="K1154" s="32" t="str">
        <f>CONCATENATE(TableAopCalendar[[#This Row],[Month for Plan]]," ",TableAopCalendar[[#This Row],[Plan]])</f>
        <v>MAY 25 PLANNED</v>
      </c>
    </row>
    <row r="1155" spans="1:11" x14ac:dyDescent="0.3">
      <c r="A1155" s="32">
        <f t="shared" si="66"/>
        <v>7</v>
      </c>
      <c r="B1155" s="33">
        <v>45805</v>
      </c>
      <c r="C1155" s="6" t="s">
        <v>265</v>
      </c>
      <c r="D1155" s="6">
        <v>25</v>
      </c>
      <c r="E1155" s="32">
        <f>DAY(TableAopCalendar[[#This Row],[Date]])</f>
        <v>28</v>
      </c>
      <c r="F1155" s="32">
        <f>IF(TableAopCalendar[[#This Row],[Day]]&lt;8,1,IF(TableAopCalendar[[#This Row],[Day]]&lt;15,2,IF(TableAopCalendar[[#This Row],[Day]]&lt;22,3,IF(TableAopCalendar[[#This Row],[Day]]&lt;29,4,IF(TableAopCalendar[[#This Row],[Day]]&lt;32,5)))))</f>
        <v>4</v>
      </c>
      <c r="G1155" s="32" t="str">
        <f t="shared" si="67"/>
        <v>Week 4</v>
      </c>
      <c r="H1155" s="32" t="str">
        <f t="shared" si="68"/>
        <v>May 25 Week 4</v>
      </c>
      <c r="I1155" s="32" t="str">
        <f>CONCATENATE(UPPER(TableAopCalendar[[#This Row],[Month]])," ",TableAopCalendar[[#This Row],[Year]])</f>
        <v>MAY 25</v>
      </c>
      <c r="J1155" s="7" t="s">
        <v>274</v>
      </c>
      <c r="K1155" s="32" t="str">
        <f>CONCATENATE(TableAopCalendar[[#This Row],[Month for Plan]]," ",TableAopCalendar[[#This Row],[Plan]])</f>
        <v>MAY 25 PLANNED</v>
      </c>
    </row>
    <row r="1156" spans="1:11" x14ac:dyDescent="0.3">
      <c r="A1156" s="32">
        <f t="shared" si="66"/>
        <v>1</v>
      </c>
      <c r="B1156" s="33">
        <v>45806</v>
      </c>
      <c r="C1156" s="6" t="s">
        <v>265</v>
      </c>
      <c r="D1156" s="6">
        <v>25</v>
      </c>
      <c r="E1156" s="32">
        <f>DAY(TableAopCalendar[[#This Row],[Date]])</f>
        <v>29</v>
      </c>
      <c r="F1156" s="32">
        <f>IF(TableAopCalendar[[#This Row],[Day]]&lt;8,1,IF(TableAopCalendar[[#This Row],[Day]]&lt;15,2,IF(TableAopCalendar[[#This Row],[Day]]&lt;22,3,IF(TableAopCalendar[[#This Row],[Day]]&lt;29,4,IF(TableAopCalendar[[#This Row],[Day]]&lt;32,5)))))</f>
        <v>5</v>
      </c>
      <c r="G1156" s="32" t="str">
        <f t="shared" si="67"/>
        <v>Week 5</v>
      </c>
      <c r="H1156" s="32" t="str">
        <f t="shared" si="68"/>
        <v>May 25 Week 5</v>
      </c>
      <c r="I1156" s="32" t="str">
        <f>CONCATENATE(UPPER(TableAopCalendar[[#This Row],[Month]])," ",TableAopCalendar[[#This Row],[Year]])</f>
        <v>MAY 25</v>
      </c>
      <c r="J1156" s="7" t="s">
        <v>274</v>
      </c>
      <c r="K1156" s="32" t="str">
        <f>CONCATENATE(TableAopCalendar[[#This Row],[Month for Plan]]," ",TableAopCalendar[[#This Row],[Plan]])</f>
        <v>MAY 25 PLANNED</v>
      </c>
    </row>
    <row r="1157" spans="1:11" x14ac:dyDescent="0.3">
      <c r="A1157" s="32">
        <f t="shared" si="66"/>
        <v>2</v>
      </c>
      <c r="B1157" s="33">
        <v>45807</v>
      </c>
      <c r="C1157" s="6" t="s">
        <v>265</v>
      </c>
      <c r="D1157" s="6">
        <v>25</v>
      </c>
      <c r="E1157" s="32">
        <f>DAY(TableAopCalendar[[#This Row],[Date]])</f>
        <v>30</v>
      </c>
      <c r="F1157" s="32">
        <f>IF(TableAopCalendar[[#This Row],[Day]]&lt;8,1,IF(TableAopCalendar[[#This Row],[Day]]&lt;15,2,IF(TableAopCalendar[[#This Row],[Day]]&lt;22,3,IF(TableAopCalendar[[#This Row],[Day]]&lt;29,4,IF(TableAopCalendar[[#This Row],[Day]]&lt;32,5)))))</f>
        <v>5</v>
      </c>
      <c r="G1157" s="32" t="str">
        <f t="shared" si="67"/>
        <v>Week 5</v>
      </c>
      <c r="H1157" s="32" t="str">
        <f t="shared" si="68"/>
        <v>May 25 Week 5</v>
      </c>
      <c r="I1157" s="32" t="str">
        <f>CONCATENATE(UPPER(TableAopCalendar[[#This Row],[Month]])," ",TableAopCalendar[[#This Row],[Year]])</f>
        <v>MAY 25</v>
      </c>
      <c r="J1157" s="7" t="s">
        <v>274</v>
      </c>
      <c r="K1157" s="32" t="str">
        <f>CONCATENATE(TableAopCalendar[[#This Row],[Month for Plan]]," ",TableAopCalendar[[#This Row],[Plan]])</f>
        <v>MAY 25 PLANNED</v>
      </c>
    </row>
    <row r="1158" spans="1:11" x14ac:dyDescent="0.3">
      <c r="A1158" s="32">
        <f t="shared" si="66"/>
        <v>3</v>
      </c>
      <c r="B1158" s="33">
        <v>45808</v>
      </c>
      <c r="C1158" s="6" t="s">
        <v>265</v>
      </c>
      <c r="D1158" s="6">
        <v>25</v>
      </c>
      <c r="E1158" s="32">
        <f>DAY(TableAopCalendar[[#This Row],[Date]])</f>
        <v>31</v>
      </c>
      <c r="F1158" s="32">
        <f>IF(TableAopCalendar[[#This Row],[Day]]&lt;8,1,IF(TableAopCalendar[[#This Row],[Day]]&lt;15,2,IF(TableAopCalendar[[#This Row],[Day]]&lt;22,3,IF(TableAopCalendar[[#This Row],[Day]]&lt;29,4,IF(TableAopCalendar[[#This Row],[Day]]&lt;32,5)))))</f>
        <v>5</v>
      </c>
      <c r="G1158" s="32" t="str">
        <f t="shared" si="67"/>
        <v>Week 5</v>
      </c>
      <c r="H1158" s="32" t="str">
        <f t="shared" si="68"/>
        <v>May 25 Week 5</v>
      </c>
      <c r="I1158" s="32" t="str">
        <f>CONCATENATE(UPPER(TableAopCalendar[[#This Row],[Month]])," ",TableAopCalendar[[#This Row],[Year]])</f>
        <v>MAY 25</v>
      </c>
      <c r="J1158" s="7" t="s">
        <v>274</v>
      </c>
      <c r="K1158" s="32" t="str">
        <f>CONCATENATE(TableAopCalendar[[#This Row],[Month for Plan]]," ",TableAopCalendar[[#This Row],[Plan]])</f>
        <v>MAY 25 PLANNED</v>
      </c>
    </row>
    <row r="1159" spans="1:11" x14ac:dyDescent="0.3">
      <c r="A1159" s="32">
        <f t="shared" si="66"/>
        <v>1</v>
      </c>
      <c r="B1159" s="33">
        <v>45809</v>
      </c>
      <c r="C1159" s="6" t="s">
        <v>266</v>
      </c>
      <c r="D1159" s="6">
        <v>25</v>
      </c>
      <c r="E1159" s="32">
        <f>DAY(TableAopCalendar[[#This Row],[Date]])</f>
        <v>1</v>
      </c>
      <c r="F1159" s="32">
        <f>IF(TableAopCalendar[[#This Row],[Day]]&lt;8,1,IF(TableAopCalendar[[#This Row],[Day]]&lt;15,2,IF(TableAopCalendar[[#This Row],[Day]]&lt;22,3,IF(TableAopCalendar[[#This Row],[Day]]&lt;29,4,IF(TableAopCalendar[[#This Row],[Day]]&lt;32,5)))))</f>
        <v>1</v>
      </c>
      <c r="G1159" s="32" t="str">
        <f t="shared" si="67"/>
        <v>Week 1</v>
      </c>
      <c r="H1159" s="32" t="str">
        <f t="shared" si="68"/>
        <v>June 25 Week 1</v>
      </c>
      <c r="I1159" s="32" t="str">
        <f>CONCATENATE(UPPER(TableAopCalendar[[#This Row],[Month]])," ",TableAopCalendar[[#This Row],[Year]])</f>
        <v>JUNE 25</v>
      </c>
      <c r="J1159" s="7" t="s">
        <v>274</v>
      </c>
      <c r="K1159" s="32" t="str">
        <f>CONCATENATE(TableAopCalendar[[#This Row],[Month for Plan]]," ",TableAopCalendar[[#This Row],[Plan]])</f>
        <v>JUNE 25 PLANNED</v>
      </c>
    </row>
    <row r="1160" spans="1:11" x14ac:dyDescent="0.3">
      <c r="A1160" s="32">
        <f t="shared" si="66"/>
        <v>2</v>
      </c>
      <c r="B1160" s="33">
        <v>45810</v>
      </c>
      <c r="C1160" s="6" t="s">
        <v>266</v>
      </c>
      <c r="D1160" s="6">
        <v>25</v>
      </c>
      <c r="E1160" s="32">
        <f>DAY(TableAopCalendar[[#This Row],[Date]])</f>
        <v>2</v>
      </c>
      <c r="F1160" s="32">
        <f>IF(TableAopCalendar[[#This Row],[Day]]&lt;8,1,IF(TableAopCalendar[[#This Row],[Day]]&lt;15,2,IF(TableAopCalendar[[#This Row],[Day]]&lt;22,3,IF(TableAopCalendar[[#This Row],[Day]]&lt;29,4,IF(TableAopCalendar[[#This Row],[Day]]&lt;32,5)))))</f>
        <v>1</v>
      </c>
      <c r="G1160" s="32" t="str">
        <f t="shared" si="67"/>
        <v>Week 1</v>
      </c>
      <c r="H1160" s="32" t="str">
        <f t="shared" si="68"/>
        <v>June 25 Week 1</v>
      </c>
      <c r="I1160" s="32" t="str">
        <f>CONCATENATE(UPPER(TableAopCalendar[[#This Row],[Month]])," ",TableAopCalendar[[#This Row],[Year]])</f>
        <v>JUNE 25</v>
      </c>
      <c r="J1160" s="7" t="s">
        <v>274</v>
      </c>
      <c r="K1160" s="32" t="str">
        <f>CONCATENATE(TableAopCalendar[[#This Row],[Month for Plan]]," ",TableAopCalendar[[#This Row],[Plan]])</f>
        <v>JUNE 25 PLANNED</v>
      </c>
    </row>
    <row r="1161" spans="1:11" x14ac:dyDescent="0.3">
      <c r="A1161" s="32">
        <f t="shared" si="66"/>
        <v>3</v>
      </c>
      <c r="B1161" s="33">
        <v>45811</v>
      </c>
      <c r="C1161" s="6" t="s">
        <v>266</v>
      </c>
      <c r="D1161" s="6">
        <v>25</v>
      </c>
      <c r="E1161" s="32">
        <f>DAY(TableAopCalendar[[#This Row],[Date]])</f>
        <v>3</v>
      </c>
      <c r="F1161" s="32">
        <f>IF(TableAopCalendar[[#This Row],[Day]]&lt;8,1,IF(TableAopCalendar[[#This Row],[Day]]&lt;15,2,IF(TableAopCalendar[[#This Row],[Day]]&lt;22,3,IF(TableAopCalendar[[#This Row],[Day]]&lt;29,4,IF(TableAopCalendar[[#This Row],[Day]]&lt;32,5)))))</f>
        <v>1</v>
      </c>
      <c r="G1161" s="32" t="str">
        <f t="shared" si="67"/>
        <v>Week 1</v>
      </c>
      <c r="H1161" s="32" t="str">
        <f t="shared" si="68"/>
        <v>June 25 Week 1</v>
      </c>
      <c r="I1161" s="32" t="str">
        <f>CONCATENATE(UPPER(TableAopCalendar[[#This Row],[Month]])," ",TableAopCalendar[[#This Row],[Year]])</f>
        <v>JUNE 25</v>
      </c>
      <c r="J1161" s="7" t="s">
        <v>274</v>
      </c>
      <c r="K1161" s="32" t="str">
        <f>CONCATENATE(TableAopCalendar[[#This Row],[Month for Plan]]," ",TableAopCalendar[[#This Row],[Plan]])</f>
        <v>JUNE 25 PLANNED</v>
      </c>
    </row>
    <row r="1162" spans="1:11" x14ac:dyDescent="0.3">
      <c r="A1162" s="32">
        <f t="shared" si="66"/>
        <v>4</v>
      </c>
      <c r="B1162" s="33">
        <v>45812</v>
      </c>
      <c r="C1162" s="6" t="s">
        <v>266</v>
      </c>
      <c r="D1162" s="6">
        <v>25</v>
      </c>
      <c r="E1162" s="32">
        <f>DAY(TableAopCalendar[[#This Row],[Date]])</f>
        <v>4</v>
      </c>
      <c r="F1162" s="32">
        <f>IF(TableAopCalendar[[#This Row],[Day]]&lt;8,1,IF(TableAopCalendar[[#This Row],[Day]]&lt;15,2,IF(TableAopCalendar[[#This Row],[Day]]&lt;22,3,IF(TableAopCalendar[[#This Row],[Day]]&lt;29,4,IF(TableAopCalendar[[#This Row],[Day]]&lt;32,5)))))</f>
        <v>1</v>
      </c>
      <c r="G1162" s="32" t="str">
        <f t="shared" si="67"/>
        <v>Week 1</v>
      </c>
      <c r="H1162" s="32" t="str">
        <f t="shared" si="68"/>
        <v>June 25 Week 1</v>
      </c>
      <c r="I1162" s="32" t="str">
        <f>CONCATENATE(UPPER(TableAopCalendar[[#This Row],[Month]])," ",TableAopCalendar[[#This Row],[Year]])</f>
        <v>JUNE 25</v>
      </c>
      <c r="J1162" s="7" t="s">
        <v>274</v>
      </c>
      <c r="K1162" s="32" t="str">
        <f>CONCATENATE(TableAopCalendar[[#This Row],[Month for Plan]]," ",TableAopCalendar[[#This Row],[Plan]])</f>
        <v>JUNE 25 PLANNED</v>
      </c>
    </row>
    <row r="1163" spans="1:11" x14ac:dyDescent="0.3">
      <c r="A1163" s="32">
        <f t="shared" ref="A1163:A1226" si="69">IF(G1163=G1162,A1162+1,1)</f>
        <v>5</v>
      </c>
      <c r="B1163" s="33">
        <v>45813</v>
      </c>
      <c r="C1163" s="6" t="s">
        <v>266</v>
      </c>
      <c r="D1163" s="6">
        <v>25</v>
      </c>
      <c r="E1163" s="32">
        <f>DAY(TableAopCalendar[[#This Row],[Date]])</f>
        <v>5</v>
      </c>
      <c r="F1163" s="32">
        <f>IF(TableAopCalendar[[#This Row],[Day]]&lt;8,1,IF(TableAopCalendar[[#This Row],[Day]]&lt;15,2,IF(TableAopCalendar[[#This Row],[Day]]&lt;22,3,IF(TableAopCalendar[[#This Row],[Day]]&lt;29,4,IF(TableAopCalendar[[#This Row],[Day]]&lt;32,5)))))</f>
        <v>1</v>
      </c>
      <c r="G1163" s="32" t="str">
        <f t="shared" ref="G1163:G1226" si="70">"Week"&amp;" "&amp;F1163</f>
        <v>Week 1</v>
      </c>
      <c r="H1163" s="32" t="str">
        <f t="shared" ref="H1163:H1226" si="71">CONCATENATE(C1163," ",D1163," ",G1163)</f>
        <v>June 25 Week 1</v>
      </c>
      <c r="I1163" s="32" t="str">
        <f>CONCATENATE(UPPER(TableAopCalendar[[#This Row],[Month]])," ",TableAopCalendar[[#This Row],[Year]])</f>
        <v>JUNE 25</v>
      </c>
      <c r="J1163" s="7" t="s">
        <v>274</v>
      </c>
      <c r="K1163" s="32" t="str">
        <f>CONCATENATE(TableAopCalendar[[#This Row],[Month for Plan]]," ",TableAopCalendar[[#This Row],[Plan]])</f>
        <v>JUNE 25 PLANNED</v>
      </c>
    </row>
    <row r="1164" spans="1:11" x14ac:dyDescent="0.3">
      <c r="A1164" s="32">
        <f t="shared" si="69"/>
        <v>6</v>
      </c>
      <c r="B1164" s="33">
        <v>45814</v>
      </c>
      <c r="C1164" s="6" t="s">
        <v>266</v>
      </c>
      <c r="D1164" s="6">
        <v>25</v>
      </c>
      <c r="E1164" s="32">
        <f>DAY(TableAopCalendar[[#This Row],[Date]])</f>
        <v>6</v>
      </c>
      <c r="F1164" s="32">
        <f>IF(TableAopCalendar[[#This Row],[Day]]&lt;8,1,IF(TableAopCalendar[[#This Row],[Day]]&lt;15,2,IF(TableAopCalendar[[#This Row],[Day]]&lt;22,3,IF(TableAopCalendar[[#This Row],[Day]]&lt;29,4,IF(TableAopCalendar[[#This Row],[Day]]&lt;32,5)))))</f>
        <v>1</v>
      </c>
      <c r="G1164" s="32" t="str">
        <f t="shared" si="70"/>
        <v>Week 1</v>
      </c>
      <c r="H1164" s="32" t="str">
        <f t="shared" si="71"/>
        <v>June 25 Week 1</v>
      </c>
      <c r="I1164" s="32" t="str">
        <f>CONCATENATE(UPPER(TableAopCalendar[[#This Row],[Month]])," ",TableAopCalendar[[#This Row],[Year]])</f>
        <v>JUNE 25</v>
      </c>
      <c r="J1164" s="7" t="s">
        <v>274</v>
      </c>
      <c r="K1164" s="32" t="str">
        <f>CONCATENATE(TableAopCalendar[[#This Row],[Month for Plan]]," ",TableAopCalendar[[#This Row],[Plan]])</f>
        <v>JUNE 25 PLANNED</v>
      </c>
    </row>
    <row r="1165" spans="1:11" x14ac:dyDescent="0.3">
      <c r="A1165" s="32">
        <f t="shared" si="69"/>
        <v>7</v>
      </c>
      <c r="B1165" s="33">
        <v>45815</v>
      </c>
      <c r="C1165" s="6" t="s">
        <v>266</v>
      </c>
      <c r="D1165" s="6">
        <v>25</v>
      </c>
      <c r="E1165" s="32">
        <f>DAY(TableAopCalendar[[#This Row],[Date]])</f>
        <v>7</v>
      </c>
      <c r="F1165" s="32">
        <f>IF(TableAopCalendar[[#This Row],[Day]]&lt;8,1,IF(TableAopCalendar[[#This Row],[Day]]&lt;15,2,IF(TableAopCalendar[[#This Row],[Day]]&lt;22,3,IF(TableAopCalendar[[#This Row],[Day]]&lt;29,4,IF(TableAopCalendar[[#This Row],[Day]]&lt;32,5)))))</f>
        <v>1</v>
      </c>
      <c r="G1165" s="32" t="str">
        <f t="shared" si="70"/>
        <v>Week 1</v>
      </c>
      <c r="H1165" s="32" t="str">
        <f t="shared" si="71"/>
        <v>June 25 Week 1</v>
      </c>
      <c r="I1165" s="32" t="str">
        <f>CONCATENATE(UPPER(TableAopCalendar[[#This Row],[Month]])," ",TableAopCalendar[[#This Row],[Year]])</f>
        <v>JUNE 25</v>
      </c>
      <c r="J1165" s="7" t="s">
        <v>274</v>
      </c>
      <c r="K1165" s="32" t="str">
        <f>CONCATENATE(TableAopCalendar[[#This Row],[Month for Plan]]," ",TableAopCalendar[[#This Row],[Plan]])</f>
        <v>JUNE 25 PLANNED</v>
      </c>
    </row>
    <row r="1166" spans="1:11" x14ac:dyDescent="0.3">
      <c r="A1166" s="32">
        <f t="shared" si="69"/>
        <v>1</v>
      </c>
      <c r="B1166" s="33">
        <v>45816</v>
      </c>
      <c r="C1166" s="6" t="s">
        <v>266</v>
      </c>
      <c r="D1166" s="6">
        <v>25</v>
      </c>
      <c r="E1166" s="32">
        <f>DAY(TableAopCalendar[[#This Row],[Date]])</f>
        <v>8</v>
      </c>
      <c r="F1166" s="32">
        <f>IF(TableAopCalendar[[#This Row],[Day]]&lt;8,1,IF(TableAopCalendar[[#This Row],[Day]]&lt;15,2,IF(TableAopCalendar[[#This Row],[Day]]&lt;22,3,IF(TableAopCalendar[[#This Row],[Day]]&lt;29,4,IF(TableAopCalendar[[#This Row],[Day]]&lt;32,5)))))</f>
        <v>2</v>
      </c>
      <c r="G1166" s="32" t="str">
        <f t="shared" si="70"/>
        <v>Week 2</v>
      </c>
      <c r="H1166" s="32" t="str">
        <f t="shared" si="71"/>
        <v>June 25 Week 2</v>
      </c>
      <c r="I1166" s="32" t="str">
        <f>CONCATENATE(UPPER(TableAopCalendar[[#This Row],[Month]])," ",TableAopCalendar[[#This Row],[Year]])</f>
        <v>JUNE 25</v>
      </c>
      <c r="J1166" s="7" t="s">
        <v>274</v>
      </c>
      <c r="K1166" s="32" t="str">
        <f>CONCATENATE(TableAopCalendar[[#This Row],[Month for Plan]]," ",TableAopCalendar[[#This Row],[Plan]])</f>
        <v>JUNE 25 PLANNED</v>
      </c>
    </row>
    <row r="1167" spans="1:11" x14ac:dyDescent="0.3">
      <c r="A1167" s="32">
        <f t="shared" si="69"/>
        <v>2</v>
      </c>
      <c r="B1167" s="33">
        <v>45817</v>
      </c>
      <c r="C1167" s="6" t="s">
        <v>266</v>
      </c>
      <c r="D1167" s="6">
        <v>25</v>
      </c>
      <c r="E1167" s="32">
        <f>DAY(TableAopCalendar[[#This Row],[Date]])</f>
        <v>9</v>
      </c>
      <c r="F1167" s="32">
        <f>IF(TableAopCalendar[[#This Row],[Day]]&lt;8,1,IF(TableAopCalendar[[#This Row],[Day]]&lt;15,2,IF(TableAopCalendar[[#This Row],[Day]]&lt;22,3,IF(TableAopCalendar[[#This Row],[Day]]&lt;29,4,IF(TableAopCalendar[[#This Row],[Day]]&lt;32,5)))))</f>
        <v>2</v>
      </c>
      <c r="G1167" s="32" t="str">
        <f t="shared" si="70"/>
        <v>Week 2</v>
      </c>
      <c r="H1167" s="32" t="str">
        <f t="shared" si="71"/>
        <v>June 25 Week 2</v>
      </c>
      <c r="I1167" s="32" t="str">
        <f>CONCATENATE(UPPER(TableAopCalendar[[#This Row],[Month]])," ",TableAopCalendar[[#This Row],[Year]])</f>
        <v>JUNE 25</v>
      </c>
      <c r="J1167" s="7" t="s">
        <v>274</v>
      </c>
      <c r="K1167" s="32" t="str">
        <f>CONCATENATE(TableAopCalendar[[#This Row],[Month for Plan]]," ",TableAopCalendar[[#This Row],[Plan]])</f>
        <v>JUNE 25 PLANNED</v>
      </c>
    </row>
    <row r="1168" spans="1:11" x14ac:dyDescent="0.3">
      <c r="A1168" s="32">
        <f t="shared" si="69"/>
        <v>3</v>
      </c>
      <c r="B1168" s="33">
        <v>45818</v>
      </c>
      <c r="C1168" s="6" t="s">
        <v>266</v>
      </c>
      <c r="D1168" s="6">
        <v>25</v>
      </c>
      <c r="E1168" s="32">
        <f>DAY(TableAopCalendar[[#This Row],[Date]])</f>
        <v>10</v>
      </c>
      <c r="F1168" s="32">
        <f>IF(TableAopCalendar[[#This Row],[Day]]&lt;8,1,IF(TableAopCalendar[[#This Row],[Day]]&lt;15,2,IF(TableAopCalendar[[#This Row],[Day]]&lt;22,3,IF(TableAopCalendar[[#This Row],[Day]]&lt;29,4,IF(TableAopCalendar[[#This Row],[Day]]&lt;32,5)))))</f>
        <v>2</v>
      </c>
      <c r="G1168" s="32" t="str">
        <f t="shared" si="70"/>
        <v>Week 2</v>
      </c>
      <c r="H1168" s="32" t="str">
        <f t="shared" si="71"/>
        <v>June 25 Week 2</v>
      </c>
      <c r="I1168" s="32" t="str">
        <f>CONCATENATE(UPPER(TableAopCalendar[[#This Row],[Month]])," ",TableAopCalendar[[#This Row],[Year]])</f>
        <v>JUNE 25</v>
      </c>
      <c r="J1168" s="7" t="s">
        <v>274</v>
      </c>
      <c r="K1168" s="32" t="str">
        <f>CONCATENATE(TableAopCalendar[[#This Row],[Month for Plan]]," ",TableAopCalendar[[#This Row],[Plan]])</f>
        <v>JUNE 25 PLANNED</v>
      </c>
    </row>
    <row r="1169" spans="1:11" x14ac:dyDescent="0.3">
      <c r="A1169" s="32">
        <f t="shared" si="69"/>
        <v>4</v>
      </c>
      <c r="B1169" s="33">
        <v>45819</v>
      </c>
      <c r="C1169" s="6" t="s">
        <v>266</v>
      </c>
      <c r="D1169" s="6">
        <v>25</v>
      </c>
      <c r="E1169" s="32">
        <f>DAY(TableAopCalendar[[#This Row],[Date]])</f>
        <v>11</v>
      </c>
      <c r="F1169" s="32">
        <f>IF(TableAopCalendar[[#This Row],[Day]]&lt;8,1,IF(TableAopCalendar[[#This Row],[Day]]&lt;15,2,IF(TableAopCalendar[[#This Row],[Day]]&lt;22,3,IF(TableAopCalendar[[#This Row],[Day]]&lt;29,4,IF(TableAopCalendar[[#This Row],[Day]]&lt;32,5)))))</f>
        <v>2</v>
      </c>
      <c r="G1169" s="32" t="str">
        <f t="shared" si="70"/>
        <v>Week 2</v>
      </c>
      <c r="H1169" s="32" t="str">
        <f t="shared" si="71"/>
        <v>June 25 Week 2</v>
      </c>
      <c r="I1169" s="32" t="str">
        <f>CONCATENATE(UPPER(TableAopCalendar[[#This Row],[Month]])," ",TableAopCalendar[[#This Row],[Year]])</f>
        <v>JUNE 25</v>
      </c>
      <c r="J1169" s="7" t="s">
        <v>274</v>
      </c>
      <c r="K1169" s="32" t="str">
        <f>CONCATENATE(TableAopCalendar[[#This Row],[Month for Plan]]," ",TableAopCalendar[[#This Row],[Plan]])</f>
        <v>JUNE 25 PLANNED</v>
      </c>
    </row>
    <row r="1170" spans="1:11" x14ac:dyDescent="0.3">
      <c r="A1170" s="32">
        <f t="shared" si="69"/>
        <v>5</v>
      </c>
      <c r="B1170" s="33">
        <v>45820</v>
      </c>
      <c r="C1170" s="6" t="s">
        <v>266</v>
      </c>
      <c r="D1170" s="6">
        <v>25</v>
      </c>
      <c r="E1170" s="32">
        <f>DAY(TableAopCalendar[[#This Row],[Date]])</f>
        <v>12</v>
      </c>
      <c r="F1170" s="32">
        <f>IF(TableAopCalendar[[#This Row],[Day]]&lt;8,1,IF(TableAopCalendar[[#This Row],[Day]]&lt;15,2,IF(TableAopCalendar[[#This Row],[Day]]&lt;22,3,IF(TableAopCalendar[[#This Row],[Day]]&lt;29,4,IF(TableAopCalendar[[#This Row],[Day]]&lt;32,5)))))</f>
        <v>2</v>
      </c>
      <c r="G1170" s="32" t="str">
        <f t="shared" si="70"/>
        <v>Week 2</v>
      </c>
      <c r="H1170" s="32" t="str">
        <f t="shared" si="71"/>
        <v>June 25 Week 2</v>
      </c>
      <c r="I1170" s="32" t="str">
        <f>CONCATENATE(UPPER(TableAopCalendar[[#This Row],[Month]])," ",TableAopCalendar[[#This Row],[Year]])</f>
        <v>JUNE 25</v>
      </c>
      <c r="J1170" s="7" t="s">
        <v>274</v>
      </c>
      <c r="K1170" s="32" t="str">
        <f>CONCATENATE(TableAopCalendar[[#This Row],[Month for Plan]]," ",TableAopCalendar[[#This Row],[Plan]])</f>
        <v>JUNE 25 PLANNED</v>
      </c>
    </row>
    <row r="1171" spans="1:11" x14ac:dyDescent="0.3">
      <c r="A1171" s="32">
        <f t="shared" si="69"/>
        <v>6</v>
      </c>
      <c r="B1171" s="33">
        <v>45821</v>
      </c>
      <c r="C1171" s="6" t="s">
        <v>266</v>
      </c>
      <c r="D1171" s="6">
        <v>25</v>
      </c>
      <c r="E1171" s="32">
        <f>DAY(TableAopCalendar[[#This Row],[Date]])</f>
        <v>13</v>
      </c>
      <c r="F1171" s="32">
        <f>IF(TableAopCalendar[[#This Row],[Day]]&lt;8,1,IF(TableAopCalendar[[#This Row],[Day]]&lt;15,2,IF(TableAopCalendar[[#This Row],[Day]]&lt;22,3,IF(TableAopCalendar[[#This Row],[Day]]&lt;29,4,IF(TableAopCalendar[[#This Row],[Day]]&lt;32,5)))))</f>
        <v>2</v>
      </c>
      <c r="G1171" s="32" t="str">
        <f t="shared" si="70"/>
        <v>Week 2</v>
      </c>
      <c r="H1171" s="32" t="str">
        <f t="shared" si="71"/>
        <v>June 25 Week 2</v>
      </c>
      <c r="I1171" s="32" t="str">
        <f>CONCATENATE(UPPER(TableAopCalendar[[#This Row],[Month]])," ",TableAopCalendar[[#This Row],[Year]])</f>
        <v>JUNE 25</v>
      </c>
      <c r="J1171" s="7" t="s">
        <v>274</v>
      </c>
      <c r="K1171" s="32" t="str">
        <f>CONCATENATE(TableAopCalendar[[#This Row],[Month for Plan]]," ",TableAopCalendar[[#This Row],[Plan]])</f>
        <v>JUNE 25 PLANNED</v>
      </c>
    </row>
    <row r="1172" spans="1:11" x14ac:dyDescent="0.3">
      <c r="A1172" s="32">
        <f t="shared" si="69"/>
        <v>7</v>
      </c>
      <c r="B1172" s="33">
        <v>45822</v>
      </c>
      <c r="C1172" s="6" t="s">
        <v>266</v>
      </c>
      <c r="D1172" s="6">
        <v>25</v>
      </c>
      <c r="E1172" s="32">
        <f>DAY(TableAopCalendar[[#This Row],[Date]])</f>
        <v>14</v>
      </c>
      <c r="F1172" s="32">
        <f>IF(TableAopCalendar[[#This Row],[Day]]&lt;8,1,IF(TableAopCalendar[[#This Row],[Day]]&lt;15,2,IF(TableAopCalendar[[#This Row],[Day]]&lt;22,3,IF(TableAopCalendar[[#This Row],[Day]]&lt;29,4,IF(TableAopCalendar[[#This Row],[Day]]&lt;32,5)))))</f>
        <v>2</v>
      </c>
      <c r="G1172" s="32" t="str">
        <f t="shared" si="70"/>
        <v>Week 2</v>
      </c>
      <c r="H1172" s="32" t="str">
        <f t="shared" si="71"/>
        <v>June 25 Week 2</v>
      </c>
      <c r="I1172" s="32" t="str">
        <f>CONCATENATE(UPPER(TableAopCalendar[[#This Row],[Month]])," ",TableAopCalendar[[#This Row],[Year]])</f>
        <v>JUNE 25</v>
      </c>
      <c r="J1172" s="7" t="s">
        <v>274</v>
      </c>
      <c r="K1172" s="32" t="str">
        <f>CONCATENATE(TableAopCalendar[[#This Row],[Month for Plan]]," ",TableAopCalendar[[#This Row],[Plan]])</f>
        <v>JUNE 25 PLANNED</v>
      </c>
    </row>
    <row r="1173" spans="1:11" x14ac:dyDescent="0.3">
      <c r="A1173" s="32">
        <f t="shared" si="69"/>
        <v>1</v>
      </c>
      <c r="B1173" s="33">
        <v>45823</v>
      </c>
      <c r="C1173" s="6" t="s">
        <v>266</v>
      </c>
      <c r="D1173" s="6">
        <v>25</v>
      </c>
      <c r="E1173" s="32">
        <f>DAY(TableAopCalendar[[#This Row],[Date]])</f>
        <v>15</v>
      </c>
      <c r="F1173" s="32">
        <f>IF(TableAopCalendar[[#This Row],[Day]]&lt;8,1,IF(TableAopCalendar[[#This Row],[Day]]&lt;15,2,IF(TableAopCalendar[[#This Row],[Day]]&lt;22,3,IF(TableAopCalendar[[#This Row],[Day]]&lt;29,4,IF(TableAopCalendar[[#This Row],[Day]]&lt;32,5)))))</f>
        <v>3</v>
      </c>
      <c r="G1173" s="32" t="str">
        <f t="shared" si="70"/>
        <v>Week 3</v>
      </c>
      <c r="H1173" s="32" t="str">
        <f t="shared" si="71"/>
        <v>June 25 Week 3</v>
      </c>
      <c r="I1173" s="32" t="str">
        <f>CONCATENATE(UPPER(TableAopCalendar[[#This Row],[Month]])," ",TableAopCalendar[[#This Row],[Year]])</f>
        <v>JUNE 25</v>
      </c>
      <c r="J1173" s="7" t="s">
        <v>274</v>
      </c>
      <c r="K1173" s="32" t="str">
        <f>CONCATENATE(TableAopCalendar[[#This Row],[Month for Plan]]," ",TableAopCalendar[[#This Row],[Plan]])</f>
        <v>JUNE 25 PLANNED</v>
      </c>
    </row>
    <row r="1174" spans="1:11" x14ac:dyDescent="0.3">
      <c r="A1174" s="32">
        <f t="shared" si="69"/>
        <v>2</v>
      </c>
      <c r="B1174" s="33">
        <v>45824</v>
      </c>
      <c r="C1174" s="6" t="s">
        <v>266</v>
      </c>
      <c r="D1174" s="6">
        <v>25</v>
      </c>
      <c r="E1174" s="32">
        <f>DAY(TableAopCalendar[[#This Row],[Date]])</f>
        <v>16</v>
      </c>
      <c r="F1174" s="32">
        <f>IF(TableAopCalendar[[#This Row],[Day]]&lt;8,1,IF(TableAopCalendar[[#This Row],[Day]]&lt;15,2,IF(TableAopCalendar[[#This Row],[Day]]&lt;22,3,IF(TableAopCalendar[[#This Row],[Day]]&lt;29,4,IF(TableAopCalendar[[#This Row],[Day]]&lt;32,5)))))</f>
        <v>3</v>
      </c>
      <c r="G1174" s="32" t="str">
        <f t="shared" si="70"/>
        <v>Week 3</v>
      </c>
      <c r="H1174" s="32" t="str">
        <f t="shared" si="71"/>
        <v>June 25 Week 3</v>
      </c>
      <c r="I1174" s="32" t="str">
        <f>CONCATENATE(UPPER(TableAopCalendar[[#This Row],[Month]])," ",TableAopCalendar[[#This Row],[Year]])</f>
        <v>JUNE 25</v>
      </c>
      <c r="J1174" s="7" t="s">
        <v>274</v>
      </c>
      <c r="K1174" s="32" t="str">
        <f>CONCATENATE(TableAopCalendar[[#This Row],[Month for Plan]]," ",TableAopCalendar[[#This Row],[Plan]])</f>
        <v>JUNE 25 PLANNED</v>
      </c>
    </row>
    <row r="1175" spans="1:11" x14ac:dyDescent="0.3">
      <c r="A1175" s="32">
        <f t="shared" si="69"/>
        <v>3</v>
      </c>
      <c r="B1175" s="33">
        <v>45825</v>
      </c>
      <c r="C1175" s="6" t="s">
        <v>266</v>
      </c>
      <c r="D1175" s="6">
        <v>25</v>
      </c>
      <c r="E1175" s="32">
        <f>DAY(TableAopCalendar[[#This Row],[Date]])</f>
        <v>17</v>
      </c>
      <c r="F1175" s="32">
        <f>IF(TableAopCalendar[[#This Row],[Day]]&lt;8,1,IF(TableAopCalendar[[#This Row],[Day]]&lt;15,2,IF(TableAopCalendar[[#This Row],[Day]]&lt;22,3,IF(TableAopCalendar[[#This Row],[Day]]&lt;29,4,IF(TableAopCalendar[[#This Row],[Day]]&lt;32,5)))))</f>
        <v>3</v>
      </c>
      <c r="G1175" s="32" t="str">
        <f t="shared" si="70"/>
        <v>Week 3</v>
      </c>
      <c r="H1175" s="32" t="str">
        <f t="shared" si="71"/>
        <v>June 25 Week 3</v>
      </c>
      <c r="I1175" s="32" t="str">
        <f>CONCATENATE(UPPER(TableAopCalendar[[#This Row],[Month]])," ",TableAopCalendar[[#This Row],[Year]])</f>
        <v>JUNE 25</v>
      </c>
      <c r="J1175" s="7" t="s">
        <v>274</v>
      </c>
      <c r="K1175" s="32" t="str">
        <f>CONCATENATE(TableAopCalendar[[#This Row],[Month for Plan]]," ",TableAopCalendar[[#This Row],[Plan]])</f>
        <v>JUNE 25 PLANNED</v>
      </c>
    </row>
    <row r="1176" spans="1:11" x14ac:dyDescent="0.3">
      <c r="A1176" s="32">
        <f t="shared" si="69"/>
        <v>4</v>
      </c>
      <c r="B1176" s="33">
        <v>45826</v>
      </c>
      <c r="C1176" s="6" t="s">
        <v>266</v>
      </c>
      <c r="D1176" s="6">
        <v>25</v>
      </c>
      <c r="E1176" s="32">
        <f>DAY(TableAopCalendar[[#This Row],[Date]])</f>
        <v>18</v>
      </c>
      <c r="F1176" s="32">
        <f>IF(TableAopCalendar[[#This Row],[Day]]&lt;8,1,IF(TableAopCalendar[[#This Row],[Day]]&lt;15,2,IF(TableAopCalendar[[#This Row],[Day]]&lt;22,3,IF(TableAopCalendar[[#This Row],[Day]]&lt;29,4,IF(TableAopCalendar[[#This Row],[Day]]&lt;32,5)))))</f>
        <v>3</v>
      </c>
      <c r="G1176" s="32" t="str">
        <f t="shared" si="70"/>
        <v>Week 3</v>
      </c>
      <c r="H1176" s="32" t="str">
        <f t="shared" si="71"/>
        <v>June 25 Week 3</v>
      </c>
      <c r="I1176" s="32" t="str">
        <f>CONCATENATE(UPPER(TableAopCalendar[[#This Row],[Month]])," ",TableAopCalendar[[#This Row],[Year]])</f>
        <v>JUNE 25</v>
      </c>
      <c r="J1176" s="7" t="s">
        <v>274</v>
      </c>
      <c r="K1176" s="32" t="str">
        <f>CONCATENATE(TableAopCalendar[[#This Row],[Month for Plan]]," ",TableAopCalendar[[#This Row],[Plan]])</f>
        <v>JUNE 25 PLANNED</v>
      </c>
    </row>
    <row r="1177" spans="1:11" x14ac:dyDescent="0.3">
      <c r="A1177" s="32">
        <f t="shared" si="69"/>
        <v>5</v>
      </c>
      <c r="B1177" s="33">
        <v>45827</v>
      </c>
      <c r="C1177" s="6" t="s">
        <v>266</v>
      </c>
      <c r="D1177" s="6">
        <v>25</v>
      </c>
      <c r="E1177" s="32">
        <f>DAY(TableAopCalendar[[#This Row],[Date]])</f>
        <v>19</v>
      </c>
      <c r="F1177" s="32">
        <f>IF(TableAopCalendar[[#This Row],[Day]]&lt;8,1,IF(TableAopCalendar[[#This Row],[Day]]&lt;15,2,IF(TableAopCalendar[[#This Row],[Day]]&lt;22,3,IF(TableAopCalendar[[#This Row],[Day]]&lt;29,4,IF(TableAopCalendar[[#This Row],[Day]]&lt;32,5)))))</f>
        <v>3</v>
      </c>
      <c r="G1177" s="32" t="str">
        <f t="shared" si="70"/>
        <v>Week 3</v>
      </c>
      <c r="H1177" s="32" t="str">
        <f t="shared" si="71"/>
        <v>June 25 Week 3</v>
      </c>
      <c r="I1177" s="32" t="str">
        <f>CONCATENATE(UPPER(TableAopCalendar[[#This Row],[Month]])," ",TableAopCalendar[[#This Row],[Year]])</f>
        <v>JUNE 25</v>
      </c>
      <c r="J1177" s="7" t="s">
        <v>274</v>
      </c>
      <c r="K1177" s="32" t="str">
        <f>CONCATENATE(TableAopCalendar[[#This Row],[Month for Plan]]," ",TableAopCalendar[[#This Row],[Plan]])</f>
        <v>JUNE 25 PLANNED</v>
      </c>
    </row>
    <row r="1178" spans="1:11" x14ac:dyDescent="0.3">
      <c r="A1178" s="32">
        <f t="shared" si="69"/>
        <v>6</v>
      </c>
      <c r="B1178" s="33">
        <v>45828</v>
      </c>
      <c r="C1178" s="6" t="s">
        <v>266</v>
      </c>
      <c r="D1178" s="6">
        <v>25</v>
      </c>
      <c r="E1178" s="32">
        <f>DAY(TableAopCalendar[[#This Row],[Date]])</f>
        <v>20</v>
      </c>
      <c r="F1178" s="32">
        <f>IF(TableAopCalendar[[#This Row],[Day]]&lt;8,1,IF(TableAopCalendar[[#This Row],[Day]]&lt;15,2,IF(TableAopCalendar[[#This Row],[Day]]&lt;22,3,IF(TableAopCalendar[[#This Row],[Day]]&lt;29,4,IF(TableAopCalendar[[#This Row],[Day]]&lt;32,5)))))</f>
        <v>3</v>
      </c>
      <c r="G1178" s="32" t="str">
        <f t="shared" si="70"/>
        <v>Week 3</v>
      </c>
      <c r="H1178" s="32" t="str">
        <f t="shared" si="71"/>
        <v>June 25 Week 3</v>
      </c>
      <c r="I1178" s="32" t="str">
        <f>CONCATENATE(UPPER(TableAopCalendar[[#This Row],[Month]])," ",TableAopCalendar[[#This Row],[Year]])</f>
        <v>JUNE 25</v>
      </c>
      <c r="J1178" s="7" t="s">
        <v>274</v>
      </c>
      <c r="K1178" s="32" t="str">
        <f>CONCATENATE(TableAopCalendar[[#This Row],[Month for Plan]]," ",TableAopCalendar[[#This Row],[Plan]])</f>
        <v>JUNE 25 PLANNED</v>
      </c>
    </row>
    <row r="1179" spans="1:11" x14ac:dyDescent="0.3">
      <c r="A1179" s="32">
        <f t="shared" si="69"/>
        <v>7</v>
      </c>
      <c r="B1179" s="33">
        <v>45829</v>
      </c>
      <c r="C1179" s="6" t="s">
        <v>266</v>
      </c>
      <c r="D1179" s="6">
        <v>25</v>
      </c>
      <c r="E1179" s="32">
        <f>DAY(TableAopCalendar[[#This Row],[Date]])</f>
        <v>21</v>
      </c>
      <c r="F1179" s="32">
        <f>IF(TableAopCalendar[[#This Row],[Day]]&lt;8,1,IF(TableAopCalendar[[#This Row],[Day]]&lt;15,2,IF(TableAopCalendar[[#This Row],[Day]]&lt;22,3,IF(TableAopCalendar[[#This Row],[Day]]&lt;29,4,IF(TableAopCalendar[[#This Row],[Day]]&lt;32,5)))))</f>
        <v>3</v>
      </c>
      <c r="G1179" s="32" t="str">
        <f t="shared" si="70"/>
        <v>Week 3</v>
      </c>
      <c r="H1179" s="32" t="str">
        <f t="shared" si="71"/>
        <v>June 25 Week 3</v>
      </c>
      <c r="I1179" s="32" t="str">
        <f>CONCATENATE(UPPER(TableAopCalendar[[#This Row],[Month]])," ",TableAopCalendar[[#This Row],[Year]])</f>
        <v>JUNE 25</v>
      </c>
      <c r="J1179" s="7" t="s">
        <v>274</v>
      </c>
      <c r="K1179" s="32" t="str">
        <f>CONCATENATE(TableAopCalendar[[#This Row],[Month for Plan]]," ",TableAopCalendar[[#This Row],[Plan]])</f>
        <v>JUNE 25 PLANNED</v>
      </c>
    </row>
    <row r="1180" spans="1:11" x14ac:dyDescent="0.3">
      <c r="A1180" s="32">
        <f t="shared" si="69"/>
        <v>1</v>
      </c>
      <c r="B1180" s="33">
        <v>45830</v>
      </c>
      <c r="C1180" s="6" t="s">
        <v>266</v>
      </c>
      <c r="D1180" s="6">
        <v>25</v>
      </c>
      <c r="E1180" s="32">
        <f>DAY(TableAopCalendar[[#This Row],[Date]])</f>
        <v>22</v>
      </c>
      <c r="F1180" s="32">
        <f>IF(TableAopCalendar[[#This Row],[Day]]&lt;8,1,IF(TableAopCalendar[[#This Row],[Day]]&lt;15,2,IF(TableAopCalendar[[#This Row],[Day]]&lt;22,3,IF(TableAopCalendar[[#This Row],[Day]]&lt;29,4,IF(TableAopCalendar[[#This Row],[Day]]&lt;32,5)))))</f>
        <v>4</v>
      </c>
      <c r="G1180" s="32" t="str">
        <f t="shared" si="70"/>
        <v>Week 4</v>
      </c>
      <c r="H1180" s="32" t="str">
        <f t="shared" si="71"/>
        <v>June 25 Week 4</v>
      </c>
      <c r="I1180" s="32" t="str">
        <f>CONCATENATE(UPPER(TableAopCalendar[[#This Row],[Month]])," ",TableAopCalendar[[#This Row],[Year]])</f>
        <v>JUNE 25</v>
      </c>
      <c r="J1180" s="7" t="s">
        <v>274</v>
      </c>
      <c r="K1180" s="32" t="str">
        <f>CONCATENATE(TableAopCalendar[[#This Row],[Month for Plan]]," ",TableAopCalendar[[#This Row],[Plan]])</f>
        <v>JUNE 25 PLANNED</v>
      </c>
    </row>
    <row r="1181" spans="1:11" x14ac:dyDescent="0.3">
      <c r="A1181" s="32">
        <f t="shared" si="69"/>
        <v>2</v>
      </c>
      <c r="B1181" s="33">
        <v>45831</v>
      </c>
      <c r="C1181" s="6" t="s">
        <v>266</v>
      </c>
      <c r="D1181" s="6">
        <v>25</v>
      </c>
      <c r="E1181" s="32">
        <f>DAY(TableAopCalendar[[#This Row],[Date]])</f>
        <v>23</v>
      </c>
      <c r="F1181" s="32">
        <f>IF(TableAopCalendar[[#This Row],[Day]]&lt;8,1,IF(TableAopCalendar[[#This Row],[Day]]&lt;15,2,IF(TableAopCalendar[[#This Row],[Day]]&lt;22,3,IF(TableAopCalendar[[#This Row],[Day]]&lt;29,4,IF(TableAopCalendar[[#This Row],[Day]]&lt;32,5)))))</f>
        <v>4</v>
      </c>
      <c r="G1181" s="32" t="str">
        <f t="shared" si="70"/>
        <v>Week 4</v>
      </c>
      <c r="H1181" s="32" t="str">
        <f t="shared" si="71"/>
        <v>June 25 Week 4</v>
      </c>
      <c r="I1181" s="32" t="str">
        <f>CONCATENATE(UPPER(TableAopCalendar[[#This Row],[Month]])," ",TableAopCalendar[[#This Row],[Year]])</f>
        <v>JUNE 25</v>
      </c>
      <c r="J1181" s="7" t="s">
        <v>274</v>
      </c>
      <c r="K1181" s="32" t="str">
        <f>CONCATENATE(TableAopCalendar[[#This Row],[Month for Plan]]," ",TableAopCalendar[[#This Row],[Plan]])</f>
        <v>JUNE 25 PLANNED</v>
      </c>
    </row>
    <row r="1182" spans="1:11" x14ac:dyDescent="0.3">
      <c r="A1182" s="32">
        <f t="shared" si="69"/>
        <v>3</v>
      </c>
      <c r="B1182" s="33">
        <v>45832</v>
      </c>
      <c r="C1182" s="6" t="s">
        <v>266</v>
      </c>
      <c r="D1182" s="6">
        <v>25</v>
      </c>
      <c r="E1182" s="32">
        <f>DAY(TableAopCalendar[[#This Row],[Date]])</f>
        <v>24</v>
      </c>
      <c r="F1182" s="32">
        <f>IF(TableAopCalendar[[#This Row],[Day]]&lt;8,1,IF(TableAopCalendar[[#This Row],[Day]]&lt;15,2,IF(TableAopCalendar[[#This Row],[Day]]&lt;22,3,IF(TableAopCalendar[[#This Row],[Day]]&lt;29,4,IF(TableAopCalendar[[#This Row],[Day]]&lt;32,5)))))</f>
        <v>4</v>
      </c>
      <c r="G1182" s="32" t="str">
        <f t="shared" si="70"/>
        <v>Week 4</v>
      </c>
      <c r="H1182" s="32" t="str">
        <f t="shared" si="71"/>
        <v>June 25 Week 4</v>
      </c>
      <c r="I1182" s="32" t="str">
        <f>CONCATENATE(UPPER(TableAopCalendar[[#This Row],[Month]])," ",TableAopCalendar[[#This Row],[Year]])</f>
        <v>JUNE 25</v>
      </c>
      <c r="J1182" s="7" t="s">
        <v>274</v>
      </c>
      <c r="K1182" s="32" t="str">
        <f>CONCATENATE(TableAopCalendar[[#This Row],[Month for Plan]]," ",TableAopCalendar[[#This Row],[Plan]])</f>
        <v>JUNE 25 PLANNED</v>
      </c>
    </row>
    <row r="1183" spans="1:11" x14ac:dyDescent="0.3">
      <c r="A1183" s="32">
        <f t="shared" si="69"/>
        <v>4</v>
      </c>
      <c r="B1183" s="33">
        <v>45833</v>
      </c>
      <c r="C1183" s="6" t="s">
        <v>266</v>
      </c>
      <c r="D1183" s="6">
        <v>25</v>
      </c>
      <c r="E1183" s="32">
        <f>DAY(TableAopCalendar[[#This Row],[Date]])</f>
        <v>25</v>
      </c>
      <c r="F1183" s="32">
        <f>IF(TableAopCalendar[[#This Row],[Day]]&lt;8,1,IF(TableAopCalendar[[#This Row],[Day]]&lt;15,2,IF(TableAopCalendar[[#This Row],[Day]]&lt;22,3,IF(TableAopCalendar[[#This Row],[Day]]&lt;29,4,IF(TableAopCalendar[[#This Row],[Day]]&lt;32,5)))))</f>
        <v>4</v>
      </c>
      <c r="G1183" s="32" t="str">
        <f t="shared" si="70"/>
        <v>Week 4</v>
      </c>
      <c r="H1183" s="32" t="str">
        <f t="shared" si="71"/>
        <v>June 25 Week 4</v>
      </c>
      <c r="I1183" s="32" t="str">
        <f>CONCATENATE(UPPER(TableAopCalendar[[#This Row],[Month]])," ",TableAopCalendar[[#This Row],[Year]])</f>
        <v>JUNE 25</v>
      </c>
      <c r="J1183" s="7" t="s">
        <v>274</v>
      </c>
      <c r="K1183" s="32" t="str">
        <f>CONCATENATE(TableAopCalendar[[#This Row],[Month for Plan]]," ",TableAopCalendar[[#This Row],[Plan]])</f>
        <v>JUNE 25 PLANNED</v>
      </c>
    </row>
    <row r="1184" spans="1:11" x14ac:dyDescent="0.3">
      <c r="A1184" s="32">
        <f t="shared" si="69"/>
        <v>5</v>
      </c>
      <c r="B1184" s="33">
        <v>45834</v>
      </c>
      <c r="C1184" s="6" t="s">
        <v>266</v>
      </c>
      <c r="D1184" s="6">
        <v>25</v>
      </c>
      <c r="E1184" s="32">
        <f>DAY(TableAopCalendar[[#This Row],[Date]])</f>
        <v>26</v>
      </c>
      <c r="F1184" s="32">
        <f>IF(TableAopCalendar[[#This Row],[Day]]&lt;8,1,IF(TableAopCalendar[[#This Row],[Day]]&lt;15,2,IF(TableAopCalendar[[#This Row],[Day]]&lt;22,3,IF(TableAopCalendar[[#This Row],[Day]]&lt;29,4,IF(TableAopCalendar[[#This Row],[Day]]&lt;32,5)))))</f>
        <v>4</v>
      </c>
      <c r="G1184" s="32" t="str">
        <f t="shared" si="70"/>
        <v>Week 4</v>
      </c>
      <c r="H1184" s="32" t="str">
        <f t="shared" si="71"/>
        <v>June 25 Week 4</v>
      </c>
      <c r="I1184" s="32" t="str">
        <f>CONCATENATE(UPPER(TableAopCalendar[[#This Row],[Month]])," ",TableAopCalendar[[#This Row],[Year]])</f>
        <v>JUNE 25</v>
      </c>
      <c r="J1184" s="7" t="s">
        <v>274</v>
      </c>
      <c r="K1184" s="32" t="str">
        <f>CONCATENATE(TableAopCalendar[[#This Row],[Month for Plan]]," ",TableAopCalendar[[#This Row],[Plan]])</f>
        <v>JUNE 25 PLANNED</v>
      </c>
    </row>
    <row r="1185" spans="1:11" x14ac:dyDescent="0.3">
      <c r="A1185" s="32">
        <f t="shared" si="69"/>
        <v>6</v>
      </c>
      <c r="B1185" s="33">
        <v>45835</v>
      </c>
      <c r="C1185" s="6" t="s">
        <v>266</v>
      </c>
      <c r="D1185" s="6">
        <v>25</v>
      </c>
      <c r="E1185" s="32">
        <f>DAY(TableAopCalendar[[#This Row],[Date]])</f>
        <v>27</v>
      </c>
      <c r="F1185" s="32">
        <f>IF(TableAopCalendar[[#This Row],[Day]]&lt;8,1,IF(TableAopCalendar[[#This Row],[Day]]&lt;15,2,IF(TableAopCalendar[[#This Row],[Day]]&lt;22,3,IF(TableAopCalendar[[#This Row],[Day]]&lt;29,4,IF(TableAopCalendar[[#This Row],[Day]]&lt;32,5)))))</f>
        <v>4</v>
      </c>
      <c r="G1185" s="32" t="str">
        <f t="shared" si="70"/>
        <v>Week 4</v>
      </c>
      <c r="H1185" s="32" t="str">
        <f t="shared" si="71"/>
        <v>June 25 Week 4</v>
      </c>
      <c r="I1185" s="32" t="str">
        <f>CONCATENATE(UPPER(TableAopCalendar[[#This Row],[Month]])," ",TableAopCalendar[[#This Row],[Year]])</f>
        <v>JUNE 25</v>
      </c>
      <c r="J1185" s="7" t="s">
        <v>274</v>
      </c>
      <c r="K1185" s="32" t="str">
        <f>CONCATENATE(TableAopCalendar[[#This Row],[Month for Plan]]," ",TableAopCalendar[[#This Row],[Plan]])</f>
        <v>JUNE 25 PLANNED</v>
      </c>
    </row>
    <row r="1186" spans="1:11" x14ac:dyDescent="0.3">
      <c r="A1186" s="32">
        <f t="shared" si="69"/>
        <v>7</v>
      </c>
      <c r="B1186" s="33">
        <v>45836</v>
      </c>
      <c r="C1186" s="6" t="s">
        <v>266</v>
      </c>
      <c r="D1186" s="6">
        <v>25</v>
      </c>
      <c r="E1186" s="32">
        <f>DAY(TableAopCalendar[[#This Row],[Date]])</f>
        <v>28</v>
      </c>
      <c r="F1186" s="32">
        <f>IF(TableAopCalendar[[#This Row],[Day]]&lt;8,1,IF(TableAopCalendar[[#This Row],[Day]]&lt;15,2,IF(TableAopCalendar[[#This Row],[Day]]&lt;22,3,IF(TableAopCalendar[[#This Row],[Day]]&lt;29,4,IF(TableAopCalendar[[#This Row],[Day]]&lt;32,5)))))</f>
        <v>4</v>
      </c>
      <c r="G1186" s="32" t="str">
        <f t="shared" si="70"/>
        <v>Week 4</v>
      </c>
      <c r="H1186" s="32" t="str">
        <f t="shared" si="71"/>
        <v>June 25 Week 4</v>
      </c>
      <c r="I1186" s="32" t="str">
        <f>CONCATENATE(UPPER(TableAopCalendar[[#This Row],[Month]])," ",TableAopCalendar[[#This Row],[Year]])</f>
        <v>JUNE 25</v>
      </c>
      <c r="J1186" s="7" t="s">
        <v>274</v>
      </c>
      <c r="K1186" s="32" t="str">
        <f>CONCATENATE(TableAopCalendar[[#This Row],[Month for Plan]]," ",TableAopCalendar[[#This Row],[Plan]])</f>
        <v>JUNE 25 PLANNED</v>
      </c>
    </row>
    <row r="1187" spans="1:11" x14ac:dyDescent="0.3">
      <c r="A1187" s="32">
        <f t="shared" si="69"/>
        <v>1</v>
      </c>
      <c r="B1187" s="33">
        <v>45837</v>
      </c>
      <c r="C1187" s="6" t="s">
        <v>266</v>
      </c>
      <c r="D1187" s="6">
        <v>25</v>
      </c>
      <c r="E1187" s="32">
        <f>DAY(TableAopCalendar[[#This Row],[Date]])</f>
        <v>29</v>
      </c>
      <c r="F1187" s="32">
        <f>IF(TableAopCalendar[[#This Row],[Day]]&lt;8,1,IF(TableAopCalendar[[#This Row],[Day]]&lt;15,2,IF(TableAopCalendar[[#This Row],[Day]]&lt;22,3,IF(TableAopCalendar[[#This Row],[Day]]&lt;29,4,IF(TableAopCalendar[[#This Row],[Day]]&lt;32,5)))))</f>
        <v>5</v>
      </c>
      <c r="G1187" s="32" t="str">
        <f t="shared" si="70"/>
        <v>Week 5</v>
      </c>
      <c r="H1187" s="32" t="str">
        <f t="shared" si="71"/>
        <v>June 25 Week 5</v>
      </c>
      <c r="I1187" s="32" t="str">
        <f>CONCATENATE(UPPER(TableAopCalendar[[#This Row],[Month]])," ",TableAopCalendar[[#This Row],[Year]])</f>
        <v>JUNE 25</v>
      </c>
      <c r="J1187" s="7" t="s">
        <v>274</v>
      </c>
      <c r="K1187" s="32" t="str">
        <f>CONCATENATE(TableAopCalendar[[#This Row],[Month for Plan]]," ",TableAopCalendar[[#This Row],[Plan]])</f>
        <v>JUNE 25 PLANNED</v>
      </c>
    </row>
    <row r="1188" spans="1:11" x14ac:dyDescent="0.3">
      <c r="A1188" s="32">
        <f t="shared" si="69"/>
        <v>2</v>
      </c>
      <c r="B1188" s="33">
        <v>45838</v>
      </c>
      <c r="C1188" s="6" t="s">
        <v>266</v>
      </c>
      <c r="D1188" s="6">
        <v>25</v>
      </c>
      <c r="E1188" s="32">
        <f>DAY(TableAopCalendar[[#This Row],[Date]])</f>
        <v>30</v>
      </c>
      <c r="F1188" s="32">
        <f>IF(TableAopCalendar[[#This Row],[Day]]&lt;8,1,IF(TableAopCalendar[[#This Row],[Day]]&lt;15,2,IF(TableAopCalendar[[#This Row],[Day]]&lt;22,3,IF(TableAopCalendar[[#This Row],[Day]]&lt;29,4,IF(TableAopCalendar[[#This Row],[Day]]&lt;32,5)))))</f>
        <v>5</v>
      </c>
      <c r="G1188" s="32" t="str">
        <f t="shared" si="70"/>
        <v>Week 5</v>
      </c>
      <c r="H1188" s="32" t="str">
        <f t="shared" si="71"/>
        <v>June 25 Week 5</v>
      </c>
      <c r="I1188" s="32" t="str">
        <f>CONCATENATE(UPPER(TableAopCalendar[[#This Row],[Month]])," ",TableAopCalendar[[#This Row],[Year]])</f>
        <v>JUNE 25</v>
      </c>
      <c r="J1188" s="7" t="s">
        <v>274</v>
      </c>
      <c r="K1188" s="32" t="str">
        <f>CONCATENATE(TableAopCalendar[[#This Row],[Month for Plan]]," ",TableAopCalendar[[#This Row],[Plan]])</f>
        <v>JUNE 25 PLANNED</v>
      </c>
    </row>
    <row r="1189" spans="1:11" x14ac:dyDescent="0.3">
      <c r="A1189" s="32">
        <f t="shared" si="69"/>
        <v>1</v>
      </c>
      <c r="B1189" s="33">
        <v>45839</v>
      </c>
      <c r="C1189" s="6" t="s">
        <v>267</v>
      </c>
      <c r="D1189" s="6">
        <v>25</v>
      </c>
      <c r="E1189" s="32">
        <f>DAY(TableAopCalendar[[#This Row],[Date]])</f>
        <v>1</v>
      </c>
      <c r="F1189" s="32">
        <f>IF(TableAopCalendar[[#This Row],[Day]]&lt;8,1,IF(TableAopCalendar[[#This Row],[Day]]&lt;15,2,IF(TableAopCalendar[[#This Row],[Day]]&lt;22,3,IF(TableAopCalendar[[#This Row],[Day]]&lt;29,4,IF(TableAopCalendar[[#This Row],[Day]]&lt;32,5)))))</f>
        <v>1</v>
      </c>
      <c r="G1189" s="32" t="str">
        <f t="shared" si="70"/>
        <v>Week 1</v>
      </c>
      <c r="H1189" s="32" t="str">
        <f t="shared" si="71"/>
        <v>July 25 Week 1</v>
      </c>
      <c r="I1189" s="32" t="str">
        <f>CONCATENATE(UPPER(TableAopCalendar[[#This Row],[Month]])," ",TableAopCalendar[[#This Row],[Year]])</f>
        <v>JULY 25</v>
      </c>
      <c r="J1189" s="7" t="s">
        <v>274</v>
      </c>
      <c r="K1189" s="32" t="str">
        <f>CONCATENATE(TableAopCalendar[[#This Row],[Month for Plan]]," ",TableAopCalendar[[#This Row],[Plan]])</f>
        <v>JULY 25 PLANNED</v>
      </c>
    </row>
    <row r="1190" spans="1:11" x14ac:dyDescent="0.3">
      <c r="A1190" s="32">
        <f t="shared" si="69"/>
        <v>2</v>
      </c>
      <c r="B1190" s="33">
        <v>45840</v>
      </c>
      <c r="C1190" s="6" t="s">
        <v>267</v>
      </c>
      <c r="D1190" s="6">
        <v>25</v>
      </c>
      <c r="E1190" s="32">
        <f>DAY(TableAopCalendar[[#This Row],[Date]])</f>
        <v>2</v>
      </c>
      <c r="F1190" s="32">
        <f>IF(TableAopCalendar[[#This Row],[Day]]&lt;8,1,IF(TableAopCalendar[[#This Row],[Day]]&lt;15,2,IF(TableAopCalendar[[#This Row],[Day]]&lt;22,3,IF(TableAopCalendar[[#This Row],[Day]]&lt;29,4,IF(TableAopCalendar[[#This Row],[Day]]&lt;32,5)))))</f>
        <v>1</v>
      </c>
      <c r="G1190" s="32" t="str">
        <f t="shared" si="70"/>
        <v>Week 1</v>
      </c>
      <c r="H1190" s="32" t="str">
        <f t="shared" si="71"/>
        <v>July 25 Week 1</v>
      </c>
      <c r="I1190" s="32" t="str">
        <f>CONCATENATE(UPPER(TableAopCalendar[[#This Row],[Month]])," ",TableAopCalendar[[#This Row],[Year]])</f>
        <v>JULY 25</v>
      </c>
      <c r="J1190" s="7" t="s">
        <v>274</v>
      </c>
      <c r="K1190" s="32" t="str">
        <f>CONCATENATE(TableAopCalendar[[#This Row],[Month for Plan]]," ",TableAopCalendar[[#This Row],[Plan]])</f>
        <v>JULY 25 PLANNED</v>
      </c>
    </row>
    <row r="1191" spans="1:11" x14ac:dyDescent="0.3">
      <c r="A1191" s="32">
        <f t="shared" si="69"/>
        <v>3</v>
      </c>
      <c r="B1191" s="33">
        <v>45841</v>
      </c>
      <c r="C1191" s="6" t="s">
        <v>267</v>
      </c>
      <c r="D1191" s="6">
        <v>25</v>
      </c>
      <c r="E1191" s="32">
        <f>DAY(TableAopCalendar[[#This Row],[Date]])</f>
        <v>3</v>
      </c>
      <c r="F1191" s="32">
        <f>IF(TableAopCalendar[[#This Row],[Day]]&lt;8,1,IF(TableAopCalendar[[#This Row],[Day]]&lt;15,2,IF(TableAopCalendar[[#This Row],[Day]]&lt;22,3,IF(TableAopCalendar[[#This Row],[Day]]&lt;29,4,IF(TableAopCalendar[[#This Row],[Day]]&lt;32,5)))))</f>
        <v>1</v>
      </c>
      <c r="G1191" s="32" t="str">
        <f t="shared" si="70"/>
        <v>Week 1</v>
      </c>
      <c r="H1191" s="32" t="str">
        <f t="shared" si="71"/>
        <v>July 25 Week 1</v>
      </c>
      <c r="I1191" s="32" t="str">
        <f>CONCATENATE(UPPER(TableAopCalendar[[#This Row],[Month]])," ",TableAopCalendar[[#This Row],[Year]])</f>
        <v>JULY 25</v>
      </c>
      <c r="J1191" s="7" t="s">
        <v>274</v>
      </c>
      <c r="K1191" s="32" t="str">
        <f>CONCATENATE(TableAopCalendar[[#This Row],[Month for Plan]]," ",TableAopCalendar[[#This Row],[Plan]])</f>
        <v>JULY 25 PLANNED</v>
      </c>
    </row>
    <row r="1192" spans="1:11" x14ac:dyDescent="0.3">
      <c r="A1192" s="32">
        <f t="shared" si="69"/>
        <v>4</v>
      </c>
      <c r="B1192" s="33">
        <v>45842</v>
      </c>
      <c r="C1192" s="6" t="s">
        <v>267</v>
      </c>
      <c r="D1192" s="6">
        <v>25</v>
      </c>
      <c r="E1192" s="32">
        <f>DAY(TableAopCalendar[[#This Row],[Date]])</f>
        <v>4</v>
      </c>
      <c r="F1192" s="32">
        <f>IF(TableAopCalendar[[#This Row],[Day]]&lt;8,1,IF(TableAopCalendar[[#This Row],[Day]]&lt;15,2,IF(TableAopCalendar[[#This Row],[Day]]&lt;22,3,IF(TableAopCalendar[[#This Row],[Day]]&lt;29,4,IF(TableAopCalendar[[#This Row],[Day]]&lt;32,5)))))</f>
        <v>1</v>
      </c>
      <c r="G1192" s="32" t="str">
        <f t="shared" si="70"/>
        <v>Week 1</v>
      </c>
      <c r="H1192" s="32" t="str">
        <f t="shared" si="71"/>
        <v>July 25 Week 1</v>
      </c>
      <c r="I1192" s="32" t="str">
        <f>CONCATENATE(UPPER(TableAopCalendar[[#This Row],[Month]])," ",TableAopCalendar[[#This Row],[Year]])</f>
        <v>JULY 25</v>
      </c>
      <c r="J1192" s="7" t="s">
        <v>274</v>
      </c>
      <c r="K1192" s="32" t="str">
        <f>CONCATENATE(TableAopCalendar[[#This Row],[Month for Plan]]," ",TableAopCalendar[[#This Row],[Plan]])</f>
        <v>JULY 25 PLANNED</v>
      </c>
    </row>
    <row r="1193" spans="1:11" x14ac:dyDescent="0.3">
      <c r="A1193" s="32">
        <f t="shared" si="69"/>
        <v>5</v>
      </c>
      <c r="B1193" s="33">
        <v>45843</v>
      </c>
      <c r="C1193" s="6" t="s">
        <v>267</v>
      </c>
      <c r="D1193" s="6">
        <v>25</v>
      </c>
      <c r="E1193" s="32">
        <f>DAY(TableAopCalendar[[#This Row],[Date]])</f>
        <v>5</v>
      </c>
      <c r="F1193" s="32">
        <f>IF(TableAopCalendar[[#This Row],[Day]]&lt;8,1,IF(TableAopCalendar[[#This Row],[Day]]&lt;15,2,IF(TableAopCalendar[[#This Row],[Day]]&lt;22,3,IF(TableAopCalendar[[#This Row],[Day]]&lt;29,4,IF(TableAopCalendar[[#This Row],[Day]]&lt;32,5)))))</f>
        <v>1</v>
      </c>
      <c r="G1193" s="32" t="str">
        <f t="shared" si="70"/>
        <v>Week 1</v>
      </c>
      <c r="H1193" s="32" t="str">
        <f t="shared" si="71"/>
        <v>July 25 Week 1</v>
      </c>
      <c r="I1193" s="32" t="str">
        <f>CONCATENATE(UPPER(TableAopCalendar[[#This Row],[Month]])," ",TableAopCalendar[[#This Row],[Year]])</f>
        <v>JULY 25</v>
      </c>
      <c r="J1193" s="7" t="s">
        <v>274</v>
      </c>
      <c r="K1193" s="32" t="str">
        <f>CONCATENATE(TableAopCalendar[[#This Row],[Month for Plan]]," ",TableAopCalendar[[#This Row],[Plan]])</f>
        <v>JULY 25 PLANNED</v>
      </c>
    </row>
    <row r="1194" spans="1:11" x14ac:dyDescent="0.3">
      <c r="A1194" s="32">
        <f t="shared" si="69"/>
        <v>6</v>
      </c>
      <c r="B1194" s="33">
        <v>45844</v>
      </c>
      <c r="C1194" s="6" t="s">
        <v>267</v>
      </c>
      <c r="D1194" s="6">
        <v>25</v>
      </c>
      <c r="E1194" s="32">
        <f>DAY(TableAopCalendar[[#This Row],[Date]])</f>
        <v>6</v>
      </c>
      <c r="F1194" s="32">
        <f>IF(TableAopCalendar[[#This Row],[Day]]&lt;8,1,IF(TableAopCalendar[[#This Row],[Day]]&lt;15,2,IF(TableAopCalendar[[#This Row],[Day]]&lt;22,3,IF(TableAopCalendar[[#This Row],[Day]]&lt;29,4,IF(TableAopCalendar[[#This Row],[Day]]&lt;32,5)))))</f>
        <v>1</v>
      </c>
      <c r="G1194" s="32" t="str">
        <f t="shared" si="70"/>
        <v>Week 1</v>
      </c>
      <c r="H1194" s="32" t="str">
        <f t="shared" si="71"/>
        <v>July 25 Week 1</v>
      </c>
      <c r="I1194" s="32" t="str">
        <f>CONCATENATE(UPPER(TableAopCalendar[[#This Row],[Month]])," ",TableAopCalendar[[#This Row],[Year]])</f>
        <v>JULY 25</v>
      </c>
      <c r="J1194" s="7" t="s">
        <v>274</v>
      </c>
      <c r="K1194" s="32" t="str">
        <f>CONCATENATE(TableAopCalendar[[#This Row],[Month for Plan]]," ",TableAopCalendar[[#This Row],[Plan]])</f>
        <v>JULY 25 PLANNED</v>
      </c>
    </row>
    <row r="1195" spans="1:11" x14ac:dyDescent="0.3">
      <c r="A1195" s="32">
        <f t="shared" si="69"/>
        <v>7</v>
      </c>
      <c r="B1195" s="33">
        <v>45845</v>
      </c>
      <c r="C1195" s="6" t="s">
        <v>267</v>
      </c>
      <c r="D1195" s="6">
        <v>25</v>
      </c>
      <c r="E1195" s="32">
        <f>DAY(TableAopCalendar[[#This Row],[Date]])</f>
        <v>7</v>
      </c>
      <c r="F1195" s="32">
        <f>IF(TableAopCalendar[[#This Row],[Day]]&lt;8,1,IF(TableAopCalendar[[#This Row],[Day]]&lt;15,2,IF(TableAopCalendar[[#This Row],[Day]]&lt;22,3,IF(TableAopCalendar[[#This Row],[Day]]&lt;29,4,IF(TableAopCalendar[[#This Row],[Day]]&lt;32,5)))))</f>
        <v>1</v>
      </c>
      <c r="G1195" s="32" t="str">
        <f t="shared" si="70"/>
        <v>Week 1</v>
      </c>
      <c r="H1195" s="32" t="str">
        <f t="shared" si="71"/>
        <v>July 25 Week 1</v>
      </c>
      <c r="I1195" s="32" t="str">
        <f>CONCATENATE(UPPER(TableAopCalendar[[#This Row],[Month]])," ",TableAopCalendar[[#This Row],[Year]])</f>
        <v>JULY 25</v>
      </c>
      <c r="J1195" s="7" t="s">
        <v>274</v>
      </c>
      <c r="K1195" s="32" t="str">
        <f>CONCATENATE(TableAopCalendar[[#This Row],[Month for Plan]]," ",TableAopCalendar[[#This Row],[Plan]])</f>
        <v>JULY 25 PLANNED</v>
      </c>
    </row>
    <row r="1196" spans="1:11" x14ac:dyDescent="0.3">
      <c r="A1196" s="32">
        <f t="shared" si="69"/>
        <v>1</v>
      </c>
      <c r="B1196" s="33">
        <v>45846</v>
      </c>
      <c r="C1196" s="6" t="s">
        <v>267</v>
      </c>
      <c r="D1196" s="6">
        <v>25</v>
      </c>
      <c r="E1196" s="32">
        <f>DAY(TableAopCalendar[[#This Row],[Date]])</f>
        <v>8</v>
      </c>
      <c r="F1196" s="32">
        <f>IF(TableAopCalendar[[#This Row],[Day]]&lt;8,1,IF(TableAopCalendar[[#This Row],[Day]]&lt;15,2,IF(TableAopCalendar[[#This Row],[Day]]&lt;22,3,IF(TableAopCalendar[[#This Row],[Day]]&lt;29,4,IF(TableAopCalendar[[#This Row],[Day]]&lt;32,5)))))</f>
        <v>2</v>
      </c>
      <c r="G1196" s="32" t="str">
        <f t="shared" si="70"/>
        <v>Week 2</v>
      </c>
      <c r="H1196" s="32" t="str">
        <f t="shared" si="71"/>
        <v>July 25 Week 2</v>
      </c>
      <c r="I1196" s="32" t="str">
        <f>CONCATENATE(UPPER(TableAopCalendar[[#This Row],[Month]])," ",TableAopCalendar[[#This Row],[Year]])</f>
        <v>JULY 25</v>
      </c>
      <c r="J1196" s="7" t="s">
        <v>274</v>
      </c>
      <c r="K1196" s="32" t="str">
        <f>CONCATENATE(TableAopCalendar[[#This Row],[Month for Plan]]," ",TableAopCalendar[[#This Row],[Plan]])</f>
        <v>JULY 25 PLANNED</v>
      </c>
    </row>
    <row r="1197" spans="1:11" x14ac:dyDescent="0.3">
      <c r="A1197" s="32">
        <f t="shared" si="69"/>
        <v>2</v>
      </c>
      <c r="B1197" s="33">
        <v>45847</v>
      </c>
      <c r="C1197" s="6" t="s">
        <v>267</v>
      </c>
      <c r="D1197" s="6">
        <v>25</v>
      </c>
      <c r="E1197" s="32">
        <f>DAY(TableAopCalendar[[#This Row],[Date]])</f>
        <v>9</v>
      </c>
      <c r="F1197" s="32">
        <f>IF(TableAopCalendar[[#This Row],[Day]]&lt;8,1,IF(TableAopCalendar[[#This Row],[Day]]&lt;15,2,IF(TableAopCalendar[[#This Row],[Day]]&lt;22,3,IF(TableAopCalendar[[#This Row],[Day]]&lt;29,4,IF(TableAopCalendar[[#This Row],[Day]]&lt;32,5)))))</f>
        <v>2</v>
      </c>
      <c r="G1197" s="32" t="str">
        <f t="shared" si="70"/>
        <v>Week 2</v>
      </c>
      <c r="H1197" s="32" t="str">
        <f t="shared" si="71"/>
        <v>July 25 Week 2</v>
      </c>
      <c r="I1197" s="32" t="str">
        <f>CONCATENATE(UPPER(TableAopCalendar[[#This Row],[Month]])," ",TableAopCalendar[[#This Row],[Year]])</f>
        <v>JULY 25</v>
      </c>
      <c r="J1197" s="7" t="s">
        <v>274</v>
      </c>
      <c r="K1197" s="32" t="str">
        <f>CONCATENATE(TableAopCalendar[[#This Row],[Month for Plan]]," ",TableAopCalendar[[#This Row],[Plan]])</f>
        <v>JULY 25 PLANNED</v>
      </c>
    </row>
    <row r="1198" spans="1:11" x14ac:dyDescent="0.3">
      <c r="A1198" s="32">
        <f t="shared" si="69"/>
        <v>3</v>
      </c>
      <c r="B1198" s="33">
        <v>45848</v>
      </c>
      <c r="C1198" s="6" t="s">
        <v>267</v>
      </c>
      <c r="D1198" s="6">
        <v>25</v>
      </c>
      <c r="E1198" s="32">
        <f>DAY(TableAopCalendar[[#This Row],[Date]])</f>
        <v>10</v>
      </c>
      <c r="F1198" s="32">
        <f>IF(TableAopCalendar[[#This Row],[Day]]&lt;8,1,IF(TableAopCalendar[[#This Row],[Day]]&lt;15,2,IF(TableAopCalendar[[#This Row],[Day]]&lt;22,3,IF(TableAopCalendar[[#This Row],[Day]]&lt;29,4,IF(TableAopCalendar[[#This Row],[Day]]&lt;32,5)))))</f>
        <v>2</v>
      </c>
      <c r="G1198" s="32" t="str">
        <f t="shared" si="70"/>
        <v>Week 2</v>
      </c>
      <c r="H1198" s="32" t="str">
        <f t="shared" si="71"/>
        <v>July 25 Week 2</v>
      </c>
      <c r="I1198" s="32" t="str">
        <f>CONCATENATE(UPPER(TableAopCalendar[[#This Row],[Month]])," ",TableAopCalendar[[#This Row],[Year]])</f>
        <v>JULY 25</v>
      </c>
      <c r="J1198" s="7" t="s">
        <v>274</v>
      </c>
      <c r="K1198" s="32" t="str">
        <f>CONCATENATE(TableAopCalendar[[#This Row],[Month for Plan]]," ",TableAopCalendar[[#This Row],[Plan]])</f>
        <v>JULY 25 PLANNED</v>
      </c>
    </row>
    <row r="1199" spans="1:11" x14ac:dyDescent="0.3">
      <c r="A1199" s="32">
        <f t="shared" si="69"/>
        <v>4</v>
      </c>
      <c r="B1199" s="33">
        <v>45849</v>
      </c>
      <c r="C1199" s="6" t="s">
        <v>267</v>
      </c>
      <c r="D1199" s="6">
        <v>25</v>
      </c>
      <c r="E1199" s="32">
        <f>DAY(TableAopCalendar[[#This Row],[Date]])</f>
        <v>11</v>
      </c>
      <c r="F1199" s="32">
        <f>IF(TableAopCalendar[[#This Row],[Day]]&lt;8,1,IF(TableAopCalendar[[#This Row],[Day]]&lt;15,2,IF(TableAopCalendar[[#This Row],[Day]]&lt;22,3,IF(TableAopCalendar[[#This Row],[Day]]&lt;29,4,IF(TableAopCalendar[[#This Row],[Day]]&lt;32,5)))))</f>
        <v>2</v>
      </c>
      <c r="G1199" s="32" t="str">
        <f t="shared" si="70"/>
        <v>Week 2</v>
      </c>
      <c r="H1199" s="32" t="str">
        <f t="shared" si="71"/>
        <v>July 25 Week 2</v>
      </c>
      <c r="I1199" s="32" t="str">
        <f>CONCATENATE(UPPER(TableAopCalendar[[#This Row],[Month]])," ",TableAopCalendar[[#This Row],[Year]])</f>
        <v>JULY 25</v>
      </c>
      <c r="J1199" s="7" t="s">
        <v>274</v>
      </c>
      <c r="K1199" s="32" t="str">
        <f>CONCATENATE(TableAopCalendar[[#This Row],[Month for Plan]]," ",TableAopCalendar[[#This Row],[Plan]])</f>
        <v>JULY 25 PLANNED</v>
      </c>
    </row>
    <row r="1200" spans="1:11" x14ac:dyDescent="0.3">
      <c r="A1200" s="32">
        <f t="shared" si="69"/>
        <v>5</v>
      </c>
      <c r="B1200" s="33">
        <v>45850</v>
      </c>
      <c r="C1200" s="6" t="s">
        <v>267</v>
      </c>
      <c r="D1200" s="6">
        <v>25</v>
      </c>
      <c r="E1200" s="32">
        <f>DAY(TableAopCalendar[[#This Row],[Date]])</f>
        <v>12</v>
      </c>
      <c r="F1200" s="32">
        <f>IF(TableAopCalendar[[#This Row],[Day]]&lt;8,1,IF(TableAopCalendar[[#This Row],[Day]]&lt;15,2,IF(TableAopCalendar[[#This Row],[Day]]&lt;22,3,IF(TableAopCalendar[[#This Row],[Day]]&lt;29,4,IF(TableAopCalendar[[#This Row],[Day]]&lt;32,5)))))</f>
        <v>2</v>
      </c>
      <c r="G1200" s="32" t="str">
        <f t="shared" si="70"/>
        <v>Week 2</v>
      </c>
      <c r="H1200" s="32" t="str">
        <f t="shared" si="71"/>
        <v>July 25 Week 2</v>
      </c>
      <c r="I1200" s="32" t="str">
        <f>CONCATENATE(UPPER(TableAopCalendar[[#This Row],[Month]])," ",TableAopCalendar[[#This Row],[Year]])</f>
        <v>JULY 25</v>
      </c>
      <c r="J1200" s="7" t="s">
        <v>274</v>
      </c>
      <c r="K1200" s="32" t="str">
        <f>CONCATENATE(TableAopCalendar[[#This Row],[Month for Plan]]," ",TableAopCalendar[[#This Row],[Plan]])</f>
        <v>JULY 25 PLANNED</v>
      </c>
    </row>
    <row r="1201" spans="1:11" x14ac:dyDescent="0.3">
      <c r="A1201" s="32">
        <f t="shared" si="69"/>
        <v>6</v>
      </c>
      <c r="B1201" s="33">
        <v>45851</v>
      </c>
      <c r="C1201" s="6" t="s">
        <v>267</v>
      </c>
      <c r="D1201" s="6">
        <v>25</v>
      </c>
      <c r="E1201" s="32">
        <f>DAY(TableAopCalendar[[#This Row],[Date]])</f>
        <v>13</v>
      </c>
      <c r="F1201" s="32">
        <f>IF(TableAopCalendar[[#This Row],[Day]]&lt;8,1,IF(TableAopCalendar[[#This Row],[Day]]&lt;15,2,IF(TableAopCalendar[[#This Row],[Day]]&lt;22,3,IF(TableAopCalendar[[#This Row],[Day]]&lt;29,4,IF(TableAopCalendar[[#This Row],[Day]]&lt;32,5)))))</f>
        <v>2</v>
      </c>
      <c r="G1201" s="32" t="str">
        <f t="shared" si="70"/>
        <v>Week 2</v>
      </c>
      <c r="H1201" s="32" t="str">
        <f t="shared" si="71"/>
        <v>July 25 Week 2</v>
      </c>
      <c r="I1201" s="32" t="str">
        <f>CONCATENATE(UPPER(TableAopCalendar[[#This Row],[Month]])," ",TableAopCalendar[[#This Row],[Year]])</f>
        <v>JULY 25</v>
      </c>
      <c r="J1201" s="7" t="s">
        <v>274</v>
      </c>
      <c r="K1201" s="32" t="str">
        <f>CONCATENATE(TableAopCalendar[[#This Row],[Month for Plan]]," ",TableAopCalendar[[#This Row],[Plan]])</f>
        <v>JULY 25 PLANNED</v>
      </c>
    </row>
    <row r="1202" spans="1:11" x14ac:dyDescent="0.3">
      <c r="A1202" s="32">
        <f t="shared" si="69"/>
        <v>7</v>
      </c>
      <c r="B1202" s="33">
        <v>45852</v>
      </c>
      <c r="C1202" s="6" t="s">
        <v>267</v>
      </c>
      <c r="D1202" s="6">
        <v>25</v>
      </c>
      <c r="E1202" s="32">
        <f>DAY(TableAopCalendar[[#This Row],[Date]])</f>
        <v>14</v>
      </c>
      <c r="F1202" s="32">
        <f>IF(TableAopCalendar[[#This Row],[Day]]&lt;8,1,IF(TableAopCalendar[[#This Row],[Day]]&lt;15,2,IF(TableAopCalendar[[#This Row],[Day]]&lt;22,3,IF(TableAopCalendar[[#This Row],[Day]]&lt;29,4,IF(TableAopCalendar[[#This Row],[Day]]&lt;32,5)))))</f>
        <v>2</v>
      </c>
      <c r="G1202" s="32" t="str">
        <f t="shared" si="70"/>
        <v>Week 2</v>
      </c>
      <c r="H1202" s="32" t="str">
        <f t="shared" si="71"/>
        <v>July 25 Week 2</v>
      </c>
      <c r="I1202" s="32" t="str">
        <f>CONCATENATE(UPPER(TableAopCalendar[[#This Row],[Month]])," ",TableAopCalendar[[#This Row],[Year]])</f>
        <v>JULY 25</v>
      </c>
      <c r="J1202" s="7" t="s">
        <v>274</v>
      </c>
      <c r="K1202" s="32" t="str">
        <f>CONCATENATE(TableAopCalendar[[#This Row],[Month for Plan]]," ",TableAopCalendar[[#This Row],[Plan]])</f>
        <v>JULY 25 PLANNED</v>
      </c>
    </row>
    <row r="1203" spans="1:11" x14ac:dyDescent="0.3">
      <c r="A1203" s="32">
        <f t="shared" si="69"/>
        <v>1</v>
      </c>
      <c r="B1203" s="33">
        <v>45853</v>
      </c>
      <c r="C1203" s="6" t="s">
        <v>267</v>
      </c>
      <c r="D1203" s="6">
        <v>25</v>
      </c>
      <c r="E1203" s="32">
        <f>DAY(TableAopCalendar[[#This Row],[Date]])</f>
        <v>15</v>
      </c>
      <c r="F1203" s="32">
        <f>IF(TableAopCalendar[[#This Row],[Day]]&lt;8,1,IF(TableAopCalendar[[#This Row],[Day]]&lt;15,2,IF(TableAopCalendar[[#This Row],[Day]]&lt;22,3,IF(TableAopCalendar[[#This Row],[Day]]&lt;29,4,IF(TableAopCalendar[[#This Row],[Day]]&lt;32,5)))))</f>
        <v>3</v>
      </c>
      <c r="G1203" s="32" t="str">
        <f t="shared" si="70"/>
        <v>Week 3</v>
      </c>
      <c r="H1203" s="32" t="str">
        <f t="shared" si="71"/>
        <v>July 25 Week 3</v>
      </c>
      <c r="I1203" s="32" t="str">
        <f>CONCATENATE(UPPER(TableAopCalendar[[#This Row],[Month]])," ",TableAopCalendar[[#This Row],[Year]])</f>
        <v>JULY 25</v>
      </c>
      <c r="J1203" s="7" t="s">
        <v>274</v>
      </c>
      <c r="K1203" s="32" t="str">
        <f>CONCATENATE(TableAopCalendar[[#This Row],[Month for Plan]]," ",TableAopCalendar[[#This Row],[Plan]])</f>
        <v>JULY 25 PLANNED</v>
      </c>
    </row>
    <row r="1204" spans="1:11" x14ac:dyDescent="0.3">
      <c r="A1204" s="32">
        <f t="shared" si="69"/>
        <v>2</v>
      </c>
      <c r="B1204" s="33">
        <v>45854</v>
      </c>
      <c r="C1204" s="6" t="s">
        <v>267</v>
      </c>
      <c r="D1204" s="6">
        <v>25</v>
      </c>
      <c r="E1204" s="32">
        <f>DAY(TableAopCalendar[[#This Row],[Date]])</f>
        <v>16</v>
      </c>
      <c r="F1204" s="32">
        <f>IF(TableAopCalendar[[#This Row],[Day]]&lt;8,1,IF(TableAopCalendar[[#This Row],[Day]]&lt;15,2,IF(TableAopCalendar[[#This Row],[Day]]&lt;22,3,IF(TableAopCalendar[[#This Row],[Day]]&lt;29,4,IF(TableAopCalendar[[#This Row],[Day]]&lt;32,5)))))</f>
        <v>3</v>
      </c>
      <c r="G1204" s="32" t="str">
        <f t="shared" si="70"/>
        <v>Week 3</v>
      </c>
      <c r="H1204" s="32" t="str">
        <f t="shared" si="71"/>
        <v>July 25 Week 3</v>
      </c>
      <c r="I1204" s="32" t="str">
        <f>CONCATENATE(UPPER(TableAopCalendar[[#This Row],[Month]])," ",TableAopCalendar[[#This Row],[Year]])</f>
        <v>JULY 25</v>
      </c>
      <c r="J1204" s="7" t="s">
        <v>274</v>
      </c>
      <c r="K1204" s="32" t="str">
        <f>CONCATENATE(TableAopCalendar[[#This Row],[Month for Plan]]," ",TableAopCalendar[[#This Row],[Plan]])</f>
        <v>JULY 25 PLANNED</v>
      </c>
    </row>
    <row r="1205" spans="1:11" x14ac:dyDescent="0.3">
      <c r="A1205" s="32">
        <f t="shared" si="69"/>
        <v>3</v>
      </c>
      <c r="B1205" s="33">
        <v>45855</v>
      </c>
      <c r="C1205" s="6" t="s">
        <v>267</v>
      </c>
      <c r="D1205" s="6">
        <v>25</v>
      </c>
      <c r="E1205" s="32">
        <f>DAY(TableAopCalendar[[#This Row],[Date]])</f>
        <v>17</v>
      </c>
      <c r="F1205" s="32">
        <f>IF(TableAopCalendar[[#This Row],[Day]]&lt;8,1,IF(TableAopCalendar[[#This Row],[Day]]&lt;15,2,IF(TableAopCalendar[[#This Row],[Day]]&lt;22,3,IF(TableAopCalendar[[#This Row],[Day]]&lt;29,4,IF(TableAopCalendar[[#This Row],[Day]]&lt;32,5)))))</f>
        <v>3</v>
      </c>
      <c r="G1205" s="32" t="str">
        <f t="shared" si="70"/>
        <v>Week 3</v>
      </c>
      <c r="H1205" s="32" t="str">
        <f t="shared" si="71"/>
        <v>July 25 Week 3</v>
      </c>
      <c r="I1205" s="32" t="str">
        <f>CONCATENATE(UPPER(TableAopCalendar[[#This Row],[Month]])," ",TableAopCalendar[[#This Row],[Year]])</f>
        <v>JULY 25</v>
      </c>
      <c r="J1205" s="7" t="s">
        <v>274</v>
      </c>
      <c r="K1205" s="32" t="str">
        <f>CONCATENATE(TableAopCalendar[[#This Row],[Month for Plan]]," ",TableAopCalendar[[#This Row],[Plan]])</f>
        <v>JULY 25 PLANNED</v>
      </c>
    </row>
    <row r="1206" spans="1:11" x14ac:dyDescent="0.3">
      <c r="A1206" s="32">
        <f t="shared" si="69"/>
        <v>4</v>
      </c>
      <c r="B1206" s="33">
        <v>45856</v>
      </c>
      <c r="C1206" s="6" t="s">
        <v>267</v>
      </c>
      <c r="D1206" s="6">
        <v>25</v>
      </c>
      <c r="E1206" s="32">
        <f>DAY(TableAopCalendar[[#This Row],[Date]])</f>
        <v>18</v>
      </c>
      <c r="F1206" s="32">
        <f>IF(TableAopCalendar[[#This Row],[Day]]&lt;8,1,IF(TableAopCalendar[[#This Row],[Day]]&lt;15,2,IF(TableAopCalendar[[#This Row],[Day]]&lt;22,3,IF(TableAopCalendar[[#This Row],[Day]]&lt;29,4,IF(TableAopCalendar[[#This Row],[Day]]&lt;32,5)))))</f>
        <v>3</v>
      </c>
      <c r="G1206" s="32" t="str">
        <f t="shared" si="70"/>
        <v>Week 3</v>
      </c>
      <c r="H1206" s="32" t="str">
        <f t="shared" si="71"/>
        <v>July 25 Week 3</v>
      </c>
      <c r="I1206" s="32" t="str">
        <f>CONCATENATE(UPPER(TableAopCalendar[[#This Row],[Month]])," ",TableAopCalendar[[#This Row],[Year]])</f>
        <v>JULY 25</v>
      </c>
      <c r="J1206" s="7" t="s">
        <v>274</v>
      </c>
      <c r="K1206" s="32" t="str">
        <f>CONCATENATE(TableAopCalendar[[#This Row],[Month for Plan]]," ",TableAopCalendar[[#This Row],[Plan]])</f>
        <v>JULY 25 PLANNED</v>
      </c>
    </row>
    <row r="1207" spans="1:11" x14ac:dyDescent="0.3">
      <c r="A1207" s="32">
        <f t="shared" si="69"/>
        <v>5</v>
      </c>
      <c r="B1207" s="33">
        <v>45857</v>
      </c>
      <c r="C1207" s="6" t="s">
        <v>267</v>
      </c>
      <c r="D1207" s="6">
        <v>25</v>
      </c>
      <c r="E1207" s="32">
        <f>DAY(TableAopCalendar[[#This Row],[Date]])</f>
        <v>19</v>
      </c>
      <c r="F1207" s="32">
        <f>IF(TableAopCalendar[[#This Row],[Day]]&lt;8,1,IF(TableAopCalendar[[#This Row],[Day]]&lt;15,2,IF(TableAopCalendar[[#This Row],[Day]]&lt;22,3,IF(TableAopCalendar[[#This Row],[Day]]&lt;29,4,IF(TableAopCalendar[[#This Row],[Day]]&lt;32,5)))))</f>
        <v>3</v>
      </c>
      <c r="G1207" s="32" t="str">
        <f t="shared" si="70"/>
        <v>Week 3</v>
      </c>
      <c r="H1207" s="32" t="str">
        <f t="shared" si="71"/>
        <v>July 25 Week 3</v>
      </c>
      <c r="I1207" s="32" t="str">
        <f>CONCATENATE(UPPER(TableAopCalendar[[#This Row],[Month]])," ",TableAopCalendar[[#This Row],[Year]])</f>
        <v>JULY 25</v>
      </c>
      <c r="J1207" s="7" t="s">
        <v>274</v>
      </c>
      <c r="K1207" s="32" t="str">
        <f>CONCATENATE(TableAopCalendar[[#This Row],[Month for Plan]]," ",TableAopCalendar[[#This Row],[Plan]])</f>
        <v>JULY 25 PLANNED</v>
      </c>
    </row>
    <row r="1208" spans="1:11" x14ac:dyDescent="0.3">
      <c r="A1208" s="32">
        <f t="shared" si="69"/>
        <v>6</v>
      </c>
      <c r="B1208" s="33">
        <v>45858</v>
      </c>
      <c r="C1208" s="6" t="s">
        <v>267</v>
      </c>
      <c r="D1208" s="6">
        <v>25</v>
      </c>
      <c r="E1208" s="32">
        <f>DAY(TableAopCalendar[[#This Row],[Date]])</f>
        <v>20</v>
      </c>
      <c r="F1208" s="32">
        <f>IF(TableAopCalendar[[#This Row],[Day]]&lt;8,1,IF(TableAopCalendar[[#This Row],[Day]]&lt;15,2,IF(TableAopCalendar[[#This Row],[Day]]&lt;22,3,IF(TableAopCalendar[[#This Row],[Day]]&lt;29,4,IF(TableAopCalendar[[#This Row],[Day]]&lt;32,5)))))</f>
        <v>3</v>
      </c>
      <c r="G1208" s="32" t="str">
        <f t="shared" si="70"/>
        <v>Week 3</v>
      </c>
      <c r="H1208" s="32" t="str">
        <f t="shared" si="71"/>
        <v>July 25 Week 3</v>
      </c>
      <c r="I1208" s="32" t="str">
        <f>CONCATENATE(UPPER(TableAopCalendar[[#This Row],[Month]])," ",TableAopCalendar[[#This Row],[Year]])</f>
        <v>JULY 25</v>
      </c>
      <c r="J1208" s="7" t="s">
        <v>274</v>
      </c>
      <c r="K1208" s="32" t="str">
        <f>CONCATENATE(TableAopCalendar[[#This Row],[Month for Plan]]," ",TableAopCalendar[[#This Row],[Plan]])</f>
        <v>JULY 25 PLANNED</v>
      </c>
    </row>
    <row r="1209" spans="1:11" x14ac:dyDescent="0.3">
      <c r="A1209" s="32">
        <f t="shared" si="69"/>
        <v>7</v>
      </c>
      <c r="B1209" s="33">
        <v>45859</v>
      </c>
      <c r="C1209" s="6" t="s">
        <v>267</v>
      </c>
      <c r="D1209" s="6">
        <v>25</v>
      </c>
      <c r="E1209" s="32">
        <f>DAY(TableAopCalendar[[#This Row],[Date]])</f>
        <v>21</v>
      </c>
      <c r="F1209" s="32">
        <f>IF(TableAopCalendar[[#This Row],[Day]]&lt;8,1,IF(TableAopCalendar[[#This Row],[Day]]&lt;15,2,IF(TableAopCalendar[[#This Row],[Day]]&lt;22,3,IF(TableAopCalendar[[#This Row],[Day]]&lt;29,4,IF(TableAopCalendar[[#This Row],[Day]]&lt;32,5)))))</f>
        <v>3</v>
      </c>
      <c r="G1209" s="32" t="str">
        <f t="shared" si="70"/>
        <v>Week 3</v>
      </c>
      <c r="H1209" s="32" t="str">
        <f t="shared" si="71"/>
        <v>July 25 Week 3</v>
      </c>
      <c r="I1209" s="32" t="str">
        <f>CONCATENATE(UPPER(TableAopCalendar[[#This Row],[Month]])," ",TableAopCalendar[[#This Row],[Year]])</f>
        <v>JULY 25</v>
      </c>
      <c r="J1209" s="7" t="s">
        <v>274</v>
      </c>
      <c r="K1209" s="32" t="str">
        <f>CONCATENATE(TableAopCalendar[[#This Row],[Month for Plan]]," ",TableAopCalendar[[#This Row],[Plan]])</f>
        <v>JULY 25 PLANNED</v>
      </c>
    </row>
    <row r="1210" spans="1:11" x14ac:dyDescent="0.3">
      <c r="A1210" s="32">
        <f t="shared" si="69"/>
        <v>1</v>
      </c>
      <c r="B1210" s="33">
        <v>45860</v>
      </c>
      <c r="C1210" s="6" t="s">
        <v>267</v>
      </c>
      <c r="D1210" s="6">
        <v>25</v>
      </c>
      <c r="E1210" s="32">
        <f>DAY(TableAopCalendar[[#This Row],[Date]])</f>
        <v>22</v>
      </c>
      <c r="F1210" s="32">
        <f>IF(TableAopCalendar[[#This Row],[Day]]&lt;8,1,IF(TableAopCalendar[[#This Row],[Day]]&lt;15,2,IF(TableAopCalendar[[#This Row],[Day]]&lt;22,3,IF(TableAopCalendar[[#This Row],[Day]]&lt;29,4,IF(TableAopCalendar[[#This Row],[Day]]&lt;32,5)))))</f>
        <v>4</v>
      </c>
      <c r="G1210" s="32" t="str">
        <f t="shared" si="70"/>
        <v>Week 4</v>
      </c>
      <c r="H1210" s="32" t="str">
        <f t="shared" si="71"/>
        <v>July 25 Week 4</v>
      </c>
      <c r="I1210" s="32" t="str">
        <f>CONCATENATE(UPPER(TableAopCalendar[[#This Row],[Month]])," ",TableAopCalendar[[#This Row],[Year]])</f>
        <v>JULY 25</v>
      </c>
      <c r="J1210" s="7" t="s">
        <v>274</v>
      </c>
      <c r="K1210" s="32" t="str">
        <f>CONCATENATE(TableAopCalendar[[#This Row],[Month for Plan]]," ",TableAopCalendar[[#This Row],[Plan]])</f>
        <v>JULY 25 PLANNED</v>
      </c>
    </row>
    <row r="1211" spans="1:11" x14ac:dyDescent="0.3">
      <c r="A1211" s="32">
        <f t="shared" si="69"/>
        <v>2</v>
      </c>
      <c r="B1211" s="33">
        <v>45861</v>
      </c>
      <c r="C1211" s="6" t="s">
        <v>267</v>
      </c>
      <c r="D1211" s="6">
        <v>25</v>
      </c>
      <c r="E1211" s="32">
        <f>DAY(TableAopCalendar[[#This Row],[Date]])</f>
        <v>23</v>
      </c>
      <c r="F1211" s="32">
        <f>IF(TableAopCalendar[[#This Row],[Day]]&lt;8,1,IF(TableAopCalendar[[#This Row],[Day]]&lt;15,2,IF(TableAopCalendar[[#This Row],[Day]]&lt;22,3,IF(TableAopCalendar[[#This Row],[Day]]&lt;29,4,IF(TableAopCalendar[[#This Row],[Day]]&lt;32,5)))))</f>
        <v>4</v>
      </c>
      <c r="G1211" s="32" t="str">
        <f t="shared" si="70"/>
        <v>Week 4</v>
      </c>
      <c r="H1211" s="32" t="str">
        <f t="shared" si="71"/>
        <v>July 25 Week 4</v>
      </c>
      <c r="I1211" s="32" t="str">
        <f>CONCATENATE(UPPER(TableAopCalendar[[#This Row],[Month]])," ",TableAopCalendar[[#This Row],[Year]])</f>
        <v>JULY 25</v>
      </c>
      <c r="J1211" s="7" t="s">
        <v>274</v>
      </c>
      <c r="K1211" s="32" t="str">
        <f>CONCATENATE(TableAopCalendar[[#This Row],[Month for Plan]]," ",TableAopCalendar[[#This Row],[Plan]])</f>
        <v>JULY 25 PLANNED</v>
      </c>
    </row>
    <row r="1212" spans="1:11" x14ac:dyDescent="0.3">
      <c r="A1212" s="32">
        <f t="shared" si="69"/>
        <v>3</v>
      </c>
      <c r="B1212" s="33">
        <v>45862</v>
      </c>
      <c r="C1212" s="6" t="s">
        <v>267</v>
      </c>
      <c r="D1212" s="6">
        <v>25</v>
      </c>
      <c r="E1212" s="32">
        <f>DAY(TableAopCalendar[[#This Row],[Date]])</f>
        <v>24</v>
      </c>
      <c r="F1212" s="32">
        <f>IF(TableAopCalendar[[#This Row],[Day]]&lt;8,1,IF(TableAopCalendar[[#This Row],[Day]]&lt;15,2,IF(TableAopCalendar[[#This Row],[Day]]&lt;22,3,IF(TableAopCalendar[[#This Row],[Day]]&lt;29,4,IF(TableAopCalendar[[#This Row],[Day]]&lt;32,5)))))</f>
        <v>4</v>
      </c>
      <c r="G1212" s="32" t="str">
        <f t="shared" si="70"/>
        <v>Week 4</v>
      </c>
      <c r="H1212" s="32" t="str">
        <f t="shared" si="71"/>
        <v>July 25 Week 4</v>
      </c>
      <c r="I1212" s="32" t="str">
        <f>CONCATENATE(UPPER(TableAopCalendar[[#This Row],[Month]])," ",TableAopCalendar[[#This Row],[Year]])</f>
        <v>JULY 25</v>
      </c>
      <c r="J1212" s="7" t="s">
        <v>274</v>
      </c>
      <c r="K1212" s="32" t="str">
        <f>CONCATENATE(TableAopCalendar[[#This Row],[Month for Plan]]," ",TableAopCalendar[[#This Row],[Plan]])</f>
        <v>JULY 25 PLANNED</v>
      </c>
    </row>
    <row r="1213" spans="1:11" x14ac:dyDescent="0.3">
      <c r="A1213" s="32">
        <f t="shared" si="69"/>
        <v>4</v>
      </c>
      <c r="B1213" s="33">
        <v>45863</v>
      </c>
      <c r="C1213" s="6" t="s">
        <v>267</v>
      </c>
      <c r="D1213" s="6">
        <v>25</v>
      </c>
      <c r="E1213" s="32">
        <f>DAY(TableAopCalendar[[#This Row],[Date]])</f>
        <v>25</v>
      </c>
      <c r="F1213" s="32">
        <f>IF(TableAopCalendar[[#This Row],[Day]]&lt;8,1,IF(TableAopCalendar[[#This Row],[Day]]&lt;15,2,IF(TableAopCalendar[[#This Row],[Day]]&lt;22,3,IF(TableAopCalendar[[#This Row],[Day]]&lt;29,4,IF(TableAopCalendar[[#This Row],[Day]]&lt;32,5)))))</f>
        <v>4</v>
      </c>
      <c r="G1213" s="32" t="str">
        <f t="shared" si="70"/>
        <v>Week 4</v>
      </c>
      <c r="H1213" s="32" t="str">
        <f t="shared" si="71"/>
        <v>July 25 Week 4</v>
      </c>
      <c r="I1213" s="32" t="str">
        <f>CONCATENATE(UPPER(TableAopCalendar[[#This Row],[Month]])," ",TableAopCalendar[[#This Row],[Year]])</f>
        <v>JULY 25</v>
      </c>
      <c r="J1213" s="7" t="s">
        <v>274</v>
      </c>
      <c r="K1213" s="32" t="str">
        <f>CONCATENATE(TableAopCalendar[[#This Row],[Month for Plan]]," ",TableAopCalendar[[#This Row],[Plan]])</f>
        <v>JULY 25 PLANNED</v>
      </c>
    </row>
    <row r="1214" spans="1:11" x14ac:dyDescent="0.3">
      <c r="A1214" s="32">
        <f t="shared" si="69"/>
        <v>5</v>
      </c>
      <c r="B1214" s="33">
        <v>45864</v>
      </c>
      <c r="C1214" s="6" t="s">
        <v>267</v>
      </c>
      <c r="D1214" s="6">
        <v>25</v>
      </c>
      <c r="E1214" s="32">
        <f>DAY(TableAopCalendar[[#This Row],[Date]])</f>
        <v>26</v>
      </c>
      <c r="F1214" s="32">
        <f>IF(TableAopCalendar[[#This Row],[Day]]&lt;8,1,IF(TableAopCalendar[[#This Row],[Day]]&lt;15,2,IF(TableAopCalendar[[#This Row],[Day]]&lt;22,3,IF(TableAopCalendar[[#This Row],[Day]]&lt;29,4,IF(TableAopCalendar[[#This Row],[Day]]&lt;32,5)))))</f>
        <v>4</v>
      </c>
      <c r="G1214" s="32" t="str">
        <f t="shared" si="70"/>
        <v>Week 4</v>
      </c>
      <c r="H1214" s="32" t="str">
        <f t="shared" si="71"/>
        <v>July 25 Week 4</v>
      </c>
      <c r="I1214" s="32" t="str">
        <f>CONCATENATE(UPPER(TableAopCalendar[[#This Row],[Month]])," ",TableAopCalendar[[#This Row],[Year]])</f>
        <v>JULY 25</v>
      </c>
      <c r="J1214" s="7" t="s">
        <v>274</v>
      </c>
      <c r="K1214" s="32" t="str">
        <f>CONCATENATE(TableAopCalendar[[#This Row],[Month for Plan]]," ",TableAopCalendar[[#This Row],[Plan]])</f>
        <v>JULY 25 PLANNED</v>
      </c>
    </row>
    <row r="1215" spans="1:11" x14ac:dyDescent="0.3">
      <c r="A1215" s="32">
        <f t="shared" si="69"/>
        <v>6</v>
      </c>
      <c r="B1215" s="33">
        <v>45865</v>
      </c>
      <c r="C1215" s="6" t="s">
        <v>267</v>
      </c>
      <c r="D1215" s="6">
        <v>25</v>
      </c>
      <c r="E1215" s="32">
        <f>DAY(TableAopCalendar[[#This Row],[Date]])</f>
        <v>27</v>
      </c>
      <c r="F1215" s="32">
        <f>IF(TableAopCalendar[[#This Row],[Day]]&lt;8,1,IF(TableAopCalendar[[#This Row],[Day]]&lt;15,2,IF(TableAopCalendar[[#This Row],[Day]]&lt;22,3,IF(TableAopCalendar[[#This Row],[Day]]&lt;29,4,IF(TableAopCalendar[[#This Row],[Day]]&lt;32,5)))))</f>
        <v>4</v>
      </c>
      <c r="G1215" s="32" t="str">
        <f t="shared" si="70"/>
        <v>Week 4</v>
      </c>
      <c r="H1215" s="32" t="str">
        <f t="shared" si="71"/>
        <v>July 25 Week 4</v>
      </c>
      <c r="I1215" s="32" t="str">
        <f>CONCATENATE(UPPER(TableAopCalendar[[#This Row],[Month]])," ",TableAopCalendar[[#This Row],[Year]])</f>
        <v>JULY 25</v>
      </c>
      <c r="J1215" s="7" t="s">
        <v>274</v>
      </c>
      <c r="K1215" s="32" t="str">
        <f>CONCATENATE(TableAopCalendar[[#This Row],[Month for Plan]]," ",TableAopCalendar[[#This Row],[Plan]])</f>
        <v>JULY 25 PLANNED</v>
      </c>
    </row>
    <row r="1216" spans="1:11" x14ac:dyDescent="0.3">
      <c r="A1216" s="32">
        <f t="shared" si="69"/>
        <v>7</v>
      </c>
      <c r="B1216" s="33">
        <v>45866</v>
      </c>
      <c r="C1216" s="6" t="s">
        <v>267</v>
      </c>
      <c r="D1216" s="6">
        <v>25</v>
      </c>
      <c r="E1216" s="32">
        <f>DAY(TableAopCalendar[[#This Row],[Date]])</f>
        <v>28</v>
      </c>
      <c r="F1216" s="32">
        <f>IF(TableAopCalendar[[#This Row],[Day]]&lt;8,1,IF(TableAopCalendar[[#This Row],[Day]]&lt;15,2,IF(TableAopCalendar[[#This Row],[Day]]&lt;22,3,IF(TableAopCalendar[[#This Row],[Day]]&lt;29,4,IF(TableAopCalendar[[#This Row],[Day]]&lt;32,5)))))</f>
        <v>4</v>
      </c>
      <c r="G1216" s="32" t="str">
        <f t="shared" si="70"/>
        <v>Week 4</v>
      </c>
      <c r="H1216" s="32" t="str">
        <f t="shared" si="71"/>
        <v>July 25 Week 4</v>
      </c>
      <c r="I1216" s="32" t="str">
        <f>CONCATENATE(UPPER(TableAopCalendar[[#This Row],[Month]])," ",TableAopCalendar[[#This Row],[Year]])</f>
        <v>JULY 25</v>
      </c>
      <c r="J1216" s="7" t="s">
        <v>274</v>
      </c>
      <c r="K1216" s="32" t="str">
        <f>CONCATENATE(TableAopCalendar[[#This Row],[Month for Plan]]," ",TableAopCalendar[[#This Row],[Plan]])</f>
        <v>JULY 25 PLANNED</v>
      </c>
    </row>
    <row r="1217" spans="1:11" x14ac:dyDescent="0.3">
      <c r="A1217" s="32">
        <f t="shared" si="69"/>
        <v>1</v>
      </c>
      <c r="B1217" s="33">
        <v>45867</v>
      </c>
      <c r="C1217" s="6" t="s">
        <v>267</v>
      </c>
      <c r="D1217" s="6">
        <v>25</v>
      </c>
      <c r="E1217" s="32">
        <f>DAY(TableAopCalendar[[#This Row],[Date]])</f>
        <v>29</v>
      </c>
      <c r="F1217" s="32">
        <f>IF(TableAopCalendar[[#This Row],[Day]]&lt;8,1,IF(TableAopCalendar[[#This Row],[Day]]&lt;15,2,IF(TableAopCalendar[[#This Row],[Day]]&lt;22,3,IF(TableAopCalendar[[#This Row],[Day]]&lt;29,4,IF(TableAopCalendar[[#This Row],[Day]]&lt;32,5)))))</f>
        <v>5</v>
      </c>
      <c r="G1217" s="32" t="str">
        <f t="shared" si="70"/>
        <v>Week 5</v>
      </c>
      <c r="H1217" s="32" t="str">
        <f t="shared" si="71"/>
        <v>July 25 Week 5</v>
      </c>
      <c r="I1217" s="32" t="str">
        <f>CONCATENATE(UPPER(TableAopCalendar[[#This Row],[Month]])," ",TableAopCalendar[[#This Row],[Year]])</f>
        <v>JULY 25</v>
      </c>
      <c r="J1217" s="7" t="s">
        <v>274</v>
      </c>
      <c r="K1217" s="32" t="str">
        <f>CONCATENATE(TableAopCalendar[[#This Row],[Month for Plan]]," ",TableAopCalendar[[#This Row],[Plan]])</f>
        <v>JULY 25 PLANNED</v>
      </c>
    </row>
    <row r="1218" spans="1:11" x14ac:dyDescent="0.3">
      <c r="A1218" s="32">
        <f t="shared" si="69"/>
        <v>2</v>
      </c>
      <c r="B1218" s="33">
        <v>45868</v>
      </c>
      <c r="C1218" s="6" t="s">
        <v>267</v>
      </c>
      <c r="D1218" s="6">
        <v>25</v>
      </c>
      <c r="E1218" s="32">
        <f>DAY(TableAopCalendar[[#This Row],[Date]])</f>
        <v>30</v>
      </c>
      <c r="F1218" s="32">
        <f>IF(TableAopCalendar[[#This Row],[Day]]&lt;8,1,IF(TableAopCalendar[[#This Row],[Day]]&lt;15,2,IF(TableAopCalendar[[#This Row],[Day]]&lt;22,3,IF(TableAopCalendar[[#This Row],[Day]]&lt;29,4,IF(TableAopCalendar[[#This Row],[Day]]&lt;32,5)))))</f>
        <v>5</v>
      </c>
      <c r="G1218" s="32" t="str">
        <f t="shared" si="70"/>
        <v>Week 5</v>
      </c>
      <c r="H1218" s="32" t="str">
        <f t="shared" si="71"/>
        <v>July 25 Week 5</v>
      </c>
      <c r="I1218" s="32" t="str">
        <f>CONCATENATE(UPPER(TableAopCalendar[[#This Row],[Month]])," ",TableAopCalendar[[#This Row],[Year]])</f>
        <v>JULY 25</v>
      </c>
      <c r="J1218" s="7" t="s">
        <v>274</v>
      </c>
      <c r="K1218" s="32" t="str">
        <f>CONCATENATE(TableAopCalendar[[#This Row],[Month for Plan]]," ",TableAopCalendar[[#This Row],[Plan]])</f>
        <v>JULY 25 PLANNED</v>
      </c>
    </row>
    <row r="1219" spans="1:11" x14ac:dyDescent="0.3">
      <c r="A1219" s="32">
        <f t="shared" si="69"/>
        <v>3</v>
      </c>
      <c r="B1219" s="33">
        <v>45869</v>
      </c>
      <c r="C1219" s="6" t="s">
        <v>267</v>
      </c>
      <c r="D1219" s="6">
        <v>25</v>
      </c>
      <c r="E1219" s="32">
        <f>DAY(TableAopCalendar[[#This Row],[Date]])</f>
        <v>31</v>
      </c>
      <c r="F1219" s="32">
        <f>IF(TableAopCalendar[[#This Row],[Day]]&lt;8,1,IF(TableAopCalendar[[#This Row],[Day]]&lt;15,2,IF(TableAopCalendar[[#This Row],[Day]]&lt;22,3,IF(TableAopCalendar[[#This Row],[Day]]&lt;29,4,IF(TableAopCalendar[[#This Row],[Day]]&lt;32,5)))))</f>
        <v>5</v>
      </c>
      <c r="G1219" s="32" t="str">
        <f t="shared" si="70"/>
        <v>Week 5</v>
      </c>
      <c r="H1219" s="32" t="str">
        <f t="shared" si="71"/>
        <v>July 25 Week 5</v>
      </c>
      <c r="I1219" s="32" t="str">
        <f>CONCATENATE(UPPER(TableAopCalendar[[#This Row],[Month]])," ",TableAopCalendar[[#This Row],[Year]])</f>
        <v>JULY 25</v>
      </c>
      <c r="J1219" s="7" t="s">
        <v>274</v>
      </c>
      <c r="K1219" s="32" t="str">
        <f>CONCATENATE(TableAopCalendar[[#This Row],[Month for Plan]]," ",TableAopCalendar[[#This Row],[Plan]])</f>
        <v>JULY 25 PLANNED</v>
      </c>
    </row>
    <row r="1220" spans="1:11" x14ac:dyDescent="0.3">
      <c r="A1220" s="32">
        <f t="shared" si="69"/>
        <v>1</v>
      </c>
      <c r="B1220" s="33">
        <v>45870</v>
      </c>
      <c r="C1220" s="6" t="s">
        <v>268</v>
      </c>
      <c r="D1220" s="6">
        <v>25</v>
      </c>
      <c r="E1220" s="32">
        <f>DAY(TableAopCalendar[[#This Row],[Date]])</f>
        <v>1</v>
      </c>
      <c r="F1220" s="32">
        <f>IF(TableAopCalendar[[#This Row],[Day]]&lt;8,1,IF(TableAopCalendar[[#This Row],[Day]]&lt;15,2,IF(TableAopCalendar[[#This Row],[Day]]&lt;22,3,IF(TableAopCalendar[[#This Row],[Day]]&lt;29,4,IF(TableAopCalendar[[#This Row],[Day]]&lt;32,5)))))</f>
        <v>1</v>
      </c>
      <c r="G1220" s="32" t="str">
        <f t="shared" si="70"/>
        <v>Week 1</v>
      </c>
      <c r="H1220" s="32" t="str">
        <f t="shared" si="71"/>
        <v>August 25 Week 1</v>
      </c>
      <c r="I1220" s="32" t="str">
        <f>CONCATENATE(UPPER(TableAopCalendar[[#This Row],[Month]])," ",TableAopCalendar[[#This Row],[Year]])</f>
        <v>AUGUST 25</v>
      </c>
      <c r="J1220" s="7" t="s">
        <v>274</v>
      </c>
      <c r="K1220" s="32" t="str">
        <f>CONCATENATE(TableAopCalendar[[#This Row],[Month for Plan]]," ",TableAopCalendar[[#This Row],[Plan]])</f>
        <v>AUGUST 25 PLANNED</v>
      </c>
    </row>
    <row r="1221" spans="1:11" x14ac:dyDescent="0.3">
      <c r="A1221" s="32">
        <f t="shared" si="69"/>
        <v>2</v>
      </c>
      <c r="B1221" s="33">
        <v>45871</v>
      </c>
      <c r="C1221" s="6" t="s">
        <v>268</v>
      </c>
      <c r="D1221" s="6">
        <v>25</v>
      </c>
      <c r="E1221" s="32">
        <f>DAY(TableAopCalendar[[#This Row],[Date]])</f>
        <v>2</v>
      </c>
      <c r="F1221" s="32">
        <f>IF(TableAopCalendar[[#This Row],[Day]]&lt;8,1,IF(TableAopCalendar[[#This Row],[Day]]&lt;15,2,IF(TableAopCalendar[[#This Row],[Day]]&lt;22,3,IF(TableAopCalendar[[#This Row],[Day]]&lt;29,4,IF(TableAopCalendar[[#This Row],[Day]]&lt;32,5)))))</f>
        <v>1</v>
      </c>
      <c r="G1221" s="32" t="str">
        <f t="shared" si="70"/>
        <v>Week 1</v>
      </c>
      <c r="H1221" s="32" t="str">
        <f t="shared" si="71"/>
        <v>August 25 Week 1</v>
      </c>
      <c r="I1221" s="32" t="str">
        <f>CONCATENATE(UPPER(TableAopCalendar[[#This Row],[Month]])," ",TableAopCalendar[[#This Row],[Year]])</f>
        <v>AUGUST 25</v>
      </c>
      <c r="J1221" s="7" t="s">
        <v>274</v>
      </c>
      <c r="K1221" s="32" t="str">
        <f>CONCATENATE(TableAopCalendar[[#This Row],[Month for Plan]]," ",TableAopCalendar[[#This Row],[Plan]])</f>
        <v>AUGUST 25 PLANNED</v>
      </c>
    </row>
    <row r="1222" spans="1:11" x14ac:dyDescent="0.3">
      <c r="A1222" s="32">
        <f t="shared" si="69"/>
        <v>3</v>
      </c>
      <c r="B1222" s="33">
        <v>45872</v>
      </c>
      <c r="C1222" s="6" t="s">
        <v>268</v>
      </c>
      <c r="D1222" s="6">
        <v>25</v>
      </c>
      <c r="E1222" s="32">
        <f>DAY(TableAopCalendar[[#This Row],[Date]])</f>
        <v>3</v>
      </c>
      <c r="F1222" s="32">
        <f>IF(TableAopCalendar[[#This Row],[Day]]&lt;8,1,IF(TableAopCalendar[[#This Row],[Day]]&lt;15,2,IF(TableAopCalendar[[#This Row],[Day]]&lt;22,3,IF(TableAopCalendar[[#This Row],[Day]]&lt;29,4,IF(TableAopCalendar[[#This Row],[Day]]&lt;32,5)))))</f>
        <v>1</v>
      </c>
      <c r="G1222" s="32" t="str">
        <f t="shared" si="70"/>
        <v>Week 1</v>
      </c>
      <c r="H1222" s="32" t="str">
        <f t="shared" si="71"/>
        <v>August 25 Week 1</v>
      </c>
      <c r="I1222" s="32" t="str">
        <f>CONCATENATE(UPPER(TableAopCalendar[[#This Row],[Month]])," ",TableAopCalendar[[#This Row],[Year]])</f>
        <v>AUGUST 25</v>
      </c>
      <c r="J1222" s="7" t="s">
        <v>274</v>
      </c>
      <c r="K1222" s="32" t="str">
        <f>CONCATENATE(TableAopCalendar[[#This Row],[Month for Plan]]," ",TableAopCalendar[[#This Row],[Plan]])</f>
        <v>AUGUST 25 PLANNED</v>
      </c>
    </row>
    <row r="1223" spans="1:11" x14ac:dyDescent="0.3">
      <c r="A1223" s="32">
        <f t="shared" si="69"/>
        <v>4</v>
      </c>
      <c r="B1223" s="33">
        <v>45873</v>
      </c>
      <c r="C1223" s="6" t="s">
        <v>268</v>
      </c>
      <c r="D1223" s="6">
        <v>25</v>
      </c>
      <c r="E1223" s="32">
        <f>DAY(TableAopCalendar[[#This Row],[Date]])</f>
        <v>4</v>
      </c>
      <c r="F1223" s="32">
        <f>IF(TableAopCalendar[[#This Row],[Day]]&lt;8,1,IF(TableAopCalendar[[#This Row],[Day]]&lt;15,2,IF(TableAopCalendar[[#This Row],[Day]]&lt;22,3,IF(TableAopCalendar[[#This Row],[Day]]&lt;29,4,IF(TableAopCalendar[[#This Row],[Day]]&lt;32,5)))))</f>
        <v>1</v>
      </c>
      <c r="G1223" s="32" t="str">
        <f t="shared" si="70"/>
        <v>Week 1</v>
      </c>
      <c r="H1223" s="32" t="str">
        <f t="shared" si="71"/>
        <v>August 25 Week 1</v>
      </c>
      <c r="I1223" s="32" t="str">
        <f>CONCATENATE(UPPER(TableAopCalendar[[#This Row],[Month]])," ",TableAopCalendar[[#This Row],[Year]])</f>
        <v>AUGUST 25</v>
      </c>
      <c r="J1223" s="7" t="s">
        <v>274</v>
      </c>
      <c r="K1223" s="32" t="str">
        <f>CONCATENATE(TableAopCalendar[[#This Row],[Month for Plan]]," ",TableAopCalendar[[#This Row],[Plan]])</f>
        <v>AUGUST 25 PLANNED</v>
      </c>
    </row>
    <row r="1224" spans="1:11" x14ac:dyDescent="0.3">
      <c r="A1224" s="32">
        <f t="shared" si="69"/>
        <v>5</v>
      </c>
      <c r="B1224" s="33">
        <v>45874</v>
      </c>
      <c r="C1224" s="6" t="s">
        <v>268</v>
      </c>
      <c r="D1224" s="6">
        <v>25</v>
      </c>
      <c r="E1224" s="32">
        <f>DAY(TableAopCalendar[[#This Row],[Date]])</f>
        <v>5</v>
      </c>
      <c r="F1224" s="32">
        <f>IF(TableAopCalendar[[#This Row],[Day]]&lt;8,1,IF(TableAopCalendar[[#This Row],[Day]]&lt;15,2,IF(TableAopCalendar[[#This Row],[Day]]&lt;22,3,IF(TableAopCalendar[[#This Row],[Day]]&lt;29,4,IF(TableAopCalendar[[#This Row],[Day]]&lt;32,5)))))</f>
        <v>1</v>
      </c>
      <c r="G1224" s="32" t="str">
        <f t="shared" si="70"/>
        <v>Week 1</v>
      </c>
      <c r="H1224" s="32" t="str">
        <f t="shared" si="71"/>
        <v>August 25 Week 1</v>
      </c>
      <c r="I1224" s="32" t="str">
        <f>CONCATENATE(UPPER(TableAopCalendar[[#This Row],[Month]])," ",TableAopCalendar[[#This Row],[Year]])</f>
        <v>AUGUST 25</v>
      </c>
      <c r="J1224" s="7" t="s">
        <v>274</v>
      </c>
      <c r="K1224" s="32" t="str">
        <f>CONCATENATE(TableAopCalendar[[#This Row],[Month for Plan]]," ",TableAopCalendar[[#This Row],[Plan]])</f>
        <v>AUGUST 25 PLANNED</v>
      </c>
    </row>
    <row r="1225" spans="1:11" x14ac:dyDescent="0.3">
      <c r="A1225" s="32">
        <f t="shared" si="69"/>
        <v>6</v>
      </c>
      <c r="B1225" s="33">
        <v>45875</v>
      </c>
      <c r="C1225" s="6" t="s">
        <v>268</v>
      </c>
      <c r="D1225" s="6">
        <v>25</v>
      </c>
      <c r="E1225" s="32">
        <f>DAY(TableAopCalendar[[#This Row],[Date]])</f>
        <v>6</v>
      </c>
      <c r="F1225" s="32">
        <f>IF(TableAopCalendar[[#This Row],[Day]]&lt;8,1,IF(TableAopCalendar[[#This Row],[Day]]&lt;15,2,IF(TableAopCalendar[[#This Row],[Day]]&lt;22,3,IF(TableAopCalendar[[#This Row],[Day]]&lt;29,4,IF(TableAopCalendar[[#This Row],[Day]]&lt;32,5)))))</f>
        <v>1</v>
      </c>
      <c r="G1225" s="32" t="str">
        <f t="shared" si="70"/>
        <v>Week 1</v>
      </c>
      <c r="H1225" s="32" t="str">
        <f t="shared" si="71"/>
        <v>August 25 Week 1</v>
      </c>
      <c r="I1225" s="32" t="str">
        <f>CONCATENATE(UPPER(TableAopCalendar[[#This Row],[Month]])," ",TableAopCalendar[[#This Row],[Year]])</f>
        <v>AUGUST 25</v>
      </c>
      <c r="J1225" s="7" t="s">
        <v>274</v>
      </c>
      <c r="K1225" s="32" t="str">
        <f>CONCATENATE(TableAopCalendar[[#This Row],[Month for Plan]]," ",TableAopCalendar[[#This Row],[Plan]])</f>
        <v>AUGUST 25 PLANNED</v>
      </c>
    </row>
    <row r="1226" spans="1:11" x14ac:dyDescent="0.3">
      <c r="A1226" s="32">
        <f t="shared" si="69"/>
        <v>7</v>
      </c>
      <c r="B1226" s="33">
        <v>45876</v>
      </c>
      <c r="C1226" s="6" t="s">
        <v>268</v>
      </c>
      <c r="D1226" s="6">
        <v>25</v>
      </c>
      <c r="E1226" s="32">
        <f>DAY(TableAopCalendar[[#This Row],[Date]])</f>
        <v>7</v>
      </c>
      <c r="F1226" s="32">
        <f>IF(TableAopCalendar[[#This Row],[Day]]&lt;8,1,IF(TableAopCalendar[[#This Row],[Day]]&lt;15,2,IF(TableAopCalendar[[#This Row],[Day]]&lt;22,3,IF(TableAopCalendar[[#This Row],[Day]]&lt;29,4,IF(TableAopCalendar[[#This Row],[Day]]&lt;32,5)))))</f>
        <v>1</v>
      </c>
      <c r="G1226" s="32" t="str">
        <f t="shared" si="70"/>
        <v>Week 1</v>
      </c>
      <c r="H1226" s="32" t="str">
        <f t="shared" si="71"/>
        <v>August 25 Week 1</v>
      </c>
      <c r="I1226" s="32" t="str">
        <f>CONCATENATE(UPPER(TableAopCalendar[[#This Row],[Month]])," ",TableAopCalendar[[#This Row],[Year]])</f>
        <v>AUGUST 25</v>
      </c>
      <c r="J1226" s="7" t="s">
        <v>274</v>
      </c>
      <c r="K1226" s="32" t="str">
        <f>CONCATENATE(TableAopCalendar[[#This Row],[Month for Plan]]," ",TableAopCalendar[[#This Row],[Plan]])</f>
        <v>AUGUST 25 PLANNED</v>
      </c>
    </row>
    <row r="1227" spans="1:11" x14ac:dyDescent="0.3">
      <c r="A1227" s="32">
        <f t="shared" ref="A1227:A1290" si="72">IF(G1227=G1226,A1226+1,1)</f>
        <v>1</v>
      </c>
      <c r="B1227" s="33">
        <v>45877</v>
      </c>
      <c r="C1227" s="6" t="s">
        <v>268</v>
      </c>
      <c r="D1227" s="6">
        <v>25</v>
      </c>
      <c r="E1227" s="32">
        <f>DAY(TableAopCalendar[[#This Row],[Date]])</f>
        <v>8</v>
      </c>
      <c r="F1227" s="32">
        <f>IF(TableAopCalendar[[#This Row],[Day]]&lt;8,1,IF(TableAopCalendar[[#This Row],[Day]]&lt;15,2,IF(TableAopCalendar[[#This Row],[Day]]&lt;22,3,IF(TableAopCalendar[[#This Row],[Day]]&lt;29,4,IF(TableAopCalendar[[#This Row],[Day]]&lt;32,5)))))</f>
        <v>2</v>
      </c>
      <c r="G1227" s="32" t="str">
        <f t="shared" ref="G1227:G1290" si="73">"Week"&amp;" "&amp;F1227</f>
        <v>Week 2</v>
      </c>
      <c r="H1227" s="32" t="str">
        <f t="shared" ref="H1227:H1290" si="74">CONCATENATE(C1227," ",D1227," ",G1227)</f>
        <v>August 25 Week 2</v>
      </c>
      <c r="I1227" s="32" t="str">
        <f>CONCATENATE(UPPER(TableAopCalendar[[#This Row],[Month]])," ",TableAopCalendar[[#This Row],[Year]])</f>
        <v>AUGUST 25</v>
      </c>
      <c r="J1227" s="7" t="s">
        <v>274</v>
      </c>
      <c r="K1227" s="32" t="str">
        <f>CONCATENATE(TableAopCalendar[[#This Row],[Month for Plan]]," ",TableAopCalendar[[#This Row],[Plan]])</f>
        <v>AUGUST 25 PLANNED</v>
      </c>
    </row>
    <row r="1228" spans="1:11" x14ac:dyDescent="0.3">
      <c r="A1228" s="32">
        <f t="shared" si="72"/>
        <v>2</v>
      </c>
      <c r="B1228" s="33">
        <v>45878</v>
      </c>
      <c r="C1228" s="6" t="s">
        <v>268</v>
      </c>
      <c r="D1228" s="6">
        <v>25</v>
      </c>
      <c r="E1228" s="32">
        <f>DAY(TableAopCalendar[[#This Row],[Date]])</f>
        <v>9</v>
      </c>
      <c r="F1228" s="32">
        <f>IF(TableAopCalendar[[#This Row],[Day]]&lt;8,1,IF(TableAopCalendar[[#This Row],[Day]]&lt;15,2,IF(TableAopCalendar[[#This Row],[Day]]&lt;22,3,IF(TableAopCalendar[[#This Row],[Day]]&lt;29,4,IF(TableAopCalendar[[#This Row],[Day]]&lt;32,5)))))</f>
        <v>2</v>
      </c>
      <c r="G1228" s="32" t="str">
        <f t="shared" si="73"/>
        <v>Week 2</v>
      </c>
      <c r="H1228" s="32" t="str">
        <f t="shared" si="74"/>
        <v>August 25 Week 2</v>
      </c>
      <c r="I1228" s="32" t="str">
        <f>CONCATENATE(UPPER(TableAopCalendar[[#This Row],[Month]])," ",TableAopCalendar[[#This Row],[Year]])</f>
        <v>AUGUST 25</v>
      </c>
      <c r="J1228" s="7" t="s">
        <v>274</v>
      </c>
      <c r="K1228" s="32" t="str">
        <f>CONCATENATE(TableAopCalendar[[#This Row],[Month for Plan]]," ",TableAopCalendar[[#This Row],[Plan]])</f>
        <v>AUGUST 25 PLANNED</v>
      </c>
    </row>
    <row r="1229" spans="1:11" x14ac:dyDescent="0.3">
      <c r="A1229" s="32">
        <f t="shared" si="72"/>
        <v>3</v>
      </c>
      <c r="B1229" s="33">
        <v>45879</v>
      </c>
      <c r="C1229" s="6" t="s">
        <v>268</v>
      </c>
      <c r="D1229" s="6">
        <v>25</v>
      </c>
      <c r="E1229" s="32">
        <f>DAY(TableAopCalendar[[#This Row],[Date]])</f>
        <v>10</v>
      </c>
      <c r="F1229" s="32">
        <f>IF(TableAopCalendar[[#This Row],[Day]]&lt;8,1,IF(TableAopCalendar[[#This Row],[Day]]&lt;15,2,IF(TableAopCalendar[[#This Row],[Day]]&lt;22,3,IF(TableAopCalendar[[#This Row],[Day]]&lt;29,4,IF(TableAopCalendar[[#This Row],[Day]]&lt;32,5)))))</f>
        <v>2</v>
      </c>
      <c r="G1229" s="32" t="str">
        <f t="shared" si="73"/>
        <v>Week 2</v>
      </c>
      <c r="H1229" s="32" t="str">
        <f t="shared" si="74"/>
        <v>August 25 Week 2</v>
      </c>
      <c r="I1229" s="32" t="str">
        <f>CONCATENATE(UPPER(TableAopCalendar[[#This Row],[Month]])," ",TableAopCalendar[[#This Row],[Year]])</f>
        <v>AUGUST 25</v>
      </c>
      <c r="J1229" s="7" t="s">
        <v>274</v>
      </c>
      <c r="K1229" s="32" t="str">
        <f>CONCATENATE(TableAopCalendar[[#This Row],[Month for Plan]]," ",TableAopCalendar[[#This Row],[Plan]])</f>
        <v>AUGUST 25 PLANNED</v>
      </c>
    </row>
    <row r="1230" spans="1:11" x14ac:dyDescent="0.3">
      <c r="A1230" s="32">
        <f t="shared" si="72"/>
        <v>4</v>
      </c>
      <c r="B1230" s="33">
        <v>45880</v>
      </c>
      <c r="C1230" s="6" t="s">
        <v>268</v>
      </c>
      <c r="D1230" s="6">
        <v>25</v>
      </c>
      <c r="E1230" s="32">
        <f>DAY(TableAopCalendar[[#This Row],[Date]])</f>
        <v>11</v>
      </c>
      <c r="F1230" s="32">
        <f>IF(TableAopCalendar[[#This Row],[Day]]&lt;8,1,IF(TableAopCalendar[[#This Row],[Day]]&lt;15,2,IF(TableAopCalendar[[#This Row],[Day]]&lt;22,3,IF(TableAopCalendar[[#This Row],[Day]]&lt;29,4,IF(TableAopCalendar[[#This Row],[Day]]&lt;32,5)))))</f>
        <v>2</v>
      </c>
      <c r="G1230" s="32" t="str">
        <f t="shared" si="73"/>
        <v>Week 2</v>
      </c>
      <c r="H1230" s="32" t="str">
        <f t="shared" si="74"/>
        <v>August 25 Week 2</v>
      </c>
      <c r="I1230" s="32" t="str">
        <f>CONCATENATE(UPPER(TableAopCalendar[[#This Row],[Month]])," ",TableAopCalendar[[#This Row],[Year]])</f>
        <v>AUGUST 25</v>
      </c>
      <c r="J1230" s="7" t="s">
        <v>274</v>
      </c>
      <c r="K1230" s="32" t="str">
        <f>CONCATENATE(TableAopCalendar[[#This Row],[Month for Plan]]," ",TableAopCalendar[[#This Row],[Plan]])</f>
        <v>AUGUST 25 PLANNED</v>
      </c>
    </row>
    <row r="1231" spans="1:11" x14ac:dyDescent="0.3">
      <c r="A1231" s="32">
        <f t="shared" si="72"/>
        <v>5</v>
      </c>
      <c r="B1231" s="33">
        <v>45881</v>
      </c>
      <c r="C1231" s="6" t="s">
        <v>268</v>
      </c>
      <c r="D1231" s="6">
        <v>25</v>
      </c>
      <c r="E1231" s="32">
        <f>DAY(TableAopCalendar[[#This Row],[Date]])</f>
        <v>12</v>
      </c>
      <c r="F1231" s="32">
        <f>IF(TableAopCalendar[[#This Row],[Day]]&lt;8,1,IF(TableAopCalendar[[#This Row],[Day]]&lt;15,2,IF(TableAopCalendar[[#This Row],[Day]]&lt;22,3,IF(TableAopCalendar[[#This Row],[Day]]&lt;29,4,IF(TableAopCalendar[[#This Row],[Day]]&lt;32,5)))))</f>
        <v>2</v>
      </c>
      <c r="G1231" s="32" t="str">
        <f t="shared" si="73"/>
        <v>Week 2</v>
      </c>
      <c r="H1231" s="32" t="str">
        <f t="shared" si="74"/>
        <v>August 25 Week 2</v>
      </c>
      <c r="I1231" s="32" t="str">
        <f>CONCATENATE(UPPER(TableAopCalendar[[#This Row],[Month]])," ",TableAopCalendar[[#This Row],[Year]])</f>
        <v>AUGUST 25</v>
      </c>
      <c r="J1231" s="7" t="s">
        <v>274</v>
      </c>
      <c r="K1231" s="32" t="str">
        <f>CONCATENATE(TableAopCalendar[[#This Row],[Month for Plan]]," ",TableAopCalendar[[#This Row],[Plan]])</f>
        <v>AUGUST 25 PLANNED</v>
      </c>
    </row>
    <row r="1232" spans="1:11" x14ac:dyDescent="0.3">
      <c r="A1232" s="32">
        <f t="shared" si="72"/>
        <v>6</v>
      </c>
      <c r="B1232" s="33">
        <v>45882</v>
      </c>
      <c r="C1232" s="6" t="s">
        <v>268</v>
      </c>
      <c r="D1232" s="6">
        <v>25</v>
      </c>
      <c r="E1232" s="32">
        <f>DAY(TableAopCalendar[[#This Row],[Date]])</f>
        <v>13</v>
      </c>
      <c r="F1232" s="32">
        <f>IF(TableAopCalendar[[#This Row],[Day]]&lt;8,1,IF(TableAopCalendar[[#This Row],[Day]]&lt;15,2,IF(TableAopCalendar[[#This Row],[Day]]&lt;22,3,IF(TableAopCalendar[[#This Row],[Day]]&lt;29,4,IF(TableAopCalendar[[#This Row],[Day]]&lt;32,5)))))</f>
        <v>2</v>
      </c>
      <c r="G1232" s="32" t="str">
        <f t="shared" si="73"/>
        <v>Week 2</v>
      </c>
      <c r="H1232" s="32" t="str">
        <f t="shared" si="74"/>
        <v>August 25 Week 2</v>
      </c>
      <c r="I1232" s="32" t="str">
        <f>CONCATENATE(UPPER(TableAopCalendar[[#This Row],[Month]])," ",TableAopCalendar[[#This Row],[Year]])</f>
        <v>AUGUST 25</v>
      </c>
      <c r="J1232" s="7" t="s">
        <v>274</v>
      </c>
      <c r="K1232" s="32" t="str">
        <f>CONCATENATE(TableAopCalendar[[#This Row],[Month for Plan]]," ",TableAopCalendar[[#This Row],[Plan]])</f>
        <v>AUGUST 25 PLANNED</v>
      </c>
    </row>
    <row r="1233" spans="1:11" x14ac:dyDescent="0.3">
      <c r="A1233" s="32">
        <f t="shared" si="72"/>
        <v>7</v>
      </c>
      <c r="B1233" s="33">
        <v>45883</v>
      </c>
      <c r="C1233" s="6" t="s">
        <v>268</v>
      </c>
      <c r="D1233" s="6">
        <v>25</v>
      </c>
      <c r="E1233" s="32">
        <f>DAY(TableAopCalendar[[#This Row],[Date]])</f>
        <v>14</v>
      </c>
      <c r="F1233" s="32">
        <f>IF(TableAopCalendar[[#This Row],[Day]]&lt;8,1,IF(TableAopCalendar[[#This Row],[Day]]&lt;15,2,IF(TableAopCalendar[[#This Row],[Day]]&lt;22,3,IF(TableAopCalendar[[#This Row],[Day]]&lt;29,4,IF(TableAopCalendar[[#This Row],[Day]]&lt;32,5)))))</f>
        <v>2</v>
      </c>
      <c r="G1233" s="32" t="str">
        <f t="shared" si="73"/>
        <v>Week 2</v>
      </c>
      <c r="H1233" s="32" t="str">
        <f t="shared" si="74"/>
        <v>August 25 Week 2</v>
      </c>
      <c r="I1233" s="32" t="str">
        <f>CONCATENATE(UPPER(TableAopCalendar[[#This Row],[Month]])," ",TableAopCalendar[[#This Row],[Year]])</f>
        <v>AUGUST 25</v>
      </c>
      <c r="J1233" s="7" t="s">
        <v>274</v>
      </c>
      <c r="K1233" s="32" t="str">
        <f>CONCATENATE(TableAopCalendar[[#This Row],[Month for Plan]]," ",TableAopCalendar[[#This Row],[Plan]])</f>
        <v>AUGUST 25 PLANNED</v>
      </c>
    </row>
    <row r="1234" spans="1:11" x14ac:dyDescent="0.3">
      <c r="A1234" s="32">
        <f t="shared" si="72"/>
        <v>1</v>
      </c>
      <c r="B1234" s="33">
        <v>45884</v>
      </c>
      <c r="C1234" s="6" t="s">
        <v>268</v>
      </c>
      <c r="D1234" s="6">
        <v>25</v>
      </c>
      <c r="E1234" s="32">
        <f>DAY(TableAopCalendar[[#This Row],[Date]])</f>
        <v>15</v>
      </c>
      <c r="F1234" s="32">
        <f>IF(TableAopCalendar[[#This Row],[Day]]&lt;8,1,IF(TableAopCalendar[[#This Row],[Day]]&lt;15,2,IF(TableAopCalendar[[#This Row],[Day]]&lt;22,3,IF(TableAopCalendar[[#This Row],[Day]]&lt;29,4,IF(TableAopCalendar[[#This Row],[Day]]&lt;32,5)))))</f>
        <v>3</v>
      </c>
      <c r="G1234" s="32" t="str">
        <f t="shared" si="73"/>
        <v>Week 3</v>
      </c>
      <c r="H1234" s="32" t="str">
        <f t="shared" si="74"/>
        <v>August 25 Week 3</v>
      </c>
      <c r="I1234" s="32" t="str">
        <f>CONCATENATE(UPPER(TableAopCalendar[[#This Row],[Month]])," ",TableAopCalendar[[#This Row],[Year]])</f>
        <v>AUGUST 25</v>
      </c>
      <c r="J1234" s="7" t="s">
        <v>274</v>
      </c>
      <c r="K1234" s="32" t="str">
        <f>CONCATENATE(TableAopCalendar[[#This Row],[Month for Plan]]," ",TableAopCalendar[[#This Row],[Plan]])</f>
        <v>AUGUST 25 PLANNED</v>
      </c>
    </row>
    <row r="1235" spans="1:11" x14ac:dyDescent="0.3">
      <c r="A1235" s="32">
        <f t="shared" si="72"/>
        <v>2</v>
      </c>
      <c r="B1235" s="33">
        <v>45885</v>
      </c>
      <c r="C1235" s="6" t="s">
        <v>268</v>
      </c>
      <c r="D1235" s="6">
        <v>25</v>
      </c>
      <c r="E1235" s="32">
        <f>DAY(TableAopCalendar[[#This Row],[Date]])</f>
        <v>16</v>
      </c>
      <c r="F1235" s="32">
        <f>IF(TableAopCalendar[[#This Row],[Day]]&lt;8,1,IF(TableAopCalendar[[#This Row],[Day]]&lt;15,2,IF(TableAopCalendar[[#This Row],[Day]]&lt;22,3,IF(TableAopCalendar[[#This Row],[Day]]&lt;29,4,IF(TableAopCalendar[[#This Row],[Day]]&lt;32,5)))))</f>
        <v>3</v>
      </c>
      <c r="G1235" s="32" t="str">
        <f t="shared" si="73"/>
        <v>Week 3</v>
      </c>
      <c r="H1235" s="32" t="str">
        <f t="shared" si="74"/>
        <v>August 25 Week 3</v>
      </c>
      <c r="I1235" s="32" t="str">
        <f>CONCATENATE(UPPER(TableAopCalendar[[#This Row],[Month]])," ",TableAopCalendar[[#This Row],[Year]])</f>
        <v>AUGUST 25</v>
      </c>
      <c r="J1235" s="7" t="s">
        <v>274</v>
      </c>
      <c r="K1235" s="32" t="str">
        <f>CONCATENATE(TableAopCalendar[[#This Row],[Month for Plan]]," ",TableAopCalendar[[#This Row],[Plan]])</f>
        <v>AUGUST 25 PLANNED</v>
      </c>
    </row>
    <row r="1236" spans="1:11" x14ac:dyDescent="0.3">
      <c r="A1236" s="32">
        <f t="shared" si="72"/>
        <v>3</v>
      </c>
      <c r="B1236" s="33">
        <v>45886</v>
      </c>
      <c r="C1236" s="6" t="s">
        <v>268</v>
      </c>
      <c r="D1236" s="6">
        <v>25</v>
      </c>
      <c r="E1236" s="32">
        <f>DAY(TableAopCalendar[[#This Row],[Date]])</f>
        <v>17</v>
      </c>
      <c r="F1236" s="32">
        <f>IF(TableAopCalendar[[#This Row],[Day]]&lt;8,1,IF(TableAopCalendar[[#This Row],[Day]]&lt;15,2,IF(TableAopCalendar[[#This Row],[Day]]&lt;22,3,IF(TableAopCalendar[[#This Row],[Day]]&lt;29,4,IF(TableAopCalendar[[#This Row],[Day]]&lt;32,5)))))</f>
        <v>3</v>
      </c>
      <c r="G1236" s="32" t="str">
        <f t="shared" si="73"/>
        <v>Week 3</v>
      </c>
      <c r="H1236" s="32" t="str">
        <f t="shared" si="74"/>
        <v>August 25 Week 3</v>
      </c>
      <c r="I1236" s="32" t="str">
        <f>CONCATENATE(UPPER(TableAopCalendar[[#This Row],[Month]])," ",TableAopCalendar[[#This Row],[Year]])</f>
        <v>AUGUST 25</v>
      </c>
      <c r="J1236" s="7" t="s">
        <v>274</v>
      </c>
      <c r="K1236" s="32" t="str">
        <f>CONCATENATE(TableAopCalendar[[#This Row],[Month for Plan]]," ",TableAopCalendar[[#This Row],[Plan]])</f>
        <v>AUGUST 25 PLANNED</v>
      </c>
    </row>
    <row r="1237" spans="1:11" x14ac:dyDescent="0.3">
      <c r="A1237" s="32">
        <f t="shared" si="72"/>
        <v>4</v>
      </c>
      <c r="B1237" s="33">
        <v>45887</v>
      </c>
      <c r="C1237" s="6" t="s">
        <v>268</v>
      </c>
      <c r="D1237" s="6">
        <v>25</v>
      </c>
      <c r="E1237" s="32">
        <f>DAY(TableAopCalendar[[#This Row],[Date]])</f>
        <v>18</v>
      </c>
      <c r="F1237" s="32">
        <f>IF(TableAopCalendar[[#This Row],[Day]]&lt;8,1,IF(TableAopCalendar[[#This Row],[Day]]&lt;15,2,IF(TableAopCalendar[[#This Row],[Day]]&lt;22,3,IF(TableAopCalendar[[#This Row],[Day]]&lt;29,4,IF(TableAopCalendar[[#This Row],[Day]]&lt;32,5)))))</f>
        <v>3</v>
      </c>
      <c r="G1237" s="32" t="str">
        <f t="shared" si="73"/>
        <v>Week 3</v>
      </c>
      <c r="H1237" s="32" t="str">
        <f t="shared" si="74"/>
        <v>August 25 Week 3</v>
      </c>
      <c r="I1237" s="32" t="str">
        <f>CONCATENATE(UPPER(TableAopCalendar[[#This Row],[Month]])," ",TableAopCalendar[[#This Row],[Year]])</f>
        <v>AUGUST 25</v>
      </c>
      <c r="J1237" s="7" t="s">
        <v>274</v>
      </c>
      <c r="K1237" s="32" t="str">
        <f>CONCATENATE(TableAopCalendar[[#This Row],[Month for Plan]]," ",TableAopCalendar[[#This Row],[Plan]])</f>
        <v>AUGUST 25 PLANNED</v>
      </c>
    </row>
    <row r="1238" spans="1:11" x14ac:dyDescent="0.3">
      <c r="A1238" s="32">
        <f t="shared" si="72"/>
        <v>5</v>
      </c>
      <c r="B1238" s="33">
        <v>45888</v>
      </c>
      <c r="C1238" s="6" t="s">
        <v>268</v>
      </c>
      <c r="D1238" s="6">
        <v>25</v>
      </c>
      <c r="E1238" s="32">
        <f>DAY(TableAopCalendar[[#This Row],[Date]])</f>
        <v>19</v>
      </c>
      <c r="F1238" s="32">
        <f>IF(TableAopCalendar[[#This Row],[Day]]&lt;8,1,IF(TableAopCalendar[[#This Row],[Day]]&lt;15,2,IF(TableAopCalendar[[#This Row],[Day]]&lt;22,3,IF(TableAopCalendar[[#This Row],[Day]]&lt;29,4,IF(TableAopCalendar[[#This Row],[Day]]&lt;32,5)))))</f>
        <v>3</v>
      </c>
      <c r="G1238" s="32" t="str">
        <f t="shared" si="73"/>
        <v>Week 3</v>
      </c>
      <c r="H1238" s="32" t="str">
        <f t="shared" si="74"/>
        <v>August 25 Week 3</v>
      </c>
      <c r="I1238" s="32" t="str">
        <f>CONCATENATE(UPPER(TableAopCalendar[[#This Row],[Month]])," ",TableAopCalendar[[#This Row],[Year]])</f>
        <v>AUGUST 25</v>
      </c>
      <c r="J1238" s="7" t="s">
        <v>274</v>
      </c>
      <c r="K1238" s="32" t="str">
        <f>CONCATENATE(TableAopCalendar[[#This Row],[Month for Plan]]," ",TableAopCalendar[[#This Row],[Plan]])</f>
        <v>AUGUST 25 PLANNED</v>
      </c>
    </row>
    <row r="1239" spans="1:11" x14ac:dyDescent="0.3">
      <c r="A1239" s="32">
        <f t="shared" si="72"/>
        <v>6</v>
      </c>
      <c r="B1239" s="33">
        <v>45889</v>
      </c>
      <c r="C1239" s="6" t="s">
        <v>268</v>
      </c>
      <c r="D1239" s="6">
        <v>25</v>
      </c>
      <c r="E1239" s="32">
        <f>DAY(TableAopCalendar[[#This Row],[Date]])</f>
        <v>20</v>
      </c>
      <c r="F1239" s="32">
        <f>IF(TableAopCalendar[[#This Row],[Day]]&lt;8,1,IF(TableAopCalendar[[#This Row],[Day]]&lt;15,2,IF(TableAopCalendar[[#This Row],[Day]]&lt;22,3,IF(TableAopCalendar[[#This Row],[Day]]&lt;29,4,IF(TableAopCalendar[[#This Row],[Day]]&lt;32,5)))))</f>
        <v>3</v>
      </c>
      <c r="G1239" s="32" t="str">
        <f t="shared" si="73"/>
        <v>Week 3</v>
      </c>
      <c r="H1239" s="32" t="str">
        <f t="shared" si="74"/>
        <v>August 25 Week 3</v>
      </c>
      <c r="I1239" s="32" t="str">
        <f>CONCATENATE(UPPER(TableAopCalendar[[#This Row],[Month]])," ",TableAopCalendar[[#This Row],[Year]])</f>
        <v>AUGUST 25</v>
      </c>
      <c r="J1239" s="7" t="s">
        <v>274</v>
      </c>
      <c r="K1239" s="32" t="str">
        <f>CONCATENATE(TableAopCalendar[[#This Row],[Month for Plan]]," ",TableAopCalendar[[#This Row],[Plan]])</f>
        <v>AUGUST 25 PLANNED</v>
      </c>
    </row>
    <row r="1240" spans="1:11" x14ac:dyDescent="0.3">
      <c r="A1240" s="32">
        <f t="shared" si="72"/>
        <v>7</v>
      </c>
      <c r="B1240" s="33">
        <v>45890</v>
      </c>
      <c r="C1240" s="6" t="s">
        <v>268</v>
      </c>
      <c r="D1240" s="6">
        <v>25</v>
      </c>
      <c r="E1240" s="32">
        <f>DAY(TableAopCalendar[[#This Row],[Date]])</f>
        <v>21</v>
      </c>
      <c r="F1240" s="32">
        <f>IF(TableAopCalendar[[#This Row],[Day]]&lt;8,1,IF(TableAopCalendar[[#This Row],[Day]]&lt;15,2,IF(TableAopCalendar[[#This Row],[Day]]&lt;22,3,IF(TableAopCalendar[[#This Row],[Day]]&lt;29,4,IF(TableAopCalendar[[#This Row],[Day]]&lt;32,5)))))</f>
        <v>3</v>
      </c>
      <c r="G1240" s="32" t="str">
        <f t="shared" si="73"/>
        <v>Week 3</v>
      </c>
      <c r="H1240" s="32" t="str">
        <f t="shared" si="74"/>
        <v>August 25 Week 3</v>
      </c>
      <c r="I1240" s="32" t="str">
        <f>CONCATENATE(UPPER(TableAopCalendar[[#This Row],[Month]])," ",TableAopCalendar[[#This Row],[Year]])</f>
        <v>AUGUST 25</v>
      </c>
      <c r="J1240" s="7" t="s">
        <v>274</v>
      </c>
      <c r="K1240" s="32" t="str">
        <f>CONCATENATE(TableAopCalendar[[#This Row],[Month for Plan]]," ",TableAopCalendar[[#This Row],[Plan]])</f>
        <v>AUGUST 25 PLANNED</v>
      </c>
    </row>
    <row r="1241" spans="1:11" x14ac:dyDescent="0.3">
      <c r="A1241" s="32">
        <f t="shared" si="72"/>
        <v>1</v>
      </c>
      <c r="B1241" s="33">
        <v>45891</v>
      </c>
      <c r="C1241" s="6" t="s">
        <v>268</v>
      </c>
      <c r="D1241" s="6">
        <v>25</v>
      </c>
      <c r="E1241" s="32">
        <f>DAY(TableAopCalendar[[#This Row],[Date]])</f>
        <v>22</v>
      </c>
      <c r="F1241" s="32">
        <f>IF(TableAopCalendar[[#This Row],[Day]]&lt;8,1,IF(TableAopCalendar[[#This Row],[Day]]&lt;15,2,IF(TableAopCalendar[[#This Row],[Day]]&lt;22,3,IF(TableAopCalendar[[#This Row],[Day]]&lt;29,4,IF(TableAopCalendar[[#This Row],[Day]]&lt;32,5)))))</f>
        <v>4</v>
      </c>
      <c r="G1241" s="32" t="str">
        <f t="shared" si="73"/>
        <v>Week 4</v>
      </c>
      <c r="H1241" s="32" t="str">
        <f t="shared" si="74"/>
        <v>August 25 Week 4</v>
      </c>
      <c r="I1241" s="32" t="str">
        <f>CONCATENATE(UPPER(TableAopCalendar[[#This Row],[Month]])," ",TableAopCalendar[[#This Row],[Year]])</f>
        <v>AUGUST 25</v>
      </c>
      <c r="J1241" s="7" t="s">
        <v>274</v>
      </c>
      <c r="K1241" s="32" t="str">
        <f>CONCATENATE(TableAopCalendar[[#This Row],[Month for Plan]]," ",TableAopCalendar[[#This Row],[Plan]])</f>
        <v>AUGUST 25 PLANNED</v>
      </c>
    </row>
    <row r="1242" spans="1:11" x14ac:dyDescent="0.3">
      <c r="A1242" s="32">
        <f t="shared" si="72"/>
        <v>2</v>
      </c>
      <c r="B1242" s="33">
        <v>45892</v>
      </c>
      <c r="C1242" s="6" t="s">
        <v>268</v>
      </c>
      <c r="D1242" s="6">
        <v>25</v>
      </c>
      <c r="E1242" s="32">
        <f>DAY(TableAopCalendar[[#This Row],[Date]])</f>
        <v>23</v>
      </c>
      <c r="F1242" s="32">
        <f>IF(TableAopCalendar[[#This Row],[Day]]&lt;8,1,IF(TableAopCalendar[[#This Row],[Day]]&lt;15,2,IF(TableAopCalendar[[#This Row],[Day]]&lt;22,3,IF(TableAopCalendar[[#This Row],[Day]]&lt;29,4,IF(TableAopCalendar[[#This Row],[Day]]&lt;32,5)))))</f>
        <v>4</v>
      </c>
      <c r="G1242" s="32" t="str">
        <f t="shared" si="73"/>
        <v>Week 4</v>
      </c>
      <c r="H1242" s="32" t="str">
        <f t="shared" si="74"/>
        <v>August 25 Week 4</v>
      </c>
      <c r="I1242" s="32" t="str">
        <f>CONCATENATE(UPPER(TableAopCalendar[[#This Row],[Month]])," ",TableAopCalendar[[#This Row],[Year]])</f>
        <v>AUGUST 25</v>
      </c>
      <c r="J1242" s="7" t="s">
        <v>274</v>
      </c>
      <c r="K1242" s="32" t="str">
        <f>CONCATENATE(TableAopCalendar[[#This Row],[Month for Plan]]," ",TableAopCalendar[[#This Row],[Plan]])</f>
        <v>AUGUST 25 PLANNED</v>
      </c>
    </row>
    <row r="1243" spans="1:11" x14ac:dyDescent="0.3">
      <c r="A1243" s="32">
        <f t="shared" si="72"/>
        <v>3</v>
      </c>
      <c r="B1243" s="33">
        <v>45893</v>
      </c>
      <c r="C1243" s="6" t="s">
        <v>268</v>
      </c>
      <c r="D1243" s="6">
        <v>25</v>
      </c>
      <c r="E1243" s="32">
        <f>DAY(TableAopCalendar[[#This Row],[Date]])</f>
        <v>24</v>
      </c>
      <c r="F1243" s="32">
        <f>IF(TableAopCalendar[[#This Row],[Day]]&lt;8,1,IF(TableAopCalendar[[#This Row],[Day]]&lt;15,2,IF(TableAopCalendar[[#This Row],[Day]]&lt;22,3,IF(TableAopCalendar[[#This Row],[Day]]&lt;29,4,IF(TableAopCalendar[[#This Row],[Day]]&lt;32,5)))))</f>
        <v>4</v>
      </c>
      <c r="G1243" s="32" t="str">
        <f t="shared" si="73"/>
        <v>Week 4</v>
      </c>
      <c r="H1243" s="32" t="str">
        <f t="shared" si="74"/>
        <v>August 25 Week 4</v>
      </c>
      <c r="I1243" s="32" t="str">
        <f>CONCATENATE(UPPER(TableAopCalendar[[#This Row],[Month]])," ",TableAopCalendar[[#This Row],[Year]])</f>
        <v>AUGUST 25</v>
      </c>
      <c r="J1243" s="7" t="s">
        <v>274</v>
      </c>
      <c r="K1243" s="32" t="str">
        <f>CONCATENATE(TableAopCalendar[[#This Row],[Month for Plan]]," ",TableAopCalendar[[#This Row],[Plan]])</f>
        <v>AUGUST 25 PLANNED</v>
      </c>
    </row>
    <row r="1244" spans="1:11" x14ac:dyDescent="0.3">
      <c r="A1244" s="32">
        <f t="shared" si="72"/>
        <v>4</v>
      </c>
      <c r="B1244" s="33">
        <v>45894</v>
      </c>
      <c r="C1244" s="6" t="s">
        <v>268</v>
      </c>
      <c r="D1244" s="6">
        <v>25</v>
      </c>
      <c r="E1244" s="32">
        <f>DAY(TableAopCalendar[[#This Row],[Date]])</f>
        <v>25</v>
      </c>
      <c r="F1244" s="32">
        <f>IF(TableAopCalendar[[#This Row],[Day]]&lt;8,1,IF(TableAopCalendar[[#This Row],[Day]]&lt;15,2,IF(TableAopCalendar[[#This Row],[Day]]&lt;22,3,IF(TableAopCalendar[[#This Row],[Day]]&lt;29,4,IF(TableAopCalendar[[#This Row],[Day]]&lt;32,5)))))</f>
        <v>4</v>
      </c>
      <c r="G1244" s="32" t="str">
        <f t="shared" si="73"/>
        <v>Week 4</v>
      </c>
      <c r="H1244" s="32" t="str">
        <f t="shared" si="74"/>
        <v>August 25 Week 4</v>
      </c>
      <c r="I1244" s="32" t="str">
        <f>CONCATENATE(UPPER(TableAopCalendar[[#This Row],[Month]])," ",TableAopCalendar[[#This Row],[Year]])</f>
        <v>AUGUST 25</v>
      </c>
      <c r="J1244" s="7" t="s">
        <v>274</v>
      </c>
      <c r="K1244" s="32" t="str">
        <f>CONCATENATE(TableAopCalendar[[#This Row],[Month for Plan]]," ",TableAopCalendar[[#This Row],[Plan]])</f>
        <v>AUGUST 25 PLANNED</v>
      </c>
    </row>
    <row r="1245" spans="1:11" x14ac:dyDescent="0.3">
      <c r="A1245" s="32">
        <f t="shared" si="72"/>
        <v>5</v>
      </c>
      <c r="B1245" s="33">
        <v>45895</v>
      </c>
      <c r="C1245" s="6" t="s">
        <v>268</v>
      </c>
      <c r="D1245" s="6">
        <v>25</v>
      </c>
      <c r="E1245" s="32">
        <f>DAY(TableAopCalendar[[#This Row],[Date]])</f>
        <v>26</v>
      </c>
      <c r="F1245" s="32">
        <f>IF(TableAopCalendar[[#This Row],[Day]]&lt;8,1,IF(TableAopCalendar[[#This Row],[Day]]&lt;15,2,IF(TableAopCalendar[[#This Row],[Day]]&lt;22,3,IF(TableAopCalendar[[#This Row],[Day]]&lt;29,4,IF(TableAopCalendar[[#This Row],[Day]]&lt;32,5)))))</f>
        <v>4</v>
      </c>
      <c r="G1245" s="32" t="str">
        <f t="shared" si="73"/>
        <v>Week 4</v>
      </c>
      <c r="H1245" s="32" t="str">
        <f t="shared" si="74"/>
        <v>August 25 Week 4</v>
      </c>
      <c r="I1245" s="32" t="str">
        <f>CONCATENATE(UPPER(TableAopCalendar[[#This Row],[Month]])," ",TableAopCalendar[[#This Row],[Year]])</f>
        <v>AUGUST 25</v>
      </c>
      <c r="J1245" s="7" t="s">
        <v>274</v>
      </c>
      <c r="K1245" s="32" t="str">
        <f>CONCATENATE(TableAopCalendar[[#This Row],[Month for Plan]]," ",TableAopCalendar[[#This Row],[Plan]])</f>
        <v>AUGUST 25 PLANNED</v>
      </c>
    </row>
    <row r="1246" spans="1:11" x14ac:dyDescent="0.3">
      <c r="A1246" s="32">
        <f t="shared" si="72"/>
        <v>6</v>
      </c>
      <c r="B1246" s="33">
        <v>45896</v>
      </c>
      <c r="C1246" s="6" t="s">
        <v>268</v>
      </c>
      <c r="D1246" s="6">
        <v>25</v>
      </c>
      <c r="E1246" s="32">
        <f>DAY(TableAopCalendar[[#This Row],[Date]])</f>
        <v>27</v>
      </c>
      <c r="F1246" s="32">
        <f>IF(TableAopCalendar[[#This Row],[Day]]&lt;8,1,IF(TableAopCalendar[[#This Row],[Day]]&lt;15,2,IF(TableAopCalendar[[#This Row],[Day]]&lt;22,3,IF(TableAopCalendar[[#This Row],[Day]]&lt;29,4,IF(TableAopCalendar[[#This Row],[Day]]&lt;32,5)))))</f>
        <v>4</v>
      </c>
      <c r="G1246" s="32" t="str">
        <f t="shared" si="73"/>
        <v>Week 4</v>
      </c>
      <c r="H1246" s="32" t="str">
        <f t="shared" si="74"/>
        <v>August 25 Week 4</v>
      </c>
      <c r="I1246" s="32" t="str">
        <f>CONCATENATE(UPPER(TableAopCalendar[[#This Row],[Month]])," ",TableAopCalendar[[#This Row],[Year]])</f>
        <v>AUGUST 25</v>
      </c>
      <c r="J1246" s="7" t="s">
        <v>274</v>
      </c>
      <c r="K1246" s="32" t="str">
        <f>CONCATENATE(TableAopCalendar[[#This Row],[Month for Plan]]," ",TableAopCalendar[[#This Row],[Plan]])</f>
        <v>AUGUST 25 PLANNED</v>
      </c>
    </row>
    <row r="1247" spans="1:11" x14ac:dyDescent="0.3">
      <c r="A1247" s="32">
        <f t="shared" si="72"/>
        <v>7</v>
      </c>
      <c r="B1247" s="33">
        <v>45897</v>
      </c>
      <c r="C1247" s="6" t="s">
        <v>268</v>
      </c>
      <c r="D1247" s="6">
        <v>25</v>
      </c>
      <c r="E1247" s="32">
        <f>DAY(TableAopCalendar[[#This Row],[Date]])</f>
        <v>28</v>
      </c>
      <c r="F1247" s="32">
        <f>IF(TableAopCalendar[[#This Row],[Day]]&lt;8,1,IF(TableAopCalendar[[#This Row],[Day]]&lt;15,2,IF(TableAopCalendar[[#This Row],[Day]]&lt;22,3,IF(TableAopCalendar[[#This Row],[Day]]&lt;29,4,IF(TableAopCalendar[[#This Row],[Day]]&lt;32,5)))))</f>
        <v>4</v>
      </c>
      <c r="G1247" s="32" t="str">
        <f t="shared" si="73"/>
        <v>Week 4</v>
      </c>
      <c r="H1247" s="32" t="str">
        <f t="shared" si="74"/>
        <v>August 25 Week 4</v>
      </c>
      <c r="I1247" s="32" t="str">
        <f>CONCATENATE(UPPER(TableAopCalendar[[#This Row],[Month]])," ",TableAopCalendar[[#This Row],[Year]])</f>
        <v>AUGUST 25</v>
      </c>
      <c r="J1247" s="7" t="s">
        <v>274</v>
      </c>
      <c r="K1247" s="32" t="str">
        <f>CONCATENATE(TableAopCalendar[[#This Row],[Month for Plan]]," ",TableAopCalendar[[#This Row],[Plan]])</f>
        <v>AUGUST 25 PLANNED</v>
      </c>
    </row>
    <row r="1248" spans="1:11" x14ac:dyDescent="0.3">
      <c r="A1248" s="32">
        <f t="shared" si="72"/>
        <v>1</v>
      </c>
      <c r="B1248" s="33">
        <v>45898</v>
      </c>
      <c r="C1248" s="6" t="s">
        <v>268</v>
      </c>
      <c r="D1248" s="6">
        <v>25</v>
      </c>
      <c r="E1248" s="32">
        <f>DAY(TableAopCalendar[[#This Row],[Date]])</f>
        <v>29</v>
      </c>
      <c r="F1248" s="32">
        <f>IF(TableAopCalendar[[#This Row],[Day]]&lt;8,1,IF(TableAopCalendar[[#This Row],[Day]]&lt;15,2,IF(TableAopCalendar[[#This Row],[Day]]&lt;22,3,IF(TableAopCalendar[[#This Row],[Day]]&lt;29,4,IF(TableAopCalendar[[#This Row],[Day]]&lt;32,5)))))</f>
        <v>5</v>
      </c>
      <c r="G1248" s="32" t="str">
        <f t="shared" si="73"/>
        <v>Week 5</v>
      </c>
      <c r="H1248" s="32" t="str">
        <f t="shared" si="74"/>
        <v>August 25 Week 5</v>
      </c>
      <c r="I1248" s="32" t="str">
        <f>CONCATENATE(UPPER(TableAopCalendar[[#This Row],[Month]])," ",TableAopCalendar[[#This Row],[Year]])</f>
        <v>AUGUST 25</v>
      </c>
      <c r="J1248" s="7" t="s">
        <v>274</v>
      </c>
      <c r="K1248" s="32" t="str">
        <f>CONCATENATE(TableAopCalendar[[#This Row],[Month for Plan]]," ",TableAopCalendar[[#This Row],[Plan]])</f>
        <v>AUGUST 25 PLANNED</v>
      </c>
    </row>
    <row r="1249" spans="1:11" x14ac:dyDescent="0.3">
      <c r="A1249" s="32">
        <f t="shared" si="72"/>
        <v>2</v>
      </c>
      <c r="B1249" s="33">
        <v>45899</v>
      </c>
      <c r="C1249" s="6" t="s">
        <v>268</v>
      </c>
      <c r="D1249" s="6">
        <v>25</v>
      </c>
      <c r="E1249" s="32">
        <f>DAY(TableAopCalendar[[#This Row],[Date]])</f>
        <v>30</v>
      </c>
      <c r="F1249" s="32">
        <f>IF(TableAopCalendar[[#This Row],[Day]]&lt;8,1,IF(TableAopCalendar[[#This Row],[Day]]&lt;15,2,IF(TableAopCalendar[[#This Row],[Day]]&lt;22,3,IF(TableAopCalendar[[#This Row],[Day]]&lt;29,4,IF(TableAopCalendar[[#This Row],[Day]]&lt;32,5)))))</f>
        <v>5</v>
      </c>
      <c r="G1249" s="32" t="str">
        <f t="shared" si="73"/>
        <v>Week 5</v>
      </c>
      <c r="H1249" s="32" t="str">
        <f t="shared" si="74"/>
        <v>August 25 Week 5</v>
      </c>
      <c r="I1249" s="32" t="str">
        <f>CONCATENATE(UPPER(TableAopCalendar[[#This Row],[Month]])," ",TableAopCalendar[[#This Row],[Year]])</f>
        <v>AUGUST 25</v>
      </c>
      <c r="J1249" s="7" t="s">
        <v>274</v>
      </c>
      <c r="K1249" s="32" t="str">
        <f>CONCATENATE(TableAopCalendar[[#This Row],[Month for Plan]]," ",TableAopCalendar[[#This Row],[Plan]])</f>
        <v>AUGUST 25 PLANNED</v>
      </c>
    </row>
    <row r="1250" spans="1:11" x14ac:dyDescent="0.3">
      <c r="A1250" s="32">
        <f t="shared" si="72"/>
        <v>3</v>
      </c>
      <c r="B1250" s="33">
        <v>45900</v>
      </c>
      <c r="C1250" s="6" t="s">
        <v>268</v>
      </c>
      <c r="D1250" s="6">
        <v>25</v>
      </c>
      <c r="E1250" s="32">
        <f>DAY(TableAopCalendar[[#This Row],[Date]])</f>
        <v>31</v>
      </c>
      <c r="F1250" s="32">
        <f>IF(TableAopCalendar[[#This Row],[Day]]&lt;8,1,IF(TableAopCalendar[[#This Row],[Day]]&lt;15,2,IF(TableAopCalendar[[#This Row],[Day]]&lt;22,3,IF(TableAopCalendar[[#This Row],[Day]]&lt;29,4,IF(TableAopCalendar[[#This Row],[Day]]&lt;32,5)))))</f>
        <v>5</v>
      </c>
      <c r="G1250" s="32" t="str">
        <f t="shared" si="73"/>
        <v>Week 5</v>
      </c>
      <c r="H1250" s="32" t="str">
        <f t="shared" si="74"/>
        <v>August 25 Week 5</v>
      </c>
      <c r="I1250" s="32" t="str">
        <f>CONCATENATE(UPPER(TableAopCalendar[[#This Row],[Month]])," ",TableAopCalendar[[#This Row],[Year]])</f>
        <v>AUGUST 25</v>
      </c>
      <c r="J1250" s="7" t="s">
        <v>274</v>
      </c>
      <c r="K1250" s="32" t="str">
        <f>CONCATENATE(TableAopCalendar[[#This Row],[Month for Plan]]," ",TableAopCalendar[[#This Row],[Plan]])</f>
        <v>AUGUST 25 PLANNED</v>
      </c>
    </row>
    <row r="1251" spans="1:11" x14ac:dyDescent="0.3">
      <c r="A1251" s="32">
        <f t="shared" si="72"/>
        <v>1</v>
      </c>
      <c r="B1251" s="33">
        <v>45901</v>
      </c>
      <c r="C1251" s="6" t="s">
        <v>269</v>
      </c>
      <c r="D1251" s="6">
        <v>25</v>
      </c>
      <c r="E1251" s="32">
        <f>DAY(TableAopCalendar[[#This Row],[Date]])</f>
        <v>1</v>
      </c>
      <c r="F1251" s="32">
        <f>IF(TableAopCalendar[[#This Row],[Day]]&lt;8,1,IF(TableAopCalendar[[#This Row],[Day]]&lt;15,2,IF(TableAopCalendar[[#This Row],[Day]]&lt;22,3,IF(TableAopCalendar[[#This Row],[Day]]&lt;29,4,IF(TableAopCalendar[[#This Row],[Day]]&lt;32,5)))))</f>
        <v>1</v>
      </c>
      <c r="G1251" s="32" t="str">
        <f t="shared" si="73"/>
        <v>Week 1</v>
      </c>
      <c r="H1251" s="32" t="str">
        <f t="shared" si="74"/>
        <v>September 25 Week 1</v>
      </c>
      <c r="I1251" s="32" t="str">
        <f>CONCATENATE(UPPER(TableAopCalendar[[#This Row],[Month]])," ",TableAopCalendar[[#This Row],[Year]])</f>
        <v>SEPTEMBER 25</v>
      </c>
      <c r="J1251" s="7" t="s">
        <v>274</v>
      </c>
      <c r="K1251" s="32" t="str">
        <f>CONCATENATE(TableAopCalendar[[#This Row],[Month for Plan]]," ",TableAopCalendar[[#This Row],[Plan]])</f>
        <v>SEPTEMBER 25 PLANNED</v>
      </c>
    </row>
    <row r="1252" spans="1:11" x14ac:dyDescent="0.3">
      <c r="A1252" s="32">
        <f t="shared" si="72"/>
        <v>2</v>
      </c>
      <c r="B1252" s="33">
        <v>45902</v>
      </c>
      <c r="C1252" s="6" t="s">
        <v>269</v>
      </c>
      <c r="D1252" s="6">
        <v>25</v>
      </c>
      <c r="E1252" s="32">
        <f>DAY(TableAopCalendar[[#This Row],[Date]])</f>
        <v>2</v>
      </c>
      <c r="F1252" s="32">
        <f>IF(TableAopCalendar[[#This Row],[Day]]&lt;8,1,IF(TableAopCalendar[[#This Row],[Day]]&lt;15,2,IF(TableAopCalendar[[#This Row],[Day]]&lt;22,3,IF(TableAopCalendar[[#This Row],[Day]]&lt;29,4,IF(TableAopCalendar[[#This Row],[Day]]&lt;32,5)))))</f>
        <v>1</v>
      </c>
      <c r="G1252" s="32" t="str">
        <f t="shared" si="73"/>
        <v>Week 1</v>
      </c>
      <c r="H1252" s="32" t="str">
        <f t="shared" si="74"/>
        <v>September 25 Week 1</v>
      </c>
      <c r="I1252" s="32" t="str">
        <f>CONCATENATE(UPPER(TableAopCalendar[[#This Row],[Month]])," ",TableAopCalendar[[#This Row],[Year]])</f>
        <v>SEPTEMBER 25</v>
      </c>
      <c r="J1252" s="7" t="s">
        <v>274</v>
      </c>
      <c r="K1252" s="32" t="str">
        <f>CONCATENATE(TableAopCalendar[[#This Row],[Month for Plan]]," ",TableAopCalendar[[#This Row],[Plan]])</f>
        <v>SEPTEMBER 25 PLANNED</v>
      </c>
    </row>
    <row r="1253" spans="1:11" x14ac:dyDescent="0.3">
      <c r="A1253" s="32">
        <f t="shared" si="72"/>
        <v>3</v>
      </c>
      <c r="B1253" s="33">
        <v>45903</v>
      </c>
      <c r="C1253" s="6" t="s">
        <v>269</v>
      </c>
      <c r="D1253" s="6">
        <v>25</v>
      </c>
      <c r="E1253" s="32">
        <f>DAY(TableAopCalendar[[#This Row],[Date]])</f>
        <v>3</v>
      </c>
      <c r="F1253" s="32">
        <f>IF(TableAopCalendar[[#This Row],[Day]]&lt;8,1,IF(TableAopCalendar[[#This Row],[Day]]&lt;15,2,IF(TableAopCalendar[[#This Row],[Day]]&lt;22,3,IF(TableAopCalendar[[#This Row],[Day]]&lt;29,4,IF(TableAopCalendar[[#This Row],[Day]]&lt;32,5)))))</f>
        <v>1</v>
      </c>
      <c r="G1253" s="32" t="str">
        <f t="shared" si="73"/>
        <v>Week 1</v>
      </c>
      <c r="H1253" s="32" t="str">
        <f t="shared" si="74"/>
        <v>September 25 Week 1</v>
      </c>
      <c r="I1253" s="32" t="str">
        <f>CONCATENATE(UPPER(TableAopCalendar[[#This Row],[Month]])," ",TableAopCalendar[[#This Row],[Year]])</f>
        <v>SEPTEMBER 25</v>
      </c>
      <c r="J1253" s="7" t="s">
        <v>274</v>
      </c>
      <c r="K1253" s="32" t="str">
        <f>CONCATENATE(TableAopCalendar[[#This Row],[Month for Plan]]," ",TableAopCalendar[[#This Row],[Plan]])</f>
        <v>SEPTEMBER 25 PLANNED</v>
      </c>
    </row>
    <row r="1254" spans="1:11" x14ac:dyDescent="0.3">
      <c r="A1254" s="32">
        <f t="shared" si="72"/>
        <v>4</v>
      </c>
      <c r="B1254" s="33">
        <v>45904</v>
      </c>
      <c r="C1254" s="6" t="s">
        <v>269</v>
      </c>
      <c r="D1254" s="6">
        <v>25</v>
      </c>
      <c r="E1254" s="32">
        <f>DAY(TableAopCalendar[[#This Row],[Date]])</f>
        <v>4</v>
      </c>
      <c r="F1254" s="32">
        <f>IF(TableAopCalendar[[#This Row],[Day]]&lt;8,1,IF(TableAopCalendar[[#This Row],[Day]]&lt;15,2,IF(TableAopCalendar[[#This Row],[Day]]&lt;22,3,IF(TableAopCalendar[[#This Row],[Day]]&lt;29,4,IF(TableAopCalendar[[#This Row],[Day]]&lt;32,5)))))</f>
        <v>1</v>
      </c>
      <c r="G1254" s="32" t="str">
        <f t="shared" si="73"/>
        <v>Week 1</v>
      </c>
      <c r="H1254" s="32" t="str">
        <f t="shared" si="74"/>
        <v>September 25 Week 1</v>
      </c>
      <c r="I1254" s="32" t="str">
        <f>CONCATENATE(UPPER(TableAopCalendar[[#This Row],[Month]])," ",TableAopCalendar[[#This Row],[Year]])</f>
        <v>SEPTEMBER 25</v>
      </c>
      <c r="J1254" s="7" t="s">
        <v>274</v>
      </c>
      <c r="K1254" s="32" t="str">
        <f>CONCATENATE(TableAopCalendar[[#This Row],[Month for Plan]]," ",TableAopCalendar[[#This Row],[Plan]])</f>
        <v>SEPTEMBER 25 PLANNED</v>
      </c>
    </row>
    <row r="1255" spans="1:11" x14ac:dyDescent="0.3">
      <c r="A1255" s="32">
        <f t="shared" si="72"/>
        <v>5</v>
      </c>
      <c r="B1255" s="33">
        <v>45905</v>
      </c>
      <c r="C1255" s="6" t="s">
        <v>269</v>
      </c>
      <c r="D1255" s="6">
        <v>25</v>
      </c>
      <c r="E1255" s="32">
        <f>DAY(TableAopCalendar[[#This Row],[Date]])</f>
        <v>5</v>
      </c>
      <c r="F1255" s="32">
        <f>IF(TableAopCalendar[[#This Row],[Day]]&lt;8,1,IF(TableAopCalendar[[#This Row],[Day]]&lt;15,2,IF(TableAopCalendar[[#This Row],[Day]]&lt;22,3,IF(TableAopCalendar[[#This Row],[Day]]&lt;29,4,IF(TableAopCalendar[[#This Row],[Day]]&lt;32,5)))))</f>
        <v>1</v>
      </c>
      <c r="G1255" s="32" t="str">
        <f t="shared" si="73"/>
        <v>Week 1</v>
      </c>
      <c r="H1255" s="32" t="str">
        <f t="shared" si="74"/>
        <v>September 25 Week 1</v>
      </c>
      <c r="I1255" s="32" t="str">
        <f>CONCATENATE(UPPER(TableAopCalendar[[#This Row],[Month]])," ",TableAopCalendar[[#This Row],[Year]])</f>
        <v>SEPTEMBER 25</v>
      </c>
      <c r="J1255" s="7" t="s">
        <v>274</v>
      </c>
      <c r="K1255" s="32" t="str">
        <f>CONCATENATE(TableAopCalendar[[#This Row],[Month for Plan]]," ",TableAopCalendar[[#This Row],[Plan]])</f>
        <v>SEPTEMBER 25 PLANNED</v>
      </c>
    </row>
    <row r="1256" spans="1:11" x14ac:dyDescent="0.3">
      <c r="A1256" s="32">
        <f t="shared" si="72"/>
        <v>6</v>
      </c>
      <c r="B1256" s="33">
        <v>45906</v>
      </c>
      <c r="C1256" s="6" t="s">
        <v>269</v>
      </c>
      <c r="D1256" s="6">
        <v>25</v>
      </c>
      <c r="E1256" s="32">
        <f>DAY(TableAopCalendar[[#This Row],[Date]])</f>
        <v>6</v>
      </c>
      <c r="F1256" s="32">
        <f>IF(TableAopCalendar[[#This Row],[Day]]&lt;8,1,IF(TableAopCalendar[[#This Row],[Day]]&lt;15,2,IF(TableAopCalendar[[#This Row],[Day]]&lt;22,3,IF(TableAopCalendar[[#This Row],[Day]]&lt;29,4,IF(TableAopCalendar[[#This Row],[Day]]&lt;32,5)))))</f>
        <v>1</v>
      </c>
      <c r="G1256" s="32" t="str">
        <f t="shared" si="73"/>
        <v>Week 1</v>
      </c>
      <c r="H1256" s="32" t="str">
        <f t="shared" si="74"/>
        <v>September 25 Week 1</v>
      </c>
      <c r="I1256" s="32" t="str">
        <f>CONCATENATE(UPPER(TableAopCalendar[[#This Row],[Month]])," ",TableAopCalendar[[#This Row],[Year]])</f>
        <v>SEPTEMBER 25</v>
      </c>
      <c r="J1256" s="7" t="s">
        <v>274</v>
      </c>
      <c r="K1256" s="32" t="str">
        <f>CONCATENATE(TableAopCalendar[[#This Row],[Month for Plan]]," ",TableAopCalendar[[#This Row],[Plan]])</f>
        <v>SEPTEMBER 25 PLANNED</v>
      </c>
    </row>
    <row r="1257" spans="1:11" x14ac:dyDescent="0.3">
      <c r="A1257" s="32">
        <f t="shared" si="72"/>
        <v>7</v>
      </c>
      <c r="B1257" s="33">
        <v>45907</v>
      </c>
      <c r="C1257" s="6" t="s">
        <v>269</v>
      </c>
      <c r="D1257" s="6">
        <v>25</v>
      </c>
      <c r="E1257" s="32">
        <f>DAY(TableAopCalendar[[#This Row],[Date]])</f>
        <v>7</v>
      </c>
      <c r="F1257" s="32">
        <f>IF(TableAopCalendar[[#This Row],[Day]]&lt;8,1,IF(TableAopCalendar[[#This Row],[Day]]&lt;15,2,IF(TableAopCalendar[[#This Row],[Day]]&lt;22,3,IF(TableAopCalendar[[#This Row],[Day]]&lt;29,4,IF(TableAopCalendar[[#This Row],[Day]]&lt;32,5)))))</f>
        <v>1</v>
      </c>
      <c r="G1257" s="32" t="str">
        <f t="shared" si="73"/>
        <v>Week 1</v>
      </c>
      <c r="H1257" s="32" t="str">
        <f t="shared" si="74"/>
        <v>September 25 Week 1</v>
      </c>
      <c r="I1257" s="32" t="str">
        <f>CONCATENATE(UPPER(TableAopCalendar[[#This Row],[Month]])," ",TableAopCalendar[[#This Row],[Year]])</f>
        <v>SEPTEMBER 25</v>
      </c>
      <c r="J1257" s="7" t="s">
        <v>274</v>
      </c>
      <c r="K1257" s="32" t="str">
        <f>CONCATENATE(TableAopCalendar[[#This Row],[Month for Plan]]," ",TableAopCalendar[[#This Row],[Plan]])</f>
        <v>SEPTEMBER 25 PLANNED</v>
      </c>
    </row>
    <row r="1258" spans="1:11" x14ac:dyDescent="0.3">
      <c r="A1258" s="32">
        <f t="shared" si="72"/>
        <v>1</v>
      </c>
      <c r="B1258" s="33">
        <v>45908</v>
      </c>
      <c r="C1258" s="6" t="s">
        <v>269</v>
      </c>
      <c r="D1258" s="6">
        <v>25</v>
      </c>
      <c r="E1258" s="32">
        <f>DAY(TableAopCalendar[[#This Row],[Date]])</f>
        <v>8</v>
      </c>
      <c r="F1258" s="32">
        <f>IF(TableAopCalendar[[#This Row],[Day]]&lt;8,1,IF(TableAopCalendar[[#This Row],[Day]]&lt;15,2,IF(TableAopCalendar[[#This Row],[Day]]&lt;22,3,IF(TableAopCalendar[[#This Row],[Day]]&lt;29,4,IF(TableAopCalendar[[#This Row],[Day]]&lt;32,5)))))</f>
        <v>2</v>
      </c>
      <c r="G1258" s="32" t="str">
        <f t="shared" si="73"/>
        <v>Week 2</v>
      </c>
      <c r="H1258" s="32" t="str">
        <f t="shared" si="74"/>
        <v>September 25 Week 2</v>
      </c>
      <c r="I1258" s="32" t="str">
        <f>CONCATENATE(UPPER(TableAopCalendar[[#This Row],[Month]])," ",TableAopCalendar[[#This Row],[Year]])</f>
        <v>SEPTEMBER 25</v>
      </c>
      <c r="J1258" s="7" t="s">
        <v>274</v>
      </c>
      <c r="K1258" s="32" t="str">
        <f>CONCATENATE(TableAopCalendar[[#This Row],[Month for Plan]]," ",TableAopCalendar[[#This Row],[Plan]])</f>
        <v>SEPTEMBER 25 PLANNED</v>
      </c>
    </row>
    <row r="1259" spans="1:11" x14ac:dyDescent="0.3">
      <c r="A1259" s="32">
        <f t="shared" si="72"/>
        <v>2</v>
      </c>
      <c r="B1259" s="33">
        <v>45909</v>
      </c>
      <c r="C1259" s="6" t="s">
        <v>269</v>
      </c>
      <c r="D1259" s="6">
        <v>25</v>
      </c>
      <c r="E1259" s="32">
        <f>DAY(TableAopCalendar[[#This Row],[Date]])</f>
        <v>9</v>
      </c>
      <c r="F1259" s="32">
        <f>IF(TableAopCalendar[[#This Row],[Day]]&lt;8,1,IF(TableAopCalendar[[#This Row],[Day]]&lt;15,2,IF(TableAopCalendar[[#This Row],[Day]]&lt;22,3,IF(TableAopCalendar[[#This Row],[Day]]&lt;29,4,IF(TableAopCalendar[[#This Row],[Day]]&lt;32,5)))))</f>
        <v>2</v>
      </c>
      <c r="G1259" s="32" t="str">
        <f t="shared" si="73"/>
        <v>Week 2</v>
      </c>
      <c r="H1259" s="32" t="str">
        <f t="shared" si="74"/>
        <v>September 25 Week 2</v>
      </c>
      <c r="I1259" s="32" t="str">
        <f>CONCATENATE(UPPER(TableAopCalendar[[#This Row],[Month]])," ",TableAopCalendar[[#This Row],[Year]])</f>
        <v>SEPTEMBER 25</v>
      </c>
      <c r="J1259" s="7" t="s">
        <v>274</v>
      </c>
      <c r="K1259" s="32" t="str">
        <f>CONCATENATE(TableAopCalendar[[#This Row],[Month for Plan]]," ",TableAopCalendar[[#This Row],[Plan]])</f>
        <v>SEPTEMBER 25 PLANNED</v>
      </c>
    </row>
    <row r="1260" spans="1:11" x14ac:dyDescent="0.3">
      <c r="A1260" s="32">
        <f t="shared" si="72"/>
        <v>3</v>
      </c>
      <c r="B1260" s="33">
        <v>45910</v>
      </c>
      <c r="C1260" s="6" t="s">
        <v>269</v>
      </c>
      <c r="D1260" s="6">
        <v>25</v>
      </c>
      <c r="E1260" s="32">
        <f>DAY(TableAopCalendar[[#This Row],[Date]])</f>
        <v>10</v>
      </c>
      <c r="F1260" s="32">
        <f>IF(TableAopCalendar[[#This Row],[Day]]&lt;8,1,IF(TableAopCalendar[[#This Row],[Day]]&lt;15,2,IF(TableAopCalendar[[#This Row],[Day]]&lt;22,3,IF(TableAopCalendar[[#This Row],[Day]]&lt;29,4,IF(TableAopCalendar[[#This Row],[Day]]&lt;32,5)))))</f>
        <v>2</v>
      </c>
      <c r="G1260" s="32" t="str">
        <f t="shared" si="73"/>
        <v>Week 2</v>
      </c>
      <c r="H1260" s="32" t="str">
        <f t="shared" si="74"/>
        <v>September 25 Week 2</v>
      </c>
      <c r="I1260" s="32" t="str">
        <f>CONCATENATE(UPPER(TableAopCalendar[[#This Row],[Month]])," ",TableAopCalendar[[#This Row],[Year]])</f>
        <v>SEPTEMBER 25</v>
      </c>
      <c r="J1260" s="7" t="s">
        <v>274</v>
      </c>
      <c r="K1260" s="32" t="str">
        <f>CONCATENATE(TableAopCalendar[[#This Row],[Month for Plan]]," ",TableAopCalendar[[#This Row],[Plan]])</f>
        <v>SEPTEMBER 25 PLANNED</v>
      </c>
    </row>
    <row r="1261" spans="1:11" x14ac:dyDescent="0.3">
      <c r="A1261" s="32">
        <f t="shared" si="72"/>
        <v>4</v>
      </c>
      <c r="B1261" s="33">
        <v>45911</v>
      </c>
      <c r="C1261" s="6" t="s">
        <v>269</v>
      </c>
      <c r="D1261" s="6">
        <v>25</v>
      </c>
      <c r="E1261" s="32">
        <f>DAY(TableAopCalendar[[#This Row],[Date]])</f>
        <v>11</v>
      </c>
      <c r="F1261" s="32">
        <f>IF(TableAopCalendar[[#This Row],[Day]]&lt;8,1,IF(TableAopCalendar[[#This Row],[Day]]&lt;15,2,IF(TableAopCalendar[[#This Row],[Day]]&lt;22,3,IF(TableAopCalendar[[#This Row],[Day]]&lt;29,4,IF(TableAopCalendar[[#This Row],[Day]]&lt;32,5)))))</f>
        <v>2</v>
      </c>
      <c r="G1261" s="32" t="str">
        <f t="shared" si="73"/>
        <v>Week 2</v>
      </c>
      <c r="H1261" s="32" t="str">
        <f t="shared" si="74"/>
        <v>September 25 Week 2</v>
      </c>
      <c r="I1261" s="32" t="str">
        <f>CONCATENATE(UPPER(TableAopCalendar[[#This Row],[Month]])," ",TableAopCalendar[[#This Row],[Year]])</f>
        <v>SEPTEMBER 25</v>
      </c>
      <c r="J1261" s="7" t="s">
        <v>274</v>
      </c>
      <c r="K1261" s="32" t="str">
        <f>CONCATENATE(TableAopCalendar[[#This Row],[Month for Plan]]," ",TableAopCalendar[[#This Row],[Plan]])</f>
        <v>SEPTEMBER 25 PLANNED</v>
      </c>
    </row>
    <row r="1262" spans="1:11" x14ac:dyDescent="0.3">
      <c r="A1262" s="32">
        <f t="shared" si="72"/>
        <v>5</v>
      </c>
      <c r="B1262" s="33">
        <v>45912</v>
      </c>
      <c r="C1262" s="6" t="s">
        <v>269</v>
      </c>
      <c r="D1262" s="6">
        <v>25</v>
      </c>
      <c r="E1262" s="32">
        <f>DAY(TableAopCalendar[[#This Row],[Date]])</f>
        <v>12</v>
      </c>
      <c r="F1262" s="32">
        <f>IF(TableAopCalendar[[#This Row],[Day]]&lt;8,1,IF(TableAopCalendar[[#This Row],[Day]]&lt;15,2,IF(TableAopCalendar[[#This Row],[Day]]&lt;22,3,IF(TableAopCalendar[[#This Row],[Day]]&lt;29,4,IF(TableAopCalendar[[#This Row],[Day]]&lt;32,5)))))</f>
        <v>2</v>
      </c>
      <c r="G1262" s="32" t="str">
        <f t="shared" si="73"/>
        <v>Week 2</v>
      </c>
      <c r="H1262" s="32" t="str">
        <f t="shared" si="74"/>
        <v>September 25 Week 2</v>
      </c>
      <c r="I1262" s="32" t="str">
        <f>CONCATENATE(UPPER(TableAopCalendar[[#This Row],[Month]])," ",TableAopCalendar[[#This Row],[Year]])</f>
        <v>SEPTEMBER 25</v>
      </c>
      <c r="J1262" s="7" t="s">
        <v>274</v>
      </c>
      <c r="K1262" s="32" t="str">
        <f>CONCATENATE(TableAopCalendar[[#This Row],[Month for Plan]]," ",TableAopCalendar[[#This Row],[Plan]])</f>
        <v>SEPTEMBER 25 PLANNED</v>
      </c>
    </row>
    <row r="1263" spans="1:11" x14ac:dyDescent="0.3">
      <c r="A1263" s="32">
        <f t="shared" si="72"/>
        <v>6</v>
      </c>
      <c r="B1263" s="33">
        <v>45913</v>
      </c>
      <c r="C1263" s="6" t="s">
        <v>269</v>
      </c>
      <c r="D1263" s="6">
        <v>25</v>
      </c>
      <c r="E1263" s="32">
        <f>DAY(TableAopCalendar[[#This Row],[Date]])</f>
        <v>13</v>
      </c>
      <c r="F1263" s="32">
        <f>IF(TableAopCalendar[[#This Row],[Day]]&lt;8,1,IF(TableAopCalendar[[#This Row],[Day]]&lt;15,2,IF(TableAopCalendar[[#This Row],[Day]]&lt;22,3,IF(TableAopCalendar[[#This Row],[Day]]&lt;29,4,IF(TableAopCalendar[[#This Row],[Day]]&lt;32,5)))))</f>
        <v>2</v>
      </c>
      <c r="G1263" s="32" t="str">
        <f t="shared" si="73"/>
        <v>Week 2</v>
      </c>
      <c r="H1263" s="32" t="str">
        <f t="shared" si="74"/>
        <v>September 25 Week 2</v>
      </c>
      <c r="I1263" s="32" t="str">
        <f>CONCATENATE(UPPER(TableAopCalendar[[#This Row],[Month]])," ",TableAopCalendar[[#This Row],[Year]])</f>
        <v>SEPTEMBER 25</v>
      </c>
      <c r="J1263" s="7" t="s">
        <v>274</v>
      </c>
      <c r="K1263" s="32" t="str">
        <f>CONCATENATE(TableAopCalendar[[#This Row],[Month for Plan]]," ",TableAopCalendar[[#This Row],[Plan]])</f>
        <v>SEPTEMBER 25 PLANNED</v>
      </c>
    </row>
    <row r="1264" spans="1:11" x14ac:dyDescent="0.3">
      <c r="A1264" s="32">
        <f t="shared" si="72"/>
        <v>7</v>
      </c>
      <c r="B1264" s="33">
        <v>45914</v>
      </c>
      <c r="C1264" s="6" t="s">
        <v>269</v>
      </c>
      <c r="D1264" s="6">
        <v>25</v>
      </c>
      <c r="E1264" s="32">
        <f>DAY(TableAopCalendar[[#This Row],[Date]])</f>
        <v>14</v>
      </c>
      <c r="F1264" s="32">
        <f>IF(TableAopCalendar[[#This Row],[Day]]&lt;8,1,IF(TableAopCalendar[[#This Row],[Day]]&lt;15,2,IF(TableAopCalendar[[#This Row],[Day]]&lt;22,3,IF(TableAopCalendar[[#This Row],[Day]]&lt;29,4,IF(TableAopCalendar[[#This Row],[Day]]&lt;32,5)))))</f>
        <v>2</v>
      </c>
      <c r="G1264" s="32" t="str">
        <f t="shared" si="73"/>
        <v>Week 2</v>
      </c>
      <c r="H1264" s="32" t="str">
        <f t="shared" si="74"/>
        <v>September 25 Week 2</v>
      </c>
      <c r="I1264" s="32" t="str">
        <f>CONCATENATE(UPPER(TableAopCalendar[[#This Row],[Month]])," ",TableAopCalendar[[#This Row],[Year]])</f>
        <v>SEPTEMBER 25</v>
      </c>
      <c r="J1264" s="7" t="s">
        <v>274</v>
      </c>
      <c r="K1264" s="32" t="str">
        <f>CONCATENATE(TableAopCalendar[[#This Row],[Month for Plan]]," ",TableAopCalendar[[#This Row],[Plan]])</f>
        <v>SEPTEMBER 25 PLANNED</v>
      </c>
    </row>
    <row r="1265" spans="1:11" x14ac:dyDescent="0.3">
      <c r="A1265" s="32">
        <f t="shared" si="72"/>
        <v>1</v>
      </c>
      <c r="B1265" s="33">
        <v>45915</v>
      </c>
      <c r="C1265" s="6" t="s">
        <v>269</v>
      </c>
      <c r="D1265" s="6">
        <v>25</v>
      </c>
      <c r="E1265" s="32">
        <f>DAY(TableAopCalendar[[#This Row],[Date]])</f>
        <v>15</v>
      </c>
      <c r="F1265" s="32">
        <f>IF(TableAopCalendar[[#This Row],[Day]]&lt;8,1,IF(TableAopCalendar[[#This Row],[Day]]&lt;15,2,IF(TableAopCalendar[[#This Row],[Day]]&lt;22,3,IF(TableAopCalendar[[#This Row],[Day]]&lt;29,4,IF(TableAopCalendar[[#This Row],[Day]]&lt;32,5)))))</f>
        <v>3</v>
      </c>
      <c r="G1265" s="32" t="str">
        <f t="shared" si="73"/>
        <v>Week 3</v>
      </c>
      <c r="H1265" s="32" t="str">
        <f t="shared" si="74"/>
        <v>September 25 Week 3</v>
      </c>
      <c r="I1265" s="32" t="str">
        <f>CONCATENATE(UPPER(TableAopCalendar[[#This Row],[Month]])," ",TableAopCalendar[[#This Row],[Year]])</f>
        <v>SEPTEMBER 25</v>
      </c>
      <c r="J1265" s="7" t="s">
        <v>274</v>
      </c>
      <c r="K1265" s="32" t="str">
        <f>CONCATENATE(TableAopCalendar[[#This Row],[Month for Plan]]," ",TableAopCalendar[[#This Row],[Plan]])</f>
        <v>SEPTEMBER 25 PLANNED</v>
      </c>
    </row>
    <row r="1266" spans="1:11" x14ac:dyDescent="0.3">
      <c r="A1266" s="32">
        <f t="shared" si="72"/>
        <v>2</v>
      </c>
      <c r="B1266" s="33">
        <v>45916</v>
      </c>
      <c r="C1266" s="6" t="s">
        <v>269</v>
      </c>
      <c r="D1266" s="6">
        <v>25</v>
      </c>
      <c r="E1266" s="32">
        <f>DAY(TableAopCalendar[[#This Row],[Date]])</f>
        <v>16</v>
      </c>
      <c r="F1266" s="32">
        <f>IF(TableAopCalendar[[#This Row],[Day]]&lt;8,1,IF(TableAopCalendar[[#This Row],[Day]]&lt;15,2,IF(TableAopCalendar[[#This Row],[Day]]&lt;22,3,IF(TableAopCalendar[[#This Row],[Day]]&lt;29,4,IF(TableAopCalendar[[#This Row],[Day]]&lt;32,5)))))</f>
        <v>3</v>
      </c>
      <c r="G1266" s="32" t="str">
        <f t="shared" si="73"/>
        <v>Week 3</v>
      </c>
      <c r="H1266" s="32" t="str">
        <f t="shared" si="74"/>
        <v>September 25 Week 3</v>
      </c>
      <c r="I1266" s="32" t="str">
        <f>CONCATENATE(UPPER(TableAopCalendar[[#This Row],[Month]])," ",TableAopCalendar[[#This Row],[Year]])</f>
        <v>SEPTEMBER 25</v>
      </c>
      <c r="J1266" s="7" t="s">
        <v>274</v>
      </c>
      <c r="K1266" s="32" t="str">
        <f>CONCATENATE(TableAopCalendar[[#This Row],[Month for Plan]]," ",TableAopCalendar[[#This Row],[Plan]])</f>
        <v>SEPTEMBER 25 PLANNED</v>
      </c>
    </row>
    <row r="1267" spans="1:11" x14ac:dyDescent="0.3">
      <c r="A1267" s="32">
        <f t="shared" si="72"/>
        <v>3</v>
      </c>
      <c r="B1267" s="33">
        <v>45917</v>
      </c>
      <c r="C1267" s="6" t="s">
        <v>269</v>
      </c>
      <c r="D1267" s="6">
        <v>25</v>
      </c>
      <c r="E1267" s="32">
        <f>DAY(TableAopCalendar[[#This Row],[Date]])</f>
        <v>17</v>
      </c>
      <c r="F1267" s="32">
        <f>IF(TableAopCalendar[[#This Row],[Day]]&lt;8,1,IF(TableAopCalendar[[#This Row],[Day]]&lt;15,2,IF(TableAopCalendar[[#This Row],[Day]]&lt;22,3,IF(TableAopCalendar[[#This Row],[Day]]&lt;29,4,IF(TableAopCalendar[[#This Row],[Day]]&lt;32,5)))))</f>
        <v>3</v>
      </c>
      <c r="G1267" s="32" t="str">
        <f t="shared" si="73"/>
        <v>Week 3</v>
      </c>
      <c r="H1267" s="32" t="str">
        <f t="shared" si="74"/>
        <v>September 25 Week 3</v>
      </c>
      <c r="I1267" s="32" t="str">
        <f>CONCATENATE(UPPER(TableAopCalendar[[#This Row],[Month]])," ",TableAopCalendar[[#This Row],[Year]])</f>
        <v>SEPTEMBER 25</v>
      </c>
      <c r="J1267" s="7" t="s">
        <v>274</v>
      </c>
      <c r="K1267" s="32" t="str">
        <f>CONCATENATE(TableAopCalendar[[#This Row],[Month for Plan]]," ",TableAopCalendar[[#This Row],[Plan]])</f>
        <v>SEPTEMBER 25 PLANNED</v>
      </c>
    </row>
    <row r="1268" spans="1:11" x14ac:dyDescent="0.3">
      <c r="A1268" s="32">
        <f t="shared" si="72"/>
        <v>4</v>
      </c>
      <c r="B1268" s="33">
        <v>45918</v>
      </c>
      <c r="C1268" s="6" t="s">
        <v>269</v>
      </c>
      <c r="D1268" s="6">
        <v>25</v>
      </c>
      <c r="E1268" s="32">
        <f>DAY(TableAopCalendar[[#This Row],[Date]])</f>
        <v>18</v>
      </c>
      <c r="F1268" s="32">
        <f>IF(TableAopCalendar[[#This Row],[Day]]&lt;8,1,IF(TableAopCalendar[[#This Row],[Day]]&lt;15,2,IF(TableAopCalendar[[#This Row],[Day]]&lt;22,3,IF(TableAopCalendar[[#This Row],[Day]]&lt;29,4,IF(TableAopCalendar[[#This Row],[Day]]&lt;32,5)))))</f>
        <v>3</v>
      </c>
      <c r="G1268" s="32" t="str">
        <f t="shared" si="73"/>
        <v>Week 3</v>
      </c>
      <c r="H1268" s="32" t="str">
        <f t="shared" si="74"/>
        <v>September 25 Week 3</v>
      </c>
      <c r="I1268" s="32" t="str">
        <f>CONCATENATE(UPPER(TableAopCalendar[[#This Row],[Month]])," ",TableAopCalendar[[#This Row],[Year]])</f>
        <v>SEPTEMBER 25</v>
      </c>
      <c r="J1268" s="7" t="s">
        <v>274</v>
      </c>
      <c r="K1268" s="32" t="str">
        <f>CONCATENATE(TableAopCalendar[[#This Row],[Month for Plan]]," ",TableAopCalendar[[#This Row],[Plan]])</f>
        <v>SEPTEMBER 25 PLANNED</v>
      </c>
    </row>
    <row r="1269" spans="1:11" x14ac:dyDescent="0.3">
      <c r="A1269" s="32">
        <f t="shared" si="72"/>
        <v>5</v>
      </c>
      <c r="B1269" s="33">
        <v>45919</v>
      </c>
      <c r="C1269" s="6" t="s">
        <v>269</v>
      </c>
      <c r="D1269" s="6">
        <v>25</v>
      </c>
      <c r="E1269" s="32">
        <f>DAY(TableAopCalendar[[#This Row],[Date]])</f>
        <v>19</v>
      </c>
      <c r="F1269" s="32">
        <f>IF(TableAopCalendar[[#This Row],[Day]]&lt;8,1,IF(TableAopCalendar[[#This Row],[Day]]&lt;15,2,IF(TableAopCalendar[[#This Row],[Day]]&lt;22,3,IF(TableAopCalendar[[#This Row],[Day]]&lt;29,4,IF(TableAopCalendar[[#This Row],[Day]]&lt;32,5)))))</f>
        <v>3</v>
      </c>
      <c r="G1269" s="32" t="str">
        <f t="shared" si="73"/>
        <v>Week 3</v>
      </c>
      <c r="H1269" s="32" t="str">
        <f t="shared" si="74"/>
        <v>September 25 Week 3</v>
      </c>
      <c r="I1269" s="32" t="str">
        <f>CONCATENATE(UPPER(TableAopCalendar[[#This Row],[Month]])," ",TableAopCalendar[[#This Row],[Year]])</f>
        <v>SEPTEMBER 25</v>
      </c>
      <c r="J1269" s="7" t="s">
        <v>274</v>
      </c>
      <c r="K1269" s="32" t="str">
        <f>CONCATENATE(TableAopCalendar[[#This Row],[Month for Plan]]," ",TableAopCalendar[[#This Row],[Plan]])</f>
        <v>SEPTEMBER 25 PLANNED</v>
      </c>
    </row>
    <row r="1270" spans="1:11" x14ac:dyDescent="0.3">
      <c r="A1270" s="32">
        <f t="shared" si="72"/>
        <v>6</v>
      </c>
      <c r="B1270" s="33">
        <v>45920</v>
      </c>
      <c r="C1270" s="6" t="s">
        <v>269</v>
      </c>
      <c r="D1270" s="6">
        <v>25</v>
      </c>
      <c r="E1270" s="32">
        <f>DAY(TableAopCalendar[[#This Row],[Date]])</f>
        <v>20</v>
      </c>
      <c r="F1270" s="32">
        <f>IF(TableAopCalendar[[#This Row],[Day]]&lt;8,1,IF(TableAopCalendar[[#This Row],[Day]]&lt;15,2,IF(TableAopCalendar[[#This Row],[Day]]&lt;22,3,IF(TableAopCalendar[[#This Row],[Day]]&lt;29,4,IF(TableAopCalendar[[#This Row],[Day]]&lt;32,5)))))</f>
        <v>3</v>
      </c>
      <c r="G1270" s="32" t="str">
        <f t="shared" si="73"/>
        <v>Week 3</v>
      </c>
      <c r="H1270" s="32" t="str">
        <f t="shared" si="74"/>
        <v>September 25 Week 3</v>
      </c>
      <c r="I1270" s="32" t="str">
        <f>CONCATENATE(UPPER(TableAopCalendar[[#This Row],[Month]])," ",TableAopCalendar[[#This Row],[Year]])</f>
        <v>SEPTEMBER 25</v>
      </c>
      <c r="J1270" s="7" t="s">
        <v>274</v>
      </c>
      <c r="K1270" s="32" t="str">
        <f>CONCATENATE(TableAopCalendar[[#This Row],[Month for Plan]]," ",TableAopCalendar[[#This Row],[Plan]])</f>
        <v>SEPTEMBER 25 PLANNED</v>
      </c>
    </row>
    <row r="1271" spans="1:11" x14ac:dyDescent="0.3">
      <c r="A1271" s="32">
        <f t="shared" si="72"/>
        <v>7</v>
      </c>
      <c r="B1271" s="33">
        <v>45921</v>
      </c>
      <c r="C1271" s="6" t="s">
        <v>269</v>
      </c>
      <c r="D1271" s="6">
        <v>25</v>
      </c>
      <c r="E1271" s="32">
        <f>DAY(TableAopCalendar[[#This Row],[Date]])</f>
        <v>21</v>
      </c>
      <c r="F1271" s="32">
        <f>IF(TableAopCalendar[[#This Row],[Day]]&lt;8,1,IF(TableAopCalendar[[#This Row],[Day]]&lt;15,2,IF(TableAopCalendar[[#This Row],[Day]]&lt;22,3,IF(TableAopCalendar[[#This Row],[Day]]&lt;29,4,IF(TableAopCalendar[[#This Row],[Day]]&lt;32,5)))))</f>
        <v>3</v>
      </c>
      <c r="G1271" s="32" t="str">
        <f t="shared" si="73"/>
        <v>Week 3</v>
      </c>
      <c r="H1271" s="32" t="str">
        <f t="shared" si="74"/>
        <v>September 25 Week 3</v>
      </c>
      <c r="I1271" s="32" t="str">
        <f>CONCATENATE(UPPER(TableAopCalendar[[#This Row],[Month]])," ",TableAopCalendar[[#This Row],[Year]])</f>
        <v>SEPTEMBER 25</v>
      </c>
      <c r="J1271" s="7" t="s">
        <v>274</v>
      </c>
      <c r="K1271" s="32" t="str">
        <f>CONCATENATE(TableAopCalendar[[#This Row],[Month for Plan]]," ",TableAopCalendar[[#This Row],[Plan]])</f>
        <v>SEPTEMBER 25 PLANNED</v>
      </c>
    </row>
    <row r="1272" spans="1:11" x14ac:dyDescent="0.3">
      <c r="A1272" s="32">
        <f t="shared" si="72"/>
        <v>1</v>
      </c>
      <c r="B1272" s="33">
        <v>45922</v>
      </c>
      <c r="C1272" s="6" t="s">
        <v>269</v>
      </c>
      <c r="D1272" s="6">
        <v>25</v>
      </c>
      <c r="E1272" s="32">
        <f>DAY(TableAopCalendar[[#This Row],[Date]])</f>
        <v>22</v>
      </c>
      <c r="F1272" s="32">
        <f>IF(TableAopCalendar[[#This Row],[Day]]&lt;8,1,IF(TableAopCalendar[[#This Row],[Day]]&lt;15,2,IF(TableAopCalendar[[#This Row],[Day]]&lt;22,3,IF(TableAopCalendar[[#This Row],[Day]]&lt;29,4,IF(TableAopCalendar[[#This Row],[Day]]&lt;32,5)))))</f>
        <v>4</v>
      </c>
      <c r="G1272" s="32" t="str">
        <f t="shared" si="73"/>
        <v>Week 4</v>
      </c>
      <c r="H1272" s="32" t="str">
        <f t="shared" si="74"/>
        <v>September 25 Week 4</v>
      </c>
      <c r="I1272" s="32" t="str">
        <f>CONCATENATE(UPPER(TableAopCalendar[[#This Row],[Month]])," ",TableAopCalendar[[#This Row],[Year]])</f>
        <v>SEPTEMBER 25</v>
      </c>
      <c r="J1272" s="7" t="s">
        <v>274</v>
      </c>
      <c r="K1272" s="32" t="str">
        <f>CONCATENATE(TableAopCalendar[[#This Row],[Month for Plan]]," ",TableAopCalendar[[#This Row],[Plan]])</f>
        <v>SEPTEMBER 25 PLANNED</v>
      </c>
    </row>
    <row r="1273" spans="1:11" x14ac:dyDescent="0.3">
      <c r="A1273" s="32">
        <f t="shared" si="72"/>
        <v>2</v>
      </c>
      <c r="B1273" s="33">
        <v>45923</v>
      </c>
      <c r="C1273" s="6" t="s">
        <v>269</v>
      </c>
      <c r="D1273" s="6">
        <v>25</v>
      </c>
      <c r="E1273" s="32">
        <f>DAY(TableAopCalendar[[#This Row],[Date]])</f>
        <v>23</v>
      </c>
      <c r="F1273" s="32">
        <f>IF(TableAopCalendar[[#This Row],[Day]]&lt;8,1,IF(TableAopCalendar[[#This Row],[Day]]&lt;15,2,IF(TableAopCalendar[[#This Row],[Day]]&lt;22,3,IF(TableAopCalendar[[#This Row],[Day]]&lt;29,4,IF(TableAopCalendar[[#This Row],[Day]]&lt;32,5)))))</f>
        <v>4</v>
      </c>
      <c r="G1273" s="32" t="str">
        <f t="shared" si="73"/>
        <v>Week 4</v>
      </c>
      <c r="H1273" s="32" t="str">
        <f t="shared" si="74"/>
        <v>September 25 Week 4</v>
      </c>
      <c r="I1273" s="32" t="str">
        <f>CONCATENATE(UPPER(TableAopCalendar[[#This Row],[Month]])," ",TableAopCalendar[[#This Row],[Year]])</f>
        <v>SEPTEMBER 25</v>
      </c>
      <c r="J1273" s="7" t="s">
        <v>274</v>
      </c>
      <c r="K1273" s="32" t="str">
        <f>CONCATENATE(TableAopCalendar[[#This Row],[Month for Plan]]," ",TableAopCalendar[[#This Row],[Plan]])</f>
        <v>SEPTEMBER 25 PLANNED</v>
      </c>
    </row>
    <row r="1274" spans="1:11" x14ac:dyDescent="0.3">
      <c r="A1274" s="32">
        <f t="shared" si="72"/>
        <v>3</v>
      </c>
      <c r="B1274" s="33">
        <v>45924</v>
      </c>
      <c r="C1274" s="6" t="s">
        <v>269</v>
      </c>
      <c r="D1274" s="6">
        <v>25</v>
      </c>
      <c r="E1274" s="32">
        <f>DAY(TableAopCalendar[[#This Row],[Date]])</f>
        <v>24</v>
      </c>
      <c r="F1274" s="32">
        <f>IF(TableAopCalendar[[#This Row],[Day]]&lt;8,1,IF(TableAopCalendar[[#This Row],[Day]]&lt;15,2,IF(TableAopCalendar[[#This Row],[Day]]&lt;22,3,IF(TableAopCalendar[[#This Row],[Day]]&lt;29,4,IF(TableAopCalendar[[#This Row],[Day]]&lt;32,5)))))</f>
        <v>4</v>
      </c>
      <c r="G1274" s="32" t="str">
        <f t="shared" si="73"/>
        <v>Week 4</v>
      </c>
      <c r="H1274" s="32" t="str">
        <f t="shared" si="74"/>
        <v>September 25 Week 4</v>
      </c>
      <c r="I1274" s="32" t="str">
        <f>CONCATENATE(UPPER(TableAopCalendar[[#This Row],[Month]])," ",TableAopCalendar[[#This Row],[Year]])</f>
        <v>SEPTEMBER 25</v>
      </c>
      <c r="J1274" s="7" t="s">
        <v>274</v>
      </c>
      <c r="K1274" s="32" t="str">
        <f>CONCATENATE(TableAopCalendar[[#This Row],[Month for Plan]]," ",TableAopCalendar[[#This Row],[Plan]])</f>
        <v>SEPTEMBER 25 PLANNED</v>
      </c>
    </row>
    <row r="1275" spans="1:11" x14ac:dyDescent="0.3">
      <c r="A1275" s="32">
        <f t="shared" si="72"/>
        <v>4</v>
      </c>
      <c r="B1275" s="33">
        <v>45925</v>
      </c>
      <c r="C1275" s="6" t="s">
        <v>269</v>
      </c>
      <c r="D1275" s="6">
        <v>25</v>
      </c>
      <c r="E1275" s="32">
        <f>DAY(TableAopCalendar[[#This Row],[Date]])</f>
        <v>25</v>
      </c>
      <c r="F1275" s="32">
        <f>IF(TableAopCalendar[[#This Row],[Day]]&lt;8,1,IF(TableAopCalendar[[#This Row],[Day]]&lt;15,2,IF(TableAopCalendar[[#This Row],[Day]]&lt;22,3,IF(TableAopCalendar[[#This Row],[Day]]&lt;29,4,IF(TableAopCalendar[[#This Row],[Day]]&lt;32,5)))))</f>
        <v>4</v>
      </c>
      <c r="G1275" s="32" t="str">
        <f t="shared" si="73"/>
        <v>Week 4</v>
      </c>
      <c r="H1275" s="32" t="str">
        <f t="shared" si="74"/>
        <v>September 25 Week 4</v>
      </c>
      <c r="I1275" s="32" t="str">
        <f>CONCATENATE(UPPER(TableAopCalendar[[#This Row],[Month]])," ",TableAopCalendar[[#This Row],[Year]])</f>
        <v>SEPTEMBER 25</v>
      </c>
      <c r="J1275" s="7" t="s">
        <v>274</v>
      </c>
      <c r="K1275" s="32" t="str">
        <f>CONCATENATE(TableAopCalendar[[#This Row],[Month for Plan]]," ",TableAopCalendar[[#This Row],[Plan]])</f>
        <v>SEPTEMBER 25 PLANNED</v>
      </c>
    </row>
    <row r="1276" spans="1:11" x14ac:dyDescent="0.3">
      <c r="A1276" s="32">
        <f t="shared" si="72"/>
        <v>5</v>
      </c>
      <c r="B1276" s="33">
        <v>45926</v>
      </c>
      <c r="C1276" s="6" t="s">
        <v>269</v>
      </c>
      <c r="D1276" s="6">
        <v>25</v>
      </c>
      <c r="E1276" s="32">
        <f>DAY(TableAopCalendar[[#This Row],[Date]])</f>
        <v>26</v>
      </c>
      <c r="F1276" s="32">
        <f>IF(TableAopCalendar[[#This Row],[Day]]&lt;8,1,IF(TableAopCalendar[[#This Row],[Day]]&lt;15,2,IF(TableAopCalendar[[#This Row],[Day]]&lt;22,3,IF(TableAopCalendar[[#This Row],[Day]]&lt;29,4,IF(TableAopCalendar[[#This Row],[Day]]&lt;32,5)))))</f>
        <v>4</v>
      </c>
      <c r="G1276" s="32" t="str">
        <f t="shared" si="73"/>
        <v>Week 4</v>
      </c>
      <c r="H1276" s="32" t="str">
        <f t="shared" si="74"/>
        <v>September 25 Week 4</v>
      </c>
      <c r="I1276" s="32" t="str">
        <f>CONCATENATE(UPPER(TableAopCalendar[[#This Row],[Month]])," ",TableAopCalendar[[#This Row],[Year]])</f>
        <v>SEPTEMBER 25</v>
      </c>
      <c r="J1276" s="7" t="s">
        <v>274</v>
      </c>
      <c r="K1276" s="32" t="str">
        <f>CONCATENATE(TableAopCalendar[[#This Row],[Month for Plan]]," ",TableAopCalendar[[#This Row],[Plan]])</f>
        <v>SEPTEMBER 25 PLANNED</v>
      </c>
    </row>
    <row r="1277" spans="1:11" x14ac:dyDescent="0.3">
      <c r="A1277" s="32">
        <f t="shared" si="72"/>
        <v>6</v>
      </c>
      <c r="B1277" s="33">
        <v>45927</v>
      </c>
      <c r="C1277" s="6" t="s">
        <v>269</v>
      </c>
      <c r="D1277" s="6">
        <v>25</v>
      </c>
      <c r="E1277" s="32">
        <f>DAY(TableAopCalendar[[#This Row],[Date]])</f>
        <v>27</v>
      </c>
      <c r="F1277" s="32">
        <f>IF(TableAopCalendar[[#This Row],[Day]]&lt;8,1,IF(TableAopCalendar[[#This Row],[Day]]&lt;15,2,IF(TableAopCalendar[[#This Row],[Day]]&lt;22,3,IF(TableAopCalendar[[#This Row],[Day]]&lt;29,4,IF(TableAopCalendar[[#This Row],[Day]]&lt;32,5)))))</f>
        <v>4</v>
      </c>
      <c r="G1277" s="32" t="str">
        <f t="shared" si="73"/>
        <v>Week 4</v>
      </c>
      <c r="H1277" s="32" t="str">
        <f t="shared" si="74"/>
        <v>September 25 Week 4</v>
      </c>
      <c r="I1277" s="32" t="str">
        <f>CONCATENATE(UPPER(TableAopCalendar[[#This Row],[Month]])," ",TableAopCalendar[[#This Row],[Year]])</f>
        <v>SEPTEMBER 25</v>
      </c>
      <c r="J1277" s="7" t="s">
        <v>274</v>
      </c>
      <c r="K1277" s="32" t="str">
        <f>CONCATENATE(TableAopCalendar[[#This Row],[Month for Plan]]," ",TableAopCalendar[[#This Row],[Plan]])</f>
        <v>SEPTEMBER 25 PLANNED</v>
      </c>
    </row>
    <row r="1278" spans="1:11" x14ac:dyDescent="0.3">
      <c r="A1278" s="32">
        <f t="shared" si="72"/>
        <v>7</v>
      </c>
      <c r="B1278" s="33">
        <v>45928</v>
      </c>
      <c r="C1278" s="6" t="s">
        <v>269</v>
      </c>
      <c r="D1278" s="6">
        <v>25</v>
      </c>
      <c r="E1278" s="32">
        <f>DAY(TableAopCalendar[[#This Row],[Date]])</f>
        <v>28</v>
      </c>
      <c r="F1278" s="32">
        <f>IF(TableAopCalendar[[#This Row],[Day]]&lt;8,1,IF(TableAopCalendar[[#This Row],[Day]]&lt;15,2,IF(TableAopCalendar[[#This Row],[Day]]&lt;22,3,IF(TableAopCalendar[[#This Row],[Day]]&lt;29,4,IF(TableAopCalendar[[#This Row],[Day]]&lt;32,5)))))</f>
        <v>4</v>
      </c>
      <c r="G1278" s="32" t="str">
        <f t="shared" si="73"/>
        <v>Week 4</v>
      </c>
      <c r="H1278" s="32" t="str">
        <f t="shared" si="74"/>
        <v>September 25 Week 4</v>
      </c>
      <c r="I1278" s="32" t="str">
        <f>CONCATENATE(UPPER(TableAopCalendar[[#This Row],[Month]])," ",TableAopCalendar[[#This Row],[Year]])</f>
        <v>SEPTEMBER 25</v>
      </c>
      <c r="J1278" s="7" t="s">
        <v>274</v>
      </c>
      <c r="K1278" s="32" t="str">
        <f>CONCATENATE(TableAopCalendar[[#This Row],[Month for Plan]]," ",TableAopCalendar[[#This Row],[Plan]])</f>
        <v>SEPTEMBER 25 PLANNED</v>
      </c>
    </row>
    <row r="1279" spans="1:11" x14ac:dyDescent="0.3">
      <c r="A1279" s="32">
        <f t="shared" si="72"/>
        <v>1</v>
      </c>
      <c r="B1279" s="33">
        <v>45929</v>
      </c>
      <c r="C1279" s="6" t="s">
        <v>269</v>
      </c>
      <c r="D1279" s="6">
        <v>25</v>
      </c>
      <c r="E1279" s="32">
        <f>DAY(TableAopCalendar[[#This Row],[Date]])</f>
        <v>29</v>
      </c>
      <c r="F1279" s="32">
        <f>IF(TableAopCalendar[[#This Row],[Day]]&lt;8,1,IF(TableAopCalendar[[#This Row],[Day]]&lt;15,2,IF(TableAopCalendar[[#This Row],[Day]]&lt;22,3,IF(TableAopCalendar[[#This Row],[Day]]&lt;29,4,IF(TableAopCalendar[[#This Row],[Day]]&lt;32,5)))))</f>
        <v>5</v>
      </c>
      <c r="G1279" s="32" t="str">
        <f t="shared" si="73"/>
        <v>Week 5</v>
      </c>
      <c r="H1279" s="32" t="str">
        <f t="shared" si="74"/>
        <v>September 25 Week 5</v>
      </c>
      <c r="I1279" s="32" t="str">
        <f>CONCATENATE(UPPER(TableAopCalendar[[#This Row],[Month]])," ",TableAopCalendar[[#This Row],[Year]])</f>
        <v>SEPTEMBER 25</v>
      </c>
      <c r="J1279" s="7" t="s">
        <v>274</v>
      </c>
      <c r="K1279" s="32" t="str">
        <f>CONCATENATE(TableAopCalendar[[#This Row],[Month for Plan]]," ",TableAopCalendar[[#This Row],[Plan]])</f>
        <v>SEPTEMBER 25 PLANNED</v>
      </c>
    </row>
    <row r="1280" spans="1:11" x14ac:dyDescent="0.3">
      <c r="A1280" s="32">
        <f t="shared" si="72"/>
        <v>2</v>
      </c>
      <c r="B1280" s="33">
        <v>45930</v>
      </c>
      <c r="C1280" s="6" t="s">
        <v>269</v>
      </c>
      <c r="D1280" s="6">
        <v>25</v>
      </c>
      <c r="E1280" s="32">
        <f>DAY(TableAopCalendar[[#This Row],[Date]])</f>
        <v>30</v>
      </c>
      <c r="F1280" s="32">
        <f>IF(TableAopCalendar[[#This Row],[Day]]&lt;8,1,IF(TableAopCalendar[[#This Row],[Day]]&lt;15,2,IF(TableAopCalendar[[#This Row],[Day]]&lt;22,3,IF(TableAopCalendar[[#This Row],[Day]]&lt;29,4,IF(TableAopCalendar[[#This Row],[Day]]&lt;32,5)))))</f>
        <v>5</v>
      </c>
      <c r="G1280" s="32" t="str">
        <f t="shared" si="73"/>
        <v>Week 5</v>
      </c>
      <c r="H1280" s="32" t="str">
        <f t="shared" si="74"/>
        <v>September 25 Week 5</v>
      </c>
      <c r="I1280" s="32" t="str">
        <f>CONCATENATE(UPPER(TableAopCalendar[[#This Row],[Month]])," ",TableAopCalendar[[#This Row],[Year]])</f>
        <v>SEPTEMBER 25</v>
      </c>
      <c r="J1280" s="7" t="s">
        <v>274</v>
      </c>
      <c r="K1280" s="32" t="str">
        <f>CONCATENATE(TableAopCalendar[[#This Row],[Month for Plan]]," ",TableAopCalendar[[#This Row],[Plan]])</f>
        <v>SEPTEMBER 25 PLANNED</v>
      </c>
    </row>
    <row r="1281" spans="1:11" x14ac:dyDescent="0.3">
      <c r="A1281" s="32">
        <f t="shared" si="72"/>
        <v>1</v>
      </c>
      <c r="B1281" s="33">
        <v>45931</v>
      </c>
      <c r="C1281" s="6" t="s">
        <v>114</v>
      </c>
      <c r="D1281" s="6">
        <v>25</v>
      </c>
      <c r="E1281" s="32">
        <f>DAY(TableAopCalendar[[#This Row],[Date]])</f>
        <v>1</v>
      </c>
      <c r="F1281" s="32">
        <f>IF(TableAopCalendar[[#This Row],[Day]]&lt;8,1,IF(TableAopCalendar[[#This Row],[Day]]&lt;15,2,IF(TableAopCalendar[[#This Row],[Day]]&lt;22,3,IF(TableAopCalendar[[#This Row],[Day]]&lt;29,4,IF(TableAopCalendar[[#This Row],[Day]]&lt;32,5)))))</f>
        <v>1</v>
      </c>
      <c r="G1281" s="32" t="str">
        <f t="shared" si="73"/>
        <v>Week 1</v>
      </c>
      <c r="H1281" s="32" t="str">
        <f t="shared" si="74"/>
        <v>October 25 Week 1</v>
      </c>
      <c r="I1281" s="32" t="str">
        <f>CONCATENATE(UPPER(TableAopCalendar[[#This Row],[Month]])," ",TableAopCalendar[[#This Row],[Year]])</f>
        <v>OCTOBER 25</v>
      </c>
      <c r="J1281" s="7" t="s">
        <v>274</v>
      </c>
      <c r="K1281" s="32" t="str">
        <f>CONCATENATE(TableAopCalendar[[#This Row],[Month for Plan]]," ",TableAopCalendar[[#This Row],[Plan]])</f>
        <v>OCTOBER 25 PLANNED</v>
      </c>
    </row>
    <row r="1282" spans="1:11" x14ac:dyDescent="0.3">
      <c r="A1282" s="32">
        <f t="shared" si="72"/>
        <v>2</v>
      </c>
      <c r="B1282" s="33">
        <v>45932</v>
      </c>
      <c r="C1282" s="6" t="s">
        <v>114</v>
      </c>
      <c r="D1282" s="6">
        <v>25</v>
      </c>
      <c r="E1282" s="32">
        <f>DAY(TableAopCalendar[[#This Row],[Date]])</f>
        <v>2</v>
      </c>
      <c r="F1282" s="32">
        <f>IF(TableAopCalendar[[#This Row],[Day]]&lt;8,1,IF(TableAopCalendar[[#This Row],[Day]]&lt;15,2,IF(TableAopCalendar[[#This Row],[Day]]&lt;22,3,IF(TableAopCalendar[[#This Row],[Day]]&lt;29,4,IF(TableAopCalendar[[#This Row],[Day]]&lt;32,5)))))</f>
        <v>1</v>
      </c>
      <c r="G1282" s="32" t="str">
        <f t="shared" si="73"/>
        <v>Week 1</v>
      </c>
      <c r="H1282" s="32" t="str">
        <f t="shared" si="74"/>
        <v>October 25 Week 1</v>
      </c>
      <c r="I1282" s="32" t="str">
        <f>CONCATENATE(UPPER(TableAopCalendar[[#This Row],[Month]])," ",TableAopCalendar[[#This Row],[Year]])</f>
        <v>OCTOBER 25</v>
      </c>
      <c r="J1282" s="7" t="s">
        <v>274</v>
      </c>
      <c r="K1282" s="32" t="str">
        <f>CONCATENATE(TableAopCalendar[[#This Row],[Month for Plan]]," ",TableAopCalendar[[#This Row],[Plan]])</f>
        <v>OCTOBER 25 PLANNED</v>
      </c>
    </row>
    <row r="1283" spans="1:11" x14ac:dyDescent="0.3">
      <c r="A1283" s="32">
        <f t="shared" si="72"/>
        <v>3</v>
      </c>
      <c r="B1283" s="33">
        <v>45933</v>
      </c>
      <c r="C1283" s="6" t="s">
        <v>114</v>
      </c>
      <c r="D1283" s="6">
        <v>25</v>
      </c>
      <c r="E1283" s="32">
        <f>DAY(TableAopCalendar[[#This Row],[Date]])</f>
        <v>3</v>
      </c>
      <c r="F1283" s="32">
        <f>IF(TableAopCalendar[[#This Row],[Day]]&lt;8,1,IF(TableAopCalendar[[#This Row],[Day]]&lt;15,2,IF(TableAopCalendar[[#This Row],[Day]]&lt;22,3,IF(TableAopCalendar[[#This Row],[Day]]&lt;29,4,IF(TableAopCalendar[[#This Row],[Day]]&lt;32,5)))))</f>
        <v>1</v>
      </c>
      <c r="G1283" s="32" t="str">
        <f t="shared" si="73"/>
        <v>Week 1</v>
      </c>
      <c r="H1283" s="32" t="str">
        <f t="shared" si="74"/>
        <v>October 25 Week 1</v>
      </c>
      <c r="I1283" s="32" t="str">
        <f>CONCATENATE(UPPER(TableAopCalendar[[#This Row],[Month]])," ",TableAopCalendar[[#This Row],[Year]])</f>
        <v>OCTOBER 25</v>
      </c>
      <c r="J1283" s="7" t="s">
        <v>274</v>
      </c>
      <c r="K1283" s="32" t="str">
        <f>CONCATENATE(TableAopCalendar[[#This Row],[Month for Plan]]," ",TableAopCalendar[[#This Row],[Plan]])</f>
        <v>OCTOBER 25 PLANNED</v>
      </c>
    </row>
    <row r="1284" spans="1:11" x14ac:dyDescent="0.3">
      <c r="A1284" s="32">
        <f t="shared" si="72"/>
        <v>4</v>
      </c>
      <c r="B1284" s="33">
        <v>45934</v>
      </c>
      <c r="C1284" s="6" t="s">
        <v>114</v>
      </c>
      <c r="D1284" s="6">
        <v>25</v>
      </c>
      <c r="E1284" s="32">
        <f>DAY(TableAopCalendar[[#This Row],[Date]])</f>
        <v>4</v>
      </c>
      <c r="F1284" s="32">
        <f>IF(TableAopCalendar[[#This Row],[Day]]&lt;8,1,IF(TableAopCalendar[[#This Row],[Day]]&lt;15,2,IF(TableAopCalendar[[#This Row],[Day]]&lt;22,3,IF(TableAopCalendar[[#This Row],[Day]]&lt;29,4,IF(TableAopCalendar[[#This Row],[Day]]&lt;32,5)))))</f>
        <v>1</v>
      </c>
      <c r="G1284" s="32" t="str">
        <f t="shared" si="73"/>
        <v>Week 1</v>
      </c>
      <c r="H1284" s="32" t="str">
        <f t="shared" si="74"/>
        <v>October 25 Week 1</v>
      </c>
      <c r="I1284" s="32" t="str">
        <f>CONCATENATE(UPPER(TableAopCalendar[[#This Row],[Month]])," ",TableAopCalendar[[#This Row],[Year]])</f>
        <v>OCTOBER 25</v>
      </c>
      <c r="J1284" s="7" t="s">
        <v>274</v>
      </c>
      <c r="K1284" s="32" t="str">
        <f>CONCATENATE(TableAopCalendar[[#This Row],[Month for Plan]]," ",TableAopCalendar[[#This Row],[Plan]])</f>
        <v>OCTOBER 25 PLANNED</v>
      </c>
    </row>
    <row r="1285" spans="1:11" x14ac:dyDescent="0.3">
      <c r="A1285" s="32">
        <f t="shared" si="72"/>
        <v>5</v>
      </c>
      <c r="B1285" s="33">
        <v>45935</v>
      </c>
      <c r="C1285" s="6" t="s">
        <v>114</v>
      </c>
      <c r="D1285" s="6">
        <v>25</v>
      </c>
      <c r="E1285" s="32">
        <f>DAY(TableAopCalendar[[#This Row],[Date]])</f>
        <v>5</v>
      </c>
      <c r="F1285" s="32">
        <f>IF(TableAopCalendar[[#This Row],[Day]]&lt;8,1,IF(TableAopCalendar[[#This Row],[Day]]&lt;15,2,IF(TableAopCalendar[[#This Row],[Day]]&lt;22,3,IF(TableAopCalendar[[#This Row],[Day]]&lt;29,4,IF(TableAopCalendar[[#This Row],[Day]]&lt;32,5)))))</f>
        <v>1</v>
      </c>
      <c r="G1285" s="32" t="str">
        <f t="shared" si="73"/>
        <v>Week 1</v>
      </c>
      <c r="H1285" s="32" t="str">
        <f t="shared" si="74"/>
        <v>October 25 Week 1</v>
      </c>
      <c r="I1285" s="32" t="str">
        <f>CONCATENATE(UPPER(TableAopCalendar[[#This Row],[Month]])," ",TableAopCalendar[[#This Row],[Year]])</f>
        <v>OCTOBER 25</v>
      </c>
      <c r="J1285" s="7" t="s">
        <v>274</v>
      </c>
      <c r="K1285" s="32" t="str">
        <f>CONCATENATE(TableAopCalendar[[#This Row],[Month for Plan]]," ",TableAopCalendar[[#This Row],[Plan]])</f>
        <v>OCTOBER 25 PLANNED</v>
      </c>
    </row>
    <row r="1286" spans="1:11" x14ac:dyDescent="0.3">
      <c r="A1286" s="32">
        <f t="shared" si="72"/>
        <v>6</v>
      </c>
      <c r="B1286" s="33">
        <v>45936</v>
      </c>
      <c r="C1286" s="6" t="s">
        <v>114</v>
      </c>
      <c r="D1286" s="6">
        <v>25</v>
      </c>
      <c r="E1286" s="32">
        <f>DAY(TableAopCalendar[[#This Row],[Date]])</f>
        <v>6</v>
      </c>
      <c r="F1286" s="32">
        <f>IF(TableAopCalendar[[#This Row],[Day]]&lt;8,1,IF(TableAopCalendar[[#This Row],[Day]]&lt;15,2,IF(TableAopCalendar[[#This Row],[Day]]&lt;22,3,IF(TableAopCalendar[[#This Row],[Day]]&lt;29,4,IF(TableAopCalendar[[#This Row],[Day]]&lt;32,5)))))</f>
        <v>1</v>
      </c>
      <c r="G1286" s="32" t="str">
        <f t="shared" si="73"/>
        <v>Week 1</v>
      </c>
      <c r="H1286" s="32" t="str">
        <f t="shared" si="74"/>
        <v>October 25 Week 1</v>
      </c>
      <c r="I1286" s="32" t="str">
        <f>CONCATENATE(UPPER(TableAopCalendar[[#This Row],[Month]])," ",TableAopCalendar[[#This Row],[Year]])</f>
        <v>OCTOBER 25</v>
      </c>
      <c r="J1286" s="7" t="s">
        <v>274</v>
      </c>
      <c r="K1286" s="32" t="str">
        <f>CONCATENATE(TableAopCalendar[[#This Row],[Month for Plan]]," ",TableAopCalendar[[#This Row],[Plan]])</f>
        <v>OCTOBER 25 PLANNED</v>
      </c>
    </row>
    <row r="1287" spans="1:11" x14ac:dyDescent="0.3">
      <c r="A1287" s="32">
        <f t="shared" si="72"/>
        <v>7</v>
      </c>
      <c r="B1287" s="33">
        <v>45937</v>
      </c>
      <c r="C1287" s="6" t="s">
        <v>114</v>
      </c>
      <c r="D1287" s="6">
        <v>25</v>
      </c>
      <c r="E1287" s="32">
        <f>DAY(TableAopCalendar[[#This Row],[Date]])</f>
        <v>7</v>
      </c>
      <c r="F1287" s="32">
        <f>IF(TableAopCalendar[[#This Row],[Day]]&lt;8,1,IF(TableAopCalendar[[#This Row],[Day]]&lt;15,2,IF(TableAopCalendar[[#This Row],[Day]]&lt;22,3,IF(TableAopCalendar[[#This Row],[Day]]&lt;29,4,IF(TableAopCalendar[[#This Row],[Day]]&lt;32,5)))))</f>
        <v>1</v>
      </c>
      <c r="G1287" s="32" t="str">
        <f t="shared" si="73"/>
        <v>Week 1</v>
      </c>
      <c r="H1287" s="32" t="str">
        <f t="shared" si="74"/>
        <v>October 25 Week 1</v>
      </c>
      <c r="I1287" s="32" t="str">
        <f>CONCATENATE(UPPER(TableAopCalendar[[#This Row],[Month]])," ",TableAopCalendar[[#This Row],[Year]])</f>
        <v>OCTOBER 25</v>
      </c>
      <c r="J1287" s="7" t="s">
        <v>274</v>
      </c>
      <c r="K1287" s="32" t="str">
        <f>CONCATENATE(TableAopCalendar[[#This Row],[Month for Plan]]," ",TableAopCalendar[[#This Row],[Plan]])</f>
        <v>OCTOBER 25 PLANNED</v>
      </c>
    </row>
    <row r="1288" spans="1:11" x14ac:dyDescent="0.3">
      <c r="A1288" s="32">
        <f t="shared" si="72"/>
        <v>1</v>
      </c>
      <c r="B1288" s="33">
        <v>45938</v>
      </c>
      <c r="C1288" s="6" t="s">
        <v>114</v>
      </c>
      <c r="D1288" s="6">
        <v>25</v>
      </c>
      <c r="E1288" s="32">
        <f>DAY(TableAopCalendar[[#This Row],[Date]])</f>
        <v>8</v>
      </c>
      <c r="F1288" s="32">
        <f>IF(TableAopCalendar[[#This Row],[Day]]&lt;8,1,IF(TableAopCalendar[[#This Row],[Day]]&lt;15,2,IF(TableAopCalendar[[#This Row],[Day]]&lt;22,3,IF(TableAopCalendar[[#This Row],[Day]]&lt;29,4,IF(TableAopCalendar[[#This Row],[Day]]&lt;32,5)))))</f>
        <v>2</v>
      </c>
      <c r="G1288" s="32" t="str">
        <f t="shared" si="73"/>
        <v>Week 2</v>
      </c>
      <c r="H1288" s="32" t="str">
        <f t="shared" si="74"/>
        <v>October 25 Week 2</v>
      </c>
      <c r="I1288" s="32" t="str">
        <f>CONCATENATE(UPPER(TableAopCalendar[[#This Row],[Month]])," ",TableAopCalendar[[#This Row],[Year]])</f>
        <v>OCTOBER 25</v>
      </c>
      <c r="J1288" s="7" t="s">
        <v>274</v>
      </c>
      <c r="K1288" s="32" t="str">
        <f>CONCATENATE(TableAopCalendar[[#This Row],[Month for Plan]]," ",TableAopCalendar[[#This Row],[Plan]])</f>
        <v>OCTOBER 25 PLANNED</v>
      </c>
    </row>
    <row r="1289" spans="1:11" x14ac:dyDescent="0.3">
      <c r="A1289" s="32">
        <f t="shared" si="72"/>
        <v>2</v>
      </c>
      <c r="B1289" s="33">
        <v>45939</v>
      </c>
      <c r="C1289" s="6" t="s">
        <v>114</v>
      </c>
      <c r="D1289" s="6">
        <v>25</v>
      </c>
      <c r="E1289" s="32">
        <f>DAY(TableAopCalendar[[#This Row],[Date]])</f>
        <v>9</v>
      </c>
      <c r="F1289" s="32">
        <f>IF(TableAopCalendar[[#This Row],[Day]]&lt;8,1,IF(TableAopCalendar[[#This Row],[Day]]&lt;15,2,IF(TableAopCalendar[[#This Row],[Day]]&lt;22,3,IF(TableAopCalendar[[#This Row],[Day]]&lt;29,4,IF(TableAopCalendar[[#This Row],[Day]]&lt;32,5)))))</f>
        <v>2</v>
      </c>
      <c r="G1289" s="32" t="str">
        <f t="shared" si="73"/>
        <v>Week 2</v>
      </c>
      <c r="H1289" s="32" t="str">
        <f t="shared" si="74"/>
        <v>October 25 Week 2</v>
      </c>
      <c r="I1289" s="32" t="str">
        <f>CONCATENATE(UPPER(TableAopCalendar[[#This Row],[Month]])," ",TableAopCalendar[[#This Row],[Year]])</f>
        <v>OCTOBER 25</v>
      </c>
      <c r="J1289" s="7" t="s">
        <v>274</v>
      </c>
      <c r="K1289" s="32" t="str">
        <f>CONCATENATE(TableAopCalendar[[#This Row],[Month for Plan]]," ",TableAopCalendar[[#This Row],[Plan]])</f>
        <v>OCTOBER 25 PLANNED</v>
      </c>
    </row>
    <row r="1290" spans="1:11" x14ac:dyDescent="0.3">
      <c r="A1290" s="32">
        <f t="shared" si="72"/>
        <v>3</v>
      </c>
      <c r="B1290" s="33">
        <v>45940</v>
      </c>
      <c r="C1290" s="6" t="s">
        <v>114</v>
      </c>
      <c r="D1290" s="6">
        <v>25</v>
      </c>
      <c r="E1290" s="32">
        <f>DAY(TableAopCalendar[[#This Row],[Date]])</f>
        <v>10</v>
      </c>
      <c r="F1290" s="32">
        <f>IF(TableAopCalendar[[#This Row],[Day]]&lt;8,1,IF(TableAopCalendar[[#This Row],[Day]]&lt;15,2,IF(TableAopCalendar[[#This Row],[Day]]&lt;22,3,IF(TableAopCalendar[[#This Row],[Day]]&lt;29,4,IF(TableAopCalendar[[#This Row],[Day]]&lt;32,5)))))</f>
        <v>2</v>
      </c>
      <c r="G1290" s="32" t="str">
        <f t="shared" si="73"/>
        <v>Week 2</v>
      </c>
      <c r="H1290" s="32" t="str">
        <f t="shared" si="74"/>
        <v>October 25 Week 2</v>
      </c>
      <c r="I1290" s="32" t="str">
        <f>CONCATENATE(UPPER(TableAopCalendar[[#This Row],[Month]])," ",TableAopCalendar[[#This Row],[Year]])</f>
        <v>OCTOBER 25</v>
      </c>
      <c r="J1290" s="7" t="s">
        <v>274</v>
      </c>
      <c r="K1290" s="32" t="str">
        <f>CONCATENATE(TableAopCalendar[[#This Row],[Month for Plan]]," ",TableAopCalendar[[#This Row],[Plan]])</f>
        <v>OCTOBER 25 PLANNED</v>
      </c>
    </row>
    <row r="1291" spans="1:11" x14ac:dyDescent="0.3">
      <c r="A1291" s="32">
        <f t="shared" ref="A1291:A1354" si="75">IF(G1291=G1290,A1290+1,1)</f>
        <v>4</v>
      </c>
      <c r="B1291" s="33">
        <v>45941</v>
      </c>
      <c r="C1291" s="6" t="s">
        <v>114</v>
      </c>
      <c r="D1291" s="6">
        <v>25</v>
      </c>
      <c r="E1291" s="32">
        <f>DAY(TableAopCalendar[[#This Row],[Date]])</f>
        <v>11</v>
      </c>
      <c r="F1291" s="32">
        <f>IF(TableAopCalendar[[#This Row],[Day]]&lt;8,1,IF(TableAopCalendar[[#This Row],[Day]]&lt;15,2,IF(TableAopCalendar[[#This Row],[Day]]&lt;22,3,IF(TableAopCalendar[[#This Row],[Day]]&lt;29,4,IF(TableAopCalendar[[#This Row],[Day]]&lt;32,5)))))</f>
        <v>2</v>
      </c>
      <c r="G1291" s="32" t="str">
        <f t="shared" ref="G1291:G1354" si="76">"Week"&amp;" "&amp;F1291</f>
        <v>Week 2</v>
      </c>
      <c r="H1291" s="32" t="str">
        <f t="shared" ref="H1291:H1354" si="77">CONCATENATE(C1291," ",D1291," ",G1291)</f>
        <v>October 25 Week 2</v>
      </c>
      <c r="I1291" s="32" t="str">
        <f>CONCATENATE(UPPER(TableAopCalendar[[#This Row],[Month]])," ",TableAopCalendar[[#This Row],[Year]])</f>
        <v>OCTOBER 25</v>
      </c>
      <c r="J1291" s="7" t="s">
        <v>274</v>
      </c>
      <c r="K1291" s="32" t="str">
        <f>CONCATENATE(TableAopCalendar[[#This Row],[Month for Plan]]," ",TableAopCalendar[[#This Row],[Plan]])</f>
        <v>OCTOBER 25 PLANNED</v>
      </c>
    </row>
    <row r="1292" spans="1:11" x14ac:dyDescent="0.3">
      <c r="A1292" s="32">
        <f t="shared" si="75"/>
        <v>5</v>
      </c>
      <c r="B1292" s="33">
        <v>45942</v>
      </c>
      <c r="C1292" s="6" t="s">
        <v>114</v>
      </c>
      <c r="D1292" s="6">
        <v>25</v>
      </c>
      <c r="E1292" s="32">
        <f>DAY(TableAopCalendar[[#This Row],[Date]])</f>
        <v>12</v>
      </c>
      <c r="F1292" s="32">
        <f>IF(TableAopCalendar[[#This Row],[Day]]&lt;8,1,IF(TableAopCalendar[[#This Row],[Day]]&lt;15,2,IF(TableAopCalendar[[#This Row],[Day]]&lt;22,3,IF(TableAopCalendar[[#This Row],[Day]]&lt;29,4,IF(TableAopCalendar[[#This Row],[Day]]&lt;32,5)))))</f>
        <v>2</v>
      </c>
      <c r="G1292" s="32" t="str">
        <f t="shared" si="76"/>
        <v>Week 2</v>
      </c>
      <c r="H1292" s="32" t="str">
        <f t="shared" si="77"/>
        <v>October 25 Week 2</v>
      </c>
      <c r="I1292" s="32" t="str">
        <f>CONCATENATE(UPPER(TableAopCalendar[[#This Row],[Month]])," ",TableAopCalendar[[#This Row],[Year]])</f>
        <v>OCTOBER 25</v>
      </c>
      <c r="J1292" s="7" t="s">
        <v>274</v>
      </c>
      <c r="K1292" s="32" t="str">
        <f>CONCATENATE(TableAopCalendar[[#This Row],[Month for Plan]]," ",TableAopCalendar[[#This Row],[Plan]])</f>
        <v>OCTOBER 25 PLANNED</v>
      </c>
    </row>
    <row r="1293" spans="1:11" x14ac:dyDescent="0.3">
      <c r="A1293" s="32">
        <f t="shared" si="75"/>
        <v>6</v>
      </c>
      <c r="B1293" s="33">
        <v>45943</v>
      </c>
      <c r="C1293" s="6" t="s">
        <v>114</v>
      </c>
      <c r="D1293" s="6">
        <v>25</v>
      </c>
      <c r="E1293" s="32">
        <f>DAY(TableAopCalendar[[#This Row],[Date]])</f>
        <v>13</v>
      </c>
      <c r="F1293" s="32">
        <f>IF(TableAopCalendar[[#This Row],[Day]]&lt;8,1,IF(TableAopCalendar[[#This Row],[Day]]&lt;15,2,IF(TableAopCalendar[[#This Row],[Day]]&lt;22,3,IF(TableAopCalendar[[#This Row],[Day]]&lt;29,4,IF(TableAopCalendar[[#This Row],[Day]]&lt;32,5)))))</f>
        <v>2</v>
      </c>
      <c r="G1293" s="32" t="str">
        <f t="shared" si="76"/>
        <v>Week 2</v>
      </c>
      <c r="H1293" s="32" t="str">
        <f t="shared" si="77"/>
        <v>October 25 Week 2</v>
      </c>
      <c r="I1293" s="32" t="str">
        <f>CONCATENATE(UPPER(TableAopCalendar[[#This Row],[Month]])," ",TableAopCalendar[[#This Row],[Year]])</f>
        <v>OCTOBER 25</v>
      </c>
      <c r="J1293" s="7" t="s">
        <v>274</v>
      </c>
      <c r="K1293" s="32" t="str">
        <f>CONCATENATE(TableAopCalendar[[#This Row],[Month for Plan]]," ",TableAopCalendar[[#This Row],[Plan]])</f>
        <v>OCTOBER 25 PLANNED</v>
      </c>
    </row>
    <row r="1294" spans="1:11" x14ac:dyDescent="0.3">
      <c r="A1294" s="32">
        <f t="shared" si="75"/>
        <v>7</v>
      </c>
      <c r="B1294" s="33">
        <v>45944</v>
      </c>
      <c r="C1294" s="6" t="s">
        <v>114</v>
      </c>
      <c r="D1294" s="6">
        <v>25</v>
      </c>
      <c r="E1294" s="32">
        <f>DAY(TableAopCalendar[[#This Row],[Date]])</f>
        <v>14</v>
      </c>
      <c r="F1294" s="32">
        <f>IF(TableAopCalendar[[#This Row],[Day]]&lt;8,1,IF(TableAopCalendar[[#This Row],[Day]]&lt;15,2,IF(TableAopCalendar[[#This Row],[Day]]&lt;22,3,IF(TableAopCalendar[[#This Row],[Day]]&lt;29,4,IF(TableAopCalendar[[#This Row],[Day]]&lt;32,5)))))</f>
        <v>2</v>
      </c>
      <c r="G1294" s="32" t="str">
        <f t="shared" si="76"/>
        <v>Week 2</v>
      </c>
      <c r="H1294" s="32" t="str">
        <f t="shared" si="77"/>
        <v>October 25 Week 2</v>
      </c>
      <c r="I1294" s="32" t="str">
        <f>CONCATENATE(UPPER(TableAopCalendar[[#This Row],[Month]])," ",TableAopCalendar[[#This Row],[Year]])</f>
        <v>OCTOBER 25</v>
      </c>
      <c r="J1294" s="7" t="s">
        <v>274</v>
      </c>
      <c r="K1294" s="32" t="str">
        <f>CONCATENATE(TableAopCalendar[[#This Row],[Month for Plan]]," ",TableAopCalendar[[#This Row],[Plan]])</f>
        <v>OCTOBER 25 PLANNED</v>
      </c>
    </row>
    <row r="1295" spans="1:11" x14ac:dyDescent="0.3">
      <c r="A1295" s="32">
        <f t="shared" si="75"/>
        <v>1</v>
      </c>
      <c r="B1295" s="33">
        <v>45945</v>
      </c>
      <c r="C1295" s="6" t="s">
        <v>114</v>
      </c>
      <c r="D1295" s="6">
        <v>25</v>
      </c>
      <c r="E1295" s="32">
        <f>DAY(TableAopCalendar[[#This Row],[Date]])</f>
        <v>15</v>
      </c>
      <c r="F1295" s="32">
        <f>IF(TableAopCalendar[[#This Row],[Day]]&lt;8,1,IF(TableAopCalendar[[#This Row],[Day]]&lt;15,2,IF(TableAopCalendar[[#This Row],[Day]]&lt;22,3,IF(TableAopCalendar[[#This Row],[Day]]&lt;29,4,IF(TableAopCalendar[[#This Row],[Day]]&lt;32,5)))))</f>
        <v>3</v>
      </c>
      <c r="G1295" s="32" t="str">
        <f t="shared" si="76"/>
        <v>Week 3</v>
      </c>
      <c r="H1295" s="32" t="str">
        <f t="shared" si="77"/>
        <v>October 25 Week 3</v>
      </c>
      <c r="I1295" s="32" t="str">
        <f>CONCATENATE(UPPER(TableAopCalendar[[#This Row],[Month]])," ",TableAopCalendar[[#This Row],[Year]])</f>
        <v>OCTOBER 25</v>
      </c>
      <c r="J1295" s="7" t="s">
        <v>274</v>
      </c>
      <c r="K1295" s="32" t="str">
        <f>CONCATENATE(TableAopCalendar[[#This Row],[Month for Plan]]," ",TableAopCalendar[[#This Row],[Plan]])</f>
        <v>OCTOBER 25 PLANNED</v>
      </c>
    </row>
    <row r="1296" spans="1:11" x14ac:dyDescent="0.3">
      <c r="A1296" s="32">
        <f t="shared" si="75"/>
        <v>2</v>
      </c>
      <c r="B1296" s="33">
        <v>45946</v>
      </c>
      <c r="C1296" s="6" t="s">
        <v>114</v>
      </c>
      <c r="D1296" s="6">
        <v>25</v>
      </c>
      <c r="E1296" s="32">
        <f>DAY(TableAopCalendar[[#This Row],[Date]])</f>
        <v>16</v>
      </c>
      <c r="F1296" s="32">
        <f>IF(TableAopCalendar[[#This Row],[Day]]&lt;8,1,IF(TableAopCalendar[[#This Row],[Day]]&lt;15,2,IF(TableAopCalendar[[#This Row],[Day]]&lt;22,3,IF(TableAopCalendar[[#This Row],[Day]]&lt;29,4,IF(TableAopCalendar[[#This Row],[Day]]&lt;32,5)))))</f>
        <v>3</v>
      </c>
      <c r="G1296" s="32" t="str">
        <f t="shared" si="76"/>
        <v>Week 3</v>
      </c>
      <c r="H1296" s="32" t="str">
        <f t="shared" si="77"/>
        <v>October 25 Week 3</v>
      </c>
      <c r="I1296" s="32" t="str">
        <f>CONCATENATE(UPPER(TableAopCalendar[[#This Row],[Month]])," ",TableAopCalendar[[#This Row],[Year]])</f>
        <v>OCTOBER 25</v>
      </c>
      <c r="J1296" s="7" t="s">
        <v>274</v>
      </c>
      <c r="K1296" s="32" t="str">
        <f>CONCATENATE(TableAopCalendar[[#This Row],[Month for Plan]]," ",TableAopCalendar[[#This Row],[Plan]])</f>
        <v>OCTOBER 25 PLANNED</v>
      </c>
    </row>
    <row r="1297" spans="1:11" x14ac:dyDescent="0.3">
      <c r="A1297" s="32">
        <f t="shared" si="75"/>
        <v>3</v>
      </c>
      <c r="B1297" s="33">
        <v>45947</v>
      </c>
      <c r="C1297" s="6" t="s">
        <v>114</v>
      </c>
      <c r="D1297" s="6">
        <v>25</v>
      </c>
      <c r="E1297" s="32">
        <f>DAY(TableAopCalendar[[#This Row],[Date]])</f>
        <v>17</v>
      </c>
      <c r="F1297" s="32">
        <f>IF(TableAopCalendar[[#This Row],[Day]]&lt;8,1,IF(TableAopCalendar[[#This Row],[Day]]&lt;15,2,IF(TableAopCalendar[[#This Row],[Day]]&lt;22,3,IF(TableAopCalendar[[#This Row],[Day]]&lt;29,4,IF(TableAopCalendar[[#This Row],[Day]]&lt;32,5)))))</f>
        <v>3</v>
      </c>
      <c r="G1297" s="32" t="str">
        <f t="shared" si="76"/>
        <v>Week 3</v>
      </c>
      <c r="H1297" s="32" t="str">
        <f t="shared" si="77"/>
        <v>October 25 Week 3</v>
      </c>
      <c r="I1297" s="32" t="str">
        <f>CONCATENATE(UPPER(TableAopCalendar[[#This Row],[Month]])," ",TableAopCalendar[[#This Row],[Year]])</f>
        <v>OCTOBER 25</v>
      </c>
      <c r="J1297" s="7" t="s">
        <v>274</v>
      </c>
      <c r="K1297" s="32" t="str">
        <f>CONCATENATE(TableAopCalendar[[#This Row],[Month for Plan]]," ",TableAopCalendar[[#This Row],[Plan]])</f>
        <v>OCTOBER 25 PLANNED</v>
      </c>
    </row>
    <row r="1298" spans="1:11" x14ac:dyDescent="0.3">
      <c r="A1298" s="32">
        <f t="shared" si="75"/>
        <v>4</v>
      </c>
      <c r="B1298" s="33">
        <v>45948</v>
      </c>
      <c r="C1298" s="6" t="s">
        <v>114</v>
      </c>
      <c r="D1298" s="6">
        <v>25</v>
      </c>
      <c r="E1298" s="32">
        <f>DAY(TableAopCalendar[[#This Row],[Date]])</f>
        <v>18</v>
      </c>
      <c r="F1298" s="32">
        <f>IF(TableAopCalendar[[#This Row],[Day]]&lt;8,1,IF(TableAopCalendar[[#This Row],[Day]]&lt;15,2,IF(TableAopCalendar[[#This Row],[Day]]&lt;22,3,IF(TableAopCalendar[[#This Row],[Day]]&lt;29,4,IF(TableAopCalendar[[#This Row],[Day]]&lt;32,5)))))</f>
        <v>3</v>
      </c>
      <c r="G1298" s="32" t="str">
        <f t="shared" si="76"/>
        <v>Week 3</v>
      </c>
      <c r="H1298" s="32" t="str">
        <f t="shared" si="77"/>
        <v>October 25 Week 3</v>
      </c>
      <c r="I1298" s="32" t="str">
        <f>CONCATENATE(UPPER(TableAopCalendar[[#This Row],[Month]])," ",TableAopCalendar[[#This Row],[Year]])</f>
        <v>OCTOBER 25</v>
      </c>
      <c r="J1298" s="7" t="s">
        <v>274</v>
      </c>
      <c r="K1298" s="32" t="str">
        <f>CONCATENATE(TableAopCalendar[[#This Row],[Month for Plan]]," ",TableAopCalendar[[#This Row],[Plan]])</f>
        <v>OCTOBER 25 PLANNED</v>
      </c>
    </row>
    <row r="1299" spans="1:11" x14ac:dyDescent="0.3">
      <c r="A1299" s="32">
        <f t="shared" si="75"/>
        <v>5</v>
      </c>
      <c r="B1299" s="33">
        <v>45949</v>
      </c>
      <c r="C1299" s="6" t="s">
        <v>114</v>
      </c>
      <c r="D1299" s="6">
        <v>25</v>
      </c>
      <c r="E1299" s="32">
        <f>DAY(TableAopCalendar[[#This Row],[Date]])</f>
        <v>19</v>
      </c>
      <c r="F1299" s="32">
        <f>IF(TableAopCalendar[[#This Row],[Day]]&lt;8,1,IF(TableAopCalendar[[#This Row],[Day]]&lt;15,2,IF(TableAopCalendar[[#This Row],[Day]]&lt;22,3,IF(TableAopCalendar[[#This Row],[Day]]&lt;29,4,IF(TableAopCalendar[[#This Row],[Day]]&lt;32,5)))))</f>
        <v>3</v>
      </c>
      <c r="G1299" s="32" t="str">
        <f t="shared" si="76"/>
        <v>Week 3</v>
      </c>
      <c r="H1299" s="32" t="str">
        <f t="shared" si="77"/>
        <v>October 25 Week 3</v>
      </c>
      <c r="I1299" s="32" t="str">
        <f>CONCATENATE(UPPER(TableAopCalendar[[#This Row],[Month]])," ",TableAopCalendar[[#This Row],[Year]])</f>
        <v>OCTOBER 25</v>
      </c>
      <c r="J1299" s="7" t="s">
        <v>274</v>
      </c>
      <c r="K1299" s="32" t="str">
        <f>CONCATENATE(TableAopCalendar[[#This Row],[Month for Plan]]," ",TableAopCalendar[[#This Row],[Plan]])</f>
        <v>OCTOBER 25 PLANNED</v>
      </c>
    </row>
    <row r="1300" spans="1:11" x14ac:dyDescent="0.3">
      <c r="A1300" s="32">
        <f t="shared" si="75"/>
        <v>6</v>
      </c>
      <c r="B1300" s="33">
        <v>45950</v>
      </c>
      <c r="C1300" s="6" t="s">
        <v>114</v>
      </c>
      <c r="D1300" s="6">
        <v>25</v>
      </c>
      <c r="E1300" s="32">
        <f>DAY(TableAopCalendar[[#This Row],[Date]])</f>
        <v>20</v>
      </c>
      <c r="F1300" s="32">
        <f>IF(TableAopCalendar[[#This Row],[Day]]&lt;8,1,IF(TableAopCalendar[[#This Row],[Day]]&lt;15,2,IF(TableAopCalendar[[#This Row],[Day]]&lt;22,3,IF(TableAopCalendar[[#This Row],[Day]]&lt;29,4,IF(TableAopCalendar[[#This Row],[Day]]&lt;32,5)))))</f>
        <v>3</v>
      </c>
      <c r="G1300" s="32" t="str">
        <f t="shared" si="76"/>
        <v>Week 3</v>
      </c>
      <c r="H1300" s="32" t="str">
        <f t="shared" si="77"/>
        <v>October 25 Week 3</v>
      </c>
      <c r="I1300" s="32" t="str">
        <f>CONCATENATE(UPPER(TableAopCalendar[[#This Row],[Month]])," ",TableAopCalendar[[#This Row],[Year]])</f>
        <v>OCTOBER 25</v>
      </c>
      <c r="J1300" s="7" t="s">
        <v>274</v>
      </c>
      <c r="K1300" s="32" t="str">
        <f>CONCATENATE(TableAopCalendar[[#This Row],[Month for Plan]]," ",TableAopCalendar[[#This Row],[Plan]])</f>
        <v>OCTOBER 25 PLANNED</v>
      </c>
    </row>
    <row r="1301" spans="1:11" x14ac:dyDescent="0.3">
      <c r="A1301" s="32">
        <f t="shared" si="75"/>
        <v>7</v>
      </c>
      <c r="B1301" s="33">
        <v>45951</v>
      </c>
      <c r="C1301" s="6" t="s">
        <v>114</v>
      </c>
      <c r="D1301" s="6">
        <v>25</v>
      </c>
      <c r="E1301" s="32">
        <f>DAY(TableAopCalendar[[#This Row],[Date]])</f>
        <v>21</v>
      </c>
      <c r="F1301" s="32">
        <f>IF(TableAopCalendar[[#This Row],[Day]]&lt;8,1,IF(TableAopCalendar[[#This Row],[Day]]&lt;15,2,IF(TableAopCalendar[[#This Row],[Day]]&lt;22,3,IF(TableAopCalendar[[#This Row],[Day]]&lt;29,4,IF(TableAopCalendar[[#This Row],[Day]]&lt;32,5)))))</f>
        <v>3</v>
      </c>
      <c r="G1301" s="32" t="str">
        <f t="shared" si="76"/>
        <v>Week 3</v>
      </c>
      <c r="H1301" s="32" t="str">
        <f t="shared" si="77"/>
        <v>October 25 Week 3</v>
      </c>
      <c r="I1301" s="32" t="str">
        <f>CONCATENATE(UPPER(TableAopCalendar[[#This Row],[Month]])," ",TableAopCalendar[[#This Row],[Year]])</f>
        <v>OCTOBER 25</v>
      </c>
      <c r="J1301" s="7" t="s">
        <v>274</v>
      </c>
      <c r="K1301" s="32" t="str">
        <f>CONCATENATE(TableAopCalendar[[#This Row],[Month for Plan]]," ",TableAopCalendar[[#This Row],[Plan]])</f>
        <v>OCTOBER 25 PLANNED</v>
      </c>
    </row>
    <row r="1302" spans="1:11" x14ac:dyDescent="0.3">
      <c r="A1302" s="32">
        <f t="shared" si="75"/>
        <v>1</v>
      </c>
      <c r="B1302" s="33">
        <v>45952</v>
      </c>
      <c r="C1302" s="6" t="s">
        <v>114</v>
      </c>
      <c r="D1302" s="6">
        <v>25</v>
      </c>
      <c r="E1302" s="32">
        <f>DAY(TableAopCalendar[[#This Row],[Date]])</f>
        <v>22</v>
      </c>
      <c r="F1302" s="32">
        <f>IF(TableAopCalendar[[#This Row],[Day]]&lt;8,1,IF(TableAopCalendar[[#This Row],[Day]]&lt;15,2,IF(TableAopCalendar[[#This Row],[Day]]&lt;22,3,IF(TableAopCalendar[[#This Row],[Day]]&lt;29,4,IF(TableAopCalendar[[#This Row],[Day]]&lt;32,5)))))</f>
        <v>4</v>
      </c>
      <c r="G1302" s="32" t="str">
        <f t="shared" si="76"/>
        <v>Week 4</v>
      </c>
      <c r="H1302" s="32" t="str">
        <f t="shared" si="77"/>
        <v>October 25 Week 4</v>
      </c>
      <c r="I1302" s="32" t="str">
        <f>CONCATENATE(UPPER(TableAopCalendar[[#This Row],[Month]])," ",TableAopCalendar[[#This Row],[Year]])</f>
        <v>OCTOBER 25</v>
      </c>
      <c r="J1302" s="7" t="s">
        <v>274</v>
      </c>
      <c r="K1302" s="32" t="str">
        <f>CONCATENATE(TableAopCalendar[[#This Row],[Month for Plan]]," ",TableAopCalendar[[#This Row],[Plan]])</f>
        <v>OCTOBER 25 PLANNED</v>
      </c>
    </row>
    <row r="1303" spans="1:11" x14ac:dyDescent="0.3">
      <c r="A1303" s="32">
        <f t="shared" si="75"/>
        <v>2</v>
      </c>
      <c r="B1303" s="33">
        <v>45953</v>
      </c>
      <c r="C1303" s="6" t="s">
        <v>114</v>
      </c>
      <c r="D1303" s="6">
        <v>25</v>
      </c>
      <c r="E1303" s="32">
        <f>DAY(TableAopCalendar[[#This Row],[Date]])</f>
        <v>23</v>
      </c>
      <c r="F1303" s="32">
        <f>IF(TableAopCalendar[[#This Row],[Day]]&lt;8,1,IF(TableAopCalendar[[#This Row],[Day]]&lt;15,2,IF(TableAopCalendar[[#This Row],[Day]]&lt;22,3,IF(TableAopCalendar[[#This Row],[Day]]&lt;29,4,IF(TableAopCalendar[[#This Row],[Day]]&lt;32,5)))))</f>
        <v>4</v>
      </c>
      <c r="G1303" s="32" t="str">
        <f t="shared" si="76"/>
        <v>Week 4</v>
      </c>
      <c r="H1303" s="32" t="str">
        <f t="shared" si="77"/>
        <v>October 25 Week 4</v>
      </c>
      <c r="I1303" s="32" t="str">
        <f>CONCATENATE(UPPER(TableAopCalendar[[#This Row],[Month]])," ",TableAopCalendar[[#This Row],[Year]])</f>
        <v>OCTOBER 25</v>
      </c>
      <c r="J1303" s="7" t="s">
        <v>274</v>
      </c>
      <c r="K1303" s="32" t="str">
        <f>CONCATENATE(TableAopCalendar[[#This Row],[Month for Plan]]," ",TableAopCalendar[[#This Row],[Plan]])</f>
        <v>OCTOBER 25 PLANNED</v>
      </c>
    </row>
    <row r="1304" spans="1:11" x14ac:dyDescent="0.3">
      <c r="A1304" s="32">
        <f t="shared" si="75"/>
        <v>3</v>
      </c>
      <c r="B1304" s="33">
        <v>45954</v>
      </c>
      <c r="C1304" s="6" t="s">
        <v>114</v>
      </c>
      <c r="D1304" s="6">
        <v>25</v>
      </c>
      <c r="E1304" s="32">
        <f>DAY(TableAopCalendar[[#This Row],[Date]])</f>
        <v>24</v>
      </c>
      <c r="F1304" s="32">
        <f>IF(TableAopCalendar[[#This Row],[Day]]&lt;8,1,IF(TableAopCalendar[[#This Row],[Day]]&lt;15,2,IF(TableAopCalendar[[#This Row],[Day]]&lt;22,3,IF(TableAopCalendar[[#This Row],[Day]]&lt;29,4,IF(TableAopCalendar[[#This Row],[Day]]&lt;32,5)))))</f>
        <v>4</v>
      </c>
      <c r="G1304" s="32" t="str">
        <f t="shared" si="76"/>
        <v>Week 4</v>
      </c>
      <c r="H1304" s="32" t="str">
        <f t="shared" si="77"/>
        <v>October 25 Week 4</v>
      </c>
      <c r="I1304" s="32" t="str">
        <f>CONCATENATE(UPPER(TableAopCalendar[[#This Row],[Month]])," ",TableAopCalendar[[#This Row],[Year]])</f>
        <v>OCTOBER 25</v>
      </c>
      <c r="J1304" s="7" t="s">
        <v>274</v>
      </c>
      <c r="K1304" s="32" t="str">
        <f>CONCATENATE(TableAopCalendar[[#This Row],[Month for Plan]]," ",TableAopCalendar[[#This Row],[Plan]])</f>
        <v>OCTOBER 25 PLANNED</v>
      </c>
    </row>
    <row r="1305" spans="1:11" x14ac:dyDescent="0.3">
      <c r="A1305" s="32">
        <f t="shared" si="75"/>
        <v>4</v>
      </c>
      <c r="B1305" s="33">
        <v>45955</v>
      </c>
      <c r="C1305" s="6" t="s">
        <v>114</v>
      </c>
      <c r="D1305" s="6">
        <v>25</v>
      </c>
      <c r="E1305" s="32">
        <f>DAY(TableAopCalendar[[#This Row],[Date]])</f>
        <v>25</v>
      </c>
      <c r="F1305" s="32">
        <f>IF(TableAopCalendar[[#This Row],[Day]]&lt;8,1,IF(TableAopCalendar[[#This Row],[Day]]&lt;15,2,IF(TableAopCalendar[[#This Row],[Day]]&lt;22,3,IF(TableAopCalendar[[#This Row],[Day]]&lt;29,4,IF(TableAopCalendar[[#This Row],[Day]]&lt;32,5)))))</f>
        <v>4</v>
      </c>
      <c r="G1305" s="32" t="str">
        <f t="shared" si="76"/>
        <v>Week 4</v>
      </c>
      <c r="H1305" s="32" t="str">
        <f t="shared" si="77"/>
        <v>October 25 Week 4</v>
      </c>
      <c r="I1305" s="32" t="str">
        <f>CONCATENATE(UPPER(TableAopCalendar[[#This Row],[Month]])," ",TableAopCalendar[[#This Row],[Year]])</f>
        <v>OCTOBER 25</v>
      </c>
      <c r="J1305" s="7" t="s">
        <v>274</v>
      </c>
      <c r="K1305" s="32" t="str">
        <f>CONCATENATE(TableAopCalendar[[#This Row],[Month for Plan]]," ",TableAopCalendar[[#This Row],[Plan]])</f>
        <v>OCTOBER 25 PLANNED</v>
      </c>
    </row>
    <row r="1306" spans="1:11" x14ac:dyDescent="0.3">
      <c r="A1306" s="32">
        <f t="shared" si="75"/>
        <v>5</v>
      </c>
      <c r="B1306" s="33">
        <v>45956</v>
      </c>
      <c r="C1306" s="6" t="s">
        <v>114</v>
      </c>
      <c r="D1306" s="6">
        <v>25</v>
      </c>
      <c r="E1306" s="32">
        <f>DAY(TableAopCalendar[[#This Row],[Date]])</f>
        <v>26</v>
      </c>
      <c r="F1306" s="32">
        <f>IF(TableAopCalendar[[#This Row],[Day]]&lt;8,1,IF(TableAopCalendar[[#This Row],[Day]]&lt;15,2,IF(TableAopCalendar[[#This Row],[Day]]&lt;22,3,IF(TableAopCalendar[[#This Row],[Day]]&lt;29,4,IF(TableAopCalendar[[#This Row],[Day]]&lt;32,5)))))</f>
        <v>4</v>
      </c>
      <c r="G1306" s="32" t="str">
        <f t="shared" si="76"/>
        <v>Week 4</v>
      </c>
      <c r="H1306" s="32" t="str">
        <f t="shared" si="77"/>
        <v>October 25 Week 4</v>
      </c>
      <c r="I1306" s="32" t="str">
        <f>CONCATENATE(UPPER(TableAopCalendar[[#This Row],[Month]])," ",TableAopCalendar[[#This Row],[Year]])</f>
        <v>OCTOBER 25</v>
      </c>
      <c r="J1306" s="7" t="s">
        <v>274</v>
      </c>
      <c r="K1306" s="32" t="str">
        <f>CONCATENATE(TableAopCalendar[[#This Row],[Month for Plan]]," ",TableAopCalendar[[#This Row],[Plan]])</f>
        <v>OCTOBER 25 PLANNED</v>
      </c>
    </row>
    <row r="1307" spans="1:11" x14ac:dyDescent="0.3">
      <c r="A1307" s="32">
        <f t="shared" si="75"/>
        <v>6</v>
      </c>
      <c r="B1307" s="33">
        <v>45957</v>
      </c>
      <c r="C1307" s="6" t="s">
        <v>114</v>
      </c>
      <c r="D1307" s="6">
        <v>25</v>
      </c>
      <c r="E1307" s="32">
        <f>DAY(TableAopCalendar[[#This Row],[Date]])</f>
        <v>27</v>
      </c>
      <c r="F1307" s="32">
        <f>IF(TableAopCalendar[[#This Row],[Day]]&lt;8,1,IF(TableAopCalendar[[#This Row],[Day]]&lt;15,2,IF(TableAopCalendar[[#This Row],[Day]]&lt;22,3,IF(TableAopCalendar[[#This Row],[Day]]&lt;29,4,IF(TableAopCalendar[[#This Row],[Day]]&lt;32,5)))))</f>
        <v>4</v>
      </c>
      <c r="G1307" s="32" t="str">
        <f t="shared" si="76"/>
        <v>Week 4</v>
      </c>
      <c r="H1307" s="32" t="str">
        <f t="shared" si="77"/>
        <v>October 25 Week 4</v>
      </c>
      <c r="I1307" s="32" t="str">
        <f>CONCATENATE(UPPER(TableAopCalendar[[#This Row],[Month]])," ",TableAopCalendar[[#This Row],[Year]])</f>
        <v>OCTOBER 25</v>
      </c>
      <c r="J1307" s="7" t="s">
        <v>274</v>
      </c>
      <c r="K1307" s="32" t="str">
        <f>CONCATENATE(TableAopCalendar[[#This Row],[Month for Plan]]," ",TableAopCalendar[[#This Row],[Plan]])</f>
        <v>OCTOBER 25 PLANNED</v>
      </c>
    </row>
    <row r="1308" spans="1:11" x14ac:dyDescent="0.3">
      <c r="A1308" s="32">
        <f t="shared" si="75"/>
        <v>7</v>
      </c>
      <c r="B1308" s="33">
        <v>45958</v>
      </c>
      <c r="C1308" s="6" t="s">
        <v>114</v>
      </c>
      <c r="D1308" s="6">
        <v>25</v>
      </c>
      <c r="E1308" s="32">
        <f>DAY(TableAopCalendar[[#This Row],[Date]])</f>
        <v>28</v>
      </c>
      <c r="F1308" s="32">
        <f>IF(TableAopCalendar[[#This Row],[Day]]&lt;8,1,IF(TableAopCalendar[[#This Row],[Day]]&lt;15,2,IF(TableAopCalendar[[#This Row],[Day]]&lt;22,3,IF(TableAopCalendar[[#This Row],[Day]]&lt;29,4,IF(TableAopCalendar[[#This Row],[Day]]&lt;32,5)))))</f>
        <v>4</v>
      </c>
      <c r="G1308" s="32" t="str">
        <f t="shared" si="76"/>
        <v>Week 4</v>
      </c>
      <c r="H1308" s="32" t="str">
        <f t="shared" si="77"/>
        <v>October 25 Week 4</v>
      </c>
      <c r="I1308" s="32" t="str">
        <f>CONCATENATE(UPPER(TableAopCalendar[[#This Row],[Month]])," ",TableAopCalendar[[#This Row],[Year]])</f>
        <v>OCTOBER 25</v>
      </c>
      <c r="J1308" s="7" t="s">
        <v>274</v>
      </c>
      <c r="K1308" s="32" t="str">
        <f>CONCATENATE(TableAopCalendar[[#This Row],[Month for Plan]]," ",TableAopCalendar[[#This Row],[Plan]])</f>
        <v>OCTOBER 25 PLANNED</v>
      </c>
    </row>
    <row r="1309" spans="1:11" x14ac:dyDescent="0.3">
      <c r="A1309" s="32">
        <f t="shared" si="75"/>
        <v>1</v>
      </c>
      <c r="B1309" s="33">
        <v>45959</v>
      </c>
      <c r="C1309" s="6" t="s">
        <v>114</v>
      </c>
      <c r="D1309" s="6">
        <v>25</v>
      </c>
      <c r="E1309" s="32">
        <f>DAY(TableAopCalendar[[#This Row],[Date]])</f>
        <v>29</v>
      </c>
      <c r="F1309" s="32">
        <f>IF(TableAopCalendar[[#This Row],[Day]]&lt;8,1,IF(TableAopCalendar[[#This Row],[Day]]&lt;15,2,IF(TableAopCalendar[[#This Row],[Day]]&lt;22,3,IF(TableAopCalendar[[#This Row],[Day]]&lt;29,4,IF(TableAopCalendar[[#This Row],[Day]]&lt;32,5)))))</f>
        <v>5</v>
      </c>
      <c r="G1309" s="32" t="str">
        <f t="shared" si="76"/>
        <v>Week 5</v>
      </c>
      <c r="H1309" s="32" t="str">
        <f t="shared" si="77"/>
        <v>October 25 Week 5</v>
      </c>
      <c r="I1309" s="32" t="str">
        <f>CONCATENATE(UPPER(TableAopCalendar[[#This Row],[Month]])," ",TableAopCalendar[[#This Row],[Year]])</f>
        <v>OCTOBER 25</v>
      </c>
      <c r="J1309" s="7" t="s">
        <v>274</v>
      </c>
      <c r="K1309" s="32" t="str">
        <f>CONCATENATE(TableAopCalendar[[#This Row],[Month for Plan]]," ",TableAopCalendar[[#This Row],[Plan]])</f>
        <v>OCTOBER 25 PLANNED</v>
      </c>
    </row>
    <row r="1310" spans="1:11" x14ac:dyDescent="0.3">
      <c r="A1310" s="32">
        <f t="shared" si="75"/>
        <v>2</v>
      </c>
      <c r="B1310" s="33">
        <v>45960</v>
      </c>
      <c r="C1310" s="6" t="s">
        <v>114</v>
      </c>
      <c r="D1310" s="6">
        <v>25</v>
      </c>
      <c r="E1310" s="32">
        <f>DAY(TableAopCalendar[[#This Row],[Date]])</f>
        <v>30</v>
      </c>
      <c r="F1310" s="32">
        <f>IF(TableAopCalendar[[#This Row],[Day]]&lt;8,1,IF(TableAopCalendar[[#This Row],[Day]]&lt;15,2,IF(TableAopCalendar[[#This Row],[Day]]&lt;22,3,IF(TableAopCalendar[[#This Row],[Day]]&lt;29,4,IF(TableAopCalendar[[#This Row],[Day]]&lt;32,5)))))</f>
        <v>5</v>
      </c>
      <c r="G1310" s="32" t="str">
        <f t="shared" si="76"/>
        <v>Week 5</v>
      </c>
      <c r="H1310" s="32" t="str">
        <f t="shared" si="77"/>
        <v>October 25 Week 5</v>
      </c>
      <c r="I1310" s="32" t="str">
        <f>CONCATENATE(UPPER(TableAopCalendar[[#This Row],[Month]])," ",TableAopCalendar[[#This Row],[Year]])</f>
        <v>OCTOBER 25</v>
      </c>
      <c r="J1310" s="7" t="s">
        <v>274</v>
      </c>
      <c r="K1310" s="32" t="str">
        <f>CONCATENATE(TableAopCalendar[[#This Row],[Month for Plan]]," ",TableAopCalendar[[#This Row],[Plan]])</f>
        <v>OCTOBER 25 PLANNED</v>
      </c>
    </row>
    <row r="1311" spans="1:11" x14ac:dyDescent="0.3">
      <c r="A1311" s="32">
        <f t="shared" si="75"/>
        <v>3</v>
      </c>
      <c r="B1311" s="33">
        <v>45961</v>
      </c>
      <c r="C1311" s="6" t="s">
        <v>114</v>
      </c>
      <c r="D1311" s="6">
        <v>25</v>
      </c>
      <c r="E1311" s="32">
        <f>DAY(TableAopCalendar[[#This Row],[Date]])</f>
        <v>31</v>
      </c>
      <c r="F1311" s="32">
        <f>IF(TableAopCalendar[[#This Row],[Day]]&lt;8,1,IF(TableAopCalendar[[#This Row],[Day]]&lt;15,2,IF(TableAopCalendar[[#This Row],[Day]]&lt;22,3,IF(TableAopCalendar[[#This Row],[Day]]&lt;29,4,IF(TableAopCalendar[[#This Row],[Day]]&lt;32,5)))))</f>
        <v>5</v>
      </c>
      <c r="G1311" s="32" t="str">
        <f t="shared" si="76"/>
        <v>Week 5</v>
      </c>
      <c r="H1311" s="32" t="str">
        <f t="shared" si="77"/>
        <v>October 25 Week 5</v>
      </c>
      <c r="I1311" s="32" t="str">
        <f>CONCATENATE(UPPER(TableAopCalendar[[#This Row],[Month]])," ",TableAopCalendar[[#This Row],[Year]])</f>
        <v>OCTOBER 25</v>
      </c>
      <c r="J1311" s="7" t="s">
        <v>274</v>
      </c>
      <c r="K1311" s="32" t="str">
        <f>CONCATENATE(TableAopCalendar[[#This Row],[Month for Plan]]," ",TableAopCalendar[[#This Row],[Plan]])</f>
        <v>OCTOBER 25 PLANNED</v>
      </c>
    </row>
    <row r="1312" spans="1:11" x14ac:dyDescent="0.3">
      <c r="A1312" s="32">
        <f t="shared" si="75"/>
        <v>1</v>
      </c>
      <c r="B1312" s="33">
        <v>45962</v>
      </c>
      <c r="C1312" s="6" t="s">
        <v>117</v>
      </c>
      <c r="D1312" s="6">
        <v>25</v>
      </c>
      <c r="E1312" s="32">
        <f>DAY(TableAopCalendar[[#This Row],[Date]])</f>
        <v>1</v>
      </c>
      <c r="F1312" s="32">
        <f>IF(TableAopCalendar[[#This Row],[Day]]&lt;8,1,IF(TableAopCalendar[[#This Row],[Day]]&lt;15,2,IF(TableAopCalendar[[#This Row],[Day]]&lt;22,3,IF(TableAopCalendar[[#This Row],[Day]]&lt;29,4,IF(TableAopCalendar[[#This Row],[Day]]&lt;32,5)))))</f>
        <v>1</v>
      </c>
      <c r="G1312" s="32" t="str">
        <f t="shared" si="76"/>
        <v>Week 1</v>
      </c>
      <c r="H1312" s="32" t="str">
        <f t="shared" si="77"/>
        <v>November 25 Week 1</v>
      </c>
      <c r="I1312" s="32" t="str">
        <f>CONCATENATE(UPPER(TableAopCalendar[[#This Row],[Month]])," ",TableAopCalendar[[#This Row],[Year]])</f>
        <v>NOVEMBER 25</v>
      </c>
      <c r="J1312" s="7" t="s">
        <v>274</v>
      </c>
      <c r="K1312" s="32" t="str">
        <f>CONCATENATE(TableAopCalendar[[#This Row],[Month for Plan]]," ",TableAopCalendar[[#This Row],[Plan]])</f>
        <v>NOVEMBER 25 PLANNED</v>
      </c>
    </row>
    <row r="1313" spans="1:11" x14ac:dyDescent="0.3">
      <c r="A1313" s="32">
        <f t="shared" si="75"/>
        <v>2</v>
      </c>
      <c r="B1313" s="33">
        <v>45963</v>
      </c>
      <c r="C1313" s="6" t="s">
        <v>117</v>
      </c>
      <c r="D1313" s="6">
        <v>25</v>
      </c>
      <c r="E1313" s="32">
        <f>DAY(TableAopCalendar[[#This Row],[Date]])</f>
        <v>2</v>
      </c>
      <c r="F1313" s="32">
        <f>IF(TableAopCalendar[[#This Row],[Day]]&lt;8,1,IF(TableAopCalendar[[#This Row],[Day]]&lt;15,2,IF(TableAopCalendar[[#This Row],[Day]]&lt;22,3,IF(TableAopCalendar[[#This Row],[Day]]&lt;29,4,IF(TableAopCalendar[[#This Row],[Day]]&lt;32,5)))))</f>
        <v>1</v>
      </c>
      <c r="G1313" s="32" t="str">
        <f t="shared" si="76"/>
        <v>Week 1</v>
      </c>
      <c r="H1313" s="32" t="str">
        <f t="shared" si="77"/>
        <v>November 25 Week 1</v>
      </c>
      <c r="I1313" s="32" t="str">
        <f>CONCATENATE(UPPER(TableAopCalendar[[#This Row],[Month]])," ",TableAopCalendar[[#This Row],[Year]])</f>
        <v>NOVEMBER 25</v>
      </c>
      <c r="J1313" s="7" t="s">
        <v>274</v>
      </c>
      <c r="K1313" s="32" t="str">
        <f>CONCATENATE(TableAopCalendar[[#This Row],[Month for Plan]]," ",TableAopCalendar[[#This Row],[Plan]])</f>
        <v>NOVEMBER 25 PLANNED</v>
      </c>
    </row>
    <row r="1314" spans="1:11" x14ac:dyDescent="0.3">
      <c r="A1314" s="32">
        <f t="shared" si="75"/>
        <v>3</v>
      </c>
      <c r="B1314" s="33">
        <v>45964</v>
      </c>
      <c r="C1314" s="6" t="s">
        <v>117</v>
      </c>
      <c r="D1314" s="6">
        <v>25</v>
      </c>
      <c r="E1314" s="32">
        <f>DAY(TableAopCalendar[[#This Row],[Date]])</f>
        <v>3</v>
      </c>
      <c r="F1314" s="32">
        <f>IF(TableAopCalendar[[#This Row],[Day]]&lt;8,1,IF(TableAopCalendar[[#This Row],[Day]]&lt;15,2,IF(TableAopCalendar[[#This Row],[Day]]&lt;22,3,IF(TableAopCalendar[[#This Row],[Day]]&lt;29,4,IF(TableAopCalendar[[#This Row],[Day]]&lt;32,5)))))</f>
        <v>1</v>
      </c>
      <c r="G1314" s="32" t="str">
        <f t="shared" si="76"/>
        <v>Week 1</v>
      </c>
      <c r="H1314" s="32" t="str">
        <f t="shared" si="77"/>
        <v>November 25 Week 1</v>
      </c>
      <c r="I1314" s="32" t="str">
        <f>CONCATENATE(UPPER(TableAopCalendar[[#This Row],[Month]])," ",TableAopCalendar[[#This Row],[Year]])</f>
        <v>NOVEMBER 25</v>
      </c>
      <c r="J1314" s="7" t="s">
        <v>274</v>
      </c>
      <c r="K1314" s="32" t="str">
        <f>CONCATENATE(TableAopCalendar[[#This Row],[Month for Plan]]," ",TableAopCalendar[[#This Row],[Plan]])</f>
        <v>NOVEMBER 25 PLANNED</v>
      </c>
    </row>
    <row r="1315" spans="1:11" x14ac:dyDescent="0.3">
      <c r="A1315" s="32">
        <f t="shared" si="75"/>
        <v>4</v>
      </c>
      <c r="B1315" s="33">
        <v>45965</v>
      </c>
      <c r="C1315" s="6" t="s">
        <v>117</v>
      </c>
      <c r="D1315" s="6">
        <v>25</v>
      </c>
      <c r="E1315" s="32">
        <f>DAY(TableAopCalendar[[#This Row],[Date]])</f>
        <v>4</v>
      </c>
      <c r="F1315" s="32">
        <f>IF(TableAopCalendar[[#This Row],[Day]]&lt;8,1,IF(TableAopCalendar[[#This Row],[Day]]&lt;15,2,IF(TableAopCalendar[[#This Row],[Day]]&lt;22,3,IF(TableAopCalendar[[#This Row],[Day]]&lt;29,4,IF(TableAopCalendar[[#This Row],[Day]]&lt;32,5)))))</f>
        <v>1</v>
      </c>
      <c r="G1315" s="32" t="str">
        <f t="shared" si="76"/>
        <v>Week 1</v>
      </c>
      <c r="H1315" s="32" t="str">
        <f t="shared" si="77"/>
        <v>November 25 Week 1</v>
      </c>
      <c r="I1315" s="32" t="str">
        <f>CONCATENATE(UPPER(TableAopCalendar[[#This Row],[Month]])," ",TableAopCalendar[[#This Row],[Year]])</f>
        <v>NOVEMBER 25</v>
      </c>
      <c r="J1315" s="7" t="s">
        <v>274</v>
      </c>
      <c r="K1315" s="32" t="str">
        <f>CONCATENATE(TableAopCalendar[[#This Row],[Month for Plan]]," ",TableAopCalendar[[#This Row],[Plan]])</f>
        <v>NOVEMBER 25 PLANNED</v>
      </c>
    </row>
    <row r="1316" spans="1:11" x14ac:dyDescent="0.3">
      <c r="A1316" s="32">
        <f t="shared" si="75"/>
        <v>5</v>
      </c>
      <c r="B1316" s="33">
        <v>45966</v>
      </c>
      <c r="C1316" s="6" t="s">
        <v>117</v>
      </c>
      <c r="D1316" s="6">
        <v>25</v>
      </c>
      <c r="E1316" s="32">
        <f>DAY(TableAopCalendar[[#This Row],[Date]])</f>
        <v>5</v>
      </c>
      <c r="F1316" s="32">
        <f>IF(TableAopCalendar[[#This Row],[Day]]&lt;8,1,IF(TableAopCalendar[[#This Row],[Day]]&lt;15,2,IF(TableAopCalendar[[#This Row],[Day]]&lt;22,3,IF(TableAopCalendar[[#This Row],[Day]]&lt;29,4,IF(TableAopCalendar[[#This Row],[Day]]&lt;32,5)))))</f>
        <v>1</v>
      </c>
      <c r="G1316" s="32" t="str">
        <f t="shared" si="76"/>
        <v>Week 1</v>
      </c>
      <c r="H1316" s="32" t="str">
        <f t="shared" si="77"/>
        <v>November 25 Week 1</v>
      </c>
      <c r="I1316" s="32" t="str">
        <f>CONCATENATE(UPPER(TableAopCalendar[[#This Row],[Month]])," ",TableAopCalendar[[#This Row],[Year]])</f>
        <v>NOVEMBER 25</v>
      </c>
      <c r="J1316" s="7" t="s">
        <v>274</v>
      </c>
      <c r="K1316" s="32" t="str">
        <f>CONCATENATE(TableAopCalendar[[#This Row],[Month for Plan]]," ",TableAopCalendar[[#This Row],[Plan]])</f>
        <v>NOVEMBER 25 PLANNED</v>
      </c>
    </row>
    <row r="1317" spans="1:11" x14ac:dyDescent="0.3">
      <c r="A1317" s="32">
        <f t="shared" si="75"/>
        <v>6</v>
      </c>
      <c r="B1317" s="33">
        <v>45967</v>
      </c>
      <c r="C1317" s="6" t="s">
        <v>117</v>
      </c>
      <c r="D1317" s="6">
        <v>25</v>
      </c>
      <c r="E1317" s="32">
        <f>DAY(TableAopCalendar[[#This Row],[Date]])</f>
        <v>6</v>
      </c>
      <c r="F1317" s="32">
        <f>IF(TableAopCalendar[[#This Row],[Day]]&lt;8,1,IF(TableAopCalendar[[#This Row],[Day]]&lt;15,2,IF(TableAopCalendar[[#This Row],[Day]]&lt;22,3,IF(TableAopCalendar[[#This Row],[Day]]&lt;29,4,IF(TableAopCalendar[[#This Row],[Day]]&lt;32,5)))))</f>
        <v>1</v>
      </c>
      <c r="G1317" s="32" t="str">
        <f t="shared" si="76"/>
        <v>Week 1</v>
      </c>
      <c r="H1317" s="32" t="str">
        <f t="shared" si="77"/>
        <v>November 25 Week 1</v>
      </c>
      <c r="I1317" s="32" t="str">
        <f>CONCATENATE(UPPER(TableAopCalendar[[#This Row],[Month]])," ",TableAopCalendar[[#This Row],[Year]])</f>
        <v>NOVEMBER 25</v>
      </c>
      <c r="J1317" s="7" t="s">
        <v>274</v>
      </c>
      <c r="K1317" s="32" t="str">
        <f>CONCATENATE(TableAopCalendar[[#This Row],[Month for Plan]]," ",TableAopCalendar[[#This Row],[Plan]])</f>
        <v>NOVEMBER 25 PLANNED</v>
      </c>
    </row>
    <row r="1318" spans="1:11" x14ac:dyDescent="0.3">
      <c r="A1318" s="32">
        <f t="shared" si="75"/>
        <v>7</v>
      </c>
      <c r="B1318" s="33">
        <v>45968</v>
      </c>
      <c r="C1318" s="6" t="s">
        <v>117</v>
      </c>
      <c r="D1318" s="6">
        <v>25</v>
      </c>
      <c r="E1318" s="32">
        <f>DAY(TableAopCalendar[[#This Row],[Date]])</f>
        <v>7</v>
      </c>
      <c r="F1318" s="32">
        <f>IF(TableAopCalendar[[#This Row],[Day]]&lt;8,1,IF(TableAopCalendar[[#This Row],[Day]]&lt;15,2,IF(TableAopCalendar[[#This Row],[Day]]&lt;22,3,IF(TableAopCalendar[[#This Row],[Day]]&lt;29,4,IF(TableAopCalendar[[#This Row],[Day]]&lt;32,5)))))</f>
        <v>1</v>
      </c>
      <c r="G1318" s="32" t="str">
        <f t="shared" si="76"/>
        <v>Week 1</v>
      </c>
      <c r="H1318" s="32" t="str">
        <f t="shared" si="77"/>
        <v>November 25 Week 1</v>
      </c>
      <c r="I1318" s="32" t="str">
        <f>CONCATENATE(UPPER(TableAopCalendar[[#This Row],[Month]])," ",TableAopCalendar[[#This Row],[Year]])</f>
        <v>NOVEMBER 25</v>
      </c>
      <c r="J1318" s="7" t="s">
        <v>274</v>
      </c>
      <c r="K1318" s="32" t="str">
        <f>CONCATENATE(TableAopCalendar[[#This Row],[Month for Plan]]," ",TableAopCalendar[[#This Row],[Plan]])</f>
        <v>NOVEMBER 25 PLANNED</v>
      </c>
    </row>
    <row r="1319" spans="1:11" x14ac:dyDescent="0.3">
      <c r="A1319" s="32">
        <f t="shared" si="75"/>
        <v>1</v>
      </c>
      <c r="B1319" s="33">
        <v>45969</v>
      </c>
      <c r="C1319" s="6" t="s">
        <v>117</v>
      </c>
      <c r="D1319" s="6">
        <v>25</v>
      </c>
      <c r="E1319" s="32">
        <f>DAY(TableAopCalendar[[#This Row],[Date]])</f>
        <v>8</v>
      </c>
      <c r="F1319" s="32">
        <f>IF(TableAopCalendar[[#This Row],[Day]]&lt;8,1,IF(TableAopCalendar[[#This Row],[Day]]&lt;15,2,IF(TableAopCalendar[[#This Row],[Day]]&lt;22,3,IF(TableAopCalendar[[#This Row],[Day]]&lt;29,4,IF(TableAopCalendar[[#This Row],[Day]]&lt;32,5)))))</f>
        <v>2</v>
      </c>
      <c r="G1319" s="32" t="str">
        <f t="shared" si="76"/>
        <v>Week 2</v>
      </c>
      <c r="H1319" s="32" t="str">
        <f t="shared" si="77"/>
        <v>November 25 Week 2</v>
      </c>
      <c r="I1319" s="32" t="str">
        <f>CONCATENATE(UPPER(TableAopCalendar[[#This Row],[Month]])," ",TableAopCalendar[[#This Row],[Year]])</f>
        <v>NOVEMBER 25</v>
      </c>
      <c r="J1319" s="7" t="s">
        <v>274</v>
      </c>
      <c r="K1319" s="32" t="str">
        <f>CONCATENATE(TableAopCalendar[[#This Row],[Month for Plan]]," ",TableAopCalendar[[#This Row],[Plan]])</f>
        <v>NOVEMBER 25 PLANNED</v>
      </c>
    </row>
    <row r="1320" spans="1:11" x14ac:dyDescent="0.3">
      <c r="A1320" s="32">
        <f t="shared" si="75"/>
        <v>2</v>
      </c>
      <c r="B1320" s="33">
        <v>45970</v>
      </c>
      <c r="C1320" s="6" t="s">
        <v>117</v>
      </c>
      <c r="D1320" s="6">
        <v>25</v>
      </c>
      <c r="E1320" s="32">
        <f>DAY(TableAopCalendar[[#This Row],[Date]])</f>
        <v>9</v>
      </c>
      <c r="F1320" s="32">
        <f>IF(TableAopCalendar[[#This Row],[Day]]&lt;8,1,IF(TableAopCalendar[[#This Row],[Day]]&lt;15,2,IF(TableAopCalendar[[#This Row],[Day]]&lt;22,3,IF(TableAopCalendar[[#This Row],[Day]]&lt;29,4,IF(TableAopCalendar[[#This Row],[Day]]&lt;32,5)))))</f>
        <v>2</v>
      </c>
      <c r="G1320" s="32" t="str">
        <f t="shared" si="76"/>
        <v>Week 2</v>
      </c>
      <c r="H1320" s="32" t="str">
        <f t="shared" si="77"/>
        <v>November 25 Week 2</v>
      </c>
      <c r="I1320" s="32" t="str">
        <f>CONCATENATE(UPPER(TableAopCalendar[[#This Row],[Month]])," ",TableAopCalendar[[#This Row],[Year]])</f>
        <v>NOVEMBER 25</v>
      </c>
      <c r="J1320" s="7" t="s">
        <v>274</v>
      </c>
      <c r="K1320" s="32" t="str">
        <f>CONCATENATE(TableAopCalendar[[#This Row],[Month for Plan]]," ",TableAopCalendar[[#This Row],[Plan]])</f>
        <v>NOVEMBER 25 PLANNED</v>
      </c>
    </row>
    <row r="1321" spans="1:11" x14ac:dyDescent="0.3">
      <c r="A1321" s="32">
        <f t="shared" si="75"/>
        <v>3</v>
      </c>
      <c r="B1321" s="33">
        <v>45971</v>
      </c>
      <c r="C1321" s="6" t="s">
        <v>117</v>
      </c>
      <c r="D1321" s="6">
        <v>25</v>
      </c>
      <c r="E1321" s="32">
        <f>DAY(TableAopCalendar[[#This Row],[Date]])</f>
        <v>10</v>
      </c>
      <c r="F1321" s="32">
        <f>IF(TableAopCalendar[[#This Row],[Day]]&lt;8,1,IF(TableAopCalendar[[#This Row],[Day]]&lt;15,2,IF(TableAopCalendar[[#This Row],[Day]]&lt;22,3,IF(TableAopCalendar[[#This Row],[Day]]&lt;29,4,IF(TableAopCalendar[[#This Row],[Day]]&lt;32,5)))))</f>
        <v>2</v>
      </c>
      <c r="G1321" s="32" t="str">
        <f t="shared" si="76"/>
        <v>Week 2</v>
      </c>
      <c r="H1321" s="32" t="str">
        <f t="shared" si="77"/>
        <v>November 25 Week 2</v>
      </c>
      <c r="I1321" s="32" t="str">
        <f>CONCATENATE(UPPER(TableAopCalendar[[#This Row],[Month]])," ",TableAopCalendar[[#This Row],[Year]])</f>
        <v>NOVEMBER 25</v>
      </c>
      <c r="J1321" s="7" t="s">
        <v>274</v>
      </c>
      <c r="K1321" s="32" t="str">
        <f>CONCATENATE(TableAopCalendar[[#This Row],[Month for Plan]]," ",TableAopCalendar[[#This Row],[Plan]])</f>
        <v>NOVEMBER 25 PLANNED</v>
      </c>
    </row>
    <row r="1322" spans="1:11" x14ac:dyDescent="0.3">
      <c r="A1322" s="32">
        <f t="shared" si="75"/>
        <v>4</v>
      </c>
      <c r="B1322" s="33">
        <v>45972</v>
      </c>
      <c r="C1322" s="6" t="s">
        <v>117</v>
      </c>
      <c r="D1322" s="6">
        <v>25</v>
      </c>
      <c r="E1322" s="32">
        <f>DAY(TableAopCalendar[[#This Row],[Date]])</f>
        <v>11</v>
      </c>
      <c r="F1322" s="32">
        <f>IF(TableAopCalendar[[#This Row],[Day]]&lt;8,1,IF(TableAopCalendar[[#This Row],[Day]]&lt;15,2,IF(TableAopCalendar[[#This Row],[Day]]&lt;22,3,IF(TableAopCalendar[[#This Row],[Day]]&lt;29,4,IF(TableAopCalendar[[#This Row],[Day]]&lt;32,5)))))</f>
        <v>2</v>
      </c>
      <c r="G1322" s="32" t="str">
        <f t="shared" si="76"/>
        <v>Week 2</v>
      </c>
      <c r="H1322" s="32" t="str">
        <f t="shared" si="77"/>
        <v>November 25 Week 2</v>
      </c>
      <c r="I1322" s="32" t="str">
        <f>CONCATENATE(UPPER(TableAopCalendar[[#This Row],[Month]])," ",TableAopCalendar[[#This Row],[Year]])</f>
        <v>NOVEMBER 25</v>
      </c>
      <c r="J1322" s="7" t="s">
        <v>274</v>
      </c>
      <c r="K1322" s="32" t="str">
        <f>CONCATENATE(TableAopCalendar[[#This Row],[Month for Plan]]," ",TableAopCalendar[[#This Row],[Plan]])</f>
        <v>NOVEMBER 25 PLANNED</v>
      </c>
    </row>
    <row r="1323" spans="1:11" x14ac:dyDescent="0.3">
      <c r="A1323" s="32">
        <f t="shared" si="75"/>
        <v>5</v>
      </c>
      <c r="B1323" s="33">
        <v>45973</v>
      </c>
      <c r="C1323" s="6" t="s">
        <v>117</v>
      </c>
      <c r="D1323" s="6">
        <v>25</v>
      </c>
      <c r="E1323" s="32">
        <f>DAY(TableAopCalendar[[#This Row],[Date]])</f>
        <v>12</v>
      </c>
      <c r="F1323" s="32">
        <f>IF(TableAopCalendar[[#This Row],[Day]]&lt;8,1,IF(TableAopCalendar[[#This Row],[Day]]&lt;15,2,IF(TableAopCalendar[[#This Row],[Day]]&lt;22,3,IF(TableAopCalendar[[#This Row],[Day]]&lt;29,4,IF(TableAopCalendar[[#This Row],[Day]]&lt;32,5)))))</f>
        <v>2</v>
      </c>
      <c r="G1323" s="32" t="str">
        <f t="shared" si="76"/>
        <v>Week 2</v>
      </c>
      <c r="H1323" s="32" t="str">
        <f t="shared" si="77"/>
        <v>November 25 Week 2</v>
      </c>
      <c r="I1323" s="32" t="str">
        <f>CONCATENATE(UPPER(TableAopCalendar[[#This Row],[Month]])," ",TableAopCalendar[[#This Row],[Year]])</f>
        <v>NOVEMBER 25</v>
      </c>
      <c r="J1323" s="7" t="s">
        <v>274</v>
      </c>
      <c r="K1323" s="32" t="str">
        <f>CONCATENATE(TableAopCalendar[[#This Row],[Month for Plan]]," ",TableAopCalendar[[#This Row],[Plan]])</f>
        <v>NOVEMBER 25 PLANNED</v>
      </c>
    </row>
    <row r="1324" spans="1:11" x14ac:dyDescent="0.3">
      <c r="A1324" s="32">
        <f t="shared" si="75"/>
        <v>6</v>
      </c>
      <c r="B1324" s="33">
        <v>45974</v>
      </c>
      <c r="C1324" s="6" t="s">
        <v>117</v>
      </c>
      <c r="D1324" s="6">
        <v>25</v>
      </c>
      <c r="E1324" s="32">
        <f>DAY(TableAopCalendar[[#This Row],[Date]])</f>
        <v>13</v>
      </c>
      <c r="F1324" s="32">
        <f>IF(TableAopCalendar[[#This Row],[Day]]&lt;8,1,IF(TableAopCalendar[[#This Row],[Day]]&lt;15,2,IF(TableAopCalendar[[#This Row],[Day]]&lt;22,3,IF(TableAopCalendar[[#This Row],[Day]]&lt;29,4,IF(TableAopCalendar[[#This Row],[Day]]&lt;32,5)))))</f>
        <v>2</v>
      </c>
      <c r="G1324" s="32" t="str">
        <f t="shared" si="76"/>
        <v>Week 2</v>
      </c>
      <c r="H1324" s="32" t="str">
        <f t="shared" si="77"/>
        <v>November 25 Week 2</v>
      </c>
      <c r="I1324" s="32" t="str">
        <f>CONCATENATE(UPPER(TableAopCalendar[[#This Row],[Month]])," ",TableAopCalendar[[#This Row],[Year]])</f>
        <v>NOVEMBER 25</v>
      </c>
      <c r="J1324" s="7" t="s">
        <v>274</v>
      </c>
      <c r="K1324" s="32" t="str">
        <f>CONCATENATE(TableAopCalendar[[#This Row],[Month for Plan]]," ",TableAopCalendar[[#This Row],[Plan]])</f>
        <v>NOVEMBER 25 PLANNED</v>
      </c>
    </row>
    <row r="1325" spans="1:11" x14ac:dyDescent="0.3">
      <c r="A1325" s="32">
        <f t="shared" si="75"/>
        <v>7</v>
      </c>
      <c r="B1325" s="33">
        <v>45975</v>
      </c>
      <c r="C1325" s="6" t="s">
        <v>117</v>
      </c>
      <c r="D1325" s="6">
        <v>25</v>
      </c>
      <c r="E1325" s="32">
        <f>DAY(TableAopCalendar[[#This Row],[Date]])</f>
        <v>14</v>
      </c>
      <c r="F1325" s="32">
        <f>IF(TableAopCalendar[[#This Row],[Day]]&lt;8,1,IF(TableAopCalendar[[#This Row],[Day]]&lt;15,2,IF(TableAopCalendar[[#This Row],[Day]]&lt;22,3,IF(TableAopCalendar[[#This Row],[Day]]&lt;29,4,IF(TableAopCalendar[[#This Row],[Day]]&lt;32,5)))))</f>
        <v>2</v>
      </c>
      <c r="G1325" s="32" t="str">
        <f t="shared" si="76"/>
        <v>Week 2</v>
      </c>
      <c r="H1325" s="32" t="str">
        <f t="shared" si="77"/>
        <v>November 25 Week 2</v>
      </c>
      <c r="I1325" s="32" t="str">
        <f>CONCATENATE(UPPER(TableAopCalendar[[#This Row],[Month]])," ",TableAopCalendar[[#This Row],[Year]])</f>
        <v>NOVEMBER 25</v>
      </c>
      <c r="J1325" s="7" t="s">
        <v>274</v>
      </c>
      <c r="K1325" s="32" t="str">
        <f>CONCATENATE(TableAopCalendar[[#This Row],[Month for Plan]]," ",TableAopCalendar[[#This Row],[Plan]])</f>
        <v>NOVEMBER 25 PLANNED</v>
      </c>
    </row>
    <row r="1326" spans="1:11" x14ac:dyDescent="0.3">
      <c r="A1326" s="32">
        <f t="shared" si="75"/>
        <v>1</v>
      </c>
      <c r="B1326" s="33">
        <v>45976</v>
      </c>
      <c r="C1326" s="6" t="s">
        <v>117</v>
      </c>
      <c r="D1326" s="6">
        <v>25</v>
      </c>
      <c r="E1326" s="32">
        <f>DAY(TableAopCalendar[[#This Row],[Date]])</f>
        <v>15</v>
      </c>
      <c r="F1326" s="32">
        <f>IF(TableAopCalendar[[#This Row],[Day]]&lt;8,1,IF(TableAopCalendar[[#This Row],[Day]]&lt;15,2,IF(TableAopCalendar[[#This Row],[Day]]&lt;22,3,IF(TableAopCalendar[[#This Row],[Day]]&lt;29,4,IF(TableAopCalendar[[#This Row],[Day]]&lt;32,5)))))</f>
        <v>3</v>
      </c>
      <c r="G1326" s="32" t="str">
        <f t="shared" si="76"/>
        <v>Week 3</v>
      </c>
      <c r="H1326" s="32" t="str">
        <f t="shared" si="77"/>
        <v>November 25 Week 3</v>
      </c>
      <c r="I1326" s="32" t="str">
        <f>CONCATENATE(UPPER(TableAopCalendar[[#This Row],[Month]])," ",TableAopCalendar[[#This Row],[Year]])</f>
        <v>NOVEMBER 25</v>
      </c>
      <c r="J1326" s="7" t="s">
        <v>274</v>
      </c>
      <c r="K1326" s="32" t="str">
        <f>CONCATENATE(TableAopCalendar[[#This Row],[Month for Plan]]," ",TableAopCalendar[[#This Row],[Plan]])</f>
        <v>NOVEMBER 25 PLANNED</v>
      </c>
    </row>
    <row r="1327" spans="1:11" x14ac:dyDescent="0.3">
      <c r="A1327" s="32">
        <f t="shared" si="75"/>
        <v>2</v>
      </c>
      <c r="B1327" s="33">
        <v>45977</v>
      </c>
      <c r="C1327" s="6" t="s">
        <v>117</v>
      </c>
      <c r="D1327" s="6">
        <v>25</v>
      </c>
      <c r="E1327" s="32">
        <f>DAY(TableAopCalendar[[#This Row],[Date]])</f>
        <v>16</v>
      </c>
      <c r="F1327" s="32">
        <f>IF(TableAopCalendar[[#This Row],[Day]]&lt;8,1,IF(TableAopCalendar[[#This Row],[Day]]&lt;15,2,IF(TableAopCalendar[[#This Row],[Day]]&lt;22,3,IF(TableAopCalendar[[#This Row],[Day]]&lt;29,4,IF(TableAopCalendar[[#This Row],[Day]]&lt;32,5)))))</f>
        <v>3</v>
      </c>
      <c r="G1327" s="32" t="str">
        <f t="shared" si="76"/>
        <v>Week 3</v>
      </c>
      <c r="H1327" s="32" t="str">
        <f t="shared" si="77"/>
        <v>November 25 Week 3</v>
      </c>
      <c r="I1327" s="32" t="str">
        <f>CONCATENATE(UPPER(TableAopCalendar[[#This Row],[Month]])," ",TableAopCalendar[[#This Row],[Year]])</f>
        <v>NOVEMBER 25</v>
      </c>
      <c r="J1327" s="7" t="s">
        <v>274</v>
      </c>
      <c r="K1327" s="32" t="str">
        <f>CONCATENATE(TableAopCalendar[[#This Row],[Month for Plan]]," ",TableAopCalendar[[#This Row],[Plan]])</f>
        <v>NOVEMBER 25 PLANNED</v>
      </c>
    </row>
    <row r="1328" spans="1:11" x14ac:dyDescent="0.3">
      <c r="A1328" s="32">
        <f t="shared" si="75"/>
        <v>3</v>
      </c>
      <c r="B1328" s="33">
        <v>45978</v>
      </c>
      <c r="C1328" s="6" t="s">
        <v>117</v>
      </c>
      <c r="D1328" s="6">
        <v>25</v>
      </c>
      <c r="E1328" s="32">
        <f>DAY(TableAopCalendar[[#This Row],[Date]])</f>
        <v>17</v>
      </c>
      <c r="F1328" s="32">
        <f>IF(TableAopCalendar[[#This Row],[Day]]&lt;8,1,IF(TableAopCalendar[[#This Row],[Day]]&lt;15,2,IF(TableAopCalendar[[#This Row],[Day]]&lt;22,3,IF(TableAopCalendar[[#This Row],[Day]]&lt;29,4,IF(TableAopCalendar[[#This Row],[Day]]&lt;32,5)))))</f>
        <v>3</v>
      </c>
      <c r="G1328" s="32" t="str">
        <f t="shared" si="76"/>
        <v>Week 3</v>
      </c>
      <c r="H1328" s="32" t="str">
        <f t="shared" si="77"/>
        <v>November 25 Week 3</v>
      </c>
      <c r="I1328" s="32" t="str">
        <f>CONCATENATE(UPPER(TableAopCalendar[[#This Row],[Month]])," ",TableAopCalendar[[#This Row],[Year]])</f>
        <v>NOVEMBER 25</v>
      </c>
      <c r="J1328" s="7" t="s">
        <v>274</v>
      </c>
      <c r="K1328" s="32" t="str">
        <f>CONCATENATE(TableAopCalendar[[#This Row],[Month for Plan]]," ",TableAopCalendar[[#This Row],[Plan]])</f>
        <v>NOVEMBER 25 PLANNED</v>
      </c>
    </row>
    <row r="1329" spans="1:11" x14ac:dyDescent="0.3">
      <c r="A1329" s="32">
        <f t="shared" si="75"/>
        <v>4</v>
      </c>
      <c r="B1329" s="33">
        <v>45979</v>
      </c>
      <c r="C1329" s="6" t="s">
        <v>117</v>
      </c>
      <c r="D1329" s="6">
        <v>25</v>
      </c>
      <c r="E1329" s="32">
        <f>DAY(TableAopCalendar[[#This Row],[Date]])</f>
        <v>18</v>
      </c>
      <c r="F1329" s="32">
        <f>IF(TableAopCalendar[[#This Row],[Day]]&lt;8,1,IF(TableAopCalendar[[#This Row],[Day]]&lt;15,2,IF(TableAopCalendar[[#This Row],[Day]]&lt;22,3,IF(TableAopCalendar[[#This Row],[Day]]&lt;29,4,IF(TableAopCalendar[[#This Row],[Day]]&lt;32,5)))))</f>
        <v>3</v>
      </c>
      <c r="G1329" s="32" t="str">
        <f t="shared" si="76"/>
        <v>Week 3</v>
      </c>
      <c r="H1329" s="32" t="str">
        <f t="shared" si="77"/>
        <v>November 25 Week 3</v>
      </c>
      <c r="I1329" s="32" t="str">
        <f>CONCATENATE(UPPER(TableAopCalendar[[#This Row],[Month]])," ",TableAopCalendar[[#This Row],[Year]])</f>
        <v>NOVEMBER 25</v>
      </c>
      <c r="J1329" s="7" t="s">
        <v>274</v>
      </c>
      <c r="K1329" s="32" t="str">
        <f>CONCATENATE(TableAopCalendar[[#This Row],[Month for Plan]]," ",TableAopCalendar[[#This Row],[Plan]])</f>
        <v>NOVEMBER 25 PLANNED</v>
      </c>
    </row>
    <row r="1330" spans="1:11" x14ac:dyDescent="0.3">
      <c r="A1330" s="32">
        <f t="shared" si="75"/>
        <v>5</v>
      </c>
      <c r="B1330" s="33">
        <v>45980</v>
      </c>
      <c r="C1330" s="6" t="s">
        <v>117</v>
      </c>
      <c r="D1330" s="6">
        <v>25</v>
      </c>
      <c r="E1330" s="32">
        <f>DAY(TableAopCalendar[[#This Row],[Date]])</f>
        <v>19</v>
      </c>
      <c r="F1330" s="32">
        <f>IF(TableAopCalendar[[#This Row],[Day]]&lt;8,1,IF(TableAopCalendar[[#This Row],[Day]]&lt;15,2,IF(TableAopCalendar[[#This Row],[Day]]&lt;22,3,IF(TableAopCalendar[[#This Row],[Day]]&lt;29,4,IF(TableAopCalendar[[#This Row],[Day]]&lt;32,5)))))</f>
        <v>3</v>
      </c>
      <c r="G1330" s="32" t="str">
        <f t="shared" si="76"/>
        <v>Week 3</v>
      </c>
      <c r="H1330" s="32" t="str">
        <f t="shared" si="77"/>
        <v>November 25 Week 3</v>
      </c>
      <c r="I1330" s="32" t="str">
        <f>CONCATENATE(UPPER(TableAopCalendar[[#This Row],[Month]])," ",TableAopCalendar[[#This Row],[Year]])</f>
        <v>NOVEMBER 25</v>
      </c>
      <c r="J1330" s="7" t="s">
        <v>274</v>
      </c>
      <c r="K1330" s="32" t="str">
        <f>CONCATENATE(TableAopCalendar[[#This Row],[Month for Plan]]," ",TableAopCalendar[[#This Row],[Plan]])</f>
        <v>NOVEMBER 25 PLANNED</v>
      </c>
    </row>
    <row r="1331" spans="1:11" x14ac:dyDescent="0.3">
      <c r="A1331" s="32">
        <f t="shared" si="75"/>
        <v>6</v>
      </c>
      <c r="B1331" s="33">
        <v>45981</v>
      </c>
      <c r="C1331" s="6" t="s">
        <v>117</v>
      </c>
      <c r="D1331" s="6">
        <v>25</v>
      </c>
      <c r="E1331" s="32">
        <f>DAY(TableAopCalendar[[#This Row],[Date]])</f>
        <v>20</v>
      </c>
      <c r="F1331" s="32">
        <f>IF(TableAopCalendar[[#This Row],[Day]]&lt;8,1,IF(TableAopCalendar[[#This Row],[Day]]&lt;15,2,IF(TableAopCalendar[[#This Row],[Day]]&lt;22,3,IF(TableAopCalendar[[#This Row],[Day]]&lt;29,4,IF(TableAopCalendar[[#This Row],[Day]]&lt;32,5)))))</f>
        <v>3</v>
      </c>
      <c r="G1331" s="32" t="str">
        <f t="shared" si="76"/>
        <v>Week 3</v>
      </c>
      <c r="H1331" s="32" t="str">
        <f t="shared" si="77"/>
        <v>November 25 Week 3</v>
      </c>
      <c r="I1331" s="32" t="str">
        <f>CONCATENATE(UPPER(TableAopCalendar[[#This Row],[Month]])," ",TableAopCalendar[[#This Row],[Year]])</f>
        <v>NOVEMBER 25</v>
      </c>
      <c r="J1331" s="7" t="s">
        <v>274</v>
      </c>
      <c r="K1331" s="32" t="str">
        <f>CONCATENATE(TableAopCalendar[[#This Row],[Month for Plan]]," ",TableAopCalendar[[#This Row],[Plan]])</f>
        <v>NOVEMBER 25 PLANNED</v>
      </c>
    </row>
    <row r="1332" spans="1:11" x14ac:dyDescent="0.3">
      <c r="A1332" s="32">
        <f t="shared" si="75"/>
        <v>7</v>
      </c>
      <c r="B1332" s="33">
        <v>45982</v>
      </c>
      <c r="C1332" s="6" t="s">
        <v>117</v>
      </c>
      <c r="D1332" s="6">
        <v>25</v>
      </c>
      <c r="E1332" s="32">
        <f>DAY(TableAopCalendar[[#This Row],[Date]])</f>
        <v>21</v>
      </c>
      <c r="F1332" s="32">
        <f>IF(TableAopCalendar[[#This Row],[Day]]&lt;8,1,IF(TableAopCalendar[[#This Row],[Day]]&lt;15,2,IF(TableAopCalendar[[#This Row],[Day]]&lt;22,3,IF(TableAopCalendar[[#This Row],[Day]]&lt;29,4,IF(TableAopCalendar[[#This Row],[Day]]&lt;32,5)))))</f>
        <v>3</v>
      </c>
      <c r="G1332" s="32" t="str">
        <f t="shared" si="76"/>
        <v>Week 3</v>
      </c>
      <c r="H1332" s="32" t="str">
        <f t="shared" si="77"/>
        <v>November 25 Week 3</v>
      </c>
      <c r="I1332" s="32" t="str">
        <f>CONCATENATE(UPPER(TableAopCalendar[[#This Row],[Month]])," ",TableAopCalendar[[#This Row],[Year]])</f>
        <v>NOVEMBER 25</v>
      </c>
      <c r="J1332" s="7" t="s">
        <v>274</v>
      </c>
      <c r="K1332" s="32" t="str">
        <f>CONCATENATE(TableAopCalendar[[#This Row],[Month for Plan]]," ",TableAopCalendar[[#This Row],[Plan]])</f>
        <v>NOVEMBER 25 PLANNED</v>
      </c>
    </row>
    <row r="1333" spans="1:11" x14ac:dyDescent="0.3">
      <c r="A1333" s="32">
        <f t="shared" si="75"/>
        <v>1</v>
      </c>
      <c r="B1333" s="33">
        <v>45983</v>
      </c>
      <c r="C1333" s="6" t="s">
        <v>117</v>
      </c>
      <c r="D1333" s="6">
        <v>25</v>
      </c>
      <c r="E1333" s="32">
        <f>DAY(TableAopCalendar[[#This Row],[Date]])</f>
        <v>22</v>
      </c>
      <c r="F1333" s="32">
        <f>IF(TableAopCalendar[[#This Row],[Day]]&lt;8,1,IF(TableAopCalendar[[#This Row],[Day]]&lt;15,2,IF(TableAopCalendar[[#This Row],[Day]]&lt;22,3,IF(TableAopCalendar[[#This Row],[Day]]&lt;29,4,IF(TableAopCalendar[[#This Row],[Day]]&lt;32,5)))))</f>
        <v>4</v>
      </c>
      <c r="G1333" s="32" t="str">
        <f t="shared" si="76"/>
        <v>Week 4</v>
      </c>
      <c r="H1333" s="32" t="str">
        <f t="shared" si="77"/>
        <v>November 25 Week 4</v>
      </c>
      <c r="I1333" s="32" t="str">
        <f>CONCATENATE(UPPER(TableAopCalendar[[#This Row],[Month]])," ",TableAopCalendar[[#This Row],[Year]])</f>
        <v>NOVEMBER 25</v>
      </c>
      <c r="J1333" s="7" t="s">
        <v>274</v>
      </c>
      <c r="K1333" s="32" t="str">
        <f>CONCATENATE(TableAopCalendar[[#This Row],[Month for Plan]]," ",TableAopCalendar[[#This Row],[Plan]])</f>
        <v>NOVEMBER 25 PLANNED</v>
      </c>
    </row>
    <row r="1334" spans="1:11" x14ac:dyDescent="0.3">
      <c r="A1334" s="32">
        <f t="shared" si="75"/>
        <v>2</v>
      </c>
      <c r="B1334" s="33">
        <v>45984</v>
      </c>
      <c r="C1334" s="6" t="s">
        <v>117</v>
      </c>
      <c r="D1334" s="6">
        <v>25</v>
      </c>
      <c r="E1334" s="32">
        <f>DAY(TableAopCalendar[[#This Row],[Date]])</f>
        <v>23</v>
      </c>
      <c r="F1334" s="32">
        <f>IF(TableAopCalendar[[#This Row],[Day]]&lt;8,1,IF(TableAopCalendar[[#This Row],[Day]]&lt;15,2,IF(TableAopCalendar[[#This Row],[Day]]&lt;22,3,IF(TableAopCalendar[[#This Row],[Day]]&lt;29,4,IF(TableAopCalendar[[#This Row],[Day]]&lt;32,5)))))</f>
        <v>4</v>
      </c>
      <c r="G1334" s="32" t="str">
        <f t="shared" si="76"/>
        <v>Week 4</v>
      </c>
      <c r="H1334" s="32" t="str">
        <f t="shared" si="77"/>
        <v>November 25 Week 4</v>
      </c>
      <c r="I1334" s="32" t="str">
        <f>CONCATENATE(UPPER(TableAopCalendar[[#This Row],[Month]])," ",TableAopCalendar[[#This Row],[Year]])</f>
        <v>NOVEMBER 25</v>
      </c>
      <c r="J1334" s="7" t="s">
        <v>274</v>
      </c>
      <c r="K1334" s="32" t="str">
        <f>CONCATENATE(TableAopCalendar[[#This Row],[Month for Plan]]," ",TableAopCalendar[[#This Row],[Plan]])</f>
        <v>NOVEMBER 25 PLANNED</v>
      </c>
    </row>
    <row r="1335" spans="1:11" x14ac:dyDescent="0.3">
      <c r="A1335" s="32">
        <f t="shared" si="75"/>
        <v>3</v>
      </c>
      <c r="B1335" s="33">
        <v>45985</v>
      </c>
      <c r="C1335" s="6" t="s">
        <v>117</v>
      </c>
      <c r="D1335" s="6">
        <v>25</v>
      </c>
      <c r="E1335" s="32">
        <f>DAY(TableAopCalendar[[#This Row],[Date]])</f>
        <v>24</v>
      </c>
      <c r="F1335" s="32">
        <f>IF(TableAopCalendar[[#This Row],[Day]]&lt;8,1,IF(TableAopCalendar[[#This Row],[Day]]&lt;15,2,IF(TableAopCalendar[[#This Row],[Day]]&lt;22,3,IF(TableAopCalendar[[#This Row],[Day]]&lt;29,4,IF(TableAopCalendar[[#This Row],[Day]]&lt;32,5)))))</f>
        <v>4</v>
      </c>
      <c r="G1335" s="32" t="str">
        <f t="shared" si="76"/>
        <v>Week 4</v>
      </c>
      <c r="H1335" s="32" t="str">
        <f t="shared" si="77"/>
        <v>November 25 Week 4</v>
      </c>
      <c r="I1335" s="32" t="str">
        <f>CONCATENATE(UPPER(TableAopCalendar[[#This Row],[Month]])," ",TableAopCalendar[[#This Row],[Year]])</f>
        <v>NOVEMBER 25</v>
      </c>
      <c r="J1335" s="7" t="s">
        <v>274</v>
      </c>
      <c r="K1335" s="32" t="str">
        <f>CONCATENATE(TableAopCalendar[[#This Row],[Month for Plan]]," ",TableAopCalendar[[#This Row],[Plan]])</f>
        <v>NOVEMBER 25 PLANNED</v>
      </c>
    </row>
    <row r="1336" spans="1:11" x14ac:dyDescent="0.3">
      <c r="A1336" s="32">
        <f t="shared" si="75"/>
        <v>4</v>
      </c>
      <c r="B1336" s="33">
        <v>45986</v>
      </c>
      <c r="C1336" s="6" t="s">
        <v>117</v>
      </c>
      <c r="D1336" s="6">
        <v>25</v>
      </c>
      <c r="E1336" s="32">
        <f>DAY(TableAopCalendar[[#This Row],[Date]])</f>
        <v>25</v>
      </c>
      <c r="F1336" s="32">
        <f>IF(TableAopCalendar[[#This Row],[Day]]&lt;8,1,IF(TableAopCalendar[[#This Row],[Day]]&lt;15,2,IF(TableAopCalendar[[#This Row],[Day]]&lt;22,3,IF(TableAopCalendar[[#This Row],[Day]]&lt;29,4,IF(TableAopCalendar[[#This Row],[Day]]&lt;32,5)))))</f>
        <v>4</v>
      </c>
      <c r="G1336" s="32" t="str">
        <f t="shared" si="76"/>
        <v>Week 4</v>
      </c>
      <c r="H1336" s="32" t="str">
        <f t="shared" si="77"/>
        <v>November 25 Week 4</v>
      </c>
      <c r="I1336" s="32" t="str">
        <f>CONCATENATE(UPPER(TableAopCalendar[[#This Row],[Month]])," ",TableAopCalendar[[#This Row],[Year]])</f>
        <v>NOVEMBER 25</v>
      </c>
      <c r="J1336" s="7" t="s">
        <v>274</v>
      </c>
      <c r="K1336" s="32" t="str">
        <f>CONCATENATE(TableAopCalendar[[#This Row],[Month for Plan]]," ",TableAopCalendar[[#This Row],[Plan]])</f>
        <v>NOVEMBER 25 PLANNED</v>
      </c>
    </row>
    <row r="1337" spans="1:11" x14ac:dyDescent="0.3">
      <c r="A1337" s="32">
        <f t="shared" si="75"/>
        <v>5</v>
      </c>
      <c r="B1337" s="33">
        <v>45987</v>
      </c>
      <c r="C1337" s="6" t="s">
        <v>117</v>
      </c>
      <c r="D1337" s="6">
        <v>25</v>
      </c>
      <c r="E1337" s="32">
        <f>DAY(TableAopCalendar[[#This Row],[Date]])</f>
        <v>26</v>
      </c>
      <c r="F1337" s="32">
        <f>IF(TableAopCalendar[[#This Row],[Day]]&lt;8,1,IF(TableAopCalendar[[#This Row],[Day]]&lt;15,2,IF(TableAopCalendar[[#This Row],[Day]]&lt;22,3,IF(TableAopCalendar[[#This Row],[Day]]&lt;29,4,IF(TableAopCalendar[[#This Row],[Day]]&lt;32,5)))))</f>
        <v>4</v>
      </c>
      <c r="G1337" s="32" t="str">
        <f t="shared" si="76"/>
        <v>Week 4</v>
      </c>
      <c r="H1337" s="32" t="str">
        <f t="shared" si="77"/>
        <v>November 25 Week 4</v>
      </c>
      <c r="I1337" s="32" t="str">
        <f>CONCATENATE(UPPER(TableAopCalendar[[#This Row],[Month]])," ",TableAopCalendar[[#This Row],[Year]])</f>
        <v>NOVEMBER 25</v>
      </c>
      <c r="J1337" s="7" t="s">
        <v>274</v>
      </c>
      <c r="K1337" s="32" t="str">
        <f>CONCATENATE(TableAopCalendar[[#This Row],[Month for Plan]]," ",TableAopCalendar[[#This Row],[Plan]])</f>
        <v>NOVEMBER 25 PLANNED</v>
      </c>
    </row>
    <row r="1338" spans="1:11" x14ac:dyDescent="0.3">
      <c r="A1338" s="32">
        <f t="shared" si="75"/>
        <v>6</v>
      </c>
      <c r="B1338" s="33">
        <v>45988</v>
      </c>
      <c r="C1338" s="6" t="s">
        <v>117</v>
      </c>
      <c r="D1338" s="6">
        <v>25</v>
      </c>
      <c r="E1338" s="32">
        <f>DAY(TableAopCalendar[[#This Row],[Date]])</f>
        <v>27</v>
      </c>
      <c r="F1338" s="32">
        <f>IF(TableAopCalendar[[#This Row],[Day]]&lt;8,1,IF(TableAopCalendar[[#This Row],[Day]]&lt;15,2,IF(TableAopCalendar[[#This Row],[Day]]&lt;22,3,IF(TableAopCalendar[[#This Row],[Day]]&lt;29,4,IF(TableAopCalendar[[#This Row],[Day]]&lt;32,5)))))</f>
        <v>4</v>
      </c>
      <c r="G1338" s="32" t="str">
        <f t="shared" si="76"/>
        <v>Week 4</v>
      </c>
      <c r="H1338" s="32" t="str">
        <f t="shared" si="77"/>
        <v>November 25 Week 4</v>
      </c>
      <c r="I1338" s="32" t="str">
        <f>CONCATENATE(UPPER(TableAopCalendar[[#This Row],[Month]])," ",TableAopCalendar[[#This Row],[Year]])</f>
        <v>NOVEMBER 25</v>
      </c>
      <c r="J1338" s="7" t="s">
        <v>274</v>
      </c>
      <c r="K1338" s="32" t="str">
        <f>CONCATENATE(TableAopCalendar[[#This Row],[Month for Plan]]," ",TableAopCalendar[[#This Row],[Plan]])</f>
        <v>NOVEMBER 25 PLANNED</v>
      </c>
    </row>
    <row r="1339" spans="1:11" x14ac:dyDescent="0.3">
      <c r="A1339" s="32">
        <f t="shared" si="75"/>
        <v>7</v>
      </c>
      <c r="B1339" s="33">
        <v>45989</v>
      </c>
      <c r="C1339" s="6" t="s">
        <v>117</v>
      </c>
      <c r="D1339" s="6">
        <v>25</v>
      </c>
      <c r="E1339" s="32">
        <f>DAY(TableAopCalendar[[#This Row],[Date]])</f>
        <v>28</v>
      </c>
      <c r="F1339" s="32">
        <f>IF(TableAopCalendar[[#This Row],[Day]]&lt;8,1,IF(TableAopCalendar[[#This Row],[Day]]&lt;15,2,IF(TableAopCalendar[[#This Row],[Day]]&lt;22,3,IF(TableAopCalendar[[#This Row],[Day]]&lt;29,4,IF(TableAopCalendar[[#This Row],[Day]]&lt;32,5)))))</f>
        <v>4</v>
      </c>
      <c r="G1339" s="32" t="str">
        <f t="shared" si="76"/>
        <v>Week 4</v>
      </c>
      <c r="H1339" s="32" t="str">
        <f t="shared" si="77"/>
        <v>November 25 Week 4</v>
      </c>
      <c r="I1339" s="32" t="str">
        <f>CONCATENATE(UPPER(TableAopCalendar[[#This Row],[Month]])," ",TableAopCalendar[[#This Row],[Year]])</f>
        <v>NOVEMBER 25</v>
      </c>
      <c r="J1339" s="7" t="s">
        <v>274</v>
      </c>
      <c r="K1339" s="32" t="str">
        <f>CONCATENATE(TableAopCalendar[[#This Row],[Month for Plan]]," ",TableAopCalendar[[#This Row],[Plan]])</f>
        <v>NOVEMBER 25 PLANNED</v>
      </c>
    </row>
    <row r="1340" spans="1:11" x14ac:dyDescent="0.3">
      <c r="A1340" s="32">
        <f t="shared" si="75"/>
        <v>1</v>
      </c>
      <c r="B1340" s="33">
        <v>45990</v>
      </c>
      <c r="C1340" s="6" t="s">
        <v>117</v>
      </c>
      <c r="D1340" s="6">
        <v>25</v>
      </c>
      <c r="E1340" s="32">
        <f>DAY(TableAopCalendar[[#This Row],[Date]])</f>
        <v>29</v>
      </c>
      <c r="F1340" s="32">
        <f>IF(TableAopCalendar[[#This Row],[Day]]&lt;8,1,IF(TableAopCalendar[[#This Row],[Day]]&lt;15,2,IF(TableAopCalendar[[#This Row],[Day]]&lt;22,3,IF(TableAopCalendar[[#This Row],[Day]]&lt;29,4,IF(TableAopCalendar[[#This Row],[Day]]&lt;32,5)))))</f>
        <v>5</v>
      </c>
      <c r="G1340" s="32" t="str">
        <f t="shared" si="76"/>
        <v>Week 5</v>
      </c>
      <c r="H1340" s="32" t="str">
        <f t="shared" si="77"/>
        <v>November 25 Week 5</v>
      </c>
      <c r="I1340" s="32" t="str">
        <f>CONCATENATE(UPPER(TableAopCalendar[[#This Row],[Month]])," ",TableAopCalendar[[#This Row],[Year]])</f>
        <v>NOVEMBER 25</v>
      </c>
      <c r="J1340" s="7" t="s">
        <v>274</v>
      </c>
      <c r="K1340" s="32" t="str">
        <f>CONCATENATE(TableAopCalendar[[#This Row],[Month for Plan]]," ",TableAopCalendar[[#This Row],[Plan]])</f>
        <v>NOVEMBER 25 PLANNED</v>
      </c>
    </row>
    <row r="1341" spans="1:11" x14ac:dyDescent="0.3">
      <c r="A1341" s="32">
        <f t="shared" si="75"/>
        <v>2</v>
      </c>
      <c r="B1341" s="33">
        <v>45991</v>
      </c>
      <c r="C1341" s="6" t="s">
        <v>117</v>
      </c>
      <c r="D1341" s="6">
        <v>25</v>
      </c>
      <c r="E1341" s="32">
        <f>DAY(TableAopCalendar[[#This Row],[Date]])</f>
        <v>30</v>
      </c>
      <c r="F1341" s="32">
        <f>IF(TableAopCalendar[[#This Row],[Day]]&lt;8,1,IF(TableAopCalendar[[#This Row],[Day]]&lt;15,2,IF(TableAopCalendar[[#This Row],[Day]]&lt;22,3,IF(TableAopCalendar[[#This Row],[Day]]&lt;29,4,IF(TableAopCalendar[[#This Row],[Day]]&lt;32,5)))))</f>
        <v>5</v>
      </c>
      <c r="G1341" s="32" t="str">
        <f t="shared" si="76"/>
        <v>Week 5</v>
      </c>
      <c r="H1341" s="32" t="str">
        <f t="shared" si="77"/>
        <v>November 25 Week 5</v>
      </c>
      <c r="I1341" s="32" t="str">
        <f>CONCATENATE(UPPER(TableAopCalendar[[#This Row],[Month]])," ",TableAopCalendar[[#This Row],[Year]])</f>
        <v>NOVEMBER 25</v>
      </c>
      <c r="J1341" s="7" t="s">
        <v>274</v>
      </c>
      <c r="K1341" s="32" t="str">
        <f>CONCATENATE(TableAopCalendar[[#This Row],[Month for Plan]]," ",TableAopCalendar[[#This Row],[Plan]])</f>
        <v>NOVEMBER 25 PLANNED</v>
      </c>
    </row>
    <row r="1342" spans="1:11" x14ac:dyDescent="0.3">
      <c r="A1342" s="32">
        <f t="shared" si="75"/>
        <v>1</v>
      </c>
      <c r="B1342" s="33">
        <v>45992</v>
      </c>
      <c r="C1342" s="6" t="s">
        <v>270</v>
      </c>
      <c r="D1342" s="6">
        <v>25</v>
      </c>
      <c r="E1342" s="32">
        <f>DAY(TableAopCalendar[[#This Row],[Date]])</f>
        <v>1</v>
      </c>
      <c r="F1342" s="32">
        <f>IF(TableAopCalendar[[#This Row],[Day]]&lt;8,1,IF(TableAopCalendar[[#This Row],[Day]]&lt;15,2,IF(TableAopCalendar[[#This Row],[Day]]&lt;22,3,IF(TableAopCalendar[[#This Row],[Day]]&lt;29,4,IF(TableAopCalendar[[#This Row],[Day]]&lt;32,5)))))</f>
        <v>1</v>
      </c>
      <c r="G1342" s="32" t="str">
        <f t="shared" si="76"/>
        <v>Week 1</v>
      </c>
      <c r="H1342" s="32" t="str">
        <f t="shared" si="77"/>
        <v>December 25 Week 1</v>
      </c>
      <c r="I1342" s="32" t="str">
        <f>CONCATENATE(UPPER(TableAopCalendar[[#This Row],[Month]])," ",TableAopCalendar[[#This Row],[Year]])</f>
        <v>DECEMBER 25</v>
      </c>
      <c r="J1342" s="7" t="s">
        <v>274</v>
      </c>
      <c r="K1342" s="32" t="str">
        <f>CONCATENATE(TableAopCalendar[[#This Row],[Month for Plan]]," ",TableAopCalendar[[#This Row],[Plan]])</f>
        <v>DECEMBER 25 PLANNED</v>
      </c>
    </row>
    <row r="1343" spans="1:11" x14ac:dyDescent="0.3">
      <c r="A1343" s="32">
        <f t="shared" si="75"/>
        <v>2</v>
      </c>
      <c r="B1343" s="33">
        <v>45993</v>
      </c>
      <c r="C1343" s="6" t="s">
        <v>270</v>
      </c>
      <c r="D1343" s="6">
        <v>25</v>
      </c>
      <c r="E1343" s="32">
        <f>DAY(TableAopCalendar[[#This Row],[Date]])</f>
        <v>2</v>
      </c>
      <c r="F1343" s="32">
        <f>IF(TableAopCalendar[[#This Row],[Day]]&lt;8,1,IF(TableAopCalendar[[#This Row],[Day]]&lt;15,2,IF(TableAopCalendar[[#This Row],[Day]]&lt;22,3,IF(TableAopCalendar[[#This Row],[Day]]&lt;29,4,IF(TableAopCalendar[[#This Row],[Day]]&lt;32,5)))))</f>
        <v>1</v>
      </c>
      <c r="G1343" s="32" t="str">
        <f t="shared" si="76"/>
        <v>Week 1</v>
      </c>
      <c r="H1343" s="32" t="str">
        <f t="shared" si="77"/>
        <v>December 25 Week 1</v>
      </c>
      <c r="I1343" s="32" t="str">
        <f>CONCATENATE(UPPER(TableAopCalendar[[#This Row],[Month]])," ",TableAopCalendar[[#This Row],[Year]])</f>
        <v>DECEMBER 25</v>
      </c>
      <c r="J1343" s="7" t="s">
        <v>274</v>
      </c>
      <c r="K1343" s="32" t="str">
        <f>CONCATENATE(TableAopCalendar[[#This Row],[Month for Plan]]," ",TableAopCalendar[[#This Row],[Plan]])</f>
        <v>DECEMBER 25 PLANNED</v>
      </c>
    </row>
    <row r="1344" spans="1:11" x14ac:dyDescent="0.3">
      <c r="A1344" s="32">
        <f t="shared" si="75"/>
        <v>3</v>
      </c>
      <c r="B1344" s="33">
        <v>45994</v>
      </c>
      <c r="C1344" s="6" t="s">
        <v>270</v>
      </c>
      <c r="D1344" s="6">
        <v>25</v>
      </c>
      <c r="E1344" s="32">
        <f>DAY(TableAopCalendar[[#This Row],[Date]])</f>
        <v>3</v>
      </c>
      <c r="F1344" s="32">
        <f>IF(TableAopCalendar[[#This Row],[Day]]&lt;8,1,IF(TableAopCalendar[[#This Row],[Day]]&lt;15,2,IF(TableAopCalendar[[#This Row],[Day]]&lt;22,3,IF(TableAopCalendar[[#This Row],[Day]]&lt;29,4,IF(TableAopCalendar[[#This Row],[Day]]&lt;32,5)))))</f>
        <v>1</v>
      </c>
      <c r="G1344" s="32" t="str">
        <f t="shared" si="76"/>
        <v>Week 1</v>
      </c>
      <c r="H1344" s="32" t="str">
        <f t="shared" si="77"/>
        <v>December 25 Week 1</v>
      </c>
      <c r="I1344" s="32" t="str">
        <f>CONCATENATE(UPPER(TableAopCalendar[[#This Row],[Month]])," ",TableAopCalendar[[#This Row],[Year]])</f>
        <v>DECEMBER 25</v>
      </c>
      <c r="J1344" s="7" t="s">
        <v>274</v>
      </c>
      <c r="K1344" s="32" t="str">
        <f>CONCATENATE(TableAopCalendar[[#This Row],[Month for Plan]]," ",TableAopCalendar[[#This Row],[Plan]])</f>
        <v>DECEMBER 25 PLANNED</v>
      </c>
    </row>
    <row r="1345" spans="1:11" x14ac:dyDescent="0.3">
      <c r="A1345" s="32">
        <f t="shared" si="75"/>
        <v>4</v>
      </c>
      <c r="B1345" s="33">
        <v>45995</v>
      </c>
      <c r="C1345" s="6" t="s">
        <v>270</v>
      </c>
      <c r="D1345" s="6">
        <v>25</v>
      </c>
      <c r="E1345" s="32">
        <f>DAY(TableAopCalendar[[#This Row],[Date]])</f>
        <v>4</v>
      </c>
      <c r="F1345" s="32">
        <f>IF(TableAopCalendar[[#This Row],[Day]]&lt;8,1,IF(TableAopCalendar[[#This Row],[Day]]&lt;15,2,IF(TableAopCalendar[[#This Row],[Day]]&lt;22,3,IF(TableAopCalendar[[#This Row],[Day]]&lt;29,4,IF(TableAopCalendar[[#This Row],[Day]]&lt;32,5)))))</f>
        <v>1</v>
      </c>
      <c r="G1345" s="32" t="str">
        <f t="shared" si="76"/>
        <v>Week 1</v>
      </c>
      <c r="H1345" s="32" t="str">
        <f t="shared" si="77"/>
        <v>December 25 Week 1</v>
      </c>
      <c r="I1345" s="32" t="str">
        <f>CONCATENATE(UPPER(TableAopCalendar[[#This Row],[Month]])," ",TableAopCalendar[[#This Row],[Year]])</f>
        <v>DECEMBER 25</v>
      </c>
      <c r="J1345" s="7" t="s">
        <v>274</v>
      </c>
      <c r="K1345" s="32" t="str">
        <f>CONCATENATE(TableAopCalendar[[#This Row],[Month for Plan]]," ",TableAopCalendar[[#This Row],[Plan]])</f>
        <v>DECEMBER 25 PLANNED</v>
      </c>
    </row>
    <row r="1346" spans="1:11" x14ac:dyDescent="0.3">
      <c r="A1346" s="32">
        <f t="shared" si="75"/>
        <v>5</v>
      </c>
      <c r="B1346" s="33">
        <v>45996</v>
      </c>
      <c r="C1346" s="6" t="s">
        <v>270</v>
      </c>
      <c r="D1346" s="6">
        <v>25</v>
      </c>
      <c r="E1346" s="32">
        <f>DAY(TableAopCalendar[[#This Row],[Date]])</f>
        <v>5</v>
      </c>
      <c r="F1346" s="32">
        <f>IF(TableAopCalendar[[#This Row],[Day]]&lt;8,1,IF(TableAopCalendar[[#This Row],[Day]]&lt;15,2,IF(TableAopCalendar[[#This Row],[Day]]&lt;22,3,IF(TableAopCalendar[[#This Row],[Day]]&lt;29,4,IF(TableAopCalendar[[#This Row],[Day]]&lt;32,5)))))</f>
        <v>1</v>
      </c>
      <c r="G1346" s="32" t="str">
        <f t="shared" si="76"/>
        <v>Week 1</v>
      </c>
      <c r="H1346" s="32" t="str">
        <f t="shared" si="77"/>
        <v>December 25 Week 1</v>
      </c>
      <c r="I1346" s="32" t="str">
        <f>CONCATENATE(UPPER(TableAopCalendar[[#This Row],[Month]])," ",TableAopCalendar[[#This Row],[Year]])</f>
        <v>DECEMBER 25</v>
      </c>
      <c r="J1346" s="7" t="s">
        <v>274</v>
      </c>
      <c r="K1346" s="32" t="str">
        <f>CONCATENATE(TableAopCalendar[[#This Row],[Month for Plan]]," ",TableAopCalendar[[#This Row],[Plan]])</f>
        <v>DECEMBER 25 PLANNED</v>
      </c>
    </row>
    <row r="1347" spans="1:11" x14ac:dyDescent="0.3">
      <c r="A1347" s="32">
        <f t="shared" si="75"/>
        <v>6</v>
      </c>
      <c r="B1347" s="33">
        <v>45997</v>
      </c>
      <c r="C1347" s="6" t="s">
        <v>270</v>
      </c>
      <c r="D1347" s="6">
        <v>25</v>
      </c>
      <c r="E1347" s="32">
        <f>DAY(TableAopCalendar[[#This Row],[Date]])</f>
        <v>6</v>
      </c>
      <c r="F1347" s="32">
        <f>IF(TableAopCalendar[[#This Row],[Day]]&lt;8,1,IF(TableAopCalendar[[#This Row],[Day]]&lt;15,2,IF(TableAopCalendar[[#This Row],[Day]]&lt;22,3,IF(TableAopCalendar[[#This Row],[Day]]&lt;29,4,IF(TableAopCalendar[[#This Row],[Day]]&lt;32,5)))))</f>
        <v>1</v>
      </c>
      <c r="G1347" s="32" t="str">
        <f t="shared" si="76"/>
        <v>Week 1</v>
      </c>
      <c r="H1347" s="32" t="str">
        <f t="shared" si="77"/>
        <v>December 25 Week 1</v>
      </c>
      <c r="I1347" s="32" t="str">
        <f>CONCATENATE(UPPER(TableAopCalendar[[#This Row],[Month]])," ",TableAopCalendar[[#This Row],[Year]])</f>
        <v>DECEMBER 25</v>
      </c>
      <c r="J1347" s="7" t="s">
        <v>274</v>
      </c>
      <c r="K1347" s="32" t="str">
        <f>CONCATENATE(TableAopCalendar[[#This Row],[Month for Plan]]," ",TableAopCalendar[[#This Row],[Plan]])</f>
        <v>DECEMBER 25 PLANNED</v>
      </c>
    </row>
    <row r="1348" spans="1:11" x14ac:dyDescent="0.3">
      <c r="A1348" s="32">
        <f t="shared" si="75"/>
        <v>7</v>
      </c>
      <c r="B1348" s="33">
        <v>45998</v>
      </c>
      <c r="C1348" s="6" t="s">
        <v>270</v>
      </c>
      <c r="D1348" s="6">
        <v>25</v>
      </c>
      <c r="E1348" s="32">
        <f>DAY(TableAopCalendar[[#This Row],[Date]])</f>
        <v>7</v>
      </c>
      <c r="F1348" s="32">
        <f>IF(TableAopCalendar[[#This Row],[Day]]&lt;8,1,IF(TableAopCalendar[[#This Row],[Day]]&lt;15,2,IF(TableAopCalendar[[#This Row],[Day]]&lt;22,3,IF(TableAopCalendar[[#This Row],[Day]]&lt;29,4,IF(TableAopCalendar[[#This Row],[Day]]&lt;32,5)))))</f>
        <v>1</v>
      </c>
      <c r="G1348" s="32" t="str">
        <f t="shared" si="76"/>
        <v>Week 1</v>
      </c>
      <c r="H1348" s="32" t="str">
        <f t="shared" si="77"/>
        <v>December 25 Week 1</v>
      </c>
      <c r="I1348" s="32" t="str">
        <f>CONCATENATE(UPPER(TableAopCalendar[[#This Row],[Month]])," ",TableAopCalendar[[#This Row],[Year]])</f>
        <v>DECEMBER 25</v>
      </c>
      <c r="J1348" s="7" t="s">
        <v>274</v>
      </c>
      <c r="K1348" s="32" t="str">
        <f>CONCATENATE(TableAopCalendar[[#This Row],[Month for Plan]]," ",TableAopCalendar[[#This Row],[Plan]])</f>
        <v>DECEMBER 25 PLANNED</v>
      </c>
    </row>
    <row r="1349" spans="1:11" x14ac:dyDescent="0.3">
      <c r="A1349" s="32">
        <f t="shared" si="75"/>
        <v>1</v>
      </c>
      <c r="B1349" s="33">
        <v>45999</v>
      </c>
      <c r="C1349" s="6" t="s">
        <v>270</v>
      </c>
      <c r="D1349" s="6">
        <v>25</v>
      </c>
      <c r="E1349" s="32">
        <f>DAY(TableAopCalendar[[#This Row],[Date]])</f>
        <v>8</v>
      </c>
      <c r="F1349" s="32">
        <f>IF(TableAopCalendar[[#This Row],[Day]]&lt;8,1,IF(TableAopCalendar[[#This Row],[Day]]&lt;15,2,IF(TableAopCalendar[[#This Row],[Day]]&lt;22,3,IF(TableAopCalendar[[#This Row],[Day]]&lt;29,4,IF(TableAopCalendar[[#This Row],[Day]]&lt;32,5)))))</f>
        <v>2</v>
      </c>
      <c r="G1349" s="32" t="str">
        <f t="shared" si="76"/>
        <v>Week 2</v>
      </c>
      <c r="H1349" s="32" t="str">
        <f t="shared" si="77"/>
        <v>December 25 Week 2</v>
      </c>
      <c r="I1349" s="32" t="str">
        <f>CONCATENATE(UPPER(TableAopCalendar[[#This Row],[Month]])," ",TableAopCalendar[[#This Row],[Year]])</f>
        <v>DECEMBER 25</v>
      </c>
      <c r="J1349" s="7" t="s">
        <v>274</v>
      </c>
      <c r="K1349" s="32" t="str">
        <f>CONCATENATE(TableAopCalendar[[#This Row],[Month for Plan]]," ",TableAopCalendar[[#This Row],[Plan]])</f>
        <v>DECEMBER 25 PLANNED</v>
      </c>
    </row>
    <row r="1350" spans="1:11" x14ac:dyDescent="0.3">
      <c r="A1350" s="32">
        <f t="shared" si="75"/>
        <v>2</v>
      </c>
      <c r="B1350" s="33">
        <v>46000</v>
      </c>
      <c r="C1350" s="6" t="s">
        <v>270</v>
      </c>
      <c r="D1350" s="6">
        <v>25</v>
      </c>
      <c r="E1350" s="32">
        <f>DAY(TableAopCalendar[[#This Row],[Date]])</f>
        <v>9</v>
      </c>
      <c r="F1350" s="32">
        <f>IF(TableAopCalendar[[#This Row],[Day]]&lt;8,1,IF(TableAopCalendar[[#This Row],[Day]]&lt;15,2,IF(TableAopCalendar[[#This Row],[Day]]&lt;22,3,IF(TableAopCalendar[[#This Row],[Day]]&lt;29,4,IF(TableAopCalendar[[#This Row],[Day]]&lt;32,5)))))</f>
        <v>2</v>
      </c>
      <c r="G1350" s="32" t="str">
        <f t="shared" si="76"/>
        <v>Week 2</v>
      </c>
      <c r="H1350" s="32" t="str">
        <f t="shared" si="77"/>
        <v>December 25 Week 2</v>
      </c>
      <c r="I1350" s="32" t="str">
        <f>CONCATENATE(UPPER(TableAopCalendar[[#This Row],[Month]])," ",TableAopCalendar[[#This Row],[Year]])</f>
        <v>DECEMBER 25</v>
      </c>
      <c r="J1350" s="7" t="s">
        <v>274</v>
      </c>
      <c r="K1350" s="32" t="str">
        <f>CONCATENATE(TableAopCalendar[[#This Row],[Month for Plan]]," ",TableAopCalendar[[#This Row],[Plan]])</f>
        <v>DECEMBER 25 PLANNED</v>
      </c>
    </row>
    <row r="1351" spans="1:11" x14ac:dyDescent="0.3">
      <c r="A1351" s="32">
        <f t="shared" si="75"/>
        <v>3</v>
      </c>
      <c r="B1351" s="33">
        <v>46001</v>
      </c>
      <c r="C1351" s="6" t="s">
        <v>270</v>
      </c>
      <c r="D1351" s="6">
        <v>25</v>
      </c>
      <c r="E1351" s="32">
        <f>DAY(TableAopCalendar[[#This Row],[Date]])</f>
        <v>10</v>
      </c>
      <c r="F1351" s="32">
        <f>IF(TableAopCalendar[[#This Row],[Day]]&lt;8,1,IF(TableAopCalendar[[#This Row],[Day]]&lt;15,2,IF(TableAopCalendar[[#This Row],[Day]]&lt;22,3,IF(TableAopCalendar[[#This Row],[Day]]&lt;29,4,IF(TableAopCalendar[[#This Row],[Day]]&lt;32,5)))))</f>
        <v>2</v>
      </c>
      <c r="G1351" s="32" t="str">
        <f t="shared" si="76"/>
        <v>Week 2</v>
      </c>
      <c r="H1351" s="32" t="str">
        <f t="shared" si="77"/>
        <v>December 25 Week 2</v>
      </c>
      <c r="I1351" s="32" t="str">
        <f>CONCATENATE(UPPER(TableAopCalendar[[#This Row],[Month]])," ",TableAopCalendar[[#This Row],[Year]])</f>
        <v>DECEMBER 25</v>
      </c>
      <c r="J1351" s="7" t="s">
        <v>274</v>
      </c>
      <c r="K1351" s="32" t="str">
        <f>CONCATENATE(TableAopCalendar[[#This Row],[Month for Plan]]," ",TableAopCalendar[[#This Row],[Plan]])</f>
        <v>DECEMBER 25 PLANNED</v>
      </c>
    </row>
    <row r="1352" spans="1:11" x14ac:dyDescent="0.3">
      <c r="A1352" s="32">
        <f t="shared" si="75"/>
        <v>4</v>
      </c>
      <c r="B1352" s="33">
        <v>46002</v>
      </c>
      <c r="C1352" s="6" t="s">
        <v>270</v>
      </c>
      <c r="D1352" s="6">
        <v>25</v>
      </c>
      <c r="E1352" s="32">
        <f>DAY(TableAopCalendar[[#This Row],[Date]])</f>
        <v>11</v>
      </c>
      <c r="F1352" s="32">
        <f>IF(TableAopCalendar[[#This Row],[Day]]&lt;8,1,IF(TableAopCalendar[[#This Row],[Day]]&lt;15,2,IF(TableAopCalendar[[#This Row],[Day]]&lt;22,3,IF(TableAopCalendar[[#This Row],[Day]]&lt;29,4,IF(TableAopCalendar[[#This Row],[Day]]&lt;32,5)))))</f>
        <v>2</v>
      </c>
      <c r="G1352" s="32" t="str">
        <f t="shared" si="76"/>
        <v>Week 2</v>
      </c>
      <c r="H1352" s="32" t="str">
        <f t="shared" si="77"/>
        <v>December 25 Week 2</v>
      </c>
      <c r="I1352" s="32" t="str">
        <f>CONCATENATE(UPPER(TableAopCalendar[[#This Row],[Month]])," ",TableAopCalendar[[#This Row],[Year]])</f>
        <v>DECEMBER 25</v>
      </c>
      <c r="J1352" s="7" t="s">
        <v>274</v>
      </c>
      <c r="K1352" s="32" t="str">
        <f>CONCATENATE(TableAopCalendar[[#This Row],[Month for Plan]]," ",TableAopCalendar[[#This Row],[Plan]])</f>
        <v>DECEMBER 25 PLANNED</v>
      </c>
    </row>
    <row r="1353" spans="1:11" x14ac:dyDescent="0.3">
      <c r="A1353" s="32">
        <f t="shared" si="75"/>
        <v>5</v>
      </c>
      <c r="B1353" s="33">
        <v>46003</v>
      </c>
      <c r="C1353" s="6" t="s">
        <v>270</v>
      </c>
      <c r="D1353" s="6">
        <v>25</v>
      </c>
      <c r="E1353" s="32">
        <f>DAY(TableAopCalendar[[#This Row],[Date]])</f>
        <v>12</v>
      </c>
      <c r="F1353" s="32">
        <f>IF(TableAopCalendar[[#This Row],[Day]]&lt;8,1,IF(TableAopCalendar[[#This Row],[Day]]&lt;15,2,IF(TableAopCalendar[[#This Row],[Day]]&lt;22,3,IF(TableAopCalendar[[#This Row],[Day]]&lt;29,4,IF(TableAopCalendar[[#This Row],[Day]]&lt;32,5)))))</f>
        <v>2</v>
      </c>
      <c r="G1353" s="32" t="str">
        <f t="shared" si="76"/>
        <v>Week 2</v>
      </c>
      <c r="H1353" s="32" t="str">
        <f t="shared" si="77"/>
        <v>December 25 Week 2</v>
      </c>
      <c r="I1353" s="32" t="str">
        <f>CONCATENATE(UPPER(TableAopCalendar[[#This Row],[Month]])," ",TableAopCalendar[[#This Row],[Year]])</f>
        <v>DECEMBER 25</v>
      </c>
      <c r="J1353" s="7" t="s">
        <v>274</v>
      </c>
      <c r="K1353" s="32" t="str">
        <f>CONCATENATE(TableAopCalendar[[#This Row],[Month for Plan]]," ",TableAopCalendar[[#This Row],[Plan]])</f>
        <v>DECEMBER 25 PLANNED</v>
      </c>
    </row>
    <row r="1354" spans="1:11" x14ac:dyDescent="0.3">
      <c r="A1354" s="32">
        <f t="shared" si="75"/>
        <v>6</v>
      </c>
      <c r="B1354" s="33">
        <v>46004</v>
      </c>
      <c r="C1354" s="6" t="s">
        <v>270</v>
      </c>
      <c r="D1354" s="6">
        <v>25</v>
      </c>
      <c r="E1354" s="32">
        <f>DAY(TableAopCalendar[[#This Row],[Date]])</f>
        <v>13</v>
      </c>
      <c r="F1354" s="32">
        <f>IF(TableAopCalendar[[#This Row],[Day]]&lt;8,1,IF(TableAopCalendar[[#This Row],[Day]]&lt;15,2,IF(TableAopCalendar[[#This Row],[Day]]&lt;22,3,IF(TableAopCalendar[[#This Row],[Day]]&lt;29,4,IF(TableAopCalendar[[#This Row],[Day]]&lt;32,5)))))</f>
        <v>2</v>
      </c>
      <c r="G1354" s="32" t="str">
        <f t="shared" si="76"/>
        <v>Week 2</v>
      </c>
      <c r="H1354" s="32" t="str">
        <f t="shared" si="77"/>
        <v>December 25 Week 2</v>
      </c>
      <c r="I1354" s="32" t="str">
        <f>CONCATENATE(UPPER(TableAopCalendar[[#This Row],[Month]])," ",TableAopCalendar[[#This Row],[Year]])</f>
        <v>DECEMBER 25</v>
      </c>
      <c r="J1354" s="7" t="s">
        <v>274</v>
      </c>
      <c r="K1354" s="32" t="str">
        <f>CONCATENATE(TableAopCalendar[[#This Row],[Month for Plan]]," ",TableAopCalendar[[#This Row],[Plan]])</f>
        <v>DECEMBER 25 PLANNED</v>
      </c>
    </row>
    <row r="1355" spans="1:11" x14ac:dyDescent="0.3">
      <c r="A1355" s="32">
        <f t="shared" ref="A1355:A1418" si="78">IF(G1355=G1354,A1354+1,1)</f>
        <v>7</v>
      </c>
      <c r="B1355" s="33">
        <v>46005</v>
      </c>
      <c r="C1355" s="6" t="s">
        <v>270</v>
      </c>
      <c r="D1355" s="6">
        <v>25</v>
      </c>
      <c r="E1355" s="32">
        <f>DAY(TableAopCalendar[[#This Row],[Date]])</f>
        <v>14</v>
      </c>
      <c r="F1355" s="32">
        <f>IF(TableAopCalendar[[#This Row],[Day]]&lt;8,1,IF(TableAopCalendar[[#This Row],[Day]]&lt;15,2,IF(TableAopCalendar[[#This Row],[Day]]&lt;22,3,IF(TableAopCalendar[[#This Row],[Day]]&lt;29,4,IF(TableAopCalendar[[#This Row],[Day]]&lt;32,5)))))</f>
        <v>2</v>
      </c>
      <c r="G1355" s="32" t="str">
        <f t="shared" ref="G1355:G1418" si="79">"Week"&amp;" "&amp;F1355</f>
        <v>Week 2</v>
      </c>
      <c r="H1355" s="32" t="str">
        <f t="shared" ref="H1355:H1418" si="80">CONCATENATE(C1355," ",D1355," ",G1355)</f>
        <v>December 25 Week 2</v>
      </c>
      <c r="I1355" s="32" t="str">
        <f>CONCATENATE(UPPER(TableAopCalendar[[#This Row],[Month]])," ",TableAopCalendar[[#This Row],[Year]])</f>
        <v>DECEMBER 25</v>
      </c>
      <c r="J1355" s="7" t="s">
        <v>274</v>
      </c>
      <c r="K1355" s="32" t="str">
        <f>CONCATENATE(TableAopCalendar[[#This Row],[Month for Plan]]," ",TableAopCalendar[[#This Row],[Plan]])</f>
        <v>DECEMBER 25 PLANNED</v>
      </c>
    </row>
    <row r="1356" spans="1:11" x14ac:dyDescent="0.3">
      <c r="A1356" s="32">
        <f t="shared" si="78"/>
        <v>1</v>
      </c>
      <c r="B1356" s="33">
        <v>46006</v>
      </c>
      <c r="C1356" s="6" t="s">
        <v>270</v>
      </c>
      <c r="D1356" s="6">
        <v>25</v>
      </c>
      <c r="E1356" s="32">
        <f>DAY(TableAopCalendar[[#This Row],[Date]])</f>
        <v>15</v>
      </c>
      <c r="F1356" s="32">
        <f>IF(TableAopCalendar[[#This Row],[Day]]&lt;8,1,IF(TableAopCalendar[[#This Row],[Day]]&lt;15,2,IF(TableAopCalendar[[#This Row],[Day]]&lt;22,3,IF(TableAopCalendar[[#This Row],[Day]]&lt;29,4,IF(TableAopCalendar[[#This Row],[Day]]&lt;32,5)))))</f>
        <v>3</v>
      </c>
      <c r="G1356" s="32" t="str">
        <f t="shared" si="79"/>
        <v>Week 3</v>
      </c>
      <c r="H1356" s="32" t="str">
        <f t="shared" si="80"/>
        <v>December 25 Week 3</v>
      </c>
      <c r="I1356" s="32" t="str">
        <f>CONCATENATE(UPPER(TableAopCalendar[[#This Row],[Month]])," ",TableAopCalendar[[#This Row],[Year]])</f>
        <v>DECEMBER 25</v>
      </c>
      <c r="J1356" s="7" t="s">
        <v>274</v>
      </c>
      <c r="K1356" s="32" t="str">
        <f>CONCATENATE(TableAopCalendar[[#This Row],[Month for Plan]]," ",TableAopCalendar[[#This Row],[Plan]])</f>
        <v>DECEMBER 25 PLANNED</v>
      </c>
    </row>
    <row r="1357" spans="1:11" x14ac:dyDescent="0.3">
      <c r="A1357" s="32">
        <f t="shared" si="78"/>
        <v>2</v>
      </c>
      <c r="B1357" s="33">
        <v>46007</v>
      </c>
      <c r="C1357" s="6" t="s">
        <v>270</v>
      </c>
      <c r="D1357" s="6">
        <v>25</v>
      </c>
      <c r="E1357" s="32">
        <f>DAY(TableAopCalendar[[#This Row],[Date]])</f>
        <v>16</v>
      </c>
      <c r="F1357" s="32">
        <f>IF(TableAopCalendar[[#This Row],[Day]]&lt;8,1,IF(TableAopCalendar[[#This Row],[Day]]&lt;15,2,IF(TableAopCalendar[[#This Row],[Day]]&lt;22,3,IF(TableAopCalendar[[#This Row],[Day]]&lt;29,4,IF(TableAopCalendar[[#This Row],[Day]]&lt;32,5)))))</f>
        <v>3</v>
      </c>
      <c r="G1357" s="32" t="str">
        <f t="shared" si="79"/>
        <v>Week 3</v>
      </c>
      <c r="H1357" s="32" t="str">
        <f t="shared" si="80"/>
        <v>December 25 Week 3</v>
      </c>
      <c r="I1357" s="32" t="str">
        <f>CONCATENATE(UPPER(TableAopCalendar[[#This Row],[Month]])," ",TableAopCalendar[[#This Row],[Year]])</f>
        <v>DECEMBER 25</v>
      </c>
      <c r="J1357" s="7" t="s">
        <v>274</v>
      </c>
      <c r="K1357" s="32" t="str">
        <f>CONCATENATE(TableAopCalendar[[#This Row],[Month for Plan]]," ",TableAopCalendar[[#This Row],[Plan]])</f>
        <v>DECEMBER 25 PLANNED</v>
      </c>
    </row>
    <row r="1358" spans="1:11" x14ac:dyDescent="0.3">
      <c r="A1358" s="32">
        <f t="shared" si="78"/>
        <v>3</v>
      </c>
      <c r="B1358" s="33">
        <v>46008</v>
      </c>
      <c r="C1358" s="6" t="s">
        <v>270</v>
      </c>
      <c r="D1358" s="6">
        <v>25</v>
      </c>
      <c r="E1358" s="32">
        <f>DAY(TableAopCalendar[[#This Row],[Date]])</f>
        <v>17</v>
      </c>
      <c r="F1358" s="32">
        <f>IF(TableAopCalendar[[#This Row],[Day]]&lt;8,1,IF(TableAopCalendar[[#This Row],[Day]]&lt;15,2,IF(TableAopCalendar[[#This Row],[Day]]&lt;22,3,IF(TableAopCalendar[[#This Row],[Day]]&lt;29,4,IF(TableAopCalendar[[#This Row],[Day]]&lt;32,5)))))</f>
        <v>3</v>
      </c>
      <c r="G1358" s="32" t="str">
        <f t="shared" si="79"/>
        <v>Week 3</v>
      </c>
      <c r="H1358" s="32" t="str">
        <f t="shared" si="80"/>
        <v>December 25 Week 3</v>
      </c>
      <c r="I1358" s="32" t="str">
        <f>CONCATENATE(UPPER(TableAopCalendar[[#This Row],[Month]])," ",TableAopCalendar[[#This Row],[Year]])</f>
        <v>DECEMBER 25</v>
      </c>
      <c r="J1358" s="7" t="s">
        <v>274</v>
      </c>
      <c r="K1358" s="32" t="str">
        <f>CONCATENATE(TableAopCalendar[[#This Row],[Month for Plan]]," ",TableAopCalendar[[#This Row],[Plan]])</f>
        <v>DECEMBER 25 PLANNED</v>
      </c>
    </row>
    <row r="1359" spans="1:11" x14ac:dyDescent="0.3">
      <c r="A1359" s="32">
        <f t="shared" si="78"/>
        <v>4</v>
      </c>
      <c r="B1359" s="33">
        <v>46009</v>
      </c>
      <c r="C1359" s="6" t="s">
        <v>270</v>
      </c>
      <c r="D1359" s="6">
        <v>25</v>
      </c>
      <c r="E1359" s="32">
        <f>DAY(TableAopCalendar[[#This Row],[Date]])</f>
        <v>18</v>
      </c>
      <c r="F1359" s="32">
        <f>IF(TableAopCalendar[[#This Row],[Day]]&lt;8,1,IF(TableAopCalendar[[#This Row],[Day]]&lt;15,2,IF(TableAopCalendar[[#This Row],[Day]]&lt;22,3,IF(TableAopCalendar[[#This Row],[Day]]&lt;29,4,IF(TableAopCalendar[[#This Row],[Day]]&lt;32,5)))))</f>
        <v>3</v>
      </c>
      <c r="G1359" s="32" t="str">
        <f t="shared" si="79"/>
        <v>Week 3</v>
      </c>
      <c r="H1359" s="32" t="str">
        <f t="shared" si="80"/>
        <v>December 25 Week 3</v>
      </c>
      <c r="I1359" s="32" t="str">
        <f>CONCATENATE(UPPER(TableAopCalendar[[#This Row],[Month]])," ",TableAopCalendar[[#This Row],[Year]])</f>
        <v>DECEMBER 25</v>
      </c>
      <c r="J1359" s="7" t="s">
        <v>274</v>
      </c>
      <c r="K1359" s="32" t="str">
        <f>CONCATENATE(TableAopCalendar[[#This Row],[Month for Plan]]," ",TableAopCalendar[[#This Row],[Plan]])</f>
        <v>DECEMBER 25 PLANNED</v>
      </c>
    </row>
    <row r="1360" spans="1:11" x14ac:dyDescent="0.3">
      <c r="A1360" s="32">
        <f t="shared" si="78"/>
        <v>5</v>
      </c>
      <c r="B1360" s="33">
        <v>46010</v>
      </c>
      <c r="C1360" s="6" t="s">
        <v>270</v>
      </c>
      <c r="D1360" s="6">
        <v>25</v>
      </c>
      <c r="E1360" s="32">
        <f>DAY(TableAopCalendar[[#This Row],[Date]])</f>
        <v>19</v>
      </c>
      <c r="F1360" s="32">
        <f>IF(TableAopCalendar[[#This Row],[Day]]&lt;8,1,IF(TableAopCalendar[[#This Row],[Day]]&lt;15,2,IF(TableAopCalendar[[#This Row],[Day]]&lt;22,3,IF(TableAopCalendar[[#This Row],[Day]]&lt;29,4,IF(TableAopCalendar[[#This Row],[Day]]&lt;32,5)))))</f>
        <v>3</v>
      </c>
      <c r="G1360" s="32" t="str">
        <f t="shared" si="79"/>
        <v>Week 3</v>
      </c>
      <c r="H1360" s="32" t="str">
        <f t="shared" si="80"/>
        <v>December 25 Week 3</v>
      </c>
      <c r="I1360" s="32" t="str">
        <f>CONCATENATE(UPPER(TableAopCalendar[[#This Row],[Month]])," ",TableAopCalendar[[#This Row],[Year]])</f>
        <v>DECEMBER 25</v>
      </c>
      <c r="J1360" s="7" t="s">
        <v>274</v>
      </c>
      <c r="K1360" s="32" t="str">
        <f>CONCATENATE(TableAopCalendar[[#This Row],[Month for Plan]]," ",TableAopCalendar[[#This Row],[Plan]])</f>
        <v>DECEMBER 25 PLANNED</v>
      </c>
    </row>
    <row r="1361" spans="1:11" x14ac:dyDescent="0.3">
      <c r="A1361" s="32">
        <f t="shared" si="78"/>
        <v>6</v>
      </c>
      <c r="B1361" s="33">
        <v>46011</v>
      </c>
      <c r="C1361" s="6" t="s">
        <v>270</v>
      </c>
      <c r="D1361" s="6">
        <v>25</v>
      </c>
      <c r="E1361" s="32">
        <f>DAY(TableAopCalendar[[#This Row],[Date]])</f>
        <v>20</v>
      </c>
      <c r="F1361" s="32">
        <f>IF(TableAopCalendar[[#This Row],[Day]]&lt;8,1,IF(TableAopCalendar[[#This Row],[Day]]&lt;15,2,IF(TableAopCalendar[[#This Row],[Day]]&lt;22,3,IF(TableAopCalendar[[#This Row],[Day]]&lt;29,4,IF(TableAopCalendar[[#This Row],[Day]]&lt;32,5)))))</f>
        <v>3</v>
      </c>
      <c r="G1361" s="32" t="str">
        <f t="shared" si="79"/>
        <v>Week 3</v>
      </c>
      <c r="H1361" s="32" t="str">
        <f t="shared" si="80"/>
        <v>December 25 Week 3</v>
      </c>
      <c r="I1361" s="32" t="str">
        <f>CONCATENATE(UPPER(TableAopCalendar[[#This Row],[Month]])," ",TableAopCalendar[[#This Row],[Year]])</f>
        <v>DECEMBER 25</v>
      </c>
      <c r="J1361" s="7" t="s">
        <v>274</v>
      </c>
      <c r="K1361" s="32" t="str">
        <f>CONCATENATE(TableAopCalendar[[#This Row],[Month for Plan]]," ",TableAopCalendar[[#This Row],[Plan]])</f>
        <v>DECEMBER 25 PLANNED</v>
      </c>
    </row>
    <row r="1362" spans="1:11" x14ac:dyDescent="0.3">
      <c r="A1362" s="32">
        <f t="shared" si="78"/>
        <v>7</v>
      </c>
      <c r="B1362" s="33">
        <v>46012</v>
      </c>
      <c r="C1362" s="6" t="s">
        <v>270</v>
      </c>
      <c r="D1362" s="6">
        <v>25</v>
      </c>
      <c r="E1362" s="32">
        <f>DAY(TableAopCalendar[[#This Row],[Date]])</f>
        <v>21</v>
      </c>
      <c r="F1362" s="32">
        <f>IF(TableAopCalendar[[#This Row],[Day]]&lt;8,1,IF(TableAopCalendar[[#This Row],[Day]]&lt;15,2,IF(TableAopCalendar[[#This Row],[Day]]&lt;22,3,IF(TableAopCalendar[[#This Row],[Day]]&lt;29,4,IF(TableAopCalendar[[#This Row],[Day]]&lt;32,5)))))</f>
        <v>3</v>
      </c>
      <c r="G1362" s="32" t="str">
        <f t="shared" si="79"/>
        <v>Week 3</v>
      </c>
      <c r="H1362" s="32" t="str">
        <f t="shared" si="80"/>
        <v>December 25 Week 3</v>
      </c>
      <c r="I1362" s="32" t="str">
        <f>CONCATENATE(UPPER(TableAopCalendar[[#This Row],[Month]])," ",TableAopCalendar[[#This Row],[Year]])</f>
        <v>DECEMBER 25</v>
      </c>
      <c r="J1362" s="7" t="s">
        <v>274</v>
      </c>
      <c r="K1362" s="32" t="str">
        <f>CONCATENATE(TableAopCalendar[[#This Row],[Month for Plan]]," ",TableAopCalendar[[#This Row],[Plan]])</f>
        <v>DECEMBER 25 PLANNED</v>
      </c>
    </row>
    <row r="1363" spans="1:11" x14ac:dyDescent="0.3">
      <c r="A1363" s="32">
        <f t="shared" si="78"/>
        <v>1</v>
      </c>
      <c r="B1363" s="33">
        <v>46013</v>
      </c>
      <c r="C1363" s="6" t="s">
        <v>270</v>
      </c>
      <c r="D1363" s="6">
        <v>25</v>
      </c>
      <c r="E1363" s="32">
        <f>DAY(TableAopCalendar[[#This Row],[Date]])</f>
        <v>22</v>
      </c>
      <c r="F1363" s="32">
        <f>IF(TableAopCalendar[[#This Row],[Day]]&lt;8,1,IF(TableAopCalendar[[#This Row],[Day]]&lt;15,2,IF(TableAopCalendar[[#This Row],[Day]]&lt;22,3,IF(TableAopCalendar[[#This Row],[Day]]&lt;29,4,IF(TableAopCalendar[[#This Row],[Day]]&lt;32,5)))))</f>
        <v>4</v>
      </c>
      <c r="G1363" s="32" t="str">
        <f t="shared" si="79"/>
        <v>Week 4</v>
      </c>
      <c r="H1363" s="32" t="str">
        <f t="shared" si="80"/>
        <v>December 25 Week 4</v>
      </c>
      <c r="I1363" s="32" t="str">
        <f>CONCATENATE(UPPER(TableAopCalendar[[#This Row],[Month]])," ",TableAopCalendar[[#This Row],[Year]])</f>
        <v>DECEMBER 25</v>
      </c>
      <c r="J1363" s="7" t="s">
        <v>274</v>
      </c>
      <c r="K1363" s="32" t="str">
        <f>CONCATENATE(TableAopCalendar[[#This Row],[Month for Plan]]," ",TableAopCalendar[[#This Row],[Plan]])</f>
        <v>DECEMBER 25 PLANNED</v>
      </c>
    </row>
    <row r="1364" spans="1:11" x14ac:dyDescent="0.3">
      <c r="A1364" s="32">
        <f t="shared" si="78"/>
        <v>2</v>
      </c>
      <c r="B1364" s="33">
        <v>46014</v>
      </c>
      <c r="C1364" s="6" t="s">
        <v>270</v>
      </c>
      <c r="D1364" s="6">
        <v>25</v>
      </c>
      <c r="E1364" s="32">
        <f>DAY(TableAopCalendar[[#This Row],[Date]])</f>
        <v>23</v>
      </c>
      <c r="F1364" s="32">
        <f>IF(TableAopCalendar[[#This Row],[Day]]&lt;8,1,IF(TableAopCalendar[[#This Row],[Day]]&lt;15,2,IF(TableAopCalendar[[#This Row],[Day]]&lt;22,3,IF(TableAopCalendar[[#This Row],[Day]]&lt;29,4,IF(TableAopCalendar[[#This Row],[Day]]&lt;32,5)))))</f>
        <v>4</v>
      </c>
      <c r="G1364" s="32" t="str">
        <f t="shared" si="79"/>
        <v>Week 4</v>
      </c>
      <c r="H1364" s="32" t="str">
        <f t="shared" si="80"/>
        <v>December 25 Week 4</v>
      </c>
      <c r="I1364" s="32" t="str">
        <f>CONCATENATE(UPPER(TableAopCalendar[[#This Row],[Month]])," ",TableAopCalendar[[#This Row],[Year]])</f>
        <v>DECEMBER 25</v>
      </c>
      <c r="J1364" s="7" t="s">
        <v>274</v>
      </c>
      <c r="K1364" s="32" t="str">
        <f>CONCATENATE(TableAopCalendar[[#This Row],[Month for Plan]]," ",TableAopCalendar[[#This Row],[Plan]])</f>
        <v>DECEMBER 25 PLANNED</v>
      </c>
    </row>
    <row r="1365" spans="1:11" x14ac:dyDescent="0.3">
      <c r="A1365" s="32">
        <f t="shared" si="78"/>
        <v>3</v>
      </c>
      <c r="B1365" s="33">
        <v>46015</v>
      </c>
      <c r="C1365" s="6" t="s">
        <v>270</v>
      </c>
      <c r="D1365" s="6">
        <v>25</v>
      </c>
      <c r="E1365" s="32">
        <f>DAY(TableAopCalendar[[#This Row],[Date]])</f>
        <v>24</v>
      </c>
      <c r="F1365" s="32">
        <f>IF(TableAopCalendar[[#This Row],[Day]]&lt;8,1,IF(TableAopCalendar[[#This Row],[Day]]&lt;15,2,IF(TableAopCalendar[[#This Row],[Day]]&lt;22,3,IF(TableAopCalendar[[#This Row],[Day]]&lt;29,4,IF(TableAopCalendar[[#This Row],[Day]]&lt;32,5)))))</f>
        <v>4</v>
      </c>
      <c r="G1365" s="32" t="str">
        <f t="shared" si="79"/>
        <v>Week 4</v>
      </c>
      <c r="H1365" s="32" t="str">
        <f t="shared" si="80"/>
        <v>December 25 Week 4</v>
      </c>
      <c r="I1365" s="32" t="str">
        <f>CONCATENATE(UPPER(TableAopCalendar[[#This Row],[Month]])," ",TableAopCalendar[[#This Row],[Year]])</f>
        <v>DECEMBER 25</v>
      </c>
      <c r="J1365" s="7" t="s">
        <v>274</v>
      </c>
      <c r="K1365" s="32" t="str">
        <f>CONCATENATE(TableAopCalendar[[#This Row],[Month for Plan]]," ",TableAopCalendar[[#This Row],[Plan]])</f>
        <v>DECEMBER 25 PLANNED</v>
      </c>
    </row>
    <row r="1366" spans="1:11" x14ac:dyDescent="0.3">
      <c r="A1366" s="32">
        <f t="shared" si="78"/>
        <v>4</v>
      </c>
      <c r="B1366" s="33">
        <v>46016</v>
      </c>
      <c r="C1366" s="6" t="s">
        <v>270</v>
      </c>
      <c r="D1366" s="6">
        <v>25</v>
      </c>
      <c r="E1366" s="32">
        <f>DAY(TableAopCalendar[[#This Row],[Date]])</f>
        <v>25</v>
      </c>
      <c r="F1366" s="32">
        <f>IF(TableAopCalendar[[#This Row],[Day]]&lt;8,1,IF(TableAopCalendar[[#This Row],[Day]]&lt;15,2,IF(TableAopCalendar[[#This Row],[Day]]&lt;22,3,IF(TableAopCalendar[[#This Row],[Day]]&lt;29,4,IF(TableAopCalendar[[#This Row],[Day]]&lt;32,5)))))</f>
        <v>4</v>
      </c>
      <c r="G1366" s="32" t="str">
        <f t="shared" si="79"/>
        <v>Week 4</v>
      </c>
      <c r="H1366" s="32" t="str">
        <f t="shared" si="80"/>
        <v>December 25 Week 4</v>
      </c>
      <c r="I1366" s="32" t="str">
        <f>CONCATENATE(UPPER(TableAopCalendar[[#This Row],[Month]])," ",TableAopCalendar[[#This Row],[Year]])</f>
        <v>DECEMBER 25</v>
      </c>
      <c r="J1366" s="7" t="s">
        <v>274</v>
      </c>
      <c r="K1366" s="32" t="str">
        <f>CONCATENATE(TableAopCalendar[[#This Row],[Month for Plan]]," ",TableAopCalendar[[#This Row],[Plan]])</f>
        <v>DECEMBER 25 PLANNED</v>
      </c>
    </row>
    <row r="1367" spans="1:11" x14ac:dyDescent="0.3">
      <c r="A1367" s="32">
        <f t="shared" si="78"/>
        <v>5</v>
      </c>
      <c r="B1367" s="33">
        <v>46017</v>
      </c>
      <c r="C1367" s="6" t="s">
        <v>270</v>
      </c>
      <c r="D1367" s="6">
        <v>25</v>
      </c>
      <c r="E1367" s="32">
        <f>DAY(TableAopCalendar[[#This Row],[Date]])</f>
        <v>26</v>
      </c>
      <c r="F1367" s="32">
        <f>IF(TableAopCalendar[[#This Row],[Day]]&lt;8,1,IF(TableAopCalendar[[#This Row],[Day]]&lt;15,2,IF(TableAopCalendar[[#This Row],[Day]]&lt;22,3,IF(TableAopCalendar[[#This Row],[Day]]&lt;29,4,IF(TableAopCalendar[[#This Row],[Day]]&lt;32,5)))))</f>
        <v>4</v>
      </c>
      <c r="G1367" s="32" t="str">
        <f t="shared" si="79"/>
        <v>Week 4</v>
      </c>
      <c r="H1367" s="32" t="str">
        <f t="shared" si="80"/>
        <v>December 25 Week 4</v>
      </c>
      <c r="I1367" s="32" t="str">
        <f>CONCATENATE(UPPER(TableAopCalendar[[#This Row],[Month]])," ",TableAopCalendar[[#This Row],[Year]])</f>
        <v>DECEMBER 25</v>
      </c>
      <c r="J1367" s="7" t="s">
        <v>274</v>
      </c>
      <c r="K1367" s="32" t="str">
        <f>CONCATENATE(TableAopCalendar[[#This Row],[Month for Plan]]," ",TableAopCalendar[[#This Row],[Plan]])</f>
        <v>DECEMBER 25 PLANNED</v>
      </c>
    </row>
    <row r="1368" spans="1:11" x14ac:dyDescent="0.3">
      <c r="A1368" s="32">
        <f t="shared" si="78"/>
        <v>6</v>
      </c>
      <c r="B1368" s="33">
        <v>46018</v>
      </c>
      <c r="C1368" s="6" t="s">
        <v>270</v>
      </c>
      <c r="D1368" s="6">
        <v>25</v>
      </c>
      <c r="E1368" s="32">
        <f>DAY(TableAopCalendar[[#This Row],[Date]])</f>
        <v>27</v>
      </c>
      <c r="F1368" s="32">
        <f>IF(TableAopCalendar[[#This Row],[Day]]&lt;8,1,IF(TableAopCalendar[[#This Row],[Day]]&lt;15,2,IF(TableAopCalendar[[#This Row],[Day]]&lt;22,3,IF(TableAopCalendar[[#This Row],[Day]]&lt;29,4,IF(TableAopCalendar[[#This Row],[Day]]&lt;32,5)))))</f>
        <v>4</v>
      </c>
      <c r="G1368" s="32" t="str">
        <f t="shared" si="79"/>
        <v>Week 4</v>
      </c>
      <c r="H1368" s="32" t="str">
        <f t="shared" si="80"/>
        <v>December 25 Week 4</v>
      </c>
      <c r="I1368" s="32" t="str">
        <f>CONCATENATE(UPPER(TableAopCalendar[[#This Row],[Month]])," ",TableAopCalendar[[#This Row],[Year]])</f>
        <v>DECEMBER 25</v>
      </c>
      <c r="J1368" s="7" t="s">
        <v>274</v>
      </c>
      <c r="K1368" s="32" t="str">
        <f>CONCATENATE(TableAopCalendar[[#This Row],[Month for Plan]]," ",TableAopCalendar[[#This Row],[Plan]])</f>
        <v>DECEMBER 25 PLANNED</v>
      </c>
    </row>
    <row r="1369" spans="1:11" x14ac:dyDescent="0.3">
      <c r="A1369" s="32">
        <f t="shared" si="78"/>
        <v>7</v>
      </c>
      <c r="B1369" s="33">
        <v>46019</v>
      </c>
      <c r="C1369" s="6" t="s">
        <v>270</v>
      </c>
      <c r="D1369" s="6">
        <v>25</v>
      </c>
      <c r="E1369" s="32">
        <f>DAY(TableAopCalendar[[#This Row],[Date]])</f>
        <v>28</v>
      </c>
      <c r="F1369" s="32">
        <f>IF(TableAopCalendar[[#This Row],[Day]]&lt;8,1,IF(TableAopCalendar[[#This Row],[Day]]&lt;15,2,IF(TableAopCalendar[[#This Row],[Day]]&lt;22,3,IF(TableAopCalendar[[#This Row],[Day]]&lt;29,4,IF(TableAopCalendar[[#This Row],[Day]]&lt;32,5)))))</f>
        <v>4</v>
      </c>
      <c r="G1369" s="32" t="str">
        <f t="shared" si="79"/>
        <v>Week 4</v>
      </c>
      <c r="H1369" s="32" t="str">
        <f t="shared" si="80"/>
        <v>December 25 Week 4</v>
      </c>
      <c r="I1369" s="32" t="str">
        <f>CONCATENATE(UPPER(TableAopCalendar[[#This Row],[Month]])," ",TableAopCalendar[[#This Row],[Year]])</f>
        <v>DECEMBER 25</v>
      </c>
      <c r="J1369" s="7" t="s">
        <v>274</v>
      </c>
      <c r="K1369" s="32" t="str">
        <f>CONCATENATE(TableAopCalendar[[#This Row],[Month for Plan]]," ",TableAopCalendar[[#This Row],[Plan]])</f>
        <v>DECEMBER 25 PLANNED</v>
      </c>
    </row>
    <row r="1370" spans="1:11" x14ac:dyDescent="0.3">
      <c r="A1370" s="32">
        <f t="shared" si="78"/>
        <v>1</v>
      </c>
      <c r="B1370" s="33">
        <v>46020</v>
      </c>
      <c r="C1370" s="6" t="s">
        <v>270</v>
      </c>
      <c r="D1370" s="6">
        <v>25</v>
      </c>
      <c r="E1370" s="32">
        <f>DAY(TableAopCalendar[[#This Row],[Date]])</f>
        <v>29</v>
      </c>
      <c r="F1370" s="32">
        <f>IF(TableAopCalendar[[#This Row],[Day]]&lt;8,1,IF(TableAopCalendar[[#This Row],[Day]]&lt;15,2,IF(TableAopCalendar[[#This Row],[Day]]&lt;22,3,IF(TableAopCalendar[[#This Row],[Day]]&lt;29,4,IF(TableAopCalendar[[#This Row],[Day]]&lt;32,5)))))</f>
        <v>5</v>
      </c>
      <c r="G1370" s="32" t="str">
        <f t="shared" si="79"/>
        <v>Week 5</v>
      </c>
      <c r="H1370" s="32" t="str">
        <f t="shared" si="80"/>
        <v>December 25 Week 5</v>
      </c>
      <c r="I1370" s="32" t="str">
        <f>CONCATENATE(UPPER(TableAopCalendar[[#This Row],[Month]])," ",TableAopCalendar[[#This Row],[Year]])</f>
        <v>DECEMBER 25</v>
      </c>
      <c r="J1370" s="7" t="s">
        <v>274</v>
      </c>
      <c r="K1370" s="32" t="str">
        <f>CONCATENATE(TableAopCalendar[[#This Row],[Month for Plan]]," ",TableAopCalendar[[#This Row],[Plan]])</f>
        <v>DECEMBER 25 PLANNED</v>
      </c>
    </row>
    <row r="1371" spans="1:11" x14ac:dyDescent="0.3">
      <c r="A1371" s="32">
        <f t="shared" si="78"/>
        <v>2</v>
      </c>
      <c r="B1371" s="33">
        <v>46021</v>
      </c>
      <c r="C1371" s="6" t="s">
        <v>270</v>
      </c>
      <c r="D1371" s="6">
        <v>25</v>
      </c>
      <c r="E1371" s="32">
        <f>DAY(TableAopCalendar[[#This Row],[Date]])</f>
        <v>30</v>
      </c>
      <c r="F1371" s="32">
        <f>IF(TableAopCalendar[[#This Row],[Day]]&lt;8,1,IF(TableAopCalendar[[#This Row],[Day]]&lt;15,2,IF(TableAopCalendar[[#This Row],[Day]]&lt;22,3,IF(TableAopCalendar[[#This Row],[Day]]&lt;29,4,IF(TableAopCalendar[[#This Row],[Day]]&lt;32,5)))))</f>
        <v>5</v>
      </c>
      <c r="G1371" s="32" t="str">
        <f t="shared" si="79"/>
        <v>Week 5</v>
      </c>
      <c r="H1371" s="32" t="str">
        <f t="shared" si="80"/>
        <v>December 25 Week 5</v>
      </c>
      <c r="I1371" s="32" t="str">
        <f>CONCATENATE(UPPER(TableAopCalendar[[#This Row],[Month]])," ",TableAopCalendar[[#This Row],[Year]])</f>
        <v>DECEMBER 25</v>
      </c>
      <c r="J1371" s="7" t="s">
        <v>274</v>
      </c>
      <c r="K1371" s="32" t="str">
        <f>CONCATENATE(TableAopCalendar[[#This Row],[Month for Plan]]," ",TableAopCalendar[[#This Row],[Plan]])</f>
        <v>DECEMBER 25 PLANNED</v>
      </c>
    </row>
    <row r="1372" spans="1:11" x14ac:dyDescent="0.3">
      <c r="A1372" s="32">
        <f t="shared" si="78"/>
        <v>3</v>
      </c>
      <c r="B1372" s="33">
        <v>46022</v>
      </c>
      <c r="C1372" s="6" t="s">
        <v>270</v>
      </c>
      <c r="D1372" s="6">
        <v>25</v>
      </c>
      <c r="E1372" s="32">
        <f>DAY(TableAopCalendar[[#This Row],[Date]])</f>
        <v>31</v>
      </c>
      <c r="F1372" s="32">
        <f>IF(TableAopCalendar[[#This Row],[Day]]&lt;8,1,IF(TableAopCalendar[[#This Row],[Day]]&lt;15,2,IF(TableAopCalendar[[#This Row],[Day]]&lt;22,3,IF(TableAopCalendar[[#This Row],[Day]]&lt;29,4,IF(TableAopCalendar[[#This Row],[Day]]&lt;32,5)))))</f>
        <v>5</v>
      </c>
      <c r="G1372" s="32" t="str">
        <f t="shared" si="79"/>
        <v>Week 5</v>
      </c>
      <c r="H1372" s="32" t="str">
        <f t="shared" si="80"/>
        <v>December 25 Week 5</v>
      </c>
      <c r="I1372" s="32" t="str">
        <f>CONCATENATE(UPPER(TableAopCalendar[[#This Row],[Month]])," ",TableAopCalendar[[#This Row],[Year]])</f>
        <v>DECEMBER 25</v>
      </c>
      <c r="J1372" s="7" t="s">
        <v>274</v>
      </c>
      <c r="K1372" s="32" t="str">
        <f>CONCATENATE(TableAopCalendar[[#This Row],[Month for Plan]]," ",TableAopCalendar[[#This Row],[Plan]])</f>
        <v>DECEMBER 25 PLANNED</v>
      </c>
    </row>
    <row r="1373" spans="1:11" x14ac:dyDescent="0.3">
      <c r="A1373" s="32">
        <f t="shared" si="78"/>
        <v>1</v>
      </c>
      <c r="B1373" s="33">
        <v>46023</v>
      </c>
      <c r="C1373" s="6" t="s">
        <v>271</v>
      </c>
      <c r="D1373" s="34">
        <v>26</v>
      </c>
      <c r="E1373" s="32">
        <f>DAY(TableAopCalendar[[#This Row],[Date]])</f>
        <v>1</v>
      </c>
      <c r="F1373" s="32">
        <f>IF(TableAopCalendar[[#This Row],[Day]]&lt;8,1,IF(TableAopCalendar[[#This Row],[Day]]&lt;15,2,IF(TableAopCalendar[[#This Row],[Day]]&lt;22,3,IF(TableAopCalendar[[#This Row],[Day]]&lt;29,4,IF(TableAopCalendar[[#This Row],[Day]]&lt;32,5)))))</f>
        <v>1</v>
      </c>
      <c r="G1373" s="32" t="str">
        <f t="shared" si="79"/>
        <v>Week 1</v>
      </c>
      <c r="H1373" s="32" t="str">
        <f t="shared" si="80"/>
        <v>January 26 Week 1</v>
      </c>
      <c r="I1373" s="32" t="str">
        <f>CONCATENATE(UPPER(TableAopCalendar[[#This Row],[Month]])," ",TableAopCalendar[[#This Row],[Year]])</f>
        <v>JANUARY 26</v>
      </c>
      <c r="J1373" s="7" t="s">
        <v>274</v>
      </c>
      <c r="K1373" s="32" t="str">
        <f>CONCATENATE(TableAopCalendar[[#This Row],[Month for Plan]]," ",TableAopCalendar[[#This Row],[Plan]])</f>
        <v>JANUARY 26 PLANNED</v>
      </c>
    </row>
    <row r="1374" spans="1:11" x14ac:dyDescent="0.3">
      <c r="A1374" s="32">
        <f t="shared" si="78"/>
        <v>2</v>
      </c>
      <c r="B1374" s="33">
        <v>46024</v>
      </c>
      <c r="C1374" s="6" t="s">
        <v>271</v>
      </c>
      <c r="D1374" s="34">
        <v>26</v>
      </c>
      <c r="E1374" s="32">
        <f>DAY(TableAopCalendar[[#This Row],[Date]])</f>
        <v>2</v>
      </c>
      <c r="F1374" s="32">
        <f>IF(TableAopCalendar[[#This Row],[Day]]&lt;8,1,IF(TableAopCalendar[[#This Row],[Day]]&lt;15,2,IF(TableAopCalendar[[#This Row],[Day]]&lt;22,3,IF(TableAopCalendar[[#This Row],[Day]]&lt;29,4,IF(TableAopCalendar[[#This Row],[Day]]&lt;32,5)))))</f>
        <v>1</v>
      </c>
      <c r="G1374" s="32" t="str">
        <f t="shared" si="79"/>
        <v>Week 1</v>
      </c>
      <c r="H1374" s="32" t="str">
        <f t="shared" si="80"/>
        <v>January 26 Week 1</v>
      </c>
      <c r="I1374" s="32" t="str">
        <f>CONCATENATE(UPPER(TableAopCalendar[[#This Row],[Month]])," ",TableAopCalendar[[#This Row],[Year]])</f>
        <v>JANUARY 26</v>
      </c>
      <c r="J1374" s="7" t="s">
        <v>274</v>
      </c>
      <c r="K1374" s="32" t="str">
        <f>CONCATENATE(TableAopCalendar[[#This Row],[Month for Plan]]," ",TableAopCalendar[[#This Row],[Plan]])</f>
        <v>JANUARY 26 PLANNED</v>
      </c>
    </row>
    <row r="1375" spans="1:11" x14ac:dyDescent="0.3">
      <c r="A1375" s="32">
        <f t="shared" si="78"/>
        <v>3</v>
      </c>
      <c r="B1375" s="33">
        <v>46025</v>
      </c>
      <c r="C1375" s="6" t="s">
        <v>271</v>
      </c>
      <c r="D1375" s="34">
        <v>26</v>
      </c>
      <c r="E1375" s="32">
        <f>DAY(TableAopCalendar[[#This Row],[Date]])</f>
        <v>3</v>
      </c>
      <c r="F1375" s="32">
        <f>IF(TableAopCalendar[[#This Row],[Day]]&lt;8,1,IF(TableAopCalendar[[#This Row],[Day]]&lt;15,2,IF(TableAopCalendar[[#This Row],[Day]]&lt;22,3,IF(TableAopCalendar[[#This Row],[Day]]&lt;29,4,IF(TableAopCalendar[[#This Row],[Day]]&lt;32,5)))))</f>
        <v>1</v>
      </c>
      <c r="G1375" s="32" t="str">
        <f t="shared" si="79"/>
        <v>Week 1</v>
      </c>
      <c r="H1375" s="32" t="str">
        <f t="shared" si="80"/>
        <v>January 26 Week 1</v>
      </c>
      <c r="I1375" s="32" t="str">
        <f>CONCATENATE(UPPER(TableAopCalendar[[#This Row],[Month]])," ",TableAopCalendar[[#This Row],[Year]])</f>
        <v>JANUARY 26</v>
      </c>
      <c r="J1375" s="7" t="s">
        <v>274</v>
      </c>
      <c r="K1375" s="32" t="str">
        <f>CONCATENATE(TableAopCalendar[[#This Row],[Month for Plan]]," ",TableAopCalendar[[#This Row],[Plan]])</f>
        <v>JANUARY 26 PLANNED</v>
      </c>
    </row>
    <row r="1376" spans="1:11" x14ac:dyDescent="0.3">
      <c r="A1376" s="32">
        <f t="shared" si="78"/>
        <v>4</v>
      </c>
      <c r="B1376" s="33">
        <v>46026</v>
      </c>
      <c r="C1376" s="6" t="s">
        <v>271</v>
      </c>
      <c r="D1376" s="34">
        <v>26</v>
      </c>
      <c r="E1376" s="32">
        <f>DAY(TableAopCalendar[[#This Row],[Date]])</f>
        <v>4</v>
      </c>
      <c r="F1376" s="32">
        <f>IF(TableAopCalendar[[#This Row],[Day]]&lt;8,1,IF(TableAopCalendar[[#This Row],[Day]]&lt;15,2,IF(TableAopCalendar[[#This Row],[Day]]&lt;22,3,IF(TableAopCalendar[[#This Row],[Day]]&lt;29,4,IF(TableAopCalendar[[#This Row],[Day]]&lt;32,5)))))</f>
        <v>1</v>
      </c>
      <c r="G1376" s="32" t="str">
        <f t="shared" si="79"/>
        <v>Week 1</v>
      </c>
      <c r="H1376" s="32" t="str">
        <f t="shared" si="80"/>
        <v>January 26 Week 1</v>
      </c>
      <c r="I1376" s="32" t="str">
        <f>CONCATENATE(UPPER(TableAopCalendar[[#This Row],[Month]])," ",TableAopCalendar[[#This Row],[Year]])</f>
        <v>JANUARY 26</v>
      </c>
      <c r="J1376" s="7" t="s">
        <v>274</v>
      </c>
      <c r="K1376" s="32" t="str">
        <f>CONCATENATE(TableAopCalendar[[#This Row],[Month for Plan]]," ",TableAopCalendar[[#This Row],[Plan]])</f>
        <v>JANUARY 26 PLANNED</v>
      </c>
    </row>
    <row r="1377" spans="1:11" x14ac:dyDescent="0.3">
      <c r="A1377" s="32">
        <f t="shared" si="78"/>
        <v>5</v>
      </c>
      <c r="B1377" s="33">
        <v>46027</v>
      </c>
      <c r="C1377" s="6" t="s">
        <v>271</v>
      </c>
      <c r="D1377" s="34">
        <v>26</v>
      </c>
      <c r="E1377" s="32">
        <f>DAY(TableAopCalendar[[#This Row],[Date]])</f>
        <v>5</v>
      </c>
      <c r="F1377" s="32">
        <f>IF(TableAopCalendar[[#This Row],[Day]]&lt;8,1,IF(TableAopCalendar[[#This Row],[Day]]&lt;15,2,IF(TableAopCalendar[[#This Row],[Day]]&lt;22,3,IF(TableAopCalendar[[#This Row],[Day]]&lt;29,4,IF(TableAopCalendar[[#This Row],[Day]]&lt;32,5)))))</f>
        <v>1</v>
      </c>
      <c r="G1377" s="32" t="str">
        <f t="shared" si="79"/>
        <v>Week 1</v>
      </c>
      <c r="H1377" s="32" t="str">
        <f t="shared" si="80"/>
        <v>January 26 Week 1</v>
      </c>
      <c r="I1377" s="32" t="str">
        <f>CONCATENATE(UPPER(TableAopCalendar[[#This Row],[Month]])," ",TableAopCalendar[[#This Row],[Year]])</f>
        <v>JANUARY 26</v>
      </c>
      <c r="J1377" s="7" t="s">
        <v>274</v>
      </c>
      <c r="K1377" s="32" t="str">
        <f>CONCATENATE(TableAopCalendar[[#This Row],[Month for Plan]]," ",TableAopCalendar[[#This Row],[Plan]])</f>
        <v>JANUARY 26 PLANNED</v>
      </c>
    </row>
    <row r="1378" spans="1:11" x14ac:dyDescent="0.3">
      <c r="A1378" s="32">
        <f t="shared" si="78"/>
        <v>6</v>
      </c>
      <c r="B1378" s="33">
        <v>46028</v>
      </c>
      <c r="C1378" s="6" t="s">
        <v>271</v>
      </c>
      <c r="D1378" s="34">
        <v>26</v>
      </c>
      <c r="E1378" s="32">
        <f>DAY(TableAopCalendar[[#This Row],[Date]])</f>
        <v>6</v>
      </c>
      <c r="F1378" s="32">
        <f>IF(TableAopCalendar[[#This Row],[Day]]&lt;8,1,IF(TableAopCalendar[[#This Row],[Day]]&lt;15,2,IF(TableAopCalendar[[#This Row],[Day]]&lt;22,3,IF(TableAopCalendar[[#This Row],[Day]]&lt;29,4,IF(TableAopCalendar[[#This Row],[Day]]&lt;32,5)))))</f>
        <v>1</v>
      </c>
      <c r="G1378" s="32" t="str">
        <f t="shared" si="79"/>
        <v>Week 1</v>
      </c>
      <c r="H1378" s="32" t="str">
        <f t="shared" si="80"/>
        <v>January 26 Week 1</v>
      </c>
      <c r="I1378" s="32" t="str">
        <f>CONCATENATE(UPPER(TableAopCalendar[[#This Row],[Month]])," ",TableAopCalendar[[#This Row],[Year]])</f>
        <v>JANUARY 26</v>
      </c>
      <c r="J1378" s="7" t="s">
        <v>274</v>
      </c>
      <c r="K1378" s="32" t="str">
        <f>CONCATENATE(TableAopCalendar[[#This Row],[Month for Plan]]," ",TableAopCalendar[[#This Row],[Plan]])</f>
        <v>JANUARY 26 PLANNED</v>
      </c>
    </row>
    <row r="1379" spans="1:11" x14ac:dyDescent="0.3">
      <c r="A1379" s="32">
        <f t="shared" si="78"/>
        <v>7</v>
      </c>
      <c r="B1379" s="33">
        <v>46029</v>
      </c>
      <c r="C1379" s="6" t="s">
        <v>271</v>
      </c>
      <c r="D1379" s="34">
        <v>26</v>
      </c>
      <c r="E1379" s="32">
        <f>DAY(TableAopCalendar[[#This Row],[Date]])</f>
        <v>7</v>
      </c>
      <c r="F1379" s="32">
        <f>IF(TableAopCalendar[[#This Row],[Day]]&lt;8,1,IF(TableAopCalendar[[#This Row],[Day]]&lt;15,2,IF(TableAopCalendar[[#This Row],[Day]]&lt;22,3,IF(TableAopCalendar[[#This Row],[Day]]&lt;29,4,IF(TableAopCalendar[[#This Row],[Day]]&lt;32,5)))))</f>
        <v>1</v>
      </c>
      <c r="G1379" s="32" t="str">
        <f t="shared" si="79"/>
        <v>Week 1</v>
      </c>
      <c r="H1379" s="32" t="str">
        <f t="shared" si="80"/>
        <v>January 26 Week 1</v>
      </c>
      <c r="I1379" s="32" t="str">
        <f>CONCATENATE(UPPER(TableAopCalendar[[#This Row],[Month]])," ",TableAopCalendar[[#This Row],[Year]])</f>
        <v>JANUARY 26</v>
      </c>
      <c r="J1379" s="7" t="s">
        <v>274</v>
      </c>
      <c r="K1379" s="32" t="str">
        <f>CONCATENATE(TableAopCalendar[[#This Row],[Month for Plan]]," ",TableAopCalendar[[#This Row],[Plan]])</f>
        <v>JANUARY 26 PLANNED</v>
      </c>
    </row>
    <row r="1380" spans="1:11" x14ac:dyDescent="0.3">
      <c r="A1380" s="32">
        <f t="shared" si="78"/>
        <v>1</v>
      </c>
      <c r="B1380" s="33">
        <v>46030</v>
      </c>
      <c r="C1380" s="6" t="s">
        <v>271</v>
      </c>
      <c r="D1380" s="34">
        <v>26</v>
      </c>
      <c r="E1380" s="32">
        <f>DAY(TableAopCalendar[[#This Row],[Date]])</f>
        <v>8</v>
      </c>
      <c r="F1380" s="32">
        <f>IF(TableAopCalendar[[#This Row],[Day]]&lt;8,1,IF(TableAopCalendar[[#This Row],[Day]]&lt;15,2,IF(TableAopCalendar[[#This Row],[Day]]&lt;22,3,IF(TableAopCalendar[[#This Row],[Day]]&lt;29,4,IF(TableAopCalendar[[#This Row],[Day]]&lt;32,5)))))</f>
        <v>2</v>
      </c>
      <c r="G1380" s="32" t="str">
        <f t="shared" si="79"/>
        <v>Week 2</v>
      </c>
      <c r="H1380" s="32" t="str">
        <f t="shared" si="80"/>
        <v>January 26 Week 2</v>
      </c>
      <c r="I1380" s="32" t="str">
        <f>CONCATENATE(UPPER(TableAopCalendar[[#This Row],[Month]])," ",TableAopCalendar[[#This Row],[Year]])</f>
        <v>JANUARY 26</v>
      </c>
      <c r="J1380" s="7" t="s">
        <v>274</v>
      </c>
      <c r="K1380" s="32" t="str">
        <f>CONCATENATE(TableAopCalendar[[#This Row],[Month for Plan]]," ",TableAopCalendar[[#This Row],[Plan]])</f>
        <v>JANUARY 26 PLANNED</v>
      </c>
    </row>
    <row r="1381" spans="1:11" x14ac:dyDescent="0.3">
      <c r="A1381" s="32">
        <f t="shared" si="78"/>
        <v>2</v>
      </c>
      <c r="B1381" s="33">
        <v>46031</v>
      </c>
      <c r="C1381" s="6" t="s">
        <v>271</v>
      </c>
      <c r="D1381" s="34">
        <v>26</v>
      </c>
      <c r="E1381" s="32">
        <f>DAY(TableAopCalendar[[#This Row],[Date]])</f>
        <v>9</v>
      </c>
      <c r="F1381" s="32">
        <f>IF(TableAopCalendar[[#This Row],[Day]]&lt;8,1,IF(TableAopCalendar[[#This Row],[Day]]&lt;15,2,IF(TableAopCalendar[[#This Row],[Day]]&lt;22,3,IF(TableAopCalendar[[#This Row],[Day]]&lt;29,4,IF(TableAopCalendar[[#This Row],[Day]]&lt;32,5)))))</f>
        <v>2</v>
      </c>
      <c r="G1381" s="32" t="str">
        <f t="shared" si="79"/>
        <v>Week 2</v>
      </c>
      <c r="H1381" s="32" t="str">
        <f t="shared" si="80"/>
        <v>January 26 Week 2</v>
      </c>
      <c r="I1381" s="32" t="str">
        <f>CONCATENATE(UPPER(TableAopCalendar[[#This Row],[Month]])," ",TableAopCalendar[[#This Row],[Year]])</f>
        <v>JANUARY 26</v>
      </c>
      <c r="J1381" s="7" t="s">
        <v>274</v>
      </c>
      <c r="K1381" s="32" t="str">
        <f>CONCATENATE(TableAopCalendar[[#This Row],[Month for Plan]]," ",TableAopCalendar[[#This Row],[Plan]])</f>
        <v>JANUARY 26 PLANNED</v>
      </c>
    </row>
    <row r="1382" spans="1:11" x14ac:dyDescent="0.3">
      <c r="A1382" s="32">
        <f t="shared" si="78"/>
        <v>3</v>
      </c>
      <c r="B1382" s="33">
        <v>46032</v>
      </c>
      <c r="C1382" s="6" t="s">
        <v>271</v>
      </c>
      <c r="D1382" s="34">
        <v>26</v>
      </c>
      <c r="E1382" s="32">
        <f>DAY(TableAopCalendar[[#This Row],[Date]])</f>
        <v>10</v>
      </c>
      <c r="F1382" s="32">
        <f>IF(TableAopCalendar[[#This Row],[Day]]&lt;8,1,IF(TableAopCalendar[[#This Row],[Day]]&lt;15,2,IF(TableAopCalendar[[#This Row],[Day]]&lt;22,3,IF(TableAopCalendar[[#This Row],[Day]]&lt;29,4,IF(TableAopCalendar[[#This Row],[Day]]&lt;32,5)))))</f>
        <v>2</v>
      </c>
      <c r="G1382" s="32" t="str">
        <f t="shared" si="79"/>
        <v>Week 2</v>
      </c>
      <c r="H1382" s="32" t="str">
        <f t="shared" si="80"/>
        <v>January 26 Week 2</v>
      </c>
      <c r="I1382" s="32" t="str">
        <f>CONCATENATE(UPPER(TableAopCalendar[[#This Row],[Month]])," ",TableAopCalendar[[#This Row],[Year]])</f>
        <v>JANUARY 26</v>
      </c>
      <c r="J1382" s="7" t="s">
        <v>274</v>
      </c>
      <c r="K1382" s="32" t="str">
        <f>CONCATENATE(TableAopCalendar[[#This Row],[Month for Plan]]," ",TableAopCalendar[[#This Row],[Plan]])</f>
        <v>JANUARY 26 PLANNED</v>
      </c>
    </row>
    <row r="1383" spans="1:11" x14ac:dyDescent="0.3">
      <c r="A1383" s="32">
        <f t="shared" si="78"/>
        <v>4</v>
      </c>
      <c r="B1383" s="33">
        <v>46033</v>
      </c>
      <c r="C1383" s="6" t="s">
        <v>271</v>
      </c>
      <c r="D1383" s="34">
        <v>26</v>
      </c>
      <c r="E1383" s="32">
        <f>DAY(TableAopCalendar[[#This Row],[Date]])</f>
        <v>11</v>
      </c>
      <c r="F1383" s="32">
        <f>IF(TableAopCalendar[[#This Row],[Day]]&lt;8,1,IF(TableAopCalendar[[#This Row],[Day]]&lt;15,2,IF(TableAopCalendar[[#This Row],[Day]]&lt;22,3,IF(TableAopCalendar[[#This Row],[Day]]&lt;29,4,IF(TableAopCalendar[[#This Row],[Day]]&lt;32,5)))))</f>
        <v>2</v>
      </c>
      <c r="G1383" s="32" t="str">
        <f t="shared" si="79"/>
        <v>Week 2</v>
      </c>
      <c r="H1383" s="32" t="str">
        <f t="shared" si="80"/>
        <v>January 26 Week 2</v>
      </c>
      <c r="I1383" s="32" t="str">
        <f>CONCATENATE(UPPER(TableAopCalendar[[#This Row],[Month]])," ",TableAopCalendar[[#This Row],[Year]])</f>
        <v>JANUARY 26</v>
      </c>
      <c r="J1383" s="7" t="s">
        <v>274</v>
      </c>
      <c r="K1383" s="32" t="str">
        <f>CONCATENATE(TableAopCalendar[[#This Row],[Month for Plan]]," ",TableAopCalendar[[#This Row],[Plan]])</f>
        <v>JANUARY 26 PLANNED</v>
      </c>
    </row>
    <row r="1384" spans="1:11" x14ac:dyDescent="0.3">
      <c r="A1384" s="32">
        <f t="shared" si="78"/>
        <v>5</v>
      </c>
      <c r="B1384" s="33">
        <v>46034</v>
      </c>
      <c r="C1384" s="6" t="s">
        <v>271</v>
      </c>
      <c r="D1384" s="34">
        <v>26</v>
      </c>
      <c r="E1384" s="32">
        <f>DAY(TableAopCalendar[[#This Row],[Date]])</f>
        <v>12</v>
      </c>
      <c r="F1384" s="32">
        <f>IF(TableAopCalendar[[#This Row],[Day]]&lt;8,1,IF(TableAopCalendar[[#This Row],[Day]]&lt;15,2,IF(TableAopCalendar[[#This Row],[Day]]&lt;22,3,IF(TableAopCalendar[[#This Row],[Day]]&lt;29,4,IF(TableAopCalendar[[#This Row],[Day]]&lt;32,5)))))</f>
        <v>2</v>
      </c>
      <c r="G1384" s="32" t="str">
        <f t="shared" si="79"/>
        <v>Week 2</v>
      </c>
      <c r="H1384" s="32" t="str">
        <f t="shared" si="80"/>
        <v>January 26 Week 2</v>
      </c>
      <c r="I1384" s="32" t="str">
        <f>CONCATENATE(UPPER(TableAopCalendar[[#This Row],[Month]])," ",TableAopCalendar[[#This Row],[Year]])</f>
        <v>JANUARY 26</v>
      </c>
      <c r="J1384" s="7" t="s">
        <v>274</v>
      </c>
      <c r="K1384" s="32" t="str">
        <f>CONCATENATE(TableAopCalendar[[#This Row],[Month for Plan]]," ",TableAopCalendar[[#This Row],[Plan]])</f>
        <v>JANUARY 26 PLANNED</v>
      </c>
    </row>
    <row r="1385" spans="1:11" x14ac:dyDescent="0.3">
      <c r="A1385" s="32">
        <f t="shared" si="78"/>
        <v>6</v>
      </c>
      <c r="B1385" s="33">
        <v>46035</v>
      </c>
      <c r="C1385" s="6" t="s">
        <v>271</v>
      </c>
      <c r="D1385" s="34">
        <v>26</v>
      </c>
      <c r="E1385" s="32">
        <f>DAY(TableAopCalendar[[#This Row],[Date]])</f>
        <v>13</v>
      </c>
      <c r="F1385" s="32">
        <f>IF(TableAopCalendar[[#This Row],[Day]]&lt;8,1,IF(TableAopCalendar[[#This Row],[Day]]&lt;15,2,IF(TableAopCalendar[[#This Row],[Day]]&lt;22,3,IF(TableAopCalendar[[#This Row],[Day]]&lt;29,4,IF(TableAopCalendar[[#This Row],[Day]]&lt;32,5)))))</f>
        <v>2</v>
      </c>
      <c r="G1385" s="32" t="str">
        <f t="shared" si="79"/>
        <v>Week 2</v>
      </c>
      <c r="H1385" s="32" t="str">
        <f t="shared" si="80"/>
        <v>January 26 Week 2</v>
      </c>
      <c r="I1385" s="32" t="str">
        <f>CONCATENATE(UPPER(TableAopCalendar[[#This Row],[Month]])," ",TableAopCalendar[[#This Row],[Year]])</f>
        <v>JANUARY 26</v>
      </c>
      <c r="J1385" s="7" t="s">
        <v>274</v>
      </c>
      <c r="K1385" s="32" t="str">
        <f>CONCATENATE(TableAopCalendar[[#This Row],[Month for Plan]]," ",TableAopCalendar[[#This Row],[Plan]])</f>
        <v>JANUARY 26 PLANNED</v>
      </c>
    </row>
    <row r="1386" spans="1:11" x14ac:dyDescent="0.3">
      <c r="A1386" s="32">
        <f t="shared" si="78"/>
        <v>7</v>
      </c>
      <c r="B1386" s="33">
        <v>46036</v>
      </c>
      <c r="C1386" s="6" t="s">
        <v>271</v>
      </c>
      <c r="D1386" s="34">
        <v>26</v>
      </c>
      <c r="E1386" s="32">
        <f>DAY(TableAopCalendar[[#This Row],[Date]])</f>
        <v>14</v>
      </c>
      <c r="F1386" s="32">
        <f>IF(TableAopCalendar[[#This Row],[Day]]&lt;8,1,IF(TableAopCalendar[[#This Row],[Day]]&lt;15,2,IF(TableAopCalendar[[#This Row],[Day]]&lt;22,3,IF(TableAopCalendar[[#This Row],[Day]]&lt;29,4,IF(TableAopCalendar[[#This Row],[Day]]&lt;32,5)))))</f>
        <v>2</v>
      </c>
      <c r="G1386" s="32" t="str">
        <f t="shared" si="79"/>
        <v>Week 2</v>
      </c>
      <c r="H1386" s="32" t="str">
        <f t="shared" si="80"/>
        <v>January 26 Week 2</v>
      </c>
      <c r="I1386" s="32" t="str">
        <f>CONCATENATE(UPPER(TableAopCalendar[[#This Row],[Month]])," ",TableAopCalendar[[#This Row],[Year]])</f>
        <v>JANUARY 26</v>
      </c>
      <c r="J1386" s="7" t="s">
        <v>274</v>
      </c>
      <c r="K1386" s="32" t="str">
        <f>CONCATENATE(TableAopCalendar[[#This Row],[Month for Plan]]," ",TableAopCalendar[[#This Row],[Plan]])</f>
        <v>JANUARY 26 PLANNED</v>
      </c>
    </row>
    <row r="1387" spans="1:11" x14ac:dyDescent="0.3">
      <c r="A1387" s="32">
        <f t="shared" si="78"/>
        <v>1</v>
      </c>
      <c r="B1387" s="33">
        <v>46037</v>
      </c>
      <c r="C1387" s="6" t="s">
        <v>271</v>
      </c>
      <c r="D1387" s="34">
        <v>26</v>
      </c>
      <c r="E1387" s="32">
        <f>DAY(TableAopCalendar[[#This Row],[Date]])</f>
        <v>15</v>
      </c>
      <c r="F1387" s="32">
        <f>IF(TableAopCalendar[[#This Row],[Day]]&lt;8,1,IF(TableAopCalendar[[#This Row],[Day]]&lt;15,2,IF(TableAopCalendar[[#This Row],[Day]]&lt;22,3,IF(TableAopCalendar[[#This Row],[Day]]&lt;29,4,IF(TableAopCalendar[[#This Row],[Day]]&lt;32,5)))))</f>
        <v>3</v>
      </c>
      <c r="G1387" s="32" t="str">
        <f t="shared" si="79"/>
        <v>Week 3</v>
      </c>
      <c r="H1387" s="32" t="str">
        <f t="shared" si="80"/>
        <v>January 26 Week 3</v>
      </c>
      <c r="I1387" s="32" t="str">
        <f>CONCATENATE(UPPER(TableAopCalendar[[#This Row],[Month]])," ",TableAopCalendar[[#This Row],[Year]])</f>
        <v>JANUARY 26</v>
      </c>
      <c r="J1387" s="7" t="s">
        <v>274</v>
      </c>
      <c r="K1387" s="32" t="str">
        <f>CONCATENATE(TableAopCalendar[[#This Row],[Month for Plan]]," ",TableAopCalendar[[#This Row],[Plan]])</f>
        <v>JANUARY 26 PLANNED</v>
      </c>
    </row>
    <row r="1388" spans="1:11" x14ac:dyDescent="0.3">
      <c r="A1388" s="32">
        <f t="shared" si="78"/>
        <v>2</v>
      </c>
      <c r="B1388" s="33">
        <v>46038</v>
      </c>
      <c r="C1388" s="6" t="s">
        <v>271</v>
      </c>
      <c r="D1388" s="34">
        <v>26</v>
      </c>
      <c r="E1388" s="32">
        <f>DAY(TableAopCalendar[[#This Row],[Date]])</f>
        <v>16</v>
      </c>
      <c r="F1388" s="32">
        <f>IF(TableAopCalendar[[#This Row],[Day]]&lt;8,1,IF(TableAopCalendar[[#This Row],[Day]]&lt;15,2,IF(TableAopCalendar[[#This Row],[Day]]&lt;22,3,IF(TableAopCalendar[[#This Row],[Day]]&lt;29,4,IF(TableAopCalendar[[#This Row],[Day]]&lt;32,5)))))</f>
        <v>3</v>
      </c>
      <c r="G1388" s="32" t="str">
        <f t="shared" si="79"/>
        <v>Week 3</v>
      </c>
      <c r="H1388" s="32" t="str">
        <f t="shared" si="80"/>
        <v>January 26 Week 3</v>
      </c>
      <c r="I1388" s="32" t="str">
        <f>CONCATENATE(UPPER(TableAopCalendar[[#This Row],[Month]])," ",TableAopCalendar[[#This Row],[Year]])</f>
        <v>JANUARY 26</v>
      </c>
      <c r="J1388" s="7" t="s">
        <v>274</v>
      </c>
      <c r="K1388" s="32" t="str">
        <f>CONCATENATE(TableAopCalendar[[#This Row],[Month for Plan]]," ",TableAopCalendar[[#This Row],[Plan]])</f>
        <v>JANUARY 26 PLANNED</v>
      </c>
    </row>
    <row r="1389" spans="1:11" x14ac:dyDescent="0.3">
      <c r="A1389" s="32">
        <f t="shared" si="78"/>
        <v>3</v>
      </c>
      <c r="B1389" s="33">
        <v>46039</v>
      </c>
      <c r="C1389" s="6" t="s">
        <v>271</v>
      </c>
      <c r="D1389" s="34">
        <v>26</v>
      </c>
      <c r="E1389" s="32">
        <f>DAY(TableAopCalendar[[#This Row],[Date]])</f>
        <v>17</v>
      </c>
      <c r="F1389" s="32">
        <f>IF(TableAopCalendar[[#This Row],[Day]]&lt;8,1,IF(TableAopCalendar[[#This Row],[Day]]&lt;15,2,IF(TableAopCalendar[[#This Row],[Day]]&lt;22,3,IF(TableAopCalendar[[#This Row],[Day]]&lt;29,4,IF(TableAopCalendar[[#This Row],[Day]]&lt;32,5)))))</f>
        <v>3</v>
      </c>
      <c r="G1389" s="32" t="str">
        <f t="shared" si="79"/>
        <v>Week 3</v>
      </c>
      <c r="H1389" s="32" t="str">
        <f t="shared" si="80"/>
        <v>January 26 Week 3</v>
      </c>
      <c r="I1389" s="32" t="str">
        <f>CONCATENATE(UPPER(TableAopCalendar[[#This Row],[Month]])," ",TableAopCalendar[[#This Row],[Year]])</f>
        <v>JANUARY 26</v>
      </c>
      <c r="J1389" s="7" t="s">
        <v>274</v>
      </c>
      <c r="K1389" s="32" t="str">
        <f>CONCATENATE(TableAopCalendar[[#This Row],[Month for Plan]]," ",TableAopCalendar[[#This Row],[Plan]])</f>
        <v>JANUARY 26 PLANNED</v>
      </c>
    </row>
    <row r="1390" spans="1:11" x14ac:dyDescent="0.3">
      <c r="A1390" s="32">
        <f t="shared" si="78"/>
        <v>4</v>
      </c>
      <c r="B1390" s="33">
        <v>46040</v>
      </c>
      <c r="C1390" s="6" t="s">
        <v>271</v>
      </c>
      <c r="D1390" s="34">
        <v>26</v>
      </c>
      <c r="E1390" s="32">
        <f>DAY(TableAopCalendar[[#This Row],[Date]])</f>
        <v>18</v>
      </c>
      <c r="F1390" s="32">
        <f>IF(TableAopCalendar[[#This Row],[Day]]&lt;8,1,IF(TableAopCalendar[[#This Row],[Day]]&lt;15,2,IF(TableAopCalendar[[#This Row],[Day]]&lt;22,3,IF(TableAopCalendar[[#This Row],[Day]]&lt;29,4,IF(TableAopCalendar[[#This Row],[Day]]&lt;32,5)))))</f>
        <v>3</v>
      </c>
      <c r="G1390" s="32" t="str">
        <f t="shared" si="79"/>
        <v>Week 3</v>
      </c>
      <c r="H1390" s="32" t="str">
        <f t="shared" si="80"/>
        <v>January 26 Week 3</v>
      </c>
      <c r="I1390" s="32" t="str">
        <f>CONCATENATE(UPPER(TableAopCalendar[[#This Row],[Month]])," ",TableAopCalendar[[#This Row],[Year]])</f>
        <v>JANUARY 26</v>
      </c>
      <c r="J1390" s="7" t="s">
        <v>274</v>
      </c>
      <c r="K1390" s="32" t="str">
        <f>CONCATENATE(TableAopCalendar[[#This Row],[Month for Plan]]," ",TableAopCalendar[[#This Row],[Plan]])</f>
        <v>JANUARY 26 PLANNED</v>
      </c>
    </row>
    <row r="1391" spans="1:11" x14ac:dyDescent="0.3">
      <c r="A1391" s="32">
        <f t="shared" si="78"/>
        <v>5</v>
      </c>
      <c r="B1391" s="33">
        <v>46041</v>
      </c>
      <c r="C1391" s="6" t="s">
        <v>271</v>
      </c>
      <c r="D1391" s="34">
        <v>26</v>
      </c>
      <c r="E1391" s="32">
        <f>DAY(TableAopCalendar[[#This Row],[Date]])</f>
        <v>19</v>
      </c>
      <c r="F1391" s="32">
        <f>IF(TableAopCalendar[[#This Row],[Day]]&lt;8,1,IF(TableAopCalendar[[#This Row],[Day]]&lt;15,2,IF(TableAopCalendar[[#This Row],[Day]]&lt;22,3,IF(TableAopCalendar[[#This Row],[Day]]&lt;29,4,IF(TableAopCalendar[[#This Row],[Day]]&lt;32,5)))))</f>
        <v>3</v>
      </c>
      <c r="G1391" s="32" t="str">
        <f t="shared" si="79"/>
        <v>Week 3</v>
      </c>
      <c r="H1391" s="32" t="str">
        <f t="shared" si="80"/>
        <v>January 26 Week 3</v>
      </c>
      <c r="I1391" s="32" t="str">
        <f>CONCATENATE(UPPER(TableAopCalendar[[#This Row],[Month]])," ",TableAopCalendar[[#This Row],[Year]])</f>
        <v>JANUARY 26</v>
      </c>
      <c r="J1391" s="7" t="s">
        <v>274</v>
      </c>
      <c r="K1391" s="32" t="str">
        <f>CONCATENATE(TableAopCalendar[[#This Row],[Month for Plan]]," ",TableAopCalendar[[#This Row],[Plan]])</f>
        <v>JANUARY 26 PLANNED</v>
      </c>
    </row>
    <row r="1392" spans="1:11" x14ac:dyDescent="0.3">
      <c r="A1392" s="32">
        <f t="shared" si="78"/>
        <v>6</v>
      </c>
      <c r="B1392" s="33">
        <v>46042</v>
      </c>
      <c r="C1392" s="6" t="s">
        <v>271</v>
      </c>
      <c r="D1392" s="34">
        <v>26</v>
      </c>
      <c r="E1392" s="32">
        <f>DAY(TableAopCalendar[[#This Row],[Date]])</f>
        <v>20</v>
      </c>
      <c r="F1392" s="32">
        <f>IF(TableAopCalendar[[#This Row],[Day]]&lt;8,1,IF(TableAopCalendar[[#This Row],[Day]]&lt;15,2,IF(TableAopCalendar[[#This Row],[Day]]&lt;22,3,IF(TableAopCalendar[[#This Row],[Day]]&lt;29,4,IF(TableAopCalendar[[#This Row],[Day]]&lt;32,5)))))</f>
        <v>3</v>
      </c>
      <c r="G1392" s="32" t="str">
        <f t="shared" si="79"/>
        <v>Week 3</v>
      </c>
      <c r="H1392" s="32" t="str">
        <f t="shared" si="80"/>
        <v>January 26 Week 3</v>
      </c>
      <c r="I1392" s="32" t="str">
        <f>CONCATENATE(UPPER(TableAopCalendar[[#This Row],[Month]])," ",TableAopCalendar[[#This Row],[Year]])</f>
        <v>JANUARY 26</v>
      </c>
      <c r="J1392" s="7" t="s">
        <v>274</v>
      </c>
      <c r="K1392" s="32" t="str">
        <f>CONCATENATE(TableAopCalendar[[#This Row],[Month for Plan]]," ",TableAopCalendar[[#This Row],[Plan]])</f>
        <v>JANUARY 26 PLANNED</v>
      </c>
    </row>
    <row r="1393" spans="1:11" x14ac:dyDescent="0.3">
      <c r="A1393" s="32">
        <f t="shared" si="78"/>
        <v>7</v>
      </c>
      <c r="B1393" s="33">
        <v>46043</v>
      </c>
      <c r="C1393" s="6" t="s">
        <v>271</v>
      </c>
      <c r="D1393" s="34">
        <v>26</v>
      </c>
      <c r="E1393" s="32">
        <f>DAY(TableAopCalendar[[#This Row],[Date]])</f>
        <v>21</v>
      </c>
      <c r="F1393" s="32">
        <f>IF(TableAopCalendar[[#This Row],[Day]]&lt;8,1,IF(TableAopCalendar[[#This Row],[Day]]&lt;15,2,IF(TableAopCalendar[[#This Row],[Day]]&lt;22,3,IF(TableAopCalendar[[#This Row],[Day]]&lt;29,4,IF(TableAopCalendar[[#This Row],[Day]]&lt;32,5)))))</f>
        <v>3</v>
      </c>
      <c r="G1393" s="32" t="str">
        <f t="shared" si="79"/>
        <v>Week 3</v>
      </c>
      <c r="H1393" s="32" t="str">
        <f t="shared" si="80"/>
        <v>January 26 Week 3</v>
      </c>
      <c r="I1393" s="32" t="str">
        <f>CONCATENATE(UPPER(TableAopCalendar[[#This Row],[Month]])," ",TableAopCalendar[[#This Row],[Year]])</f>
        <v>JANUARY 26</v>
      </c>
      <c r="J1393" s="7" t="s">
        <v>274</v>
      </c>
      <c r="K1393" s="32" t="str">
        <f>CONCATENATE(TableAopCalendar[[#This Row],[Month for Plan]]," ",TableAopCalendar[[#This Row],[Plan]])</f>
        <v>JANUARY 26 PLANNED</v>
      </c>
    </row>
    <row r="1394" spans="1:11" x14ac:dyDescent="0.3">
      <c r="A1394" s="32">
        <f t="shared" si="78"/>
        <v>1</v>
      </c>
      <c r="B1394" s="33">
        <v>46044</v>
      </c>
      <c r="C1394" s="6" t="s">
        <v>271</v>
      </c>
      <c r="D1394" s="34">
        <v>26</v>
      </c>
      <c r="E1394" s="32">
        <f>DAY(TableAopCalendar[[#This Row],[Date]])</f>
        <v>22</v>
      </c>
      <c r="F1394" s="32">
        <f>IF(TableAopCalendar[[#This Row],[Day]]&lt;8,1,IF(TableAopCalendar[[#This Row],[Day]]&lt;15,2,IF(TableAopCalendar[[#This Row],[Day]]&lt;22,3,IF(TableAopCalendar[[#This Row],[Day]]&lt;29,4,IF(TableAopCalendar[[#This Row],[Day]]&lt;32,5)))))</f>
        <v>4</v>
      </c>
      <c r="G1394" s="32" t="str">
        <f t="shared" si="79"/>
        <v>Week 4</v>
      </c>
      <c r="H1394" s="32" t="str">
        <f t="shared" si="80"/>
        <v>January 26 Week 4</v>
      </c>
      <c r="I1394" s="32" t="str">
        <f>CONCATENATE(UPPER(TableAopCalendar[[#This Row],[Month]])," ",TableAopCalendar[[#This Row],[Year]])</f>
        <v>JANUARY 26</v>
      </c>
      <c r="J1394" s="7" t="s">
        <v>274</v>
      </c>
      <c r="K1394" s="32" t="str">
        <f>CONCATENATE(TableAopCalendar[[#This Row],[Month for Plan]]," ",TableAopCalendar[[#This Row],[Plan]])</f>
        <v>JANUARY 26 PLANNED</v>
      </c>
    </row>
    <row r="1395" spans="1:11" x14ac:dyDescent="0.3">
      <c r="A1395" s="32">
        <f t="shared" si="78"/>
        <v>2</v>
      </c>
      <c r="B1395" s="33">
        <v>46045</v>
      </c>
      <c r="C1395" s="6" t="s">
        <v>271</v>
      </c>
      <c r="D1395" s="34">
        <v>26</v>
      </c>
      <c r="E1395" s="32">
        <f>DAY(TableAopCalendar[[#This Row],[Date]])</f>
        <v>23</v>
      </c>
      <c r="F1395" s="32">
        <f>IF(TableAopCalendar[[#This Row],[Day]]&lt;8,1,IF(TableAopCalendar[[#This Row],[Day]]&lt;15,2,IF(TableAopCalendar[[#This Row],[Day]]&lt;22,3,IF(TableAopCalendar[[#This Row],[Day]]&lt;29,4,IF(TableAopCalendar[[#This Row],[Day]]&lt;32,5)))))</f>
        <v>4</v>
      </c>
      <c r="G1395" s="32" t="str">
        <f t="shared" si="79"/>
        <v>Week 4</v>
      </c>
      <c r="H1395" s="32" t="str">
        <f t="shared" si="80"/>
        <v>January 26 Week 4</v>
      </c>
      <c r="I1395" s="32" t="str">
        <f>CONCATENATE(UPPER(TableAopCalendar[[#This Row],[Month]])," ",TableAopCalendar[[#This Row],[Year]])</f>
        <v>JANUARY 26</v>
      </c>
      <c r="J1395" s="7" t="s">
        <v>274</v>
      </c>
      <c r="K1395" s="32" t="str">
        <f>CONCATENATE(TableAopCalendar[[#This Row],[Month for Plan]]," ",TableAopCalendar[[#This Row],[Plan]])</f>
        <v>JANUARY 26 PLANNED</v>
      </c>
    </row>
    <row r="1396" spans="1:11" x14ac:dyDescent="0.3">
      <c r="A1396" s="32">
        <f t="shared" si="78"/>
        <v>3</v>
      </c>
      <c r="B1396" s="33">
        <v>46046</v>
      </c>
      <c r="C1396" s="6" t="s">
        <v>271</v>
      </c>
      <c r="D1396" s="34">
        <v>26</v>
      </c>
      <c r="E1396" s="32">
        <f>DAY(TableAopCalendar[[#This Row],[Date]])</f>
        <v>24</v>
      </c>
      <c r="F1396" s="32">
        <f>IF(TableAopCalendar[[#This Row],[Day]]&lt;8,1,IF(TableAopCalendar[[#This Row],[Day]]&lt;15,2,IF(TableAopCalendar[[#This Row],[Day]]&lt;22,3,IF(TableAopCalendar[[#This Row],[Day]]&lt;29,4,IF(TableAopCalendar[[#This Row],[Day]]&lt;32,5)))))</f>
        <v>4</v>
      </c>
      <c r="G1396" s="32" t="str">
        <f t="shared" si="79"/>
        <v>Week 4</v>
      </c>
      <c r="H1396" s="32" t="str">
        <f t="shared" si="80"/>
        <v>January 26 Week 4</v>
      </c>
      <c r="I1396" s="32" t="str">
        <f>CONCATENATE(UPPER(TableAopCalendar[[#This Row],[Month]])," ",TableAopCalendar[[#This Row],[Year]])</f>
        <v>JANUARY 26</v>
      </c>
      <c r="J1396" s="7" t="s">
        <v>274</v>
      </c>
      <c r="K1396" s="32" t="str">
        <f>CONCATENATE(TableAopCalendar[[#This Row],[Month for Plan]]," ",TableAopCalendar[[#This Row],[Plan]])</f>
        <v>JANUARY 26 PLANNED</v>
      </c>
    </row>
    <row r="1397" spans="1:11" x14ac:dyDescent="0.3">
      <c r="A1397" s="32">
        <f t="shared" si="78"/>
        <v>4</v>
      </c>
      <c r="B1397" s="33">
        <v>46047</v>
      </c>
      <c r="C1397" s="6" t="s">
        <v>271</v>
      </c>
      <c r="D1397" s="34">
        <v>26</v>
      </c>
      <c r="E1397" s="32">
        <f>DAY(TableAopCalendar[[#This Row],[Date]])</f>
        <v>25</v>
      </c>
      <c r="F1397" s="32">
        <f>IF(TableAopCalendar[[#This Row],[Day]]&lt;8,1,IF(TableAopCalendar[[#This Row],[Day]]&lt;15,2,IF(TableAopCalendar[[#This Row],[Day]]&lt;22,3,IF(TableAopCalendar[[#This Row],[Day]]&lt;29,4,IF(TableAopCalendar[[#This Row],[Day]]&lt;32,5)))))</f>
        <v>4</v>
      </c>
      <c r="G1397" s="32" t="str">
        <f t="shared" si="79"/>
        <v>Week 4</v>
      </c>
      <c r="H1397" s="32" t="str">
        <f t="shared" si="80"/>
        <v>January 26 Week 4</v>
      </c>
      <c r="I1397" s="32" t="str">
        <f>CONCATENATE(UPPER(TableAopCalendar[[#This Row],[Month]])," ",TableAopCalendar[[#This Row],[Year]])</f>
        <v>JANUARY 26</v>
      </c>
      <c r="J1397" s="7" t="s">
        <v>274</v>
      </c>
      <c r="K1397" s="32" t="str">
        <f>CONCATENATE(TableAopCalendar[[#This Row],[Month for Plan]]," ",TableAopCalendar[[#This Row],[Plan]])</f>
        <v>JANUARY 26 PLANNED</v>
      </c>
    </row>
    <row r="1398" spans="1:11" x14ac:dyDescent="0.3">
      <c r="A1398" s="32">
        <f t="shared" si="78"/>
        <v>5</v>
      </c>
      <c r="B1398" s="33">
        <v>46048</v>
      </c>
      <c r="C1398" s="6" t="s">
        <v>271</v>
      </c>
      <c r="D1398" s="34">
        <v>26</v>
      </c>
      <c r="E1398" s="32">
        <f>DAY(TableAopCalendar[[#This Row],[Date]])</f>
        <v>26</v>
      </c>
      <c r="F1398" s="32">
        <f>IF(TableAopCalendar[[#This Row],[Day]]&lt;8,1,IF(TableAopCalendar[[#This Row],[Day]]&lt;15,2,IF(TableAopCalendar[[#This Row],[Day]]&lt;22,3,IF(TableAopCalendar[[#This Row],[Day]]&lt;29,4,IF(TableAopCalendar[[#This Row],[Day]]&lt;32,5)))))</f>
        <v>4</v>
      </c>
      <c r="G1398" s="32" t="str">
        <f t="shared" si="79"/>
        <v>Week 4</v>
      </c>
      <c r="H1398" s="32" t="str">
        <f t="shared" si="80"/>
        <v>January 26 Week 4</v>
      </c>
      <c r="I1398" s="32" t="str">
        <f>CONCATENATE(UPPER(TableAopCalendar[[#This Row],[Month]])," ",TableAopCalendar[[#This Row],[Year]])</f>
        <v>JANUARY 26</v>
      </c>
      <c r="J1398" s="7" t="s">
        <v>274</v>
      </c>
      <c r="K1398" s="32" t="str">
        <f>CONCATENATE(TableAopCalendar[[#This Row],[Month for Plan]]," ",TableAopCalendar[[#This Row],[Plan]])</f>
        <v>JANUARY 26 PLANNED</v>
      </c>
    </row>
    <row r="1399" spans="1:11" x14ac:dyDescent="0.3">
      <c r="A1399" s="32">
        <f t="shared" si="78"/>
        <v>6</v>
      </c>
      <c r="B1399" s="33">
        <v>46049</v>
      </c>
      <c r="C1399" s="6" t="s">
        <v>271</v>
      </c>
      <c r="D1399" s="34">
        <v>26</v>
      </c>
      <c r="E1399" s="32">
        <f>DAY(TableAopCalendar[[#This Row],[Date]])</f>
        <v>27</v>
      </c>
      <c r="F1399" s="32">
        <f>IF(TableAopCalendar[[#This Row],[Day]]&lt;8,1,IF(TableAopCalendar[[#This Row],[Day]]&lt;15,2,IF(TableAopCalendar[[#This Row],[Day]]&lt;22,3,IF(TableAopCalendar[[#This Row],[Day]]&lt;29,4,IF(TableAopCalendar[[#This Row],[Day]]&lt;32,5)))))</f>
        <v>4</v>
      </c>
      <c r="G1399" s="32" t="str">
        <f t="shared" si="79"/>
        <v>Week 4</v>
      </c>
      <c r="H1399" s="32" t="str">
        <f t="shared" si="80"/>
        <v>January 26 Week 4</v>
      </c>
      <c r="I1399" s="32" t="str">
        <f>CONCATENATE(UPPER(TableAopCalendar[[#This Row],[Month]])," ",TableAopCalendar[[#This Row],[Year]])</f>
        <v>JANUARY 26</v>
      </c>
      <c r="J1399" s="7" t="s">
        <v>274</v>
      </c>
      <c r="K1399" s="32" t="str">
        <f>CONCATENATE(TableAopCalendar[[#This Row],[Month for Plan]]," ",TableAopCalendar[[#This Row],[Plan]])</f>
        <v>JANUARY 26 PLANNED</v>
      </c>
    </row>
    <row r="1400" spans="1:11" x14ac:dyDescent="0.3">
      <c r="A1400" s="32">
        <f t="shared" si="78"/>
        <v>7</v>
      </c>
      <c r="B1400" s="33">
        <v>46050</v>
      </c>
      <c r="C1400" s="6" t="s">
        <v>271</v>
      </c>
      <c r="D1400" s="34">
        <v>26</v>
      </c>
      <c r="E1400" s="32">
        <f>DAY(TableAopCalendar[[#This Row],[Date]])</f>
        <v>28</v>
      </c>
      <c r="F1400" s="32">
        <f>IF(TableAopCalendar[[#This Row],[Day]]&lt;8,1,IF(TableAopCalendar[[#This Row],[Day]]&lt;15,2,IF(TableAopCalendar[[#This Row],[Day]]&lt;22,3,IF(TableAopCalendar[[#This Row],[Day]]&lt;29,4,IF(TableAopCalendar[[#This Row],[Day]]&lt;32,5)))))</f>
        <v>4</v>
      </c>
      <c r="G1400" s="32" t="str">
        <f t="shared" si="79"/>
        <v>Week 4</v>
      </c>
      <c r="H1400" s="32" t="str">
        <f t="shared" si="80"/>
        <v>January 26 Week 4</v>
      </c>
      <c r="I1400" s="32" t="str">
        <f>CONCATENATE(UPPER(TableAopCalendar[[#This Row],[Month]])," ",TableAopCalendar[[#This Row],[Year]])</f>
        <v>JANUARY 26</v>
      </c>
      <c r="J1400" s="7" t="s">
        <v>274</v>
      </c>
      <c r="K1400" s="32" t="str">
        <f>CONCATENATE(TableAopCalendar[[#This Row],[Month for Plan]]," ",TableAopCalendar[[#This Row],[Plan]])</f>
        <v>JANUARY 26 PLANNED</v>
      </c>
    </row>
    <row r="1401" spans="1:11" x14ac:dyDescent="0.3">
      <c r="A1401" s="32">
        <f t="shared" si="78"/>
        <v>1</v>
      </c>
      <c r="B1401" s="33">
        <v>46051</v>
      </c>
      <c r="C1401" s="6" t="s">
        <v>271</v>
      </c>
      <c r="D1401" s="34">
        <v>26</v>
      </c>
      <c r="E1401" s="32">
        <f>DAY(TableAopCalendar[[#This Row],[Date]])</f>
        <v>29</v>
      </c>
      <c r="F1401" s="32">
        <f>IF(TableAopCalendar[[#This Row],[Day]]&lt;8,1,IF(TableAopCalendar[[#This Row],[Day]]&lt;15,2,IF(TableAopCalendar[[#This Row],[Day]]&lt;22,3,IF(TableAopCalendar[[#This Row],[Day]]&lt;29,4,IF(TableAopCalendar[[#This Row],[Day]]&lt;32,5)))))</f>
        <v>5</v>
      </c>
      <c r="G1401" s="32" t="str">
        <f t="shared" si="79"/>
        <v>Week 5</v>
      </c>
      <c r="H1401" s="32" t="str">
        <f t="shared" si="80"/>
        <v>January 26 Week 5</v>
      </c>
      <c r="I1401" s="32" t="str">
        <f>CONCATENATE(UPPER(TableAopCalendar[[#This Row],[Month]])," ",TableAopCalendar[[#This Row],[Year]])</f>
        <v>JANUARY 26</v>
      </c>
      <c r="J1401" s="7" t="s">
        <v>274</v>
      </c>
      <c r="K1401" s="32" t="str">
        <f>CONCATENATE(TableAopCalendar[[#This Row],[Month for Plan]]," ",TableAopCalendar[[#This Row],[Plan]])</f>
        <v>JANUARY 26 PLANNED</v>
      </c>
    </row>
    <row r="1402" spans="1:11" x14ac:dyDescent="0.3">
      <c r="A1402" s="32">
        <f t="shared" si="78"/>
        <v>2</v>
      </c>
      <c r="B1402" s="33">
        <v>46052</v>
      </c>
      <c r="C1402" s="6" t="s">
        <v>271</v>
      </c>
      <c r="D1402" s="34">
        <v>26</v>
      </c>
      <c r="E1402" s="32">
        <f>DAY(TableAopCalendar[[#This Row],[Date]])</f>
        <v>30</v>
      </c>
      <c r="F1402" s="32">
        <f>IF(TableAopCalendar[[#This Row],[Day]]&lt;8,1,IF(TableAopCalendar[[#This Row],[Day]]&lt;15,2,IF(TableAopCalendar[[#This Row],[Day]]&lt;22,3,IF(TableAopCalendar[[#This Row],[Day]]&lt;29,4,IF(TableAopCalendar[[#This Row],[Day]]&lt;32,5)))))</f>
        <v>5</v>
      </c>
      <c r="G1402" s="32" t="str">
        <f t="shared" si="79"/>
        <v>Week 5</v>
      </c>
      <c r="H1402" s="32" t="str">
        <f t="shared" si="80"/>
        <v>January 26 Week 5</v>
      </c>
      <c r="I1402" s="32" t="str">
        <f>CONCATENATE(UPPER(TableAopCalendar[[#This Row],[Month]])," ",TableAopCalendar[[#This Row],[Year]])</f>
        <v>JANUARY 26</v>
      </c>
      <c r="J1402" s="7" t="s">
        <v>274</v>
      </c>
      <c r="K1402" s="32" t="str">
        <f>CONCATENATE(TableAopCalendar[[#This Row],[Month for Plan]]," ",TableAopCalendar[[#This Row],[Plan]])</f>
        <v>JANUARY 26 PLANNED</v>
      </c>
    </row>
    <row r="1403" spans="1:11" x14ac:dyDescent="0.3">
      <c r="A1403" s="32">
        <f t="shared" si="78"/>
        <v>3</v>
      </c>
      <c r="B1403" s="33">
        <v>46053</v>
      </c>
      <c r="C1403" s="6" t="s">
        <v>271</v>
      </c>
      <c r="D1403" s="34">
        <v>26</v>
      </c>
      <c r="E1403" s="32">
        <f>DAY(TableAopCalendar[[#This Row],[Date]])</f>
        <v>31</v>
      </c>
      <c r="F1403" s="32">
        <f>IF(TableAopCalendar[[#This Row],[Day]]&lt;8,1,IF(TableAopCalendar[[#This Row],[Day]]&lt;15,2,IF(TableAopCalendar[[#This Row],[Day]]&lt;22,3,IF(TableAopCalendar[[#This Row],[Day]]&lt;29,4,IF(TableAopCalendar[[#This Row],[Day]]&lt;32,5)))))</f>
        <v>5</v>
      </c>
      <c r="G1403" s="32" t="str">
        <f t="shared" si="79"/>
        <v>Week 5</v>
      </c>
      <c r="H1403" s="32" t="str">
        <f t="shared" si="80"/>
        <v>January 26 Week 5</v>
      </c>
      <c r="I1403" s="32" t="str">
        <f>CONCATENATE(UPPER(TableAopCalendar[[#This Row],[Month]])," ",TableAopCalendar[[#This Row],[Year]])</f>
        <v>JANUARY 26</v>
      </c>
      <c r="J1403" s="7" t="s">
        <v>274</v>
      </c>
      <c r="K1403" s="32" t="str">
        <f>CONCATENATE(TableAopCalendar[[#This Row],[Month for Plan]]," ",TableAopCalendar[[#This Row],[Plan]])</f>
        <v>JANUARY 26 PLANNED</v>
      </c>
    </row>
    <row r="1404" spans="1:11" x14ac:dyDescent="0.3">
      <c r="A1404" s="32">
        <f t="shared" si="78"/>
        <v>1</v>
      </c>
      <c r="B1404" s="33">
        <v>46054</v>
      </c>
      <c r="C1404" s="6" t="s">
        <v>272</v>
      </c>
      <c r="D1404" s="34">
        <v>26</v>
      </c>
      <c r="E1404" s="32">
        <f>DAY(TableAopCalendar[[#This Row],[Date]])</f>
        <v>1</v>
      </c>
      <c r="F1404" s="32">
        <f>IF(TableAopCalendar[[#This Row],[Day]]&lt;8,1,IF(TableAopCalendar[[#This Row],[Day]]&lt;15,2,IF(TableAopCalendar[[#This Row],[Day]]&lt;22,3,IF(TableAopCalendar[[#This Row],[Day]]&lt;29,4,IF(TableAopCalendar[[#This Row],[Day]]&lt;32,5)))))</f>
        <v>1</v>
      </c>
      <c r="G1404" s="32" t="str">
        <f t="shared" si="79"/>
        <v>Week 1</v>
      </c>
      <c r="H1404" s="32" t="str">
        <f t="shared" si="80"/>
        <v>February 26 Week 1</v>
      </c>
      <c r="I1404" s="32" t="str">
        <f>CONCATENATE(UPPER(TableAopCalendar[[#This Row],[Month]])," ",TableAopCalendar[[#This Row],[Year]])</f>
        <v>FEBRUARY 26</v>
      </c>
      <c r="J1404" s="7" t="s">
        <v>274</v>
      </c>
      <c r="K1404" s="32" t="str">
        <f>CONCATENATE(TableAopCalendar[[#This Row],[Month for Plan]]," ",TableAopCalendar[[#This Row],[Plan]])</f>
        <v>FEBRUARY 26 PLANNED</v>
      </c>
    </row>
    <row r="1405" spans="1:11" x14ac:dyDescent="0.3">
      <c r="A1405" s="32">
        <f t="shared" si="78"/>
        <v>2</v>
      </c>
      <c r="B1405" s="33">
        <v>46055</v>
      </c>
      <c r="C1405" s="6" t="s">
        <v>272</v>
      </c>
      <c r="D1405" s="34">
        <v>26</v>
      </c>
      <c r="E1405" s="32">
        <f>DAY(TableAopCalendar[[#This Row],[Date]])</f>
        <v>2</v>
      </c>
      <c r="F1405" s="32">
        <f>IF(TableAopCalendar[[#This Row],[Day]]&lt;8,1,IF(TableAopCalendar[[#This Row],[Day]]&lt;15,2,IF(TableAopCalendar[[#This Row],[Day]]&lt;22,3,IF(TableAopCalendar[[#This Row],[Day]]&lt;29,4,IF(TableAopCalendar[[#This Row],[Day]]&lt;32,5)))))</f>
        <v>1</v>
      </c>
      <c r="G1405" s="32" t="str">
        <f t="shared" si="79"/>
        <v>Week 1</v>
      </c>
      <c r="H1405" s="32" t="str">
        <f t="shared" si="80"/>
        <v>February 26 Week 1</v>
      </c>
      <c r="I1405" s="32" t="str">
        <f>CONCATENATE(UPPER(TableAopCalendar[[#This Row],[Month]])," ",TableAopCalendar[[#This Row],[Year]])</f>
        <v>FEBRUARY 26</v>
      </c>
      <c r="J1405" s="7" t="s">
        <v>274</v>
      </c>
      <c r="K1405" s="32" t="str">
        <f>CONCATENATE(TableAopCalendar[[#This Row],[Month for Plan]]," ",TableAopCalendar[[#This Row],[Plan]])</f>
        <v>FEBRUARY 26 PLANNED</v>
      </c>
    </row>
    <row r="1406" spans="1:11" x14ac:dyDescent="0.3">
      <c r="A1406" s="32">
        <f t="shared" si="78"/>
        <v>3</v>
      </c>
      <c r="B1406" s="33">
        <v>46056</v>
      </c>
      <c r="C1406" s="6" t="s">
        <v>272</v>
      </c>
      <c r="D1406" s="34">
        <v>26</v>
      </c>
      <c r="E1406" s="32">
        <f>DAY(TableAopCalendar[[#This Row],[Date]])</f>
        <v>3</v>
      </c>
      <c r="F1406" s="32">
        <f>IF(TableAopCalendar[[#This Row],[Day]]&lt;8,1,IF(TableAopCalendar[[#This Row],[Day]]&lt;15,2,IF(TableAopCalendar[[#This Row],[Day]]&lt;22,3,IF(TableAopCalendar[[#This Row],[Day]]&lt;29,4,IF(TableAopCalendar[[#This Row],[Day]]&lt;32,5)))))</f>
        <v>1</v>
      </c>
      <c r="G1406" s="32" t="str">
        <f t="shared" si="79"/>
        <v>Week 1</v>
      </c>
      <c r="H1406" s="32" t="str">
        <f t="shared" si="80"/>
        <v>February 26 Week 1</v>
      </c>
      <c r="I1406" s="32" t="str">
        <f>CONCATENATE(UPPER(TableAopCalendar[[#This Row],[Month]])," ",TableAopCalendar[[#This Row],[Year]])</f>
        <v>FEBRUARY 26</v>
      </c>
      <c r="J1406" s="7" t="s">
        <v>274</v>
      </c>
      <c r="K1406" s="32" t="str">
        <f>CONCATENATE(TableAopCalendar[[#This Row],[Month for Plan]]," ",TableAopCalendar[[#This Row],[Plan]])</f>
        <v>FEBRUARY 26 PLANNED</v>
      </c>
    </row>
    <row r="1407" spans="1:11" x14ac:dyDescent="0.3">
      <c r="A1407" s="32">
        <f t="shared" si="78"/>
        <v>4</v>
      </c>
      <c r="B1407" s="33">
        <v>46057</v>
      </c>
      <c r="C1407" s="6" t="s">
        <v>272</v>
      </c>
      <c r="D1407" s="34">
        <v>26</v>
      </c>
      <c r="E1407" s="32">
        <f>DAY(TableAopCalendar[[#This Row],[Date]])</f>
        <v>4</v>
      </c>
      <c r="F1407" s="32">
        <f>IF(TableAopCalendar[[#This Row],[Day]]&lt;8,1,IF(TableAopCalendar[[#This Row],[Day]]&lt;15,2,IF(TableAopCalendar[[#This Row],[Day]]&lt;22,3,IF(TableAopCalendar[[#This Row],[Day]]&lt;29,4,IF(TableAopCalendar[[#This Row],[Day]]&lt;32,5)))))</f>
        <v>1</v>
      </c>
      <c r="G1407" s="32" t="str">
        <f t="shared" si="79"/>
        <v>Week 1</v>
      </c>
      <c r="H1407" s="32" t="str">
        <f t="shared" si="80"/>
        <v>February 26 Week 1</v>
      </c>
      <c r="I1407" s="32" t="str">
        <f>CONCATENATE(UPPER(TableAopCalendar[[#This Row],[Month]])," ",TableAopCalendar[[#This Row],[Year]])</f>
        <v>FEBRUARY 26</v>
      </c>
      <c r="J1407" s="7" t="s">
        <v>274</v>
      </c>
      <c r="K1407" s="32" t="str">
        <f>CONCATENATE(TableAopCalendar[[#This Row],[Month for Plan]]," ",TableAopCalendar[[#This Row],[Plan]])</f>
        <v>FEBRUARY 26 PLANNED</v>
      </c>
    </row>
    <row r="1408" spans="1:11" x14ac:dyDescent="0.3">
      <c r="A1408" s="32">
        <f t="shared" si="78"/>
        <v>5</v>
      </c>
      <c r="B1408" s="33">
        <v>46058</v>
      </c>
      <c r="C1408" s="6" t="s">
        <v>272</v>
      </c>
      <c r="D1408" s="34">
        <v>26</v>
      </c>
      <c r="E1408" s="32">
        <f>DAY(TableAopCalendar[[#This Row],[Date]])</f>
        <v>5</v>
      </c>
      <c r="F1408" s="32">
        <f>IF(TableAopCalendar[[#This Row],[Day]]&lt;8,1,IF(TableAopCalendar[[#This Row],[Day]]&lt;15,2,IF(TableAopCalendar[[#This Row],[Day]]&lt;22,3,IF(TableAopCalendar[[#This Row],[Day]]&lt;29,4,IF(TableAopCalendar[[#This Row],[Day]]&lt;32,5)))))</f>
        <v>1</v>
      </c>
      <c r="G1408" s="32" t="str">
        <f t="shared" si="79"/>
        <v>Week 1</v>
      </c>
      <c r="H1408" s="32" t="str">
        <f t="shared" si="80"/>
        <v>February 26 Week 1</v>
      </c>
      <c r="I1408" s="32" t="str">
        <f>CONCATENATE(UPPER(TableAopCalendar[[#This Row],[Month]])," ",TableAopCalendar[[#This Row],[Year]])</f>
        <v>FEBRUARY 26</v>
      </c>
      <c r="J1408" s="7" t="s">
        <v>274</v>
      </c>
      <c r="K1408" s="32" t="str">
        <f>CONCATENATE(TableAopCalendar[[#This Row],[Month for Plan]]," ",TableAopCalendar[[#This Row],[Plan]])</f>
        <v>FEBRUARY 26 PLANNED</v>
      </c>
    </row>
    <row r="1409" spans="1:11" x14ac:dyDescent="0.3">
      <c r="A1409" s="32">
        <f t="shared" si="78"/>
        <v>6</v>
      </c>
      <c r="B1409" s="33">
        <v>46059</v>
      </c>
      <c r="C1409" s="6" t="s">
        <v>272</v>
      </c>
      <c r="D1409" s="34">
        <v>26</v>
      </c>
      <c r="E1409" s="32">
        <f>DAY(TableAopCalendar[[#This Row],[Date]])</f>
        <v>6</v>
      </c>
      <c r="F1409" s="32">
        <f>IF(TableAopCalendar[[#This Row],[Day]]&lt;8,1,IF(TableAopCalendar[[#This Row],[Day]]&lt;15,2,IF(TableAopCalendar[[#This Row],[Day]]&lt;22,3,IF(TableAopCalendar[[#This Row],[Day]]&lt;29,4,IF(TableAopCalendar[[#This Row],[Day]]&lt;32,5)))))</f>
        <v>1</v>
      </c>
      <c r="G1409" s="32" t="str">
        <f t="shared" si="79"/>
        <v>Week 1</v>
      </c>
      <c r="H1409" s="32" t="str">
        <f t="shared" si="80"/>
        <v>February 26 Week 1</v>
      </c>
      <c r="I1409" s="32" t="str">
        <f>CONCATENATE(UPPER(TableAopCalendar[[#This Row],[Month]])," ",TableAopCalendar[[#This Row],[Year]])</f>
        <v>FEBRUARY 26</v>
      </c>
      <c r="J1409" s="7" t="s">
        <v>274</v>
      </c>
      <c r="K1409" s="32" t="str">
        <f>CONCATENATE(TableAopCalendar[[#This Row],[Month for Plan]]," ",TableAopCalendar[[#This Row],[Plan]])</f>
        <v>FEBRUARY 26 PLANNED</v>
      </c>
    </row>
    <row r="1410" spans="1:11" x14ac:dyDescent="0.3">
      <c r="A1410" s="32">
        <f t="shared" si="78"/>
        <v>7</v>
      </c>
      <c r="B1410" s="33">
        <v>46060</v>
      </c>
      <c r="C1410" s="6" t="s">
        <v>272</v>
      </c>
      <c r="D1410" s="34">
        <v>26</v>
      </c>
      <c r="E1410" s="32">
        <f>DAY(TableAopCalendar[[#This Row],[Date]])</f>
        <v>7</v>
      </c>
      <c r="F1410" s="32">
        <f>IF(TableAopCalendar[[#This Row],[Day]]&lt;8,1,IF(TableAopCalendar[[#This Row],[Day]]&lt;15,2,IF(TableAopCalendar[[#This Row],[Day]]&lt;22,3,IF(TableAopCalendar[[#This Row],[Day]]&lt;29,4,IF(TableAopCalendar[[#This Row],[Day]]&lt;32,5)))))</f>
        <v>1</v>
      </c>
      <c r="G1410" s="32" t="str">
        <f t="shared" si="79"/>
        <v>Week 1</v>
      </c>
      <c r="H1410" s="32" t="str">
        <f t="shared" si="80"/>
        <v>February 26 Week 1</v>
      </c>
      <c r="I1410" s="32" t="str">
        <f>CONCATENATE(UPPER(TableAopCalendar[[#This Row],[Month]])," ",TableAopCalendar[[#This Row],[Year]])</f>
        <v>FEBRUARY 26</v>
      </c>
      <c r="J1410" s="7" t="s">
        <v>274</v>
      </c>
      <c r="K1410" s="32" t="str">
        <f>CONCATENATE(TableAopCalendar[[#This Row],[Month for Plan]]," ",TableAopCalendar[[#This Row],[Plan]])</f>
        <v>FEBRUARY 26 PLANNED</v>
      </c>
    </row>
    <row r="1411" spans="1:11" x14ac:dyDescent="0.3">
      <c r="A1411" s="32">
        <f t="shared" si="78"/>
        <v>1</v>
      </c>
      <c r="B1411" s="33">
        <v>46061</v>
      </c>
      <c r="C1411" s="6" t="s">
        <v>272</v>
      </c>
      <c r="D1411" s="34">
        <v>26</v>
      </c>
      <c r="E1411" s="32">
        <f>DAY(TableAopCalendar[[#This Row],[Date]])</f>
        <v>8</v>
      </c>
      <c r="F1411" s="32">
        <f>IF(TableAopCalendar[[#This Row],[Day]]&lt;8,1,IF(TableAopCalendar[[#This Row],[Day]]&lt;15,2,IF(TableAopCalendar[[#This Row],[Day]]&lt;22,3,IF(TableAopCalendar[[#This Row],[Day]]&lt;29,4,IF(TableAopCalendar[[#This Row],[Day]]&lt;32,5)))))</f>
        <v>2</v>
      </c>
      <c r="G1411" s="32" t="str">
        <f t="shared" si="79"/>
        <v>Week 2</v>
      </c>
      <c r="H1411" s="32" t="str">
        <f t="shared" si="80"/>
        <v>February 26 Week 2</v>
      </c>
      <c r="I1411" s="32" t="str">
        <f>CONCATENATE(UPPER(TableAopCalendar[[#This Row],[Month]])," ",TableAopCalendar[[#This Row],[Year]])</f>
        <v>FEBRUARY 26</v>
      </c>
      <c r="J1411" s="7" t="s">
        <v>274</v>
      </c>
      <c r="K1411" s="32" t="str">
        <f>CONCATENATE(TableAopCalendar[[#This Row],[Month for Plan]]," ",TableAopCalendar[[#This Row],[Plan]])</f>
        <v>FEBRUARY 26 PLANNED</v>
      </c>
    </row>
    <row r="1412" spans="1:11" x14ac:dyDescent="0.3">
      <c r="A1412" s="32">
        <f t="shared" si="78"/>
        <v>2</v>
      </c>
      <c r="B1412" s="33">
        <v>46062</v>
      </c>
      <c r="C1412" s="6" t="s">
        <v>272</v>
      </c>
      <c r="D1412" s="34">
        <v>26</v>
      </c>
      <c r="E1412" s="32">
        <f>DAY(TableAopCalendar[[#This Row],[Date]])</f>
        <v>9</v>
      </c>
      <c r="F1412" s="32">
        <f>IF(TableAopCalendar[[#This Row],[Day]]&lt;8,1,IF(TableAopCalendar[[#This Row],[Day]]&lt;15,2,IF(TableAopCalendar[[#This Row],[Day]]&lt;22,3,IF(TableAopCalendar[[#This Row],[Day]]&lt;29,4,IF(TableAopCalendar[[#This Row],[Day]]&lt;32,5)))))</f>
        <v>2</v>
      </c>
      <c r="G1412" s="32" t="str">
        <f t="shared" si="79"/>
        <v>Week 2</v>
      </c>
      <c r="H1412" s="32" t="str">
        <f t="shared" si="80"/>
        <v>February 26 Week 2</v>
      </c>
      <c r="I1412" s="32" t="str">
        <f>CONCATENATE(UPPER(TableAopCalendar[[#This Row],[Month]])," ",TableAopCalendar[[#This Row],[Year]])</f>
        <v>FEBRUARY 26</v>
      </c>
      <c r="J1412" s="7" t="s">
        <v>274</v>
      </c>
      <c r="K1412" s="32" t="str">
        <f>CONCATENATE(TableAopCalendar[[#This Row],[Month for Plan]]," ",TableAopCalendar[[#This Row],[Plan]])</f>
        <v>FEBRUARY 26 PLANNED</v>
      </c>
    </row>
    <row r="1413" spans="1:11" x14ac:dyDescent="0.3">
      <c r="A1413" s="32">
        <f t="shared" si="78"/>
        <v>3</v>
      </c>
      <c r="B1413" s="33">
        <v>46063</v>
      </c>
      <c r="C1413" s="6" t="s">
        <v>272</v>
      </c>
      <c r="D1413" s="34">
        <v>26</v>
      </c>
      <c r="E1413" s="32">
        <f>DAY(TableAopCalendar[[#This Row],[Date]])</f>
        <v>10</v>
      </c>
      <c r="F1413" s="32">
        <f>IF(TableAopCalendar[[#This Row],[Day]]&lt;8,1,IF(TableAopCalendar[[#This Row],[Day]]&lt;15,2,IF(TableAopCalendar[[#This Row],[Day]]&lt;22,3,IF(TableAopCalendar[[#This Row],[Day]]&lt;29,4,IF(TableAopCalendar[[#This Row],[Day]]&lt;32,5)))))</f>
        <v>2</v>
      </c>
      <c r="G1413" s="32" t="str">
        <f t="shared" si="79"/>
        <v>Week 2</v>
      </c>
      <c r="H1413" s="32" t="str">
        <f t="shared" si="80"/>
        <v>February 26 Week 2</v>
      </c>
      <c r="I1413" s="32" t="str">
        <f>CONCATENATE(UPPER(TableAopCalendar[[#This Row],[Month]])," ",TableAopCalendar[[#This Row],[Year]])</f>
        <v>FEBRUARY 26</v>
      </c>
      <c r="J1413" s="7" t="s">
        <v>274</v>
      </c>
      <c r="K1413" s="32" t="str">
        <f>CONCATENATE(TableAopCalendar[[#This Row],[Month for Plan]]," ",TableAopCalendar[[#This Row],[Plan]])</f>
        <v>FEBRUARY 26 PLANNED</v>
      </c>
    </row>
    <row r="1414" spans="1:11" x14ac:dyDescent="0.3">
      <c r="A1414" s="32">
        <f t="shared" si="78"/>
        <v>4</v>
      </c>
      <c r="B1414" s="33">
        <v>46064</v>
      </c>
      <c r="C1414" s="6" t="s">
        <v>272</v>
      </c>
      <c r="D1414" s="34">
        <v>26</v>
      </c>
      <c r="E1414" s="32">
        <f>DAY(TableAopCalendar[[#This Row],[Date]])</f>
        <v>11</v>
      </c>
      <c r="F1414" s="32">
        <f>IF(TableAopCalendar[[#This Row],[Day]]&lt;8,1,IF(TableAopCalendar[[#This Row],[Day]]&lt;15,2,IF(TableAopCalendar[[#This Row],[Day]]&lt;22,3,IF(TableAopCalendar[[#This Row],[Day]]&lt;29,4,IF(TableAopCalendar[[#This Row],[Day]]&lt;32,5)))))</f>
        <v>2</v>
      </c>
      <c r="G1414" s="32" t="str">
        <f t="shared" si="79"/>
        <v>Week 2</v>
      </c>
      <c r="H1414" s="32" t="str">
        <f t="shared" si="80"/>
        <v>February 26 Week 2</v>
      </c>
      <c r="I1414" s="32" t="str">
        <f>CONCATENATE(UPPER(TableAopCalendar[[#This Row],[Month]])," ",TableAopCalendar[[#This Row],[Year]])</f>
        <v>FEBRUARY 26</v>
      </c>
      <c r="J1414" s="7" t="s">
        <v>274</v>
      </c>
      <c r="K1414" s="32" t="str">
        <f>CONCATENATE(TableAopCalendar[[#This Row],[Month for Plan]]," ",TableAopCalendar[[#This Row],[Plan]])</f>
        <v>FEBRUARY 26 PLANNED</v>
      </c>
    </row>
    <row r="1415" spans="1:11" x14ac:dyDescent="0.3">
      <c r="A1415" s="32">
        <f t="shared" si="78"/>
        <v>5</v>
      </c>
      <c r="B1415" s="33">
        <v>46065</v>
      </c>
      <c r="C1415" s="6" t="s">
        <v>272</v>
      </c>
      <c r="D1415" s="34">
        <v>26</v>
      </c>
      <c r="E1415" s="32">
        <f>DAY(TableAopCalendar[[#This Row],[Date]])</f>
        <v>12</v>
      </c>
      <c r="F1415" s="32">
        <f>IF(TableAopCalendar[[#This Row],[Day]]&lt;8,1,IF(TableAopCalendar[[#This Row],[Day]]&lt;15,2,IF(TableAopCalendar[[#This Row],[Day]]&lt;22,3,IF(TableAopCalendar[[#This Row],[Day]]&lt;29,4,IF(TableAopCalendar[[#This Row],[Day]]&lt;32,5)))))</f>
        <v>2</v>
      </c>
      <c r="G1415" s="32" t="str">
        <f t="shared" si="79"/>
        <v>Week 2</v>
      </c>
      <c r="H1415" s="32" t="str">
        <f t="shared" si="80"/>
        <v>February 26 Week 2</v>
      </c>
      <c r="I1415" s="32" t="str">
        <f>CONCATENATE(UPPER(TableAopCalendar[[#This Row],[Month]])," ",TableAopCalendar[[#This Row],[Year]])</f>
        <v>FEBRUARY 26</v>
      </c>
      <c r="J1415" s="7" t="s">
        <v>274</v>
      </c>
      <c r="K1415" s="32" t="str">
        <f>CONCATENATE(TableAopCalendar[[#This Row],[Month for Plan]]," ",TableAopCalendar[[#This Row],[Plan]])</f>
        <v>FEBRUARY 26 PLANNED</v>
      </c>
    </row>
    <row r="1416" spans="1:11" x14ac:dyDescent="0.3">
      <c r="A1416" s="32">
        <f t="shared" si="78"/>
        <v>6</v>
      </c>
      <c r="B1416" s="33">
        <v>46066</v>
      </c>
      <c r="C1416" s="6" t="s">
        <v>272</v>
      </c>
      <c r="D1416" s="34">
        <v>26</v>
      </c>
      <c r="E1416" s="32">
        <f>DAY(TableAopCalendar[[#This Row],[Date]])</f>
        <v>13</v>
      </c>
      <c r="F1416" s="32">
        <f>IF(TableAopCalendar[[#This Row],[Day]]&lt;8,1,IF(TableAopCalendar[[#This Row],[Day]]&lt;15,2,IF(TableAopCalendar[[#This Row],[Day]]&lt;22,3,IF(TableAopCalendar[[#This Row],[Day]]&lt;29,4,IF(TableAopCalendar[[#This Row],[Day]]&lt;32,5)))))</f>
        <v>2</v>
      </c>
      <c r="G1416" s="32" t="str">
        <f t="shared" si="79"/>
        <v>Week 2</v>
      </c>
      <c r="H1416" s="32" t="str">
        <f t="shared" si="80"/>
        <v>February 26 Week 2</v>
      </c>
      <c r="I1416" s="32" t="str">
        <f>CONCATENATE(UPPER(TableAopCalendar[[#This Row],[Month]])," ",TableAopCalendar[[#This Row],[Year]])</f>
        <v>FEBRUARY 26</v>
      </c>
      <c r="J1416" s="7" t="s">
        <v>274</v>
      </c>
      <c r="K1416" s="32" t="str">
        <f>CONCATENATE(TableAopCalendar[[#This Row],[Month for Plan]]," ",TableAopCalendar[[#This Row],[Plan]])</f>
        <v>FEBRUARY 26 PLANNED</v>
      </c>
    </row>
    <row r="1417" spans="1:11" x14ac:dyDescent="0.3">
      <c r="A1417" s="32">
        <f t="shared" si="78"/>
        <v>7</v>
      </c>
      <c r="B1417" s="33">
        <v>46067</v>
      </c>
      <c r="C1417" s="6" t="s">
        <v>272</v>
      </c>
      <c r="D1417" s="34">
        <v>26</v>
      </c>
      <c r="E1417" s="32">
        <f>DAY(TableAopCalendar[[#This Row],[Date]])</f>
        <v>14</v>
      </c>
      <c r="F1417" s="32">
        <f>IF(TableAopCalendar[[#This Row],[Day]]&lt;8,1,IF(TableAopCalendar[[#This Row],[Day]]&lt;15,2,IF(TableAopCalendar[[#This Row],[Day]]&lt;22,3,IF(TableAopCalendar[[#This Row],[Day]]&lt;29,4,IF(TableAopCalendar[[#This Row],[Day]]&lt;32,5)))))</f>
        <v>2</v>
      </c>
      <c r="G1417" s="32" t="str">
        <f t="shared" si="79"/>
        <v>Week 2</v>
      </c>
      <c r="H1417" s="32" t="str">
        <f t="shared" si="80"/>
        <v>February 26 Week 2</v>
      </c>
      <c r="I1417" s="32" t="str">
        <f>CONCATENATE(UPPER(TableAopCalendar[[#This Row],[Month]])," ",TableAopCalendar[[#This Row],[Year]])</f>
        <v>FEBRUARY 26</v>
      </c>
      <c r="J1417" s="7" t="s">
        <v>274</v>
      </c>
      <c r="K1417" s="32" t="str">
        <f>CONCATENATE(TableAopCalendar[[#This Row],[Month for Plan]]," ",TableAopCalendar[[#This Row],[Plan]])</f>
        <v>FEBRUARY 26 PLANNED</v>
      </c>
    </row>
    <row r="1418" spans="1:11" x14ac:dyDescent="0.3">
      <c r="A1418" s="32">
        <f t="shared" si="78"/>
        <v>1</v>
      </c>
      <c r="B1418" s="33">
        <v>46068</v>
      </c>
      <c r="C1418" s="6" t="s">
        <v>272</v>
      </c>
      <c r="D1418" s="34">
        <v>26</v>
      </c>
      <c r="E1418" s="32">
        <f>DAY(TableAopCalendar[[#This Row],[Date]])</f>
        <v>15</v>
      </c>
      <c r="F1418" s="32">
        <f>IF(TableAopCalendar[[#This Row],[Day]]&lt;8,1,IF(TableAopCalendar[[#This Row],[Day]]&lt;15,2,IF(TableAopCalendar[[#This Row],[Day]]&lt;22,3,IF(TableAopCalendar[[#This Row],[Day]]&lt;29,4,IF(TableAopCalendar[[#This Row],[Day]]&lt;32,5)))))</f>
        <v>3</v>
      </c>
      <c r="G1418" s="32" t="str">
        <f t="shared" si="79"/>
        <v>Week 3</v>
      </c>
      <c r="H1418" s="32" t="str">
        <f t="shared" si="80"/>
        <v>February 26 Week 3</v>
      </c>
      <c r="I1418" s="32" t="str">
        <f>CONCATENATE(UPPER(TableAopCalendar[[#This Row],[Month]])," ",TableAopCalendar[[#This Row],[Year]])</f>
        <v>FEBRUARY 26</v>
      </c>
      <c r="J1418" s="7" t="s">
        <v>274</v>
      </c>
      <c r="K1418" s="32" t="str">
        <f>CONCATENATE(TableAopCalendar[[#This Row],[Month for Plan]]," ",TableAopCalendar[[#This Row],[Plan]])</f>
        <v>FEBRUARY 26 PLANNED</v>
      </c>
    </row>
    <row r="1419" spans="1:11" x14ac:dyDescent="0.3">
      <c r="A1419" s="32">
        <f t="shared" ref="A1419:A1482" si="81">IF(G1419=G1418,A1418+1,1)</f>
        <v>2</v>
      </c>
      <c r="B1419" s="33">
        <v>46069</v>
      </c>
      <c r="C1419" s="6" t="s">
        <v>272</v>
      </c>
      <c r="D1419" s="34">
        <v>26</v>
      </c>
      <c r="E1419" s="32">
        <f>DAY(TableAopCalendar[[#This Row],[Date]])</f>
        <v>16</v>
      </c>
      <c r="F1419" s="32">
        <f>IF(TableAopCalendar[[#This Row],[Day]]&lt;8,1,IF(TableAopCalendar[[#This Row],[Day]]&lt;15,2,IF(TableAopCalendar[[#This Row],[Day]]&lt;22,3,IF(TableAopCalendar[[#This Row],[Day]]&lt;29,4,IF(TableAopCalendar[[#This Row],[Day]]&lt;32,5)))))</f>
        <v>3</v>
      </c>
      <c r="G1419" s="32" t="str">
        <f t="shared" ref="G1419:G1482" si="82">"Week"&amp;" "&amp;F1419</f>
        <v>Week 3</v>
      </c>
      <c r="H1419" s="32" t="str">
        <f t="shared" ref="H1419:H1482" si="83">CONCATENATE(C1419," ",D1419," ",G1419)</f>
        <v>February 26 Week 3</v>
      </c>
      <c r="I1419" s="32" t="str">
        <f>CONCATENATE(UPPER(TableAopCalendar[[#This Row],[Month]])," ",TableAopCalendar[[#This Row],[Year]])</f>
        <v>FEBRUARY 26</v>
      </c>
      <c r="J1419" s="7" t="s">
        <v>274</v>
      </c>
      <c r="K1419" s="32" t="str">
        <f>CONCATENATE(TableAopCalendar[[#This Row],[Month for Plan]]," ",TableAopCalendar[[#This Row],[Plan]])</f>
        <v>FEBRUARY 26 PLANNED</v>
      </c>
    </row>
    <row r="1420" spans="1:11" x14ac:dyDescent="0.3">
      <c r="A1420" s="32">
        <f t="shared" si="81"/>
        <v>3</v>
      </c>
      <c r="B1420" s="33">
        <v>46070</v>
      </c>
      <c r="C1420" s="6" t="s">
        <v>272</v>
      </c>
      <c r="D1420" s="34">
        <v>26</v>
      </c>
      <c r="E1420" s="32">
        <f>DAY(TableAopCalendar[[#This Row],[Date]])</f>
        <v>17</v>
      </c>
      <c r="F1420" s="32">
        <f>IF(TableAopCalendar[[#This Row],[Day]]&lt;8,1,IF(TableAopCalendar[[#This Row],[Day]]&lt;15,2,IF(TableAopCalendar[[#This Row],[Day]]&lt;22,3,IF(TableAopCalendar[[#This Row],[Day]]&lt;29,4,IF(TableAopCalendar[[#This Row],[Day]]&lt;32,5)))))</f>
        <v>3</v>
      </c>
      <c r="G1420" s="32" t="str">
        <f t="shared" si="82"/>
        <v>Week 3</v>
      </c>
      <c r="H1420" s="32" t="str">
        <f t="shared" si="83"/>
        <v>February 26 Week 3</v>
      </c>
      <c r="I1420" s="32" t="str">
        <f>CONCATENATE(UPPER(TableAopCalendar[[#This Row],[Month]])," ",TableAopCalendar[[#This Row],[Year]])</f>
        <v>FEBRUARY 26</v>
      </c>
      <c r="J1420" s="7" t="s">
        <v>274</v>
      </c>
      <c r="K1420" s="32" t="str">
        <f>CONCATENATE(TableAopCalendar[[#This Row],[Month for Plan]]," ",TableAopCalendar[[#This Row],[Plan]])</f>
        <v>FEBRUARY 26 PLANNED</v>
      </c>
    </row>
    <row r="1421" spans="1:11" x14ac:dyDescent="0.3">
      <c r="A1421" s="32">
        <f t="shared" si="81"/>
        <v>4</v>
      </c>
      <c r="B1421" s="33">
        <v>46071</v>
      </c>
      <c r="C1421" s="6" t="s">
        <v>272</v>
      </c>
      <c r="D1421" s="34">
        <v>26</v>
      </c>
      <c r="E1421" s="32">
        <f>DAY(TableAopCalendar[[#This Row],[Date]])</f>
        <v>18</v>
      </c>
      <c r="F1421" s="32">
        <f>IF(TableAopCalendar[[#This Row],[Day]]&lt;8,1,IF(TableAopCalendar[[#This Row],[Day]]&lt;15,2,IF(TableAopCalendar[[#This Row],[Day]]&lt;22,3,IF(TableAopCalendar[[#This Row],[Day]]&lt;29,4,IF(TableAopCalendar[[#This Row],[Day]]&lt;32,5)))))</f>
        <v>3</v>
      </c>
      <c r="G1421" s="32" t="str">
        <f t="shared" si="82"/>
        <v>Week 3</v>
      </c>
      <c r="H1421" s="32" t="str">
        <f t="shared" si="83"/>
        <v>February 26 Week 3</v>
      </c>
      <c r="I1421" s="32" t="str">
        <f>CONCATENATE(UPPER(TableAopCalendar[[#This Row],[Month]])," ",TableAopCalendar[[#This Row],[Year]])</f>
        <v>FEBRUARY 26</v>
      </c>
      <c r="J1421" s="7" t="s">
        <v>274</v>
      </c>
      <c r="K1421" s="32" t="str">
        <f>CONCATENATE(TableAopCalendar[[#This Row],[Month for Plan]]," ",TableAopCalendar[[#This Row],[Plan]])</f>
        <v>FEBRUARY 26 PLANNED</v>
      </c>
    </row>
    <row r="1422" spans="1:11" x14ac:dyDescent="0.3">
      <c r="A1422" s="32">
        <f t="shared" si="81"/>
        <v>5</v>
      </c>
      <c r="B1422" s="33">
        <v>46072</v>
      </c>
      <c r="C1422" s="6" t="s">
        <v>272</v>
      </c>
      <c r="D1422" s="34">
        <v>26</v>
      </c>
      <c r="E1422" s="32">
        <f>DAY(TableAopCalendar[[#This Row],[Date]])</f>
        <v>19</v>
      </c>
      <c r="F1422" s="32">
        <f>IF(TableAopCalendar[[#This Row],[Day]]&lt;8,1,IF(TableAopCalendar[[#This Row],[Day]]&lt;15,2,IF(TableAopCalendar[[#This Row],[Day]]&lt;22,3,IF(TableAopCalendar[[#This Row],[Day]]&lt;29,4,IF(TableAopCalendar[[#This Row],[Day]]&lt;32,5)))))</f>
        <v>3</v>
      </c>
      <c r="G1422" s="32" t="str">
        <f t="shared" si="82"/>
        <v>Week 3</v>
      </c>
      <c r="H1422" s="32" t="str">
        <f t="shared" si="83"/>
        <v>February 26 Week 3</v>
      </c>
      <c r="I1422" s="32" t="str">
        <f>CONCATENATE(UPPER(TableAopCalendar[[#This Row],[Month]])," ",TableAopCalendar[[#This Row],[Year]])</f>
        <v>FEBRUARY 26</v>
      </c>
      <c r="J1422" s="7" t="s">
        <v>274</v>
      </c>
      <c r="K1422" s="32" t="str">
        <f>CONCATENATE(TableAopCalendar[[#This Row],[Month for Plan]]," ",TableAopCalendar[[#This Row],[Plan]])</f>
        <v>FEBRUARY 26 PLANNED</v>
      </c>
    </row>
    <row r="1423" spans="1:11" x14ac:dyDescent="0.3">
      <c r="A1423" s="32">
        <f t="shared" si="81"/>
        <v>6</v>
      </c>
      <c r="B1423" s="33">
        <v>46073</v>
      </c>
      <c r="C1423" s="6" t="s">
        <v>272</v>
      </c>
      <c r="D1423" s="34">
        <v>26</v>
      </c>
      <c r="E1423" s="32">
        <f>DAY(TableAopCalendar[[#This Row],[Date]])</f>
        <v>20</v>
      </c>
      <c r="F1423" s="32">
        <f>IF(TableAopCalendar[[#This Row],[Day]]&lt;8,1,IF(TableAopCalendar[[#This Row],[Day]]&lt;15,2,IF(TableAopCalendar[[#This Row],[Day]]&lt;22,3,IF(TableAopCalendar[[#This Row],[Day]]&lt;29,4,IF(TableAopCalendar[[#This Row],[Day]]&lt;32,5)))))</f>
        <v>3</v>
      </c>
      <c r="G1423" s="32" t="str">
        <f t="shared" si="82"/>
        <v>Week 3</v>
      </c>
      <c r="H1423" s="32" t="str">
        <f t="shared" si="83"/>
        <v>February 26 Week 3</v>
      </c>
      <c r="I1423" s="32" t="str">
        <f>CONCATENATE(UPPER(TableAopCalendar[[#This Row],[Month]])," ",TableAopCalendar[[#This Row],[Year]])</f>
        <v>FEBRUARY 26</v>
      </c>
      <c r="J1423" s="7" t="s">
        <v>274</v>
      </c>
      <c r="K1423" s="32" t="str">
        <f>CONCATENATE(TableAopCalendar[[#This Row],[Month for Plan]]," ",TableAopCalendar[[#This Row],[Plan]])</f>
        <v>FEBRUARY 26 PLANNED</v>
      </c>
    </row>
    <row r="1424" spans="1:11" x14ac:dyDescent="0.3">
      <c r="A1424" s="32">
        <f t="shared" si="81"/>
        <v>7</v>
      </c>
      <c r="B1424" s="33">
        <v>46074</v>
      </c>
      <c r="C1424" s="6" t="s">
        <v>272</v>
      </c>
      <c r="D1424" s="34">
        <v>26</v>
      </c>
      <c r="E1424" s="32">
        <f>DAY(TableAopCalendar[[#This Row],[Date]])</f>
        <v>21</v>
      </c>
      <c r="F1424" s="32">
        <f>IF(TableAopCalendar[[#This Row],[Day]]&lt;8,1,IF(TableAopCalendar[[#This Row],[Day]]&lt;15,2,IF(TableAopCalendar[[#This Row],[Day]]&lt;22,3,IF(TableAopCalendar[[#This Row],[Day]]&lt;29,4,IF(TableAopCalendar[[#This Row],[Day]]&lt;32,5)))))</f>
        <v>3</v>
      </c>
      <c r="G1424" s="32" t="str">
        <f t="shared" si="82"/>
        <v>Week 3</v>
      </c>
      <c r="H1424" s="32" t="str">
        <f t="shared" si="83"/>
        <v>February 26 Week 3</v>
      </c>
      <c r="I1424" s="32" t="str">
        <f>CONCATENATE(UPPER(TableAopCalendar[[#This Row],[Month]])," ",TableAopCalendar[[#This Row],[Year]])</f>
        <v>FEBRUARY 26</v>
      </c>
      <c r="J1424" s="7" t="s">
        <v>274</v>
      </c>
      <c r="K1424" s="32" t="str">
        <f>CONCATENATE(TableAopCalendar[[#This Row],[Month for Plan]]," ",TableAopCalendar[[#This Row],[Plan]])</f>
        <v>FEBRUARY 26 PLANNED</v>
      </c>
    </row>
    <row r="1425" spans="1:11" x14ac:dyDescent="0.3">
      <c r="A1425" s="32">
        <f t="shared" si="81"/>
        <v>1</v>
      </c>
      <c r="B1425" s="33">
        <v>46075</v>
      </c>
      <c r="C1425" s="6" t="s">
        <v>272</v>
      </c>
      <c r="D1425" s="34">
        <v>26</v>
      </c>
      <c r="E1425" s="32">
        <f>DAY(TableAopCalendar[[#This Row],[Date]])</f>
        <v>22</v>
      </c>
      <c r="F1425" s="32">
        <f>IF(TableAopCalendar[[#This Row],[Day]]&lt;8,1,IF(TableAopCalendar[[#This Row],[Day]]&lt;15,2,IF(TableAopCalendar[[#This Row],[Day]]&lt;22,3,IF(TableAopCalendar[[#This Row],[Day]]&lt;29,4,IF(TableAopCalendar[[#This Row],[Day]]&lt;32,5)))))</f>
        <v>4</v>
      </c>
      <c r="G1425" s="32" t="str">
        <f t="shared" si="82"/>
        <v>Week 4</v>
      </c>
      <c r="H1425" s="32" t="str">
        <f t="shared" si="83"/>
        <v>February 26 Week 4</v>
      </c>
      <c r="I1425" s="32" t="str">
        <f>CONCATENATE(UPPER(TableAopCalendar[[#This Row],[Month]])," ",TableAopCalendar[[#This Row],[Year]])</f>
        <v>FEBRUARY 26</v>
      </c>
      <c r="J1425" s="7" t="s">
        <v>274</v>
      </c>
      <c r="K1425" s="32" t="str">
        <f>CONCATENATE(TableAopCalendar[[#This Row],[Month for Plan]]," ",TableAopCalendar[[#This Row],[Plan]])</f>
        <v>FEBRUARY 26 PLANNED</v>
      </c>
    </row>
    <row r="1426" spans="1:11" x14ac:dyDescent="0.3">
      <c r="A1426" s="32">
        <f t="shared" si="81"/>
        <v>2</v>
      </c>
      <c r="B1426" s="33">
        <v>46076</v>
      </c>
      <c r="C1426" s="6" t="s">
        <v>272</v>
      </c>
      <c r="D1426" s="34">
        <v>26</v>
      </c>
      <c r="E1426" s="32">
        <f>DAY(TableAopCalendar[[#This Row],[Date]])</f>
        <v>23</v>
      </c>
      <c r="F1426" s="32">
        <f>IF(TableAopCalendar[[#This Row],[Day]]&lt;8,1,IF(TableAopCalendar[[#This Row],[Day]]&lt;15,2,IF(TableAopCalendar[[#This Row],[Day]]&lt;22,3,IF(TableAopCalendar[[#This Row],[Day]]&lt;29,4,IF(TableAopCalendar[[#This Row],[Day]]&lt;32,5)))))</f>
        <v>4</v>
      </c>
      <c r="G1426" s="32" t="str">
        <f t="shared" si="82"/>
        <v>Week 4</v>
      </c>
      <c r="H1426" s="32" t="str">
        <f t="shared" si="83"/>
        <v>February 26 Week 4</v>
      </c>
      <c r="I1426" s="32" t="str">
        <f>CONCATENATE(UPPER(TableAopCalendar[[#This Row],[Month]])," ",TableAopCalendar[[#This Row],[Year]])</f>
        <v>FEBRUARY 26</v>
      </c>
      <c r="J1426" s="7" t="s">
        <v>274</v>
      </c>
      <c r="K1426" s="32" t="str">
        <f>CONCATENATE(TableAopCalendar[[#This Row],[Month for Plan]]," ",TableAopCalendar[[#This Row],[Plan]])</f>
        <v>FEBRUARY 26 PLANNED</v>
      </c>
    </row>
    <row r="1427" spans="1:11" x14ac:dyDescent="0.3">
      <c r="A1427" s="32">
        <f t="shared" si="81"/>
        <v>3</v>
      </c>
      <c r="B1427" s="33">
        <v>46077</v>
      </c>
      <c r="C1427" s="6" t="s">
        <v>272</v>
      </c>
      <c r="D1427" s="34">
        <v>26</v>
      </c>
      <c r="E1427" s="32">
        <f>DAY(TableAopCalendar[[#This Row],[Date]])</f>
        <v>24</v>
      </c>
      <c r="F1427" s="32">
        <f>IF(TableAopCalendar[[#This Row],[Day]]&lt;8,1,IF(TableAopCalendar[[#This Row],[Day]]&lt;15,2,IF(TableAopCalendar[[#This Row],[Day]]&lt;22,3,IF(TableAopCalendar[[#This Row],[Day]]&lt;29,4,IF(TableAopCalendar[[#This Row],[Day]]&lt;32,5)))))</f>
        <v>4</v>
      </c>
      <c r="G1427" s="32" t="str">
        <f t="shared" si="82"/>
        <v>Week 4</v>
      </c>
      <c r="H1427" s="32" t="str">
        <f t="shared" si="83"/>
        <v>February 26 Week 4</v>
      </c>
      <c r="I1427" s="32" t="str">
        <f>CONCATENATE(UPPER(TableAopCalendar[[#This Row],[Month]])," ",TableAopCalendar[[#This Row],[Year]])</f>
        <v>FEBRUARY 26</v>
      </c>
      <c r="J1427" s="7" t="s">
        <v>274</v>
      </c>
      <c r="K1427" s="32" t="str">
        <f>CONCATENATE(TableAopCalendar[[#This Row],[Month for Plan]]," ",TableAopCalendar[[#This Row],[Plan]])</f>
        <v>FEBRUARY 26 PLANNED</v>
      </c>
    </row>
    <row r="1428" spans="1:11" x14ac:dyDescent="0.3">
      <c r="A1428" s="32">
        <f t="shared" si="81"/>
        <v>4</v>
      </c>
      <c r="B1428" s="33">
        <v>46078</v>
      </c>
      <c r="C1428" s="6" t="s">
        <v>272</v>
      </c>
      <c r="D1428" s="34">
        <v>26</v>
      </c>
      <c r="E1428" s="32">
        <f>DAY(TableAopCalendar[[#This Row],[Date]])</f>
        <v>25</v>
      </c>
      <c r="F1428" s="32">
        <f>IF(TableAopCalendar[[#This Row],[Day]]&lt;8,1,IF(TableAopCalendar[[#This Row],[Day]]&lt;15,2,IF(TableAopCalendar[[#This Row],[Day]]&lt;22,3,IF(TableAopCalendar[[#This Row],[Day]]&lt;29,4,IF(TableAopCalendar[[#This Row],[Day]]&lt;32,5)))))</f>
        <v>4</v>
      </c>
      <c r="G1428" s="32" t="str">
        <f t="shared" si="82"/>
        <v>Week 4</v>
      </c>
      <c r="H1428" s="32" t="str">
        <f t="shared" si="83"/>
        <v>February 26 Week 4</v>
      </c>
      <c r="I1428" s="32" t="str">
        <f>CONCATENATE(UPPER(TableAopCalendar[[#This Row],[Month]])," ",TableAopCalendar[[#This Row],[Year]])</f>
        <v>FEBRUARY 26</v>
      </c>
      <c r="J1428" s="7" t="s">
        <v>274</v>
      </c>
      <c r="K1428" s="32" t="str">
        <f>CONCATENATE(TableAopCalendar[[#This Row],[Month for Plan]]," ",TableAopCalendar[[#This Row],[Plan]])</f>
        <v>FEBRUARY 26 PLANNED</v>
      </c>
    </row>
    <row r="1429" spans="1:11" x14ac:dyDescent="0.3">
      <c r="A1429" s="32">
        <f t="shared" si="81"/>
        <v>5</v>
      </c>
      <c r="B1429" s="33">
        <v>46079</v>
      </c>
      <c r="C1429" s="6" t="s">
        <v>272</v>
      </c>
      <c r="D1429" s="34">
        <v>26</v>
      </c>
      <c r="E1429" s="32">
        <f>DAY(TableAopCalendar[[#This Row],[Date]])</f>
        <v>26</v>
      </c>
      <c r="F1429" s="32">
        <f>IF(TableAopCalendar[[#This Row],[Day]]&lt;8,1,IF(TableAopCalendar[[#This Row],[Day]]&lt;15,2,IF(TableAopCalendar[[#This Row],[Day]]&lt;22,3,IF(TableAopCalendar[[#This Row],[Day]]&lt;29,4,IF(TableAopCalendar[[#This Row],[Day]]&lt;32,5)))))</f>
        <v>4</v>
      </c>
      <c r="G1429" s="32" t="str">
        <f t="shared" si="82"/>
        <v>Week 4</v>
      </c>
      <c r="H1429" s="32" t="str">
        <f t="shared" si="83"/>
        <v>February 26 Week 4</v>
      </c>
      <c r="I1429" s="32" t="str">
        <f>CONCATENATE(UPPER(TableAopCalendar[[#This Row],[Month]])," ",TableAopCalendar[[#This Row],[Year]])</f>
        <v>FEBRUARY 26</v>
      </c>
      <c r="J1429" s="7" t="s">
        <v>274</v>
      </c>
      <c r="K1429" s="32" t="str">
        <f>CONCATENATE(TableAopCalendar[[#This Row],[Month for Plan]]," ",TableAopCalendar[[#This Row],[Plan]])</f>
        <v>FEBRUARY 26 PLANNED</v>
      </c>
    </row>
    <row r="1430" spans="1:11" x14ac:dyDescent="0.3">
      <c r="A1430" s="32">
        <f t="shared" si="81"/>
        <v>6</v>
      </c>
      <c r="B1430" s="33">
        <v>46080</v>
      </c>
      <c r="C1430" s="6" t="s">
        <v>272</v>
      </c>
      <c r="D1430" s="34">
        <v>26</v>
      </c>
      <c r="E1430" s="32">
        <f>DAY(TableAopCalendar[[#This Row],[Date]])</f>
        <v>27</v>
      </c>
      <c r="F1430" s="32">
        <f>IF(TableAopCalendar[[#This Row],[Day]]&lt;8,1,IF(TableAopCalendar[[#This Row],[Day]]&lt;15,2,IF(TableAopCalendar[[#This Row],[Day]]&lt;22,3,IF(TableAopCalendar[[#This Row],[Day]]&lt;29,4,IF(TableAopCalendar[[#This Row],[Day]]&lt;32,5)))))</f>
        <v>4</v>
      </c>
      <c r="G1430" s="32" t="str">
        <f t="shared" si="82"/>
        <v>Week 4</v>
      </c>
      <c r="H1430" s="32" t="str">
        <f t="shared" si="83"/>
        <v>February 26 Week 4</v>
      </c>
      <c r="I1430" s="32" t="str">
        <f>CONCATENATE(UPPER(TableAopCalendar[[#This Row],[Month]])," ",TableAopCalendar[[#This Row],[Year]])</f>
        <v>FEBRUARY 26</v>
      </c>
      <c r="J1430" s="7" t="s">
        <v>274</v>
      </c>
      <c r="K1430" s="32" t="str">
        <f>CONCATENATE(TableAopCalendar[[#This Row],[Month for Plan]]," ",TableAopCalendar[[#This Row],[Plan]])</f>
        <v>FEBRUARY 26 PLANNED</v>
      </c>
    </row>
    <row r="1431" spans="1:11" x14ac:dyDescent="0.3">
      <c r="A1431" s="32">
        <f t="shared" si="81"/>
        <v>7</v>
      </c>
      <c r="B1431" s="33">
        <v>46081</v>
      </c>
      <c r="C1431" s="6" t="s">
        <v>272</v>
      </c>
      <c r="D1431" s="34">
        <v>26</v>
      </c>
      <c r="E1431" s="32">
        <f>DAY(TableAopCalendar[[#This Row],[Date]])</f>
        <v>28</v>
      </c>
      <c r="F1431" s="32">
        <f>IF(TableAopCalendar[[#This Row],[Day]]&lt;8,1,IF(TableAopCalendar[[#This Row],[Day]]&lt;15,2,IF(TableAopCalendar[[#This Row],[Day]]&lt;22,3,IF(TableAopCalendar[[#This Row],[Day]]&lt;29,4,IF(TableAopCalendar[[#This Row],[Day]]&lt;32,5)))))</f>
        <v>4</v>
      </c>
      <c r="G1431" s="32" t="str">
        <f t="shared" si="82"/>
        <v>Week 4</v>
      </c>
      <c r="H1431" s="32" t="str">
        <f t="shared" si="83"/>
        <v>February 26 Week 4</v>
      </c>
      <c r="I1431" s="32" t="str">
        <f>CONCATENATE(UPPER(TableAopCalendar[[#This Row],[Month]])," ",TableAopCalendar[[#This Row],[Year]])</f>
        <v>FEBRUARY 26</v>
      </c>
      <c r="J1431" s="7" t="s">
        <v>274</v>
      </c>
      <c r="K1431" s="32" t="str">
        <f>CONCATENATE(TableAopCalendar[[#This Row],[Month for Plan]]," ",TableAopCalendar[[#This Row],[Plan]])</f>
        <v>FEBRUARY 26 PLANNED</v>
      </c>
    </row>
    <row r="1432" spans="1:11" x14ac:dyDescent="0.3">
      <c r="A1432" s="32">
        <f t="shared" si="81"/>
        <v>1</v>
      </c>
      <c r="B1432" s="33">
        <v>46082</v>
      </c>
      <c r="C1432" s="6" t="s">
        <v>273</v>
      </c>
      <c r="D1432" s="34">
        <v>26</v>
      </c>
      <c r="E1432" s="32">
        <f>DAY(TableAopCalendar[[#This Row],[Date]])</f>
        <v>1</v>
      </c>
      <c r="F1432" s="32">
        <f>IF(TableAopCalendar[[#This Row],[Day]]&lt;8,1,IF(TableAopCalendar[[#This Row],[Day]]&lt;15,2,IF(TableAopCalendar[[#This Row],[Day]]&lt;22,3,IF(TableAopCalendar[[#This Row],[Day]]&lt;29,4,IF(TableAopCalendar[[#This Row],[Day]]&lt;32,5)))))</f>
        <v>1</v>
      </c>
      <c r="G1432" s="32" t="str">
        <f t="shared" si="82"/>
        <v>Week 1</v>
      </c>
      <c r="H1432" s="32" t="str">
        <f t="shared" si="83"/>
        <v>March 26 Week 1</v>
      </c>
      <c r="I1432" s="32" t="str">
        <f>CONCATENATE(UPPER(TableAopCalendar[[#This Row],[Month]])," ",TableAopCalendar[[#This Row],[Year]])</f>
        <v>MARCH 26</v>
      </c>
      <c r="J1432" s="7" t="s">
        <v>274</v>
      </c>
      <c r="K1432" s="32" t="str">
        <f>CONCATENATE(TableAopCalendar[[#This Row],[Month for Plan]]," ",TableAopCalendar[[#This Row],[Plan]])</f>
        <v>MARCH 26 PLANNED</v>
      </c>
    </row>
    <row r="1433" spans="1:11" x14ac:dyDescent="0.3">
      <c r="A1433" s="32">
        <f t="shared" si="81"/>
        <v>2</v>
      </c>
      <c r="B1433" s="33">
        <v>46083</v>
      </c>
      <c r="C1433" s="6" t="s">
        <v>273</v>
      </c>
      <c r="D1433" s="34">
        <v>26</v>
      </c>
      <c r="E1433" s="32">
        <f>DAY(TableAopCalendar[[#This Row],[Date]])</f>
        <v>2</v>
      </c>
      <c r="F1433" s="32">
        <f>IF(TableAopCalendar[[#This Row],[Day]]&lt;8,1,IF(TableAopCalendar[[#This Row],[Day]]&lt;15,2,IF(TableAopCalendar[[#This Row],[Day]]&lt;22,3,IF(TableAopCalendar[[#This Row],[Day]]&lt;29,4,IF(TableAopCalendar[[#This Row],[Day]]&lt;32,5)))))</f>
        <v>1</v>
      </c>
      <c r="G1433" s="32" t="str">
        <f t="shared" si="82"/>
        <v>Week 1</v>
      </c>
      <c r="H1433" s="32" t="str">
        <f t="shared" si="83"/>
        <v>March 26 Week 1</v>
      </c>
      <c r="I1433" s="32" t="str">
        <f>CONCATENATE(UPPER(TableAopCalendar[[#This Row],[Month]])," ",TableAopCalendar[[#This Row],[Year]])</f>
        <v>MARCH 26</v>
      </c>
      <c r="J1433" s="7" t="s">
        <v>274</v>
      </c>
      <c r="K1433" s="32" t="str">
        <f>CONCATENATE(TableAopCalendar[[#This Row],[Month for Plan]]," ",TableAopCalendar[[#This Row],[Plan]])</f>
        <v>MARCH 26 PLANNED</v>
      </c>
    </row>
    <row r="1434" spans="1:11" x14ac:dyDescent="0.3">
      <c r="A1434" s="32">
        <f t="shared" si="81"/>
        <v>3</v>
      </c>
      <c r="B1434" s="33">
        <v>46084</v>
      </c>
      <c r="C1434" s="6" t="s">
        <v>273</v>
      </c>
      <c r="D1434" s="34">
        <v>26</v>
      </c>
      <c r="E1434" s="32">
        <f>DAY(TableAopCalendar[[#This Row],[Date]])</f>
        <v>3</v>
      </c>
      <c r="F1434" s="32">
        <f>IF(TableAopCalendar[[#This Row],[Day]]&lt;8,1,IF(TableAopCalendar[[#This Row],[Day]]&lt;15,2,IF(TableAopCalendar[[#This Row],[Day]]&lt;22,3,IF(TableAopCalendar[[#This Row],[Day]]&lt;29,4,IF(TableAopCalendar[[#This Row],[Day]]&lt;32,5)))))</f>
        <v>1</v>
      </c>
      <c r="G1434" s="32" t="str">
        <f t="shared" si="82"/>
        <v>Week 1</v>
      </c>
      <c r="H1434" s="32" t="str">
        <f t="shared" si="83"/>
        <v>March 26 Week 1</v>
      </c>
      <c r="I1434" s="32" t="str">
        <f>CONCATENATE(UPPER(TableAopCalendar[[#This Row],[Month]])," ",TableAopCalendar[[#This Row],[Year]])</f>
        <v>MARCH 26</v>
      </c>
      <c r="J1434" s="7" t="s">
        <v>274</v>
      </c>
      <c r="K1434" s="32" t="str">
        <f>CONCATENATE(TableAopCalendar[[#This Row],[Month for Plan]]," ",TableAopCalendar[[#This Row],[Plan]])</f>
        <v>MARCH 26 PLANNED</v>
      </c>
    </row>
    <row r="1435" spans="1:11" x14ac:dyDescent="0.3">
      <c r="A1435" s="32">
        <f t="shared" si="81"/>
        <v>4</v>
      </c>
      <c r="B1435" s="33">
        <v>46085</v>
      </c>
      <c r="C1435" s="6" t="s">
        <v>273</v>
      </c>
      <c r="D1435" s="34">
        <v>26</v>
      </c>
      <c r="E1435" s="32">
        <f>DAY(TableAopCalendar[[#This Row],[Date]])</f>
        <v>4</v>
      </c>
      <c r="F1435" s="32">
        <f>IF(TableAopCalendar[[#This Row],[Day]]&lt;8,1,IF(TableAopCalendar[[#This Row],[Day]]&lt;15,2,IF(TableAopCalendar[[#This Row],[Day]]&lt;22,3,IF(TableAopCalendar[[#This Row],[Day]]&lt;29,4,IF(TableAopCalendar[[#This Row],[Day]]&lt;32,5)))))</f>
        <v>1</v>
      </c>
      <c r="G1435" s="32" t="str">
        <f t="shared" si="82"/>
        <v>Week 1</v>
      </c>
      <c r="H1435" s="32" t="str">
        <f t="shared" si="83"/>
        <v>March 26 Week 1</v>
      </c>
      <c r="I1435" s="32" t="str">
        <f>CONCATENATE(UPPER(TableAopCalendar[[#This Row],[Month]])," ",TableAopCalendar[[#This Row],[Year]])</f>
        <v>MARCH 26</v>
      </c>
      <c r="J1435" s="7" t="s">
        <v>274</v>
      </c>
      <c r="K1435" s="32" t="str">
        <f>CONCATENATE(TableAopCalendar[[#This Row],[Month for Plan]]," ",TableAopCalendar[[#This Row],[Plan]])</f>
        <v>MARCH 26 PLANNED</v>
      </c>
    </row>
    <row r="1436" spans="1:11" x14ac:dyDescent="0.3">
      <c r="A1436" s="32">
        <f t="shared" si="81"/>
        <v>5</v>
      </c>
      <c r="B1436" s="33">
        <v>46086</v>
      </c>
      <c r="C1436" s="6" t="s">
        <v>273</v>
      </c>
      <c r="D1436" s="34">
        <v>26</v>
      </c>
      <c r="E1436" s="32">
        <f>DAY(TableAopCalendar[[#This Row],[Date]])</f>
        <v>5</v>
      </c>
      <c r="F1436" s="32">
        <f>IF(TableAopCalendar[[#This Row],[Day]]&lt;8,1,IF(TableAopCalendar[[#This Row],[Day]]&lt;15,2,IF(TableAopCalendar[[#This Row],[Day]]&lt;22,3,IF(TableAopCalendar[[#This Row],[Day]]&lt;29,4,IF(TableAopCalendar[[#This Row],[Day]]&lt;32,5)))))</f>
        <v>1</v>
      </c>
      <c r="G1436" s="32" t="str">
        <f t="shared" si="82"/>
        <v>Week 1</v>
      </c>
      <c r="H1436" s="32" t="str">
        <f t="shared" si="83"/>
        <v>March 26 Week 1</v>
      </c>
      <c r="I1436" s="32" t="str">
        <f>CONCATENATE(UPPER(TableAopCalendar[[#This Row],[Month]])," ",TableAopCalendar[[#This Row],[Year]])</f>
        <v>MARCH 26</v>
      </c>
      <c r="J1436" s="7" t="s">
        <v>274</v>
      </c>
      <c r="K1436" s="32" t="str">
        <f>CONCATENATE(TableAopCalendar[[#This Row],[Month for Plan]]," ",TableAopCalendar[[#This Row],[Plan]])</f>
        <v>MARCH 26 PLANNED</v>
      </c>
    </row>
    <row r="1437" spans="1:11" x14ac:dyDescent="0.3">
      <c r="A1437" s="32">
        <f t="shared" si="81"/>
        <v>6</v>
      </c>
      <c r="B1437" s="33">
        <v>46087</v>
      </c>
      <c r="C1437" s="6" t="s">
        <v>273</v>
      </c>
      <c r="D1437" s="34">
        <v>26</v>
      </c>
      <c r="E1437" s="32">
        <f>DAY(TableAopCalendar[[#This Row],[Date]])</f>
        <v>6</v>
      </c>
      <c r="F1437" s="32">
        <f>IF(TableAopCalendar[[#This Row],[Day]]&lt;8,1,IF(TableAopCalendar[[#This Row],[Day]]&lt;15,2,IF(TableAopCalendar[[#This Row],[Day]]&lt;22,3,IF(TableAopCalendar[[#This Row],[Day]]&lt;29,4,IF(TableAopCalendar[[#This Row],[Day]]&lt;32,5)))))</f>
        <v>1</v>
      </c>
      <c r="G1437" s="32" t="str">
        <f t="shared" si="82"/>
        <v>Week 1</v>
      </c>
      <c r="H1437" s="32" t="str">
        <f t="shared" si="83"/>
        <v>March 26 Week 1</v>
      </c>
      <c r="I1437" s="32" t="str">
        <f>CONCATENATE(UPPER(TableAopCalendar[[#This Row],[Month]])," ",TableAopCalendar[[#This Row],[Year]])</f>
        <v>MARCH 26</v>
      </c>
      <c r="J1437" s="7" t="s">
        <v>274</v>
      </c>
      <c r="K1437" s="32" t="str">
        <f>CONCATENATE(TableAopCalendar[[#This Row],[Month for Plan]]," ",TableAopCalendar[[#This Row],[Plan]])</f>
        <v>MARCH 26 PLANNED</v>
      </c>
    </row>
    <row r="1438" spans="1:11" x14ac:dyDescent="0.3">
      <c r="A1438" s="32">
        <f t="shared" si="81"/>
        <v>7</v>
      </c>
      <c r="B1438" s="33">
        <v>46088</v>
      </c>
      <c r="C1438" s="6" t="s">
        <v>273</v>
      </c>
      <c r="D1438" s="34">
        <v>26</v>
      </c>
      <c r="E1438" s="32">
        <f>DAY(TableAopCalendar[[#This Row],[Date]])</f>
        <v>7</v>
      </c>
      <c r="F1438" s="32">
        <f>IF(TableAopCalendar[[#This Row],[Day]]&lt;8,1,IF(TableAopCalendar[[#This Row],[Day]]&lt;15,2,IF(TableAopCalendar[[#This Row],[Day]]&lt;22,3,IF(TableAopCalendar[[#This Row],[Day]]&lt;29,4,IF(TableAopCalendar[[#This Row],[Day]]&lt;32,5)))))</f>
        <v>1</v>
      </c>
      <c r="G1438" s="32" t="str">
        <f t="shared" si="82"/>
        <v>Week 1</v>
      </c>
      <c r="H1438" s="32" t="str">
        <f t="shared" si="83"/>
        <v>March 26 Week 1</v>
      </c>
      <c r="I1438" s="32" t="str">
        <f>CONCATENATE(UPPER(TableAopCalendar[[#This Row],[Month]])," ",TableAopCalendar[[#This Row],[Year]])</f>
        <v>MARCH 26</v>
      </c>
      <c r="J1438" s="7" t="s">
        <v>274</v>
      </c>
      <c r="K1438" s="32" t="str">
        <f>CONCATENATE(TableAopCalendar[[#This Row],[Month for Plan]]," ",TableAopCalendar[[#This Row],[Plan]])</f>
        <v>MARCH 26 PLANNED</v>
      </c>
    </row>
    <row r="1439" spans="1:11" x14ac:dyDescent="0.3">
      <c r="A1439" s="32">
        <f t="shared" si="81"/>
        <v>1</v>
      </c>
      <c r="B1439" s="33">
        <v>46089</v>
      </c>
      <c r="C1439" s="6" t="s">
        <v>273</v>
      </c>
      <c r="D1439" s="34">
        <v>26</v>
      </c>
      <c r="E1439" s="32">
        <f>DAY(TableAopCalendar[[#This Row],[Date]])</f>
        <v>8</v>
      </c>
      <c r="F1439" s="32">
        <f>IF(TableAopCalendar[[#This Row],[Day]]&lt;8,1,IF(TableAopCalendar[[#This Row],[Day]]&lt;15,2,IF(TableAopCalendar[[#This Row],[Day]]&lt;22,3,IF(TableAopCalendar[[#This Row],[Day]]&lt;29,4,IF(TableAopCalendar[[#This Row],[Day]]&lt;32,5)))))</f>
        <v>2</v>
      </c>
      <c r="G1439" s="32" t="str">
        <f t="shared" si="82"/>
        <v>Week 2</v>
      </c>
      <c r="H1439" s="32" t="str">
        <f t="shared" si="83"/>
        <v>March 26 Week 2</v>
      </c>
      <c r="I1439" s="32" t="str">
        <f>CONCATENATE(UPPER(TableAopCalendar[[#This Row],[Month]])," ",TableAopCalendar[[#This Row],[Year]])</f>
        <v>MARCH 26</v>
      </c>
      <c r="J1439" s="7" t="s">
        <v>274</v>
      </c>
      <c r="K1439" s="32" t="str">
        <f>CONCATENATE(TableAopCalendar[[#This Row],[Month for Plan]]," ",TableAopCalendar[[#This Row],[Plan]])</f>
        <v>MARCH 26 PLANNED</v>
      </c>
    </row>
    <row r="1440" spans="1:11" x14ac:dyDescent="0.3">
      <c r="A1440" s="32">
        <f t="shared" si="81"/>
        <v>2</v>
      </c>
      <c r="B1440" s="33">
        <v>46090</v>
      </c>
      <c r="C1440" s="6" t="s">
        <v>273</v>
      </c>
      <c r="D1440" s="34">
        <v>26</v>
      </c>
      <c r="E1440" s="32">
        <f>DAY(TableAopCalendar[[#This Row],[Date]])</f>
        <v>9</v>
      </c>
      <c r="F1440" s="32">
        <f>IF(TableAopCalendar[[#This Row],[Day]]&lt;8,1,IF(TableAopCalendar[[#This Row],[Day]]&lt;15,2,IF(TableAopCalendar[[#This Row],[Day]]&lt;22,3,IF(TableAopCalendar[[#This Row],[Day]]&lt;29,4,IF(TableAopCalendar[[#This Row],[Day]]&lt;32,5)))))</f>
        <v>2</v>
      </c>
      <c r="G1440" s="32" t="str">
        <f t="shared" si="82"/>
        <v>Week 2</v>
      </c>
      <c r="H1440" s="32" t="str">
        <f t="shared" si="83"/>
        <v>March 26 Week 2</v>
      </c>
      <c r="I1440" s="32" t="str">
        <f>CONCATENATE(UPPER(TableAopCalendar[[#This Row],[Month]])," ",TableAopCalendar[[#This Row],[Year]])</f>
        <v>MARCH 26</v>
      </c>
      <c r="J1440" s="7" t="s">
        <v>274</v>
      </c>
      <c r="K1440" s="32" t="str">
        <f>CONCATENATE(TableAopCalendar[[#This Row],[Month for Plan]]," ",TableAopCalendar[[#This Row],[Plan]])</f>
        <v>MARCH 26 PLANNED</v>
      </c>
    </row>
    <row r="1441" spans="1:11" x14ac:dyDescent="0.3">
      <c r="A1441" s="32">
        <f t="shared" si="81"/>
        <v>3</v>
      </c>
      <c r="B1441" s="33">
        <v>46091</v>
      </c>
      <c r="C1441" s="6" t="s">
        <v>273</v>
      </c>
      <c r="D1441" s="34">
        <v>26</v>
      </c>
      <c r="E1441" s="32">
        <f>DAY(TableAopCalendar[[#This Row],[Date]])</f>
        <v>10</v>
      </c>
      <c r="F1441" s="32">
        <f>IF(TableAopCalendar[[#This Row],[Day]]&lt;8,1,IF(TableAopCalendar[[#This Row],[Day]]&lt;15,2,IF(TableAopCalendar[[#This Row],[Day]]&lt;22,3,IF(TableAopCalendar[[#This Row],[Day]]&lt;29,4,IF(TableAopCalendar[[#This Row],[Day]]&lt;32,5)))))</f>
        <v>2</v>
      </c>
      <c r="G1441" s="32" t="str">
        <f t="shared" si="82"/>
        <v>Week 2</v>
      </c>
      <c r="H1441" s="32" t="str">
        <f t="shared" si="83"/>
        <v>March 26 Week 2</v>
      </c>
      <c r="I1441" s="32" t="str">
        <f>CONCATENATE(UPPER(TableAopCalendar[[#This Row],[Month]])," ",TableAopCalendar[[#This Row],[Year]])</f>
        <v>MARCH 26</v>
      </c>
      <c r="J1441" s="7" t="s">
        <v>274</v>
      </c>
      <c r="K1441" s="32" t="str">
        <f>CONCATENATE(TableAopCalendar[[#This Row],[Month for Plan]]," ",TableAopCalendar[[#This Row],[Plan]])</f>
        <v>MARCH 26 PLANNED</v>
      </c>
    </row>
    <row r="1442" spans="1:11" x14ac:dyDescent="0.3">
      <c r="A1442" s="32">
        <f t="shared" si="81"/>
        <v>4</v>
      </c>
      <c r="B1442" s="33">
        <v>46092</v>
      </c>
      <c r="C1442" s="6" t="s">
        <v>273</v>
      </c>
      <c r="D1442" s="34">
        <v>26</v>
      </c>
      <c r="E1442" s="32">
        <f>DAY(TableAopCalendar[[#This Row],[Date]])</f>
        <v>11</v>
      </c>
      <c r="F1442" s="32">
        <f>IF(TableAopCalendar[[#This Row],[Day]]&lt;8,1,IF(TableAopCalendar[[#This Row],[Day]]&lt;15,2,IF(TableAopCalendar[[#This Row],[Day]]&lt;22,3,IF(TableAopCalendar[[#This Row],[Day]]&lt;29,4,IF(TableAopCalendar[[#This Row],[Day]]&lt;32,5)))))</f>
        <v>2</v>
      </c>
      <c r="G1442" s="32" t="str">
        <f t="shared" si="82"/>
        <v>Week 2</v>
      </c>
      <c r="H1442" s="32" t="str">
        <f t="shared" si="83"/>
        <v>March 26 Week 2</v>
      </c>
      <c r="I1442" s="32" t="str">
        <f>CONCATENATE(UPPER(TableAopCalendar[[#This Row],[Month]])," ",TableAopCalendar[[#This Row],[Year]])</f>
        <v>MARCH 26</v>
      </c>
      <c r="J1442" s="7" t="s">
        <v>274</v>
      </c>
      <c r="K1442" s="32" t="str">
        <f>CONCATENATE(TableAopCalendar[[#This Row],[Month for Plan]]," ",TableAopCalendar[[#This Row],[Plan]])</f>
        <v>MARCH 26 PLANNED</v>
      </c>
    </row>
    <row r="1443" spans="1:11" x14ac:dyDescent="0.3">
      <c r="A1443" s="32">
        <f t="shared" si="81"/>
        <v>5</v>
      </c>
      <c r="B1443" s="33">
        <v>46093</v>
      </c>
      <c r="C1443" s="6" t="s">
        <v>273</v>
      </c>
      <c r="D1443" s="34">
        <v>26</v>
      </c>
      <c r="E1443" s="32">
        <f>DAY(TableAopCalendar[[#This Row],[Date]])</f>
        <v>12</v>
      </c>
      <c r="F1443" s="32">
        <f>IF(TableAopCalendar[[#This Row],[Day]]&lt;8,1,IF(TableAopCalendar[[#This Row],[Day]]&lt;15,2,IF(TableAopCalendar[[#This Row],[Day]]&lt;22,3,IF(TableAopCalendar[[#This Row],[Day]]&lt;29,4,IF(TableAopCalendar[[#This Row],[Day]]&lt;32,5)))))</f>
        <v>2</v>
      </c>
      <c r="G1443" s="32" t="str">
        <f t="shared" si="82"/>
        <v>Week 2</v>
      </c>
      <c r="H1443" s="32" t="str">
        <f t="shared" si="83"/>
        <v>March 26 Week 2</v>
      </c>
      <c r="I1443" s="32" t="str">
        <f>CONCATENATE(UPPER(TableAopCalendar[[#This Row],[Month]])," ",TableAopCalendar[[#This Row],[Year]])</f>
        <v>MARCH 26</v>
      </c>
      <c r="J1443" s="7" t="s">
        <v>274</v>
      </c>
      <c r="K1443" s="32" t="str">
        <f>CONCATENATE(TableAopCalendar[[#This Row],[Month for Plan]]," ",TableAopCalendar[[#This Row],[Plan]])</f>
        <v>MARCH 26 PLANNED</v>
      </c>
    </row>
    <row r="1444" spans="1:11" x14ac:dyDescent="0.3">
      <c r="A1444" s="32">
        <f t="shared" si="81"/>
        <v>6</v>
      </c>
      <c r="B1444" s="33">
        <v>46094</v>
      </c>
      <c r="C1444" s="6" t="s">
        <v>273</v>
      </c>
      <c r="D1444" s="34">
        <v>26</v>
      </c>
      <c r="E1444" s="32">
        <f>DAY(TableAopCalendar[[#This Row],[Date]])</f>
        <v>13</v>
      </c>
      <c r="F1444" s="32">
        <f>IF(TableAopCalendar[[#This Row],[Day]]&lt;8,1,IF(TableAopCalendar[[#This Row],[Day]]&lt;15,2,IF(TableAopCalendar[[#This Row],[Day]]&lt;22,3,IF(TableAopCalendar[[#This Row],[Day]]&lt;29,4,IF(TableAopCalendar[[#This Row],[Day]]&lt;32,5)))))</f>
        <v>2</v>
      </c>
      <c r="G1444" s="32" t="str">
        <f t="shared" si="82"/>
        <v>Week 2</v>
      </c>
      <c r="H1444" s="32" t="str">
        <f t="shared" si="83"/>
        <v>March 26 Week 2</v>
      </c>
      <c r="I1444" s="32" t="str">
        <f>CONCATENATE(UPPER(TableAopCalendar[[#This Row],[Month]])," ",TableAopCalendar[[#This Row],[Year]])</f>
        <v>MARCH 26</v>
      </c>
      <c r="J1444" s="7" t="s">
        <v>274</v>
      </c>
      <c r="K1444" s="32" t="str">
        <f>CONCATENATE(TableAopCalendar[[#This Row],[Month for Plan]]," ",TableAopCalendar[[#This Row],[Plan]])</f>
        <v>MARCH 26 PLANNED</v>
      </c>
    </row>
    <row r="1445" spans="1:11" x14ac:dyDescent="0.3">
      <c r="A1445" s="32">
        <f t="shared" si="81"/>
        <v>7</v>
      </c>
      <c r="B1445" s="33">
        <v>46095</v>
      </c>
      <c r="C1445" s="6" t="s">
        <v>273</v>
      </c>
      <c r="D1445" s="34">
        <v>26</v>
      </c>
      <c r="E1445" s="32">
        <f>DAY(TableAopCalendar[[#This Row],[Date]])</f>
        <v>14</v>
      </c>
      <c r="F1445" s="32">
        <f>IF(TableAopCalendar[[#This Row],[Day]]&lt;8,1,IF(TableAopCalendar[[#This Row],[Day]]&lt;15,2,IF(TableAopCalendar[[#This Row],[Day]]&lt;22,3,IF(TableAopCalendar[[#This Row],[Day]]&lt;29,4,IF(TableAopCalendar[[#This Row],[Day]]&lt;32,5)))))</f>
        <v>2</v>
      </c>
      <c r="G1445" s="32" t="str">
        <f t="shared" si="82"/>
        <v>Week 2</v>
      </c>
      <c r="H1445" s="32" t="str">
        <f t="shared" si="83"/>
        <v>March 26 Week 2</v>
      </c>
      <c r="I1445" s="32" t="str">
        <f>CONCATENATE(UPPER(TableAopCalendar[[#This Row],[Month]])," ",TableAopCalendar[[#This Row],[Year]])</f>
        <v>MARCH 26</v>
      </c>
      <c r="J1445" s="7" t="s">
        <v>274</v>
      </c>
      <c r="K1445" s="32" t="str">
        <f>CONCATENATE(TableAopCalendar[[#This Row],[Month for Plan]]," ",TableAopCalendar[[#This Row],[Plan]])</f>
        <v>MARCH 26 PLANNED</v>
      </c>
    </row>
    <row r="1446" spans="1:11" x14ac:dyDescent="0.3">
      <c r="A1446" s="32">
        <f t="shared" si="81"/>
        <v>1</v>
      </c>
      <c r="B1446" s="33">
        <v>46096</v>
      </c>
      <c r="C1446" s="6" t="s">
        <v>273</v>
      </c>
      <c r="D1446" s="34">
        <v>26</v>
      </c>
      <c r="E1446" s="32">
        <f>DAY(TableAopCalendar[[#This Row],[Date]])</f>
        <v>15</v>
      </c>
      <c r="F1446" s="32">
        <f>IF(TableAopCalendar[[#This Row],[Day]]&lt;8,1,IF(TableAopCalendar[[#This Row],[Day]]&lt;15,2,IF(TableAopCalendar[[#This Row],[Day]]&lt;22,3,IF(TableAopCalendar[[#This Row],[Day]]&lt;29,4,IF(TableAopCalendar[[#This Row],[Day]]&lt;32,5)))))</f>
        <v>3</v>
      </c>
      <c r="G1446" s="32" t="str">
        <f t="shared" si="82"/>
        <v>Week 3</v>
      </c>
      <c r="H1446" s="32" t="str">
        <f t="shared" si="83"/>
        <v>March 26 Week 3</v>
      </c>
      <c r="I1446" s="32" t="str">
        <f>CONCATENATE(UPPER(TableAopCalendar[[#This Row],[Month]])," ",TableAopCalendar[[#This Row],[Year]])</f>
        <v>MARCH 26</v>
      </c>
      <c r="J1446" s="7" t="s">
        <v>274</v>
      </c>
      <c r="K1446" s="32" t="str">
        <f>CONCATENATE(TableAopCalendar[[#This Row],[Month for Plan]]," ",TableAopCalendar[[#This Row],[Plan]])</f>
        <v>MARCH 26 PLANNED</v>
      </c>
    </row>
    <row r="1447" spans="1:11" x14ac:dyDescent="0.3">
      <c r="A1447" s="32">
        <f t="shared" si="81"/>
        <v>2</v>
      </c>
      <c r="B1447" s="33">
        <v>46097</v>
      </c>
      <c r="C1447" s="6" t="s">
        <v>273</v>
      </c>
      <c r="D1447" s="34">
        <v>26</v>
      </c>
      <c r="E1447" s="32">
        <f>DAY(TableAopCalendar[[#This Row],[Date]])</f>
        <v>16</v>
      </c>
      <c r="F1447" s="32">
        <f>IF(TableAopCalendar[[#This Row],[Day]]&lt;8,1,IF(TableAopCalendar[[#This Row],[Day]]&lt;15,2,IF(TableAopCalendar[[#This Row],[Day]]&lt;22,3,IF(TableAopCalendar[[#This Row],[Day]]&lt;29,4,IF(TableAopCalendar[[#This Row],[Day]]&lt;32,5)))))</f>
        <v>3</v>
      </c>
      <c r="G1447" s="32" t="str">
        <f t="shared" si="82"/>
        <v>Week 3</v>
      </c>
      <c r="H1447" s="32" t="str">
        <f t="shared" si="83"/>
        <v>March 26 Week 3</v>
      </c>
      <c r="I1447" s="32" t="str">
        <f>CONCATENATE(UPPER(TableAopCalendar[[#This Row],[Month]])," ",TableAopCalendar[[#This Row],[Year]])</f>
        <v>MARCH 26</v>
      </c>
      <c r="J1447" s="7" t="s">
        <v>274</v>
      </c>
      <c r="K1447" s="32" t="str">
        <f>CONCATENATE(TableAopCalendar[[#This Row],[Month for Plan]]," ",TableAopCalendar[[#This Row],[Plan]])</f>
        <v>MARCH 26 PLANNED</v>
      </c>
    </row>
    <row r="1448" spans="1:11" x14ac:dyDescent="0.3">
      <c r="A1448" s="32">
        <f t="shared" si="81"/>
        <v>3</v>
      </c>
      <c r="B1448" s="33">
        <v>46098</v>
      </c>
      <c r="C1448" s="6" t="s">
        <v>273</v>
      </c>
      <c r="D1448" s="34">
        <v>26</v>
      </c>
      <c r="E1448" s="32">
        <f>DAY(TableAopCalendar[[#This Row],[Date]])</f>
        <v>17</v>
      </c>
      <c r="F1448" s="32">
        <f>IF(TableAopCalendar[[#This Row],[Day]]&lt;8,1,IF(TableAopCalendar[[#This Row],[Day]]&lt;15,2,IF(TableAopCalendar[[#This Row],[Day]]&lt;22,3,IF(TableAopCalendar[[#This Row],[Day]]&lt;29,4,IF(TableAopCalendar[[#This Row],[Day]]&lt;32,5)))))</f>
        <v>3</v>
      </c>
      <c r="G1448" s="32" t="str">
        <f t="shared" si="82"/>
        <v>Week 3</v>
      </c>
      <c r="H1448" s="32" t="str">
        <f t="shared" si="83"/>
        <v>March 26 Week 3</v>
      </c>
      <c r="I1448" s="32" t="str">
        <f>CONCATENATE(UPPER(TableAopCalendar[[#This Row],[Month]])," ",TableAopCalendar[[#This Row],[Year]])</f>
        <v>MARCH 26</v>
      </c>
      <c r="J1448" s="7" t="s">
        <v>274</v>
      </c>
      <c r="K1448" s="32" t="str">
        <f>CONCATENATE(TableAopCalendar[[#This Row],[Month for Plan]]," ",TableAopCalendar[[#This Row],[Plan]])</f>
        <v>MARCH 26 PLANNED</v>
      </c>
    </row>
    <row r="1449" spans="1:11" x14ac:dyDescent="0.3">
      <c r="A1449" s="32">
        <f t="shared" si="81"/>
        <v>4</v>
      </c>
      <c r="B1449" s="33">
        <v>46099</v>
      </c>
      <c r="C1449" s="6" t="s">
        <v>273</v>
      </c>
      <c r="D1449" s="34">
        <v>26</v>
      </c>
      <c r="E1449" s="32">
        <f>DAY(TableAopCalendar[[#This Row],[Date]])</f>
        <v>18</v>
      </c>
      <c r="F1449" s="32">
        <f>IF(TableAopCalendar[[#This Row],[Day]]&lt;8,1,IF(TableAopCalendar[[#This Row],[Day]]&lt;15,2,IF(TableAopCalendar[[#This Row],[Day]]&lt;22,3,IF(TableAopCalendar[[#This Row],[Day]]&lt;29,4,IF(TableAopCalendar[[#This Row],[Day]]&lt;32,5)))))</f>
        <v>3</v>
      </c>
      <c r="G1449" s="32" t="str">
        <f t="shared" si="82"/>
        <v>Week 3</v>
      </c>
      <c r="H1449" s="32" t="str">
        <f t="shared" si="83"/>
        <v>March 26 Week 3</v>
      </c>
      <c r="I1449" s="32" t="str">
        <f>CONCATENATE(UPPER(TableAopCalendar[[#This Row],[Month]])," ",TableAopCalendar[[#This Row],[Year]])</f>
        <v>MARCH 26</v>
      </c>
      <c r="J1449" s="7" t="s">
        <v>274</v>
      </c>
      <c r="K1449" s="32" t="str">
        <f>CONCATENATE(TableAopCalendar[[#This Row],[Month for Plan]]," ",TableAopCalendar[[#This Row],[Plan]])</f>
        <v>MARCH 26 PLANNED</v>
      </c>
    </row>
    <row r="1450" spans="1:11" x14ac:dyDescent="0.3">
      <c r="A1450" s="32">
        <f t="shared" si="81"/>
        <v>5</v>
      </c>
      <c r="B1450" s="33">
        <v>46100</v>
      </c>
      <c r="C1450" s="6" t="s">
        <v>273</v>
      </c>
      <c r="D1450" s="34">
        <v>26</v>
      </c>
      <c r="E1450" s="32">
        <f>DAY(TableAopCalendar[[#This Row],[Date]])</f>
        <v>19</v>
      </c>
      <c r="F1450" s="32">
        <f>IF(TableAopCalendar[[#This Row],[Day]]&lt;8,1,IF(TableAopCalendar[[#This Row],[Day]]&lt;15,2,IF(TableAopCalendar[[#This Row],[Day]]&lt;22,3,IF(TableAopCalendar[[#This Row],[Day]]&lt;29,4,IF(TableAopCalendar[[#This Row],[Day]]&lt;32,5)))))</f>
        <v>3</v>
      </c>
      <c r="G1450" s="32" t="str">
        <f t="shared" si="82"/>
        <v>Week 3</v>
      </c>
      <c r="H1450" s="32" t="str">
        <f t="shared" si="83"/>
        <v>March 26 Week 3</v>
      </c>
      <c r="I1450" s="32" t="str">
        <f>CONCATENATE(UPPER(TableAopCalendar[[#This Row],[Month]])," ",TableAopCalendar[[#This Row],[Year]])</f>
        <v>MARCH 26</v>
      </c>
      <c r="J1450" s="7" t="s">
        <v>274</v>
      </c>
      <c r="K1450" s="32" t="str">
        <f>CONCATENATE(TableAopCalendar[[#This Row],[Month for Plan]]," ",TableAopCalendar[[#This Row],[Plan]])</f>
        <v>MARCH 26 PLANNED</v>
      </c>
    </row>
    <row r="1451" spans="1:11" x14ac:dyDescent="0.3">
      <c r="A1451" s="32">
        <f t="shared" si="81"/>
        <v>6</v>
      </c>
      <c r="B1451" s="33">
        <v>46101</v>
      </c>
      <c r="C1451" s="6" t="s">
        <v>273</v>
      </c>
      <c r="D1451" s="34">
        <v>26</v>
      </c>
      <c r="E1451" s="32">
        <f>DAY(TableAopCalendar[[#This Row],[Date]])</f>
        <v>20</v>
      </c>
      <c r="F1451" s="32">
        <f>IF(TableAopCalendar[[#This Row],[Day]]&lt;8,1,IF(TableAopCalendar[[#This Row],[Day]]&lt;15,2,IF(TableAopCalendar[[#This Row],[Day]]&lt;22,3,IF(TableAopCalendar[[#This Row],[Day]]&lt;29,4,IF(TableAopCalendar[[#This Row],[Day]]&lt;32,5)))))</f>
        <v>3</v>
      </c>
      <c r="G1451" s="32" t="str">
        <f t="shared" si="82"/>
        <v>Week 3</v>
      </c>
      <c r="H1451" s="32" t="str">
        <f t="shared" si="83"/>
        <v>March 26 Week 3</v>
      </c>
      <c r="I1451" s="32" t="str">
        <f>CONCATENATE(UPPER(TableAopCalendar[[#This Row],[Month]])," ",TableAopCalendar[[#This Row],[Year]])</f>
        <v>MARCH 26</v>
      </c>
      <c r="J1451" s="7" t="s">
        <v>274</v>
      </c>
      <c r="K1451" s="32" t="str">
        <f>CONCATENATE(TableAopCalendar[[#This Row],[Month for Plan]]," ",TableAopCalendar[[#This Row],[Plan]])</f>
        <v>MARCH 26 PLANNED</v>
      </c>
    </row>
    <row r="1452" spans="1:11" x14ac:dyDescent="0.3">
      <c r="A1452" s="32">
        <f t="shared" si="81"/>
        <v>7</v>
      </c>
      <c r="B1452" s="33">
        <v>46102</v>
      </c>
      <c r="C1452" s="6" t="s">
        <v>273</v>
      </c>
      <c r="D1452" s="34">
        <v>26</v>
      </c>
      <c r="E1452" s="32">
        <f>DAY(TableAopCalendar[[#This Row],[Date]])</f>
        <v>21</v>
      </c>
      <c r="F1452" s="32">
        <f>IF(TableAopCalendar[[#This Row],[Day]]&lt;8,1,IF(TableAopCalendar[[#This Row],[Day]]&lt;15,2,IF(TableAopCalendar[[#This Row],[Day]]&lt;22,3,IF(TableAopCalendar[[#This Row],[Day]]&lt;29,4,IF(TableAopCalendar[[#This Row],[Day]]&lt;32,5)))))</f>
        <v>3</v>
      </c>
      <c r="G1452" s="32" t="str">
        <f t="shared" si="82"/>
        <v>Week 3</v>
      </c>
      <c r="H1452" s="32" t="str">
        <f t="shared" si="83"/>
        <v>March 26 Week 3</v>
      </c>
      <c r="I1452" s="32" t="str">
        <f>CONCATENATE(UPPER(TableAopCalendar[[#This Row],[Month]])," ",TableAopCalendar[[#This Row],[Year]])</f>
        <v>MARCH 26</v>
      </c>
      <c r="J1452" s="7" t="s">
        <v>274</v>
      </c>
      <c r="K1452" s="32" t="str">
        <f>CONCATENATE(TableAopCalendar[[#This Row],[Month for Plan]]," ",TableAopCalendar[[#This Row],[Plan]])</f>
        <v>MARCH 26 PLANNED</v>
      </c>
    </row>
    <row r="1453" spans="1:11" x14ac:dyDescent="0.3">
      <c r="A1453" s="32">
        <f t="shared" si="81"/>
        <v>1</v>
      </c>
      <c r="B1453" s="33">
        <v>46103</v>
      </c>
      <c r="C1453" s="6" t="s">
        <v>273</v>
      </c>
      <c r="D1453" s="34">
        <v>26</v>
      </c>
      <c r="E1453" s="32">
        <f>DAY(TableAopCalendar[[#This Row],[Date]])</f>
        <v>22</v>
      </c>
      <c r="F1453" s="32">
        <f>IF(TableAopCalendar[[#This Row],[Day]]&lt;8,1,IF(TableAopCalendar[[#This Row],[Day]]&lt;15,2,IF(TableAopCalendar[[#This Row],[Day]]&lt;22,3,IF(TableAopCalendar[[#This Row],[Day]]&lt;29,4,IF(TableAopCalendar[[#This Row],[Day]]&lt;32,5)))))</f>
        <v>4</v>
      </c>
      <c r="G1453" s="32" t="str">
        <f t="shared" si="82"/>
        <v>Week 4</v>
      </c>
      <c r="H1453" s="32" t="str">
        <f t="shared" si="83"/>
        <v>March 26 Week 4</v>
      </c>
      <c r="I1453" s="32" t="str">
        <f>CONCATENATE(UPPER(TableAopCalendar[[#This Row],[Month]])," ",TableAopCalendar[[#This Row],[Year]])</f>
        <v>MARCH 26</v>
      </c>
      <c r="J1453" s="7" t="s">
        <v>274</v>
      </c>
      <c r="K1453" s="32" t="str">
        <f>CONCATENATE(TableAopCalendar[[#This Row],[Month for Plan]]," ",TableAopCalendar[[#This Row],[Plan]])</f>
        <v>MARCH 26 PLANNED</v>
      </c>
    </row>
    <row r="1454" spans="1:11" x14ac:dyDescent="0.3">
      <c r="A1454" s="32">
        <f t="shared" si="81"/>
        <v>2</v>
      </c>
      <c r="B1454" s="33">
        <v>46104</v>
      </c>
      <c r="C1454" s="6" t="s">
        <v>273</v>
      </c>
      <c r="D1454" s="34">
        <v>26</v>
      </c>
      <c r="E1454" s="32">
        <f>DAY(TableAopCalendar[[#This Row],[Date]])</f>
        <v>23</v>
      </c>
      <c r="F1454" s="32">
        <f>IF(TableAopCalendar[[#This Row],[Day]]&lt;8,1,IF(TableAopCalendar[[#This Row],[Day]]&lt;15,2,IF(TableAopCalendar[[#This Row],[Day]]&lt;22,3,IF(TableAopCalendar[[#This Row],[Day]]&lt;29,4,IF(TableAopCalendar[[#This Row],[Day]]&lt;32,5)))))</f>
        <v>4</v>
      </c>
      <c r="G1454" s="32" t="str">
        <f t="shared" si="82"/>
        <v>Week 4</v>
      </c>
      <c r="H1454" s="32" t="str">
        <f t="shared" si="83"/>
        <v>March 26 Week 4</v>
      </c>
      <c r="I1454" s="32" t="str">
        <f>CONCATENATE(UPPER(TableAopCalendar[[#This Row],[Month]])," ",TableAopCalendar[[#This Row],[Year]])</f>
        <v>MARCH 26</v>
      </c>
      <c r="J1454" s="7" t="s">
        <v>274</v>
      </c>
      <c r="K1454" s="32" t="str">
        <f>CONCATENATE(TableAopCalendar[[#This Row],[Month for Plan]]," ",TableAopCalendar[[#This Row],[Plan]])</f>
        <v>MARCH 26 PLANNED</v>
      </c>
    </row>
    <row r="1455" spans="1:11" x14ac:dyDescent="0.3">
      <c r="A1455" s="32">
        <f t="shared" si="81"/>
        <v>3</v>
      </c>
      <c r="B1455" s="33">
        <v>46105</v>
      </c>
      <c r="C1455" s="6" t="s">
        <v>273</v>
      </c>
      <c r="D1455" s="34">
        <v>26</v>
      </c>
      <c r="E1455" s="32">
        <f>DAY(TableAopCalendar[[#This Row],[Date]])</f>
        <v>24</v>
      </c>
      <c r="F1455" s="32">
        <f>IF(TableAopCalendar[[#This Row],[Day]]&lt;8,1,IF(TableAopCalendar[[#This Row],[Day]]&lt;15,2,IF(TableAopCalendar[[#This Row],[Day]]&lt;22,3,IF(TableAopCalendar[[#This Row],[Day]]&lt;29,4,IF(TableAopCalendar[[#This Row],[Day]]&lt;32,5)))))</f>
        <v>4</v>
      </c>
      <c r="G1455" s="32" t="str">
        <f t="shared" si="82"/>
        <v>Week 4</v>
      </c>
      <c r="H1455" s="32" t="str">
        <f t="shared" si="83"/>
        <v>March 26 Week 4</v>
      </c>
      <c r="I1455" s="32" t="str">
        <f>CONCATENATE(UPPER(TableAopCalendar[[#This Row],[Month]])," ",TableAopCalendar[[#This Row],[Year]])</f>
        <v>MARCH 26</v>
      </c>
      <c r="J1455" s="7" t="s">
        <v>274</v>
      </c>
      <c r="K1455" s="32" t="str">
        <f>CONCATENATE(TableAopCalendar[[#This Row],[Month for Plan]]," ",TableAopCalendar[[#This Row],[Plan]])</f>
        <v>MARCH 26 PLANNED</v>
      </c>
    </row>
    <row r="1456" spans="1:11" x14ac:dyDescent="0.3">
      <c r="A1456" s="32">
        <f t="shared" si="81"/>
        <v>4</v>
      </c>
      <c r="B1456" s="33">
        <v>46106</v>
      </c>
      <c r="C1456" s="6" t="s">
        <v>273</v>
      </c>
      <c r="D1456" s="34">
        <v>26</v>
      </c>
      <c r="E1456" s="32">
        <f>DAY(TableAopCalendar[[#This Row],[Date]])</f>
        <v>25</v>
      </c>
      <c r="F1456" s="32">
        <f>IF(TableAopCalendar[[#This Row],[Day]]&lt;8,1,IF(TableAopCalendar[[#This Row],[Day]]&lt;15,2,IF(TableAopCalendar[[#This Row],[Day]]&lt;22,3,IF(TableAopCalendar[[#This Row],[Day]]&lt;29,4,IF(TableAopCalendar[[#This Row],[Day]]&lt;32,5)))))</f>
        <v>4</v>
      </c>
      <c r="G1456" s="32" t="str">
        <f t="shared" si="82"/>
        <v>Week 4</v>
      </c>
      <c r="H1456" s="32" t="str">
        <f t="shared" si="83"/>
        <v>March 26 Week 4</v>
      </c>
      <c r="I1456" s="32" t="str">
        <f>CONCATENATE(UPPER(TableAopCalendar[[#This Row],[Month]])," ",TableAopCalendar[[#This Row],[Year]])</f>
        <v>MARCH 26</v>
      </c>
      <c r="J1456" s="7" t="s">
        <v>274</v>
      </c>
      <c r="K1456" s="32" t="str">
        <f>CONCATENATE(TableAopCalendar[[#This Row],[Month for Plan]]," ",TableAopCalendar[[#This Row],[Plan]])</f>
        <v>MARCH 26 PLANNED</v>
      </c>
    </row>
    <row r="1457" spans="1:11" x14ac:dyDescent="0.3">
      <c r="A1457" s="32">
        <f t="shared" si="81"/>
        <v>5</v>
      </c>
      <c r="B1457" s="33">
        <v>46107</v>
      </c>
      <c r="C1457" s="6" t="s">
        <v>273</v>
      </c>
      <c r="D1457" s="34">
        <v>26</v>
      </c>
      <c r="E1457" s="32">
        <f>DAY(TableAopCalendar[[#This Row],[Date]])</f>
        <v>26</v>
      </c>
      <c r="F1457" s="32">
        <f>IF(TableAopCalendar[[#This Row],[Day]]&lt;8,1,IF(TableAopCalendar[[#This Row],[Day]]&lt;15,2,IF(TableAopCalendar[[#This Row],[Day]]&lt;22,3,IF(TableAopCalendar[[#This Row],[Day]]&lt;29,4,IF(TableAopCalendar[[#This Row],[Day]]&lt;32,5)))))</f>
        <v>4</v>
      </c>
      <c r="G1457" s="32" t="str">
        <f t="shared" si="82"/>
        <v>Week 4</v>
      </c>
      <c r="H1457" s="32" t="str">
        <f t="shared" si="83"/>
        <v>March 26 Week 4</v>
      </c>
      <c r="I1457" s="32" t="str">
        <f>CONCATENATE(UPPER(TableAopCalendar[[#This Row],[Month]])," ",TableAopCalendar[[#This Row],[Year]])</f>
        <v>MARCH 26</v>
      </c>
      <c r="J1457" s="7" t="s">
        <v>274</v>
      </c>
      <c r="K1457" s="32" t="str">
        <f>CONCATENATE(TableAopCalendar[[#This Row],[Month for Plan]]," ",TableAopCalendar[[#This Row],[Plan]])</f>
        <v>MARCH 26 PLANNED</v>
      </c>
    </row>
    <row r="1458" spans="1:11" x14ac:dyDescent="0.3">
      <c r="A1458" s="32">
        <f t="shared" si="81"/>
        <v>6</v>
      </c>
      <c r="B1458" s="33">
        <v>46108</v>
      </c>
      <c r="C1458" s="6" t="s">
        <v>273</v>
      </c>
      <c r="D1458" s="34">
        <v>26</v>
      </c>
      <c r="E1458" s="32">
        <f>DAY(TableAopCalendar[[#This Row],[Date]])</f>
        <v>27</v>
      </c>
      <c r="F1458" s="32">
        <f>IF(TableAopCalendar[[#This Row],[Day]]&lt;8,1,IF(TableAopCalendar[[#This Row],[Day]]&lt;15,2,IF(TableAopCalendar[[#This Row],[Day]]&lt;22,3,IF(TableAopCalendar[[#This Row],[Day]]&lt;29,4,IF(TableAopCalendar[[#This Row],[Day]]&lt;32,5)))))</f>
        <v>4</v>
      </c>
      <c r="G1458" s="32" t="str">
        <f t="shared" si="82"/>
        <v>Week 4</v>
      </c>
      <c r="H1458" s="32" t="str">
        <f t="shared" si="83"/>
        <v>March 26 Week 4</v>
      </c>
      <c r="I1458" s="32" t="str">
        <f>CONCATENATE(UPPER(TableAopCalendar[[#This Row],[Month]])," ",TableAopCalendar[[#This Row],[Year]])</f>
        <v>MARCH 26</v>
      </c>
      <c r="J1458" s="7" t="s">
        <v>274</v>
      </c>
      <c r="K1458" s="32" t="str">
        <f>CONCATENATE(TableAopCalendar[[#This Row],[Month for Plan]]," ",TableAopCalendar[[#This Row],[Plan]])</f>
        <v>MARCH 26 PLANNED</v>
      </c>
    </row>
    <row r="1459" spans="1:11" x14ac:dyDescent="0.3">
      <c r="A1459" s="32">
        <f t="shared" si="81"/>
        <v>7</v>
      </c>
      <c r="B1459" s="33">
        <v>46109</v>
      </c>
      <c r="C1459" s="6" t="s">
        <v>273</v>
      </c>
      <c r="D1459" s="34">
        <v>26</v>
      </c>
      <c r="E1459" s="32">
        <f>DAY(TableAopCalendar[[#This Row],[Date]])</f>
        <v>28</v>
      </c>
      <c r="F1459" s="32">
        <f>IF(TableAopCalendar[[#This Row],[Day]]&lt;8,1,IF(TableAopCalendar[[#This Row],[Day]]&lt;15,2,IF(TableAopCalendar[[#This Row],[Day]]&lt;22,3,IF(TableAopCalendar[[#This Row],[Day]]&lt;29,4,IF(TableAopCalendar[[#This Row],[Day]]&lt;32,5)))))</f>
        <v>4</v>
      </c>
      <c r="G1459" s="32" t="str">
        <f t="shared" si="82"/>
        <v>Week 4</v>
      </c>
      <c r="H1459" s="32" t="str">
        <f t="shared" si="83"/>
        <v>March 26 Week 4</v>
      </c>
      <c r="I1459" s="32" t="str">
        <f>CONCATENATE(UPPER(TableAopCalendar[[#This Row],[Month]])," ",TableAopCalendar[[#This Row],[Year]])</f>
        <v>MARCH 26</v>
      </c>
      <c r="J1459" s="7" t="s">
        <v>274</v>
      </c>
      <c r="K1459" s="32" t="str">
        <f>CONCATENATE(TableAopCalendar[[#This Row],[Month for Plan]]," ",TableAopCalendar[[#This Row],[Plan]])</f>
        <v>MARCH 26 PLANNED</v>
      </c>
    </row>
    <row r="1460" spans="1:11" x14ac:dyDescent="0.3">
      <c r="A1460" s="32">
        <f t="shared" si="81"/>
        <v>1</v>
      </c>
      <c r="B1460" s="33">
        <v>46110</v>
      </c>
      <c r="C1460" s="6" t="s">
        <v>273</v>
      </c>
      <c r="D1460" s="34">
        <v>26</v>
      </c>
      <c r="E1460" s="32">
        <f>DAY(TableAopCalendar[[#This Row],[Date]])</f>
        <v>29</v>
      </c>
      <c r="F1460" s="32">
        <f>IF(TableAopCalendar[[#This Row],[Day]]&lt;8,1,IF(TableAopCalendar[[#This Row],[Day]]&lt;15,2,IF(TableAopCalendar[[#This Row],[Day]]&lt;22,3,IF(TableAopCalendar[[#This Row],[Day]]&lt;29,4,IF(TableAopCalendar[[#This Row],[Day]]&lt;32,5)))))</f>
        <v>5</v>
      </c>
      <c r="G1460" s="32" t="str">
        <f t="shared" si="82"/>
        <v>Week 5</v>
      </c>
      <c r="H1460" s="32" t="str">
        <f t="shared" si="83"/>
        <v>March 26 Week 5</v>
      </c>
      <c r="I1460" s="32" t="str">
        <f>CONCATENATE(UPPER(TableAopCalendar[[#This Row],[Month]])," ",TableAopCalendar[[#This Row],[Year]])</f>
        <v>MARCH 26</v>
      </c>
      <c r="J1460" s="7" t="s">
        <v>274</v>
      </c>
      <c r="K1460" s="32" t="str">
        <f>CONCATENATE(TableAopCalendar[[#This Row],[Month for Plan]]," ",TableAopCalendar[[#This Row],[Plan]])</f>
        <v>MARCH 26 PLANNED</v>
      </c>
    </row>
    <row r="1461" spans="1:11" x14ac:dyDescent="0.3">
      <c r="A1461" s="32">
        <f t="shared" si="81"/>
        <v>2</v>
      </c>
      <c r="B1461" s="33">
        <v>46111</v>
      </c>
      <c r="C1461" s="6" t="s">
        <v>273</v>
      </c>
      <c r="D1461" s="34">
        <v>26</v>
      </c>
      <c r="E1461" s="32">
        <f>DAY(TableAopCalendar[[#This Row],[Date]])</f>
        <v>30</v>
      </c>
      <c r="F1461" s="32">
        <f>IF(TableAopCalendar[[#This Row],[Day]]&lt;8,1,IF(TableAopCalendar[[#This Row],[Day]]&lt;15,2,IF(TableAopCalendar[[#This Row],[Day]]&lt;22,3,IF(TableAopCalendar[[#This Row],[Day]]&lt;29,4,IF(TableAopCalendar[[#This Row],[Day]]&lt;32,5)))))</f>
        <v>5</v>
      </c>
      <c r="G1461" s="32" t="str">
        <f t="shared" si="82"/>
        <v>Week 5</v>
      </c>
      <c r="H1461" s="32" t="str">
        <f t="shared" si="83"/>
        <v>March 26 Week 5</v>
      </c>
      <c r="I1461" s="32" t="str">
        <f>CONCATENATE(UPPER(TableAopCalendar[[#This Row],[Month]])," ",TableAopCalendar[[#This Row],[Year]])</f>
        <v>MARCH 26</v>
      </c>
      <c r="J1461" s="7" t="s">
        <v>274</v>
      </c>
      <c r="K1461" s="32" t="str">
        <f>CONCATENATE(TableAopCalendar[[#This Row],[Month for Plan]]," ",TableAopCalendar[[#This Row],[Plan]])</f>
        <v>MARCH 26 PLANNED</v>
      </c>
    </row>
    <row r="1462" spans="1:11" x14ac:dyDescent="0.3">
      <c r="A1462" s="32">
        <f t="shared" si="81"/>
        <v>3</v>
      </c>
      <c r="B1462" s="33">
        <v>46112</v>
      </c>
      <c r="C1462" s="6" t="s">
        <v>273</v>
      </c>
      <c r="D1462" s="34">
        <v>26</v>
      </c>
      <c r="E1462" s="32">
        <f>DAY(TableAopCalendar[[#This Row],[Date]])</f>
        <v>31</v>
      </c>
      <c r="F1462" s="32">
        <f>IF(TableAopCalendar[[#This Row],[Day]]&lt;8,1,IF(TableAopCalendar[[#This Row],[Day]]&lt;15,2,IF(TableAopCalendar[[#This Row],[Day]]&lt;22,3,IF(TableAopCalendar[[#This Row],[Day]]&lt;29,4,IF(TableAopCalendar[[#This Row],[Day]]&lt;32,5)))))</f>
        <v>5</v>
      </c>
      <c r="G1462" s="32" t="str">
        <f t="shared" si="82"/>
        <v>Week 5</v>
      </c>
      <c r="H1462" s="32" t="str">
        <f t="shared" si="83"/>
        <v>March 26 Week 5</v>
      </c>
      <c r="I1462" s="32" t="str">
        <f>CONCATENATE(UPPER(TableAopCalendar[[#This Row],[Month]])," ",TableAopCalendar[[#This Row],[Year]])</f>
        <v>MARCH 26</v>
      </c>
      <c r="J1462" s="7" t="s">
        <v>274</v>
      </c>
      <c r="K1462" s="32" t="str">
        <f>CONCATENATE(TableAopCalendar[[#This Row],[Month for Plan]]," ",TableAopCalendar[[#This Row],[Plan]])</f>
        <v>MARCH 26 PLANNED</v>
      </c>
    </row>
    <row r="1463" spans="1:11" x14ac:dyDescent="0.3">
      <c r="A1463" s="32">
        <f t="shared" si="81"/>
        <v>1</v>
      </c>
      <c r="B1463" s="33">
        <v>46113</v>
      </c>
      <c r="C1463" s="6" t="s">
        <v>264</v>
      </c>
      <c r="D1463" s="34">
        <v>26</v>
      </c>
      <c r="E1463" s="32">
        <f>DAY(TableAopCalendar[[#This Row],[Date]])</f>
        <v>1</v>
      </c>
      <c r="F1463" s="32">
        <f>IF(TableAopCalendar[[#This Row],[Day]]&lt;8,1,IF(TableAopCalendar[[#This Row],[Day]]&lt;15,2,IF(TableAopCalendar[[#This Row],[Day]]&lt;22,3,IF(TableAopCalendar[[#This Row],[Day]]&lt;29,4,IF(TableAopCalendar[[#This Row],[Day]]&lt;32,5)))))</f>
        <v>1</v>
      </c>
      <c r="G1463" s="32" t="str">
        <f t="shared" si="82"/>
        <v>Week 1</v>
      </c>
      <c r="H1463" s="32" t="str">
        <f t="shared" si="83"/>
        <v>April 26 Week 1</v>
      </c>
      <c r="I1463" s="32" t="str">
        <f>CONCATENATE(UPPER(TableAopCalendar[[#This Row],[Month]])," ",TableAopCalendar[[#This Row],[Year]])</f>
        <v>APRIL 26</v>
      </c>
      <c r="J1463" s="7" t="s">
        <v>274</v>
      </c>
      <c r="K1463" s="32" t="str">
        <f>CONCATENATE(TableAopCalendar[[#This Row],[Month for Plan]]," ",TableAopCalendar[[#This Row],[Plan]])</f>
        <v>APRIL 26 PLANNED</v>
      </c>
    </row>
    <row r="1464" spans="1:11" x14ac:dyDescent="0.3">
      <c r="A1464" s="32">
        <f t="shared" si="81"/>
        <v>2</v>
      </c>
      <c r="B1464" s="33">
        <v>46114</v>
      </c>
      <c r="C1464" s="6" t="s">
        <v>264</v>
      </c>
      <c r="D1464" s="34">
        <v>26</v>
      </c>
      <c r="E1464" s="32">
        <f>DAY(TableAopCalendar[[#This Row],[Date]])</f>
        <v>2</v>
      </c>
      <c r="F1464" s="32">
        <f>IF(TableAopCalendar[[#This Row],[Day]]&lt;8,1,IF(TableAopCalendar[[#This Row],[Day]]&lt;15,2,IF(TableAopCalendar[[#This Row],[Day]]&lt;22,3,IF(TableAopCalendar[[#This Row],[Day]]&lt;29,4,IF(TableAopCalendar[[#This Row],[Day]]&lt;32,5)))))</f>
        <v>1</v>
      </c>
      <c r="G1464" s="32" t="str">
        <f t="shared" si="82"/>
        <v>Week 1</v>
      </c>
      <c r="H1464" s="32" t="str">
        <f t="shared" si="83"/>
        <v>April 26 Week 1</v>
      </c>
      <c r="I1464" s="32" t="str">
        <f>CONCATENATE(UPPER(TableAopCalendar[[#This Row],[Month]])," ",TableAopCalendar[[#This Row],[Year]])</f>
        <v>APRIL 26</v>
      </c>
      <c r="J1464" s="7" t="s">
        <v>274</v>
      </c>
      <c r="K1464" s="32" t="str">
        <f>CONCATENATE(TableAopCalendar[[#This Row],[Month for Plan]]," ",TableAopCalendar[[#This Row],[Plan]])</f>
        <v>APRIL 26 PLANNED</v>
      </c>
    </row>
    <row r="1465" spans="1:11" x14ac:dyDescent="0.3">
      <c r="A1465" s="32">
        <f t="shared" si="81"/>
        <v>3</v>
      </c>
      <c r="B1465" s="33">
        <v>46115</v>
      </c>
      <c r="C1465" s="6" t="s">
        <v>264</v>
      </c>
      <c r="D1465" s="34">
        <v>26</v>
      </c>
      <c r="E1465" s="32">
        <f>DAY(TableAopCalendar[[#This Row],[Date]])</f>
        <v>3</v>
      </c>
      <c r="F1465" s="32">
        <f>IF(TableAopCalendar[[#This Row],[Day]]&lt;8,1,IF(TableAopCalendar[[#This Row],[Day]]&lt;15,2,IF(TableAopCalendar[[#This Row],[Day]]&lt;22,3,IF(TableAopCalendar[[#This Row],[Day]]&lt;29,4,IF(TableAopCalendar[[#This Row],[Day]]&lt;32,5)))))</f>
        <v>1</v>
      </c>
      <c r="G1465" s="32" t="str">
        <f t="shared" si="82"/>
        <v>Week 1</v>
      </c>
      <c r="H1465" s="32" t="str">
        <f t="shared" si="83"/>
        <v>April 26 Week 1</v>
      </c>
      <c r="I1465" s="32" t="str">
        <f>CONCATENATE(UPPER(TableAopCalendar[[#This Row],[Month]])," ",TableAopCalendar[[#This Row],[Year]])</f>
        <v>APRIL 26</v>
      </c>
      <c r="J1465" s="7" t="s">
        <v>274</v>
      </c>
      <c r="K1465" s="32" t="str">
        <f>CONCATENATE(TableAopCalendar[[#This Row],[Month for Plan]]," ",TableAopCalendar[[#This Row],[Plan]])</f>
        <v>APRIL 26 PLANNED</v>
      </c>
    </row>
    <row r="1466" spans="1:11" x14ac:dyDescent="0.3">
      <c r="A1466" s="32">
        <f t="shared" si="81"/>
        <v>4</v>
      </c>
      <c r="B1466" s="33">
        <v>46116</v>
      </c>
      <c r="C1466" s="6" t="s">
        <v>264</v>
      </c>
      <c r="D1466" s="34">
        <v>26</v>
      </c>
      <c r="E1466" s="32">
        <f>DAY(TableAopCalendar[[#This Row],[Date]])</f>
        <v>4</v>
      </c>
      <c r="F1466" s="32">
        <f>IF(TableAopCalendar[[#This Row],[Day]]&lt;8,1,IF(TableAopCalendar[[#This Row],[Day]]&lt;15,2,IF(TableAopCalendar[[#This Row],[Day]]&lt;22,3,IF(TableAopCalendar[[#This Row],[Day]]&lt;29,4,IF(TableAopCalendar[[#This Row],[Day]]&lt;32,5)))))</f>
        <v>1</v>
      </c>
      <c r="G1466" s="32" t="str">
        <f t="shared" si="82"/>
        <v>Week 1</v>
      </c>
      <c r="H1466" s="32" t="str">
        <f t="shared" si="83"/>
        <v>April 26 Week 1</v>
      </c>
      <c r="I1466" s="32" t="str">
        <f>CONCATENATE(UPPER(TableAopCalendar[[#This Row],[Month]])," ",TableAopCalendar[[#This Row],[Year]])</f>
        <v>APRIL 26</v>
      </c>
      <c r="J1466" s="7" t="s">
        <v>274</v>
      </c>
      <c r="K1466" s="32" t="str">
        <f>CONCATENATE(TableAopCalendar[[#This Row],[Month for Plan]]," ",TableAopCalendar[[#This Row],[Plan]])</f>
        <v>APRIL 26 PLANNED</v>
      </c>
    </row>
    <row r="1467" spans="1:11" x14ac:dyDescent="0.3">
      <c r="A1467" s="32">
        <f t="shared" si="81"/>
        <v>5</v>
      </c>
      <c r="B1467" s="33">
        <v>46117</v>
      </c>
      <c r="C1467" s="6" t="s">
        <v>264</v>
      </c>
      <c r="D1467" s="34">
        <v>26</v>
      </c>
      <c r="E1467" s="32">
        <f>DAY(TableAopCalendar[[#This Row],[Date]])</f>
        <v>5</v>
      </c>
      <c r="F1467" s="32">
        <f>IF(TableAopCalendar[[#This Row],[Day]]&lt;8,1,IF(TableAopCalendar[[#This Row],[Day]]&lt;15,2,IF(TableAopCalendar[[#This Row],[Day]]&lt;22,3,IF(TableAopCalendar[[#This Row],[Day]]&lt;29,4,IF(TableAopCalendar[[#This Row],[Day]]&lt;32,5)))))</f>
        <v>1</v>
      </c>
      <c r="G1467" s="32" t="str">
        <f t="shared" si="82"/>
        <v>Week 1</v>
      </c>
      <c r="H1467" s="32" t="str">
        <f t="shared" si="83"/>
        <v>April 26 Week 1</v>
      </c>
      <c r="I1467" s="32" t="str">
        <f>CONCATENATE(UPPER(TableAopCalendar[[#This Row],[Month]])," ",TableAopCalendar[[#This Row],[Year]])</f>
        <v>APRIL 26</v>
      </c>
      <c r="J1467" s="7" t="s">
        <v>274</v>
      </c>
      <c r="K1467" s="32" t="str">
        <f>CONCATENATE(TableAopCalendar[[#This Row],[Month for Plan]]," ",TableAopCalendar[[#This Row],[Plan]])</f>
        <v>APRIL 26 PLANNED</v>
      </c>
    </row>
    <row r="1468" spans="1:11" x14ac:dyDescent="0.3">
      <c r="A1468" s="32">
        <f t="shared" si="81"/>
        <v>6</v>
      </c>
      <c r="B1468" s="33">
        <v>46118</v>
      </c>
      <c r="C1468" s="6" t="s">
        <v>264</v>
      </c>
      <c r="D1468" s="34">
        <v>26</v>
      </c>
      <c r="E1468" s="32">
        <f>DAY(TableAopCalendar[[#This Row],[Date]])</f>
        <v>6</v>
      </c>
      <c r="F1468" s="32">
        <f>IF(TableAopCalendar[[#This Row],[Day]]&lt;8,1,IF(TableAopCalendar[[#This Row],[Day]]&lt;15,2,IF(TableAopCalendar[[#This Row],[Day]]&lt;22,3,IF(TableAopCalendar[[#This Row],[Day]]&lt;29,4,IF(TableAopCalendar[[#This Row],[Day]]&lt;32,5)))))</f>
        <v>1</v>
      </c>
      <c r="G1468" s="32" t="str">
        <f t="shared" si="82"/>
        <v>Week 1</v>
      </c>
      <c r="H1468" s="32" t="str">
        <f t="shared" si="83"/>
        <v>April 26 Week 1</v>
      </c>
      <c r="I1468" s="32" t="str">
        <f>CONCATENATE(UPPER(TableAopCalendar[[#This Row],[Month]])," ",TableAopCalendar[[#This Row],[Year]])</f>
        <v>APRIL 26</v>
      </c>
      <c r="J1468" s="7" t="s">
        <v>274</v>
      </c>
      <c r="K1468" s="32" t="str">
        <f>CONCATENATE(TableAopCalendar[[#This Row],[Month for Plan]]," ",TableAopCalendar[[#This Row],[Plan]])</f>
        <v>APRIL 26 PLANNED</v>
      </c>
    </row>
    <row r="1469" spans="1:11" x14ac:dyDescent="0.3">
      <c r="A1469" s="32">
        <f t="shared" si="81"/>
        <v>7</v>
      </c>
      <c r="B1469" s="33">
        <v>46119</v>
      </c>
      <c r="C1469" s="6" t="s">
        <v>264</v>
      </c>
      <c r="D1469" s="34">
        <v>26</v>
      </c>
      <c r="E1469" s="32">
        <f>DAY(TableAopCalendar[[#This Row],[Date]])</f>
        <v>7</v>
      </c>
      <c r="F1469" s="32">
        <f>IF(TableAopCalendar[[#This Row],[Day]]&lt;8,1,IF(TableAopCalendar[[#This Row],[Day]]&lt;15,2,IF(TableAopCalendar[[#This Row],[Day]]&lt;22,3,IF(TableAopCalendar[[#This Row],[Day]]&lt;29,4,IF(TableAopCalendar[[#This Row],[Day]]&lt;32,5)))))</f>
        <v>1</v>
      </c>
      <c r="G1469" s="32" t="str">
        <f t="shared" si="82"/>
        <v>Week 1</v>
      </c>
      <c r="H1469" s="32" t="str">
        <f t="shared" si="83"/>
        <v>April 26 Week 1</v>
      </c>
      <c r="I1469" s="32" t="str">
        <f>CONCATENATE(UPPER(TableAopCalendar[[#This Row],[Month]])," ",TableAopCalendar[[#This Row],[Year]])</f>
        <v>APRIL 26</v>
      </c>
      <c r="J1469" s="7" t="s">
        <v>274</v>
      </c>
      <c r="K1469" s="32" t="str">
        <f>CONCATENATE(TableAopCalendar[[#This Row],[Month for Plan]]," ",TableAopCalendar[[#This Row],[Plan]])</f>
        <v>APRIL 26 PLANNED</v>
      </c>
    </row>
    <row r="1470" spans="1:11" x14ac:dyDescent="0.3">
      <c r="A1470" s="32">
        <f t="shared" si="81"/>
        <v>1</v>
      </c>
      <c r="B1470" s="33">
        <v>46120</v>
      </c>
      <c r="C1470" s="6" t="s">
        <v>264</v>
      </c>
      <c r="D1470" s="34">
        <v>26</v>
      </c>
      <c r="E1470" s="32">
        <f>DAY(TableAopCalendar[[#This Row],[Date]])</f>
        <v>8</v>
      </c>
      <c r="F1470" s="32">
        <f>IF(TableAopCalendar[[#This Row],[Day]]&lt;8,1,IF(TableAopCalendar[[#This Row],[Day]]&lt;15,2,IF(TableAopCalendar[[#This Row],[Day]]&lt;22,3,IF(TableAopCalendar[[#This Row],[Day]]&lt;29,4,IF(TableAopCalendar[[#This Row],[Day]]&lt;32,5)))))</f>
        <v>2</v>
      </c>
      <c r="G1470" s="32" t="str">
        <f t="shared" si="82"/>
        <v>Week 2</v>
      </c>
      <c r="H1470" s="32" t="str">
        <f t="shared" si="83"/>
        <v>April 26 Week 2</v>
      </c>
      <c r="I1470" s="32" t="str">
        <f>CONCATENATE(UPPER(TableAopCalendar[[#This Row],[Month]])," ",TableAopCalendar[[#This Row],[Year]])</f>
        <v>APRIL 26</v>
      </c>
      <c r="J1470" s="7" t="s">
        <v>274</v>
      </c>
      <c r="K1470" s="32" t="str">
        <f>CONCATENATE(TableAopCalendar[[#This Row],[Month for Plan]]," ",TableAopCalendar[[#This Row],[Plan]])</f>
        <v>APRIL 26 PLANNED</v>
      </c>
    </row>
    <row r="1471" spans="1:11" x14ac:dyDescent="0.3">
      <c r="A1471" s="32">
        <f t="shared" si="81"/>
        <v>2</v>
      </c>
      <c r="B1471" s="33">
        <v>46121</v>
      </c>
      <c r="C1471" s="6" t="s">
        <v>264</v>
      </c>
      <c r="D1471" s="34">
        <v>26</v>
      </c>
      <c r="E1471" s="32">
        <f>DAY(TableAopCalendar[[#This Row],[Date]])</f>
        <v>9</v>
      </c>
      <c r="F1471" s="32">
        <f>IF(TableAopCalendar[[#This Row],[Day]]&lt;8,1,IF(TableAopCalendar[[#This Row],[Day]]&lt;15,2,IF(TableAopCalendar[[#This Row],[Day]]&lt;22,3,IF(TableAopCalendar[[#This Row],[Day]]&lt;29,4,IF(TableAopCalendar[[#This Row],[Day]]&lt;32,5)))))</f>
        <v>2</v>
      </c>
      <c r="G1471" s="32" t="str">
        <f t="shared" si="82"/>
        <v>Week 2</v>
      </c>
      <c r="H1471" s="32" t="str">
        <f t="shared" si="83"/>
        <v>April 26 Week 2</v>
      </c>
      <c r="I1471" s="32" t="str">
        <f>CONCATENATE(UPPER(TableAopCalendar[[#This Row],[Month]])," ",TableAopCalendar[[#This Row],[Year]])</f>
        <v>APRIL 26</v>
      </c>
      <c r="J1471" s="7" t="s">
        <v>274</v>
      </c>
      <c r="K1471" s="32" t="str">
        <f>CONCATENATE(TableAopCalendar[[#This Row],[Month for Plan]]," ",TableAopCalendar[[#This Row],[Plan]])</f>
        <v>APRIL 26 PLANNED</v>
      </c>
    </row>
    <row r="1472" spans="1:11" x14ac:dyDescent="0.3">
      <c r="A1472" s="32">
        <f t="shared" si="81"/>
        <v>3</v>
      </c>
      <c r="B1472" s="33">
        <v>46122</v>
      </c>
      <c r="C1472" s="6" t="s">
        <v>264</v>
      </c>
      <c r="D1472" s="34">
        <v>26</v>
      </c>
      <c r="E1472" s="32">
        <f>DAY(TableAopCalendar[[#This Row],[Date]])</f>
        <v>10</v>
      </c>
      <c r="F1472" s="32">
        <f>IF(TableAopCalendar[[#This Row],[Day]]&lt;8,1,IF(TableAopCalendar[[#This Row],[Day]]&lt;15,2,IF(TableAopCalendar[[#This Row],[Day]]&lt;22,3,IF(TableAopCalendar[[#This Row],[Day]]&lt;29,4,IF(TableAopCalendar[[#This Row],[Day]]&lt;32,5)))))</f>
        <v>2</v>
      </c>
      <c r="G1472" s="32" t="str">
        <f t="shared" si="82"/>
        <v>Week 2</v>
      </c>
      <c r="H1472" s="32" t="str">
        <f t="shared" si="83"/>
        <v>April 26 Week 2</v>
      </c>
      <c r="I1472" s="32" t="str">
        <f>CONCATENATE(UPPER(TableAopCalendar[[#This Row],[Month]])," ",TableAopCalendar[[#This Row],[Year]])</f>
        <v>APRIL 26</v>
      </c>
      <c r="J1472" s="7" t="s">
        <v>274</v>
      </c>
      <c r="K1472" s="32" t="str">
        <f>CONCATENATE(TableAopCalendar[[#This Row],[Month for Plan]]," ",TableAopCalendar[[#This Row],[Plan]])</f>
        <v>APRIL 26 PLANNED</v>
      </c>
    </row>
    <row r="1473" spans="1:11" x14ac:dyDescent="0.3">
      <c r="A1473" s="32">
        <f t="shared" si="81"/>
        <v>4</v>
      </c>
      <c r="B1473" s="33">
        <v>46123</v>
      </c>
      <c r="C1473" s="6" t="s">
        <v>264</v>
      </c>
      <c r="D1473" s="34">
        <v>26</v>
      </c>
      <c r="E1473" s="32">
        <f>DAY(TableAopCalendar[[#This Row],[Date]])</f>
        <v>11</v>
      </c>
      <c r="F1473" s="32">
        <f>IF(TableAopCalendar[[#This Row],[Day]]&lt;8,1,IF(TableAopCalendar[[#This Row],[Day]]&lt;15,2,IF(TableAopCalendar[[#This Row],[Day]]&lt;22,3,IF(TableAopCalendar[[#This Row],[Day]]&lt;29,4,IF(TableAopCalendar[[#This Row],[Day]]&lt;32,5)))))</f>
        <v>2</v>
      </c>
      <c r="G1473" s="32" t="str">
        <f t="shared" si="82"/>
        <v>Week 2</v>
      </c>
      <c r="H1473" s="32" t="str">
        <f t="shared" si="83"/>
        <v>April 26 Week 2</v>
      </c>
      <c r="I1473" s="32" t="str">
        <f>CONCATENATE(UPPER(TableAopCalendar[[#This Row],[Month]])," ",TableAopCalendar[[#This Row],[Year]])</f>
        <v>APRIL 26</v>
      </c>
      <c r="J1473" s="7" t="s">
        <v>274</v>
      </c>
      <c r="K1473" s="32" t="str">
        <f>CONCATENATE(TableAopCalendar[[#This Row],[Month for Plan]]," ",TableAopCalendar[[#This Row],[Plan]])</f>
        <v>APRIL 26 PLANNED</v>
      </c>
    </row>
    <row r="1474" spans="1:11" x14ac:dyDescent="0.3">
      <c r="A1474" s="32">
        <f t="shared" si="81"/>
        <v>5</v>
      </c>
      <c r="B1474" s="33">
        <v>46124</v>
      </c>
      <c r="C1474" s="6" t="s">
        <v>264</v>
      </c>
      <c r="D1474" s="34">
        <v>26</v>
      </c>
      <c r="E1474" s="32">
        <f>DAY(TableAopCalendar[[#This Row],[Date]])</f>
        <v>12</v>
      </c>
      <c r="F1474" s="32">
        <f>IF(TableAopCalendar[[#This Row],[Day]]&lt;8,1,IF(TableAopCalendar[[#This Row],[Day]]&lt;15,2,IF(TableAopCalendar[[#This Row],[Day]]&lt;22,3,IF(TableAopCalendar[[#This Row],[Day]]&lt;29,4,IF(TableAopCalendar[[#This Row],[Day]]&lt;32,5)))))</f>
        <v>2</v>
      </c>
      <c r="G1474" s="32" t="str">
        <f t="shared" si="82"/>
        <v>Week 2</v>
      </c>
      <c r="H1474" s="32" t="str">
        <f t="shared" si="83"/>
        <v>April 26 Week 2</v>
      </c>
      <c r="I1474" s="32" t="str">
        <f>CONCATENATE(UPPER(TableAopCalendar[[#This Row],[Month]])," ",TableAopCalendar[[#This Row],[Year]])</f>
        <v>APRIL 26</v>
      </c>
      <c r="J1474" s="7" t="s">
        <v>274</v>
      </c>
      <c r="K1474" s="32" t="str">
        <f>CONCATENATE(TableAopCalendar[[#This Row],[Month for Plan]]," ",TableAopCalendar[[#This Row],[Plan]])</f>
        <v>APRIL 26 PLANNED</v>
      </c>
    </row>
    <row r="1475" spans="1:11" x14ac:dyDescent="0.3">
      <c r="A1475" s="32">
        <f t="shared" si="81"/>
        <v>6</v>
      </c>
      <c r="B1475" s="33">
        <v>46125</v>
      </c>
      <c r="C1475" s="6" t="s">
        <v>264</v>
      </c>
      <c r="D1475" s="34">
        <v>26</v>
      </c>
      <c r="E1475" s="32">
        <f>DAY(TableAopCalendar[[#This Row],[Date]])</f>
        <v>13</v>
      </c>
      <c r="F1475" s="32">
        <f>IF(TableAopCalendar[[#This Row],[Day]]&lt;8,1,IF(TableAopCalendar[[#This Row],[Day]]&lt;15,2,IF(TableAopCalendar[[#This Row],[Day]]&lt;22,3,IF(TableAopCalendar[[#This Row],[Day]]&lt;29,4,IF(TableAopCalendar[[#This Row],[Day]]&lt;32,5)))))</f>
        <v>2</v>
      </c>
      <c r="G1475" s="32" t="str">
        <f t="shared" si="82"/>
        <v>Week 2</v>
      </c>
      <c r="H1475" s="32" t="str">
        <f t="shared" si="83"/>
        <v>April 26 Week 2</v>
      </c>
      <c r="I1475" s="32" t="str">
        <f>CONCATENATE(UPPER(TableAopCalendar[[#This Row],[Month]])," ",TableAopCalendar[[#This Row],[Year]])</f>
        <v>APRIL 26</v>
      </c>
      <c r="J1475" s="7" t="s">
        <v>274</v>
      </c>
      <c r="K1475" s="32" t="str">
        <f>CONCATENATE(TableAopCalendar[[#This Row],[Month for Plan]]," ",TableAopCalendar[[#This Row],[Plan]])</f>
        <v>APRIL 26 PLANNED</v>
      </c>
    </row>
    <row r="1476" spans="1:11" x14ac:dyDescent="0.3">
      <c r="A1476" s="32">
        <f t="shared" si="81"/>
        <v>7</v>
      </c>
      <c r="B1476" s="33">
        <v>46126</v>
      </c>
      <c r="C1476" s="6" t="s">
        <v>264</v>
      </c>
      <c r="D1476" s="34">
        <v>26</v>
      </c>
      <c r="E1476" s="32">
        <f>DAY(TableAopCalendar[[#This Row],[Date]])</f>
        <v>14</v>
      </c>
      <c r="F1476" s="32">
        <f>IF(TableAopCalendar[[#This Row],[Day]]&lt;8,1,IF(TableAopCalendar[[#This Row],[Day]]&lt;15,2,IF(TableAopCalendar[[#This Row],[Day]]&lt;22,3,IF(TableAopCalendar[[#This Row],[Day]]&lt;29,4,IF(TableAopCalendar[[#This Row],[Day]]&lt;32,5)))))</f>
        <v>2</v>
      </c>
      <c r="G1476" s="32" t="str">
        <f t="shared" si="82"/>
        <v>Week 2</v>
      </c>
      <c r="H1476" s="32" t="str">
        <f t="shared" si="83"/>
        <v>April 26 Week 2</v>
      </c>
      <c r="I1476" s="32" t="str">
        <f>CONCATENATE(UPPER(TableAopCalendar[[#This Row],[Month]])," ",TableAopCalendar[[#This Row],[Year]])</f>
        <v>APRIL 26</v>
      </c>
      <c r="J1476" s="7" t="s">
        <v>274</v>
      </c>
      <c r="K1476" s="32" t="str">
        <f>CONCATENATE(TableAopCalendar[[#This Row],[Month for Plan]]," ",TableAopCalendar[[#This Row],[Plan]])</f>
        <v>APRIL 26 PLANNED</v>
      </c>
    </row>
    <row r="1477" spans="1:11" x14ac:dyDescent="0.3">
      <c r="A1477" s="32">
        <f t="shared" si="81"/>
        <v>1</v>
      </c>
      <c r="B1477" s="33">
        <v>46127</v>
      </c>
      <c r="C1477" s="6" t="s">
        <v>264</v>
      </c>
      <c r="D1477" s="34">
        <v>26</v>
      </c>
      <c r="E1477" s="32">
        <f>DAY(TableAopCalendar[[#This Row],[Date]])</f>
        <v>15</v>
      </c>
      <c r="F1477" s="32">
        <f>IF(TableAopCalendar[[#This Row],[Day]]&lt;8,1,IF(TableAopCalendar[[#This Row],[Day]]&lt;15,2,IF(TableAopCalendar[[#This Row],[Day]]&lt;22,3,IF(TableAopCalendar[[#This Row],[Day]]&lt;29,4,IF(TableAopCalendar[[#This Row],[Day]]&lt;32,5)))))</f>
        <v>3</v>
      </c>
      <c r="G1477" s="32" t="str">
        <f t="shared" si="82"/>
        <v>Week 3</v>
      </c>
      <c r="H1477" s="32" t="str">
        <f t="shared" si="83"/>
        <v>April 26 Week 3</v>
      </c>
      <c r="I1477" s="32" t="str">
        <f>CONCATENATE(UPPER(TableAopCalendar[[#This Row],[Month]])," ",TableAopCalendar[[#This Row],[Year]])</f>
        <v>APRIL 26</v>
      </c>
      <c r="J1477" s="7" t="s">
        <v>274</v>
      </c>
      <c r="K1477" s="32" t="str">
        <f>CONCATENATE(TableAopCalendar[[#This Row],[Month for Plan]]," ",TableAopCalendar[[#This Row],[Plan]])</f>
        <v>APRIL 26 PLANNED</v>
      </c>
    </row>
    <row r="1478" spans="1:11" x14ac:dyDescent="0.3">
      <c r="A1478" s="32">
        <f t="shared" si="81"/>
        <v>2</v>
      </c>
      <c r="B1478" s="33">
        <v>46128</v>
      </c>
      <c r="C1478" s="6" t="s">
        <v>264</v>
      </c>
      <c r="D1478" s="34">
        <v>26</v>
      </c>
      <c r="E1478" s="32">
        <f>DAY(TableAopCalendar[[#This Row],[Date]])</f>
        <v>16</v>
      </c>
      <c r="F1478" s="32">
        <f>IF(TableAopCalendar[[#This Row],[Day]]&lt;8,1,IF(TableAopCalendar[[#This Row],[Day]]&lt;15,2,IF(TableAopCalendar[[#This Row],[Day]]&lt;22,3,IF(TableAopCalendar[[#This Row],[Day]]&lt;29,4,IF(TableAopCalendar[[#This Row],[Day]]&lt;32,5)))))</f>
        <v>3</v>
      </c>
      <c r="G1478" s="32" t="str">
        <f t="shared" si="82"/>
        <v>Week 3</v>
      </c>
      <c r="H1478" s="32" t="str">
        <f t="shared" si="83"/>
        <v>April 26 Week 3</v>
      </c>
      <c r="I1478" s="32" t="str">
        <f>CONCATENATE(UPPER(TableAopCalendar[[#This Row],[Month]])," ",TableAopCalendar[[#This Row],[Year]])</f>
        <v>APRIL 26</v>
      </c>
      <c r="J1478" s="7" t="s">
        <v>274</v>
      </c>
      <c r="K1478" s="32" t="str">
        <f>CONCATENATE(TableAopCalendar[[#This Row],[Month for Plan]]," ",TableAopCalendar[[#This Row],[Plan]])</f>
        <v>APRIL 26 PLANNED</v>
      </c>
    </row>
    <row r="1479" spans="1:11" x14ac:dyDescent="0.3">
      <c r="A1479" s="32">
        <f t="shared" si="81"/>
        <v>3</v>
      </c>
      <c r="B1479" s="33">
        <v>46129</v>
      </c>
      <c r="C1479" s="6" t="s">
        <v>264</v>
      </c>
      <c r="D1479" s="34">
        <v>26</v>
      </c>
      <c r="E1479" s="32">
        <f>DAY(TableAopCalendar[[#This Row],[Date]])</f>
        <v>17</v>
      </c>
      <c r="F1479" s="32">
        <f>IF(TableAopCalendar[[#This Row],[Day]]&lt;8,1,IF(TableAopCalendar[[#This Row],[Day]]&lt;15,2,IF(TableAopCalendar[[#This Row],[Day]]&lt;22,3,IF(TableAopCalendar[[#This Row],[Day]]&lt;29,4,IF(TableAopCalendar[[#This Row],[Day]]&lt;32,5)))))</f>
        <v>3</v>
      </c>
      <c r="G1479" s="32" t="str">
        <f t="shared" si="82"/>
        <v>Week 3</v>
      </c>
      <c r="H1479" s="32" t="str">
        <f t="shared" si="83"/>
        <v>April 26 Week 3</v>
      </c>
      <c r="I1479" s="32" t="str">
        <f>CONCATENATE(UPPER(TableAopCalendar[[#This Row],[Month]])," ",TableAopCalendar[[#This Row],[Year]])</f>
        <v>APRIL 26</v>
      </c>
      <c r="J1479" s="7" t="s">
        <v>274</v>
      </c>
      <c r="K1479" s="32" t="str">
        <f>CONCATENATE(TableAopCalendar[[#This Row],[Month for Plan]]," ",TableAopCalendar[[#This Row],[Plan]])</f>
        <v>APRIL 26 PLANNED</v>
      </c>
    </row>
    <row r="1480" spans="1:11" x14ac:dyDescent="0.3">
      <c r="A1480" s="32">
        <f t="shared" si="81"/>
        <v>4</v>
      </c>
      <c r="B1480" s="33">
        <v>46130</v>
      </c>
      <c r="C1480" s="6" t="s">
        <v>264</v>
      </c>
      <c r="D1480" s="34">
        <v>26</v>
      </c>
      <c r="E1480" s="32">
        <f>DAY(TableAopCalendar[[#This Row],[Date]])</f>
        <v>18</v>
      </c>
      <c r="F1480" s="32">
        <f>IF(TableAopCalendar[[#This Row],[Day]]&lt;8,1,IF(TableAopCalendar[[#This Row],[Day]]&lt;15,2,IF(TableAopCalendar[[#This Row],[Day]]&lt;22,3,IF(TableAopCalendar[[#This Row],[Day]]&lt;29,4,IF(TableAopCalendar[[#This Row],[Day]]&lt;32,5)))))</f>
        <v>3</v>
      </c>
      <c r="G1480" s="32" t="str">
        <f t="shared" si="82"/>
        <v>Week 3</v>
      </c>
      <c r="H1480" s="32" t="str">
        <f t="shared" si="83"/>
        <v>April 26 Week 3</v>
      </c>
      <c r="I1480" s="32" t="str">
        <f>CONCATENATE(UPPER(TableAopCalendar[[#This Row],[Month]])," ",TableAopCalendar[[#This Row],[Year]])</f>
        <v>APRIL 26</v>
      </c>
      <c r="J1480" s="7" t="s">
        <v>274</v>
      </c>
      <c r="K1480" s="32" t="str">
        <f>CONCATENATE(TableAopCalendar[[#This Row],[Month for Plan]]," ",TableAopCalendar[[#This Row],[Plan]])</f>
        <v>APRIL 26 PLANNED</v>
      </c>
    </row>
    <row r="1481" spans="1:11" x14ac:dyDescent="0.3">
      <c r="A1481" s="32">
        <f t="shared" si="81"/>
        <v>5</v>
      </c>
      <c r="B1481" s="33">
        <v>46131</v>
      </c>
      <c r="C1481" s="6" t="s">
        <v>264</v>
      </c>
      <c r="D1481" s="34">
        <v>26</v>
      </c>
      <c r="E1481" s="32">
        <f>DAY(TableAopCalendar[[#This Row],[Date]])</f>
        <v>19</v>
      </c>
      <c r="F1481" s="32">
        <f>IF(TableAopCalendar[[#This Row],[Day]]&lt;8,1,IF(TableAopCalendar[[#This Row],[Day]]&lt;15,2,IF(TableAopCalendar[[#This Row],[Day]]&lt;22,3,IF(TableAopCalendar[[#This Row],[Day]]&lt;29,4,IF(TableAopCalendar[[#This Row],[Day]]&lt;32,5)))))</f>
        <v>3</v>
      </c>
      <c r="G1481" s="32" t="str">
        <f t="shared" si="82"/>
        <v>Week 3</v>
      </c>
      <c r="H1481" s="32" t="str">
        <f t="shared" si="83"/>
        <v>April 26 Week 3</v>
      </c>
      <c r="I1481" s="32" t="str">
        <f>CONCATENATE(UPPER(TableAopCalendar[[#This Row],[Month]])," ",TableAopCalendar[[#This Row],[Year]])</f>
        <v>APRIL 26</v>
      </c>
      <c r="J1481" s="7" t="s">
        <v>274</v>
      </c>
      <c r="K1481" s="32" t="str">
        <f>CONCATENATE(TableAopCalendar[[#This Row],[Month for Plan]]," ",TableAopCalendar[[#This Row],[Plan]])</f>
        <v>APRIL 26 PLANNED</v>
      </c>
    </row>
    <row r="1482" spans="1:11" x14ac:dyDescent="0.3">
      <c r="A1482" s="32">
        <f t="shared" si="81"/>
        <v>6</v>
      </c>
      <c r="B1482" s="33">
        <v>46132</v>
      </c>
      <c r="C1482" s="6" t="s">
        <v>264</v>
      </c>
      <c r="D1482" s="34">
        <v>26</v>
      </c>
      <c r="E1482" s="32">
        <f>DAY(TableAopCalendar[[#This Row],[Date]])</f>
        <v>20</v>
      </c>
      <c r="F1482" s="32">
        <f>IF(TableAopCalendar[[#This Row],[Day]]&lt;8,1,IF(TableAopCalendar[[#This Row],[Day]]&lt;15,2,IF(TableAopCalendar[[#This Row],[Day]]&lt;22,3,IF(TableAopCalendar[[#This Row],[Day]]&lt;29,4,IF(TableAopCalendar[[#This Row],[Day]]&lt;32,5)))))</f>
        <v>3</v>
      </c>
      <c r="G1482" s="32" t="str">
        <f t="shared" si="82"/>
        <v>Week 3</v>
      </c>
      <c r="H1482" s="32" t="str">
        <f t="shared" si="83"/>
        <v>April 26 Week 3</v>
      </c>
      <c r="I1482" s="32" t="str">
        <f>CONCATENATE(UPPER(TableAopCalendar[[#This Row],[Month]])," ",TableAopCalendar[[#This Row],[Year]])</f>
        <v>APRIL 26</v>
      </c>
      <c r="J1482" s="7" t="s">
        <v>274</v>
      </c>
      <c r="K1482" s="32" t="str">
        <f>CONCATENATE(TableAopCalendar[[#This Row],[Month for Plan]]," ",TableAopCalendar[[#This Row],[Plan]])</f>
        <v>APRIL 26 PLANNED</v>
      </c>
    </row>
    <row r="1483" spans="1:11" x14ac:dyDescent="0.3">
      <c r="A1483" s="32">
        <f t="shared" ref="A1483:A1546" si="84">IF(G1483=G1482,A1482+1,1)</f>
        <v>7</v>
      </c>
      <c r="B1483" s="33">
        <v>46133</v>
      </c>
      <c r="C1483" s="6" t="s">
        <v>264</v>
      </c>
      <c r="D1483" s="34">
        <v>26</v>
      </c>
      <c r="E1483" s="32">
        <f>DAY(TableAopCalendar[[#This Row],[Date]])</f>
        <v>21</v>
      </c>
      <c r="F1483" s="32">
        <f>IF(TableAopCalendar[[#This Row],[Day]]&lt;8,1,IF(TableAopCalendar[[#This Row],[Day]]&lt;15,2,IF(TableAopCalendar[[#This Row],[Day]]&lt;22,3,IF(TableAopCalendar[[#This Row],[Day]]&lt;29,4,IF(TableAopCalendar[[#This Row],[Day]]&lt;32,5)))))</f>
        <v>3</v>
      </c>
      <c r="G1483" s="32" t="str">
        <f t="shared" ref="G1483:G1546" si="85">"Week"&amp;" "&amp;F1483</f>
        <v>Week 3</v>
      </c>
      <c r="H1483" s="32" t="str">
        <f t="shared" ref="H1483:H1546" si="86">CONCATENATE(C1483," ",D1483," ",G1483)</f>
        <v>April 26 Week 3</v>
      </c>
      <c r="I1483" s="32" t="str">
        <f>CONCATENATE(UPPER(TableAopCalendar[[#This Row],[Month]])," ",TableAopCalendar[[#This Row],[Year]])</f>
        <v>APRIL 26</v>
      </c>
      <c r="J1483" s="7" t="s">
        <v>274</v>
      </c>
      <c r="K1483" s="32" t="str">
        <f>CONCATENATE(TableAopCalendar[[#This Row],[Month for Plan]]," ",TableAopCalendar[[#This Row],[Plan]])</f>
        <v>APRIL 26 PLANNED</v>
      </c>
    </row>
    <row r="1484" spans="1:11" x14ac:dyDescent="0.3">
      <c r="A1484" s="32">
        <f t="shared" si="84"/>
        <v>1</v>
      </c>
      <c r="B1484" s="33">
        <v>46134</v>
      </c>
      <c r="C1484" s="6" t="s">
        <v>264</v>
      </c>
      <c r="D1484" s="34">
        <v>26</v>
      </c>
      <c r="E1484" s="32">
        <f>DAY(TableAopCalendar[[#This Row],[Date]])</f>
        <v>22</v>
      </c>
      <c r="F1484" s="32">
        <f>IF(TableAopCalendar[[#This Row],[Day]]&lt;8,1,IF(TableAopCalendar[[#This Row],[Day]]&lt;15,2,IF(TableAopCalendar[[#This Row],[Day]]&lt;22,3,IF(TableAopCalendar[[#This Row],[Day]]&lt;29,4,IF(TableAopCalendar[[#This Row],[Day]]&lt;32,5)))))</f>
        <v>4</v>
      </c>
      <c r="G1484" s="32" t="str">
        <f t="shared" si="85"/>
        <v>Week 4</v>
      </c>
      <c r="H1484" s="32" t="str">
        <f t="shared" si="86"/>
        <v>April 26 Week 4</v>
      </c>
      <c r="I1484" s="32" t="str">
        <f>CONCATENATE(UPPER(TableAopCalendar[[#This Row],[Month]])," ",TableAopCalendar[[#This Row],[Year]])</f>
        <v>APRIL 26</v>
      </c>
      <c r="J1484" s="7" t="s">
        <v>274</v>
      </c>
      <c r="K1484" s="32" t="str">
        <f>CONCATENATE(TableAopCalendar[[#This Row],[Month for Plan]]," ",TableAopCalendar[[#This Row],[Plan]])</f>
        <v>APRIL 26 PLANNED</v>
      </c>
    </row>
    <row r="1485" spans="1:11" x14ac:dyDescent="0.3">
      <c r="A1485" s="32">
        <f t="shared" si="84"/>
        <v>2</v>
      </c>
      <c r="B1485" s="33">
        <v>46135</v>
      </c>
      <c r="C1485" s="6" t="s">
        <v>264</v>
      </c>
      <c r="D1485" s="34">
        <v>26</v>
      </c>
      <c r="E1485" s="32">
        <f>DAY(TableAopCalendar[[#This Row],[Date]])</f>
        <v>23</v>
      </c>
      <c r="F1485" s="32">
        <f>IF(TableAopCalendar[[#This Row],[Day]]&lt;8,1,IF(TableAopCalendar[[#This Row],[Day]]&lt;15,2,IF(TableAopCalendar[[#This Row],[Day]]&lt;22,3,IF(TableAopCalendar[[#This Row],[Day]]&lt;29,4,IF(TableAopCalendar[[#This Row],[Day]]&lt;32,5)))))</f>
        <v>4</v>
      </c>
      <c r="G1485" s="32" t="str">
        <f t="shared" si="85"/>
        <v>Week 4</v>
      </c>
      <c r="H1485" s="32" t="str">
        <f t="shared" si="86"/>
        <v>April 26 Week 4</v>
      </c>
      <c r="I1485" s="32" t="str">
        <f>CONCATENATE(UPPER(TableAopCalendar[[#This Row],[Month]])," ",TableAopCalendar[[#This Row],[Year]])</f>
        <v>APRIL 26</v>
      </c>
      <c r="J1485" s="7" t="s">
        <v>274</v>
      </c>
      <c r="K1485" s="32" t="str">
        <f>CONCATENATE(TableAopCalendar[[#This Row],[Month for Plan]]," ",TableAopCalendar[[#This Row],[Plan]])</f>
        <v>APRIL 26 PLANNED</v>
      </c>
    </row>
    <row r="1486" spans="1:11" x14ac:dyDescent="0.3">
      <c r="A1486" s="32">
        <f t="shared" si="84"/>
        <v>3</v>
      </c>
      <c r="B1486" s="33">
        <v>46136</v>
      </c>
      <c r="C1486" s="6" t="s">
        <v>264</v>
      </c>
      <c r="D1486" s="34">
        <v>26</v>
      </c>
      <c r="E1486" s="32">
        <f>DAY(TableAopCalendar[[#This Row],[Date]])</f>
        <v>24</v>
      </c>
      <c r="F1486" s="32">
        <f>IF(TableAopCalendar[[#This Row],[Day]]&lt;8,1,IF(TableAopCalendar[[#This Row],[Day]]&lt;15,2,IF(TableAopCalendar[[#This Row],[Day]]&lt;22,3,IF(TableAopCalendar[[#This Row],[Day]]&lt;29,4,IF(TableAopCalendar[[#This Row],[Day]]&lt;32,5)))))</f>
        <v>4</v>
      </c>
      <c r="G1486" s="32" t="str">
        <f t="shared" si="85"/>
        <v>Week 4</v>
      </c>
      <c r="H1486" s="32" t="str">
        <f t="shared" si="86"/>
        <v>April 26 Week 4</v>
      </c>
      <c r="I1486" s="32" t="str">
        <f>CONCATENATE(UPPER(TableAopCalendar[[#This Row],[Month]])," ",TableAopCalendar[[#This Row],[Year]])</f>
        <v>APRIL 26</v>
      </c>
      <c r="J1486" s="7" t="s">
        <v>274</v>
      </c>
      <c r="K1486" s="32" t="str">
        <f>CONCATENATE(TableAopCalendar[[#This Row],[Month for Plan]]," ",TableAopCalendar[[#This Row],[Plan]])</f>
        <v>APRIL 26 PLANNED</v>
      </c>
    </row>
    <row r="1487" spans="1:11" x14ac:dyDescent="0.3">
      <c r="A1487" s="32">
        <f t="shared" si="84"/>
        <v>4</v>
      </c>
      <c r="B1487" s="33">
        <v>46137</v>
      </c>
      <c r="C1487" s="6" t="s">
        <v>264</v>
      </c>
      <c r="D1487" s="34">
        <v>26</v>
      </c>
      <c r="E1487" s="32">
        <f>DAY(TableAopCalendar[[#This Row],[Date]])</f>
        <v>25</v>
      </c>
      <c r="F1487" s="32">
        <f>IF(TableAopCalendar[[#This Row],[Day]]&lt;8,1,IF(TableAopCalendar[[#This Row],[Day]]&lt;15,2,IF(TableAopCalendar[[#This Row],[Day]]&lt;22,3,IF(TableAopCalendar[[#This Row],[Day]]&lt;29,4,IF(TableAopCalendar[[#This Row],[Day]]&lt;32,5)))))</f>
        <v>4</v>
      </c>
      <c r="G1487" s="32" t="str">
        <f t="shared" si="85"/>
        <v>Week 4</v>
      </c>
      <c r="H1487" s="32" t="str">
        <f t="shared" si="86"/>
        <v>April 26 Week 4</v>
      </c>
      <c r="I1487" s="32" t="str">
        <f>CONCATENATE(UPPER(TableAopCalendar[[#This Row],[Month]])," ",TableAopCalendar[[#This Row],[Year]])</f>
        <v>APRIL 26</v>
      </c>
      <c r="J1487" s="7" t="s">
        <v>274</v>
      </c>
      <c r="K1487" s="32" t="str">
        <f>CONCATENATE(TableAopCalendar[[#This Row],[Month for Plan]]," ",TableAopCalendar[[#This Row],[Plan]])</f>
        <v>APRIL 26 PLANNED</v>
      </c>
    </row>
    <row r="1488" spans="1:11" x14ac:dyDescent="0.3">
      <c r="A1488" s="32">
        <f t="shared" si="84"/>
        <v>5</v>
      </c>
      <c r="B1488" s="33">
        <v>46138</v>
      </c>
      <c r="C1488" s="6" t="s">
        <v>264</v>
      </c>
      <c r="D1488" s="34">
        <v>26</v>
      </c>
      <c r="E1488" s="32">
        <f>DAY(TableAopCalendar[[#This Row],[Date]])</f>
        <v>26</v>
      </c>
      <c r="F1488" s="32">
        <f>IF(TableAopCalendar[[#This Row],[Day]]&lt;8,1,IF(TableAopCalendar[[#This Row],[Day]]&lt;15,2,IF(TableAopCalendar[[#This Row],[Day]]&lt;22,3,IF(TableAopCalendar[[#This Row],[Day]]&lt;29,4,IF(TableAopCalendar[[#This Row],[Day]]&lt;32,5)))))</f>
        <v>4</v>
      </c>
      <c r="G1488" s="32" t="str">
        <f t="shared" si="85"/>
        <v>Week 4</v>
      </c>
      <c r="H1488" s="32" t="str">
        <f t="shared" si="86"/>
        <v>April 26 Week 4</v>
      </c>
      <c r="I1488" s="32" t="str">
        <f>CONCATENATE(UPPER(TableAopCalendar[[#This Row],[Month]])," ",TableAopCalendar[[#This Row],[Year]])</f>
        <v>APRIL 26</v>
      </c>
      <c r="J1488" s="7" t="s">
        <v>274</v>
      </c>
      <c r="K1488" s="32" t="str">
        <f>CONCATENATE(TableAopCalendar[[#This Row],[Month for Plan]]," ",TableAopCalendar[[#This Row],[Plan]])</f>
        <v>APRIL 26 PLANNED</v>
      </c>
    </row>
    <row r="1489" spans="1:11" x14ac:dyDescent="0.3">
      <c r="A1489" s="32">
        <f t="shared" si="84"/>
        <v>6</v>
      </c>
      <c r="B1489" s="33">
        <v>46139</v>
      </c>
      <c r="C1489" s="6" t="s">
        <v>264</v>
      </c>
      <c r="D1489" s="34">
        <v>26</v>
      </c>
      <c r="E1489" s="32">
        <f>DAY(TableAopCalendar[[#This Row],[Date]])</f>
        <v>27</v>
      </c>
      <c r="F1489" s="32">
        <f>IF(TableAopCalendar[[#This Row],[Day]]&lt;8,1,IF(TableAopCalendar[[#This Row],[Day]]&lt;15,2,IF(TableAopCalendar[[#This Row],[Day]]&lt;22,3,IF(TableAopCalendar[[#This Row],[Day]]&lt;29,4,IF(TableAopCalendar[[#This Row],[Day]]&lt;32,5)))))</f>
        <v>4</v>
      </c>
      <c r="G1489" s="32" t="str">
        <f t="shared" si="85"/>
        <v>Week 4</v>
      </c>
      <c r="H1489" s="32" t="str">
        <f t="shared" si="86"/>
        <v>April 26 Week 4</v>
      </c>
      <c r="I1489" s="32" t="str">
        <f>CONCATENATE(UPPER(TableAopCalendar[[#This Row],[Month]])," ",TableAopCalendar[[#This Row],[Year]])</f>
        <v>APRIL 26</v>
      </c>
      <c r="J1489" s="7" t="s">
        <v>274</v>
      </c>
      <c r="K1489" s="32" t="str">
        <f>CONCATENATE(TableAopCalendar[[#This Row],[Month for Plan]]," ",TableAopCalendar[[#This Row],[Plan]])</f>
        <v>APRIL 26 PLANNED</v>
      </c>
    </row>
    <row r="1490" spans="1:11" x14ac:dyDescent="0.3">
      <c r="A1490" s="32">
        <f t="shared" si="84"/>
        <v>7</v>
      </c>
      <c r="B1490" s="33">
        <v>46140</v>
      </c>
      <c r="C1490" s="6" t="s">
        <v>264</v>
      </c>
      <c r="D1490" s="34">
        <v>26</v>
      </c>
      <c r="E1490" s="32">
        <f>DAY(TableAopCalendar[[#This Row],[Date]])</f>
        <v>28</v>
      </c>
      <c r="F1490" s="32">
        <f>IF(TableAopCalendar[[#This Row],[Day]]&lt;8,1,IF(TableAopCalendar[[#This Row],[Day]]&lt;15,2,IF(TableAopCalendar[[#This Row],[Day]]&lt;22,3,IF(TableAopCalendar[[#This Row],[Day]]&lt;29,4,IF(TableAopCalendar[[#This Row],[Day]]&lt;32,5)))))</f>
        <v>4</v>
      </c>
      <c r="G1490" s="32" t="str">
        <f t="shared" si="85"/>
        <v>Week 4</v>
      </c>
      <c r="H1490" s="32" t="str">
        <f t="shared" si="86"/>
        <v>April 26 Week 4</v>
      </c>
      <c r="I1490" s="32" t="str">
        <f>CONCATENATE(UPPER(TableAopCalendar[[#This Row],[Month]])," ",TableAopCalendar[[#This Row],[Year]])</f>
        <v>APRIL 26</v>
      </c>
      <c r="J1490" s="7" t="s">
        <v>274</v>
      </c>
      <c r="K1490" s="32" t="str">
        <f>CONCATENATE(TableAopCalendar[[#This Row],[Month for Plan]]," ",TableAopCalendar[[#This Row],[Plan]])</f>
        <v>APRIL 26 PLANNED</v>
      </c>
    </row>
    <row r="1491" spans="1:11" x14ac:dyDescent="0.3">
      <c r="A1491" s="32">
        <f t="shared" si="84"/>
        <v>1</v>
      </c>
      <c r="B1491" s="33">
        <v>46141</v>
      </c>
      <c r="C1491" s="6" t="s">
        <v>264</v>
      </c>
      <c r="D1491" s="34">
        <v>26</v>
      </c>
      <c r="E1491" s="32">
        <f>DAY(TableAopCalendar[[#This Row],[Date]])</f>
        <v>29</v>
      </c>
      <c r="F1491" s="32">
        <f>IF(TableAopCalendar[[#This Row],[Day]]&lt;8,1,IF(TableAopCalendar[[#This Row],[Day]]&lt;15,2,IF(TableAopCalendar[[#This Row],[Day]]&lt;22,3,IF(TableAopCalendar[[#This Row],[Day]]&lt;29,4,IF(TableAopCalendar[[#This Row],[Day]]&lt;32,5)))))</f>
        <v>5</v>
      </c>
      <c r="G1491" s="32" t="str">
        <f t="shared" si="85"/>
        <v>Week 5</v>
      </c>
      <c r="H1491" s="32" t="str">
        <f t="shared" si="86"/>
        <v>April 26 Week 5</v>
      </c>
      <c r="I1491" s="32" t="str">
        <f>CONCATENATE(UPPER(TableAopCalendar[[#This Row],[Month]])," ",TableAopCalendar[[#This Row],[Year]])</f>
        <v>APRIL 26</v>
      </c>
      <c r="J1491" s="7" t="s">
        <v>274</v>
      </c>
      <c r="K1491" s="32" t="str">
        <f>CONCATENATE(TableAopCalendar[[#This Row],[Month for Plan]]," ",TableAopCalendar[[#This Row],[Plan]])</f>
        <v>APRIL 26 PLANNED</v>
      </c>
    </row>
    <row r="1492" spans="1:11" x14ac:dyDescent="0.3">
      <c r="A1492" s="32">
        <f t="shared" si="84"/>
        <v>2</v>
      </c>
      <c r="B1492" s="33">
        <v>46142</v>
      </c>
      <c r="C1492" s="6" t="s">
        <v>264</v>
      </c>
      <c r="D1492" s="34">
        <v>26</v>
      </c>
      <c r="E1492" s="32">
        <f>DAY(TableAopCalendar[[#This Row],[Date]])</f>
        <v>30</v>
      </c>
      <c r="F1492" s="32">
        <f>IF(TableAopCalendar[[#This Row],[Day]]&lt;8,1,IF(TableAopCalendar[[#This Row],[Day]]&lt;15,2,IF(TableAopCalendar[[#This Row],[Day]]&lt;22,3,IF(TableAopCalendar[[#This Row],[Day]]&lt;29,4,IF(TableAopCalendar[[#This Row],[Day]]&lt;32,5)))))</f>
        <v>5</v>
      </c>
      <c r="G1492" s="32" t="str">
        <f t="shared" si="85"/>
        <v>Week 5</v>
      </c>
      <c r="H1492" s="32" t="str">
        <f t="shared" si="86"/>
        <v>April 26 Week 5</v>
      </c>
      <c r="I1492" s="32" t="str">
        <f>CONCATENATE(UPPER(TableAopCalendar[[#This Row],[Month]])," ",TableAopCalendar[[#This Row],[Year]])</f>
        <v>APRIL 26</v>
      </c>
      <c r="J1492" s="7" t="s">
        <v>274</v>
      </c>
      <c r="K1492" s="32" t="str">
        <f>CONCATENATE(TableAopCalendar[[#This Row],[Month for Plan]]," ",TableAopCalendar[[#This Row],[Plan]])</f>
        <v>APRIL 26 PLANNED</v>
      </c>
    </row>
    <row r="1493" spans="1:11" x14ac:dyDescent="0.3">
      <c r="A1493" s="32">
        <f t="shared" si="84"/>
        <v>1</v>
      </c>
      <c r="B1493" s="33">
        <v>46143</v>
      </c>
      <c r="C1493" s="6" t="s">
        <v>265</v>
      </c>
      <c r="D1493" s="34">
        <v>26</v>
      </c>
      <c r="E1493" s="32">
        <f>DAY(TableAopCalendar[[#This Row],[Date]])</f>
        <v>1</v>
      </c>
      <c r="F1493" s="32">
        <f>IF(TableAopCalendar[[#This Row],[Day]]&lt;8,1,IF(TableAopCalendar[[#This Row],[Day]]&lt;15,2,IF(TableAopCalendar[[#This Row],[Day]]&lt;22,3,IF(TableAopCalendar[[#This Row],[Day]]&lt;29,4,IF(TableAopCalendar[[#This Row],[Day]]&lt;32,5)))))</f>
        <v>1</v>
      </c>
      <c r="G1493" s="32" t="str">
        <f t="shared" si="85"/>
        <v>Week 1</v>
      </c>
      <c r="H1493" s="32" t="str">
        <f t="shared" si="86"/>
        <v>May 26 Week 1</v>
      </c>
      <c r="I1493" s="32" t="str">
        <f>CONCATENATE(UPPER(TableAopCalendar[[#This Row],[Month]])," ",TableAopCalendar[[#This Row],[Year]])</f>
        <v>MAY 26</v>
      </c>
      <c r="J1493" s="7" t="s">
        <v>274</v>
      </c>
      <c r="K1493" s="32" t="str">
        <f>CONCATENATE(TableAopCalendar[[#This Row],[Month for Plan]]," ",TableAopCalendar[[#This Row],[Plan]])</f>
        <v>MAY 26 PLANNED</v>
      </c>
    </row>
    <row r="1494" spans="1:11" x14ac:dyDescent="0.3">
      <c r="A1494" s="32">
        <f t="shared" si="84"/>
        <v>2</v>
      </c>
      <c r="B1494" s="33">
        <v>46144</v>
      </c>
      <c r="C1494" s="6" t="s">
        <v>265</v>
      </c>
      <c r="D1494" s="34">
        <v>26</v>
      </c>
      <c r="E1494" s="32">
        <f>DAY(TableAopCalendar[[#This Row],[Date]])</f>
        <v>2</v>
      </c>
      <c r="F1494" s="32">
        <f>IF(TableAopCalendar[[#This Row],[Day]]&lt;8,1,IF(TableAopCalendar[[#This Row],[Day]]&lt;15,2,IF(TableAopCalendar[[#This Row],[Day]]&lt;22,3,IF(TableAopCalendar[[#This Row],[Day]]&lt;29,4,IF(TableAopCalendar[[#This Row],[Day]]&lt;32,5)))))</f>
        <v>1</v>
      </c>
      <c r="G1494" s="32" t="str">
        <f t="shared" si="85"/>
        <v>Week 1</v>
      </c>
      <c r="H1494" s="32" t="str">
        <f t="shared" si="86"/>
        <v>May 26 Week 1</v>
      </c>
      <c r="I1494" s="32" t="str">
        <f>CONCATENATE(UPPER(TableAopCalendar[[#This Row],[Month]])," ",TableAopCalendar[[#This Row],[Year]])</f>
        <v>MAY 26</v>
      </c>
      <c r="J1494" s="7" t="s">
        <v>274</v>
      </c>
      <c r="K1494" s="32" t="str">
        <f>CONCATENATE(TableAopCalendar[[#This Row],[Month for Plan]]," ",TableAopCalendar[[#This Row],[Plan]])</f>
        <v>MAY 26 PLANNED</v>
      </c>
    </row>
    <row r="1495" spans="1:11" x14ac:dyDescent="0.3">
      <c r="A1495" s="32">
        <f t="shared" si="84"/>
        <v>3</v>
      </c>
      <c r="B1495" s="33">
        <v>46145</v>
      </c>
      <c r="C1495" s="6" t="s">
        <v>265</v>
      </c>
      <c r="D1495" s="34">
        <v>26</v>
      </c>
      <c r="E1495" s="32">
        <f>DAY(TableAopCalendar[[#This Row],[Date]])</f>
        <v>3</v>
      </c>
      <c r="F1495" s="32">
        <f>IF(TableAopCalendar[[#This Row],[Day]]&lt;8,1,IF(TableAopCalendar[[#This Row],[Day]]&lt;15,2,IF(TableAopCalendar[[#This Row],[Day]]&lt;22,3,IF(TableAopCalendar[[#This Row],[Day]]&lt;29,4,IF(TableAopCalendar[[#This Row],[Day]]&lt;32,5)))))</f>
        <v>1</v>
      </c>
      <c r="G1495" s="32" t="str">
        <f t="shared" si="85"/>
        <v>Week 1</v>
      </c>
      <c r="H1495" s="32" t="str">
        <f t="shared" si="86"/>
        <v>May 26 Week 1</v>
      </c>
      <c r="I1495" s="32" t="str">
        <f>CONCATENATE(UPPER(TableAopCalendar[[#This Row],[Month]])," ",TableAopCalendar[[#This Row],[Year]])</f>
        <v>MAY 26</v>
      </c>
      <c r="J1495" s="7" t="s">
        <v>274</v>
      </c>
      <c r="K1495" s="32" t="str">
        <f>CONCATENATE(TableAopCalendar[[#This Row],[Month for Plan]]," ",TableAopCalendar[[#This Row],[Plan]])</f>
        <v>MAY 26 PLANNED</v>
      </c>
    </row>
    <row r="1496" spans="1:11" x14ac:dyDescent="0.3">
      <c r="A1496" s="32">
        <f t="shared" si="84"/>
        <v>4</v>
      </c>
      <c r="B1496" s="33">
        <v>46146</v>
      </c>
      <c r="C1496" s="6" t="s">
        <v>265</v>
      </c>
      <c r="D1496" s="34">
        <v>26</v>
      </c>
      <c r="E1496" s="32">
        <f>DAY(TableAopCalendar[[#This Row],[Date]])</f>
        <v>4</v>
      </c>
      <c r="F1496" s="32">
        <f>IF(TableAopCalendar[[#This Row],[Day]]&lt;8,1,IF(TableAopCalendar[[#This Row],[Day]]&lt;15,2,IF(TableAopCalendar[[#This Row],[Day]]&lt;22,3,IF(TableAopCalendar[[#This Row],[Day]]&lt;29,4,IF(TableAopCalendar[[#This Row],[Day]]&lt;32,5)))))</f>
        <v>1</v>
      </c>
      <c r="G1496" s="32" t="str">
        <f t="shared" si="85"/>
        <v>Week 1</v>
      </c>
      <c r="H1496" s="32" t="str">
        <f t="shared" si="86"/>
        <v>May 26 Week 1</v>
      </c>
      <c r="I1496" s="32" t="str">
        <f>CONCATENATE(UPPER(TableAopCalendar[[#This Row],[Month]])," ",TableAopCalendar[[#This Row],[Year]])</f>
        <v>MAY 26</v>
      </c>
      <c r="J1496" s="7" t="s">
        <v>274</v>
      </c>
      <c r="K1496" s="32" t="str">
        <f>CONCATENATE(TableAopCalendar[[#This Row],[Month for Plan]]," ",TableAopCalendar[[#This Row],[Plan]])</f>
        <v>MAY 26 PLANNED</v>
      </c>
    </row>
    <row r="1497" spans="1:11" x14ac:dyDescent="0.3">
      <c r="A1497" s="32">
        <f t="shared" si="84"/>
        <v>5</v>
      </c>
      <c r="B1497" s="33">
        <v>46147</v>
      </c>
      <c r="C1497" s="6" t="s">
        <v>265</v>
      </c>
      <c r="D1497" s="34">
        <v>26</v>
      </c>
      <c r="E1497" s="32">
        <f>DAY(TableAopCalendar[[#This Row],[Date]])</f>
        <v>5</v>
      </c>
      <c r="F1497" s="32">
        <f>IF(TableAopCalendar[[#This Row],[Day]]&lt;8,1,IF(TableAopCalendar[[#This Row],[Day]]&lt;15,2,IF(TableAopCalendar[[#This Row],[Day]]&lt;22,3,IF(TableAopCalendar[[#This Row],[Day]]&lt;29,4,IF(TableAopCalendar[[#This Row],[Day]]&lt;32,5)))))</f>
        <v>1</v>
      </c>
      <c r="G1497" s="32" t="str">
        <f t="shared" si="85"/>
        <v>Week 1</v>
      </c>
      <c r="H1497" s="32" t="str">
        <f t="shared" si="86"/>
        <v>May 26 Week 1</v>
      </c>
      <c r="I1497" s="32" t="str">
        <f>CONCATENATE(UPPER(TableAopCalendar[[#This Row],[Month]])," ",TableAopCalendar[[#This Row],[Year]])</f>
        <v>MAY 26</v>
      </c>
      <c r="J1497" s="7" t="s">
        <v>274</v>
      </c>
      <c r="K1497" s="32" t="str">
        <f>CONCATENATE(TableAopCalendar[[#This Row],[Month for Plan]]," ",TableAopCalendar[[#This Row],[Plan]])</f>
        <v>MAY 26 PLANNED</v>
      </c>
    </row>
    <row r="1498" spans="1:11" x14ac:dyDescent="0.3">
      <c r="A1498" s="32">
        <f t="shared" si="84"/>
        <v>6</v>
      </c>
      <c r="B1498" s="33">
        <v>46148</v>
      </c>
      <c r="C1498" s="6" t="s">
        <v>265</v>
      </c>
      <c r="D1498" s="34">
        <v>26</v>
      </c>
      <c r="E1498" s="32">
        <f>DAY(TableAopCalendar[[#This Row],[Date]])</f>
        <v>6</v>
      </c>
      <c r="F1498" s="32">
        <f>IF(TableAopCalendar[[#This Row],[Day]]&lt;8,1,IF(TableAopCalendar[[#This Row],[Day]]&lt;15,2,IF(TableAopCalendar[[#This Row],[Day]]&lt;22,3,IF(TableAopCalendar[[#This Row],[Day]]&lt;29,4,IF(TableAopCalendar[[#This Row],[Day]]&lt;32,5)))))</f>
        <v>1</v>
      </c>
      <c r="G1498" s="32" t="str">
        <f t="shared" si="85"/>
        <v>Week 1</v>
      </c>
      <c r="H1498" s="32" t="str">
        <f t="shared" si="86"/>
        <v>May 26 Week 1</v>
      </c>
      <c r="I1498" s="32" t="str">
        <f>CONCATENATE(UPPER(TableAopCalendar[[#This Row],[Month]])," ",TableAopCalendar[[#This Row],[Year]])</f>
        <v>MAY 26</v>
      </c>
      <c r="J1498" s="7" t="s">
        <v>274</v>
      </c>
      <c r="K1498" s="32" t="str">
        <f>CONCATENATE(TableAopCalendar[[#This Row],[Month for Plan]]," ",TableAopCalendar[[#This Row],[Plan]])</f>
        <v>MAY 26 PLANNED</v>
      </c>
    </row>
    <row r="1499" spans="1:11" x14ac:dyDescent="0.3">
      <c r="A1499" s="32">
        <f t="shared" si="84"/>
        <v>7</v>
      </c>
      <c r="B1499" s="33">
        <v>46149</v>
      </c>
      <c r="C1499" s="6" t="s">
        <v>265</v>
      </c>
      <c r="D1499" s="34">
        <v>26</v>
      </c>
      <c r="E1499" s="32">
        <f>DAY(TableAopCalendar[[#This Row],[Date]])</f>
        <v>7</v>
      </c>
      <c r="F1499" s="32">
        <f>IF(TableAopCalendar[[#This Row],[Day]]&lt;8,1,IF(TableAopCalendar[[#This Row],[Day]]&lt;15,2,IF(TableAopCalendar[[#This Row],[Day]]&lt;22,3,IF(TableAopCalendar[[#This Row],[Day]]&lt;29,4,IF(TableAopCalendar[[#This Row],[Day]]&lt;32,5)))))</f>
        <v>1</v>
      </c>
      <c r="G1499" s="32" t="str">
        <f t="shared" si="85"/>
        <v>Week 1</v>
      </c>
      <c r="H1499" s="32" t="str">
        <f t="shared" si="86"/>
        <v>May 26 Week 1</v>
      </c>
      <c r="I1499" s="32" t="str">
        <f>CONCATENATE(UPPER(TableAopCalendar[[#This Row],[Month]])," ",TableAopCalendar[[#This Row],[Year]])</f>
        <v>MAY 26</v>
      </c>
      <c r="J1499" s="7" t="s">
        <v>274</v>
      </c>
      <c r="K1499" s="32" t="str">
        <f>CONCATENATE(TableAopCalendar[[#This Row],[Month for Plan]]," ",TableAopCalendar[[#This Row],[Plan]])</f>
        <v>MAY 26 PLANNED</v>
      </c>
    </row>
    <row r="1500" spans="1:11" x14ac:dyDescent="0.3">
      <c r="A1500" s="32">
        <f t="shared" si="84"/>
        <v>1</v>
      </c>
      <c r="B1500" s="33">
        <v>46150</v>
      </c>
      <c r="C1500" s="6" t="s">
        <v>265</v>
      </c>
      <c r="D1500" s="34">
        <v>26</v>
      </c>
      <c r="E1500" s="32">
        <f>DAY(TableAopCalendar[[#This Row],[Date]])</f>
        <v>8</v>
      </c>
      <c r="F1500" s="32">
        <f>IF(TableAopCalendar[[#This Row],[Day]]&lt;8,1,IF(TableAopCalendar[[#This Row],[Day]]&lt;15,2,IF(TableAopCalendar[[#This Row],[Day]]&lt;22,3,IF(TableAopCalendar[[#This Row],[Day]]&lt;29,4,IF(TableAopCalendar[[#This Row],[Day]]&lt;32,5)))))</f>
        <v>2</v>
      </c>
      <c r="G1500" s="32" t="str">
        <f t="shared" si="85"/>
        <v>Week 2</v>
      </c>
      <c r="H1500" s="32" t="str">
        <f t="shared" si="86"/>
        <v>May 26 Week 2</v>
      </c>
      <c r="I1500" s="32" t="str">
        <f>CONCATENATE(UPPER(TableAopCalendar[[#This Row],[Month]])," ",TableAopCalendar[[#This Row],[Year]])</f>
        <v>MAY 26</v>
      </c>
      <c r="J1500" s="7" t="s">
        <v>274</v>
      </c>
      <c r="K1500" s="32" t="str">
        <f>CONCATENATE(TableAopCalendar[[#This Row],[Month for Plan]]," ",TableAopCalendar[[#This Row],[Plan]])</f>
        <v>MAY 26 PLANNED</v>
      </c>
    </row>
    <row r="1501" spans="1:11" x14ac:dyDescent="0.3">
      <c r="A1501" s="32">
        <f t="shared" si="84"/>
        <v>2</v>
      </c>
      <c r="B1501" s="33">
        <v>46151</v>
      </c>
      <c r="C1501" s="6" t="s">
        <v>265</v>
      </c>
      <c r="D1501" s="34">
        <v>26</v>
      </c>
      <c r="E1501" s="32">
        <f>DAY(TableAopCalendar[[#This Row],[Date]])</f>
        <v>9</v>
      </c>
      <c r="F1501" s="32">
        <f>IF(TableAopCalendar[[#This Row],[Day]]&lt;8,1,IF(TableAopCalendar[[#This Row],[Day]]&lt;15,2,IF(TableAopCalendar[[#This Row],[Day]]&lt;22,3,IF(TableAopCalendar[[#This Row],[Day]]&lt;29,4,IF(TableAopCalendar[[#This Row],[Day]]&lt;32,5)))))</f>
        <v>2</v>
      </c>
      <c r="G1501" s="32" t="str">
        <f t="shared" si="85"/>
        <v>Week 2</v>
      </c>
      <c r="H1501" s="32" t="str">
        <f t="shared" si="86"/>
        <v>May 26 Week 2</v>
      </c>
      <c r="I1501" s="32" t="str">
        <f>CONCATENATE(UPPER(TableAopCalendar[[#This Row],[Month]])," ",TableAopCalendar[[#This Row],[Year]])</f>
        <v>MAY 26</v>
      </c>
      <c r="J1501" s="7" t="s">
        <v>274</v>
      </c>
      <c r="K1501" s="32" t="str">
        <f>CONCATENATE(TableAopCalendar[[#This Row],[Month for Plan]]," ",TableAopCalendar[[#This Row],[Plan]])</f>
        <v>MAY 26 PLANNED</v>
      </c>
    </row>
    <row r="1502" spans="1:11" x14ac:dyDescent="0.3">
      <c r="A1502" s="32">
        <f t="shared" si="84"/>
        <v>3</v>
      </c>
      <c r="B1502" s="33">
        <v>46152</v>
      </c>
      <c r="C1502" s="6" t="s">
        <v>265</v>
      </c>
      <c r="D1502" s="34">
        <v>26</v>
      </c>
      <c r="E1502" s="32">
        <f>DAY(TableAopCalendar[[#This Row],[Date]])</f>
        <v>10</v>
      </c>
      <c r="F1502" s="32">
        <f>IF(TableAopCalendar[[#This Row],[Day]]&lt;8,1,IF(TableAopCalendar[[#This Row],[Day]]&lt;15,2,IF(TableAopCalendar[[#This Row],[Day]]&lt;22,3,IF(TableAopCalendar[[#This Row],[Day]]&lt;29,4,IF(TableAopCalendar[[#This Row],[Day]]&lt;32,5)))))</f>
        <v>2</v>
      </c>
      <c r="G1502" s="32" t="str">
        <f t="shared" si="85"/>
        <v>Week 2</v>
      </c>
      <c r="H1502" s="32" t="str">
        <f t="shared" si="86"/>
        <v>May 26 Week 2</v>
      </c>
      <c r="I1502" s="32" t="str">
        <f>CONCATENATE(UPPER(TableAopCalendar[[#This Row],[Month]])," ",TableAopCalendar[[#This Row],[Year]])</f>
        <v>MAY 26</v>
      </c>
      <c r="J1502" s="7" t="s">
        <v>274</v>
      </c>
      <c r="K1502" s="32" t="str">
        <f>CONCATENATE(TableAopCalendar[[#This Row],[Month for Plan]]," ",TableAopCalendar[[#This Row],[Plan]])</f>
        <v>MAY 26 PLANNED</v>
      </c>
    </row>
    <row r="1503" spans="1:11" x14ac:dyDescent="0.3">
      <c r="A1503" s="32">
        <f t="shared" si="84"/>
        <v>4</v>
      </c>
      <c r="B1503" s="33">
        <v>46153</v>
      </c>
      <c r="C1503" s="6" t="s">
        <v>265</v>
      </c>
      <c r="D1503" s="34">
        <v>26</v>
      </c>
      <c r="E1503" s="32">
        <f>DAY(TableAopCalendar[[#This Row],[Date]])</f>
        <v>11</v>
      </c>
      <c r="F1503" s="32">
        <f>IF(TableAopCalendar[[#This Row],[Day]]&lt;8,1,IF(TableAopCalendar[[#This Row],[Day]]&lt;15,2,IF(TableAopCalendar[[#This Row],[Day]]&lt;22,3,IF(TableAopCalendar[[#This Row],[Day]]&lt;29,4,IF(TableAopCalendar[[#This Row],[Day]]&lt;32,5)))))</f>
        <v>2</v>
      </c>
      <c r="G1503" s="32" t="str">
        <f t="shared" si="85"/>
        <v>Week 2</v>
      </c>
      <c r="H1503" s="32" t="str">
        <f t="shared" si="86"/>
        <v>May 26 Week 2</v>
      </c>
      <c r="I1503" s="32" t="str">
        <f>CONCATENATE(UPPER(TableAopCalendar[[#This Row],[Month]])," ",TableAopCalendar[[#This Row],[Year]])</f>
        <v>MAY 26</v>
      </c>
      <c r="J1503" s="7" t="s">
        <v>274</v>
      </c>
      <c r="K1503" s="32" t="str">
        <f>CONCATENATE(TableAopCalendar[[#This Row],[Month for Plan]]," ",TableAopCalendar[[#This Row],[Plan]])</f>
        <v>MAY 26 PLANNED</v>
      </c>
    </row>
    <row r="1504" spans="1:11" x14ac:dyDescent="0.3">
      <c r="A1504" s="32">
        <f t="shared" si="84"/>
        <v>5</v>
      </c>
      <c r="B1504" s="33">
        <v>46154</v>
      </c>
      <c r="C1504" s="6" t="s">
        <v>265</v>
      </c>
      <c r="D1504" s="34">
        <v>26</v>
      </c>
      <c r="E1504" s="32">
        <f>DAY(TableAopCalendar[[#This Row],[Date]])</f>
        <v>12</v>
      </c>
      <c r="F1504" s="32">
        <f>IF(TableAopCalendar[[#This Row],[Day]]&lt;8,1,IF(TableAopCalendar[[#This Row],[Day]]&lt;15,2,IF(TableAopCalendar[[#This Row],[Day]]&lt;22,3,IF(TableAopCalendar[[#This Row],[Day]]&lt;29,4,IF(TableAopCalendar[[#This Row],[Day]]&lt;32,5)))))</f>
        <v>2</v>
      </c>
      <c r="G1504" s="32" t="str">
        <f t="shared" si="85"/>
        <v>Week 2</v>
      </c>
      <c r="H1504" s="32" t="str">
        <f t="shared" si="86"/>
        <v>May 26 Week 2</v>
      </c>
      <c r="I1504" s="32" t="str">
        <f>CONCATENATE(UPPER(TableAopCalendar[[#This Row],[Month]])," ",TableAopCalendar[[#This Row],[Year]])</f>
        <v>MAY 26</v>
      </c>
      <c r="J1504" s="7" t="s">
        <v>274</v>
      </c>
      <c r="K1504" s="32" t="str">
        <f>CONCATENATE(TableAopCalendar[[#This Row],[Month for Plan]]," ",TableAopCalendar[[#This Row],[Plan]])</f>
        <v>MAY 26 PLANNED</v>
      </c>
    </row>
    <row r="1505" spans="1:11" x14ac:dyDescent="0.3">
      <c r="A1505" s="32">
        <f t="shared" si="84"/>
        <v>6</v>
      </c>
      <c r="B1505" s="33">
        <v>46155</v>
      </c>
      <c r="C1505" s="6" t="s">
        <v>265</v>
      </c>
      <c r="D1505" s="34">
        <v>26</v>
      </c>
      <c r="E1505" s="32">
        <f>DAY(TableAopCalendar[[#This Row],[Date]])</f>
        <v>13</v>
      </c>
      <c r="F1505" s="32">
        <f>IF(TableAopCalendar[[#This Row],[Day]]&lt;8,1,IF(TableAopCalendar[[#This Row],[Day]]&lt;15,2,IF(TableAopCalendar[[#This Row],[Day]]&lt;22,3,IF(TableAopCalendar[[#This Row],[Day]]&lt;29,4,IF(TableAopCalendar[[#This Row],[Day]]&lt;32,5)))))</f>
        <v>2</v>
      </c>
      <c r="G1505" s="32" t="str">
        <f t="shared" si="85"/>
        <v>Week 2</v>
      </c>
      <c r="H1505" s="32" t="str">
        <f t="shared" si="86"/>
        <v>May 26 Week 2</v>
      </c>
      <c r="I1505" s="32" t="str">
        <f>CONCATENATE(UPPER(TableAopCalendar[[#This Row],[Month]])," ",TableAopCalendar[[#This Row],[Year]])</f>
        <v>MAY 26</v>
      </c>
      <c r="J1505" s="7" t="s">
        <v>274</v>
      </c>
      <c r="K1505" s="32" t="str">
        <f>CONCATENATE(TableAopCalendar[[#This Row],[Month for Plan]]," ",TableAopCalendar[[#This Row],[Plan]])</f>
        <v>MAY 26 PLANNED</v>
      </c>
    </row>
    <row r="1506" spans="1:11" x14ac:dyDescent="0.3">
      <c r="A1506" s="32">
        <f t="shared" si="84"/>
        <v>7</v>
      </c>
      <c r="B1506" s="33">
        <v>46156</v>
      </c>
      <c r="C1506" s="6" t="s">
        <v>265</v>
      </c>
      <c r="D1506" s="34">
        <v>26</v>
      </c>
      <c r="E1506" s="32">
        <f>DAY(TableAopCalendar[[#This Row],[Date]])</f>
        <v>14</v>
      </c>
      <c r="F1506" s="32">
        <f>IF(TableAopCalendar[[#This Row],[Day]]&lt;8,1,IF(TableAopCalendar[[#This Row],[Day]]&lt;15,2,IF(TableAopCalendar[[#This Row],[Day]]&lt;22,3,IF(TableAopCalendar[[#This Row],[Day]]&lt;29,4,IF(TableAopCalendar[[#This Row],[Day]]&lt;32,5)))))</f>
        <v>2</v>
      </c>
      <c r="G1506" s="32" t="str">
        <f t="shared" si="85"/>
        <v>Week 2</v>
      </c>
      <c r="H1506" s="32" t="str">
        <f t="shared" si="86"/>
        <v>May 26 Week 2</v>
      </c>
      <c r="I1506" s="32" t="str">
        <f>CONCATENATE(UPPER(TableAopCalendar[[#This Row],[Month]])," ",TableAopCalendar[[#This Row],[Year]])</f>
        <v>MAY 26</v>
      </c>
      <c r="J1506" s="7" t="s">
        <v>274</v>
      </c>
      <c r="K1506" s="32" t="str">
        <f>CONCATENATE(TableAopCalendar[[#This Row],[Month for Plan]]," ",TableAopCalendar[[#This Row],[Plan]])</f>
        <v>MAY 26 PLANNED</v>
      </c>
    </row>
    <row r="1507" spans="1:11" x14ac:dyDescent="0.3">
      <c r="A1507" s="32">
        <f t="shared" si="84"/>
        <v>1</v>
      </c>
      <c r="B1507" s="33">
        <v>46157</v>
      </c>
      <c r="C1507" s="6" t="s">
        <v>265</v>
      </c>
      <c r="D1507" s="34">
        <v>26</v>
      </c>
      <c r="E1507" s="32">
        <f>DAY(TableAopCalendar[[#This Row],[Date]])</f>
        <v>15</v>
      </c>
      <c r="F1507" s="32">
        <f>IF(TableAopCalendar[[#This Row],[Day]]&lt;8,1,IF(TableAopCalendar[[#This Row],[Day]]&lt;15,2,IF(TableAopCalendar[[#This Row],[Day]]&lt;22,3,IF(TableAopCalendar[[#This Row],[Day]]&lt;29,4,IF(TableAopCalendar[[#This Row],[Day]]&lt;32,5)))))</f>
        <v>3</v>
      </c>
      <c r="G1507" s="32" t="str">
        <f t="shared" si="85"/>
        <v>Week 3</v>
      </c>
      <c r="H1507" s="32" t="str">
        <f t="shared" si="86"/>
        <v>May 26 Week 3</v>
      </c>
      <c r="I1507" s="32" t="str">
        <f>CONCATENATE(UPPER(TableAopCalendar[[#This Row],[Month]])," ",TableAopCalendar[[#This Row],[Year]])</f>
        <v>MAY 26</v>
      </c>
      <c r="J1507" s="7" t="s">
        <v>274</v>
      </c>
      <c r="K1507" s="32" t="str">
        <f>CONCATENATE(TableAopCalendar[[#This Row],[Month for Plan]]," ",TableAopCalendar[[#This Row],[Plan]])</f>
        <v>MAY 26 PLANNED</v>
      </c>
    </row>
    <row r="1508" spans="1:11" x14ac:dyDescent="0.3">
      <c r="A1508" s="32">
        <f t="shared" si="84"/>
        <v>2</v>
      </c>
      <c r="B1508" s="33">
        <v>46158</v>
      </c>
      <c r="C1508" s="6" t="s">
        <v>265</v>
      </c>
      <c r="D1508" s="34">
        <v>26</v>
      </c>
      <c r="E1508" s="32">
        <f>DAY(TableAopCalendar[[#This Row],[Date]])</f>
        <v>16</v>
      </c>
      <c r="F1508" s="32">
        <f>IF(TableAopCalendar[[#This Row],[Day]]&lt;8,1,IF(TableAopCalendar[[#This Row],[Day]]&lt;15,2,IF(TableAopCalendar[[#This Row],[Day]]&lt;22,3,IF(TableAopCalendar[[#This Row],[Day]]&lt;29,4,IF(TableAopCalendar[[#This Row],[Day]]&lt;32,5)))))</f>
        <v>3</v>
      </c>
      <c r="G1508" s="32" t="str">
        <f t="shared" si="85"/>
        <v>Week 3</v>
      </c>
      <c r="H1508" s="32" t="str">
        <f t="shared" si="86"/>
        <v>May 26 Week 3</v>
      </c>
      <c r="I1508" s="32" t="str">
        <f>CONCATENATE(UPPER(TableAopCalendar[[#This Row],[Month]])," ",TableAopCalendar[[#This Row],[Year]])</f>
        <v>MAY 26</v>
      </c>
      <c r="J1508" s="7" t="s">
        <v>274</v>
      </c>
      <c r="K1508" s="32" t="str">
        <f>CONCATENATE(TableAopCalendar[[#This Row],[Month for Plan]]," ",TableAopCalendar[[#This Row],[Plan]])</f>
        <v>MAY 26 PLANNED</v>
      </c>
    </row>
    <row r="1509" spans="1:11" x14ac:dyDescent="0.3">
      <c r="A1509" s="32">
        <f t="shared" si="84"/>
        <v>3</v>
      </c>
      <c r="B1509" s="33">
        <v>46159</v>
      </c>
      <c r="C1509" s="6" t="s">
        <v>265</v>
      </c>
      <c r="D1509" s="34">
        <v>26</v>
      </c>
      <c r="E1509" s="32">
        <f>DAY(TableAopCalendar[[#This Row],[Date]])</f>
        <v>17</v>
      </c>
      <c r="F1509" s="32">
        <f>IF(TableAopCalendar[[#This Row],[Day]]&lt;8,1,IF(TableAopCalendar[[#This Row],[Day]]&lt;15,2,IF(TableAopCalendar[[#This Row],[Day]]&lt;22,3,IF(TableAopCalendar[[#This Row],[Day]]&lt;29,4,IF(TableAopCalendar[[#This Row],[Day]]&lt;32,5)))))</f>
        <v>3</v>
      </c>
      <c r="G1509" s="32" t="str">
        <f t="shared" si="85"/>
        <v>Week 3</v>
      </c>
      <c r="H1509" s="32" t="str">
        <f t="shared" si="86"/>
        <v>May 26 Week 3</v>
      </c>
      <c r="I1509" s="32" t="str">
        <f>CONCATENATE(UPPER(TableAopCalendar[[#This Row],[Month]])," ",TableAopCalendar[[#This Row],[Year]])</f>
        <v>MAY 26</v>
      </c>
      <c r="J1509" s="7" t="s">
        <v>274</v>
      </c>
      <c r="K1509" s="32" t="str">
        <f>CONCATENATE(TableAopCalendar[[#This Row],[Month for Plan]]," ",TableAopCalendar[[#This Row],[Plan]])</f>
        <v>MAY 26 PLANNED</v>
      </c>
    </row>
    <row r="1510" spans="1:11" x14ac:dyDescent="0.3">
      <c r="A1510" s="32">
        <f t="shared" si="84"/>
        <v>4</v>
      </c>
      <c r="B1510" s="33">
        <v>46160</v>
      </c>
      <c r="C1510" s="6" t="s">
        <v>265</v>
      </c>
      <c r="D1510" s="34">
        <v>26</v>
      </c>
      <c r="E1510" s="32">
        <f>DAY(TableAopCalendar[[#This Row],[Date]])</f>
        <v>18</v>
      </c>
      <c r="F1510" s="32">
        <f>IF(TableAopCalendar[[#This Row],[Day]]&lt;8,1,IF(TableAopCalendar[[#This Row],[Day]]&lt;15,2,IF(TableAopCalendar[[#This Row],[Day]]&lt;22,3,IF(TableAopCalendar[[#This Row],[Day]]&lt;29,4,IF(TableAopCalendar[[#This Row],[Day]]&lt;32,5)))))</f>
        <v>3</v>
      </c>
      <c r="G1510" s="32" t="str">
        <f t="shared" si="85"/>
        <v>Week 3</v>
      </c>
      <c r="H1510" s="32" t="str">
        <f t="shared" si="86"/>
        <v>May 26 Week 3</v>
      </c>
      <c r="I1510" s="32" t="str">
        <f>CONCATENATE(UPPER(TableAopCalendar[[#This Row],[Month]])," ",TableAopCalendar[[#This Row],[Year]])</f>
        <v>MAY 26</v>
      </c>
      <c r="J1510" s="7" t="s">
        <v>274</v>
      </c>
      <c r="K1510" s="32" t="str">
        <f>CONCATENATE(TableAopCalendar[[#This Row],[Month for Plan]]," ",TableAopCalendar[[#This Row],[Plan]])</f>
        <v>MAY 26 PLANNED</v>
      </c>
    </row>
    <row r="1511" spans="1:11" x14ac:dyDescent="0.3">
      <c r="A1511" s="32">
        <f t="shared" si="84"/>
        <v>5</v>
      </c>
      <c r="B1511" s="33">
        <v>46161</v>
      </c>
      <c r="C1511" s="6" t="s">
        <v>265</v>
      </c>
      <c r="D1511" s="34">
        <v>26</v>
      </c>
      <c r="E1511" s="32">
        <f>DAY(TableAopCalendar[[#This Row],[Date]])</f>
        <v>19</v>
      </c>
      <c r="F1511" s="32">
        <f>IF(TableAopCalendar[[#This Row],[Day]]&lt;8,1,IF(TableAopCalendar[[#This Row],[Day]]&lt;15,2,IF(TableAopCalendar[[#This Row],[Day]]&lt;22,3,IF(TableAopCalendar[[#This Row],[Day]]&lt;29,4,IF(TableAopCalendar[[#This Row],[Day]]&lt;32,5)))))</f>
        <v>3</v>
      </c>
      <c r="G1511" s="32" t="str">
        <f t="shared" si="85"/>
        <v>Week 3</v>
      </c>
      <c r="H1511" s="32" t="str">
        <f t="shared" si="86"/>
        <v>May 26 Week 3</v>
      </c>
      <c r="I1511" s="32" t="str">
        <f>CONCATENATE(UPPER(TableAopCalendar[[#This Row],[Month]])," ",TableAopCalendar[[#This Row],[Year]])</f>
        <v>MAY 26</v>
      </c>
      <c r="J1511" s="7" t="s">
        <v>274</v>
      </c>
      <c r="K1511" s="32" t="str">
        <f>CONCATENATE(TableAopCalendar[[#This Row],[Month for Plan]]," ",TableAopCalendar[[#This Row],[Plan]])</f>
        <v>MAY 26 PLANNED</v>
      </c>
    </row>
    <row r="1512" spans="1:11" x14ac:dyDescent="0.3">
      <c r="A1512" s="32">
        <f t="shared" si="84"/>
        <v>6</v>
      </c>
      <c r="B1512" s="33">
        <v>46162</v>
      </c>
      <c r="C1512" s="6" t="s">
        <v>265</v>
      </c>
      <c r="D1512" s="34">
        <v>26</v>
      </c>
      <c r="E1512" s="32">
        <f>DAY(TableAopCalendar[[#This Row],[Date]])</f>
        <v>20</v>
      </c>
      <c r="F1512" s="32">
        <f>IF(TableAopCalendar[[#This Row],[Day]]&lt;8,1,IF(TableAopCalendar[[#This Row],[Day]]&lt;15,2,IF(TableAopCalendar[[#This Row],[Day]]&lt;22,3,IF(TableAopCalendar[[#This Row],[Day]]&lt;29,4,IF(TableAopCalendar[[#This Row],[Day]]&lt;32,5)))))</f>
        <v>3</v>
      </c>
      <c r="G1512" s="32" t="str">
        <f t="shared" si="85"/>
        <v>Week 3</v>
      </c>
      <c r="H1512" s="32" t="str">
        <f t="shared" si="86"/>
        <v>May 26 Week 3</v>
      </c>
      <c r="I1512" s="32" t="str">
        <f>CONCATENATE(UPPER(TableAopCalendar[[#This Row],[Month]])," ",TableAopCalendar[[#This Row],[Year]])</f>
        <v>MAY 26</v>
      </c>
      <c r="J1512" s="7" t="s">
        <v>274</v>
      </c>
      <c r="K1512" s="32" t="str">
        <f>CONCATENATE(TableAopCalendar[[#This Row],[Month for Plan]]," ",TableAopCalendar[[#This Row],[Plan]])</f>
        <v>MAY 26 PLANNED</v>
      </c>
    </row>
    <row r="1513" spans="1:11" x14ac:dyDescent="0.3">
      <c r="A1513" s="32">
        <f t="shared" si="84"/>
        <v>7</v>
      </c>
      <c r="B1513" s="33">
        <v>46163</v>
      </c>
      <c r="C1513" s="6" t="s">
        <v>265</v>
      </c>
      <c r="D1513" s="34">
        <v>26</v>
      </c>
      <c r="E1513" s="32">
        <f>DAY(TableAopCalendar[[#This Row],[Date]])</f>
        <v>21</v>
      </c>
      <c r="F1513" s="32">
        <f>IF(TableAopCalendar[[#This Row],[Day]]&lt;8,1,IF(TableAopCalendar[[#This Row],[Day]]&lt;15,2,IF(TableAopCalendar[[#This Row],[Day]]&lt;22,3,IF(TableAopCalendar[[#This Row],[Day]]&lt;29,4,IF(TableAopCalendar[[#This Row],[Day]]&lt;32,5)))))</f>
        <v>3</v>
      </c>
      <c r="G1513" s="32" t="str">
        <f t="shared" si="85"/>
        <v>Week 3</v>
      </c>
      <c r="H1513" s="32" t="str">
        <f t="shared" si="86"/>
        <v>May 26 Week 3</v>
      </c>
      <c r="I1513" s="32" t="str">
        <f>CONCATENATE(UPPER(TableAopCalendar[[#This Row],[Month]])," ",TableAopCalendar[[#This Row],[Year]])</f>
        <v>MAY 26</v>
      </c>
      <c r="J1513" s="7" t="s">
        <v>274</v>
      </c>
      <c r="K1513" s="32" t="str">
        <f>CONCATENATE(TableAopCalendar[[#This Row],[Month for Plan]]," ",TableAopCalendar[[#This Row],[Plan]])</f>
        <v>MAY 26 PLANNED</v>
      </c>
    </row>
    <row r="1514" spans="1:11" x14ac:dyDescent="0.3">
      <c r="A1514" s="32">
        <f t="shared" si="84"/>
        <v>1</v>
      </c>
      <c r="B1514" s="33">
        <v>46164</v>
      </c>
      <c r="C1514" s="6" t="s">
        <v>265</v>
      </c>
      <c r="D1514" s="34">
        <v>26</v>
      </c>
      <c r="E1514" s="32">
        <f>DAY(TableAopCalendar[[#This Row],[Date]])</f>
        <v>22</v>
      </c>
      <c r="F1514" s="32">
        <f>IF(TableAopCalendar[[#This Row],[Day]]&lt;8,1,IF(TableAopCalendar[[#This Row],[Day]]&lt;15,2,IF(TableAopCalendar[[#This Row],[Day]]&lt;22,3,IF(TableAopCalendar[[#This Row],[Day]]&lt;29,4,IF(TableAopCalendar[[#This Row],[Day]]&lt;32,5)))))</f>
        <v>4</v>
      </c>
      <c r="G1514" s="32" t="str">
        <f t="shared" si="85"/>
        <v>Week 4</v>
      </c>
      <c r="H1514" s="32" t="str">
        <f t="shared" si="86"/>
        <v>May 26 Week 4</v>
      </c>
      <c r="I1514" s="32" t="str">
        <f>CONCATENATE(UPPER(TableAopCalendar[[#This Row],[Month]])," ",TableAopCalendar[[#This Row],[Year]])</f>
        <v>MAY 26</v>
      </c>
      <c r="J1514" s="7" t="s">
        <v>274</v>
      </c>
      <c r="K1514" s="32" t="str">
        <f>CONCATENATE(TableAopCalendar[[#This Row],[Month for Plan]]," ",TableAopCalendar[[#This Row],[Plan]])</f>
        <v>MAY 26 PLANNED</v>
      </c>
    </row>
    <row r="1515" spans="1:11" x14ac:dyDescent="0.3">
      <c r="A1515" s="32">
        <f t="shared" si="84"/>
        <v>2</v>
      </c>
      <c r="B1515" s="33">
        <v>46165</v>
      </c>
      <c r="C1515" s="6" t="s">
        <v>265</v>
      </c>
      <c r="D1515" s="34">
        <v>26</v>
      </c>
      <c r="E1515" s="32">
        <f>DAY(TableAopCalendar[[#This Row],[Date]])</f>
        <v>23</v>
      </c>
      <c r="F1515" s="32">
        <f>IF(TableAopCalendar[[#This Row],[Day]]&lt;8,1,IF(TableAopCalendar[[#This Row],[Day]]&lt;15,2,IF(TableAopCalendar[[#This Row],[Day]]&lt;22,3,IF(TableAopCalendar[[#This Row],[Day]]&lt;29,4,IF(TableAopCalendar[[#This Row],[Day]]&lt;32,5)))))</f>
        <v>4</v>
      </c>
      <c r="G1515" s="32" t="str">
        <f t="shared" si="85"/>
        <v>Week 4</v>
      </c>
      <c r="H1515" s="32" t="str">
        <f t="shared" si="86"/>
        <v>May 26 Week 4</v>
      </c>
      <c r="I1515" s="32" t="str">
        <f>CONCATENATE(UPPER(TableAopCalendar[[#This Row],[Month]])," ",TableAopCalendar[[#This Row],[Year]])</f>
        <v>MAY 26</v>
      </c>
      <c r="J1515" s="7" t="s">
        <v>274</v>
      </c>
      <c r="K1515" s="32" t="str">
        <f>CONCATENATE(TableAopCalendar[[#This Row],[Month for Plan]]," ",TableAopCalendar[[#This Row],[Plan]])</f>
        <v>MAY 26 PLANNED</v>
      </c>
    </row>
    <row r="1516" spans="1:11" x14ac:dyDescent="0.3">
      <c r="A1516" s="32">
        <f t="shared" si="84"/>
        <v>3</v>
      </c>
      <c r="B1516" s="33">
        <v>46166</v>
      </c>
      <c r="C1516" s="6" t="s">
        <v>265</v>
      </c>
      <c r="D1516" s="34">
        <v>26</v>
      </c>
      <c r="E1516" s="32">
        <f>DAY(TableAopCalendar[[#This Row],[Date]])</f>
        <v>24</v>
      </c>
      <c r="F1516" s="32">
        <f>IF(TableAopCalendar[[#This Row],[Day]]&lt;8,1,IF(TableAopCalendar[[#This Row],[Day]]&lt;15,2,IF(TableAopCalendar[[#This Row],[Day]]&lt;22,3,IF(TableAopCalendar[[#This Row],[Day]]&lt;29,4,IF(TableAopCalendar[[#This Row],[Day]]&lt;32,5)))))</f>
        <v>4</v>
      </c>
      <c r="G1516" s="32" t="str">
        <f t="shared" si="85"/>
        <v>Week 4</v>
      </c>
      <c r="H1516" s="32" t="str">
        <f t="shared" si="86"/>
        <v>May 26 Week 4</v>
      </c>
      <c r="I1516" s="32" t="str">
        <f>CONCATENATE(UPPER(TableAopCalendar[[#This Row],[Month]])," ",TableAopCalendar[[#This Row],[Year]])</f>
        <v>MAY 26</v>
      </c>
      <c r="J1516" s="7" t="s">
        <v>274</v>
      </c>
      <c r="K1516" s="32" t="str">
        <f>CONCATENATE(TableAopCalendar[[#This Row],[Month for Plan]]," ",TableAopCalendar[[#This Row],[Plan]])</f>
        <v>MAY 26 PLANNED</v>
      </c>
    </row>
    <row r="1517" spans="1:11" x14ac:dyDescent="0.3">
      <c r="A1517" s="32">
        <f t="shared" si="84"/>
        <v>4</v>
      </c>
      <c r="B1517" s="33">
        <v>46167</v>
      </c>
      <c r="C1517" s="6" t="s">
        <v>265</v>
      </c>
      <c r="D1517" s="34">
        <v>26</v>
      </c>
      <c r="E1517" s="32">
        <f>DAY(TableAopCalendar[[#This Row],[Date]])</f>
        <v>25</v>
      </c>
      <c r="F1517" s="32">
        <f>IF(TableAopCalendar[[#This Row],[Day]]&lt;8,1,IF(TableAopCalendar[[#This Row],[Day]]&lt;15,2,IF(TableAopCalendar[[#This Row],[Day]]&lt;22,3,IF(TableAopCalendar[[#This Row],[Day]]&lt;29,4,IF(TableAopCalendar[[#This Row],[Day]]&lt;32,5)))))</f>
        <v>4</v>
      </c>
      <c r="G1517" s="32" t="str">
        <f t="shared" si="85"/>
        <v>Week 4</v>
      </c>
      <c r="H1517" s="32" t="str">
        <f t="shared" si="86"/>
        <v>May 26 Week 4</v>
      </c>
      <c r="I1517" s="32" t="str">
        <f>CONCATENATE(UPPER(TableAopCalendar[[#This Row],[Month]])," ",TableAopCalendar[[#This Row],[Year]])</f>
        <v>MAY 26</v>
      </c>
      <c r="J1517" s="7" t="s">
        <v>274</v>
      </c>
      <c r="K1517" s="32" t="str">
        <f>CONCATENATE(TableAopCalendar[[#This Row],[Month for Plan]]," ",TableAopCalendar[[#This Row],[Plan]])</f>
        <v>MAY 26 PLANNED</v>
      </c>
    </row>
    <row r="1518" spans="1:11" x14ac:dyDescent="0.3">
      <c r="A1518" s="32">
        <f t="shared" si="84"/>
        <v>5</v>
      </c>
      <c r="B1518" s="33">
        <v>46168</v>
      </c>
      <c r="C1518" s="6" t="s">
        <v>265</v>
      </c>
      <c r="D1518" s="34">
        <v>26</v>
      </c>
      <c r="E1518" s="32">
        <f>DAY(TableAopCalendar[[#This Row],[Date]])</f>
        <v>26</v>
      </c>
      <c r="F1518" s="32">
        <f>IF(TableAopCalendar[[#This Row],[Day]]&lt;8,1,IF(TableAopCalendar[[#This Row],[Day]]&lt;15,2,IF(TableAopCalendar[[#This Row],[Day]]&lt;22,3,IF(TableAopCalendar[[#This Row],[Day]]&lt;29,4,IF(TableAopCalendar[[#This Row],[Day]]&lt;32,5)))))</f>
        <v>4</v>
      </c>
      <c r="G1518" s="32" t="str">
        <f t="shared" si="85"/>
        <v>Week 4</v>
      </c>
      <c r="H1518" s="32" t="str">
        <f t="shared" si="86"/>
        <v>May 26 Week 4</v>
      </c>
      <c r="I1518" s="32" t="str">
        <f>CONCATENATE(UPPER(TableAopCalendar[[#This Row],[Month]])," ",TableAopCalendar[[#This Row],[Year]])</f>
        <v>MAY 26</v>
      </c>
      <c r="J1518" s="7" t="s">
        <v>274</v>
      </c>
      <c r="K1518" s="32" t="str">
        <f>CONCATENATE(TableAopCalendar[[#This Row],[Month for Plan]]," ",TableAopCalendar[[#This Row],[Plan]])</f>
        <v>MAY 26 PLANNED</v>
      </c>
    </row>
    <row r="1519" spans="1:11" x14ac:dyDescent="0.3">
      <c r="A1519" s="32">
        <f t="shared" si="84"/>
        <v>6</v>
      </c>
      <c r="B1519" s="33">
        <v>46169</v>
      </c>
      <c r="C1519" s="6" t="s">
        <v>265</v>
      </c>
      <c r="D1519" s="34">
        <v>26</v>
      </c>
      <c r="E1519" s="32">
        <f>DAY(TableAopCalendar[[#This Row],[Date]])</f>
        <v>27</v>
      </c>
      <c r="F1519" s="32">
        <f>IF(TableAopCalendar[[#This Row],[Day]]&lt;8,1,IF(TableAopCalendar[[#This Row],[Day]]&lt;15,2,IF(TableAopCalendar[[#This Row],[Day]]&lt;22,3,IF(TableAopCalendar[[#This Row],[Day]]&lt;29,4,IF(TableAopCalendar[[#This Row],[Day]]&lt;32,5)))))</f>
        <v>4</v>
      </c>
      <c r="G1519" s="32" t="str">
        <f t="shared" si="85"/>
        <v>Week 4</v>
      </c>
      <c r="H1519" s="32" t="str">
        <f t="shared" si="86"/>
        <v>May 26 Week 4</v>
      </c>
      <c r="I1519" s="32" t="str">
        <f>CONCATENATE(UPPER(TableAopCalendar[[#This Row],[Month]])," ",TableAopCalendar[[#This Row],[Year]])</f>
        <v>MAY 26</v>
      </c>
      <c r="J1519" s="7" t="s">
        <v>274</v>
      </c>
      <c r="K1519" s="32" t="str">
        <f>CONCATENATE(TableAopCalendar[[#This Row],[Month for Plan]]," ",TableAopCalendar[[#This Row],[Plan]])</f>
        <v>MAY 26 PLANNED</v>
      </c>
    </row>
    <row r="1520" spans="1:11" x14ac:dyDescent="0.3">
      <c r="A1520" s="32">
        <f t="shared" si="84"/>
        <v>7</v>
      </c>
      <c r="B1520" s="33">
        <v>46170</v>
      </c>
      <c r="C1520" s="6" t="s">
        <v>265</v>
      </c>
      <c r="D1520" s="34">
        <v>26</v>
      </c>
      <c r="E1520" s="32">
        <f>DAY(TableAopCalendar[[#This Row],[Date]])</f>
        <v>28</v>
      </c>
      <c r="F1520" s="32">
        <f>IF(TableAopCalendar[[#This Row],[Day]]&lt;8,1,IF(TableAopCalendar[[#This Row],[Day]]&lt;15,2,IF(TableAopCalendar[[#This Row],[Day]]&lt;22,3,IF(TableAopCalendar[[#This Row],[Day]]&lt;29,4,IF(TableAopCalendar[[#This Row],[Day]]&lt;32,5)))))</f>
        <v>4</v>
      </c>
      <c r="G1520" s="32" t="str">
        <f t="shared" si="85"/>
        <v>Week 4</v>
      </c>
      <c r="H1520" s="32" t="str">
        <f t="shared" si="86"/>
        <v>May 26 Week 4</v>
      </c>
      <c r="I1520" s="32" t="str">
        <f>CONCATENATE(UPPER(TableAopCalendar[[#This Row],[Month]])," ",TableAopCalendar[[#This Row],[Year]])</f>
        <v>MAY 26</v>
      </c>
      <c r="J1520" s="7" t="s">
        <v>274</v>
      </c>
      <c r="K1520" s="32" t="str">
        <f>CONCATENATE(TableAopCalendar[[#This Row],[Month for Plan]]," ",TableAopCalendar[[#This Row],[Plan]])</f>
        <v>MAY 26 PLANNED</v>
      </c>
    </row>
    <row r="1521" spans="1:11" x14ac:dyDescent="0.3">
      <c r="A1521" s="32">
        <f t="shared" si="84"/>
        <v>1</v>
      </c>
      <c r="B1521" s="33">
        <v>46171</v>
      </c>
      <c r="C1521" s="6" t="s">
        <v>265</v>
      </c>
      <c r="D1521" s="34">
        <v>26</v>
      </c>
      <c r="E1521" s="32">
        <f>DAY(TableAopCalendar[[#This Row],[Date]])</f>
        <v>29</v>
      </c>
      <c r="F1521" s="32">
        <f>IF(TableAopCalendar[[#This Row],[Day]]&lt;8,1,IF(TableAopCalendar[[#This Row],[Day]]&lt;15,2,IF(TableAopCalendar[[#This Row],[Day]]&lt;22,3,IF(TableAopCalendar[[#This Row],[Day]]&lt;29,4,IF(TableAopCalendar[[#This Row],[Day]]&lt;32,5)))))</f>
        <v>5</v>
      </c>
      <c r="G1521" s="32" t="str">
        <f t="shared" si="85"/>
        <v>Week 5</v>
      </c>
      <c r="H1521" s="32" t="str">
        <f t="shared" si="86"/>
        <v>May 26 Week 5</v>
      </c>
      <c r="I1521" s="32" t="str">
        <f>CONCATENATE(UPPER(TableAopCalendar[[#This Row],[Month]])," ",TableAopCalendar[[#This Row],[Year]])</f>
        <v>MAY 26</v>
      </c>
      <c r="J1521" s="7" t="s">
        <v>274</v>
      </c>
      <c r="K1521" s="32" t="str">
        <f>CONCATENATE(TableAopCalendar[[#This Row],[Month for Plan]]," ",TableAopCalendar[[#This Row],[Plan]])</f>
        <v>MAY 26 PLANNED</v>
      </c>
    </row>
    <row r="1522" spans="1:11" x14ac:dyDescent="0.3">
      <c r="A1522" s="32">
        <f t="shared" si="84"/>
        <v>2</v>
      </c>
      <c r="B1522" s="33">
        <v>46172</v>
      </c>
      <c r="C1522" s="6" t="s">
        <v>265</v>
      </c>
      <c r="D1522" s="34">
        <v>26</v>
      </c>
      <c r="E1522" s="32">
        <f>DAY(TableAopCalendar[[#This Row],[Date]])</f>
        <v>30</v>
      </c>
      <c r="F1522" s="32">
        <f>IF(TableAopCalendar[[#This Row],[Day]]&lt;8,1,IF(TableAopCalendar[[#This Row],[Day]]&lt;15,2,IF(TableAopCalendar[[#This Row],[Day]]&lt;22,3,IF(TableAopCalendar[[#This Row],[Day]]&lt;29,4,IF(TableAopCalendar[[#This Row],[Day]]&lt;32,5)))))</f>
        <v>5</v>
      </c>
      <c r="G1522" s="32" t="str">
        <f t="shared" si="85"/>
        <v>Week 5</v>
      </c>
      <c r="H1522" s="32" t="str">
        <f t="shared" si="86"/>
        <v>May 26 Week 5</v>
      </c>
      <c r="I1522" s="32" t="str">
        <f>CONCATENATE(UPPER(TableAopCalendar[[#This Row],[Month]])," ",TableAopCalendar[[#This Row],[Year]])</f>
        <v>MAY 26</v>
      </c>
      <c r="J1522" s="7" t="s">
        <v>274</v>
      </c>
      <c r="K1522" s="32" t="str">
        <f>CONCATENATE(TableAopCalendar[[#This Row],[Month for Plan]]," ",TableAopCalendar[[#This Row],[Plan]])</f>
        <v>MAY 26 PLANNED</v>
      </c>
    </row>
    <row r="1523" spans="1:11" x14ac:dyDescent="0.3">
      <c r="A1523" s="32">
        <f t="shared" si="84"/>
        <v>3</v>
      </c>
      <c r="B1523" s="33">
        <v>46173</v>
      </c>
      <c r="C1523" s="6" t="s">
        <v>265</v>
      </c>
      <c r="D1523" s="34">
        <v>26</v>
      </c>
      <c r="E1523" s="32">
        <f>DAY(TableAopCalendar[[#This Row],[Date]])</f>
        <v>31</v>
      </c>
      <c r="F1523" s="32">
        <f>IF(TableAopCalendar[[#This Row],[Day]]&lt;8,1,IF(TableAopCalendar[[#This Row],[Day]]&lt;15,2,IF(TableAopCalendar[[#This Row],[Day]]&lt;22,3,IF(TableAopCalendar[[#This Row],[Day]]&lt;29,4,IF(TableAopCalendar[[#This Row],[Day]]&lt;32,5)))))</f>
        <v>5</v>
      </c>
      <c r="G1523" s="32" t="str">
        <f t="shared" si="85"/>
        <v>Week 5</v>
      </c>
      <c r="H1523" s="32" t="str">
        <f t="shared" si="86"/>
        <v>May 26 Week 5</v>
      </c>
      <c r="I1523" s="32" t="str">
        <f>CONCATENATE(UPPER(TableAopCalendar[[#This Row],[Month]])," ",TableAopCalendar[[#This Row],[Year]])</f>
        <v>MAY 26</v>
      </c>
      <c r="J1523" s="7" t="s">
        <v>274</v>
      </c>
      <c r="K1523" s="32" t="str">
        <f>CONCATENATE(TableAopCalendar[[#This Row],[Month for Plan]]," ",TableAopCalendar[[#This Row],[Plan]])</f>
        <v>MAY 26 PLANNED</v>
      </c>
    </row>
    <row r="1524" spans="1:11" x14ac:dyDescent="0.3">
      <c r="A1524" s="32">
        <f t="shared" si="84"/>
        <v>1</v>
      </c>
      <c r="B1524" s="33">
        <v>46174</v>
      </c>
      <c r="C1524" s="6" t="s">
        <v>266</v>
      </c>
      <c r="D1524" s="34">
        <v>26</v>
      </c>
      <c r="E1524" s="32">
        <f>DAY(TableAopCalendar[[#This Row],[Date]])</f>
        <v>1</v>
      </c>
      <c r="F1524" s="32">
        <f>IF(TableAopCalendar[[#This Row],[Day]]&lt;8,1,IF(TableAopCalendar[[#This Row],[Day]]&lt;15,2,IF(TableAopCalendar[[#This Row],[Day]]&lt;22,3,IF(TableAopCalendar[[#This Row],[Day]]&lt;29,4,IF(TableAopCalendar[[#This Row],[Day]]&lt;32,5)))))</f>
        <v>1</v>
      </c>
      <c r="G1524" s="32" t="str">
        <f t="shared" si="85"/>
        <v>Week 1</v>
      </c>
      <c r="H1524" s="32" t="str">
        <f t="shared" si="86"/>
        <v>June 26 Week 1</v>
      </c>
      <c r="I1524" s="32" t="str">
        <f>CONCATENATE(UPPER(TableAopCalendar[[#This Row],[Month]])," ",TableAopCalendar[[#This Row],[Year]])</f>
        <v>JUNE 26</v>
      </c>
      <c r="J1524" s="7" t="s">
        <v>274</v>
      </c>
      <c r="K1524" s="32" t="str">
        <f>CONCATENATE(TableAopCalendar[[#This Row],[Month for Plan]]," ",TableAopCalendar[[#This Row],[Plan]])</f>
        <v>JUNE 26 PLANNED</v>
      </c>
    </row>
    <row r="1525" spans="1:11" x14ac:dyDescent="0.3">
      <c r="A1525" s="32">
        <f t="shared" si="84"/>
        <v>2</v>
      </c>
      <c r="B1525" s="33">
        <v>46175</v>
      </c>
      <c r="C1525" s="6" t="s">
        <v>266</v>
      </c>
      <c r="D1525" s="34">
        <v>26</v>
      </c>
      <c r="E1525" s="32">
        <f>DAY(TableAopCalendar[[#This Row],[Date]])</f>
        <v>2</v>
      </c>
      <c r="F1525" s="32">
        <f>IF(TableAopCalendar[[#This Row],[Day]]&lt;8,1,IF(TableAopCalendar[[#This Row],[Day]]&lt;15,2,IF(TableAopCalendar[[#This Row],[Day]]&lt;22,3,IF(TableAopCalendar[[#This Row],[Day]]&lt;29,4,IF(TableAopCalendar[[#This Row],[Day]]&lt;32,5)))))</f>
        <v>1</v>
      </c>
      <c r="G1525" s="32" t="str">
        <f t="shared" si="85"/>
        <v>Week 1</v>
      </c>
      <c r="H1525" s="32" t="str">
        <f t="shared" si="86"/>
        <v>June 26 Week 1</v>
      </c>
      <c r="I1525" s="32" t="str">
        <f>CONCATENATE(UPPER(TableAopCalendar[[#This Row],[Month]])," ",TableAopCalendar[[#This Row],[Year]])</f>
        <v>JUNE 26</v>
      </c>
      <c r="J1525" s="7" t="s">
        <v>274</v>
      </c>
      <c r="K1525" s="32" t="str">
        <f>CONCATENATE(TableAopCalendar[[#This Row],[Month for Plan]]," ",TableAopCalendar[[#This Row],[Plan]])</f>
        <v>JUNE 26 PLANNED</v>
      </c>
    </row>
    <row r="1526" spans="1:11" x14ac:dyDescent="0.3">
      <c r="A1526" s="32">
        <f t="shared" si="84"/>
        <v>3</v>
      </c>
      <c r="B1526" s="33">
        <v>46176</v>
      </c>
      <c r="C1526" s="6" t="s">
        <v>266</v>
      </c>
      <c r="D1526" s="34">
        <v>26</v>
      </c>
      <c r="E1526" s="32">
        <f>DAY(TableAopCalendar[[#This Row],[Date]])</f>
        <v>3</v>
      </c>
      <c r="F1526" s="32">
        <f>IF(TableAopCalendar[[#This Row],[Day]]&lt;8,1,IF(TableAopCalendar[[#This Row],[Day]]&lt;15,2,IF(TableAopCalendar[[#This Row],[Day]]&lt;22,3,IF(TableAopCalendar[[#This Row],[Day]]&lt;29,4,IF(TableAopCalendar[[#This Row],[Day]]&lt;32,5)))))</f>
        <v>1</v>
      </c>
      <c r="G1526" s="32" t="str">
        <f t="shared" si="85"/>
        <v>Week 1</v>
      </c>
      <c r="H1526" s="32" t="str">
        <f t="shared" si="86"/>
        <v>June 26 Week 1</v>
      </c>
      <c r="I1526" s="32" t="str">
        <f>CONCATENATE(UPPER(TableAopCalendar[[#This Row],[Month]])," ",TableAopCalendar[[#This Row],[Year]])</f>
        <v>JUNE 26</v>
      </c>
      <c r="J1526" s="7" t="s">
        <v>274</v>
      </c>
      <c r="K1526" s="32" t="str">
        <f>CONCATENATE(TableAopCalendar[[#This Row],[Month for Plan]]," ",TableAopCalendar[[#This Row],[Plan]])</f>
        <v>JUNE 26 PLANNED</v>
      </c>
    </row>
    <row r="1527" spans="1:11" x14ac:dyDescent="0.3">
      <c r="A1527" s="32">
        <f t="shared" si="84"/>
        <v>4</v>
      </c>
      <c r="B1527" s="33">
        <v>46177</v>
      </c>
      <c r="C1527" s="6" t="s">
        <v>266</v>
      </c>
      <c r="D1527" s="34">
        <v>26</v>
      </c>
      <c r="E1527" s="32">
        <f>DAY(TableAopCalendar[[#This Row],[Date]])</f>
        <v>4</v>
      </c>
      <c r="F1527" s="32">
        <f>IF(TableAopCalendar[[#This Row],[Day]]&lt;8,1,IF(TableAopCalendar[[#This Row],[Day]]&lt;15,2,IF(TableAopCalendar[[#This Row],[Day]]&lt;22,3,IF(TableAopCalendar[[#This Row],[Day]]&lt;29,4,IF(TableAopCalendar[[#This Row],[Day]]&lt;32,5)))))</f>
        <v>1</v>
      </c>
      <c r="G1527" s="32" t="str">
        <f t="shared" si="85"/>
        <v>Week 1</v>
      </c>
      <c r="H1527" s="32" t="str">
        <f t="shared" si="86"/>
        <v>June 26 Week 1</v>
      </c>
      <c r="I1527" s="32" t="str">
        <f>CONCATENATE(UPPER(TableAopCalendar[[#This Row],[Month]])," ",TableAopCalendar[[#This Row],[Year]])</f>
        <v>JUNE 26</v>
      </c>
      <c r="J1527" s="7" t="s">
        <v>274</v>
      </c>
      <c r="K1527" s="32" t="str">
        <f>CONCATENATE(TableAopCalendar[[#This Row],[Month for Plan]]," ",TableAopCalendar[[#This Row],[Plan]])</f>
        <v>JUNE 26 PLANNED</v>
      </c>
    </row>
    <row r="1528" spans="1:11" x14ac:dyDescent="0.3">
      <c r="A1528" s="32">
        <f t="shared" si="84"/>
        <v>5</v>
      </c>
      <c r="B1528" s="33">
        <v>46178</v>
      </c>
      <c r="C1528" s="6" t="s">
        <v>266</v>
      </c>
      <c r="D1528" s="34">
        <v>26</v>
      </c>
      <c r="E1528" s="32">
        <f>DAY(TableAopCalendar[[#This Row],[Date]])</f>
        <v>5</v>
      </c>
      <c r="F1528" s="32">
        <f>IF(TableAopCalendar[[#This Row],[Day]]&lt;8,1,IF(TableAopCalendar[[#This Row],[Day]]&lt;15,2,IF(TableAopCalendar[[#This Row],[Day]]&lt;22,3,IF(TableAopCalendar[[#This Row],[Day]]&lt;29,4,IF(TableAopCalendar[[#This Row],[Day]]&lt;32,5)))))</f>
        <v>1</v>
      </c>
      <c r="G1528" s="32" t="str">
        <f t="shared" si="85"/>
        <v>Week 1</v>
      </c>
      <c r="H1528" s="32" t="str">
        <f t="shared" si="86"/>
        <v>June 26 Week 1</v>
      </c>
      <c r="I1528" s="32" t="str">
        <f>CONCATENATE(UPPER(TableAopCalendar[[#This Row],[Month]])," ",TableAopCalendar[[#This Row],[Year]])</f>
        <v>JUNE 26</v>
      </c>
      <c r="J1528" s="7" t="s">
        <v>274</v>
      </c>
      <c r="K1528" s="32" t="str">
        <f>CONCATENATE(TableAopCalendar[[#This Row],[Month for Plan]]," ",TableAopCalendar[[#This Row],[Plan]])</f>
        <v>JUNE 26 PLANNED</v>
      </c>
    </row>
    <row r="1529" spans="1:11" x14ac:dyDescent="0.3">
      <c r="A1529" s="32">
        <f t="shared" si="84"/>
        <v>6</v>
      </c>
      <c r="B1529" s="33">
        <v>46179</v>
      </c>
      <c r="C1529" s="6" t="s">
        <v>266</v>
      </c>
      <c r="D1529" s="34">
        <v>26</v>
      </c>
      <c r="E1529" s="32">
        <f>DAY(TableAopCalendar[[#This Row],[Date]])</f>
        <v>6</v>
      </c>
      <c r="F1529" s="32">
        <f>IF(TableAopCalendar[[#This Row],[Day]]&lt;8,1,IF(TableAopCalendar[[#This Row],[Day]]&lt;15,2,IF(TableAopCalendar[[#This Row],[Day]]&lt;22,3,IF(TableAopCalendar[[#This Row],[Day]]&lt;29,4,IF(TableAopCalendar[[#This Row],[Day]]&lt;32,5)))))</f>
        <v>1</v>
      </c>
      <c r="G1529" s="32" t="str">
        <f t="shared" si="85"/>
        <v>Week 1</v>
      </c>
      <c r="H1529" s="32" t="str">
        <f t="shared" si="86"/>
        <v>June 26 Week 1</v>
      </c>
      <c r="I1529" s="32" t="str">
        <f>CONCATENATE(UPPER(TableAopCalendar[[#This Row],[Month]])," ",TableAopCalendar[[#This Row],[Year]])</f>
        <v>JUNE 26</v>
      </c>
      <c r="J1529" s="7" t="s">
        <v>274</v>
      </c>
      <c r="K1529" s="32" t="str">
        <f>CONCATENATE(TableAopCalendar[[#This Row],[Month for Plan]]," ",TableAopCalendar[[#This Row],[Plan]])</f>
        <v>JUNE 26 PLANNED</v>
      </c>
    </row>
    <row r="1530" spans="1:11" x14ac:dyDescent="0.3">
      <c r="A1530" s="32">
        <f t="shared" si="84"/>
        <v>7</v>
      </c>
      <c r="B1530" s="33">
        <v>46180</v>
      </c>
      <c r="C1530" s="6" t="s">
        <v>266</v>
      </c>
      <c r="D1530" s="34">
        <v>26</v>
      </c>
      <c r="E1530" s="32">
        <f>DAY(TableAopCalendar[[#This Row],[Date]])</f>
        <v>7</v>
      </c>
      <c r="F1530" s="32">
        <f>IF(TableAopCalendar[[#This Row],[Day]]&lt;8,1,IF(TableAopCalendar[[#This Row],[Day]]&lt;15,2,IF(TableAopCalendar[[#This Row],[Day]]&lt;22,3,IF(TableAopCalendar[[#This Row],[Day]]&lt;29,4,IF(TableAopCalendar[[#This Row],[Day]]&lt;32,5)))))</f>
        <v>1</v>
      </c>
      <c r="G1530" s="32" t="str">
        <f t="shared" si="85"/>
        <v>Week 1</v>
      </c>
      <c r="H1530" s="32" t="str">
        <f t="shared" si="86"/>
        <v>June 26 Week 1</v>
      </c>
      <c r="I1530" s="32" t="str">
        <f>CONCATENATE(UPPER(TableAopCalendar[[#This Row],[Month]])," ",TableAopCalendar[[#This Row],[Year]])</f>
        <v>JUNE 26</v>
      </c>
      <c r="J1530" s="7" t="s">
        <v>274</v>
      </c>
      <c r="K1530" s="32" t="str">
        <f>CONCATENATE(TableAopCalendar[[#This Row],[Month for Plan]]," ",TableAopCalendar[[#This Row],[Plan]])</f>
        <v>JUNE 26 PLANNED</v>
      </c>
    </row>
    <row r="1531" spans="1:11" x14ac:dyDescent="0.3">
      <c r="A1531" s="32">
        <f t="shared" si="84"/>
        <v>1</v>
      </c>
      <c r="B1531" s="33">
        <v>46181</v>
      </c>
      <c r="C1531" s="6" t="s">
        <v>266</v>
      </c>
      <c r="D1531" s="34">
        <v>26</v>
      </c>
      <c r="E1531" s="32">
        <f>DAY(TableAopCalendar[[#This Row],[Date]])</f>
        <v>8</v>
      </c>
      <c r="F1531" s="32">
        <f>IF(TableAopCalendar[[#This Row],[Day]]&lt;8,1,IF(TableAopCalendar[[#This Row],[Day]]&lt;15,2,IF(TableAopCalendar[[#This Row],[Day]]&lt;22,3,IF(TableAopCalendar[[#This Row],[Day]]&lt;29,4,IF(TableAopCalendar[[#This Row],[Day]]&lt;32,5)))))</f>
        <v>2</v>
      </c>
      <c r="G1531" s="32" t="str">
        <f t="shared" si="85"/>
        <v>Week 2</v>
      </c>
      <c r="H1531" s="32" t="str">
        <f t="shared" si="86"/>
        <v>June 26 Week 2</v>
      </c>
      <c r="I1531" s="32" t="str">
        <f>CONCATENATE(UPPER(TableAopCalendar[[#This Row],[Month]])," ",TableAopCalendar[[#This Row],[Year]])</f>
        <v>JUNE 26</v>
      </c>
      <c r="J1531" s="7" t="s">
        <v>274</v>
      </c>
      <c r="K1531" s="32" t="str">
        <f>CONCATENATE(TableAopCalendar[[#This Row],[Month for Plan]]," ",TableAopCalendar[[#This Row],[Plan]])</f>
        <v>JUNE 26 PLANNED</v>
      </c>
    </row>
    <row r="1532" spans="1:11" x14ac:dyDescent="0.3">
      <c r="A1532" s="32">
        <f t="shared" si="84"/>
        <v>2</v>
      </c>
      <c r="B1532" s="33">
        <v>46182</v>
      </c>
      <c r="C1532" s="6" t="s">
        <v>266</v>
      </c>
      <c r="D1532" s="34">
        <v>26</v>
      </c>
      <c r="E1532" s="32">
        <f>DAY(TableAopCalendar[[#This Row],[Date]])</f>
        <v>9</v>
      </c>
      <c r="F1532" s="32">
        <f>IF(TableAopCalendar[[#This Row],[Day]]&lt;8,1,IF(TableAopCalendar[[#This Row],[Day]]&lt;15,2,IF(TableAopCalendar[[#This Row],[Day]]&lt;22,3,IF(TableAopCalendar[[#This Row],[Day]]&lt;29,4,IF(TableAopCalendar[[#This Row],[Day]]&lt;32,5)))))</f>
        <v>2</v>
      </c>
      <c r="G1532" s="32" t="str">
        <f t="shared" si="85"/>
        <v>Week 2</v>
      </c>
      <c r="H1532" s="32" t="str">
        <f t="shared" si="86"/>
        <v>June 26 Week 2</v>
      </c>
      <c r="I1532" s="32" t="str">
        <f>CONCATENATE(UPPER(TableAopCalendar[[#This Row],[Month]])," ",TableAopCalendar[[#This Row],[Year]])</f>
        <v>JUNE 26</v>
      </c>
      <c r="J1532" s="7" t="s">
        <v>274</v>
      </c>
      <c r="K1532" s="32" t="str">
        <f>CONCATENATE(TableAopCalendar[[#This Row],[Month for Plan]]," ",TableAopCalendar[[#This Row],[Plan]])</f>
        <v>JUNE 26 PLANNED</v>
      </c>
    </row>
    <row r="1533" spans="1:11" x14ac:dyDescent="0.3">
      <c r="A1533" s="32">
        <f t="shared" si="84"/>
        <v>3</v>
      </c>
      <c r="B1533" s="33">
        <v>46183</v>
      </c>
      <c r="C1533" s="6" t="s">
        <v>266</v>
      </c>
      <c r="D1533" s="34">
        <v>26</v>
      </c>
      <c r="E1533" s="32">
        <f>DAY(TableAopCalendar[[#This Row],[Date]])</f>
        <v>10</v>
      </c>
      <c r="F1533" s="32">
        <f>IF(TableAopCalendar[[#This Row],[Day]]&lt;8,1,IF(TableAopCalendar[[#This Row],[Day]]&lt;15,2,IF(TableAopCalendar[[#This Row],[Day]]&lt;22,3,IF(TableAopCalendar[[#This Row],[Day]]&lt;29,4,IF(TableAopCalendar[[#This Row],[Day]]&lt;32,5)))))</f>
        <v>2</v>
      </c>
      <c r="G1533" s="32" t="str">
        <f t="shared" si="85"/>
        <v>Week 2</v>
      </c>
      <c r="H1533" s="32" t="str">
        <f t="shared" si="86"/>
        <v>June 26 Week 2</v>
      </c>
      <c r="I1533" s="32" t="str">
        <f>CONCATENATE(UPPER(TableAopCalendar[[#This Row],[Month]])," ",TableAopCalendar[[#This Row],[Year]])</f>
        <v>JUNE 26</v>
      </c>
      <c r="J1533" s="7" t="s">
        <v>274</v>
      </c>
      <c r="K1533" s="32" t="str">
        <f>CONCATENATE(TableAopCalendar[[#This Row],[Month for Plan]]," ",TableAopCalendar[[#This Row],[Plan]])</f>
        <v>JUNE 26 PLANNED</v>
      </c>
    </row>
    <row r="1534" spans="1:11" x14ac:dyDescent="0.3">
      <c r="A1534" s="32">
        <f t="shared" si="84"/>
        <v>4</v>
      </c>
      <c r="B1534" s="33">
        <v>46184</v>
      </c>
      <c r="C1534" s="6" t="s">
        <v>266</v>
      </c>
      <c r="D1534" s="34">
        <v>26</v>
      </c>
      <c r="E1534" s="32">
        <f>DAY(TableAopCalendar[[#This Row],[Date]])</f>
        <v>11</v>
      </c>
      <c r="F1534" s="32">
        <f>IF(TableAopCalendar[[#This Row],[Day]]&lt;8,1,IF(TableAopCalendar[[#This Row],[Day]]&lt;15,2,IF(TableAopCalendar[[#This Row],[Day]]&lt;22,3,IF(TableAopCalendar[[#This Row],[Day]]&lt;29,4,IF(TableAopCalendar[[#This Row],[Day]]&lt;32,5)))))</f>
        <v>2</v>
      </c>
      <c r="G1534" s="32" t="str">
        <f t="shared" si="85"/>
        <v>Week 2</v>
      </c>
      <c r="H1534" s="32" t="str">
        <f t="shared" si="86"/>
        <v>June 26 Week 2</v>
      </c>
      <c r="I1534" s="32" t="str">
        <f>CONCATENATE(UPPER(TableAopCalendar[[#This Row],[Month]])," ",TableAopCalendar[[#This Row],[Year]])</f>
        <v>JUNE 26</v>
      </c>
      <c r="J1534" s="7" t="s">
        <v>274</v>
      </c>
      <c r="K1534" s="32" t="str">
        <f>CONCATENATE(TableAopCalendar[[#This Row],[Month for Plan]]," ",TableAopCalendar[[#This Row],[Plan]])</f>
        <v>JUNE 26 PLANNED</v>
      </c>
    </row>
    <row r="1535" spans="1:11" x14ac:dyDescent="0.3">
      <c r="A1535" s="32">
        <f t="shared" si="84"/>
        <v>5</v>
      </c>
      <c r="B1535" s="33">
        <v>46185</v>
      </c>
      <c r="C1535" s="6" t="s">
        <v>266</v>
      </c>
      <c r="D1535" s="34">
        <v>26</v>
      </c>
      <c r="E1535" s="32">
        <f>DAY(TableAopCalendar[[#This Row],[Date]])</f>
        <v>12</v>
      </c>
      <c r="F1535" s="32">
        <f>IF(TableAopCalendar[[#This Row],[Day]]&lt;8,1,IF(TableAopCalendar[[#This Row],[Day]]&lt;15,2,IF(TableAopCalendar[[#This Row],[Day]]&lt;22,3,IF(TableAopCalendar[[#This Row],[Day]]&lt;29,4,IF(TableAopCalendar[[#This Row],[Day]]&lt;32,5)))))</f>
        <v>2</v>
      </c>
      <c r="G1535" s="32" t="str">
        <f t="shared" si="85"/>
        <v>Week 2</v>
      </c>
      <c r="H1535" s="32" t="str">
        <f t="shared" si="86"/>
        <v>June 26 Week 2</v>
      </c>
      <c r="I1535" s="32" t="str">
        <f>CONCATENATE(UPPER(TableAopCalendar[[#This Row],[Month]])," ",TableAopCalendar[[#This Row],[Year]])</f>
        <v>JUNE 26</v>
      </c>
      <c r="J1535" s="7" t="s">
        <v>274</v>
      </c>
      <c r="K1535" s="32" t="str">
        <f>CONCATENATE(TableAopCalendar[[#This Row],[Month for Plan]]," ",TableAopCalendar[[#This Row],[Plan]])</f>
        <v>JUNE 26 PLANNED</v>
      </c>
    </row>
    <row r="1536" spans="1:11" x14ac:dyDescent="0.3">
      <c r="A1536" s="32">
        <f t="shared" si="84"/>
        <v>6</v>
      </c>
      <c r="B1536" s="33">
        <v>46186</v>
      </c>
      <c r="C1536" s="6" t="s">
        <v>266</v>
      </c>
      <c r="D1536" s="34">
        <v>26</v>
      </c>
      <c r="E1536" s="32">
        <f>DAY(TableAopCalendar[[#This Row],[Date]])</f>
        <v>13</v>
      </c>
      <c r="F1536" s="32">
        <f>IF(TableAopCalendar[[#This Row],[Day]]&lt;8,1,IF(TableAopCalendar[[#This Row],[Day]]&lt;15,2,IF(TableAopCalendar[[#This Row],[Day]]&lt;22,3,IF(TableAopCalendar[[#This Row],[Day]]&lt;29,4,IF(TableAopCalendar[[#This Row],[Day]]&lt;32,5)))))</f>
        <v>2</v>
      </c>
      <c r="G1536" s="32" t="str">
        <f t="shared" si="85"/>
        <v>Week 2</v>
      </c>
      <c r="H1536" s="32" t="str">
        <f t="shared" si="86"/>
        <v>June 26 Week 2</v>
      </c>
      <c r="I1536" s="32" t="str">
        <f>CONCATENATE(UPPER(TableAopCalendar[[#This Row],[Month]])," ",TableAopCalendar[[#This Row],[Year]])</f>
        <v>JUNE 26</v>
      </c>
      <c r="J1536" s="7" t="s">
        <v>274</v>
      </c>
      <c r="K1536" s="32" t="str">
        <f>CONCATENATE(TableAopCalendar[[#This Row],[Month for Plan]]," ",TableAopCalendar[[#This Row],[Plan]])</f>
        <v>JUNE 26 PLANNED</v>
      </c>
    </row>
    <row r="1537" spans="1:11" x14ac:dyDescent="0.3">
      <c r="A1537" s="32">
        <f t="shared" si="84"/>
        <v>7</v>
      </c>
      <c r="B1537" s="33">
        <v>46187</v>
      </c>
      <c r="C1537" s="6" t="s">
        <v>266</v>
      </c>
      <c r="D1537" s="34">
        <v>26</v>
      </c>
      <c r="E1537" s="32">
        <f>DAY(TableAopCalendar[[#This Row],[Date]])</f>
        <v>14</v>
      </c>
      <c r="F1537" s="32">
        <f>IF(TableAopCalendar[[#This Row],[Day]]&lt;8,1,IF(TableAopCalendar[[#This Row],[Day]]&lt;15,2,IF(TableAopCalendar[[#This Row],[Day]]&lt;22,3,IF(TableAopCalendar[[#This Row],[Day]]&lt;29,4,IF(TableAopCalendar[[#This Row],[Day]]&lt;32,5)))))</f>
        <v>2</v>
      </c>
      <c r="G1537" s="32" t="str">
        <f t="shared" si="85"/>
        <v>Week 2</v>
      </c>
      <c r="H1537" s="32" t="str">
        <f t="shared" si="86"/>
        <v>June 26 Week 2</v>
      </c>
      <c r="I1537" s="32" t="str">
        <f>CONCATENATE(UPPER(TableAopCalendar[[#This Row],[Month]])," ",TableAopCalendar[[#This Row],[Year]])</f>
        <v>JUNE 26</v>
      </c>
      <c r="J1537" s="7" t="s">
        <v>274</v>
      </c>
      <c r="K1537" s="32" t="str">
        <f>CONCATENATE(TableAopCalendar[[#This Row],[Month for Plan]]," ",TableAopCalendar[[#This Row],[Plan]])</f>
        <v>JUNE 26 PLANNED</v>
      </c>
    </row>
    <row r="1538" spans="1:11" x14ac:dyDescent="0.3">
      <c r="A1538" s="32">
        <f t="shared" si="84"/>
        <v>1</v>
      </c>
      <c r="B1538" s="33">
        <v>46188</v>
      </c>
      <c r="C1538" s="6" t="s">
        <v>266</v>
      </c>
      <c r="D1538" s="34">
        <v>26</v>
      </c>
      <c r="E1538" s="32">
        <f>DAY(TableAopCalendar[[#This Row],[Date]])</f>
        <v>15</v>
      </c>
      <c r="F1538" s="32">
        <f>IF(TableAopCalendar[[#This Row],[Day]]&lt;8,1,IF(TableAopCalendar[[#This Row],[Day]]&lt;15,2,IF(TableAopCalendar[[#This Row],[Day]]&lt;22,3,IF(TableAopCalendar[[#This Row],[Day]]&lt;29,4,IF(TableAopCalendar[[#This Row],[Day]]&lt;32,5)))))</f>
        <v>3</v>
      </c>
      <c r="G1538" s="32" t="str">
        <f t="shared" si="85"/>
        <v>Week 3</v>
      </c>
      <c r="H1538" s="32" t="str">
        <f t="shared" si="86"/>
        <v>June 26 Week 3</v>
      </c>
      <c r="I1538" s="32" t="str">
        <f>CONCATENATE(UPPER(TableAopCalendar[[#This Row],[Month]])," ",TableAopCalendar[[#This Row],[Year]])</f>
        <v>JUNE 26</v>
      </c>
      <c r="J1538" s="7" t="s">
        <v>274</v>
      </c>
      <c r="K1538" s="32" t="str">
        <f>CONCATENATE(TableAopCalendar[[#This Row],[Month for Plan]]," ",TableAopCalendar[[#This Row],[Plan]])</f>
        <v>JUNE 26 PLANNED</v>
      </c>
    </row>
    <row r="1539" spans="1:11" x14ac:dyDescent="0.3">
      <c r="A1539" s="32">
        <f t="shared" si="84"/>
        <v>2</v>
      </c>
      <c r="B1539" s="33">
        <v>46189</v>
      </c>
      <c r="C1539" s="6" t="s">
        <v>266</v>
      </c>
      <c r="D1539" s="34">
        <v>26</v>
      </c>
      <c r="E1539" s="32">
        <f>DAY(TableAopCalendar[[#This Row],[Date]])</f>
        <v>16</v>
      </c>
      <c r="F1539" s="32">
        <f>IF(TableAopCalendar[[#This Row],[Day]]&lt;8,1,IF(TableAopCalendar[[#This Row],[Day]]&lt;15,2,IF(TableAopCalendar[[#This Row],[Day]]&lt;22,3,IF(TableAopCalendar[[#This Row],[Day]]&lt;29,4,IF(TableAopCalendar[[#This Row],[Day]]&lt;32,5)))))</f>
        <v>3</v>
      </c>
      <c r="G1539" s="32" t="str">
        <f t="shared" si="85"/>
        <v>Week 3</v>
      </c>
      <c r="H1539" s="32" t="str">
        <f t="shared" si="86"/>
        <v>June 26 Week 3</v>
      </c>
      <c r="I1539" s="32" t="str">
        <f>CONCATENATE(UPPER(TableAopCalendar[[#This Row],[Month]])," ",TableAopCalendar[[#This Row],[Year]])</f>
        <v>JUNE 26</v>
      </c>
      <c r="J1539" s="7" t="s">
        <v>274</v>
      </c>
      <c r="K1539" s="32" t="str">
        <f>CONCATENATE(TableAopCalendar[[#This Row],[Month for Plan]]," ",TableAopCalendar[[#This Row],[Plan]])</f>
        <v>JUNE 26 PLANNED</v>
      </c>
    </row>
    <row r="1540" spans="1:11" x14ac:dyDescent="0.3">
      <c r="A1540" s="32">
        <f t="shared" si="84"/>
        <v>3</v>
      </c>
      <c r="B1540" s="33">
        <v>46190</v>
      </c>
      <c r="C1540" s="6" t="s">
        <v>266</v>
      </c>
      <c r="D1540" s="34">
        <v>26</v>
      </c>
      <c r="E1540" s="32">
        <f>DAY(TableAopCalendar[[#This Row],[Date]])</f>
        <v>17</v>
      </c>
      <c r="F1540" s="32">
        <f>IF(TableAopCalendar[[#This Row],[Day]]&lt;8,1,IF(TableAopCalendar[[#This Row],[Day]]&lt;15,2,IF(TableAopCalendar[[#This Row],[Day]]&lt;22,3,IF(TableAopCalendar[[#This Row],[Day]]&lt;29,4,IF(TableAopCalendar[[#This Row],[Day]]&lt;32,5)))))</f>
        <v>3</v>
      </c>
      <c r="G1540" s="32" t="str">
        <f t="shared" si="85"/>
        <v>Week 3</v>
      </c>
      <c r="H1540" s="32" t="str">
        <f t="shared" si="86"/>
        <v>June 26 Week 3</v>
      </c>
      <c r="I1540" s="32" t="str">
        <f>CONCATENATE(UPPER(TableAopCalendar[[#This Row],[Month]])," ",TableAopCalendar[[#This Row],[Year]])</f>
        <v>JUNE 26</v>
      </c>
      <c r="J1540" s="7" t="s">
        <v>274</v>
      </c>
      <c r="K1540" s="32" t="str">
        <f>CONCATENATE(TableAopCalendar[[#This Row],[Month for Plan]]," ",TableAopCalendar[[#This Row],[Plan]])</f>
        <v>JUNE 26 PLANNED</v>
      </c>
    </row>
    <row r="1541" spans="1:11" x14ac:dyDescent="0.3">
      <c r="A1541" s="32">
        <f t="shared" si="84"/>
        <v>4</v>
      </c>
      <c r="B1541" s="33">
        <v>46191</v>
      </c>
      <c r="C1541" s="6" t="s">
        <v>266</v>
      </c>
      <c r="D1541" s="34">
        <v>26</v>
      </c>
      <c r="E1541" s="32">
        <f>DAY(TableAopCalendar[[#This Row],[Date]])</f>
        <v>18</v>
      </c>
      <c r="F1541" s="32">
        <f>IF(TableAopCalendar[[#This Row],[Day]]&lt;8,1,IF(TableAopCalendar[[#This Row],[Day]]&lt;15,2,IF(TableAopCalendar[[#This Row],[Day]]&lt;22,3,IF(TableAopCalendar[[#This Row],[Day]]&lt;29,4,IF(TableAopCalendar[[#This Row],[Day]]&lt;32,5)))))</f>
        <v>3</v>
      </c>
      <c r="G1541" s="32" t="str">
        <f t="shared" si="85"/>
        <v>Week 3</v>
      </c>
      <c r="H1541" s="32" t="str">
        <f t="shared" si="86"/>
        <v>June 26 Week 3</v>
      </c>
      <c r="I1541" s="32" t="str">
        <f>CONCATENATE(UPPER(TableAopCalendar[[#This Row],[Month]])," ",TableAopCalendar[[#This Row],[Year]])</f>
        <v>JUNE 26</v>
      </c>
      <c r="J1541" s="7" t="s">
        <v>274</v>
      </c>
      <c r="K1541" s="32" t="str">
        <f>CONCATENATE(TableAopCalendar[[#This Row],[Month for Plan]]," ",TableAopCalendar[[#This Row],[Plan]])</f>
        <v>JUNE 26 PLANNED</v>
      </c>
    </row>
    <row r="1542" spans="1:11" x14ac:dyDescent="0.3">
      <c r="A1542" s="32">
        <f t="shared" si="84"/>
        <v>5</v>
      </c>
      <c r="B1542" s="33">
        <v>46192</v>
      </c>
      <c r="C1542" s="6" t="s">
        <v>266</v>
      </c>
      <c r="D1542" s="34">
        <v>26</v>
      </c>
      <c r="E1542" s="32">
        <f>DAY(TableAopCalendar[[#This Row],[Date]])</f>
        <v>19</v>
      </c>
      <c r="F1542" s="32">
        <f>IF(TableAopCalendar[[#This Row],[Day]]&lt;8,1,IF(TableAopCalendar[[#This Row],[Day]]&lt;15,2,IF(TableAopCalendar[[#This Row],[Day]]&lt;22,3,IF(TableAopCalendar[[#This Row],[Day]]&lt;29,4,IF(TableAopCalendar[[#This Row],[Day]]&lt;32,5)))))</f>
        <v>3</v>
      </c>
      <c r="G1542" s="32" t="str">
        <f t="shared" si="85"/>
        <v>Week 3</v>
      </c>
      <c r="H1542" s="32" t="str">
        <f t="shared" si="86"/>
        <v>June 26 Week 3</v>
      </c>
      <c r="I1542" s="32" t="str">
        <f>CONCATENATE(UPPER(TableAopCalendar[[#This Row],[Month]])," ",TableAopCalendar[[#This Row],[Year]])</f>
        <v>JUNE 26</v>
      </c>
      <c r="J1542" s="7" t="s">
        <v>274</v>
      </c>
      <c r="K1542" s="32" t="str">
        <f>CONCATENATE(TableAopCalendar[[#This Row],[Month for Plan]]," ",TableAopCalendar[[#This Row],[Plan]])</f>
        <v>JUNE 26 PLANNED</v>
      </c>
    </row>
    <row r="1543" spans="1:11" x14ac:dyDescent="0.3">
      <c r="A1543" s="32">
        <f t="shared" si="84"/>
        <v>6</v>
      </c>
      <c r="B1543" s="33">
        <v>46193</v>
      </c>
      <c r="C1543" s="6" t="s">
        <v>266</v>
      </c>
      <c r="D1543" s="34">
        <v>26</v>
      </c>
      <c r="E1543" s="32">
        <f>DAY(TableAopCalendar[[#This Row],[Date]])</f>
        <v>20</v>
      </c>
      <c r="F1543" s="32">
        <f>IF(TableAopCalendar[[#This Row],[Day]]&lt;8,1,IF(TableAopCalendar[[#This Row],[Day]]&lt;15,2,IF(TableAopCalendar[[#This Row],[Day]]&lt;22,3,IF(TableAopCalendar[[#This Row],[Day]]&lt;29,4,IF(TableAopCalendar[[#This Row],[Day]]&lt;32,5)))))</f>
        <v>3</v>
      </c>
      <c r="G1543" s="32" t="str">
        <f t="shared" si="85"/>
        <v>Week 3</v>
      </c>
      <c r="H1543" s="32" t="str">
        <f t="shared" si="86"/>
        <v>June 26 Week 3</v>
      </c>
      <c r="I1543" s="32" t="str">
        <f>CONCATENATE(UPPER(TableAopCalendar[[#This Row],[Month]])," ",TableAopCalendar[[#This Row],[Year]])</f>
        <v>JUNE 26</v>
      </c>
      <c r="J1543" s="7" t="s">
        <v>274</v>
      </c>
      <c r="K1543" s="32" t="str">
        <f>CONCATENATE(TableAopCalendar[[#This Row],[Month for Plan]]," ",TableAopCalendar[[#This Row],[Plan]])</f>
        <v>JUNE 26 PLANNED</v>
      </c>
    </row>
    <row r="1544" spans="1:11" x14ac:dyDescent="0.3">
      <c r="A1544" s="32">
        <f t="shared" si="84"/>
        <v>7</v>
      </c>
      <c r="B1544" s="33">
        <v>46194</v>
      </c>
      <c r="C1544" s="6" t="s">
        <v>266</v>
      </c>
      <c r="D1544" s="34">
        <v>26</v>
      </c>
      <c r="E1544" s="32">
        <f>DAY(TableAopCalendar[[#This Row],[Date]])</f>
        <v>21</v>
      </c>
      <c r="F1544" s="32">
        <f>IF(TableAopCalendar[[#This Row],[Day]]&lt;8,1,IF(TableAopCalendar[[#This Row],[Day]]&lt;15,2,IF(TableAopCalendar[[#This Row],[Day]]&lt;22,3,IF(TableAopCalendar[[#This Row],[Day]]&lt;29,4,IF(TableAopCalendar[[#This Row],[Day]]&lt;32,5)))))</f>
        <v>3</v>
      </c>
      <c r="G1544" s="32" t="str">
        <f t="shared" si="85"/>
        <v>Week 3</v>
      </c>
      <c r="H1544" s="32" t="str">
        <f t="shared" si="86"/>
        <v>June 26 Week 3</v>
      </c>
      <c r="I1544" s="32" t="str">
        <f>CONCATENATE(UPPER(TableAopCalendar[[#This Row],[Month]])," ",TableAopCalendar[[#This Row],[Year]])</f>
        <v>JUNE 26</v>
      </c>
      <c r="J1544" s="7" t="s">
        <v>274</v>
      </c>
      <c r="K1544" s="32" t="str">
        <f>CONCATENATE(TableAopCalendar[[#This Row],[Month for Plan]]," ",TableAopCalendar[[#This Row],[Plan]])</f>
        <v>JUNE 26 PLANNED</v>
      </c>
    </row>
    <row r="1545" spans="1:11" x14ac:dyDescent="0.3">
      <c r="A1545" s="32">
        <f t="shared" si="84"/>
        <v>1</v>
      </c>
      <c r="B1545" s="33">
        <v>46195</v>
      </c>
      <c r="C1545" s="6" t="s">
        <v>266</v>
      </c>
      <c r="D1545" s="34">
        <v>26</v>
      </c>
      <c r="E1545" s="32">
        <f>DAY(TableAopCalendar[[#This Row],[Date]])</f>
        <v>22</v>
      </c>
      <c r="F1545" s="32">
        <f>IF(TableAopCalendar[[#This Row],[Day]]&lt;8,1,IF(TableAopCalendar[[#This Row],[Day]]&lt;15,2,IF(TableAopCalendar[[#This Row],[Day]]&lt;22,3,IF(TableAopCalendar[[#This Row],[Day]]&lt;29,4,IF(TableAopCalendar[[#This Row],[Day]]&lt;32,5)))))</f>
        <v>4</v>
      </c>
      <c r="G1545" s="32" t="str">
        <f t="shared" si="85"/>
        <v>Week 4</v>
      </c>
      <c r="H1545" s="32" t="str">
        <f t="shared" si="86"/>
        <v>June 26 Week 4</v>
      </c>
      <c r="I1545" s="32" t="str">
        <f>CONCATENATE(UPPER(TableAopCalendar[[#This Row],[Month]])," ",TableAopCalendar[[#This Row],[Year]])</f>
        <v>JUNE 26</v>
      </c>
      <c r="J1545" s="7" t="s">
        <v>274</v>
      </c>
      <c r="K1545" s="32" t="str">
        <f>CONCATENATE(TableAopCalendar[[#This Row],[Month for Plan]]," ",TableAopCalendar[[#This Row],[Plan]])</f>
        <v>JUNE 26 PLANNED</v>
      </c>
    </row>
    <row r="1546" spans="1:11" x14ac:dyDescent="0.3">
      <c r="A1546" s="32">
        <f t="shared" si="84"/>
        <v>2</v>
      </c>
      <c r="B1546" s="33">
        <v>46196</v>
      </c>
      <c r="C1546" s="6" t="s">
        <v>266</v>
      </c>
      <c r="D1546" s="34">
        <v>26</v>
      </c>
      <c r="E1546" s="32">
        <f>DAY(TableAopCalendar[[#This Row],[Date]])</f>
        <v>23</v>
      </c>
      <c r="F1546" s="32">
        <f>IF(TableAopCalendar[[#This Row],[Day]]&lt;8,1,IF(TableAopCalendar[[#This Row],[Day]]&lt;15,2,IF(TableAopCalendar[[#This Row],[Day]]&lt;22,3,IF(TableAopCalendar[[#This Row],[Day]]&lt;29,4,IF(TableAopCalendar[[#This Row],[Day]]&lt;32,5)))))</f>
        <v>4</v>
      </c>
      <c r="G1546" s="32" t="str">
        <f t="shared" si="85"/>
        <v>Week 4</v>
      </c>
      <c r="H1546" s="32" t="str">
        <f t="shared" si="86"/>
        <v>June 26 Week 4</v>
      </c>
      <c r="I1546" s="32" t="str">
        <f>CONCATENATE(UPPER(TableAopCalendar[[#This Row],[Month]])," ",TableAopCalendar[[#This Row],[Year]])</f>
        <v>JUNE 26</v>
      </c>
      <c r="J1546" s="7" t="s">
        <v>274</v>
      </c>
      <c r="K1546" s="32" t="str">
        <f>CONCATENATE(TableAopCalendar[[#This Row],[Month for Plan]]," ",TableAopCalendar[[#This Row],[Plan]])</f>
        <v>JUNE 26 PLANNED</v>
      </c>
    </row>
    <row r="1547" spans="1:11" x14ac:dyDescent="0.3">
      <c r="A1547" s="32">
        <f t="shared" ref="A1547:A1610" si="87">IF(G1547=G1546,A1546+1,1)</f>
        <v>3</v>
      </c>
      <c r="B1547" s="33">
        <v>46197</v>
      </c>
      <c r="C1547" s="6" t="s">
        <v>266</v>
      </c>
      <c r="D1547" s="34">
        <v>26</v>
      </c>
      <c r="E1547" s="32">
        <f>DAY(TableAopCalendar[[#This Row],[Date]])</f>
        <v>24</v>
      </c>
      <c r="F1547" s="32">
        <f>IF(TableAopCalendar[[#This Row],[Day]]&lt;8,1,IF(TableAopCalendar[[#This Row],[Day]]&lt;15,2,IF(TableAopCalendar[[#This Row],[Day]]&lt;22,3,IF(TableAopCalendar[[#This Row],[Day]]&lt;29,4,IF(TableAopCalendar[[#This Row],[Day]]&lt;32,5)))))</f>
        <v>4</v>
      </c>
      <c r="G1547" s="32" t="str">
        <f t="shared" ref="G1547:G1610" si="88">"Week"&amp;" "&amp;F1547</f>
        <v>Week 4</v>
      </c>
      <c r="H1547" s="32" t="str">
        <f t="shared" ref="H1547:H1610" si="89">CONCATENATE(C1547," ",D1547," ",G1547)</f>
        <v>June 26 Week 4</v>
      </c>
      <c r="I1547" s="32" t="str">
        <f>CONCATENATE(UPPER(TableAopCalendar[[#This Row],[Month]])," ",TableAopCalendar[[#This Row],[Year]])</f>
        <v>JUNE 26</v>
      </c>
      <c r="J1547" s="7" t="s">
        <v>274</v>
      </c>
      <c r="K1547" s="32" t="str">
        <f>CONCATENATE(TableAopCalendar[[#This Row],[Month for Plan]]," ",TableAopCalendar[[#This Row],[Plan]])</f>
        <v>JUNE 26 PLANNED</v>
      </c>
    </row>
    <row r="1548" spans="1:11" x14ac:dyDescent="0.3">
      <c r="A1548" s="32">
        <f t="shared" si="87"/>
        <v>4</v>
      </c>
      <c r="B1548" s="33">
        <v>46198</v>
      </c>
      <c r="C1548" s="6" t="s">
        <v>266</v>
      </c>
      <c r="D1548" s="34">
        <v>26</v>
      </c>
      <c r="E1548" s="32">
        <f>DAY(TableAopCalendar[[#This Row],[Date]])</f>
        <v>25</v>
      </c>
      <c r="F1548" s="32">
        <f>IF(TableAopCalendar[[#This Row],[Day]]&lt;8,1,IF(TableAopCalendar[[#This Row],[Day]]&lt;15,2,IF(TableAopCalendar[[#This Row],[Day]]&lt;22,3,IF(TableAopCalendar[[#This Row],[Day]]&lt;29,4,IF(TableAopCalendar[[#This Row],[Day]]&lt;32,5)))))</f>
        <v>4</v>
      </c>
      <c r="G1548" s="32" t="str">
        <f t="shared" si="88"/>
        <v>Week 4</v>
      </c>
      <c r="H1548" s="32" t="str">
        <f t="shared" si="89"/>
        <v>June 26 Week 4</v>
      </c>
      <c r="I1548" s="32" t="str">
        <f>CONCATENATE(UPPER(TableAopCalendar[[#This Row],[Month]])," ",TableAopCalendar[[#This Row],[Year]])</f>
        <v>JUNE 26</v>
      </c>
      <c r="J1548" s="7" t="s">
        <v>274</v>
      </c>
      <c r="K1548" s="32" t="str">
        <f>CONCATENATE(TableAopCalendar[[#This Row],[Month for Plan]]," ",TableAopCalendar[[#This Row],[Plan]])</f>
        <v>JUNE 26 PLANNED</v>
      </c>
    </row>
    <row r="1549" spans="1:11" x14ac:dyDescent="0.3">
      <c r="A1549" s="32">
        <f t="shared" si="87"/>
        <v>5</v>
      </c>
      <c r="B1549" s="33">
        <v>46199</v>
      </c>
      <c r="C1549" s="6" t="s">
        <v>266</v>
      </c>
      <c r="D1549" s="34">
        <v>26</v>
      </c>
      <c r="E1549" s="32">
        <f>DAY(TableAopCalendar[[#This Row],[Date]])</f>
        <v>26</v>
      </c>
      <c r="F1549" s="32">
        <f>IF(TableAopCalendar[[#This Row],[Day]]&lt;8,1,IF(TableAopCalendar[[#This Row],[Day]]&lt;15,2,IF(TableAopCalendar[[#This Row],[Day]]&lt;22,3,IF(TableAopCalendar[[#This Row],[Day]]&lt;29,4,IF(TableAopCalendar[[#This Row],[Day]]&lt;32,5)))))</f>
        <v>4</v>
      </c>
      <c r="G1549" s="32" t="str">
        <f t="shared" si="88"/>
        <v>Week 4</v>
      </c>
      <c r="H1549" s="32" t="str">
        <f t="shared" si="89"/>
        <v>June 26 Week 4</v>
      </c>
      <c r="I1549" s="32" t="str">
        <f>CONCATENATE(UPPER(TableAopCalendar[[#This Row],[Month]])," ",TableAopCalendar[[#This Row],[Year]])</f>
        <v>JUNE 26</v>
      </c>
      <c r="J1549" s="7" t="s">
        <v>274</v>
      </c>
      <c r="K1549" s="32" t="str">
        <f>CONCATENATE(TableAopCalendar[[#This Row],[Month for Plan]]," ",TableAopCalendar[[#This Row],[Plan]])</f>
        <v>JUNE 26 PLANNED</v>
      </c>
    </row>
    <row r="1550" spans="1:11" x14ac:dyDescent="0.3">
      <c r="A1550" s="32">
        <f t="shared" si="87"/>
        <v>6</v>
      </c>
      <c r="B1550" s="33">
        <v>46200</v>
      </c>
      <c r="C1550" s="6" t="s">
        <v>266</v>
      </c>
      <c r="D1550" s="34">
        <v>26</v>
      </c>
      <c r="E1550" s="32">
        <f>DAY(TableAopCalendar[[#This Row],[Date]])</f>
        <v>27</v>
      </c>
      <c r="F1550" s="32">
        <f>IF(TableAopCalendar[[#This Row],[Day]]&lt;8,1,IF(TableAopCalendar[[#This Row],[Day]]&lt;15,2,IF(TableAopCalendar[[#This Row],[Day]]&lt;22,3,IF(TableAopCalendar[[#This Row],[Day]]&lt;29,4,IF(TableAopCalendar[[#This Row],[Day]]&lt;32,5)))))</f>
        <v>4</v>
      </c>
      <c r="G1550" s="32" t="str">
        <f t="shared" si="88"/>
        <v>Week 4</v>
      </c>
      <c r="H1550" s="32" t="str">
        <f t="shared" si="89"/>
        <v>June 26 Week 4</v>
      </c>
      <c r="I1550" s="32" t="str">
        <f>CONCATENATE(UPPER(TableAopCalendar[[#This Row],[Month]])," ",TableAopCalendar[[#This Row],[Year]])</f>
        <v>JUNE 26</v>
      </c>
      <c r="J1550" s="7" t="s">
        <v>274</v>
      </c>
      <c r="K1550" s="32" t="str">
        <f>CONCATENATE(TableAopCalendar[[#This Row],[Month for Plan]]," ",TableAopCalendar[[#This Row],[Plan]])</f>
        <v>JUNE 26 PLANNED</v>
      </c>
    </row>
    <row r="1551" spans="1:11" x14ac:dyDescent="0.3">
      <c r="A1551" s="32">
        <f t="shared" si="87"/>
        <v>7</v>
      </c>
      <c r="B1551" s="33">
        <v>46201</v>
      </c>
      <c r="C1551" s="6" t="s">
        <v>266</v>
      </c>
      <c r="D1551" s="34">
        <v>26</v>
      </c>
      <c r="E1551" s="32">
        <f>DAY(TableAopCalendar[[#This Row],[Date]])</f>
        <v>28</v>
      </c>
      <c r="F1551" s="32">
        <f>IF(TableAopCalendar[[#This Row],[Day]]&lt;8,1,IF(TableAopCalendar[[#This Row],[Day]]&lt;15,2,IF(TableAopCalendar[[#This Row],[Day]]&lt;22,3,IF(TableAopCalendar[[#This Row],[Day]]&lt;29,4,IF(TableAopCalendar[[#This Row],[Day]]&lt;32,5)))))</f>
        <v>4</v>
      </c>
      <c r="G1551" s="32" t="str">
        <f t="shared" si="88"/>
        <v>Week 4</v>
      </c>
      <c r="H1551" s="32" t="str">
        <f t="shared" si="89"/>
        <v>June 26 Week 4</v>
      </c>
      <c r="I1551" s="32" t="str">
        <f>CONCATENATE(UPPER(TableAopCalendar[[#This Row],[Month]])," ",TableAopCalendar[[#This Row],[Year]])</f>
        <v>JUNE 26</v>
      </c>
      <c r="J1551" s="7" t="s">
        <v>274</v>
      </c>
      <c r="K1551" s="32" t="str">
        <f>CONCATENATE(TableAopCalendar[[#This Row],[Month for Plan]]," ",TableAopCalendar[[#This Row],[Plan]])</f>
        <v>JUNE 26 PLANNED</v>
      </c>
    </row>
    <row r="1552" spans="1:11" x14ac:dyDescent="0.3">
      <c r="A1552" s="32">
        <f t="shared" si="87"/>
        <v>1</v>
      </c>
      <c r="B1552" s="33">
        <v>46202</v>
      </c>
      <c r="C1552" s="6" t="s">
        <v>266</v>
      </c>
      <c r="D1552" s="34">
        <v>26</v>
      </c>
      <c r="E1552" s="32">
        <f>DAY(TableAopCalendar[[#This Row],[Date]])</f>
        <v>29</v>
      </c>
      <c r="F1552" s="32">
        <f>IF(TableAopCalendar[[#This Row],[Day]]&lt;8,1,IF(TableAopCalendar[[#This Row],[Day]]&lt;15,2,IF(TableAopCalendar[[#This Row],[Day]]&lt;22,3,IF(TableAopCalendar[[#This Row],[Day]]&lt;29,4,IF(TableAopCalendar[[#This Row],[Day]]&lt;32,5)))))</f>
        <v>5</v>
      </c>
      <c r="G1552" s="32" t="str">
        <f t="shared" si="88"/>
        <v>Week 5</v>
      </c>
      <c r="H1552" s="32" t="str">
        <f t="shared" si="89"/>
        <v>June 26 Week 5</v>
      </c>
      <c r="I1552" s="32" t="str">
        <f>CONCATENATE(UPPER(TableAopCalendar[[#This Row],[Month]])," ",TableAopCalendar[[#This Row],[Year]])</f>
        <v>JUNE 26</v>
      </c>
      <c r="J1552" s="7" t="s">
        <v>274</v>
      </c>
      <c r="K1552" s="32" t="str">
        <f>CONCATENATE(TableAopCalendar[[#This Row],[Month for Plan]]," ",TableAopCalendar[[#This Row],[Plan]])</f>
        <v>JUNE 26 PLANNED</v>
      </c>
    </row>
    <row r="1553" spans="1:11" x14ac:dyDescent="0.3">
      <c r="A1553" s="32">
        <f t="shared" si="87"/>
        <v>2</v>
      </c>
      <c r="B1553" s="33">
        <v>46203</v>
      </c>
      <c r="C1553" s="6" t="s">
        <v>266</v>
      </c>
      <c r="D1553" s="34">
        <v>26</v>
      </c>
      <c r="E1553" s="32">
        <f>DAY(TableAopCalendar[[#This Row],[Date]])</f>
        <v>30</v>
      </c>
      <c r="F1553" s="32">
        <f>IF(TableAopCalendar[[#This Row],[Day]]&lt;8,1,IF(TableAopCalendar[[#This Row],[Day]]&lt;15,2,IF(TableAopCalendar[[#This Row],[Day]]&lt;22,3,IF(TableAopCalendar[[#This Row],[Day]]&lt;29,4,IF(TableAopCalendar[[#This Row],[Day]]&lt;32,5)))))</f>
        <v>5</v>
      </c>
      <c r="G1553" s="32" t="str">
        <f t="shared" si="88"/>
        <v>Week 5</v>
      </c>
      <c r="H1553" s="32" t="str">
        <f t="shared" si="89"/>
        <v>June 26 Week 5</v>
      </c>
      <c r="I1553" s="32" t="str">
        <f>CONCATENATE(UPPER(TableAopCalendar[[#This Row],[Month]])," ",TableAopCalendar[[#This Row],[Year]])</f>
        <v>JUNE 26</v>
      </c>
      <c r="J1553" s="7" t="s">
        <v>274</v>
      </c>
      <c r="K1553" s="32" t="str">
        <f>CONCATENATE(TableAopCalendar[[#This Row],[Month for Plan]]," ",TableAopCalendar[[#This Row],[Plan]])</f>
        <v>JUNE 26 PLANNED</v>
      </c>
    </row>
    <row r="1554" spans="1:11" x14ac:dyDescent="0.3">
      <c r="A1554" s="32">
        <f t="shared" si="87"/>
        <v>1</v>
      </c>
      <c r="B1554" s="33">
        <v>46204</v>
      </c>
      <c r="C1554" s="6" t="s">
        <v>267</v>
      </c>
      <c r="D1554" s="34">
        <v>26</v>
      </c>
      <c r="E1554" s="32">
        <f>DAY(TableAopCalendar[[#This Row],[Date]])</f>
        <v>1</v>
      </c>
      <c r="F1554" s="32">
        <f>IF(TableAopCalendar[[#This Row],[Day]]&lt;8,1,IF(TableAopCalendar[[#This Row],[Day]]&lt;15,2,IF(TableAopCalendar[[#This Row],[Day]]&lt;22,3,IF(TableAopCalendar[[#This Row],[Day]]&lt;29,4,IF(TableAopCalendar[[#This Row],[Day]]&lt;32,5)))))</f>
        <v>1</v>
      </c>
      <c r="G1554" s="32" t="str">
        <f t="shared" si="88"/>
        <v>Week 1</v>
      </c>
      <c r="H1554" s="32" t="str">
        <f t="shared" si="89"/>
        <v>July 26 Week 1</v>
      </c>
      <c r="I1554" s="32" t="str">
        <f>CONCATENATE(UPPER(TableAopCalendar[[#This Row],[Month]])," ",TableAopCalendar[[#This Row],[Year]])</f>
        <v>JULY 26</v>
      </c>
      <c r="J1554" s="7" t="s">
        <v>274</v>
      </c>
      <c r="K1554" s="32" t="str">
        <f>CONCATENATE(TableAopCalendar[[#This Row],[Month for Plan]]," ",TableAopCalendar[[#This Row],[Plan]])</f>
        <v>JULY 26 PLANNED</v>
      </c>
    </row>
    <row r="1555" spans="1:11" x14ac:dyDescent="0.3">
      <c r="A1555" s="32">
        <f t="shared" si="87"/>
        <v>2</v>
      </c>
      <c r="B1555" s="33">
        <v>46205</v>
      </c>
      <c r="C1555" s="6" t="s">
        <v>267</v>
      </c>
      <c r="D1555" s="34">
        <v>26</v>
      </c>
      <c r="E1555" s="32">
        <f>DAY(TableAopCalendar[[#This Row],[Date]])</f>
        <v>2</v>
      </c>
      <c r="F1555" s="32">
        <f>IF(TableAopCalendar[[#This Row],[Day]]&lt;8,1,IF(TableAopCalendar[[#This Row],[Day]]&lt;15,2,IF(TableAopCalendar[[#This Row],[Day]]&lt;22,3,IF(TableAopCalendar[[#This Row],[Day]]&lt;29,4,IF(TableAopCalendar[[#This Row],[Day]]&lt;32,5)))))</f>
        <v>1</v>
      </c>
      <c r="G1555" s="32" t="str">
        <f t="shared" si="88"/>
        <v>Week 1</v>
      </c>
      <c r="H1555" s="32" t="str">
        <f t="shared" si="89"/>
        <v>July 26 Week 1</v>
      </c>
      <c r="I1555" s="32" t="str">
        <f>CONCATENATE(UPPER(TableAopCalendar[[#This Row],[Month]])," ",TableAopCalendar[[#This Row],[Year]])</f>
        <v>JULY 26</v>
      </c>
      <c r="J1555" s="7" t="s">
        <v>274</v>
      </c>
      <c r="K1555" s="32" t="str">
        <f>CONCATENATE(TableAopCalendar[[#This Row],[Month for Plan]]," ",TableAopCalendar[[#This Row],[Plan]])</f>
        <v>JULY 26 PLANNED</v>
      </c>
    </row>
    <row r="1556" spans="1:11" x14ac:dyDescent="0.3">
      <c r="A1556" s="32">
        <f t="shared" si="87"/>
        <v>3</v>
      </c>
      <c r="B1556" s="33">
        <v>46206</v>
      </c>
      <c r="C1556" s="6" t="s">
        <v>267</v>
      </c>
      <c r="D1556" s="34">
        <v>26</v>
      </c>
      <c r="E1556" s="32">
        <f>DAY(TableAopCalendar[[#This Row],[Date]])</f>
        <v>3</v>
      </c>
      <c r="F1556" s="32">
        <f>IF(TableAopCalendar[[#This Row],[Day]]&lt;8,1,IF(TableAopCalendar[[#This Row],[Day]]&lt;15,2,IF(TableAopCalendar[[#This Row],[Day]]&lt;22,3,IF(TableAopCalendar[[#This Row],[Day]]&lt;29,4,IF(TableAopCalendar[[#This Row],[Day]]&lt;32,5)))))</f>
        <v>1</v>
      </c>
      <c r="G1556" s="32" t="str">
        <f t="shared" si="88"/>
        <v>Week 1</v>
      </c>
      <c r="H1556" s="32" t="str">
        <f t="shared" si="89"/>
        <v>July 26 Week 1</v>
      </c>
      <c r="I1556" s="32" t="str">
        <f>CONCATENATE(UPPER(TableAopCalendar[[#This Row],[Month]])," ",TableAopCalendar[[#This Row],[Year]])</f>
        <v>JULY 26</v>
      </c>
      <c r="J1556" s="7" t="s">
        <v>274</v>
      </c>
      <c r="K1556" s="32" t="str">
        <f>CONCATENATE(TableAopCalendar[[#This Row],[Month for Plan]]," ",TableAopCalendar[[#This Row],[Plan]])</f>
        <v>JULY 26 PLANNED</v>
      </c>
    </row>
    <row r="1557" spans="1:11" x14ac:dyDescent="0.3">
      <c r="A1557" s="32">
        <f t="shared" si="87"/>
        <v>4</v>
      </c>
      <c r="B1557" s="33">
        <v>46207</v>
      </c>
      <c r="C1557" s="6" t="s">
        <v>267</v>
      </c>
      <c r="D1557" s="34">
        <v>26</v>
      </c>
      <c r="E1557" s="32">
        <f>DAY(TableAopCalendar[[#This Row],[Date]])</f>
        <v>4</v>
      </c>
      <c r="F1557" s="32">
        <f>IF(TableAopCalendar[[#This Row],[Day]]&lt;8,1,IF(TableAopCalendar[[#This Row],[Day]]&lt;15,2,IF(TableAopCalendar[[#This Row],[Day]]&lt;22,3,IF(TableAopCalendar[[#This Row],[Day]]&lt;29,4,IF(TableAopCalendar[[#This Row],[Day]]&lt;32,5)))))</f>
        <v>1</v>
      </c>
      <c r="G1557" s="32" t="str">
        <f t="shared" si="88"/>
        <v>Week 1</v>
      </c>
      <c r="H1557" s="32" t="str">
        <f t="shared" si="89"/>
        <v>July 26 Week 1</v>
      </c>
      <c r="I1557" s="32" t="str">
        <f>CONCATENATE(UPPER(TableAopCalendar[[#This Row],[Month]])," ",TableAopCalendar[[#This Row],[Year]])</f>
        <v>JULY 26</v>
      </c>
      <c r="J1557" s="7" t="s">
        <v>274</v>
      </c>
      <c r="K1557" s="32" t="str">
        <f>CONCATENATE(TableAopCalendar[[#This Row],[Month for Plan]]," ",TableAopCalendar[[#This Row],[Plan]])</f>
        <v>JULY 26 PLANNED</v>
      </c>
    </row>
    <row r="1558" spans="1:11" x14ac:dyDescent="0.3">
      <c r="A1558" s="32">
        <f t="shared" si="87"/>
        <v>5</v>
      </c>
      <c r="B1558" s="33">
        <v>46208</v>
      </c>
      <c r="C1558" s="6" t="s">
        <v>267</v>
      </c>
      <c r="D1558" s="34">
        <v>26</v>
      </c>
      <c r="E1558" s="32">
        <f>DAY(TableAopCalendar[[#This Row],[Date]])</f>
        <v>5</v>
      </c>
      <c r="F1558" s="32">
        <f>IF(TableAopCalendar[[#This Row],[Day]]&lt;8,1,IF(TableAopCalendar[[#This Row],[Day]]&lt;15,2,IF(TableAopCalendar[[#This Row],[Day]]&lt;22,3,IF(TableAopCalendar[[#This Row],[Day]]&lt;29,4,IF(TableAopCalendar[[#This Row],[Day]]&lt;32,5)))))</f>
        <v>1</v>
      </c>
      <c r="G1558" s="32" t="str">
        <f t="shared" si="88"/>
        <v>Week 1</v>
      </c>
      <c r="H1558" s="32" t="str">
        <f t="shared" si="89"/>
        <v>July 26 Week 1</v>
      </c>
      <c r="I1558" s="32" t="str">
        <f>CONCATENATE(UPPER(TableAopCalendar[[#This Row],[Month]])," ",TableAopCalendar[[#This Row],[Year]])</f>
        <v>JULY 26</v>
      </c>
      <c r="J1558" s="7" t="s">
        <v>274</v>
      </c>
      <c r="K1558" s="32" t="str">
        <f>CONCATENATE(TableAopCalendar[[#This Row],[Month for Plan]]," ",TableAopCalendar[[#This Row],[Plan]])</f>
        <v>JULY 26 PLANNED</v>
      </c>
    </row>
    <row r="1559" spans="1:11" x14ac:dyDescent="0.3">
      <c r="A1559" s="32">
        <f t="shared" si="87"/>
        <v>6</v>
      </c>
      <c r="B1559" s="33">
        <v>46209</v>
      </c>
      <c r="C1559" s="6" t="s">
        <v>267</v>
      </c>
      <c r="D1559" s="34">
        <v>26</v>
      </c>
      <c r="E1559" s="32">
        <f>DAY(TableAopCalendar[[#This Row],[Date]])</f>
        <v>6</v>
      </c>
      <c r="F1559" s="32">
        <f>IF(TableAopCalendar[[#This Row],[Day]]&lt;8,1,IF(TableAopCalendar[[#This Row],[Day]]&lt;15,2,IF(TableAopCalendar[[#This Row],[Day]]&lt;22,3,IF(TableAopCalendar[[#This Row],[Day]]&lt;29,4,IF(TableAopCalendar[[#This Row],[Day]]&lt;32,5)))))</f>
        <v>1</v>
      </c>
      <c r="G1559" s="32" t="str">
        <f t="shared" si="88"/>
        <v>Week 1</v>
      </c>
      <c r="H1559" s="32" t="str">
        <f t="shared" si="89"/>
        <v>July 26 Week 1</v>
      </c>
      <c r="I1559" s="32" t="str">
        <f>CONCATENATE(UPPER(TableAopCalendar[[#This Row],[Month]])," ",TableAopCalendar[[#This Row],[Year]])</f>
        <v>JULY 26</v>
      </c>
      <c r="J1559" s="7" t="s">
        <v>274</v>
      </c>
      <c r="K1559" s="32" t="str">
        <f>CONCATENATE(TableAopCalendar[[#This Row],[Month for Plan]]," ",TableAopCalendar[[#This Row],[Plan]])</f>
        <v>JULY 26 PLANNED</v>
      </c>
    </row>
    <row r="1560" spans="1:11" x14ac:dyDescent="0.3">
      <c r="A1560" s="32">
        <f t="shared" si="87"/>
        <v>7</v>
      </c>
      <c r="B1560" s="33">
        <v>46210</v>
      </c>
      <c r="C1560" s="6" t="s">
        <v>267</v>
      </c>
      <c r="D1560" s="34">
        <v>26</v>
      </c>
      <c r="E1560" s="32">
        <f>DAY(TableAopCalendar[[#This Row],[Date]])</f>
        <v>7</v>
      </c>
      <c r="F1560" s="32">
        <f>IF(TableAopCalendar[[#This Row],[Day]]&lt;8,1,IF(TableAopCalendar[[#This Row],[Day]]&lt;15,2,IF(TableAopCalendar[[#This Row],[Day]]&lt;22,3,IF(TableAopCalendar[[#This Row],[Day]]&lt;29,4,IF(TableAopCalendar[[#This Row],[Day]]&lt;32,5)))))</f>
        <v>1</v>
      </c>
      <c r="G1560" s="32" t="str">
        <f t="shared" si="88"/>
        <v>Week 1</v>
      </c>
      <c r="H1560" s="32" t="str">
        <f t="shared" si="89"/>
        <v>July 26 Week 1</v>
      </c>
      <c r="I1560" s="32" t="str">
        <f>CONCATENATE(UPPER(TableAopCalendar[[#This Row],[Month]])," ",TableAopCalendar[[#This Row],[Year]])</f>
        <v>JULY 26</v>
      </c>
      <c r="J1560" s="7" t="s">
        <v>274</v>
      </c>
      <c r="K1560" s="32" t="str">
        <f>CONCATENATE(TableAopCalendar[[#This Row],[Month for Plan]]," ",TableAopCalendar[[#This Row],[Plan]])</f>
        <v>JULY 26 PLANNED</v>
      </c>
    </row>
    <row r="1561" spans="1:11" x14ac:dyDescent="0.3">
      <c r="A1561" s="32">
        <f t="shared" si="87"/>
        <v>1</v>
      </c>
      <c r="B1561" s="33">
        <v>46211</v>
      </c>
      <c r="C1561" s="6" t="s">
        <v>267</v>
      </c>
      <c r="D1561" s="34">
        <v>26</v>
      </c>
      <c r="E1561" s="32">
        <f>DAY(TableAopCalendar[[#This Row],[Date]])</f>
        <v>8</v>
      </c>
      <c r="F1561" s="32">
        <f>IF(TableAopCalendar[[#This Row],[Day]]&lt;8,1,IF(TableAopCalendar[[#This Row],[Day]]&lt;15,2,IF(TableAopCalendar[[#This Row],[Day]]&lt;22,3,IF(TableAopCalendar[[#This Row],[Day]]&lt;29,4,IF(TableAopCalendar[[#This Row],[Day]]&lt;32,5)))))</f>
        <v>2</v>
      </c>
      <c r="G1561" s="32" t="str">
        <f t="shared" si="88"/>
        <v>Week 2</v>
      </c>
      <c r="H1561" s="32" t="str">
        <f t="shared" si="89"/>
        <v>July 26 Week 2</v>
      </c>
      <c r="I1561" s="32" t="str">
        <f>CONCATENATE(UPPER(TableAopCalendar[[#This Row],[Month]])," ",TableAopCalendar[[#This Row],[Year]])</f>
        <v>JULY 26</v>
      </c>
      <c r="J1561" s="7" t="s">
        <v>274</v>
      </c>
      <c r="K1561" s="32" t="str">
        <f>CONCATENATE(TableAopCalendar[[#This Row],[Month for Plan]]," ",TableAopCalendar[[#This Row],[Plan]])</f>
        <v>JULY 26 PLANNED</v>
      </c>
    </row>
    <row r="1562" spans="1:11" x14ac:dyDescent="0.3">
      <c r="A1562" s="32">
        <f t="shared" si="87"/>
        <v>2</v>
      </c>
      <c r="B1562" s="33">
        <v>46212</v>
      </c>
      <c r="C1562" s="6" t="s">
        <v>267</v>
      </c>
      <c r="D1562" s="34">
        <v>26</v>
      </c>
      <c r="E1562" s="32">
        <f>DAY(TableAopCalendar[[#This Row],[Date]])</f>
        <v>9</v>
      </c>
      <c r="F1562" s="32">
        <f>IF(TableAopCalendar[[#This Row],[Day]]&lt;8,1,IF(TableAopCalendar[[#This Row],[Day]]&lt;15,2,IF(TableAopCalendar[[#This Row],[Day]]&lt;22,3,IF(TableAopCalendar[[#This Row],[Day]]&lt;29,4,IF(TableAopCalendar[[#This Row],[Day]]&lt;32,5)))))</f>
        <v>2</v>
      </c>
      <c r="G1562" s="32" t="str">
        <f t="shared" si="88"/>
        <v>Week 2</v>
      </c>
      <c r="H1562" s="32" t="str">
        <f t="shared" si="89"/>
        <v>July 26 Week 2</v>
      </c>
      <c r="I1562" s="32" t="str">
        <f>CONCATENATE(UPPER(TableAopCalendar[[#This Row],[Month]])," ",TableAopCalendar[[#This Row],[Year]])</f>
        <v>JULY 26</v>
      </c>
      <c r="J1562" s="7" t="s">
        <v>274</v>
      </c>
      <c r="K1562" s="32" t="str">
        <f>CONCATENATE(TableAopCalendar[[#This Row],[Month for Plan]]," ",TableAopCalendar[[#This Row],[Plan]])</f>
        <v>JULY 26 PLANNED</v>
      </c>
    </row>
    <row r="1563" spans="1:11" x14ac:dyDescent="0.3">
      <c r="A1563" s="32">
        <f t="shared" si="87"/>
        <v>3</v>
      </c>
      <c r="B1563" s="33">
        <v>46213</v>
      </c>
      <c r="C1563" s="6" t="s">
        <v>267</v>
      </c>
      <c r="D1563" s="34">
        <v>26</v>
      </c>
      <c r="E1563" s="32">
        <f>DAY(TableAopCalendar[[#This Row],[Date]])</f>
        <v>10</v>
      </c>
      <c r="F1563" s="32">
        <f>IF(TableAopCalendar[[#This Row],[Day]]&lt;8,1,IF(TableAopCalendar[[#This Row],[Day]]&lt;15,2,IF(TableAopCalendar[[#This Row],[Day]]&lt;22,3,IF(TableAopCalendar[[#This Row],[Day]]&lt;29,4,IF(TableAopCalendar[[#This Row],[Day]]&lt;32,5)))))</f>
        <v>2</v>
      </c>
      <c r="G1563" s="32" t="str">
        <f t="shared" si="88"/>
        <v>Week 2</v>
      </c>
      <c r="H1563" s="32" t="str">
        <f t="shared" si="89"/>
        <v>July 26 Week 2</v>
      </c>
      <c r="I1563" s="32" t="str">
        <f>CONCATENATE(UPPER(TableAopCalendar[[#This Row],[Month]])," ",TableAopCalendar[[#This Row],[Year]])</f>
        <v>JULY 26</v>
      </c>
      <c r="J1563" s="7" t="s">
        <v>274</v>
      </c>
      <c r="K1563" s="32" t="str">
        <f>CONCATENATE(TableAopCalendar[[#This Row],[Month for Plan]]," ",TableAopCalendar[[#This Row],[Plan]])</f>
        <v>JULY 26 PLANNED</v>
      </c>
    </row>
    <row r="1564" spans="1:11" x14ac:dyDescent="0.3">
      <c r="A1564" s="32">
        <f t="shared" si="87"/>
        <v>4</v>
      </c>
      <c r="B1564" s="33">
        <v>46214</v>
      </c>
      <c r="C1564" s="6" t="s">
        <v>267</v>
      </c>
      <c r="D1564" s="34">
        <v>26</v>
      </c>
      <c r="E1564" s="32">
        <f>DAY(TableAopCalendar[[#This Row],[Date]])</f>
        <v>11</v>
      </c>
      <c r="F1564" s="32">
        <f>IF(TableAopCalendar[[#This Row],[Day]]&lt;8,1,IF(TableAopCalendar[[#This Row],[Day]]&lt;15,2,IF(TableAopCalendar[[#This Row],[Day]]&lt;22,3,IF(TableAopCalendar[[#This Row],[Day]]&lt;29,4,IF(TableAopCalendar[[#This Row],[Day]]&lt;32,5)))))</f>
        <v>2</v>
      </c>
      <c r="G1564" s="32" t="str">
        <f t="shared" si="88"/>
        <v>Week 2</v>
      </c>
      <c r="H1564" s="32" t="str">
        <f t="shared" si="89"/>
        <v>July 26 Week 2</v>
      </c>
      <c r="I1564" s="32" t="str">
        <f>CONCATENATE(UPPER(TableAopCalendar[[#This Row],[Month]])," ",TableAopCalendar[[#This Row],[Year]])</f>
        <v>JULY 26</v>
      </c>
      <c r="J1564" s="7" t="s">
        <v>274</v>
      </c>
      <c r="K1564" s="32" t="str">
        <f>CONCATENATE(TableAopCalendar[[#This Row],[Month for Plan]]," ",TableAopCalendar[[#This Row],[Plan]])</f>
        <v>JULY 26 PLANNED</v>
      </c>
    </row>
    <row r="1565" spans="1:11" x14ac:dyDescent="0.3">
      <c r="A1565" s="32">
        <f t="shared" si="87"/>
        <v>5</v>
      </c>
      <c r="B1565" s="33">
        <v>46215</v>
      </c>
      <c r="C1565" s="6" t="s">
        <v>267</v>
      </c>
      <c r="D1565" s="34">
        <v>26</v>
      </c>
      <c r="E1565" s="32">
        <f>DAY(TableAopCalendar[[#This Row],[Date]])</f>
        <v>12</v>
      </c>
      <c r="F1565" s="32">
        <f>IF(TableAopCalendar[[#This Row],[Day]]&lt;8,1,IF(TableAopCalendar[[#This Row],[Day]]&lt;15,2,IF(TableAopCalendar[[#This Row],[Day]]&lt;22,3,IF(TableAopCalendar[[#This Row],[Day]]&lt;29,4,IF(TableAopCalendar[[#This Row],[Day]]&lt;32,5)))))</f>
        <v>2</v>
      </c>
      <c r="G1565" s="32" t="str">
        <f t="shared" si="88"/>
        <v>Week 2</v>
      </c>
      <c r="H1565" s="32" t="str">
        <f t="shared" si="89"/>
        <v>July 26 Week 2</v>
      </c>
      <c r="I1565" s="32" t="str">
        <f>CONCATENATE(UPPER(TableAopCalendar[[#This Row],[Month]])," ",TableAopCalendar[[#This Row],[Year]])</f>
        <v>JULY 26</v>
      </c>
      <c r="J1565" s="7" t="s">
        <v>274</v>
      </c>
      <c r="K1565" s="32" t="str">
        <f>CONCATENATE(TableAopCalendar[[#This Row],[Month for Plan]]," ",TableAopCalendar[[#This Row],[Plan]])</f>
        <v>JULY 26 PLANNED</v>
      </c>
    </row>
    <row r="1566" spans="1:11" x14ac:dyDescent="0.3">
      <c r="A1566" s="32">
        <f t="shared" si="87"/>
        <v>6</v>
      </c>
      <c r="B1566" s="33">
        <v>46216</v>
      </c>
      <c r="C1566" s="6" t="s">
        <v>267</v>
      </c>
      <c r="D1566" s="34">
        <v>26</v>
      </c>
      <c r="E1566" s="32">
        <f>DAY(TableAopCalendar[[#This Row],[Date]])</f>
        <v>13</v>
      </c>
      <c r="F1566" s="32">
        <f>IF(TableAopCalendar[[#This Row],[Day]]&lt;8,1,IF(TableAopCalendar[[#This Row],[Day]]&lt;15,2,IF(TableAopCalendar[[#This Row],[Day]]&lt;22,3,IF(TableAopCalendar[[#This Row],[Day]]&lt;29,4,IF(TableAopCalendar[[#This Row],[Day]]&lt;32,5)))))</f>
        <v>2</v>
      </c>
      <c r="G1566" s="32" t="str">
        <f t="shared" si="88"/>
        <v>Week 2</v>
      </c>
      <c r="H1566" s="32" t="str">
        <f t="shared" si="89"/>
        <v>July 26 Week 2</v>
      </c>
      <c r="I1566" s="32" t="str">
        <f>CONCATENATE(UPPER(TableAopCalendar[[#This Row],[Month]])," ",TableAopCalendar[[#This Row],[Year]])</f>
        <v>JULY 26</v>
      </c>
      <c r="J1566" s="7" t="s">
        <v>274</v>
      </c>
      <c r="K1566" s="32" t="str">
        <f>CONCATENATE(TableAopCalendar[[#This Row],[Month for Plan]]," ",TableAopCalendar[[#This Row],[Plan]])</f>
        <v>JULY 26 PLANNED</v>
      </c>
    </row>
    <row r="1567" spans="1:11" x14ac:dyDescent="0.3">
      <c r="A1567" s="32">
        <f t="shared" si="87"/>
        <v>7</v>
      </c>
      <c r="B1567" s="33">
        <v>46217</v>
      </c>
      <c r="C1567" s="6" t="s">
        <v>267</v>
      </c>
      <c r="D1567" s="34">
        <v>26</v>
      </c>
      <c r="E1567" s="32">
        <f>DAY(TableAopCalendar[[#This Row],[Date]])</f>
        <v>14</v>
      </c>
      <c r="F1567" s="32">
        <f>IF(TableAopCalendar[[#This Row],[Day]]&lt;8,1,IF(TableAopCalendar[[#This Row],[Day]]&lt;15,2,IF(TableAopCalendar[[#This Row],[Day]]&lt;22,3,IF(TableAopCalendar[[#This Row],[Day]]&lt;29,4,IF(TableAopCalendar[[#This Row],[Day]]&lt;32,5)))))</f>
        <v>2</v>
      </c>
      <c r="G1567" s="32" t="str">
        <f t="shared" si="88"/>
        <v>Week 2</v>
      </c>
      <c r="H1567" s="32" t="str">
        <f t="shared" si="89"/>
        <v>July 26 Week 2</v>
      </c>
      <c r="I1567" s="32" t="str">
        <f>CONCATENATE(UPPER(TableAopCalendar[[#This Row],[Month]])," ",TableAopCalendar[[#This Row],[Year]])</f>
        <v>JULY 26</v>
      </c>
      <c r="J1567" s="7" t="s">
        <v>274</v>
      </c>
      <c r="K1567" s="32" t="str">
        <f>CONCATENATE(TableAopCalendar[[#This Row],[Month for Plan]]," ",TableAopCalendar[[#This Row],[Plan]])</f>
        <v>JULY 26 PLANNED</v>
      </c>
    </row>
    <row r="1568" spans="1:11" x14ac:dyDescent="0.3">
      <c r="A1568" s="32">
        <f t="shared" si="87"/>
        <v>1</v>
      </c>
      <c r="B1568" s="33">
        <v>46218</v>
      </c>
      <c r="C1568" s="6" t="s">
        <v>267</v>
      </c>
      <c r="D1568" s="34">
        <v>26</v>
      </c>
      <c r="E1568" s="32">
        <f>DAY(TableAopCalendar[[#This Row],[Date]])</f>
        <v>15</v>
      </c>
      <c r="F1568" s="32">
        <f>IF(TableAopCalendar[[#This Row],[Day]]&lt;8,1,IF(TableAopCalendar[[#This Row],[Day]]&lt;15,2,IF(TableAopCalendar[[#This Row],[Day]]&lt;22,3,IF(TableAopCalendar[[#This Row],[Day]]&lt;29,4,IF(TableAopCalendar[[#This Row],[Day]]&lt;32,5)))))</f>
        <v>3</v>
      </c>
      <c r="G1568" s="32" t="str">
        <f t="shared" si="88"/>
        <v>Week 3</v>
      </c>
      <c r="H1568" s="32" t="str">
        <f t="shared" si="89"/>
        <v>July 26 Week 3</v>
      </c>
      <c r="I1568" s="32" t="str">
        <f>CONCATENATE(UPPER(TableAopCalendar[[#This Row],[Month]])," ",TableAopCalendar[[#This Row],[Year]])</f>
        <v>JULY 26</v>
      </c>
      <c r="J1568" s="7" t="s">
        <v>274</v>
      </c>
      <c r="K1568" s="32" t="str">
        <f>CONCATENATE(TableAopCalendar[[#This Row],[Month for Plan]]," ",TableAopCalendar[[#This Row],[Plan]])</f>
        <v>JULY 26 PLANNED</v>
      </c>
    </row>
    <row r="1569" spans="1:11" x14ac:dyDescent="0.3">
      <c r="A1569" s="32">
        <f t="shared" si="87"/>
        <v>2</v>
      </c>
      <c r="B1569" s="33">
        <v>46219</v>
      </c>
      <c r="C1569" s="6" t="s">
        <v>267</v>
      </c>
      <c r="D1569" s="34">
        <v>26</v>
      </c>
      <c r="E1569" s="32">
        <f>DAY(TableAopCalendar[[#This Row],[Date]])</f>
        <v>16</v>
      </c>
      <c r="F1569" s="32">
        <f>IF(TableAopCalendar[[#This Row],[Day]]&lt;8,1,IF(TableAopCalendar[[#This Row],[Day]]&lt;15,2,IF(TableAopCalendar[[#This Row],[Day]]&lt;22,3,IF(TableAopCalendar[[#This Row],[Day]]&lt;29,4,IF(TableAopCalendar[[#This Row],[Day]]&lt;32,5)))))</f>
        <v>3</v>
      </c>
      <c r="G1569" s="32" t="str">
        <f t="shared" si="88"/>
        <v>Week 3</v>
      </c>
      <c r="H1569" s="32" t="str">
        <f t="shared" si="89"/>
        <v>July 26 Week 3</v>
      </c>
      <c r="I1569" s="32" t="str">
        <f>CONCATENATE(UPPER(TableAopCalendar[[#This Row],[Month]])," ",TableAopCalendar[[#This Row],[Year]])</f>
        <v>JULY 26</v>
      </c>
      <c r="J1569" s="7" t="s">
        <v>274</v>
      </c>
      <c r="K1569" s="32" t="str">
        <f>CONCATENATE(TableAopCalendar[[#This Row],[Month for Plan]]," ",TableAopCalendar[[#This Row],[Plan]])</f>
        <v>JULY 26 PLANNED</v>
      </c>
    </row>
    <row r="1570" spans="1:11" x14ac:dyDescent="0.3">
      <c r="A1570" s="32">
        <f t="shared" si="87"/>
        <v>3</v>
      </c>
      <c r="B1570" s="33">
        <v>46220</v>
      </c>
      <c r="C1570" s="6" t="s">
        <v>267</v>
      </c>
      <c r="D1570" s="34">
        <v>26</v>
      </c>
      <c r="E1570" s="32">
        <f>DAY(TableAopCalendar[[#This Row],[Date]])</f>
        <v>17</v>
      </c>
      <c r="F1570" s="32">
        <f>IF(TableAopCalendar[[#This Row],[Day]]&lt;8,1,IF(TableAopCalendar[[#This Row],[Day]]&lt;15,2,IF(TableAopCalendar[[#This Row],[Day]]&lt;22,3,IF(TableAopCalendar[[#This Row],[Day]]&lt;29,4,IF(TableAopCalendar[[#This Row],[Day]]&lt;32,5)))))</f>
        <v>3</v>
      </c>
      <c r="G1570" s="32" t="str">
        <f t="shared" si="88"/>
        <v>Week 3</v>
      </c>
      <c r="H1570" s="32" t="str">
        <f t="shared" si="89"/>
        <v>July 26 Week 3</v>
      </c>
      <c r="I1570" s="32" t="str">
        <f>CONCATENATE(UPPER(TableAopCalendar[[#This Row],[Month]])," ",TableAopCalendar[[#This Row],[Year]])</f>
        <v>JULY 26</v>
      </c>
      <c r="J1570" s="7" t="s">
        <v>274</v>
      </c>
      <c r="K1570" s="32" t="str">
        <f>CONCATENATE(TableAopCalendar[[#This Row],[Month for Plan]]," ",TableAopCalendar[[#This Row],[Plan]])</f>
        <v>JULY 26 PLANNED</v>
      </c>
    </row>
    <row r="1571" spans="1:11" x14ac:dyDescent="0.3">
      <c r="A1571" s="32">
        <f t="shared" si="87"/>
        <v>4</v>
      </c>
      <c r="B1571" s="33">
        <v>46221</v>
      </c>
      <c r="C1571" s="6" t="s">
        <v>267</v>
      </c>
      <c r="D1571" s="34">
        <v>26</v>
      </c>
      <c r="E1571" s="32">
        <f>DAY(TableAopCalendar[[#This Row],[Date]])</f>
        <v>18</v>
      </c>
      <c r="F1571" s="32">
        <f>IF(TableAopCalendar[[#This Row],[Day]]&lt;8,1,IF(TableAopCalendar[[#This Row],[Day]]&lt;15,2,IF(TableAopCalendar[[#This Row],[Day]]&lt;22,3,IF(TableAopCalendar[[#This Row],[Day]]&lt;29,4,IF(TableAopCalendar[[#This Row],[Day]]&lt;32,5)))))</f>
        <v>3</v>
      </c>
      <c r="G1571" s="32" t="str">
        <f t="shared" si="88"/>
        <v>Week 3</v>
      </c>
      <c r="H1571" s="32" t="str">
        <f t="shared" si="89"/>
        <v>July 26 Week 3</v>
      </c>
      <c r="I1571" s="32" t="str">
        <f>CONCATENATE(UPPER(TableAopCalendar[[#This Row],[Month]])," ",TableAopCalendar[[#This Row],[Year]])</f>
        <v>JULY 26</v>
      </c>
      <c r="J1571" s="7" t="s">
        <v>274</v>
      </c>
      <c r="K1571" s="32" t="str">
        <f>CONCATENATE(TableAopCalendar[[#This Row],[Month for Plan]]," ",TableAopCalendar[[#This Row],[Plan]])</f>
        <v>JULY 26 PLANNED</v>
      </c>
    </row>
    <row r="1572" spans="1:11" x14ac:dyDescent="0.3">
      <c r="A1572" s="32">
        <f t="shared" si="87"/>
        <v>5</v>
      </c>
      <c r="B1572" s="33">
        <v>46222</v>
      </c>
      <c r="C1572" s="6" t="s">
        <v>267</v>
      </c>
      <c r="D1572" s="34">
        <v>26</v>
      </c>
      <c r="E1572" s="32">
        <f>DAY(TableAopCalendar[[#This Row],[Date]])</f>
        <v>19</v>
      </c>
      <c r="F1572" s="32">
        <f>IF(TableAopCalendar[[#This Row],[Day]]&lt;8,1,IF(TableAopCalendar[[#This Row],[Day]]&lt;15,2,IF(TableAopCalendar[[#This Row],[Day]]&lt;22,3,IF(TableAopCalendar[[#This Row],[Day]]&lt;29,4,IF(TableAopCalendar[[#This Row],[Day]]&lt;32,5)))))</f>
        <v>3</v>
      </c>
      <c r="G1572" s="32" t="str">
        <f t="shared" si="88"/>
        <v>Week 3</v>
      </c>
      <c r="H1572" s="32" t="str">
        <f t="shared" si="89"/>
        <v>July 26 Week 3</v>
      </c>
      <c r="I1572" s="32" t="str">
        <f>CONCATENATE(UPPER(TableAopCalendar[[#This Row],[Month]])," ",TableAopCalendar[[#This Row],[Year]])</f>
        <v>JULY 26</v>
      </c>
      <c r="J1572" s="7" t="s">
        <v>274</v>
      </c>
      <c r="K1572" s="32" t="str">
        <f>CONCATENATE(TableAopCalendar[[#This Row],[Month for Plan]]," ",TableAopCalendar[[#This Row],[Plan]])</f>
        <v>JULY 26 PLANNED</v>
      </c>
    </row>
    <row r="1573" spans="1:11" x14ac:dyDescent="0.3">
      <c r="A1573" s="32">
        <f t="shared" si="87"/>
        <v>6</v>
      </c>
      <c r="B1573" s="33">
        <v>46223</v>
      </c>
      <c r="C1573" s="6" t="s">
        <v>267</v>
      </c>
      <c r="D1573" s="34">
        <v>26</v>
      </c>
      <c r="E1573" s="32">
        <f>DAY(TableAopCalendar[[#This Row],[Date]])</f>
        <v>20</v>
      </c>
      <c r="F1573" s="32">
        <f>IF(TableAopCalendar[[#This Row],[Day]]&lt;8,1,IF(TableAopCalendar[[#This Row],[Day]]&lt;15,2,IF(TableAopCalendar[[#This Row],[Day]]&lt;22,3,IF(TableAopCalendar[[#This Row],[Day]]&lt;29,4,IF(TableAopCalendar[[#This Row],[Day]]&lt;32,5)))))</f>
        <v>3</v>
      </c>
      <c r="G1573" s="32" t="str">
        <f t="shared" si="88"/>
        <v>Week 3</v>
      </c>
      <c r="H1573" s="32" t="str">
        <f t="shared" si="89"/>
        <v>July 26 Week 3</v>
      </c>
      <c r="I1573" s="32" t="str">
        <f>CONCATENATE(UPPER(TableAopCalendar[[#This Row],[Month]])," ",TableAopCalendar[[#This Row],[Year]])</f>
        <v>JULY 26</v>
      </c>
      <c r="J1573" s="7" t="s">
        <v>274</v>
      </c>
      <c r="K1573" s="32" t="str">
        <f>CONCATENATE(TableAopCalendar[[#This Row],[Month for Plan]]," ",TableAopCalendar[[#This Row],[Plan]])</f>
        <v>JULY 26 PLANNED</v>
      </c>
    </row>
    <row r="1574" spans="1:11" x14ac:dyDescent="0.3">
      <c r="A1574" s="32">
        <f t="shared" si="87"/>
        <v>7</v>
      </c>
      <c r="B1574" s="33">
        <v>46224</v>
      </c>
      <c r="C1574" s="6" t="s">
        <v>267</v>
      </c>
      <c r="D1574" s="34">
        <v>26</v>
      </c>
      <c r="E1574" s="32">
        <f>DAY(TableAopCalendar[[#This Row],[Date]])</f>
        <v>21</v>
      </c>
      <c r="F1574" s="32">
        <f>IF(TableAopCalendar[[#This Row],[Day]]&lt;8,1,IF(TableAopCalendar[[#This Row],[Day]]&lt;15,2,IF(TableAopCalendar[[#This Row],[Day]]&lt;22,3,IF(TableAopCalendar[[#This Row],[Day]]&lt;29,4,IF(TableAopCalendar[[#This Row],[Day]]&lt;32,5)))))</f>
        <v>3</v>
      </c>
      <c r="G1574" s="32" t="str">
        <f t="shared" si="88"/>
        <v>Week 3</v>
      </c>
      <c r="H1574" s="32" t="str">
        <f t="shared" si="89"/>
        <v>July 26 Week 3</v>
      </c>
      <c r="I1574" s="32" t="str">
        <f>CONCATENATE(UPPER(TableAopCalendar[[#This Row],[Month]])," ",TableAopCalendar[[#This Row],[Year]])</f>
        <v>JULY 26</v>
      </c>
      <c r="J1574" s="7" t="s">
        <v>274</v>
      </c>
      <c r="K1574" s="32" t="str">
        <f>CONCATENATE(TableAopCalendar[[#This Row],[Month for Plan]]," ",TableAopCalendar[[#This Row],[Plan]])</f>
        <v>JULY 26 PLANNED</v>
      </c>
    </row>
    <row r="1575" spans="1:11" x14ac:dyDescent="0.3">
      <c r="A1575" s="32">
        <f t="shared" si="87"/>
        <v>1</v>
      </c>
      <c r="B1575" s="33">
        <v>46225</v>
      </c>
      <c r="C1575" s="6" t="s">
        <v>267</v>
      </c>
      <c r="D1575" s="34">
        <v>26</v>
      </c>
      <c r="E1575" s="32">
        <f>DAY(TableAopCalendar[[#This Row],[Date]])</f>
        <v>22</v>
      </c>
      <c r="F1575" s="32">
        <f>IF(TableAopCalendar[[#This Row],[Day]]&lt;8,1,IF(TableAopCalendar[[#This Row],[Day]]&lt;15,2,IF(TableAopCalendar[[#This Row],[Day]]&lt;22,3,IF(TableAopCalendar[[#This Row],[Day]]&lt;29,4,IF(TableAopCalendar[[#This Row],[Day]]&lt;32,5)))))</f>
        <v>4</v>
      </c>
      <c r="G1575" s="32" t="str">
        <f t="shared" si="88"/>
        <v>Week 4</v>
      </c>
      <c r="H1575" s="32" t="str">
        <f t="shared" si="89"/>
        <v>July 26 Week 4</v>
      </c>
      <c r="I1575" s="32" t="str">
        <f>CONCATENATE(UPPER(TableAopCalendar[[#This Row],[Month]])," ",TableAopCalendar[[#This Row],[Year]])</f>
        <v>JULY 26</v>
      </c>
      <c r="J1575" s="7" t="s">
        <v>274</v>
      </c>
      <c r="K1575" s="32" t="str">
        <f>CONCATENATE(TableAopCalendar[[#This Row],[Month for Plan]]," ",TableAopCalendar[[#This Row],[Plan]])</f>
        <v>JULY 26 PLANNED</v>
      </c>
    </row>
    <row r="1576" spans="1:11" x14ac:dyDescent="0.3">
      <c r="A1576" s="32">
        <f t="shared" si="87"/>
        <v>2</v>
      </c>
      <c r="B1576" s="33">
        <v>46226</v>
      </c>
      <c r="C1576" s="6" t="s">
        <v>267</v>
      </c>
      <c r="D1576" s="34">
        <v>26</v>
      </c>
      <c r="E1576" s="32">
        <f>DAY(TableAopCalendar[[#This Row],[Date]])</f>
        <v>23</v>
      </c>
      <c r="F1576" s="32">
        <f>IF(TableAopCalendar[[#This Row],[Day]]&lt;8,1,IF(TableAopCalendar[[#This Row],[Day]]&lt;15,2,IF(TableAopCalendar[[#This Row],[Day]]&lt;22,3,IF(TableAopCalendar[[#This Row],[Day]]&lt;29,4,IF(TableAopCalendar[[#This Row],[Day]]&lt;32,5)))))</f>
        <v>4</v>
      </c>
      <c r="G1576" s="32" t="str">
        <f t="shared" si="88"/>
        <v>Week 4</v>
      </c>
      <c r="H1576" s="32" t="str">
        <f t="shared" si="89"/>
        <v>July 26 Week 4</v>
      </c>
      <c r="I1576" s="32" t="str">
        <f>CONCATENATE(UPPER(TableAopCalendar[[#This Row],[Month]])," ",TableAopCalendar[[#This Row],[Year]])</f>
        <v>JULY 26</v>
      </c>
      <c r="J1576" s="7" t="s">
        <v>274</v>
      </c>
      <c r="K1576" s="32" t="str">
        <f>CONCATENATE(TableAopCalendar[[#This Row],[Month for Plan]]," ",TableAopCalendar[[#This Row],[Plan]])</f>
        <v>JULY 26 PLANNED</v>
      </c>
    </row>
    <row r="1577" spans="1:11" x14ac:dyDescent="0.3">
      <c r="A1577" s="32">
        <f t="shared" si="87"/>
        <v>3</v>
      </c>
      <c r="B1577" s="33">
        <v>46227</v>
      </c>
      <c r="C1577" s="6" t="s">
        <v>267</v>
      </c>
      <c r="D1577" s="34">
        <v>26</v>
      </c>
      <c r="E1577" s="32">
        <f>DAY(TableAopCalendar[[#This Row],[Date]])</f>
        <v>24</v>
      </c>
      <c r="F1577" s="32">
        <f>IF(TableAopCalendar[[#This Row],[Day]]&lt;8,1,IF(TableAopCalendar[[#This Row],[Day]]&lt;15,2,IF(TableAopCalendar[[#This Row],[Day]]&lt;22,3,IF(TableAopCalendar[[#This Row],[Day]]&lt;29,4,IF(TableAopCalendar[[#This Row],[Day]]&lt;32,5)))))</f>
        <v>4</v>
      </c>
      <c r="G1577" s="32" t="str">
        <f t="shared" si="88"/>
        <v>Week 4</v>
      </c>
      <c r="H1577" s="32" t="str">
        <f t="shared" si="89"/>
        <v>July 26 Week 4</v>
      </c>
      <c r="I1577" s="32" t="str">
        <f>CONCATENATE(UPPER(TableAopCalendar[[#This Row],[Month]])," ",TableAopCalendar[[#This Row],[Year]])</f>
        <v>JULY 26</v>
      </c>
      <c r="J1577" s="7" t="s">
        <v>274</v>
      </c>
      <c r="K1577" s="32" t="str">
        <f>CONCATENATE(TableAopCalendar[[#This Row],[Month for Plan]]," ",TableAopCalendar[[#This Row],[Plan]])</f>
        <v>JULY 26 PLANNED</v>
      </c>
    </row>
    <row r="1578" spans="1:11" x14ac:dyDescent="0.3">
      <c r="A1578" s="32">
        <f t="shared" si="87"/>
        <v>4</v>
      </c>
      <c r="B1578" s="33">
        <v>46228</v>
      </c>
      <c r="C1578" s="6" t="s">
        <v>267</v>
      </c>
      <c r="D1578" s="34">
        <v>26</v>
      </c>
      <c r="E1578" s="32">
        <f>DAY(TableAopCalendar[[#This Row],[Date]])</f>
        <v>25</v>
      </c>
      <c r="F1578" s="32">
        <f>IF(TableAopCalendar[[#This Row],[Day]]&lt;8,1,IF(TableAopCalendar[[#This Row],[Day]]&lt;15,2,IF(TableAopCalendar[[#This Row],[Day]]&lt;22,3,IF(TableAopCalendar[[#This Row],[Day]]&lt;29,4,IF(TableAopCalendar[[#This Row],[Day]]&lt;32,5)))))</f>
        <v>4</v>
      </c>
      <c r="G1578" s="32" t="str">
        <f t="shared" si="88"/>
        <v>Week 4</v>
      </c>
      <c r="H1578" s="32" t="str">
        <f t="shared" si="89"/>
        <v>July 26 Week 4</v>
      </c>
      <c r="I1578" s="32" t="str">
        <f>CONCATENATE(UPPER(TableAopCalendar[[#This Row],[Month]])," ",TableAopCalendar[[#This Row],[Year]])</f>
        <v>JULY 26</v>
      </c>
      <c r="J1578" s="7" t="s">
        <v>274</v>
      </c>
      <c r="K1578" s="32" t="str">
        <f>CONCATENATE(TableAopCalendar[[#This Row],[Month for Plan]]," ",TableAopCalendar[[#This Row],[Plan]])</f>
        <v>JULY 26 PLANNED</v>
      </c>
    </row>
    <row r="1579" spans="1:11" x14ac:dyDescent="0.3">
      <c r="A1579" s="32">
        <f t="shared" si="87"/>
        <v>5</v>
      </c>
      <c r="B1579" s="33">
        <v>46229</v>
      </c>
      <c r="C1579" s="6" t="s">
        <v>267</v>
      </c>
      <c r="D1579" s="34">
        <v>26</v>
      </c>
      <c r="E1579" s="32">
        <f>DAY(TableAopCalendar[[#This Row],[Date]])</f>
        <v>26</v>
      </c>
      <c r="F1579" s="32">
        <f>IF(TableAopCalendar[[#This Row],[Day]]&lt;8,1,IF(TableAopCalendar[[#This Row],[Day]]&lt;15,2,IF(TableAopCalendar[[#This Row],[Day]]&lt;22,3,IF(TableAopCalendar[[#This Row],[Day]]&lt;29,4,IF(TableAopCalendar[[#This Row],[Day]]&lt;32,5)))))</f>
        <v>4</v>
      </c>
      <c r="G1579" s="32" t="str">
        <f t="shared" si="88"/>
        <v>Week 4</v>
      </c>
      <c r="H1579" s="32" t="str">
        <f t="shared" si="89"/>
        <v>July 26 Week 4</v>
      </c>
      <c r="I1579" s="32" t="str">
        <f>CONCATENATE(UPPER(TableAopCalendar[[#This Row],[Month]])," ",TableAopCalendar[[#This Row],[Year]])</f>
        <v>JULY 26</v>
      </c>
      <c r="J1579" s="7" t="s">
        <v>274</v>
      </c>
      <c r="K1579" s="32" t="str">
        <f>CONCATENATE(TableAopCalendar[[#This Row],[Month for Plan]]," ",TableAopCalendar[[#This Row],[Plan]])</f>
        <v>JULY 26 PLANNED</v>
      </c>
    </row>
    <row r="1580" spans="1:11" x14ac:dyDescent="0.3">
      <c r="A1580" s="32">
        <f t="shared" si="87"/>
        <v>6</v>
      </c>
      <c r="B1580" s="33">
        <v>46230</v>
      </c>
      <c r="C1580" s="6" t="s">
        <v>267</v>
      </c>
      <c r="D1580" s="34">
        <v>26</v>
      </c>
      <c r="E1580" s="32">
        <f>DAY(TableAopCalendar[[#This Row],[Date]])</f>
        <v>27</v>
      </c>
      <c r="F1580" s="32">
        <f>IF(TableAopCalendar[[#This Row],[Day]]&lt;8,1,IF(TableAopCalendar[[#This Row],[Day]]&lt;15,2,IF(TableAopCalendar[[#This Row],[Day]]&lt;22,3,IF(TableAopCalendar[[#This Row],[Day]]&lt;29,4,IF(TableAopCalendar[[#This Row],[Day]]&lt;32,5)))))</f>
        <v>4</v>
      </c>
      <c r="G1580" s="32" t="str">
        <f t="shared" si="88"/>
        <v>Week 4</v>
      </c>
      <c r="H1580" s="32" t="str">
        <f t="shared" si="89"/>
        <v>July 26 Week 4</v>
      </c>
      <c r="I1580" s="32" t="str">
        <f>CONCATENATE(UPPER(TableAopCalendar[[#This Row],[Month]])," ",TableAopCalendar[[#This Row],[Year]])</f>
        <v>JULY 26</v>
      </c>
      <c r="J1580" s="7" t="s">
        <v>274</v>
      </c>
      <c r="K1580" s="32" t="str">
        <f>CONCATENATE(TableAopCalendar[[#This Row],[Month for Plan]]," ",TableAopCalendar[[#This Row],[Plan]])</f>
        <v>JULY 26 PLANNED</v>
      </c>
    </row>
    <row r="1581" spans="1:11" x14ac:dyDescent="0.3">
      <c r="A1581" s="32">
        <f t="shared" si="87"/>
        <v>7</v>
      </c>
      <c r="B1581" s="33">
        <v>46231</v>
      </c>
      <c r="C1581" s="6" t="s">
        <v>267</v>
      </c>
      <c r="D1581" s="34">
        <v>26</v>
      </c>
      <c r="E1581" s="32">
        <f>DAY(TableAopCalendar[[#This Row],[Date]])</f>
        <v>28</v>
      </c>
      <c r="F1581" s="32">
        <f>IF(TableAopCalendar[[#This Row],[Day]]&lt;8,1,IF(TableAopCalendar[[#This Row],[Day]]&lt;15,2,IF(TableAopCalendar[[#This Row],[Day]]&lt;22,3,IF(TableAopCalendar[[#This Row],[Day]]&lt;29,4,IF(TableAopCalendar[[#This Row],[Day]]&lt;32,5)))))</f>
        <v>4</v>
      </c>
      <c r="G1581" s="32" t="str">
        <f t="shared" si="88"/>
        <v>Week 4</v>
      </c>
      <c r="H1581" s="32" t="str">
        <f t="shared" si="89"/>
        <v>July 26 Week 4</v>
      </c>
      <c r="I1581" s="32" t="str">
        <f>CONCATENATE(UPPER(TableAopCalendar[[#This Row],[Month]])," ",TableAopCalendar[[#This Row],[Year]])</f>
        <v>JULY 26</v>
      </c>
      <c r="J1581" s="7" t="s">
        <v>274</v>
      </c>
      <c r="K1581" s="32" t="str">
        <f>CONCATENATE(TableAopCalendar[[#This Row],[Month for Plan]]," ",TableAopCalendar[[#This Row],[Plan]])</f>
        <v>JULY 26 PLANNED</v>
      </c>
    </row>
    <row r="1582" spans="1:11" x14ac:dyDescent="0.3">
      <c r="A1582" s="32">
        <f t="shared" si="87"/>
        <v>1</v>
      </c>
      <c r="B1582" s="33">
        <v>46232</v>
      </c>
      <c r="C1582" s="6" t="s">
        <v>267</v>
      </c>
      <c r="D1582" s="34">
        <v>26</v>
      </c>
      <c r="E1582" s="32">
        <f>DAY(TableAopCalendar[[#This Row],[Date]])</f>
        <v>29</v>
      </c>
      <c r="F1582" s="32">
        <f>IF(TableAopCalendar[[#This Row],[Day]]&lt;8,1,IF(TableAopCalendar[[#This Row],[Day]]&lt;15,2,IF(TableAopCalendar[[#This Row],[Day]]&lt;22,3,IF(TableAopCalendar[[#This Row],[Day]]&lt;29,4,IF(TableAopCalendar[[#This Row],[Day]]&lt;32,5)))))</f>
        <v>5</v>
      </c>
      <c r="G1582" s="32" t="str">
        <f t="shared" si="88"/>
        <v>Week 5</v>
      </c>
      <c r="H1582" s="32" t="str">
        <f t="shared" si="89"/>
        <v>July 26 Week 5</v>
      </c>
      <c r="I1582" s="32" t="str">
        <f>CONCATENATE(UPPER(TableAopCalendar[[#This Row],[Month]])," ",TableAopCalendar[[#This Row],[Year]])</f>
        <v>JULY 26</v>
      </c>
      <c r="J1582" s="7" t="s">
        <v>274</v>
      </c>
      <c r="K1582" s="32" t="str">
        <f>CONCATENATE(TableAopCalendar[[#This Row],[Month for Plan]]," ",TableAopCalendar[[#This Row],[Plan]])</f>
        <v>JULY 26 PLANNED</v>
      </c>
    </row>
    <row r="1583" spans="1:11" x14ac:dyDescent="0.3">
      <c r="A1583" s="32">
        <f t="shared" si="87"/>
        <v>2</v>
      </c>
      <c r="B1583" s="33">
        <v>46233</v>
      </c>
      <c r="C1583" s="6" t="s">
        <v>267</v>
      </c>
      <c r="D1583" s="34">
        <v>26</v>
      </c>
      <c r="E1583" s="32">
        <f>DAY(TableAopCalendar[[#This Row],[Date]])</f>
        <v>30</v>
      </c>
      <c r="F1583" s="32">
        <f>IF(TableAopCalendar[[#This Row],[Day]]&lt;8,1,IF(TableAopCalendar[[#This Row],[Day]]&lt;15,2,IF(TableAopCalendar[[#This Row],[Day]]&lt;22,3,IF(TableAopCalendar[[#This Row],[Day]]&lt;29,4,IF(TableAopCalendar[[#This Row],[Day]]&lt;32,5)))))</f>
        <v>5</v>
      </c>
      <c r="G1583" s="32" t="str">
        <f t="shared" si="88"/>
        <v>Week 5</v>
      </c>
      <c r="H1583" s="32" t="str">
        <f t="shared" si="89"/>
        <v>July 26 Week 5</v>
      </c>
      <c r="I1583" s="32" t="str">
        <f>CONCATENATE(UPPER(TableAopCalendar[[#This Row],[Month]])," ",TableAopCalendar[[#This Row],[Year]])</f>
        <v>JULY 26</v>
      </c>
      <c r="J1583" s="7" t="s">
        <v>274</v>
      </c>
      <c r="K1583" s="32" t="str">
        <f>CONCATENATE(TableAopCalendar[[#This Row],[Month for Plan]]," ",TableAopCalendar[[#This Row],[Plan]])</f>
        <v>JULY 26 PLANNED</v>
      </c>
    </row>
    <row r="1584" spans="1:11" x14ac:dyDescent="0.3">
      <c r="A1584" s="32">
        <f t="shared" si="87"/>
        <v>3</v>
      </c>
      <c r="B1584" s="33">
        <v>46234</v>
      </c>
      <c r="C1584" s="6" t="s">
        <v>267</v>
      </c>
      <c r="D1584" s="34">
        <v>26</v>
      </c>
      <c r="E1584" s="32">
        <f>DAY(TableAopCalendar[[#This Row],[Date]])</f>
        <v>31</v>
      </c>
      <c r="F1584" s="32">
        <f>IF(TableAopCalendar[[#This Row],[Day]]&lt;8,1,IF(TableAopCalendar[[#This Row],[Day]]&lt;15,2,IF(TableAopCalendar[[#This Row],[Day]]&lt;22,3,IF(TableAopCalendar[[#This Row],[Day]]&lt;29,4,IF(TableAopCalendar[[#This Row],[Day]]&lt;32,5)))))</f>
        <v>5</v>
      </c>
      <c r="G1584" s="32" t="str">
        <f t="shared" si="88"/>
        <v>Week 5</v>
      </c>
      <c r="H1584" s="32" t="str">
        <f t="shared" si="89"/>
        <v>July 26 Week 5</v>
      </c>
      <c r="I1584" s="32" t="str">
        <f>CONCATENATE(UPPER(TableAopCalendar[[#This Row],[Month]])," ",TableAopCalendar[[#This Row],[Year]])</f>
        <v>JULY 26</v>
      </c>
      <c r="J1584" s="7" t="s">
        <v>274</v>
      </c>
      <c r="K1584" s="32" t="str">
        <f>CONCATENATE(TableAopCalendar[[#This Row],[Month for Plan]]," ",TableAopCalendar[[#This Row],[Plan]])</f>
        <v>JULY 26 PLANNED</v>
      </c>
    </row>
    <row r="1585" spans="1:11" x14ac:dyDescent="0.3">
      <c r="A1585" s="32">
        <f t="shared" si="87"/>
        <v>1</v>
      </c>
      <c r="B1585" s="33">
        <v>46235</v>
      </c>
      <c r="C1585" s="6" t="s">
        <v>268</v>
      </c>
      <c r="D1585" s="34">
        <v>26</v>
      </c>
      <c r="E1585" s="32">
        <f>DAY(TableAopCalendar[[#This Row],[Date]])</f>
        <v>1</v>
      </c>
      <c r="F1585" s="32">
        <f>IF(TableAopCalendar[[#This Row],[Day]]&lt;8,1,IF(TableAopCalendar[[#This Row],[Day]]&lt;15,2,IF(TableAopCalendar[[#This Row],[Day]]&lt;22,3,IF(TableAopCalendar[[#This Row],[Day]]&lt;29,4,IF(TableAopCalendar[[#This Row],[Day]]&lt;32,5)))))</f>
        <v>1</v>
      </c>
      <c r="G1585" s="32" t="str">
        <f t="shared" si="88"/>
        <v>Week 1</v>
      </c>
      <c r="H1585" s="32" t="str">
        <f t="shared" si="89"/>
        <v>August 26 Week 1</v>
      </c>
      <c r="I1585" s="32" t="str">
        <f>CONCATENATE(UPPER(TableAopCalendar[[#This Row],[Month]])," ",TableAopCalendar[[#This Row],[Year]])</f>
        <v>AUGUST 26</v>
      </c>
      <c r="J1585" s="7" t="s">
        <v>274</v>
      </c>
      <c r="K1585" s="32" t="str">
        <f>CONCATENATE(TableAopCalendar[[#This Row],[Month for Plan]]," ",TableAopCalendar[[#This Row],[Plan]])</f>
        <v>AUGUST 26 PLANNED</v>
      </c>
    </row>
    <row r="1586" spans="1:11" x14ac:dyDescent="0.3">
      <c r="A1586" s="32">
        <f t="shared" si="87"/>
        <v>2</v>
      </c>
      <c r="B1586" s="33">
        <v>46236</v>
      </c>
      <c r="C1586" s="6" t="s">
        <v>268</v>
      </c>
      <c r="D1586" s="34">
        <v>26</v>
      </c>
      <c r="E1586" s="32">
        <f>DAY(TableAopCalendar[[#This Row],[Date]])</f>
        <v>2</v>
      </c>
      <c r="F1586" s="32">
        <f>IF(TableAopCalendar[[#This Row],[Day]]&lt;8,1,IF(TableAopCalendar[[#This Row],[Day]]&lt;15,2,IF(TableAopCalendar[[#This Row],[Day]]&lt;22,3,IF(TableAopCalendar[[#This Row],[Day]]&lt;29,4,IF(TableAopCalendar[[#This Row],[Day]]&lt;32,5)))))</f>
        <v>1</v>
      </c>
      <c r="G1586" s="32" t="str">
        <f t="shared" si="88"/>
        <v>Week 1</v>
      </c>
      <c r="H1586" s="32" t="str">
        <f t="shared" si="89"/>
        <v>August 26 Week 1</v>
      </c>
      <c r="I1586" s="32" t="str">
        <f>CONCATENATE(UPPER(TableAopCalendar[[#This Row],[Month]])," ",TableAopCalendar[[#This Row],[Year]])</f>
        <v>AUGUST 26</v>
      </c>
      <c r="J1586" s="7" t="s">
        <v>274</v>
      </c>
      <c r="K1586" s="32" t="str">
        <f>CONCATENATE(TableAopCalendar[[#This Row],[Month for Plan]]," ",TableAopCalendar[[#This Row],[Plan]])</f>
        <v>AUGUST 26 PLANNED</v>
      </c>
    </row>
    <row r="1587" spans="1:11" x14ac:dyDescent="0.3">
      <c r="A1587" s="32">
        <f t="shared" si="87"/>
        <v>3</v>
      </c>
      <c r="B1587" s="33">
        <v>46237</v>
      </c>
      <c r="C1587" s="6" t="s">
        <v>268</v>
      </c>
      <c r="D1587" s="34">
        <v>26</v>
      </c>
      <c r="E1587" s="32">
        <f>DAY(TableAopCalendar[[#This Row],[Date]])</f>
        <v>3</v>
      </c>
      <c r="F1587" s="32">
        <f>IF(TableAopCalendar[[#This Row],[Day]]&lt;8,1,IF(TableAopCalendar[[#This Row],[Day]]&lt;15,2,IF(TableAopCalendar[[#This Row],[Day]]&lt;22,3,IF(TableAopCalendar[[#This Row],[Day]]&lt;29,4,IF(TableAopCalendar[[#This Row],[Day]]&lt;32,5)))))</f>
        <v>1</v>
      </c>
      <c r="G1587" s="32" t="str">
        <f t="shared" si="88"/>
        <v>Week 1</v>
      </c>
      <c r="H1587" s="32" t="str">
        <f t="shared" si="89"/>
        <v>August 26 Week 1</v>
      </c>
      <c r="I1587" s="32" t="str">
        <f>CONCATENATE(UPPER(TableAopCalendar[[#This Row],[Month]])," ",TableAopCalendar[[#This Row],[Year]])</f>
        <v>AUGUST 26</v>
      </c>
      <c r="J1587" s="7" t="s">
        <v>274</v>
      </c>
      <c r="K1587" s="32" t="str">
        <f>CONCATENATE(TableAopCalendar[[#This Row],[Month for Plan]]," ",TableAopCalendar[[#This Row],[Plan]])</f>
        <v>AUGUST 26 PLANNED</v>
      </c>
    </row>
    <row r="1588" spans="1:11" x14ac:dyDescent="0.3">
      <c r="A1588" s="32">
        <f t="shared" si="87"/>
        <v>4</v>
      </c>
      <c r="B1588" s="33">
        <v>46238</v>
      </c>
      <c r="C1588" s="6" t="s">
        <v>268</v>
      </c>
      <c r="D1588" s="34">
        <v>26</v>
      </c>
      <c r="E1588" s="32">
        <f>DAY(TableAopCalendar[[#This Row],[Date]])</f>
        <v>4</v>
      </c>
      <c r="F1588" s="32">
        <f>IF(TableAopCalendar[[#This Row],[Day]]&lt;8,1,IF(TableAopCalendar[[#This Row],[Day]]&lt;15,2,IF(TableAopCalendar[[#This Row],[Day]]&lt;22,3,IF(TableAopCalendar[[#This Row],[Day]]&lt;29,4,IF(TableAopCalendar[[#This Row],[Day]]&lt;32,5)))))</f>
        <v>1</v>
      </c>
      <c r="G1588" s="32" t="str">
        <f t="shared" si="88"/>
        <v>Week 1</v>
      </c>
      <c r="H1588" s="32" t="str">
        <f t="shared" si="89"/>
        <v>August 26 Week 1</v>
      </c>
      <c r="I1588" s="32" t="str">
        <f>CONCATENATE(UPPER(TableAopCalendar[[#This Row],[Month]])," ",TableAopCalendar[[#This Row],[Year]])</f>
        <v>AUGUST 26</v>
      </c>
      <c r="J1588" s="7" t="s">
        <v>274</v>
      </c>
      <c r="K1588" s="32" t="str">
        <f>CONCATENATE(TableAopCalendar[[#This Row],[Month for Plan]]," ",TableAopCalendar[[#This Row],[Plan]])</f>
        <v>AUGUST 26 PLANNED</v>
      </c>
    </row>
    <row r="1589" spans="1:11" x14ac:dyDescent="0.3">
      <c r="A1589" s="32">
        <f t="shared" si="87"/>
        <v>5</v>
      </c>
      <c r="B1589" s="33">
        <v>46239</v>
      </c>
      <c r="C1589" s="6" t="s">
        <v>268</v>
      </c>
      <c r="D1589" s="34">
        <v>26</v>
      </c>
      <c r="E1589" s="32">
        <f>DAY(TableAopCalendar[[#This Row],[Date]])</f>
        <v>5</v>
      </c>
      <c r="F1589" s="32">
        <f>IF(TableAopCalendar[[#This Row],[Day]]&lt;8,1,IF(TableAopCalendar[[#This Row],[Day]]&lt;15,2,IF(TableAopCalendar[[#This Row],[Day]]&lt;22,3,IF(TableAopCalendar[[#This Row],[Day]]&lt;29,4,IF(TableAopCalendar[[#This Row],[Day]]&lt;32,5)))))</f>
        <v>1</v>
      </c>
      <c r="G1589" s="32" t="str">
        <f t="shared" si="88"/>
        <v>Week 1</v>
      </c>
      <c r="H1589" s="32" t="str">
        <f t="shared" si="89"/>
        <v>August 26 Week 1</v>
      </c>
      <c r="I1589" s="32" t="str">
        <f>CONCATENATE(UPPER(TableAopCalendar[[#This Row],[Month]])," ",TableAopCalendar[[#This Row],[Year]])</f>
        <v>AUGUST 26</v>
      </c>
      <c r="J1589" s="7" t="s">
        <v>274</v>
      </c>
      <c r="K1589" s="32" t="str">
        <f>CONCATENATE(TableAopCalendar[[#This Row],[Month for Plan]]," ",TableAopCalendar[[#This Row],[Plan]])</f>
        <v>AUGUST 26 PLANNED</v>
      </c>
    </row>
    <row r="1590" spans="1:11" x14ac:dyDescent="0.3">
      <c r="A1590" s="32">
        <f t="shared" si="87"/>
        <v>6</v>
      </c>
      <c r="B1590" s="33">
        <v>46240</v>
      </c>
      <c r="C1590" s="6" t="s">
        <v>268</v>
      </c>
      <c r="D1590" s="34">
        <v>26</v>
      </c>
      <c r="E1590" s="32">
        <f>DAY(TableAopCalendar[[#This Row],[Date]])</f>
        <v>6</v>
      </c>
      <c r="F1590" s="32">
        <f>IF(TableAopCalendar[[#This Row],[Day]]&lt;8,1,IF(TableAopCalendar[[#This Row],[Day]]&lt;15,2,IF(TableAopCalendar[[#This Row],[Day]]&lt;22,3,IF(TableAopCalendar[[#This Row],[Day]]&lt;29,4,IF(TableAopCalendar[[#This Row],[Day]]&lt;32,5)))))</f>
        <v>1</v>
      </c>
      <c r="G1590" s="32" t="str">
        <f t="shared" si="88"/>
        <v>Week 1</v>
      </c>
      <c r="H1590" s="32" t="str">
        <f t="shared" si="89"/>
        <v>August 26 Week 1</v>
      </c>
      <c r="I1590" s="32" t="str">
        <f>CONCATENATE(UPPER(TableAopCalendar[[#This Row],[Month]])," ",TableAopCalendar[[#This Row],[Year]])</f>
        <v>AUGUST 26</v>
      </c>
      <c r="J1590" s="7" t="s">
        <v>274</v>
      </c>
      <c r="K1590" s="32" t="str">
        <f>CONCATENATE(TableAopCalendar[[#This Row],[Month for Plan]]," ",TableAopCalendar[[#This Row],[Plan]])</f>
        <v>AUGUST 26 PLANNED</v>
      </c>
    </row>
    <row r="1591" spans="1:11" x14ac:dyDescent="0.3">
      <c r="A1591" s="32">
        <f t="shared" si="87"/>
        <v>7</v>
      </c>
      <c r="B1591" s="33">
        <v>46241</v>
      </c>
      <c r="C1591" s="6" t="s">
        <v>268</v>
      </c>
      <c r="D1591" s="34">
        <v>26</v>
      </c>
      <c r="E1591" s="32">
        <f>DAY(TableAopCalendar[[#This Row],[Date]])</f>
        <v>7</v>
      </c>
      <c r="F1591" s="32">
        <f>IF(TableAopCalendar[[#This Row],[Day]]&lt;8,1,IF(TableAopCalendar[[#This Row],[Day]]&lt;15,2,IF(TableAopCalendar[[#This Row],[Day]]&lt;22,3,IF(TableAopCalendar[[#This Row],[Day]]&lt;29,4,IF(TableAopCalendar[[#This Row],[Day]]&lt;32,5)))))</f>
        <v>1</v>
      </c>
      <c r="G1591" s="32" t="str">
        <f t="shared" si="88"/>
        <v>Week 1</v>
      </c>
      <c r="H1591" s="32" t="str">
        <f t="shared" si="89"/>
        <v>August 26 Week 1</v>
      </c>
      <c r="I1591" s="32" t="str">
        <f>CONCATENATE(UPPER(TableAopCalendar[[#This Row],[Month]])," ",TableAopCalendar[[#This Row],[Year]])</f>
        <v>AUGUST 26</v>
      </c>
      <c r="J1591" s="7" t="s">
        <v>274</v>
      </c>
      <c r="K1591" s="32" t="str">
        <f>CONCATENATE(TableAopCalendar[[#This Row],[Month for Plan]]," ",TableAopCalendar[[#This Row],[Plan]])</f>
        <v>AUGUST 26 PLANNED</v>
      </c>
    </row>
    <row r="1592" spans="1:11" x14ac:dyDescent="0.3">
      <c r="A1592" s="32">
        <f t="shared" si="87"/>
        <v>1</v>
      </c>
      <c r="B1592" s="33">
        <v>46242</v>
      </c>
      <c r="C1592" s="6" t="s">
        <v>268</v>
      </c>
      <c r="D1592" s="34">
        <v>26</v>
      </c>
      <c r="E1592" s="32">
        <f>DAY(TableAopCalendar[[#This Row],[Date]])</f>
        <v>8</v>
      </c>
      <c r="F1592" s="32">
        <f>IF(TableAopCalendar[[#This Row],[Day]]&lt;8,1,IF(TableAopCalendar[[#This Row],[Day]]&lt;15,2,IF(TableAopCalendar[[#This Row],[Day]]&lt;22,3,IF(TableAopCalendar[[#This Row],[Day]]&lt;29,4,IF(TableAopCalendar[[#This Row],[Day]]&lt;32,5)))))</f>
        <v>2</v>
      </c>
      <c r="G1592" s="32" t="str">
        <f t="shared" si="88"/>
        <v>Week 2</v>
      </c>
      <c r="H1592" s="32" t="str">
        <f t="shared" si="89"/>
        <v>August 26 Week 2</v>
      </c>
      <c r="I1592" s="32" t="str">
        <f>CONCATENATE(UPPER(TableAopCalendar[[#This Row],[Month]])," ",TableAopCalendar[[#This Row],[Year]])</f>
        <v>AUGUST 26</v>
      </c>
      <c r="J1592" s="7" t="s">
        <v>274</v>
      </c>
      <c r="K1592" s="32" t="str">
        <f>CONCATENATE(TableAopCalendar[[#This Row],[Month for Plan]]," ",TableAopCalendar[[#This Row],[Plan]])</f>
        <v>AUGUST 26 PLANNED</v>
      </c>
    </row>
    <row r="1593" spans="1:11" x14ac:dyDescent="0.3">
      <c r="A1593" s="32">
        <f t="shared" si="87"/>
        <v>2</v>
      </c>
      <c r="B1593" s="33">
        <v>46243</v>
      </c>
      <c r="C1593" s="6" t="s">
        <v>268</v>
      </c>
      <c r="D1593" s="34">
        <v>26</v>
      </c>
      <c r="E1593" s="32">
        <f>DAY(TableAopCalendar[[#This Row],[Date]])</f>
        <v>9</v>
      </c>
      <c r="F1593" s="32">
        <f>IF(TableAopCalendar[[#This Row],[Day]]&lt;8,1,IF(TableAopCalendar[[#This Row],[Day]]&lt;15,2,IF(TableAopCalendar[[#This Row],[Day]]&lt;22,3,IF(TableAopCalendar[[#This Row],[Day]]&lt;29,4,IF(TableAopCalendar[[#This Row],[Day]]&lt;32,5)))))</f>
        <v>2</v>
      </c>
      <c r="G1593" s="32" t="str">
        <f t="shared" si="88"/>
        <v>Week 2</v>
      </c>
      <c r="H1593" s="32" t="str">
        <f t="shared" si="89"/>
        <v>August 26 Week 2</v>
      </c>
      <c r="I1593" s="32" t="str">
        <f>CONCATENATE(UPPER(TableAopCalendar[[#This Row],[Month]])," ",TableAopCalendar[[#This Row],[Year]])</f>
        <v>AUGUST 26</v>
      </c>
      <c r="J1593" s="7" t="s">
        <v>274</v>
      </c>
      <c r="K1593" s="32" t="str">
        <f>CONCATENATE(TableAopCalendar[[#This Row],[Month for Plan]]," ",TableAopCalendar[[#This Row],[Plan]])</f>
        <v>AUGUST 26 PLANNED</v>
      </c>
    </row>
    <row r="1594" spans="1:11" x14ac:dyDescent="0.3">
      <c r="A1594" s="32">
        <f t="shared" si="87"/>
        <v>3</v>
      </c>
      <c r="B1594" s="33">
        <v>46244</v>
      </c>
      <c r="C1594" s="6" t="s">
        <v>268</v>
      </c>
      <c r="D1594" s="34">
        <v>26</v>
      </c>
      <c r="E1594" s="32">
        <f>DAY(TableAopCalendar[[#This Row],[Date]])</f>
        <v>10</v>
      </c>
      <c r="F1594" s="32">
        <f>IF(TableAopCalendar[[#This Row],[Day]]&lt;8,1,IF(TableAopCalendar[[#This Row],[Day]]&lt;15,2,IF(TableAopCalendar[[#This Row],[Day]]&lt;22,3,IF(TableAopCalendar[[#This Row],[Day]]&lt;29,4,IF(TableAopCalendar[[#This Row],[Day]]&lt;32,5)))))</f>
        <v>2</v>
      </c>
      <c r="G1594" s="32" t="str">
        <f t="shared" si="88"/>
        <v>Week 2</v>
      </c>
      <c r="H1594" s="32" t="str">
        <f t="shared" si="89"/>
        <v>August 26 Week 2</v>
      </c>
      <c r="I1594" s="32" t="str">
        <f>CONCATENATE(UPPER(TableAopCalendar[[#This Row],[Month]])," ",TableAopCalendar[[#This Row],[Year]])</f>
        <v>AUGUST 26</v>
      </c>
      <c r="J1594" s="7" t="s">
        <v>274</v>
      </c>
      <c r="K1594" s="32" t="str">
        <f>CONCATENATE(TableAopCalendar[[#This Row],[Month for Plan]]," ",TableAopCalendar[[#This Row],[Plan]])</f>
        <v>AUGUST 26 PLANNED</v>
      </c>
    </row>
    <row r="1595" spans="1:11" x14ac:dyDescent="0.3">
      <c r="A1595" s="32">
        <f t="shared" si="87"/>
        <v>4</v>
      </c>
      <c r="B1595" s="33">
        <v>46245</v>
      </c>
      <c r="C1595" s="6" t="s">
        <v>268</v>
      </c>
      <c r="D1595" s="34">
        <v>26</v>
      </c>
      <c r="E1595" s="32">
        <f>DAY(TableAopCalendar[[#This Row],[Date]])</f>
        <v>11</v>
      </c>
      <c r="F1595" s="32">
        <f>IF(TableAopCalendar[[#This Row],[Day]]&lt;8,1,IF(TableAopCalendar[[#This Row],[Day]]&lt;15,2,IF(TableAopCalendar[[#This Row],[Day]]&lt;22,3,IF(TableAopCalendar[[#This Row],[Day]]&lt;29,4,IF(TableAopCalendar[[#This Row],[Day]]&lt;32,5)))))</f>
        <v>2</v>
      </c>
      <c r="G1595" s="32" t="str">
        <f t="shared" si="88"/>
        <v>Week 2</v>
      </c>
      <c r="H1595" s="32" t="str">
        <f t="shared" si="89"/>
        <v>August 26 Week 2</v>
      </c>
      <c r="I1595" s="32" t="str">
        <f>CONCATENATE(UPPER(TableAopCalendar[[#This Row],[Month]])," ",TableAopCalendar[[#This Row],[Year]])</f>
        <v>AUGUST 26</v>
      </c>
      <c r="J1595" s="7" t="s">
        <v>274</v>
      </c>
      <c r="K1595" s="32" t="str">
        <f>CONCATENATE(TableAopCalendar[[#This Row],[Month for Plan]]," ",TableAopCalendar[[#This Row],[Plan]])</f>
        <v>AUGUST 26 PLANNED</v>
      </c>
    </row>
    <row r="1596" spans="1:11" x14ac:dyDescent="0.3">
      <c r="A1596" s="32">
        <f t="shared" si="87"/>
        <v>5</v>
      </c>
      <c r="B1596" s="33">
        <v>46246</v>
      </c>
      <c r="C1596" s="6" t="s">
        <v>268</v>
      </c>
      <c r="D1596" s="34">
        <v>26</v>
      </c>
      <c r="E1596" s="32">
        <f>DAY(TableAopCalendar[[#This Row],[Date]])</f>
        <v>12</v>
      </c>
      <c r="F1596" s="32">
        <f>IF(TableAopCalendar[[#This Row],[Day]]&lt;8,1,IF(TableAopCalendar[[#This Row],[Day]]&lt;15,2,IF(TableAopCalendar[[#This Row],[Day]]&lt;22,3,IF(TableAopCalendar[[#This Row],[Day]]&lt;29,4,IF(TableAopCalendar[[#This Row],[Day]]&lt;32,5)))))</f>
        <v>2</v>
      </c>
      <c r="G1596" s="32" t="str">
        <f t="shared" si="88"/>
        <v>Week 2</v>
      </c>
      <c r="H1596" s="32" t="str">
        <f t="shared" si="89"/>
        <v>August 26 Week 2</v>
      </c>
      <c r="I1596" s="32" t="str">
        <f>CONCATENATE(UPPER(TableAopCalendar[[#This Row],[Month]])," ",TableAopCalendar[[#This Row],[Year]])</f>
        <v>AUGUST 26</v>
      </c>
      <c r="J1596" s="7" t="s">
        <v>274</v>
      </c>
      <c r="K1596" s="32" t="str">
        <f>CONCATENATE(TableAopCalendar[[#This Row],[Month for Plan]]," ",TableAopCalendar[[#This Row],[Plan]])</f>
        <v>AUGUST 26 PLANNED</v>
      </c>
    </row>
    <row r="1597" spans="1:11" x14ac:dyDescent="0.3">
      <c r="A1597" s="32">
        <f t="shared" si="87"/>
        <v>6</v>
      </c>
      <c r="B1597" s="33">
        <v>46247</v>
      </c>
      <c r="C1597" s="6" t="s">
        <v>268</v>
      </c>
      <c r="D1597" s="34">
        <v>26</v>
      </c>
      <c r="E1597" s="32">
        <f>DAY(TableAopCalendar[[#This Row],[Date]])</f>
        <v>13</v>
      </c>
      <c r="F1597" s="32">
        <f>IF(TableAopCalendar[[#This Row],[Day]]&lt;8,1,IF(TableAopCalendar[[#This Row],[Day]]&lt;15,2,IF(TableAopCalendar[[#This Row],[Day]]&lt;22,3,IF(TableAopCalendar[[#This Row],[Day]]&lt;29,4,IF(TableAopCalendar[[#This Row],[Day]]&lt;32,5)))))</f>
        <v>2</v>
      </c>
      <c r="G1597" s="32" t="str">
        <f t="shared" si="88"/>
        <v>Week 2</v>
      </c>
      <c r="H1597" s="32" t="str">
        <f t="shared" si="89"/>
        <v>August 26 Week 2</v>
      </c>
      <c r="I1597" s="32" t="str">
        <f>CONCATENATE(UPPER(TableAopCalendar[[#This Row],[Month]])," ",TableAopCalendar[[#This Row],[Year]])</f>
        <v>AUGUST 26</v>
      </c>
      <c r="J1597" s="7" t="s">
        <v>274</v>
      </c>
      <c r="K1597" s="32" t="str">
        <f>CONCATENATE(TableAopCalendar[[#This Row],[Month for Plan]]," ",TableAopCalendar[[#This Row],[Plan]])</f>
        <v>AUGUST 26 PLANNED</v>
      </c>
    </row>
    <row r="1598" spans="1:11" x14ac:dyDescent="0.3">
      <c r="A1598" s="32">
        <f t="shared" si="87"/>
        <v>7</v>
      </c>
      <c r="B1598" s="33">
        <v>46248</v>
      </c>
      <c r="C1598" s="6" t="s">
        <v>268</v>
      </c>
      <c r="D1598" s="34">
        <v>26</v>
      </c>
      <c r="E1598" s="32">
        <f>DAY(TableAopCalendar[[#This Row],[Date]])</f>
        <v>14</v>
      </c>
      <c r="F1598" s="32">
        <f>IF(TableAopCalendar[[#This Row],[Day]]&lt;8,1,IF(TableAopCalendar[[#This Row],[Day]]&lt;15,2,IF(TableAopCalendar[[#This Row],[Day]]&lt;22,3,IF(TableAopCalendar[[#This Row],[Day]]&lt;29,4,IF(TableAopCalendar[[#This Row],[Day]]&lt;32,5)))))</f>
        <v>2</v>
      </c>
      <c r="G1598" s="32" t="str">
        <f t="shared" si="88"/>
        <v>Week 2</v>
      </c>
      <c r="H1598" s="32" t="str">
        <f t="shared" si="89"/>
        <v>August 26 Week 2</v>
      </c>
      <c r="I1598" s="32" t="str">
        <f>CONCATENATE(UPPER(TableAopCalendar[[#This Row],[Month]])," ",TableAopCalendar[[#This Row],[Year]])</f>
        <v>AUGUST 26</v>
      </c>
      <c r="J1598" s="7" t="s">
        <v>274</v>
      </c>
      <c r="K1598" s="32" t="str">
        <f>CONCATENATE(TableAopCalendar[[#This Row],[Month for Plan]]," ",TableAopCalendar[[#This Row],[Plan]])</f>
        <v>AUGUST 26 PLANNED</v>
      </c>
    </row>
    <row r="1599" spans="1:11" x14ac:dyDescent="0.3">
      <c r="A1599" s="32">
        <f t="shared" si="87"/>
        <v>1</v>
      </c>
      <c r="B1599" s="33">
        <v>46249</v>
      </c>
      <c r="C1599" s="6" t="s">
        <v>268</v>
      </c>
      <c r="D1599" s="34">
        <v>26</v>
      </c>
      <c r="E1599" s="32">
        <f>DAY(TableAopCalendar[[#This Row],[Date]])</f>
        <v>15</v>
      </c>
      <c r="F1599" s="32">
        <f>IF(TableAopCalendar[[#This Row],[Day]]&lt;8,1,IF(TableAopCalendar[[#This Row],[Day]]&lt;15,2,IF(TableAopCalendar[[#This Row],[Day]]&lt;22,3,IF(TableAopCalendar[[#This Row],[Day]]&lt;29,4,IF(TableAopCalendar[[#This Row],[Day]]&lt;32,5)))))</f>
        <v>3</v>
      </c>
      <c r="G1599" s="32" t="str">
        <f t="shared" si="88"/>
        <v>Week 3</v>
      </c>
      <c r="H1599" s="32" t="str">
        <f t="shared" si="89"/>
        <v>August 26 Week 3</v>
      </c>
      <c r="I1599" s="32" t="str">
        <f>CONCATENATE(UPPER(TableAopCalendar[[#This Row],[Month]])," ",TableAopCalendar[[#This Row],[Year]])</f>
        <v>AUGUST 26</v>
      </c>
      <c r="J1599" s="7" t="s">
        <v>274</v>
      </c>
      <c r="K1599" s="32" t="str">
        <f>CONCATENATE(TableAopCalendar[[#This Row],[Month for Plan]]," ",TableAopCalendar[[#This Row],[Plan]])</f>
        <v>AUGUST 26 PLANNED</v>
      </c>
    </row>
    <row r="1600" spans="1:11" x14ac:dyDescent="0.3">
      <c r="A1600" s="32">
        <f t="shared" si="87"/>
        <v>2</v>
      </c>
      <c r="B1600" s="33">
        <v>46250</v>
      </c>
      <c r="C1600" s="6" t="s">
        <v>268</v>
      </c>
      <c r="D1600" s="34">
        <v>26</v>
      </c>
      <c r="E1600" s="32">
        <f>DAY(TableAopCalendar[[#This Row],[Date]])</f>
        <v>16</v>
      </c>
      <c r="F1600" s="32">
        <f>IF(TableAopCalendar[[#This Row],[Day]]&lt;8,1,IF(TableAopCalendar[[#This Row],[Day]]&lt;15,2,IF(TableAopCalendar[[#This Row],[Day]]&lt;22,3,IF(TableAopCalendar[[#This Row],[Day]]&lt;29,4,IF(TableAopCalendar[[#This Row],[Day]]&lt;32,5)))))</f>
        <v>3</v>
      </c>
      <c r="G1600" s="32" t="str">
        <f t="shared" si="88"/>
        <v>Week 3</v>
      </c>
      <c r="H1600" s="32" t="str">
        <f t="shared" si="89"/>
        <v>August 26 Week 3</v>
      </c>
      <c r="I1600" s="32" t="str">
        <f>CONCATENATE(UPPER(TableAopCalendar[[#This Row],[Month]])," ",TableAopCalendar[[#This Row],[Year]])</f>
        <v>AUGUST 26</v>
      </c>
      <c r="J1600" s="7" t="s">
        <v>274</v>
      </c>
      <c r="K1600" s="32" t="str">
        <f>CONCATENATE(TableAopCalendar[[#This Row],[Month for Plan]]," ",TableAopCalendar[[#This Row],[Plan]])</f>
        <v>AUGUST 26 PLANNED</v>
      </c>
    </row>
    <row r="1601" spans="1:11" x14ac:dyDescent="0.3">
      <c r="A1601" s="32">
        <f t="shared" si="87"/>
        <v>3</v>
      </c>
      <c r="B1601" s="33">
        <v>46251</v>
      </c>
      <c r="C1601" s="6" t="s">
        <v>268</v>
      </c>
      <c r="D1601" s="34">
        <v>26</v>
      </c>
      <c r="E1601" s="32">
        <f>DAY(TableAopCalendar[[#This Row],[Date]])</f>
        <v>17</v>
      </c>
      <c r="F1601" s="32">
        <f>IF(TableAopCalendar[[#This Row],[Day]]&lt;8,1,IF(TableAopCalendar[[#This Row],[Day]]&lt;15,2,IF(TableAopCalendar[[#This Row],[Day]]&lt;22,3,IF(TableAopCalendar[[#This Row],[Day]]&lt;29,4,IF(TableAopCalendar[[#This Row],[Day]]&lt;32,5)))))</f>
        <v>3</v>
      </c>
      <c r="G1601" s="32" t="str">
        <f t="shared" si="88"/>
        <v>Week 3</v>
      </c>
      <c r="H1601" s="32" t="str">
        <f t="shared" si="89"/>
        <v>August 26 Week 3</v>
      </c>
      <c r="I1601" s="32" t="str">
        <f>CONCATENATE(UPPER(TableAopCalendar[[#This Row],[Month]])," ",TableAopCalendar[[#This Row],[Year]])</f>
        <v>AUGUST 26</v>
      </c>
      <c r="J1601" s="7" t="s">
        <v>274</v>
      </c>
      <c r="K1601" s="32" t="str">
        <f>CONCATENATE(TableAopCalendar[[#This Row],[Month for Plan]]," ",TableAopCalendar[[#This Row],[Plan]])</f>
        <v>AUGUST 26 PLANNED</v>
      </c>
    </row>
    <row r="1602" spans="1:11" x14ac:dyDescent="0.3">
      <c r="A1602" s="32">
        <f t="shared" si="87"/>
        <v>4</v>
      </c>
      <c r="B1602" s="33">
        <v>46252</v>
      </c>
      <c r="C1602" s="6" t="s">
        <v>268</v>
      </c>
      <c r="D1602" s="34">
        <v>26</v>
      </c>
      <c r="E1602" s="32">
        <f>DAY(TableAopCalendar[[#This Row],[Date]])</f>
        <v>18</v>
      </c>
      <c r="F1602" s="32">
        <f>IF(TableAopCalendar[[#This Row],[Day]]&lt;8,1,IF(TableAopCalendar[[#This Row],[Day]]&lt;15,2,IF(TableAopCalendar[[#This Row],[Day]]&lt;22,3,IF(TableAopCalendar[[#This Row],[Day]]&lt;29,4,IF(TableAopCalendar[[#This Row],[Day]]&lt;32,5)))))</f>
        <v>3</v>
      </c>
      <c r="G1602" s="32" t="str">
        <f t="shared" si="88"/>
        <v>Week 3</v>
      </c>
      <c r="H1602" s="32" t="str">
        <f t="shared" si="89"/>
        <v>August 26 Week 3</v>
      </c>
      <c r="I1602" s="32" t="str">
        <f>CONCATENATE(UPPER(TableAopCalendar[[#This Row],[Month]])," ",TableAopCalendar[[#This Row],[Year]])</f>
        <v>AUGUST 26</v>
      </c>
      <c r="J1602" s="7" t="s">
        <v>274</v>
      </c>
      <c r="K1602" s="32" t="str">
        <f>CONCATENATE(TableAopCalendar[[#This Row],[Month for Plan]]," ",TableAopCalendar[[#This Row],[Plan]])</f>
        <v>AUGUST 26 PLANNED</v>
      </c>
    </row>
    <row r="1603" spans="1:11" x14ac:dyDescent="0.3">
      <c r="A1603" s="32">
        <f t="shared" si="87"/>
        <v>5</v>
      </c>
      <c r="B1603" s="33">
        <v>46253</v>
      </c>
      <c r="C1603" s="6" t="s">
        <v>268</v>
      </c>
      <c r="D1603" s="34">
        <v>26</v>
      </c>
      <c r="E1603" s="32">
        <f>DAY(TableAopCalendar[[#This Row],[Date]])</f>
        <v>19</v>
      </c>
      <c r="F1603" s="32">
        <f>IF(TableAopCalendar[[#This Row],[Day]]&lt;8,1,IF(TableAopCalendar[[#This Row],[Day]]&lt;15,2,IF(TableAopCalendar[[#This Row],[Day]]&lt;22,3,IF(TableAopCalendar[[#This Row],[Day]]&lt;29,4,IF(TableAopCalendar[[#This Row],[Day]]&lt;32,5)))))</f>
        <v>3</v>
      </c>
      <c r="G1603" s="32" t="str">
        <f t="shared" si="88"/>
        <v>Week 3</v>
      </c>
      <c r="H1603" s="32" t="str">
        <f t="shared" si="89"/>
        <v>August 26 Week 3</v>
      </c>
      <c r="I1603" s="32" t="str">
        <f>CONCATENATE(UPPER(TableAopCalendar[[#This Row],[Month]])," ",TableAopCalendar[[#This Row],[Year]])</f>
        <v>AUGUST 26</v>
      </c>
      <c r="J1603" s="7" t="s">
        <v>274</v>
      </c>
      <c r="K1603" s="32" t="str">
        <f>CONCATENATE(TableAopCalendar[[#This Row],[Month for Plan]]," ",TableAopCalendar[[#This Row],[Plan]])</f>
        <v>AUGUST 26 PLANNED</v>
      </c>
    </row>
    <row r="1604" spans="1:11" x14ac:dyDescent="0.3">
      <c r="A1604" s="32">
        <f t="shared" si="87"/>
        <v>6</v>
      </c>
      <c r="B1604" s="33">
        <v>46254</v>
      </c>
      <c r="C1604" s="6" t="s">
        <v>268</v>
      </c>
      <c r="D1604" s="34">
        <v>26</v>
      </c>
      <c r="E1604" s="32">
        <f>DAY(TableAopCalendar[[#This Row],[Date]])</f>
        <v>20</v>
      </c>
      <c r="F1604" s="32">
        <f>IF(TableAopCalendar[[#This Row],[Day]]&lt;8,1,IF(TableAopCalendar[[#This Row],[Day]]&lt;15,2,IF(TableAopCalendar[[#This Row],[Day]]&lt;22,3,IF(TableAopCalendar[[#This Row],[Day]]&lt;29,4,IF(TableAopCalendar[[#This Row],[Day]]&lt;32,5)))))</f>
        <v>3</v>
      </c>
      <c r="G1604" s="32" t="str">
        <f t="shared" si="88"/>
        <v>Week 3</v>
      </c>
      <c r="H1604" s="32" t="str">
        <f t="shared" si="89"/>
        <v>August 26 Week 3</v>
      </c>
      <c r="I1604" s="32" t="str">
        <f>CONCATENATE(UPPER(TableAopCalendar[[#This Row],[Month]])," ",TableAopCalendar[[#This Row],[Year]])</f>
        <v>AUGUST 26</v>
      </c>
      <c r="J1604" s="7" t="s">
        <v>274</v>
      </c>
      <c r="K1604" s="32" t="str">
        <f>CONCATENATE(TableAopCalendar[[#This Row],[Month for Plan]]," ",TableAopCalendar[[#This Row],[Plan]])</f>
        <v>AUGUST 26 PLANNED</v>
      </c>
    </row>
    <row r="1605" spans="1:11" x14ac:dyDescent="0.3">
      <c r="A1605" s="32">
        <f t="shared" si="87"/>
        <v>7</v>
      </c>
      <c r="B1605" s="33">
        <v>46255</v>
      </c>
      <c r="C1605" s="6" t="s">
        <v>268</v>
      </c>
      <c r="D1605" s="34">
        <v>26</v>
      </c>
      <c r="E1605" s="32">
        <f>DAY(TableAopCalendar[[#This Row],[Date]])</f>
        <v>21</v>
      </c>
      <c r="F1605" s="32">
        <f>IF(TableAopCalendar[[#This Row],[Day]]&lt;8,1,IF(TableAopCalendar[[#This Row],[Day]]&lt;15,2,IF(TableAopCalendar[[#This Row],[Day]]&lt;22,3,IF(TableAopCalendar[[#This Row],[Day]]&lt;29,4,IF(TableAopCalendar[[#This Row],[Day]]&lt;32,5)))))</f>
        <v>3</v>
      </c>
      <c r="G1605" s="32" t="str">
        <f t="shared" si="88"/>
        <v>Week 3</v>
      </c>
      <c r="H1605" s="32" t="str">
        <f t="shared" si="89"/>
        <v>August 26 Week 3</v>
      </c>
      <c r="I1605" s="32" t="str">
        <f>CONCATENATE(UPPER(TableAopCalendar[[#This Row],[Month]])," ",TableAopCalendar[[#This Row],[Year]])</f>
        <v>AUGUST 26</v>
      </c>
      <c r="J1605" s="7" t="s">
        <v>274</v>
      </c>
      <c r="K1605" s="32" t="str">
        <f>CONCATENATE(TableAopCalendar[[#This Row],[Month for Plan]]," ",TableAopCalendar[[#This Row],[Plan]])</f>
        <v>AUGUST 26 PLANNED</v>
      </c>
    </row>
    <row r="1606" spans="1:11" x14ac:dyDescent="0.3">
      <c r="A1606" s="32">
        <f t="shared" si="87"/>
        <v>1</v>
      </c>
      <c r="B1606" s="33">
        <v>46256</v>
      </c>
      <c r="C1606" s="6" t="s">
        <v>268</v>
      </c>
      <c r="D1606" s="34">
        <v>26</v>
      </c>
      <c r="E1606" s="32">
        <f>DAY(TableAopCalendar[[#This Row],[Date]])</f>
        <v>22</v>
      </c>
      <c r="F1606" s="32">
        <f>IF(TableAopCalendar[[#This Row],[Day]]&lt;8,1,IF(TableAopCalendar[[#This Row],[Day]]&lt;15,2,IF(TableAopCalendar[[#This Row],[Day]]&lt;22,3,IF(TableAopCalendar[[#This Row],[Day]]&lt;29,4,IF(TableAopCalendar[[#This Row],[Day]]&lt;32,5)))))</f>
        <v>4</v>
      </c>
      <c r="G1606" s="32" t="str">
        <f t="shared" si="88"/>
        <v>Week 4</v>
      </c>
      <c r="H1606" s="32" t="str">
        <f t="shared" si="89"/>
        <v>August 26 Week 4</v>
      </c>
      <c r="I1606" s="32" t="str">
        <f>CONCATENATE(UPPER(TableAopCalendar[[#This Row],[Month]])," ",TableAopCalendar[[#This Row],[Year]])</f>
        <v>AUGUST 26</v>
      </c>
      <c r="J1606" s="7" t="s">
        <v>274</v>
      </c>
      <c r="K1606" s="32" t="str">
        <f>CONCATENATE(TableAopCalendar[[#This Row],[Month for Plan]]," ",TableAopCalendar[[#This Row],[Plan]])</f>
        <v>AUGUST 26 PLANNED</v>
      </c>
    </row>
    <row r="1607" spans="1:11" x14ac:dyDescent="0.3">
      <c r="A1607" s="32">
        <f t="shared" si="87"/>
        <v>2</v>
      </c>
      <c r="B1607" s="33">
        <v>46257</v>
      </c>
      <c r="C1607" s="6" t="s">
        <v>268</v>
      </c>
      <c r="D1607" s="34">
        <v>26</v>
      </c>
      <c r="E1607" s="32">
        <f>DAY(TableAopCalendar[[#This Row],[Date]])</f>
        <v>23</v>
      </c>
      <c r="F1607" s="32">
        <f>IF(TableAopCalendar[[#This Row],[Day]]&lt;8,1,IF(TableAopCalendar[[#This Row],[Day]]&lt;15,2,IF(TableAopCalendar[[#This Row],[Day]]&lt;22,3,IF(TableAopCalendar[[#This Row],[Day]]&lt;29,4,IF(TableAopCalendar[[#This Row],[Day]]&lt;32,5)))))</f>
        <v>4</v>
      </c>
      <c r="G1607" s="32" t="str">
        <f t="shared" si="88"/>
        <v>Week 4</v>
      </c>
      <c r="H1607" s="32" t="str">
        <f t="shared" si="89"/>
        <v>August 26 Week 4</v>
      </c>
      <c r="I1607" s="32" t="str">
        <f>CONCATENATE(UPPER(TableAopCalendar[[#This Row],[Month]])," ",TableAopCalendar[[#This Row],[Year]])</f>
        <v>AUGUST 26</v>
      </c>
      <c r="J1607" s="7" t="s">
        <v>274</v>
      </c>
      <c r="K1607" s="32" t="str">
        <f>CONCATENATE(TableAopCalendar[[#This Row],[Month for Plan]]," ",TableAopCalendar[[#This Row],[Plan]])</f>
        <v>AUGUST 26 PLANNED</v>
      </c>
    </row>
    <row r="1608" spans="1:11" x14ac:dyDescent="0.3">
      <c r="A1608" s="32">
        <f t="shared" si="87"/>
        <v>3</v>
      </c>
      <c r="B1608" s="33">
        <v>46258</v>
      </c>
      <c r="C1608" s="6" t="s">
        <v>268</v>
      </c>
      <c r="D1608" s="34">
        <v>26</v>
      </c>
      <c r="E1608" s="32">
        <f>DAY(TableAopCalendar[[#This Row],[Date]])</f>
        <v>24</v>
      </c>
      <c r="F1608" s="32">
        <f>IF(TableAopCalendar[[#This Row],[Day]]&lt;8,1,IF(TableAopCalendar[[#This Row],[Day]]&lt;15,2,IF(TableAopCalendar[[#This Row],[Day]]&lt;22,3,IF(TableAopCalendar[[#This Row],[Day]]&lt;29,4,IF(TableAopCalendar[[#This Row],[Day]]&lt;32,5)))))</f>
        <v>4</v>
      </c>
      <c r="G1608" s="32" t="str">
        <f t="shared" si="88"/>
        <v>Week 4</v>
      </c>
      <c r="H1608" s="32" t="str">
        <f t="shared" si="89"/>
        <v>August 26 Week 4</v>
      </c>
      <c r="I1608" s="32" t="str">
        <f>CONCATENATE(UPPER(TableAopCalendar[[#This Row],[Month]])," ",TableAopCalendar[[#This Row],[Year]])</f>
        <v>AUGUST 26</v>
      </c>
      <c r="J1608" s="7" t="s">
        <v>274</v>
      </c>
      <c r="K1608" s="32" t="str">
        <f>CONCATENATE(TableAopCalendar[[#This Row],[Month for Plan]]," ",TableAopCalendar[[#This Row],[Plan]])</f>
        <v>AUGUST 26 PLANNED</v>
      </c>
    </row>
    <row r="1609" spans="1:11" x14ac:dyDescent="0.3">
      <c r="A1609" s="32">
        <f t="shared" si="87"/>
        <v>4</v>
      </c>
      <c r="B1609" s="33">
        <v>46259</v>
      </c>
      <c r="C1609" s="6" t="s">
        <v>268</v>
      </c>
      <c r="D1609" s="34">
        <v>26</v>
      </c>
      <c r="E1609" s="32">
        <f>DAY(TableAopCalendar[[#This Row],[Date]])</f>
        <v>25</v>
      </c>
      <c r="F1609" s="32">
        <f>IF(TableAopCalendar[[#This Row],[Day]]&lt;8,1,IF(TableAopCalendar[[#This Row],[Day]]&lt;15,2,IF(TableAopCalendar[[#This Row],[Day]]&lt;22,3,IF(TableAopCalendar[[#This Row],[Day]]&lt;29,4,IF(TableAopCalendar[[#This Row],[Day]]&lt;32,5)))))</f>
        <v>4</v>
      </c>
      <c r="G1609" s="32" t="str">
        <f t="shared" si="88"/>
        <v>Week 4</v>
      </c>
      <c r="H1609" s="32" t="str">
        <f t="shared" si="89"/>
        <v>August 26 Week 4</v>
      </c>
      <c r="I1609" s="32" t="str">
        <f>CONCATENATE(UPPER(TableAopCalendar[[#This Row],[Month]])," ",TableAopCalendar[[#This Row],[Year]])</f>
        <v>AUGUST 26</v>
      </c>
      <c r="J1609" s="7" t="s">
        <v>274</v>
      </c>
      <c r="K1609" s="32" t="str">
        <f>CONCATENATE(TableAopCalendar[[#This Row],[Month for Plan]]," ",TableAopCalendar[[#This Row],[Plan]])</f>
        <v>AUGUST 26 PLANNED</v>
      </c>
    </row>
    <row r="1610" spans="1:11" x14ac:dyDescent="0.3">
      <c r="A1610" s="32">
        <f t="shared" si="87"/>
        <v>5</v>
      </c>
      <c r="B1610" s="33">
        <v>46260</v>
      </c>
      <c r="C1610" s="6" t="s">
        <v>268</v>
      </c>
      <c r="D1610" s="34">
        <v>26</v>
      </c>
      <c r="E1610" s="32">
        <f>DAY(TableAopCalendar[[#This Row],[Date]])</f>
        <v>26</v>
      </c>
      <c r="F1610" s="32">
        <f>IF(TableAopCalendar[[#This Row],[Day]]&lt;8,1,IF(TableAopCalendar[[#This Row],[Day]]&lt;15,2,IF(TableAopCalendar[[#This Row],[Day]]&lt;22,3,IF(TableAopCalendar[[#This Row],[Day]]&lt;29,4,IF(TableAopCalendar[[#This Row],[Day]]&lt;32,5)))))</f>
        <v>4</v>
      </c>
      <c r="G1610" s="32" t="str">
        <f t="shared" si="88"/>
        <v>Week 4</v>
      </c>
      <c r="H1610" s="32" t="str">
        <f t="shared" si="89"/>
        <v>August 26 Week 4</v>
      </c>
      <c r="I1610" s="32" t="str">
        <f>CONCATENATE(UPPER(TableAopCalendar[[#This Row],[Month]])," ",TableAopCalendar[[#This Row],[Year]])</f>
        <v>AUGUST 26</v>
      </c>
      <c r="J1610" s="7" t="s">
        <v>274</v>
      </c>
      <c r="K1610" s="32" t="str">
        <f>CONCATENATE(TableAopCalendar[[#This Row],[Month for Plan]]," ",TableAopCalendar[[#This Row],[Plan]])</f>
        <v>AUGUST 26 PLANNED</v>
      </c>
    </row>
    <row r="1611" spans="1:11" x14ac:dyDescent="0.3">
      <c r="A1611" s="32">
        <f t="shared" ref="A1611:A1674" si="90">IF(G1611=G1610,A1610+1,1)</f>
        <v>6</v>
      </c>
      <c r="B1611" s="33">
        <v>46261</v>
      </c>
      <c r="C1611" s="6" t="s">
        <v>268</v>
      </c>
      <c r="D1611" s="34">
        <v>26</v>
      </c>
      <c r="E1611" s="32">
        <f>DAY(TableAopCalendar[[#This Row],[Date]])</f>
        <v>27</v>
      </c>
      <c r="F1611" s="32">
        <f>IF(TableAopCalendar[[#This Row],[Day]]&lt;8,1,IF(TableAopCalendar[[#This Row],[Day]]&lt;15,2,IF(TableAopCalendar[[#This Row],[Day]]&lt;22,3,IF(TableAopCalendar[[#This Row],[Day]]&lt;29,4,IF(TableAopCalendar[[#This Row],[Day]]&lt;32,5)))))</f>
        <v>4</v>
      </c>
      <c r="G1611" s="32" t="str">
        <f t="shared" ref="G1611:G1674" si="91">"Week"&amp;" "&amp;F1611</f>
        <v>Week 4</v>
      </c>
      <c r="H1611" s="32" t="str">
        <f t="shared" ref="H1611:H1674" si="92">CONCATENATE(C1611," ",D1611," ",G1611)</f>
        <v>August 26 Week 4</v>
      </c>
      <c r="I1611" s="32" t="str">
        <f>CONCATENATE(UPPER(TableAopCalendar[[#This Row],[Month]])," ",TableAopCalendar[[#This Row],[Year]])</f>
        <v>AUGUST 26</v>
      </c>
      <c r="J1611" s="7" t="s">
        <v>274</v>
      </c>
      <c r="K1611" s="32" t="str">
        <f>CONCATENATE(TableAopCalendar[[#This Row],[Month for Plan]]," ",TableAopCalendar[[#This Row],[Plan]])</f>
        <v>AUGUST 26 PLANNED</v>
      </c>
    </row>
    <row r="1612" spans="1:11" x14ac:dyDescent="0.3">
      <c r="A1612" s="32">
        <f t="shared" si="90"/>
        <v>7</v>
      </c>
      <c r="B1612" s="33">
        <v>46262</v>
      </c>
      <c r="C1612" s="6" t="s">
        <v>268</v>
      </c>
      <c r="D1612" s="34">
        <v>26</v>
      </c>
      <c r="E1612" s="32">
        <f>DAY(TableAopCalendar[[#This Row],[Date]])</f>
        <v>28</v>
      </c>
      <c r="F1612" s="32">
        <f>IF(TableAopCalendar[[#This Row],[Day]]&lt;8,1,IF(TableAopCalendar[[#This Row],[Day]]&lt;15,2,IF(TableAopCalendar[[#This Row],[Day]]&lt;22,3,IF(TableAopCalendar[[#This Row],[Day]]&lt;29,4,IF(TableAopCalendar[[#This Row],[Day]]&lt;32,5)))))</f>
        <v>4</v>
      </c>
      <c r="G1612" s="32" t="str">
        <f t="shared" si="91"/>
        <v>Week 4</v>
      </c>
      <c r="H1612" s="32" t="str">
        <f t="shared" si="92"/>
        <v>August 26 Week 4</v>
      </c>
      <c r="I1612" s="32" t="str">
        <f>CONCATENATE(UPPER(TableAopCalendar[[#This Row],[Month]])," ",TableAopCalendar[[#This Row],[Year]])</f>
        <v>AUGUST 26</v>
      </c>
      <c r="J1612" s="7" t="s">
        <v>274</v>
      </c>
      <c r="K1612" s="32" t="str">
        <f>CONCATENATE(TableAopCalendar[[#This Row],[Month for Plan]]," ",TableAopCalendar[[#This Row],[Plan]])</f>
        <v>AUGUST 26 PLANNED</v>
      </c>
    </row>
    <row r="1613" spans="1:11" x14ac:dyDescent="0.3">
      <c r="A1613" s="32">
        <f t="shared" si="90"/>
        <v>1</v>
      </c>
      <c r="B1613" s="33">
        <v>46263</v>
      </c>
      <c r="C1613" s="6" t="s">
        <v>268</v>
      </c>
      <c r="D1613" s="34">
        <v>26</v>
      </c>
      <c r="E1613" s="32">
        <f>DAY(TableAopCalendar[[#This Row],[Date]])</f>
        <v>29</v>
      </c>
      <c r="F1613" s="32">
        <f>IF(TableAopCalendar[[#This Row],[Day]]&lt;8,1,IF(TableAopCalendar[[#This Row],[Day]]&lt;15,2,IF(TableAopCalendar[[#This Row],[Day]]&lt;22,3,IF(TableAopCalendar[[#This Row],[Day]]&lt;29,4,IF(TableAopCalendar[[#This Row],[Day]]&lt;32,5)))))</f>
        <v>5</v>
      </c>
      <c r="G1613" s="32" t="str">
        <f t="shared" si="91"/>
        <v>Week 5</v>
      </c>
      <c r="H1613" s="32" t="str">
        <f t="shared" si="92"/>
        <v>August 26 Week 5</v>
      </c>
      <c r="I1613" s="32" t="str">
        <f>CONCATENATE(UPPER(TableAopCalendar[[#This Row],[Month]])," ",TableAopCalendar[[#This Row],[Year]])</f>
        <v>AUGUST 26</v>
      </c>
      <c r="J1613" s="7" t="s">
        <v>274</v>
      </c>
      <c r="K1613" s="32" t="str">
        <f>CONCATENATE(TableAopCalendar[[#This Row],[Month for Plan]]," ",TableAopCalendar[[#This Row],[Plan]])</f>
        <v>AUGUST 26 PLANNED</v>
      </c>
    </row>
    <row r="1614" spans="1:11" x14ac:dyDescent="0.3">
      <c r="A1614" s="32">
        <f t="shared" si="90"/>
        <v>2</v>
      </c>
      <c r="B1614" s="33">
        <v>46264</v>
      </c>
      <c r="C1614" s="6" t="s">
        <v>268</v>
      </c>
      <c r="D1614" s="34">
        <v>26</v>
      </c>
      <c r="E1614" s="32">
        <f>DAY(TableAopCalendar[[#This Row],[Date]])</f>
        <v>30</v>
      </c>
      <c r="F1614" s="32">
        <f>IF(TableAopCalendar[[#This Row],[Day]]&lt;8,1,IF(TableAopCalendar[[#This Row],[Day]]&lt;15,2,IF(TableAopCalendar[[#This Row],[Day]]&lt;22,3,IF(TableAopCalendar[[#This Row],[Day]]&lt;29,4,IF(TableAopCalendar[[#This Row],[Day]]&lt;32,5)))))</f>
        <v>5</v>
      </c>
      <c r="G1614" s="32" t="str">
        <f t="shared" si="91"/>
        <v>Week 5</v>
      </c>
      <c r="H1614" s="32" t="str">
        <f t="shared" si="92"/>
        <v>August 26 Week 5</v>
      </c>
      <c r="I1614" s="32" t="str">
        <f>CONCATENATE(UPPER(TableAopCalendar[[#This Row],[Month]])," ",TableAopCalendar[[#This Row],[Year]])</f>
        <v>AUGUST 26</v>
      </c>
      <c r="J1614" s="7" t="s">
        <v>274</v>
      </c>
      <c r="K1614" s="32" t="str">
        <f>CONCATENATE(TableAopCalendar[[#This Row],[Month for Plan]]," ",TableAopCalendar[[#This Row],[Plan]])</f>
        <v>AUGUST 26 PLANNED</v>
      </c>
    </row>
    <row r="1615" spans="1:11" x14ac:dyDescent="0.3">
      <c r="A1615" s="32">
        <f t="shared" si="90"/>
        <v>3</v>
      </c>
      <c r="B1615" s="33">
        <v>46265</v>
      </c>
      <c r="C1615" s="6" t="s">
        <v>268</v>
      </c>
      <c r="D1615" s="34">
        <v>26</v>
      </c>
      <c r="E1615" s="32">
        <f>DAY(TableAopCalendar[[#This Row],[Date]])</f>
        <v>31</v>
      </c>
      <c r="F1615" s="32">
        <f>IF(TableAopCalendar[[#This Row],[Day]]&lt;8,1,IF(TableAopCalendar[[#This Row],[Day]]&lt;15,2,IF(TableAopCalendar[[#This Row],[Day]]&lt;22,3,IF(TableAopCalendar[[#This Row],[Day]]&lt;29,4,IF(TableAopCalendar[[#This Row],[Day]]&lt;32,5)))))</f>
        <v>5</v>
      </c>
      <c r="G1615" s="32" t="str">
        <f t="shared" si="91"/>
        <v>Week 5</v>
      </c>
      <c r="H1615" s="32" t="str">
        <f t="shared" si="92"/>
        <v>August 26 Week 5</v>
      </c>
      <c r="I1615" s="32" t="str">
        <f>CONCATENATE(UPPER(TableAopCalendar[[#This Row],[Month]])," ",TableAopCalendar[[#This Row],[Year]])</f>
        <v>AUGUST 26</v>
      </c>
      <c r="J1615" s="7" t="s">
        <v>274</v>
      </c>
      <c r="K1615" s="32" t="str">
        <f>CONCATENATE(TableAopCalendar[[#This Row],[Month for Plan]]," ",TableAopCalendar[[#This Row],[Plan]])</f>
        <v>AUGUST 26 PLANNED</v>
      </c>
    </row>
    <row r="1616" spans="1:11" x14ac:dyDescent="0.3">
      <c r="A1616" s="32">
        <f t="shared" si="90"/>
        <v>1</v>
      </c>
      <c r="B1616" s="33">
        <v>46266</v>
      </c>
      <c r="C1616" s="6" t="s">
        <v>269</v>
      </c>
      <c r="D1616" s="34">
        <v>26</v>
      </c>
      <c r="E1616" s="32">
        <f>DAY(TableAopCalendar[[#This Row],[Date]])</f>
        <v>1</v>
      </c>
      <c r="F1616" s="32">
        <f>IF(TableAopCalendar[[#This Row],[Day]]&lt;8,1,IF(TableAopCalendar[[#This Row],[Day]]&lt;15,2,IF(TableAopCalendar[[#This Row],[Day]]&lt;22,3,IF(TableAopCalendar[[#This Row],[Day]]&lt;29,4,IF(TableAopCalendar[[#This Row],[Day]]&lt;32,5)))))</f>
        <v>1</v>
      </c>
      <c r="G1616" s="32" t="str">
        <f t="shared" si="91"/>
        <v>Week 1</v>
      </c>
      <c r="H1616" s="32" t="str">
        <f t="shared" si="92"/>
        <v>September 26 Week 1</v>
      </c>
      <c r="I1616" s="32" t="str">
        <f>CONCATENATE(UPPER(TableAopCalendar[[#This Row],[Month]])," ",TableAopCalendar[[#This Row],[Year]])</f>
        <v>SEPTEMBER 26</v>
      </c>
      <c r="J1616" s="7" t="s">
        <v>274</v>
      </c>
      <c r="K1616" s="32" t="str">
        <f>CONCATENATE(TableAopCalendar[[#This Row],[Month for Plan]]," ",TableAopCalendar[[#This Row],[Plan]])</f>
        <v>SEPTEMBER 26 PLANNED</v>
      </c>
    </row>
    <row r="1617" spans="1:11" x14ac:dyDescent="0.3">
      <c r="A1617" s="32">
        <f t="shared" si="90"/>
        <v>2</v>
      </c>
      <c r="B1617" s="33">
        <v>46267</v>
      </c>
      <c r="C1617" s="6" t="s">
        <v>269</v>
      </c>
      <c r="D1617" s="34">
        <v>26</v>
      </c>
      <c r="E1617" s="32">
        <f>DAY(TableAopCalendar[[#This Row],[Date]])</f>
        <v>2</v>
      </c>
      <c r="F1617" s="32">
        <f>IF(TableAopCalendar[[#This Row],[Day]]&lt;8,1,IF(TableAopCalendar[[#This Row],[Day]]&lt;15,2,IF(TableAopCalendar[[#This Row],[Day]]&lt;22,3,IF(TableAopCalendar[[#This Row],[Day]]&lt;29,4,IF(TableAopCalendar[[#This Row],[Day]]&lt;32,5)))))</f>
        <v>1</v>
      </c>
      <c r="G1617" s="32" t="str">
        <f t="shared" si="91"/>
        <v>Week 1</v>
      </c>
      <c r="H1617" s="32" t="str">
        <f t="shared" si="92"/>
        <v>September 26 Week 1</v>
      </c>
      <c r="I1617" s="32" t="str">
        <f>CONCATENATE(UPPER(TableAopCalendar[[#This Row],[Month]])," ",TableAopCalendar[[#This Row],[Year]])</f>
        <v>SEPTEMBER 26</v>
      </c>
      <c r="J1617" s="7" t="s">
        <v>274</v>
      </c>
      <c r="K1617" s="32" t="str">
        <f>CONCATENATE(TableAopCalendar[[#This Row],[Month for Plan]]," ",TableAopCalendar[[#This Row],[Plan]])</f>
        <v>SEPTEMBER 26 PLANNED</v>
      </c>
    </row>
    <row r="1618" spans="1:11" x14ac:dyDescent="0.3">
      <c r="A1618" s="32">
        <f t="shared" si="90"/>
        <v>3</v>
      </c>
      <c r="B1618" s="33">
        <v>46268</v>
      </c>
      <c r="C1618" s="6" t="s">
        <v>269</v>
      </c>
      <c r="D1618" s="34">
        <v>26</v>
      </c>
      <c r="E1618" s="32">
        <f>DAY(TableAopCalendar[[#This Row],[Date]])</f>
        <v>3</v>
      </c>
      <c r="F1618" s="32">
        <f>IF(TableAopCalendar[[#This Row],[Day]]&lt;8,1,IF(TableAopCalendar[[#This Row],[Day]]&lt;15,2,IF(TableAopCalendar[[#This Row],[Day]]&lt;22,3,IF(TableAopCalendar[[#This Row],[Day]]&lt;29,4,IF(TableAopCalendar[[#This Row],[Day]]&lt;32,5)))))</f>
        <v>1</v>
      </c>
      <c r="G1618" s="32" t="str">
        <f t="shared" si="91"/>
        <v>Week 1</v>
      </c>
      <c r="H1618" s="32" t="str">
        <f t="shared" si="92"/>
        <v>September 26 Week 1</v>
      </c>
      <c r="I1618" s="32" t="str">
        <f>CONCATENATE(UPPER(TableAopCalendar[[#This Row],[Month]])," ",TableAopCalendar[[#This Row],[Year]])</f>
        <v>SEPTEMBER 26</v>
      </c>
      <c r="J1618" s="7" t="s">
        <v>274</v>
      </c>
      <c r="K1618" s="32" t="str">
        <f>CONCATENATE(TableAopCalendar[[#This Row],[Month for Plan]]," ",TableAopCalendar[[#This Row],[Plan]])</f>
        <v>SEPTEMBER 26 PLANNED</v>
      </c>
    </row>
    <row r="1619" spans="1:11" x14ac:dyDescent="0.3">
      <c r="A1619" s="32">
        <f t="shared" si="90"/>
        <v>4</v>
      </c>
      <c r="B1619" s="33">
        <v>46269</v>
      </c>
      <c r="C1619" s="6" t="s">
        <v>269</v>
      </c>
      <c r="D1619" s="34">
        <v>26</v>
      </c>
      <c r="E1619" s="32">
        <f>DAY(TableAopCalendar[[#This Row],[Date]])</f>
        <v>4</v>
      </c>
      <c r="F1619" s="32">
        <f>IF(TableAopCalendar[[#This Row],[Day]]&lt;8,1,IF(TableAopCalendar[[#This Row],[Day]]&lt;15,2,IF(TableAopCalendar[[#This Row],[Day]]&lt;22,3,IF(TableAopCalendar[[#This Row],[Day]]&lt;29,4,IF(TableAopCalendar[[#This Row],[Day]]&lt;32,5)))))</f>
        <v>1</v>
      </c>
      <c r="G1619" s="32" t="str">
        <f t="shared" si="91"/>
        <v>Week 1</v>
      </c>
      <c r="H1619" s="32" t="str">
        <f t="shared" si="92"/>
        <v>September 26 Week 1</v>
      </c>
      <c r="I1619" s="32" t="str">
        <f>CONCATENATE(UPPER(TableAopCalendar[[#This Row],[Month]])," ",TableAopCalendar[[#This Row],[Year]])</f>
        <v>SEPTEMBER 26</v>
      </c>
      <c r="J1619" s="7" t="s">
        <v>274</v>
      </c>
      <c r="K1619" s="32" t="str">
        <f>CONCATENATE(TableAopCalendar[[#This Row],[Month for Plan]]," ",TableAopCalendar[[#This Row],[Plan]])</f>
        <v>SEPTEMBER 26 PLANNED</v>
      </c>
    </row>
    <row r="1620" spans="1:11" x14ac:dyDescent="0.3">
      <c r="A1620" s="32">
        <f t="shared" si="90"/>
        <v>5</v>
      </c>
      <c r="B1620" s="33">
        <v>46270</v>
      </c>
      <c r="C1620" s="6" t="s">
        <v>269</v>
      </c>
      <c r="D1620" s="34">
        <v>26</v>
      </c>
      <c r="E1620" s="32">
        <f>DAY(TableAopCalendar[[#This Row],[Date]])</f>
        <v>5</v>
      </c>
      <c r="F1620" s="32">
        <f>IF(TableAopCalendar[[#This Row],[Day]]&lt;8,1,IF(TableAopCalendar[[#This Row],[Day]]&lt;15,2,IF(TableAopCalendar[[#This Row],[Day]]&lt;22,3,IF(TableAopCalendar[[#This Row],[Day]]&lt;29,4,IF(TableAopCalendar[[#This Row],[Day]]&lt;32,5)))))</f>
        <v>1</v>
      </c>
      <c r="G1620" s="32" t="str">
        <f t="shared" si="91"/>
        <v>Week 1</v>
      </c>
      <c r="H1620" s="32" t="str">
        <f t="shared" si="92"/>
        <v>September 26 Week 1</v>
      </c>
      <c r="I1620" s="32" t="str">
        <f>CONCATENATE(UPPER(TableAopCalendar[[#This Row],[Month]])," ",TableAopCalendar[[#This Row],[Year]])</f>
        <v>SEPTEMBER 26</v>
      </c>
      <c r="J1620" s="7" t="s">
        <v>274</v>
      </c>
      <c r="K1620" s="32" t="str">
        <f>CONCATENATE(TableAopCalendar[[#This Row],[Month for Plan]]," ",TableAopCalendar[[#This Row],[Plan]])</f>
        <v>SEPTEMBER 26 PLANNED</v>
      </c>
    </row>
    <row r="1621" spans="1:11" x14ac:dyDescent="0.3">
      <c r="A1621" s="32">
        <f t="shared" si="90"/>
        <v>6</v>
      </c>
      <c r="B1621" s="33">
        <v>46271</v>
      </c>
      <c r="C1621" s="6" t="s">
        <v>269</v>
      </c>
      <c r="D1621" s="34">
        <v>26</v>
      </c>
      <c r="E1621" s="32">
        <f>DAY(TableAopCalendar[[#This Row],[Date]])</f>
        <v>6</v>
      </c>
      <c r="F1621" s="32">
        <f>IF(TableAopCalendar[[#This Row],[Day]]&lt;8,1,IF(TableAopCalendar[[#This Row],[Day]]&lt;15,2,IF(TableAopCalendar[[#This Row],[Day]]&lt;22,3,IF(TableAopCalendar[[#This Row],[Day]]&lt;29,4,IF(TableAopCalendar[[#This Row],[Day]]&lt;32,5)))))</f>
        <v>1</v>
      </c>
      <c r="G1621" s="32" t="str">
        <f t="shared" si="91"/>
        <v>Week 1</v>
      </c>
      <c r="H1621" s="32" t="str">
        <f t="shared" si="92"/>
        <v>September 26 Week 1</v>
      </c>
      <c r="I1621" s="32" t="str">
        <f>CONCATENATE(UPPER(TableAopCalendar[[#This Row],[Month]])," ",TableAopCalendar[[#This Row],[Year]])</f>
        <v>SEPTEMBER 26</v>
      </c>
      <c r="J1621" s="7" t="s">
        <v>274</v>
      </c>
      <c r="K1621" s="32" t="str">
        <f>CONCATENATE(TableAopCalendar[[#This Row],[Month for Plan]]," ",TableAopCalendar[[#This Row],[Plan]])</f>
        <v>SEPTEMBER 26 PLANNED</v>
      </c>
    </row>
    <row r="1622" spans="1:11" x14ac:dyDescent="0.3">
      <c r="A1622" s="32">
        <f t="shared" si="90"/>
        <v>7</v>
      </c>
      <c r="B1622" s="33">
        <v>46272</v>
      </c>
      <c r="C1622" s="6" t="s">
        <v>269</v>
      </c>
      <c r="D1622" s="34">
        <v>26</v>
      </c>
      <c r="E1622" s="32">
        <f>DAY(TableAopCalendar[[#This Row],[Date]])</f>
        <v>7</v>
      </c>
      <c r="F1622" s="32">
        <f>IF(TableAopCalendar[[#This Row],[Day]]&lt;8,1,IF(TableAopCalendar[[#This Row],[Day]]&lt;15,2,IF(TableAopCalendar[[#This Row],[Day]]&lt;22,3,IF(TableAopCalendar[[#This Row],[Day]]&lt;29,4,IF(TableAopCalendar[[#This Row],[Day]]&lt;32,5)))))</f>
        <v>1</v>
      </c>
      <c r="G1622" s="32" t="str">
        <f t="shared" si="91"/>
        <v>Week 1</v>
      </c>
      <c r="H1622" s="32" t="str">
        <f t="shared" si="92"/>
        <v>September 26 Week 1</v>
      </c>
      <c r="I1622" s="32" t="str">
        <f>CONCATENATE(UPPER(TableAopCalendar[[#This Row],[Month]])," ",TableAopCalendar[[#This Row],[Year]])</f>
        <v>SEPTEMBER 26</v>
      </c>
      <c r="J1622" s="7" t="s">
        <v>274</v>
      </c>
      <c r="K1622" s="32" t="str">
        <f>CONCATENATE(TableAopCalendar[[#This Row],[Month for Plan]]," ",TableAopCalendar[[#This Row],[Plan]])</f>
        <v>SEPTEMBER 26 PLANNED</v>
      </c>
    </row>
    <row r="1623" spans="1:11" x14ac:dyDescent="0.3">
      <c r="A1623" s="32">
        <f t="shared" si="90"/>
        <v>1</v>
      </c>
      <c r="B1623" s="33">
        <v>46273</v>
      </c>
      <c r="C1623" s="6" t="s">
        <v>269</v>
      </c>
      <c r="D1623" s="34">
        <v>26</v>
      </c>
      <c r="E1623" s="32">
        <f>DAY(TableAopCalendar[[#This Row],[Date]])</f>
        <v>8</v>
      </c>
      <c r="F1623" s="32">
        <f>IF(TableAopCalendar[[#This Row],[Day]]&lt;8,1,IF(TableAopCalendar[[#This Row],[Day]]&lt;15,2,IF(TableAopCalendar[[#This Row],[Day]]&lt;22,3,IF(TableAopCalendar[[#This Row],[Day]]&lt;29,4,IF(TableAopCalendar[[#This Row],[Day]]&lt;32,5)))))</f>
        <v>2</v>
      </c>
      <c r="G1623" s="32" t="str">
        <f t="shared" si="91"/>
        <v>Week 2</v>
      </c>
      <c r="H1623" s="32" t="str">
        <f t="shared" si="92"/>
        <v>September 26 Week 2</v>
      </c>
      <c r="I1623" s="32" t="str">
        <f>CONCATENATE(UPPER(TableAopCalendar[[#This Row],[Month]])," ",TableAopCalendar[[#This Row],[Year]])</f>
        <v>SEPTEMBER 26</v>
      </c>
      <c r="J1623" s="7" t="s">
        <v>274</v>
      </c>
      <c r="K1623" s="32" t="str">
        <f>CONCATENATE(TableAopCalendar[[#This Row],[Month for Plan]]," ",TableAopCalendar[[#This Row],[Plan]])</f>
        <v>SEPTEMBER 26 PLANNED</v>
      </c>
    </row>
    <row r="1624" spans="1:11" x14ac:dyDescent="0.3">
      <c r="A1624" s="32">
        <f t="shared" si="90"/>
        <v>2</v>
      </c>
      <c r="B1624" s="33">
        <v>46274</v>
      </c>
      <c r="C1624" s="6" t="s">
        <v>269</v>
      </c>
      <c r="D1624" s="34">
        <v>26</v>
      </c>
      <c r="E1624" s="32">
        <f>DAY(TableAopCalendar[[#This Row],[Date]])</f>
        <v>9</v>
      </c>
      <c r="F1624" s="32">
        <f>IF(TableAopCalendar[[#This Row],[Day]]&lt;8,1,IF(TableAopCalendar[[#This Row],[Day]]&lt;15,2,IF(TableAopCalendar[[#This Row],[Day]]&lt;22,3,IF(TableAopCalendar[[#This Row],[Day]]&lt;29,4,IF(TableAopCalendar[[#This Row],[Day]]&lt;32,5)))))</f>
        <v>2</v>
      </c>
      <c r="G1624" s="32" t="str">
        <f t="shared" si="91"/>
        <v>Week 2</v>
      </c>
      <c r="H1624" s="32" t="str">
        <f t="shared" si="92"/>
        <v>September 26 Week 2</v>
      </c>
      <c r="I1624" s="32" t="str">
        <f>CONCATENATE(UPPER(TableAopCalendar[[#This Row],[Month]])," ",TableAopCalendar[[#This Row],[Year]])</f>
        <v>SEPTEMBER 26</v>
      </c>
      <c r="J1624" s="7" t="s">
        <v>274</v>
      </c>
      <c r="K1624" s="32" t="str">
        <f>CONCATENATE(TableAopCalendar[[#This Row],[Month for Plan]]," ",TableAopCalendar[[#This Row],[Plan]])</f>
        <v>SEPTEMBER 26 PLANNED</v>
      </c>
    </row>
    <row r="1625" spans="1:11" x14ac:dyDescent="0.3">
      <c r="A1625" s="32">
        <f t="shared" si="90"/>
        <v>3</v>
      </c>
      <c r="B1625" s="33">
        <v>46275</v>
      </c>
      <c r="C1625" s="6" t="s">
        <v>269</v>
      </c>
      <c r="D1625" s="34">
        <v>26</v>
      </c>
      <c r="E1625" s="32">
        <f>DAY(TableAopCalendar[[#This Row],[Date]])</f>
        <v>10</v>
      </c>
      <c r="F1625" s="32">
        <f>IF(TableAopCalendar[[#This Row],[Day]]&lt;8,1,IF(TableAopCalendar[[#This Row],[Day]]&lt;15,2,IF(TableAopCalendar[[#This Row],[Day]]&lt;22,3,IF(TableAopCalendar[[#This Row],[Day]]&lt;29,4,IF(TableAopCalendar[[#This Row],[Day]]&lt;32,5)))))</f>
        <v>2</v>
      </c>
      <c r="G1625" s="32" t="str">
        <f t="shared" si="91"/>
        <v>Week 2</v>
      </c>
      <c r="H1625" s="32" t="str">
        <f t="shared" si="92"/>
        <v>September 26 Week 2</v>
      </c>
      <c r="I1625" s="32" t="str">
        <f>CONCATENATE(UPPER(TableAopCalendar[[#This Row],[Month]])," ",TableAopCalendar[[#This Row],[Year]])</f>
        <v>SEPTEMBER 26</v>
      </c>
      <c r="J1625" s="7" t="s">
        <v>274</v>
      </c>
      <c r="K1625" s="32" t="str">
        <f>CONCATENATE(TableAopCalendar[[#This Row],[Month for Plan]]," ",TableAopCalendar[[#This Row],[Plan]])</f>
        <v>SEPTEMBER 26 PLANNED</v>
      </c>
    </row>
    <row r="1626" spans="1:11" x14ac:dyDescent="0.3">
      <c r="A1626" s="32">
        <f t="shared" si="90"/>
        <v>4</v>
      </c>
      <c r="B1626" s="33">
        <v>46276</v>
      </c>
      <c r="C1626" s="6" t="s">
        <v>269</v>
      </c>
      <c r="D1626" s="34">
        <v>26</v>
      </c>
      <c r="E1626" s="32">
        <f>DAY(TableAopCalendar[[#This Row],[Date]])</f>
        <v>11</v>
      </c>
      <c r="F1626" s="32">
        <f>IF(TableAopCalendar[[#This Row],[Day]]&lt;8,1,IF(TableAopCalendar[[#This Row],[Day]]&lt;15,2,IF(TableAopCalendar[[#This Row],[Day]]&lt;22,3,IF(TableAopCalendar[[#This Row],[Day]]&lt;29,4,IF(TableAopCalendar[[#This Row],[Day]]&lt;32,5)))))</f>
        <v>2</v>
      </c>
      <c r="G1626" s="32" t="str">
        <f t="shared" si="91"/>
        <v>Week 2</v>
      </c>
      <c r="H1626" s="32" t="str">
        <f t="shared" si="92"/>
        <v>September 26 Week 2</v>
      </c>
      <c r="I1626" s="32" t="str">
        <f>CONCATENATE(UPPER(TableAopCalendar[[#This Row],[Month]])," ",TableAopCalendar[[#This Row],[Year]])</f>
        <v>SEPTEMBER 26</v>
      </c>
      <c r="J1626" s="7" t="s">
        <v>274</v>
      </c>
      <c r="K1626" s="32" t="str">
        <f>CONCATENATE(TableAopCalendar[[#This Row],[Month for Plan]]," ",TableAopCalendar[[#This Row],[Plan]])</f>
        <v>SEPTEMBER 26 PLANNED</v>
      </c>
    </row>
    <row r="1627" spans="1:11" x14ac:dyDescent="0.3">
      <c r="A1627" s="32">
        <f t="shared" si="90"/>
        <v>5</v>
      </c>
      <c r="B1627" s="33">
        <v>46277</v>
      </c>
      <c r="C1627" s="6" t="s">
        <v>269</v>
      </c>
      <c r="D1627" s="34">
        <v>26</v>
      </c>
      <c r="E1627" s="32">
        <f>DAY(TableAopCalendar[[#This Row],[Date]])</f>
        <v>12</v>
      </c>
      <c r="F1627" s="32">
        <f>IF(TableAopCalendar[[#This Row],[Day]]&lt;8,1,IF(TableAopCalendar[[#This Row],[Day]]&lt;15,2,IF(TableAopCalendar[[#This Row],[Day]]&lt;22,3,IF(TableAopCalendar[[#This Row],[Day]]&lt;29,4,IF(TableAopCalendar[[#This Row],[Day]]&lt;32,5)))))</f>
        <v>2</v>
      </c>
      <c r="G1627" s="32" t="str">
        <f t="shared" si="91"/>
        <v>Week 2</v>
      </c>
      <c r="H1627" s="32" t="str">
        <f t="shared" si="92"/>
        <v>September 26 Week 2</v>
      </c>
      <c r="I1627" s="32" t="str">
        <f>CONCATENATE(UPPER(TableAopCalendar[[#This Row],[Month]])," ",TableAopCalendar[[#This Row],[Year]])</f>
        <v>SEPTEMBER 26</v>
      </c>
      <c r="J1627" s="7" t="s">
        <v>274</v>
      </c>
      <c r="K1627" s="32" t="str">
        <f>CONCATENATE(TableAopCalendar[[#This Row],[Month for Plan]]," ",TableAopCalendar[[#This Row],[Plan]])</f>
        <v>SEPTEMBER 26 PLANNED</v>
      </c>
    </row>
    <row r="1628" spans="1:11" x14ac:dyDescent="0.3">
      <c r="A1628" s="32">
        <f t="shared" si="90"/>
        <v>6</v>
      </c>
      <c r="B1628" s="33">
        <v>46278</v>
      </c>
      <c r="C1628" s="6" t="s">
        <v>269</v>
      </c>
      <c r="D1628" s="34">
        <v>26</v>
      </c>
      <c r="E1628" s="32">
        <f>DAY(TableAopCalendar[[#This Row],[Date]])</f>
        <v>13</v>
      </c>
      <c r="F1628" s="32">
        <f>IF(TableAopCalendar[[#This Row],[Day]]&lt;8,1,IF(TableAopCalendar[[#This Row],[Day]]&lt;15,2,IF(TableAopCalendar[[#This Row],[Day]]&lt;22,3,IF(TableAopCalendar[[#This Row],[Day]]&lt;29,4,IF(TableAopCalendar[[#This Row],[Day]]&lt;32,5)))))</f>
        <v>2</v>
      </c>
      <c r="G1628" s="32" t="str">
        <f t="shared" si="91"/>
        <v>Week 2</v>
      </c>
      <c r="H1628" s="32" t="str">
        <f t="shared" si="92"/>
        <v>September 26 Week 2</v>
      </c>
      <c r="I1628" s="32" t="str">
        <f>CONCATENATE(UPPER(TableAopCalendar[[#This Row],[Month]])," ",TableAopCalendar[[#This Row],[Year]])</f>
        <v>SEPTEMBER 26</v>
      </c>
      <c r="J1628" s="7" t="s">
        <v>274</v>
      </c>
      <c r="K1628" s="32" t="str">
        <f>CONCATENATE(TableAopCalendar[[#This Row],[Month for Plan]]," ",TableAopCalendar[[#This Row],[Plan]])</f>
        <v>SEPTEMBER 26 PLANNED</v>
      </c>
    </row>
    <row r="1629" spans="1:11" x14ac:dyDescent="0.3">
      <c r="A1629" s="32">
        <f t="shared" si="90"/>
        <v>7</v>
      </c>
      <c r="B1629" s="33">
        <v>46279</v>
      </c>
      <c r="C1629" s="6" t="s">
        <v>269</v>
      </c>
      <c r="D1629" s="34">
        <v>26</v>
      </c>
      <c r="E1629" s="32">
        <f>DAY(TableAopCalendar[[#This Row],[Date]])</f>
        <v>14</v>
      </c>
      <c r="F1629" s="32">
        <f>IF(TableAopCalendar[[#This Row],[Day]]&lt;8,1,IF(TableAopCalendar[[#This Row],[Day]]&lt;15,2,IF(TableAopCalendar[[#This Row],[Day]]&lt;22,3,IF(TableAopCalendar[[#This Row],[Day]]&lt;29,4,IF(TableAopCalendar[[#This Row],[Day]]&lt;32,5)))))</f>
        <v>2</v>
      </c>
      <c r="G1629" s="32" t="str">
        <f t="shared" si="91"/>
        <v>Week 2</v>
      </c>
      <c r="H1629" s="32" t="str">
        <f t="shared" si="92"/>
        <v>September 26 Week 2</v>
      </c>
      <c r="I1629" s="32" t="str">
        <f>CONCATENATE(UPPER(TableAopCalendar[[#This Row],[Month]])," ",TableAopCalendar[[#This Row],[Year]])</f>
        <v>SEPTEMBER 26</v>
      </c>
      <c r="J1629" s="7" t="s">
        <v>274</v>
      </c>
      <c r="K1629" s="32" t="str">
        <f>CONCATENATE(TableAopCalendar[[#This Row],[Month for Plan]]," ",TableAopCalendar[[#This Row],[Plan]])</f>
        <v>SEPTEMBER 26 PLANNED</v>
      </c>
    </row>
    <row r="1630" spans="1:11" x14ac:dyDescent="0.3">
      <c r="A1630" s="32">
        <f t="shared" si="90"/>
        <v>1</v>
      </c>
      <c r="B1630" s="33">
        <v>46280</v>
      </c>
      <c r="C1630" s="6" t="s">
        <v>269</v>
      </c>
      <c r="D1630" s="34">
        <v>26</v>
      </c>
      <c r="E1630" s="32">
        <f>DAY(TableAopCalendar[[#This Row],[Date]])</f>
        <v>15</v>
      </c>
      <c r="F1630" s="32">
        <f>IF(TableAopCalendar[[#This Row],[Day]]&lt;8,1,IF(TableAopCalendar[[#This Row],[Day]]&lt;15,2,IF(TableAopCalendar[[#This Row],[Day]]&lt;22,3,IF(TableAopCalendar[[#This Row],[Day]]&lt;29,4,IF(TableAopCalendar[[#This Row],[Day]]&lt;32,5)))))</f>
        <v>3</v>
      </c>
      <c r="G1630" s="32" t="str">
        <f t="shared" si="91"/>
        <v>Week 3</v>
      </c>
      <c r="H1630" s="32" t="str">
        <f t="shared" si="92"/>
        <v>September 26 Week 3</v>
      </c>
      <c r="I1630" s="32" t="str">
        <f>CONCATENATE(UPPER(TableAopCalendar[[#This Row],[Month]])," ",TableAopCalendar[[#This Row],[Year]])</f>
        <v>SEPTEMBER 26</v>
      </c>
      <c r="J1630" s="7" t="s">
        <v>274</v>
      </c>
      <c r="K1630" s="32" t="str">
        <f>CONCATENATE(TableAopCalendar[[#This Row],[Month for Plan]]," ",TableAopCalendar[[#This Row],[Plan]])</f>
        <v>SEPTEMBER 26 PLANNED</v>
      </c>
    </row>
    <row r="1631" spans="1:11" x14ac:dyDescent="0.3">
      <c r="A1631" s="32">
        <f t="shared" si="90"/>
        <v>2</v>
      </c>
      <c r="B1631" s="33">
        <v>46281</v>
      </c>
      <c r="C1631" s="6" t="s">
        <v>269</v>
      </c>
      <c r="D1631" s="34">
        <v>26</v>
      </c>
      <c r="E1631" s="32">
        <f>DAY(TableAopCalendar[[#This Row],[Date]])</f>
        <v>16</v>
      </c>
      <c r="F1631" s="32">
        <f>IF(TableAopCalendar[[#This Row],[Day]]&lt;8,1,IF(TableAopCalendar[[#This Row],[Day]]&lt;15,2,IF(TableAopCalendar[[#This Row],[Day]]&lt;22,3,IF(TableAopCalendar[[#This Row],[Day]]&lt;29,4,IF(TableAopCalendar[[#This Row],[Day]]&lt;32,5)))))</f>
        <v>3</v>
      </c>
      <c r="G1631" s="32" t="str">
        <f t="shared" si="91"/>
        <v>Week 3</v>
      </c>
      <c r="H1631" s="32" t="str">
        <f t="shared" si="92"/>
        <v>September 26 Week 3</v>
      </c>
      <c r="I1631" s="32" t="str">
        <f>CONCATENATE(UPPER(TableAopCalendar[[#This Row],[Month]])," ",TableAopCalendar[[#This Row],[Year]])</f>
        <v>SEPTEMBER 26</v>
      </c>
      <c r="J1631" s="7" t="s">
        <v>274</v>
      </c>
      <c r="K1631" s="32" t="str">
        <f>CONCATENATE(TableAopCalendar[[#This Row],[Month for Plan]]," ",TableAopCalendar[[#This Row],[Plan]])</f>
        <v>SEPTEMBER 26 PLANNED</v>
      </c>
    </row>
    <row r="1632" spans="1:11" x14ac:dyDescent="0.3">
      <c r="A1632" s="32">
        <f t="shared" si="90"/>
        <v>3</v>
      </c>
      <c r="B1632" s="33">
        <v>46282</v>
      </c>
      <c r="C1632" s="6" t="s">
        <v>269</v>
      </c>
      <c r="D1632" s="34">
        <v>26</v>
      </c>
      <c r="E1632" s="32">
        <f>DAY(TableAopCalendar[[#This Row],[Date]])</f>
        <v>17</v>
      </c>
      <c r="F1632" s="32">
        <f>IF(TableAopCalendar[[#This Row],[Day]]&lt;8,1,IF(TableAopCalendar[[#This Row],[Day]]&lt;15,2,IF(TableAopCalendar[[#This Row],[Day]]&lt;22,3,IF(TableAopCalendar[[#This Row],[Day]]&lt;29,4,IF(TableAopCalendar[[#This Row],[Day]]&lt;32,5)))))</f>
        <v>3</v>
      </c>
      <c r="G1632" s="32" t="str">
        <f t="shared" si="91"/>
        <v>Week 3</v>
      </c>
      <c r="H1632" s="32" t="str">
        <f t="shared" si="92"/>
        <v>September 26 Week 3</v>
      </c>
      <c r="I1632" s="32" t="str">
        <f>CONCATENATE(UPPER(TableAopCalendar[[#This Row],[Month]])," ",TableAopCalendar[[#This Row],[Year]])</f>
        <v>SEPTEMBER 26</v>
      </c>
      <c r="J1632" s="7" t="s">
        <v>274</v>
      </c>
      <c r="K1632" s="32" t="str">
        <f>CONCATENATE(TableAopCalendar[[#This Row],[Month for Plan]]," ",TableAopCalendar[[#This Row],[Plan]])</f>
        <v>SEPTEMBER 26 PLANNED</v>
      </c>
    </row>
    <row r="1633" spans="1:11" x14ac:dyDescent="0.3">
      <c r="A1633" s="32">
        <f t="shared" si="90"/>
        <v>4</v>
      </c>
      <c r="B1633" s="33">
        <v>46283</v>
      </c>
      <c r="C1633" s="6" t="s">
        <v>269</v>
      </c>
      <c r="D1633" s="34">
        <v>26</v>
      </c>
      <c r="E1633" s="32">
        <f>DAY(TableAopCalendar[[#This Row],[Date]])</f>
        <v>18</v>
      </c>
      <c r="F1633" s="32">
        <f>IF(TableAopCalendar[[#This Row],[Day]]&lt;8,1,IF(TableAopCalendar[[#This Row],[Day]]&lt;15,2,IF(TableAopCalendar[[#This Row],[Day]]&lt;22,3,IF(TableAopCalendar[[#This Row],[Day]]&lt;29,4,IF(TableAopCalendar[[#This Row],[Day]]&lt;32,5)))))</f>
        <v>3</v>
      </c>
      <c r="G1633" s="32" t="str">
        <f t="shared" si="91"/>
        <v>Week 3</v>
      </c>
      <c r="H1633" s="32" t="str">
        <f t="shared" si="92"/>
        <v>September 26 Week 3</v>
      </c>
      <c r="I1633" s="32" t="str">
        <f>CONCATENATE(UPPER(TableAopCalendar[[#This Row],[Month]])," ",TableAopCalendar[[#This Row],[Year]])</f>
        <v>SEPTEMBER 26</v>
      </c>
      <c r="J1633" s="7" t="s">
        <v>274</v>
      </c>
      <c r="K1633" s="32" t="str">
        <f>CONCATENATE(TableAopCalendar[[#This Row],[Month for Plan]]," ",TableAopCalendar[[#This Row],[Plan]])</f>
        <v>SEPTEMBER 26 PLANNED</v>
      </c>
    </row>
    <row r="1634" spans="1:11" x14ac:dyDescent="0.3">
      <c r="A1634" s="32">
        <f t="shared" si="90"/>
        <v>5</v>
      </c>
      <c r="B1634" s="33">
        <v>46284</v>
      </c>
      <c r="C1634" s="6" t="s">
        <v>269</v>
      </c>
      <c r="D1634" s="34">
        <v>26</v>
      </c>
      <c r="E1634" s="32">
        <f>DAY(TableAopCalendar[[#This Row],[Date]])</f>
        <v>19</v>
      </c>
      <c r="F1634" s="32">
        <f>IF(TableAopCalendar[[#This Row],[Day]]&lt;8,1,IF(TableAopCalendar[[#This Row],[Day]]&lt;15,2,IF(TableAopCalendar[[#This Row],[Day]]&lt;22,3,IF(TableAopCalendar[[#This Row],[Day]]&lt;29,4,IF(TableAopCalendar[[#This Row],[Day]]&lt;32,5)))))</f>
        <v>3</v>
      </c>
      <c r="G1634" s="32" t="str">
        <f t="shared" si="91"/>
        <v>Week 3</v>
      </c>
      <c r="H1634" s="32" t="str">
        <f t="shared" si="92"/>
        <v>September 26 Week 3</v>
      </c>
      <c r="I1634" s="32" t="str">
        <f>CONCATENATE(UPPER(TableAopCalendar[[#This Row],[Month]])," ",TableAopCalendar[[#This Row],[Year]])</f>
        <v>SEPTEMBER 26</v>
      </c>
      <c r="J1634" s="7" t="s">
        <v>274</v>
      </c>
      <c r="K1634" s="32" t="str">
        <f>CONCATENATE(TableAopCalendar[[#This Row],[Month for Plan]]," ",TableAopCalendar[[#This Row],[Plan]])</f>
        <v>SEPTEMBER 26 PLANNED</v>
      </c>
    </row>
    <row r="1635" spans="1:11" x14ac:dyDescent="0.3">
      <c r="A1635" s="32">
        <f t="shared" si="90"/>
        <v>6</v>
      </c>
      <c r="B1635" s="33">
        <v>46285</v>
      </c>
      <c r="C1635" s="6" t="s">
        <v>269</v>
      </c>
      <c r="D1635" s="34">
        <v>26</v>
      </c>
      <c r="E1635" s="32">
        <f>DAY(TableAopCalendar[[#This Row],[Date]])</f>
        <v>20</v>
      </c>
      <c r="F1635" s="32">
        <f>IF(TableAopCalendar[[#This Row],[Day]]&lt;8,1,IF(TableAopCalendar[[#This Row],[Day]]&lt;15,2,IF(TableAopCalendar[[#This Row],[Day]]&lt;22,3,IF(TableAopCalendar[[#This Row],[Day]]&lt;29,4,IF(TableAopCalendar[[#This Row],[Day]]&lt;32,5)))))</f>
        <v>3</v>
      </c>
      <c r="G1635" s="32" t="str">
        <f t="shared" si="91"/>
        <v>Week 3</v>
      </c>
      <c r="H1635" s="32" t="str">
        <f t="shared" si="92"/>
        <v>September 26 Week 3</v>
      </c>
      <c r="I1635" s="32" t="str">
        <f>CONCATENATE(UPPER(TableAopCalendar[[#This Row],[Month]])," ",TableAopCalendar[[#This Row],[Year]])</f>
        <v>SEPTEMBER 26</v>
      </c>
      <c r="J1635" s="7" t="s">
        <v>274</v>
      </c>
      <c r="K1635" s="32" t="str">
        <f>CONCATENATE(TableAopCalendar[[#This Row],[Month for Plan]]," ",TableAopCalendar[[#This Row],[Plan]])</f>
        <v>SEPTEMBER 26 PLANNED</v>
      </c>
    </row>
    <row r="1636" spans="1:11" x14ac:dyDescent="0.3">
      <c r="A1636" s="32">
        <f t="shared" si="90"/>
        <v>7</v>
      </c>
      <c r="B1636" s="33">
        <v>46286</v>
      </c>
      <c r="C1636" s="6" t="s">
        <v>269</v>
      </c>
      <c r="D1636" s="34">
        <v>26</v>
      </c>
      <c r="E1636" s="32">
        <f>DAY(TableAopCalendar[[#This Row],[Date]])</f>
        <v>21</v>
      </c>
      <c r="F1636" s="32">
        <f>IF(TableAopCalendar[[#This Row],[Day]]&lt;8,1,IF(TableAopCalendar[[#This Row],[Day]]&lt;15,2,IF(TableAopCalendar[[#This Row],[Day]]&lt;22,3,IF(TableAopCalendar[[#This Row],[Day]]&lt;29,4,IF(TableAopCalendar[[#This Row],[Day]]&lt;32,5)))))</f>
        <v>3</v>
      </c>
      <c r="G1636" s="32" t="str">
        <f t="shared" si="91"/>
        <v>Week 3</v>
      </c>
      <c r="H1636" s="32" t="str">
        <f t="shared" si="92"/>
        <v>September 26 Week 3</v>
      </c>
      <c r="I1636" s="32" t="str">
        <f>CONCATENATE(UPPER(TableAopCalendar[[#This Row],[Month]])," ",TableAopCalendar[[#This Row],[Year]])</f>
        <v>SEPTEMBER 26</v>
      </c>
      <c r="J1636" s="7" t="s">
        <v>274</v>
      </c>
      <c r="K1636" s="32" t="str">
        <f>CONCATENATE(TableAopCalendar[[#This Row],[Month for Plan]]," ",TableAopCalendar[[#This Row],[Plan]])</f>
        <v>SEPTEMBER 26 PLANNED</v>
      </c>
    </row>
    <row r="1637" spans="1:11" x14ac:dyDescent="0.3">
      <c r="A1637" s="32">
        <f t="shared" si="90"/>
        <v>1</v>
      </c>
      <c r="B1637" s="33">
        <v>46287</v>
      </c>
      <c r="C1637" s="6" t="s">
        <v>269</v>
      </c>
      <c r="D1637" s="34">
        <v>26</v>
      </c>
      <c r="E1637" s="32">
        <f>DAY(TableAopCalendar[[#This Row],[Date]])</f>
        <v>22</v>
      </c>
      <c r="F1637" s="32">
        <f>IF(TableAopCalendar[[#This Row],[Day]]&lt;8,1,IF(TableAopCalendar[[#This Row],[Day]]&lt;15,2,IF(TableAopCalendar[[#This Row],[Day]]&lt;22,3,IF(TableAopCalendar[[#This Row],[Day]]&lt;29,4,IF(TableAopCalendar[[#This Row],[Day]]&lt;32,5)))))</f>
        <v>4</v>
      </c>
      <c r="G1637" s="32" t="str">
        <f t="shared" si="91"/>
        <v>Week 4</v>
      </c>
      <c r="H1637" s="32" t="str">
        <f t="shared" si="92"/>
        <v>September 26 Week 4</v>
      </c>
      <c r="I1637" s="32" t="str">
        <f>CONCATENATE(UPPER(TableAopCalendar[[#This Row],[Month]])," ",TableAopCalendar[[#This Row],[Year]])</f>
        <v>SEPTEMBER 26</v>
      </c>
      <c r="J1637" s="7" t="s">
        <v>274</v>
      </c>
      <c r="K1637" s="32" t="str">
        <f>CONCATENATE(TableAopCalendar[[#This Row],[Month for Plan]]," ",TableAopCalendar[[#This Row],[Plan]])</f>
        <v>SEPTEMBER 26 PLANNED</v>
      </c>
    </row>
    <row r="1638" spans="1:11" x14ac:dyDescent="0.3">
      <c r="A1638" s="32">
        <f t="shared" si="90"/>
        <v>2</v>
      </c>
      <c r="B1638" s="33">
        <v>46288</v>
      </c>
      <c r="C1638" s="6" t="s">
        <v>269</v>
      </c>
      <c r="D1638" s="34">
        <v>26</v>
      </c>
      <c r="E1638" s="32">
        <f>DAY(TableAopCalendar[[#This Row],[Date]])</f>
        <v>23</v>
      </c>
      <c r="F1638" s="32">
        <f>IF(TableAopCalendar[[#This Row],[Day]]&lt;8,1,IF(TableAopCalendar[[#This Row],[Day]]&lt;15,2,IF(TableAopCalendar[[#This Row],[Day]]&lt;22,3,IF(TableAopCalendar[[#This Row],[Day]]&lt;29,4,IF(TableAopCalendar[[#This Row],[Day]]&lt;32,5)))))</f>
        <v>4</v>
      </c>
      <c r="G1638" s="32" t="str">
        <f t="shared" si="91"/>
        <v>Week 4</v>
      </c>
      <c r="H1638" s="32" t="str">
        <f t="shared" si="92"/>
        <v>September 26 Week 4</v>
      </c>
      <c r="I1638" s="32" t="str">
        <f>CONCATENATE(UPPER(TableAopCalendar[[#This Row],[Month]])," ",TableAopCalendar[[#This Row],[Year]])</f>
        <v>SEPTEMBER 26</v>
      </c>
      <c r="J1638" s="7" t="s">
        <v>274</v>
      </c>
      <c r="K1638" s="32" t="str">
        <f>CONCATENATE(TableAopCalendar[[#This Row],[Month for Plan]]," ",TableAopCalendar[[#This Row],[Plan]])</f>
        <v>SEPTEMBER 26 PLANNED</v>
      </c>
    </row>
    <row r="1639" spans="1:11" x14ac:dyDescent="0.3">
      <c r="A1639" s="32">
        <f t="shared" si="90"/>
        <v>3</v>
      </c>
      <c r="B1639" s="33">
        <v>46289</v>
      </c>
      <c r="C1639" s="6" t="s">
        <v>269</v>
      </c>
      <c r="D1639" s="34">
        <v>26</v>
      </c>
      <c r="E1639" s="32">
        <f>DAY(TableAopCalendar[[#This Row],[Date]])</f>
        <v>24</v>
      </c>
      <c r="F1639" s="32">
        <f>IF(TableAopCalendar[[#This Row],[Day]]&lt;8,1,IF(TableAopCalendar[[#This Row],[Day]]&lt;15,2,IF(TableAopCalendar[[#This Row],[Day]]&lt;22,3,IF(TableAopCalendar[[#This Row],[Day]]&lt;29,4,IF(TableAopCalendar[[#This Row],[Day]]&lt;32,5)))))</f>
        <v>4</v>
      </c>
      <c r="G1639" s="32" t="str">
        <f t="shared" si="91"/>
        <v>Week 4</v>
      </c>
      <c r="H1639" s="32" t="str">
        <f t="shared" si="92"/>
        <v>September 26 Week 4</v>
      </c>
      <c r="I1639" s="32" t="str">
        <f>CONCATENATE(UPPER(TableAopCalendar[[#This Row],[Month]])," ",TableAopCalendar[[#This Row],[Year]])</f>
        <v>SEPTEMBER 26</v>
      </c>
      <c r="J1639" s="7" t="s">
        <v>274</v>
      </c>
      <c r="K1639" s="32" t="str">
        <f>CONCATENATE(TableAopCalendar[[#This Row],[Month for Plan]]," ",TableAopCalendar[[#This Row],[Plan]])</f>
        <v>SEPTEMBER 26 PLANNED</v>
      </c>
    </row>
    <row r="1640" spans="1:11" x14ac:dyDescent="0.3">
      <c r="A1640" s="32">
        <f t="shared" si="90"/>
        <v>4</v>
      </c>
      <c r="B1640" s="33">
        <v>46290</v>
      </c>
      <c r="C1640" s="6" t="s">
        <v>269</v>
      </c>
      <c r="D1640" s="34">
        <v>26</v>
      </c>
      <c r="E1640" s="32">
        <f>DAY(TableAopCalendar[[#This Row],[Date]])</f>
        <v>25</v>
      </c>
      <c r="F1640" s="32">
        <f>IF(TableAopCalendar[[#This Row],[Day]]&lt;8,1,IF(TableAopCalendar[[#This Row],[Day]]&lt;15,2,IF(TableAopCalendar[[#This Row],[Day]]&lt;22,3,IF(TableAopCalendar[[#This Row],[Day]]&lt;29,4,IF(TableAopCalendar[[#This Row],[Day]]&lt;32,5)))))</f>
        <v>4</v>
      </c>
      <c r="G1640" s="32" t="str">
        <f t="shared" si="91"/>
        <v>Week 4</v>
      </c>
      <c r="H1640" s="32" t="str">
        <f t="shared" si="92"/>
        <v>September 26 Week 4</v>
      </c>
      <c r="I1640" s="32" t="str">
        <f>CONCATENATE(UPPER(TableAopCalendar[[#This Row],[Month]])," ",TableAopCalendar[[#This Row],[Year]])</f>
        <v>SEPTEMBER 26</v>
      </c>
      <c r="J1640" s="7" t="s">
        <v>274</v>
      </c>
      <c r="K1640" s="32" t="str">
        <f>CONCATENATE(TableAopCalendar[[#This Row],[Month for Plan]]," ",TableAopCalendar[[#This Row],[Plan]])</f>
        <v>SEPTEMBER 26 PLANNED</v>
      </c>
    </row>
    <row r="1641" spans="1:11" x14ac:dyDescent="0.3">
      <c r="A1641" s="32">
        <f t="shared" si="90"/>
        <v>5</v>
      </c>
      <c r="B1641" s="33">
        <v>46291</v>
      </c>
      <c r="C1641" s="6" t="s">
        <v>269</v>
      </c>
      <c r="D1641" s="34">
        <v>26</v>
      </c>
      <c r="E1641" s="32">
        <f>DAY(TableAopCalendar[[#This Row],[Date]])</f>
        <v>26</v>
      </c>
      <c r="F1641" s="32">
        <f>IF(TableAopCalendar[[#This Row],[Day]]&lt;8,1,IF(TableAopCalendar[[#This Row],[Day]]&lt;15,2,IF(TableAopCalendar[[#This Row],[Day]]&lt;22,3,IF(TableAopCalendar[[#This Row],[Day]]&lt;29,4,IF(TableAopCalendar[[#This Row],[Day]]&lt;32,5)))))</f>
        <v>4</v>
      </c>
      <c r="G1641" s="32" t="str">
        <f t="shared" si="91"/>
        <v>Week 4</v>
      </c>
      <c r="H1641" s="32" t="str">
        <f t="shared" si="92"/>
        <v>September 26 Week 4</v>
      </c>
      <c r="I1641" s="32" t="str">
        <f>CONCATENATE(UPPER(TableAopCalendar[[#This Row],[Month]])," ",TableAopCalendar[[#This Row],[Year]])</f>
        <v>SEPTEMBER 26</v>
      </c>
      <c r="J1641" s="7" t="s">
        <v>274</v>
      </c>
      <c r="K1641" s="32" t="str">
        <f>CONCATENATE(TableAopCalendar[[#This Row],[Month for Plan]]," ",TableAopCalendar[[#This Row],[Plan]])</f>
        <v>SEPTEMBER 26 PLANNED</v>
      </c>
    </row>
    <row r="1642" spans="1:11" x14ac:dyDescent="0.3">
      <c r="A1642" s="32">
        <f t="shared" si="90"/>
        <v>6</v>
      </c>
      <c r="B1642" s="33">
        <v>46292</v>
      </c>
      <c r="C1642" s="6" t="s">
        <v>269</v>
      </c>
      <c r="D1642" s="34">
        <v>26</v>
      </c>
      <c r="E1642" s="32">
        <f>DAY(TableAopCalendar[[#This Row],[Date]])</f>
        <v>27</v>
      </c>
      <c r="F1642" s="32">
        <f>IF(TableAopCalendar[[#This Row],[Day]]&lt;8,1,IF(TableAopCalendar[[#This Row],[Day]]&lt;15,2,IF(TableAopCalendar[[#This Row],[Day]]&lt;22,3,IF(TableAopCalendar[[#This Row],[Day]]&lt;29,4,IF(TableAopCalendar[[#This Row],[Day]]&lt;32,5)))))</f>
        <v>4</v>
      </c>
      <c r="G1642" s="32" t="str">
        <f t="shared" si="91"/>
        <v>Week 4</v>
      </c>
      <c r="H1642" s="32" t="str">
        <f t="shared" si="92"/>
        <v>September 26 Week 4</v>
      </c>
      <c r="I1642" s="32" t="str">
        <f>CONCATENATE(UPPER(TableAopCalendar[[#This Row],[Month]])," ",TableAopCalendar[[#This Row],[Year]])</f>
        <v>SEPTEMBER 26</v>
      </c>
      <c r="J1642" s="7" t="s">
        <v>274</v>
      </c>
      <c r="K1642" s="32" t="str">
        <f>CONCATENATE(TableAopCalendar[[#This Row],[Month for Plan]]," ",TableAopCalendar[[#This Row],[Plan]])</f>
        <v>SEPTEMBER 26 PLANNED</v>
      </c>
    </row>
    <row r="1643" spans="1:11" x14ac:dyDescent="0.3">
      <c r="A1643" s="32">
        <f t="shared" si="90"/>
        <v>7</v>
      </c>
      <c r="B1643" s="33">
        <v>46293</v>
      </c>
      <c r="C1643" s="6" t="s">
        <v>269</v>
      </c>
      <c r="D1643" s="34">
        <v>26</v>
      </c>
      <c r="E1643" s="32">
        <f>DAY(TableAopCalendar[[#This Row],[Date]])</f>
        <v>28</v>
      </c>
      <c r="F1643" s="32">
        <f>IF(TableAopCalendar[[#This Row],[Day]]&lt;8,1,IF(TableAopCalendar[[#This Row],[Day]]&lt;15,2,IF(TableAopCalendar[[#This Row],[Day]]&lt;22,3,IF(TableAopCalendar[[#This Row],[Day]]&lt;29,4,IF(TableAopCalendar[[#This Row],[Day]]&lt;32,5)))))</f>
        <v>4</v>
      </c>
      <c r="G1643" s="32" t="str">
        <f t="shared" si="91"/>
        <v>Week 4</v>
      </c>
      <c r="H1643" s="32" t="str">
        <f t="shared" si="92"/>
        <v>September 26 Week 4</v>
      </c>
      <c r="I1643" s="32" t="str">
        <f>CONCATENATE(UPPER(TableAopCalendar[[#This Row],[Month]])," ",TableAopCalendar[[#This Row],[Year]])</f>
        <v>SEPTEMBER 26</v>
      </c>
      <c r="J1643" s="7" t="s">
        <v>274</v>
      </c>
      <c r="K1643" s="32" t="str">
        <f>CONCATENATE(TableAopCalendar[[#This Row],[Month for Plan]]," ",TableAopCalendar[[#This Row],[Plan]])</f>
        <v>SEPTEMBER 26 PLANNED</v>
      </c>
    </row>
    <row r="1644" spans="1:11" x14ac:dyDescent="0.3">
      <c r="A1644" s="32">
        <f t="shared" si="90"/>
        <v>1</v>
      </c>
      <c r="B1644" s="33">
        <v>46294</v>
      </c>
      <c r="C1644" s="6" t="s">
        <v>269</v>
      </c>
      <c r="D1644" s="34">
        <v>26</v>
      </c>
      <c r="E1644" s="32">
        <f>DAY(TableAopCalendar[[#This Row],[Date]])</f>
        <v>29</v>
      </c>
      <c r="F1644" s="32">
        <f>IF(TableAopCalendar[[#This Row],[Day]]&lt;8,1,IF(TableAopCalendar[[#This Row],[Day]]&lt;15,2,IF(TableAopCalendar[[#This Row],[Day]]&lt;22,3,IF(TableAopCalendar[[#This Row],[Day]]&lt;29,4,IF(TableAopCalendar[[#This Row],[Day]]&lt;32,5)))))</f>
        <v>5</v>
      </c>
      <c r="G1644" s="32" t="str">
        <f t="shared" si="91"/>
        <v>Week 5</v>
      </c>
      <c r="H1644" s="32" t="str">
        <f t="shared" si="92"/>
        <v>September 26 Week 5</v>
      </c>
      <c r="I1644" s="32" t="str">
        <f>CONCATENATE(UPPER(TableAopCalendar[[#This Row],[Month]])," ",TableAopCalendar[[#This Row],[Year]])</f>
        <v>SEPTEMBER 26</v>
      </c>
      <c r="J1644" s="7" t="s">
        <v>274</v>
      </c>
      <c r="K1644" s="32" t="str">
        <f>CONCATENATE(TableAopCalendar[[#This Row],[Month for Plan]]," ",TableAopCalendar[[#This Row],[Plan]])</f>
        <v>SEPTEMBER 26 PLANNED</v>
      </c>
    </row>
    <row r="1645" spans="1:11" x14ac:dyDescent="0.3">
      <c r="A1645" s="32">
        <f t="shared" si="90"/>
        <v>2</v>
      </c>
      <c r="B1645" s="33">
        <v>46295</v>
      </c>
      <c r="C1645" s="6" t="s">
        <v>269</v>
      </c>
      <c r="D1645" s="34">
        <v>26</v>
      </c>
      <c r="E1645" s="32">
        <f>DAY(TableAopCalendar[[#This Row],[Date]])</f>
        <v>30</v>
      </c>
      <c r="F1645" s="32">
        <f>IF(TableAopCalendar[[#This Row],[Day]]&lt;8,1,IF(TableAopCalendar[[#This Row],[Day]]&lt;15,2,IF(TableAopCalendar[[#This Row],[Day]]&lt;22,3,IF(TableAopCalendar[[#This Row],[Day]]&lt;29,4,IF(TableAopCalendar[[#This Row],[Day]]&lt;32,5)))))</f>
        <v>5</v>
      </c>
      <c r="G1645" s="32" t="str">
        <f t="shared" si="91"/>
        <v>Week 5</v>
      </c>
      <c r="H1645" s="32" t="str">
        <f t="shared" si="92"/>
        <v>September 26 Week 5</v>
      </c>
      <c r="I1645" s="32" t="str">
        <f>CONCATENATE(UPPER(TableAopCalendar[[#This Row],[Month]])," ",TableAopCalendar[[#This Row],[Year]])</f>
        <v>SEPTEMBER 26</v>
      </c>
      <c r="J1645" s="7" t="s">
        <v>274</v>
      </c>
      <c r="K1645" s="32" t="str">
        <f>CONCATENATE(TableAopCalendar[[#This Row],[Month for Plan]]," ",TableAopCalendar[[#This Row],[Plan]])</f>
        <v>SEPTEMBER 26 PLANNED</v>
      </c>
    </row>
    <row r="1646" spans="1:11" x14ac:dyDescent="0.3">
      <c r="A1646" s="32">
        <f t="shared" si="90"/>
        <v>1</v>
      </c>
      <c r="B1646" s="33">
        <v>46296</v>
      </c>
      <c r="C1646" s="6" t="s">
        <v>114</v>
      </c>
      <c r="D1646" s="34">
        <v>26</v>
      </c>
      <c r="E1646" s="32">
        <f>DAY(TableAopCalendar[[#This Row],[Date]])</f>
        <v>1</v>
      </c>
      <c r="F1646" s="32">
        <f>IF(TableAopCalendar[[#This Row],[Day]]&lt;8,1,IF(TableAopCalendar[[#This Row],[Day]]&lt;15,2,IF(TableAopCalendar[[#This Row],[Day]]&lt;22,3,IF(TableAopCalendar[[#This Row],[Day]]&lt;29,4,IF(TableAopCalendar[[#This Row],[Day]]&lt;32,5)))))</f>
        <v>1</v>
      </c>
      <c r="G1646" s="32" t="str">
        <f t="shared" si="91"/>
        <v>Week 1</v>
      </c>
      <c r="H1646" s="32" t="str">
        <f t="shared" si="92"/>
        <v>October 26 Week 1</v>
      </c>
      <c r="I1646" s="32" t="str">
        <f>CONCATENATE(UPPER(TableAopCalendar[[#This Row],[Month]])," ",TableAopCalendar[[#This Row],[Year]])</f>
        <v>OCTOBER 26</v>
      </c>
      <c r="J1646" s="7" t="s">
        <v>274</v>
      </c>
      <c r="K1646" s="32" t="str">
        <f>CONCATENATE(TableAopCalendar[[#This Row],[Month for Plan]]," ",TableAopCalendar[[#This Row],[Plan]])</f>
        <v>OCTOBER 26 PLANNED</v>
      </c>
    </row>
    <row r="1647" spans="1:11" x14ac:dyDescent="0.3">
      <c r="A1647" s="32">
        <f t="shared" si="90"/>
        <v>2</v>
      </c>
      <c r="B1647" s="33">
        <v>46297</v>
      </c>
      <c r="C1647" s="6" t="s">
        <v>114</v>
      </c>
      <c r="D1647" s="34">
        <v>26</v>
      </c>
      <c r="E1647" s="32">
        <f>DAY(TableAopCalendar[[#This Row],[Date]])</f>
        <v>2</v>
      </c>
      <c r="F1647" s="32">
        <f>IF(TableAopCalendar[[#This Row],[Day]]&lt;8,1,IF(TableAopCalendar[[#This Row],[Day]]&lt;15,2,IF(TableAopCalendar[[#This Row],[Day]]&lt;22,3,IF(TableAopCalendar[[#This Row],[Day]]&lt;29,4,IF(TableAopCalendar[[#This Row],[Day]]&lt;32,5)))))</f>
        <v>1</v>
      </c>
      <c r="G1647" s="32" t="str">
        <f t="shared" si="91"/>
        <v>Week 1</v>
      </c>
      <c r="H1647" s="32" t="str">
        <f t="shared" si="92"/>
        <v>October 26 Week 1</v>
      </c>
      <c r="I1647" s="32" t="str">
        <f>CONCATENATE(UPPER(TableAopCalendar[[#This Row],[Month]])," ",TableAopCalendar[[#This Row],[Year]])</f>
        <v>OCTOBER 26</v>
      </c>
      <c r="J1647" s="7" t="s">
        <v>274</v>
      </c>
      <c r="K1647" s="32" t="str">
        <f>CONCATENATE(TableAopCalendar[[#This Row],[Month for Plan]]," ",TableAopCalendar[[#This Row],[Plan]])</f>
        <v>OCTOBER 26 PLANNED</v>
      </c>
    </row>
    <row r="1648" spans="1:11" x14ac:dyDescent="0.3">
      <c r="A1648" s="32">
        <f t="shared" si="90"/>
        <v>3</v>
      </c>
      <c r="B1648" s="33">
        <v>46298</v>
      </c>
      <c r="C1648" s="6" t="s">
        <v>114</v>
      </c>
      <c r="D1648" s="34">
        <v>26</v>
      </c>
      <c r="E1648" s="32">
        <f>DAY(TableAopCalendar[[#This Row],[Date]])</f>
        <v>3</v>
      </c>
      <c r="F1648" s="32">
        <f>IF(TableAopCalendar[[#This Row],[Day]]&lt;8,1,IF(TableAopCalendar[[#This Row],[Day]]&lt;15,2,IF(TableAopCalendar[[#This Row],[Day]]&lt;22,3,IF(TableAopCalendar[[#This Row],[Day]]&lt;29,4,IF(TableAopCalendar[[#This Row],[Day]]&lt;32,5)))))</f>
        <v>1</v>
      </c>
      <c r="G1648" s="32" t="str">
        <f t="shared" si="91"/>
        <v>Week 1</v>
      </c>
      <c r="H1648" s="32" t="str">
        <f t="shared" si="92"/>
        <v>October 26 Week 1</v>
      </c>
      <c r="I1648" s="32" t="str">
        <f>CONCATENATE(UPPER(TableAopCalendar[[#This Row],[Month]])," ",TableAopCalendar[[#This Row],[Year]])</f>
        <v>OCTOBER 26</v>
      </c>
      <c r="J1648" s="7" t="s">
        <v>274</v>
      </c>
      <c r="K1648" s="32" t="str">
        <f>CONCATENATE(TableAopCalendar[[#This Row],[Month for Plan]]," ",TableAopCalendar[[#This Row],[Plan]])</f>
        <v>OCTOBER 26 PLANNED</v>
      </c>
    </row>
    <row r="1649" spans="1:11" x14ac:dyDescent="0.3">
      <c r="A1649" s="32">
        <f t="shared" si="90"/>
        <v>4</v>
      </c>
      <c r="B1649" s="33">
        <v>46299</v>
      </c>
      <c r="C1649" s="6" t="s">
        <v>114</v>
      </c>
      <c r="D1649" s="34">
        <v>26</v>
      </c>
      <c r="E1649" s="32">
        <f>DAY(TableAopCalendar[[#This Row],[Date]])</f>
        <v>4</v>
      </c>
      <c r="F1649" s="32">
        <f>IF(TableAopCalendar[[#This Row],[Day]]&lt;8,1,IF(TableAopCalendar[[#This Row],[Day]]&lt;15,2,IF(TableAopCalendar[[#This Row],[Day]]&lt;22,3,IF(TableAopCalendar[[#This Row],[Day]]&lt;29,4,IF(TableAopCalendar[[#This Row],[Day]]&lt;32,5)))))</f>
        <v>1</v>
      </c>
      <c r="G1649" s="32" t="str">
        <f t="shared" si="91"/>
        <v>Week 1</v>
      </c>
      <c r="H1649" s="32" t="str">
        <f t="shared" si="92"/>
        <v>October 26 Week 1</v>
      </c>
      <c r="I1649" s="32" t="str">
        <f>CONCATENATE(UPPER(TableAopCalendar[[#This Row],[Month]])," ",TableAopCalendar[[#This Row],[Year]])</f>
        <v>OCTOBER 26</v>
      </c>
      <c r="J1649" s="7" t="s">
        <v>274</v>
      </c>
      <c r="K1649" s="32" t="str">
        <f>CONCATENATE(TableAopCalendar[[#This Row],[Month for Plan]]," ",TableAopCalendar[[#This Row],[Plan]])</f>
        <v>OCTOBER 26 PLANNED</v>
      </c>
    </row>
    <row r="1650" spans="1:11" x14ac:dyDescent="0.3">
      <c r="A1650" s="32">
        <f t="shared" si="90"/>
        <v>5</v>
      </c>
      <c r="B1650" s="33">
        <v>46300</v>
      </c>
      <c r="C1650" s="6" t="s">
        <v>114</v>
      </c>
      <c r="D1650" s="34">
        <v>26</v>
      </c>
      <c r="E1650" s="32">
        <f>DAY(TableAopCalendar[[#This Row],[Date]])</f>
        <v>5</v>
      </c>
      <c r="F1650" s="32">
        <f>IF(TableAopCalendar[[#This Row],[Day]]&lt;8,1,IF(TableAopCalendar[[#This Row],[Day]]&lt;15,2,IF(TableAopCalendar[[#This Row],[Day]]&lt;22,3,IF(TableAopCalendar[[#This Row],[Day]]&lt;29,4,IF(TableAopCalendar[[#This Row],[Day]]&lt;32,5)))))</f>
        <v>1</v>
      </c>
      <c r="G1650" s="32" t="str">
        <f t="shared" si="91"/>
        <v>Week 1</v>
      </c>
      <c r="H1650" s="32" t="str">
        <f t="shared" si="92"/>
        <v>October 26 Week 1</v>
      </c>
      <c r="I1650" s="32" t="str">
        <f>CONCATENATE(UPPER(TableAopCalendar[[#This Row],[Month]])," ",TableAopCalendar[[#This Row],[Year]])</f>
        <v>OCTOBER 26</v>
      </c>
      <c r="J1650" s="7" t="s">
        <v>274</v>
      </c>
      <c r="K1650" s="32" t="str">
        <f>CONCATENATE(TableAopCalendar[[#This Row],[Month for Plan]]," ",TableAopCalendar[[#This Row],[Plan]])</f>
        <v>OCTOBER 26 PLANNED</v>
      </c>
    </row>
    <row r="1651" spans="1:11" x14ac:dyDescent="0.3">
      <c r="A1651" s="32">
        <f t="shared" si="90"/>
        <v>6</v>
      </c>
      <c r="B1651" s="33">
        <v>46301</v>
      </c>
      <c r="C1651" s="6" t="s">
        <v>114</v>
      </c>
      <c r="D1651" s="34">
        <v>26</v>
      </c>
      <c r="E1651" s="32">
        <f>DAY(TableAopCalendar[[#This Row],[Date]])</f>
        <v>6</v>
      </c>
      <c r="F1651" s="32">
        <f>IF(TableAopCalendar[[#This Row],[Day]]&lt;8,1,IF(TableAopCalendar[[#This Row],[Day]]&lt;15,2,IF(TableAopCalendar[[#This Row],[Day]]&lt;22,3,IF(TableAopCalendar[[#This Row],[Day]]&lt;29,4,IF(TableAopCalendar[[#This Row],[Day]]&lt;32,5)))))</f>
        <v>1</v>
      </c>
      <c r="G1651" s="32" t="str">
        <f t="shared" si="91"/>
        <v>Week 1</v>
      </c>
      <c r="H1651" s="32" t="str">
        <f t="shared" si="92"/>
        <v>October 26 Week 1</v>
      </c>
      <c r="I1651" s="32" t="str">
        <f>CONCATENATE(UPPER(TableAopCalendar[[#This Row],[Month]])," ",TableAopCalendar[[#This Row],[Year]])</f>
        <v>OCTOBER 26</v>
      </c>
      <c r="J1651" s="7" t="s">
        <v>274</v>
      </c>
      <c r="K1651" s="32" t="str">
        <f>CONCATENATE(TableAopCalendar[[#This Row],[Month for Plan]]," ",TableAopCalendar[[#This Row],[Plan]])</f>
        <v>OCTOBER 26 PLANNED</v>
      </c>
    </row>
    <row r="1652" spans="1:11" x14ac:dyDescent="0.3">
      <c r="A1652" s="32">
        <f t="shared" si="90"/>
        <v>7</v>
      </c>
      <c r="B1652" s="33">
        <v>46302</v>
      </c>
      <c r="C1652" s="6" t="s">
        <v>114</v>
      </c>
      <c r="D1652" s="34">
        <v>26</v>
      </c>
      <c r="E1652" s="32">
        <f>DAY(TableAopCalendar[[#This Row],[Date]])</f>
        <v>7</v>
      </c>
      <c r="F1652" s="32">
        <f>IF(TableAopCalendar[[#This Row],[Day]]&lt;8,1,IF(TableAopCalendar[[#This Row],[Day]]&lt;15,2,IF(TableAopCalendar[[#This Row],[Day]]&lt;22,3,IF(TableAopCalendar[[#This Row],[Day]]&lt;29,4,IF(TableAopCalendar[[#This Row],[Day]]&lt;32,5)))))</f>
        <v>1</v>
      </c>
      <c r="G1652" s="32" t="str">
        <f t="shared" si="91"/>
        <v>Week 1</v>
      </c>
      <c r="H1652" s="32" t="str">
        <f t="shared" si="92"/>
        <v>October 26 Week 1</v>
      </c>
      <c r="I1652" s="32" t="str">
        <f>CONCATENATE(UPPER(TableAopCalendar[[#This Row],[Month]])," ",TableAopCalendar[[#This Row],[Year]])</f>
        <v>OCTOBER 26</v>
      </c>
      <c r="J1652" s="7" t="s">
        <v>274</v>
      </c>
      <c r="K1652" s="32" t="str">
        <f>CONCATENATE(TableAopCalendar[[#This Row],[Month for Plan]]," ",TableAopCalendar[[#This Row],[Plan]])</f>
        <v>OCTOBER 26 PLANNED</v>
      </c>
    </row>
    <row r="1653" spans="1:11" x14ac:dyDescent="0.3">
      <c r="A1653" s="32">
        <f t="shared" si="90"/>
        <v>1</v>
      </c>
      <c r="B1653" s="33">
        <v>46303</v>
      </c>
      <c r="C1653" s="6" t="s">
        <v>114</v>
      </c>
      <c r="D1653" s="34">
        <v>26</v>
      </c>
      <c r="E1653" s="32">
        <f>DAY(TableAopCalendar[[#This Row],[Date]])</f>
        <v>8</v>
      </c>
      <c r="F1653" s="32">
        <f>IF(TableAopCalendar[[#This Row],[Day]]&lt;8,1,IF(TableAopCalendar[[#This Row],[Day]]&lt;15,2,IF(TableAopCalendar[[#This Row],[Day]]&lt;22,3,IF(TableAopCalendar[[#This Row],[Day]]&lt;29,4,IF(TableAopCalendar[[#This Row],[Day]]&lt;32,5)))))</f>
        <v>2</v>
      </c>
      <c r="G1653" s="32" t="str">
        <f t="shared" si="91"/>
        <v>Week 2</v>
      </c>
      <c r="H1653" s="32" t="str">
        <f t="shared" si="92"/>
        <v>October 26 Week 2</v>
      </c>
      <c r="I1653" s="32" t="str">
        <f>CONCATENATE(UPPER(TableAopCalendar[[#This Row],[Month]])," ",TableAopCalendar[[#This Row],[Year]])</f>
        <v>OCTOBER 26</v>
      </c>
      <c r="J1653" s="7" t="s">
        <v>274</v>
      </c>
      <c r="K1653" s="32" t="str">
        <f>CONCATENATE(TableAopCalendar[[#This Row],[Month for Plan]]," ",TableAopCalendar[[#This Row],[Plan]])</f>
        <v>OCTOBER 26 PLANNED</v>
      </c>
    </row>
    <row r="1654" spans="1:11" x14ac:dyDescent="0.3">
      <c r="A1654" s="32">
        <f t="shared" si="90"/>
        <v>2</v>
      </c>
      <c r="B1654" s="33">
        <v>46304</v>
      </c>
      <c r="C1654" s="6" t="s">
        <v>114</v>
      </c>
      <c r="D1654" s="34">
        <v>26</v>
      </c>
      <c r="E1654" s="32">
        <f>DAY(TableAopCalendar[[#This Row],[Date]])</f>
        <v>9</v>
      </c>
      <c r="F1654" s="32">
        <f>IF(TableAopCalendar[[#This Row],[Day]]&lt;8,1,IF(TableAopCalendar[[#This Row],[Day]]&lt;15,2,IF(TableAopCalendar[[#This Row],[Day]]&lt;22,3,IF(TableAopCalendar[[#This Row],[Day]]&lt;29,4,IF(TableAopCalendar[[#This Row],[Day]]&lt;32,5)))))</f>
        <v>2</v>
      </c>
      <c r="G1654" s="32" t="str">
        <f t="shared" si="91"/>
        <v>Week 2</v>
      </c>
      <c r="H1654" s="32" t="str">
        <f t="shared" si="92"/>
        <v>October 26 Week 2</v>
      </c>
      <c r="I1654" s="32" t="str">
        <f>CONCATENATE(UPPER(TableAopCalendar[[#This Row],[Month]])," ",TableAopCalendar[[#This Row],[Year]])</f>
        <v>OCTOBER 26</v>
      </c>
      <c r="J1654" s="7" t="s">
        <v>274</v>
      </c>
      <c r="K1654" s="32" t="str">
        <f>CONCATENATE(TableAopCalendar[[#This Row],[Month for Plan]]," ",TableAopCalendar[[#This Row],[Plan]])</f>
        <v>OCTOBER 26 PLANNED</v>
      </c>
    </row>
    <row r="1655" spans="1:11" x14ac:dyDescent="0.3">
      <c r="A1655" s="32">
        <f t="shared" si="90"/>
        <v>3</v>
      </c>
      <c r="B1655" s="33">
        <v>46305</v>
      </c>
      <c r="C1655" s="6" t="s">
        <v>114</v>
      </c>
      <c r="D1655" s="34">
        <v>26</v>
      </c>
      <c r="E1655" s="32">
        <f>DAY(TableAopCalendar[[#This Row],[Date]])</f>
        <v>10</v>
      </c>
      <c r="F1655" s="32">
        <f>IF(TableAopCalendar[[#This Row],[Day]]&lt;8,1,IF(TableAopCalendar[[#This Row],[Day]]&lt;15,2,IF(TableAopCalendar[[#This Row],[Day]]&lt;22,3,IF(TableAopCalendar[[#This Row],[Day]]&lt;29,4,IF(TableAopCalendar[[#This Row],[Day]]&lt;32,5)))))</f>
        <v>2</v>
      </c>
      <c r="G1655" s="32" t="str">
        <f t="shared" si="91"/>
        <v>Week 2</v>
      </c>
      <c r="H1655" s="32" t="str">
        <f t="shared" si="92"/>
        <v>October 26 Week 2</v>
      </c>
      <c r="I1655" s="32" t="str">
        <f>CONCATENATE(UPPER(TableAopCalendar[[#This Row],[Month]])," ",TableAopCalendar[[#This Row],[Year]])</f>
        <v>OCTOBER 26</v>
      </c>
      <c r="J1655" s="7" t="s">
        <v>274</v>
      </c>
      <c r="K1655" s="32" t="str">
        <f>CONCATENATE(TableAopCalendar[[#This Row],[Month for Plan]]," ",TableAopCalendar[[#This Row],[Plan]])</f>
        <v>OCTOBER 26 PLANNED</v>
      </c>
    </row>
    <row r="1656" spans="1:11" x14ac:dyDescent="0.3">
      <c r="A1656" s="32">
        <f t="shared" si="90"/>
        <v>4</v>
      </c>
      <c r="B1656" s="33">
        <v>46306</v>
      </c>
      <c r="C1656" s="6" t="s">
        <v>114</v>
      </c>
      <c r="D1656" s="34">
        <v>26</v>
      </c>
      <c r="E1656" s="32">
        <f>DAY(TableAopCalendar[[#This Row],[Date]])</f>
        <v>11</v>
      </c>
      <c r="F1656" s="32">
        <f>IF(TableAopCalendar[[#This Row],[Day]]&lt;8,1,IF(TableAopCalendar[[#This Row],[Day]]&lt;15,2,IF(TableAopCalendar[[#This Row],[Day]]&lt;22,3,IF(TableAopCalendar[[#This Row],[Day]]&lt;29,4,IF(TableAopCalendar[[#This Row],[Day]]&lt;32,5)))))</f>
        <v>2</v>
      </c>
      <c r="G1656" s="32" t="str">
        <f t="shared" si="91"/>
        <v>Week 2</v>
      </c>
      <c r="H1656" s="32" t="str">
        <f t="shared" si="92"/>
        <v>October 26 Week 2</v>
      </c>
      <c r="I1656" s="32" t="str">
        <f>CONCATENATE(UPPER(TableAopCalendar[[#This Row],[Month]])," ",TableAopCalendar[[#This Row],[Year]])</f>
        <v>OCTOBER 26</v>
      </c>
      <c r="J1656" s="7" t="s">
        <v>274</v>
      </c>
      <c r="K1656" s="32" t="str">
        <f>CONCATENATE(TableAopCalendar[[#This Row],[Month for Plan]]," ",TableAopCalendar[[#This Row],[Plan]])</f>
        <v>OCTOBER 26 PLANNED</v>
      </c>
    </row>
    <row r="1657" spans="1:11" x14ac:dyDescent="0.3">
      <c r="A1657" s="32">
        <f t="shared" si="90"/>
        <v>5</v>
      </c>
      <c r="B1657" s="33">
        <v>46307</v>
      </c>
      <c r="C1657" s="6" t="s">
        <v>114</v>
      </c>
      <c r="D1657" s="34">
        <v>26</v>
      </c>
      <c r="E1657" s="32">
        <f>DAY(TableAopCalendar[[#This Row],[Date]])</f>
        <v>12</v>
      </c>
      <c r="F1657" s="32">
        <f>IF(TableAopCalendar[[#This Row],[Day]]&lt;8,1,IF(TableAopCalendar[[#This Row],[Day]]&lt;15,2,IF(TableAopCalendar[[#This Row],[Day]]&lt;22,3,IF(TableAopCalendar[[#This Row],[Day]]&lt;29,4,IF(TableAopCalendar[[#This Row],[Day]]&lt;32,5)))))</f>
        <v>2</v>
      </c>
      <c r="G1657" s="32" t="str">
        <f t="shared" si="91"/>
        <v>Week 2</v>
      </c>
      <c r="H1657" s="32" t="str">
        <f t="shared" si="92"/>
        <v>October 26 Week 2</v>
      </c>
      <c r="I1657" s="32" t="str">
        <f>CONCATENATE(UPPER(TableAopCalendar[[#This Row],[Month]])," ",TableAopCalendar[[#This Row],[Year]])</f>
        <v>OCTOBER 26</v>
      </c>
      <c r="J1657" s="7" t="s">
        <v>274</v>
      </c>
      <c r="K1657" s="32" t="str">
        <f>CONCATENATE(TableAopCalendar[[#This Row],[Month for Plan]]," ",TableAopCalendar[[#This Row],[Plan]])</f>
        <v>OCTOBER 26 PLANNED</v>
      </c>
    </row>
    <row r="1658" spans="1:11" x14ac:dyDescent="0.3">
      <c r="A1658" s="32">
        <f t="shared" si="90"/>
        <v>6</v>
      </c>
      <c r="B1658" s="33">
        <v>46308</v>
      </c>
      <c r="C1658" s="6" t="s">
        <v>114</v>
      </c>
      <c r="D1658" s="34">
        <v>26</v>
      </c>
      <c r="E1658" s="32">
        <f>DAY(TableAopCalendar[[#This Row],[Date]])</f>
        <v>13</v>
      </c>
      <c r="F1658" s="32">
        <f>IF(TableAopCalendar[[#This Row],[Day]]&lt;8,1,IF(TableAopCalendar[[#This Row],[Day]]&lt;15,2,IF(TableAopCalendar[[#This Row],[Day]]&lt;22,3,IF(TableAopCalendar[[#This Row],[Day]]&lt;29,4,IF(TableAopCalendar[[#This Row],[Day]]&lt;32,5)))))</f>
        <v>2</v>
      </c>
      <c r="G1658" s="32" t="str">
        <f t="shared" si="91"/>
        <v>Week 2</v>
      </c>
      <c r="H1658" s="32" t="str">
        <f t="shared" si="92"/>
        <v>October 26 Week 2</v>
      </c>
      <c r="I1658" s="32" t="str">
        <f>CONCATENATE(UPPER(TableAopCalendar[[#This Row],[Month]])," ",TableAopCalendar[[#This Row],[Year]])</f>
        <v>OCTOBER 26</v>
      </c>
      <c r="J1658" s="7" t="s">
        <v>274</v>
      </c>
      <c r="K1658" s="32" t="str">
        <f>CONCATENATE(TableAopCalendar[[#This Row],[Month for Plan]]," ",TableAopCalendar[[#This Row],[Plan]])</f>
        <v>OCTOBER 26 PLANNED</v>
      </c>
    </row>
    <row r="1659" spans="1:11" x14ac:dyDescent="0.3">
      <c r="A1659" s="32">
        <f t="shared" si="90"/>
        <v>7</v>
      </c>
      <c r="B1659" s="33">
        <v>46309</v>
      </c>
      <c r="C1659" s="6" t="s">
        <v>114</v>
      </c>
      <c r="D1659" s="34">
        <v>26</v>
      </c>
      <c r="E1659" s="32">
        <f>DAY(TableAopCalendar[[#This Row],[Date]])</f>
        <v>14</v>
      </c>
      <c r="F1659" s="32">
        <f>IF(TableAopCalendar[[#This Row],[Day]]&lt;8,1,IF(TableAopCalendar[[#This Row],[Day]]&lt;15,2,IF(TableAopCalendar[[#This Row],[Day]]&lt;22,3,IF(TableAopCalendar[[#This Row],[Day]]&lt;29,4,IF(TableAopCalendar[[#This Row],[Day]]&lt;32,5)))))</f>
        <v>2</v>
      </c>
      <c r="G1659" s="32" t="str">
        <f t="shared" si="91"/>
        <v>Week 2</v>
      </c>
      <c r="H1659" s="32" t="str">
        <f t="shared" si="92"/>
        <v>October 26 Week 2</v>
      </c>
      <c r="I1659" s="32" t="str">
        <f>CONCATENATE(UPPER(TableAopCalendar[[#This Row],[Month]])," ",TableAopCalendar[[#This Row],[Year]])</f>
        <v>OCTOBER 26</v>
      </c>
      <c r="J1659" s="7" t="s">
        <v>274</v>
      </c>
      <c r="K1659" s="32" t="str">
        <f>CONCATENATE(TableAopCalendar[[#This Row],[Month for Plan]]," ",TableAopCalendar[[#This Row],[Plan]])</f>
        <v>OCTOBER 26 PLANNED</v>
      </c>
    </row>
    <row r="1660" spans="1:11" x14ac:dyDescent="0.3">
      <c r="A1660" s="32">
        <f t="shared" si="90"/>
        <v>1</v>
      </c>
      <c r="B1660" s="33">
        <v>46310</v>
      </c>
      <c r="C1660" s="6" t="s">
        <v>114</v>
      </c>
      <c r="D1660" s="34">
        <v>26</v>
      </c>
      <c r="E1660" s="32">
        <f>DAY(TableAopCalendar[[#This Row],[Date]])</f>
        <v>15</v>
      </c>
      <c r="F1660" s="32">
        <f>IF(TableAopCalendar[[#This Row],[Day]]&lt;8,1,IF(TableAopCalendar[[#This Row],[Day]]&lt;15,2,IF(TableAopCalendar[[#This Row],[Day]]&lt;22,3,IF(TableAopCalendar[[#This Row],[Day]]&lt;29,4,IF(TableAopCalendar[[#This Row],[Day]]&lt;32,5)))))</f>
        <v>3</v>
      </c>
      <c r="G1660" s="32" t="str">
        <f t="shared" si="91"/>
        <v>Week 3</v>
      </c>
      <c r="H1660" s="32" t="str">
        <f t="shared" si="92"/>
        <v>October 26 Week 3</v>
      </c>
      <c r="I1660" s="32" t="str">
        <f>CONCATENATE(UPPER(TableAopCalendar[[#This Row],[Month]])," ",TableAopCalendar[[#This Row],[Year]])</f>
        <v>OCTOBER 26</v>
      </c>
      <c r="J1660" s="7" t="s">
        <v>274</v>
      </c>
      <c r="K1660" s="32" t="str">
        <f>CONCATENATE(TableAopCalendar[[#This Row],[Month for Plan]]," ",TableAopCalendar[[#This Row],[Plan]])</f>
        <v>OCTOBER 26 PLANNED</v>
      </c>
    </row>
    <row r="1661" spans="1:11" x14ac:dyDescent="0.3">
      <c r="A1661" s="32">
        <f t="shared" si="90"/>
        <v>2</v>
      </c>
      <c r="B1661" s="33">
        <v>46311</v>
      </c>
      <c r="C1661" s="6" t="s">
        <v>114</v>
      </c>
      <c r="D1661" s="34">
        <v>26</v>
      </c>
      <c r="E1661" s="32">
        <f>DAY(TableAopCalendar[[#This Row],[Date]])</f>
        <v>16</v>
      </c>
      <c r="F1661" s="32">
        <f>IF(TableAopCalendar[[#This Row],[Day]]&lt;8,1,IF(TableAopCalendar[[#This Row],[Day]]&lt;15,2,IF(TableAopCalendar[[#This Row],[Day]]&lt;22,3,IF(TableAopCalendar[[#This Row],[Day]]&lt;29,4,IF(TableAopCalendar[[#This Row],[Day]]&lt;32,5)))))</f>
        <v>3</v>
      </c>
      <c r="G1661" s="32" t="str">
        <f t="shared" si="91"/>
        <v>Week 3</v>
      </c>
      <c r="H1661" s="32" t="str">
        <f t="shared" si="92"/>
        <v>October 26 Week 3</v>
      </c>
      <c r="I1661" s="32" t="str">
        <f>CONCATENATE(UPPER(TableAopCalendar[[#This Row],[Month]])," ",TableAopCalendar[[#This Row],[Year]])</f>
        <v>OCTOBER 26</v>
      </c>
      <c r="J1661" s="7" t="s">
        <v>274</v>
      </c>
      <c r="K1661" s="32" t="str">
        <f>CONCATENATE(TableAopCalendar[[#This Row],[Month for Plan]]," ",TableAopCalendar[[#This Row],[Plan]])</f>
        <v>OCTOBER 26 PLANNED</v>
      </c>
    </row>
    <row r="1662" spans="1:11" x14ac:dyDescent="0.3">
      <c r="A1662" s="32">
        <f t="shared" si="90"/>
        <v>3</v>
      </c>
      <c r="B1662" s="33">
        <v>46312</v>
      </c>
      <c r="C1662" s="6" t="s">
        <v>114</v>
      </c>
      <c r="D1662" s="34">
        <v>26</v>
      </c>
      <c r="E1662" s="32">
        <f>DAY(TableAopCalendar[[#This Row],[Date]])</f>
        <v>17</v>
      </c>
      <c r="F1662" s="32">
        <f>IF(TableAopCalendar[[#This Row],[Day]]&lt;8,1,IF(TableAopCalendar[[#This Row],[Day]]&lt;15,2,IF(TableAopCalendar[[#This Row],[Day]]&lt;22,3,IF(TableAopCalendar[[#This Row],[Day]]&lt;29,4,IF(TableAopCalendar[[#This Row],[Day]]&lt;32,5)))))</f>
        <v>3</v>
      </c>
      <c r="G1662" s="32" t="str">
        <f t="shared" si="91"/>
        <v>Week 3</v>
      </c>
      <c r="H1662" s="32" t="str">
        <f t="shared" si="92"/>
        <v>October 26 Week 3</v>
      </c>
      <c r="I1662" s="32" t="str">
        <f>CONCATENATE(UPPER(TableAopCalendar[[#This Row],[Month]])," ",TableAopCalendar[[#This Row],[Year]])</f>
        <v>OCTOBER 26</v>
      </c>
      <c r="J1662" s="7" t="s">
        <v>274</v>
      </c>
      <c r="K1662" s="32" t="str">
        <f>CONCATENATE(TableAopCalendar[[#This Row],[Month for Plan]]," ",TableAopCalendar[[#This Row],[Plan]])</f>
        <v>OCTOBER 26 PLANNED</v>
      </c>
    </row>
    <row r="1663" spans="1:11" x14ac:dyDescent="0.3">
      <c r="A1663" s="32">
        <f t="shared" si="90"/>
        <v>4</v>
      </c>
      <c r="B1663" s="33">
        <v>46313</v>
      </c>
      <c r="C1663" s="6" t="s">
        <v>114</v>
      </c>
      <c r="D1663" s="34">
        <v>26</v>
      </c>
      <c r="E1663" s="32">
        <f>DAY(TableAopCalendar[[#This Row],[Date]])</f>
        <v>18</v>
      </c>
      <c r="F1663" s="32">
        <f>IF(TableAopCalendar[[#This Row],[Day]]&lt;8,1,IF(TableAopCalendar[[#This Row],[Day]]&lt;15,2,IF(TableAopCalendar[[#This Row],[Day]]&lt;22,3,IF(TableAopCalendar[[#This Row],[Day]]&lt;29,4,IF(TableAopCalendar[[#This Row],[Day]]&lt;32,5)))))</f>
        <v>3</v>
      </c>
      <c r="G1663" s="32" t="str">
        <f t="shared" si="91"/>
        <v>Week 3</v>
      </c>
      <c r="H1663" s="32" t="str">
        <f t="shared" si="92"/>
        <v>October 26 Week 3</v>
      </c>
      <c r="I1663" s="32" t="str">
        <f>CONCATENATE(UPPER(TableAopCalendar[[#This Row],[Month]])," ",TableAopCalendar[[#This Row],[Year]])</f>
        <v>OCTOBER 26</v>
      </c>
      <c r="J1663" s="7" t="s">
        <v>274</v>
      </c>
      <c r="K1663" s="32" t="str">
        <f>CONCATENATE(TableAopCalendar[[#This Row],[Month for Plan]]," ",TableAopCalendar[[#This Row],[Plan]])</f>
        <v>OCTOBER 26 PLANNED</v>
      </c>
    </row>
    <row r="1664" spans="1:11" x14ac:dyDescent="0.3">
      <c r="A1664" s="32">
        <f t="shared" si="90"/>
        <v>5</v>
      </c>
      <c r="B1664" s="33">
        <v>46314</v>
      </c>
      <c r="C1664" s="6" t="s">
        <v>114</v>
      </c>
      <c r="D1664" s="34">
        <v>26</v>
      </c>
      <c r="E1664" s="32">
        <f>DAY(TableAopCalendar[[#This Row],[Date]])</f>
        <v>19</v>
      </c>
      <c r="F1664" s="32">
        <f>IF(TableAopCalendar[[#This Row],[Day]]&lt;8,1,IF(TableAopCalendar[[#This Row],[Day]]&lt;15,2,IF(TableAopCalendar[[#This Row],[Day]]&lt;22,3,IF(TableAopCalendar[[#This Row],[Day]]&lt;29,4,IF(TableAopCalendar[[#This Row],[Day]]&lt;32,5)))))</f>
        <v>3</v>
      </c>
      <c r="G1664" s="32" t="str">
        <f t="shared" si="91"/>
        <v>Week 3</v>
      </c>
      <c r="H1664" s="32" t="str">
        <f t="shared" si="92"/>
        <v>October 26 Week 3</v>
      </c>
      <c r="I1664" s="32" t="str">
        <f>CONCATENATE(UPPER(TableAopCalendar[[#This Row],[Month]])," ",TableAopCalendar[[#This Row],[Year]])</f>
        <v>OCTOBER 26</v>
      </c>
      <c r="J1664" s="7" t="s">
        <v>274</v>
      </c>
      <c r="K1664" s="32" t="str">
        <f>CONCATENATE(TableAopCalendar[[#This Row],[Month for Plan]]," ",TableAopCalendar[[#This Row],[Plan]])</f>
        <v>OCTOBER 26 PLANNED</v>
      </c>
    </row>
    <row r="1665" spans="1:11" x14ac:dyDescent="0.3">
      <c r="A1665" s="32">
        <f t="shared" si="90"/>
        <v>6</v>
      </c>
      <c r="B1665" s="33">
        <v>46315</v>
      </c>
      <c r="C1665" s="6" t="s">
        <v>114</v>
      </c>
      <c r="D1665" s="34">
        <v>26</v>
      </c>
      <c r="E1665" s="32">
        <f>DAY(TableAopCalendar[[#This Row],[Date]])</f>
        <v>20</v>
      </c>
      <c r="F1665" s="32">
        <f>IF(TableAopCalendar[[#This Row],[Day]]&lt;8,1,IF(TableAopCalendar[[#This Row],[Day]]&lt;15,2,IF(TableAopCalendar[[#This Row],[Day]]&lt;22,3,IF(TableAopCalendar[[#This Row],[Day]]&lt;29,4,IF(TableAopCalendar[[#This Row],[Day]]&lt;32,5)))))</f>
        <v>3</v>
      </c>
      <c r="G1665" s="32" t="str">
        <f t="shared" si="91"/>
        <v>Week 3</v>
      </c>
      <c r="H1665" s="32" t="str">
        <f t="shared" si="92"/>
        <v>October 26 Week 3</v>
      </c>
      <c r="I1665" s="32" t="str">
        <f>CONCATENATE(UPPER(TableAopCalendar[[#This Row],[Month]])," ",TableAopCalendar[[#This Row],[Year]])</f>
        <v>OCTOBER 26</v>
      </c>
      <c r="J1665" s="7" t="s">
        <v>274</v>
      </c>
      <c r="K1665" s="32" t="str">
        <f>CONCATENATE(TableAopCalendar[[#This Row],[Month for Plan]]," ",TableAopCalendar[[#This Row],[Plan]])</f>
        <v>OCTOBER 26 PLANNED</v>
      </c>
    </row>
    <row r="1666" spans="1:11" x14ac:dyDescent="0.3">
      <c r="A1666" s="32">
        <f t="shared" si="90"/>
        <v>7</v>
      </c>
      <c r="B1666" s="33">
        <v>46316</v>
      </c>
      <c r="C1666" s="6" t="s">
        <v>114</v>
      </c>
      <c r="D1666" s="34">
        <v>26</v>
      </c>
      <c r="E1666" s="32">
        <f>DAY(TableAopCalendar[[#This Row],[Date]])</f>
        <v>21</v>
      </c>
      <c r="F1666" s="32">
        <f>IF(TableAopCalendar[[#This Row],[Day]]&lt;8,1,IF(TableAopCalendar[[#This Row],[Day]]&lt;15,2,IF(TableAopCalendar[[#This Row],[Day]]&lt;22,3,IF(TableAopCalendar[[#This Row],[Day]]&lt;29,4,IF(TableAopCalendar[[#This Row],[Day]]&lt;32,5)))))</f>
        <v>3</v>
      </c>
      <c r="G1666" s="32" t="str">
        <f t="shared" si="91"/>
        <v>Week 3</v>
      </c>
      <c r="H1666" s="32" t="str">
        <f t="shared" si="92"/>
        <v>October 26 Week 3</v>
      </c>
      <c r="I1666" s="32" t="str">
        <f>CONCATENATE(UPPER(TableAopCalendar[[#This Row],[Month]])," ",TableAopCalendar[[#This Row],[Year]])</f>
        <v>OCTOBER 26</v>
      </c>
      <c r="J1666" s="7" t="s">
        <v>274</v>
      </c>
      <c r="K1666" s="32" t="str">
        <f>CONCATENATE(TableAopCalendar[[#This Row],[Month for Plan]]," ",TableAopCalendar[[#This Row],[Plan]])</f>
        <v>OCTOBER 26 PLANNED</v>
      </c>
    </row>
    <row r="1667" spans="1:11" x14ac:dyDescent="0.3">
      <c r="A1667" s="32">
        <f t="shared" si="90"/>
        <v>1</v>
      </c>
      <c r="B1667" s="33">
        <v>46317</v>
      </c>
      <c r="C1667" s="6" t="s">
        <v>114</v>
      </c>
      <c r="D1667" s="34">
        <v>26</v>
      </c>
      <c r="E1667" s="32">
        <f>DAY(TableAopCalendar[[#This Row],[Date]])</f>
        <v>22</v>
      </c>
      <c r="F1667" s="32">
        <f>IF(TableAopCalendar[[#This Row],[Day]]&lt;8,1,IF(TableAopCalendar[[#This Row],[Day]]&lt;15,2,IF(TableAopCalendar[[#This Row],[Day]]&lt;22,3,IF(TableAopCalendar[[#This Row],[Day]]&lt;29,4,IF(TableAopCalendar[[#This Row],[Day]]&lt;32,5)))))</f>
        <v>4</v>
      </c>
      <c r="G1667" s="32" t="str">
        <f t="shared" si="91"/>
        <v>Week 4</v>
      </c>
      <c r="H1667" s="32" t="str">
        <f t="shared" si="92"/>
        <v>October 26 Week 4</v>
      </c>
      <c r="I1667" s="32" t="str">
        <f>CONCATENATE(UPPER(TableAopCalendar[[#This Row],[Month]])," ",TableAopCalendar[[#This Row],[Year]])</f>
        <v>OCTOBER 26</v>
      </c>
      <c r="J1667" s="7" t="s">
        <v>274</v>
      </c>
      <c r="K1667" s="32" t="str">
        <f>CONCATENATE(TableAopCalendar[[#This Row],[Month for Plan]]," ",TableAopCalendar[[#This Row],[Plan]])</f>
        <v>OCTOBER 26 PLANNED</v>
      </c>
    </row>
    <row r="1668" spans="1:11" x14ac:dyDescent="0.3">
      <c r="A1668" s="32">
        <f t="shared" si="90"/>
        <v>2</v>
      </c>
      <c r="B1668" s="33">
        <v>46318</v>
      </c>
      <c r="C1668" s="6" t="s">
        <v>114</v>
      </c>
      <c r="D1668" s="34">
        <v>26</v>
      </c>
      <c r="E1668" s="32">
        <f>DAY(TableAopCalendar[[#This Row],[Date]])</f>
        <v>23</v>
      </c>
      <c r="F1668" s="32">
        <f>IF(TableAopCalendar[[#This Row],[Day]]&lt;8,1,IF(TableAopCalendar[[#This Row],[Day]]&lt;15,2,IF(TableAopCalendar[[#This Row],[Day]]&lt;22,3,IF(TableAopCalendar[[#This Row],[Day]]&lt;29,4,IF(TableAopCalendar[[#This Row],[Day]]&lt;32,5)))))</f>
        <v>4</v>
      </c>
      <c r="G1668" s="32" t="str">
        <f t="shared" si="91"/>
        <v>Week 4</v>
      </c>
      <c r="H1668" s="32" t="str">
        <f t="shared" si="92"/>
        <v>October 26 Week 4</v>
      </c>
      <c r="I1668" s="32" t="str">
        <f>CONCATENATE(UPPER(TableAopCalendar[[#This Row],[Month]])," ",TableAopCalendar[[#This Row],[Year]])</f>
        <v>OCTOBER 26</v>
      </c>
      <c r="J1668" s="7" t="s">
        <v>274</v>
      </c>
      <c r="K1668" s="32" t="str">
        <f>CONCATENATE(TableAopCalendar[[#This Row],[Month for Plan]]," ",TableAopCalendar[[#This Row],[Plan]])</f>
        <v>OCTOBER 26 PLANNED</v>
      </c>
    </row>
    <row r="1669" spans="1:11" x14ac:dyDescent="0.3">
      <c r="A1669" s="32">
        <f t="shared" si="90"/>
        <v>3</v>
      </c>
      <c r="B1669" s="33">
        <v>46319</v>
      </c>
      <c r="C1669" s="6" t="s">
        <v>114</v>
      </c>
      <c r="D1669" s="34">
        <v>26</v>
      </c>
      <c r="E1669" s="32">
        <f>DAY(TableAopCalendar[[#This Row],[Date]])</f>
        <v>24</v>
      </c>
      <c r="F1669" s="32">
        <f>IF(TableAopCalendar[[#This Row],[Day]]&lt;8,1,IF(TableAopCalendar[[#This Row],[Day]]&lt;15,2,IF(TableAopCalendar[[#This Row],[Day]]&lt;22,3,IF(TableAopCalendar[[#This Row],[Day]]&lt;29,4,IF(TableAopCalendar[[#This Row],[Day]]&lt;32,5)))))</f>
        <v>4</v>
      </c>
      <c r="G1669" s="32" t="str">
        <f t="shared" si="91"/>
        <v>Week 4</v>
      </c>
      <c r="H1669" s="32" t="str">
        <f t="shared" si="92"/>
        <v>October 26 Week 4</v>
      </c>
      <c r="I1669" s="32" t="str">
        <f>CONCATENATE(UPPER(TableAopCalendar[[#This Row],[Month]])," ",TableAopCalendar[[#This Row],[Year]])</f>
        <v>OCTOBER 26</v>
      </c>
      <c r="J1669" s="7" t="s">
        <v>274</v>
      </c>
      <c r="K1669" s="32" t="str">
        <f>CONCATENATE(TableAopCalendar[[#This Row],[Month for Plan]]," ",TableAopCalendar[[#This Row],[Plan]])</f>
        <v>OCTOBER 26 PLANNED</v>
      </c>
    </row>
    <row r="1670" spans="1:11" x14ac:dyDescent="0.3">
      <c r="A1670" s="32">
        <f t="shared" si="90"/>
        <v>4</v>
      </c>
      <c r="B1670" s="33">
        <v>46320</v>
      </c>
      <c r="C1670" s="6" t="s">
        <v>114</v>
      </c>
      <c r="D1670" s="34">
        <v>26</v>
      </c>
      <c r="E1670" s="32">
        <f>DAY(TableAopCalendar[[#This Row],[Date]])</f>
        <v>25</v>
      </c>
      <c r="F1670" s="32">
        <f>IF(TableAopCalendar[[#This Row],[Day]]&lt;8,1,IF(TableAopCalendar[[#This Row],[Day]]&lt;15,2,IF(TableAopCalendar[[#This Row],[Day]]&lt;22,3,IF(TableAopCalendar[[#This Row],[Day]]&lt;29,4,IF(TableAopCalendar[[#This Row],[Day]]&lt;32,5)))))</f>
        <v>4</v>
      </c>
      <c r="G1670" s="32" t="str">
        <f t="shared" si="91"/>
        <v>Week 4</v>
      </c>
      <c r="H1670" s="32" t="str">
        <f t="shared" si="92"/>
        <v>October 26 Week 4</v>
      </c>
      <c r="I1670" s="32" t="str">
        <f>CONCATENATE(UPPER(TableAopCalendar[[#This Row],[Month]])," ",TableAopCalendar[[#This Row],[Year]])</f>
        <v>OCTOBER 26</v>
      </c>
      <c r="J1670" s="7" t="s">
        <v>274</v>
      </c>
      <c r="K1670" s="32" t="str">
        <f>CONCATENATE(TableAopCalendar[[#This Row],[Month for Plan]]," ",TableAopCalendar[[#This Row],[Plan]])</f>
        <v>OCTOBER 26 PLANNED</v>
      </c>
    </row>
    <row r="1671" spans="1:11" x14ac:dyDescent="0.3">
      <c r="A1671" s="32">
        <f t="shared" si="90"/>
        <v>5</v>
      </c>
      <c r="B1671" s="33">
        <v>46321</v>
      </c>
      <c r="C1671" s="6" t="s">
        <v>114</v>
      </c>
      <c r="D1671" s="34">
        <v>26</v>
      </c>
      <c r="E1671" s="32">
        <f>DAY(TableAopCalendar[[#This Row],[Date]])</f>
        <v>26</v>
      </c>
      <c r="F1671" s="32">
        <f>IF(TableAopCalendar[[#This Row],[Day]]&lt;8,1,IF(TableAopCalendar[[#This Row],[Day]]&lt;15,2,IF(TableAopCalendar[[#This Row],[Day]]&lt;22,3,IF(TableAopCalendar[[#This Row],[Day]]&lt;29,4,IF(TableAopCalendar[[#This Row],[Day]]&lt;32,5)))))</f>
        <v>4</v>
      </c>
      <c r="G1671" s="32" t="str">
        <f t="shared" si="91"/>
        <v>Week 4</v>
      </c>
      <c r="H1671" s="32" t="str">
        <f t="shared" si="92"/>
        <v>October 26 Week 4</v>
      </c>
      <c r="I1671" s="32" t="str">
        <f>CONCATENATE(UPPER(TableAopCalendar[[#This Row],[Month]])," ",TableAopCalendar[[#This Row],[Year]])</f>
        <v>OCTOBER 26</v>
      </c>
      <c r="J1671" s="7" t="s">
        <v>274</v>
      </c>
      <c r="K1671" s="32" t="str">
        <f>CONCATENATE(TableAopCalendar[[#This Row],[Month for Plan]]," ",TableAopCalendar[[#This Row],[Plan]])</f>
        <v>OCTOBER 26 PLANNED</v>
      </c>
    </row>
    <row r="1672" spans="1:11" x14ac:dyDescent="0.3">
      <c r="A1672" s="32">
        <f t="shared" si="90"/>
        <v>6</v>
      </c>
      <c r="B1672" s="33">
        <v>46322</v>
      </c>
      <c r="C1672" s="6" t="s">
        <v>114</v>
      </c>
      <c r="D1672" s="34">
        <v>26</v>
      </c>
      <c r="E1672" s="32">
        <f>DAY(TableAopCalendar[[#This Row],[Date]])</f>
        <v>27</v>
      </c>
      <c r="F1672" s="32">
        <f>IF(TableAopCalendar[[#This Row],[Day]]&lt;8,1,IF(TableAopCalendar[[#This Row],[Day]]&lt;15,2,IF(TableAopCalendar[[#This Row],[Day]]&lt;22,3,IF(TableAopCalendar[[#This Row],[Day]]&lt;29,4,IF(TableAopCalendar[[#This Row],[Day]]&lt;32,5)))))</f>
        <v>4</v>
      </c>
      <c r="G1672" s="32" t="str">
        <f t="shared" si="91"/>
        <v>Week 4</v>
      </c>
      <c r="H1672" s="32" t="str">
        <f t="shared" si="92"/>
        <v>October 26 Week 4</v>
      </c>
      <c r="I1672" s="32" t="str">
        <f>CONCATENATE(UPPER(TableAopCalendar[[#This Row],[Month]])," ",TableAopCalendar[[#This Row],[Year]])</f>
        <v>OCTOBER 26</v>
      </c>
      <c r="J1672" s="7" t="s">
        <v>274</v>
      </c>
      <c r="K1672" s="32" t="str">
        <f>CONCATENATE(TableAopCalendar[[#This Row],[Month for Plan]]," ",TableAopCalendar[[#This Row],[Plan]])</f>
        <v>OCTOBER 26 PLANNED</v>
      </c>
    </row>
    <row r="1673" spans="1:11" x14ac:dyDescent="0.3">
      <c r="A1673" s="32">
        <f t="shared" si="90"/>
        <v>7</v>
      </c>
      <c r="B1673" s="33">
        <v>46323</v>
      </c>
      <c r="C1673" s="6" t="s">
        <v>114</v>
      </c>
      <c r="D1673" s="34">
        <v>26</v>
      </c>
      <c r="E1673" s="32">
        <f>DAY(TableAopCalendar[[#This Row],[Date]])</f>
        <v>28</v>
      </c>
      <c r="F1673" s="32">
        <f>IF(TableAopCalendar[[#This Row],[Day]]&lt;8,1,IF(TableAopCalendar[[#This Row],[Day]]&lt;15,2,IF(TableAopCalendar[[#This Row],[Day]]&lt;22,3,IF(TableAopCalendar[[#This Row],[Day]]&lt;29,4,IF(TableAopCalendar[[#This Row],[Day]]&lt;32,5)))))</f>
        <v>4</v>
      </c>
      <c r="G1673" s="32" t="str">
        <f t="shared" si="91"/>
        <v>Week 4</v>
      </c>
      <c r="H1673" s="32" t="str">
        <f t="shared" si="92"/>
        <v>October 26 Week 4</v>
      </c>
      <c r="I1673" s="32" t="str">
        <f>CONCATENATE(UPPER(TableAopCalendar[[#This Row],[Month]])," ",TableAopCalendar[[#This Row],[Year]])</f>
        <v>OCTOBER 26</v>
      </c>
      <c r="J1673" s="7" t="s">
        <v>274</v>
      </c>
      <c r="K1673" s="32" t="str">
        <f>CONCATENATE(TableAopCalendar[[#This Row],[Month for Plan]]," ",TableAopCalendar[[#This Row],[Plan]])</f>
        <v>OCTOBER 26 PLANNED</v>
      </c>
    </row>
    <row r="1674" spans="1:11" x14ac:dyDescent="0.3">
      <c r="A1674" s="32">
        <f t="shared" si="90"/>
        <v>1</v>
      </c>
      <c r="B1674" s="33">
        <v>46324</v>
      </c>
      <c r="C1674" s="6" t="s">
        <v>114</v>
      </c>
      <c r="D1674" s="34">
        <v>26</v>
      </c>
      <c r="E1674" s="32">
        <f>DAY(TableAopCalendar[[#This Row],[Date]])</f>
        <v>29</v>
      </c>
      <c r="F1674" s="32">
        <f>IF(TableAopCalendar[[#This Row],[Day]]&lt;8,1,IF(TableAopCalendar[[#This Row],[Day]]&lt;15,2,IF(TableAopCalendar[[#This Row],[Day]]&lt;22,3,IF(TableAopCalendar[[#This Row],[Day]]&lt;29,4,IF(TableAopCalendar[[#This Row],[Day]]&lt;32,5)))))</f>
        <v>5</v>
      </c>
      <c r="G1674" s="32" t="str">
        <f t="shared" si="91"/>
        <v>Week 5</v>
      </c>
      <c r="H1674" s="32" t="str">
        <f t="shared" si="92"/>
        <v>October 26 Week 5</v>
      </c>
      <c r="I1674" s="32" t="str">
        <f>CONCATENATE(UPPER(TableAopCalendar[[#This Row],[Month]])," ",TableAopCalendar[[#This Row],[Year]])</f>
        <v>OCTOBER 26</v>
      </c>
      <c r="J1674" s="7" t="s">
        <v>274</v>
      </c>
      <c r="K1674" s="32" t="str">
        <f>CONCATENATE(TableAopCalendar[[#This Row],[Month for Plan]]," ",TableAopCalendar[[#This Row],[Plan]])</f>
        <v>OCTOBER 26 PLANNED</v>
      </c>
    </row>
    <row r="1675" spans="1:11" x14ac:dyDescent="0.3">
      <c r="A1675" s="32">
        <f t="shared" ref="A1675:A1738" si="93">IF(G1675=G1674,A1674+1,1)</f>
        <v>2</v>
      </c>
      <c r="B1675" s="33">
        <v>46325</v>
      </c>
      <c r="C1675" s="6" t="s">
        <v>114</v>
      </c>
      <c r="D1675" s="34">
        <v>26</v>
      </c>
      <c r="E1675" s="32">
        <f>DAY(TableAopCalendar[[#This Row],[Date]])</f>
        <v>30</v>
      </c>
      <c r="F1675" s="32">
        <f>IF(TableAopCalendar[[#This Row],[Day]]&lt;8,1,IF(TableAopCalendar[[#This Row],[Day]]&lt;15,2,IF(TableAopCalendar[[#This Row],[Day]]&lt;22,3,IF(TableAopCalendar[[#This Row],[Day]]&lt;29,4,IF(TableAopCalendar[[#This Row],[Day]]&lt;32,5)))))</f>
        <v>5</v>
      </c>
      <c r="G1675" s="32" t="str">
        <f t="shared" ref="G1675:G1738" si="94">"Week"&amp;" "&amp;F1675</f>
        <v>Week 5</v>
      </c>
      <c r="H1675" s="32" t="str">
        <f t="shared" ref="H1675:H1738" si="95">CONCATENATE(C1675," ",D1675," ",G1675)</f>
        <v>October 26 Week 5</v>
      </c>
      <c r="I1675" s="32" t="str">
        <f>CONCATENATE(UPPER(TableAopCalendar[[#This Row],[Month]])," ",TableAopCalendar[[#This Row],[Year]])</f>
        <v>OCTOBER 26</v>
      </c>
      <c r="J1675" s="7" t="s">
        <v>274</v>
      </c>
      <c r="K1675" s="32" t="str">
        <f>CONCATENATE(TableAopCalendar[[#This Row],[Month for Plan]]," ",TableAopCalendar[[#This Row],[Plan]])</f>
        <v>OCTOBER 26 PLANNED</v>
      </c>
    </row>
    <row r="1676" spans="1:11" x14ac:dyDescent="0.3">
      <c r="A1676" s="32">
        <f t="shared" si="93"/>
        <v>3</v>
      </c>
      <c r="B1676" s="33">
        <v>46326</v>
      </c>
      <c r="C1676" s="6" t="s">
        <v>114</v>
      </c>
      <c r="D1676" s="34">
        <v>26</v>
      </c>
      <c r="E1676" s="32">
        <f>DAY(TableAopCalendar[[#This Row],[Date]])</f>
        <v>31</v>
      </c>
      <c r="F1676" s="32">
        <f>IF(TableAopCalendar[[#This Row],[Day]]&lt;8,1,IF(TableAopCalendar[[#This Row],[Day]]&lt;15,2,IF(TableAopCalendar[[#This Row],[Day]]&lt;22,3,IF(TableAopCalendar[[#This Row],[Day]]&lt;29,4,IF(TableAopCalendar[[#This Row],[Day]]&lt;32,5)))))</f>
        <v>5</v>
      </c>
      <c r="G1676" s="32" t="str">
        <f t="shared" si="94"/>
        <v>Week 5</v>
      </c>
      <c r="H1676" s="32" t="str">
        <f t="shared" si="95"/>
        <v>October 26 Week 5</v>
      </c>
      <c r="I1676" s="32" t="str">
        <f>CONCATENATE(UPPER(TableAopCalendar[[#This Row],[Month]])," ",TableAopCalendar[[#This Row],[Year]])</f>
        <v>OCTOBER 26</v>
      </c>
      <c r="J1676" s="7" t="s">
        <v>274</v>
      </c>
      <c r="K1676" s="32" t="str">
        <f>CONCATENATE(TableAopCalendar[[#This Row],[Month for Plan]]," ",TableAopCalendar[[#This Row],[Plan]])</f>
        <v>OCTOBER 26 PLANNED</v>
      </c>
    </row>
    <row r="1677" spans="1:11" x14ac:dyDescent="0.3">
      <c r="A1677" s="32">
        <f t="shared" si="93"/>
        <v>1</v>
      </c>
      <c r="B1677" s="33">
        <v>46327</v>
      </c>
      <c r="C1677" s="6" t="s">
        <v>117</v>
      </c>
      <c r="D1677" s="34">
        <v>26</v>
      </c>
      <c r="E1677" s="32">
        <f>DAY(TableAopCalendar[[#This Row],[Date]])</f>
        <v>1</v>
      </c>
      <c r="F1677" s="32">
        <f>IF(TableAopCalendar[[#This Row],[Day]]&lt;8,1,IF(TableAopCalendar[[#This Row],[Day]]&lt;15,2,IF(TableAopCalendar[[#This Row],[Day]]&lt;22,3,IF(TableAopCalendar[[#This Row],[Day]]&lt;29,4,IF(TableAopCalendar[[#This Row],[Day]]&lt;32,5)))))</f>
        <v>1</v>
      </c>
      <c r="G1677" s="32" t="str">
        <f t="shared" si="94"/>
        <v>Week 1</v>
      </c>
      <c r="H1677" s="32" t="str">
        <f t="shared" si="95"/>
        <v>November 26 Week 1</v>
      </c>
      <c r="I1677" s="32" t="str">
        <f>CONCATENATE(UPPER(TableAopCalendar[[#This Row],[Month]])," ",TableAopCalendar[[#This Row],[Year]])</f>
        <v>NOVEMBER 26</v>
      </c>
      <c r="J1677" s="7" t="s">
        <v>274</v>
      </c>
      <c r="K1677" s="32" t="str">
        <f>CONCATENATE(TableAopCalendar[[#This Row],[Month for Plan]]," ",TableAopCalendar[[#This Row],[Plan]])</f>
        <v>NOVEMBER 26 PLANNED</v>
      </c>
    </row>
    <row r="1678" spans="1:11" x14ac:dyDescent="0.3">
      <c r="A1678" s="32">
        <f t="shared" si="93"/>
        <v>2</v>
      </c>
      <c r="B1678" s="33">
        <v>46328</v>
      </c>
      <c r="C1678" s="6" t="s">
        <v>117</v>
      </c>
      <c r="D1678" s="34">
        <v>26</v>
      </c>
      <c r="E1678" s="32">
        <f>DAY(TableAopCalendar[[#This Row],[Date]])</f>
        <v>2</v>
      </c>
      <c r="F1678" s="32">
        <f>IF(TableAopCalendar[[#This Row],[Day]]&lt;8,1,IF(TableAopCalendar[[#This Row],[Day]]&lt;15,2,IF(TableAopCalendar[[#This Row],[Day]]&lt;22,3,IF(TableAopCalendar[[#This Row],[Day]]&lt;29,4,IF(TableAopCalendar[[#This Row],[Day]]&lt;32,5)))))</f>
        <v>1</v>
      </c>
      <c r="G1678" s="32" t="str">
        <f t="shared" si="94"/>
        <v>Week 1</v>
      </c>
      <c r="H1678" s="32" t="str">
        <f t="shared" si="95"/>
        <v>November 26 Week 1</v>
      </c>
      <c r="I1678" s="32" t="str">
        <f>CONCATENATE(UPPER(TableAopCalendar[[#This Row],[Month]])," ",TableAopCalendar[[#This Row],[Year]])</f>
        <v>NOVEMBER 26</v>
      </c>
      <c r="J1678" s="7" t="s">
        <v>274</v>
      </c>
      <c r="K1678" s="32" t="str">
        <f>CONCATENATE(TableAopCalendar[[#This Row],[Month for Plan]]," ",TableAopCalendar[[#This Row],[Plan]])</f>
        <v>NOVEMBER 26 PLANNED</v>
      </c>
    </row>
    <row r="1679" spans="1:11" x14ac:dyDescent="0.3">
      <c r="A1679" s="32">
        <f t="shared" si="93"/>
        <v>3</v>
      </c>
      <c r="B1679" s="33">
        <v>46329</v>
      </c>
      <c r="C1679" s="6" t="s">
        <v>117</v>
      </c>
      <c r="D1679" s="34">
        <v>26</v>
      </c>
      <c r="E1679" s="32">
        <f>DAY(TableAopCalendar[[#This Row],[Date]])</f>
        <v>3</v>
      </c>
      <c r="F1679" s="32">
        <f>IF(TableAopCalendar[[#This Row],[Day]]&lt;8,1,IF(TableAopCalendar[[#This Row],[Day]]&lt;15,2,IF(TableAopCalendar[[#This Row],[Day]]&lt;22,3,IF(TableAopCalendar[[#This Row],[Day]]&lt;29,4,IF(TableAopCalendar[[#This Row],[Day]]&lt;32,5)))))</f>
        <v>1</v>
      </c>
      <c r="G1679" s="32" t="str">
        <f t="shared" si="94"/>
        <v>Week 1</v>
      </c>
      <c r="H1679" s="32" t="str">
        <f t="shared" si="95"/>
        <v>November 26 Week 1</v>
      </c>
      <c r="I1679" s="32" t="str">
        <f>CONCATENATE(UPPER(TableAopCalendar[[#This Row],[Month]])," ",TableAopCalendar[[#This Row],[Year]])</f>
        <v>NOVEMBER 26</v>
      </c>
      <c r="J1679" s="7" t="s">
        <v>274</v>
      </c>
      <c r="K1679" s="32" t="str">
        <f>CONCATENATE(TableAopCalendar[[#This Row],[Month for Plan]]," ",TableAopCalendar[[#This Row],[Plan]])</f>
        <v>NOVEMBER 26 PLANNED</v>
      </c>
    </row>
    <row r="1680" spans="1:11" x14ac:dyDescent="0.3">
      <c r="A1680" s="32">
        <f t="shared" si="93"/>
        <v>4</v>
      </c>
      <c r="B1680" s="33">
        <v>46330</v>
      </c>
      <c r="C1680" s="6" t="s">
        <v>117</v>
      </c>
      <c r="D1680" s="34">
        <v>26</v>
      </c>
      <c r="E1680" s="32">
        <f>DAY(TableAopCalendar[[#This Row],[Date]])</f>
        <v>4</v>
      </c>
      <c r="F1680" s="32">
        <f>IF(TableAopCalendar[[#This Row],[Day]]&lt;8,1,IF(TableAopCalendar[[#This Row],[Day]]&lt;15,2,IF(TableAopCalendar[[#This Row],[Day]]&lt;22,3,IF(TableAopCalendar[[#This Row],[Day]]&lt;29,4,IF(TableAopCalendar[[#This Row],[Day]]&lt;32,5)))))</f>
        <v>1</v>
      </c>
      <c r="G1680" s="32" t="str">
        <f t="shared" si="94"/>
        <v>Week 1</v>
      </c>
      <c r="H1680" s="32" t="str">
        <f t="shared" si="95"/>
        <v>November 26 Week 1</v>
      </c>
      <c r="I1680" s="32" t="str">
        <f>CONCATENATE(UPPER(TableAopCalendar[[#This Row],[Month]])," ",TableAopCalendar[[#This Row],[Year]])</f>
        <v>NOVEMBER 26</v>
      </c>
      <c r="J1680" s="7" t="s">
        <v>274</v>
      </c>
      <c r="K1680" s="32" t="str">
        <f>CONCATENATE(TableAopCalendar[[#This Row],[Month for Plan]]," ",TableAopCalendar[[#This Row],[Plan]])</f>
        <v>NOVEMBER 26 PLANNED</v>
      </c>
    </row>
    <row r="1681" spans="1:11" x14ac:dyDescent="0.3">
      <c r="A1681" s="32">
        <f t="shared" si="93"/>
        <v>5</v>
      </c>
      <c r="B1681" s="33">
        <v>46331</v>
      </c>
      <c r="C1681" s="6" t="s">
        <v>117</v>
      </c>
      <c r="D1681" s="34">
        <v>26</v>
      </c>
      <c r="E1681" s="32">
        <f>DAY(TableAopCalendar[[#This Row],[Date]])</f>
        <v>5</v>
      </c>
      <c r="F1681" s="32">
        <f>IF(TableAopCalendar[[#This Row],[Day]]&lt;8,1,IF(TableAopCalendar[[#This Row],[Day]]&lt;15,2,IF(TableAopCalendar[[#This Row],[Day]]&lt;22,3,IF(TableAopCalendar[[#This Row],[Day]]&lt;29,4,IF(TableAopCalendar[[#This Row],[Day]]&lt;32,5)))))</f>
        <v>1</v>
      </c>
      <c r="G1681" s="32" t="str">
        <f t="shared" si="94"/>
        <v>Week 1</v>
      </c>
      <c r="H1681" s="32" t="str">
        <f t="shared" si="95"/>
        <v>November 26 Week 1</v>
      </c>
      <c r="I1681" s="32" t="str">
        <f>CONCATENATE(UPPER(TableAopCalendar[[#This Row],[Month]])," ",TableAopCalendar[[#This Row],[Year]])</f>
        <v>NOVEMBER 26</v>
      </c>
      <c r="J1681" s="7" t="s">
        <v>274</v>
      </c>
      <c r="K1681" s="32" t="str">
        <f>CONCATENATE(TableAopCalendar[[#This Row],[Month for Plan]]," ",TableAopCalendar[[#This Row],[Plan]])</f>
        <v>NOVEMBER 26 PLANNED</v>
      </c>
    </row>
    <row r="1682" spans="1:11" x14ac:dyDescent="0.3">
      <c r="A1682" s="32">
        <f t="shared" si="93"/>
        <v>6</v>
      </c>
      <c r="B1682" s="33">
        <v>46332</v>
      </c>
      <c r="C1682" s="6" t="s">
        <v>117</v>
      </c>
      <c r="D1682" s="34">
        <v>26</v>
      </c>
      <c r="E1682" s="32">
        <f>DAY(TableAopCalendar[[#This Row],[Date]])</f>
        <v>6</v>
      </c>
      <c r="F1682" s="32">
        <f>IF(TableAopCalendar[[#This Row],[Day]]&lt;8,1,IF(TableAopCalendar[[#This Row],[Day]]&lt;15,2,IF(TableAopCalendar[[#This Row],[Day]]&lt;22,3,IF(TableAopCalendar[[#This Row],[Day]]&lt;29,4,IF(TableAopCalendar[[#This Row],[Day]]&lt;32,5)))))</f>
        <v>1</v>
      </c>
      <c r="G1682" s="32" t="str">
        <f t="shared" si="94"/>
        <v>Week 1</v>
      </c>
      <c r="H1682" s="32" t="str">
        <f t="shared" si="95"/>
        <v>November 26 Week 1</v>
      </c>
      <c r="I1682" s="32" t="str">
        <f>CONCATENATE(UPPER(TableAopCalendar[[#This Row],[Month]])," ",TableAopCalendar[[#This Row],[Year]])</f>
        <v>NOVEMBER 26</v>
      </c>
      <c r="J1682" s="7" t="s">
        <v>274</v>
      </c>
      <c r="K1682" s="32" t="str">
        <f>CONCATENATE(TableAopCalendar[[#This Row],[Month for Plan]]," ",TableAopCalendar[[#This Row],[Plan]])</f>
        <v>NOVEMBER 26 PLANNED</v>
      </c>
    </row>
    <row r="1683" spans="1:11" x14ac:dyDescent="0.3">
      <c r="A1683" s="32">
        <f t="shared" si="93"/>
        <v>7</v>
      </c>
      <c r="B1683" s="33">
        <v>46333</v>
      </c>
      <c r="C1683" s="6" t="s">
        <v>117</v>
      </c>
      <c r="D1683" s="34">
        <v>26</v>
      </c>
      <c r="E1683" s="32">
        <f>DAY(TableAopCalendar[[#This Row],[Date]])</f>
        <v>7</v>
      </c>
      <c r="F1683" s="32">
        <f>IF(TableAopCalendar[[#This Row],[Day]]&lt;8,1,IF(TableAopCalendar[[#This Row],[Day]]&lt;15,2,IF(TableAopCalendar[[#This Row],[Day]]&lt;22,3,IF(TableAopCalendar[[#This Row],[Day]]&lt;29,4,IF(TableAopCalendar[[#This Row],[Day]]&lt;32,5)))))</f>
        <v>1</v>
      </c>
      <c r="G1683" s="32" t="str">
        <f t="shared" si="94"/>
        <v>Week 1</v>
      </c>
      <c r="H1683" s="32" t="str">
        <f t="shared" si="95"/>
        <v>November 26 Week 1</v>
      </c>
      <c r="I1683" s="32" t="str">
        <f>CONCATENATE(UPPER(TableAopCalendar[[#This Row],[Month]])," ",TableAopCalendar[[#This Row],[Year]])</f>
        <v>NOVEMBER 26</v>
      </c>
      <c r="J1683" s="7" t="s">
        <v>274</v>
      </c>
      <c r="K1683" s="32" t="str">
        <f>CONCATENATE(TableAopCalendar[[#This Row],[Month for Plan]]," ",TableAopCalendar[[#This Row],[Plan]])</f>
        <v>NOVEMBER 26 PLANNED</v>
      </c>
    </row>
    <row r="1684" spans="1:11" x14ac:dyDescent="0.3">
      <c r="A1684" s="32">
        <f t="shared" si="93"/>
        <v>1</v>
      </c>
      <c r="B1684" s="33">
        <v>46334</v>
      </c>
      <c r="C1684" s="6" t="s">
        <v>117</v>
      </c>
      <c r="D1684" s="34">
        <v>26</v>
      </c>
      <c r="E1684" s="32">
        <f>DAY(TableAopCalendar[[#This Row],[Date]])</f>
        <v>8</v>
      </c>
      <c r="F1684" s="32">
        <f>IF(TableAopCalendar[[#This Row],[Day]]&lt;8,1,IF(TableAopCalendar[[#This Row],[Day]]&lt;15,2,IF(TableAopCalendar[[#This Row],[Day]]&lt;22,3,IF(TableAopCalendar[[#This Row],[Day]]&lt;29,4,IF(TableAopCalendar[[#This Row],[Day]]&lt;32,5)))))</f>
        <v>2</v>
      </c>
      <c r="G1684" s="32" t="str">
        <f t="shared" si="94"/>
        <v>Week 2</v>
      </c>
      <c r="H1684" s="32" t="str">
        <f t="shared" si="95"/>
        <v>November 26 Week 2</v>
      </c>
      <c r="I1684" s="32" t="str">
        <f>CONCATENATE(UPPER(TableAopCalendar[[#This Row],[Month]])," ",TableAopCalendar[[#This Row],[Year]])</f>
        <v>NOVEMBER 26</v>
      </c>
      <c r="J1684" s="7" t="s">
        <v>274</v>
      </c>
      <c r="K1684" s="32" t="str">
        <f>CONCATENATE(TableAopCalendar[[#This Row],[Month for Plan]]," ",TableAopCalendar[[#This Row],[Plan]])</f>
        <v>NOVEMBER 26 PLANNED</v>
      </c>
    </row>
    <row r="1685" spans="1:11" x14ac:dyDescent="0.3">
      <c r="A1685" s="32">
        <f t="shared" si="93"/>
        <v>2</v>
      </c>
      <c r="B1685" s="33">
        <v>46335</v>
      </c>
      <c r="C1685" s="6" t="s">
        <v>117</v>
      </c>
      <c r="D1685" s="34">
        <v>26</v>
      </c>
      <c r="E1685" s="32">
        <f>DAY(TableAopCalendar[[#This Row],[Date]])</f>
        <v>9</v>
      </c>
      <c r="F1685" s="32">
        <f>IF(TableAopCalendar[[#This Row],[Day]]&lt;8,1,IF(TableAopCalendar[[#This Row],[Day]]&lt;15,2,IF(TableAopCalendar[[#This Row],[Day]]&lt;22,3,IF(TableAopCalendar[[#This Row],[Day]]&lt;29,4,IF(TableAopCalendar[[#This Row],[Day]]&lt;32,5)))))</f>
        <v>2</v>
      </c>
      <c r="G1685" s="32" t="str">
        <f t="shared" si="94"/>
        <v>Week 2</v>
      </c>
      <c r="H1685" s="32" t="str">
        <f t="shared" si="95"/>
        <v>November 26 Week 2</v>
      </c>
      <c r="I1685" s="32" t="str">
        <f>CONCATENATE(UPPER(TableAopCalendar[[#This Row],[Month]])," ",TableAopCalendar[[#This Row],[Year]])</f>
        <v>NOVEMBER 26</v>
      </c>
      <c r="J1685" s="7" t="s">
        <v>274</v>
      </c>
      <c r="K1685" s="32" t="str">
        <f>CONCATENATE(TableAopCalendar[[#This Row],[Month for Plan]]," ",TableAopCalendar[[#This Row],[Plan]])</f>
        <v>NOVEMBER 26 PLANNED</v>
      </c>
    </row>
    <row r="1686" spans="1:11" x14ac:dyDescent="0.3">
      <c r="A1686" s="32">
        <f t="shared" si="93"/>
        <v>3</v>
      </c>
      <c r="B1686" s="33">
        <v>46336</v>
      </c>
      <c r="C1686" s="6" t="s">
        <v>117</v>
      </c>
      <c r="D1686" s="34">
        <v>26</v>
      </c>
      <c r="E1686" s="32">
        <f>DAY(TableAopCalendar[[#This Row],[Date]])</f>
        <v>10</v>
      </c>
      <c r="F1686" s="32">
        <f>IF(TableAopCalendar[[#This Row],[Day]]&lt;8,1,IF(TableAopCalendar[[#This Row],[Day]]&lt;15,2,IF(TableAopCalendar[[#This Row],[Day]]&lt;22,3,IF(TableAopCalendar[[#This Row],[Day]]&lt;29,4,IF(TableAopCalendar[[#This Row],[Day]]&lt;32,5)))))</f>
        <v>2</v>
      </c>
      <c r="G1686" s="32" t="str">
        <f t="shared" si="94"/>
        <v>Week 2</v>
      </c>
      <c r="H1686" s="32" t="str">
        <f t="shared" si="95"/>
        <v>November 26 Week 2</v>
      </c>
      <c r="I1686" s="32" t="str">
        <f>CONCATENATE(UPPER(TableAopCalendar[[#This Row],[Month]])," ",TableAopCalendar[[#This Row],[Year]])</f>
        <v>NOVEMBER 26</v>
      </c>
      <c r="J1686" s="7" t="s">
        <v>274</v>
      </c>
      <c r="K1686" s="32" t="str">
        <f>CONCATENATE(TableAopCalendar[[#This Row],[Month for Plan]]," ",TableAopCalendar[[#This Row],[Plan]])</f>
        <v>NOVEMBER 26 PLANNED</v>
      </c>
    </row>
    <row r="1687" spans="1:11" x14ac:dyDescent="0.3">
      <c r="A1687" s="32">
        <f t="shared" si="93"/>
        <v>4</v>
      </c>
      <c r="B1687" s="33">
        <v>46337</v>
      </c>
      <c r="C1687" s="6" t="s">
        <v>117</v>
      </c>
      <c r="D1687" s="34">
        <v>26</v>
      </c>
      <c r="E1687" s="32">
        <f>DAY(TableAopCalendar[[#This Row],[Date]])</f>
        <v>11</v>
      </c>
      <c r="F1687" s="32">
        <f>IF(TableAopCalendar[[#This Row],[Day]]&lt;8,1,IF(TableAopCalendar[[#This Row],[Day]]&lt;15,2,IF(TableAopCalendar[[#This Row],[Day]]&lt;22,3,IF(TableAopCalendar[[#This Row],[Day]]&lt;29,4,IF(TableAopCalendar[[#This Row],[Day]]&lt;32,5)))))</f>
        <v>2</v>
      </c>
      <c r="G1687" s="32" t="str">
        <f t="shared" si="94"/>
        <v>Week 2</v>
      </c>
      <c r="H1687" s="32" t="str">
        <f t="shared" si="95"/>
        <v>November 26 Week 2</v>
      </c>
      <c r="I1687" s="32" t="str">
        <f>CONCATENATE(UPPER(TableAopCalendar[[#This Row],[Month]])," ",TableAopCalendar[[#This Row],[Year]])</f>
        <v>NOVEMBER 26</v>
      </c>
      <c r="J1687" s="7" t="s">
        <v>274</v>
      </c>
      <c r="K1687" s="32" t="str">
        <f>CONCATENATE(TableAopCalendar[[#This Row],[Month for Plan]]," ",TableAopCalendar[[#This Row],[Plan]])</f>
        <v>NOVEMBER 26 PLANNED</v>
      </c>
    </row>
    <row r="1688" spans="1:11" x14ac:dyDescent="0.3">
      <c r="A1688" s="32">
        <f t="shared" si="93"/>
        <v>5</v>
      </c>
      <c r="B1688" s="33">
        <v>46338</v>
      </c>
      <c r="C1688" s="6" t="s">
        <v>117</v>
      </c>
      <c r="D1688" s="34">
        <v>26</v>
      </c>
      <c r="E1688" s="32">
        <f>DAY(TableAopCalendar[[#This Row],[Date]])</f>
        <v>12</v>
      </c>
      <c r="F1688" s="32">
        <f>IF(TableAopCalendar[[#This Row],[Day]]&lt;8,1,IF(TableAopCalendar[[#This Row],[Day]]&lt;15,2,IF(TableAopCalendar[[#This Row],[Day]]&lt;22,3,IF(TableAopCalendar[[#This Row],[Day]]&lt;29,4,IF(TableAopCalendar[[#This Row],[Day]]&lt;32,5)))))</f>
        <v>2</v>
      </c>
      <c r="G1688" s="32" t="str">
        <f t="shared" si="94"/>
        <v>Week 2</v>
      </c>
      <c r="H1688" s="32" t="str">
        <f t="shared" si="95"/>
        <v>November 26 Week 2</v>
      </c>
      <c r="I1688" s="32" t="str">
        <f>CONCATENATE(UPPER(TableAopCalendar[[#This Row],[Month]])," ",TableAopCalendar[[#This Row],[Year]])</f>
        <v>NOVEMBER 26</v>
      </c>
      <c r="J1688" s="7" t="s">
        <v>274</v>
      </c>
      <c r="K1688" s="32" t="str">
        <f>CONCATENATE(TableAopCalendar[[#This Row],[Month for Plan]]," ",TableAopCalendar[[#This Row],[Plan]])</f>
        <v>NOVEMBER 26 PLANNED</v>
      </c>
    </row>
    <row r="1689" spans="1:11" x14ac:dyDescent="0.3">
      <c r="A1689" s="32">
        <f t="shared" si="93"/>
        <v>6</v>
      </c>
      <c r="B1689" s="33">
        <v>46339</v>
      </c>
      <c r="C1689" s="6" t="s">
        <v>117</v>
      </c>
      <c r="D1689" s="34">
        <v>26</v>
      </c>
      <c r="E1689" s="32">
        <f>DAY(TableAopCalendar[[#This Row],[Date]])</f>
        <v>13</v>
      </c>
      <c r="F1689" s="32">
        <f>IF(TableAopCalendar[[#This Row],[Day]]&lt;8,1,IF(TableAopCalendar[[#This Row],[Day]]&lt;15,2,IF(TableAopCalendar[[#This Row],[Day]]&lt;22,3,IF(TableAopCalendar[[#This Row],[Day]]&lt;29,4,IF(TableAopCalendar[[#This Row],[Day]]&lt;32,5)))))</f>
        <v>2</v>
      </c>
      <c r="G1689" s="32" t="str">
        <f t="shared" si="94"/>
        <v>Week 2</v>
      </c>
      <c r="H1689" s="32" t="str">
        <f t="shared" si="95"/>
        <v>November 26 Week 2</v>
      </c>
      <c r="I1689" s="32" t="str">
        <f>CONCATENATE(UPPER(TableAopCalendar[[#This Row],[Month]])," ",TableAopCalendar[[#This Row],[Year]])</f>
        <v>NOVEMBER 26</v>
      </c>
      <c r="J1689" s="7" t="s">
        <v>274</v>
      </c>
      <c r="K1689" s="32" t="str">
        <f>CONCATENATE(TableAopCalendar[[#This Row],[Month for Plan]]," ",TableAopCalendar[[#This Row],[Plan]])</f>
        <v>NOVEMBER 26 PLANNED</v>
      </c>
    </row>
    <row r="1690" spans="1:11" x14ac:dyDescent="0.3">
      <c r="A1690" s="32">
        <f t="shared" si="93"/>
        <v>7</v>
      </c>
      <c r="B1690" s="33">
        <v>46340</v>
      </c>
      <c r="C1690" s="6" t="s">
        <v>117</v>
      </c>
      <c r="D1690" s="34">
        <v>26</v>
      </c>
      <c r="E1690" s="32">
        <f>DAY(TableAopCalendar[[#This Row],[Date]])</f>
        <v>14</v>
      </c>
      <c r="F1690" s="32">
        <f>IF(TableAopCalendar[[#This Row],[Day]]&lt;8,1,IF(TableAopCalendar[[#This Row],[Day]]&lt;15,2,IF(TableAopCalendar[[#This Row],[Day]]&lt;22,3,IF(TableAopCalendar[[#This Row],[Day]]&lt;29,4,IF(TableAopCalendar[[#This Row],[Day]]&lt;32,5)))))</f>
        <v>2</v>
      </c>
      <c r="G1690" s="32" t="str">
        <f t="shared" si="94"/>
        <v>Week 2</v>
      </c>
      <c r="H1690" s="32" t="str">
        <f t="shared" si="95"/>
        <v>November 26 Week 2</v>
      </c>
      <c r="I1690" s="32" t="str">
        <f>CONCATENATE(UPPER(TableAopCalendar[[#This Row],[Month]])," ",TableAopCalendar[[#This Row],[Year]])</f>
        <v>NOVEMBER 26</v>
      </c>
      <c r="J1690" s="7" t="s">
        <v>274</v>
      </c>
      <c r="K1690" s="32" t="str">
        <f>CONCATENATE(TableAopCalendar[[#This Row],[Month for Plan]]," ",TableAopCalendar[[#This Row],[Plan]])</f>
        <v>NOVEMBER 26 PLANNED</v>
      </c>
    </row>
    <row r="1691" spans="1:11" x14ac:dyDescent="0.3">
      <c r="A1691" s="32">
        <f t="shared" si="93"/>
        <v>1</v>
      </c>
      <c r="B1691" s="33">
        <v>46341</v>
      </c>
      <c r="C1691" s="6" t="s">
        <v>117</v>
      </c>
      <c r="D1691" s="34">
        <v>26</v>
      </c>
      <c r="E1691" s="32">
        <f>DAY(TableAopCalendar[[#This Row],[Date]])</f>
        <v>15</v>
      </c>
      <c r="F1691" s="32">
        <f>IF(TableAopCalendar[[#This Row],[Day]]&lt;8,1,IF(TableAopCalendar[[#This Row],[Day]]&lt;15,2,IF(TableAopCalendar[[#This Row],[Day]]&lt;22,3,IF(TableAopCalendar[[#This Row],[Day]]&lt;29,4,IF(TableAopCalendar[[#This Row],[Day]]&lt;32,5)))))</f>
        <v>3</v>
      </c>
      <c r="G1691" s="32" t="str">
        <f t="shared" si="94"/>
        <v>Week 3</v>
      </c>
      <c r="H1691" s="32" t="str">
        <f t="shared" si="95"/>
        <v>November 26 Week 3</v>
      </c>
      <c r="I1691" s="32" t="str">
        <f>CONCATENATE(UPPER(TableAopCalendar[[#This Row],[Month]])," ",TableAopCalendar[[#This Row],[Year]])</f>
        <v>NOVEMBER 26</v>
      </c>
      <c r="J1691" s="7" t="s">
        <v>274</v>
      </c>
      <c r="K1691" s="32" t="str">
        <f>CONCATENATE(TableAopCalendar[[#This Row],[Month for Plan]]," ",TableAopCalendar[[#This Row],[Plan]])</f>
        <v>NOVEMBER 26 PLANNED</v>
      </c>
    </row>
    <row r="1692" spans="1:11" x14ac:dyDescent="0.3">
      <c r="A1692" s="32">
        <f t="shared" si="93"/>
        <v>2</v>
      </c>
      <c r="B1692" s="33">
        <v>46342</v>
      </c>
      <c r="C1692" s="6" t="s">
        <v>117</v>
      </c>
      <c r="D1692" s="34">
        <v>26</v>
      </c>
      <c r="E1692" s="32">
        <f>DAY(TableAopCalendar[[#This Row],[Date]])</f>
        <v>16</v>
      </c>
      <c r="F1692" s="32">
        <f>IF(TableAopCalendar[[#This Row],[Day]]&lt;8,1,IF(TableAopCalendar[[#This Row],[Day]]&lt;15,2,IF(TableAopCalendar[[#This Row],[Day]]&lt;22,3,IF(TableAopCalendar[[#This Row],[Day]]&lt;29,4,IF(TableAopCalendar[[#This Row],[Day]]&lt;32,5)))))</f>
        <v>3</v>
      </c>
      <c r="G1692" s="32" t="str">
        <f t="shared" si="94"/>
        <v>Week 3</v>
      </c>
      <c r="H1692" s="32" t="str">
        <f t="shared" si="95"/>
        <v>November 26 Week 3</v>
      </c>
      <c r="I1692" s="32" t="str">
        <f>CONCATENATE(UPPER(TableAopCalendar[[#This Row],[Month]])," ",TableAopCalendar[[#This Row],[Year]])</f>
        <v>NOVEMBER 26</v>
      </c>
      <c r="J1692" s="7" t="s">
        <v>274</v>
      </c>
      <c r="K1692" s="32" t="str">
        <f>CONCATENATE(TableAopCalendar[[#This Row],[Month for Plan]]," ",TableAopCalendar[[#This Row],[Plan]])</f>
        <v>NOVEMBER 26 PLANNED</v>
      </c>
    </row>
    <row r="1693" spans="1:11" x14ac:dyDescent="0.3">
      <c r="A1693" s="32">
        <f t="shared" si="93"/>
        <v>3</v>
      </c>
      <c r="B1693" s="33">
        <v>46343</v>
      </c>
      <c r="C1693" s="6" t="s">
        <v>117</v>
      </c>
      <c r="D1693" s="34">
        <v>26</v>
      </c>
      <c r="E1693" s="32">
        <f>DAY(TableAopCalendar[[#This Row],[Date]])</f>
        <v>17</v>
      </c>
      <c r="F1693" s="32">
        <f>IF(TableAopCalendar[[#This Row],[Day]]&lt;8,1,IF(TableAopCalendar[[#This Row],[Day]]&lt;15,2,IF(TableAopCalendar[[#This Row],[Day]]&lt;22,3,IF(TableAopCalendar[[#This Row],[Day]]&lt;29,4,IF(TableAopCalendar[[#This Row],[Day]]&lt;32,5)))))</f>
        <v>3</v>
      </c>
      <c r="G1693" s="32" t="str">
        <f t="shared" si="94"/>
        <v>Week 3</v>
      </c>
      <c r="H1693" s="32" t="str">
        <f t="shared" si="95"/>
        <v>November 26 Week 3</v>
      </c>
      <c r="I1693" s="32" t="str">
        <f>CONCATENATE(UPPER(TableAopCalendar[[#This Row],[Month]])," ",TableAopCalendar[[#This Row],[Year]])</f>
        <v>NOVEMBER 26</v>
      </c>
      <c r="J1693" s="7" t="s">
        <v>274</v>
      </c>
      <c r="K1693" s="32" t="str">
        <f>CONCATENATE(TableAopCalendar[[#This Row],[Month for Plan]]," ",TableAopCalendar[[#This Row],[Plan]])</f>
        <v>NOVEMBER 26 PLANNED</v>
      </c>
    </row>
    <row r="1694" spans="1:11" x14ac:dyDescent="0.3">
      <c r="A1694" s="32">
        <f t="shared" si="93"/>
        <v>4</v>
      </c>
      <c r="B1694" s="33">
        <v>46344</v>
      </c>
      <c r="C1694" s="6" t="s">
        <v>117</v>
      </c>
      <c r="D1694" s="34">
        <v>26</v>
      </c>
      <c r="E1694" s="32">
        <f>DAY(TableAopCalendar[[#This Row],[Date]])</f>
        <v>18</v>
      </c>
      <c r="F1694" s="32">
        <f>IF(TableAopCalendar[[#This Row],[Day]]&lt;8,1,IF(TableAopCalendar[[#This Row],[Day]]&lt;15,2,IF(TableAopCalendar[[#This Row],[Day]]&lt;22,3,IF(TableAopCalendar[[#This Row],[Day]]&lt;29,4,IF(TableAopCalendar[[#This Row],[Day]]&lt;32,5)))))</f>
        <v>3</v>
      </c>
      <c r="G1694" s="32" t="str">
        <f t="shared" si="94"/>
        <v>Week 3</v>
      </c>
      <c r="H1694" s="32" t="str">
        <f t="shared" si="95"/>
        <v>November 26 Week 3</v>
      </c>
      <c r="I1694" s="32" t="str">
        <f>CONCATENATE(UPPER(TableAopCalendar[[#This Row],[Month]])," ",TableAopCalendar[[#This Row],[Year]])</f>
        <v>NOVEMBER 26</v>
      </c>
      <c r="J1694" s="7" t="s">
        <v>274</v>
      </c>
      <c r="K1694" s="32" t="str">
        <f>CONCATENATE(TableAopCalendar[[#This Row],[Month for Plan]]," ",TableAopCalendar[[#This Row],[Plan]])</f>
        <v>NOVEMBER 26 PLANNED</v>
      </c>
    </row>
    <row r="1695" spans="1:11" x14ac:dyDescent="0.3">
      <c r="A1695" s="32">
        <f t="shared" si="93"/>
        <v>5</v>
      </c>
      <c r="B1695" s="33">
        <v>46345</v>
      </c>
      <c r="C1695" s="6" t="s">
        <v>117</v>
      </c>
      <c r="D1695" s="34">
        <v>26</v>
      </c>
      <c r="E1695" s="32">
        <f>DAY(TableAopCalendar[[#This Row],[Date]])</f>
        <v>19</v>
      </c>
      <c r="F1695" s="32">
        <f>IF(TableAopCalendar[[#This Row],[Day]]&lt;8,1,IF(TableAopCalendar[[#This Row],[Day]]&lt;15,2,IF(TableAopCalendar[[#This Row],[Day]]&lt;22,3,IF(TableAopCalendar[[#This Row],[Day]]&lt;29,4,IF(TableAopCalendar[[#This Row],[Day]]&lt;32,5)))))</f>
        <v>3</v>
      </c>
      <c r="G1695" s="32" t="str">
        <f t="shared" si="94"/>
        <v>Week 3</v>
      </c>
      <c r="H1695" s="32" t="str">
        <f t="shared" si="95"/>
        <v>November 26 Week 3</v>
      </c>
      <c r="I1695" s="32" t="str">
        <f>CONCATENATE(UPPER(TableAopCalendar[[#This Row],[Month]])," ",TableAopCalendar[[#This Row],[Year]])</f>
        <v>NOVEMBER 26</v>
      </c>
      <c r="J1695" s="7" t="s">
        <v>274</v>
      </c>
      <c r="K1695" s="32" t="str">
        <f>CONCATENATE(TableAopCalendar[[#This Row],[Month for Plan]]," ",TableAopCalendar[[#This Row],[Plan]])</f>
        <v>NOVEMBER 26 PLANNED</v>
      </c>
    </row>
    <row r="1696" spans="1:11" x14ac:dyDescent="0.3">
      <c r="A1696" s="32">
        <f t="shared" si="93"/>
        <v>6</v>
      </c>
      <c r="B1696" s="33">
        <v>46346</v>
      </c>
      <c r="C1696" s="6" t="s">
        <v>117</v>
      </c>
      <c r="D1696" s="34">
        <v>26</v>
      </c>
      <c r="E1696" s="32">
        <f>DAY(TableAopCalendar[[#This Row],[Date]])</f>
        <v>20</v>
      </c>
      <c r="F1696" s="32">
        <f>IF(TableAopCalendar[[#This Row],[Day]]&lt;8,1,IF(TableAopCalendar[[#This Row],[Day]]&lt;15,2,IF(TableAopCalendar[[#This Row],[Day]]&lt;22,3,IF(TableAopCalendar[[#This Row],[Day]]&lt;29,4,IF(TableAopCalendar[[#This Row],[Day]]&lt;32,5)))))</f>
        <v>3</v>
      </c>
      <c r="G1696" s="32" t="str">
        <f t="shared" si="94"/>
        <v>Week 3</v>
      </c>
      <c r="H1696" s="32" t="str">
        <f t="shared" si="95"/>
        <v>November 26 Week 3</v>
      </c>
      <c r="I1696" s="32" t="str">
        <f>CONCATENATE(UPPER(TableAopCalendar[[#This Row],[Month]])," ",TableAopCalendar[[#This Row],[Year]])</f>
        <v>NOVEMBER 26</v>
      </c>
      <c r="J1696" s="7" t="s">
        <v>274</v>
      </c>
      <c r="K1696" s="32" t="str">
        <f>CONCATENATE(TableAopCalendar[[#This Row],[Month for Plan]]," ",TableAopCalendar[[#This Row],[Plan]])</f>
        <v>NOVEMBER 26 PLANNED</v>
      </c>
    </row>
    <row r="1697" spans="1:11" x14ac:dyDescent="0.3">
      <c r="A1697" s="32">
        <f t="shared" si="93"/>
        <v>7</v>
      </c>
      <c r="B1697" s="33">
        <v>46347</v>
      </c>
      <c r="C1697" s="6" t="s">
        <v>117</v>
      </c>
      <c r="D1697" s="34">
        <v>26</v>
      </c>
      <c r="E1697" s="32">
        <f>DAY(TableAopCalendar[[#This Row],[Date]])</f>
        <v>21</v>
      </c>
      <c r="F1697" s="32">
        <f>IF(TableAopCalendar[[#This Row],[Day]]&lt;8,1,IF(TableAopCalendar[[#This Row],[Day]]&lt;15,2,IF(TableAopCalendar[[#This Row],[Day]]&lt;22,3,IF(TableAopCalendar[[#This Row],[Day]]&lt;29,4,IF(TableAopCalendar[[#This Row],[Day]]&lt;32,5)))))</f>
        <v>3</v>
      </c>
      <c r="G1697" s="32" t="str">
        <f t="shared" si="94"/>
        <v>Week 3</v>
      </c>
      <c r="H1697" s="32" t="str">
        <f t="shared" si="95"/>
        <v>November 26 Week 3</v>
      </c>
      <c r="I1697" s="32" t="str">
        <f>CONCATENATE(UPPER(TableAopCalendar[[#This Row],[Month]])," ",TableAopCalendar[[#This Row],[Year]])</f>
        <v>NOVEMBER 26</v>
      </c>
      <c r="J1697" s="7" t="s">
        <v>274</v>
      </c>
      <c r="K1697" s="32" t="str">
        <f>CONCATENATE(TableAopCalendar[[#This Row],[Month for Plan]]," ",TableAopCalendar[[#This Row],[Plan]])</f>
        <v>NOVEMBER 26 PLANNED</v>
      </c>
    </row>
    <row r="1698" spans="1:11" x14ac:dyDescent="0.3">
      <c r="A1698" s="32">
        <f t="shared" si="93"/>
        <v>1</v>
      </c>
      <c r="B1698" s="33">
        <v>46348</v>
      </c>
      <c r="C1698" s="6" t="s">
        <v>117</v>
      </c>
      <c r="D1698" s="34">
        <v>26</v>
      </c>
      <c r="E1698" s="32">
        <f>DAY(TableAopCalendar[[#This Row],[Date]])</f>
        <v>22</v>
      </c>
      <c r="F1698" s="32">
        <f>IF(TableAopCalendar[[#This Row],[Day]]&lt;8,1,IF(TableAopCalendar[[#This Row],[Day]]&lt;15,2,IF(TableAopCalendar[[#This Row],[Day]]&lt;22,3,IF(TableAopCalendar[[#This Row],[Day]]&lt;29,4,IF(TableAopCalendar[[#This Row],[Day]]&lt;32,5)))))</f>
        <v>4</v>
      </c>
      <c r="G1698" s="32" t="str">
        <f t="shared" si="94"/>
        <v>Week 4</v>
      </c>
      <c r="H1698" s="32" t="str">
        <f t="shared" si="95"/>
        <v>November 26 Week 4</v>
      </c>
      <c r="I1698" s="32" t="str">
        <f>CONCATENATE(UPPER(TableAopCalendar[[#This Row],[Month]])," ",TableAopCalendar[[#This Row],[Year]])</f>
        <v>NOVEMBER 26</v>
      </c>
      <c r="J1698" s="7" t="s">
        <v>274</v>
      </c>
      <c r="K1698" s="32" t="str">
        <f>CONCATENATE(TableAopCalendar[[#This Row],[Month for Plan]]," ",TableAopCalendar[[#This Row],[Plan]])</f>
        <v>NOVEMBER 26 PLANNED</v>
      </c>
    </row>
    <row r="1699" spans="1:11" x14ac:dyDescent="0.3">
      <c r="A1699" s="32">
        <f t="shared" si="93"/>
        <v>2</v>
      </c>
      <c r="B1699" s="33">
        <v>46349</v>
      </c>
      <c r="C1699" s="6" t="s">
        <v>117</v>
      </c>
      <c r="D1699" s="34">
        <v>26</v>
      </c>
      <c r="E1699" s="32">
        <f>DAY(TableAopCalendar[[#This Row],[Date]])</f>
        <v>23</v>
      </c>
      <c r="F1699" s="32">
        <f>IF(TableAopCalendar[[#This Row],[Day]]&lt;8,1,IF(TableAopCalendar[[#This Row],[Day]]&lt;15,2,IF(TableAopCalendar[[#This Row],[Day]]&lt;22,3,IF(TableAopCalendar[[#This Row],[Day]]&lt;29,4,IF(TableAopCalendar[[#This Row],[Day]]&lt;32,5)))))</f>
        <v>4</v>
      </c>
      <c r="G1699" s="32" t="str">
        <f t="shared" si="94"/>
        <v>Week 4</v>
      </c>
      <c r="H1699" s="32" t="str">
        <f t="shared" si="95"/>
        <v>November 26 Week 4</v>
      </c>
      <c r="I1699" s="32" t="str">
        <f>CONCATENATE(UPPER(TableAopCalendar[[#This Row],[Month]])," ",TableAopCalendar[[#This Row],[Year]])</f>
        <v>NOVEMBER 26</v>
      </c>
      <c r="J1699" s="7" t="s">
        <v>274</v>
      </c>
      <c r="K1699" s="32" t="str">
        <f>CONCATENATE(TableAopCalendar[[#This Row],[Month for Plan]]," ",TableAopCalendar[[#This Row],[Plan]])</f>
        <v>NOVEMBER 26 PLANNED</v>
      </c>
    </row>
    <row r="1700" spans="1:11" x14ac:dyDescent="0.3">
      <c r="A1700" s="32">
        <f t="shared" si="93"/>
        <v>3</v>
      </c>
      <c r="B1700" s="33">
        <v>46350</v>
      </c>
      <c r="C1700" s="6" t="s">
        <v>117</v>
      </c>
      <c r="D1700" s="34">
        <v>26</v>
      </c>
      <c r="E1700" s="32">
        <f>DAY(TableAopCalendar[[#This Row],[Date]])</f>
        <v>24</v>
      </c>
      <c r="F1700" s="32">
        <f>IF(TableAopCalendar[[#This Row],[Day]]&lt;8,1,IF(TableAopCalendar[[#This Row],[Day]]&lt;15,2,IF(TableAopCalendar[[#This Row],[Day]]&lt;22,3,IF(TableAopCalendar[[#This Row],[Day]]&lt;29,4,IF(TableAopCalendar[[#This Row],[Day]]&lt;32,5)))))</f>
        <v>4</v>
      </c>
      <c r="G1700" s="32" t="str">
        <f t="shared" si="94"/>
        <v>Week 4</v>
      </c>
      <c r="H1700" s="32" t="str">
        <f t="shared" si="95"/>
        <v>November 26 Week 4</v>
      </c>
      <c r="I1700" s="32" t="str">
        <f>CONCATENATE(UPPER(TableAopCalendar[[#This Row],[Month]])," ",TableAopCalendar[[#This Row],[Year]])</f>
        <v>NOVEMBER 26</v>
      </c>
      <c r="J1700" s="7" t="s">
        <v>274</v>
      </c>
      <c r="K1700" s="32" t="str">
        <f>CONCATENATE(TableAopCalendar[[#This Row],[Month for Plan]]," ",TableAopCalendar[[#This Row],[Plan]])</f>
        <v>NOVEMBER 26 PLANNED</v>
      </c>
    </row>
    <row r="1701" spans="1:11" x14ac:dyDescent="0.3">
      <c r="A1701" s="32">
        <f t="shared" si="93"/>
        <v>4</v>
      </c>
      <c r="B1701" s="33">
        <v>46351</v>
      </c>
      <c r="C1701" s="6" t="s">
        <v>117</v>
      </c>
      <c r="D1701" s="34">
        <v>26</v>
      </c>
      <c r="E1701" s="32">
        <f>DAY(TableAopCalendar[[#This Row],[Date]])</f>
        <v>25</v>
      </c>
      <c r="F1701" s="32">
        <f>IF(TableAopCalendar[[#This Row],[Day]]&lt;8,1,IF(TableAopCalendar[[#This Row],[Day]]&lt;15,2,IF(TableAopCalendar[[#This Row],[Day]]&lt;22,3,IF(TableAopCalendar[[#This Row],[Day]]&lt;29,4,IF(TableAopCalendar[[#This Row],[Day]]&lt;32,5)))))</f>
        <v>4</v>
      </c>
      <c r="G1701" s="32" t="str">
        <f t="shared" si="94"/>
        <v>Week 4</v>
      </c>
      <c r="H1701" s="32" t="str">
        <f t="shared" si="95"/>
        <v>November 26 Week 4</v>
      </c>
      <c r="I1701" s="32" t="str">
        <f>CONCATENATE(UPPER(TableAopCalendar[[#This Row],[Month]])," ",TableAopCalendar[[#This Row],[Year]])</f>
        <v>NOVEMBER 26</v>
      </c>
      <c r="J1701" s="7" t="s">
        <v>274</v>
      </c>
      <c r="K1701" s="32" t="str">
        <f>CONCATENATE(TableAopCalendar[[#This Row],[Month for Plan]]," ",TableAopCalendar[[#This Row],[Plan]])</f>
        <v>NOVEMBER 26 PLANNED</v>
      </c>
    </row>
    <row r="1702" spans="1:11" x14ac:dyDescent="0.3">
      <c r="A1702" s="32">
        <f t="shared" si="93"/>
        <v>5</v>
      </c>
      <c r="B1702" s="33">
        <v>46352</v>
      </c>
      <c r="C1702" s="6" t="s">
        <v>117</v>
      </c>
      <c r="D1702" s="34">
        <v>26</v>
      </c>
      <c r="E1702" s="32">
        <f>DAY(TableAopCalendar[[#This Row],[Date]])</f>
        <v>26</v>
      </c>
      <c r="F1702" s="32">
        <f>IF(TableAopCalendar[[#This Row],[Day]]&lt;8,1,IF(TableAopCalendar[[#This Row],[Day]]&lt;15,2,IF(TableAopCalendar[[#This Row],[Day]]&lt;22,3,IF(TableAopCalendar[[#This Row],[Day]]&lt;29,4,IF(TableAopCalendar[[#This Row],[Day]]&lt;32,5)))))</f>
        <v>4</v>
      </c>
      <c r="G1702" s="32" t="str">
        <f t="shared" si="94"/>
        <v>Week 4</v>
      </c>
      <c r="H1702" s="32" t="str">
        <f t="shared" si="95"/>
        <v>November 26 Week 4</v>
      </c>
      <c r="I1702" s="32" t="str">
        <f>CONCATENATE(UPPER(TableAopCalendar[[#This Row],[Month]])," ",TableAopCalendar[[#This Row],[Year]])</f>
        <v>NOVEMBER 26</v>
      </c>
      <c r="J1702" s="7" t="s">
        <v>274</v>
      </c>
      <c r="K1702" s="32" t="str">
        <f>CONCATENATE(TableAopCalendar[[#This Row],[Month for Plan]]," ",TableAopCalendar[[#This Row],[Plan]])</f>
        <v>NOVEMBER 26 PLANNED</v>
      </c>
    </row>
    <row r="1703" spans="1:11" x14ac:dyDescent="0.3">
      <c r="A1703" s="32">
        <f t="shared" si="93"/>
        <v>6</v>
      </c>
      <c r="B1703" s="33">
        <v>46353</v>
      </c>
      <c r="C1703" s="6" t="s">
        <v>117</v>
      </c>
      <c r="D1703" s="34">
        <v>26</v>
      </c>
      <c r="E1703" s="32">
        <f>DAY(TableAopCalendar[[#This Row],[Date]])</f>
        <v>27</v>
      </c>
      <c r="F1703" s="32">
        <f>IF(TableAopCalendar[[#This Row],[Day]]&lt;8,1,IF(TableAopCalendar[[#This Row],[Day]]&lt;15,2,IF(TableAopCalendar[[#This Row],[Day]]&lt;22,3,IF(TableAopCalendar[[#This Row],[Day]]&lt;29,4,IF(TableAopCalendar[[#This Row],[Day]]&lt;32,5)))))</f>
        <v>4</v>
      </c>
      <c r="G1703" s="32" t="str">
        <f t="shared" si="94"/>
        <v>Week 4</v>
      </c>
      <c r="H1703" s="32" t="str">
        <f t="shared" si="95"/>
        <v>November 26 Week 4</v>
      </c>
      <c r="I1703" s="32" t="str">
        <f>CONCATENATE(UPPER(TableAopCalendar[[#This Row],[Month]])," ",TableAopCalendar[[#This Row],[Year]])</f>
        <v>NOVEMBER 26</v>
      </c>
      <c r="J1703" s="7" t="s">
        <v>274</v>
      </c>
      <c r="K1703" s="32" t="str">
        <f>CONCATENATE(TableAopCalendar[[#This Row],[Month for Plan]]," ",TableAopCalendar[[#This Row],[Plan]])</f>
        <v>NOVEMBER 26 PLANNED</v>
      </c>
    </row>
    <row r="1704" spans="1:11" x14ac:dyDescent="0.3">
      <c r="A1704" s="32">
        <f t="shared" si="93"/>
        <v>7</v>
      </c>
      <c r="B1704" s="33">
        <v>46354</v>
      </c>
      <c r="C1704" s="6" t="s">
        <v>117</v>
      </c>
      <c r="D1704" s="34">
        <v>26</v>
      </c>
      <c r="E1704" s="32">
        <f>DAY(TableAopCalendar[[#This Row],[Date]])</f>
        <v>28</v>
      </c>
      <c r="F1704" s="32">
        <f>IF(TableAopCalendar[[#This Row],[Day]]&lt;8,1,IF(TableAopCalendar[[#This Row],[Day]]&lt;15,2,IF(TableAopCalendar[[#This Row],[Day]]&lt;22,3,IF(TableAopCalendar[[#This Row],[Day]]&lt;29,4,IF(TableAopCalendar[[#This Row],[Day]]&lt;32,5)))))</f>
        <v>4</v>
      </c>
      <c r="G1704" s="32" t="str">
        <f t="shared" si="94"/>
        <v>Week 4</v>
      </c>
      <c r="H1704" s="32" t="str">
        <f t="shared" si="95"/>
        <v>November 26 Week 4</v>
      </c>
      <c r="I1704" s="32" t="str">
        <f>CONCATENATE(UPPER(TableAopCalendar[[#This Row],[Month]])," ",TableAopCalendar[[#This Row],[Year]])</f>
        <v>NOVEMBER 26</v>
      </c>
      <c r="J1704" s="7" t="s">
        <v>274</v>
      </c>
      <c r="K1704" s="32" t="str">
        <f>CONCATENATE(TableAopCalendar[[#This Row],[Month for Plan]]," ",TableAopCalendar[[#This Row],[Plan]])</f>
        <v>NOVEMBER 26 PLANNED</v>
      </c>
    </row>
    <row r="1705" spans="1:11" x14ac:dyDescent="0.3">
      <c r="A1705" s="32">
        <f t="shared" si="93"/>
        <v>1</v>
      </c>
      <c r="B1705" s="33">
        <v>46355</v>
      </c>
      <c r="C1705" s="6" t="s">
        <v>117</v>
      </c>
      <c r="D1705" s="34">
        <v>26</v>
      </c>
      <c r="E1705" s="32">
        <f>DAY(TableAopCalendar[[#This Row],[Date]])</f>
        <v>29</v>
      </c>
      <c r="F1705" s="32">
        <f>IF(TableAopCalendar[[#This Row],[Day]]&lt;8,1,IF(TableAopCalendar[[#This Row],[Day]]&lt;15,2,IF(TableAopCalendar[[#This Row],[Day]]&lt;22,3,IF(TableAopCalendar[[#This Row],[Day]]&lt;29,4,IF(TableAopCalendar[[#This Row],[Day]]&lt;32,5)))))</f>
        <v>5</v>
      </c>
      <c r="G1705" s="32" t="str">
        <f t="shared" si="94"/>
        <v>Week 5</v>
      </c>
      <c r="H1705" s="32" t="str">
        <f t="shared" si="95"/>
        <v>November 26 Week 5</v>
      </c>
      <c r="I1705" s="32" t="str">
        <f>CONCATENATE(UPPER(TableAopCalendar[[#This Row],[Month]])," ",TableAopCalendar[[#This Row],[Year]])</f>
        <v>NOVEMBER 26</v>
      </c>
      <c r="J1705" s="7" t="s">
        <v>274</v>
      </c>
      <c r="K1705" s="32" t="str">
        <f>CONCATENATE(TableAopCalendar[[#This Row],[Month for Plan]]," ",TableAopCalendar[[#This Row],[Plan]])</f>
        <v>NOVEMBER 26 PLANNED</v>
      </c>
    </row>
    <row r="1706" spans="1:11" x14ac:dyDescent="0.3">
      <c r="A1706" s="32">
        <f t="shared" si="93"/>
        <v>2</v>
      </c>
      <c r="B1706" s="33">
        <v>46356</v>
      </c>
      <c r="C1706" s="6" t="s">
        <v>117</v>
      </c>
      <c r="D1706" s="34">
        <v>26</v>
      </c>
      <c r="E1706" s="32">
        <f>DAY(TableAopCalendar[[#This Row],[Date]])</f>
        <v>30</v>
      </c>
      <c r="F1706" s="32">
        <f>IF(TableAopCalendar[[#This Row],[Day]]&lt;8,1,IF(TableAopCalendar[[#This Row],[Day]]&lt;15,2,IF(TableAopCalendar[[#This Row],[Day]]&lt;22,3,IF(TableAopCalendar[[#This Row],[Day]]&lt;29,4,IF(TableAopCalendar[[#This Row],[Day]]&lt;32,5)))))</f>
        <v>5</v>
      </c>
      <c r="G1706" s="32" t="str">
        <f t="shared" si="94"/>
        <v>Week 5</v>
      </c>
      <c r="H1706" s="32" t="str">
        <f t="shared" si="95"/>
        <v>November 26 Week 5</v>
      </c>
      <c r="I1706" s="32" t="str">
        <f>CONCATENATE(UPPER(TableAopCalendar[[#This Row],[Month]])," ",TableAopCalendar[[#This Row],[Year]])</f>
        <v>NOVEMBER 26</v>
      </c>
      <c r="J1706" s="7" t="s">
        <v>274</v>
      </c>
      <c r="K1706" s="32" t="str">
        <f>CONCATENATE(TableAopCalendar[[#This Row],[Month for Plan]]," ",TableAopCalendar[[#This Row],[Plan]])</f>
        <v>NOVEMBER 26 PLANNED</v>
      </c>
    </row>
    <row r="1707" spans="1:11" x14ac:dyDescent="0.3">
      <c r="A1707" s="32">
        <f t="shared" si="93"/>
        <v>1</v>
      </c>
      <c r="B1707" s="33">
        <v>46357</v>
      </c>
      <c r="C1707" s="6" t="s">
        <v>270</v>
      </c>
      <c r="D1707" s="34">
        <v>26</v>
      </c>
      <c r="E1707" s="32">
        <f>DAY(TableAopCalendar[[#This Row],[Date]])</f>
        <v>1</v>
      </c>
      <c r="F1707" s="32">
        <f>IF(TableAopCalendar[[#This Row],[Day]]&lt;8,1,IF(TableAopCalendar[[#This Row],[Day]]&lt;15,2,IF(TableAopCalendar[[#This Row],[Day]]&lt;22,3,IF(TableAopCalendar[[#This Row],[Day]]&lt;29,4,IF(TableAopCalendar[[#This Row],[Day]]&lt;32,5)))))</f>
        <v>1</v>
      </c>
      <c r="G1707" s="32" t="str">
        <f t="shared" si="94"/>
        <v>Week 1</v>
      </c>
      <c r="H1707" s="32" t="str">
        <f t="shared" si="95"/>
        <v>December 26 Week 1</v>
      </c>
      <c r="I1707" s="32" t="str">
        <f>CONCATENATE(UPPER(TableAopCalendar[[#This Row],[Month]])," ",TableAopCalendar[[#This Row],[Year]])</f>
        <v>DECEMBER 26</v>
      </c>
      <c r="J1707" s="7" t="s">
        <v>274</v>
      </c>
      <c r="K1707" s="32" t="str">
        <f>CONCATENATE(TableAopCalendar[[#This Row],[Month for Plan]]," ",TableAopCalendar[[#This Row],[Plan]])</f>
        <v>DECEMBER 26 PLANNED</v>
      </c>
    </row>
    <row r="1708" spans="1:11" x14ac:dyDescent="0.3">
      <c r="A1708" s="32">
        <f t="shared" si="93"/>
        <v>2</v>
      </c>
      <c r="B1708" s="33">
        <v>46358</v>
      </c>
      <c r="C1708" s="6" t="s">
        <v>270</v>
      </c>
      <c r="D1708" s="34">
        <v>26</v>
      </c>
      <c r="E1708" s="32">
        <f>DAY(TableAopCalendar[[#This Row],[Date]])</f>
        <v>2</v>
      </c>
      <c r="F1708" s="32">
        <f>IF(TableAopCalendar[[#This Row],[Day]]&lt;8,1,IF(TableAopCalendar[[#This Row],[Day]]&lt;15,2,IF(TableAopCalendar[[#This Row],[Day]]&lt;22,3,IF(TableAopCalendar[[#This Row],[Day]]&lt;29,4,IF(TableAopCalendar[[#This Row],[Day]]&lt;32,5)))))</f>
        <v>1</v>
      </c>
      <c r="G1708" s="32" t="str">
        <f t="shared" si="94"/>
        <v>Week 1</v>
      </c>
      <c r="H1708" s="32" t="str">
        <f t="shared" si="95"/>
        <v>December 26 Week 1</v>
      </c>
      <c r="I1708" s="32" t="str">
        <f>CONCATENATE(UPPER(TableAopCalendar[[#This Row],[Month]])," ",TableAopCalendar[[#This Row],[Year]])</f>
        <v>DECEMBER 26</v>
      </c>
      <c r="J1708" s="7" t="s">
        <v>274</v>
      </c>
      <c r="K1708" s="32" t="str">
        <f>CONCATENATE(TableAopCalendar[[#This Row],[Month for Plan]]," ",TableAopCalendar[[#This Row],[Plan]])</f>
        <v>DECEMBER 26 PLANNED</v>
      </c>
    </row>
    <row r="1709" spans="1:11" x14ac:dyDescent="0.3">
      <c r="A1709" s="32">
        <f t="shared" si="93"/>
        <v>3</v>
      </c>
      <c r="B1709" s="33">
        <v>46359</v>
      </c>
      <c r="C1709" s="6" t="s">
        <v>270</v>
      </c>
      <c r="D1709" s="34">
        <v>26</v>
      </c>
      <c r="E1709" s="32">
        <f>DAY(TableAopCalendar[[#This Row],[Date]])</f>
        <v>3</v>
      </c>
      <c r="F1709" s="32">
        <f>IF(TableAopCalendar[[#This Row],[Day]]&lt;8,1,IF(TableAopCalendar[[#This Row],[Day]]&lt;15,2,IF(TableAopCalendar[[#This Row],[Day]]&lt;22,3,IF(TableAopCalendar[[#This Row],[Day]]&lt;29,4,IF(TableAopCalendar[[#This Row],[Day]]&lt;32,5)))))</f>
        <v>1</v>
      </c>
      <c r="G1709" s="32" t="str">
        <f t="shared" si="94"/>
        <v>Week 1</v>
      </c>
      <c r="H1709" s="32" t="str">
        <f t="shared" si="95"/>
        <v>December 26 Week 1</v>
      </c>
      <c r="I1709" s="32" t="str">
        <f>CONCATENATE(UPPER(TableAopCalendar[[#This Row],[Month]])," ",TableAopCalendar[[#This Row],[Year]])</f>
        <v>DECEMBER 26</v>
      </c>
      <c r="J1709" s="7" t="s">
        <v>274</v>
      </c>
      <c r="K1709" s="32" t="str">
        <f>CONCATENATE(TableAopCalendar[[#This Row],[Month for Plan]]," ",TableAopCalendar[[#This Row],[Plan]])</f>
        <v>DECEMBER 26 PLANNED</v>
      </c>
    </row>
    <row r="1710" spans="1:11" x14ac:dyDescent="0.3">
      <c r="A1710" s="32">
        <f t="shared" si="93"/>
        <v>4</v>
      </c>
      <c r="B1710" s="33">
        <v>46360</v>
      </c>
      <c r="C1710" s="6" t="s">
        <v>270</v>
      </c>
      <c r="D1710" s="34">
        <v>26</v>
      </c>
      <c r="E1710" s="32">
        <f>DAY(TableAopCalendar[[#This Row],[Date]])</f>
        <v>4</v>
      </c>
      <c r="F1710" s="32">
        <f>IF(TableAopCalendar[[#This Row],[Day]]&lt;8,1,IF(TableAopCalendar[[#This Row],[Day]]&lt;15,2,IF(TableAopCalendar[[#This Row],[Day]]&lt;22,3,IF(TableAopCalendar[[#This Row],[Day]]&lt;29,4,IF(TableAopCalendar[[#This Row],[Day]]&lt;32,5)))))</f>
        <v>1</v>
      </c>
      <c r="G1710" s="32" t="str">
        <f t="shared" si="94"/>
        <v>Week 1</v>
      </c>
      <c r="H1710" s="32" t="str">
        <f t="shared" si="95"/>
        <v>December 26 Week 1</v>
      </c>
      <c r="I1710" s="32" t="str">
        <f>CONCATENATE(UPPER(TableAopCalendar[[#This Row],[Month]])," ",TableAopCalendar[[#This Row],[Year]])</f>
        <v>DECEMBER 26</v>
      </c>
      <c r="J1710" s="7" t="s">
        <v>274</v>
      </c>
      <c r="K1710" s="32" t="str">
        <f>CONCATENATE(TableAopCalendar[[#This Row],[Month for Plan]]," ",TableAopCalendar[[#This Row],[Plan]])</f>
        <v>DECEMBER 26 PLANNED</v>
      </c>
    </row>
    <row r="1711" spans="1:11" x14ac:dyDescent="0.3">
      <c r="A1711" s="32">
        <f t="shared" si="93"/>
        <v>5</v>
      </c>
      <c r="B1711" s="33">
        <v>46361</v>
      </c>
      <c r="C1711" s="6" t="s">
        <v>270</v>
      </c>
      <c r="D1711" s="34">
        <v>26</v>
      </c>
      <c r="E1711" s="32">
        <f>DAY(TableAopCalendar[[#This Row],[Date]])</f>
        <v>5</v>
      </c>
      <c r="F1711" s="32">
        <f>IF(TableAopCalendar[[#This Row],[Day]]&lt;8,1,IF(TableAopCalendar[[#This Row],[Day]]&lt;15,2,IF(TableAopCalendar[[#This Row],[Day]]&lt;22,3,IF(TableAopCalendar[[#This Row],[Day]]&lt;29,4,IF(TableAopCalendar[[#This Row],[Day]]&lt;32,5)))))</f>
        <v>1</v>
      </c>
      <c r="G1711" s="32" t="str">
        <f t="shared" si="94"/>
        <v>Week 1</v>
      </c>
      <c r="H1711" s="32" t="str">
        <f t="shared" si="95"/>
        <v>December 26 Week 1</v>
      </c>
      <c r="I1711" s="32" t="str">
        <f>CONCATENATE(UPPER(TableAopCalendar[[#This Row],[Month]])," ",TableAopCalendar[[#This Row],[Year]])</f>
        <v>DECEMBER 26</v>
      </c>
      <c r="J1711" s="7" t="s">
        <v>274</v>
      </c>
      <c r="K1711" s="32" t="str">
        <f>CONCATENATE(TableAopCalendar[[#This Row],[Month for Plan]]," ",TableAopCalendar[[#This Row],[Plan]])</f>
        <v>DECEMBER 26 PLANNED</v>
      </c>
    </row>
    <row r="1712" spans="1:11" x14ac:dyDescent="0.3">
      <c r="A1712" s="32">
        <f t="shared" si="93"/>
        <v>6</v>
      </c>
      <c r="B1712" s="33">
        <v>46362</v>
      </c>
      <c r="C1712" s="6" t="s">
        <v>270</v>
      </c>
      <c r="D1712" s="34">
        <v>26</v>
      </c>
      <c r="E1712" s="32">
        <f>DAY(TableAopCalendar[[#This Row],[Date]])</f>
        <v>6</v>
      </c>
      <c r="F1712" s="32">
        <f>IF(TableAopCalendar[[#This Row],[Day]]&lt;8,1,IF(TableAopCalendar[[#This Row],[Day]]&lt;15,2,IF(TableAopCalendar[[#This Row],[Day]]&lt;22,3,IF(TableAopCalendar[[#This Row],[Day]]&lt;29,4,IF(TableAopCalendar[[#This Row],[Day]]&lt;32,5)))))</f>
        <v>1</v>
      </c>
      <c r="G1712" s="32" t="str">
        <f t="shared" si="94"/>
        <v>Week 1</v>
      </c>
      <c r="H1712" s="32" t="str">
        <f t="shared" si="95"/>
        <v>December 26 Week 1</v>
      </c>
      <c r="I1712" s="32" t="str">
        <f>CONCATENATE(UPPER(TableAopCalendar[[#This Row],[Month]])," ",TableAopCalendar[[#This Row],[Year]])</f>
        <v>DECEMBER 26</v>
      </c>
      <c r="J1712" s="7" t="s">
        <v>274</v>
      </c>
      <c r="K1712" s="32" t="str">
        <f>CONCATENATE(TableAopCalendar[[#This Row],[Month for Plan]]," ",TableAopCalendar[[#This Row],[Plan]])</f>
        <v>DECEMBER 26 PLANNED</v>
      </c>
    </row>
    <row r="1713" spans="1:11" x14ac:dyDescent="0.3">
      <c r="A1713" s="32">
        <f t="shared" si="93"/>
        <v>7</v>
      </c>
      <c r="B1713" s="33">
        <v>46363</v>
      </c>
      <c r="C1713" s="6" t="s">
        <v>270</v>
      </c>
      <c r="D1713" s="34">
        <v>26</v>
      </c>
      <c r="E1713" s="32">
        <f>DAY(TableAopCalendar[[#This Row],[Date]])</f>
        <v>7</v>
      </c>
      <c r="F1713" s="32">
        <f>IF(TableAopCalendar[[#This Row],[Day]]&lt;8,1,IF(TableAopCalendar[[#This Row],[Day]]&lt;15,2,IF(TableAopCalendar[[#This Row],[Day]]&lt;22,3,IF(TableAopCalendar[[#This Row],[Day]]&lt;29,4,IF(TableAopCalendar[[#This Row],[Day]]&lt;32,5)))))</f>
        <v>1</v>
      </c>
      <c r="G1713" s="32" t="str">
        <f t="shared" si="94"/>
        <v>Week 1</v>
      </c>
      <c r="H1713" s="32" t="str">
        <f t="shared" si="95"/>
        <v>December 26 Week 1</v>
      </c>
      <c r="I1713" s="32" t="str">
        <f>CONCATENATE(UPPER(TableAopCalendar[[#This Row],[Month]])," ",TableAopCalendar[[#This Row],[Year]])</f>
        <v>DECEMBER 26</v>
      </c>
      <c r="J1713" s="7" t="s">
        <v>274</v>
      </c>
      <c r="K1713" s="32" t="str">
        <f>CONCATENATE(TableAopCalendar[[#This Row],[Month for Plan]]," ",TableAopCalendar[[#This Row],[Plan]])</f>
        <v>DECEMBER 26 PLANNED</v>
      </c>
    </row>
    <row r="1714" spans="1:11" x14ac:dyDescent="0.3">
      <c r="A1714" s="32">
        <f t="shared" si="93"/>
        <v>1</v>
      </c>
      <c r="B1714" s="33">
        <v>46364</v>
      </c>
      <c r="C1714" s="6" t="s">
        <v>270</v>
      </c>
      <c r="D1714" s="34">
        <v>26</v>
      </c>
      <c r="E1714" s="32">
        <f>DAY(TableAopCalendar[[#This Row],[Date]])</f>
        <v>8</v>
      </c>
      <c r="F1714" s="32">
        <f>IF(TableAopCalendar[[#This Row],[Day]]&lt;8,1,IF(TableAopCalendar[[#This Row],[Day]]&lt;15,2,IF(TableAopCalendar[[#This Row],[Day]]&lt;22,3,IF(TableAopCalendar[[#This Row],[Day]]&lt;29,4,IF(TableAopCalendar[[#This Row],[Day]]&lt;32,5)))))</f>
        <v>2</v>
      </c>
      <c r="G1714" s="32" t="str">
        <f t="shared" si="94"/>
        <v>Week 2</v>
      </c>
      <c r="H1714" s="32" t="str">
        <f t="shared" si="95"/>
        <v>December 26 Week 2</v>
      </c>
      <c r="I1714" s="32" t="str">
        <f>CONCATENATE(UPPER(TableAopCalendar[[#This Row],[Month]])," ",TableAopCalendar[[#This Row],[Year]])</f>
        <v>DECEMBER 26</v>
      </c>
      <c r="J1714" s="7" t="s">
        <v>274</v>
      </c>
      <c r="K1714" s="32" t="str">
        <f>CONCATENATE(TableAopCalendar[[#This Row],[Month for Plan]]," ",TableAopCalendar[[#This Row],[Plan]])</f>
        <v>DECEMBER 26 PLANNED</v>
      </c>
    </row>
    <row r="1715" spans="1:11" x14ac:dyDescent="0.3">
      <c r="A1715" s="32">
        <f t="shared" si="93"/>
        <v>2</v>
      </c>
      <c r="B1715" s="33">
        <v>46365</v>
      </c>
      <c r="C1715" s="6" t="s">
        <v>270</v>
      </c>
      <c r="D1715" s="34">
        <v>26</v>
      </c>
      <c r="E1715" s="32">
        <f>DAY(TableAopCalendar[[#This Row],[Date]])</f>
        <v>9</v>
      </c>
      <c r="F1715" s="32">
        <f>IF(TableAopCalendar[[#This Row],[Day]]&lt;8,1,IF(TableAopCalendar[[#This Row],[Day]]&lt;15,2,IF(TableAopCalendar[[#This Row],[Day]]&lt;22,3,IF(TableAopCalendar[[#This Row],[Day]]&lt;29,4,IF(TableAopCalendar[[#This Row],[Day]]&lt;32,5)))))</f>
        <v>2</v>
      </c>
      <c r="G1715" s="32" t="str">
        <f t="shared" si="94"/>
        <v>Week 2</v>
      </c>
      <c r="H1715" s="32" t="str">
        <f t="shared" si="95"/>
        <v>December 26 Week 2</v>
      </c>
      <c r="I1715" s="32" t="str">
        <f>CONCATENATE(UPPER(TableAopCalendar[[#This Row],[Month]])," ",TableAopCalendar[[#This Row],[Year]])</f>
        <v>DECEMBER 26</v>
      </c>
      <c r="J1715" s="7" t="s">
        <v>274</v>
      </c>
      <c r="K1715" s="32" t="str">
        <f>CONCATENATE(TableAopCalendar[[#This Row],[Month for Plan]]," ",TableAopCalendar[[#This Row],[Plan]])</f>
        <v>DECEMBER 26 PLANNED</v>
      </c>
    </row>
    <row r="1716" spans="1:11" x14ac:dyDescent="0.3">
      <c r="A1716" s="32">
        <f t="shared" si="93"/>
        <v>3</v>
      </c>
      <c r="B1716" s="33">
        <v>46366</v>
      </c>
      <c r="C1716" s="6" t="s">
        <v>270</v>
      </c>
      <c r="D1716" s="34">
        <v>26</v>
      </c>
      <c r="E1716" s="32">
        <f>DAY(TableAopCalendar[[#This Row],[Date]])</f>
        <v>10</v>
      </c>
      <c r="F1716" s="32">
        <f>IF(TableAopCalendar[[#This Row],[Day]]&lt;8,1,IF(TableAopCalendar[[#This Row],[Day]]&lt;15,2,IF(TableAopCalendar[[#This Row],[Day]]&lt;22,3,IF(TableAopCalendar[[#This Row],[Day]]&lt;29,4,IF(TableAopCalendar[[#This Row],[Day]]&lt;32,5)))))</f>
        <v>2</v>
      </c>
      <c r="G1716" s="32" t="str">
        <f t="shared" si="94"/>
        <v>Week 2</v>
      </c>
      <c r="H1716" s="32" t="str">
        <f t="shared" si="95"/>
        <v>December 26 Week 2</v>
      </c>
      <c r="I1716" s="32" t="str">
        <f>CONCATENATE(UPPER(TableAopCalendar[[#This Row],[Month]])," ",TableAopCalendar[[#This Row],[Year]])</f>
        <v>DECEMBER 26</v>
      </c>
      <c r="J1716" s="7" t="s">
        <v>274</v>
      </c>
      <c r="K1716" s="32" t="str">
        <f>CONCATENATE(TableAopCalendar[[#This Row],[Month for Plan]]," ",TableAopCalendar[[#This Row],[Plan]])</f>
        <v>DECEMBER 26 PLANNED</v>
      </c>
    </row>
    <row r="1717" spans="1:11" x14ac:dyDescent="0.3">
      <c r="A1717" s="32">
        <f t="shared" si="93"/>
        <v>4</v>
      </c>
      <c r="B1717" s="33">
        <v>46367</v>
      </c>
      <c r="C1717" s="6" t="s">
        <v>270</v>
      </c>
      <c r="D1717" s="34">
        <v>26</v>
      </c>
      <c r="E1717" s="32">
        <f>DAY(TableAopCalendar[[#This Row],[Date]])</f>
        <v>11</v>
      </c>
      <c r="F1717" s="32">
        <f>IF(TableAopCalendar[[#This Row],[Day]]&lt;8,1,IF(TableAopCalendar[[#This Row],[Day]]&lt;15,2,IF(TableAopCalendar[[#This Row],[Day]]&lt;22,3,IF(TableAopCalendar[[#This Row],[Day]]&lt;29,4,IF(TableAopCalendar[[#This Row],[Day]]&lt;32,5)))))</f>
        <v>2</v>
      </c>
      <c r="G1717" s="32" t="str">
        <f t="shared" si="94"/>
        <v>Week 2</v>
      </c>
      <c r="H1717" s="32" t="str">
        <f t="shared" si="95"/>
        <v>December 26 Week 2</v>
      </c>
      <c r="I1717" s="32" t="str">
        <f>CONCATENATE(UPPER(TableAopCalendar[[#This Row],[Month]])," ",TableAopCalendar[[#This Row],[Year]])</f>
        <v>DECEMBER 26</v>
      </c>
      <c r="J1717" s="7" t="s">
        <v>274</v>
      </c>
      <c r="K1717" s="32" t="str">
        <f>CONCATENATE(TableAopCalendar[[#This Row],[Month for Plan]]," ",TableAopCalendar[[#This Row],[Plan]])</f>
        <v>DECEMBER 26 PLANNED</v>
      </c>
    </row>
    <row r="1718" spans="1:11" x14ac:dyDescent="0.3">
      <c r="A1718" s="32">
        <f t="shared" si="93"/>
        <v>5</v>
      </c>
      <c r="B1718" s="33">
        <v>46368</v>
      </c>
      <c r="C1718" s="6" t="s">
        <v>270</v>
      </c>
      <c r="D1718" s="34">
        <v>26</v>
      </c>
      <c r="E1718" s="32">
        <f>DAY(TableAopCalendar[[#This Row],[Date]])</f>
        <v>12</v>
      </c>
      <c r="F1718" s="32">
        <f>IF(TableAopCalendar[[#This Row],[Day]]&lt;8,1,IF(TableAopCalendar[[#This Row],[Day]]&lt;15,2,IF(TableAopCalendar[[#This Row],[Day]]&lt;22,3,IF(TableAopCalendar[[#This Row],[Day]]&lt;29,4,IF(TableAopCalendar[[#This Row],[Day]]&lt;32,5)))))</f>
        <v>2</v>
      </c>
      <c r="G1718" s="32" t="str">
        <f t="shared" si="94"/>
        <v>Week 2</v>
      </c>
      <c r="H1718" s="32" t="str">
        <f t="shared" si="95"/>
        <v>December 26 Week 2</v>
      </c>
      <c r="I1718" s="32" t="str">
        <f>CONCATENATE(UPPER(TableAopCalendar[[#This Row],[Month]])," ",TableAopCalendar[[#This Row],[Year]])</f>
        <v>DECEMBER 26</v>
      </c>
      <c r="J1718" s="7" t="s">
        <v>274</v>
      </c>
      <c r="K1718" s="32" t="str">
        <f>CONCATENATE(TableAopCalendar[[#This Row],[Month for Plan]]," ",TableAopCalendar[[#This Row],[Plan]])</f>
        <v>DECEMBER 26 PLANNED</v>
      </c>
    </row>
    <row r="1719" spans="1:11" x14ac:dyDescent="0.3">
      <c r="A1719" s="32">
        <f t="shared" si="93"/>
        <v>6</v>
      </c>
      <c r="B1719" s="33">
        <v>46369</v>
      </c>
      <c r="C1719" s="6" t="s">
        <v>270</v>
      </c>
      <c r="D1719" s="34">
        <v>26</v>
      </c>
      <c r="E1719" s="32">
        <f>DAY(TableAopCalendar[[#This Row],[Date]])</f>
        <v>13</v>
      </c>
      <c r="F1719" s="32">
        <f>IF(TableAopCalendar[[#This Row],[Day]]&lt;8,1,IF(TableAopCalendar[[#This Row],[Day]]&lt;15,2,IF(TableAopCalendar[[#This Row],[Day]]&lt;22,3,IF(TableAopCalendar[[#This Row],[Day]]&lt;29,4,IF(TableAopCalendar[[#This Row],[Day]]&lt;32,5)))))</f>
        <v>2</v>
      </c>
      <c r="G1719" s="32" t="str">
        <f t="shared" si="94"/>
        <v>Week 2</v>
      </c>
      <c r="H1719" s="32" t="str">
        <f t="shared" si="95"/>
        <v>December 26 Week 2</v>
      </c>
      <c r="I1719" s="32" t="str">
        <f>CONCATENATE(UPPER(TableAopCalendar[[#This Row],[Month]])," ",TableAopCalendar[[#This Row],[Year]])</f>
        <v>DECEMBER 26</v>
      </c>
      <c r="J1719" s="7" t="s">
        <v>274</v>
      </c>
      <c r="K1719" s="32" t="str">
        <f>CONCATENATE(TableAopCalendar[[#This Row],[Month for Plan]]," ",TableAopCalendar[[#This Row],[Plan]])</f>
        <v>DECEMBER 26 PLANNED</v>
      </c>
    </row>
    <row r="1720" spans="1:11" x14ac:dyDescent="0.3">
      <c r="A1720" s="32">
        <f t="shared" si="93"/>
        <v>7</v>
      </c>
      <c r="B1720" s="33">
        <v>46370</v>
      </c>
      <c r="C1720" s="6" t="s">
        <v>270</v>
      </c>
      <c r="D1720" s="34">
        <v>26</v>
      </c>
      <c r="E1720" s="32">
        <f>DAY(TableAopCalendar[[#This Row],[Date]])</f>
        <v>14</v>
      </c>
      <c r="F1720" s="32">
        <f>IF(TableAopCalendar[[#This Row],[Day]]&lt;8,1,IF(TableAopCalendar[[#This Row],[Day]]&lt;15,2,IF(TableAopCalendar[[#This Row],[Day]]&lt;22,3,IF(TableAopCalendar[[#This Row],[Day]]&lt;29,4,IF(TableAopCalendar[[#This Row],[Day]]&lt;32,5)))))</f>
        <v>2</v>
      </c>
      <c r="G1720" s="32" t="str">
        <f t="shared" si="94"/>
        <v>Week 2</v>
      </c>
      <c r="H1720" s="32" t="str">
        <f t="shared" si="95"/>
        <v>December 26 Week 2</v>
      </c>
      <c r="I1720" s="32" t="str">
        <f>CONCATENATE(UPPER(TableAopCalendar[[#This Row],[Month]])," ",TableAopCalendar[[#This Row],[Year]])</f>
        <v>DECEMBER 26</v>
      </c>
      <c r="J1720" s="7" t="s">
        <v>274</v>
      </c>
      <c r="K1720" s="32" t="str">
        <f>CONCATENATE(TableAopCalendar[[#This Row],[Month for Plan]]," ",TableAopCalendar[[#This Row],[Plan]])</f>
        <v>DECEMBER 26 PLANNED</v>
      </c>
    </row>
    <row r="1721" spans="1:11" x14ac:dyDescent="0.3">
      <c r="A1721" s="32">
        <f t="shared" si="93"/>
        <v>1</v>
      </c>
      <c r="B1721" s="33">
        <v>46371</v>
      </c>
      <c r="C1721" s="6" t="s">
        <v>270</v>
      </c>
      <c r="D1721" s="34">
        <v>26</v>
      </c>
      <c r="E1721" s="32">
        <f>DAY(TableAopCalendar[[#This Row],[Date]])</f>
        <v>15</v>
      </c>
      <c r="F1721" s="32">
        <f>IF(TableAopCalendar[[#This Row],[Day]]&lt;8,1,IF(TableAopCalendar[[#This Row],[Day]]&lt;15,2,IF(TableAopCalendar[[#This Row],[Day]]&lt;22,3,IF(TableAopCalendar[[#This Row],[Day]]&lt;29,4,IF(TableAopCalendar[[#This Row],[Day]]&lt;32,5)))))</f>
        <v>3</v>
      </c>
      <c r="G1721" s="32" t="str">
        <f t="shared" si="94"/>
        <v>Week 3</v>
      </c>
      <c r="H1721" s="32" t="str">
        <f t="shared" si="95"/>
        <v>December 26 Week 3</v>
      </c>
      <c r="I1721" s="32" t="str">
        <f>CONCATENATE(UPPER(TableAopCalendar[[#This Row],[Month]])," ",TableAopCalendar[[#This Row],[Year]])</f>
        <v>DECEMBER 26</v>
      </c>
      <c r="J1721" s="7" t="s">
        <v>274</v>
      </c>
      <c r="K1721" s="32" t="str">
        <f>CONCATENATE(TableAopCalendar[[#This Row],[Month for Plan]]," ",TableAopCalendar[[#This Row],[Plan]])</f>
        <v>DECEMBER 26 PLANNED</v>
      </c>
    </row>
    <row r="1722" spans="1:11" x14ac:dyDescent="0.3">
      <c r="A1722" s="32">
        <f t="shared" si="93"/>
        <v>2</v>
      </c>
      <c r="B1722" s="33">
        <v>46372</v>
      </c>
      <c r="C1722" s="6" t="s">
        <v>270</v>
      </c>
      <c r="D1722" s="34">
        <v>26</v>
      </c>
      <c r="E1722" s="32">
        <f>DAY(TableAopCalendar[[#This Row],[Date]])</f>
        <v>16</v>
      </c>
      <c r="F1722" s="32">
        <f>IF(TableAopCalendar[[#This Row],[Day]]&lt;8,1,IF(TableAopCalendar[[#This Row],[Day]]&lt;15,2,IF(TableAopCalendar[[#This Row],[Day]]&lt;22,3,IF(TableAopCalendar[[#This Row],[Day]]&lt;29,4,IF(TableAopCalendar[[#This Row],[Day]]&lt;32,5)))))</f>
        <v>3</v>
      </c>
      <c r="G1722" s="32" t="str">
        <f t="shared" si="94"/>
        <v>Week 3</v>
      </c>
      <c r="H1722" s="32" t="str">
        <f t="shared" si="95"/>
        <v>December 26 Week 3</v>
      </c>
      <c r="I1722" s="32" t="str">
        <f>CONCATENATE(UPPER(TableAopCalendar[[#This Row],[Month]])," ",TableAopCalendar[[#This Row],[Year]])</f>
        <v>DECEMBER 26</v>
      </c>
      <c r="J1722" s="7" t="s">
        <v>274</v>
      </c>
      <c r="K1722" s="32" t="str">
        <f>CONCATENATE(TableAopCalendar[[#This Row],[Month for Plan]]," ",TableAopCalendar[[#This Row],[Plan]])</f>
        <v>DECEMBER 26 PLANNED</v>
      </c>
    </row>
    <row r="1723" spans="1:11" x14ac:dyDescent="0.3">
      <c r="A1723" s="32">
        <f t="shared" si="93"/>
        <v>3</v>
      </c>
      <c r="B1723" s="33">
        <v>46373</v>
      </c>
      <c r="C1723" s="6" t="s">
        <v>270</v>
      </c>
      <c r="D1723" s="34">
        <v>26</v>
      </c>
      <c r="E1723" s="32">
        <f>DAY(TableAopCalendar[[#This Row],[Date]])</f>
        <v>17</v>
      </c>
      <c r="F1723" s="32">
        <f>IF(TableAopCalendar[[#This Row],[Day]]&lt;8,1,IF(TableAopCalendar[[#This Row],[Day]]&lt;15,2,IF(TableAopCalendar[[#This Row],[Day]]&lt;22,3,IF(TableAopCalendar[[#This Row],[Day]]&lt;29,4,IF(TableAopCalendar[[#This Row],[Day]]&lt;32,5)))))</f>
        <v>3</v>
      </c>
      <c r="G1723" s="32" t="str">
        <f t="shared" si="94"/>
        <v>Week 3</v>
      </c>
      <c r="H1723" s="32" t="str">
        <f t="shared" si="95"/>
        <v>December 26 Week 3</v>
      </c>
      <c r="I1723" s="32" t="str">
        <f>CONCATENATE(UPPER(TableAopCalendar[[#This Row],[Month]])," ",TableAopCalendar[[#This Row],[Year]])</f>
        <v>DECEMBER 26</v>
      </c>
      <c r="J1723" s="7" t="s">
        <v>274</v>
      </c>
      <c r="K1723" s="32" t="str">
        <f>CONCATENATE(TableAopCalendar[[#This Row],[Month for Plan]]," ",TableAopCalendar[[#This Row],[Plan]])</f>
        <v>DECEMBER 26 PLANNED</v>
      </c>
    </row>
    <row r="1724" spans="1:11" x14ac:dyDescent="0.3">
      <c r="A1724" s="32">
        <f t="shared" si="93"/>
        <v>4</v>
      </c>
      <c r="B1724" s="33">
        <v>46374</v>
      </c>
      <c r="C1724" s="6" t="s">
        <v>270</v>
      </c>
      <c r="D1724" s="34">
        <v>26</v>
      </c>
      <c r="E1724" s="32">
        <f>DAY(TableAopCalendar[[#This Row],[Date]])</f>
        <v>18</v>
      </c>
      <c r="F1724" s="32">
        <f>IF(TableAopCalendar[[#This Row],[Day]]&lt;8,1,IF(TableAopCalendar[[#This Row],[Day]]&lt;15,2,IF(TableAopCalendar[[#This Row],[Day]]&lt;22,3,IF(TableAopCalendar[[#This Row],[Day]]&lt;29,4,IF(TableAopCalendar[[#This Row],[Day]]&lt;32,5)))))</f>
        <v>3</v>
      </c>
      <c r="G1724" s="32" t="str">
        <f t="shared" si="94"/>
        <v>Week 3</v>
      </c>
      <c r="H1724" s="32" t="str">
        <f t="shared" si="95"/>
        <v>December 26 Week 3</v>
      </c>
      <c r="I1724" s="32" t="str">
        <f>CONCATENATE(UPPER(TableAopCalendar[[#This Row],[Month]])," ",TableAopCalendar[[#This Row],[Year]])</f>
        <v>DECEMBER 26</v>
      </c>
      <c r="J1724" s="7" t="s">
        <v>274</v>
      </c>
      <c r="K1724" s="32" t="str">
        <f>CONCATENATE(TableAopCalendar[[#This Row],[Month for Plan]]," ",TableAopCalendar[[#This Row],[Plan]])</f>
        <v>DECEMBER 26 PLANNED</v>
      </c>
    </row>
    <row r="1725" spans="1:11" x14ac:dyDescent="0.3">
      <c r="A1725" s="32">
        <f t="shared" si="93"/>
        <v>5</v>
      </c>
      <c r="B1725" s="33">
        <v>46375</v>
      </c>
      <c r="C1725" s="6" t="s">
        <v>270</v>
      </c>
      <c r="D1725" s="34">
        <v>26</v>
      </c>
      <c r="E1725" s="32">
        <f>DAY(TableAopCalendar[[#This Row],[Date]])</f>
        <v>19</v>
      </c>
      <c r="F1725" s="32">
        <f>IF(TableAopCalendar[[#This Row],[Day]]&lt;8,1,IF(TableAopCalendar[[#This Row],[Day]]&lt;15,2,IF(TableAopCalendar[[#This Row],[Day]]&lt;22,3,IF(TableAopCalendar[[#This Row],[Day]]&lt;29,4,IF(TableAopCalendar[[#This Row],[Day]]&lt;32,5)))))</f>
        <v>3</v>
      </c>
      <c r="G1725" s="32" t="str">
        <f t="shared" si="94"/>
        <v>Week 3</v>
      </c>
      <c r="H1725" s="32" t="str">
        <f t="shared" si="95"/>
        <v>December 26 Week 3</v>
      </c>
      <c r="I1725" s="32" t="str">
        <f>CONCATENATE(UPPER(TableAopCalendar[[#This Row],[Month]])," ",TableAopCalendar[[#This Row],[Year]])</f>
        <v>DECEMBER 26</v>
      </c>
      <c r="J1725" s="7" t="s">
        <v>274</v>
      </c>
      <c r="K1725" s="32" t="str">
        <f>CONCATENATE(TableAopCalendar[[#This Row],[Month for Plan]]," ",TableAopCalendar[[#This Row],[Plan]])</f>
        <v>DECEMBER 26 PLANNED</v>
      </c>
    </row>
    <row r="1726" spans="1:11" x14ac:dyDescent="0.3">
      <c r="A1726" s="32">
        <f t="shared" si="93"/>
        <v>6</v>
      </c>
      <c r="B1726" s="33">
        <v>46376</v>
      </c>
      <c r="C1726" s="6" t="s">
        <v>270</v>
      </c>
      <c r="D1726" s="34">
        <v>26</v>
      </c>
      <c r="E1726" s="32">
        <f>DAY(TableAopCalendar[[#This Row],[Date]])</f>
        <v>20</v>
      </c>
      <c r="F1726" s="32">
        <f>IF(TableAopCalendar[[#This Row],[Day]]&lt;8,1,IF(TableAopCalendar[[#This Row],[Day]]&lt;15,2,IF(TableAopCalendar[[#This Row],[Day]]&lt;22,3,IF(TableAopCalendar[[#This Row],[Day]]&lt;29,4,IF(TableAopCalendar[[#This Row],[Day]]&lt;32,5)))))</f>
        <v>3</v>
      </c>
      <c r="G1726" s="32" t="str">
        <f t="shared" si="94"/>
        <v>Week 3</v>
      </c>
      <c r="H1726" s="32" t="str">
        <f t="shared" si="95"/>
        <v>December 26 Week 3</v>
      </c>
      <c r="I1726" s="32" t="str">
        <f>CONCATENATE(UPPER(TableAopCalendar[[#This Row],[Month]])," ",TableAopCalendar[[#This Row],[Year]])</f>
        <v>DECEMBER 26</v>
      </c>
      <c r="J1726" s="7" t="s">
        <v>274</v>
      </c>
      <c r="K1726" s="32" t="str">
        <f>CONCATENATE(TableAopCalendar[[#This Row],[Month for Plan]]," ",TableAopCalendar[[#This Row],[Plan]])</f>
        <v>DECEMBER 26 PLANNED</v>
      </c>
    </row>
    <row r="1727" spans="1:11" x14ac:dyDescent="0.3">
      <c r="A1727" s="32">
        <f t="shared" si="93"/>
        <v>7</v>
      </c>
      <c r="B1727" s="33">
        <v>46377</v>
      </c>
      <c r="C1727" s="6" t="s">
        <v>270</v>
      </c>
      <c r="D1727" s="34">
        <v>26</v>
      </c>
      <c r="E1727" s="32">
        <f>DAY(TableAopCalendar[[#This Row],[Date]])</f>
        <v>21</v>
      </c>
      <c r="F1727" s="32">
        <f>IF(TableAopCalendar[[#This Row],[Day]]&lt;8,1,IF(TableAopCalendar[[#This Row],[Day]]&lt;15,2,IF(TableAopCalendar[[#This Row],[Day]]&lt;22,3,IF(TableAopCalendar[[#This Row],[Day]]&lt;29,4,IF(TableAopCalendar[[#This Row],[Day]]&lt;32,5)))))</f>
        <v>3</v>
      </c>
      <c r="G1727" s="32" t="str">
        <f t="shared" si="94"/>
        <v>Week 3</v>
      </c>
      <c r="H1727" s="32" t="str">
        <f t="shared" si="95"/>
        <v>December 26 Week 3</v>
      </c>
      <c r="I1727" s="32" t="str">
        <f>CONCATENATE(UPPER(TableAopCalendar[[#This Row],[Month]])," ",TableAopCalendar[[#This Row],[Year]])</f>
        <v>DECEMBER 26</v>
      </c>
      <c r="J1727" s="7" t="s">
        <v>274</v>
      </c>
      <c r="K1727" s="32" t="str">
        <f>CONCATENATE(TableAopCalendar[[#This Row],[Month for Plan]]," ",TableAopCalendar[[#This Row],[Plan]])</f>
        <v>DECEMBER 26 PLANNED</v>
      </c>
    </row>
    <row r="1728" spans="1:11" x14ac:dyDescent="0.3">
      <c r="A1728" s="32">
        <f t="shared" si="93"/>
        <v>1</v>
      </c>
      <c r="B1728" s="33">
        <v>46378</v>
      </c>
      <c r="C1728" s="6" t="s">
        <v>270</v>
      </c>
      <c r="D1728" s="34">
        <v>26</v>
      </c>
      <c r="E1728" s="32">
        <f>DAY(TableAopCalendar[[#This Row],[Date]])</f>
        <v>22</v>
      </c>
      <c r="F1728" s="32">
        <f>IF(TableAopCalendar[[#This Row],[Day]]&lt;8,1,IF(TableAopCalendar[[#This Row],[Day]]&lt;15,2,IF(TableAopCalendar[[#This Row],[Day]]&lt;22,3,IF(TableAopCalendar[[#This Row],[Day]]&lt;29,4,IF(TableAopCalendar[[#This Row],[Day]]&lt;32,5)))))</f>
        <v>4</v>
      </c>
      <c r="G1728" s="32" t="str">
        <f t="shared" si="94"/>
        <v>Week 4</v>
      </c>
      <c r="H1728" s="32" t="str">
        <f t="shared" si="95"/>
        <v>December 26 Week 4</v>
      </c>
      <c r="I1728" s="32" t="str">
        <f>CONCATENATE(UPPER(TableAopCalendar[[#This Row],[Month]])," ",TableAopCalendar[[#This Row],[Year]])</f>
        <v>DECEMBER 26</v>
      </c>
      <c r="J1728" s="7" t="s">
        <v>274</v>
      </c>
      <c r="K1728" s="32" t="str">
        <f>CONCATENATE(TableAopCalendar[[#This Row],[Month for Plan]]," ",TableAopCalendar[[#This Row],[Plan]])</f>
        <v>DECEMBER 26 PLANNED</v>
      </c>
    </row>
    <row r="1729" spans="1:11" x14ac:dyDescent="0.3">
      <c r="A1729" s="32">
        <f t="shared" si="93"/>
        <v>2</v>
      </c>
      <c r="B1729" s="33">
        <v>46379</v>
      </c>
      <c r="C1729" s="6" t="s">
        <v>270</v>
      </c>
      <c r="D1729" s="34">
        <v>26</v>
      </c>
      <c r="E1729" s="32">
        <f>DAY(TableAopCalendar[[#This Row],[Date]])</f>
        <v>23</v>
      </c>
      <c r="F1729" s="32">
        <f>IF(TableAopCalendar[[#This Row],[Day]]&lt;8,1,IF(TableAopCalendar[[#This Row],[Day]]&lt;15,2,IF(TableAopCalendar[[#This Row],[Day]]&lt;22,3,IF(TableAopCalendar[[#This Row],[Day]]&lt;29,4,IF(TableAopCalendar[[#This Row],[Day]]&lt;32,5)))))</f>
        <v>4</v>
      </c>
      <c r="G1729" s="32" t="str">
        <f t="shared" si="94"/>
        <v>Week 4</v>
      </c>
      <c r="H1729" s="32" t="str">
        <f t="shared" si="95"/>
        <v>December 26 Week 4</v>
      </c>
      <c r="I1729" s="32" t="str">
        <f>CONCATENATE(UPPER(TableAopCalendar[[#This Row],[Month]])," ",TableAopCalendar[[#This Row],[Year]])</f>
        <v>DECEMBER 26</v>
      </c>
      <c r="J1729" s="7" t="s">
        <v>274</v>
      </c>
      <c r="K1729" s="32" t="str">
        <f>CONCATENATE(TableAopCalendar[[#This Row],[Month for Plan]]," ",TableAopCalendar[[#This Row],[Plan]])</f>
        <v>DECEMBER 26 PLANNED</v>
      </c>
    </row>
    <row r="1730" spans="1:11" x14ac:dyDescent="0.3">
      <c r="A1730" s="32">
        <f t="shared" si="93"/>
        <v>3</v>
      </c>
      <c r="B1730" s="33">
        <v>46380</v>
      </c>
      <c r="C1730" s="6" t="s">
        <v>270</v>
      </c>
      <c r="D1730" s="34">
        <v>26</v>
      </c>
      <c r="E1730" s="32">
        <f>DAY(TableAopCalendar[[#This Row],[Date]])</f>
        <v>24</v>
      </c>
      <c r="F1730" s="32">
        <f>IF(TableAopCalendar[[#This Row],[Day]]&lt;8,1,IF(TableAopCalendar[[#This Row],[Day]]&lt;15,2,IF(TableAopCalendar[[#This Row],[Day]]&lt;22,3,IF(TableAopCalendar[[#This Row],[Day]]&lt;29,4,IF(TableAopCalendar[[#This Row],[Day]]&lt;32,5)))))</f>
        <v>4</v>
      </c>
      <c r="G1730" s="32" t="str">
        <f t="shared" si="94"/>
        <v>Week 4</v>
      </c>
      <c r="H1730" s="32" t="str">
        <f t="shared" si="95"/>
        <v>December 26 Week 4</v>
      </c>
      <c r="I1730" s="32" t="str">
        <f>CONCATENATE(UPPER(TableAopCalendar[[#This Row],[Month]])," ",TableAopCalendar[[#This Row],[Year]])</f>
        <v>DECEMBER 26</v>
      </c>
      <c r="J1730" s="7" t="s">
        <v>274</v>
      </c>
      <c r="K1730" s="32" t="str">
        <f>CONCATENATE(TableAopCalendar[[#This Row],[Month for Plan]]," ",TableAopCalendar[[#This Row],[Plan]])</f>
        <v>DECEMBER 26 PLANNED</v>
      </c>
    </row>
    <row r="1731" spans="1:11" x14ac:dyDescent="0.3">
      <c r="A1731" s="32">
        <f t="shared" si="93"/>
        <v>4</v>
      </c>
      <c r="B1731" s="33">
        <v>46381</v>
      </c>
      <c r="C1731" s="6" t="s">
        <v>270</v>
      </c>
      <c r="D1731" s="34">
        <v>26</v>
      </c>
      <c r="E1731" s="32">
        <f>DAY(TableAopCalendar[[#This Row],[Date]])</f>
        <v>25</v>
      </c>
      <c r="F1731" s="32">
        <f>IF(TableAopCalendar[[#This Row],[Day]]&lt;8,1,IF(TableAopCalendar[[#This Row],[Day]]&lt;15,2,IF(TableAopCalendar[[#This Row],[Day]]&lt;22,3,IF(TableAopCalendar[[#This Row],[Day]]&lt;29,4,IF(TableAopCalendar[[#This Row],[Day]]&lt;32,5)))))</f>
        <v>4</v>
      </c>
      <c r="G1731" s="32" t="str">
        <f t="shared" si="94"/>
        <v>Week 4</v>
      </c>
      <c r="H1731" s="32" t="str">
        <f t="shared" si="95"/>
        <v>December 26 Week 4</v>
      </c>
      <c r="I1731" s="32" t="str">
        <f>CONCATENATE(UPPER(TableAopCalendar[[#This Row],[Month]])," ",TableAopCalendar[[#This Row],[Year]])</f>
        <v>DECEMBER 26</v>
      </c>
      <c r="J1731" s="7" t="s">
        <v>274</v>
      </c>
      <c r="K1731" s="32" t="str">
        <f>CONCATENATE(TableAopCalendar[[#This Row],[Month for Plan]]," ",TableAopCalendar[[#This Row],[Plan]])</f>
        <v>DECEMBER 26 PLANNED</v>
      </c>
    </row>
    <row r="1732" spans="1:11" x14ac:dyDescent="0.3">
      <c r="A1732" s="32">
        <f t="shared" si="93"/>
        <v>5</v>
      </c>
      <c r="B1732" s="33">
        <v>46382</v>
      </c>
      <c r="C1732" s="6" t="s">
        <v>270</v>
      </c>
      <c r="D1732" s="34">
        <v>26</v>
      </c>
      <c r="E1732" s="32">
        <f>DAY(TableAopCalendar[[#This Row],[Date]])</f>
        <v>26</v>
      </c>
      <c r="F1732" s="32">
        <f>IF(TableAopCalendar[[#This Row],[Day]]&lt;8,1,IF(TableAopCalendar[[#This Row],[Day]]&lt;15,2,IF(TableAopCalendar[[#This Row],[Day]]&lt;22,3,IF(TableAopCalendar[[#This Row],[Day]]&lt;29,4,IF(TableAopCalendar[[#This Row],[Day]]&lt;32,5)))))</f>
        <v>4</v>
      </c>
      <c r="G1732" s="32" t="str">
        <f t="shared" si="94"/>
        <v>Week 4</v>
      </c>
      <c r="H1732" s="32" t="str">
        <f t="shared" si="95"/>
        <v>December 26 Week 4</v>
      </c>
      <c r="I1732" s="32" t="str">
        <f>CONCATENATE(UPPER(TableAopCalendar[[#This Row],[Month]])," ",TableAopCalendar[[#This Row],[Year]])</f>
        <v>DECEMBER 26</v>
      </c>
      <c r="J1732" s="7" t="s">
        <v>274</v>
      </c>
      <c r="K1732" s="32" t="str">
        <f>CONCATENATE(TableAopCalendar[[#This Row],[Month for Plan]]," ",TableAopCalendar[[#This Row],[Plan]])</f>
        <v>DECEMBER 26 PLANNED</v>
      </c>
    </row>
    <row r="1733" spans="1:11" x14ac:dyDescent="0.3">
      <c r="A1733" s="32">
        <f t="shared" si="93"/>
        <v>6</v>
      </c>
      <c r="B1733" s="33">
        <v>46383</v>
      </c>
      <c r="C1733" s="6" t="s">
        <v>270</v>
      </c>
      <c r="D1733" s="34">
        <v>26</v>
      </c>
      <c r="E1733" s="32">
        <f>DAY(TableAopCalendar[[#This Row],[Date]])</f>
        <v>27</v>
      </c>
      <c r="F1733" s="32">
        <f>IF(TableAopCalendar[[#This Row],[Day]]&lt;8,1,IF(TableAopCalendar[[#This Row],[Day]]&lt;15,2,IF(TableAopCalendar[[#This Row],[Day]]&lt;22,3,IF(TableAopCalendar[[#This Row],[Day]]&lt;29,4,IF(TableAopCalendar[[#This Row],[Day]]&lt;32,5)))))</f>
        <v>4</v>
      </c>
      <c r="G1733" s="32" t="str">
        <f t="shared" si="94"/>
        <v>Week 4</v>
      </c>
      <c r="H1733" s="32" t="str">
        <f t="shared" si="95"/>
        <v>December 26 Week 4</v>
      </c>
      <c r="I1733" s="32" t="str">
        <f>CONCATENATE(UPPER(TableAopCalendar[[#This Row],[Month]])," ",TableAopCalendar[[#This Row],[Year]])</f>
        <v>DECEMBER 26</v>
      </c>
      <c r="J1733" s="7" t="s">
        <v>274</v>
      </c>
      <c r="K1733" s="32" t="str">
        <f>CONCATENATE(TableAopCalendar[[#This Row],[Month for Plan]]," ",TableAopCalendar[[#This Row],[Plan]])</f>
        <v>DECEMBER 26 PLANNED</v>
      </c>
    </row>
    <row r="1734" spans="1:11" x14ac:dyDescent="0.3">
      <c r="A1734" s="32">
        <f t="shared" si="93"/>
        <v>7</v>
      </c>
      <c r="B1734" s="33">
        <v>46384</v>
      </c>
      <c r="C1734" s="6" t="s">
        <v>270</v>
      </c>
      <c r="D1734" s="34">
        <v>26</v>
      </c>
      <c r="E1734" s="32">
        <f>DAY(TableAopCalendar[[#This Row],[Date]])</f>
        <v>28</v>
      </c>
      <c r="F1734" s="32">
        <f>IF(TableAopCalendar[[#This Row],[Day]]&lt;8,1,IF(TableAopCalendar[[#This Row],[Day]]&lt;15,2,IF(TableAopCalendar[[#This Row],[Day]]&lt;22,3,IF(TableAopCalendar[[#This Row],[Day]]&lt;29,4,IF(TableAopCalendar[[#This Row],[Day]]&lt;32,5)))))</f>
        <v>4</v>
      </c>
      <c r="G1734" s="32" t="str">
        <f t="shared" si="94"/>
        <v>Week 4</v>
      </c>
      <c r="H1734" s="32" t="str">
        <f t="shared" si="95"/>
        <v>December 26 Week 4</v>
      </c>
      <c r="I1734" s="32" t="str">
        <f>CONCATENATE(UPPER(TableAopCalendar[[#This Row],[Month]])," ",TableAopCalendar[[#This Row],[Year]])</f>
        <v>DECEMBER 26</v>
      </c>
      <c r="J1734" s="7" t="s">
        <v>274</v>
      </c>
      <c r="K1734" s="32" t="str">
        <f>CONCATENATE(TableAopCalendar[[#This Row],[Month for Plan]]," ",TableAopCalendar[[#This Row],[Plan]])</f>
        <v>DECEMBER 26 PLANNED</v>
      </c>
    </row>
    <row r="1735" spans="1:11" x14ac:dyDescent="0.3">
      <c r="A1735" s="32">
        <f t="shared" si="93"/>
        <v>1</v>
      </c>
      <c r="B1735" s="33">
        <v>46385</v>
      </c>
      <c r="C1735" s="6" t="s">
        <v>270</v>
      </c>
      <c r="D1735" s="34">
        <v>26</v>
      </c>
      <c r="E1735" s="32">
        <f>DAY(TableAopCalendar[[#This Row],[Date]])</f>
        <v>29</v>
      </c>
      <c r="F1735" s="32">
        <f>IF(TableAopCalendar[[#This Row],[Day]]&lt;8,1,IF(TableAopCalendar[[#This Row],[Day]]&lt;15,2,IF(TableAopCalendar[[#This Row],[Day]]&lt;22,3,IF(TableAopCalendar[[#This Row],[Day]]&lt;29,4,IF(TableAopCalendar[[#This Row],[Day]]&lt;32,5)))))</f>
        <v>5</v>
      </c>
      <c r="G1735" s="32" t="str">
        <f t="shared" si="94"/>
        <v>Week 5</v>
      </c>
      <c r="H1735" s="32" t="str">
        <f t="shared" si="95"/>
        <v>December 26 Week 5</v>
      </c>
      <c r="I1735" s="32" t="str">
        <f>CONCATENATE(UPPER(TableAopCalendar[[#This Row],[Month]])," ",TableAopCalendar[[#This Row],[Year]])</f>
        <v>DECEMBER 26</v>
      </c>
      <c r="J1735" s="7" t="s">
        <v>274</v>
      </c>
      <c r="K1735" s="32" t="str">
        <f>CONCATENATE(TableAopCalendar[[#This Row],[Month for Plan]]," ",TableAopCalendar[[#This Row],[Plan]])</f>
        <v>DECEMBER 26 PLANNED</v>
      </c>
    </row>
    <row r="1736" spans="1:11" x14ac:dyDescent="0.3">
      <c r="A1736" s="32">
        <f t="shared" si="93"/>
        <v>2</v>
      </c>
      <c r="B1736" s="33">
        <v>46386</v>
      </c>
      <c r="C1736" s="6" t="s">
        <v>270</v>
      </c>
      <c r="D1736" s="34">
        <v>26</v>
      </c>
      <c r="E1736" s="32">
        <f>DAY(TableAopCalendar[[#This Row],[Date]])</f>
        <v>30</v>
      </c>
      <c r="F1736" s="32">
        <f>IF(TableAopCalendar[[#This Row],[Day]]&lt;8,1,IF(TableAopCalendar[[#This Row],[Day]]&lt;15,2,IF(TableAopCalendar[[#This Row],[Day]]&lt;22,3,IF(TableAopCalendar[[#This Row],[Day]]&lt;29,4,IF(TableAopCalendar[[#This Row],[Day]]&lt;32,5)))))</f>
        <v>5</v>
      </c>
      <c r="G1736" s="32" t="str">
        <f t="shared" si="94"/>
        <v>Week 5</v>
      </c>
      <c r="H1736" s="32" t="str">
        <f t="shared" si="95"/>
        <v>December 26 Week 5</v>
      </c>
      <c r="I1736" s="32" t="str">
        <f>CONCATENATE(UPPER(TableAopCalendar[[#This Row],[Month]])," ",TableAopCalendar[[#This Row],[Year]])</f>
        <v>DECEMBER 26</v>
      </c>
      <c r="J1736" s="7" t="s">
        <v>274</v>
      </c>
      <c r="K1736" s="32" t="str">
        <f>CONCATENATE(TableAopCalendar[[#This Row],[Month for Plan]]," ",TableAopCalendar[[#This Row],[Plan]])</f>
        <v>DECEMBER 26 PLANNED</v>
      </c>
    </row>
    <row r="1737" spans="1:11" x14ac:dyDescent="0.3">
      <c r="A1737" s="32">
        <f t="shared" si="93"/>
        <v>3</v>
      </c>
      <c r="B1737" s="33">
        <v>46387</v>
      </c>
      <c r="C1737" s="6" t="s">
        <v>270</v>
      </c>
      <c r="D1737" s="34">
        <v>26</v>
      </c>
      <c r="E1737" s="32">
        <f>DAY(TableAopCalendar[[#This Row],[Date]])</f>
        <v>31</v>
      </c>
      <c r="F1737" s="32">
        <f>IF(TableAopCalendar[[#This Row],[Day]]&lt;8,1,IF(TableAopCalendar[[#This Row],[Day]]&lt;15,2,IF(TableAopCalendar[[#This Row],[Day]]&lt;22,3,IF(TableAopCalendar[[#This Row],[Day]]&lt;29,4,IF(TableAopCalendar[[#This Row],[Day]]&lt;32,5)))))</f>
        <v>5</v>
      </c>
      <c r="G1737" s="32" t="str">
        <f t="shared" si="94"/>
        <v>Week 5</v>
      </c>
      <c r="H1737" s="32" t="str">
        <f t="shared" si="95"/>
        <v>December 26 Week 5</v>
      </c>
      <c r="I1737" s="32" t="str">
        <f>CONCATENATE(UPPER(TableAopCalendar[[#This Row],[Month]])," ",TableAopCalendar[[#This Row],[Year]])</f>
        <v>DECEMBER 26</v>
      </c>
      <c r="J1737" s="7" t="s">
        <v>274</v>
      </c>
      <c r="K1737" s="32" t="str">
        <f>CONCATENATE(TableAopCalendar[[#This Row],[Month for Plan]]," ",TableAopCalendar[[#This Row],[Plan]])</f>
        <v>DECEMBER 26 PLANNED</v>
      </c>
    </row>
    <row r="1738" spans="1:11" x14ac:dyDescent="0.3">
      <c r="A1738" s="32">
        <f t="shared" si="93"/>
        <v>1</v>
      </c>
      <c r="B1738" s="33">
        <v>46388</v>
      </c>
      <c r="C1738" s="6" t="s">
        <v>271</v>
      </c>
      <c r="D1738" s="34">
        <v>27</v>
      </c>
      <c r="E1738" s="32">
        <f>DAY(TableAopCalendar[[#This Row],[Date]])</f>
        <v>1</v>
      </c>
      <c r="F1738" s="32">
        <f>IF(TableAopCalendar[[#This Row],[Day]]&lt;8,1,IF(TableAopCalendar[[#This Row],[Day]]&lt;15,2,IF(TableAopCalendar[[#This Row],[Day]]&lt;22,3,IF(TableAopCalendar[[#This Row],[Day]]&lt;29,4,IF(TableAopCalendar[[#This Row],[Day]]&lt;32,5)))))</f>
        <v>1</v>
      </c>
      <c r="G1738" s="32" t="str">
        <f t="shared" si="94"/>
        <v>Week 1</v>
      </c>
      <c r="H1738" s="32" t="str">
        <f t="shared" si="95"/>
        <v>January 27 Week 1</v>
      </c>
      <c r="I1738" s="32" t="str">
        <f>CONCATENATE(UPPER(TableAopCalendar[[#This Row],[Month]])," ",TableAopCalendar[[#This Row],[Year]])</f>
        <v>JANUARY 27</v>
      </c>
      <c r="J1738" s="7" t="s">
        <v>274</v>
      </c>
      <c r="K1738" s="32" t="str">
        <f>CONCATENATE(TableAopCalendar[[#This Row],[Month for Plan]]," ",TableAopCalendar[[#This Row],[Plan]])</f>
        <v>JANUARY 27 PLANNED</v>
      </c>
    </row>
    <row r="1739" spans="1:11" x14ac:dyDescent="0.3">
      <c r="A1739" s="32">
        <f t="shared" ref="A1739:A1802" si="96">IF(G1739=G1738,A1738+1,1)</f>
        <v>2</v>
      </c>
      <c r="B1739" s="33">
        <v>46389</v>
      </c>
      <c r="C1739" s="6" t="s">
        <v>271</v>
      </c>
      <c r="D1739" s="34">
        <v>27</v>
      </c>
      <c r="E1739" s="32">
        <f>DAY(TableAopCalendar[[#This Row],[Date]])</f>
        <v>2</v>
      </c>
      <c r="F1739" s="32">
        <f>IF(TableAopCalendar[[#This Row],[Day]]&lt;8,1,IF(TableAopCalendar[[#This Row],[Day]]&lt;15,2,IF(TableAopCalendar[[#This Row],[Day]]&lt;22,3,IF(TableAopCalendar[[#This Row],[Day]]&lt;29,4,IF(TableAopCalendar[[#This Row],[Day]]&lt;32,5)))))</f>
        <v>1</v>
      </c>
      <c r="G1739" s="32" t="str">
        <f t="shared" ref="G1739:G1802" si="97">"Week"&amp;" "&amp;F1739</f>
        <v>Week 1</v>
      </c>
      <c r="H1739" s="32" t="str">
        <f t="shared" ref="H1739:H1802" si="98">CONCATENATE(C1739," ",D1739," ",G1739)</f>
        <v>January 27 Week 1</v>
      </c>
      <c r="I1739" s="32" t="str">
        <f>CONCATENATE(UPPER(TableAopCalendar[[#This Row],[Month]])," ",TableAopCalendar[[#This Row],[Year]])</f>
        <v>JANUARY 27</v>
      </c>
      <c r="J1739" s="7" t="s">
        <v>274</v>
      </c>
      <c r="K1739" s="32" t="str">
        <f>CONCATENATE(TableAopCalendar[[#This Row],[Month for Plan]]," ",TableAopCalendar[[#This Row],[Plan]])</f>
        <v>JANUARY 27 PLANNED</v>
      </c>
    </row>
    <row r="1740" spans="1:11" x14ac:dyDescent="0.3">
      <c r="A1740" s="32">
        <f t="shared" si="96"/>
        <v>3</v>
      </c>
      <c r="B1740" s="33">
        <v>46390</v>
      </c>
      <c r="C1740" s="6" t="s">
        <v>271</v>
      </c>
      <c r="D1740" s="34">
        <v>27</v>
      </c>
      <c r="E1740" s="32">
        <f>DAY(TableAopCalendar[[#This Row],[Date]])</f>
        <v>3</v>
      </c>
      <c r="F1740" s="32">
        <f>IF(TableAopCalendar[[#This Row],[Day]]&lt;8,1,IF(TableAopCalendar[[#This Row],[Day]]&lt;15,2,IF(TableAopCalendar[[#This Row],[Day]]&lt;22,3,IF(TableAopCalendar[[#This Row],[Day]]&lt;29,4,IF(TableAopCalendar[[#This Row],[Day]]&lt;32,5)))))</f>
        <v>1</v>
      </c>
      <c r="G1740" s="32" t="str">
        <f t="shared" si="97"/>
        <v>Week 1</v>
      </c>
      <c r="H1740" s="32" t="str">
        <f t="shared" si="98"/>
        <v>January 27 Week 1</v>
      </c>
      <c r="I1740" s="32" t="str">
        <f>CONCATENATE(UPPER(TableAopCalendar[[#This Row],[Month]])," ",TableAopCalendar[[#This Row],[Year]])</f>
        <v>JANUARY 27</v>
      </c>
      <c r="J1740" s="7" t="s">
        <v>274</v>
      </c>
      <c r="K1740" s="32" t="str">
        <f>CONCATENATE(TableAopCalendar[[#This Row],[Month for Plan]]," ",TableAopCalendar[[#This Row],[Plan]])</f>
        <v>JANUARY 27 PLANNED</v>
      </c>
    </row>
    <row r="1741" spans="1:11" x14ac:dyDescent="0.3">
      <c r="A1741" s="32">
        <f t="shared" si="96"/>
        <v>4</v>
      </c>
      <c r="B1741" s="33">
        <v>46391</v>
      </c>
      <c r="C1741" s="6" t="s">
        <v>271</v>
      </c>
      <c r="D1741" s="34">
        <v>27</v>
      </c>
      <c r="E1741" s="32">
        <f>DAY(TableAopCalendar[[#This Row],[Date]])</f>
        <v>4</v>
      </c>
      <c r="F1741" s="32">
        <f>IF(TableAopCalendar[[#This Row],[Day]]&lt;8,1,IF(TableAopCalendar[[#This Row],[Day]]&lt;15,2,IF(TableAopCalendar[[#This Row],[Day]]&lt;22,3,IF(TableAopCalendar[[#This Row],[Day]]&lt;29,4,IF(TableAopCalendar[[#This Row],[Day]]&lt;32,5)))))</f>
        <v>1</v>
      </c>
      <c r="G1741" s="32" t="str">
        <f t="shared" si="97"/>
        <v>Week 1</v>
      </c>
      <c r="H1741" s="32" t="str">
        <f t="shared" si="98"/>
        <v>January 27 Week 1</v>
      </c>
      <c r="I1741" s="32" t="str">
        <f>CONCATENATE(UPPER(TableAopCalendar[[#This Row],[Month]])," ",TableAopCalendar[[#This Row],[Year]])</f>
        <v>JANUARY 27</v>
      </c>
      <c r="J1741" s="7" t="s">
        <v>274</v>
      </c>
      <c r="K1741" s="32" t="str">
        <f>CONCATENATE(TableAopCalendar[[#This Row],[Month for Plan]]," ",TableAopCalendar[[#This Row],[Plan]])</f>
        <v>JANUARY 27 PLANNED</v>
      </c>
    </row>
    <row r="1742" spans="1:11" x14ac:dyDescent="0.3">
      <c r="A1742" s="32">
        <f t="shared" si="96"/>
        <v>5</v>
      </c>
      <c r="B1742" s="33">
        <v>46392</v>
      </c>
      <c r="C1742" s="6" t="s">
        <v>271</v>
      </c>
      <c r="D1742" s="34">
        <v>27</v>
      </c>
      <c r="E1742" s="32">
        <f>DAY(TableAopCalendar[[#This Row],[Date]])</f>
        <v>5</v>
      </c>
      <c r="F1742" s="32">
        <f>IF(TableAopCalendar[[#This Row],[Day]]&lt;8,1,IF(TableAopCalendar[[#This Row],[Day]]&lt;15,2,IF(TableAopCalendar[[#This Row],[Day]]&lt;22,3,IF(TableAopCalendar[[#This Row],[Day]]&lt;29,4,IF(TableAopCalendar[[#This Row],[Day]]&lt;32,5)))))</f>
        <v>1</v>
      </c>
      <c r="G1742" s="32" t="str">
        <f t="shared" si="97"/>
        <v>Week 1</v>
      </c>
      <c r="H1742" s="32" t="str">
        <f t="shared" si="98"/>
        <v>January 27 Week 1</v>
      </c>
      <c r="I1742" s="32" t="str">
        <f>CONCATENATE(UPPER(TableAopCalendar[[#This Row],[Month]])," ",TableAopCalendar[[#This Row],[Year]])</f>
        <v>JANUARY 27</v>
      </c>
      <c r="J1742" s="7" t="s">
        <v>274</v>
      </c>
      <c r="K1742" s="32" t="str">
        <f>CONCATENATE(TableAopCalendar[[#This Row],[Month for Plan]]," ",TableAopCalendar[[#This Row],[Plan]])</f>
        <v>JANUARY 27 PLANNED</v>
      </c>
    </row>
    <row r="1743" spans="1:11" x14ac:dyDescent="0.3">
      <c r="A1743" s="32">
        <f t="shared" si="96"/>
        <v>6</v>
      </c>
      <c r="B1743" s="33">
        <v>46393</v>
      </c>
      <c r="C1743" s="6" t="s">
        <v>271</v>
      </c>
      <c r="D1743" s="34">
        <v>27</v>
      </c>
      <c r="E1743" s="32">
        <f>DAY(TableAopCalendar[[#This Row],[Date]])</f>
        <v>6</v>
      </c>
      <c r="F1743" s="32">
        <f>IF(TableAopCalendar[[#This Row],[Day]]&lt;8,1,IF(TableAopCalendar[[#This Row],[Day]]&lt;15,2,IF(TableAopCalendar[[#This Row],[Day]]&lt;22,3,IF(TableAopCalendar[[#This Row],[Day]]&lt;29,4,IF(TableAopCalendar[[#This Row],[Day]]&lt;32,5)))))</f>
        <v>1</v>
      </c>
      <c r="G1743" s="32" t="str">
        <f t="shared" si="97"/>
        <v>Week 1</v>
      </c>
      <c r="H1743" s="32" t="str">
        <f t="shared" si="98"/>
        <v>January 27 Week 1</v>
      </c>
      <c r="I1743" s="32" t="str">
        <f>CONCATENATE(UPPER(TableAopCalendar[[#This Row],[Month]])," ",TableAopCalendar[[#This Row],[Year]])</f>
        <v>JANUARY 27</v>
      </c>
      <c r="J1743" s="7" t="s">
        <v>274</v>
      </c>
      <c r="K1743" s="32" t="str">
        <f>CONCATENATE(TableAopCalendar[[#This Row],[Month for Plan]]," ",TableAopCalendar[[#This Row],[Plan]])</f>
        <v>JANUARY 27 PLANNED</v>
      </c>
    </row>
    <row r="1744" spans="1:11" x14ac:dyDescent="0.3">
      <c r="A1744" s="32">
        <f t="shared" si="96"/>
        <v>7</v>
      </c>
      <c r="B1744" s="33">
        <v>46394</v>
      </c>
      <c r="C1744" s="6" t="s">
        <v>271</v>
      </c>
      <c r="D1744" s="34">
        <v>27</v>
      </c>
      <c r="E1744" s="32">
        <f>DAY(TableAopCalendar[[#This Row],[Date]])</f>
        <v>7</v>
      </c>
      <c r="F1744" s="32">
        <f>IF(TableAopCalendar[[#This Row],[Day]]&lt;8,1,IF(TableAopCalendar[[#This Row],[Day]]&lt;15,2,IF(TableAopCalendar[[#This Row],[Day]]&lt;22,3,IF(TableAopCalendar[[#This Row],[Day]]&lt;29,4,IF(TableAopCalendar[[#This Row],[Day]]&lt;32,5)))))</f>
        <v>1</v>
      </c>
      <c r="G1744" s="32" t="str">
        <f t="shared" si="97"/>
        <v>Week 1</v>
      </c>
      <c r="H1744" s="32" t="str">
        <f t="shared" si="98"/>
        <v>January 27 Week 1</v>
      </c>
      <c r="I1744" s="32" t="str">
        <f>CONCATENATE(UPPER(TableAopCalendar[[#This Row],[Month]])," ",TableAopCalendar[[#This Row],[Year]])</f>
        <v>JANUARY 27</v>
      </c>
      <c r="J1744" s="7" t="s">
        <v>274</v>
      </c>
      <c r="K1744" s="32" t="str">
        <f>CONCATENATE(TableAopCalendar[[#This Row],[Month for Plan]]," ",TableAopCalendar[[#This Row],[Plan]])</f>
        <v>JANUARY 27 PLANNED</v>
      </c>
    </row>
    <row r="1745" spans="1:11" x14ac:dyDescent="0.3">
      <c r="A1745" s="32">
        <f t="shared" si="96"/>
        <v>1</v>
      </c>
      <c r="B1745" s="33">
        <v>46395</v>
      </c>
      <c r="C1745" s="6" t="s">
        <v>271</v>
      </c>
      <c r="D1745" s="34">
        <v>27</v>
      </c>
      <c r="E1745" s="32">
        <f>DAY(TableAopCalendar[[#This Row],[Date]])</f>
        <v>8</v>
      </c>
      <c r="F1745" s="32">
        <f>IF(TableAopCalendar[[#This Row],[Day]]&lt;8,1,IF(TableAopCalendar[[#This Row],[Day]]&lt;15,2,IF(TableAopCalendar[[#This Row],[Day]]&lt;22,3,IF(TableAopCalendar[[#This Row],[Day]]&lt;29,4,IF(TableAopCalendar[[#This Row],[Day]]&lt;32,5)))))</f>
        <v>2</v>
      </c>
      <c r="G1745" s="32" t="str">
        <f t="shared" si="97"/>
        <v>Week 2</v>
      </c>
      <c r="H1745" s="32" t="str">
        <f t="shared" si="98"/>
        <v>January 27 Week 2</v>
      </c>
      <c r="I1745" s="32" t="str">
        <f>CONCATENATE(UPPER(TableAopCalendar[[#This Row],[Month]])," ",TableAopCalendar[[#This Row],[Year]])</f>
        <v>JANUARY 27</v>
      </c>
      <c r="J1745" s="7" t="s">
        <v>274</v>
      </c>
      <c r="K1745" s="32" t="str">
        <f>CONCATENATE(TableAopCalendar[[#This Row],[Month for Plan]]," ",TableAopCalendar[[#This Row],[Plan]])</f>
        <v>JANUARY 27 PLANNED</v>
      </c>
    </row>
    <row r="1746" spans="1:11" x14ac:dyDescent="0.3">
      <c r="A1746" s="32">
        <f t="shared" si="96"/>
        <v>2</v>
      </c>
      <c r="B1746" s="33">
        <v>46396</v>
      </c>
      <c r="C1746" s="6" t="s">
        <v>271</v>
      </c>
      <c r="D1746" s="34">
        <v>27</v>
      </c>
      <c r="E1746" s="32">
        <f>DAY(TableAopCalendar[[#This Row],[Date]])</f>
        <v>9</v>
      </c>
      <c r="F1746" s="32">
        <f>IF(TableAopCalendar[[#This Row],[Day]]&lt;8,1,IF(TableAopCalendar[[#This Row],[Day]]&lt;15,2,IF(TableAopCalendar[[#This Row],[Day]]&lt;22,3,IF(TableAopCalendar[[#This Row],[Day]]&lt;29,4,IF(TableAopCalendar[[#This Row],[Day]]&lt;32,5)))))</f>
        <v>2</v>
      </c>
      <c r="G1746" s="32" t="str">
        <f t="shared" si="97"/>
        <v>Week 2</v>
      </c>
      <c r="H1746" s="32" t="str">
        <f t="shared" si="98"/>
        <v>January 27 Week 2</v>
      </c>
      <c r="I1746" s="32" t="str">
        <f>CONCATENATE(UPPER(TableAopCalendar[[#This Row],[Month]])," ",TableAopCalendar[[#This Row],[Year]])</f>
        <v>JANUARY 27</v>
      </c>
      <c r="J1746" s="7" t="s">
        <v>274</v>
      </c>
      <c r="K1746" s="32" t="str">
        <f>CONCATENATE(TableAopCalendar[[#This Row],[Month for Plan]]," ",TableAopCalendar[[#This Row],[Plan]])</f>
        <v>JANUARY 27 PLANNED</v>
      </c>
    </row>
    <row r="1747" spans="1:11" x14ac:dyDescent="0.3">
      <c r="A1747" s="32">
        <f t="shared" si="96"/>
        <v>3</v>
      </c>
      <c r="B1747" s="33">
        <v>46397</v>
      </c>
      <c r="C1747" s="6" t="s">
        <v>271</v>
      </c>
      <c r="D1747" s="34">
        <v>27</v>
      </c>
      <c r="E1747" s="32">
        <f>DAY(TableAopCalendar[[#This Row],[Date]])</f>
        <v>10</v>
      </c>
      <c r="F1747" s="32">
        <f>IF(TableAopCalendar[[#This Row],[Day]]&lt;8,1,IF(TableAopCalendar[[#This Row],[Day]]&lt;15,2,IF(TableAopCalendar[[#This Row],[Day]]&lt;22,3,IF(TableAopCalendar[[#This Row],[Day]]&lt;29,4,IF(TableAopCalendar[[#This Row],[Day]]&lt;32,5)))))</f>
        <v>2</v>
      </c>
      <c r="G1747" s="32" t="str">
        <f t="shared" si="97"/>
        <v>Week 2</v>
      </c>
      <c r="H1747" s="32" t="str">
        <f t="shared" si="98"/>
        <v>January 27 Week 2</v>
      </c>
      <c r="I1747" s="32" t="str">
        <f>CONCATENATE(UPPER(TableAopCalendar[[#This Row],[Month]])," ",TableAopCalendar[[#This Row],[Year]])</f>
        <v>JANUARY 27</v>
      </c>
      <c r="J1747" s="7" t="s">
        <v>274</v>
      </c>
      <c r="K1747" s="32" t="str">
        <f>CONCATENATE(TableAopCalendar[[#This Row],[Month for Plan]]," ",TableAopCalendar[[#This Row],[Plan]])</f>
        <v>JANUARY 27 PLANNED</v>
      </c>
    </row>
    <row r="1748" spans="1:11" x14ac:dyDescent="0.3">
      <c r="A1748" s="32">
        <f t="shared" si="96"/>
        <v>4</v>
      </c>
      <c r="B1748" s="33">
        <v>46398</v>
      </c>
      <c r="C1748" s="6" t="s">
        <v>271</v>
      </c>
      <c r="D1748" s="34">
        <v>27</v>
      </c>
      <c r="E1748" s="32">
        <f>DAY(TableAopCalendar[[#This Row],[Date]])</f>
        <v>11</v>
      </c>
      <c r="F1748" s="32">
        <f>IF(TableAopCalendar[[#This Row],[Day]]&lt;8,1,IF(TableAopCalendar[[#This Row],[Day]]&lt;15,2,IF(TableAopCalendar[[#This Row],[Day]]&lt;22,3,IF(TableAopCalendar[[#This Row],[Day]]&lt;29,4,IF(TableAopCalendar[[#This Row],[Day]]&lt;32,5)))))</f>
        <v>2</v>
      </c>
      <c r="G1748" s="32" t="str">
        <f t="shared" si="97"/>
        <v>Week 2</v>
      </c>
      <c r="H1748" s="32" t="str">
        <f t="shared" si="98"/>
        <v>January 27 Week 2</v>
      </c>
      <c r="I1748" s="32" t="str">
        <f>CONCATENATE(UPPER(TableAopCalendar[[#This Row],[Month]])," ",TableAopCalendar[[#This Row],[Year]])</f>
        <v>JANUARY 27</v>
      </c>
      <c r="J1748" s="7" t="s">
        <v>274</v>
      </c>
      <c r="K1748" s="32" t="str">
        <f>CONCATENATE(TableAopCalendar[[#This Row],[Month for Plan]]," ",TableAopCalendar[[#This Row],[Plan]])</f>
        <v>JANUARY 27 PLANNED</v>
      </c>
    </row>
    <row r="1749" spans="1:11" x14ac:dyDescent="0.3">
      <c r="A1749" s="32">
        <f t="shared" si="96"/>
        <v>5</v>
      </c>
      <c r="B1749" s="33">
        <v>46399</v>
      </c>
      <c r="C1749" s="6" t="s">
        <v>271</v>
      </c>
      <c r="D1749" s="34">
        <v>27</v>
      </c>
      <c r="E1749" s="32">
        <f>DAY(TableAopCalendar[[#This Row],[Date]])</f>
        <v>12</v>
      </c>
      <c r="F1749" s="32">
        <f>IF(TableAopCalendar[[#This Row],[Day]]&lt;8,1,IF(TableAopCalendar[[#This Row],[Day]]&lt;15,2,IF(TableAopCalendar[[#This Row],[Day]]&lt;22,3,IF(TableAopCalendar[[#This Row],[Day]]&lt;29,4,IF(TableAopCalendar[[#This Row],[Day]]&lt;32,5)))))</f>
        <v>2</v>
      </c>
      <c r="G1749" s="32" t="str">
        <f t="shared" si="97"/>
        <v>Week 2</v>
      </c>
      <c r="H1749" s="32" t="str">
        <f t="shared" si="98"/>
        <v>January 27 Week 2</v>
      </c>
      <c r="I1749" s="32" t="str">
        <f>CONCATENATE(UPPER(TableAopCalendar[[#This Row],[Month]])," ",TableAopCalendar[[#This Row],[Year]])</f>
        <v>JANUARY 27</v>
      </c>
      <c r="J1749" s="7" t="s">
        <v>274</v>
      </c>
      <c r="K1749" s="32" t="str">
        <f>CONCATENATE(TableAopCalendar[[#This Row],[Month for Plan]]," ",TableAopCalendar[[#This Row],[Plan]])</f>
        <v>JANUARY 27 PLANNED</v>
      </c>
    </row>
    <row r="1750" spans="1:11" x14ac:dyDescent="0.3">
      <c r="A1750" s="32">
        <f t="shared" si="96"/>
        <v>6</v>
      </c>
      <c r="B1750" s="33">
        <v>46400</v>
      </c>
      <c r="C1750" s="6" t="s">
        <v>271</v>
      </c>
      <c r="D1750" s="34">
        <v>27</v>
      </c>
      <c r="E1750" s="32">
        <f>DAY(TableAopCalendar[[#This Row],[Date]])</f>
        <v>13</v>
      </c>
      <c r="F1750" s="32">
        <f>IF(TableAopCalendar[[#This Row],[Day]]&lt;8,1,IF(TableAopCalendar[[#This Row],[Day]]&lt;15,2,IF(TableAopCalendar[[#This Row],[Day]]&lt;22,3,IF(TableAopCalendar[[#This Row],[Day]]&lt;29,4,IF(TableAopCalendar[[#This Row],[Day]]&lt;32,5)))))</f>
        <v>2</v>
      </c>
      <c r="G1750" s="32" t="str">
        <f t="shared" si="97"/>
        <v>Week 2</v>
      </c>
      <c r="H1750" s="32" t="str">
        <f t="shared" si="98"/>
        <v>January 27 Week 2</v>
      </c>
      <c r="I1750" s="32" t="str">
        <f>CONCATENATE(UPPER(TableAopCalendar[[#This Row],[Month]])," ",TableAopCalendar[[#This Row],[Year]])</f>
        <v>JANUARY 27</v>
      </c>
      <c r="J1750" s="7" t="s">
        <v>274</v>
      </c>
      <c r="K1750" s="32" t="str">
        <f>CONCATENATE(TableAopCalendar[[#This Row],[Month for Plan]]," ",TableAopCalendar[[#This Row],[Plan]])</f>
        <v>JANUARY 27 PLANNED</v>
      </c>
    </row>
    <row r="1751" spans="1:11" x14ac:dyDescent="0.3">
      <c r="A1751" s="32">
        <f t="shared" si="96"/>
        <v>7</v>
      </c>
      <c r="B1751" s="33">
        <v>46401</v>
      </c>
      <c r="C1751" s="6" t="s">
        <v>271</v>
      </c>
      <c r="D1751" s="34">
        <v>27</v>
      </c>
      <c r="E1751" s="32">
        <f>DAY(TableAopCalendar[[#This Row],[Date]])</f>
        <v>14</v>
      </c>
      <c r="F1751" s="32">
        <f>IF(TableAopCalendar[[#This Row],[Day]]&lt;8,1,IF(TableAopCalendar[[#This Row],[Day]]&lt;15,2,IF(TableAopCalendar[[#This Row],[Day]]&lt;22,3,IF(TableAopCalendar[[#This Row],[Day]]&lt;29,4,IF(TableAopCalendar[[#This Row],[Day]]&lt;32,5)))))</f>
        <v>2</v>
      </c>
      <c r="G1751" s="32" t="str">
        <f t="shared" si="97"/>
        <v>Week 2</v>
      </c>
      <c r="H1751" s="32" t="str">
        <f t="shared" si="98"/>
        <v>January 27 Week 2</v>
      </c>
      <c r="I1751" s="32" t="str">
        <f>CONCATENATE(UPPER(TableAopCalendar[[#This Row],[Month]])," ",TableAopCalendar[[#This Row],[Year]])</f>
        <v>JANUARY 27</v>
      </c>
      <c r="J1751" s="7" t="s">
        <v>274</v>
      </c>
      <c r="K1751" s="32" t="str">
        <f>CONCATENATE(TableAopCalendar[[#This Row],[Month for Plan]]," ",TableAopCalendar[[#This Row],[Plan]])</f>
        <v>JANUARY 27 PLANNED</v>
      </c>
    </row>
    <row r="1752" spans="1:11" x14ac:dyDescent="0.3">
      <c r="A1752" s="32">
        <f t="shared" si="96"/>
        <v>1</v>
      </c>
      <c r="B1752" s="33">
        <v>46402</v>
      </c>
      <c r="C1752" s="6" t="s">
        <v>271</v>
      </c>
      <c r="D1752" s="34">
        <v>27</v>
      </c>
      <c r="E1752" s="32">
        <f>DAY(TableAopCalendar[[#This Row],[Date]])</f>
        <v>15</v>
      </c>
      <c r="F1752" s="32">
        <f>IF(TableAopCalendar[[#This Row],[Day]]&lt;8,1,IF(TableAopCalendar[[#This Row],[Day]]&lt;15,2,IF(TableAopCalendar[[#This Row],[Day]]&lt;22,3,IF(TableAopCalendar[[#This Row],[Day]]&lt;29,4,IF(TableAopCalendar[[#This Row],[Day]]&lt;32,5)))))</f>
        <v>3</v>
      </c>
      <c r="G1752" s="32" t="str">
        <f t="shared" si="97"/>
        <v>Week 3</v>
      </c>
      <c r="H1752" s="32" t="str">
        <f t="shared" si="98"/>
        <v>January 27 Week 3</v>
      </c>
      <c r="I1752" s="32" t="str">
        <f>CONCATENATE(UPPER(TableAopCalendar[[#This Row],[Month]])," ",TableAopCalendar[[#This Row],[Year]])</f>
        <v>JANUARY 27</v>
      </c>
      <c r="J1752" s="7" t="s">
        <v>274</v>
      </c>
      <c r="K1752" s="32" t="str">
        <f>CONCATENATE(TableAopCalendar[[#This Row],[Month for Plan]]," ",TableAopCalendar[[#This Row],[Plan]])</f>
        <v>JANUARY 27 PLANNED</v>
      </c>
    </row>
    <row r="1753" spans="1:11" x14ac:dyDescent="0.3">
      <c r="A1753" s="32">
        <f t="shared" si="96"/>
        <v>2</v>
      </c>
      <c r="B1753" s="33">
        <v>46403</v>
      </c>
      <c r="C1753" s="6" t="s">
        <v>271</v>
      </c>
      <c r="D1753" s="34">
        <v>27</v>
      </c>
      <c r="E1753" s="32">
        <f>DAY(TableAopCalendar[[#This Row],[Date]])</f>
        <v>16</v>
      </c>
      <c r="F1753" s="32">
        <f>IF(TableAopCalendar[[#This Row],[Day]]&lt;8,1,IF(TableAopCalendar[[#This Row],[Day]]&lt;15,2,IF(TableAopCalendar[[#This Row],[Day]]&lt;22,3,IF(TableAopCalendar[[#This Row],[Day]]&lt;29,4,IF(TableAopCalendar[[#This Row],[Day]]&lt;32,5)))))</f>
        <v>3</v>
      </c>
      <c r="G1753" s="32" t="str">
        <f t="shared" si="97"/>
        <v>Week 3</v>
      </c>
      <c r="H1753" s="32" t="str">
        <f t="shared" si="98"/>
        <v>January 27 Week 3</v>
      </c>
      <c r="I1753" s="32" t="str">
        <f>CONCATENATE(UPPER(TableAopCalendar[[#This Row],[Month]])," ",TableAopCalendar[[#This Row],[Year]])</f>
        <v>JANUARY 27</v>
      </c>
      <c r="J1753" s="7" t="s">
        <v>274</v>
      </c>
      <c r="K1753" s="32" t="str">
        <f>CONCATENATE(TableAopCalendar[[#This Row],[Month for Plan]]," ",TableAopCalendar[[#This Row],[Plan]])</f>
        <v>JANUARY 27 PLANNED</v>
      </c>
    </row>
    <row r="1754" spans="1:11" x14ac:dyDescent="0.3">
      <c r="A1754" s="32">
        <f t="shared" si="96"/>
        <v>3</v>
      </c>
      <c r="B1754" s="33">
        <v>46404</v>
      </c>
      <c r="C1754" s="6" t="s">
        <v>271</v>
      </c>
      <c r="D1754" s="34">
        <v>27</v>
      </c>
      <c r="E1754" s="32">
        <f>DAY(TableAopCalendar[[#This Row],[Date]])</f>
        <v>17</v>
      </c>
      <c r="F1754" s="32">
        <f>IF(TableAopCalendar[[#This Row],[Day]]&lt;8,1,IF(TableAopCalendar[[#This Row],[Day]]&lt;15,2,IF(TableAopCalendar[[#This Row],[Day]]&lt;22,3,IF(TableAopCalendar[[#This Row],[Day]]&lt;29,4,IF(TableAopCalendar[[#This Row],[Day]]&lt;32,5)))))</f>
        <v>3</v>
      </c>
      <c r="G1754" s="32" t="str">
        <f t="shared" si="97"/>
        <v>Week 3</v>
      </c>
      <c r="H1754" s="32" t="str">
        <f t="shared" si="98"/>
        <v>January 27 Week 3</v>
      </c>
      <c r="I1754" s="32" t="str">
        <f>CONCATENATE(UPPER(TableAopCalendar[[#This Row],[Month]])," ",TableAopCalendar[[#This Row],[Year]])</f>
        <v>JANUARY 27</v>
      </c>
      <c r="J1754" s="7" t="s">
        <v>274</v>
      </c>
      <c r="K1754" s="32" t="str">
        <f>CONCATENATE(TableAopCalendar[[#This Row],[Month for Plan]]," ",TableAopCalendar[[#This Row],[Plan]])</f>
        <v>JANUARY 27 PLANNED</v>
      </c>
    </row>
    <row r="1755" spans="1:11" x14ac:dyDescent="0.3">
      <c r="A1755" s="32">
        <f t="shared" si="96"/>
        <v>4</v>
      </c>
      <c r="B1755" s="33">
        <v>46405</v>
      </c>
      <c r="C1755" s="6" t="s">
        <v>271</v>
      </c>
      <c r="D1755" s="34">
        <v>27</v>
      </c>
      <c r="E1755" s="32">
        <f>DAY(TableAopCalendar[[#This Row],[Date]])</f>
        <v>18</v>
      </c>
      <c r="F1755" s="32">
        <f>IF(TableAopCalendar[[#This Row],[Day]]&lt;8,1,IF(TableAopCalendar[[#This Row],[Day]]&lt;15,2,IF(TableAopCalendar[[#This Row],[Day]]&lt;22,3,IF(TableAopCalendar[[#This Row],[Day]]&lt;29,4,IF(TableAopCalendar[[#This Row],[Day]]&lt;32,5)))))</f>
        <v>3</v>
      </c>
      <c r="G1755" s="32" t="str">
        <f t="shared" si="97"/>
        <v>Week 3</v>
      </c>
      <c r="H1755" s="32" t="str">
        <f t="shared" si="98"/>
        <v>January 27 Week 3</v>
      </c>
      <c r="I1755" s="32" t="str">
        <f>CONCATENATE(UPPER(TableAopCalendar[[#This Row],[Month]])," ",TableAopCalendar[[#This Row],[Year]])</f>
        <v>JANUARY 27</v>
      </c>
      <c r="J1755" s="7" t="s">
        <v>274</v>
      </c>
      <c r="K1755" s="32" t="str">
        <f>CONCATENATE(TableAopCalendar[[#This Row],[Month for Plan]]," ",TableAopCalendar[[#This Row],[Plan]])</f>
        <v>JANUARY 27 PLANNED</v>
      </c>
    </row>
    <row r="1756" spans="1:11" x14ac:dyDescent="0.3">
      <c r="A1756" s="32">
        <f t="shared" si="96"/>
        <v>5</v>
      </c>
      <c r="B1756" s="33">
        <v>46406</v>
      </c>
      <c r="C1756" s="6" t="s">
        <v>271</v>
      </c>
      <c r="D1756" s="34">
        <v>27</v>
      </c>
      <c r="E1756" s="32">
        <f>DAY(TableAopCalendar[[#This Row],[Date]])</f>
        <v>19</v>
      </c>
      <c r="F1756" s="32">
        <f>IF(TableAopCalendar[[#This Row],[Day]]&lt;8,1,IF(TableAopCalendar[[#This Row],[Day]]&lt;15,2,IF(TableAopCalendar[[#This Row],[Day]]&lt;22,3,IF(TableAopCalendar[[#This Row],[Day]]&lt;29,4,IF(TableAopCalendar[[#This Row],[Day]]&lt;32,5)))))</f>
        <v>3</v>
      </c>
      <c r="G1756" s="32" t="str">
        <f t="shared" si="97"/>
        <v>Week 3</v>
      </c>
      <c r="H1756" s="32" t="str">
        <f t="shared" si="98"/>
        <v>January 27 Week 3</v>
      </c>
      <c r="I1756" s="32" t="str">
        <f>CONCATENATE(UPPER(TableAopCalendar[[#This Row],[Month]])," ",TableAopCalendar[[#This Row],[Year]])</f>
        <v>JANUARY 27</v>
      </c>
      <c r="J1756" s="7" t="s">
        <v>274</v>
      </c>
      <c r="K1756" s="32" t="str">
        <f>CONCATENATE(TableAopCalendar[[#This Row],[Month for Plan]]," ",TableAopCalendar[[#This Row],[Plan]])</f>
        <v>JANUARY 27 PLANNED</v>
      </c>
    </row>
    <row r="1757" spans="1:11" x14ac:dyDescent="0.3">
      <c r="A1757" s="32">
        <f t="shared" si="96"/>
        <v>6</v>
      </c>
      <c r="B1757" s="33">
        <v>46407</v>
      </c>
      <c r="C1757" s="6" t="s">
        <v>271</v>
      </c>
      <c r="D1757" s="34">
        <v>27</v>
      </c>
      <c r="E1757" s="32">
        <f>DAY(TableAopCalendar[[#This Row],[Date]])</f>
        <v>20</v>
      </c>
      <c r="F1757" s="32">
        <f>IF(TableAopCalendar[[#This Row],[Day]]&lt;8,1,IF(TableAopCalendar[[#This Row],[Day]]&lt;15,2,IF(TableAopCalendar[[#This Row],[Day]]&lt;22,3,IF(TableAopCalendar[[#This Row],[Day]]&lt;29,4,IF(TableAopCalendar[[#This Row],[Day]]&lt;32,5)))))</f>
        <v>3</v>
      </c>
      <c r="G1757" s="32" t="str">
        <f t="shared" si="97"/>
        <v>Week 3</v>
      </c>
      <c r="H1757" s="32" t="str">
        <f t="shared" si="98"/>
        <v>January 27 Week 3</v>
      </c>
      <c r="I1757" s="32" t="str">
        <f>CONCATENATE(UPPER(TableAopCalendar[[#This Row],[Month]])," ",TableAopCalendar[[#This Row],[Year]])</f>
        <v>JANUARY 27</v>
      </c>
      <c r="J1757" s="7" t="s">
        <v>274</v>
      </c>
      <c r="K1757" s="32" t="str">
        <f>CONCATENATE(TableAopCalendar[[#This Row],[Month for Plan]]," ",TableAopCalendar[[#This Row],[Plan]])</f>
        <v>JANUARY 27 PLANNED</v>
      </c>
    </row>
    <row r="1758" spans="1:11" x14ac:dyDescent="0.3">
      <c r="A1758" s="32">
        <f t="shared" si="96"/>
        <v>7</v>
      </c>
      <c r="B1758" s="33">
        <v>46408</v>
      </c>
      <c r="C1758" s="6" t="s">
        <v>271</v>
      </c>
      <c r="D1758" s="34">
        <v>27</v>
      </c>
      <c r="E1758" s="32">
        <f>DAY(TableAopCalendar[[#This Row],[Date]])</f>
        <v>21</v>
      </c>
      <c r="F1758" s="32">
        <f>IF(TableAopCalendar[[#This Row],[Day]]&lt;8,1,IF(TableAopCalendar[[#This Row],[Day]]&lt;15,2,IF(TableAopCalendar[[#This Row],[Day]]&lt;22,3,IF(TableAopCalendar[[#This Row],[Day]]&lt;29,4,IF(TableAopCalendar[[#This Row],[Day]]&lt;32,5)))))</f>
        <v>3</v>
      </c>
      <c r="G1758" s="32" t="str">
        <f t="shared" si="97"/>
        <v>Week 3</v>
      </c>
      <c r="H1758" s="32" t="str">
        <f t="shared" si="98"/>
        <v>January 27 Week 3</v>
      </c>
      <c r="I1758" s="32" t="str">
        <f>CONCATENATE(UPPER(TableAopCalendar[[#This Row],[Month]])," ",TableAopCalendar[[#This Row],[Year]])</f>
        <v>JANUARY 27</v>
      </c>
      <c r="J1758" s="7" t="s">
        <v>274</v>
      </c>
      <c r="K1758" s="32" t="str">
        <f>CONCATENATE(TableAopCalendar[[#This Row],[Month for Plan]]," ",TableAopCalendar[[#This Row],[Plan]])</f>
        <v>JANUARY 27 PLANNED</v>
      </c>
    </row>
    <row r="1759" spans="1:11" x14ac:dyDescent="0.3">
      <c r="A1759" s="32">
        <f t="shared" si="96"/>
        <v>1</v>
      </c>
      <c r="B1759" s="33">
        <v>46409</v>
      </c>
      <c r="C1759" s="6" t="s">
        <v>271</v>
      </c>
      <c r="D1759" s="34">
        <v>27</v>
      </c>
      <c r="E1759" s="32">
        <f>DAY(TableAopCalendar[[#This Row],[Date]])</f>
        <v>22</v>
      </c>
      <c r="F1759" s="32">
        <f>IF(TableAopCalendar[[#This Row],[Day]]&lt;8,1,IF(TableAopCalendar[[#This Row],[Day]]&lt;15,2,IF(TableAopCalendar[[#This Row],[Day]]&lt;22,3,IF(TableAopCalendar[[#This Row],[Day]]&lt;29,4,IF(TableAopCalendar[[#This Row],[Day]]&lt;32,5)))))</f>
        <v>4</v>
      </c>
      <c r="G1759" s="32" t="str">
        <f t="shared" si="97"/>
        <v>Week 4</v>
      </c>
      <c r="H1759" s="32" t="str">
        <f t="shared" si="98"/>
        <v>January 27 Week 4</v>
      </c>
      <c r="I1759" s="32" t="str">
        <f>CONCATENATE(UPPER(TableAopCalendar[[#This Row],[Month]])," ",TableAopCalendar[[#This Row],[Year]])</f>
        <v>JANUARY 27</v>
      </c>
      <c r="J1759" s="7" t="s">
        <v>274</v>
      </c>
      <c r="K1759" s="32" t="str">
        <f>CONCATENATE(TableAopCalendar[[#This Row],[Month for Plan]]," ",TableAopCalendar[[#This Row],[Plan]])</f>
        <v>JANUARY 27 PLANNED</v>
      </c>
    </row>
    <row r="1760" spans="1:11" x14ac:dyDescent="0.3">
      <c r="A1760" s="32">
        <f t="shared" si="96"/>
        <v>2</v>
      </c>
      <c r="B1760" s="33">
        <v>46410</v>
      </c>
      <c r="C1760" s="6" t="s">
        <v>271</v>
      </c>
      <c r="D1760" s="34">
        <v>27</v>
      </c>
      <c r="E1760" s="32">
        <f>DAY(TableAopCalendar[[#This Row],[Date]])</f>
        <v>23</v>
      </c>
      <c r="F1760" s="32">
        <f>IF(TableAopCalendar[[#This Row],[Day]]&lt;8,1,IF(TableAopCalendar[[#This Row],[Day]]&lt;15,2,IF(TableAopCalendar[[#This Row],[Day]]&lt;22,3,IF(TableAopCalendar[[#This Row],[Day]]&lt;29,4,IF(TableAopCalendar[[#This Row],[Day]]&lt;32,5)))))</f>
        <v>4</v>
      </c>
      <c r="G1760" s="32" t="str">
        <f t="shared" si="97"/>
        <v>Week 4</v>
      </c>
      <c r="H1760" s="32" t="str">
        <f t="shared" si="98"/>
        <v>January 27 Week 4</v>
      </c>
      <c r="I1760" s="32" t="str">
        <f>CONCATENATE(UPPER(TableAopCalendar[[#This Row],[Month]])," ",TableAopCalendar[[#This Row],[Year]])</f>
        <v>JANUARY 27</v>
      </c>
      <c r="J1760" s="7" t="s">
        <v>274</v>
      </c>
      <c r="K1760" s="32" t="str">
        <f>CONCATENATE(TableAopCalendar[[#This Row],[Month for Plan]]," ",TableAopCalendar[[#This Row],[Plan]])</f>
        <v>JANUARY 27 PLANNED</v>
      </c>
    </row>
    <row r="1761" spans="1:11" x14ac:dyDescent="0.3">
      <c r="A1761" s="32">
        <f t="shared" si="96"/>
        <v>3</v>
      </c>
      <c r="B1761" s="33">
        <v>46411</v>
      </c>
      <c r="C1761" s="6" t="s">
        <v>271</v>
      </c>
      <c r="D1761" s="34">
        <v>27</v>
      </c>
      <c r="E1761" s="32">
        <f>DAY(TableAopCalendar[[#This Row],[Date]])</f>
        <v>24</v>
      </c>
      <c r="F1761" s="32">
        <f>IF(TableAopCalendar[[#This Row],[Day]]&lt;8,1,IF(TableAopCalendar[[#This Row],[Day]]&lt;15,2,IF(TableAopCalendar[[#This Row],[Day]]&lt;22,3,IF(TableAopCalendar[[#This Row],[Day]]&lt;29,4,IF(TableAopCalendar[[#This Row],[Day]]&lt;32,5)))))</f>
        <v>4</v>
      </c>
      <c r="G1761" s="32" t="str">
        <f t="shared" si="97"/>
        <v>Week 4</v>
      </c>
      <c r="H1761" s="32" t="str">
        <f t="shared" si="98"/>
        <v>January 27 Week 4</v>
      </c>
      <c r="I1761" s="32" t="str">
        <f>CONCATENATE(UPPER(TableAopCalendar[[#This Row],[Month]])," ",TableAopCalendar[[#This Row],[Year]])</f>
        <v>JANUARY 27</v>
      </c>
      <c r="J1761" s="7" t="s">
        <v>274</v>
      </c>
      <c r="K1761" s="32" t="str">
        <f>CONCATENATE(TableAopCalendar[[#This Row],[Month for Plan]]," ",TableAopCalendar[[#This Row],[Plan]])</f>
        <v>JANUARY 27 PLANNED</v>
      </c>
    </row>
    <row r="1762" spans="1:11" x14ac:dyDescent="0.3">
      <c r="A1762" s="32">
        <f t="shared" si="96"/>
        <v>4</v>
      </c>
      <c r="B1762" s="33">
        <v>46412</v>
      </c>
      <c r="C1762" s="6" t="s">
        <v>271</v>
      </c>
      <c r="D1762" s="34">
        <v>27</v>
      </c>
      <c r="E1762" s="32">
        <f>DAY(TableAopCalendar[[#This Row],[Date]])</f>
        <v>25</v>
      </c>
      <c r="F1762" s="32">
        <f>IF(TableAopCalendar[[#This Row],[Day]]&lt;8,1,IF(TableAopCalendar[[#This Row],[Day]]&lt;15,2,IF(TableAopCalendar[[#This Row],[Day]]&lt;22,3,IF(TableAopCalendar[[#This Row],[Day]]&lt;29,4,IF(TableAopCalendar[[#This Row],[Day]]&lt;32,5)))))</f>
        <v>4</v>
      </c>
      <c r="G1762" s="32" t="str">
        <f t="shared" si="97"/>
        <v>Week 4</v>
      </c>
      <c r="H1762" s="32" t="str">
        <f t="shared" si="98"/>
        <v>January 27 Week 4</v>
      </c>
      <c r="I1762" s="32" t="str">
        <f>CONCATENATE(UPPER(TableAopCalendar[[#This Row],[Month]])," ",TableAopCalendar[[#This Row],[Year]])</f>
        <v>JANUARY 27</v>
      </c>
      <c r="J1762" s="7" t="s">
        <v>274</v>
      </c>
      <c r="K1762" s="32" t="str">
        <f>CONCATENATE(TableAopCalendar[[#This Row],[Month for Plan]]," ",TableAopCalendar[[#This Row],[Plan]])</f>
        <v>JANUARY 27 PLANNED</v>
      </c>
    </row>
    <row r="1763" spans="1:11" x14ac:dyDescent="0.3">
      <c r="A1763" s="32">
        <f t="shared" si="96"/>
        <v>5</v>
      </c>
      <c r="B1763" s="33">
        <v>46413</v>
      </c>
      <c r="C1763" s="6" t="s">
        <v>271</v>
      </c>
      <c r="D1763" s="34">
        <v>27</v>
      </c>
      <c r="E1763" s="32">
        <f>DAY(TableAopCalendar[[#This Row],[Date]])</f>
        <v>26</v>
      </c>
      <c r="F1763" s="32">
        <f>IF(TableAopCalendar[[#This Row],[Day]]&lt;8,1,IF(TableAopCalendar[[#This Row],[Day]]&lt;15,2,IF(TableAopCalendar[[#This Row],[Day]]&lt;22,3,IF(TableAopCalendar[[#This Row],[Day]]&lt;29,4,IF(TableAopCalendar[[#This Row],[Day]]&lt;32,5)))))</f>
        <v>4</v>
      </c>
      <c r="G1763" s="32" t="str">
        <f t="shared" si="97"/>
        <v>Week 4</v>
      </c>
      <c r="H1763" s="32" t="str">
        <f t="shared" si="98"/>
        <v>January 27 Week 4</v>
      </c>
      <c r="I1763" s="32" t="str">
        <f>CONCATENATE(UPPER(TableAopCalendar[[#This Row],[Month]])," ",TableAopCalendar[[#This Row],[Year]])</f>
        <v>JANUARY 27</v>
      </c>
      <c r="J1763" s="7" t="s">
        <v>274</v>
      </c>
      <c r="K1763" s="32" t="str">
        <f>CONCATENATE(TableAopCalendar[[#This Row],[Month for Plan]]," ",TableAopCalendar[[#This Row],[Plan]])</f>
        <v>JANUARY 27 PLANNED</v>
      </c>
    </row>
    <row r="1764" spans="1:11" x14ac:dyDescent="0.3">
      <c r="A1764" s="32">
        <f t="shared" si="96"/>
        <v>6</v>
      </c>
      <c r="B1764" s="33">
        <v>46414</v>
      </c>
      <c r="C1764" s="6" t="s">
        <v>271</v>
      </c>
      <c r="D1764" s="34">
        <v>27</v>
      </c>
      <c r="E1764" s="32">
        <f>DAY(TableAopCalendar[[#This Row],[Date]])</f>
        <v>27</v>
      </c>
      <c r="F1764" s="32">
        <f>IF(TableAopCalendar[[#This Row],[Day]]&lt;8,1,IF(TableAopCalendar[[#This Row],[Day]]&lt;15,2,IF(TableAopCalendar[[#This Row],[Day]]&lt;22,3,IF(TableAopCalendar[[#This Row],[Day]]&lt;29,4,IF(TableAopCalendar[[#This Row],[Day]]&lt;32,5)))))</f>
        <v>4</v>
      </c>
      <c r="G1764" s="32" t="str">
        <f t="shared" si="97"/>
        <v>Week 4</v>
      </c>
      <c r="H1764" s="32" t="str">
        <f t="shared" si="98"/>
        <v>January 27 Week 4</v>
      </c>
      <c r="I1764" s="32" t="str">
        <f>CONCATENATE(UPPER(TableAopCalendar[[#This Row],[Month]])," ",TableAopCalendar[[#This Row],[Year]])</f>
        <v>JANUARY 27</v>
      </c>
      <c r="J1764" s="7" t="s">
        <v>274</v>
      </c>
      <c r="K1764" s="32" t="str">
        <f>CONCATENATE(TableAopCalendar[[#This Row],[Month for Plan]]," ",TableAopCalendar[[#This Row],[Plan]])</f>
        <v>JANUARY 27 PLANNED</v>
      </c>
    </row>
    <row r="1765" spans="1:11" x14ac:dyDescent="0.3">
      <c r="A1765" s="32">
        <f t="shared" si="96"/>
        <v>7</v>
      </c>
      <c r="B1765" s="33">
        <v>46415</v>
      </c>
      <c r="C1765" s="6" t="s">
        <v>271</v>
      </c>
      <c r="D1765" s="34">
        <v>27</v>
      </c>
      <c r="E1765" s="32">
        <f>DAY(TableAopCalendar[[#This Row],[Date]])</f>
        <v>28</v>
      </c>
      <c r="F1765" s="32">
        <f>IF(TableAopCalendar[[#This Row],[Day]]&lt;8,1,IF(TableAopCalendar[[#This Row],[Day]]&lt;15,2,IF(TableAopCalendar[[#This Row],[Day]]&lt;22,3,IF(TableAopCalendar[[#This Row],[Day]]&lt;29,4,IF(TableAopCalendar[[#This Row],[Day]]&lt;32,5)))))</f>
        <v>4</v>
      </c>
      <c r="G1765" s="32" t="str">
        <f t="shared" si="97"/>
        <v>Week 4</v>
      </c>
      <c r="H1765" s="32" t="str">
        <f t="shared" si="98"/>
        <v>January 27 Week 4</v>
      </c>
      <c r="I1765" s="32" t="str">
        <f>CONCATENATE(UPPER(TableAopCalendar[[#This Row],[Month]])," ",TableAopCalendar[[#This Row],[Year]])</f>
        <v>JANUARY 27</v>
      </c>
      <c r="J1765" s="7" t="s">
        <v>274</v>
      </c>
      <c r="K1765" s="32" t="str">
        <f>CONCATENATE(TableAopCalendar[[#This Row],[Month for Plan]]," ",TableAopCalendar[[#This Row],[Plan]])</f>
        <v>JANUARY 27 PLANNED</v>
      </c>
    </row>
    <row r="1766" spans="1:11" x14ac:dyDescent="0.3">
      <c r="A1766" s="32">
        <f t="shared" si="96"/>
        <v>1</v>
      </c>
      <c r="B1766" s="33">
        <v>46416</v>
      </c>
      <c r="C1766" s="6" t="s">
        <v>271</v>
      </c>
      <c r="D1766" s="34">
        <v>27</v>
      </c>
      <c r="E1766" s="32">
        <f>DAY(TableAopCalendar[[#This Row],[Date]])</f>
        <v>29</v>
      </c>
      <c r="F1766" s="32">
        <f>IF(TableAopCalendar[[#This Row],[Day]]&lt;8,1,IF(TableAopCalendar[[#This Row],[Day]]&lt;15,2,IF(TableAopCalendar[[#This Row],[Day]]&lt;22,3,IF(TableAopCalendar[[#This Row],[Day]]&lt;29,4,IF(TableAopCalendar[[#This Row],[Day]]&lt;32,5)))))</f>
        <v>5</v>
      </c>
      <c r="G1766" s="32" t="str">
        <f t="shared" si="97"/>
        <v>Week 5</v>
      </c>
      <c r="H1766" s="32" t="str">
        <f t="shared" si="98"/>
        <v>January 27 Week 5</v>
      </c>
      <c r="I1766" s="32" t="str">
        <f>CONCATENATE(UPPER(TableAopCalendar[[#This Row],[Month]])," ",TableAopCalendar[[#This Row],[Year]])</f>
        <v>JANUARY 27</v>
      </c>
      <c r="J1766" s="7" t="s">
        <v>274</v>
      </c>
      <c r="K1766" s="32" t="str">
        <f>CONCATENATE(TableAopCalendar[[#This Row],[Month for Plan]]," ",TableAopCalendar[[#This Row],[Plan]])</f>
        <v>JANUARY 27 PLANNED</v>
      </c>
    </row>
    <row r="1767" spans="1:11" x14ac:dyDescent="0.3">
      <c r="A1767" s="32">
        <f t="shared" si="96"/>
        <v>2</v>
      </c>
      <c r="B1767" s="33">
        <v>46417</v>
      </c>
      <c r="C1767" s="6" t="s">
        <v>271</v>
      </c>
      <c r="D1767" s="34">
        <v>27</v>
      </c>
      <c r="E1767" s="32">
        <f>DAY(TableAopCalendar[[#This Row],[Date]])</f>
        <v>30</v>
      </c>
      <c r="F1767" s="32">
        <f>IF(TableAopCalendar[[#This Row],[Day]]&lt;8,1,IF(TableAopCalendar[[#This Row],[Day]]&lt;15,2,IF(TableAopCalendar[[#This Row],[Day]]&lt;22,3,IF(TableAopCalendar[[#This Row],[Day]]&lt;29,4,IF(TableAopCalendar[[#This Row],[Day]]&lt;32,5)))))</f>
        <v>5</v>
      </c>
      <c r="G1767" s="32" t="str">
        <f t="shared" si="97"/>
        <v>Week 5</v>
      </c>
      <c r="H1767" s="32" t="str">
        <f t="shared" si="98"/>
        <v>January 27 Week 5</v>
      </c>
      <c r="I1767" s="32" t="str">
        <f>CONCATENATE(UPPER(TableAopCalendar[[#This Row],[Month]])," ",TableAopCalendar[[#This Row],[Year]])</f>
        <v>JANUARY 27</v>
      </c>
      <c r="J1767" s="7" t="s">
        <v>274</v>
      </c>
      <c r="K1767" s="32" t="str">
        <f>CONCATENATE(TableAopCalendar[[#This Row],[Month for Plan]]," ",TableAopCalendar[[#This Row],[Plan]])</f>
        <v>JANUARY 27 PLANNED</v>
      </c>
    </row>
    <row r="1768" spans="1:11" x14ac:dyDescent="0.3">
      <c r="A1768" s="32">
        <f t="shared" si="96"/>
        <v>3</v>
      </c>
      <c r="B1768" s="33">
        <v>46418</v>
      </c>
      <c r="C1768" s="6" t="s">
        <v>271</v>
      </c>
      <c r="D1768" s="34">
        <v>27</v>
      </c>
      <c r="E1768" s="32">
        <f>DAY(TableAopCalendar[[#This Row],[Date]])</f>
        <v>31</v>
      </c>
      <c r="F1768" s="32">
        <f>IF(TableAopCalendar[[#This Row],[Day]]&lt;8,1,IF(TableAopCalendar[[#This Row],[Day]]&lt;15,2,IF(TableAopCalendar[[#This Row],[Day]]&lt;22,3,IF(TableAopCalendar[[#This Row],[Day]]&lt;29,4,IF(TableAopCalendar[[#This Row],[Day]]&lt;32,5)))))</f>
        <v>5</v>
      </c>
      <c r="G1768" s="32" t="str">
        <f t="shared" si="97"/>
        <v>Week 5</v>
      </c>
      <c r="H1768" s="32" t="str">
        <f t="shared" si="98"/>
        <v>January 27 Week 5</v>
      </c>
      <c r="I1768" s="32" t="str">
        <f>CONCATENATE(UPPER(TableAopCalendar[[#This Row],[Month]])," ",TableAopCalendar[[#This Row],[Year]])</f>
        <v>JANUARY 27</v>
      </c>
      <c r="J1768" s="7" t="s">
        <v>274</v>
      </c>
      <c r="K1768" s="32" t="str">
        <f>CONCATENATE(TableAopCalendar[[#This Row],[Month for Plan]]," ",TableAopCalendar[[#This Row],[Plan]])</f>
        <v>JANUARY 27 PLANNED</v>
      </c>
    </row>
    <row r="1769" spans="1:11" x14ac:dyDescent="0.3">
      <c r="A1769" s="32">
        <f t="shared" si="96"/>
        <v>1</v>
      </c>
      <c r="B1769" s="33">
        <v>46419</v>
      </c>
      <c r="C1769" s="6" t="s">
        <v>272</v>
      </c>
      <c r="D1769" s="34">
        <v>27</v>
      </c>
      <c r="E1769" s="32">
        <f>DAY(TableAopCalendar[[#This Row],[Date]])</f>
        <v>1</v>
      </c>
      <c r="F1769" s="32">
        <f>IF(TableAopCalendar[[#This Row],[Day]]&lt;8,1,IF(TableAopCalendar[[#This Row],[Day]]&lt;15,2,IF(TableAopCalendar[[#This Row],[Day]]&lt;22,3,IF(TableAopCalendar[[#This Row],[Day]]&lt;29,4,IF(TableAopCalendar[[#This Row],[Day]]&lt;32,5)))))</f>
        <v>1</v>
      </c>
      <c r="G1769" s="32" t="str">
        <f t="shared" si="97"/>
        <v>Week 1</v>
      </c>
      <c r="H1769" s="32" t="str">
        <f t="shared" si="98"/>
        <v>February 27 Week 1</v>
      </c>
      <c r="I1769" s="32" t="str">
        <f>CONCATENATE(UPPER(TableAopCalendar[[#This Row],[Month]])," ",TableAopCalendar[[#This Row],[Year]])</f>
        <v>FEBRUARY 27</v>
      </c>
      <c r="J1769" s="7" t="s">
        <v>274</v>
      </c>
      <c r="K1769" s="32" t="str">
        <f>CONCATENATE(TableAopCalendar[[#This Row],[Month for Plan]]," ",TableAopCalendar[[#This Row],[Plan]])</f>
        <v>FEBRUARY 27 PLANNED</v>
      </c>
    </row>
    <row r="1770" spans="1:11" x14ac:dyDescent="0.3">
      <c r="A1770" s="32">
        <f t="shared" si="96"/>
        <v>2</v>
      </c>
      <c r="B1770" s="33">
        <v>46420</v>
      </c>
      <c r="C1770" s="6" t="s">
        <v>272</v>
      </c>
      <c r="D1770" s="34">
        <v>27</v>
      </c>
      <c r="E1770" s="32">
        <f>DAY(TableAopCalendar[[#This Row],[Date]])</f>
        <v>2</v>
      </c>
      <c r="F1770" s="32">
        <f>IF(TableAopCalendar[[#This Row],[Day]]&lt;8,1,IF(TableAopCalendar[[#This Row],[Day]]&lt;15,2,IF(TableAopCalendar[[#This Row],[Day]]&lt;22,3,IF(TableAopCalendar[[#This Row],[Day]]&lt;29,4,IF(TableAopCalendar[[#This Row],[Day]]&lt;32,5)))))</f>
        <v>1</v>
      </c>
      <c r="G1770" s="32" t="str">
        <f t="shared" si="97"/>
        <v>Week 1</v>
      </c>
      <c r="H1770" s="32" t="str">
        <f t="shared" si="98"/>
        <v>February 27 Week 1</v>
      </c>
      <c r="I1770" s="32" t="str">
        <f>CONCATENATE(UPPER(TableAopCalendar[[#This Row],[Month]])," ",TableAopCalendar[[#This Row],[Year]])</f>
        <v>FEBRUARY 27</v>
      </c>
      <c r="J1770" s="7" t="s">
        <v>274</v>
      </c>
      <c r="K1770" s="32" t="str">
        <f>CONCATENATE(TableAopCalendar[[#This Row],[Month for Plan]]," ",TableAopCalendar[[#This Row],[Plan]])</f>
        <v>FEBRUARY 27 PLANNED</v>
      </c>
    </row>
    <row r="1771" spans="1:11" x14ac:dyDescent="0.3">
      <c r="A1771" s="32">
        <f t="shared" si="96"/>
        <v>3</v>
      </c>
      <c r="B1771" s="33">
        <v>46421</v>
      </c>
      <c r="C1771" s="6" t="s">
        <v>272</v>
      </c>
      <c r="D1771" s="34">
        <v>27</v>
      </c>
      <c r="E1771" s="32">
        <f>DAY(TableAopCalendar[[#This Row],[Date]])</f>
        <v>3</v>
      </c>
      <c r="F1771" s="32">
        <f>IF(TableAopCalendar[[#This Row],[Day]]&lt;8,1,IF(TableAopCalendar[[#This Row],[Day]]&lt;15,2,IF(TableAopCalendar[[#This Row],[Day]]&lt;22,3,IF(TableAopCalendar[[#This Row],[Day]]&lt;29,4,IF(TableAopCalendar[[#This Row],[Day]]&lt;32,5)))))</f>
        <v>1</v>
      </c>
      <c r="G1771" s="32" t="str">
        <f t="shared" si="97"/>
        <v>Week 1</v>
      </c>
      <c r="H1771" s="32" t="str">
        <f t="shared" si="98"/>
        <v>February 27 Week 1</v>
      </c>
      <c r="I1771" s="32" t="str">
        <f>CONCATENATE(UPPER(TableAopCalendar[[#This Row],[Month]])," ",TableAopCalendar[[#This Row],[Year]])</f>
        <v>FEBRUARY 27</v>
      </c>
      <c r="J1771" s="7" t="s">
        <v>274</v>
      </c>
      <c r="K1771" s="32" t="str">
        <f>CONCATENATE(TableAopCalendar[[#This Row],[Month for Plan]]," ",TableAopCalendar[[#This Row],[Plan]])</f>
        <v>FEBRUARY 27 PLANNED</v>
      </c>
    </row>
    <row r="1772" spans="1:11" x14ac:dyDescent="0.3">
      <c r="A1772" s="32">
        <f t="shared" si="96"/>
        <v>4</v>
      </c>
      <c r="B1772" s="33">
        <v>46422</v>
      </c>
      <c r="C1772" s="6" t="s">
        <v>272</v>
      </c>
      <c r="D1772" s="34">
        <v>27</v>
      </c>
      <c r="E1772" s="32">
        <f>DAY(TableAopCalendar[[#This Row],[Date]])</f>
        <v>4</v>
      </c>
      <c r="F1772" s="32">
        <f>IF(TableAopCalendar[[#This Row],[Day]]&lt;8,1,IF(TableAopCalendar[[#This Row],[Day]]&lt;15,2,IF(TableAopCalendar[[#This Row],[Day]]&lt;22,3,IF(TableAopCalendar[[#This Row],[Day]]&lt;29,4,IF(TableAopCalendar[[#This Row],[Day]]&lt;32,5)))))</f>
        <v>1</v>
      </c>
      <c r="G1772" s="32" t="str">
        <f t="shared" si="97"/>
        <v>Week 1</v>
      </c>
      <c r="H1772" s="32" t="str">
        <f t="shared" si="98"/>
        <v>February 27 Week 1</v>
      </c>
      <c r="I1772" s="32" t="str">
        <f>CONCATENATE(UPPER(TableAopCalendar[[#This Row],[Month]])," ",TableAopCalendar[[#This Row],[Year]])</f>
        <v>FEBRUARY 27</v>
      </c>
      <c r="J1772" s="7" t="s">
        <v>274</v>
      </c>
      <c r="K1772" s="32" t="str">
        <f>CONCATENATE(TableAopCalendar[[#This Row],[Month for Plan]]," ",TableAopCalendar[[#This Row],[Plan]])</f>
        <v>FEBRUARY 27 PLANNED</v>
      </c>
    </row>
    <row r="1773" spans="1:11" x14ac:dyDescent="0.3">
      <c r="A1773" s="32">
        <f t="shared" si="96"/>
        <v>5</v>
      </c>
      <c r="B1773" s="33">
        <v>46423</v>
      </c>
      <c r="C1773" s="6" t="s">
        <v>272</v>
      </c>
      <c r="D1773" s="34">
        <v>27</v>
      </c>
      <c r="E1773" s="32">
        <f>DAY(TableAopCalendar[[#This Row],[Date]])</f>
        <v>5</v>
      </c>
      <c r="F1773" s="32">
        <f>IF(TableAopCalendar[[#This Row],[Day]]&lt;8,1,IF(TableAopCalendar[[#This Row],[Day]]&lt;15,2,IF(TableAopCalendar[[#This Row],[Day]]&lt;22,3,IF(TableAopCalendar[[#This Row],[Day]]&lt;29,4,IF(TableAopCalendar[[#This Row],[Day]]&lt;32,5)))))</f>
        <v>1</v>
      </c>
      <c r="G1773" s="32" t="str">
        <f t="shared" si="97"/>
        <v>Week 1</v>
      </c>
      <c r="H1773" s="32" t="str">
        <f t="shared" si="98"/>
        <v>February 27 Week 1</v>
      </c>
      <c r="I1773" s="32" t="str">
        <f>CONCATENATE(UPPER(TableAopCalendar[[#This Row],[Month]])," ",TableAopCalendar[[#This Row],[Year]])</f>
        <v>FEBRUARY 27</v>
      </c>
      <c r="J1773" s="7" t="s">
        <v>274</v>
      </c>
      <c r="K1773" s="32" t="str">
        <f>CONCATENATE(TableAopCalendar[[#This Row],[Month for Plan]]," ",TableAopCalendar[[#This Row],[Plan]])</f>
        <v>FEBRUARY 27 PLANNED</v>
      </c>
    </row>
    <row r="1774" spans="1:11" x14ac:dyDescent="0.3">
      <c r="A1774" s="32">
        <f t="shared" si="96"/>
        <v>6</v>
      </c>
      <c r="B1774" s="33">
        <v>46424</v>
      </c>
      <c r="C1774" s="6" t="s">
        <v>272</v>
      </c>
      <c r="D1774" s="34">
        <v>27</v>
      </c>
      <c r="E1774" s="32">
        <f>DAY(TableAopCalendar[[#This Row],[Date]])</f>
        <v>6</v>
      </c>
      <c r="F1774" s="32">
        <f>IF(TableAopCalendar[[#This Row],[Day]]&lt;8,1,IF(TableAopCalendar[[#This Row],[Day]]&lt;15,2,IF(TableAopCalendar[[#This Row],[Day]]&lt;22,3,IF(TableAopCalendar[[#This Row],[Day]]&lt;29,4,IF(TableAopCalendar[[#This Row],[Day]]&lt;32,5)))))</f>
        <v>1</v>
      </c>
      <c r="G1774" s="32" t="str">
        <f t="shared" si="97"/>
        <v>Week 1</v>
      </c>
      <c r="H1774" s="32" t="str">
        <f t="shared" si="98"/>
        <v>February 27 Week 1</v>
      </c>
      <c r="I1774" s="32" t="str">
        <f>CONCATENATE(UPPER(TableAopCalendar[[#This Row],[Month]])," ",TableAopCalendar[[#This Row],[Year]])</f>
        <v>FEBRUARY 27</v>
      </c>
      <c r="J1774" s="7" t="s">
        <v>274</v>
      </c>
      <c r="K1774" s="32" t="str">
        <f>CONCATENATE(TableAopCalendar[[#This Row],[Month for Plan]]," ",TableAopCalendar[[#This Row],[Plan]])</f>
        <v>FEBRUARY 27 PLANNED</v>
      </c>
    </row>
    <row r="1775" spans="1:11" x14ac:dyDescent="0.3">
      <c r="A1775" s="32">
        <f t="shared" si="96"/>
        <v>7</v>
      </c>
      <c r="B1775" s="33">
        <v>46425</v>
      </c>
      <c r="C1775" s="6" t="s">
        <v>272</v>
      </c>
      <c r="D1775" s="34">
        <v>27</v>
      </c>
      <c r="E1775" s="32">
        <f>DAY(TableAopCalendar[[#This Row],[Date]])</f>
        <v>7</v>
      </c>
      <c r="F1775" s="32">
        <f>IF(TableAopCalendar[[#This Row],[Day]]&lt;8,1,IF(TableAopCalendar[[#This Row],[Day]]&lt;15,2,IF(TableAopCalendar[[#This Row],[Day]]&lt;22,3,IF(TableAopCalendar[[#This Row],[Day]]&lt;29,4,IF(TableAopCalendar[[#This Row],[Day]]&lt;32,5)))))</f>
        <v>1</v>
      </c>
      <c r="G1775" s="32" t="str">
        <f t="shared" si="97"/>
        <v>Week 1</v>
      </c>
      <c r="H1775" s="32" t="str">
        <f t="shared" si="98"/>
        <v>February 27 Week 1</v>
      </c>
      <c r="I1775" s="32" t="str">
        <f>CONCATENATE(UPPER(TableAopCalendar[[#This Row],[Month]])," ",TableAopCalendar[[#This Row],[Year]])</f>
        <v>FEBRUARY 27</v>
      </c>
      <c r="J1775" s="7" t="s">
        <v>274</v>
      </c>
      <c r="K1775" s="32" t="str">
        <f>CONCATENATE(TableAopCalendar[[#This Row],[Month for Plan]]," ",TableAopCalendar[[#This Row],[Plan]])</f>
        <v>FEBRUARY 27 PLANNED</v>
      </c>
    </row>
    <row r="1776" spans="1:11" x14ac:dyDescent="0.3">
      <c r="A1776" s="32">
        <f t="shared" si="96"/>
        <v>1</v>
      </c>
      <c r="B1776" s="33">
        <v>46426</v>
      </c>
      <c r="C1776" s="6" t="s">
        <v>272</v>
      </c>
      <c r="D1776" s="34">
        <v>27</v>
      </c>
      <c r="E1776" s="32">
        <f>DAY(TableAopCalendar[[#This Row],[Date]])</f>
        <v>8</v>
      </c>
      <c r="F1776" s="32">
        <f>IF(TableAopCalendar[[#This Row],[Day]]&lt;8,1,IF(TableAopCalendar[[#This Row],[Day]]&lt;15,2,IF(TableAopCalendar[[#This Row],[Day]]&lt;22,3,IF(TableAopCalendar[[#This Row],[Day]]&lt;29,4,IF(TableAopCalendar[[#This Row],[Day]]&lt;32,5)))))</f>
        <v>2</v>
      </c>
      <c r="G1776" s="32" t="str">
        <f t="shared" si="97"/>
        <v>Week 2</v>
      </c>
      <c r="H1776" s="32" t="str">
        <f t="shared" si="98"/>
        <v>February 27 Week 2</v>
      </c>
      <c r="I1776" s="32" t="str">
        <f>CONCATENATE(UPPER(TableAopCalendar[[#This Row],[Month]])," ",TableAopCalendar[[#This Row],[Year]])</f>
        <v>FEBRUARY 27</v>
      </c>
      <c r="J1776" s="7" t="s">
        <v>274</v>
      </c>
      <c r="K1776" s="32" t="str">
        <f>CONCATENATE(TableAopCalendar[[#This Row],[Month for Plan]]," ",TableAopCalendar[[#This Row],[Plan]])</f>
        <v>FEBRUARY 27 PLANNED</v>
      </c>
    </row>
    <row r="1777" spans="1:11" x14ac:dyDescent="0.3">
      <c r="A1777" s="32">
        <f t="shared" si="96"/>
        <v>2</v>
      </c>
      <c r="B1777" s="33">
        <v>46427</v>
      </c>
      <c r="C1777" s="6" t="s">
        <v>272</v>
      </c>
      <c r="D1777" s="34">
        <v>27</v>
      </c>
      <c r="E1777" s="32">
        <f>DAY(TableAopCalendar[[#This Row],[Date]])</f>
        <v>9</v>
      </c>
      <c r="F1777" s="32">
        <f>IF(TableAopCalendar[[#This Row],[Day]]&lt;8,1,IF(TableAopCalendar[[#This Row],[Day]]&lt;15,2,IF(TableAopCalendar[[#This Row],[Day]]&lt;22,3,IF(TableAopCalendar[[#This Row],[Day]]&lt;29,4,IF(TableAopCalendar[[#This Row],[Day]]&lt;32,5)))))</f>
        <v>2</v>
      </c>
      <c r="G1777" s="32" t="str">
        <f t="shared" si="97"/>
        <v>Week 2</v>
      </c>
      <c r="H1777" s="32" t="str">
        <f t="shared" si="98"/>
        <v>February 27 Week 2</v>
      </c>
      <c r="I1777" s="32" t="str">
        <f>CONCATENATE(UPPER(TableAopCalendar[[#This Row],[Month]])," ",TableAopCalendar[[#This Row],[Year]])</f>
        <v>FEBRUARY 27</v>
      </c>
      <c r="J1777" s="7" t="s">
        <v>274</v>
      </c>
      <c r="K1777" s="32" t="str">
        <f>CONCATENATE(TableAopCalendar[[#This Row],[Month for Plan]]," ",TableAopCalendar[[#This Row],[Plan]])</f>
        <v>FEBRUARY 27 PLANNED</v>
      </c>
    </row>
    <row r="1778" spans="1:11" x14ac:dyDescent="0.3">
      <c r="A1778" s="32">
        <f t="shared" si="96"/>
        <v>3</v>
      </c>
      <c r="B1778" s="33">
        <v>46428</v>
      </c>
      <c r="C1778" s="6" t="s">
        <v>272</v>
      </c>
      <c r="D1778" s="34">
        <v>27</v>
      </c>
      <c r="E1778" s="32">
        <f>DAY(TableAopCalendar[[#This Row],[Date]])</f>
        <v>10</v>
      </c>
      <c r="F1778" s="32">
        <f>IF(TableAopCalendar[[#This Row],[Day]]&lt;8,1,IF(TableAopCalendar[[#This Row],[Day]]&lt;15,2,IF(TableAopCalendar[[#This Row],[Day]]&lt;22,3,IF(TableAopCalendar[[#This Row],[Day]]&lt;29,4,IF(TableAopCalendar[[#This Row],[Day]]&lt;32,5)))))</f>
        <v>2</v>
      </c>
      <c r="G1778" s="32" t="str">
        <f t="shared" si="97"/>
        <v>Week 2</v>
      </c>
      <c r="H1778" s="32" t="str">
        <f t="shared" si="98"/>
        <v>February 27 Week 2</v>
      </c>
      <c r="I1778" s="32" t="str">
        <f>CONCATENATE(UPPER(TableAopCalendar[[#This Row],[Month]])," ",TableAopCalendar[[#This Row],[Year]])</f>
        <v>FEBRUARY 27</v>
      </c>
      <c r="J1778" s="7" t="s">
        <v>274</v>
      </c>
      <c r="K1778" s="32" t="str">
        <f>CONCATENATE(TableAopCalendar[[#This Row],[Month for Plan]]," ",TableAopCalendar[[#This Row],[Plan]])</f>
        <v>FEBRUARY 27 PLANNED</v>
      </c>
    </row>
    <row r="1779" spans="1:11" x14ac:dyDescent="0.3">
      <c r="A1779" s="32">
        <f t="shared" si="96"/>
        <v>4</v>
      </c>
      <c r="B1779" s="33">
        <v>46429</v>
      </c>
      <c r="C1779" s="6" t="s">
        <v>272</v>
      </c>
      <c r="D1779" s="34">
        <v>27</v>
      </c>
      <c r="E1779" s="32">
        <f>DAY(TableAopCalendar[[#This Row],[Date]])</f>
        <v>11</v>
      </c>
      <c r="F1779" s="32">
        <f>IF(TableAopCalendar[[#This Row],[Day]]&lt;8,1,IF(TableAopCalendar[[#This Row],[Day]]&lt;15,2,IF(TableAopCalendar[[#This Row],[Day]]&lt;22,3,IF(TableAopCalendar[[#This Row],[Day]]&lt;29,4,IF(TableAopCalendar[[#This Row],[Day]]&lt;32,5)))))</f>
        <v>2</v>
      </c>
      <c r="G1779" s="32" t="str">
        <f t="shared" si="97"/>
        <v>Week 2</v>
      </c>
      <c r="H1779" s="32" t="str">
        <f t="shared" si="98"/>
        <v>February 27 Week 2</v>
      </c>
      <c r="I1779" s="32" t="str">
        <f>CONCATENATE(UPPER(TableAopCalendar[[#This Row],[Month]])," ",TableAopCalendar[[#This Row],[Year]])</f>
        <v>FEBRUARY 27</v>
      </c>
      <c r="J1779" s="7" t="s">
        <v>274</v>
      </c>
      <c r="K1779" s="32" t="str">
        <f>CONCATENATE(TableAopCalendar[[#This Row],[Month for Plan]]," ",TableAopCalendar[[#This Row],[Plan]])</f>
        <v>FEBRUARY 27 PLANNED</v>
      </c>
    </row>
    <row r="1780" spans="1:11" x14ac:dyDescent="0.3">
      <c r="A1780" s="32">
        <f t="shared" si="96"/>
        <v>5</v>
      </c>
      <c r="B1780" s="33">
        <v>46430</v>
      </c>
      <c r="C1780" s="6" t="s">
        <v>272</v>
      </c>
      <c r="D1780" s="34">
        <v>27</v>
      </c>
      <c r="E1780" s="32">
        <f>DAY(TableAopCalendar[[#This Row],[Date]])</f>
        <v>12</v>
      </c>
      <c r="F1780" s="32">
        <f>IF(TableAopCalendar[[#This Row],[Day]]&lt;8,1,IF(TableAopCalendar[[#This Row],[Day]]&lt;15,2,IF(TableAopCalendar[[#This Row],[Day]]&lt;22,3,IF(TableAopCalendar[[#This Row],[Day]]&lt;29,4,IF(TableAopCalendar[[#This Row],[Day]]&lt;32,5)))))</f>
        <v>2</v>
      </c>
      <c r="G1780" s="32" t="str">
        <f t="shared" si="97"/>
        <v>Week 2</v>
      </c>
      <c r="H1780" s="32" t="str">
        <f t="shared" si="98"/>
        <v>February 27 Week 2</v>
      </c>
      <c r="I1780" s="32" t="str">
        <f>CONCATENATE(UPPER(TableAopCalendar[[#This Row],[Month]])," ",TableAopCalendar[[#This Row],[Year]])</f>
        <v>FEBRUARY 27</v>
      </c>
      <c r="J1780" s="7" t="s">
        <v>274</v>
      </c>
      <c r="K1780" s="32" t="str">
        <f>CONCATENATE(TableAopCalendar[[#This Row],[Month for Plan]]," ",TableAopCalendar[[#This Row],[Plan]])</f>
        <v>FEBRUARY 27 PLANNED</v>
      </c>
    </row>
    <row r="1781" spans="1:11" x14ac:dyDescent="0.3">
      <c r="A1781" s="32">
        <f t="shared" si="96"/>
        <v>6</v>
      </c>
      <c r="B1781" s="33">
        <v>46431</v>
      </c>
      <c r="C1781" s="6" t="s">
        <v>272</v>
      </c>
      <c r="D1781" s="34">
        <v>27</v>
      </c>
      <c r="E1781" s="32">
        <f>DAY(TableAopCalendar[[#This Row],[Date]])</f>
        <v>13</v>
      </c>
      <c r="F1781" s="32">
        <f>IF(TableAopCalendar[[#This Row],[Day]]&lt;8,1,IF(TableAopCalendar[[#This Row],[Day]]&lt;15,2,IF(TableAopCalendar[[#This Row],[Day]]&lt;22,3,IF(TableAopCalendar[[#This Row],[Day]]&lt;29,4,IF(TableAopCalendar[[#This Row],[Day]]&lt;32,5)))))</f>
        <v>2</v>
      </c>
      <c r="G1781" s="32" t="str">
        <f t="shared" si="97"/>
        <v>Week 2</v>
      </c>
      <c r="H1781" s="32" t="str">
        <f t="shared" si="98"/>
        <v>February 27 Week 2</v>
      </c>
      <c r="I1781" s="32" t="str">
        <f>CONCATENATE(UPPER(TableAopCalendar[[#This Row],[Month]])," ",TableAopCalendar[[#This Row],[Year]])</f>
        <v>FEBRUARY 27</v>
      </c>
      <c r="J1781" s="7" t="s">
        <v>274</v>
      </c>
      <c r="K1781" s="32" t="str">
        <f>CONCATENATE(TableAopCalendar[[#This Row],[Month for Plan]]," ",TableAopCalendar[[#This Row],[Plan]])</f>
        <v>FEBRUARY 27 PLANNED</v>
      </c>
    </row>
    <row r="1782" spans="1:11" x14ac:dyDescent="0.3">
      <c r="A1782" s="32">
        <f t="shared" si="96"/>
        <v>7</v>
      </c>
      <c r="B1782" s="33">
        <v>46432</v>
      </c>
      <c r="C1782" s="6" t="s">
        <v>272</v>
      </c>
      <c r="D1782" s="34">
        <v>27</v>
      </c>
      <c r="E1782" s="32">
        <f>DAY(TableAopCalendar[[#This Row],[Date]])</f>
        <v>14</v>
      </c>
      <c r="F1782" s="32">
        <f>IF(TableAopCalendar[[#This Row],[Day]]&lt;8,1,IF(TableAopCalendar[[#This Row],[Day]]&lt;15,2,IF(TableAopCalendar[[#This Row],[Day]]&lt;22,3,IF(TableAopCalendar[[#This Row],[Day]]&lt;29,4,IF(TableAopCalendar[[#This Row],[Day]]&lt;32,5)))))</f>
        <v>2</v>
      </c>
      <c r="G1782" s="32" t="str">
        <f t="shared" si="97"/>
        <v>Week 2</v>
      </c>
      <c r="H1782" s="32" t="str">
        <f t="shared" si="98"/>
        <v>February 27 Week 2</v>
      </c>
      <c r="I1782" s="32" t="str">
        <f>CONCATENATE(UPPER(TableAopCalendar[[#This Row],[Month]])," ",TableAopCalendar[[#This Row],[Year]])</f>
        <v>FEBRUARY 27</v>
      </c>
      <c r="J1782" s="7" t="s">
        <v>274</v>
      </c>
      <c r="K1782" s="32" t="str">
        <f>CONCATENATE(TableAopCalendar[[#This Row],[Month for Plan]]," ",TableAopCalendar[[#This Row],[Plan]])</f>
        <v>FEBRUARY 27 PLANNED</v>
      </c>
    </row>
    <row r="1783" spans="1:11" x14ac:dyDescent="0.3">
      <c r="A1783" s="32">
        <f t="shared" si="96"/>
        <v>1</v>
      </c>
      <c r="B1783" s="33">
        <v>46433</v>
      </c>
      <c r="C1783" s="6" t="s">
        <v>272</v>
      </c>
      <c r="D1783" s="34">
        <v>27</v>
      </c>
      <c r="E1783" s="32">
        <f>DAY(TableAopCalendar[[#This Row],[Date]])</f>
        <v>15</v>
      </c>
      <c r="F1783" s="32">
        <f>IF(TableAopCalendar[[#This Row],[Day]]&lt;8,1,IF(TableAopCalendar[[#This Row],[Day]]&lt;15,2,IF(TableAopCalendar[[#This Row],[Day]]&lt;22,3,IF(TableAopCalendar[[#This Row],[Day]]&lt;29,4,IF(TableAopCalendar[[#This Row],[Day]]&lt;32,5)))))</f>
        <v>3</v>
      </c>
      <c r="G1783" s="32" t="str">
        <f t="shared" si="97"/>
        <v>Week 3</v>
      </c>
      <c r="H1783" s="32" t="str">
        <f t="shared" si="98"/>
        <v>February 27 Week 3</v>
      </c>
      <c r="I1783" s="32" t="str">
        <f>CONCATENATE(UPPER(TableAopCalendar[[#This Row],[Month]])," ",TableAopCalendar[[#This Row],[Year]])</f>
        <v>FEBRUARY 27</v>
      </c>
      <c r="J1783" s="7" t="s">
        <v>274</v>
      </c>
      <c r="K1783" s="32" t="str">
        <f>CONCATENATE(TableAopCalendar[[#This Row],[Month for Plan]]," ",TableAopCalendar[[#This Row],[Plan]])</f>
        <v>FEBRUARY 27 PLANNED</v>
      </c>
    </row>
    <row r="1784" spans="1:11" x14ac:dyDescent="0.3">
      <c r="A1784" s="32">
        <f t="shared" si="96"/>
        <v>2</v>
      </c>
      <c r="B1784" s="33">
        <v>46434</v>
      </c>
      <c r="C1784" s="6" t="s">
        <v>272</v>
      </c>
      <c r="D1784" s="34">
        <v>27</v>
      </c>
      <c r="E1784" s="32">
        <f>DAY(TableAopCalendar[[#This Row],[Date]])</f>
        <v>16</v>
      </c>
      <c r="F1784" s="32">
        <f>IF(TableAopCalendar[[#This Row],[Day]]&lt;8,1,IF(TableAopCalendar[[#This Row],[Day]]&lt;15,2,IF(TableAopCalendar[[#This Row],[Day]]&lt;22,3,IF(TableAopCalendar[[#This Row],[Day]]&lt;29,4,IF(TableAopCalendar[[#This Row],[Day]]&lt;32,5)))))</f>
        <v>3</v>
      </c>
      <c r="G1784" s="32" t="str">
        <f t="shared" si="97"/>
        <v>Week 3</v>
      </c>
      <c r="H1784" s="32" t="str">
        <f t="shared" si="98"/>
        <v>February 27 Week 3</v>
      </c>
      <c r="I1784" s="32" t="str">
        <f>CONCATENATE(UPPER(TableAopCalendar[[#This Row],[Month]])," ",TableAopCalendar[[#This Row],[Year]])</f>
        <v>FEBRUARY 27</v>
      </c>
      <c r="J1784" s="7" t="s">
        <v>274</v>
      </c>
      <c r="K1784" s="32" t="str">
        <f>CONCATENATE(TableAopCalendar[[#This Row],[Month for Plan]]," ",TableAopCalendar[[#This Row],[Plan]])</f>
        <v>FEBRUARY 27 PLANNED</v>
      </c>
    </row>
    <row r="1785" spans="1:11" x14ac:dyDescent="0.3">
      <c r="A1785" s="32">
        <f t="shared" si="96"/>
        <v>3</v>
      </c>
      <c r="B1785" s="33">
        <v>46435</v>
      </c>
      <c r="C1785" s="6" t="s">
        <v>272</v>
      </c>
      <c r="D1785" s="34">
        <v>27</v>
      </c>
      <c r="E1785" s="32">
        <f>DAY(TableAopCalendar[[#This Row],[Date]])</f>
        <v>17</v>
      </c>
      <c r="F1785" s="32">
        <f>IF(TableAopCalendar[[#This Row],[Day]]&lt;8,1,IF(TableAopCalendar[[#This Row],[Day]]&lt;15,2,IF(TableAopCalendar[[#This Row],[Day]]&lt;22,3,IF(TableAopCalendar[[#This Row],[Day]]&lt;29,4,IF(TableAopCalendar[[#This Row],[Day]]&lt;32,5)))))</f>
        <v>3</v>
      </c>
      <c r="G1785" s="32" t="str">
        <f t="shared" si="97"/>
        <v>Week 3</v>
      </c>
      <c r="H1785" s="32" t="str">
        <f t="shared" si="98"/>
        <v>February 27 Week 3</v>
      </c>
      <c r="I1785" s="32" t="str">
        <f>CONCATENATE(UPPER(TableAopCalendar[[#This Row],[Month]])," ",TableAopCalendar[[#This Row],[Year]])</f>
        <v>FEBRUARY 27</v>
      </c>
      <c r="J1785" s="7" t="s">
        <v>274</v>
      </c>
      <c r="K1785" s="32" t="str">
        <f>CONCATENATE(TableAopCalendar[[#This Row],[Month for Plan]]," ",TableAopCalendar[[#This Row],[Plan]])</f>
        <v>FEBRUARY 27 PLANNED</v>
      </c>
    </row>
    <row r="1786" spans="1:11" x14ac:dyDescent="0.3">
      <c r="A1786" s="32">
        <f t="shared" si="96"/>
        <v>4</v>
      </c>
      <c r="B1786" s="33">
        <v>46436</v>
      </c>
      <c r="C1786" s="6" t="s">
        <v>272</v>
      </c>
      <c r="D1786" s="34">
        <v>27</v>
      </c>
      <c r="E1786" s="32">
        <f>DAY(TableAopCalendar[[#This Row],[Date]])</f>
        <v>18</v>
      </c>
      <c r="F1786" s="32">
        <f>IF(TableAopCalendar[[#This Row],[Day]]&lt;8,1,IF(TableAopCalendar[[#This Row],[Day]]&lt;15,2,IF(TableAopCalendar[[#This Row],[Day]]&lt;22,3,IF(TableAopCalendar[[#This Row],[Day]]&lt;29,4,IF(TableAopCalendar[[#This Row],[Day]]&lt;32,5)))))</f>
        <v>3</v>
      </c>
      <c r="G1786" s="32" t="str">
        <f t="shared" si="97"/>
        <v>Week 3</v>
      </c>
      <c r="H1786" s="32" t="str">
        <f t="shared" si="98"/>
        <v>February 27 Week 3</v>
      </c>
      <c r="I1786" s="32" t="str">
        <f>CONCATENATE(UPPER(TableAopCalendar[[#This Row],[Month]])," ",TableAopCalendar[[#This Row],[Year]])</f>
        <v>FEBRUARY 27</v>
      </c>
      <c r="J1786" s="7" t="s">
        <v>274</v>
      </c>
      <c r="K1786" s="32" t="str">
        <f>CONCATENATE(TableAopCalendar[[#This Row],[Month for Plan]]," ",TableAopCalendar[[#This Row],[Plan]])</f>
        <v>FEBRUARY 27 PLANNED</v>
      </c>
    </row>
    <row r="1787" spans="1:11" x14ac:dyDescent="0.3">
      <c r="A1787" s="32">
        <f t="shared" si="96"/>
        <v>5</v>
      </c>
      <c r="B1787" s="33">
        <v>46437</v>
      </c>
      <c r="C1787" s="6" t="s">
        <v>272</v>
      </c>
      <c r="D1787" s="34">
        <v>27</v>
      </c>
      <c r="E1787" s="32">
        <f>DAY(TableAopCalendar[[#This Row],[Date]])</f>
        <v>19</v>
      </c>
      <c r="F1787" s="32">
        <f>IF(TableAopCalendar[[#This Row],[Day]]&lt;8,1,IF(TableAopCalendar[[#This Row],[Day]]&lt;15,2,IF(TableAopCalendar[[#This Row],[Day]]&lt;22,3,IF(TableAopCalendar[[#This Row],[Day]]&lt;29,4,IF(TableAopCalendar[[#This Row],[Day]]&lt;32,5)))))</f>
        <v>3</v>
      </c>
      <c r="G1787" s="32" t="str">
        <f t="shared" si="97"/>
        <v>Week 3</v>
      </c>
      <c r="H1787" s="32" t="str">
        <f t="shared" si="98"/>
        <v>February 27 Week 3</v>
      </c>
      <c r="I1787" s="32" t="str">
        <f>CONCATENATE(UPPER(TableAopCalendar[[#This Row],[Month]])," ",TableAopCalendar[[#This Row],[Year]])</f>
        <v>FEBRUARY 27</v>
      </c>
      <c r="J1787" s="7" t="s">
        <v>274</v>
      </c>
      <c r="K1787" s="32" t="str">
        <f>CONCATENATE(TableAopCalendar[[#This Row],[Month for Plan]]," ",TableAopCalendar[[#This Row],[Plan]])</f>
        <v>FEBRUARY 27 PLANNED</v>
      </c>
    </row>
    <row r="1788" spans="1:11" x14ac:dyDescent="0.3">
      <c r="A1788" s="32">
        <f t="shared" si="96"/>
        <v>6</v>
      </c>
      <c r="B1788" s="33">
        <v>46438</v>
      </c>
      <c r="C1788" s="6" t="s">
        <v>272</v>
      </c>
      <c r="D1788" s="34">
        <v>27</v>
      </c>
      <c r="E1788" s="32">
        <f>DAY(TableAopCalendar[[#This Row],[Date]])</f>
        <v>20</v>
      </c>
      <c r="F1788" s="32">
        <f>IF(TableAopCalendar[[#This Row],[Day]]&lt;8,1,IF(TableAopCalendar[[#This Row],[Day]]&lt;15,2,IF(TableAopCalendar[[#This Row],[Day]]&lt;22,3,IF(TableAopCalendar[[#This Row],[Day]]&lt;29,4,IF(TableAopCalendar[[#This Row],[Day]]&lt;32,5)))))</f>
        <v>3</v>
      </c>
      <c r="G1788" s="32" t="str">
        <f t="shared" si="97"/>
        <v>Week 3</v>
      </c>
      <c r="H1788" s="32" t="str">
        <f t="shared" si="98"/>
        <v>February 27 Week 3</v>
      </c>
      <c r="I1788" s="32" t="str">
        <f>CONCATENATE(UPPER(TableAopCalendar[[#This Row],[Month]])," ",TableAopCalendar[[#This Row],[Year]])</f>
        <v>FEBRUARY 27</v>
      </c>
      <c r="J1788" s="7" t="s">
        <v>274</v>
      </c>
      <c r="K1788" s="32" t="str">
        <f>CONCATENATE(TableAopCalendar[[#This Row],[Month for Plan]]," ",TableAopCalendar[[#This Row],[Plan]])</f>
        <v>FEBRUARY 27 PLANNED</v>
      </c>
    </row>
    <row r="1789" spans="1:11" x14ac:dyDescent="0.3">
      <c r="A1789" s="32">
        <f t="shared" si="96"/>
        <v>7</v>
      </c>
      <c r="B1789" s="33">
        <v>46439</v>
      </c>
      <c r="C1789" s="6" t="s">
        <v>272</v>
      </c>
      <c r="D1789" s="34">
        <v>27</v>
      </c>
      <c r="E1789" s="32">
        <f>DAY(TableAopCalendar[[#This Row],[Date]])</f>
        <v>21</v>
      </c>
      <c r="F1789" s="32">
        <f>IF(TableAopCalendar[[#This Row],[Day]]&lt;8,1,IF(TableAopCalendar[[#This Row],[Day]]&lt;15,2,IF(TableAopCalendar[[#This Row],[Day]]&lt;22,3,IF(TableAopCalendar[[#This Row],[Day]]&lt;29,4,IF(TableAopCalendar[[#This Row],[Day]]&lt;32,5)))))</f>
        <v>3</v>
      </c>
      <c r="G1789" s="32" t="str">
        <f t="shared" si="97"/>
        <v>Week 3</v>
      </c>
      <c r="H1789" s="32" t="str">
        <f t="shared" si="98"/>
        <v>February 27 Week 3</v>
      </c>
      <c r="I1789" s="32" t="str">
        <f>CONCATENATE(UPPER(TableAopCalendar[[#This Row],[Month]])," ",TableAopCalendar[[#This Row],[Year]])</f>
        <v>FEBRUARY 27</v>
      </c>
      <c r="J1789" s="7" t="s">
        <v>274</v>
      </c>
      <c r="K1789" s="32" t="str">
        <f>CONCATENATE(TableAopCalendar[[#This Row],[Month for Plan]]," ",TableAopCalendar[[#This Row],[Plan]])</f>
        <v>FEBRUARY 27 PLANNED</v>
      </c>
    </row>
    <row r="1790" spans="1:11" x14ac:dyDescent="0.3">
      <c r="A1790" s="32">
        <f t="shared" si="96"/>
        <v>1</v>
      </c>
      <c r="B1790" s="33">
        <v>46440</v>
      </c>
      <c r="C1790" s="6" t="s">
        <v>272</v>
      </c>
      <c r="D1790" s="34">
        <v>27</v>
      </c>
      <c r="E1790" s="32">
        <f>DAY(TableAopCalendar[[#This Row],[Date]])</f>
        <v>22</v>
      </c>
      <c r="F1790" s="32">
        <f>IF(TableAopCalendar[[#This Row],[Day]]&lt;8,1,IF(TableAopCalendar[[#This Row],[Day]]&lt;15,2,IF(TableAopCalendar[[#This Row],[Day]]&lt;22,3,IF(TableAopCalendar[[#This Row],[Day]]&lt;29,4,IF(TableAopCalendar[[#This Row],[Day]]&lt;32,5)))))</f>
        <v>4</v>
      </c>
      <c r="G1790" s="32" t="str">
        <f t="shared" si="97"/>
        <v>Week 4</v>
      </c>
      <c r="H1790" s="32" t="str">
        <f t="shared" si="98"/>
        <v>February 27 Week 4</v>
      </c>
      <c r="I1790" s="32" t="str">
        <f>CONCATENATE(UPPER(TableAopCalendar[[#This Row],[Month]])," ",TableAopCalendar[[#This Row],[Year]])</f>
        <v>FEBRUARY 27</v>
      </c>
      <c r="J1790" s="7" t="s">
        <v>274</v>
      </c>
      <c r="K1790" s="32" t="str">
        <f>CONCATENATE(TableAopCalendar[[#This Row],[Month for Plan]]," ",TableAopCalendar[[#This Row],[Plan]])</f>
        <v>FEBRUARY 27 PLANNED</v>
      </c>
    </row>
    <row r="1791" spans="1:11" x14ac:dyDescent="0.3">
      <c r="A1791" s="32">
        <f t="shared" si="96"/>
        <v>2</v>
      </c>
      <c r="B1791" s="33">
        <v>46441</v>
      </c>
      <c r="C1791" s="6" t="s">
        <v>272</v>
      </c>
      <c r="D1791" s="34">
        <v>27</v>
      </c>
      <c r="E1791" s="32">
        <f>DAY(TableAopCalendar[[#This Row],[Date]])</f>
        <v>23</v>
      </c>
      <c r="F1791" s="32">
        <f>IF(TableAopCalendar[[#This Row],[Day]]&lt;8,1,IF(TableAopCalendar[[#This Row],[Day]]&lt;15,2,IF(TableAopCalendar[[#This Row],[Day]]&lt;22,3,IF(TableAopCalendar[[#This Row],[Day]]&lt;29,4,IF(TableAopCalendar[[#This Row],[Day]]&lt;32,5)))))</f>
        <v>4</v>
      </c>
      <c r="G1791" s="32" t="str">
        <f t="shared" si="97"/>
        <v>Week 4</v>
      </c>
      <c r="H1791" s="32" t="str">
        <f t="shared" si="98"/>
        <v>February 27 Week 4</v>
      </c>
      <c r="I1791" s="32" t="str">
        <f>CONCATENATE(UPPER(TableAopCalendar[[#This Row],[Month]])," ",TableAopCalendar[[#This Row],[Year]])</f>
        <v>FEBRUARY 27</v>
      </c>
      <c r="J1791" s="7" t="s">
        <v>274</v>
      </c>
      <c r="K1791" s="32" t="str">
        <f>CONCATENATE(TableAopCalendar[[#This Row],[Month for Plan]]," ",TableAopCalendar[[#This Row],[Plan]])</f>
        <v>FEBRUARY 27 PLANNED</v>
      </c>
    </row>
    <row r="1792" spans="1:11" x14ac:dyDescent="0.3">
      <c r="A1792" s="32">
        <f t="shared" si="96"/>
        <v>3</v>
      </c>
      <c r="B1792" s="33">
        <v>46442</v>
      </c>
      <c r="C1792" s="6" t="s">
        <v>272</v>
      </c>
      <c r="D1792" s="34">
        <v>27</v>
      </c>
      <c r="E1792" s="32">
        <f>DAY(TableAopCalendar[[#This Row],[Date]])</f>
        <v>24</v>
      </c>
      <c r="F1792" s="32">
        <f>IF(TableAopCalendar[[#This Row],[Day]]&lt;8,1,IF(TableAopCalendar[[#This Row],[Day]]&lt;15,2,IF(TableAopCalendar[[#This Row],[Day]]&lt;22,3,IF(TableAopCalendar[[#This Row],[Day]]&lt;29,4,IF(TableAopCalendar[[#This Row],[Day]]&lt;32,5)))))</f>
        <v>4</v>
      </c>
      <c r="G1792" s="32" t="str">
        <f t="shared" si="97"/>
        <v>Week 4</v>
      </c>
      <c r="H1792" s="32" t="str">
        <f t="shared" si="98"/>
        <v>February 27 Week 4</v>
      </c>
      <c r="I1792" s="32" t="str">
        <f>CONCATENATE(UPPER(TableAopCalendar[[#This Row],[Month]])," ",TableAopCalendar[[#This Row],[Year]])</f>
        <v>FEBRUARY 27</v>
      </c>
      <c r="J1792" s="7" t="s">
        <v>274</v>
      </c>
      <c r="K1792" s="32" t="str">
        <f>CONCATENATE(TableAopCalendar[[#This Row],[Month for Plan]]," ",TableAopCalendar[[#This Row],[Plan]])</f>
        <v>FEBRUARY 27 PLANNED</v>
      </c>
    </row>
    <row r="1793" spans="1:11" x14ac:dyDescent="0.3">
      <c r="A1793" s="32">
        <f t="shared" si="96"/>
        <v>4</v>
      </c>
      <c r="B1793" s="33">
        <v>46443</v>
      </c>
      <c r="C1793" s="6" t="s">
        <v>272</v>
      </c>
      <c r="D1793" s="34">
        <v>27</v>
      </c>
      <c r="E1793" s="32">
        <f>DAY(TableAopCalendar[[#This Row],[Date]])</f>
        <v>25</v>
      </c>
      <c r="F1793" s="32">
        <f>IF(TableAopCalendar[[#This Row],[Day]]&lt;8,1,IF(TableAopCalendar[[#This Row],[Day]]&lt;15,2,IF(TableAopCalendar[[#This Row],[Day]]&lt;22,3,IF(TableAopCalendar[[#This Row],[Day]]&lt;29,4,IF(TableAopCalendar[[#This Row],[Day]]&lt;32,5)))))</f>
        <v>4</v>
      </c>
      <c r="G1793" s="32" t="str">
        <f t="shared" si="97"/>
        <v>Week 4</v>
      </c>
      <c r="H1793" s="32" t="str">
        <f t="shared" si="98"/>
        <v>February 27 Week 4</v>
      </c>
      <c r="I1793" s="32" t="str">
        <f>CONCATENATE(UPPER(TableAopCalendar[[#This Row],[Month]])," ",TableAopCalendar[[#This Row],[Year]])</f>
        <v>FEBRUARY 27</v>
      </c>
      <c r="J1793" s="7" t="s">
        <v>274</v>
      </c>
      <c r="K1793" s="32" t="str">
        <f>CONCATENATE(TableAopCalendar[[#This Row],[Month for Plan]]," ",TableAopCalendar[[#This Row],[Plan]])</f>
        <v>FEBRUARY 27 PLANNED</v>
      </c>
    </row>
    <row r="1794" spans="1:11" x14ac:dyDescent="0.3">
      <c r="A1794" s="32">
        <f t="shared" si="96"/>
        <v>5</v>
      </c>
      <c r="B1794" s="33">
        <v>46444</v>
      </c>
      <c r="C1794" s="6" t="s">
        <v>272</v>
      </c>
      <c r="D1794" s="34">
        <v>27</v>
      </c>
      <c r="E1794" s="32">
        <f>DAY(TableAopCalendar[[#This Row],[Date]])</f>
        <v>26</v>
      </c>
      <c r="F1794" s="32">
        <f>IF(TableAopCalendar[[#This Row],[Day]]&lt;8,1,IF(TableAopCalendar[[#This Row],[Day]]&lt;15,2,IF(TableAopCalendar[[#This Row],[Day]]&lt;22,3,IF(TableAopCalendar[[#This Row],[Day]]&lt;29,4,IF(TableAopCalendar[[#This Row],[Day]]&lt;32,5)))))</f>
        <v>4</v>
      </c>
      <c r="G1794" s="32" t="str">
        <f t="shared" si="97"/>
        <v>Week 4</v>
      </c>
      <c r="H1794" s="32" t="str">
        <f t="shared" si="98"/>
        <v>February 27 Week 4</v>
      </c>
      <c r="I1794" s="32" t="str">
        <f>CONCATENATE(UPPER(TableAopCalendar[[#This Row],[Month]])," ",TableAopCalendar[[#This Row],[Year]])</f>
        <v>FEBRUARY 27</v>
      </c>
      <c r="J1794" s="7" t="s">
        <v>274</v>
      </c>
      <c r="K1794" s="32" t="str">
        <f>CONCATENATE(TableAopCalendar[[#This Row],[Month for Plan]]," ",TableAopCalendar[[#This Row],[Plan]])</f>
        <v>FEBRUARY 27 PLANNED</v>
      </c>
    </row>
    <row r="1795" spans="1:11" x14ac:dyDescent="0.3">
      <c r="A1795" s="32">
        <f t="shared" si="96"/>
        <v>6</v>
      </c>
      <c r="B1795" s="33">
        <v>46445</v>
      </c>
      <c r="C1795" s="6" t="s">
        <v>272</v>
      </c>
      <c r="D1795" s="34">
        <v>27</v>
      </c>
      <c r="E1795" s="32">
        <f>DAY(TableAopCalendar[[#This Row],[Date]])</f>
        <v>27</v>
      </c>
      <c r="F1795" s="32">
        <f>IF(TableAopCalendar[[#This Row],[Day]]&lt;8,1,IF(TableAopCalendar[[#This Row],[Day]]&lt;15,2,IF(TableAopCalendar[[#This Row],[Day]]&lt;22,3,IF(TableAopCalendar[[#This Row],[Day]]&lt;29,4,IF(TableAopCalendar[[#This Row],[Day]]&lt;32,5)))))</f>
        <v>4</v>
      </c>
      <c r="G1795" s="32" t="str">
        <f t="shared" si="97"/>
        <v>Week 4</v>
      </c>
      <c r="H1795" s="32" t="str">
        <f t="shared" si="98"/>
        <v>February 27 Week 4</v>
      </c>
      <c r="I1795" s="32" t="str">
        <f>CONCATENATE(UPPER(TableAopCalendar[[#This Row],[Month]])," ",TableAopCalendar[[#This Row],[Year]])</f>
        <v>FEBRUARY 27</v>
      </c>
      <c r="J1795" s="7" t="s">
        <v>274</v>
      </c>
      <c r="K1795" s="32" t="str">
        <f>CONCATENATE(TableAopCalendar[[#This Row],[Month for Plan]]," ",TableAopCalendar[[#This Row],[Plan]])</f>
        <v>FEBRUARY 27 PLANNED</v>
      </c>
    </row>
    <row r="1796" spans="1:11" x14ac:dyDescent="0.3">
      <c r="A1796" s="32">
        <f t="shared" si="96"/>
        <v>7</v>
      </c>
      <c r="B1796" s="33">
        <v>46446</v>
      </c>
      <c r="C1796" s="6" t="s">
        <v>272</v>
      </c>
      <c r="D1796" s="34">
        <v>27</v>
      </c>
      <c r="E1796" s="32">
        <f>DAY(TableAopCalendar[[#This Row],[Date]])</f>
        <v>28</v>
      </c>
      <c r="F1796" s="32">
        <f>IF(TableAopCalendar[[#This Row],[Day]]&lt;8,1,IF(TableAopCalendar[[#This Row],[Day]]&lt;15,2,IF(TableAopCalendar[[#This Row],[Day]]&lt;22,3,IF(TableAopCalendar[[#This Row],[Day]]&lt;29,4,IF(TableAopCalendar[[#This Row],[Day]]&lt;32,5)))))</f>
        <v>4</v>
      </c>
      <c r="G1796" s="32" t="str">
        <f t="shared" si="97"/>
        <v>Week 4</v>
      </c>
      <c r="H1796" s="32" t="str">
        <f t="shared" si="98"/>
        <v>February 27 Week 4</v>
      </c>
      <c r="I1796" s="32" t="str">
        <f>CONCATENATE(UPPER(TableAopCalendar[[#This Row],[Month]])," ",TableAopCalendar[[#This Row],[Year]])</f>
        <v>FEBRUARY 27</v>
      </c>
      <c r="J1796" s="7" t="s">
        <v>274</v>
      </c>
      <c r="K1796" s="32" t="str">
        <f>CONCATENATE(TableAopCalendar[[#This Row],[Month for Plan]]," ",TableAopCalendar[[#This Row],[Plan]])</f>
        <v>FEBRUARY 27 PLANNED</v>
      </c>
    </row>
    <row r="1797" spans="1:11" x14ac:dyDescent="0.3">
      <c r="A1797" s="32">
        <f t="shared" si="96"/>
        <v>1</v>
      </c>
      <c r="B1797" s="33">
        <v>46447</v>
      </c>
      <c r="C1797" s="6" t="s">
        <v>273</v>
      </c>
      <c r="D1797" s="34">
        <v>27</v>
      </c>
      <c r="E1797" s="32">
        <f>DAY(TableAopCalendar[[#This Row],[Date]])</f>
        <v>1</v>
      </c>
      <c r="F1797" s="32">
        <f>IF(TableAopCalendar[[#This Row],[Day]]&lt;8,1,IF(TableAopCalendar[[#This Row],[Day]]&lt;15,2,IF(TableAopCalendar[[#This Row],[Day]]&lt;22,3,IF(TableAopCalendar[[#This Row],[Day]]&lt;29,4,IF(TableAopCalendar[[#This Row],[Day]]&lt;32,5)))))</f>
        <v>1</v>
      </c>
      <c r="G1797" s="32" t="str">
        <f t="shared" si="97"/>
        <v>Week 1</v>
      </c>
      <c r="H1797" s="32" t="str">
        <f t="shared" si="98"/>
        <v>March 27 Week 1</v>
      </c>
      <c r="I1797" s="32" t="str">
        <f>CONCATENATE(UPPER(TableAopCalendar[[#This Row],[Month]])," ",TableAopCalendar[[#This Row],[Year]])</f>
        <v>MARCH 27</v>
      </c>
      <c r="J1797" s="7" t="s">
        <v>274</v>
      </c>
      <c r="K1797" s="32" t="str">
        <f>CONCATENATE(TableAopCalendar[[#This Row],[Month for Plan]]," ",TableAopCalendar[[#This Row],[Plan]])</f>
        <v>MARCH 27 PLANNED</v>
      </c>
    </row>
    <row r="1798" spans="1:11" x14ac:dyDescent="0.3">
      <c r="A1798" s="32">
        <f t="shared" si="96"/>
        <v>2</v>
      </c>
      <c r="B1798" s="33">
        <v>46448</v>
      </c>
      <c r="C1798" s="6" t="s">
        <v>273</v>
      </c>
      <c r="D1798" s="34">
        <v>27</v>
      </c>
      <c r="E1798" s="32">
        <f>DAY(TableAopCalendar[[#This Row],[Date]])</f>
        <v>2</v>
      </c>
      <c r="F1798" s="32">
        <f>IF(TableAopCalendar[[#This Row],[Day]]&lt;8,1,IF(TableAopCalendar[[#This Row],[Day]]&lt;15,2,IF(TableAopCalendar[[#This Row],[Day]]&lt;22,3,IF(TableAopCalendar[[#This Row],[Day]]&lt;29,4,IF(TableAopCalendar[[#This Row],[Day]]&lt;32,5)))))</f>
        <v>1</v>
      </c>
      <c r="G1798" s="32" t="str">
        <f t="shared" si="97"/>
        <v>Week 1</v>
      </c>
      <c r="H1798" s="32" t="str">
        <f t="shared" si="98"/>
        <v>March 27 Week 1</v>
      </c>
      <c r="I1798" s="32" t="str">
        <f>CONCATENATE(UPPER(TableAopCalendar[[#This Row],[Month]])," ",TableAopCalendar[[#This Row],[Year]])</f>
        <v>MARCH 27</v>
      </c>
      <c r="J1798" s="7" t="s">
        <v>274</v>
      </c>
      <c r="K1798" s="32" t="str">
        <f>CONCATENATE(TableAopCalendar[[#This Row],[Month for Plan]]," ",TableAopCalendar[[#This Row],[Plan]])</f>
        <v>MARCH 27 PLANNED</v>
      </c>
    </row>
    <row r="1799" spans="1:11" x14ac:dyDescent="0.3">
      <c r="A1799" s="32">
        <f t="shared" si="96"/>
        <v>3</v>
      </c>
      <c r="B1799" s="33">
        <v>46449</v>
      </c>
      <c r="C1799" s="6" t="s">
        <v>273</v>
      </c>
      <c r="D1799" s="34">
        <v>27</v>
      </c>
      <c r="E1799" s="32">
        <f>DAY(TableAopCalendar[[#This Row],[Date]])</f>
        <v>3</v>
      </c>
      <c r="F1799" s="32">
        <f>IF(TableAopCalendar[[#This Row],[Day]]&lt;8,1,IF(TableAopCalendar[[#This Row],[Day]]&lt;15,2,IF(TableAopCalendar[[#This Row],[Day]]&lt;22,3,IF(TableAopCalendar[[#This Row],[Day]]&lt;29,4,IF(TableAopCalendar[[#This Row],[Day]]&lt;32,5)))))</f>
        <v>1</v>
      </c>
      <c r="G1799" s="32" t="str">
        <f t="shared" si="97"/>
        <v>Week 1</v>
      </c>
      <c r="H1799" s="32" t="str">
        <f t="shared" si="98"/>
        <v>March 27 Week 1</v>
      </c>
      <c r="I1799" s="32" t="str">
        <f>CONCATENATE(UPPER(TableAopCalendar[[#This Row],[Month]])," ",TableAopCalendar[[#This Row],[Year]])</f>
        <v>MARCH 27</v>
      </c>
      <c r="J1799" s="7" t="s">
        <v>274</v>
      </c>
      <c r="K1799" s="32" t="str">
        <f>CONCATENATE(TableAopCalendar[[#This Row],[Month for Plan]]," ",TableAopCalendar[[#This Row],[Plan]])</f>
        <v>MARCH 27 PLANNED</v>
      </c>
    </row>
    <row r="1800" spans="1:11" x14ac:dyDescent="0.3">
      <c r="A1800" s="32">
        <f t="shared" si="96"/>
        <v>4</v>
      </c>
      <c r="B1800" s="33">
        <v>46450</v>
      </c>
      <c r="C1800" s="6" t="s">
        <v>273</v>
      </c>
      <c r="D1800" s="34">
        <v>27</v>
      </c>
      <c r="E1800" s="32">
        <f>DAY(TableAopCalendar[[#This Row],[Date]])</f>
        <v>4</v>
      </c>
      <c r="F1800" s="32">
        <f>IF(TableAopCalendar[[#This Row],[Day]]&lt;8,1,IF(TableAopCalendar[[#This Row],[Day]]&lt;15,2,IF(TableAopCalendar[[#This Row],[Day]]&lt;22,3,IF(TableAopCalendar[[#This Row],[Day]]&lt;29,4,IF(TableAopCalendar[[#This Row],[Day]]&lt;32,5)))))</f>
        <v>1</v>
      </c>
      <c r="G1800" s="32" t="str">
        <f t="shared" si="97"/>
        <v>Week 1</v>
      </c>
      <c r="H1800" s="32" t="str">
        <f t="shared" si="98"/>
        <v>March 27 Week 1</v>
      </c>
      <c r="I1800" s="32" t="str">
        <f>CONCATENATE(UPPER(TableAopCalendar[[#This Row],[Month]])," ",TableAopCalendar[[#This Row],[Year]])</f>
        <v>MARCH 27</v>
      </c>
      <c r="J1800" s="7" t="s">
        <v>274</v>
      </c>
      <c r="K1800" s="32" t="str">
        <f>CONCATENATE(TableAopCalendar[[#This Row],[Month for Plan]]," ",TableAopCalendar[[#This Row],[Plan]])</f>
        <v>MARCH 27 PLANNED</v>
      </c>
    </row>
    <row r="1801" spans="1:11" x14ac:dyDescent="0.3">
      <c r="A1801" s="32">
        <f t="shared" si="96"/>
        <v>5</v>
      </c>
      <c r="B1801" s="33">
        <v>46451</v>
      </c>
      <c r="C1801" s="6" t="s">
        <v>273</v>
      </c>
      <c r="D1801" s="34">
        <v>27</v>
      </c>
      <c r="E1801" s="32">
        <f>DAY(TableAopCalendar[[#This Row],[Date]])</f>
        <v>5</v>
      </c>
      <c r="F1801" s="32">
        <f>IF(TableAopCalendar[[#This Row],[Day]]&lt;8,1,IF(TableAopCalendar[[#This Row],[Day]]&lt;15,2,IF(TableAopCalendar[[#This Row],[Day]]&lt;22,3,IF(TableAopCalendar[[#This Row],[Day]]&lt;29,4,IF(TableAopCalendar[[#This Row],[Day]]&lt;32,5)))))</f>
        <v>1</v>
      </c>
      <c r="G1801" s="32" t="str">
        <f t="shared" si="97"/>
        <v>Week 1</v>
      </c>
      <c r="H1801" s="32" t="str">
        <f t="shared" si="98"/>
        <v>March 27 Week 1</v>
      </c>
      <c r="I1801" s="32" t="str">
        <f>CONCATENATE(UPPER(TableAopCalendar[[#This Row],[Month]])," ",TableAopCalendar[[#This Row],[Year]])</f>
        <v>MARCH 27</v>
      </c>
      <c r="J1801" s="7" t="s">
        <v>274</v>
      </c>
      <c r="K1801" s="32" t="str">
        <f>CONCATENATE(TableAopCalendar[[#This Row],[Month for Plan]]," ",TableAopCalendar[[#This Row],[Plan]])</f>
        <v>MARCH 27 PLANNED</v>
      </c>
    </row>
    <row r="1802" spans="1:11" x14ac:dyDescent="0.3">
      <c r="A1802" s="32">
        <f t="shared" si="96"/>
        <v>6</v>
      </c>
      <c r="B1802" s="33">
        <v>46452</v>
      </c>
      <c r="C1802" s="6" t="s">
        <v>273</v>
      </c>
      <c r="D1802" s="34">
        <v>27</v>
      </c>
      <c r="E1802" s="32">
        <f>DAY(TableAopCalendar[[#This Row],[Date]])</f>
        <v>6</v>
      </c>
      <c r="F1802" s="32">
        <f>IF(TableAopCalendar[[#This Row],[Day]]&lt;8,1,IF(TableAopCalendar[[#This Row],[Day]]&lt;15,2,IF(TableAopCalendar[[#This Row],[Day]]&lt;22,3,IF(TableAopCalendar[[#This Row],[Day]]&lt;29,4,IF(TableAopCalendar[[#This Row],[Day]]&lt;32,5)))))</f>
        <v>1</v>
      </c>
      <c r="G1802" s="32" t="str">
        <f t="shared" si="97"/>
        <v>Week 1</v>
      </c>
      <c r="H1802" s="32" t="str">
        <f t="shared" si="98"/>
        <v>March 27 Week 1</v>
      </c>
      <c r="I1802" s="32" t="str">
        <f>CONCATENATE(UPPER(TableAopCalendar[[#This Row],[Month]])," ",TableAopCalendar[[#This Row],[Year]])</f>
        <v>MARCH 27</v>
      </c>
      <c r="J1802" s="7" t="s">
        <v>274</v>
      </c>
      <c r="K1802" s="32" t="str">
        <f>CONCATENATE(TableAopCalendar[[#This Row],[Month for Plan]]," ",TableAopCalendar[[#This Row],[Plan]])</f>
        <v>MARCH 27 PLANNED</v>
      </c>
    </row>
    <row r="1803" spans="1:11" x14ac:dyDescent="0.3">
      <c r="A1803" s="32">
        <f t="shared" ref="A1803:A1827" si="99">IF(G1803=G1802,A1802+1,1)</f>
        <v>7</v>
      </c>
      <c r="B1803" s="33">
        <v>46453</v>
      </c>
      <c r="C1803" s="6" t="s">
        <v>273</v>
      </c>
      <c r="D1803" s="34">
        <v>27</v>
      </c>
      <c r="E1803" s="32">
        <f>DAY(TableAopCalendar[[#This Row],[Date]])</f>
        <v>7</v>
      </c>
      <c r="F1803" s="32">
        <f>IF(TableAopCalendar[[#This Row],[Day]]&lt;8,1,IF(TableAopCalendar[[#This Row],[Day]]&lt;15,2,IF(TableAopCalendar[[#This Row],[Day]]&lt;22,3,IF(TableAopCalendar[[#This Row],[Day]]&lt;29,4,IF(TableAopCalendar[[#This Row],[Day]]&lt;32,5)))))</f>
        <v>1</v>
      </c>
      <c r="G1803" s="32" t="str">
        <f t="shared" ref="G1803:G1827" si="100">"Week"&amp;" "&amp;F1803</f>
        <v>Week 1</v>
      </c>
      <c r="H1803" s="32" t="str">
        <f t="shared" ref="H1803:H1827" si="101">CONCATENATE(C1803," ",D1803," ",G1803)</f>
        <v>March 27 Week 1</v>
      </c>
      <c r="I1803" s="32" t="str">
        <f>CONCATENATE(UPPER(TableAopCalendar[[#This Row],[Month]])," ",TableAopCalendar[[#This Row],[Year]])</f>
        <v>MARCH 27</v>
      </c>
      <c r="J1803" s="7" t="s">
        <v>274</v>
      </c>
      <c r="K1803" s="32" t="str">
        <f>CONCATENATE(TableAopCalendar[[#This Row],[Month for Plan]]," ",TableAopCalendar[[#This Row],[Plan]])</f>
        <v>MARCH 27 PLANNED</v>
      </c>
    </row>
    <row r="1804" spans="1:11" x14ac:dyDescent="0.3">
      <c r="A1804" s="32">
        <f t="shared" si="99"/>
        <v>1</v>
      </c>
      <c r="B1804" s="33">
        <v>46454</v>
      </c>
      <c r="C1804" s="6" t="s">
        <v>273</v>
      </c>
      <c r="D1804" s="34">
        <v>27</v>
      </c>
      <c r="E1804" s="32">
        <f>DAY(TableAopCalendar[[#This Row],[Date]])</f>
        <v>8</v>
      </c>
      <c r="F1804" s="32">
        <f>IF(TableAopCalendar[[#This Row],[Day]]&lt;8,1,IF(TableAopCalendar[[#This Row],[Day]]&lt;15,2,IF(TableAopCalendar[[#This Row],[Day]]&lt;22,3,IF(TableAopCalendar[[#This Row],[Day]]&lt;29,4,IF(TableAopCalendar[[#This Row],[Day]]&lt;32,5)))))</f>
        <v>2</v>
      </c>
      <c r="G1804" s="32" t="str">
        <f t="shared" si="100"/>
        <v>Week 2</v>
      </c>
      <c r="H1804" s="32" t="str">
        <f t="shared" si="101"/>
        <v>March 27 Week 2</v>
      </c>
      <c r="I1804" s="32" t="str">
        <f>CONCATENATE(UPPER(TableAopCalendar[[#This Row],[Month]])," ",TableAopCalendar[[#This Row],[Year]])</f>
        <v>MARCH 27</v>
      </c>
      <c r="J1804" s="7" t="s">
        <v>274</v>
      </c>
      <c r="K1804" s="32" t="str">
        <f>CONCATENATE(TableAopCalendar[[#This Row],[Month for Plan]]," ",TableAopCalendar[[#This Row],[Plan]])</f>
        <v>MARCH 27 PLANNED</v>
      </c>
    </row>
    <row r="1805" spans="1:11" x14ac:dyDescent="0.3">
      <c r="A1805" s="32">
        <f t="shared" si="99"/>
        <v>2</v>
      </c>
      <c r="B1805" s="33">
        <v>46455</v>
      </c>
      <c r="C1805" s="6" t="s">
        <v>273</v>
      </c>
      <c r="D1805" s="34">
        <v>27</v>
      </c>
      <c r="E1805" s="32">
        <f>DAY(TableAopCalendar[[#This Row],[Date]])</f>
        <v>9</v>
      </c>
      <c r="F1805" s="32">
        <f>IF(TableAopCalendar[[#This Row],[Day]]&lt;8,1,IF(TableAopCalendar[[#This Row],[Day]]&lt;15,2,IF(TableAopCalendar[[#This Row],[Day]]&lt;22,3,IF(TableAopCalendar[[#This Row],[Day]]&lt;29,4,IF(TableAopCalendar[[#This Row],[Day]]&lt;32,5)))))</f>
        <v>2</v>
      </c>
      <c r="G1805" s="32" t="str">
        <f t="shared" si="100"/>
        <v>Week 2</v>
      </c>
      <c r="H1805" s="32" t="str">
        <f t="shared" si="101"/>
        <v>March 27 Week 2</v>
      </c>
      <c r="I1805" s="32" t="str">
        <f>CONCATENATE(UPPER(TableAopCalendar[[#This Row],[Month]])," ",TableAopCalendar[[#This Row],[Year]])</f>
        <v>MARCH 27</v>
      </c>
      <c r="J1805" s="7" t="s">
        <v>274</v>
      </c>
      <c r="K1805" s="32" t="str">
        <f>CONCATENATE(TableAopCalendar[[#This Row],[Month for Plan]]," ",TableAopCalendar[[#This Row],[Plan]])</f>
        <v>MARCH 27 PLANNED</v>
      </c>
    </row>
    <row r="1806" spans="1:11" x14ac:dyDescent="0.3">
      <c r="A1806" s="32">
        <f t="shared" si="99"/>
        <v>3</v>
      </c>
      <c r="B1806" s="33">
        <v>46456</v>
      </c>
      <c r="C1806" s="6" t="s">
        <v>273</v>
      </c>
      <c r="D1806" s="34">
        <v>27</v>
      </c>
      <c r="E1806" s="32">
        <f>DAY(TableAopCalendar[[#This Row],[Date]])</f>
        <v>10</v>
      </c>
      <c r="F1806" s="32">
        <f>IF(TableAopCalendar[[#This Row],[Day]]&lt;8,1,IF(TableAopCalendar[[#This Row],[Day]]&lt;15,2,IF(TableAopCalendar[[#This Row],[Day]]&lt;22,3,IF(TableAopCalendar[[#This Row],[Day]]&lt;29,4,IF(TableAopCalendar[[#This Row],[Day]]&lt;32,5)))))</f>
        <v>2</v>
      </c>
      <c r="G1806" s="32" t="str">
        <f t="shared" si="100"/>
        <v>Week 2</v>
      </c>
      <c r="H1806" s="32" t="str">
        <f t="shared" si="101"/>
        <v>March 27 Week 2</v>
      </c>
      <c r="I1806" s="32" t="str">
        <f>CONCATENATE(UPPER(TableAopCalendar[[#This Row],[Month]])," ",TableAopCalendar[[#This Row],[Year]])</f>
        <v>MARCH 27</v>
      </c>
      <c r="J1806" s="7" t="s">
        <v>274</v>
      </c>
      <c r="K1806" s="32" t="str">
        <f>CONCATENATE(TableAopCalendar[[#This Row],[Month for Plan]]," ",TableAopCalendar[[#This Row],[Plan]])</f>
        <v>MARCH 27 PLANNED</v>
      </c>
    </row>
    <row r="1807" spans="1:11" x14ac:dyDescent="0.3">
      <c r="A1807" s="32">
        <f t="shared" si="99"/>
        <v>4</v>
      </c>
      <c r="B1807" s="33">
        <v>46457</v>
      </c>
      <c r="C1807" s="6" t="s">
        <v>273</v>
      </c>
      <c r="D1807" s="34">
        <v>27</v>
      </c>
      <c r="E1807" s="32">
        <f>DAY(TableAopCalendar[[#This Row],[Date]])</f>
        <v>11</v>
      </c>
      <c r="F1807" s="32">
        <f>IF(TableAopCalendar[[#This Row],[Day]]&lt;8,1,IF(TableAopCalendar[[#This Row],[Day]]&lt;15,2,IF(TableAopCalendar[[#This Row],[Day]]&lt;22,3,IF(TableAopCalendar[[#This Row],[Day]]&lt;29,4,IF(TableAopCalendar[[#This Row],[Day]]&lt;32,5)))))</f>
        <v>2</v>
      </c>
      <c r="G1807" s="32" t="str">
        <f t="shared" si="100"/>
        <v>Week 2</v>
      </c>
      <c r="H1807" s="32" t="str">
        <f t="shared" si="101"/>
        <v>March 27 Week 2</v>
      </c>
      <c r="I1807" s="32" t="str">
        <f>CONCATENATE(UPPER(TableAopCalendar[[#This Row],[Month]])," ",TableAopCalendar[[#This Row],[Year]])</f>
        <v>MARCH 27</v>
      </c>
      <c r="J1807" s="7" t="s">
        <v>274</v>
      </c>
      <c r="K1807" s="32" t="str">
        <f>CONCATENATE(TableAopCalendar[[#This Row],[Month for Plan]]," ",TableAopCalendar[[#This Row],[Plan]])</f>
        <v>MARCH 27 PLANNED</v>
      </c>
    </row>
    <row r="1808" spans="1:11" x14ac:dyDescent="0.3">
      <c r="A1808" s="32">
        <f t="shared" si="99"/>
        <v>5</v>
      </c>
      <c r="B1808" s="33">
        <v>46458</v>
      </c>
      <c r="C1808" s="6" t="s">
        <v>273</v>
      </c>
      <c r="D1808" s="34">
        <v>27</v>
      </c>
      <c r="E1808" s="32">
        <f>DAY(TableAopCalendar[[#This Row],[Date]])</f>
        <v>12</v>
      </c>
      <c r="F1808" s="32">
        <f>IF(TableAopCalendar[[#This Row],[Day]]&lt;8,1,IF(TableAopCalendar[[#This Row],[Day]]&lt;15,2,IF(TableAopCalendar[[#This Row],[Day]]&lt;22,3,IF(TableAopCalendar[[#This Row],[Day]]&lt;29,4,IF(TableAopCalendar[[#This Row],[Day]]&lt;32,5)))))</f>
        <v>2</v>
      </c>
      <c r="G1808" s="32" t="str">
        <f t="shared" si="100"/>
        <v>Week 2</v>
      </c>
      <c r="H1808" s="32" t="str">
        <f t="shared" si="101"/>
        <v>March 27 Week 2</v>
      </c>
      <c r="I1808" s="32" t="str">
        <f>CONCATENATE(UPPER(TableAopCalendar[[#This Row],[Month]])," ",TableAopCalendar[[#This Row],[Year]])</f>
        <v>MARCH 27</v>
      </c>
      <c r="J1808" s="7" t="s">
        <v>274</v>
      </c>
      <c r="K1808" s="32" t="str">
        <f>CONCATENATE(TableAopCalendar[[#This Row],[Month for Plan]]," ",TableAopCalendar[[#This Row],[Plan]])</f>
        <v>MARCH 27 PLANNED</v>
      </c>
    </row>
    <row r="1809" spans="1:11" x14ac:dyDescent="0.3">
      <c r="A1809" s="32">
        <f t="shared" si="99"/>
        <v>6</v>
      </c>
      <c r="B1809" s="33">
        <v>46459</v>
      </c>
      <c r="C1809" s="6" t="s">
        <v>273</v>
      </c>
      <c r="D1809" s="34">
        <v>27</v>
      </c>
      <c r="E1809" s="32">
        <f>DAY(TableAopCalendar[[#This Row],[Date]])</f>
        <v>13</v>
      </c>
      <c r="F1809" s="32">
        <f>IF(TableAopCalendar[[#This Row],[Day]]&lt;8,1,IF(TableAopCalendar[[#This Row],[Day]]&lt;15,2,IF(TableAopCalendar[[#This Row],[Day]]&lt;22,3,IF(TableAopCalendar[[#This Row],[Day]]&lt;29,4,IF(TableAopCalendar[[#This Row],[Day]]&lt;32,5)))))</f>
        <v>2</v>
      </c>
      <c r="G1809" s="32" t="str">
        <f t="shared" si="100"/>
        <v>Week 2</v>
      </c>
      <c r="H1809" s="32" t="str">
        <f t="shared" si="101"/>
        <v>March 27 Week 2</v>
      </c>
      <c r="I1809" s="32" t="str">
        <f>CONCATENATE(UPPER(TableAopCalendar[[#This Row],[Month]])," ",TableAopCalendar[[#This Row],[Year]])</f>
        <v>MARCH 27</v>
      </c>
      <c r="J1809" s="7" t="s">
        <v>274</v>
      </c>
      <c r="K1809" s="32" t="str">
        <f>CONCATENATE(TableAopCalendar[[#This Row],[Month for Plan]]," ",TableAopCalendar[[#This Row],[Plan]])</f>
        <v>MARCH 27 PLANNED</v>
      </c>
    </row>
    <row r="1810" spans="1:11" x14ac:dyDescent="0.3">
      <c r="A1810" s="32">
        <f t="shared" si="99"/>
        <v>7</v>
      </c>
      <c r="B1810" s="33">
        <v>46460</v>
      </c>
      <c r="C1810" s="6" t="s">
        <v>273</v>
      </c>
      <c r="D1810" s="34">
        <v>27</v>
      </c>
      <c r="E1810" s="32">
        <f>DAY(TableAopCalendar[[#This Row],[Date]])</f>
        <v>14</v>
      </c>
      <c r="F1810" s="32">
        <f>IF(TableAopCalendar[[#This Row],[Day]]&lt;8,1,IF(TableAopCalendar[[#This Row],[Day]]&lt;15,2,IF(TableAopCalendar[[#This Row],[Day]]&lt;22,3,IF(TableAopCalendar[[#This Row],[Day]]&lt;29,4,IF(TableAopCalendar[[#This Row],[Day]]&lt;32,5)))))</f>
        <v>2</v>
      </c>
      <c r="G1810" s="32" t="str">
        <f t="shared" si="100"/>
        <v>Week 2</v>
      </c>
      <c r="H1810" s="32" t="str">
        <f t="shared" si="101"/>
        <v>March 27 Week 2</v>
      </c>
      <c r="I1810" s="32" t="str">
        <f>CONCATENATE(UPPER(TableAopCalendar[[#This Row],[Month]])," ",TableAopCalendar[[#This Row],[Year]])</f>
        <v>MARCH 27</v>
      </c>
      <c r="J1810" s="7" t="s">
        <v>274</v>
      </c>
      <c r="K1810" s="32" t="str">
        <f>CONCATENATE(TableAopCalendar[[#This Row],[Month for Plan]]," ",TableAopCalendar[[#This Row],[Plan]])</f>
        <v>MARCH 27 PLANNED</v>
      </c>
    </row>
    <row r="1811" spans="1:11" x14ac:dyDescent="0.3">
      <c r="A1811" s="32">
        <f t="shared" si="99"/>
        <v>1</v>
      </c>
      <c r="B1811" s="33">
        <v>46461</v>
      </c>
      <c r="C1811" s="6" t="s">
        <v>273</v>
      </c>
      <c r="D1811" s="34">
        <v>27</v>
      </c>
      <c r="E1811" s="32">
        <f>DAY(TableAopCalendar[[#This Row],[Date]])</f>
        <v>15</v>
      </c>
      <c r="F1811" s="32">
        <f>IF(TableAopCalendar[[#This Row],[Day]]&lt;8,1,IF(TableAopCalendar[[#This Row],[Day]]&lt;15,2,IF(TableAopCalendar[[#This Row],[Day]]&lt;22,3,IF(TableAopCalendar[[#This Row],[Day]]&lt;29,4,IF(TableAopCalendar[[#This Row],[Day]]&lt;32,5)))))</f>
        <v>3</v>
      </c>
      <c r="G1811" s="32" t="str">
        <f t="shared" si="100"/>
        <v>Week 3</v>
      </c>
      <c r="H1811" s="32" t="str">
        <f t="shared" si="101"/>
        <v>March 27 Week 3</v>
      </c>
      <c r="I1811" s="32" t="str">
        <f>CONCATENATE(UPPER(TableAopCalendar[[#This Row],[Month]])," ",TableAopCalendar[[#This Row],[Year]])</f>
        <v>MARCH 27</v>
      </c>
      <c r="J1811" s="7" t="s">
        <v>274</v>
      </c>
      <c r="K1811" s="32" t="str">
        <f>CONCATENATE(TableAopCalendar[[#This Row],[Month for Plan]]," ",TableAopCalendar[[#This Row],[Plan]])</f>
        <v>MARCH 27 PLANNED</v>
      </c>
    </row>
    <row r="1812" spans="1:11" x14ac:dyDescent="0.3">
      <c r="A1812" s="32">
        <f t="shared" si="99"/>
        <v>2</v>
      </c>
      <c r="B1812" s="33">
        <v>46462</v>
      </c>
      <c r="C1812" s="6" t="s">
        <v>273</v>
      </c>
      <c r="D1812" s="34">
        <v>27</v>
      </c>
      <c r="E1812" s="32">
        <f>DAY(TableAopCalendar[[#This Row],[Date]])</f>
        <v>16</v>
      </c>
      <c r="F1812" s="32">
        <f>IF(TableAopCalendar[[#This Row],[Day]]&lt;8,1,IF(TableAopCalendar[[#This Row],[Day]]&lt;15,2,IF(TableAopCalendar[[#This Row],[Day]]&lt;22,3,IF(TableAopCalendar[[#This Row],[Day]]&lt;29,4,IF(TableAopCalendar[[#This Row],[Day]]&lt;32,5)))))</f>
        <v>3</v>
      </c>
      <c r="G1812" s="32" t="str">
        <f t="shared" si="100"/>
        <v>Week 3</v>
      </c>
      <c r="H1812" s="32" t="str">
        <f t="shared" si="101"/>
        <v>March 27 Week 3</v>
      </c>
      <c r="I1812" s="32" t="str">
        <f>CONCATENATE(UPPER(TableAopCalendar[[#This Row],[Month]])," ",TableAopCalendar[[#This Row],[Year]])</f>
        <v>MARCH 27</v>
      </c>
      <c r="J1812" s="7" t="s">
        <v>274</v>
      </c>
      <c r="K1812" s="32" t="str">
        <f>CONCATENATE(TableAopCalendar[[#This Row],[Month for Plan]]," ",TableAopCalendar[[#This Row],[Plan]])</f>
        <v>MARCH 27 PLANNED</v>
      </c>
    </row>
    <row r="1813" spans="1:11" x14ac:dyDescent="0.3">
      <c r="A1813" s="32">
        <f t="shared" si="99"/>
        <v>3</v>
      </c>
      <c r="B1813" s="33">
        <v>46463</v>
      </c>
      <c r="C1813" s="6" t="s">
        <v>273</v>
      </c>
      <c r="D1813" s="34">
        <v>27</v>
      </c>
      <c r="E1813" s="32">
        <f>DAY(TableAopCalendar[[#This Row],[Date]])</f>
        <v>17</v>
      </c>
      <c r="F1813" s="32">
        <f>IF(TableAopCalendar[[#This Row],[Day]]&lt;8,1,IF(TableAopCalendar[[#This Row],[Day]]&lt;15,2,IF(TableAopCalendar[[#This Row],[Day]]&lt;22,3,IF(TableAopCalendar[[#This Row],[Day]]&lt;29,4,IF(TableAopCalendar[[#This Row],[Day]]&lt;32,5)))))</f>
        <v>3</v>
      </c>
      <c r="G1813" s="32" t="str">
        <f t="shared" si="100"/>
        <v>Week 3</v>
      </c>
      <c r="H1813" s="32" t="str">
        <f t="shared" si="101"/>
        <v>March 27 Week 3</v>
      </c>
      <c r="I1813" s="32" t="str">
        <f>CONCATENATE(UPPER(TableAopCalendar[[#This Row],[Month]])," ",TableAopCalendar[[#This Row],[Year]])</f>
        <v>MARCH 27</v>
      </c>
      <c r="J1813" s="7" t="s">
        <v>274</v>
      </c>
      <c r="K1813" s="32" t="str">
        <f>CONCATENATE(TableAopCalendar[[#This Row],[Month for Plan]]," ",TableAopCalendar[[#This Row],[Plan]])</f>
        <v>MARCH 27 PLANNED</v>
      </c>
    </row>
    <row r="1814" spans="1:11" x14ac:dyDescent="0.3">
      <c r="A1814" s="32">
        <f t="shared" si="99"/>
        <v>4</v>
      </c>
      <c r="B1814" s="33">
        <v>46464</v>
      </c>
      <c r="C1814" s="6" t="s">
        <v>273</v>
      </c>
      <c r="D1814" s="34">
        <v>27</v>
      </c>
      <c r="E1814" s="32">
        <f>DAY(TableAopCalendar[[#This Row],[Date]])</f>
        <v>18</v>
      </c>
      <c r="F1814" s="32">
        <f>IF(TableAopCalendar[[#This Row],[Day]]&lt;8,1,IF(TableAopCalendar[[#This Row],[Day]]&lt;15,2,IF(TableAopCalendar[[#This Row],[Day]]&lt;22,3,IF(TableAopCalendar[[#This Row],[Day]]&lt;29,4,IF(TableAopCalendar[[#This Row],[Day]]&lt;32,5)))))</f>
        <v>3</v>
      </c>
      <c r="G1814" s="32" t="str">
        <f t="shared" si="100"/>
        <v>Week 3</v>
      </c>
      <c r="H1814" s="32" t="str">
        <f t="shared" si="101"/>
        <v>March 27 Week 3</v>
      </c>
      <c r="I1814" s="32" t="str">
        <f>CONCATENATE(UPPER(TableAopCalendar[[#This Row],[Month]])," ",TableAopCalendar[[#This Row],[Year]])</f>
        <v>MARCH 27</v>
      </c>
      <c r="J1814" s="7" t="s">
        <v>274</v>
      </c>
      <c r="K1814" s="32" t="str">
        <f>CONCATENATE(TableAopCalendar[[#This Row],[Month for Plan]]," ",TableAopCalendar[[#This Row],[Plan]])</f>
        <v>MARCH 27 PLANNED</v>
      </c>
    </row>
    <row r="1815" spans="1:11" x14ac:dyDescent="0.3">
      <c r="A1815" s="32">
        <f t="shared" si="99"/>
        <v>5</v>
      </c>
      <c r="B1815" s="33">
        <v>46465</v>
      </c>
      <c r="C1815" s="6" t="s">
        <v>273</v>
      </c>
      <c r="D1815" s="34">
        <v>27</v>
      </c>
      <c r="E1815" s="32">
        <f>DAY(TableAopCalendar[[#This Row],[Date]])</f>
        <v>19</v>
      </c>
      <c r="F1815" s="32">
        <f>IF(TableAopCalendar[[#This Row],[Day]]&lt;8,1,IF(TableAopCalendar[[#This Row],[Day]]&lt;15,2,IF(TableAopCalendar[[#This Row],[Day]]&lt;22,3,IF(TableAopCalendar[[#This Row],[Day]]&lt;29,4,IF(TableAopCalendar[[#This Row],[Day]]&lt;32,5)))))</f>
        <v>3</v>
      </c>
      <c r="G1815" s="32" t="str">
        <f t="shared" si="100"/>
        <v>Week 3</v>
      </c>
      <c r="H1815" s="32" t="str">
        <f t="shared" si="101"/>
        <v>March 27 Week 3</v>
      </c>
      <c r="I1815" s="32" t="str">
        <f>CONCATENATE(UPPER(TableAopCalendar[[#This Row],[Month]])," ",TableAopCalendar[[#This Row],[Year]])</f>
        <v>MARCH 27</v>
      </c>
      <c r="J1815" s="7" t="s">
        <v>274</v>
      </c>
      <c r="K1815" s="32" t="str">
        <f>CONCATENATE(TableAopCalendar[[#This Row],[Month for Plan]]," ",TableAopCalendar[[#This Row],[Plan]])</f>
        <v>MARCH 27 PLANNED</v>
      </c>
    </row>
    <row r="1816" spans="1:11" x14ac:dyDescent="0.3">
      <c r="A1816" s="32">
        <f t="shared" si="99"/>
        <v>6</v>
      </c>
      <c r="B1816" s="33">
        <v>46466</v>
      </c>
      <c r="C1816" s="6" t="s">
        <v>273</v>
      </c>
      <c r="D1816" s="34">
        <v>27</v>
      </c>
      <c r="E1816" s="32">
        <f>DAY(TableAopCalendar[[#This Row],[Date]])</f>
        <v>20</v>
      </c>
      <c r="F1816" s="32">
        <f>IF(TableAopCalendar[[#This Row],[Day]]&lt;8,1,IF(TableAopCalendar[[#This Row],[Day]]&lt;15,2,IF(TableAopCalendar[[#This Row],[Day]]&lt;22,3,IF(TableAopCalendar[[#This Row],[Day]]&lt;29,4,IF(TableAopCalendar[[#This Row],[Day]]&lt;32,5)))))</f>
        <v>3</v>
      </c>
      <c r="G1816" s="32" t="str">
        <f t="shared" si="100"/>
        <v>Week 3</v>
      </c>
      <c r="H1816" s="32" t="str">
        <f t="shared" si="101"/>
        <v>March 27 Week 3</v>
      </c>
      <c r="I1816" s="32" t="str">
        <f>CONCATENATE(UPPER(TableAopCalendar[[#This Row],[Month]])," ",TableAopCalendar[[#This Row],[Year]])</f>
        <v>MARCH 27</v>
      </c>
      <c r="J1816" s="7" t="s">
        <v>274</v>
      </c>
      <c r="K1816" s="32" t="str">
        <f>CONCATENATE(TableAopCalendar[[#This Row],[Month for Plan]]," ",TableAopCalendar[[#This Row],[Plan]])</f>
        <v>MARCH 27 PLANNED</v>
      </c>
    </row>
    <row r="1817" spans="1:11" x14ac:dyDescent="0.3">
      <c r="A1817" s="32">
        <f t="shared" si="99"/>
        <v>7</v>
      </c>
      <c r="B1817" s="33">
        <v>46467</v>
      </c>
      <c r="C1817" s="6" t="s">
        <v>273</v>
      </c>
      <c r="D1817" s="34">
        <v>27</v>
      </c>
      <c r="E1817" s="32">
        <f>DAY(TableAopCalendar[[#This Row],[Date]])</f>
        <v>21</v>
      </c>
      <c r="F1817" s="32">
        <f>IF(TableAopCalendar[[#This Row],[Day]]&lt;8,1,IF(TableAopCalendar[[#This Row],[Day]]&lt;15,2,IF(TableAopCalendar[[#This Row],[Day]]&lt;22,3,IF(TableAopCalendar[[#This Row],[Day]]&lt;29,4,IF(TableAopCalendar[[#This Row],[Day]]&lt;32,5)))))</f>
        <v>3</v>
      </c>
      <c r="G1817" s="32" t="str">
        <f t="shared" si="100"/>
        <v>Week 3</v>
      </c>
      <c r="H1817" s="32" t="str">
        <f t="shared" si="101"/>
        <v>March 27 Week 3</v>
      </c>
      <c r="I1817" s="32" t="str">
        <f>CONCATENATE(UPPER(TableAopCalendar[[#This Row],[Month]])," ",TableAopCalendar[[#This Row],[Year]])</f>
        <v>MARCH 27</v>
      </c>
      <c r="J1817" s="7" t="s">
        <v>274</v>
      </c>
      <c r="K1817" s="32" t="str">
        <f>CONCATENATE(TableAopCalendar[[#This Row],[Month for Plan]]," ",TableAopCalendar[[#This Row],[Plan]])</f>
        <v>MARCH 27 PLANNED</v>
      </c>
    </row>
    <row r="1818" spans="1:11" x14ac:dyDescent="0.3">
      <c r="A1818" s="32">
        <f t="shared" si="99"/>
        <v>1</v>
      </c>
      <c r="B1818" s="33">
        <v>46468</v>
      </c>
      <c r="C1818" s="6" t="s">
        <v>273</v>
      </c>
      <c r="D1818" s="34">
        <v>27</v>
      </c>
      <c r="E1818" s="32">
        <f>DAY(TableAopCalendar[[#This Row],[Date]])</f>
        <v>22</v>
      </c>
      <c r="F1818" s="32">
        <f>IF(TableAopCalendar[[#This Row],[Day]]&lt;8,1,IF(TableAopCalendar[[#This Row],[Day]]&lt;15,2,IF(TableAopCalendar[[#This Row],[Day]]&lt;22,3,IF(TableAopCalendar[[#This Row],[Day]]&lt;29,4,IF(TableAopCalendar[[#This Row],[Day]]&lt;32,5)))))</f>
        <v>4</v>
      </c>
      <c r="G1818" s="32" t="str">
        <f t="shared" si="100"/>
        <v>Week 4</v>
      </c>
      <c r="H1818" s="32" t="str">
        <f t="shared" si="101"/>
        <v>March 27 Week 4</v>
      </c>
      <c r="I1818" s="32" t="str">
        <f>CONCATENATE(UPPER(TableAopCalendar[[#This Row],[Month]])," ",TableAopCalendar[[#This Row],[Year]])</f>
        <v>MARCH 27</v>
      </c>
      <c r="J1818" s="7" t="s">
        <v>274</v>
      </c>
      <c r="K1818" s="32" t="str">
        <f>CONCATENATE(TableAopCalendar[[#This Row],[Month for Plan]]," ",TableAopCalendar[[#This Row],[Plan]])</f>
        <v>MARCH 27 PLANNED</v>
      </c>
    </row>
    <row r="1819" spans="1:11" x14ac:dyDescent="0.3">
      <c r="A1819" s="32">
        <f t="shared" si="99"/>
        <v>2</v>
      </c>
      <c r="B1819" s="33">
        <v>46469</v>
      </c>
      <c r="C1819" s="6" t="s">
        <v>273</v>
      </c>
      <c r="D1819" s="34">
        <v>27</v>
      </c>
      <c r="E1819" s="32">
        <f>DAY(TableAopCalendar[[#This Row],[Date]])</f>
        <v>23</v>
      </c>
      <c r="F1819" s="32">
        <f>IF(TableAopCalendar[[#This Row],[Day]]&lt;8,1,IF(TableAopCalendar[[#This Row],[Day]]&lt;15,2,IF(TableAopCalendar[[#This Row],[Day]]&lt;22,3,IF(TableAopCalendar[[#This Row],[Day]]&lt;29,4,IF(TableAopCalendar[[#This Row],[Day]]&lt;32,5)))))</f>
        <v>4</v>
      </c>
      <c r="G1819" s="32" t="str">
        <f t="shared" si="100"/>
        <v>Week 4</v>
      </c>
      <c r="H1819" s="32" t="str">
        <f t="shared" si="101"/>
        <v>March 27 Week 4</v>
      </c>
      <c r="I1819" s="32" t="str">
        <f>CONCATENATE(UPPER(TableAopCalendar[[#This Row],[Month]])," ",TableAopCalendar[[#This Row],[Year]])</f>
        <v>MARCH 27</v>
      </c>
      <c r="J1819" s="7" t="s">
        <v>274</v>
      </c>
      <c r="K1819" s="32" t="str">
        <f>CONCATENATE(TableAopCalendar[[#This Row],[Month for Plan]]," ",TableAopCalendar[[#This Row],[Plan]])</f>
        <v>MARCH 27 PLANNED</v>
      </c>
    </row>
    <row r="1820" spans="1:11" x14ac:dyDescent="0.3">
      <c r="A1820" s="32">
        <f t="shared" si="99"/>
        <v>3</v>
      </c>
      <c r="B1820" s="33">
        <v>46470</v>
      </c>
      <c r="C1820" s="6" t="s">
        <v>273</v>
      </c>
      <c r="D1820" s="34">
        <v>27</v>
      </c>
      <c r="E1820" s="32">
        <f>DAY(TableAopCalendar[[#This Row],[Date]])</f>
        <v>24</v>
      </c>
      <c r="F1820" s="32">
        <f>IF(TableAopCalendar[[#This Row],[Day]]&lt;8,1,IF(TableAopCalendar[[#This Row],[Day]]&lt;15,2,IF(TableAopCalendar[[#This Row],[Day]]&lt;22,3,IF(TableAopCalendar[[#This Row],[Day]]&lt;29,4,IF(TableAopCalendar[[#This Row],[Day]]&lt;32,5)))))</f>
        <v>4</v>
      </c>
      <c r="G1820" s="32" t="str">
        <f t="shared" si="100"/>
        <v>Week 4</v>
      </c>
      <c r="H1820" s="32" t="str">
        <f t="shared" si="101"/>
        <v>March 27 Week 4</v>
      </c>
      <c r="I1820" s="32" t="str">
        <f>CONCATENATE(UPPER(TableAopCalendar[[#This Row],[Month]])," ",TableAopCalendar[[#This Row],[Year]])</f>
        <v>MARCH 27</v>
      </c>
      <c r="J1820" s="7" t="s">
        <v>274</v>
      </c>
      <c r="K1820" s="32" t="str">
        <f>CONCATENATE(TableAopCalendar[[#This Row],[Month for Plan]]," ",TableAopCalendar[[#This Row],[Plan]])</f>
        <v>MARCH 27 PLANNED</v>
      </c>
    </row>
    <row r="1821" spans="1:11" x14ac:dyDescent="0.3">
      <c r="A1821" s="32">
        <f t="shared" si="99"/>
        <v>4</v>
      </c>
      <c r="B1821" s="33">
        <v>46471</v>
      </c>
      <c r="C1821" s="6" t="s">
        <v>273</v>
      </c>
      <c r="D1821" s="34">
        <v>27</v>
      </c>
      <c r="E1821" s="32">
        <f>DAY(TableAopCalendar[[#This Row],[Date]])</f>
        <v>25</v>
      </c>
      <c r="F1821" s="32">
        <f>IF(TableAopCalendar[[#This Row],[Day]]&lt;8,1,IF(TableAopCalendar[[#This Row],[Day]]&lt;15,2,IF(TableAopCalendar[[#This Row],[Day]]&lt;22,3,IF(TableAopCalendar[[#This Row],[Day]]&lt;29,4,IF(TableAopCalendar[[#This Row],[Day]]&lt;32,5)))))</f>
        <v>4</v>
      </c>
      <c r="G1821" s="32" t="str">
        <f t="shared" si="100"/>
        <v>Week 4</v>
      </c>
      <c r="H1821" s="32" t="str">
        <f t="shared" si="101"/>
        <v>March 27 Week 4</v>
      </c>
      <c r="I1821" s="32" t="str">
        <f>CONCATENATE(UPPER(TableAopCalendar[[#This Row],[Month]])," ",TableAopCalendar[[#This Row],[Year]])</f>
        <v>MARCH 27</v>
      </c>
      <c r="J1821" s="7" t="s">
        <v>274</v>
      </c>
      <c r="K1821" s="32" t="str">
        <f>CONCATENATE(TableAopCalendar[[#This Row],[Month for Plan]]," ",TableAopCalendar[[#This Row],[Plan]])</f>
        <v>MARCH 27 PLANNED</v>
      </c>
    </row>
    <row r="1822" spans="1:11" x14ac:dyDescent="0.3">
      <c r="A1822" s="32">
        <f t="shared" si="99"/>
        <v>5</v>
      </c>
      <c r="B1822" s="33">
        <v>46472</v>
      </c>
      <c r="C1822" s="6" t="s">
        <v>273</v>
      </c>
      <c r="D1822" s="34">
        <v>27</v>
      </c>
      <c r="E1822" s="32">
        <f>DAY(TableAopCalendar[[#This Row],[Date]])</f>
        <v>26</v>
      </c>
      <c r="F1822" s="32">
        <f>IF(TableAopCalendar[[#This Row],[Day]]&lt;8,1,IF(TableAopCalendar[[#This Row],[Day]]&lt;15,2,IF(TableAopCalendar[[#This Row],[Day]]&lt;22,3,IF(TableAopCalendar[[#This Row],[Day]]&lt;29,4,IF(TableAopCalendar[[#This Row],[Day]]&lt;32,5)))))</f>
        <v>4</v>
      </c>
      <c r="G1822" s="32" t="str">
        <f t="shared" si="100"/>
        <v>Week 4</v>
      </c>
      <c r="H1822" s="32" t="str">
        <f t="shared" si="101"/>
        <v>March 27 Week 4</v>
      </c>
      <c r="I1822" s="32" t="str">
        <f>CONCATENATE(UPPER(TableAopCalendar[[#This Row],[Month]])," ",TableAopCalendar[[#This Row],[Year]])</f>
        <v>MARCH 27</v>
      </c>
      <c r="J1822" s="7" t="s">
        <v>274</v>
      </c>
      <c r="K1822" s="32" t="str">
        <f>CONCATENATE(TableAopCalendar[[#This Row],[Month for Plan]]," ",TableAopCalendar[[#This Row],[Plan]])</f>
        <v>MARCH 27 PLANNED</v>
      </c>
    </row>
    <row r="1823" spans="1:11" x14ac:dyDescent="0.3">
      <c r="A1823" s="32">
        <f t="shared" si="99"/>
        <v>6</v>
      </c>
      <c r="B1823" s="33">
        <v>46473</v>
      </c>
      <c r="C1823" s="6" t="s">
        <v>273</v>
      </c>
      <c r="D1823" s="34">
        <v>27</v>
      </c>
      <c r="E1823" s="32">
        <f>DAY(TableAopCalendar[[#This Row],[Date]])</f>
        <v>27</v>
      </c>
      <c r="F1823" s="32">
        <f>IF(TableAopCalendar[[#This Row],[Day]]&lt;8,1,IF(TableAopCalendar[[#This Row],[Day]]&lt;15,2,IF(TableAopCalendar[[#This Row],[Day]]&lt;22,3,IF(TableAopCalendar[[#This Row],[Day]]&lt;29,4,IF(TableAopCalendar[[#This Row],[Day]]&lt;32,5)))))</f>
        <v>4</v>
      </c>
      <c r="G1823" s="32" t="str">
        <f t="shared" si="100"/>
        <v>Week 4</v>
      </c>
      <c r="H1823" s="32" t="str">
        <f t="shared" si="101"/>
        <v>March 27 Week 4</v>
      </c>
      <c r="I1823" s="32" t="str">
        <f>CONCATENATE(UPPER(TableAopCalendar[[#This Row],[Month]])," ",TableAopCalendar[[#This Row],[Year]])</f>
        <v>MARCH 27</v>
      </c>
      <c r="J1823" s="7" t="s">
        <v>274</v>
      </c>
      <c r="K1823" s="32" t="str">
        <f>CONCATENATE(TableAopCalendar[[#This Row],[Month for Plan]]," ",TableAopCalendar[[#This Row],[Plan]])</f>
        <v>MARCH 27 PLANNED</v>
      </c>
    </row>
    <row r="1824" spans="1:11" x14ac:dyDescent="0.3">
      <c r="A1824" s="32">
        <f t="shared" si="99"/>
        <v>7</v>
      </c>
      <c r="B1824" s="33">
        <v>46474</v>
      </c>
      <c r="C1824" s="6" t="s">
        <v>273</v>
      </c>
      <c r="D1824" s="34">
        <v>27</v>
      </c>
      <c r="E1824" s="32">
        <f>DAY(TableAopCalendar[[#This Row],[Date]])</f>
        <v>28</v>
      </c>
      <c r="F1824" s="32">
        <f>IF(TableAopCalendar[[#This Row],[Day]]&lt;8,1,IF(TableAopCalendar[[#This Row],[Day]]&lt;15,2,IF(TableAopCalendar[[#This Row],[Day]]&lt;22,3,IF(TableAopCalendar[[#This Row],[Day]]&lt;29,4,IF(TableAopCalendar[[#This Row],[Day]]&lt;32,5)))))</f>
        <v>4</v>
      </c>
      <c r="G1824" s="32" t="str">
        <f t="shared" si="100"/>
        <v>Week 4</v>
      </c>
      <c r="H1824" s="32" t="str">
        <f t="shared" si="101"/>
        <v>March 27 Week 4</v>
      </c>
      <c r="I1824" s="32" t="str">
        <f>CONCATENATE(UPPER(TableAopCalendar[[#This Row],[Month]])," ",TableAopCalendar[[#This Row],[Year]])</f>
        <v>MARCH 27</v>
      </c>
      <c r="J1824" s="7" t="s">
        <v>274</v>
      </c>
      <c r="K1824" s="32" t="str">
        <f>CONCATENATE(TableAopCalendar[[#This Row],[Month for Plan]]," ",TableAopCalendar[[#This Row],[Plan]])</f>
        <v>MARCH 27 PLANNED</v>
      </c>
    </row>
    <row r="1825" spans="1:11" x14ac:dyDescent="0.3">
      <c r="A1825" s="32">
        <f t="shared" si="99"/>
        <v>1</v>
      </c>
      <c r="B1825" s="33">
        <v>46475</v>
      </c>
      <c r="C1825" s="6" t="s">
        <v>273</v>
      </c>
      <c r="D1825" s="34">
        <v>27</v>
      </c>
      <c r="E1825" s="32">
        <f>DAY(TableAopCalendar[[#This Row],[Date]])</f>
        <v>29</v>
      </c>
      <c r="F1825" s="32">
        <f>IF(TableAopCalendar[[#This Row],[Day]]&lt;8,1,IF(TableAopCalendar[[#This Row],[Day]]&lt;15,2,IF(TableAopCalendar[[#This Row],[Day]]&lt;22,3,IF(TableAopCalendar[[#This Row],[Day]]&lt;29,4,IF(TableAopCalendar[[#This Row],[Day]]&lt;32,5)))))</f>
        <v>5</v>
      </c>
      <c r="G1825" s="32" t="str">
        <f t="shared" si="100"/>
        <v>Week 5</v>
      </c>
      <c r="H1825" s="32" t="str">
        <f t="shared" si="101"/>
        <v>March 27 Week 5</v>
      </c>
      <c r="I1825" s="32" t="str">
        <f>CONCATENATE(UPPER(TableAopCalendar[[#This Row],[Month]])," ",TableAopCalendar[[#This Row],[Year]])</f>
        <v>MARCH 27</v>
      </c>
      <c r="J1825" s="7" t="s">
        <v>274</v>
      </c>
      <c r="K1825" s="32" t="str">
        <f>CONCATENATE(TableAopCalendar[[#This Row],[Month for Plan]]," ",TableAopCalendar[[#This Row],[Plan]])</f>
        <v>MARCH 27 PLANNED</v>
      </c>
    </row>
    <row r="1826" spans="1:11" x14ac:dyDescent="0.3">
      <c r="A1826" s="32">
        <f t="shared" si="99"/>
        <v>2</v>
      </c>
      <c r="B1826" s="33">
        <v>46476</v>
      </c>
      <c r="C1826" s="6" t="s">
        <v>273</v>
      </c>
      <c r="D1826" s="34">
        <v>27</v>
      </c>
      <c r="E1826" s="32">
        <f>DAY(TableAopCalendar[[#This Row],[Date]])</f>
        <v>30</v>
      </c>
      <c r="F1826" s="32">
        <f>IF(TableAopCalendar[[#This Row],[Day]]&lt;8,1,IF(TableAopCalendar[[#This Row],[Day]]&lt;15,2,IF(TableAopCalendar[[#This Row],[Day]]&lt;22,3,IF(TableAopCalendar[[#This Row],[Day]]&lt;29,4,IF(TableAopCalendar[[#This Row],[Day]]&lt;32,5)))))</f>
        <v>5</v>
      </c>
      <c r="G1826" s="32" t="str">
        <f t="shared" si="100"/>
        <v>Week 5</v>
      </c>
      <c r="H1826" s="32" t="str">
        <f t="shared" si="101"/>
        <v>March 27 Week 5</v>
      </c>
      <c r="I1826" s="32" t="str">
        <f>CONCATENATE(UPPER(TableAopCalendar[[#This Row],[Month]])," ",TableAopCalendar[[#This Row],[Year]])</f>
        <v>MARCH 27</v>
      </c>
      <c r="J1826" s="7" t="s">
        <v>274</v>
      </c>
      <c r="K1826" s="32" t="str">
        <f>CONCATENATE(TableAopCalendar[[#This Row],[Month for Plan]]," ",TableAopCalendar[[#This Row],[Plan]])</f>
        <v>MARCH 27 PLANNED</v>
      </c>
    </row>
    <row r="1827" spans="1:11" x14ac:dyDescent="0.3">
      <c r="A1827" s="32">
        <f t="shared" si="99"/>
        <v>3</v>
      </c>
      <c r="B1827" s="33">
        <v>46477</v>
      </c>
      <c r="C1827" s="6" t="s">
        <v>273</v>
      </c>
      <c r="D1827" s="34">
        <v>27</v>
      </c>
      <c r="E1827" s="32">
        <f>DAY(TableAopCalendar[[#This Row],[Date]])</f>
        <v>31</v>
      </c>
      <c r="F1827" s="32">
        <f>IF(TableAopCalendar[[#This Row],[Day]]&lt;8,1,IF(TableAopCalendar[[#This Row],[Day]]&lt;15,2,IF(TableAopCalendar[[#This Row],[Day]]&lt;22,3,IF(TableAopCalendar[[#This Row],[Day]]&lt;29,4,IF(TableAopCalendar[[#This Row],[Day]]&lt;32,5)))))</f>
        <v>5</v>
      </c>
      <c r="G1827" s="32" t="str">
        <f t="shared" si="100"/>
        <v>Week 5</v>
      </c>
      <c r="H1827" s="32" t="str">
        <f t="shared" si="101"/>
        <v>March 27 Week 5</v>
      </c>
      <c r="I1827" s="32" t="str">
        <f>CONCATENATE(UPPER(TableAopCalendar[[#This Row],[Month]])," ",TableAopCalendar[[#This Row],[Year]])</f>
        <v>MARCH 27</v>
      </c>
      <c r="J1827" s="7" t="s">
        <v>274</v>
      </c>
      <c r="K1827" s="32" t="str">
        <f>CONCATENATE(TableAopCalendar[[#This Row],[Month for Plan]]," ",TableAopCalendar[[#This Row],[Plan]])</f>
        <v>MARCH 27 PLANNED</v>
      </c>
    </row>
    <row r="1828" spans="1:11" x14ac:dyDescent="0.3">
      <c r="A1828" s="32">
        <f t="shared" ref="A1828:A1891" si="102">IF(G1828=G1827,A1827+1,1)</f>
        <v>1</v>
      </c>
      <c r="B1828" s="33">
        <v>46478</v>
      </c>
      <c r="C1828" s="6" t="s">
        <v>264</v>
      </c>
      <c r="D1828" s="34">
        <v>27</v>
      </c>
      <c r="E1828" s="32">
        <f>DAY(TableAopCalendar[[#This Row],[Date]])</f>
        <v>1</v>
      </c>
      <c r="F1828" s="32">
        <f>IF(TableAopCalendar[[#This Row],[Day]]&lt;8,1,IF(TableAopCalendar[[#This Row],[Day]]&lt;15,2,IF(TableAopCalendar[[#This Row],[Day]]&lt;22,3,IF(TableAopCalendar[[#This Row],[Day]]&lt;29,4,IF(TableAopCalendar[[#This Row],[Day]]&lt;32,5)))))</f>
        <v>1</v>
      </c>
      <c r="G1828" s="32" t="str">
        <f t="shared" ref="G1828:G1891" si="103">"Week"&amp;" "&amp;F1828</f>
        <v>Week 1</v>
      </c>
      <c r="H1828" s="32" t="str">
        <f t="shared" ref="H1828:H1891" si="104">CONCATENATE(C1828," ",D1828," ",G1828)</f>
        <v>April 27 Week 1</v>
      </c>
      <c r="I1828" s="32" t="str">
        <f>CONCATENATE(UPPER(TableAopCalendar[[#This Row],[Month]])," ",TableAopCalendar[[#This Row],[Year]])</f>
        <v>APRIL 27</v>
      </c>
      <c r="J1828" s="7" t="s">
        <v>274</v>
      </c>
      <c r="K1828" s="32" t="str">
        <f>CONCATENATE(TableAopCalendar[[#This Row],[Month for Plan]]," ",TableAopCalendar[[#This Row],[Plan]])</f>
        <v>APRIL 27 PLANNED</v>
      </c>
    </row>
    <row r="1829" spans="1:11" x14ac:dyDescent="0.3">
      <c r="A1829" s="32">
        <f t="shared" si="102"/>
        <v>2</v>
      </c>
      <c r="B1829" s="33">
        <v>46479</v>
      </c>
      <c r="C1829" s="6" t="s">
        <v>264</v>
      </c>
      <c r="D1829" s="34">
        <v>27</v>
      </c>
      <c r="E1829" s="32">
        <f>DAY(TableAopCalendar[[#This Row],[Date]])</f>
        <v>2</v>
      </c>
      <c r="F1829" s="32">
        <f>IF(TableAopCalendar[[#This Row],[Day]]&lt;8,1,IF(TableAopCalendar[[#This Row],[Day]]&lt;15,2,IF(TableAopCalendar[[#This Row],[Day]]&lt;22,3,IF(TableAopCalendar[[#This Row],[Day]]&lt;29,4,IF(TableAopCalendar[[#This Row],[Day]]&lt;32,5)))))</f>
        <v>1</v>
      </c>
      <c r="G1829" s="32" t="str">
        <f t="shared" si="103"/>
        <v>Week 1</v>
      </c>
      <c r="H1829" s="32" t="str">
        <f t="shared" si="104"/>
        <v>April 27 Week 1</v>
      </c>
      <c r="I1829" s="32" t="str">
        <f>CONCATENATE(UPPER(TableAopCalendar[[#This Row],[Month]])," ",TableAopCalendar[[#This Row],[Year]])</f>
        <v>APRIL 27</v>
      </c>
      <c r="J1829" s="7" t="s">
        <v>274</v>
      </c>
      <c r="K1829" s="32" t="str">
        <f>CONCATENATE(TableAopCalendar[[#This Row],[Month for Plan]]," ",TableAopCalendar[[#This Row],[Plan]])</f>
        <v>APRIL 27 PLANNED</v>
      </c>
    </row>
    <row r="1830" spans="1:11" x14ac:dyDescent="0.3">
      <c r="A1830" s="32">
        <f t="shared" si="102"/>
        <v>3</v>
      </c>
      <c r="B1830" s="33">
        <v>46480</v>
      </c>
      <c r="C1830" s="6" t="s">
        <v>264</v>
      </c>
      <c r="D1830" s="34">
        <v>27</v>
      </c>
      <c r="E1830" s="32">
        <f>DAY(TableAopCalendar[[#This Row],[Date]])</f>
        <v>3</v>
      </c>
      <c r="F1830" s="32">
        <f>IF(TableAopCalendar[[#This Row],[Day]]&lt;8,1,IF(TableAopCalendar[[#This Row],[Day]]&lt;15,2,IF(TableAopCalendar[[#This Row],[Day]]&lt;22,3,IF(TableAopCalendar[[#This Row],[Day]]&lt;29,4,IF(TableAopCalendar[[#This Row],[Day]]&lt;32,5)))))</f>
        <v>1</v>
      </c>
      <c r="G1830" s="32" t="str">
        <f t="shared" si="103"/>
        <v>Week 1</v>
      </c>
      <c r="H1830" s="32" t="str">
        <f t="shared" si="104"/>
        <v>April 27 Week 1</v>
      </c>
      <c r="I1830" s="32" t="str">
        <f>CONCATENATE(UPPER(TableAopCalendar[[#This Row],[Month]])," ",TableAopCalendar[[#This Row],[Year]])</f>
        <v>APRIL 27</v>
      </c>
      <c r="J1830" s="7" t="s">
        <v>274</v>
      </c>
      <c r="K1830" s="32" t="str">
        <f>CONCATENATE(TableAopCalendar[[#This Row],[Month for Plan]]," ",TableAopCalendar[[#This Row],[Plan]])</f>
        <v>APRIL 27 PLANNED</v>
      </c>
    </row>
    <row r="1831" spans="1:11" x14ac:dyDescent="0.3">
      <c r="A1831" s="32">
        <f t="shared" si="102"/>
        <v>4</v>
      </c>
      <c r="B1831" s="33">
        <v>46481</v>
      </c>
      <c r="C1831" s="6" t="s">
        <v>264</v>
      </c>
      <c r="D1831" s="34">
        <v>27</v>
      </c>
      <c r="E1831" s="32">
        <f>DAY(TableAopCalendar[[#This Row],[Date]])</f>
        <v>4</v>
      </c>
      <c r="F1831" s="32">
        <f>IF(TableAopCalendar[[#This Row],[Day]]&lt;8,1,IF(TableAopCalendar[[#This Row],[Day]]&lt;15,2,IF(TableAopCalendar[[#This Row],[Day]]&lt;22,3,IF(TableAopCalendar[[#This Row],[Day]]&lt;29,4,IF(TableAopCalendar[[#This Row],[Day]]&lt;32,5)))))</f>
        <v>1</v>
      </c>
      <c r="G1831" s="32" t="str">
        <f t="shared" si="103"/>
        <v>Week 1</v>
      </c>
      <c r="H1831" s="32" t="str">
        <f t="shared" si="104"/>
        <v>April 27 Week 1</v>
      </c>
      <c r="I1831" s="32" t="str">
        <f>CONCATENATE(UPPER(TableAopCalendar[[#This Row],[Month]])," ",TableAopCalendar[[#This Row],[Year]])</f>
        <v>APRIL 27</v>
      </c>
      <c r="J1831" s="7" t="s">
        <v>274</v>
      </c>
      <c r="K1831" s="32" t="str">
        <f>CONCATENATE(TableAopCalendar[[#This Row],[Month for Plan]]," ",TableAopCalendar[[#This Row],[Plan]])</f>
        <v>APRIL 27 PLANNED</v>
      </c>
    </row>
    <row r="1832" spans="1:11" x14ac:dyDescent="0.3">
      <c r="A1832" s="32">
        <f t="shared" si="102"/>
        <v>5</v>
      </c>
      <c r="B1832" s="33">
        <v>46482</v>
      </c>
      <c r="C1832" s="6" t="s">
        <v>264</v>
      </c>
      <c r="D1832" s="34">
        <v>27</v>
      </c>
      <c r="E1832" s="32">
        <f>DAY(TableAopCalendar[[#This Row],[Date]])</f>
        <v>5</v>
      </c>
      <c r="F1832" s="32">
        <f>IF(TableAopCalendar[[#This Row],[Day]]&lt;8,1,IF(TableAopCalendar[[#This Row],[Day]]&lt;15,2,IF(TableAopCalendar[[#This Row],[Day]]&lt;22,3,IF(TableAopCalendar[[#This Row],[Day]]&lt;29,4,IF(TableAopCalendar[[#This Row],[Day]]&lt;32,5)))))</f>
        <v>1</v>
      </c>
      <c r="G1832" s="32" t="str">
        <f t="shared" si="103"/>
        <v>Week 1</v>
      </c>
      <c r="H1832" s="32" t="str">
        <f t="shared" si="104"/>
        <v>April 27 Week 1</v>
      </c>
      <c r="I1832" s="32" t="str">
        <f>CONCATENATE(UPPER(TableAopCalendar[[#This Row],[Month]])," ",TableAopCalendar[[#This Row],[Year]])</f>
        <v>APRIL 27</v>
      </c>
      <c r="J1832" s="7" t="s">
        <v>274</v>
      </c>
      <c r="K1832" s="32" t="str">
        <f>CONCATENATE(TableAopCalendar[[#This Row],[Month for Plan]]," ",TableAopCalendar[[#This Row],[Plan]])</f>
        <v>APRIL 27 PLANNED</v>
      </c>
    </row>
    <row r="1833" spans="1:11" x14ac:dyDescent="0.3">
      <c r="A1833" s="32">
        <f t="shared" si="102"/>
        <v>6</v>
      </c>
      <c r="B1833" s="33">
        <v>46483</v>
      </c>
      <c r="C1833" s="6" t="s">
        <v>264</v>
      </c>
      <c r="D1833" s="34">
        <v>27</v>
      </c>
      <c r="E1833" s="32">
        <f>DAY(TableAopCalendar[[#This Row],[Date]])</f>
        <v>6</v>
      </c>
      <c r="F1833" s="32">
        <f>IF(TableAopCalendar[[#This Row],[Day]]&lt;8,1,IF(TableAopCalendar[[#This Row],[Day]]&lt;15,2,IF(TableAopCalendar[[#This Row],[Day]]&lt;22,3,IF(TableAopCalendar[[#This Row],[Day]]&lt;29,4,IF(TableAopCalendar[[#This Row],[Day]]&lt;32,5)))))</f>
        <v>1</v>
      </c>
      <c r="G1833" s="32" t="str">
        <f t="shared" si="103"/>
        <v>Week 1</v>
      </c>
      <c r="H1833" s="32" t="str">
        <f t="shared" si="104"/>
        <v>April 27 Week 1</v>
      </c>
      <c r="I1833" s="32" t="str">
        <f>CONCATENATE(UPPER(TableAopCalendar[[#This Row],[Month]])," ",TableAopCalendar[[#This Row],[Year]])</f>
        <v>APRIL 27</v>
      </c>
      <c r="J1833" s="7" t="s">
        <v>274</v>
      </c>
      <c r="K1833" s="32" t="str">
        <f>CONCATENATE(TableAopCalendar[[#This Row],[Month for Plan]]," ",TableAopCalendar[[#This Row],[Plan]])</f>
        <v>APRIL 27 PLANNED</v>
      </c>
    </row>
    <row r="1834" spans="1:11" x14ac:dyDescent="0.3">
      <c r="A1834" s="32">
        <f t="shared" si="102"/>
        <v>7</v>
      </c>
      <c r="B1834" s="33">
        <v>46484</v>
      </c>
      <c r="C1834" s="6" t="s">
        <v>264</v>
      </c>
      <c r="D1834" s="34">
        <v>27</v>
      </c>
      <c r="E1834" s="32">
        <f>DAY(TableAopCalendar[[#This Row],[Date]])</f>
        <v>7</v>
      </c>
      <c r="F1834" s="32">
        <f>IF(TableAopCalendar[[#This Row],[Day]]&lt;8,1,IF(TableAopCalendar[[#This Row],[Day]]&lt;15,2,IF(TableAopCalendar[[#This Row],[Day]]&lt;22,3,IF(TableAopCalendar[[#This Row],[Day]]&lt;29,4,IF(TableAopCalendar[[#This Row],[Day]]&lt;32,5)))))</f>
        <v>1</v>
      </c>
      <c r="G1834" s="32" t="str">
        <f t="shared" si="103"/>
        <v>Week 1</v>
      </c>
      <c r="H1834" s="32" t="str">
        <f t="shared" si="104"/>
        <v>April 27 Week 1</v>
      </c>
      <c r="I1834" s="32" t="str">
        <f>CONCATENATE(UPPER(TableAopCalendar[[#This Row],[Month]])," ",TableAopCalendar[[#This Row],[Year]])</f>
        <v>APRIL 27</v>
      </c>
      <c r="J1834" s="7" t="s">
        <v>274</v>
      </c>
      <c r="K1834" s="32" t="str">
        <f>CONCATENATE(TableAopCalendar[[#This Row],[Month for Plan]]," ",TableAopCalendar[[#This Row],[Plan]])</f>
        <v>APRIL 27 PLANNED</v>
      </c>
    </row>
    <row r="1835" spans="1:11" x14ac:dyDescent="0.3">
      <c r="A1835" s="32">
        <f t="shared" si="102"/>
        <v>1</v>
      </c>
      <c r="B1835" s="33">
        <v>46485</v>
      </c>
      <c r="C1835" s="6" t="s">
        <v>264</v>
      </c>
      <c r="D1835" s="34">
        <v>27</v>
      </c>
      <c r="E1835" s="32">
        <f>DAY(TableAopCalendar[[#This Row],[Date]])</f>
        <v>8</v>
      </c>
      <c r="F1835" s="32">
        <f>IF(TableAopCalendar[[#This Row],[Day]]&lt;8,1,IF(TableAopCalendar[[#This Row],[Day]]&lt;15,2,IF(TableAopCalendar[[#This Row],[Day]]&lt;22,3,IF(TableAopCalendar[[#This Row],[Day]]&lt;29,4,IF(TableAopCalendar[[#This Row],[Day]]&lt;32,5)))))</f>
        <v>2</v>
      </c>
      <c r="G1835" s="32" t="str">
        <f t="shared" si="103"/>
        <v>Week 2</v>
      </c>
      <c r="H1835" s="32" t="str">
        <f t="shared" si="104"/>
        <v>April 27 Week 2</v>
      </c>
      <c r="I1835" s="32" t="str">
        <f>CONCATENATE(UPPER(TableAopCalendar[[#This Row],[Month]])," ",TableAopCalendar[[#This Row],[Year]])</f>
        <v>APRIL 27</v>
      </c>
      <c r="J1835" s="7" t="s">
        <v>274</v>
      </c>
      <c r="K1835" s="32" t="str">
        <f>CONCATENATE(TableAopCalendar[[#This Row],[Month for Plan]]," ",TableAopCalendar[[#This Row],[Plan]])</f>
        <v>APRIL 27 PLANNED</v>
      </c>
    </row>
    <row r="1836" spans="1:11" x14ac:dyDescent="0.3">
      <c r="A1836" s="32">
        <f t="shared" si="102"/>
        <v>2</v>
      </c>
      <c r="B1836" s="33">
        <v>46486</v>
      </c>
      <c r="C1836" s="6" t="s">
        <v>264</v>
      </c>
      <c r="D1836" s="34">
        <v>27</v>
      </c>
      <c r="E1836" s="32">
        <f>DAY(TableAopCalendar[[#This Row],[Date]])</f>
        <v>9</v>
      </c>
      <c r="F1836" s="32">
        <f>IF(TableAopCalendar[[#This Row],[Day]]&lt;8,1,IF(TableAopCalendar[[#This Row],[Day]]&lt;15,2,IF(TableAopCalendar[[#This Row],[Day]]&lt;22,3,IF(TableAopCalendar[[#This Row],[Day]]&lt;29,4,IF(TableAopCalendar[[#This Row],[Day]]&lt;32,5)))))</f>
        <v>2</v>
      </c>
      <c r="G1836" s="32" t="str">
        <f t="shared" si="103"/>
        <v>Week 2</v>
      </c>
      <c r="H1836" s="32" t="str">
        <f t="shared" si="104"/>
        <v>April 27 Week 2</v>
      </c>
      <c r="I1836" s="32" t="str">
        <f>CONCATENATE(UPPER(TableAopCalendar[[#This Row],[Month]])," ",TableAopCalendar[[#This Row],[Year]])</f>
        <v>APRIL 27</v>
      </c>
      <c r="J1836" s="7" t="s">
        <v>274</v>
      </c>
      <c r="K1836" s="32" t="str">
        <f>CONCATENATE(TableAopCalendar[[#This Row],[Month for Plan]]," ",TableAopCalendar[[#This Row],[Plan]])</f>
        <v>APRIL 27 PLANNED</v>
      </c>
    </row>
    <row r="1837" spans="1:11" x14ac:dyDescent="0.3">
      <c r="A1837" s="32">
        <f t="shared" si="102"/>
        <v>3</v>
      </c>
      <c r="B1837" s="33">
        <v>46487</v>
      </c>
      <c r="C1837" s="6" t="s">
        <v>264</v>
      </c>
      <c r="D1837" s="34">
        <v>27</v>
      </c>
      <c r="E1837" s="32">
        <f>DAY(TableAopCalendar[[#This Row],[Date]])</f>
        <v>10</v>
      </c>
      <c r="F1837" s="32">
        <f>IF(TableAopCalendar[[#This Row],[Day]]&lt;8,1,IF(TableAopCalendar[[#This Row],[Day]]&lt;15,2,IF(TableAopCalendar[[#This Row],[Day]]&lt;22,3,IF(TableAopCalendar[[#This Row],[Day]]&lt;29,4,IF(TableAopCalendar[[#This Row],[Day]]&lt;32,5)))))</f>
        <v>2</v>
      </c>
      <c r="G1837" s="32" t="str">
        <f t="shared" si="103"/>
        <v>Week 2</v>
      </c>
      <c r="H1837" s="32" t="str">
        <f t="shared" si="104"/>
        <v>April 27 Week 2</v>
      </c>
      <c r="I1837" s="32" t="str">
        <f>CONCATENATE(UPPER(TableAopCalendar[[#This Row],[Month]])," ",TableAopCalendar[[#This Row],[Year]])</f>
        <v>APRIL 27</v>
      </c>
      <c r="J1837" s="7" t="s">
        <v>274</v>
      </c>
      <c r="K1837" s="32" t="str">
        <f>CONCATENATE(TableAopCalendar[[#This Row],[Month for Plan]]," ",TableAopCalendar[[#This Row],[Plan]])</f>
        <v>APRIL 27 PLANNED</v>
      </c>
    </row>
    <row r="1838" spans="1:11" x14ac:dyDescent="0.3">
      <c r="A1838" s="32">
        <f t="shared" si="102"/>
        <v>4</v>
      </c>
      <c r="B1838" s="33">
        <v>46488</v>
      </c>
      <c r="C1838" s="6" t="s">
        <v>264</v>
      </c>
      <c r="D1838" s="34">
        <v>27</v>
      </c>
      <c r="E1838" s="32">
        <f>DAY(TableAopCalendar[[#This Row],[Date]])</f>
        <v>11</v>
      </c>
      <c r="F1838" s="32">
        <f>IF(TableAopCalendar[[#This Row],[Day]]&lt;8,1,IF(TableAopCalendar[[#This Row],[Day]]&lt;15,2,IF(TableAopCalendar[[#This Row],[Day]]&lt;22,3,IF(TableAopCalendar[[#This Row],[Day]]&lt;29,4,IF(TableAopCalendar[[#This Row],[Day]]&lt;32,5)))))</f>
        <v>2</v>
      </c>
      <c r="G1838" s="32" t="str">
        <f t="shared" si="103"/>
        <v>Week 2</v>
      </c>
      <c r="H1838" s="32" t="str">
        <f t="shared" si="104"/>
        <v>April 27 Week 2</v>
      </c>
      <c r="I1838" s="32" t="str">
        <f>CONCATENATE(UPPER(TableAopCalendar[[#This Row],[Month]])," ",TableAopCalendar[[#This Row],[Year]])</f>
        <v>APRIL 27</v>
      </c>
      <c r="J1838" s="7" t="s">
        <v>274</v>
      </c>
      <c r="K1838" s="32" t="str">
        <f>CONCATENATE(TableAopCalendar[[#This Row],[Month for Plan]]," ",TableAopCalendar[[#This Row],[Plan]])</f>
        <v>APRIL 27 PLANNED</v>
      </c>
    </row>
    <row r="1839" spans="1:11" x14ac:dyDescent="0.3">
      <c r="A1839" s="32">
        <f t="shared" si="102"/>
        <v>5</v>
      </c>
      <c r="B1839" s="33">
        <v>46489</v>
      </c>
      <c r="C1839" s="6" t="s">
        <v>264</v>
      </c>
      <c r="D1839" s="34">
        <v>27</v>
      </c>
      <c r="E1839" s="32">
        <f>DAY(TableAopCalendar[[#This Row],[Date]])</f>
        <v>12</v>
      </c>
      <c r="F1839" s="32">
        <f>IF(TableAopCalendar[[#This Row],[Day]]&lt;8,1,IF(TableAopCalendar[[#This Row],[Day]]&lt;15,2,IF(TableAopCalendar[[#This Row],[Day]]&lt;22,3,IF(TableAopCalendar[[#This Row],[Day]]&lt;29,4,IF(TableAopCalendar[[#This Row],[Day]]&lt;32,5)))))</f>
        <v>2</v>
      </c>
      <c r="G1839" s="32" t="str">
        <f t="shared" si="103"/>
        <v>Week 2</v>
      </c>
      <c r="H1839" s="32" t="str">
        <f t="shared" si="104"/>
        <v>April 27 Week 2</v>
      </c>
      <c r="I1839" s="32" t="str">
        <f>CONCATENATE(UPPER(TableAopCalendar[[#This Row],[Month]])," ",TableAopCalendar[[#This Row],[Year]])</f>
        <v>APRIL 27</v>
      </c>
      <c r="J1839" s="7" t="s">
        <v>274</v>
      </c>
      <c r="K1839" s="32" t="str">
        <f>CONCATENATE(TableAopCalendar[[#This Row],[Month for Plan]]," ",TableAopCalendar[[#This Row],[Plan]])</f>
        <v>APRIL 27 PLANNED</v>
      </c>
    </row>
    <row r="1840" spans="1:11" x14ac:dyDescent="0.3">
      <c r="A1840" s="32">
        <f t="shared" si="102"/>
        <v>6</v>
      </c>
      <c r="B1840" s="33">
        <v>46490</v>
      </c>
      <c r="C1840" s="6" t="s">
        <v>264</v>
      </c>
      <c r="D1840" s="34">
        <v>27</v>
      </c>
      <c r="E1840" s="32">
        <f>DAY(TableAopCalendar[[#This Row],[Date]])</f>
        <v>13</v>
      </c>
      <c r="F1840" s="32">
        <f>IF(TableAopCalendar[[#This Row],[Day]]&lt;8,1,IF(TableAopCalendar[[#This Row],[Day]]&lt;15,2,IF(TableAopCalendar[[#This Row],[Day]]&lt;22,3,IF(TableAopCalendar[[#This Row],[Day]]&lt;29,4,IF(TableAopCalendar[[#This Row],[Day]]&lt;32,5)))))</f>
        <v>2</v>
      </c>
      <c r="G1840" s="32" t="str">
        <f t="shared" si="103"/>
        <v>Week 2</v>
      </c>
      <c r="H1840" s="32" t="str">
        <f t="shared" si="104"/>
        <v>April 27 Week 2</v>
      </c>
      <c r="I1840" s="32" t="str">
        <f>CONCATENATE(UPPER(TableAopCalendar[[#This Row],[Month]])," ",TableAopCalendar[[#This Row],[Year]])</f>
        <v>APRIL 27</v>
      </c>
      <c r="J1840" s="7" t="s">
        <v>274</v>
      </c>
      <c r="K1840" s="32" t="str">
        <f>CONCATENATE(TableAopCalendar[[#This Row],[Month for Plan]]," ",TableAopCalendar[[#This Row],[Plan]])</f>
        <v>APRIL 27 PLANNED</v>
      </c>
    </row>
    <row r="1841" spans="1:11" x14ac:dyDescent="0.3">
      <c r="A1841" s="32">
        <f t="shared" si="102"/>
        <v>7</v>
      </c>
      <c r="B1841" s="33">
        <v>46491</v>
      </c>
      <c r="C1841" s="6" t="s">
        <v>264</v>
      </c>
      <c r="D1841" s="34">
        <v>27</v>
      </c>
      <c r="E1841" s="32">
        <f>DAY(TableAopCalendar[[#This Row],[Date]])</f>
        <v>14</v>
      </c>
      <c r="F1841" s="32">
        <f>IF(TableAopCalendar[[#This Row],[Day]]&lt;8,1,IF(TableAopCalendar[[#This Row],[Day]]&lt;15,2,IF(TableAopCalendar[[#This Row],[Day]]&lt;22,3,IF(TableAopCalendar[[#This Row],[Day]]&lt;29,4,IF(TableAopCalendar[[#This Row],[Day]]&lt;32,5)))))</f>
        <v>2</v>
      </c>
      <c r="G1841" s="32" t="str">
        <f t="shared" si="103"/>
        <v>Week 2</v>
      </c>
      <c r="H1841" s="32" t="str">
        <f t="shared" si="104"/>
        <v>April 27 Week 2</v>
      </c>
      <c r="I1841" s="32" t="str">
        <f>CONCATENATE(UPPER(TableAopCalendar[[#This Row],[Month]])," ",TableAopCalendar[[#This Row],[Year]])</f>
        <v>APRIL 27</v>
      </c>
      <c r="J1841" s="7" t="s">
        <v>274</v>
      </c>
      <c r="K1841" s="32" t="str">
        <f>CONCATENATE(TableAopCalendar[[#This Row],[Month for Plan]]," ",TableAopCalendar[[#This Row],[Plan]])</f>
        <v>APRIL 27 PLANNED</v>
      </c>
    </row>
    <row r="1842" spans="1:11" x14ac:dyDescent="0.3">
      <c r="A1842" s="32">
        <f t="shared" si="102"/>
        <v>1</v>
      </c>
      <c r="B1842" s="33">
        <v>46492</v>
      </c>
      <c r="C1842" s="6" t="s">
        <v>264</v>
      </c>
      <c r="D1842" s="34">
        <v>27</v>
      </c>
      <c r="E1842" s="32">
        <f>DAY(TableAopCalendar[[#This Row],[Date]])</f>
        <v>15</v>
      </c>
      <c r="F1842" s="32">
        <f>IF(TableAopCalendar[[#This Row],[Day]]&lt;8,1,IF(TableAopCalendar[[#This Row],[Day]]&lt;15,2,IF(TableAopCalendar[[#This Row],[Day]]&lt;22,3,IF(TableAopCalendar[[#This Row],[Day]]&lt;29,4,IF(TableAopCalendar[[#This Row],[Day]]&lt;32,5)))))</f>
        <v>3</v>
      </c>
      <c r="G1842" s="32" t="str">
        <f t="shared" si="103"/>
        <v>Week 3</v>
      </c>
      <c r="H1842" s="32" t="str">
        <f t="shared" si="104"/>
        <v>April 27 Week 3</v>
      </c>
      <c r="I1842" s="32" t="str">
        <f>CONCATENATE(UPPER(TableAopCalendar[[#This Row],[Month]])," ",TableAopCalendar[[#This Row],[Year]])</f>
        <v>APRIL 27</v>
      </c>
      <c r="J1842" s="7" t="s">
        <v>274</v>
      </c>
      <c r="K1842" s="32" t="str">
        <f>CONCATENATE(TableAopCalendar[[#This Row],[Month for Plan]]," ",TableAopCalendar[[#This Row],[Plan]])</f>
        <v>APRIL 27 PLANNED</v>
      </c>
    </row>
    <row r="1843" spans="1:11" x14ac:dyDescent="0.3">
      <c r="A1843" s="32">
        <f t="shared" si="102"/>
        <v>2</v>
      </c>
      <c r="B1843" s="33">
        <v>46493</v>
      </c>
      <c r="C1843" s="6" t="s">
        <v>264</v>
      </c>
      <c r="D1843" s="34">
        <v>27</v>
      </c>
      <c r="E1843" s="32">
        <f>DAY(TableAopCalendar[[#This Row],[Date]])</f>
        <v>16</v>
      </c>
      <c r="F1843" s="32">
        <f>IF(TableAopCalendar[[#This Row],[Day]]&lt;8,1,IF(TableAopCalendar[[#This Row],[Day]]&lt;15,2,IF(TableAopCalendar[[#This Row],[Day]]&lt;22,3,IF(TableAopCalendar[[#This Row],[Day]]&lt;29,4,IF(TableAopCalendar[[#This Row],[Day]]&lt;32,5)))))</f>
        <v>3</v>
      </c>
      <c r="G1843" s="32" t="str">
        <f t="shared" si="103"/>
        <v>Week 3</v>
      </c>
      <c r="H1843" s="32" t="str">
        <f t="shared" si="104"/>
        <v>April 27 Week 3</v>
      </c>
      <c r="I1843" s="32" t="str">
        <f>CONCATENATE(UPPER(TableAopCalendar[[#This Row],[Month]])," ",TableAopCalendar[[#This Row],[Year]])</f>
        <v>APRIL 27</v>
      </c>
      <c r="J1843" s="7" t="s">
        <v>274</v>
      </c>
      <c r="K1843" s="32" t="str">
        <f>CONCATENATE(TableAopCalendar[[#This Row],[Month for Plan]]," ",TableAopCalendar[[#This Row],[Plan]])</f>
        <v>APRIL 27 PLANNED</v>
      </c>
    </row>
    <row r="1844" spans="1:11" x14ac:dyDescent="0.3">
      <c r="A1844" s="32">
        <f t="shared" si="102"/>
        <v>3</v>
      </c>
      <c r="B1844" s="33">
        <v>46494</v>
      </c>
      <c r="C1844" s="6" t="s">
        <v>264</v>
      </c>
      <c r="D1844" s="34">
        <v>27</v>
      </c>
      <c r="E1844" s="32">
        <f>DAY(TableAopCalendar[[#This Row],[Date]])</f>
        <v>17</v>
      </c>
      <c r="F1844" s="32">
        <f>IF(TableAopCalendar[[#This Row],[Day]]&lt;8,1,IF(TableAopCalendar[[#This Row],[Day]]&lt;15,2,IF(TableAopCalendar[[#This Row],[Day]]&lt;22,3,IF(TableAopCalendar[[#This Row],[Day]]&lt;29,4,IF(TableAopCalendar[[#This Row],[Day]]&lt;32,5)))))</f>
        <v>3</v>
      </c>
      <c r="G1844" s="32" t="str">
        <f t="shared" si="103"/>
        <v>Week 3</v>
      </c>
      <c r="H1844" s="32" t="str">
        <f t="shared" si="104"/>
        <v>April 27 Week 3</v>
      </c>
      <c r="I1844" s="32" t="str">
        <f>CONCATENATE(UPPER(TableAopCalendar[[#This Row],[Month]])," ",TableAopCalendar[[#This Row],[Year]])</f>
        <v>APRIL 27</v>
      </c>
      <c r="J1844" s="7" t="s">
        <v>274</v>
      </c>
      <c r="K1844" s="32" t="str">
        <f>CONCATENATE(TableAopCalendar[[#This Row],[Month for Plan]]," ",TableAopCalendar[[#This Row],[Plan]])</f>
        <v>APRIL 27 PLANNED</v>
      </c>
    </row>
    <row r="1845" spans="1:11" x14ac:dyDescent="0.3">
      <c r="A1845" s="32">
        <f t="shared" si="102"/>
        <v>4</v>
      </c>
      <c r="B1845" s="33">
        <v>46495</v>
      </c>
      <c r="C1845" s="6" t="s">
        <v>264</v>
      </c>
      <c r="D1845" s="34">
        <v>27</v>
      </c>
      <c r="E1845" s="32">
        <f>DAY(TableAopCalendar[[#This Row],[Date]])</f>
        <v>18</v>
      </c>
      <c r="F1845" s="32">
        <f>IF(TableAopCalendar[[#This Row],[Day]]&lt;8,1,IF(TableAopCalendar[[#This Row],[Day]]&lt;15,2,IF(TableAopCalendar[[#This Row],[Day]]&lt;22,3,IF(TableAopCalendar[[#This Row],[Day]]&lt;29,4,IF(TableAopCalendar[[#This Row],[Day]]&lt;32,5)))))</f>
        <v>3</v>
      </c>
      <c r="G1845" s="32" t="str">
        <f t="shared" si="103"/>
        <v>Week 3</v>
      </c>
      <c r="H1845" s="32" t="str">
        <f t="shared" si="104"/>
        <v>April 27 Week 3</v>
      </c>
      <c r="I1845" s="32" t="str">
        <f>CONCATENATE(UPPER(TableAopCalendar[[#This Row],[Month]])," ",TableAopCalendar[[#This Row],[Year]])</f>
        <v>APRIL 27</v>
      </c>
      <c r="J1845" s="7" t="s">
        <v>274</v>
      </c>
      <c r="K1845" s="32" t="str">
        <f>CONCATENATE(TableAopCalendar[[#This Row],[Month for Plan]]," ",TableAopCalendar[[#This Row],[Plan]])</f>
        <v>APRIL 27 PLANNED</v>
      </c>
    </row>
    <row r="1846" spans="1:11" x14ac:dyDescent="0.3">
      <c r="A1846" s="32">
        <f t="shared" si="102"/>
        <v>5</v>
      </c>
      <c r="B1846" s="33">
        <v>46496</v>
      </c>
      <c r="C1846" s="6" t="s">
        <v>264</v>
      </c>
      <c r="D1846" s="34">
        <v>27</v>
      </c>
      <c r="E1846" s="32">
        <f>DAY(TableAopCalendar[[#This Row],[Date]])</f>
        <v>19</v>
      </c>
      <c r="F1846" s="32">
        <f>IF(TableAopCalendar[[#This Row],[Day]]&lt;8,1,IF(TableAopCalendar[[#This Row],[Day]]&lt;15,2,IF(TableAopCalendar[[#This Row],[Day]]&lt;22,3,IF(TableAopCalendar[[#This Row],[Day]]&lt;29,4,IF(TableAopCalendar[[#This Row],[Day]]&lt;32,5)))))</f>
        <v>3</v>
      </c>
      <c r="G1846" s="32" t="str">
        <f t="shared" si="103"/>
        <v>Week 3</v>
      </c>
      <c r="H1846" s="32" t="str">
        <f t="shared" si="104"/>
        <v>April 27 Week 3</v>
      </c>
      <c r="I1846" s="32" t="str">
        <f>CONCATENATE(UPPER(TableAopCalendar[[#This Row],[Month]])," ",TableAopCalendar[[#This Row],[Year]])</f>
        <v>APRIL 27</v>
      </c>
      <c r="J1846" s="7" t="s">
        <v>274</v>
      </c>
      <c r="K1846" s="32" t="str">
        <f>CONCATENATE(TableAopCalendar[[#This Row],[Month for Plan]]," ",TableAopCalendar[[#This Row],[Plan]])</f>
        <v>APRIL 27 PLANNED</v>
      </c>
    </row>
    <row r="1847" spans="1:11" x14ac:dyDescent="0.3">
      <c r="A1847" s="32">
        <f t="shared" si="102"/>
        <v>6</v>
      </c>
      <c r="B1847" s="33">
        <v>46497</v>
      </c>
      <c r="C1847" s="6" t="s">
        <v>264</v>
      </c>
      <c r="D1847" s="34">
        <v>27</v>
      </c>
      <c r="E1847" s="32">
        <f>DAY(TableAopCalendar[[#This Row],[Date]])</f>
        <v>20</v>
      </c>
      <c r="F1847" s="32">
        <f>IF(TableAopCalendar[[#This Row],[Day]]&lt;8,1,IF(TableAopCalendar[[#This Row],[Day]]&lt;15,2,IF(TableAopCalendar[[#This Row],[Day]]&lt;22,3,IF(TableAopCalendar[[#This Row],[Day]]&lt;29,4,IF(TableAopCalendar[[#This Row],[Day]]&lt;32,5)))))</f>
        <v>3</v>
      </c>
      <c r="G1847" s="32" t="str">
        <f t="shared" si="103"/>
        <v>Week 3</v>
      </c>
      <c r="H1847" s="32" t="str">
        <f t="shared" si="104"/>
        <v>April 27 Week 3</v>
      </c>
      <c r="I1847" s="32" t="str">
        <f>CONCATENATE(UPPER(TableAopCalendar[[#This Row],[Month]])," ",TableAopCalendar[[#This Row],[Year]])</f>
        <v>APRIL 27</v>
      </c>
      <c r="J1847" s="7" t="s">
        <v>274</v>
      </c>
      <c r="K1847" s="32" t="str">
        <f>CONCATENATE(TableAopCalendar[[#This Row],[Month for Plan]]," ",TableAopCalendar[[#This Row],[Plan]])</f>
        <v>APRIL 27 PLANNED</v>
      </c>
    </row>
    <row r="1848" spans="1:11" x14ac:dyDescent="0.3">
      <c r="A1848" s="32">
        <f t="shared" si="102"/>
        <v>7</v>
      </c>
      <c r="B1848" s="33">
        <v>46498</v>
      </c>
      <c r="C1848" s="6" t="s">
        <v>264</v>
      </c>
      <c r="D1848" s="34">
        <v>27</v>
      </c>
      <c r="E1848" s="32">
        <f>DAY(TableAopCalendar[[#This Row],[Date]])</f>
        <v>21</v>
      </c>
      <c r="F1848" s="32">
        <f>IF(TableAopCalendar[[#This Row],[Day]]&lt;8,1,IF(TableAopCalendar[[#This Row],[Day]]&lt;15,2,IF(TableAopCalendar[[#This Row],[Day]]&lt;22,3,IF(TableAopCalendar[[#This Row],[Day]]&lt;29,4,IF(TableAopCalendar[[#This Row],[Day]]&lt;32,5)))))</f>
        <v>3</v>
      </c>
      <c r="G1848" s="32" t="str">
        <f t="shared" si="103"/>
        <v>Week 3</v>
      </c>
      <c r="H1848" s="32" t="str">
        <f t="shared" si="104"/>
        <v>April 27 Week 3</v>
      </c>
      <c r="I1848" s="32" t="str">
        <f>CONCATENATE(UPPER(TableAopCalendar[[#This Row],[Month]])," ",TableAopCalendar[[#This Row],[Year]])</f>
        <v>APRIL 27</v>
      </c>
      <c r="J1848" s="7" t="s">
        <v>274</v>
      </c>
      <c r="K1848" s="32" t="str">
        <f>CONCATENATE(TableAopCalendar[[#This Row],[Month for Plan]]," ",TableAopCalendar[[#This Row],[Plan]])</f>
        <v>APRIL 27 PLANNED</v>
      </c>
    </row>
    <row r="1849" spans="1:11" x14ac:dyDescent="0.3">
      <c r="A1849" s="32">
        <f t="shared" si="102"/>
        <v>1</v>
      </c>
      <c r="B1849" s="33">
        <v>46499</v>
      </c>
      <c r="C1849" s="6" t="s">
        <v>264</v>
      </c>
      <c r="D1849" s="34">
        <v>27</v>
      </c>
      <c r="E1849" s="32">
        <f>DAY(TableAopCalendar[[#This Row],[Date]])</f>
        <v>22</v>
      </c>
      <c r="F1849" s="32">
        <f>IF(TableAopCalendar[[#This Row],[Day]]&lt;8,1,IF(TableAopCalendar[[#This Row],[Day]]&lt;15,2,IF(TableAopCalendar[[#This Row],[Day]]&lt;22,3,IF(TableAopCalendar[[#This Row],[Day]]&lt;29,4,IF(TableAopCalendar[[#This Row],[Day]]&lt;32,5)))))</f>
        <v>4</v>
      </c>
      <c r="G1849" s="32" t="str">
        <f t="shared" si="103"/>
        <v>Week 4</v>
      </c>
      <c r="H1849" s="32" t="str">
        <f t="shared" si="104"/>
        <v>April 27 Week 4</v>
      </c>
      <c r="I1849" s="32" t="str">
        <f>CONCATENATE(UPPER(TableAopCalendar[[#This Row],[Month]])," ",TableAopCalendar[[#This Row],[Year]])</f>
        <v>APRIL 27</v>
      </c>
      <c r="J1849" s="7" t="s">
        <v>274</v>
      </c>
      <c r="K1849" s="32" t="str">
        <f>CONCATENATE(TableAopCalendar[[#This Row],[Month for Plan]]," ",TableAopCalendar[[#This Row],[Plan]])</f>
        <v>APRIL 27 PLANNED</v>
      </c>
    </row>
    <row r="1850" spans="1:11" x14ac:dyDescent="0.3">
      <c r="A1850" s="32">
        <f t="shared" si="102"/>
        <v>2</v>
      </c>
      <c r="B1850" s="33">
        <v>46500</v>
      </c>
      <c r="C1850" s="6" t="s">
        <v>264</v>
      </c>
      <c r="D1850" s="34">
        <v>27</v>
      </c>
      <c r="E1850" s="32">
        <f>DAY(TableAopCalendar[[#This Row],[Date]])</f>
        <v>23</v>
      </c>
      <c r="F1850" s="32">
        <f>IF(TableAopCalendar[[#This Row],[Day]]&lt;8,1,IF(TableAopCalendar[[#This Row],[Day]]&lt;15,2,IF(TableAopCalendar[[#This Row],[Day]]&lt;22,3,IF(TableAopCalendar[[#This Row],[Day]]&lt;29,4,IF(TableAopCalendar[[#This Row],[Day]]&lt;32,5)))))</f>
        <v>4</v>
      </c>
      <c r="G1850" s="32" t="str">
        <f t="shared" si="103"/>
        <v>Week 4</v>
      </c>
      <c r="H1850" s="32" t="str">
        <f t="shared" si="104"/>
        <v>April 27 Week 4</v>
      </c>
      <c r="I1850" s="32" t="str">
        <f>CONCATENATE(UPPER(TableAopCalendar[[#This Row],[Month]])," ",TableAopCalendar[[#This Row],[Year]])</f>
        <v>APRIL 27</v>
      </c>
      <c r="J1850" s="7" t="s">
        <v>274</v>
      </c>
      <c r="K1850" s="32" t="str">
        <f>CONCATENATE(TableAopCalendar[[#This Row],[Month for Plan]]," ",TableAopCalendar[[#This Row],[Plan]])</f>
        <v>APRIL 27 PLANNED</v>
      </c>
    </row>
    <row r="1851" spans="1:11" x14ac:dyDescent="0.3">
      <c r="A1851" s="32">
        <f t="shared" si="102"/>
        <v>3</v>
      </c>
      <c r="B1851" s="33">
        <v>46501</v>
      </c>
      <c r="C1851" s="6" t="s">
        <v>264</v>
      </c>
      <c r="D1851" s="34">
        <v>27</v>
      </c>
      <c r="E1851" s="32">
        <f>DAY(TableAopCalendar[[#This Row],[Date]])</f>
        <v>24</v>
      </c>
      <c r="F1851" s="32">
        <f>IF(TableAopCalendar[[#This Row],[Day]]&lt;8,1,IF(TableAopCalendar[[#This Row],[Day]]&lt;15,2,IF(TableAopCalendar[[#This Row],[Day]]&lt;22,3,IF(TableAopCalendar[[#This Row],[Day]]&lt;29,4,IF(TableAopCalendar[[#This Row],[Day]]&lt;32,5)))))</f>
        <v>4</v>
      </c>
      <c r="G1851" s="32" t="str">
        <f t="shared" si="103"/>
        <v>Week 4</v>
      </c>
      <c r="H1851" s="32" t="str">
        <f t="shared" si="104"/>
        <v>April 27 Week 4</v>
      </c>
      <c r="I1851" s="32" t="str">
        <f>CONCATENATE(UPPER(TableAopCalendar[[#This Row],[Month]])," ",TableAopCalendar[[#This Row],[Year]])</f>
        <v>APRIL 27</v>
      </c>
      <c r="J1851" s="7" t="s">
        <v>274</v>
      </c>
      <c r="K1851" s="32" t="str">
        <f>CONCATENATE(TableAopCalendar[[#This Row],[Month for Plan]]," ",TableAopCalendar[[#This Row],[Plan]])</f>
        <v>APRIL 27 PLANNED</v>
      </c>
    </row>
    <row r="1852" spans="1:11" x14ac:dyDescent="0.3">
      <c r="A1852" s="32">
        <f t="shared" si="102"/>
        <v>4</v>
      </c>
      <c r="B1852" s="33">
        <v>46502</v>
      </c>
      <c r="C1852" s="6" t="s">
        <v>264</v>
      </c>
      <c r="D1852" s="34">
        <v>27</v>
      </c>
      <c r="E1852" s="32">
        <f>DAY(TableAopCalendar[[#This Row],[Date]])</f>
        <v>25</v>
      </c>
      <c r="F1852" s="32">
        <f>IF(TableAopCalendar[[#This Row],[Day]]&lt;8,1,IF(TableAopCalendar[[#This Row],[Day]]&lt;15,2,IF(TableAopCalendar[[#This Row],[Day]]&lt;22,3,IF(TableAopCalendar[[#This Row],[Day]]&lt;29,4,IF(TableAopCalendar[[#This Row],[Day]]&lt;32,5)))))</f>
        <v>4</v>
      </c>
      <c r="G1852" s="32" t="str">
        <f t="shared" si="103"/>
        <v>Week 4</v>
      </c>
      <c r="H1852" s="32" t="str">
        <f t="shared" si="104"/>
        <v>April 27 Week 4</v>
      </c>
      <c r="I1852" s="32" t="str">
        <f>CONCATENATE(UPPER(TableAopCalendar[[#This Row],[Month]])," ",TableAopCalendar[[#This Row],[Year]])</f>
        <v>APRIL 27</v>
      </c>
      <c r="J1852" s="7" t="s">
        <v>274</v>
      </c>
      <c r="K1852" s="32" t="str">
        <f>CONCATENATE(TableAopCalendar[[#This Row],[Month for Plan]]," ",TableAopCalendar[[#This Row],[Plan]])</f>
        <v>APRIL 27 PLANNED</v>
      </c>
    </row>
    <row r="1853" spans="1:11" x14ac:dyDescent="0.3">
      <c r="A1853" s="32">
        <f t="shared" si="102"/>
        <v>5</v>
      </c>
      <c r="B1853" s="33">
        <v>46503</v>
      </c>
      <c r="C1853" s="6" t="s">
        <v>264</v>
      </c>
      <c r="D1853" s="34">
        <v>27</v>
      </c>
      <c r="E1853" s="32">
        <f>DAY(TableAopCalendar[[#This Row],[Date]])</f>
        <v>26</v>
      </c>
      <c r="F1853" s="32">
        <f>IF(TableAopCalendar[[#This Row],[Day]]&lt;8,1,IF(TableAopCalendar[[#This Row],[Day]]&lt;15,2,IF(TableAopCalendar[[#This Row],[Day]]&lt;22,3,IF(TableAopCalendar[[#This Row],[Day]]&lt;29,4,IF(TableAopCalendar[[#This Row],[Day]]&lt;32,5)))))</f>
        <v>4</v>
      </c>
      <c r="G1853" s="32" t="str">
        <f t="shared" si="103"/>
        <v>Week 4</v>
      </c>
      <c r="H1853" s="32" t="str">
        <f t="shared" si="104"/>
        <v>April 27 Week 4</v>
      </c>
      <c r="I1853" s="32" t="str">
        <f>CONCATENATE(UPPER(TableAopCalendar[[#This Row],[Month]])," ",TableAopCalendar[[#This Row],[Year]])</f>
        <v>APRIL 27</v>
      </c>
      <c r="J1853" s="7" t="s">
        <v>274</v>
      </c>
      <c r="K1853" s="32" t="str">
        <f>CONCATENATE(TableAopCalendar[[#This Row],[Month for Plan]]," ",TableAopCalendar[[#This Row],[Plan]])</f>
        <v>APRIL 27 PLANNED</v>
      </c>
    </row>
    <row r="1854" spans="1:11" x14ac:dyDescent="0.3">
      <c r="A1854" s="32">
        <f t="shared" si="102"/>
        <v>6</v>
      </c>
      <c r="B1854" s="33">
        <v>46504</v>
      </c>
      <c r="C1854" s="6" t="s">
        <v>264</v>
      </c>
      <c r="D1854" s="34">
        <v>27</v>
      </c>
      <c r="E1854" s="32">
        <f>DAY(TableAopCalendar[[#This Row],[Date]])</f>
        <v>27</v>
      </c>
      <c r="F1854" s="32">
        <f>IF(TableAopCalendar[[#This Row],[Day]]&lt;8,1,IF(TableAopCalendar[[#This Row],[Day]]&lt;15,2,IF(TableAopCalendar[[#This Row],[Day]]&lt;22,3,IF(TableAopCalendar[[#This Row],[Day]]&lt;29,4,IF(TableAopCalendar[[#This Row],[Day]]&lt;32,5)))))</f>
        <v>4</v>
      </c>
      <c r="G1854" s="32" t="str">
        <f t="shared" si="103"/>
        <v>Week 4</v>
      </c>
      <c r="H1854" s="32" t="str">
        <f t="shared" si="104"/>
        <v>April 27 Week 4</v>
      </c>
      <c r="I1854" s="32" t="str">
        <f>CONCATENATE(UPPER(TableAopCalendar[[#This Row],[Month]])," ",TableAopCalendar[[#This Row],[Year]])</f>
        <v>APRIL 27</v>
      </c>
      <c r="J1854" s="7" t="s">
        <v>274</v>
      </c>
      <c r="K1854" s="32" t="str">
        <f>CONCATENATE(TableAopCalendar[[#This Row],[Month for Plan]]," ",TableAopCalendar[[#This Row],[Plan]])</f>
        <v>APRIL 27 PLANNED</v>
      </c>
    </row>
    <row r="1855" spans="1:11" x14ac:dyDescent="0.3">
      <c r="A1855" s="32">
        <f t="shared" si="102"/>
        <v>7</v>
      </c>
      <c r="B1855" s="33">
        <v>46505</v>
      </c>
      <c r="C1855" s="6" t="s">
        <v>264</v>
      </c>
      <c r="D1855" s="34">
        <v>27</v>
      </c>
      <c r="E1855" s="32">
        <f>DAY(TableAopCalendar[[#This Row],[Date]])</f>
        <v>28</v>
      </c>
      <c r="F1855" s="32">
        <f>IF(TableAopCalendar[[#This Row],[Day]]&lt;8,1,IF(TableAopCalendar[[#This Row],[Day]]&lt;15,2,IF(TableAopCalendar[[#This Row],[Day]]&lt;22,3,IF(TableAopCalendar[[#This Row],[Day]]&lt;29,4,IF(TableAopCalendar[[#This Row],[Day]]&lt;32,5)))))</f>
        <v>4</v>
      </c>
      <c r="G1855" s="32" t="str">
        <f t="shared" si="103"/>
        <v>Week 4</v>
      </c>
      <c r="H1855" s="32" t="str">
        <f t="shared" si="104"/>
        <v>April 27 Week 4</v>
      </c>
      <c r="I1855" s="32" t="str">
        <f>CONCATENATE(UPPER(TableAopCalendar[[#This Row],[Month]])," ",TableAopCalendar[[#This Row],[Year]])</f>
        <v>APRIL 27</v>
      </c>
      <c r="J1855" s="7" t="s">
        <v>274</v>
      </c>
      <c r="K1855" s="32" t="str">
        <f>CONCATENATE(TableAopCalendar[[#This Row],[Month for Plan]]," ",TableAopCalendar[[#This Row],[Plan]])</f>
        <v>APRIL 27 PLANNED</v>
      </c>
    </row>
    <row r="1856" spans="1:11" x14ac:dyDescent="0.3">
      <c r="A1856" s="32">
        <f t="shared" si="102"/>
        <v>1</v>
      </c>
      <c r="B1856" s="33">
        <v>46506</v>
      </c>
      <c r="C1856" s="6" t="s">
        <v>264</v>
      </c>
      <c r="D1856" s="34">
        <v>27</v>
      </c>
      <c r="E1856" s="32">
        <f>DAY(TableAopCalendar[[#This Row],[Date]])</f>
        <v>29</v>
      </c>
      <c r="F1856" s="32">
        <f>IF(TableAopCalendar[[#This Row],[Day]]&lt;8,1,IF(TableAopCalendar[[#This Row],[Day]]&lt;15,2,IF(TableAopCalendar[[#This Row],[Day]]&lt;22,3,IF(TableAopCalendar[[#This Row],[Day]]&lt;29,4,IF(TableAopCalendar[[#This Row],[Day]]&lt;32,5)))))</f>
        <v>5</v>
      </c>
      <c r="G1856" s="32" t="str">
        <f t="shared" si="103"/>
        <v>Week 5</v>
      </c>
      <c r="H1856" s="32" t="str">
        <f t="shared" si="104"/>
        <v>April 27 Week 5</v>
      </c>
      <c r="I1856" s="32" t="str">
        <f>CONCATENATE(UPPER(TableAopCalendar[[#This Row],[Month]])," ",TableAopCalendar[[#This Row],[Year]])</f>
        <v>APRIL 27</v>
      </c>
      <c r="J1856" s="7" t="s">
        <v>274</v>
      </c>
      <c r="K1856" s="32" t="str">
        <f>CONCATENATE(TableAopCalendar[[#This Row],[Month for Plan]]," ",TableAopCalendar[[#This Row],[Plan]])</f>
        <v>APRIL 27 PLANNED</v>
      </c>
    </row>
    <row r="1857" spans="1:11" x14ac:dyDescent="0.3">
      <c r="A1857" s="32">
        <f t="shared" si="102"/>
        <v>2</v>
      </c>
      <c r="B1857" s="33">
        <v>46507</v>
      </c>
      <c r="C1857" s="6" t="s">
        <v>264</v>
      </c>
      <c r="D1857" s="34">
        <v>27</v>
      </c>
      <c r="E1857" s="32">
        <f>DAY(TableAopCalendar[[#This Row],[Date]])</f>
        <v>30</v>
      </c>
      <c r="F1857" s="32">
        <f>IF(TableAopCalendar[[#This Row],[Day]]&lt;8,1,IF(TableAopCalendar[[#This Row],[Day]]&lt;15,2,IF(TableAopCalendar[[#This Row],[Day]]&lt;22,3,IF(TableAopCalendar[[#This Row],[Day]]&lt;29,4,IF(TableAopCalendar[[#This Row],[Day]]&lt;32,5)))))</f>
        <v>5</v>
      </c>
      <c r="G1857" s="32" t="str">
        <f t="shared" si="103"/>
        <v>Week 5</v>
      </c>
      <c r="H1857" s="32" t="str">
        <f t="shared" si="104"/>
        <v>April 27 Week 5</v>
      </c>
      <c r="I1857" s="32" t="str">
        <f>CONCATENATE(UPPER(TableAopCalendar[[#This Row],[Month]])," ",TableAopCalendar[[#This Row],[Year]])</f>
        <v>APRIL 27</v>
      </c>
      <c r="J1857" s="7" t="s">
        <v>274</v>
      </c>
      <c r="K1857" s="32" t="str">
        <f>CONCATENATE(TableAopCalendar[[#This Row],[Month for Plan]]," ",TableAopCalendar[[#This Row],[Plan]])</f>
        <v>APRIL 27 PLANNED</v>
      </c>
    </row>
    <row r="1858" spans="1:11" x14ac:dyDescent="0.3">
      <c r="A1858" s="32">
        <f t="shared" si="102"/>
        <v>1</v>
      </c>
      <c r="B1858" s="33">
        <v>46508</v>
      </c>
      <c r="C1858" s="6" t="s">
        <v>265</v>
      </c>
      <c r="D1858" s="34">
        <v>27</v>
      </c>
      <c r="E1858" s="32">
        <f>DAY(TableAopCalendar[[#This Row],[Date]])</f>
        <v>1</v>
      </c>
      <c r="F1858" s="32">
        <f>IF(TableAopCalendar[[#This Row],[Day]]&lt;8,1,IF(TableAopCalendar[[#This Row],[Day]]&lt;15,2,IF(TableAopCalendar[[#This Row],[Day]]&lt;22,3,IF(TableAopCalendar[[#This Row],[Day]]&lt;29,4,IF(TableAopCalendar[[#This Row],[Day]]&lt;32,5)))))</f>
        <v>1</v>
      </c>
      <c r="G1858" s="32" t="str">
        <f t="shared" si="103"/>
        <v>Week 1</v>
      </c>
      <c r="H1858" s="32" t="str">
        <f t="shared" si="104"/>
        <v>May 27 Week 1</v>
      </c>
      <c r="I1858" s="32" t="str">
        <f>CONCATENATE(UPPER(TableAopCalendar[[#This Row],[Month]])," ",TableAopCalendar[[#This Row],[Year]])</f>
        <v>MAY 27</v>
      </c>
      <c r="J1858" s="7" t="s">
        <v>274</v>
      </c>
      <c r="K1858" s="32" t="str">
        <f>CONCATENATE(TableAopCalendar[[#This Row],[Month for Plan]]," ",TableAopCalendar[[#This Row],[Plan]])</f>
        <v>MAY 27 PLANNED</v>
      </c>
    </row>
    <row r="1859" spans="1:11" x14ac:dyDescent="0.3">
      <c r="A1859" s="32">
        <f t="shared" si="102"/>
        <v>2</v>
      </c>
      <c r="B1859" s="33">
        <v>46509</v>
      </c>
      <c r="C1859" s="6" t="s">
        <v>265</v>
      </c>
      <c r="D1859" s="34">
        <v>27</v>
      </c>
      <c r="E1859" s="32">
        <f>DAY(TableAopCalendar[[#This Row],[Date]])</f>
        <v>2</v>
      </c>
      <c r="F1859" s="32">
        <f>IF(TableAopCalendar[[#This Row],[Day]]&lt;8,1,IF(TableAopCalendar[[#This Row],[Day]]&lt;15,2,IF(TableAopCalendar[[#This Row],[Day]]&lt;22,3,IF(TableAopCalendar[[#This Row],[Day]]&lt;29,4,IF(TableAopCalendar[[#This Row],[Day]]&lt;32,5)))))</f>
        <v>1</v>
      </c>
      <c r="G1859" s="32" t="str">
        <f t="shared" si="103"/>
        <v>Week 1</v>
      </c>
      <c r="H1859" s="32" t="str">
        <f t="shared" si="104"/>
        <v>May 27 Week 1</v>
      </c>
      <c r="I1859" s="32" t="str">
        <f>CONCATENATE(UPPER(TableAopCalendar[[#This Row],[Month]])," ",TableAopCalendar[[#This Row],[Year]])</f>
        <v>MAY 27</v>
      </c>
      <c r="J1859" s="7" t="s">
        <v>274</v>
      </c>
      <c r="K1859" s="32" t="str">
        <f>CONCATENATE(TableAopCalendar[[#This Row],[Month for Plan]]," ",TableAopCalendar[[#This Row],[Plan]])</f>
        <v>MAY 27 PLANNED</v>
      </c>
    </row>
    <row r="1860" spans="1:11" x14ac:dyDescent="0.3">
      <c r="A1860" s="32">
        <f t="shared" si="102"/>
        <v>3</v>
      </c>
      <c r="B1860" s="33">
        <v>46510</v>
      </c>
      <c r="C1860" s="6" t="s">
        <v>265</v>
      </c>
      <c r="D1860" s="34">
        <v>27</v>
      </c>
      <c r="E1860" s="32">
        <f>DAY(TableAopCalendar[[#This Row],[Date]])</f>
        <v>3</v>
      </c>
      <c r="F1860" s="32">
        <f>IF(TableAopCalendar[[#This Row],[Day]]&lt;8,1,IF(TableAopCalendar[[#This Row],[Day]]&lt;15,2,IF(TableAopCalendar[[#This Row],[Day]]&lt;22,3,IF(TableAopCalendar[[#This Row],[Day]]&lt;29,4,IF(TableAopCalendar[[#This Row],[Day]]&lt;32,5)))))</f>
        <v>1</v>
      </c>
      <c r="G1860" s="32" t="str">
        <f t="shared" si="103"/>
        <v>Week 1</v>
      </c>
      <c r="H1860" s="32" t="str">
        <f t="shared" si="104"/>
        <v>May 27 Week 1</v>
      </c>
      <c r="I1860" s="32" t="str">
        <f>CONCATENATE(UPPER(TableAopCalendar[[#This Row],[Month]])," ",TableAopCalendar[[#This Row],[Year]])</f>
        <v>MAY 27</v>
      </c>
      <c r="J1860" s="7" t="s">
        <v>274</v>
      </c>
      <c r="K1860" s="32" t="str">
        <f>CONCATENATE(TableAopCalendar[[#This Row],[Month for Plan]]," ",TableAopCalendar[[#This Row],[Plan]])</f>
        <v>MAY 27 PLANNED</v>
      </c>
    </row>
    <row r="1861" spans="1:11" x14ac:dyDescent="0.3">
      <c r="A1861" s="32">
        <f t="shared" si="102"/>
        <v>4</v>
      </c>
      <c r="B1861" s="33">
        <v>46511</v>
      </c>
      <c r="C1861" s="6" t="s">
        <v>265</v>
      </c>
      <c r="D1861" s="34">
        <v>27</v>
      </c>
      <c r="E1861" s="32">
        <f>DAY(TableAopCalendar[[#This Row],[Date]])</f>
        <v>4</v>
      </c>
      <c r="F1861" s="32">
        <f>IF(TableAopCalendar[[#This Row],[Day]]&lt;8,1,IF(TableAopCalendar[[#This Row],[Day]]&lt;15,2,IF(TableAopCalendar[[#This Row],[Day]]&lt;22,3,IF(TableAopCalendar[[#This Row],[Day]]&lt;29,4,IF(TableAopCalendar[[#This Row],[Day]]&lt;32,5)))))</f>
        <v>1</v>
      </c>
      <c r="G1861" s="32" t="str">
        <f t="shared" si="103"/>
        <v>Week 1</v>
      </c>
      <c r="H1861" s="32" t="str">
        <f t="shared" si="104"/>
        <v>May 27 Week 1</v>
      </c>
      <c r="I1861" s="32" t="str">
        <f>CONCATENATE(UPPER(TableAopCalendar[[#This Row],[Month]])," ",TableAopCalendar[[#This Row],[Year]])</f>
        <v>MAY 27</v>
      </c>
      <c r="J1861" s="7" t="s">
        <v>274</v>
      </c>
      <c r="K1861" s="32" t="str">
        <f>CONCATENATE(TableAopCalendar[[#This Row],[Month for Plan]]," ",TableAopCalendar[[#This Row],[Plan]])</f>
        <v>MAY 27 PLANNED</v>
      </c>
    </row>
    <row r="1862" spans="1:11" x14ac:dyDescent="0.3">
      <c r="A1862" s="32">
        <f t="shared" si="102"/>
        <v>5</v>
      </c>
      <c r="B1862" s="33">
        <v>46512</v>
      </c>
      <c r="C1862" s="6" t="s">
        <v>265</v>
      </c>
      <c r="D1862" s="34">
        <v>27</v>
      </c>
      <c r="E1862" s="32">
        <f>DAY(TableAopCalendar[[#This Row],[Date]])</f>
        <v>5</v>
      </c>
      <c r="F1862" s="32">
        <f>IF(TableAopCalendar[[#This Row],[Day]]&lt;8,1,IF(TableAopCalendar[[#This Row],[Day]]&lt;15,2,IF(TableAopCalendar[[#This Row],[Day]]&lt;22,3,IF(TableAopCalendar[[#This Row],[Day]]&lt;29,4,IF(TableAopCalendar[[#This Row],[Day]]&lt;32,5)))))</f>
        <v>1</v>
      </c>
      <c r="G1862" s="32" t="str">
        <f t="shared" si="103"/>
        <v>Week 1</v>
      </c>
      <c r="H1862" s="32" t="str">
        <f t="shared" si="104"/>
        <v>May 27 Week 1</v>
      </c>
      <c r="I1862" s="32" t="str">
        <f>CONCATENATE(UPPER(TableAopCalendar[[#This Row],[Month]])," ",TableAopCalendar[[#This Row],[Year]])</f>
        <v>MAY 27</v>
      </c>
      <c r="J1862" s="7" t="s">
        <v>274</v>
      </c>
      <c r="K1862" s="32" t="str">
        <f>CONCATENATE(TableAopCalendar[[#This Row],[Month for Plan]]," ",TableAopCalendar[[#This Row],[Plan]])</f>
        <v>MAY 27 PLANNED</v>
      </c>
    </row>
    <row r="1863" spans="1:11" x14ac:dyDescent="0.3">
      <c r="A1863" s="32">
        <f t="shared" si="102"/>
        <v>6</v>
      </c>
      <c r="B1863" s="33">
        <v>46513</v>
      </c>
      <c r="C1863" s="6" t="s">
        <v>265</v>
      </c>
      <c r="D1863" s="34">
        <v>27</v>
      </c>
      <c r="E1863" s="32">
        <f>DAY(TableAopCalendar[[#This Row],[Date]])</f>
        <v>6</v>
      </c>
      <c r="F1863" s="32">
        <f>IF(TableAopCalendar[[#This Row],[Day]]&lt;8,1,IF(TableAopCalendar[[#This Row],[Day]]&lt;15,2,IF(TableAopCalendar[[#This Row],[Day]]&lt;22,3,IF(TableAopCalendar[[#This Row],[Day]]&lt;29,4,IF(TableAopCalendar[[#This Row],[Day]]&lt;32,5)))))</f>
        <v>1</v>
      </c>
      <c r="G1863" s="32" t="str">
        <f t="shared" si="103"/>
        <v>Week 1</v>
      </c>
      <c r="H1863" s="32" t="str">
        <f t="shared" si="104"/>
        <v>May 27 Week 1</v>
      </c>
      <c r="I1863" s="32" t="str">
        <f>CONCATENATE(UPPER(TableAopCalendar[[#This Row],[Month]])," ",TableAopCalendar[[#This Row],[Year]])</f>
        <v>MAY 27</v>
      </c>
      <c r="J1863" s="7" t="s">
        <v>274</v>
      </c>
      <c r="K1863" s="32" t="str">
        <f>CONCATENATE(TableAopCalendar[[#This Row],[Month for Plan]]," ",TableAopCalendar[[#This Row],[Plan]])</f>
        <v>MAY 27 PLANNED</v>
      </c>
    </row>
    <row r="1864" spans="1:11" x14ac:dyDescent="0.3">
      <c r="A1864" s="32">
        <f t="shared" si="102"/>
        <v>7</v>
      </c>
      <c r="B1864" s="33">
        <v>46514</v>
      </c>
      <c r="C1864" s="6" t="s">
        <v>265</v>
      </c>
      <c r="D1864" s="34">
        <v>27</v>
      </c>
      <c r="E1864" s="32">
        <f>DAY(TableAopCalendar[[#This Row],[Date]])</f>
        <v>7</v>
      </c>
      <c r="F1864" s="32">
        <f>IF(TableAopCalendar[[#This Row],[Day]]&lt;8,1,IF(TableAopCalendar[[#This Row],[Day]]&lt;15,2,IF(TableAopCalendar[[#This Row],[Day]]&lt;22,3,IF(TableAopCalendar[[#This Row],[Day]]&lt;29,4,IF(TableAopCalendar[[#This Row],[Day]]&lt;32,5)))))</f>
        <v>1</v>
      </c>
      <c r="G1864" s="32" t="str">
        <f t="shared" si="103"/>
        <v>Week 1</v>
      </c>
      <c r="H1864" s="32" t="str">
        <f t="shared" si="104"/>
        <v>May 27 Week 1</v>
      </c>
      <c r="I1864" s="32" t="str">
        <f>CONCATENATE(UPPER(TableAopCalendar[[#This Row],[Month]])," ",TableAopCalendar[[#This Row],[Year]])</f>
        <v>MAY 27</v>
      </c>
      <c r="J1864" s="7" t="s">
        <v>274</v>
      </c>
      <c r="K1864" s="32" t="str">
        <f>CONCATENATE(TableAopCalendar[[#This Row],[Month for Plan]]," ",TableAopCalendar[[#This Row],[Plan]])</f>
        <v>MAY 27 PLANNED</v>
      </c>
    </row>
    <row r="1865" spans="1:11" x14ac:dyDescent="0.3">
      <c r="A1865" s="32">
        <f t="shared" si="102"/>
        <v>1</v>
      </c>
      <c r="B1865" s="33">
        <v>46515</v>
      </c>
      <c r="C1865" s="6" t="s">
        <v>265</v>
      </c>
      <c r="D1865" s="34">
        <v>27</v>
      </c>
      <c r="E1865" s="32">
        <f>DAY(TableAopCalendar[[#This Row],[Date]])</f>
        <v>8</v>
      </c>
      <c r="F1865" s="32">
        <f>IF(TableAopCalendar[[#This Row],[Day]]&lt;8,1,IF(TableAopCalendar[[#This Row],[Day]]&lt;15,2,IF(TableAopCalendar[[#This Row],[Day]]&lt;22,3,IF(TableAopCalendar[[#This Row],[Day]]&lt;29,4,IF(TableAopCalendar[[#This Row],[Day]]&lt;32,5)))))</f>
        <v>2</v>
      </c>
      <c r="G1865" s="32" t="str">
        <f t="shared" si="103"/>
        <v>Week 2</v>
      </c>
      <c r="H1865" s="32" t="str">
        <f t="shared" si="104"/>
        <v>May 27 Week 2</v>
      </c>
      <c r="I1865" s="32" t="str">
        <f>CONCATENATE(UPPER(TableAopCalendar[[#This Row],[Month]])," ",TableAopCalendar[[#This Row],[Year]])</f>
        <v>MAY 27</v>
      </c>
      <c r="J1865" s="7" t="s">
        <v>274</v>
      </c>
      <c r="K1865" s="32" t="str">
        <f>CONCATENATE(TableAopCalendar[[#This Row],[Month for Plan]]," ",TableAopCalendar[[#This Row],[Plan]])</f>
        <v>MAY 27 PLANNED</v>
      </c>
    </row>
    <row r="1866" spans="1:11" x14ac:dyDescent="0.3">
      <c r="A1866" s="32">
        <f t="shared" si="102"/>
        <v>2</v>
      </c>
      <c r="B1866" s="33">
        <v>46516</v>
      </c>
      <c r="C1866" s="6" t="s">
        <v>265</v>
      </c>
      <c r="D1866" s="34">
        <v>27</v>
      </c>
      <c r="E1866" s="32">
        <f>DAY(TableAopCalendar[[#This Row],[Date]])</f>
        <v>9</v>
      </c>
      <c r="F1866" s="32">
        <f>IF(TableAopCalendar[[#This Row],[Day]]&lt;8,1,IF(TableAopCalendar[[#This Row],[Day]]&lt;15,2,IF(TableAopCalendar[[#This Row],[Day]]&lt;22,3,IF(TableAopCalendar[[#This Row],[Day]]&lt;29,4,IF(TableAopCalendar[[#This Row],[Day]]&lt;32,5)))))</f>
        <v>2</v>
      </c>
      <c r="G1866" s="32" t="str">
        <f t="shared" si="103"/>
        <v>Week 2</v>
      </c>
      <c r="H1866" s="32" t="str">
        <f t="shared" si="104"/>
        <v>May 27 Week 2</v>
      </c>
      <c r="I1866" s="32" t="str">
        <f>CONCATENATE(UPPER(TableAopCalendar[[#This Row],[Month]])," ",TableAopCalendar[[#This Row],[Year]])</f>
        <v>MAY 27</v>
      </c>
      <c r="J1866" s="7" t="s">
        <v>274</v>
      </c>
      <c r="K1866" s="32" t="str">
        <f>CONCATENATE(TableAopCalendar[[#This Row],[Month for Plan]]," ",TableAopCalendar[[#This Row],[Plan]])</f>
        <v>MAY 27 PLANNED</v>
      </c>
    </row>
    <row r="1867" spans="1:11" x14ac:dyDescent="0.3">
      <c r="A1867" s="32">
        <f t="shared" si="102"/>
        <v>3</v>
      </c>
      <c r="B1867" s="33">
        <v>46517</v>
      </c>
      <c r="C1867" s="6" t="s">
        <v>265</v>
      </c>
      <c r="D1867" s="34">
        <v>27</v>
      </c>
      <c r="E1867" s="32">
        <f>DAY(TableAopCalendar[[#This Row],[Date]])</f>
        <v>10</v>
      </c>
      <c r="F1867" s="32">
        <f>IF(TableAopCalendar[[#This Row],[Day]]&lt;8,1,IF(TableAopCalendar[[#This Row],[Day]]&lt;15,2,IF(TableAopCalendar[[#This Row],[Day]]&lt;22,3,IF(TableAopCalendar[[#This Row],[Day]]&lt;29,4,IF(TableAopCalendar[[#This Row],[Day]]&lt;32,5)))))</f>
        <v>2</v>
      </c>
      <c r="G1867" s="32" t="str">
        <f t="shared" si="103"/>
        <v>Week 2</v>
      </c>
      <c r="H1867" s="32" t="str">
        <f t="shared" si="104"/>
        <v>May 27 Week 2</v>
      </c>
      <c r="I1867" s="32" t="str">
        <f>CONCATENATE(UPPER(TableAopCalendar[[#This Row],[Month]])," ",TableAopCalendar[[#This Row],[Year]])</f>
        <v>MAY 27</v>
      </c>
      <c r="J1867" s="7" t="s">
        <v>274</v>
      </c>
      <c r="K1867" s="32" t="str">
        <f>CONCATENATE(TableAopCalendar[[#This Row],[Month for Plan]]," ",TableAopCalendar[[#This Row],[Plan]])</f>
        <v>MAY 27 PLANNED</v>
      </c>
    </row>
    <row r="1868" spans="1:11" x14ac:dyDescent="0.3">
      <c r="A1868" s="32">
        <f t="shared" si="102"/>
        <v>4</v>
      </c>
      <c r="B1868" s="33">
        <v>46518</v>
      </c>
      <c r="C1868" s="6" t="s">
        <v>265</v>
      </c>
      <c r="D1868" s="34">
        <v>27</v>
      </c>
      <c r="E1868" s="32">
        <f>DAY(TableAopCalendar[[#This Row],[Date]])</f>
        <v>11</v>
      </c>
      <c r="F1868" s="32">
        <f>IF(TableAopCalendar[[#This Row],[Day]]&lt;8,1,IF(TableAopCalendar[[#This Row],[Day]]&lt;15,2,IF(TableAopCalendar[[#This Row],[Day]]&lt;22,3,IF(TableAopCalendar[[#This Row],[Day]]&lt;29,4,IF(TableAopCalendar[[#This Row],[Day]]&lt;32,5)))))</f>
        <v>2</v>
      </c>
      <c r="G1868" s="32" t="str">
        <f t="shared" si="103"/>
        <v>Week 2</v>
      </c>
      <c r="H1868" s="32" t="str">
        <f t="shared" si="104"/>
        <v>May 27 Week 2</v>
      </c>
      <c r="I1868" s="32" t="str">
        <f>CONCATENATE(UPPER(TableAopCalendar[[#This Row],[Month]])," ",TableAopCalendar[[#This Row],[Year]])</f>
        <v>MAY 27</v>
      </c>
      <c r="J1868" s="7" t="s">
        <v>274</v>
      </c>
      <c r="K1868" s="32" t="str">
        <f>CONCATENATE(TableAopCalendar[[#This Row],[Month for Plan]]," ",TableAopCalendar[[#This Row],[Plan]])</f>
        <v>MAY 27 PLANNED</v>
      </c>
    </row>
    <row r="1869" spans="1:11" x14ac:dyDescent="0.3">
      <c r="A1869" s="32">
        <f t="shared" si="102"/>
        <v>5</v>
      </c>
      <c r="B1869" s="33">
        <v>46519</v>
      </c>
      <c r="C1869" s="6" t="s">
        <v>265</v>
      </c>
      <c r="D1869" s="34">
        <v>27</v>
      </c>
      <c r="E1869" s="32">
        <f>DAY(TableAopCalendar[[#This Row],[Date]])</f>
        <v>12</v>
      </c>
      <c r="F1869" s="32">
        <f>IF(TableAopCalendar[[#This Row],[Day]]&lt;8,1,IF(TableAopCalendar[[#This Row],[Day]]&lt;15,2,IF(TableAopCalendar[[#This Row],[Day]]&lt;22,3,IF(TableAopCalendar[[#This Row],[Day]]&lt;29,4,IF(TableAopCalendar[[#This Row],[Day]]&lt;32,5)))))</f>
        <v>2</v>
      </c>
      <c r="G1869" s="32" t="str">
        <f t="shared" si="103"/>
        <v>Week 2</v>
      </c>
      <c r="H1869" s="32" t="str">
        <f t="shared" si="104"/>
        <v>May 27 Week 2</v>
      </c>
      <c r="I1869" s="32" t="str">
        <f>CONCATENATE(UPPER(TableAopCalendar[[#This Row],[Month]])," ",TableAopCalendar[[#This Row],[Year]])</f>
        <v>MAY 27</v>
      </c>
      <c r="J1869" s="7" t="s">
        <v>274</v>
      </c>
      <c r="K1869" s="32" t="str">
        <f>CONCATENATE(TableAopCalendar[[#This Row],[Month for Plan]]," ",TableAopCalendar[[#This Row],[Plan]])</f>
        <v>MAY 27 PLANNED</v>
      </c>
    </row>
    <row r="1870" spans="1:11" x14ac:dyDescent="0.3">
      <c r="A1870" s="32">
        <f t="shared" si="102"/>
        <v>6</v>
      </c>
      <c r="B1870" s="33">
        <v>46520</v>
      </c>
      <c r="C1870" s="6" t="s">
        <v>265</v>
      </c>
      <c r="D1870" s="34">
        <v>27</v>
      </c>
      <c r="E1870" s="32">
        <f>DAY(TableAopCalendar[[#This Row],[Date]])</f>
        <v>13</v>
      </c>
      <c r="F1870" s="32">
        <f>IF(TableAopCalendar[[#This Row],[Day]]&lt;8,1,IF(TableAopCalendar[[#This Row],[Day]]&lt;15,2,IF(TableAopCalendar[[#This Row],[Day]]&lt;22,3,IF(TableAopCalendar[[#This Row],[Day]]&lt;29,4,IF(TableAopCalendar[[#This Row],[Day]]&lt;32,5)))))</f>
        <v>2</v>
      </c>
      <c r="G1870" s="32" t="str">
        <f t="shared" si="103"/>
        <v>Week 2</v>
      </c>
      <c r="H1870" s="32" t="str">
        <f t="shared" si="104"/>
        <v>May 27 Week 2</v>
      </c>
      <c r="I1870" s="32" t="str">
        <f>CONCATENATE(UPPER(TableAopCalendar[[#This Row],[Month]])," ",TableAopCalendar[[#This Row],[Year]])</f>
        <v>MAY 27</v>
      </c>
      <c r="J1870" s="7" t="s">
        <v>274</v>
      </c>
      <c r="K1870" s="32" t="str">
        <f>CONCATENATE(TableAopCalendar[[#This Row],[Month for Plan]]," ",TableAopCalendar[[#This Row],[Plan]])</f>
        <v>MAY 27 PLANNED</v>
      </c>
    </row>
    <row r="1871" spans="1:11" x14ac:dyDescent="0.3">
      <c r="A1871" s="32">
        <f t="shared" si="102"/>
        <v>7</v>
      </c>
      <c r="B1871" s="33">
        <v>46521</v>
      </c>
      <c r="C1871" s="6" t="s">
        <v>265</v>
      </c>
      <c r="D1871" s="34">
        <v>27</v>
      </c>
      <c r="E1871" s="32">
        <f>DAY(TableAopCalendar[[#This Row],[Date]])</f>
        <v>14</v>
      </c>
      <c r="F1871" s="32">
        <f>IF(TableAopCalendar[[#This Row],[Day]]&lt;8,1,IF(TableAopCalendar[[#This Row],[Day]]&lt;15,2,IF(TableAopCalendar[[#This Row],[Day]]&lt;22,3,IF(TableAopCalendar[[#This Row],[Day]]&lt;29,4,IF(TableAopCalendar[[#This Row],[Day]]&lt;32,5)))))</f>
        <v>2</v>
      </c>
      <c r="G1871" s="32" t="str">
        <f t="shared" si="103"/>
        <v>Week 2</v>
      </c>
      <c r="H1871" s="32" t="str">
        <f t="shared" si="104"/>
        <v>May 27 Week 2</v>
      </c>
      <c r="I1871" s="32" t="str">
        <f>CONCATENATE(UPPER(TableAopCalendar[[#This Row],[Month]])," ",TableAopCalendar[[#This Row],[Year]])</f>
        <v>MAY 27</v>
      </c>
      <c r="J1871" s="7" t="s">
        <v>274</v>
      </c>
      <c r="K1871" s="32" t="str">
        <f>CONCATENATE(TableAopCalendar[[#This Row],[Month for Plan]]," ",TableAopCalendar[[#This Row],[Plan]])</f>
        <v>MAY 27 PLANNED</v>
      </c>
    </row>
    <row r="1872" spans="1:11" x14ac:dyDescent="0.3">
      <c r="A1872" s="32">
        <f t="shared" si="102"/>
        <v>1</v>
      </c>
      <c r="B1872" s="33">
        <v>46522</v>
      </c>
      <c r="C1872" s="6" t="s">
        <v>265</v>
      </c>
      <c r="D1872" s="34">
        <v>27</v>
      </c>
      <c r="E1872" s="32">
        <f>DAY(TableAopCalendar[[#This Row],[Date]])</f>
        <v>15</v>
      </c>
      <c r="F1872" s="32">
        <f>IF(TableAopCalendar[[#This Row],[Day]]&lt;8,1,IF(TableAopCalendar[[#This Row],[Day]]&lt;15,2,IF(TableAopCalendar[[#This Row],[Day]]&lt;22,3,IF(TableAopCalendar[[#This Row],[Day]]&lt;29,4,IF(TableAopCalendar[[#This Row],[Day]]&lt;32,5)))))</f>
        <v>3</v>
      </c>
      <c r="G1872" s="32" t="str">
        <f t="shared" si="103"/>
        <v>Week 3</v>
      </c>
      <c r="H1872" s="32" t="str">
        <f t="shared" si="104"/>
        <v>May 27 Week 3</v>
      </c>
      <c r="I1872" s="32" t="str">
        <f>CONCATENATE(UPPER(TableAopCalendar[[#This Row],[Month]])," ",TableAopCalendar[[#This Row],[Year]])</f>
        <v>MAY 27</v>
      </c>
      <c r="J1872" s="7" t="s">
        <v>274</v>
      </c>
      <c r="K1872" s="32" t="str">
        <f>CONCATENATE(TableAopCalendar[[#This Row],[Month for Plan]]," ",TableAopCalendar[[#This Row],[Plan]])</f>
        <v>MAY 27 PLANNED</v>
      </c>
    </row>
    <row r="1873" spans="1:11" x14ac:dyDescent="0.3">
      <c r="A1873" s="32">
        <f t="shared" si="102"/>
        <v>2</v>
      </c>
      <c r="B1873" s="33">
        <v>46523</v>
      </c>
      <c r="C1873" s="6" t="s">
        <v>265</v>
      </c>
      <c r="D1873" s="34">
        <v>27</v>
      </c>
      <c r="E1873" s="32">
        <f>DAY(TableAopCalendar[[#This Row],[Date]])</f>
        <v>16</v>
      </c>
      <c r="F1873" s="32">
        <f>IF(TableAopCalendar[[#This Row],[Day]]&lt;8,1,IF(TableAopCalendar[[#This Row],[Day]]&lt;15,2,IF(TableAopCalendar[[#This Row],[Day]]&lt;22,3,IF(TableAopCalendar[[#This Row],[Day]]&lt;29,4,IF(TableAopCalendar[[#This Row],[Day]]&lt;32,5)))))</f>
        <v>3</v>
      </c>
      <c r="G1873" s="32" t="str">
        <f t="shared" si="103"/>
        <v>Week 3</v>
      </c>
      <c r="H1873" s="32" t="str">
        <f t="shared" si="104"/>
        <v>May 27 Week 3</v>
      </c>
      <c r="I1873" s="32" t="str">
        <f>CONCATENATE(UPPER(TableAopCalendar[[#This Row],[Month]])," ",TableAopCalendar[[#This Row],[Year]])</f>
        <v>MAY 27</v>
      </c>
      <c r="J1873" s="7" t="s">
        <v>274</v>
      </c>
      <c r="K1873" s="32" t="str">
        <f>CONCATENATE(TableAopCalendar[[#This Row],[Month for Plan]]," ",TableAopCalendar[[#This Row],[Plan]])</f>
        <v>MAY 27 PLANNED</v>
      </c>
    </row>
    <row r="1874" spans="1:11" x14ac:dyDescent="0.3">
      <c r="A1874" s="32">
        <f t="shared" si="102"/>
        <v>3</v>
      </c>
      <c r="B1874" s="33">
        <v>46524</v>
      </c>
      <c r="C1874" s="6" t="s">
        <v>265</v>
      </c>
      <c r="D1874" s="34">
        <v>27</v>
      </c>
      <c r="E1874" s="32">
        <f>DAY(TableAopCalendar[[#This Row],[Date]])</f>
        <v>17</v>
      </c>
      <c r="F1874" s="32">
        <f>IF(TableAopCalendar[[#This Row],[Day]]&lt;8,1,IF(TableAopCalendar[[#This Row],[Day]]&lt;15,2,IF(TableAopCalendar[[#This Row],[Day]]&lt;22,3,IF(TableAopCalendar[[#This Row],[Day]]&lt;29,4,IF(TableAopCalendar[[#This Row],[Day]]&lt;32,5)))))</f>
        <v>3</v>
      </c>
      <c r="G1874" s="32" t="str">
        <f t="shared" si="103"/>
        <v>Week 3</v>
      </c>
      <c r="H1874" s="32" t="str">
        <f t="shared" si="104"/>
        <v>May 27 Week 3</v>
      </c>
      <c r="I1874" s="32" t="str">
        <f>CONCATENATE(UPPER(TableAopCalendar[[#This Row],[Month]])," ",TableAopCalendar[[#This Row],[Year]])</f>
        <v>MAY 27</v>
      </c>
      <c r="J1874" s="7" t="s">
        <v>274</v>
      </c>
      <c r="K1874" s="32" t="str">
        <f>CONCATENATE(TableAopCalendar[[#This Row],[Month for Plan]]," ",TableAopCalendar[[#This Row],[Plan]])</f>
        <v>MAY 27 PLANNED</v>
      </c>
    </row>
    <row r="1875" spans="1:11" x14ac:dyDescent="0.3">
      <c r="A1875" s="32">
        <f t="shared" si="102"/>
        <v>4</v>
      </c>
      <c r="B1875" s="33">
        <v>46525</v>
      </c>
      <c r="C1875" s="6" t="s">
        <v>265</v>
      </c>
      <c r="D1875" s="34">
        <v>27</v>
      </c>
      <c r="E1875" s="32">
        <f>DAY(TableAopCalendar[[#This Row],[Date]])</f>
        <v>18</v>
      </c>
      <c r="F1875" s="32">
        <f>IF(TableAopCalendar[[#This Row],[Day]]&lt;8,1,IF(TableAopCalendar[[#This Row],[Day]]&lt;15,2,IF(TableAopCalendar[[#This Row],[Day]]&lt;22,3,IF(TableAopCalendar[[#This Row],[Day]]&lt;29,4,IF(TableAopCalendar[[#This Row],[Day]]&lt;32,5)))))</f>
        <v>3</v>
      </c>
      <c r="G1875" s="32" t="str">
        <f t="shared" si="103"/>
        <v>Week 3</v>
      </c>
      <c r="H1875" s="32" t="str">
        <f t="shared" si="104"/>
        <v>May 27 Week 3</v>
      </c>
      <c r="I1875" s="32" t="str">
        <f>CONCATENATE(UPPER(TableAopCalendar[[#This Row],[Month]])," ",TableAopCalendar[[#This Row],[Year]])</f>
        <v>MAY 27</v>
      </c>
      <c r="J1875" s="7" t="s">
        <v>274</v>
      </c>
      <c r="K1875" s="32" t="str">
        <f>CONCATENATE(TableAopCalendar[[#This Row],[Month for Plan]]," ",TableAopCalendar[[#This Row],[Plan]])</f>
        <v>MAY 27 PLANNED</v>
      </c>
    </row>
    <row r="1876" spans="1:11" x14ac:dyDescent="0.3">
      <c r="A1876" s="32">
        <f t="shared" si="102"/>
        <v>5</v>
      </c>
      <c r="B1876" s="33">
        <v>46526</v>
      </c>
      <c r="C1876" s="6" t="s">
        <v>265</v>
      </c>
      <c r="D1876" s="34">
        <v>27</v>
      </c>
      <c r="E1876" s="32">
        <f>DAY(TableAopCalendar[[#This Row],[Date]])</f>
        <v>19</v>
      </c>
      <c r="F1876" s="32">
        <f>IF(TableAopCalendar[[#This Row],[Day]]&lt;8,1,IF(TableAopCalendar[[#This Row],[Day]]&lt;15,2,IF(TableAopCalendar[[#This Row],[Day]]&lt;22,3,IF(TableAopCalendar[[#This Row],[Day]]&lt;29,4,IF(TableAopCalendar[[#This Row],[Day]]&lt;32,5)))))</f>
        <v>3</v>
      </c>
      <c r="G1876" s="32" t="str">
        <f t="shared" si="103"/>
        <v>Week 3</v>
      </c>
      <c r="H1876" s="32" t="str">
        <f t="shared" si="104"/>
        <v>May 27 Week 3</v>
      </c>
      <c r="I1876" s="32" t="str">
        <f>CONCATENATE(UPPER(TableAopCalendar[[#This Row],[Month]])," ",TableAopCalendar[[#This Row],[Year]])</f>
        <v>MAY 27</v>
      </c>
      <c r="J1876" s="7" t="s">
        <v>274</v>
      </c>
      <c r="K1876" s="32" t="str">
        <f>CONCATENATE(TableAopCalendar[[#This Row],[Month for Plan]]," ",TableAopCalendar[[#This Row],[Plan]])</f>
        <v>MAY 27 PLANNED</v>
      </c>
    </row>
    <row r="1877" spans="1:11" x14ac:dyDescent="0.3">
      <c r="A1877" s="32">
        <f t="shared" si="102"/>
        <v>6</v>
      </c>
      <c r="B1877" s="33">
        <v>46527</v>
      </c>
      <c r="C1877" s="6" t="s">
        <v>265</v>
      </c>
      <c r="D1877" s="34">
        <v>27</v>
      </c>
      <c r="E1877" s="32">
        <f>DAY(TableAopCalendar[[#This Row],[Date]])</f>
        <v>20</v>
      </c>
      <c r="F1877" s="32">
        <f>IF(TableAopCalendar[[#This Row],[Day]]&lt;8,1,IF(TableAopCalendar[[#This Row],[Day]]&lt;15,2,IF(TableAopCalendar[[#This Row],[Day]]&lt;22,3,IF(TableAopCalendar[[#This Row],[Day]]&lt;29,4,IF(TableAopCalendar[[#This Row],[Day]]&lt;32,5)))))</f>
        <v>3</v>
      </c>
      <c r="G1877" s="32" t="str">
        <f t="shared" si="103"/>
        <v>Week 3</v>
      </c>
      <c r="H1877" s="32" t="str">
        <f t="shared" si="104"/>
        <v>May 27 Week 3</v>
      </c>
      <c r="I1877" s="32" t="str">
        <f>CONCATENATE(UPPER(TableAopCalendar[[#This Row],[Month]])," ",TableAopCalendar[[#This Row],[Year]])</f>
        <v>MAY 27</v>
      </c>
      <c r="J1877" s="7" t="s">
        <v>274</v>
      </c>
      <c r="K1877" s="32" t="str">
        <f>CONCATENATE(TableAopCalendar[[#This Row],[Month for Plan]]," ",TableAopCalendar[[#This Row],[Plan]])</f>
        <v>MAY 27 PLANNED</v>
      </c>
    </row>
    <row r="1878" spans="1:11" x14ac:dyDescent="0.3">
      <c r="A1878" s="32">
        <f t="shared" si="102"/>
        <v>7</v>
      </c>
      <c r="B1878" s="33">
        <v>46528</v>
      </c>
      <c r="C1878" s="6" t="s">
        <v>265</v>
      </c>
      <c r="D1878" s="34">
        <v>27</v>
      </c>
      <c r="E1878" s="32">
        <f>DAY(TableAopCalendar[[#This Row],[Date]])</f>
        <v>21</v>
      </c>
      <c r="F1878" s="32">
        <f>IF(TableAopCalendar[[#This Row],[Day]]&lt;8,1,IF(TableAopCalendar[[#This Row],[Day]]&lt;15,2,IF(TableAopCalendar[[#This Row],[Day]]&lt;22,3,IF(TableAopCalendar[[#This Row],[Day]]&lt;29,4,IF(TableAopCalendar[[#This Row],[Day]]&lt;32,5)))))</f>
        <v>3</v>
      </c>
      <c r="G1878" s="32" t="str">
        <f t="shared" si="103"/>
        <v>Week 3</v>
      </c>
      <c r="H1878" s="32" t="str">
        <f t="shared" si="104"/>
        <v>May 27 Week 3</v>
      </c>
      <c r="I1878" s="32" t="str">
        <f>CONCATENATE(UPPER(TableAopCalendar[[#This Row],[Month]])," ",TableAopCalendar[[#This Row],[Year]])</f>
        <v>MAY 27</v>
      </c>
      <c r="J1878" s="7" t="s">
        <v>274</v>
      </c>
      <c r="K1878" s="32" t="str">
        <f>CONCATENATE(TableAopCalendar[[#This Row],[Month for Plan]]," ",TableAopCalendar[[#This Row],[Plan]])</f>
        <v>MAY 27 PLANNED</v>
      </c>
    </row>
    <row r="1879" spans="1:11" x14ac:dyDescent="0.3">
      <c r="A1879" s="32">
        <f t="shared" si="102"/>
        <v>1</v>
      </c>
      <c r="B1879" s="33">
        <v>46529</v>
      </c>
      <c r="C1879" s="6" t="s">
        <v>265</v>
      </c>
      <c r="D1879" s="34">
        <v>27</v>
      </c>
      <c r="E1879" s="32">
        <f>DAY(TableAopCalendar[[#This Row],[Date]])</f>
        <v>22</v>
      </c>
      <c r="F1879" s="32">
        <f>IF(TableAopCalendar[[#This Row],[Day]]&lt;8,1,IF(TableAopCalendar[[#This Row],[Day]]&lt;15,2,IF(TableAopCalendar[[#This Row],[Day]]&lt;22,3,IF(TableAopCalendar[[#This Row],[Day]]&lt;29,4,IF(TableAopCalendar[[#This Row],[Day]]&lt;32,5)))))</f>
        <v>4</v>
      </c>
      <c r="G1879" s="32" t="str">
        <f t="shared" si="103"/>
        <v>Week 4</v>
      </c>
      <c r="H1879" s="32" t="str">
        <f t="shared" si="104"/>
        <v>May 27 Week 4</v>
      </c>
      <c r="I1879" s="32" t="str">
        <f>CONCATENATE(UPPER(TableAopCalendar[[#This Row],[Month]])," ",TableAopCalendar[[#This Row],[Year]])</f>
        <v>MAY 27</v>
      </c>
      <c r="J1879" s="7" t="s">
        <v>274</v>
      </c>
      <c r="K1879" s="32" t="str">
        <f>CONCATENATE(TableAopCalendar[[#This Row],[Month for Plan]]," ",TableAopCalendar[[#This Row],[Plan]])</f>
        <v>MAY 27 PLANNED</v>
      </c>
    </row>
    <row r="1880" spans="1:11" x14ac:dyDescent="0.3">
      <c r="A1880" s="32">
        <f t="shared" si="102"/>
        <v>2</v>
      </c>
      <c r="B1880" s="33">
        <v>46530</v>
      </c>
      <c r="C1880" s="6" t="s">
        <v>265</v>
      </c>
      <c r="D1880" s="34">
        <v>27</v>
      </c>
      <c r="E1880" s="32">
        <f>DAY(TableAopCalendar[[#This Row],[Date]])</f>
        <v>23</v>
      </c>
      <c r="F1880" s="32">
        <f>IF(TableAopCalendar[[#This Row],[Day]]&lt;8,1,IF(TableAopCalendar[[#This Row],[Day]]&lt;15,2,IF(TableAopCalendar[[#This Row],[Day]]&lt;22,3,IF(TableAopCalendar[[#This Row],[Day]]&lt;29,4,IF(TableAopCalendar[[#This Row],[Day]]&lt;32,5)))))</f>
        <v>4</v>
      </c>
      <c r="G1880" s="32" t="str">
        <f t="shared" si="103"/>
        <v>Week 4</v>
      </c>
      <c r="H1880" s="32" t="str">
        <f t="shared" si="104"/>
        <v>May 27 Week 4</v>
      </c>
      <c r="I1880" s="32" t="str">
        <f>CONCATENATE(UPPER(TableAopCalendar[[#This Row],[Month]])," ",TableAopCalendar[[#This Row],[Year]])</f>
        <v>MAY 27</v>
      </c>
      <c r="J1880" s="7" t="s">
        <v>274</v>
      </c>
      <c r="K1880" s="32" t="str">
        <f>CONCATENATE(TableAopCalendar[[#This Row],[Month for Plan]]," ",TableAopCalendar[[#This Row],[Plan]])</f>
        <v>MAY 27 PLANNED</v>
      </c>
    </row>
    <row r="1881" spans="1:11" x14ac:dyDescent="0.3">
      <c r="A1881" s="32">
        <f t="shared" si="102"/>
        <v>3</v>
      </c>
      <c r="B1881" s="33">
        <v>46531</v>
      </c>
      <c r="C1881" s="6" t="s">
        <v>265</v>
      </c>
      <c r="D1881" s="34">
        <v>27</v>
      </c>
      <c r="E1881" s="32">
        <f>DAY(TableAopCalendar[[#This Row],[Date]])</f>
        <v>24</v>
      </c>
      <c r="F1881" s="32">
        <f>IF(TableAopCalendar[[#This Row],[Day]]&lt;8,1,IF(TableAopCalendar[[#This Row],[Day]]&lt;15,2,IF(TableAopCalendar[[#This Row],[Day]]&lt;22,3,IF(TableAopCalendar[[#This Row],[Day]]&lt;29,4,IF(TableAopCalendar[[#This Row],[Day]]&lt;32,5)))))</f>
        <v>4</v>
      </c>
      <c r="G1881" s="32" t="str">
        <f t="shared" si="103"/>
        <v>Week 4</v>
      </c>
      <c r="H1881" s="32" t="str">
        <f t="shared" si="104"/>
        <v>May 27 Week 4</v>
      </c>
      <c r="I1881" s="32" t="str">
        <f>CONCATENATE(UPPER(TableAopCalendar[[#This Row],[Month]])," ",TableAopCalendar[[#This Row],[Year]])</f>
        <v>MAY 27</v>
      </c>
      <c r="J1881" s="7" t="s">
        <v>274</v>
      </c>
      <c r="K1881" s="32" t="str">
        <f>CONCATENATE(TableAopCalendar[[#This Row],[Month for Plan]]," ",TableAopCalendar[[#This Row],[Plan]])</f>
        <v>MAY 27 PLANNED</v>
      </c>
    </row>
    <row r="1882" spans="1:11" x14ac:dyDescent="0.3">
      <c r="A1882" s="32">
        <f t="shared" si="102"/>
        <v>4</v>
      </c>
      <c r="B1882" s="33">
        <v>46532</v>
      </c>
      <c r="C1882" s="6" t="s">
        <v>265</v>
      </c>
      <c r="D1882" s="34">
        <v>27</v>
      </c>
      <c r="E1882" s="32">
        <f>DAY(TableAopCalendar[[#This Row],[Date]])</f>
        <v>25</v>
      </c>
      <c r="F1882" s="32">
        <f>IF(TableAopCalendar[[#This Row],[Day]]&lt;8,1,IF(TableAopCalendar[[#This Row],[Day]]&lt;15,2,IF(TableAopCalendar[[#This Row],[Day]]&lt;22,3,IF(TableAopCalendar[[#This Row],[Day]]&lt;29,4,IF(TableAopCalendar[[#This Row],[Day]]&lt;32,5)))))</f>
        <v>4</v>
      </c>
      <c r="G1882" s="32" t="str">
        <f t="shared" si="103"/>
        <v>Week 4</v>
      </c>
      <c r="H1882" s="32" t="str">
        <f t="shared" si="104"/>
        <v>May 27 Week 4</v>
      </c>
      <c r="I1882" s="32" t="str">
        <f>CONCATENATE(UPPER(TableAopCalendar[[#This Row],[Month]])," ",TableAopCalendar[[#This Row],[Year]])</f>
        <v>MAY 27</v>
      </c>
      <c r="J1882" s="7" t="s">
        <v>274</v>
      </c>
      <c r="K1882" s="32" t="str">
        <f>CONCATENATE(TableAopCalendar[[#This Row],[Month for Plan]]," ",TableAopCalendar[[#This Row],[Plan]])</f>
        <v>MAY 27 PLANNED</v>
      </c>
    </row>
    <row r="1883" spans="1:11" x14ac:dyDescent="0.3">
      <c r="A1883" s="32">
        <f t="shared" si="102"/>
        <v>5</v>
      </c>
      <c r="B1883" s="33">
        <v>46533</v>
      </c>
      <c r="C1883" s="6" t="s">
        <v>265</v>
      </c>
      <c r="D1883" s="34">
        <v>27</v>
      </c>
      <c r="E1883" s="32">
        <f>DAY(TableAopCalendar[[#This Row],[Date]])</f>
        <v>26</v>
      </c>
      <c r="F1883" s="32">
        <f>IF(TableAopCalendar[[#This Row],[Day]]&lt;8,1,IF(TableAopCalendar[[#This Row],[Day]]&lt;15,2,IF(TableAopCalendar[[#This Row],[Day]]&lt;22,3,IF(TableAopCalendar[[#This Row],[Day]]&lt;29,4,IF(TableAopCalendar[[#This Row],[Day]]&lt;32,5)))))</f>
        <v>4</v>
      </c>
      <c r="G1883" s="32" t="str">
        <f t="shared" si="103"/>
        <v>Week 4</v>
      </c>
      <c r="H1883" s="32" t="str">
        <f t="shared" si="104"/>
        <v>May 27 Week 4</v>
      </c>
      <c r="I1883" s="32" t="str">
        <f>CONCATENATE(UPPER(TableAopCalendar[[#This Row],[Month]])," ",TableAopCalendar[[#This Row],[Year]])</f>
        <v>MAY 27</v>
      </c>
      <c r="J1883" s="7" t="s">
        <v>274</v>
      </c>
      <c r="K1883" s="32" t="str">
        <f>CONCATENATE(TableAopCalendar[[#This Row],[Month for Plan]]," ",TableAopCalendar[[#This Row],[Plan]])</f>
        <v>MAY 27 PLANNED</v>
      </c>
    </row>
    <row r="1884" spans="1:11" x14ac:dyDescent="0.3">
      <c r="A1884" s="32">
        <f t="shared" si="102"/>
        <v>6</v>
      </c>
      <c r="B1884" s="33">
        <v>46534</v>
      </c>
      <c r="C1884" s="6" t="s">
        <v>265</v>
      </c>
      <c r="D1884" s="34">
        <v>27</v>
      </c>
      <c r="E1884" s="32">
        <f>DAY(TableAopCalendar[[#This Row],[Date]])</f>
        <v>27</v>
      </c>
      <c r="F1884" s="32">
        <f>IF(TableAopCalendar[[#This Row],[Day]]&lt;8,1,IF(TableAopCalendar[[#This Row],[Day]]&lt;15,2,IF(TableAopCalendar[[#This Row],[Day]]&lt;22,3,IF(TableAopCalendar[[#This Row],[Day]]&lt;29,4,IF(TableAopCalendar[[#This Row],[Day]]&lt;32,5)))))</f>
        <v>4</v>
      </c>
      <c r="G1884" s="32" t="str">
        <f t="shared" si="103"/>
        <v>Week 4</v>
      </c>
      <c r="H1884" s="32" t="str">
        <f t="shared" si="104"/>
        <v>May 27 Week 4</v>
      </c>
      <c r="I1884" s="32" t="str">
        <f>CONCATENATE(UPPER(TableAopCalendar[[#This Row],[Month]])," ",TableAopCalendar[[#This Row],[Year]])</f>
        <v>MAY 27</v>
      </c>
      <c r="J1884" s="7" t="s">
        <v>274</v>
      </c>
      <c r="K1884" s="32" t="str">
        <f>CONCATENATE(TableAopCalendar[[#This Row],[Month for Plan]]," ",TableAopCalendar[[#This Row],[Plan]])</f>
        <v>MAY 27 PLANNED</v>
      </c>
    </row>
    <row r="1885" spans="1:11" x14ac:dyDescent="0.3">
      <c r="A1885" s="32">
        <f t="shared" si="102"/>
        <v>7</v>
      </c>
      <c r="B1885" s="33">
        <v>46535</v>
      </c>
      <c r="C1885" s="6" t="s">
        <v>265</v>
      </c>
      <c r="D1885" s="34">
        <v>27</v>
      </c>
      <c r="E1885" s="32">
        <f>DAY(TableAopCalendar[[#This Row],[Date]])</f>
        <v>28</v>
      </c>
      <c r="F1885" s="32">
        <f>IF(TableAopCalendar[[#This Row],[Day]]&lt;8,1,IF(TableAopCalendar[[#This Row],[Day]]&lt;15,2,IF(TableAopCalendar[[#This Row],[Day]]&lt;22,3,IF(TableAopCalendar[[#This Row],[Day]]&lt;29,4,IF(TableAopCalendar[[#This Row],[Day]]&lt;32,5)))))</f>
        <v>4</v>
      </c>
      <c r="G1885" s="32" t="str">
        <f t="shared" si="103"/>
        <v>Week 4</v>
      </c>
      <c r="H1885" s="32" t="str">
        <f t="shared" si="104"/>
        <v>May 27 Week 4</v>
      </c>
      <c r="I1885" s="32" t="str">
        <f>CONCATENATE(UPPER(TableAopCalendar[[#This Row],[Month]])," ",TableAopCalendar[[#This Row],[Year]])</f>
        <v>MAY 27</v>
      </c>
      <c r="J1885" s="7" t="s">
        <v>274</v>
      </c>
      <c r="K1885" s="32" t="str">
        <f>CONCATENATE(TableAopCalendar[[#This Row],[Month for Plan]]," ",TableAopCalendar[[#This Row],[Plan]])</f>
        <v>MAY 27 PLANNED</v>
      </c>
    </row>
    <row r="1886" spans="1:11" x14ac:dyDescent="0.3">
      <c r="A1886" s="32">
        <f t="shared" si="102"/>
        <v>1</v>
      </c>
      <c r="B1886" s="33">
        <v>46536</v>
      </c>
      <c r="C1886" s="6" t="s">
        <v>265</v>
      </c>
      <c r="D1886" s="34">
        <v>27</v>
      </c>
      <c r="E1886" s="32">
        <f>DAY(TableAopCalendar[[#This Row],[Date]])</f>
        <v>29</v>
      </c>
      <c r="F1886" s="32">
        <f>IF(TableAopCalendar[[#This Row],[Day]]&lt;8,1,IF(TableAopCalendar[[#This Row],[Day]]&lt;15,2,IF(TableAopCalendar[[#This Row],[Day]]&lt;22,3,IF(TableAopCalendar[[#This Row],[Day]]&lt;29,4,IF(TableAopCalendar[[#This Row],[Day]]&lt;32,5)))))</f>
        <v>5</v>
      </c>
      <c r="G1886" s="32" t="str">
        <f t="shared" si="103"/>
        <v>Week 5</v>
      </c>
      <c r="H1886" s="32" t="str">
        <f t="shared" si="104"/>
        <v>May 27 Week 5</v>
      </c>
      <c r="I1886" s="32" t="str">
        <f>CONCATENATE(UPPER(TableAopCalendar[[#This Row],[Month]])," ",TableAopCalendar[[#This Row],[Year]])</f>
        <v>MAY 27</v>
      </c>
      <c r="J1886" s="7" t="s">
        <v>274</v>
      </c>
      <c r="K1886" s="32" t="str">
        <f>CONCATENATE(TableAopCalendar[[#This Row],[Month for Plan]]," ",TableAopCalendar[[#This Row],[Plan]])</f>
        <v>MAY 27 PLANNED</v>
      </c>
    </row>
    <row r="1887" spans="1:11" x14ac:dyDescent="0.3">
      <c r="A1887" s="32">
        <f t="shared" si="102"/>
        <v>2</v>
      </c>
      <c r="B1887" s="33">
        <v>46537</v>
      </c>
      <c r="C1887" s="6" t="s">
        <v>265</v>
      </c>
      <c r="D1887" s="34">
        <v>27</v>
      </c>
      <c r="E1887" s="32">
        <f>DAY(TableAopCalendar[[#This Row],[Date]])</f>
        <v>30</v>
      </c>
      <c r="F1887" s="32">
        <f>IF(TableAopCalendar[[#This Row],[Day]]&lt;8,1,IF(TableAopCalendar[[#This Row],[Day]]&lt;15,2,IF(TableAopCalendar[[#This Row],[Day]]&lt;22,3,IF(TableAopCalendar[[#This Row],[Day]]&lt;29,4,IF(TableAopCalendar[[#This Row],[Day]]&lt;32,5)))))</f>
        <v>5</v>
      </c>
      <c r="G1887" s="32" t="str">
        <f t="shared" si="103"/>
        <v>Week 5</v>
      </c>
      <c r="H1887" s="32" t="str">
        <f t="shared" si="104"/>
        <v>May 27 Week 5</v>
      </c>
      <c r="I1887" s="32" t="str">
        <f>CONCATENATE(UPPER(TableAopCalendar[[#This Row],[Month]])," ",TableAopCalendar[[#This Row],[Year]])</f>
        <v>MAY 27</v>
      </c>
      <c r="J1887" s="7" t="s">
        <v>274</v>
      </c>
      <c r="K1887" s="32" t="str">
        <f>CONCATENATE(TableAopCalendar[[#This Row],[Month for Plan]]," ",TableAopCalendar[[#This Row],[Plan]])</f>
        <v>MAY 27 PLANNED</v>
      </c>
    </row>
    <row r="1888" spans="1:11" x14ac:dyDescent="0.3">
      <c r="A1888" s="32">
        <f t="shared" si="102"/>
        <v>3</v>
      </c>
      <c r="B1888" s="33">
        <v>46538</v>
      </c>
      <c r="C1888" s="6" t="s">
        <v>265</v>
      </c>
      <c r="D1888" s="34">
        <v>27</v>
      </c>
      <c r="E1888" s="32">
        <f>DAY(TableAopCalendar[[#This Row],[Date]])</f>
        <v>31</v>
      </c>
      <c r="F1888" s="32">
        <f>IF(TableAopCalendar[[#This Row],[Day]]&lt;8,1,IF(TableAopCalendar[[#This Row],[Day]]&lt;15,2,IF(TableAopCalendar[[#This Row],[Day]]&lt;22,3,IF(TableAopCalendar[[#This Row],[Day]]&lt;29,4,IF(TableAopCalendar[[#This Row],[Day]]&lt;32,5)))))</f>
        <v>5</v>
      </c>
      <c r="G1888" s="32" t="str">
        <f t="shared" si="103"/>
        <v>Week 5</v>
      </c>
      <c r="H1888" s="32" t="str">
        <f t="shared" si="104"/>
        <v>May 27 Week 5</v>
      </c>
      <c r="I1888" s="32" t="str">
        <f>CONCATENATE(UPPER(TableAopCalendar[[#This Row],[Month]])," ",TableAopCalendar[[#This Row],[Year]])</f>
        <v>MAY 27</v>
      </c>
      <c r="J1888" s="7" t="s">
        <v>274</v>
      </c>
      <c r="K1888" s="32" t="str">
        <f>CONCATENATE(TableAopCalendar[[#This Row],[Month for Plan]]," ",TableAopCalendar[[#This Row],[Plan]])</f>
        <v>MAY 27 PLANNED</v>
      </c>
    </row>
    <row r="1889" spans="1:11" x14ac:dyDescent="0.3">
      <c r="A1889" s="32">
        <f t="shared" si="102"/>
        <v>1</v>
      </c>
      <c r="B1889" s="33">
        <v>46539</v>
      </c>
      <c r="C1889" s="6" t="s">
        <v>266</v>
      </c>
      <c r="D1889" s="34">
        <v>27</v>
      </c>
      <c r="E1889" s="32">
        <f>DAY(TableAopCalendar[[#This Row],[Date]])</f>
        <v>1</v>
      </c>
      <c r="F1889" s="32">
        <f>IF(TableAopCalendar[[#This Row],[Day]]&lt;8,1,IF(TableAopCalendar[[#This Row],[Day]]&lt;15,2,IF(TableAopCalendar[[#This Row],[Day]]&lt;22,3,IF(TableAopCalendar[[#This Row],[Day]]&lt;29,4,IF(TableAopCalendar[[#This Row],[Day]]&lt;32,5)))))</f>
        <v>1</v>
      </c>
      <c r="G1889" s="32" t="str">
        <f t="shared" si="103"/>
        <v>Week 1</v>
      </c>
      <c r="H1889" s="32" t="str">
        <f t="shared" si="104"/>
        <v>June 27 Week 1</v>
      </c>
      <c r="I1889" s="32" t="str">
        <f>CONCATENATE(UPPER(TableAopCalendar[[#This Row],[Month]])," ",TableAopCalendar[[#This Row],[Year]])</f>
        <v>JUNE 27</v>
      </c>
      <c r="J1889" s="7" t="s">
        <v>274</v>
      </c>
      <c r="K1889" s="32" t="str">
        <f>CONCATENATE(TableAopCalendar[[#This Row],[Month for Plan]]," ",TableAopCalendar[[#This Row],[Plan]])</f>
        <v>JUNE 27 PLANNED</v>
      </c>
    </row>
    <row r="1890" spans="1:11" x14ac:dyDescent="0.3">
      <c r="A1890" s="32">
        <f t="shared" si="102"/>
        <v>2</v>
      </c>
      <c r="B1890" s="33">
        <v>46540</v>
      </c>
      <c r="C1890" s="6" t="s">
        <v>266</v>
      </c>
      <c r="D1890" s="34">
        <v>27</v>
      </c>
      <c r="E1890" s="32">
        <f>DAY(TableAopCalendar[[#This Row],[Date]])</f>
        <v>2</v>
      </c>
      <c r="F1890" s="32">
        <f>IF(TableAopCalendar[[#This Row],[Day]]&lt;8,1,IF(TableAopCalendar[[#This Row],[Day]]&lt;15,2,IF(TableAopCalendar[[#This Row],[Day]]&lt;22,3,IF(TableAopCalendar[[#This Row],[Day]]&lt;29,4,IF(TableAopCalendar[[#This Row],[Day]]&lt;32,5)))))</f>
        <v>1</v>
      </c>
      <c r="G1890" s="32" t="str">
        <f t="shared" si="103"/>
        <v>Week 1</v>
      </c>
      <c r="H1890" s="32" t="str">
        <f t="shared" si="104"/>
        <v>June 27 Week 1</v>
      </c>
      <c r="I1890" s="32" t="str">
        <f>CONCATENATE(UPPER(TableAopCalendar[[#This Row],[Month]])," ",TableAopCalendar[[#This Row],[Year]])</f>
        <v>JUNE 27</v>
      </c>
      <c r="J1890" s="7" t="s">
        <v>274</v>
      </c>
      <c r="K1890" s="32" t="str">
        <f>CONCATENATE(TableAopCalendar[[#This Row],[Month for Plan]]," ",TableAopCalendar[[#This Row],[Plan]])</f>
        <v>JUNE 27 PLANNED</v>
      </c>
    </row>
    <row r="1891" spans="1:11" x14ac:dyDescent="0.3">
      <c r="A1891" s="32">
        <f t="shared" si="102"/>
        <v>3</v>
      </c>
      <c r="B1891" s="33">
        <v>46541</v>
      </c>
      <c r="C1891" s="6" t="s">
        <v>266</v>
      </c>
      <c r="D1891" s="34">
        <v>27</v>
      </c>
      <c r="E1891" s="32">
        <f>DAY(TableAopCalendar[[#This Row],[Date]])</f>
        <v>3</v>
      </c>
      <c r="F1891" s="32">
        <f>IF(TableAopCalendar[[#This Row],[Day]]&lt;8,1,IF(TableAopCalendar[[#This Row],[Day]]&lt;15,2,IF(TableAopCalendar[[#This Row],[Day]]&lt;22,3,IF(TableAopCalendar[[#This Row],[Day]]&lt;29,4,IF(TableAopCalendar[[#This Row],[Day]]&lt;32,5)))))</f>
        <v>1</v>
      </c>
      <c r="G1891" s="32" t="str">
        <f t="shared" si="103"/>
        <v>Week 1</v>
      </c>
      <c r="H1891" s="32" t="str">
        <f t="shared" si="104"/>
        <v>June 27 Week 1</v>
      </c>
      <c r="I1891" s="32" t="str">
        <f>CONCATENATE(UPPER(TableAopCalendar[[#This Row],[Month]])," ",TableAopCalendar[[#This Row],[Year]])</f>
        <v>JUNE 27</v>
      </c>
      <c r="J1891" s="7" t="s">
        <v>274</v>
      </c>
      <c r="K1891" s="32" t="str">
        <f>CONCATENATE(TableAopCalendar[[#This Row],[Month for Plan]]," ",TableAopCalendar[[#This Row],[Plan]])</f>
        <v>JUNE 27 PLANNED</v>
      </c>
    </row>
    <row r="1892" spans="1:11" x14ac:dyDescent="0.3">
      <c r="A1892" s="32">
        <f t="shared" ref="A1892:A1955" si="105">IF(G1892=G1891,A1891+1,1)</f>
        <v>4</v>
      </c>
      <c r="B1892" s="33">
        <v>46542</v>
      </c>
      <c r="C1892" s="6" t="s">
        <v>266</v>
      </c>
      <c r="D1892" s="34">
        <v>27</v>
      </c>
      <c r="E1892" s="32">
        <f>DAY(TableAopCalendar[[#This Row],[Date]])</f>
        <v>4</v>
      </c>
      <c r="F1892" s="32">
        <f>IF(TableAopCalendar[[#This Row],[Day]]&lt;8,1,IF(TableAopCalendar[[#This Row],[Day]]&lt;15,2,IF(TableAopCalendar[[#This Row],[Day]]&lt;22,3,IF(TableAopCalendar[[#This Row],[Day]]&lt;29,4,IF(TableAopCalendar[[#This Row],[Day]]&lt;32,5)))))</f>
        <v>1</v>
      </c>
      <c r="G1892" s="32" t="str">
        <f t="shared" ref="G1892:G1955" si="106">"Week"&amp;" "&amp;F1892</f>
        <v>Week 1</v>
      </c>
      <c r="H1892" s="32" t="str">
        <f t="shared" ref="H1892:H1955" si="107">CONCATENATE(C1892," ",D1892," ",G1892)</f>
        <v>June 27 Week 1</v>
      </c>
      <c r="I1892" s="32" t="str">
        <f>CONCATENATE(UPPER(TableAopCalendar[[#This Row],[Month]])," ",TableAopCalendar[[#This Row],[Year]])</f>
        <v>JUNE 27</v>
      </c>
      <c r="J1892" s="7" t="s">
        <v>274</v>
      </c>
      <c r="K1892" s="32" t="str">
        <f>CONCATENATE(TableAopCalendar[[#This Row],[Month for Plan]]," ",TableAopCalendar[[#This Row],[Plan]])</f>
        <v>JUNE 27 PLANNED</v>
      </c>
    </row>
    <row r="1893" spans="1:11" x14ac:dyDescent="0.3">
      <c r="A1893" s="32">
        <f t="shared" si="105"/>
        <v>5</v>
      </c>
      <c r="B1893" s="33">
        <v>46543</v>
      </c>
      <c r="C1893" s="6" t="s">
        <v>266</v>
      </c>
      <c r="D1893" s="34">
        <v>27</v>
      </c>
      <c r="E1893" s="32">
        <f>DAY(TableAopCalendar[[#This Row],[Date]])</f>
        <v>5</v>
      </c>
      <c r="F1893" s="32">
        <f>IF(TableAopCalendar[[#This Row],[Day]]&lt;8,1,IF(TableAopCalendar[[#This Row],[Day]]&lt;15,2,IF(TableAopCalendar[[#This Row],[Day]]&lt;22,3,IF(TableAopCalendar[[#This Row],[Day]]&lt;29,4,IF(TableAopCalendar[[#This Row],[Day]]&lt;32,5)))))</f>
        <v>1</v>
      </c>
      <c r="G1893" s="32" t="str">
        <f t="shared" si="106"/>
        <v>Week 1</v>
      </c>
      <c r="H1893" s="32" t="str">
        <f t="shared" si="107"/>
        <v>June 27 Week 1</v>
      </c>
      <c r="I1893" s="32" t="str">
        <f>CONCATENATE(UPPER(TableAopCalendar[[#This Row],[Month]])," ",TableAopCalendar[[#This Row],[Year]])</f>
        <v>JUNE 27</v>
      </c>
      <c r="J1893" s="7" t="s">
        <v>274</v>
      </c>
      <c r="K1893" s="32" t="str">
        <f>CONCATENATE(TableAopCalendar[[#This Row],[Month for Plan]]," ",TableAopCalendar[[#This Row],[Plan]])</f>
        <v>JUNE 27 PLANNED</v>
      </c>
    </row>
    <row r="1894" spans="1:11" x14ac:dyDescent="0.3">
      <c r="A1894" s="32">
        <f t="shared" si="105"/>
        <v>6</v>
      </c>
      <c r="B1894" s="33">
        <v>46544</v>
      </c>
      <c r="C1894" s="6" t="s">
        <v>266</v>
      </c>
      <c r="D1894" s="34">
        <v>27</v>
      </c>
      <c r="E1894" s="32">
        <f>DAY(TableAopCalendar[[#This Row],[Date]])</f>
        <v>6</v>
      </c>
      <c r="F1894" s="32">
        <f>IF(TableAopCalendar[[#This Row],[Day]]&lt;8,1,IF(TableAopCalendar[[#This Row],[Day]]&lt;15,2,IF(TableAopCalendar[[#This Row],[Day]]&lt;22,3,IF(TableAopCalendar[[#This Row],[Day]]&lt;29,4,IF(TableAopCalendar[[#This Row],[Day]]&lt;32,5)))))</f>
        <v>1</v>
      </c>
      <c r="G1894" s="32" t="str">
        <f t="shared" si="106"/>
        <v>Week 1</v>
      </c>
      <c r="H1894" s="32" t="str">
        <f t="shared" si="107"/>
        <v>June 27 Week 1</v>
      </c>
      <c r="I1894" s="32" t="str">
        <f>CONCATENATE(UPPER(TableAopCalendar[[#This Row],[Month]])," ",TableAopCalendar[[#This Row],[Year]])</f>
        <v>JUNE 27</v>
      </c>
      <c r="J1894" s="7" t="s">
        <v>274</v>
      </c>
      <c r="K1894" s="32" t="str">
        <f>CONCATENATE(TableAopCalendar[[#This Row],[Month for Plan]]," ",TableAopCalendar[[#This Row],[Plan]])</f>
        <v>JUNE 27 PLANNED</v>
      </c>
    </row>
    <row r="1895" spans="1:11" x14ac:dyDescent="0.3">
      <c r="A1895" s="32">
        <f t="shared" si="105"/>
        <v>7</v>
      </c>
      <c r="B1895" s="33">
        <v>46545</v>
      </c>
      <c r="C1895" s="6" t="s">
        <v>266</v>
      </c>
      <c r="D1895" s="34">
        <v>27</v>
      </c>
      <c r="E1895" s="32">
        <f>DAY(TableAopCalendar[[#This Row],[Date]])</f>
        <v>7</v>
      </c>
      <c r="F1895" s="32">
        <f>IF(TableAopCalendar[[#This Row],[Day]]&lt;8,1,IF(TableAopCalendar[[#This Row],[Day]]&lt;15,2,IF(TableAopCalendar[[#This Row],[Day]]&lt;22,3,IF(TableAopCalendar[[#This Row],[Day]]&lt;29,4,IF(TableAopCalendar[[#This Row],[Day]]&lt;32,5)))))</f>
        <v>1</v>
      </c>
      <c r="G1895" s="32" t="str">
        <f t="shared" si="106"/>
        <v>Week 1</v>
      </c>
      <c r="H1895" s="32" t="str">
        <f t="shared" si="107"/>
        <v>June 27 Week 1</v>
      </c>
      <c r="I1895" s="32" t="str">
        <f>CONCATENATE(UPPER(TableAopCalendar[[#This Row],[Month]])," ",TableAopCalendar[[#This Row],[Year]])</f>
        <v>JUNE 27</v>
      </c>
      <c r="J1895" s="7" t="s">
        <v>274</v>
      </c>
      <c r="K1895" s="32" t="str">
        <f>CONCATENATE(TableAopCalendar[[#This Row],[Month for Plan]]," ",TableAopCalendar[[#This Row],[Plan]])</f>
        <v>JUNE 27 PLANNED</v>
      </c>
    </row>
    <row r="1896" spans="1:11" x14ac:dyDescent="0.3">
      <c r="A1896" s="32">
        <f t="shared" si="105"/>
        <v>1</v>
      </c>
      <c r="B1896" s="33">
        <v>46546</v>
      </c>
      <c r="C1896" s="6" t="s">
        <v>266</v>
      </c>
      <c r="D1896" s="34">
        <v>27</v>
      </c>
      <c r="E1896" s="32">
        <f>DAY(TableAopCalendar[[#This Row],[Date]])</f>
        <v>8</v>
      </c>
      <c r="F1896" s="32">
        <f>IF(TableAopCalendar[[#This Row],[Day]]&lt;8,1,IF(TableAopCalendar[[#This Row],[Day]]&lt;15,2,IF(TableAopCalendar[[#This Row],[Day]]&lt;22,3,IF(TableAopCalendar[[#This Row],[Day]]&lt;29,4,IF(TableAopCalendar[[#This Row],[Day]]&lt;32,5)))))</f>
        <v>2</v>
      </c>
      <c r="G1896" s="32" t="str">
        <f t="shared" si="106"/>
        <v>Week 2</v>
      </c>
      <c r="H1896" s="32" t="str">
        <f t="shared" si="107"/>
        <v>June 27 Week 2</v>
      </c>
      <c r="I1896" s="32" t="str">
        <f>CONCATENATE(UPPER(TableAopCalendar[[#This Row],[Month]])," ",TableAopCalendar[[#This Row],[Year]])</f>
        <v>JUNE 27</v>
      </c>
      <c r="J1896" s="7" t="s">
        <v>274</v>
      </c>
      <c r="K1896" s="32" t="str">
        <f>CONCATENATE(TableAopCalendar[[#This Row],[Month for Plan]]," ",TableAopCalendar[[#This Row],[Plan]])</f>
        <v>JUNE 27 PLANNED</v>
      </c>
    </row>
    <row r="1897" spans="1:11" x14ac:dyDescent="0.3">
      <c r="A1897" s="32">
        <f t="shared" si="105"/>
        <v>2</v>
      </c>
      <c r="B1897" s="33">
        <v>46547</v>
      </c>
      <c r="C1897" s="6" t="s">
        <v>266</v>
      </c>
      <c r="D1897" s="34">
        <v>27</v>
      </c>
      <c r="E1897" s="32">
        <f>DAY(TableAopCalendar[[#This Row],[Date]])</f>
        <v>9</v>
      </c>
      <c r="F1897" s="32">
        <f>IF(TableAopCalendar[[#This Row],[Day]]&lt;8,1,IF(TableAopCalendar[[#This Row],[Day]]&lt;15,2,IF(TableAopCalendar[[#This Row],[Day]]&lt;22,3,IF(TableAopCalendar[[#This Row],[Day]]&lt;29,4,IF(TableAopCalendar[[#This Row],[Day]]&lt;32,5)))))</f>
        <v>2</v>
      </c>
      <c r="G1897" s="32" t="str">
        <f t="shared" si="106"/>
        <v>Week 2</v>
      </c>
      <c r="H1897" s="32" t="str">
        <f t="shared" si="107"/>
        <v>June 27 Week 2</v>
      </c>
      <c r="I1897" s="32" t="str">
        <f>CONCATENATE(UPPER(TableAopCalendar[[#This Row],[Month]])," ",TableAopCalendar[[#This Row],[Year]])</f>
        <v>JUNE 27</v>
      </c>
      <c r="J1897" s="7" t="s">
        <v>274</v>
      </c>
      <c r="K1897" s="32" t="str">
        <f>CONCATENATE(TableAopCalendar[[#This Row],[Month for Plan]]," ",TableAopCalendar[[#This Row],[Plan]])</f>
        <v>JUNE 27 PLANNED</v>
      </c>
    </row>
    <row r="1898" spans="1:11" x14ac:dyDescent="0.3">
      <c r="A1898" s="32">
        <f t="shared" si="105"/>
        <v>3</v>
      </c>
      <c r="B1898" s="33">
        <v>46548</v>
      </c>
      <c r="C1898" s="6" t="s">
        <v>266</v>
      </c>
      <c r="D1898" s="34">
        <v>27</v>
      </c>
      <c r="E1898" s="32">
        <f>DAY(TableAopCalendar[[#This Row],[Date]])</f>
        <v>10</v>
      </c>
      <c r="F1898" s="32">
        <f>IF(TableAopCalendar[[#This Row],[Day]]&lt;8,1,IF(TableAopCalendar[[#This Row],[Day]]&lt;15,2,IF(TableAopCalendar[[#This Row],[Day]]&lt;22,3,IF(TableAopCalendar[[#This Row],[Day]]&lt;29,4,IF(TableAopCalendar[[#This Row],[Day]]&lt;32,5)))))</f>
        <v>2</v>
      </c>
      <c r="G1898" s="32" t="str">
        <f t="shared" si="106"/>
        <v>Week 2</v>
      </c>
      <c r="H1898" s="32" t="str">
        <f t="shared" si="107"/>
        <v>June 27 Week 2</v>
      </c>
      <c r="I1898" s="32" t="str">
        <f>CONCATENATE(UPPER(TableAopCalendar[[#This Row],[Month]])," ",TableAopCalendar[[#This Row],[Year]])</f>
        <v>JUNE 27</v>
      </c>
      <c r="J1898" s="7" t="s">
        <v>274</v>
      </c>
      <c r="K1898" s="32" t="str">
        <f>CONCATENATE(TableAopCalendar[[#This Row],[Month for Plan]]," ",TableAopCalendar[[#This Row],[Plan]])</f>
        <v>JUNE 27 PLANNED</v>
      </c>
    </row>
    <row r="1899" spans="1:11" x14ac:dyDescent="0.3">
      <c r="A1899" s="32">
        <f t="shared" si="105"/>
        <v>4</v>
      </c>
      <c r="B1899" s="33">
        <v>46549</v>
      </c>
      <c r="C1899" s="6" t="s">
        <v>266</v>
      </c>
      <c r="D1899" s="34">
        <v>27</v>
      </c>
      <c r="E1899" s="32">
        <f>DAY(TableAopCalendar[[#This Row],[Date]])</f>
        <v>11</v>
      </c>
      <c r="F1899" s="32">
        <f>IF(TableAopCalendar[[#This Row],[Day]]&lt;8,1,IF(TableAopCalendar[[#This Row],[Day]]&lt;15,2,IF(TableAopCalendar[[#This Row],[Day]]&lt;22,3,IF(TableAopCalendar[[#This Row],[Day]]&lt;29,4,IF(TableAopCalendar[[#This Row],[Day]]&lt;32,5)))))</f>
        <v>2</v>
      </c>
      <c r="G1899" s="32" t="str">
        <f t="shared" si="106"/>
        <v>Week 2</v>
      </c>
      <c r="H1899" s="32" t="str">
        <f t="shared" si="107"/>
        <v>June 27 Week 2</v>
      </c>
      <c r="I1899" s="32" t="str">
        <f>CONCATENATE(UPPER(TableAopCalendar[[#This Row],[Month]])," ",TableAopCalendar[[#This Row],[Year]])</f>
        <v>JUNE 27</v>
      </c>
      <c r="J1899" s="7" t="s">
        <v>274</v>
      </c>
      <c r="K1899" s="32" t="str">
        <f>CONCATENATE(TableAopCalendar[[#This Row],[Month for Plan]]," ",TableAopCalendar[[#This Row],[Plan]])</f>
        <v>JUNE 27 PLANNED</v>
      </c>
    </row>
    <row r="1900" spans="1:11" x14ac:dyDescent="0.3">
      <c r="A1900" s="32">
        <f t="shared" si="105"/>
        <v>5</v>
      </c>
      <c r="B1900" s="33">
        <v>46550</v>
      </c>
      <c r="C1900" s="6" t="s">
        <v>266</v>
      </c>
      <c r="D1900" s="34">
        <v>27</v>
      </c>
      <c r="E1900" s="32">
        <f>DAY(TableAopCalendar[[#This Row],[Date]])</f>
        <v>12</v>
      </c>
      <c r="F1900" s="32">
        <f>IF(TableAopCalendar[[#This Row],[Day]]&lt;8,1,IF(TableAopCalendar[[#This Row],[Day]]&lt;15,2,IF(TableAopCalendar[[#This Row],[Day]]&lt;22,3,IF(TableAopCalendar[[#This Row],[Day]]&lt;29,4,IF(TableAopCalendar[[#This Row],[Day]]&lt;32,5)))))</f>
        <v>2</v>
      </c>
      <c r="G1900" s="32" t="str">
        <f t="shared" si="106"/>
        <v>Week 2</v>
      </c>
      <c r="H1900" s="32" t="str">
        <f t="shared" si="107"/>
        <v>June 27 Week 2</v>
      </c>
      <c r="I1900" s="32" t="str">
        <f>CONCATENATE(UPPER(TableAopCalendar[[#This Row],[Month]])," ",TableAopCalendar[[#This Row],[Year]])</f>
        <v>JUNE 27</v>
      </c>
      <c r="J1900" s="7" t="s">
        <v>274</v>
      </c>
      <c r="K1900" s="32" t="str">
        <f>CONCATENATE(TableAopCalendar[[#This Row],[Month for Plan]]," ",TableAopCalendar[[#This Row],[Plan]])</f>
        <v>JUNE 27 PLANNED</v>
      </c>
    </row>
    <row r="1901" spans="1:11" x14ac:dyDescent="0.3">
      <c r="A1901" s="32">
        <f t="shared" si="105"/>
        <v>6</v>
      </c>
      <c r="B1901" s="33">
        <v>46551</v>
      </c>
      <c r="C1901" s="6" t="s">
        <v>266</v>
      </c>
      <c r="D1901" s="34">
        <v>27</v>
      </c>
      <c r="E1901" s="32">
        <f>DAY(TableAopCalendar[[#This Row],[Date]])</f>
        <v>13</v>
      </c>
      <c r="F1901" s="32">
        <f>IF(TableAopCalendar[[#This Row],[Day]]&lt;8,1,IF(TableAopCalendar[[#This Row],[Day]]&lt;15,2,IF(TableAopCalendar[[#This Row],[Day]]&lt;22,3,IF(TableAopCalendar[[#This Row],[Day]]&lt;29,4,IF(TableAopCalendar[[#This Row],[Day]]&lt;32,5)))))</f>
        <v>2</v>
      </c>
      <c r="G1901" s="32" t="str">
        <f t="shared" si="106"/>
        <v>Week 2</v>
      </c>
      <c r="H1901" s="32" t="str">
        <f t="shared" si="107"/>
        <v>June 27 Week 2</v>
      </c>
      <c r="I1901" s="32" t="str">
        <f>CONCATENATE(UPPER(TableAopCalendar[[#This Row],[Month]])," ",TableAopCalendar[[#This Row],[Year]])</f>
        <v>JUNE 27</v>
      </c>
      <c r="J1901" s="7" t="s">
        <v>274</v>
      </c>
      <c r="K1901" s="32" t="str">
        <f>CONCATENATE(TableAopCalendar[[#This Row],[Month for Plan]]," ",TableAopCalendar[[#This Row],[Plan]])</f>
        <v>JUNE 27 PLANNED</v>
      </c>
    </row>
    <row r="1902" spans="1:11" x14ac:dyDescent="0.3">
      <c r="A1902" s="32">
        <f t="shared" si="105"/>
        <v>7</v>
      </c>
      <c r="B1902" s="33">
        <v>46552</v>
      </c>
      <c r="C1902" s="6" t="s">
        <v>266</v>
      </c>
      <c r="D1902" s="34">
        <v>27</v>
      </c>
      <c r="E1902" s="32">
        <f>DAY(TableAopCalendar[[#This Row],[Date]])</f>
        <v>14</v>
      </c>
      <c r="F1902" s="32">
        <f>IF(TableAopCalendar[[#This Row],[Day]]&lt;8,1,IF(TableAopCalendar[[#This Row],[Day]]&lt;15,2,IF(TableAopCalendar[[#This Row],[Day]]&lt;22,3,IF(TableAopCalendar[[#This Row],[Day]]&lt;29,4,IF(TableAopCalendar[[#This Row],[Day]]&lt;32,5)))))</f>
        <v>2</v>
      </c>
      <c r="G1902" s="32" t="str">
        <f t="shared" si="106"/>
        <v>Week 2</v>
      </c>
      <c r="H1902" s="32" t="str">
        <f t="shared" si="107"/>
        <v>June 27 Week 2</v>
      </c>
      <c r="I1902" s="32" t="str">
        <f>CONCATENATE(UPPER(TableAopCalendar[[#This Row],[Month]])," ",TableAopCalendar[[#This Row],[Year]])</f>
        <v>JUNE 27</v>
      </c>
      <c r="J1902" s="7" t="s">
        <v>274</v>
      </c>
      <c r="K1902" s="32" t="str">
        <f>CONCATENATE(TableAopCalendar[[#This Row],[Month for Plan]]," ",TableAopCalendar[[#This Row],[Plan]])</f>
        <v>JUNE 27 PLANNED</v>
      </c>
    </row>
    <row r="1903" spans="1:11" x14ac:dyDescent="0.3">
      <c r="A1903" s="32">
        <f t="shared" si="105"/>
        <v>1</v>
      </c>
      <c r="B1903" s="33">
        <v>46553</v>
      </c>
      <c r="C1903" s="6" t="s">
        <v>266</v>
      </c>
      <c r="D1903" s="34">
        <v>27</v>
      </c>
      <c r="E1903" s="32">
        <f>DAY(TableAopCalendar[[#This Row],[Date]])</f>
        <v>15</v>
      </c>
      <c r="F1903" s="32">
        <f>IF(TableAopCalendar[[#This Row],[Day]]&lt;8,1,IF(TableAopCalendar[[#This Row],[Day]]&lt;15,2,IF(TableAopCalendar[[#This Row],[Day]]&lt;22,3,IF(TableAopCalendar[[#This Row],[Day]]&lt;29,4,IF(TableAopCalendar[[#This Row],[Day]]&lt;32,5)))))</f>
        <v>3</v>
      </c>
      <c r="G1903" s="32" t="str">
        <f t="shared" si="106"/>
        <v>Week 3</v>
      </c>
      <c r="H1903" s="32" t="str">
        <f t="shared" si="107"/>
        <v>June 27 Week 3</v>
      </c>
      <c r="I1903" s="32" t="str">
        <f>CONCATENATE(UPPER(TableAopCalendar[[#This Row],[Month]])," ",TableAopCalendar[[#This Row],[Year]])</f>
        <v>JUNE 27</v>
      </c>
      <c r="J1903" s="7" t="s">
        <v>274</v>
      </c>
      <c r="K1903" s="32" t="str">
        <f>CONCATENATE(TableAopCalendar[[#This Row],[Month for Plan]]," ",TableAopCalendar[[#This Row],[Plan]])</f>
        <v>JUNE 27 PLANNED</v>
      </c>
    </row>
    <row r="1904" spans="1:11" x14ac:dyDescent="0.3">
      <c r="A1904" s="32">
        <f t="shared" si="105"/>
        <v>2</v>
      </c>
      <c r="B1904" s="33">
        <v>46554</v>
      </c>
      <c r="C1904" s="6" t="s">
        <v>266</v>
      </c>
      <c r="D1904" s="34">
        <v>27</v>
      </c>
      <c r="E1904" s="32">
        <f>DAY(TableAopCalendar[[#This Row],[Date]])</f>
        <v>16</v>
      </c>
      <c r="F1904" s="32">
        <f>IF(TableAopCalendar[[#This Row],[Day]]&lt;8,1,IF(TableAopCalendar[[#This Row],[Day]]&lt;15,2,IF(TableAopCalendar[[#This Row],[Day]]&lt;22,3,IF(TableAopCalendar[[#This Row],[Day]]&lt;29,4,IF(TableAopCalendar[[#This Row],[Day]]&lt;32,5)))))</f>
        <v>3</v>
      </c>
      <c r="G1904" s="32" t="str">
        <f t="shared" si="106"/>
        <v>Week 3</v>
      </c>
      <c r="H1904" s="32" t="str">
        <f t="shared" si="107"/>
        <v>June 27 Week 3</v>
      </c>
      <c r="I1904" s="32" t="str">
        <f>CONCATENATE(UPPER(TableAopCalendar[[#This Row],[Month]])," ",TableAopCalendar[[#This Row],[Year]])</f>
        <v>JUNE 27</v>
      </c>
      <c r="J1904" s="7" t="s">
        <v>274</v>
      </c>
      <c r="K1904" s="32" t="str">
        <f>CONCATENATE(TableAopCalendar[[#This Row],[Month for Plan]]," ",TableAopCalendar[[#This Row],[Plan]])</f>
        <v>JUNE 27 PLANNED</v>
      </c>
    </row>
    <row r="1905" spans="1:11" x14ac:dyDescent="0.3">
      <c r="A1905" s="32">
        <f t="shared" si="105"/>
        <v>3</v>
      </c>
      <c r="B1905" s="33">
        <v>46555</v>
      </c>
      <c r="C1905" s="6" t="s">
        <v>266</v>
      </c>
      <c r="D1905" s="34">
        <v>27</v>
      </c>
      <c r="E1905" s="32">
        <f>DAY(TableAopCalendar[[#This Row],[Date]])</f>
        <v>17</v>
      </c>
      <c r="F1905" s="32">
        <f>IF(TableAopCalendar[[#This Row],[Day]]&lt;8,1,IF(TableAopCalendar[[#This Row],[Day]]&lt;15,2,IF(TableAopCalendar[[#This Row],[Day]]&lt;22,3,IF(TableAopCalendar[[#This Row],[Day]]&lt;29,4,IF(TableAopCalendar[[#This Row],[Day]]&lt;32,5)))))</f>
        <v>3</v>
      </c>
      <c r="G1905" s="32" t="str">
        <f t="shared" si="106"/>
        <v>Week 3</v>
      </c>
      <c r="H1905" s="32" t="str">
        <f t="shared" si="107"/>
        <v>June 27 Week 3</v>
      </c>
      <c r="I1905" s="32" t="str">
        <f>CONCATENATE(UPPER(TableAopCalendar[[#This Row],[Month]])," ",TableAopCalendar[[#This Row],[Year]])</f>
        <v>JUNE 27</v>
      </c>
      <c r="J1905" s="7" t="s">
        <v>274</v>
      </c>
      <c r="K1905" s="32" t="str">
        <f>CONCATENATE(TableAopCalendar[[#This Row],[Month for Plan]]," ",TableAopCalendar[[#This Row],[Plan]])</f>
        <v>JUNE 27 PLANNED</v>
      </c>
    </row>
    <row r="1906" spans="1:11" x14ac:dyDescent="0.3">
      <c r="A1906" s="32">
        <f t="shared" si="105"/>
        <v>4</v>
      </c>
      <c r="B1906" s="33">
        <v>46556</v>
      </c>
      <c r="C1906" s="6" t="s">
        <v>266</v>
      </c>
      <c r="D1906" s="34">
        <v>27</v>
      </c>
      <c r="E1906" s="32">
        <f>DAY(TableAopCalendar[[#This Row],[Date]])</f>
        <v>18</v>
      </c>
      <c r="F1906" s="32">
        <f>IF(TableAopCalendar[[#This Row],[Day]]&lt;8,1,IF(TableAopCalendar[[#This Row],[Day]]&lt;15,2,IF(TableAopCalendar[[#This Row],[Day]]&lt;22,3,IF(TableAopCalendar[[#This Row],[Day]]&lt;29,4,IF(TableAopCalendar[[#This Row],[Day]]&lt;32,5)))))</f>
        <v>3</v>
      </c>
      <c r="G1906" s="32" t="str">
        <f t="shared" si="106"/>
        <v>Week 3</v>
      </c>
      <c r="H1906" s="32" t="str">
        <f t="shared" si="107"/>
        <v>June 27 Week 3</v>
      </c>
      <c r="I1906" s="32" t="str">
        <f>CONCATENATE(UPPER(TableAopCalendar[[#This Row],[Month]])," ",TableAopCalendar[[#This Row],[Year]])</f>
        <v>JUNE 27</v>
      </c>
      <c r="J1906" s="7" t="s">
        <v>274</v>
      </c>
      <c r="K1906" s="32" t="str">
        <f>CONCATENATE(TableAopCalendar[[#This Row],[Month for Plan]]," ",TableAopCalendar[[#This Row],[Plan]])</f>
        <v>JUNE 27 PLANNED</v>
      </c>
    </row>
    <row r="1907" spans="1:11" x14ac:dyDescent="0.3">
      <c r="A1907" s="32">
        <f t="shared" si="105"/>
        <v>5</v>
      </c>
      <c r="B1907" s="33">
        <v>46557</v>
      </c>
      <c r="C1907" s="6" t="s">
        <v>266</v>
      </c>
      <c r="D1907" s="34">
        <v>27</v>
      </c>
      <c r="E1907" s="32">
        <f>DAY(TableAopCalendar[[#This Row],[Date]])</f>
        <v>19</v>
      </c>
      <c r="F1907" s="32">
        <f>IF(TableAopCalendar[[#This Row],[Day]]&lt;8,1,IF(TableAopCalendar[[#This Row],[Day]]&lt;15,2,IF(TableAopCalendar[[#This Row],[Day]]&lt;22,3,IF(TableAopCalendar[[#This Row],[Day]]&lt;29,4,IF(TableAopCalendar[[#This Row],[Day]]&lt;32,5)))))</f>
        <v>3</v>
      </c>
      <c r="G1907" s="32" t="str">
        <f t="shared" si="106"/>
        <v>Week 3</v>
      </c>
      <c r="H1907" s="32" t="str">
        <f t="shared" si="107"/>
        <v>June 27 Week 3</v>
      </c>
      <c r="I1907" s="32" t="str">
        <f>CONCATENATE(UPPER(TableAopCalendar[[#This Row],[Month]])," ",TableAopCalendar[[#This Row],[Year]])</f>
        <v>JUNE 27</v>
      </c>
      <c r="J1907" s="7" t="s">
        <v>274</v>
      </c>
      <c r="K1907" s="32" t="str">
        <f>CONCATENATE(TableAopCalendar[[#This Row],[Month for Plan]]," ",TableAopCalendar[[#This Row],[Plan]])</f>
        <v>JUNE 27 PLANNED</v>
      </c>
    </row>
    <row r="1908" spans="1:11" x14ac:dyDescent="0.3">
      <c r="A1908" s="32">
        <f t="shared" si="105"/>
        <v>6</v>
      </c>
      <c r="B1908" s="33">
        <v>46558</v>
      </c>
      <c r="C1908" s="6" t="s">
        <v>266</v>
      </c>
      <c r="D1908" s="34">
        <v>27</v>
      </c>
      <c r="E1908" s="32">
        <f>DAY(TableAopCalendar[[#This Row],[Date]])</f>
        <v>20</v>
      </c>
      <c r="F1908" s="32">
        <f>IF(TableAopCalendar[[#This Row],[Day]]&lt;8,1,IF(TableAopCalendar[[#This Row],[Day]]&lt;15,2,IF(TableAopCalendar[[#This Row],[Day]]&lt;22,3,IF(TableAopCalendar[[#This Row],[Day]]&lt;29,4,IF(TableAopCalendar[[#This Row],[Day]]&lt;32,5)))))</f>
        <v>3</v>
      </c>
      <c r="G1908" s="32" t="str">
        <f t="shared" si="106"/>
        <v>Week 3</v>
      </c>
      <c r="H1908" s="32" t="str">
        <f t="shared" si="107"/>
        <v>June 27 Week 3</v>
      </c>
      <c r="I1908" s="32" t="str">
        <f>CONCATENATE(UPPER(TableAopCalendar[[#This Row],[Month]])," ",TableAopCalendar[[#This Row],[Year]])</f>
        <v>JUNE 27</v>
      </c>
      <c r="J1908" s="7" t="s">
        <v>274</v>
      </c>
      <c r="K1908" s="32" t="str">
        <f>CONCATENATE(TableAopCalendar[[#This Row],[Month for Plan]]," ",TableAopCalendar[[#This Row],[Plan]])</f>
        <v>JUNE 27 PLANNED</v>
      </c>
    </row>
    <row r="1909" spans="1:11" x14ac:dyDescent="0.3">
      <c r="A1909" s="32">
        <f t="shared" si="105"/>
        <v>7</v>
      </c>
      <c r="B1909" s="33">
        <v>46559</v>
      </c>
      <c r="C1909" s="6" t="s">
        <v>266</v>
      </c>
      <c r="D1909" s="34">
        <v>27</v>
      </c>
      <c r="E1909" s="32">
        <f>DAY(TableAopCalendar[[#This Row],[Date]])</f>
        <v>21</v>
      </c>
      <c r="F1909" s="32">
        <f>IF(TableAopCalendar[[#This Row],[Day]]&lt;8,1,IF(TableAopCalendar[[#This Row],[Day]]&lt;15,2,IF(TableAopCalendar[[#This Row],[Day]]&lt;22,3,IF(TableAopCalendar[[#This Row],[Day]]&lt;29,4,IF(TableAopCalendar[[#This Row],[Day]]&lt;32,5)))))</f>
        <v>3</v>
      </c>
      <c r="G1909" s="32" t="str">
        <f t="shared" si="106"/>
        <v>Week 3</v>
      </c>
      <c r="H1909" s="32" t="str">
        <f t="shared" si="107"/>
        <v>June 27 Week 3</v>
      </c>
      <c r="I1909" s="32" t="str">
        <f>CONCATENATE(UPPER(TableAopCalendar[[#This Row],[Month]])," ",TableAopCalendar[[#This Row],[Year]])</f>
        <v>JUNE 27</v>
      </c>
      <c r="J1909" s="7" t="s">
        <v>274</v>
      </c>
      <c r="K1909" s="32" t="str">
        <f>CONCATENATE(TableAopCalendar[[#This Row],[Month for Plan]]," ",TableAopCalendar[[#This Row],[Plan]])</f>
        <v>JUNE 27 PLANNED</v>
      </c>
    </row>
    <row r="1910" spans="1:11" x14ac:dyDescent="0.3">
      <c r="A1910" s="32">
        <f t="shared" si="105"/>
        <v>1</v>
      </c>
      <c r="B1910" s="33">
        <v>46560</v>
      </c>
      <c r="C1910" s="6" t="s">
        <v>266</v>
      </c>
      <c r="D1910" s="34">
        <v>27</v>
      </c>
      <c r="E1910" s="32">
        <f>DAY(TableAopCalendar[[#This Row],[Date]])</f>
        <v>22</v>
      </c>
      <c r="F1910" s="32">
        <f>IF(TableAopCalendar[[#This Row],[Day]]&lt;8,1,IF(TableAopCalendar[[#This Row],[Day]]&lt;15,2,IF(TableAopCalendar[[#This Row],[Day]]&lt;22,3,IF(TableAopCalendar[[#This Row],[Day]]&lt;29,4,IF(TableAopCalendar[[#This Row],[Day]]&lt;32,5)))))</f>
        <v>4</v>
      </c>
      <c r="G1910" s="32" t="str">
        <f t="shared" si="106"/>
        <v>Week 4</v>
      </c>
      <c r="H1910" s="32" t="str">
        <f t="shared" si="107"/>
        <v>June 27 Week 4</v>
      </c>
      <c r="I1910" s="32" t="str">
        <f>CONCATENATE(UPPER(TableAopCalendar[[#This Row],[Month]])," ",TableAopCalendar[[#This Row],[Year]])</f>
        <v>JUNE 27</v>
      </c>
      <c r="J1910" s="7" t="s">
        <v>274</v>
      </c>
      <c r="K1910" s="32" t="str">
        <f>CONCATENATE(TableAopCalendar[[#This Row],[Month for Plan]]," ",TableAopCalendar[[#This Row],[Plan]])</f>
        <v>JUNE 27 PLANNED</v>
      </c>
    </row>
    <row r="1911" spans="1:11" x14ac:dyDescent="0.3">
      <c r="A1911" s="32">
        <f t="shared" si="105"/>
        <v>2</v>
      </c>
      <c r="B1911" s="33">
        <v>46561</v>
      </c>
      <c r="C1911" s="6" t="s">
        <v>266</v>
      </c>
      <c r="D1911" s="34">
        <v>27</v>
      </c>
      <c r="E1911" s="32">
        <f>DAY(TableAopCalendar[[#This Row],[Date]])</f>
        <v>23</v>
      </c>
      <c r="F1911" s="32">
        <f>IF(TableAopCalendar[[#This Row],[Day]]&lt;8,1,IF(TableAopCalendar[[#This Row],[Day]]&lt;15,2,IF(TableAopCalendar[[#This Row],[Day]]&lt;22,3,IF(TableAopCalendar[[#This Row],[Day]]&lt;29,4,IF(TableAopCalendar[[#This Row],[Day]]&lt;32,5)))))</f>
        <v>4</v>
      </c>
      <c r="G1911" s="32" t="str">
        <f t="shared" si="106"/>
        <v>Week 4</v>
      </c>
      <c r="H1911" s="32" t="str">
        <f t="shared" si="107"/>
        <v>June 27 Week 4</v>
      </c>
      <c r="I1911" s="32" t="str">
        <f>CONCATENATE(UPPER(TableAopCalendar[[#This Row],[Month]])," ",TableAopCalendar[[#This Row],[Year]])</f>
        <v>JUNE 27</v>
      </c>
      <c r="J1911" s="7" t="s">
        <v>274</v>
      </c>
      <c r="K1911" s="32" t="str">
        <f>CONCATENATE(TableAopCalendar[[#This Row],[Month for Plan]]," ",TableAopCalendar[[#This Row],[Plan]])</f>
        <v>JUNE 27 PLANNED</v>
      </c>
    </row>
    <row r="1912" spans="1:11" x14ac:dyDescent="0.3">
      <c r="A1912" s="32">
        <f t="shared" si="105"/>
        <v>3</v>
      </c>
      <c r="B1912" s="33">
        <v>46562</v>
      </c>
      <c r="C1912" s="6" t="s">
        <v>266</v>
      </c>
      <c r="D1912" s="34">
        <v>27</v>
      </c>
      <c r="E1912" s="32">
        <f>DAY(TableAopCalendar[[#This Row],[Date]])</f>
        <v>24</v>
      </c>
      <c r="F1912" s="32">
        <f>IF(TableAopCalendar[[#This Row],[Day]]&lt;8,1,IF(TableAopCalendar[[#This Row],[Day]]&lt;15,2,IF(TableAopCalendar[[#This Row],[Day]]&lt;22,3,IF(TableAopCalendar[[#This Row],[Day]]&lt;29,4,IF(TableAopCalendar[[#This Row],[Day]]&lt;32,5)))))</f>
        <v>4</v>
      </c>
      <c r="G1912" s="32" t="str">
        <f t="shared" si="106"/>
        <v>Week 4</v>
      </c>
      <c r="H1912" s="32" t="str">
        <f t="shared" si="107"/>
        <v>June 27 Week 4</v>
      </c>
      <c r="I1912" s="32" t="str">
        <f>CONCATENATE(UPPER(TableAopCalendar[[#This Row],[Month]])," ",TableAopCalendar[[#This Row],[Year]])</f>
        <v>JUNE 27</v>
      </c>
      <c r="J1912" s="7" t="s">
        <v>274</v>
      </c>
      <c r="K1912" s="32" t="str">
        <f>CONCATENATE(TableAopCalendar[[#This Row],[Month for Plan]]," ",TableAopCalendar[[#This Row],[Plan]])</f>
        <v>JUNE 27 PLANNED</v>
      </c>
    </row>
    <row r="1913" spans="1:11" x14ac:dyDescent="0.3">
      <c r="A1913" s="32">
        <f t="shared" si="105"/>
        <v>4</v>
      </c>
      <c r="B1913" s="33">
        <v>46563</v>
      </c>
      <c r="C1913" s="6" t="s">
        <v>266</v>
      </c>
      <c r="D1913" s="34">
        <v>27</v>
      </c>
      <c r="E1913" s="32">
        <f>DAY(TableAopCalendar[[#This Row],[Date]])</f>
        <v>25</v>
      </c>
      <c r="F1913" s="32">
        <f>IF(TableAopCalendar[[#This Row],[Day]]&lt;8,1,IF(TableAopCalendar[[#This Row],[Day]]&lt;15,2,IF(TableAopCalendar[[#This Row],[Day]]&lt;22,3,IF(TableAopCalendar[[#This Row],[Day]]&lt;29,4,IF(TableAopCalendar[[#This Row],[Day]]&lt;32,5)))))</f>
        <v>4</v>
      </c>
      <c r="G1913" s="32" t="str">
        <f t="shared" si="106"/>
        <v>Week 4</v>
      </c>
      <c r="H1913" s="32" t="str">
        <f t="shared" si="107"/>
        <v>June 27 Week 4</v>
      </c>
      <c r="I1913" s="32" t="str">
        <f>CONCATENATE(UPPER(TableAopCalendar[[#This Row],[Month]])," ",TableAopCalendar[[#This Row],[Year]])</f>
        <v>JUNE 27</v>
      </c>
      <c r="J1913" s="7" t="s">
        <v>274</v>
      </c>
      <c r="K1913" s="32" t="str">
        <f>CONCATENATE(TableAopCalendar[[#This Row],[Month for Plan]]," ",TableAopCalendar[[#This Row],[Plan]])</f>
        <v>JUNE 27 PLANNED</v>
      </c>
    </row>
    <row r="1914" spans="1:11" x14ac:dyDescent="0.3">
      <c r="A1914" s="32">
        <f t="shared" si="105"/>
        <v>5</v>
      </c>
      <c r="B1914" s="33">
        <v>46564</v>
      </c>
      <c r="C1914" s="6" t="s">
        <v>266</v>
      </c>
      <c r="D1914" s="34">
        <v>27</v>
      </c>
      <c r="E1914" s="32">
        <f>DAY(TableAopCalendar[[#This Row],[Date]])</f>
        <v>26</v>
      </c>
      <c r="F1914" s="32">
        <f>IF(TableAopCalendar[[#This Row],[Day]]&lt;8,1,IF(TableAopCalendar[[#This Row],[Day]]&lt;15,2,IF(TableAopCalendar[[#This Row],[Day]]&lt;22,3,IF(TableAopCalendar[[#This Row],[Day]]&lt;29,4,IF(TableAopCalendar[[#This Row],[Day]]&lt;32,5)))))</f>
        <v>4</v>
      </c>
      <c r="G1914" s="32" t="str">
        <f t="shared" si="106"/>
        <v>Week 4</v>
      </c>
      <c r="H1914" s="32" t="str">
        <f t="shared" si="107"/>
        <v>June 27 Week 4</v>
      </c>
      <c r="I1914" s="32" t="str">
        <f>CONCATENATE(UPPER(TableAopCalendar[[#This Row],[Month]])," ",TableAopCalendar[[#This Row],[Year]])</f>
        <v>JUNE 27</v>
      </c>
      <c r="J1914" s="7" t="s">
        <v>274</v>
      </c>
      <c r="K1914" s="32" t="str">
        <f>CONCATENATE(TableAopCalendar[[#This Row],[Month for Plan]]," ",TableAopCalendar[[#This Row],[Plan]])</f>
        <v>JUNE 27 PLANNED</v>
      </c>
    </row>
    <row r="1915" spans="1:11" x14ac:dyDescent="0.3">
      <c r="A1915" s="32">
        <f t="shared" si="105"/>
        <v>6</v>
      </c>
      <c r="B1915" s="33">
        <v>46565</v>
      </c>
      <c r="C1915" s="6" t="s">
        <v>266</v>
      </c>
      <c r="D1915" s="34">
        <v>27</v>
      </c>
      <c r="E1915" s="32">
        <f>DAY(TableAopCalendar[[#This Row],[Date]])</f>
        <v>27</v>
      </c>
      <c r="F1915" s="32">
        <f>IF(TableAopCalendar[[#This Row],[Day]]&lt;8,1,IF(TableAopCalendar[[#This Row],[Day]]&lt;15,2,IF(TableAopCalendar[[#This Row],[Day]]&lt;22,3,IF(TableAopCalendar[[#This Row],[Day]]&lt;29,4,IF(TableAopCalendar[[#This Row],[Day]]&lt;32,5)))))</f>
        <v>4</v>
      </c>
      <c r="G1915" s="32" t="str">
        <f t="shared" si="106"/>
        <v>Week 4</v>
      </c>
      <c r="H1915" s="32" t="str">
        <f t="shared" si="107"/>
        <v>June 27 Week 4</v>
      </c>
      <c r="I1915" s="32" t="str">
        <f>CONCATENATE(UPPER(TableAopCalendar[[#This Row],[Month]])," ",TableAopCalendar[[#This Row],[Year]])</f>
        <v>JUNE 27</v>
      </c>
      <c r="J1915" s="7" t="s">
        <v>274</v>
      </c>
      <c r="K1915" s="32" t="str">
        <f>CONCATENATE(TableAopCalendar[[#This Row],[Month for Plan]]," ",TableAopCalendar[[#This Row],[Plan]])</f>
        <v>JUNE 27 PLANNED</v>
      </c>
    </row>
    <row r="1916" spans="1:11" x14ac:dyDescent="0.3">
      <c r="A1916" s="32">
        <f t="shared" si="105"/>
        <v>7</v>
      </c>
      <c r="B1916" s="33">
        <v>46566</v>
      </c>
      <c r="C1916" s="6" t="s">
        <v>266</v>
      </c>
      <c r="D1916" s="34">
        <v>27</v>
      </c>
      <c r="E1916" s="32">
        <f>DAY(TableAopCalendar[[#This Row],[Date]])</f>
        <v>28</v>
      </c>
      <c r="F1916" s="32">
        <f>IF(TableAopCalendar[[#This Row],[Day]]&lt;8,1,IF(TableAopCalendar[[#This Row],[Day]]&lt;15,2,IF(TableAopCalendar[[#This Row],[Day]]&lt;22,3,IF(TableAopCalendar[[#This Row],[Day]]&lt;29,4,IF(TableAopCalendar[[#This Row],[Day]]&lt;32,5)))))</f>
        <v>4</v>
      </c>
      <c r="G1916" s="32" t="str">
        <f t="shared" si="106"/>
        <v>Week 4</v>
      </c>
      <c r="H1916" s="32" t="str">
        <f t="shared" si="107"/>
        <v>June 27 Week 4</v>
      </c>
      <c r="I1916" s="32" t="str">
        <f>CONCATENATE(UPPER(TableAopCalendar[[#This Row],[Month]])," ",TableAopCalendar[[#This Row],[Year]])</f>
        <v>JUNE 27</v>
      </c>
      <c r="J1916" s="7" t="s">
        <v>274</v>
      </c>
      <c r="K1916" s="32" t="str">
        <f>CONCATENATE(TableAopCalendar[[#This Row],[Month for Plan]]," ",TableAopCalendar[[#This Row],[Plan]])</f>
        <v>JUNE 27 PLANNED</v>
      </c>
    </row>
    <row r="1917" spans="1:11" x14ac:dyDescent="0.3">
      <c r="A1917" s="32">
        <f t="shared" si="105"/>
        <v>1</v>
      </c>
      <c r="B1917" s="33">
        <v>46567</v>
      </c>
      <c r="C1917" s="6" t="s">
        <v>266</v>
      </c>
      <c r="D1917" s="34">
        <v>27</v>
      </c>
      <c r="E1917" s="32">
        <f>DAY(TableAopCalendar[[#This Row],[Date]])</f>
        <v>29</v>
      </c>
      <c r="F1917" s="32">
        <f>IF(TableAopCalendar[[#This Row],[Day]]&lt;8,1,IF(TableAopCalendar[[#This Row],[Day]]&lt;15,2,IF(TableAopCalendar[[#This Row],[Day]]&lt;22,3,IF(TableAopCalendar[[#This Row],[Day]]&lt;29,4,IF(TableAopCalendar[[#This Row],[Day]]&lt;32,5)))))</f>
        <v>5</v>
      </c>
      <c r="G1917" s="32" t="str">
        <f t="shared" si="106"/>
        <v>Week 5</v>
      </c>
      <c r="H1917" s="32" t="str">
        <f t="shared" si="107"/>
        <v>June 27 Week 5</v>
      </c>
      <c r="I1917" s="32" t="str">
        <f>CONCATENATE(UPPER(TableAopCalendar[[#This Row],[Month]])," ",TableAopCalendar[[#This Row],[Year]])</f>
        <v>JUNE 27</v>
      </c>
      <c r="J1917" s="7" t="s">
        <v>274</v>
      </c>
      <c r="K1917" s="32" t="str">
        <f>CONCATENATE(TableAopCalendar[[#This Row],[Month for Plan]]," ",TableAopCalendar[[#This Row],[Plan]])</f>
        <v>JUNE 27 PLANNED</v>
      </c>
    </row>
    <row r="1918" spans="1:11" x14ac:dyDescent="0.3">
      <c r="A1918" s="32">
        <f t="shared" si="105"/>
        <v>2</v>
      </c>
      <c r="B1918" s="33">
        <v>46568</v>
      </c>
      <c r="C1918" s="6" t="s">
        <v>266</v>
      </c>
      <c r="D1918" s="34">
        <v>27</v>
      </c>
      <c r="E1918" s="32">
        <f>DAY(TableAopCalendar[[#This Row],[Date]])</f>
        <v>30</v>
      </c>
      <c r="F1918" s="32">
        <f>IF(TableAopCalendar[[#This Row],[Day]]&lt;8,1,IF(TableAopCalendar[[#This Row],[Day]]&lt;15,2,IF(TableAopCalendar[[#This Row],[Day]]&lt;22,3,IF(TableAopCalendar[[#This Row],[Day]]&lt;29,4,IF(TableAopCalendar[[#This Row],[Day]]&lt;32,5)))))</f>
        <v>5</v>
      </c>
      <c r="G1918" s="32" t="str">
        <f t="shared" si="106"/>
        <v>Week 5</v>
      </c>
      <c r="H1918" s="32" t="str">
        <f t="shared" si="107"/>
        <v>June 27 Week 5</v>
      </c>
      <c r="I1918" s="32" t="str">
        <f>CONCATENATE(UPPER(TableAopCalendar[[#This Row],[Month]])," ",TableAopCalendar[[#This Row],[Year]])</f>
        <v>JUNE 27</v>
      </c>
      <c r="J1918" s="7" t="s">
        <v>274</v>
      </c>
      <c r="K1918" s="32" t="str">
        <f>CONCATENATE(TableAopCalendar[[#This Row],[Month for Plan]]," ",TableAopCalendar[[#This Row],[Plan]])</f>
        <v>JUNE 27 PLANNED</v>
      </c>
    </row>
    <row r="1919" spans="1:11" x14ac:dyDescent="0.3">
      <c r="A1919" s="32">
        <f t="shared" si="105"/>
        <v>1</v>
      </c>
      <c r="B1919" s="33">
        <v>46569</v>
      </c>
      <c r="C1919" s="6" t="s">
        <v>267</v>
      </c>
      <c r="D1919" s="34">
        <v>27</v>
      </c>
      <c r="E1919" s="32">
        <f>DAY(TableAopCalendar[[#This Row],[Date]])</f>
        <v>1</v>
      </c>
      <c r="F1919" s="32">
        <f>IF(TableAopCalendar[[#This Row],[Day]]&lt;8,1,IF(TableAopCalendar[[#This Row],[Day]]&lt;15,2,IF(TableAopCalendar[[#This Row],[Day]]&lt;22,3,IF(TableAopCalendar[[#This Row],[Day]]&lt;29,4,IF(TableAopCalendar[[#This Row],[Day]]&lt;32,5)))))</f>
        <v>1</v>
      </c>
      <c r="G1919" s="32" t="str">
        <f t="shared" si="106"/>
        <v>Week 1</v>
      </c>
      <c r="H1919" s="32" t="str">
        <f t="shared" si="107"/>
        <v>July 27 Week 1</v>
      </c>
      <c r="I1919" s="32" t="str">
        <f>CONCATENATE(UPPER(TableAopCalendar[[#This Row],[Month]])," ",TableAopCalendar[[#This Row],[Year]])</f>
        <v>JULY 27</v>
      </c>
      <c r="J1919" s="7" t="s">
        <v>274</v>
      </c>
      <c r="K1919" s="32" t="str">
        <f>CONCATENATE(TableAopCalendar[[#This Row],[Month for Plan]]," ",TableAopCalendar[[#This Row],[Plan]])</f>
        <v>JULY 27 PLANNED</v>
      </c>
    </row>
    <row r="1920" spans="1:11" x14ac:dyDescent="0.3">
      <c r="A1920" s="32">
        <f t="shared" si="105"/>
        <v>2</v>
      </c>
      <c r="B1920" s="33">
        <v>46570</v>
      </c>
      <c r="C1920" s="6" t="s">
        <v>267</v>
      </c>
      <c r="D1920" s="34">
        <v>27</v>
      </c>
      <c r="E1920" s="32">
        <f>DAY(TableAopCalendar[[#This Row],[Date]])</f>
        <v>2</v>
      </c>
      <c r="F1920" s="32">
        <f>IF(TableAopCalendar[[#This Row],[Day]]&lt;8,1,IF(TableAopCalendar[[#This Row],[Day]]&lt;15,2,IF(TableAopCalendar[[#This Row],[Day]]&lt;22,3,IF(TableAopCalendar[[#This Row],[Day]]&lt;29,4,IF(TableAopCalendar[[#This Row],[Day]]&lt;32,5)))))</f>
        <v>1</v>
      </c>
      <c r="G1920" s="32" t="str">
        <f t="shared" si="106"/>
        <v>Week 1</v>
      </c>
      <c r="H1920" s="32" t="str">
        <f t="shared" si="107"/>
        <v>July 27 Week 1</v>
      </c>
      <c r="I1920" s="32" t="str">
        <f>CONCATENATE(UPPER(TableAopCalendar[[#This Row],[Month]])," ",TableAopCalendar[[#This Row],[Year]])</f>
        <v>JULY 27</v>
      </c>
      <c r="J1920" s="7" t="s">
        <v>274</v>
      </c>
      <c r="K1920" s="32" t="str">
        <f>CONCATENATE(TableAopCalendar[[#This Row],[Month for Plan]]," ",TableAopCalendar[[#This Row],[Plan]])</f>
        <v>JULY 27 PLANNED</v>
      </c>
    </row>
    <row r="1921" spans="1:11" x14ac:dyDescent="0.3">
      <c r="A1921" s="32">
        <f t="shared" si="105"/>
        <v>3</v>
      </c>
      <c r="B1921" s="33">
        <v>46571</v>
      </c>
      <c r="C1921" s="6" t="s">
        <v>267</v>
      </c>
      <c r="D1921" s="34">
        <v>27</v>
      </c>
      <c r="E1921" s="32">
        <f>DAY(TableAopCalendar[[#This Row],[Date]])</f>
        <v>3</v>
      </c>
      <c r="F1921" s="32">
        <f>IF(TableAopCalendar[[#This Row],[Day]]&lt;8,1,IF(TableAopCalendar[[#This Row],[Day]]&lt;15,2,IF(TableAopCalendar[[#This Row],[Day]]&lt;22,3,IF(TableAopCalendar[[#This Row],[Day]]&lt;29,4,IF(TableAopCalendar[[#This Row],[Day]]&lt;32,5)))))</f>
        <v>1</v>
      </c>
      <c r="G1921" s="32" t="str">
        <f t="shared" si="106"/>
        <v>Week 1</v>
      </c>
      <c r="H1921" s="32" t="str">
        <f t="shared" si="107"/>
        <v>July 27 Week 1</v>
      </c>
      <c r="I1921" s="32" t="str">
        <f>CONCATENATE(UPPER(TableAopCalendar[[#This Row],[Month]])," ",TableAopCalendar[[#This Row],[Year]])</f>
        <v>JULY 27</v>
      </c>
      <c r="J1921" s="7" t="s">
        <v>274</v>
      </c>
      <c r="K1921" s="32" t="str">
        <f>CONCATENATE(TableAopCalendar[[#This Row],[Month for Plan]]," ",TableAopCalendar[[#This Row],[Plan]])</f>
        <v>JULY 27 PLANNED</v>
      </c>
    </row>
    <row r="1922" spans="1:11" x14ac:dyDescent="0.3">
      <c r="A1922" s="32">
        <f t="shared" si="105"/>
        <v>4</v>
      </c>
      <c r="B1922" s="33">
        <v>46572</v>
      </c>
      <c r="C1922" s="6" t="s">
        <v>267</v>
      </c>
      <c r="D1922" s="34">
        <v>27</v>
      </c>
      <c r="E1922" s="32">
        <f>DAY(TableAopCalendar[[#This Row],[Date]])</f>
        <v>4</v>
      </c>
      <c r="F1922" s="32">
        <f>IF(TableAopCalendar[[#This Row],[Day]]&lt;8,1,IF(TableAopCalendar[[#This Row],[Day]]&lt;15,2,IF(TableAopCalendar[[#This Row],[Day]]&lt;22,3,IF(TableAopCalendar[[#This Row],[Day]]&lt;29,4,IF(TableAopCalendar[[#This Row],[Day]]&lt;32,5)))))</f>
        <v>1</v>
      </c>
      <c r="G1922" s="32" t="str">
        <f t="shared" si="106"/>
        <v>Week 1</v>
      </c>
      <c r="H1922" s="32" t="str">
        <f t="shared" si="107"/>
        <v>July 27 Week 1</v>
      </c>
      <c r="I1922" s="32" t="str">
        <f>CONCATENATE(UPPER(TableAopCalendar[[#This Row],[Month]])," ",TableAopCalendar[[#This Row],[Year]])</f>
        <v>JULY 27</v>
      </c>
      <c r="J1922" s="7" t="s">
        <v>274</v>
      </c>
      <c r="K1922" s="32" t="str">
        <f>CONCATENATE(TableAopCalendar[[#This Row],[Month for Plan]]," ",TableAopCalendar[[#This Row],[Plan]])</f>
        <v>JULY 27 PLANNED</v>
      </c>
    </row>
    <row r="1923" spans="1:11" x14ac:dyDescent="0.3">
      <c r="A1923" s="32">
        <f t="shared" si="105"/>
        <v>5</v>
      </c>
      <c r="B1923" s="33">
        <v>46573</v>
      </c>
      <c r="C1923" s="6" t="s">
        <v>267</v>
      </c>
      <c r="D1923" s="34">
        <v>27</v>
      </c>
      <c r="E1923" s="32">
        <f>DAY(TableAopCalendar[[#This Row],[Date]])</f>
        <v>5</v>
      </c>
      <c r="F1923" s="32">
        <f>IF(TableAopCalendar[[#This Row],[Day]]&lt;8,1,IF(TableAopCalendar[[#This Row],[Day]]&lt;15,2,IF(TableAopCalendar[[#This Row],[Day]]&lt;22,3,IF(TableAopCalendar[[#This Row],[Day]]&lt;29,4,IF(TableAopCalendar[[#This Row],[Day]]&lt;32,5)))))</f>
        <v>1</v>
      </c>
      <c r="G1923" s="32" t="str">
        <f t="shared" si="106"/>
        <v>Week 1</v>
      </c>
      <c r="H1923" s="32" t="str">
        <f t="shared" si="107"/>
        <v>July 27 Week 1</v>
      </c>
      <c r="I1923" s="32" t="str">
        <f>CONCATENATE(UPPER(TableAopCalendar[[#This Row],[Month]])," ",TableAopCalendar[[#This Row],[Year]])</f>
        <v>JULY 27</v>
      </c>
      <c r="J1923" s="7" t="s">
        <v>274</v>
      </c>
      <c r="K1923" s="32" t="str">
        <f>CONCATENATE(TableAopCalendar[[#This Row],[Month for Plan]]," ",TableAopCalendar[[#This Row],[Plan]])</f>
        <v>JULY 27 PLANNED</v>
      </c>
    </row>
    <row r="1924" spans="1:11" x14ac:dyDescent="0.3">
      <c r="A1924" s="32">
        <f t="shared" si="105"/>
        <v>6</v>
      </c>
      <c r="B1924" s="33">
        <v>46574</v>
      </c>
      <c r="C1924" s="6" t="s">
        <v>267</v>
      </c>
      <c r="D1924" s="34">
        <v>27</v>
      </c>
      <c r="E1924" s="32">
        <f>DAY(TableAopCalendar[[#This Row],[Date]])</f>
        <v>6</v>
      </c>
      <c r="F1924" s="32">
        <f>IF(TableAopCalendar[[#This Row],[Day]]&lt;8,1,IF(TableAopCalendar[[#This Row],[Day]]&lt;15,2,IF(TableAopCalendar[[#This Row],[Day]]&lt;22,3,IF(TableAopCalendar[[#This Row],[Day]]&lt;29,4,IF(TableAopCalendar[[#This Row],[Day]]&lt;32,5)))))</f>
        <v>1</v>
      </c>
      <c r="G1924" s="32" t="str">
        <f t="shared" si="106"/>
        <v>Week 1</v>
      </c>
      <c r="H1924" s="32" t="str">
        <f t="shared" si="107"/>
        <v>July 27 Week 1</v>
      </c>
      <c r="I1924" s="32" t="str">
        <f>CONCATENATE(UPPER(TableAopCalendar[[#This Row],[Month]])," ",TableAopCalendar[[#This Row],[Year]])</f>
        <v>JULY 27</v>
      </c>
      <c r="J1924" s="7" t="s">
        <v>274</v>
      </c>
      <c r="K1924" s="32" t="str">
        <f>CONCATENATE(TableAopCalendar[[#This Row],[Month for Plan]]," ",TableAopCalendar[[#This Row],[Plan]])</f>
        <v>JULY 27 PLANNED</v>
      </c>
    </row>
    <row r="1925" spans="1:11" x14ac:dyDescent="0.3">
      <c r="A1925" s="32">
        <f t="shared" si="105"/>
        <v>7</v>
      </c>
      <c r="B1925" s="33">
        <v>46575</v>
      </c>
      <c r="C1925" s="6" t="s">
        <v>267</v>
      </c>
      <c r="D1925" s="34">
        <v>27</v>
      </c>
      <c r="E1925" s="32">
        <f>DAY(TableAopCalendar[[#This Row],[Date]])</f>
        <v>7</v>
      </c>
      <c r="F1925" s="32">
        <f>IF(TableAopCalendar[[#This Row],[Day]]&lt;8,1,IF(TableAopCalendar[[#This Row],[Day]]&lt;15,2,IF(TableAopCalendar[[#This Row],[Day]]&lt;22,3,IF(TableAopCalendar[[#This Row],[Day]]&lt;29,4,IF(TableAopCalendar[[#This Row],[Day]]&lt;32,5)))))</f>
        <v>1</v>
      </c>
      <c r="G1925" s="32" t="str">
        <f t="shared" si="106"/>
        <v>Week 1</v>
      </c>
      <c r="H1925" s="32" t="str">
        <f t="shared" si="107"/>
        <v>July 27 Week 1</v>
      </c>
      <c r="I1925" s="32" t="str">
        <f>CONCATENATE(UPPER(TableAopCalendar[[#This Row],[Month]])," ",TableAopCalendar[[#This Row],[Year]])</f>
        <v>JULY 27</v>
      </c>
      <c r="J1925" s="7" t="s">
        <v>274</v>
      </c>
      <c r="K1925" s="32" t="str">
        <f>CONCATENATE(TableAopCalendar[[#This Row],[Month for Plan]]," ",TableAopCalendar[[#This Row],[Plan]])</f>
        <v>JULY 27 PLANNED</v>
      </c>
    </row>
    <row r="1926" spans="1:11" x14ac:dyDescent="0.3">
      <c r="A1926" s="32">
        <f t="shared" si="105"/>
        <v>1</v>
      </c>
      <c r="B1926" s="33">
        <v>46576</v>
      </c>
      <c r="C1926" s="6" t="s">
        <v>267</v>
      </c>
      <c r="D1926" s="34">
        <v>27</v>
      </c>
      <c r="E1926" s="32">
        <f>DAY(TableAopCalendar[[#This Row],[Date]])</f>
        <v>8</v>
      </c>
      <c r="F1926" s="32">
        <f>IF(TableAopCalendar[[#This Row],[Day]]&lt;8,1,IF(TableAopCalendar[[#This Row],[Day]]&lt;15,2,IF(TableAopCalendar[[#This Row],[Day]]&lt;22,3,IF(TableAopCalendar[[#This Row],[Day]]&lt;29,4,IF(TableAopCalendar[[#This Row],[Day]]&lt;32,5)))))</f>
        <v>2</v>
      </c>
      <c r="G1926" s="32" t="str">
        <f t="shared" si="106"/>
        <v>Week 2</v>
      </c>
      <c r="H1926" s="32" t="str">
        <f t="shared" si="107"/>
        <v>July 27 Week 2</v>
      </c>
      <c r="I1926" s="32" t="str">
        <f>CONCATENATE(UPPER(TableAopCalendar[[#This Row],[Month]])," ",TableAopCalendar[[#This Row],[Year]])</f>
        <v>JULY 27</v>
      </c>
      <c r="J1926" s="7" t="s">
        <v>274</v>
      </c>
      <c r="K1926" s="32" t="str">
        <f>CONCATENATE(TableAopCalendar[[#This Row],[Month for Plan]]," ",TableAopCalendar[[#This Row],[Plan]])</f>
        <v>JULY 27 PLANNED</v>
      </c>
    </row>
    <row r="1927" spans="1:11" x14ac:dyDescent="0.3">
      <c r="A1927" s="32">
        <f t="shared" si="105"/>
        <v>2</v>
      </c>
      <c r="B1927" s="33">
        <v>46577</v>
      </c>
      <c r="C1927" s="6" t="s">
        <v>267</v>
      </c>
      <c r="D1927" s="34">
        <v>27</v>
      </c>
      <c r="E1927" s="32">
        <f>DAY(TableAopCalendar[[#This Row],[Date]])</f>
        <v>9</v>
      </c>
      <c r="F1927" s="32">
        <f>IF(TableAopCalendar[[#This Row],[Day]]&lt;8,1,IF(TableAopCalendar[[#This Row],[Day]]&lt;15,2,IF(TableAopCalendar[[#This Row],[Day]]&lt;22,3,IF(TableAopCalendar[[#This Row],[Day]]&lt;29,4,IF(TableAopCalendar[[#This Row],[Day]]&lt;32,5)))))</f>
        <v>2</v>
      </c>
      <c r="G1927" s="32" t="str">
        <f t="shared" si="106"/>
        <v>Week 2</v>
      </c>
      <c r="H1927" s="32" t="str">
        <f t="shared" si="107"/>
        <v>July 27 Week 2</v>
      </c>
      <c r="I1927" s="32" t="str">
        <f>CONCATENATE(UPPER(TableAopCalendar[[#This Row],[Month]])," ",TableAopCalendar[[#This Row],[Year]])</f>
        <v>JULY 27</v>
      </c>
      <c r="J1927" s="7" t="s">
        <v>274</v>
      </c>
      <c r="K1927" s="32" t="str">
        <f>CONCATENATE(TableAopCalendar[[#This Row],[Month for Plan]]," ",TableAopCalendar[[#This Row],[Plan]])</f>
        <v>JULY 27 PLANNED</v>
      </c>
    </row>
    <row r="1928" spans="1:11" x14ac:dyDescent="0.3">
      <c r="A1928" s="32">
        <f t="shared" si="105"/>
        <v>3</v>
      </c>
      <c r="B1928" s="33">
        <v>46578</v>
      </c>
      <c r="C1928" s="6" t="s">
        <v>267</v>
      </c>
      <c r="D1928" s="34">
        <v>27</v>
      </c>
      <c r="E1928" s="32">
        <f>DAY(TableAopCalendar[[#This Row],[Date]])</f>
        <v>10</v>
      </c>
      <c r="F1928" s="32">
        <f>IF(TableAopCalendar[[#This Row],[Day]]&lt;8,1,IF(TableAopCalendar[[#This Row],[Day]]&lt;15,2,IF(TableAopCalendar[[#This Row],[Day]]&lt;22,3,IF(TableAopCalendar[[#This Row],[Day]]&lt;29,4,IF(TableAopCalendar[[#This Row],[Day]]&lt;32,5)))))</f>
        <v>2</v>
      </c>
      <c r="G1928" s="32" t="str">
        <f t="shared" si="106"/>
        <v>Week 2</v>
      </c>
      <c r="H1928" s="32" t="str">
        <f t="shared" si="107"/>
        <v>July 27 Week 2</v>
      </c>
      <c r="I1928" s="32" t="str">
        <f>CONCATENATE(UPPER(TableAopCalendar[[#This Row],[Month]])," ",TableAopCalendar[[#This Row],[Year]])</f>
        <v>JULY 27</v>
      </c>
      <c r="J1928" s="7" t="s">
        <v>274</v>
      </c>
      <c r="K1928" s="32" t="str">
        <f>CONCATENATE(TableAopCalendar[[#This Row],[Month for Plan]]," ",TableAopCalendar[[#This Row],[Plan]])</f>
        <v>JULY 27 PLANNED</v>
      </c>
    </row>
    <row r="1929" spans="1:11" x14ac:dyDescent="0.3">
      <c r="A1929" s="32">
        <f t="shared" si="105"/>
        <v>4</v>
      </c>
      <c r="B1929" s="33">
        <v>46579</v>
      </c>
      <c r="C1929" s="6" t="s">
        <v>267</v>
      </c>
      <c r="D1929" s="34">
        <v>27</v>
      </c>
      <c r="E1929" s="32">
        <f>DAY(TableAopCalendar[[#This Row],[Date]])</f>
        <v>11</v>
      </c>
      <c r="F1929" s="32">
        <f>IF(TableAopCalendar[[#This Row],[Day]]&lt;8,1,IF(TableAopCalendar[[#This Row],[Day]]&lt;15,2,IF(TableAopCalendar[[#This Row],[Day]]&lt;22,3,IF(TableAopCalendar[[#This Row],[Day]]&lt;29,4,IF(TableAopCalendar[[#This Row],[Day]]&lt;32,5)))))</f>
        <v>2</v>
      </c>
      <c r="G1929" s="32" t="str">
        <f t="shared" si="106"/>
        <v>Week 2</v>
      </c>
      <c r="H1929" s="32" t="str">
        <f t="shared" si="107"/>
        <v>July 27 Week 2</v>
      </c>
      <c r="I1929" s="32" t="str">
        <f>CONCATENATE(UPPER(TableAopCalendar[[#This Row],[Month]])," ",TableAopCalendar[[#This Row],[Year]])</f>
        <v>JULY 27</v>
      </c>
      <c r="J1929" s="7" t="s">
        <v>274</v>
      </c>
      <c r="K1929" s="32" t="str">
        <f>CONCATENATE(TableAopCalendar[[#This Row],[Month for Plan]]," ",TableAopCalendar[[#This Row],[Plan]])</f>
        <v>JULY 27 PLANNED</v>
      </c>
    </row>
    <row r="1930" spans="1:11" x14ac:dyDescent="0.3">
      <c r="A1930" s="32">
        <f t="shared" si="105"/>
        <v>5</v>
      </c>
      <c r="B1930" s="33">
        <v>46580</v>
      </c>
      <c r="C1930" s="6" t="s">
        <v>267</v>
      </c>
      <c r="D1930" s="34">
        <v>27</v>
      </c>
      <c r="E1930" s="32">
        <f>DAY(TableAopCalendar[[#This Row],[Date]])</f>
        <v>12</v>
      </c>
      <c r="F1930" s="32">
        <f>IF(TableAopCalendar[[#This Row],[Day]]&lt;8,1,IF(TableAopCalendar[[#This Row],[Day]]&lt;15,2,IF(TableAopCalendar[[#This Row],[Day]]&lt;22,3,IF(TableAopCalendar[[#This Row],[Day]]&lt;29,4,IF(TableAopCalendar[[#This Row],[Day]]&lt;32,5)))))</f>
        <v>2</v>
      </c>
      <c r="G1930" s="32" t="str">
        <f t="shared" si="106"/>
        <v>Week 2</v>
      </c>
      <c r="H1930" s="32" t="str">
        <f t="shared" si="107"/>
        <v>July 27 Week 2</v>
      </c>
      <c r="I1930" s="32" t="str">
        <f>CONCATENATE(UPPER(TableAopCalendar[[#This Row],[Month]])," ",TableAopCalendar[[#This Row],[Year]])</f>
        <v>JULY 27</v>
      </c>
      <c r="J1930" s="7" t="s">
        <v>274</v>
      </c>
      <c r="K1930" s="32" t="str">
        <f>CONCATENATE(TableAopCalendar[[#This Row],[Month for Plan]]," ",TableAopCalendar[[#This Row],[Plan]])</f>
        <v>JULY 27 PLANNED</v>
      </c>
    </row>
    <row r="1931" spans="1:11" x14ac:dyDescent="0.3">
      <c r="A1931" s="32">
        <f t="shared" si="105"/>
        <v>6</v>
      </c>
      <c r="B1931" s="33">
        <v>46581</v>
      </c>
      <c r="C1931" s="6" t="s">
        <v>267</v>
      </c>
      <c r="D1931" s="34">
        <v>27</v>
      </c>
      <c r="E1931" s="32">
        <f>DAY(TableAopCalendar[[#This Row],[Date]])</f>
        <v>13</v>
      </c>
      <c r="F1931" s="32">
        <f>IF(TableAopCalendar[[#This Row],[Day]]&lt;8,1,IF(TableAopCalendar[[#This Row],[Day]]&lt;15,2,IF(TableAopCalendar[[#This Row],[Day]]&lt;22,3,IF(TableAopCalendar[[#This Row],[Day]]&lt;29,4,IF(TableAopCalendar[[#This Row],[Day]]&lt;32,5)))))</f>
        <v>2</v>
      </c>
      <c r="G1931" s="32" t="str">
        <f t="shared" si="106"/>
        <v>Week 2</v>
      </c>
      <c r="H1931" s="32" t="str">
        <f t="shared" si="107"/>
        <v>July 27 Week 2</v>
      </c>
      <c r="I1931" s="32" t="str">
        <f>CONCATENATE(UPPER(TableAopCalendar[[#This Row],[Month]])," ",TableAopCalendar[[#This Row],[Year]])</f>
        <v>JULY 27</v>
      </c>
      <c r="J1931" s="7" t="s">
        <v>274</v>
      </c>
      <c r="K1931" s="32" t="str">
        <f>CONCATENATE(TableAopCalendar[[#This Row],[Month for Plan]]," ",TableAopCalendar[[#This Row],[Plan]])</f>
        <v>JULY 27 PLANNED</v>
      </c>
    </row>
    <row r="1932" spans="1:11" x14ac:dyDescent="0.3">
      <c r="A1932" s="32">
        <f t="shared" si="105"/>
        <v>7</v>
      </c>
      <c r="B1932" s="33">
        <v>46582</v>
      </c>
      <c r="C1932" s="6" t="s">
        <v>267</v>
      </c>
      <c r="D1932" s="34">
        <v>27</v>
      </c>
      <c r="E1932" s="32">
        <f>DAY(TableAopCalendar[[#This Row],[Date]])</f>
        <v>14</v>
      </c>
      <c r="F1932" s="32">
        <f>IF(TableAopCalendar[[#This Row],[Day]]&lt;8,1,IF(TableAopCalendar[[#This Row],[Day]]&lt;15,2,IF(TableAopCalendar[[#This Row],[Day]]&lt;22,3,IF(TableAopCalendar[[#This Row],[Day]]&lt;29,4,IF(TableAopCalendar[[#This Row],[Day]]&lt;32,5)))))</f>
        <v>2</v>
      </c>
      <c r="G1932" s="32" t="str">
        <f t="shared" si="106"/>
        <v>Week 2</v>
      </c>
      <c r="H1932" s="32" t="str">
        <f t="shared" si="107"/>
        <v>July 27 Week 2</v>
      </c>
      <c r="I1932" s="32" t="str">
        <f>CONCATENATE(UPPER(TableAopCalendar[[#This Row],[Month]])," ",TableAopCalendar[[#This Row],[Year]])</f>
        <v>JULY 27</v>
      </c>
      <c r="J1932" s="7" t="s">
        <v>274</v>
      </c>
      <c r="K1932" s="32" t="str">
        <f>CONCATENATE(TableAopCalendar[[#This Row],[Month for Plan]]," ",TableAopCalendar[[#This Row],[Plan]])</f>
        <v>JULY 27 PLANNED</v>
      </c>
    </row>
    <row r="1933" spans="1:11" x14ac:dyDescent="0.3">
      <c r="A1933" s="32">
        <f t="shared" si="105"/>
        <v>1</v>
      </c>
      <c r="B1933" s="33">
        <v>46583</v>
      </c>
      <c r="C1933" s="6" t="s">
        <v>267</v>
      </c>
      <c r="D1933" s="34">
        <v>27</v>
      </c>
      <c r="E1933" s="32">
        <f>DAY(TableAopCalendar[[#This Row],[Date]])</f>
        <v>15</v>
      </c>
      <c r="F1933" s="32">
        <f>IF(TableAopCalendar[[#This Row],[Day]]&lt;8,1,IF(TableAopCalendar[[#This Row],[Day]]&lt;15,2,IF(TableAopCalendar[[#This Row],[Day]]&lt;22,3,IF(TableAopCalendar[[#This Row],[Day]]&lt;29,4,IF(TableAopCalendar[[#This Row],[Day]]&lt;32,5)))))</f>
        <v>3</v>
      </c>
      <c r="G1933" s="32" t="str">
        <f t="shared" si="106"/>
        <v>Week 3</v>
      </c>
      <c r="H1933" s="32" t="str">
        <f t="shared" si="107"/>
        <v>July 27 Week 3</v>
      </c>
      <c r="I1933" s="32" t="str">
        <f>CONCATENATE(UPPER(TableAopCalendar[[#This Row],[Month]])," ",TableAopCalendar[[#This Row],[Year]])</f>
        <v>JULY 27</v>
      </c>
      <c r="J1933" s="7" t="s">
        <v>274</v>
      </c>
      <c r="K1933" s="32" t="str">
        <f>CONCATENATE(TableAopCalendar[[#This Row],[Month for Plan]]," ",TableAopCalendar[[#This Row],[Plan]])</f>
        <v>JULY 27 PLANNED</v>
      </c>
    </row>
    <row r="1934" spans="1:11" x14ac:dyDescent="0.3">
      <c r="A1934" s="32">
        <f t="shared" si="105"/>
        <v>2</v>
      </c>
      <c r="B1934" s="33">
        <v>46584</v>
      </c>
      <c r="C1934" s="6" t="s">
        <v>267</v>
      </c>
      <c r="D1934" s="34">
        <v>27</v>
      </c>
      <c r="E1934" s="32">
        <f>DAY(TableAopCalendar[[#This Row],[Date]])</f>
        <v>16</v>
      </c>
      <c r="F1934" s="32">
        <f>IF(TableAopCalendar[[#This Row],[Day]]&lt;8,1,IF(TableAopCalendar[[#This Row],[Day]]&lt;15,2,IF(TableAopCalendar[[#This Row],[Day]]&lt;22,3,IF(TableAopCalendar[[#This Row],[Day]]&lt;29,4,IF(TableAopCalendar[[#This Row],[Day]]&lt;32,5)))))</f>
        <v>3</v>
      </c>
      <c r="G1934" s="32" t="str">
        <f t="shared" si="106"/>
        <v>Week 3</v>
      </c>
      <c r="H1934" s="32" t="str">
        <f t="shared" si="107"/>
        <v>July 27 Week 3</v>
      </c>
      <c r="I1934" s="32" t="str">
        <f>CONCATENATE(UPPER(TableAopCalendar[[#This Row],[Month]])," ",TableAopCalendar[[#This Row],[Year]])</f>
        <v>JULY 27</v>
      </c>
      <c r="J1934" s="7" t="s">
        <v>274</v>
      </c>
      <c r="K1934" s="32" t="str">
        <f>CONCATENATE(TableAopCalendar[[#This Row],[Month for Plan]]," ",TableAopCalendar[[#This Row],[Plan]])</f>
        <v>JULY 27 PLANNED</v>
      </c>
    </row>
    <row r="1935" spans="1:11" x14ac:dyDescent="0.3">
      <c r="A1935" s="32">
        <f t="shared" si="105"/>
        <v>3</v>
      </c>
      <c r="B1935" s="33">
        <v>46585</v>
      </c>
      <c r="C1935" s="6" t="s">
        <v>267</v>
      </c>
      <c r="D1935" s="34">
        <v>27</v>
      </c>
      <c r="E1935" s="32">
        <f>DAY(TableAopCalendar[[#This Row],[Date]])</f>
        <v>17</v>
      </c>
      <c r="F1935" s="32">
        <f>IF(TableAopCalendar[[#This Row],[Day]]&lt;8,1,IF(TableAopCalendar[[#This Row],[Day]]&lt;15,2,IF(TableAopCalendar[[#This Row],[Day]]&lt;22,3,IF(TableAopCalendar[[#This Row],[Day]]&lt;29,4,IF(TableAopCalendar[[#This Row],[Day]]&lt;32,5)))))</f>
        <v>3</v>
      </c>
      <c r="G1935" s="32" t="str">
        <f t="shared" si="106"/>
        <v>Week 3</v>
      </c>
      <c r="H1935" s="32" t="str">
        <f t="shared" si="107"/>
        <v>July 27 Week 3</v>
      </c>
      <c r="I1935" s="32" t="str">
        <f>CONCATENATE(UPPER(TableAopCalendar[[#This Row],[Month]])," ",TableAopCalendar[[#This Row],[Year]])</f>
        <v>JULY 27</v>
      </c>
      <c r="J1935" s="7" t="s">
        <v>274</v>
      </c>
      <c r="K1935" s="32" t="str">
        <f>CONCATENATE(TableAopCalendar[[#This Row],[Month for Plan]]," ",TableAopCalendar[[#This Row],[Plan]])</f>
        <v>JULY 27 PLANNED</v>
      </c>
    </row>
    <row r="1936" spans="1:11" x14ac:dyDescent="0.3">
      <c r="A1936" s="32">
        <f t="shared" si="105"/>
        <v>4</v>
      </c>
      <c r="B1936" s="33">
        <v>46586</v>
      </c>
      <c r="C1936" s="6" t="s">
        <v>267</v>
      </c>
      <c r="D1936" s="34">
        <v>27</v>
      </c>
      <c r="E1936" s="32">
        <f>DAY(TableAopCalendar[[#This Row],[Date]])</f>
        <v>18</v>
      </c>
      <c r="F1936" s="32">
        <f>IF(TableAopCalendar[[#This Row],[Day]]&lt;8,1,IF(TableAopCalendar[[#This Row],[Day]]&lt;15,2,IF(TableAopCalendar[[#This Row],[Day]]&lt;22,3,IF(TableAopCalendar[[#This Row],[Day]]&lt;29,4,IF(TableAopCalendar[[#This Row],[Day]]&lt;32,5)))))</f>
        <v>3</v>
      </c>
      <c r="G1936" s="32" t="str">
        <f t="shared" si="106"/>
        <v>Week 3</v>
      </c>
      <c r="H1936" s="32" t="str">
        <f t="shared" si="107"/>
        <v>July 27 Week 3</v>
      </c>
      <c r="I1936" s="32" t="str">
        <f>CONCATENATE(UPPER(TableAopCalendar[[#This Row],[Month]])," ",TableAopCalendar[[#This Row],[Year]])</f>
        <v>JULY 27</v>
      </c>
      <c r="J1936" s="7" t="s">
        <v>274</v>
      </c>
      <c r="K1936" s="32" t="str">
        <f>CONCATENATE(TableAopCalendar[[#This Row],[Month for Plan]]," ",TableAopCalendar[[#This Row],[Plan]])</f>
        <v>JULY 27 PLANNED</v>
      </c>
    </row>
    <row r="1937" spans="1:11" x14ac:dyDescent="0.3">
      <c r="A1937" s="32">
        <f t="shared" si="105"/>
        <v>5</v>
      </c>
      <c r="B1937" s="33">
        <v>46587</v>
      </c>
      <c r="C1937" s="6" t="s">
        <v>267</v>
      </c>
      <c r="D1937" s="34">
        <v>27</v>
      </c>
      <c r="E1937" s="32">
        <f>DAY(TableAopCalendar[[#This Row],[Date]])</f>
        <v>19</v>
      </c>
      <c r="F1937" s="32">
        <f>IF(TableAopCalendar[[#This Row],[Day]]&lt;8,1,IF(TableAopCalendar[[#This Row],[Day]]&lt;15,2,IF(TableAopCalendar[[#This Row],[Day]]&lt;22,3,IF(TableAopCalendar[[#This Row],[Day]]&lt;29,4,IF(TableAopCalendar[[#This Row],[Day]]&lt;32,5)))))</f>
        <v>3</v>
      </c>
      <c r="G1937" s="32" t="str">
        <f t="shared" si="106"/>
        <v>Week 3</v>
      </c>
      <c r="H1937" s="32" t="str">
        <f t="shared" si="107"/>
        <v>July 27 Week 3</v>
      </c>
      <c r="I1937" s="32" t="str">
        <f>CONCATENATE(UPPER(TableAopCalendar[[#This Row],[Month]])," ",TableAopCalendar[[#This Row],[Year]])</f>
        <v>JULY 27</v>
      </c>
      <c r="J1937" s="7" t="s">
        <v>274</v>
      </c>
      <c r="K1937" s="32" t="str">
        <f>CONCATENATE(TableAopCalendar[[#This Row],[Month for Plan]]," ",TableAopCalendar[[#This Row],[Plan]])</f>
        <v>JULY 27 PLANNED</v>
      </c>
    </row>
    <row r="1938" spans="1:11" x14ac:dyDescent="0.3">
      <c r="A1938" s="32">
        <f t="shared" si="105"/>
        <v>6</v>
      </c>
      <c r="B1938" s="33">
        <v>46588</v>
      </c>
      <c r="C1938" s="6" t="s">
        <v>267</v>
      </c>
      <c r="D1938" s="34">
        <v>27</v>
      </c>
      <c r="E1938" s="32">
        <f>DAY(TableAopCalendar[[#This Row],[Date]])</f>
        <v>20</v>
      </c>
      <c r="F1938" s="32">
        <f>IF(TableAopCalendar[[#This Row],[Day]]&lt;8,1,IF(TableAopCalendar[[#This Row],[Day]]&lt;15,2,IF(TableAopCalendar[[#This Row],[Day]]&lt;22,3,IF(TableAopCalendar[[#This Row],[Day]]&lt;29,4,IF(TableAopCalendar[[#This Row],[Day]]&lt;32,5)))))</f>
        <v>3</v>
      </c>
      <c r="G1938" s="32" t="str">
        <f t="shared" si="106"/>
        <v>Week 3</v>
      </c>
      <c r="H1938" s="32" t="str">
        <f t="shared" si="107"/>
        <v>July 27 Week 3</v>
      </c>
      <c r="I1938" s="32" t="str">
        <f>CONCATENATE(UPPER(TableAopCalendar[[#This Row],[Month]])," ",TableAopCalendar[[#This Row],[Year]])</f>
        <v>JULY 27</v>
      </c>
      <c r="J1938" s="7" t="s">
        <v>274</v>
      </c>
      <c r="K1938" s="32" t="str">
        <f>CONCATENATE(TableAopCalendar[[#This Row],[Month for Plan]]," ",TableAopCalendar[[#This Row],[Plan]])</f>
        <v>JULY 27 PLANNED</v>
      </c>
    </row>
    <row r="1939" spans="1:11" x14ac:dyDescent="0.3">
      <c r="A1939" s="32">
        <f t="shared" si="105"/>
        <v>7</v>
      </c>
      <c r="B1939" s="33">
        <v>46589</v>
      </c>
      <c r="C1939" s="6" t="s">
        <v>267</v>
      </c>
      <c r="D1939" s="34">
        <v>27</v>
      </c>
      <c r="E1939" s="32">
        <f>DAY(TableAopCalendar[[#This Row],[Date]])</f>
        <v>21</v>
      </c>
      <c r="F1939" s="32">
        <f>IF(TableAopCalendar[[#This Row],[Day]]&lt;8,1,IF(TableAopCalendar[[#This Row],[Day]]&lt;15,2,IF(TableAopCalendar[[#This Row],[Day]]&lt;22,3,IF(TableAopCalendar[[#This Row],[Day]]&lt;29,4,IF(TableAopCalendar[[#This Row],[Day]]&lt;32,5)))))</f>
        <v>3</v>
      </c>
      <c r="G1939" s="32" t="str">
        <f t="shared" si="106"/>
        <v>Week 3</v>
      </c>
      <c r="H1939" s="32" t="str">
        <f t="shared" si="107"/>
        <v>July 27 Week 3</v>
      </c>
      <c r="I1939" s="32" t="str">
        <f>CONCATENATE(UPPER(TableAopCalendar[[#This Row],[Month]])," ",TableAopCalendar[[#This Row],[Year]])</f>
        <v>JULY 27</v>
      </c>
      <c r="J1939" s="7" t="s">
        <v>274</v>
      </c>
      <c r="K1939" s="32" t="str">
        <f>CONCATENATE(TableAopCalendar[[#This Row],[Month for Plan]]," ",TableAopCalendar[[#This Row],[Plan]])</f>
        <v>JULY 27 PLANNED</v>
      </c>
    </row>
    <row r="1940" spans="1:11" x14ac:dyDescent="0.3">
      <c r="A1940" s="32">
        <f t="shared" si="105"/>
        <v>1</v>
      </c>
      <c r="B1940" s="33">
        <v>46590</v>
      </c>
      <c r="C1940" s="6" t="s">
        <v>267</v>
      </c>
      <c r="D1940" s="34">
        <v>27</v>
      </c>
      <c r="E1940" s="32">
        <f>DAY(TableAopCalendar[[#This Row],[Date]])</f>
        <v>22</v>
      </c>
      <c r="F1940" s="32">
        <f>IF(TableAopCalendar[[#This Row],[Day]]&lt;8,1,IF(TableAopCalendar[[#This Row],[Day]]&lt;15,2,IF(TableAopCalendar[[#This Row],[Day]]&lt;22,3,IF(TableAopCalendar[[#This Row],[Day]]&lt;29,4,IF(TableAopCalendar[[#This Row],[Day]]&lt;32,5)))))</f>
        <v>4</v>
      </c>
      <c r="G1940" s="32" t="str">
        <f t="shared" si="106"/>
        <v>Week 4</v>
      </c>
      <c r="H1940" s="32" t="str">
        <f t="shared" si="107"/>
        <v>July 27 Week 4</v>
      </c>
      <c r="I1940" s="32" t="str">
        <f>CONCATENATE(UPPER(TableAopCalendar[[#This Row],[Month]])," ",TableAopCalendar[[#This Row],[Year]])</f>
        <v>JULY 27</v>
      </c>
      <c r="J1940" s="7" t="s">
        <v>274</v>
      </c>
      <c r="K1940" s="32" t="str">
        <f>CONCATENATE(TableAopCalendar[[#This Row],[Month for Plan]]," ",TableAopCalendar[[#This Row],[Plan]])</f>
        <v>JULY 27 PLANNED</v>
      </c>
    </row>
    <row r="1941" spans="1:11" x14ac:dyDescent="0.3">
      <c r="A1941" s="32">
        <f t="shared" si="105"/>
        <v>2</v>
      </c>
      <c r="B1941" s="33">
        <v>46591</v>
      </c>
      <c r="C1941" s="6" t="s">
        <v>267</v>
      </c>
      <c r="D1941" s="34">
        <v>27</v>
      </c>
      <c r="E1941" s="32">
        <f>DAY(TableAopCalendar[[#This Row],[Date]])</f>
        <v>23</v>
      </c>
      <c r="F1941" s="32">
        <f>IF(TableAopCalendar[[#This Row],[Day]]&lt;8,1,IF(TableAopCalendar[[#This Row],[Day]]&lt;15,2,IF(TableAopCalendar[[#This Row],[Day]]&lt;22,3,IF(TableAopCalendar[[#This Row],[Day]]&lt;29,4,IF(TableAopCalendar[[#This Row],[Day]]&lt;32,5)))))</f>
        <v>4</v>
      </c>
      <c r="G1941" s="32" t="str">
        <f t="shared" si="106"/>
        <v>Week 4</v>
      </c>
      <c r="H1941" s="32" t="str">
        <f t="shared" si="107"/>
        <v>July 27 Week 4</v>
      </c>
      <c r="I1941" s="32" t="str">
        <f>CONCATENATE(UPPER(TableAopCalendar[[#This Row],[Month]])," ",TableAopCalendar[[#This Row],[Year]])</f>
        <v>JULY 27</v>
      </c>
      <c r="J1941" s="7" t="s">
        <v>274</v>
      </c>
      <c r="K1941" s="32" t="str">
        <f>CONCATENATE(TableAopCalendar[[#This Row],[Month for Plan]]," ",TableAopCalendar[[#This Row],[Plan]])</f>
        <v>JULY 27 PLANNED</v>
      </c>
    </row>
    <row r="1942" spans="1:11" x14ac:dyDescent="0.3">
      <c r="A1942" s="32">
        <f t="shared" si="105"/>
        <v>3</v>
      </c>
      <c r="B1942" s="33">
        <v>46592</v>
      </c>
      <c r="C1942" s="6" t="s">
        <v>267</v>
      </c>
      <c r="D1942" s="34">
        <v>27</v>
      </c>
      <c r="E1942" s="32">
        <f>DAY(TableAopCalendar[[#This Row],[Date]])</f>
        <v>24</v>
      </c>
      <c r="F1942" s="32">
        <f>IF(TableAopCalendar[[#This Row],[Day]]&lt;8,1,IF(TableAopCalendar[[#This Row],[Day]]&lt;15,2,IF(TableAopCalendar[[#This Row],[Day]]&lt;22,3,IF(TableAopCalendar[[#This Row],[Day]]&lt;29,4,IF(TableAopCalendar[[#This Row],[Day]]&lt;32,5)))))</f>
        <v>4</v>
      </c>
      <c r="G1942" s="32" t="str">
        <f t="shared" si="106"/>
        <v>Week 4</v>
      </c>
      <c r="H1942" s="32" t="str">
        <f t="shared" si="107"/>
        <v>July 27 Week 4</v>
      </c>
      <c r="I1942" s="32" t="str">
        <f>CONCATENATE(UPPER(TableAopCalendar[[#This Row],[Month]])," ",TableAopCalendar[[#This Row],[Year]])</f>
        <v>JULY 27</v>
      </c>
      <c r="J1942" s="7" t="s">
        <v>274</v>
      </c>
      <c r="K1942" s="32" t="str">
        <f>CONCATENATE(TableAopCalendar[[#This Row],[Month for Plan]]," ",TableAopCalendar[[#This Row],[Plan]])</f>
        <v>JULY 27 PLANNED</v>
      </c>
    </row>
    <row r="1943" spans="1:11" x14ac:dyDescent="0.3">
      <c r="A1943" s="32">
        <f t="shared" si="105"/>
        <v>4</v>
      </c>
      <c r="B1943" s="33">
        <v>46593</v>
      </c>
      <c r="C1943" s="6" t="s">
        <v>267</v>
      </c>
      <c r="D1943" s="34">
        <v>27</v>
      </c>
      <c r="E1943" s="32">
        <f>DAY(TableAopCalendar[[#This Row],[Date]])</f>
        <v>25</v>
      </c>
      <c r="F1943" s="32">
        <f>IF(TableAopCalendar[[#This Row],[Day]]&lt;8,1,IF(TableAopCalendar[[#This Row],[Day]]&lt;15,2,IF(TableAopCalendar[[#This Row],[Day]]&lt;22,3,IF(TableAopCalendar[[#This Row],[Day]]&lt;29,4,IF(TableAopCalendar[[#This Row],[Day]]&lt;32,5)))))</f>
        <v>4</v>
      </c>
      <c r="G1943" s="32" t="str">
        <f t="shared" si="106"/>
        <v>Week 4</v>
      </c>
      <c r="H1943" s="32" t="str">
        <f t="shared" si="107"/>
        <v>July 27 Week 4</v>
      </c>
      <c r="I1943" s="32" t="str">
        <f>CONCATENATE(UPPER(TableAopCalendar[[#This Row],[Month]])," ",TableAopCalendar[[#This Row],[Year]])</f>
        <v>JULY 27</v>
      </c>
      <c r="J1943" s="7" t="s">
        <v>274</v>
      </c>
      <c r="K1943" s="32" t="str">
        <f>CONCATENATE(TableAopCalendar[[#This Row],[Month for Plan]]," ",TableAopCalendar[[#This Row],[Plan]])</f>
        <v>JULY 27 PLANNED</v>
      </c>
    </row>
    <row r="1944" spans="1:11" x14ac:dyDescent="0.3">
      <c r="A1944" s="32">
        <f t="shared" si="105"/>
        <v>5</v>
      </c>
      <c r="B1944" s="33">
        <v>46594</v>
      </c>
      <c r="C1944" s="6" t="s">
        <v>267</v>
      </c>
      <c r="D1944" s="34">
        <v>27</v>
      </c>
      <c r="E1944" s="32">
        <f>DAY(TableAopCalendar[[#This Row],[Date]])</f>
        <v>26</v>
      </c>
      <c r="F1944" s="32">
        <f>IF(TableAopCalendar[[#This Row],[Day]]&lt;8,1,IF(TableAopCalendar[[#This Row],[Day]]&lt;15,2,IF(TableAopCalendar[[#This Row],[Day]]&lt;22,3,IF(TableAopCalendar[[#This Row],[Day]]&lt;29,4,IF(TableAopCalendar[[#This Row],[Day]]&lt;32,5)))))</f>
        <v>4</v>
      </c>
      <c r="G1944" s="32" t="str">
        <f t="shared" si="106"/>
        <v>Week 4</v>
      </c>
      <c r="H1944" s="32" t="str">
        <f t="shared" si="107"/>
        <v>July 27 Week 4</v>
      </c>
      <c r="I1944" s="32" t="str">
        <f>CONCATENATE(UPPER(TableAopCalendar[[#This Row],[Month]])," ",TableAopCalendar[[#This Row],[Year]])</f>
        <v>JULY 27</v>
      </c>
      <c r="J1944" s="7" t="s">
        <v>274</v>
      </c>
      <c r="K1944" s="32" t="str">
        <f>CONCATENATE(TableAopCalendar[[#This Row],[Month for Plan]]," ",TableAopCalendar[[#This Row],[Plan]])</f>
        <v>JULY 27 PLANNED</v>
      </c>
    </row>
    <row r="1945" spans="1:11" x14ac:dyDescent="0.3">
      <c r="A1945" s="32">
        <f t="shared" si="105"/>
        <v>6</v>
      </c>
      <c r="B1945" s="33">
        <v>46595</v>
      </c>
      <c r="C1945" s="6" t="s">
        <v>267</v>
      </c>
      <c r="D1945" s="34">
        <v>27</v>
      </c>
      <c r="E1945" s="32">
        <f>DAY(TableAopCalendar[[#This Row],[Date]])</f>
        <v>27</v>
      </c>
      <c r="F1945" s="32">
        <f>IF(TableAopCalendar[[#This Row],[Day]]&lt;8,1,IF(TableAopCalendar[[#This Row],[Day]]&lt;15,2,IF(TableAopCalendar[[#This Row],[Day]]&lt;22,3,IF(TableAopCalendar[[#This Row],[Day]]&lt;29,4,IF(TableAopCalendar[[#This Row],[Day]]&lt;32,5)))))</f>
        <v>4</v>
      </c>
      <c r="G1945" s="32" t="str">
        <f t="shared" si="106"/>
        <v>Week 4</v>
      </c>
      <c r="H1945" s="32" t="str">
        <f t="shared" si="107"/>
        <v>July 27 Week 4</v>
      </c>
      <c r="I1945" s="32" t="str">
        <f>CONCATENATE(UPPER(TableAopCalendar[[#This Row],[Month]])," ",TableAopCalendar[[#This Row],[Year]])</f>
        <v>JULY 27</v>
      </c>
      <c r="J1945" s="7" t="s">
        <v>274</v>
      </c>
      <c r="K1945" s="32" t="str">
        <f>CONCATENATE(TableAopCalendar[[#This Row],[Month for Plan]]," ",TableAopCalendar[[#This Row],[Plan]])</f>
        <v>JULY 27 PLANNED</v>
      </c>
    </row>
    <row r="1946" spans="1:11" x14ac:dyDescent="0.3">
      <c r="A1946" s="32">
        <f t="shared" si="105"/>
        <v>7</v>
      </c>
      <c r="B1946" s="33">
        <v>46596</v>
      </c>
      <c r="C1946" s="6" t="s">
        <v>267</v>
      </c>
      <c r="D1946" s="34">
        <v>27</v>
      </c>
      <c r="E1946" s="32">
        <f>DAY(TableAopCalendar[[#This Row],[Date]])</f>
        <v>28</v>
      </c>
      <c r="F1946" s="32">
        <f>IF(TableAopCalendar[[#This Row],[Day]]&lt;8,1,IF(TableAopCalendar[[#This Row],[Day]]&lt;15,2,IF(TableAopCalendar[[#This Row],[Day]]&lt;22,3,IF(TableAopCalendar[[#This Row],[Day]]&lt;29,4,IF(TableAopCalendar[[#This Row],[Day]]&lt;32,5)))))</f>
        <v>4</v>
      </c>
      <c r="G1946" s="32" t="str">
        <f t="shared" si="106"/>
        <v>Week 4</v>
      </c>
      <c r="H1946" s="32" t="str">
        <f t="shared" si="107"/>
        <v>July 27 Week 4</v>
      </c>
      <c r="I1946" s="32" t="str">
        <f>CONCATENATE(UPPER(TableAopCalendar[[#This Row],[Month]])," ",TableAopCalendar[[#This Row],[Year]])</f>
        <v>JULY 27</v>
      </c>
      <c r="J1946" s="7" t="s">
        <v>274</v>
      </c>
      <c r="K1946" s="32" t="str">
        <f>CONCATENATE(TableAopCalendar[[#This Row],[Month for Plan]]," ",TableAopCalendar[[#This Row],[Plan]])</f>
        <v>JULY 27 PLANNED</v>
      </c>
    </row>
    <row r="1947" spans="1:11" x14ac:dyDescent="0.3">
      <c r="A1947" s="32">
        <f t="shared" si="105"/>
        <v>1</v>
      </c>
      <c r="B1947" s="33">
        <v>46597</v>
      </c>
      <c r="C1947" s="6" t="s">
        <v>267</v>
      </c>
      <c r="D1947" s="34">
        <v>27</v>
      </c>
      <c r="E1947" s="32">
        <f>DAY(TableAopCalendar[[#This Row],[Date]])</f>
        <v>29</v>
      </c>
      <c r="F1947" s="32">
        <f>IF(TableAopCalendar[[#This Row],[Day]]&lt;8,1,IF(TableAopCalendar[[#This Row],[Day]]&lt;15,2,IF(TableAopCalendar[[#This Row],[Day]]&lt;22,3,IF(TableAopCalendar[[#This Row],[Day]]&lt;29,4,IF(TableAopCalendar[[#This Row],[Day]]&lt;32,5)))))</f>
        <v>5</v>
      </c>
      <c r="G1947" s="32" t="str">
        <f t="shared" si="106"/>
        <v>Week 5</v>
      </c>
      <c r="H1947" s="32" t="str">
        <f t="shared" si="107"/>
        <v>July 27 Week 5</v>
      </c>
      <c r="I1947" s="32" t="str">
        <f>CONCATENATE(UPPER(TableAopCalendar[[#This Row],[Month]])," ",TableAopCalendar[[#This Row],[Year]])</f>
        <v>JULY 27</v>
      </c>
      <c r="J1947" s="7" t="s">
        <v>274</v>
      </c>
      <c r="K1947" s="32" t="str">
        <f>CONCATENATE(TableAopCalendar[[#This Row],[Month for Plan]]," ",TableAopCalendar[[#This Row],[Plan]])</f>
        <v>JULY 27 PLANNED</v>
      </c>
    </row>
    <row r="1948" spans="1:11" x14ac:dyDescent="0.3">
      <c r="A1948" s="32">
        <f t="shared" si="105"/>
        <v>2</v>
      </c>
      <c r="B1948" s="33">
        <v>46598</v>
      </c>
      <c r="C1948" s="6" t="s">
        <v>267</v>
      </c>
      <c r="D1948" s="34">
        <v>27</v>
      </c>
      <c r="E1948" s="32">
        <f>DAY(TableAopCalendar[[#This Row],[Date]])</f>
        <v>30</v>
      </c>
      <c r="F1948" s="32">
        <f>IF(TableAopCalendar[[#This Row],[Day]]&lt;8,1,IF(TableAopCalendar[[#This Row],[Day]]&lt;15,2,IF(TableAopCalendar[[#This Row],[Day]]&lt;22,3,IF(TableAopCalendar[[#This Row],[Day]]&lt;29,4,IF(TableAopCalendar[[#This Row],[Day]]&lt;32,5)))))</f>
        <v>5</v>
      </c>
      <c r="G1948" s="32" t="str">
        <f t="shared" si="106"/>
        <v>Week 5</v>
      </c>
      <c r="H1948" s="32" t="str">
        <f t="shared" si="107"/>
        <v>July 27 Week 5</v>
      </c>
      <c r="I1948" s="32" t="str">
        <f>CONCATENATE(UPPER(TableAopCalendar[[#This Row],[Month]])," ",TableAopCalendar[[#This Row],[Year]])</f>
        <v>JULY 27</v>
      </c>
      <c r="J1948" s="7" t="s">
        <v>274</v>
      </c>
      <c r="K1948" s="32" t="str">
        <f>CONCATENATE(TableAopCalendar[[#This Row],[Month for Plan]]," ",TableAopCalendar[[#This Row],[Plan]])</f>
        <v>JULY 27 PLANNED</v>
      </c>
    </row>
    <row r="1949" spans="1:11" x14ac:dyDescent="0.3">
      <c r="A1949" s="32">
        <f t="shared" si="105"/>
        <v>3</v>
      </c>
      <c r="B1949" s="33">
        <v>46599</v>
      </c>
      <c r="C1949" s="6" t="s">
        <v>267</v>
      </c>
      <c r="D1949" s="34">
        <v>27</v>
      </c>
      <c r="E1949" s="32">
        <f>DAY(TableAopCalendar[[#This Row],[Date]])</f>
        <v>31</v>
      </c>
      <c r="F1949" s="32">
        <f>IF(TableAopCalendar[[#This Row],[Day]]&lt;8,1,IF(TableAopCalendar[[#This Row],[Day]]&lt;15,2,IF(TableAopCalendar[[#This Row],[Day]]&lt;22,3,IF(TableAopCalendar[[#This Row],[Day]]&lt;29,4,IF(TableAopCalendar[[#This Row],[Day]]&lt;32,5)))))</f>
        <v>5</v>
      </c>
      <c r="G1949" s="32" t="str">
        <f t="shared" si="106"/>
        <v>Week 5</v>
      </c>
      <c r="H1949" s="32" t="str">
        <f t="shared" si="107"/>
        <v>July 27 Week 5</v>
      </c>
      <c r="I1949" s="32" t="str">
        <f>CONCATENATE(UPPER(TableAopCalendar[[#This Row],[Month]])," ",TableAopCalendar[[#This Row],[Year]])</f>
        <v>JULY 27</v>
      </c>
      <c r="J1949" s="7" t="s">
        <v>274</v>
      </c>
      <c r="K1949" s="32" t="str">
        <f>CONCATENATE(TableAopCalendar[[#This Row],[Month for Plan]]," ",TableAopCalendar[[#This Row],[Plan]])</f>
        <v>JULY 27 PLANNED</v>
      </c>
    </row>
    <row r="1950" spans="1:11" x14ac:dyDescent="0.3">
      <c r="A1950" s="32">
        <f t="shared" si="105"/>
        <v>1</v>
      </c>
      <c r="B1950" s="33">
        <v>46600</v>
      </c>
      <c r="C1950" s="6" t="s">
        <v>268</v>
      </c>
      <c r="D1950" s="34">
        <v>27</v>
      </c>
      <c r="E1950" s="32">
        <f>DAY(TableAopCalendar[[#This Row],[Date]])</f>
        <v>1</v>
      </c>
      <c r="F1950" s="32">
        <f>IF(TableAopCalendar[[#This Row],[Day]]&lt;8,1,IF(TableAopCalendar[[#This Row],[Day]]&lt;15,2,IF(TableAopCalendar[[#This Row],[Day]]&lt;22,3,IF(TableAopCalendar[[#This Row],[Day]]&lt;29,4,IF(TableAopCalendar[[#This Row],[Day]]&lt;32,5)))))</f>
        <v>1</v>
      </c>
      <c r="G1950" s="32" t="str">
        <f t="shared" si="106"/>
        <v>Week 1</v>
      </c>
      <c r="H1950" s="32" t="str">
        <f t="shared" si="107"/>
        <v>August 27 Week 1</v>
      </c>
      <c r="I1950" s="32" t="str">
        <f>CONCATENATE(UPPER(TableAopCalendar[[#This Row],[Month]])," ",TableAopCalendar[[#This Row],[Year]])</f>
        <v>AUGUST 27</v>
      </c>
      <c r="J1950" s="7" t="s">
        <v>274</v>
      </c>
      <c r="K1950" s="32" t="str">
        <f>CONCATENATE(TableAopCalendar[[#This Row],[Month for Plan]]," ",TableAopCalendar[[#This Row],[Plan]])</f>
        <v>AUGUST 27 PLANNED</v>
      </c>
    </row>
    <row r="1951" spans="1:11" x14ac:dyDescent="0.3">
      <c r="A1951" s="32">
        <f t="shared" si="105"/>
        <v>2</v>
      </c>
      <c r="B1951" s="33">
        <v>46601</v>
      </c>
      <c r="C1951" s="6" t="s">
        <v>268</v>
      </c>
      <c r="D1951" s="34">
        <v>27</v>
      </c>
      <c r="E1951" s="32">
        <f>DAY(TableAopCalendar[[#This Row],[Date]])</f>
        <v>2</v>
      </c>
      <c r="F1951" s="32">
        <f>IF(TableAopCalendar[[#This Row],[Day]]&lt;8,1,IF(TableAopCalendar[[#This Row],[Day]]&lt;15,2,IF(TableAopCalendar[[#This Row],[Day]]&lt;22,3,IF(TableAopCalendar[[#This Row],[Day]]&lt;29,4,IF(TableAopCalendar[[#This Row],[Day]]&lt;32,5)))))</f>
        <v>1</v>
      </c>
      <c r="G1951" s="32" t="str">
        <f t="shared" si="106"/>
        <v>Week 1</v>
      </c>
      <c r="H1951" s="32" t="str">
        <f t="shared" si="107"/>
        <v>August 27 Week 1</v>
      </c>
      <c r="I1951" s="32" t="str">
        <f>CONCATENATE(UPPER(TableAopCalendar[[#This Row],[Month]])," ",TableAopCalendar[[#This Row],[Year]])</f>
        <v>AUGUST 27</v>
      </c>
      <c r="J1951" s="7" t="s">
        <v>274</v>
      </c>
      <c r="K1951" s="32" t="str">
        <f>CONCATENATE(TableAopCalendar[[#This Row],[Month for Plan]]," ",TableAopCalendar[[#This Row],[Plan]])</f>
        <v>AUGUST 27 PLANNED</v>
      </c>
    </row>
    <row r="1952" spans="1:11" x14ac:dyDescent="0.3">
      <c r="A1952" s="32">
        <f t="shared" si="105"/>
        <v>3</v>
      </c>
      <c r="B1952" s="33">
        <v>46602</v>
      </c>
      <c r="C1952" s="6" t="s">
        <v>268</v>
      </c>
      <c r="D1952" s="34">
        <v>27</v>
      </c>
      <c r="E1952" s="32">
        <f>DAY(TableAopCalendar[[#This Row],[Date]])</f>
        <v>3</v>
      </c>
      <c r="F1952" s="32">
        <f>IF(TableAopCalendar[[#This Row],[Day]]&lt;8,1,IF(TableAopCalendar[[#This Row],[Day]]&lt;15,2,IF(TableAopCalendar[[#This Row],[Day]]&lt;22,3,IF(TableAopCalendar[[#This Row],[Day]]&lt;29,4,IF(TableAopCalendar[[#This Row],[Day]]&lt;32,5)))))</f>
        <v>1</v>
      </c>
      <c r="G1952" s="32" t="str">
        <f t="shared" si="106"/>
        <v>Week 1</v>
      </c>
      <c r="H1952" s="32" t="str">
        <f t="shared" si="107"/>
        <v>August 27 Week 1</v>
      </c>
      <c r="I1952" s="32" t="str">
        <f>CONCATENATE(UPPER(TableAopCalendar[[#This Row],[Month]])," ",TableAopCalendar[[#This Row],[Year]])</f>
        <v>AUGUST 27</v>
      </c>
      <c r="J1952" s="7" t="s">
        <v>274</v>
      </c>
      <c r="K1952" s="32" t="str">
        <f>CONCATENATE(TableAopCalendar[[#This Row],[Month for Plan]]," ",TableAopCalendar[[#This Row],[Plan]])</f>
        <v>AUGUST 27 PLANNED</v>
      </c>
    </row>
    <row r="1953" spans="1:11" x14ac:dyDescent="0.3">
      <c r="A1953" s="32">
        <f t="shared" si="105"/>
        <v>4</v>
      </c>
      <c r="B1953" s="33">
        <v>46603</v>
      </c>
      <c r="C1953" s="6" t="s">
        <v>268</v>
      </c>
      <c r="D1953" s="34">
        <v>27</v>
      </c>
      <c r="E1953" s="32">
        <f>DAY(TableAopCalendar[[#This Row],[Date]])</f>
        <v>4</v>
      </c>
      <c r="F1953" s="32">
        <f>IF(TableAopCalendar[[#This Row],[Day]]&lt;8,1,IF(TableAopCalendar[[#This Row],[Day]]&lt;15,2,IF(TableAopCalendar[[#This Row],[Day]]&lt;22,3,IF(TableAopCalendar[[#This Row],[Day]]&lt;29,4,IF(TableAopCalendar[[#This Row],[Day]]&lt;32,5)))))</f>
        <v>1</v>
      </c>
      <c r="G1953" s="32" t="str">
        <f t="shared" si="106"/>
        <v>Week 1</v>
      </c>
      <c r="H1953" s="32" t="str">
        <f t="shared" si="107"/>
        <v>August 27 Week 1</v>
      </c>
      <c r="I1953" s="32" t="str">
        <f>CONCATENATE(UPPER(TableAopCalendar[[#This Row],[Month]])," ",TableAopCalendar[[#This Row],[Year]])</f>
        <v>AUGUST 27</v>
      </c>
      <c r="J1953" s="7" t="s">
        <v>274</v>
      </c>
      <c r="K1953" s="32" t="str">
        <f>CONCATENATE(TableAopCalendar[[#This Row],[Month for Plan]]," ",TableAopCalendar[[#This Row],[Plan]])</f>
        <v>AUGUST 27 PLANNED</v>
      </c>
    </row>
    <row r="1954" spans="1:11" x14ac:dyDescent="0.3">
      <c r="A1954" s="32">
        <f t="shared" si="105"/>
        <v>5</v>
      </c>
      <c r="B1954" s="33">
        <v>46604</v>
      </c>
      <c r="C1954" s="6" t="s">
        <v>268</v>
      </c>
      <c r="D1954" s="34">
        <v>27</v>
      </c>
      <c r="E1954" s="32">
        <f>DAY(TableAopCalendar[[#This Row],[Date]])</f>
        <v>5</v>
      </c>
      <c r="F1954" s="32">
        <f>IF(TableAopCalendar[[#This Row],[Day]]&lt;8,1,IF(TableAopCalendar[[#This Row],[Day]]&lt;15,2,IF(TableAopCalendar[[#This Row],[Day]]&lt;22,3,IF(TableAopCalendar[[#This Row],[Day]]&lt;29,4,IF(TableAopCalendar[[#This Row],[Day]]&lt;32,5)))))</f>
        <v>1</v>
      </c>
      <c r="G1954" s="32" t="str">
        <f t="shared" si="106"/>
        <v>Week 1</v>
      </c>
      <c r="H1954" s="32" t="str">
        <f t="shared" si="107"/>
        <v>August 27 Week 1</v>
      </c>
      <c r="I1954" s="32" t="str">
        <f>CONCATENATE(UPPER(TableAopCalendar[[#This Row],[Month]])," ",TableAopCalendar[[#This Row],[Year]])</f>
        <v>AUGUST 27</v>
      </c>
      <c r="J1954" s="7" t="s">
        <v>274</v>
      </c>
      <c r="K1954" s="32" t="str">
        <f>CONCATENATE(TableAopCalendar[[#This Row],[Month for Plan]]," ",TableAopCalendar[[#This Row],[Plan]])</f>
        <v>AUGUST 27 PLANNED</v>
      </c>
    </row>
    <row r="1955" spans="1:11" x14ac:dyDescent="0.3">
      <c r="A1955" s="32">
        <f t="shared" si="105"/>
        <v>6</v>
      </c>
      <c r="B1955" s="33">
        <v>46605</v>
      </c>
      <c r="C1955" s="6" t="s">
        <v>268</v>
      </c>
      <c r="D1955" s="34">
        <v>27</v>
      </c>
      <c r="E1955" s="32">
        <f>DAY(TableAopCalendar[[#This Row],[Date]])</f>
        <v>6</v>
      </c>
      <c r="F1955" s="32">
        <f>IF(TableAopCalendar[[#This Row],[Day]]&lt;8,1,IF(TableAopCalendar[[#This Row],[Day]]&lt;15,2,IF(TableAopCalendar[[#This Row],[Day]]&lt;22,3,IF(TableAopCalendar[[#This Row],[Day]]&lt;29,4,IF(TableAopCalendar[[#This Row],[Day]]&lt;32,5)))))</f>
        <v>1</v>
      </c>
      <c r="G1955" s="32" t="str">
        <f t="shared" si="106"/>
        <v>Week 1</v>
      </c>
      <c r="H1955" s="32" t="str">
        <f t="shared" si="107"/>
        <v>August 27 Week 1</v>
      </c>
      <c r="I1955" s="32" t="str">
        <f>CONCATENATE(UPPER(TableAopCalendar[[#This Row],[Month]])," ",TableAopCalendar[[#This Row],[Year]])</f>
        <v>AUGUST 27</v>
      </c>
      <c r="J1955" s="7" t="s">
        <v>274</v>
      </c>
      <c r="K1955" s="32" t="str">
        <f>CONCATENATE(TableAopCalendar[[#This Row],[Month for Plan]]," ",TableAopCalendar[[#This Row],[Plan]])</f>
        <v>AUGUST 27 PLANNED</v>
      </c>
    </row>
    <row r="1956" spans="1:11" x14ac:dyDescent="0.3">
      <c r="A1956" s="32">
        <f t="shared" ref="A1956:A2019" si="108">IF(G1956=G1955,A1955+1,1)</f>
        <v>7</v>
      </c>
      <c r="B1956" s="33">
        <v>46606</v>
      </c>
      <c r="C1956" s="6" t="s">
        <v>268</v>
      </c>
      <c r="D1956" s="34">
        <v>27</v>
      </c>
      <c r="E1956" s="32">
        <f>DAY(TableAopCalendar[[#This Row],[Date]])</f>
        <v>7</v>
      </c>
      <c r="F1956" s="32">
        <f>IF(TableAopCalendar[[#This Row],[Day]]&lt;8,1,IF(TableAopCalendar[[#This Row],[Day]]&lt;15,2,IF(TableAopCalendar[[#This Row],[Day]]&lt;22,3,IF(TableAopCalendar[[#This Row],[Day]]&lt;29,4,IF(TableAopCalendar[[#This Row],[Day]]&lt;32,5)))))</f>
        <v>1</v>
      </c>
      <c r="G1956" s="32" t="str">
        <f t="shared" ref="G1956:G2019" si="109">"Week"&amp;" "&amp;F1956</f>
        <v>Week 1</v>
      </c>
      <c r="H1956" s="32" t="str">
        <f t="shared" ref="H1956:H2019" si="110">CONCATENATE(C1956," ",D1956," ",G1956)</f>
        <v>August 27 Week 1</v>
      </c>
      <c r="I1956" s="32" t="str">
        <f>CONCATENATE(UPPER(TableAopCalendar[[#This Row],[Month]])," ",TableAopCalendar[[#This Row],[Year]])</f>
        <v>AUGUST 27</v>
      </c>
      <c r="J1956" s="7" t="s">
        <v>274</v>
      </c>
      <c r="K1956" s="32" t="str">
        <f>CONCATENATE(TableAopCalendar[[#This Row],[Month for Plan]]," ",TableAopCalendar[[#This Row],[Plan]])</f>
        <v>AUGUST 27 PLANNED</v>
      </c>
    </row>
    <row r="1957" spans="1:11" x14ac:dyDescent="0.3">
      <c r="A1957" s="32">
        <f t="shared" si="108"/>
        <v>1</v>
      </c>
      <c r="B1957" s="33">
        <v>46607</v>
      </c>
      <c r="C1957" s="6" t="s">
        <v>268</v>
      </c>
      <c r="D1957" s="34">
        <v>27</v>
      </c>
      <c r="E1957" s="32">
        <f>DAY(TableAopCalendar[[#This Row],[Date]])</f>
        <v>8</v>
      </c>
      <c r="F1957" s="32">
        <f>IF(TableAopCalendar[[#This Row],[Day]]&lt;8,1,IF(TableAopCalendar[[#This Row],[Day]]&lt;15,2,IF(TableAopCalendar[[#This Row],[Day]]&lt;22,3,IF(TableAopCalendar[[#This Row],[Day]]&lt;29,4,IF(TableAopCalendar[[#This Row],[Day]]&lt;32,5)))))</f>
        <v>2</v>
      </c>
      <c r="G1957" s="32" t="str">
        <f t="shared" si="109"/>
        <v>Week 2</v>
      </c>
      <c r="H1957" s="32" t="str">
        <f t="shared" si="110"/>
        <v>August 27 Week 2</v>
      </c>
      <c r="I1957" s="32" t="str">
        <f>CONCATENATE(UPPER(TableAopCalendar[[#This Row],[Month]])," ",TableAopCalendar[[#This Row],[Year]])</f>
        <v>AUGUST 27</v>
      </c>
      <c r="J1957" s="7" t="s">
        <v>274</v>
      </c>
      <c r="K1957" s="32" t="str">
        <f>CONCATENATE(TableAopCalendar[[#This Row],[Month for Plan]]," ",TableAopCalendar[[#This Row],[Plan]])</f>
        <v>AUGUST 27 PLANNED</v>
      </c>
    </row>
    <row r="1958" spans="1:11" x14ac:dyDescent="0.3">
      <c r="A1958" s="32">
        <f t="shared" si="108"/>
        <v>2</v>
      </c>
      <c r="B1958" s="33">
        <v>46608</v>
      </c>
      <c r="C1958" s="6" t="s">
        <v>268</v>
      </c>
      <c r="D1958" s="34">
        <v>27</v>
      </c>
      <c r="E1958" s="32">
        <f>DAY(TableAopCalendar[[#This Row],[Date]])</f>
        <v>9</v>
      </c>
      <c r="F1958" s="32">
        <f>IF(TableAopCalendar[[#This Row],[Day]]&lt;8,1,IF(TableAopCalendar[[#This Row],[Day]]&lt;15,2,IF(TableAopCalendar[[#This Row],[Day]]&lt;22,3,IF(TableAopCalendar[[#This Row],[Day]]&lt;29,4,IF(TableAopCalendar[[#This Row],[Day]]&lt;32,5)))))</f>
        <v>2</v>
      </c>
      <c r="G1958" s="32" t="str">
        <f t="shared" si="109"/>
        <v>Week 2</v>
      </c>
      <c r="H1958" s="32" t="str">
        <f t="shared" si="110"/>
        <v>August 27 Week 2</v>
      </c>
      <c r="I1958" s="32" t="str">
        <f>CONCATENATE(UPPER(TableAopCalendar[[#This Row],[Month]])," ",TableAopCalendar[[#This Row],[Year]])</f>
        <v>AUGUST 27</v>
      </c>
      <c r="J1958" s="7" t="s">
        <v>274</v>
      </c>
      <c r="K1958" s="32" t="str">
        <f>CONCATENATE(TableAopCalendar[[#This Row],[Month for Plan]]," ",TableAopCalendar[[#This Row],[Plan]])</f>
        <v>AUGUST 27 PLANNED</v>
      </c>
    </row>
    <row r="1959" spans="1:11" x14ac:dyDescent="0.3">
      <c r="A1959" s="32">
        <f t="shared" si="108"/>
        <v>3</v>
      </c>
      <c r="B1959" s="33">
        <v>46609</v>
      </c>
      <c r="C1959" s="6" t="s">
        <v>268</v>
      </c>
      <c r="D1959" s="34">
        <v>27</v>
      </c>
      <c r="E1959" s="32">
        <f>DAY(TableAopCalendar[[#This Row],[Date]])</f>
        <v>10</v>
      </c>
      <c r="F1959" s="32">
        <f>IF(TableAopCalendar[[#This Row],[Day]]&lt;8,1,IF(TableAopCalendar[[#This Row],[Day]]&lt;15,2,IF(TableAopCalendar[[#This Row],[Day]]&lt;22,3,IF(TableAopCalendar[[#This Row],[Day]]&lt;29,4,IF(TableAopCalendar[[#This Row],[Day]]&lt;32,5)))))</f>
        <v>2</v>
      </c>
      <c r="G1959" s="32" t="str">
        <f t="shared" si="109"/>
        <v>Week 2</v>
      </c>
      <c r="H1959" s="32" t="str">
        <f t="shared" si="110"/>
        <v>August 27 Week 2</v>
      </c>
      <c r="I1959" s="32" t="str">
        <f>CONCATENATE(UPPER(TableAopCalendar[[#This Row],[Month]])," ",TableAopCalendar[[#This Row],[Year]])</f>
        <v>AUGUST 27</v>
      </c>
      <c r="J1959" s="7" t="s">
        <v>274</v>
      </c>
      <c r="K1959" s="32" t="str">
        <f>CONCATENATE(TableAopCalendar[[#This Row],[Month for Plan]]," ",TableAopCalendar[[#This Row],[Plan]])</f>
        <v>AUGUST 27 PLANNED</v>
      </c>
    </row>
    <row r="1960" spans="1:11" x14ac:dyDescent="0.3">
      <c r="A1960" s="32">
        <f t="shared" si="108"/>
        <v>4</v>
      </c>
      <c r="B1960" s="33">
        <v>46610</v>
      </c>
      <c r="C1960" s="6" t="s">
        <v>268</v>
      </c>
      <c r="D1960" s="34">
        <v>27</v>
      </c>
      <c r="E1960" s="32">
        <f>DAY(TableAopCalendar[[#This Row],[Date]])</f>
        <v>11</v>
      </c>
      <c r="F1960" s="32">
        <f>IF(TableAopCalendar[[#This Row],[Day]]&lt;8,1,IF(TableAopCalendar[[#This Row],[Day]]&lt;15,2,IF(TableAopCalendar[[#This Row],[Day]]&lt;22,3,IF(TableAopCalendar[[#This Row],[Day]]&lt;29,4,IF(TableAopCalendar[[#This Row],[Day]]&lt;32,5)))))</f>
        <v>2</v>
      </c>
      <c r="G1960" s="32" t="str">
        <f t="shared" si="109"/>
        <v>Week 2</v>
      </c>
      <c r="H1960" s="32" t="str">
        <f t="shared" si="110"/>
        <v>August 27 Week 2</v>
      </c>
      <c r="I1960" s="32" t="str">
        <f>CONCATENATE(UPPER(TableAopCalendar[[#This Row],[Month]])," ",TableAopCalendar[[#This Row],[Year]])</f>
        <v>AUGUST 27</v>
      </c>
      <c r="J1960" s="7" t="s">
        <v>274</v>
      </c>
      <c r="K1960" s="32" t="str">
        <f>CONCATENATE(TableAopCalendar[[#This Row],[Month for Plan]]," ",TableAopCalendar[[#This Row],[Plan]])</f>
        <v>AUGUST 27 PLANNED</v>
      </c>
    </row>
    <row r="1961" spans="1:11" x14ac:dyDescent="0.3">
      <c r="A1961" s="32">
        <f t="shared" si="108"/>
        <v>5</v>
      </c>
      <c r="B1961" s="33">
        <v>46611</v>
      </c>
      <c r="C1961" s="6" t="s">
        <v>268</v>
      </c>
      <c r="D1961" s="34">
        <v>27</v>
      </c>
      <c r="E1961" s="32">
        <f>DAY(TableAopCalendar[[#This Row],[Date]])</f>
        <v>12</v>
      </c>
      <c r="F1961" s="32">
        <f>IF(TableAopCalendar[[#This Row],[Day]]&lt;8,1,IF(TableAopCalendar[[#This Row],[Day]]&lt;15,2,IF(TableAopCalendar[[#This Row],[Day]]&lt;22,3,IF(TableAopCalendar[[#This Row],[Day]]&lt;29,4,IF(TableAopCalendar[[#This Row],[Day]]&lt;32,5)))))</f>
        <v>2</v>
      </c>
      <c r="G1961" s="32" t="str">
        <f t="shared" si="109"/>
        <v>Week 2</v>
      </c>
      <c r="H1961" s="32" t="str">
        <f t="shared" si="110"/>
        <v>August 27 Week 2</v>
      </c>
      <c r="I1961" s="32" t="str">
        <f>CONCATENATE(UPPER(TableAopCalendar[[#This Row],[Month]])," ",TableAopCalendar[[#This Row],[Year]])</f>
        <v>AUGUST 27</v>
      </c>
      <c r="J1961" s="7" t="s">
        <v>274</v>
      </c>
      <c r="K1961" s="32" t="str">
        <f>CONCATENATE(TableAopCalendar[[#This Row],[Month for Plan]]," ",TableAopCalendar[[#This Row],[Plan]])</f>
        <v>AUGUST 27 PLANNED</v>
      </c>
    </row>
    <row r="1962" spans="1:11" x14ac:dyDescent="0.3">
      <c r="A1962" s="32">
        <f t="shared" si="108"/>
        <v>6</v>
      </c>
      <c r="B1962" s="33">
        <v>46612</v>
      </c>
      <c r="C1962" s="6" t="s">
        <v>268</v>
      </c>
      <c r="D1962" s="34">
        <v>27</v>
      </c>
      <c r="E1962" s="32">
        <f>DAY(TableAopCalendar[[#This Row],[Date]])</f>
        <v>13</v>
      </c>
      <c r="F1962" s="32">
        <f>IF(TableAopCalendar[[#This Row],[Day]]&lt;8,1,IF(TableAopCalendar[[#This Row],[Day]]&lt;15,2,IF(TableAopCalendar[[#This Row],[Day]]&lt;22,3,IF(TableAopCalendar[[#This Row],[Day]]&lt;29,4,IF(TableAopCalendar[[#This Row],[Day]]&lt;32,5)))))</f>
        <v>2</v>
      </c>
      <c r="G1962" s="32" t="str">
        <f t="shared" si="109"/>
        <v>Week 2</v>
      </c>
      <c r="H1962" s="32" t="str">
        <f t="shared" si="110"/>
        <v>August 27 Week 2</v>
      </c>
      <c r="I1962" s="32" t="str">
        <f>CONCATENATE(UPPER(TableAopCalendar[[#This Row],[Month]])," ",TableAopCalendar[[#This Row],[Year]])</f>
        <v>AUGUST 27</v>
      </c>
      <c r="J1962" s="7" t="s">
        <v>274</v>
      </c>
      <c r="K1962" s="32" t="str">
        <f>CONCATENATE(TableAopCalendar[[#This Row],[Month for Plan]]," ",TableAopCalendar[[#This Row],[Plan]])</f>
        <v>AUGUST 27 PLANNED</v>
      </c>
    </row>
    <row r="1963" spans="1:11" x14ac:dyDescent="0.3">
      <c r="A1963" s="32">
        <f t="shared" si="108"/>
        <v>7</v>
      </c>
      <c r="B1963" s="33">
        <v>46613</v>
      </c>
      <c r="C1963" s="6" t="s">
        <v>268</v>
      </c>
      <c r="D1963" s="34">
        <v>27</v>
      </c>
      <c r="E1963" s="32">
        <f>DAY(TableAopCalendar[[#This Row],[Date]])</f>
        <v>14</v>
      </c>
      <c r="F1963" s="32">
        <f>IF(TableAopCalendar[[#This Row],[Day]]&lt;8,1,IF(TableAopCalendar[[#This Row],[Day]]&lt;15,2,IF(TableAopCalendar[[#This Row],[Day]]&lt;22,3,IF(TableAopCalendar[[#This Row],[Day]]&lt;29,4,IF(TableAopCalendar[[#This Row],[Day]]&lt;32,5)))))</f>
        <v>2</v>
      </c>
      <c r="G1963" s="32" t="str">
        <f t="shared" si="109"/>
        <v>Week 2</v>
      </c>
      <c r="H1963" s="32" t="str">
        <f t="shared" si="110"/>
        <v>August 27 Week 2</v>
      </c>
      <c r="I1963" s="32" t="str">
        <f>CONCATENATE(UPPER(TableAopCalendar[[#This Row],[Month]])," ",TableAopCalendar[[#This Row],[Year]])</f>
        <v>AUGUST 27</v>
      </c>
      <c r="J1963" s="7" t="s">
        <v>274</v>
      </c>
      <c r="K1963" s="32" t="str">
        <f>CONCATENATE(TableAopCalendar[[#This Row],[Month for Plan]]," ",TableAopCalendar[[#This Row],[Plan]])</f>
        <v>AUGUST 27 PLANNED</v>
      </c>
    </row>
    <row r="1964" spans="1:11" x14ac:dyDescent="0.3">
      <c r="A1964" s="32">
        <f t="shared" si="108"/>
        <v>1</v>
      </c>
      <c r="B1964" s="33">
        <v>46614</v>
      </c>
      <c r="C1964" s="6" t="s">
        <v>268</v>
      </c>
      <c r="D1964" s="34">
        <v>27</v>
      </c>
      <c r="E1964" s="32">
        <f>DAY(TableAopCalendar[[#This Row],[Date]])</f>
        <v>15</v>
      </c>
      <c r="F1964" s="32">
        <f>IF(TableAopCalendar[[#This Row],[Day]]&lt;8,1,IF(TableAopCalendar[[#This Row],[Day]]&lt;15,2,IF(TableAopCalendar[[#This Row],[Day]]&lt;22,3,IF(TableAopCalendar[[#This Row],[Day]]&lt;29,4,IF(TableAopCalendar[[#This Row],[Day]]&lt;32,5)))))</f>
        <v>3</v>
      </c>
      <c r="G1964" s="32" t="str">
        <f t="shared" si="109"/>
        <v>Week 3</v>
      </c>
      <c r="H1964" s="32" t="str">
        <f t="shared" si="110"/>
        <v>August 27 Week 3</v>
      </c>
      <c r="I1964" s="32" t="str">
        <f>CONCATENATE(UPPER(TableAopCalendar[[#This Row],[Month]])," ",TableAopCalendar[[#This Row],[Year]])</f>
        <v>AUGUST 27</v>
      </c>
      <c r="J1964" s="7" t="s">
        <v>274</v>
      </c>
      <c r="K1964" s="32" t="str">
        <f>CONCATENATE(TableAopCalendar[[#This Row],[Month for Plan]]," ",TableAopCalendar[[#This Row],[Plan]])</f>
        <v>AUGUST 27 PLANNED</v>
      </c>
    </row>
    <row r="1965" spans="1:11" x14ac:dyDescent="0.3">
      <c r="A1965" s="32">
        <f t="shared" si="108"/>
        <v>2</v>
      </c>
      <c r="B1965" s="33">
        <v>46615</v>
      </c>
      <c r="C1965" s="6" t="s">
        <v>268</v>
      </c>
      <c r="D1965" s="34">
        <v>27</v>
      </c>
      <c r="E1965" s="32">
        <f>DAY(TableAopCalendar[[#This Row],[Date]])</f>
        <v>16</v>
      </c>
      <c r="F1965" s="32">
        <f>IF(TableAopCalendar[[#This Row],[Day]]&lt;8,1,IF(TableAopCalendar[[#This Row],[Day]]&lt;15,2,IF(TableAopCalendar[[#This Row],[Day]]&lt;22,3,IF(TableAopCalendar[[#This Row],[Day]]&lt;29,4,IF(TableAopCalendar[[#This Row],[Day]]&lt;32,5)))))</f>
        <v>3</v>
      </c>
      <c r="G1965" s="32" t="str">
        <f t="shared" si="109"/>
        <v>Week 3</v>
      </c>
      <c r="H1965" s="32" t="str">
        <f t="shared" si="110"/>
        <v>August 27 Week 3</v>
      </c>
      <c r="I1965" s="32" t="str">
        <f>CONCATENATE(UPPER(TableAopCalendar[[#This Row],[Month]])," ",TableAopCalendar[[#This Row],[Year]])</f>
        <v>AUGUST 27</v>
      </c>
      <c r="J1965" s="7" t="s">
        <v>274</v>
      </c>
      <c r="K1965" s="32" t="str">
        <f>CONCATENATE(TableAopCalendar[[#This Row],[Month for Plan]]," ",TableAopCalendar[[#This Row],[Plan]])</f>
        <v>AUGUST 27 PLANNED</v>
      </c>
    </row>
    <row r="1966" spans="1:11" x14ac:dyDescent="0.3">
      <c r="A1966" s="32">
        <f t="shared" si="108"/>
        <v>3</v>
      </c>
      <c r="B1966" s="33">
        <v>46616</v>
      </c>
      <c r="C1966" s="6" t="s">
        <v>268</v>
      </c>
      <c r="D1966" s="34">
        <v>27</v>
      </c>
      <c r="E1966" s="32">
        <f>DAY(TableAopCalendar[[#This Row],[Date]])</f>
        <v>17</v>
      </c>
      <c r="F1966" s="32">
        <f>IF(TableAopCalendar[[#This Row],[Day]]&lt;8,1,IF(TableAopCalendar[[#This Row],[Day]]&lt;15,2,IF(TableAopCalendar[[#This Row],[Day]]&lt;22,3,IF(TableAopCalendar[[#This Row],[Day]]&lt;29,4,IF(TableAopCalendar[[#This Row],[Day]]&lt;32,5)))))</f>
        <v>3</v>
      </c>
      <c r="G1966" s="32" t="str">
        <f t="shared" si="109"/>
        <v>Week 3</v>
      </c>
      <c r="H1966" s="32" t="str">
        <f t="shared" si="110"/>
        <v>August 27 Week 3</v>
      </c>
      <c r="I1966" s="32" t="str">
        <f>CONCATENATE(UPPER(TableAopCalendar[[#This Row],[Month]])," ",TableAopCalendar[[#This Row],[Year]])</f>
        <v>AUGUST 27</v>
      </c>
      <c r="J1966" s="7" t="s">
        <v>274</v>
      </c>
      <c r="K1966" s="32" t="str">
        <f>CONCATENATE(TableAopCalendar[[#This Row],[Month for Plan]]," ",TableAopCalendar[[#This Row],[Plan]])</f>
        <v>AUGUST 27 PLANNED</v>
      </c>
    </row>
    <row r="1967" spans="1:11" x14ac:dyDescent="0.3">
      <c r="A1967" s="32">
        <f t="shared" si="108"/>
        <v>4</v>
      </c>
      <c r="B1967" s="33">
        <v>46617</v>
      </c>
      <c r="C1967" s="6" t="s">
        <v>268</v>
      </c>
      <c r="D1967" s="34">
        <v>27</v>
      </c>
      <c r="E1967" s="32">
        <f>DAY(TableAopCalendar[[#This Row],[Date]])</f>
        <v>18</v>
      </c>
      <c r="F1967" s="32">
        <f>IF(TableAopCalendar[[#This Row],[Day]]&lt;8,1,IF(TableAopCalendar[[#This Row],[Day]]&lt;15,2,IF(TableAopCalendar[[#This Row],[Day]]&lt;22,3,IF(TableAopCalendar[[#This Row],[Day]]&lt;29,4,IF(TableAopCalendar[[#This Row],[Day]]&lt;32,5)))))</f>
        <v>3</v>
      </c>
      <c r="G1967" s="32" t="str">
        <f t="shared" si="109"/>
        <v>Week 3</v>
      </c>
      <c r="H1967" s="32" t="str">
        <f t="shared" si="110"/>
        <v>August 27 Week 3</v>
      </c>
      <c r="I1967" s="32" t="str">
        <f>CONCATENATE(UPPER(TableAopCalendar[[#This Row],[Month]])," ",TableAopCalendar[[#This Row],[Year]])</f>
        <v>AUGUST 27</v>
      </c>
      <c r="J1967" s="7" t="s">
        <v>274</v>
      </c>
      <c r="K1967" s="32" t="str">
        <f>CONCATENATE(TableAopCalendar[[#This Row],[Month for Plan]]," ",TableAopCalendar[[#This Row],[Plan]])</f>
        <v>AUGUST 27 PLANNED</v>
      </c>
    </row>
    <row r="1968" spans="1:11" x14ac:dyDescent="0.3">
      <c r="A1968" s="32">
        <f t="shared" si="108"/>
        <v>5</v>
      </c>
      <c r="B1968" s="33">
        <v>46618</v>
      </c>
      <c r="C1968" s="6" t="s">
        <v>268</v>
      </c>
      <c r="D1968" s="34">
        <v>27</v>
      </c>
      <c r="E1968" s="32">
        <f>DAY(TableAopCalendar[[#This Row],[Date]])</f>
        <v>19</v>
      </c>
      <c r="F1968" s="32">
        <f>IF(TableAopCalendar[[#This Row],[Day]]&lt;8,1,IF(TableAopCalendar[[#This Row],[Day]]&lt;15,2,IF(TableAopCalendar[[#This Row],[Day]]&lt;22,3,IF(TableAopCalendar[[#This Row],[Day]]&lt;29,4,IF(TableAopCalendar[[#This Row],[Day]]&lt;32,5)))))</f>
        <v>3</v>
      </c>
      <c r="G1968" s="32" t="str">
        <f t="shared" si="109"/>
        <v>Week 3</v>
      </c>
      <c r="H1968" s="32" t="str">
        <f t="shared" si="110"/>
        <v>August 27 Week 3</v>
      </c>
      <c r="I1968" s="32" t="str">
        <f>CONCATENATE(UPPER(TableAopCalendar[[#This Row],[Month]])," ",TableAopCalendar[[#This Row],[Year]])</f>
        <v>AUGUST 27</v>
      </c>
      <c r="J1968" s="7" t="s">
        <v>274</v>
      </c>
      <c r="K1968" s="32" t="str">
        <f>CONCATENATE(TableAopCalendar[[#This Row],[Month for Plan]]," ",TableAopCalendar[[#This Row],[Plan]])</f>
        <v>AUGUST 27 PLANNED</v>
      </c>
    </row>
    <row r="1969" spans="1:11" x14ac:dyDescent="0.3">
      <c r="A1969" s="32">
        <f t="shared" si="108"/>
        <v>6</v>
      </c>
      <c r="B1969" s="33">
        <v>46619</v>
      </c>
      <c r="C1969" s="6" t="s">
        <v>268</v>
      </c>
      <c r="D1969" s="34">
        <v>27</v>
      </c>
      <c r="E1969" s="32">
        <f>DAY(TableAopCalendar[[#This Row],[Date]])</f>
        <v>20</v>
      </c>
      <c r="F1969" s="32">
        <f>IF(TableAopCalendar[[#This Row],[Day]]&lt;8,1,IF(TableAopCalendar[[#This Row],[Day]]&lt;15,2,IF(TableAopCalendar[[#This Row],[Day]]&lt;22,3,IF(TableAopCalendar[[#This Row],[Day]]&lt;29,4,IF(TableAopCalendar[[#This Row],[Day]]&lt;32,5)))))</f>
        <v>3</v>
      </c>
      <c r="G1969" s="32" t="str">
        <f t="shared" si="109"/>
        <v>Week 3</v>
      </c>
      <c r="H1969" s="32" t="str">
        <f t="shared" si="110"/>
        <v>August 27 Week 3</v>
      </c>
      <c r="I1969" s="32" t="str">
        <f>CONCATENATE(UPPER(TableAopCalendar[[#This Row],[Month]])," ",TableAopCalendar[[#This Row],[Year]])</f>
        <v>AUGUST 27</v>
      </c>
      <c r="J1969" s="7" t="s">
        <v>274</v>
      </c>
      <c r="K1969" s="32" t="str">
        <f>CONCATENATE(TableAopCalendar[[#This Row],[Month for Plan]]," ",TableAopCalendar[[#This Row],[Plan]])</f>
        <v>AUGUST 27 PLANNED</v>
      </c>
    </row>
    <row r="1970" spans="1:11" x14ac:dyDescent="0.3">
      <c r="A1970" s="32">
        <f t="shared" si="108"/>
        <v>7</v>
      </c>
      <c r="B1970" s="33">
        <v>46620</v>
      </c>
      <c r="C1970" s="6" t="s">
        <v>268</v>
      </c>
      <c r="D1970" s="34">
        <v>27</v>
      </c>
      <c r="E1970" s="32">
        <f>DAY(TableAopCalendar[[#This Row],[Date]])</f>
        <v>21</v>
      </c>
      <c r="F1970" s="32">
        <f>IF(TableAopCalendar[[#This Row],[Day]]&lt;8,1,IF(TableAopCalendar[[#This Row],[Day]]&lt;15,2,IF(TableAopCalendar[[#This Row],[Day]]&lt;22,3,IF(TableAopCalendar[[#This Row],[Day]]&lt;29,4,IF(TableAopCalendar[[#This Row],[Day]]&lt;32,5)))))</f>
        <v>3</v>
      </c>
      <c r="G1970" s="32" t="str">
        <f t="shared" si="109"/>
        <v>Week 3</v>
      </c>
      <c r="H1970" s="32" t="str">
        <f t="shared" si="110"/>
        <v>August 27 Week 3</v>
      </c>
      <c r="I1970" s="32" t="str">
        <f>CONCATENATE(UPPER(TableAopCalendar[[#This Row],[Month]])," ",TableAopCalendar[[#This Row],[Year]])</f>
        <v>AUGUST 27</v>
      </c>
      <c r="J1970" s="7" t="s">
        <v>274</v>
      </c>
      <c r="K1970" s="32" t="str">
        <f>CONCATENATE(TableAopCalendar[[#This Row],[Month for Plan]]," ",TableAopCalendar[[#This Row],[Plan]])</f>
        <v>AUGUST 27 PLANNED</v>
      </c>
    </row>
    <row r="1971" spans="1:11" x14ac:dyDescent="0.3">
      <c r="A1971" s="32">
        <f t="shared" si="108"/>
        <v>1</v>
      </c>
      <c r="B1971" s="33">
        <v>46621</v>
      </c>
      <c r="C1971" s="6" t="s">
        <v>268</v>
      </c>
      <c r="D1971" s="34">
        <v>27</v>
      </c>
      <c r="E1971" s="32">
        <f>DAY(TableAopCalendar[[#This Row],[Date]])</f>
        <v>22</v>
      </c>
      <c r="F1971" s="32">
        <f>IF(TableAopCalendar[[#This Row],[Day]]&lt;8,1,IF(TableAopCalendar[[#This Row],[Day]]&lt;15,2,IF(TableAopCalendar[[#This Row],[Day]]&lt;22,3,IF(TableAopCalendar[[#This Row],[Day]]&lt;29,4,IF(TableAopCalendar[[#This Row],[Day]]&lt;32,5)))))</f>
        <v>4</v>
      </c>
      <c r="G1971" s="32" t="str">
        <f t="shared" si="109"/>
        <v>Week 4</v>
      </c>
      <c r="H1971" s="32" t="str">
        <f t="shared" si="110"/>
        <v>August 27 Week 4</v>
      </c>
      <c r="I1971" s="32" t="str">
        <f>CONCATENATE(UPPER(TableAopCalendar[[#This Row],[Month]])," ",TableAopCalendar[[#This Row],[Year]])</f>
        <v>AUGUST 27</v>
      </c>
      <c r="J1971" s="7" t="s">
        <v>274</v>
      </c>
      <c r="K1971" s="32" t="str">
        <f>CONCATENATE(TableAopCalendar[[#This Row],[Month for Plan]]," ",TableAopCalendar[[#This Row],[Plan]])</f>
        <v>AUGUST 27 PLANNED</v>
      </c>
    </row>
    <row r="1972" spans="1:11" x14ac:dyDescent="0.3">
      <c r="A1972" s="32">
        <f t="shared" si="108"/>
        <v>2</v>
      </c>
      <c r="B1972" s="33">
        <v>46622</v>
      </c>
      <c r="C1972" s="6" t="s">
        <v>268</v>
      </c>
      <c r="D1972" s="34">
        <v>27</v>
      </c>
      <c r="E1972" s="32">
        <f>DAY(TableAopCalendar[[#This Row],[Date]])</f>
        <v>23</v>
      </c>
      <c r="F1972" s="32">
        <f>IF(TableAopCalendar[[#This Row],[Day]]&lt;8,1,IF(TableAopCalendar[[#This Row],[Day]]&lt;15,2,IF(TableAopCalendar[[#This Row],[Day]]&lt;22,3,IF(TableAopCalendar[[#This Row],[Day]]&lt;29,4,IF(TableAopCalendar[[#This Row],[Day]]&lt;32,5)))))</f>
        <v>4</v>
      </c>
      <c r="G1972" s="32" t="str">
        <f t="shared" si="109"/>
        <v>Week 4</v>
      </c>
      <c r="H1972" s="32" t="str">
        <f t="shared" si="110"/>
        <v>August 27 Week 4</v>
      </c>
      <c r="I1972" s="32" t="str">
        <f>CONCATENATE(UPPER(TableAopCalendar[[#This Row],[Month]])," ",TableAopCalendar[[#This Row],[Year]])</f>
        <v>AUGUST 27</v>
      </c>
      <c r="J1972" s="7" t="s">
        <v>274</v>
      </c>
      <c r="K1972" s="32" t="str">
        <f>CONCATENATE(TableAopCalendar[[#This Row],[Month for Plan]]," ",TableAopCalendar[[#This Row],[Plan]])</f>
        <v>AUGUST 27 PLANNED</v>
      </c>
    </row>
    <row r="1973" spans="1:11" x14ac:dyDescent="0.3">
      <c r="A1973" s="32">
        <f t="shared" si="108"/>
        <v>3</v>
      </c>
      <c r="B1973" s="33">
        <v>46623</v>
      </c>
      <c r="C1973" s="6" t="s">
        <v>268</v>
      </c>
      <c r="D1973" s="34">
        <v>27</v>
      </c>
      <c r="E1973" s="32">
        <f>DAY(TableAopCalendar[[#This Row],[Date]])</f>
        <v>24</v>
      </c>
      <c r="F1973" s="32">
        <f>IF(TableAopCalendar[[#This Row],[Day]]&lt;8,1,IF(TableAopCalendar[[#This Row],[Day]]&lt;15,2,IF(TableAopCalendar[[#This Row],[Day]]&lt;22,3,IF(TableAopCalendar[[#This Row],[Day]]&lt;29,4,IF(TableAopCalendar[[#This Row],[Day]]&lt;32,5)))))</f>
        <v>4</v>
      </c>
      <c r="G1973" s="32" t="str">
        <f t="shared" si="109"/>
        <v>Week 4</v>
      </c>
      <c r="H1973" s="32" t="str">
        <f t="shared" si="110"/>
        <v>August 27 Week 4</v>
      </c>
      <c r="I1973" s="32" t="str">
        <f>CONCATENATE(UPPER(TableAopCalendar[[#This Row],[Month]])," ",TableAopCalendar[[#This Row],[Year]])</f>
        <v>AUGUST 27</v>
      </c>
      <c r="J1973" s="7" t="s">
        <v>274</v>
      </c>
      <c r="K1973" s="32" t="str">
        <f>CONCATENATE(TableAopCalendar[[#This Row],[Month for Plan]]," ",TableAopCalendar[[#This Row],[Plan]])</f>
        <v>AUGUST 27 PLANNED</v>
      </c>
    </row>
    <row r="1974" spans="1:11" x14ac:dyDescent="0.3">
      <c r="A1974" s="32">
        <f t="shared" si="108"/>
        <v>4</v>
      </c>
      <c r="B1974" s="33">
        <v>46624</v>
      </c>
      <c r="C1974" s="6" t="s">
        <v>268</v>
      </c>
      <c r="D1974" s="34">
        <v>27</v>
      </c>
      <c r="E1974" s="32">
        <f>DAY(TableAopCalendar[[#This Row],[Date]])</f>
        <v>25</v>
      </c>
      <c r="F1974" s="32">
        <f>IF(TableAopCalendar[[#This Row],[Day]]&lt;8,1,IF(TableAopCalendar[[#This Row],[Day]]&lt;15,2,IF(TableAopCalendar[[#This Row],[Day]]&lt;22,3,IF(TableAopCalendar[[#This Row],[Day]]&lt;29,4,IF(TableAopCalendar[[#This Row],[Day]]&lt;32,5)))))</f>
        <v>4</v>
      </c>
      <c r="G1974" s="32" t="str">
        <f t="shared" si="109"/>
        <v>Week 4</v>
      </c>
      <c r="H1974" s="32" t="str">
        <f t="shared" si="110"/>
        <v>August 27 Week 4</v>
      </c>
      <c r="I1974" s="32" t="str">
        <f>CONCATENATE(UPPER(TableAopCalendar[[#This Row],[Month]])," ",TableAopCalendar[[#This Row],[Year]])</f>
        <v>AUGUST 27</v>
      </c>
      <c r="J1974" s="7" t="s">
        <v>274</v>
      </c>
      <c r="K1974" s="32" t="str">
        <f>CONCATENATE(TableAopCalendar[[#This Row],[Month for Plan]]," ",TableAopCalendar[[#This Row],[Plan]])</f>
        <v>AUGUST 27 PLANNED</v>
      </c>
    </row>
    <row r="1975" spans="1:11" x14ac:dyDescent="0.3">
      <c r="A1975" s="32">
        <f t="shared" si="108"/>
        <v>5</v>
      </c>
      <c r="B1975" s="33">
        <v>46625</v>
      </c>
      <c r="C1975" s="6" t="s">
        <v>268</v>
      </c>
      <c r="D1975" s="34">
        <v>27</v>
      </c>
      <c r="E1975" s="32">
        <f>DAY(TableAopCalendar[[#This Row],[Date]])</f>
        <v>26</v>
      </c>
      <c r="F1975" s="32">
        <f>IF(TableAopCalendar[[#This Row],[Day]]&lt;8,1,IF(TableAopCalendar[[#This Row],[Day]]&lt;15,2,IF(TableAopCalendar[[#This Row],[Day]]&lt;22,3,IF(TableAopCalendar[[#This Row],[Day]]&lt;29,4,IF(TableAopCalendar[[#This Row],[Day]]&lt;32,5)))))</f>
        <v>4</v>
      </c>
      <c r="G1975" s="32" t="str">
        <f t="shared" si="109"/>
        <v>Week 4</v>
      </c>
      <c r="H1975" s="32" t="str">
        <f t="shared" si="110"/>
        <v>August 27 Week 4</v>
      </c>
      <c r="I1975" s="32" t="str">
        <f>CONCATENATE(UPPER(TableAopCalendar[[#This Row],[Month]])," ",TableAopCalendar[[#This Row],[Year]])</f>
        <v>AUGUST 27</v>
      </c>
      <c r="J1975" s="7" t="s">
        <v>274</v>
      </c>
      <c r="K1975" s="32" t="str">
        <f>CONCATENATE(TableAopCalendar[[#This Row],[Month for Plan]]," ",TableAopCalendar[[#This Row],[Plan]])</f>
        <v>AUGUST 27 PLANNED</v>
      </c>
    </row>
    <row r="1976" spans="1:11" x14ac:dyDescent="0.3">
      <c r="A1976" s="32">
        <f t="shared" si="108"/>
        <v>6</v>
      </c>
      <c r="B1976" s="33">
        <v>46626</v>
      </c>
      <c r="C1976" s="6" t="s">
        <v>268</v>
      </c>
      <c r="D1976" s="34">
        <v>27</v>
      </c>
      <c r="E1976" s="32">
        <f>DAY(TableAopCalendar[[#This Row],[Date]])</f>
        <v>27</v>
      </c>
      <c r="F1976" s="32">
        <f>IF(TableAopCalendar[[#This Row],[Day]]&lt;8,1,IF(TableAopCalendar[[#This Row],[Day]]&lt;15,2,IF(TableAopCalendar[[#This Row],[Day]]&lt;22,3,IF(TableAopCalendar[[#This Row],[Day]]&lt;29,4,IF(TableAopCalendar[[#This Row],[Day]]&lt;32,5)))))</f>
        <v>4</v>
      </c>
      <c r="G1976" s="32" t="str">
        <f t="shared" si="109"/>
        <v>Week 4</v>
      </c>
      <c r="H1976" s="32" t="str">
        <f t="shared" si="110"/>
        <v>August 27 Week 4</v>
      </c>
      <c r="I1976" s="32" t="str">
        <f>CONCATENATE(UPPER(TableAopCalendar[[#This Row],[Month]])," ",TableAopCalendar[[#This Row],[Year]])</f>
        <v>AUGUST 27</v>
      </c>
      <c r="J1976" s="7" t="s">
        <v>274</v>
      </c>
      <c r="K1976" s="32" t="str">
        <f>CONCATENATE(TableAopCalendar[[#This Row],[Month for Plan]]," ",TableAopCalendar[[#This Row],[Plan]])</f>
        <v>AUGUST 27 PLANNED</v>
      </c>
    </row>
    <row r="1977" spans="1:11" x14ac:dyDescent="0.3">
      <c r="A1977" s="32">
        <f t="shared" si="108"/>
        <v>7</v>
      </c>
      <c r="B1977" s="33">
        <v>46627</v>
      </c>
      <c r="C1977" s="6" t="s">
        <v>268</v>
      </c>
      <c r="D1977" s="34">
        <v>27</v>
      </c>
      <c r="E1977" s="32">
        <f>DAY(TableAopCalendar[[#This Row],[Date]])</f>
        <v>28</v>
      </c>
      <c r="F1977" s="32">
        <f>IF(TableAopCalendar[[#This Row],[Day]]&lt;8,1,IF(TableAopCalendar[[#This Row],[Day]]&lt;15,2,IF(TableAopCalendar[[#This Row],[Day]]&lt;22,3,IF(TableAopCalendar[[#This Row],[Day]]&lt;29,4,IF(TableAopCalendar[[#This Row],[Day]]&lt;32,5)))))</f>
        <v>4</v>
      </c>
      <c r="G1977" s="32" t="str">
        <f t="shared" si="109"/>
        <v>Week 4</v>
      </c>
      <c r="H1977" s="32" t="str">
        <f t="shared" si="110"/>
        <v>August 27 Week 4</v>
      </c>
      <c r="I1977" s="32" t="str">
        <f>CONCATENATE(UPPER(TableAopCalendar[[#This Row],[Month]])," ",TableAopCalendar[[#This Row],[Year]])</f>
        <v>AUGUST 27</v>
      </c>
      <c r="J1977" s="7" t="s">
        <v>274</v>
      </c>
      <c r="K1977" s="32" t="str">
        <f>CONCATENATE(TableAopCalendar[[#This Row],[Month for Plan]]," ",TableAopCalendar[[#This Row],[Plan]])</f>
        <v>AUGUST 27 PLANNED</v>
      </c>
    </row>
    <row r="1978" spans="1:11" x14ac:dyDescent="0.3">
      <c r="A1978" s="32">
        <f t="shared" si="108"/>
        <v>1</v>
      </c>
      <c r="B1978" s="33">
        <v>46628</v>
      </c>
      <c r="C1978" s="6" t="s">
        <v>268</v>
      </c>
      <c r="D1978" s="34">
        <v>27</v>
      </c>
      <c r="E1978" s="32">
        <f>DAY(TableAopCalendar[[#This Row],[Date]])</f>
        <v>29</v>
      </c>
      <c r="F1978" s="32">
        <f>IF(TableAopCalendar[[#This Row],[Day]]&lt;8,1,IF(TableAopCalendar[[#This Row],[Day]]&lt;15,2,IF(TableAopCalendar[[#This Row],[Day]]&lt;22,3,IF(TableAopCalendar[[#This Row],[Day]]&lt;29,4,IF(TableAopCalendar[[#This Row],[Day]]&lt;32,5)))))</f>
        <v>5</v>
      </c>
      <c r="G1978" s="32" t="str">
        <f t="shared" si="109"/>
        <v>Week 5</v>
      </c>
      <c r="H1978" s="32" t="str">
        <f t="shared" si="110"/>
        <v>August 27 Week 5</v>
      </c>
      <c r="I1978" s="32" t="str">
        <f>CONCATENATE(UPPER(TableAopCalendar[[#This Row],[Month]])," ",TableAopCalendar[[#This Row],[Year]])</f>
        <v>AUGUST 27</v>
      </c>
      <c r="J1978" s="7" t="s">
        <v>274</v>
      </c>
      <c r="K1978" s="32" t="str">
        <f>CONCATENATE(TableAopCalendar[[#This Row],[Month for Plan]]," ",TableAopCalendar[[#This Row],[Plan]])</f>
        <v>AUGUST 27 PLANNED</v>
      </c>
    </row>
    <row r="1979" spans="1:11" x14ac:dyDescent="0.3">
      <c r="A1979" s="32">
        <f t="shared" si="108"/>
        <v>2</v>
      </c>
      <c r="B1979" s="33">
        <v>46629</v>
      </c>
      <c r="C1979" s="6" t="s">
        <v>268</v>
      </c>
      <c r="D1979" s="34">
        <v>27</v>
      </c>
      <c r="E1979" s="32">
        <f>DAY(TableAopCalendar[[#This Row],[Date]])</f>
        <v>30</v>
      </c>
      <c r="F1979" s="32">
        <f>IF(TableAopCalendar[[#This Row],[Day]]&lt;8,1,IF(TableAopCalendar[[#This Row],[Day]]&lt;15,2,IF(TableAopCalendar[[#This Row],[Day]]&lt;22,3,IF(TableAopCalendar[[#This Row],[Day]]&lt;29,4,IF(TableAopCalendar[[#This Row],[Day]]&lt;32,5)))))</f>
        <v>5</v>
      </c>
      <c r="G1979" s="32" t="str">
        <f t="shared" si="109"/>
        <v>Week 5</v>
      </c>
      <c r="H1979" s="32" t="str">
        <f t="shared" si="110"/>
        <v>August 27 Week 5</v>
      </c>
      <c r="I1979" s="32" t="str">
        <f>CONCATENATE(UPPER(TableAopCalendar[[#This Row],[Month]])," ",TableAopCalendar[[#This Row],[Year]])</f>
        <v>AUGUST 27</v>
      </c>
      <c r="J1979" s="7" t="s">
        <v>274</v>
      </c>
      <c r="K1979" s="32" t="str">
        <f>CONCATENATE(TableAopCalendar[[#This Row],[Month for Plan]]," ",TableAopCalendar[[#This Row],[Plan]])</f>
        <v>AUGUST 27 PLANNED</v>
      </c>
    </row>
    <row r="1980" spans="1:11" x14ac:dyDescent="0.3">
      <c r="A1980" s="32">
        <f t="shared" si="108"/>
        <v>3</v>
      </c>
      <c r="B1980" s="33">
        <v>46630</v>
      </c>
      <c r="C1980" s="6" t="s">
        <v>268</v>
      </c>
      <c r="D1980" s="34">
        <v>27</v>
      </c>
      <c r="E1980" s="32">
        <f>DAY(TableAopCalendar[[#This Row],[Date]])</f>
        <v>31</v>
      </c>
      <c r="F1980" s="32">
        <f>IF(TableAopCalendar[[#This Row],[Day]]&lt;8,1,IF(TableAopCalendar[[#This Row],[Day]]&lt;15,2,IF(TableAopCalendar[[#This Row],[Day]]&lt;22,3,IF(TableAopCalendar[[#This Row],[Day]]&lt;29,4,IF(TableAopCalendar[[#This Row],[Day]]&lt;32,5)))))</f>
        <v>5</v>
      </c>
      <c r="G1980" s="32" t="str">
        <f t="shared" si="109"/>
        <v>Week 5</v>
      </c>
      <c r="H1980" s="32" t="str">
        <f t="shared" si="110"/>
        <v>August 27 Week 5</v>
      </c>
      <c r="I1980" s="32" t="str">
        <f>CONCATENATE(UPPER(TableAopCalendar[[#This Row],[Month]])," ",TableAopCalendar[[#This Row],[Year]])</f>
        <v>AUGUST 27</v>
      </c>
      <c r="J1980" s="7" t="s">
        <v>274</v>
      </c>
      <c r="K1980" s="32" t="str">
        <f>CONCATENATE(TableAopCalendar[[#This Row],[Month for Plan]]," ",TableAopCalendar[[#This Row],[Plan]])</f>
        <v>AUGUST 27 PLANNED</v>
      </c>
    </row>
    <row r="1981" spans="1:11" x14ac:dyDescent="0.3">
      <c r="A1981" s="32">
        <f t="shared" si="108"/>
        <v>1</v>
      </c>
      <c r="B1981" s="33">
        <v>46631</v>
      </c>
      <c r="C1981" s="6" t="s">
        <v>269</v>
      </c>
      <c r="D1981" s="34">
        <v>27</v>
      </c>
      <c r="E1981" s="32">
        <f>DAY(TableAopCalendar[[#This Row],[Date]])</f>
        <v>1</v>
      </c>
      <c r="F1981" s="32">
        <f>IF(TableAopCalendar[[#This Row],[Day]]&lt;8,1,IF(TableAopCalendar[[#This Row],[Day]]&lt;15,2,IF(TableAopCalendar[[#This Row],[Day]]&lt;22,3,IF(TableAopCalendar[[#This Row],[Day]]&lt;29,4,IF(TableAopCalendar[[#This Row],[Day]]&lt;32,5)))))</f>
        <v>1</v>
      </c>
      <c r="G1981" s="32" t="str">
        <f t="shared" si="109"/>
        <v>Week 1</v>
      </c>
      <c r="H1981" s="32" t="str">
        <f t="shared" si="110"/>
        <v>September 27 Week 1</v>
      </c>
      <c r="I1981" s="32" t="str">
        <f>CONCATENATE(UPPER(TableAopCalendar[[#This Row],[Month]])," ",TableAopCalendar[[#This Row],[Year]])</f>
        <v>SEPTEMBER 27</v>
      </c>
      <c r="J1981" s="7" t="s">
        <v>274</v>
      </c>
      <c r="K1981" s="32" t="str">
        <f>CONCATENATE(TableAopCalendar[[#This Row],[Month for Plan]]," ",TableAopCalendar[[#This Row],[Plan]])</f>
        <v>SEPTEMBER 27 PLANNED</v>
      </c>
    </row>
    <row r="1982" spans="1:11" x14ac:dyDescent="0.3">
      <c r="A1982" s="32">
        <f t="shared" si="108"/>
        <v>2</v>
      </c>
      <c r="B1982" s="33">
        <v>46632</v>
      </c>
      <c r="C1982" s="6" t="s">
        <v>269</v>
      </c>
      <c r="D1982" s="34">
        <v>27</v>
      </c>
      <c r="E1982" s="32">
        <f>DAY(TableAopCalendar[[#This Row],[Date]])</f>
        <v>2</v>
      </c>
      <c r="F1982" s="32">
        <f>IF(TableAopCalendar[[#This Row],[Day]]&lt;8,1,IF(TableAopCalendar[[#This Row],[Day]]&lt;15,2,IF(TableAopCalendar[[#This Row],[Day]]&lt;22,3,IF(TableAopCalendar[[#This Row],[Day]]&lt;29,4,IF(TableAopCalendar[[#This Row],[Day]]&lt;32,5)))))</f>
        <v>1</v>
      </c>
      <c r="G1982" s="32" t="str">
        <f t="shared" si="109"/>
        <v>Week 1</v>
      </c>
      <c r="H1982" s="32" t="str">
        <f t="shared" si="110"/>
        <v>September 27 Week 1</v>
      </c>
      <c r="I1982" s="32" t="str">
        <f>CONCATENATE(UPPER(TableAopCalendar[[#This Row],[Month]])," ",TableAopCalendar[[#This Row],[Year]])</f>
        <v>SEPTEMBER 27</v>
      </c>
      <c r="J1982" s="7" t="s">
        <v>274</v>
      </c>
      <c r="K1982" s="32" t="str">
        <f>CONCATENATE(TableAopCalendar[[#This Row],[Month for Plan]]," ",TableAopCalendar[[#This Row],[Plan]])</f>
        <v>SEPTEMBER 27 PLANNED</v>
      </c>
    </row>
    <row r="1983" spans="1:11" x14ac:dyDescent="0.3">
      <c r="A1983" s="32">
        <f t="shared" si="108"/>
        <v>3</v>
      </c>
      <c r="B1983" s="33">
        <v>46633</v>
      </c>
      <c r="C1983" s="6" t="s">
        <v>269</v>
      </c>
      <c r="D1983" s="34">
        <v>27</v>
      </c>
      <c r="E1983" s="32">
        <f>DAY(TableAopCalendar[[#This Row],[Date]])</f>
        <v>3</v>
      </c>
      <c r="F1983" s="32">
        <f>IF(TableAopCalendar[[#This Row],[Day]]&lt;8,1,IF(TableAopCalendar[[#This Row],[Day]]&lt;15,2,IF(TableAopCalendar[[#This Row],[Day]]&lt;22,3,IF(TableAopCalendar[[#This Row],[Day]]&lt;29,4,IF(TableAopCalendar[[#This Row],[Day]]&lt;32,5)))))</f>
        <v>1</v>
      </c>
      <c r="G1983" s="32" t="str">
        <f t="shared" si="109"/>
        <v>Week 1</v>
      </c>
      <c r="H1983" s="32" t="str">
        <f t="shared" si="110"/>
        <v>September 27 Week 1</v>
      </c>
      <c r="I1983" s="32" t="str">
        <f>CONCATENATE(UPPER(TableAopCalendar[[#This Row],[Month]])," ",TableAopCalendar[[#This Row],[Year]])</f>
        <v>SEPTEMBER 27</v>
      </c>
      <c r="J1983" s="7" t="s">
        <v>274</v>
      </c>
      <c r="K1983" s="32" t="str">
        <f>CONCATENATE(TableAopCalendar[[#This Row],[Month for Plan]]," ",TableAopCalendar[[#This Row],[Plan]])</f>
        <v>SEPTEMBER 27 PLANNED</v>
      </c>
    </row>
    <row r="1984" spans="1:11" x14ac:dyDescent="0.3">
      <c r="A1984" s="32">
        <f t="shared" si="108"/>
        <v>4</v>
      </c>
      <c r="B1984" s="33">
        <v>46634</v>
      </c>
      <c r="C1984" s="6" t="s">
        <v>269</v>
      </c>
      <c r="D1984" s="34">
        <v>27</v>
      </c>
      <c r="E1984" s="32">
        <f>DAY(TableAopCalendar[[#This Row],[Date]])</f>
        <v>4</v>
      </c>
      <c r="F1984" s="32">
        <f>IF(TableAopCalendar[[#This Row],[Day]]&lt;8,1,IF(TableAopCalendar[[#This Row],[Day]]&lt;15,2,IF(TableAopCalendar[[#This Row],[Day]]&lt;22,3,IF(TableAopCalendar[[#This Row],[Day]]&lt;29,4,IF(TableAopCalendar[[#This Row],[Day]]&lt;32,5)))))</f>
        <v>1</v>
      </c>
      <c r="G1984" s="32" t="str">
        <f t="shared" si="109"/>
        <v>Week 1</v>
      </c>
      <c r="H1984" s="32" t="str">
        <f t="shared" si="110"/>
        <v>September 27 Week 1</v>
      </c>
      <c r="I1984" s="32" t="str">
        <f>CONCATENATE(UPPER(TableAopCalendar[[#This Row],[Month]])," ",TableAopCalendar[[#This Row],[Year]])</f>
        <v>SEPTEMBER 27</v>
      </c>
      <c r="J1984" s="7" t="s">
        <v>274</v>
      </c>
      <c r="K1984" s="32" t="str">
        <f>CONCATENATE(TableAopCalendar[[#This Row],[Month for Plan]]," ",TableAopCalendar[[#This Row],[Plan]])</f>
        <v>SEPTEMBER 27 PLANNED</v>
      </c>
    </row>
    <row r="1985" spans="1:11" x14ac:dyDescent="0.3">
      <c r="A1985" s="32">
        <f t="shared" si="108"/>
        <v>5</v>
      </c>
      <c r="B1985" s="33">
        <v>46635</v>
      </c>
      <c r="C1985" s="6" t="s">
        <v>269</v>
      </c>
      <c r="D1985" s="34">
        <v>27</v>
      </c>
      <c r="E1985" s="32">
        <f>DAY(TableAopCalendar[[#This Row],[Date]])</f>
        <v>5</v>
      </c>
      <c r="F1985" s="32">
        <f>IF(TableAopCalendar[[#This Row],[Day]]&lt;8,1,IF(TableAopCalendar[[#This Row],[Day]]&lt;15,2,IF(TableAopCalendar[[#This Row],[Day]]&lt;22,3,IF(TableAopCalendar[[#This Row],[Day]]&lt;29,4,IF(TableAopCalendar[[#This Row],[Day]]&lt;32,5)))))</f>
        <v>1</v>
      </c>
      <c r="G1985" s="32" t="str">
        <f t="shared" si="109"/>
        <v>Week 1</v>
      </c>
      <c r="H1985" s="32" t="str">
        <f t="shared" si="110"/>
        <v>September 27 Week 1</v>
      </c>
      <c r="I1985" s="32" t="str">
        <f>CONCATENATE(UPPER(TableAopCalendar[[#This Row],[Month]])," ",TableAopCalendar[[#This Row],[Year]])</f>
        <v>SEPTEMBER 27</v>
      </c>
      <c r="J1985" s="7" t="s">
        <v>274</v>
      </c>
      <c r="K1985" s="32" t="str">
        <f>CONCATENATE(TableAopCalendar[[#This Row],[Month for Plan]]," ",TableAopCalendar[[#This Row],[Plan]])</f>
        <v>SEPTEMBER 27 PLANNED</v>
      </c>
    </row>
    <row r="1986" spans="1:11" x14ac:dyDescent="0.3">
      <c r="A1986" s="32">
        <f t="shared" si="108"/>
        <v>6</v>
      </c>
      <c r="B1986" s="33">
        <v>46636</v>
      </c>
      <c r="C1986" s="6" t="s">
        <v>269</v>
      </c>
      <c r="D1986" s="34">
        <v>27</v>
      </c>
      <c r="E1986" s="32">
        <f>DAY(TableAopCalendar[[#This Row],[Date]])</f>
        <v>6</v>
      </c>
      <c r="F1986" s="32">
        <f>IF(TableAopCalendar[[#This Row],[Day]]&lt;8,1,IF(TableAopCalendar[[#This Row],[Day]]&lt;15,2,IF(TableAopCalendar[[#This Row],[Day]]&lt;22,3,IF(TableAopCalendar[[#This Row],[Day]]&lt;29,4,IF(TableAopCalendar[[#This Row],[Day]]&lt;32,5)))))</f>
        <v>1</v>
      </c>
      <c r="G1986" s="32" t="str">
        <f t="shared" si="109"/>
        <v>Week 1</v>
      </c>
      <c r="H1986" s="32" t="str">
        <f t="shared" si="110"/>
        <v>September 27 Week 1</v>
      </c>
      <c r="I1986" s="32" t="str">
        <f>CONCATENATE(UPPER(TableAopCalendar[[#This Row],[Month]])," ",TableAopCalendar[[#This Row],[Year]])</f>
        <v>SEPTEMBER 27</v>
      </c>
      <c r="J1986" s="7" t="s">
        <v>274</v>
      </c>
      <c r="K1986" s="32" t="str">
        <f>CONCATENATE(TableAopCalendar[[#This Row],[Month for Plan]]," ",TableAopCalendar[[#This Row],[Plan]])</f>
        <v>SEPTEMBER 27 PLANNED</v>
      </c>
    </row>
    <row r="1987" spans="1:11" x14ac:dyDescent="0.3">
      <c r="A1987" s="32">
        <f t="shared" si="108"/>
        <v>7</v>
      </c>
      <c r="B1987" s="33">
        <v>46637</v>
      </c>
      <c r="C1987" s="6" t="s">
        <v>269</v>
      </c>
      <c r="D1987" s="34">
        <v>27</v>
      </c>
      <c r="E1987" s="32">
        <f>DAY(TableAopCalendar[[#This Row],[Date]])</f>
        <v>7</v>
      </c>
      <c r="F1987" s="32">
        <f>IF(TableAopCalendar[[#This Row],[Day]]&lt;8,1,IF(TableAopCalendar[[#This Row],[Day]]&lt;15,2,IF(TableAopCalendar[[#This Row],[Day]]&lt;22,3,IF(TableAopCalendar[[#This Row],[Day]]&lt;29,4,IF(TableAopCalendar[[#This Row],[Day]]&lt;32,5)))))</f>
        <v>1</v>
      </c>
      <c r="G1987" s="32" t="str">
        <f t="shared" si="109"/>
        <v>Week 1</v>
      </c>
      <c r="H1987" s="32" t="str">
        <f t="shared" si="110"/>
        <v>September 27 Week 1</v>
      </c>
      <c r="I1987" s="32" t="str">
        <f>CONCATENATE(UPPER(TableAopCalendar[[#This Row],[Month]])," ",TableAopCalendar[[#This Row],[Year]])</f>
        <v>SEPTEMBER 27</v>
      </c>
      <c r="J1987" s="7" t="s">
        <v>274</v>
      </c>
      <c r="K1987" s="32" t="str">
        <f>CONCATENATE(TableAopCalendar[[#This Row],[Month for Plan]]," ",TableAopCalendar[[#This Row],[Plan]])</f>
        <v>SEPTEMBER 27 PLANNED</v>
      </c>
    </row>
    <row r="1988" spans="1:11" x14ac:dyDescent="0.3">
      <c r="A1988" s="32">
        <f t="shared" si="108"/>
        <v>1</v>
      </c>
      <c r="B1988" s="33">
        <v>46638</v>
      </c>
      <c r="C1988" s="6" t="s">
        <v>269</v>
      </c>
      <c r="D1988" s="34">
        <v>27</v>
      </c>
      <c r="E1988" s="32">
        <f>DAY(TableAopCalendar[[#This Row],[Date]])</f>
        <v>8</v>
      </c>
      <c r="F1988" s="32">
        <f>IF(TableAopCalendar[[#This Row],[Day]]&lt;8,1,IF(TableAopCalendar[[#This Row],[Day]]&lt;15,2,IF(TableAopCalendar[[#This Row],[Day]]&lt;22,3,IF(TableAopCalendar[[#This Row],[Day]]&lt;29,4,IF(TableAopCalendar[[#This Row],[Day]]&lt;32,5)))))</f>
        <v>2</v>
      </c>
      <c r="G1988" s="32" t="str">
        <f t="shared" si="109"/>
        <v>Week 2</v>
      </c>
      <c r="H1988" s="32" t="str">
        <f t="shared" si="110"/>
        <v>September 27 Week 2</v>
      </c>
      <c r="I1988" s="32" t="str">
        <f>CONCATENATE(UPPER(TableAopCalendar[[#This Row],[Month]])," ",TableAopCalendar[[#This Row],[Year]])</f>
        <v>SEPTEMBER 27</v>
      </c>
      <c r="J1988" s="7" t="s">
        <v>274</v>
      </c>
      <c r="K1988" s="32" t="str">
        <f>CONCATENATE(TableAopCalendar[[#This Row],[Month for Plan]]," ",TableAopCalendar[[#This Row],[Plan]])</f>
        <v>SEPTEMBER 27 PLANNED</v>
      </c>
    </row>
    <row r="1989" spans="1:11" x14ac:dyDescent="0.3">
      <c r="A1989" s="32">
        <f t="shared" si="108"/>
        <v>2</v>
      </c>
      <c r="B1989" s="33">
        <v>46639</v>
      </c>
      <c r="C1989" s="6" t="s">
        <v>269</v>
      </c>
      <c r="D1989" s="34">
        <v>27</v>
      </c>
      <c r="E1989" s="32">
        <f>DAY(TableAopCalendar[[#This Row],[Date]])</f>
        <v>9</v>
      </c>
      <c r="F1989" s="32">
        <f>IF(TableAopCalendar[[#This Row],[Day]]&lt;8,1,IF(TableAopCalendar[[#This Row],[Day]]&lt;15,2,IF(TableAopCalendar[[#This Row],[Day]]&lt;22,3,IF(TableAopCalendar[[#This Row],[Day]]&lt;29,4,IF(TableAopCalendar[[#This Row],[Day]]&lt;32,5)))))</f>
        <v>2</v>
      </c>
      <c r="G1989" s="32" t="str">
        <f t="shared" si="109"/>
        <v>Week 2</v>
      </c>
      <c r="H1989" s="32" t="str">
        <f t="shared" si="110"/>
        <v>September 27 Week 2</v>
      </c>
      <c r="I1989" s="32" t="str">
        <f>CONCATENATE(UPPER(TableAopCalendar[[#This Row],[Month]])," ",TableAopCalendar[[#This Row],[Year]])</f>
        <v>SEPTEMBER 27</v>
      </c>
      <c r="J1989" s="7" t="s">
        <v>274</v>
      </c>
      <c r="K1989" s="32" t="str">
        <f>CONCATENATE(TableAopCalendar[[#This Row],[Month for Plan]]," ",TableAopCalendar[[#This Row],[Plan]])</f>
        <v>SEPTEMBER 27 PLANNED</v>
      </c>
    </row>
    <row r="1990" spans="1:11" x14ac:dyDescent="0.3">
      <c r="A1990" s="32">
        <f t="shared" si="108"/>
        <v>3</v>
      </c>
      <c r="B1990" s="33">
        <v>46640</v>
      </c>
      <c r="C1990" s="6" t="s">
        <v>269</v>
      </c>
      <c r="D1990" s="34">
        <v>27</v>
      </c>
      <c r="E1990" s="32">
        <f>DAY(TableAopCalendar[[#This Row],[Date]])</f>
        <v>10</v>
      </c>
      <c r="F1990" s="32">
        <f>IF(TableAopCalendar[[#This Row],[Day]]&lt;8,1,IF(TableAopCalendar[[#This Row],[Day]]&lt;15,2,IF(TableAopCalendar[[#This Row],[Day]]&lt;22,3,IF(TableAopCalendar[[#This Row],[Day]]&lt;29,4,IF(TableAopCalendar[[#This Row],[Day]]&lt;32,5)))))</f>
        <v>2</v>
      </c>
      <c r="G1990" s="32" t="str">
        <f t="shared" si="109"/>
        <v>Week 2</v>
      </c>
      <c r="H1990" s="32" t="str">
        <f t="shared" si="110"/>
        <v>September 27 Week 2</v>
      </c>
      <c r="I1990" s="32" t="str">
        <f>CONCATENATE(UPPER(TableAopCalendar[[#This Row],[Month]])," ",TableAopCalendar[[#This Row],[Year]])</f>
        <v>SEPTEMBER 27</v>
      </c>
      <c r="J1990" s="7" t="s">
        <v>274</v>
      </c>
      <c r="K1990" s="32" t="str">
        <f>CONCATENATE(TableAopCalendar[[#This Row],[Month for Plan]]," ",TableAopCalendar[[#This Row],[Plan]])</f>
        <v>SEPTEMBER 27 PLANNED</v>
      </c>
    </row>
    <row r="1991" spans="1:11" x14ac:dyDescent="0.3">
      <c r="A1991" s="32">
        <f t="shared" si="108"/>
        <v>4</v>
      </c>
      <c r="B1991" s="33">
        <v>46641</v>
      </c>
      <c r="C1991" s="6" t="s">
        <v>269</v>
      </c>
      <c r="D1991" s="34">
        <v>27</v>
      </c>
      <c r="E1991" s="32">
        <f>DAY(TableAopCalendar[[#This Row],[Date]])</f>
        <v>11</v>
      </c>
      <c r="F1991" s="32">
        <f>IF(TableAopCalendar[[#This Row],[Day]]&lt;8,1,IF(TableAopCalendar[[#This Row],[Day]]&lt;15,2,IF(TableAopCalendar[[#This Row],[Day]]&lt;22,3,IF(TableAopCalendar[[#This Row],[Day]]&lt;29,4,IF(TableAopCalendar[[#This Row],[Day]]&lt;32,5)))))</f>
        <v>2</v>
      </c>
      <c r="G1991" s="32" t="str">
        <f t="shared" si="109"/>
        <v>Week 2</v>
      </c>
      <c r="H1991" s="32" t="str">
        <f t="shared" si="110"/>
        <v>September 27 Week 2</v>
      </c>
      <c r="I1991" s="32" t="str">
        <f>CONCATENATE(UPPER(TableAopCalendar[[#This Row],[Month]])," ",TableAopCalendar[[#This Row],[Year]])</f>
        <v>SEPTEMBER 27</v>
      </c>
      <c r="J1991" s="7" t="s">
        <v>274</v>
      </c>
      <c r="K1991" s="32" t="str">
        <f>CONCATENATE(TableAopCalendar[[#This Row],[Month for Plan]]," ",TableAopCalendar[[#This Row],[Plan]])</f>
        <v>SEPTEMBER 27 PLANNED</v>
      </c>
    </row>
    <row r="1992" spans="1:11" x14ac:dyDescent="0.3">
      <c r="A1992" s="32">
        <f t="shared" si="108"/>
        <v>5</v>
      </c>
      <c r="B1992" s="33">
        <v>46642</v>
      </c>
      <c r="C1992" s="6" t="s">
        <v>269</v>
      </c>
      <c r="D1992" s="34">
        <v>27</v>
      </c>
      <c r="E1992" s="32">
        <f>DAY(TableAopCalendar[[#This Row],[Date]])</f>
        <v>12</v>
      </c>
      <c r="F1992" s="32">
        <f>IF(TableAopCalendar[[#This Row],[Day]]&lt;8,1,IF(TableAopCalendar[[#This Row],[Day]]&lt;15,2,IF(TableAopCalendar[[#This Row],[Day]]&lt;22,3,IF(TableAopCalendar[[#This Row],[Day]]&lt;29,4,IF(TableAopCalendar[[#This Row],[Day]]&lt;32,5)))))</f>
        <v>2</v>
      </c>
      <c r="G1992" s="32" t="str">
        <f t="shared" si="109"/>
        <v>Week 2</v>
      </c>
      <c r="H1992" s="32" t="str">
        <f t="shared" si="110"/>
        <v>September 27 Week 2</v>
      </c>
      <c r="I1992" s="32" t="str">
        <f>CONCATENATE(UPPER(TableAopCalendar[[#This Row],[Month]])," ",TableAopCalendar[[#This Row],[Year]])</f>
        <v>SEPTEMBER 27</v>
      </c>
      <c r="J1992" s="7" t="s">
        <v>274</v>
      </c>
      <c r="K1992" s="32" t="str">
        <f>CONCATENATE(TableAopCalendar[[#This Row],[Month for Plan]]," ",TableAopCalendar[[#This Row],[Plan]])</f>
        <v>SEPTEMBER 27 PLANNED</v>
      </c>
    </row>
    <row r="1993" spans="1:11" x14ac:dyDescent="0.3">
      <c r="A1993" s="32">
        <f t="shared" si="108"/>
        <v>6</v>
      </c>
      <c r="B1993" s="33">
        <v>46643</v>
      </c>
      <c r="C1993" s="6" t="s">
        <v>269</v>
      </c>
      <c r="D1993" s="34">
        <v>27</v>
      </c>
      <c r="E1993" s="32">
        <f>DAY(TableAopCalendar[[#This Row],[Date]])</f>
        <v>13</v>
      </c>
      <c r="F1993" s="32">
        <f>IF(TableAopCalendar[[#This Row],[Day]]&lt;8,1,IF(TableAopCalendar[[#This Row],[Day]]&lt;15,2,IF(TableAopCalendar[[#This Row],[Day]]&lt;22,3,IF(TableAopCalendar[[#This Row],[Day]]&lt;29,4,IF(TableAopCalendar[[#This Row],[Day]]&lt;32,5)))))</f>
        <v>2</v>
      </c>
      <c r="G1993" s="32" t="str">
        <f t="shared" si="109"/>
        <v>Week 2</v>
      </c>
      <c r="H1993" s="32" t="str">
        <f t="shared" si="110"/>
        <v>September 27 Week 2</v>
      </c>
      <c r="I1993" s="32" t="str">
        <f>CONCATENATE(UPPER(TableAopCalendar[[#This Row],[Month]])," ",TableAopCalendar[[#This Row],[Year]])</f>
        <v>SEPTEMBER 27</v>
      </c>
      <c r="J1993" s="7" t="s">
        <v>274</v>
      </c>
      <c r="K1993" s="32" t="str">
        <f>CONCATENATE(TableAopCalendar[[#This Row],[Month for Plan]]," ",TableAopCalendar[[#This Row],[Plan]])</f>
        <v>SEPTEMBER 27 PLANNED</v>
      </c>
    </row>
    <row r="1994" spans="1:11" x14ac:dyDescent="0.3">
      <c r="A1994" s="32">
        <f t="shared" si="108"/>
        <v>7</v>
      </c>
      <c r="B1994" s="33">
        <v>46644</v>
      </c>
      <c r="C1994" s="6" t="s">
        <v>269</v>
      </c>
      <c r="D1994" s="34">
        <v>27</v>
      </c>
      <c r="E1994" s="32">
        <f>DAY(TableAopCalendar[[#This Row],[Date]])</f>
        <v>14</v>
      </c>
      <c r="F1994" s="32">
        <f>IF(TableAopCalendar[[#This Row],[Day]]&lt;8,1,IF(TableAopCalendar[[#This Row],[Day]]&lt;15,2,IF(TableAopCalendar[[#This Row],[Day]]&lt;22,3,IF(TableAopCalendar[[#This Row],[Day]]&lt;29,4,IF(TableAopCalendar[[#This Row],[Day]]&lt;32,5)))))</f>
        <v>2</v>
      </c>
      <c r="G1994" s="32" t="str">
        <f t="shared" si="109"/>
        <v>Week 2</v>
      </c>
      <c r="H1994" s="32" t="str">
        <f t="shared" si="110"/>
        <v>September 27 Week 2</v>
      </c>
      <c r="I1994" s="32" t="str">
        <f>CONCATENATE(UPPER(TableAopCalendar[[#This Row],[Month]])," ",TableAopCalendar[[#This Row],[Year]])</f>
        <v>SEPTEMBER 27</v>
      </c>
      <c r="J1994" s="7" t="s">
        <v>274</v>
      </c>
      <c r="K1994" s="32" t="str">
        <f>CONCATENATE(TableAopCalendar[[#This Row],[Month for Plan]]," ",TableAopCalendar[[#This Row],[Plan]])</f>
        <v>SEPTEMBER 27 PLANNED</v>
      </c>
    </row>
    <row r="1995" spans="1:11" x14ac:dyDescent="0.3">
      <c r="A1995" s="32">
        <f t="shared" si="108"/>
        <v>1</v>
      </c>
      <c r="B1995" s="33">
        <v>46645</v>
      </c>
      <c r="C1995" s="6" t="s">
        <v>269</v>
      </c>
      <c r="D1995" s="34">
        <v>27</v>
      </c>
      <c r="E1995" s="32">
        <f>DAY(TableAopCalendar[[#This Row],[Date]])</f>
        <v>15</v>
      </c>
      <c r="F1995" s="32">
        <f>IF(TableAopCalendar[[#This Row],[Day]]&lt;8,1,IF(TableAopCalendar[[#This Row],[Day]]&lt;15,2,IF(TableAopCalendar[[#This Row],[Day]]&lt;22,3,IF(TableAopCalendar[[#This Row],[Day]]&lt;29,4,IF(TableAopCalendar[[#This Row],[Day]]&lt;32,5)))))</f>
        <v>3</v>
      </c>
      <c r="G1995" s="32" t="str">
        <f t="shared" si="109"/>
        <v>Week 3</v>
      </c>
      <c r="H1995" s="32" t="str">
        <f t="shared" si="110"/>
        <v>September 27 Week 3</v>
      </c>
      <c r="I1995" s="32" t="str">
        <f>CONCATENATE(UPPER(TableAopCalendar[[#This Row],[Month]])," ",TableAopCalendar[[#This Row],[Year]])</f>
        <v>SEPTEMBER 27</v>
      </c>
      <c r="J1995" s="7" t="s">
        <v>274</v>
      </c>
      <c r="K1995" s="32" t="str">
        <f>CONCATENATE(TableAopCalendar[[#This Row],[Month for Plan]]," ",TableAopCalendar[[#This Row],[Plan]])</f>
        <v>SEPTEMBER 27 PLANNED</v>
      </c>
    </row>
    <row r="1996" spans="1:11" x14ac:dyDescent="0.3">
      <c r="A1996" s="32">
        <f t="shared" si="108"/>
        <v>2</v>
      </c>
      <c r="B1996" s="33">
        <v>46646</v>
      </c>
      <c r="C1996" s="6" t="s">
        <v>269</v>
      </c>
      <c r="D1996" s="34">
        <v>27</v>
      </c>
      <c r="E1996" s="32">
        <f>DAY(TableAopCalendar[[#This Row],[Date]])</f>
        <v>16</v>
      </c>
      <c r="F1996" s="32">
        <f>IF(TableAopCalendar[[#This Row],[Day]]&lt;8,1,IF(TableAopCalendar[[#This Row],[Day]]&lt;15,2,IF(TableAopCalendar[[#This Row],[Day]]&lt;22,3,IF(TableAopCalendar[[#This Row],[Day]]&lt;29,4,IF(TableAopCalendar[[#This Row],[Day]]&lt;32,5)))))</f>
        <v>3</v>
      </c>
      <c r="G1996" s="32" t="str">
        <f t="shared" si="109"/>
        <v>Week 3</v>
      </c>
      <c r="H1996" s="32" t="str">
        <f t="shared" si="110"/>
        <v>September 27 Week 3</v>
      </c>
      <c r="I1996" s="32" t="str">
        <f>CONCATENATE(UPPER(TableAopCalendar[[#This Row],[Month]])," ",TableAopCalendar[[#This Row],[Year]])</f>
        <v>SEPTEMBER 27</v>
      </c>
      <c r="J1996" s="7" t="s">
        <v>274</v>
      </c>
      <c r="K1996" s="32" t="str">
        <f>CONCATENATE(TableAopCalendar[[#This Row],[Month for Plan]]," ",TableAopCalendar[[#This Row],[Plan]])</f>
        <v>SEPTEMBER 27 PLANNED</v>
      </c>
    </row>
    <row r="1997" spans="1:11" x14ac:dyDescent="0.3">
      <c r="A1997" s="32">
        <f t="shared" si="108"/>
        <v>3</v>
      </c>
      <c r="B1997" s="33">
        <v>46647</v>
      </c>
      <c r="C1997" s="6" t="s">
        <v>269</v>
      </c>
      <c r="D1997" s="34">
        <v>27</v>
      </c>
      <c r="E1997" s="32">
        <f>DAY(TableAopCalendar[[#This Row],[Date]])</f>
        <v>17</v>
      </c>
      <c r="F1997" s="32">
        <f>IF(TableAopCalendar[[#This Row],[Day]]&lt;8,1,IF(TableAopCalendar[[#This Row],[Day]]&lt;15,2,IF(TableAopCalendar[[#This Row],[Day]]&lt;22,3,IF(TableAopCalendar[[#This Row],[Day]]&lt;29,4,IF(TableAopCalendar[[#This Row],[Day]]&lt;32,5)))))</f>
        <v>3</v>
      </c>
      <c r="G1997" s="32" t="str">
        <f t="shared" si="109"/>
        <v>Week 3</v>
      </c>
      <c r="H1997" s="32" t="str">
        <f t="shared" si="110"/>
        <v>September 27 Week 3</v>
      </c>
      <c r="I1997" s="32" t="str">
        <f>CONCATENATE(UPPER(TableAopCalendar[[#This Row],[Month]])," ",TableAopCalendar[[#This Row],[Year]])</f>
        <v>SEPTEMBER 27</v>
      </c>
      <c r="J1997" s="7" t="s">
        <v>274</v>
      </c>
      <c r="K1997" s="32" t="str">
        <f>CONCATENATE(TableAopCalendar[[#This Row],[Month for Plan]]," ",TableAopCalendar[[#This Row],[Plan]])</f>
        <v>SEPTEMBER 27 PLANNED</v>
      </c>
    </row>
    <row r="1998" spans="1:11" x14ac:dyDescent="0.3">
      <c r="A1998" s="32">
        <f t="shared" si="108"/>
        <v>4</v>
      </c>
      <c r="B1998" s="33">
        <v>46648</v>
      </c>
      <c r="C1998" s="6" t="s">
        <v>269</v>
      </c>
      <c r="D1998" s="34">
        <v>27</v>
      </c>
      <c r="E1998" s="32">
        <f>DAY(TableAopCalendar[[#This Row],[Date]])</f>
        <v>18</v>
      </c>
      <c r="F1998" s="32">
        <f>IF(TableAopCalendar[[#This Row],[Day]]&lt;8,1,IF(TableAopCalendar[[#This Row],[Day]]&lt;15,2,IF(TableAopCalendar[[#This Row],[Day]]&lt;22,3,IF(TableAopCalendar[[#This Row],[Day]]&lt;29,4,IF(TableAopCalendar[[#This Row],[Day]]&lt;32,5)))))</f>
        <v>3</v>
      </c>
      <c r="G1998" s="32" t="str">
        <f t="shared" si="109"/>
        <v>Week 3</v>
      </c>
      <c r="H1998" s="32" t="str">
        <f t="shared" si="110"/>
        <v>September 27 Week 3</v>
      </c>
      <c r="I1998" s="32" t="str">
        <f>CONCATENATE(UPPER(TableAopCalendar[[#This Row],[Month]])," ",TableAopCalendar[[#This Row],[Year]])</f>
        <v>SEPTEMBER 27</v>
      </c>
      <c r="J1998" s="7" t="s">
        <v>274</v>
      </c>
      <c r="K1998" s="32" t="str">
        <f>CONCATENATE(TableAopCalendar[[#This Row],[Month for Plan]]," ",TableAopCalendar[[#This Row],[Plan]])</f>
        <v>SEPTEMBER 27 PLANNED</v>
      </c>
    </row>
    <row r="1999" spans="1:11" x14ac:dyDescent="0.3">
      <c r="A1999" s="32">
        <f t="shared" si="108"/>
        <v>5</v>
      </c>
      <c r="B1999" s="33">
        <v>46649</v>
      </c>
      <c r="C1999" s="6" t="s">
        <v>269</v>
      </c>
      <c r="D1999" s="34">
        <v>27</v>
      </c>
      <c r="E1999" s="32">
        <f>DAY(TableAopCalendar[[#This Row],[Date]])</f>
        <v>19</v>
      </c>
      <c r="F1999" s="32">
        <f>IF(TableAopCalendar[[#This Row],[Day]]&lt;8,1,IF(TableAopCalendar[[#This Row],[Day]]&lt;15,2,IF(TableAopCalendar[[#This Row],[Day]]&lt;22,3,IF(TableAopCalendar[[#This Row],[Day]]&lt;29,4,IF(TableAopCalendar[[#This Row],[Day]]&lt;32,5)))))</f>
        <v>3</v>
      </c>
      <c r="G1999" s="32" t="str">
        <f t="shared" si="109"/>
        <v>Week 3</v>
      </c>
      <c r="H1999" s="32" t="str">
        <f t="shared" si="110"/>
        <v>September 27 Week 3</v>
      </c>
      <c r="I1999" s="32" t="str">
        <f>CONCATENATE(UPPER(TableAopCalendar[[#This Row],[Month]])," ",TableAopCalendar[[#This Row],[Year]])</f>
        <v>SEPTEMBER 27</v>
      </c>
      <c r="J1999" s="7" t="s">
        <v>274</v>
      </c>
      <c r="K1999" s="32" t="str">
        <f>CONCATENATE(TableAopCalendar[[#This Row],[Month for Plan]]," ",TableAopCalendar[[#This Row],[Plan]])</f>
        <v>SEPTEMBER 27 PLANNED</v>
      </c>
    </row>
    <row r="2000" spans="1:11" x14ac:dyDescent="0.3">
      <c r="A2000" s="32">
        <f t="shared" si="108"/>
        <v>6</v>
      </c>
      <c r="B2000" s="33">
        <v>46650</v>
      </c>
      <c r="C2000" s="6" t="s">
        <v>269</v>
      </c>
      <c r="D2000" s="34">
        <v>27</v>
      </c>
      <c r="E2000" s="32">
        <f>DAY(TableAopCalendar[[#This Row],[Date]])</f>
        <v>20</v>
      </c>
      <c r="F2000" s="32">
        <f>IF(TableAopCalendar[[#This Row],[Day]]&lt;8,1,IF(TableAopCalendar[[#This Row],[Day]]&lt;15,2,IF(TableAopCalendar[[#This Row],[Day]]&lt;22,3,IF(TableAopCalendar[[#This Row],[Day]]&lt;29,4,IF(TableAopCalendar[[#This Row],[Day]]&lt;32,5)))))</f>
        <v>3</v>
      </c>
      <c r="G2000" s="32" t="str">
        <f t="shared" si="109"/>
        <v>Week 3</v>
      </c>
      <c r="H2000" s="32" t="str">
        <f t="shared" si="110"/>
        <v>September 27 Week 3</v>
      </c>
      <c r="I2000" s="32" t="str">
        <f>CONCATENATE(UPPER(TableAopCalendar[[#This Row],[Month]])," ",TableAopCalendar[[#This Row],[Year]])</f>
        <v>SEPTEMBER 27</v>
      </c>
      <c r="J2000" s="7" t="s">
        <v>274</v>
      </c>
      <c r="K2000" s="32" t="str">
        <f>CONCATENATE(TableAopCalendar[[#This Row],[Month for Plan]]," ",TableAopCalendar[[#This Row],[Plan]])</f>
        <v>SEPTEMBER 27 PLANNED</v>
      </c>
    </row>
    <row r="2001" spans="1:11" x14ac:dyDescent="0.3">
      <c r="A2001" s="32">
        <f t="shared" si="108"/>
        <v>7</v>
      </c>
      <c r="B2001" s="33">
        <v>46651</v>
      </c>
      <c r="C2001" s="6" t="s">
        <v>269</v>
      </c>
      <c r="D2001" s="34">
        <v>27</v>
      </c>
      <c r="E2001" s="32">
        <f>DAY(TableAopCalendar[[#This Row],[Date]])</f>
        <v>21</v>
      </c>
      <c r="F2001" s="32">
        <f>IF(TableAopCalendar[[#This Row],[Day]]&lt;8,1,IF(TableAopCalendar[[#This Row],[Day]]&lt;15,2,IF(TableAopCalendar[[#This Row],[Day]]&lt;22,3,IF(TableAopCalendar[[#This Row],[Day]]&lt;29,4,IF(TableAopCalendar[[#This Row],[Day]]&lt;32,5)))))</f>
        <v>3</v>
      </c>
      <c r="G2001" s="32" t="str">
        <f t="shared" si="109"/>
        <v>Week 3</v>
      </c>
      <c r="H2001" s="32" t="str">
        <f t="shared" si="110"/>
        <v>September 27 Week 3</v>
      </c>
      <c r="I2001" s="32" t="str">
        <f>CONCATENATE(UPPER(TableAopCalendar[[#This Row],[Month]])," ",TableAopCalendar[[#This Row],[Year]])</f>
        <v>SEPTEMBER 27</v>
      </c>
      <c r="J2001" s="7" t="s">
        <v>274</v>
      </c>
      <c r="K2001" s="32" t="str">
        <f>CONCATENATE(TableAopCalendar[[#This Row],[Month for Plan]]," ",TableAopCalendar[[#This Row],[Plan]])</f>
        <v>SEPTEMBER 27 PLANNED</v>
      </c>
    </row>
    <row r="2002" spans="1:11" x14ac:dyDescent="0.3">
      <c r="A2002" s="32">
        <f t="shared" si="108"/>
        <v>1</v>
      </c>
      <c r="B2002" s="33">
        <v>46652</v>
      </c>
      <c r="C2002" s="6" t="s">
        <v>269</v>
      </c>
      <c r="D2002" s="34">
        <v>27</v>
      </c>
      <c r="E2002" s="32">
        <f>DAY(TableAopCalendar[[#This Row],[Date]])</f>
        <v>22</v>
      </c>
      <c r="F2002" s="32">
        <f>IF(TableAopCalendar[[#This Row],[Day]]&lt;8,1,IF(TableAopCalendar[[#This Row],[Day]]&lt;15,2,IF(TableAopCalendar[[#This Row],[Day]]&lt;22,3,IF(TableAopCalendar[[#This Row],[Day]]&lt;29,4,IF(TableAopCalendar[[#This Row],[Day]]&lt;32,5)))))</f>
        <v>4</v>
      </c>
      <c r="G2002" s="32" t="str">
        <f t="shared" si="109"/>
        <v>Week 4</v>
      </c>
      <c r="H2002" s="32" t="str">
        <f t="shared" si="110"/>
        <v>September 27 Week 4</v>
      </c>
      <c r="I2002" s="32" t="str">
        <f>CONCATENATE(UPPER(TableAopCalendar[[#This Row],[Month]])," ",TableAopCalendar[[#This Row],[Year]])</f>
        <v>SEPTEMBER 27</v>
      </c>
      <c r="J2002" s="7" t="s">
        <v>274</v>
      </c>
      <c r="K2002" s="32" t="str">
        <f>CONCATENATE(TableAopCalendar[[#This Row],[Month for Plan]]," ",TableAopCalendar[[#This Row],[Plan]])</f>
        <v>SEPTEMBER 27 PLANNED</v>
      </c>
    </row>
    <row r="2003" spans="1:11" x14ac:dyDescent="0.3">
      <c r="A2003" s="32">
        <f t="shared" si="108"/>
        <v>2</v>
      </c>
      <c r="B2003" s="33">
        <v>46653</v>
      </c>
      <c r="C2003" s="6" t="s">
        <v>269</v>
      </c>
      <c r="D2003" s="34">
        <v>27</v>
      </c>
      <c r="E2003" s="32">
        <f>DAY(TableAopCalendar[[#This Row],[Date]])</f>
        <v>23</v>
      </c>
      <c r="F2003" s="32">
        <f>IF(TableAopCalendar[[#This Row],[Day]]&lt;8,1,IF(TableAopCalendar[[#This Row],[Day]]&lt;15,2,IF(TableAopCalendar[[#This Row],[Day]]&lt;22,3,IF(TableAopCalendar[[#This Row],[Day]]&lt;29,4,IF(TableAopCalendar[[#This Row],[Day]]&lt;32,5)))))</f>
        <v>4</v>
      </c>
      <c r="G2003" s="32" t="str">
        <f t="shared" si="109"/>
        <v>Week 4</v>
      </c>
      <c r="H2003" s="32" t="str">
        <f t="shared" si="110"/>
        <v>September 27 Week 4</v>
      </c>
      <c r="I2003" s="32" t="str">
        <f>CONCATENATE(UPPER(TableAopCalendar[[#This Row],[Month]])," ",TableAopCalendar[[#This Row],[Year]])</f>
        <v>SEPTEMBER 27</v>
      </c>
      <c r="J2003" s="7" t="s">
        <v>274</v>
      </c>
      <c r="K2003" s="32" t="str">
        <f>CONCATENATE(TableAopCalendar[[#This Row],[Month for Plan]]," ",TableAopCalendar[[#This Row],[Plan]])</f>
        <v>SEPTEMBER 27 PLANNED</v>
      </c>
    </row>
    <row r="2004" spans="1:11" x14ac:dyDescent="0.3">
      <c r="A2004" s="32">
        <f t="shared" si="108"/>
        <v>3</v>
      </c>
      <c r="B2004" s="33">
        <v>46654</v>
      </c>
      <c r="C2004" s="6" t="s">
        <v>269</v>
      </c>
      <c r="D2004" s="34">
        <v>27</v>
      </c>
      <c r="E2004" s="32">
        <f>DAY(TableAopCalendar[[#This Row],[Date]])</f>
        <v>24</v>
      </c>
      <c r="F2004" s="32">
        <f>IF(TableAopCalendar[[#This Row],[Day]]&lt;8,1,IF(TableAopCalendar[[#This Row],[Day]]&lt;15,2,IF(TableAopCalendar[[#This Row],[Day]]&lt;22,3,IF(TableAopCalendar[[#This Row],[Day]]&lt;29,4,IF(TableAopCalendar[[#This Row],[Day]]&lt;32,5)))))</f>
        <v>4</v>
      </c>
      <c r="G2004" s="32" t="str">
        <f t="shared" si="109"/>
        <v>Week 4</v>
      </c>
      <c r="H2004" s="32" t="str">
        <f t="shared" si="110"/>
        <v>September 27 Week 4</v>
      </c>
      <c r="I2004" s="32" t="str">
        <f>CONCATENATE(UPPER(TableAopCalendar[[#This Row],[Month]])," ",TableAopCalendar[[#This Row],[Year]])</f>
        <v>SEPTEMBER 27</v>
      </c>
      <c r="J2004" s="7" t="s">
        <v>274</v>
      </c>
      <c r="K2004" s="32" t="str">
        <f>CONCATENATE(TableAopCalendar[[#This Row],[Month for Plan]]," ",TableAopCalendar[[#This Row],[Plan]])</f>
        <v>SEPTEMBER 27 PLANNED</v>
      </c>
    </row>
    <row r="2005" spans="1:11" x14ac:dyDescent="0.3">
      <c r="A2005" s="32">
        <f t="shared" si="108"/>
        <v>4</v>
      </c>
      <c r="B2005" s="33">
        <v>46655</v>
      </c>
      <c r="C2005" s="6" t="s">
        <v>269</v>
      </c>
      <c r="D2005" s="34">
        <v>27</v>
      </c>
      <c r="E2005" s="32">
        <f>DAY(TableAopCalendar[[#This Row],[Date]])</f>
        <v>25</v>
      </c>
      <c r="F2005" s="32">
        <f>IF(TableAopCalendar[[#This Row],[Day]]&lt;8,1,IF(TableAopCalendar[[#This Row],[Day]]&lt;15,2,IF(TableAopCalendar[[#This Row],[Day]]&lt;22,3,IF(TableAopCalendar[[#This Row],[Day]]&lt;29,4,IF(TableAopCalendar[[#This Row],[Day]]&lt;32,5)))))</f>
        <v>4</v>
      </c>
      <c r="G2005" s="32" t="str">
        <f t="shared" si="109"/>
        <v>Week 4</v>
      </c>
      <c r="H2005" s="32" t="str">
        <f t="shared" si="110"/>
        <v>September 27 Week 4</v>
      </c>
      <c r="I2005" s="32" t="str">
        <f>CONCATENATE(UPPER(TableAopCalendar[[#This Row],[Month]])," ",TableAopCalendar[[#This Row],[Year]])</f>
        <v>SEPTEMBER 27</v>
      </c>
      <c r="J2005" s="7" t="s">
        <v>274</v>
      </c>
      <c r="K2005" s="32" t="str">
        <f>CONCATENATE(TableAopCalendar[[#This Row],[Month for Plan]]," ",TableAopCalendar[[#This Row],[Plan]])</f>
        <v>SEPTEMBER 27 PLANNED</v>
      </c>
    </row>
    <row r="2006" spans="1:11" x14ac:dyDescent="0.3">
      <c r="A2006" s="32">
        <f t="shared" si="108"/>
        <v>5</v>
      </c>
      <c r="B2006" s="33">
        <v>46656</v>
      </c>
      <c r="C2006" s="6" t="s">
        <v>269</v>
      </c>
      <c r="D2006" s="34">
        <v>27</v>
      </c>
      <c r="E2006" s="32">
        <f>DAY(TableAopCalendar[[#This Row],[Date]])</f>
        <v>26</v>
      </c>
      <c r="F2006" s="32">
        <f>IF(TableAopCalendar[[#This Row],[Day]]&lt;8,1,IF(TableAopCalendar[[#This Row],[Day]]&lt;15,2,IF(TableAopCalendar[[#This Row],[Day]]&lt;22,3,IF(TableAopCalendar[[#This Row],[Day]]&lt;29,4,IF(TableAopCalendar[[#This Row],[Day]]&lt;32,5)))))</f>
        <v>4</v>
      </c>
      <c r="G2006" s="32" t="str">
        <f t="shared" si="109"/>
        <v>Week 4</v>
      </c>
      <c r="H2006" s="32" t="str">
        <f t="shared" si="110"/>
        <v>September 27 Week 4</v>
      </c>
      <c r="I2006" s="32" t="str">
        <f>CONCATENATE(UPPER(TableAopCalendar[[#This Row],[Month]])," ",TableAopCalendar[[#This Row],[Year]])</f>
        <v>SEPTEMBER 27</v>
      </c>
      <c r="J2006" s="7" t="s">
        <v>274</v>
      </c>
      <c r="K2006" s="32" t="str">
        <f>CONCATENATE(TableAopCalendar[[#This Row],[Month for Plan]]," ",TableAopCalendar[[#This Row],[Plan]])</f>
        <v>SEPTEMBER 27 PLANNED</v>
      </c>
    </row>
    <row r="2007" spans="1:11" x14ac:dyDescent="0.3">
      <c r="A2007" s="32">
        <f t="shared" si="108"/>
        <v>6</v>
      </c>
      <c r="B2007" s="33">
        <v>46657</v>
      </c>
      <c r="C2007" s="6" t="s">
        <v>269</v>
      </c>
      <c r="D2007" s="34">
        <v>27</v>
      </c>
      <c r="E2007" s="32">
        <f>DAY(TableAopCalendar[[#This Row],[Date]])</f>
        <v>27</v>
      </c>
      <c r="F2007" s="32">
        <f>IF(TableAopCalendar[[#This Row],[Day]]&lt;8,1,IF(TableAopCalendar[[#This Row],[Day]]&lt;15,2,IF(TableAopCalendar[[#This Row],[Day]]&lt;22,3,IF(TableAopCalendar[[#This Row],[Day]]&lt;29,4,IF(TableAopCalendar[[#This Row],[Day]]&lt;32,5)))))</f>
        <v>4</v>
      </c>
      <c r="G2007" s="32" t="str">
        <f t="shared" si="109"/>
        <v>Week 4</v>
      </c>
      <c r="H2007" s="32" t="str">
        <f t="shared" si="110"/>
        <v>September 27 Week 4</v>
      </c>
      <c r="I2007" s="32" t="str">
        <f>CONCATENATE(UPPER(TableAopCalendar[[#This Row],[Month]])," ",TableAopCalendar[[#This Row],[Year]])</f>
        <v>SEPTEMBER 27</v>
      </c>
      <c r="J2007" s="7" t="s">
        <v>274</v>
      </c>
      <c r="K2007" s="32" t="str">
        <f>CONCATENATE(TableAopCalendar[[#This Row],[Month for Plan]]," ",TableAopCalendar[[#This Row],[Plan]])</f>
        <v>SEPTEMBER 27 PLANNED</v>
      </c>
    </row>
    <row r="2008" spans="1:11" x14ac:dyDescent="0.3">
      <c r="A2008" s="32">
        <f t="shared" si="108"/>
        <v>7</v>
      </c>
      <c r="B2008" s="33">
        <v>46658</v>
      </c>
      <c r="C2008" s="6" t="s">
        <v>269</v>
      </c>
      <c r="D2008" s="34">
        <v>27</v>
      </c>
      <c r="E2008" s="32">
        <f>DAY(TableAopCalendar[[#This Row],[Date]])</f>
        <v>28</v>
      </c>
      <c r="F2008" s="32">
        <f>IF(TableAopCalendar[[#This Row],[Day]]&lt;8,1,IF(TableAopCalendar[[#This Row],[Day]]&lt;15,2,IF(TableAopCalendar[[#This Row],[Day]]&lt;22,3,IF(TableAopCalendar[[#This Row],[Day]]&lt;29,4,IF(TableAopCalendar[[#This Row],[Day]]&lt;32,5)))))</f>
        <v>4</v>
      </c>
      <c r="G2008" s="32" t="str">
        <f t="shared" si="109"/>
        <v>Week 4</v>
      </c>
      <c r="H2008" s="32" t="str">
        <f t="shared" si="110"/>
        <v>September 27 Week 4</v>
      </c>
      <c r="I2008" s="32" t="str">
        <f>CONCATENATE(UPPER(TableAopCalendar[[#This Row],[Month]])," ",TableAopCalendar[[#This Row],[Year]])</f>
        <v>SEPTEMBER 27</v>
      </c>
      <c r="J2008" s="7" t="s">
        <v>274</v>
      </c>
      <c r="K2008" s="32" t="str">
        <f>CONCATENATE(TableAopCalendar[[#This Row],[Month for Plan]]," ",TableAopCalendar[[#This Row],[Plan]])</f>
        <v>SEPTEMBER 27 PLANNED</v>
      </c>
    </row>
    <row r="2009" spans="1:11" x14ac:dyDescent="0.3">
      <c r="A2009" s="32">
        <f t="shared" si="108"/>
        <v>1</v>
      </c>
      <c r="B2009" s="33">
        <v>46659</v>
      </c>
      <c r="C2009" s="6" t="s">
        <v>269</v>
      </c>
      <c r="D2009" s="34">
        <v>27</v>
      </c>
      <c r="E2009" s="32">
        <f>DAY(TableAopCalendar[[#This Row],[Date]])</f>
        <v>29</v>
      </c>
      <c r="F2009" s="32">
        <f>IF(TableAopCalendar[[#This Row],[Day]]&lt;8,1,IF(TableAopCalendar[[#This Row],[Day]]&lt;15,2,IF(TableAopCalendar[[#This Row],[Day]]&lt;22,3,IF(TableAopCalendar[[#This Row],[Day]]&lt;29,4,IF(TableAopCalendar[[#This Row],[Day]]&lt;32,5)))))</f>
        <v>5</v>
      </c>
      <c r="G2009" s="32" t="str">
        <f t="shared" si="109"/>
        <v>Week 5</v>
      </c>
      <c r="H2009" s="32" t="str">
        <f t="shared" si="110"/>
        <v>September 27 Week 5</v>
      </c>
      <c r="I2009" s="32" t="str">
        <f>CONCATENATE(UPPER(TableAopCalendar[[#This Row],[Month]])," ",TableAopCalendar[[#This Row],[Year]])</f>
        <v>SEPTEMBER 27</v>
      </c>
      <c r="J2009" s="7" t="s">
        <v>274</v>
      </c>
      <c r="K2009" s="32" t="str">
        <f>CONCATENATE(TableAopCalendar[[#This Row],[Month for Plan]]," ",TableAopCalendar[[#This Row],[Plan]])</f>
        <v>SEPTEMBER 27 PLANNED</v>
      </c>
    </row>
    <row r="2010" spans="1:11" x14ac:dyDescent="0.3">
      <c r="A2010" s="32">
        <f t="shared" si="108"/>
        <v>2</v>
      </c>
      <c r="B2010" s="33">
        <v>46660</v>
      </c>
      <c r="C2010" s="6" t="s">
        <v>269</v>
      </c>
      <c r="D2010" s="34">
        <v>27</v>
      </c>
      <c r="E2010" s="32">
        <f>DAY(TableAopCalendar[[#This Row],[Date]])</f>
        <v>30</v>
      </c>
      <c r="F2010" s="32">
        <f>IF(TableAopCalendar[[#This Row],[Day]]&lt;8,1,IF(TableAopCalendar[[#This Row],[Day]]&lt;15,2,IF(TableAopCalendar[[#This Row],[Day]]&lt;22,3,IF(TableAopCalendar[[#This Row],[Day]]&lt;29,4,IF(TableAopCalendar[[#This Row],[Day]]&lt;32,5)))))</f>
        <v>5</v>
      </c>
      <c r="G2010" s="32" t="str">
        <f t="shared" si="109"/>
        <v>Week 5</v>
      </c>
      <c r="H2010" s="32" t="str">
        <f t="shared" si="110"/>
        <v>September 27 Week 5</v>
      </c>
      <c r="I2010" s="32" t="str">
        <f>CONCATENATE(UPPER(TableAopCalendar[[#This Row],[Month]])," ",TableAopCalendar[[#This Row],[Year]])</f>
        <v>SEPTEMBER 27</v>
      </c>
      <c r="J2010" s="7" t="s">
        <v>274</v>
      </c>
      <c r="K2010" s="32" t="str">
        <f>CONCATENATE(TableAopCalendar[[#This Row],[Month for Plan]]," ",TableAopCalendar[[#This Row],[Plan]])</f>
        <v>SEPTEMBER 27 PLANNED</v>
      </c>
    </row>
    <row r="2011" spans="1:11" x14ac:dyDescent="0.3">
      <c r="A2011" s="32">
        <f t="shared" si="108"/>
        <v>1</v>
      </c>
      <c r="B2011" s="33">
        <v>46661</v>
      </c>
      <c r="C2011" s="6" t="s">
        <v>114</v>
      </c>
      <c r="D2011" s="34">
        <v>27</v>
      </c>
      <c r="E2011" s="32">
        <f>DAY(TableAopCalendar[[#This Row],[Date]])</f>
        <v>1</v>
      </c>
      <c r="F2011" s="32">
        <f>IF(TableAopCalendar[[#This Row],[Day]]&lt;8,1,IF(TableAopCalendar[[#This Row],[Day]]&lt;15,2,IF(TableAopCalendar[[#This Row],[Day]]&lt;22,3,IF(TableAopCalendar[[#This Row],[Day]]&lt;29,4,IF(TableAopCalendar[[#This Row],[Day]]&lt;32,5)))))</f>
        <v>1</v>
      </c>
      <c r="G2011" s="32" t="str">
        <f t="shared" si="109"/>
        <v>Week 1</v>
      </c>
      <c r="H2011" s="32" t="str">
        <f t="shared" si="110"/>
        <v>October 27 Week 1</v>
      </c>
      <c r="I2011" s="32" t="str">
        <f>CONCATENATE(UPPER(TableAopCalendar[[#This Row],[Month]])," ",TableAopCalendar[[#This Row],[Year]])</f>
        <v>OCTOBER 27</v>
      </c>
      <c r="J2011" s="7" t="s">
        <v>274</v>
      </c>
      <c r="K2011" s="32" t="str">
        <f>CONCATENATE(TableAopCalendar[[#This Row],[Month for Plan]]," ",TableAopCalendar[[#This Row],[Plan]])</f>
        <v>OCTOBER 27 PLANNED</v>
      </c>
    </row>
    <row r="2012" spans="1:11" x14ac:dyDescent="0.3">
      <c r="A2012" s="32">
        <f t="shared" si="108"/>
        <v>2</v>
      </c>
      <c r="B2012" s="33">
        <v>46662</v>
      </c>
      <c r="C2012" s="6" t="s">
        <v>114</v>
      </c>
      <c r="D2012" s="34">
        <v>27</v>
      </c>
      <c r="E2012" s="32">
        <f>DAY(TableAopCalendar[[#This Row],[Date]])</f>
        <v>2</v>
      </c>
      <c r="F2012" s="32">
        <f>IF(TableAopCalendar[[#This Row],[Day]]&lt;8,1,IF(TableAopCalendar[[#This Row],[Day]]&lt;15,2,IF(TableAopCalendar[[#This Row],[Day]]&lt;22,3,IF(TableAopCalendar[[#This Row],[Day]]&lt;29,4,IF(TableAopCalendar[[#This Row],[Day]]&lt;32,5)))))</f>
        <v>1</v>
      </c>
      <c r="G2012" s="32" t="str">
        <f t="shared" si="109"/>
        <v>Week 1</v>
      </c>
      <c r="H2012" s="32" t="str">
        <f t="shared" si="110"/>
        <v>October 27 Week 1</v>
      </c>
      <c r="I2012" s="32" t="str">
        <f>CONCATENATE(UPPER(TableAopCalendar[[#This Row],[Month]])," ",TableAopCalendar[[#This Row],[Year]])</f>
        <v>OCTOBER 27</v>
      </c>
      <c r="J2012" s="7" t="s">
        <v>274</v>
      </c>
      <c r="K2012" s="32" t="str">
        <f>CONCATENATE(TableAopCalendar[[#This Row],[Month for Plan]]," ",TableAopCalendar[[#This Row],[Plan]])</f>
        <v>OCTOBER 27 PLANNED</v>
      </c>
    </row>
    <row r="2013" spans="1:11" x14ac:dyDescent="0.3">
      <c r="A2013" s="32">
        <f t="shared" si="108"/>
        <v>3</v>
      </c>
      <c r="B2013" s="33">
        <v>46663</v>
      </c>
      <c r="C2013" s="6" t="s">
        <v>114</v>
      </c>
      <c r="D2013" s="34">
        <v>27</v>
      </c>
      <c r="E2013" s="32">
        <f>DAY(TableAopCalendar[[#This Row],[Date]])</f>
        <v>3</v>
      </c>
      <c r="F2013" s="32">
        <f>IF(TableAopCalendar[[#This Row],[Day]]&lt;8,1,IF(TableAopCalendar[[#This Row],[Day]]&lt;15,2,IF(TableAopCalendar[[#This Row],[Day]]&lt;22,3,IF(TableAopCalendar[[#This Row],[Day]]&lt;29,4,IF(TableAopCalendar[[#This Row],[Day]]&lt;32,5)))))</f>
        <v>1</v>
      </c>
      <c r="G2013" s="32" t="str">
        <f t="shared" si="109"/>
        <v>Week 1</v>
      </c>
      <c r="H2013" s="32" t="str">
        <f t="shared" si="110"/>
        <v>October 27 Week 1</v>
      </c>
      <c r="I2013" s="32" t="str">
        <f>CONCATENATE(UPPER(TableAopCalendar[[#This Row],[Month]])," ",TableAopCalendar[[#This Row],[Year]])</f>
        <v>OCTOBER 27</v>
      </c>
      <c r="J2013" s="7" t="s">
        <v>274</v>
      </c>
      <c r="K2013" s="32" t="str">
        <f>CONCATENATE(TableAopCalendar[[#This Row],[Month for Plan]]," ",TableAopCalendar[[#This Row],[Plan]])</f>
        <v>OCTOBER 27 PLANNED</v>
      </c>
    </row>
    <row r="2014" spans="1:11" x14ac:dyDescent="0.3">
      <c r="A2014" s="32">
        <f t="shared" si="108"/>
        <v>4</v>
      </c>
      <c r="B2014" s="33">
        <v>46664</v>
      </c>
      <c r="C2014" s="6" t="s">
        <v>114</v>
      </c>
      <c r="D2014" s="34">
        <v>27</v>
      </c>
      <c r="E2014" s="32">
        <f>DAY(TableAopCalendar[[#This Row],[Date]])</f>
        <v>4</v>
      </c>
      <c r="F2014" s="32">
        <f>IF(TableAopCalendar[[#This Row],[Day]]&lt;8,1,IF(TableAopCalendar[[#This Row],[Day]]&lt;15,2,IF(TableAopCalendar[[#This Row],[Day]]&lt;22,3,IF(TableAopCalendar[[#This Row],[Day]]&lt;29,4,IF(TableAopCalendar[[#This Row],[Day]]&lt;32,5)))))</f>
        <v>1</v>
      </c>
      <c r="G2014" s="32" t="str">
        <f t="shared" si="109"/>
        <v>Week 1</v>
      </c>
      <c r="H2014" s="32" t="str">
        <f t="shared" si="110"/>
        <v>October 27 Week 1</v>
      </c>
      <c r="I2014" s="32" t="str">
        <f>CONCATENATE(UPPER(TableAopCalendar[[#This Row],[Month]])," ",TableAopCalendar[[#This Row],[Year]])</f>
        <v>OCTOBER 27</v>
      </c>
      <c r="J2014" s="7" t="s">
        <v>274</v>
      </c>
      <c r="K2014" s="32" t="str">
        <f>CONCATENATE(TableAopCalendar[[#This Row],[Month for Plan]]," ",TableAopCalendar[[#This Row],[Plan]])</f>
        <v>OCTOBER 27 PLANNED</v>
      </c>
    </row>
    <row r="2015" spans="1:11" x14ac:dyDescent="0.3">
      <c r="A2015" s="32">
        <f t="shared" si="108"/>
        <v>5</v>
      </c>
      <c r="B2015" s="33">
        <v>46665</v>
      </c>
      <c r="C2015" s="6" t="s">
        <v>114</v>
      </c>
      <c r="D2015" s="34">
        <v>27</v>
      </c>
      <c r="E2015" s="32">
        <f>DAY(TableAopCalendar[[#This Row],[Date]])</f>
        <v>5</v>
      </c>
      <c r="F2015" s="32">
        <f>IF(TableAopCalendar[[#This Row],[Day]]&lt;8,1,IF(TableAopCalendar[[#This Row],[Day]]&lt;15,2,IF(TableAopCalendar[[#This Row],[Day]]&lt;22,3,IF(TableAopCalendar[[#This Row],[Day]]&lt;29,4,IF(TableAopCalendar[[#This Row],[Day]]&lt;32,5)))))</f>
        <v>1</v>
      </c>
      <c r="G2015" s="32" t="str">
        <f t="shared" si="109"/>
        <v>Week 1</v>
      </c>
      <c r="H2015" s="32" t="str">
        <f t="shared" si="110"/>
        <v>October 27 Week 1</v>
      </c>
      <c r="I2015" s="32" t="str">
        <f>CONCATENATE(UPPER(TableAopCalendar[[#This Row],[Month]])," ",TableAopCalendar[[#This Row],[Year]])</f>
        <v>OCTOBER 27</v>
      </c>
      <c r="J2015" s="7" t="s">
        <v>274</v>
      </c>
      <c r="K2015" s="32" t="str">
        <f>CONCATENATE(TableAopCalendar[[#This Row],[Month for Plan]]," ",TableAopCalendar[[#This Row],[Plan]])</f>
        <v>OCTOBER 27 PLANNED</v>
      </c>
    </row>
    <row r="2016" spans="1:11" x14ac:dyDescent="0.3">
      <c r="A2016" s="32">
        <f t="shared" si="108"/>
        <v>6</v>
      </c>
      <c r="B2016" s="33">
        <v>46666</v>
      </c>
      <c r="C2016" s="6" t="s">
        <v>114</v>
      </c>
      <c r="D2016" s="34">
        <v>27</v>
      </c>
      <c r="E2016" s="32">
        <f>DAY(TableAopCalendar[[#This Row],[Date]])</f>
        <v>6</v>
      </c>
      <c r="F2016" s="32">
        <f>IF(TableAopCalendar[[#This Row],[Day]]&lt;8,1,IF(TableAopCalendar[[#This Row],[Day]]&lt;15,2,IF(TableAopCalendar[[#This Row],[Day]]&lt;22,3,IF(TableAopCalendar[[#This Row],[Day]]&lt;29,4,IF(TableAopCalendar[[#This Row],[Day]]&lt;32,5)))))</f>
        <v>1</v>
      </c>
      <c r="G2016" s="32" t="str">
        <f t="shared" si="109"/>
        <v>Week 1</v>
      </c>
      <c r="H2016" s="32" t="str">
        <f t="shared" si="110"/>
        <v>October 27 Week 1</v>
      </c>
      <c r="I2016" s="32" t="str">
        <f>CONCATENATE(UPPER(TableAopCalendar[[#This Row],[Month]])," ",TableAopCalendar[[#This Row],[Year]])</f>
        <v>OCTOBER 27</v>
      </c>
      <c r="J2016" s="7" t="s">
        <v>274</v>
      </c>
      <c r="K2016" s="32" t="str">
        <f>CONCATENATE(TableAopCalendar[[#This Row],[Month for Plan]]," ",TableAopCalendar[[#This Row],[Plan]])</f>
        <v>OCTOBER 27 PLANNED</v>
      </c>
    </row>
    <row r="2017" spans="1:11" x14ac:dyDescent="0.3">
      <c r="A2017" s="32">
        <f t="shared" si="108"/>
        <v>7</v>
      </c>
      <c r="B2017" s="33">
        <v>46667</v>
      </c>
      <c r="C2017" s="6" t="s">
        <v>114</v>
      </c>
      <c r="D2017" s="34">
        <v>27</v>
      </c>
      <c r="E2017" s="32">
        <f>DAY(TableAopCalendar[[#This Row],[Date]])</f>
        <v>7</v>
      </c>
      <c r="F2017" s="32">
        <f>IF(TableAopCalendar[[#This Row],[Day]]&lt;8,1,IF(TableAopCalendar[[#This Row],[Day]]&lt;15,2,IF(TableAopCalendar[[#This Row],[Day]]&lt;22,3,IF(TableAopCalendar[[#This Row],[Day]]&lt;29,4,IF(TableAopCalendar[[#This Row],[Day]]&lt;32,5)))))</f>
        <v>1</v>
      </c>
      <c r="G2017" s="32" t="str">
        <f t="shared" si="109"/>
        <v>Week 1</v>
      </c>
      <c r="H2017" s="32" t="str">
        <f t="shared" si="110"/>
        <v>October 27 Week 1</v>
      </c>
      <c r="I2017" s="32" t="str">
        <f>CONCATENATE(UPPER(TableAopCalendar[[#This Row],[Month]])," ",TableAopCalendar[[#This Row],[Year]])</f>
        <v>OCTOBER 27</v>
      </c>
      <c r="J2017" s="7" t="s">
        <v>274</v>
      </c>
      <c r="K2017" s="32" t="str">
        <f>CONCATENATE(TableAopCalendar[[#This Row],[Month for Plan]]," ",TableAopCalendar[[#This Row],[Plan]])</f>
        <v>OCTOBER 27 PLANNED</v>
      </c>
    </row>
    <row r="2018" spans="1:11" x14ac:dyDescent="0.3">
      <c r="A2018" s="32">
        <f t="shared" si="108"/>
        <v>1</v>
      </c>
      <c r="B2018" s="33">
        <v>46668</v>
      </c>
      <c r="C2018" s="6" t="s">
        <v>114</v>
      </c>
      <c r="D2018" s="34">
        <v>27</v>
      </c>
      <c r="E2018" s="32">
        <f>DAY(TableAopCalendar[[#This Row],[Date]])</f>
        <v>8</v>
      </c>
      <c r="F2018" s="32">
        <f>IF(TableAopCalendar[[#This Row],[Day]]&lt;8,1,IF(TableAopCalendar[[#This Row],[Day]]&lt;15,2,IF(TableAopCalendar[[#This Row],[Day]]&lt;22,3,IF(TableAopCalendar[[#This Row],[Day]]&lt;29,4,IF(TableAopCalendar[[#This Row],[Day]]&lt;32,5)))))</f>
        <v>2</v>
      </c>
      <c r="G2018" s="32" t="str">
        <f t="shared" si="109"/>
        <v>Week 2</v>
      </c>
      <c r="H2018" s="32" t="str">
        <f t="shared" si="110"/>
        <v>October 27 Week 2</v>
      </c>
      <c r="I2018" s="32" t="str">
        <f>CONCATENATE(UPPER(TableAopCalendar[[#This Row],[Month]])," ",TableAopCalendar[[#This Row],[Year]])</f>
        <v>OCTOBER 27</v>
      </c>
      <c r="J2018" s="7" t="s">
        <v>274</v>
      </c>
      <c r="K2018" s="32" t="str">
        <f>CONCATENATE(TableAopCalendar[[#This Row],[Month for Plan]]," ",TableAopCalendar[[#This Row],[Plan]])</f>
        <v>OCTOBER 27 PLANNED</v>
      </c>
    </row>
    <row r="2019" spans="1:11" x14ac:dyDescent="0.3">
      <c r="A2019" s="32">
        <f t="shared" si="108"/>
        <v>2</v>
      </c>
      <c r="B2019" s="33">
        <v>46669</v>
      </c>
      <c r="C2019" s="6" t="s">
        <v>114</v>
      </c>
      <c r="D2019" s="34">
        <v>27</v>
      </c>
      <c r="E2019" s="32">
        <f>DAY(TableAopCalendar[[#This Row],[Date]])</f>
        <v>9</v>
      </c>
      <c r="F2019" s="32">
        <f>IF(TableAopCalendar[[#This Row],[Day]]&lt;8,1,IF(TableAopCalendar[[#This Row],[Day]]&lt;15,2,IF(TableAopCalendar[[#This Row],[Day]]&lt;22,3,IF(TableAopCalendar[[#This Row],[Day]]&lt;29,4,IF(TableAopCalendar[[#This Row],[Day]]&lt;32,5)))))</f>
        <v>2</v>
      </c>
      <c r="G2019" s="32" t="str">
        <f t="shared" si="109"/>
        <v>Week 2</v>
      </c>
      <c r="H2019" s="32" t="str">
        <f t="shared" si="110"/>
        <v>October 27 Week 2</v>
      </c>
      <c r="I2019" s="32" t="str">
        <f>CONCATENATE(UPPER(TableAopCalendar[[#This Row],[Month]])," ",TableAopCalendar[[#This Row],[Year]])</f>
        <v>OCTOBER 27</v>
      </c>
      <c r="J2019" s="7" t="s">
        <v>274</v>
      </c>
      <c r="K2019" s="32" t="str">
        <f>CONCATENATE(TableAopCalendar[[#This Row],[Month for Plan]]," ",TableAopCalendar[[#This Row],[Plan]])</f>
        <v>OCTOBER 27 PLANNED</v>
      </c>
    </row>
    <row r="2020" spans="1:11" x14ac:dyDescent="0.3">
      <c r="A2020" s="32">
        <f t="shared" ref="A2020:A2083" si="111">IF(G2020=G2019,A2019+1,1)</f>
        <v>3</v>
      </c>
      <c r="B2020" s="33">
        <v>46670</v>
      </c>
      <c r="C2020" s="6" t="s">
        <v>114</v>
      </c>
      <c r="D2020" s="34">
        <v>27</v>
      </c>
      <c r="E2020" s="32">
        <f>DAY(TableAopCalendar[[#This Row],[Date]])</f>
        <v>10</v>
      </c>
      <c r="F2020" s="32">
        <f>IF(TableAopCalendar[[#This Row],[Day]]&lt;8,1,IF(TableAopCalendar[[#This Row],[Day]]&lt;15,2,IF(TableAopCalendar[[#This Row],[Day]]&lt;22,3,IF(TableAopCalendar[[#This Row],[Day]]&lt;29,4,IF(TableAopCalendar[[#This Row],[Day]]&lt;32,5)))))</f>
        <v>2</v>
      </c>
      <c r="G2020" s="32" t="str">
        <f t="shared" ref="G2020:G2083" si="112">"Week"&amp;" "&amp;F2020</f>
        <v>Week 2</v>
      </c>
      <c r="H2020" s="32" t="str">
        <f t="shared" ref="H2020:H2083" si="113">CONCATENATE(C2020," ",D2020," ",G2020)</f>
        <v>October 27 Week 2</v>
      </c>
      <c r="I2020" s="32" t="str">
        <f>CONCATENATE(UPPER(TableAopCalendar[[#This Row],[Month]])," ",TableAopCalendar[[#This Row],[Year]])</f>
        <v>OCTOBER 27</v>
      </c>
      <c r="J2020" s="7" t="s">
        <v>274</v>
      </c>
      <c r="K2020" s="32" t="str">
        <f>CONCATENATE(TableAopCalendar[[#This Row],[Month for Plan]]," ",TableAopCalendar[[#This Row],[Plan]])</f>
        <v>OCTOBER 27 PLANNED</v>
      </c>
    </row>
    <row r="2021" spans="1:11" x14ac:dyDescent="0.3">
      <c r="A2021" s="32">
        <f t="shared" si="111"/>
        <v>4</v>
      </c>
      <c r="B2021" s="33">
        <v>46671</v>
      </c>
      <c r="C2021" s="6" t="s">
        <v>114</v>
      </c>
      <c r="D2021" s="34">
        <v>27</v>
      </c>
      <c r="E2021" s="32">
        <f>DAY(TableAopCalendar[[#This Row],[Date]])</f>
        <v>11</v>
      </c>
      <c r="F2021" s="32">
        <f>IF(TableAopCalendar[[#This Row],[Day]]&lt;8,1,IF(TableAopCalendar[[#This Row],[Day]]&lt;15,2,IF(TableAopCalendar[[#This Row],[Day]]&lt;22,3,IF(TableAopCalendar[[#This Row],[Day]]&lt;29,4,IF(TableAopCalendar[[#This Row],[Day]]&lt;32,5)))))</f>
        <v>2</v>
      </c>
      <c r="G2021" s="32" t="str">
        <f t="shared" si="112"/>
        <v>Week 2</v>
      </c>
      <c r="H2021" s="32" t="str">
        <f t="shared" si="113"/>
        <v>October 27 Week 2</v>
      </c>
      <c r="I2021" s="32" t="str">
        <f>CONCATENATE(UPPER(TableAopCalendar[[#This Row],[Month]])," ",TableAopCalendar[[#This Row],[Year]])</f>
        <v>OCTOBER 27</v>
      </c>
      <c r="J2021" s="7" t="s">
        <v>274</v>
      </c>
      <c r="K2021" s="32" t="str">
        <f>CONCATENATE(TableAopCalendar[[#This Row],[Month for Plan]]," ",TableAopCalendar[[#This Row],[Plan]])</f>
        <v>OCTOBER 27 PLANNED</v>
      </c>
    </row>
    <row r="2022" spans="1:11" x14ac:dyDescent="0.3">
      <c r="A2022" s="32">
        <f t="shared" si="111"/>
        <v>5</v>
      </c>
      <c r="B2022" s="33">
        <v>46672</v>
      </c>
      <c r="C2022" s="6" t="s">
        <v>114</v>
      </c>
      <c r="D2022" s="34">
        <v>27</v>
      </c>
      <c r="E2022" s="32">
        <f>DAY(TableAopCalendar[[#This Row],[Date]])</f>
        <v>12</v>
      </c>
      <c r="F2022" s="32">
        <f>IF(TableAopCalendar[[#This Row],[Day]]&lt;8,1,IF(TableAopCalendar[[#This Row],[Day]]&lt;15,2,IF(TableAopCalendar[[#This Row],[Day]]&lt;22,3,IF(TableAopCalendar[[#This Row],[Day]]&lt;29,4,IF(TableAopCalendar[[#This Row],[Day]]&lt;32,5)))))</f>
        <v>2</v>
      </c>
      <c r="G2022" s="32" t="str">
        <f t="shared" si="112"/>
        <v>Week 2</v>
      </c>
      <c r="H2022" s="32" t="str">
        <f t="shared" si="113"/>
        <v>October 27 Week 2</v>
      </c>
      <c r="I2022" s="32" t="str">
        <f>CONCATENATE(UPPER(TableAopCalendar[[#This Row],[Month]])," ",TableAopCalendar[[#This Row],[Year]])</f>
        <v>OCTOBER 27</v>
      </c>
      <c r="J2022" s="7" t="s">
        <v>274</v>
      </c>
      <c r="K2022" s="32" t="str">
        <f>CONCATENATE(TableAopCalendar[[#This Row],[Month for Plan]]," ",TableAopCalendar[[#This Row],[Plan]])</f>
        <v>OCTOBER 27 PLANNED</v>
      </c>
    </row>
    <row r="2023" spans="1:11" x14ac:dyDescent="0.3">
      <c r="A2023" s="32">
        <f t="shared" si="111"/>
        <v>6</v>
      </c>
      <c r="B2023" s="33">
        <v>46673</v>
      </c>
      <c r="C2023" s="6" t="s">
        <v>114</v>
      </c>
      <c r="D2023" s="34">
        <v>27</v>
      </c>
      <c r="E2023" s="32">
        <f>DAY(TableAopCalendar[[#This Row],[Date]])</f>
        <v>13</v>
      </c>
      <c r="F2023" s="32">
        <f>IF(TableAopCalendar[[#This Row],[Day]]&lt;8,1,IF(TableAopCalendar[[#This Row],[Day]]&lt;15,2,IF(TableAopCalendar[[#This Row],[Day]]&lt;22,3,IF(TableAopCalendar[[#This Row],[Day]]&lt;29,4,IF(TableAopCalendar[[#This Row],[Day]]&lt;32,5)))))</f>
        <v>2</v>
      </c>
      <c r="G2023" s="32" t="str">
        <f t="shared" si="112"/>
        <v>Week 2</v>
      </c>
      <c r="H2023" s="32" t="str">
        <f t="shared" si="113"/>
        <v>October 27 Week 2</v>
      </c>
      <c r="I2023" s="32" t="str">
        <f>CONCATENATE(UPPER(TableAopCalendar[[#This Row],[Month]])," ",TableAopCalendar[[#This Row],[Year]])</f>
        <v>OCTOBER 27</v>
      </c>
      <c r="J2023" s="7" t="s">
        <v>274</v>
      </c>
      <c r="K2023" s="32" t="str">
        <f>CONCATENATE(TableAopCalendar[[#This Row],[Month for Plan]]," ",TableAopCalendar[[#This Row],[Plan]])</f>
        <v>OCTOBER 27 PLANNED</v>
      </c>
    </row>
    <row r="2024" spans="1:11" x14ac:dyDescent="0.3">
      <c r="A2024" s="32">
        <f t="shared" si="111"/>
        <v>7</v>
      </c>
      <c r="B2024" s="33">
        <v>46674</v>
      </c>
      <c r="C2024" s="6" t="s">
        <v>114</v>
      </c>
      <c r="D2024" s="34">
        <v>27</v>
      </c>
      <c r="E2024" s="32">
        <f>DAY(TableAopCalendar[[#This Row],[Date]])</f>
        <v>14</v>
      </c>
      <c r="F2024" s="32">
        <f>IF(TableAopCalendar[[#This Row],[Day]]&lt;8,1,IF(TableAopCalendar[[#This Row],[Day]]&lt;15,2,IF(TableAopCalendar[[#This Row],[Day]]&lt;22,3,IF(TableAopCalendar[[#This Row],[Day]]&lt;29,4,IF(TableAopCalendar[[#This Row],[Day]]&lt;32,5)))))</f>
        <v>2</v>
      </c>
      <c r="G2024" s="32" t="str">
        <f t="shared" si="112"/>
        <v>Week 2</v>
      </c>
      <c r="H2024" s="32" t="str">
        <f t="shared" si="113"/>
        <v>October 27 Week 2</v>
      </c>
      <c r="I2024" s="32" t="str">
        <f>CONCATENATE(UPPER(TableAopCalendar[[#This Row],[Month]])," ",TableAopCalendar[[#This Row],[Year]])</f>
        <v>OCTOBER 27</v>
      </c>
      <c r="J2024" s="7" t="s">
        <v>274</v>
      </c>
      <c r="K2024" s="32" t="str">
        <f>CONCATENATE(TableAopCalendar[[#This Row],[Month for Plan]]," ",TableAopCalendar[[#This Row],[Plan]])</f>
        <v>OCTOBER 27 PLANNED</v>
      </c>
    </row>
    <row r="2025" spans="1:11" x14ac:dyDescent="0.3">
      <c r="A2025" s="32">
        <f t="shared" si="111"/>
        <v>1</v>
      </c>
      <c r="B2025" s="33">
        <v>46675</v>
      </c>
      <c r="C2025" s="6" t="s">
        <v>114</v>
      </c>
      <c r="D2025" s="34">
        <v>27</v>
      </c>
      <c r="E2025" s="32">
        <f>DAY(TableAopCalendar[[#This Row],[Date]])</f>
        <v>15</v>
      </c>
      <c r="F2025" s="32">
        <f>IF(TableAopCalendar[[#This Row],[Day]]&lt;8,1,IF(TableAopCalendar[[#This Row],[Day]]&lt;15,2,IF(TableAopCalendar[[#This Row],[Day]]&lt;22,3,IF(TableAopCalendar[[#This Row],[Day]]&lt;29,4,IF(TableAopCalendar[[#This Row],[Day]]&lt;32,5)))))</f>
        <v>3</v>
      </c>
      <c r="G2025" s="32" t="str">
        <f t="shared" si="112"/>
        <v>Week 3</v>
      </c>
      <c r="H2025" s="32" t="str">
        <f t="shared" si="113"/>
        <v>October 27 Week 3</v>
      </c>
      <c r="I2025" s="32" t="str">
        <f>CONCATENATE(UPPER(TableAopCalendar[[#This Row],[Month]])," ",TableAopCalendar[[#This Row],[Year]])</f>
        <v>OCTOBER 27</v>
      </c>
      <c r="J2025" s="7" t="s">
        <v>274</v>
      </c>
      <c r="K2025" s="32" t="str">
        <f>CONCATENATE(TableAopCalendar[[#This Row],[Month for Plan]]," ",TableAopCalendar[[#This Row],[Plan]])</f>
        <v>OCTOBER 27 PLANNED</v>
      </c>
    </row>
    <row r="2026" spans="1:11" x14ac:dyDescent="0.3">
      <c r="A2026" s="32">
        <f t="shared" si="111"/>
        <v>2</v>
      </c>
      <c r="B2026" s="33">
        <v>46676</v>
      </c>
      <c r="C2026" s="6" t="s">
        <v>114</v>
      </c>
      <c r="D2026" s="34">
        <v>27</v>
      </c>
      <c r="E2026" s="32">
        <f>DAY(TableAopCalendar[[#This Row],[Date]])</f>
        <v>16</v>
      </c>
      <c r="F2026" s="32">
        <f>IF(TableAopCalendar[[#This Row],[Day]]&lt;8,1,IF(TableAopCalendar[[#This Row],[Day]]&lt;15,2,IF(TableAopCalendar[[#This Row],[Day]]&lt;22,3,IF(TableAopCalendar[[#This Row],[Day]]&lt;29,4,IF(TableAopCalendar[[#This Row],[Day]]&lt;32,5)))))</f>
        <v>3</v>
      </c>
      <c r="G2026" s="32" t="str">
        <f t="shared" si="112"/>
        <v>Week 3</v>
      </c>
      <c r="H2026" s="32" t="str">
        <f t="shared" si="113"/>
        <v>October 27 Week 3</v>
      </c>
      <c r="I2026" s="32" t="str">
        <f>CONCATENATE(UPPER(TableAopCalendar[[#This Row],[Month]])," ",TableAopCalendar[[#This Row],[Year]])</f>
        <v>OCTOBER 27</v>
      </c>
      <c r="J2026" s="7" t="s">
        <v>274</v>
      </c>
      <c r="K2026" s="32" t="str">
        <f>CONCATENATE(TableAopCalendar[[#This Row],[Month for Plan]]," ",TableAopCalendar[[#This Row],[Plan]])</f>
        <v>OCTOBER 27 PLANNED</v>
      </c>
    </row>
    <row r="2027" spans="1:11" x14ac:dyDescent="0.3">
      <c r="A2027" s="32">
        <f t="shared" si="111"/>
        <v>3</v>
      </c>
      <c r="B2027" s="33">
        <v>46677</v>
      </c>
      <c r="C2027" s="6" t="s">
        <v>114</v>
      </c>
      <c r="D2027" s="34">
        <v>27</v>
      </c>
      <c r="E2027" s="32">
        <f>DAY(TableAopCalendar[[#This Row],[Date]])</f>
        <v>17</v>
      </c>
      <c r="F2027" s="32">
        <f>IF(TableAopCalendar[[#This Row],[Day]]&lt;8,1,IF(TableAopCalendar[[#This Row],[Day]]&lt;15,2,IF(TableAopCalendar[[#This Row],[Day]]&lt;22,3,IF(TableAopCalendar[[#This Row],[Day]]&lt;29,4,IF(TableAopCalendar[[#This Row],[Day]]&lt;32,5)))))</f>
        <v>3</v>
      </c>
      <c r="G2027" s="32" t="str">
        <f t="shared" si="112"/>
        <v>Week 3</v>
      </c>
      <c r="H2027" s="32" t="str">
        <f t="shared" si="113"/>
        <v>October 27 Week 3</v>
      </c>
      <c r="I2027" s="32" t="str">
        <f>CONCATENATE(UPPER(TableAopCalendar[[#This Row],[Month]])," ",TableAopCalendar[[#This Row],[Year]])</f>
        <v>OCTOBER 27</v>
      </c>
      <c r="J2027" s="7" t="s">
        <v>274</v>
      </c>
      <c r="K2027" s="32" t="str">
        <f>CONCATENATE(TableAopCalendar[[#This Row],[Month for Plan]]," ",TableAopCalendar[[#This Row],[Plan]])</f>
        <v>OCTOBER 27 PLANNED</v>
      </c>
    </row>
    <row r="2028" spans="1:11" x14ac:dyDescent="0.3">
      <c r="A2028" s="32">
        <f t="shared" si="111"/>
        <v>4</v>
      </c>
      <c r="B2028" s="33">
        <v>46678</v>
      </c>
      <c r="C2028" s="6" t="s">
        <v>114</v>
      </c>
      <c r="D2028" s="34">
        <v>27</v>
      </c>
      <c r="E2028" s="32">
        <f>DAY(TableAopCalendar[[#This Row],[Date]])</f>
        <v>18</v>
      </c>
      <c r="F2028" s="32">
        <f>IF(TableAopCalendar[[#This Row],[Day]]&lt;8,1,IF(TableAopCalendar[[#This Row],[Day]]&lt;15,2,IF(TableAopCalendar[[#This Row],[Day]]&lt;22,3,IF(TableAopCalendar[[#This Row],[Day]]&lt;29,4,IF(TableAopCalendar[[#This Row],[Day]]&lt;32,5)))))</f>
        <v>3</v>
      </c>
      <c r="G2028" s="32" t="str">
        <f t="shared" si="112"/>
        <v>Week 3</v>
      </c>
      <c r="H2028" s="32" t="str">
        <f t="shared" si="113"/>
        <v>October 27 Week 3</v>
      </c>
      <c r="I2028" s="32" t="str">
        <f>CONCATENATE(UPPER(TableAopCalendar[[#This Row],[Month]])," ",TableAopCalendar[[#This Row],[Year]])</f>
        <v>OCTOBER 27</v>
      </c>
      <c r="J2028" s="7" t="s">
        <v>274</v>
      </c>
      <c r="K2028" s="32" t="str">
        <f>CONCATENATE(TableAopCalendar[[#This Row],[Month for Plan]]," ",TableAopCalendar[[#This Row],[Plan]])</f>
        <v>OCTOBER 27 PLANNED</v>
      </c>
    </row>
    <row r="2029" spans="1:11" x14ac:dyDescent="0.3">
      <c r="A2029" s="32">
        <f t="shared" si="111"/>
        <v>5</v>
      </c>
      <c r="B2029" s="33">
        <v>46679</v>
      </c>
      <c r="C2029" s="6" t="s">
        <v>114</v>
      </c>
      <c r="D2029" s="34">
        <v>27</v>
      </c>
      <c r="E2029" s="32">
        <f>DAY(TableAopCalendar[[#This Row],[Date]])</f>
        <v>19</v>
      </c>
      <c r="F2029" s="32">
        <f>IF(TableAopCalendar[[#This Row],[Day]]&lt;8,1,IF(TableAopCalendar[[#This Row],[Day]]&lt;15,2,IF(TableAopCalendar[[#This Row],[Day]]&lt;22,3,IF(TableAopCalendar[[#This Row],[Day]]&lt;29,4,IF(TableAopCalendar[[#This Row],[Day]]&lt;32,5)))))</f>
        <v>3</v>
      </c>
      <c r="G2029" s="32" t="str">
        <f t="shared" si="112"/>
        <v>Week 3</v>
      </c>
      <c r="H2029" s="32" t="str">
        <f t="shared" si="113"/>
        <v>October 27 Week 3</v>
      </c>
      <c r="I2029" s="32" t="str">
        <f>CONCATENATE(UPPER(TableAopCalendar[[#This Row],[Month]])," ",TableAopCalendar[[#This Row],[Year]])</f>
        <v>OCTOBER 27</v>
      </c>
      <c r="J2029" s="7" t="s">
        <v>274</v>
      </c>
      <c r="K2029" s="32" t="str">
        <f>CONCATENATE(TableAopCalendar[[#This Row],[Month for Plan]]," ",TableAopCalendar[[#This Row],[Plan]])</f>
        <v>OCTOBER 27 PLANNED</v>
      </c>
    </row>
    <row r="2030" spans="1:11" x14ac:dyDescent="0.3">
      <c r="A2030" s="32">
        <f t="shared" si="111"/>
        <v>6</v>
      </c>
      <c r="B2030" s="33">
        <v>46680</v>
      </c>
      <c r="C2030" s="6" t="s">
        <v>114</v>
      </c>
      <c r="D2030" s="34">
        <v>27</v>
      </c>
      <c r="E2030" s="32">
        <f>DAY(TableAopCalendar[[#This Row],[Date]])</f>
        <v>20</v>
      </c>
      <c r="F2030" s="32">
        <f>IF(TableAopCalendar[[#This Row],[Day]]&lt;8,1,IF(TableAopCalendar[[#This Row],[Day]]&lt;15,2,IF(TableAopCalendar[[#This Row],[Day]]&lt;22,3,IF(TableAopCalendar[[#This Row],[Day]]&lt;29,4,IF(TableAopCalendar[[#This Row],[Day]]&lt;32,5)))))</f>
        <v>3</v>
      </c>
      <c r="G2030" s="32" t="str">
        <f t="shared" si="112"/>
        <v>Week 3</v>
      </c>
      <c r="H2030" s="32" t="str">
        <f t="shared" si="113"/>
        <v>October 27 Week 3</v>
      </c>
      <c r="I2030" s="32" t="str">
        <f>CONCATENATE(UPPER(TableAopCalendar[[#This Row],[Month]])," ",TableAopCalendar[[#This Row],[Year]])</f>
        <v>OCTOBER 27</v>
      </c>
      <c r="J2030" s="7" t="s">
        <v>274</v>
      </c>
      <c r="K2030" s="32" t="str">
        <f>CONCATENATE(TableAopCalendar[[#This Row],[Month for Plan]]," ",TableAopCalendar[[#This Row],[Plan]])</f>
        <v>OCTOBER 27 PLANNED</v>
      </c>
    </row>
    <row r="2031" spans="1:11" x14ac:dyDescent="0.3">
      <c r="A2031" s="32">
        <f t="shared" si="111"/>
        <v>7</v>
      </c>
      <c r="B2031" s="33">
        <v>46681</v>
      </c>
      <c r="C2031" s="6" t="s">
        <v>114</v>
      </c>
      <c r="D2031" s="34">
        <v>27</v>
      </c>
      <c r="E2031" s="32">
        <f>DAY(TableAopCalendar[[#This Row],[Date]])</f>
        <v>21</v>
      </c>
      <c r="F2031" s="32">
        <f>IF(TableAopCalendar[[#This Row],[Day]]&lt;8,1,IF(TableAopCalendar[[#This Row],[Day]]&lt;15,2,IF(TableAopCalendar[[#This Row],[Day]]&lt;22,3,IF(TableAopCalendar[[#This Row],[Day]]&lt;29,4,IF(TableAopCalendar[[#This Row],[Day]]&lt;32,5)))))</f>
        <v>3</v>
      </c>
      <c r="G2031" s="32" t="str">
        <f t="shared" si="112"/>
        <v>Week 3</v>
      </c>
      <c r="H2031" s="32" t="str">
        <f t="shared" si="113"/>
        <v>October 27 Week 3</v>
      </c>
      <c r="I2031" s="32" t="str">
        <f>CONCATENATE(UPPER(TableAopCalendar[[#This Row],[Month]])," ",TableAopCalendar[[#This Row],[Year]])</f>
        <v>OCTOBER 27</v>
      </c>
      <c r="J2031" s="7" t="s">
        <v>274</v>
      </c>
      <c r="K2031" s="32" t="str">
        <f>CONCATENATE(TableAopCalendar[[#This Row],[Month for Plan]]," ",TableAopCalendar[[#This Row],[Plan]])</f>
        <v>OCTOBER 27 PLANNED</v>
      </c>
    </row>
    <row r="2032" spans="1:11" x14ac:dyDescent="0.3">
      <c r="A2032" s="32">
        <f t="shared" si="111"/>
        <v>1</v>
      </c>
      <c r="B2032" s="33">
        <v>46682</v>
      </c>
      <c r="C2032" s="6" t="s">
        <v>114</v>
      </c>
      <c r="D2032" s="34">
        <v>27</v>
      </c>
      <c r="E2032" s="32">
        <f>DAY(TableAopCalendar[[#This Row],[Date]])</f>
        <v>22</v>
      </c>
      <c r="F2032" s="32">
        <f>IF(TableAopCalendar[[#This Row],[Day]]&lt;8,1,IF(TableAopCalendar[[#This Row],[Day]]&lt;15,2,IF(TableAopCalendar[[#This Row],[Day]]&lt;22,3,IF(TableAopCalendar[[#This Row],[Day]]&lt;29,4,IF(TableAopCalendar[[#This Row],[Day]]&lt;32,5)))))</f>
        <v>4</v>
      </c>
      <c r="G2032" s="32" t="str">
        <f t="shared" si="112"/>
        <v>Week 4</v>
      </c>
      <c r="H2032" s="32" t="str">
        <f t="shared" si="113"/>
        <v>October 27 Week 4</v>
      </c>
      <c r="I2032" s="32" t="str">
        <f>CONCATENATE(UPPER(TableAopCalendar[[#This Row],[Month]])," ",TableAopCalendar[[#This Row],[Year]])</f>
        <v>OCTOBER 27</v>
      </c>
      <c r="J2032" s="7" t="s">
        <v>274</v>
      </c>
      <c r="K2032" s="32" t="str">
        <f>CONCATENATE(TableAopCalendar[[#This Row],[Month for Plan]]," ",TableAopCalendar[[#This Row],[Plan]])</f>
        <v>OCTOBER 27 PLANNED</v>
      </c>
    </row>
    <row r="2033" spans="1:11" x14ac:dyDescent="0.3">
      <c r="A2033" s="32">
        <f t="shared" si="111"/>
        <v>2</v>
      </c>
      <c r="B2033" s="33">
        <v>46683</v>
      </c>
      <c r="C2033" s="6" t="s">
        <v>114</v>
      </c>
      <c r="D2033" s="34">
        <v>27</v>
      </c>
      <c r="E2033" s="32">
        <f>DAY(TableAopCalendar[[#This Row],[Date]])</f>
        <v>23</v>
      </c>
      <c r="F2033" s="32">
        <f>IF(TableAopCalendar[[#This Row],[Day]]&lt;8,1,IF(TableAopCalendar[[#This Row],[Day]]&lt;15,2,IF(TableAopCalendar[[#This Row],[Day]]&lt;22,3,IF(TableAopCalendar[[#This Row],[Day]]&lt;29,4,IF(TableAopCalendar[[#This Row],[Day]]&lt;32,5)))))</f>
        <v>4</v>
      </c>
      <c r="G2033" s="32" t="str">
        <f t="shared" si="112"/>
        <v>Week 4</v>
      </c>
      <c r="H2033" s="32" t="str">
        <f t="shared" si="113"/>
        <v>October 27 Week 4</v>
      </c>
      <c r="I2033" s="32" t="str">
        <f>CONCATENATE(UPPER(TableAopCalendar[[#This Row],[Month]])," ",TableAopCalendar[[#This Row],[Year]])</f>
        <v>OCTOBER 27</v>
      </c>
      <c r="J2033" s="7" t="s">
        <v>274</v>
      </c>
      <c r="K2033" s="32" t="str">
        <f>CONCATENATE(TableAopCalendar[[#This Row],[Month for Plan]]," ",TableAopCalendar[[#This Row],[Plan]])</f>
        <v>OCTOBER 27 PLANNED</v>
      </c>
    </row>
    <row r="2034" spans="1:11" x14ac:dyDescent="0.3">
      <c r="A2034" s="32">
        <f t="shared" si="111"/>
        <v>3</v>
      </c>
      <c r="B2034" s="33">
        <v>46684</v>
      </c>
      <c r="C2034" s="6" t="s">
        <v>114</v>
      </c>
      <c r="D2034" s="34">
        <v>27</v>
      </c>
      <c r="E2034" s="32">
        <f>DAY(TableAopCalendar[[#This Row],[Date]])</f>
        <v>24</v>
      </c>
      <c r="F2034" s="32">
        <f>IF(TableAopCalendar[[#This Row],[Day]]&lt;8,1,IF(TableAopCalendar[[#This Row],[Day]]&lt;15,2,IF(TableAopCalendar[[#This Row],[Day]]&lt;22,3,IF(TableAopCalendar[[#This Row],[Day]]&lt;29,4,IF(TableAopCalendar[[#This Row],[Day]]&lt;32,5)))))</f>
        <v>4</v>
      </c>
      <c r="G2034" s="32" t="str">
        <f t="shared" si="112"/>
        <v>Week 4</v>
      </c>
      <c r="H2034" s="32" t="str">
        <f t="shared" si="113"/>
        <v>October 27 Week 4</v>
      </c>
      <c r="I2034" s="32" t="str">
        <f>CONCATENATE(UPPER(TableAopCalendar[[#This Row],[Month]])," ",TableAopCalendar[[#This Row],[Year]])</f>
        <v>OCTOBER 27</v>
      </c>
      <c r="J2034" s="7" t="s">
        <v>274</v>
      </c>
      <c r="K2034" s="32" t="str">
        <f>CONCATENATE(TableAopCalendar[[#This Row],[Month for Plan]]," ",TableAopCalendar[[#This Row],[Plan]])</f>
        <v>OCTOBER 27 PLANNED</v>
      </c>
    </row>
    <row r="2035" spans="1:11" x14ac:dyDescent="0.3">
      <c r="A2035" s="32">
        <f t="shared" si="111"/>
        <v>4</v>
      </c>
      <c r="B2035" s="33">
        <v>46685</v>
      </c>
      <c r="C2035" s="6" t="s">
        <v>114</v>
      </c>
      <c r="D2035" s="34">
        <v>27</v>
      </c>
      <c r="E2035" s="32">
        <f>DAY(TableAopCalendar[[#This Row],[Date]])</f>
        <v>25</v>
      </c>
      <c r="F2035" s="32">
        <f>IF(TableAopCalendar[[#This Row],[Day]]&lt;8,1,IF(TableAopCalendar[[#This Row],[Day]]&lt;15,2,IF(TableAopCalendar[[#This Row],[Day]]&lt;22,3,IF(TableAopCalendar[[#This Row],[Day]]&lt;29,4,IF(TableAopCalendar[[#This Row],[Day]]&lt;32,5)))))</f>
        <v>4</v>
      </c>
      <c r="G2035" s="32" t="str">
        <f t="shared" si="112"/>
        <v>Week 4</v>
      </c>
      <c r="H2035" s="32" t="str">
        <f t="shared" si="113"/>
        <v>October 27 Week 4</v>
      </c>
      <c r="I2035" s="32" t="str">
        <f>CONCATENATE(UPPER(TableAopCalendar[[#This Row],[Month]])," ",TableAopCalendar[[#This Row],[Year]])</f>
        <v>OCTOBER 27</v>
      </c>
      <c r="J2035" s="7" t="s">
        <v>274</v>
      </c>
      <c r="K2035" s="32" t="str">
        <f>CONCATENATE(TableAopCalendar[[#This Row],[Month for Plan]]," ",TableAopCalendar[[#This Row],[Plan]])</f>
        <v>OCTOBER 27 PLANNED</v>
      </c>
    </row>
    <row r="2036" spans="1:11" x14ac:dyDescent="0.3">
      <c r="A2036" s="32">
        <f t="shared" si="111"/>
        <v>5</v>
      </c>
      <c r="B2036" s="33">
        <v>46686</v>
      </c>
      <c r="C2036" s="6" t="s">
        <v>114</v>
      </c>
      <c r="D2036" s="34">
        <v>27</v>
      </c>
      <c r="E2036" s="32">
        <f>DAY(TableAopCalendar[[#This Row],[Date]])</f>
        <v>26</v>
      </c>
      <c r="F2036" s="32">
        <f>IF(TableAopCalendar[[#This Row],[Day]]&lt;8,1,IF(TableAopCalendar[[#This Row],[Day]]&lt;15,2,IF(TableAopCalendar[[#This Row],[Day]]&lt;22,3,IF(TableAopCalendar[[#This Row],[Day]]&lt;29,4,IF(TableAopCalendar[[#This Row],[Day]]&lt;32,5)))))</f>
        <v>4</v>
      </c>
      <c r="G2036" s="32" t="str">
        <f t="shared" si="112"/>
        <v>Week 4</v>
      </c>
      <c r="H2036" s="32" t="str">
        <f t="shared" si="113"/>
        <v>October 27 Week 4</v>
      </c>
      <c r="I2036" s="32" t="str">
        <f>CONCATENATE(UPPER(TableAopCalendar[[#This Row],[Month]])," ",TableAopCalendar[[#This Row],[Year]])</f>
        <v>OCTOBER 27</v>
      </c>
      <c r="J2036" s="7" t="s">
        <v>274</v>
      </c>
      <c r="K2036" s="32" t="str">
        <f>CONCATENATE(TableAopCalendar[[#This Row],[Month for Plan]]," ",TableAopCalendar[[#This Row],[Plan]])</f>
        <v>OCTOBER 27 PLANNED</v>
      </c>
    </row>
    <row r="2037" spans="1:11" x14ac:dyDescent="0.3">
      <c r="A2037" s="32">
        <f t="shared" si="111"/>
        <v>6</v>
      </c>
      <c r="B2037" s="33">
        <v>46687</v>
      </c>
      <c r="C2037" s="6" t="s">
        <v>114</v>
      </c>
      <c r="D2037" s="34">
        <v>27</v>
      </c>
      <c r="E2037" s="32">
        <f>DAY(TableAopCalendar[[#This Row],[Date]])</f>
        <v>27</v>
      </c>
      <c r="F2037" s="32">
        <f>IF(TableAopCalendar[[#This Row],[Day]]&lt;8,1,IF(TableAopCalendar[[#This Row],[Day]]&lt;15,2,IF(TableAopCalendar[[#This Row],[Day]]&lt;22,3,IF(TableAopCalendar[[#This Row],[Day]]&lt;29,4,IF(TableAopCalendar[[#This Row],[Day]]&lt;32,5)))))</f>
        <v>4</v>
      </c>
      <c r="G2037" s="32" t="str">
        <f t="shared" si="112"/>
        <v>Week 4</v>
      </c>
      <c r="H2037" s="32" t="str">
        <f t="shared" si="113"/>
        <v>October 27 Week 4</v>
      </c>
      <c r="I2037" s="32" t="str">
        <f>CONCATENATE(UPPER(TableAopCalendar[[#This Row],[Month]])," ",TableAopCalendar[[#This Row],[Year]])</f>
        <v>OCTOBER 27</v>
      </c>
      <c r="J2037" s="7" t="s">
        <v>274</v>
      </c>
      <c r="K2037" s="32" t="str">
        <f>CONCATENATE(TableAopCalendar[[#This Row],[Month for Plan]]," ",TableAopCalendar[[#This Row],[Plan]])</f>
        <v>OCTOBER 27 PLANNED</v>
      </c>
    </row>
    <row r="2038" spans="1:11" x14ac:dyDescent="0.3">
      <c r="A2038" s="32">
        <f t="shared" si="111"/>
        <v>7</v>
      </c>
      <c r="B2038" s="33">
        <v>46688</v>
      </c>
      <c r="C2038" s="6" t="s">
        <v>114</v>
      </c>
      <c r="D2038" s="34">
        <v>27</v>
      </c>
      <c r="E2038" s="32">
        <f>DAY(TableAopCalendar[[#This Row],[Date]])</f>
        <v>28</v>
      </c>
      <c r="F2038" s="32">
        <f>IF(TableAopCalendar[[#This Row],[Day]]&lt;8,1,IF(TableAopCalendar[[#This Row],[Day]]&lt;15,2,IF(TableAopCalendar[[#This Row],[Day]]&lt;22,3,IF(TableAopCalendar[[#This Row],[Day]]&lt;29,4,IF(TableAopCalendar[[#This Row],[Day]]&lt;32,5)))))</f>
        <v>4</v>
      </c>
      <c r="G2038" s="32" t="str">
        <f t="shared" si="112"/>
        <v>Week 4</v>
      </c>
      <c r="H2038" s="32" t="str">
        <f t="shared" si="113"/>
        <v>October 27 Week 4</v>
      </c>
      <c r="I2038" s="32" t="str">
        <f>CONCATENATE(UPPER(TableAopCalendar[[#This Row],[Month]])," ",TableAopCalendar[[#This Row],[Year]])</f>
        <v>OCTOBER 27</v>
      </c>
      <c r="J2038" s="7" t="s">
        <v>274</v>
      </c>
      <c r="K2038" s="32" t="str">
        <f>CONCATENATE(TableAopCalendar[[#This Row],[Month for Plan]]," ",TableAopCalendar[[#This Row],[Plan]])</f>
        <v>OCTOBER 27 PLANNED</v>
      </c>
    </row>
    <row r="2039" spans="1:11" x14ac:dyDescent="0.3">
      <c r="A2039" s="32">
        <f t="shared" si="111"/>
        <v>1</v>
      </c>
      <c r="B2039" s="33">
        <v>46689</v>
      </c>
      <c r="C2039" s="6" t="s">
        <v>114</v>
      </c>
      <c r="D2039" s="34">
        <v>27</v>
      </c>
      <c r="E2039" s="32">
        <f>DAY(TableAopCalendar[[#This Row],[Date]])</f>
        <v>29</v>
      </c>
      <c r="F2039" s="32">
        <f>IF(TableAopCalendar[[#This Row],[Day]]&lt;8,1,IF(TableAopCalendar[[#This Row],[Day]]&lt;15,2,IF(TableAopCalendar[[#This Row],[Day]]&lt;22,3,IF(TableAopCalendar[[#This Row],[Day]]&lt;29,4,IF(TableAopCalendar[[#This Row],[Day]]&lt;32,5)))))</f>
        <v>5</v>
      </c>
      <c r="G2039" s="32" t="str">
        <f t="shared" si="112"/>
        <v>Week 5</v>
      </c>
      <c r="H2039" s="32" t="str">
        <f t="shared" si="113"/>
        <v>October 27 Week 5</v>
      </c>
      <c r="I2039" s="32" t="str">
        <f>CONCATENATE(UPPER(TableAopCalendar[[#This Row],[Month]])," ",TableAopCalendar[[#This Row],[Year]])</f>
        <v>OCTOBER 27</v>
      </c>
      <c r="J2039" s="7" t="s">
        <v>274</v>
      </c>
      <c r="K2039" s="32" t="str">
        <f>CONCATENATE(TableAopCalendar[[#This Row],[Month for Plan]]," ",TableAopCalendar[[#This Row],[Plan]])</f>
        <v>OCTOBER 27 PLANNED</v>
      </c>
    </row>
    <row r="2040" spans="1:11" x14ac:dyDescent="0.3">
      <c r="A2040" s="32">
        <f t="shared" si="111"/>
        <v>2</v>
      </c>
      <c r="B2040" s="33">
        <v>46690</v>
      </c>
      <c r="C2040" s="6" t="s">
        <v>114</v>
      </c>
      <c r="D2040" s="34">
        <v>27</v>
      </c>
      <c r="E2040" s="32">
        <f>DAY(TableAopCalendar[[#This Row],[Date]])</f>
        <v>30</v>
      </c>
      <c r="F2040" s="32">
        <f>IF(TableAopCalendar[[#This Row],[Day]]&lt;8,1,IF(TableAopCalendar[[#This Row],[Day]]&lt;15,2,IF(TableAopCalendar[[#This Row],[Day]]&lt;22,3,IF(TableAopCalendar[[#This Row],[Day]]&lt;29,4,IF(TableAopCalendar[[#This Row],[Day]]&lt;32,5)))))</f>
        <v>5</v>
      </c>
      <c r="G2040" s="32" t="str">
        <f t="shared" si="112"/>
        <v>Week 5</v>
      </c>
      <c r="H2040" s="32" t="str">
        <f t="shared" si="113"/>
        <v>October 27 Week 5</v>
      </c>
      <c r="I2040" s="32" t="str">
        <f>CONCATENATE(UPPER(TableAopCalendar[[#This Row],[Month]])," ",TableAopCalendar[[#This Row],[Year]])</f>
        <v>OCTOBER 27</v>
      </c>
      <c r="J2040" s="7" t="s">
        <v>274</v>
      </c>
      <c r="K2040" s="32" t="str">
        <f>CONCATENATE(TableAopCalendar[[#This Row],[Month for Plan]]," ",TableAopCalendar[[#This Row],[Plan]])</f>
        <v>OCTOBER 27 PLANNED</v>
      </c>
    </row>
    <row r="2041" spans="1:11" x14ac:dyDescent="0.3">
      <c r="A2041" s="32">
        <f t="shared" si="111"/>
        <v>3</v>
      </c>
      <c r="B2041" s="33">
        <v>46691</v>
      </c>
      <c r="C2041" s="6" t="s">
        <v>114</v>
      </c>
      <c r="D2041" s="34">
        <v>27</v>
      </c>
      <c r="E2041" s="32">
        <f>DAY(TableAopCalendar[[#This Row],[Date]])</f>
        <v>31</v>
      </c>
      <c r="F2041" s="32">
        <f>IF(TableAopCalendar[[#This Row],[Day]]&lt;8,1,IF(TableAopCalendar[[#This Row],[Day]]&lt;15,2,IF(TableAopCalendar[[#This Row],[Day]]&lt;22,3,IF(TableAopCalendar[[#This Row],[Day]]&lt;29,4,IF(TableAopCalendar[[#This Row],[Day]]&lt;32,5)))))</f>
        <v>5</v>
      </c>
      <c r="G2041" s="32" t="str">
        <f t="shared" si="112"/>
        <v>Week 5</v>
      </c>
      <c r="H2041" s="32" t="str">
        <f t="shared" si="113"/>
        <v>October 27 Week 5</v>
      </c>
      <c r="I2041" s="32" t="str">
        <f>CONCATENATE(UPPER(TableAopCalendar[[#This Row],[Month]])," ",TableAopCalendar[[#This Row],[Year]])</f>
        <v>OCTOBER 27</v>
      </c>
      <c r="J2041" s="7" t="s">
        <v>274</v>
      </c>
      <c r="K2041" s="32" t="str">
        <f>CONCATENATE(TableAopCalendar[[#This Row],[Month for Plan]]," ",TableAopCalendar[[#This Row],[Plan]])</f>
        <v>OCTOBER 27 PLANNED</v>
      </c>
    </row>
    <row r="2042" spans="1:11" x14ac:dyDescent="0.3">
      <c r="A2042" s="32">
        <f t="shared" si="111"/>
        <v>1</v>
      </c>
      <c r="B2042" s="33">
        <v>46692</v>
      </c>
      <c r="C2042" s="6" t="s">
        <v>117</v>
      </c>
      <c r="D2042" s="34">
        <v>27</v>
      </c>
      <c r="E2042" s="32">
        <f>DAY(TableAopCalendar[[#This Row],[Date]])</f>
        <v>1</v>
      </c>
      <c r="F2042" s="32">
        <f>IF(TableAopCalendar[[#This Row],[Day]]&lt;8,1,IF(TableAopCalendar[[#This Row],[Day]]&lt;15,2,IF(TableAopCalendar[[#This Row],[Day]]&lt;22,3,IF(TableAopCalendar[[#This Row],[Day]]&lt;29,4,IF(TableAopCalendar[[#This Row],[Day]]&lt;32,5)))))</f>
        <v>1</v>
      </c>
      <c r="G2042" s="32" t="str">
        <f t="shared" si="112"/>
        <v>Week 1</v>
      </c>
      <c r="H2042" s="32" t="str">
        <f t="shared" si="113"/>
        <v>November 27 Week 1</v>
      </c>
      <c r="I2042" s="32" t="str">
        <f>CONCATENATE(UPPER(TableAopCalendar[[#This Row],[Month]])," ",TableAopCalendar[[#This Row],[Year]])</f>
        <v>NOVEMBER 27</v>
      </c>
      <c r="J2042" s="7" t="s">
        <v>274</v>
      </c>
      <c r="K2042" s="32" t="str">
        <f>CONCATENATE(TableAopCalendar[[#This Row],[Month for Plan]]," ",TableAopCalendar[[#This Row],[Plan]])</f>
        <v>NOVEMBER 27 PLANNED</v>
      </c>
    </row>
    <row r="2043" spans="1:11" x14ac:dyDescent="0.3">
      <c r="A2043" s="32">
        <f t="shared" si="111"/>
        <v>2</v>
      </c>
      <c r="B2043" s="33">
        <v>46693</v>
      </c>
      <c r="C2043" s="6" t="s">
        <v>117</v>
      </c>
      <c r="D2043" s="34">
        <v>27</v>
      </c>
      <c r="E2043" s="32">
        <f>DAY(TableAopCalendar[[#This Row],[Date]])</f>
        <v>2</v>
      </c>
      <c r="F2043" s="32">
        <f>IF(TableAopCalendar[[#This Row],[Day]]&lt;8,1,IF(TableAopCalendar[[#This Row],[Day]]&lt;15,2,IF(TableAopCalendar[[#This Row],[Day]]&lt;22,3,IF(TableAopCalendar[[#This Row],[Day]]&lt;29,4,IF(TableAopCalendar[[#This Row],[Day]]&lt;32,5)))))</f>
        <v>1</v>
      </c>
      <c r="G2043" s="32" t="str">
        <f t="shared" si="112"/>
        <v>Week 1</v>
      </c>
      <c r="H2043" s="32" t="str">
        <f t="shared" si="113"/>
        <v>November 27 Week 1</v>
      </c>
      <c r="I2043" s="32" t="str">
        <f>CONCATENATE(UPPER(TableAopCalendar[[#This Row],[Month]])," ",TableAopCalendar[[#This Row],[Year]])</f>
        <v>NOVEMBER 27</v>
      </c>
      <c r="J2043" s="7" t="s">
        <v>274</v>
      </c>
      <c r="K2043" s="32" t="str">
        <f>CONCATENATE(TableAopCalendar[[#This Row],[Month for Plan]]," ",TableAopCalendar[[#This Row],[Plan]])</f>
        <v>NOVEMBER 27 PLANNED</v>
      </c>
    </row>
    <row r="2044" spans="1:11" x14ac:dyDescent="0.3">
      <c r="A2044" s="32">
        <f t="shared" si="111"/>
        <v>3</v>
      </c>
      <c r="B2044" s="33">
        <v>46694</v>
      </c>
      <c r="C2044" s="6" t="s">
        <v>117</v>
      </c>
      <c r="D2044" s="34">
        <v>27</v>
      </c>
      <c r="E2044" s="32">
        <f>DAY(TableAopCalendar[[#This Row],[Date]])</f>
        <v>3</v>
      </c>
      <c r="F2044" s="32">
        <f>IF(TableAopCalendar[[#This Row],[Day]]&lt;8,1,IF(TableAopCalendar[[#This Row],[Day]]&lt;15,2,IF(TableAopCalendar[[#This Row],[Day]]&lt;22,3,IF(TableAopCalendar[[#This Row],[Day]]&lt;29,4,IF(TableAopCalendar[[#This Row],[Day]]&lt;32,5)))))</f>
        <v>1</v>
      </c>
      <c r="G2044" s="32" t="str">
        <f t="shared" si="112"/>
        <v>Week 1</v>
      </c>
      <c r="H2044" s="32" t="str">
        <f t="shared" si="113"/>
        <v>November 27 Week 1</v>
      </c>
      <c r="I2044" s="32" t="str">
        <f>CONCATENATE(UPPER(TableAopCalendar[[#This Row],[Month]])," ",TableAopCalendar[[#This Row],[Year]])</f>
        <v>NOVEMBER 27</v>
      </c>
      <c r="J2044" s="7" t="s">
        <v>274</v>
      </c>
      <c r="K2044" s="32" t="str">
        <f>CONCATENATE(TableAopCalendar[[#This Row],[Month for Plan]]," ",TableAopCalendar[[#This Row],[Plan]])</f>
        <v>NOVEMBER 27 PLANNED</v>
      </c>
    </row>
    <row r="2045" spans="1:11" x14ac:dyDescent="0.3">
      <c r="A2045" s="32">
        <f t="shared" si="111"/>
        <v>4</v>
      </c>
      <c r="B2045" s="33">
        <v>46695</v>
      </c>
      <c r="C2045" s="6" t="s">
        <v>117</v>
      </c>
      <c r="D2045" s="34">
        <v>27</v>
      </c>
      <c r="E2045" s="32">
        <f>DAY(TableAopCalendar[[#This Row],[Date]])</f>
        <v>4</v>
      </c>
      <c r="F2045" s="32">
        <f>IF(TableAopCalendar[[#This Row],[Day]]&lt;8,1,IF(TableAopCalendar[[#This Row],[Day]]&lt;15,2,IF(TableAopCalendar[[#This Row],[Day]]&lt;22,3,IF(TableAopCalendar[[#This Row],[Day]]&lt;29,4,IF(TableAopCalendar[[#This Row],[Day]]&lt;32,5)))))</f>
        <v>1</v>
      </c>
      <c r="G2045" s="32" t="str">
        <f t="shared" si="112"/>
        <v>Week 1</v>
      </c>
      <c r="H2045" s="32" t="str">
        <f t="shared" si="113"/>
        <v>November 27 Week 1</v>
      </c>
      <c r="I2045" s="32" t="str">
        <f>CONCATENATE(UPPER(TableAopCalendar[[#This Row],[Month]])," ",TableAopCalendar[[#This Row],[Year]])</f>
        <v>NOVEMBER 27</v>
      </c>
      <c r="J2045" s="7" t="s">
        <v>274</v>
      </c>
      <c r="K2045" s="32" t="str">
        <f>CONCATENATE(TableAopCalendar[[#This Row],[Month for Plan]]," ",TableAopCalendar[[#This Row],[Plan]])</f>
        <v>NOVEMBER 27 PLANNED</v>
      </c>
    </row>
    <row r="2046" spans="1:11" x14ac:dyDescent="0.3">
      <c r="A2046" s="32">
        <f t="shared" si="111"/>
        <v>5</v>
      </c>
      <c r="B2046" s="33">
        <v>46696</v>
      </c>
      <c r="C2046" s="6" t="s">
        <v>117</v>
      </c>
      <c r="D2046" s="34">
        <v>27</v>
      </c>
      <c r="E2046" s="32">
        <f>DAY(TableAopCalendar[[#This Row],[Date]])</f>
        <v>5</v>
      </c>
      <c r="F2046" s="32">
        <f>IF(TableAopCalendar[[#This Row],[Day]]&lt;8,1,IF(TableAopCalendar[[#This Row],[Day]]&lt;15,2,IF(TableAopCalendar[[#This Row],[Day]]&lt;22,3,IF(TableAopCalendar[[#This Row],[Day]]&lt;29,4,IF(TableAopCalendar[[#This Row],[Day]]&lt;32,5)))))</f>
        <v>1</v>
      </c>
      <c r="G2046" s="32" t="str">
        <f t="shared" si="112"/>
        <v>Week 1</v>
      </c>
      <c r="H2046" s="32" t="str">
        <f t="shared" si="113"/>
        <v>November 27 Week 1</v>
      </c>
      <c r="I2046" s="32" t="str">
        <f>CONCATENATE(UPPER(TableAopCalendar[[#This Row],[Month]])," ",TableAopCalendar[[#This Row],[Year]])</f>
        <v>NOVEMBER 27</v>
      </c>
      <c r="J2046" s="7" t="s">
        <v>274</v>
      </c>
      <c r="K2046" s="32" t="str">
        <f>CONCATENATE(TableAopCalendar[[#This Row],[Month for Plan]]," ",TableAopCalendar[[#This Row],[Plan]])</f>
        <v>NOVEMBER 27 PLANNED</v>
      </c>
    </row>
    <row r="2047" spans="1:11" x14ac:dyDescent="0.3">
      <c r="A2047" s="32">
        <f t="shared" si="111"/>
        <v>6</v>
      </c>
      <c r="B2047" s="33">
        <v>46697</v>
      </c>
      <c r="C2047" s="6" t="s">
        <v>117</v>
      </c>
      <c r="D2047" s="34">
        <v>27</v>
      </c>
      <c r="E2047" s="32">
        <f>DAY(TableAopCalendar[[#This Row],[Date]])</f>
        <v>6</v>
      </c>
      <c r="F2047" s="32">
        <f>IF(TableAopCalendar[[#This Row],[Day]]&lt;8,1,IF(TableAopCalendar[[#This Row],[Day]]&lt;15,2,IF(TableAopCalendar[[#This Row],[Day]]&lt;22,3,IF(TableAopCalendar[[#This Row],[Day]]&lt;29,4,IF(TableAopCalendar[[#This Row],[Day]]&lt;32,5)))))</f>
        <v>1</v>
      </c>
      <c r="G2047" s="32" t="str">
        <f t="shared" si="112"/>
        <v>Week 1</v>
      </c>
      <c r="H2047" s="32" t="str">
        <f t="shared" si="113"/>
        <v>November 27 Week 1</v>
      </c>
      <c r="I2047" s="32" t="str">
        <f>CONCATENATE(UPPER(TableAopCalendar[[#This Row],[Month]])," ",TableAopCalendar[[#This Row],[Year]])</f>
        <v>NOVEMBER 27</v>
      </c>
      <c r="J2047" s="7" t="s">
        <v>274</v>
      </c>
      <c r="K2047" s="32" t="str">
        <f>CONCATENATE(TableAopCalendar[[#This Row],[Month for Plan]]," ",TableAopCalendar[[#This Row],[Plan]])</f>
        <v>NOVEMBER 27 PLANNED</v>
      </c>
    </row>
    <row r="2048" spans="1:11" x14ac:dyDescent="0.3">
      <c r="A2048" s="32">
        <f t="shared" si="111"/>
        <v>7</v>
      </c>
      <c r="B2048" s="33">
        <v>46698</v>
      </c>
      <c r="C2048" s="6" t="s">
        <v>117</v>
      </c>
      <c r="D2048" s="34">
        <v>27</v>
      </c>
      <c r="E2048" s="32">
        <f>DAY(TableAopCalendar[[#This Row],[Date]])</f>
        <v>7</v>
      </c>
      <c r="F2048" s="32">
        <f>IF(TableAopCalendar[[#This Row],[Day]]&lt;8,1,IF(TableAopCalendar[[#This Row],[Day]]&lt;15,2,IF(TableAopCalendar[[#This Row],[Day]]&lt;22,3,IF(TableAopCalendar[[#This Row],[Day]]&lt;29,4,IF(TableAopCalendar[[#This Row],[Day]]&lt;32,5)))))</f>
        <v>1</v>
      </c>
      <c r="G2048" s="32" t="str">
        <f t="shared" si="112"/>
        <v>Week 1</v>
      </c>
      <c r="H2048" s="32" t="str">
        <f t="shared" si="113"/>
        <v>November 27 Week 1</v>
      </c>
      <c r="I2048" s="32" t="str">
        <f>CONCATENATE(UPPER(TableAopCalendar[[#This Row],[Month]])," ",TableAopCalendar[[#This Row],[Year]])</f>
        <v>NOVEMBER 27</v>
      </c>
      <c r="J2048" s="7" t="s">
        <v>274</v>
      </c>
      <c r="K2048" s="32" t="str">
        <f>CONCATENATE(TableAopCalendar[[#This Row],[Month for Plan]]," ",TableAopCalendar[[#This Row],[Plan]])</f>
        <v>NOVEMBER 27 PLANNED</v>
      </c>
    </row>
    <row r="2049" spans="1:11" x14ac:dyDescent="0.3">
      <c r="A2049" s="32">
        <f t="shared" si="111"/>
        <v>1</v>
      </c>
      <c r="B2049" s="33">
        <v>46699</v>
      </c>
      <c r="C2049" s="6" t="s">
        <v>117</v>
      </c>
      <c r="D2049" s="34">
        <v>27</v>
      </c>
      <c r="E2049" s="32">
        <f>DAY(TableAopCalendar[[#This Row],[Date]])</f>
        <v>8</v>
      </c>
      <c r="F2049" s="32">
        <f>IF(TableAopCalendar[[#This Row],[Day]]&lt;8,1,IF(TableAopCalendar[[#This Row],[Day]]&lt;15,2,IF(TableAopCalendar[[#This Row],[Day]]&lt;22,3,IF(TableAopCalendar[[#This Row],[Day]]&lt;29,4,IF(TableAopCalendar[[#This Row],[Day]]&lt;32,5)))))</f>
        <v>2</v>
      </c>
      <c r="G2049" s="32" t="str">
        <f t="shared" si="112"/>
        <v>Week 2</v>
      </c>
      <c r="H2049" s="32" t="str">
        <f t="shared" si="113"/>
        <v>November 27 Week 2</v>
      </c>
      <c r="I2049" s="32" t="str">
        <f>CONCATENATE(UPPER(TableAopCalendar[[#This Row],[Month]])," ",TableAopCalendar[[#This Row],[Year]])</f>
        <v>NOVEMBER 27</v>
      </c>
      <c r="J2049" s="7" t="s">
        <v>274</v>
      </c>
      <c r="K2049" s="32" t="str">
        <f>CONCATENATE(TableAopCalendar[[#This Row],[Month for Plan]]," ",TableAopCalendar[[#This Row],[Plan]])</f>
        <v>NOVEMBER 27 PLANNED</v>
      </c>
    </row>
    <row r="2050" spans="1:11" x14ac:dyDescent="0.3">
      <c r="A2050" s="32">
        <f t="shared" si="111"/>
        <v>2</v>
      </c>
      <c r="B2050" s="33">
        <v>46700</v>
      </c>
      <c r="C2050" s="6" t="s">
        <v>117</v>
      </c>
      <c r="D2050" s="34">
        <v>27</v>
      </c>
      <c r="E2050" s="32">
        <f>DAY(TableAopCalendar[[#This Row],[Date]])</f>
        <v>9</v>
      </c>
      <c r="F2050" s="32">
        <f>IF(TableAopCalendar[[#This Row],[Day]]&lt;8,1,IF(TableAopCalendar[[#This Row],[Day]]&lt;15,2,IF(TableAopCalendar[[#This Row],[Day]]&lt;22,3,IF(TableAopCalendar[[#This Row],[Day]]&lt;29,4,IF(TableAopCalendar[[#This Row],[Day]]&lt;32,5)))))</f>
        <v>2</v>
      </c>
      <c r="G2050" s="32" t="str">
        <f t="shared" si="112"/>
        <v>Week 2</v>
      </c>
      <c r="H2050" s="32" t="str">
        <f t="shared" si="113"/>
        <v>November 27 Week 2</v>
      </c>
      <c r="I2050" s="32" t="str">
        <f>CONCATENATE(UPPER(TableAopCalendar[[#This Row],[Month]])," ",TableAopCalendar[[#This Row],[Year]])</f>
        <v>NOVEMBER 27</v>
      </c>
      <c r="J2050" s="7" t="s">
        <v>274</v>
      </c>
      <c r="K2050" s="32" t="str">
        <f>CONCATENATE(TableAopCalendar[[#This Row],[Month for Plan]]," ",TableAopCalendar[[#This Row],[Plan]])</f>
        <v>NOVEMBER 27 PLANNED</v>
      </c>
    </row>
    <row r="2051" spans="1:11" x14ac:dyDescent="0.3">
      <c r="A2051" s="32">
        <f t="shared" si="111"/>
        <v>3</v>
      </c>
      <c r="B2051" s="33">
        <v>46701</v>
      </c>
      <c r="C2051" s="6" t="s">
        <v>117</v>
      </c>
      <c r="D2051" s="34">
        <v>27</v>
      </c>
      <c r="E2051" s="32">
        <f>DAY(TableAopCalendar[[#This Row],[Date]])</f>
        <v>10</v>
      </c>
      <c r="F2051" s="32">
        <f>IF(TableAopCalendar[[#This Row],[Day]]&lt;8,1,IF(TableAopCalendar[[#This Row],[Day]]&lt;15,2,IF(TableAopCalendar[[#This Row],[Day]]&lt;22,3,IF(TableAopCalendar[[#This Row],[Day]]&lt;29,4,IF(TableAopCalendar[[#This Row],[Day]]&lt;32,5)))))</f>
        <v>2</v>
      </c>
      <c r="G2051" s="32" t="str">
        <f t="shared" si="112"/>
        <v>Week 2</v>
      </c>
      <c r="H2051" s="32" t="str">
        <f t="shared" si="113"/>
        <v>November 27 Week 2</v>
      </c>
      <c r="I2051" s="32" t="str">
        <f>CONCATENATE(UPPER(TableAopCalendar[[#This Row],[Month]])," ",TableAopCalendar[[#This Row],[Year]])</f>
        <v>NOVEMBER 27</v>
      </c>
      <c r="J2051" s="7" t="s">
        <v>274</v>
      </c>
      <c r="K2051" s="32" t="str">
        <f>CONCATENATE(TableAopCalendar[[#This Row],[Month for Plan]]," ",TableAopCalendar[[#This Row],[Plan]])</f>
        <v>NOVEMBER 27 PLANNED</v>
      </c>
    </row>
    <row r="2052" spans="1:11" x14ac:dyDescent="0.3">
      <c r="A2052" s="32">
        <f t="shared" si="111"/>
        <v>4</v>
      </c>
      <c r="B2052" s="33">
        <v>46702</v>
      </c>
      <c r="C2052" s="6" t="s">
        <v>117</v>
      </c>
      <c r="D2052" s="34">
        <v>27</v>
      </c>
      <c r="E2052" s="32">
        <f>DAY(TableAopCalendar[[#This Row],[Date]])</f>
        <v>11</v>
      </c>
      <c r="F2052" s="32">
        <f>IF(TableAopCalendar[[#This Row],[Day]]&lt;8,1,IF(TableAopCalendar[[#This Row],[Day]]&lt;15,2,IF(TableAopCalendar[[#This Row],[Day]]&lt;22,3,IF(TableAopCalendar[[#This Row],[Day]]&lt;29,4,IF(TableAopCalendar[[#This Row],[Day]]&lt;32,5)))))</f>
        <v>2</v>
      </c>
      <c r="G2052" s="32" t="str">
        <f t="shared" si="112"/>
        <v>Week 2</v>
      </c>
      <c r="H2052" s="32" t="str">
        <f t="shared" si="113"/>
        <v>November 27 Week 2</v>
      </c>
      <c r="I2052" s="32" t="str">
        <f>CONCATENATE(UPPER(TableAopCalendar[[#This Row],[Month]])," ",TableAopCalendar[[#This Row],[Year]])</f>
        <v>NOVEMBER 27</v>
      </c>
      <c r="J2052" s="7" t="s">
        <v>274</v>
      </c>
      <c r="K2052" s="32" t="str">
        <f>CONCATENATE(TableAopCalendar[[#This Row],[Month for Plan]]," ",TableAopCalendar[[#This Row],[Plan]])</f>
        <v>NOVEMBER 27 PLANNED</v>
      </c>
    </row>
    <row r="2053" spans="1:11" x14ac:dyDescent="0.3">
      <c r="A2053" s="32">
        <f t="shared" si="111"/>
        <v>5</v>
      </c>
      <c r="B2053" s="33">
        <v>46703</v>
      </c>
      <c r="C2053" s="6" t="s">
        <v>117</v>
      </c>
      <c r="D2053" s="34">
        <v>27</v>
      </c>
      <c r="E2053" s="32">
        <f>DAY(TableAopCalendar[[#This Row],[Date]])</f>
        <v>12</v>
      </c>
      <c r="F2053" s="32">
        <f>IF(TableAopCalendar[[#This Row],[Day]]&lt;8,1,IF(TableAopCalendar[[#This Row],[Day]]&lt;15,2,IF(TableAopCalendar[[#This Row],[Day]]&lt;22,3,IF(TableAopCalendar[[#This Row],[Day]]&lt;29,4,IF(TableAopCalendar[[#This Row],[Day]]&lt;32,5)))))</f>
        <v>2</v>
      </c>
      <c r="G2053" s="32" t="str">
        <f t="shared" si="112"/>
        <v>Week 2</v>
      </c>
      <c r="H2053" s="32" t="str">
        <f t="shared" si="113"/>
        <v>November 27 Week 2</v>
      </c>
      <c r="I2053" s="32" t="str">
        <f>CONCATENATE(UPPER(TableAopCalendar[[#This Row],[Month]])," ",TableAopCalendar[[#This Row],[Year]])</f>
        <v>NOVEMBER 27</v>
      </c>
      <c r="J2053" s="7" t="s">
        <v>274</v>
      </c>
      <c r="K2053" s="32" t="str">
        <f>CONCATENATE(TableAopCalendar[[#This Row],[Month for Plan]]," ",TableAopCalendar[[#This Row],[Plan]])</f>
        <v>NOVEMBER 27 PLANNED</v>
      </c>
    </row>
    <row r="2054" spans="1:11" x14ac:dyDescent="0.3">
      <c r="A2054" s="32">
        <f t="shared" si="111"/>
        <v>6</v>
      </c>
      <c r="B2054" s="33">
        <v>46704</v>
      </c>
      <c r="C2054" s="6" t="s">
        <v>117</v>
      </c>
      <c r="D2054" s="34">
        <v>27</v>
      </c>
      <c r="E2054" s="32">
        <f>DAY(TableAopCalendar[[#This Row],[Date]])</f>
        <v>13</v>
      </c>
      <c r="F2054" s="32">
        <f>IF(TableAopCalendar[[#This Row],[Day]]&lt;8,1,IF(TableAopCalendar[[#This Row],[Day]]&lt;15,2,IF(TableAopCalendar[[#This Row],[Day]]&lt;22,3,IF(TableAopCalendar[[#This Row],[Day]]&lt;29,4,IF(TableAopCalendar[[#This Row],[Day]]&lt;32,5)))))</f>
        <v>2</v>
      </c>
      <c r="G2054" s="32" t="str">
        <f t="shared" si="112"/>
        <v>Week 2</v>
      </c>
      <c r="H2054" s="32" t="str">
        <f t="shared" si="113"/>
        <v>November 27 Week 2</v>
      </c>
      <c r="I2054" s="32" t="str">
        <f>CONCATENATE(UPPER(TableAopCalendar[[#This Row],[Month]])," ",TableAopCalendar[[#This Row],[Year]])</f>
        <v>NOVEMBER 27</v>
      </c>
      <c r="J2054" s="7" t="s">
        <v>274</v>
      </c>
      <c r="K2054" s="32" t="str">
        <f>CONCATENATE(TableAopCalendar[[#This Row],[Month for Plan]]," ",TableAopCalendar[[#This Row],[Plan]])</f>
        <v>NOVEMBER 27 PLANNED</v>
      </c>
    </row>
    <row r="2055" spans="1:11" x14ac:dyDescent="0.3">
      <c r="A2055" s="32">
        <f t="shared" si="111"/>
        <v>7</v>
      </c>
      <c r="B2055" s="33">
        <v>46705</v>
      </c>
      <c r="C2055" s="6" t="s">
        <v>117</v>
      </c>
      <c r="D2055" s="34">
        <v>27</v>
      </c>
      <c r="E2055" s="32">
        <f>DAY(TableAopCalendar[[#This Row],[Date]])</f>
        <v>14</v>
      </c>
      <c r="F2055" s="32">
        <f>IF(TableAopCalendar[[#This Row],[Day]]&lt;8,1,IF(TableAopCalendar[[#This Row],[Day]]&lt;15,2,IF(TableAopCalendar[[#This Row],[Day]]&lt;22,3,IF(TableAopCalendar[[#This Row],[Day]]&lt;29,4,IF(TableAopCalendar[[#This Row],[Day]]&lt;32,5)))))</f>
        <v>2</v>
      </c>
      <c r="G2055" s="32" t="str">
        <f t="shared" si="112"/>
        <v>Week 2</v>
      </c>
      <c r="H2055" s="32" t="str">
        <f t="shared" si="113"/>
        <v>November 27 Week 2</v>
      </c>
      <c r="I2055" s="32" t="str">
        <f>CONCATENATE(UPPER(TableAopCalendar[[#This Row],[Month]])," ",TableAopCalendar[[#This Row],[Year]])</f>
        <v>NOVEMBER 27</v>
      </c>
      <c r="J2055" s="7" t="s">
        <v>274</v>
      </c>
      <c r="K2055" s="32" t="str">
        <f>CONCATENATE(TableAopCalendar[[#This Row],[Month for Plan]]," ",TableAopCalendar[[#This Row],[Plan]])</f>
        <v>NOVEMBER 27 PLANNED</v>
      </c>
    </row>
    <row r="2056" spans="1:11" x14ac:dyDescent="0.3">
      <c r="A2056" s="32">
        <f t="shared" si="111"/>
        <v>1</v>
      </c>
      <c r="B2056" s="33">
        <v>46706</v>
      </c>
      <c r="C2056" s="6" t="s">
        <v>117</v>
      </c>
      <c r="D2056" s="34">
        <v>27</v>
      </c>
      <c r="E2056" s="32">
        <f>DAY(TableAopCalendar[[#This Row],[Date]])</f>
        <v>15</v>
      </c>
      <c r="F2056" s="32">
        <f>IF(TableAopCalendar[[#This Row],[Day]]&lt;8,1,IF(TableAopCalendar[[#This Row],[Day]]&lt;15,2,IF(TableAopCalendar[[#This Row],[Day]]&lt;22,3,IF(TableAopCalendar[[#This Row],[Day]]&lt;29,4,IF(TableAopCalendar[[#This Row],[Day]]&lt;32,5)))))</f>
        <v>3</v>
      </c>
      <c r="G2056" s="32" t="str">
        <f t="shared" si="112"/>
        <v>Week 3</v>
      </c>
      <c r="H2056" s="32" t="str">
        <f t="shared" si="113"/>
        <v>November 27 Week 3</v>
      </c>
      <c r="I2056" s="32" t="str">
        <f>CONCATENATE(UPPER(TableAopCalendar[[#This Row],[Month]])," ",TableAopCalendar[[#This Row],[Year]])</f>
        <v>NOVEMBER 27</v>
      </c>
      <c r="J2056" s="7" t="s">
        <v>274</v>
      </c>
      <c r="K2056" s="32" t="str">
        <f>CONCATENATE(TableAopCalendar[[#This Row],[Month for Plan]]," ",TableAopCalendar[[#This Row],[Plan]])</f>
        <v>NOVEMBER 27 PLANNED</v>
      </c>
    </row>
    <row r="2057" spans="1:11" x14ac:dyDescent="0.3">
      <c r="A2057" s="32">
        <f t="shared" si="111"/>
        <v>2</v>
      </c>
      <c r="B2057" s="33">
        <v>46707</v>
      </c>
      <c r="C2057" s="6" t="s">
        <v>117</v>
      </c>
      <c r="D2057" s="34">
        <v>27</v>
      </c>
      <c r="E2057" s="32">
        <f>DAY(TableAopCalendar[[#This Row],[Date]])</f>
        <v>16</v>
      </c>
      <c r="F2057" s="32">
        <f>IF(TableAopCalendar[[#This Row],[Day]]&lt;8,1,IF(TableAopCalendar[[#This Row],[Day]]&lt;15,2,IF(TableAopCalendar[[#This Row],[Day]]&lt;22,3,IF(TableAopCalendar[[#This Row],[Day]]&lt;29,4,IF(TableAopCalendar[[#This Row],[Day]]&lt;32,5)))))</f>
        <v>3</v>
      </c>
      <c r="G2057" s="32" t="str">
        <f t="shared" si="112"/>
        <v>Week 3</v>
      </c>
      <c r="H2057" s="32" t="str">
        <f t="shared" si="113"/>
        <v>November 27 Week 3</v>
      </c>
      <c r="I2057" s="32" t="str">
        <f>CONCATENATE(UPPER(TableAopCalendar[[#This Row],[Month]])," ",TableAopCalendar[[#This Row],[Year]])</f>
        <v>NOVEMBER 27</v>
      </c>
      <c r="J2057" s="7" t="s">
        <v>274</v>
      </c>
      <c r="K2057" s="32" t="str">
        <f>CONCATENATE(TableAopCalendar[[#This Row],[Month for Plan]]," ",TableAopCalendar[[#This Row],[Plan]])</f>
        <v>NOVEMBER 27 PLANNED</v>
      </c>
    </row>
    <row r="2058" spans="1:11" x14ac:dyDescent="0.3">
      <c r="A2058" s="32">
        <f t="shared" si="111"/>
        <v>3</v>
      </c>
      <c r="B2058" s="33">
        <v>46708</v>
      </c>
      <c r="C2058" s="6" t="s">
        <v>117</v>
      </c>
      <c r="D2058" s="34">
        <v>27</v>
      </c>
      <c r="E2058" s="32">
        <f>DAY(TableAopCalendar[[#This Row],[Date]])</f>
        <v>17</v>
      </c>
      <c r="F2058" s="32">
        <f>IF(TableAopCalendar[[#This Row],[Day]]&lt;8,1,IF(TableAopCalendar[[#This Row],[Day]]&lt;15,2,IF(TableAopCalendar[[#This Row],[Day]]&lt;22,3,IF(TableAopCalendar[[#This Row],[Day]]&lt;29,4,IF(TableAopCalendar[[#This Row],[Day]]&lt;32,5)))))</f>
        <v>3</v>
      </c>
      <c r="G2058" s="32" t="str">
        <f t="shared" si="112"/>
        <v>Week 3</v>
      </c>
      <c r="H2058" s="32" t="str">
        <f t="shared" si="113"/>
        <v>November 27 Week 3</v>
      </c>
      <c r="I2058" s="32" t="str">
        <f>CONCATENATE(UPPER(TableAopCalendar[[#This Row],[Month]])," ",TableAopCalendar[[#This Row],[Year]])</f>
        <v>NOVEMBER 27</v>
      </c>
      <c r="J2058" s="7" t="s">
        <v>274</v>
      </c>
      <c r="K2058" s="32" t="str">
        <f>CONCATENATE(TableAopCalendar[[#This Row],[Month for Plan]]," ",TableAopCalendar[[#This Row],[Plan]])</f>
        <v>NOVEMBER 27 PLANNED</v>
      </c>
    </row>
    <row r="2059" spans="1:11" x14ac:dyDescent="0.3">
      <c r="A2059" s="32">
        <f t="shared" si="111"/>
        <v>4</v>
      </c>
      <c r="B2059" s="33">
        <v>46709</v>
      </c>
      <c r="C2059" s="6" t="s">
        <v>117</v>
      </c>
      <c r="D2059" s="34">
        <v>27</v>
      </c>
      <c r="E2059" s="32">
        <f>DAY(TableAopCalendar[[#This Row],[Date]])</f>
        <v>18</v>
      </c>
      <c r="F2059" s="32">
        <f>IF(TableAopCalendar[[#This Row],[Day]]&lt;8,1,IF(TableAopCalendar[[#This Row],[Day]]&lt;15,2,IF(TableAopCalendar[[#This Row],[Day]]&lt;22,3,IF(TableAopCalendar[[#This Row],[Day]]&lt;29,4,IF(TableAopCalendar[[#This Row],[Day]]&lt;32,5)))))</f>
        <v>3</v>
      </c>
      <c r="G2059" s="32" t="str">
        <f t="shared" si="112"/>
        <v>Week 3</v>
      </c>
      <c r="H2059" s="32" t="str">
        <f t="shared" si="113"/>
        <v>November 27 Week 3</v>
      </c>
      <c r="I2059" s="32" t="str">
        <f>CONCATENATE(UPPER(TableAopCalendar[[#This Row],[Month]])," ",TableAopCalendar[[#This Row],[Year]])</f>
        <v>NOVEMBER 27</v>
      </c>
      <c r="J2059" s="7" t="s">
        <v>274</v>
      </c>
      <c r="K2059" s="32" t="str">
        <f>CONCATENATE(TableAopCalendar[[#This Row],[Month for Plan]]," ",TableAopCalendar[[#This Row],[Plan]])</f>
        <v>NOVEMBER 27 PLANNED</v>
      </c>
    </row>
    <row r="2060" spans="1:11" x14ac:dyDescent="0.3">
      <c r="A2060" s="32">
        <f t="shared" si="111"/>
        <v>5</v>
      </c>
      <c r="B2060" s="33">
        <v>46710</v>
      </c>
      <c r="C2060" s="6" t="s">
        <v>117</v>
      </c>
      <c r="D2060" s="34">
        <v>27</v>
      </c>
      <c r="E2060" s="32">
        <f>DAY(TableAopCalendar[[#This Row],[Date]])</f>
        <v>19</v>
      </c>
      <c r="F2060" s="32">
        <f>IF(TableAopCalendar[[#This Row],[Day]]&lt;8,1,IF(TableAopCalendar[[#This Row],[Day]]&lt;15,2,IF(TableAopCalendar[[#This Row],[Day]]&lt;22,3,IF(TableAopCalendar[[#This Row],[Day]]&lt;29,4,IF(TableAopCalendar[[#This Row],[Day]]&lt;32,5)))))</f>
        <v>3</v>
      </c>
      <c r="G2060" s="32" t="str">
        <f t="shared" si="112"/>
        <v>Week 3</v>
      </c>
      <c r="H2060" s="32" t="str">
        <f t="shared" si="113"/>
        <v>November 27 Week 3</v>
      </c>
      <c r="I2060" s="32" t="str">
        <f>CONCATENATE(UPPER(TableAopCalendar[[#This Row],[Month]])," ",TableAopCalendar[[#This Row],[Year]])</f>
        <v>NOVEMBER 27</v>
      </c>
      <c r="J2060" s="7" t="s">
        <v>274</v>
      </c>
      <c r="K2060" s="32" t="str">
        <f>CONCATENATE(TableAopCalendar[[#This Row],[Month for Plan]]," ",TableAopCalendar[[#This Row],[Plan]])</f>
        <v>NOVEMBER 27 PLANNED</v>
      </c>
    </row>
    <row r="2061" spans="1:11" x14ac:dyDescent="0.3">
      <c r="A2061" s="32">
        <f t="shared" si="111"/>
        <v>6</v>
      </c>
      <c r="B2061" s="33">
        <v>46711</v>
      </c>
      <c r="C2061" s="6" t="s">
        <v>117</v>
      </c>
      <c r="D2061" s="34">
        <v>27</v>
      </c>
      <c r="E2061" s="32">
        <f>DAY(TableAopCalendar[[#This Row],[Date]])</f>
        <v>20</v>
      </c>
      <c r="F2061" s="32">
        <f>IF(TableAopCalendar[[#This Row],[Day]]&lt;8,1,IF(TableAopCalendar[[#This Row],[Day]]&lt;15,2,IF(TableAopCalendar[[#This Row],[Day]]&lt;22,3,IF(TableAopCalendar[[#This Row],[Day]]&lt;29,4,IF(TableAopCalendar[[#This Row],[Day]]&lt;32,5)))))</f>
        <v>3</v>
      </c>
      <c r="G2061" s="32" t="str">
        <f t="shared" si="112"/>
        <v>Week 3</v>
      </c>
      <c r="H2061" s="32" t="str">
        <f t="shared" si="113"/>
        <v>November 27 Week 3</v>
      </c>
      <c r="I2061" s="32" t="str">
        <f>CONCATENATE(UPPER(TableAopCalendar[[#This Row],[Month]])," ",TableAopCalendar[[#This Row],[Year]])</f>
        <v>NOVEMBER 27</v>
      </c>
      <c r="J2061" s="7" t="s">
        <v>274</v>
      </c>
      <c r="K2061" s="32" t="str">
        <f>CONCATENATE(TableAopCalendar[[#This Row],[Month for Plan]]," ",TableAopCalendar[[#This Row],[Plan]])</f>
        <v>NOVEMBER 27 PLANNED</v>
      </c>
    </row>
    <row r="2062" spans="1:11" x14ac:dyDescent="0.3">
      <c r="A2062" s="32">
        <f t="shared" si="111"/>
        <v>7</v>
      </c>
      <c r="B2062" s="33">
        <v>46712</v>
      </c>
      <c r="C2062" s="6" t="s">
        <v>117</v>
      </c>
      <c r="D2062" s="34">
        <v>27</v>
      </c>
      <c r="E2062" s="32">
        <f>DAY(TableAopCalendar[[#This Row],[Date]])</f>
        <v>21</v>
      </c>
      <c r="F2062" s="32">
        <f>IF(TableAopCalendar[[#This Row],[Day]]&lt;8,1,IF(TableAopCalendar[[#This Row],[Day]]&lt;15,2,IF(TableAopCalendar[[#This Row],[Day]]&lt;22,3,IF(TableAopCalendar[[#This Row],[Day]]&lt;29,4,IF(TableAopCalendar[[#This Row],[Day]]&lt;32,5)))))</f>
        <v>3</v>
      </c>
      <c r="G2062" s="32" t="str">
        <f t="shared" si="112"/>
        <v>Week 3</v>
      </c>
      <c r="H2062" s="32" t="str">
        <f t="shared" si="113"/>
        <v>November 27 Week 3</v>
      </c>
      <c r="I2062" s="32" t="str">
        <f>CONCATENATE(UPPER(TableAopCalendar[[#This Row],[Month]])," ",TableAopCalendar[[#This Row],[Year]])</f>
        <v>NOVEMBER 27</v>
      </c>
      <c r="J2062" s="7" t="s">
        <v>274</v>
      </c>
      <c r="K2062" s="32" t="str">
        <f>CONCATENATE(TableAopCalendar[[#This Row],[Month for Plan]]," ",TableAopCalendar[[#This Row],[Plan]])</f>
        <v>NOVEMBER 27 PLANNED</v>
      </c>
    </row>
    <row r="2063" spans="1:11" x14ac:dyDescent="0.3">
      <c r="A2063" s="32">
        <f t="shared" si="111"/>
        <v>1</v>
      </c>
      <c r="B2063" s="33">
        <v>46713</v>
      </c>
      <c r="C2063" s="6" t="s">
        <v>117</v>
      </c>
      <c r="D2063" s="34">
        <v>27</v>
      </c>
      <c r="E2063" s="32">
        <f>DAY(TableAopCalendar[[#This Row],[Date]])</f>
        <v>22</v>
      </c>
      <c r="F2063" s="32">
        <f>IF(TableAopCalendar[[#This Row],[Day]]&lt;8,1,IF(TableAopCalendar[[#This Row],[Day]]&lt;15,2,IF(TableAopCalendar[[#This Row],[Day]]&lt;22,3,IF(TableAopCalendar[[#This Row],[Day]]&lt;29,4,IF(TableAopCalendar[[#This Row],[Day]]&lt;32,5)))))</f>
        <v>4</v>
      </c>
      <c r="G2063" s="32" t="str">
        <f t="shared" si="112"/>
        <v>Week 4</v>
      </c>
      <c r="H2063" s="32" t="str">
        <f t="shared" si="113"/>
        <v>November 27 Week 4</v>
      </c>
      <c r="I2063" s="32" t="str">
        <f>CONCATENATE(UPPER(TableAopCalendar[[#This Row],[Month]])," ",TableAopCalendar[[#This Row],[Year]])</f>
        <v>NOVEMBER 27</v>
      </c>
      <c r="J2063" s="7" t="s">
        <v>274</v>
      </c>
      <c r="K2063" s="32" t="str">
        <f>CONCATENATE(TableAopCalendar[[#This Row],[Month for Plan]]," ",TableAopCalendar[[#This Row],[Plan]])</f>
        <v>NOVEMBER 27 PLANNED</v>
      </c>
    </row>
    <row r="2064" spans="1:11" x14ac:dyDescent="0.3">
      <c r="A2064" s="32">
        <f t="shared" si="111"/>
        <v>2</v>
      </c>
      <c r="B2064" s="33">
        <v>46714</v>
      </c>
      <c r="C2064" s="6" t="s">
        <v>117</v>
      </c>
      <c r="D2064" s="34">
        <v>27</v>
      </c>
      <c r="E2064" s="32">
        <f>DAY(TableAopCalendar[[#This Row],[Date]])</f>
        <v>23</v>
      </c>
      <c r="F2064" s="32">
        <f>IF(TableAopCalendar[[#This Row],[Day]]&lt;8,1,IF(TableAopCalendar[[#This Row],[Day]]&lt;15,2,IF(TableAopCalendar[[#This Row],[Day]]&lt;22,3,IF(TableAopCalendar[[#This Row],[Day]]&lt;29,4,IF(TableAopCalendar[[#This Row],[Day]]&lt;32,5)))))</f>
        <v>4</v>
      </c>
      <c r="G2064" s="32" t="str">
        <f t="shared" si="112"/>
        <v>Week 4</v>
      </c>
      <c r="H2064" s="32" t="str">
        <f t="shared" si="113"/>
        <v>November 27 Week 4</v>
      </c>
      <c r="I2064" s="32" t="str">
        <f>CONCATENATE(UPPER(TableAopCalendar[[#This Row],[Month]])," ",TableAopCalendar[[#This Row],[Year]])</f>
        <v>NOVEMBER 27</v>
      </c>
      <c r="J2064" s="7" t="s">
        <v>274</v>
      </c>
      <c r="K2064" s="32" t="str">
        <f>CONCATENATE(TableAopCalendar[[#This Row],[Month for Plan]]," ",TableAopCalendar[[#This Row],[Plan]])</f>
        <v>NOVEMBER 27 PLANNED</v>
      </c>
    </row>
    <row r="2065" spans="1:11" x14ac:dyDescent="0.3">
      <c r="A2065" s="32">
        <f t="shared" si="111"/>
        <v>3</v>
      </c>
      <c r="B2065" s="33">
        <v>46715</v>
      </c>
      <c r="C2065" s="6" t="s">
        <v>117</v>
      </c>
      <c r="D2065" s="34">
        <v>27</v>
      </c>
      <c r="E2065" s="32">
        <f>DAY(TableAopCalendar[[#This Row],[Date]])</f>
        <v>24</v>
      </c>
      <c r="F2065" s="32">
        <f>IF(TableAopCalendar[[#This Row],[Day]]&lt;8,1,IF(TableAopCalendar[[#This Row],[Day]]&lt;15,2,IF(TableAopCalendar[[#This Row],[Day]]&lt;22,3,IF(TableAopCalendar[[#This Row],[Day]]&lt;29,4,IF(TableAopCalendar[[#This Row],[Day]]&lt;32,5)))))</f>
        <v>4</v>
      </c>
      <c r="G2065" s="32" t="str">
        <f t="shared" si="112"/>
        <v>Week 4</v>
      </c>
      <c r="H2065" s="32" t="str">
        <f t="shared" si="113"/>
        <v>November 27 Week 4</v>
      </c>
      <c r="I2065" s="32" t="str">
        <f>CONCATENATE(UPPER(TableAopCalendar[[#This Row],[Month]])," ",TableAopCalendar[[#This Row],[Year]])</f>
        <v>NOVEMBER 27</v>
      </c>
      <c r="J2065" s="7" t="s">
        <v>274</v>
      </c>
      <c r="K2065" s="32" t="str">
        <f>CONCATENATE(TableAopCalendar[[#This Row],[Month for Plan]]," ",TableAopCalendar[[#This Row],[Plan]])</f>
        <v>NOVEMBER 27 PLANNED</v>
      </c>
    </row>
    <row r="2066" spans="1:11" x14ac:dyDescent="0.3">
      <c r="A2066" s="32">
        <f t="shared" si="111"/>
        <v>4</v>
      </c>
      <c r="B2066" s="33">
        <v>46716</v>
      </c>
      <c r="C2066" s="6" t="s">
        <v>117</v>
      </c>
      <c r="D2066" s="34">
        <v>27</v>
      </c>
      <c r="E2066" s="32">
        <f>DAY(TableAopCalendar[[#This Row],[Date]])</f>
        <v>25</v>
      </c>
      <c r="F2066" s="32">
        <f>IF(TableAopCalendar[[#This Row],[Day]]&lt;8,1,IF(TableAopCalendar[[#This Row],[Day]]&lt;15,2,IF(TableAopCalendar[[#This Row],[Day]]&lt;22,3,IF(TableAopCalendar[[#This Row],[Day]]&lt;29,4,IF(TableAopCalendar[[#This Row],[Day]]&lt;32,5)))))</f>
        <v>4</v>
      </c>
      <c r="G2066" s="32" t="str">
        <f t="shared" si="112"/>
        <v>Week 4</v>
      </c>
      <c r="H2066" s="32" t="str">
        <f t="shared" si="113"/>
        <v>November 27 Week 4</v>
      </c>
      <c r="I2066" s="32" t="str">
        <f>CONCATENATE(UPPER(TableAopCalendar[[#This Row],[Month]])," ",TableAopCalendar[[#This Row],[Year]])</f>
        <v>NOVEMBER 27</v>
      </c>
      <c r="J2066" s="7" t="s">
        <v>274</v>
      </c>
      <c r="K2066" s="32" t="str">
        <f>CONCATENATE(TableAopCalendar[[#This Row],[Month for Plan]]," ",TableAopCalendar[[#This Row],[Plan]])</f>
        <v>NOVEMBER 27 PLANNED</v>
      </c>
    </row>
    <row r="2067" spans="1:11" x14ac:dyDescent="0.3">
      <c r="A2067" s="32">
        <f t="shared" si="111"/>
        <v>5</v>
      </c>
      <c r="B2067" s="33">
        <v>46717</v>
      </c>
      <c r="C2067" s="6" t="s">
        <v>117</v>
      </c>
      <c r="D2067" s="34">
        <v>27</v>
      </c>
      <c r="E2067" s="32">
        <f>DAY(TableAopCalendar[[#This Row],[Date]])</f>
        <v>26</v>
      </c>
      <c r="F2067" s="32">
        <f>IF(TableAopCalendar[[#This Row],[Day]]&lt;8,1,IF(TableAopCalendar[[#This Row],[Day]]&lt;15,2,IF(TableAopCalendar[[#This Row],[Day]]&lt;22,3,IF(TableAopCalendar[[#This Row],[Day]]&lt;29,4,IF(TableAopCalendar[[#This Row],[Day]]&lt;32,5)))))</f>
        <v>4</v>
      </c>
      <c r="G2067" s="32" t="str">
        <f t="shared" si="112"/>
        <v>Week 4</v>
      </c>
      <c r="H2067" s="32" t="str">
        <f t="shared" si="113"/>
        <v>November 27 Week 4</v>
      </c>
      <c r="I2067" s="32" t="str">
        <f>CONCATENATE(UPPER(TableAopCalendar[[#This Row],[Month]])," ",TableAopCalendar[[#This Row],[Year]])</f>
        <v>NOVEMBER 27</v>
      </c>
      <c r="J2067" s="7" t="s">
        <v>274</v>
      </c>
      <c r="K2067" s="32" t="str">
        <f>CONCATENATE(TableAopCalendar[[#This Row],[Month for Plan]]," ",TableAopCalendar[[#This Row],[Plan]])</f>
        <v>NOVEMBER 27 PLANNED</v>
      </c>
    </row>
    <row r="2068" spans="1:11" x14ac:dyDescent="0.3">
      <c r="A2068" s="32">
        <f t="shared" si="111"/>
        <v>6</v>
      </c>
      <c r="B2068" s="33">
        <v>46718</v>
      </c>
      <c r="C2068" s="6" t="s">
        <v>117</v>
      </c>
      <c r="D2068" s="34">
        <v>27</v>
      </c>
      <c r="E2068" s="32">
        <f>DAY(TableAopCalendar[[#This Row],[Date]])</f>
        <v>27</v>
      </c>
      <c r="F2068" s="32">
        <f>IF(TableAopCalendar[[#This Row],[Day]]&lt;8,1,IF(TableAopCalendar[[#This Row],[Day]]&lt;15,2,IF(TableAopCalendar[[#This Row],[Day]]&lt;22,3,IF(TableAopCalendar[[#This Row],[Day]]&lt;29,4,IF(TableAopCalendar[[#This Row],[Day]]&lt;32,5)))))</f>
        <v>4</v>
      </c>
      <c r="G2068" s="32" t="str">
        <f t="shared" si="112"/>
        <v>Week 4</v>
      </c>
      <c r="H2068" s="32" t="str">
        <f t="shared" si="113"/>
        <v>November 27 Week 4</v>
      </c>
      <c r="I2068" s="32" t="str">
        <f>CONCATENATE(UPPER(TableAopCalendar[[#This Row],[Month]])," ",TableAopCalendar[[#This Row],[Year]])</f>
        <v>NOVEMBER 27</v>
      </c>
      <c r="J2068" s="7" t="s">
        <v>274</v>
      </c>
      <c r="K2068" s="32" t="str">
        <f>CONCATENATE(TableAopCalendar[[#This Row],[Month for Plan]]," ",TableAopCalendar[[#This Row],[Plan]])</f>
        <v>NOVEMBER 27 PLANNED</v>
      </c>
    </row>
    <row r="2069" spans="1:11" x14ac:dyDescent="0.3">
      <c r="A2069" s="32">
        <f t="shared" si="111"/>
        <v>7</v>
      </c>
      <c r="B2069" s="33">
        <v>46719</v>
      </c>
      <c r="C2069" s="6" t="s">
        <v>117</v>
      </c>
      <c r="D2069" s="34">
        <v>27</v>
      </c>
      <c r="E2069" s="32">
        <f>DAY(TableAopCalendar[[#This Row],[Date]])</f>
        <v>28</v>
      </c>
      <c r="F2069" s="32">
        <f>IF(TableAopCalendar[[#This Row],[Day]]&lt;8,1,IF(TableAopCalendar[[#This Row],[Day]]&lt;15,2,IF(TableAopCalendar[[#This Row],[Day]]&lt;22,3,IF(TableAopCalendar[[#This Row],[Day]]&lt;29,4,IF(TableAopCalendar[[#This Row],[Day]]&lt;32,5)))))</f>
        <v>4</v>
      </c>
      <c r="G2069" s="32" t="str">
        <f t="shared" si="112"/>
        <v>Week 4</v>
      </c>
      <c r="H2069" s="32" t="str">
        <f t="shared" si="113"/>
        <v>November 27 Week 4</v>
      </c>
      <c r="I2069" s="32" t="str">
        <f>CONCATENATE(UPPER(TableAopCalendar[[#This Row],[Month]])," ",TableAopCalendar[[#This Row],[Year]])</f>
        <v>NOVEMBER 27</v>
      </c>
      <c r="J2069" s="7" t="s">
        <v>274</v>
      </c>
      <c r="K2069" s="32" t="str">
        <f>CONCATENATE(TableAopCalendar[[#This Row],[Month for Plan]]," ",TableAopCalendar[[#This Row],[Plan]])</f>
        <v>NOVEMBER 27 PLANNED</v>
      </c>
    </row>
    <row r="2070" spans="1:11" x14ac:dyDescent="0.3">
      <c r="A2070" s="32">
        <f t="shared" si="111"/>
        <v>1</v>
      </c>
      <c r="B2070" s="33">
        <v>46720</v>
      </c>
      <c r="C2070" s="6" t="s">
        <v>117</v>
      </c>
      <c r="D2070" s="34">
        <v>27</v>
      </c>
      <c r="E2070" s="32">
        <f>DAY(TableAopCalendar[[#This Row],[Date]])</f>
        <v>29</v>
      </c>
      <c r="F2070" s="32">
        <f>IF(TableAopCalendar[[#This Row],[Day]]&lt;8,1,IF(TableAopCalendar[[#This Row],[Day]]&lt;15,2,IF(TableAopCalendar[[#This Row],[Day]]&lt;22,3,IF(TableAopCalendar[[#This Row],[Day]]&lt;29,4,IF(TableAopCalendar[[#This Row],[Day]]&lt;32,5)))))</f>
        <v>5</v>
      </c>
      <c r="G2070" s="32" t="str">
        <f t="shared" si="112"/>
        <v>Week 5</v>
      </c>
      <c r="H2070" s="32" t="str">
        <f t="shared" si="113"/>
        <v>November 27 Week 5</v>
      </c>
      <c r="I2070" s="32" t="str">
        <f>CONCATENATE(UPPER(TableAopCalendar[[#This Row],[Month]])," ",TableAopCalendar[[#This Row],[Year]])</f>
        <v>NOVEMBER 27</v>
      </c>
      <c r="J2070" s="7" t="s">
        <v>274</v>
      </c>
      <c r="K2070" s="32" t="str">
        <f>CONCATENATE(TableAopCalendar[[#This Row],[Month for Plan]]," ",TableAopCalendar[[#This Row],[Plan]])</f>
        <v>NOVEMBER 27 PLANNED</v>
      </c>
    </row>
    <row r="2071" spans="1:11" x14ac:dyDescent="0.3">
      <c r="A2071" s="32">
        <f t="shared" si="111"/>
        <v>2</v>
      </c>
      <c r="B2071" s="33">
        <v>46721</v>
      </c>
      <c r="C2071" s="6" t="s">
        <v>117</v>
      </c>
      <c r="D2071" s="34">
        <v>27</v>
      </c>
      <c r="E2071" s="32">
        <f>DAY(TableAopCalendar[[#This Row],[Date]])</f>
        <v>30</v>
      </c>
      <c r="F2071" s="32">
        <f>IF(TableAopCalendar[[#This Row],[Day]]&lt;8,1,IF(TableAopCalendar[[#This Row],[Day]]&lt;15,2,IF(TableAopCalendar[[#This Row],[Day]]&lt;22,3,IF(TableAopCalendar[[#This Row],[Day]]&lt;29,4,IF(TableAopCalendar[[#This Row],[Day]]&lt;32,5)))))</f>
        <v>5</v>
      </c>
      <c r="G2071" s="32" t="str">
        <f t="shared" si="112"/>
        <v>Week 5</v>
      </c>
      <c r="H2071" s="32" t="str">
        <f t="shared" si="113"/>
        <v>November 27 Week 5</v>
      </c>
      <c r="I2071" s="32" t="str">
        <f>CONCATENATE(UPPER(TableAopCalendar[[#This Row],[Month]])," ",TableAopCalendar[[#This Row],[Year]])</f>
        <v>NOVEMBER 27</v>
      </c>
      <c r="J2071" s="7" t="s">
        <v>274</v>
      </c>
      <c r="K2071" s="32" t="str">
        <f>CONCATENATE(TableAopCalendar[[#This Row],[Month for Plan]]," ",TableAopCalendar[[#This Row],[Plan]])</f>
        <v>NOVEMBER 27 PLANNED</v>
      </c>
    </row>
    <row r="2072" spans="1:11" x14ac:dyDescent="0.3">
      <c r="A2072" s="32">
        <f t="shared" si="111"/>
        <v>1</v>
      </c>
      <c r="B2072" s="33">
        <v>46722</v>
      </c>
      <c r="C2072" s="6" t="s">
        <v>270</v>
      </c>
      <c r="D2072" s="34">
        <v>27</v>
      </c>
      <c r="E2072" s="32">
        <f>DAY(TableAopCalendar[[#This Row],[Date]])</f>
        <v>1</v>
      </c>
      <c r="F2072" s="32">
        <f>IF(TableAopCalendar[[#This Row],[Day]]&lt;8,1,IF(TableAopCalendar[[#This Row],[Day]]&lt;15,2,IF(TableAopCalendar[[#This Row],[Day]]&lt;22,3,IF(TableAopCalendar[[#This Row],[Day]]&lt;29,4,IF(TableAopCalendar[[#This Row],[Day]]&lt;32,5)))))</f>
        <v>1</v>
      </c>
      <c r="G2072" s="32" t="str">
        <f t="shared" si="112"/>
        <v>Week 1</v>
      </c>
      <c r="H2072" s="32" t="str">
        <f t="shared" si="113"/>
        <v>December 27 Week 1</v>
      </c>
      <c r="I2072" s="32" t="str">
        <f>CONCATENATE(UPPER(TableAopCalendar[[#This Row],[Month]])," ",TableAopCalendar[[#This Row],[Year]])</f>
        <v>DECEMBER 27</v>
      </c>
      <c r="J2072" s="7" t="s">
        <v>274</v>
      </c>
      <c r="K2072" s="32" t="str">
        <f>CONCATENATE(TableAopCalendar[[#This Row],[Month for Plan]]," ",TableAopCalendar[[#This Row],[Plan]])</f>
        <v>DECEMBER 27 PLANNED</v>
      </c>
    </row>
    <row r="2073" spans="1:11" x14ac:dyDescent="0.3">
      <c r="A2073" s="32">
        <f t="shared" si="111"/>
        <v>2</v>
      </c>
      <c r="B2073" s="33">
        <v>46723</v>
      </c>
      <c r="C2073" s="6" t="s">
        <v>270</v>
      </c>
      <c r="D2073" s="34">
        <v>27</v>
      </c>
      <c r="E2073" s="32">
        <f>DAY(TableAopCalendar[[#This Row],[Date]])</f>
        <v>2</v>
      </c>
      <c r="F2073" s="32">
        <f>IF(TableAopCalendar[[#This Row],[Day]]&lt;8,1,IF(TableAopCalendar[[#This Row],[Day]]&lt;15,2,IF(TableAopCalendar[[#This Row],[Day]]&lt;22,3,IF(TableAopCalendar[[#This Row],[Day]]&lt;29,4,IF(TableAopCalendar[[#This Row],[Day]]&lt;32,5)))))</f>
        <v>1</v>
      </c>
      <c r="G2073" s="32" t="str">
        <f t="shared" si="112"/>
        <v>Week 1</v>
      </c>
      <c r="H2073" s="32" t="str">
        <f t="shared" si="113"/>
        <v>December 27 Week 1</v>
      </c>
      <c r="I2073" s="32" t="str">
        <f>CONCATENATE(UPPER(TableAopCalendar[[#This Row],[Month]])," ",TableAopCalendar[[#This Row],[Year]])</f>
        <v>DECEMBER 27</v>
      </c>
      <c r="J2073" s="7" t="s">
        <v>274</v>
      </c>
      <c r="K2073" s="32" t="str">
        <f>CONCATENATE(TableAopCalendar[[#This Row],[Month for Plan]]," ",TableAopCalendar[[#This Row],[Plan]])</f>
        <v>DECEMBER 27 PLANNED</v>
      </c>
    </row>
    <row r="2074" spans="1:11" x14ac:dyDescent="0.3">
      <c r="A2074" s="32">
        <f t="shared" si="111"/>
        <v>3</v>
      </c>
      <c r="B2074" s="33">
        <v>46724</v>
      </c>
      <c r="C2074" s="6" t="s">
        <v>270</v>
      </c>
      <c r="D2074" s="34">
        <v>27</v>
      </c>
      <c r="E2074" s="32">
        <f>DAY(TableAopCalendar[[#This Row],[Date]])</f>
        <v>3</v>
      </c>
      <c r="F2074" s="32">
        <f>IF(TableAopCalendar[[#This Row],[Day]]&lt;8,1,IF(TableAopCalendar[[#This Row],[Day]]&lt;15,2,IF(TableAopCalendar[[#This Row],[Day]]&lt;22,3,IF(TableAopCalendar[[#This Row],[Day]]&lt;29,4,IF(TableAopCalendar[[#This Row],[Day]]&lt;32,5)))))</f>
        <v>1</v>
      </c>
      <c r="G2074" s="32" t="str">
        <f t="shared" si="112"/>
        <v>Week 1</v>
      </c>
      <c r="H2074" s="32" t="str">
        <f t="shared" si="113"/>
        <v>December 27 Week 1</v>
      </c>
      <c r="I2074" s="32" t="str">
        <f>CONCATENATE(UPPER(TableAopCalendar[[#This Row],[Month]])," ",TableAopCalendar[[#This Row],[Year]])</f>
        <v>DECEMBER 27</v>
      </c>
      <c r="J2074" s="7" t="s">
        <v>274</v>
      </c>
      <c r="K2074" s="32" t="str">
        <f>CONCATENATE(TableAopCalendar[[#This Row],[Month for Plan]]," ",TableAopCalendar[[#This Row],[Plan]])</f>
        <v>DECEMBER 27 PLANNED</v>
      </c>
    </row>
    <row r="2075" spans="1:11" x14ac:dyDescent="0.3">
      <c r="A2075" s="32">
        <f t="shared" si="111"/>
        <v>4</v>
      </c>
      <c r="B2075" s="33">
        <v>46725</v>
      </c>
      <c r="C2075" s="6" t="s">
        <v>270</v>
      </c>
      <c r="D2075" s="34">
        <v>27</v>
      </c>
      <c r="E2075" s="32">
        <f>DAY(TableAopCalendar[[#This Row],[Date]])</f>
        <v>4</v>
      </c>
      <c r="F2075" s="32">
        <f>IF(TableAopCalendar[[#This Row],[Day]]&lt;8,1,IF(TableAopCalendar[[#This Row],[Day]]&lt;15,2,IF(TableAopCalendar[[#This Row],[Day]]&lt;22,3,IF(TableAopCalendar[[#This Row],[Day]]&lt;29,4,IF(TableAopCalendar[[#This Row],[Day]]&lt;32,5)))))</f>
        <v>1</v>
      </c>
      <c r="G2075" s="32" t="str">
        <f t="shared" si="112"/>
        <v>Week 1</v>
      </c>
      <c r="H2075" s="32" t="str">
        <f t="shared" si="113"/>
        <v>December 27 Week 1</v>
      </c>
      <c r="I2075" s="32" t="str">
        <f>CONCATENATE(UPPER(TableAopCalendar[[#This Row],[Month]])," ",TableAopCalendar[[#This Row],[Year]])</f>
        <v>DECEMBER 27</v>
      </c>
      <c r="J2075" s="7" t="s">
        <v>274</v>
      </c>
      <c r="K2075" s="32" t="str">
        <f>CONCATENATE(TableAopCalendar[[#This Row],[Month for Plan]]," ",TableAopCalendar[[#This Row],[Plan]])</f>
        <v>DECEMBER 27 PLANNED</v>
      </c>
    </row>
    <row r="2076" spans="1:11" x14ac:dyDescent="0.3">
      <c r="A2076" s="32">
        <f t="shared" si="111"/>
        <v>5</v>
      </c>
      <c r="B2076" s="33">
        <v>46726</v>
      </c>
      <c r="C2076" s="6" t="s">
        <v>270</v>
      </c>
      <c r="D2076" s="34">
        <v>27</v>
      </c>
      <c r="E2076" s="32">
        <f>DAY(TableAopCalendar[[#This Row],[Date]])</f>
        <v>5</v>
      </c>
      <c r="F2076" s="32">
        <f>IF(TableAopCalendar[[#This Row],[Day]]&lt;8,1,IF(TableAopCalendar[[#This Row],[Day]]&lt;15,2,IF(TableAopCalendar[[#This Row],[Day]]&lt;22,3,IF(TableAopCalendar[[#This Row],[Day]]&lt;29,4,IF(TableAopCalendar[[#This Row],[Day]]&lt;32,5)))))</f>
        <v>1</v>
      </c>
      <c r="G2076" s="32" t="str">
        <f t="shared" si="112"/>
        <v>Week 1</v>
      </c>
      <c r="H2076" s="32" t="str">
        <f t="shared" si="113"/>
        <v>December 27 Week 1</v>
      </c>
      <c r="I2076" s="32" t="str">
        <f>CONCATENATE(UPPER(TableAopCalendar[[#This Row],[Month]])," ",TableAopCalendar[[#This Row],[Year]])</f>
        <v>DECEMBER 27</v>
      </c>
      <c r="J2076" s="7" t="s">
        <v>274</v>
      </c>
      <c r="K2076" s="32" t="str">
        <f>CONCATENATE(TableAopCalendar[[#This Row],[Month for Plan]]," ",TableAopCalendar[[#This Row],[Plan]])</f>
        <v>DECEMBER 27 PLANNED</v>
      </c>
    </row>
    <row r="2077" spans="1:11" x14ac:dyDescent="0.3">
      <c r="A2077" s="32">
        <f t="shared" si="111"/>
        <v>6</v>
      </c>
      <c r="B2077" s="33">
        <v>46727</v>
      </c>
      <c r="C2077" s="6" t="s">
        <v>270</v>
      </c>
      <c r="D2077" s="34">
        <v>27</v>
      </c>
      <c r="E2077" s="32">
        <f>DAY(TableAopCalendar[[#This Row],[Date]])</f>
        <v>6</v>
      </c>
      <c r="F2077" s="32">
        <f>IF(TableAopCalendar[[#This Row],[Day]]&lt;8,1,IF(TableAopCalendar[[#This Row],[Day]]&lt;15,2,IF(TableAopCalendar[[#This Row],[Day]]&lt;22,3,IF(TableAopCalendar[[#This Row],[Day]]&lt;29,4,IF(TableAopCalendar[[#This Row],[Day]]&lt;32,5)))))</f>
        <v>1</v>
      </c>
      <c r="G2077" s="32" t="str">
        <f t="shared" si="112"/>
        <v>Week 1</v>
      </c>
      <c r="H2077" s="32" t="str">
        <f t="shared" si="113"/>
        <v>December 27 Week 1</v>
      </c>
      <c r="I2077" s="32" t="str">
        <f>CONCATENATE(UPPER(TableAopCalendar[[#This Row],[Month]])," ",TableAopCalendar[[#This Row],[Year]])</f>
        <v>DECEMBER 27</v>
      </c>
      <c r="J2077" s="7" t="s">
        <v>274</v>
      </c>
      <c r="K2077" s="32" t="str">
        <f>CONCATENATE(TableAopCalendar[[#This Row],[Month for Plan]]," ",TableAopCalendar[[#This Row],[Plan]])</f>
        <v>DECEMBER 27 PLANNED</v>
      </c>
    </row>
    <row r="2078" spans="1:11" x14ac:dyDescent="0.3">
      <c r="A2078" s="32">
        <f t="shared" si="111"/>
        <v>7</v>
      </c>
      <c r="B2078" s="33">
        <v>46728</v>
      </c>
      <c r="C2078" s="6" t="s">
        <v>270</v>
      </c>
      <c r="D2078" s="34">
        <v>27</v>
      </c>
      <c r="E2078" s="32">
        <f>DAY(TableAopCalendar[[#This Row],[Date]])</f>
        <v>7</v>
      </c>
      <c r="F2078" s="32">
        <f>IF(TableAopCalendar[[#This Row],[Day]]&lt;8,1,IF(TableAopCalendar[[#This Row],[Day]]&lt;15,2,IF(TableAopCalendar[[#This Row],[Day]]&lt;22,3,IF(TableAopCalendar[[#This Row],[Day]]&lt;29,4,IF(TableAopCalendar[[#This Row],[Day]]&lt;32,5)))))</f>
        <v>1</v>
      </c>
      <c r="G2078" s="32" t="str">
        <f t="shared" si="112"/>
        <v>Week 1</v>
      </c>
      <c r="H2078" s="32" t="str">
        <f t="shared" si="113"/>
        <v>December 27 Week 1</v>
      </c>
      <c r="I2078" s="32" t="str">
        <f>CONCATENATE(UPPER(TableAopCalendar[[#This Row],[Month]])," ",TableAopCalendar[[#This Row],[Year]])</f>
        <v>DECEMBER 27</v>
      </c>
      <c r="J2078" s="7" t="s">
        <v>274</v>
      </c>
      <c r="K2078" s="32" t="str">
        <f>CONCATENATE(TableAopCalendar[[#This Row],[Month for Plan]]," ",TableAopCalendar[[#This Row],[Plan]])</f>
        <v>DECEMBER 27 PLANNED</v>
      </c>
    </row>
    <row r="2079" spans="1:11" x14ac:dyDescent="0.3">
      <c r="A2079" s="32">
        <f t="shared" si="111"/>
        <v>1</v>
      </c>
      <c r="B2079" s="33">
        <v>46729</v>
      </c>
      <c r="C2079" s="6" t="s">
        <v>270</v>
      </c>
      <c r="D2079" s="34">
        <v>27</v>
      </c>
      <c r="E2079" s="32">
        <f>DAY(TableAopCalendar[[#This Row],[Date]])</f>
        <v>8</v>
      </c>
      <c r="F2079" s="32">
        <f>IF(TableAopCalendar[[#This Row],[Day]]&lt;8,1,IF(TableAopCalendar[[#This Row],[Day]]&lt;15,2,IF(TableAopCalendar[[#This Row],[Day]]&lt;22,3,IF(TableAopCalendar[[#This Row],[Day]]&lt;29,4,IF(TableAopCalendar[[#This Row],[Day]]&lt;32,5)))))</f>
        <v>2</v>
      </c>
      <c r="G2079" s="32" t="str">
        <f t="shared" si="112"/>
        <v>Week 2</v>
      </c>
      <c r="H2079" s="32" t="str">
        <f t="shared" si="113"/>
        <v>December 27 Week 2</v>
      </c>
      <c r="I2079" s="32" t="str">
        <f>CONCATENATE(UPPER(TableAopCalendar[[#This Row],[Month]])," ",TableAopCalendar[[#This Row],[Year]])</f>
        <v>DECEMBER 27</v>
      </c>
      <c r="J2079" s="7" t="s">
        <v>274</v>
      </c>
      <c r="K2079" s="32" t="str">
        <f>CONCATENATE(TableAopCalendar[[#This Row],[Month for Plan]]," ",TableAopCalendar[[#This Row],[Plan]])</f>
        <v>DECEMBER 27 PLANNED</v>
      </c>
    </row>
    <row r="2080" spans="1:11" x14ac:dyDescent="0.3">
      <c r="A2080" s="32">
        <f t="shared" si="111"/>
        <v>2</v>
      </c>
      <c r="B2080" s="33">
        <v>46730</v>
      </c>
      <c r="C2080" s="6" t="s">
        <v>270</v>
      </c>
      <c r="D2080" s="34">
        <v>27</v>
      </c>
      <c r="E2080" s="32">
        <f>DAY(TableAopCalendar[[#This Row],[Date]])</f>
        <v>9</v>
      </c>
      <c r="F2080" s="32">
        <f>IF(TableAopCalendar[[#This Row],[Day]]&lt;8,1,IF(TableAopCalendar[[#This Row],[Day]]&lt;15,2,IF(TableAopCalendar[[#This Row],[Day]]&lt;22,3,IF(TableAopCalendar[[#This Row],[Day]]&lt;29,4,IF(TableAopCalendar[[#This Row],[Day]]&lt;32,5)))))</f>
        <v>2</v>
      </c>
      <c r="G2080" s="32" t="str">
        <f t="shared" si="112"/>
        <v>Week 2</v>
      </c>
      <c r="H2080" s="32" t="str">
        <f t="shared" si="113"/>
        <v>December 27 Week 2</v>
      </c>
      <c r="I2080" s="32" t="str">
        <f>CONCATENATE(UPPER(TableAopCalendar[[#This Row],[Month]])," ",TableAopCalendar[[#This Row],[Year]])</f>
        <v>DECEMBER 27</v>
      </c>
      <c r="J2080" s="7" t="s">
        <v>274</v>
      </c>
      <c r="K2080" s="32" t="str">
        <f>CONCATENATE(TableAopCalendar[[#This Row],[Month for Plan]]," ",TableAopCalendar[[#This Row],[Plan]])</f>
        <v>DECEMBER 27 PLANNED</v>
      </c>
    </row>
    <row r="2081" spans="1:11" x14ac:dyDescent="0.3">
      <c r="A2081" s="32">
        <f t="shared" si="111"/>
        <v>3</v>
      </c>
      <c r="B2081" s="33">
        <v>46731</v>
      </c>
      <c r="C2081" s="6" t="s">
        <v>270</v>
      </c>
      <c r="D2081" s="34">
        <v>27</v>
      </c>
      <c r="E2081" s="32">
        <f>DAY(TableAopCalendar[[#This Row],[Date]])</f>
        <v>10</v>
      </c>
      <c r="F2081" s="32">
        <f>IF(TableAopCalendar[[#This Row],[Day]]&lt;8,1,IF(TableAopCalendar[[#This Row],[Day]]&lt;15,2,IF(TableAopCalendar[[#This Row],[Day]]&lt;22,3,IF(TableAopCalendar[[#This Row],[Day]]&lt;29,4,IF(TableAopCalendar[[#This Row],[Day]]&lt;32,5)))))</f>
        <v>2</v>
      </c>
      <c r="G2081" s="32" t="str">
        <f t="shared" si="112"/>
        <v>Week 2</v>
      </c>
      <c r="H2081" s="32" t="str">
        <f t="shared" si="113"/>
        <v>December 27 Week 2</v>
      </c>
      <c r="I2081" s="32" t="str">
        <f>CONCATENATE(UPPER(TableAopCalendar[[#This Row],[Month]])," ",TableAopCalendar[[#This Row],[Year]])</f>
        <v>DECEMBER 27</v>
      </c>
      <c r="J2081" s="7" t="s">
        <v>274</v>
      </c>
      <c r="K2081" s="32" t="str">
        <f>CONCATENATE(TableAopCalendar[[#This Row],[Month for Plan]]," ",TableAopCalendar[[#This Row],[Plan]])</f>
        <v>DECEMBER 27 PLANNED</v>
      </c>
    </row>
    <row r="2082" spans="1:11" x14ac:dyDescent="0.3">
      <c r="A2082" s="32">
        <f t="shared" si="111"/>
        <v>4</v>
      </c>
      <c r="B2082" s="33">
        <v>46732</v>
      </c>
      <c r="C2082" s="6" t="s">
        <v>270</v>
      </c>
      <c r="D2082" s="34">
        <v>27</v>
      </c>
      <c r="E2082" s="32">
        <f>DAY(TableAopCalendar[[#This Row],[Date]])</f>
        <v>11</v>
      </c>
      <c r="F2082" s="32">
        <f>IF(TableAopCalendar[[#This Row],[Day]]&lt;8,1,IF(TableAopCalendar[[#This Row],[Day]]&lt;15,2,IF(TableAopCalendar[[#This Row],[Day]]&lt;22,3,IF(TableAopCalendar[[#This Row],[Day]]&lt;29,4,IF(TableAopCalendar[[#This Row],[Day]]&lt;32,5)))))</f>
        <v>2</v>
      </c>
      <c r="G2082" s="32" t="str">
        <f t="shared" si="112"/>
        <v>Week 2</v>
      </c>
      <c r="H2082" s="32" t="str">
        <f t="shared" si="113"/>
        <v>December 27 Week 2</v>
      </c>
      <c r="I2082" s="32" t="str">
        <f>CONCATENATE(UPPER(TableAopCalendar[[#This Row],[Month]])," ",TableAopCalendar[[#This Row],[Year]])</f>
        <v>DECEMBER 27</v>
      </c>
      <c r="J2082" s="7" t="s">
        <v>274</v>
      </c>
      <c r="K2082" s="32" t="str">
        <f>CONCATENATE(TableAopCalendar[[#This Row],[Month for Plan]]," ",TableAopCalendar[[#This Row],[Plan]])</f>
        <v>DECEMBER 27 PLANNED</v>
      </c>
    </row>
    <row r="2083" spans="1:11" x14ac:dyDescent="0.3">
      <c r="A2083" s="32">
        <f t="shared" si="111"/>
        <v>5</v>
      </c>
      <c r="B2083" s="33">
        <v>46733</v>
      </c>
      <c r="C2083" s="6" t="s">
        <v>270</v>
      </c>
      <c r="D2083" s="34">
        <v>27</v>
      </c>
      <c r="E2083" s="32">
        <f>DAY(TableAopCalendar[[#This Row],[Date]])</f>
        <v>12</v>
      </c>
      <c r="F2083" s="32">
        <f>IF(TableAopCalendar[[#This Row],[Day]]&lt;8,1,IF(TableAopCalendar[[#This Row],[Day]]&lt;15,2,IF(TableAopCalendar[[#This Row],[Day]]&lt;22,3,IF(TableAopCalendar[[#This Row],[Day]]&lt;29,4,IF(TableAopCalendar[[#This Row],[Day]]&lt;32,5)))))</f>
        <v>2</v>
      </c>
      <c r="G2083" s="32" t="str">
        <f t="shared" si="112"/>
        <v>Week 2</v>
      </c>
      <c r="H2083" s="32" t="str">
        <f t="shared" si="113"/>
        <v>December 27 Week 2</v>
      </c>
      <c r="I2083" s="32" t="str">
        <f>CONCATENATE(UPPER(TableAopCalendar[[#This Row],[Month]])," ",TableAopCalendar[[#This Row],[Year]])</f>
        <v>DECEMBER 27</v>
      </c>
      <c r="J2083" s="7" t="s">
        <v>274</v>
      </c>
      <c r="K2083" s="32" t="str">
        <f>CONCATENATE(TableAopCalendar[[#This Row],[Month for Plan]]," ",TableAopCalendar[[#This Row],[Plan]])</f>
        <v>DECEMBER 27 PLANNED</v>
      </c>
    </row>
    <row r="2084" spans="1:11" x14ac:dyDescent="0.3">
      <c r="A2084" s="32">
        <f t="shared" ref="A2084:A2147" si="114">IF(G2084=G2083,A2083+1,1)</f>
        <v>6</v>
      </c>
      <c r="B2084" s="33">
        <v>46734</v>
      </c>
      <c r="C2084" s="6" t="s">
        <v>270</v>
      </c>
      <c r="D2084" s="34">
        <v>27</v>
      </c>
      <c r="E2084" s="32">
        <f>DAY(TableAopCalendar[[#This Row],[Date]])</f>
        <v>13</v>
      </c>
      <c r="F2084" s="32">
        <f>IF(TableAopCalendar[[#This Row],[Day]]&lt;8,1,IF(TableAopCalendar[[#This Row],[Day]]&lt;15,2,IF(TableAopCalendar[[#This Row],[Day]]&lt;22,3,IF(TableAopCalendar[[#This Row],[Day]]&lt;29,4,IF(TableAopCalendar[[#This Row],[Day]]&lt;32,5)))))</f>
        <v>2</v>
      </c>
      <c r="G2084" s="32" t="str">
        <f t="shared" ref="G2084:G2147" si="115">"Week"&amp;" "&amp;F2084</f>
        <v>Week 2</v>
      </c>
      <c r="H2084" s="32" t="str">
        <f t="shared" ref="H2084:H2147" si="116">CONCATENATE(C2084," ",D2084," ",G2084)</f>
        <v>December 27 Week 2</v>
      </c>
      <c r="I2084" s="32" t="str">
        <f>CONCATENATE(UPPER(TableAopCalendar[[#This Row],[Month]])," ",TableAopCalendar[[#This Row],[Year]])</f>
        <v>DECEMBER 27</v>
      </c>
      <c r="J2084" s="7" t="s">
        <v>274</v>
      </c>
      <c r="K2084" s="32" t="str">
        <f>CONCATENATE(TableAopCalendar[[#This Row],[Month for Plan]]," ",TableAopCalendar[[#This Row],[Plan]])</f>
        <v>DECEMBER 27 PLANNED</v>
      </c>
    </row>
    <row r="2085" spans="1:11" x14ac:dyDescent="0.3">
      <c r="A2085" s="32">
        <f t="shared" si="114"/>
        <v>7</v>
      </c>
      <c r="B2085" s="33">
        <v>46735</v>
      </c>
      <c r="C2085" s="6" t="s">
        <v>270</v>
      </c>
      <c r="D2085" s="34">
        <v>27</v>
      </c>
      <c r="E2085" s="32">
        <f>DAY(TableAopCalendar[[#This Row],[Date]])</f>
        <v>14</v>
      </c>
      <c r="F2085" s="32">
        <f>IF(TableAopCalendar[[#This Row],[Day]]&lt;8,1,IF(TableAopCalendar[[#This Row],[Day]]&lt;15,2,IF(TableAopCalendar[[#This Row],[Day]]&lt;22,3,IF(TableAopCalendar[[#This Row],[Day]]&lt;29,4,IF(TableAopCalendar[[#This Row],[Day]]&lt;32,5)))))</f>
        <v>2</v>
      </c>
      <c r="G2085" s="32" t="str">
        <f t="shared" si="115"/>
        <v>Week 2</v>
      </c>
      <c r="H2085" s="32" t="str">
        <f t="shared" si="116"/>
        <v>December 27 Week 2</v>
      </c>
      <c r="I2085" s="32" t="str">
        <f>CONCATENATE(UPPER(TableAopCalendar[[#This Row],[Month]])," ",TableAopCalendar[[#This Row],[Year]])</f>
        <v>DECEMBER 27</v>
      </c>
      <c r="J2085" s="7" t="s">
        <v>274</v>
      </c>
      <c r="K2085" s="32" t="str">
        <f>CONCATENATE(TableAopCalendar[[#This Row],[Month for Plan]]," ",TableAopCalendar[[#This Row],[Plan]])</f>
        <v>DECEMBER 27 PLANNED</v>
      </c>
    </row>
    <row r="2086" spans="1:11" x14ac:dyDescent="0.3">
      <c r="A2086" s="32">
        <f t="shared" si="114"/>
        <v>1</v>
      </c>
      <c r="B2086" s="33">
        <v>46736</v>
      </c>
      <c r="C2086" s="6" t="s">
        <v>270</v>
      </c>
      <c r="D2086" s="34">
        <v>27</v>
      </c>
      <c r="E2086" s="32">
        <f>DAY(TableAopCalendar[[#This Row],[Date]])</f>
        <v>15</v>
      </c>
      <c r="F2086" s="32">
        <f>IF(TableAopCalendar[[#This Row],[Day]]&lt;8,1,IF(TableAopCalendar[[#This Row],[Day]]&lt;15,2,IF(TableAopCalendar[[#This Row],[Day]]&lt;22,3,IF(TableAopCalendar[[#This Row],[Day]]&lt;29,4,IF(TableAopCalendar[[#This Row],[Day]]&lt;32,5)))))</f>
        <v>3</v>
      </c>
      <c r="G2086" s="32" t="str">
        <f t="shared" si="115"/>
        <v>Week 3</v>
      </c>
      <c r="H2086" s="32" t="str">
        <f t="shared" si="116"/>
        <v>December 27 Week 3</v>
      </c>
      <c r="I2086" s="32" t="str">
        <f>CONCATENATE(UPPER(TableAopCalendar[[#This Row],[Month]])," ",TableAopCalendar[[#This Row],[Year]])</f>
        <v>DECEMBER 27</v>
      </c>
      <c r="J2086" s="7" t="s">
        <v>274</v>
      </c>
      <c r="K2086" s="32" t="str">
        <f>CONCATENATE(TableAopCalendar[[#This Row],[Month for Plan]]," ",TableAopCalendar[[#This Row],[Plan]])</f>
        <v>DECEMBER 27 PLANNED</v>
      </c>
    </row>
    <row r="2087" spans="1:11" x14ac:dyDescent="0.3">
      <c r="A2087" s="32">
        <f t="shared" si="114"/>
        <v>2</v>
      </c>
      <c r="B2087" s="33">
        <v>46737</v>
      </c>
      <c r="C2087" s="6" t="s">
        <v>270</v>
      </c>
      <c r="D2087" s="34">
        <v>27</v>
      </c>
      <c r="E2087" s="32">
        <f>DAY(TableAopCalendar[[#This Row],[Date]])</f>
        <v>16</v>
      </c>
      <c r="F2087" s="32">
        <f>IF(TableAopCalendar[[#This Row],[Day]]&lt;8,1,IF(TableAopCalendar[[#This Row],[Day]]&lt;15,2,IF(TableAopCalendar[[#This Row],[Day]]&lt;22,3,IF(TableAopCalendar[[#This Row],[Day]]&lt;29,4,IF(TableAopCalendar[[#This Row],[Day]]&lt;32,5)))))</f>
        <v>3</v>
      </c>
      <c r="G2087" s="32" t="str">
        <f t="shared" si="115"/>
        <v>Week 3</v>
      </c>
      <c r="H2087" s="32" t="str">
        <f t="shared" si="116"/>
        <v>December 27 Week 3</v>
      </c>
      <c r="I2087" s="32" t="str">
        <f>CONCATENATE(UPPER(TableAopCalendar[[#This Row],[Month]])," ",TableAopCalendar[[#This Row],[Year]])</f>
        <v>DECEMBER 27</v>
      </c>
      <c r="J2087" s="7" t="s">
        <v>274</v>
      </c>
      <c r="K2087" s="32" t="str">
        <f>CONCATENATE(TableAopCalendar[[#This Row],[Month for Plan]]," ",TableAopCalendar[[#This Row],[Plan]])</f>
        <v>DECEMBER 27 PLANNED</v>
      </c>
    </row>
    <row r="2088" spans="1:11" x14ac:dyDescent="0.3">
      <c r="A2088" s="32">
        <f t="shared" si="114"/>
        <v>3</v>
      </c>
      <c r="B2088" s="33">
        <v>46738</v>
      </c>
      <c r="C2088" s="6" t="s">
        <v>270</v>
      </c>
      <c r="D2088" s="34">
        <v>27</v>
      </c>
      <c r="E2088" s="32">
        <f>DAY(TableAopCalendar[[#This Row],[Date]])</f>
        <v>17</v>
      </c>
      <c r="F2088" s="32">
        <f>IF(TableAopCalendar[[#This Row],[Day]]&lt;8,1,IF(TableAopCalendar[[#This Row],[Day]]&lt;15,2,IF(TableAopCalendar[[#This Row],[Day]]&lt;22,3,IF(TableAopCalendar[[#This Row],[Day]]&lt;29,4,IF(TableAopCalendar[[#This Row],[Day]]&lt;32,5)))))</f>
        <v>3</v>
      </c>
      <c r="G2088" s="32" t="str">
        <f t="shared" si="115"/>
        <v>Week 3</v>
      </c>
      <c r="H2088" s="32" t="str">
        <f t="shared" si="116"/>
        <v>December 27 Week 3</v>
      </c>
      <c r="I2088" s="32" t="str">
        <f>CONCATENATE(UPPER(TableAopCalendar[[#This Row],[Month]])," ",TableAopCalendar[[#This Row],[Year]])</f>
        <v>DECEMBER 27</v>
      </c>
      <c r="J2088" s="7" t="s">
        <v>274</v>
      </c>
      <c r="K2088" s="32" t="str">
        <f>CONCATENATE(TableAopCalendar[[#This Row],[Month for Plan]]," ",TableAopCalendar[[#This Row],[Plan]])</f>
        <v>DECEMBER 27 PLANNED</v>
      </c>
    </row>
    <row r="2089" spans="1:11" x14ac:dyDescent="0.3">
      <c r="A2089" s="32">
        <f t="shared" si="114"/>
        <v>4</v>
      </c>
      <c r="B2089" s="33">
        <v>46739</v>
      </c>
      <c r="C2089" s="6" t="s">
        <v>270</v>
      </c>
      <c r="D2089" s="34">
        <v>27</v>
      </c>
      <c r="E2089" s="32">
        <f>DAY(TableAopCalendar[[#This Row],[Date]])</f>
        <v>18</v>
      </c>
      <c r="F2089" s="32">
        <f>IF(TableAopCalendar[[#This Row],[Day]]&lt;8,1,IF(TableAopCalendar[[#This Row],[Day]]&lt;15,2,IF(TableAopCalendar[[#This Row],[Day]]&lt;22,3,IF(TableAopCalendar[[#This Row],[Day]]&lt;29,4,IF(TableAopCalendar[[#This Row],[Day]]&lt;32,5)))))</f>
        <v>3</v>
      </c>
      <c r="G2089" s="32" t="str">
        <f t="shared" si="115"/>
        <v>Week 3</v>
      </c>
      <c r="H2089" s="32" t="str">
        <f t="shared" si="116"/>
        <v>December 27 Week 3</v>
      </c>
      <c r="I2089" s="32" t="str">
        <f>CONCATENATE(UPPER(TableAopCalendar[[#This Row],[Month]])," ",TableAopCalendar[[#This Row],[Year]])</f>
        <v>DECEMBER 27</v>
      </c>
      <c r="J2089" s="7" t="s">
        <v>274</v>
      </c>
      <c r="K2089" s="32" t="str">
        <f>CONCATENATE(TableAopCalendar[[#This Row],[Month for Plan]]," ",TableAopCalendar[[#This Row],[Plan]])</f>
        <v>DECEMBER 27 PLANNED</v>
      </c>
    </row>
    <row r="2090" spans="1:11" x14ac:dyDescent="0.3">
      <c r="A2090" s="32">
        <f t="shared" si="114"/>
        <v>5</v>
      </c>
      <c r="B2090" s="33">
        <v>46740</v>
      </c>
      <c r="C2090" s="6" t="s">
        <v>270</v>
      </c>
      <c r="D2090" s="34">
        <v>27</v>
      </c>
      <c r="E2090" s="32">
        <f>DAY(TableAopCalendar[[#This Row],[Date]])</f>
        <v>19</v>
      </c>
      <c r="F2090" s="32">
        <f>IF(TableAopCalendar[[#This Row],[Day]]&lt;8,1,IF(TableAopCalendar[[#This Row],[Day]]&lt;15,2,IF(TableAopCalendar[[#This Row],[Day]]&lt;22,3,IF(TableAopCalendar[[#This Row],[Day]]&lt;29,4,IF(TableAopCalendar[[#This Row],[Day]]&lt;32,5)))))</f>
        <v>3</v>
      </c>
      <c r="G2090" s="32" t="str">
        <f t="shared" si="115"/>
        <v>Week 3</v>
      </c>
      <c r="H2090" s="32" t="str">
        <f t="shared" si="116"/>
        <v>December 27 Week 3</v>
      </c>
      <c r="I2090" s="32" t="str">
        <f>CONCATENATE(UPPER(TableAopCalendar[[#This Row],[Month]])," ",TableAopCalendar[[#This Row],[Year]])</f>
        <v>DECEMBER 27</v>
      </c>
      <c r="J2090" s="7" t="s">
        <v>274</v>
      </c>
      <c r="K2090" s="32" t="str">
        <f>CONCATENATE(TableAopCalendar[[#This Row],[Month for Plan]]," ",TableAopCalendar[[#This Row],[Plan]])</f>
        <v>DECEMBER 27 PLANNED</v>
      </c>
    </row>
    <row r="2091" spans="1:11" x14ac:dyDescent="0.3">
      <c r="A2091" s="32">
        <f t="shared" si="114"/>
        <v>6</v>
      </c>
      <c r="B2091" s="33">
        <v>46741</v>
      </c>
      <c r="C2091" s="6" t="s">
        <v>270</v>
      </c>
      <c r="D2091" s="34">
        <v>27</v>
      </c>
      <c r="E2091" s="32">
        <f>DAY(TableAopCalendar[[#This Row],[Date]])</f>
        <v>20</v>
      </c>
      <c r="F2091" s="32">
        <f>IF(TableAopCalendar[[#This Row],[Day]]&lt;8,1,IF(TableAopCalendar[[#This Row],[Day]]&lt;15,2,IF(TableAopCalendar[[#This Row],[Day]]&lt;22,3,IF(TableAopCalendar[[#This Row],[Day]]&lt;29,4,IF(TableAopCalendar[[#This Row],[Day]]&lt;32,5)))))</f>
        <v>3</v>
      </c>
      <c r="G2091" s="32" t="str">
        <f t="shared" si="115"/>
        <v>Week 3</v>
      </c>
      <c r="H2091" s="32" t="str">
        <f t="shared" si="116"/>
        <v>December 27 Week 3</v>
      </c>
      <c r="I2091" s="32" t="str">
        <f>CONCATENATE(UPPER(TableAopCalendar[[#This Row],[Month]])," ",TableAopCalendar[[#This Row],[Year]])</f>
        <v>DECEMBER 27</v>
      </c>
      <c r="J2091" s="7" t="s">
        <v>274</v>
      </c>
      <c r="K2091" s="32" t="str">
        <f>CONCATENATE(TableAopCalendar[[#This Row],[Month for Plan]]," ",TableAopCalendar[[#This Row],[Plan]])</f>
        <v>DECEMBER 27 PLANNED</v>
      </c>
    </row>
    <row r="2092" spans="1:11" x14ac:dyDescent="0.3">
      <c r="A2092" s="32">
        <f t="shared" si="114"/>
        <v>7</v>
      </c>
      <c r="B2092" s="33">
        <v>46742</v>
      </c>
      <c r="C2092" s="6" t="s">
        <v>270</v>
      </c>
      <c r="D2092" s="34">
        <v>27</v>
      </c>
      <c r="E2092" s="32">
        <f>DAY(TableAopCalendar[[#This Row],[Date]])</f>
        <v>21</v>
      </c>
      <c r="F2092" s="32">
        <f>IF(TableAopCalendar[[#This Row],[Day]]&lt;8,1,IF(TableAopCalendar[[#This Row],[Day]]&lt;15,2,IF(TableAopCalendar[[#This Row],[Day]]&lt;22,3,IF(TableAopCalendar[[#This Row],[Day]]&lt;29,4,IF(TableAopCalendar[[#This Row],[Day]]&lt;32,5)))))</f>
        <v>3</v>
      </c>
      <c r="G2092" s="32" t="str">
        <f t="shared" si="115"/>
        <v>Week 3</v>
      </c>
      <c r="H2092" s="32" t="str">
        <f t="shared" si="116"/>
        <v>December 27 Week 3</v>
      </c>
      <c r="I2092" s="32" t="str">
        <f>CONCATENATE(UPPER(TableAopCalendar[[#This Row],[Month]])," ",TableAopCalendar[[#This Row],[Year]])</f>
        <v>DECEMBER 27</v>
      </c>
      <c r="J2092" s="7" t="s">
        <v>274</v>
      </c>
      <c r="K2092" s="32" t="str">
        <f>CONCATENATE(TableAopCalendar[[#This Row],[Month for Plan]]," ",TableAopCalendar[[#This Row],[Plan]])</f>
        <v>DECEMBER 27 PLANNED</v>
      </c>
    </row>
    <row r="2093" spans="1:11" x14ac:dyDescent="0.3">
      <c r="A2093" s="32">
        <f t="shared" si="114"/>
        <v>1</v>
      </c>
      <c r="B2093" s="33">
        <v>46743</v>
      </c>
      <c r="C2093" s="6" t="s">
        <v>270</v>
      </c>
      <c r="D2093" s="34">
        <v>27</v>
      </c>
      <c r="E2093" s="32">
        <f>DAY(TableAopCalendar[[#This Row],[Date]])</f>
        <v>22</v>
      </c>
      <c r="F2093" s="32">
        <f>IF(TableAopCalendar[[#This Row],[Day]]&lt;8,1,IF(TableAopCalendar[[#This Row],[Day]]&lt;15,2,IF(TableAopCalendar[[#This Row],[Day]]&lt;22,3,IF(TableAopCalendar[[#This Row],[Day]]&lt;29,4,IF(TableAopCalendar[[#This Row],[Day]]&lt;32,5)))))</f>
        <v>4</v>
      </c>
      <c r="G2093" s="32" t="str">
        <f t="shared" si="115"/>
        <v>Week 4</v>
      </c>
      <c r="H2093" s="32" t="str">
        <f t="shared" si="116"/>
        <v>December 27 Week 4</v>
      </c>
      <c r="I2093" s="32" t="str">
        <f>CONCATENATE(UPPER(TableAopCalendar[[#This Row],[Month]])," ",TableAopCalendar[[#This Row],[Year]])</f>
        <v>DECEMBER 27</v>
      </c>
      <c r="J2093" s="7" t="s">
        <v>274</v>
      </c>
      <c r="K2093" s="32" t="str">
        <f>CONCATENATE(TableAopCalendar[[#This Row],[Month for Plan]]," ",TableAopCalendar[[#This Row],[Plan]])</f>
        <v>DECEMBER 27 PLANNED</v>
      </c>
    </row>
    <row r="2094" spans="1:11" x14ac:dyDescent="0.3">
      <c r="A2094" s="32">
        <f t="shared" si="114"/>
        <v>2</v>
      </c>
      <c r="B2094" s="33">
        <v>46744</v>
      </c>
      <c r="C2094" s="6" t="s">
        <v>270</v>
      </c>
      <c r="D2094" s="34">
        <v>27</v>
      </c>
      <c r="E2094" s="32">
        <f>DAY(TableAopCalendar[[#This Row],[Date]])</f>
        <v>23</v>
      </c>
      <c r="F2094" s="32">
        <f>IF(TableAopCalendar[[#This Row],[Day]]&lt;8,1,IF(TableAopCalendar[[#This Row],[Day]]&lt;15,2,IF(TableAopCalendar[[#This Row],[Day]]&lt;22,3,IF(TableAopCalendar[[#This Row],[Day]]&lt;29,4,IF(TableAopCalendar[[#This Row],[Day]]&lt;32,5)))))</f>
        <v>4</v>
      </c>
      <c r="G2094" s="32" t="str">
        <f t="shared" si="115"/>
        <v>Week 4</v>
      </c>
      <c r="H2094" s="32" t="str">
        <f t="shared" si="116"/>
        <v>December 27 Week 4</v>
      </c>
      <c r="I2094" s="32" t="str">
        <f>CONCATENATE(UPPER(TableAopCalendar[[#This Row],[Month]])," ",TableAopCalendar[[#This Row],[Year]])</f>
        <v>DECEMBER 27</v>
      </c>
      <c r="J2094" s="7" t="s">
        <v>274</v>
      </c>
      <c r="K2094" s="32" t="str">
        <f>CONCATENATE(TableAopCalendar[[#This Row],[Month for Plan]]," ",TableAopCalendar[[#This Row],[Plan]])</f>
        <v>DECEMBER 27 PLANNED</v>
      </c>
    </row>
    <row r="2095" spans="1:11" x14ac:dyDescent="0.3">
      <c r="A2095" s="32">
        <f t="shared" si="114"/>
        <v>3</v>
      </c>
      <c r="B2095" s="33">
        <v>46745</v>
      </c>
      <c r="C2095" s="6" t="s">
        <v>270</v>
      </c>
      <c r="D2095" s="34">
        <v>27</v>
      </c>
      <c r="E2095" s="32">
        <f>DAY(TableAopCalendar[[#This Row],[Date]])</f>
        <v>24</v>
      </c>
      <c r="F2095" s="32">
        <f>IF(TableAopCalendar[[#This Row],[Day]]&lt;8,1,IF(TableAopCalendar[[#This Row],[Day]]&lt;15,2,IF(TableAopCalendar[[#This Row],[Day]]&lt;22,3,IF(TableAopCalendar[[#This Row],[Day]]&lt;29,4,IF(TableAopCalendar[[#This Row],[Day]]&lt;32,5)))))</f>
        <v>4</v>
      </c>
      <c r="G2095" s="32" t="str">
        <f t="shared" si="115"/>
        <v>Week 4</v>
      </c>
      <c r="H2095" s="32" t="str">
        <f t="shared" si="116"/>
        <v>December 27 Week 4</v>
      </c>
      <c r="I2095" s="32" t="str">
        <f>CONCATENATE(UPPER(TableAopCalendar[[#This Row],[Month]])," ",TableAopCalendar[[#This Row],[Year]])</f>
        <v>DECEMBER 27</v>
      </c>
      <c r="J2095" s="7" t="s">
        <v>274</v>
      </c>
      <c r="K2095" s="32" t="str">
        <f>CONCATENATE(TableAopCalendar[[#This Row],[Month for Plan]]," ",TableAopCalendar[[#This Row],[Plan]])</f>
        <v>DECEMBER 27 PLANNED</v>
      </c>
    </row>
    <row r="2096" spans="1:11" x14ac:dyDescent="0.3">
      <c r="A2096" s="32">
        <f t="shared" si="114"/>
        <v>4</v>
      </c>
      <c r="B2096" s="33">
        <v>46746</v>
      </c>
      <c r="C2096" s="6" t="s">
        <v>270</v>
      </c>
      <c r="D2096" s="34">
        <v>27</v>
      </c>
      <c r="E2096" s="32">
        <f>DAY(TableAopCalendar[[#This Row],[Date]])</f>
        <v>25</v>
      </c>
      <c r="F2096" s="32">
        <f>IF(TableAopCalendar[[#This Row],[Day]]&lt;8,1,IF(TableAopCalendar[[#This Row],[Day]]&lt;15,2,IF(TableAopCalendar[[#This Row],[Day]]&lt;22,3,IF(TableAopCalendar[[#This Row],[Day]]&lt;29,4,IF(TableAopCalendar[[#This Row],[Day]]&lt;32,5)))))</f>
        <v>4</v>
      </c>
      <c r="G2096" s="32" t="str">
        <f t="shared" si="115"/>
        <v>Week 4</v>
      </c>
      <c r="H2096" s="32" t="str">
        <f t="shared" si="116"/>
        <v>December 27 Week 4</v>
      </c>
      <c r="I2096" s="32" t="str">
        <f>CONCATENATE(UPPER(TableAopCalendar[[#This Row],[Month]])," ",TableAopCalendar[[#This Row],[Year]])</f>
        <v>DECEMBER 27</v>
      </c>
      <c r="J2096" s="7" t="s">
        <v>274</v>
      </c>
      <c r="K2096" s="32" t="str">
        <f>CONCATENATE(TableAopCalendar[[#This Row],[Month for Plan]]," ",TableAopCalendar[[#This Row],[Plan]])</f>
        <v>DECEMBER 27 PLANNED</v>
      </c>
    </row>
    <row r="2097" spans="1:11" x14ac:dyDescent="0.3">
      <c r="A2097" s="32">
        <f t="shared" si="114"/>
        <v>5</v>
      </c>
      <c r="B2097" s="33">
        <v>46747</v>
      </c>
      <c r="C2097" s="6" t="s">
        <v>270</v>
      </c>
      <c r="D2097" s="34">
        <v>27</v>
      </c>
      <c r="E2097" s="32">
        <f>DAY(TableAopCalendar[[#This Row],[Date]])</f>
        <v>26</v>
      </c>
      <c r="F2097" s="32">
        <f>IF(TableAopCalendar[[#This Row],[Day]]&lt;8,1,IF(TableAopCalendar[[#This Row],[Day]]&lt;15,2,IF(TableAopCalendar[[#This Row],[Day]]&lt;22,3,IF(TableAopCalendar[[#This Row],[Day]]&lt;29,4,IF(TableAopCalendar[[#This Row],[Day]]&lt;32,5)))))</f>
        <v>4</v>
      </c>
      <c r="G2097" s="32" t="str">
        <f t="shared" si="115"/>
        <v>Week 4</v>
      </c>
      <c r="H2097" s="32" t="str">
        <f t="shared" si="116"/>
        <v>December 27 Week 4</v>
      </c>
      <c r="I2097" s="32" t="str">
        <f>CONCATENATE(UPPER(TableAopCalendar[[#This Row],[Month]])," ",TableAopCalendar[[#This Row],[Year]])</f>
        <v>DECEMBER 27</v>
      </c>
      <c r="J2097" s="7" t="s">
        <v>274</v>
      </c>
      <c r="K2097" s="32" t="str">
        <f>CONCATENATE(TableAopCalendar[[#This Row],[Month for Plan]]," ",TableAopCalendar[[#This Row],[Plan]])</f>
        <v>DECEMBER 27 PLANNED</v>
      </c>
    </row>
    <row r="2098" spans="1:11" x14ac:dyDescent="0.3">
      <c r="A2098" s="32">
        <f t="shared" si="114"/>
        <v>6</v>
      </c>
      <c r="B2098" s="33">
        <v>46748</v>
      </c>
      <c r="C2098" s="6" t="s">
        <v>270</v>
      </c>
      <c r="D2098" s="34">
        <v>27</v>
      </c>
      <c r="E2098" s="32">
        <f>DAY(TableAopCalendar[[#This Row],[Date]])</f>
        <v>27</v>
      </c>
      <c r="F2098" s="32">
        <f>IF(TableAopCalendar[[#This Row],[Day]]&lt;8,1,IF(TableAopCalendar[[#This Row],[Day]]&lt;15,2,IF(TableAopCalendar[[#This Row],[Day]]&lt;22,3,IF(TableAopCalendar[[#This Row],[Day]]&lt;29,4,IF(TableAopCalendar[[#This Row],[Day]]&lt;32,5)))))</f>
        <v>4</v>
      </c>
      <c r="G2098" s="32" t="str">
        <f t="shared" si="115"/>
        <v>Week 4</v>
      </c>
      <c r="H2098" s="32" t="str">
        <f t="shared" si="116"/>
        <v>December 27 Week 4</v>
      </c>
      <c r="I2098" s="32" t="str">
        <f>CONCATENATE(UPPER(TableAopCalendar[[#This Row],[Month]])," ",TableAopCalendar[[#This Row],[Year]])</f>
        <v>DECEMBER 27</v>
      </c>
      <c r="J2098" s="7" t="s">
        <v>274</v>
      </c>
      <c r="K2098" s="32" t="str">
        <f>CONCATENATE(TableAopCalendar[[#This Row],[Month for Plan]]," ",TableAopCalendar[[#This Row],[Plan]])</f>
        <v>DECEMBER 27 PLANNED</v>
      </c>
    </row>
    <row r="2099" spans="1:11" x14ac:dyDescent="0.3">
      <c r="A2099" s="32">
        <f t="shared" si="114"/>
        <v>7</v>
      </c>
      <c r="B2099" s="33">
        <v>46749</v>
      </c>
      <c r="C2099" s="6" t="s">
        <v>270</v>
      </c>
      <c r="D2099" s="34">
        <v>27</v>
      </c>
      <c r="E2099" s="32">
        <f>DAY(TableAopCalendar[[#This Row],[Date]])</f>
        <v>28</v>
      </c>
      <c r="F2099" s="32">
        <f>IF(TableAopCalendar[[#This Row],[Day]]&lt;8,1,IF(TableAopCalendar[[#This Row],[Day]]&lt;15,2,IF(TableAopCalendar[[#This Row],[Day]]&lt;22,3,IF(TableAopCalendar[[#This Row],[Day]]&lt;29,4,IF(TableAopCalendar[[#This Row],[Day]]&lt;32,5)))))</f>
        <v>4</v>
      </c>
      <c r="G2099" s="32" t="str">
        <f t="shared" si="115"/>
        <v>Week 4</v>
      </c>
      <c r="H2099" s="32" t="str">
        <f t="shared" si="116"/>
        <v>December 27 Week 4</v>
      </c>
      <c r="I2099" s="32" t="str">
        <f>CONCATENATE(UPPER(TableAopCalendar[[#This Row],[Month]])," ",TableAopCalendar[[#This Row],[Year]])</f>
        <v>DECEMBER 27</v>
      </c>
      <c r="J2099" s="7" t="s">
        <v>274</v>
      </c>
      <c r="K2099" s="32" t="str">
        <f>CONCATENATE(TableAopCalendar[[#This Row],[Month for Plan]]," ",TableAopCalendar[[#This Row],[Plan]])</f>
        <v>DECEMBER 27 PLANNED</v>
      </c>
    </row>
    <row r="2100" spans="1:11" x14ac:dyDescent="0.3">
      <c r="A2100" s="32">
        <f t="shared" si="114"/>
        <v>1</v>
      </c>
      <c r="B2100" s="33">
        <v>46750</v>
      </c>
      <c r="C2100" s="6" t="s">
        <v>270</v>
      </c>
      <c r="D2100" s="34">
        <v>27</v>
      </c>
      <c r="E2100" s="32">
        <f>DAY(TableAopCalendar[[#This Row],[Date]])</f>
        <v>29</v>
      </c>
      <c r="F2100" s="32">
        <f>IF(TableAopCalendar[[#This Row],[Day]]&lt;8,1,IF(TableAopCalendar[[#This Row],[Day]]&lt;15,2,IF(TableAopCalendar[[#This Row],[Day]]&lt;22,3,IF(TableAopCalendar[[#This Row],[Day]]&lt;29,4,IF(TableAopCalendar[[#This Row],[Day]]&lt;32,5)))))</f>
        <v>5</v>
      </c>
      <c r="G2100" s="32" t="str">
        <f t="shared" si="115"/>
        <v>Week 5</v>
      </c>
      <c r="H2100" s="32" t="str">
        <f t="shared" si="116"/>
        <v>December 27 Week 5</v>
      </c>
      <c r="I2100" s="32" t="str">
        <f>CONCATENATE(UPPER(TableAopCalendar[[#This Row],[Month]])," ",TableAopCalendar[[#This Row],[Year]])</f>
        <v>DECEMBER 27</v>
      </c>
      <c r="J2100" s="7" t="s">
        <v>274</v>
      </c>
      <c r="K2100" s="32" t="str">
        <f>CONCATENATE(TableAopCalendar[[#This Row],[Month for Plan]]," ",TableAopCalendar[[#This Row],[Plan]])</f>
        <v>DECEMBER 27 PLANNED</v>
      </c>
    </row>
    <row r="2101" spans="1:11" x14ac:dyDescent="0.3">
      <c r="A2101" s="32">
        <f t="shared" si="114"/>
        <v>2</v>
      </c>
      <c r="B2101" s="33">
        <v>46751</v>
      </c>
      <c r="C2101" s="6" t="s">
        <v>270</v>
      </c>
      <c r="D2101" s="34">
        <v>27</v>
      </c>
      <c r="E2101" s="32">
        <f>DAY(TableAopCalendar[[#This Row],[Date]])</f>
        <v>30</v>
      </c>
      <c r="F2101" s="32">
        <f>IF(TableAopCalendar[[#This Row],[Day]]&lt;8,1,IF(TableAopCalendar[[#This Row],[Day]]&lt;15,2,IF(TableAopCalendar[[#This Row],[Day]]&lt;22,3,IF(TableAopCalendar[[#This Row],[Day]]&lt;29,4,IF(TableAopCalendar[[#This Row],[Day]]&lt;32,5)))))</f>
        <v>5</v>
      </c>
      <c r="G2101" s="32" t="str">
        <f t="shared" si="115"/>
        <v>Week 5</v>
      </c>
      <c r="H2101" s="32" t="str">
        <f t="shared" si="116"/>
        <v>December 27 Week 5</v>
      </c>
      <c r="I2101" s="32" t="str">
        <f>CONCATENATE(UPPER(TableAopCalendar[[#This Row],[Month]])," ",TableAopCalendar[[#This Row],[Year]])</f>
        <v>DECEMBER 27</v>
      </c>
      <c r="J2101" s="7" t="s">
        <v>274</v>
      </c>
      <c r="K2101" s="32" t="str">
        <f>CONCATENATE(TableAopCalendar[[#This Row],[Month for Plan]]," ",TableAopCalendar[[#This Row],[Plan]])</f>
        <v>DECEMBER 27 PLANNED</v>
      </c>
    </row>
    <row r="2102" spans="1:11" x14ac:dyDescent="0.3">
      <c r="A2102" s="32">
        <f t="shared" si="114"/>
        <v>3</v>
      </c>
      <c r="B2102" s="33">
        <v>46752</v>
      </c>
      <c r="C2102" s="6" t="s">
        <v>270</v>
      </c>
      <c r="D2102" s="34">
        <v>27</v>
      </c>
      <c r="E2102" s="32">
        <f>DAY(TableAopCalendar[[#This Row],[Date]])</f>
        <v>31</v>
      </c>
      <c r="F2102" s="32">
        <f>IF(TableAopCalendar[[#This Row],[Day]]&lt;8,1,IF(TableAopCalendar[[#This Row],[Day]]&lt;15,2,IF(TableAopCalendar[[#This Row],[Day]]&lt;22,3,IF(TableAopCalendar[[#This Row],[Day]]&lt;29,4,IF(TableAopCalendar[[#This Row],[Day]]&lt;32,5)))))</f>
        <v>5</v>
      </c>
      <c r="G2102" s="32" t="str">
        <f t="shared" si="115"/>
        <v>Week 5</v>
      </c>
      <c r="H2102" s="32" t="str">
        <f t="shared" si="116"/>
        <v>December 27 Week 5</v>
      </c>
      <c r="I2102" s="32" t="str">
        <f>CONCATENATE(UPPER(TableAopCalendar[[#This Row],[Month]])," ",TableAopCalendar[[#This Row],[Year]])</f>
        <v>DECEMBER 27</v>
      </c>
      <c r="J2102" s="7" t="s">
        <v>274</v>
      </c>
      <c r="K2102" s="32" t="str">
        <f>CONCATENATE(TableAopCalendar[[#This Row],[Month for Plan]]," ",TableAopCalendar[[#This Row],[Plan]])</f>
        <v>DECEMBER 27 PLANNED</v>
      </c>
    </row>
    <row r="2103" spans="1:11" x14ac:dyDescent="0.3">
      <c r="A2103" s="32">
        <f t="shared" si="114"/>
        <v>1</v>
      </c>
      <c r="B2103" s="33">
        <v>46753</v>
      </c>
      <c r="C2103" s="6" t="s">
        <v>271</v>
      </c>
      <c r="D2103" s="34">
        <v>28</v>
      </c>
      <c r="E2103" s="32">
        <f>DAY(TableAopCalendar[[#This Row],[Date]])</f>
        <v>1</v>
      </c>
      <c r="F2103" s="32">
        <f>IF(TableAopCalendar[[#This Row],[Day]]&lt;8,1,IF(TableAopCalendar[[#This Row],[Day]]&lt;15,2,IF(TableAopCalendar[[#This Row],[Day]]&lt;22,3,IF(TableAopCalendar[[#This Row],[Day]]&lt;29,4,IF(TableAopCalendar[[#This Row],[Day]]&lt;32,5)))))</f>
        <v>1</v>
      </c>
      <c r="G2103" s="32" t="str">
        <f t="shared" si="115"/>
        <v>Week 1</v>
      </c>
      <c r="H2103" s="32" t="str">
        <f t="shared" si="116"/>
        <v>January 28 Week 1</v>
      </c>
      <c r="I2103" s="32" t="str">
        <f>CONCATENATE(UPPER(TableAopCalendar[[#This Row],[Month]])," ",TableAopCalendar[[#This Row],[Year]])</f>
        <v>JANUARY 28</v>
      </c>
      <c r="J2103" s="7" t="s">
        <v>274</v>
      </c>
      <c r="K2103" s="32" t="str">
        <f>CONCATENATE(TableAopCalendar[[#This Row],[Month for Plan]]," ",TableAopCalendar[[#This Row],[Plan]])</f>
        <v>JANUARY 28 PLANNED</v>
      </c>
    </row>
    <row r="2104" spans="1:11" x14ac:dyDescent="0.3">
      <c r="A2104" s="32">
        <f t="shared" si="114"/>
        <v>2</v>
      </c>
      <c r="B2104" s="33">
        <v>46754</v>
      </c>
      <c r="C2104" s="6" t="s">
        <v>271</v>
      </c>
      <c r="D2104" s="34">
        <v>28</v>
      </c>
      <c r="E2104" s="32">
        <f>DAY(TableAopCalendar[[#This Row],[Date]])</f>
        <v>2</v>
      </c>
      <c r="F2104" s="32">
        <f>IF(TableAopCalendar[[#This Row],[Day]]&lt;8,1,IF(TableAopCalendar[[#This Row],[Day]]&lt;15,2,IF(TableAopCalendar[[#This Row],[Day]]&lt;22,3,IF(TableAopCalendar[[#This Row],[Day]]&lt;29,4,IF(TableAopCalendar[[#This Row],[Day]]&lt;32,5)))))</f>
        <v>1</v>
      </c>
      <c r="G2104" s="32" t="str">
        <f t="shared" si="115"/>
        <v>Week 1</v>
      </c>
      <c r="H2104" s="32" t="str">
        <f t="shared" si="116"/>
        <v>January 28 Week 1</v>
      </c>
      <c r="I2104" s="32" t="str">
        <f>CONCATENATE(UPPER(TableAopCalendar[[#This Row],[Month]])," ",TableAopCalendar[[#This Row],[Year]])</f>
        <v>JANUARY 28</v>
      </c>
      <c r="J2104" s="7" t="s">
        <v>274</v>
      </c>
      <c r="K2104" s="32" t="str">
        <f>CONCATENATE(TableAopCalendar[[#This Row],[Month for Plan]]," ",TableAopCalendar[[#This Row],[Plan]])</f>
        <v>JANUARY 28 PLANNED</v>
      </c>
    </row>
    <row r="2105" spans="1:11" x14ac:dyDescent="0.3">
      <c r="A2105" s="32">
        <f t="shared" si="114"/>
        <v>3</v>
      </c>
      <c r="B2105" s="33">
        <v>46755</v>
      </c>
      <c r="C2105" s="6" t="s">
        <v>271</v>
      </c>
      <c r="D2105" s="34">
        <v>28</v>
      </c>
      <c r="E2105" s="32">
        <f>DAY(TableAopCalendar[[#This Row],[Date]])</f>
        <v>3</v>
      </c>
      <c r="F2105" s="32">
        <f>IF(TableAopCalendar[[#This Row],[Day]]&lt;8,1,IF(TableAopCalendar[[#This Row],[Day]]&lt;15,2,IF(TableAopCalendar[[#This Row],[Day]]&lt;22,3,IF(TableAopCalendar[[#This Row],[Day]]&lt;29,4,IF(TableAopCalendar[[#This Row],[Day]]&lt;32,5)))))</f>
        <v>1</v>
      </c>
      <c r="G2105" s="32" t="str">
        <f t="shared" si="115"/>
        <v>Week 1</v>
      </c>
      <c r="H2105" s="32" t="str">
        <f t="shared" si="116"/>
        <v>January 28 Week 1</v>
      </c>
      <c r="I2105" s="32" t="str">
        <f>CONCATENATE(UPPER(TableAopCalendar[[#This Row],[Month]])," ",TableAopCalendar[[#This Row],[Year]])</f>
        <v>JANUARY 28</v>
      </c>
      <c r="J2105" s="7" t="s">
        <v>274</v>
      </c>
      <c r="K2105" s="32" t="str">
        <f>CONCATENATE(TableAopCalendar[[#This Row],[Month for Plan]]," ",TableAopCalendar[[#This Row],[Plan]])</f>
        <v>JANUARY 28 PLANNED</v>
      </c>
    </row>
    <row r="2106" spans="1:11" x14ac:dyDescent="0.3">
      <c r="A2106" s="32">
        <f t="shared" si="114"/>
        <v>4</v>
      </c>
      <c r="B2106" s="33">
        <v>46756</v>
      </c>
      <c r="C2106" s="6" t="s">
        <v>271</v>
      </c>
      <c r="D2106" s="34">
        <v>28</v>
      </c>
      <c r="E2106" s="32">
        <f>DAY(TableAopCalendar[[#This Row],[Date]])</f>
        <v>4</v>
      </c>
      <c r="F2106" s="32">
        <f>IF(TableAopCalendar[[#This Row],[Day]]&lt;8,1,IF(TableAopCalendar[[#This Row],[Day]]&lt;15,2,IF(TableAopCalendar[[#This Row],[Day]]&lt;22,3,IF(TableAopCalendar[[#This Row],[Day]]&lt;29,4,IF(TableAopCalendar[[#This Row],[Day]]&lt;32,5)))))</f>
        <v>1</v>
      </c>
      <c r="G2106" s="32" t="str">
        <f t="shared" si="115"/>
        <v>Week 1</v>
      </c>
      <c r="H2106" s="32" t="str">
        <f t="shared" si="116"/>
        <v>January 28 Week 1</v>
      </c>
      <c r="I2106" s="32" t="str">
        <f>CONCATENATE(UPPER(TableAopCalendar[[#This Row],[Month]])," ",TableAopCalendar[[#This Row],[Year]])</f>
        <v>JANUARY 28</v>
      </c>
      <c r="J2106" s="7" t="s">
        <v>274</v>
      </c>
      <c r="K2106" s="32" t="str">
        <f>CONCATENATE(TableAopCalendar[[#This Row],[Month for Plan]]," ",TableAopCalendar[[#This Row],[Plan]])</f>
        <v>JANUARY 28 PLANNED</v>
      </c>
    </row>
    <row r="2107" spans="1:11" x14ac:dyDescent="0.3">
      <c r="A2107" s="32">
        <f t="shared" si="114"/>
        <v>5</v>
      </c>
      <c r="B2107" s="33">
        <v>46757</v>
      </c>
      <c r="C2107" s="6" t="s">
        <v>271</v>
      </c>
      <c r="D2107" s="34">
        <v>28</v>
      </c>
      <c r="E2107" s="32">
        <f>DAY(TableAopCalendar[[#This Row],[Date]])</f>
        <v>5</v>
      </c>
      <c r="F2107" s="32">
        <f>IF(TableAopCalendar[[#This Row],[Day]]&lt;8,1,IF(TableAopCalendar[[#This Row],[Day]]&lt;15,2,IF(TableAopCalendar[[#This Row],[Day]]&lt;22,3,IF(TableAopCalendar[[#This Row],[Day]]&lt;29,4,IF(TableAopCalendar[[#This Row],[Day]]&lt;32,5)))))</f>
        <v>1</v>
      </c>
      <c r="G2107" s="32" t="str">
        <f t="shared" si="115"/>
        <v>Week 1</v>
      </c>
      <c r="H2107" s="32" t="str">
        <f t="shared" si="116"/>
        <v>January 28 Week 1</v>
      </c>
      <c r="I2107" s="32" t="str">
        <f>CONCATENATE(UPPER(TableAopCalendar[[#This Row],[Month]])," ",TableAopCalendar[[#This Row],[Year]])</f>
        <v>JANUARY 28</v>
      </c>
      <c r="J2107" s="7" t="s">
        <v>274</v>
      </c>
      <c r="K2107" s="32" t="str">
        <f>CONCATENATE(TableAopCalendar[[#This Row],[Month for Plan]]," ",TableAopCalendar[[#This Row],[Plan]])</f>
        <v>JANUARY 28 PLANNED</v>
      </c>
    </row>
    <row r="2108" spans="1:11" x14ac:dyDescent="0.3">
      <c r="A2108" s="32">
        <f t="shared" si="114"/>
        <v>6</v>
      </c>
      <c r="B2108" s="33">
        <v>46758</v>
      </c>
      <c r="C2108" s="6" t="s">
        <v>271</v>
      </c>
      <c r="D2108" s="34">
        <v>28</v>
      </c>
      <c r="E2108" s="32">
        <f>DAY(TableAopCalendar[[#This Row],[Date]])</f>
        <v>6</v>
      </c>
      <c r="F2108" s="32">
        <f>IF(TableAopCalendar[[#This Row],[Day]]&lt;8,1,IF(TableAopCalendar[[#This Row],[Day]]&lt;15,2,IF(TableAopCalendar[[#This Row],[Day]]&lt;22,3,IF(TableAopCalendar[[#This Row],[Day]]&lt;29,4,IF(TableAopCalendar[[#This Row],[Day]]&lt;32,5)))))</f>
        <v>1</v>
      </c>
      <c r="G2108" s="32" t="str">
        <f t="shared" si="115"/>
        <v>Week 1</v>
      </c>
      <c r="H2108" s="32" t="str">
        <f t="shared" si="116"/>
        <v>January 28 Week 1</v>
      </c>
      <c r="I2108" s="32" t="str">
        <f>CONCATENATE(UPPER(TableAopCalendar[[#This Row],[Month]])," ",TableAopCalendar[[#This Row],[Year]])</f>
        <v>JANUARY 28</v>
      </c>
      <c r="J2108" s="7" t="s">
        <v>274</v>
      </c>
      <c r="K2108" s="32" t="str">
        <f>CONCATENATE(TableAopCalendar[[#This Row],[Month for Plan]]," ",TableAopCalendar[[#This Row],[Plan]])</f>
        <v>JANUARY 28 PLANNED</v>
      </c>
    </row>
    <row r="2109" spans="1:11" x14ac:dyDescent="0.3">
      <c r="A2109" s="32">
        <f t="shared" si="114"/>
        <v>7</v>
      </c>
      <c r="B2109" s="33">
        <v>46759</v>
      </c>
      <c r="C2109" s="6" t="s">
        <v>271</v>
      </c>
      <c r="D2109" s="34">
        <v>28</v>
      </c>
      <c r="E2109" s="32">
        <f>DAY(TableAopCalendar[[#This Row],[Date]])</f>
        <v>7</v>
      </c>
      <c r="F2109" s="32">
        <f>IF(TableAopCalendar[[#This Row],[Day]]&lt;8,1,IF(TableAopCalendar[[#This Row],[Day]]&lt;15,2,IF(TableAopCalendar[[#This Row],[Day]]&lt;22,3,IF(TableAopCalendar[[#This Row],[Day]]&lt;29,4,IF(TableAopCalendar[[#This Row],[Day]]&lt;32,5)))))</f>
        <v>1</v>
      </c>
      <c r="G2109" s="32" t="str">
        <f t="shared" si="115"/>
        <v>Week 1</v>
      </c>
      <c r="H2109" s="32" t="str">
        <f t="shared" si="116"/>
        <v>January 28 Week 1</v>
      </c>
      <c r="I2109" s="32" t="str">
        <f>CONCATENATE(UPPER(TableAopCalendar[[#This Row],[Month]])," ",TableAopCalendar[[#This Row],[Year]])</f>
        <v>JANUARY 28</v>
      </c>
      <c r="J2109" s="7" t="s">
        <v>274</v>
      </c>
      <c r="K2109" s="32" t="str">
        <f>CONCATENATE(TableAopCalendar[[#This Row],[Month for Plan]]," ",TableAopCalendar[[#This Row],[Plan]])</f>
        <v>JANUARY 28 PLANNED</v>
      </c>
    </row>
    <row r="2110" spans="1:11" x14ac:dyDescent="0.3">
      <c r="A2110" s="32">
        <f t="shared" si="114"/>
        <v>1</v>
      </c>
      <c r="B2110" s="33">
        <v>46760</v>
      </c>
      <c r="C2110" s="6" t="s">
        <v>271</v>
      </c>
      <c r="D2110" s="34">
        <v>28</v>
      </c>
      <c r="E2110" s="32">
        <f>DAY(TableAopCalendar[[#This Row],[Date]])</f>
        <v>8</v>
      </c>
      <c r="F2110" s="32">
        <f>IF(TableAopCalendar[[#This Row],[Day]]&lt;8,1,IF(TableAopCalendar[[#This Row],[Day]]&lt;15,2,IF(TableAopCalendar[[#This Row],[Day]]&lt;22,3,IF(TableAopCalendar[[#This Row],[Day]]&lt;29,4,IF(TableAopCalendar[[#This Row],[Day]]&lt;32,5)))))</f>
        <v>2</v>
      </c>
      <c r="G2110" s="32" t="str">
        <f t="shared" si="115"/>
        <v>Week 2</v>
      </c>
      <c r="H2110" s="32" t="str">
        <f t="shared" si="116"/>
        <v>January 28 Week 2</v>
      </c>
      <c r="I2110" s="32" t="str">
        <f>CONCATENATE(UPPER(TableAopCalendar[[#This Row],[Month]])," ",TableAopCalendar[[#This Row],[Year]])</f>
        <v>JANUARY 28</v>
      </c>
      <c r="J2110" s="7" t="s">
        <v>274</v>
      </c>
      <c r="K2110" s="32" t="str">
        <f>CONCATENATE(TableAopCalendar[[#This Row],[Month for Plan]]," ",TableAopCalendar[[#This Row],[Plan]])</f>
        <v>JANUARY 28 PLANNED</v>
      </c>
    </row>
    <row r="2111" spans="1:11" x14ac:dyDescent="0.3">
      <c r="A2111" s="32">
        <f t="shared" si="114"/>
        <v>2</v>
      </c>
      <c r="B2111" s="33">
        <v>46761</v>
      </c>
      <c r="C2111" s="6" t="s">
        <v>271</v>
      </c>
      <c r="D2111" s="34">
        <v>28</v>
      </c>
      <c r="E2111" s="32">
        <f>DAY(TableAopCalendar[[#This Row],[Date]])</f>
        <v>9</v>
      </c>
      <c r="F2111" s="32">
        <f>IF(TableAopCalendar[[#This Row],[Day]]&lt;8,1,IF(TableAopCalendar[[#This Row],[Day]]&lt;15,2,IF(TableAopCalendar[[#This Row],[Day]]&lt;22,3,IF(TableAopCalendar[[#This Row],[Day]]&lt;29,4,IF(TableAopCalendar[[#This Row],[Day]]&lt;32,5)))))</f>
        <v>2</v>
      </c>
      <c r="G2111" s="32" t="str">
        <f t="shared" si="115"/>
        <v>Week 2</v>
      </c>
      <c r="H2111" s="32" t="str">
        <f t="shared" si="116"/>
        <v>January 28 Week 2</v>
      </c>
      <c r="I2111" s="32" t="str">
        <f>CONCATENATE(UPPER(TableAopCalendar[[#This Row],[Month]])," ",TableAopCalendar[[#This Row],[Year]])</f>
        <v>JANUARY 28</v>
      </c>
      <c r="J2111" s="7" t="s">
        <v>274</v>
      </c>
      <c r="K2111" s="32" t="str">
        <f>CONCATENATE(TableAopCalendar[[#This Row],[Month for Plan]]," ",TableAopCalendar[[#This Row],[Plan]])</f>
        <v>JANUARY 28 PLANNED</v>
      </c>
    </row>
    <row r="2112" spans="1:11" x14ac:dyDescent="0.3">
      <c r="A2112" s="32">
        <f t="shared" si="114"/>
        <v>3</v>
      </c>
      <c r="B2112" s="33">
        <v>46762</v>
      </c>
      <c r="C2112" s="6" t="s">
        <v>271</v>
      </c>
      <c r="D2112" s="34">
        <v>28</v>
      </c>
      <c r="E2112" s="32">
        <f>DAY(TableAopCalendar[[#This Row],[Date]])</f>
        <v>10</v>
      </c>
      <c r="F2112" s="32">
        <f>IF(TableAopCalendar[[#This Row],[Day]]&lt;8,1,IF(TableAopCalendar[[#This Row],[Day]]&lt;15,2,IF(TableAopCalendar[[#This Row],[Day]]&lt;22,3,IF(TableAopCalendar[[#This Row],[Day]]&lt;29,4,IF(TableAopCalendar[[#This Row],[Day]]&lt;32,5)))))</f>
        <v>2</v>
      </c>
      <c r="G2112" s="32" t="str">
        <f t="shared" si="115"/>
        <v>Week 2</v>
      </c>
      <c r="H2112" s="32" t="str">
        <f t="shared" si="116"/>
        <v>January 28 Week 2</v>
      </c>
      <c r="I2112" s="32" t="str">
        <f>CONCATENATE(UPPER(TableAopCalendar[[#This Row],[Month]])," ",TableAopCalendar[[#This Row],[Year]])</f>
        <v>JANUARY 28</v>
      </c>
      <c r="J2112" s="7" t="s">
        <v>274</v>
      </c>
      <c r="K2112" s="32" t="str">
        <f>CONCATENATE(TableAopCalendar[[#This Row],[Month for Plan]]," ",TableAopCalendar[[#This Row],[Plan]])</f>
        <v>JANUARY 28 PLANNED</v>
      </c>
    </row>
    <row r="2113" spans="1:11" x14ac:dyDescent="0.3">
      <c r="A2113" s="32">
        <f t="shared" si="114"/>
        <v>4</v>
      </c>
      <c r="B2113" s="33">
        <v>46763</v>
      </c>
      <c r="C2113" s="6" t="s">
        <v>271</v>
      </c>
      <c r="D2113" s="34">
        <v>28</v>
      </c>
      <c r="E2113" s="32">
        <f>DAY(TableAopCalendar[[#This Row],[Date]])</f>
        <v>11</v>
      </c>
      <c r="F2113" s="32">
        <f>IF(TableAopCalendar[[#This Row],[Day]]&lt;8,1,IF(TableAopCalendar[[#This Row],[Day]]&lt;15,2,IF(TableAopCalendar[[#This Row],[Day]]&lt;22,3,IF(TableAopCalendar[[#This Row],[Day]]&lt;29,4,IF(TableAopCalendar[[#This Row],[Day]]&lt;32,5)))))</f>
        <v>2</v>
      </c>
      <c r="G2113" s="32" t="str">
        <f t="shared" si="115"/>
        <v>Week 2</v>
      </c>
      <c r="H2113" s="32" t="str">
        <f t="shared" si="116"/>
        <v>January 28 Week 2</v>
      </c>
      <c r="I2113" s="32" t="str">
        <f>CONCATENATE(UPPER(TableAopCalendar[[#This Row],[Month]])," ",TableAopCalendar[[#This Row],[Year]])</f>
        <v>JANUARY 28</v>
      </c>
      <c r="J2113" s="7" t="s">
        <v>274</v>
      </c>
      <c r="K2113" s="32" t="str">
        <f>CONCATENATE(TableAopCalendar[[#This Row],[Month for Plan]]," ",TableAopCalendar[[#This Row],[Plan]])</f>
        <v>JANUARY 28 PLANNED</v>
      </c>
    </row>
    <row r="2114" spans="1:11" x14ac:dyDescent="0.3">
      <c r="A2114" s="32">
        <f t="shared" si="114"/>
        <v>5</v>
      </c>
      <c r="B2114" s="33">
        <v>46764</v>
      </c>
      <c r="C2114" s="6" t="s">
        <v>271</v>
      </c>
      <c r="D2114" s="34">
        <v>28</v>
      </c>
      <c r="E2114" s="32">
        <f>DAY(TableAopCalendar[[#This Row],[Date]])</f>
        <v>12</v>
      </c>
      <c r="F2114" s="32">
        <f>IF(TableAopCalendar[[#This Row],[Day]]&lt;8,1,IF(TableAopCalendar[[#This Row],[Day]]&lt;15,2,IF(TableAopCalendar[[#This Row],[Day]]&lt;22,3,IF(TableAopCalendar[[#This Row],[Day]]&lt;29,4,IF(TableAopCalendar[[#This Row],[Day]]&lt;32,5)))))</f>
        <v>2</v>
      </c>
      <c r="G2114" s="32" t="str">
        <f t="shared" si="115"/>
        <v>Week 2</v>
      </c>
      <c r="H2114" s="32" t="str">
        <f t="shared" si="116"/>
        <v>January 28 Week 2</v>
      </c>
      <c r="I2114" s="32" t="str">
        <f>CONCATENATE(UPPER(TableAopCalendar[[#This Row],[Month]])," ",TableAopCalendar[[#This Row],[Year]])</f>
        <v>JANUARY 28</v>
      </c>
      <c r="J2114" s="7" t="s">
        <v>274</v>
      </c>
      <c r="K2114" s="32" t="str">
        <f>CONCATENATE(TableAopCalendar[[#This Row],[Month for Plan]]," ",TableAopCalendar[[#This Row],[Plan]])</f>
        <v>JANUARY 28 PLANNED</v>
      </c>
    </row>
    <row r="2115" spans="1:11" x14ac:dyDescent="0.3">
      <c r="A2115" s="32">
        <f t="shared" si="114"/>
        <v>6</v>
      </c>
      <c r="B2115" s="33">
        <v>46765</v>
      </c>
      <c r="C2115" s="6" t="s">
        <v>271</v>
      </c>
      <c r="D2115" s="34">
        <v>28</v>
      </c>
      <c r="E2115" s="32">
        <f>DAY(TableAopCalendar[[#This Row],[Date]])</f>
        <v>13</v>
      </c>
      <c r="F2115" s="32">
        <f>IF(TableAopCalendar[[#This Row],[Day]]&lt;8,1,IF(TableAopCalendar[[#This Row],[Day]]&lt;15,2,IF(TableAopCalendar[[#This Row],[Day]]&lt;22,3,IF(TableAopCalendar[[#This Row],[Day]]&lt;29,4,IF(TableAopCalendar[[#This Row],[Day]]&lt;32,5)))))</f>
        <v>2</v>
      </c>
      <c r="G2115" s="32" t="str">
        <f t="shared" si="115"/>
        <v>Week 2</v>
      </c>
      <c r="H2115" s="32" t="str">
        <f t="shared" si="116"/>
        <v>January 28 Week 2</v>
      </c>
      <c r="I2115" s="32" t="str">
        <f>CONCATENATE(UPPER(TableAopCalendar[[#This Row],[Month]])," ",TableAopCalendar[[#This Row],[Year]])</f>
        <v>JANUARY 28</v>
      </c>
      <c r="J2115" s="7" t="s">
        <v>274</v>
      </c>
      <c r="K2115" s="32" t="str">
        <f>CONCATENATE(TableAopCalendar[[#This Row],[Month for Plan]]," ",TableAopCalendar[[#This Row],[Plan]])</f>
        <v>JANUARY 28 PLANNED</v>
      </c>
    </row>
    <row r="2116" spans="1:11" x14ac:dyDescent="0.3">
      <c r="A2116" s="32">
        <f t="shared" si="114"/>
        <v>7</v>
      </c>
      <c r="B2116" s="33">
        <v>46766</v>
      </c>
      <c r="C2116" s="6" t="s">
        <v>271</v>
      </c>
      <c r="D2116" s="34">
        <v>28</v>
      </c>
      <c r="E2116" s="32">
        <f>DAY(TableAopCalendar[[#This Row],[Date]])</f>
        <v>14</v>
      </c>
      <c r="F2116" s="32">
        <f>IF(TableAopCalendar[[#This Row],[Day]]&lt;8,1,IF(TableAopCalendar[[#This Row],[Day]]&lt;15,2,IF(TableAopCalendar[[#This Row],[Day]]&lt;22,3,IF(TableAopCalendar[[#This Row],[Day]]&lt;29,4,IF(TableAopCalendar[[#This Row],[Day]]&lt;32,5)))))</f>
        <v>2</v>
      </c>
      <c r="G2116" s="32" t="str">
        <f t="shared" si="115"/>
        <v>Week 2</v>
      </c>
      <c r="H2116" s="32" t="str">
        <f t="shared" si="116"/>
        <v>January 28 Week 2</v>
      </c>
      <c r="I2116" s="32" t="str">
        <f>CONCATENATE(UPPER(TableAopCalendar[[#This Row],[Month]])," ",TableAopCalendar[[#This Row],[Year]])</f>
        <v>JANUARY 28</v>
      </c>
      <c r="J2116" s="7" t="s">
        <v>274</v>
      </c>
      <c r="K2116" s="32" t="str">
        <f>CONCATENATE(TableAopCalendar[[#This Row],[Month for Plan]]," ",TableAopCalendar[[#This Row],[Plan]])</f>
        <v>JANUARY 28 PLANNED</v>
      </c>
    </row>
    <row r="2117" spans="1:11" x14ac:dyDescent="0.3">
      <c r="A2117" s="32">
        <f t="shared" si="114"/>
        <v>1</v>
      </c>
      <c r="B2117" s="33">
        <v>46767</v>
      </c>
      <c r="C2117" s="6" t="s">
        <v>271</v>
      </c>
      <c r="D2117" s="34">
        <v>28</v>
      </c>
      <c r="E2117" s="32">
        <f>DAY(TableAopCalendar[[#This Row],[Date]])</f>
        <v>15</v>
      </c>
      <c r="F2117" s="32">
        <f>IF(TableAopCalendar[[#This Row],[Day]]&lt;8,1,IF(TableAopCalendar[[#This Row],[Day]]&lt;15,2,IF(TableAopCalendar[[#This Row],[Day]]&lt;22,3,IF(TableAopCalendar[[#This Row],[Day]]&lt;29,4,IF(TableAopCalendar[[#This Row],[Day]]&lt;32,5)))))</f>
        <v>3</v>
      </c>
      <c r="G2117" s="32" t="str">
        <f t="shared" si="115"/>
        <v>Week 3</v>
      </c>
      <c r="H2117" s="32" t="str">
        <f t="shared" si="116"/>
        <v>January 28 Week 3</v>
      </c>
      <c r="I2117" s="32" t="str">
        <f>CONCATENATE(UPPER(TableAopCalendar[[#This Row],[Month]])," ",TableAopCalendar[[#This Row],[Year]])</f>
        <v>JANUARY 28</v>
      </c>
      <c r="J2117" s="7" t="s">
        <v>274</v>
      </c>
      <c r="K2117" s="32" t="str">
        <f>CONCATENATE(TableAopCalendar[[#This Row],[Month for Plan]]," ",TableAopCalendar[[#This Row],[Plan]])</f>
        <v>JANUARY 28 PLANNED</v>
      </c>
    </row>
    <row r="2118" spans="1:11" x14ac:dyDescent="0.3">
      <c r="A2118" s="32">
        <f t="shared" si="114"/>
        <v>2</v>
      </c>
      <c r="B2118" s="33">
        <v>46768</v>
      </c>
      <c r="C2118" s="6" t="s">
        <v>271</v>
      </c>
      <c r="D2118" s="34">
        <v>28</v>
      </c>
      <c r="E2118" s="32">
        <f>DAY(TableAopCalendar[[#This Row],[Date]])</f>
        <v>16</v>
      </c>
      <c r="F2118" s="32">
        <f>IF(TableAopCalendar[[#This Row],[Day]]&lt;8,1,IF(TableAopCalendar[[#This Row],[Day]]&lt;15,2,IF(TableAopCalendar[[#This Row],[Day]]&lt;22,3,IF(TableAopCalendar[[#This Row],[Day]]&lt;29,4,IF(TableAopCalendar[[#This Row],[Day]]&lt;32,5)))))</f>
        <v>3</v>
      </c>
      <c r="G2118" s="32" t="str">
        <f t="shared" si="115"/>
        <v>Week 3</v>
      </c>
      <c r="H2118" s="32" t="str">
        <f t="shared" si="116"/>
        <v>January 28 Week 3</v>
      </c>
      <c r="I2118" s="32" t="str">
        <f>CONCATENATE(UPPER(TableAopCalendar[[#This Row],[Month]])," ",TableAopCalendar[[#This Row],[Year]])</f>
        <v>JANUARY 28</v>
      </c>
      <c r="J2118" s="7" t="s">
        <v>274</v>
      </c>
      <c r="K2118" s="32" t="str">
        <f>CONCATENATE(TableAopCalendar[[#This Row],[Month for Plan]]," ",TableAopCalendar[[#This Row],[Plan]])</f>
        <v>JANUARY 28 PLANNED</v>
      </c>
    </row>
    <row r="2119" spans="1:11" x14ac:dyDescent="0.3">
      <c r="A2119" s="32">
        <f t="shared" si="114"/>
        <v>3</v>
      </c>
      <c r="B2119" s="33">
        <v>46769</v>
      </c>
      <c r="C2119" s="6" t="s">
        <v>271</v>
      </c>
      <c r="D2119" s="34">
        <v>28</v>
      </c>
      <c r="E2119" s="32">
        <f>DAY(TableAopCalendar[[#This Row],[Date]])</f>
        <v>17</v>
      </c>
      <c r="F2119" s="32">
        <f>IF(TableAopCalendar[[#This Row],[Day]]&lt;8,1,IF(TableAopCalendar[[#This Row],[Day]]&lt;15,2,IF(TableAopCalendar[[#This Row],[Day]]&lt;22,3,IF(TableAopCalendar[[#This Row],[Day]]&lt;29,4,IF(TableAopCalendar[[#This Row],[Day]]&lt;32,5)))))</f>
        <v>3</v>
      </c>
      <c r="G2119" s="32" t="str">
        <f t="shared" si="115"/>
        <v>Week 3</v>
      </c>
      <c r="H2119" s="32" t="str">
        <f t="shared" si="116"/>
        <v>January 28 Week 3</v>
      </c>
      <c r="I2119" s="32" t="str">
        <f>CONCATENATE(UPPER(TableAopCalendar[[#This Row],[Month]])," ",TableAopCalendar[[#This Row],[Year]])</f>
        <v>JANUARY 28</v>
      </c>
      <c r="J2119" s="7" t="s">
        <v>274</v>
      </c>
      <c r="K2119" s="32" t="str">
        <f>CONCATENATE(TableAopCalendar[[#This Row],[Month for Plan]]," ",TableAopCalendar[[#This Row],[Plan]])</f>
        <v>JANUARY 28 PLANNED</v>
      </c>
    </row>
    <row r="2120" spans="1:11" x14ac:dyDescent="0.3">
      <c r="A2120" s="32">
        <f t="shared" si="114"/>
        <v>4</v>
      </c>
      <c r="B2120" s="33">
        <v>46770</v>
      </c>
      <c r="C2120" s="6" t="s">
        <v>271</v>
      </c>
      <c r="D2120" s="34">
        <v>28</v>
      </c>
      <c r="E2120" s="32">
        <f>DAY(TableAopCalendar[[#This Row],[Date]])</f>
        <v>18</v>
      </c>
      <c r="F2120" s="32">
        <f>IF(TableAopCalendar[[#This Row],[Day]]&lt;8,1,IF(TableAopCalendar[[#This Row],[Day]]&lt;15,2,IF(TableAopCalendar[[#This Row],[Day]]&lt;22,3,IF(TableAopCalendar[[#This Row],[Day]]&lt;29,4,IF(TableAopCalendar[[#This Row],[Day]]&lt;32,5)))))</f>
        <v>3</v>
      </c>
      <c r="G2120" s="32" t="str">
        <f t="shared" si="115"/>
        <v>Week 3</v>
      </c>
      <c r="H2120" s="32" t="str">
        <f t="shared" si="116"/>
        <v>January 28 Week 3</v>
      </c>
      <c r="I2120" s="32" t="str">
        <f>CONCATENATE(UPPER(TableAopCalendar[[#This Row],[Month]])," ",TableAopCalendar[[#This Row],[Year]])</f>
        <v>JANUARY 28</v>
      </c>
      <c r="J2120" s="7" t="s">
        <v>274</v>
      </c>
      <c r="K2120" s="32" t="str">
        <f>CONCATENATE(TableAopCalendar[[#This Row],[Month for Plan]]," ",TableAopCalendar[[#This Row],[Plan]])</f>
        <v>JANUARY 28 PLANNED</v>
      </c>
    </row>
    <row r="2121" spans="1:11" x14ac:dyDescent="0.3">
      <c r="A2121" s="32">
        <f t="shared" si="114"/>
        <v>5</v>
      </c>
      <c r="B2121" s="33">
        <v>46771</v>
      </c>
      <c r="C2121" s="6" t="s">
        <v>271</v>
      </c>
      <c r="D2121" s="34">
        <v>28</v>
      </c>
      <c r="E2121" s="32">
        <f>DAY(TableAopCalendar[[#This Row],[Date]])</f>
        <v>19</v>
      </c>
      <c r="F2121" s="32">
        <f>IF(TableAopCalendar[[#This Row],[Day]]&lt;8,1,IF(TableAopCalendar[[#This Row],[Day]]&lt;15,2,IF(TableAopCalendar[[#This Row],[Day]]&lt;22,3,IF(TableAopCalendar[[#This Row],[Day]]&lt;29,4,IF(TableAopCalendar[[#This Row],[Day]]&lt;32,5)))))</f>
        <v>3</v>
      </c>
      <c r="G2121" s="32" t="str">
        <f t="shared" si="115"/>
        <v>Week 3</v>
      </c>
      <c r="H2121" s="32" t="str">
        <f t="shared" si="116"/>
        <v>January 28 Week 3</v>
      </c>
      <c r="I2121" s="32" t="str">
        <f>CONCATENATE(UPPER(TableAopCalendar[[#This Row],[Month]])," ",TableAopCalendar[[#This Row],[Year]])</f>
        <v>JANUARY 28</v>
      </c>
      <c r="J2121" s="7" t="s">
        <v>274</v>
      </c>
      <c r="K2121" s="32" t="str">
        <f>CONCATENATE(TableAopCalendar[[#This Row],[Month for Plan]]," ",TableAopCalendar[[#This Row],[Plan]])</f>
        <v>JANUARY 28 PLANNED</v>
      </c>
    </row>
    <row r="2122" spans="1:11" x14ac:dyDescent="0.3">
      <c r="A2122" s="32">
        <f t="shared" si="114"/>
        <v>6</v>
      </c>
      <c r="B2122" s="33">
        <v>46772</v>
      </c>
      <c r="C2122" s="6" t="s">
        <v>271</v>
      </c>
      <c r="D2122" s="34">
        <v>28</v>
      </c>
      <c r="E2122" s="32">
        <f>DAY(TableAopCalendar[[#This Row],[Date]])</f>
        <v>20</v>
      </c>
      <c r="F2122" s="32">
        <f>IF(TableAopCalendar[[#This Row],[Day]]&lt;8,1,IF(TableAopCalendar[[#This Row],[Day]]&lt;15,2,IF(TableAopCalendar[[#This Row],[Day]]&lt;22,3,IF(TableAopCalendar[[#This Row],[Day]]&lt;29,4,IF(TableAopCalendar[[#This Row],[Day]]&lt;32,5)))))</f>
        <v>3</v>
      </c>
      <c r="G2122" s="32" t="str">
        <f t="shared" si="115"/>
        <v>Week 3</v>
      </c>
      <c r="H2122" s="32" t="str">
        <f t="shared" si="116"/>
        <v>January 28 Week 3</v>
      </c>
      <c r="I2122" s="32" t="str">
        <f>CONCATENATE(UPPER(TableAopCalendar[[#This Row],[Month]])," ",TableAopCalendar[[#This Row],[Year]])</f>
        <v>JANUARY 28</v>
      </c>
      <c r="J2122" s="7" t="s">
        <v>274</v>
      </c>
      <c r="K2122" s="32" t="str">
        <f>CONCATENATE(TableAopCalendar[[#This Row],[Month for Plan]]," ",TableAopCalendar[[#This Row],[Plan]])</f>
        <v>JANUARY 28 PLANNED</v>
      </c>
    </row>
    <row r="2123" spans="1:11" x14ac:dyDescent="0.3">
      <c r="A2123" s="32">
        <f t="shared" si="114"/>
        <v>7</v>
      </c>
      <c r="B2123" s="33">
        <v>46773</v>
      </c>
      <c r="C2123" s="6" t="s">
        <v>271</v>
      </c>
      <c r="D2123" s="34">
        <v>28</v>
      </c>
      <c r="E2123" s="32">
        <f>DAY(TableAopCalendar[[#This Row],[Date]])</f>
        <v>21</v>
      </c>
      <c r="F2123" s="32">
        <f>IF(TableAopCalendar[[#This Row],[Day]]&lt;8,1,IF(TableAopCalendar[[#This Row],[Day]]&lt;15,2,IF(TableAopCalendar[[#This Row],[Day]]&lt;22,3,IF(TableAopCalendar[[#This Row],[Day]]&lt;29,4,IF(TableAopCalendar[[#This Row],[Day]]&lt;32,5)))))</f>
        <v>3</v>
      </c>
      <c r="G2123" s="32" t="str">
        <f t="shared" si="115"/>
        <v>Week 3</v>
      </c>
      <c r="H2123" s="32" t="str">
        <f t="shared" si="116"/>
        <v>January 28 Week 3</v>
      </c>
      <c r="I2123" s="32" t="str">
        <f>CONCATENATE(UPPER(TableAopCalendar[[#This Row],[Month]])," ",TableAopCalendar[[#This Row],[Year]])</f>
        <v>JANUARY 28</v>
      </c>
      <c r="J2123" s="7" t="s">
        <v>274</v>
      </c>
      <c r="K2123" s="32" t="str">
        <f>CONCATENATE(TableAopCalendar[[#This Row],[Month for Plan]]," ",TableAopCalendar[[#This Row],[Plan]])</f>
        <v>JANUARY 28 PLANNED</v>
      </c>
    </row>
    <row r="2124" spans="1:11" x14ac:dyDescent="0.3">
      <c r="A2124" s="32">
        <f t="shared" si="114"/>
        <v>1</v>
      </c>
      <c r="B2124" s="33">
        <v>46774</v>
      </c>
      <c r="C2124" s="6" t="s">
        <v>271</v>
      </c>
      <c r="D2124" s="34">
        <v>28</v>
      </c>
      <c r="E2124" s="32">
        <f>DAY(TableAopCalendar[[#This Row],[Date]])</f>
        <v>22</v>
      </c>
      <c r="F2124" s="32">
        <f>IF(TableAopCalendar[[#This Row],[Day]]&lt;8,1,IF(TableAopCalendar[[#This Row],[Day]]&lt;15,2,IF(TableAopCalendar[[#This Row],[Day]]&lt;22,3,IF(TableAopCalendar[[#This Row],[Day]]&lt;29,4,IF(TableAopCalendar[[#This Row],[Day]]&lt;32,5)))))</f>
        <v>4</v>
      </c>
      <c r="G2124" s="32" t="str">
        <f t="shared" si="115"/>
        <v>Week 4</v>
      </c>
      <c r="H2124" s="32" t="str">
        <f t="shared" si="116"/>
        <v>January 28 Week 4</v>
      </c>
      <c r="I2124" s="32" t="str">
        <f>CONCATENATE(UPPER(TableAopCalendar[[#This Row],[Month]])," ",TableAopCalendar[[#This Row],[Year]])</f>
        <v>JANUARY 28</v>
      </c>
      <c r="J2124" s="7" t="s">
        <v>274</v>
      </c>
      <c r="K2124" s="32" t="str">
        <f>CONCATENATE(TableAopCalendar[[#This Row],[Month for Plan]]," ",TableAopCalendar[[#This Row],[Plan]])</f>
        <v>JANUARY 28 PLANNED</v>
      </c>
    </row>
    <row r="2125" spans="1:11" x14ac:dyDescent="0.3">
      <c r="A2125" s="32">
        <f t="shared" si="114"/>
        <v>2</v>
      </c>
      <c r="B2125" s="33">
        <v>46775</v>
      </c>
      <c r="C2125" s="6" t="s">
        <v>271</v>
      </c>
      <c r="D2125" s="34">
        <v>28</v>
      </c>
      <c r="E2125" s="32">
        <f>DAY(TableAopCalendar[[#This Row],[Date]])</f>
        <v>23</v>
      </c>
      <c r="F2125" s="32">
        <f>IF(TableAopCalendar[[#This Row],[Day]]&lt;8,1,IF(TableAopCalendar[[#This Row],[Day]]&lt;15,2,IF(TableAopCalendar[[#This Row],[Day]]&lt;22,3,IF(TableAopCalendar[[#This Row],[Day]]&lt;29,4,IF(TableAopCalendar[[#This Row],[Day]]&lt;32,5)))))</f>
        <v>4</v>
      </c>
      <c r="G2125" s="32" t="str">
        <f t="shared" si="115"/>
        <v>Week 4</v>
      </c>
      <c r="H2125" s="32" t="str">
        <f t="shared" si="116"/>
        <v>January 28 Week 4</v>
      </c>
      <c r="I2125" s="32" t="str">
        <f>CONCATENATE(UPPER(TableAopCalendar[[#This Row],[Month]])," ",TableAopCalendar[[#This Row],[Year]])</f>
        <v>JANUARY 28</v>
      </c>
      <c r="J2125" s="7" t="s">
        <v>274</v>
      </c>
      <c r="K2125" s="32" t="str">
        <f>CONCATENATE(TableAopCalendar[[#This Row],[Month for Plan]]," ",TableAopCalendar[[#This Row],[Plan]])</f>
        <v>JANUARY 28 PLANNED</v>
      </c>
    </row>
    <row r="2126" spans="1:11" x14ac:dyDescent="0.3">
      <c r="A2126" s="32">
        <f t="shared" si="114"/>
        <v>3</v>
      </c>
      <c r="B2126" s="33">
        <v>46776</v>
      </c>
      <c r="C2126" s="6" t="s">
        <v>271</v>
      </c>
      <c r="D2126" s="34">
        <v>28</v>
      </c>
      <c r="E2126" s="32">
        <f>DAY(TableAopCalendar[[#This Row],[Date]])</f>
        <v>24</v>
      </c>
      <c r="F2126" s="32">
        <f>IF(TableAopCalendar[[#This Row],[Day]]&lt;8,1,IF(TableAopCalendar[[#This Row],[Day]]&lt;15,2,IF(TableAopCalendar[[#This Row],[Day]]&lt;22,3,IF(TableAopCalendar[[#This Row],[Day]]&lt;29,4,IF(TableAopCalendar[[#This Row],[Day]]&lt;32,5)))))</f>
        <v>4</v>
      </c>
      <c r="G2126" s="32" t="str">
        <f t="shared" si="115"/>
        <v>Week 4</v>
      </c>
      <c r="H2126" s="32" t="str">
        <f t="shared" si="116"/>
        <v>January 28 Week 4</v>
      </c>
      <c r="I2126" s="32" t="str">
        <f>CONCATENATE(UPPER(TableAopCalendar[[#This Row],[Month]])," ",TableAopCalendar[[#This Row],[Year]])</f>
        <v>JANUARY 28</v>
      </c>
      <c r="J2126" s="7" t="s">
        <v>274</v>
      </c>
      <c r="K2126" s="32" t="str">
        <f>CONCATENATE(TableAopCalendar[[#This Row],[Month for Plan]]," ",TableAopCalendar[[#This Row],[Plan]])</f>
        <v>JANUARY 28 PLANNED</v>
      </c>
    </row>
    <row r="2127" spans="1:11" x14ac:dyDescent="0.3">
      <c r="A2127" s="32">
        <f t="shared" si="114"/>
        <v>4</v>
      </c>
      <c r="B2127" s="33">
        <v>46777</v>
      </c>
      <c r="C2127" s="6" t="s">
        <v>271</v>
      </c>
      <c r="D2127" s="34">
        <v>28</v>
      </c>
      <c r="E2127" s="32">
        <f>DAY(TableAopCalendar[[#This Row],[Date]])</f>
        <v>25</v>
      </c>
      <c r="F2127" s="32">
        <f>IF(TableAopCalendar[[#This Row],[Day]]&lt;8,1,IF(TableAopCalendar[[#This Row],[Day]]&lt;15,2,IF(TableAopCalendar[[#This Row],[Day]]&lt;22,3,IF(TableAopCalendar[[#This Row],[Day]]&lt;29,4,IF(TableAopCalendar[[#This Row],[Day]]&lt;32,5)))))</f>
        <v>4</v>
      </c>
      <c r="G2127" s="32" t="str">
        <f t="shared" si="115"/>
        <v>Week 4</v>
      </c>
      <c r="H2127" s="32" t="str">
        <f t="shared" si="116"/>
        <v>January 28 Week 4</v>
      </c>
      <c r="I2127" s="32" t="str">
        <f>CONCATENATE(UPPER(TableAopCalendar[[#This Row],[Month]])," ",TableAopCalendar[[#This Row],[Year]])</f>
        <v>JANUARY 28</v>
      </c>
      <c r="J2127" s="7" t="s">
        <v>274</v>
      </c>
      <c r="K2127" s="32" t="str">
        <f>CONCATENATE(TableAopCalendar[[#This Row],[Month for Plan]]," ",TableAopCalendar[[#This Row],[Plan]])</f>
        <v>JANUARY 28 PLANNED</v>
      </c>
    </row>
    <row r="2128" spans="1:11" x14ac:dyDescent="0.3">
      <c r="A2128" s="32">
        <f t="shared" si="114"/>
        <v>5</v>
      </c>
      <c r="B2128" s="33">
        <v>46778</v>
      </c>
      <c r="C2128" s="6" t="s">
        <v>271</v>
      </c>
      <c r="D2128" s="34">
        <v>28</v>
      </c>
      <c r="E2128" s="32">
        <f>DAY(TableAopCalendar[[#This Row],[Date]])</f>
        <v>26</v>
      </c>
      <c r="F2128" s="32">
        <f>IF(TableAopCalendar[[#This Row],[Day]]&lt;8,1,IF(TableAopCalendar[[#This Row],[Day]]&lt;15,2,IF(TableAopCalendar[[#This Row],[Day]]&lt;22,3,IF(TableAopCalendar[[#This Row],[Day]]&lt;29,4,IF(TableAopCalendar[[#This Row],[Day]]&lt;32,5)))))</f>
        <v>4</v>
      </c>
      <c r="G2128" s="32" t="str">
        <f t="shared" si="115"/>
        <v>Week 4</v>
      </c>
      <c r="H2128" s="32" t="str">
        <f t="shared" si="116"/>
        <v>January 28 Week 4</v>
      </c>
      <c r="I2128" s="32" t="str">
        <f>CONCATENATE(UPPER(TableAopCalendar[[#This Row],[Month]])," ",TableAopCalendar[[#This Row],[Year]])</f>
        <v>JANUARY 28</v>
      </c>
      <c r="J2128" s="7" t="s">
        <v>274</v>
      </c>
      <c r="K2128" s="32" t="str">
        <f>CONCATENATE(TableAopCalendar[[#This Row],[Month for Plan]]," ",TableAopCalendar[[#This Row],[Plan]])</f>
        <v>JANUARY 28 PLANNED</v>
      </c>
    </row>
    <row r="2129" spans="1:11" x14ac:dyDescent="0.3">
      <c r="A2129" s="32">
        <f t="shared" si="114"/>
        <v>6</v>
      </c>
      <c r="B2129" s="33">
        <v>46779</v>
      </c>
      <c r="C2129" s="6" t="s">
        <v>271</v>
      </c>
      <c r="D2129" s="34">
        <v>28</v>
      </c>
      <c r="E2129" s="32">
        <f>DAY(TableAopCalendar[[#This Row],[Date]])</f>
        <v>27</v>
      </c>
      <c r="F2129" s="32">
        <f>IF(TableAopCalendar[[#This Row],[Day]]&lt;8,1,IF(TableAopCalendar[[#This Row],[Day]]&lt;15,2,IF(TableAopCalendar[[#This Row],[Day]]&lt;22,3,IF(TableAopCalendar[[#This Row],[Day]]&lt;29,4,IF(TableAopCalendar[[#This Row],[Day]]&lt;32,5)))))</f>
        <v>4</v>
      </c>
      <c r="G2129" s="32" t="str">
        <f t="shared" si="115"/>
        <v>Week 4</v>
      </c>
      <c r="H2129" s="32" t="str">
        <f t="shared" si="116"/>
        <v>January 28 Week 4</v>
      </c>
      <c r="I2129" s="32" t="str">
        <f>CONCATENATE(UPPER(TableAopCalendar[[#This Row],[Month]])," ",TableAopCalendar[[#This Row],[Year]])</f>
        <v>JANUARY 28</v>
      </c>
      <c r="J2129" s="7" t="s">
        <v>274</v>
      </c>
      <c r="K2129" s="32" t="str">
        <f>CONCATENATE(TableAopCalendar[[#This Row],[Month for Plan]]," ",TableAopCalendar[[#This Row],[Plan]])</f>
        <v>JANUARY 28 PLANNED</v>
      </c>
    </row>
    <row r="2130" spans="1:11" x14ac:dyDescent="0.3">
      <c r="A2130" s="32">
        <f t="shared" si="114"/>
        <v>7</v>
      </c>
      <c r="B2130" s="33">
        <v>46780</v>
      </c>
      <c r="C2130" s="6" t="s">
        <v>271</v>
      </c>
      <c r="D2130" s="34">
        <v>28</v>
      </c>
      <c r="E2130" s="32">
        <f>DAY(TableAopCalendar[[#This Row],[Date]])</f>
        <v>28</v>
      </c>
      <c r="F2130" s="32">
        <f>IF(TableAopCalendar[[#This Row],[Day]]&lt;8,1,IF(TableAopCalendar[[#This Row],[Day]]&lt;15,2,IF(TableAopCalendar[[#This Row],[Day]]&lt;22,3,IF(TableAopCalendar[[#This Row],[Day]]&lt;29,4,IF(TableAopCalendar[[#This Row],[Day]]&lt;32,5)))))</f>
        <v>4</v>
      </c>
      <c r="G2130" s="32" t="str">
        <f t="shared" si="115"/>
        <v>Week 4</v>
      </c>
      <c r="H2130" s="32" t="str">
        <f t="shared" si="116"/>
        <v>January 28 Week 4</v>
      </c>
      <c r="I2130" s="32" t="str">
        <f>CONCATENATE(UPPER(TableAopCalendar[[#This Row],[Month]])," ",TableAopCalendar[[#This Row],[Year]])</f>
        <v>JANUARY 28</v>
      </c>
      <c r="J2130" s="7" t="s">
        <v>274</v>
      </c>
      <c r="K2130" s="32" t="str">
        <f>CONCATENATE(TableAopCalendar[[#This Row],[Month for Plan]]," ",TableAopCalendar[[#This Row],[Plan]])</f>
        <v>JANUARY 28 PLANNED</v>
      </c>
    </row>
    <row r="2131" spans="1:11" x14ac:dyDescent="0.3">
      <c r="A2131" s="32">
        <f t="shared" si="114"/>
        <v>1</v>
      </c>
      <c r="B2131" s="33">
        <v>46781</v>
      </c>
      <c r="C2131" s="6" t="s">
        <v>271</v>
      </c>
      <c r="D2131" s="34">
        <v>28</v>
      </c>
      <c r="E2131" s="32">
        <f>DAY(TableAopCalendar[[#This Row],[Date]])</f>
        <v>29</v>
      </c>
      <c r="F2131" s="32">
        <f>IF(TableAopCalendar[[#This Row],[Day]]&lt;8,1,IF(TableAopCalendar[[#This Row],[Day]]&lt;15,2,IF(TableAopCalendar[[#This Row],[Day]]&lt;22,3,IF(TableAopCalendar[[#This Row],[Day]]&lt;29,4,IF(TableAopCalendar[[#This Row],[Day]]&lt;32,5)))))</f>
        <v>5</v>
      </c>
      <c r="G2131" s="32" t="str">
        <f t="shared" si="115"/>
        <v>Week 5</v>
      </c>
      <c r="H2131" s="32" t="str">
        <f t="shared" si="116"/>
        <v>January 28 Week 5</v>
      </c>
      <c r="I2131" s="32" t="str">
        <f>CONCATENATE(UPPER(TableAopCalendar[[#This Row],[Month]])," ",TableAopCalendar[[#This Row],[Year]])</f>
        <v>JANUARY 28</v>
      </c>
      <c r="J2131" s="7" t="s">
        <v>274</v>
      </c>
      <c r="K2131" s="32" t="str">
        <f>CONCATENATE(TableAopCalendar[[#This Row],[Month for Plan]]," ",TableAopCalendar[[#This Row],[Plan]])</f>
        <v>JANUARY 28 PLANNED</v>
      </c>
    </row>
    <row r="2132" spans="1:11" x14ac:dyDescent="0.3">
      <c r="A2132" s="32">
        <f t="shared" si="114"/>
        <v>2</v>
      </c>
      <c r="B2132" s="33">
        <v>46782</v>
      </c>
      <c r="C2132" s="6" t="s">
        <v>271</v>
      </c>
      <c r="D2132" s="34">
        <v>28</v>
      </c>
      <c r="E2132" s="32">
        <f>DAY(TableAopCalendar[[#This Row],[Date]])</f>
        <v>30</v>
      </c>
      <c r="F2132" s="32">
        <f>IF(TableAopCalendar[[#This Row],[Day]]&lt;8,1,IF(TableAopCalendar[[#This Row],[Day]]&lt;15,2,IF(TableAopCalendar[[#This Row],[Day]]&lt;22,3,IF(TableAopCalendar[[#This Row],[Day]]&lt;29,4,IF(TableAopCalendar[[#This Row],[Day]]&lt;32,5)))))</f>
        <v>5</v>
      </c>
      <c r="G2132" s="32" t="str">
        <f t="shared" si="115"/>
        <v>Week 5</v>
      </c>
      <c r="H2132" s="32" t="str">
        <f t="shared" si="116"/>
        <v>January 28 Week 5</v>
      </c>
      <c r="I2132" s="32" t="str">
        <f>CONCATENATE(UPPER(TableAopCalendar[[#This Row],[Month]])," ",TableAopCalendar[[#This Row],[Year]])</f>
        <v>JANUARY 28</v>
      </c>
      <c r="J2132" s="7" t="s">
        <v>274</v>
      </c>
      <c r="K2132" s="32" t="str">
        <f>CONCATENATE(TableAopCalendar[[#This Row],[Month for Plan]]," ",TableAopCalendar[[#This Row],[Plan]])</f>
        <v>JANUARY 28 PLANNED</v>
      </c>
    </row>
    <row r="2133" spans="1:11" x14ac:dyDescent="0.3">
      <c r="A2133" s="32">
        <f t="shared" si="114"/>
        <v>3</v>
      </c>
      <c r="B2133" s="33">
        <v>46783</v>
      </c>
      <c r="C2133" s="6" t="s">
        <v>271</v>
      </c>
      <c r="D2133" s="34">
        <v>28</v>
      </c>
      <c r="E2133" s="32">
        <f>DAY(TableAopCalendar[[#This Row],[Date]])</f>
        <v>31</v>
      </c>
      <c r="F2133" s="32">
        <f>IF(TableAopCalendar[[#This Row],[Day]]&lt;8,1,IF(TableAopCalendar[[#This Row],[Day]]&lt;15,2,IF(TableAopCalendar[[#This Row],[Day]]&lt;22,3,IF(TableAopCalendar[[#This Row],[Day]]&lt;29,4,IF(TableAopCalendar[[#This Row],[Day]]&lt;32,5)))))</f>
        <v>5</v>
      </c>
      <c r="G2133" s="32" t="str">
        <f t="shared" si="115"/>
        <v>Week 5</v>
      </c>
      <c r="H2133" s="32" t="str">
        <f t="shared" si="116"/>
        <v>January 28 Week 5</v>
      </c>
      <c r="I2133" s="32" t="str">
        <f>CONCATENATE(UPPER(TableAopCalendar[[#This Row],[Month]])," ",TableAopCalendar[[#This Row],[Year]])</f>
        <v>JANUARY 28</v>
      </c>
      <c r="J2133" s="7" t="s">
        <v>274</v>
      </c>
      <c r="K2133" s="32" t="str">
        <f>CONCATENATE(TableAopCalendar[[#This Row],[Month for Plan]]," ",TableAopCalendar[[#This Row],[Plan]])</f>
        <v>JANUARY 28 PLANNED</v>
      </c>
    </row>
    <row r="2134" spans="1:11" x14ac:dyDescent="0.3">
      <c r="A2134" s="32">
        <f t="shared" si="114"/>
        <v>1</v>
      </c>
      <c r="B2134" s="33">
        <v>46784</v>
      </c>
      <c r="C2134" s="6" t="s">
        <v>272</v>
      </c>
      <c r="D2134" s="34">
        <v>28</v>
      </c>
      <c r="E2134" s="32">
        <f>DAY(TableAopCalendar[[#This Row],[Date]])</f>
        <v>1</v>
      </c>
      <c r="F2134" s="32">
        <f>IF(TableAopCalendar[[#This Row],[Day]]&lt;8,1,IF(TableAopCalendar[[#This Row],[Day]]&lt;15,2,IF(TableAopCalendar[[#This Row],[Day]]&lt;22,3,IF(TableAopCalendar[[#This Row],[Day]]&lt;29,4,IF(TableAopCalendar[[#This Row],[Day]]&lt;32,5)))))</f>
        <v>1</v>
      </c>
      <c r="G2134" s="32" t="str">
        <f t="shared" si="115"/>
        <v>Week 1</v>
      </c>
      <c r="H2134" s="32" t="str">
        <f t="shared" si="116"/>
        <v>February 28 Week 1</v>
      </c>
      <c r="I2134" s="32" t="str">
        <f>CONCATENATE(UPPER(TableAopCalendar[[#This Row],[Month]])," ",TableAopCalendar[[#This Row],[Year]])</f>
        <v>FEBRUARY 28</v>
      </c>
      <c r="J2134" s="7" t="s">
        <v>274</v>
      </c>
      <c r="K2134" s="32" t="str">
        <f>CONCATENATE(TableAopCalendar[[#This Row],[Month for Plan]]," ",TableAopCalendar[[#This Row],[Plan]])</f>
        <v>FEBRUARY 28 PLANNED</v>
      </c>
    </row>
    <row r="2135" spans="1:11" x14ac:dyDescent="0.3">
      <c r="A2135" s="32">
        <f t="shared" si="114"/>
        <v>2</v>
      </c>
      <c r="B2135" s="33">
        <v>46785</v>
      </c>
      <c r="C2135" s="6" t="s">
        <v>272</v>
      </c>
      <c r="D2135" s="34">
        <v>28</v>
      </c>
      <c r="E2135" s="32">
        <f>DAY(TableAopCalendar[[#This Row],[Date]])</f>
        <v>2</v>
      </c>
      <c r="F2135" s="32">
        <f>IF(TableAopCalendar[[#This Row],[Day]]&lt;8,1,IF(TableAopCalendar[[#This Row],[Day]]&lt;15,2,IF(TableAopCalendar[[#This Row],[Day]]&lt;22,3,IF(TableAopCalendar[[#This Row],[Day]]&lt;29,4,IF(TableAopCalendar[[#This Row],[Day]]&lt;32,5)))))</f>
        <v>1</v>
      </c>
      <c r="G2135" s="32" t="str">
        <f t="shared" si="115"/>
        <v>Week 1</v>
      </c>
      <c r="H2135" s="32" t="str">
        <f t="shared" si="116"/>
        <v>February 28 Week 1</v>
      </c>
      <c r="I2135" s="32" t="str">
        <f>CONCATENATE(UPPER(TableAopCalendar[[#This Row],[Month]])," ",TableAopCalendar[[#This Row],[Year]])</f>
        <v>FEBRUARY 28</v>
      </c>
      <c r="J2135" s="7" t="s">
        <v>274</v>
      </c>
      <c r="K2135" s="32" t="str">
        <f>CONCATENATE(TableAopCalendar[[#This Row],[Month for Plan]]," ",TableAopCalendar[[#This Row],[Plan]])</f>
        <v>FEBRUARY 28 PLANNED</v>
      </c>
    </row>
    <row r="2136" spans="1:11" x14ac:dyDescent="0.3">
      <c r="A2136" s="32">
        <f t="shared" si="114"/>
        <v>3</v>
      </c>
      <c r="B2136" s="33">
        <v>46786</v>
      </c>
      <c r="C2136" s="6" t="s">
        <v>272</v>
      </c>
      <c r="D2136" s="34">
        <v>28</v>
      </c>
      <c r="E2136" s="32">
        <f>DAY(TableAopCalendar[[#This Row],[Date]])</f>
        <v>3</v>
      </c>
      <c r="F2136" s="32">
        <f>IF(TableAopCalendar[[#This Row],[Day]]&lt;8,1,IF(TableAopCalendar[[#This Row],[Day]]&lt;15,2,IF(TableAopCalendar[[#This Row],[Day]]&lt;22,3,IF(TableAopCalendar[[#This Row],[Day]]&lt;29,4,IF(TableAopCalendar[[#This Row],[Day]]&lt;32,5)))))</f>
        <v>1</v>
      </c>
      <c r="G2136" s="32" t="str">
        <f t="shared" si="115"/>
        <v>Week 1</v>
      </c>
      <c r="H2136" s="32" t="str">
        <f t="shared" si="116"/>
        <v>February 28 Week 1</v>
      </c>
      <c r="I2136" s="32" t="str">
        <f>CONCATENATE(UPPER(TableAopCalendar[[#This Row],[Month]])," ",TableAopCalendar[[#This Row],[Year]])</f>
        <v>FEBRUARY 28</v>
      </c>
      <c r="J2136" s="7" t="s">
        <v>274</v>
      </c>
      <c r="K2136" s="32" t="str">
        <f>CONCATENATE(TableAopCalendar[[#This Row],[Month for Plan]]," ",TableAopCalendar[[#This Row],[Plan]])</f>
        <v>FEBRUARY 28 PLANNED</v>
      </c>
    </row>
    <row r="2137" spans="1:11" x14ac:dyDescent="0.3">
      <c r="A2137" s="32">
        <f t="shared" si="114"/>
        <v>4</v>
      </c>
      <c r="B2137" s="33">
        <v>46787</v>
      </c>
      <c r="C2137" s="6" t="s">
        <v>272</v>
      </c>
      <c r="D2137" s="34">
        <v>28</v>
      </c>
      <c r="E2137" s="32">
        <f>DAY(TableAopCalendar[[#This Row],[Date]])</f>
        <v>4</v>
      </c>
      <c r="F2137" s="32">
        <f>IF(TableAopCalendar[[#This Row],[Day]]&lt;8,1,IF(TableAopCalendar[[#This Row],[Day]]&lt;15,2,IF(TableAopCalendar[[#This Row],[Day]]&lt;22,3,IF(TableAopCalendar[[#This Row],[Day]]&lt;29,4,IF(TableAopCalendar[[#This Row],[Day]]&lt;32,5)))))</f>
        <v>1</v>
      </c>
      <c r="G2137" s="32" t="str">
        <f t="shared" si="115"/>
        <v>Week 1</v>
      </c>
      <c r="H2137" s="32" t="str">
        <f t="shared" si="116"/>
        <v>February 28 Week 1</v>
      </c>
      <c r="I2137" s="32" t="str">
        <f>CONCATENATE(UPPER(TableAopCalendar[[#This Row],[Month]])," ",TableAopCalendar[[#This Row],[Year]])</f>
        <v>FEBRUARY 28</v>
      </c>
      <c r="J2137" s="7" t="s">
        <v>274</v>
      </c>
      <c r="K2137" s="32" t="str">
        <f>CONCATENATE(TableAopCalendar[[#This Row],[Month for Plan]]," ",TableAopCalendar[[#This Row],[Plan]])</f>
        <v>FEBRUARY 28 PLANNED</v>
      </c>
    </row>
    <row r="2138" spans="1:11" x14ac:dyDescent="0.3">
      <c r="A2138" s="32">
        <f t="shared" si="114"/>
        <v>5</v>
      </c>
      <c r="B2138" s="33">
        <v>46788</v>
      </c>
      <c r="C2138" s="6" t="s">
        <v>272</v>
      </c>
      <c r="D2138" s="34">
        <v>28</v>
      </c>
      <c r="E2138" s="32">
        <f>DAY(TableAopCalendar[[#This Row],[Date]])</f>
        <v>5</v>
      </c>
      <c r="F2138" s="32">
        <f>IF(TableAopCalendar[[#This Row],[Day]]&lt;8,1,IF(TableAopCalendar[[#This Row],[Day]]&lt;15,2,IF(TableAopCalendar[[#This Row],[Day]]&lt;22,3,IF(TableAopCalendar[[#This Row],[Day]]&lt;29,4,IF(TableAopCalendar[[#This Row],[Day]]&lt;32,5)))))</f>
        <v>1</v>
      </c>
      <c r="G2138" s="32" t="str">
        <f t="shared" si="115"/>
        <v>Week 1</v>
      </c>
      <c r="H2138" s="32" t="str">
        <f t="shared" si="116"/>
        <v>February 28 Week 1</v>
      </c>
      <c r="I2138" s="32" t="str">
        <f>CONCATENATE(UPPER(TableAopCalendar[[#This Row],[Month]])," ",TableAopCalendar[[#This Row],[Year]])</f>
        <v>FEBRUARY 28</v>
      </c>
      <c r="J2138" s="7" t="s">
        <v>274</v>
      </c>
      <c r="K2138" s="32" t="str">
        <f>CONCATENATE(TableAopCalendar[[#This Row],[Month for Plan]]," ",TableAopCalendar[[#This Row],[Plan]])</f>
        <v>FEBRUARY 28 PLANNED</v>
      </c>
    </row>
    <row r="2139" spans="1:11" x14ac:dyDescent="0.3">
      <c r="A2139" s="32">
        <f t="shared" si="114"/>
        <v>6</v>
      </c>
      <c r="B2139" s="33">
        <v>46789</v>
      </c>
      <c r="C2139" s="6" t="s">
        <v>272</v>
      </c>
      <c r="D2139" s="34">
        <v>28</v>
      </c>
      <c r="E2139" s="32">
        <f>DAY(TableAopCalendar[[#This Row],[Date]])</f>
        <v>6</v>
      </c>
      <c r="F2139" s="32">
        <f>IF(TableAopCalendar[[#This Row],[Day]]&lt;8,1,IF(TableAopCalendar[[#This Row],[Day]]&lt;15,2,IF(TableAopCalendar[[#This Row],[Day]]&lt;22,3,IF(TableAopCalendar[[#This Row],[Day]]&lt;29,4,IF(TableAopCalendar[[#This Row],[Day]]&lt;32,5)))))</f>
        <v>1</v>
      </c>
      <c r="G2139" s="32" t="str">
        <f t="shared" si="115"/>
        <v>Week 1</v>
      </c>
      <c r="H2139" s="32" t="str">
        <f t="shared" si="116"/>
        <v>February 28 Week 1</v>
      </c>
      <c r="I2139" s="32" t="str">
        <f>CONCATENATE(UPPER(TableAopCalendar[[#This Row],[Month]])," ",TableAopCalendar[[#This Row],[Year]])</f>
        <v>FEBRUARY 28</v>
      </c>
      <c r="J2139" s="7" t="s">
        <v>274</v>
      </c>
      <c r="K2139" s="32" t="str">
        <f>CONCATENATE(TableAopCalendar[[#This Row],[Month for Plan]]," ",TableAopCalendar[[#This Row],[Plan]])</f>
        <v>FEBRUARY 28 PLANNED</v>
      </c>
    </row>
    <row r="2140" spans="1:11" x14ac:dyDescent="0.3">
      <c r="A2140" s="32">
        <f t="shared" si="114"/>
        <v>7</v>
      </c>
      <c r="B2140" s="33">
        <v>46790</v>
      </c>
      <c r="C2140" s="6" t="s">
        <v>272</v>
      </c>
      <c r="D2140" s="34">
        <v>28</v>
      </c>
      <c r="E2140" s="32">
        <f>DAY(TableAopCalendar[[#This Row],[Date]])</f>
        <v>7</v>
      </c>
      <c r="F2140" s="32">
        <f>IF(TableAopCalendar[[#This Row],[Day]]&lt;8,1,IF(TableAopCalendar[[#This Row],[Day]]&lt;15,2,IF(TableAopCalendar[[#This Row],[Day]]&lt;22,3,IF(TableAopCalendar[[#This Row],[Day]]&lt;29,4,IF(TableAopCalendar[[#This Row],[Day]]&lt;32,5)))))</f>
        <v>1</v>
      </c>
      <c r="G2140" s="32" t="str">
        <f t="shared" si="115"/>
        <v>Week 1</v>
      </c>
      <c r="H2140" s="32" t="str">
        <f t="shared" si="116"/>
        <v>February 28 Week 1</v>
      </c>
      <c r="I2140" s="32" t="str">
        <f>CONCATENATE(UPPER(TableAopCalendar[[#This Row],[Month]])," ",TableAopCalendar[[#This Row],[Year]])</f>
        <v>FEBRUARY 28</v>
      </c>
      <c r="J2140" s="7" t="s">
        <v>274</v>
      </c>
      <c r="K2140" s="32" t="str">
        <f>CONCATENATE(TableAopCalendar[[#This Row],[Month for Plan]]," ",TableAopCalendar[[#This Row],[Plan]])</f>
        <v>FEBRUARY 28 PLANNED</v>
      </c>
    </row>
    <row r="2141" spans="1:11" x14ac:dyDescent="0.3">
      <c r="A2141" s="32">
        <f t="shared" si="114"/>
        <v>1</v>
      </c>
      <c r="B2141" s="33">
        <v>46791</v>
      </c>
      <c r="C2141" s="6" t="s">
        <v>272</v>
      </c>
      <c r="D2141" s="34">
        <v>28</v>
      </c>
      <c r="E2141" s="32">
        <f>DAY(TableAopCalendar[[#This Row],[Date]])</f>
        <v>8</v>
      </c>
      <c r="F2141" s="32">
        <f>IF(TableAopCalendar[[#This Row],[Day]]&lt;8,1,IF(TableAopCalendar[[#This Row],[Day]]&lt;15,2,IF(TableAopCalendar[[#This Row],[Day]]&lt;22,3,IF(TableAopCalendar[[#This Row],[Day]]&lt;29,4,IF(TableAopCalendar[[#This Row],[Day]]&lt;32,5)))))</f>
        <v>2</v>
      </c>
      <c r="G2141" s="32" t="str">
        <f t="shared" si="115"/>
        <v>Week 2</v>
      </c>
      <c r="H2141" s="32" t="str">
        <f t="shared" si="116"/>
        <v>February 28 Week 2</v>
      </c>
      <c r="I2141" s="32" t="str">
        <f>CONCATENATE(UPPER(TableAopCalendar[[#This Row],[Month]])," ",TableAopCalendar[[#This Row],[Year]])</f>
        <v>FEBRUARY 28</v>
      </c>
      <c r="J2141" s="7" t="s">
        <v>274</v>
      </c>
      <c r="K2141" s="32" t="str">
        <f>CONCATENATE(TableAopCalendar[[#This Row],[Month for Plan]]," ",TableAopCalendar[[#This Row],[Plan]])</f>
        <v>FEBRUARY 28 PLANNED</v>
      </c>
    </row>
    <row r="2142" spans="1:11" x14ac:dyDescent="0.3">
      <c r="A2142" s="32">
        <f t="shared" si="114"/>
        <v>2</v>
      </c>
      <c r="B2142" s="33">
        <v>46792</v>
      </c>
      <c r="C2142" s="6" t="s">
        <v>272</v>
      </c>
      <c r="D2142" s="34">
        <v>28</v>
      </c>
      <c r="E2142" s="32">
        <f>DAY(TableAopCalendar[[#This Row],[Date]])</f>
        <v>9</v>
      </c>
      <c r="F2142" s="32">
        <f>IF(TableAopCalendar[[#This Row],[Day]]&lt;8,1,IF(TableAopCalendar[[#This Row],[Day]]&lt;15,2,IF(TableAopCalendar[[#This Row],[Day]]&lt;22,3,IF(TableAopCalendar[[#This Row],[Day]]&lt;29,4,IF(TableAopCalendar[[#This Row],[Day]]&lt;32,5)))))</f>
        <v>2</v>
      </c>
      <c r="G2142" s="32" t="str">
        <f t="shared" si="115"/>
        <v>Week 2</v>
      </c>
      <c r="H2142" s="32" t="str">
        <f t="shared" si="116"/>
        <v>February 28 Week 2</v>
      </c>
      <c r="I2142" s="32" t="str">
        <f>CONCATENATE(UPPER(TableAopCalendar[[#This Row],[Month]])," ",TableAopCalendar[[#This Row],[Year]])</f>
        <v>FEBRUARY 28</v>
      </c>
      <c r="J2142" s="7" t="s">
        <v>274</v>
      </c>
      <c r="K2142" s="32" t="str">
        <f>CONCATENATE(TableAopCalendar[[#This Row],[Month for Plan]]," ",TableAopCalendar[[#This Row],[Plan]])</f>
        <v>FEBRUARY 28 PLANNED</v>
      </c>
    </row>
    <row r="2143" spans="1:11" x14ac:dyDescent="0.3">
      <c r="A2143" s="32">
        <f t="shared" si="114"/>
        <v>3</v>
      </c>
      <c r="B2143" s="33">
        <v>46793</v>
      </c>
      <c r="C2143" s="6" t="s">
        <v>272</v>
      </c>
      <c r="D2143" s="34">
        <v>28</v>
      </c>
      <c r="E2143" s="32">
        <f>DAY(TableAopCalendar[[#This Row],[Date]])</f>
        <v>10</v>
      </c>
      <c r="F2143" s="32">
        <f>IF(TableAopCalendar[[#This Row],[Day]]&lt;8,1,IF(TableAopCalendar[[#This Row],[Day]]&lt;15,2,IF(TableAopCalendar[[#This Row],[Day]]&lt;22,3,IF(TableAopCalendar[[#This Row],[Day]]&lt;29,4,IF(TableAopCalendar[[#This Row],[Day]]&lt;32,5)))))</f>
        <v>2</v>
      </c>
      <c r="G2143" s="32" t="str">
        <f t="shared" si="115"/>
        <v>Week 2</v>
      </c>
      <c r="H2143" s="32" t="str">
        <f t="shared" si="116"/>
        <v>February 28 Week 2</v>
      </c>
      <c r="I2143" s="32" t="str">
        <f>CONCATENATE(UPPER(TableAopCalendar[[#This Row],[Month]])," ",TableAopCalendar[[#This Row],[Year]])</f>
        <v>FEBRUARY 28</v>
      </c>
      <c r="J2143" s="7" t="s">
        <v>274</v>
      </c>
      <c r="K2143" s="32" t="str">
        <f>CONCATENATE(TableAopCalendar[[#This Row],[Month for Plan]]," ",TableAopCalendar[[#This Row],[Plan]])</f>
        <v>FEBRUARY 28 PLANNED</v>
      </c>
    </row>
    <row r="2144" spans="1:11" x14ac:dyDescent="0.3">
      <c r="A2144" s="32">
        <f t="shared" si="114"/>
        <v>4</v>
      </c>
      <c r="B2144" s="33">
        <v>46794</v>
      </c>
      <c r="C2144" s="6" t="s">
        <v>272</v>
      </c>
      <c r="D2144" s="34">
        <v>28</v>
      </c>
      <c r="E2144" s="32">
        <f>DAY(TableAopCalendar[[#This Row],[Date]])</f>
        <v>11</v>
      </c>
      <c r="F2144" s="32">
        <f>IF(TableAopCalendar[[#This Row],[Day]]&lt;8,1,IF(TableAopCalendar[[#This Row],[Day]]&lt;15,2,IF(TableAopCalendar[[#This Row],[Day]]&lt;22,3,IF(TableAopCalendar[[#This Row],[Day]]&lt;29,4,IF(TableAopCalendar[[#This Row],[Day]]&lt;32,5)))))</f>
        <v>2</v>
      </c>
      <c r="G2144" s="32" t="str">
        <f t="shared" si="115"/>
        <v>Week 2</v>
      </c>
      <c r="H2144" s="32" t="str">
        <f t="shared" si="116"/>
        <v>February 28 Week 2</v>
      </c>
      <c r="I2144" s="32" t="str">
        <f>CONCATENATE(UPPER(TableAopCalendar[[#This Row],[Month]])," ",TableAopCalendar[[#This Row],[Year]])</f>
        <v>FEBRUARY 28</v>
      </c>
      <c r="J2144" s="7" t="s">
        <v>274</v>
      </c>
      <c r="K2144" s="32" t="str">
        <f>CONCATENATE(TableAopCalendar[[#This Row],[Month for Plan]]," ",TableAopCalendar[[#This Row],[Plan]])</f>
        <v>FEBRUARY 28 PLANNED</v>
      </c>
    </row>
    <row r="2145" spans="1:11" x14ac:dyDescent="0.3">
      <c r="A2145" s="32">
        <f t="shared" si="114"/>
        <v>5</v>
      </c>
      <c r="B2145" s="33">
        <v>46795</v>
      </c>
      <c r="C2145" s="6" t="s">
        <v>272</v>
      </c>
      <c r="D2145" s="34">
        <v>28</v>
      </c>
      <c r="E2145" s="32">
        <f>DAY(TableAopCalendar[[#This Row],[Date]])</f>
        <v>12</v>
      </c>
      <c r="F2145" s="32">
        <f>IF(TableAopCalendar[[#This Row],[Day]]&lt;8,1,IF(TableAopCalendar[[#This Row],[Day]]&lt;15,2,IF(TableAopCalendar[[#This Row],[Day]]&lt;22,3,IF(TableAopCalendar[[#This Row],[Day]]&lt;29,4,IF(TableAopCalendar[[#This Row],[Day]]&lt;32,5)))))</f>
        <v>2</v>
      </c>
      <c r="G2145" s="32" t="str">
        <f t="shared" si="115"/>
        <v>Week 2</v>
      </c>
      <c r="H2145" s="32" t="str">
        <f t="shared" si="116"/>
        <v>February 28 Week 2</v>
      </c>
      <c r="I2145" s="32" t="str">
        <f>CONCATENATE(UPPER(TableAopCalendar[[#This Row],[Month]])," ",TableAopCalendar[[#This Row],[Year]])</f>
        <v>FEBRUARY 28</v>
      </c>
      <c r="J2145" s="7" t="s">
        <v>274</v>
      </c>
      <c r="K2145" s="32" t="str">
        <f>CONCATENATE(TableAopCalendar[[#This Row],[Month for Plan]]," ",TableAopCalendar[[#This Row],[Plan]])</f>
        <v>FEBRUARY 28 PLANNED</v>
      </c>
    </row>
    <row r="2146" spans="1:11" x14ac:dyDescent="0.3">
      <c r="A2146" s="32">
        <f t="shared" si="114"/>
        <v>6</v>
      </c>
      <c r="B2146" s="33">
        <v>46796</v>
      </c>
      <c r="C2146" s="6" t="s">
        <v>272</v>
      </c>
      <c r="D2146" s="34">
        <v>28</v>
      </c>
      <c r="E2146" s="32">
        <f>DAY(TableAopCalendar[[#This Row],[Date]])</f>
        <v>13</v>
      </c>
      <c r="F2146" s="32">
        <f>IF(TableAopCalendar[[#This Row],[Day]]&lt;8,1,IF(TableAopCalendar[[#This Row],[Day]]&lt;15,2,IF(TableAopCalendar[[#This Row],[Day]]&lt;22,3,IF(TableAopCalendar[[#This Row],[Day]]&lt;29,4,IF(TableAopCalendar[[#This Row],[Day]]&lt;32,5)))))</f>
        <v>2</v>
      </c>
      <c r="G2146" s="32" t="str">
        <f t="shared" si="115"/>
        <v>Week 2</v>
      </c>
      <c r="H2146" s="32" t="str">
        <f t="shared" si="116"/>
        <v>February 28 Week 2</v>
      </c>
      <c r="I2146" s="32" t="str">
        <f>CONCATENATE(UPPER(TableAopCalendar[[#This Row],[Month]])," ",TableAopCalendar[[#This Row],[Year]])</f>
        <v>FEBRUARY 28</v>
      </c>
      <c r="J2146" s="7" t="s">
        <v>274</v>
      </c>
      <c r="K2146" s="32" t="str">
        <f>CONCATENATE(TableAopCalendar[[#This Row],[Month for Plan]]," ",TableAopCalendar[[#This Row],[Plan]])</f>
        <v>FEBRUARY 28 PLANNED</v>
      </c>
    </row>
    <row r="2147" spans="1:11" x14ac:dyDescent="0.3">
      <c r="A2147" s="32">
        <f t="shared" si="114"/>
        <v>7</v>
      </c>
      <c r="B2147" s="33">
        <v>46797</v>
      </c>
      <c r="C2147" s="6" t="s">
        <v>272</v>
      </c>
      <c r="D2147" s="34">
        <v>28</v>
      </c>
      <c r="E2147" s="32">
        <f>DAY(TableAopCalendar[[#This Row],[Date]])</f>
        <v>14</v>
      </c>
      <c r="F2147" s="32">
        <f>IF(TableAopCalendar[[#This Row],[Day]]&lt;8,1,IF(TableAopCalendar[[#This Row],[Day]]&lt;15,2,IF(TableAopCalendar[[#This Row],[Day]]&lt;22,3,IF(TableAopCalendar[[#This Row],[Day]]&lt;29,4,IF(TableAopCalendar[[#This Row],[Day]]&lt;32,5)))))</f>
        <v>2</v>
      </c>
      <c r="G2147" s="32" t="str">
        <f t="shared" si="115"/>
        <v>Week 2</v>
      </c>
      <c r="H2147" s="32" t="str">
        <f t="shared" si="116"/>
        <v>February 28 Week 2</v>
      </c>
      <c r="I2147" s="32" t="str">
        <f>CONCATENATE(UPPER(TableAopCalendar[[#This Row],[Month]])," ",TableAopCalendar[[#This Row],[Year]])</f>
        <v>FEBRUARY 28</v>
      </c>
      <c r="J2147" s="7" t="s">
        <v>274</v>
      </c>
      <c r="K2147" s="32" t="str">
        <f>CONCATENATE(TableAopCalendar[[#This Row],[Month for Plan]]," ",TableAopCalendar[[#This Row],[Plan]])</f>
        <v>FEBRUARY 28 PLANNED</v>
      </c>
    </row>
    <row r="2148" spans="1:11" x14ac:dyDescent="0.3">
      <c r="A2148" s="32">
        <f t="shared" ref="A2148:A2211" si="117">IF(G2148=G2147,A2147+1,1)</f>
        <v>1</v>
      </c>
      <c r="B2148" s="33">
        <v>46798</v>
      </c>
      <c r="C2148" s="6" t="s">
        <v>272</v>
      </c>
      <c r="D2148" s="34">
        <v>28</v>
      </c>
      <c r="E2148" s="32">
        <f>DAY(TableAopCalendar[[#This Row],[Date]])</f>
        <v>15</v>
      </c>
      <c r="F2148" s="32">
        <f>IF(TableAopCalendar[[#This Row],[Day]]&lt;8,1,IF(TableAopCalendar[[#This Row],[Day]]&lt;15,2,IF(TableAopCalendar[[#This Row],[Day]]&lt;22,3,IF(TableAopCalendar[[#This Row],[Day]]&lt;29,4,IF(TableAopCalendar[[#This Row],[Day]]&lt;32,5)))))</f>
        <v>3</v>
      </c>
      <c r="G2148" s="32" t="str">
        <f t="shared" ref="G2148:G2211" si="118">"Week"&amp;" "&amp;F2148</f>
        <v>Week 3</v>
      </c>
      <c r="H2148" s="32" t="str">
        <f t="shared" ref="H2148:H2211" si="119">CONCATENATE(C2148," ",D2148," ",G2148)</f>
        <v>February 28 Week 3</v>
      </c>
      <c r="I2148" s="32" t="str">
        <f>CONCATENATE(UPPER(TableAopCalendar[[#This Row],[Month]])," ",TableAopCalendar[[#This Row],[Year]])</f>
        <v>FEBRUARY 28</v>
      </c>
      <c r="J2148" s="7" t="s">
        <v>274</v>
      </c>
      <c r="K2148" s="32" t="str">
        <f>CONCATENATE(TableAopCalendar[[#This Row],[Month for Plan]]," ",TableAopCalendar[[#This Row],[Plan]])</f>
        <v>FEBRUARY 28 PLANNED</v>
      </c>
    </row>
    <row r="2149" spans="1:11" x14ac:dyDescent="0.3">
      <c r="A2149" s="32">
        <f t="shared" si="117"/>
        <v>2</v>
      </c>
      <c r="B2149" s="33">
        <v>46799</v>
      </c>
      <c r="C2149" s="6" t="s">
        <v>272</v>
      </c>
      <c r="D2149" s="34">
        <v>28</v>
      </c>
      <c r="E2149" s="32">
        <f>DAY(TableAopCalendar[[#This Row],[Date]])</f>
        <v>16</v>
      </c>
      <c r="F2149" s="32">
        <f>IF(TableAopCalendar[[#This Row],[Day]]&lt;8,1,IF(TableAopCalendar[[#This Row],[Day]]&lt;15,2,IF(TableAopCalendar[[#This Row],[Day]]&lt;22,3,IF(TableAopCalendar[[#This Row],[Day]]&lt;29,4,IF(TableAopCalendar[[#This Row],[Day]]&lt;32,5)))))</f>
        <v>3</v>
      </c>
      <c r="G2149" s="32" t="str">
        <f t="shared" si="118"/>
        <v>Week 3</v>
      </c>
      <c r="H2149" s="32" t="str">
        <f t="shared" si="119"/>
        <v>February 28 Week 3</v>
      </c>
      <c r="I2149" s="32" t="str">
        <f>CONCATENATE(UPPER(TableAopCalendar[[#This Row],[Month]])," ",TableAopCalendar[[#This Row],[Year]])</f>
        <v>FEBRUARY 28</v>
      </c>
      <c r="J2149" s="7" t="s">
        <v>274</v>
      </c>
      <c r="K2149" s="32" t="str">
        <f>CONCATENATE(TableAopCalendar[[#This Row],[Month for Plan]]," ",TableAopCalendar[[#This Row],[Plan]])</f>
        <v>FEBRUARY 28 PLANNED</v>
      </c>
    </row>
    <row r="2150" spans="1:11" x14ac:dyDescent="0.3">
      <c r="A2150" s="32">
        <f t="shared" si="117"/>
        <v>3</v>
      </c>
      <c r="B2150" s="33">
        <v>46800</v>
      </c>
      <c r="C2150" s="6" t="s">
        <v>272</v>
      </c>
      <c r="D2150" s="34">
        <v>28</v>
      </c>
      <c r="E2150" s="32">
        <f>DAY(TableAopCalendar[[#This Row],[Date]])</f>
        <v>17</v>
      </c>
      <c r="F2150" s="32">
        <f>IF(TableAopCalendar[[#This Row],[Day]]&lt;8,1,IF(TableAopCalendar[[#This Row],[Day]]&lt;15,2,IF(TableAopCalendar[[#This Row],[Day]]&lt;22,3,IF(TableAopCalendar[[#This Row],[Day]]&lt;29,4,IF(TableAopCalendar[[#This Row],[Day]]&lt;32,5)))))</f>
        <v>3</v>
      </c>
      <c r="G2150" s="32" t="str">
        <f t="shared" si="118"/>
        <v>Week 3</v>
      </c>
      <c r="H2150" s="32" t="str">
        <f t="shared" si="119"/>
        <v>February 28 Week 3</v>
      </c>
      <c r="I2150" s="32" t="str">
        <f>CONCATENATE(UPPER(TableAopCalendar[[#This Row],[Month]])," ",TableAopCalendar[[#This Row],[Year]])</f>
        <v>FEBRUARY 28</v>
      </c>
      <c r="J2150" s="7" t="s">
        <v>274</v>
      </c>
      <c r="K2150" s="32" t="str">
        <f>CONCATENATE(TableAopCalendar[[#This Row],[Month for Plan]]," ",TableAopCalendar[[#This Row],[Plan]])</f>
        <v>FEBRUARY 28 PLANNED</v>
      </c>
    </row>
    <row r="2151" spans="1:11" x14ac:dyDescent="0.3">
      <c r="A2151" s="32">
        <f t="shared" si="117"/>
        <v>4</v>
      </c>
      <c r="B2151" s="33">
        <v>46801</v>
      </c>
      <c r="C2151" s="6" t="s">
        <v>272</v>
      </c>
      <c r="D2151" s="34">
        <v>28</v>
      </c>
      <c r="E2151" s="32">
        <f>DAY(TableAopCalendar[[#This Row],[Date]])</f>
        <v>18</v>
      </c>
      <c r="F2151" s="32">
        <f>IF(TableAopCalendar[[#This Row],[Day]]&lt;8,1,IF(TableAopCalendar[[#This Row],[Day]]&lt;15,2,IF(TableAopCalendar[[#This Row],[Day]]&lt;22,3,IF(TableAopCalendar[[#This Row],[Day]]&lt;29,4,IF(TableAopCalendar[[#This Row],[Day]]&lt;32,5)))))</f>
        <v>3</v>
      </c>
      <c r="G2151" s="32" t="str">
        <f t="shared" si="118"/>
        <v>Week 3</v>
      </c>
      <c r="H2151" s="32" t="str">
        <f t="shared" si="119"/>
        <v>February 28 Week 3</v>
      </c>
      <c r="I2151" s="32" t="str">
        <f>CONCATENATE(UPPER(TableAopCalendar[[#This Row],[Month]])," ",TableAopCalendar[[#This Row],[Year]])</f>
        <v>FEBRUARY 28</v>
      </c>
      <c r="J2151" s="7" t="s">
        <v>274</v>
      </c>
      <c r="K2151" s="32" t="str">
        <f>CONCATENATE(TableAopCalendar[[#This Row],[Month for Plan]]," ",TableAopCalendar[[#This Row],[Plan]])</f>
        <v>FEBRUARY 28 PLANNED</v>
      </c>
    </row>
    <row r="2152" spans="1:11" x14ac:dyDescent="0.3">
      <c r="A2152" s="32">
        <f t="shared" si="117"/>
        <v>5</v>
      </c>
      <c r="B2152" s="33">
        <v>46802</v>
      </c>
      <c r="C2152" s="6" t="s">
        <v>272</v>
      </c>
      <c r="D2152" s="34">
        <v>28</v>
      </c>
      <c r="E2152" s="32">
        <f>DAY(TableAopCalendar[[#This Row],[Date]])</f>
        <v>19</v>
      </c>
      <c r="F2152" s="32">
        <f>IF(TableAopCalendar[[#This Row],[Day]]&lt;8,1,IF(TableAopCalendar[[#This Row],[Day]]&lt;15,2,IF(TableAopCalendar[[#This Row],[Day]]&lt;22,3,IF(TableAopCalendar[[#This Row],[Day]]&lt;29,4,IF(TableAopCalendar[[#This Row],[Day]]&lt;32,5)))))</f>
        <v>3</v>
      </c>
      <c r="G2152" s="32" t="str">
        <f t="shared" si="118"/>
        <v>Week 3</v>
      </c>
      <c r="H2152" s="32" t="str">
        <f t="shared" si="119"/>
        <v>February 28 Week 3</v>
      </c>
      <c r="I2152" s="32" t="str">
        <f>CONCATENATE(UPPER(TableAopCalendar[[#This Row],[Month]])," ",TableAopCalendar[[#This Row],[Year]])</f>
        <v>FEBRUARY 28</v>
      </c>
      <c r="J2152" s="7" t="s">
        <v>274</v>
      </c>
      <c r="K2152" s="32" t="str">
        <f>CONCATENATE(TableAopCalendar[[#This Row],[Month for Plan]]," ",TableAopCalendar[[#This Row],[Plan]])</f>
        <v>FEBRUARY 28 PLANNED</v>
      </c>
    </row>
    <row r="2153" spans="1:11" x14ac:dyDescent="0.3">
      <c r="A2153" s="32">
        <f t="shared" si="117"/>
        <v>6</v>
      </c>
      <c r="B2153" s="33">
        <v>46803</v>
      </c>
      <c r="C2153" s="6" t="s">
        <v>272</v>
      </c>
      <c r="D2153" s="34">
        <v>28</v>
      </c>
      <c r="E2153" s="32">
        <f>DAY(TableAopCalendar[[#This Row],[Date]])</f>
        <v>20</v>
      </c>
      <c r="F2153" s="32">
        <f>IF(TableAopCalendar[[#This Row],[Day]]&lt;8,1,IF(TableAopCalendar[[#This Row],[Day]]&lt;15,2,IF(TableAopCalendar[[#This Row],[Day]]&lt;22,3,IF(TableAopCalendar[[#This Row],[Day]]&lt;29,4,IF(TableAopCalendar[[#This Row],[Day]]&lt;32,5)))))</f>
        <v>3</v>
      </c>
      <c r="G2153" s="32" t="str">
        <f t="shared" si="118"/>
        <v>Week 3</v>
      </c>
      <c r="H2153" s="32" t="str">
        <f t="shared" si="119"/>
        <v>February 28 Week 3</v>
      </c>
      <c r="I2153" s="32" t="str">
        <f>CONCATENATE(UPPER(TableAopCalendar[[#This Row],[Month]])," ",TableAopCalendar[[#This Row],[Year]])</f>
        <v>FEBRUARY 28</v>
      </c>
      <c r="J2153" s="7" t="s">
        <v>274</v>
      </c>
      <c r="K2153" s="32" t="str">
        <f>CONCATENATE(TableAopCalendar[[#This Row],[Month for Plan]]," ",TableAopCalendar[[#This Row],[Plan]])</f>
        <v>FEBRUARY 28 PLANNED</v>
      </c>
    </row>
    <row r="2154" spans="1:11" x14ac:dyDescent="0.3">
      <c r="A2154" s="32">
        <f t="shared" si="117"/>
        <v>7</v>
      </c>
      <c r="B2154" s="33">
        <v>46804</v>
      </c>
      <c r="C2154" s="6" t="s">
        <v>272</v>
      </c>
      <c r="D2154" s="34">
        <v>28</v>
      </c>
      <c r="E2154" s="32">
        <f>DAY(TableAopCalendar[[#This Row],[Date]])</f>
        <v>21</v>
      </c>
      <c r="F2154" s="32">
        <f>IF(TableAopCalendar[[#This Row],[Day]]&lt;8,1,IF(TableAopCalendar[[#This Row],[Day]]&lt;15,2,IF(TableAopCalendar[[#This Row],[Day]]&lt;22,3,IF(TableAopCalendar[[#This Row],[Day]]&lt;29,4,IF(TableAopCalendar[[#This Row],[Day]]&lt;32,5)))))</f>
        <v>3</v>
      </c>
      <c r="G2154" s="32" t="str">
        <f t="shared" si="118"/>
        <v>Week 3</v>
      </c>
      <c r="H2154" s="32" t="str">
        <f t="shared" si="119"/>
        <v>February 28 Week 3</v>
      </c>
      <c r="I2154" s="32" t="str">
        <f>CONCATENATE(UPPER(TableAopCalendar[[#This Row],[Month]])," ",TableAopCalendar[[#This Row],[Year]])</f>
        <v>FEBRUARY 28</v>
      </c>
      <c r="J2154" s="7" t="s">
        <v>274</v>
      </c>
      <c r="K2154" s="32" t="str">
        <f>CONCATENATE(TableAopCalendar[[#This Row],[Month for Plan]]," ",TableAopCalendar[[#This Row],[Plan]])</f>
        <v>FEBRUARY 28 PLANNED</v>
      </c>
    </row>
    <row r="2155" spans="1:11" x14ac:dyDescent="0.3">
      <c r="A2155" s="32">
        <f t="shared" si="117"/>
        <v>1</v>
      </c>
      <c r="B2155" s="33">
        <v>46805</v>
      </c>
      <c r="C2155" s="6" t="s">
        <v>272</v>
      </c>
      <c r="D2155" s="34">
        <v>28</v>
      </c>
      <c r="E2155" s="32">
        <f>DAY(TableAopCalendar[[#This Row],[Date]])</f>
        <v>22</v>
      </c>
      <c r="F2155" s="32">
        <f>IF(TableAopCalendar[[#This Row],[Day]]&lt;8,1,IF(TableAopCalendar[[#This Row],[Day]]&lt;15,2,IF(TableAopCalendar[[#This Row],[Day]]&lt;22,3,IF(TableAopCalendar[[#This Row],[Day]]&lt;29,4,IF(TableAopCalendar[[#This Row],[Day]]&lt;32,5)))))</f>
        <v>4</v>
      </c>
      <c r="G2155" s="32" t="str">
        <f t="shared" si="118"/>
        <v>Week 4</v>
      </c>
      <c r="H2155" s="32" t="str">
        <f t="shared" si="119"/>
        <v>February 28 Week 4</v>
      </c>
      <c r="I2155" s="32" t="str">
        <f>CONCATENATE(UPPER(TableAopCalendar[[#This Row],[Month]])," ",TableAopCalendar[[#This Row],[Year]])</f>
        <v>FEBRUARY 28</v>
      </c>
      <c r="J2155" s="7" t="s">
        <v>274</v>
      </c>
      <c r="K2155" s="32" t="str">
        <f>CONCATENATE(TableAopCalendar[[#This Row],[Month for Plan]]," ",TableAopCalendar[[#This Row],[Plan]])</f>
        <v>FEBRUARY 28 PLANNED</v>
      </c>
    </row>
    <row r="2156" spans="1:11" x14ac:dyDescent="0.3">
      <c r="A2156" s="32">
        <f t="shared" si="117"/>
        <v>2</v>
      </c>
      <c r="B2156" s="33">
        <v>46806</v>
      </c>
      <c r="C2156" s="6" t="s">
        <v>272</v>
      </c>
      <c r="D2156" s="34">
        <v>28</v>
      </c>
      <c r="E2156" s="32">
        <f>DAY(TableAopCalendar[[#This Row],[Date]])</f>
        <v>23</v>
      </c>
      <c r="F2156" s="32">
        <f>IF(TableAopCalendar[[#This Row],[Day]]&lt;8,1,IF(TableAopCalendar[[#This Row],[Day]]&lt;15,2,IF(TableAopCalendar[[#This Row],[Day]]&lt;22,3,IF(TableAopCalendar[[#This Row],[Day]]&lt;29,4,IF(TableAopCalendar[[#This Row],[Day]]&lt;32,5)))))</f>
        <v>4</v>
      </c>
      <c r="G2156" s="32" t="str">
        <f t="shared" si="118"/>
        <v>Week 4</v>
      </c>
      <c r="H2156" s="32" t="str">
        <f t="shared" si="119"/>
        <v>February 28 Week 4</v>
      </c>
      <c r="I2156" s="32" t="str">
        <f>CONCATENATE(UPPER(TableAopCalendar[[#This Row],[Month]])," ",TableAopCalendar[[#This Row],[Year]])</f>
        <v>FEBRUARY 28</v>
      </c>
      <c r="J2156" s="7" t="s">
        <v>274</v>
      </c>
      <c r="K2156" s="32" t="str">
        <f>CONCATENATE(TableAopCalendar[[#This Row],[Month for Plan]]," ",TableAopCalendar[[#This Row],[Plan]])</f>
        <v>FEBRUARY 28 PLANNED</v>
      </c>
    </row>
    <row r="2157" spans="1:11" x14ac:dyDescent="0.3">
      <c r="A2157" s="32">
        <f t="shared" si="117"/>
        <v>3</v>
      </c>
      <c r="B2157" s="33">
        <v>46807</v>
      </c>
      <c r="C2157" s="6" t="s">
        <v>272</v>
      </c>
      <c r="D2157" s="34">
        <v>28</v>
      </c>
      <c r="E2157" s="32">
        <f>DAY(TableAopCalendar[[#This Row],[Date]])</f>
        <v>24</v>
      </c>
      <c r="F2157" s="32">
        <f>IF(TableAopCalendar[[#This Row],[Day]]&lt;8,1,IF(TableAopCalendar[[#This Row],[Day]]&lt;15,2,IF(TableAopCalendar[[#This Row],[Day]]&lt;22,3,IF(TableAopCalendar[[#This Row],[Day]]&lt;29,4,IF(TableAopCalendar[[#This Row],[Day]]&lt;32,5)))))</f>
        <v>4</v>
      </c>
      <c r="G2157" s="32" t="str">
        <f t="shared" si="118"/>
        <v>Week 4</v>
      </c>
      <c r="H2157" s="32" t="str">
        <f t="shared" si="119"/>
        <v>February 28 Week 4</v>
      </c>
      <c r="I2157" s="32" t="str">
        <f>CONCATENATE(UPPER(TableAopCalendar[[#This Row],[Month]])," ",TableAopCalendar[[#This Row],[Year]])</f>
        <v>FEBRUARY 28</v>
      </c>
      <c r="J2157" s="7" t="s">
        <v>274</v>
      </c>
      <c r="K2157" s="32" t="str">
        <f>CONCATENATE(TableAopCalendar[[#This Row],[Month for Plan]]," ",TableAopCalendar[[#This Row],[Plan]])</f>
        <v>FEBRUARY 28 PLANNED</v>
      </c>
    </row>
    <row r="2158" spans="1:11" x14ac:dyDescent="0.3">
      <c r="A2158" s="32">
        <f t="shared" si="117"/>
        <v>4</v>
      </c>
      <c r="B2158" s="33">
        <v>46808</v>
      </c>
      <c r="C2158" s="6" t="s">
        <v>272</v>
      </c>
      <c r="D2158" s="34">
        <v>28</v>
      </c>
      <c r="E2158" s="32">
        <f>DAY(TableAopCalendar[[#This Row],[Date]])</f>
        <v>25</v>
      </c>
      <c r="F2158" s="32">
        <f>IF(TableAopCalendar[[#This Row],[Day]]&lt;8,1,IF(TableAopCalendar[[#This Row],[Day]]&lt;15,2,IF(TableAopCalendar[[#This Row],[Day]]&lt;22,3,IF(TableAopCalendar[[#This Row],[Day]]&lt;29,4,IF(TableAopCalendar[[#This Row],[Day]]&lt;32,5)))))</f>
        <v>4</v>
      </c>
      <c r="G2158" s="32" t="str">
        <f t="shared" si="118"/>
        <v>Week 4</v>
      </c>
      <c r="H2158" s="32" t="str">
        <f t="shared" si="119"/>
        <v>February 28 Week 4</v>
      </c>
      <c r="I2158" s="32" t="str">
        <f>CONCATENATE(UPPER(TableAopCalendar[[#This Row],[Month]])," ",TableAopCalendar[[#This Row],[Year]])</f>
        <v>FEBRUARY 28</v>
      </c>
      <c r="J2158" s="7" t="s">
        <v>274</v>
      </c>
      <c r="K2158" s="32" t="str">
        <f>CONCATENATE(TableAopCalendar[[#This Row],[Month for Plan]]," ",TableAopCalendar[[#This Row],[Plan]])</f>
        <v>FEBRUARY 28 PLANNED</v>
      </c>
    </row>
    <row r="2159" spans="1:11" x14ac:dyDescent="0.3">
      <c r="A2159" s="32">
        <f t="shared" si="117"/>
        <v>5</v>
      </c>
      <c r="B2159" s="33">
        <v>46809</v>
      </c>
      <c r="C2159" s="6" t="s">
        <v>272</v>
      </c>
      <c r="D2159" s="34">
        <v>28</v>
      </c>
      <c r="E2159" s="32">
        <f>DAY(TableAopCalendar[[#This Row],[Date]])</f>
        <v>26</v>
      </c>
      <c r="F2159" s="32">
        <f>IF(TableAopCalendar[[#This Row],[Day]]&lt;8,1,IF(TableAopCalendar[[#This Row],[Day]]&lt;15,2,IF(TableAopCalendar[[#This Row],[Day]]&lt;22,3,IF(TableAopCalendar[[#This Row],[Day]]&lt;29,4,IF(TableAopCalendar[[#This Row],[Day]]&lt;32,5)))))</f>
        <v>4</v>
      </c>
      <c r="G2159" s="32" t="str">
        <f t="shared" si="118"/>
        <v>Week 4</v>
      </c>
      <c r="H2159" s="32" t="str">
        <f t="shared" si="119"/>
        <v>February 28 Week 4</v>
      </c>
      <c r="I2159" s="32" t="str">
        <f>CONCATENATE(UPPER(TableAopCalendar[[#This Row],[Month]])," ",TableAopCalendar[[#This Row],[Year]])</f>
        <v>FEBRUARY 28</v>
      </c>
      <c r="J2159" s="7" t="s">
        <v>274</v>
      </c>
      <c r="K2159" s="32" t="str">
        <f>CONCATENATE(TableAopCalendar[[#This Row],[Month for Plan]]," ",TableAopCalendar[[#This Row],[Plan]])</f>
        <v>FEBRUARY 28 PLANNED</v>
      </c>
    </row>
    <row r="2160" spans="1:11" x14ac:dyDescent="0.3">
      <c r="A2160" s="32">
        <f t="shared" si="117"/>
        <v>6</v>
      </c>
      <c r="B2160" s="33">
        <v>46810</v>
      </c>
      <c r="C2160" s="6" t="s">
        <v>272</v>
      </c>
      <c r="D2160" s="34">
        <v>28</v>
      </c>
      <c r="E2160" s="32">
        <f>DAY(TableAopCalendar[[#This Row],[Date]])</f>
        <v>27</v>
      </c>
      <c r="F2160" s="32">
        <f>IF(TableAopCalendar[[#This Row],[Day]]&lt;8,1,IF(TableAopCalendar[[#This Row],[Day]]&lt;15,2,IF(TableAopCalendar[[#This Row],[Day]]&lt;22,3,IF(TableAopCalendar[[#This Row],[Day]]&lt;29,4,IF(TableAopCalendar[[#This Row],[Day]]&lt;32,5)))))</f>
        <v>4</v>
      </c>
      <c r="G2160" s="32" t="str">
        <f t="shared" si="118"/>
        <v>Week 4</v>
      </c>
      <c r="H2160" s="32" t="str">
        <f t="shared" si="119"/>
        <v>February 28 Week 4</v>
      </c>
      <c r="I2160" s="32" t="str">
        <f>CONCATENATE(UPPER(TableAopCalendar[[#This Row],[Month]])," ",TableAopCalendar[[#This Row],[Year]])</f>
        <v>FEBRUARY 28</v>
      </c>
      <c r="J2160" s="7" t="s">
        <v>274</v>
      </c>
      <c r="K2160" s="32" t="str">
        <f>CONCATENATE(TableAopCalendar[[#This Row],[Month for Plan]]," ",TableAopCalendar[[#This Row],[Plan]])</f>
        <v>FEBRUARY 28 PLANNED</v>
      </c>
    </row>
    <row r="2161" spans="1:11" x14ac:dyDescent="0.3">
      <c r="A2161" s="32">
        <f t="shared" si="117"/>
        <v>7</v>
      </c>
      <c r="B2161" s="33">
        <v>46811</v>
      </c>
      <c r="C2161" s="6" t="s">
        <v>272</v>
      </c>
      <c r="D2161" s="34">
        <v>28</v>
      </c>
      <c r="E2161" s="32">
        <f>DAY(TableAopCalendar[[#This Row],[Date]])</f>
        <v>28</v>
      </c>
      <c r="F2161" s="32">
        <f>IF(TableAopCalendar[[#This Row],[Day]]&lt;8,1,IF(TableAopCalendar[[#This Row],[Day]]&lt;15,2,IF(TableAopCalendar[[#This Row],[Day]]&lt;22,3,IF(TableAopCalendar[[#This Row],[Day]]&lt;29,4,IF(TableAopCalendar[[#This Row],[Day]]&lt;32,5)))))</f>
        <v>4</v>
      </c>
      <c r="G2161" s="32" t="str">
        <f t="shared" si="118"/>
        <v>Week 4</v>
      </c>
      <c r="H2161" s="32" t="str">
        <f t="shared" si="119"/>
        <v>February 28 Week 4</v>
      </c>
      <c r="I2161" s="32" t="str">
        <f>CONCATENATE(UPPER(TableAopCalendar[[#This Row],[Month]])," ",TableAopCalendar[[#This Row],[Year]])</f>
        <v>FEBRUARY 28</v>
      </c>
      <c r="J2161" s="7" t="s">
        <v>274</v>
      </c>
      <c r="K2161" s="32" t="str">
        <f>CONCATENATE(TableAopCalendar[[#This Row],[Month for Plan]]," ",TableAopCalendar[[#This Row],[Plan]])</f>
        <v>FEBRUARY 28 PLANNED</v>
      </c>
    </row>
    <row r="2162" spans="1:11" x14ac:dyDescent="0.3">
      <c r="A2162" s="32">
        <f t="shared" si="117"/>
        <v>1</v>
      </c>
      <c r="B2162" s="33">
        <v>46812</v>
      </c>
      <c r="C2162" s="6" t="s">
        <v>272</v>
      </c>
      <c r="D2162" s="34">
        <v>28</v>
      </c>
      <c r="E2162" s="32">
        <f>DAY(TableAopCalendar[[#This Row],[Date]])</f>
        <v>29</v>
      </c>
      <c r="F2162" s="32">
        <f>IF(TableAopCalendar[[#This Row],[Day]]&lt;8,1,IF(TableAopCalendar[[#This Row],[Day]]&lt;15,2,IF(TableAopCalendar[[#This Row],[Day]]&lt;22,3,IF(TableAopCalendar[[#This Row],[Day]]&lt;29,4,IF(TableAopCalendar[[#This Row],[Day]]&lt;32,5)))))</f>
        <v>5</v>
      </c>
      <c r="G2162" s="32" t="str">
        <f t="shared" si="118"/>
        <v>Week 5</v>
      </c>
      <c r="H2162" s="32" t="str">
        <f t="shared" si="119"/>
        <v>February 28 Week 5</v>
      </c>
      <c r="I2162" s="32" t="str">
        <f>CONCATENATE(UPPER(TableAopCalendar[[#This Row],[Month]])," ",TableAopCalendar[[#This Row],[Year]])</f>
        <v>FEBRUARY 28</v>
      </c>
      <c r="J2162" s="7" t="s">
        <v>274</v>
      </c>
      <c r="K2162" s="32" t="str">
        <f>CONCATENATE(TableAopCalendar[[#This Row],[Month for Plan]]," ",TableAopCalendar[[#This Row],[Plan]])</f>
        <v>FEBRUARY 28 PLANNED</v>
      </c>
    </row>
    <row r="2163" spans="1:11" x14ac:dyDescent="0.3">
      <c r="A2163" s="32">
        <f t="shared" si="117"/>
        <v>1</v>
      </c>
      <c r="B2163" s="33">
        <v>46813</v>
      </c>
      <c r="C2163" s="6" t="s">
        <v>273</v>
      </c>
      <c r="D2163" s="34">
        <v>28</v>
      </c>
      <c r="E2163" s="32">
        <f>DAY(TableAopCalendar[[#This Row],[Date]])</f>
        <v>1</v>
      </c>
      <c r="F2163" s="32">
        <f>IF(TableAopCalendar[[#This Row],[Day]]&lt;8,1,IF(TableAopCalendar[[#This Row],[Day]]&lt;15,2,IF(TableAopCalendar[[#This Row],[Day]]&lt;22,3,IF(TableAopCalendar[[#This Row],[Day]]&lt;29,4,IF(TableAopCalendar[[#This Row],[Day]]&lt;32,5)))))</f>
        <v>1</v>
      </c>
      <c r="G2163" s="32" t="str">
        <f t="shared" si="118"/>
        <v>Week 1</v>
      </c>
      <c r="H2163" s="32" t="str">
        <f t="shared" si="119"/>
        <v>March 28 Week 1</v>
      </c>
      <c r="I2163" s="32" t="str">
        <f>CONCATENATE(UPPER(TableAopCalendar[[#This Row],[Month]])," ",TableAopCalendar[[#This Row],[Year]])</f>
        <v>MARCH 28</v>
      </c>
      <c r="J2163" s="7" t="s">
        <v>274</v>
      </c>
      <c r="K2163" s="32" t="str">
        <f>CONCATENATE(TableAopCalendar[[#This Row],[Month for Plan]]," ",TableAopCalendar[[#This Row],[Plan]])</f>
        <v>MARCH 28 PLANNED</v>
      </c>
    </row>
    <row r="2164" spans="1:11" x14ac:dyDescent="0.3">
      <c r="A2164" s="32">
        <f t="shared" si="117"/>
        <v>2</v>
      </c>
      <c r="B2164" s="33">
        <v>46814</v>
      </c>
      <c r="C2164" s="6" t="s">
        <v>273</v>
      </c>
      <c r="D2164" s="34">
        <v>28</v>
      </c>
      <c r="E2164" s="32">
        <f>DAY(TableAopCalendar[[#This Row],[Date]])</f>
        <v>2</v>
      </c>
      <c r="F2164" s="32">
        <f>IF(TableAopCalendar[[#This Row],[Day]]&lt;8,1,IF(TableAopCalendar[[#This Row],[Day]]&lt;15,2,IF(TableAopCalendar[[#This Row],[Day]]&lt;22,3,IF(TableAopCalendar[[#This Row],[Day]]&lt;29,4,IF(TableAopCalendar[[#This Row],[Day]]&lt;32,5)))))</f>
        <v>1</v>
      </c>
      <c r="G2164" s="32" t="str">
        <f t="shared" si="118"/>
        <v>Week 1</v>
      </c>
      <c r="H2164" s="32" t="str">
        <f t="shared" si="119"/>
        <v>March 28 Week 1</v>
      </c>
      <c r="I2164" s="32" t="str">
        <f>CONCATENATE(UPPER(TableAopCalendar[[#This Row],[Month]])," ",TableAopCalendar[[#This Row],[Year]])</f>
        <v>MARCH 28</v>
      </c>
      <c r="J2164" s="7" t="s">
        <v>274</v>
      </c>
      <c r="K2164" s="32" t="str">
        <f>CONCATENATE(TableAopCalendar[[#This Row],[Month for Plan]]," ",TableAopCalendar[[#This Row],[Plan]])</f>
        <v>MARCH 28 PLANNED</v>
      </c>
    </row>
    <row r="2165" spans="1:11" x14ac:dyDescent="0.3">
      <c r="A2165" s="32">
        <f t="shared" si="117"/>
        <v>3</v>
      </c>
      <c r="B2165" s="33">
        <v>46815</v>
      </c>
      <c r="C2165" s="6" t="s">
        <v>273</v>
      </c>
      <c r="D2165" s="34">
        <v>28</v>
      </c>
      <c r="E2165" s="32">
        <f>DAY(TableAopCalendar[[#This Row],[Date]])</f>
        <v>3</v>
      </c>
      <c r="F2165" s="32">
        <f>IF(TableAopCalendar[[#This Row],[Day]]&lt;8,1,IF(TableAopCalendar[[#This Row],[Day]]&lt;15,2,IF(TableAopCalendar[[#This Row],[Day]]&lt;22,3,IF(TableAopCalendar[[#This Row],[Day]]&lt;29,4,IF(TableAopCalendar[[#This Row],[Day]]&lt;32,5)))))</f>
        <v>1</v>
      </c>
      <c r="G2165" s="32" t="str">
        <f t="shared" si="118"/>
        <v>Week 1</v>
      </c>
      <c r="H2165" s="32" t="str">
        <f t="shared" si="119"/>
        <v>March 28 Week 1</v>
      </c>
      <c r="I2165" s="32" t="str">
        <f>CONCATENATE(UPPER(TableAopCalendar[[#This Row],[Month]])," ",TableAopCalendar[[#This Row],[Year]])</f>
        <v>MARCH 28</v>
      </c>
      <c r="J2165" s="7" t="s">
        <v>274</v>
      </c>
      <c r="K2165" s="32" t="str">
        <f>CONCATENATE(TableAopCalendar[[#This Row],[Month for Plan]]," ",TableAopCalendar[[#This Row],[Plan]])</f>
        <v>MARCH 28 PLANNED</v>
      </c>
    </row>
    <row r="2166" spans="1:11" x14ac:dyDescent="0.3">
      <c r="A2166" s="32">
        <f t="shared" si="117"/>
        <v>4</v>
      </c>
      <c r="B2166" s="33">
        <v>46816</v>
      </c>
      <c r="C2166" s="6" t="s">
        <v>273</v>
      </c>
      <c r="D2166" s="34">
        <v>28</v>
      </c>
      <c r="E2166" s="32">
        <f>DAY(TableAopCalendar[[#This Row],[Date]])</f>
        <v>4</v>
      </c>
      <c r="F2166" s="32">
        <f>IF(TableAopCalendar[[#This Row],[Day]]&lt;8,1,IF(TableAopCalendar[[#This Row],[Day]]&lt;15,2,IF(TableAopCalendar[[#This Row],[Day]]&lt;22,3,IF(TableAopCalendar[[#This Row],[Day]]&lt;29,4,IF(TableAopCalendar[[#This Row],[Day]]&lt;32,5)))))</f>
        <v>1</v>
      </c>
      <c r="G2166" s="32" t="str">
        <f t="shared" si="118"/>
        <v>Week 1</v>
      </c>
      <c r="H2166" s="32" t="str">
        <f t="shared" si="119"/>
        <v>March 28 Week 1</v>
      </c>
      <c r="I2166" s="32" t="str">
        <f>CONCATENATE(UPPER(TableAopCalendar[[#This Row],[Month]])," ",TableAopCalendar[[#This Row],[Year]])</f>
        <v>MARCH 28</v>
      </c>
      <c r="J2166" s="7" t="s">
        <v>274</v>
      </c>
      <c r="K2166" s="32" t="str">
        <f>CONCATENATE(TableAopCalendar[[#This Row],[Month for Plan]]," ",TableAopCalendar[[#This Row],[Plan]])</f>
        <v>MARCH 28 PLANNED</v>
      </c>
    </row>
    <row r="2167" spans="1:11" x14ac:dyDescent="0.3">
      <c r="A2167" s="32">
        <f t="shared" si="117"/>
        <v>5</v>
      </c>
      <c r="B2167" s="33">
        <v>46817</v>
      </c>
      <c r="C2167" s="6" t="s">
        <v>273</v>
      </c>
      <c r="D2167" s="34">
        <v>28</v>
      </c>
      <c r="E2167" s="32">
        <f>DAY(TableAopCalendar[[#This Row],[Date]])</f>
        <v>5</v>
      </c>
      <c r="F2167" s="32">
        <f>IF(TableAopCalendar[[#This Row],[Day]]&lt;8,1,IF(TableAopCalendar[[#This Row],[Day]]&lt;15,2,IF(TableAopCalendar[[#This Row],[Day]]&lt;22,3,IF(TableAopCalendar[[#This Row],[Day]]&lt;29,4,IF(TableAopCalendar[[#This Row],[Day]]&lt;32,5)))))</f>
        <v>1</v>
      </c>
      <c r="G2167" s="32" t="str">
        <f t="shared" si="118"/>
        <v>Week 1</v>
      </c>
      <c r="H2167" s="32" t="str">
        <f t="shared" si="119"/>
        <v>March 28 Week 1</v>
      </c>
      <c r="I2167" s="32" t="str">
        <f>CONCATENATE(UPPER(TableAopCalendar[[#This Row],[Month]])," ",TableAopCalendar[[#This Row],[Year]])</f>
        <v>MARCH 28</v>
      </c>
      <c r="J2167" s="7" t="s">
        <v>274</v>
      </c>
      <c r="K2167" s="32" t="str">
        <f>CONCATENATE(TableAopCalendar[[#This Row],[Month for Plan]]," ",TableAopCalendar[[#This Row],[Plan]])</f>
        <v>MARCH 28 PLANNED</v>
      </c>
    </row>
    <row r="2168" spans="1:11" x14ac:dyDescent="0.3">
      <c r="A2168" s="32">
        <f t="shared" si="117"/>
        <v>6</v>
      </c>
      <c r="B2168" s="33">
        <v>46818</v>
      </c>
      <c r="C2168" s="6" t="s">
        <v>273</v>
      </c>
      <c r="D2168" s="34">
        <v>28</v>
      </c>
      <c r="E2168" s="32">
        <f>DAY(TableAopCalendar[[#This Row],[Date]])</f>
        <v>6</v>
      </c>
      <c r="F2168" s="32">
        <f>IF(TableAopCalendar[[#This Row],[Day]]&lt;8,1,IF(TableAopCalendar[[#This Row],[Day]]&lt;15,2,IF(TableAopCalendar[[#This Row],[Day]]&lt;22,3,IF(TableAopCalendar[[#This Row],[Day]]&lt;29,4,IF(TableAopCalendar[[#This Row],[Day]]&lt;32,5)))))</f>
        <v>1</v>
      </c>
      <c r="G2168" s="32" t="str">
        <f t="shared" si="118"/>
        <v>Week 1</v>
      </c>
      <c r="H2168" s="32" t="str">
        <f t="shared" si="119"/>
        <v>March 28 Week 1</v>
      </c>
      <c r="I2168" s="32" t="str">
        <f>CONCATENATE(UPPER(TableAopCalendar[[#This Row],[Month]])," ",TableAopCalendar[[#This Row],[Year]])</f>
        <v>MARCH 28</v>
      </c>
      <c r="J2168" s="7" t="s">
        <v>274</v>
      </c>
      <c r="K2168" s="32" t="str">
        <f>CONCATENATE(TableAopCalendar[[#This Row],[Month for Plan]]," ",TableAopCalendar[[#This Row],[Plan]])</f>
        <v>MARCH 28 PLANNED</v>
      </c>
    </row>
    <row r="2169" spans="1:11" x14ac:dyDescent="0.3">
      <c r="A2169" s="32">
        <f t="shared" si="117"/>
        <v>7</v>
      </c>
      <c r="B2169" s="33">
        <v>46819</v>
      </c>
      <c r="C2169" s="6" t="s">
        <v>273</v>
      </c>
      <c r="D2169" s="34">
        <v>28</v>
      </c>
      <c r="E2169" s="32">
        <f>DAY(TableAopCalendar[[#This Row],[Date]])</f>
        <v>7</v>
      </c>
      <c r="F2169" s="32">
        <f>IF(TableAopCalendar[[#This Row],[Day]]&lt;8,1,IF(TableAopCalendar[[#This Row],[Day]]&lt;15,2,IF(TableAopCalendar[[#This Row],[Day]]&lt;22,3,IF(TableAopCalendar[[#This Row],[Day]]&lt;29,4,IF(TableAopCalendar[[#This Row],[Day]]&lt;32,5)))))</f>
        <v>1</v>
      </c>
      <c r="G2169" s="32" t="str">
        <f t="shared" si="118"/>
        <v>Week 1</v>
      </c>
      <c r="H2169" s="32" t="str">
        <f t="shared" si="119"/>
        <v>March 28 Week 1</v>
      </c>
      <c r="I2169" s="32" t="str">
        <f>CONCATENATE(UPPER(TableAopCalendar[[#This Row],[Month]])," ",TableAopCalendar[[#This Row],[Year]])</f>
        <v>MARCH 28</v>
      </c>
      <c r="J2169" s="7" t="s">
        <v>274</v>
      </c>
      <c r="K2169" s="32" t="str">
        <f>CONCATENATE(TableAopCalendar[[#This Row],[Month for Plan]]," ",TableAopCalendar[[#This Row],[Plan]])</f>
        <v>MARCH 28 PLANNED</v>
      </c>
    </row>
    <row r="2170" spans="1:11" x14ac:dyDescent="0.3">
      <c r="A2170" s="32">
        <f t="shared" si="117"/>
        <v>1</v>
      </c>
      <c r="B2170" s="33">
        <v>46820</v>
      </c>
      <c r="C2170" s="6" t="s">
        <v>273</v>
      </c>
      <c r="D2170" s="34">
        <v>28</v>
      </c>
      <c r="E2170" s="32">
        <f>DAY(TableAopCalendar[[#This Row],[Date]])</f>
        <v>8</v>
      </c>
      <c r="F2170" s="32">
        <f>IF(TableAopCalendar[[#This Row],[Day]]&lt;8,1,IF(TableAopCalendar[[#This Row],[Day]]&lt;15,2,IF(TableAopCalendar[[#This Row],[Day]]&lt;22,3,IF(TableAopCalendar[[#This Row],[Day]]&lt;29,4,IF(TableAopCalendar[[#This Row],[Day]]&lt;32,5)))))</f>
        <v>2</v>
      </c>
      <c r="G2170" s="32" t="str">
        <f t="shared" si="118"/>
        <v>Week 2</v>
      </c>
      <c r="H2170" s="32" t="str">
        <f t="shared" si="119"/>
        <v>March 28 Week 2</v>
      </c>
      <c r="I2170" s="32" t="str">
        <f>CONCATENATE(UPPER(TableAopCalendar[[#This Row],[Month]])," ",TableAopCalendar[[#This Row],[Year]])</f>
        <v>MARCH 28</v>
      </c>
      <c r="J2170" s="7" t="s">
        <v>274</v>
      </c>
      <c r="K2170" s="32" t="str">
        <f>CONCATENATE(TableAopCalendar[[#This Row],[Month for Plan]]," ",TableAopCalendar[[#This Row],[Plan]])</f>
        <v>MARCH 28 PLANNED</v>
      </c>
    </row>
    <row r="2171" spans="1:11" x14ac:dyDescent="0.3">
      <c r="A2171" s="32">
        <f t="shared" si="117"/>
        <v>2</v>
      </c>
      <c r="B2171" s="33">
        <v>46821</v>
      </c>
      <c r="C2171" s="6" t="s">
        <v>273</v>
      </c>
      <c r="D2171" s="34">
        <v>28</v>
      </c>
      <c r="E2171" s="32">
        <f>DAY(TableAopCalendar[[#This Row],[Date]])</f>
        <v>9</v>
      </c>
      <c r="F2171" s="32">
        <f>IF(TableAopCalendar[[#This Row],[Day]]&lt;8,1,IF(TableAopCalendar[[#This Row],[Day]]&lt;15,2,IF(TableAopCalendar[[#This Row],[Day]]&lt;22,3,IF(TableAopCalendar[[#This Row],[Day]]&lt;29,4,IF(TableAopCalendar[[#This Row],[Day]]&lt;32,5)))))</f>
        <v>2</v>
      </c>
      <c r="G2171" s="32" t="str">
        <f t="shared" si="118"/>
        <v>Week 2</v>
      </c>
      <c r="H2171" s="32" t="str">
        <f t="shared" si="119"/>
        <v>March 28 Week 2</v>
      </c>
      <c r="I2171" s="32" t="str">
        <f>CONCATENATE(UPPER(TableAopCalendar[[#This Row],[Month]])," ",TableAopCalendar[[#This Row],[Year]])</f>
        <v>MARCH 28</v>
      </c>
      <c r="J2171" s="7" t="s">
        <v>274</v>
      </c>
      <c r="K2171" s="32" t="str">
        <f>CONCATENATE(TableAopCalendar[[#This Row],[Month for Plan]]," ",TableAopCalendar[[#This Row],[Plan]])</f>
        <v>MARCH 28 PLANNED</v>
      </c>
    </row>
    <row r="2172" spans="1:11" x14ac:dyDescent="0.3">
      <c r="A2172" s="32">
        <f t="shared" si="117"/>
        <v>3</v>
      </c>
      <c r="B2172" s="33">
        <v>46822</v>
      </c>
      <c r="C2172" s="6" t="s">
        <v>273</v>
      </c>
      <c r="D2172" s="34">
        <v>28</v>
      </c>
      <c r="E2172" s="32">
        <f>DAY(TableAopCalendar[[#This Row],[Date]])</f>
        <v>10</v>
      </c>
      <c r="F2172" s="32">
        <f>IF(TableAopCalendar[[#This Row],[Day]]&lt;8,1,IF(TableAopCalendar[[#This Row],[Day]]&lt;15,2,IF(TableAopCalendar[[#This Row],[Day]]&lt;22,3,IF(TableAopCalendar[[#This Row],[Day]]&lt;29,4,IF(TableAopCalendar[[#This Row],[Day]]&lt;32,5)))))</f>
        <v>2</v>
      </c>
      <c r="G2172" s="32" t="str">
        <f t="shared" si="118"/>
        <v>Week 2</v>
      </c>
      <c r="H2172" s="32" t="str">
        <f t="shared" si="119"/>
        <v>March 28 Week 2</v>
      </c>
      <c r="I2172" s="32" t="str">
        <f>CONCATENATE(UPPER(TableAopCalendar[[#This Row],[Month]])," ",TableAopCalendar[[#This Row],[Year]])</f>
        <v>MARCH 28</v>
      </c>
      <c r="J2172" s="7" t="s">
        <v>274</v>
      </c>
      <c r="K2172" s="32" t="str">
        <f>CONCATENATE(TableAopCalendar[[#This Row],[Month for Plan]]," ",TableAopCalendar[[#This Row],[Plan]])</f>
        <v>MARCH 28 PLANNED</v>
      </c>
    </row>
    <row r="2173" spans="1:11" x14ac:dyDescent="0.3">
      <c r="A2173" s="32">
        <f t="shared" si="117"/>
        <v>4</v>
      </c>
      <c r="B2173" s="33">
        <v>46823</v>
      </c>
      <c r="C2173" s="6" t="s">
        <v>273</v>
      </c>
      <c r="D2173" s="34">
        <v>28</v>
      </c>
      <c r="E2173" s="32">
        <f>DAY(TableAopCalendar[[#This Row],[Date]])</f>
        <v>11</v>
      </c>
      <c r="F2173" s="32">
        <f>IF(TableAopCalendar[[#This Row],[Day]]&lt;8,1,IF(TableAopCalendar[[#This Row],[Day]]&lt;15,2,IF(TableAopCalendar[[#This Row],[Day]]&lt;22,3,IF(TableAopCalendar[[#This Row],[Day]]&lt;29,4,IF(TableAopCalendar[[#This Row],[Day]]&lt;32,5)))))</f>
        <v>2</v>
      </c>
      <c r="G2173" s="32" t="str">
        <f t="shared" si="118"/>
        <v>Week 2</v>
      </c>
      <c r="H2173" s="32" t="str">
        <f t="shared" si="119"/>
        <v>March 28 Week 2</v>
      </c>
      <c r="I2173" s="32" t="str">
        <f>CONCATENATE(UPPER(TableAopCalendar[[#This Row],[Month]])," ",TableAopCalendar[[#This Row],[Year]])</f>
        <v>MARCH 28</v>
      </c>
      <c r="J2173" s="7" t="s">
        <v>274</v>
      </c>
      <c r="K2173" s="32" t="str">
        <f>CONCATENATE(TableAopCalendar[[#This Row],[Month for Plan]]," ",TableAopCalendar[[#This Row],[Plan]])</f>
        <v>MARCH 28 PLANNED</v>
      </c>
    </row>
    <row r="2174" spans="1:11" x14ac:dyDescent="0.3">
      <c r="A2174" s="32">
        <f t="shared" si="117"/>
        <v>5</v>
      </c>
      <c r="B2174" s="33">
        <v>46824</v>
      </c>
      <c r="C2174" s="6" t="s">
        <v>273</v>
      </c>
      <c r="D2174" s="34">
        <v>28</v>
      </c>
      <c r="E2174" s="32">
        <f>DAY(TableAopCalendar[[#This Row],[Date]])</f>
        <v>12</v>
      </c>
      <c r="F2174" s="32">
        <f>IF(TableAopCalendar[[#This Row],[Day]]&lt;8,1,IF(TableAopCalendar[[#This Row],[Day]]&lt;15,2,IF(TableAopCalendar[[#This Row],[Day]]&lt;22,3,IF(TableAopCalendar[[#This Row],[Day]]&lt;29,4,IF(TableAopCalendar[[#This Row],[Day]]&lt;32,5)))))</f>
        <v>2</v>
      </c>
      <c r="G2174" s="32" t="str">
        <f t="shared" si="118"/>
        <v>Week 2</v>
      </c>
      <c r="H2174" s="32" t="str">
        <f t="shared" si="119"/>
        <v>March 28 Week 2</v>
      </c>
      <c r="I2174" s="32" t="str">
        <f>CONCATENATE(UPPER(TableAopCalendar[[#This Row],[Month]])," ",TableAopCalendar[[#This Row],[Year]])</f>
        <v>MARCH 28</v>
      </c>
      <c r="J2174" s="7" t="s">
        <v>274</v>
      </c>
      <c r="K2174" s="32" t="str">
        <f>CONCATENATE(TableAopCalendar[[#This Row],[Month for Plan]]," ",TableAopCalendar[[#This Row],[Plan]])</f>
        <v>MARCH 28 PLANNED</v>
      </c>
    </row>
    <row r="2175" spans="1:11" x14ac:dyDescent="0.3">
      <c r="A2175" s="32">
        <f t="shared" si="117"/>
        <v>6</v>
      </c>
      <c r="B2175" s="33">
        <v>46825</v>
      </c>
      <c r="C2175" s="6" t="s">
        <v>273</v>
      </c>
      <c r="D2175" s="34">
        <v>28</v>
      </c>
      <c r="E2175" s="32">
        <f>DAY(TableAopCalendar[[#This Row],[Date]])</f>
        <v>13</v>
      </c>
      <c r="F2175" s="32">
        <f>IF(TableAopCalendar[[#This Row],[Day]]&lt;8,1,IF(TableAopCalendar[[#This Row],[Day]]&lt;15,2,IF(TableAopCalendar[[#This Row],[Day]]&lt;22,3,IF(TableAopCalendar[[#This Row],[Day]]&lt;29,4,IF(TableAopCalendar[[#This Row],[Day]]&lt;32,5)))))</f>
        <v>2</v>
      </c>
      <c r="G2175" s="32" t="str">
        <f t="shared" si="118"/>
        <v>Week 2</v>
      </c>
      <c r="H2175" s="32" t="str">
        <f t="shared" si="119"/>
        <v>March 28 Week 2</v>
      </c>
      <c r="I2175" s="32" t="str">
        <f>CONCATENATE(UPPER(TableAopCalendar[[#This Row],[Month]])," ",TableAopCalendar[[#This Row],[Year]])</f>
        <v>MARCH 28</v>
      </c>
      <c r="J2175" s="7" t="s">
        <v>274</v>
      </c>
      <c r="K2175" s="32" t="str">
        <f>CONCATENATE(TableAopCalendar[[#This Row],[Month for Plan]]," ",TableAopCalendar[[#This Row],[Plan]])</f>
        <v>MARCH 28 PLANNED</v>
      </c>
    </row>
    <row r="2176" spans="1:11" x14ac:dyDescent="0.3">
      <c r="A2176" s="32">
        <f t="shared" si="117"/>
        <v>7</v>
      </c>
      <c r="B2176" s="33">
        <v>46826</v>
      </c>
      <c r="C2176" s="6" t="s">
        <v>273</v>
      </c>
      <c r="D2176" s="34">
        <v>28</v>
      </c>
      <c r="E2176" s="32">
        <f>DAY(TableAopCalendar[[#This Row],[Date]])</f>
        <v>14</v>
      </c>
      <c r="F2176" s="32">
        <f>IF(TableAopCalendar[[#This Row],[Day]]&lt;8,1,IF(TableAopCalendar[[#This Row],[Day]]&lt;15,2,IF(TableAopCalendar[[#This Row],[Day]]&lt;22,3,IF(TableAopCalendar[[#This Row],[Day]]&lt;29,4,IF(TableAopCalendar[[#This Row],[Day]]&lt;32,5)))))</f>
        <v>2</v>
      </c>
      <c r="G2176" s="32" t="str">
        <f t="shared" si="118"/>
        <v>Week 2</v>
      </c>
      <c r="H2176" s="32" t="str">
        <f t="shared" si="119"/>
        <v>March 28 Week 2</v>
      </c>
      <c r="I2176" s="32" t="str">
        <f>CONCATENATE(UPPER(TableAopCalendar[[#This Row],[Month]])," ",TableAopCalendar[[#This Row],[Year]])</f>
        <v>MARCH 28</v>
      </c>
      <c r="J2176" s="7" t="s">
        <v>274</v>
      </c>
      <c r="K2176" s="32" t="str">
        <f>CONCATENATE(TableAopCalendar[[#This Row],[Month for Plan]]," ",TableAopCalendar[[#This Row],[Plan]])</f>
        <v>MARCH 28 PLANNED</v>
      </c>
    </row>
    <row r="2177" spans="1:11" x14ac:dyDescent="0.3">
      <c r="A2177" s="32">
        <f t="shared" si="117"/>
        <v>1</v>
      </c>
      <c r="B2177" s="33">
        <v>46827</v>
      </c>
      <c r="C2177" s="6" t="s">
        <v>273</v>
      </c>
      <c r="D2177" s="34">
        <v>28</v>
      </c>
      <c r="E2177" s="32">
        <f>DAY(TableAopCalendar[[#This Row],[Date]])</f>
        <v>15</v>
      </c>
      <c r="F2177" s="32">
        <f>IF(TableAopCalendar[[#This Row],[Day]]&lt;8,1,IF(TableAopCalendar[[#This Row],[Day]]&lt;15,2,IF(TableAopCalendar[[#This Row],[Day]]&lt;22,3,IF(TableAopCalendar[[#This Row],[Day]]&lt;29,4,IF(TableAopCalendar[[#This Row],[Day]]&lt;32,5)))))</f>
        <v>3</v>
      </c>
      <c r="G2177" s="32" t="str">
        <f t="shared" si="118"/>
        <v>Week 3</v>
      </c>
      <c r="H2177" s="32" t="str">
        <f t="shared" si="119"/>
        <v>March 28 Week 3</v>
      </c>
      <c r="I2177" s="32" t="str">
        <f>CONCATENATE(UPPER(TableAopCalendar[[#This Row],[Month]])," ",TableAopCalendar[[#This Row],[Year]])</f>
        <v>MARCH 28</v>
      </c>
      <c r="J2177" s="7" t="s">
        <v>274</v>
      </c>
      <c r="K2177" s="32" t="str">
        <f>CONCATENATE(TableAopCalendar[[#This Row],[Month for Plan]]," ",TableAopCalendar[[#This Row],[Plan]])</f>
        <v>MARCH 28 PLANNED</v>
      </c>
    </row>
    <row r="2178" spans="1:11" x14ac:dyDescent="0.3">
      <c r="A2178" s="32">
        <f t="shared" si="117"/>
        <v>2</v>
      </c>
      <c r="B2178" s="33">
        <v>46828</v>
      </c>
      <c r="C2178" s="6" t="s">
        <v>273</v>
      </c>
      <c r="D2178" s="34">
        <v>28</v>
      </c>
      <c r="E2178" s="32">
        <f>DAY(TableAopCalendar[[#This Row],[Date]])</f>
        <v>16</v>
      </c>
      <c r="F2178" s="32">
        <f>IF(TableAopCalendar[[#This Row],[Day]]&lt;8,1,IF(TableAopCalendar[[#This Row],[Day]]&lt;15,2,IF(TableAopCalendar[[#This Row],[Day]]&lt;22,3,IF(TableAopCalendar[[#This Row],[Day]]&lt;29,4,IF(TableAopCalendar[[#This Row],[Day]]&lt;32,5)))))</f>
        <v>3</v>
      </c>
      <c r="G2178" s="32" t="str">
        <f t="shared" si="118"/>
        <v>Week 3</v>
      </c>
      <c r="H2178" s="32" t="str">
        <f t="shared" si="119"/>
        <v>March 28 Week 3</v>
      </c>
      <c r="I2178" s="32" t="str">
        <f>CONCATENATE(UPPER(TableAopCalendar[[#This Row],[Month]])," ",TableAopCalendar[[#This Row],[Year]])</f>
        <v>MARCH 28</v>
      </c>
      <c r="J2178" s="7" t="s">
        <v>274</v>
      </c>
      <c r="K2178" s="32" t="str">
        <f>CONCATENATE(TableAopCalendar[[#This Row],[Month for Plan]]," ",TableAopCalendar[[#This Row],[Plan]])</f>
        <v>MARCH 28 PLANNED</v>
      </c>
    </row>
    <row r="2179" spans="1:11" x14ac:dyDescent="0.3">
      <c r="A2179" s="32">
        <f t="shared" si="117"/>
        <v>3</v>
      </c>
      <c r="B2179" s="33">
        <v>46829</v>
      </c>
      <c r="C2179" s="6" t="s">
        <v>273</v>
      </c>
      <c r="D2179" s="34">
        <v>28</v>
      </c>
      <c r="E2179" s="32">
        <f>DAY(TableAopCalendar[[#This Row],[Date]])</f>
        <v>17</v>
      </c>
      <c r="F2179" s="32">
        <f>IF(TableAopCalendar[[#This Row],[Day]]&lt;8,1,IF(TableAopCalendar[[#This Row],[Day]]&lt;15,2,IF(TableAopCalendar[[#This Row],[Day]]&lt;22,3,IF(TableAopCalendar[[#This Row],[Day]]&lt;29,4,IF(TableAopCalendar[[#This Row],[Day]]&lt;32,5)))))</f>
        <v>3</v>
      </c>
      <c r="G2179" s="32" t="str">
        <f t="shared" si="118"/>
        <v>Week 3</v>
      </c>
      <c r="H2179" s="32" t="str">
        <f t="shared" si="119"/>
        <v>March 28 Week 3</v>
      </c>
      <c r="I2179" s="32" t="str">
        <f>CONCATENATE(UPPER(TableAopCalendar[[#This Row],[Month]])," ",TableAopCalendar[[#This Row],[Year]])</f>
        <v>MARCH 28</v>
      </c>
      <c r="J2179" s="7" t="s">
        <v>274</v>
      </c>
      <c r="K2179" s="32" t="str">
        <f>CONCATENATE(TableAopCalendar[[#This Row],[Month for Plan]]," ",TableAopCalendar[[#This Row],[Plan]])</f>
        <v>MARCH 28 PLANNED</v>
      </c>
    </row>
    <row r="2180" spans="1:11" x14ac:dyDescent="0.3">
      <c r="A2180" s="32">
        <f t="shared" si="117"/>
        <v>4</v>
      </c>
      <c r="B2180" s="33">
        <v>46830</v>
      </c>
      <c r="C2180" s="6" t="s">
        <v>273</v>
      </c>
      <c r="D2180" s="34">
        <v>28</v>
      </c>
      <c r="E2180" s="32">
        <f>DAY(TableAopCalendar[[#This Row],[Date]])</f>
        <v>18</v>
      </c>
      <c r="F2180" s="32">
        <f>IF(TableAopCalendar[[#This Row],[Day]]&lt;8,1,IF(TableAopCalendar[[#This Row],[Day]]&lt;15,2,IF(TableAopCalendar[[#This Row],[Day]]&lt;22,3,IF(TableAopCalendar[[#This Row],[Day]]&lt;29,4,IF(TableAopCalendar[[#This Row],[Day]]&lt;32,5)))))</f>
        <v>3</v>
      </c>
      <c r="G2180" s="32" t="str">
        <f t="shared" si="118"/>
        <v>Week 3</v>
      </c>
      <c r="H2180" s="32" t="str">
        <f t="shared" si="119"/>
        <v>March 28 Week 3</v>
      </c>
      <c r="I2180" s="32" t="str">
        <f>CONCATENATE(UPPER(TableAopCalendar[[#This Row],[Month]])," ",TableAopCalendar[[#This Row],[Year]])</f>
        <v>MARCH 28</v>
      </c>
      <c r="J2180" s="7" t="s">
        <v>274</v>
      </c>
      <c r="K2180" s="32" t="str">
        <f>CONCATENATE(TableAopCalendar[[#This Row],[Month for Plan]]," ",TableAopCalendar[[#This Row],[Plan]])</f>
        <v>MARCH 28 PLANNED</v>
      </c>
    </row>
    <row r="2181" spans="1:11" x14ac:dyDescent="0.3">
      <c r="A2181" s="32">
        <f t="shared" si="117"/>
        <v>5</v>
      </c>
      <c r="B2181" s="33">
        <v>46831</v>
      </c>
      <c r="C2181" s="6" t="s">
        <v>273</v>
      </c>
      <c r="D2181" s="34">
        <v>28</v>
      </c>
      <c r="E2181" s="32">
        <f>DAY(TableAopCalendar[[#This Row],[Date]])</f>
        <v>19</v>
      </c>
      <c r="F2181" s="32">
        <f>IF(TableAopCalendar[[#This Row],[Day]]&lt;8,1,IF(TableAopCalendar[[#This Row],[Day]]&lt;15,2,IF(TableAopCalendar[[#This Row],[Day]]&lt;22,3,IF(TableAopCalendar[[#This Row],[Day]]&lt;29,4,IF(TableAopCalendar[[#This Row],[Day]]&lt;32,5)))))</f>
        <v>3</v>
      </c>
      <c r="G2181" s="32" t="str">
        <f t="shared" si="118"/>
        <v>Week 3</v>
      </c>
      <c r="H2181" s="32" t="str">
        <f t="shared" si="119"/>
        <v>March 28 Week 3</v>
      </c>
      <c r="I2181" s="32" t="str">
        <f>CONCATENATE(UPPER(TableAopCalendar[[#This Row],[Month]])," ",TableAopCalendar[[#This Row],[Year]])</f>
        <v>MARCH 28</v>
      </c>
      <c r="J2181" s="7" t="s">
        <v>274</v>
      </c>
      <c r="K2181" s="32" t="str">
        <f>CONCATENATE(TableAopCalendar[[#This Row],[Month for Plan]]," ",TableAopCalendar[[#This Row],[Plan]])</f>
        <v>MARCH 28 PLANNED</v>
      </c>
    </row>
    <row r="2182" spans="1:11" x14ac:dyDescent="0.3">
      <c r="A2182" s="32">
        <f t="shared" si="117"/>
        <v>6</v>
      </c>
      <c r="B2182" s="33">
        <v>46832</v>
      </c>
      <c r="C2182" s="6" t="s">
        <v>273</v>
      </c>
      <c r="D2182" s="34">
        <v>28</v>
      </c>
      <c r="E2182" s="32">
        <f>DAY(TableAopCalendar[[#This Row],[Date]])</f>
        <v>20</v>
      </c>
      <c r="F2182" s="32">
        <f>IF(TableAopCalendar[[#This Row],[Day]]&lt;8,1,IF(TableAopCalendar[[#This Row],[Day]]&lt;15,2,IF(TableAopCalendar[[#This Row],[Day]]&lt;22,3,IF(TableAopCalendar[[#This Row],[Day]]&lt;29,4,IF(TableAopCalendar[[#This Row],[Day]]&lt;32,5)))))</f>
        <v>3</v>
      </c>
      <c r="G2182" s="32" t="str">
        <f t="shared" si="118"/>
        <v>Week 3</v>
      </c>
      <c r="H2182" s="32" t="str">
        <f t="shared" si="119"/>
        <v>March 28 Week 3</v>
      </c>
      <c r="I2182" s="32" t="str">
        <f>CONCATENATE(UPPER(TableAopCalendar[[#This Row],[Month]])," ",TableAopCalendar[[#This Row],[Year]])</f>
        <v>MARCH 28</v>
      </c>
      <c r="J2182" s="7" t="s">
        <v>274</v>
      </c>
      <c r="K2182" s="32" t="str">
        <f>CONCATENATE(TableAopCalendar[[#This Row],[Month for Plan]]," ",TableAopCalendar[[#This Row],[Plan]])</f>
        <v>MARCH 28 PLANNED</v>
      </c>
    </row>
    <row r="2183" spans="1:11" x14ac:dyDescent="0.3">
      <c r="A2183" s="32">
        <f t="shared" si="117"/>
        <v>7</v>
      </c>
      <c r="B2183" s="33">
        <v>46833</v>
      </c>
      <c r="C2183" s="6" t="s">
        <v>273</v>
      </c>
      <c r="D2183" s="34">
        <v>28</v>
      </c>
      <c r="E2183" s="32">
        <f>DAY(TableAopCalendar[[#This Row],[Date]])</f>
        <v>21</v>
      </c>
      <c r="F2183" s="32">
        <f>IF(TableAopCalendar[[#This Row],[Day]]&lt;8,1,IF(TableAopCalendar[[#This Row],[Day]]&lt;15,2,IF(TableAopCalendar[[#This Row],[Day]]&lt;22,3,IF(TableAopCalendar[[#This Row],[Day]]&lt;29,4,IF(TableAopCalendar[[#This Row],[Day]]&lt;32,5)))))</f>
        <v>3</v>
      </c>
      <c r="G2183" s="32" t="str">
        <f t="shared" si="118"/>
        <v>Week 3</v>
      </c>
      <c r="H2183" s="32" t="str">
        <f t="shared" si="119"/>
        <v>March 28 Week 3</v>
      </c>
      <c r="I2183" s="32" t="str">
        <f>CONCATENATE(UPPER(TableAopCalendar[[#This Row],[Month]])," ",TableAopCalendar[[#This Row],[Year]])</f>
        <v>MARCH 28</v>
      </c>
      <c r="J2183" s="7" t="s">
        <v>274</v>
      </c>
      <c r="K2183" s="32" t="str">
        <f>CONCATENATE(TableAopCalendar[[#This Row],[Month for Plan]]," ",TableAopCalendar[[#This Row],[Plan]])</f>
        <v>MARCH 28 PLANNED</v>
      </c>
    </row>
    <row r="2184" spans="1:11" x14ac:dyDescent="0.3">
      <c r="A2184" s="32">
        <f t="shared" si="117"/>
        <v>1</v>
      </c>
      <c r="B2184" s="33">
        <v>46834</v>
      </c>
      <c r="C2184" s="6" t="s">
        <v>273</v>
      </c>
      <c r="D2184" s="34">
        <v>28</v>
      </c>
      <c r="E2184" s="32">
        <f>DAY(TableAopCalendar[[#This Row],[Date]])</f>
        <v>22</v>
      </c>
      <c r="F2184" s="32">
        <f>IF(TableAopCalendar[[#This Row],[Day]]&lt;8,1,IF(TableAopCalendar[[#This Row],[Day]]&lt;15,2,IF(TableAopCalendar[[#This Row],[Day]]&lt;22,3,IF(TableAopCalendar[[#This Row],[Day]]&lt;29,4,IF(TableAopCalendar[[#This Row],[Day]]&lt;32,5)))))</f>
        <v>4</v>
      </c>
      <c r="G2184" s="32" t="str">
        <f t="shared" si="118"/>
        <v>Week 4</v>
      </c>
      <c r="H2184" s="32" t="str">
        <f t="shared" si="119"/>
        <v>March 28 Week 4</v>
      </c>
      <c r="I2184" s="32" t="str">
        <f>CONCATENATE(UPPER(TableAopCalendar[[#This Row],[Month]])," ",TableAopCalendar[[#This Row],[Year]])</f>
        <v>MARCH 28</v>
      </c>
      <c r="J2184" s="7" t="s">
        <v>274</v>
      </c>
      <c r="K2184" s="32" t="str">
        <f>CONCATENATE(TableAopCalendar[[#This Row],[Month for Plan]]," ",TableAopCalendar[[#This Row],[Plan]])</f>
        <v>MARCH 28 PLANNED</v>
      </c>
    </row>
    <row r="2185" spans="1:11" x14ac:dyDescent="0.3">
      <c r="A2185" s="32">
        <f t="shared" si="117"/>
        <v>2</v>
      </c>
      <c r="B2185" s="33">
        <v>46835</v>
      </c>
      <c r="C2185" s="6" t="s">
        <v>273</v>
      </c>
      <c r="D2185" s="34">
        <v>28</v>
      </c>
      <c r="E2185" s="32">
        <f>DAY(TableAopCalendar[[#This Row],[Date]])</f>
        <v>23</v>
      </c>
      <c r="F2185" s="32">
        <f>IF(TableAopCalendar[[#This Row],[Day]]&lt;8,1,IF(TableAopCalendar[[#This Row],[Day]]&lt;15,2,IF(TableAopCalendar[[#This Row],[Day]]&lt;22,3,IF(TableAopCalendar[[#This Row],[Day]]&lt;29,4,IF(TableAopCalendar[[#This Row],[Day]]&lt;32,5)))))</f>
        <v>4</v>
      </c>
      <c r="G2185" s="32" t="str">
        <f t="shared" si="118"/>
        <v>Week 4</v>
      </c>
      <c r="H2185" s="32" t="str">
        <f t="shared" si="119"/>
        <v>March 28 Week 4</v>
      </c>
      <c r="I2185" s="32" t="str">
        <f>CONCATENATE(UPPER(TableAopCalendar[[#This Row],[Month]])," ",TableAopCalendar[[#This Row],[Year]])</f>
        <v>MARCH 28</v>
      </c>
      <c r="J2185" s="7" t="s">
        <v>274</v>
      </c>
      <c r="K2185" s="32" t="str">
        <f>CONCATENATE(TableAopCalendar[[#This Row],[Month for Plan]]," ",TableAopCalendar[[#This Row],[Plan]])</f>
        <v>MARCH 28 PLANNED</v>
      </c>
    </row>
    <row r="2186" spans="1:11" x14ac:dyDescent="0.3">
      <c r="A2186" s="32">
        <f t="shared" si="117"/>
        <v>3</v>
      </c>
      <c r="B2186" s="33">
        <v>46836</v>
      </c>
      <c r="C2186" s="6" t="s">
        <v>273</v>
      </c>
      <c r="D2186" s="34">
        <v>28</v>
      </c>
      <c r="E2186" s="32">
        <f>DAY(TableAopCalendar[[#This Row],[Date]])</f>
        <v>24</v>
      </c>
      <c r="F2186" s="32">
        <f>IF(TableAopCalendar[[#This Row],[Day]]&lt;8,1,IF(TableAopCalendar[[#This Row],[Day]]&lt;15,2,IF(TableAopCalendar[[#This Row],[Day]]&lt;22,3,IF(TableAopCalendar[[#This Row],[Day]]&lt;29,4,IF(TableAopCalendar[[#This Row],[Day]]&lt;32,5)))))</f>
        <v>4</v>
      </c>
      <c r="G2186" s="32" t="str">
        <f t="shared" si="118"/>
        <v>Week 4</v>
      </c>
      <c r="H2186" s="32" t="str">
        <f t="shared" si="119"/>
        <v>March 28 Week 4</v>
      </c>
      <c r="I2186" s="32" t="str">
        <f>CONCATENATE(UPPER(TableAopCalendar[[#This Row],[Month]])," ",TableAopCalendar[[#This Row],[Year]])</f>
        <v>MARCH 28</v>
      </c>
      <c r="J2186" s="7" t="s">
        <v>274</v>
      </c>
      <c r="K2186" s="32" t="str">
        <f>CONCATENATE(TableAopCalendar[[#This Row],[Month for Plan]]," ",TableAopCalendar[[#This Row],[Plan]])</f>
        <v>MARCH 28 PLANNED</v>
      </c>
    </row>
    <row r="2187" spans="1:11" x14ac:dyDescent="0.3">
      <c r="A2187" s="32">
        <f t="shared" si="117"/>
        <v>4</v>
      </c>
      <c r="B2187" s="33">
        <v>46837</v>
      </c>
      <c r="C2187" s="6" t="s">
        <v>273</v>
      </c>
      <c r="D2187" s="34">
        <v>28</v>
      </c>
      <c r="E2187" s="32">
        <f>DAY(TableAopCalendar[[#This Row],[Date]])</f>
        <v>25</v>
      </c>
      <c r="F2187" s="32">
        <f>IF(TableAopCalendar[[#This Row],[Day]]&lt;8,1,IF(TableAopCalendar[[#This Row],[Day]]&lt;15,2,IF(TableAopCalendar[[#This Row],[Day]]&lt;22,3,IF(TableAopCalendar[[#This Row],[Day]]&lt;29,4,IF(TableAopCalendar[[#This Row],[Day]]&lt;32,5)))))</f>
        <v>4</v>
      </c>
      <c r="G2187" s="32" t="str">
        <f t="shared" si="118"/>
        <v>Week 4</v>
      </c>
      <c r="H2187" s="32" t="str">
        <f t="shared" si="119"/>
        <v>March 28 Week 4</v>
      </c>
      <c r="I2187" s="32" t="str">
        <f>CONCATENATE(UPPER(TableAopCalendar[[#This Row],[Month]])," ",TableAopCalendar[[#This Row],[Year]])</f>
        <v>MARCH 28</v>
      </c>
      <c r="J2187" s="7" t="s">
        <v>274</v>
      </c>
      <c r="K2187" s="32" t="str">
        <f>CONCATENATE(TableAopCalendar[[#This Row],[Month for Plan]]," ",TableAopCalendar[[#This Row],[Plan]])</f>
        <v>MARCH 28 PLANNED</v>
      </c>
    </row>
    <row r="2188" spans="1:11" x14ac:dyDescent="0.3">
      <c r="A2188" s="32">
        <f t="shared" si="117"/>
        <v>5</v>
      </c>
      <c r="B2188" s="33">
        <v>46838</v>
      </c>
      <c r="C2188" s="6" t="s">
        <v>273</v>
      </c>
      <c r="D2188" s="34">
        <v>28</v>
      </c>
      <c r="E2188" s="32">
        <f>DAY(TableAopCalendar[[#This Row],[Date]])</f>
        <v>26</v>
      </c>
      <c r="F2188" s="32">
        <f>IF(TableAopCalendar[[#This Row],[Day]]&lt;8,1,IF(TableAopCalendar[[#This Row],[Day]]&lt;15,2,IF(TableAopCalendar[[#This Row],[Day]]&lt;22,3,IF(TableAopCalendar[[#This Row],[Day]]&lt;29,4,IF(TableAopCalendar[[#This Row],[Day]]&lt;32,5)))))</f>
        <v>4</v>
      </c>
      <c r="G2188" s="32" t="str">
        <f t="shared" si="118"/>
        <v>Week 4</v>
      </c>
      <c r="H2188" s="32" t="str">
        <f t="shared" si="119"/>
        <v>March 28 Week 4</v>
      </c>
      <c r="I2188" s="32" t="str">
        <f>CONCATENATE(UPPER(TableAopCalendar[[#This Row],[Month]])," ",TableAopCalendar[[#This Row],[Year]])</f>
        <v>MARCH 28</v>
      </c>
      <c r="J2188" s="7" t="s">
        <v>274</v>
      </c>
      <c r="K2188" s="32" t="str">
        <f>CONCATENATE(TableAopCalendar[[#This Row],[Month for Plan]]," ",TableAopCalendar[[#This Row],[Plan]])</f>
        <v>MARCH 28 PLANNED</v>
      </c>
    </row>
    <row r="2189" spans="1:11" x14ac:dyDescent="0.3">
      <c r="A2189" s="32">
        <f t="shared" si="117"/>
        <v>6</v>
      </c>
      <c r="B2189" s="33">
        <v>46839</v>
      </c>
      <c r="C2189" s="6" t="s">
        <v>273</v>
      </c>
      <c r="D2189" s="34">
        <v>28</v>
      </c>
      <c r="E2189" s="32">
        <f>DAY(TableAopCalendar[[#This Row],[Date]])</f>
        <v>27</v>
      </c>
      <c r="F2189" s="32">
        <f>IF(TableAopCalendar[[#This Row],[Day]]&lt;8,1,IF(TableAopCalendar[[#This Row],[Day]]&lt;15,2,IF(TableAopCalendar[[#This Row],[Day]]&lt;22,3,IF(TableAopCalendar[[#This Row],[Day]]&lt;29,4,IF(TableAopCalendar[[#This Row],[Day]]&lt;32,5)))))</f>
        <v>4</v>
      </c>
      <c r="G2189" s="32" t="str">
        <f t="shared" si="118"/>
        <v>Week 4</v>
      </c>
      <c r="H2189" s="32" t="str">
        <f t="shared" si="119"/>
        <v>March 28 Week 4</v>
      </c>
      <c r="I2189" s="32" t="str">
        <f>CONCATENATE(UPPER(TableAopCalendar[[#This Row],[Month]])," ",TableAopCalendar[[#This Row],[Year]])</f>
        <v>MARCH 28</v>
      </c>
      <c r="J2189" s="7" t="s">
        <v>274</v>
      </c>
      <c r="K2189" s="32" t="str">
        <f>CONCATENATE(TableAopCalendar[[#This Row],[Month for Plan]]," ",TableAopCalendar[[#This Row],[Plan]])</f>
        <v>MARCH 28 PLANNED</v>
      </c>
    </row>
    <row r="2190" spans="1:11" x14ac:dyDescent="0.3">
      <c r="A2190" s="32">
        <f t="shared" si="117"/>
        <v>7</v>
      </c>
      <c r="B2190" s="33">
        <v>46840</v>
      </c>
      <c r="C2190" s="6" t="s">
        <v>273</v>
      </c>
      <c r="D2190" s="34">
        <v>28</v>
      </c>
      <c r="E2190" s="32">
        <f>DAY(TableAopCalendar[[#This Row],[Date]])</f>
        <v>28</v>
      </c>
      <c r="F2190" s="32">
        <f>IF(TableAopCalendar[[#This Row],[Day]]&lt;8,1,IF(TableAopCalendar[[#This Row],[Day]]&lt;15,2,IF(TableAopCalendar[[#This Row],[Day]]&lt;22,3,IF(TableAopCalendar[[#This Row],[Day]]&lt;29,4,IF(TableAopCalendar[[#This Row],[Day]]&lt;32,5)))))</f>
        <v>4</v>
      </c>
      <c r="G2190" s="32" t="str">
        <f t="shared" si="118"/>
        <v>Week 4</v>
      </c>
      <c r="H2190" s="32" t="str">
        <f t="shared" si="119"/>
        <v>March 28 Week 4</v>
      </c>
      <c r="I2190" s="32" t="str">
        <f>CONCATENATE(UPPER(TableAopCalendar[[#This Row],[Month]])," ",TableAopCalendar[[#This Row],[Year]])</f>
        <v>MARCH 28</v>
      </c>
      <c r="J2190" s="7" t="s">
        <v>274</v>
      </c>
      <c r="K2190" s="32" t="str">
        <f>CONCATENATE(TableAopCalendar[[#This Row],[Month for Plan]]," ",TableAopCalendar[[#This Row],[Plan]])</f>
        <v>MARCH 28 PLANNED</v>
      </c>
    </row>
    <row r="2191" spans="1:11" x14ac:dyDescent="0.3">
      <c r="A2191" s="32">
        <f t="shared" si="117"/>
        <v>1</v>
      </c>
      <c r="B2191" s="33">
        <v>46841</v>
      </c>
      <c r="C2191" s="6" t="s">
        <v>273</v>
      </c>
      <c r="D2191" s="34">
        <v>28</v>
      </c>
      <c r="E2191" s="32">
        <f>DAY(TableAopCalendar[[#This Row],[Date]])</f>
        <v>29</v>
      </c>
      <c r="F2191" s="32">
        <f>IF(TableAopCalendar[[#This Row],[Day]]&lt;8,1,IF(TableAopCalendar[[#This Row],[Day]]&lt;15,2,IF(TableAopCalendar[[#This Row],[Day]]&lt;22,3,IF(TableAopCalendar[[#This Row],[Day]]&lt;29,4,IF(TableAopCalendar[[#This Row],[Day]]&lt;32,5)))))</f>
        <v>5</v>
      </c>
      <c r="G2191" s="32" t="str">
        <f t="shared" si="118"/>
        <v>Week 5</v>
      </c>
      <c r="H2191" s="32" t="str">
        <f t="shared" si="119"/>
        <v>March 28 Week 5</v>
      </c>
      <c r="I2191" s="32" t="str">
        <f>CONCATENATE(UPPER(TableAopCalendar[[#This Row],[Month]])," ",TableAopCalendar[[#This Row],[Year]])</f>
        <v>MARCH 28</v>
      </c>
      <c r="J2191" s="7" t="s">
        <v>274</v>
      </c>
      <c r="K2191" s="32" t="str">
        <f>CONCATENATE(TableAopCalendar[[#This Row],[Month for Plan]]," ",TableAopCalendar[[#This Row],[Plan]])</f>
        <v>MARCH 28 PLANNED</v>
      </c>
    </row>
    <row r="2192" spans="1:11" x14ac:dyDescent="0.3">
      <c r="A2192" s="32">
        <f t="shared" si="117"/>
        <v>2</v>
      </c>
      <c r="B2192" s="33">
        <v>46842</v>
      </c>
      <c r="C2192" s="6" t="s">
        <v>273</v>
      </c>
      <c r="D2192" s="34">
        <v>28</v>
      </c>
      <c r="E2192" s="32">
        <f>DAY(TableAopCalendar[[#This Row],[Date]])</f>
        <v>30</v>
      </c>
      <c r="F2192" s="32">
        <f>IF(TableAopCalendar[[#This Row],[Day]]&lt;8,1,IF(TableAopCalendar[[#This Row],[Day]]&lt;15,2,IF(TableAopCalendar[[#This Row],[Day]]&lt;22,3,IF(TableAopCalendar[[#This Row],[Day]]&lt;29,4,IF(TableAopCalendar[[#This Row],[Day]]&lt;32,5)))))</f>
        <v>5</v>
      </c>
      <c r="G2192" s="32" t="str">
        <f t="shared" si="118"/>
        <v>Week 5</v>
      </c>
      <c r="H2192" s="32" t="str">
        <f t="shared" si="119"/>
        <v>March 28 Week 5</v>
      </c>
      <c r="I2192" s="32" t="str">
        <f>CONCATENATE(UPPER(TableAopCalendar[[#This Row],[Month]])," ",TableAopCalendar[[#This Row],[Year]])</f>
        <v>MARCH 28</v>
      </c>
      <c r="J2192" s="7" t="s">
        <v>274</v>
      </c>
      <c r="K2192" s="32" t="str">
        <f>CONCATENATE(TableAopCalendar[[#This Row],[Month for Plan]]," ",TableAopCalendar[[#This Row],[Plan]])</f>
        <v>MARCH 28 PLANNED</v>
      </c>
    </row>
    <row r="2193" spans="1:11" x14ac:dyDescent="0.3">
      <c r="A2193" s="32">
        <f t="shared" si="117"/>
        <v>3</v>
      </c>
      <c r="B2193" s="33">
        <v>46843</v>
      </c>
      <c r="C2193" s="6" t="s">
        <v>273</v>
      </c>
      <c r="D2193" s="34">
        <v>28</v>
      </c>
      <c r="E2193" s="32">
        <f>DAY(TableAopCalendar[[#This Row],[Date]])</f>
        <v>31</v>
      </c>
      <c r="F2193" s="32">
        <f>IF(TableAopCalendar[[#This Row],[Day]]&lt;8,1,IF(TableAopCalendar[[#This Row],[Day]]&lt;15,2,IF(TableAopCalendar[[#This Row],[Day]]&lt;22,3,IF(TableAopCalendar[[#This Row],[Day]]&lt;29,4,IF(TableAopCalendar[[#This Row],[Day]]&lt;32,5)))))</f>
        <v>5</v>
      </c>
      <c r="G2193" s="32" t="str">
        <f t="shared" si="118"/>
        <v>Week 5</v>
      </c>
      <c r="H2193" s="32" t="str">
        <f t="shared" si="119"/>
        <v>March 28 Week 5</v>
      </c>
      <c r="I2193" s="32" t="str">
        <f>CONCATENATE(UPPER(TableAopCalendar[[#This Row],[Month]])," ",TableAopCalendar[[#This Row],[Year]])</f>
        <v>MARCH 28</v>
      </c>
      <c r="J2193" s="7" t="s">
        <v>274</v>
      </c>
      <c r="K2193" s="32" t="str">
        <f>CONCATENATE(TableAopCalendar[[#This Row],[Month for Plan]]," ",TableAopCalendar[[#This Row],[Plan]])</f>
        <v>MARCH 28 PLANNED</v>
      </c>
    </row>
    <row r="2194" spans="1:11" x14ac:dyDescent="0.3">
      <c r="A2194" s="32">
        <f t="shared" si="117"/>
        <v>1</v>
      </c>
      <c r="B2194" s="33">
        <v>46844</v>
      </c>
      <c r="C2194" s="6" t="s">
        <v>264</v>
      </c>
      <c r="D2194" s="34">
        <v>28</v>
      </c>
      <c r="E2194" s="32">
        <f>DAY(TableAopCalendar[[#This Row],[Date]])</f>
        <v>1</v>
      </c>
      <c r="F2194" s="32">
        <f>IF(TableAopCalendar[[#This Row],[Day]]&lt;8,1,IF(TableAopCalendar[[#This Row],[Day]]&lt;15,2,IF(TableAopCalendar[[#This Row],[Day]]&lt;22,3,IF(TableAopCalendar[[#This Row],[Day]]&lt;29,4,IF(TableAopCalendar[[#This Row],[Day]]&lt;32,5)))))</f>
        <v>1</v>
      </c>
      <c r="G2194" s="32" t="str">
        <f t="shared" si="118"/>
        <v>Week 1</v>
      </c>
      <c r="H2194" s="32" t="str">
        <f t="shared" si="119"/>
        <v>April 28 Week 1</v>
      </c>
      <c r="I2194" s="32" t="str">
        <f>CONCATENATE(UPPER(TableAopCalendar[[#This Row],[Month]])," ",TableAopCalendar[[#This Row],[Year]])</f>
        <v>APRIL 28</v>
      </c>
      <c r="J2194" s="7" t="s">
        <v>274</v>
      </c>
      <c r="K2194" s="32" t="str">
        <f>CONCATENATE(TableAopCalendar[[#This Row],[Month for Plan]]," ",TableAopCalendar[[#This Row],[Plan]])</f>
        <v>APRIL 28 PLANNED</v>
      </c>
    </row>
    <row r="2195" spans="1:11" x14ac:dyDescent="0.3">
      <c r="A2195" s="32">
        <f t="shared" si="117"/>
        <v>2</v>
      </c>
      <c r="B2195" s="33">
        <v>46845</v>
      </c>
      <c r="C2195" s="6" t="s">
        <v>264</v>
      </c>
      <c r="D2195" s="34">
        <v>28</v>
      </c>
      <c r="E2195" s="32">
        <f>DAY(TableAopCalendar[[#This Row],[Date]])</f>
        <v>2</v>
      </c>
      <c r="F2195" s="32">
        <f>IF(TableAopCalendar[[#This Row],[Day]]&lt;8,1,IF(TableAopCalendar[[#This Row],[Day]]&lt;15,2,IF(TableAopCalendar[[#This Row],[Day]]&lt;22,3,IF(TableAopCalendar[[#This Row],[Day]]&lt;29,4,IF(TableAopCalendar[[#This Row],[Day]]&lt;32,5)))))</f>
        <v>1</v>
      </c>
      <c r="G2195" s="32" t="str">
        <f t="shared" si="118"/>
        <v>Week 1</v>
      </c>
      <c r="H2195" s="32" t="str">
        <f t="shared" si="119"/>
        <v>April 28 Week 1</v>
      </c>
      <c r="I2195" s="32" t="str">
        <f>CONCATENATE(UPPER(TableAopCalendar[[#This Row],[Month]])," ",TableAopCalendar[[#This Row],[Year]])</f>
        <v>APRIL 28</v>
      </c>
      <c r="J2195" s="7" t="s">
        <v>274</v>
      </c>
      <c r="K2195" s="32" t="str">
        <f>CONCATENATE(TableAopCalendar[[#This Row],[Month for Plan]]," ",TableAopCalendar[[#This Row],[Plan]])</f>
        <v>APRIL 28 PLANNED</v>
      </c>
    </row>
    <row r="2196" spans="1:11" x14ac:dyDescent="0.3">
      <c r="A2196" s="32">
        <f t="shared" si="117"/>
        <v>3</v>
      </c>
      <c r="B2196" s="33">
        <v>46846</v>
      </c>
      <c r="C2196" s="6" t="s">
        <v>264</v>
      </c>
      <c r="D2196" s="34">
        <v>28</v>
      </c>
      <c r="E2196" s="32">
        <f>DAY(TableAopCalendar[[#This Row],[Date]])</f>
        <v>3</v>
      </c>
      <c r="F2196" s="32">
        <f>IF(TableAopCalendar[[#This Row],[Day]]&lt;8,1,IF(TableAopCalendar[[#This Row],[Day]]&lt;15,2,IF(TableAopCalendar[[#This Row],[Day]]&lt;22,3,IF(TableAopCalendar[[#This Row],[Day]]&lt;29,4,IF(TableAopCalendar[[#This Row],[Day]]&lt;32,5)))))</f>
        <v>1</v>
      </c>
      <c r="G2196" s="32" t="str">
        <f t="shared" si="118"/>
        <v>Week 1</v>
      </c>
      <c r="H2196" s="32" t="str">
        <f t="shared" si="119"/>
        <v>April 28 Week 1</v>
      </c>
      <c r="I2196" s="32" t="str">
        <f>CONCATENATE(UPPER(TableAopCalendar[[#This Row],[Month]])," ",TableAopCalendar[[#This Row],[Year]])</f>
        <v>APRIL 28</v>
      </c>
      <c r="J2196" s="7" t="s">
        <v>274</v>
      </c>
      <c r="K2196" s="32" t="str">
        <f>CONCATENATE(TableAopCalendar[[#This Row],[Month for Plan]]," ",TableAopCalendar[[#This Row],[Plan]])</f>
        <v>APRIL 28 PLANNED</v>
      </c>
    </row>
    <row r="2197" spans="1:11" x14ac:dyDescent="0.3">
      <c r="A2197" s="32">
        <f t="shared" si="117"/>
        <v>4</v>
      </c>
      <c r="B2197" s="33">
        <v>46847</v>
      </c>
      <c r="C2197" s="6" t="s">
        <v>264</v>
      </c>
      <c r="D2197" s="34">
        <v>28</v>
      </c>
      <c r="E2197" s="32">
        <f>DAY(TableAopCalendar[[#This Row],[Date]])</f>
        <v>4</v>
      </c>
      <c r="F2197" s="32">
        <f>IF(TableAopCalendar[[#This Row],[Day]]&lt;8,1,IF(TableAopCalendar[[#This Row],[Day]]&lt;15,2,IF(TableAopCalendar[[#This Row],[Day]]&lt;22,3,IF(TableAopCalendar[[#This Row],[Day]]&lt;29,4,IF(TableAopCalendar[[#This Row],[Day]]&lt;32,5)))))</f>
        <v>1</v>
      </c>
      <c r="G2197" s="32" t="str">
        <f t="shared" si="118"/>
        <v>Week 1</v>
      </c>
      <c r="H2197" s="32" t="str">
        <f t="shared" si="119"/>
        <v>April 28 Week 1</v>
      </c>
      <c r="I2197" s="32" t="str">
        <f>CONCATENATE(UPPER(TableAopCalendar[[#This Row],[Month]])," ",TableAopCalendar[[#This Row],[Year]])</f>
        <v>APRIL 28</v>
      </c>
      <c r="J2197" s="7" t="s">
        <v>274</v>
      </c>
      <c r="K2197" s="32" t="str">
        <f>CONCATENATE(TableAopCalendar[[#This Row],[Month for Plan]]," ",TableAopCalendar[[#This Row],[Plan]])</f>
        <v>APRIL 28 PLANNED</v>
      </c>
    </row>
    <row r="2198" spans="1:11" x14ac:dyDescent="0.3">
      <c r="A2198" s="32">
        <f t="shared" si="117"/>
        <v>5</v>
      </c>
      <c r="B2198" s="33">
        <v>46848</v>
      </c>
      <c r="C2198" s="6" t="s">
        <v>264</v>
      </c>
      <c r="D2198" s="34">
        <v>28</v>
      </c>
      <c r="E2198" s="32">
        <f>DAY(TableAopCalendar[[#This Row],[Date]])</f>
        <v>5</v>
      </c>
      <c r="F2198" s="32">
        <f>IF(TableAopCalendar[[#This Row],[Day]]&lt;8,1,IF(TableAopCalendar[[#This Row],[Day]]&lt;15,2,IF(TableAopCalendar[[#This Row],[Day]]&lt;22,3,IF(TableAopCalendar[[#This Row],[Day]]&lt;29,4,IF(TableAopCalendar[[#This Row],[Day]]&lt;32,5)))))</f>
        <v>1</v>
      </c>
      <c r="G2198" s="32" t="str">
        <f t="shared" si="118"/>
        <v>Week 1</v>
      </c>
      <c r="H2198" s="32" t="str">
        <f t="shared" si="119"/>
        <v>April 28 Week 1</v>
      </c>
      <c r="I2198" s="32" t="str">
        <f>CONCATENATE(UPPER(TableAopCalendar[[#This Row],[Month]])," ",TableAopCalendar[[#This Row],[Year]])</f>
        <v>APRIL 28</v>
      </c>
      <c r="J2198" s="7" t="s">
        <v>274</v>
      </c>
      <c r="K2198" s="32" t="str">
        <f>CONCATENATE(TableAopCalendar[[#This Row],[Month for Plan]]," ",TableAopCalendar[[#This Row],[Plan]])</f>
        <v>APRIL 28 PLANNED</v>
      </c>
    </row>
    <row r="2199" spans="1:11" x14ac:dyDescent="0.3">
      <c r="A2199" s="32">
        <f t="shared" si="117"/>
        <v>6</v>
      </c>
      <c r="B2199" s="33">
        <v>46849</v>
      </c>
      <c r="C2199" s="6" t="s">
        <v>264</v>
      </c>
      <c r="D2199" s="34">
        <v>28</v>
      </c>
      <c r="E2199" s="32">
        <f>DAY(TableAopCalendar[[#This Row],[Date]])</f>
        <v>6</v>
      </c>
      <c r="F2199" s="32">
        <f>IF(TableAopCalendar[[#This Row],[Day]]&lt;8,1,IF(TableAopCalendar[[#This Row],[Day]]&lt;15,2,IF(TableAopCalendar[[#This Row],[Day]]&lt;22,3,IF(TableAopCalendar[[#This Row],[Day]]&lt;29,4,IF(TableAopCalendar[[#This Row],[Day]]&lt;32,5)))))</f>
        <v>1</v>
      </c>
      <c r="G2199" s="32" t="str">
        <f t="shared" si="118"/>
        <v>Week 1</v>
      </c>
      <c r="H2199" s="32" t="str">
        <f t="shared" si="119"/>
        <v>April 28 Week 1</v>
      </c>
      <c r="I2199" s="32" t="str">
        <f>CONCATENATE(UPPER(TableAopCalendar[[#This Row],[Month]])," ",TableAopCalendar[[#This Row],[Year]])</f>
        <v>APRIL 28</v>
      </c>
      <c r="J2199" s="7" t="s">
        <v>274</v>
      </c>
      <c r="K2199" s="32" t="str">
        <f>CONCATENATE(TableAopCalendar[[#This Row],[Month for Plan]]," ",TableAopCalendar[[#This Row],[Plan]])</f>
        <v>APRIL 28 PLANNED</v>
      </c>
    </row>
    <row r="2200" spans="1:11" x14ac:dyDescent="0.3">
      <c r="A2200" s="32">
        <f t="shared" si="117"/>
        <v>7</v>
      </c>
      <c r="B2200" s="33">
        <v>46850</v>
      </c>
      <c r="C2200" s="6" t="s">
        <v>264</v>
      </c>
      <c r="D2200" s="34">
        <v>28</v>
      </c>
      <c r="E2200" s="32">
        <f>DAY(TableAopCalendar[[#This Row],[Date]])</f>
        <v>7</v>
      </c>
      <c r="F2200" s="32">
        <f>IF(TableAopCalendar[[#This Row],[Day]]&lt;8,1,IF(TableAopCalendar[[#This Row],[Day]]&lt;15,2,IF(TableAopCalendar[[#This Row],[Day]]&lt;22,3,IF(TableAopCalendar[[#This Row],[Day]]&lt;29,4,IF(TableAopCalendar[[#This Row],[Day]]&lt;32,5)))))</f>
        <v>1</v>
      </c>
      <c r="G2200" s="32" t="str">
        <f t="shared" si="118"/>
        <v>Week 1</v>
      </c>
      <c r="H2200" s="32" t="str">
        <f t="shared" si="119"/>
        <v>April 28 Week 1</v>
      </c>
      <c r="I2200" s="32" t="str">
        <f>CONCATENATE(UPPER(TableAopCalendar[[#This Row],[Month]])," ",TableAopCalendar[[#This Row],[Year]])</f>
        <v>APRIL 28</v>
      </c>
      <c r="J2200" s="7" t="s">
        <v>274</v>
      </c>
      <c r="K2200" s="32" t="str">
        <f>CONCATENATE(TableAopCalendar[[#This Row],[Month for Plan]]," ",TableAopCalendar[[#This Row],[Plan]])</f>
        <v>APRIL 28 PLANNED</v>
      </c>
    </row>
    <row r="2201" spans="1:11" x14ac:dyDescent="0.3">
      <c r="A2201" s="32">
        <f t="shared" si="117"/>
        <v>1</v>
      </c>
      <c r="B2201" s="33">
        <v>46851</v>
      </c>
      <c r="C2201" s="6" t="s">
        <v>264</v>
      </c>
      <c r="D2201" s="34">
        <v>28</v>
      </c>
      <c r="E2201" s="32">
        <f>DAY(TableAopCalendar[[#This Row],[Date]])</f>
        <v>8</v>
      </c>
      <c r="F2201" s="32">
        <f>IF(TableAopCalendar[[#This Row],[Day]]&lt;8,1,IF(TableAopCalendar[[#This Row],[Day]]&lt;15,2,IF(TableAopCalendar[[#This Row],[Day]]&lt;22,3,IF(TableAopCalendar[[#This Row],[Day]]&lt;29,4,IF(TableAopCalendar[[#This Row],[Day]]&lt;32,5)))))</f>
        <v>2</v>
      </c>
      <c r="G2201" s="32" t="str">
        <f t="shared" si="118"/>
        <v>Week 2</v>
      </c>
      <c r="H2201" s="32" t="str">
        <f t="shared" si="119"/>
        <v>April 28 Week 2</v>
      </c>
      <c r="I2201" s="32" t="str">
        <f>CONCATENATE(UPPER(TableAopCalendar[[#This Row],[Month]])," ",TableAopCalendar[[#This Row],[Year]])</f>
        <v>APRIL 28</v>
      </c>
      <c r="J2201" s="7" t="s">
        <v>274</v>
      </c>
      <c r="K2201" s="32" t="str">
        <f>CONCATENATE(TableAopCalendar[[#This Row],[Month for Plan]]," ",TableAopCalendar[[#This Row],[Plan]])</f>
        <v>APRIL 28 PLANNED</v>
      </c>
    </row>
    <row r="2202" spans="1:11" x14ac:dyDescent="0.3">
      <c r="A2202" s="32">
        <f t="shared" si="117"/>
        <v>2</v>
      </c>
      <c r="B2202" s="33">
        <v>46852</v>
      </c>
      <c r="C2202" s="6" t="s">
        <v>264</v>
      </c>
      <c r="D2202" s="34">
        <v>28</v>
      </c>
      <c r="E2202" s="32">
        <f>DAY(TableAopCalendar[[#This Row],[Date]])</f>
        <v>9</v>
      </c>
      <c r="F2202" s="32">
        <f>IF(TableAopCalendar[[#This Row],[Day]]&lt;8,1,IF(TableAopCalendar[[#This Row],[Day]]&lt;15,2,IF(TableAopCalendar[[#This Row],[Day]]&lt;22,3,IF(TableAopCalendar[[#This Row],[Day]]&lt;29,4,IF(TableAopCalendar[[#This Row],[Day]]&lt;32,5)))))</f>
        <v>2</v>
      </c>
      <c r="G2202" s="32" t="str">
        <f t="shared" si="118"/>
        <v>Week 2</v>
      </c>
      <c r="H2202" s="32" t="str">
        <f t="shared" si="119"/>
        <v>April 28 Week 2</v>
      </c>
      <c r="I2202" s="32" t="str">
        <f>CONCATENATE(UPPER(TableAopCalendar[[#This Row],[Month]])," ",TableAopCalendar[[#This Row],[Year]])</f>
        <v>APRIL 28</v>
      </c>
      <c r="J2202" s="7" t="s">
        <v>274</v>
      </c>
      <c r="K2202" s="32" t="str">
        <f>CONCATENATE(TableAopCalendar[[#This Row],[Month for Plan]]," ",TableAopCalendar[[#This Row],[Plan]])</f>
        <v>APRIL 28 PLANNED</v>
      </c>
    </row>
    <row r="2203" spans="1:11" x14ac:dyDescent="0.3">
      <c r="A2203" s="32">
        <f t="shared" si="117"/>
        <v>3</v>
      </c>
      <c r="B2203" s="33">
        <v>46853</v>
      </c>
      <c r="C2203" s="6" t="s">
        <v>264</v>
      </c>
      <c r="D2203" s="34">
        <v>28</v>
      </c>
      <c r="E2203" s="32">
        <f>DAY(TableAopCalendar[[#This Row],[Date]])</f>
        <v>10</v>
      </c>
      <c r="F2203" s="32">
        <f>IF(TableAopCalendar[[#This Row],[Day]]&lt;8,1,IF(TableAopCalendar[[#This Row],[Day]]&lt;15,2,IF(TableAopCalendar[[#This Row],[Day]]&lt;22,3,IF(TableAopCalendar[[#This Row],[Day]]&lt;29,4,IF(TableAopCalendar[[#This Row],[Day]]&lt;32,5)))))</f>
        <v>2</v>
      </c>
      <c r="G2203" s="32" t="str">
        <f t="shared" si="118"/>
        <v>Week 2</v>
      </c>
      <c r="H2203" s="32" t="str">
        <f t="shared" si="119"/>
        <v>April 28 Week 2</v>
      </c>
      <c r="I2203" s="32" t="str">
        <f>CONCATENATE(UPPER(TableAopCalendar[[#This Row],[Month]])," ",TableAopCalendar[[#This Row],[Year]])</f>
        <v>APRIL 28</v>
      </c>
      <c r="J2203" s="7" t="s">
        <v>274</v>
      </c>
      <c r="K2203" s="32" t="str">
        <f>CONCATENATE(TableAopCalendar[[#This Row],[Month for Plan]]," ",TableAopCalendar[[#This Row],[Plan]])</f>
        <v>APRIL 28 PLANNED</v>
      </c>
    </row>
    <row r="2204" spans="1:11" x14ac:dyDescent="0.3">
      <c r="A2204" s="32">
        <f t="shared" si="117"/>
        <v>4</v>
      </c>
      <c r="B2204" s="33">
        <v>46854</v>
      </c>
      <c r="C2204" s="6" t="s">
        <v>264</v>
      </c>
      <c r="D2204" s="34">
        <v>28</v>
      </c>
      <c r="E2204" s="32">
        <f>DAY(TableAopCalendar[[#This Row],[Date]])</f>
        <v>11</v>
      </c>
      <c r="F2204" s="32">
        <f>IF(TableAopCalendar[[#This Row],[Day]]&lt;8,1,IF(TableAopCalendar[[#This Row],[Day]]&lt;15,2,IF(TableAopCalendar[[#This Row],[Day]]&lt;22,3,IF(TableAopCalendar[[#This Row],[Day]]&lt;29,4,IF(TableAopCalendar[[#This Row],[Day]]&lt;32,5)))))</f>
        <v>2</v>
      </c>
      <c r="G2204" s="32" t="str">
        <f t="shared" si="118"/>
        <v>Week 2</v>
      </c>
      <c r="H2204" s="32" t="str">
        <f t="shared" si="119"/>
        <v>April 28 Week 2</v>
      </c>
      <c r="I2204" s="32" t="str">
        <f>CONCATENATE(UPPER(TableAopCalendar[[#This Row],[Month]])," ",TableAopCalendar[[#This Row],[Year]])</f>
        <v>APRIL 28</v>
      </c>
      <c r="J2204" s="7" t="s">
        <v>274</v>
      </c>
      <c r="K2204" s="32" t="str">
        <f>CONCATENATE(TableAopCalendar[[#This Row],[Month for Plan]]," ",TableAopCalendar[[#This Row],[Plan]])</f>
        <v>APRIL 28 PLANNED</v>
      </c>
    </row>
    <row r="2205" spans="1:11" x14ac:dyDescent="0.3">
      <c r="A2205" s="32">
        <f t="shared" si="117"/>
        <v>5</v>
      </c>
      <c r="B2205" s="33">
        <v>46855</v>
      </c>
      <c r="C2205" s="6" t="s">
        <v>264</v>
      </c>
      <c r="D2205" s="34">
        <v>28</v>
      </c>
      <c r="E2205" s="32">
        <f>DAY(TableAopCalendar[[#This Row],[Date]])</f>
        <v>12</v>
      </c>
      <c r="F2205" s="32">
        <f>IF(TableAopCalendar[[#This Row],[Day]]&lt;8,1,IF(TableAopCalendar[[#This Row],[Day]]&lt;15,2,IF(TableAopCalendar[[#This Row],[Day]]&lt;22,3,IF(TableAopCalendar[[#This Row],[Day]]&lt;29,4,IF(TableAopCalendar[[#This Row],[Day]]&lt;32,5)))))</f>
        <v>2</v>
      </c>
      <c r="G2205" s="32" t="str">
        <f t="shared" si="118"/>
        <v>Week 2</v>
      </c>
      <c r="H2205" s="32" t="str">
        <f t="shared" si="119"/>
        <v>April 28 Week 2</v>
      </c>
      <c r="I2205" s="32" t="str">
        <f>CONCATENATE(UPPER(TableAopCalendar[[#This Row],[Month]])," ",TableAopCalendar[[#This Row],[Year]])</f>
        <v>APRIL 28</v>
      </c>
      <c r="J2205" s="7" t="s">
        <v>274</v>
      </c>
      <c r="K2205" s="32" t="str">
        <f>CONCATENATE(TableAopCalendar[[#This Row],[Month for Plan]]," ",TableAopCalendar[[#This Row],[Plan]])</f>
        <v>APRIL 28 PLANNED</v>
      </c>
    </row>
    <row r="2206" spans="1:11" x14ac:dyDescent="0.3">
      <c r="A2206" s="32">
        <f t="shared" si="117"/>
        <v>6</v>
      </c>
      <c r="B2206" s="33">
        <v>46856</v>
      </c>
      <c r="C2206" s="6" t="s">
        <v>264</v>
      </c>
      <c r="D2206" s="34">
        <v>28</v>
      </c>
      <c r="E2206" s="32">
        <f>DAY(TableAopCalendar[[#This Row],[Date]])</f>
        <v>13</v>
      </c>
      <c r="F2206" s="32">
        <f>IF(TableAopCalendar[[#This Row],[Day]]&lt;8,1,IF(TableAopCalendar[[#This Row],[Day]]&lt;15,2,IF(TableAopCalendar[[#This Row],[Day]]&lt;22,3,IF(TableAopCalendar[[#This Row],[Day]]&lt;29,4,IF(TableAopCalendar[[#This Row],[Day]]&lt;32,5)))))</f>
        <v>2</v>
      </c>
      <c r="G2206" s="32" t="str">
        <f t="shared" si="118"/>
        <v>Week 2</v>
      </c>
      <c r="H2206" s="32" t="str">
        <f t="shared" si="119"/>
        <v>April 28 Week 2</v>
      </c>
      <c r="I2206" s="32" t="str">
        <f>CONCATENATE(UPPER(TableAopCalendar[[#This Row],[Month]])," ",TableAopCalendar[[#This Row],[Year]])</f>
        <v>APRIL 28</v>
      </c>
      <c r="J2206" s="7" t="s">
        <v>274</v>
      </c>
      <c r="K2206" s="32" t="str">
        <f>CONCATENATE(TableAopCalendar[[#This Row],[Month for Plan]]," ",TableAopCalendar[[#This Row],[Plan]])</f>
        <v>APRIL 28 PLANNED</v>
      </c>
    </row>
    <row r="2207" spans="1:11" x14ac:dyDescent="0.3">
      <c r="A2207" s="32">
        <f t="shared" si="117"/>
        <v>7</v>
      </c>
      <c r="B2207" s="33">
        <v>46857</v>
      </c>
      <c r="C2207" s="6" t="s">
        <v>264</v>
      </c>
      <c r="D2207" s="34">
        <v>28</v>
      </c>
      <c r="E2207" s="32">
        <f>DAY(TableAopCalendar[[#This Row],[Date]])</f>
        <v>14</v>
      </c>
      <c r="F2207" s="32">
        <f>IF(TableAopCalendar[[#This Row],[Day]]&lt;8,1,IF(TableAopCalendar[[#This Row],[Day]]&lt;15,2,IF(TableAopCalendar[[#This Row],[Day]]&lt;22,3,IF(TableAopCalendar[[#This Row],[Day]]&lt;29,4,IF(TableAopCalendar[[#This Row],[Day]]&lt;32,5)))))</f>
        <v>2</v>
      </c>
      <c r="G2207" s="32" t="str">
        <f t="shared" si="118"/>
        <v>Week 2</v>
      </c>
      <c r="H2207" s="32" t="str">
        <f t="shared" si="119"/>
        <v>April 28 Week 2</v>
      </c>
      <c r="I2207" s="32" t="str">
        <f>CONCATENATE(UPPER(TableAopCalendar[[#This Row],[Month]])," ",TableAopCalendar[[#This Row],[Year]])</f>
        <v>APRIL 28</v>
      </c>
      <c r="J2207" s="7" t="s">
        <v>274</v>
      </c>
      <c r="K2207" s="32" t="str">
        <f>CONCATENATE(TableAopCalendar[[#This Row],[Month for Plan]]," ",TableAopCalendar[[#This Row],[Plan]])</f>
        <v>APRIL 28 PLANNED</v>
      </c>
    </row>
    <row r="2208" spans="1:11" x14ac:dyDescent="0.3">
      <c r="A2208" s="32">
        <f t="shared" si="117"/>
        <v>1</v>
      </c>
      <c r="B2208" s="33">
        <v>46858</v>
      </c>
      <c r="C2208" s="6" t="s">
        <v>264</v>
      </c>
      <c r="D2208" s="34">
        <v>28</v>
      </c>
      <c r="E2208" s="32">
        <f>DAY(TableAopCalendar[[#This Row],[Date]])</f>
        <v>15</v>
      </c>
      <c r="F2208" s="32">
        <f>IF(TableAopCalendar[[#This Row],[Day]]&lt;8,1,IF(TableAopCalendar[[#This Row],[Day]]&lt;15,2,IF(TableAopCalendar[[#This Row],[Day]]&lt;22,3,IF(TableAopCalendar[[#This Row],[Day]]&lt;29,4,IF(TableAopCalendar[[#This Row],[Day]]&lt;32,5)))))</f>
        <v>3</v>
      </c>
      <c r="G2208" s="32" t="str">
        <f t="shared" si="118"/>
        <v>Week 3</v>
      </c>
      <c r="H2208" s="32" t="str">
        <f t="shared" si="119"/>
        <v>April 28 Week 3</v>
      </c>
      <c r="I2208" s="32" t="str">
        <f>CONCATENATE(UPPER(TableAopCalendar[[#This Row],[Month]])," ",TableAopCalendar[[#This Row],[Year]])</f>
        <v>APRIL 28</v>
      </c>
      <c r="J2208" s="7" t="s">
        <v>274</v>
      </c>
      <c r="K2208" s="32" t="str">
        <f>CONCATENATE(TableAopCalendar[[#This Row],[Month for Plan]]," ",TableAopCalendar[[#This Row],[Plan]])</f>
        <v>APRIL 28 PLANNED</v>
      </c>
    </row>
    <row r="2209" spans="1:11" x14ac:dyDescent="0.3">
      <c r="A2209" s="32">
        <f t="shared" si="117"/>
        <v>2</v>
      </c>
      <c r="B2209" s="33">
        <v>46859</v>
      </c>
      <c r="C2209" s="6" t="s">
        <v>264</v>
      </c>
      <c r="D2209" s="34">
        <v>28</v>
      </c>
      <c r="E2209" s="32">
        <f>DAY(TableAopCalendar[[#This Row],[Date]])</f>
        <v>16</v>
      </c>
      <c r="F2209" s="32">
        <f>IF(TableAopCalendar[[#This Row],[Day]]&lt;8,1,IF(TableAopCalendar[[#This Row],[Day]]&lt;15,2,IF(TableAopCalendar[[#This Row],[Day]]&lt;22,3,IF(TableAopCalendar[[#This Row],[Day]]&lt;29,4,IF(TableAopCalendar[[#This Row],[Day]]&lt;32,5)))))</f>
        <v>3</v>
      </c>
      <c r="G2209" s="32" t="str">
        <f t="shared" si="118"/>
        <v>Week 3</v>
      </c>
      <c r="H2209" s="32" t="str">
        <f t="shared" si="119"/>
        <v>April 28 Week 3</v>
      </c>
      <c r="I2209" s="32" t="str">
        <f>CONCATENATE(UPPER(TableAopCalendar[[#This Row],[Month]])," ",TableAopCalendar[[#This Row],[Year]])</f>
        <v>APRIL 28</v>
      </c>
      <c r="J2209" s="7" t="s">
        <v>274</v>
      </c>
      <c r="K2209" s="32" t="str">
        <f>CONCATENATE(TableAopCalendar[[#This Row],[Month for Plan]]," ",TableAopCalendar[[#This Row],[Plan]])</f>
        <v>APRIL 28 PLANNED</v>
      </c>
    </row>
    <row r="2210" spans="1:11" x14ac:dyDescent="0.3">
      <c r="A2210" s="32">
        <f t="shared" si="117"/>
        <v>3</v>
      </c>
      <c r="B2210" s="33">
        <v>46860</v>
      </c>
      <c r="C2210" s="6" t="s">
        <v>264</v>
      </c>
      <c r="D2210" s="34">
        <v>28</v>
      </c>
      <c r="E2210" s="32">
        <f>DAY(TableAopCalendar[[#This Row],[Date]])</f>
        <v>17</v>
      </c>
      <c r="F2210" s="32">
        <f>IF(TableAopCalendar[[#This Row],[Day]]&lt;8,1,IF(TableAopCalendar[[#This Row],[Day]]&lt;15,2,IF(TableAopCalendar[[#This Row],[Day]]&lt;22,3,IF(TableAopCalendar[[#This Row],[Day]]&lt;29,4,IF(TableAopCalendar[[#This Row],[Day]]&lt;32,5)))))</f>
        <v>3</v>
      </c>
      <c r="G2210" s="32" t="str">
        <f t="shared" si="118"/>
        <v>Week 3</v>
      </c>
      <c r="H2210" s="32" t="str">
        <f t="shared" si="119"/>
        <v>April 28 Week 3</v>
      </c>
      <c r="I2210" s="32" t="str">
        <f>CONCATENATE(UPPER(TableAopCalendar[[#This Row],[Month]])," ",TableAopCalendar[[#This Row],[Year]])</f>
        <v>APRIL 28</v>
      </c>
      <c r="J2210" s="7" t="s">
        <v>274</v>
      </c>
      <c r="K2210" s="32" t="str">
        <f>CONCATENATE(TableAopCalendar[[#This Row],[Month for Plan]]," ",TableAopCalendar[[#This Row],[Plan]])</f>
        <v>APRIL 28 PLANNED</v>
      </c>
    </row>
    <row r="2211" spans="1:11" x14ac:dyDescent="0.3">
      <c r="A2211" s="32">
        <f t="shared" si="117"/>
        <v>4</v>
      </c>
      <c r="B2211" s="33">
        <v>46861</v>
      </c>
      <c r="C2211" s="6" t="s">
        <v>264</v>
      </c>
      <c r="D2211" s="34">
        <v>28</v>
      </c>
      <c r="E2211" s="32">
        <f>DAY(TableAopCalendar[[#This Row],[Date]])</f>
        <v>18</v>
      </c>
      <c r="F2211" s="32">
        <f>IF(TableAopCalendar[[#This Row],[Day]]&lt;8,1,IF(TableAopCalendar[[#This Row],[Day]]&lt;15,2,IF(TableAopCalendar[[#This Row],[Day]]&lt;22,3,IF(TableAopCalendar[[#This Row],[Day]]&lt;29,4,IF(TableAopCalendar[[#This Row],[Day]]&lt;32,5)))))</f>
        <v>3</v>
      </c>
      <c r="G2211" s="32" t="str">
        <f t="shared" si="118"/>
        <v>Week 3</v>
      </c>
      <c r="H2211" s="32" t="str">
        <f t="shared" si="119"/>
        <v>April 28 Week 3</v>
      </c>
      <c r="I2211" s="32" t="str">
        <f>CONCATENATE(UPPER(TableAopCalendar[[#This Row],[Month]])," ",TableAopCalendar[[#This Row],[Year]])</f>
        <v>APRIL 28</v>
      </c>
      <c r="J2211" s="7" t="s">
        <v>274</v>
      </c>
      <c r="K2211" s="32" t="str">
        <f>CONCATENATE(TableAopCalendar[[#This Row],[Month for Plan]]," ",TableAopCalendar[[#This Row],[Plan]])</f>
        <v>APRIL 28 PLANNED</v>
      </c>
    </row>
    <row r="2212" spans="1:11" x14ac:dyDescent="0.3">
      <c r="A2212" s="32">
        <f t="shared" ref="A2212:A2275" si="120">IF(G2212=G2211,A2211+1,1)</f>
        <v>5</v>
      </c>
      <c r="B2212" s="33">
        <v>46862</v>
      </c>
      <c r="C2212" s="6" t="s">
        <v>264</v>
      </c>
      <c r="D2212" s="34">
        <v>28</v>
      </c>
      <c r="E2212" s="32">
        <f>DAY(TableAopCalendar[[#This Row],[Date]])</f>
        <v>19</v>
      </c>
      <c r="F2212" s="32">
        <f>IF(TableAopCalendar[[#This Row],[Day]]&lt;8,1,IF(TableAopCalendar[[#This Row],[Day]]&lt;15,2,IF(TableAopCalendar[[#This Row],[Day]]&lt;22,3,IF(TableAopCalendar[[#This Row],[Day]]&lt;29,4,IF(TableAopCalendar[[#This Row],[Day]]&lt;32,5)))))</f>
        <v>3</v>
      </c>
      <c r="G2212" s="32" t="str">
        <f t="shared" ref="G2212:G2275" si="121">"Week"&amp;" "&amp;F2212</f>
        <v>Week 3</v>
      </c>
      <c r="H2212" s="32" t="str">
        <f t="shared" ref="H2212:H2275" si="122">CONCATENATE(C2212," ",D2212," ",G2212)</f>
        <v>April 28 Week 3</v>
      </c>
      <c r="I2212" s="32" t="str">
        <f>CONCATENATE(UPPER(TableAopCalendar[[#This Row],[Month]])," ",TableAopCalendar[[#This Row],[Year]])</f>
        <v>APRIL 28</v>
      </c>
      <c r="J2212" s="7" t="s">
        <v>274</v>
      </c>
      <c r="K2212" s="32" t="str">
        <f>CONCATENATE(TableAopCalendar[[#This Row],[Month for Plan]]," ",TableAopCalendar[[#This Row],[Plan]])</f>
        <v>APRIL 28 PLANNED</v>
      </c>
    </row>
    <row r="2213" spans="1:11" x14ac:dyDescent="0.3">
      <c r="A2213" s="32">
        <f t="shared" si="120"/>
        <v>6</v>
      </c>
      <c r="B2213" s="33">
        <v>46863</v>
      </c>
      <c r="C2213" s="6" t="s">
        <v>264</v>
      </c>
      <c r="D2213" s="34">
        <v>28</v>
      </c>
      <c r="E2213" s="32">
        <f>DAY(TableAopCalendar[[#This Row],[Date]])</f>
        <v>20</v>
      </c>
      <c r="F2213" s="32">
        <f>IF(TableAopCalendar[[#This Row],[Day]]&lt;8,1,IF(TableAopCalendar[[#This Row],[Day]]&lt;15,2,IF(TableAopCalendar[[#This Row],[Day]]&lt;22,3,IF(TableAopCalendar[[#This Row],[Day]]&lt;29,4,IF(TableAopCalendar[[#This Row],[Day]]&lt;32,5)))))</f>
        <v>3</v>
      </c>
      <c r="G2213" s="32" t="str">
        <f t="shared" si="121"/>
        <v>Week 3</v>
      </c>
      <c r="H2213" s="32" t="str">
        <f t="shared" si="122"/>
        <v>April 28 Week 3</v>
      </c>
      <c r="I2213" s="32" t="str">
        <f>CONCATENATE(UPPER(TableAopCalendar[[#This Row],[Month]])," ",TableAopCalendar[[#This Row],[Year]])</f>
        <v>APRIL 28</v>
      </c>
      <c r="J2213" s="7" t="s">
        <v>274</v>
      </c>
      <c r="K2213" s="32" t="str">
        <f>CONCATENATE(TableAopCalendar[[#This Row],[Month for Plan]]," ",TableAopCalendar[[#This Row],[Plan]])</f>
        <v>APRIL 28 PLANNED</v>
      </c>
    </row>
    <row r="2214" spans="1:11" x14ac:dyDescent="0.3">
      <c r="A2214" s="32">
        <f t="shared" si="120"/>
        <v>7</v>
      </c>
      <c r="B2214" s="33">
        <v>46864</v>
      </c>
      <c r="C2214" s="6" t="s">
        <v>264</v>
      </c>
      <c r="D2214" s="34">
        <v>28</v>
      </c>
      <c r="E2214" s="32">
        <f>DAY(TableAopCalendar[[#This Row],[Date]])</f>
        <v>21</v>
      </c>
      <c r="F2214" s="32">
        <f>IF(TableAopCalendar[[#This Row],[Day]]&lt;8,1,IF(TableAopCalendar[[#This Row],[Day]]&lt;15,2,IF(TableAopCalendar[[#This Row],[Day]]&lt;22,3,IF(TableAopCalendar[[#This Row],[Day]]&lt;29,4,IF(TableAopCalendar[[#This Row],[Day]]&lt;32,5)))))</f>
        <v>3</v>
      </c>
      <c r="G2214" s="32" t="str">
        <f t="shared" si="121"/>
        <v>Week 3</v>
      </c>
      <c r="H2214" s="32" t="str">
        <f t="shared" si="122"/>
        <v>April 28 Week 3</v>
      </c>
      <c r="I2214" s="32" t="str">
        <f>CONCATENATE(UPPER(TableAopCalendar[[#This Row],[Month]])," ",TableAopCalendar[[#This Row],[Year]])</f>
        <v>APRIL 28</v>
      </c>
      <c r="J2214" s="7" t="s">
        <v>274</v>
      </c>
      <c r="K2214" s="32" t="str">
        <f>CONCATENATE(TableAopCalendar[[#This Row],[Month for Plan]]," ",TableAopCalendar[[#This Row],[Plan]])</f>
        <v>APRIL 28 PLANNED</v>
      </c>
    </row>
    <row r="2215" spans="1:11" x14ac:dyDescent="0.3">
      <c r="A2215" s="32">
        <f t="shared" si="120"/>
        <v>1</v>
      </c>
      <c r="B2215" s="33">
        <v>46865</v>
      </c>
      <c r="C2215" s="6" t="s">
        <v>264</v>
      </c>
      <c r="D2215" s="34">
        <v>28</v>
      </c>
      <c r="E2215" s="32">
        <f>DAY(TableAopCalendar[[#This Row],[Date]])</f>
        <v>22</v>
      </c>
      <c r="F2215" s="32">
        <f>IF(TableAopCalendar[[#This Row],[Day]]&lt;8,1,IF(TableAopCalendar[[#This Row],[Day]]&lt;15,2,IF(TableAopCalendar[[#This Row],[Day]]&lt;22,3,IF(TableAopCalendar[[#This Row],[Day]]&lt;29,4,IF(TableAopCalendar[[#This Row],[Day]]&lt;32,5)))))</f>
        <v>4</v>
      </c>
      <c r="G2215" s="32" t="str">
        <f t="shared" si="121"/>
        <v>Week 4</v>
      </c>
      <c r="H2215" s="32" t="str">
        <f t="shared" si="122"/>
        <v>April 28 Week 4</v>
      </c>
      <c r="I2215" s="32" t="str">
        <f>CONCATENATE(UPPER(TableAopCalendar[[#This Row],[Month]])," ",TableAopCalendar[[#This Row],[Year]])</f>
        <v>APRIL 28</v>
      </c>
      <c r="J2215" s="7" t="s">
        <v>274</v>
      </c>
      <c r="K2215" s="32" t="str">
        <f>CONCATENATE(TableAopCalendar[[#This Row],[Month for Plan]]," ",TableAopCalendar[[#This Row],[Plan]])</f>
        <v>APRIL 28 PLANNED</v>
      </c>
    </row>
    <row r="2216" spans="1:11" x14ac:dyDescent="0.3">
      <c r="A2216" s="32">
        <f t="shared" si="120"/>
        <v>2</v>
      </c>
      <c r="B2216" s="33">
        <v>46866</v>
      </c>
      <c r="C2216" s="6" t="s">
        <v>264</v>
      </c>
      <c r="D2216" s="34">
        <v>28</v>
      </c>
      <c r="E2216" s="32">
        <f>DAY(TableAopCalendar[[#This Row],[Date]])</f>
        <v>23</v>
      </c>
      <c r="F2216" s="32">
        <f>IF(TableAopCalendar[[#This Row],[Day]]&lt;8,1,IF(TableAopCalendar[[#This Row],[Day]]&lt;15,2,IF(TableAopCalendar[[#This Row],[Day]]&lt;22,3,IF(TableAopCalendar[[#This Row],[Day]]&lt;29,4,IF(TableAopCalendar[[#This Row],[Day]]&lt;32,5)))))</f>
        <v>4</v>
      </c>
      <c r="G2216" s="32" t="str">
        <f t="shared" si="121"/>
        <v>Week 4</v>
      </c>
      <c r="H2216" s="32" t="str">
        <f t="shared" si="122"/>
        <v>April 28 Week 4</v>
      </c>
      <c r="I2216" s="32" t="str">
        <f>CONCATENATE(UPPER(TableAopCalendar[[#This Row],[Month]])," ",TableAopCalendar[[#This Row],[Year]])</f>
        <v>APRIL 28</v>
      </c>
      <c r="J2216" s="7" t="s">
        <v>274</v>
      </c>
      <c r="K2216" s="32" t="str">
        <f>CONCATENATE(TableAopCalendar[[#This Row],[Month for Plan]]," ",TableAopCalendar[[#This Row],[Plan]])</f>
        <v>APRIL 28 PLANNED</v>
      </c>
    </row>
    <row r="2217" spans="1:11" x14ac:dyDescent="0.3">
      <c r="A2217" s="32">
        <f t="shared" si="120"/>
        <v>3</v>
      </c>
      <c r="B2217" s="33">
        <v>46867</v>
      </c>
      <c r="C2217" s="6" t="s">
        <v>264</v>
      </c>
      <c r="D2217" s="34">
        <v>28</v>
      </c>
      <c r="E2217" s="32">
        <f>DAY(TableAopCalendar[[#This Row],[Date]])</f>
        <v>24</v>
      </c>
      <c r="F2217" s="32">
        <f>IF(TableAopCalendar[[#This Row],[Day]]&lt;8,1,IF(TableAopCalendar[[#This Row],[Day]]&lt;15,2,IF(TableAopCalendar[[#This Row],[Day]]&lt;22,3,IF(TableAopCalendar[[#This Row],[Day]]&lt;29,4,IF(TableAopCalendar[[#This Row],[Day]]&lt;32,5)))))</f>
        <v>4</v>
      </c>
      <c r="G2217" s="32" t="str">
        <f t="shared" si="121"/>
        <v>Week 4</v>
      </c>
      <c r="H2217" s="32" t="str">
        <f t="shared" si="122"/>
        <v>April 28 Week 4</v>
      </c>
      <c r="I2217" s="32" t="str">
        <f>CONCATENATE(UPPER(TableAopCalendar[[#This Row],[Month]])," ",TableAopCalendar[[#This Row],[Year]])</f>
        <v>APRIL 28</v>
      </c>
      <c r="J2217" s="7" t="s">
        <v>274</v>
      </c>
      <c r="K2217" s="32" t="str">
        <f>CONCATENATE(TableAopCalendar[[#This Row],[Month for Plan]]," ",TableAopCalendar[[#This Row],[Plan]])</f>
        <v>APRIL 28 PLANNED</v>
      </c>
    </row>
    <row r="2218" spans="1:11" x14ac:dyDescent="0.3">
      <c r="A2218" s="32">
        <f t="shared" si="120"/>
        <v>4</v>
      </c>
      <c r="B2218" s="33">
        <v>46868</v>
      </c>
      <c r="C2218" s="6" t="s">
        <v>264</v>
      </c>
      <c r="D2218" s="34">
        <v>28</v>
      </c>
      <c r="E2218" s="32">
        <f>DAY(TableAopCalendar[[#This Row],[Date]])</f>
        <v>25</v>
      </c>
      <c r="F2218" s="32">
        <f>IF(TableAopCalendar[[#This Row],[Day]]&lt;8,1,IF(TableAopCalendar[[#This Row],[Day]]&lt;15,2,IF(TableAopCalendar[[#This Row],[Day]]&lt;22,3,IF(TableAopCalendar[[#This Row],[Day]]&lt;29,4,IF(TableAopCalendar[[#This Row],[Day]]&lt;32,5)))))</f>
        <v>4</v>
      </c>
      <c r="G2218" s="32" t="str">
        <f t="shared" si="121"/>
        <v>Week 4</v>
      </c>
      <c r="H2218" s="32" t="str">
        <f t="shared" si="122"/>
        <v>April 28 Week 4</v>
      </c>
      <c r="I2218" s="32" t="str">
        <f>CONCATENATE(UPPER(TableAopCalendar[[#This Row],[Month]])," ",TableAopCalendar[[#This Row],[Year]])</f>
        <v>APRIL 28</v>
      </c>
      <c r="J2218" s="7" t="s">
        <v>274</v>
      </c>
      <c r="K2218" s="32" t="str">
        <f>CONCATENATE(TableAopCalendar[[#This Row],[Month for Plan]]," ",TableAopCalendar[[#This Row],[Plan]])</f>
        <v>APRIL 28 PLANNED</v>
      </c>
    </row>
    <row r="2219" spans="1:11" x14ac:dyDescent="0.3">
      <c r="A2219" s="32">
        <f t="shared" si="120"/>
        <v>5</v>
      </c>
      <c r="B2219" s="33">
        <v>46869</v>
      </c>
      <c r="C2219" s="6" t="s">
        <v>264</v>
      </c>
      <c r="D2219" s="34">
        <v>28</v>
      </c>
      <c r="E2219" s="32">
        <f>DAY(TableAopCalendar[[#This Row],[Date]])</f>
        <v>26</v>
      </c>
      <c r="F2219" s="32">
        <f>IF(TableAopCalendar[[#This Row],[Day]]&lt;8,1,IF(TableAopCalendar[[#This Row],[Day]]&lt;15,2,IF(TableAopCalendar[[#This Row],[Day]]&lt;22,3,IF(TableAopCalendar[[#This Row],[Day]]&lt;29,4,IF(TableAopCalendar[[#This Row],[Day]]&lt;32,5)))))</f>
        <v>4</v>
      </c>
      <c r="G2219" s="32" t="str">
        <f t="shared" si="121"/>
        <v>Week 4</v>
      </c>
      <c r="H2219" s="32" t="str">
        <f t="shared" si="122"/>
        <v>April 28 Week 4</v>
      </c>
      <c r="I2219" s="32" t="str">
        <f>CONCATENATE(UPPER(TableAopCalendar[[#This Row],[Month]])," ",TableAopCalendar[[#This Row],[Year]])</f>
        <v>APRIL 28</v>
      </c>
      <c r="J2219" s="7" t="s">
        <v>274</v>
      </c>
      <c r="K2219" s="32" t="str">
        <f>CONCATENATE(TableAopCalendar[[#This Row],[Month for Plan]]," ",TableAopCalendar[[#This Row],[Plan]])</f>
        <v>APRIL 28 PLANNED</v>
      </c>
    </row>
    <row r="2220" spans="1:11" x14ac:dyDescent="0.3">
      <c r="A2220" s="32">
        <f t="shared" si="120"/>
        <v>6</v>
      </c>
      <c r="B2220" s="33">
        <v>46870</v>
      </c>
      <c r="C2220" s="6" t="s">
        <v>264</v>
      </c>
      <c r="D2220" s="34">
        <v>28</v>
      </c>
      <c r="E2220" s="32">
        <f>DAY(TableAopCalendar[[#This Row],[Date]])</f>
        <v>27</v>
      </c>
      <c r="F2220" s="32">
        <f>IF(TableAopCalendar[[#This Row],[Day]]&lt;8,1,IF(TableAopCalendar[[#This Row],[Day]]&lt;15,2,IF(TableAopCalendar[[#This Row],[Day]]&lt;22,3,IF(TableAopCalendar[[#This Row],[Day]]&lt;29,4,IF(TableAopCalendar[[#This Row],[Day]]&lt;32,5)))))</f>
        <v>4</v>
      </c>
      <c r="G2220" s="32" t="str">
        <f t="shared" si="121"/>
        <v>Week 4</v>
      </c>
      <c r="H2220" s="32" t="str">
        <f t="shared" si="122"/>
        <v>April 28 Week 4</v>
      </c>
      <c r="I2220" s="32" t="str">
        <f>CONCATENATE(UPPER(TableAopCalendar[[#This Row],[Month]])," ",TableAopCalendar[[#This Row],[Year]])</f>
        <v>APRIL 28</v>
      </c>
      <c r="J2220" s="7" t="s">
        <v>274</v>
      </c>
      <c r="K2220" s="32" t="str">
        <f>CONCATENATE(TableAopCalendar[[#This Row],[Month for Plan]]," ",TableAopCalendar[[#This Row],[Plan]])</f>
        <v>APRIL 28 PLANNED</v>
      </c>
    </row>
    <row r="2221" spans="1:11" x14ac:dyDescent="0.3">
      <c r="A2221" s="32">
        <f t="shared" si="120"/>
        <v>7</v>
      </c>
      <c r="B2221" s="33">
        <v>46871</v>
      </c>
      <c r="C2221" s="6" t="s">
        <v>264</v>
      </c>
      <c r="D2221" s="34">
        <v>28</v>
      </c>
      <c r="E2221" s="32">
        <f>DAY(TableAopCalendar[[#This Row],[Date]])</f>
        <v>28</v>
      </c>
      <c r="F2221" s="32">
        <f>IF(TableAopCalendar[[#This Row],[Day]]&lt;8,1,IF(TableAopCalendar[[#This Row],[Day]]&lt;15,2,IF(TableAopCalendar[[#This Row],[Day]]&lt;22,3,IF(TableAopCalendar[[#This Row],[Day]]&lt;29,4,IF(TableAopCalendar[[#This Row],[Day]]&lt;32,5)))))</f>
        <v>4</v>
      </c>
      <c r="G2221" s="32" t="str">
        <f t="shared" si="121"/>
        <v>Week 4</v>
      </c>
      <c r="H2221" s="32" t="str">
        <f t="shared" si="122"/>
        <v>April 28 Week 4</v>
      </c>
      <c r="I2221" s="32" t="str">
        <f>CONCATENATE(UPPER(TableAopCalendar[[#This Row],[Month]])," ",TableAopCalendar[[#This Row],[Year]])</f>
        <v>APRIL 28</v>
      </c>
      <c r="J2221" s="7" t="s">
        <v>274</v>
      </c>
      <c r="K2221" s="32" t="str">
        <f>CONCATENATE(TableAopCalendar[[#This Row],[Month for Plan]]," ",TableAopCalendar[[#This Row],[Plan]])</f>
        <v>APRIL 28 PLANNED</v>
      </c>
    </row>
    <row r="2222" spans="1:11" x14ac:dyDescent="0.3">
      <c r="A2222" s="32">
        <f t="shared" si="120"/>
        <v>1</v>
      </c>
      <c r="B2222" s="33">
        <v>46872</v>
      </c>
      <c r="C2222" s="6" t="s">
        <v>264</v>
      </c>
      <c r="D2222" s="34">
        <v>28</v>
      </c>
      <c r="E2222" s="32">
        <f>DAY(TableAopCalendar[[#This Row],[Date]])</f>
        <v>29</v>
      </c>
      <c r="F2222" s="32">
        <f>IF(TableAopCalendar[[#This Row],[Day]]&lt;8,1,IF(TableAopCalendar[[#This Row],[Day]]&lt;15,2,IF(TableAopCalendar[[#This Row],[Day]]&lt;22,3,IF(TableAopCalendar[[#This Row],[Day]]&lt;29,4,IF(TableAopCalendar[[#This Row],[Day]]&lt;32,5)))))</f>
        <v>5</v>
      </c>
      <c r="G2222" s="32" t="str">
        <f t="shared" si="121"/>
        <v>Week 5</v>
      </c>
      <c r="H2222" s="32" t="str">
        <f t="shared" si="122"/>
        <v>April 28 Week 5</v>
      </c>
      <c r="I2222" s="32" t="str">
        <f>CONCATENATE(UPPER(TableAopCalendar[[#This Row],[Month]])," ",TableAopCalendar[[#This Row],[Year]])</f>
        <v>APRIL 28</v>
      </c>
      <c r="J2222" s="7" t="s">
        <v>274</v>
      </c>
      <c r="K2222" s="32" t="str">
        <f>CONCATENATE(TableAopCalendar[[#This Row],[Month for Plan]]," ",TableAopCalendar[[#This Row],[Plan]])</f>
        <v>APRIL 28 PLANNED</v>
      </c>
    </row>
    <row r="2223" spans="1:11" x14ac:dyDescent="0.3">
      <c r="A2223" s="32">
        <f t="shared" si="120"/>
        <v>2</v>
      </c>
      <c r="B2223" s="33">
        <v>46873</v>
      </c>
      <c r="C2223" s="6" t="s">
        <v>264</v>
      </c>
      <c r="D2223" s="34">
        <v>28</v>
      </c>
      <c r="E2223" s="32">
        <f>DAY(TableAopCalendar[[#This Row],[Date]])</f>
        <v>30</v>
      </c>
      <c r="F2223" s="32">
        <f>IF(TableAopCalendar[[#This Row],[Day]]&lt;8,1,IF(TableAopCalendar[[#This Row],[Day]]&lt;15,2,IF(TableAopCalendar[[#This Row],[Day]]&lt;22,3,IF(TableAopCalendar[[#This Row],[Day]]&lt;29,4,IF(TableAopCalendar[[#This Row],[Day]]&lt;32,5)))))</f>
        <v>5</v>
      </c>
      <c r="G2223" s="32" t="str">
        <f t="shared" si="121"/>
        <v>Week 5</v>
      </c>
      <c r="H2223" s="32" t="str">
        <f t="shared" si="122"/>
        <v>April 28 Week 5</v>
      </c>
      <c r="I2223" s="32" t="str">
        <f>CONCATENATE(UPPER(TableAopCalendar[[#This Row],[Month]])," ",TableAopCalendar[[#This Row],[Year]])</f>
        <v>APRIL 28</v>
      </c>
      <c r="J2223" s="7" t="s">
        <v>274</v>
      </c>
      <c r="K2223" s="32" t="str">
        <f>CONCATENATE(TableAopCalendar[[#This Row],[Month for Plan]]," ",TableAopCalendar[[#This Row],[Plan]])</f>
        <v>APRIL 28 PLANNED</v>
      </c>
    </row>
    <row r="2224" spans="1:11" x14ac:dyDescent="0.3">
      <c r="A2224" s="32">
        <f t="shared" si="120"/>
        <v>1</v>
      </c>
      <c r="B2224" s="33">
        <v>46874</v>
      </c>
      <c r="C2224" s="6" t="s">
        <v>265</v>
      </c>
      <c r="D2224" s="34">
        <v>28</v>
      </c>
      <c r="E2224" s="32">
        <f>DAY(TableAopCalendar[[#This Row],[Date]])</f>
        <v>1</v>
      </c>
      <c r="F2224" s="32">
        <f>IF(TableAopCalendar[[#This Row],[Day]]&lt;8,1,IF(TableAopCalendar[[#This Row],[Day]]&lt;15,2,IF(TableAopCalendar[[#This Row],[Day]]&lt;22,3,IF(TableAopCalendar[[#This Row],[Day]]&lt;29,4,IF(TableAopCalendar[[#This Row],[Day]]&lt;32,5)))))</f>
        <v>1</v>
      </c>
      <c r="G2224" s="32" t="str">
        <f t="shared" si="121"/>
        <v>Week 1</v>
      </c>
      <c r="H2224" s="32" t="str">
        <f t="shared" si="122"/>
        <v>May 28 Week 1</v>
      </c>
      <c r="I2224" s="32" t="str">
        <f>CONCATENATE(UPPER(TableAopCalendar[[#This Row],[Month]])," ",TableAopCalendar[[#This Row],[Year]])</f>
        <v>MAY 28</v>
      </c>
      <c r="J2224" s="7" t="s">
        <v>274</v>
      </c>
      <c r="K2224" s="32" t="str">
        <f>CONCATENATE(TableAopCalendar[[#This Row],[Month for Plan]]," ",TableAopCalendar[[#This Row],[Plan]])</f>
        <v>MAY 28 PLANNED</v>
      </c>
    </row>
    <row r="2225" spans="1:11" x14ac:dyDescent="0.3">
      <c r="A2225" s="32">
        <f t="shared" si="120"/>
        <v>2</v>
      </c>
      <c r="B2225" s="33">
        <v>46875</v>
      </c>
      <c r="C2225" s="6" t="s">
        <v>265</v>
      </c>
      <c r="D2225" s="34">
        <v>28</v>
      </c>
      <c r="E2225" s="32">
        <f>DAY(TableAopCalendar[[#This Row],[Date]])</f>
        <v>2</v>
      </c>
      <c r="F2225" s="32">
        <f>IF(TableAopCalendar[[#This Row],[Day]]&lt;8,1,IF(TableAopCalendar[[#This Row],[Day]]&lt;15,2,IF(TableAopCalendar[[#This Row],[Day]]&lt;22,3,IF(TableAopCalendar[[#This Row],[Day]]&lt;29,4,IF(TableAopCalendar[[#This Row],[Day]]&lt;32,5)))))</f>
        <v>1</v>
      </c>
      <c r="G2225" s="32" t="str">
        <f t="shared" si="121"/>
        <v>Week 1</v>
      </c>
      <c r="H2225" s="32" t="str">
        <f t="shared" si="122"/>
        <v>May 28 Week 1</v>
      </c>
      <c r="I2225" s="32" t="str">
        <f>CONCATENATE(UPPER(TableAopCalendar[[#This Row],[Month]])," ",TableAopCalendar[[#This Row],[Year]])</f>
        <v>MAY 28</v>
      </c>
      <c r="J2225" s="7" t="s">
        <v>274</v>
      </c>
      <c r="K2225" s="32" t="str">
        <f>CONCATENATE(TableAopCalendar[[#This Row],[Month for Plan]]," ",TableAopCalendar[[#This Row],[Plan]])</f>
        <v>MAY 28 PLANNED</v>
      </c>
    </row>
    <row r="2226" spans="1:11" x14ac:dyDescent="0.3">
      <c r="A2226" s="32">
        <f t="shared" si="120"/>
        <v>3</v>
      </c>
      <c r="B2226" s="33">
        <v>46876</v>
      </c>
      <c r="C2226" s="6" t="s">
        <v>265</v>
      </c>
      <c r="D2226" s="34">
        <v>28</v>
      </c>
      <c r="E2226" s="32">
        <f>DAY(TableAopCalendar[[#This Row],[Date]])</f>
        <v>3</v>
      </c>
      <c r="F2226" s="32">
        <f>IF(TableAopCalendar[[#This Row],[Day]]&lt;8,1,IF(TableAopCalendar[[#This Row],[Day]]&lt;15,2,IF(TableAopCalendar[[#This Row],[Day]]&lt;22,3,IF(TableAopCalendar[[#This Row],[Day]]&lt;29,4,IF(TableAopCalendar[[#This Row],[Day]]&lt;32,5)))))</f>
        <v>1</v>
      </c>
      <c r="G2226" s="32" t="str">
        <f t="shared" si="121"/>
        <v>Week 1</v>
      </c>
      <c r="H2226" s="32" t="str">
        <f t="shared" si="122"/>
        <v>May 28 Week 1</v>
      </c>
      <c r="I2226" s="32" t="str">
        <f>CONCATENATE(UPPER(TableAopCalendar[[#This Row],[Month]])," ",TableAopCalendar[[#This Row],[Year]])</f>
        <v>MAY 28</v>
      </c>
      <c r="J2226" s="7" t="s">
        <v>274</v>
      </c>
      <c r="K2226" s="32" t="str">
        <f>CONCATENATE(TableAopCalendar[[#This Row],[Month for Plan]]," ",TableAopCalendar[[#This Row],[Plan]])</f>
        <v>MAY 28 PLANNED</v>
      </c>
    </row>
    <row r="2227" spans="1:11" x14ac:dyDescent="0.3">
      <c r="A2227" s="32">
        <f t="shared" si="120"/>
        <v>4</v>
      </c>
      <c r="B2227" s="33">
        <v>46877</v>
      </c>
      <c r="C2227" s="6" t="s">
        <v>265</v>
      </c>
      <c r="D2227" s="34">
        <v>28</v>
      </c>
      <c r="E2227" s="32">
        <f>DAY(TableAopCalendar[[#This Row],[Date]])</f>
        <v>4</v>
      </c>
      <c r="F2227" s="32">
        <f>IF(TableAopCalendar[[#This Row],[Day]]&lt;8,1,IF(TableAopCalendar[[#This Row],[Day]]&lt;15,2,IF(TableAopCalendar[[#This Row],[Day]]&lt;22,3,IF(TableAopCalendar[[#This Row],[Day]]&lt;29,4,IF(TableAopCalendar[[#This Row],[Day]]&lt;32,5)))))</f>
        <v>1</v>
      </c>
      <c r="G2227" s="32" t="str">
        <f t="shared" si="121"/>
        <v>Week 1</v>
      </c>
      <c r="H2227" s="32" t="str">
        <f t="shared" si="122"/>
        <v>May 28 Week 1</v>
      </c>
      <c r="I2227" s="32" t="str">
        <f>CONCATENATE(UPPER(TableAopCalendar[[#This Row],[Month]])," ",TableAopCalendar[[#This Row],[Year]])</f>
        <v>MAY 28</v>
      </c>
      <c r="J2227" s="7" t="s">
        <v>274</v>
      </c>
      <c r="K2227" s="32" t="str">
        <f>CONCATENATE(TableAopCalendar[[#This Row],[Month for Plan]]," ",TableAopCalendar[[#This Row],[Plan]])</f>
        <v>MAY 28 PLANNED</v>
      </c>
    </row>
    <row r="2228" spans="1:11" x14ac:dyDescent="0.3">
      <c r="A2228" s="32">
        <f t="shared" si="120"/>
        <v>5</v>
      </c>
      <c r="B2228" s="33">
        <v>46878</v>
      </c>
      <c r="C2228" s="6" t="s">
        <v>265</v>
      </c>
      <c r="D2228" s="34">
        <v>28</v>
      </c>
      <c r="E2228" s="32">
        <f>DAY(TableAopCalendar[[#This Row],[Date]])</f>
        <v>5</v>
      </c>
      <c r="F2228" s="32">
        <f>IF(TableAopCalendar[[#This Row],[Day]]&lt;8,1,IF(TableAopCalendar[[#This Row],[Day]]&lt;15,2,IF(TableAopCalendar[[#This Row],[Day]]&lt;22,3,IF(TableAopCalendar[[#This Row],[Day]]&lt;29,4,IF(TableAopCalendar[[#This Row],[Day]]&lt;32,5)))))</f>
        <v>1</v>
      </c>
      <c r="G2228" s="32" t="str">
        <f t="shared" si="121"/>
        <v>Week 1</v>
      </c>
      <c r="H2228" s="32" t="str">
        <f t="shared" si="122"/>
        <v>May 28 Week 1</v>
      </c>
      <c r="I2228" s="32" t="str">
        <f>CONCATENATE(UPPER(TableAopCalendar[[#This Row],[Month]])," ",TableAopCalendar[[#This Row],[Year]])</f>
        <v>MAY 28</v>
      </c>
      <c r="J2228" s="7" t="s">
        <v>274</v>
      </c>
      <c r="K2228" s="32" t="str">
        <f>CONCATENATE(TableAopCalendar[[#This Row],[Month for Plan]]," ",TableAopCalendar[[#This Row],[Plan]])</f>
        <v>MAY 28 PLANNED</v>
      </c>
    </row>
    <row r="2229" spans="1:11" x14ac:dyDescent="0.3">
      <c r="A2229" s="32">
        <f t="shared" si="120"/>
        <v>6</v>
      </c>
      <c r="B2229" s="33">
        <v>46879</v>
      </c>
      <c r="C2229" s="6" t="s">
        <v>265</v>
      </c>
      <c r="D2229" s="34">
        <v>28</v>
      </c>
      <c r="E2229" s="32">
        <f>DAY(TableAopCalendar[[#This Row],[Date]])</f>
        <v>6</v>
      </c>
      <c r="F2229" s="32">
        <f>IF(TableAopCalendar[[#This Row],[Day]]&lt;8,1,IF(TableAopCalendar[[#This Row],[Day]]&lt;15,2,IF(TableAopCalendar[[#This Row],[Day]]&lt;22,3,IF(TableAopCalendar[[#This Row],[Day]]&lt;29,4,IF(TableAopCalendar[[#This Row],[Day]]&lt;32,5)))))</f>
        <v>1</v>
      </c>
      <c r="G2229" s="32" t="str">
        <f t="shared" si="121"/>
        <v>Week 1</v>
      </c>
      <c r="H2229" s="32" t="str">
        <f t="shared" si="122"/>
        <v>May 28 Week 1</v>
      </c>
      <c r="I2229" s="32" t="str">
        <f>CONCATENATE(UPPER(TableAopCalendar[[#This Row],[Month]])," ",TableAopCalendar[[#This Row],[Year]])</f>
        <v>MAY 28</v>
      </c>
      <c r="J2229" s="7" t="s">
        <v>274</v>
      </c>
      <c r="K2229" s="32" t="str">
        <f>CONCATENATE(TableAopCalendar[[#This Row],[Month for Plan]]," ",TableAopCalendar[[#This Row],[Plan]])</f>
        <v>MAY 28 PLANNED</v>
      </c>
    </row>
    <row r="2230" spans="1:11" x14ac:dyDescent="0.3">
      <c r="A2230" s="32">
        <f t="shared" si="120"/>
        <v>7</v>
      </c>
      <c r="B2230" s="33">
        <v>46880</v>
      </c>
      <c r="C2230" s="6" t="s">
        <v>265</v>
      </c>
      <c r="D2230" s="34">
        <v>28</v>
      </c>
      <c r="E2230" s="32">
        <f>DAY(TableAopCalendar[[#This Row],[Date]])</f>
        <v>7</v>
      </c>
      <c r="F2230" s="32">
        <f>IF(TableAopCalendar[[#This Row],[Day]]&lt;8,1,IF(TableAopCalendar[[#This Row],[Day]]&lt;15,2,IF(TableAopCalendar[[#This Row],[Day]]&lt;22,3,IF(TableAopCalendar[[#This Row],[Day]]&lt;29,4,IF(TableAopCalendar[[#This Row],[Day]]&lt;32,5)))))</f>
        <v>1</v>
      </c>
      <c r="G2230" s="32" t="str">
        <f t="shared" si="121"/>
        <v>Week 1</v>
      </c>
      <c r="H2230" s="32" t="str">
        <f t="shared" si="122"/>
        <v>May 28 Week 1</v>
      </c>
      <c r="I2230" s="32" t="str">
        <f>CONCATENATE(UPPER(TableAopCalendar[[#This Row],[Month]])," ",TableAopCalendar[[#This Row],[Year]])</f>
        <v>MAY 28</v>
      </c>
      <c r="J2230" s="7" t="s">
        <v>274</v>
      </c>
      <c r="K2230" s="32" t="str">
        <f>CONCATENATE(TableAopCalendar[[#This Row],[Month for Plan]]," ",TableAopCalendar[[#This Row],[Plan]])</f>
        <v>MAY 28 PLANNED</v>
      </c>
    </row>
    <row r="2231" spans="1:11" x14ac:dyDescent="0.3">
      <c r="A2231" s="32">
        <f t="shared" si="120"/>
        <v>1</v>
      </c>
      <c r="B2231" s="33">
        <v>46881</v>
      </c>
      <c r="C2231" s="6" t="s">
        <v>265</v>
      </c>
      <c r="D2231" s="34">
        <v>28</v>
      </c>
      <c r="E2231" s="32">
        <f>DAY(TableAopCalendar[[#This Row],[Date]])</f>
        <v>8</v>
      </c>
      <c r="F2231" s="32">
        <f>IF(TableAopCalendar[[#This Row],[Day]]&lt;8,1,IF(TableAopCalendar[[#This Row],[Day]]&lt;15,2,IF(TableAopCalendar[[#This Row],[Day]]&lt;22,3,IF(TableAopCalendar[[#This Row],[Day]]&lt;29,4,IF(TableAopCalendar[[#This Row],[Day]]&lt;32,5)))))</f>
        <v>2</v>
      </c>
      <c r="G2231" s="32" t="str">
        <f t="shared" si="121"/>
        <v>Week 2</v>
      </c>
      <c r="H2231" s="32" t="str">
        <f t="shared" si="122"/>
        <v>May 28 Week 2</v>
      </c>
      <c r="I2231" s="32" t="str">
        <f>CONCATENATE(UPPER(TableAopCalendar[[#This Row],[Month]])," ",TableAopCalendar[[#This Row],[Year]])</f>
        <v>MAY 28</v>
      </c>
      <c r="J2231" s="7" t="s">
        <v>274</v>
      </c>
      <c r="K2231" s="32" t="str">
        <f>CONCATENATE(TableAopCalendar[[#This Row],[Month for Plan]]," ",TableAopCalendar[[#This Row],[Plan]])</f>
        <v>MAY 28 PLANNED</v>
      </c>
    </row>
    <row r="2232" spans="1:11" x14ac:dyDescent="0.3">
      <c r="A2232" s="32">
        <f t="shared" si="120"/>
        <v>2</v>
      </c>
      <c r="B2232" s="33">
        <v>46882</v>
      </c>
      <c r="C2232" s="6" t="s">
        <v>265</v>
      </c>
      <c r="D2232" s="34">
        <v>28</v>
      </c>
      <c r="E2232" s="32">
        <f>DAY(TableAopCalendar[[#This Row],[Date]])</f>
        <v>9</v>
      </c>
      <c r="F2232" s="32">
        <f>IF(TableAopCalendar[[#This Row],[Day]]&lt;8,1,IF(TableAopCalendar[[#This Row],[Day]]&lt;15,2,IF(TableAopCalendar[[#This Row],[Day]]&lt;22,3,IF(TableAopCalendar[[#This Row],[Day]]&lt;29,4,IF(TableAopCalendar[[#This Row],[Day]]&lt;32,5)))))</f>
        <v>2</v>
      </c>
      <c r="G2232" s="32" t="str">
        <f t="shared" si="121"/>
        <v>Week 2</v>
      </c>
      <c r="H2232" s="32" t="str">
        <f t="shared" si="122"/>
        <v>May 28 Week 2</v>
      </c>
      <c r="I2232" s="32" t="str">
        <f>CONCATENATE(UPPER(TableAopCalendar[[#This Row],[Month]])," ",TableAopCalendar[[#This Row],[Year]])</f>
        <v>MAY 28</v>
      </c>
      <c r="J2232" s="7" t="s">
        <v>274</v>
      </c>
      <c r="K2232" s="32" t="str">
        <f>CONCATENATE(TableAopCalendar[[#This Row],[Month for Plan]]," ",TableAopCalendar[[#This Row],[Plan]])</f>
        <v>MAY 28 PLANNED</v>
      </c>
    </row>
    <row r="2233" spans="1:11" x14ac:dyDescent="0.3">
      <c r="A2233" s="32">
        <f t="shared" si="120"/>
        <v>3</v>
      </c>
      <c r="B2233" s="33">
        <v>46883</v>
      </c>
      <c r="C2233" s="6" t="s">
        <v>265</v>
      </c>
      <c r="D2233" s="34">
        <v>28</v>
      </c>
      <c r="E2233" s="32">
        <f>DAY(TableAopCalendar[[#This Row],[Date]])</f>
        <v>10</v>
      </c>
      <c r="F2233" s="32">
        <f>IF(TableAopCalendar[[#This Row],[Day]]&lt;8,1,IF(TableAopCalendar[[#This Row],[Day]]&lt;15,2,IF(TableAopCalendar[[#This Row],[Day]]&lt;22,3,IF(TableAopCalendar[[#This Row],[Day]]&lt;29,4,IF(TableAopCalendar[[#This Row],[Day]]&lt;32,5)))))</f>
        <v>2</v>
      </c>
      <c r="G2233" s="32" t="str">
        <f t="shared" si="121"/>
        <v>Week 2</v>
      </c>
      <c r="H2233" s="32" t="str">
        <f t="shared" si="122"/>
        <v>May 28 Week 2</v>
      </c>
      <c r="I2233" s="32" t="str">
        <f>CONCATENATE(UPPER(TableAopCalendar[[#This Row],[Month]])," ",TableAopCalendar[[#This Row],[Year]])</f>
        <v>MAY 28</v>
      </c>
      <c r="J2233" s="7" t="s">
        <v>274</v>
      </c>
      <c r="K2233" s="32" t="str">
        <f>CONCATENATE(TableAopCalendar[[#This Row],[Month for Plan]]," ",TableAopCalendar[[#This Row],[Plan]])</f>
        <v>MAY 28 PLANNED</v>
      </c>
    </row>
    <row r="2234" spans="1:11" x14ac:dyDescent="0.3">
      <c r="A2234" s="32">
        <f t="shared" si="120"/>
        <v>4</v>
      </c>
      <c r="B2234" s="33">
        <v>46884</v>
      </c>
      <c r="C2234" s="6" t="s">
        <v>265</v>
      </c>
      <c r="D2234" s="34">
        <v>28</v>
      </c>
      <c r="E2234" s="32">
        <f>DAY(TableAopCalendar[[#This Row],[Date]])</f>
        <v>11</v>
      </c>
      <c r="F2234" s="32">
        <f>IF(TableAopCalendar[[#This Row],[Day]]&lt;8,1,IF(TableAopCalendar[[#This Row],[Day]]&lt;15,2,IF(TableAopCalendar[[#This Row],[Day]]&lt;22,3,IF(TableAopCalendar[[#This Row],[Day]]&lt;29,4,IF(TableAopCalendar[[#This Row],[Day]]&lt;32,5)))))</f>
        <v>2</v>
      </c>
      <c r="G2234" s="32" t="str">
        <f t="shared" si="121"/>
        <v>Week 2</v>
      </c>
      <c r="H2234" s="32" t="str">
        <f t="shared" si="122"/>
        <v>May 28 Week 2</v>
      </c>
      <c r="I2234" s="32" t="str">
        <f>CONCATENATE(UPPER(TableAopCalendar[[#This Row],[Month]])," ",TableAopCalendar[[#This Row],[Year]])</f>
        <v>MAY 28</v>
      </c>
      <c r="J2234" s="7" t="s">
        <v>274</v>
      </c>
      <c r="K2234" s="32" t="str">
        <f>CONCATENATE(TableAopCalendar[[#This Row],[Month for Plan]]," ",TableAopCalendar[[#This Row],[Plan]])</f>
        <v>MAY 28 PLANNED</v>
      </c>
    </row>
    <row r="2235" spans="1:11" x14ac:dyDescent="0.3">
      <c r="A2235" s="32">
        <f t="shared" si="120"/>
        <v>5</v>
      </c>
      <c r="B2235" s="33">
        <v>46885</v>
      </c>
      <c r="C2235" s="6" t="s">
        <v>265</v>
      </c>
      <c r="D2235" s="34">
        <v>28</v>
      </c>
      <c r="E2235" s="32">
        <f>DAY(TableAopCalendar[[#This Row],[Date]])</f>
        <v>12</v>
      </c>
      <c r="F2235" s="32">
        <f>IF(TableAopCalendar[[#This Row],[Day]]&lt;8,1,IF(TableAopCalendar[[#This Row],[Day]]&lt;15,2,IF(TableAopCalendar[[#This Row],[Day]]&lt;22,3,IF(TableAopCalendar[[#This Row],[Day]]&lt;29,4,IF(TableAopCalendar[[#This Row],[Day]]&lt;32,5)))))</f>
        <v>2</v>
      </c>
      <c r="G2235" s="32" t="str">
        <f t="shared" si="121"/>
        <v>Week 2</v>
      </c>
      <c r="H2235" s="32" t="str">
        <f t="shared" si="122"/>
        <v>May 28 Week 2</v>
      </c>
      <c r="I2235" s="32" t="str">
        <f>CONCATENATE(UPPER(TableAopCalendar[[#This Row],[Month]])," ",TableAopCalendar[[#This Row],[Year]])</f>
        <v>MAY 28</v>
      </c>
      <c r="J2235" s="7" t="s">
        <v>274</v>
      </c>
      <c r="K2235" s="32" t="str">
        <f>CONCATENATE(TableAopCalendar[[#This Row],[Month for Plan]]," ",TableAopCalendar[[#This Row],[Plan]])</f>
        <v>MAY 28 PLANNED</v>
      </c>
    </row>
    <row r="2236" spans="1:11" x14ac:dyDescent="0.3">
      <c r="A2236" s="32">
        <f t="shared" si="120"/>
        <v>6</v>
      </c>
      <c r="B2236" s="33">
        <v>46886</v>
      </c>
      <c r="C2236" s="6" t="s">
        <v>265</v>
      </c>
      <c r="D2236" s="34">
        <v>28</v>
      </c>
      <c r="E2236" s="32">
        <f>DAY(TableAopCalendar[[#This Row],[Date]])</f>
        <v>13</v>
      </c>
      <c r="F2236" s="32">
        <f>IF(TableAopCalendar[[#This Row],[Day]]&lt;8,1,IF(TableAopCalendar[[#This Row],[Day]]&lt;15,2,IF(TableAopCalendar[[#This Row],[Day]]&lt;22,3,IF(TableAopCalendar[[#This Row],[Day]]&lt;29,4,IF(TableAopCalendar[[#This Row],[Day]]&lt;32,5)))))</f>
        <v>2</v>
      </c>
      <c r="G2236" s="32" t="str">
        <f t="shared" si="121"/>
        <v>Week 2</v>
      </c>
      <c r="H2236" s="32" t="str">
        <f t="shared" si="122"/>
        <v>May 28 Week 2</v>
      </c>
      <c r="I2236" s="32" t="str">
        <f>CONCATENATE(UPPER(TableAopCalendar[[#This Row],[Month]])," ",TableAopCalendar[[#This Row],[Year]])</f>
        <v>MAY 28</v>
      </c>
      <c r="J2236" s="7" t="s">
        <v>274</v>
      </c>
      <c r="K2236" s="32" t="str">
        <f>CONCATENATE(TableAopCalendar[[#This Row],[Month for Plan]]," ",TableAopCalendar[[#This Row],[Plan]])</f>
        <v>MAY 28 PLANNED</v>
      </c>
    </row>
    <row r="2237" spans="1:11" x14ac:dyDescent="0.3">
      <c r="A2237" s="32">
        <f t="shared" si="120"/>
        <v>7</v>
      </c>
      <c r="B2237" s="33">
        <v>46887</v>
      </c>
      <c r="C2237" s="6" t="s">
        <v>265</v>
      </c>
      <c r="D2237" s="34">
        <v>28</v>
      </c>
      <c r="E2237" s="32">
        <f>DAY(TableAopCalendar[[#This Row],[Date]])</f>
        <v>14</v>
      </c>
      <c r="F2237" s="32">
        <f>IF(TableAopCalendar[[#This Row],[Day]]&lt;8,1,IF(TableAopCalendar[[#This Row],[Day]]&lt;15,2,IF(TableAopCalendar[[#This Row],[Day]]&lt;22,3,IF(TableAopCalendar[[#This Row],[Day]]&lt;29,4,IF(TableAopCalendar[[#This Row],[Day]]&lt;32,5)))))</f>
        <v>2</v>
      </c>
      <c r="G2237" s="32" t="str">
        <f t="shared" si="121"/>
        <v>Week 2</v>
      </c>
      <c r="H2237" s="32" t="str">
        <f t="shared" si="122"/>
        <v>May 28 Week 2</v>
      </c>
      <c r="I2237" s="32" t="str">
        <f>CONCATENATE(UPPER(TableAopCalendar[[#This Row],[Month]])," ",TableAopCalendar[[#This Row],[Year]])</f>
        <v>MAY 28</v>
      </c>
      <c r="J2237" s="7" t="s">
        <v>274</v>
      </c>
      <c r="K2237" s="32" t="str">
        <f>CONCATENATE(TableAopCalendar[[#This Row],[Month for Plan]]," ",TableAopCalendar[[#This Row],[Plan]])</f>
        <v>MAY 28 PLANNED</v>
      </c>
    </row>
    <row r="2238" spans="1:11" x14ac:dyDescent="0.3">
      <c r="A2238" s="32">
        <f t="shared" si="120"/>
        <v>1</v>
      </c>
      <c r="B2238" s="33">
        <v>46888</v>
      </c>
      <c r="C2238" s="6" t="s">
        <v>265</v>
      </c>
      <c r="D2238" s="34">
        <v>28</v>
      </c>
      <c r="E2238" s="32">
        <f>DAY(TableAopCalendar[[#This Row],[Date]])</f>
        <v>15</v>
      </c>
      <c r="F2238" s="32">
        <f>IF(TableAopCalendar[[#This Row],[Day]]&lt;8,1,IF(TableAopCalendar[[#This Row],[Day]]&lt;15,2,IF(TableAopCalendar[[#This Row],[Day]]&lt;22,3,IF(TableAopCalendar[[#This Row],[Day]]&lt;29,4,IF(TableAopCalendar[[#This Row],[Day]]&lt;32,5)))))</f>
        <v>3</v>
      </c>
      <c r="G2238" s="32" t="str">
        <f t="shared" si="121"/>
        <v>Week 3</v>
      </c>
      <c r="H2238" s="32" t="str">
        <f t="shared" si="122"/>
        <v>May 28 Week 3</v>
      </c>
      <c r="I2238" s="32" t="str">
        <f>CONCATENATE(UPPER(TableAopCalendar[[#This Row],[Month]])," ",TableAopCalendar[[#This Row],[Year]])</f>
        <v>MAY 28</v>
      </c>
      <c r="J2238" s="7" t="s">
        <v>274</v>
      </c>
      <c r="K2238" s="32" t="str">
        <f>CONCATENATE(TableAopCalendar[[#This Row],[Month for Plan]]," ",TableAopCalendar[[#This Row],[Plan]])</f>
        <v>MAY 28 PLANNED</v>
      </c>
    </row>
    <row r="2239" spans="1:11" x14ac:dyDescent="0.3">
      <c r="A2239" s="32">
        <f t="shared" si="120"/>
        <v>2</v>
      </c>
      <c r="B2239" s="33">
        <v>46889</v>
      </c>
      <c r="C2239" s="6" t="s">
        <v>265</v>
      </c>
      <c r="D2239" s="34">
        <v>28</v>
      </c>
      <c r="E2239" s="32">
        <f>DAY(TableAopCalendar[[#This Row],[Date]])</f>
        <v>16</v>
      </c>
      <c r="F2239" s="32">
        <f>IF(TableAopCalendar[[#This Row],[Day]]&lt;8,1,IF(TableAopCalendar[[#This Row],[Day]]&lt;15,2,IF(TableAopCalendar[[#This Row],[Day]]&lt;22,3,IF(TableAopCalendar[[#This Row],[Day]]&lt;29,4,IF(TableAopCalendar[[#This Row],[Day]]&lt;32,5)))))</f>
        <v>3</v>
      </c>
      <c r="G2239" s="32" t="str">
        <f t="shared" si="121"/>
        <v>Week 3</v>
      </c>
      <c r="H2239" s="32" t="str">
        <f t="shared" si="122"/>
        <v>May 28 Week 3</v>
      </c>
      <c r="I2239" s="32" t="str">
        <f>CONCATENATE(UPPER(TableAopCalendar[[#This Row],[Month]])," ",TableAopCalendar[[#This Row],[Year]])</f>
        <v>MAY 28</v>
      </c>
      <c r="J2239" s="7" t="s">
        <v>274</v>
      </c>
      <c r="K2239" s="32" t="str">
        <f>CONCATENATE(TableAopCalendar[[#This Row],[Month for Plan]]," ",TableAopCalendar[[#This Row],[Plan]])</f>
        <v>MAY 28 PLANNED</v>
      </c>
    </row>
    <row r="2240" spans="1:11" x14ac:dyDescent="0.3">
      <c r="A2240" s="32">
        <f t="shared" si="120"/>
        <v>3</v>
      </c>
      <c r="B2240" s="33">
        <v>46890</v>
      </c>
      <c r="C2240" s="6" t="s">
        <v>265</v>
      </c>
      <c r="D2240" s="34">
        <v>28</v>
      </c>
      <c r="E2240" s="32">
        <f>DAY(TableAopCalendar[[#This Row],[Date]])</f>
        <v>17</v>
      </c>
      <c r="F2240" s="32">
        <f>IF(TableAopCalendar[[#This Row],[Day]]&lt;8,1,IF(TableAopCalendar[[#This Row],[Day]]&lt;15,2,IF(TableAopCalendar[[#This Row],[Day]]&lt;22,3,IF(TableAopCalendar[[#This Row],[Day]]&lt;29,4,IF(TableAopCalendar[[#This Row],[Day]]&lt;32,5)))))</f>
        <v>3</v>
      </c>
      <c r="G2240" s="32" t="str">
        <f t="shared" si="121"/>
        <v>Week 3</v>
      </c>
      <c r="H2240" s="32" t="str">
        <f t="shared" si="122"/>
        <v>May 28 Week 3</v>
      </c>
      <c r="I2240" s="32" t="str">
        <f>CONCATENATE(UPPER(TableAopCalendar[[#This Row],[Month]])," ",TableAopCalendar[[#This Row],[Year]])</f>
        <v>MAY 28</v>
      </c>
      <c r="J2240" s="7" t="s">
        <v>274</v>
      </c>
      <c r="K2240" s="32" t="str">
        <f>CONCATENATE(TableAopCalendar[[#This Row],[Month for Plan]]," ",TableAopCalendar[[#This Row],[Plan]])</f>
        <v>MAY 28 PLANNED</v>
      </c>
    </row>
    <row r="2241" spans="1:11" x14ac:dyDescent="0.3">
      <c r="A2241" s="32">
        <f t="shared" si="120"/>
        <v>4</v>
      </c>
      <c r="B2241" s="33">
        <v>46891</v>
      </c>
      <c r="C2241" s="6" t="s">
        <v>265</v>
      </c>
      <c r="D2241" s="34">
        <v>28</v>
      </c>
      <c r="E2241" s="32">
        <f>DAY(TableAopCalendar[[#This Row],[Date]])</f>
        <v>18</v>
      </c>
      <c r="F2241" s="32">
        <f>IF(TableAopCalendar[[#This Row],[Day]]&lt;8,1,IF(TableAopCalendar[[#This Row],[Day]]&lt;15,2,IF(TableAopCalendar[[#This Row],[Day]]&lt;22,3,IF(TableAopCalendar[[#This Row],[Day]]&lt;29,4,IF(TableAopCalendar[[#This Row],[Day]]&lt;32,5)))))</f>
        <v>3</v>
      </c>
      <c r="G2241" s="32" t="str">
        <f t="shared" si="121"/>
        <v>Week 3</v>
      </c>
      <c r="H2241" s="32" t="str">
        <f t="shared" si="122"/>
        <v>May 28 Week 3</v>
      </c>
      <c r="I2241" s="32" t="str">
        <f>CONCATENATE(UPPER(TableAopCalendar[[#This Row],[Month]])," ",TableAopCalendar[[#This Row],[Year]])</f>
        <v>MAY 28</v>
      </c>
      <c r="J2241" s="7" t="s">
        <v>274</v>
      </c>
      <c r="K2241" s="32" t="str">
        <f>CONCATENATE(TableAopCalendar[[#This Row],[Month for Plan]]," ",TableAopCalendar[[#This Row],[Plan]])</f>
        <v>MAY 28 PLANNED</v>
      </c>
    </row>
    <row r="2242" spans="1:11" x14ac:dyDescent="0.3">
      <c r="A2242" s="32">
        <f t="shared" si="120"/>
        <v>5</v>
      </c>
      <c r="B2242" s="33">
        <v>46892</v>
      </c>
      <c r="C2242" s="6" t="s">
        <v>265</v>
      </c>
      <c r="D2242" s="34">
        <v>28</v>
      </c>
      <c r="E2242" s="32">
        <f>DAY(TableAopCalendar[[#This Row],[Date]])</f>
        <v>19</v>
      </c>
      <c r="F2242" s="32">
        <f>IF(TableAopCalendar[[#This Row],[Day]]&lt;8,1,IF(TableAopCalendar[[#This Row],[Day]]&lt;15,2,IF(TableAopCalendar[[#This Row],[Day]]&lt;22,3,IF(TableAopCalendar[[#This Row],[Day]]&lt;29,4,IF(TableAopCalendar[[#This Row],[Day]]&lt;32,5)))))</f>
        <v>3</v>
      </c>
      <c r="G2242" s="32" t="str">
        <f t="shared" si="121"/>
        <v>Week 3</v>
      </c>
      <c r="H2242" s="32" t="str">
        <f t="shared" si="122"/>
        <v>May 28 Week 3</v>
      </c>
      <c r="I2242" s="32" t="str">
        <f>CONCATENATE(UPPER(TableAopCalendar[[#This Row],[Month]])," ",TableAopCalendar[[#This Row],[Year]])</f>
        <v>MAY 28</v>
      </c>
      <c r="J2242" s="7" t="s">
        <v>274</v>
      </c>
      <c r="K2242" s="32" t="str">
        <f>CONCATENATE(TableAopCalendar[[#This Row],[Month for Plan]]," ",TableAopCalendar[[#This Row],[Plan]])</f>
        <v>MAY 28 PLANNED</v>
      </c>
    </row>
    <row r="2243" spans="1:11" x14ac:dyDescent="0.3">
      <c r="A2243" s="32">
        <f t="shared" si="120"/>
        <v>6</v>
      </c>
      <c r="B2243" s="33">
        <v>46893</v>
      </c>
      <c r="C2243" s="6" t="s">
        <v>265</v>
      </c>
      <c r="D2243" s="34">
        <v>28</v>
      </c>
      <c r="E2243" s="32">
        <f>DAY(TableAopCalendar[[#This Row],[Date]])</f>
        <v>20</v>
      </c>
      <c r="F2243" s="32">
        <f>IF(TableAopCalendar[[#This Row],[Day]]&lt;8,1,IF(TableAopCalendar[[#This Row],[Day]]&lt;15,2,IF(TableAopCalendar[[#This Row],[Day]]&lt;22,3,IF(TableAopCalendar[[#This Row],[Day]]&lt;29,4,IF(TableAopCalendar[[#This Row],[Day]]&lt;32,5)))))</f>
        <v>3</v>
      </c>
      <c r="G2243" s="32" t="str">
        <f t="shared" si="121"/>
        <v>Week 3</v>
      </c>
      <c r="H2243" s="32" t="str">
        <f t="shared" si="122"/>
        <v>May 28 Week 3</v>
      </c>
      <c r="I2243" s="32" t="str">
        <f>CONCATENATE(UPPER(TableAopCalendar[[#This Row],[Month]])," ",TableAopCalendar[[#This Row],[Year]])</f>
        <v>MAY 28</v>
      </c>
      <c r="J2243" s="7" t="s">
        <v>274</v>
      </c>
      <c r="K2243" s="32" t="str">
        <f>CONCATENATE(TableAopCalendar[[#This Row],[Month for Plan]]," ",TableAopCalendar[[#This Row],[Plan]])</f>
        <v>MAY 28 PLANNED</v>
      </c>
    </row>
    <row r="2244" spans="1:11" x14ac:dyDescent="0.3">
      <c r="A2244" s="32">
        <f t="shared" si="120"/>
        <v>7</v>
      </c>
      <c r="B2244" s="33">
        <v>46894</v>
      </c>
      <c r="C2244" s="6" t="s">
        <v>265</v>
      </c>
      <c r="D2244" s="34">
        <v>28</v>
      </c>
      <c r="E2244" s="32">
        <f>DAY(TableAopCalendar[[#This Row],[Date]])</f>
        <v>21</v>
      </c>
      <c r="F2244" s="32">
        <f>IF(TableAopCalendar[[#This Row],[Day]]&lt;8,1,IF(TableAopCalendar[[#This Row],[Day]]&lt;15,2,IF(TableAopCalendar[[#This Row],[Day]]&lt;22,3,IF(TableAopCalendar[[#This Row],[Day]]&lt;29,4,IF(TableAopCalendar[[#This Row],[Day]]&lt;32,5)))))</f>
        <v>3</v>
      </c>
      <c r="G2244" s="32" t="str">
        <f t="shared" si="121"/>
        <v>Week 3</v>
      </c>
      <c r="H2244" s="32" t="str">
        <f t="shared" si="122"/>
        <v>May 28 Week 3</v>
      </c>
      <c r="I2244" s="32" t="str">
        <f>CONCATENATE(UPPER(TableAopCalendar[[#This Row],[Month]])," ",TableAopCalendar[[#This Row],[Year]])</f>
        <v>MAY 28</v>
      </c>
      <c r="J2244" s="7" t="s">
        <v>274</v>
      </c>
      <c r="K2244" s="32" t="str">
        <f>CONCATENATE(TableAopCalendar[[#This Row],[Month for Plan]]," ",TableAopCalendar[[#This Row],[Plan]])</f>
        <v>MAY 28 PLANNED</v>
      </c>
    </row>
    <row r="2245" spans="1:11" x14ac:dyDescent="0.3">
      <c r="A2245" s="32">
        <f t="shared" si="120"/>
        <v>1</v>
      </c>
      <c r="B2245" s="33">
        <v>46895</v>
      </c>
      <c r="C2245" s="6" t="s">
        <v>265</v>
      </c>
      <c r="D2245" s="34">
        <v>28</v>
      </c>
      <c r="E2245" s="32">
        <f>DAY(TableAopCalendar[[#This Row],[Date]])</f>
        <v>22</v>
      </c>
      <c r="F2245" s="32">
        <f>IF(TableAopCalendar[[#This Row],[Day]]&lt;8,1,IF(TableAopCalendar[[#This Row],[Day]]&lt;15,2,IF(TableAopCalendar[[#This Row],[Day]]&lt;22,3,IF(TableAopCalendar[[#This Row],[Day]]&lt;29,4,IF(TableAopCalendar[[#This Row],[Day]]&lt;32,5)))))</f>
        <v>4</v>
      </c>
      <c r="G2245" s="32" t="str">
        <f t="shared" si="121"/>
        <v>Week 4</v>
      </c>
      <c r="H2245" s="32" t="str">
        <f t="shared" si="122"/>
        <v>May 28 Week 4</v>
      </c>
      <c r="I2245" s="32" t="str">
        <f>CONCATENATE(UPPER(TableAopCalendar[[#This Row],[Month]])," ",TableAopCalendar[[#This Row],[Year]])</f>
        <v>MAY 28</v>
      </c>
      <c r="J2245" s="7" t="s">
        <v>274</v>
      </c>
      <c r="K2245" s="32" t="str">
        <f>CONCATENATE(TableAopCalendar[[#This Row],[Month for Plan]]," ",TableAopCalendar[[#This Row],[Plan]])</f>
        <v>MAY 28 PLANNED</v>
      </c>
    </row>
    <row r="2246" spans="1:11" x14ac:dyDescent="0.3">
      <c r="A2246" s="32">
        <f t="shared" si="120"/>
        <v>2</v>
      </c>
      <c r="B2246" s="33">
        <v>46896</v>
      </c>
      <c r="C2246" s="6" t="s">
        <v>265</v>
      </c>
      <c r="D2246" s="34">
        <v>28</v>
      </c>
      <c r="E2246" s="32">
        <f>DAY(TableAopCalendar[[#This Row],[Date]])</f>
        <v>23</v>
      </c>
      <c r="F2246" s="32">
        <f>IF(TableAopCalendar[[#This Row],[Day]]&lt;8,1,IF(TableAopCalendar[[#This Row],[Day]]&lt;15,2,IF(TableAopCalendar[[#This Row],[Day]]&lt;22,3,IF(TableAopCalendar[[#This Row],[Day]]&lt;29,4,IF(TableAopCalendar[[#This Row],[Day]]&lt;32,5)))))</f>
        <v>4</v>
      </c>
      <c r="G2246" s="32" t="str">
        <f t="shared" si="121"/>
        <v>Week 4</v>
      </c>
      <c r="H2246" s="32" t="str">
        <f t="shared" si="122"/>
        <v>May 28 Week 4</v>
      </c>
      <c r="I2246" s="32" t="str">
        <f>CONCATENATE(UPPER(TableAopCalendar[[#This Row],[Month]])," ",TableAopCalendar[[#This Row],[Year]])</f>
        <v>MAY 28</v>
      </c>
      <c r="J2246" s="7" t="s">
        <v>274</v>
      </c>
      <c r="K2246" s="32" t="str">
        <f>CONCATENATE(TableAopCalendar[[#This Row],[Month for Plan]]," ",TableAopCalendar[[#This Row],[Plan]])</f>
        <v>MAY 28 PLANNED</v>
      </c>
    </row>
    <row r="2247" spans="1:11" x14ac:dyDescent="0.3">
      <c r="A2247" s="32">
        <f t="shared" si="120"/>
        <v>3</v>
      </c>
      <c r="B2247" s="33">
        <v>46897</v>
      </c>
      <c r="C2247" s="6" t="s">
        <v>265</v>
      </c>
      <c r="D2247" s="34">
        <v>28</v>
      </c>
      <c r="E2247" s="32">
        <f>DAY(TableAopCalendar[[#This Row],[Date]])</f>
        <v>24</v>
      </c>
      <c r="F2247" s="32">
        <f>IF(TableAopCalendar[[#This Row],[Day]]&lt;8,1,IF(TableAopCalendar[[#This Row],[Day]]&lt;15,2,IF(TableAopCalendar[[#This Row],[Day]]&lt;22,3,IF(TableAopCalendar[[#This Row],[Day]]&lt;29,4,IF(TableAopCalendar[[#This Row],[Day]]&lt;32,5)))))</f>
        <v>4</v>
      </c>
      <c r="G2247" s="32" t="str">
        <f t="shared" si="121"/>
        <v>Week 4</v>
      </c>
      <c r="H2247" s="32" t="str">
        <f t="shared" si="122"/>
        <v>May 28 Week 4</v>
      </c>
      <c r="I2247" s="32" t="str">
        <f>CONCATENATE(UPPER(TableAopCalendar[[#This Row],[Month]])," ",TableAopCalendar[[#This Row],[Year]])</f>
        <v>MAY 28</v>
      </c>
      <c r="J2247" s="7" t="s">
        <v>274</v>
      </c>
      <c r="K2247" s="32" t="str">
        <f>CONCATENATE(TableAopCalendar[[#This Row],[Month for Plan]]," ",TableAopCalendar[[#This Row],[Plan]])</f>
        <v>MAY 28 PLANNED</v>
      </c>
    </row>
    <row r="2248" spans="1:11" x14ac:dyDescent="0.3">
      <c r="A2248" s="32">
        <f t="shared" si="120"/>
        <v>4</v>
      </c>
      <c r="B2248" s="33">
        <v>46898</v>
      </c>
      <c r="C2248" s="6" t="s">
        <v>265</v>
      </c>
      <c r="D2248" s="34">
        <v>28</v>
      </c>
      <c r="E2248" s="32">
        <f>DAY(TableAopCalendar[[#This Row],[Date]])</f>
        <v>25</v>
      </c>
      <c r="F2248" s="32">
        <f>IF(TableAopCalendar[[#This Row],[Day]]&lt;8,1,IF(TableAopCalendar[[#This Row],[Day]]&lt;15,2,IF(TableAopCalendar[[#This Row],[Day]]&lt;22,3,IF(TableAopCalendar[[#This Row],[Day]]&lt;29,4,IF(TableAopCalendar[[#This Row],[Day]]&lt;32,5)))))</f>
        <v>4</v>
      </c>
      <c r="G2248" s="32" t="str">
        <f t="shared" si="121"/>
        <v>Week 4</v>
      </c>
      <c r="H2248" s="32" t="str">
        <f t="shared" si="122"/>
        <v>May 28 Week 4</v>
      </c>
      <c r="I2248" s="32" t="str">
        <f>CONCATENATE(UPPER(TableAopCalendar[[#This Row],[Month]])," ",TableAopCalendar[[#This Row],[Year]])</f>
        <v>MAY 28</v>
      </c>
      <c r="J2248" s="7" t="s">
        <v>274</v>
      </c>
      <c r="K2248" s="32" t="str">
        <f>CONCATENATE(TableAopCalendar[[#This Row],[Month for Plan]]," ",TableAopCalendar[[#This Row],[Plan]])</f>
        <v>MAY 28 PLANNED</v>
      </c>
    </row>
    <row r="2249" spans="1:11" x14ac:dyDescent="0.3">
      <c r="A2249" s="32">
        <f t="shared" si="120"/>
        <v>5</v>
      </c>
      <c r="B2249" s="33">
        <v>46899</v>
      </c>
      <c r="C2249" s="6" t="s">
        <v>265</v>
      </c>
      <c r="D2249" s="34">
        <v>28</v>
      </c>
      <c r="E2249" s="32">
        <f>DAY(TableAopCalendar[[#This Row],[Date]])</f>
        <v>26</v>
      </c>
      <c r="F2249" s="32">
        <f>IF(TableAopCalendar[[#This Row],[Day]]&lt;8,1,IF(TableAopCalendar[[#This Row],[Day]]&lt;15,2,IF(TableAopCalendar[[#This Row],[Day]]&lt;22,3,IF(TableAopCalendar[[#This Row],[Day]]&lt;29,4,IF(TableAopCalendar[[#This Row],[Day]]&lt;32,5)))))</f>
        <v>4</v>
      </c>
      <c r="G2249" s="32" t="str">
        <f t="shared" si="121"/>
        <v>Week 4</v>
      </c>
      <c r="H2249" s="32" t="str">
        <f t="shared" si="122"/>
        <v>May 28 Week 4</v>
      </c>
      <c r="I2249" s="32" t="str">
        <f>CONCATENATE(UPPER(TableAopCalendar[[#This Row],[Month]])," ",TableAopCalendar[[#This Row],[Year]])</f>
        <v>MAY 28</v>
      </c>
      <c r="J2249" s="7" t="s">
        <v>274</v>
      </c>
      <c r="K2249" s="32" t="str">
        <f>CONCATENATE(TableAopCalendar[[#This Row],[Month for Plan]]," ",TableAopCalendar[[#This Row],[Plan]])</f>
        <v>MAY 28 PLANNED</v>
      </c>
    </row>
    <row r="2250" spans="1:11" x14ac:dyDescent="0.3">
      <c r="A2250" s="32">
        <f t="shared" si="120"/>
        <v>6</v>
      </c>
      <c r="B2250" s="33">
        <v>46900</v>
      </c>
      <c r="C2250" s="6" t="s">
        <v>265</v>
      </c>
      <c r="D2250" s="34">
        <v>28</v>
      </c>
      <c r="E2250" s="32">
        <f>DAY(TableAopCalendar[[#This Row],[Date]])</f>
        <v>27</v>
      </c>
      <c r="F2250" s="32">
        <f>IF(TableAopCalendar[[#This Row],[Day]]&lt;8,1,IF(TableAopCalendar[[#This Row],[Day]]&lt;15,2,IF(TableAopCalendar[[#This Row],[Day]]&lt;22,3,IF(TableAopCalendar[[#This Row],[Day]]&lt;29,4,IF(TableAopCalendar[[#This Row],[Day]]&lt;32,5)))))</f>
        <v>4</v>
      </c>
      <c r="G2250" s="32" t="str">
        <f t="shared" si="121"/>
        <v>Week 4</v>
      </c>
      <c r="H2250" s="32" t="str">
        <f t="shared" si="122"/>
        <v>May 28 Week 4</v>
      </c>
      <c r="I2250" s="32" t="str">
        <f>CONCATENATE(UPPER(TableAopCalendar[[#This Row],[Month]])," ",TableAopCalendar[[#This Row],[Year]])</f>
        <v>MAY 28</v>
      </c>
      <c r="J2250" s="7" t="s">
        <v>274</v>
      </c>
      <c r="K2250" s="32" t="str">
        <f>CONCATENATE(TableAopCalendar[[#This Row],[Month for Plan]]," ",TableAopCalendar[[#This Row],[Plan]])</f>
        <v>MAY 28 PLANNED</v>
      </c>
    </row>
    <row r="2251" spans="1:11" x14ac:dyDescent="0.3">
      <c r="A2251" s="32">
        <f t="shared" si="120"/>
        <v>7</v>
      </c>
      <c r="B2251" s="33">
        <v>46901</v>
      </c>
      <c r="C2251" s="6" t="s">
        <v>265</v>
      </c>
      <c r="D2251" s="34">
        <v>28</v>
      </c>
      <c r="E2251" s="32">
        <f>DAY(TableAopCalendar[[#This Row],[Date]])</f>
        <v>28</v>
      </c>
      <c r="F2251" s="32">
        <f>IF(TableAopCalendar[[#This Row],[Day]]&lt;8,1,IF(TableAopCalendar[[#This Row],[Day]]&lt;15,2,IF(TableAopCalendar[[#This Row],[Day]]&lt;22,3,IF(TableAopCalendar[[#This Row],[Day]]&lt;29,4,IF(TableAopCalendar[[#This Row],[Day]]&lt;32,5)))))</f>
        <v>4</v>
      </c>
      <c r="G2251" s="32" t="str">
        <f t="shared" si="121"/>
        <v>Week 4</v>
      </c>
      <c r="H2251" s="32" t="str">
        <f t="shared" si="122"/>
        <v>May 28 Week 4</v>
      </c>
      <c r="I2251" s="32" t="str">
        <f>CONCATENATE(UPPER(TableAopCalendar[[#This Row],[Month]])," ",TableAopCalendar[[#This Row],[Year]])</f>
        <v>MAY 28</v>
      </c>
      <c r="J2251" s="7" t="s">
        <v>274</v>
      </c>
      <c r="K2251" s="32" t="str">
        <f>CONCATENATE(TableAopCalendar[[#This Row],[Month for Plan]]," ",TableAopCalendar[[#This Row],[Plan]])</f>
        <v>MAY 28 PLANNED</v>
      </c>
    </row>
    <row r="2252" spans="1:11" x14ac:dyDescent="0.3">
      <c r="A2252" s="32">
        <f t="shared" si="120"/>
        <v>1</v>
      </c>
      <c r="B2252" s="33">
        <v>46902</v>
      </c>
      <c r="C2252" s="6" t="s">
        <v>265</v>
      </c>
      <c r="D2252" s="34">
        <v>28</v>
      </c>
      <c r="E2252" s="32">
        <f>DAY(TableAopCalendar[[#This Row],[Date]])</f>
        <v>29</v>
      </c>
      <c r="F2252" s="32">
        <f>IF(TableAopCalendar[[#This Row],[Day]]&lt;8,1,IF(TableAopCalendar[[#This Row],[Day]]&lt;15,2,IF(TableAopCalendar[[#This Row],[Day]]&lt;22,3,IF(TableAopCalendar[[#This Row],[Day]]&lt;29,4,IF(TableAopCalendar[[#This Row],[Day]]&lt;32,5)))))</f>
        <v>5</v>
      </c>
      <c r="G2252" s="32" t="str">
        <f t="shared" si="121"/>
        <v>Week 5</v>
      </c>
      <c r="H2252" s="32" t="str">
        <f t="shared" si="122"/>
        <v>May 28 Week 5</v>
      </c>
      <c r="I2252" s="32" t="str">
        <f>CONCATENATE(UPPER(TableAopCalendar[[#This Row],[Month]])," ",TableAopCalendar[[#This Row],[Year]])</f>
        <v>MAY 28</v>
      </c>
      <c r="J2252" s="7" t="s">
        <v>274</v>
      </c>
      <c r="K2252" s="32" t="str">
        <f>CONCATENATE(TableAopCalendar[[#This Row],[Month for Plan]]," ",TableAopCalendar[[#This Row],[Plan]])</f>
        <v>MAY 28 PLANNED</v>
      </c>
    </row>
    <row r="2253" spans="1:11" x14ac:dyDescent="0.3">
      <c r="A2253" s="32">
        <f t="shared" si="120"/>
        <v>2</v>
      </c>
      <c r="B2253" s="33">
        <v>46903</v>
      </c>
      <c r="C2253" s="6" t="s">
        <v>265</v>
      </c>
      <c r="D2253" s="34">
        <v>28</v>
      </c>
      <c r="E2253" s="32">
        <f>DAY(TableAopCalendar[[#This Row],[Date]])</f>
        <v>30</v>
      </c>
      <c r="F2253" s="32">
        <f>IF(TableAopCalendar[[#This Row],[Day]]&lt;8,1,IF(TableAopCalendar[[#This Row],[Day]]&lt;15,2,IF(TableAopCalendar[[#This Row],[Day]]&lt;22,3,IF(TableAopCalendar[[#This Row],[Day]]&lt;29,4,IF(TableAopCalendar[[#This Row],[Day]]&lt;32,5)))))</f>
        <v>5</v>
      </c>
      <c r="G2253" s="32" t="str">
        <f t="shared" si="121"/>
        <v>Week 5</v>
      </c>
      <c r="H2253" s="32" t="str">
        <f t="shared" si="122"/>
        <v>May 28 Week 5</v>
      </c>
      <c r="I2253" s="32" t="str">
        <f>CONCATENATE(UPPER(TableAopCalendar[[#This Row],[Month]])," ",TableAopCalendar[[#This Row],[Year]])</f>
        <v>MAY 28</v>
      </c>
      <c r="J2253" s="7" t="s">
        <v>274</v>
      </c>
      <c r="K2253" s="32" t="str">
        <f>CONCATENATE(TableAopCalendar[[#This Row],[Month for Plan]]," ",TableAopCalendar[[#This Row],[Plan]])</f>
        <v>MAY 28 PLANNED</v>
      </c>
    </row>
    <row r="2254" spans="1:11" x14ac:dyDescent="0.3">
      <c r="A2254" s="32">
        <f t="shared" si="120"/>
        <v>3</v>
      </c>
      <c r="B2254" s="33">
        <v>46904</v>
      </c>
      <c r="C2254" s="6" t="s">
        <v>265</v>
      </c>
      <c r="D2254" s="34">
        <v>28</v>
      </c>
      <c r="E2254" s="32">
        <f>DAY(TableAopCalendar[[#This Row],[Date]])</f>
        <v>31</v>
      </c>
      <c r="F2254" s="32">
        <f>IF(TableAopCalendar[[#This Row],[Day]]&lt;8,1,IF(TableAopCalendar[[#This Row],[Day]]&lt;15,2,IF(TableAopCalendar[[#This Row],[Day]]&lt;22,3,IF(TableAopCalendar[[#This Row],[Day]]&lt;29,4,IF(TableAopCalendar[[#This Row],[Day]]&lt;32,5)))))</f>
        <v>5</v>
      </c>
      <c r="G2254" s="32" t="str">
        <f t="shared" si="121"/>
        <v>Week 5</v>
      </c>
      <c r="H2254" s="32" t="str">
        <f t="shared" si="122"/>
        <v>May 28 Week 5</v>
      </c>
      <c r="I2254" s="32" t="str">
        <f>CONCATENATE(UPPER(TableAopCalendar[[#This Row],[Month]])," ",TableAopCalendar[[#This Row],[Year]])</f>
        <v>MAY 28</v>
      </c>
      <c r="J2254" s="7" t="s">
        <v>274</v>
      </c>
      <c r="K2254" s="32" t="str">
        <f>CONCATENATE(TableAopCalendar[[#This Row],[Month for Plan]]," ",TableAopCalendar[[#This Row],[Plan]])</f>
        <v>MAY 28 PLANNED</v>
      </c>
    </row>
    <row r="2255" spans="1:11" x14ac:dyDescent="0.3">
      <c r="A2255" s="32">
        <f t="shared" si="120"/>
        <v>1</v>
      </c>
      <c r="B2255" s="33">
        <v>46905</v>
      </c>
      <c r="C2255" s="6" t="s">
        <v>266</v>
      </c>
      <c r="D2255" s="34">
        <v>28</v>
      </c>
      <c r="E2255" s="32">
        <f>DAY(TableAopCalendar[[#This Row],[Date]])</f>
        <v>1</v>
      </c>
      <c r="F2255" s="32">
        <f>IF(TableAopCalendar[[#This Row],[Day]]&lt;8,1,IF(TableAopCalendar[[#This Row],[Day]]&lt;15,2,IF(TableAopCalendar[[#This Row],[Day]]&lt;22,3,IF(TableAopCalendar[[#This Row],[Day]]&lt;29,4,IF(TableAopCalendar[[#This Row],[Day]]&lt;32,5)))))</f>
        <v>1</v>
      </c>
      <c r="G2255" s="32" t="str">
        <f t="shared" si="121"/>
        <v>Week 1</v>
      </c>
      <c r="H2255" s="32" t="str">
        <f t="shared" si="122"/>
        <v>June 28 Week 1</v>
      </c>
      <c r="I2255" s="32" t="str">
        <f>CONCATENATE(UPPER(TableAopCalendar[[#This Row],[Month]])," ",TableAopCalendar[[#This Row],[Year]])</f>
        <v>JUNE 28</v>
      </c>
      <c r="J2255" s="7" t="s">
        <v>274</v>
      </c>
      <c r="K2255" s="32" t="str">
        <f>CONCATENATE(TableAopCalendar[[#This Row],[Month for Plan]]," ",TableAopCalendar[[#This Row],[Plan]])</f>
        <v>JUNE 28 PLANNED</v>
      </c>
    </row>
    <row r="2256" spans="1:11" x14ac:dyDescent="0.3">
      <c r="A2256" s="32">
        <f t="shared" si="120"/>
        <v>2</v>
      </c>
      <c r="B2256" s="33">
        <v>46906</v>
      </c>
      <c r="C2256" s="6" t="s">
        <v>266</v>
      </c>
      <c r="D2256" s="34">
        <v>28</v>
      </c>
      <c r="E2256" s="32">
        <f>DAY(TableAopCalendar[[#This Row],[Date]])</f>
        <v>2</v>
      </c>
      <c r="F2256" s="32">
        <f>IF(TableAopCalendar[[#This Row],[Day]]&lt;8,1,IF(TableAopCalendar[[#This Row],[Day]]&lt;15,2,IF(TableAopCalendar[[#This Row],[Day]]&lt;22,3,IF(TableAopCalendar[[#This Row],[Day]]&lt;29,4,IF(TableAopCalendar[[#This Row],[Day]]&lt;32,5)))))</f>
        <v>1</v>
      </c>
      <c r="G2256" s="32" t="str">
        <f t="shared" si="121"/>
        <v>Week 1</v>
      </c>
      <c r="H2256" s="32" t="str">
        <f t="shared" si="122"/>
        <v>June 28 Week 1</v>
      </c>
      <c r="I2256" s="32" t="str">
        <f>CONCATENATE(UPPER(TableAopCalendar[[#This Row],[Month]])," ",TableAopCalendar[[#This Row],[Year]])</f>
        <v>JUNE 28</v>
      </c>
      <c r="J2256" s="7" t="s">
        <v>274</v>
      </c>
      <c r="K2256" s="32" t="str">
        <f>CONCATENATE(TableAopCalendar[[#This Row],[Month for Plan]]," ",TableAopCalendar[[#This Row],[Plan]])</f>
        <v>JUNE 28 PLANNED</v>
      </c>
    </row>
    <row r="2257" spans="1:11" x14ac:dyDescent="0.3">
      <c r="A2257" s="32">
        <f t="shared" si="120"/>
        <v>3</v>
      </c>
      <c r="B2257" s="33">
        <v>46907</v>
      </c>
      <c r="C2257" s="6" t="s">
        <v>266</v>
      </c>
      <c r="D2257" s="34">
        <v>28</v>
      </c>
      <c r="E2257" s="32">
        <f>DAY(TableAopCalendar[[#This Row],[Date]])</f>
        <v>3</v>
      </c>
      <c r="F2257" s="32">
        <f>IF(TableAopCalendar[[#This Row],[Day]]&lt;8,1,IF(TableAopCalendar[[#This Row],[Day]]&lt;15,2,IF(TableAopCalendar[[#This Row],[Day]]&lt;22,3,IF(TableAopCalendar[[#This Row],[Day]]&lt;29,4,IF(TableAopCalendar[[#This Row],[Day]]&lt;32,5)))))</f>
        <v>1</v>
      </c>
      <c r="G2257" s="32" t="str">
        <f t="shared" si="121"/>
        <v>Week 1</v>
      </c>
      <c r="H2257" s="32" t="str">
        <f t="shared" si="122"/>
        <v>June 28 Week 1</v>
      </c>
      <c r="I2257" s="32" t="str">
        <f>CONCATENATE(UPPER(TableAopCalendar[[#This Row],[Month]])," ",TableAopCalendar[[#This Row],[Year]])</f>
        <v>JUNE 28</v>
      </c>
      <c r="J2257" s="7" t="s">
        <v>274</v>
      </c>
      <c r="K2257" s="32" t="str">
        <f>CONCATENATE(TableAopCalendar[[#This Row],[Month for Plan]]," ",TableAopCalendar[[#This Row],[Plan]])</f>
        <v>JUNE 28 PLANNED</v>
      </c>
    </row>
    <row r="2258" spans="1:11" x14ac:dyDescent="0.3">
      <c r="A2258" s="32">
        <f t="shared" si="120"/>
        <v>4</v>
      </c>
      <c r="B2258" s="33">
        <v>46908</v>
      </c>
      <c r="C2258" s="6" t="s">
        <v>266</v>
      </c>
      <c r="D2258" s="34">
        <v>28</v>
      </c>
      <c r="E2258" s="32">
        <f>DAY(TableAopCalendar[[#This Row],[Date]])</f>
        <v>4</v>
      </c>
      <c r="F2258" s="32">
        <f>IF(TableAopCalendar[[#This Row],[Day]]&lt;8,1,IF(TableAopCalendar[[#This Row],[Day]]&lt;15,2,IF(TableAopCalendar[[#This Row],[Day]]&lt;22,3,IF(TableAopCalendar[[#This Row],[Day]]&lt;29,4,IF(TableAopCalendar[[#This Row],[Day]]&lt;32,5)))))</f>
        <v>1</v>
      </c>
      <c r="G2258" s="32" t="str">
        <f t="shared" si="121"/>
        <v>Week 1</v>
      </c>
      <c r="H2258" s="32" t="str">
        <f t="shared" si="122"/>
        <v>June 28 Week 1</v>
      </c>
      <c r="I2258" s="32" t="str">
        <f>CONCATENATE(UPPER(TableAopCalendar[[#This Row],[Month]])," ",TableAopCalendar[[#This Row],[Year]])</f>
        <v>JUNE 28</v>
      </c>
      <c r="J2258" s="7" t="s">
        <v>274</v>
      </c>
      <c r="K2258" s="32" t="str">
        <f>CONCATENATE(TableAopCalendar[[#This Row],[Month for Plan]]," ",TableAopCalendar[[#This Row],[Plan]])</f>
        <v>JUNE 28 PLANNED</v>
      </c>
    </row>
    <row r="2259" spans="1:11" x14ac:dyDescent="0.3">
      <c r="A2259" s="32">
        <f t="shared" si="120"/>
        <v>5</v>
      </c>
      <c r="B2259" s="33">
        <v>46909</v>
      </c>
      <c r="C2259" s="6" t="s">
        <v>266</v>
      </c>
      <c r="D2259" s="34">
        <v>28</v>
      </c>
      <c r="E2259" s="32">
        <f>DAY(TableAopCalendar[[#This Row],[Date]])</f>
        <v>5</v>
      </c>
      <c r="F2259" s="32">
        <f>IF(TableAopCalendar[[#This Row],[Day]]&lt;8,1,IF(TableAopCalendar[[#This Row],[Day]]&lt;15,2,IF(TableAopCalendar[[#This Row],[Day]]&lt;22,3,IF(TableAopCalendar[[#This Row],[Day]]&lt;29,4,IF(TableAopCalendar[[#This Row],[Day]]&lt;32,5)))))</f>
        <v>1</v>
      </c>
      <c r="G2259" s="32" t="str">
        <f t="shared" si="121"/>
        <v>Week 1</v>
      </c>
      <c r="H2259" s="32" t="str">
        <f t="shared" si="122"/>
        <v>June 28 Week 1</v>
      </c>
      <c r="I2259" s="32" t="str">
        <f>CONCATENATE(UPPER(TableAopCalendar[[#This Row],[Month]])," ",TableAopCalendar[[#This Row],[Year]])</f>
        <v>JUNE 28</v>
      </c>
      <c r="J2259" s="7" t="s">
        <v>274</v>
      </c>
      <c r="K2259" s="32" t="str">
        <f>CONCATENATE(TableAopCalendar[[#This Row],[Month for Plan]]," ",TableAopCalendar[[#This Row],[Plan]])</f>
        <v>JUNE 28 PLANNED</v>
      </c>
    </row>
    <row r="2260" spans="1:11" x14ac:dyDescent="0.3">
      <c r="A2260" s="32">
        <f t="shared" si="120"/>
        <v>6</v>
      </c>
      <c r="B2260" s="33">
        <v>46910</v>
      </c>
      <c r="C2260" s="6" t="s">
        <v>266</v>
      </c>
      <c r="D2260" s="34">
        <v>28</v>
      </c>
      <c r="E2260" s="32">
        <f>DAY(TableAopCalendar[[#This Row],[Date]])</f>
        <v>6</v>
      </c>
      <c r="F2260" s="32">
        <f>IF(TableAopCalendar[[#This Row],[Day]]&lt;8,1,IF(TableAopCalendar[[#This Row],[Day]]&lt;15,2,IF(TableAopCalendar[[#This Row],[Day]]&lt;22,3,IF(TableAopCalendar[[#This Row],[Day]]&lt;29,4,IF(TableAopCalendar[[#This Row],[Day]]&lt;32,5)))))</f>
        <v>1</v>
      </c>
      <c r="G2260" s="32" t="str">
        <f t="shared" si="121"/>
        <v>Week 1</v>
      </c>
      <c r="H2260" s="32" t="str">
        <f t="shared" si="122"/>
        <v>June 28 Week 1</v>
      </c>
      <c r="I2260" s="32" t="str">
        <f>CONCATENATE(UPPER(TableAopCalendar[[#This Row],[Month]])," ",TableAopCalendar[[#This Row],[Year]])</f>
        <v>JUNE 28</v>
      </c>
      <c r="J2260" s="7" t="s">
        <v>274</v>
      </c>
      <c r="K2260" s="32" t="str">
        <f>CONCATENATE(TableAopCalendar[[#This Row],[Month for Plan]]," ",TableAopCalendar[[#This Row],[Plan]])</f>
        <v>JUNE 28 PLANNED</v>
      </c>
    </row>
    <row r="2261" spans="1:11" x14ac:dyDescent="0.3">
      <c r="A2261" s="32">
        <f t="shared" si="120"/>
        <v>7</v>
      </c>
      <c r="B2261" s="33">
        <v>46911</v>
      </c>
      <c r="C2261" s="6" t="s">
        <v>266</v>
      </c>
      <c r="D2261" s="34">
        <v>28</v>
      </c>
      <c r="E2261" s="32">
        <f>DAY(TableAopCalendar[[#This Row],[Date]])</f>
        <v>7</v>
      </c>
      <c r="F2261" s="32">
        <f>IF(TableAopCalendar[[#This Row],[Day]]&lt;8,1,IF(TableAopCalendar[[#This Row],[Day]]&lt;15,2,IF(TableAopCalendar[[#This Row],[Day]]&lt;22,3,IF(TableAopCalendar[[#This Row],[Day]]&lt;29,4,IF(TableAopCalendar[[#This Row],[Day]]&lt;32,5)))))</f>
        <v>1</v>
      </c>
      <c r="G2261" s="32" t="str">
        <f t="shared" si="121"/>
        <v>Week 1</v>
      </c>
      <c r="H2261" s="32" t="str">
        <f t="shared" si="122"/>
        <v>June 28 Week 1</v>
      </c>
      <c r="I2261" s="32" t="str">
        <f>CONCATENATE(UPPER(TableAopCalendar[[#This Row],[Month]])," ",TableAopCalendar[[#This Row],[Year]])</f>
        <v>JUNE 28</v>
      </c>
      <c r="J2261" s="7" t="s">
        <v>274</v>
      </c>
      <c r="K2261" s="32" t="str">
        <f>CONCATENATE(TableAopCalendar[[#This Row],[Month for Plan]]," ",TableAopCalendar[[#This Row],[Plan]])</f>
        <v>JUNE 28 PLANNED</v>
      </c>
    </row>
    <row r="2262" spans="1:11" x14ac:dyDescent="0.3">
      <c r="A2262" s="32">
        <f t="shared" si="120"/>
        <v>1</v>
      </c>
      <c r="B2262" s="33">
        <v>46912</v>
      </c>
      <c r="C2262" s="6" t="s">
        <v>266</v>
      </c>
      <c r="D2262" s="34">
        <v>28</v>
      </c>
      <c r="E2262" s="32">
        <f>DAY(TableAopCalendar[[#This Row],[Date]])</f>
        <v>8</v>
      </c>
      <c r="F2262" s="32">
        <f>IF(TableAopCalendar[[#This Row],[Day]]&lt;8,1,IF(TableAopCalendar[[#This Row],[Day]]&lt;15,2,IF(TableAopCalendar[[#This Row],[Day]]&lt;22,3,IF(TableAopCalendar[[#This Row],[Day]]&lt;29,4,IF(TableAopCalendar[[#This Row],[Day]]&lt;32,5)))))</f>
        <v>2</v>
      </c>
      <c r="G2262" s="32" t="str">
        <f t="shared" si="121"/>
        <v>Week 2</v>
      </c>
      <c r="H2262" s="32" t="str">
        <f t="shared" si="122"/>
        <v>June 28 Week 2</v>
      </c>
      <c r="I2262" s="32" t="str">
        <f>CONCATENATE(UPPER(TableAopCalendar[[#This Row],[Month]])," ",TableAopCalendar[[#This Row],[Year]])</f>
        <v>JUNE 28</v>
      </c>
      <c r="J2262" s="7" t="s">
        <v>274</v>
      </c>
      <c r="K2262" s="32" t="str">
        <f>CONCATENATE(TableAopCalendar[[#This Row],[Month for Plan]]," ",TableAopCalendar[[#This Row],[Plan]])</f>
        <v>JUNE 28 PLANNED</v>
      </c>
    </row>
    <row r="2263" spans="1:11" x14ac:dyDescent="0.3">
      <c r="A2263" s="32">
        <f t="shared" si="120"/>
        <v>2</v>
      </c>
      <c r="B2263" s="33">
        <v>46913</v>
      </c>
      <c r="C2263" s="6" t="s">
        <v>266</v>
      </c>
      <c r="D2263" s="34">
        <v>28</v>
      </c>
      <c r="E2263" s="32">
        <f>DAY(TableAopCalendar[[#This Row],[Date]])</f>
        <v>9</v>
      </c>
      <c r="F2263" s="32">
        <f>IF(TableAopCalendar[[#This Row],[Day]]&lt;8,1,IF(TableAopCalendar[[#This Row],[Day]]&lt;15,2,IF(TableAopCalendar[[#This Row],[Day]]&lt;22,3,IF(TableAopCalendar[[#This Row],[Day]]&lt;29,4,IF(TableAopCalendar[[#This Row],[Day]]&lt;32,5)))))</f>
        <v>2</v>
      </c>
      <c r="G2263" s="32" t="str">
        <f t="shared" si="121"/>
        <v>Week 2</v>
      </c>
      <c r="H2263" s="32" t="str">
        <f t="shared" si="122"/>
        <v>June 28 Week 2</v>
      </c>
      <c r="I2263" s="32" t="str">
        <f>CONCATENATE(UPPER(TableAopCalendar[[#This Row],[Month]])," ",TableAopCalendar[[#This Row],[Year]])</f>
        <v>JUNE 28</v>
      </c>
      <c r="J2263" s="7" t="s">
        <v>274</v>
      </c>
      <c r="K2263" s="32" t="str">
        <f>CONCATENATE(TableAopCalendar[[#This Row],[Month for Plan]]," ",TableAopCalendar[[#This Row],[Plan]])</f>
        <v>JUNE 28 PLANNED</v>
      </c>
    </row>
    <row r="2264" spans="1:11" x14ac:dyDescent="0.3">
      <c r="A2264" s="32">
        <f t="shared" si="120"/>
        <v>3</v>
      </c>
      <c r="B2264" s="33">
        <v>46914</v>
      </c>
      <c r="C2264" s="6" t="s">
        <v>266</v>
      </c>
      <c r="D2264" s="34">
        <v>28</v>
      </c>
      <c r="E2264" s="32">
        <f>DAY(TableAopCalendar[[#This Row],[Date]])</f>
        <v>10</v>
      </c>
      <c r="F2264" s="32">
        <f>IF(TableAopCalendar[[#This Row],[Day]]&lt;8,1,IF(TableAopCalendar[[#This Row],[Day]]&lt;15,2,IF(TableAopCalendar[[#This Row],[Day]]&lt;22,3,IF(TableAopCalendar[[#This Row],[Day]]&lt;29,4,IF(TableAopCalendar[[#This Row],[Day]]&lt;32,5)))))</f>
        <v>2</v>
      </c>
      <c r="G2264" s="32" t="str">
        <f t="shared" si="121"/>
        <v>Week 2</v>
      </c>
      <c r="H2264" s="32" t="str">
        <f t="shared" si="122"/>
        <v>June 28 Week 2</v>
      </c>
      <c r="I2264" s="32" t="str">
        <f>CONCATENATE(UPPER(TableAopCalendar[[#This Row],[Month]])," ",TableAopCalendar[[#This Row],[Year]])</f>
        <v>JUNE 28</v>
      </c>
      <c r="J2264" s="7" t="s">
        <v>274</v>
      </c>
      <c r="K2264" s="32" t="str">
        <f>CONCATENATE(TableAopCalendar[[#This Row],[Month for Plan]]," ",TableAopCalendar[[#This Row],[Plan]])</f>
        <v>JUNE 28 PLANNED</v>
      </c>
    </row>
    <row r="2265" spans="1:11" x14ac:dyDescent="0.3">
      <c r="A2265" s="32">
        <f t="shared" si="120"/>
        <v>4</v>
      </c>
      <c r="B2265" s="33">
        <v>46915</v>
      </c>
      <c r="C2265" s="6" t="s">
        <v>266</v>
      </c>
      <c r="D2265" s="34">
        <v>28</v>
      </c>
      <c r="E2265" s="32">
        <f>DAY(TableAopCalendar[[#This Row],[Date]])</f>
        <v>11</v>
      </c>
      <c r="F2265" s="32">
        <f>IF(TableAopCalendar[[#This Row],[Day]]&lt;8,1,IF(TableAopCalendar[[#This Row],[Day]]&lt;15,2,IF(TableAopCalendar[[#This Row],[Day]]&lt;22,3,IF(TableAopCalendar[[#This Row],[Day]]&lt;29,4,IF(TableAopCalendar[[#This Row],[Day]]&lt;32,5)))))</f>
        <v>2</v>
      </c>
      <c r="G2265" s="32" t="str">
        <f t="shared" si="121"/>
        <v>Week 2</v>
      </c>
      <c r="H2265" s="32" t="str">
        <f t="shared" si="122"/>
        <v>June 28 Week 2</v>
      </c>
      <c r="I2265" s="32" t="str">
        <f>CONCATENATE(UPPER(TableAopCalendar[[#This Row],[Month]])," ",TableAopCalendar[[#This Row],[Year]])</f>
        <v>JUNE 28</v>
      </c>
      <c r="J2265" s="7" t="s">
        <v>274</v>
      </c>
      <c r="K2265" s="32" t="str">
        <f>CONCATENATE(TableAopCalendar[[#This Row],[Month for Plan]]," ",TableAopCalendar[[#This Row],[Plan]])</f>
        <v>JUNE 28 PLANNED</v>
      </c>
    </row>
    <row r="2266" spans="1:11" x14ac:dyDescent="0.3">
      <c r="A2266" s="32">
        <f t="shared" si="120"/>
        <v>5</v>
      </c>
      <c r="B2266" s="33">
        <v>46916</v>
      </c>
      <c r="C2266" s="6" t="s">
        <v>266</v>
      </c>
      <c r="D2266" s="34">
        <v>28</v>
      </c>
      <c r="E2266" s="32">
        <f>DAY(TableAopCalendar[[#This Row],[Date]])</f>
        <v>12</v>
      </c>
      <c r="F2266" s="32">
        <f>IF(TableAopCalendar[[#This Row],[Day]]&lt;8,1,IF(TableAopCalendar[[#This Row],[Day]]&lt;15,2,IF(TableAopCalendar[[#This Row],[Day]]&lt;22,3,IF(TableAopCalendar[[#This Row],[Day]]&lt;29,4,IF(TableAopCalendar[[#This Row],[Day]]&lt;32,5)))))</f>
        <v>2</v>
      </c>
      <c r="G2266" s="32" t="str">
        <f t="shared" si="121"/>
        <v>Week 2</v>
      </c>
      <c r="H2266" s="32" t="str">
        <f t="shared" si="122"/>
        <v>June 28 Week 2</v>
      </c>
      <c r="I2266" s="32" t="str">
        <f>CONCATENATE(UPPER(TableAopCalendar[[#This Row],[Month]])," ",TableAopCalendar[[#This Row],[Year]])</f>
        <v>JUNE 28</v>
      </c>
      <c r="J2266" s="7" t="s">
        <v>274</v>
      </c>
      <c r="K2266" s="32" t="str">
        <f>CONCATENATE(TableAopCalendar[[#This Row],[Month for Plan]]," ",TableAopCalendar[[#This Row],[Plan]])</f>
        <v>JUNE 28 PLANNED</v>
      </c>
    </row>
    <row r="2267" spans="1:11" x14ac:dyDescent="0.3">
      <c r="A2267" s="32">
        <f t="shared" si="120"/>
        <v>6</v>
      </c>
      <c r="B2267" s="33">
        <v>46917</v>
      </c>
      <c r="C2267" s="6" t="s">
        <v>266</v>
      </c>
      <c r="D2267" s="34">
        <v>28</v>
      </c>
      <c r="E2267" s="32">
        <f>DAY(TableAopCalendar[[#This Row],[Date]])</f>
        <v>13</v>
      </c>
      <c r="F2267" s="32">
        <f>IF(TableAopCalendar[[#This Row],[Day]]&lt;8,1,IF(TableAopCalendar[[#This Row],[Day]]&lt;15,2,IF(TableAopCalendar[[#This Row],[Day]]&lt;22,3,IF(TableAopCalendar[[#This Row],[Day]]&lt;29,4,IF(TableAopCalendar[[#This Row],[Day]]&lt;32,5)))))</f>
        <v>2</v>
      </c>
      <c r="G2267" s="32" t="str">
        <f t="shared" si="121"/>
        <v>Week 2</v>
      </c>
      <c r="H2267" s="32" t="str">
        <f t="shared" si="122"/>
        <v>June 28 Week 2</v>
      </c>
      <c r="I2267" s="32" t="str">
        <f>CONCATENATE(UPPER(TableAopCalendar[[#This Row],[Month]])," ",TableAopCalendar[[#This Row],[Year]])</f>
        <v>JUNE 28</v>
      </c>
      <c r="J2267" s="7" t="s">
        <v>274</v>
      </c>
      <c r="K2267" s="32" t="str">
        <f>CONCATENATE(TableAopCalendar[[#This Row],[Month for Plan]]," ",TableAopCalendar[[#This Row],[Plan]])</f>
        <v>JUNE 28 PLANNED</v>
      </c>
    </row>
    <row r="2268" spans="1:11" x14ac:dyDescent="0.3">
      <c r="A2268" s="32">
        <f t="shared" si="120"/>
        <v>7</v>
      </c>
      <c r="B2268" s="33">
        <v>46918</v>
      </c>
      <c r="C2268" s="6" t="s">
        <v>266</v>
      </c>
      <c r="D2268" s="34">
        <v>28</v>
      </c>
      <c r="E2268" s="32">
        <f>DAY(TableAopCalendar[[#This Row],[Date]])</f>
        <v>14</v>
      </c>
      <c r="F2268" s="32">
        <f>IF(TableAopCalendar[[#This Row],[Day]]&lt;8,1,IF(TableAopCalendar[[#This Row],[Day]]&lt;15,2,IF(TableAopCalendar[[#This Row],[Day]]&lt;22,3,IF(TableAopCalendar[[#This Row],[Day]]&lt;29,4,IF(TableAopCalendar[[#This Row],[Day]]&lt;32,5)))))</f>
        <v>2</v>
      </c>
      <c r="G2268" s="32" t="str">
        <f t="shared" si="121"/>
        <v>Week 2</v>
      </c>
      <c r="H2268" s="32" t="str">
        <f t="shared" si="122"/>
        <v>June 28 Week 2</v>
      </c>
      <c r="I2268" s="32" t="str">
        <f>CONCATENATE(UPPER(TableAopCalendar[[#This Row],[Month]])," ",TableAopCalendar[[#This Row],[Year]])</f>
        <v>JUNE 28</v>
      </c>
      <c r="J2268" s="7" t="s">
        <v>274</v>
      </c>
      <c r="K2268" s="32" t="str">
        <f>CONCATENATE(TableAopCalendar[[#This Row],[Month for Plan]]," ",TableAopCalendar[[#This Row],[Plan]])</f>
        <v>JUNE 28 PLANNED</v>
      </c>
    </row>
    <row r="2269" spans="1:11" x14ac:dyDescent="0.3">
      <c r="A2269" s="32">
        <f t="shared" si="120"/>
        <v>1</v>
      </c>
      <c r="B2269" s="33">
        <v>46919</v>
      </c>
      <c r="C2269" s="6" t="s">
        <v>266</v>
      </c>
      <c r="D2269" s="34">
        <v>28</v>
      </c>
      <c r="E2269" s="32">
        <f>DAY(TableAopCalendar[[#This Row],[Date]])</f>
        <v>15</v>
      </c>
      <c r="F2269" s="32">
        <f>IF(TableAopCalendar[[#This Row],[Day]]&lt;8,1,IF(TableAopCalendar[[#This Row],[Day]]&lt;15,2,IF(TableAopCalendar[[#This Row],[Day]]&lt;22,3,IF(TableAopCalendar[[#This Row],[Day]]&lt;29,4,IF(TableAopCalendar[[#This Row],[Day]]&lt;32,5)))))</f>
        <v>3</v>
      </c>
      <c r="G2269" s="32" t="str">
        <f t="shared" si="121"/>
        <v>Week 3</v>
      </c>
      <c r="H2269" s="32" t="str">
        <f t="shared" si="122"/>
        <v>June 28 Week 3</v>
      </c>
      <c r="I2269" s="32" t="str">
        <f>CONCATENATE(UPPER(TableAopCalendar[[#This Row],[Month]])," ",TableAopCalendar[[#This Row],[Year]])</f>
        <v>JUNE 28</v>
      </c>
      <c r="J2269" s="7" t="s">
        <v>274</v>
      </c>
      <c r="K2269" s="32" t="str">
        <f>CONCATENATE(TableAopCalendar[[#This Row],[Month for Plan]]," ",TableAopCalendar[[#This Row],[Plan]])</f>
        <v>JUNE 28 PLANNED</v>
      </c>
    </row>
    <row r="2270" spans="1:11" x14ac:dyDescent="0.3">
      <c r="A2270" s="32">
        <f t="shared" si="120"/>
        <v>2</v>
      </c>
      <c r="B2270" s="33">
        <v>46920</v>
      </c>
      <c r="C2270" s="6" t="s">
        <v>266</v>
      </c>
      <c r="D2270" s="34">
        <v>28</v>
      </c>
      <c r="E2270" s="32">
        <f>DAY(TableAopCalendar[[#This Row],[Date]])</f>
        <v>16</v>
      </c>
      <c r="F2270" s="32">
        <f>IF(TableAopCalendar[[#This Row],[Day]]&lt;8,1,IF(TableAopCalendar[[#This Row],[Day]]&lt;15,2,IF(TableAopCalendar[[#This Row],[Day]]&lt;22,3,IF(TableAopCalendar[[#This Row],[Day]]&lt;29,4,IF(TableAopCalendar[[#This Row],[Day]]&lt;32,5)))))</f>
        <v>3</v>
      </c>
      <c r="G2270" s="32" t="str">
        <f t="shared" si="121"/>
        <v>Week 3</v>
      </c>
      <c r="H2270" s="32" t="str">
        <f t="shared" si="122"/>
        <v>June 28 Week 3</v>
      </c>
      <c r="I2270" s="32" t="str">
        <f>CONCATENATE(UPPER(TableAopCalendar[[#This Row],[Month]])," ",TableAopCalendar[[#This Row],[Year]])</f>
        <v>JUNE 28</v>
      </c>
      <c r="J2270" s="7" t="s">
        <v>274</v>
      </c>
      <c r="K2270" s="32" t="str">
        <f>CONCATENATE(TableAopCalendar[[#This Row],[Month for Plan]]," ",TableAopCalendar[[#This Row],[Plan]])</f>
        <v>JUNE 28 PLANNED</v>
      </c>
    </row>
    <row r="2271" spans="1:11" x14ac:dyDescent="0.3">
      <c r="A2271" s="32">
        <f t="shared" si="120"/>
        <v>3</v>
      </c>
      <c r="B2271" s="33">
        <v>46921</v>
      </c>
      <c r="C2271" s="6" t="s">
        <v>266</v>
      </c>
      <c r="D2271" s="34">
        <v>28</v>
      </c>
      <c r="E2271" s="32">
        <f>DAY(TableAopCalendar[[#This Row],[Date]])</f>
        <v>17</v>
      </c>
      <c r="F2271" s="32">
        <f>IF(TableAopCalendar[[#This Row],[Day]]&lt;8,1,IF(TableAopCalendar[[#This Row],[Day]]&lt;15,2,IF(TableAopCalendar[[#This Row],[Day]]&lt;22,3,IF(TableAopCalendar[[#This Row],[Day]]&lt;29,4,IF(TableAopCalendar[[#This Row],[Day]]&lt;32,5)))))</f>
        <v>3</v>
      </c>
      <c r="G2271" s="32" t="str">
        <f t="shared" si="121"/>
        <v>Week 3</v>
      </c>
      <c r="H2271" s="32" t="str">
        <f t="shared" si="122"/>
        <v>June 28 Week 3</v>
      </c>
      <c r="I2271" s="32" t="str">
        <f>CONCATENATE(UPPER(TableAopCalendar[[#This Row],[Month]])," ",TableAopCalendar[[#This Row],[Year]])</f>
        <v>JUNE 28</v>
      </c>
      <c r="J2271" s="7" t="s">
        <v>274</v>
      </c>
      <c r="K2271" s="32" t="str">
        <f>CONCATENATE(TableAopCalendar[[#This Row],[Month for Plan]]," ",TableAopCalendar[[#This Row],[Plan]])</f>
        <v>JUNE 28 PLANNED</v>
      </c>
    </row>
    <row r="2272" spans="1:11" x14ac:dyDescent="0.3">
      <c r="A2272" s="32">
        <f t="shared" si="120"/>
        <v>4</v>
      </c>
      <c r="B2272" s="33">
        <v>46922</v>
      </c>
      <c r="C2272" s="6" t="s">
        <v>266</v>
      </c>
      <c r="D2272" s="34">
        <v>28</v>
      </c>
      <c r="E2272" s="32">
        <f>DAY(TableAopCalendar[[#This Row],[Date]])</f>
        <v>18</v>
      </c>
      <c r="F2272" s="32">
        <f>IF(TableAopCalendar[[#This Row],[Day]]&lt;8,1,IF(TableAopCalendar[[#This Row],[Day]]&lt;15,2,IF(TableAopCalendar[[#This Row],[Day]]&lt;22,3,IF(TableAopCalendar[[#This Row],[Day]]&lt;29,4,IF(TableAopCalendar[[#This Row],[Day]]&lt;32,5)))))</f>
        <v>3</v>
      </c>
      <c r="G2272" s="32" t="str">
        <f t="shared" si="121"/>
        <v>Week 3</v>
      </c>
      <c r="H2272" s="32" t="str">
        <f t="shared" si="122"/>
        <v>June 28 Week 3</v>
      </c>
      <c r="I2272" s="32" t="str">
        <f>CONCATENATE(UPPER(TableAopCalendar[[#This Row],[Month]])," ",TableAopCalendar[[#This Row],[Year]])</f>
        <v>JUNE 28</v>
      </c>
      <c r="J2272" s="7" t="s">
        <v>274</v>
      </c>
      <c r="K2272" s="32" t="str">
        <f>CONCATENATE(TableAopCalendar[[#This Row],[Month for Plan]]," ",TableAopCalendar[[#This Row],[Plan]])</f>
        <v>JUNE 28 PLANNED</v>
      </c>
    </row>
    <row r="2273" spans="1:11" x14ac:dyDescent="0.3">
      <c r="A2273" s="32">
        <f t="shared" si="120"/>
        <v>5</v>
      </c>
      <c r="B2273" s="33">
        <v>46923</v>
      </c>
      <c r="C2273" s="6" t="s">
        <v>266</v>
      </c>
      <c r="D2273" s="34">
        <v>28</v>
      </c>
      <c r="E2273" s="32">
        <f>DAY(TableAopCalendar[[#This Row],[Date]])</f>
        <v>19</v>
      </c>
      <c r="F2273" s="32">
        <f>IF(TableAopCalendar[[#This Row],[Day]]&lt;8,1,IF(TableAopCalendar[[#This Row],[Day]]&lt;15,2,IF(TableAopCalendar[[#This Row],[Day]]&lt;22,3,IF(TableAopCalendar[[#This Row],[Day]]&lt;29,4,IF(TableAopCalendar[[#This Row],[Day]]&lt;32,5)))))</f>
        <v>3</v>
      </c>
      <c r="G2273" s="32" t="str">
        <f t="shared" si="121"/>
        <v>Week 3</v>
      </c>
      <c r="H2273" s="32" t="str">
        <f t="shared" si="122"/>
        <v>June 28 Week 3</v>
      </c>
      <c r="I2273" s="32" t="str">
        <f>CONCATENATE(UPPER(TableAopCalendar[[#This Row],[Month]])," ",TableAopCalendar[[#This Row],[Year]])</f>
        <v>JUNE 28</v>
      </c>
      <c r="J2273" s="7" t="s">
        <v>274</v>
      </c>
      <c r="K2273" s="32" t="str">
        <f>CONCATENATE(TableAopCalendar[[#This Row],[Month for Plan]]," ",TableAopCalendar[[#This Row],[Plan]])</f>
        <v>JUNE 28 PLANNED</v>
      </c>
    </row>
    <row r="2274" spans="1:11" x14ac:dyDescent="0.3">
      <c r="A2274" s="32">
        <f t="shared" si="120"/>
        <v>6</v>
      </c>
      <c r="B2274" s="33">
        <v>46924</v>
      </c>
      <c r="C2274" s="6" t="s">
        <v>266</v>
      </c>
      <c r="D2274" s="34">
        <v>28</v>
      </c>
      <c r="E2274" s="32">
        <f>DAY(TableAopCalendar[[#This Row],[Date]])</f>
        <v>20</v>
      </c>
      <c r="F2274" s="32">
        <f>IF(TableAopCalendar[[#This Row],[Day]]&lt;8,1,IF(TableAopCalendar[[#This Row],[Day]]&lt;15,2,IF(TableAopCalendar[[#This Row],[Day]]&lt;22,3,IF(TableAopCalendar[[#This Row],[Day]]&lt;29,4,IF(TableAopCalendar[[#This Row],[Day]]&lt;32,5)))))</f>
        <v>3</v>
      </c>
      <c r="G2274" s="32" t="str">
        <f t="shared" si="121"/>
        <v>Week 3</v>
      </c>
      <c r="H2274" s="32" t="str">
        <f t="shared" si="122"/>
        <v>June 28 Week 3</v>
      </c>
      <c r="I2274" s="32" t="str">
        <f>CONCATENATE(UPPER(TableAopCalendar[[#This Row],[Month]])," ",TableAopCalendar[[#This Row],[Year]])</f>
        <v>JUNE 28</v>
      </c>
      <c r="J2274" s="7" t="s">
        <v>274</v>
      </c>
      <c r="K2274" s="32" t="str">
        <f>CONCATENATE(TableAopCalendar[[#This Row],[Month for Plan]]," ",TableAopCalendar[[#This Row],[Plan]])</f>
        <v>JUNE 28 PLANNED</v>
      </c>
    </row>
    <row r="2275" spans="1:11" x14ac:dyDescent="0.3">
      <c r="A2275" s="32">
        <f t="shared" si="120"/>
        <v>7</v>
      </c>
      <c r="B2275" s="33">
        <v>46925</v>
      </c>
      <c r="C2275" s="6" t="s">
        <v>266</v>
      </c>
      <c r="D2275" s="34">
        <v>28</v>
      </c>
      <c r="E2275" s="32">
        <f>DAY(TableAopCalendar[[#This Row],[Date]])</f>
        <v>21</v>
      </c>
      <c r="F2275" s="32">
        <f>IF(TableAopCalendar[[#This Row],[Day]]&lt;8,1,IF(TableAopCalendar[[#This Row],[Day]]&lt;15,2,IF(TableAopCalendar[[#This Row],[Day]]&lt;22,3,IF(TableAopCalendar[[#This Row],[Day]]&lt;29,4,IF(TableAopCalendar[[#This Row],[Day]]&lt;32,5)))))</f>
        <v>3</v>
      </c>
      <c r="G2275" s="32" t="str">
        <f t="shared" si="121"/>
        <v>Week 3</v>
      </c>
      <c r="H2275" s="32" t="str">
        <f t="shared" si="122"/>
        <v>June 28 Week 3</v>
      </c>
      <c r="I2275" s="32" t="str">
        <f>CONCATENATE(UPPER(TableAopCalendar[[#This Row],[Month]])," ",TableAopCalendar[[#This Row],[Year]])</f>
        <v>JUNE 28</v>
      </c>
      <c r="J2275" s="7" t="s">
        <v>274</v>
      </c>
      <c r="K2275" s="32" t="str">
        <f>CONCATENATE(TableAopCalendar[[#This Row],[Month for Plan]]," ",TableAopCalendar[[#This Row],[Plan]])</f>
        <v>JUNE 28 PLANNED</v>
      </c>
    </row>
    <row r="2276" spans="1:11" x14ac:dyDescent="0.3">
      <c r="A2276" s="32">
        <f t="shared" ref="A2276:A2339" si="123">IF(G2276=G2275,A2275+1,1)</f>
        <v>1</v>
      </c>
      <c r="B2276" s="33">
        <v>46926</v>
      </c>
      <c r="C2276" s="6" t="s">
        <v>266</v>
      </c>
      <c r="D2276" s="34">
        <v>28</v>
      </c>
      <c r="E2276" s="32">
        <f>DAY(TableAopCalendar[[#This Row],[Date]])</f>
        <v>22</v>
      </c>
      <c r="F2276" s="32">
        <f>IF(TableAopCalendar[[#This Row],[Day]]&lt;8,1,IF(TableAopCalendar[[#This Row],[Day]]&lt;15,2,IF(TableAopCalendar[[#This Row],[Day]]&lt;22,3,IF(TableAopCalendar[[#This Row],[Day]]&lt;29,4,IF(TableAopCalendar[[#This Row],[Day]]&lt;32,5)))))</f>
        <v>4</v>
      </c>
      <c r="G2276" s="32" t="str">
        <f t="shared" ref="G2276:G2339" si="124">"Week"&amp;" "&amp;F2276</f>
        <v>Week 4</v>
      </c>
      <c r="H2276" s="32" t="str">
        <f t="shared" ref="H2276:H2339" si="125">CONCATENATE(C2276," ",D2276," ",G2276)</f>
        <v>June 28 Week 4</v>
      </c>
      <c r="I2276" s="32" t="str">
        <f>CONCATENATE(UPPER(TableAopCalendar[[#This Row],[Month]])," ",TableAopCalendar[[#This Row],[Year]])</f>
        <v>JUNE 28</v>
      </c>
      <c r="J2276" s="7" t="s">
        <v>274</v>
      </c>
      <c r="K2276" s="32" t="str">
        <f>CONCATENATE(TableAopCalendar[[#This Row],[Month for Plan]]," ",TableAopCalendar[[#This Row],[Plan]])</f>
        <v>JUNE 28 PLANNED</v>
      </c>
    </row>
    <row r="2277" spans="1:11" x14ac:dyDescent="0.3">
      <c r="A2277" s="32">
        <f t="shared" si="123"/>
        <v>2</v>
      </c>
      <c r="B2277" s="33">
        <v>46927</v>
      </c>
      <c r="C2277" s="6" t="s">
        <v>266</v>
      </c>
      <c r="D2277" s="34">
        <v>28</v>
      </c>
      <c r="E2277" s="32">
        <f>DAY(TableAopCalendar[[#This Row],[Date]])</f>
        <v>23</v>
      </c>
      <c r="F2277" s="32">
        <f>IF(TableAopCalendar[[#This Row],[Day]]&lt;8,1,IF(TableAopCalendar[[#This Row],[Day]]&lt;15,2,IF(TableAopCalendar[[#This Row],[Day]]&lt;22,3,IF(TableAopCalendar[[#This Row],[Day]]&lt;29,4,IF(TableAopCalendar[[#This Row],[Day]]&lt;32,5)))))</f>
        <v>4</v>
      </c>
      <c r="G2277" s="32" t="str">
        <f t="shared" si="124"/>
        <v>Week 4</v>
      </c>
      <c r="H2277" s="32" t="str">
        <f t="shared" si="125"/>
        <v>June 28 Week 4</v>
      </c>
      <c r="I2277" s="32" t="str">
        <f>CONCATENATE(UPPER(TableAopCalendar[[#This Row],[Month]])," ",TableAopCalendar[[#This Row],[Year]])</f>
        <v>JUNE 28</v>
      </c>
      <c r="J2277" s="7" t="s">
        <v>274</v>
      </c>
      <c r="K2277" s="32" t="str">
        <f>CONCATENATE(TableAopCalendar[[#This Row],[Month for Plan]]," ",TableAopCalendar[[#This Row],[Plan]])</f>
        <v>JUNE 28 PLANNED</v>
      </c>
    </row>
    <row r="2278" spans="1:11" x14ac:dyDescent="0.3">
      <c r="A2278" s="32">
        <f t="shared" si="123"/>
        <v>3</v>
      </c>
      <c r="B2278" s="33">
        <v>46928</v>
      </c>
      <c r="C2278" s="6" t="s">
        <v>266</v>
      </c>
      <c r="D2278" s="34">
        <v>28</v>
      </c>
      <c r="E2278" s="32">
        <f>DAY(TableAopCalendar[[#This Row],[Date]])</f>
        <v>24</v>
      </c>
      <c r="F2278" s="32">
        <f>IF(TableAopCalendar[[#This Row],[Day]]&lt;8,1,IF(TableAopCalendar[[#This Row],[Day]]&lt;15,2,IF(TableAopCalendar[[#This Row],[Day]]&lt;22,3,IF(TableAopCalendar[[#This Row],[Day]]&lt;29,4,IF(TableAopCalendar[[#This Row],[Day]]&lt;32,5)))))</f>
        <v>4</v>
      </c>
      <c r="G2278" s="32" t="str">
        <f t="shared" si="124"/>
        <v>Week 4</v>
      </c>
      <c r="H2278" s="32" t="str">
        <f t="shared" si="125"/>
        <v>June 28 Week 4</v>
      </c>
      <c r="I2278" s="32" t="str">
        <f>CONCATENATE(UPPER(TableAopCalendar[[#This Row],[Month]])," ",TableAopCalendar[[#This Row],[Year]])</f>
        <v>JUNE 28</v>
      </c>
      <c r="J2278" s="7" t="s">
        <v>274</v>
      </c>
      <c r="K2278" s="32" t="str">
        <f>CONCATENATE(TableAopCalendar[[#This Row],[Month for Plan]]," ",TableAopCalendar[[#This Row],[Plan]])</f>
        <v>JUNE 28 PLANNED</v>
      </c>
    </row>
    <row r="2279" spans="1:11" x14ac:dyDescent="0.3">
      <c r="A2279" s="32">
        <f t="shared" si="123"/>
        <v>4</v>
      </c>
      <c r="B2279" s="33">
        <v>46929</v>
      </c>
      <c r="C2279" s="6" t="s">
        <v>266</v>
      </c>
      <c r="D2279" s="34">
        <v>28</v>
      </c>
      <c r="E2279" s="32">
        <f>DAY(TableAopCalendar[[#This Row],[Date]])</f>
        <v>25</v>
      </c>
      <c r="F2279" s="32">
        <f>IF(TableAopCalendar[[#This Row],[Day]]&lt;8,1,IF(TableAopCalendar[[#This Row],[Day]]&lt;15,2,IF(TableAopCalendar[[#This Row],[Day]]&lt;22,3,IF(TableAopCalendar[[#This Row],[Day]]&lt;29,4,IF(TableAopCalendar[[#This Row],[Day]]&lt;32,5)))))</f>
        <v>4</v>
      </c>
      <c r="G2279" s="32" t="str">
        <f t="shared" si="124"/>
        <v>Week 4</v>
      </c>
      <c r="H2279" s="32" t="str">
        <f t="shared" si="125"/>
        <v>June 28 Week 4</v>
      </c>
      <c r="I2279" s="32" t="str">
        <f>CONCATENATE(UPPER(TableAopCalendar[[#This Row],[Month]])," ",TableAopCalendar[[#This Row],[Year]])</f>
        <v>JUNE 28</v>
      </c>
      <c r="J2279" s="7" t="s">
        <v>274</v>
      </c>
      <c r="K2279" s="32" t="str">
        <f>CONCATENATE(TableAopCalendar[[#This Row],[Month for Plan]]," ",TableAopCalendar[[#This Row],[Plan]])</f>
        <v>JUNE 28 PLANNED</v>
      </c>
    </row>
    <row r="2280" spans="1:11" x14ac:dyDescent="0.3">
      <c r="A2280" s="32">
        <f t="shared" si="123"/>
        <v>5</v>
      </c>
      <c r="B2280" s="33">
        <v>46930</v>
      </c>
      <c r="C2280" s="6" t="s">
        <v>266</v>
      </c>
      <c r="D2280" s="34">
        <v>28</v>
      </c>
      <c r="E2280" s="32">
        <f>DAY(TableAopCalendar[[#This Row],[Date]])</f>
        <v>26</v>
      </c>
      <c r="F2280" s="32">
        <f>IF(TableAopCalendar[[#This Row],[Day]]&lt;8,1,IF(TableAopCalendar[[#This Row],[Day]]&lt;15,2,IF(TableAopCalendar[[#This Row],[Day]]&lt;22,3,IF(TableAopCalendar[[#This Row],[Day]]&lt;29,4,IF(TableAopCalendar[[#This Row],[Day]]&lt;32,5)))))</f>
        <v>4</v>
      </c>
      <c r="G2280" s="32" t="str">
        <f t="shared" si="124"/>
        <v>Week 4</v>
      </c>
      <c r="H2280" s="32" t="str">
        <f t="shared" si="125"/>
        <v>June 28 Week 4</v>
      </c>
      <c r="I2280" s="32" t="str">
        <f>CONCATENATE(UPPER(TableAopCalendar[[#This Row],[Month]])," ",TableAopCalendar[[#This Row],[Year]])</f>
        <v>JUNE 28</v>
      </c>
      <c r="J2280" s="7" t="s">
        <v>274</v>
      </c>
      <c r="K2280" s="32" t="str">
        <f>CONCATENATE(TableAopCalendar[[#This Row],[Month for Plan]]," ",TableAopCalendar[[#This Row],[Plan]])</f>
        <v>JUNE 28 PLANNED</v>
      </c>
    </row>
    <row r="2281" spans="1:11" x14ac:dyDescent="0.3">
      <c r="A2281" s="32">
        <f t="shared" si="123"/>
        <v>6</v>
      </c>
      <c r="B2281" s="33">
        <v>46931</v>
      </c>
      <c r="C2281" s="6" t="s">
        <v>266</v>
      </c>
      <c r="D2281" s="34">
        <v>28</v>
      </c>
      <c r="E2281" s="32">
        <f>DAY(TableAopCalendar[[#This Row],[Date]])</f>
        <v>27</v>
      </c>
      <c r="F2281" s="32">
        <f>IF(TableAopCalendar[[#This Row],[Day]]&lt;8,1,IF(TableAopCalendar[[#This Row],[Day]]&lt;15,2,IF(TableAopCalendar[[#This Row],[Day]]&lt;22,3,IF(TableAopCalendar[[#This Row],[Day]]&lt;29,4,IF(TableAopCalendar[[#This Row],[Day]]&lt;32,5)))))</f>
        <v>4</v>
      </c>
      <c r="G2281" s="32" t="str">
        <f t="shared" si="124"/>
        <v>Week 4</v>
      </c>
      <c r="H2281" s="32" t="str">
        <f t="shared" si="125"/>
        <v>June 28 Week 4</v>
      </c>
      <c r="I2281" s="32" t="str">
        <f>CONCATENATE(UPPER(TableAopCalendar[[#This Row],[Month]])," ",TableAopCalendar[[#This Row],[Year]])</f>
        <v>JUNE 28</v>
      </c>
      <c r="J2281" s="7" t="s">
        <v>274</v>
      </c>
      <c r="K2281" s="32" t="str">
        <f>CONCATENATE(TableAopCalendar[[#This Row],[Month for Plan]]," ",TableAopCalendar[[#This Row],[Plan]])</f>
        <v>JUNE 28 PLANNED</v>
      </c>
    </row>
    <row r="2282" spans="1:11" x14ac:dyDescent="0.3">
      <c r="A2282" s="32">
        <f t="shared" si="123"/>
        <v>7</v>
      </c>
      <c r="B2282" s="33">
        <v>46932</v>
      </c>
      <c r="C2282" s="6" t="s">
        <v>266</v>
      </c>
      <c r="D2282" s="34">
        <v>28</v>
      </c>
      <c r="E2282" s="32">
        <f>DAY(TableAopCalendar[[#This Row],[Date]])</f>
        <v>28</v>
      </c>
      <c r="F2282" s="32">
        <f>IF(TableAopCalendar[[#This Row],[Day]]&lt;8,1,IF(TableAopCalendar[[#This Row],[Day]]&lt;15,2,IF(TableAopCalendar[[#This Row],[Day]]&lt;22,3,IF(TableAopCalendar[[#This Row],[Day]]&lt;29,4,IF(TableAopCalendar[[#This Row],[Day]]&lt;32,5)))))</f>
        <v>4</v>
      </c>
      <c r="G2282" s="32" t="str">
        <f t="shared" si="124"/>
        <v>Week 4</v>
      </c>
      <c r="H2282" s="32" t="str">
        <f t="shared" si="125"/>
        <v>June 28 Week 4</v>
      </c>
      <c r="I2282" s="32" t="str">
        <f>CONCATENATE(UPPER(TableAopCalendar[[#This Row],[Month]])," ",TableAopCalendar[[#This Row],[Year]])</f>
        <v>JUNE 28</v>
      </c>
      <c r="J2282" s="7" t="s">
        <v>274</v>
      </c>
      <c r="K2282" s="32" t="str">
        <f>CONCATENATE(TableAopCalendar[[#This Row],[Month for Plan]]," ",TableAopCalendar[[#This Row],[Plan]])</f>
        <v>JUNE 28 PLANNED</v>
      </c>
    </row>
    <row r="2283" spans="1:11" x14ac:dyDescent="0.3">
      <c r="A2283" s="32">
        <f t="shared" si="123"/>
        <v>1</v>
      </c>
      <c r="B2283" s="33">
        <v>46933</v>
      </c>
      <c r="C2283" s="6" t="s">
        <v>266</v>
      </c>
      <c r="D2283" s="34">
        <v>28</v>
      </c>
      <c r="E2283" s="32">
        <f>DAY(TableAopCalendar[[#This Row],[Date]])</f>
        <v>29</v>
      </c>
      <c r="F2283" s="32">
        <f>IF(TableAopCalendar[[#This Row],[Day]]&lt;8,1,IF(TableAopCalendar[[#This Row],[Day]]&lt;15,2,IF(TableAopCalendar[[#This Row],[Day]]&lt;22,3,IF(TableAopCalendar[[#This Row],[Day]]&lt;29,4,IF(TableAopCalendar[[#This Row],[Day]]&lt;32,5)))))</f>
        <v>5</v>
      </c>
      <c r="G2283" s="32" t="str">
        <f t="shared" si="124"/>
        <v>Week 5</v>
      </c>
      <c r="H2283" s="32" t="str">
        <f t="shared" si="125"/>
        <v>June 28 Week 5</v>
      </c>
      <c r="I2283" s="32" t="str">
        <f>CONCATENATE(UPPER(TableAopCalendar[[#This Row],[Month]])," ",TableAopCalendar[[#This Row],[Year]])</f>
        <v>JUNE 28</v>
      </c>
      <c r="J2283" s="7" t="s">
        <v>274</v>
      </c>
      <c r="K2283" s="32" t="str">
        <f>CONCATENATE(TableAopCalendar[[#This Row],[Month for Plan]]," ",TableAopCalendar[[#This Row],[Plan]])</f>
        <v>JUNE 28 PLANNED</v>
      </c>
    </row>
    <row r="2284" spans="1:11" x14ac:dyDescent="0.3">
      <c r="A2284" s="32">
        <f t="shared" si="123"/>
        <v>2</v>
      </c>
      <c r="B2284" s="33">
        <v>46934</v>
      </c>
      <c r="C2284" s="6" t="s">
        <v>266</v>
      </c>
      <c r="D2284" s="34">
        <v>28</v>
      </c>
      <c r="E2284" s="32">
        <f>DAY(TableAopCalendar[[#This Row],[Date]])</f>
        <v>30</v>
      </c>
      <c r="F2284" s="32">
        <f>IF(TableAopCalendar[[#This Row],[Day]]&lt;8,1,IF(TableAopCalendar[[#This Row],[Day]]&lt;15,2,IF(TableAopCalendar[[#This Row],[Day]]&lt;22,3,IF(TableAopCalendar[[#This Row],[Day]]&lt;29,4,IF(TableAopCalendar[[#This Row],[Day]]&lt;32,5)))))</f>
        <v>5</v>
      </c>
      <c r="G2284" s="32" t="str">
        <f t="shared" si="124"/>
        <v>Week 5</v>
      </c>
      <c r="H2284" s="32" t="str">
        <f t="shared" si="125"/>
        <v>June 28 Week 5</v>
      </c>
      <c r="I2284" s="32" t="str">
        <f>CONCATENATE(UPPER(TableAopCalendar[[#This Row],[Month]])," ",TableAopCalendar[[#This Row],[Year]])</f>
        <v>JUNE 28</v>
      </c>
      <c r="J2284" s="7" t="s">
        <v>274</v>
      </c>
      <c r="K2284" s="32" t="str">
        <f>CONCATENATE(TableAopCalendar[[#This Row],[Month for Plan]]," ",TableAopCalendar[[#This Row],[Plan]])</f>
        <v>JUNE 28 PLANNED</v>
      </c>
    </row>
    <row r="2285" spans="1:11" x14ac:dyDescent="0.3">
      <c r="A2285" s="32">
        <f t="shared" si="123"/>
        <v>1</v>
      </c>
      <c r="B2285" s="33">
        <v>46935</v>
      </c>
      <c r="C2285" s="6" t="s">
        <v>267</v>
      </c>
      <c r="D2285" s="34">
        <v>28</v>
      </c>
      <c r="E2285" s="32">
        <f>DAY(TableAopCalendar[[#This Row],[Date]])</f>
        <v>1</v>
      </c>
      <c r="F2285" s="32">
        <f>IF(TableAopCalendar[[#This Row],[Day]]&lt;8,1,IF(TableAopCalendar[[#This Row],[Day]]&lt;15,2,IF(TableAopCalendar[[#This Row],[Day]]&lt;22,3,IF(TableAopCalendar[[#This Row],[Day]]&lt;29,4,IF(TableAopCalendar[[#This Row],[Day]]&lt;32,5)))))</f>
        <v>1</v>
      </c>
      <c r="G2285" s="32" t="str">
        <f t="shared" si="124"/>
        <v>Week 1</v>
      </c>
      <c r="H2285" s="32" t="str">
        <f t="shared" si="125"/>
        <v>July 28 Week 1</v>
      </c>
      <c r="I2285" s="32" t="str">
        <f>CONCATENATE(UPPER(TableAopCalendar[[#This Row],[Month]])," ",TableAopCalendar[[#This Row],[Year]])</f>
        <v>JULY 28</v>
      </c>
      <c r="J2285" s="7" t="s">
        <v>274</v>
      </c>
      <c r="K2285" s="32" t="str">
        <f>CONCATENATE(TableAopCalendar[[#This Row],[Month for Plan]]," ",TableAopCalendar[[#This Row],[Plan]])</f>
        <v>JULY 28 PLANNED</v>
      </c>
    </row>
    <row r="2286" spans="1:11" x14ac:dyDescent="0.3">
      <c r="A2286" s="32">
        <f t="shared" si="123"/>
        <v>2</v>
      </c>
      <c r="B2286" s="33">
        <v>46936</v>
      </c>
      <c r="C2286" s="6" t="s">
        <v>267</v>
      </c>
      <c r="D2286" s="34">
        <v>28</v>
      </c>
      <c r="E2286" s="32">
        <f>DAY(TableAopCalendar[[#This Row],[Date]])</f>
        <v>2</v>
      </c>
      <c r="F2286" s="32">
        <f>IF(TableAopCalendar[[#This Row],[Day]]&lt;8,1,IF(TableAopCalendar[[#This Row],[Day]]&lt;15,2,IF(TableAopCalendar[[#This Row],[Day]]&lt;22,3,IF(TableAopCalendar[[#This Row],[Day]]&lt;29,4,IF(TableAopCalendar[[#This Row],[Day]]&lt;32,5)))))</f>
        <v>1</v>
      </c>
      <c r="G2286" s="32" t="str">
        <f t="shared" si="124"/>
        <v>Week 1</v>
      </c>
      <c r="H2286" s="32" t="str">
        <f t="shared" si="125"/>
        <v>July 28 Week 1</v>
      </c>
      <c r="I2286" s="32" t="str">
        <f>CONCATENATE(UPPER(TableAopCalendar[[#This Row],[Month]])," ",TableAopCalendar[[#This Row],[Year]])</f>
        <v>JULY 28</v>
      </c>
      <c r="J2286" s="7" t="s">
        <v>274</v>
      </c>
      <c r="K2286" s="32" t="str">
        <f>CONCATENATE(TableAopCalendar[[#This Row],[Month for Plan]]," ",TableAopCalendar[[#This Row],[Plan]])</f>
        <v>JULY 28 PLANNED</v>
      </c>
    </row>
    <row r="2287" spans="1:11" x14ac:dyDescent="0.3">
      <c r="A2287" s="32">
        <f t="shared" si="123"/>
        <v>3</v>
      </c>
      <c r="B2287" s="33">
        <v>46937</v>
      </c>
      <c r="C2287" s="6" t="s">
        <v>267</v>
      </c>
      <c r="D2287" s="34">
        <v>28</v>
      </c>
      <c r="E2287" s="32">
        <f>DAY(TableAopCalendar[[#This Row],[Date]])</f>
        <v>3</v>
      </c>
      <c r="F2287" s="32">
        <f>IF(TableAopCalendar[[#This Row],[Day]]&lt;8,1,IF(TableAopCalendar[[#This Row],[Day]]&lt;15,2,IF(TableAopCalendar[[#This Row],[Day]]&lt;22,3,IF(TableAopCalendar[[#This Row],[Day]]&lt;29,4,IF(TableAopCalendar[[#This Row],[Day]]&lt;32,5)))))</f>
        <v>1</v>
      </c>
      <c r="G2287" s="32" t="str">
        <f t="shared" si="124"/>
        <v>Week 1</v>
      </c>
      <c r="H2287" s="32" t="str">
        <f t="shared" si="125"/>
        <v>July 28 Week 1</v>
      </c>
      <c r="I2287" s="32" t="str">
        <f>CONCATENATE(UPPER(TableAopCalendar[[#This Row],[Month]])," ",TableAopCalendar[[#This Row],[Year]])</f>
        <v>JULY 28</v>
      </c>
      <c r="J2287" s="7" t="s">
        <v>274</v>
      </c>
      <c r="K2287" s="32" t="str">
        <f>CONCATENATE(TableAopCalendar[[#This Row],[Month for Plan]]," ",TableAopCalendar[[#This Row],[Plan]])</f>
        <v>JULY 28 PLANNED</v>
      </c>
    </row>
    <row r="2288" spans="1:11" x14ac:dyDescent="0.3">
      <c r="A2288" s="32">
        <f t="shared" si="123"/>
        <v>4</v>
      </c>
      <c r="B2288" s="33">
        <v>46938</v>
      </c>
      <c r="C2288" s="6" t="s">
        <v>267</v>
      </c>
      <c r="D2288" s="34">
        <v>28</v>
      </c>
      <c r="E2288" s="32">
        <f>DAY(TableAopCalendar[[#This Row],[Date]])</f>
        <v>4</v>
      </c>
      <c r="F2288" s="32">
        <f>IF(TableAopCalendar[[#This Row],[Day]]&lt;8,1,IF(TableAopCalendar[[#This Row],[Day]]&lt;15,2,IF(TableAopCalendar[[#This Row],[Day]]&lt;22,3,IF(TableAopCalendar[[#This Row],[Day]]&lt;29,4,IF(TableAopCalendar[[#This Row],[Day]]&lt;32,5)))))</f>
        <v>1</v>
      </c>
      <c r="G2288" s="32" t="str">
        <f t="shared" si="124"/>
        <v>Week 1</v>
      </c>
      <c r="H2288" s="32" t="str">
        <f t="shared" si="125"/>
        <v>July 28 Week 1</v>
      </c>
      <c r="I2288" s="32" t="str">
        <f>CONCATENATE(UPPER(TableAopCalendar[[#This Row],[Month]])," ",TableAopCalendar[[#This Row],[Year]])</f>
        <v>JULY 28</v>
      </c>
      <c r="J2288" s="7" t="s">
        <v>274</v>
      </c>
      <c r="K2288" s="32" t="str">
        <f>CONCATENATE(TableAopCalendar[[#This Row],[Month for Plan]]," ",TableAopCalendar[[#This Row],[Plan]])</f>
        <v>JULY 28 PLANNED</v>
      </c>
    </row>
    <row r="2289" spans="1:11" x14ac:dyDescent="0.3">
      <c r="A2289" s="32">
        <f t="shared" si="123"/>
        <v>5</v>
      </c>
      <c r="B2289" s="33">
        <v>46939</v>
      </c>
      <c r="C2289" s="6" t="s">
        <v>267</v>
      </c>
      <c r="D2289" s="34">
        <v>28</v>
      </c>
      <c r="E2289" s="32">
        <f>DAY(TableAopCalendar[[#This Row],[Date]])</f>
        <v>5</v>
      </c>
      <c r="F2289" s="32">
        <f>IF(TableAopCalendar[[#This Row],[Day]]&lt;8,1,IF(TableAopCalendar[[#This Row],[Day]]&lt;15,2,IF(TableAopCalendar[[#This Row],[Day]]&lt;22,3,IF(TableAopCalendar[[#This Row],[Day]]&lt;29,4,IF(TableAopCalendar[[#This Row],[Day]]&lt;32,5)))))</f>
        <v>1</v>
      </c>
      <c r="G2289" s="32" t="str">
        <f t="shared" si="124"/>
        <v>Week 1</v>
      </c>
      <c r="H2289" s="32" t="str">
        <f t="shared" si="125"/>
        <v>July 28 Week 1</v>
      </c>
      <c r="I2289" s="32" t="str">
        <f>CONCATENATE(UPPER(TableAopCalendar[[#This Row],[Month]])," ",TableAopCalendar[[#This Row],[Year]])</f>
        <v>JULY 28</v>
      </c>
      <c r="J2289" s="7" t="s">
        <v>274</v>
      </c>
      <c r="K2289" s="32" t="str">
        <f>CONCATENATE(TableAopCalendar[[#This Row],[Month for Plan]]," ",TableAopCalendar[[#This Row],[Plan]])</f>
        <v>JULY 28 PLANNED</v>
      </c>
    </row>
    <row r="2290" spans="1:11" x14ac:dyDescent="0.3">
      <c r="A2290" s="32">
        <f t="shared" si="123"/>
        <v>6</v>
      </c>
      <c r="B2290" s="33">
        <v>46940</v>
      </c>
      <c r="C2290" s="6" t="s">
        <v>267</v>
      </c>
      <c r="D2290" s="34">
        <v>28</v>
      </c>
      <c r="E2290" s="32">
        <f>DAY(TableAopCalendar[[#This Row],[Date]])</f>
        <v>6</v>
      </c>
      <c r="F2290" s="32">
        <f>IF(TableAopCalendar[[#This Row],[Day]]&lt;8,1,IF(TableAopCalendar[[#This Row],[Day]]&lt;15,2,IF(TableAopCalendar[[#This Row],[Day]]&lt;22,3,IF(TableAopCalendar[[#This Row],[Day]]&lt;29,4,IF(TableAopCalendar[[#This Row],[Day]]&lt;32,5)))))</f>
        <v>1</v>
      </c>
      <c r="G2290" s="32" t="str">
        <f t="shared" si="124"/>
        <v>Week 1</v>
      </c>
      <c r="H2290" s="32" t="str">
        <f t="shared" si="125"/>
        <v>July 28 Week 1</v>
      </c>
      <c r="I2290" s="32" t="str">
        <f>CONCATENATE(UPPER(TableAopCalendar[[#This Row],[Month]])," ",TableAopCalendar[[#This Row],[Year]])</f>
        <v>JULY 28</v>
      </c>
      <c r="J2290" s="7" t="s">
        <v>274</v>
      </c>
      <c r="K2290" s="32" t="str">
        <f>CONCATENATE(TableAopCalendar[[#This Row],[Month for Plan]]," ",TableAopCalendar[[#This Row],[Plan]])</f>
        <v>JULY 28 PLANNED</v>
      </c>
    </row>
    <row r="2291" spans="1:11" x14ac:dyDescent="0.3">
      <c r="A2291" s="32">
        <f t="shared" si="123"/>
        <v>7</v>
      </c>
      <c r="B2291" s="33">
        <v>46941</v>
      </c>
      <c r="C2291" s="6" t="s">
        <v>267</v>
      </c>
      <c r="D2291" s="34">
        <v>28</v>
      </c>
      <c r="E2291" s="32">
        <f>DAY(TableAopCalendar[[#This Row],[Date]])</f>
        <v>7</v>
      </c>
      <c r="F2291" s="32">
        <f>IF(TableAopCalendar[[#This Row],[Day]]&lt;8,1,IF(TableAopCalendar[[#This Row],[Day]]&lt;15,2,IF(TableAopCalendar[[#This Row],[Day]]&lt;22,3,IF(TableAopCalendar[[#This Row],[Day]]&lt;29,4,IF(TableAopCalendar[[#This Row],[Day]]&lt;32,5)))))</f>
        <v>1</v>
      </c>
      <c r="G2291" s="32" t="str">
        <f t="shared" si="124"/>
        <v>Week 1</v>
      </c>
      <c r="H2291" s="32" t="str">
        <f t="shared" si="125"/>
        <v>July 28 Week 1</v>
      </c>
      <c r="I2291" s="32" t="str">
        <f>CONCATENATE(UPPER(TableAopCalendar[[#This Row],[Month]])," ",TableAopCalendar[[#This Row],[Year]])</f>
        <v>JULY 28</v>
      </c>
      <c r="J2291" s="7" t="s">
        <v>274</v>
      </c>
      <c r="K2291" s="32" t="str">
        <f>CONCATENATE(TableAopCalendar[[#This Row],[Month for Plan]]," ",TableAopCalendar[[#This Row],[Plan]])</f>
        <v>JULY 28 PLANNED</v>
      </c>
    </row>
    <row r="2292" spans="1:11" x14ac:dyDescent="0.3">
      <c r="A2292" s="32">
        <f t="shared" si="123"/>
        <v>1</v>
      </c>
      <c r="B2292" s="33">
        <v>46942</v>
      </c>
      <c r="C2292" s="6" t="s">
        <v>267</v>
      </c>
      <c r="D2292" s="34">
        <v>28</v>
      </c>
      <c r="E2292" s="32">
        <f>DAY(TableAopCalendar[[#This Row],[Date]])</f>
        <v>8</v>
      </c>
      <c r="F2292" s="32">
        <f>IF(TableAopCalendar[[#This Row],[Day]]&lt;8,1,IF(TableAopCalendar[[#This Row],[Day]]&lt;15,2,IF(TableAopCalendar[[#This Row],[Day]]&lt;22,3,IF(TableAopCalendar[[#This Row],[Day]]&lt;29,4,IF(TableAopCalendar[[#This Row],[Day]]&lt;32,5)))))</f>
        <v>2</v>
      </c>
      <c r="G2292" s="32" t="str">
        <f t="shared" si="124"/>
        <v>Week 2</v>
      </c>
      <c r="H2292" s="32" t="str">
        <f t="shared" si="125"/>
        <v>July 28 Week 2</v>
      </c>
      <c r="I2292" s="32" t="str">
        <f>CONCATENATE(UPPER(TableAopCalendar[[#This Row],[Month]])," ",TableAopCalendar[[#This Row],[Year]])</f>
        <v>JULY 28</v>
      </c>
      <c r="J2292" s="7" t="s">
        <v>274</v>
      </c>
      <c r="K2292" s="32" t="str">
        <f>CONCATENATE(TableAopCalendar[[#This Row],[Month for Plan]]," ",TableAopCalendar[[#This Row],[Plan]])</f>
        <v>JULY 28 PLANNED</v>
      </c>
    </row>
    <row r="2293" spans="1:11" x14ac:dyDescent="0.3">
      <c r="A2293" s="32">
        <f t="shared" si="123"/>
        <v>2</v>
      </c>
      <c r="B2293" s="33">
        <v>46943</v>
      </c>
      <c r="C2293" s="6" t="s">
        <v>267</v>
      </c>
      <c r="D2293" s="34">
        <v>28</v>
      </c>
      <c r="E2293" s="32">
        <f>DAY(TableAopCalendar[[#This Row],[Date]])</f>
        <v>9</v>
      </c>
      <c r="F2293" s="32">
        <f>IF(TableAopCalendar[[#This Row],[Day]]&lt;8,1,IF(TableAopCalendar[[#This Row],[Day]]&lt;15,2,IF(TableAopCalendar[[#This Row],[Day]]&lt;22,3,IF(TableAopCalendar[[#This Row],[Day]]&lt;29,4,IF(TableAopCalendar[[#This Row],[Day]]&lt;32,5)))))</f>
        <v>2</v>
      </c>
      <c r="G2293" s="32" t="str">
        <f t="shared" si="124"/>
        <v>Week 2</v>
      </c>
      <c r="H2293" s="32" t="str">
        <f t="shared" si="125"/>
        <v>July 28 Week 2</v>
      </c>
      <c r="I2293" s="32" t="str">
        <f>CONCATENATE(UPPER(TableAopCalendar[[#This Row],[Month]])," ",TableAopCalendar[[#This Row],[Year]])</f>
        <v>JULY 28</v>
      </c>
      <c r="J2293" s="7" t="s">
        <v>274</v>
      </c>
      <c r="K2293" s="32" t="str">
        <f>CONCATENATE(TableAopCalendar[[#This Row],[Month for Plan]]," ",TableAopCalendar[[#This Row],[Plan]])</f>
        <v>JULY 28 PLANNED</v>
      </c>
    </row>
    <row r="2294" spans="1:11" x14ac:dyDescent="0.3">
      <c r="A2294" s="32">
        <f t="shared" si="123"/>
        <v>3</v>
      </c>
      <c r="B2294" s="33">
        <v>46944</v>
      </c>
      <c r="C2294" s="6" t="s">
        <v>267</v>
      </c>
      <c r="D2294" s="34">
        <v>28</v>
      </c>
      <c r="E2294" s="32">
        <f>DAY(TableAopCalendar[[#This Row],[Date]])</f>
        <v>10</v>
      </c>
      <c r="F2294" s="32">
        <f>IF(TableAopCalendar[[#This Row],[Day]]&lt;8,1,IF(TableAopCalendar[[#This Row],[Day]]&lt;15,2,IF(TableAopCalendar[[#This Row],[Day]]&lt;22,3,IF(TableAopCalendar[[#This Row],[Day]]&lt;29,4,IF(TableAopCalendar[[#This Row],[Day]]&lt;32,5)))))</f>
        <v>2</v>
      </c>
      <c r="G2294" s="32" t="str">
        <f t="shared" si="124"/>
        <v>Week 2</v>
      </c>
      <c r="H2294" s="32" t="str">
        <f t="shared" si="125"/>
        <v>July 28 Week 2</v>
      </c>
      <c r="I2294" s="32" t="str">
        <f>CONCATENATE(UPPER(TableAopCalendar[[#This Row],[Month]])," ",TableAopCalendar[[#This Row],[Year]])</f>
        <v>JULY 28</v>
      </c>
      <c r="J2294" s="7" t="s">
        <v>274</v>
      </c>
      <c r="K2294" s="32" t="str">
        <f>CONCATENATE(TableAopCalendar[[#This Row],[Month for Plan]]," ",TableAopCalendar[[#This Row],[Plan]])</f>
        <v>JULY 28 PLANNED</v>
      </c>
    </row>
    <row r="2295" spans="1:11" x14ac:dyDescent="0.3">
      <c r="A2295" s="32">
        <f t="shared" si="123"/>
        <v>4</v>
      </c>
      <c r="B2295" s="33">
        <v>46945</v>
      </c>
      <c r="C2295" s="6" t="s">
        <v>267</v>
      </c>
      <c r="D2295" s="34">
        <v>28</v>
      </c>
      <c r="E2295" s="32">
        <f>DAY(TableAopCalendar[[#This Row],[Date]])</f>
        <v>11</v>
      </c>
      <c r="F2295" s="32">
        <f>IF(TableAopCalendar[[#This Row],[Day]]&lt;8,1,IF(TableAopCalendar[[#This Row],[Day]]&lt;15,2,IF(TableAopCalendar[[#This Row],[Day]]&lt;22,3,IF(TableAopCalendar[[#This Row],[Day]]&lt;29,4,IF(TableAopCalendar[[#This Row],[Day]]&lt;32,5)))))</f>
        <v>2</v>
      </c>
      <c r="G2295" s="32" t="str">
        <f t="shared" si="124"/>
        <v>Week 2</v>
      </c>
      <c r="H2295" s="32" t="str">
        <f t="shared" si="125"/>
        <v>July 28 Week 2</v>
      </c>
      <c r="I2295" s="32" t="str">
        <f>CONCATENATE(UPPER(TableAopCalendar[[#This Row],[Month]])," ",TableAopCalendar[[#This Row],[Year]])</f>
        <v>JULY 28</v>
      </c>
      <c r="J2295" s="7" t="s">
        <v>274</v>
      </c>
      <c r="K2295" s="32" t="str">
        <f>CONCATENATE(TableAopCalendar[[#This Row],[Month for Plan]]," ",TableAopCalendar[[#This Row],[Plan]])</f>
        <v>JULY 28 PLANNED</v>
      </c>
    </row>
    <row r="2296" spans="1:11" x14ac:dyDescent="0.3">
      <c r="A2296" s="32">
        <f t="shared" si="123"/>
        <v>5</v>
      </c>
      <c r="B2296" s="33">
        <v>46946</v>
      </c>
      <c r="C2296" s="6" t="s">
        <v>267</v>
      </c>
      <c r="D2296" s="34">
        <v>28</v>
      </c>
      <c r="E2296" s="32">
        <f>DAY(TableAopCalendar[[#This Row],[Date]])</f>
        <v>12</v>
      </c>
      <c r="F2296" s="32">
        <f>IF(TableAopCalendar[[#This Row],[Day]]&lt;8,1,IF(TableAopCalendar[[#This Row],[Day]]&lt;15,2,IF(TableAopCalendar[[#This Row],[Day]]&lt;22,3,IF(TableAopCalendar[[#This Row],[Day]]&lt;29,4,IF(TableAopCalendar[[#This Row],[Day]]&lt;32,5)))))</f>
        <v>2</v>
      </c>
      <c r="G2296" s="32" t="str">
        <f t="shared" si="124"/>
        <v>Week 2</v>
      </c>
      <c r="H2296" s="32" t="str">
        <f t="shared" si="125"/>
        <v>July 28 Week 2</v>
      </c>
      <c r="I2296" s="32" t="str">
        <f>CONCATENATE(UPPER(TableAopCalendar[[#This Row],[Month]])," ",TableAopCalendar[[#This Row],[Year]])</f>
        <v>JULY 28</v>
      </c>
      <c r="J2296" s="7" t="s">
        <v>274</v>
      </c>
      <c r="K2296" s="32" t="str">
        <f>CONCATENATE(TableAopCalendar[[#This Row],[Month for Plan]]," ",TableAopCalendar[[#This Row],[Plan]])</f>
        <v>JULY 28 PLANNED</v>
      </c>
    </row>
    <row r="2297" spans="1:11" x14ac:dyDescent="0.3">
      <c r="A2297" s="32">
        <f t="shared" si="123"/>
        <v>6</v>
      </c>
      <c r="B2297" s="33">
        <v>46947</v>
      </c>
      <c r="C2297" s="6" t="s">
        <v>267</v>
      </c>
      <c r="D2297" s="34">
        <v>28</v>
      </c>
      <c r="E2297" s="32">
        <f>DAY(TableAopCalendar[[#This Row],[Date]])</f>
        <v>13</v>
      </c>
      <c r="F2297" s="32">
        <f>IF(TableAopCalendar[[#This Row],[Day]]&lt;8,1,IF(TableAopCalendar[[#This Row],[Day]]&lt;15,2,IF(TableAopCalendar[[#This Row],[Day]]&lt;22,3,IF(TableAopCalendar[[#This Row],[Day]]&lt;29,4,IF(TableAopCalendar[[#This Row],[Day]]&lt;32,5)))))</f>
        <v>2</v>
      </c>
      <c r="G2297" s="32" t="str">
        <f t="shared" si="124"/>
        <v>Week 2</v>
      </c>
      <c r="H2297" s="32" t="str">
        <f t="shared" si="125"/>
        <v>July 28 Week 2</v>
      </c>
      <c r="I2297" s="32" t="str">
        <f>CONCATENATE(UPPER(TableAopCalendar[[#This Row],[Month]])," ",TableAopCalendar[[#This Row],[Year]])</f>
        <v>JULY 28</v>
      </c>
      <c r="J2297" s="7" t="s">
        <v>274</v>
      </c>
      <c r="K2297" s="32" t="str">
        <f>CONCATENATE(TableAopCalendar[[#This Row],[Month for Plan]]," ",TableAopCalendar[[#This Row],[Plan]])</f>
        <v>JULY 28 PLANNED</v>
      </c>
    </row>
    <row r="2298" spans="1:11" x14ac:dyDescent="0.3">
      <c r="A2298" s="32">
        <f t="shared" si="123"/>
        <v>7</v>
      </c>
      <c r="B2298" s="33">
        <v>46948</v>
      </c>
      <c r="C2298" s="6" t="s">
        <v>267</v>
      </c>
      <c r="D2298" s="34">
        <v>28</v>
      </c>
      <c r="E2298" s="32">
        <f>DAY(TableAopCalendar[[#This Row],[Date]])</f>
        <v>14</v>
      </c>
      <c r="F2298" s="32">
        <f>IF(TableAopCalendar[[#This Row],[Day]]&lt;8,1,IF(TableAopCalendar[[#This Row],[Day]]&lt;15,2,IF(TableAopCalendar[[#This Row],[Day]]&lt;22,3,IF(TableAopCalendar[[#This Row],[Day]]&lt;29,4,IF(TableAopCalendar[[#This Row],[Day]]&lt;32,5)))))</f>
        <v>2</v>
      </c>
      <c r="G2298" s="32" t="str">
        <f t="shared" si="124"/>
        <v>Week 2</v>
      </c>
      <c r="H2298" s="32" t="str">
        <f t="shared" si="125"/>
        <v>July 28 Week 2</v>
      </c>
      <c r="I2298" s="32" t="str">
        <f>CONCATENATE(UPPER(TableAopCalendar[[#This Row],[Month]])," ",TableAopCalendar[[#This Row],[Year]])</f>
        <v>JULY 28</v>
      </c>
      <c r="J2298" s="7" t="s">
        <v>274</v>
      </c>
      <c r="K2298" s="32" t="str">
        <f>CONCATENATE(TableAopCalendar[[#This Row],[Month for Plan]]," ",TableAopCalendar[[#This Row],[Plan]])</f>
        <v>JULY 28 PLANNED</v>
      </c>
    </row>
    <row r="2299" spans="1:11" x14ac:dyDescent="0.3">
      <c r="A2299" s="32">
        <f t="shared" si="123"/>
        <v>1</v>
      </c>
      <c r="B2299" s="33">
        <v>46949</v>
      </c>
      <c r="C2299" s="6" t="s">
        <v>267</v>
      </c>
      <c r="D2299" s="34">
        <v>28</v>
      </c>
      <c r="E2299" s="32">
        <f>DAY(TableAopCalendar[[#This Row],[Date]])</f>
        <v>15</v>
      </c>
      <c r="F2299" s="32">
        <f>IF(TableAopCalendar[[#This Row],[Day]]&lt;8,1,IF(TableAopCalendar[[#This Row],[Day]]&lt;15,2,IF(TableAopCalendar[[#This Row],[Day]]&lt;22,3,IF(TableAopCalendar[[#This Row],[Day]]&lt;29,4,IF(TableAopCalendar[[#This Row],[Day]]&lt;32,5)))))</f>
        <v>3</v>
      </c>
      <c r="G2299" s="32" t="str">
        <f t="shared" si="124"/>
        <v>Week 3</v>
      </c>
      <c r="H2299" s="32" t="str">
        <f t="shared" si="125"/>
        <v>July 28 Week 3</v>
      </c>
      <c r="I2299" s="32" t="str">
        <f>CONCATENATE(UPPER(TableAopCalendar[[#This Row],[Month]])," ",TableAopCalendar[[#This Row],[Year]])</f>
        <v>JULY 28</v>
      </c>
      <c r="J2299" s="7" t="s">
        <v>274</v>
      </c>
      <c r="K2299" s="32" t="str">
        <f>CONCATENATE(TableAopCalendar[[#This Row],[Month for Plan]]," ",TableAopCalendar[[#This Row],[Plan]])</f>
        <v>JULY 28 PLANNED</v>
      </c>
    </row>
    <row r="2300" spans="1:11" x14ac:dyDescent="0.3">
      <c r="A2300" s="32">
        <f t="shared" si="123"/>
        <v>2</v>
      </c>
      <c r="B2300" s="33">
        <v>46950</v>
      </c>
      <c r="C2300" s="6" t="s">
        <v>267</v>
      </c>
      <c r="D2300" s="34">
        <v>28</v>
      </c>
      <c r="E2300" s="32">
        <f>DAY(TableAopCalendar[[#This Row],[Date]])</f>
        <v>16</v>
      </c>
      <c r="F2300" s="32">
        <f>IF(TableAopCalendar[[#This Row],[Day]]&lt;8,1,IF(TableAopCalendar[[#This Row],[Day]]&lt;15,2,IF(TableAopCalendar[[#This Row],[Day]]&lt;22,3,IF(TableAopCalendar[[#This Row],[Day]]&lt;29,4,IF(TableAopCalendar[[#This Row],[Day]]&lt;32,5)))))</f>
        <v>3</v>
      </c>
      <c r="G2300" s="32" t="str">
        <f t="shared" si="124"/>
        <v>Week 3</v>
      </c>
      <c r="H2300" s="32" t="str">
        <f t="shared" si="125"/>
        <v>July 28 Week 3</v>
      </c>
      <c r="I2300" s="32" t="str">
        <f>CONCATENATE(UPPER(TableAopCalendar[[#This Row],[Month]])," ",TableAopCalendar[[#This Row],[Year]])</f>
        <v>JULY 28</v>
      </c>
      <c r="J2300" s="7" t="s">
        <v>274</v>
      </c>
      <c r="K2300" s="32" t="str">
        <f>CONCATENATE(TableAopCalendar[[#This Row],[Month for Plan]]," ",TableAopCalendar[[#This Row],[Plan]])</f>
        <v>JULY 28 PLANNED</v>
      </c>
    </row>
    <row r="2301" spans="1:11" x14ac:dyDescent="0.3">
      <c r="A2301" s="32">
        <f t="shared" si="123"/>
        <v>3</v>
      </c>
      <c r="B2301" s="33">
        <v>46951</v>
      </c>
      <c r="C2301" s="6" t="s">
        <v>267</v>
      </c>
      <c r="D2301" s="34">
        <v>28</v>
      </c>
      <c r="E2301" s="32">
        <f>DAY(TableAopCalendar[[#This Row],[Date]])</f>
        <v>17</v>
      </c>
      <c r="F2301" s="32">
        <f>IF(TableAopCalendar[[#This Row],[Day]]&lt;8,1,IF(TableAopCalendar[[#This Row],[Day]]&lt;15,2,IF(TableAopCalendar[[#This Row],[Day]]&lt;22,3,IF(TableAopCalendar[[#This Row],[Day]]&lt;29,4,IF(TableAopCalendar[[#This Row],[Day]]&lt;32,5)))))</f>
        <v>3</v>
      </c>
      <c r="G2301" s="32" t="str">
        <f t="shared" si="124"/>
        <v>Week 3</v>
      </c>
      <c r="H2301" s="32" t="str">
        <f t="shared" si="125"/>
        <v>July 28 Week 3</v>
      </c>
      <c r="I2301" s="32" t="str">
        <f>CONCATENATE(UPPER(TableAopCalendar[[#This Row],[Month]])," ",TableAopCalendar[[#This Row],[Year]])</f>
        <v>JULY 28</v>
      </c>
      <c r="J2301" s="7" t="s">
        <v>274</v>
      </c>
      <c r="K2301" s="32" t="str">
        <f>CONCATENATE(TableAopCalendar[[#This Row],[Month for Plan]]," ",TableAopCalendar[[#This Row],[Plan]])</f>
        <v>JULY 28 PLANNED</v>
      </c>
    </row>
    <row r="2302" spans="1:11" x14ac:dyDescent="0.3">
      <c r="A2302" s="32">
        <f t="shared" si="123"/>
        <v>4</v>
      </c>
      <c r="B2302" s="33">
        <v>46952</v>
      </c>
      <c r="C2302" s="6" t="s">
        <v>267</v>
      </c>
      <c r="D2302" s="34">
        <v>28</v>
      </c>
      <c r="E2302" s="32">
        <f>DAY(TableAopCalendar[[#This Row],[Date]])</f>
        <v>18</v>
      </c>
      <c r="F2302" s="32">
        <f>IF(TableAopCalendar[[#This Row],[Day]]&lt;8,1,IF(TableAopCalendar[[#This Row],[Day]]&lt;15,2,IF(TableAopCalendar[[#This Row],[Day]]&lt;22,3,IF(TableAopCalendar[[#This Row],[Day]]&lt;29,4,IF(TableAopCalendar[[#This Row],[Day]]&lt;32,5)))))</f>
        <v>3</v>
      </c>
      <c r="G2302" s="32" t="str">
        <f t="shared" si="124"/>
        <v>Week 3</v>
      </c>
      <c r="H2302" s="32" t="str">
        <f t="shared" si="125"/>
        <v>July 28 Week 3</v>
      </c>
      <c r="I2302" s="32" t="str">
        <f>CONCATENATE(UPPER(TableAopCalendar[[#This Row],[Month]])," ",TableAopCalendar[[#This Row],[Year]])</f>
        <v>JULY 28</v>
      </c>
      <c r="J2302" s="7" t="s">
        <v>274</v>
      </c>
      <c r="K2302" s="32" t="str">
        <f>CONCATENATE(TableAopCalendar[[#This Row],[Month for Plan]]," ",TableAopCalendar[[#This Row],[Plan]])</f>
        <v>JULY 28 PLANNED</v>
      </c>
    </row>
    <row r="2303" spans="1:11" x14ac:dyDescent="0.3">
      <c r="A2303" s="32">
        <f t="shared" si="123"/>
        <v>5</v>
      </c>
      <c r="B2303" s="33">
        <v>46953</v>
      </c>
      <c r="C2303" s="6" t="s">
        <v>267</v>
      </c>
      <c r="D2303" s="34">
        <v>28</v>
      </c>
      <c r="E2303" s="32">
        <f>DAY(TableAopCalendar[[#This Row],[Date]])</f>
        <v>19</v>
      </c>
      <c r="F2303" s="32">
        <f>IF(TableAopCalendar[[#This Row],[Day]]&lt;8,1,IF(TableAopCalendar[[#This Row],[Day]]&lt;15,2,IF(TableAopCalendar[[#This Row],[Day]]&lt;22,3,IF(TableAopCalendar[[#This Row],[Day]]&lt;29,4,IF(TableAopCalendar[[#This Row],[Day]]&lt;32,5)))))</f>
        <v>3</v>
      </c>
      <c r="G2303" s="32" t="str">
        <f t="shared" si="124"/>
        <v>Week 3</v>
      </c>
      <c r="H2303" s="32" t="str">
        <f t="shared" si="125"/>
        <v>July 28 Week 3</v>
      </c>
      <c r="I2303" s="32" t="str">
        <f>CONCATENATE(UPPER(TableAopCalendar[[#This Row],[Month]])," ",TableAopCalendar[[#This Row],[Year]])</f>
        <v>JULY 28</v>
      </c>
      <c r="J2303" s="7" t="s">
        <v>274</v>
      </c>
      <c r="K2303" s="32" t="str">
        <f>CONCATENATE(TableAopCalendar[[#This Row],[Month for Plan]]," ",TableAopCalendar[[#This Row],[Plan]])</f>
        <v>JULY 28 PLANNED</v>
      </c>
    </row>
    <row r="2304" spans="1:11" x14ac:dyDescent="0.3">
      <c r="A2304" s="32">
        <f t="shared" si="123"/>
        <v>6</v>
      </c>
      <c r="B2304" s="33">
        <v>46954</v>
      </c>
      <c r="C2304" s="6" t="s">
        <v>267</v>
      </c>
      <c r="D2304" s="34">
        <v>28</v>
      </c>
      <c r="E2304" s="32">
        <f>DAY(TableAopCalendar[[#This Row],[Date]])</f>
        <v>20</v>
      </c>
      <c r="F2304" s="32">
        <f>IF(TableAopCalendar[[#This Row],[Day]]&lt;8,1,IF(TableAopCalendar[[#This Row],[Day]]&lt;15,2,IF(TableAopCalendar[[#This Row],[Day]]&lt;22,3,IF(TableAopCalendar[[#This Row],[Day]]&lt;29,4,IF(TableAopCalendar[[#This Row],[Day]]&lt;32,5)))))</f>
        <v>3</v>
      </c>
      <c r="G2304" s="32" t="str">
        <f t="shared" si="124"/>
        <v>Week 3</v>
      </c>
      <c r="H2304" s="32" t="str">
        <f t="shared" si="125"/>
        <v>July 28 Week 3</v>
      </c>
      <c r="I2304" s="32" t="str">
        <f>CONCATENATE(UPPER(TableAopCalendar[[#This Row],[Month]])," ",TableAopCalendar[[#This Row],[Year]])</f>
        <v>JULY 28</v>
      </c>
      <c r="J2304" s="7" t="s">
        <v>274</v>
      </c>
      <c r="K2304" s="32" t="str">
        <f>CONCATENATE(TableAopCalendar[[#This Row],[Month for Plan]]," ",TableAopCalendar[[#This Row],[Plan]])</f>
        <v>JULY 28 PLANNED</v>
      </c>
    </row>
    <row r="2305" spans="1:11" x14ac:dyDescent="0.3">
      <c r="A2305" s="32">
        <f t="shared" si="123"/>
        <v>7</v>
      </c>
      <c r="B2305" s="33">
        <v>46955</v>
      </c>
      <c r="C2305" s="6" t="s">
        <v>267</v>
      </c>
      <c r="D2305" s="34">
        <v>28</v>
      </c>
      <c r="E2305" s="32">
        <f>DAY(TableAopCalendar[[#This Row],[Date]])</f>
        <v>21</v>
      </c>
      <c r="F2305" s="32">
        <f>IF(TableAopCalendar[[#This Row],[Day]]&lt;8,1,IF(TableAopCalendar[[#This Row],[Day]]&lt;15,2,IF(TableAopCalendar[[#This Row],[Day]]&lt;22,3,IF(TableAopCalendar[[#This Row],[Day]]&lt;29,4,IF(TableAopCalendar[[#This Row],[Day]]&lt;32,5)))))</f>
        <v>3</v>
      </c>
      <c r="G2305" s="32" t="str">
        <f t="shared" si="124"/>
        <v>Week 3</v>
      </c>
      <c r="H2305" s="32" t="str">
        <f t="shared" si="125"/>
        <v>July 28 Week 3</v>
      </c>
      <c r="I2305" s="32" t="str">
        <f>CONCATENATE(UPPER(TableAopCalendar[[#This Row],[Month]])," ",TableAopCalendar[[#This Row],[Year]])</f>
        <v>JULY 28</v>
      </c>
      <c r="J2305" s="7" t="s">
        <v>274</v>
      </c>
      <c r="K2305" s="32" t="str">
        <f>CONCATENATE(TableAopCalendar[[#This Row],[Month for Plan]]," ",TableAopCalendar[[#This Row],[Plan]])</f>
        <v>JULY 28 PLANNED</v>
      </c>
    </row>
    <row r="2306" spans="1:11" x14ac:dyDescent="0.3">
      <c r="A2306" s="32">
        <f t="shared" si="123"/>
        <v>1</v>
      </c>
      <c r="B2306" s="33">
        <v>46956</v>
      </c>
      <c r="C2306" s="6" t="s">
        <v>267</v>
      </c>
      <c r="D2306" s="34">
        <v>28</v>
      </c>
      <c r="E2306" s="32">
        <f>DAY(TableAopCalendar[[#This Row],[Date]])</f>
        <v>22</v>
      </c>
      <c r="F2306" s="32">
        <f>IF(TableAopCalendar[[#This Row],[Day]]&lt;8,1,IF(TableAopCalendar[[#This Row],[Day]]&lt;15,2,IF(TableAopCalendar[[#This Row],[Day]]&lt;22,3,IF(TableAopCalendar[[#This Row],[Day]]&lt;29,4,IF(TableAopCalendar[[#This Row],[Day]]&lt;32,5)))))</f>
        <v>4</v>
      </c>
      <c r="G2306" s="32" t="str">
        <f t="shared" si="124"/>
        <v>Week 4</v>
      </c>
      <c r="H2306" s="32" t="str">
        <f t="shared" si="125"/>
        <v>July 28 Week 4</v>
      </c>
      <c r="I2306" s="32" t="str">
        <f>CONCATENATE(UPPER(TableAopCalendar[[#This Row],[Month]])," ",TableAopCalendar[[#This Row],[Year]])</f>
        <v>JULY 28</v>
      </c>
      <c r="J2306" s="7" t="s">
        <v>274</v>
      </c>
      <c r="K2306" s="32" t="str">
        <f>CONCATENATE(TableAopCalendar[[#This Row],[Month for Plan]]," ",TableAopCalendar[[#This Row],[Plan]])</f>
        <v>JULY 28 PLANNED</v>
      </c>
    </row>
    <row r="2307" spans="1:11" x14ac:dyDescent="0.3">
      <c r="A2307" s="32">
        <f t="shared" si="123"/>
        <v>2</v>
      </c>
      <c r="B2307" s="33">
        <v>46957</v>
      </c>
      <c r="C2307" s="6" t="s">
        <v>267</v>
      </c>
      <c r="D2307" s="34">
        <v>28</v>
      </c>
      <c r="E2307" s="32">
        <f>DAY(TableAopCalendar[[#This Row],[Date]])</f>
        <v>23</v>
      </c>
      <c r="F2307" s="32">
        <f>IF(TableAopCalendar[[#This Row],[Day]]&lt;8,1,IF(TableAopCalendar[[#This Row],[Day]]&lt;15,2,IF(TableAopCalendar[[#This Row],[Day]]&lt;22,3,IF(TableAopCalendar[[#This Row],[Day]]&lt;29,4,IF(TableAopCalendar[[#This Row],[Day]]&lt;32,5)))))</f>
        <v>4</v>
      </c>
      <c r="G2307" s="32" t="str">
        <f t="shared" si="124"/>
        <v>Week 4</v>
      </c>
      <c r="H2307" s="32" t="str">
        <f t="shared" si="125"/>
        <v>July 28 Week 4</v>
      </c>
      <c r="I2307" s="32" t="str">
        <f>CONCATENATE(UPPER(TableAopCalendar[[#This Row],[Month]])," ",TableAopCalendar[[#This Row],[Year]])</f>
        <v>JULY 28</v>
      </c>
      <c r="J2307" s="7" t="s">
        <v>274</v>
      </c>
      <c r="K2307" s="32" t="str">
        <f>CONCATENATE(TableAopCalendar[[#This Row],[Month for Plan]]," ",TableAopCalendar[[#This Row],[Plan]])</f>
        <v>JULY 28 PLANNED</v>
      </c>
    </row>
    <row r="2308" spans="1:11" x14ac:dyDescent="0.3">
      <c r="A2308" s="32">
        <f t="shared" si="123"/>
        <v>3</v>
      </c>
      <c r="B2308" s="33">
        <v>46958</v>
      </c>
      <c r="C2308" s="6" t="s">
        <v>267</v>
      </c>
      <c r="D2308" s="34">
        <v>28</v>
      </c>
      <c r="E2308" s="32">
        <f>DAY(TableAopCalendar[[#This Row],[Date]])</f>
        <v>24</v>
      </c>
      <c r="F2308" s="32">
        <f>IF(TableAopCalendar[[#This Row],[Day]]&lt;8,1,IF(TableAopCalendar[[#This Row],[Day]]&lt;15,2,IF(TableAopCalendar[[#This Row],[Day]]&lt;22,3,IF(TableAopCalendar[[#This Row],[Day]]&lt;29,4,IF(TableAopCalendar[[#This Row],[Day]]&lt;32,5)))))</f>
        <v>4</v>
      </c>
      <c r="G2308" s="32" t="str">
        <f t="shared" si="124"/>
        <v>Week 4</v>
      </c>
      <c r="H2308" s="32" t="str">
        <f t="shared" si="125"/>
        <v>July 28 Week 4</v>
      </c>
      <c r="I2308" s="32" t="str">
        <f>CONCATENATE(UPPER(TableAopCalendar[[#This Row],[Month]])," ",TableAopCalendar[[#This Row],[Year]])</f>
        <v>JULY 28</v>
      </c>
      <c r="J2308" s="7" t="s">
        <v>274</v>
      </c>
      <c r="K2308" s="32" t="str">
        <f>CONCATENATE(TableAopCalendar[[#This Row],[Month for Plan]]," ",TableAopCalendar[[#This Row],[Plan]])</f>
        <v>JULY 28 PLANNED</v>
      </c>
    </row>
    <row r="2309" spans="1:11" x14ac:dyDescent="0.3">
      <c r="A2309" s="32">
        <f t="shared" si="123"/>
        <v>4</v>
      </c>
      <c r="B2309" s="33">
        <v>46959</v>
      </c>
      <c r="C2309" s="6" t="s">
        <v>267</v>
      </c>
      <c r="D2309" s="34">
        <v>28</v>
      </c>
      <c r="E2309" s="32">
        <f>DAY(TableAopCalendar[[#This Row],[Date]])</f>
        <v>25</v>
      </c>
      <c r="F2309" s="32">
        <f>IF(TableAopCalendar[[#This Row],[Day]]&lt;8,1,IF(TableAopCalendar[[#This Row],[Day]]&lt;15,2,IF(TableAopCalendar[[#This Row],[Day]]&lt;22,3,IF(TableAopCalendar[[#This Row],[Day]]&lt;29,4,IF(TableAopCalendar[[#This Row],[Day]]&lt;32,5)))))</f>
        <v>4</v>
      </c>
      <c r="G2309" s="32" t="str">
        <f t="shared" si="124"/>
        <v>Week 4</v>
      </c>
      <c r="H2309" s="32" t="str">
        <f t="shared" si="125"/>
        <v>July 28 Week 4</v>
      </c>
      <c r="I2309" s="32" t="str">
        <f>CONCATENATE(UPPER(TableAopCalendar[[#This Row],[Month]])," ",TableAopCalendar[[#This Row],[Year]])</f>
        <v>JULY 28</v>
      </c>
      <c r="J2309" s="7" t="s">
        <v>274</v>
      </c>
      <c r="K2309" s="32" t="str">
        <f>CONCATENATE(TableAopCalendar[[#This Row],[Month for Plan]]," ",TableAopCalendar[[#This Row],[Plan]])</f>
        <v>JULY 28 PLANNED</v>
      </c>
    </row>
    <row r="2310" spans="1:11" x14ac:dyDescent="0.3">
      <c r="A2310" s="32">
        <f t="shared" si="123"/>
        <v>5</v>
      </c>
      <c r="B2310" s="33">
        <v>46960</v>
      </c>
      <c r="C2310" s="6" t="s">
        <v>267</v>
      </c>
      <c r="D2310" s="34">
        <v>28</v>
      </c>
      <c r="E2310" s="32">
        <f>DAY(TableAopCalendar[[#This Row],[Date]])</f>
        <v>26</v>
      </c>
      <c r="F2310" s="32">
        <f>IF(TableAopCalendar[[#This Row],[Day]]&lt;8,1,IF(TableAopCalendar[[#This Row],[Day]]&lt;15,2,IF(TableAopCalendar[[#This Row],[Day]]&lt;22,3,IF(TableAopCalendar[[#This Row],[Day]]&lt;29,4,IF(TableAopCalendar[[#This Row],[Day]]&lt;32,5)))))</f>
        <v>4</v>
      </c>
      <c r="G2310" s="32" t="str">
        <f t="shared" si="124"/>
        <v>Week 4</v>
      </c>
      <c r="H2310" s="32" t="str">
        <f t="shared" si="125"/>
        <v>July 28 Week 4</v>
      </c>
      <c r="I2310" s="32" t="str">
        <f>CONCATENATE(UPPER(TableAopCalendar[[#This Row],[Month]])," ",TableAopCalendar[[#This Row],[Year]])</f>
        <v>JULY 28</v>
      </c>
      <c r="J2310" s="7" t="s">
        <v>274</v>
      </c>
      <c r="K2310" s="32" t="str">
        <f>CONCATENATE(TableAopCalendar[[#This Row],[Month for Plan]]," ",TableAopCalendar[[#This Row],[Plan]])</f>
        <v>JULY 28 PLANNED</v>
      </c>
    </row>
    <row r="2311" spans="1:11" x14ac:dyDescent="0.3">
      <c r="A2311" s="32">
        <f t="shared" si="123"/>
        <v>6</v>
      </c>
      <c r="B2311" s="33">
        <v>46961</v>
      </c>
      <c r="C2311" s="6" t="s">
        <v>267</v>
      </c>
      <c r="D2311" s="34">
        <v>28</v>
      </c>
      <c r="E2311" s="32">
        <f>DAY(TableAopCalendar[[#This Row],[Date]])</f>
        <v>27</v>
      </c>
      <c r="F2311" s="32">
        <f>IF(TableAopCalendar[[#This Row],[Day]]&lt;8,1,IF(TableAopCalendar[[#This Row],[Day]]&lt;15,2,IF(TableAopCalendar[[#This Row],[Day]]&lt;22,3,IF(TableAopCalendar[[#This Row],[Day]]&lt;29,4,IF(TableAopCalendar[[#This Row],[Day]]&lt;32,5)))))</f>
        <v>4</v>
      </c>
      <c r="G2311" s="32" t="str">
        <f t="shared" si="124"/>
        <v>Week 4</v>
      </c>
      <c r="H2311" s="32" t="str">
        <f t="shared" si="125"/>
        <v>July 28 Week 4</v>
      </c>
      <c r="I2311" s="32" t="str">
        <f>CONCATENATE(UPPER(TableAopCalendar[[#This Row],[Month]])," ",TableAopCalendar[[#This Row],[Year]])</f>
        <v>JULY 28</v>
      </c>
      <c r="J2311" s="7" t="s">
        <v>274</v>
      </c>
      <c r="K2311" s="32" t="str">
        <f>CONCATENATE(TableAopCalendar[[#This Row],[Month for Plan]]," ",TableAopCalendar[[#This Row],[Plan]])</f>
        <v>JULY 28 PLANNED</v>
      </c>
    </row>
    <row r="2312" spans="1:11" x14ac:dyDescent="0.3">
      <c r="A2312" s="32">
        <f t="shared" si="123"/>
        <v>7</v>
      </c>
      <c r="B2312" s="33">
        <v>46962</v>
      </c>
      <c r="C2312" s="6" t="s">
        <v>267</v>
      </c>
      <c r="D2312" s="34">
        <v>28</v>
      </c>
      <c r="E2312" s="32">
        <f>DAY(TableAopCalendar[[#This Row],[Date]])</f>
        <v>28</v>
      </c>
      <c r="F2312" s="32">
        <f>IF(TableAopCalendar[[#This Row],[Day]]&lt;8,1,IF(TableAopCalendar[[#This Row],[Day]]&lt;15,2,IF(TableAopCalendar[[#This Row],[Day]]&lt;22,3,IF(TableAopCalendar[[#This Row],[Day]]&lt;29,4,IF(TableAopCalendar[[#This Row],[Day]]&lt;32,5)))))</f>
        <v>4</v>
      </c>
      <c r="G2312" s="32" t="str">
        <f t="shared" si="124"/>
        <v>Week 4</v>
      </c>
      <c r="H2312" s="32" t="str">
        <f t="shared" si="125"/>
        <v>July 28 Week 4</v>
      </c>
      <c r="I2312" s="32" t="str">
        <f>CONCATENATE(UPPER(TableAopCalendar[[#This Row],[Month]])," ",TableAopCalendar[[#This Row],[Year]])</f>
        <v>JULY 28</v>
      </c>
      <c r="J2312" s="7" t="s">
        <v>274</v>
      </c>
      <c r="K2312" s="32" t="str">
        <f>CONCATENATE(TableAopCalendar[[#This Row],[Month for Plan]]," ",TableAopCalendar[[#This Row],[Plan]])</f>
        <v>JULY 28 PLANNED</v>
      </c>
    </row>
    <row r="2313" spans="1:11" x14ac:dyDescent="0.3">
      <c r="A2313" s="32">
        <f t="shared" si="123"/>
        <v>1</v>
      </c>
      <c r="B2313" s="33">
        <v>46963</v>
      </c>
      <c r="C2313" s="6" t="s">
        <v>267</v>
      </c>
      <c r="D2313" s="34">
        <v>28</v>
      </c>
      <c r="E2313" s="32">
        <f>DAY(TableAopCalendar[[#This Row],[Date]])</f>
        <v>29</v>
      </c>
      <c r="F2313" s="32">
        <f>IF(TableAopCalendar[[#This Row],[Day]]&lt;8,1,IF(TableAopCalendar[[#This Row],[Day]]&lt;15,2,IF(TableAopCalendar[[#This Row],[Day]]&lt;22,3,IF(TableAopCalendar[[#This Row],[Day]]&lt;29,4,IF(TableAopCalendar[[#This Row],[Day]]&lt;32,5)))))</f>
        <v>5</v>
      </c>
      <c r="G2313" s="32" t="str">
        <f t="shared" si="124"/>
        <v>Week 5</v>
      </c>
      <c r="H2313" s="32" t="str">
        <f t="shared" si="125"/>
        <v>July 28 Week 5</v>
      </c>
      <c r="I2313" s="32" t="str">
        <f>CONCATENATE(UPPER(TableAopCalendar[[#This Row],[Month]])," ",TableAopCalendar[[#This Row],[Year]])</f>
        <v>JULY 28</v>
      </c>
      <c r="J2313" s="7" t="s">
        <v>274</v>
      </c>
      <c r="K2313" s="32" t="str">
        <f>CONCATENATE(TableAopCalendar[[#This Row],[Month for Plan]]," ",TableAopCalendar[[#This Row],[Plan]])</f>
        <v>JULY 28 PLANNED</v>
      </c>
    </row>
    <row r="2314" spans="1:11" x14ac:dyDescent="0.3">
      <c r="A2314" s="32">
        <f t="shared" si="123"/>
        <v>2</v>
      </c>
      <c r="B2314" s="33">
        <v>46964</v>
      </c>
      <c r="C2314" s="6" t="s">
        <v>267</v>
      </c>
      <c r="D2314" s="34">
        <v>28</v>
      </c>
      <c r="E2314" s="32">
        <f>DAY(TableAopCalendar[[#This Row],[Date]])</f>
        <v>30</v>
      </c>
      <c r="F2314" s="32">
        <f>IF(TableAopCalendar[[#This Row],[Day]]&lt;8,1,IF(TableAopCalendar[[#This Row],[Day]]&lt;15,2,IF(TableAopCalendar[[#This Row],[Day]]&lt;22,3,IF(TableAopCalendar[[#This Row],[Day]]&lt;29,4,IF(TableAopCalendar[[#This Row],[Day]]&lt;32,5)))))</f>
        <v>5</v>
      </c>
      <c r="G2314" s="32" t="str">
        <f t="shared" si="124"/>
        <v>Week 5</v>
      </c>
      <c r="H2314" s="32" t="str">
        <f t="shared" si="125"/>
        <v>July 28 Week 5</v>
      </c>
      <c r="I2314" s="32" t="str">
        <f>CONCATENATE(UPPER(TableAopCalendar[[#This Row],[Month]])," ",TableAopCalendar[[#This Row],[Year]])</f>
        <v>JULY 28</v>
      </c>
      <c r="J2314" s="7" t="s">
        <v>274</v>
      </c>
      <c r="K2314" s="32" t="str">
        <f>CONCATENATE(TableAopCalendar[[#This Row],[Month for Plan]]," ",TableAopCalendar[[#This Row],[Plan]])</f>
        <v>JULY 28 PLANNED</v>
      </c>
    </row>
    <row r="2315" spans="1:11" x14ac:dyDescent="0.3">
      <c r="A2315" s="32">
        <f t="shared" si="123"/>
        <v>3</v>
      </c>
      <c r="B2315" s="33">
        <v>46965</v>
      </c>
      <c r="C2315" s="6" t="s">
        <v>267</v>
      </c>
      <c r="D2315" s="34">
        <v>28</v>
      </c>
      <c r="E2315" s="32">
        <f>DAY(TableAopCalendar[[#This Row],[Date]])</f>
        <v>31</v>
      </c>
      <c r="F2315" s="32">
        <f>IF(TableAopCalendar[[#This Row],[Day]]&lt;8,1,IF(TableAopCalendar[[#This Row],[Day]]&lt;15,2,IF(TableAopCalendar[[#This Row],[Day]]&lt;22,3,IF(TableAopCalendar[[#This Row],[Day]]&lt;29,4,IF(TableAopCalendar[[#This Row],[Day]]&lt;32,5)))))</f>
        <v>5</v>
      </c>
      <c r="G2315" s="32" t="str">
        <f t="shared" si="124"/>
        <v>Week 5</v>
      </c>
      <c r="H2315" s="32" t="str">
        <f t="shared" si="125"/>
        <v>July 28 Week 5</v>
      </c>
      <c r="I2315" s="32" t="str">
        <f>CONCATENATE(UPPER(TableAopCalendar[[#This Row],[Month]])," ",TableAopCalendar[[#This Row],[Year]])</f>
        <v>JULY 28</v>
      </c>
      <c r="J2315" s="7" t="s">
        <v>274</v>
      </c>
      <c r="K2315" s="32" t="str">
        <f>CONCATENATE(TableAopCalendar[[#This Row],[Month for Plan]]," ",TableAopCalendar[[#This Row],[Plan]])</f>
        <v>JULY 28 PLANNED</v>
      </c>
    </row>
    <row r="2316" spans="1:11" x14ac:dyDescent="0.3">
      <c r="A2316" s="32">
        <f t="shared" si="123"/>
        <v>1</v>
      </c>
      <c r="B2316" s="33">
        <v>46966</v>
      </c>
      <c r="C2316" s="6" t="s">
        <v>268</v>
      </c>
      <c r="D2316" s="34">
        <v>28</v>
      </c>
      <c r="E2316" s="32">
        <f>DAY(TableAopCalendar[[#This Row],[Date]])</f>
        <v>1</v>
      </c>
      <c r="F2316" s="32">
        <f>IF(TableAopCalendar[[#This Row],[Day]]&lt;8,1,IF(TableAopCalendar[[#This Row],[Day]]&lt;15,2,IF(TableAopCalendar[[#This Row],[Day]]&lt;22,3,IF(TableAopCalendar[[#This Row],[Day]]&lt;29,4,IF(TableAopCalendar[[#This Row],[Day]]&lt;32,5)))))</f>
        <v>1</v>
      </c>
      <c r="G2316" s="32" t="str">
        <f t="shared" si="124"/>
        <v>Week 1</v>
      </c>
      <c r="H2316" s="32" t="str">
        <f t="shared" si="125"/>
        <v>August 28 Week 1</v>
      </c>
      <c r="I2316" s="32" t="str">
        <f>CONCATENATE(UPPER(TableAopCalendar[[#This Row],[Month]])," ",TableAopCalendar[[#This Row],[Year]])</f>
        <v>AUGUST 28</v>
      </c>
      <c r="J2316" s="7" t="s">
        <v>274</v>
      </c>
      <c r="K2316" s="32" t="str">
        <f>CONCATENATE(TableAopCalendar[[#This Row],[Month for Plan]]," ",TableAopCalendar[[#This Row],[Plan]])</f>
        <v>AUGUST 28 PLANNED</v>
      </c>
    </row>
    <row r="2317" spans="1:11" x14ac:dyDescent="0.3">
      <c r="A2317" s="32">
        <f t="shared" si="123"/>
        <v>2</v>
      </c>
      <c r="B2317" s="33">
        <v>46967</v>
      </c>
      <c r="C2317" s="6" t="s">
        <v>268</v>
      </c>
      <c r="D2317" s="34">
        <v>28</v>
      </c>
      <c r="E2317" s="32">
        <f>DAY(TableAopCalendar[[#This Row],[Date]])</f>
        <v>2</v>
      </c>
      <c r="F2317" s="32">
        <f>IF(TableAopCalendar[[#This Row],[Day]]&lt;8,1,IF(TableAopCalendar[[#This Row],[Day]]&lt;15,2,IF(TableAopCalendar[[#This Row],[Day]]&lt;22,3,IF(TableAopCalendar[[#This Row],[Day]]&lt;29,4,IF(TableAopCalendar[[#This Row],[Day]]&lt;32,5)))))</f>
        <v>1</v>
      </c>
      <c r="G2317" s="32" t="str">
        <f t="shared" si="124"/>
        <v>Week 1</v>
      </c>
      <c r="H2317" s="32" t="str">
        <f t="shared" si="125"/>
        <v>August 28 Week 1</v>
      </c>
      <c r="I2317" s="32" t="str">
        <f>CONCATENATE(UPPER(TableAopCalendar[[#This Row],[Month]])," ",TableAopCalendar[[#This Row],[Year]])</f>
        <v>AUGUST 28</v>
      </c>
      <c r="J2317" s="7" t="s">
        <v>274</v>
      </c>
      <c r="K2317" s="32" t="str">
        <f>CONCATENATE(TableAopCalendar[[#This Row],[Month for Plan]]," ",TableAopCalendar[[#This Row],[Plan]])</f>
        <v>AUGUST 28 PLANNED</v>
      </c>
    </row>
    <row r="2318" spans="1:11" x14ac:dyDescent="0.3">
      <c r="A2318" s="32">
        <f t="shared" si="123"/>
        <v>3</v>
      </c>
      <c r="B2318" s="33">
        <v>46968</v>
      </c>
      <c r="C2318" s="6" t="s">
        <v>268</v>
      </c>
      <c r="D2318" s="34">
        <v>28</v>
      </c>
      <c r="E2318" s="32">
        <f>DAY(TableAopCalendar[[#This Row],[Date]])</f>
        <v>3</v>
      </c>
      <c r="F2318" s="32">
        <f>IF(TableAopCalendar[[#This Row],[Day]]&lt;8,1,IF(TableAopCalendar[[#This Row],[Day]]&lt;15,2,IF(TableAopCalendar[[#This Row],[Day]]&lt;22,3,IF(TableAopCalendar[[#This Row],[Day]]&lt;29,4,IF(TableAopCalendar[[#This Row],[Day]]&lt;32,5)))))</f>
        <v>1</v>
      </c>
      <c r="G2318" s="32" t="str">
        <f t="shared" si="124"/>
        <v>Week 1</v>
      </c>
      <c r="H2318" s="32" t="str">
        <f t="shared" si="125"/>
        <v>August 28 Week 1</v>
      </c>
      <c r="I2318" s="32" t="str">
        <f>CONCATENATE(UPPER(TableAopCalendar[[#This Row],[Month]])," ",TableAopCalendar[[#This Row],[Year]])</f>
        <v>AUGUST 28</v>
      </c>
      <c r="J2318" s="7" t="s">
        <v>274</v>
      </c>
      <c r="K2318" s="32" t="str">
        <f>CONCATENATE(TableAopCalendar[[#This Row],[Month for Plan]]," ",TableAopCalendar[[#This Row],[Plan]])</f>
        <v>AUGUST 28 PLANNED</v>
      </c>
    </row>
    <row r="2319" spans="1:11" x14ac:dyDescent="0.3">
      <c r="A2319" s="32">
        <f t="shared" si="123"/>
        <v>4</v>
      </c>
      <c r="B2319" s="33">
        <v>46969</v>
      </c>
      <c r="C2319" s="6" t="s">
        <v>268</v>
      </c>
      <c r="D2319" s="34">
        <v>28</v>
      </c>
      <c r="E2319" s="32">
        <f>DAY(TableAopCalendar[[#This Row],[Date]])</f>
        <v>4</v>
      </c>
      <c r="F2319" s="32">
        <f>IF(TableAopCalendar[[#This Row],[Day]]&lt;8,1,IF(TableAopCalendar[[#This Row],[Day]]&lt;15,2,IF(TableAopCalendar[[#This Row],[Day]]&lt;22,3,IF(TableAopCalendar[[#This Row],[Day]]&lt;29,4,IF(TableAopCalendar[[#This Row],[Day]]&lt;32,5)))))</f>
        <v>1</v>
      </c>
      <c r="G2319" s="32" t="str">
        <f t="shared" si="124"/>
        <v>Week 1</v>
      </c>
      <c r="H2319" s="32" t="str">
        <f t="shared" si="125"/>
        <v>August 28 Week 1</v>
      </c>
      <c r="I2319" s="32" t="str">
        <f>CONCATENATE(UPPER(TableAopCalendar[[#This Row],[Month]])," ",TableAopCalendar[[#This Row],[Year]])</f>
        <v>AUGUST 28</v>
      </c>
      <c r="J2319" s="7" t="s">
        <v>274</v>
      </c>
      <c r="K2319" s="32" t="str">
        <f>CONCATENATE(TableAopCalendar[[#This Row],[Month for Plan]]," ",TableAopCalendar[[#This Row],[Plan]])</f>
        <v>AUGUST 28 PLANNED</v>
      </c>
    </row>
    <row r="2320" spans="1:11" x14ac:dyDescent="0.3">
      <c r="A2320" s="32">
        <f t="shared" si="123"/>
        <v>5</v>
      </c>
      <c r="B2320" s="33">
        <v>46970</v>
      </c>
      <c r="C2320" s="6" t="s">
        <v>268</v>
      </c>
      <c r="D2320" s="34">
        <v>28</v>
      </c>
      <c r="E2320" s="32">
        <f>DAY(TableAopCalendar[[#This Row],[Date]])</f>
        <v>5</v>
      </c>
      <c r="F2320" s="32">
        <f>IF(TableAopCalendar[[#This Row],[Day]]&lt;8,1,IF(TableAopCalendar[[#This Row],[Day]]&lt;15,2,IF(TableAopCalendar[[#This Row],[Day]]&lt;22,3,IF(TableAopCalendar[[#This Row],[Day]]&lt;29,4,IF(TableAopCalendar[[#This Row],[Day]]&lt;32,5)))))</f>
        <v>1</v>
      </c>
      <c r="G2320" s="32" t="str">
        <f t="shared" si="124"/>
        <v>Week 1</v>
      </c>
      <c r="H2320" s="32" t="str">
        <f t="shared" si="125"/>
        <v>August 28 Week 1</v>
      </c>
      <c r="I2320" s="32" t="str">
        <f>CONCATENATE(UPPER(TableAopCalendar[[#This Row],[Month]])," ",TableAopCalendar[[#This Row],[Year]])</f>
        <v>AUGUST 28</v>
      </c>
      <c r="J2320" s="7" t="s">
        <v>274</v>
      </c>
      <c r="K2320" s="32" t="str">
        <f>CONCATENATE(TableAopCalendar[[#This Row],[Month for Plan]]," ",TableAopCalendar[[#This Row],[Plan]])</f>
        <v>AUGUST 28 PLANNED</v>
      </c>
    </row>
    <row r="2321" spans="1:11" x14ac:dyDescent="0.3">
      <c r="A2321" s="32">
        <f t="shared" si="123"/>
        <v>6</v>
      </c>
      <c r="B2321" s="33">
        <v>46971</v>
      </c>
      <c r="C2321" s="6" t="s">
        <v>268</v>
      </c>
      <c r="D2321" s="34">
        <v>28</v>
      </c>
      <c r="E2321" s="32">
        <f>DAY(TableAopCalendar[[#This Row],[Date]])</f>
        <v>6</v>
      </c>
      <c r="F2321" s="32">
        <f>IF(TableAopCalendar[[#This Row],[Day]]&lt;8,1,IF(TableAopCalendar[[#This Row],[Day]]&lt;15,2,IF(TableAopCalendar[[#This Row],[Day]]&lt;22,3,IF(TableAopCalendar[[#This Row],[Day]]&lt;29,4,IF(TableAopCalendar[[#This Row],[Day]]&lt;32,5)))))</f>
        <v>1</v>
      </c>
      <c r="G2321" s="32" t="str">
        <f t="shared" si="124"/>
        <v>Week 1</v>
      </c>
      <c r="H2321" s="32" t="str">
        <f t="shared" si="125"/>
        <v>August 28 Week 1</v>
      </c>
      <c r="I2321" s="32" t="str">
        <f>CONCATENATE(UPPER(TableAopCalendar[[#This Row],[Month]])," ",TableAopCalendar[[#This Row],[Year]])</f>
        <v>AUGUST 28</v>
      </c>
      <c r="J2321" s="7" t="s">
        <v>274</v>
      </c>
      <c r="K2321" s="32" t="str">
        <f>CONCATENATE(TableAopCalendar[[#This Row],[Month for Plan]]," ",TableAopCalendar[[#This Row],[Plan]])</f>
        <v>AUGUST 28 PLANNED</v>
      </c>
    </row>
    <row r="2322" spans="1:11" x14ac:dyDescent="0.3">
      <c r="A2322" s="32">
        <f t="shared" si="123"/>
        <v>7</v>
      </c>
      <c r="B2322" s="33">
        <v>46972</v>
      </c>
      <c r="C2322" s="6" t="s">
        <v>268</v>
      </c>
      <c r="D2322" s="34">
        <v>28</v>
      </c>
      <c r="E2322" s="32">
        <f>DAY(TableAopCalendar[[#This Row],[Date]])</f>
        <v>7</v>
      </c>
      <c r="F2322" s="32">
        <f>IF(TableAopCalendar[[#This Row],[Day]]&lt;8,1,IF(TableAopCalendar[[#This Row],[Day]]&lt;15,2,IF(TableAopCalendar[[#This Row],[Day]]&lt;22,3,IF(TableAopCalendar[[#This Row],[Day]]&lt;29,4,IF(TableAopCalendar[[#This Row],[Day]]&lt;32,5)))))</f>
        <v>1</v>
      </c>
      <c r="G2322" s="32" t="str">
        <f t="shared" si="124"/>
        <v>Week 1</v>
      </c>
      <c r="H2322" s="32" t="str">
        <f t="shared" si="125"/>
        <v>August 28 Week 1</v>
      </c>
      <c r="I2322" s="32" t="str">
        <f>CONCATENATE(UPPER(TableAopCalendar[[#This Row],[Month]])," ",TableAopCalendar[[#This Row],[Year]])</f>
        <v>AUGUST 28</v>
      </c>
      <c r="J2322" s="7" t="s">
        <v>274</v>
      </c>
      <c r="K2322" s="32" t="str">
        <f>CONCATENATE(TableAopCalendar[[#This Row],[Month for Plan]]," ",TableAopCalendar[[#This Row],[Plan]])</f>
        <v>AUGUST 28 PLANNED</v>
      </c>
    </row>
    <row r="2323" spans="1:11" x14ac:dyDescent="0.3">
      <c r="A2323" s="32">
        <f t="shared" si="123"/>
        <v>1</v>
      </c>
      <c r="B2323" s="33">
        <v>46973</v>
      </c>
      <c r="C2323" s="6" t="s">
        <v>268</v>
      </c>
      <c r="D2323" s="34">
        <v>28</v>
      </c>
      <c r="E2323" s="32">
        <f>DAY(TableAopCalendar[[#This Row],[Date]])</f>
        <v>8</v>
      </c>
      <c r="F2323" s="32">
        <f>IF(TableAopCalendar[[#This Row],[Day]]&lt;8,1,IF(TableAopCalendar[[#This Row],[Day]]&lt;15,2,IF(TableAopCalendar[[#This Row],[Day]]&lt;22,3,IF(TableAopCalendar[[#This Row],[Day]]&lt;29,4,IF(TableAopCalendar[[#This Row],[Day]]&lt;32,5)))))</f>
        <v>2</v>
      </c>
      <c r="G2323" s="32" t="str">
        <f t="shared" si="124"/>
        <v>Week 2</v>
      </c>
      <c r="H2323" s="32" t="str">
        <f t="shared" si="125"/>
        <v>August 28 Week 2</v>
      </c>
      <c r="I2323" s="32" t="str">
        <f>CONCATENATE(UPPER(TableAopCalendar[[#This Row],[Month]])," ",TableAopCalendar[[#This Row],[Year]])</f>
        <v>AUGUST 28</v>
      </c>
      <c r="J2323" s="7" t="s">
        <v>274</v>
      </c>
      <c r="K2323" s="32" t="str">
        <f>CONCATENATE(TableAopCalendar[[#This Row],[Month for Plan]]," ",TableAopCalendar[[#This Row],[Plan]])</f>
        <v>AUGUST 28 PLANNED</v>
      </c>
    </row>
    <row r="2324" spans="1:11" x14ac:dyDescent="0.3">
      <c r="A2324" s="32">
        <f t="shared" si="123"/>
        <v>2</v>
      </c>
      <c r="B2324" s="33">
        <v>46974</v>
      </c>
      <c r="C2324" s="6" t="s">
        <v>268</v>
      </c>
      <c r="D2324" s="34">
        <v>28</v>
      </c>
      <c r="E2324" s="32">
        <f>DAY(TableAopCalendar[[#This Row],[Date]])</f>
        <v>9</v>
      </c>
      <c r="F2324" s="32">
        <f>IF(TableAopCalendar[[#This Row],[Day]]&lt;8,1,IF(TableAopCalendar[[#This Row],[Day]]&lt;15,2,IF(TableAopCalendar[[#This Row],[Day]]&lt;22,3,IF(TableAopCalendar[[#This Row],[Day]]&lt;29,4,IF(TableAopCalendar[[#This Row],[Day]]&lt;32,5)))))</f>
        <v>2</v>
      </c>
      <c r="G2324" s="32" t="str">
        <f t="shared" si="124"/>
        <v>Week 2</v>
      </c>
      <c r="H2324" s="32" t="str">
        <f t="shared" si="125"/>
        <v>August 28 Week 2</v>
      </c>
      <c r="I2324" s="32" t="str">
        <f>CONCATENATE(UPPER(TableAopCalendar[[#This Row],[Month]])," ",TableAopCalendar[[#This Row],[Year]])</f>
        <v>AUGUST 28</v>
      </c>
      <c r="J2324" s="7" t="s">
        <v>274</v>
      </c>
      <c r="K2324" s="32" t="str">
        <f>CONCATENATE(TableAopCalendar[[#This Row],[Month for Plan]]," ",TableAopCalendar[[#This Row],[Plan]])</f>
        <v>AUGUST 28 PLANNED</v>
      </c>
    </row>
    <row r="2325" spans="1:11" x14ac:dyDescent="0.3">
      <c r="A2325" s="32">
        <f t="shared" si="123"/>
        <v>3</v>
      </c>
      <c r="B2325" s="33">
        <v>46975</v>
      </c>
      <c r="C2325" s="6" t="s">
        <v>268</v>
      </c>
      <c r="D2325" s="34">
        <v>28</v>
      </c>
      <c r="E2325" s="32">
        <f>DAY(TableAopCalendar[[#This Row],[Date]])</f>
        <v>10</v>
      </c>
      <c r="F2325" s="32">
        <f>IF(TableAopCalendar[[#This Row],[Day]]&lt;8,1,IF(TableAopCalendar[[#This Row],[Day]]&lt;15,2,IF(TableAopCalendar[[#This Row],[Day]]&lt;22,3,IF(TableAopCalendar[[#This Row],[Day]]&lt;29,4,IF(TableAopCalendar[[#This Row],[Day]]&lt;32,5)))))</f>
        <v>2</v>
      </c>
      <c r="G2325" s="32" t="str">
        <f t="shared" si="124"/>
        <v>Week 2</v>
      </c>
      <c r="H2325" s="32" t="str">
        <f t="shared" si="125"/>
        <v>August 28 Week 2</v>
      </c>
      <c r="I2325" s="32" t="str">
        <f>CONCATENATE(UPPER(TableAopCalendar[[#This Row],[Month]])," ",TableAopCalendar[[#This Row],[Year]])</f>
        <v>AUGUST 28</v>
      </c>
      <c r="J2325" s="7" t="s">
        <v>274</v>
      </c>
      <c r="K2325" s="32" t="str">
        <f>CONCATENATE(TableAopCalendar[[#This Row],[Month for Plan]]," ",TableAopCalendar[[#This Row],[Plan]])</f>
        <v>AUGUST 28 PLANNED</v>
      </c>
    </row>
    <row r="2326" spans="1:11" x14ac:dyDescent="0.3">
      <c r="A2326" s="32">
        <f t="shared" si="123"/>
        <v>4</v>
      </c>
      <c r="B2326" s="33">
        <v>46976</v>
      </c>
      <c r="C2326" s="6" t="s">
        <v>268</v>
      </c>
      <c r="D2326" s="34">
        <v>28</v>
      </c>
      <c r="E2326" s="32">
        <f>DAY(TableAopCalendar[[#This Row],[Date]])</f>
        <v>11</v>
      </c>
      <c r="F2326" s="32">
        <f>IF(TableAopCalendar[[#This Row],[Day]]&lt;8,1,IF(TableAopCalendar[[#This Row],[Day]]&lt;15,2,IF(TableAopCalendar[[#This Row],[Day]]&lt;22,3,IF(TableAopCalendar[[#This Row],[Day]]&lt;29,4,IF(TableAopCalendar[[#This Row],[Day]]&lt;32,5)))))</f>
        <v>2</v>
      </c>
      <c r="G2326" s="32" t="str">
        <f t="shared" si="124"/>
        <v>Week 2</v>
      </c>
      <c r="H2326" s="32" t="str">
        <f t="shared" si="125"/>
        <v>August 28 Week 2</v>
      </c>
      <c r="I2326" s="32" t="str">
        <f>CONCATENATE(UPPER(TableAopCalendar[[#This Row],[Month]])," ",TableAopCalendar[[#This Row],[Year]])</f>
        <v>AUGUST 28</v>
      </c>
      <c r="J2326" s="7" t="s">
        <v>274</v>
      </c>
      <c r="K2326" s="32" t="str">
        <f>CONCATENATE(TableAopCalendar[[#This Row],[Month for Plan]]," ",TableAopCalendar[[#This Row],[Plan]])</f>
        <v>AUGUST 28 PLANNED</v>
      </c>
    </row>
    <row r="2327" spans="1:11" x14ac:dyDescent="0.3">
      <c r="A2327" s="32">
        <f t="shared" si="123"/>
        <v>5</v>
      </c>
      <c r="B2327" s="33">
        <v>46977</v>
      </c>
      <c r="C2327" s="6" t="s">
        <v>268</v>
      </c>
      <c r="D2327" s="34">
        <v>28</v>
      </c>
      <c r="E2327" s="32">
        <f>DAY(TableAopCalendar[[#This Row],[Date]])</f>
        <v>12</v>
      </c>
      <c r="F2327" s="32">
        <f>IF(TableAopCalendar[[#This Row],[Day]]&lt;8,1,IF(TableAopCalendar[[#This Row],[Day]]&lt;15,2,IF(TableAopCalendar[[#This Row],[Day]]&lt;22,3,IF(TableAopCalendar[[#This Row],[Day]]&lt;29,4,IF(TableAopCalendar[[#This Row],[Day]]&lt;32,5)))))</f>
        <v>2</v>
      </c>
      <c r="G2327" s="32" t="str">
        <f t="shared" si="124"/>
        <v>Week 2</v>
      </c>
      <c r="H2327" s="32" t="str">
        <f t="shared" si="125"/>
        <v>August 28 Week 2</v>
      </c>
      <c r="I2327" s="32" t="str">
        <f>CONCATENATE(UPPER(TableAopCalendar[[#This Row],[Month]])," ",TableAopCalendar[[#This Row],[Year]])</f>
        <v>AUGUST 28</v>
      </c>
      <c r="J2327" s="7" t="s">
        <v>274</v>
      </c>
      <c r="K2327" s="32" t="str">
        <f>CONCATENATE(TableAopCalendar[[#This Row],[Month for Plan]]," ",TableAopCalendar[[#This Row],[Plan]])</f>
        <v>AUGUST 28 PLANNED</v>
      </c>
    </row>
    <row r="2328" spans="1:11" x14ac:dyDescent="0.3">
      <c r="A2328" s="32">
        <f t="shared" si="123"/>
        <v>6</v>
      </c>
      <c r="B2328" s="33">
        <v>46978</v>
      </c>
      <c r="C2328" s="6" t="s">
        <v>268</v>
      </c>
      <c r="D2328" s="34">
        <v>28</v>
      </c>
      <c r="E2328" s="32">
        <f>DAY(TableAopCalendar[[#This Row],[Date]])</f>
        <v>13</v>
      </c>
      <c r="F2328" s="32">
        <f>IF(TableAopCalendar[[#This Row],[Day]]&lt;8,1,IF(TableAopCalendar[[#This Row],[Day]]&lt;15,2,IF(TableAopCalendar[[#This Row],[Day]]&lt;22,3,IF(TableAopCalendar[[#This Row],[Day]]&lt;29,4,IF(TableAopCalendar[[#This Row],[Day]]&lt;32,5)))))</f>
        <v>2</v>
      </c>
      <c r="G2328" s="32" t="str">
        <f t="shared" si="124"/>
        <v>Week 2</v>
      </c>
      <c r="H2328" s="32" t="str">
        <f t="shared" si="125"/>
        <v>August 28 Week 2</v>
      </c>
      <c r="I2328" s="32" t="str">
        <f>CONCATENATE(UPPER(TableAopCalendar[[#This Row],[Month]])," ",TableAopCalendar[[#This Row],[Year]])</f>
        <v>AUGUST 28</v>
      </c>
      <c r="J2328" s="7" t="s">
        <v>274</v>
      </c>
      <c r="K2328" s="32" t="str">
        <f>CONCATENATE(TableAopCalendar[[#This Row],[Month for Plan]]," ",TableAopCalendar[[#This Row],[Plan]])</f>
        <v>AUGUST 28 PLANNED</v>
      </c>
    </row>
    <row r="2329" spans="1:11" x14ac:dyDescent="0.3">
      <c r="A2329" s="32">
        <f t="shared" si="123"/>
        <v>7</v>
      </c>
      <c r="B2329" s="33">
        <v>46979</v>
      </c>
      <c r="C2329" s="6" t="s">
        <v>268</v>
      </c>
      <c r="D2329" s="34">
        <v>28</v>
      </c>
      <c r="E2329" s="32">
        <f>DAY(TableAopCalendar[[#This Row],[Date]])</f>
        <v>14</v>
      </c>
      <c r="F2329" s="32">
        <f>IF(TableAopCalendar[[#This Row],[Day]]&lt;8,1,IF(TableAopCalendar[[#This Row],[Day]]&lt;15,2,IF(TableAopCalendar[[#This Row],[Day]]&lt;22,3,IF(TableAopCalendar[[#This Row],[Day]]&lt;29,4,IF(TableAopCalendar[[#This Row],[Day]]&lt;32,5)))))</f>
        <v>2</v>
      </c>
      <c r="G2329" s="32" t="str">
        <f t="shared" si="124"/>
        <v>Week 2</v>
      </c>
      <c r="H2329" s="32" t="str">
        <f t="shared" si="125"/>
        <v>August 28 Week 2</v>
      </c>
      <c r="I2329" s="32" t="str">
        <f>CONCATENATE(UPPER(TableAopCalendar[[#This Row],[Month]])," ",TableAopCalendar[[#This Row],[Year]])</f>
        <v>AUGUST 28</v>
      </c>
      <c r="J2329" s="7" t="s">
        <v>274</v>
      </c>
      <c r="K2329" s="32" t="str">
        <f>CONCATENATE(TableAopCalendar[[#This Row],[Month for Plan]]," ",TableAopCalendar[[#This Row],[Plan]])</f>
        <v>AUGUST 28 PLANNED</v>
      </c>
    </row>
    <row r="2330" spans="1:11" x14ac:dyDescent="0.3">
      <c r="A2330" s="32">
        <f t="shared" si="123"/>
        <v>1</v>
      </c>
      <c r="B2330" s="33">
        <v>46980</v>
      </c>
      <c r="C2330" s="6" t="s">
        <v>268</v>
      </c>
      <c r="D2330" s="34">
        <v>28</v>
      </c>
      <c r="E2330" s="32">
        <f>DAY(TableAopCalendar[[#This Row],[Date]])</f>
        <v>15</v>
      </c>
      <c r="F2330" s="32">
        <f>IF(TableAopCalendar[[#This Row],[Day]]&lt;8,1,IF(TableAopCalendar[[#This Row],[Day]]&lt;15,2,IF(TableAopCalendar[[#This Row],[Day]]&lt;22,3,IF(TableAopCalendar[[#This Row],[Day]]&lt;29,4,IF(TableAopCalendar[[#This Row],[Day]]&lt;32,5)))))</f>
        <v>3</v>
      </c>
      <c r="G2330" s="32" t="str">
        <f t="shared" si="124"/>
        <v>Week 3</v>
      </c>
      <c r="H2330" s="32" t="str">
        <f t="shared" si="125"/>
        <v>August 28 Week 3</v>
      </c>
      <c r="I2330" s="32" t="str">
        <f>CONCATENATE(UPPER(TableAopCalendar[[#This Row],[Month]])," ",TableAopCalendar[[#This Row],[Year]])</f>
        <v>AUGUST 28</v>
      </c>
      <c r="J2330" s="7" t="s">
        <v>274</v>
      </c>
      <c r="K2330" s="32" t="str">
        <f>CONCATENATE(TableAopCalendar[[#This Row],[Month for Plan]]," ",TableAopCalendar[[#This Row],[Plan]])</f>
        <v>AUGUST 28 PLANNED</v>
      </c>
    </row>
    <row r="2331" spans="1:11" x14ac:dyDescent="0.3">
      <c r="A2331" s="32">
        <f t="shared" si="123"/>
        <v>2</v>
      </c>
      <c r="B2331" s="33">
        <v>46981</v>
      </c>
      <c r="C2331" s="6" t="s">
        <v>268</v>
      </c>
      <c r="D2331" s="34">
        <v>28</v>
      </c>
      <c r="E2331" s="32">
        <f>DAY(TableAopCalendar[[#This Row],[Date]])</f>
        <v>16</v>
      </c>
      <c r="F2331" s="32">
        <f>IF(TableAopCalendar[[#This Row],[Day]]&lt;8,1,IF(TableAopCalendar[[#This Row],[Day]]&lt;15,2,IF(TableAopCalendar[[#This Row],[Day]]&lt;22,3,IF(TableAopCalendar[[#This Row],[Day]]&lt;29,4,IF(TableAopCalendar[[#This Row],[Day]]&lt;32,5)))))</f>
        <v>3</v>
      </c>
      <c r="G2331" s="32" t="str">
        <f t="shared" si="124"/>
        <v>Week 3</v>
      </c>
      <c r="H2331" s="32" t="str">
        <f t="shared" si="125"/>
        <v>August 28 Week 3</v>
      </c>
      <c r="I2331" s="32" t="str">
        <f>CONCATENATE(UPPER(TableAopCalendar[[#This Row],[Month]])," ",TableAopCalendar[[#This Row],[Year]])</f>
        <v>AUGUST 28</v>
      </c>
      <c r="J2331" s="7" t="s">
        <v>274</v>
      </c>
      <c r="K2331" s="32" t="str">
        <f>CONCATENATE(TableAopCalendar[[#This Row],[Month for Plan]]," ",TableAopCalendar[[#This Row],[Plan]])</f>
        <v>AUGUST 28 PLANNED</v>
      </c>
    </row>
    <row r="2332" spans="1:11" x14ac:dyDescent="0.3">
      <c r="A2332" s="32">
        <f t="shared" si="123"/>
        <v>3</v>
      </c>
      <c r="B2332" s="33">
        <v>46982</v>
      </c>
      <c r="C2332" s="6" t="s">
        <v>268</v>
      </c>
      <c r="D2332" s="34">
        <v>28</v>
      </c>
      <c r="E2332" s="32">
        <f>DAY(TableAopCalendar[[#This Row],[Date]])</f>
        <v>17</v>
      </c>
      <c r="F2332" s="32">
        <f>IF(TableAopCalendar[[#This Row],[Day]]&lt;8,1,IF(TableAopCalendar[[#This Row],[Day]]&lt;15,2,IF(TableAopCalendar[[#This Row],[Day]]&lt;22,3,IF(TableAopCalendar[[#This Row],[Day]]&lt;29,4,IF(TableAopCalendar[[#This Row],[Day]]&lt;32,5)))))</f>
        <v>3</v>
      </c>
      <c r="G2332" s="32" t="str">
        <f t="shared" si="124"/>
        <v>Week 3</v>
      </c>
      <c r="H2332" s="32" t="str">
        <f t="shared" si="125"/>
        <v>August 28 Week 3</v>
      </c>
      <c r="I2332" s="32" t="str">
        <f>CONCATENATE(UPPER(TableAopCalendar[[#This Row],[Month]])," ",TableAopCalendar[[#This Row],[Year]])</f>
        <v>AUGUST 28</v>
      </c>
      <c r="J2332" s="7" t="s">
        <v>274</v>
      </c>
      <c r="K2332" s="32" t="str">
        <f>CONCATENATE(TableAopCalendar[[#This Row],[Month for Plan]]," ",TableAopCalendar[[#This Row],[Plan]])</f>
        <v>AUGUST 28 PLANNED</v>
      </c>
    </row>
    <row r="2333" spans="1:11" x14ac:dyDescent="0.3">
      <c r="A2333" s="32">
        <f t="shared" si="123"/>
        <v>4</v>
      </c>
      <c r="B2333" s="33">
        <v>46983</v>
      </c>
      <c r="C2333" s="6" t="s">
        <v>268</v>
      </c>
      <c r="D2333" s="34">
        <v>28</v>
      </c>
      <c r="E2333" s="32">
        <f>DAY(TableAopCalendar[[#This Row],[Date]])</f>
        <v>18</v>
      </c>
      <c r="F2333" s="32">
        <f>IF(TableAopCalendar[[#This Row],[Day]]&lt;8,1,IF(TableAopCalendar[[#This Row],[Day]]&lt;15,2,IF(TableAopCalendar[[#This Row],[Day]]&lt;22,3,IF(TableAopCalendar[[#This Row],[Day]]&lt;29,4,IF(TableAopCalendar[[#This Row],[Day]]&lt;32,5)))))</f>
        <v>3</v>
      </c>
      <c r="G2333" s="32" t="str">
        <f t="shared" si="124"/>
        <v>Week 3</v>
      </c>
      <c r="H2333" s="32" t="str">
        <f t="shared" si="125"/>
        <v>August 28 Week 3</v>
      </c>
      <c r="I2333" s="32" t="str">
        <f>CONCATENATE(UPPER(TableAopCalendar[[#This Row],[Month]])," ",TableAopCalendar[[#This Row],[Year]])</f>
        <v>AUGUST 28</v>
      </c>
      <c r="J2333" s="7" t="s">
        <v>274</v>
      </c>
      <c r="K2333" s="32" t="str">
        <f>CONCATENATE(TableAopCalendar[[#This Row],[Month for Plan]]," ",TableAopCalendar[[#This Row],[Plan]])</f>
        <v>AUGUST 28 PLANNED</v>
      </c>
    </row>
    <row r="2334" spans="1:11" x14ac:dyDescent="0.3">
      <c r="A2334" s="32">
        <f t="shared" si="123"/>
        <v>5</v>
      </c>
      <c r="B2334" s="33">
        <v>46984</v>
      </c>
      <c r="C2334" s="6" t="s">
        <v>268</v>
      </c>
      <c r="D2334" s="34">
        <v>28</v>
      </c>
      <c r="E2334" s="32">
        <f>DAY(TableAopCalendar[[#This Row],[Date]])</f>
        <v>19</v>
      </c>
      <c r="F2334" s="32">
        <f>IF(TableAopCalendar[[#This Row],[Day]]&lt;8,1,IF(TableAopCalendar[[#This Row],[Day]]&lt;15,2,IF(TableAopCalendar[[#This Row],[Day]]&lt;22,3,IF(TableAopCalendar[[#This Row],[Day]]&lt;29,4,IF(TableAopCalendar[[#This Row],[Day]]&lt;32,5)))))</f>
        <v>3</v>
      </c>
      <c r="G2334" s="32" t="str">
        <f t="shared" si="124"/>
        <v>Week 3</v>
      </c>
      <c r="H2334" s="32" t="str">
        <f t="shared" si="125"/>
        <v>August 28 Week 3</v>
      </c>
      <c r="I2334" s="32" t="str">
        <f>CONCATENATE(UPPER(TableAopCalendar[[#This Row],[Month]])," ",TableAopCalendar[[#This Row],[Year]])</f>
        <v>AUGUST 28</v>
      </c>
      <c r="J2334" s="7" t="s">
        <v>274</v>
      </c>
      <c r="K2334" s="32" t="str">
        <f>CONCATENATE(TableAopCalendar[[#This Row],[Month for Plan]]," ",TableAopCalendar[[#This Row],[Plan]])</f>
        <v>AUGUST 28 PLANNED</v>
      </c>
    </row>
    <row r="2335" spans="1:11" x14ac:dyDescent="0.3">
      <c r="A2335" s="32">
        <f t="shared" si="123"/>
        <v>6</v>
      </c>
      <c r="B2335" s="33">
        <v>46985</v>
      </c>
      <c r="C2335" s="6" t="s">
        <v>268</v>
      </c>
      <c r="D2335" s="34">
        <v>28</v>
      </c>
      <c r="E2335" s="32">
        <f>DAY(TableAopCalendar[[#This Row],[Date]])</f>
        <v>20</v>
      </c>
      <c r="F2335" s="32">
        <f>IF(TableAopCalendar[[#This Row],[Day]]&lt;8,1,IF(TableAopCalendar[[#This Row],[Day]]&lt;15,2,IF(TableAopCalendar[[#This Row],[Day]]&lt;22,3,IF(TableAopCalendar[[#This Row],[Day]]&lt;29,4,IF(TableAopCalendar[[#This Row],[Day]]&lt;32,5)))))</f>
        <v>3</v>
      </c>
      <c r="G2335" s="32" t="str">
        <f t="shared" si="124"/>
        <v>Week 3</v>
      </c>
      <c r="H2335" s="32" t="str">
        <f t="shared" si="125"/>
        <v>August 28 Week 3</v>
      </c>
      <c r="I2335" s="32" t="str">
        <f>CONCATENATE(UPPER(TableAopCalendar[[#This Row],[Month]])," ",TableAopCalendar[[#This Row],[Year]])</f>
        <v>AUGUST 28</v>
      </c>
      <c r="J2335" s="7" t="s">
        <v>274</v>
      </c>
      <c r="K2335" s="32" t="str">
        <f>CONCATENATE(TableAopCalendar[[#This Row],[Month for Plan]]," ",TableAopCalendar[[#This Row],[Plan]])</f>
        <v>AUGUST 28 PLANNED</v>
      </c>
    </row>
    <row r="2336" spans="1:11" x14ac:dyDescent="0.3">
      <c r="A2336" s="32">
        <f t="shared" si="123"/>
        <v>7</v>
      </c>
      <c r="B2336" s="33">
        <v>46986</v>
      </c>
      <c r="C2336" s="6" t="s">
        <v>268</v>
      </c>
      <c r="D2336" s="34">
        <v>28</v>
      </c>
      <c r="E2336" s="32">
        <f>DAY(TableAopCalendar[[#This Row],[Date]])</f>
        <v>21</v>
      </c>
      <c r="F2336" s="32">
        <f>IF(TableAopCalendar[[#This Row],[Day]]&lt;8,1,IF(TableAopCalendar[[#This Row],[Day]]&lt;15,2,IF(TableAopCalendar[[#This Row],[Day]]&lt;22,3,IF(TableAopCalendar[[#This Row],[Day]]&lt;29,4,IF(TableAopCalendar[[#This Row],[Day]]&lt;32,5)))))</f>
        <v>3</v>
      </c>
      <c r="G2336" s="32" t="str">
        <f t="shared" si="124"/>
        <v>Week 3</v>
      </c>
      <c r="H2336" s="32" t="str">
        <f t="shared" si="125"/>
        <v>August 28 Week 3</v>
      </c>
      <c r="I2336" s="32" t="str">
        <f>CONCATENATE(UPPER(TableAopCalendar[[#This Row],[Month]])," ",TableAopCalendar[[#This Row],[Year]])</f>
        <v>AUGUST 28</v>
      </c>
      <c r="J2336" s="7" t="s">
        <v>274</v>
      </c>
      <c r="K2336" s="32" t="str">
        <f>CONCATENATE(TableAopCalendar[[#This Row],[Month for Plan]]," ",TableAopCalendar[[#This Row],[Plan]])</f>
        <v>AUGUST 28 PLANNED</v>
      </c>
    </row>
    <row r="2337" spans="1:11" x14ac:dyDescent="0.3">
      <c r="A2337" s="32">
        <f t="shared" si="123"/>
        <v>1</v>
      </c>
      <c r="B2337" s="33">
        <v>46987</v>
      </c>
      <c r="C2337" s="6" t="s">
        <v>268</v>
      </c>
      <c r="D2337" s="34">
        <v>28</v>
      </c>
      <c r="E2337" s="32">
        <f>DAY(TableAopCalendar[[#This Row],[Date]])</f>
        <v>22</v>
      </c>
      <c r="F2337" s="32">
        <f>IF(TableAopCalendar[[#This Row],[Day]]&lt;8,1,IF(TableAopCalendar[[#This Row],[Day]]&lt;15,2,IF(TableAopCalendar[[#This Row],[Day]]&lt;22,3,IF(TableAopCalendar[[#This Row],[Day]]&lt;29,4,IF(TableAopCalendar[[#This Row],[Day]]&lt;32,5)))))</f>
        <v>4</v>
      </c>
      <c r="G2337" s="32" t="str">
        <f t="shared" si="124"/>
        <v>Week 4</v>
      </c>
      <c r="H2337" s="32" t="str">
        <f t="shared" si="125"/>
        <v>August 28 Week 4</v>
      </c>
      <c r="I2337" s="32" t="str">
        <f>CONCATENATE(UPPER(TableAopCalendar[[#This Row],[Month]])," ",TableAopCalendar[[#This Row],[Year]])</f>
        <v>AUGUST 28</v>
      </c>
      <c r="J2337" s="7" t="s">
        <v>274</v>
      </c>
      <c r="K2337" s="32" t="str">
        <f>CONCATENATE(TableAopCalendar[[#This Row],[Month for Plan]]," ",TableAopCalendar[[#This Row],[Plan]])</f>
        <v>AUGUST 28 PLANNED</v>
      </c>
    </row>
    <row r="2338" spans="1:11" x14ac:dyDescent="0.3">
      <c r="A2338" s="32">
        <f t="shared" si="123"/>
        <v>2</v>
      </c>
      <c r="B2338" s="33">
        <v>46988</v>
      </c>
      <c r="C2338" s="6" t="s">
        <v>268</v>
      </c>
      <c r="D2338" s="34">
        <v>28</v>
      </c>
      <c r="E2338" s="32">
        <f>DAY(TableAopCalendar[[#This Row],[Date]])</f>
        <v>23</v>
      </c>
      <c r="F2338" s="32">
        <f>IF(TableAopCalendar[[#This Row],[Day]]&lt;8,1,IF(TableAopCalendar[[#This Row],[Day]]&lt;15,2,IF(TableAopCalendar[[#This Row],[Day]]&lt;22,3,IF(TableAopCalendar[[#This Row],[Day]]&lt;29,4,IF(TableAopCalendar[[#This Row],[Day]]&lt;32,5)))))</f>
        <v>4</v>
      </c>
      <c r="G2338" s="32" t="str">
        <f t="shared" si="124"/>
        <v>Week 4</v>
      </c>
      <c r="H2338" s="32" t="str">
        <f t="shared" si="125"/>
        <v>August 28 Week 4</v>
      </c>
      <c r="I2338" s="32" t="str">
        <f>CONCATENATE(UPPER(TableAopCalendar[[#This Row],[Month]])," ",TableAopCalendar[[#This Row],[Year]])</f>
        <v>AUGUST 28</v>
      </c>
      <c r="J2338" s="7" t="s">
        <v>274</v>
      </c>
      <c r="K2338" s="32" t="str">
        <f>CONCATENATE(TableAopCalendar[[#This Row],[Month for Plan]]," ",TableAopCalendar[[#This Row],[Plan]])</f>
        <v>AUGUST 28 PLANNED</v>
      </c>
    </row>
    <row r="2339" spans="1:11" x14ac:dyDescent="0.3">
      <c r="A2339" s="32">
        <f t="shared" si="123"/>
        <v>3</v>
      </c>
      <c r="B2339" s="33">
        <v>46989</v>
      </c>
      <c r="C2339" s="6" t="s">
        <v>268</v>
      </c>
      <c r="D2339" s="34">
        <v>28</v>
      </c>
      <c r="E2339" s="32">
        <f>DAY(TableAopCalendar[[#This Row],[Date]])</f>
        <v>24</v>
      </c>
      <c r="F2339" s="32">
        <f>IF(TableAopCalendar[[#This Row],[Day]]&lt;8,1,IF(TableAopCalendar[[#This Row],[Day]]&lt;15,2,IF(TableAopCalendar[[#This Row],[Day]]&lt;22,3,IF(TableAopCalendar[[#This Row],[Day]]&lt;29,4,IF(TableAopCalendar[[#This Row],[Day]]&lt;32,5)))))</f>
        <v>4</v>
      </c>
      <c r="G2339" s="32" t="str">
        <f t="shared" si="124"/>
        <v>Week 4</v>
      </c>
      <c r="H2339" s="32" t="str">
        <f t="shared" si="125"/>
        <v>August 28 Week 4</v>
      </c>
      <c r="I2339" s="32" t="str">
        <f>CONCATENATE(UPPER(TableAopCalendar[[#This Row],[Month]])," ",TableAopCalendar[[#This Row],[Year]])</f>
        <v>AUGUST 28</v>
      </c>
      <c r="J2339" s="7" t="s">
        <v>274</v>
      </c>
      <c r="K2339" s="32" t="str">
        <f>CONCATENATE(TableAopCalendar[[#This Row],[Month for Plan]]," ",TableAopCalendar[[#This Row],[Plan]])</f>
        <v>AUGUST 28 PLANNED</v>
      </c>
    </row>
    <row r="2340" spans="1:11" x14ac:dyDescent="0.3">
      <c r="A2340" s="32">
        <f t="shared" ref="A2340:A2403" si="126">IF(G2340=G2339,A2339+1,1)</f>
        <v>4</v>
      </c>
      <c r="B2340" s="33">
        <v>46990</v>
      </c>
      <c r="C2340" s="6" t="s">
        <v>268</v>
      </c>
      <c r="D2340" s="34">
        <v>28</v>
      </c>
      <c r="E2340" s="32">
        <f>DAY(TableAopCalendar[[#This Row],[Date]])</f>
        <v>25</v>
      </c>
      <c r="F2340" s="32">
        <f>IF(TableAopCalendar[[#This Row],[Day]]&lt;8,1,IF(TableAopCalendar[[#This Row],[Day]]&lt;15,2,IF(TableAopCalendar[[#This Row],[Day]]&lt;22,3,IF(TableAopCalendar[[#This Row],[Day]]&lt;29,4,IF(TableAopCalendar[[#This Row],[Day]]&lt;32,5)))))</f>
        <v>4</v>
      </c>
      <c r="G2340" s="32" t="str">
        <f t="shared" ref="G2340:G2403" si="127">"Week"&amp;" "&amp;F2340</f>
        <v>Week 4</v>
      </c>
      <c r="H2340" s="32" t="str">
        <f t="shared" ref="H2340:H2403" si="128">CONCATENATE(C2340," ",D2340," ",G2340)</f>
        <v>August 28 Week 4</v>
      </c>
      <c r="I2340" s="32" t="str">
        <f>CONCATENATE(UPPER(TableAopCalendar[[#This Row],[Month]])," ",TableAopCalendar[[#This Row],[Year]])</f>
        <v>AUGUST 28</v>
      </c>
      <c r="J2340" s="7" t="s">
        <v>274</v>
      </c>
      <c r="K2340" s="32" t="str">
        <f>CONCATENATE(TableAopCalendar[[#This Row],[Month for Plan]]," ",TableAopCalendar[[#This Row],[Plan]])</f>
        <v>AUGUST 28 PLANNED</v>
      </c>
    </row>
    <row r="2341" spans="1:11" x14ac:dyDescent="0.3">
      <c r="A2341" s="32">
        <f t="shared" si="126"/>
        <v>5</v>
      </c>
      <c r="B2341" s="33">
        <v>46991</v>
      </c>
      <c r="C2341" s="6" t="s">
        <v>268</v>
      </c>
      <c r="D2341" s="34">
        <v>28</v>
      </c>
      <c r="E2341" s="32">
        <f>DAY(TableAopCalendar[[#This Row],[Date]])</f>
        <v>26</v>
      </c>
      <c r="F2341" s="32">
        <f>IF(TableAopCalendar[[#This Row],[Day]]&lt;8,1,IF(TableAopCalendar[[#This Row],[Day]]&lt;15,2,IF(TableAopCalendar[[#This Row],[Day]]&lt;22,3,IF(TableAopCalendar[[#This Row],[Day]]&lt;29,4,IF(TableAopCalendar[[#This Row],[Day]]&lt;32,5)))))</f>
        <v>4</v>
      </c>
      <c r="G2341" s="32" t="str">
        <f t="shared" si="127"/>
        <v>Week 4</v>
      </c>
      <c r="H2341" s="32" t="str">
        <f t="shared" si="128"/>
        <v>August 28 Week 4</v>
      </c>
      <c r="I2341" s="32" t="str">
        <f>CONCATENATE(UPPER(TableAopCalendar[[#This Row],[Month]])," ",TableAopCalendar[[#This Row],[Year]])</f>
        <v>AUGUST 28</v>
      </c>
      <c r="J2341" s="7" t="s">
        <v>274</v>
      </c>
      <c r="K2341" s="32" t="str">
        <f>CONCATENATE(TableAopCalendar[[#This Row],[Month for Plan]]," ",TableAopCalendar[[#This Row],[Plan]])</f>
        <v>AUGUST 28 PLANNED</v>
      </c>
    </row>
    <row r="2342" spans="1:11" x14ac:dyDescent="0.3">
      <c r="A2342" s="32">
        <f t="shared" si="126"/>
        <v>6</v>
      </c>
      <c r="B2342" s="33">
        <v>46992</v>
      </c>
      <c r="C2342" s="6" t="s">
        <v>268</v>
      </c>
      <c r="D2342" s="34">
        <v>28</v>
      </c>
      <c r="E2342" s="32">
        <f>DAY(TableAopCalendar[[#This Row],[Date]])</f>
        <v>27</v>
      </c>
      <c r="F2342" s="32">
        <f>IF(TableAopCalendar[[#This Row],[Day]]&lt;8,1,IF(TableAopCalendar[[#This Row],[Day]]&lt;15,2,IF(TableAopCalendar[[#This Row],[Day]]&lt;22,3,IF(TableAopCalendar[[#This Row],[Day]]&lt;29,4,IF(TableAopCalendar[[#This Row],[Day]]&lt;32,5)))))</f>
        <v>4</v>
      </c>
      <c r="G2342" s="32" t="str">
        <f t="shared" si="127"/>
        <v>Week 4</v>
      </c>
      <c r="H2342" s="32" t="str">
        <f t="shared" si="128"/>
        <v>August 28 Week 4</v>
      </c>
      <c r="I2342" s="32" t="str">
        <f>CONCATENATE(UPPER(TableAopCalendar[[#This Row],[Month]])," ",TableAopCalendar[[#This Row],[Year]])</f>
        <v>AUGUST 28</v>
      </c>
      <c r="J2342" s="7" t="s">
        <v>274</v>
      </c>
      <c r="K2342" s="32" t="str">
        <f>CONCATENATE(TableAopCalendar[[#This Row],[Month for Plan]]," ",TableAopCalendar[[#This Row],[Plan]])</f>
        <v>AUGUST 28 PLANNED</v>
      </c>
    </row>
    <row r="2343" spans="1:11" x14ac:dyDescent="0.3">
      <c r="A2343" s="32">
        <f t="shared" si="126"/>
        <v>7</v>
      </c>
      <c r="B2343" s="33">
        <v>46993</v>
      </c>
      <c r="C2343" s="6" t="s">
        <v>268</v>
      </c>
      <c r="D2343" s="34">
        <v>28</v>
      </c>
      <c r="E2343" s="32">
        <f>DAY(TableAopCalendar[[#This Row],[Date]])</f>
        <v>28</v>
      </c>
      <c r="F2343" s="32">
        <f>IF(TableAopCalendar[[#This Row],[Day]]&lt;8,1,IF(TableAopCalendar[[#This Row],[Day]]&lt;15,2,IF(TableAopCalendar[[#This Row],[Day]]&lt;22,3,IF(TableAopCalendar[[#This Row],[Day]]&lt;29,4,IF(TableAopCalendar[[#This Row],[Day]]&lt;32,5)))))</f>
        <v>4</v>
      </c>
      <c r="G2343" s="32" t="str">
        <f t="shared" si="127"/>
        <v>Week 4</v>
      </c>
      <c r="H2343" s="32" t="str">
        <f t="shared" si="128"/>
        <v>August 28 Week 4</v>
      </c>
      <c r="I2343" s="32" t="str">
        <f>CONCATENATE(UPPER(TableAopCalendar[[#This Row],[Month]])," ",TableAopCalendar[[#This Row],[Year]])</f>
        <v>AUGUST 28</v>
      </c>
      <c r="J2343" s="7" t="s">
        <v>274</v>
      </c>
      <c r="K2343" s="32" t="str">
        <f>CONCATENATE(TableAopCalendar[[#This Row],[Month for Plan]]," ",TableAopCalendar[[#This Row],[Plan]])</f>
        <v>AUGUST 28 PLANNED</v>
      </c>
    </row>
    <row r="2344" spans="1:11" x14ac:dyDescent="0.3">
      <c r="A2344" s="32">
        <f t="shared" si="126"/>
        <v>1</v>
      </c>
      <c r="B2344" s="33">
        <v>46994</v>
      </c>
      <c r="C2344" s="6" t="s">
        <v>268</v>
      </c>
      <c r="D2344" s="34">
        <v>28</v>
      </c>
      <c r="E2344" s="32">
        <f>DAY(TableAopCalendar[[#This Row],[Date]])</f>
        <v>29</v>
      </c>
      <c r="F2344" s="32">
        <f>IF(TableAopCalendar[[#This Row],[Day]]&lt;8,1,IF(TableAopCalendar[[#This Row],[Day]]&lt;15,2,IF(TableAopCalendar[[#This Row],[Day]]&lt;22,3,IF(TableAopCalendar[[#This Row],[Day]]&lt;29,4,IF(TableAopCalendar[[#This Row],[Day]]&lt;32,5)))))</f>
        <v>5</v>
      </c>
      <c r="G2344" s="32" t="str">
        <f t="shared" si="127"/>
        <v>Week 5</v>
      </c>
      <c r="H2344" s="32" t="str">
        <f t="shared" si="128"/>
        <v>August 28 Week 5</v>
      </c>
      <c r="I2344" s="32" t="str">
        <f>CONCATENATE(UPPER(TableAopCalendar[[#This Row],[Month]])," ",TableAopCalendar[[#This Row],[Year]])</f>
        <v>AUGUST 28</v>
      </c>
      <c r="J2344" s="7" t="s">
        <v>274</v>
      </c>
      <c r="K2344" s="32" t="str">
        <f>CONCATENATE(TableAopCalendar[[#This Row],[Month for Plan]]," ",TableAopCalendar[[#This Row],[Plan]])</f>
        <v>AUGUST 28 PLANNED</v>
      </c>
    </row>
    <row r="2345" spans="1:11" x14ac:dyDescent="0.3">
      <c r="A2345" s="32">
        <f t="shared" si="126"/>
        <v>2</v>
      </c>
      <c r="B2345" s="33">
        <v>46995</v>
      </c>
      <c r="C2345" s="6" t="s">
        <v>268</v>
      </c>
      <c r="D2345" s="34">
        <v>28</v>
      </c>
      <c r="E2345" s="32">
        <f>DAY(TableAopCalendar[[#This Row],[Date]])</f>
        <v>30</v>
      </c>
      <c r="F2345" s="32">
        <f>IF(TableAopCalendar[[#This Row],[Day]]&lt;8,1,IF(TableAopCalendar[[#This Row],[Day]]&lt;15,2,IF(TableAopCalendar[[#This Row],[Day]]&lt;22,3,IF(TableAopCalendar[[#This Row],[Day]]&lt;29,4,IF(TableAopCalendar[[#This Row],[Day]]&lt;32,5)))))</f>
        <v>5</v>
      </c>
      <c r="G2345" s="32" t="str">
        <f t="shared" si="127"/>
        <v>Week 5</v>
      </c>
      <c r="H2345" s="32" t="str">
        <f t="shared" si="128"/>
        <v>August 28 Week 5</v>
      </c>
      <c r="I2345" s="32" t="str">
        <f>CONCATENATE(UPPER(TableAopCalendar[[#This Row],[Month]])," ",TableAopCalendar[[#This Row],[Year]])</f>
        <v>AUGUST 28</v>
      </c>
      <c r="J2345" s="7" t="s">
        <v>274</v>
      </c>
      <c r="K2345" s="32" t="str">
        <f>CONCATENATE(TableAopCalendar[[#This Row],[Month for Plan]]," ",TableAopCalendar[[#This Row],[Plan]])</f>
        <v>AUGUST 28 PLANNED</v>
      </c>
    </row>
    <row r="2346" spans="1:11" x14ac:dyDescent="0.3">
      <c r="A2346" s="32">
        <f t="shared" si="126"/>
        <v>3</v>
      </c>
      <c r="B2346" s="33">
        <v>46996</v>
      </c>
      <c r="C2346" s="6" t="s">
        <v>268</v>
      </c>
      <c r="D2346" s="34">
        <v>28</v>
      </c>
      <c r="E2346" s="32">
        <f>DAY(TableAopCalendar[[#This Row],[Date]])</f>
        <v>31</v>
      </c>
      <c r="F2346" s="32">
        <f>IF(TableAopCalendar[[#This Row],[Day]]&lt;8,1,IF(TableAopCalendar[[#This Row],[Day]]&lt;15,2,IF(TableAopCalendar[[#This Row],[Day]]&lt;22,3,IF(TableAopCalendar[[#This Row],[Day]]&lt;29,4,IF(TableAopCalendar[[#This Row],[Day]]&lt;32,5)))))</f>
        <v>5</v>
      </c>
      <c r="G2346" s="32" t="str">
        <f t="shared" si="127"/>
        <v>Week 5</v>
      </c>
      <c r="H2346" s="32" t="str">
        <f t="shared" si="128"/>
        <v>August 28 Week 5</v>
      </c>
      <c r="I2346" s="32" t="str">
        <f>CONCATENATE(UPPER(TableAopCalendar[[#This Row],[Month]])," ",TableAopCalendar[[#This Row],[Year]])</f>
        <v>AUGUST 28</v>
      </c>
      <c r="J2346" s="7" t="s">
        <v>274</v>
      </c>
      <c r="K2346" s="32" t="str">
        <f>CONCATENATE(TableAopCalendar[[#This Row],[Month for Plan]]," ",TableAopCalendar[[#This Row],[Plan]])</f>
        <v>AUGUST 28 PLANNED</v>
      </c>
    </row>
    <row r="2347" spans="1:11" x14ac:dyDescent="0.3">
      <c r="A2347" s="32">
        <f t="shared" si="126"/>
        <v>1</v>
      </c>
      <c r="B2347" s="33">
        <v>46997</v>
      </c>
      <c r="C2347" s="6" t="s">
        <v>269</v>
      </c>
      <c r="D2347" s="34">
        <v>28</v>
      </c>
      <c r="E2347" s="32">
        <f>DAY(TableAopCalendar[[#This Row],[Date]])</f>
        <v>1</v>
      </c>
      <c r="F2347" s="32">
        <f>IF(TableAopCalendar[[#This Row],[Day]]&lt;8,1,IF(TableAopCalendar[[#This Row],[Day]]&lt;15,2,IF(TableAopCalendar[[#This Row],[Day]]&lt;22,3,IF(TableAopCalendar[[#This Row],[Day]]&lt;29,4,IF(TableAopCalendar[[#This Row],[Day]]&lt;32,5)))))</f>
        <v>1</v>
      </c>
      <c r="G2347" s="32" t="str">
        <f t="shared" si="127"/>
        <v>Week 1</v>
      </c>
      <c r="H2347" s="32" t="str">
        <f t="shared" si="128"/>
        <v>September 28 Week 1</v>
      </c>
      <c r="I2347" s="32" t="str">
        <f>CONCATENATE(UPPER(TableAopCalendar[[#This Row],[Month]])," ",TableAopCalendar[[#This Row],[Year]])</f>
        <v>SEPTEMBER 28</v>
      </c>
      <c r="J2347" s="7" t="s">
        <v>274</v>
      </c>
      <c r="K2347" s="32" t="str">
        <f>CONCATENATE(TableAopCalendar[[#This Row],[Month for Plan]]," ",TableAopCalendar[[#This Row],[Plan]])</f>
        <v>SEPTEMBER 28 PLANNED</v>
      </c>
    </row>
    <row r="2348" spans="1:11" x14ac:dyDescent="0.3">
      <c r="A2348" s="32">
        <f t="shared" si="126"/>
        <v>2</v>
      </c>
      <c r="B2348" s="33">
        <v>46998</v>
      </c>
      <c r="C2348" s="6" t="s">
        <v>269</v>
      </c>
      <c r="D2348" s="34">
        <v>28</v>
      </c>
      <c r="E2348" s="32">
        <f>DAY(TableAopCalendar[[#This Row],[Date]])</f>
        <v>2</v>
      </c>
      <c r="F2348" s="32">
        <f>IF(TableAopCalendar[[#This Row],[Day]]&lt;8,1,IF(TableAopCalendar[[#This Row],[Day]]&lt;15,2,IF(TableAopCalendar[[#This Row],[Day]]&lt;22,3,IF(TableAopCalendar[[#This Row],[Day]]&lt;29,4,IF(TableAopCalendar[[#This Row],[Day]]&lt;32,5)))))</f>
        <v>1</v>
      </c>
      <c r="G2348" s="32" t="str">
        <f t="shared" si="127"/>
        <v>Week 1</v>
      </c>
      <c r="H2348" s="32" t="str">
        <f t="shared" si="128"/>
        <v>September 28 Week 1</v>
      </c>
      <c r="I2348" s="32" t="str">
        <f>CONCATENATE(UPPER(TableAopCalendar[[#This Row],[Month]])," ",TableAopCalendar[[#This Row],[Year]])</f>
        <v>SEPTEMBER 28</v>
      </c>
      <c r="J2348" s="7" t="s">
        <v>274</v>
      </c>
      <c r="K2348" s="32" t="str">
        <f>CONCATENATE(TableAopCalendar[[#This Row],[Month for Plan]]," ",TableAopCalendar[[#This Row],[Plan]])</f>
        <v>SEPTEMBER 28 PLANNED</v>
      </c>
    </row>
    <row r="2349" spans="1:11" x14ac:dyDescent="0.3">
      <c r="A2349" s="32">
        <f t="shared" si="126"/>
        <v>3</v>
      </c>
      <c r="B2349" s="33">
        <v>46999</v>
      </c>
      <c r="C2349" s="6" t="s">
        <v>269</v>
      </c>
      <c r="D2349" s="34">
        <v>28</v>
      </c>
      <c r="E2349" s="32">
        <f>DAY(TableAopCalendar[[#This Row],[Date]])</f>
        <v>3</v>
      </c>
      <c r="F2349" s="32">
        <f>IF(TableAopCalendar[[#This Row],[Day]]&lt;8,1,IF(TableAopCalendar[[#This Row],[Day]]&lt;15,2,IF(TableAopCalendar[[#This Row],[Day]]&lt;22,3,IF(TableAopCalendar[[#This Row],[Day]]&lt;29,4,IF(TableAopCalendar[[#This Row],[Day]]&lt;32,5)))))</f>
        <v>1</v>
      </c>
      <c r="G2349" s="32" t="str">
        <f t="shared" si="127"/>
        <v>Week 1</v>
      </c>
      <c r="H2349" s="32" t="str">
        <f t="shared" si="128"/>
        <v>September 28 Week 1</v>
      </c>
      <c r="I2349" s="32" t="str">
        <f>CONCATENATE(UPPER(TableAopCalendar[[#This Row],[Month]])," ",TableAopCalendar[[#This Row],[Year]])</f>
        <v>SEPTEMBER 28</v>
      </c>
      <c r="J2349" s="7" t="s">
        <v>274</v>
      </c>
      <c r="K2349" s="32" t="str">
        <f>CONCATENATE(TableAopCalendar[[#This Row],[Month for Plan]]," ",TableAopCalendar[[#This Row],[Plan]])</f>
        <v>SEPTEMBER 28 PLANNED</v>
      </c>
    </row>
    <row r="2350" spans="1:11" x14ac:dyDescent="0.3">
      <c r="A2350" s="32">
        <f t="shared" si="126"/>
        <v>4</v>
      </c>
      <c r="B2350" s="33">
        <v>47000</v>
      </c>
      <c r="C2350" s="6" t="s">
        <v>269</v>
      </c>
      <c r="D2350" s="34">
        <v>28</v>
      </c>
      <c r="E2350" s="32">
        <f>DAY(TableAopCalendar[[#This Row],[Date]])</f>
        <v>4</v>
      </c>
      <c r="F2350" s="32">
        <f>IF(TableAopCalendar[[#This Row],[Day]]&lt;8,1,IF(TableAopCalendar[[#This Row],[Day]]&lt;15,2,IF(TableAopCalendar[[#This Row],[Day]]&lt;22,3,IF(TableAopCalendar[[#This Row],[Day]]&lt;29,4,IF(TableAopCalendar[[#This Row],[Day]]&lt;32,5)))))</f>
        <v>1</v>
      </c>
      <c r="G2350" s="32" t="str">
        <f t="shared" si="127"/>
        <v>Week 1</v>
      </c>
      <c r="H2350" s="32" t="str">
        <f t="shared" si="128"/>
        <v>September 28 Week 1</v>
      </c>
      <c r="I2350" s="32" t="str">
        <f>CONCATENATE(UPPER(TableAopCalendar[[#This Row],[Month]])," ",TableAopCalendar[[#This Row],[Year]])</f>
        <v>SEPTEMBER 28</v>
      </c>
      <c r="J2350" s="7" t="s">
        <v>274</v>
      </c>
      <c r="K2350" s="32" t="str">
        <f>CONCATENATE(TableAopCalendar[[#This Row],[Month for Plan]]," ",TableAopCalendar[[#This Row],[Plan]])</f>
        <v>SEPTEMBER 28 PLANNED</v>
      </c>
    </row>
    <row r="2351" spans="1:11" x14ac:dyDescent="0.3">
      <c r="A2351" s="32">
        <f t="shared" si="126"/>
        <v>5</v>
      </c>
      <c r="B2351" s="33">
        <v>47001</v>
      </c>
      <c r="C2351" s="6" t="s">
        <v>269</v>
      </c>
      <c r="D2351" s="34">
        <v>28</v>
      </c>
      <c r="E2351" s="32">
        <f>DAY(TableAopCalendar[[#This Row],[Date]])</f>
        <v>5</v>
      </c>
      <c r="F2351" s="32">
        <f>IF(TableAopCalendar[[#This Row],[Day]]&lt;8,1,IF(TableAopCalendar[[#This Row],[Day]]&lt;15,2,IF(TableAopCalendar[[#This Row],[Day]]&lt;22,3,IF(TableAopCalendar[[#This Row],[Day]]&lt;29,4,IF(TableAopCalendar[[#This Row],[Day]]&lt;32,5)))))</f>
        <v>1</v>
      </c>
      <c r="G2351" s="32" t="str">
        <f t="shared" si="127"/>
        <v>Week 1</v>
      </c>
      <c r="H2351" s="32" t="str">
        <f t="shared" si="128"/>
        <v>September 28 Week 1</v>
      </c>
      <c r="I2351" s="32" t="str">
        <f>CONCATENATE(UPPER(TableAopCalendar[[#This Row],[Month]])," ",TableAopCalendar[[#This Row],[Year]])</f>
        <v>SEPTEMBER 28</v>
      </c>
      <c r="J2351" s="7" t="s">
        <v>274</v>
      </c>
      <c r="K2351" s="32" t="str">
        <f>CONCATENATE(TableAopCalendar[[#This Row],[Month for Plan]]," ",TableAopCalendar[[#This Row],[Plan]])</f>
        <v>SEPTEMBER 28 PLANNED</v>
      </c>
    </row>
    <row r="2352" spans="1:11" x14ac:dyDescent="0.3">
      <c r="A2352" s="32">
        <f t="shared" si="126"/>
        <v>6</v>
      </c>
      <c r="B2352" s="33">
        <v>47002</v>
      </c>
      <c r="C2352" s="6" t="s">
        <v>269</v>
      </c>
      <c r="D2352" s="34">
        <v>28</v>
      </c>
      <c r="E2352" s="32">
        <f>DAY(TableAopCalendar[[#This Row],[Date]])</f>
        <v>6</v>
      </c>
      <c r="F2352" s="32">
        <f>IF(TableAopCalendar[[#This Row],[Day]]&lt;8,1,IF(TableAopCalendar[[#This Row],[Day]]&lt;15,2,IF(TableAopCalendar[[#This Row],[Day]]&lt;22,3,IF(TableAopCalendar[[#This Row],[Day]]&lt;29,4,IF(TableAopCalendar[[#This Row],[Day]]&lt;32,5)))))</f>
        <v>1</v>
      </c>
      <c r="G2352" s="32" t="str">
        <f t="shared" si="127"/>
        <v>Week 1</v>
      </c>
      <c r="H2352" s="32" t="str">
        <f t="shared" si="128"/>
        <v>September 28 Week 1</v>
      </c>
      <c r="I2352" s="32" t="str">
        <f>CONCATENATE(UPPER(TableAopCalendar[[#This Row],[Month]])," ",TableAopCalendar[[#This Row],[Year]])</f>
        <v>SEPTEMBER 28</v>
      </c>
      <c r="J2352" s="7" t="s">
        <v>274</v>
      </c>
      <c r="K2352" s="32" t="str">
        <f>CONCATENATE(TableAopCalendar[[#This Row],[Month for Plan]]," ",TableAopCalendar[[#This Row],[Plan]])</f>
        <v>SEPTEMBER 28 PLANNED</v>
      </c>
    </row>
    <row r="2353" spans="1:11" x14ac:dyDescent="0.3">
      <c r="A2353" s="32">
        <f t="shared" si="126"/>
        <v>7</v>
      </c>
      <c r="B2353" s="33">
        <v>47003</v>
      </c>
      <c r="C2353" s="6" t="s">
        <v>269</v>
      </c>
      <c r="D2353" s="34">
        <v>28</v>
      </c>
      <c r="E2353" s="32">
        <f>DAY(TableAopCalendar[[#This Row],[Date]])</f>
        <v>7</v>
      </c>
      <c r="F2353" s="32">
        <f>IF(TableAopCalendar[[#This Row],[Day]]&lt;8,1,IF(TableAopCalendar[[#This Row],[Day]]&lt;15,2,IF(TableAopCalendar[[#This Row],[Day]]&lt;22,3,IF(TableAopCalendar[[#This Row],[Day]]&lt;29,4,IF(TableAopCalendar[[#This Row],[Day]]&lt;32,5)))))</f>
        <v>1</v>
      </c>
      <c r="G2353" s="32" t="str">
        <f t="shared" si="127"/>
        <v>Week 1</v>
      </c>
      <c r="H2353" s="32" t="str">
        <f t="shared" si="128"/>
        <v>September 28 Week 1</v>
      </c>
      <c r="I2353" s="32" t="str">
        <f>CONCATENATE(UPPER(TableAopCalendar[[#This Row],[Month]])," ",TableAopCalendar[[#This Row],[Year]])</f>
        <v>SEPTEMBER 28</v>
      </c>
      <c r="J2353" s="7" t="s">
        <v>274</v>
      </c>
      <c r="K2353" s="32" t="str">
        <f>CONCATENATE(TableAopCalendar[[#This Row],[Month for Plan]]," ",TableAopCalendar[[#This Row],[Plan]])</f>
        <v>SEPTEMBER 28 PLANNED</v>
      </c>
    </row>
    <row r="2354" spans="1:11" x14ac:dyDescent="0.3">
      <c r="A2354" s="32">
        <f t="shared" si="126"/>
        <v>1</v>
      </c>
      <c r="B2354" s="33">
        <v>47004</v>
      </c>
      <c r="C2354" s="6" t="s">
        <v>269</v>
      </c>
      <c r="D2354" s="34">
        <v>28</v>
      </c>
      <c r="E2354" s="32">
        <f>DAY(TableAopCalendar[[#This Row],[Date]])</f>
        <v>8</v>
      </c>
      <c r="F2354" s="32">
        <f>IF(TableAopCalendar[[#This Row],[Day]]&lt;8,1,IF(TableAopCalendar[[#This Row],[Day]]&lt;15,2,IF(TableAopCalendar[[#This Row],[Day]]&lt;22,3,IF(TableAopCalendar[[#This Row],[Day]]&lt;29,4,IF(TableAopCalendar[[#This Row],[Day]]&lt;32,5)))))</f>
        <v>2</v>
      </c>
      <c r="G2354" s="32" t="str">
        <f t="shared" si="127"/>
        <v>Week 2</v>
      </c>
      <c r="H2354" s="32" t="str">
        <f t="shared" si="128"/>
        <v>September 28 Week 2</v>
      </c>
      <c r="I2354" s="32" t="str">
        <f>CONCATENATE(UPPER(TableAopCalendar[[#This Row],[Month]])," ",TableAopCalendar[[#This Row],[Year]])</f>
        <v>SEPTEMBER 28</v>
      </c>
      <c r="J2354" s="7" t="s">
        <v>274</v>
      </c>
      <c r="K2354" s="32" t="str">
        <f>CONCATENATE(TableAopCalendar[[#This Row],[Month for Plan]]," ",TableAopCalendar[[#This Row],[Plan]])</f>
        <v>SEPTEMBER 28 PLANNED</v>
      </c>
    </row>
    <row r="2355" spans="1:11" x14ac:dyDescent="0.3">
      <c r="A2355" s="32">
        <f t="shared" si="126"/>
        <v>2</v>
      </c>
      <c r="B2355" s="33">
        <v>47005</v>
      </c>
      <c r="C2355" s="6" t="s">
        <v>269</v>
      </c>
      <c r="D2355" s="34">
        <v>28</v>
      </c>
      <c r="E2355" s="32">
        <f>DAY(TableAopCalendar[[#This Row],[Date]])</f>
        <v>9</v>
      </c>
      <c r="F2355" s="32">
        <f>IF(TableAopCalendar[[#This Row],[Day]]&lt;8,1,IF(TableAopCalendar[[#This Row],[Day]]&lt;15,2,IF(TableAopCalendar[[#This Row],[Day]]&lt;22,3,IF(TableAopCalendar[[#This Row],[Day]]&lt;29,4,IF(TableAopCalendar[[#This Row],[Day]]&lt;32,5)))))</f>
        <v>2</v>
      </c>
      <c r="G2355" s="32" t="str">
        <f t="shared" si="127"/>
        <v>Week 2</v>
      </c>
      <c r="H2355" s="32" t="str">
        <f t="shared" si="128"/>
        <v>September 28 Week 2</v>
      </c>
      <c r="I2355" s="32" t="str">
        <f>CONCATENATE(UPPER(TableAopCalendar[[#This Row],[Month]])," ",TableAopCalendar[[#This Row],[Year]])</f>
        <v>SEPTEMBER 28</v>
      </c>
      <c r="J2355" s="7" t="s">
        <v>274</v>
      </c>
      <c r="K2355" s="32" t="str">
        <f>CONCATENATE(TableAopCalendar[[#This Row],[Month for Plan]]," ",TableAopCalendar[[#This Row],[Plan]])</f>
        <v>SEPTEMBER 28 PLANNED</v>
      </c>
    </row>
    <row r="2356" spans="1:11" x14ac:dyDescent="0.3">
      <c r="A2356" s="32">
        <f t="shared" si="126"/>
        <v>3</v>
      </c>
      <c r="B2356" s="33">
        <v>47006</v>
      </c>
      <c r="C2356" s="6" t="s">
        <v>269</v>
      </c>
      <c r="D2356" s="34">
        <v>28</v>
      </c>
      <c r="E2356" s="32">
        <f>DAY(TableAopCalendar[[#This Row],[Date]])</f>
        <v>10</v>
      </c>
      <c r="F2356" s="32">
        <f>IF(TableAopCalendar[[#This Row],[Day]]&lt;8,1,IF(TableAopCalendar[[#This Row],[Day]]&lt;15,2,IF(TableAopCalendar[[#This Row],[Day]]&lt;22,3,IF(TableAopCalendar[[#This Row],[Day]]&lt;29,4,IF(TableAopCalendar[[#This Row],[Day]]&lt;32,5)))))</f>
        <v>2</v>
      </c>
      <c r="G2356" s="32" t="str">
        <f t="shared" si="127"/>
        <v>Week 2</v>
      </c>
      <c r="H2356" s="32" t="str">
        <f t="shared" si="128"/>
        <v>September 28 Week 2</v>
      </c>
      <c r="I2356" s="32" t="str">
        <f>CONCATENATE(UPPER(TableAopCalendar[[#This Row],[Month]])," ",TableAopCalendar[[#This Row],[Year]])</f>
        <v>SEPTEMBER 28</v>
      </c>
      <c r="J2356" s="7" t="s">
        <v>274</v>
      </c>
      <c r="K2356" s="32" t="str">
        <f>CONCATENATE(TableAopCalendar[[#This Row],[Month for Plan]]," ",TableAopCalendar[[#This Row],[Plan]])</f>
        <v>SEPTEMBER 28 PLANNED</v>
      </c>
    </row>
    <row r="2357" spans="1:11" x14ac:dyDescent="0.3">
      <c r="A2357" s="32">
        <f t="shared" si="126"/>
        <v>4</v>
      </c>
      <c r="B2357" s="33">
        <v>47007</v>
      </c>
      <c r="C2357" s="6" t="s">
        <v>269</v>
      </c>
      <c r="D2357" s="34">
        <v>28</v>
      </c>
      <c r="E2357" s="32">
        <f>DAY(TableAopCalendar[[#This Row],[Date]])</f>
        <v>11</v>
      </c>
      <c r="F2357" s="32">
        <f>IF(TableAopCalendar[[#This Row],[Day]]&lt;8,1,IF(TableAopCalendar[[#This Row],[Day]]&lt;15,2,IF(TableAopCalendar[[#This Row],[Day]]&lt;22,3,IF(TableAopCalendar[[#This Row],[Day]]&lt;29,4,IF(TableAopCalendar[[#This Row],[Day]]&lt;32,5)))))</f>
        <v>2</v>
      </c>
      <c r="G2357" s="32" t="str">
        <f t="shared" si="127"/>
        <v>Week 2</v>
      </c>
      <c r="H2357" s="32" t="str">
        <f t="shared" si="128"/>
        <v>September 28 Week 2</v>
      </c>
      <c r="I2357" s="32" t="str">
        <f>CONCATENATE(UPPER(TableAopCalendar[[#This Row],[Month]])," ",TableAopCalendar[[#This Row],[Year]])</f>
        <v>SEPTEMBER 28</v>
      </c>
      <c r="J2357" s="7" t="s">
        <v>274</v>
      </c>
      <c r="K2357" s="32" t="str">
        <f>CONCATENATE(TableAopCalendar[[#This Row],[Month for Plan]]," ",TableAopCalendar[[#This Row],[Plan]])</f>
        <v>SEPTEMBER 28 PLANNED</v>
      </c>
    </row>
    <row r="2358" spans="1:11" x14ac:dyDescent="0.3">
      <c r="A2358" s="32">
        <f t="shared" si="126"/>
        <v>5</v>
      </c>
      <c r="B2358" s="33">
        <v>47008</v>
      </c>
      <c r="C2358" s="6" t="s">
        <v>269</v>
      </c>
      <c r="D2358" s="34">
        <v>28</v>
      </c>
      <c r="E2358" s="32">
        <f>DAY(TableAopCalendar[[#This Row],[Date]])</f>
        <v>12</v>
      </c>
      <c r="F2358" s="32">
        <f>IF(TableAopCalendar[[#This Row],[Day]]&lt;8,1,IF(TableAopCalendar[[#This Row],[Day]]&lt;15,2,IF(TableAopCalendar[[#This Row],[Day]]&lt;22,3,IF(TableAopCalendar[[#This Row],[Day]]&lt;29,4,IF(TableAopCalendar[[#This Row],[Day]]&lt;32,5)))))</f>
        <v>2</v>
      </c>
      <c r="G2358" s="32" t="str">
        <f t="shared" si="127"/>
        <v>Week 2</v>
      </c>
      <c r="H2358" s="32" t="str">
        <f t="shared" si="128"/>
        <v>September 28 Week 2</v>
      </c>
      <c r="I2358" s="32" t="str">
        <f>CONCATENATE(UPPER(TableAopCalendar[[#This Row],[Month]])," ",TableAopCalendar[[#This Row],[Year]])</f>
        <v>SEPTEMBER 28</v>
      </c>
      <c r="J2358" s="7" t="s">
        <v>274</v>
      </c>
      <c r="K2358" s="32" t="str">
        <f>CONCATENATE(TableAopCalendar[[#This Row],[Month for Plan]]," ",TableAopCalendar[[#This Row],[Plan]])</f>
        <v>SEPTEMBER 28 PLANNED</v>
      </c>
    </row>
    <row r="2359" spans="1:11" x14ac:dyDescent="0.3">
      <c r="A2359" s="32">
        <f t="shared" si="126"/>
        <v>6</v>
      </c>
      <c r="B2359" s="33">
        <v>47009</v>
      </c>
      <c r="C2359" s="6" t="s">
        <v>269</v>
      </c>
      <c r="D2359" s="34">
        <v>28</v>
      </c>
      <c r="E2359" s="32">
        <f>DAY(TableAopCalendar[[#This Row],[Date]])</f>
        <v>13</v>
      </c>
      <c r="F2359" s="32">
        <f>IF(TableAopCalendar[[#This Row],[Day]]&lt;8,1,IF(TableAopCalendar[[#This Row],[Day]]&lt;15,2,IF(TableAopCalendar[[#This Row],[Day]]&lt;22,3,IF(TableAopCalendar[[#This Row],[Day]]&lt;29,4,IF(TableAopCalendar[[#This Row],[Day]]&lt;32,5)))))</f>
        <v>2</v>
      </c>
      <c r="G2359" s="32" t="str">
        <f t="shared" si="127"/>
        <v>Week 2</v>
      </c>
      <c r="H2359" s="32" t="str">
        <f t="shared" si="128"/>
        <v>September 28 Week 2</v>
      </c>
      <c r="I2359" s="32" t="str">
        <f>CONCATENATE(UPPER(TableAopCalendar[[#This Row],[Month]])," ",TableAopCalendar[[#This Row],[Year]])</f>
        <v>SEPTEMBER 28</v>
      </c>
      <c r="J2359" s="7" t="s">
        <v>274</v>
      </c>
      <c r="K2359" s="32" t="str">
        <f>CONCATENATE(TableAopCalendar[[#This Row],[Month for Plan]]," ",TableAopCalendar[[#This Row],[Plan]])</f>
        <v>SEPTEMBER 28 PLANNED</v>
      </c>
    </row>
    <row r="2360" spans="1:11" x14ac:dyDescent="0.3">
      <c r="A2360" s="32">
        <f t="shared" si="126"/>
        <v>7</v>
      </c>
      <c r="B2360" s="33">
        <v>47010</v>
      </c>
      <c r="C2360" s="6" t="s">
        <v>269</v>
      </c>
      <c r="D2360" s="34">
        <v>28</v>
      </c>
      <c r="E2360" s="32">
        <f>DAY(TableAopCalendar[[#This Row],[Date]])</f>
        <v>14</v>
      </c>
      <c r="F2360" s="32">
        <f>IF(TableAopCalendar[[#This Row],[Day]]&lt;8,1,IF(TableAopCalendar[[#This Row],[Day]]&lt;15,2,IF(TableAopCalendar[[#This Row],[Day]]&lt;22,3,IF(TableAopCalendar[[#This Row],[Day]]&lt;29,4,IF(TableAopCalendar[[#This Row],[Day]]&lt;32,5)))))</f>
        <v>2</v>
      </c>
      <c r="G2360" s="32" t="str">
        <f t="shared" si="127"/>
        <v>Week 2</v>
      </c>
      <c r="H2360" s="32" t="str">
        <f t="shared" si="128"/>
        <v>September 28 Week 2</v>
      </c>
      <c r="I2360" s="32" t="str">
        <f>CONCATENATE(UPPER(TableAopCalendar[[#This Row],[Month]])," ",TableAopCalendar[[#This Row],[Year]])</f>
        <v>SEPTEMBER 28</v>
      </c>
      <c r="J2360" s="7" t="s">
        <v>274</v>
      </c>
      <c r="K2360" s="32" t="str">
        <f>CONCATENATE(TableAopCalendar[[#This Row],[Month for Plan]]," ",TableAopCalendar[[#This Row],[Plan]])</f>
        <v>SEPTEMBER 28 PLANNED</v>
      </c>
    </row>
    <row r="2361" spans="1:11" x14ac:dyDescent="0.3">
      <c r="A2361" s="32">
        <f t="shared" si="126"/>
        <v>1</v>
      </c>
      <c r="B2361" s="33">
        <v>47011</v>
      </c>
      <c r="C2361" s="6" t="s">
        <v>269</v>
      </c>
      <c r="D2361" s="34">
        <v>28</v>
      </c>
      <c r="E2361" s="32">
        <f>DAY(TableAopCalendar[[#This Row],[Date]])</f>
        <v>15</v>
      </c>
      <c r="F2361" s="32">
        <f>IF(TableAopCalendar[[#This Row],[Day]]&lt;8,1,IF(TableAopCalendar[[#This Row],[Day]]&lt;15,2,IF(TableAopCalendar[[#This Row],[Day]]&lt;22,3,IF(TableAopCalendar[[#This Row],[Day]]&lt;29,4,IF(TableAopCalendar[[#This Row],[Day]]&lt;32,5)))))</f>
        <v>3</v>
      </c>
      <c r="G2361" s="32" t="str">
        <f t="shared" si="127"/>
        <v>Week 3</v>
      </c>
      <c r="H2361" s="32" t="str">
        <f t="shared" si="128"/>
        <v>September 28 Week 3</v>
      </c>
      <c r="I2361" s="32" t="str">
        <f>CONCATENATE(UPPER(TableAopCalendar[[#This Row],[Month]])," ",TableAopCalendar[[#This Row],[Year]])</f>
        <v>SEPTEMBER 28</v>
      </c>
      <c r="J2361" s="7" t="s">
        <v>274</v>
      </c>
      <c r="K2361" s="32" t="str">
        <f>CONCATENATE(TableAopCalendar[[#This Row],[Month for Plan]]," ",TableAopCalendar[[#This Row],[Plan]])</f>
        <v>SEPTEMBER 28 PLANNED</v>
      </c>
    </row>
    <row r="2362" spans="1:11" x14ac:dyDescent="0.3">
      <c r="A2362" s="32">
        <f t="shared" si="126"/>
        <v>2</v>
      </c>
      <c r="B2362" s="33">
        <v>47012</v>
      </c>
      <c r="C2362" s="6" t="s">
        <v>269</v>
      </c>
      <c r="D2362" s="34">
        <v>28</v>
      </c>
      <c r="E2362" s="32">
        <f>DAY(TableAopCalendar[[#This Row],[Date]])</f>
        <v>16</v>
      </c>
      <c r="F2362" s="32">
        <f>IF(TableAopCalendar[[#This Row],[Day]]&lt;8,1,IF(TableAopCalendar[[#This Row],[Day]]&lt;15,2,IF(TableAopCalendar[[#This Row],[Day]]&lt;22,3,IF(TableAopCalendar[[#This Row],[Day]]&lt;29,4,IF(TableAopCalendar[[#This Row],[Day]]&lt;32,5)))))</f>
        <v>3</v>
      </c>
      <c r="G2362" s="32" t="str">
        <f t="shared" si="127"/>
        <v>Week 3</v>
      </c>
      <c r="H2362" s="32" t="str">
        <f t="shared" si="128"/>
        <v>September 28 Week 3</v>
      </c>
      <c r="I2362" s="32" t="str">
        <f>CONCATENATE(UPPER(TableAopCalendar[[#This Row],[Month]])," ",TableAopCalendar[[#This Row],[Year]])</f>
        <v>SEPTEMBER 28</v>
      </c>
      <c r="J2362" s="7" t="s">
        <v>274</v>
      </c>
      <c r="K2362" s="32" t="str">
        <f>CONCATENATE(TableAopCalendar[[#This Row],[Month for Plan]]," ",TableAopCalendar[[#This Row],[Plan]])</f>
        <v>SEPTEMBER 28 PLANNED</v>
      </c>
    </row>
    <row r="2363" spans="1:11" x14ac:dyDescent="0.3">
      <c r="A2363" s="32">
        <f t="shared" si="126"/>
        <v>3</v>
      </c>
      <c r="B2363" s="33">
        <v>47013</v>
      </c>
      <c r="C2363" s="6" t="s">
        <v>269</v>
      </c>
      <c r="D2363" s="34">
        <v>28</v>
      </c>
      <c r="E2363" s="32">
        <f>DAY(TableAopCalendar[[#This Row],[Date]])</f>
        <v>17</v>
      </c>
      <c r="F2363" s="32">
        <f>IF(TableAopCalendar[[#This Row],[Day]]&lt;8,1,IF(TableAopCalendar[[#This Row],[Day]]&lt;15,2,IF(TableAopCalendar[[#This Row],[Day]]&lt;22,3,IF(TableAopCalendar[[#This Row],[Day]]&lt;29,4,IF(TableAopCalendar[[#This Row],[Day]]&lt;32,5)))))</f>
        <v>3</v>
      </c>
      <c r="G2363" s="32" t="str">
        <f t="shared" si="127"/>
        <v>Week 3</v>
      </c>
      <c r="H2363" s="32" t="str">
        <f t="shared" si="128"/>
        <v>September 28 Week 3</v>
      </c>
      <c r="I2363" s="32" t="str">
        <f>CONCATENATE(UPPER(TableAopCalendar[[#This Row],[Month]])," ",TableAopCalendar[[#This Row],[Year]])</f>
        <v>SEPTEMBER 28</v>
      </c>
      <c r="J2363" s="7" t="s">
        <v>274</v>
      </c>
      <c r="K2363" s="32" t="str">
        <f>CONCATENATE(TableAopCalendar[[#This Row],[Month for Plan]]," ",TableAopCalendar[[#This Row],[Plan]])</f>
        <v>SEPTEMBER 28 PLANNED</v>
      </c>
    </row>
    <row r="2364" spans="1:11" x14ac:dyDescent="0.3">
      <c r="A2364" s="32">
        <f t="shared" si="126"/>
        <v>4</v>
      </c>
      <c r="B2364" s="33">
        <v>47014</v>
      </c>
      <c r="C2364" s="6" t="s">
        <v>269</v>
      </c>
      <c r="D2364" s="34">
        <v>28</v>
      </c>
      <c r="E2364" s="32">
        <f>DAY(TableAopCalendar[[#This Row],[Date]])</f>
        <v>18</v>
      </c>
      <c r="F2364" s="32">
        <f>IF(TableAopCalendar[[#This Row],[Day]]&lt;8,1,IF(TableAopCalendar[[#This Row],[Day]]&lt;15,2,IF(TableAopCalendar[[#This Row],[Day]]&lt;22,3,IF(TableAopCalendar[[#This Row],[Day]]&lt;29,4,IF(TableAopCalendar[[#This Row],[Day]]&lt;32,5)))))</f>
        <v>3</v>
      </c>
      <c r="G2364" s="32" t="str">
        <f t="shared" si="127"/>
        <v>Week 3</v>
      </c>
      <c r="H2364" s="32" t="str">
        <f t="shared" si="128"/>
        <v>September 28 Week 3</v>
      </c>
      <c r="I2364" s="32" t="str">
        <f>CONCATENATE(UPPER(TableAopCalendar[[#This Row],[Month]])," ",TableAopCalendar[[#This Row],[Year]])</f>
        <v>SEPTEMBER 28</v>
      </c>
      <c r="J2364" s="7" t="s">
        <v>274</v>
      </c>
      <c r="K2364" s="32" t="str">
        <f>CONCATENATE(TableAopCalendar[[#This Row],[Month for Plan]]," ",TableAopCalendar[[#This Row],[Plan]])</f>
        <v>SEPTEMBER 28 PLANNED</v>
      </c>
    </row>
    <row r="2365" spans="1:11" x14ac:dyDescent="0.3">
      <c r="A2365" s="32">
        <f t="shared" si="126"/>
        <v>5</v>
      </c>
      <c r="B2365" s="33">
        <v>47015</v>
      </c>
      <c r="C2365" s="6" t="s">
        <v>269</v>
      </c>
      <c r="D2365" s="34">
        <v>28</v>
      </c>
      <c r="E2365" s="32">
        <f>DAY(TableAopCalendar[[#This Row],[Date]])</f>
        <v>19</v>
      </c>
      <c r="F2365" s="32">
        <f>IF(TableAopCalendar[[#This Row],[Day]]&lt;8,1,IF(TableAopCalendar[[#This Row],[Day]]&lt;15,2,IF(TableAopCalendar[[#This Row],[Day]]&lt;22,3,IF(TableAopCalendar[[#This Row],[Day]]&lt;29,4,IF(TableAopCalendar[[#This Row],[Day]]&lt;32,5)))))</f>
        <v>3</v>
      </c>
      <c r="G2365" s="32" t="str">
        <f t="shared" si="127"/>
        <v>Week 3</v>
      </c>
      <c r="H2365" s="32" t="str">
        <f t="shared" si="128"/>
        <v>September 28 Week 3</v>
      </c>
      <c r="I2365" s="32" t="str">
        <f>CONCATENATE(UPPER(TableAopCalendar[[#This Row],[Month]])," ",TableAopCalendar[[#This Row],[Year]])</f>
        <v>SEPTEMBER 28</v>
      </c>
      <c r="J2365" s="7" t="s">
        <v>274</v>
      </c>
      <c r="K2365" s="32" t="str">
        <f>CONCATENATE(TableAopCalendar[[#This Row],[Month for Plan]]," ",TableAopCalendar[[#This Row],[Plan]])</f>
        <v>SEPTEMBER 28 PLANNED</v>
      </c>
    </row>
    <row r="2366" spans="1:11" x14ac:dyDescent="0.3">
      <c r="A2366" s="32">
        <f t="shared" si="126"/>
        <v>6</v>
      </c>
      <c r="B2366" s="33">
        <v>47016</v>
      </c>
      <c r="C2366" s="6" t="s">
        <v>269</v>
      </c>
      <c r="D2366" s="34">
        <v>28</v>
      </c>
      <c r="E2366" s="32">
        <f>DAY(TableAopCalendar[[#This Row],[Date]])</f>
        <v>20</v>
      </c>
      <c r="F2366" s="32">
        <f>IF(TableAopCalendar[[#This Row],[Day]]&lt;8,1,IF(TableAopCalendar[[#This Row],[Day]]&lt;15,2,IF(TableAopCalendar[[#This Row],[Day]]&lt;22,3,IF(TableAopCalendar[[#This Row],[Day]]&lt;29,4,IF(TableAopCalendar[[#This Row],[Day]]&lt;32,5)))))</f>
        <v>3</v>
      </c>
      <c r="G2366" s="32" t="str">
        <f t="shared" si="127"/>
        <v>Week 3</v>
      </c>
      <c r="H2366" s="32" t="str">
        <f t="shared" si="128"/>
        <v>September 28 Week 3</v>
      </c>
      <c r="I2366" s="32" t="str">
        <f>CONCATENATE(UPPER(TableAopCalendar[[#This Row],[Month]])," ",TableAopCalendar[[#This Row],[Year]])</f>
        <v>SEPTEMBER 28</v>
      </c>
      <c r="J2366" s="7" t="s">
        <v>274</v>
      </c>
      <c r="K2366" s="32" t="str">
        <f>CONCATENATE(TableAopCalendar[[#This Row],[Month for Plan]]," ",TableAopCalendar[[#This Row],[Plan]])</f>
        <v>SEPTEMBER 28 PLANNED</v>
      </c>
    </row>
    <row r="2367" spans="1:11" x14ac:dyDescent="0.3">
      <c r="A2367" s="32">
        <f t="shared" si="126"/>
        <v>7</v>
      </c>
      <c r="B2367" s="33">
        <v>47017</v>
      </c>
      <c r="C2367" s="6" t="s">
        <v>269</v>
      </c>
      <c r="D2367" s="34">
        <v>28</v>
      </c>
      <c r="E2367" s="32">
        <f>DAY(TableAopCalendar[[#This Row],[Date]])</f>
        <v>21</v>
      </c>
      <c r="F2367" s="32">
        <f>IF(TableAopCalendar[[#This Row],[Day]]&lt;8,1,IF(TableAopCalendar[[#This Row],[Day]]&lt;15,2,IF(TableAopCalendar[[#This Row],[Day]]&lt;22,3,IF(TableAopCalendar[[#This Row],[Day]]&lt;29,4,IF(TableAopCalendar[[#This Row],[Day]]&lt;32,5)))))</f>
        <v>3</v>
      </c>
      <c r="G2367" s="32" t="str">
        <f t="shared" si="127"/>
        <v>Week 3</v>
      </c>
      <c r="H2367" s="32" t="str">
        <f t="shared" si="128"/>
        <v>September 28 Week 3</v>
      </c>
      <c r="I2367" s="32" t="str">
        <f>CONCATENATE(UPPER(TableAopCalendar[[#This Row],[Month]])," ",TableAopCalendar[[#This Row],[Year]])</f>
        <v>SEPTEMBER 28</v>
      </c>
      <c r="J2367" s="7" t="s">
        <v>274</v>
      </c>
      <c r="K2367" s="32" t="str">
        <f>CONCATENATE(TableAopCalendar[[#This Row],[Month for Plan]]," ",TableAopCalendar[[#This Row],[Plan]])</f>
        <v>SEPTEMBER 28 PLANNED</v>
      </c>
    </row>
    <row r="2368" spans="1:11" x14ac:dyDescent="0.3">
      <c r="A2368" s="32">
        <f t="shared" si="126"/>
        <v>1</v>
      </c>
      <c r="B2368" s="33">
        <v>47018</v>
      </c>
      <c r="C2368" s="6" t="s">
        <v>269</v>
      </c>
      <c r="D2368" s="34">
        <v>28</v>
      </c>
      <c r="E2368" s="32">
        <f>DAY(TableAopCalendar[[#This Row],[Date]])</f>
        <v>22</v>
      </c>
      <c r="F2368" s="32">
        <f>IF(TableAopCalendar[[#This Row],[Day]]&lt;8,1,IF(TableAopCalendar[[#This Row],[Day]]&lt;15,2,IF(TableAopCalendar[[#This Row],[Day]]&lt;22,3,IF(TableAopCalendar[[#This Row],[Day]]&lt;29,4,IF(TableAopCalendar[[#This Row],[Day]]&lt;32,5)))))</f>
        <v>4</v>
      </c>
      <c r="G2368" s="32" t="str">
        <f t="shared" si="127"/>
        <v>Week 4</v>
      </c>
      <c r="H2368" s="32" t="str">
        <f t="shared" si="128"/>
        <v>September 28 Week 4</v>
      </c>
      <c r="I2368" s="32" t="str">
        <f>CONCATENATE(UPPER(TableAopCalendar[[#This Row],[Month]])," ",TableAopCalendar[[#This Row],[Year]])</f>
        <v>SEPTEMBER 28</v>
      </c>
      <c r="J2368" s="7" t="s">
        <v>274</v>
      </c>
      <c r="K2368" s="32" t="str">
        <f>CONCATENATE(TableAopCalendar[[#This Row],[Month for Plan]]," ",TableAopCalendar[[#This Row],[Plan]])</f>
        <v>SEPTEMBER 28 PLANNED</v>
      </c>
    </row>
    <row r="2369" spans="1:11" x14ac:dyDescent="0.3">
      <c r="A2369" s="32">
        <f t="shared" si="126"/>
        <v>2</v>
      </c>
      <c r="B2369" s="33">
        <v>47019</v>
      </c>
      <c r="C2369" s="6" t="s">
        <v>269</v>
      </c>
      <c r="D2369" s="34">
        <v>28</v>
      </c>
      <c r="E2369" s="32">
        <f>DAY(TableAopCalendar[[#This Row],[Date]])</f>
        <v>23</v>
      </c>
      <c r="F2369" s="32">
        <f>IF(TableAopCalendar[[#This Row],[Day]]&lt;8,1,IF(TableAopCalendar[[#This Row],[Day]]&lt;15,2,IF(TableAopCalendar[[#This Row],[Day]]&lt;22,3,IF(TableAopCalendar[[#This Row],[Day]]&lt;29,4,IF(TableAopCalendar[[#This Row],[Day]]&lt;32,5)))))</f>
        <v>4</v>
      </c>
      <c r="G2369" s="32" t="str">
        <f t="shared" si="127"/>
        <v>Week 4</v>
      </c>
      <c r="H2369" s="32" t="str">
        <f t="shared" si="128"/>
        <v>September 28 Week 4</v>
      </c>
      <c r="I2369" s="32" t="str">
        <f>CONCATENATE(UPPER(TableAopCalendar[[#This Row],[Month]])," ",TableAopCalendar[[#This Row],[Year]])</f>
        <v>SEPTEMBER 28</v>
      </c>
      <c r="J2369" s="7" t="s">
        <v>274</v>
      </c>
      <c r="K2369" s="32" t="str">
        <f>CONCATENATE(TableAopCalendar[[#This Row],[Month for Plan]]," ",TableAopCalendar[[#This Row],[Plan]])</f>
        <v>SEPTEMBER 28 PLANNED</v>
      </c>
    </row>
    <row r="2370" spans="1:11" x14ac:dyDescent="0.3">
      <c r="A2370" s="32">
        <f t="shared" si="126"/>
        <v>3</v>
      </c>
      <c r="B2370" s="33">
        <v>47020</v>
      </c>
      <c r="C2370" s="6" t="s">
        <v>269</v>
      </c>
      <c r="D2370" s="34">
        <v>28</v>
      </c>
      <c r="E2370" s="32">
        <f>DAY(TableAopCalendar[[#This Row],[Date]])</f>
        <v>24</v>
      </c>
      <c r="F2370" s="32">
        <f>IF(TableAopCalendar[[#This Row],[Day]]&lt;8,1,IF(TableAopCalendar[[#This Row],[Day]]&lt;15,2,IF(TableAopCalendar[[#This Row],[Day]]&lt;22,3,IF(TableAopCalendar[[#This Row],[Day]]&lt;29,4,IF(TableAopCalendar[[#This Row],[Day]]&lt;32,5)))))</f>
        <v>4</v>
      </c>
      <c r="G2370" s="32" t="str">
        <f t="shared" si="127"/>
        <v>Week 4</v>
      </c>
      <c r="H2370" s="32" t="str">
        <f t="shared" si="128"/>
        <v>September 28 Week 4</v>
      </c>
      <c r="I2370" s="32" t="str">
        <f>CONCATENATE(UPPER(TableAopCalendar[[#This Row],[Month]])," ",TableAopCalendar[[#This Row],[Year]])</f>
        <v>SEPTEMBER 28</v>
      </c>
      <c r="J2370" s="7" t="s">
        <v>274</v>
      </c>
      <c r="K2370" s="32" t="str">
        <f>CONCATENATE(TableAopCalendar[[#This Row],[Month for Plan]]," ",TableAopCalendar[[#This Row],[Plan]])</f>
        <v>SEPTEMBER 28 PLANNED</v>
      </c>
    </row>
    <row r="2371" spans="1:11" x14ac:dyDescent="0.3">
      <c r="A2371" s="32">
        <f t="shared" si="126"/>
        <v>4</v>
      </c>
      <c r="B2371" s="33">
        <v>47021</v>
      </c>
      <c r="C2371" s="6" t="s">
        <v>269</v>
      </c>
      <c r="D2371" s="34">
        <v>28</v>
      </c>
      <c r="E2371" s="32">
        <f>DAY(TableAopCalendar[[#This Row],[Date]])</f>
        <v>25</v>
      </c>
      <c r="F2371" s="32">
        <f>IF(TableAopCalendar[[#This Row],[Day]]&lt;8,1,IF(TableAopCalendar[[#This Row],[Day]]&lt;15,2,IF(TableAopCalendar[[#This Row],[Day]]&lt;22,3,IF(TableAopCalendar[[#This Row],[Day]]&lt;29,4,IF(TableAopCalendar[[#This Row],[Day]]&lt;32,5)))))</f>
        <v>4</v>
      </c>
      <c r="G2371" s="32" t="str">
        <f t="shared" si="127"/>
        <v>Week 4</v>
      </c>
      <c r="H2371" s="32" t="str">
        <f t="shared" si="128"/>
        <v>September 28 Week 4</v>
      </c>
      <c r="I2371" s="32" t="str">
        <f>CONCATENATE(UPPER(TableAopCalendar[[#This Row],[Month]])," ",TableAopCalendar[[#This Row],[Year]])</f>
        <v>SEPTEMBER 28</v>
      </c>
      <c r="J2371" s="7" t="s">
        <v>274</v>
      </c>
      <c r="K2371" s="32" t="str">
        <f>CONCATENATE(TableAopCalendar[[#This Row],[Month for Plan]]," ",TableAopCalendar[[#This Row],[Plan]])</f>
        <v>SEPTEMBER 28 PLANNED</v>
      </c>
    </row>
    <row r="2372" spans="1:11" x14ac:dyDescent="0.3">
      <c r="A2372" s="32">
        <f t="shared" si="126"/>
        <v>5</v>
      </c>
      <c r="B2372" s="33">
        <v>47022</v>
      </c>
      <c r="C2372" s="6" t="s">
        <v>269</v>
      </c>
      <c r="D2372" s="34">
        <v>28</v>
      </c>
      <c r="E2372" s="32">
        <f>DAY(TableAopCalendar[[#This Row],[Date]])</f>
        <v>26</v>
      </c>
      <c r="F2372" s="32">
        <f>IF(TableAopCalendar[[#This Row],[Day]]&lt;8,1,IF(TableAopCalendar[[#This Row],[Day]]&lt;15,2,IF(TableAopCalendar[[#This Row],[Day]]&lt;22,3,IF(TableAopCalendar[[#This Row],[Day]]&lt;29,4,IF(TableAopCalendar[[#This Row],[Day]]&lt;32,5)))))</f>
        <v>4</v>
      </c>
      <c r="G2372" s="32" t="str">
        <f t="shared" si="127"/>
        <v>Week 4</v>
      </c>
      <c r="H2372" s="32" t="str">
        <f t="shared" si="128"/>
        <v>September 28 Week 4</v>
      </c>
      <c r="I2372" s="32" t="str">
        <f>CONCATENATE(UPPER(TableAopCalendar[[#This Row],[Month]])," ",TableAopCalendar[[#This Row],[Year]])</f>
        <v>SEPTEMBER 28</v>
      </c>
      <c r="J2372" s="7" t="s">
        <v>274</v>
      </c>
      <c r="K2372" s="32" t="str">
        <f>CONCATENATE(TableAopCalendar[[#This Row],[Month for Plan]]," ",TableAopCalendar[[#This Row],[Plan]])</f>
        <v>SEPTEMBER 28 PLANNED</v>
      </c>
    </row>
    <row r="2373" spans="1:11" x14ac:dyDescent="0.3">
      <c r="A2373" s="32">
        <f t="shared" si="126"/>
        <v>6</v>
      </c>
      <c r="B2373" s="33">
        <v>47023</v>
      </c>
      <c r="C2373" s="6" t="s">
        <v>269</v>
      </c>
      <c r="D2373" s="34">
        <v>28</v>
      </c>
      <c r="E2373" s="32">
        <f>DAY(TableAopCalendar[[#This Row],[Date]])</f>
        <v>27</v>
      </c>
      <c r="F2373" s="32">
        <f>IF(TableAopCalendar[[#This Row],[Day]]&lt;8,1,IF(TableAopCalendar[[#This Row],[Day]]&lt;15,2,IF(TableAopCalendar[[#This Row],[Day]]&lt;22,3,IF(TableAopCalendar[[#This Row],[Day]]&lt;29,4,IF(TableAopCalendar[[#This Row],[Day]]&lt;32,5)))))</f>
        <v>4</v>
      </c>
      <c r="G2373" s="32" t="str">
        <f t="shared" si="127"/>
        <v>Week 4</v>
      </c>
      <c r="H2373" s="32" t="str">
        <f t="shared" si="128"/>
        <v>September 28 Week 4</v>
      </c>
      <c r="I2373" s="32" t="str">
        <f>CONCATENATE(UPPER(TableAopCalendar[[#This Row],[Month]])," ",TableAopCalendar[[#This Row],[Year]])</f>
        <v>SEPTEMBER 28</v>
      </c>
      <c r="J2373" s="7" t="s">
        <v>274</v>
      </c>
      <c r="K2373" s="32" t="str">
        <f>CONCATENATE(TableAopCalendar[[#This Row],[Month for Plan]]," ",TableAopCalendar[[#This Row],[Plan]])</f>
        <v>SEPTEMBER 28 PLANNED</v>
      </c>
    </row>
    <row r="2374" spans="1:11" x14ac:dyDescent="0.3">
      <c r="A2374" s="32">
        <f t="shared" si="126"/>
        <v>7</v>
      </c>
      <c r="B2374" s="33">
        <v>47024</v>
      </c>
      <c r="C2374" s="6" t="s">
        <v>269</v>
      </c>
      <c r="D2374" s="34">
        <v>28</v>
      </c>
      <c r="E2374" s="32">
        <f>DAY(TableAopCalendar[[#This Row],[Date]])</f>
        <v>28</v>
      </c>
      <c r="F2374" s="32">
        <f>IF(TableAopCalendar[[#This Row],[Day]]&lt;8,1,IF(TableAopCalendar[[#This Row],[Day]]&lt;15,2,IF(TableAopCalendar[[#This Row],[Day]]&lt;22,3,IF(TableAopCalendar[[#This Row],[Day]]&lt;29,4,IF(TableAopCalendar[[#This Row],[Day]]&lt;32,5)))))</f>
        <v>4</v>
      </c>
      <c r="G2374" s="32" t="str">
        <f t="shared" si="127"/>
        <v>Week 4</v>
      </c>
      <c r="H2374" s="32" t="str">
        <f t="shared" si="128"/>
        <v>September 28 Week 4</v>
      </c>
      <c r="I2374" s="32" t="str">
        <f>CONCATENATE(UPPER(TableAopCalendar[[#This Row],[Month]])," ",TableAopCalendar[[#This Row],[Year]])</f>
        <v>SEPTEMBER 28</v>
      </c>
      <c r="J2374" s="7" t="s">
        <v>274</v>
      </c>
      <c r="K2374" s="32" t="str">
        <f>CONCATENATE(TableAopCalendar[[#This Row],[Month for Plan]]," ",TableAopCalendar[[#This Row],[Plan]])</f>
        <v>SEPTEMBER 28 PLANNED</v>
      </c>
    </row>
    <row r="2375" spans="1:11" x14ac:dyDescent="0.3">
      <c r="A2375" s="32">
        <f t="shared" si="126"/>
        <v>1</v>
      </c>
      <c r="B2375" s="33">
        <v>47025</v>
      </c>
      <c r="C2375" s="6" t="s">
        <v>269</v>
      </c>
      <c r="D2375" s="34">
        <v>28</v>
      </c>
      <c r="E2375" s="32">
        <f>DAY(TableAopCalendar[[#This Row],[Date]])</f>
        <v>29</v>
      </c>
      <c r="F2375" s="32">
        <f>IF(TableAopCalendar[[#This Row],[Day]]&lt;8,1,IF(TableAopCalendar[[#This Row],[Day]]&lt;15,2,IF(TableAopCalendar[[#This Row],[Day]]&lt;22,3,IF(TableAopCalendar[[#This Row],[Day]]&lt;29,4,IF(TableAopCalendar[[#This Row],[Day]]&lt;32,5)))))</f>
        <v>5</v>
      </c>
      <c r="G2375" s="32" t="str">
        <f t="shared" si="127"/>
        <v>Week 5</v>
      </c>
      <c r="H2375" s="32" t="str">
        <f t="shared" si="128"/>
        <v>September 28 Week 5</v>
      </c>
      <c r="I2375" s="32" t="str">
        <f>CONCATENATE(UPPER(TableAopCalendar[[#This Row],[Month]])," ",TableAopCalendar[[#This Row],[Year]])</f>
        <v>SEPTEMBER 28</v>
      </c>
      <c r="J2375" s="7" t="s">
        <v>274</v>
      </c>
      <c r="K2375" s="32" t="str">
        <f>CONCATENATE(TableAopCalendar[[#This Row],[Month for Plan]]," ",TableAopCalendar[[#This Row],[Plan]])</f>
        <v>SEPTEMBER 28 PLANNED</v>
      </c>
    </row>
    <row r="2376" spans="1:11" x14ac:dyDescent="0.3">
      <c r="A2376" s="32">
        <f t="shared" si="126"/>
        <v>2</v>
      </c>
      <c r="B2376" s="33">
        <v>47026</v>
      </c>
      <c r="C2376" s="6" t="s">
        <v>269</v>
      </c>
      <c r="D2376" s="34">
        <v>28</v>
      </c>
      <c r="E2376" s="32">
        <f>DAY(TableAopCalendar[[#This Row],[Date]])</f>
        <v>30</v>
      </c>
      <c r="F2376" s="32">
        <f>IF(TableAopCalendar[[#This Row],[Day]]&lt;8,1,IF(TableAopCalendar[[#This Row],[Day]]&lt;15,2,IF(TableAopCalendar[[#This Row],[Day]]&lt;22,3,IF(TableAopCalendar[[#This Row],[Day]]&lt;29,4,IF(TableAopCalendar[[#This Row],[Day]]&lt;32,5)))))</f>
        <v>5</v>
      </c>
      <c r="G2376" s="32" t="str">
        <f t="shared" si="127"/>
        <v>Week 5</v>
      </c>
      <c r="H2376" s="32" t="str">
        <f t="shared" si="128"/>
        <v>September 28 Week 5</v>
      </c>
      <c r="I2376" s="32" t="str">
        <f>CONCATENATE(UPPER(TableAopCalendar[[#This Row],[Month]])," ",TableAopCalendar[[#This Row],[Year]])</f>
        <v>SEPTEMBER 28</v>
      </c>
      <c r="J2376" s="7" t="s">
        <v>274</v>
      </c>
      <c r="K2376" s="32" t="str">
        <f>CONCATENATE(TableAopCalendar[[#This Row],[Month for Plan]]," ",TableAopCalendar[[#This Row],[Plan]])</f>
        <v>SEPTEMBER 28 PLANNED</v>
      </c>
    </row>
    <row r="2377" spans="1:11" x14ac:dyDescent="0.3">
      <c r="A2377" s="32">
        <f t="shared" si="126"/>
        <v>1</v>
      </c>
      <c r="B2377" s="33">
        <v>47027</v>
      </c>
      <c r="C2377" s="6" t="s">
        <v>114</v>
      </c>
      <c r="D2377" s="34">
        <v>28</v>
      </c>
      <c r="E2377" s="32">
        <f>DAY(TableAopCalendar[[#This Row],[Date]])</f>
        <v>1</v>
      </c>
      <c r="F2377" s="32">
        <f>IF(TableAopCalendar[[#This Row],[Day]]&lt;8,1,IF(TableAopCalendar[[#This Row],[Day]]&lt;15,2,IF(TableAopCalendar[[#This Row],[Day]]&lt;22,3,IF(TableAopCalendar[[#This Row],[Day]]&lt;29,4,IF(TableAopCalendar[[#This Row],[Day]]&lt;32,5)))))</f>
        <v>1</v>
      </c>
      <c r="G2377" s="32" t="str">
        <f t="shared" si="127"/>
        <v>Week 1</v>
      </c>
      <c r="H2377" s="32" t="str">
        <f t="shared" si="128"/>
        <v>October 28 Week 1</v>
      </c>
      <c r="I2377" s="32" t="str">
        <f>CONCATENATE(UPPER(TableAopCalendar[[#This Row],[Month]])," ",TableAopCalendar[[#This Row],[Year]])</f>
        <v>OCTOBER 28</v>
      </c>
      <c r="J2377" s="7" t="s">
        <v>274</v>
      </c>
      <c r="K2377" s="32" t="str">
        <f>CONCATENATE(TableAopCalendar[[#This Row],[Month for Plan]]," ",TableAopCalendar[[#This Row],[Plan]])</f>
        <v>OCTOBER 28 PLANNED</v>
      </c>
    </row>
    <row r="2378" spans="1:11" x14ac:dyDescent="0.3">
      <c r="A2378" s="32">
        <f t="shared" si="126"/>
        <v>2</v>
      </c>
      <c r="B2378" s="33">
        <v>47028</v>
      </c>
      <c r="C2378" s="6" t="s">
        <v>114</v>
      </c>
      <c r="D2378" s="34">
        <v>28</v>
      </c>
      <c r="E2378" s="32">
        <f>DAY(TableAopCalendar[[#This Row],[Date]])</f>
        <v>2</v>
      </c>
      <c r="F2378" s="32">
        <f>IF(TableAopCalendar[[#This Row],[Day]]&lt;8,1,IF(TableAopCalendar[[#This Row],[Day]]&lt;15,2,IF(TableAopCalendar[[#This Row],[Day]]&lt;22,3,IF(TableAopCalendar[[#This Row],[Day]]&lt;29,4,IF(TableAopCalendar[[#This Row],[Day]]&lt;32,5)))))</f>
        <v>1</v>
      </c>
      <c r="G2378" s="32" t="str">
        <f t="shared" si="127"/>
        <v>Week 1</v>
      </c>
      <c r="H2378" s="32" t="str">
        <f t="shared" si="128"/>
        <v>October 28 Week 1</v>
      </c>
      <c r="I2378" s="32" t="str">
        <f>CONCATENATE(UPPER(TableAopCalendar[[#This Row],[Month]])," ",TableAopCalendar[[#This Row],[Year]])</f>
        <v>OCTOBER 28</v>
      </c>
      <c r="J2378" s="7" t="s">
        <v>274</v>
      </c>
      <c r="K2378" s="32" t="str">
        <f>CONCATENATE(TableAopCalendar[[#This Row],[Month for Plan]]," ",TableAopCalendar[[#This Row],[Plan]])</f>
        <v>OCTOBER 28 PLANNED</v>
      </c>
    </row>
    <row r="2379" spans="1:11" x14ac:dyDescent="0.3">
      <c r="A2379" s="32">
        <f t="shared" si="126"/>
        <v>3</v>
      </c>
      <c r="B2379" s="33">
        <v>47029</v>
      </c>
      <c r="C2379" s="6" t="s">
        <v>114</v>
      </c>
      <c r="D2379" s="34">
        <v>28</v>
      </c>
      <c r="E2379" s="32">
        <f>DAY(TableAopCalendar[[#This Row],[Date]])</f>
        <v>3</v>
      </c>
      <c r="F2379" s="32">
        <f>IF(TableAopCalendar[[#This Row],[Day]]&lt;8,1,IF(TableAopCalendar[[#This Row],[Day]]&lt;15,2,IF(TableAopCalendar[[#This Row],[Day]]&lt;22,3,IF(TableAopCalendar[[#This Row],[Day]]&lt;29,4,IF(TableAopCalendar[[#This Row],[Day]]&lt;32,5)))))</f>
        <v>1</v>
      </c>
      <c r="G2379" s="32" t="str">
        <f t="shared" si="127"/>
        <v>Week 1</v>
      </c>
      <c r="H2379" s="32" t="str">
        <f t="shared" si="128"/>
        <v>October 28 Week 1</v>
      </c>
      <c r="I2379" s="32" t="str">
        <f>CONCATENATE(UPPER(TableAopCalendar[[#This Row],[Month]])," ",TableAopCalendar[[#This Row],[Year]])</f>
        <v>OCTOBER 28</v>
      </c>
      <c r="J2379" s="7" t="s">
        <v>274</v>
      </c>
      <c r="K2379" s="32" t="str">
        <f>CONCATENATE(TableAopCalendar[[#This Row],[Month for Plan]]," ",TableAopCalendar[[#This Row],[Plan]])</f>
        <v>OCTOBER 28 PLANNED</v>
      </c>
    </row>
    <row r="2380" spans="1:11" x14ac:dyDescent="0.3">
      <c r="A2380" s="32">
        <f t="shared" si="126"/>
        <v>4</v>
      </c>
      <c r="B2380" s="33">
        <v>47030</v>
      </c>
      <c r="C2380" s="6" t="s">
        <v>114</v>
      </c>
      <c r="D2380" s="34">
        <v>28</v>
      </c>
      <c r="E2380" s="32">
        <f>DAY(TableAopCalendar[[#This Row],[Date]])</f>
        <v>4</v>
      </c>
      <c r="F2380" s="32">
        <f>IF(TableAopCalendar[[#This Row],[Day]]&lt;8,1,IF(TableAopCalendar[[#This Row],[Day]]&lt;15,2,IF(TableAopCalendar[[#This Row],[Day]]&lt;22,3,IF(TableAopCalendar[[#This Row],[Day]]&lt;29,4,IF(TableAopCalendar[[#This Row],[Day]]&lt;32,5)))))</f>
        <v>1</v>
      </c>
      <c r="G2380" s="32" t="str">
        <f t="shared" si="127"/>
        <v>Week 1</v>
      </c>
      <c r="H2380" s="32" t="str">
        <f t="shared" si="128"/>
        <v>October 28 Week 1</v>
      </c>
      <c r="I2380" s="32" t="str">
        <f>CONCATENATE(UPPER(TableAopCalendar[[#This Row],[Month]])," ",TableAopCalendar[[#This Row],[Year]])</f>
        <v>OCTOBER 28</v>
      </c>
      <c r="J2380" s="7" t="s">
        <v>274</v>
      </c>
      <c r="K2380" s="32" t="str">
        <f>CONCATENATE(TableAopCalendar[[#This Row],[Month for Plan]]," ",TableAopCalendar[[#This Row],[Plan]])</f>
        <v>OCTOBER 28 PLANNED</v>
      </c>
    </row>
    <row r="2381" spans="1:11" x14ac:dyDescent="0.3">
      <c r="A2381" s="32">
        <f t="shared" si="126"/>
        <v>5</v>
      </c>
      <c r="B2381" s="33">
        <v>47031</v>
      </c>
      <c r="C2381" s="6" t="s">
        <v>114</v>
      </c>
      <c r="D2381" s="34">
        <v>28</v>
      </c>
      <c r="E2381" s="32">
        <f>DAY(TableAopCalendar[[#This Row],[Date]])</f>
        <v>5</v>
      </c>
      <c r="F2381" s="32">
        <f>IF(TableAopCalendar[[#This Row],[Day]]&lt;8,1,IF(TableAopCalendar[[#This Row],[Day]]&lt;15,2,IF(TableAopCalendar[[#This Row],[Day]]&lt;22,3,IF(TableAopCalendar[[#This Row],[Day]]&lt;29,4,IF(TableAopCalendar[[#This Row],[Day]]&lt;32,5)))))</f>
        <v>1</v>
      </c>
      <c r="G2381" s="32" t="str">
        <f t="shared" si="127"/>
        <v>Week 1</v>
      </c>
      <c r="H2381" s="32" t="str">
        <f t="shared" si="128"/>
        <v>October 28 Week 1</v>
      </c>
      <c r="I2381" s="32" t="str">
        <f>CONCATENATE(UPPER(TableAopCalendar[[#This Row],[Month]])," ",TableAopCalendar[[#This Row],[Year]])</f>
        <v>OCTOBER 28</v>
      </c>
      <c r="J2381" s="7" t="s">
        <v>274</v>
      </c>
      <c r="K2381" s="32" t="str">
        <f>CONCATENATE(TableAopCalendar[[#This Row],[Month for Plan]]," ",TableAopCalendar[[#This Row],[Plan]])</f>
        <v>OCTOBER 28 PLANNED</v>
      </c>
    </row>
    <row r="2382" spans="1:11" x14ac:dyDescent="0.3">
      <c r="A2382" s="32">
        <f t="shared" si="126"/>
        <v>6</v>
      </c>
      <c r="B2382" s="33">
        <v>47032</v>
      </c>
      <c r="C2382" s="6" t="s">
        <v>114</v>
      </c>
      <c r="D2382" s="34">
        <v>28</v>
      </c>
      <c r="E2382" s="32">
        <f>DAY(TableAopCalendar[[#This Row],[Date]])</f>
        <v>6</v>
      </c>
      <c r="F2382" s="32">
        <f>IF(TableAopCalendar[[#This Row],[Day]]&lt;8,1,IF(TableAopCalendar[[#This Row],[Day]]&lt;15,2,IF(TableAopCalendar[[#This Row],[Day]]&lt;22,3,IF(TableAopCalendar[[#This Row],[Day]]&lt;29,4,IF(TableAopCalendar[[#This Row],[Day]]&lt;32,5)))))</f>
        <v>1</v>
      </c>
      <c r="G2382" s="32" t="str">
        <f t="shared" si="127"/>
        <v>Week 1</v>
      </c>
      <c r="H2382" s="32" t="str">
        <f t="shared" si="128"/>
        <v>October 28 Week 1</v>
      </c>
      <c r="I2382" s="32" t="str">
        <f>CONCATENATE(UPPER(TableAopCalendar[[#This Row],[Month]])," ",TableAopCalendar[[#This Row],[Year]])</f>
        <v>OCTOBER 28</v>
      </c>
      <c r="J2382" s="7" t="s">
        <v>274</v>
      </c>
      <c r="K2382" s="32" t="str">
        <f>CONCATENATE(TableAopCalendar[[#This Row],[Month for Plan]]," ",TableAopCalendar[[#This Row],[Plan]])</f>
        <v>OCTOBER 28 PLANNED</v>
      </c>
    </row>
    <row r="2383" spans="1:11" x14ac:dyDescent="0.3">
      <c r="A2383" s="32">
        <f t="shared" si="126"/>
        <v>7</v>
      </c>
      <c r="B2383" s="33">
        <v>47033</v>
      </c>
      <c r="C2383" s="6" t="s">
        <v>114</v>
      </c>
      <c r="D2383" s="34">
        <v>28</v>
      </c>
      <c r="E2383" s="32">
        <f>DAY(TableAopCalendar[[#This Row],[Date]])</f>
        <v>7</v>
      </c>
      <c r="F2383" s="32">
        <f>IF(TableAopCalendar[[#This Row],[Day]]&lt;8,1,IF(TableAopCalendar[[#This Row],[Day]]&lt;15,2,IF(TableAopCalendar[[#This Row],[Day]]&lt;22,3,IF(TableAopCalendar[[#This Row],[Day]]&lt;29,4,IF(TableAopCalendar[[#This Row],[Day]]&lt;32,5)))))</f>
        <v>1</v>
      </c>
      <c r="G2383" s="32" t="str">
        <f t="shared" si="127"/>
        <v>Week 1</v>
      </c>
      <c r="H2383" s="32" t="str">
        <f t="shared" si="128"/>
        <v>October 28 Week 1</v>
      </c>
      <c r="I2383" s="32" t="str">
        <f>CONCATENATE(UPPER(TableAopCalendar[[#This Row],[Month]])," ",TableAopCalendar[[#This Row],[Year]])</f>
        <v>OCTOBER 28</v>
      </c>
      <c r="J2383" s="7" t="s">
        <v>274</v>
      </c>
      <c r="K2383" s="32" t="str">
        <f>CONCATENATE(TableAopCalendar[[#This Row],[Month for Plan]]," ",TableAopCalendar[[#This Row],[Plan]])</f>
        <v>OCTOBER 28 PLANNED</v>
      </c>
    </row>
    <row r="2384" spans="1:11" x14ac:dyDescent="0.3">
      <c r="A2384" s="32">
        <f t="shared" si="126"/>
        <v>1</v>
      </c>
      <c r="B2384" s="33">
        <v>47034</v>
      </c>
      <c r="C2384" s="6" t="s">
        <v>114</v>
      </c>
      <c r="D2384" s="34">
        <v>28</v>
      </c>
      <c r="E2384" s="32">
        <f>DAY(TableAopCalendar[[#This Row],[Date]])</f>
        <v>8</v>
      </c>
      <c r="F2384" s="32">
        <f>IF(TableAopCalendar[[#This Row],[Day]]&lt;8,1,IF(TableAopCalendar[[#This Row],[Day]]&lt;15,2,IF(TableAopCalendar[[#This Row],[Day]]&lt;22,3,IF(TableAopCalendar[[#This Row],[Day]]&lt;29,4,IF(TableAopCalendar[[#This Row],[Day]]&lt;32,5)))))</f>
        <v>2</v>
      </c>
      <c r="G2384" s="32" t="str">
        <f t="shared" si="127"/>
        <v>Week 2</v>
      </c>
      <c r="H2384" s="32" t="str">
        <f t="shared" si="128"/>
        <v>October 28 Week 2</v>
      </c>
      <c r="I2384" s="32" t="str">
        <f>CONCATENATE(UPPER(TableAopCalendar[[#This Row],[Month]])," ",TableAopCalendar[[#This Row],[Year]])</f>
        <v>OCTOBER 28</v>
      </c>
      <c r="J2384" s="7" t="s">
        <v>274</v>
      </c>
      <c r="K2384" s="32" t="str">
        <f>CONCATENATE(TableAopCalendar[[#This Row],[Month for Plan]]," ",TableAopCalendar[[#This Row],[Plan]])</f>
        <v>OCTOBER 28 PLANNED</v>
      </c>
    </row>
    <row r="2385" spans="1:11" x14ac:dyDescent="0.3">
      <c r="A2385" s="32">
        <f t="shared" si="126"/>
        <v>2</v>
      </c>
      <c r="B2385" s="33">
        <v>47035</v>
      </c>
      <c r="C2385" s="6" t="s">
        <v>114</v>
      </c>
      <c r="D2385" s="34">
        <v>28</v>
      </c>
      <c r="E2385" s="32">
        <f>DAY(TableAopCalendar[[#This Row],[Date]])</f>
        <v>9</v>
      </c>
      <c r="F2385" s="32">
        <f>IF(TableAopCalendar[[#This Row],[Day]]&lt;8,1,IF(TableAopCalendar[[#This Row],[Day]]&lt;15,2,IF(TableAopCalendar[[#This Row],[Day]]&lt;22,3,IF(TableAopCalendar[[#This Row],[Day]]&lt;29,4,IF(TableAopCalendar[[#This Row],[Day]]&lt;32,5)))))</f>
        <v>2</v>
      </c>
      <c r="G2385" s="32" t="str">
        <f t="shared" si="127"/>
        <v>Week 2</v>
      </c>
      <c r="H2385" s="32" t="str">
        <f t="shared" si="128"/>
        <v>October 28 Week 2</v>
      </c>
      <c r="I2385" s="32" t="str">
        <f>CONCATENATE(UPPER(TableAopCalendar[[#This Row],[Month]])," ",TableAopCalendar[[#This Row],[Year]])</f>
        <v>OCTOBER 28</v>
      </c>
      <c r="J2385" s="7" t="s">
        <v>274</v>
      </c>
      <c r="K2385" s="32" t="str">
        <f>CONCATENATE(TableAopCalendar[[#This Row],[Month for Plan]]," ",TableAopCalendar[[#This Row],[Plan]])</f>
        <v>OCTOBER 28 PLANNED</v>
      </c>
    </row>
    <row r="2386" spans="1:11" x14ac:dyDescent="0.3">
      <c r="A2386" s="32">
        <f t="shared" si="126"/>
        <v>3</v>
      </c>
      <c r="B2386" s="33">
        <v>47036</v>
      </c>
      <c r="C2386" s="6" t="s">
        <v>114</v>
      </c>
      <c r="D2386" s="34">
        <v>28</v>
      </c>
      <c r="E2386" s="32">
        <f>DAY(TableAopCalendar[[#This Row],[Date]])</f>
        <v>10</v>
      </c>
      <c r="F2386" s="32">
        <f>IF(TableAopCalendar[[#This Row],[Day]]&lt;8,1,IF(TableAopCalendar[[#This Row],[Day]]&lt;15,2,IF(TableAopCalendar[[#This Row],[Day]]&lt;22,3,IF(TableAopCalendar[[#This Row],[Day]]&lt;29,4,IF(TableAopCalendar[[#This Row],[Day]]&lt;32,5)))))</f>
        <v>2</v>
      </c>
      <c r="G2386" s="32" t="str">
        <f t="shared" si="127"/>
        <v>Week 2</v>
      </c>
      <c r="H2386" s="32" t="str">
        <f t="shared" si="128"/>
        <v>October 28 Week 2</v>
      </c>
      <c r="I2386" s="32" t="str">
        <f>CONCATENATE(UPPER(TableAopCalendar[[#This Row],[Month]])," ",TableAopCalendar[[#This Row],[Year]])</f>
        <v>OCTOBER 28</v>
      </c>
      <c r="J2386" s="7" t="s">
        <v>274</v>
      </c>
      <c r="K2386" s="32" t="str">
        <f>CONCATENATE(TableAopCalendar[[#This Row],[Month for Plan]]," ",TableAopCalendar[[#This Row],[Plan]])</f>
        <v>OCTOBER 28 PLANNED</v>
      </c>
    </row>
    <row r="2387" spans="1:11" x14ac:dyDescent="0.3">
      <c r="A2387" s="32">
        <f t="shared" si="126"/>
        <v>4</v>
      </c>
      <c r="B2387" s="33">
        <v>47037</v>
      </c>
      <c r="C2387" s="6" t="s">
        <v>114</v>
      </c>
      <c r="D2387" s="34">
        <v>28</v>
      </c>
      <c r="E2387" s="32">
        <f>DAY(TableAopCalendar[[#This Row],[Date]])</f>
        <v>11</v>
      </c>
      <c r="F2387" s="32">
        <f>IF(TableAopCalendar[[#This Row],[Day]]&lt;8,1,IF(TableAopCalendar[[#This Row],[Day]]&lt;15,2,IF(TableAopCalendar[[#This Row],[Day]]&lt;22,3,IF(TableAopCalendar[[#This Row],[Day]]&lt;29,4,IF(TableAopCalendar[[#This Row],[Day]]&lt;32,5)))))</f>
        <v>2</v>
      </c>
      <c r="G2387" s="32" t="str">
        <f t="shared" si="127"/>
        <v>Week 2</v>
      </c>
      <c r="H2387" s="32" t="str">
        <f t="shared" si="128"/>
        <v>October 28 Week 2</v>
      </c>
      <c r="I2387" s="32" t="str">
        <f>CONCATENATE(UPPER(TableAopCalendar[[#This Row],[Month]])," ",TableAopCalendar[[#This Row],[Year]])</f>
        <v>OCTOBER 28</v>
      </c>
      <c r="J2387" s="7" t="s">
        <v>274</v>
      </c>
      <c r="K2387" s="32" t="str">
        <f>CONCATENATE(TableAopCalendar[[#This Row],[Month for Plan]]," ",TableAopCalendar[[#This Row],[Plan]])</f>
        <v>OCTOBER 28 PLANNED</v>
      </c>
    </row>
    <row r="2388" spans="1:11" x14ac:dyDescent="0.3">
      <c r="A2388" s="32">
        <f t="shared" si="126"/>
        <v>5</v>
      </c>
      <c r="B2388" s="33">
        <v>47038</v>
      </c>
      <c r="C2388" s="6" t="s">
        <v>114</v>
      </c>
      <c r="D2388" s="34">
        <v>28</v>
      </c>
      <c r="E2388" s="32">
        <f>DAY(TableAopCalendar[[#This Row],[Date]])</f>
        <v>12</v>
      </c>
      <c r="F2388" s="32">
        <f>IF(TableAopCalendar[[#This Row],[Day]]&lt;8,1,IF(TableAopCalendar[[#This Row],[Day]]&lt;15,2,IF(TableAopCalendar[[#This Row],[Day]]&lt;22,3,IF(TableAopCalendar[[#This Row],[Day]]&lt;29,4,IF(TableAopCalendar[[#This Row],[Day]]&lt;32,5)))))</f>
        <v>2</v>
      </c>
      <c r="G2388" s="32" t="str">
        <f t="shared" si="127"/>
        <v>Week 2</v>
      </c>
      <c r="H2388" s="32" t="str">
        <f t="shared" si="128"/>
        <v>October 28 Week 2</v>
      </c>
      <c r="I2388" s="32" t="str">
        <f>CONCATENATE(UPPER(TableAopCalendar[[#This Row],[Month]])," ",TableAopCalendar[[#This Row],[Year]])</f>
        <v>OCTOBER 28</v>
      </c>
      <c r="J2388" s="7" t="s">
        <v>274</v>
      </c>
      <c r="K2388" s="32" t="str">
        <f>CONCATENATE(TableAopCalendar[[#This Row],[Month for Plan]]," ",TableAopCalendar[[#This Row],[Plan]])</f>
        <v>OCTOBER 28 PLANNED</v>
      </c>
    </row>
    <row r="2389" spans="1:11" x14ac:dyDescent="0.3">
      <c r="A2389" s="32">
        <f t="shared" si="126"/>
        <v>6</v>
      </c>
      <c r="B2389" s="33">
        <v>47039</v>
      </c>
      <c r="C2389" s="6" t="s">
        <v>114</v>
      </c>
      <c r="D2389" s="34">
        <v>28</v>
      </c>
      <c r="E2389" s="32">
        <f>DAY(TableAopCalendar[[#This Row],[Date]])</f>
        <v>13</v>
      </c>
      <c r="F2389" s="32">
        <f>IF(TableAopCalendar[[#This Row],[Day]]&lt;8,1,IF(TableAopCalendar[[#This Row],[Day]]&lt;15,2,IF(TableAopCalendar[[#This Row],[Day]]&lt;22,3,IF(TableAopCalendar[[#This Row],[Day]]&lt;29,4,IF(TableAopCalendar[[#This Row],[Day]]&lt;32,5)))))</f>
        <v>2</v>
      </c>
      <c r="G2389" s="32" t="str">
        <f t="shared" si="127"/>
        <v>Week 2</v>
      </c>
      <c r="H2389" s="32" t="str">
        <f t="shared" si="128"/>
        <v>October 28 Week 2</v>
      </c>
      <c r="I2389" s="32" t="str">
        <f>CONCATENATE(UPPER(TableAopCalendar[[#This Row],[Month]])," ",TableAopCalendar[[#This Row],[Year]])</f>
        <v>OCTOBER 28</v>
      </c>
      <c r="J2389" s="7" t="s">
        <v>274</v>
      </c>
      <c r="K2389" s="32" t="str">
        <f>CONCATENATE(TableAopCalendar[[#This Row],[Month for Plan]]," ",TableAopCalendar[[#This Row],[Plan]])</f>
        <v>OCTOBER 28 PLANNED</v>
      </c>
    </row>
    <row r="2390" spans="1:11" x14ac:dyDescent="0.3">
      <c r="A2390" s="32">
        <f t="shared" si="126"/>
        <v>7</v>
      </c>
      <c r="B2390" s="33">
        <v>47040</v>
      </c>
      <c r="C2390" s="6" t="s">
        <v>114</v>
      </c>
      <c r="D2390" s="34">
        <v>28</v>
      </c>
      <c r="E2390" s="32">
        <f>DAY(TableAopCalendar[[#This Row],[Date]])</f>
        <v>14</v>
      </c>
      <c r="F2390" s="32">
        <f>IF(TableAopCalendar[[#This Row],[Day]]&lt;8,1,IF(TableAopCalendar[[#This Row],[Day]]&lt;15,2,IF(TableAopCalendar[[#This Row],[Day]]&lt;22,3,IF(TableAopCalendar[[#This Row],[Day]]&lt;29,4,IF(TableAopCalendar[[#This Row],[Day]]&lt;32,5)))))</f>
        <v>2</v>
      </c>
      <c r="G2390" s="32" t="str">
        <f t="shared" si="127"/>
        <v>Week 2</v>
      </c>
      <c r="H2390" s="32" t="str">
        <f t="shared" si="128"/>
        <v>October 28 Week 2</v>
      </c>
      <c r="I2390" s="32" t="str">
        <f>CONCATENATE(UPPER(TableAopCalendar[[#This Row],[Month]])," ",TableAopCalendar[[#This Row],[Year]])</f>
        <v>OCTOBER 28</v>
      </c>
      <c r="J2390" s="7" t="s">
        <v>274</v>
      </c>
      <c r="K2390" s="32" t="str">
        <f>CONCATENATE(TableAopCalendar[[#This Row],[Month for Plan]]," ",TableAopCalendar[[#This Row],[Plan]])</f>
        <v>OCTOBER 28 PLANNED</v>
      </c>
    </row>
    <row r="2391" spans="1:11" x14ac:dyDescent="0.3">
      <c r="A2391" s="32">
        <f t="shared" si="126"/>
        <v>1</v>
      </c>
      <c r="B2391" s="33">
        <v>47041</v>
      </c>
      <c r="C2391" s="6" t="s">
        <v>114</v>
      </c>
      <c r="D2391" s="34">
        <v>28</v>
      </c>
      <c r="E2391" s="32">
        <f>DAY(TableAopCalendar[[#This Row],[Date]])</f>
        <v>15</v>
      </c>
      <c r="F2391" s="32">
        <f>IF(TableAopCalendar[[#This Row],[Day]]&lt;8,1,IF(TableAopCalendar[[#This Row],[Day]]&lt;15,2,IF(TableAopCalendar[[#This Row],[Day]]&lt;22,3,IF(TableAopCalendar[[#This Row],[Day]]&lt;29,4,IF(TableAopCalendar[[#This Row],[Day]]&lt;32,5)))))</f>
        <v>3</v>
      </c>
      <c r="G2391" s="32" t="str">
        <f t="shared" si="127"/>
        <v>Week 3</v>
      </c>
      <c r="H2391" s="32" t="str">
        <f t="shared" si="128"/>
        <v>October 28 Week 3</v>
      </c>
      <c r="I2391" s="32" t="str">
        <f>CONCATENATE(UPPER(TableAopCalendar[[#This Row],[Month]])," ",TableAopCalendar[[#This Row],[Year]])</f>
        <v>OCTOBER 28</v>
      </c>
      <c r="J2391" s="7" t="s">
        <v>274</v>
      </c>
      <c r="K2391" s="32" t="str">
        <f>CONCATENATE(TableAopCalendar[[#This Row],[Month for Plan]]," ",TableAopCalendar[[#This Row],[Plan]])</f>
        <v>OCTOBER 28 PLANNED</v>
      </c>
    </row>
    <row r="2392" spans="1:11" x14ac:dyDescent="0.3">
      <c r="A2392" s="32">
        <f t="shared" si="126"/>
        <v>2</v>
      </c>
      <c r="B2392" s="33">
        <v>47042</v>
      </c>
      <c r="C2392" s="6" t="s">
        <v>114</v>
      </c>
      <c r="D2392" s="34">
        <v>28</v>
      </c>
      <c r="E2392" s="32">
        <f>DAY(TableAopCalendar[[#This Row],[Date]])</f>
        <v>16</v>
      </c>
      <c r="F2392" s="32">
        <f>IF(TableAopCalendar[[#This Row],[Day]]&lt;8,1,IF(TableAopCalendar[[#This Row],[Day]]&lt;15,2,IF(TableAopCalendar[[#This Row],[Day]]&lt;22,3,IF(TableAopCalendar[[#This Row],[Day]]&lt;29,4,IF(TableAopCalendar[[#This Row],[Day]]&lt;32,5)))))</f>
        <v>3</v>
      </c>
      <c r="G2392" s="32" t="str">
        <f t="shared" si="127"/>
        <v>Week 3</v>
      </c>
      <c r="H2392" s="32" t="str">
        <f t="shared" si="128"/>
        <v>October 28 Week 3</v>
      </c>
      <c r="I2392" s="32" t="str">
        <f>CONCATENATE(UPPER(TableAopCalendar[[#This Row],[Month]])," ",TableAopCalendar[[#This Row],[Year]])</f>
        <v>OCTOBER 28</v>
      </c>
      <c r="J2392" s="7" t="s">
        <v>274</v>
      </c>
      <c r="K2392" s="32" t="str">
        <f>CONCATENATE(TableAopCalendar[[#This Row],[Month for Plan]]," ",TableAopCalendar[[#This Row],[Plan]])</f>
        <v>OCTOBER 28 PLANNED</v>
      </c>
    </row>
    <row r="2393" spans="1:11" x14ac:dyDescent="0.3">
      <c r="A2393" s="32">
        <f t="shared" si="126"/>
        <v>3</v>
      </c>
      <c r="B2393" s="33">
        <v>47043</v>
      </c>
      <c r="C2393" s="6" t="s">
        <v>114</v>
      </c>
      <c r="D2393" s="34">
        <v>28</v>
      </c>
      <c r="E2393" s="32">
        <f>DAY(TableAopCalendar[[#This Row],[Date]])</f>
        <v>17</v>
      </c>
      <c r="F2393" s="32">
        <f>IF(TableAopCalendar[[#This Row],[Day]]&lt;8,1,IF(TableAopCalendar[[#This Row],[Day]]&lt;15,2,IF(TableAopCalendar[[#This Row],[Day]]&lt;22,3,IF(TableAopCalendar[[#This Row],[Day]]&lt;29,4,IF(TableAopCalendar[[#This Row],[Day]]&lt;32,5)))))</f>
        <v>3</v>
      </c>
      <c r="G2393" s="32" t="str">
        <f t="shared" si="127"/>
        <v>Week 3</v>
      </c>
      <c r="H2393" s="32" t="str">
        <f t="shared" si="128"/>
        <v>October 28 Week 3</v>
      </c>
      <c r="I2393" s="32" t="str">
        <f>CONCATENATE(UPPER(TableAopCalendar[[#This Row],[Month]])," ",TableAopCalendar[[#This Row],[Year]])</f>
        <v>OCTOBER 28</v>
      </c>
      <c r="J2393" s="7" t="s">
        <v>274</v>
      </c>
      <c r="K2393" s="32" t="str">
        <f>CONCATENATE(TableAopCalendar[[#This Row],[Month for Plan]]," ",TableAopCalendar[[#This Row],[Plan]])</f>
        <v>OCTOBER 28 PLANNED</v>
      </c>
    </row>
    <row r="2394" spans="1:11" x14ac:dyDescent="0.3">
      <c r="A2394" s="32">
        <f t="shared" si="126"/>
        <v>4</v>
      </c>
      <c r="B2394" s="33">
        <v>47044</v>
      </c>
      <c r="C2394" s="6" t="s">
        <v>114</v>
      </c>
      <c r="D2394" s="34">
        <v>28</v>
      </c>
      <c r="E2394" s="32">
        <f>DAY(TableAopCalendar[[#This Row],[Date]])</f>
        <v>18</v>
      </c>
      <c r="F2394" s="32">
        <f>IF(TableAopCalendar[[#This Row],[Day]]&lt;8,1,IF(TableAopCalendar[[#This Row],[Day]]&lt;15,2,IF(TableAopCalendar[[#This Row],[Day]]&lt;22,3,IF(TableAopCalendar[[#This Row],[Day]]&lt;29,4,IF(TableAopCalendar[[#This Row],[Day]]&lt;32,5)))))</f>
        <v>3</v>
      </c>
      <c r="G2394" s="32" t="str">
        <f t="shared" si="127"/>
        <v>Week 3</v>
      </c>
      <c r="H2394" s="32" t="str">
        <f t="shared" si="128"/>
        <v>October 28 Week 3</v>
      </c>
      <c r="I2394" s="32" t="str">
        <f>CONCATENATE(UPPER(TableAopCalendar[[#This Row],[Month]])," ",TableAopCalendar[[#This Row],[Year]])</f>
        <v>OCTOBER 28</v>
      </c>
      <c r="J2394" s="7" t="s">
        <v>274</v>
      </c>
      <c r="K2394" s="32" t="str">
        <f>CONCATENATE(TableAopCalendar[[#This Row],[Month for Plan]]," ",TableAopCalendar[[#This Row],[Plan]])</f>
        <v>OCTOBER 28 PLANNED</v>
      </c>
    </row>
    <row r="2395" spans="1:11" x14ac:dyDescent="0.3">
      <c r="A2395" s="32">
        <f t="shared" si="126"/>
        <v>5</v>
      </c>
      <c r="B2395" s="33">
        <v>47045</v>
      </c>
      <c r="C2395" s="6" t="s">
        <v>114</v>
      </c>
      <c r="D2395" s="34">
        <v>28</v>
      </c>
      <c r="E2395" s="32">
        <f>DAY(TableAopCalendar[[#This Row],[Date]])</f>
        <v>19</v>
      </c>
      <c r="F2395" s="32">
        <f>IF(TableAopCalendar[[#This Row],[Day]]&lt;8,1,IF(TableAopCalendar[[#This Row],[Day]]&lt;15,2,IF(TableAopCalendar[[#This Row],[Day]]&lt;22,3,IF(TableAopCalendar[[#This Row],[Day]]&lt;29,4,IF(TableAopCalendar[[#This Row],[Day]]&lt;32,5)))))</f>
        <v>3</v>
      </c>
      <c r="G2395" s="32" t="str">
        <f t="shared" si="127"/>
        <v>Week 3</v>
      </c>
      <c r="H2395" s="32" t="str">
        <f t="shared" si="128"/>
        <v>October 28 Week 3</v>
      </c>
      <c r="I2395" s="32" t="str">
        <f>CONCATENATE(UPPER(TableAopCalendar[[#This Row],[Month]])," ",TableAopCalendar[[#This Row],[Year]])</f>
        <v>OCTOBER 28</v>
      </c>
      <c r="J2395" s="7" t="s">
        <v>274</v>
      </c>
      <c r="K2395" s="32" t="str">
        <f>CONCATENATE(TableAopCalendar[[#This Row],[Month for Plan]]," ",TableAopCalendar[[#This Row],[Plan]])</f>
        <v>OCTOBER 28 PLANNED</v>
      </c>
    </row>
    <row r="2396" spans="1:11" x14ac:dyDescent="0.3">
      <c r="A2396" s="32">
        <f t="shared" si="126"/>
        <v>6</v>
      </c>
      <c r="B2396" s="33">
        <v>47046</v>
      </c>
      <c r="C2396" s="6" t="s">
        <v>114</v>
      </c>
      <c r="D2396" s="34">
        <v>28</v>
      </c>
      <c r="E2396" s="32">
        <f>DAY(TableAopCalendar[[#This Row],[Date]])</f>
        <v>20</v>
      </c>
      <c r="F2396" s="32">
        <f>IF(TableAopCalendar[[#This Row],[Day]]&lt;8,1,IF(TableAopCalendar[[#This Row],[Day]]&lt;15,2,IF(TableAopCalendar[[#This Row],[Day]]&lt;22,3,IF(TableAopCalendar[[#This Row],[Day]]&lt;29,4,IF(TableAopCalendar[[#This Row],[Day]]&lt;32,5)))))</f>
        <v>3</v>
      </c>
      <c r="G2396" s="32" t="str">
        <f t="shared" si="127"/>
        <v>Week 3</v>
      </c>
      <c r="H2396" s="32" t="str">
        <f t="shared" si="128"/>
        <v>October 28 Week 3</v>
      </c>
      <c r="I2396" s="32" t="str">
        <f>CONCATENATE(UPPER(TableAopCalendar[[#This Row],[Month]])," ",TableAopCalendar[[#This Row],[Year]])</f>
        <v>OCTOBER 28</v>
      </c>
      <c r="J2396" s="7" t="s">
        <v>274</v>
      </c>
      <c r="K2396" s="32" t="str">
        <f>CONCATENATE(TableAopCalendar[[#This Row],[Month for Plan]]," ",TableAopCalendar[[#This Row],[Plan]])</f>
        <v>OCTOBER 28 PLANNED</v>
      </c>
    </row>
    <row r="2397" spans="1:11" x14ac:dyDescent="0.3">
      <c r="A2397" s="32">
        <f t="shared" si="126"/>
        <v>7</v>
      </c>
      <c r="B2397" s="33">
        <v>47047</v>
      </c>
      <c r="C2397" s="6" t="s">
        <v>114</v>
      </c>
      <c r="D2397" s="34">
        <v>28</v>
      </c>
      <c r="E2397" s="32">
        <f>DAY(TableAopCalendar[[#This Row],[Date]])</f>
        <v>21</v>
      </c>
      <c r="F2397" s="32">
        <f>IF(TableAopCalendar[[#This Row],[Day]]&lt;8,1,IF(TableAopCalendar[[#This Row],[Day]]&lt;15,2,IF(TableAopCalendar[[#This Row],[Day]]&lt;22,3,IF(TableAopCalendar[[#This Row],[Day]]&lt;29,4,IF(TableAopCalendar[[#This Row],[Day]]&lt;32,5)))))</f>
        <v>3</v>
      </c>
      <c r="G2397" s="32" t="str">
        <f t="shared" si="127"/>
        <v>Week 3</v>
      </c>
      <c r="H2397" s="32" t="str">
        <f t="shared" si="128"/>
        <v>October 28 Week 3</v>
      </c>
      <c r="I2397" s="32" t="str">
        <f>CONCATENATE(UPPER(TableAopCalendar[[#This Row],[Month]])," ",TableAopCalendar[[#This Row],[Year]])</f>
        <v>OCTOBER 28</v>
      </c>
      <c r="J2397" s="7" t="s">
        <v>274</v>
      </c>
      <c r="K2397" s="32" t="str">
        <f>CONCATENATE(TableAopCalendar[[#This Row],[Month for Plan]]," ",TableAopCalendar[[#This Row],[Plan]])</f>
        <v>OCTOBER 28 PLANNED</v>
      </c>
    </row>
    <row r="2398" spans="1:11" x14ac:dyDescent="0.3">
      <c r="A2398" s="32">
        <f t="shared" si="126"/>
        <v>1</v>
      </c>
      <c r="B2398" s="33">
        <v>47048</v>
      </c>
      <c r="C2398" s="6" t="s">
        <v>114</v>
      </c>
      <c r="D2398" s="34">
        <v>28</v>
      </c>
      <c r="E2398" s="32">
        <f>DAY(TableAopCalendar[[#This Row],[Date]])</f>
        <v>22</v>
      </c>
      <c r="F2398" s="32">
        <f>IF(TableAopCalendar[[#This Row],[Day]]&lt;8,1,IF(TableAopCalendar[[#This Row],[Day]]&lt;15,2,IF(TableAopCalendar[[#This Row],[Day]]&lt;22,3,IF(TableAopCalendar[[#This Row],[Day]]&lt;29,4,IF(TableAopCalendar[[#This Row],[Day]]&lt;32,5)))))</f>
        <v>4</v>
      </c>
      <c r="G2398" s="32" t="str">
        <f t="shared" si="127"/>
        <v>Week 4</v>
      </c>
      <c r="H2398" s="32" t="str">
        <f t="shared" si="128"/>
        <v>October 28 Week 4</v>
      </c>
      <c r="I2398" s="32" t="str">
        <f>CONCATENATE(UPPER(TableAopCalendar[[#This Row],[Month]])," ",TableAopCalendar[[#This Row],[Year]])</f>
        <v>OCTOBER 28</v>
      </c>
      <c r="J2398" s="7" t="s">
        <v>274</v>
      </c>
      <c r="K2398" s="32" t="str">
        <f>CONCATENATE(TableAopCalendar[[#This Row],[Month for Plan]]," ",TableAopCalendar[[#This Row],[Plan]])</f>
        <v>OCTOBER 28 PLANNED</v>
      </c>
    </row>
    <row r="2399" spans="1:11" x14ac:dyDescent="0.3">
      <c r="A2399" s="32">
        <f t="shared" si="126"/>
        <v>2</v>
      </c>
      <c r="B2399" s="33">
        <v>47049</v>
      </c>
      <c r="C2399" s="6" t="s">
        <v>114</v>
      </c>
      <c r="D2399" s="34">
        <v>28</v>
      </c>
      <c r="E2399" s="32">
        <f>DAY(TableAopCalendar[[#This Row],[Date]])</f>
        <v>23</v>
      </c>
      <c r="F2399" s="32">
        <f>IF(TableAopCalendar[[#This Row],[Day]]&lt;8,1,IF(TableAopCalendar[[#This Row],[Day]]&lt;15,2,IF(TableAopCalendar[[#This Row],[Day]]&lt;22,3,IF(TableAopCalendar[[#This Row],[Day]]&lt;29,4,IF(TableAopCalendar[[#This Row],[Day]]&lt;32,5)))))</f>
        <v>4</v>
      </c>
      <c r="G2399" s="32" t="str">
        <f t="shared" si="127"/>
        <v>Week 4</v>
      </c>
      <c r="H2399" s="32" t="str">
        <f t="shared" si="128"/>
        <v>October 28 Week 4</v>
      </c>
      <c r="I2399" s="32" t="str">
        <f>CONCATENATE(UPPER(TableAopCalendar[[#This Row],[Month]])," ",TableAopCalendar[[#This Row],[Year]])</f>
        <v>OCTOBER 28</v>
      </c>
      <c r="J2399" s="7" t="s">
        <v>274</v>
      </c>
      <c r="K2399" s="32" t="str">
        <f>CONCATENATE(TableAopCalendar[[#This Row],[Month for Plan]]," ",TableAopCalendar[[#This Row],[Plan]])</f>
        <v>OCTOBER 28 PLANNED</v>
      </c>
    </row>
    <row r="2400" spans="1:11" x14ac:dyDescent="0.3">
      <c r="A2400" s="32">
        <f t="shared" si="126"/>
        <v>3</v>
      </c>
      <c r="B2400" s="33">
        <v>47050</v>
      </c>
      <c r="C2400" s="6" t="s">
        <v>114</v>
      </c>
      <c r="D2400" s="34">
        <v>28</v>
      </c>
      <c r="E2400" s="32">
        <f>DAY(TableAopCalendar[[#This Row],[Date]])</f>
        <v>24</v>
      </c>
      <c r="F2400" s="32">
        <f>IF(TableAopCalendar[[#This Row],[Day]]&lt;8,1,IF(TableAopCalendar[[#This Row],[Day]]&lt;15,2,IF(TableAopCalendar[[#This Row],[Day]]&lt;22,3,IF(TableAopCalendar[[#This Row],[Day]]&lt;29,4,IF(TableAopCalendar[[#This Row],[Day]]&lt;32,5)))))</f>
        <v>4</v>
      </c>
      <c r="G2400" s="32" t="str">
        <f t="shared" si="127"/>
        <v>Week 4</v>
      </c>
      <c r="H2400" s="32" t="str">
        <f t="shared" si="128"/>
        <v>October 28 Week 4</v>
      </c>
      <c r="I2400" s="32" t="str">
        <f>CONCATENATE(UPPER(TableAopCalendar[[#This Row],[Month]])," ",TableAopCalendar[[#This Row],[Year]])</f>
        <v>OCTOBER 28</v>
      </c>
      <c r="J2400" s="7" t="s">
        <v>274</v>
      </c>
      <c r="K2400" s="32" t="str">
        <f>CONCATENATE(TableAopCalendar[[#This Row],[Month for Plan]]," ",TableAopCalendar[[#This Row],[Plan]])</f>
        <v>OCTOBER 28 PLANNED</v>
      </c>
    </row>
    <row r="2401" spans="1:11" x14ac:dyDescent="0.3">
      <c r="A2401" s="32">
        <f t="shared" si="126"/>
        <v>4</v>
      </c>
      <c r="B2401" s="33">
        <v>47051</v>
      </c>
      <c r="C2401" s="6" t="s">
        <v>114</v>
      </c>
      <c r="D2401" s="34">
        <v>28</v>
      </c>
      <c r="E2401" s="32">
        <f>DAY(TableAopCalendar[[#This Row],[Date]])</f>
        <v>25</v>
      </c>
      <c r="F2401" s="32">
        <f>IF(TableAopCalendar[[#This Row],[Day]]&lt;8,1,IF(TableAopCalendar[[#This Row],[Day]]&lt;15,2,IF(TableAopCalendar[[#This Row],[Day]]&lt;22,3,IF(TableAopCalendar[[#This Row],[Day]]&lt;29,4,IF(TableAopCalendar[[#This Row],[Day]]&lt;32,5)))))</f>
        <v>4</v>
      </c>
      <c r="G2401" s="32" t="str">
        <f t="shared" si="127"/>
        <v>Week 4</v>
      </c>
      <c r="H2401" s="32" t="str">
        <f t="shared" si="128"/>
        <v>October 28 Week 4</v>
      </c>
      <c r="I2401" s="32" t="str">
        <f>CONCATENATE(UPPER(TableAopCalendar[[#This Row],[Month]])," ",TableAopCalendar[[#This Row],[Year]])</f>
        <v>OCTOBER 28</v>
      </c>
      <c r="J2401" s="7" t="s">
        <v>274</v>
      </c>
      <c r="K2401" s="32" t="str">
        <f>CONCATENATE(TableAopCalendar[[#This Row],[Month for Plan]]," ",TableAopCalendar[[#This Row],[Plan]])</f>
        <v>OCTOBER 28 PLANNED</v>
      </c>
    </row>
    <row r="2402" spans="1:11" x14ac:dyDescent="0.3">
      <c r="A2402" s="32">
        <f t="shared" si="126"/>
        <v>5</v>
      </c>
      <c r="B2402" s="33">
        <v>47052</v>
      </c>
      <c r="C2402" s="6" t="s">
        <v>114</v>
      </c>
      <c r="D2402" s="34">
        <v>28</v>
      </c>
      <c r="E2402" s="32">
        <f>DAY(TableAopCalendar[[#This Row],[Date]])</f>
        <v>26</v>
      </c>
      <c r="F2402" s="32">
        <f>IF(TableAopCalendar[[#This Row],[Day]]&lt;8,1,IF(TableAopCalendar[[#This Row],[Day]]&lt;15,2,IF(TableAopCalendar[[#This Row],[Day]]&lt;22,3,IF(TableAopCalendar[[#This Row],[Day]]&lt;29,4,IF(TableAopCalendar[[#This Row],[Day]]&lt;32,5)))))</f>
        <v>4</v>
      </c>
      <c r="G2402" s="32" t="str">
        <f t="shared" si="127"/>
        <v>Week 4</v>
      </c>
      <c r="H2402" s="32" t="str">
        <f t="shared" si="128"/>
        <v>October 28 Week 4</v>
      </c>
      <c r="I2402" s="32" t="str">
        <f>CONCATENATE(UPPER(TableAopCalendar[[#This Row],[Month]])," ",TableAopCalendar[[#This Row],[Year]])</f>
        <v>OCTOBER 28</v>
      </c>
      <c r="J2402" s="7" t="s">
        <v>274</v>
      </c>
      <c r="K2402" s="32" t="str">
        <f>CONCATENATE(TableAopCalendar[[#This Row],[Month for Plan]]," ",TableAopCalendar[[#This Row],[Plan]])</f>
        <v>OCTOBER 28 PLANNED</v>
      </c>
    </row>
    <row r="2403" spans="1:11" x14ac:dyDescent="0.3">
      <c r="A2403" s="32">
        <f t="shared" si="126"/>
        <v>6</v>
      </c>
      <c r="B2403" s="33">
        <v>47053</v>
      </c>
      <c r="C2403" s="6" t="s">
        <v>114</v>
      </c>
      <c r="D2403" s="34">
        <v>28</v>
      </c>
      <c r="E2403" s="32">
        <f>DAY(TableAopCalendar[[#This Row],[Date]])</f>
        <v>27</v>
      </c>
      <c r="F2403" s="32">
        <f>IF(TableAopCalendar[[#This Row],[Day]]&lt;8,1,IF(TableAopCalendar[[#This Row],[Day]]&lt;15,2,IF(TableAopCalendar[[#This Row],[Day]]&lt;22,3,IF(TableAopCalendar[[#This Row],[Day]]&lt;29,4,IF(TableAopCalendar[[#This Row],[Day]]&lt;32,5)))))</f>
        <v>4</v>
      </c>
      <c r="G2403" s="32" t="str">
        <f t="shared" si="127"/>
        <v>Week 4</v>
      </c>
      <c r="H2403" s="32" t="str">
        <f t="shared" si="128"/>
        <v>October 28 Week 4</v>
      </c>
      <c r="I2403" s="32" t="str">
        <f>CONCATENATE(UPPER(TableAopCalendar[[#This Row],[Month]])," ",TableAopCalendar[[#This Row],[Year]])</f>
        <v>OCTOBER 28</v>
      </c>
      <c r="J2403" s="7" t="s">
        <v>274</v>
      </c>
      <c r="K2403" s="32" t="str">
        <f>CONCATENATE(TableAopCalendar[[#This Row],[Month for Plan]]," ",TableAopCalendar[[#This Row],[Plan]])</f>
        <v>OCTOBER 28 PLANNED</v>
      </c>
    </row>
    <row r="2404" spans="1:11" x14ac:dyDescent="0.3">
      <c r="A2404" s="32">
        <f t="shared" ref="A2404:A2467" si="129">IF(G2404=G2403,A2403+1,1)</f>
        <v>7</v>
      </c>
      <c r="B2404" s="33">
        <v>47054</v>
      </c>
      <c r="C2404" s="6" t="s">
        <v>114</v>
      </c>
      <c r="D2404" s="34">
        <v>28</v>
      </c>
      <c r="E2404" s="32">
        <f>DAY(TableAopCalendar[[#This Row],[Date]])</f>
        <v>28</v>
      </c>
      <c r="F2404" s="32">
        <f>IF(TableAopCalendar[[#This Row],[Day]]&lt;8,1,IF(TableAopCalendar[[#This Row],[Day]]&lt;15,2,IF(TableAopCalendar[[#This Row],[Day]]&lt;22,3,IF(TableAopCalendar[[#This Row],[Day]]&lt;29,4,IF(TableAopCalendar[[#This Row],[Day]]&lt;32,5)))))</f>
        <v>4</v>
      </c>
      <c r="G2404" s="32" t="str">
        <f t="shared" ref="G2404:G2467" si="130">"Week"&amp;" "&amp;F2404</f>
        <v>Week 4</v>
      </c>
      <c r="H2404" s="32" t="str">
        <f t="shared" ref="H2404:H2467" si="131">CONCATENATE(C2404," ",D2404," ",G2404)</f>
        <v>October 28 Week 4</v>
      </c>
      <c r="I2404" s="32" t="str">
        <f>CONCATENATE(UPPER(TableAopCalendar[[#This Row],[Month]])," ",TableAopCalendar[[#This Row],[Year]])</f>
        <v>OCTOBER 28</v>
      </c>
      <c r="J2404" s="7" t="s">
        <v>274</v>
      </c>
      <c r="K2404" s="32" t="str">
        <f>CONCATENATE(TableAopCalendar[[#This Row],[Month for Plan]]," ",TableAopCalendar[[#This Row],[Plan]])</f>
        <v>OCTOBER 28 PLANNED</v>
      </c>
    </row>
    <row r="2405" spans="1:11" x14ac:dyDescent="0.3">
      <c r="A2405" s="32">
        <f t="shared" si="129"/>
        <v>1</v>
      </c>
      <c r="B2405" s="33">
        <v>47055</v>
      </c>
      <c r="C2405" s="6" t="s">
        <v>114</v>
      </c>
      <c r="D2405" s="34">
        <v>28</v>
      </c>
      <c r="E2405" s="32">
        <f>DAY(TableAopCalendar[[#This Row],[Date]])</f>
        <v>29</v>
      </c>
      <c r="F2405" s="32">
        <f>IF(TableAopCalendar[[#This Row],[Day]]&lt;8,1,IF(TableAopCalendar[[#This Row],[Day]]&lt;15,2,IF(TableAopCalendar[[#This Row],[Day]]&lt;22,3,IF(TableAopCalendar[[#This Row],[Day]]&lt;29,4,IF(TableAopCalendar[[#This Row],[Day]]&lt;32,5)))))</f>
        <v>5</v>
      </c>
      <c r="G2405" s="32" t="str">
        <f t="shared" si="130"/>
        <v>Week 5</v>
      </c>
      <c r="H2405" s="32" t="str">
        <f t="shared" si="131"/>
        <v>October 28 Week 5</v>
      </c>
      <c r="I2405" s="32" t="str">
        <f>CONCATENATE(UPPER(TableAopCalendar[[#This Row],[Month]])," ",TableAopCalendar[[#This Row],[Year]])</f>
        <v>OCTOBER 28</v>
      </c>
      <c r="J2405" s="7" t="s">
        <v>274</v>
      </c>
      <c r="K2405" s="32" t="str">
        <f>CONCATENATE(TableAopCalendar[[#This Row],[Month for Plan]]," ",TableAopCalendar[[#This Row],[Plan]])</f>
        <v>OCTOBER 28 PLANNED</v>
      </c>
    </row>
    <row r="2406" spans="1:11" x14ac:dyDescent="0.3">
      <c r="A2406" s="32">
        <f t="shared" si="129"/>
        <v>2</v>
      </c>
      <c r="B2406" s="33">
        <v>47056</v>
      </c>
      <c r="C2406" s="6" t="s">
        <v>114</v>
      </c>
      <c r="D2406" s="34">
        <v>28</v>
      </c>
      <c r="E2406" s="32">
        <f>DAY(TableAopCalendar[[#This Row],[Date]])</f>
        <v>30</v>
      </c>
      <c r="F2406" s="32">
        <f>IF(TableAopCalendar[[#This Row],[Day]]&lt;8,1,IF(TableAopCalendar[[#This Row],[Day]]&lt;15,2,IF(TableAopCalendar[[#This Row],[Day]]&lt;22,3,IF(TableAopCalendar[[#This Row],[Day]]&lt;29,4,IF(TableAopCalendar[[#This Row],[Day]]&lt;32,5)))))</f>
        <v>5</v>
      </c>
      <c r="G2406" s="32" t="str">
        <f t="shared" si="130"/>
        <v>Week 5</v>
      </c>
      <c r="H2406" s="32" t="str">
        <f t="shared" si="131"/>
        <v>October 28 Week 5</v>
      </c>
      <c r="I2406" s="32" t="str">
        <f>CONCATENATE(UPPER(TableAopCalendar[[#This Row],[Month]])," ",TableAopCalendar[[#This Row],[Year]])</f>
        <v>OCTOBER 28</v>
      </c>
      <c r="J2406" s="7" t="s">
        <v>274</v>
      </c>
      <c r="K2406" s="32" t="str">
        <f>CONCATENATE(TableAopCalendar[[#This Row],[Month for Plan]]," ",TableAopCalendar[[#This Row],[Plan]])</f>
        <v>OCTOBER 28 PLANNED</v>
      </c>
    </row>
    <row r="2407" spans="1:11" x14ac:dyDescent="0.3">
      <c r="A2407" s="32">
        <f t="shared" si="129"/>
        <v>3</v>
      </c>
      <c r="B2407" s="33">
        <v>47057</v>
      </c>
      <c r="C2407" s="6" t="s">
        <v>114</v>
      </c>
      <c r="D2407" s="34">
        <v>28</v>
      </c>
      <c r="E2407" s="32">
        <f>DAY(TableAopCalendar[[#This Row],[Date]])</f>
        <v>31</v>
      </c>
      <c r="F2407" s="32">
        <f>IF(TableAopCalendar[[#This Row],[Day]]&lt;8,1,IF(TableAopCalendar[[#This Row],[Day]]&lt;15,2,IF(TableAopCalendar[[#This Row],[Day]]&lt;22,3,IF(TableAopCalendar[[#This Row],[Day]]&lt;29,4,IF(TableAopCalendar[[#This Row],[Day]]&lt;32,5)))))</f>
        <v>5</v>
      </c>
      <c r="G2407" s="32" t="str">
        <f t="shared" si="130"/>
        <v>Week 5</v>
      </c>
      <c r="H2407" s="32" t="str">
        <f t="shared" si="131"/>
        <v>October 28 Week 5</v>
      </c>
      <c r="I2407" s="32" t="str">
        <f>CONCATENATE(UPPER(TableAopCalendar[[#This Row],[Month]])," ",TableAopCalendar[[#This Row],[Year]])</f>
        <v>OCTOBER 28</v>
      </c>
      <c r="J2407" s="7" t="s">
        <v>274</v>
      </c>
      <c r="K2407" s="32" t="str">
        <f>CONCATENATE(TableAopCalendar[[#This Row],[Month for Plan]]," ",TableAopCalendar[[#This Row],[Plan]])</f>
        <v>OCTOBER 28 PLANNED</v>
      </c>
    </row>
    <row r="2408" spans="1:11" x14ac:dyDescent="0.3">
      <c r="A2408" s="32">
        <f t="shared" si="129"/>
        <v>1</v>
      </c>
      <c r="B2408" s="33">
        <v>47058</v>
      </c>
      <c r="C2408" s="6" t="s">
        <v>117</v>
      </c>
      <c r="D2408" s="34">
        <v>28</v>
      </c>
      <c r="E2408" s="32">
        <f>DAY(TableAopCalendar[[#This Row],[Date]])</f>
        <v>1</v>
      </c>
      <c r="F2408" s="32">
        <f>IF(TableAopCalendar[[#This Row],[Day]]&lt;8,1,IF(TableAopCalendar[[#This Row],[Day]]&lt;15,2,IF(TableAopCalendar[[#This Row],[Day]]&lt;22,3,IF(TableAopCalendar[[#This Row],[Day]]&lt;29,4,IF(TableAopCalendar[[#This Row],[Day]]&lt;32,5)))))</f>
        <v>1</v>
      </c>
      <c r="G2408" s="32" t="str">
        <f t="shared" si="130"/>
        <v>Week 1</v>
      </c>
      <c r="H2408" s="32" t="str">
        <f t="shared" si="131"/>
        <v>November 28 Week 1</v>
      </c>
      <c r="I2408" s="32" t="str">
        <f>CONCATENATE(UPPER(TableAopCalendar[[#This Row],[Month]])," ",TableAopCalendar[[#This Row],[Year]])</f>
        <v>NOVEMBER 28</v>
      </c>
      <c r="J2408" s="7" t="s">
        <v>274</v>
      </c>
      <c r="K2408" s="32" t="str">
        <f>CONCATENATE(TableAopCalendar[[#This Row],[Month for Plan]]," ",TableAopCalendar[[#This Row],[Plan]])</f>
        <v>NOVEMBER 28 PLANNED</v>
      </c>
    </row>
    <row r="2409" spans="1:11" x14ac:dyDescent="0.3">
      <c r="A2409" s="32">
        <f t="shared" si="129"/>
        <v>2</v>
      </c>
      <c r="B2409" s="33">
        <v>47059</v>
      </c>
      <c r="C2409" s="6" t="s">
        <v>117</v>
      </c>
      <c r="D2409" s="34">
        <v>28</v>
      </c>
      <c r="E2409" s="32">
        <f>DAY(TableAopCalendar[[#This Row],[Date]])</f>
        <v>2</v>
      </c>
      <c r="F2409" s="32">
        <f>IF(TableAopCalendar[[#This Row],[Day]]&lt;8,1,IF(TableAopCalendar[[#This Row],[Day]]&lt;15,2,IF(TableAopCalendar[[#This Row],[Day]]&lt;22,3,IF(TableAopCalendar[[#This Row],[Day]]&lt;29,4,IF(TableAopCalendar[[#This Row],[Day]]&lt;32,5)))))</f>
        <v>1</v>
      </c>
      <c r="G2409" s="32" t="str">
        <f t="shared" si="130"/>
        <v>Week 1</v>
      </c>
      <c r="H2409" s="32" t="str">
        <f t="shared" si="131"/>
        <v>November 28 Week 1</v>
      </c>
      <c r="I2409" s="32" t="str">
        <f>CONCATENATE(UPPER(TableAopCalendar[[#This Row],[Month]])," ",TableAopCalendar[[#This Row],[Year]])</f>
        <v>NOVEMBER 28</v>
      </c>
      <c r="J2409" s="7" t="s">
        <v>274</v>
      </c>
      <c r="K2409" s="32" t="str">
        <f>CONCATENATE(TableAopCalendar[[#This Row],[Month for Plan]]," ",TableAopCalendar[[#This Row],[Plan]])</f>
        <v>NOVEMBER 28 PLANNED</v>
      </c>
    </row>
    <row r="2410" spans="1:11" x14ac:dyDescent="0.3">
      <c r="A2410" s="32">
        <f t="shared" si="129"/>
        <v>3</v>
      </c>
      <c r="B2410" s="33">
        <v>47060</v>
      </c>
      <c r="C2410" s="6" t="s">
        <v>117</v>
      </c>
      <c r="D2410" s="34">
        <v>28</v>
      </c>
      <c r="E2410" s="32">
        <f>DAY(TableAopCalendar[[#This Row],[Date]])</f>
        <v>3</v>
      </c>
      <c r="F2410" s="32">
        <f>IF(TableAopCalendar[[#This Row],[Day]]&lt;8,1,IF(TableAopCalendar[[#This Row],[Day]]&lt;15,2,IF(TableAopCalendar[[#This Row],[Day]]&lt;22,3,IF(TableAopCalendar[[#This Row],[Day]]&lt;29,4,IF(TableAopCalendar[[#This Row],[Day]]&lt;32,5)))))</f>
        <v>1</v>
      </c>
      <c r="G2410" s="32" t="str">
        <f t="shared" si="130"/>
        <v>Week 1</v>
      </c>
      <c r="H2410" s="32" t="str">
        <f t="shared" si="131"/>
        <v>November 28 Week 1</v>
      </c>
      <c r="I2410" s="32" t="str">
        <f>CONCATENATE(UPPER(TableAopCalendar[[#This Row],[Month]])," ",TableAopCalendar[[#This Row],[Year]])</f>
        <v>NOVEMBER 28</v>
      </c>
      <c r="J2410" s="7" t="s">
        <v>274</v>
      </c>
      <c r="K2410" s="32" t="str">
        <f>CONCATENATE(TableAopCalendar[[#This Row],[Month for Plan]]," ",TableAopCalendar[[#This Row],[Plan]])</f>
        <v>NOVEMBER 28 PLANNED</v>
      </c>
    </row>
    <row r="2411" spans="1:11" x14ac:dyDescent="0.3">
      <c r="A2411" s="32">
        <f t="shared" si="129"/>
        <v>4</v>
      </c>
      <c r="B2411" s="33">
        <v>47061</v>
      </c>
      <c r="C2411" s="6" t="s">
        <v>117</v>
      </c>
      <c r="D2411" s="34">
        <v>28</v>
      </c>
      <c r="E2411" s="32">
        <f>DAY(TableAopCalendar[[#This Row],[Date]])</f>
        <v>4</v>
      </c>
      <c r="F2411" s="32">
        <f>IF(TableAopCalendar[[#This Row],[Day]]&lt;8,1,IF(TableAopCalendar[[#This Row],[Day]]&lt;15,2,IF(TableAopCalendar[[#This Row],[Day]]&lt;22,3,IF(TableAopCalendar[[#This Row],[Day]]&lt;29,4,IF(TableAopCalendar[[#This Row],[Day]]&lt;32,5)))))</f>
        <v>1</v>
      </c>
      <c r="G2411" s="32" t="str">
        <f t="shared" si="130"/>
        <v>Week 1</v>
      </c>
      <c r="H2411" s="32" t="str">
        <f t="shared" si="131"/>
        <v>November 28 Week 1</v>
      </c>
      <c r="I2411" s="32" t="str">
        <f>CONCATENATE(UPPER(TableAopCalendar[[#This Row],[Month]])," ",TableAopCalendar[[#This Row],[Year]])</f>
        <v>NOVEMBER 28</v>
      </c>
      <c r="J2411" s="7" t="s">
        <v>274</v>
      </c>
      <c r="K2411" s="32" t="str">
        <f>CONCATENATE(TableAopCalendar[[#This Row],[Month for Plan]]," ",TableAopCalendar[[#This Row],[Plan]])</f>
        <v>NOVEMBER 28 PLANNED</v>
      </c>
    </row>
    <row r="2412" spans="1:11" x14ac:dyDescent="0.3">
      <c r="A2412" s="32">
        <f t="shared" si="129"/>
        <v>5</v>
      </c>
      <c r="B2412" s="33">
        <v>47062</v>
      </c>
      <c r="C2412" s="6" t="s">
        <v>117</v>
      </c>
      <c r="D2412" s="34">
        <v>28</v>
      </c>
      <c r="E2412" s="32">
        <f>DAY(TableAopCalendar[[#This Row],[Date]])</f>
        <v>5</v>
      </c>
      <c r="F2412" s="32">
        <f>IF(TableAopCalendar[[#This Row],[Day]]&lt;8,1,IF(TableAopCalendar[[#This Row],[Day]]&lt;15,2,IF(TableAopCalendar[[#This Row],[Day]]&lt;22,3,IF(TableAopCalendar[[#This Row],[Day]]&lt;29,4,IF(TableAopCalendar[[#This Row],[Day]]&lt;32,5)))))</f>
        <v>1</v>
      </c>
      <c r="G2412" s="32" t="str">
        <f t="shared" si="130"/>
        <v>Week 1</v>
      </c>
      <c r="H2412" s="32" t="str">
        <f t="shared" si="131"/>
        <v>November 28 Week 1</v>
      </c>
      <c r="I2412" s="32" t="str">
        <f>CONCATENATE(UPPER(TableAopCalendar[[#This Row],[Month]])," ",TableAopCalendar[[#This Row],[Year]])</f>
        <v>NOVEMBER 28</v>
      </c>
      <c r="J2412" s="7" t="s">
        <v>274</v>
      </c>
      <c r="K2412" s="32" t="str">
        <f>CONCATENATE(TableAopCalendar[[#This Row],[Month for Plan]]," ",TableAopCalendar[[#This Row],[Plan]])</f>
        <v>NOVEMBER 28 PLANNED</v>
      </c>
    </row>
    <row r="2413" spans="1:11" x14ac:dyDescent="0.3">
      <c r="A2413" s="32">
        <f t="shared" si="129"/>
        <v>6</v>
      </c>
      <c r="B2413" s="33">
        <v>47063</v>
      </c>
      <c r="C2413" s="6" t="s">
        <v>117</v>
      </c>
      <c r="D2413" s="34">
        <v>28</v>
      </c>
      <c r="E2413" s="32">
        <f>DAY(TableAopCalendar[[#This Row],[Date]])</f>
        <v>6</v>
      </c>
      <c r="F2413" s="32">
        <f>IF(TableAopCalendar[[#This Row],[Day]]&lt;8,1,IF(TableAopCalendar[[#This Row],[Day]]&lt;15,2,IF(TableAopCalendar[[#This Row],[Day]]&lt;22,3,IF(TableAopCalendar[[#This Row],[Day]]&lt;29,4,IF(TableAopCalendar[[#This Row],[Day]]&lt;32,5)))))</f>
        <v>1</v>
      </c>
      <c r="G2413" s="32" t="str">
        <f t="shared" si="130"/>
        <v>Week 1</v>
      </c>
      <c r="H2413" s="32" t="str">
        <f t="shared" si="131"/>
        <v>November 28 Week 1</v>
      </c>
      <c r="I2413" s="32" t="str">
        <f>CONCATENATE(UPPER(TableAopCalendar[[#This Row],[Month]])," ",TableAopCalendar[[#This Row],[Year]])</f>
        <v>NOVEMBER 28</v>
      </c>
      <c r="J2413" s="7" t="s">
        <v>274</v>
      </c>
      <c r="K2413" s="32" t="str">
        <f>CONCATENATE(TableAopCalendar[[#This Row],[Month for Plan]]," ",TableAopCalendar[[#This Row],[Plan]])</f>
        <v>NOVEMBER 28 PLANNED</v>
      </c>
    </row>
    <row r="2414" spans="1:11" x14ac:dyDescent="0.3">
      <c r="A2414" s="32">
        <f t="shared" si="129"/>
        <v>7</v>
      </c>
      <c r="B2414" s="33">
        <v>47064</v>
      </c>
      <c r="C2414" s="6" t="s">
        <v>117</v>
      </c>
      <c r="D2414" s="34">
        <v>28</v>
      </c>
      <c r="E2414" s="32">
        <f>DAY(TableAopCalendar[[#This Row],[Date]])</f>
        <v>7</v>
      </c>
      <c r="F2414" s="32">
        <f>IF(TableAopCalendar[[#This Row],[Day]]&lt;8,1,IF(TableAopCalendar[[#This Row],[Day]]&lt;15,2,IF(TableAopCalendar[[#This Row],[Day]]&lt;22,3,IF(TableAopCalendar[[#This Row],[Day]]&lt;29,4,IF(TableAopCalendar[[#This Row],[Day]]&lt;32,5)))))</f>
        <v>1</v>
      </c>
      <c r="G2414" s="32" t="str">
        <f t="shared" si="130"/>
        <v>Week 1</v>
      </c>
      <c r="H2414" s="32" t="str">
        <f t="shared" si="131"/>
        <v>November 28 Week 1</v>
      </c>
      <c r="I2414" s="32" t="str">
        <f>CONCATENATE(UPPER(TableAopCalendar[[#This Row],[Month]])," ",TableAopCalendar[[#This Row],[Year]])</f>
        <v>NOVEMBER 28</v>
      </c>
      <c r="J2414" s="7" t="s">
        <v>274</v>
      </c>
      <c r="K2414" s="32" t="str">
        <f>CONCATENATE(TableAopCalendar[[#This Row],[Month for Plan]]," ",TableAopCalendar[[#This Row],[Plan]])</f>
        <v>NOVEMBER 28 PLANNED</v>
      </c>
    </row>
    <row r="2415" spans="1:11" x14ac:dyDescent="0.3">
      <c r="A2415" s="32">
        <f t="shared" si="129"/>
        <v>1</v>
      </c>
      <c r="B2415" s="33">
        <v>47065</v>
      </c>
      <c r="C2415" s="6" t="s">
        <v>117</v>
      </c>
      <c r="D2415" s="34">
        <v>28</v>
      </c>
      <c r="E2415" s="32">
        <f>DAY(TableAopCalendar[[#This Row],[Date]])</f>
        <v>8</v>
      </c>
      <c r="F2415" s="32">
        <f>IF(TableAopCalendar[[#This Row],[Day]]&lt;8,1,IF(TableAopCalendar[[#This Row],[Day]]&lt;15,2,IF(TableAopCalendar[[#This Row],[Day]]&lt;22,3,IF(TableAopCalendar[[#This Row],[Day]]&lt;29,4,IF(TableAopCalendar[[#This Row],[Day]]&lt;32,5)))))</f>
        <v>2</v>
      </c>
      <c r="G2415" s="32" t="str">
        <f t="shared" si="130"/>
        <v>Week 2</v>
      </c>
      <c r="H2415" s="32" t="str">
        <f t="shared" si="131"/>
        <v>November 28 Week 2</v>
      </c>
      <c r="I2415" s="32" t="str">
        <f>CONCATENATE(UPPER(TableAopCalendar[[#This Row],[Month]])," ",TableAopCalendar[[#This Row],[Year]])</f>
        <v>NOVEMBER 28</v>
      </c>
      <c r="J2415" s="7" t="s">
        <v>274</v>
      </c>
      <c r="K2415" s="32" t="str">
        <f>CONCATENATE(TableAopCalendar[[#This Row],[Month for Plan]]," ",TableAopCalendar[[#This Row],[Plan]])</f>
        <v>NOVEMBER 28 PLANNED</v>
      </c>
    </row>
    <row r="2416" spans="1:11" x14ac:dyDescent="0.3">
      <c r="A2416" s="32">
        <f t="shared" si="129"/>
        <v>2</v>
      </c>
      <c r="B2416" s="33">
        <v>47066</v>
      </c>
      <c r="C2416" s="6" t="s">
        <v>117</v>
      </c>
      <c r="D2416" s="34">
        <v>28</v>
      </c>
      <c r="E2416" s="32">
        <f>DAY(TableAopCalendar[[#This Row],[Date]])</f>
        <v>9</v>
      </c>
      <c r="F2416" s="32">
        <f>IF(TableAopCalendar[[#This Row],[Day]]&lt;8,1,IF(TableAopCalendar[[#This Row],[Day]]&lt;15,2,IF(TableAopCalendar[[#This Row],[Day]]&lt;22,3,IF(TableAopCalendar[[#This Row],[Day]]&lt;29,4,IF(TableAopCalendar[[#This Row],[Day]]&lt;32,5)))))</f>
        <v>2</v>
      </c>
      <c r="G2416" s="32" t="str">
        <f t="shared" si="130"/>
        <v>Week 2</v>
      </c>
      <c r="H2416" s="32" t="str">
        <f t="shared" si="131"/>
        <v>November 28 Week 2</v>
      </c>
      <c r="I2416" s="32" t="str">
        <f>CONCATENATE(UPPER(TableAopCalendar[[#This Row],[Month]])," ",TableAopCalendar[[#This Row],[Year]])</f>
        <v>NOVEMBER 28</v>
      </c>
      <c r="J2416" s="7" t="s">
        <v>274</v>
      </c>
      <c r="K2416" s="32" t="str">
        <f>CONCATENATE(TableAopCalendar[[#This Row],[Month for Plan]]," ",TableAopCalendar[[#This Row],[Plan]])</f>
        <v>NOVEMBER 28 PLANNED</v>
      </c>
    </row>
    <row r="2417" spans="1:11" x14ac:dyDescent="0.3">
      <c r="A2417" s="32">
        <f t="shared" si="129"/>
        <v>3</v>
      </c>
      <c r="B2417" s="33">
        <v>47067</v>
      </c>
      <c r="C2417" s="6" t="s">
        <v>117</v>
      </c>
      <c r="D2417" s="34">
        <v>28</v>
      </c>
      <c r="E2417" s="32">
        <f>DAY(TableAopCalendar[[#This Row],[Date]])</f>
        <v>10</v>
      </c>
      <c r="F2417" s="32">
        <f>IF(TableAopCalendar[[#This Row],[Day]]&lt;8,1,IF(TableAopCalendar[[#This Row],[Day]]&lt;15,2,IF(TableAopCalendar[[#This Row],[Day]]&lt;22,3,IF(TableAopCalendar[[#This Row],[Day]]&lt;29,4,IF(TableAopCalendar[[#This Row],[Day]]&lt;32,5)))))</f>
        <v>2</v>
      </c>
      <c r="G2417" s="32" t="str">
        <f t="shared" si="130"/>
        <v>Week 2</v>
      </c>
      <c r="H2417" s="32" t="str">
        <f t="shared" si="131"/>
        <v>November 28 Week 2</v>
      </c>
      <c r="I2417" s="32" t="str">
        <f>CONCATENATE(UPPER(TableAopCalendar[[#This Row],[Month]])," ",TableAopCalendar[[#This Row],[Year]])</f>
        <v>NOVEMBER 28</v>
      </c>
      <c r="J2417" s="7" t="s">
        <v>274</v>
      </c>
      <c r="K2417" s="32" t="str">
        <f>CONCATENATE(TableAopCalendar[[#This Row],[Month for Plan]]," ",TableAopCalendar[[#This Row],[Plan]])</f>
        <v>NOVEMBER 28 PLANNED</v>
      </c>
    </row>
    <row r="2418" spans="1:11" x14ac:dyDescent="0.3">
      <c r="A2418" s="32">
        <f t="shared" si="129"/>
        <v>4</v>
      </c>
      <c r="B2418" s="33">
        <v>47068</v>
      </c>
      <c r="C2418" s="6" t="s">
        <v>117</v>
      </c>
      <c r="D2418" s="34">
        <v>28</v>
      </c>
      <c r="E2418" s="32">
        <f>DAY(TableAopCalendar[[#This Row],[Date]])</f>
        <v>11</v>
      </c>
      <c r="F2418" s="32">
        <f>IF(TableAopCalendar[[#This Row],[Day]]&lt;8,1,IF(TableAopCalendar[[#This Row],[Day]]&lt;15,2,IF(TableAopCalendar[[#This Row],[Day]]&lt;22,3,IF(TableAopCalendar[[#This Row],[Day]]&lt;29,4,IF(TableAopCalendar[[#This Row],[Day]]&lt;32,5)))))</f>
        <v>2</v>
      </c>
      <c r="G2418" s="32" t="str">
        <f t="shared" si="130"/>
        <v>Week 2</v>
      </c>
      <c r="H2418" s="32" t="str">
        <f t="shared" si="131"/>
        <v>November 28 Week 2</v>
      </c>
      <c r="I2418" s="32" t="str">
        <f>CONCATENATE(UPPER(TableAopCalendar[[#This Row],[Month]])," ",TableAopCalendar[[#This Row],[Year]])</f>
        <v>NOVEMBER 28</v>
      </c>
      <c r="J2418" s="7" t="s">
        <v>274</v>
      </c>
      <c r="K2418" s="32" t="str">
        <f>CONCATENATE(TableAopCalendar[[#This Row],[Month for Plan]]," ",TableAopCalendar[[#This Row],[Plan]])</f>
        <v>NOVEMBER 28 PLANNED</v>
      </c>
    </row>
    <row r="2419" spans="1:11" x14ac:dyDescent="0.3">
      <c r="A2419" s="32">
        <f t="shared" si="129"/>
        <v>5</v>
      </c>
      <c r="B2419" s="33">
        <v>47069</v>
      </c>
      <c r="C2419" s="6" t="s">
        <v>117</v>
      </c>
      <c r="D2419" s="34">
        <v>28</v>
      </c>
      <c r="E2419" s="32">
        <f>DAY(TableAopCalendar[[#This Row],[Date]])</f>
        <v>12</v>
      </c>
      <c r="F2419" s="32">
        <f>IF(TableAopCalendar[[#This Row],[Day]]&lt;8,1,IF(TableAopCalendar[[#This Row],[Day]]&lt;15,2,IF(TableAopCalendar[[#This Row],[Day]]&lt;22,3,IF(TableAopCalendar[[#This Row],[Day]]&lt;29,4,IF(TableAopCalendar[[#This Row],[Day]]&lt;32,5)))))</f>
        <v>2</v>
      </c>
      <c r="G2419" s="32" t="str">
        <f t="shared" si="130"/>
        <v>Week 2</v>
      </c>
      <c r="H2419" s="32" t="str">
        <f t="shared" si="131"/>
        <v>November 28 Week 2</v>
      </c>
      <c r="I2419" s="32" t="str">
        <f>CONCATENATE(UPPER(TableAopCalendar[[#This Row],[Month]])," ",TableAopCalendar[[#This Row],[Year]])</f>
        <v>NOVEMBER 28</v>
      </c>
      <c r="J2419" s="7" t="s">
        <v>274</v>
      </c>
      <c r="K2419" s="32" t="str">
        <f>CONCATENATE(TableAopCalendar[[#This Row],[Month for Plan]]," ",TableAopCalendar[[#This Row],[Plan]])</f>
        <v>NOVEMBER 28 PLANNED</v>
      </c>
    </row>
    <row r="2420" spans="1:11" x14ac:dyDescent="0.3">
      <c r="A2420" s="32">
        <f t="shared" si="129"/>
        <v>6</v>
      </c>
      <c r="B2420" s="33">
        <v>47070</v>
      </c>
      <c r="C2420" s="6" t="s">
        <v>117</v>
      </c>
      <c r="D2420" s="34">
        <v>28</v>
      </c>
      <c r="E2420" s="32">
        <f>DAY(TableAopCalendar[[#This Row],[Date]])</f>
        <v>13</v>
      </c>
      <c r="F2420" s="32">
        <f>IF(TableAopCalendar[[#This Row],[Day]]&lt;8,1,IF(TableAopCalendar[[#This Row],[Day]]&lt;15,2,IF(TableAopCalendar[[#This Row],[Day]]&lt;22,3,IF(TableAopCalendar[[#This Row],[Day]]&lt;29,4,IF(TableAopCalendar[[#This Row],[Day]]&lt;32,5)))))</f>
        <v>2</v>
      </c>
      <c r="G2420" s="32" t="str">
        <f t="shared" si="130"/>
        <v>Week 2</v>
      </c>
      <c r="H2420" s="32" t="str">
        <f t="shared" si="131"/>
        <v>November 28 Week 2</v>
      </c>
      <c r="I2420" s="32" t="str">
        <f>CONCATENATE(UPPER(TableAopCalendar[[#This Row],[Month]])," ",TableAopCalendar[[#This Row],[Year]])</f>
        <v>NOVEMBER 28</v>
      </c>
      <c r="J2420" s="7" t="s">
        <v>274</v>
      </c>
      <c r="K2420" s="32" t="str">
        <f>CONCATENATE(TableAopCalendar[[#This Row],[Month for Plan]]," ",TableAopCalendar[[#This Row],[Plan]])</f>
        <v>NOVEMBER 28 PLANNED</v>
      </c>
    </row>
    <row r="2421" spans="1:11" x14ac:dyDescent="0.3">
      <c r="A2421" s="32">
        <f t="shared" si="129"/>
        <v>7</v>
      </c>
      <c r="B2421" s="33">
        <v>47071</v>
      </c>
      <c r="C2421" s="6" t="s">
        <v>117</v>
      </c>
      <c r="D2421" s="34">
        <v>28</v>
      </c>
      <c r="E2421" s="32">
        <f>DAY(TableAopCalendar[[#This Row],[Date]])</f>
        <v>14</v>
      </c>
      <c r="F2421" s="32">
        <f>IF(TableAopCalendar[[#This Row],[Day]]&lt;8,1,IF(TableAopCalendar[[#This Row],[Day]]&lt;15,2,IF(TableAopCalendar[[#This Row],[Day]]&lt;22,3,IF(TableAopCalendar[[#This Row],[Day]]&lt;29,4,IF(TableAopCalendar[[#This Row],[Day]]&lt;32,5)))))</f>
        <v>2</v>
      </c>
      <c r="G2421" s="32" t="str">
        <f t="shared" si="130"/>
        <v>Week 2</v>
      </c>
      <c r="H2421" s="32" t="str">
        <f t="shared" si="131"/>
        <v>November 28 Week 2</v>
      </c>
      <c r="I2421" s="32" t="str">
        <f>CONCATENATE(UPPER(TableAopCalendar[[#This Row],[Month]])," ",TableAopCalendar[[#This Row],[Year]])</f>
        <v>NOVEMBER 28</v>
      </c>
      <c r="J2421" s="7" t="s">
        <v>274</v>
      </c>
      <c r="K2421" s="32" t="str">
        <f>CONCATENATE(TableAopCalendar[[#This Row],[Month for Plan]]," ",TableAopCalendar[[#This Row],[Plan]])</f>
        <v>NOVEMBER 28 PLANNED</v>
      </c>
    </row>
    <row r="2422" spans="1:11" x14ac:dyDescent="0.3">
      <c r="A2422" s="32">
        <f t="shared" si="129"/>
        <v>1</v>
      </c>
      <c r="B2422" s="33">
        <v>47072</v>
      </c>
      <c r="C2422" s="6" t="s">
        <v>117</v>
      </c>
      <c r="D2422" s="34">
        <v>28</v>
      </c>
      <c r="E2422" s="32">
        <f>DAY(TableAopCalendar[[#This Row],[Date]])</f>
        <v>15</v>
      </c>
      <c r="F2422" s="32">
        <f>IF(TableAopCalendar[[#This Row],[Day]]&lt;8,1,IF(TableAopCalendar[[#This Row],[Day]]&lt;15,2,IF(TableAopCalendar[[#This Row],[Day]]&lt;22,3,IF(TableAopCalendar[[#This Row],[Day]]&lt;29,4,IF(TableAopCalendar[[#This Row],[Day]]&lt;32,5)))))</f>
        <v>3</v>
      </c>
      <c r="G2422" s="32" t="str">
        <f t="shared" si="130"/>
        <v>Week 3</v>
      </c>
      <c r="H2422" s="32" t="str">
        <f t="shared" si="131"/>
        <v>November 28 Week 3</v>
      </c>
      <c r="I2422" s="32" t="str">
        <f>CONCATENATE(UPPER(TableAopCalendar[[#This Row],[Month]])," ",TableAopCalendar[[#This Row],[Year]])</f>
        <v>NOVEMBER 28</v>
      </c>
      <c r="J2422" s="7" t="s">
        <v>274</v>
      </c>
      <c r="K2422" s="32" t="str">
        <f>CONCATENATE(TableAopCalendar[[#This Row],[Month for Plan]]," ",TableAopCalendar[[#This Row],[Plan]])</f>
        <v>NOVEMBER 28 PLANNED</v>
      </c>
    </row>
    <row r="2423" spans="1:11" x14ac:dyDescent="0.3">
      <c r="A2423" s="32">
        <f t="shared" si="129"/>
        <v>2</v>
      </c>
      <c r="B2423" s="33">
        <v>47073</v>
      </c>
      <c r="C2423" s="6" t="s">
        <v>117</v>
      </c>
      <c r="D2423" s="34">
        <v>28</v>
      </c>
      <c r="E2423" s="32">
        <f>DAY(TableAopCalendar[[#This Row],[Date]])</f>
        <v>16</v>
      </c>
      <c r="F2423" s="32">
        <f>IF(TableAopCalendar[[#This Row],[Day]]&lt;8,1,IF(TableAopCalendar[[#This Row],[Day]]&lt;15,2,IF(TableAopCalendar[[#This Row],[Day]]&lt;22,3,IF(TableAopCalendar[[#This Row],[Day]]&lt;29,4,IF(TableAopCalendar[[#This Row],[Day]]&lt;32,5)))))</f>
        <v>3</v>
      </c>
      <c r="G2423" s="32" t="str">
        <f t="shared" si="130"/>
        <v>Week 3</v>
      </c>
      <c r="H2423" s="32" t="str">
        <f t="shared" si="131"/>
        <v>November 28 Week 3</v>
      </c>
      <c r="I2423" s="32" t="str">
        <f>CONCATENATE(UPPER(TableAopCalendar[[#This Row],[Month]])," ",TableAopCalendar[[#This Row],[Year]])</f>
        <v>NOVEMBER 28</v>
      </c>
      <c r="J2423" s="7" t="s">
        <v>274</v>
      </c>
      <c r="K2423" s="32" t="str">
        <f>CONCATENATE(TableAopCalendar[[#This Row],[Month for Plan]]," ",TableAopCalendar[[#This Row],[Plan]])</f>
        <v>NOVEMBER 28 PLANNED</v>
      </c>
    </row>
    <row r="2424" spans="1:11" x14ac:dyDescent="0.3">
      <c r="A2424" s="32">
        <f t="shared" si="129"/>
        <v>3</v>
      </c>
      <c r="B2424" s="33">
        <v>47074</v>
      </c>
      <c r="C2424" s="6" t="s">
        <v>117</v>
      </c>
      <c r="D2424" s="34">
        <v>28</v>
      </c>
      <c r="E2424" s="32">
        <f>DAY(TableAopCalendar[[#This Row],[Date]])</f>
        <v>17</v>
      </c>
      <c r="F2424" s="32">
        <f>IF(TableAopCalendar[[#This Row],[Day]]&lt;8,1,IF(TableAopCalendar[[#This Row],[Day]]&lt;15,2,IF(TableAopCalendar[[#This Row],[Day]]&lt;22,3,IF(TableAopCalendar[[#This Row],[Day]]&lt;29,4,IF(TableAopCalendar[[#This Row],[Day]]&lt;32,5)))))</f>
        <v>3</v>
      </c>
      <c r="G2424" s="32" t="str">
        <f t="shared" si="130"/>
        <v>Week 3</v>
      </c>
      <c r="H2424" s="32" t="str">
        <f t="shared" si="131"/>
        <v>November 28 Week 3</v>
      </c>
      <c r="I2424" s="32" t="str">
        <f>CONCATENATE(UPPER(TableAopCalendar[[#This Row],[Month]])," ",TableAopCalendar[[#This Row],[Year]])</f>
        <v>NOVEMBER 28</v>
      </c>
      <c r="J2424" s="7" t="s">
        <v>274</v>
      </c>
      <c r="K2424" s="32" t="str">
        <f>CONCATENATE(TableAopCalendar[[#This Row],[Month for Plan]]," ",TableAopCalendar[[#This Row],[Plan]])</f>
        <v>NOVEMBER 28 PLANNED</v>
      </c>
    </row>
    <row r="2425" spans="1:11" x14ac:dyDescent="0.3">
      <c r="A2425" s="32">
        <f t="shared" si="129"/>
        <v>4</v>
      </c>
      <c r="B2425" s="33">
        <v>47075</v>
      </c>
      <c r="C2425" s="6" t="s">
        <v>117</v>
      </c>
      <c r="D2425" s="34">
        <v>28</v>
      </c>
      <c r="E2425" s="32">
        <f>DAY(TableAopCalendar[[#This Row],[Date]])</f>
        <v>18</v>
      </c>
      <c r="F2425" s="32">
        <f>IF(TableAopCalendar[[#This Row],[Day]]&lt;8,1,IF(TableAopCalendar[[#This Row],[Day]]&lt;15,2,IF(TableAopCalendar[[#This Row],[Day]]&lt;22,3,IF(TableAopCalendar[[#This Row],[Day]]&lt;29,4,IF(TableAopCalendar[[#This Row],[Day]]&lt;32,5)))))</f>
        <v>3</v>
      </c>
      <c r="G2425" s="32" t="str">
        <f t="shared" si="130"/>
        <v>Week 3</v>
      </c>
      <c r="H2425" s="32" t="str">
        <f t="shared" si="131"/>
        <v>November 28 Week 3</v>
      </c>
      <c r="I2425" s="32" t="str">
        <f>CONCATENATE(UPPER(TableAopCalendar[[#This Row],[Month]])," ",TableAopCalendar[[#This Row],[Year]])</f>
        <v>NOVEMBER 28</v>
      </c>
      <c r="J2425" s="7" t="s">
        <v>274</v>
      </c>
      <c r="K2425" s="32" t="str">
        <f>CONCATENATE(TableAopCalendar[[#This Row],[Month for Plan]]," ",TableAopCalendar[[#This Row],[Plan]])</f>
        <v>NOVEMBER 28 PLANNED</v>
      </c>
    </row>
    <row r="2426" spans="1:11" x14ac:dyDescent="0.3">
      <c r="A2426" s="32">
        <f t="shared" si="129"/>
        <v>5</v>
      </c>
      <c r="B2426" s="33">
        <v>47076</v>
      </c>
      <c r="C2426" s="6" t="s">
        <v>117</v>
      </c>
      <c r="D2426" s="34">
        <v>28</v>
      </c>
      <c r="E2426" s="32">
        <f>DAY(TableAopCalendar[[#This Row],[Date]])</f>
        <v>19</v>
      </c>
      <c r="F2426" s="32">
        <f>IF(TableAopCalendar[[#This Row],[Day]]&lt;8,1,IF(TableAopCalendar[[#This Row],[Day]]&lt;15,2,IF(TableAopCalendar[[#This Row],[Day]]&lt;22,3,IF(TableAopCalendar[[#This Row],[Day]]&lt;29,4,IF(TableAopCalendar[[#This Row],[Day]]&lt;32,5)))))</f>
        <v>3</v>
      </c>
      <c r="G2426" s="32" t="str">
        <f t="shared" si="130"/>
        <v>Week 3</v>
      </c>
      <c r="H2426" s="32" t="str">
        <f t="shared" si="131"/>
        <v>November 28 Week 3</v>
      </c>
      <c r="I2426" s="32" t="str">
        <f>CONCATENATE(UPPER(TableAopCalendar[[#This Row],[Month]])," ",TableAopCalendar[[#This Row],[Year]])</f>
        <v>NOVEMBER 28</v>
      </c>
      <c r="J2426" s="7" t="s">
        <v>274</v>
      </c>
      <c r="K2426" s="32" t="str">
        <f>CONCATENATE(TableAopCalendar[[#This Row],[Month for Plan]]," ",TableAopCalendar[[#This Row],[Plan]])</f>
        <v>NOVEMBER 28 PLANNED</v>
      </c>
    </row>
    <row r="2427" spans="1:11" x14ac:dyDescent="0.3">
      <c r="A2427" s="32">
        <f t="shared" si="129"/>
        <v>6</v>
      </c>
      <c r="B2427" s="33">
        <v>47077</v>
      </c>
      <c r="C2427" s="6" t="s">
        <v>117</v>
      </c>
      <c r="D2427" s="34">
        <v>28</v>
      </c>
      <c r="E2427" s="32">
        <f>DAY(TableAopCalendar[[#This Row],[Date]])</f>
        <v>20</v>
      </c>
      <c r="F2427" s="32">
        <f>IF(TableAopCalendar[[#This Row],[Day]]&lt;8,1,IF(TableAopCalendar[[#This Row],[Day]]&lt;15,2,IF(TableAopCalendar[[#This Row],[Day]]&lt;22,3,IF(TableAopCalendar[[#This Row],[Day]]&lt;29,4,IF(TableAopCalendar[[#This Row],[Day]]&lt;32,5)))))</f>
        <v>3</v>
      </c>
      <c r="G2427" s="32" t="str">
        <f t="shared" si="130"/>
        <v>Week 3</v>
      </c>
      <c r="H2427" s="32" t="str">
        <f t="shared" si="131"/>
        <v>November 28 Week 3</v>
      </c>
      <c r="I2427" s="32" t="str">
        <f>CONCATENATE(UPPER(TableAopCalendar[[#This Row],[Month]])," ",TableAopCalendar[[#This Row],[Year]])</f>
        <v>NOVEMBER 28</v>
      </c>
      <c r="J2427" s="7" t="s">
        <v>274</v>
      </c>
      <c r="K2427" s="32" t="str">
        <f>CONCATENATE(TableAopCalendar[[#This Row],[Month for Plan]]," ",TableAopCalendar[[#This Row],[Plan]])</f>
        <v>NOVEMBER 28 PLANNED</v>
      </c>
    </row>
    <row r="2428" spans="1:11" x14ac:dyDescent="0.3">
      <c r="A2428" s="32">
        <f t="shared" si="129"/>
        <v>7</v>
      </c>
      <c r="B2428" s="33">
        <v>47078</v>
      </c>
      <c r="C2428" s="6" t="s">
        <v>117</v>
      </c>
      <c r="D2428" s="34">
        <v>28</v>
      </c>
      <c r="E2428" s="32">
        <f>DAY(TableAopCalendar[[#This Row],[Date]])</f>
        <v>21</v>
      </c>
      <c r="F2428" s="32">
        <f>IF(TableAopCalendar[[#This Row],[Day]]&lt;8,1,IF(TableAopCalendar[[#This Row],[Day]]&lt;15,2,IF(TableAopCalendar[[#This Row],[Day]]&lt;22,3,IF(TableAopCalendar[[#This Row],[Day]]&lt;29,4,IF(TableAopCalendar[[#This Row],[Day]]&lt;32,5)))))</f>
        <v>3</v>
      </c>
      <c r="G2428" s="32" t="str">
        <f t="shared" si="130"/>
        <v>Week 3</v>
      </c>
      <c r="H2428" s="32" t="str">
        <f t="shared" si="131"/>
        <v>November 28 Week 3</v>
      </c>
      <c r="I2428" s="32" t="str">
        <f>CONCATENATE(UPPER(TableAopCalendar[[#This Row],[Month]])," ",TableAopCalendar[[#This Row],[Year]])</f>
        <v>NOVEMBER 28</v>
      </c>
      <c r="J2428" s="7" t="s">
        <v>274</v>
      </c>
      <c r="K2428" s="32" t="str">
        <f>CONCATENATE(TableAopCalendar[[#This Row],[Month for Plan]]," ",TableAopCalendar[[#This Row],[Plan]])</f>
        <v>NOVEMBER 28 PLANNED</v>
      </c>
    </row>
    <row r="2429" spans="1:11" x14ac:dyDescent="0.3">
      <c r="A2429" s="32">
        <f t="shared" si="129"/>
        <v>1</v>
      </c>
      <c r="B2429" s="33">
        <v>47079</v>
      </c>
      <c r="C2429" s="6" t="s">
        <v>117</v>
      </c>
      <c r="D2429" s="34">
        <v>28</v>
      </c>
      <c r="E2429" s="32">
        <f>DAY(TableAopCalendar[[#This Row],[Date]])</f>
        <v>22</v>
      </c>
      <c r="F2429" s="32">
        <f>IF(TableAopCalendar[[#This Row],[Day]]&lt;8,1,IF(TableAopCalendar[[#This Row],[Day]]&lt;15,2,IF(TableAopCalendar[[#This Row],[Day]]&lt;22,3,IF(TableAopCalendar[[#This Row],[Day]]&lt;29,4,IF(TableAopCalendar[[#This Row],[Day]]&lt;32,5)))))</f>
        <v>4</v>
      </c>
      <c r="G2429" s="32" t="str">
        <f t="shared" si="130"/>
        <v>Week 4</v>
      </c>
      <c r="H2429" s="32" t="str">
        <f t="shared" si="131"/>
        <v>November 28 Week 4</v>
      </c>
      <c r="I2429" s="32" t="str">
        <f>CONCATENATE(UPPER(TableAopCalendar[[#This Row],[Month]])," ",TableAopCalendar[[#This Row],[Year]])</f>
        <v>NOVEMBER 28</v>
      </c>
      <c r="J2429" s="7" t="s">
        <v>274</v>
      </c>
      <c r="K2429" s="32" t="str">
        <f>CONCATENATE(TableAopCalendar[[#This Row],[Month for Plan]]," ",TableAopCalendar[[#This Row],[Plan]])</f>
        <v>NOVEMBER 28 PLANNED</v>
      </c>
    </row>
    <row r="2430" spans="1:11" x14ac:dyDescent="0.3">
      <c r="A2430" s="32">
        <f t="shared" si="129"/>
        <v>2</v>
      </c>
      <c r="B2430" s="33">
        <v>47080</v>
      </c>
      <c r="C2430" s="6" t="s">
        <v>117</v>
      </c>
      <c r="D2430" s="34">
        <v>28</v>
      </c>
      <c r="E2430" s="32">
        <f>DAY(TableAopCalendar[[#This Row],[Date]])</f>
        <v>23</v>
      </c>
      <c r="F2430" s="32">
        <f>IF(TableAopCalendar[[#This Row],[Day]]&lt;8,1,IF(TableAopCalendar[[#This Row],[Day]]&lt;15,2,IF(TableAopCalendar[[#This Row],[Day]]&lt;22,3,IF(TableAopCalendar[[#This Row],[Day]]&lt;29,4,IF(TableAopCalendar[[#This Row],[Day]]&lt;32,5)))))</f>
        <v>4</v>
      </c>
      <c r="G2430" s="32" t="str">
        <f t="shared" si="130"/>
        <v>Week 4</v>
      </c>
      <c r="H2430" s="32" t="str">
        <f t="shared" si="131"/>
        <v>November 28 Week 4</v>
      </c>
      <c r="I2430" s="32" t="str">
        <f>CONCATENATE(UPPER(TableAopCalendar[[#This Row],[Month]])," ",TableAopCalendar[[#This Row],[Year]])</f>
        <v>NOVEMBER 28</v>
      </c>
      <c r="J2430" s="7" t="s">
        <v>274</v>
      </c>
      <c r="K2430" s="32" t="str">
        <f>CONCATENATE(TableAopCalendar[[#This Row],[Month for Plan]]," ",TableAopCalendar[[#This Row],[Plan]])</f>
        <v>NOVEMBER 28 PLANNED</v>
      </c>
    </row>
    <row r="2431" spans="1:11" x14ac:dyDescent="0.3">
      <c r="A2431" s="32">
        <f t="shared" si="129"/>
        <v>3</v>
      </c>
      <c r="B2431" s="33">
        <v>47081</v>
      </c>
      <c r="C2431" s="6" t="s">
        <v>117</v>
      </c>
      <c r="D2431" s="34">
        <v>28</v>
      </c>
      <c r="E2431" s="32">
        <f>DAY(TableAopCalendar[[#This Row],[Date]])</f>
        <v>24</v>
      </c>
      <c r="F2431" s="32">
        <f>IF(TableAopCalendar[[#This Row],[Day]]&lt;8,1,IF(TableAopCalendar[[#This Row],[Day]]&lt;15,2,IF(TableAopCalendar[[#This Row],[Day]]&lt;22,3,IF(TableAopCalendar[[#This Row],[Day]]&lt;29,4,IF(TableAopCalendar[[#This Row],[Day]]&lt;32,5)))))</f>
        <v>4</v>
      </c>
      <c r="G2431" s="32" t="str">
        <f t="shared" si="130"/>
        <v>Week 4</v>
      </c>
      <c r="H2431" s="32" t="str">
        <f t="shared" si="131"/>
        <v>November 28 Week 4</v>
      </c>
      <c r="I2431" s="32" t="str">
        <f>CONCATENATE(UPPER(TableAopCalendar[[#This Row],[Month]])," ",TableAopCalendar[[#This Row],[Year]])</f>
        <v>NOVEMBER 28</v>
      </c>
      <c r="J2431" s="7" t="s">
        <v>274</v>
      </c>
      <c r="K2431" s="32" t="str">
        <f>CONCATENATE(TableAopCalendar[[#This Row],[Month for Plan]]," ",TableAopCalendar[[#This Row],[Plan]])</f>
        <v>NOVEMBER 28 PLANNED</v>
      </c>
    </row>
    <row r="2432" spans="1:11" x14ac:dyDescent="0.3">
      <c r="A2432" s="32">
        <f t="shared" si="129"/>
        <v>4</v>
      </c>
      <c r="B2432" s="33">
        <v>47082</v>
      </c>
      <c r="C2432" s="6" t="s">
        <v>117</v>
      </c>
      <c r="D2432" s="34">
        <v>28</v>
      </c>
      <c r="E2432" s="32">
        <f>DAY(TableAopCalendar[[#This Row],[Date]])</f>
        <v>25</v>
      </c>
      <c r="F2432" s="32">
        <f>IF(TableAopCalendar[[#This Row],[Day]]&lt;8,1,IF(TableAopCalendar[[#This Row],[Day]]&lt;15,2,IF(TableAopCalendar[[#This Row],[Day]]&lt;22,3,IF(TableAopCalendar[[#This Row],[Day]]&lt;29,4,IF(TableAopCalendar[[#This Row],[Day]]&lt;32,5)))))</f>
        <v>4</v>
      </c>
      <c r="G2432" s="32" t="str">
        <f t="shared" si="130"/>
        <v>Week 4</v>
      </c>
      <c r="H2432" s="32" t="str">
        <f t="shared" si="131"/>
        <v>November 28 Week 4</v>
      </c>
      <c r="I2432" s="32" t="str">
        <f>CONCATENATE(UPPER(TableAopCalendar[[#This Row],[Month]])," ",TableAopCalendar[[#This Row],[Year]])</f>
        <v>NOVEMBER 28</v>
      </c>
      <c r="J2432" s="7" t="s">
        <v>274</v>
      </c>
      <c r="K2432" s="32" t="str">
        <f>CONCATENATE(TableAopCalendar[[#This Row],[Month for Plan]]," ",TableAopCalendar[[#This Row],[Plan]])</f>
        <v>NOVEMBER 28 PLANNED</v>
      </c>
    </row>
    <row r="2433" spans="1:11" x14ac:dyDescent="0.3">
      <c r="A2433" s="32">
        <f t="shared" si="129"/>
        <v>5</v>
      </c>
      <c r="B2433" s="33">
        <v>47083</v>
      </c>
      <c r="C2433" s="6" t="s">
        <v>117</v>
      </c>
      <c r="D2433" s="34">
        <v>28</v>
      </c>
      <c r="E2433" s="32">
        <f>DAY(TableAopCalendar[[#This Row],[Date]])</f>
        <v>26</v>
      </c>
      <c r="F2433" s="32">
        <f>IF(TableAopCalendar[[#This Row],[Day]]&lt;8,1,IF(TableAopCalendar[[#This Row],[Day]]&lt;15,2,IF(TableAopCalendar[[#This Row],[Day]]&lt;22,3,IF(TableAopCalendar[[#This Row],[Day]]&lt;29,4,IF(TableAopCalendar[[#This Row],[Day]]&lt;32,5)))))</f>
        <v>4</v>
      </c>
      <c r="G2433" s="32" t="str">
        <f t="shared" si="130"/>
        <v>Week 4</v>
      </c>
      <c r="H2433" s="32" t="str">
        <f t="shared" si="131"/>
        <v>November 28 Week 4</v>
      </c>
      <c r="I2433" s="32" t="str">
        <f>CONCATENATE(UPPER(TableAopCalendar[[#This Row],[Month]])," ",TableAopCalendar[[#This Row],[Year]])</f>
        <v>NOVEMBER 28</v>
      </c>
      <c r="J2433" s="7" t="s">
        <v>274</v>
      </c>
      <c r="K2433" s="32" t="str">
        <f>CONCATENATE(TableAopCalendar[[#This Row],[Month for Plan]]," ",TableAopCalendar[[#This Row],[Plan]])</f>
        <v>NOVEMBER 28 PLANNED</v>
      </c>
    </row>
    <row r="2434" spans="1:11" x14ac:dyDescent="0.3">
      <c r="A2434" s="32">
        <f t="shared" si="129"/>
        <v>6</v>
      </c>
      <c r="B2434" s="33">
        <v>47084</v>
      </c>
      <c r="C2434" s="6" t="s">
        <v>117</v>
      </c>
      <c r="D2434" s="34">
        <v>28</v>
      </c>
      <c r="E2434" s="32">
        <f>DAY(TableAopCalendar[[#This Row],[Date]])</f>
        <v>27</v>
      </c>
      <c r="F2434" s="32">
        <f>IF(TableAopCalendar[[#This Row],[Day]]&lt;8,1,IF(TableAopCalendar[[#This Row],[Day]]&lt;15,2,IF(TableAopCalendar[[#This Row],[Day]]&lt;22,3,IF(TableAopCalendar[[#This Row],[Day]]&lt;29,4,IF(TableAopCalendar[[#This Row],[Day]]&lt;32,5)))))</f>
        <v>4</v>
      </c>
      <c r="G2434" s="32" t="str">
        <f t="shared" si="130"/>
        <v>Week 4</v>
      </c>
      <c r="H2434" s="32" t="str">
        <f t="shared" si="131"/>
        <v>November 28 Week 4</v>
      </c>
      <c r="I2434" s="32" t="str">
        <f>CONCATENATE(UPPER(TableAopCalendar[[#This Row],[Month]])," ",TableAopCalendar[[#This Row],[Year]])</f>
        <v>NOVEMBER 28</v>
      </c>
      <c r="J2434" s="7" t="s">
        <v>274</v>
      </c>
      <c r="K2434" s="32" t="str">
        <f>CONCATENATE(TableAopCalendar[[#This Row],[Month for Plan]]," ",TableAopCalendar[[#This Row],[Plan]])</f>
        <v>NOVEMBER 28 PLANNED</v>
      </c>
    </row>
    <row r="2435" spans="1:11" x14ac:dyDescent="0.3">
      <c r="A2435" s="32">
        <f t="shared" si="129"/>
        <v>7</v>
      </c>
      <c r="B2435" s="33">
        <v>47085</v>
      </c>
      <c r="C2435" s="6" t="s">
        <v>117</v>
      </c>
      <c r="D2435" s="34">
        <v>28</v>
      </c>
      <c r="E2435" s="32">
        <f>DAY(TableAopCalendar[[#This Row],[Date]])</f>
        <v>28</v>
      </c>
      <c r="F2435" s="32">
        <f>IF(TableAopCalendar[[#This Row],[Day]]&lt;8,1,IF(TableAopCalendar[[#This Row],[Day]]&lt;15,2,IF(TableAopCalendar[[#This Row],[Day]]&lt;22,3,IF(TableAopCalendar[[#This Row],[Day]]&lt;29,4,IF(TableAopCalendar[[#This Row],[Day]]&lt;32,5)))))</f>
        <v>4</v>
      </c>
      <c r="G2435" s="32" t="str">
        <f t="shared" si="130"/>
        <v>Week 4</v>
      </c>
      <c r="H2435" s="32" t="str">
        <f t="shared" si="131"/>
        <v>November 28 Week 4</v>
      </c>
      <c r="I2435" s="32" t="str">
        <f>CONCATENATE(UPPER(TableAopCalendar[[#This Row],[Month]])," ",TableAopCalendar[[#This Row],[Year]])</f>
        <v>NOVEMBER 28</v>
      </c>
      <c r="J2435" s="7" t="s">
        <v>274</v>
      </c>
      <c r="K2435" s="32" t="str">
        <f>CONCATENATE(TableAopCalendar[[#This Row],[Month for Plan]]," ",TableAopCalendar[[#This Row],[Plan]])</f>
        <v>NOVEMBER 28 PLANNED</v>
      </c>
    </row>
    <row r="2436" spans="1:11" x14ac:dyDescent="0.3">
      <c r="A2436" s="32">
        <f t="shared" si="129"/>
        <v>1</v>
      </c>
      <c r="B2436" s="33">
        <v>47086</v>
      </c>
      <c r="C2436" s="6" t="s">
        <v>117</v>
      </c>
      <c r="D2436" s="34">
        <v>28</v>
      </c>
      <c r="E2436" s="32">
        <f>DAY(TableAopCalendar[[#This Row],[Date]])</f>
        <v>29</v>
      </c>
      <c r="F2436" s="32">
        <f>IF(TableAopCalendar[[#This Row],[Day]]&lt;8,1,IF(TableAopCalendar[[#This Row],[Day]]&lt;15,2,IF(TableAopCalendar[[#This Row],[Day]]&lt;22,3,IF(TableAopCalendar[[#This Row],[Day]]&lt;29,4,IF(TableAopCalendar[[#This Row],[Day]]&lt;32,5)))))</f>
        <v>5</v>
      </c>
      <c r="G2436" s="32" t="str">
        <f t="shared" si="130"/>
        <v>Week 5</v>
      </c>
      <c r="H2436" s="32" t="str">
        <f t="shared" si="131"/>
        <v>November 28 Week 5</v>
      </c>
      <c r="I2436" s="32" t="str">
        <f>CONCATENATE(UPPER(TableAopCalendar[[#This Row],[Month]])," ",TableAopCalendar[[#This Row],[Year]])</f>
        <v>NOVEMBER 28</v>
      </c>
      <c r="J2436" s="7" t="s">
        <v>274</v>
      </c>
      <c r="K2436" s="32" t="str">
        <f>CONCATENATE(TableAopCalendar[[#This Row],[Month for Plan]]," ",TableAopCalendar[[#This Row],[Plan]])</f>
        <v>NOVEMBER 28 PLANNED</v>
      </c>
    </row>
    <row r="2437" spans="1:11" x14ac:dyDescent="0.3">
      <c r="A2437" s="32">
        <f t="shared" si="129"/>
        <v>2</v>
      </c>
      <c r="B2437" s="33">
        <v>47087</v>
      </c>
      <c r="C2437" s="6" t="s">
        <v>117</v>
      </c>
      <c r="D2437" s="34">
        <v>28</v>
      </c>
      <c r="E2437" s="32">
        <f>DAY(TableAopCalendar[[#This Row],[Date]])</f>
        <v>30</v>
      </c>
      <c r="F2437" s="32">
        <f>IF(TableAopCalendar[[#This Row],[Day]]&lt;8,1,IF(TableAopCalendar[[#This Row],[Day]]&lt;15,2,IF(TableAopCalendar[[#This Row],[Day]]&lt;22,3,IF(TableAopCalendar[[#This Row],[Day]]&lt;29,4,IF(TableAopCalendar[[#This Row],[Day]]&lt;32,5)))))</f>
        <v>5</v>
      </c>
      <c r="G2437" s="32" t="str">
        <f t="shared" si="130"/>
        <v>Week 5</v>
      </c>
      <c r="H2437" s="32" t="str">
        <f t="shared" si="131"/>
        <v>November 28 Week 5</v>
      </c>
      <c r="I2437" s="32" t="str">
        <f>CONCATENATE(UPPER(TableAopCalendar[[#This Row],[Month]])," ",TableAopCalendar[[#This Row],[Year]])</f>
        <v>NOVEMBER 28</v>
      </c>
      <c r="J2437" s="7" t="s">
        <v>274</v>
      </c>
      <c r="K2437" s="32" t="str">
        <f>CONCATENATE(TableAopCalendar[[#This Row],[Month for Plan]]," ",TableAopCalendar[[#This Row],[Plan]])</f>
        <v>NOVEMBER 28 PLANNED</v>
      </c>
    </row>
    <row r="2438" spans="1:11" x14ac:dyDescent="0.3">
      <c r="A2438" s="32">
        <f t="shared" si="129"/>
        <v>1</v>
      </c>
      <c r="B2438" s="33">
        <v>47088</v>
      </c>
      <c r="C2438" s="6" t="s">
        <v>270</v>
      </c>
      <c r="D2438" s="34">
        <v>28</v>
      </c>
      <c r="E2438" s="32">
        <f>DAY(TableAopCalendar[[#This Row],[Date]])</f>
        <v>1</v>
      </c>
      <c r="F2438" s="32">
        <f>IF(TableAopCalendar[[#This Row],[Day]]&lt;8,1,IF(TableAopCalendar[[#This Row],[Day]]&lt;15,2,IF(TableAopCalendar[[#This Row],[Day]]&lt;22,3,IF(TableAopCalendar[[#This Row],[Day]]&lt;29,4,IF(TableAopCalendar[[#This Row],[Day]]&lt;32,5)))))</f>
        <v>1</v>
      </c>
      <c r="G2438" s="32" t="str">
        <f t="shared" si="130"/>
        <v>Week 1</v>
      </c>
      <c r="H2438" s="32" t="str">
        <f t="shared" si="131"/>
        <v>December 28 Week 1</v>
      </c>
      <c r="I2438" s="32" t="str">
        <f>CONCATENATE(UPPER(TableAopCalendar[[#This Row],[Month]])," ",TableAopCalendar[[#This Row],[Year]])</f>
        <v>DECEMBER 28</v>
      </c>
      <c r="J2438" s="7" t="s">
        <v>274</v>
      </c>
      <c r="K2438" s="32" t="str">
        <f>CONCATENATE(TableAopCalendar[[#This Row],[Month for Plan]]," ",TableAopCalendar[[#This Row],[Plan]])</f>
        <v>DECEMBER 28 PLANNED</v>
      </c>
    </row>
    <row r="2439" spans="1:11" x14ac:dyDescent="0.3">
      <c r="A2439" s="32">
        <f t="shared" si="129"/>
        <v>2</v>
      </c>
      <c r="B2439" s="33">
        <v>47089</v>
      </c>
      <c r="C2439" s="6" t="s">
        <v>270</v>
      </c>
      <c r="D2439" s="34">
        <v>28</v>
      </c>
      <c r="E2439" s="32">
        <f>DAY(TableAopCalendar[[#This Row],[Date]])</f>
        <v>2</v>
      </c>
      <c r="F2439" s="32">
        <f>IF(TableAopCalendar[[#This Row],[Day]]&lt;8,1,IF(TableAopCalendar[[#This Row],[Day]]&lt;15,2,IF(TableAopCalendar[[#This Row],[Day]]&lt;22,3,IF(TableAopCalendar[[#This Row],[Day]]&lt;29,4,IF(TableAopCalendar[[#This Row],[Day]]&lt;32,5)))))</f>
        <v>1</v>
      </c>
      <c r="G2439" s="32" t="str">
        <f t="shared" si="130"/>
        <v>Week 1</v>
      </c>
      <c r="H2439" s="32" t="str">
        <f t="shared" si="131"/>
        <v>December 28 Week 1</v>
      </c>
      <c r="I2439" s="32" t="str">
        <f>CONCATENATE(UPPER(TableAopCalendar[[#This Row],[Month]])," ",TableAopCalendar[[#This Row],[Year]])</f>
        <v>DECEMBER 28</v>
      </c>
      <c r="J2439" s="7" t="s">
        <v>274</v>
      </c>
      <c r="K2439" s="32" t="str">
        <f>CONCATENATE(TableAopCalendar[[#This Row],[Month for Plan]]," ",TableAopCalendar[[#This Row],[Plan]])</f>
        <v>DECEMBER 28 PLANNED</v>
      </c>
    </row>
    <row r="2440" spans="1:11" x14ac:dyDescent="0.3">
      <c r="A2440" s="32">
        <f t="shared" si="129"/>
        <v>3</v>
      </c>
      <c r="B2440" s="33">
        <v>47090</v>
      </c>
      <c r="C2440" s="6" t="s">
        <v>270</v>
      </c>
      <c r="D2440" s="34">
        <v>28</v>
      </c>
      <c r="E2440" s="32">
        <f>DAY(TableAopCalendar[[#This Row],[Date]])</f>
        <v>3</v>
      </c>
      <c r="F2440" s="32">
        <f>IF(TableAopCalendar[[#This Row],[Day]]&lt;8,1,IF(TableAopCalendar[[#This Row],[Day]]&lt;15,2,IF(TableAopCalendar[[#This Row],[Day]]&lt;22,3,IF(TableAopCalendar[[#This Row],[Day]]&lt;29,4,IF(TableAopCalendar[[#This Row],[Day]]&lt;32,5)))))</f>
        <v>1</v>
      </c>
      <c r="G2440" s="32" t="str">
        <f t="shared" si="130"/>
        <v>Week 1</v>
      </c>
      <c r="H2440" s="32" t="str">
        <f t="shared" si="131"/>
        <v>December 28 Week 1</v>
      </c>
      <c r="I2440" s="32" t="str">
        <f>CONCATENATE(UPPER(TableAopCalendar[[#This Row],[Month]])," ",TableAopCalendar[[#This Row],[Year]])</f>
        <v>DECEMBER 28</v>
      </c>
      <c r="J2440" s="7" t="s">
        <v>274</v>
      </c>
      <c r="K2440" s="32" t="str">
        <f>CONCATENATE(TableAopCalendar[[#This Row],[Month for Plan]]," ",TableAopCalendar[[#This Row],[Plan]])</f>
        <v>DECEMBER 28 PLANNED</v>
      </c>
    </row>
    <row r="2441" spans="1:11" x14ac:dyDescent="0.3">
      <c r="A2441" s="32">
        <f t="shared" si="129"/>
        <v>4</v>
      </c>
      <c r="B2441" s="33">
        <v>47091</v>
      </c>
      <c r="C2441" s="6" t="s">
        <v>270</v>
      </c>
      <c r="D2441" s="34">
        <v>28</v>
      </c>
      <c r="E2441" s="32">
        <f>DAY(TableAopCalendar[[#This Row],[Date]])</f>
        <v>4</v>
      </c>
      <c r="F2441" s="32">
        <f>IF(TableAopCalendar[[#This Row],[Day]]&lt;8,1,IF(TableAopCalendar[[#This Row],[Day]]&lt;15,2,IF(TableAopCalendar[[#This Row],[Day]]&lt;22,3,IF(TableAopCalendar[[#This Row],[Day]]&lt;29,4,IF(TableAopCalendar[[#This Row],[Day]]&lt;32,5)))))</f>
        <v>1</v>
      </c>
      <c r="G2441" s="32" t="str">
        <f t="shared" si="130"/>
        <v>Week 1</v>
      </c>
      <c r="H2441" s="32" t="str">
        <f t="shared" si="131"/>
        <v>December 28 Week 1</v>
      </c>
      <c r="I2441" s="32" t="str">
        <f>CONCATENATE(UPPER(TableAopCalendar[[#This Row],[Month]])," ",TableAopCalendar[[#This Row],[Year]])</f>
        <v>DECEMBER 28</v>
      </c>
      <c r="J2441" s="7" t="s">
        <v>274</v>
      </c>
      <c r="K2441" s="32" t="str">
        <f>CONCATENATE(TableAopCalendar[[#This Row],[Month for Plan]]," ",TableAopCalendar[[#This Row],[Plan]])</f>
        <v>DECEMBER 28 PLANNED</v>
      </c>
    </row>
    <row r="2442" spans="1:11" x14ac:dyDescent="0.3">
      <c r="A2442" s="32">
        <f t="shared" si="129"/>
        <v>5</v>
      </c>
      <c r="B2442" s="33">
        <v>47092</v>
      </c>
      <c r="C2442" s="6" t="s">
        <v>270</v>
      </c>
      <c r="D2442" s="34">
        <v>28</v>
      </c>
      <c r="E2442" s="32">
        <f>DAY(TableAopCalendar[[#This Row],[Date]])</f>
        <v>5</v>
      </c>
      <c r="F2442" s="32">
        <f>IF(TableAopCalendar[[#This Row],[Day]]&lt;8,1,IF(TableAopCalendar[[#This Row],[Day]]&lt;15,2,IF(TableAopCalendar[[#This Row],[Day]]&lt;22,3,IF(TableAopCalendar[[#This Row],[Day]]&lt;29,4,IF(TableAopCalendar[[#This Row],[Day]]&lt;32,5)))))</f>
        <v>1</v>
      </c>
      <c r="G2442" s="32" t="str">
        <f t="shared" si="130"/>
        <v>Week 1</v>
      </c>
      <c r="H2442" s="32" t="str">
        <f t="shared" si="131"/>
        <v>December 28 Week 1</v>
      </c>
      <c r="I2442" s="32" t="str">
        <f>CONCATENATE(UPPER(TableAopCalendar[[#This Row],[Month]])," ",TableAopCalendar[[#This Row],[Year]])</f>
        <v>DECEMBER 28</v>
      </c>
      <c r="J2442" s="7" t="s">
        <v>274</v>
      </c>
      <c r="K2442" s="32" t="str">
        <f>CONCATENATE(TableAopCalendar[[#This Row],[Month for Plan]]," ",TableAopCalendar[[#This Row],[Plan]])</f>
        <v>DECEMBER 28 PLANNED</v>
      </c>
    </row>
    <row r="2443" spans="1:11" x14ac:dyDescent="0.3">
      <c r="A2443" s="32">
        <f t="shared" si="129"/>
        <v>6</v>
      </c>
      <c r="B2443" s="33">
        <v>47093</v>
      </c>
      <c r="C2443" s="6" t="s">
        <v>270</v>
      </c>
      <c r="D2443" s="34">
        <v>28</v>
      </c>
      <c r="E2443" s="32">
        <f>DAY(TableAopCalendar[[#This Row],[Date]])</f>
        <v>6</v>
      </c>
      <c r="F2443" s="32">
        <f>IF(TableAopCalendar[[#This Row],[Day]]&lt;8,1,IF(TableAopCalendar[[#This Row],[Day]]&lt;15,2,IF(TableAopCalendar[[#This Row],[Day]]&lt;22,3,IF(TableAopCalendar[[#This Row],[Day]]&lt;29,4,IF(TableAopCalendar[[#This Row],[Day]]&lt;32,5)))))</f>
        <v>1</v>
      </c>
      <c r="G2443" s="32" t="str">
        <f t="shared" si="130"/>
        <v>Week 1</v>
      </c>
      <c r="H2443" s="32" t="str">
        <f t="shared" si="131"/>
        <v>December 28 Week 1</v>
      </c>
      <c r="I2443" s="32" t="str">
        <f>CONCATENATE(UPPER(TableAopCalendar[[#This Row],[Month]])," ",TableAopCalendar[[#This Row],[Year]])</f>
        <v>DECEMBER 28</v>
      </c>
      <c r="J2443" s="7" t="s">
        <v>274</v>
      </c>
      <c r="K2443" s="32" t="str">
        <f>CONCATENATE(TableAopCalendar[[#This Row],[Month for Plan]]," ",TableAopCalendar[[#This Row],[Plan]])</f>
        <v>DECEMBER 28 PLANNED</v>
      </c>
    </row>
    <row r="2444" spans="1:11" x14ac:dyDescent="0.3">
      <c r="A2444" s="32">
        <f t="shared" si="129"/>
        <v>7</v>
      </c>
      <c r="B2444" s="33">
        <v>47094</v>
      </c>
      <c r="C2444" s="6" t="s">
        <v>270</v>
      </c>
      <c r="D2444" s="34">
        <v>28</v>
      </c>
      <c r="E2444" s="32">
        <f>DAY(TableAopCalendar[[#This Row],[Date]])</f>
        <v>7</v>
      </c>
      <c r="F2444" s="32">
        <f>IF(TableAopCalendar[[#This Row],[Day]]&lt;8,1,IF(TableAopCalendar[[#This Row],[Day]]&lt;15,2,IF(TableAopCalendar[[#This Row],[Day]]&lt;22,3,IF(TableAopCalendar[[#This Row],[Day]]&lt;29,4,IF(TableAopCalendar[[#This Row],[Day]]&lt;32,5)))))</f>
        <v>1</v>
      </c>
      <c r="G2444" s="32" t="str">
        <f t="shared" si="130"/>
        <v>Week 1</v>
      </c>
      <c r="H2444" s="32" t="str">
        <f t="shared" si="131"/>
        <v>December 28 Week 1</v>
      </c>
      <c r="I2444" s="32" t="str">
        <f>CONCATENATE(UPPER(TableAopCalendar[[#This Row],[Month]])," ",TableAopCalendar[[#This Row],[Year]])</f>
        <v>DECEMBER 28</v>
      </c>
      <c r="J2444" s="7" t="s">
        <v>274</v>
      </c>
      <c r="K2444" s="32" t="str">
        <f>CONCATENATE(TableAopCalendar[[#This Row],[Month for Plan]]," ",TableAopCalendar[[#This Row],[Plan]])</f>
        <v>DECEMBER 28 PLANNED</v>
      </c>
    </row>
    <row r="2445" spans="1:11" x14ac:dyDescent="0.3">
      <c r="A2445" s="32">
        <f t="shared" si="129"/>
        <v>1</v>
      </c>
      <c r="B2445" s="33">
        <v>47095</v>
      </c>
      <c r="C2445" s="6" t="s">
        <v>270</v>
      </c>
      <c r="D2445" s="34">
        <v>28</v>
      </c>
      <c r="E2445" s="32">
        <f>DAY(TableAopCalendar[[#This Row],[Date]])</f>
        <v>8</v>
      </c>
      <c r="F2445" s="32">
        <f>IF(TableAopCalendar[[#This Row],[Day]]&lt;8,1,IF(TableAopCalendar[[#This Row],[Day]]&lt;15,2,IF(TableAopCalendar[[#This Row],[Day]]&lt;22,3,IF(TableAopCalendar[[#This Row],[Day]]&lt;29,4,IF(TableAopCalendar[[#This Row],[Day]]&lt;32,5)))))</f>
        <v>2</v>
      </c>
      <c r="G2445" s="32" t="str">
        <f t="shared" si="130"/>
        <v>Week 2</v>
      </c>
      <c r="H2445" s="32" t="str">
        <f t="shared" si="131"/>
        <v>December 28 Week 2</v>
      </c>
      <c r="I2445" s="32" t="str">
        <f>CONCATENATE(UPPER(TableAopCalendar[[#This Row],[Month]])," ",TableAopCalendar[[#This Row],[Year]])</f>
        <v>DECEMBER 28</v>
      </c>
      <c r="J2445" s="7" t="s">
        <v>274</v>
      </c>
      <c r="K2445" s="32" t="str">
        <f>CONCATENATE(TableAopCalendar[[#This Row],[Month for Plan]]," ",TableAopCalendar[[#This Row],[Plan]])</f>
        <v>DECEMBER 28 PLANNED</v>
      </c>
    </row>
    <row r="2446" spans="1:11" x14ac:dyDescent="0.3">
      <c r="A2446" s="32">
        <f t="shared" si="129"/>
        <v>2</v>
      </c>
      <c r="B2446" s="33">
        <v>47096</v>
      </c>
      <c r="C2446" s="6" t="s">
        <v>270</v>
      </c>
      <c r="D2446" s="34">
        <v>28</v>
      </c>
      <c r="E2446" s="32">
        <f>DAY(TableAopCalendar[[#This Row],[Date]])</f>
        <v>9</v>
      </c>
      <c r="F2446" s="32">
        <f>IF(TableAopCalendar[[#This Row],[Day]]&lt;8,1,IF(TableAopCalendar[[#This Row],[Day]]&lt;15,2,IF(TableAopCalendar[[#This Row],[Day]]&lt;22,3,IF(TableAopCalendar[[#This Row],[Day]]&lt;29,4,IF(TableAopCalendar[[#This Row],[Day]]&lt;32,5)))))</f>
        <v>2</v>
      </c>
      <c r="G2446" s="32" t="str">
        <f t="shared" si="130"/>
        <v>Week 2</v>
      </c>
      <c r="H2446" s="32" t="str">
        <f t="shared" si="131"/>
        <v>December 28 Week 2</v>
      </c>
      <c r="I2446" s="32" t="str">
        <f>CONCATENATE(UPPER(TableAopCalendar[[#This Row],[Month]])," ",TableAopCalendar[[#This Row],[Year]])</f>
        <v>DECEMBER 28</v>
      </c>
      <c r="J2446" s="7" t="s">
        <v>274</v>
      </c>
      <c r="K2446" s="32" t="str">
        <f>CONCATENATE(TableAopCalendar[[#This Row],[Month for Plan]]," ",TableAopCalendar[[#This Row],[Plan]])</f>
        <v>DECEMBER 28 PLANNED</v>
      </c>
    </row>
    <row r="2447" spans="1:11" x14ac:dyDescent="0.3">
      <c r="A2447" s="32">
        <f t="shared" si="129"/>
        <v>3</v>
      </c>
      <c r="B2447" s="33">
        <v>47097</v>
      </c>
      <c r="C2447" s="6" t="s">
        <v>270</v>
      </c>
      <c r="D2447" s="34">
        <v>28</v>
      </c>
      <c r="E2447" s="32">
        <f>DAY(TableAopCalendar[[#This Row],[Date]])</f>
        <v>10</v>
      </c>
      <c r="F2447" s="32">
        <f>IF(TableAopCalendar[[#This Row],[Day]]&lt;8,1,IF(TableAopCalendar[[#This Row],[Day]]&lt;15,2,IF(TableAopCalendar[[#This Row],[Day]]&lt;22,3,IF(TableAopCalendar[[#This Row],[Day]]&lt;29,4,IF(TableAopCalendar[[#This Row],[Day]]&lt;32,5)))))</f>
        <v>2</v>
      </c>
      <c r="G2447" s="32" t="str">
        <f t="shared" si="130"/>
        <v>Week 2</v>
      </c>
      <c r="H2447" s="32" t="str">
        <f t="shared" si="131"/>
        <v>December 28 Week 2</v>
      </c>
      <c r="I2447" s="32" t="str">
        <f>CONCATENATE(UPPER(TableAopCalendar[[#This Row],[Month]])," ",TableAopCalendar[[#This Row],[Year]])</f>
        <v>DECEMBER 28</v>
      </c>
      <c r="J2447" s="7" t="s">
        <v>274</v>
      </c>
      <c r="K2447" s="32" t="str">
        <f>CONCATENATE(TableAopCalendar[[#This Row],[Month for Plan]]," ",TableAopCalendar[[#This Row],[Plan]])</f>
        <v>DECEMBER 28 PLANNED</v>
      </c>
    </row>
    <row r="2448" spans="1:11" x14ac:dyDescent="0.3">
      <c r="A2448" s="32">
        <f t="shared" si="129"/>
        <v>4</v>
      </c>
      <c r="B2448" s="33">
        <v>47098</v>
      </c>
      <c r="C2448" s="6" t="s">
        <v>270</v>
      </c>
      <c r="D2448" s="34">
        <v>28</v>
      </c>
      <c r="E2448" s="32">
        <f>DAY(TableAopCalendar[[#This Row],[Date]])</f>
        <v>11</v>
      </c>
      <c r="F2448" s="32">
        <f>IF(TableAopCalendar[[#This Row],[Day]]&lt;8,1,IF(TableAopCalendar[[#This Row],[Day]]&lt;15,2,IF(TableAopCalendar[[#This Row],[Day]]&lt;22,3,IF(TableAopCalendar[[#This Row],[Day]]&lt;29,4,IF(TableAopCalendar[[#This Row],[Day]]&lt;32,5)))))</f>
        <v>2</v>
      </c>
      <c r="G2448" s="32" t="str">
        <f t="shared" si="130"/>
        <v>Week 2</v>
      </c>
      <c r="H2448" s="32" t="str">
        <f t="shared" si="131"/>
        <v>December 28 Week 2</v>
      </c>
      <c r="I2448" s="32" t="str">
        <f>CONCATENATE(UPPER(TableAopCalendar[[#This Row],[Month]])," ",TableAopCalendar[[#This Row],[Year]])</f>
        <v>DECEMBER 28</v>
      </c>
      <c r="J2448" s="7" t="s">
        <v>274</v>
      </c>
      <c r="K2448" s="32" t="str">
        <f>CONCATENATE(TableAopCalendar[[#This Row],[Month for Plan]]," ",TableAopCalendar[[#This Row],[Plan]])</f>
        <v>DECEMBER 28 PLANNED</v>
      </c>
    </row>
    <row r="2449" spans="1:11" x14ac:dyDescent="0.3">
      <c r="A2449" s="32">
        <f t="shared" si="129"/>
        <v>5</v>
      </c>
      <c r="B2449" s="33">
        <v>47099</v>
      </c>
      <c r="C2449" s="6" t="s">
        <v>270</v>
      </c>
      <c r="D2449" s="34">
        <v>28</v>
      </c>
      <c r="E2449" s="32">
        <f>DAY(TableAopCalendar[[#This Row],[Date]])</f>
        <v>12</v>
      </c>
      <c r="F2449" s="32">
        <f>IF(TableAopCalendar[[#This Row],[Day]]&lt;8,1,IF(TableAopCalendar[[#This Row],[Day]]&lt;15,2,IF(TableAopCalendar[[#This Row],[Day]]&lt;22,3,IF(TableAopCalendar[[#This Row],[Day]]&lt;29,4,IF(TableAopCalendar[[#This Row],[Day]]&lt;32,5)))))</f>
        <v>2</v>
      </c>
      <c r="G2449" s="32" t="str">
        <f t="shared" si="130"/>
        <v>Week 2</v>
      </c>
      <c r="H2449" s="32" t="str">
        <f t="shared" si="131"/>
        <v>December 28 Week 2</v>
      </c>
      <c r="I2449" s="32" t="str">
        <f>CONCATENATE(UPPER(TableAopCalendar[[#This Row],[Month]])," ",TableAopCalendar[[#This Row],[Year]])</f>
        <v>DECEMBER 28</v>
      </c>
      <c r="J2449" s="7" t="s">
        <v>274</v>
      </c>
      <c r="K2449" s="32" t="str">
        <f>CONCATENATE(TableAopCalendar[[#This Row],[Month for Plan]]," ",TableAopCalendar[[#This Row],[Plan]])</f>
        <v>DECEMBER 28 PLANNED</v>
      </c>
    </row>
    <row r="2450" spans="1:11" x14ac:dyDescent="0.3">
      <c r="A2450" s="32">
        <f t="shared" si="129"/>
        <v>6</v>
      </c>
      <c r="B2450" s="33">
        <v>47100</v>
      </c>
      <c r="C2450" s="6" t="s">
        <v>270</v>
      </c>
      <c r="D2450" s="34">
        <v>28</v>
      </c>
      <c r="E2450" s="32">
        <f>DAY(TableAopCalendar[[#This Row],[Date]])</f>
        <v>13</v>
      </c>
      <c r="F2450" s="32">
        <f>IF(TableAopCalendar[[#This Row],[Day]]&lt;8,1,IF(TableAopCalendar[[#This Row],[Day]]&lt;15,2,IF(TableAopCalendar[[#This Row],[Day]]&lt;22,3,IF(TableAopCalendar[[#This Row],[Day]]&lt;29,4,IF(TableAopCalendar[[#This Row],[Day]]&lt;32,5)))))</f>
        <v>2</v>
      </c>
      <c r="G2450" s="32" t="str">
        <f t="shared" si="130"/>
        <v>Week 2</v>
      </c>
      <c r="H2450" s="32" t="str">
        <f t="shared" si="131"/>
        <v>December 28 Week 2</v>
      </c>
      <c r="I2450" s="32" t="str">
        <f>CONCATENATE(UPPER(TableAopCalendar[[#This Row],[Month]])," ",TableAopCalendar[[#This Row],[Year]])</f>
        <v>DECEMBER 28</v>
      </c>
      <c r="J2450" s="7" t="s">
        <v>274</v>
      </c>
      <c r="K2450" s="32" t="str">
        <f>CONCATENATE(TableAopCalendar[[#This Row],[Month for Plan]]," ",TableAopCalendar[[#This Row],[Plan]])</f>
        <v>DECEMBER 28 PLANNED</v>
      </c>
    </row>
    <row r="2451" spans="1:11" x14ac:dyDescent="0.3">
      <c r="A2451" s="32">
        <f t="shared" si="129"/>
        <v>7</v>
      </c>
      <c r="B2451" s="33">
        <v>47101</v>
      </c>
      <c r="C2451" s="6" t="s">
        <v>270</v>
      </c>
      <c r="D2451" s="34">
        <v>28</v>
      </c>
      <c r="E2451" s="32">
        <f>DAY(TableAopCalendar[[#This Row],[Date]])</f>
        <v>14</v>
      </c>
      <c r="F2451" s="32">
        <f>IF(TableAopCalendar[[#This Row],[Day]]&lt;8,1,IF(TableAopCalendar[[#This Row],[Day]]&lt;15,2,IF(TableAopCalendar[[#This Row],[Day]]&lt;22,3,IF(TableAopCalendar[[#This Row],[Day]]&lt;29,4,IF(TableAopCalendar[[#This Row],[Day]]&lt;32,5)))))</f>
        <v>2</v>
      </c>
      <c r="G2451" s="32" t="str">
        <f t="shared" si="130"/>
        <v>Week 2</v>
      </c>
      <c r="H2451" s="32" t="str">
        <f t="shared" si="131"/>
        <v>December 28 Week 2</v>
      </c>
      <c r="I2451" s="32" t="str">
        <f>CONCATENATE(UPPER(TableAopCalendar[[#This Row],[Month]])," ",TableAopCalendar[[#This Row],[Year]])</f>
        <v>DECEMBER 28</v>
      </c>
      <c r="J2451" s="7" t="s">
        <v>274</v>
      </c>
      <c r="K2451" s="32" t="str">
        <f>CONCATENATE(TableAopCalendar[[#This Row],[Month for Plan]]," ",TableAopCalendar[[#This Row],[Plan]])</f>
        <v>DECEMBER 28 PLANNED</v>
      </c>
    </row>
    <row r="2452" spans="1:11" x14ac:dyDescent="0.3">
      <c r="A2452" s="32">
        <f t="shared" si="129"/>
        <v>1</v>
      </c>
      <c r="B2452" s="33">
        <v>47102</v>
      </c>
      <c r="C2452" s="6" t="s">
        <v>270</v>
      </c>
      <c r="D2452" s="34">
        <v>28</v>
      </c>
      <c r="E2452" s="32">
        <f>DAY(TableAopCalendar[[#This Row],[Date]])</f>
        <v>15</v>
      </c>
      <c r="F2452" s="32">
        <f>IF(TableAopCalendar[[#This Row],[Day]]&lt;8,1,IF(TableAopCalendar[[#This Row],[Day]]&lt;15,2,IF(TableAopCalendar[[#This Row],[Day]]&lt;22,3,IF(TableAopCalendar[[#This Row],[Day]]&lt;29,4,IF(TableAopCalendar[[#This Row],[Day]]&lt;32,5)))))</f>
        <v>3</v>
      </c>
      <c r="G2452" s="32" t="str">
        <f t="shared" si="130"/>
        <v>Week 3</v>
      </c>
      <c r="H2452" s="32" t="str">
        <f t="shared" si="131"/>
        <v>December 28 Week 3</v>
      </c>
      <c r="I2452" s="32" t="str">
        <f>CONCATENATE(UPPER(TableAopCalendar[[#This Row],[Month]])," ",TableAopCalendar[[#This Row],[Year]])</f>
        <v>DECEMBER 28</v>
      </c>
      <c r="J2452" s="7" t="s">
        <v>274</v>
      </c>
      <c r="K2452" s="32" t="str">
        <f>CONCATENATE(TableAopCalendar[[#This Row],[Month for Plan]]," ",TableAopCalendar[[#This Row],[Plan]])</f>
        <v>DECEMBER 28 PLANNED</v>
      </c>
    </row>
    <row r="2453" spans="1:11" x14ac:dyDescent="0.3">
      <c r="A2453" s="32">
        <f t="shared" si="129"/>
        <v>2</v>
      </c>
      <c r="B2453" s="33">
        <v>47103</v>
      </c>
      <c r="C2453" s="6" t="s">
        <v>270</v>
      </c>
      <c r="D2453" s="34">
        <v>28</v>
      </c>
      <c r="E2453" s="32">
        <f>DAY(TableAopCalendar[[#This Row],[Date]])</f>
        <v>16</v>
      </c>
      <c r="F2453" s="32">
        <f>IF(TableAopCalendar[[#This Row],[Day]]&lt;8,1,IF(TableAopCalendar[[#This Row],[Day]]&lt;15,2,IF(TableAopCalendar[[#This Row],[Day]]&lt;22,3,IF(TableAopCalendar[[#This Row],[Day]]&lt;29,4,IF(TableAopCalendar[[#This Row],[Day]]&lt;32,5)))))</f>
        <v>3</v>
      </c>
      <c r="G2453" s="32" t="str">
        <f t="shared" si="130"/>
        <v>Week 3</v>
      </c>
      <c r="H2453" s="32" t="str">
        <f t="shared" si="131"/>
        <v>December 28 Week 3</v>
      </c>
      <c r="I2453" s="32" t="str">
        <f>CONCATENATE(UPPER(TableAopCalendar[[#This Row],[Month]])," ",TableAopCalendar[[#This Row],[Year]])</f>
        <v>DECEMBER 28</v>
      </c>
      <c r="J2453" s="7" t="s">
        <v>274</v>
      </c>
      <c r="K2453" s="32" t="str">
        <f>CONCATENATE(TableAopCalendar[[#This Row],[Month for Plan]]," ",TableAopCalendar[[#This Row],[Plan]])</f>
        <v>DECEMBER 28 PLANNED</v>
      </c>
    </row>
    <row r="2454" spans="1:11" x14ac:dyDescent="0.3">
      <c r="A2454" s="32">
        <f t="shared" si="129"/>
        <v>3</v>
      </c>
      <c r="B2454" s="33">
        <v>47104</v>
      </c>
      <c r="C2454" s="6" t="s">
        <v>270</v>
      </c>
      <c r="D2454" s="34">
        <v>28</v>
      </c>
      <c r="E2454" s="32">
        <f>DAY(TableAopCalendar[[#This Row],[Date]])</f>
        <v>17</v>
      </c>
      <c r="F2454" s="32">
        <f>IF(TableAopCalendar[[#This Row],[Day]]&lt;8,1,IF(TableAopCalendar[[#This Row],[Day]]&lt;15,2,IF(TableAopCalendar[[#This Row],[Day]]&lt;22,3,IF(TableAopCalendar[[#This Row],[Day]]&lt;29,4,IF(TableAopCalendar[[#This Row],[Day]]&lt;32,5)))))</f>
        <v>3</v>
      </c>
      <c r="G2454" s="32" t="str">
        <f t="shared" si="130"/>
        <v>Week 3</v>
      </c>
      <c r="H2454" s="32" t="str">
        <f t="shared" si="131"/>
        <v>December 28 Week 3</v>
      </c>
      <c r="I2454" s="32" t="str">
        <f>CONCATENATE(UPPER(TableAopCalendar[[#This Row],[Month]])," ",TableAopCalendar[[#This Row],[Year]])</f>
        <v>DECEMBER 28</v>
      </c>
      <c r="J2454" s="7" t="s">
        <v>274</v>
      </c>
      <c r="K2454" s="32" t="str">
        <f>CONCATENATE(TableAopCalendar[[#This Row],[Month for Plan]]," ",TableAopCalendar[[#This Row],[Plan]])</f>
        <v>DECEMBER 28 PLANNED</v>
      </c>
    </row>
    <row r="2455" spans="1:11" x14ac:dyDescent="0.3">
      <c r="A2455" s="32">
        <f t="shared" si="129"/>
        <v>4</v>
      </c>
      <c r="B2455" s="33">
        <v>47105</v>
      </c>
      <c r="C2455" s="6" t="s">
        <v>270</v>
      </c>
      <c r="D2455" s="34">
        <v>28</v>
      </c>
      <c r="E2455" s="32">
        <f>DAY(TableAopCalendar[[#This Row],[Date]])</f>
        <v>18</v>
      </c>
      <c r="F2455" s="32">
        <f>IF(TableAopCalendar[[#This Row],[Day]]&lt;8,1,IF(TableAopCalendar[[#This Row],[Day]]&lt;15,2,IF(TableAopCalendar[[#This Row],[Day]]&lt;22,3,IF(TableAopCalendar[[#This Row],[Day]]&lt;29,4,IF(TableAopCalendar[[#This Row],[Day]]&lt;32,5)))))</f>
        <v>3</v>
      </c>
      <c r="G2455" s="32" t="str">
        <f t="shared" si="130"/>
        <v>Week 3</v>
      </c>
      <c r="H2455" s="32" t="str">
        <f t="shared" si="131"/>
        <v>December 28 Week 3</v>
      </c>
      <c r="I2455" s="32" t="str">
        <f>CONCATENATE(UPPER(TableAopCalendar[[#This Row],[Month]])," ",TableAopCalendar[[#This Row],[Year]])</f>
        <v>DECEMBER 28</v>
      </c>
      <c r="J2455" s="7" t="s">
        <v>274</v>
      </c>
      <c r="K2455" s="32" t="str">
        <f>CONCATENATE(TableAopCalendar[[#This Row],[Month for Plan]]," ",TableAopCalendar[[#This Row],[Plan]])</f>
        <v>DECEMBER 28 PLANNED</v>
      </c>
    </row>
    <row r="2456" spans="1:11" x14ac:dyDescent="0.3">
      <c r="A2456" s="32">
        <f t="shared" si="129"/>
        <v>5</v>
      </c>
      <c r="B2456" s="33">
        <v>47106</v>
      </c>
      <c r="C2456" s="6" t="s">
        <v>270</v>
      </c>
      <c r="D2456" s="34">
        <v>28</v>
      </c>
      <c r="E2456" s="32">
        <f>DAY(TableAopCalendar[[#This Row],[Date]])</f>
        <v>19</v>
      </c>
      <c r="F2456" s="32">
        <f>IF(TableAopCalendar[[#This Row],[Day]]&lt;8,1,IF(TableAopCalendar[[#This Row],[Day]]&lt;15,2,IF(TableAopCalendar[[#This Row],[Day]]&lt;22,3,IF(TableAopCalendar[[#This Row],[Day]]&lt;29,4,IF(TableAopCalendar[[#This Row],[Day]]&lt;32,5)))))</f>
        <v>3</v>
      </c>
      <c r="G2456" s="32" t="str">
        <f t="shared" si="130"/>
        <v>Week 3</v>
      </c>
      <c r="H2456" s="32" t="str">
        <f t="shared" si="131"/>
        <v>December 28 Week 3</v>
      </c>
      <c r="I2456" s="32" t="str">
        <f>CONCATENATE(UPPER(TableAopCalendar[[#This Row],[Month]])," ",TableAopCalendar[[#This Row],[Year]])</f>
        <v>DECEMBER 28</v>
      </c>
      <c r="J2456" s="7" t="s">
        <v>274</v>
      </c>
      <c r="K2456" s="32" t="str">
        <f>CONCATENATE(TableAopCalendar[[#This Row],[Month for Plan]]," ",TableAopCalendar[[#This Row],[Plan]])</f>
        <v>DECEMBER 28 PLANNED</v>
      </c>
    </row>
    <row r="2457" spans="1:11" x14ac:dyDescent="0.3">
      <c r="A2457" s="32">
        <f t="shared" si="129"/>
        <v>6</v>
      </c>
      <c r="B2457" s="33">
        <v>47107</v>
      </c>
      <c r="C2457" s="6" t="s">
        <v>270</v>
      </c>
      <c r="D2457" s="34">
        <v>28</v>
      </c>
      <c r="E2457" s="32">
        <f>DAY(TableAopCalendar[[#This Row],[Date]])</f>
        <v>20</v>
      </c>
      <c r="F2457" s="32">
        <f>IF(TableAopCalendar[[#This Row],[Day]]&lt;8,1,IF(TableAopCalendar[[#This Row],[Day]]&lt;15,2,IF(TableAopCalendar[[#This Row],[Day]]&lt;22,3,IF(TableAopCalendar[[#This Row],[Day]]&lt;29,4,IF(TableAopCalendar[[#This Row],[Day]]&lt;32,5)))))</f>
        <v>3</v>
      </c>
      <c r="G2457" s="32" t="str">
        <f t="shared" si="130"/>
        <v>Week 3</v>
      </c>
      <c r="H2457" s="32" t="str">
        <f t="shared" si="131"/>
        <v>December 28 Week 3</v>
      </c>
      <c r="I2457" s="32" t="str">
        <f>CONCATENATE(UPPER(TableAopCalendar[[#This Row],[Month]])," ",TableAopCalendar[[#This Row],[Year]])</f>
        <v>DECEMBER 28</v>
      </c>
      <c r="J2457" s="7" t="s">
        <v>274</v>
      </c>
      <c r="K2457" s="32" t="str">
        <f>CONCATENATE(TableAopCalendar[[#This Row],[Month for Plan]]," ",TableAopCalendar[[#This Row],[Plan]])</f>
        <v>DECEMBER 28 PLANNED</v>
      </c>
    </row>
    <row r="2458" spans="1:11" x14ac:dyDescent="0.3">
      <c r="A2458" s="32">
        <f t="shared" si="129"/>
        <v>7</v>
      </c>
      <c r="B2458" s="33">
        <v>47108</v>
      </c>
      <c r="C2458" s="6" t="s">
        <v>270</v>
      </c>
      <c r="D2458" s="34">
        <v>28</v>
      </c>
      <c r="E2458" s="32">
        <f>DAY(TableAopCalendar[[#This Row],[Date]])</f>
        <v>21</v>
      </c>
      <c r="F2458" s="32">
        <f>IF(TableAopCalendar[[#This Row],[Day]]&lt;8,1,IF(TableAopCalendar[[#This Row],[Day]]&lt;15,2,IF(TableAopCalendar[[#This Row],[Day]]&lt;22,3,IF(TableAopCalendar[[#This Row],[Day]]&lt;29,4,IF(TableAopCalendar[[#This Row],[Day]]&lt;32,5)))))</f>
        <v>3</v>
      </c>
      <c r="G2458" s="32" t="str">
        <f t="shared" si="130"/>
        <v>Week 3</v>
      </c>
      <c r="H2458" s="32" t="str">
        <f t="shared" si="131"/>
        <v>December 28 Week 3</v>
      </c>
      <c r="I2458" s="32" t="str">
        <f>CONCATENATE(UPPER(TableAopCalendar[[#This Row],[Month]])," ",TableAopCalendar[[#This Row],[Year]])</f>
        <v>DECEMBER 28</v>
      </c>
      <c r="J2458" s="7" t="s">
        <v>274</v>
      </c>
      <c r="K2458" s="32" t="str">
        <f>CONCATENATE(TableAopCalendar[[#This Row],[Month for Plan]]," ",TableAopCalendar[[#This Row],[Plan]])</f>
        <v>DECEMBER 28 PLANNED</v>
      </c>
    </row>
    <row r="2459" spans="1:11" x14ac:dyDescent="0.3">
      <c r="A2459" s="32">
        <f t="shared" si="129"/>
        <v>1</v>
      </c>
      <c r="B2459" s="33">
        <v>47109</v>
      </c>
      <c r="C2459" s="6" t="s">
        <v>270</v>
      </c>
      <c r="D2459" s="34">
        <v>28</v>
      </c>
      <c r="E2459" s="32">
        <f>DAY(TableAopCalendar[[#This Row],[Date]])</f>
        <v>22</v>
      </c>
      <c r="F2459" s="32">
        <f>IF(TableAopCalendar[[#This Row],[Day]]&lt;8,1,IF(TableAopCalendar[[#This Row],[Day]]&lt;15,2,IF(TableAopCalendar[[#This Row],[Day]]&lt;22,3,IF(TableAopCalendar[[#This Row],[Day]]&lt;29,4,IF(TableAopCalendar[[#This Row],[Day]]&lt;32,5)))))</f>
        <v>4</v>
      </c>
      <c r="G2459" s="32" t="str">
        <f t="shared" si="130"/>
        <v>Week 4</v>
      </c>
      <c r="H2459" s="32" t="str">
        <f t="shared" si="131"/>
        <v>December 28 Week 4</v>
      </c>
      <c r="I2459" s="32" t="str">
        <f>CONCATENATE(UPPER(TableAopCalendar[[#This Row],[Month]])," ",TableAopCalendar[[#This Row],[Year]])</f>
        <v>DECEMBER 28</v>
      </c>
      <c r="J2459" s="7" t="s">
        <v>274</v>
      </c>
      <c r="K2459" s="32" t="str">
        <f>CONCATENATE(TableAopCalendar[[#This Row],[Month for Plan]]," ",TableAopCalendar[[#This Row],[Plan]])</f>
        <v>DECEMBER 28 PLANNED</v>
      </c>
    </row>
    <row r="2460" spans="1:11" x14ac:dyDescent="0.3">
      <c r="A2460" s="32">
        <f t="shared" si="129"/>
        <v>2</v>
      </c>
      <c r="B2460" s="33">
        <v>47110</v>
      </c>
      <c r="C2460" s="6" t="s">
        <v>270</v>
      </c>
      <c r="D2460" s="34">
        <v>28</v>
      </c>
      <c r="E2460" s="32">
        <f>DAY(TableAopCalendar[[#This Row],[Date]])</f>
        <v>23</v>
      </c>
      <c r="F2460" s="32">
        <f>IF(TableAopCalendar[[#This Row],[Day]]&lt;8,1,IF(TableAopCalendar[[#This Row],[Day]]&lt;15,2,IF(TableAopCalendar[[#This Row],[Day]]&lt;22,3,IF(TableAopCalendar[[#This Row],[Day]]&lt;29,4,IF(TableAopCalendar[[#This Row],[Day]]&lt;32,5)))))</f>
        <v>4</v>
      </c>
      <c r="G2460" s="32" t="str">
        <f t="shared" si="130"/>
        <v>Week 4</v>
      </c>
      <c r="H2460" s="32" t="str">
        <f t="shared" si="131"/>
        <v>December 28 Week 4</v>
      </c>
      <c r="I2460" s="32" t="str">
        <f>CONCATENATE(UPPER(TableAopCalendar[[#This Row],[Month]])," ",TableAopCalendar[[#This Row],[Year]])</f>
        <v>DECEMBER 28</v>
      </c>
      <c r="J2460" s="7" t="s">
        <v>274</v>
      </c>
      <c r="K2460" s="32" t="str">
        <f>CONCATENATE(TableAopCalendar[[#This Row],[Month for Plan]]," ",TableAopCalendar[[#This Row],[Plan]])</f>
        <v>DECEMBER 28 PLANNED</v>
      </c>
    </row>
    <row r="2461" spans="1:11" x14ac:dyDescent="0.3">
      <c r="A2461" s="32">
        <f t="shared" si="129"/>
        <v>3</v>
      </c>
      <c r="B2461" s="33">
        <v>47111</v>
      </c>
      <c r="C2461" s="6" t="s">
        <v>270</v>
      </c>
      <c r="D2461" s="34">
        <v>28</v>
      </c>
      <c r="E2461" s="32">
        <f>DAY(TableAopCalendar[[#This Row],[Date]])</f>
        <v>24</v>
      </c>
      <c r="F2461" s="32">
        <f>IF(TableAopCalendar[[#This Row],[Day]]&lt;8,1,IF(TableAopCalendar[[#This Row],[Day]]&lt;15,2,IF(TableAopCalendar[[#This Row],[Day]]&lt;22,3,IF(TableAopCalendar[[#This Row],[Day]]&lt;29,4,IF(TableAopCalendar[[#This Row],[Day]]&lt;32,5)))))</f>
        <v>4</v>
      </c>
      <c r="G2461" s="32" t="str">
        <f t="shared" si="130"/>
        <v>Week 4</v>
      </c>
      <c r="H2461" s="32" t="str">
        <f t="shared" si="131"/>
        <v>December 28 Week 4</v>
      </c>
      <c r="I2461" s="32" t="str">
        <f>CONCATENATE(UPPER(TableAopCalendar[[#This Row],[Month]])," ",TableAopCalendar[[#This Row],[Year]])</f>
        <v>DECEMBER 28</v>
      </c>
      <c r="J2461" s="7" t="s">
        <v>274</v>
      </c>
      <c r="K2461" s="32" t="str">
        <f>CONCATENATE(TableAopCalendar[[#This Row],[Month for Plan]]," ",TableAopCalendar[[#This Row],[Plan]])</f>
        <v>DECEMBER 28 PLANNED</v>
      </c>
    </row>
    <row r="2462" spans="1:11" x14ac:dyDescent="0.3">
      <c r="A2462" s="32">
        <f t="shared" si="129"/>
        <v>4</v>
      </c>
      <c r="B2462" s="33">
        <v>47112</v>
      </c>
      <c r="C2462" s="6" t="s">
        <v>270</v>
      </c>
      <c r="D2462" s="34">
        <v>28</v>
      </c>
      <c r="E2462" s="32">
        <f>DAY(TableAopCalendar[[#This Row],[Date]])</f>
        <v>25</v>
      </c>
      <c r="F2462" s="32">
        <f>IF(TableAopCalendar[[#This Row],[Day]]&lt;8,1,IF(TableAopCalendar[[#This Row],[Day]]&lt;15,2,IF(TableAopCalendar[[#This Row],[Day]]&lt;22,3,IF(TableAopCalendar[[#This Row],[Day]]&lt;29,4,IF(TableAopCalendar[[#This Row],[Day]]&lt;32,5)))))</f>
        <v>4</v>
      </c>
      <c r="G2462" s="32" t="str">
        <f t="shared" si="130"/>
        <v>Week 4</v>
      </c>
      <c r="H2462" s="32" t="str">
        <f t="shared" si="131"/>
        <v>December 28 Week 4</v>
      </c>
      <c r="I2462" s="32" t="str">
        <f>CONCATENATE(UPPER(TableAopCalendar[[#This Row],[Month]])," ",TableAopCalendar[[#This Row],[Year]])</f>
        <v>DECEMBER 28</v>
      </c>
      <c r="J2462" s="7" t="s">
        <v>274</v>
      </c>
      <c r="K2462" s="32" t="str">
        <f>CONCATENATE(TableAopCalendar[[#This Row],[Month for Plan]]," ",TableAopCalendar[[#This Row],[Plan]])</f>
        <v>DECEMBER 28 PLANNED</v>
      </c>
    </row>
    <row r="2463" spans="1:11" x14ac:dyDescent="0.3">
      <c r="A2463" s="32">
        <f t="shared" si="129"/>
        <v>5</v>
      </c>
      <c r="B2463" s="33">
        <v>47113</v>
      </c>
      <c r="C2463" s="6" t="s">
        <v>270</v>
      </c>
      <c r="D2463" s="34">
        <v>28</v>
      </c>
      <c r="E2463" s="32">
        <f>DAY(TableAopCalendar[[#This Row],[Date]])</f>
        <v>26</v>
      </c>
      <c r="F2463" s="32">
        <f>IF(TableAopCalendar[[#This Row],[Day]]&lt;8,1,IF(TableAopCalendar[[#This Row],[Day]]&lt;15,2,IF(TableAopCalendar[[#This Row],[Day]]&lt;22,3,IF(TableAopCalendar[[#This Row],[Day]]&lt;29,4,IF(TableAopCalendar[[#This Row],[Day]]&lt;32,5)))))</f>
        <v>4</v>
      </c>
      <c r="G2463" s="32" t="str">
        <f t="shared" si="130"/>
        <v>Week 4</v>
      </c>
      <c r="H2463" s="32" t="str">
        <f t="shared" si="131"/>
        <v>December 28 Week 4</v>
      </c>
      <c r="I2463" s="32" t="str">
        <f>CONCATENATE(UPPER(TableAopCalendar[[#This Row],[Month]])," ",TableAopCalendar[[#This Row],[Year]])</f>
        <v>DECEMBER 28</v>
      </c>
      <c r="J2463" s="7" t="s">
        <v>274</v>
      </c>
      <c r="K2463" s="32" t="str">
        <f>CONCATENATE(TableAopCalendar[[#This Row],[Month for Plan]]," ",TableAopCalendar[[#This Row],[Plan]])</f>
        <v>DECEMBER 28 PLANNED</v>
      </c>
    </row>
    <row r="2464" spans="1:11" x14ac:dyDescent="0.3">
      <c r="A2464" s="32">
        <f t="shared" si="129"/>
        <v>6</v>
      </c>
      <c r="B2464" s="33">
        <v>47114</v>
      </c>
      <c r="C2464" s="6" t="s">
        <v>270</v>
      </c>
      <c r="D2464" s="34">
        <v>28</v>
      </c>
      <c r="E2464" s="32">
        <f>DAY(TableAopCalendar[[#This Row],[Date]])</f>
        <v>27</v>
      </c>
      <c r="F2464" s="32">
        <f>IF(TableAopCalendar[[#This Row],[Day]]&lt;8,1,IF(TableAopCalendar[[#This Row],[Day]]&lt;15,2,IF(TableAopCalendar[[#This Row],[Day]]&lt;22,3,IF(TableAopCalendar[[#This Row],[Day]]&lt;29,4,IF(TableAopCalendar[[#This Row],[Day]]&lt;32,5)))))</f>
        <v>4</v>
      </c>
      <c r="G2464" s="32" t="str">
        <f t="shared" si="130"/>
        <v>Week 4</v>
      </c>
      <c r="H2464" s="32" t="str">
        <f t="shared" si="131"/>
        <v>December 28 Week 4</v>
      </c>
      <c r="I2464" s="32" t="str">
        <f>CONCATENATE(UPPER(TableAopCalendar[[#This Row],[Month]])," ",TableAopCalendar[[#This Row],[Year]])</f>
        <v>DECEMBER 28</v>
      </c>
      <c r="J2464" s="7" t="s">
        <v>274</v>
      </c>
      <c r="K2464" s="32" t="str">
        <f>CONCATENATE(TableAopCalendar[[#This Row],[Month for Plan]]," ",TableAopCalendar[[#This Row],[Plan]])</f>
        <v>DECEMBER 28 PLANNED</v>
      </c>
    </row>
    <row r="2465" spans="1:11" x14ac:dyDescent="0.3">
      <c r="A2465" s="32">
        <f t="shared" si="129"/>
        <v>7</v>
      </c>
      <c r="B2465" s="33">
        <v>47115</v>
      </c>
      <c r="C2465" s="6" t="s">
        <v>270</v>
      </c>
      <c r="D2465" s="34">
        <v>28</v>
      </c>
      <c r="E2465" s="32">
        <f>DAY(TableAopCalendar[[#This Row],[Date]])</f>
        <v>28</v>
      </c>
      <c r="F2465" s="32">
        <f>IF(TableAopCalendar[[#This Row],[Day]]&lt;8,1,IF(TableAopCalendar[[#This Row],[Day]]&lt;15,2,IF(TableAopCalendar[[#This Row],[Day]]&lt;22,3,IF(TableAopCalendar[[#This Row],[Day]]&lt;29,4,IF(TableAopCalendar[[#This Row],[Day]]&lt;32,5)))))</f>
        <v>4</v>
      </c>
      <c r="G2465" s="32" t="str">
        <f t="shared" si="130"/>
        <v>Week 4</v>
      </c>
      <c r="H2465" s="32" t="str">
        <f t="shared" si="131"/>
        <v>December 28 Week 4</v>
      </c>
      <c r="I2465" s="32" t="str">
        <f>CONCATENATE(UPPER(TableAopCalendar[[#This Row],[Month]])," ",TableAopCalendar[[#This Row],[Year]])</f>
        <v>DECEMBER 28</v>
      </c>
      <c r="J2465" s="7" t="s">
        <v>274</v>
      </c>
      <c r="K2465" s="32" t="str">
        <f>CONCATENATE(TableAopCalendar[[#This Row],[Month for Plan]]," ",TableAopCalendar[[#This Row],[Plan]])</f>
        <v>DECEMBER 28 PLANNED</v>
      </c>
    </row>
    <row r="2466" spans="1:11" x14ac:dyDescent="0.3">
      <c r="A2466" s="32">
        <f t="shared" si="129"/>
        <v>1</v>
      </c>
      <c r="B2466" s="33">
        <v>47116</v>
      </c>
      <c r="C2466" s="6" t="s">
        <v>270</v>
      </c>
      <c r="D2466" s="34">
        <v>28</v>
      </c>
      <c r="E2466" s="32">
        <f>DAY(TableAopCalendar[[#This Row],[Date]])</f>
        <v>29</v>
      </c>
      <c r="F2466" s="32">
        <f>IF(TableAopCalendar[[#This Row],[Day]]&lt;8,1,IF(TableAopCalendar[[#This Row],[Day]]&lt;15,2,IF(TableAopCalendar[[#This Row],[Day]]&lt;22,3,IF(TableAopCalendar[[#This Row],[Day]]&lt;29,4,IF(TableAopCalendar[[#This Row],[Day]]&lt;32,5)))))</f>
        <v>5</v>
      </c>
      <c r="G2466" s="32" t="str">
        <f t="shared" si="130"/>
        <v>Week 5</v>
      </c>
      <c r="H2466" s="32" t="str">
        <f t="shared" si="131"/>
        <v>December 28 Week 5</v>
      </c>
      <c r="I2466" s="32" t="str">
        <f>CONCATENATE(UPPER(TableAopCalendar[[#This Row],[Month]])," ",TableAopCalendar[[#This Row],[Year]])</f>
        <v>DECEMBER 28</v>
      </c>
      <c r="J2466" s="7" t="s">
        <v>274</v>
      </c>
      <c r="K2466" s="32" t="str">
        <f>CONCATENATE(TableAopCalendar[[#This Row],[Month for Plan]]," ",TableAopCalendar[[#This Row],[Plan]])</f>
        <v>DECEMBER 28 PLANNED</v>
      </c>
    </row>
    <row r="2467" spans="1:11" x14ac:dyDescent="0.3">
      <c r="A2467" s="32">
        <f t="shared" si="129"/>
        <v>2</v>
      </c>
      <c r="B2467" s="33">
        <v>47117</v>
      </c>
      <c r="C2467" s="6" t="s">
        <v>270</v>
      </c>
      <c r="D2467" s="34">
        <v>28</v>
      </c>
      <c r="E2467" s="32">
        <f>DAY(TableAopCalendar[[#This Row],[Date]])</f>
        <v>30</v>
      </c>
      <c r="F2467" s="32">
        <f>IF(TableAopCalendar[[#This Row],[Day]]&lt;8,1,IF(TableAopCalendar[[#This Row],[Day]]&lt;15,2,IF(TableAopCalendar[[#This Row],[Day]]&lt;22,3,IF(TableAopCalendar[[#This Row],[Day]]&lt;29,4,IF(TableAopCalendar[[#This Row],[Day]]&lt;32,5)))))</f>
        <v>5</v>
      </c>
      <c r="G2467" s="32" t="str">
        <f t="shared" si="130"/>
        <v>Week 5</v>
      </c>
      <c r="H2467" s="32" t="str">
        <f t="shared" si="131"/>
        <v>December 28 Week 5</v>
      </c>
      <c r="I2467" s="32" t="str">
        <f>CONCATENATE(UPPER(TableAopCalendar[[#This Row],[Month]])," ",TableAopCalendar[[#This Row],[Year]])</f>
        <v>DECEMBER 28</v>
      </c>
      <c r="J2467" s="7" t="s">
        <v>274</v>
      </c>
      <c r="K2467" s="32" t="str">
        <f>CONCATENATE(TableAopCalendar[[#This Row],[Month for Plan]]," ",TableAopCalendar[[#This Row],[Plan]])</f>
        <v>DECEMBER 28 PLANNED</v>
      </c>
    </row>
    <row r="2468" spans="1:11" x14ac:dyDescent="0.3">
      <c r="A2468" s="32">
        <f t="shared" ref="A2468:A2531" si="132">IF(G2468=G2467,A2467+1,1)</f>
        <v>3</v>
      </c>
      <c r="B2468" s="33">
        <v>47118</v>
      </c>
      <c r="C2468" s="6" t="s">
        <v>270</v>
      </c>
      <c r="D2468" s="34">
        <v>28</v>
      </c>
      <c r="E2468" s="32">
        <f>DAY(TableAopCalendar[[#This Row],[Date]])</f>
        <v>31</v>
      </c>
      <c r="F2468" s="32">
        <f>IF(TableAopCalendar[[#This Row],[Day]]&lt;8,1,IF(TableAopCalendar[[#This Row],[Day]]&lt;15,2,IF(TableAopCalendar[[#This Row],[Day]]&lt;22,3,IF(TableAopCalendar[[#This Row],[Day]]&lt;29,4,IF(TableAopCalendar[[#This Row],[Day]]&lt;32,5)))))</f>
        <v>5</v>
      </c>
      <c r="G2468" s="32" t="str">
        <f t="shared" ref="G2468:G2531" si="133">"Week"&amp;" "&amp;F2468</f>
        <v>Week 5</v>
      </c>
      <c r="H2468" s="32" t="str">
        <f t="shared" ref="H2468:H2531" si="134">CONCATENATE(C2468," ",D2468," ",G2468)</f>
        <v>December 28 Week 5</v>
      </c>
      <c r="I2468" s="32" t="str">
        <f>CONCATENATE(UPPER(TableAopCalendar[[#This Row],[Month]])," ",TableAopCalendar[[#This Row],[Year]])</f>
        <v>DECEMBER 28</v>
      </c>
      <c r="J2468" s="7" t="s">
        <v>274</v>
      </c>
      <c r="K2468" s="32" t="str">
        <f>CONCATENATE(TableAopCalendar[[#This Row],[Month for Plan]]," ",TableAopCalendar[[#This Row],[Plan]])</f>
        <v>DECEMBER 28 PLANNED</v>
      </c>
    </row>
    <row r="2469" spans="1:11" x14ac:dyDescent="0.3">
      <c r="A2469" s="32">
        <f t="shared" si="132"/>
        <v>1</v>
      </c>
      <c r="B2469" s="33">
        <v>47119</v>
      </c>
      <c r="C2469" s="6" t="s">
        <v>271</v>
      </c>
      <c r="D2469" s="34">
        <v>29</v>
      </c>
      <c r="E2469" s="32">
        <f>DAY(TableAopCalendar[[#This Row],[Date]])</f>
        <v>1</v>
      </c>
      <c r="F2469" s="32">
        <f>IF(TableAopCalendar[[#This Row],[Day]]&lt;8,1,IF(TableAopCalendar[[#This Row],[Day]]&lt;15,2,IF(TableAopCalendar[[#This Row],[Day]]&lt;22,3,IF(TableAopCalendar[[#This Row],[Day]]&lt;29,4,IF(TableAopCalendar[[#This Row],[Day]]&lt;32,5)))))</f>
        <v>1</v>
      </c>
      <c r="G2469" s="32" t="str">
        <f t="shared" si="133"/>
        <v>Week 1</v>
      </c>
      <c r="H2469" s="32" t="str">
        <f t="shared" si="134"/>
        <v>January 29 Week 1</v>
      </c>
      <c r="I2469" s="32" t="str">
        <f>CONCATENATE(UPPER(TableAopCalendar[[#This Row],[Month]])," ",TableAopCalendar[[#This Row],[Year]])</f>
        <v>JANUARY 29</v>
      </c>
      <c r="J2469" s="7" t="s">
        <v>274</v>
      </c>
      <c r="K2469" s="32" t="str">
        <f>CONCATENATE(TableAopCalendar[[#This Row],[Month for Plan]]," ",TableAopCalendar[[#This Row],[Plan]])</f>
        <v>JANUARY 29 PLANNED</v>
      </c>
    </row>
    <row r="2470" spans="1:11" x14ac:dyDescent="0.3">
      <c r="A2470" s="32">
        <f t="shared" si="132"/>
        <v>2</v>
      </c>
      <c r="B2470" s="33">
        <v>47120</v>
      </c>
      <c r="C2470" s="6" t="s">
        <v>271</v>
      </c>
      <c r="D2470" s="34">
        <v>29</v>
      </c>
      <c r="E2470" s="32">
        <f>DAY(TableAopCalendar[[#This Row],[Date]])</f>
        <v>2</v>
      </c>
      <c r="F2470" s="32">
        <f>IF(TableAopCalendar[[#This Row],[Day]]&lt;8,1,IF(TableAopCalendar[[#This Row],[Day]]&lt;15,2,IF(TableAopCalendar[[#This Row],[Day]]&lt;22,3,IF(TableAopCalendar[[#This Row],[Day]]&lt;29,4,IF(TableAopCalendar[[#This Row],[Day]]&lt;32,5)))))</f>
        <v>1</v>
      </c>
      <c r="G2470" s="32" t="str">
        <f t="shared" si="133"/>
        <v>Week 1</v>
      </c>
      <c r="H2470" s="32" t="str">
        <f t="shared" si="134"/>
        <v>January 29 Week 1</v>
      </c>
      <c r="I2470" s="32" t="str">
        <f>CONCATENATE(UPPER(TableAopCalendar[[#This Row],[Month]])," ",TableAopCalendar[[#This Row],[Year]])</f>
        <v>JANUARY 29</v>
      </c>
      <c r="J2470" s="7" t="s">
        <v>274</v>
      </c>
      <c r="K2470" s="32" t="str">
        <f>CONCATENATE(TableAopCalendar[[#This Row],[Month for Plan]]," ",TableAopCalendar[[#This Row],[Plan]])</f>
        <v>JANUARY 29 PLANNED</v>
      </c>
    </row>
    <row r="2471" spans="1:11" x14ac:dyDescent="0.3">
      <c r="A2471" s="32">
        <f t="shared" si="132"/>
        <v>3</v>
      </c>
      <c r="B2471" s="33">
        <v>47121</v>
      </c>
      <c r="C2471" s="6" t="s">
        <v>271</v>
      </c>
      <c r="D2471" s="34">
        <v>29</v>
      </c>
      <c r="E2471" s="32">
        <f>DAY(TableAopCalendar[[#This Row],[Date]])</f>
        <v>3</v>
      </c>
      <c r="F2471" s="32">
        <f>IF(TableAopCalendar[[#This Row],[Day]]&lt;8,1,IF(TableAopCalendar[[#This Row],[Day]]&lt;15,2,IF(TableAopCalendar[[#This Row],[Day]]&lt;22,3,IF(TableAopCalendar[[#This Row],[Day]]&lt;29,4,IF(TableAopCalendar[[#This Row],[Day]]&lt;32,5)))))</f>
        <v>1</v>
      </c>
      <c r="G2471" s="32" t="str">
        <f t="shared" si="133"/>
        <v>Week 1</v>
      </c>
      <c r="H2471" s="32" t="str">
        <f t="shared" si="134"/>
        <v>January 29 Week 1</v>
      </c>
      <c r="I2471" s="32" t="str">
        <f>CONCATENATE(UPPER(TableAopCalendar[[#This Row],[Month]])," ",TableAopCalendar[[#This Row],[Year]])</f>
        <v>JANUARY 29</v>
      </c>
      <c r="J2471" s="7" t="s">
        <v>274</v>
      </c>
      <c r="K2471" s="32" t="str">
        <f>CONCATENATE(TableAopCalendar[[#This Row],[Month for Plan]]," ",TableAopCalendar[[#This Row],[Plan]])</f>
        <v>JANUARY 29 PLANNED</v>
      </c>
    </row>
    <row r="2472" spans="1:11" x14ac:dyDescent="0.3">
      <c r="A2472" s="32">
        <f t="shared" si="132"/>
        <v>4</v>
      </c>
      <c r="B2472" s="33">
        <v>47122</v>
      </c>
      <c r="C2472" s="6" t="s">
        <v>271</v>
      </c>
      <c r="D2472" s="34">
        <v>29</v>
      </c>
      <c r="E2472" s="32">
        <f>DAY(TableAopCalendar[[#This Row],[Date]])</f>
        <v>4</v>
      </c>
      <c r="F2472" s="32">
        <f>IF(TableAopCalendar[[#This Row],[Day]]&lt;8,1,IF(TableAopCalendar[[#This Row],[Day]]&lt;15,2,IF(TableAopCalendar[[#This Row],[Day]]&lt;22,3,IF(TableAopCalendar[[#This Row],[Day]]&lt;29,4,IF(TableAopCalendar[[#This Row],[Day]]&lt;32,5)))))</f>
        <v>1</v>
      </c>
      <c r="G2472" s="32" t="str">
        <f t="shared" si="133"/>
        <v>Week 1</v>
      </c>
      <c r="H2472" s="32" t="str">
        <f t="shared" si="134"/>
        <v>January 29 Week 1</v>
      </c>
      <c r="I2472" s="32" t="str">
        <f>CONCATENATE(UPPER(TableAopCalendar[[#This Row],[Month]])," ",TableAopCalendar[[#This Row],[Year]])</f>
        <v>JANUARY 29</v>
      </c>
      <c r="J2472" s="7" t="s">
        <v>274</v>
      </c>
      <c r="K2472" s="32" t="str">
        <f>CONCATENATE(TableAopCalendar[[#This Row],[Month for Plan]]," ",TableAopCalendar[[#This Row],[Plan]])</f>
        <v>JANUARY 29 PLANNED</v>
      </c>
    </row>
    <row r="2473" spans="1:11" x14ac:dyDescent="0.3">
      <c r="A2473" s="32">
        <f t="shared" si="132"/>
        <v>5</v>
      </c>
      <c r="B2473" s="33">
        <v>47123</v>
      </c>
      <c r="C2473" s="6" t="s">
        <v>271</v>
      </c>
      <c r="D2473" s="34">
        <v>29</v>
      </c>
      <c r="E2473" s="32">
        <f>DAY(TableAopCalendar[[#This Row],[Date]])</f>
        <v>5</v>
      </c>
      <c r="F2473" s="32">
        <f>IF(TableAopCalendar[[#This Row],[Day]]&lt;8,1,IF(TableAopCalendar[[#This Row],[Day]]&lt;15,2,IF(TableAopCalendar[[#This Row],[Day]]&lt;22,3,IF(TableAopCalendar[[#This Row],[Day]]&lt;29,4,IF(TableAopCalendar[[#This Row],[Day]]&lt;32,5)))))</f>
        <v>1</v>
      </c>
      <c r="G2473" s="32" t="str">
        <f t="shared" si="133"/>
        <v>Week 1</v>
      </c>
      <c r="H2473" s="32" t="str">
        <f t="shared" si="134"/>
        <v>January 29 Week 1</v>
      </c>
      <c r="I2473" s="32" t="str">
        <f>CONCATENATE(UPPER(TableAopCalendar[[#This Row],[Month]])," ",TableAopCalendar[[#This Row],[Year]])</f>
        <v>JANUARY 29</v>
      </c>
      <c r="J2473" s="7" t="s">
        <v>274</v>
      </c>
      <c r="K2473" s="32" t="str">
        <f>CONCATENATE(TableAopCalendar[[#This Row],[Month for Plan]]," ",TableAopCalendar[[#This Row],[Plan]])</f>
        <v>JANUARY 29 PLANNED</v>
      </c>
    </row>
    <row r="2474" spans="1:11" x14ac:dyDescent="0.3">
      <c r="A2474" s="32">
        <f t="shared" si="132"/>
        <v>6</v>
      </c>
      <c r="B2474" s="33">
        <v>47124</v>
      </c>
      <c r="C2474" s="6" t="s">
        <v>271</v>
      </c>
      <c r="D2474" s="34">
        <v>29</v>
      </c>
      <c r="E2474" s="32">
        <f>DAY(TableAopCalendar[[#This Row],[Date]])</f>
        <v>6</v>
      </c>
      <c r="F2474" s="32">
        <f>IF(TableAopCalendar[[#This Row],[Day]]&lt;8,1,IF(TableAopCalendar[[#This Row],[Day]]&lt;15,2,IF(TableAopCalendar[[#This Row],[Day]]&lt;22,3,IF(TableAopCalendar[[#This Row],[Day]]&lt;29,4,IF(TableAopCalendar[[#This Row],[Day]]&lt;32,5)))))</f>
        <v>1</v>
      </c>
      <c r="G2474" s="32" t="str">
        <f t="shared" si="133"/>
        <v>Week 1</v>
      </c>
      <c r="H2474" s="32" t="str">
        <f t="shared" si="134"/>
        <v>January 29 Week 1</v>
      </c>
      <c r="I2474" s="32" t="str">
        <f>CONCATENATE(UPPER(TableAopCalendar[[#This Row],[Month]])," ",TableAopCalendar[[#This Row],[Year]])</f>
        <v>JANUARY 29</v>
      </c>
      <c r="J2474" s="7" t="s">
        <v>274</v>
      </c>
      <c r="K2474" s="32" t="str">
        <f>CONCATENATE(TableAopCalendar[[#This Row],[Month for Plan]]," ",TableAopCalendar[[#This Row],[Plan]])</f>
        <v>JANUARY 29 PLANNED</v>
      </c>
    </row>
    <row r="2475" spans="1:11" x14ac:dyDescent="0.3">
      <c r="A2475" s="32">
        <f t="shared" si="132"/>
        <v>7</v>
      </c>
      <c r="B2475" s="33">
        <v>47125</v>
      </c>
      <c r="C2475" s="6" t="s">
        <v>271</v>
      </c>
      <c r="D2475" s="34">
        <v>29</v>
      </c>
      <c r="E2475" s="32">
        <f>DAY(TableAopCalendar[[#This Row],[Date]])</f>
        <v>7</v>
      </c>
      <c r="F2475" s="32">
        <f>IF(TableAopCalendar[[#This Row],[Day]]&lt;8,1,IF(TableAopCalendar[[#This Row],[Day]]&lt;15,2,IF(TableAopCalendar[[#This Row],[Day]]&lt;22,3,IF(TableAopCalendar[[#This Row],[Day]]&lt;29,4,IF(TableAopCalendar[[#This Row],[Day]]&lt;32,5)))))</f>
        <v>1</v>
      </c>
      <c r="G2475" s="32" t="str">
        <f t="shared" si="133"/>
        <v>Week 1</v>
      </c>
      <c r="H2475" s="32" t="str">
        <f t="shared" si="134"/>
        <v>January 29 Week 1</v>
      </c>
      <c r="I2475" s="32" t="str">
        <f>CONCATENATE(UPPER(TableAopCalendar[[#This Row],[Month]])," ",TableAopCalendar[[#This Row],[Year]])</f>
        <v>JANUARY 29</v>
      </c>
      <c r="J2475" s="7" t="s">
        <v>274</v>
      </c>
      <c r="K2475" s="32" t="str">
        <f>CONCATENATE(TableAopCalendar[[#This Row],[Month for Plan]]," ",TableAopCalendar[[#This Row],[Plan]])</f>
        <v>JANUARY 29 PLANNED</v>
      </c>
    </row>
    <row r="2476" spans="1:11" x14ac:dyDescent="0.3">
      <c r="A2476" s="32">
        <f t="shared" si="132"/>
        <v>1</v>
      </c>
      <c r="B2476" s="33">
        <v>47126</v>
      </c>
      <c r="C2476" s="6" t="s">
        <v>271</v>
      </c>
      <c r="D2476" s="34">
        <v>29</v>
      </c>
      <c r="E2476" s="32">
        <f>DAY(TableAopCalendar[[#This Row],[Date]])</f>
        <v>8</v>
      </c>
      <c r="F2476" s="32">
        <f>IF(TableAopCalendar[[#This Row],[Day]]&lt;8,1,IF(TableAopCalendar[[#This Row],[Day]]&lt;15,2,IF(TableAopCalendar[[#This Row],[Day]]&lt;22,3,IF(TableAopCalendar[[#This Row],[Day]]&lt;29,4,IF(TableAopCalendar[[#This Row],[Day]]&lt;32,5)))))</f>
        <v>2</v>
      </c>
      <c r="G2476" s="32" t="str">
        <f t="shared" si="133"/>
        <v>Week 2</v>
      </c>
      <c r="H2476" s="32" t="str">
        <f t="shared" si="134"/>
        <v>January 29 Week 2</v>
      </c>
      <c r="I2476" s="32" t="str">
        <f>CONCATENATE(UPPER(TableAopCalendar[[#This Row],[Month]])," ",TableAopCalendar[[#This Row],[Year]])</f>
        <v>JANUARY 29</v>
      </c>
      <c r="J2476" s="7" t="s">
        <v>274</v>
      </c>
      <c r="K2476" s="32" t="str">
        <f>CONCATENATE(TableAopCalendar[[#This Row],[Month for Plan]]," ",TableAopCalendar[[#This Row],[Plan]])</f>
        <v>JANUARY 29 PLANNED</v>
      </c>
    </row>
    <row r="2477" spans="1:11" x14ac:dyDescent="0.3">
      <c r="A2477" s="32">
        <f t="shared" si="132"/>
        <v>2</v>
      </c>
      <c r="B2477" s="33">
        <v>47127</v>
      </c>
      <c r="C2477" s="6" t="s">
        <v>271</v>
      </c>
      <c r="D2477" s="34">
        <v>29</v>
      </c>
      <c r="E2477" s="32">
        <f>DAY(TableAopCalendar[[#This Row],[Date]])</f>
        <v>9</v>
      </c>
      <c r="F2477" s="32">
        <f>IF(TableAopCalendar[[#This Row],[Day]]&lt;8,1,IF(TableAopCalendar[[#This Row],[Day]]&lt;15,2,IF(TableAopCalendar[[#This Row],[Day]]&lt;22,3,IF(TableAopCalendar[[#This Row],[Day]]&lt;29,4,IF(TableAopCalendar[[#This Row],[Day]]&lt;32,5)))))</f>
        <v>2</v>
      </c>
      <c r="G2477" s="32" t="str">
        <f t="shared" si="133"/>
        <v>Week 2</v>
      </c>
      <c r="H2477" s="32" t="str">
        <f t="shared" si="134"/>
        <v>January 29 Week 2</v>
      </c>
      <c r="I2477" s="32" t="str">
        <f>CONCATENATE(UPPER(TableAopCalendar[[#This Row],[Month]])," ",TableAopCalendar[[#This Row],[Year]])</f>
        <v>JANUARY 29</v>
      </c>
      <c r="J2477" s="7" t="s">
        <v>274</v>
      </c>
      <c r="K2477" s="32" t="str">
        <f>CONCATENATE(TableAopCalendar[[#This Row],[Month for Plan]]," ",TableAopCalendar[[#This Row],[Plan]])</f>
        <v>JANUARY 29 PLANNED</v>
      </c>
    </row>
    <row r="2478" spans="1:11" x14ac:dyDescent="0.3">
      <c r="A2478" s="32">
        <f t="shared" si="132"/>
        <v>3</v>
      </c>
      <c r="B2478" s="33">
        <v>47128</v>
      </c>
      <c r="C2478" s="6" t="s">
        <v>271</v>
      </c>
      <c r="D2478" s="34">
        <v>29</v>
      </c>
      <c r="E2478" s="32">
        <f>DAY(TableAopCalendar[[#This Row],[Date]])</f>
        <v>10</v>
      </c>
      <c r="F2478" s="32">
        <f>IF(TableAopCalendar[[#This Row],[Day]]&lt;8,1,IF(TableAopCalendar[[#This Row],[Day]]&lt;15,2,IF(TableAopCalendar[[#This Row],[Day]]&lt;22,3,IF(TableAopCalendar[[#This Row],[Day]]&lt;29,4,IF(TableAopCalendar[[#This Row],[Day]]&lt;32,5)))))</f>
        <v>2</v>
      </c>
      <c r="G2478" s="32" t="str">
        <f t="shared" si="133"/>
        <v>Week 2</v>
      </c>
      <c r="H2478" s="32" t="str">
        <f t="shared" si="134"/>
        <v>January 29 Week 2</v>
      </c>
      <c r="I2478" s="32" t="str">
        <f>CONCATENATE(UPPER(TableAopCalendar[[#This Row],[Month]])," ",TableAopCalendar[[#This Row],[Year]])</f>
        <v>JANUARY 29</v>
      </c>
      <c r="J2478" s="7" t="s">
        <v>274</v>
      </c>
      <c r="K2478" s="32" t="str">
        <f>CONCATENATE(TableAopCalendar[[#This Row],[Month for Plan]]," ",TableAopCalendar[[#This Row],[Plan]])</f>
        <v>JANUARY 29 PLANNED</v>
      </c>
    </row>
    <row r="2479" spans="1:11" x14ac:dyDescent="0.3">
      <c r="A2479" s="32">
        <f t="shared" si="132"/>
        <v>4</v>
      </c>
      <c r="B2479" s="33">
        <v>47129</v>
      </c>
      <c r="C2479" s="6" t="s">
        <v>271</v>
      </c>
      <c r="D2479" s="34">
        <v>29</v>
      </c>
      <c r="E2479" s="32">
        <f>DAY(TableAopCalendar[[#This Row],[Date]])</f>
        <v>11</v>
      </c>
      <c r="F2479" s="32">
        <f>IF(TableAopCalendar[[#This Row],[Day]]&lt;8,1,IF(TableAopCalendar[[#This Row],[Day]]&lt;15,2,IF(TableAopCalendar[[#This Row],[Day]]&lt;22,3,IF(TableAopCalendar[[#This Row],[Day]]&lt;29,4,IF(TableAopCalendar[[#This Row],[Day]]&lt;32,5)))))</f>
        <v>2</v>
      </c>
      <c r="G2479" s="32" t="str">
        <f t="shared" si="133"/>
        <v>Week 2</v>
      </c>
      <c r="H2479" s="32" t="str">
        <f t="shared" si="134"/>
        <v>January 29 Week 2</v>
      </c>
      <c r="I2479" s="32" t="str">
        <f>CONCATENATE(UPPER(TableAopCalendar[[#This Row],[Month]])," ",TableAopCalendar[[#This Row],[Year]])</f>
        <v>JANUARY 29</v>
      </c>
      <c r="J2479" s="7" t="s">
        <v>274</v>
      </c>
      <c r="K2479" s="32" t="str">
        <f>CONCATENATE(TableAopCalendar[[#This Row],[Month for Plan]]," ",TableAopCalendar[[#This Row],[Plan]])</f>
        <v>JANUARY 29 PLANNED</v>
      </c>
    </row>
    <row r="2480" spans="1:11" x14ac:dyDescent="0.3">
      <c r="A2480" s="32">
        <f t="shared" si="132"/>
        <v>5</v>
      </c>
      <c r="B2480" s="33">
        <v>47130</v>
      </c>
      <c r="C2480" s="6" t="s">
        <v>271</v>
      </c>
      <c r="D2480" s="34">
        <v>29</v>
      </c>
      <c r="E2480" s="32">
        <f>DAY(TableAopCalendar[[#This Row],[Date]])</f>
        <v>12</v>
      </c>
      <c r="F2480" s="32">
        <f>IF(TableAopCalendar[[#This Row],[Day]]&lt;8,1,IF(TableAopCalendar[[#This Row],[Day]]&lt;15,2,IF(TableAopCalendar[[#This Row],[Day]]&lt;22,3,IF(TableAopCalendar[[#This Row],[Day]]&lt;29,4,IF(TableAopCalendar[[#This Row],[Day]]&lt;32,5)))))</f>
        <v>2</v>
      </c>
      <c r="G2480" s="32" t="str">
        <f t="shared" si="133"/>
        <v>Week 2</v>
      </c>
      <c r="H2480" s="32" t="str">
        <f t="shared" si="134"/>
        <v>January 29 Week 2</v>
      </c>
      <c r="I2480" s="32" t="str">
        <f>CONCATENATE(UPPER(TableAopCalendar[[#This Row],[Month]])," ",TableAopCalendar[[#This Row],[Year]])</f>
        <v>JANUARY 29</v>
      </c>
      <c r="J2480" s="7" t="s">
        <v>274</v>
      </c>
      <c r="K2480" s="32" t="str">
        <f>CONCATENATE(TableAopCalendar[[#This Row],[Month for Plan]]," ",TableAopCalendar[[#This Row],[Plan]])</f>
        <v>JANUARY 29 PLANNED</v>
      </c>
    </row>
    <row r="2481" spans="1:11" x14ac:dyDescent="0.3">
      <c r="A2481" s="32">
        <f t="shared" si="132"/>
        <v>6</v>
      </c>
      <c r="B2481" s="33">
        <v>47131</v>
      </c>
      <c r="C2481" s="6" t="s">
        <v>271</v>
      </c>
      <c r="D2481" s="34">
        <v>29</v>
      </c>
      <c r="E2481" s="32">
        <f>DAY(TableAopCalendar[[#This Row],[Date]])</f>
        <v>13</v>
      </c>
      <c r="F2481" s="32">
        <f>IF(TableAopCalendar[[#This Row],[Day]]&lt;8,1,IF(TableAopCalendar[[#This Row],[Day]]&lt;15,2,IF(TableAopCalendar[[#This Row],[Day]]&lt;22,3,IF(TableAopCalendar[[#This Row],[Day]]&lt;29,4,IF(TableAopCalendar[[#This Row],[Day]]&lt;32,5)))))</f>
        <v>2</v>
      </c>
      <c r="G2481" s="32" t="str">
        <f t="shared" si="133"/>
        <v>Week 2</v>
      </c>
      <c r="H2481" s="32" t="str">
        <f t="shared" si="134"/>
        <v>January 29 Week 2</v>
      </c>
      <c r="I2481" s="32" t="str">
        <f>CONCATENATE(UPPER(TableAopCalendar[[#This Row],[Month]])," ",TableAopCalendar[[#This Row],[Year]])</f>
        <v>JANUARY 29</v>
      </c>
      <c r="J2481" s="7" t="s">
        <v>274</v>
      </c>
      <c r="K2481" s="32" t="str">
        <f>CONCATENATE(TableAopCalendar[[#This Row],[Month for Plan]]," ",TableAopCalendar[[#This Row],[Plan]])</f>
        <v>JANUARY 29 PLANNED</v>
      </c>
    </row>
    <row r="2482" spans="1:11" x14ac:dyDescent="0.3">
      <c r="A2482" s="32">
        <f t="shared" si="132"/>
        <v>7</v>
      </c>
      <c r="B2482" s="33">
        <v>47132</v>
      </c>
      <c r="C2482" s="6" t="s">
        <v>271</v>
      </c>
      <c r="D2482" s="34">
        <v>29</v>
      </c>
      <c r="E2482" s="32">
        <f>DAY(TableAopCalendar[[#This Row],[Date]])</f>
        <v>14</v>
      </c>
      <c r="F2482" s="32">
        <f>IF(TableAopCalendar[[#This Row],[Day]]&lt;8,1,IF(TableAopCalendar[[#This Row],[Day]]&lt;15,2,IF(TableAopCalendar[[#This Row],[Day]]&lt;22,3,IF(TableAopCalendar[[#This Row],[Day]]&lt;29,4,IF(TableAopCalendar[[#This Row],[Day]]&lt;32,5)))))</f>
        <v>2</v>
      </c>
      <c r="G2482" s="32" t="str">
        <f t="shared" si="133"/>
        <v>Week 2</v>
      </c>
      <c r="H2482" s="32" t="str">
        <f t="shared" si="134"/>
        <v>January 29 Week 2</v>
      </c>
      <c r="I2482" s="32" t="str">
        <f>CONCATENATE(UPPER(TableAopCalendar[[#This Row],[Month]])," ",TableAopCalendar[[#This Row],[Year]])</f>
        <v>JANUARY 29</v>
      </c>
      <c r="J2482" s="7" t="s">
        <v>274</v>
      </c>
      <c r="K2482" s="32" t="str">
        <f>CONCATENATE(TableAopCalendar[[#This Row],[Month for Plan]]," ",TableAopCalendar[[#This Row],[Plan]])</f>
        <v>JANUARY 29 PLANNED</v>
      </c>
    </row>
    <row r="2483" spans="1:11" x14ac:dyDescent="0.3">
      <c r="A2483" s="32">
        <f t="shared" si="132"/>
        <v>1</v>
      </c>
      <c r="B2483" s="33">
        <v>47133</v>
      </c>
      <c r="C2483" s="6" t="s">
        <v>271</v>
      </c>
      <c r="D2483" s="34">
        <v>29</v>
      </c>
      <c r="E2483" s="32">
        <f>DAY(TableAopCalendar[[#This Row],[Date]])</f>
        <v>15</v>
      </c>
      <c r="F2483" s="32">
        <f>IF(TableAopCalendar[[#This Row],[Day]]&lt;8,1,IF(TableAopCalendar[[#This Row],[Day]]&lt;15,2,IF(TableAopCalendar[[#This Row],[Day]]&lt;22,3,IF(TableAopCalendar[[#This Row],[Day]]&lt;29,4,IF(TableAopCalendar[[#This Row],[Day]]&lt;32,5)))))</f>
        <v>3</v>
      </c>
      <c r="G2483" s="32" t="str">
        <f t="shared" si="133"/>
        <v>Week 3</v>
      </c>
      <c r="H2483" s="32" t="str">
        <f t="shared" si="134"/>
        <v>January 29 Week 3</v>
      </c>
      <c r="I2483" s="32" t="str">
        <f>CONCATENATE(UPPER(TableAopCalendar[[#This Row],[Month]])," ",TableAopCalendar[[#This Row],[Year]])</f>
        <v>JANUARY 29</v>
      </c>
      <c r="J2483" s="7" t="s">
        <v>274</v>
      </c>
      <c r="K2483" s="32" t="str">
        <f>CONCATENATE(TableAopCalendar[[#This Row],[Month for Plan]]," ",TableAopCalendar[[#This Row],[Plan]])</f>
        <v>JANUARY 29 PLANNED</v>
      </c>
    </row>
    <row r="2484" spans="1:11" x14ac:dyDescent="0.3">
      <c r="A2484" s="32">
        <f t="shared" si="132"/>
        <v>2</v>
      </c>
      <c r="B2484" s="33">
        <v>47134</v>
      </c>
      <c r="C2484" s="6" t="s">
        <v>271</v>
      </c>
      <c r="D2484" s="34">
        <v>29</v>
      </c>
      <c r="E2484" s="32">
        <f>DAY(TableAopCalendar[[#This Row],[Date]])</f>
        <v>16</v>
      </c>
      <c r="F2484" s="32">
        <f>IF(TableAopCalendar[[#This Row],[Day]]&lt;8,1,IF(TableAopCalendar[[#This Row],[Day]]&lt;15,2,IF(TableAopCalendar[[#This Row],[Day]]&lt;22,3,IF(TableAopCalendar[[#This Row],[Day]]&lt;29,4,IF(TableAopCalendar[[#This Row],[Day]]&lt;32,5)))))</f>
        <v>3</v>
      </c>
      <c r="G2484" s="32" t="str">
        <f t="shared" si="133"/>
        <v>Week 3</v>
      </c>
      <c r="H2484" s="32" t="str">
        <f t="shared" si="134"/>
        <v>January 29 Week 3</v>
      </c>
      <c r="I2484" s="32" t="str">
        <f>CONCATENATE(UPPER(TableAopCalendar[[#This Row],[Month]])," ",TableAopCalendar[[#This Row],[Year]])</f>
        <v>JANUARY 29</v>
      </c>
      <c r="J2484" s="7" t="s">
        <v>274</v>
      </c>
      <c r="K2484" s="32" t="str">
        <f>CONCATENATE(TableAopCalendar[[#This Row],[Month for Plan]]," ",TableAopCalendar[[#This Row],[Plan]])</f>
        <v>JANUARY 29 PLANNED</v>
      </c>
    </row>
    <row r="2485" spans="1:11" x14ac:dyDescent="0.3">
      <c r="A2485" s="32">
        <f t="shared" si="132"/>
        <v>3</v>
      </c>
      <c r="B2485" s="33">
        <v>47135</v>
      </c>
      <c r="C2485" s="6" t="s">
        <v>271</v>
      </c>
      <c r="D2485" s="34">
        <v>29</v>
      </c>
      <c r="E2485" s="32">
        <f>DAY(TableAopCalendar[[#This Row],[Date]])</f>
        <v>17</v>
      </c>
      <c r="F2485" s="32">
        <f>IF(TableAopCalendar[[#This Row],[Day]]&lt;8,1,IF(TableAopCalendar[[#This Row],[Day]]&lt;15,2,IF(TableAopCalendar[[#This Row],[Day]]&lt;22,3,IF(TableAopCalendar[[#This Row],[Day]]&lt;29,4,IF(TableAopCalendar[[#This Row],[Day]]&lt;32,5)))))</f>
        <v>3</v>
      </c>
      <c r="G2485" s="32" t="str">
        <f t="shared" si="133"/>
        <v>Week 3</v>
      </c>
      <c r="H2485" s="32" t="str">
        <f t="shared" si="134"/>
        <v>January 29 Week 3</v>
      </c>
      <c r="I2485" s="32" t="str">
        <f>CONCATENATE(UPPER(TableAopCalendar[[#This Row],[Month]])," ",TableAopCalendar[[#This Row],[Year]])</f>
        <v>JANUARY 29</v>
      </c>
      <c r="J2485" s="7" t="s">
        <v>274</v>
      </c>
      <c r="K2485" s="32" t="str">
        <f>CONCATENATE(TableAopCalendar[[#This Row],[Month for Plan]]," ",TableAopCalendar[[#This Row],[Plan]])</f>
        <v>JANUARY 29 PLANNED</v>
      </c>
    </row>
    <row r="2486" spans="1:11" x14ac:dyDescent="0.3">
      <c r="A2486" s="32">
        <f t="shared" si="132"/>
        <v>4</v>
      </c>
      <c r="B2486" s="33">
        <v>47136</v>
      </c>
      <c r="C2486" s="6" t="s">
        <v>271</v>
      </c>
      <c r="D2486" s="34">
        <v>29</v>
      </c>
      <c r="E2486" s="32">
        <f>DAY(TableAopCalendar[[#This Row],[Date]])</f>
        <v>18</v>
      </c>
      <c r="F2486" s="32">
        <f>IF(TableAopCalendar[[#This Row],[Day]]&lt;8,1,IF(TableAopCalendar[[#This Row],[Day]]&lt;15,2,IF(TableAopCalendar[[#This Row],[Day]]&lt;22,3,IF(TableAopCalendar[[#This Row],[Day]]&lt;29,4,IF(TableAopCalendar[[#This Row],[Day]]&lt;32,5)))))</f>
        <v>3</v>
      </c>
      <c r="G2486" s="32" t="str">
        <f t="shared" si="133"/>
        <v>Week 3</v>
      </c>
      <c r="H2486" s="32" t="str">
        <f t="shared" si="134"/>
        <v>January 29 Week 3</v>
      </c>
      <c r="I2486" s="32" t="str">
        <f>CONCATENATE(UPPER(TableAopCalendar[[#This Row],[Month]])," ",TableAopCalendar[[#This Row],[Year]])</f>
        <v>JANUARY 29</v>
      </c>
      <c r="J2486" s="7" t="s">
        <v>274</v>
      </c>
      <c r="K2486" s="32" t="str">
        <f>CONCATENATE(TableAopCalendar[[#This Row],[Month for Plan]]," ",TableAopCalendar[[#This Row],[Plan]])</f>
        <v>JANUARY 29 PLANNED</v>
      </c>
    </row>
    <row r="2487" spans="1:11" x14ac:dyDescent="0.3">
      <c r="A2487" s="32">
        <f t="shared" si="132"/>
        <v>5</v>
      </c>
      <c r="B2487" s="33">
        <v>47137</v>
      </c>
      <c r="C2487" s="6" t="s">
        <v>271</v>
      </c>
      <c r="D2487" s="34">
        <v>29</v>
      </c>
      <c r="E2487" s="32">
        <f>DAY(TableAopCalendar[[#This Row],[Date]])</f>
        <v>19</v>
      </c>
      <c r="F2487" s="32">
        <f>IF(TableAopCalendar[[#This Row],[Day]]&lt;8,1,IF(TableAopCalendar[[#This Row],[Day]]&lt;15,2,IF(TableAopCalendar[[#This Row],[Day]]&lt;22,3,IF(TableAopCalendar[[#This Row],[Day]]&lt;29,4,IF(TableAopCalendar[[#This Row],[Day]]&lt;32,5)))))</f>
        <v>3</v>
      </c>
      <c r="G2487" s="32" t="str">
        <f t="shared" si="133"/>
        <v>Week 3</v>
      </c>
      <c r="H2487" s="32" t="str">
        <f t="shared" si="134"/>
        <v>January 29 Week 3</v>
      </c>
      <c r="I2487" s="32" t="str">
        <f>CONCATENATE(UPPER(TableAopCalendar[[#This Row],[Month]])," ",TableAopCalendar[[#This Row],[Year]])</f>
        <v>JANUARY 29</v>
      </c>
      <c r="J2487" s="7" t="s">
        <v>274</v>
      </c>
      <c r="K2487" s="32" t="str">
        <f>CONCATENATE(TableAopCalendar[[#This Row],[Month for Plan]]," ",TableAopCalendar[[#This Row],[Plan]])</f>
        <v>JANUARY 29 PLANNED</v>
      </c>
    </row>
    <row r="2488" spans="1:11" x14ac:dyDescent="0.3">
      <c r="A2488" s="32">
        <f t="shared" si="132"/>
        <v>6</v>
      </c>
      <c r="B2488" s="33">
        <v>47138</v>
      </c>
      <c r="C2488" s="6" t="s">
        <v>271</v>
      </c>
      <c r="D2488" s="34">
        <v>29</v>
      </c>
      <c r="E2488" s="32">
        <f>DAY(TableAopCalendar[[#This Row],[Date]])</f>
        <v>20</v>
      </c>
      <c r="F2488" s="32">
        <f>IF(TableAopCalendar[[#This Row],[Day]]&lt;8,1,IF(TableAopCalendar[[#This Row],[Day]]&lt;15,2,IF(TableAopCalendar[[#This Row],[Day]]&lt;22,3,IF(TableAopCalendar[[#This Row],[Day]]&lt;29,4,IF(TableAopCalendar[[#This Row],[Day]]&lt;32,5)))))</f>
        <v>3</v>
      </c>
      <c r="G2488" s="32" t="str">
        <f t="shared" si="133"/>
        <v>Week 3</v>
      </c>
      <c r="H2488" s="32" t="str">
        <f t="shared" si="134"/>
        <v>January 29 Week 3</v>
      </c>
      <c r="I2488" s="32" t="str">
        <f>CONCATENATE(UPPER(TableAopCalendar[[#This Row],[Month]])," ",TableAopCalendar[[#This Row],[Year]])</f>
        <v>JANUARY 29</v>
      </c>
      <c r="J2488" s="7" t="s">
        <v>274</v>
      </c>
      <c r="K2488" s="32" t="str">
        <f>CONCATENATE(TableAopCalendar[[#This Row],[Month for Plan]]," ",TableAopCalendar[[#This Row],[Plan]])</f>
        <v>JANUARY 29 PLANNED</v>
      </c>
    </row>
    <row r="2489" spans="1:11" x14ac:dyDescent="0.3">
      <c r="A2489" s="32">
        <f t="shared" si="132"/>
        <v>7</v>
      </c>
      <c r="B2489" s="33">
        <v>47139</v>
      </c>
      <c r="C2489" s="6" t="s">
        <v>271</v>
      </c>
      <c r="D2489" s="34">
        <v>29</v>
      </c>
      <c r="E2489" s="32">
        <f>DAY(TableAopCalendar[[#This Row],[Date]])</f>
        <v>21</v>
      </c>
      <c r="F2489" s="32">
        <f>IF(TableAopCalendar[[#This Row],[Day]]&lt;8,1,IF(TableAopCalendar[[#This Row],[Day]]&lt;15,2,IF(TableAopCalendar[[#This Row],[Day]]&lt;22,3,IF(TableAopCalendar[[#This Row],[Day]]&lt;29,4,IF(TableAopCalendar[[#This Row],[Day]]&lt;32,5)))))</f>
        <v>3</v>
      </c>
      <c r="G2489" s="32" t="str">
        <f t="shared" si="133"/>
        <v>Week 3</v>
      </c>
      <c r="H2489" s="32" t="str">
        <f t="shared" si="134"/>
        <v>January 29 Week 3</v>
      </c>
      <c r="I2489" s="32" t="str">
        <f>CONCATENATE(UPPER(TableAopCalendar[[#This Row],[Month]])," ",TableAopCalendar[[#This Row],[Year]])</f>
        <v>JANUARY 29</v>
      </c>
      <c r="J2489" s="7" t="s">
        <v>274</v>
      </c>
      <c r="K2489" s="32" t="str">
        <f>CONCATENATE(TableAopCalendar[[#This Row],[Month for Plan]]," ",TableAopCalendar[[#This Row],[Plan]])</f>
        <v>JANUARY 29 PLANNED</v>
      </c>
    </row>
    <row r="2490" spans="1:11" x14ac:dyDescent="0.3">
      <c r="A2490" s="32">
        <f t="shared" si="132"/>
        <v>1</v>
      </c>
      <c r="B2490" s="33">
        <v>47140</v>
      </c>
      <c r="C2490" s="6" t="s">
        <v>271</v>
      </c>
      <c r="D2490" s="34">
        <v>29</v>
      </c>
      <c r="E2490" s="32">
        <f>DAY(TableAopCalendar[[#This Row],[Date]])</f>
        <v>22</v>
      </c>
      <c r="F2490" s="32">
        <f>IF(TableAopCalendar[[#This Row],[Day]]&lt;8,1,IF(TableAopCalendar[[#This Row],[Day]]&lt;15,2,IF(TableAopCalendar[[#This Row],[Day]]&lt;22,3,IF(TableAopCalendar[[#This Row],[Day]]&lt;29,4,IF(TableAopCalendar[[#This Row],[Day]]&lt;32,5)))))</f>
        <v>4</v>
      </c>
      <c r="G2490" s="32" t="str">
        <f t="shared" si="133"/>
        <v>Week 4</v>
      </c>
      <c r="H2490" s="32" t="str">
        <f t="shared" si="134"/>
        <v>January 29 Week 4</v>
      </c>
      <c r="I2490" s="32" t="str">
        <f>CONCATENATE(UPPER(TableAopCalendar[[#This Row],[Month]])," ",TableAopCalendar[[#This Row],[Year]])</f>
        <v>JANUARY 29</v>
      </c>
      <c r="J2490" s="7" t="s">
        <v>274</v>
      </c>
      <c r="K2490" s="32" t="str">
        <f>CONCATENATE(TableAopCalendar[[#This Row],[Month for Plan]]," ",TableAopCalendar[[#This Row],[Plan]])</f>
        <v>JANUARY 29 PLANNED</v>
      </c>
    </row>
    <row r="2491" spans="1:11" x14ac:dyDescent="0.3">
      <c r="A2491" s="32">
        <f t="shared" si="132"/>
        <v>2</v>
      </c>
      <c r="B2491" s="33">
        <v>47141</v>
      </c>
      <c r="C2491" s="6" t="s">
        <v>271</v>
      </c>
      <c r="D2491" s="34">
        <v>29</v>
      </c>
      <c r="E2491" s="32">
        <f>DAY(TableAopCalendar[[#This Row],[Date]])</f>
        <v>23</v>
      </c>
      <c r="F2491" s="32">
        <f>IF(TableAopCalendar[[#This Row],[Day]]&lt;8,1,IF(TableAopCalendar[[#This Row],[Day]]&lt;15,2,IF(TableAopCalendar[[#This Row],[Day]]&lt;22,3,IF(TableAopCalendar[[#This Row],[Day]]&lt;29,4,IF(TableAopCalendar[[#This Row],[Day]]&lt;32,5)))))</f>
        <v>4</v>
      </c>
      <c r="G2491" s="32" t="str">
        <f t="shared" si="133"/>
        <v>Week 4</v>
      </c>
      <c r="H2491" s="32" t="str">
        <f t="shared" si="134"/>
        <v>January 29 Week 4</v>
      </c>
      <c r="I2491" s="32" t="str">
        <f>CONCATENATE(UPPER(TableAopCalendar[[#This Row],[Month]])," ",TableAopCalendar[[#This Row],[Year]])</f>
        <v>JANUARY 29</v>
      </c>
      <c r="J2491" s="7" t="s">
        <v>274</v>
      </c>
      <c r="K2491" s="32" t="str">
        <f>CONCATENATE(TableAopCalendar[[#This Row],[Month for Plan]]," ",TableAopCalendar[[#This Row],[Plan]])</f>
        <v>JANUARY 29 PLANNED</v>
      </c>
    </row>
    <row r="2492" spans="1:11" x14ac:dyDescent="0.3">
      <c r="A2492" s="32">
        <f t="shared" si="132"/>
        <v>3</v>
      </c>
      <c r="B2492" s="33">
        <v>47142</v>
      </c>
      <c r="C2492" s="6" t="s">
        <v>271</v>
      </c>
      <c r="D2492" s="34">
        <v>29</v>
      </c>
      <c r="E2492" s="32">
        <f>DAY(TableAopCalendar[[#This Row],[Date]])</f>
        <v>24</v>
      </c>
      <c r="F2492" s="32">
        <f>IF(TableAopCalendar[[#This Row],[Day]]&lt;8,1,IF(TableAopCalendar[[#This Row],[Day]]&lt;15,2,IF(TableAopCalendar[[#This Row],[Day]]&lt;22,3,IF(TableAopCalendar[[#This Row],[Day]]&lt;29,4,IF(TableAopCalendar[[#This Row],[Day]]&lt;32,5)))))</f>
        <v>4</v>
      </c>
      <c r="G2492" s="32" t="str">
        <f t="shared" si="133"/>
        <v>Week 4</v>
      </c>
      <c r="H2492" s="32" t="str">
        <f t="shared" si="134"/>
        <v>January 29 Week 4</v>
      </c>
      <c r="I2492" s="32" t="str">
        <f>CONCATENATE(UPPER(TableAopCalendar[[#This Row],[Month]])," ",TableAopCalendar[[#This Row],[Year]])</f>
        <v>JANUARY 29</v>
      </c>
      <c r="J2492" s="7" t="s">
        <v>274</v>
      </c>
      <c r="K2492" s="32" t="str">
        <f>CONCATENATE(TableAopCalendar[[#This Row],[Month for Plan]]," ",TableAopCalendar[[#This Row],[Plan]])</f>
        <v>JANUARY 29 PLANNED</v>
      </c>
    </row>
    <row r="2493" spans="1:11" x14ac:dyDescent="0.3">
      <c r="A2493" s="32">
        <f t="shared" si="132"/>
        <v>4</v>
      </c>
      <c r="B2493" s="33">
        <v>47143</v>
      </c>
      <c r="C2493" s="6" t="s">
        <v>271</v>
      </c>
      <c r="D2493" s="34">
        <v>29</v>
      </c>
      <c r="E2493" s="32">
        <f>DAY(TableAopCalendar[[#This Row],[Date]])</f>
        <v>25</v>
      </c>
      <c r="F2493" s="32">
        <f>IF(TableAopCalendar[[#This Row],[Day]]&lt;8,1,IF(TableAopCalendar[[#This Row],[Day]]&lt;15,2,IF(TableAopCalendar[[#This Row],[Day]]&lt;22,3,IF(TableAopCalendar[[#This Row],[Day]]&lt;29,4,IF(TableAopCalendar[[#This Row],[Day]]&lt;32,5)))))</f>
        <v>4</v>
      </c>
      <c r="G2493" s="32" t="str">
        <f t="shared" si="133"/>
        <v>Week 4</v>
      </c>
      <c r="H2493" s="32" t="str">
        <f t="shared" si="134"/>
        <v>January 29 Week 4</v>
      </c>
      <c r="I2493" s="32" t="str">
        <f>CONCATENATE(UPPER(TableAopCalendar[[#This Row],[Month]])," ",TableAopCalendar[[#This Row],[Year]])</f>
        <v>JANUARY 29</v>
      </c>
      <c r="J2493" s="7" t="s">
        <v>274</v>
      </c>
      <c r="K2493" s="32" t="str">
        <f>CONCATENATE(TableAopCalendar[[#This Row],[Month for Plan]]," ",TableAopCalendar[[#This Row],[Plan]])</f>
        <v>JANUARY 29 PLANNED</v>
      </c>
    </row>
    <row r="2494" spans="1:11" x14ac:dyDescent="0.3">
      <c r="A2494" s="32">
        <f t="shared" si="132"/>
        <v>5</v>
      </c>
      <c r="B2494" s="33">
        <v>47144</v>
      </c>
      <c r="C2494" s="6" t="s">
        <v>271</v>
      </c>
      <c r="D2494" s="34">
        <v>29</v>
      </c>
      <c r="E2494" s="32">
        <f>DAY(TableAopCalendar[[#This Row],[Date]])</f>
        <v>26</v>
      </c>
      <c r="F2494" s="32">
        <f>IF(TableAopCalendar[[#This Row],[Day]]&lt;8,1,IF(TableAopCalendar[[#This Row],[Day]]&lt;15,2,IF(TableAopCalendar[[#This Row],[Day]]&lt;22,3,IF(TableAopCalendar[[#This Row],[Day]]&lt;29,4,IF(TableAopCalendar[[#This Row],[Day]]&lt;32,5)))))</f>
        <v>4</v>
      </c>
      <c r="G2494" s="32" t="str">
        <f t="shared" si="133"/>
        <v>Week 4</v>
      </c>
      <c r="H2494" s="32" t="str">
        <f t="shared" si="134"/>
        <v>January 29 Week 4</v>
      </c>
      <c r="I2494" s="32" t="str">
        <f>CONCATENATE(UPPER(TableAopCalendar[[#This Row],[Month]])," ",TableAopCalendar[[#This Row],[Year]])</f>
        <v>JANUARY 29</v>
      </c>
      <c r="J2494" s="7" t="s">
        <v>274</v>
      </c>
      <c r="K2494" s="32" t="str">
        <f>CONCATENATE(TableAopCalendar[[#This Row],[Month for Plan]]," ",TableAopCalendar[[#This Row],[Plan]])</f>
        <v>JANUARY 29 PLANNED</v>
      </c>
    </row>
    <row r="2495" spans="1:11" x14ac:dyDescent="0.3">
      <c r="A2495" s="32">
        <f t="shared" si="132"/>
        <v>6</v>
      </c>
      <c r="B2495" s="33">
        <v>47145</v>
      </c>
      <c r="C2495" s="6" t="s">
        <v>271</v>
      </c>
      <c r="D2495" s="34">
        <v>29</v>
      </c>
      <c r="E2495" s="32">
        <f>DAY(TableAopCalendar[[#This Row],[Date]])</f>
        <v>27</v>
      </c>
      <c r="F2495" s="32">
        <f>IF(TableAopCalendar[[#This Row],[Day]]&lt;8,1,IF(TableAopCalendar[[#This Row],[Day]]&lt;15,2,IF(TableAopCalendar[[#This Row],[Day]]&lt;22,3,IF(TableAopCalendar[[#This Row],[Day]]&lt;29,4,IF(TableAopCalendar[[#This Row],[Day]]&lt;32,5)))))</f>
        <v>4</v>
      </c>
      <c r="G2495" s="32" t="str">
        <f t="shared" si="133"/>
        <v>Week 4</v>
      </c>
      <c r="H2495" s="32" t="str">
        <f t="shared" si="134"/>
        <v>January 29 Week 4</v>
      </c>
      <c r="I2495" s="32" t="str">
        <f>CONCATENATE(UPPER(TableAopCalendar[[#This Row],[Month]])," ",TableAopCalendar[[#This Row],[Year]])</f>
        <v>JANUARY 29</v>
      </c>
      <c r="J2495" s="7" t="s">
        <v>274</v>
      </c>
      <c r="K2495" s="32" t="str">
        <f>CONCATENATE(TableAopCalendar[[#This Row],[Month for Plan]]," ",TableAopCalendar[[#This Row],[Plan]])</f>
        <v>JANUARY 29 PLANNED</v>
      </c>
    </row>
    <row r="2496" spans="1:11" x14ac:dyDescent="0.3">
      <c r="A2496" s="32">
        <f t="shared" si="132"/>
        <v>7</v>
      </c>
      <c r="B2496" s="33">
        <v>47146</v>
      </c>
      <c r="C2496" s="6" t="s">
        <v>271</v>
      </c>
      <c r="D2496" s="34">
        <v>29</v>
      </c>
      <c r="E2496" s="32">
        <f>DAY(TableAopCalendar[[#This Row],[Date]])</f>
        <v>28</v>
      </c>
      <c r="F2496" s="32">
        <f>IF(TableAopCalendar[[#This Row],[Day]]&lt;8,1,IF(TableAopCalendar[[#This Row],[Day]]&lt;15,2,IF(TableAopCalendar[[#This Row],[Day]]&lt;22,3,IF(TableAopCalendar[[#This Row],[Day]]&lt;29,4,IF(TableAopCalendar[[#This Row],[Day]]&lt;32,5)))))</f>
        <v>4</v>
      </c>
      <c r="G2496" s="32" t="str">
        <f t="shared" si="133"/>
        <v>Week 4</v>
      </c>
      <c r="H2496" s="32" t="str">
        <f t="shared" si="134"/>
        <v>January 29 Week 4</v>
      </c>
      <c r="I2496" s="32" t="str">
        <f>CONCATENATE(UPPER(TableAopCalendar[[#This Row],[Month]])," ",TableAopCalendar[[#This Row],[Year]])</f>
        <v>JANUARY 29</v>
      </c>
      <c r="J2496" s="7" t="s">
        <v>274</v>
      </c>
      <c r="K2496" s="32" t="str">
        <f>CONCATENATE(TableAopCalendar[[#This Row],[Month for Plan]]," ",TableAopCalendar[[#This Row],[Plan]])</f>
        <v>JANUARY 29 PLANNED</v>
      </c>
    </row>
    <row r="2497" spans="1:11" x14ac:dyDescent="0.3">
      <c r="A2497" s="32">
        <f t="shared" si="132"/>
        <v>1</v>
      </c>
      <c r="B2497" s="33">
        <v>47147</v>
      </c>
      <c r="C2497" s="6" t="s">
        <v>271</v>
      </c>
      <c r="D2497" s="34">
        <v>29</v>
      </c>
      <c r="E2497" s="32">
        <f>DAY(TableAopCalendar[[#This Row],[Date]])</f>
        <v>29</v>
      </c>
      <c r="F2497" s="32">
        <f>IF(TableAopCalendar[[#This Row],[Day]]&lt;8,1,IF(TableAopCalendar[[#This Row],[Day]]&lt;15,2,IF(TableAopCalendar[[#This Row],[Day]]&lt;22,3,IF(TableAopCalendar[[#This Row],[Day]]&lt;29,4,IF(TableAopCalendar[[#This Row],[Day]]&lt;32,5)))))</f>
        <v>5</v>
      </c>
      <c r="G2497" s="32" t="str">
        <f t="shared" si="133"/>
        <v>Week 5</v>
      </c>
      <c r="H2497" s="32" t="str">
        <f t="shared" si="134"/>
        <v>January 29 Week 5</v>
      </c>
      <c r="I2497" s="32" t="str">
        <f>CONCATENATE(UPPER(TableAopCalendar[[#This Row],[Month]])," ",TableAopCalendar[[#This Row],[Year]])</f>
        <v>JANUARY 29</v>
      </c>
      <c r="J2497" s="7" t="s">
        <v>274</v>
      </c>
      <c r="K2497" s="32" t="str">
        <f>CONCATENATE(TableAopCalendar[[#This Row],[Month for Plan]]," ",TableAopCalendar[[#This Row],[Plan]])</f>
        <v>JANUARY 29 PLANNED</v>
      </c>
    </row>
    <row r="2498" spans="1:11" x14ac:dyDescent="0.3">
      <c r="A2498" s="32">
        <f t="shared" si="132"/>
        <v>2</v>
      </c>
      <c r="B2498" s="33">
        <v>47148</v>
      </c>
      <c r="C2498" s="6" t="s">
        <v>271</v>
      </c>
      <c r="D2498" s="34">
        <v>29</v>
      </c>
      <c r="E2498" s="32">
        <f>DAY(TableAopCalendar[[#This Row],[Date]])</f>
        <v>30</v>
      </c>
      <c r="F2498" s="32">
        <f>IF(TableAopCalendar[[#This Row],[Day]]&lt;8,1,IF(TableAopCalendar[[#This Row],[Day]]&lt;15,2,IF(TableAopCalendar[[#This Row],[Day]]&lt;22,3,IF(TableAopCalendar[[#This Row],[Day]]&lt;29,4,IF(TableAopCalendar[[#This Row],[Day]]&lt;32,5)))))</f>
        <v>5</v>
      </c>
      <c r="G2498" s="32" t="str">
        <f t="shared" si="133"/>
        <v>Week 5</v>
      </c>
      <c r="H2498" s="32" t="str">
        <f t="shared" si="134"/>
        <v>January 29 Week 5</v>
      </c>
      <c r="I2498" s="32" t="str">
        <f>CONCATENATE(UPPER(TableAopCalendar[[#This Row],[Month]])," ",TableAopCalendar[[#This Row],[Year]])</f>
        <v>JANUARY 29</v>
      </c>
      <c r="J2498" s="7" t="s">
        <v>274</v>
      </c>
      <c r="K2498" s="32" t="str">
        <f>CONCATENATE(TableAopCalendar[[#This Row],[Month for Plan]]," ",TableAopCalendar[[#This Row],[Plan]])</f>
        <v>JANUARY 29 PLANNED</v>
      </c>
    </row>
    <row r="2499" spans="1:11" x14ac:dyDescent="0.3">
      <c r="A2499" s="32">
        <f t="shared" si="132"/>
        <v>3</v>
      </c>
      <c r="B2499" s="33">
        <v>47149</v>
      </c>
      <c r="C2499" s="6" t="s">
        <v>271</v>
      </c>
      <c r="D2499" s="34">
        <v>29</v>
      </c>
      <c r="E2499" s="32">
        <f>DAY(TableAopCalendar[[#This Row],[Date]])</f>
        <v>31</v>
      </c>
      <c r="F2499" s="32">
        <f>IF(TableAopCalendar[[#This Row],[Day]]&lt;8,1,IF(TableAopCalendar[[#This Row],[Day]]&lt;15,2,IF(TableAopCalendar[[#This Row],[Day]]&lt;22,3,IF(TableAopCalendar[[#This Row],[Day]]&lt;29,4,IF(TableAopCalendar[[#This Row],[Day]]&lt;32,5)))))</f>
        <v>5</v>
      </c>
      <c r="G2499" s="32" t="str">
        <f t="shared" si="133"/>
        <v>Week 5</v>
      </c>
      <c r="H2499" s="32" t="str">
        <f t="shared" si="134"/>
        <v>January 29 Week 5</v>
      </c>
      <c r="I2499" s="32" t="str">
        <f>CONCATENATE(UPPER(TableAopCalendar[[#This Row],[Month]])," ",TableAopCalendar[[#This Row],[Year]])</f>
        <v>JANUARY 29</v>
      </c>
      <c r="J2499" s="7" t="s">
        <v>274</v>
      </c>
      <c r="K2499" s="32" t="str">
        <f>CONCATENATE(TableAopCalendar[[#This Row],[Month for Plan]]," ",TableAopCalendar[[#This Row],[Plan]])</f>
        <v>JANUARY 29 PLANNED</v>
      </c>
    </row>
    <row r="2500" spans="1:11" x14ac:dyDescent="0.3">
      <c r="A2500" s="32">
        <f t="shared" si="132"/>
        <v>1</v>
      </c>
      <c r="B2500" s="33">
        <v>47150</v>
      </c>
      <c r="C2500" s="6" t="s">
        <v>272</v>
      </c>
      <c r="D2500" s="34">
        <v>29</v>
      </c>
      <c r="E2500" s="32">
        <f>DAY(TableAopCalendar[[#This Row],[Date]])</f>
        <v>1</v>
      </c>
      <c r="F2500" s="32">
        <f>IF(TableAopCalendar[[#This Row],[Day]]&lt;8,1,IF(TableAopCalendar[[#This Row],[Day]]&lt;15,2,IF(TableAopCalendar[[#This Row],[Day]]&lt;22,3,IF(TableAopCalendar[[#This Row],[Day]]&lt;29,4,IF(TableAopCalendar[[#This Row],[Day]]&lt;32,5)))))</f>
        <v>1</v>
      </c>
      <c r="G2500" s="32" t="str">
        <f t="shared" si="133"/>
        <v>Week 1</v>
      </c>
      <c r="H2500" s="32" t="str">
        <f t="shared" si="134"/>
        <v>February 29 Week 1</v>
      </c>
      <c r="I2500" s="32" t="str">
        <f>CONCATENATE(UPPER(TableAopCalendar[[#This Row],[Month]])," ",TableAopCalendar[[#This Row],[Year]])</f>
        <v>FEBRUARY 29</v>
      </c>
      <c r="J2500" s="7" t="s">
        <v>274</v>
      </c>
      <c r="K2500" s="32" t="str">
        <f>CONCATENATE(TableAopCalendar[[#This Row],[Month for Plan]]," ",TableAopCalendar[[#This Row],[Plan]])</f>
        <v>FEBRUARY 29 PLANNED</v>
      </c>
    </row>
    <row r="2501" spans="1:11" x14ac:dyDescent="0.3">
      <c r="A2501" s="32">
        <f t="shared" si="132"/>
        <v>2</v>
      </c>
      <c r="B2501" s="33">
        <v>47151</v>
      </c>
      <c r="C2501" s="6" t="s">
        <v>272</v>
      </c>
      <c r="D2501" s="34">
        <v>29</v>
      </c>
      <c r="E2501" s="32">
        <f>DAY(TableAopCalendar[[#This Row],[Date]])</f>
        <v>2</v>
      </c>
      <c r="F2501" s="32">
        <f>IF(TableAopCalendar[[#This Row],[Day]]&lt;8,1,IF(TableAopCalendar[[#This Row],[Day]]&lt;15,2,IF(TableAopCalendar[[#This Row],[Day]]&lt;22,3,IF(TableAopCalendar[[#This Row],[Day]]&lt;29,4,IF(TableAopCalendar[[#This Row],[Day]]&lt;32,5)))))</f>
        <v>1</v>
      </c>
      <c r="G2501" s="32" t="str">
        <f t="shared" si="133"/>
        <v>Week 1</v>
      </c>
      <c r="H2501" s="32" t="str">
        <f t="shared" si="134"/>
        <v>February 29 Week 1</v>
      </c>
      <c r="I2501" s="32" t="str">
        <f>CONCATENATE(UPPER(TableAopCalendar[[#This Row],[Month]])," ",TableAopCalendar[[#This Row],[Year]])</f>
        <v>FEBRUARY 29</v>
      </c>
      <c r="J2501" s="7" t="s">
        <v>274</v>
      </c>
      <c r="K2501" s="32" t="str">
        <f>CONCATENATE(TableAopCalendar[[#This Row],[Month for Plan]]," ",TableAopCalendar[[#This Row],[Plan]])</f>
        <v>FEBRUARY 29 PLANNED</v>
      </c>
    </row>
    <row r="2502" spans="1:11" x14ac:dyDescent="0.3">
      <c r="A2502" s="32">
        <f t="shared" si="132"/>
        <v>3</v>
      </c>
      <c r="B2502" s="33">
        <v>47152</v>
      </c>
      <c r="C2502" s="6" t="s">
        <v>272</v>
      </c>
      <c r="D2502" s="34">
        <v>29</v>
      </c>
      <c r="E2502" s="32">
        <f>DAY(TableAopCalendar[[#This Row],[Date]])</f>
        <v>3</v>
      </c>
      <c r="F2502" s="32">
        <f>IF(TableAopCalendar[[#This Row],[Day]]&lt;8,1,IF(TableAopCalendar[[#This Row],[Day]]&lt;15,2,IF(TableAopCalendar[[#This Row],[Day]]&lt;22,3,IF(TableAopCalendar[[#This Row],[Day]]&lt;29,4,IF(TableAopCalendar[[#This Row],[Day]]&lt;32,5)))))</f>
        <v>1</v>
      </c>
      <c r="G2502" s="32" t="str">
        <f t="shared" si="133"/>
        <v>Week 1</v>
      </c>
      <c r="H2502" s="32" t="str">
        <f t="shared" si="134"/>
        <v>February 29 Week 1</v>
      </c>
      <c r="I2502" s="32" t="str">
        <f>CONCATENATE(UPPER(TableAopCalendar[[#This Row],[Month]])," ",TableAopCalendar[[#This Row],[Year]])</f>
        <v>FEBRUARY 29</v>
      </c>
      <c r="J2502" s="7" t="s">
        <v>274</v>
      </c>
      <c r="K2502" s="32" t="str">
        <f>CONCATENATE(TableAopCalendar[[#This Row],[Month for Plan]]," ",TableAopCalendar[[#This Row],[Plan]])</f>
        <v>FEBRUARY 29 PLANNED</v>
      </c>
    </row>
    <row r="2503" spans="1:11" x14ac:dyDescent="0.3">
      <c r="A2503" s="32">
        <f t="shared" si="132"/>
        <v>4</v>
      </c>
      <c r="B2503" s="33">
        <v>47153</v>
      </c>
      <c r="C2503" s="6" t="s">
        <v>272</v>
      </c>
      <c r="D2503" s="34">
        <v>29</v>
      </c>
      <c r="E2503" s="32">
        <f>DAY(TableAopCalendar[[#This Row],[Date]])</f>
        <v>4</v>
      </c>
      <c r="F2503" s="32">
        <f>IF(TableAopCalendar[[#This Row],[Day]]&lt;8,1,IF(TableAopCalendar[[#This Row],[Day]]&lt;15,2,IF(TableAopCalendar[[#This Row],[Day]]&lt;22,3,IF(TableAopCalendar[[#This Row],[Day]]&lt;29,4,IF(TableAopCalendar[[#This Row],[Day]]&lt;32,5)))))</f>
        <v>1</v>
      </c>
      <c r="G2503" s="32" t="str">
        <f t="shared" si="133"/>
        <v>Week 1</v>
      </c>
      <c r="H2503" s="32" t="str">
        <f t="shared" si="134"/>
        <v>February 29 Week 1</v>
      </c>
      <c r="I2503" s="32" t="str">
        <f>CONCATENATE(UPPER(TableAopCalendar[[#This Row],[Month]])," ",TableAopCalendar[[#This Row],[Year]])</f>
        <v>FEBRUARY 29</v>
      </c>
      <c r="J2503" s="7" t="s">
        <v>274</v>
      </c>
      <c r="K2503" s="32" t="str">
        <f>CONCATENATE(TableAopCalendar[[#This Row],[Month for Plan]]," ",TableAopCalendar[[#This Row],[Plan]])</f>
        <v>FEBRUARY 29 PLANNED</v>
      </c>
    </row>
    <row r="2504" spans="1:11" x14ac:dyDescent="0.3">
      <c r="A2504" s="32">
        <f t="shared" si="132"/>
        <v>5</v>
      </c>
      <c r="B2504" s="33">
        <v>47154</v>
      </c>
      <c r="C2504" s="6" t="s">
        <v>272</v>
      </c>
      <c r="D2504" s="34">
        <v>29</v>
      </c>
      <c r="E2504" s="32">
        <f>DAY(TableAopCalendar[[#This Row],[Date]])</f>
        <v>5</v>
      </c>
      <c r="F2504" s="32">
        <f>IF(TableAopCalendar[[#This Row],[Day]]&lt;8,1,IF(TableAopCalendar[[#This Row],[Day]]&lt;15,2,IF(TableAopCalendar[[#This Row],[Day]]&lt;22,3,IF(TableAopCalendar[[#This Row],[Day]]&lt;29,4,IF(TableAopCalendar[[#This Row],[Day]]&lt;32,5)))))</f>
        <v>1</v>
      </c>
      <c r="G2504" s="32" t="str">
        <f t="shared" si="133"/>
        <v>Week 1</v>
      </c>
      <c r="H2504" s="32" t="str">
        <f t="shared" si="134"/>
        <v>February 29 Week 1</v>
      </c>
      <c r="I2504" s="32" t="str">
        <f>CONCATENATE(UPPER(TableAopCalendar[[#This Row],[Month]])," ",TableAopCalendar[[#This Row],[Year]])</f>
        <v>FEBRUARY 29</v>
      </c>
      <c r="J2504" s="7" t="s">
        <v>274</v>
      </c>
      <c r="K2504" s="32" t="str">
        <f>CONCATENATE(TableAopCalendar[[#This Row],[Month for Plan]]," ",TableAopCalendar[[#This Row],[Plan]])</f>
        <v>FEBRUARY 29 PLANNED</v>
      </c>
    </row>
    <row r="2505" spans="1:11" x14ac:dyDescent="0.3">
      <c r="A2505" s="32">
        <f t="shared" si="132"/>
        <v>6</v>
      </c>
      <c r="B2505" s="33">
        <v>47155</v>
      </c>
      <c r="C2505" s="6" t="s">
        <v>272</v>
      </c>
      <c r="D2505" s="34">
        <v>29</v>
      </c>
      <c r="E2505" s="32">
        <f>DAY(TableAopCalendar[[#This Row],[Date]])</f>
        <v>6</v>
      </c>
      <c r="F2505" s="32">
        <f>IF(TableAopCalendar[[#This Row],[Day]]&lt;8,1,IF(TableAopCalendar[[#This Row],[Day]]&lt;15,2,IF(TableAopCalendar[[#This Row],[Day]]&lt;22,3,IF(TableAopCalendar[[#This Row],[Day]]&lt;29,4,IF(TableAopCalendar[[#This Row],[Day]]&lt;32,5)))))</f>
        <v>1</v>
      </c>
      <c r="G2505" s="32" t="str">
        <f t="shared" si="133"/>
        <v>Week 1</v>
      </c>
      <c r="H2505" s="32" t="str">
        <f t="shared" si="134"/>
        <v>February 29 Week 1</v>
      </c>
      <c r="I2505" s="32" t="str">
        <f>CONCATENATE(UPPER(TableAopCalendar[[#This Row],[Month]])," ",TableAopCalendar[[#This Row],[Year]])</f>
        <v>FEBRUARY 29</v>
      </c>
      <c r="J2505" s="7" t="s">
        <v>274</v>
      </c>
      <c r="K2505" s="32" t="str">
        <f>CONCATENATE(TableAopCalendar[[#This Row],[Month for Plan]]," ",TableAopCalendar[[#This Row],[Plan]])</f>
        <v>FEBRUARY 29 PLANNED</v>
      </c>
    </row>
    <row r="2506" spans="1:11" x14ac:dyDescent="0.3">
      <c r="A2506" s="32">
        <f t="shared" si="132"/>
        <v>7</v>
      </c>
      <c r="B2506" s="33">
        <v>47156</v>
      </c>
      <c r="C2506" s="6" t="s">
        <v>272</v>
      </c>
      <c r="D2506" s="34">
        <v>29</v>
      </c>
      <c r="E2506" s="32">
        <f>DAY(TableAopCalendar[[#This Row],[Date]])</f>
        <v>7</v>
      </c>
      <c r="F2506" s="32">
        <f>IF(TableAopCalendar[[#This Row],[Day]]&lt;8,1,IF(TableAopCalendar[[#This Row],[Day]]&lt;15,2,IF(TableAopCalendar[[#This Row],[Day]]&lt;22,3,IF(TableAopCalendar[[#This Row],[Day]]&lt;29,4,IF(TableAopCalendar[[#This Row],[Day]]&lt;32,5)))))</f>
        <v>1</v>
      </c>
      <c r="G2506" s="32" t="str">
        <f t="shared" si="133"/>
        <v>Week 1</v>
      </c>
      <c r="H2506" s="32" t="str">
        <f t="shared" si="134"/>
        <v>February 29 Week 1</v>
      </c>
      <c r="I2506" s="32" t="str">
        <f>CONCATENATE(UPPER(TableAopCalendar[[#This Row],[Month]])," ",TableAopCalendar[[#This Row],[Year]])</f>
        <v>FEBRUARY 29</v>
      </c>
      <c r="J2506" s="7" t="s">
        <v>274</v>
      </c>
      <c r="K2506" s="32" t="str">
        <f>CONCATENATE(TableAopCalendar[[#This Row],[Month for Plan]]," ",TableAopCalendar[[#This Row],[Plan]])</f>
        <v>FEBRUARY 29 PLANNED</v>
      </c>
    </row>
    <row r="2507" spans="1:11" x14ac:dyDescent="0.3">
      <c r="A2507" s="32">
        <f t="shared" si="132"/>
        <v>1</v>
      </c>
      <c r="B2507" s="33">
        <v>47157</v>
      </c>
      <c r="C2507" s="6" t="s">
        <v>272</v>
      </c>
      <c r="D2507" s="34">
        <v>29</v>
      </c>
      <c r="E2507" s="32">
        <f>DAY(TableAopCalendar[[#This Row],[Date]])</f>
        <v>8</v>
      </c>
      <c r="F2507" s="32">
        <f>IF(TableAopCalendar[[#This Row],[Day]]&lt;8,1,IF(TableAopCalendar[[#This Row],[Day]]&lt;15,2,IF(TableAopCalendar[[#This Row],[Day]]&lt;22,3,IF(TableAopCalendar[[#This Row],[Day]]&lt;29,4,IF(TableAopCalendar[[#This Row],[Day]]&lt;32,5)))))</f>
        <v>2</v>
      </c>
      <c r="G2507" s="32" t="str">
        <f t="shared" si="133"/>
        <v>Week 2</v>
      </c>
      <c r="H2507" s="32" t="str">
        <f t="shared" si="134"/>
        <v>February 29 Week 2</v>
      </c>
      <c r="I2507" s="32" t="str">
        <f>CONCATENATE(UPPER(TableAopCalendar[[#This Row],[Month]])," ",TableAopCalendar[[#This Row],[Year]])</f>
        <v>FEBRUARY 29</v>
      </c>
      <c r="J2507" s="7" t="s">
        <v>274</v>
      </c>
      <c r="K2507" s="32" t="str">
        <f>CONCATENATE(TableAopCalendar[[#This Row],[Month for Plan]]," ",TableAopCalendar[[#This Row],[Plan]])</f>
        <v>FEBRUARY 29 PLANNED</v>
      </c>
    </row>
    <row r="2508" spans="1:11" x14ac:dyDescent="0.3">
      <c r="A2508" s="32">
        <f t="shared" si="132"/>
        <v>2</v>
      </c>
      <c r="B2508" s="33">
        <v>47158</v>
      </c>
      <c r="C2508" s="6" t="s">
        <v>272</v>
      </c>
      <c r="D2508" s="34">
        <v>29</v>
      </c>
      <c r="E2508" s="32">
        <f>DAY(TableAopCalendar[[#This Row],[Date]])</f>
        <v>9</v>
      </c>
      <c r="F2508" s="32">
        <f>IF(TableAopCalendar[[#This Row],[Day]]&lt;8,1,IF(TableAopCalendar[[#This Row],[Day]]&lt;15,2,IF(TableAopCalendar[[#This Row],[Day]]&lt;22,3,IF(TableAopCalendar[[#This Row],[Day]]&lt;29,4,IF(TableAopCalendar[[#This Row],[Day]]&lt;32,5)))))</f>
        <v>2</v>
      </c>
      <c r="G2508" s="32" t="str">
        <f t="shared" si="133"/>
        <v>Week 2</v>
      </c>
      <c r="H2508" s="32" t="str">
        <f t="shared" si="134"/>
        <v>February 29 Week 2</v>
      </c>
      <c r="I2508" s="32" t="str">
        <f>CONCATENATE(UPPER(TableAopCalendar[[#This Row],[Month]])," ",TableAopCalendar[[#This Row],[Year]])</f>
        <v>FEBRUARY 29</v>
      </c>
      <c r="J2508" s="7" t="s">
        <v>274</v>
      </c>
      <c r="K2508" s="32" t="str">
        <f>CONCATENATE(TableAopCalendar[[#This Row],[Month for Plan]]," ",TableAopCalendar[[#This Row],[Plan]])</f>
        <v>FEBRUARY 29 PLANNED</v>
      </c>
    </row>
    <row r="2509" spans="1:11" x14ac:dyDescent="0.3">
      <c r="A2509" s="32">
        <f t="shared" si="132"/>
        <v>3</v>
      </c>
      <c r="B2509" s="33">
        <v>47159</v>
      </c>
      <c r="C2509" s="6" t="s">
        <v>272</v>
      </c>
      <c r="D2509" s="34">
        <v>29</v>
      </c>
      <c r="E2509" s="32">
        <f>DAY(TableAopCalendar[[#This Row],[Date]])</f>
        <v>10</v>
      </c>
      <c r="F2509" s="32">
        <f>IF(TableAopCalendar[[#This Row],[Day]]&lt;8,1,IF(TableAopCalendar[[#This Row],[Day]]&lt;15,2,IF(TableAopCalendar[[#This Row],[Day]]&lt;22,3,IF(TableAopCalendar[[#This Row],[Day]]&lt;29,4,IF(TableAopCalendar[[#This Row],[Day]]&lt;32,5)))))</f>
        <v>2</v>
      </c>
      <c r="G2509" s="32" t="str">
        <f t="shared" si="133"/>
        <v>Week 2</v>
      </c>
      <c r="H2509" s="32" t="str">
        <f t="shared" si="134"/>
        <v>February 29 Week 2</v>
      </c>
      <c r="I2509" s="32" t="str">
        <f>CONCATENATE(UPPER(TableAopCalendar[[#This Row],[Month]])," ",TableAopCalendar[[#This Row],[Year]])</f>
        <v>FEBRUARY 29</v>
      </c>
      <c r="J2509" s="7" t="s">
        <v>274</v>
      </c>
      <c r="K2509" s="32" t="str">
        <f>CONCATENATE(TableAopCalendar[[#This Row],[Month for Plan]]," ",TableAopCalendar[[#This Row],[Plan]])</f>
        <v>FEBRUARY 29 PLANNED</v>
      </c>
    </row>
    <row r="2510" spans="1:11" x14ac:dyDescent="0.3">
      <c r="A2510" s="32">
        <f t="shared" si="132"/>
        <v>4</v>
      </c>
      <c r="B2510" s="33">
        <v>47160</v>
      </c>
      <c r="C2510" s="6" t="s">
        <v>272</v>
      </c>
      <c r="D2510" s="34">
        <v>29</v>
      </c>
      <c r="E2510" s="32">
        <f>DAY(TableAopCalendar[[#This Row],[Date]])</f>
        <v>11</v>
      </c>
      <c r="F2510" s="32">
        <f>IF(TableAopCalendar[[#This Row],[Day]]&lt;8,1,IF(TableAopCalendar[[#This Row],[Day]]&lt;15,2,IF(TableAopCalendar[[#This Row],[Day]]&lt;22,3,IF(TableAopCalendar[[#This Row],[Day]]&lt;29,4,IF(TableAopCalendar[[#This Row],[Day]]&lt;32,5)))))</f>
        <v>2</v>
      </c>
      <c r="G2510" s="32" t="str">
        <f t="shared" si="133"/>
        <v>Week 2</v>
      </c>
      <c r="H2510" s="32" t="str">
        <f t="shared" si="134"/>
        <v>February 29 Week 2</v>
      </c>
      <c r="I2510" s="32" t="str">
        <f>CONCATENATE(UPPER(TableAopCalendar[[#This Row],[Month]])," ",TableAopCalendar[[#This Row],[Year]])</f>
        <v>FEBRUARY 29</v>
      </c>
      <c r="J2510" s="7" t="s">
        <v>274</v>
      </c>
      <c r="K2510" s="32" t="str">
        <f>CONCATENATE(TableAopCalendar[[#This Row],[Month for Plan]]," ",TableAopCalendar[[#This Row],[Plan]])</f>
        <v>FEBRUARY 29 PLANNED</v>
      </c>
    </row>
    <row r="2511" spans="1:11" x14ac:dyDescent="0.3">
      <c r="A2511" s="32">
        <f t="shared" si="132"/>
        <v>5</v>
      </c>
      <c r="B2511" s="33">
        <v>47161</v>
      </c>
      <c r="C2511" s="6" t="s">
        <v>272</v>
      </c>
      <c r="D2511" s="34">
        <v>29</v>
      </c>
      <c r="E2511" s="32">
        <f>DAY(TableAopCalendar[[#This Row],[Date]])</f>
        <v>12</v>
      </c>
      <c r="F2511" s="32">
        <f>IF(TableAopCalendar[[#This Row],[Day]]&lt;8,1,IF(TableAopCalendar[[#This Row],[Day]]&lt;15,2,IF(TableAopCalendar[[#This Row],[Day]]&lt;22,3,IF(TableAopCalendar[[#This Row],[Day]]&lt;29,4,IF(TableAopCalendar[[#This Row],[Day]]&lt;32,5)))))</f>
        <v>2</v>
      </c>
      <c r="G2511" s="32" t="str">
        <f t="shared" si="133"/>
        <v>Week 2</v>
      </c>
      <c r="H2511" s="32" t="str">
        <f t="shared" si="134"/>
        <v>February 29 Week 2</v>
      </c>
      <c r="I2511" s="32" t="str">
        <f>CONCATENATE(UPPER(TableAopCalendar[[#This Row],[Month]])," ",TableAopCalendar[[#This Row],[Year]])</f>
        <v>FEBRUARY 29</v>
      </c>
      <c r="J2511" s="7" t="s">
        <v>274</v>
      </c>
      <c r="K2511" s="32" t="str">
        <f>CONCATENATE(TableAopCalendar[[#This Row],[Month for Plan]]," ",TableAopCalendar[[#This Row],[Plan]])</f>
        <v>FEBRUARY 29 PLANNED</v>
      </c>
    </row>
    <row r="2512" spans="1:11" x14ac:dyDescent="0.3">
      <c r="A2512" s="32">
        <f t="shared" si="132"/>
        <v>6</v>
      </c>
      <c r="B2512" s="33">
        <v>47162</v>
      </c>
      <c r="C2512" s="6" t="s">
        <v>272</v>
      </c>
      <c r="D2512" s="34">
        <v>29</v>
      </c>
      <c r="E2512" s="32">
        <f>DAY(TableAopCalendar[[#This Row],[Date]])</f>
        <v>13</v>
      </c>
      <c r="F2512" s="32">
        <f>IF(TableAopCalendar[[#This Row],[Day]]&lt;8,1,IF(TableAopCalendar[[#This Row],[Day]]&lt;15,2,IF(TableAopCalendar[[#This Row],[Day]]&lt;22,3,IF(TableAopCalendar[[#This Row],[Day]]&lt;29,4,IF(TableAopCalendar[[#This Row],[Day]]&lt;32,5)))))</f>
        <v>2</v>
      </c>
      <c r="G2512" s="32" t="str">
        <f t="shared" si="133"/>
        <v>Week 2</v>
      </c>
      <c r="H2512" s="32" t="str">
        <f t="shared" si="134"/>
        <v>February 29 Week 2</v>
      </c>
      <c r="I2512" s="32" t="str">
        <f>CONCATENATE(UPPER(TableAopCalendar[[#This Row],[Month]])," ",TableAopCalendar[[#This Row],[Year]])</f>
        <v>FEBRUARY 29</v>
      </c>
      <c r="J2512" s="7" t="s">
        <v>274</v>
      </c>
      <c r="K2512" s="32" t="str">
        <f>CONCATENATE(TableAopCalendar[[#This Row],[Month for Plan]]," ",TableAopCalendar[[#This Row],[Plan]])</f>
        <v>FEBRUARY 29 PLANNED</v>
      </c>
    </row>
    <row r="2513" spans="1:11" x14ac:dyDescent="0.3">
      <c r="A2513" s="32">
        <f t="shared" si="132"/>
        <v>7</v>
      </c>
      <c r="B2513" s="33">
        <v>47163</v>
      </c>
      <c r="C2513" s="6" t="s">
        <v>272</v>
      </c>
      <c r="D2513" s="34">
        <v>29</v>
      </c>
      <c r="E2513" s="32">
        <f>DAY(TableAopCalendar[[#This Row],[Date]])</f>
        <v>14</v>
      </c>
      <c r="F2513" s="32">
        <f>IF(TableAopCalendar[[#This Row],[Day]]&lt;8,1,IF(TableAopCalendar[[#This Row],[Day]]&lt;15,2,IF(TableAopCalendar[[#This Row],[Day]]&lt;22,3,IF(TableAopCalendar[[#This Row],[Day]]&lt;29,4,IF(TableAopCalendar[[#This Row],[Day]]&lt;32,5)))))</f>
        <v>2</v>
      </c>
      <c r="G2513" s="32" t="str">
        <f t="shared" si="133"/>
        <v>Week 2</v>
      </c>
      <c r="H2513" s="32" t="str">
        <f t="shared" si="134"/>
        <v>February 29 Week 2</v>
      </c>
      <c r="I2513" s="32" t="str">
        <f>CONCATENATE(UPPER(TableAopCalendar[[#This Row],[Month]])," ",TableAopCalendar[[#This Row],[Year]])</f>
        <v>FEBRUARY 29</v>
      </c>
      <c r="J2513" s="7" t="s">
        <v>274</v>
      </c>
      <c r="K2513" s="32" t="str">
        <f>CONCATENATE(TableAopCalendar[[#This Row],[Month for Plan]]," ",TableAopCalendar[[#This Row],[Plan]])</f>
        <v>FEBRUARY 29 PLANNED</v>
      </c>
    </row>
    <row r="2514" spans="1:11" x14ac:dyDescent="0.3">
      <c r="A2514" s="32">
        <f t="shared" si="132"/>
        <v>1</v>
      </c>
      <c r="B2514" s="33">
        <v>47164</v>
      </c>
      <c r="C2514" s="6" t="s">
        <v>272</v>
      </c>
      <c r="D2514" s="34">
        <v>29</v>
      </c>
      <c r="E2514" s="32">
        <f>DAY(TableAopCalendar[[#This Row],[Date]])</f>
        <v>15</v>
      </c>
      <c r="F2514" s="32">
        <f>IF(TableAopCalendar[[#This Row],[Day]]&lt;8,1,IF(TableAopCalendar[[#This Row],[Day]]&lt;15,2,IF(TableAopCalendar[[#This Row],[Day]]&lt;22,3,IF(TableAopCalendar[[#This Row],[Day]]&lt;29,4,IF(TableAopCalendar[[#This Row],[Day]]&lt;32,5)))))</f>
        <v>3</v>
      </c>
      <c r="G2514" s="32" t="str">
        <f t="shared" si="133"/>
        <v>Week 3</v>
      </c>
      <c r="H2514" s="32" t="str">
        <f t="shared" si="134"/>
        <v>February 29 Week 3</v>
      </c>
      <c r="I2514" s="32" t="str">
        <f>CONCATENATE(UPPER(TableAopCalendar[[#This Row],[Month]])," ",TableAopCalendar[[#This Row],[Year]])</f>
        <v>FEBRUARY 29</v>
      </c>
      <c r="J2514" s="7" t="s">
        <v>274</v>
      </c>
      <c r="K2514" s="32" t="str">
        <f>CONCATENATE(TableAopCalendar[[#This Row],[Month for Plan]]," ",TableAopCalendar[[#This Row],[Plan]])</f>
        <v>FEBRUARY 29 PLANNED</v>
      </c>
    </row>
    <row r="2515" spans="1:11" x14ac:dyDescent="0.3">
      <c r="A2515" s="32">
        <f t="shared" si="132"/>
        <v>2</v>
      </c>
      <c r="B2515" s="33">
        <v>47165</v>
      </c>
      <c r="C2515" s="6" t="s">
        <v>272</v>
      </c>
      <c r="D2515" s="34">
        <v>29</v>
      </c>
      <c r="E2515" s="32">
        <f>DAY(TableAopCalendar[[#This Row],[Date]])</f>
        <v>16</v>
      </c>
      <c r="F2515" s="32">
        <f>IF(TableAopCalendar[[#This Row],[Day]]&lt;8,1,IF(TableAopCalendar[[#This Row],[Day]]&lt;15,2,IF(TableAopCalendar[[#This Row],[Day]]&lt;22,3,IF(TableAopCalendar[[#This Row],[Day]]&lt;29,4,IF(TableAopCalendar[[#This Row],[Day]]&lt;32,5)))))</f>
        <v>3</v>
      </c>
      <c r="G2515" s="32" t="str">
        <f t="shared" si="133"/>
        <v>Week 3</v>
      </c>
      <c r="H2515" s="32" t="str">
        <f t="shared" si="134"/>
        <v>February 29 Week 3</v>
      </c>
      <c r="I2515" s="32" t="str">
        <f>CONCATENATE(UPPER(TableAopCalendar[[#This Row],[Month]])," ",TableAopCalendar[[#This Row],[Year]])</f>
        <v>FEBRUARY 29</v>
      </c>
      <c r="J2515" s="7" t="s">
        <v>274</v>
      </c>
      <c r="K2515" s="32" t="str">
        <f>CONCATENATE(TableAopCalendar[[#This Row],[Month for Plan]]," ",TableAopCalendar[[#This Row],[Plan]])</f>
        <v>FEBRUARY 29 PLANNED</v>
      </c>
    </row>
    <row r="2516" spans="1:11" x14ac:dyDescent="0.3">
      <c r="A2516" s="32">
        <f t="shared" si="132"/>
        <v>3</v>
      </c>
      <c r="B2516" s="33">
        <v>47166</v>
      </c>
      <c r="C2516" s="6" t="s">
        <v>272</v>
      </c>
      <c r="D2516" s="34">
        <v>29</v>
      </c>
      <c r="E2516" s="32">
        <f>DAY(TableAopCalendar[[#This Row],[Date]])</f>
        <v>17</v>
      </c>
      <c r="F2516" s="32">
        <f>IF(TableAopCalendar[[#This Row],[Day]]&lt;8,1,IF(TableAopCalendar[[#This Row],[Day]]&lt;15,2,IF(TableAopCalendar[[#This Row],[Day]]&lt;22,3,IF(TableAopCalendar[[#This Row],[Day]]&lt;29,4,IF(TableAopCalendar[[#This Row],[Day]]&lt;32,5)))))</f>
        <v>3</v>
      </c>
      <c r="G2516" s="32" t="str">
        <f t="shared" si="133"/>
        <v>Week 3</v>
      </c>
      <c r="H2516" s="32" t="str">
        <f t="shared" si="134"/>
        <v>February 29 Week 3</v>
      </c>
      <c r="I2516" s="32" t="str">
        <f>CONCATENATE(UPPER(TableAopCalendar[[#This Row],[Month]])," ",TableAopCalendar[[#This Row],[Year]])</f>
        <v>FEBRUARY 29</v>
      </c>
      <c r="J2516" s="7" t="s">
        <v>274</v>
      </c>
      <c r="K2516" s="32" t="str">
        <f>CONCATENATE(TableAopCalendar[[#This Row],[Month for Plan]]," ",TableAopCalendar[[#This Row],[Plan]])</f>
        <v>FEBRUARY 29 PLANNED</v>
      </c>
    </row>
    <row r="2517" spans="1:11" x14ac:dyDescent="0.3">
      <c r="A2517" s="32">
        <f t="shared" si="132"/>
        <v>4</v>
      </c>
      <c r="B2517" s="33">
        <v>47167</v>
      </c>
      <c r="C2517" s="6" t="s">
        <v>272</v>
      </c>
      <c r="D2517" s="34">
        <v>29</v>
      </c>
      <c r="E2517" s="32">
        <f>DAY(TableAopCalendar[[#This Row],[Date]])</f>
        <v>18</v>
      </c>
      <c r="F2517" s="32">
        <f>IF(TableAopCalendar[[#This Row],[Day]]&lt;8,1,IF(TableAopCalendar[[#This Row],[Day]]&lt;15,2,IF(TableAopCalendar[[#This Row],[Day]]&lt;22,3,IF(TableAopCalendar[[#This Row],[Day]]&lt;29,4,IF(TableAopCalendar[[#This Row],[Day]]&lt;32,5)))))</f>
        <v>3</v>
      </c>
      <c r="G2517" s="32" t="str">
        <f t="shared" si="133"/>
        <v>Week 3</v>
      </c>
      <c r="H2517" s="32" t="str">
        <f t="shared" si="134"/>
        <v>February 29 Week 3</v>
      </c>
      <c r="I2517" s="32" t="str">
        <f>CONCATENATE(UPPER(TableAopCalendar[[#This Row],[Month]])," ",TableAopCalendar[[#This Row],[Year]])</f>
        <v>FEBRUARY 29</v>
      </c>
      <c r="J2517" s="7" t="s">
        <v>274</v>
      </c>
      <c r="K2517" s="32" t="str">
        <f>CONCATENATE(TableAopCalendar[[#This Row],[Month for Plan]]," ",TableAopCalendar[[#This Row],[Plan]])</f>
        <v>FEBRUARY 29 PLANNED</v>
      </c>
    </row>
    <row r="2518" spans="1:11" x14ac:dyDescent="0.3">
      <c r="A2518" s="32">
        <f t="shared" si="132"/>
        <v>5</v>
      </c>
      <c r="B2518" s="33">
        <v>47168</v>
      </c>
      <c r="C2518" s="6" t="s">
        <v>272</v>
      </c>
      <c r="D2518" s="34">
        <v>29</v>
      </c>
      <c r="E2518" s="32">
        <f>DAY(TableAopCalendar[[#This Row],[Date]])</f>
        <v>19</v>
      </c>
      <c r="F2518" s="32">
        <f>IF(TableAopCalendar[[#This Row],[Day]]&lt;8,1,IF(TableAopCalendar[[#This Row],[Day]]&lt;15,2,IF(TableAopCalendar[[#This Row],[Day]]&lt;22,3,IF(TableAopCalendar[[#This Row],[Day]]&lt;29,4,IF(TableAopCalendar[[#This Row],[Day]]&lt;32,5)))))</f>
        <v>3</v>
      </c>
      <c r="G2518" s="32" t="str">
        <f t="shared" si="133"/>
        <v>Week 3</v>
      </c>
      <c r="H2518" s="32" t="str">
        <f t="shared" si="134"/>
        <v>February 29 Week 3</v>
      </c>
      <c r="I2518" s="32" t="str">
        <f>CONCATENATE(UPPER(TableAopCalendar[[#This Row],[Month]])," ",TableAopCalendar[[#This Row],[Year]])</f>
        <v>FEBRUARY 29</v>
      </c>
      <c r="J2518" s="7" t="s">
        <v>274</v>
      </c>
      <c r="K2518" s="32" t="str">
        <f>CONCATENATE(TableAopCalendar[[#This Row],[Month for Plan]]," ",TableAopCalendar[[#This Row],[Plan]])</f>
        <v>FEBRUARY 29 PLANNED</v>
      </c>
    </row>
    <row r="2519" spans="1:11" x14ac:dyDescent="0.3">
      <c r="A2519" s="32">
        <f t="shared" si="132"/>
        <v>6</v>
      </c>
      <c r="B2519" s="33">
        <v>47169</v>
      </c>
      <c r="C2519" s="6" t="s">
        <v>272</v>
      </c>
      <c r="D2519" s="34">
        <v>29</v>
      </c>
      <c r="E2519" s="32">
        <f>DAY(TableAopCalendar[[#This Row],[Date]])</f>
        <v>20</v>
      </c>
      <c r="F2519" s="32">
        <f>IF(TableAopCalendar[[#This Row],[Day]]&lt;8,1,IF(TableAopCalendar[[#This Row],[Day]]&lt;15,2,IF(TableAopCalendar[[#This Row],[Day]]&lt;22,3,IF(TableAopCalendar[[#This Row],[Day]]&lt;29,4,IF(TableAopCalendar[[#This Row],[Day]]&lt;32,5)))))</f>
        <v>3</v>
      </c>
      <c r="G2519" s="32" t="str">
        <f t="shared" si="133"/>
        <v>Week 3</v>
      </c>
      <c r="H2519" s="32" t="str">
        <f t="shared" si="134"/>
        <v>February 29 Week 3</v>
      </c>
      <c r="I2519" s="32" t="str">
        <f>CONCATENATE(UPPER(TableAopCalendar[[#This Row],[Month]])," ",TableAopCalendar[[#This Row],[Year]])</f>
        <v>FEBRUARY 29</v>
      </c>
      <c r="J2519" s="7" t="s">
        <v>274</v>
      </c>
      <c r="K2519" s="32" t="str">
        <f>CONCATENATE(TableAopCalendar[[#This Row],[Month for Plan]]," ",TableAopCalendar[[#This Row],[Plan]])</f>
        <v>FEBRUARY 29 PLANNED</v>
      </c>
    </row>
    <row r="2520" spans="1:11" x14ac:dyDescent="0.3">
      <c r="A2520" s="32">
        <f t="shared" si="132"/>
        <v>7</v>
      </c>
      <c r="B2520" s="33">
        <v>47170</v>
      </c>
      <c r="C2520" s="6" t="s">
        <v>272</v>
      </c>
      <c r="D2520" s="34">
        <v>29</v>
      </c>
      <c r="E2520" s="32">
        <f>DAY(TableAopCalendar[[#This Row],[Date]])</f>
        <v>21</v>
      </c>
      <c r="F2520" s="32">
        <f>IF(TableAopCalendar[[#This Row],[Day]]&lt;8,1,IF(TableAopCalendar[[#This Row],[Day]]&lt;15,2,IF(TableAopCalendar[[#This Row],[Day]]&lt;22,3,IF(TableAopCalendar[[#This Row],[Day]]&lt;29,4,IF(TableAopCalendar[[#This Row],[Day]]&lt;32,5)))))</f>
        <v>3</v>
      </c>
      <c r="G2520" s="32" t="str">
        <f t="shared" si="133"/>
        <v>Week 3</v>
      </c>
      <c r="H2520" s="32" t="str">
        <f t="shared" si="134"/>
        <v>February 29 Week 3</v>
      </c>
      <c r="I2520" s="32" t="str">
        <f>CONCATENATE(UPPER(TableAopCalendar[[#This Row],[Month]])," ",TableAopCalendar[[#This Row],[Year]])</f>
        <v>FEBRUARY 29</v>
      </c>
      <c r="J2520" s="7" t="s">
        <v>274</v>
      </c>
      <c r="K2520" s="32" t="str">
        <f>CONCATENATE(TableAopCalendar[[#This Row],[Month for Plan]]," ",TableAopCalendar[[#This Row],[Plan]])</f>
        <v>FEBRUARY 29 PLANNED</v>
      </c>
    </row>
    <row r="2521" spans="1:11" x14ac:dyDescent="0.3">
      <c r="A2521" s="32">
        <f t="shared" si="132"/>
        <v>1</v>
      </c>
      <c r="B2521" s="33">
        <v>47171</v>
      </c>
      <c r="C2521" s="6" t="s">
        <v>272</v>
      </c>
      <c r="D2521" s="34">
        <v>29</v>
      </c>
      <c r="E2521" s="32">
        <f>DAY(TableAopCalendar[[#This Row],[Date]])</f>
        <v>22</v>
      </c>
      <c r="F2521" s="32">
        <f>IF(TableAopCalendar[[#This Row],[Day]]&lt;8,1,IF(TableAopCalendar[[#This Row],[Day]]&lt;15,2,IF(TableAopCalendar[[#This Row],[Day]]&lt;22,3,IF(TableAopCalendar[[#This Row],[Day]]&lt;29,4,IF(TableAopCalendar[[#This Row],[Day]]&lt;32,5)))))</f>
        <v>4</v>
      </c>
      <c r="G2521" s="32" t="str">
        <f t="shared" si="133"/>
        <v>Week 4</v>
      </c>
      <c r="H2521" s="32" t="str">
        <f t="shared" si="134"/>
        <v>February 29 Week 4</v>
      </c>
      <c r="I2521" s="32" t="str">
        <f>CONCATENATE(UPPER(TableAopCalendar[[#This Row],[Month]])," ",TableAopCalendar[[#This Row],[Year]])</f>
        <v>FEBRUARY 29</v>
      </c>
      <c r="J2521" s="7" t="s">
        <v>274</v>
      </c>
      <c r="K2521" s="32" t="str">
        <f>CONCATENATE(TableAopCalendar[[#This Row],[Month for Plan]]," ",TableAopCalendar[[#This Row],[Plan]])</f>
        <v>FEBRUARY 29 PLANNED</v>
      </c>
    </row>
    <row r="2522" spans="1:11" x14ac:dyDescent="0.3">
      <c r="A2522" s="32">
        <f t="shared" si="132"/>
        <v>2</v>
      </c>
      <c r="B2522" s="33">
        <v>47172</v>
      </c>
      <c r="C2522" s="6" t="s">
        <v>272</v>
      </c>
      <c r="D2522" s="34">
        <v>29</v>
      </c>
      <c r="E2522" s="32">
        <f>DAY(TableAopCalendar[[#This Row],[Date]])</f>
        <v>23</v>
      </c>
      <c r="F2522" s="32">
        <f>IF(TableAopCalendar[[#This Row],[Day]]&lt;8,1,IF(TableAopCalendar[[#This Row],[Day]]&lt;15,2,IF(TableAopCalendar[[#This Row],[Day]]&lt;22,3,IF(TableAopCalendar[[#This Row],[Day]]&lt;29,4,IF(TableAopCalendar[[#This Row],[Day]]&lt;32,5)))))</f>
        <v>4</v>
      </c>
      <c r="G2522" s="32" t="str">
        <f t="shared" si="133"/>
        <v>Week 4</v>
      </c>
      <c r="H2522" s="32" t="str">
        <f t="shared" si="134"/>
        <v>February 29 Week 4</v>
      </c>
      <c r="I2522" s="32" t="str">
        <f>CONCATENATE(UPPER(TableAopCalendar[[#This Row],[Month]])," ",TableAopCalendar[[#This Row],[Year]])</f>
        <v>FEBRUARY 29</v>
      </c>
      <c r="J2522" s="7" t="s">
        <v>274</v>
      </c>
      <c r="K2522" s="32" t="str">
        <f>CONCATENATE(TableAopCalendar[[#This Row],[Month for Plan]]," ",TableAopCalendar[[#This Row],[Plan]])</f>
        <v>FEBRUARY 29 PLANNED</v>
      </c>
    </row>
    <row r="2523" spans="1:11" x14ac:dyDescent="0.3">
      <c r="A2523" s="32">
        <f t="shared" si="132"/>
        <v>3</v>
      </c>
      <c r="B2523" s="33">
        <v>47173</v>
      </c>
      <c r="C2523" s="6" t="s">
        <v>272</v>
      </c>
      <c r="D2523" s="34">
        <v>29</v>
      </c>
      <c r="E2523" s="32">
        <f>DAY(TableAopCalendar[[#This Row],[Date]])</f>
        <v>24</v>
      </c>
      <c r="F2523" s="32">
        <f>IF(TableAopCalendar[[#This Row],[Day]]&lt;8,1,IF(TableAopCalendar[[#This Row],[Day]]&lt;15,2,IF(TableAopCalendar[[#This Row],[Day]]&lt;22,3,IF(TableAopCalendar[[#This Row],[Day]]&lt;29,4,IF(TableAopCalendar[[#This Row],[Day]]&lt;32,5)))))</f>
        <v>4</v>
      </c>
      <c r="G2523" s="32" t="str">
        <f t="shared" si="133"/>
        <v>Week 4</v>
      </c>
      <c r="H2523" s="32" t="str">
        <f t="shared" si="134"/>
        <v>February 29 Week 4</v>
      </c>
      <c r="I2523" s="32" t="str">
        <f>CONCATENATE(UPPER(TableAopCalendar[[#This Row],[Month]])," ",TableAopCalendar[[#This Row],[Year]])</f>
        <v>FEBRUARY 29</v>
      </c>
      <c r="J2523" s="7" t="s">
        <v>274</v>
      </c>
      <c r="K2523" s="32" t="str">
        <f>CONCATENATE(TableAopCalendar[[#This Row],[Month for Plan]]," ",TableAopCalendar[[#This Row],[Plan]])</f>
        <v>FEBRUARY 29 PLANNED</v>
      </c>
    </row>
    <row r="2524" spans="1:11" x14ac:dyDescent="0.3">
      <c r="A2524" s="32">
        <f t="shared" si="132"/>
        <v>4</v>
      </c>
      <c r="B2524" s="33">
        <v>47174</v>
      </c>
      <c r="C2524" s="6" t="s">
        <v>272</v>
      </c>
      <c r="D2524" s="34">
        <v>29</v>
      </c>
      <c r="E2524" s="32">
        <f>DAY(TableAopCalendar[[#This Row],[Date]])</f>
        <v>25</v>
      </c>
      <c r="F2524" s="32">
        <f>IF(TableAopCalendar[[#This Row],[Day]]&lt;8,1,IF(TableAopCalendar[[#This Row],[Day]]&lt;15,2,IF(TableAopCalendar[[#This Row],[Day]]&lt;22,3,IF(TableAopCalendar[[#This Row],[Day]]&lt;29,4,IF(TableAopCalendar[[#This Row],[Day]]&lt;32,5)))))</f>
        <v>4</v>
      </c>
      <c r="G2524" s="32" t="str">
        <f t="shared" si="133"/>
        <v>Week 4</v>
      </c>
      <c r="H2524" s="32" t="str">
        <f t="shared" si="134"/>
        <v>February 29 Week 4</v>
      </c>
      <c r="I2524" s="32" t="str">
        <f>CONCATENATE(UPPER(TableAopCalendar[[#This Row],[Month]])," ",TableAopCalendar[[#This Row],[Year]])</f>
        <v>FEBRUARY 29</v>
      </c>
      <c r="J2524" s="7" t="s">
        <v>274</v>
      </c>
      <c r="K2524" s="32" t="str">
        <f>CONCATENATE(TableAopCalendar[[#This Row],[Month for Plan]]," ",TableAopCalendar[[#This Row],[Plan]])</f>
        <v>FEBRUARY 29 PLANNED</v>
      </c>
    </row>
    <row r="2525" spans="1:11" x14ac:dyDescent="0.3">
      <c r="A2525" s="32">
        <f t="shared" si="132"/>
        <v>5</v>
      </c>
      <c r="B2525" s="33">
        <v>47175</v>
      </c>
      <c r="C2525" s="6" t="s">
        <v>272</v>
      </c>
      <c r="D2525" s="34">
        <v>29</v>
      </c>
      <c r="E2525" s="32">
        <f>DAY(TableAopCalendar[[#This Row],[Date]])</f>
        <v>26</v>
      </c>
      <c r="F2525" s="32">
        <f>IF(TableAopCalendar[[#This Row],[Day]]&lt;8,1,IF(TableAopCalendar[[#This Row],[Day]]&lt;15,2,IF(TableAopCalendar[[#This Row],[Day]]&lt;22,3,IF(TableAopCalendar[[#This Row],[Day]]&lt;29,4,IF(TableAopCalendar[[#This Row],[Day]]&lt;32,5)))))</f>
        <v>4</v>
      </c>
      <c r="G2525" s="32" t="str">
        <f t="shared" si="133"/>
        <v>Week 4</v>
      </c>
      <c r="H2525" s="32" t="str">
        <f t="shared" si="134"/>
        <v>February 29 Week 4</v>
      </c>
      <c r="I2525" s="32" t="str">
        <f>CONCATENATE(UPPER(TableAopCalendar[[#This Row],[Month]])," ",TableAopCalendar[[#This Row],[Year]])</f>
        <v>FEBRUARY 29</v>
      </c>
      <c r="J2525" s="7" t="s">
        <v>274</v>
      </c>
      <c r="K2525" s="32" t="str">
        <f>CONCATENATE(TableAopCalendar[[#This Row],[Month for Plan]]," ",TableAopCalendar[[#This Row],[Plan]])</f>
        <v>FEBRUARY 29 PLANNED</v>
      </c>
    </row>
    <row r="2526" spans="1:11" x14ac:dyDescent="0.3">
      <c r="A2526" s="32">
        <f t="shared" si="132"/>
        <v>6</v>
      </c>
      <c r="B2526" s="33">
        <v>47176</v>
      </c>
      <c r="C2526" s="6" t="s">
        <v>272</v>
      </c>
      <c r="D2526" s="34">
        <v>29</v>
      </c>
      <c r="E2526" s="32">
        <f>DAY(TableAopCalendar[[#This Row],[Date]])</f>
        <v>27</v>
      </c>
      <c r="F2526" s="32">
        <f>IF(TableAopCalendar[[#This Row],[Day]]&lt;8,1,IF(TableAopCalendar[[#This Row],[Day]]&lt;15,2,IF(TableAopCalendar[[#This Row],[Day]]&lt;22,3,IF(TableAopCalendar[[#This Row],[Day]]&lt;29,4,IF(TableAopCalendar[[#This Row],[Day]]&lt;32,5)))))</f>
        <v>4</v>
      </c>
      <c r="G2526" s="32" t="str">
        <f t="shared" si="133"/>
        <v>Week 4</v>
      </c>
      <c r="H2526" s="32" t="str">
        <f t="shared" si="134"/>
        <v>February 29 Week 4</v>
      </c>
      <c r="I2526" s="32" t="str">
        <f>CONCATENATE(UPPER(TableAopCalendar[[#This Row],[Month]])," ",TableAopCalendar[[#This Row],[Year]])</f>
        <v>FEBRUARY 29</v>
      </c>
      <c r="J2526" s="7" t="s">
        <v>274</v>
      </c>
      <c r="K2526" s="32" t="str">
        <f>CONCATENATE(TableAopCalendar[[#This Row],[Month for Plan]]," ",TableAopCalendar[[#This Row],[Plan]])</f>
        <v>FEBRUARY 29 PLANNED</v>
      </c>
    </row>
    <row r="2527" spans="1:11" x14ac:dyDescent="0.3">
      <c r="A2527" s="32">
        <f t="shared" si="132"/>
        <v>7</v>
      </c>
      <c r="B2527" s="33">
        <v>47177</v>
      </c>
      <c r="C2527" s="6" t="s">
        <v>272</v>
      </c>
      <c r="D2527" s="34">
        <v>29</v>
      </c>
      <c r="E2527" s="32">
        <f>DAY(TableAopCalendar[[#This Row],[Date]])</f>
        <v>28</v>
      </c>
      <c r="F2527" s="32">
        <f>IF(TableAopCalendar[[#This Row],[Day]]&lt;8,1,IF(TableAopCalendar[[#This Row],[Day]]&lt;15,2,IF(TableAopCalendar[[#This Row],[Day]]&lt;22,3,IF(TableAopCalendar[[#This Row],[Day]]&lt;29,4,IF(TableAopCalendar[[#This Row],[Day]]&lt;32,5)))))</f>
        <v>4</v>
      </c>
      <c r="G2527" s="32" t="str">
        <f t="shared" si="133"/>
        <v>Week 4</v>
      </c>
      <c r="H2527" s="32" t="str">
        <f t="shared" si="134"/>
        <v>February 29 Week 4</v>
      </c>
      <c r="I2527" s="32" t="str">
        <f>CONCATENATE(UPPER(TableAopCalendar[[#This Row],[Month]])," ",TableAopCalendar[[#This Row],[Year]])</f>
        <v>FEBRUARY 29</v>
      </c>
      <c r="J2527" s="7" t="s">
        <v>274</v>
      </c>
      <c r="K2527" s="32" t="str">
        <f>CONCATENATE(TableAopCalendar[[#This Row],[Month for Plan]]," ",TableAopCalendar[[#This Row],[Plan]])</f>
        <v>FEBRUARY 29 PLANNED</v>
      </c>
    </row>
    <row r="2528" spans="1:11" x14ac:dyDescent="0.3">
      <c r="A2528" s="32">
        <f t="shared" si="132"/>
        <v>1</v>
      </c>
      <c r="B2528" s="33">
        <v>47178</v>
      </c>
      <c r="C2528" s="6" t="s">
        <v>273</v>
      </c>
      <c r="D2528" s="34">
        <v>29</v>
      </c>
      <c r="E2528" s="32">
        <f>DAY(TableAopCalendar[[#This Row],[Date]])</f>
        <v>1</v>
      </c>
      <c r="F2528" s="32">
        <f>IF(TableAopCalendar[[#This Row],[Day]]&lt;8,1,IF(TableAopCalendar[[#This Row],[Day]]&lt;15,2,IF(TableAopCalendar[[#This Row],[Day]]&lt;22,3,IF(TableAopCalendar[[#This Row],[Day]]&lt;29,4,IF(TableAopCalendar[[#This Row],[Day]]&lt;32,5)))))</f>
        <v>1</v>
      </c>
      <c r="G2528" s="32" t="str">
        <f t="shared" si="133"/>
        <v>Week 1</v>
      </c>
      <c r="H2528" s="32" t="str">
        <f t="shared" si="134"/>
        <v>March 29 Week 1</v>
      </c>
      <c r="I2528" s="32" t="str">
        <f>CONCATENATE(UPPER(TableAopCalendar[[#This Row],[Month]])," ",TableAopCalendar[[#This Row],[Year]])</f>
        <v>MARCH 29</v>
      </c>
      <c r="J2528" s="7" t="s">
        <v>274</v>
      </c>
      <c r="K2528" s="32" t="str">
        <f>CONCATENATE(TableAopCalendar[[#This Row],[Month for Plan]]," ",TableAopCalendar[[#This Row],[Plan]])</f>
        <v>MARCH 29 PLANNED</v>
      </c>
    </row>
    <row r="2529" spans="1:11" x14ac:dyDescent="0.3">
      <c r="A2529" s="32">
        <f t="shared" si="132"/>
        <v>2</v>
      </c>
      <c r="B2529" s="33">
        <v>47179</v>
      </c>
      <c r="C2529" s="6" t="s">
        <v>273</v>
      </c>
      <c r="D2529" s="34">
        <v>29</v>
      </c>
      <c r="E2529" s="32">
        <f>DAY(TableAopCalendar[[#This Row],[Date]])</f>
        <v>2</v>
      </c>
      <c r="F2529" s="32">
        <f>IF(TableAopCalendar[[#This Row],[Day]]&lt;8,1,IF(TableAopCalendar[[#This Row],[Day]]&lt;15,2,IF(TableAopCalendar[[#This Row],[Day]]&lt;22,3,IF(TableAopCalendar[[#This Row],[Day]]&lt;29,4,IF(TableAopCalendar[[#This Row],[Day]]&lt;32,5)))))</f>
        <v>1</v>
      </c>
      <c r="G2529" s="32" t="str">
        <f t="shared" si="133"/>
        <v>Week 1</v>
      </c>
      <c r="H2529" s="32" t="str">
        <f t="shared" si="134"/>
        <v>March 29 Week 1</v>
      </c>
      <c r="I2529" s="32" t="str">
        <f>CONCATENATE(UPPER(TableAopCalendar[[#This Row],[Month]])," ",TableAopCalendar[[#This Row],[Year]])</f>
        <v>MARCH 29</v>
      </c>
      <c r="J2529" s="7" t="s">
        <v>274</v>
      </c>
      <c r="K2529" s="32" t="str">
        <f>CONCATENATE(TableAopCalendar[[#This Row],[Month for Plan]]," ",TableAopCalendar[[#This Row],[Plan]])</f>
        <v>MARCH 29 PLANNED</v>
      </c>
    </row>
    <row r="2530" spans="1:11" x14ac:dyDescent="0.3">
      <c r="A2530" s="32">
        <f t="shared" si="132"/>
        <v>3</v>
      </c>
      <c r="B2530" s="33">
        <v>47180</v>
      </c>
      <c r="C2530" s="6" t="s">
        <v>273</v>
      </c>
      <c r="D2530" s="34">
        <v>29</v>
      </c>
      <c r="E2530" s="32">
        <f>DAY(TableAopCalendar[[#This Row],[Date]])</f>
        <v>3</v>
      </c>
      <c r="F2530" s="32">
        <f>IF(TableAopCalendar[[#This Row],[Day]]&lt;8,1,IF(TableAopCalendar[[#This Row],[Day]]&lt;15,2,IF(TableAopCalendar[[#This Row],[Day]]&lt;22,3,IF(TableAopCalendar[[#This Row],[Day]]&lt;29,4,IF(TableAopCalendar[[#This Row],[Day]]&lt;32,5)))))</f>
        <v>1</v>
      </c>
      <c r="G2530" s="32" t="str">
        <f t="shared" si="133"/>
        <v>Week 1</v>
      </c>
      <c r="H2530" s="32" t="str">
        <f t="shared" si="134"/>
        <v>March 29 Week 1</v>
      </c>
      <c r="I2530" s="32" t="str">
        <f>CONCATENATE(UPPER(TableAopCalendar[[#This Row],[Month]])," ",TableAopCalendar[[#This Row],[Year]])</f>
        <v>MARCH 29</v>
      </c>
      <c r="J2530" s="7" t="s">
        <v>274</v>
      </c>
      <c r="K2530" s="32" t="str">
        <f>CONCATENATE(TableAopCalendar[[#This Row],[Month for Plan]]," ",TableAopCalendar[[#This Row],[Plan]])</f>
        <v>MARCH 29 PLANNED</v>
      </c>
    </row>
    <row r="2531" spans="1:11" x14ac:dyDescent="0.3">
      <c r="A2531" s="32">
        <f t="shared" si="132"/>
        <v>4</v>
      </c>
      <c r="B2531" s="33">
        <v>47181</v>
      </c>
      <c r="C2531" s="6" t="s">
        <v>273</v>
      </c>
      <c r="D2531" s="34">
        <v>29</v>
      </c>
      <c r="E2531" s="32">
        <f>DAY(TableAopCalendar[[#This Row],[Date]])</f>
        <v>4</v>
      </c>
      <c r="F2531" s="32">
        <f>IF(TableAopCalendar[[#This Row],[Day]]&lt;8,1,IF(TableAopCalendar[[#This Row],[Day]]&lt;15,2,IF(TableAopCalendar[[#This Row],[Day]]&lt;22,3,IF(TableAopCalendar[[#This Row],[Day]]&lt;29,4,IF(TableAopCalendar[[#This Row],[Day]]&lt;32,5)))))</f>
        <v>1</v>
      </c>
      <c r="G2531" s="32" t="str">
        <f t="shared" si="133"/>
        <v>Week 1</v>
      </c>
      <c r="H2531" s="32" t="str">
        <f t="shared" si="134"/>
        <v>March 29 Week 1</v>
      </c>
      <c r="I2531" s="32" t="str">
        <f>CONCATENATE(UPPER(TableAopCalendar[[#This Row],[Month]])," ",TableAopCalendar[[#This Row],[Year]])</f>
        <v>MARCH 29</v>
      </c>
      <c r="J2531" s="7" t="s">
        <v>274</v>
      </c>
      <c r="K2531" s="32" t="str">
        <f>CONCATENATE(TableAopCalendar[[#This Row],[Month for Plan]]," ",TableAopCalendar[[#This Row],[Plan]])</f>
        <v>MARCH 29 PLANNED</v>
      </c>
    </row>
    <row r="2532" spans="1:11" x14ac:dyDescent="0.3">
      <c r="A2532" s="32">
        <f t="shared" ref="A2532:A2595" si="135">IF(G2532=G2531,A2531+1,1)</f>
        <v>5</v>
      </c>
      <c r="B2532" s="33">
        <v>47182</v>
      </c>
      <c r="C2532" s="6" t="s">
        <v>273</v>
      </c>
      <c r="D2532" s="34">
        <v>29</v>
      </c>
      <c r="E2532" s="32">
        <f>DAY(TableAopCalendar[[#This Row],[Date]])</f>
        <v>5</v>
      </c>
      <c r="F2532" s="32">
        <f>IF(TableAopCalendar[[#This Row],[Day]]&lt;8,1,IF(TableAopCalendar[[#This Row],[Day]]&lt;15,2,IF(TableAopCalendar[[#This Row],[Day]]&lt;22,3,IF(TableAopCalendar[[#This Row],[Day]]&lt;29,4,IF(TableAopCalendar[[#This Row],[Day]]&lt;32,5)))))</f>
        <v>1</v>
      </c>
      <c r="G2532" s="32" t="str">
        <f t="shared" ref="G2532:G2595" si="136">"Week"&amp;" "&amp;F2532</f>
        <v>Week 1</v>
      </c>
      <c r="H2532" s="32" t="str">
        <f t="shared" ref="H2532:H2595" si="137">CONCATENATE(C2532," ",D2532," ",G2532)</f>
        <v>March 29 Week 1</v>
      </c>
      <c r="I2532" s="32" t="str">
        <f>CONCATENATE(UPPER(TableAopCalendar[[#This Row],[Month]])," ",TableAopCalendar[[#This Row],[Year]])</f>
        <v>MARCH 29</v>
      </c>
      <c r="J2532" s="7" t="s">
        <v>274</v>
      </c>
      <c r="K2532" s="32" t="str">
        <f>CONCATENATE(TableAopCalendar[[#This Row],[Month for Plan]]," ",TableAopCalendar[[#This Row],[Plan]])</f>
        <v>MARCH 29 PLANNED</v>
      </c>
    </row>
    <row r="2533" spans="1:11" x14ac:dyDescent="0.3">
      <c r="A2533" s="32">
        <f t="shared" si="135"/>
        <v>6</v>
      </c>
      <c r="B2533" s="33">
        <v>47183</v>
      </c>
      <c r="C2533" s="6" t="s">
        <v>273</v>
      </c>
      <c r="D2533" s="34">
        <v>29</v>
      </c>
      <c r="E2533" s="32">
        <f>DAY(TableAopCalendar[[#This Row],[Date]])</f>
        <v>6</v>
      </c>
      <c r="F2533" s="32">
        <f>IF(TableAopCalendar[[#This Row],[Day]]&lt;8,1,IF(TableAopCalendar[[#This Row],[Day]]&lt;15,2,IF(TableAopCalendar[[#This Row],[Day]]&lt;22,3,IF(TableAopCalendar[[#This Row],[Day]]&lt;29,4,IF(TableAopCalendar[[#This Row],[Day]]&lt;32,5)))))</f>
        <v>1</v>
      </c>
      <c r="G2533" s="32" t="str">
        <f t="shared" si="136"/>
        <v>Week 1</v>
      </c>
      <c r="H2533" s="32" t="str">
        <f t="shared" si="137"/>
        <v>March 29 Week 1</v>
      </c>
      <c r="I2533" s="32" t="str">
        <f>CONCATENATE(UPPER(TableAopCalendar[[#This Row],[Month]])," ",TableAopCalendar[[#This Row],[Year]])</f>
        <v>MARCH 29</v>
      </c>
      <c r="J2533" s="7" t="s">
        <v>274</v>
      </c>
      <c r="K2533" s="32" t="str">
        <f>CONCATENATE(TableAopCalendar[[#This Row],[Month for Plan]]," ",TableAopCalendar[[#This Row],[Plan]])</f>
        <v>MARCH 29 PLANNED</v>
      </c>
    </row>
    <row r="2534" spans="1:11" x14ac:dyDescent="0.3">
      <c r="A2534" s="32">
        <f t="shared" si="135"/>
        <v>7</v>
      </c>
      <c r="B2534" s="33">
        <v>47184</v>
      </c>
      <c r="C2534" s="6" t="s">
        <v>273</v>
      </c>
      <c r="D2534" s="34">
        <v>29</v>
      </c>
      <c r="E2534" s="32">
        <f>DAY(TableAopCalendar[[#This Row],[Date]])</f>
        <v>7</v>
      </c>
      <c r="F2534" s="32">
        <f>IF(TableAopCalendar[[#This Row],[Day]]&lt;8,1,IF(TableAopCalendar[[#This Row],[Day]]&lt;15,2,IF(TableAopCalendar[[#This Row],[Day]]&lt;22,3,IF(TableAopCalendar[[#This Row],[Day]]&lt;29,4,IF(TableAopCalendar[[#This Row],[Day]]&lt;32,5)))))</f>
        <v>1</v>
      </c>
      <c r="G2534" s="32" t="str">
        <f t="shared" si="136"/>
        <v>Week 1</v>
      </c>
      <c r="H2534" s="32" t="str">
        <f t="shared" si="137"/>
        <v>March 29 Week 1</v>
      </c>
      <c r="I2534" s="32" t="str">
        <f>CONCATENATE(UPPER(TableAopCalendar[[#This Row],[Month]])," ",TableAopCalendar[[#This Row],[Year]])</f>
        <v>MARCH 29</v>
      </c>
      <c r="J2534" s="7" t="s">
        <v>274</v>
      </c>
      <c r="K2534" s="32" t="str">
        <f>CONCATENATE(TableAopCalendar[[#This Row],[Month for Plan]]," ",TableAopCalendar[[#This Row],[Plan]])</f>
        <v>MARCH 29 PLANNED</v>
      </c>
    </row>
    <row r="2535" spans="1:11" x14ac:dyDescent="0.3">
      <c r="A2535" s="32">
        <f t="shared" si="135"/>
        <v>1</v>
      </c>
      <c r="B2535" s="33">
        <v>47185</v>
      </c>
      <c r="C2535" s="6" t="s">
        <v>273</v>
      </c>
      <c r="D2535" s="34">
        <v>29</v>
      </c>
      <c r="E2535" s="32">
        <f>DAY(TableAopCalendar[[#This Row],[Date]])</f>
        <v>8</v>
      </c>
      <c r="F2535" s="32">
        <f>IF(TableAopCalendar[[#This Row],[Day]]&lt;8,1,IF(TableAopCalendar[[#This Row],[Day]]&lt;15,2,IF(TableAopCalendar[[#This Row],[Day]]&lt;22,3,IF(TableAopCalendar[[#This Row],[Day]]&lt;29,4,IF(TableAopCalendar[[#This Row],[Day]]&lt;32,5)))))</f>
        <v>2</v>
      </c>
      <c r="G2535" s="32" t="str">
        <f t="shared" si="136"/>
        <v>Week 2</v>
      </c>
      <c r="H2535" s="32" t="str">
        <f t="shared" si="137"/>
        <v>March 29 Week 2</v>
      </c>
      <c r="I2535" s="32" t="str">
        <f>CONCATENATE(UPPER(TableAopCalendar[[#This Row],[Month]])," ",TableAopCalendar[[#This Row],[Year]])</f>
        <v>MARCH 29</v>
      </c>
      <c r="J2535" s="7" t="s">
        <v>274</v>
      </c>
      <c r="K2535" s="32" t="str">
        <f>CONCATENATE(TableAopCalendar[[#This Row],[Month for Plan]]," ",TableAopCalendar[[#This Row],[Plan]])</f>
        <v>MARCH 29 PLANNED</v>
      </c>
    </row>
    <row r="2536" spans="1:11" x14ac:dyDescent="0.3">
      <c r="A2536" s="32">
        <f t="shared" si="135"/>
        <v>2</v>
      </c>
      <c r="B2536" s="33">
        <v>47186</v>
      </c>
      <c r="C2536" s="6" t="s">
        <v>273</v>
      </c>
      <c r="D2536" s="34">
        <v>29</v>
      </c>
      <c r="E2536" s="32">
        <f>DAY(TableAopCalendar[[#This Row],[Date]])</f>
        <v>9</v>
      </c>
      <c r="F2536" s="32">
        <f>IF(TableAopCalendar[[#This Row],[Day]]&lt;8,1,IF(TableAopCalendar[[#This Row],[Day]]&lt;15,2,IF(TableAopCalendar[[#This Row],[Day]]&lt;22,3,IF(TableAopCalendar[[#This Row],[Day]]&lt;29,4,IF(TableAopCalendar[[#This Row],[Day]]&lt;32,5)))))</f>
        <v>2</v>
      </c>
      <c r="G2536" s="32" t="str">
        <f t="shared" si="136"/>
        <v>Week 2</v>
      </c>
      <c r="H2536" s="32" t="str">
        <f t="shared" si="137"/>
        <v>March 29 Week 2</v>
      </c>
      <c r="I2536" s="32" t="str">
        <f>CONCATENATE(UPPER(TableAopCalendar[[#This Row],[Month]])," ",TableAopCalendar[[#This Row],[Year]])</f>
        <v>MARCH 29</v>
      </c>
      <c r="J2536" s="7" t="s">
        <v>274</v>
      </c>
      <c r="K2536" s="32" t="str">
        <f>CONCATENATE(TableAopCalendar[[#This Row],[Month for Plan]]," ",TableAopCalendar[[#This Row],[Plan]])</f>
        <v>MARCH 29 PLANNED</v>
      </c>
    </row>
    <row r="2537" spans="1:11" x14ac:dyDescent="0.3">
      <c r="A2537" s="32">
        <f t="shared" si="135"/>
        <v>3</v>
      </c>
      <c r="B2537" s="33">
        <v>47187</v>
      </c>
      <c r="C2537" s="6" t="s">
        <v>273</v>
      </c>
      <c r="D2537" s="34">
        <v>29</v>
      </c>
      <c r="E2537" s="32">
        <f>DAY(TableAopCalendar[[#This Row],[Date]])</f>
        <v>10</v>
      </c>
      <c r="F2537" s="32">
        <f>IF(TableAopCalendar[[#This Row],[Day]]&lt;8,1,IF(TableAopCalendar[[#This Row],[Day]]&lt;15,2,IF(TableAopCalendar[[#This Row],[Day]]&lt;22,3,IF(TableAopCalendar[[#This Row],[Day]]&lt;29,4,IF(TableAopCalendar[[#This Row],[Day]]&lt;32,5)))))</f>
        <v>2</v>
      </c>
      <c r="G2537" s="32" t="str">
        <f t="shared" si="136"/>
        <v>Week 2</v>
      </c>
      <c r="H2537" s="32" t="str">
        <f t="shared" si="137"/>
        <v>March 29 Week 2</v>
      </c>
      <c r="I2537" s="32" t="str">
        <f>CONCATENATE(UPPER(TableAopCalendar[[#This Row],[Month]])," ",TableAopCalendar[[#This Row],[Year]])</f>
        <v>MARCH 29</v>
      </c>
      <c r="J2537" s="7" t="s">
        <v>274</v>
      </c>
      <c r="K2537" s="32" t="str">
        <f>CONCATENATE(TableAopCalendar[[#This Row],[Month for Plan]]," ",TableAopCalendar[[#This Row],[Plan]])</f>
        <v>MARCH 29 PLANNED</v>
      </c>
    </row>
    <row r="2538" spans="1:11" x14ac:dyDescent="0.3">
      <c r="A2538" s="32">
        <f t="shared" si="135"/>
        <v>4</v>
      </c>
      <c r="B2538" s="33">
        <v>47188</v>
      </c>
      <c r="C2538" s="6" t="s">
        <v>273</v>
      </c>
      <c r="D2538" s="34">
        <v>29</v>
      </c>
      <c r="E2538" s="32">
        <f>DAY(TableAopCalendar[[#This Row],[Date]])</f>
        <v>11</v>
      </c>
      <c r="F2538" s="32">
        <f>IF(TableAopCalendar[[#This Row],[Day]]&lt;8,1,IF(TableAopCalendar[[#This Row],[Day]]&lt;15,2,IF(TableAopCalendar[[#This Row],[Day]]&lt;22,3,IF(TableAopCalendar[[#This Row],[Day]]&lt;29,4,IF(TableAopCalendar[[#This Row],[Day]]&lt;32,5)))))</f>
        <v>2</v>
      </c>
      <c r="G2538" s="32" t="str">
        <f t="shared" si="136"/>
        <v>Week 2</v>
      </c>
      <c r="H2538" s="32" t="str">
        <f t="shared" si="137"/>
        <v>March 29 Week 2</v>
      </c>
      <c r="I2538" s="32" t="str">
        <f>CONCATENATE(UPPER(TableAopCalendar[[#This Row],[Month]])," ",TableAopCalendar[[#This Row],[Year]])</f>
        <v>MARCH 29</v>
      </c>
      <c r="J2538" s="7" t="s">
        <v>274</v>
      </c>
      <c r="K2538" s="32" t="str">
        <f>CONCATENATE(TableAopCalendar[[#This Row],[Month for Plan]]," ",TableAopCalendar[[#This Row],[Plan]])</f>
        <v>MARCH 29 PLANNED</v>
      </c>
    </row>
    <row r="2539" spans="1:11" x14ac:dyDescent="0.3">
      <c r="A2539" s="32">
        <f t="shared" si="135"/>
        <v>5</v>
      </c>
      <c r="B2539" s="33">
        <v>47189</v>
      </c>
      <c r="C2539" s="6" t="s">
        <v>273</v>
      </c>
      <c r="D2539" s="34">
        <v>29</v>
      </c>
      <c r="E2539" s="32">
        <f>DAY(TableAopCalendar[[#This Row],[Date]])</f>
        <v>12</v>
      </c>
      <c r="F2539" s="32">
        <f>IF(TableAopCalendar[[#This Row],[Day]]&lt;8,1,IF(TableAopCalendar[[#This Row],[Day]]&lt;15,2,IF(TableAopCalendar[[#This Row],[Day]]&lt;22,3,IF(TableAopCalendar[[#This Row],[Day]]&lt;29,4,IF(TableAopCalendar[[#This Row],[Day]]&lt;32,5)))))</f>
        <v>2</v>
      </c>
      <c r="G2539" s="32" t="str">
        <f t="shared" si="136"/>
        <v>Week 2</v>
      </c>
      <c r="H2539" s="32" t="str">
        <f t="shared" si="137"/>
        <v>March 29 Week 2</v>
      </c>
      <c r="I2539" s="32" t="str">
        <f>CONCATENATE(UPPER(TableAopCalendar[[#This Row],[Month]])," ",TableAopCalendar[[#This Row],[Year]])</f>
        <v>MARCH 29</v>
      </c>
      <c r="J2539" s="7" t="s">
        <v>274</v>
      </c>
      <c r="K2539" s="32" t="str">
        <f>CONCATENATE(TableAopCalendar[[#This Row],[Month for Plan]]," ",TableAopCalendar[[#This Row],[Plan]])</f>
        <v>MARCH 29 PLANNED</v>
      </c>
    </row>
    <row r="2540" spans="1:11" x14ac:dyDescent="0.3">
      <c r="A2540" s="32">
        <f t="shared" si="135"/>
        <v>6</v>
      </c>
      <c r="B2540" s="33">
        <v>47190</v>
      </c>
      <c r="C2540" s="6" t="s">
        <v>273</v>
      </c>
      <c r="D2540" s="34">
        <v>29</v>
      </c>
      <c r="E2540" s="32">
        <f>DAY(TableAopCalendar[[#This Row],[Date]])</f>
        <v>13</v>
      </c>
      <c r="F2540" s="32">
        <f>IF(TableAopCalendar[[#This Row],[Day]]&lt;8,1,IF(TableAopCalendar[[#This Row],[Day]]&lt;15,2,IF(TableAopCalendar[[#This Row],[Day]]&lt;22,3,IF(TableAopCalendar[[#This Row],[Day]]&lt;29,4,IF(TableAopCalendar[[#This Row],[Day]]&lt;32,5)))))</f>
        <v>2</v>
      </c>
      <c r="G2540" s="32" t="str">
        <f t="shared" si="136"/>
        <v>Week 2</v>
      </c>
      <c r="H2540" s="32" t="str">
        <f t="shared" si="137"/>
        <v>March 29 Week 2</v>
      </c>
      <c r="I2540" s="32" t="str">
        <f>CONCATENATE(UPPER(TableAopCalendar[[#This Row],[Month]])," ",TableAopCalendar[[#This Row],[Year]])</f>
        <v>MARCH 29</v>
      </c>
      <c r="J2540" s="7" t="s">
        <v>274</v>
      </c>
      <c r="K2540" s="32" t="str">
        <f>CONCATENATE(TableAopCalendar[[#This Row],[Month for Plan]]," ",TableAopCalendar[[#This Row],[Plan]])</f>
        <v>MARCH 29 PLANNED</v>
      </c>
    </row>
    <row r="2541" spans="1:11" x14ac:dyDescent="0.3">
      <c r="A2541" s="32">
        <f t="shared" si="135"/>
        <v>7</v>
      </c>
      <c r="B2541" s="33">
        <v>47191</v>
      </c>
      <c r="C2541" s="6" t="s">
        <v>273</v>
      </c>
      <c r="D2541" s="34">
        <v>29</v>
      </c>
      <c r="E2541" s="32">
        <f>DAY(TableAopCalendar[[#This Row],[Date]])</f>
        <v>14</v>
      </c>
      <c r="F2541" s="32">
        <f>IF(TableAopCalendar[[#This Row],[Day]]&lt;8,1,IF(TableAopCalendar[[#This Row],[Day]]&lt;15,2,IF(TableAopCalendar[[#This Row],[Day]]&lt;22,3,IF(TableAopCalendar[[#This Row],[Day]]&lt;29,4,IF(TableAopCalendar[[#This Row],[Day]]&lt;32,5)))))</f>
        <v>2</v>
      </c>
      <c r="G2541" s="32" t="str">
        <f t="shared" si="136"/>
        <v>Week 2</v>
      </c>
      <c r="H2541" s="32" t="str">
        <f t="shared" si="137"/>
        <v>March 29 Week 2</v>
      </c>
      <c r="I2541" s="32" t="str">
        <f>CONCATENATE(UPPER(TableAopCalendar[[#This Row],[Month]])," ",TableAopCalendar[[#This Row],[Year]])</f>
        <v>MARCH 29</v>
      </c>
      <c r="J2541" s="7" t="s">
        <v>274</v>
      </c>
      <c r="K2541" s="32" t="str">
        <f>CONCATENATE(TableAopCalendar[[#This Row],[Month for Plan]]," ",TableAopCalendar[[#This Row],[Plan]])</f>
        <v>MARCH 29 PLANNED</v>
      </c>
    </row>
    <row r="2542" spans="1:11" x14ac:dyDescent="0.3">
      <c r="A2542" s="32">
        <f t="shared" si="135"/>
        <v>1</v>
      </c>
      <c r="B2542" s="33">
        <v>47192</v>
      </c>
      <c r="C2542" s="6" t="s">
        <v>273</v>
      </c>
      <c r="D2542" s="34">
        <v>29</v>
      </c>
      <c r="E2542" s="32">
        <f>DAY(TableAopCalendar[[#This Row],[Date]])</f>
        <v>15</v>
      </c>
      <c r="F2542" s="32">
        <f>IF(TableAopCalendar[[#This Row],[Day]]&lt;8,1,IF(TableAopCalendar[[#This Row],[Day]]&lt;15,2,IF(TableAopCalendar[[#This Row],[Day]]&lt;22,3,IF(TableAopCalendar[[#This Row],[Day]]&lt;29,4,IF(TableAopCalendar[[#This Row],[Day]]&lt;32,5)))))</f>
        <v>3</v>
      </c>
      <c r="G2542" s="32" t="str">
        <f t="shared" si="136"/>
        <v>Week 3</v>
      </c>
      <c r="H2542" s="32" t="str">
        <f t="shared" si="137"/>
        <v>March 29 Week 3</v>
      </c>
      <c r="I2542" s="32" t="str">
        <f>CONCATENATE(UPPER(TableAopCalendar[[#This Row],[Month]])," ",TableAopCalendar[[#This Row],[Year]])</f>
        <v>MARCH 29</v>
      </c>
      <c r="J2542" s="7" t="s">
        <v>274</v>
      </c>
      <c r="K2542" s="32" t="str">
        <f>CONCATENATE(TableAopCalendar[[#This Row],[Month for Plan]]," ",TableAopCalendar[[#This Row],[Plan]])</f>
        <v>MARCH 29 PLANNED</v>
      </c>
    </row>
    <row r="2543" spans="1:11" x14ac:dyDescent="0.3">
      <c r="A2543" s="32">
        <f t="shared" si="135"/>
        <v>2</v>
      </c>
      <c r="B2543" s="33">
        <v>47193</v>
      </c>
      <c r="C2543" s="6" t="s">
        <v>273</v>
      </c>
      <c r="D2543" s="34">
        <v>29</v>
      </c>
      <c r="E2543" s="32">
        <f>DAY(TableAopCalendar[[#This Row],[Date]])</f>
        <v>16</v>
      </c>
      <c r="F2543" s="32">
        <f>IF(TableAopCalendar[[#This Row],[Day]]&lt;8,1,IF(TableAopCalendar[[#This Row],[Day]]&lt;15,2,IF(TableAopCalendar[[#This Row],[Day]]&lt;22,3,IF(TableAopCalendar[[#This Row],[Day]]&lt;29,4,IF(TableAopCalendar[[#This Row],[Day]]&lt;32,5)))))</f>
        <v>3</v>
      </c>
      <c r="G2543" s="32" t="str">
        <f t="shared" si="136"/>
        <v>Week 3</v>
      </c>
      <c r="H2543" s="32" t="str">
        <f t="shared" si="137"/>
        <v>March 29 Week 3</v>
      </c>
      <c r="I2543" s="32" t="str">
        <f>CONCATENATE(UPPER(TableAopCalendar[[#This Row],[Month]])," ",TableAopCalendar[[#This Row],[Year]])</f>
        <v>MARCH 29</v>
      </c>
      <c r="J2543" s="7" t="s">
        <v>274</v>
      </c>
      <c r="K2543" s="32" t="str">
        <f>CONCATENATE(TableAopCalendar[[#This Row],[Month for Plan]]," ",TableAopCalendar[[#This Row],[Plan]])</f>
        <v>MARCH 29 PLANNED</v>
      </c>
    </row>
    <row r="2544" spans="1:11" x14ac:dyDescent="0.3">
      <c r="A2544" s="32">
        <f t="shared" si="135"/>
        <v>3</v>
      </c>
      <c r="B2544" s="33">
        <v>47194</v>
      </c>
      <c r="C2544" s="6" t="s">
        <v>273</v>
      </c>
      <c r="D2544" s="34">
        <v>29</v>
      </c>
      <c r="E2544" s="32">
        <f>DAY(TableAopCalendar[[#This Row],[Date]])</f>
        <v>17</v>
      </c>
      <c r="F2544" s="32">
        <f>IF(TableAopCalendar[[#This Row],[Day]]&lt;8,1,IF(TableAopCalendar[[#This Row],[Day]]&lt;15,2,IF(TableAopCalendar[[#This Row],[Day]]&lt;22,3,IF(TableAopCalendar[[#This Row],[Day]]&lt;29,4,IF(TableAopCalendar[[#This Row],[Day]]&lt;32,5)))))</f>
        <v>3</v>
      </c>
      <c r="G2544" s="32" t="str">
        <f t="shared" si="136"/>
        <v>Week 3</v>
      </c>
      <c r="H2544" s="32" t="str">
        <f t="shared" si="137"/>
        <v>March 29 Week 3</v>
      </c>
      <c r="I2544" s="32" t="str">
        <f>CONCATENATE(UPPER(TableAopCalendar[[#This Row],[Month]])," ",TableAopCalendar[[#This Row],[Year]])</f>
        <v>MARCH 29</v>
      </c>
      <c r="J2544" s="7" t="s">
        <v>274</v>
      </c>
      <c r="K2544" s="32" t="str">
        <f>CONCATENATE(TableAopCalendar[[#This Row],[Month for Plan]]," ",TableAopCalendar[[#This Row],[Plan]])</f>
        <v>MARCH 29 PLANNED</v>
      </c>
    </row>
    <row r="2545" spans="1:11" x14ac:dyDescent="0.3">
      <c r="A2545" s="32">
        <f t="shared" si="135"/>
        <v>4</v>
      </c>
      <c r="B2545" s="33">
        <v>47195</v>
      </c>
      <c r="C2545" s="6" t="s">
        <v>273</v>
      </c>
      <c r="D2545" s="34">
        <v>29</v>
      </c>
      <c r="E2545" s="32">
        <f>DAY(TableAopCalendar[[#This Row],[Date]])</f>
        <v>18</v>
      </c>
      <c r="F2545" s="32">
        <f>IF(TableAopCalendar[[#This Row],[Day]]&lt;8,1,IF(TableAopCalendar[[#This Row],[Day]]&lt;15,2,IF(TableAopCalendar[[#This Row],[Day]]&lt;22,3,IF(TableAopCalendar[[#This Row],[Day]]&lt;29,4,IF(TableAopCalendar[[#This Row],[Day]]&lt;32,5)))))</f>
        <v>3</v>
      </c>
      <c r="G2545" s="32" t="str">
        <f t="shared" si="136"/>
        <v>Week 3</v>
      </c>
      <c r="H2545" s="32" t="str">
        <f t="shared" si="137"/>
        <v>March 29 Week 3</v>
      </c>
      <c r="I2545" s="32" t="str">
        <f>CONCATENATE(UPPER(TableAopCalendar[[#This Row],[Month]])," ",TableAopCalendar[[#This Row],[Year]])</f>
        <v>MARCH 29</v>
      </c>
      <c r="J2545" s="7" t="s">
        <v>274</v>
      </c>
      <c r="K2545" s="32" t="str">
        <f>CONCATENATE(TableAopCalendar[[#This Row],[Month for Plan]]," ",TableAopCalendar[[#This Row],[Plan]])</f>
        <v>MARCH 29 PLANNED</v>
      </c>
    </row>
    <row r="2546" spans="1:11" x14ac:dyDescent="0.3">
      <c r="A2546" s="32">
        <f t="shared" si="135"/>
        <v>5</v>
      </c>
      <c r="B2546" s="33">
        <v>47196</v>
      </c>
      <c r="C2546" s="6" t="s">
        <v>273</v>
      </c>
      <c r="D2546" s="34">
        <v>29</v>
      </c>
      <c r="E2546" s="32">
        <f>DAY(TableAopCalendar[[#This Row],[Date]])</f>
        <v>19</v>
      </c>
      <c r="F2546" s="32">
        <f>IF(TableAopCalendar[[#This Row],[Day]]&lt;8,1,IF(TableAopCalendar[[#This Row],[Day]]&lt;15,2,IF(TableAopCalendar[[#This Row],[Day]]&lt;22,3,IF(TableAopCalendar[[#This Row],[Day]]&lt;29,4,IF(TableAopCalendar[[#This Row],[Day]]&lt;32,5)))))</f>
        <v>3</v>
      </c>
      <c r="G2546" s="32" t="str">
        <f t="shared" si="136"/>
        <v>Week 3</v>
      </c>
      <c r="H2546" s="32" t="str">
        <f t="shared" si="137"/>
        <v>March 29 Week 3</v>
      </c>
      <c r="I2546" s="32" t="str">
        <f>CONCATENATE(UPPER(TableAopCalendar[[#This Row],[Month]])," ",TableAopCalendar[[#This Row],[Year]])</f>
        <v>MARCH 29</v>
      </c>
      <c r="J2546" s="7" t="s">
        <v>274</v>
      </c>
      <c r="K2546" s="32" t="str">
        <f>CONCATENATE(TableAopCalendar[[#This Row],[Month for Plan]]," ",TableAopCalendar[[#This Row],[Plan]])</f>
        <v>MARCH 29 PLANNED</v>
      </c>
    </row>
    <row r="2547" spans="1:11" x14ac:dyDescent="0.3">
      <c r="A2547" s="32">
        <f t="shared" si="135"/>
        <v>6</v>
      </c>
      <c r="B2547" s="33">
        <v>47197</v>
      </c>
      <c r="C2547" s="6" t="s">
        <v>273</v>
      </c>
      <c r="D2547" s="34">
        <v>29</v>
      </c>
      <c r="E2547" s="32">
        <f>DAY(TableAopCalendar[[#This Row],[Date]])</f>
        <v>20</v>
      </c>
      <c r="F2547" s="32">
        <f>IF(TableAopCalendar[[#This Row],[Day]]&lt;8,1,IF(TableAopCalendar[[#This Row],[Day]]&lt;15,2,IF(TableAopCalendar[[#This Row],[Day]]&lt;22,3,IF(TableAopCalendar[[#This Row],[Day]]&lt;29,4,IF(TableAopCalendar[[#This Row],[Day]]&lt;32,5)))))</f>
        <v>3</v>
      </c>
      <c r="G2547" s="32" t="str">
        <f t="shared" si="136"/>
        <v>Week 3</v>
      </c>
      <c r="H2547" s="32" t="str">
        <f t="shared" si="137"/>
        <v>March 29 Week 3</v>
      </c>
      <c r="I2547" s="32" t="str">
        <f>CONCATENATE(UPPER(TableAopCalendar[[#This Row],[Month]])," ",TableAopCalendar[[#This Row],[Year]])</f>
        <v>MARCH 29</v>
      </c>
      <c r="J2547" s="7" t="s">
        <v>274</v>
      </c>
      <c r="K2547" s="32" t="str">
        <f>CONCATENATE(TableAopCalendar[[#This Row],[Month for Plan]]," ",TableAopCalendar[[#This Row],[Plan]])</f>
        <v>MARCH 29 PLANNED</v>
      </c>
    </row>
    <row r="2548" spans="1:11" x14ac:dyDescent="0.3">
      <c r="A2548" s="32">
        <f t="shared" si="135"/>
        <v>7</v>
      </c>
      <c r="B2548" s="33">
        <v>47198</v>
      </c>
      <c r="C2548" s="6" t="s">
        <v>273</v>
      </c>
      <c r="D2548" s="34">
        <v>29</v>
      </c>
      <c r="E2548" s="32">
        <f>DAY(TableAopCalendar[[#This Row],[Date]])</f>
        <v>21</v>
      </c>
      <c r="F2548" s="32">
        <f>IF(TableAopCalendar[[#This Row],[Day]]&lt;8,1,IF(TableAopCalendar[[#This Row],[Day]]&lt;15,2,IF(TableAopCalendar[[#This Row],[Day]]&lt;22,3,IF(TableAopCalendar[[#This Row],[Day]]&lt;29,4,IF(TableAopCalendar[[#This Row],[Day]]&lt;32,5)))))</f>
        <v>3</v>
      </c>
      <c r="G2548" s="32" t="str">
        <f t="shared" si="136"/>
        <v>Week 3</v>
      </c>
      <c r="H2548" s="32" t="str">
        <f t="shared" si="137"/>
        <v>March 29 Week 3</v>
      </c>
      <c r="I2548" s="32" t="str">
        <f>CONCATENATE(UPPER(TableAopCalendar[[#This Row],[Month]])," ",TableAopCalendar[[#This Row],[Year]])</f>
        <v>MARCH 29</v>
      </c>
      <c r="J2548" s="7" t="s">
        <v>274</v>
      </c>
      <c r="K2548" s="32" t="str">
        <f>CONCATENATE(TableAopCalendar[[#This Row],[Month for Plan]]," ",TableAopCalendar[[#This Row],[Plan]])</f>
        <v>MARCH 29 PLANNED</v>
      </c>
    </row>
    <row r="2549" spans="1:11" x14ac:dyDescent="0.3">
      <c r="A2549" s="32">
        <f t="shared" si="135"/>
        <v>1</v>
      </c>
      <c r="B2549" s="33">
        <v>47199</v>
      </c>
      <c r="C2549" s="6" t="s">
        <v>273</v>
      </c>
      <c r="D2549" s="34">
        <v>29</v>
      </c>
      <c r="E2549" s="32">
        <f>DAY(TableAopCalendar[[#This Row],[Date]])</f>
        <v>22</v>
      </c>
      <c r="F2549" s="32">
        <f>IF(TableAopCalendar[[#This Row],[Day]]&lt;8,1,IF(TableAopCalendar[[#This Row],[Day]]&lt;15,2,IF(TableAopCalendar[[#This Row],[Day]]&lt;22,3,IF(TableAopCalendar[[#This Row],[Day]]&lt;29,4,IF(TableAopCalendar[[#This Row],[Day]]&lt;32,5)))))</f>
        <v>4</v>
      </c>
      <c r="G2549" s="32" t="str">
        <f t="shared" si="136"/>
        <v>Week 4</v>
      </c>
      <c r="H2549" s="32" t="str">
        <f t="shared" si="137"/>
        <v>March 29 Week 4</v>
      </c>
      <c r="I2549" s="32" t="str">
        <f>CONCATENATE(UPPER(TableAopCalendar[[#This Row],[Month]])," ",TableAopCalendar[[#This Row],[Year]])</f>
        <v>MARCH 29</v>
      </c>
      <c r="J2549" s="7" t="s">
        <v>274</v>
      </c>
      <c r="K2549" s="32" t="str">
        <f>CONCATENATE(TableAopCalendar[[#This Row],[Month for Plan]]," ",TableAopCalendar[[#This Row],[Plan]])</f>
        <v>MARCH 29 PLANNED</v>
      </c>
    </row>
    <row r="2550" spans="1:11" x14ac:dyDescent="0.3">
      <c r="A2550" s="32">
        <f t="shared" si="135"/>
        <v>2</v>
      </c>
      <c r="B2550" s="33">
        <v>47200</v>
      </c>
      <c r="C2550" s="6" t="s">
        <v>273</v>
      </c>
      <c r="D2550" s="34">
        <v>29</v>
      </c>
      <c r="E2550" s="32">
        <f>DAY(TableAopCalendar[[#This Row],[Date]])</f>
        <v>23</v>
      </c>
      <c r="F2550" s="32">
        <f>IF(TableAopCalendar[[#This Row],[Day]]&lt;8,1,IF(TableAopCalendar[[#This Row],[Day]]&lt;15,2,IF(TableAopCalendar[[#This Row],[Day]]&lt;22,3,IF(TableAopCalendar[[#This Row],[Day]]&lt;29,4,IF(TableAopCalendar[[#This Row],[Day]]&lt;32,5)))))</f>
        <v>4</v>
      </c>
      <c r="G2550" s="32" t="str">
        <f t="shared" si="136"/>
        <v>Week 4</v>
      </c>
      <c r="H2550" s="32" t="str">
        <f t="shared" si="137"/>
        <v>March 29 Week 4</v>
      </c>
      <c r="I2550" s="32" t="str">
        <f>CONCATENATE(UPPER(TableAopCalendar[[#This Row],[Month]])," ",TableAopCalendar[[#This Row],[Year]])</f>
        <v>MARCH 29</v>
      </c>
      <c r="J2550" s="7" t="s">
        <v>274</v>
      </c>
      <c r="K2550" s="32" t="str">
        <f>CONCATENATE(TableAopCalendar[[#This Row],[Month for Plan]]," ",TableAopCalendar[[#This Row],[Plan]])</f>
        <v>MARCH 29 PLANNED</v>
      </c>
    </row>
    <row r="2551" spans="1:11" x14ac:dyDescent="0.3">
      <c r="A2551" s="32">
        <f t="shared" si="135"/>
        <v>3</v>
      </c>
      <c r="B2551" s="33">
        <v>47201</v>
      </c>
      <c r="C2551" s="6" t="s">
        <v>273</v>
      </c>
      <c r="D2551" s="34">
        <v>29</v>
      </c>
      <c r="E2551" s="32">
        <f>DAY(TableAopCalendar[[#This Row],[Date]])</f>
        <v>24</v>
      </c>
      <c r="F2551" s="32">
        <f>IF(TableAopCalendar[[#This Row],[Day]]&lt;8,1,IF(TableAopCalendar[[#This Row],[Day]]&lt;15,2,IF(TableAopCalendar[[#This Row],[Day]]&lt;22,3,IF(TableAopCalendar[[#This Row],[Day]]&lt;29,4,IF(TableAopCalendar[[#This Row],[Day]]&lt;32,5)))))</f>
        <v>4</v>
      </c>
      <c r="G2551" s="32" t="str">
        <f t="shared" si="136"/>
        <v>Week 4</v>
      </c>
      <c r="H2551" s="32" t="str">
        <f t="shared" si="137"/>
        <v>March 29 Week 4</v>
      </c>
      <c r="I2551" s="32" t="str">
        <f>CONCATENATE(UPPER(TableAopCalendar[[#This Row],[Month]])," ",TableAopCalendar[[#This Row],[Year]])</f>
        <v>MARCH 29</v>
      </c>
      <c r="J2551" s="7" t="s">
        <v>274</v>
      </c>
      <c r="K2551" s="32" t="str">
        <f>CONCATENATE(TableAopCalendar[[#This Row],[Month for Plan]]," ",TableAopCalendar[[#This Row],[Plan]])</f>
        <v>MARCH 29 PLANNED</v>
      </c>
    </row>
    <row r="2552" spans="1:11" x14ac:dyDescent="0.3">
      <c r="A2552" s="32">
        <f t="shared" si="135"/>
        <v>4</v>
      </c>
      <c r="B2552" s="33">
        <v>47202</v>
      </c>
      <c r="C2552" s="6" t="s">
        <v>273</v>
      </c>
      <c r="D2552" s="34">
        <v>29</v>
      </c>
      <c r="E2552" s="32">
        <f>DAY(TableAopCalendar[[#This Row],[Date]])</f>
        <v>25</v>
      </c>
      <c r="F2552" s="32">
        <f>IF(TableAopCalendar[[#This Row],[Day]]&lt;8,1,IF(TableAopCalendar[[#This Row],[Day]]&lt;15,2,IF(TableAopCalendar[[#This Row],[Day]]&lt;22,3,IF(TableAopCalendar[[#This Row],[Day]]&lt;29,4,IF(TableAopCalendar[[#This Row],[Day]]&lt;32,5)))))</f>
        <v>4</v>
      </c>
      <c r="G2552" s="32" t="str">
        <f t="shared" si="136"/>
        <v>Week 4</v>
      </c>
      <c r="H2552" s="32" t="str">
        <f t="shared" si="137"/>
        <v>March 29 Week 4</v>
      </c>
      <c r="I2552" s="32" t="str">
        <f>CONCATENATE(UPPER(TableAopCalendar[[#This Row],[Month]])," ",TableAopCalendar[[#This Row],[Year]])</f>
        <v>MARCH 29</v>
      </c>
      <c r="J2552" s="7" t="s">
        <v>274</v>
      </c>
      <c r="K2552" s="32" t="str">
        <f>CONCATENATE(TableAopCalendar[[#This Row],[Month for Plan]]," ",TableAopCalendar[[#This Row],[Plan]])</f>
        <v>MARCH 29 PLANNED</v>
      </c>
    </row>
    <row r="2553" spans="1:11" x14ac:dyDescent="0.3">
      <c r="A2553" s="32">
        <f t="shared" si="135"/>
        <v>5</v>
      </c>
      <c r="B2553" s="33">
        <v>47203</v>
      </c>
      <c r="C2553" s="6" t="s">
        <v>273</v>
      </c>
      <c r="D2553" s="34">
        <v>29</v>
      </c>
      <c r="E2553" s="32">
        <f>DAY(TableAopCalendar[[#This Row],[Date]])</f>
        <v>26</v>
      </c>
      <c r="F2553" s="32">
        <f>IF(TableAopCalendar[[#This Row],[Day]]&lt;8,1,IF(TableAopCalendar[[#This Row],[Day]]&lt;15,2,IF(TableAopCalendar[[#This Row],[Day]]&lt;22,3,IF(TableAopCalendar[[#This Row],[Day]]&lt;29,4,IF(TableAopCalendar[[#This Row],[Day]]&lt;32,5)))))</f>
        <v>4</v>
      </c>
      <c r="G2553" s="32" t="str">
        <f t="shared" si="136"/>
        <v>Week 4</v>
      </c>
      <c r="H2553" s="32" t="str">
        <f t="shared" si="137"/>
        <v>March 29 Week 4</v>
      </c>
      <c r="I2553" s="32" t="str">
        <f>CONCATENATE(UPPER(TableAopCalendar[[#This Row],[Month]])," ",TableAopCalendar[[#This Row],[Year]])</f>
        <v>MARCH 29</v>
      </c>
      <c r="J2553" s="7" t="s">
        <v>274</v>
      </c>
      <c r="K2553" s="32" t="str">
        <f>CONCATENATE(TableAopCalendar[[#This Row],[Month for Plan]]," ",TableAopCalendar[[#This Row],[Plan]])</f>
        <v>MARCH 29 PLANNED</v>
      </c>
    </row>
    <row r="2554" spans="1:11" x14ac:dyDescent="0.3">
      <c r="A2554" s="32">
        <f t="shared" si="135"/>
        <v>6</v>
      </c>
      <c r="B2554" s="33">
        <v>47204</v>
      </c>
      <c r="C2554" s="6" t="s">
        <v>273</v>
      </c>
      <c r="D2554" s="34">
        <v>29</v>
      </c>
      <c r="E2554" s="32">
        <f>DAY(TableAopCalendar[[#This Row],[Date]])</f>
        <v>27</v>
      </c>
      <c r="F2554" s="32">
        <f>IF(TableAopCalendar[[#This Row],[Day]]&lt;8,1,IF(TableAopCalendar[[#This Row],[Day]]&lt;15,2,IF(TableAopCalendar[[#This Row],[Day]]&lt;22,3,IF(TableAopCalendar[[#This Row],[Day]]&lt;29,4,IF(TableAopCalendar[[#This Row],[Day]]&lt;32,5)))))</f>
        <v>4</v>
      </c>
      <c r="G2554" s="32" t="str">
        <f t="shared" si="136"/>
        <v>Week 4</v>
      </c>
      <c r="H2554" s="32" t="str">
        <f t="shared" si="137"/>
        <v>March 29 Week 4</v>
      </c>
      <c r="I2554" s="32" t="str">
        <f>CONCATENATE(UPPER(TableAopCalendar[[#This Row],[Month]])," ",TableAopCalendar[[#This Row],[Year]])</f>
        <v>MARCH 29</v>
      </c>
      <c r="J2554" s="7" t="s">
        <v>274</v>
      </c>
      <c r="K2554" s="32" t="str">
        <f>CONCATENATE(TableAopCalendar[[#This Row],[Month for Plan]]," ",TableAopCalendar[[#This Row],[Plan]])</f>
        <v>MARCH 29 PLANNED</v>
      </c>
    </row>
    <row r="2555" spans="1:11" x14ac:dyDescent="0.3">
      <c r="A2555" s="32">
        <f t="shared" si="135"/>
        <v>7</v>
      </c>
      <c r="B2555" s="33">
        <v>47205</v>
      </c>
      <c r="C2555" s="6" t="s">
        <v>273</v>
      </c>
      <c r="D2555" s="34">
        <v>29</v>
      </c>
      <c r="E2555" s="32">
        <f>DAY(TableAopCalendar[[#This Row],[Date]])</f>
        <v>28</v>
      </c>
      <c r="F2555" s="32">
        <f>IF(TableAopCalendar[[#This Row],[Day]]&lt;8,1,IF(TableAopCalendar[[#This Row],[Day]]&lt;15,2,IF(TableAopCalendar[[#This Row],[Day]]&lt;22,3,IF(TableAopCalendar[[#This Row],[Day]]&lt;29,4,IF(TableAopCalendar[[#This Row],[Day]]&lt;32,5)))))</f>
        <v>4</v>
      </c>
      <c r="G2555" s="32" t="str">
        <f t="shared" si="136"/>
        <v>Week 4</v>
      </c>
      <c r="H2555" s="32" t="str">
        <f t="shared" si="137"/>
        <v>March 29 Week 4</v>
      </c>
      <c r="I2555" s="32" t="str">
        <f>CONCATENATE(UPPER(TableAopCalendar[[#This Row],[Month]])," ",TableAopCalendar[[#This Row],[Year]])</f>
        <v>MARCH 29</v>
      </c>
      <c r="J2555" s="7" t="s">
        <v>274</v>
      </c>
      <c r="K2555" s="32" t="str">
        <f>CONCATENATE(TableAopCalendar[[#This Row],[Month for Plan]]," ",TableAopCalendar[[#This Row],[Plan]])</f>
        <v>MARCH 29 PLANNED</v>
      </c>
    </row>
    <row r="2556" spans="1:11" x14ac:dyDescent="0.3">
      <c r="A2556" s="32">
        <f t="shared" si="135"/>
        <v>1</v>
      </c>
      <c r="B2556" s="33">
        <v>47206</v>
      </c>
      <c r="C2556" s="6" t="s">
        <v>273</v>
      </c>
      <c r="D2556" s="34">
        <v>29</v>
      </c>
      <c r="E2556" s="32">
        <f>DAY(TableAopCalendar[[#This Row],[Date]])</f>
        <v>29</v>
      </c>
      <c r="F2556" s="32">
        <f>IF(TableAopCalendar[[#This Row],[Day]]&lt;8,1,IF(TableAopCalendar[[#This Row],[Day]]&lt;15,2,IF(TableAopCalendar[[#This Row],[Day]]&lt;22,3,IF(TableAopCalendar[[#This Row],[Day]]&lt;29,4,IF(TableAopCalendar[[#This Row],[Day]]&lt;32,5)))))</f>
        <v>5</v>
      </c>
      <c r="G2556" s="32" t="str">
        <f t="shared" si="136"/>
        <v>Week 5</v>
      </c>
      <c r="H2556" s="32" t="str">
        <f t="shared" si="137"/>
        <v>March 29 Week 5</v>
      </c>
      <c r="I2556" s="32" t="str">
        <f>CONCATENATE(UPPER(TableAopCalendar[[#This Row],[Month]])," ",TableAopCalendar[[#This Row],[Year]])</f>
        <v>MARCH 29</v>
      </c>
      <c r="J2556" s="7" t="s">
        <v>274</v>
      </c>
      <c r="K2556" s="32" t="str">
        <f>CONCATENATE(TableAopCalendar[[#This Row],[Month for Plan]]," ",TableAopCalendar[[#This Row],[Plan]])</f>
        <v>MARCH 29 PLANNED</v>
      </c>
    </row>
    <row r="2557" spans="1:11" x14ac:dyDescent="0.3">
      <c r="A2557" s="32">
        <f t="shared" si="135"/>
        <v>2</v>
      </c>
      <c r="B2557" s="33">
        <v>47207</v>
      </c>
      <c r="C2557" s="6" t="s">
        <v>273</v>
      </c>
      <c r="D2557" s="34">
        <v>29</v>
      </c>
      <c r="E2557" s="32">
        <f>DAY(TableAopCalendar[[#This Row],[Date]])</f>
        <v>30</v>
      </c>
      <c r="F2557" s="32">
        <f>IF(TableAopCalendar[[#This Row],[Day]]&lt;8,1,IF(TableAopCalendar[[#This Row],[Day]]&lt;15,2,IF(TableAopCalendar[[#This Row],[Day]]&lt;22,3,IF(TableAopCalendar[[#This Row],[Day]]&lt;29,4,IF(TableAopCalendar[[#This Row],[Day]]&lt;32,5)))))</f>
        <v>5</v>
      </c>
      <c r="G2557" s="32" t="str">
        <f t="shared" si="136"/>
        <v>Week 5</v>
      </c>
      <c r="H2557" s="32" t="str">
        <f t="shared" si="137"/>
        <v>March 29 Week 5</v>
      </c>
      <c r="I2557" s="32" t="str">
        <f>CONCATENATE(UPPER(TableAopCalendar[[#This Row],[Month]])," ",TableAopCalendar[[#This Row],[Year]])</f>
        <v>MARCH 29</v>
      </c>
      <c r="J2557" s="7" t="s">
        <v>274</v>
      </c>
      <c r="K2557" s="32" t="str">
        <f>CONCATENATE(TableAopCalendar[[#This Row],[Month for Plan]]," ",TableAopCalendar[[#This Row],[Plan]])</f>
        <v>MARCH 29 PLANNED</v>
      </c>
    </row>
    <row r="2558" spans="1:11" x14ac:dyDescent="0.3">
      <c r="A2558" s="32">
        <f t="shared" si="135"/>
        <v>3</v>
      </c>
      <c r="B2558" s="33">
        <v>47208</v>
      </c>
      <c r="C2558" s="6" t="s">
        <v>273</v>
      </c>
      <c r="D2558" s="34">
        <v>29</v>
      </c>
      <c r="E2558" s="32">
        <f>DAY(TableAopCalendar[[#This Row],[Date]])</f>
        <v>31</v>
      </c>
      <c r="F2558" s="32">
        <f>IF(TableAopCalendar[[#This Row],[Day]]&lt;8,1,IF(TableAopCalendar[[#This Row],[Day]]&lt;15,2,IF(TableAopCalendar[[#This Row],[Day]]&lt;22,3,IF(TableAopCalendar[[#This Row],[Day]]&lt;29,4,IF(TableAopCalendar[[#This Row],[Day]]&lt;32,5)))))</f>
        <v>5</v>
      </c>
      <c r="G2558" s="32" t="str">
        <f t="shared" si="136"/>
        <v>Week 5</v>
      </c>
      <c r="H2558" s="32" t="str">
        <f t="shared" si="137"/>
        <v>March 29 Week 5</v>
      </c>
      <c r="I2558" s="32" t="str">
        <f>CONCATENATE(UPPER(TableAopCalendar[[#This Row],[Month]])," ",TableAopCalendar[[#This Row],[Year]])</f>
        <v>MARCH 29</v>
      </c>
      <c r="J2558" s="7" t="s">
        <v>274</v>
      </c>
      <c r="K2558" s="32" t="str">
        <f>CONCATENATE(TableAopCalendar[[#This Row],[Month for Plan]]," ",TableAopCalendar[[#This Row],[Plan]])</f>
        <v>MARCH 29 PLANNED</v>
      </c>
    </row>
    <row r="2559" spans="1:11" x14ac:dyDescent="0.3">
      <c r="A2559" s="32">
        <f t="shared" si="135"/>
        <v>1</v>
      </c>
      <c r="B2559" s="33">
        <v>47209</v>
      </c>
      <c r="C2559" s="6" t="s">
        <v>264</v>
      </c>
      <c r="D2559" s="34">
        <v>29</v>
      </c>
      <c r="E2559" s="32">
        <f>DAY(TableAopCalendar[[#This Row],[Date]])</f>
        <v>1</v>
      </c>
      <c r="F2559" s="32">
        <f>IF(TableAopCalendar[[#This Row],[Day]]&lt;8,1,IF(TableAopCalendar[[#This Row],[Day]]&lt;15,2,IF(TableAopCalendar[[#This Row],[Day]]&lt;22,3,IF(TableAopCalendar[[#This Row],[Day]]&lt;29,4,IF(TableAopCalendar[[#This Row],[Day]]&lt;32,5)))))</f>
        <v>1</v>
      </c>
      <c r="G2559" s="32" t="str">
        <f t="shared" si="136"/>
        <v>Week 1</v>
      </c>
      <c r="H2559" s="32" t="str">
        <f t="shared" si="137"/>
        <v>April 29 Week 1</v>
      </c>
      <c r="I2559" s="32" t="str">
        <f>CONCATENATE(UPPER(TableAopCalendar[[#This Row],[Month]])," ",TableAopCalendar[[#This Row],[Year]])</f>
        <v>APRIL 29</v>
      </c>
      <c r="J2559" s="7" t="s">
        <v>274</v>
      </c>
      <c r="K2559" s="32" t="str">
        <f>CONCATENATE(TableAopCalendar[[#This Row],[Month for Plan]]," ",TableAopCalendar[[#This Row],[Plan]])</f>
        <v>APRIL 29 PLANNED</v>
      </c>
    </row>
    <row r="2560" spans="1:11" x14ac:dyDescent="0.3">
      <c r="A2560" s="32">
        <f t="shared" si="135"/>
        <v>2</v>
      </c>
      <c r="B2560" s="33">
        <v>47210</v>
      </c>
      <c r="C2560" s="6" t="s">
        <v>264</v>
      </c>
      <c r="D2560" s="34">
        <v>29</v>
      </c>
      <c r="E2560" s="32">
        <f>DAY(TableAopCalendar[[#This Row],[Date]])</f>
        <v>2</v>
      </c>
      <c r="F2560" s="32">
        <f>IF(TableAopCalendar[[#This Row],[Day]]&lt;8,1,IF(TableAopCalendar[[#This Row],[Day]]&lt;15,2,IF(TableAopCalendar[[#This Row],[Day]]&lt;22,3,IF(TableAopCalendar[[#This Row],[Day]]&lt;29,4,IF(TableAopCalendar[[#This Row],[Day]]&lt;32,5)))))</f>
        <v>1</v>
      </c>
      <c r="G2560" s="32" t="str">
        <f t="shared" si="136"/>
        <v>Week 1</v>
      </c>
      <c r="H2560" s="32" t="str">
        <f t="shared" si="137"/>
        <v>April 29 Week 1</v>
      </c>
      <c r="I2560" s="32" t="str">
        <f>CONCATENATE(UPPER(TableAopCalendar[[#This Row],[Month]])," ",TableAopCalendar[[#This Row],[Year]])</f>
        <v>APRIL 29</v>
      </c>
      <c r="J2560" s="7" t="s">
        <v>274</v>
      </c>
      <c r="K2560" s="32" t="str">
        <f>CONCATENATE(TableAopCalendar[[#This Row],[Month for Plan]]," ",TableAopCalendar[[#This Row],[Plan]])</f>
        <v>APRIL 29 PLANNED</v>
      </c>
    </row>
    <row r="2561" spans="1:11" x14ac:dyDescent="0.3">
      <c r="A2561" s="32">
        <f t="shared" si="135"/>
        <v>3</v>
      </c>
      <c r="B2561" s="33">
        <v>47211</v>
      </c>
      <c r="C2561" s="6" t="s">
        <v>264</v>
      </c>
      <c r="D2561" s="34">
        <v>29</v>
      </c>
      <c r="E2561" s="32">
        <f>DAY(TableAopCalendar[[#This Row],[Date]])</f>
        <v>3</v>
      </c>
      <c r="F2561" s="32">
        <f>IF(TableAopCalendar[[#This Row],[Day]]&lt;8,1,IF(TableAopCalendar[[#This Row],[Day]]&lt;15,2,IF(TableAopCalendar[[#This Row],[Day]]&lt;22,3,IF(TableAopCalendar[[#This Row],[Day]]&lt;29,4,IF(TableAopCalendar[[#This Row],[Day]]&lt;32,5)))))</f>
        <v>1</v>
      </c>
      <c r="G2561" s="32" t="str">
        <f t="shared" si="136"/>
        <v>Week 1</v>
      </c>
      <c r="H2561" s="32" t="str">
        <f t="shared" si="137"/>
        <v>April 29 Week 1</v>
      </c>
      <c r="I2561" s="32" t="str">
        <f>CONCATENATE(UPPER(TableAopCalendar[[#This Row],[Month]])," ",TableAopCalendar[[#This Row],[Year]])</f>
        <v>APRIL 29</v>
      </c>
      <c r="J2561" s="7" t="s">
        <v>274</v>
      </c>
      <c r="K2561" s="32" t="str">
        <f>CONCATENATE(TableAopCalendar[[#This Row],[Month for Plan]]," ",TableAopCalendar[[#This Row],[Plan]])</f>
        <v>APRIL 29 PLANNED</v>
      </c>
    </row>
    <row r="2562" spans="1:11" x14ac:dyDescent="0.3">
      <c r="A2562" s="32">
        <f t="shared" si="135"/>
        <v>4</v>
      </c>
      <c r="B2562" s="33">
        <v>47212</v>
      </c>
      <c r="C2562" s="6" t="s">
        <v>264</v>
      </c>
      <c r="D2562" s="34">
        <v>29</v>
      </c>
      <c r="E2562" s="32">
        <f>DAY(TableAopCalendar[[#This Row],[Date]])</f>
        <v>4</v>
      </c>
      <c r="F2562" s="32">
        <f>IF(TableAopCalendar[[#This Row],[Day]]&lt;8,1,IF(TableAopCalendar[[#This Row],[Day]]&lt;15,2,IF(TableAopCalendar[[#This Row],[Day]]&lt;22,3,IF(TableAopCalendar[[#This Row],[Day]]&lt;29,4,IF(TableAopCalendar[[#This Row],[Day]]&lt;32,5)))))</f>
        <v>1</v>
      </c>
      <c r="G2562" s="32" t="str">
        <f t="shared" si="136"/>
        <v>Week 1</v>
      </c>
      <c r="H2562" s="32" t="str">
        <f t="shared" si="137"/>
        <v>April 29 Week 1</v>
      </c>
      <c r="I2562" s="32" t="str">
        <f>CONCATENATE(UPPER(TableAopCalendar[[#This Row],[Month]])," ",TableAopCalendar[[#This Row],[Year]])</f>
        <v>APRIL 29</v>
      </c>
      <c r="J2562" s="7" t="s">
        <v>274</v>
      </c>
      <c r="K2562" s="32" t="str">
        <f>CONCATENATE(TableAopCalendar[[#This Row],[Month for Plan]]," ",TableAopCalendar[[#This Row],[Plan]])</f>
        <v>APRIL 29 PLANNED</v>
      </c>
    </row>
    <row r="2563" spans="1:11" x14ac:dyDescent="0.3">
      <c r="A2563" s="32">
        <f t="shared" si="135"/>
        <v>5</v>
      </c>
      <c r="B2563" s="33">
        <v>47213</v>
      </c>
      <c r="C2563" s="6" t="s">
        <v>264</v>
      </c>
      <c r="D2563" s="34">
        <v>29</v>
      </c>
      <c r="E2563" s="32">
        <f>DAY(TableAopCalendar[[#This Row],[Date]])</f>
        <v>5</v>
      </c>
      <c r="F2563" s="32">
        <f>IF(TableAopCalendar[[#This Row],[Day]]&lt;8,1,IF(TableAopCalendar[[#This Row],[Day]]&lt;15,2,IF(TableAopCalendar[[#This Row],[Day]]&lt;22,3,IF(TableAopCalendar[[#This Row],[Day]]&lt;29,4,IF(TableAopCalendar[[#This Row],[Day]]&lt;32,5)))))</f>
        <v>1</v>
      </c>
      <c r="G2563" s="32" t="str">
        <f t="shared" si="136"/>
        <v>Week 1</v>
      </c>
      <c r="H2563" s="32" t="str">
        <f t="shared" si="137"/>
        <v>April 29 Week 1</v>
      </c>
      <c r="I2563" s="32" t="str">
        <f>CONCATENATE(UPPER(TableAopCalendar[[#This Row],[Month]])," ",TableAopCalendar[[#This Row],[Year]])</f>
        <v>APRIL 29</v>
      </c>
      <c r="J2563" s="7" t="s">
        <v>274</v>
      </c>
      <c r="K2563" s="32" t="str">
        <f>CONCATENATE(TableAopCalendar[[#This Row],[Month for Plan]]," ",TableAopCalendar[[#This Row],[Plan]])</f>
        <v>APRIL 29 PLANNED</v>
      </c>
    </row>
    <row r="2564" spans="1:11" x14ac:dyDescent="0.3">
      <c r="A2564" s="32">
        <f t="shared" si="135"/>
        <v>6</v>
      </c>
      <c r="B2564" s="33">
        <v>47214</v>
      </c>
      <c r="C2564" s="6" t="s">
        <v>264</v>
      </c>
      <c r="D2564" s="34">
        <v>29</v>
      </c>
      <c r="E2564" s="32">
        <f>DAY(TableAopCalendar[[#This Row],[Date]])</f>
        <v>6</v>
      </c>
      <c r="F2564" s="32">
        <f>IF(TableAopCalendar[[#This Row],[Day]]&lt;8,1,IF(TableAopCalendar[[#This Row],[Day]]&lt;15,2,IF(TableAopCalendar[[#This Row],[Day]]&lt;22,3,IF(TableAopCalendar[[#This Row],[Day]]&lt;29,4,IF(TableAopCalendar[[#This Row],[Day]]&lt;32,5)))))</f>
        <v>1</v>
      </c>
      <c r="G2564" s="32" t="str">
        <f t="shared" si="136"/>
        <v>Week 1</v>
      </c>
      <c r="H2564" s="32" t="str">
        <f t="shared" si="137"/>
        <v>April 29 Week 1</v>
      </c>
      <c r="I2564" s="32" t="str">
        <f>CONCATENATE(UPPER(TableAopCalendar[[#This Row],[Month]])," ",TableAopCalendar[[#This Row],[Year]])</f>
        <v>APRIL 29</v>
      </c>
      <c r="J2564" s="7" t="s">
        <v>274</v>
      </c>
      <c r="K2564" s="32" t="str">
        <f>CONCATENATE(TableAopCalendar[[#This Row],[Month for Plan]]," ",TableAopCalendar[[#This Row],[Plan]])</f>
        <v>APRIL 29 PLANNED</v>
      </c>
    </row>
    <row r="2565" spans="1:11" x14ac:dyDescent="0.3">
      <c r="A2565" s="32">
        <f t="shared" si="135"/>
        <v>7</v>
      </c>
      <c r="B2565" s="33">
        <v>47215</v>
      </c>
      <c r="C2565" s="6" t="s">
        <v>264</v>
      </c>
      <c r="D2565" s="34">
        <v>29</v>
      </c>
      <c r="E2565" s="32">
        <f>DAY(TableAopCalendar[[#This Row],[Date]])</f>
        <v>7</v>
      </c>
      <c r="F2565" s="32">
        <f>IF(TableAopCalendar[[#This Row],[Day]]&lt;8,1,IF(TableAopCalendar[[#This Row],[Day]]&lt;15,2,IF(TableAopCalendar[[#This Row],[Day]]&lt;22,3,IF(TableAopCalendar[[#This Row],[Day]]&lt;29,4,IF(TableAopCalendar[[#This Row],[Day]]&lt;32,5)))))</f>
        <v>1</v>
      </c>
      <c r="G2565" s="32" t="str">
        <f t="shared" si="136"/>
        <v>Week 1</v>
      </c>
      <c r="H2565" s="32" t="str">
        <f t="shared" si="137"/>
        <v>April 29 Week 1</v>
      </c>
      <c r="I2565" s="32" t="str">
        <f>CONCATENATE(UPPER(TableAopCalendar[[#This Row],[Month]])," ",TableAopCalendar[[#This Row],[Year]])</f>
        <v>APRIL 29</v>
      </c>
      <c r="J2565" s="7" t="s">
        <v>274</v>
      </c>
      <c r="K2565" s="32" t="str">
        <f>CONCATENATE(TableAopCalendar[[#This Row],[Month for Plan]]," ",TableAopCalendar[[#This Row],[Plan]])</f>
        <v>APRIL 29 PLANNED</v>
      </c>
    </row>
    <row r="2566" spans="1:11" x14ac:dyDescent="0.3">
      <c r="A2566" s="32">
        <f t="shared" si="135"/>
        <v>1</v>
      </c>
      <c r="B2566" s="33">
        <v>47216</v>
      </c>
      <c r="C2566" s="6" t="s">
        <v>264</v>
      </c>
      <c r="D2566" s="34">
        <v>29</v>
      </c>
      <c r="E2566" s="32">
        <f>DAY(TableAopCalendar[[#This Row],[Date]])</f>
        <v>8</v>
      </c>
      <c r="F2566" s="32">
        <f>IF(TableAopCalendar[[#This Row],[Day]]&lt;8,1,IF(TableAopCalendar[[#This Row],[Day]]&lt;15,2,IF(TableAopCalendar[[#This Row],[Day]]&lt;22,3,IF(TableAopCalendar[[#This Row],[Day]]&lt;29,4,IF(TableAopCalendar[[#This Row],[Day]]&lt;32,5)))))</f>
        <v>2</v>
      </c>
      <c r="G2566" s="32" t="str">
        <f t="shared" si="136"/>
        <v>Week 2</v>
      </c>
      <c r="H2566" s="32" t="str">
        <f t="shared" si="137"/>
        <v>April 29 Week 2</v>
      </c>
      <c r="I2566" s="32" t="str">
        <f>CONCATENATE(UPPER(TableAopCalendar[[#This Row],[Month]])," ",TableAopCalendar[[#This Row],[Year]])</f>
        <v>APRIL 29</v>
      </c>
      <c r="J2566" s="7" t="s">
        <v>274</v>
      </c>
      <c r="K2566" s="32" t="str">
        <f>CONCATENATE(TableAopCalendar[[#This Row],[Month for Plan]]," ",TableAopCalendar[[#This Row],[Plan]])</f>
        <v>APRIL 29 PLANNED</v>
      </c>
    </row>
    <row r="2567" spans="1:11" x14ac:dyDescent="0.3">
      <c r="A2567" s="32">
        <f t="shared" si="135"/>
        <v>2</v>
      </c>
      <c r="B2567" s="33">
        <v>47217</v>
      </c>
      <c r="C2567" s="6" t="s">
        <v>264</v>
      </c>
      <c r="D2567" s="34">
        <v>29</v>
      </c>
      <c r="E2567" s="32">
        <f>DAY(TableAopCalendar[[#This Row],[Date]])</f>
        <v>9</v>
      </c>
      <c r="F2567" s="32">
        <f>IF(TableAopCalendar[[#This Row],[Day]]&lt;8,1,IF(TableAopCalendar[[#This Row],[Day]]&lt;15,2,IF(TableAopCalendar[[#This Row],[Day]]&lt;22,3,IF(TableAopCalendar[[#This Row],[Day]]&lt;29,4,IF(TableAopCalendar[[#This Row],[Day]]&lt;32,5)))))</f>
        <v>2</v>
      </c>
      <c r="G2567" s="32" t="str">
        <f t="shared" si="136"/>
        <v>Week 2</v>
      </c>
      <c r="H2567" s="32" t="str">
        <f t="shared" si="137"/>
        <v>April 29 Week 2</v>
      </c>
      <c r="I2567" s="32" t="str">
        <f>CONCATENATE(UPPER(TableAopCalendar[[#This Row],[Month]])," ",TableAopCalendar[[#This Row],[Year]])</f>
        <v>APRIL 29</v>
      </c>
      <c r="J2567" s="7" t="s">
        <v>274</v>
      </c>
      <c r="K2567" s="32" t="str">
        <f>CONCATENATE(TableAopCalendar[[#This Row],[Month for Plan]]," ",TableAopCalendar[[#This Row],[Plan]])</f>
        <v>APRIL 29 PLANNED</v>
      </c>
    </row>
    <row r="2568" spans="1:11" x14ac:dyDescent="0.3">
      <c r="A2568" s="32">
        <f t="shared" si="135"/>
        <v>3</v>
      </c>
      <c r="B2568" s="33">
        <v>47218</v>
      </c>
      <c r="C2568" s="6" t="s">
        <v>264</v>
      </c>
      <c r="D2568" s="34">
        <v>29</v>
      </c>
      <c r="E2568" s="32">
        <f>DAY(TableAopCalendar[[#This Row],[Date]])</f>
        <v>10</v>
      </c>
      <c r="F2568" s="32">
        <f>IF(TableAopCalendar[[#This Row],[Day]]&lt;8,1,IF(TableAopCalendar[[#This Row],[Day]]&lt;15,2,IF(TableAopCalendar[[#This Row],[Day]]&lt;22,3,IF(TableAopCalendar[[#This Row],[Day]]&lt;29,4,IF(TableAopCalendar[[#This Row],[Day]]&lt;32,5)))))</f>
        <v>2</v>
      </c>
      <c r="G2568" s="32" t="str">
        <f t="shared" si="136"/>
        <v>Week 2</v>
      </c>
      <c r="H2568" s="32" t="str">
        <f t="shared" si="137"/>
        <v>April 29 Week 2</v>
      </c>
      <c r="I2568" s="32" t="str">
        <f>CONCATENATE(UPPER(TableAopCalendar[[#This Row],[Month]])," ",TableAopCalendar[[#This Row],[Year]])</f>
        <v>APRIL 29</v>
      </c>
      <c r="J2568" s="7" t="s">
        <v>274</v>
      </c>
      <c r="K2568" s="32" t="str">
        <f>CONCATENATE(TableAopCalendar[[#This Row],[Month for Plan]]," ",TableAopCalendar[[#This Row],[Plan]])</f>
        <v>APRIL 29 PLANNED</v>
      </c>
    </row>
    <row r="2569" spans="1:11" x14ac:dyDescent="0.3">
      <c r="A2569" s="32">
        <f t="shared" si="135"/>
        <v>4</v>
      </c>
      <c r="B2569" s="33">
        <v>47219</v>
      </c>
      <c r="C2569" s="6" t="s">
        <v>264</v>
      </c>
      <c r="D2569" s="34">
        <v>29</v>
      </c>
      <c r="E2569" s="32">
        <f>DAY(TableAopCalendar[[#This Row],[Date]])</f>
        <v>11</v>
      </c>
      <c r="F2569" s="32">
        <f>IF(TableAopCalendar[[#This Row],[Day]]&lt;8,1,IF(TableAopCalendar[[#This Row],[Day]]&lt;15,2,IF(TableAopCalendar[[#This Row],[Day]]&lt;22,3,IF(TableAopCalendar[[#This Row],[Day]]&lt;29,4,IF(TableAopCalendar[[#This Row],[Day]]&lt;32,5)))))</f>
        <v>2</v>
      </c>
      <c r="G2569" s="32" t="str">
        <f t="shared" si="136"/>
        <v>Week 2</v>
      </c>
      <c r="H2569" s="32" t="str">
        <f t="shared" si="137"/>
        <v>April 29 Week 2</v>
      </c>
      <c r="I2569" s="32" t="str">
        <f>CONCATENATE(UPPER(TableAopCalendar[[#This Row],[Month]])," ",TableAopCalendar[[#This Row],[Year]])</f>
        <v>APRIL 29</v>
      </c>
      <c r="J2569" s="7" t="s">
        <v>274</v>
      </c>
      <c r="K2569" s="32" t="str">
        <f>CONCATENATE(TableAopCalendar[[#This Row],[Month for Plan]]," ",TableAopCalendar[[#This Row],[Plan]])</f>
        <v>APRIL 29 PLANNED</v>
      </c>
    </row>
    <row r="2570" spans="1:11" x14ac:dyDescent="0.3">
      <c r="A2570" s="32">
        <f t="shared" si="135"/>
        <v>5</v>
      </c>
      <c r="B2570" s="33">
        <v>47220</v>
      </c>
      <c r="C2570" s="6" t="s">
        <v>264</v>
      </c>
      <c r="D2570" s="34">
        <v>29</v>
      </c>
      <c r="E2570" s="32">
        <f>DAY(TableAopCalendar[[#This Row],[Date]])</f>
        <v>12</v>
      </c>
      <c r="F2570" s="32">
        <f>IF(TableAopCalendar[[#This Row],[Day]]&lt;8,1,IF(TableAopCalendar[[#This Row],[Day]]&lt;15,2,IF(TableAopCalendar[[#This Row],[Day]]&lt;22,3,IF(TableAopCalendar[[#This Row],[Day]]&lt;29,4,IF(TableAopCalendar[[#This Row],[Day]]&lt;32,5)))))</f>
        <v>2</v>
      </c>
      <c r="G2570" s="32" t="str">
        <f t="shared" si="136"/>
        <v>Week 2</v>
      </c>
      <c r="H2570" s="32" t="str">
        <f t="shared" si="137"/>
        <v>April 29 Week 2</v>
      </c>
      <c r="I2570" s="32" t="str">
        <f>CONCATENATE(UPPER(TableAopCalendar[[#This Row],[Month]])," ",TableAopCalendar[[#This Row],[Year]])</f>
        <v>APRIL 29</v>
      </c>
      <c r="J2570" s="7" t="s">
        <v>274</v>
      </c>
      <c r="K2570" s="32" t="str">
        <f>CONCATENATE(TableAopCalendar[[#This Row],[Month for Plan]]," ",TableAopCalendar[[#This Row],[Plan]])</f>
        <v>APRIL 29 PLANNED</v>
      </c>
    </row>
    <row r="2571" spans="1:11" x14ac:dyDescent="0.3">
      <c r="A2571" s="32">
        <f t="shared" si="135"/>
        <v>6</v>
      </c>
      <c r="B2571" s="33">
        <v>47221</v>
      </c>
      <c r="C2571" s="6" t="s">
        <v>264</v>
      </c>
      <c r="D2571" s="34">
        <v>29</v>
      </c>
      <c r="E2571" s="32">
        <f>DAY(TableAopCalendar[[#This Row],[Date]])</f>
        <v>13</v>
      </c>
      <c r="F2571" s="32">
        <f>IF(TableAopCalendar[[#This Row],[Day]]&lt;8,1,IF(TableAopCalendar[[#This Row],[Day]]&lt;15,2,IF(TableAopCalendar[[#This Row],[Day]]&lt;22,3,IF(TableAopCalendar[[#This Row],[Day]]&lt;29,4,IF(TableAopCalendar[[#This Row],[Day]]&lt;32,5)))))</f>
        <v>2</v>
      </c>
      <c r="G2571" s="32" t="str">
        <f t="shared" si="136"/>
        <v>Week 2</v>
      </c>
      <c r="H2571" s="32" t="str">
        <f t="shared" si="137"/>
        <v>April 29 Week 2</v>
      </c>
      <c r="I2571" s="32" t="str">
        <f>CONCATENATE(UPPER(TableAopCalendar[[#This Row],[Month]])," ",TableAopCalendar[[#This Row],[Year]])</f>
        <v>APRIL 29</v>
      </c>
      <c r="J2571" s="7" t="s">
        <v>274</v>
      </c>
      <c r="K2571" s="32" t="str">
        <f>CONCATENATE(TableAopCalendar[[#This Row],[Month for Plan]]," ",TableAopCalendar[[#This Row],[Plan]])</f>
        <v>APRIL 29 PLANNED</v>
      </c>
    </row>
    <row r="2572" spans="1:11" x14ac:dyDescent="0.3">
      <c r="A2572" s="32">
        <f t="shared" si="135"/>
        <v>7</v>
      </c>
      <c r="B2572" s="33">
        <v>47222</v>
      </c>
      <c r="C2572" s="6" t="s">
        <v>264</v>
      </c>
      <c r="D2572" s="34">
        <v>29</v>
      </c>
      <c r="E2572" s="32">
        <f>DAY(TableAopCalendar[[#This Row],[Date]])</f>
        <v>14</v>
      </c>
      <c r="F2572" s="32">
        <f>IF(TableAopCalendar[[#This Row],[Day]]&lt;8,1,IF(TableAopCalendar[[#This Row],[Day]]&lt;15,2,IF(TableAopCalendar[[#This Row],[Day]]&lt;22,3,IF(TableAopCalendar[[#This Row],[Day]]&lt;29,4,IF(TableAopCalendar[[#This Row],[Day]]&lt;32,5)))))</f>
        <v>2</v>
      </c>
      <c r="G2572" s="32" t="str">
        <f t="shared" si="136"/>
        <v>Week 2</v>
      </c>
      <c r="H2572" s="32" t="str">
        <f t="shared" si="137"/>
        <v>April 29 Week 2</v>
      </c>
      <c r="I2572" s="32" t="str">
        <f>CONCATENATE(UPPER(TableAopCalendar[[#This Row],[Month]])," ",TableAopCalendar[[#This Row],[Year]])</f>
        <v>APRIL 29</v>
      </c>
      <c r="J2572" s="7" t="s">
        <v>274</v>
      </c>
      <c r="K2572" s="32" t="str">
        <f>CONCATENATE(TableAopCalendar[[#This Row],[Month for Plan]]," ",TableAopCalendar[[#This Row],[Plan]])</f>
        <v>APRIL 29 PLANNED</v>
      </c>
    </row>
    <row r="2573" spans="1:11" x14ac:dyDescent="0.3">
      <c r="A2573" s="32">
        <f t="shared" si="135"/>
        <v>1</v>
      </c>
      <c r="B2573" s="33">
        <v>47223</v>
      </c>
      <c r="C2573" s="6" t="s">
        <v>264</v>
      </c>
      <c r="D2573" s="34">
        <v>29</v>
      </c>
      <c r="E2573" s="32">
        <f>DAY(TableAopCalendar[[#This Row],[Date]])</f>
        <v>15</v>
      </c>
      <c r="F2573" s="32">
        <f>IF(TableAopCalendar[[#This Row],[Day]]&lt;8,1,IF(TableAopCalendar[[#This Row],[Day]]&lt;15,2,IF(TableAopCalendar[[#This Row],[Day]]&lt;22,3,IF(TableAopCalendar[[#This Row],[Day]]&lt;29,4,IF(TableAopCalendar[[#This Row],[Day]]&lt;32,5)))))</f>
        <v>3</v>
      </c>
      <c r="G2573" s="32" t="str">
        <f t="shared" si="136"/>
        <v>Week 3</v>
      </c>
      <c r="H2573" s="32" t="str">
        <f t="shared" si="137"/>
        <v>April 29 Week 3</v>
      </c>
      <c r="I2573" s="32" t="str">
        <f>CONCATENATE(UPPER(TableAopCalendar[[#This Row],[Month]])," ",TableAopCalendar[[#This Row],[Year]])</f>
        <v>APRIL 29</v>
      </c>
      <c r="J2573" s="7" t="s">
        <v>274</v>
      </c>
      <c r="K2573" s="32" t="str">
        <f>CONCATENATE(TableAopCalendar[[#This Row],[Month for Plan]]," ",TableAopCalendar[[#This Row],[Plan]])</f>
        <v>APRIL 29 PLANNED</v>
      </c>
    </row>
    <row r="2574" spans="1:11" x14ac:dyDescent="0.3">
      <c r="A2574" s="32">
        <f t="shared" si="135"/>
        <v>2</v>
      </c>
      <c r="B2574" s="33">
        <v>47224</v>
      </c>
      <c r="C2574" s="6" t="s">
        <v>264</v>
      </c>
      <c r="D2574" s="34">
        <v>29</v>
      </c>
      <c r="E2574" s="32">
        <f>DAY(TableAopCalendar[[#This Row],[Date]])</f>
        <v>16</v>
      </c>
      <c r="F2574" s="32">
        <f>IF(TableAopCalendar[[#This Row],[Day]]&lt;8,1,IF(TableAopCalendar[[#This Row],[Day]]&lt;15,2,IF(TableAopCalendar[[#This Row],[Day]]&lt;22,3,IF(TableAopCalendar[[#This Row],[Day]]&lt;29,4,IF(TableAopCalendar[[#This Row],[Day]]&lt;32,5)))))</f>
        <v>3</v>
      </c>
      <c r="G2574" s="32" t="str">
        <f t="shared" si="136"/>
        <v>Week 3</v>
      </c>
      <c r="H2574" s="32" t="str">
        <f t="shared" si="137"/>
        <v>April 29 Week 3</v>
      </c>
      <c r="I2574" s="32" t="str">
        <f>CONCATENATE(UPPER(TableAopCalendar[[#This Row],[Month]])," ",TableAopCalendar[[#This Row],[Year]])</f>
        <v>APRIL 29</v>
      </c>
      <c r="J2574" s="7" t="s">
        <v>274</v>
      </c>
      <c r="K2574" s="32" t="str">
        <f>CONCATENATE(TableAopCalendar[[#This Row],[Month for Plan]]," ",TableAopCalendar[[#This Row],[Plan]])</f>
        <v>APRIL 29 PLANNED</v>
      </c>
    </row>
    <row r="2575" spans="1:11" x14ac:dyDescent="0.3">
      <c r="A2575" s="32">
        <f t="shared" si="135"/>
        <v>3</v>
      </c>
      <c r="B2575" s="33">
        <v>47225</v>
      </c>
      <c r="C2575" s="6" t="s">
        <v>264</v>
      </c>
      <c r="D2575" s="34">
        <v>29</v>
      </c>
      <c r="E2575" s="32">
        <f>DAY(TableAopCalendar[[#This Row],[Date]])</f>
        <v>17</v>
      </c>
      <c r="F2575" s="32">
        <f>IF(TableAopCalendar[[#This Row],[Day]]&lt;8,1,IF(TableAopCalendar[[#This Row],[Day]]&lt;15,2,IF(TableAopCalendar[[#This Row],[Day]]&lt;22,3,IF(TableAopCalendar[[#This Row],[Day]]&lt;29,4,IF(TableAopCalendar[[#This Row],[Day]]&lt;32,5)))))</f>
        <v>3</v>
      </c>
      <c r="G2575" s="32" t="str">
        <f t="shared" si="136"/>
        <v>Week 3</v>
      </c>
      <c r="H2575" s="32" t="str">
        <f t="shared" si="137"/>
        <v>April 29 Week 3</v>
      </c>
      <c r="I2575" s="32" t="str">
        <f>CONCATENATE(UPPER(TableAopCalendar[[#This Row],[Month]])," ",TableAopCalendar[[#This Row],[Year]])</f>
        <v>APRIL 29</v>
      </c>
      <c r="J2575" s="7" t="s">
        <v>274</v>
      </c>
      <c r="K2575" s="32" t="str">
        <f>CONCATENATE(TableAopCalendar[[#This Row],[Month for Plan]]," ",TableAopCalendar[[#This Row],[Plan]])</f>
        <v>APRIL 29 PLANNED</v>
      </c>
    </row>
    <row r="2576" spans="1:11" x14ac:dyDescent="0.3">
      <c r="A2576" s="32">
        <f t="shared" si="135"/>
        <v>4</v>
      </c>
      <c r="B2576" s="33">
        <v>47226</v>
      </c>
      <c r="C2576" s="6" t="s">
        <v>264</v>
      </c>
      <c r="D2576" s="34">
        <v>29</v>
      </c>
      <c r="E2576" s="32">
        <f>DAY(TableAopCalendar[[#This Row],[Date]])</f>
        <v>18</v>
      </c>
      <c r="F2576" s="32">
        <f>IF(TableAopCalendar[[#This Row],[Day]]&lt;8,1,IF(TableAopCalendar[[#This Row],[Day]]&lt;15,2,IF(TableAopCalendar[[#This Row],[Day]]&lt;22,3,IF(TableAopCalendar[[#This Row],[Day]]&lt;29,4,IF(TableAopCalendar[[#This Row],[Day]]&lt;32,5)))))</f>
        <v>3</v>
      </c>
      <c r="G2576" s="32" t="str">
        <f t="shared" si="136"/>
        <v>Week 3</v>
      </c>
      <c r="H2576" s="32" t="str">
        <f t="shared" si="137"/>
        <v>April 29 Week 3</v>
      </c>
      <c r="I2576" s="32" t="str">
        <f>CONCATENATE(UPPER(TableAopCalendar[[#This Row],[Month]])," ",TableAopCalendar[[#This Row],[Year]])</f>
        <v>APRIL 29</v>
      </c>
      <c r="J2576" s="7" t="s">
        <v>274</v>
      </c>
      <c r="K2576" s="32" t="str">
        <f>CONCATENATE(TableAopCalendar[[#This Row],[Month for Plan]]," ",TableAopCalendar[[#This Row],[Plan]])</f>
        <v>APRIL 29 PLANNED</v>
      </c>
    </row>
    <row r="2577" spans="1:11" x14ac:dyDescent="0.3">
      <c r="A2577" s="32">
        <f t="shared" si="135"/>
        <v>5</v>
      </c>
      <c r="B2577" s="33">
        <v>47227</v>
      </c>
      <c r="C2577" s="6" t="s">
        <v>264</v>
      </c>
      <c r="D2577" s="34">
        <v>29</v>
      </c>
      <c r="E2577" s="32">
        <f>DAY(TableAopCalendar[[#This Row],[Date]])</f>
        <v>19</v>
      </c>
      <c r="F2577" s="32">
        <f>IF(TableAopCalendar[[#This Row],[Day]]&lt;8,1,IF(TableAopCalendar[[#This Row],[Day]]&lt;15,2,IF(TableAopCalendar[[#This Row],[Day]]&lt;22,3,IF(TableAopCalendar[[#This Row],[Day]]&lt;29,4,IF(TableAopCalendar[[#This Row],[Day]]&lt;32,5)))))</f>
        <v>3</v>
      </c>
      <c r="G2577" s="32" t="str">
        <f t="shared" si="136"/>
        <v>Week 3</v>
      </c>
      <c r="H2577" s="32" t="str">
        <f t="shared" si="137"/>
        <v>April 29 Week 3</v>
      </c>
      <c r="I2577" s="32" t="str">
        <f>CONCATENATE(UPPER(TableAopCalendar[[#This Row],[Month]])," ",TableAopCalendar[[#This Row],[Year]])</f>
        <v>APRIL 29</v>
      </c>
      <c r="J2577" s="7" t="s">
        <v>274</v>
      </c>
      <c r="K2577" s="32" t="str">
        <f>CONCATENATE(TableAopCalendar[[#This Row],[Month for Plan]]," ",TableAopCalendar[[#This Row],[Plan]])</f>
        <v>APRIL 29 PLANNED</v>
      </c>
    </row>
    <row r="2578" spans="1:11" x14ac:dyDescent="0.3">
      <c r="A2578" s="32">
        <f t="shared" si="135"/>
        <v>6</v>
      </c>
      <c r="B2578" s="33">
        <v>47228</v>
      </c>
      <c r="C2578" s="6" t="s">
        <v>264</v>
      </c>
      <c r="D2578" s="34">
        <v>29</v>
      </c>
      <c r="E2578" s="32">
        <f>DAY(TableAopCalendar[[#This Row],[Date]])</f>
        <v>20</v>
      </c>
      <c r="F2578" s="32">
        <f>IF(TableAopCalendar[[#This Row],[Day]]&lt;8,1,IF(TableAopCalendar[[#This Row],[Day]]&lt;15,2,IF(TableAopCalendar[[#This Row],[Day]]&lt;22,3,IF(TableAopCalendar[[#This Row],[Day]]&lt;29,4,IF(TableAopCalendar[[#This Row],[Day]]&lt;32,5)))))</f>
        <v>3</v>
      </c>
      <c r="G2578" s="32" t="str">
        <f t="shared" si="136"/>
        <v>Week 3</v>
      </c>
      <c r="H2578" s="32" t="str">
        <f t="shared" si="137"/>
        <v>April 29 Week 3</v>
      </c>
      <c r="I2578" s="32" t="str">
        <f>CONCATENATE(UPPER(TableAopCalendar[[#This Row],[Month]])," ",TableAopCalendar[[#This Row],[Year]])</f>
        <v>APRIL 29</v>
      </c>
      <c r="J2578" s="7" t="s">
        <v>274</v>
      </c>
      <c r="K2578" s="32" t="str">
        <f>CONCATENATE(TableAopCalendar[[#This Row],[Month for Plan]]," ",TableAopCalendar[[#This Row],[Plan]])</f>
        <v>APRIL 29 PLANNED</v>
      </c>
    </row>
    <row r="2579" spans="1:11" x14ac:dyDescent="0.3">
      <c r="A2579" s="32">
        <f t="shared" si="135"/>
        <v>7</v>
      </c>
      <c r="B2579" s="33">
        <v>47229</v>
      </c>
      <c r="C2579" s="6" t="s">
        <v>264</v>
      </c>
      <c r="D2579" s="34">
        <v>29</v>
      </c>
      <c r="E2579" s="32">
        <f>DAY(TableAopCalendar[[#This Row],[Date]])</f>
        <v>21</v>
      </c>
      <c r="F2579" s="32">
        <f>IF(TableAopCalendar[[#This Row],[Day]]&lt;8,1,IF(TableAopCalendar[[#This Row],[Day]]&lt;15,2,IF(TableAopCalendar[[#This Row],[Day]]&lt;22,3,IF(TableAopCalendar[[#This Row],[Day]]&lt;29,4,IF(TableAopCalendar[[#This Row],[Day]]&lt;32,5)))))</f>
        <v>3</v>
      </c>
      <c r="G2579" s="32" t="str">
        <f t="shared" si="136"/>
        <v>Week 3</v>
      </c>
      <c r="H2579" s="32" t="str">
        <f t="shared" si="137"/>
        <v>April 29 Week 3</v>
      </c>
      <c r="I2579" s="32" t="str">
        <f>CONCATENATE(UPPER(TableAopCalendar[[#This Row],[Month]])," ",TableAopCalendar[[#This Row],[Year]])</f>
        <v>APRIL 29</v>
      </c>
      <c r="J2579" s="7" t="s">
        <v>274</v>
      </c>
      <c r="K2579" s="32" t="str">
        <f>CONCATENATE(TableAopCalendar[[#This Row],[Month for Plan]]," ",TableAopCalendar[[#This Row],[Plan]])</f>
        <v>APRIL 29 PLANNED</v>
      </c>
    </row>
    <row r="2580" spans="1:11" x14ac:dyDescent="0.3">
      <c r="A2580" s="32">
        <f t="shared" si="135"/>
        <v>1</v>
      </c>
      <c r="B2580" s="33">
        <v>47230</v>
      </c>
      <c r="C2580" s="6" t="s">
        <v>264</v>
      </c>
      <c r="D2580" s="34">
        <v>29</v>
      </c>
      <c r="E2580" s="32">
        <f>DAY(TableAopCalendar[[#This Row],[Date]])</f>
        <v>22</v>
      </c>
      <c r="F2580" s="32">
        <f>IF(TableAopCalendar[[#This Row],[Day]]&lt;8,1,IF(TableAopCalendar[[#This Row],[Day]]&lt;15,2,IF(TableAopCalendar[[#This Row],[Day]]&lt;22,3,IF(TableAopCalendar[[#This Row],[Day]]&lt;29,4,IF(TableAopCalendar[[#This Row],[Day]]&lt;32,5)))))</f>
        <v>4</v>
      </c>
      <c r="G2580" s="32" t="str">
        <f t="shared" si="136"/>
        <v>Week 4</v>
      </c>
      <c r="H2580" s="32" t="str">
        <f t="shared" si="137"/>
        <v>April 29 Week 4</v>
      </c>
      <c r="I2580" s="32" t="str">
        <f>CONCATENATE(UPPER(TableAopCalendar[[#This Row],[Month]])," ",TableAopCalendar[[#This Row],[Year]])</f>
        <v>APRIL 29</v>
      </c>
      <c r="J2580" s="7" t="s">
        <v>274</v>
      </c>
      <c r="K2580" s="32" t="str">
        <f>CONCATENATE(TableAopCalendar[[#This Row],[Month for Plan]]," ",TableAopCalendar[[#This Row],[Plan]])</f>
        <v>APRIL 29 PLANNED</v>
      </c>
    </row>
    <row r="2581" spans="1:11" x14ac:dyDescent="0.3">
      <c r="A2581" s="32">
        <f t="shared" si="135"/>
        <v>2</v>
      </c>
      <c r="B2581" s="33">
        <v>47231</v>
      </c>
      <c r="C2581" s="6" t="s">
        <v>264</v>
      </c>
      <c r="D2581" s="34">
        <v>29</v>
      </c>
      <c r="E2581" s="32">
        <f>DAY(TableAopCalendar[[#This Row],[Date]])</f>
        <v>23</v>
      </c>
      <c r="F2581" s="32">
        <f>IF(TableAopCalendar[[#This Row],[Day]]&lt;8,1,IF(TableAopCalendar[[#This Row],[Day]]&lt;15,2,IF(TableAopCalendar[[#This Row],[Day]]&lt;22,3,IF(TableAopCalendar[[#This Row],[Day]]&lt;29,4,IF(TableAopCalendar[[#This Row],[Day]]&lt;32,5)))))</f>
        <v>4</v>
      </c>
      <c r="G2581" s="32" t="str">
        <f t="shared" si="136"/>
        <v>Week 4</v>
      </c>
      <c r="H2581" s="32" t="str">
        <f t="shared" si="137"/>
        <v>April 29 Week 4</v>
      </c>
      <c r="I2581" s="32" t="str">
        <f>CONCATENATE(UPPER(TableAopCalendar[[#This Row],[Month]])," ",TableAopCalendar[[#This Row],[Year]])</f>
        <v>APRIL 29</v>
      </c>
      <c r="J2581" s="7" t="s">
        <v>274</v>
      </c>
      <c r="K2581" s="32" t="str">
        <f>CONCATENATE(TableAopCalendar[[#This Row],[Month for Plan]]," ",TableAopCalendar[[#This Row],[Plan]])</f>
        <v>APRIL 29 PLANNED</v>
      </c>
    </row>
    <row r="2582" spans="1:11" x14ac:dyDescent="0.3">
      <c r="A2582" s="32">
        <f t="shared" si="135"/>
        <v>3</v>
      </c>
      <c r="B2582" s="33">
        <v>47232</v>
      </c>
      <c r="C2582" s="6" t="s">
        <v>264</v>
      </c>
      <c r="D2582" s="34">
        <v>29</v>
      </c>
      <c r="E2582" s="32">
        <f>DAY(TableAopCalendar[[#This Row],[Date]])</f>
        <v>24</v>
      </c>
      <c r="F2582" s="32">
        <f>IF(TableAopCalendar[[#This Row],[Day]]&lt;8,1,IF(TableAopCalendar[[#This Row],[Day]]&lt;15,2,IF(TableAopCalendar[[#This Row],[Day]]&lt;22,3,IF(TableAopCalendar[[#This Row],[Day]]&lt;29,4,IF(TableAopCalendar[[#This Row],[Day]]&lt;32,5)))))</f>
        <v>4</v>
      </c>
      <c r="G2582" s="32" t="str">
        <f t="shared" si="136"/>
        <v>Week 4</v>
      </c>
      <c r="H2582" s="32" t="str">
        <f t="shared" si="137"/>
        <v>April 29 Week 4</v>
      </c>
      <c r="I2582" s="32" t="str">
        <f>CONCATENATE(UPPER(TableAopCalendar[[#This Row],[Month]])," ",TableAopCalendar[[#This Row],[Year]])</f>
        <v>APRIL 29</v>
      </c>
      <c r="J2582" s="7" t="s">
        <v>274</v>
      </c>
      <c r="K2582" s="32" t="str">
        <f>CONCATENATE(TableAopCalendar[[#This Row],[Month for Plan]]," ",TableAopCalendar[[#This Row],[Plan]])</f>
        <v>APRIL 29 PLANNED</v>
      </c>
    </row>
    <row r="2583" spans="1:11" x14ac:dyDescent="0.3">
      <c r="A2583" s="32">
        <f t="shared" si="135"/>
        <v>4</v>
      </c>
      <c r="B2583" s="33">
        <v>47233</v>
      </c>
      <c r="C2583" s="6" t="s">
        <v>264</v>
      </c>
      <c r="D2583" s="34">
        <v>29</v>
      </c>
      <c r="E2583" s="32">
        <f>DAY(TableAopCalendar[[#This Row],[Date]])</f>
        <v>25</v>
      </c>
      <c r="F2583" s="32">
        <f>IF(TableAopCalendar[[#This Row],[Day]]&lt;8,1,IF(TableAopCalendar[[#This Row],[Day]]&lt;15,2,IF(TableAopCalendar[[#This Row],[Day]]&lt;22,3,IF(TableAopCalendar[[#This Row],[Day]]&lt;29,4,IF(TableAopCalendar[[#This Row],[Day]]&lt;32,5)))))</f>
        <v>4</v>
      </c>
      <c r="G2583" s="32" t="str">
        <f t="shared" si="136"/>
        <v>Week 4</v>
      </c>
      <c r="H2583" s="32" t="str">
        <f t="shared" si="137"/>
        <v>April 29 Week 4</v>
      </c>
      <c r="I2583" s="32" t="str">
        <f>CONCATENATE(UPPER(TableAopCalendar[[#This Row],[Month]])," ",TableAopCalendar[[#This Row],[Year]])</f>
        <v>APRIL 29</v>
      </c>
      <c r="J2583" s="7" t="s">
        <v>274</v>
      </c>
      <c r="K2583" s="32" t="str">
        <f>CONCATENATE(TableAopCalendar[[#This Row],[Month for Plan]]," ",TableAopCalendar[[#This Row],[Plan]])</f>
        <v>APRIL 29 PLANNED</v>
      </c>
    </row>
    <row r="2584" spans="1:11" x14ac:dyDescent="0.3">
      <c r="A2584" s="32">
        <f t="shared" si="135"/>
        <v>5</v>
      </c>
      <c r="B2584" s="33">
        <v>47234</v>
      </c>
      <c r="C2584" s="6" t="s">
        <v>264</v>
      </c>
      <c r="D2584" s="34">
        <v>29</v>
      </c>
      <c r="E2584" s="32">
        <f>DAY(TableAopCalendar[[#This Row],[Date]])</f>
        <v>26</v>
      </c>
      <c r="F2584" s="32">
        <f>IF(TableAopCalendar[[#This Row],[Day]]&lt;8,1,IF(TableAopCalendar[[#This Row],[Day]]&lt;15,2,IF(TableAopCalendar[[#This Row],[Day]]&lt;22,3,IF(TableAopCalendar[[#This Row],[Day]]&lt;29,4,IF(TableAopCalendar[[#This Row],[Day]]&lt;32,5)))))</f>
        <v>4</v>
      </c>
      <c r="G2584" s="32" t="str">
        <f t="shared" si="136"/>
        <v>Week 4</v>
      </c>
      <c r="H2584" s="32" t="str">
        <f t="shared" si="137"/>
        <v>April 29 Week 4</v>
      </c>
      <c r="I2584" s="32" t="str">
        <f>CONCATENATE(UPPER(TableAopCalendar[[#This Row],[Month]])," ",TableAopCalendar[[#This Row],[Year]])</f>
        <v>APRIL 29</v>
      </c>
      <c r="J2584" s="7" t="s">
        <v>274</v>
      </c>
      <c r="K2584" s="32" t="str">
        <f>CONCATENATE(TableAopCalendar[[#This Row],[Month for Plan]]," ",TableAopCalendar[[#This Row],[Plan]])</f>
        <v>APRIL 29 PLANNED</v>
      </c>
    </row>
    <row r="2585" spans="1:11" x14ac:dyDescent="0.3">
      <c r="A2585" s="32">
        <f t="shared" si="135"/>
        <v>6</v>
      </c>
      <c r="B2585" s="33">
        <v>47235</v>
      </c>
      <c r="C2585" s="6" t="s">
        <v>264</v>
      </c>
      <c r="D2585" s="34">
        <v>29</v>
      </c>
      <c r="E2585" s="32">
        <f>DAY(TableAopCalendar[[#This Row],[Date]])</f>
        <v>27</v>
      </c>
      <c r="F2585" s="32">
        <f>IF(TableAopCalendar[[#This Row],[Day]]&lt;8,1,IF(TableAopCalendar[[#This Row],[Day]]&lt;15,2,IF(TableAopCalendar[[#This Row],[Day]]&lt;22,3,IF(TableAopCalendar[[#This Row],[Day]]&lt;29,4,IF(TableAopCalendar[[#This Row],[Day]]&lt;32,5)))))</f>
        <v>4</v>
      </c>
      <c r="G2585" s="32" t="str">
        <f t="shared" si="136"/>
        <v>Week 4</v>
      </c>
      <c r="H2585" s="32" t="str">
        <f t="shared" si="137"/>
        <v>April 29 Week 4</v>
      </c>
      <c r="I2585" s="32" t="str">
        <f>CONCATENATE(UPPER(TableAopCalendar[[#This Row],[Month]])," ",TableAopCalendar[[#This Row],[Year]])</f>
        <v>APRIL 29</v>
      </c>
      <c r="J2585" s="7" t="s">
        <v>274</v>
      </c>
      <c r="K2585" s="32" t="str">
        <f>CONCATENATE(TableAopCalendar[[#This Row],[Month for Plan]]," ",TableAopCalendar[[#This Row],[Plan]])</f>
        <v>APRIL 29 PLANNED</v>
      </c>
    </row>
    <row r="2586" spans="1:11" x14ac:dyDescent="0.3">
      <c r="A2586" s="32">
        <f t="shared" si="135"/>
        <v>7</v>
      </c>
      <c r="B2586" s="33">
        <v>47236</v>
      </c>
      <c r="C2586" s="6" t="s">
        <v>264</v>
      </c>
      <c r="D2586" s="34">
        <v>29</v>
      </c>
      <c r="E2586" s="32">
        <f>DAY(TableAopCalendar[[#This Row],[Date]])</f>
        <v>28</v>
      </c>
      <c r="F2586" s="32">
        <f>IF(TableAopCalendar[[#This Row],[Day]]&lt;8,1,IF(TableAopCalendar[[#This Row],[Day]]&lt;15,2,IF(TableAopCalendar[[#This Row],[Day]]&lt;22,3,IF(TableAopCalendar[[#This Row],[Day]]&lt;29,4,IF(TableAopCalendar[[#This Row],[Day]]&lt;32,5)))))</f>
        <v>4</v>
      </c>
      <c r="G2586" s="32" t="str">
        <f t="shared" si="136"/>
        <v>Week 4</v>
      </c>
      <c r="H2586" s="32" t="str">
        <f t="shared" si="137"/>
        <v>April 29 Week 4</v>
      </c>
      <c r="I2586" s="32" t="str">
        <f>CONCATENATE(UPPER(TableAopCalendar[[#This Row],[Month]])," ",TableAopCalendar[[#This Row],[Year]])</f>
        <v>APRIL 29</v>
      </c>
      <c r="J2586" s="7" t="s">
        <v>274</v>
      </c>
      <c r="K2586" s="32" t="str">
        <f>CONCATENATE(TableAopCalendar[[#This Row],[Month for Plan]]," ",TableAopCalendar[[#This Row],[Plan]])</f>
        <v>APRIL 29 PLANNED</v>
      </c>
    </row>
    <row r="2587" spans="1:11" x14ac:dyDescent="0.3">
      <c r="A2587" s="32">
        <f t="shared" si="135"/>
        <v>1</v>
      </c>
      <c r="B2587" s="33">
        <v>47237</v>
      </c>
      <c r="C2587" s="6" t="s">
        <v>264</v>
      </c>
      <c r="D2587" s="34">
        <v>29</v>
      </c>
      <c r="E2587" s="32">
        <f>DAY(TableAopCalendar[[#This Row],[Date]])</f>
        <v>29</v>
      </c>
      <c r="F2587" s="32">
        <f>IF(TableAopCalendar[[#This Row],[Day]]&lt;8,1,IF(TableAopCalendar[[#This Row],[Day]]&lt;15,2,IF(TableAopCalendar[[#This Row],[Day]]&lt;22,3,IF(TableAopCalendar[[#This Row],[Day]]&lt;29,4,IF(TableAopCalendar[[#This Row],[Day]]&lt;32,5)))))</f>
        <v>5</v>
      </c>
      <c r="G2587" s="32" t="str">
        <f t="shared" si="136"/>
        <v>Week 5</v>
      </c>
      <c r="H2587" s="32" t="str">
        <f t="shared" si="137"/>
        <v>April 29 Week 5</v>
      </c>
      <c r="I2587" s="32" t="str">
        <f>CONCATENATE(UPPER(TableAopCalendar[[#This Row],[Month]])," ",TableAopCalendar[[#This Row],[Year]])</f>
        <v>APRIL 29</v>
      </c>
      <c r="J2587" s="7" t="s">
        <v>274</v>
      </c>
      <c r="K2587" s="32" t="str">
        <f>CONCATENATE(TableAopCalendar[[#This Row],[Month for Plan]]," ",TableAopCalendar[[#This Row],[Plan]])</f>
        <v>APRIL 29 PLANNED</v>
      </c>
    </row>
    <row r="2588" spans="1:11" x14ac:dyDescent="0.3">
      <c r="A2588" s="32">
        <f t="shared" si="135"/>
        <v>2</v>
      </c>
      <c r="B2588" s="33">
        <v>47238</v>
      </c>
      <c r="C2588" s="6" t="s">
        <v>264</v>
      </c>
      <c r="D2588" s="34">
        <v>29</v>
      </c>
      <c r="E2588" s="32">
        <f>DAY(TableAopCalendar[[#This Row],[Date]])</f>
        <v>30</v>
      </c>
      <c r="F2588" s="32">
        <f>IF(TableAopCalendar[[#This Row],[Day]]&lt;8,1,IF(TableAopCalendar[[#This Row],[Day]]&lt;15,2,IF(TableAopCalendar[[#This Row],[Day]]&lt;22,3,IF(TableAopCalendar[[#This Row],[Day]]&lt;29,4,IF(TableAopCalendar[[#This Row],[Day]]&lt;32,5)))))</f>
        <v>5</v>
      </c>
      <c r="G2588" s="32" t="str">
        <f t="shared" si="136"/>
        <v>Week 5</v>
      </c>
      <c r="H2588" s="32" t="str">
        <f t="shared" si="137"/>
        <v>April 29 Week 5</v>
      </c>
      <c r="I2588" s="32" t="str">
        <f>CONCATENATE(UPPER(TableAopCalendar[[#This Row],[Month]])," ",TableAopCalendar[[#This Row],[Year]])</f>
        <v>APRIL 29</v>
      </c>
      <c r="J2588" s="7" t="s">
        <v>274</v>
      </c>
      <c r="K2588" s="32" t="str">
        <f>CONCATENATE(TableAopCalendar[[#This Row],[Month for Plan]]," ",TableAopCalendar[[#This Row],[Plan]])</f>
        <v>APRIL 29 PLANNED</v>
      </c>
    </row>
    <row r="2589" spans="1:11" x14ac:dyDescent="0.3">
      <c r="A2589" s="32">
        <f t="shared" si="135"/>
        <v>1</v>
      </c>
      <c r="B2589" s="33">
        <v>47239</v>
      </c>
      <c r="C2589" s="6" t="s">
        <v>265</v>
      </c>
      <c r="D2589" s="34">
        <v>29</v>
      </c>
      <c r="E2589" s="32">
        <f>DAY(TableAopCalendar[[#This Row],[Date]])</f>
        <v>1</v>
      </c>
      <c r="F2589" s="32">
        <f>IF(TableAopCalendar[[#This Row],[Day]]&lt;8,1,IF(TableAopCalendar[[#This Row],[Day]]&lt;15,2,IF(TableAopCalendar[[#This Row],[Day]]&lt;22,3,IF(TableAopCalendar[[#This Row],[Day]]&lt;29,4,IF(TableAopCalendar[[#This Row],[Day]]&lt;32,5)))))</f>
        <v>1</v>
      </c>
      <c r="G2589" s="32" t="str">
        <f t="shared" si="136"/>
        <v>Week 1</v>
      </c>
      <c r="H2589" s="32" t="str">
        <f t="shared" si="137"/>
        <v>May 29 Week 1</v>
      </c>
      <c r="I2589" s="32" t="str">
        <f>CONCATENATE(UPPER(TableAopCalendar[[#This Row],[Month]])," ",TableAopCalendar[[#This Row],[Year]])</f>
        <v>MAY 29</v>
      </c>
      <c r="J2589" s="7" t="s">
        <v>274</v>
      </c>
      <c r="K2589" s="32" t="str">
        <f>CONCATENATE(TableAopCalendar[[#This Row],[Month for Plan]]," ",TableAopCalendar[[#This Row],[Plan]])</f>
        <v>MAY 29 PLANNED</v>
      </c>
    </row>
    <row r="2590" spans="1:11" x14ac:dyDescent="0.3">
      <c r="A2590" s="32">
        <f t="shared" si="135"/>
        <v>2</v>
      </c>
      <c r="B2590" s="33">
        <v>47240</v>
      </c>
      <c r="C2590" s="6" t="s">
        <v>265</v>
      </c>
      <c r="D2590" s="34">
        <v>29</v>
      </c>
      <c r="E2590" s="32">
        <f>DAY(TableAopCalendar[[#This Row],[Date]])</f>
        <v>2</v>
      </c>
      <c r="F2590" s="32">
        <f>IF(TableAopCalendar[[#This Row],[Day]]&lt;8,1,IF(TableAopCalendar[[#This Row],[Day]]&lt;15,2,IF(TableAopCalendar[[#This Row],[Day]]&lt;22,3,IF(TableAopCalendar[[#This Row],[Day]]&lt;29,4,IF(TableAopCalendar[[#This Row],[Day]]&lt;32,5)))))</f>
        <v>1</v>
      </c>
      <c r="G2590" s="32" t="str">
        <f t="shared" si="136"/>
        <v>Week 1</v>
      </c>
      <c r="H2590" s="32" t="str">
        <f t="shared" si="137"/>
        <v>May 29 Week 1</v>
      </c>
      <c r="I2590" s="32" t="str">
        <f>CONCATENATE(UPPER(TableAopCalendar[[#This Row],[Month]])," ",TableAopCalendar[[#This Row],[Year]])</f>
        <v>MAY 29</v>
      </c>
      <c r="J2590" s="7" t="s">
        <v>274</v>
      </c>
      <c r="K2590" s="32" t="str">
        <f>CONCATENATE(TableAopCalendar[[#This Row],[Month for Plan]]," ",TableAopCalendar[[#This Row],[Plan]])</f>
        <v>MAY 29 PLANNED</v>
      </c>
    </row>
    <row r="2591" spans="1:11" x14ac:dyDescent="0.3">
      <c r="A2591" s="32">
        <f t="shared" si="135"/>
        <v>3</v>
      </c>
      <c r="B2591" s="33">
        <v>47241</v>
      </c>
      <c r="C2591" s="6" t="s">
        <v>265</v>
      </c>
      <c r="D2591" s="34">
        <v>29</v>
      </c>
      <c r="E2591" s="32">
        <f>DAY(TableAopCalendar[[#This Row],[Date]])</f>
        <v>3</v>
      </c>
      <c r="F2591" s="32">
        <f>IF(TableAopCalendar[[#This Row],[Day]]&lt;8,1,IF(TableAopCalendar[[#This Row],[Day]]&lt;15,2,IF(TableAopCalendar[[#This Row],[Day]]&lt;22,3,IF(TableAopCalendar[[#This Row],[Day]]&lt;29,4,IF(TableAopCalendar[[#This Row],[Day]]&lt;32,5)))))</f>
        <v>1</v>
      </c>
      <c r="G2591" s="32" t="str">
        <f t="shared" si="136"/>
        <v>Week 1</v>
      </c>
      <c r="H2591" s="32" t="str">
        <f t="shared" si="137"/>
        <v>May 29 Week 1</v>
      </c>
      <c r="I2591" s="32" t="str">
        <f>CONCATENATE(UPPER(TableAopCalendar[[#This Row],[Month]])," ",TableAopCalendar[[#This Row],[Year]])</f>
        <v>MAY 29</v>
      </c>
      <c r="J2591" s="7" t="s">
        <v>274</v>
      </c>
      <c r="K2591" s="32" t="str">
        <f>CONCATENATE(TableAopCalendar[[#This Row],[Month for Plan]]," ",TableAopCalendar[[#This Row],[Plan]])</f>
        <v>MAY 29 PLANNED</v>
      </c>
    </row>
    <row r="2592" spans="1:11" x14ac:dyDescent="0.3">
      <c r="A2592" s="32">
        <f t="shared" si="135"/>
        <v>4</v>
      </c>
      <c r="B2592" s="33">
        <v>47242</v>
      </c>
      <c r="C2592" s="6" t="s">
        <v>265</v>
      </c>
      <c r="D2592" s="34">
        <v>29</v>
      </c>
      <c r="E2592" s="32">
        <f>DAY(TableAopCalendar[[#This Row],[Date]])</f>
        <v>4</v>
      </c>
      <c r="F2592" s="32">
        <f>IF(TableAopCalendar[[#This Row],[Day]]&lt;8,1,IF(TableAopCalendar[[#This Row],[Day]]&lt;15,2,IF(TableAopCalendar[[#This Row],[Day]]&lt;22,3,IF(TableAopCalendar[[#This Row],[Day]]&lt;29,4,IF(TableAopCalendar[[#This Row],[Day]]&lt;32,5)))))</f>
        <v>1</v>
      </c>
      <c r="G2592" s="32" t="str">
        <f t="shared" si="136"/>
        <v>Week 1</v>
      </c>
      <c r="H2592" s="32" t="str">
        <f t="shared" si="137"/>
        <v>May 29 Week 1</v>
      </c>
      <c r="I2592" s="32" t="str">
        <f>CONCATENATE(UPPER(TableAopCalendar[[#This Row],[Month]])," ",TableAopCalendar[[#This Row],[Year]])</f>
        <v>MAY 29</v>
      </c>
      <c r="J2592" s="7" t="s">
        <v>274</v>
      </c>
      <c r="K2592" s="32" t="str">
        <f>CONCATENATE(TableAopCalendar[[#This Row],[Month for Plan]]," ",TableAopCalendar[[#This Row],[Plan]])</f>
        <v>MAY 29 PLANNED</v>
      </c>
    </row>
    <row r="2593" spans="1:11" x14ac:dyDescent="0.3">
      <c r="A2593" s="32">
        <f t="shared" si="135"/>
        <v>5</v>
      </c>
      <c r="B2593" s="33">
        <v>47243</v>
      </c>
      <c r="C2593" s="6" t="s">
        <v>265</v>
      </c>
      <c r="D2593" s="34">
        <v>29</v>
      </c>
      <c r="E2593" s="32">
        <f>DAY(TableAopCalendar[[#This Row],[Date]])</f>
        <v>5</v>
      </c>
      <c r="F2593" s="32">
        <f>IF(TableAopCalendar[[#This Row],[Day]]&lt;8,1,IF(TableAopCalendar[[#This Row],[Day]]&lt;15,2,IF(TableAopCalendar[[#This Row],[Day]]&lt;22,3,IF(TableAopCalendar[[#This Row],[Day]]&lt;29,4,IF(TableAopCalendar[[#This Row],[Day]]&lt;32,5)))))</f>
        <v>1</v>
      </c>
      <c r="G2593" s="32" t="str">
        <f t="shared" si="136"/>
        <v>Week 1</v>
      </c>
      <c r="H2593" s="32" t="str">
        <f t="shared" si="137"/>
        <v>May 29 Week 1</v>
      </c>
      <c r="I2593" s="32" t="str">
        <f>CONCATENATE(UPPER(TableAopCalendar[[#This Row],[Month]])," ",TableAopCalendar[[#This Row],[Year]])</f>
        <v>MAY 29</v>
      </c>
      <c r="J2593" s="7" t="s">
        <v>274</v>
      </c>
      <c r="K2593" s="32" t="str">
        <f>CONCATENATE(TableAopCalendar[[#This Row],[Month for Plan]]," ",TableAopCalendar[[#This Row],[Plan]])</f>
        <v>MAY 29 PLANNED</v>
      </c>
    </row>
    <row r="2594" spans="1:11" x14ac:dyDescent="0.3">
      <c r="A2594" s="32">
        <f t="shared" si="135"/>
        <v>6</v>
      </c>
      <c r="B2594" s="33">
        <v>47244</v>
      </c>
      <c r="C2594" s="6" t="s">
        <v>265</v>
      </c>
      <c r="D2594" s="34">
        <v>29</v>
      </c>
      <c r="E2594" s="32">
        <f>DAY(TableAopCalendar[[#This Row],[Date]])</f>
        <v>6</v>
      </c>
      <c r="F2594" s="32">
        <f>IF(TableAopCalendar[[#This Row],[Day]]&lt;8,1,IF(TableAopCalendar[[#This Row],[Day]]&lt;15,2,IF(TableAopCalendar[[#This Row],[Day]]&lt;22,3,IF(TableAopCalendar[[#This Row],[Day]]&lt;29,4,IF(TableAopCalendar[[#This Row],[Day]]&lt;32,5)))))</f>
        <v>1</v>
      </c>
      <c r="G2594" s="32" t="str">
        <f t="shared" si="136"/>
        <v>Week 1</v>
      </c>
      <c r="H2594" s="32" t="str">
        <f t="shared" si="137"/>
        <v>May 29 Week 1</v>
      </c>
      <c r="I2594" s="32" t="str">
        <f>CONCATENATE(UPPER(TableAopCalendar[[#This Row],[Month]])," ",TableAopCalendar[[#This Row],[Year]])</f>
        <v>MAY 29</v>
      </c>
      <c r="J2594" s="7" t="s">
        <v>274</v>
      </c>
      <c r="K2594" s="32" t="str">
        <f>CONCATENATE(TableAopCalendar[[#This Row],[Month for Plan]]," ",TableAopCalendar[[#This Row],[Plan]])</f>
        <v>MAY 29 PLANNED</v>
      </c>
    </row>
    <row r="2595" spans="1:11" x14ac:dyDescent="0.3">
      <c r="A2595" s="32">
        <f t="shared" si="135"/>
        <v>7</v>
      </c>
      <c r="B2595" s="33">
        <v>47245</v>
      </c>
      <c r="C2595" s="6" t="s">
        <v>265</v>
      </c>
      <c r="D2595" s="34">
        <v>29</v>
      </c>
      <c r="E2595" s="32">
        <f>DAY(TableAopCalendar[[#This Row],[Date]])</f>
        <v>7</v>
      </c>
      <c r="F2595" s="32">
        <f>IF(TableAopCalendar[[#This Row],[Day]]&lt;8,1,IF(TableAopCalendar[[#This Row],[Day]]&lt;15,2,IF(TableAopCalendar[[#This Row],[Day]]&lt;22,3,IF(TableAopCalendar[[#This Row],[Day]]&lt;29,4,IF(TableAopCalendar[[#This Row],[Day]]&lt;32,5)))))</f>
        <v>1</v>
      </c>
      <c r="G2595" s="32" t="str">
        <f t="shared" si="136"/>
        <v>Week 1</v>
      </c>
      <c r="H2595" s="32" t="str">
        <f t="shared" si="137"/>
        <v>May 29 Week 1</v>
      </c>
      <c r="I2595" s="32" t="str">
        <f>CONCATENATE(UPPER(TableAopCalendar[[#This Row],[Month]])," ",TableAopCalendar[[#This Row],[Year]])</f>
        <v>MAY 29</v>
      </c>
      <c r="J2595" s="7" t="s">
        <v>274</v>
      </c>
      <c r="K2595" s="32" t="str">
        <f>CONCATENATE(TableAopCalendar[[#This Row],[Month for Plan]]," ",TableAopCalendar[[#This Row],[Plan]])</f>
        <v>MAY 29 PLANNED</v>
      </c>
    </row>
    <row r="2596" spans="1:11" x14ac:dyDescent="0.3">
      <c r="A2596" s="32">
        <f t="shared" ref="A2596:A2659" si="138">IF(G2596=G2595,A2595+1,1)</f>
        <v>1</v>
      </c>
      <c r="B2596" s="33">
        <v>47246</v>
      </c>
      <c r="C2596" s="6" t="s">
        <v>265</v>
      </c>
      <c r="D2596" s="34">
        <v>29</v>
      </c>
      <c r="E2596" s="32">
        <f>DAY(TableAopCalendar[[#This Row],[Date]])</f>
        <v>8</v>
      </c>
      <c r="F2596" s="32">
        <f>IF(TableAopCalendar[[#This Row],[Day]]&lt;8,1,IF(TableAopCalendar[[#This Row],[Day]]&lt;15,2,IF(TableAopCalendar[[#This Row],[Day]]&lt;22,3,IF(TableAopCalendar[[#This Row],[Day]]&lt;29,4,IF(TableAopCalendar[[#This Row],[Day]]&lt;32,5)))))</f>
        <v>2</v>
      </c>
      <c r="G2596" s="32" t="str">
        <f t="shared" ref="G2596:G2659" si="139">"Week"&amp;" "&amp;F2596</f>
        <v>Week 2</v>
      </c>
      <c r="H2596" s="32" t="str">
        <f t="shared" ref="H2596:H2659" si="140">CONCATENATE(C2596," ",D2596," ",G2596)</f>
        <v>May 29 Week 2</v>
      </c>
      <c r="I2596" s="32" t="str">
        <f>CONCATENATE(UPPER(TableAopCalendar[[#This Row],[Month]])," ",TableAopCalendar[[#This Row],[Year]])</f>
        <v>MAY 29</v>
      </c>
      <c r="J2596" s="7" t="s">
        <v>274</v>
      </c>
      <c r="K2596" s="32" t="str">
        <f>CONCATENATE(TableAopCalendar[[#This Row],[Month for Plan]]," ",TableAopCalendar[[#This Row],[Plan]])</f>
        <v>MAY 29 PLANNED</v>
      </c>
    </row>
    <row r="2597" spans="1:11" x14ac:dyDescent="0.3">
      <c r="A2597" s="32">
        <f t="shared" si="138"/>
        <v>2</v>
      </c>
      <c r="B2597" s="33">
        <v>47247</v>
      </c>
      <c r="C2597" s="6" t="s">
        <v>265</v>
      </c>
      <c r="D2597" s="34">
        <v>29</v>
      </c>
      <c r="E2597" s="32">
        <f>DAY(TableAopCalendar[[#This Row],[Date]])</f>
        <v>9</v>
      </c>
      <c r="F2597" s="32">
        <f>IF(TableAopCalendar[[#This Row],[Day]]&lt;8,1,IF(TableAopCalendar[[#This Row],[Day]]&lt;15,2,IF(TableAopCalendar[[#This Row],[Day]]&lt;22,3,IF(TableAopCalendar[[#This Row],[Day]]&lt;29,4,IF(TableAopCalendar[[#This Row],[Day]]&lt;32,5)))))</f>
        <v>2</v>
      </c>
      <c r="G2597" s="32" t="str">
        <f t="shared" si="139"/>
        <v>Week 2</v>
      </c>
      <c r="H2597" s="32" t="str">
        <f t="shared" si="140"/>
        <v>May 29 Week 2</v>
      </c>
      <c r="I2597" s="32" t="str">
        <f>CONCATENATE(UPPER(TableAopCalendar[[#This Row],[Month]])," ",TableAopCalendar[[#This Row],[Year]])</f>
        <v>MAY 29</v>
      </c>
      <c r="J2597" s="7" t="s">
        <v>274</v>
      </c>
      <c r="K2597" s="32" t="str">
        <f>CONCATENATE(TableAopCalendar[[#This Row],[Month for Plan]]," ",TableAopCalendar[[#This Row],[Plan]])</f>
        <v>MAY 29 PLANNED</v>
      </c>
    </row>
    <row r="2598" spans="1:11" x14ac:dyDescent="0.3">
      <c r="A2598" s="32">
        <f t="shared" si="138"/>
        <v>3</v>
      </c>
      <c r="B2598" s="33">
        <v>47248</v>
      </c>
      <c r="C2598" s="6" t="s">
        <v>265</v>
      </c>
      <c r="D2598" s="34">
        <v>29</v>
      </c>
      <c r="E2598" s="32">
        <f>DAY(TableAopCalendar[[#This Row],[Date]])</f>
        <v>10</v>
      </c>
      <c r="F2598" s="32">
        <f>IF(TableAopCalendar[[#This Row],[Day]]&lt;8,1,IF(TableAopCalendar[[#This Row],[Day]]&lt;15,2,IF(TableAopCalendar[[#This Row],[Day]]&lt;22,3,IF(TableAopCalendar[[#This Row],[Day]]&lt;29,4,IF(TableAopCalendar[[#This Row],[Day]]&lt;32,5)))))</f>
        <v>2</v>
      </c>
      <c r="G2598" s="32" t="str">
        <f t="shared" si="139"/>
        <v>Week 2</v>
      </c>
      <c r="H2598" s="32" t="str">
        <f t="shared" si="140"/>
        <v>May 29 Week 2</v>
      </c>
      <c r="I2598" s="32" t="str">
        <f>CONCATENATE(UPPER(TableAopCalendar[[#This Row],[Month]])," ",TableAopCalendar[[#This Row],[Year]])</f>
        <v>MAY 29</v>
      </c>
      <c r="J2598" s="7" t="s">
        <v>274</v>
      </c>
      <c r="K2598" s="32" t="str">
        <f>CONCATENATE(TableAopCalendar[[#This Row],[Month for Plan]]," ",TableAopCalendar[[#This Row],[Plan]])</f>
        <v>MAY 29 PLANNED</v>
      </c>
    </row>
    <row r="2599" spans="1:11" x14ac:dyDescent="0.3">
      <c r="A2599" s="32">
        <f t="shared" si="138"/>
        <v>4</v>
      </c>
      <c r="B2599" s="33">
        <v>47249</v>
      </c>
      <c r="C2599" s="6" t="s">
        <v>265</v>
      </c>
      <c r="D2599" s="34">
        <v>29</v>
      </c>
      <c r="E2599" s="32">
        <f>DAY(TableAopCalendar[[#This Row],[Date]])</f>
        <v>11</v>
      </c>
      <c r="F2599" s="32">
        <f>IF(TableAopCalendar[[#This Row],[Day]]&lt;8,1,IF(TableAopCalendar[[#This Row],[Day]]&lt;15,2,IF(TableAopCalendar[[#This Row],[Day]]&lt;22,3,IF(TableAopCalendar[[#This Row],[Day]]&lt;29,4,IF(TableAopCalendar[[#This Row],[Day]]&lt;32,5)))))</f>
        <v>2</v>
      </c>
      <c r="G2599" s="32" t="str">
        <f t="shared" si="139"/>
        <v>Week 2</v>
      </c>
      <c r="H2599" s="32" t="str">
        <f t="shared" si="140"/>
        <v>May 29 Week 2</v>
      </c>
      <c r="I2599" s="32" t="str">
        <f>CONCATENATE(UPPER(TableAopCalendar[[#This Row],[Month]])," ",TableAopCalendar[[#This Row],[Year]])</f>
        <v>MAY 29</v>
      </c>
      <c r="J2599" s="7" t="s">
        <v>274</v>
      </c>
      <c r="K2599" s="32" t="str">
        <f>CONCATENATE(TableAopCalendar[[#This Row],[Month for Plan]]," ",TableAopCalendar[[#This Row],[Plan]])</f>
        <v>MAY 29 PLANNED</v>
      </c>
    </row>
    <row r="2600" spans="1:11" x14ac:dyDescent="0.3">
      <c r="A2600" s="32">
        <f t="shared" si="138"/>
        <v>5</v>
      </c>
      <c r="B2600" s="33">
        <v>47250</v>
      </c>
      <c r="C2600" s="6" t="s">
        <v>265</v>
      </c>
      <c r="D2600" s="34">
        <v>29</v>
      </c>
      <c r="E2600" s="32">
        <f>DAY(TableAopCalendar[[#This Row],[Date]])</f>
        <v>12</v>
      </c>
      <c r="F2600" s="32">
        <f>IF(TableAopCalendar[[#This Row],[Day]]&lt;8,1,IF(TableAopCalendar[[#This Row],[Day]]&lt;15,2,IF(TableAopCalendar[[#This Row],[Day]]&lt;22,3,IF(TableAopCalendar[[#This Row],[Day]]&lt;29,4,IF(TableAopCalendar[[#This Row],[Day]]&lt;32,5)))))</f>
        <v>2</v>
      </c>
      <c r="G2600" s="32" t="str">
        <f t="shared" si="139"/>
        <v>Week 2</v>
      </c>
      <c r="H2600" s="32" t="str">
        <f t="shared" si="140"/>
        <v>May 29 Week 2</v>
      </c>
      <c r="I2600" s="32" t="str">
        <f>CONCATENATE(UPPER(TableAopCalendar[[#This Row],[Month]])," ",TableAopCalendar[[#This Row],[Year]])</f>
        <v>MAY 29</v>
      </c>
      <c r="J2600" s="7" t="s">
        <v>274</v>
      </c>
      <c r="K2600" s="32" t="str">
        <f>CONCATENATE(TableAopCalendar[[#This Row],[Month for Plan]]," ",TableAopCalendar[[#This Row],[Plan]])</f>
        <v>MAY 29 PLANNED</v>
      </c>
    </row>
    <row r="2601" spans="1:11" x14ac:dyDescent="0.3">
      <c r="A2601" s="32">
        <f t="shared" si="138"/>
        <v>6</v>
      </c>
      <c r="B2601" s="33">
        <v>47251</v>
      </c>
      <c r="C2601" s="6" t="s">
        <v>265</v>
      </c>
      <c r="D2601" s="34">
        <v>29</v>
      </c>
      <c r="E2601" s="32">
        <f>DAY(TableAopCalendar[[#This Row],[Date]])</f>
        <v>13</v>
      </c>
      <c r="F2601" s="32">
        <f>IF(TableAopCalendar[[#This Row],[Day]]&lt;8,1,IF(TableAopCalendar[[#This Row],[Day]]&lt;15,2,IF(TableAopCalendar[[#This Row],[Day]]&lt;22,3,IF(TableAopCalendar[[#This Row],[Day]]&lt;29,4,IF(TableAopCalendar[[#This Row],[Day]]&lt;32,5)))))</f>
        <v>2</v>
      </c>
      <c r="G2601" s="32" t="str">
        <f t="shared" si="139"/>
        <v>Week 2</v>
      </c>
      <c r="H2601" s="32" t="str">
        <f t="shared" si="140"/>
        <v>May 29 Week 2</v>
      </c>
      <c r="I2601" s="32" t="str">
        <f>CONCATENATE(UPPER(TableAopCalendar[[#This Row],[Month]])," ",TableAopCalendar[[#This Row],[Year]])</f>
        <v>MAY 29</v>
      </c>
      <c r="J2601" s="7" t="s">
        <v>274</v>
      </c>
      <c r="K2601" s="32" t="str">
        <f>CONCATENATE(TableAopCalendar[[#This Row],[Month for Plan]]," ",TableAopCalendar[[#This Row],[Plan]])</f>
        <v>MAY 29 PLANNED</v>
      </c>
    </row>
    <row r="2602" spans="1:11" x14ac:dyDescent="0.3">
      <c r="A2602" s="32">
        <f t="shared" si="138"/>
        <v>7</v>
      </c>
      <c r="B2602" s="33">
        <v>47252</v>
      </c>
      <c r="C2602" s="6" t="s">
        <v>265</v>
      </c>
      <c r="D2602" s="34">
        <v>29</v>
      </c>
      <c r="E2602" s="32">
        <f>DAY(TableAopCalendar[[#This Row],[Date]])</f>
        <v>14</v>
      </c>
      <c r="F2602" s="32">
        <f>IF(TableAopCalendar[[#This Row],[Day]]&lt;8,1,IF(TableAopCalendar[[#This Row],[Day]]&lt;15,2,IF(TableAopCalendar[[#This Row],[Day]]&lt;22,3,IF(TableAopCalendar[[#This Row],[Day]]&lt;29,4,IF(TableAopCalendar[[#This Row],[Day]]&lt;32,5)))))</f>
        <v>2</v>
      </c>
      <c r="G2602" s="32" t="str">
        <f t="shared" si="139"/>
        <v>Week 2</v>
      </c>
      <c r="H2602" s="32" t="str">
        <f t="shared" si="140"/>
        <v>May 29 Week 2</v>
      </c>
      <c r="I2602" s="32" t="str">
        <f>CONCATENATE(UPPER(TableAopCalendar[[#This Row],[Month]])," ",TableAopCalendar[[#This Row],[Year]])</f>
        <v>MAY 29</v>
      </c>
      <c r="J2602" s="7" t="s">
        <v>274</v>
      </c>
      <c r="K2602" s="32" t="str">
        <f>CONCATENATE(TableAopCalendar[[#This Row],[Month for Plan]]," ",TableAopCalendar[[#This Row],[Plan]])</f>
        <v>MAY 29 PLANNED</v>
      </c>
    </row>
    <row r="2603" spans="1:11" x14ac:dyDescent="0.3">
      <c r="A2603" s="32">
        <f t="shared" si="138"/>
        <v>1</v>
      </c>
      <c r="B2603" s="33">
        <v>47253</v>
      </c>
      <c r="C2603" s="6" t="s">
        <v>265</v>
      </c>
      <c r="D2603" s="34">
        <v>29</v>
      </c>
      <c r="E2603" s="32">
        <f>DAY(TableAopCalendar[[#This Row],[Date]])</f>
        <v>15</v>
      </c>
      <c r="F2603" s="32">
        <f>IF(TableAopCalendar[[#This Row],[Day]]&lt;8,1,IF(TableAopCalendar[[#This Row],[Day]]&lt;15,2,IF(TableAopCalendar[[#This Row],[Day]]&lt;22,3,IF(TableAopCalendar[[#This Row],[Day]]&lt;29,4,IF(TableAopCalendar[[#This Row],[Day]]&lt;32,5)))))</f>
        <v>3</v>
      </c>
      <c r="G2603" s="32" t="str">
        <f t="shared" si="139"/>
        <v>Week 3</v>
      </c>
      <c r="H2603" s="32" t="str">
        <f t="shared" si="140"/>
        <v>May 29 Week 3</v>
      </c>
      <c r="I2603" s="32" t="str">
        <f>CONCATENATE(UPPER(TableAopCalendar[[#This Row],[Month]])," ",TableAopCalendar[[#This Row],[Year]])</f>
        <v>MAY 29</v>
      </c>
      <c r="J2603" s="7" t="s">
        <v>274</v>
      </c>
      <c r="K2603" s="32" t="str">
        <f>CONCATENATE(TableAopCalendar[[#This Row],[Month for Plan]]," ",TableAopCalendar[[#This Row],[Plan]])</f>
        <v>MAY 29 PLANNED</v>
      </c>
    </row>
    <row r="2604" spans="1:11" x14ac:dyDescent="0.3">
      <c r="A2604" s="32">
        <f t="shared" si="138"/>
        <v>2</v>
      </c>
      <c r="B2604" s="33">
        <v>47254</v>
      </c>
      <c r="C2604" s="6" t="s">
        <v>265</v>
      </c>
      <c r="D2604" s="34">
        <v>29</v>
      </c>
      <c r="E2604" s="32">
        <f>DAY(TableAopCalendar[[#This Row],[Date]])</f>
        <v>16</v>
      </c>
      <c r="F2604" s="32">
        <f>IF(TableAopCalendar[[#This Row],[Day]]&lt;8,1,IF(TableAopCalendar[[#This Row],[Day]]&lt;15,2,IF(TableAopCalendar[[#This Row],[Day]]&lt;22,3,IF(TableAopCalendar[[#This Row],[Day]]&lt;29,4,IF(TableAopCalendar[[#This Row],[Day]]&lt;32,5)))))</f>
        <v>3</v>
      </c>
      <c r="G2604" s="32" t="str">
        <f t="shared" si="139"/>
        <v>Week 3</v>
      </c>
      <c r="H2604" s="32" t="str">
        <f t="shared" si="140"/>
        <v>May 29 Week 3</v>
      </c>
      <c r="I2604" s="32" t="str">
        <f>CONCATENATE(UPPER(TableAopCalendar[[#This Row],[Month]])," ",TableAopCalendar[[#This Row],[Year]])</f>
        <v>MAY 29</v>
      </c>
      <c r="J2604" s="7" t="s">
        <v>274</v>
      </c>
      <c r="K2604" s="32" t="str">
        <f>CONCATENATE(TableAopCalendar[[#This Row],[Month for Plan]]," ",TableAopCalendar[[#This Row],[Plan]])</f>
        <v>MAY 29 PLANNED</v>
      </c>
    </row>
    <row r="2605" spans="1:11" x14ac:dyDescent="0.3">
      <c r="A2605" s="32">
        <f t="shared" si="138"/>
        <v>3</v>
      </c>
      <c r="B2605" s="33">
        <v>47255</v>
      </c>
      <c r="C2605" s="6" t="s">
        <v>265</v>
      </c>
      <c r="D2605" s="34">
        <v>29</v>
      </c>
      <c r="E2605" s="32">
        <f>DAY(TableAopCalendar[[#This Row],[Date]])</f>
        <v>17</v>
      </c>
      <c r="F2605" s="32">
        <f>IF(TableAopCalendar[[#This Row],[Day]]&lt;8,1,IF(TableAopCalendar[[#This Row],[Day]]&lt;15,2,IF(TableAopCalendar[[#This Row],[Day]]&lt;22,3,IF(TableAopCalendar[[#This Row],[Day]]&lt;29,4,IF(TableAopCalendar[[#This Row],[Day]]&lt;32,5)))))</f>
        <v>3</v>
      </c>
      <c r="G2605" s="32" t="str">
        <f t="shared" si="139"/>
        <v>Week 3</v>
      </c>
      <c r="H2605" s="32" t="str">
        <f t="shared" si="140"/>
        <v>May 29 Week 3</v>
      </c>
      <c r="I2605" s="32" t="str">
        <f>CONCATENATE(UPPER(TableAopCalendar[[#This Row],[Month]])," ",TableAopCalendar[[#This Row],[Year]])</f>
        <v>MAY 29</v>
      </c>
      <c r="J2605" s="7" t="s">
        <v>274</v>
      </c>
      <c r="K2605" s="32" t="str">
        <f>CONCATENATE(TableAopCalendar[[#This Row],[Month for Plan]]," ",TableAopCalendar[[#This Row],[Plan]])</f>
        <v>MAY 29 PLANNED</v>
      </c>
    </row>
    <row r="2606" spans="1:11" x14ac:dyDescent="0.3">
      <c r="A2606" s="32">
        <f t="shared" si="138"/>
        <v>4</v>
      </c>
      <c r="B2606" s="33">
        <v>47256</v>
      </c>
      <c r="C2606" s="6" t="s">
        <v>265</v>
      </c>
      <c r="D2606" s="34">
        <v>29</v>
      </c>
      <c r="E2606" s="32">
        <f>DAY(TableAopCalendar[[#This Row],[Date]])</f>
        <v>18</v>
      </c>
      <c r="F2606" s="32">
        <f>IF(TableAopCalendar[[#This Row],[Day]]&lt;8,1,IF(TableAopCalendar[[#This Row],[Day]]&lt;15,2,IF(TableAopCalendar[[#This Row],[Day]]&lt;22,3,IF(TableAopCalendar[[#This Row],[Day]]&lt;29,4,IF(TableAopCalendar[[#This Row],[Day]]&lt;32,5)))))</f>
        <v>3</v>
      </c>
      <c r="G2606" s="32" t="str">
        <f t="shared" si="139"/>
        <v>Week 3</v>
      </c>
      <c r="H2606" s="32" t="str">
        <f t="shared" si="140"/>
        <v>May 29 Week 3</v>
      </c>
      <c r="I2606" s="32" t="str">
        <f>CONCATENATE(UPPER(TableAopCalendar[[#This Row],[Month]])," ",TableAopCalendar[[#This Row],[Year]])</f>
        <v>MAY 29</v>
      </c>
      <c r="J2606" s="7" t="s">
        <v>274</v>
      </c>
      <c r="K2606" s="32" t="str">
        <f>CONCATENATE(TableAopCalendar[[#This Row],[Month for Plan]]," ",TableAopCalendar[[#This Row],[Plan]])</f>
        <v>MAY 29 PLANNED</v>
      </c>
    </row>
    <row r="2607" spans="1:11" x14ac:dyDescent="0.3">
      <c r="A2607" s="32">
        <f t="shared" si="138"/>
        <v>5</v>
      </c>
      <c r="B2607" s="33">
        <v>47257</v>
      </c>
      <c r="C2607" s="6" t="s">
        <v>265</v>
      </c>
      <c r="D2607" s="34">
        <v>29</v>
      </c>
      <c r="E2607" s="32">
        <f>DAY(TableAopCalendar[[#This Row],[Date]])</f>
        <v>19</v>
      </c>
      <c r="F2607" s="32">
        <f>IF(TableAopCalendar[[#This Row],[Day]]&lt;8,1,IF(TableAopCalendar[[#This Row],[Day]]&lt;15,2,IF(TableAopCalendar[[#This Row],[Day]]&lt;22,3,IF(TableAopCalendar[[#This Row],[Day]]&lt;29,4,IF(TableAopCalendar[[#This Row],[Day]]&lt;32,5)))))</f>
        <v>3</v>
      </c>
      <c r="G2607" s="32" t="str">
        <f t="shared" si="139"/>
        <v>Week 3</v>
      </c>
      <c r="H2607" s="32" t="str">
        <f t="shared" si="140"/>
        <v>May 29 Week 3</v>
      </c>
      <c r="I2607" s="32" t="str">
        <f>CONCATENATE(UPPER(TableAopCalendar[[#This Row],[Month]])," ",TableAopCalendar[[#This Row],[Year]])</f>
        <v>MAY 29</v>
      </c>
      <c r="J2607" s="7" t="s">
        <v>274</v>
      </c>
      <c r="K2607" s="32" t="str">
        <f>CONCATENATE(TableAopCalendar[[#This Row],[Month for Plan]]," ",TableAopCalendar[[#This Row],[Plan]])</f>
        <v>MAY 29 PLANNED</v>
      </c>
    </row>
    <row r="2608" spans="1:11" x14ac:dyDescent="0.3">
      <c r="A2608" s="32">
        <f t="shared" si="138"/>
        <v>6</v>
      </c>
      <c r="B2608" s="33">
        <v>47258</v>
      </c>
      <c r="C2608" s="6" t="s">
        <v>265</v>
      </c>
      <c r="D2608" s="34">
        <v>29</v>
      </c>
      <c r="E2608" s="32">
        <f>DAY(TableAopCalendar[[#This Row],[Date]])</f>
        <v>20</v>
      </c>
      <c r="F2608" s="32">
        <f>IF(TableAopCalendar[[#This Row],[Day]]&lt;8,1,IF(TableAopCalendar[[#This Row],[Day]]&lt;15,2,IF(TableAopCalendar[[#This Row],[Day]]&lt;22,3,IF(TableAopCalendar[[#This Row],[Day]]&lt;29,4,IF(TableAopCalendar[[#This Row],[Day]]&lt;32,5)))))</f>
        <v>3</v>
      </c>
      <c r="G2608" s="32" t="str">
        <f t="shared" si="139"/>
        <v>Week 3</v>
      </c>
      <c r="H2608" s="32" t="str">
        <f t="shared" si="140"/>
        <v>May 29 Week 3</v>
      </c>
      <c r="I2608" s="32" t="str">
        <f>CONCATENATE(UPPER(TableAopCalendar[[#This Row],[Month]])," ",TableAopCalendar[[#This Row],[Year]])</f>
        <v>MAY 29</v>
      </c>
      <c r="J2608" s="7" t="s">
        <v>274</v>
      </c>
      <c r="K2608" s="32" t="str">
        <f>CONCATENATE(TableAopCalendar[[#This Row],[Month for Plan]]," ",TableAopCalendar[[#This Row],[Plan]])</f>
        <v>MAY 29 PLANNED</v>
      </c>
    </row>
    <row r="2609" spans="1:11" x14ac:dyDescent="0.3">
      <c r="A2609" s="32">
        <f t="shared" si="138"/>
        <v>7</v>
      </c>
      <c r="B2609" s="33">
        <v>47259</v>
      </c>
      <c r="C2609" s="6" t="s">
        <v>265</v>
      </c>
      <c r="D2609" s="34">
        <v>29</v>
      </c>
      <c r="E2609" s="32">
        <f>DAY(TableAopCalendar[[#This Row],[Date]])</f>
        <v>21</v>
      </c>
      <c r="F2609" s="32">
        <f>IF(TableAopCalendar[[#This Row],[Day]]&lt;8,1,IF(TableAopCalendar[[#This Row],[Day]]&lt;15,2,IF(TableAopCalendar[[#This Row],[Day]]&lt;22,3,IF(TableAopCalendar[[#This Row],[Day]]&lt;29,4,IF(TableAopCalendar[[#This Row],[Day]]&lt;32,5)))))</f>
        <v>3</v>
      </c>
      <c r="G2609" s="32" t="str">
        <f t="shared" si="139"/>
        <v>Week 3</v>
      </c>
      <c r="H2609" s="32" t="str">
        <f t="shared" si="140"/>
        <v>May 29 Week 3</v>
      </c>
      <c r="I2609" s="32" t="str">
        <f>CONCATENATE(UPPER(TableAopCalendar[[#This Row],[Month]])," ",TableAopCalendar[[#This Row],[Year]])</f>
        <v>MAY 29</v>
      </c>
      <c r="J2609" s="7" t="s">
        <v>274</v>
      </c>
      <c r="K2609" s="32" t="str">
        <f>CONCATENATE(TableAopCalendar[[#This Row],[Month for Plan]]," ",TableAopCalendar[[#This Row],[Plan]])</f>
        <v>MAY 29 PLANNED</v>
      </c>
    </row>
    <row r="2610" spans="1:11" x14ac:dyDescent="0.3">
      <c r="A2610" s="32">
        <f t="shared" si="138"/>
        <v>1</v>
      </c>
      <c r="B2610" s="33">
        <v>47260</v>
      </c>
      <c r="C2610" s="6" t="s">
        <v>265</v>
      </c>
      <c r="D2610" s="34">
        <v>29</v>
      </c>
      <c r="E2610" s="32">
        <f>DAY(TableAopCalendar[[#This Row],[Date]])</f>
        <v>22</v>
      </c>
      <c r="F2610" s="32">
        <f>IF(TableAopCalendar[[#This Row],[Day]]&lt;8,1,IF(TableAopCalendar[[#This Row],[Day]]&lt;15,2,IF(TableAopCalendar[[#This Row],[Day]]&lt;22,3,IF(TableAopCalendar[[#This Row],[Day]]&lt;29,4,IF(TableAopCalendar[[#This Row],[Day]]&lt;32,5)))))</f>
        <v>4</v>
      </c>
      <c r="G2610" s="32" t="str">
        <f t="shared" si="139"/>
        <v>Week 4</v>
      </c>
      <c r="H2610" s="32" t="str">
        <f t="shared" si="140"/>
        <v>May 29 Week 4</v>
      </c>
      <c r="I2610" s="32" t="str">
        <f>CONCATENATE(UPPER(TableAopCalendar[[#This Row],[Month]])," ",TableAopCalendar[[#This Row],[Year]])</f>
        <v>MAY 29</v>
      </c>
      <c r="J2610" s="7" t="s">
        <v>274</v>
      </c>
      <c r="K2610" s="32" t="str">
        <f>CONCATENATE(TableAopCalendar[[#This Row],[Month for Plan]]," ",TableAopCalendar[[#This Row],[Plan]])</f>
        <v>MAY 29 PLANNED</v>
      </c>
    </row>
    <row r="2611" spans="1:11" x14ac:dyDescent="0.3">
      <c r="A2611" s="32">
        <f t="shared" si="138"/>
        <v>2</v>
      </c>
      <c r="B2611" s="33">
        <v>47261</v>
      </c>
      <c r="C2611" s="6" t="s">
        <v>265</v>
      </c>
      <c r="D2611" s="34">
        <v>29</v>
      </c>
      <c r="E2611" s="32">
        <f>DAY(TableAopCalendar[[#This Row],[Date]])</f>
        <v>23</v>
      </c>
      <c r="F2611" s="32">
        <f>IF(TableAopCalendar[[#This Row],[Day]]&lt;8,1,IF(TableAopCalendar[[#This Row],[Day]]&lt;15,2,IF(TableAopCalendar[[#This Row],[Day]]&lt;22,3,IF(TableAopCalendar[[#This Row],[Day]]&lt;29,4,IF(TableAopCalendar[[#This Row],[Day]]&lt;32,5)))))</f>
        <v>4</v>
      </c>
      <c r="G2611" s="32" t="str">
        <f t="shared" si="139"/>
        <v>Week 4</v>
      </c>
      <c r="H2611" s="32" t="str">
        <f t="shared" si="140"/>
        <v>May 29 Week 4</v>
      </c>
      <c r="I2611" s="32" t="str">
        <f>CONCATENATE(UPPER(TableAopCalendar[[#This Row],[Month]])," ",TableAopCalendar[[#This Row],[Year]])</f>
        <v>MAY 29</v>
      </c>
      <c r="J2611" s="7" t="s">
        <v>274</v>
      </c>
      <c r="K2611" s="32" t="str">
        <f>CONCATENATE(TableAopCalendar[[#This Row],[Month for Plan]]," ",TableAopCalendar[[#This Row],[Plan]])</f>
        <v>MAY 29 PLANNED</v>
      </c>
    </row>
    <row r="2612" spans="1:11" x14ac:dyDescent="0.3">
      <c r="A2612" s="32">
        <f t="shared" si="138"/>
        <v>3</v>
      </c>
      <c r="B2612" s="33">
        <v>47262</v>
      </c>
      <c r="C2612" s="6" t="s">
        <v>265</v>
      </c>
      <c r="D2612" s="34">
        <v>29</v>
      </c>
      <c r="E2612" s="32">
        <f>DAY(TableAopCalendar[[#This Row],[Date]])</f>
        <v>24</v>
      </c>
      <c r="F2612" s="32">
        <f>IF(TableAopCalendar[[#This Row],[Day]]&lt;8,1,IF(TableAopCalendar[[#This Row],[Day]]&lt;15,2,IF(TableAopCalendar[[#This Row],[Day]]&lt;22,3,IF(TableAopCalendar[[#This Row],[Day]]&lt;29,4,IF(TableAopCalendar[[#This Row],[Day]]&lt;32,5)))))</f>
        <v>4</v>
      </c>
      <c r="G2612" s="32" t="str">
        <f t="shared" si="139"/>
        <v>Week 4</v>
      </c>
      <c r="H2612" s="32" t="str">
        <f t="shared" si="140"/>
        <v>May 29 Week 4</v>
      </c>
      <c r="I2612" s="32" t="str">
        <f>CONCATENATE(UPPER(TableAopCalendar[[#This Row],[Month]])," ",TableAopCalendar[[#This Row],[Year]])</f>
        <v>MAY 29</v>
      </c>
      <c r="J2612" s="7" t="s">
        <v>274</v>
      </c>
      <c r="K2612" s="32" t="str">
        <f>CONCATENATE(TableAopCalendar[[#This Row],[Month for Plan]]," ",TableAopCalendar[[#This Row],[Plan]])</f>
        <v>MAY 29 PLANNED</v>
      </c>
    </row>
    <row r="2613" spans="1:11" x14ac:dyDescent="0.3">
      <c r="A2613" s="32">
        <f t="shared" si="138"/>
        <v>4</v>
      </c>
      <c r="B2613" s="33">
        <v>47263</v>
      </c>
      <c r="C2613" s="6" t="s">
        <v>265</v>
      </c>
      <c r="D2613" s="34">
        <v>29</v>
      </c>
      <c r="E2613" s="32">
        <f>DAY(TableAopCalendar[[#This Row],[Date]])</f>
        <v>25</v>
      </c>
      <c r="F2613" s="32">
        <f>IF(TableAopCalendar[[#This Row],[Day]]&lt;8,1,IF(TableAopCalendar[[#This Row],[Day]]&lt;15,2,IF(TableAopCalendar[[#This Row],[Day]]&lt;22,3,IF(TableAopCalendar[[#This Row],[Day]]&lt;29,4,IF(TableAopCalendar[[#This Row],[Day]]&lt;32,5)))))</f>
        <v>4</v>
      </c>
      <c r="G2613" s="32" t="str">
        <f t="shared" si="139"/>
        <v>Week 4</v>
      </c>
      <c r="H2613" s="32" t="str">
        <f t="shared" si="140"/>
        <v>May 29 Week 4</v>
      </c>
      <c r="I2613" s="32" t="str">
        <f>CONCATENATE(UPPER(TableAopCalendar[[#This Row],[Month]])," ",TableAopCalendar[[#This Row],[Year]])</f>
        <v>MAY 29</v>
      </c>
      <c r="J2613" s="7" t="s">
        <v>274</v>
      </c>
      <c r="K2613" s="32" t="str">
        <f>CONCATENATE(TableAopCalendar[[#This Row],[Month for Plan]]," ",TableAopCalendar[[#This Row],[Plan]])</f>
        <v>MAY 29 PLANNED</v>
      </c>
    </row>
    <row r="2614" spans="1:11" x14ac:dyDescent="0.3">
      <c r="A2614" s="32">
        <f t="shared" si="138"/>
        <v>5</v>
      </c>
      <c r="B2614" s="33">
        <v>47264</v>
      </c>
      <c r="C2614" s="6" t="s">
        <v>265</v>
      </c>
      <c r="D2614" s="34">
        <v>29</v>
      </c>
      <c r="E2614" s="32">
        <f>DAY(TableAopCalendar[[#This Row],[Date]])</f>
        <v>26</v>
      </c>
      <c r="F2614" s="32">
        <f>IF(TableAopCalendar[[#This Row],[Day]]&lt;8,1,IF(TableAopCalendar[[#This Row],[Day]]&lt;15,2,IF(TableAopCalendar[[#This Row],[Day]]&lt;22,3,IF(TableAopCalendar[[#This Row],[Day]]&lt;29,4,IF(TableAopCalendar[[#This Row],[Day]]&lt;32,5)))))</f>
        <v>4</v>
      </c>
      <c r="G2614" s="32" t="str">
        <f t="shared" si="139"/>
        <v>Week 4</v>
      </c>
      <c r="H2614" s="32" t="str">
        <f t="shared" si="140"/>
        <v>May 29 Week 4</v>
      </c>
      <c r="I2614" s="32" t="str">
        <f>CONCATENATE(UPPER(TableAopCalendar[[#This Row],[Month]])," ",TableAopCalendar[[#This Row],[Year]])</f>
        <v>MAY 29</v>
      </c>
      <c r="J2614" s="7" t="s">
        <v>274</v>
      </c>
      <c r="K2614" s="32" t="str">
        <f>CONCATENATE(TableAopCalendar[[#This Row],[Month for Plan]]," ",TableAopCalendar[[#This Row],[Plan]])</f>
        <v>MAY 29 PLANNED</v>
      </c>
    </row>
    <row r="2615" spans="1:11" x14ac:dyDescent="0.3">
      <c r="A2615" s="32">
        <f t="shared" si="138"/>
        <v>6</v>
      </c>
      <c r="B2615" s="33">
        <v>47265</v>
      </c>
      <c r="C2615" s="6" t="s">
        <v>265</v>
      </c>
      <c r="D2615" s="34">
        <v>29</v>
      </c>
      <c r="E2615" s="32">
        <f>DAY(TableAopCalendar[[#This Row],[Date]])</f>
        <v>27</v>
      </c>
      <c r="F2615" s="32">
        <f>IF(TableAopCalendar[[#This Row],[Day]]&lt;8,1,IF(TableAopCalendar[[#This Row],[Day]]&lt;15,2,IF(TableAopCalendar[[#This Row],[Day]]&lt;22,3,IF(TableAopCalendar[[#This Row],[Day]]&lt;29,4,IF(TableAopCalendar[[#This Row],[Day]]&lt;32,5)))))</f>
        <v>4</v>
      </c>
      <c r="G2615" s="32" t="str">
        <f t="shared" si="139"/>
        <v>Week 4</v>
      </c>
      <c r="H2615" s="32" t="str">
        <f t="shared" si="140"/>
        <v>May 29 Week 4</v>
      </c>
      <c r="I2615" s="32" t="str">
        <f>CONCATENATE(UPPER(TableAopCalendar[[#This Row],[Month]])," ",TableAopCalendar[[#This Row],[Year]])</f>
        <v>MAY 29</v>
      </c>
      <c r="J2615" s="7" t="s">
        <v>274</v>
      </c>
      <c r="K2615" s="32" t="str">
        <f>CONCATENATE(TableAopCalendar[[#This Row],[Month for Plan]]," ",TableAopCalendar[[#This Row],[Plan]])</f>
        <v>MAY 29 PLANNED</v>
      </c>
    </row>
    <row r="2616" spans="1:11" x14ac:dyDescent="0.3">
      <c r="A2616" s="32">
        <f t="shared" si="138"/>
        <v>7</v>
      </c>
      <c r="B2616" s="33">
        <v>47266</v>
      </c>
      <c r="C2616" s="6" t="s">
        <v>265</v>
      </c>
      <c r="D2616" s="34">
        <v>29</v>
      </c>
      <c r="E2616" s="32">
        <f>DAY(TableAopCalendar[[#This Row],[Date]])</f>
        <v>28</v>
      </c>
      <c r="F2616" s="32">
        <f>IF(TableAopCalendar[[#This Row],[Day]]&lt;8,1,IF(TableAopCalendar[[#This Row],[Day]]&lt;15,2,IF(TableAopCalendar[[#This Row],[Day]]&lt;22,3,IF(TableAopCalendar[[#This Row],[Day]]&lt;29,4,IF(TableAopCalendar[[#This Row],[Day]]&lt;32,5)))))</f>
        <v>4</v>
      </c>
      <c r="G2616" s="32" t="str">
        <f t="shared" si="139"/>
        <v>Week 4</v>
      </c>
      <c r="H2616" s="32" t="str">
        <f t="shared" si="140"/>
        <v>May 29 Week 4</v>
      </c>
      <c r="I2616" s="32" t="str">
        <f>CONCATENATE(UPPER(TableAopCalendar[[#This Row],[Month]])," ",TableAopCalendar[[#This Row],[Year]])</f>
        <v>MAY 29</v>
      </c>
      <c r="J2616" s="7" t="s">
        <v>274</v>
      </c>
      <c r="K2616" s="32" t="str">
        <f>CONCATENATE(TableAopCalendar[[#This Row],[Month for Plan]]," ",TableAopCalendar[[#This Row],[Plan]])</f>
        <v>MAY 29 PLANNED</v>
      </c>
    </row>
    <row r="2617" spans="1:11" x14ac:dyDescent="0.3">
      <c r="A2617" s="32">
        <f t="shared" si="138"/>
        <v>1</v>
      </c>
      <c r="B2617" s="33">
        <v>47267</v>
      </c>
      <c r="C2617" s="6" t="s">
        <v>265</v>
      </c>
      <c r="D2617" s="34">
        <v>29</v>
      </c>
      <c r="E2617" s="32">
        <f>DAY(TableAopCalendar[[#This Row],[Date]])</f>
        <v>29</v>
      </c>
      <c r="F2617" s="32">
        <f>IF(TableAopCalendar[[#This Row],[Day]]&lt;8,1,IF(TableAopCalendar[[#This Row],[Day]]&lt;15,2,IF(TableAopCalendar[[#This Row],[Day]]&lt;22,3,IF(TableAopCalendar[[#This Row],[Day]]&lt;29,4,IF(TableAopCalendar[[#This Row],[Day]]&lt;32,5)))))</f>
        <v>5</v>
      </c>
      <c r="G2617" s="32" t="str">
        <f t="shared" si="139"/>
        <v>Week 5</v>
      </c>
      <c r="H2617" s="32" t="str">
        <f t="shared" si="140"/>
        <v>May 29 Week 5</v>
      </c>
      <c r="I2617" s="32" t="str">
        <f>CONCATENATE(UPPER(TableAopCalendar[[#This Row],[Month]])," ",TableAopCalendar[[#This Row],[Year]])</f>
        <v>MAY 29</v>
      </c>
      <c r="J2617" s="7" t="s">
        <v>274</v>
      </c>
      <c r="K2617" s="32" t="str">
        <f>CONCATENATE(TableAopCalendar[[#This Row],[Month for Plan]]," ",TableAopCalendar[[#This Row],[Plan]])</f>
        <v>MAY 29 PLANNED</v>
      </c>
    </row>
    <row r="2618" spans="1:11" x14ac:dyDescent="0.3">
      <c r="A2618" s="32">
        <f t="shared" si="138"/>
        <v>2</v>
      </c>
      <c r="B2618" s="33">
        <v>47268</v>
      </c>
      <c r="C2618" s="6" t="s">
        <v>265</v>
      </c>
      <c r="D2618" s="34">
        <v>29</v>
      </c>
      <c r="E2618" s="32">
        <f>DAY(TableAopCalendar[[#This Row],[Date]])</f>
        <v>30</v>
      </c>
      <c r="F2618" s="32">
        <f>IF(TableAopCalendar[[#This Row],[Day]]&lt;8,1,IF(TableAopCalendar[[#This Row],[Day]]&lt;15,2,IF(TableAopCalendar[[#This Row],[Day]]&lt;22,3,IF(TableAopCalendar[[#This Row],[Day]]&lt;29,4,IF(TableAopCalendar[[#This Row],[Day]]&lt;32,5)))))</f>
        <v>5</v>
      </c>
      <c r="G2618" s="32" t="str">
        <f t="shared" si="139"/>
        <v>Week 5</v>
      </c>
      <c r="H2618" s="32" t="str">
        <f t="shared" si="140"/>
        <v>May 29 Week 5</v>
      </c>
      <c r="I2618" s="32" t="str">
        <f>CONCATENATE(UPPER(TableAopCalendar[[#This Row],[Month]])," ",TableAopCalendar[[#This Row],[Year]])</f>
        <v>MAY 29</v>
      </c>
      <c r="J2618" s="7" t="s">
        <v>274</v>
      </c>
      <c r="K2618" s="32" t="str">
        <f>CONCATENATE(TableAopCalendar[[#This Row],[Month for Plan]]," ",TableAopCalendar[[#This Row],[Plan]])</f>
        <v>MAY 29 PLANNED</v>
      </c>
    </row>
    <row r="2619" spans="1:11" x14ac:dyDescent="0.3">
      <c r="A2619" s="32">
        <f t="shared" si="138"/>
        <v>3</v>
      </c>
      <c r="B2619" s="33">
        <v>47269</v>
      </c>
      <c r="C2619" s="6" t="s">
        <v>265</v>
      </c>
      <c r="D2619" s="34">
        <v>29</v>
      </c>
      <c r="E2619" s="32">
        <f>DAY(TableAopCalendar[[#This Row],[Date]])</f>
        <v>31</v>
      </c>
      <c r="F2619" s="32">
        <f>IF(TableAopCalendar[[#This Row],[Day]]&lt;8,1,IF(TableAopCalendar[[#This Row],[Day]]&lt;15,2,IF(TableAopCalendar[[#This Row],[Day]]&lt;22,3,IF(TableAopCalendar[[#This Row],[Day]]&lt;29,4,IF(TableAopCalendar[[#This Row],[Day]]&lt;32,5)))))</f>
        <v>5</v>
      </c>
      <c r="G2619" s="32" t="str">
        <f t="shared" si="139"/>
        <v>Week 5</v>
      </c>
      <c r="H2619" s="32" t="str">
        <f t="shared" si="140"/>
        <v>May 29 Week 5</v>
      </c>
      <c r="I2619" s="32" t="str">
        <f>CONCATENATE(UPPER(TableAopCalendar[[#This Row],[Month]])," ",TableAopCalendar[[#This Row],[Year]])</f>
        <v>MAY 29</v>
      </c>
      <c r="J2619" s="7" t="s">
        <v>274</v>
      </c>
      <c r="K2619" s="32" t="str">
        <f>CONCATENATE(TableAopCalendar[[#This Row],[Month for Plan]]," ",TableAopCalendar[[#This Row],[Plan]])</f>
        <v>MAY 29 PLANNED</v>
      </c>
    </row>
    <row r="2620" spans="1:11" x14ac:dyDescent="0.3">
      <c r="A2620" s="32">
        <f t="shared" si="138"/>
        <v>1</v>
      </c>
      <c r="B2620" s="33">
        <v>47270</v>
      </c>
      <c r="C2620" s="6" t="s">
        <v>266</v>
      </c>
      <c r="D2620" s="34">
        <v>29</v>
      </c>
      <c r="E2620" s="32">
        <f>DAY(TableAopCalendar[[#This Row],[Date]])</f>
        <v>1</v>
      </c>
      <c r="F2620" s="32">
        <f>IF(TableAopCalendar[[#This Row],[Day]]&lt;8,1,IF(TableAopCalendar[[#This Row],[Day]]&lt;15,2,IF(TableAopCalendar[[#This Row],[Day]]&lt;22,3,IF(TableAopCalendar[[#This Row],[Day]]&lt;29,4,IF(TableAopCalendar[[#This Row],[Day]]&lt;32,5)))))</f>
        <v>1</v>
      </c>
      <c r="G2620" s="32" t="str">
        <f t="shared" si="139"/>
        <v>Week 1</v>
      </c>
      <c r="H2620" s="32" t="str">
        <f t="shared" si="140"/>
        <v>June 29 Week 1</v>
      </c>
      <c r="I2620" s="32" t="str">
        <f>CONCATENATE(UPPER(TableAopCalendar[[#This Row],[Month]])," ",TableAopCalendar[[#This Row],[Year]])</f>
        <v>JUNE 29</v>
      </c>
      <c r="J2620" s="7" t="s">
        <v>274</v>
      </c>
      <c r="K2620" s="32" t="str">
        <f>CONCATENATE(TableAopCalendar[[#This Row],[Month for Plan]]," ",TableAopCalendar[[#This Row],[Plan]])</f>
        <v>JUNE 29 PLANNED</v>
      </c>
    </row>
    <row r="2621" spans="1:11" x14ac:dyDescent="0.3">
      <c r="A2621" s="32">
        <f t="shared" si="138"/>
        <v>2</v>
      </c>
      <c r="B2621" s="33">
        <v>47271</v>
      </c>
      <c r="C2621" s="6" t="s">
        <v>266</v>
      </c>
      <c r="D2621" s="34">
        <v>29</v>
      </c>
      <c r="E2621" s="32">
        <f>DAY(TableAopCalendar[[#This Row],[Date]])</f>
        <v>2</v>
      </c>
      <c r="F2621" s="32">
        <f>IF(TableAopCalendar[[#This Row],[Day]]&lt;8,1,IF(TableAopCalendar[[#This Row],[Day]]&lt;15,2,IF(TableAopCalendar[[#This Row],[Day]]&lt;22,3,IF(TableAopCalendar[[#This Row],[Day]]&lt;29,4,IF(TableAopCalendar[[#This Row],[Day]]&lt;32,5)))))</f>
        <v>1</v>
      </c>
      <c r="G2621" s="32" t="str">
        <f t="shared" si="139"/>
        <v>Week 1</v>
      </c>
      <c r="H2621" s="32" t="str">
        <f t="shared" si="140"/>
        <v>June 29 Week 1</v>
      </c>
      <c r="I2621" s="32" t="str">
        <f>CONCATENATE(UPPER(TableAopCalendar[[#This Row],[Month]])," ",TableAopCalendar[[#This Row],[Year]])</f>
        <v>JUNE 29</v>
      </c>
      <c r="J2621" s="7" t="s">
        <v>274</v>
      </c>
      <c r="K2621" s="32" t="str">
        <f>CONCATENATE(TableAopCalendar[[#This Row],[Month for Plan]]," ",TableAopCalendar[[#This Row],[Plan]])</f>
        <v>JUNE 29 PLANNED</v>
      </c>
    </row>
    <row r="2622" spans="1:11" x14ac:dyDescent="0.3">
      <c r="A2622" s="32">
        <f t="shared" si="138"/>
        <v>3</v>
      </c>
      <c r="B2622" s="33">
        <v>47272</v>
      </c>
      <c r="C2622" s="6" t="s">
        <v>266</v>
      </c>
      <c r="D2622" s="34">
        <v>29</v>
      </c>
      <c r="E2622" s="32">
        <f>DAY(TableAopCalendar[[#This Row],[Date]])</f>
        <v>3</v>
      </c>
      <c r="F2622" s="32">
        <f>IF(TableAopCalendar[[#This Row],[Day]]&lt;8,1,IF(TableAopCalendar[[#This Row],[Day]]&lt;15,2,IF(TableAopCalendar[[#This Row],[Day]]&lt;22,3,IF(TableAopCalendar[[#This Row],[Day]]&lt;29,4,IF(TableAopCalendar[[#This Row],[Day]]&lt;32,5)))))</f>
        <v>1</v>
      </c>
      <c r="G2622" s="32" t="str">
        <f t="shared" si="139"/>
        <v>Week 1</v>
      </c>
      <c r="H2622" s="32" t="str">
        <f t="shared" si="140"/>
        <v>June 29 Week 1</v>
      </c>
      <c r="I2622" s="32" t="str">
        <f>CONCATENATE(UPPER(TableAopCalendar[[#This Row],[Month]])," ",TableAopCalendar[[#This Row],[Year]])</f>
        <v>JUNE 29</v>
      </c>
      <c r="J2622" s="7" t="s">
        <v>274</v>
      </c>
      <c r="K2622" s="32" t="str">
        <f>CONCATENATE(TableAopCalendar[[#This Row],[Month for Plan]]," ",TableAopCalendar[[#This Row],[Plan]])</f>
        <v>JUNE 29 PLANNED</v>
      </c>
    </row>
    <row r="2623" spans="1:11" x14ac:dyDescent="0.3">
      <c r="A2623" s="32">
        <f t="shared" si="138"/>
        <v>4</v>
      </c>
      <c r="B2623" s="33">
        <v>47273</v>
      </c>
      <c r="C2623" s="6" t="s">
        <v>266</v>
      </c>
      <c r="D2623" s="34">
        <v>29</v>
      </c>
      <c r="E2623" s="32">
        <f>DAY(TableAopCalendar[[#This Row],[Date]])</f>
        <v>4</v>
      </c>
      <c r="F2623" s="32">
        <f>IF(TableAopCalendar[[#This Row],[Day]]&lt;8,1,IF(TableAopCalendar[[#This Row],[Day]]&lt;15,2,IF(TableAopCalendar[[#This Row],[Day]]&lt;22,3,IF(TableAopCalendar[[#This Row],[Day]]&lt;29,4,IF(TableAopCalendar[[#This Row],[Day]]&lt;32,5)))))</f>
        <v>1</v>
      </c>
      <c r="G2623" s="32" t="str">
        <f t="shared" si="139"/>
        <v>Week 1</v>
      </c>
      <c r="H2623" s="32" t="str">
        <f t="shared" si="140"/>
        <v>June 29 Week 1</v>
      </c>
      <c r="I2623" s="32" t="str">
        <f>CONCATENATE(UPPER(TableAopCalendar[[#This Row],[Month]])," ",TableAopCalendar[[#This Row],[Year]])</f>
        <v>JUNE 29</v>
      </c>
      <c r="J2623" s="7" t="s">
        <v>274</v>
      </c>
      <c r="K2623" s="32" t="str">
        <f>CONCATENATE(TableAopCalendar[[#This Row],[Month for Plan]]," ",TableAopCalendar[[#This Row],[Plan]])</f>
        <v>JUNE 29 PLANNED</v>
      </c>
    </row>
    <row r="2624" spans="1:11" x14ac:dyDescent="0.3">
      <c r="A2624" s="32">
        <f t="shared" si="138"/>
        <v>5</v>
      </c>
      <c r="B2624" s="33">
        <v>47274</v>
      </c>
      <c r="C2624" s="6" t="s">
        <v>266</v>
      </c>
      <c r="D2624" s="34">
        <v>29</v>
      </c>
      <c r="E2624" s="32">
        <f>DAY(TableAopCalendar[[#This Row],[Date]])</f>
        <v>5</v>
      </c>
      <c r="F2624" s="32">
        <f>IF(TableAopCalendar[[#This Row],[Day]]&lt;8,1,IF(TableAopCalendar[[#This Row],[Day]]&lt;15,2,IF(TableAopCalendar[[#This Row],[Day]]&lt;22,3,IF(TableAopCalendar[[#This Row],[Day]]&lt;29,4,IF(TableAopCalendar[[#This Row],[Day]]&lt;32,5)))))</f>
        <v>1</v>
      </c>
      <c r="G2624" s="32" t="str">
        <f t="shared" si="139"/>
        <v>Week 1</v>
      </c>
      <c r="H2624" s="32" t="str">
        <f t="shared" si="140"/>
        <v>June 29 Week 1</v>
      </c>
      <c r="I2624" s="32" t="str">
        <f>CONCATENATE(UPPER(TableAopCalendar[[#This Row],[Month]])," ",TableAopCalendar[[#This Row],[Year]])</f>
        <v>JUNE 29</v>
      </c>
      <c r="J2624" s="7" t="s">
        <v>274</v>
      </c>
      <c r="K2624" s="32" t="str">
        <f>CONCATENATE(TableAopCalendar[[#This Row],[Month for Plan]]," ",TableAopCalendar[[#This Row],[Plan]])</f>
        <v>JUNE 29 PLANNED</v>
      </c>
    </row>
    <row r="2625" spans="1:11" x14ac:dyDescent="0.3">
      <c r="A2625" s="32">
        <f t="shared" si="138"/>
        <v>6</v>
      </c>
      <c r="B2625" s="33">
        <v>47275</v>
      </c>
      <c r="C2625" s="6" t="s">
        <v>266</v>
      </c>
      <c r="D2625" s="34">
        <v>29</v>
      </c>
      <c r="E2625" s="32">
        <f>DAY(TableAopCalendar[[#This Row],[Date]])</f>
        <v>6</v>
      </c>
      <c r="F2625" s="32">
        <f>IF(TableAopCalendar[[#This Row],[Day]]&lt;8,1,IF(TableAopCalendar[[#This Row],[Day]]&lt;15,2,IF(TableAopCalendar[[#This Row],[Day]]&lt;22,3,IF(TableAopCalendar[[#This Row],[Day]]&lt;29,4,IF(TableAopCalendar[[#This Row],[Day]]&lt;32,5)))))</f>
        <v>1</v>
      </c>
      <c r="G2625" s="32" t="str">
        <f t="shared" si="139"/>
        <v>Week 1</v>
      </c>
      <c r="H2625" s="32" t="str">
        <f t="shared" si="140"/>
        <v>June 29 Week 1</v>
      </c>
      <c r="I2625" s="32" t="str">
        <f>CONCATENATE(UPPER(TableAopCalendar[[#This Row],[Month]])," ",TableAopCalendar[[#This Row],[Year]])</f>
        <v>JUNE 29</v>
      </c>
      <c r="J2625" s="7" t="s">
        <v>274</v>
      </c>
      <c r="K2625" s="32" t="str">
        <f>CONCATENATE(TableAopCalendar[[#This Row],[Month for Plan]]," ",TableAopCalendar[[#This Row],[Plan]])</f>
        <v>JUNE 29 PLANNED</v>
      </c>
    </row>
    <row r="2626" spans="1:11" x14ac:dyDescent="0.3">
      <c r="A2626" s="32">
        <f t="shared" si="138"/>
        <v>7</v>
      </c>
      <c r="B2626" s="33">
        <v>47276</v>
      </c>
      <c r="C2626" s="6" t="s">
        <v>266</v>
      </c>
      <c r="D2626" s="34">
        <v>29</v>
      </c>
      <c r="E2626" s="32">
        <f>DAY(TableAopCalendar[[#This Row],[Date]])</f>
        <v>7</v>
      </c>
      <c r="F2626" s="32">
        <f>IF(TableAopCalendar[[#This Row],[Day]]&lt;8,1,IF(TableAopCalendar[[#This Row],[Day]]&lt;15,2,IF(TableAopCalendar[[#This Row],[Day]]&lt;22,3,IF(TableAopCalendar[[#This Row],[Day]]&lt;29,4,IF(TableAopCalendar[[#This Row],[Day]]&lt;32,5)))))</f>
        <v>1</v>
      </c>
      <c r="G2626" s="32" t="str">
        <f t="shared" si="139"/>
        <v>Week 1</v>
      </c>
      <c r="H2626" s="32" t="str">
        <f t="shared" si="140"/>
        <v>June 29 Week 1</v>
      </c>
      <c r="I2626" s="32" t="str">
        <f>CONCATENATE(UPPER(TableAopCalendar[[#This Row],[Month]])," ",TableAopCalendar[[#This Row],[Year]])</f>
        <v>JUNE 29</v>
      </c>
      <c r="J2626" s="7" t="s">
        <v>274</v>
      </c>
      <c r="K2626" s="32" t="str">
        <f>CONCATENATE(TableAopCalendar[[#This Row],[Month for Plan]]," ",TableAopCalendar[[#This Row],[Plan]])</f>
        <v>JUNE 29 PLANNED</v>
      </c>
    </row>
    <row r="2627" spans="1:11" x14ac:dyDescent="0.3">
      <c r="A2627" s="32">
        <f t="shared" si="138"/>
        <v>1</v>
      </c>
      <c r="B2627" s="33">
        <v>47277</v>
      </c>
      <c r="C2627" s="6" t="s">
        <v>266</v>
      </c>
      <c r="D2627" s="34">
        <v>29</v>
      </c>
      <c r="E2627" s="32">
        <f>DAY(TableAopCalendar[[#This Row],[Date]])</f>
        <v>8</v>
      </c>
      <c r="F2627" s="32">
        <f>IF(TableAopCalendar[[#This Row],[Day]]&lt;8,1,IF(TableAopCalendar[[#This Row],[Day]]&lt;15,2,IF(TableAopCalendar[[#This Row],[Day]]&lt;22,3,IF(TableAopCalendar[[#This Row],[Day]]&lt;29,4,IF(TableAopCalendar[[#This Row],[Day]]&lt;32,5)))))</f>
        <v>2</v>
      </c>
      <c r="G2627" s="32" t="str">
        <f t="shared" si="139"/>
        <v>Week 2</v>
      </c>
      <c r="H2627" s="32" t="str">
        <f t="shared" si="140"/>
        <v>June 29 Week 2</v>
      </c>
      <c r="I2627" s="32" t="str">
        <f>CONCATENATE(UPPER(TableAopCalendar[[#This Row],[Month]])," ",TableAopCalendar[[#This Row],[Year]])</f>
        <v>JUNE 29</v>
      </c>
      <c r="J2627" s="7" t="s">
        <v>274</v>
      </c>
      <c r="K2627" s="32" t="str">
        <f>CONCATENATE(TableAopCalendar[[#This Row],[Month for Plan]]," ",TableAopCalendar[[#This Row],[Plan]])</f>
        <v>JUNE 29 PLANNED</v>
      </c>
    </row>
    <row r="2628" spans="1:11" x14ac:dyDescent="0.3">
      <c r="A2628" s="32">
        <f t="shared" si="138"/>
        <v>2</v>
      </c>
      <c r="B2628" s="33">
        <v>47278</v>
      </c>
      <c r="C2628" s="6" t="s">
        <v>266</v>
      </c>
      <c r="D2628" s="34">
        <v>29</v>
      </c>
      <c r="E2628" s="32">
        <f>DAY(TableAopCalendar[[#This Row],[Date]])</f>
        <v>9</v>
      </c>
      <c r="F2628" s="32">
        <f>IF(TableAopCalendar[[#This Row],[Day]]&lt;8,1,IF(TableAopCalendar[[#This Row],[Day]]&lt;15,2,IF(TableAopCalendar[[#This Row],[Day]]&lt;22,3,IF(TableAopCalendar[[#This Row],[Day]]&lt;29,4,IF(TableAopCalendar[[#This Row],[Day]]&lt;32,5)))))</f>
        <v>2</v>
      </c>
      <c r="G2628" s="32" t="str">
        <f t="shared" si="139"/>
        <v>Week 2</v>
      </c>
      <c r="H2628" s="32" t="str">
        <f t="shared" si="140"/>
        <v>June 29 Week 2</v>
      </c>
      <c r="I2628" s="32" t="str">
        <f>CONCATENATE(UPPER(TableAopCalendar[[#This Row],[Month]])," ",TableAopCalendar[[#This Row],[Year]])</f>
        <v>JUNE 29</v>
      </c>
      <c r="J2628" s="7" t="s">
        <v>274</v>
      </c>
      <c r="K2628" s="32" t="str">
        <f>CONCATENATE(TableAopCalendar[[#This Row],[Month for Plan]]," ",TableAopCalendar[[#This Row],[Plan]])</f>
        <v>JUNE 29 PLANNED</v>
      </c>
    </row>
    <row r="2629" spans="1:11" x14ac:dyDescent="0.3">
      <c r="A2629" s="32">
        <f t="shared" si="138"/>
        <v>3</v>
      </c>
      <c r="B2629" s="33">
        <v>47279</v>
      </c>
      <c r="C2629" s="6" t="s">
        <v>266</v>
      </c>
      <c r="D2629" s="34">
        <v>29</v>
      </c>
      <c r="E2629" s="32">
        <f>DAY(TableAopCalendar[[#This Row],[Date]])</f>
        <v>10</v>
      </c>
      <c r="F2629" s="32">
        <f>IF(TableAopCalendar[[#This Row],[Day]]&lt;8,1,IF(TableAopCalendar[[#This Row],[Day]]&lt;15,2,IF(TableAopCalendar[[#This Row],[Day]]&lt;22,3,IF(TableAopCalendar[[#This Row],[Day]]&lt;29,4,IF(TableAopCalendar[[#This Row],[Day]]&lt;32,5)))))</f>
        <v>2</v>
      </c>
      <c r="G2629" s="32" t="str">
        <f t="shared" si="139"/>
        <v>Week 2</v>
      </c>
      <c r="H2629" s="32" t="str">
        <f t="shared" si="140"/>
        <v>June 29 Week 2</v>
      </c>
      <c r="I2629" s="32" t="str">
        <f>CONCATENATE(UPPER(TableAopCalendar[[#This Row],[Month]])," ",TableAopCalendar[[#This Row],[Year]])</f>
        <v>JUNE 29</v>
      </c>
      <c r="J2629" s="7" t="s">
        <v>274</v>
      </c>
      <c r="K2629" s="32" t="str">
        <f>CONCATENATE(TableAopCalendar[[#This Row],[Month for Plan]]," ",TableAopCalendar[[#This Row],[Plan]])</f>
        <v>JUNE 29 PLANNED</v>
      </c>
    </row>
    <row r="2630" spans="1:11" x14ac:dyDescent="0.3">
      <c r="A2630" s="32">
        <f t="shared" si="138"/>
        <v>4</v>
      </c>
      <c r="B2630" s="33">
        <v>47280</v>
      </c>
      <c r="C2630" s="6" t="s">
        <v>266</v>
      </c>
      <c r="D2630" s="34">
        <v>29</v>
      </c>
      <c r="E2630" s="32">
        <f>DAY(TableAopCalendar[[#This Row],[Date]])</f>
        <v>11</v>
      </c>
      <c r="F2630" s="32">
        <f>IF(TableAopCalendar[[#This Row],[Day]]&lt;8,1,IF(TableAopCalendar[[#This Row],[Day]]&lt;15,2,IF(TableAopCalendar[[#This Row],[Day]]&lt;22,3,IF(TableAopCalendar[[#This Row],[Day]]&lt;29,4,IF(TableAopCalendar[[#This Row],[Day]]&lt;32,5)))))</f>
        <v>2</v>
      </c>
      <c r="G2630" s="32" t="str">
        <f t="shared" si="139"/>
        <v>Week 2</v>
      </c>
      <c r="H2630" s="32" t="str">
        <f t="shared" si="140"/>
        <v>June 29 Week 2</v>
      </c>
      <c r="I2630" s="32" t="str">
        <f>CONCATENATE(UPPER(TableAopCalendar[[#This Row],[Month]])," ",TableAopCalendar[[#This Row],[Year]])</f>
        <v>JUNE 29</v>
      </c>
      <c r="J2630" s="7" t="s">
        <v>274</v>
      </c>
      <c r="K2630" s="32" t="str">
        <f>CONCATENATE(TableAopCalendar[[#This Row],[Month for Plan]]," ",TableAopCalendar[[#This Row],[Plan]])</f>
        <v>JUNE 29 PLANNED</v>
      </c>
    </row>
    <row r="2631" spans="1:11" x14ac:dyDescent="0.3">
      <c r="A2631" s="32">
        <f t="shared" si="138"/>
        <v>5</v>
      </c>
      <c r="B2631" s="33">
        <v>47281</v>
      </c>
      <c r="C2631" s="6" t="s">
        <v>266</v>
      </c>
      <c r="D2631" s="34">
        <v>29</v>
      </c>
      <c r="E2631" s="32">
        <f>DAY(TableAopCalendar[[#This Row],[Date]])</f>
        <v>12</v>
      </c>
      <c r="F2631" s="32">
        <f>IF(TableAopCalendar[[#This Row],[Day]]&lt;8,1,IF(TableAopCalendar[[#This Row],[Day]]&lt;15,2,IF(TableAopCalendar[[#This Row],[Day]]&lt;22,3,IF(TableAopCalendar[[#This Row],[Day]]&lt;29,4,IF(TableAopCalendar[[#This Row],[Day]]&lt;32,5)))))</f>
        <v>2</v>
      </c>
      <c r="G2631" s="32" t="str">
        <f t="shared" si="139"/>
        <v>Week 2</v>
      </c>
      <c r="H2631" s="32" t="str">
        <f t="shared" si="140"/>
        <v>June 29 Week 2</v>
      </c>
      <c r="I2631" s="32" t="str">
        <f>CONCATENATE(UPPER(TableAopCalendar[[#This Row],[Month]])," ",TableAopCalendar[[#This Row],[Year]])</f>
        <v>JUNE 29</v>
      </c>
      <c r="J2631" s="7" t="s">
        <v>274</v>
      </c>
      <c r="K2631" s="32" t="str">
        <f>CONCATENATE(TableAopCalendar[[#This Row],[Month for Plan]]," ",TableAopCalendar[[#This Row],[Plan]])</f>
        <v>JUNE 29 PLANNED</v>
      </c>
    </row>
    <row r="2632" spans="1:11" x14ac:dyDescent="0.3">
      <c r="A2632" s="32">
        <f t="shared" si="138"/>
        <v>6</v>
      </c>
      <c r="B2632" s="33">
        <v>47282</v>
      </c>
      <c r="C2632" s="6" t="s">
        <v>266</v>
      </c>
      <c r="D2632" s="34">
        <v>29</v>
      </c>
      <c r="E2632" s="32">
        <f>DAY(TableAopCalendar[[#This Row],[Date]])</f>
        <v>13</v>
      </c>
      <c r="F2632" s="32">
        <f>IF(TableAopCalendar[[#This Row],[Day]]&lt;8,1,IF(TableAopCalendar[[#This Row],[Day]]&lt;15,2,IF(TableAopCalendar[[#This Row],[Day]]&lt;22,3,IF(TableAopCalendar[[#This Row],[Day]]&lt;29,4,IF(TableAopCalendar[[#This Row],[Day]]&lt;32,5)))))</f>
        <v>2</v>
      </c>
      <c r="G2632" s="32" t="str">
        <f t="shared" si="139"/>
        <v>Week 2</v>
      </c>
      <c r="H2632" s="32" t="str">
        <f t="shared" si="140"/>
        <v>June 29 Week 2</v>
      </c>
      <c r="I2632" s="32" t="str">
        <f>CONCATENATE(UPPER(TableAopCalendar[[#This Row],[Month]])," ",TableAopCalendar[[#This Row],[Year]])</f>
        <v>JUNE 29</v>
      </c>
      <c r="J2632" s="7" t="s">
        <v>274</v>
      </c>
      <c r="K2632" s="32" t="str">
        <f>CONCATENATE(TableAopCalendar[[#This Row],[Month for Plan]]," ",TableAopCalendar[[#This Row],[Plan]])</f>
        <v>JUNE 29 PLANNED</v>
      </c>
    </row>
    <row r="2633" spans="1:11" x14ac:dyDescent="0.3">
      <c r="A2633" s="32">
        <f t="shared" si="138"/>
        <v>7</v>
      </c>
      <c r="B2633" s="33">
        <v>47283</v>
      </c>
      <c r="C2633" s="6" t="s">
        <v>266</v>
      </c>
      <c r="D2633" s="34">
        <v>29</v>
      </c>
      <c r="E2633" s="32">
        <f>DAY(TableAopCalendar[[#This Row],[Date]])</f>
        <v>14</v>
      </c>
      <c r="F2633" s="32">
        <f>IF(TableAopCalendar[[#This Row],[Day]]&lt;8,1,IF(TableAopCalendar[[#This Row],[Day]]&lt;15,2,IF(TableAopCalendar[[#This Row],[Day]]&lt;22,3,IF(TableAopCalendar[[#This Row],[Day]]&lt;29,4,IF(TableAopCalendar[[#This Row],[Day]]&lt;32,5)))))</f>
        <v>2</v>
      </c>
      <c r="G2633" s="32" t="str">
        <f t="shared" si="139"/>
        <v>Week 2</v>
      </c>
      <c r="H2633" s="32" t="str">
        <f t="shared" si="140"/>
        <v>June 29 Week 2</v>
      </c>
      <c r="I2633" s="32" t="str">
        <f>CONCATENATE(UPPER(TableAopCalendar[[#This Row],[Month]])," ",TableAopCalendar[[#This Row],[Year]])</f>
        <v>JUNE 29</v>
      </c>
      <c r="J2633" s="7" t="s">
        <v>274</v>
      </c>
      <c r="K2633" s="32" t="str">
        <f>CONCATENATE(TableAopCalendar[[#This Row],[Month for Plan]]," ",TableAopCalendar[[#This Row],[Plan]])</f>
        <v>JUNE 29 PLANNED</v>
      </c>
    </row>
    <row r="2634" spans="1:11" x14ac:dyDescent="0.3">
      <c r="A2634" s="32">
        <f t="shared" si="138"/>
        <v>1</v>
      </c>
      <c r="B2634" s="33">
        <v>47284</v>
      </c>
      <c r="C2634" s="6" t="s">
        <v>266</v>
      </c>
      <c r="D2634" s="34">
        <v>29</v>
      </c>
      <c r="E2634" s="32">
        <f>DAY(TableAopCalendar[[#This Row],[Date]])</f>
        <v>15</v>
      </c>
      <c r="F2634" s="32">
        <f>IF(TableAopCalendar[[#This Row],[Day]]&lt;8,1,IF(TableAopCalendar[[#This Row],[Day]]&lt;15,2,IF(TableAopCalendar[[#This Row],[Day]]&lt;22,3,IF(TableAopCalendar[[#This Row],[Day]]&lt;29,4,IF(TableAopCalendar[[#This Row],[Day]]&lt;32,5)))))</f>
        <v>3</v>
      </c>
      <c r="G2634" s="32" t="str">
        <f t="shared" si="139"/>
        <v>Week 3</v>
      </c>
      <c r="H2634" s="32" t="str">
        <f t="shared" si="140"/>
        <v>June 29 Week 3</v>
      </c>
      <c r="I2634" s="32" t="str">
        <f>CONCATENATE(UPPER(TableAopCalendar[[#This Row],[Month]])," ",TableAopCalendar[[#This Row],[Year]])</f>
        <v>JUNE 29</v>
      </c>
      <c r="J2634" s="7" t="s">
        <v>274</v>
      </c>
      <c r="K2634" s="32" t="str">
        <f>CONCATENATE(TableAopCalendar[[#This Row],[Month for Plan]]," ",TableAopCalendar[[#This Row],[Plan]])</f>
        <v>JUNE 29 PLANNED</v>
      </c>
    </row>
    <row r="2635" spans="1:11" x14ac:dyDescent="0.3">
      <c r="A2635" s="32">
        <f t="shared" si="138"/>
        <v>2</v>
      </c>
      <c r="B2635" s="33">
        <v>47285</v>
      </c>
      <c r="C2635" s="6" t="s">
        <v>266</v>
      </c>
      <c r="D2635" s="34">
        <v>29</v>
      </c>
      <c r="E2635" s="32">
        <f>DAY(TableAopCalendar[[#This Row],[Date]])</f>
        <v>16</v>
      </c>
      <c r="F2635" s="32">
        <f>IF(TableAopCalendar[[#This Row],[Day]]&lt;8,1,IF(TableAopCalendar[[#This Row],[Day]]&lt;15,2,IF(TableAopCalendar[[#This Row],[Day]]&lt;22,3,IF(TableAopCalendar[[#This Row],[Day]]&lt;29,4,IF(TableAopCalendar[[#This Row],[Day]]&lt;32,5)))))</f>
        <v>3</v>
      </c>
      <c r="G2635" s="32" t="str">
        <f t="shared" si="139"/>
        <v>Week 3</v>
      </c>
      <c r="H2635" s="32" t="str">
        <f t="shared" si="140"/>
        <v>June 29 Week 3</v>
      </c>
      <c r="I2635" s="32" t="str">
        <f>CONCATENATE(UPPER(TableAopCalendar[[#This Row],[Month]])," ",TableAopCalendar[[#This Row],[Year]])</f>
        <v>JUNE 29</v>
      </c>
      <c r="J2635" s="7" t="s">
        <v>274</v>
      </c>
      <c r="K2635" s="32" t="str">
        <f>CONCATENATE(TableAopCalendar[[#This Row],[Month for Plan]]," ",TableAopCalendar[[#This Row],[Plan]])</f>
        <v>JUNE 29 PLANNED</v>
      </c>
    </row>
    <row r="2636" spans="1:11" x14ac:dyDescent="0.3">
      <c r="A2636" s="32">
        <f t="shared" si="138"/>
        <v>3</v>
      </c>
      <c r="B2636" s="33">
        <v>47286</v>
      </c>
      <c r="C2636" s="6" t="s">
        <v>266</v>
      </c>
      <c r="D2636" s="34">
        <v>29</v>
      </c>
      <c r="E2636" s="32">
        <f>DAY(TableAopCalendar[[#This Row],[Date]])</f>
        <v>17</v>
      </c>
      <c r="F2636" s="32">
        <f>IF(TableAopCalendar[[#This Row],[Day]]&lt;8,1,IF(TableAopCalendar[[#This Row],[Day]]&lt;15,2,IF(TableAopCalendar[[#This Row],[Day]]&lt;22,3,IF(TableAopCalendar[[#This Row],[Day]]&lt;29,4,IF(TableAopCalendar[[#This Row],[Day]]&lt;32,5)))))</f>
        <v>3</v>
      </c>
      <c r="G2636" s="32" t="str">
        <f t="shared" si="139"/>
        <v>Week 3</v>
      </c>
      <c r="H2636" s="32" t="str">
        <f t="shared" si="140"/>
        <v>June 29 Week 3</v>
      </c>
      <c r="I2636" s="32" t="str">
        <f>CONCATENATE(UPPER(TableAopCalendar[[#This Row],[Month]])," ",TableAopCalendar[[#This Row],[Year]])</f>
        <v>JUNE 29</v>
      </c>
      <c r="J2636" s="7" t="s">
        <v>274</v>
      </c>
      <c r="K2636" s="32" t="str">
        <f>CONCATENATE(TableAopCalendar[[#This Row],[Month for Plan]]," ",TableAopCalendar[[#This Row],[Plan]])</f>
        <v>JUNE 29 PLANNED</v>
      </c>
    </row>
    <row r="2637" spans="1:11" x14ac:dyDescent="0.3">
      <c r="A2637" s="32">
        <f t="shared" si="138"/>
        <v>4</v>
      </c>
      <c r="B2637" s="33">
        <v>47287</v>
      </c>
      <c r="C2637" s="6" t="s">
        <v>266</v>
      </c>
      <c r="D2637" s="34">
        <v>29</v>
      </c>
      <c r="E2637" s="32">
        <f>DAY(TableAopCalendar[[#This Row],[Date]])</f>
        <v>18</v>
      </c>
      <c r="F2637" s="32">
        <f>IF(TableAopCalendar[[#This Row],[Day]]&lt;8,1,IF(TableAopCalendar[[#This Row],[Day]]&lt;15,2,IF(TableAopCalendar[[#This Row],[Day]]&lt;22,3,IF(TableAopCalendar[[#This Row],[Day]]&lt;29,4,IF(TableAopCalendar[[#This Row],[Day]]&lt;32,5)))))</f>
        <v>3</v>
      </c>
      <c r="G2637" s="32" t="str">
        <f t="shared" si="139"/>
        <v>Week 3</v>
      </c>
      <c r="H2637" s="32" t="str">
        <f t="shared" si="140"/>
        <v>June 29 Week 3</v>
      </c>
      <c r="I2637" s="32" t="str">
        <f>CONCATENATE(UPPER(TableAopCalendar[[#This Row],[Month]])," ",TableAopCalendar[[#This Row],[Year]])</f>
        <v>JUNE 29</v>
      </c>
      <c r="J2637" s="7" t="s">
        <v>274</v>
      </c>
      <c r="K2637" s="32" t="str">
        <f>CONCATENATE(TableAopCalendar[[#This Row],[Month for Plan]]," ",TableAopCalendar[[#This Row],[Plan]])</f>
        <v>JUNE 29 PLANNED</v>
      </c>
    </row>
    <row r="2638" spans="1:11" x14ac:dyDescent="0.3">
      <c r="A2638" s="32">
        <f t="shared" si="138"/>
        <v>5</v>
      </c>
      <c r="B2638" s="33">
        <v>47288</v>
      </c>
      <c r="C2638" s="6" t="s">
        <v>266</v>
      </c>
      <c r="D2638" s="34">
        <v>29</v>
      </c>
      <c r="E2638" s="32">
        <f>DAY(TableAopCalendar[[#This Row],[Date]])</f>
        <v>19</v>
      </c>
      <c r="F2638" s="32">
        <f>IF(TableAopCalendar[[#This Row],[Day]]&lt;8,1,IF(TableAopCalendar[[#This Row],[Day]]&lt;15,2,IF(TableAopCalendar[[#This Row],[Day]]&lt;22,3,IF(TableAopCalendar[[#This Row],[Day]]&lt;29,4,IF(TableAopCalendar[[#This Row],[Day]]&lt;32,5)))))</f>
        <v>3</v>
      </c>
      <c r="G2638" s="32" t="str">
        <f t="shared" si="139"/>
        <v>Week 3</v>
      </c>
      <c r="H2638" s="32" t="str">
        <f t="shared" si="140"/>
        <v>June 29 Week 3</v>
      </c>
      <c r="I2638" s="32" t="str">
        <f>CONCATENATE(UPPER(TableAopCalendar[[#This Row],[Month]])," ",TableAopCalendar[[#This Row],[Year]])</f>
        <v>JUNE 29</v>
      </c>
      <c r="J2638" s="7" t="s">
        <v>274</v>
      </c>
      <c r="K2638" s="32" t="str">
        <f>CONCATENATE(TableAopCalendar[[#This Row],[Month for Plan]]," ",TableAopCalendar[[#This Row],[Plan]])</f>
        <v>JUNE 29 PLANNED</v>
      </c>
    </row>
    <row r="2639" spans="1:11" x14ac:dyDescent="0.3">
      <c r="A2639" s="32">
        <f t="shared" si="138"/>
        <v>6</v>
      </c>
      <c r="B2639" s="33">
        <v>47289</v>
      </c>
      <c r="C2639" s="6" t="s">
        <v>266</v>
      </c>
      <c r="D2639" s="34">
        <v>29</v>
      </c>
      <c r="E2639" s="32">
        <f>DAY(TableAopCalendar[[#This Row],[Date]])</f>
        <v>20</v>
      </c>
      <c r="F2639" s="32">
        <f>IF(TableAopCalendar[[#This Row],[Day]]&lt;8,1,IF(TableAopCalendar[[#This Row],[Day]]&lt;15,2,IF(TableAopCalendar[[#This Row],[Day]]&lt;22,3,IF(TableAopCalendar[[#This Row],[Day]]&lt;29,4,IF(TableAopCalendar[[#This Row],[Day]]&lt;32,5)))))</f>
        <v>3</v>
      </c>
      <c r="G2639" s="32" t="str">
        <f t="shared" si="139"/>
        <v>Week 3</v>
      </c>
      <c r="H2639" s="32" t="str">
        <f t="shared" si="140"/>
        <v>June 29 Week 3</v>
      </c>
      <c r="I2639" s="32" t="str">
        <f>CONCATENATE(UPPER(TableAopCalendar[[#This Row],[Month]])," ",TableAopCalendar[[#This Row],[Year]])</f>
        <v>JUNE 29</v>
      </c>
      <c r="J2639" s="7" t="s">
        <v>274</v>
      </c>
      <c r="K2639" s="32" t="str">
        <f>CONCATENATE(TableAopCalendar[[#This Row],[Month for Plan]]," ",TableAopCalendar[[#This Row],[Plan]])</f>
        <v>JUNE 29 PLANNED</v>
      </c>
    </row>
    <row r="2640" spans="1:11" x14ac:dyDescent="0.3">
      <c r="A2640" s="32">
        <f t="shared" si="138"/>
        <v>7</v>
      </c>
      <c r="B2640" s="33">
        <v>47290</v>
      </c>
      <c r="C2640" s="6" t="s">
        <v>266</v>
      </c>
      <c r="D2640" s="34">
        <v>29</v>
      </c>
      <c r="E2640" s="32">
        <f>DAY(TableAopCalendar[[#This Row],[Date]])</f>
        <v>21</v>
      </c>
      <c r="F2640" s="32">
        <f>IF(TableAopCalendar[[#This Row],[Day]]&lt;8,1,IF(TableAopCalendar[[#This Row],[Day]]&lt;15,2,IF(TableAopCalendar[[#This Row],[Day]]&lt;22,3,IF(TableAopCalendar[[#This Row],[Day]]&lt;29,4,IF(TableAopCalendar[[#This Row],[Day]]&lt;32,5)))))</f>
        <v>3</v>
      </c>
      <c r="G2640" s="32" t="str">
        <f t="shared" si="139"/>
        <v>Week 3</v>
      </c>
      <c r="H2640" s="32" t="str">
        <f t="shared" si="140"/>
        <v>June 29 Week 3</v>
      </c>
      <c r="I2640" s="32" t="str">
        <f>CONCATENATE(UPPER(TableAopCalendar[[#This Row],[Month]])," ",TableAopCalendar[[#This Row],[Year]])</f>
        <v>JUNE 29</v>
      </c>
      <c r="J2640" s="7" t="s">
        <v>274</v>
      </c>
      <c r="K2640" s="32" t="str">
        <f>CONCATENATE(TableAopCalendar[[#This Row],[Month for Plan]]," ",TableAopCalendar[[#This Row],[Plan]])</f>
        <v>JUNE 29 PLANNED</v>
      </c>
    </row>
    <row r="2641" spans="1:11" x14ac:dyDescent="0.3">
      <c r="A2641" s="32">
        <f t="shared" si="138"/>
        <v>1</v>
      </c>
      <c r="B2641" s="33">
        <v>47291</v>
      </c>
      <c r="C2641" s="6" t="s">
        <v>266</v>
      </c>
      <c r="D2641" s="34">
        <v>29</v>
      </c>
      <c r="E2641" s="32">
        <f>DAY(TableAopCalendar[[#This Row],[Date]])</f>
        <v>22</v>
      </c>
      <c r="F2641" s="32">
        <f>IF(TableAopCalendar[[#This Row],[Day]]&lt;8,1,IF(TableAopCalendar[[#This Row],[Day]]&lt;15,2,IF(TableAopCalendar[[#This Row],[Day]]&lt;22,3,IF(TableAopCalendar[[#This Row],[Day]]&lt;29,4,IF(TableAopCalendar[[#This Row],[Day]]&lt;32,5)))))</f>
        <v>4</v>
      </c>
      <c r="G2641" s="32" t="str">
        <f t="shared" si="139"/>
        <v>Week 4</v>
      </c>
      <c r="H2641" s="32" t="str">
        <f t="shared" si="140"/>
        <v>June 29 Week 4</v>
      </c>
      <c r="I2641" s="32" t="str">
        <f>CONCATENATE(UPPER(TableAopCalendar[[#This Row],[Month]])," ",TableAopCalendar[[#This Row],[Year]])</f>
        <v>JUNE 29</v>
      </c>
      <c r="J2641" s="7" t="s">
        <v>274</v>
      </c>
      <c r="K2641" s="32" t="str">
        <f>CONCATENATE(TableAopCalendar[[#This Row],[Month for Plan]]," ",TableAopCalendar[[#This Row],[Plan]])</f>
        <v>JUNE 29 PLANNED</v>
      </c>
    </row>
    <row r="2642" spans="1:11" x14ac:dyDescent="0.3">
      <c r="A2642" s="32">
        <f t="shared" si="138"/>
        <v>2</v>
      </c>
      <c r="B2642" s="33">
        <v>47292</v>
      </c>
      <c r="C2642" s="6" t="s">
        <v>266</v>
      </c>
      <c r="D2642" s="34">
        <v>29</v>
      </c>
      <c r="E2642" s="32">
        <f>DAY(TableAopCalendar[[#This Row],[Date]])</f>
        <v>23</v>
      </c>
      <c r="F2642" s="32">
        <f>IF(TableAopCalendar[[#This Row],[Day]]&lt;8,1,IF(TableAopCalendar[[#This Row],[Day]]&lt;15,2,IF(TableAopCalendar[[#This Row],[Day]]&lt;22,3,IF(TableAopCalendar[[#This Row],[Day]]&lt;29,4,IF(TableAopCalendar[[#This Row],[Day]]&lt;32,5)))))</f>
        <v>4</v>
      </c>
      <c r="G2642" s="32" t="str">
        <f t="shared" si="139"/>
        <v>Week 4</v>
      </c>
      <c r="H2642" s="32" t="str">
        <f t="shared" si="140"/>
        <v>June 29 Week 4</v>
      </c>
      <c r="I2642" s="32" t="str">
        <f>CONCATENATE(UPPER(TableAopCalendar[[#This Row],[Month]])," ",TableAopCalendar[[#This Row],[Year]])</f>
        <v>JUNE 29</v>
      </c>
      <c r="J2642" s="7" t="s">
        <v>274</v>
      </c>
      <c r="K2642" s="32" t="str">
        <f>CONCATENATE(TableAopCalendar[[#This Row],[Month for Plan]]," ",TableAopCalendar[[#This Row],[Plan]])</f>
        <v>JUNE 29 PLANNED</v>
      </c>
    </row>
    <row r="2643" spans="1:11" x14ac:dyDescent="0.3">
      <c r="A2643" s="32">
        <f t="shared" si="138"/>
        <v>3</v>
      </c>
      <c r="B2643" s="33">
        <v>47293</v>
      </c>
      <c r="C2643" s="6" t="s">
        <v>266</v>
      </c>
      <c r="D2643" s="34">
        <v>29</v>
      </c>
      <c r="E2643" s="32">
        <f>DAY(TableAopCalendar[[#This Row],[Date]])</f>
        <v>24</v>
      </c>
      <c r="F2643" s="32">
        <f>IF(TableAopCalendar[[#This Row],[Day]]&lt;8,1,IF(TableAopCalendar[[#This Row],[Day]]&lt;15,2,IF(TableAopCalendar[[#This Row],[Day]]&lt;22,3,IF(TableAopCalendar[[#This Row],[Day]]&lt;29,4,IF(TableAopCalendar[[#This Row],[Day]]&lt;32,5)))))</f>
        <v>4</v>
      </c>
      <c r="G2643" s="32" t="str">
        <f t="shared" si="139"/>
        <v>Week 4</v>
      </c>
      <c r="H2643" s="32" t="str">
        <f t="shared" si="140"/>
        <v>June 29 Week 4</v>
      </c>
      <c r="I2643" s="32" t="str">
        <f>CONCATENATE(UPPER(TableAopCalendar[[#This Row],[Month]])," ",TableAopCalendar[[#This Row],[Year]])</f>
        <v>JUNE 29</v>
      </c>
      <c r="J2643" s="7" t="s">
        <v>274</v>
      </c>
      <c r="K2643" s="32" t="str">
        <f>CONCATENATE(TableAopCalendar[[#This Row],[Month for Plan]]," ",TableAopCalendar[[#This Row],[Plan]])</f>
        <v>JUNE 29 PLANNED</v>
      </c>
    </row>
    <row r="2644" spans="1:11" x14ac:dyDescent="0.3">
      <c r="A2644" s="32">
        <f t="shared" si="138"/>
        <v>4</v>
      </c>
      <c r="B2644" s="33">
        <v>47294</v>
      </c>
      <c r="C2644" s="6" t="s">
        <v>266</v>
      </c>
      <c r="D2644" s="34">
        <v>29</v>
      </c>
      <c r="E2644" s="32">
        <f>DAY(TableAopCalendar[[#This Row],[Date]])</f>
        <v>25</v>
      </c>
      <c r="F2644" s="32">
        <f>IF(TableAopCalendar[[#This Row],[Day]]&lt;8,1,IF(TableAopCalendar[[#This Row],[Day]]&lt;15,2,IF(TableAopCalendar[[#This Row],[Day]]&lt;22,3,IF(TableAopCalendar[[#This Row],[Day]]&lt;29,4,IF(TableAopCalendar[[#This Row],[Day]]&lt;32,5)))))</f>
        <v>4</v>
      </c>
      <c r="G2644" s="32" t="str">
        <f t="shared" si="139"/>
        <v>Week 4</v>
      </c>
      <c r="H2644" s="32" t="str">
        <f t="shared" si="140"/>
        <v>June 29 Week 4</v>
      </c>
      <c r="I2644" s="32" t="str">
        <f>CONCATENATE(UPPER(TableAopCalendar[[#This Row],[Month]])," ",TableAopCalendar[[#This Row],[Year]])</f>
        <v>JUNE 29</v>
      </c>
      <c r="J2644" s="7" t="s">
        <v>274</v>
      </c>
      <c r="K2644" s="32" t="str">
        <f>CONCATENATE(TableAopCalendar[[#This Row],[Month for Plan]]," ",TableAopCalendar[[#This Row],[Plan]])</f>
        <v>JUNE 29 PLANNED</v>
      </c>
    </row>
    <row r="2645" spans="1:11" x14ac:dyDescent="0.3">
      <c r="A2645" s="32">
        <f t="shared" si="138"/>
        <v>5</v>
      </c>
      <c r="B2645" s="33">
        <v>47295</v>
      </c>
      <c r="C2645" s="6" t="s">
        <v>266</v>
      </c>
      <c r="D2645" s="34">
        <v>29</v>
      </c>
      <c r="E2645" s="32">
        <f>DAY(TableAopCalendar[[#This Row],[Date]])</f>
        <v>26</v>
      </c>
      <c r="F2645" s="32">
        <f>IF(TableAopCalendar[[#This Row],[Day]]&lt;8,1,IF(TableAopCalendar[[#This Row],[Day]]&lt;15,2,IF(TableAopCalendar[[#This Row],[Day]]&lt;22,3,IF(TableAopCalendar[[#This Row],[Day]]&lt;29,4,IF(TableAopCalendar[[#This Row],[Day]]&lt;32,5)))))</f>
        <v>4</v>
      </c>
      <c r="G2645" s="32" t="str">
        <f t="shared" si="139"/>
        <v>Week 4</v>
      </c>
      <c r="H2645" s="32" t="str">
        <f t="shared" si="140"/>
        <v>June 29 Week 4</v>
      </c>
      <c r="I2645" s="32" t="str">
        <f>CONCATENATE(UPPER(TableAopCalendar[[#This Row],[Month]])," ",TableAopCalendar[[#This Row],[Year]])</f>
        <v>JUNE 29</v>
      </c>
      <c r="J2645" s="7" t="s">
        <v>274</v>
      </c>
      <c r="K2645" s="32" t="str">
        <f>CONCATENATE(TableAopCalendar[[#This Row],[Month for Plan]]," ",TableAopCalendar[[#This Row],[Plan]])</f>
        <v>JUNE 29 PLANNED</v>
      </c>
    </row>
    <row r="2646" spans="1:11" x14ac:dyDescent="0.3">
      <c r="A2646" s="32">
        <f t="shared" si="138"/>
        <v>6</v>
      </c>
      <c r="B2646" s="33">
        <v>47296</v>
      </c>
      <c r="C2646" s="6" t="s">
        <v>266</v>
      </c>
      <c r="D2646" s="34">
        <v>29</v>
      </c>
      <c r="E2646" s="32">
        <f>DAY(TableAopCalendar[[#This Row],[Date]])</f>
        <v>27</v>
      </c>
      <c r="F2646" s="32">
        <f>IF(TableAopCalendar[[#This Row],[Day]]&lt;8,1,IF(TableAopCalendar[[#This Row],[Day]]&lt;15,2,IF(TableAopCalendar[[#This Row],[Day]]&lt;22,3,IF(TableAopCalendar[[#This Row],[Day]]&lt;29,4,IF(TableAopCalendar[[#This Row],[Day]]&lt;32,5)))))</f>
        <v>4</v>
      </c>
      <c r="G2646" s="32" t="str">
        <f t="shared" si="139"/>
        <v>Week 4</v>
      </c>
      <c r="H2646" s="32" t="str">
        <f t="shared" si="140"/>
        <v>June 29 Week 4</v>
      </c>
      <c r="I2646" s="32" t="str">
        <f>CONCATENATE(UPPER(TableAopCalendar[[#This Row],[Month]])," ",TableAopCalendar[[#This Row],[Year]])</f>
        <v>JUNE 29</v>
      </c>
      <c r="J2646" s="7" t="s">
        <v>274</v>
      </c>
      <c r="K2646" s="32" t="str">
        <f>CONCATENATE(TableAopCalendar[[#This Row],[Month for Plan]]," ",TableAopCalendar[[#This Row],[Plan]])</f>
        <v>JUNE 29 PLANNED</v>
      </c>
    </row>
    <row r="2647" spans="1:11" x14ac:dyDescent="0.3">
      <c r="A2647" s="32">
        <f t="shared" si="138"/>
        <v>7</v>
      </c>
      <c r="B2647" s="33">
        <v>47297</v>
      </c>
      <c r="C2647" s="6" t="s">
        <v>266</v>
      </c>
      <c r="D2647" s="34">
        <v>29</v>
      </c>
      <c r="E2647" s="32">
        <f>DAY(TableAopCalendar[[#This Row],[Date]])</f>
        <v>28</v>
      </c>
      <c r="F2647" s="32">
        <f>IF(TableAopCalendar[[#This Row],[Day]]&lt;8,1,IF(TableAopCalendar[[#This Row],[Day]]&lt;15,2,IF(TableAopCalendar[[#This Row],[Day]]&lt;22,3,IF(TableAopCalendar[[#This Row],[Day]]&lt;29,4,IF(TableAopCalendar[[#This Row],[Day]]&lt;32,5)))))</f>
        <v>4</v>
      </c>
      <c r="G2647" s="32" t="str">
        <f t="shared" si="139"/>
        <v>Week 4</v>
      </c>
      <c r="H2647" s="32" t="str">
        <f t="shared" si="140"/>
        <v>June 29 Week 4</v>
      </c>
      <c r="I2647" s="32" t="str">
        <f>CONCATENATE(UPPER(TableAopCalendar[[#This Row],[Month]])," ",TableAopCalendar[[#This Row],[Year]])</f>
        <v>JUNE 29</v>
      </c>
      <c r="J2647" s="7" t="s">
        <v>274</v>
      </c>
      <c r="K2647" s="32" t="str">
        <f>CONCATENATE(TableAopCalendar[[#This Row],[Month for Plan]]," ",TableAopCalendar[[#This Row],[Plan]])</f>
        <v>JUNE 29 PLANNED</v>
      </c>
    </row>
    <row r="2648" spans="1:11" x14ac:dyDescent="0.3">
      <c r="A2648" s="32">
        <f t="shared" si="138"/>
        <v>1</v>
      </c>
      <c r="B2648" s="33">
        <v>47298</v>
      </c>
      <c r="C2648" s="6" t="s">
        <v>266</v>
      </c>
      <c r="D2648" s="34">
        <v>29</v>
      </c>
      <c r="E2648" s="32">
        <f>DAY(TableAopCalendar[[#This Row],[Date]])</f>
        <v>29</v>
      </c>
      <c r="F2648" s="32">
        <f>IF(TableAopCalendar[[#This Row],[Day]]&lt;8,1,IF(TableAopCalendar[[#This Row],[Day]]&lt;15,2,IF(TableAopCalendar[[#This Row],[Day]]&lt;22,3,IF(TableAopCalendar[[#This Row],[Day]]&lt;29,4,IF(TableAopCalendar[[#This Row],[Day]]&lt;32,5)))))</f>
        <v>5</v>
      </c>
      <c r="G2648" s="32" t="str">
        <f t="shared" si="139"/>
        <v>Week 5</v>
      </c>
      <c r="H2648" s="32" t="str">
        <f t="shared" si="140"/>
        <v>June 29 Week 5</v>
      </c>
      <c r="I2648" s="32" t="str">
        <f>CONCATENATE(UPPER(TableAopCalendar[[#This Row],[Month]])," ",TableAopCalendar[[#This Row],[Year]])</f>
        <v>JUNE 29</v>
      </c>
      <c r="J2648" s="7" t="s">
        <v>274</v>
      </c>
      <c r="K2648" s="32" t="str">
        <f>CONCATENATE(TableAopCalendar[[#This Row],[Month for Plan]]," ",TableAopCalendar[[#This Row],[Plan]])</f>
        <v>JUNE 29 PLANNED</v>
      </c>
    </row>
    <row r="2649" spans="1:11" x14ac:dyDescent="0.3">
      <c r="A2649" s="32">
        <f t="shared" si="138"/>
        <v>2</v>
      </c>
      <c r="B2649" s="33">
        <v>47299</v>
      </c>
      <c r="C2649" s="6" t="s">
        <v>266</v>
      </c>
      <c r="D2649" s="34">
        <v>29</v>
      </c>
      <c r="E2649" s="32">
        <f>DAY(TableAopCalendar[[#This Row],[Date]])</f>
        <v>30</v>
      </c>
      <c r="F2649" s="32">
        <f>IF(TableAopCalendar[[#This Row],[Day]]&lt;8,1,IF(TableAopCalendar[[#This Row],[Day]]&lt;15,2,IF(TableAopCalendar[[#This Row],[Day]]&lt;22,3,IF(TableAopCalendar[[#This Row],[Day]]&lt;29,4,IF(TableAopCalendar[[#This Row],[Day]]&lt;32,5)))))</f>
        <v>5</v>
      </c>
      <c r="G2649" s="32" t="str">
        <f t="shared" si="139"/>
        <v>Week 5</v>
      </c>
      <c r="H2649" s="32" t="str">
        <f t="shared" si="140"/>
        <v>June 29 Week 5</v>
      </c>
      <c r="I2649" s="32" t="str">
        <f>CONCATENATE(UPPER(TableAopCalendar[[#This Row],[Month]])," ",TableAopCalendar[[#This Row],[Year]])</f>
        <v>JUNE 29</v>
      </c>
      <c r="J2649" s="7" t="s">
        <v>274</v>
      </c>
      <c r="K2649" s="32" t="str">
        <f>CONCATENATE(TableAopCalendar[[#This Row],[Month for Plan]]," ",TableAopCalendar[[#This Row],[Plan]])</f>
        <v>JUNE 29 PLANNED</v>
      </c>
    </row>
    <row r="2650" spans="1:11" x14ac:dyDescent="0.3">
      <c r="A2650" s="32">
        <f t="shared" si="138"/>
        <v>1</v>
      </c>
      <c r="B2650" s="33">
        <v>47300</v>
      </c>
      <c r="C2650" s="6" t="s">
        <v>267</v>
      </c>
      <c r="D2650" s="34">
        <v>29</v>
      </c>
      <c r="E2650" s="32">
        <f>DAY(TableAopCalendar[[#This Row],[Date]])</f>
        <v>1</v>
      </c>
      <c r="F2650" s="32">
        <f>IF(TableAopCalendar[[#This Row],[Day]]&lt;8,1,IF(TableAopCalendar[[#This Row],[Day]]&lt;15,2,IF(TableAopCalendar[[#This Row],[Day]]&lt;22,3,IF(TableAopCalendar[[#This Row],[Day]]&lt;29,4,IF(TableAopCalendar[[#This Row],[Day]]&lt;32,5)))))</f>
        <v>1</v>
      </c>
      <c r="G2650" s="32" t="str">
        <f t="shared" si="139"/>
        <v>Week 1</v>
      </c>
      <c r="H2650" s="32" t="str">
        <f t="shared" si="140"/>
        <v>July 29 Week 1</v>
      </c>
      <c r="I2650" s="32" t="str">
        <f>CONCATENATE(UPPER(TableAopCalendar[[#This Row],[Month]])," ",TableAopCalendar[[#This Row],[Year]])</f>
        <v>JULY 29</v>
      </c>
      <c r="J2650" s="7" t="s">
        <v>274</v>
      </c>
      <c r="K2650" s="32" t="str">
        <f>CONCATENATE(TableAopCalendar[[#This Row],[Month for Plan]]," ",TableAopCalendar[[#This Row],[Plan]])</f>
        <v>JULY 29 PLANNED</v>
      </c>
    </row>
    <row r="2651" spans="1:11" x14ac:dyDescent="0.3">
      <c r="A2651" s="32">
        <f t="shared" si="138"/>
        <v>2</v>
      </c>
      <c r="B2651" s="33">
        <v>47301</v>
      </c>
      <c r="C2651" s="6" t="s">
        <v>267</v>
      </c>
      <c r="D2651" s="34">
        <v>29</v>
      </c>
      <c r="E2651" s="32">
        <f>DAY(TableAopCalendar[[#This Row],[Date]])</f>
        <v>2</v>
      </c>
      <c r="F2651" s="32">
        <f>IF(TableAopCalendar[[#This Row],[Day]]&lt;8,1,IF(TableAopCalendar[[#This Row],[Day]]&lt;15,2,IF(TableAopCalendar[[#This Row],[Day]]&lt;22,3,IF(TableAopCalendar[[#This Row],[Day]]&lt;29,4,IF(TableAopCalendar[[#This Row],[Day]]&lt;32,5)))))</f>
        <v>1</v>
      </c>
      <c r="G2651" s="32" t="str">
        <f t="shared" si="139"/>
        <v>Week 1</v>
      </c>
      <c r="H2651" s="32" t="str">
        <f t="shared" si="140"/>
        <v>July 29 Week 1</v>
      </c>
      <c r="I2651" s="32" t="str">
        <f>CONCATENATE(UPPER(TableAopCalendar[[#This Row],[Month]])," ",TableAopCalendar[[#This Row],[Year]])</f>
        <v>JULY 29</v>
      </c>
      <c r="J2651" s="7" t="s">
        <v>274</v>
      </c>
      <c r="K2651" s="32" t="str">
        <f>CONCATENATE(TableAopCalendar[[#This Row],[Month for Plan]]," ",TableAopCalendar[[#This Row],[Plan]])</f>
        <v>JULY 29 PLANNED</v>
      </c>
    </row>
    <row r="2652" spans="1:11" x14ac:dyDescent="0.3">
      <c r="A2652" s="32">
        <f t="shared" si="138"/>
        <v>3</v>
      </c>
      <c r="B2652" s="33">
        <v>47302</v>
      </c>
      <c r="C2652" s="6" t="s">
        <v>267</v>
      </c>
      <c r="D2652" s="34">
        <v>29</v>
      </c>
      <c r="E2652" s="32">
        <f>DAY(TableAopCalendar[[#This Row],[Date]])</f>
        <v>3</v>
      </c>
      <c r="F2652" s="32">
        <f>IF(TableAopCalendar[[#This Row],[Day]]&lt;8,1,IF(TableAopCalendar[[#This Row],[Day]]&lt;15,2,IF(TableAopCalendar[[#This Row],[Day]]&lt;22,3,IF(TableAopCalendar[[#This Row],[Day]]&lt;29,4,IF(TableAopCalendar[[#This Row],[Day]]&lt;32,5)))))</f>
        <v>1</v>
      </c>
      <c r="G2652" s="32" t="str">
        <f t="shared" si="139"/>
        <v>Week 1</v>
      </c>
      <c r="H2652" s="32" t="str">
        <f t="shared" si="140"/>
        <v>July 29 Week 1</v>
      </c>
      <c r="I2652" s="32" t="str">
        <f>CONCATENATE(UPPER(TableAopCalendar[[#This Row],[Month]])," ",TableAopCalendar[[#This Row],[Year]])</f>
        <v>JULY 29</v>
      </c>
      <c r="J2652" s="7" t="s">
        <v>274</v>
      </c>
      <c r="K2652" s="32" t="str">
        <f>CONCATENATE(TableAopCalendar[[#This Row],[Month for Plan]]," ",TableAopCalendar[[#This Row],[Plan]])</f>
        <v>JULY 29 PLANNED</v>
      </c>
    </row>
    <row r="2653" spans="1:11" x14ac:dyDescent="0.3">
      <c r="A2653" s="32">
        <f t="shared" si="138"/>
        <v>4</v>
      </c>
      <c r="B2653" s="33">
        <v>47303</v>
      </c>
      <c r="C2653" s="6" t="s">
        <v>267</v>
      </c>
      <c r="D2653" s="34">
        <v>29</v>
      </c>
      <c r="E2653" s="32">
        <f>DAY(TableAopCalendar[[#This Row],[Date]])</f>
        <v>4</v>
      </c>
      <c r="F2653" s="32">
        <f>IF(TableAopCalendar[[#This Row],[Day]]&lt;8,1,IF(TableAopCalendar[[#This Row],[Day]]&lt;15,2,IF(TableAopCalendar[[#This Row],[Day]]&lt;22,3,IF(TableAopCalendar[[#This Row],[Day]]&lt;29,4,IF(TableAopCalendar[[#This Row],[Day]]&lt;32,5)))))</f>
        <v>1</v>
      </c>
      <c r="G2653" s="32" t="str">
        <f t="shared" si="139"/>
        <v>Week 1</v>
      </c>
      <c r="H2653" s="32" t="str">
        <f t="shared" si="140"/>
        <v>July 29 Week 1</v>
      </c>
      <c r="I2653" s="32" t="str">
        <f>CONCATENATE(UPPER(TableAopCalendar[[#This Row],[Month]])," ",TableAopCalendar[[#This Row],[Year]])</f>
        <v>JULY 29</v>
      </c>
      <c r="J2653" s="7" t="s">
        <v>274</v>
      </c>
      <c r="K2653" s="32" t="str">
        <f>CONCATENATE(TableAopCalendar[[#This Row],[Month for Plan]]," ",TableAopCalendar[[#This Row],[Plan]])</f>
        <v>JULY 29 PLANNED</v>
      </c>
    </row>
    <row r="2654" spans="1:11" x14ac:dyDescent="0.3">
      <c r="A2654" s="32">
        <f t="shared" si="138"/>
        <v>5</v>
      </c>
      <c r="B2654" s="33">
        <v>47304</v>
      </c>
      <c r="C2654" s="6" t="s">
        <v>267</v>
      </c>
      <c r="D2654" s="34">
        <v>29</v>
      </c>
      <c r="E2654" s="32">
        <f>DAY(TableAopCalendar[[#This Row],[Date]])</f>
        <v>5</v>
      </c>
      <c r="F2654" s="32">
        <f>IF(TableAopCalendar[[#This Row],[Day]]&lt;8,1,IF(TableAopCalendar[[#This Row],[Day]]&lt;15,2,IF(TableAopCalendar[[#This Row],[Day]]&lt;22,3,IF(TableAopCalendar[[#This Row],[Day]]&lt;29,4,IF(TableAopCalendar[[#This Row],[Day]]&lt;32,5)))))</f>
        <v>1</v>
      </c>
      <c r="G2654" s="32" t="str">
        <f t="shared" si="139"/>
        <v>Week 1</v>
      </c>
      <c r="H2654" s="32" t="str">
        <f t="shared" si="140"/>
        <v>July 29 Week 1</v>
      </c>
      <c r="I2654" s="32" t="str">
        <f>CONCATENATE(UPPER(TableAopCalendar[[#This Row],[Month]])," ",TableAopCalendar[[#This Row],[Year]])</f>
        <v>JULY 29</v>
      </c>
      <c r="J2654" s="7" t="s">
        <v>274</v>
      </c>
      <c r="K2654" s="32" t="str">
        <f>CONCATENATE(TableAopCalendar[[#This Row],[Month for Plan]]," ",TableAopCalendar[[#This Row],[Plan]])</f>
        <v>JULY 29 PLANNED</v>
      </c>
    </row>
    <row r="2655" spans="1:11" x14ac:dyDescent="0.3">
      <c r="A2655" s="32">
        <f t="shared" si="138"/>
        <v>6</v>
      </c>
      <c r="B2655" s="33">
        <v>47305</v>
      </c>
      <c r="C2655" s="6" t="s">
        <v>267</v>
      </c>
      <c r="D2655" s="34">
        <v>29</v>
      </c>
      <c r="E2655" s="32">
        <f>DAY(TableAopCalendar[[#This Row],[Date]])</f>
        <v>6</v>
      </c>
      <c r="F2655" s="32">
        <f>IF(TableAopCalendar[[#This Row],[Day]]&lt;8,1,IF(TableAopCalendar[[#This Row],[Day]]&lt;15,2,IF(TableAopCalendar[[#This Row],[Day]]&lt;22,3,IF(TableAopCalendar[[#This Row],[Day]]&lt;29,4,IF(TableAopCalendar[[#This Row],[Day]]&lt;32,5)))))</f>
        <v>1</v>
      </c>
      <c r="G2655" s="32" t="str">
        <f t="shared" si="139"/>
        <v>Week 1</v>
      </c>
      <c r="H2655" s="32" t="str">
        <f t="shared" si="140"/>
        <v>July 29 Week 1</v>
      </c>
      <c r="I2655" s="32" t="str">
        <f>CONCATENATE(UPPER(TableAopCalendar[[#This Row],[Month]])," ",TableAopCalendar[[#This Row],[Year]])</f>
        <v>JULY 29</v>
      </c>
      <c r="J2655" s="7" t="s">
        <v>274</v>
      </c>
      <c r="K2655" s="32" t="str">
        <f>CONCATENATE(TableAopCalendar[[#This Row],[Month for Plan]]," ",TableAopCalendar[[#This Row],[Plan]])</f>
        <v>JULY 29 PLANNED</v>
      </c>
    </row>
    <row r="2656" spans="1:11" x14ac:dyDescent="0.3">
      <c r="A2656" s="32">
        <f t="shared" si="138"/>
        <v>7</v>
      </c>
      <c r="B2656" s="33">
        <v>47306</v>
      </c>
      <c r="C2656" s="6" t="s">
        <v>267</v>
      </c>
      <c r="D2656" s="34">
        <v>29</v>
      </c>
      <c r="E2656" s="32">
        <f>DAY(TableAopCalendar[[#This Row],[Date]])</f>
        <v>7</v>
      </c>
      <c r="F2656" s="32">
        <f>IF(TableAopCalendar[[#This Row],[Day]]&lt;8,1,IF(TableAopCalendar[[#This Row],[Day]]&lt;15,2,IF(TableAopCalendar[[#This Row],[Day]]&lt;22,3,IF(TableAopCalendar[[#This Row],[Day]]&lt;29,4,IF(TableAopCalendar[[#This Row],[Day]]&lt;32,5)))))</f>
        <v>1</v>
      </c>
      <c r="G2656" s="32" t="str">
        <f t="shared" si="139"/>
        <v>Week 1</v>
      </c>
      <c r="H2656" s="32" t="str">
        <f t="shared" si="140"/>
        <v>July 29 Week 1</v>
      </c>
      <c r="I2656" s="32" t="str">
        <f>CONCATENATE(UPPER(TableAopCalendar[[#This Row],[Month]])," ",TableAopCalendar[[#This Row],[Year]])</f>
        <v>JULY 29</v>
      </c>
      <c r="J2656" s="7" t="s">
        <v>274</v>
      </c>
      <c r="K2656" s="32" t="str">
        <f>CONCATENATE(TableAopCalendar[[#This Row],[Month for Plan]]," ",TableAopCalendar[[#This Row],[Plan]])</f>
        <v>JULY 29 PLANNED</v>
      </c>
    </row>
    <row r="2657" spans="1:11" x14ac:dyDescent="0.3">
      <c r="A2657" s="32">
        <f t="shared" si="138"/>
        <v>1</v>
      </c>
      <c r="B2657" s="33">
        <v>47307</v>
      </c>
      <c r="C2657" s="6" t="s">
        <v>267</v>
      </c>
      <c r="D2657" s="34">
        <v>29</v>
      </c>
      <c r="E2657" s="32">
        <f>DAY(TableAopCalendar[[#This Row],[Date]])</f>
        <v>8</v>
      </c>
      <c r="F2657" s="32">
        <f>IF(TableAopCalendar[[#This Row],[Day]]&lt;8,1,IF(TableAopCalendar[[#This Row],[Day]]&lt;15,2,IF(TableAopCalendar[[#This Row],[Day]]&lt;22,3,IF(TableAopCalendar[[#This Row],[Day]]&lt;29,4,IF(TableAopCalendar[[#This Row],[Day]]&lt;32,5)))))</f>
        <v>2</v>
      </c>
      <c r="G2657" s="32" t="str">
        <f t="shared" si="139"/>
        <v>Week 2</v>
      </c>
      <c r="H2657" s="32" t="str">
        <f t="shared" si="140"/>
        <v>July 29 Week 2</v>
      </c>
      <c r="I2657" s="32" t="str">
        <f>CONCATENATE(UPPER(TableAopCalendar[[#This Row],[Month]])," ",TableAopCalendar[[#This Row],[Year]])</f>
        <v>JULY 29</v>
      </c>
      <c r="J2657" s="7" t="s">
        <v>274</v>
      </c>
      <c r="K2657" s="32" t="str">
        <f>CONCATENATE(TableAopCalendar[[#This Row],[Month for Plan]]," ",TableAopCalendar[[#This Row],[Plan]])</f>
        <v>JULY 29 PLANNED</v>
      </c>
    </row>
    <row r="2658" spans="1:11" x14ac:dyDescent="0.3">
      <c r="A2658" s="32">
        <f t="shared" si="138"/>
        <v>2</v>
      </c>
      <c r="B2658" s="33">
        <v>47308</v>
      </c>
      <c r="C2658" s="6" t="s">
        <v>267</v>
      </c>
      <c r="D2658" s="34">
        <v>29</v>
      </c>
      <c r="E2658" s="32">
        <f>DAY(TableAopCalendar[[#This Row],[Date]])</f>
        <v>9</v>
      </c>
      <c r="F2658" s="32">
        <f>IF(TableAopCalendar[[#This Row],[Day]]&lt;8,1,IF(TableAopCalendar[[#This Row],[Day]]&lt;15,2,IF(TableAopCalendar[[#This Row],[Day]]&lt;22,3,IF(TableAopCalendar[[#This Row],[Day]]&lt;29,4,IF(TableAopCalendar[[#This Row],[Day]]&lt;32,5)))))</f>
        <v>2</v>
      </c>
      <c r="G2658" s="32" t="str">
        <f t="shared" si="139"/>
        <v>Week 2</v>
      </c>
      <c r="H2658" s="32" t="str">
        <f t="shared" si="140"/>
        <v>July 29 Week 2</v>
      </c>
      <c r="I2658" s="32" t="str">
        <f>CONCATENATE(UPPER(TableAopCalendar[[#This Row],[Month]])," ",TableAopCalendar[[#This Row],[Year]])</f>
        <v>JULY 29</v>
      </c>
      <c r="J2658" s="7" t="s">
        <v>274</v>
      </c>
      <c r="K2658" s="32" t="str">
        <f>CONCATENATE(TableAopCalendar[[#This Row],[Month for Plan]]," ",TableAopCalendar[[#This Row],[Plan]])</f>
        <v>JULY 29 PLANNED</v>
      </c>
    </row>
    <row r="2659" spans="1:11" x14ac:dyDescent="0.3">
      <c r="A2659" s="32">
        <f t="shared" si="138"/>
        <v>3</v>
      </c>
      <c r="B2659" s="33">
        <v>47309</v>
      </c>
      <c r="C2659" s="6" t="s">
        <v>267</v>
      </c>
      <c r="D2659" s="34">
        <v>29</v>
      </c>
      <c r="E2659" s="32">
        <f>DAY(TableAopCalendar[[#This Row],[Date]])</f>
        <v>10</v>
      </c>
      <c r="F2659" s="32">
        <f>IF(TableAopCalendar[[#This Row],[Day]]&lt;8,1,IF(TableAopCalendar[[#This Row],[Day]]&lt;15,2,IF(TableAopCalendar[[#This Row],[Day]]&lt;22,3,IF(TableAopCalendar[[#This Row],[Day]]&lt;29,4,IF(TableAopCalendar[[#This Row],[Day]]&lt;32,5)))))</f>
        <v>2</v>
      </c>
      <c r="G2659" s="32" t="str">
        <f t="shared" si="139"/>
        <v>Week 2</v>
      </c>
      <c r="H2659" s="32" t="str">
        <f t="shared" si="140"/>
        <v>July 29 Week 2</v>
      </c>
      <c r="I2659" s="32" t="str">
        <f>CONCATENATE(UPPER(TableAopCalendar[[#This Row],[Month]])," ",TableAopCalendar[[#This Row],[Year]])</f>
        <v>JULY 29</v>
      </c>
      <c r="J2659" s="7" t="s">
        <v>274</v>
      </c>
      <c r="K2659" s="32" t="str">
        <f>CONCATENATE(TableAopCalendar[[#This Row],[Month for Plan]]," ",TableAopCalendar[[#This Row],[Plan]])</f>
        <v>JULY 29 PLANNED</v>
      </c>
    </row>
    <row r="2660" spans="1:11" x14ac:dyDescent="0.3">
      <c r="A2660" s="32">
        <f t="shared" ref="A2660:A2723" si="141">IF(G2660=G2659,A2659+1,1)</f>
        <v>4</v>
      </c>
      <c r="B2660" s="33">
        <v>47310</v>
      </c>
      <c r="C2660" s="6" t="s">
        <v>267</v>
      </c>
      <c r="D2660" s="34">
        <v>29</v>
      </c>
      <c r="E2660" s="32">
        <f>DAY(TableAopCalendar[[#This Row],[Date]])</f>
        <v>11</v>
      </c>
      <c r="F2660" s="32">
        <f>IF(TableAopCalendar[[#This Row],[Day]]&lt;8,1,IF(TableAopCalendar[[#This Row],[Day]]&lt;15,2,IF(TableAopCalendar[[#This Row],[Day]]&lt;22,3,IF(TableAopCalendar[[#This Row],[Day]]&lt;29,4,IF(TableAopCalendar[[#This Row],[Day]]&lt;32,5)))))</f>
        <v>2</v>
      </c>
      <c r="G2660" s="32" t="str">
        <f t="shared" ref="G2660:G2723" si="142">"Week"&amp;" "&amp;F2660</f>
        <v>Week 2</v>
      </c>
      <c r="H2660" s="32" t="str">
        <f t="shared" ref="H2660:H2723" si="143">CONCATENATE(C2660," ",D2660," ",G2660)</f>
        <v>July 29 Week 2</v>
      </c>
      <c r="I2660" s="32" t="str">
        <f>CONCATENATE(UPPER(TableAopCalendar[[#This Row],[Month]])," ",TableAopCalendar[[#This Row],[Year]])</f>
        <v>JULY 29</v>
      </c>
      <c r="J2660" s="7" t="s">
        <v>274</v>
      </c>
      <c r="K2660" s="32" t="str">
        <f>CONCATENATE(TableAopCalendar[[#This Row],[Month for Plan]]," ",TableAopCalendar[[#This Row],[Plan]])</f>
        <v>JULY 29 PLANNED</v>
      </c>
    </row>
    <row r="2661" spans="1:11" x14ac:dyDescent="0.3">
      <c r="A2661" s="32">
        <f t="shared" si="141"/>
        <v>5</v>
      </c>
      <c r="B2661" s="33">
        <v>47311</v>
      </c>
      <c r="C2661" s="6" t="s">
        <v>267</v>
      </c>
      <c r="D2661" s="34">
        <v>29</v>
      </c>
      <c r="E2661" s="32">
        <f>DAY(TableAopCalendar[[#This Row],[Date]])</f>
        <v>12</v>
      </c>
      <c r="F2661" s="32">
        <f>IF(TableAopCalendar[[#This Row],[Day]]&lt;8,1,IF(TableAopCalendar[[#This Row],[Day]]&lt;15,2,IF(TableAopCalendar[[#This Row],[Day]]&lt;22,3,IF(TableAopCalendar[[#This Row],[Day]]&lt;29,4,IF(TableAopCalendar[[#This Row],[Day]]&lt;32,5)))))</f>
        <v>2</v>
      </c>
      <c r="G2661" s="32" t="str">
        <f t="shared" si="142"/>
        <v>Week 2</v>
      </c>
      <c r="H2661" s="32" t="str">
        <f t="shared" si="143"/>
        <v>July 29 Week 2</v>
      </c>
      <c r="I2661" s="32" t="str">
        <f>CONCATENATE(UPPER(TableAopCalendar[[#This Row],[Month]])," ",TableAopCalendar[[#This Row],[Year]])</f>
        <v>JULY 29</v>
      </c>
      <c r="J2661" s="7" t="s">
        <v>274</v>
      </c>
      <c r="K2661" s="32" t="str">
        <f>CONCATENATE(TableAopCalendar[[#This Row],[Month for Plan]]," ",TableAopCalendar[[#This Row],[Plan]])</f>
        <v>JULY 29 PLANNED</v>
      </c>
    </row>
    <row r="2662" spans="1:11" x14ac:dyDescent="0.3">
      <c r="A2662" s="32">
        <f t="shared" si="141"/>
        <v>6</v>
      </c>
      <c r="B2662" s="33">
        <v>47312</v>
      </c>
      <c r="C2662" s="6" t="s">
        <v>267</v>
      </c>
      <c r="D2662" s="34">
        <v>29</v>
      </c>
      <c r="E2662" s="32">
        <f>DAY(TableAopCalendar[[#This Row],[Date]])</f>
        <v>13</v>
      </c>
      <c r="F2662" s="32">
        <f>IF(TableAopCalendar[[#This Row],[Day]]&lt;8,1,IF(TableAopCalendar[[#This Row],[Day]]&lt;15,2,IF(TableAopCalendar[[#This Row],[Day]]&lt;22,3,IF(TableAopCalendar[[#This Row],[Day]]&lt;29,4,IF(TableAopCalendar[[#This Row],[Day]]&lt;32,5)))))</f>
        <v>2</v>
      </c>
      <c r="G2662" s="32" t="str">
        <f t="shared" si="142"/>
        <v>Week 2</v>
      </c>
      <c r="H2662" s="32" t="str">
        <f t="shared" si="143"/>
        <v>July 29 Week 2</v>
      </c>
      <c r="I2662" s="32" t="str">
        <f>CONCATENATE(UPPER(TableAopCalendar[[#This Row],[Month]])," ",TableAopCalendar[[#This Row],[Year]])</f>
        <v>JULY 29</v>
      </c>
      <c r="J2662" s="7" t="s">
        <v>274</v>
      </c>
      <c r="K2662" s="32" t="str">
        <f>CONCATENATE(TableAopCalendar[[#This Row],[Month for Plan]]," ",TableAopCalendar[[#This Row],[Plan]])</f>
        <v>JULY 29 PLANNED</v>
      </c>
    </row>
    <row r="2663" spans="1:11" x14ac:dyDescent="0.3">
      <c r="A2663" s="32">
        <f t="shared" si="141"/>
        <v>7</v>
      </c>
      <c r="B2663" s="33">
        <v>47313</v>
      </c>
      <c r="C2663" s="6" t="s">
        <v>267</v>
      </c>
      <c r="D2663" s="34">
        <v>29</v>
      </c>
      <c r="E2663" s="32">
        <f>DAY(TableAopCalendar[[#This Row],[Date]])</f>
        <v>14</v>
      </c>
      <c r="F2663" s="32">
        <f>IF(TableAopCalendar[[#This Row],[Day]]&lt;8,1,IF(TableAopCalendar[[#This Row],[Day]]&lt;15,2,IF(TableAopCalendar[[#This Row],[Day]]&lt;22,3,IF(TableAopCalendar[[#This Row],[Day]]&lt;29,4,IF(TableAopCalendar[[#This Row],[Day]]&lt;32,5)))))</f>
        <v>2</v>
      </c>
      <c r="G2663" s="32" t="str">
        <f t="shared" si="142"/>
        <v>Week 2</v>
      </c>
      <c r="H2663" s="32" t="str">
        <f t="shared" si="143"/>
        <v>July 29 Week 2</v>
      </c>
      <c r="I2663" s="32" t="str">
        <f>CONCATENATE(UPPER(TableAopCalendar[[#This Row],[Month]])," ",TableAopCalendar[[#This Row],[Year]])</f>
        <v>JULY 29</v>
      </c>
      <c r="J2663" s="7" t="s">
        <v>274</v>
      </c>
      <c r="K2663" s="32" t="str">
        <f>CONCATENATE(TableAopCalendar[[#This Row],[Month for Plan]]," ",TableAopCalendar[[#This Row],[Plan]])</f>
        <v>JULY 29 PLANNED</v>
      </c>
    </row>
    <row r="2664" spans="1:11" x14ac:dyDescent="0.3">
      <c r="A2664" s="32">
        <f t="shared" si="141"/>
        <v>1</v>
      </c>
      <c r="B2664" s="33">
        <v>47314</v>
      </c>
      <c r="C2664" s="6" t="s">
        <v>267</v>
      </c>
      <c r="D2664" s="34">
        <v>29</v>
      </c>
      <c r="E2664" s="32">
        <f>DAY(TableAopCalendar[[#This Row],[Date]])</f>
        <v>15</v>
      </c>
      <c r="F2664" s="32">
        <f>IF(TableAopCalendar[[#This Row],[Day]]&lt;8,1,IF(TableAopCalendar[[#This Row],[Day]]&lt;15,2,IF(TableAopCalendar[[#This Row],[Day]]&lt;22,3,IF(TableAopCalendar[[#This Row],[Day]]&lt;29,4,IF(TableAopCalendar[[#This Row],[Day]]&lt;32,5)))))</f>
        <v>3</v>
      </c>
      <c r="G2664" s="32" t="str">
        <f t="shared" si="142"/>
        <v>Week 3</v>
      </c>
      <c r="H2664" s="32" t="str">
        <f t="shared" si="143"/>
        <v>July 29 Week 3</v>
      </c>
      <c r="I2664" s="32" t="str">
        <f>CONCATENATE(UPPER(TableAopCalendar[[#This Row],[Month]])," ",TableAopCalendar[[#This Row],[Year]])</f>
        <v>JULY 29</v>
      </c>
      <c r="J2664" s="7" t="s">
        <v>274</v>
      </c>
      <c r="K2664" s="32" t="str">
        <f>CONCATENATE(TableAopCalendar[[#This Row],[Month for Plan]]," ",TableAopCalendar[[#This Row],[Plan]])</f>
        <v>JULY 29 PLANNED</v>
      </c>
    </row>
    <row r="2665" spans="1:11" x14ac:dyDescent="0.3">
      <c r="A2665" s="32">
        <f t="shared" si="141"/>
        <v>2</v>
      </c>
      <c r="B2665" s="33">
        <v>47315</v>
      </c>
      <c r="C2665" s="6" t="s">
        <v>267</v>
      </c>
      <c r="D2665" s="34">
        <v>29</v>
      </c>
      <c r="E2665" s="32">
        <f>DAY(TableAopCalendar[[#This Row],[Date]])</f>
        <v>16</v>
      </c>
      <c r="F2665" s="32">
        <f>IF(TableAopCalendar[[#This Row],[Day]]&lt;8,1,IF(TableAopCalendar[[#This Row],[Day]]&lt;15,2,IF(TableAopCalendar[[#This Row],[Day]]&lt;22,3,IF(TableAopCalendar[[#This Row],[Day]]&lt;29,4,IF(TableAopCalendar[[#This Row],[Day]]&lt;32,5)))))</f>
        <v>3</v>
      </c>
      <c r="G2665" s="32" t="str">
        <f t="shared" si="142"/>
        <v>Week 3</v>
      </c>
      <c r="H2665" s="32" t="str">
        <f t="shared" si="143"/>
        <v>July 29 Week 3</v>
      </c>
      <c r="I2665" s="32" t="str">
        <f>CONCATENATE(UPPER(TableAopCalendar[[#This Row],[Month]])," ",TableAopCalendar[[#This Row],[Year]])</f>
        <v>JULY 29</v>
      </c>
      <c r="J2665" s="7" t="s">
        <v>274</v>
      </c>
      <c r="K2665" s="32" t="str">
        <f>CONCATENATE(TableAopCalendar[[#This Row],[Month for Plan]]," ",TableAopCalendar[[#This Row],[Plan]])</f>
        <v>JULY 29 PLANNED</v>
      </c>
    </row>
    <row r="2666" spans="1:11" x14ac:dyDescent="0.3">
      <c r="A2666" s="32">
        <f t="shared" si="141"/>
        <v>3</v>
      </c>
      <c r="B2666" s="33">
        <v>47316</v>
      </c>
      <c r="C2666" s="6" t="s">
        <v>267</v>
      </c>
      <c r="D2666" s="34">
        <v>29</v>
      </c>
      <c r="E2666" s="32">
        <f>DAY(TableAopCalendar[[#This Row],[Date]])</f>
        <v>17</v>
      </c>
      <c r="F2666" s="32">
        <f>IF(TableAopCalendar[[#This Row],[Day]]&lt;8,1,IF(TableAopCalendar[[#This Row],[Day]]&lt;15,2,IF(TableAopCalendar[[#This Row],[Day]]&lt;22,3,IF(TableAopCalendar[[#This Row],[Day]]&lt;29,4,IF(TableAopCalendar[[#This Row],[Day]]&lt;32,5)))))</f>
        <v>3</v>
      </c>
      <c r="G2666" s="32" t="str">
        <f t="shared" si="142"/>
        <v>Week 3</v>
      </c>
      <c r="H2666" s="32" t="str">
        <f t="shared" si="143"/>
        <v>July 29 Week 3</v>
      </c>
      <c r="I2666" s="32" t="str">
        <f>CONCATENATE(UPPER(TableAopCalendar[[#This Row],[Month]])," ",TableAopCalendar[[#This Row],[Year]])</f>
        <v>JULY 29</v>
      </c>
      <c r="J2666" s="7" t="s">
        <v>274</v>
      </c>
      <c r="K2666" s="32" t="str">
        <f>CONCATENATE(TableAopCalendar[[#This Row],[Month for Plan]]," ",TableAopCalendar[[#This Row],[Plan]])</f>
        <v>JULY 29 PLANNED</v>
      </c>
    </row>
    <row r="2667" spans="1:11" x14ac:dyDescent="0.3">
      <c r="A2667" s="32">
        <f t="shared" si="141"/>
        <v>4</v>
      </c>
      <c r="B2667" s="33">
        <v>47317</v>
      </c>
      <c r="C2667" s="6" t="s">
        <v>267</v>
      </c>
      <c r="D2667" s="34">
        <v>29</v>
      </c>
      <c r="E2667" s="32">
        <f>DAY(TableAopCalendar[[#This Row],[Date]])</f>
        <v>18</v>
      </c>
      <c r="F2667" s="32">
        <f>IF(TableAopCalendar[[#This Row],[Day]]&lt;8,1,IF(TableAopCalendar[[#This Row],[Day]]&lt;15,2,IF(TableAopCalendar[[#This Row],[Day]]&lt;22,3,IF(TableAopCalendar[[#This Row],[Day]]&lt;29,4,IF(TableAopCalendar[[#This Row],[Day]]&lt;32,5)))))</f>
        <v>3</v>
      </c>
      <c r="G2667" s="32" t="str">
        <f t="shared" si="142"/>
        <v>Week 3</v>
      </c>
      <c r="H2667" s="32" t="str">
        <f t="shared" si="143"/>
        <v>July 29 Week 3</v>
      </c>
      <c r="I2667" s="32" t="str">
        <f>CONCATENATE(UPPER(TableAopCalendar[[#This Row],[Month]])," ",TableAopCalendar[[#This Row],[Year]])</f>
        <v>JULY 29</v>
      </c>
      <c r="J2667" s="7" t="s">
        <v>274</v>
      </c>
      <c r="K2667" s="32" t="str">
        <f>CONCATENATE(TableAopCalendar[[#This Row],[Month for Plan]]," ",TableAopCalendar[[#This Row],[Plan]])</f>
        <v>JULY 29 PLANNED</v>
      </c>
    </row>
    <row r="2668" spans="1:11" x14ac:dyDescent="0.3">
      <c r="A2668" s="32">
        <f t="shared" si="141"/>
        <v>5</v>
      </c>
      <c r="B2668" s="33">
        <v>47318</v>
      </c>
      <c r="C2668" s="6" t="s">
        <v>267</v>
      </c>
      <c r="D2668" s="34">
        <v>29</v>
      </c>
      <c r="E2668" s="32">
        <f>DAY(TableAopCalendar[[#This Row],[Date]])</f>
        <v>19</v>
      </c>
      <c r="F2668" s="32">
        <f>IF(TableAopCalendar[[#This Row],[Day]]&lt;8,1,IF(TableAopCalendar[[#This Row],[Day]]&lt;15,2,IF(TableAopCalendar[[#This Row],[Day]]&lt;22,3,IF(TableAopCalendar[[#This Row],[Day]]&lt;29,4,IF(TableAopCalendar[[#This Row],[Day]]&lt;32,5)))))</f>
        <v>3</v>
      </c>
      <c r="G2668" s="32" t="str">
        <f t="shared" si="142"/>
        <v>Week 3</v>
      </c>
      <c r="H2668" s="32" t="str">
        <f t="shared" si="143"/>
        <v>July 29 Week 3</v>
      </c>
      <c r="I2668" s="32" t="str">
        <f>CONCATENATE(UPPER(TableAopCalendar[[#This Row],[Month]])," ",TableAopCalendar[[#This Row],[Year]])</f>
        <v>JULY 29</v>
      </c>
      <c r="J2668" s="7" t="s">
        <v>274</v>
      </c>
      <c r="K2668" s="32" t="str">
        <f>CONCATENATE(TableAopCalendar[[#This Row],[Month for Plan]]," ",TableAopCalendar[[#This Row],[Plan]])</f>
        <v>JULY 29 PLANNED</v>
      </c>
    </row>
    <row r="2669" spans="1:11" x14ac:dyDescent="0.3">
      <c r="A2669" s="32">
        <f t="shared" si="141"/>
        <v>6</v>
      </c>
      <c r="B2669" s="33">
        <v>47319</v>
      </c>
      <c r="C2669" s="6" t="s">
        <v>267</v>
      </c>
      <c r="D2669" s="34">
        <v>29</v>
      </c>
      <c r="E2669" s="32">
        <f>DAY(TableAopCalendar[[#This Row],[Date]])</f>
        <v>20</v>
      </c>
      <c r="F2669" s="32">
        <f>IF(TableAopCalendar[[#This Row],[Day]]&lt;8,1,IF(TableAopCalendar[[#This Row],[Day]]&lt;15,2,IF(TableAopCalendar[[#This Row],[Day]]&lt;22,3,IF(TableAopCalendar[[#This Row],[Day]]&lt;29,4,IF(TableAopCalendar[[#This Row],[Day]]&lt;32,5)))))</f>
        <v>3</v>
      </c>
      <c r="G2669" s="32" t="str">
        <f t="shared" si="142"/>
        <v>Week 3</v>
      </c>
      <c r="H2669" s="32" t="str">
        <f t="shared" si="143"/>
        <v>July 29 Week 3</v>
      </c>
      <c r="I2669" s="32" t="str">
        <f>CONCATENATE(UPPER(TableAopCalendar[[#This Row],[Month]])," ",TableAopCalendar[[#This Row],[Year]])</f>
        <v>JULY 29</v>
      </c>
      <c r="J2669" s="7" t="s">
        <v>274</v>
      </c>
      <c r="K2669" s="32" t="str">
        <f>CONCATENATE(TableAopCalendar[[#This Row],[Month for Plan]]," ",TableAopCalendar[[#This Row],[Plan]])</f>
        <v>JULY 29 PLANNED</v>
      </c>
    </row>
    <row r="2670" spans="1:11" x14ac:dyDescent="0.3">
      <c r="A2670" s="32">
        <f t="shared" si="141"/>
        <v>7</v>
      </c>
      <c r="B2670" s="33">
        <v>47320</v>
      </c>
      <c r="C2670" s="6" t="s">
        <v>267</v>
      </c>
      <c r="D2670" s="34">
        <v>29</v>
      </c>
      <c r="E2670" s="32">
        <f>DAY(TableAopCalendar[[#This Row],[Date]])</f>
        <v>21</v>
      </c>
      <c r="F2670" s="32">
        <f>IF(TableAopCalendar[[#This Row],[Day]]&lt;8,1,IF(TableAopCalendar[[#This Row],[Day]]&lt;15,2,IF(TableAopCalendar[[#This Row],[Day]]&lt;22,3,IF(TableAopCalendar[[#This Row],[Day]]&lt;29,4,IF(TableAopCalendar[[#This Row],[Day]]&lt;32,5)))))</f>
        <v>3</v>
      </c>
      <c r="G2670" s="32" t="str">
        <f t="shared" si="142"/>
        <v>Week 3</v>
      </c>
      <c r="H2670" s="32" t="str">
        <f t="shared" si="143"/>
        <v>July 29 Week 3</v>
      </c>
      <c r="I2670" s="32" t="str">
        <f>CONCATENATE(UPPER(TableAopCalendar[[#This Row],[Month]])," ",TableAopCalendar[[#This Row],[Year]])</f>
        <v>JULY 29</v>
      </c>
      <c r="J2670" s="7" t="s">
        <v>274</v>
      </c>
      <c r="K2670" s="32" t="str">
        <f>CONCATENATE(TableAopCalendar[[#This Row],[Month for Plan]]," ",TableAopCalendar[[#This Row],[Plan]])</f>
        <v>JULY 29 PLANNED</v>
      </c>
    </row>
    <row r="2671" spans="1:11" x14ac:dyDescent="0.3">
      <c r="A2671" s="32">
        <f t="shared" si="141"/>
        <v>1</v>
      </c>
      <c r="B2671" s="33">
        <v>47321</v>
      </c>
      <c r="C2671" s="6" t="s">
        <v>267</v>
      </c>
      <c r="D2671" s="34">
        <v>29</v>
      </c>
      <c r="E2671" s="32">
        <f>DAY(TableAopCalendar[[#This Row],[Date]])</f>
        <v>22</v>
      </c>
      <c r="F2671" s="32">
        <f>IF(TableAopCalendar[[#This Row],[Day]]&lt;8,1,IF(TableAopCalendar[[#This Row],[Day]]&lt;15,2,IF(TableAopCalendar[[#This Row],[Day]]&lt;22,3,IF(TableAopCalendar[[#This Row],[Day]]&lt;29,4,IF(TableAopCalendar[[#This Row],[Day]]&lt;32,5)))))</f>
        <v>4</v>
      </c>
      <c r="G2671" s="32" t="str">
        <f t="shared" si="142"/>
        <v>Week 4</v>
      </c>
      <c r="H2671" s="32" t="str">
        <f t="shared" si="143"/>
        <v>July 29 Week 4</v>
      </c>
      <c r="I2671" s="32" t="str">
        <f>CONCATENATE(UPPER(TableAopCalendar[[#This Row],[Month]])," ",TableAopCalendar[[#This Row],[Year]])</f>
        <v>JULY 29</v>
      </c>
      <c r="J2671" s="7" t="s">
        <v>274</v>
      </c>
      <c r="K2671" s="32" t="str">
        <f>CONCATENATE(TableAopCalendar[[#This Row],[Month for Plan]]," ",TableAopCalendar[[#This Row],[Plan]])</f>
        <v>JULY 29 PLANNED</v>
      </c>
    </row>
    <row r="2672" spans="1:11" x14ac:dyDescent="0.3">
      <c r="A2672" s="32">
        <f t="shared" si="141"/>
        <v>2</v>
      </c>
      <c r="B2672" s="33">
        <v>47322</v>
      </c>
      <c r="C2672" s="6" t="s">
        <v>267</v>
      </c>
      <c r="D2672" s="34">
        <v>29</v>
      </c>
      <c r="E2672" s="32">
        <f>DAY(TableAopCalendar[[#This Row],[Date]])</f>
        <v>23</v>
      </c>
      <c r="F2672" s="32">
        <f>IF(TableAopCalendar[[#This Row],[Day]]&lt;8,1,IF(TableAopCalendar[[#This Row],[Day]]&lt;15,2,IF(TableAopCalendar[[#This Row],[Day]]&lt;22,3,IF(TableAopCalendar[[#This Row],[Day]]&lt;29,4,IF(TableAopCalendar[[#This Row],[Day]]&lt;32,5)))))</f>
        <v>4</v>
      </c>
      <c r="G2672" s="32" t="str">
        <f t="shared" si="142"/>
        <v>Week 4</v>
      </c>
      <c r="H2672" s="32" t="str">
        <f t="shared" si="143"/>
        <v>July 29 Week 4</v>
      </c>
      <c r="I2672" s="32" t="str">
        <f>CONCATENATE(UPPER(TableAopCalendar[[#This Row],[Month]])," ",TableAopCalendar[[#This Row],[Year]])</f>
        <v>JULY 29</v>
      </c>
      <c r="J2672" s="7" t="s">
        <v>274</v>
      </c>
      <c r="K2672" s="32" t="str">
        <f>CONCATENATE(TableAopCalendar[[#This Row],[Month for Plan]]," ",TableAopCalendar[[#This Row],[Plan]])</f>
        <v>JULY 29 PLANNED</v>
      </c>
    </row>
    <row r="2673" spans="1:11" x14ac:dyDescent="0.3">
      <c r="A2673" s="32">
        <f t="shared" si="141"/>
        <v>3</v>
      </c>
      <c r="B2673" s="33">
        <v>47323</v>
      </c>
      <c r="C2673" s="6" t="s">
        <v>267</v>
      </c>
      <c r="D2673" s="34">
        <v>29</v>
      </c>
      <c r="E2673" s="32">
        <f>DAY(TableAopCalendar[[#This Row],[Date]])</f>
        <v>24</v>
      </c>
      <c r="F2673" s="32">
        <f>IF(TableAopCalendar[[#This Row],[Day]]&lt;8,1,IF(TableAopCalendar[[#This Row],[Day]]&lt;15,2,IF(TableAopCalendar[[#This Row],[Day]]&lt;22,3,IF(TableAopCalendar[[#This Row],[Day]]&lt;29,4,IF(TableAopCalendar[[#This Row],[Day]]&lt;32,5)))))</f>
        <v>4</v>
      </c>
      <c r="G2673" s="32" t="str">
        <f t="shared" si="142"/>
        <v>Week 4</v>
      </c>
      <c r="H2673" s="32" t="str">
        <f t="shared" si="143"/>
        <v>July 29 Week 4</v>
      </c>
      <c r="I2673" s="32" t="str">
        <f>CONCATENATE(UPPER(TableAopCalendar[[#This Row],[Month]])," ",TableAopCalendar[[#This Row],[Year]])</f>
        <v>JULY 29</v>
      </c>
      <c r="J2673" s="7" t="s">
        <v>274</v>
      </c>
      <c r="K2673" s="32" t="str">
        <f>CONCATENATE(TableAopCalendar[[#This Row],[Month for Plan]]," ",TableAopCalendar[[#This Row],[Plan]])</f>
        <v>JULY 29 PLANNED</v>
      </c>
    </row>
    <row r="2674" spans="1:11" x14ac:dyDescent="0.3">
      <c r="A2674" s="32">
        <f t="shared" si="141"/>
        <v>4</v>
      </c>
      <c r="B2674" s="33">
        <v>47324</v>
      </c>
      <c r="C2674" s="6" t="s">
        <v>267</v>
      </c>
      <c r="D2674" s="34">
        <v>29</v>
      </c>
      <c r="E2674" s="32">
        <f>DAY(TableAopCalendar[[#This Row],[Date]])</f>
        <v>25</v>
      </c>
      <c r="F2674" s="32">
        <f>IF(TableAopCalendar[[#This Row],[Day]]&lt;8,1,IF(TableAopCalendar[[#This Row],[Day]]&lt;15,2,IF(TableAopCalendar[[#This Row],[Day]]&lt;22,3,IF(TableAopCalendar[[#This Row],[Day]]&lt;29,4,IF(TableAopCalendar[[#This Row],[Day]]&lt;32,5)))))</f>
        <v>4</v>
      </c>
      <c r="G2674" s="32" t="str">
        <f t="shared" si="142"/>
        <v>Week 4</v>
      </c>
      <c r="H2674" s="32" t="str">
        <f t="shared" si="143"/>
        <v>July 29 Week 4</v>
      </c>
      <c r="I2674" s="32" t="str">
        <f>CONCATENATE(UPPER(TableAopCalendar[[#This Row],[Month]])," ",TableAopCalendar[[#This Row],[Year]])</f>
        <v>JULY 29</v>
      </c>
      <c r="J2674" s="7" t="s">
        <v>274</v>
      </c>
      <c r="K2674" s="32" t="str">
        <f>CONCATENATE(TableAopCalendar[[#This Row],[Month for Plan]]," ",TableAopCalendar[[#This Row],[Plan]])</f>
        <v>JULY 29 PLANNED</v>
      </c>
    </row>
    <row r="2675" spans="1:11" x14ac:dyDescent="0.3">
      <c r="A2675" s="32">
        <f t="shared" si="141"/>
        <v>5</v>
      </c>
      <c r="B2675" s="33">
        <v>47325</v>
      </c>
      <c r="C2675" s="6" t="s">
        <v>267</v>
      </c>
      <c r="D2675" s="34">
        <v>29</v>
      </c>
      <c r="E2675" s="32">
        <f>DAY(TableAopCalendar[[#This Row],[Date]])</f>
        <v>26</v>
      </c>
      <c r="F2675" s="32">
        <f>IF(TableAopCalendar[[#This Row],[Day]]&lt;8,1,IF(TableAopCalendar[[#This Row],[Day]]&lt;15,2,IF(TableAopCalendar[[#This Row],[Day]]&lt;22,3,IF(TableAopCalendar[[#This Row],[Day]]&lt;29,4,IF(TableAopCalendar[[#This Row],[Day]]&lt;32,5)))))</f>
        <v>4</v>
      </c>
      <c r="G2675" s="32" t="str">
        <f t="shared" si="142"/>
        <v>Week 4</v>
      </c>
      <c r="H2675" s="32" t="str">
        <f t="shared" si="143"/>
        <v>July 29 Week 4</v>
      </c>
      <c r="I2675" s="32" t="str">
        <f>CONCATENATE(UPPER(TableAopCalendar[[#This Row],[Month]])," ",TableAopCalendar[[#This Row],[Year]])</f>
        <v>JULY 29</v>
      </c>
      <c r="J2675" s="7" t="s">
        <v>274</v>
      </c>
      <c r="K2675" s="32" t="str">
        <f>CONCATENATE(TableAopCalendar[[#This Row],[Month for Plan]]," ",TableAopCalendar[[#This Row],[Plan]])</f>
        <v>JULY 29 PLANNED</v>
      </c>
    </row>
    <row r="2676" spans="1:11" x14ac:dyDescent="0.3">
      <c r="A2676" s="32">
        <f t="shared" si="141"/>
        <v>6</v>
      </c>
      <c r="B2676" s="33">
        <v>47326</v>
      </c>
      <c r="C2676" s="6" t="s">
        <v>267</v>
      </c>
      <c r="D2676" s="34">
        <v>29</v>
      </c>
      <c r="E2676" s="32">
        <f>DAY(TableAopCalendar[[#This Row],[Date]])</f>
        <v>27</v>
      </c>
      <c r="F2676" s="32">
        <f>IF(TableAopCalendar[[#This Row],[Day]]&lt;8,1,IF(TableAopCalendar[[#This Row],[Day]]&lt;15,2,IF(TableAopCalendar[[#This Row],[Day]]&lt;22,3,IF(TableAopCalendar[[#This Row],[Day]]&lt;29,4,IF(TableAopCalendar[[#This Row],[Day]]&lt;32,5)))))</f>
        <v>4</v>
      </c>
      <c r="G2676" s="32" t="str">
        <f t="shared" si="142"/>
        <v>Week 4</v>
      </c>
      <c r="H2676" s="32" t="str">
        <f t="shared" si="143"/>
        <v>July 29 Week 4</v>
      </c>
      <c r="I2676" s="32" t="str">
        <f>CONCATENATE(UPPER(TableAopCalendar[[#This Row],[Month]])," ",TableAopCalendar[[#This Row],[Year]])</f>
        <v>JULY 29</v>
      </c>
      <c r="J2676" s="7" t="s">
        <v>274</v>
      </c>
      <c r="K2676" s="32" t="str">
        <f>CONCATENATE(TableAopCalendar[[#This Row],[Month for Plan]]," ",TableAopCalendar[[#This Row],[Plan]])</f>
        <v>JULY 29 PLANNED</v>
      </c>
    </row>
    <row r="2677" spans="1:11" x14ac:dyDescent="0.3">
      <c r="A2677" s="32">
        <f t="shared" si="141"/>
        <v>7</v>
      </c>
      <c r="B2677" s="33">
        <v>47327</v>
      </c>
      <c r="C2677" s="6" t="s">
        <v>267</v>
      </c>
      <c r="D2677" s="34">
        <v>29</v>
      </c>
      <c r="E2677" s="32">
        <f>DAY(TableAopCalendar[[#This Row],[Date]])</f>
        <v>28</v>
      </c>
      <c r="F2677" s="32">
        <f>IF(TableAopCalendar[[#This Row],[Day]]&lt;8,1,IF(TableAopCalendar[[#This Row],[Day]]&lt;15,2,IF(TableAopCalendar[[#This Row],[Day]]&lt;22,3,IF(TableAopCalendar[[#This Row],[Day]]&lt;29,4,IF(TableAopCalendar[[#This Row],[Day]]&lt;32,5)))))</f>
        <v>4</v>
      </c>
      <c r="G2677" s="32" t="str">
        <f t="shared" si="142"/>
        <v>Week 4</v>
      </c>
      <c r="H2677" s="32" t="str">
        <f t="shared" si="143"/>
        <v>July 29 Week 4</v>
      </c>
      <c r="I2677" s="32" t="str">
        <f>CONCATENATE(UPPER(TableAopCalendar[[#This Row],[Month]])," ",TableAopCalendar[[#This Row],[Year]])</f>
        <v>JULY 29</v>
      </c>
      <c r="J2677" s="7" t="s">
        <v>274</v>
      </c>
      <c r="K2677" s="32" t="str">
        <f>CONCATENATE(TableAopCalendar[[#This Row],[Month for Plan]]," ",TableAopCalendar[[#This Row],[Plan]])</f>
        <v>JULY 29 PLANNED</v>
      </c>
    </row>
    <row r="2678" spans="1:11" x14ac:dyDescent="0.3">
      <c r="A2678" s="32">
        <f t="shared" si="141"/>
        <v>1</v>
      </c>
      <c r="B2678" s="33">
        <v>47328</v>
      </c>
      <c r="C2678" s="6" t="s">
        <v>267</v>
      </c>
      <c r="D2678" s="34">
        <v>29</v>
      </c>
      <c r="E2678" s="32">
        <f>DAY(TableAopCalendar[[#This Row],[Date]])</f>
        <v>29</v>
      </c>
      <c r="F2678" s="32">
        <f>IF(TableAopCalendar[[#This Row],[Day]]&lt;8,1,IF(TableAopCalendar[[#This Row],[Day]]&lt;15,2,IF(TableAopCalendar[[#This Row],[Day]]&lt;22,3,IF(TableAopCalendar[[#This Row],[Day]]&lt;29,4,IF(TableAopCalendar[[#This Row],[Day]]&lt;32,5)))))</f>
        <v>5</v>
      </c>
      <c r="G2678" s="32" t="str">
        <f t="shared" si="142"/>
        <v>Week 5</v>
      </c>
      <c r="H2678" s="32" t="str">
        <f t="shared" si="143"/>
        <v>July 29 Week 5</v>
      </c>
      <c r="I2678" s="32" t="str">
        <f>CONCATENATE(UPPER(TableAopCalendar[[#This Row],[Month]])," ",TableAopCalendar[[#This Row],[Year]])</f>
        <v>JULY 29</v>
      </c>
      <c r="J2678" s="7" t="s">
        <v>274</v>
      </c>
      <c r="K2678" s="32" t="str">
        <f>CONCATENATE(TableAopCalendar[[#This Row],[Month for Plan]]," ",TableAopCalendar[[#This Row],[Plan]])</f>
        <v>JULY 29 PLANNED</v>
      </c>
    </row>
    <row r="2679" spans="1:11" x14ac:dyDescent="0.3">
      <c r="A2679" s="32">
        <f t="shared" si="141"/>
        <v>2</v>
      </c>
      <c r="B2679" s="33">
        <v>47329</v>
      </c>
      <c r="C2679" s="6" t="s">
        <v>267</v>
      </c>
      <c r="D2679" s="34">
        <v>29</v>
      </c>
      <c r="E2679" s="32">
        <f>DAY(TableAopCalendar[[#This Row],[Date]])</f>
        <v>30</v>
      </c>
      <c r="F2679" s="32">
        <f>IF(TableAopCalendar[[#This Row],[Day]]&lt;8,1,IF(TableAopCalendar[[#This Row],[Day]]&lt;15,2,IF(TableAopCalendar[[#This Row],[Day]]&lt;22,3,IF(TableAopCalendar[[#This Row],[Day]]&lt;29,4,IF(TableAopCalendar[[#This Row],[Day]]&lt;32,5)))))</f>
        <v>5</v>
      </c>
      <c r="G2679" s="32" t="str">
        <f t="shared" si="142"/>
        <v>Week 5</v>
      </c>
      <c r="H2679" s="32" t="str">
        <f t="shared" si="143"/>
        <v>July 29 Week 5</v>
      </c>
      <c r="I2679" s="32" t="str">
        <f>CONCATENATE(UPPER(TableAopCalendar[[#This Row],[Month]])," ",TableAopCalendar[[#This Row],[Year]])</f>
        <v>JULY 29</v>
      </c>
      <c r="J2679" s="7" t="s">
        <v>274</v>
      </c>
      <c r="K2679" s="32" t="str">
        <f>CONCATENATE(TableAopCalendar[[#This Row],[Month for Plan]]," ",TableAopCalendar[[#This Row],[Plan]])</f>
        <v>JULY 29 PLANNED</v>
      </c>
    </row>
    <row r="2680" spans="1:11" x14ac:dyDescent="0.3">
      <c r="A2680" s="32">
        <f t="shared" si="141"/>
        <v>3</v>
      </c>
      <c r="B2680" s="33">
        <v>47330</v>
      </c>
      <c r="C2680" s="6" t="s">
        <v>267</v>
      </c>
      <c r="D2680" s="34">
        <v>29</v>
      </c>
      <c r="E2680" s="32">
        <f>DAY(TableAopCalendar[[#This Row],[Date]])</f>
        <v>31</v>
      </c>
      <c r="F2680" s="32">
        <f>IF(TableAopCalendar[[#This Row],[Day]]&lt;8,1,IF(TableAopCalendar[[#This Row],[Day]]&lt;15,2,IF(TableAopCalendar[[#This Row],[Day]]&lt;22,3,IF(TableAopCalendar[[#This Row],[Day]]&lt;29,4,IF(TableAopCalendar[[#This Row],[Day]]&lt;32,5)))))</f>
        <v>5</v>
      </c>
      <c r="G2680" s="32" t="str">
        <f t="shared" si="142"/>
        <v>Week 5</v>
      </c>
      <c r="H2680" s="32" t="str">
        <f t="shared" si="143"/>
        <v>July 29 Week 5</v>
      </c>
      <c r="I2680" s="32" t="str">
        <f>CONCATENATE(UPPER(TableAopCalendar[[#This Row],[Month]])," ",TableAopCalendar[[#This Row],[Year]])</f>
        <v>JULY 29</v>
      </c>
      <c r="J2680" s="7" t="s">
        <v>274</v>
      </c>
      <c r="K2680" s="32" t="str">
        <f>CONCATENATE(TableAopCalendar[[#This Row],[Month for Plan]]," ",TableAopCalendar[[#This Row],[Plan]])</f>
        <v>JULY 29 PLANNED</v>
      </c>
    </row>
    <row r="2681" spans="1:11" x14ac:dyDescent="0.3">
      <c r="A2681" s="32">
        <f t="shared" si="141"/>
        <v>1</v>
      </c>
      <c r="B2681" s="33">
        <v>47331</v>
      </c>
      <c r="C2681" s="6" t="s">
        <v>268</v>
      </c>
      <c r="D2681" s="34">
        <v>29</v>
      </c>
      <c r="E2681" s="32">
        <f>DAY(TableAopCalendar[[#This Row],[Date]])</f>
        <v>1</v>
      </c>
      <c r="F2681" s="32">
        <f>IF(TableAopCalendar[[#This Row],[Day]]&lt;8,1,IF(TableAopCalendar[[#This Row],[Day]]&lt;15,2,IF(TableAopCalendar[[#This Row],[Day]]&lt;22,3,IF(TableAopCalendar[[#This Row],[Day]]&lt;29,4,IF(TableAopCalendar[[#This Row],[Day]]&lt;32,5)))))</f>
        <v>1</v>
      </c>
      <c r="G2681" s="32" t="str">
        <f t="shared" si="142"/>
        <v>Week 1</v>
      </c>
      <c r="H2681" s="32" t="str">
        <f t="shared" si="143"/>
        <v>August 29 Week 1</v>
      </c>
      <c r="I2681" s="32" t="str">
        <f>CONCATENATE(UPPER(TableAopCalendar[[#This Row],[Month]])," ",TableAopCalendar[[#This Row],[Year]])</f>
        <v>AUGUST 29</v>
      </c>
      <c r="J2681" s="7" t="s">
        <v>274</v>
      </c>
      <c r="K2681" s="32" t="str">
        <f>CONCATENATE(TableAopCalendar[[#This Row],[Month for Plan]]," ",TableAopCalendar[[#This Row],[Plan]])</f>
        <v>AUGUST 29 PLANNED</v>
      </c>
    </row>
    <row r="2682" spans="1:11" x14ac:dyDescent="0.3">
      <c r="A2682" s="32">
        <f t="shared" si="141"/>
        <v>2</v>
      </c>
      <c r="B2682" s="33">
        <v>47332</v>
      </c>
      <c r="C2682" s="6" t="s">
        <v>268</v>
      </c>
      <c r="D2682" s="34">
        <v>29</v>
      </c>
      <c r="E2682" s="32">
        <f>DAY(TableAopCalendar[[#This Row],[Date]])</f>
        <v>2</v>
      </c>
      <c r="F2682" s="32">
        <f>IF(TableAopCalendar[[#This Row],[Day]]&lt;8,1,IF(TableAopCalendar[[#This Row],[Day]]&lt;15,2,IF(TableAopCalendar[[#This Row],[Day]]&lt;22,3,IF(TableAopCalendar[[#This Row],[Day]]&lt;29,4,IF(TableAopCalendar[[#This Row],[Day]]&lt;32,5)))))</f>
        <v>1</v>
      </c>
      <c r="G2682" s="32" t="str">
        <f t="shared" si="142"/>
        <v>Week 1</v>
      </c>
      <c r="H2682" s="32" t="str">
        <f t="shared" si="143"/>
        <v>August 29 Week 1</v>
      </c>
      <c r="I2682" s="32" t="str">
        <f>CONCATENATE(UPPER(TableAopCalendar[[#This Row],[Month]])," ",TableAopCalendar[[#This Row],[Year]])</f>
        <v>AUGUST 29</v>
      </c>
      <c r="J2682" s="7" t="s">
        <v>274</v>
      </c>
      <c r="K2682" s="32" t="str">
        <f>CONCATENATE(TableAopCalendar[[#This Row],[Month for Plan]]," ",TableAopCalendar[[#This Row],[Plan]])</f>
        <v>AUGUST 29 PLANNED</v>
      </c>
    </row>
    <row r="2683" spans="1:11" x14ac:dyDescent="0.3">
      <c r="A2683" s="32">
        <f t="shared" si="141"/>
        <v>3</v>
      </c>
      <c r="B2683" s="33">
        <v>47333</v>
      </c>
      <c r="C2683" s="6" t="s">
        <v>268</v>
      </c>
      <c r="D2683" s="34">
        <v>29</v>
      </c>
      <c r="E2683" s="32">
        <f>DAY(TableAopCalendar[[#This Row],[Date]])</f>
        <v>3</v>
      </c>
      <c r="F2683" s="32">
        <f>IF(TableAopCalendar[[#This Row],[Day]]&lt;8,1,IF(TableAopCalendar[[#This Row],[Day]]&lt;15,2,IF(TableAopCalendar[[#This Row],[Day]]&lt;22,3,IF(TableAopCalendar[[#This Row],[Day]]&lt;29,4,IF(TableAopCalendar[[#This Row],[Day]]&lt;32,5)))))</f>
        <v>1</v>
      </c>
      <c r="G2683" s="32" t="str">
        <f t="shared" si="142"/>
        <v>Week 1</v>
      </c>
      <c r="H2683" s="32" t="str">
        <f t="shared" si="143"/>
        <v>August 29 Week 1</v>
      </c>
      <c r="I2683" s="32" t="str">
        <f>CONCATENATE(UPPER(TableAopCalendar[[#This Row],[Month]])," ",TableAopCalendar[[#This Row],[Year]])</f>
        <v>AUGUST 29</v>
      </c>
      <c r="J2683" s="7" t="s">
        <v>274</v>
      </c>
      <c r="K2683" s="32" t="str">
        <f>CONCATENATE(TableAopCalendar[[#This Row],[Month for Plan]]," ",TableAopCalendar[[#This Row],[Plan]])</f>
        <v>AUGUST 29 PLANNED</v>
      </c>
    </row>
    <row r="2684" spans="1:11" x14ac:dyDescent="0.3">
      <c r="A2684" s="32">
        <f t="shared" si="141"/>
        <v>4</v>
      </c>
      <c r="B2684" s="33">
        <v>47334</v>
      </c>
      <c r="C2684" s="6" t="s">
        <v>268</v>
      </c>
      <c r="D2684" s="34">
        <v>29</v>
      </c>
      <c r="E2684" s="32">
        <f>DAY(TableAopCalendar[[#This Row],[Date]])</f>
        <v>4</v>
      </c>
      <c r="F2684" s="32">
        <f>IF(TableAopCalendar[[#This Row],[Day]]&lt;8,1,IF(TableAopCalendar[[#This Row],[Day]]&lt;15,2,IF(TableAopCalendar[[#This Row],[Day]]&lt;22,3,IF(TableAopCalendar[[#This Row],[Day]]&lt;29,4,IF(TableAopCalendar[[#This Row],[Day]]&lt;32,5)))))</f>
        <v>1</v>
      </c>
      <c r="G2684" s="32" t="str">
        <f t="shared" si="142"/>
        <v>Week 1</v>
      </c>
      <c r="H2684" s="32" t="str">
        <f t="shared" si="143"/>
        <v>August 29 Week 1</v>
      </c>
      <c r="I2684" s="32" t="str">
        <f>CONCATENATE(UPPER(TableAopCalendar[[#This Row],[Month]])," ",TableAopCalendar[[#This Row],[Year]])</f>
        <v>AUGUST 29</v>
      </c>
      <c r="J2684" s="7" t="s">
        <v>274</v>
      </c>
      <c r="K2684" s="32" t="str">
        <f>CONCATENATE(TableAopCalendar[[#This Row],[Month for Plan]]," ",TableAopCalendar[[#This Row],[Plan]])</f>
        <v>AUGUST 29 PLANNED</v>
      </c>
    </row>
    <row r="2685" spans="1:11" x14ac:dyDescent="0.3">
      <c r="A2685" s="32">
        <f t="shared" si="141"/>
        <v>5</v>
      </c>
      <c r="B2685" s="33">
        <v>47335</v>
      </c>
      <c r="C2685" s="6" t="s">
        <v>268</v>
      </c>
      <c r="D2685" s="34">
        <v>29</v>
      </c>
      <c r="E2685" s="32">
        <f>DAY(TableAopCalendar[[#This Row],[Date]])</f>
        <v>5</v>
      </c>
      <c r="F2685" s="32">
        <f>IF(TableAopCalendar[[#This Row],[Day]]&lt;8,1,IF(TableAopCalendar[[#This Row],[Day]]&lt;15,2,IF(TableAopCalendar[[#This Row],[Day]]&lt;22,3,IF(TableAopCalendar[[#This Row],[Day]]&lt;29,4,IF(TableAopCalendar[[#This Row],[Day]]&lt;32,5)))))</f>
        <v>1</v>
      </c>
      <c r="G2685" s="32" t="str">
        <f t="shared" si="142"/>
        <v>Week 1</v>
      </c>
      <c r="H2685" s="32" t="str">
        <f t="shared" si="143"/>
        <v>August 29 Week 1</v>
      </c>
      <c r="I2685" s="32" t="str">
        <f>CONCATENATE(UPPER(TableAopCalendar[[#This Row],[Month]])," ",TableAopCalendar[[#This Row],[Year]])</f>
        <v>AUGUST 29</v>
      </c>
      <c r="J2685" s="7" t="s">
        <v>274</v>
      </c>
      <c r="K2685" s="32" t="str">
        <f>CONCATENATE(TableAopCalendar[[#This Row],[Month for Plan]]," ",TableAopCalendar[[#This Row],[Plan]])</f>
        <v>AUGUST 29 PLANNED</v>
      </c>
    </row>
    <row r="2686" spans="1:11" x14ac:dyDescent="0.3">
      <c r="A2686" s="32">
        <f t="shared" si="141"/>
        <v>6</v>
      </c>
      <c r="B2686" s="33">
        <v>47336</v>
      </c>
      <c r="C2686" s="6" t="s">
        <v>268</v>
      </c>
      <c r="D2686" s="34">
        <v>29</v>
      </c>
      <c r="E2686" s="32">
        <f>DAY(TableAopCalendar[[#This Row],[Date]])</f>
        <v>6</v>
      </c>
      <c r="F2686" s="32">
        <f>IF(TableAopCalendar[[#This Row],[Day]]&lt;8,1,IF(TableAopCalendar[[#This Row],[Day]]&lt;15,2,IF(TableAopCalendar[[#This Row],[Day]]&lt;22,3,IF(TableAopCalendar[[#This Row],[Day]]&lt;29,4,IF(TableAopCalendar[[#This Row],[Day]]&lt;32,5)))))</f>
        <v>1</v>
      </c>
      <c r="G2686" s="32" t="str">
        <f t="shared" si="142"/>
        <v>Week 1</v>
      </c>
      <c r="H2686" s="32" t="str">
        <f t="shared" si="143"/>
        <v>August 29 Week 1</v>
      </c>
      <c r="I2686" s="32" t="str">
        <f>CONCATENATE(UPPER(TableAopCalendar[[#This Row],[Month]])," ",TableAopCalendar[[#This Row],[Year]])</f>
        <v>AUGUST 29</v>
      </c>
      <c r="J2686" s="7" t="s">
        <v>274</v>
      </c>
      <c r="K2686" s="32" t="str">
        <f>CONCATENATE(TableAopCalendar[[#This Row],[Month for Plan]]," ",TableAopCalendar[[#This Row],[Plan]])</f>
        <v>AUGUST 29 PLANNED</v>
      </c>
    </row>
    <row r="2687" spans="1:11" x14ac:dyDescent="0.3">
      <c r="A2687" s="32">
        <f t="shared" si="141"/>
        <v>7</v>
      </c>
      <c r="B2687" s="33">
        <v>47337</v>
      </c>
      <c r="C2687" s="6" t="s">
        <v>268</v>
      </c>
      <c r="D2687" s="34">
        <v>29</v>
      </c>
      <c r="E2687" s="32">
        <f>DAY(TableAopCalendar[[#This Row],[Date]])</f>
        <v>7</v>
      </c>
      <c r="F2687" s="32">
        <f>IF(TableAopCalendar[[#This Row],[Day]]&lt;8,1,IF(TableAopCalendar[[#This Row],[Day]]&lt;15,2,IF(TableAopCalendar[[#This Row],[Day]]&lt;22,3,IF(TableAopCalendar[[#This Row],[Day]]&lt;29,4,IF(TableAopCalendar[[#This Row],[Day]]&lt;32,5)))))</f>
        <v>1</v>
      </c>
      <c r="G2687" s="32" t="str">
        <f t="shared" si="142"/>
        <v>Week 1</v>
      </c>
      <c r="H2687" s="32" t="str">
        <f t="shared" si="143"/>
        <v>August 29 Week 1</v>
      </c>
      <c r="I2687" s="32" t="str">
        <f>CONCATENATE(UPPER(TableAopCalendar[[#This Row],[Month]])," ",TableAopCalendar[[#This Row],[Year]])</f>
        <v>AUGUST 29</v>
      </c>
      <c r="J2687" s="7" t="s">
        <v>274</v>
      </c>
      <c r="K2687" s="32" t="str">
        <f>CONCATENATE(TableAopCalendar[[#This Row],[Month for Plan]]," ",TableAopCalendar[[#This Row],[Plan]])</f>
        <v>AUGUST 29 PLANNED</v>
      </c>
    </row>
    <row r="2688" spans="1:11" x14ac:dyDescent="0.3">
      <c r="A2688" s="32">
        <f t="shared" si="141"/>
        <v>1</v>
      </c>
      <c r="B2688" s="33">
        <v>47338</v>
      </c>
      <c r="C2688" s="6" t="s">
        <v>268</v>
      </c>
      <c r="D2688" s="34">
        <v>29</v>
      </c>
      <c r="E2688" s="32">
        <f>DAY(TableAopCalendar[[#This Row],[Date]])</f>
        <v>8</v>
      </c>
      <c r="F2688" s="32">
        <f>IF(TableAopCalendar[[#This Row],[Day]]&lt;8,1,IF(TableAopCalendar[[#This Row],[Day]]&lt;15,2,IF(TableAopCalendar[[#This Row],[Day]]&lt;22,3,IF(TableAopCalendar[[#This Row],[Day]]&lt;29,4,IF(TableAopCalendar[[#This Row],[Day]]&lt;32,5)))))</f>
        <v>2</v>
      </c>
      <c r="G2688" s="32" t="str">
        <f t="shared" si="142"/>
        <v>Week 2</v>
      </c>
      <c r="H2688" s="32" t="str">
        <f t="shared" si="143"/>
        <v>August 29 Week 2</v>
      </c>
      <c r="I2688" s="32" t="str">
        <f>CONCATENATE(UPPER(TableAopCalendar[[#This Row],[Month]])," ",TableAopCalendar[[#This Row],[Year]])</f>
        <v>AUGUST 29</v>
      </c>
      <c r="J2688" s="7" t="s">
        <v>274</v>
      </c>
      <c r="K2688" s="32" t="str">
        <f>CONCATENATE(TableAopCalendar[[#This Row],[Month for Plan]]," ",TableAopCalendar[[#This Row],[Plan]])</f>
        <v>AUGUST 29 PLANNED</v>
      </c>
    </row>
    <row r="2689" spans="1:11" x14ac:dyDescent="0.3">
      <c r="A2689" s="32">
        <f t="shared" si="141"/>
        <v>2</v>
      </c>
      <c r="B2689" s="33">
        <v>47339</v>
      </c>
      <c r="C2689" s="6" t="s">
        <v>268</v>
      </c>
      <c r="D2689" s="34">
        <v>29</v>
      </c>
      <c r="E2689" s="32">
        <f>DAY(TableAopCalendar[[#This Row],[Date]])</f>
        <v>9</v>
      </c>
      <c r="F2689" s="32">
        <f>IF(TableAopCalendar[[#This Row],[Day]]&lt;8,1,IF(TableAopCalendar[[#This Row],[Day]]&lt;15,2,IF(TableAopCalendar[[#This Row],[Day]]&lt;22,3,IF(TableAopCalendar[[#This Row],[Day]]&lt;29,4,IF(TableAopCalendar[[#This Row],[Day]]&lt;32,5)))))</f>
        <v>2</v>
      </c>
      <c r="G2689" s="32" t="str">
        <f t="shared" si="142"/>
        <v>Week 2</v>
      </c>
      <c r="H2689" s="32" t="str">
        <f t="shared" si="143"/>
        <v>August 29 Week 2</v>
      </c>
      <c r="I2689" s="32" t="str">
        <f>CONCATENATE(UPPER(TableAopCalendar[[#This Row],[Month]])," ",TableAopCalendar[[#This Row],[Year]])</f>
        <v>AUGUST 29</v>
      </c>
      <c r="J2689" s="7" t="s">
        <v>274</v>
      </c>
      <c r="K2689" s="32" t="str">
        <f>CONCATENATE(TableAopCalendar[[#This Row],[Month for Plan]]," ",TableAopCalendar[[#This Row],[Plan]])</f>
        <v>AUGUST 29 PLANNED</v>
      </c>
    </row>
    <row r="2690" spans="1:11" x14ac:dyDescent="0.3">
      <c r="A2690" s="32">
        <f t="shared" si="141"/>
        <v>3</v>
      </c>
      <c r="B2690" s="33">
        <v>47340</v>
      </c>
      <c r="C2690" s="6" t="s">
        <v>268</v>
      </c>
      <c r="D2690" s="34">
        <v>29</v>
      </c>
      <c r="E2690" s="32">
        <f>DAY(TableAopCalendar[[#This Row],[Date]])</f>
        <v>10</v>
      </c>
      <c r="F2690" s="32">
        <f>IF(TableAopCalendar[[#This Row],[Day]]&lt;8,1,IF(TableAopCalendar[[#This Row],[Day]]&lt;15,2,IF(TableAopCalendar[[#This Row],[Day]]&lt;22,3,IF(TableAopCalendar[[#This Row],[Day]]&lt;29,4,IF(TableAopCalendar[[#This Row],[Day]]&lt;32,5)))))</f>
        <v>2</v>
      </c>
      <c r="G2690" s="32" t="str">
        <f t="shared" si="142"/>
        <v>Week 2</v>
      </c>
      <c r="H2690" s="32" t="str">
        <f t="shared" si="143"/>
        <v>August 29 Week 2</v>
      </c>
      <c r="I2690" s="32" t="str">
        <f>CONCATENATE(UPPER(TableAopCalendar[[#This Row],[Month]])," ",TableAopCalendar[[#This Row],[Year]])</f>
        <v>AUGUST 29</v>
      </c>
      <c r="J2690" s="7" t="s">
        <v>274</v>
      </c>
      <c r="K2690" s="32" t="str">
        <f>CONCATENATE(TableAopCalendar[[#This Row],[Month for Plan]]," ",TableAopCalendar[[#This Row],[Plan]])</f>
        <v>AUGUST 29 PLANNED</v>
      </c>
    </row>
    <row r="2691" spans="1:11" x14ac:dyDescent="0.3">
      <c r="A2691" s="32">
        <f t="shared" si="141"/>
        <v>4</v>
      </c>
      <c r="B2691" s="33">
        <v>47341</v>
      </c>
      <c r="C2691" s="6" t="s">
        <v>268</v>
      </c>
      <c r="D2691" s="34">
        <v>29</v>
      </c>
      <c r="E2691" s="32">
        <f>DAY(TableAopCalendar[[#This Row],[Date]])</f>
        <v>11</v>
      </c>
      <c r="F2691" s="32">
        <f>IF(TableAopCalendar[[#This Row],[Day]]&lt;8,1,IF(TableAopCalendar[[#This Row],[Day]]&lt;15,2,IF(TableAopCalendar[[#This Row],[Day]]&lt;22,3,IF(TableAopCalendar[[#This Row],[Day]]&lt;29,4,IF(TableAopCalendar[[#This Row],[Day]]&lt;32,5)))))</f>
        <v>2</v>
      </c>
      <c r="G2691" s="32" t="str">
        <f t="shared" si="142"/>
        <v>Week 2</v>
      </c>
      <c r="H2691" s="32" t="str">
        <f t="shared" si="143"/>
        <v>August 29 Week 2</v>
      </c>
      <c r="I2691" s="32" t="str">
        <f>CONCATENATE(UPPER(TableAopCalendar[[#This Row],[Month]])," ",TableAopCalendar[[#This Row],[Year]])</f>
        <v>AUGUST 29</v>
      </c>
      <c r="J2691" s="7" t="s">
        <v>274</v>
      </c>
      <c r="K2691" s="32" t="str">
        <f>CONCATENATE(TableAopCalendar[[#This Row],[Month for Plan]]," ",TableAopCalendar[[#This Row],[Plan]])</f>
        <v>AUGUST 29 PLANNED</v>
      </c>
    </row>
    <row r="2692" spans="1:11" x14ac:dyDescent="0.3">
      <c r="A2692" s="32">
        <f t="shared" si="141"/>
        <v>5</v>
      </c>
      <c r="B2692" s="33">
        <v>47342</v>
      </c>
      <c r="C2692" s="6" t="s">
        <v>268</v>
      </c>
      <c r="D2692" s="34">
        <v>29</v>
      </c>
      <c r="E2692" s="32">
        <f>DAY(TableAopCalendar[[#This Row],[Date]])</f>
        <v>12</v>
      </c>
      <c r="F2692" s="32">
        <f>IF(TableAopCalendar[[#This Row],[Day]]&lt;8,1,IF(TableAopCalendar[[#This Row],[Day]]&lt;15,2,IF(TableAopCalendar[[#This Row],[Day]]&lt;22,3,IF(TableAopCalendar[[#This Row],[Day]]&lt;29,4,IF(TableAopCalendar[[#This Row],[Day]]&lt;32,5)))))</f>
        <v>2</v>
      </c>
      <c r="G2692" s="32" t="str">
        <f t="shared" si="142"/>
        <v>Week 2</v>
      </c>
      <c r="H2692" s="32" t="str">
        <f t="shared" si="143"/>
        <v>August 29 Week 2</v>
      </c>
      <c r="I2692" s="32" t="str">
        <f>CONCATENATE(UPPER(TableAopCalendar[[#This Row],[Month]])," ",TableAopCalendar[[#This Row],[Year]])</f>
        <v>AUGUST 29</v>
      </c>
      <c r="J2692" s="7" t="s">
        <v>274</v>
      </c>
      <c r="K2692" s="32" t="str">
        <f>CONCATENATE(TableAopCalendar[[#This Row],[Month for Plan]]," ",TableAopCalendar[[#This Row],[Plan]])</f>
        <v>AUGUST 29 PLANNED</v>
      </c>
    </row>
    <row r="2693" spans="1:11" x14ac:dyDescent="0.3">
      <c r="A2693" s="32">
        <f t="shared" si="141"/>
        <v>6</v>
      </c>
      <c r="B2693" s="33">
        <v>47343</v>
      </c>
      <c r="C2693" s="6" t="s">
        <v>268</v>
      </c>
      <c r="D2693" s="34">
        <v>29</v>
      </c>
      <c r="E2693" s="32">
        <f>DAY(TableAopCalendar[[#This Row],[Date]])</f>
        <v>13</v>
      </c>
      <c r="F2693" s="32">
        <f>IF(TableAopCalendar[[#This Row],[Day]]&lt;8,1,IF(TableAopCalendar[[#This Row],[Day]]&lt;15,2,IF(TableAopCalendar[[#This Row],[Day]]&lt;22,3,IF(TableAopCalendar[[#This Row],[Day]]&lt;29,4,IF(TableAopCalendar[[#This Row],[Day]]&lt;32,5)))))</f>
        <v>2</v>
      </c>
      <c r="G2693" s="32" t="str">
        <f t="shared" si="142"/>
        <v>Week 2</v>
      </c>
      <c r="H2693" s="32" t="str">
        <f t="shared" si="143"/>
        <v>August 29 Week 2</v>
      </c>
      <c r="I2693" s="32" t="str">
        <f>CONCATENATE(UPPER(TableAopCalendar[[#This Row],[Month]])," ",TableAopCalendar[[#This Row],[Year]])</f>
        <v>AUGUST 29</v>
      </c>
      <c r="J2693" s="7" t="s">
        <v>274</v>
      </c>
      <c r="K2693" s="32" t="str">
        <f>CONCATENATE(TableAopCalendar[[#This Row],[Month for Plan]]," ",TableAopCalendar[[#This Row],[Plan]])</f>
        <v>AUGUST 29 PLANNED</v>
      </c>
    </row>
    <row r="2694" spans="1:11" x14ac:dyDescent="0.3">
      <c r="A2694" s="32">
        <f t="shared" si="141"/>
        <v>7</v>
      </c>
      <c r="B2694" s="33">
        <v>47344</v>
      </c>
      <c r="C2694" s="6" t="s">
        <v>268</v>
      </c>
      <c r="D2694" s="34">
        <v>29</v>
      </c>
      <c r="E2694" s="32">
        <f>DAY(TableAopCalendar[[#This Row],[Date]])</f>
        <v>14</v>
      </c>
      <c r="F2694" s="32">
        <f>IF(TableAopCalendar[[#This Row],[Day]]&lt;8,1,IF(TableAopCalendar[[#This Row],[Day]]&lt;15,2,IF(TableAopCalendar[[#This Row],[Day]]&lt;22,3,IF(TableAopCalendar[[#This Row],[Day]]&lt;29,4,IF(TableAopCalendar[[#This Row],[Day]]&lt;32,5)))))</f>
        <v>2</v>
      </c>
      <c r="G2694" s="32" t="str">
        <f t="shared" si="142"/>
        <v>Week 2</v>
      </c>
      <c r="H2694" s="32" t="str">
        <f t="shared" si="143"/>
        <v>August 29 Week 2</v>
      </c>
      <c r="I2694" s="32" t="str">
        <f>CONCATENATE(UPPER(TableAopCalendar[[#This Row],[Month]])," ",TableAopCalendar[[#This Row],[Year]])</f>
        <v>AUGUST 29</v>
      </c>
      <c r="J2694" s="7" t="s">
        <v>274</v>
      </c>
      <c r="K2694" s="32" t="str">
        <f>CONCATENATE(TableAopCalendar[[#This Row],[Month for Plan]]," ",TableAopCalendar[[#This Row],[Plan]])</f>
        <v>AUGUST 29 PLANNED</v>
      </c>
    </row>
    <row r="2695" spans="1:11" x14ac:dyDescent="0.3">
      <c r="A2695" s="32">
        <f t="shared" si="141"/>
        <v>1</v>
      </c>
      <c r="B2695" s="33">
        <v>47345</v>
      </c>
      <c r="C2695" s="6" t="s">
        <v>268</v>
      </c>
      <c r="D2695" s="34">
        <v>29</v>
      </c>
      <c r="E2695" s="32">
        <f>DAY(TableAopCalendar[[#This Row],[Date]])</f>
        <v>15</v>
      </c>
      <c r="F2695" s="32">
        <f>IF(TableAopCalendar[[#This Row],[Day]]&lt;8,1,IF(TableAopCalendar[[#This Row],[Day]]&lt;15,2,IF(TableAopCalendar[[#This Row],[Day]]&lt;22,3,IF(TableAopCalendar[[#This Row],[Day]]&lt;29,4,IF(TableAopCalendar[[#This Row],[Day]]&lt;32,5)))))</f>
        <v>3</v>
      </c>
      <c r="G2695" s="32" t="str">
        <f t="shared" si="142"/>
        <v>Week 3</v>
      </c>
      <c r="H2695" s="32" t="str">
        <f t="shared" si="143"/>
        <v>August 29 Week 3</v>
      </c>
      <c r="I2695" s="32" t="str">
        <f>CONCATENATE(UPPER(TableAopCalendar[[#This Row],[Month]])," ",TableAopCalendar[[#This Row],[Year]])</f>
        <v>AUGUST 29</v>
      </c>
      <c r="J2695" s="7" t="s">
        <v>274</v>
      </c>
      <c r="K2695" s="32" t="str">
        <f>CONCATENATE(TableAopCalendar[[#This Row],[Month for Plan]]," ",TableAopCalendar[[#This Row],[Plan]])</f>
        <v>AUGUST 29 PLANNED</v>
      </c>
    </row>
    <row r="2696" spans="1:11" x14ac:dyDescent="0.3">
      <c r="A2696" s="32">
        <f t="shared" si="141"/>
        <v>2</v>
      </c>
      <c r="B2696" s="33">
        <v>47346</v>
      </c>
      <c r="C2696" s="6" t="s">
        <v>268</v>
      </c>
      <c r="D2696" s="34">
        <v>29</v>
      </c>
      <c r="E2696" s="32">
        <f>DAY(TableAopCalendar[[#This Row],[Date]])</f>
        <v>16</v>
      </c>
      <c r="F2696" s="32">
        <f>IF(TableAopCalendar[[#This Row],[Day]]&lt;8,1,IF(TableAopCalendar[[#This Row],[Day]]&lt;15,2,IF(TableAopCalendar[[#This Row],[Day]]&lt;22,3,IF(TableAopCalendar[[#This Row],[Day]]&lt;29,4,IF(TableAopCalendar[[#This Row],[Day]]&lt;32,5)))))</f>
        <v>3</v>
      </c>
      <c r="G2696" s="32" t="str">
        <f t="shared" si="142"/>
        <v>Week 3</v>
      </c>
      <c r="H2696" s="32" t="str">
        <f t="shared" si="143"/>
        <v>August 29 Week 3</v>
      </c>
      <c r="I2696" s="32" t="str">
        <f>CONCATENATE(UPPER(TableAopCalendar[[#This Row],[Month]])," ",TableAopCalendar[[#This Row],[Year]])</f>
        <v>AUGUST 29</v>
      </c>
      <c r="J2696" s="7" t="s">
        <v>274</v>
      </c>
      <c r="K2696" s="32" t="str">
        <f>CONCATENATE(TableAopCalendar[[#This Row],[Month for Plan]]," ",TableAopCalendar[[#This Row],[Plan]])</f>
        <v>AUGUST 29 PLANNED</v>
      </c>
    </row>
    <row r="2697" spans="1:11" x14ac:dyDescent="0.3">
      <c r="A2697" s="32">
        <f t="shared" si="141"/>
        <v>3</v>
      </c>
      <c r="B2697" s="33">
        <v>47347</v>
      </c>
      <c r="C2697" s="6" t="s">
        <v>268</v>
      </c>
      <c r="D2697" s="34">
        <v>29</v>
      </c>
      <c r="E2697" s="32">
        <f>DAY(TableAopCalendar[[#This Row],[Date]])</f>
        <v>17</v>
      </c>
      <c r="F2697" s="32">
        <f>IF(TableAopCalendar[[#This Row],[Day]]&lt;8,1,IF(TableAopCalendar[[#This Row],[Day]]&lt;15,2,IF(TableAopCalendar[[#This Row],[Day]]&lt;22,3,IF(TableAopCalendar[[#This Row],[Day]]&lt;29,4,IF(TableAopCalendar[[#This Row],[Day]]&lt;32,5)))))</f>
        <v>3</v>
      </c>
      <c r="G2697" s="32" t="str">
        <f t="shared" si="142"/>
        <v>Week 3</v>
      </c>
      <c r="H2697" s="32" t="str">
        <f t="shared" si="143"/>
        <v>August 29 Week 3</v>
      </c>
      <c r="I2697" s="32" t="str">
        <f>CONCATENATE(UPPER(TableAopCalendar[[#This Row],[Month]])," ",TableAopCalendar[[#This Row],[Year]])</f>
        <v>AUGUST 29</v>
      </c>
      <c r="J2697" s="7" t="s">
        <v>274</v>
      </c>
      <c r="K2697" s="32" t="str">
        <f>CONCATENATE(TableAopCalendar[[#This Row],[Month for Plan]]," ",TableAopCalendar[[#This Row],[Plan]])</f>
        <v>AUGUST 29 PLANNED</v>
      </c>
    </row>
    <row r="2698" spans="1:11" x14ac:dyDescent="0.3">
      <c r="A2698" s="32">
        <f t="shared" si="141"/>
        <v>4</v>
      </c>
      <c r="B2698" s="33">
        <v>47348</v>
      </c>
      <c r="C2698" s="6" t="s">
        <v>268</v>
      </c>
      <c r="D2698" s="34">
        <v>29</v>
      </c>
      <c r="E2698" s="32">
        <f>DAY(TableAopCalendar[[#This Row],[Date]])</f>
        <v>18</v>
      </c>
      <c r="F2698" s="32">
        <f>IF(TableAopCalendar[[#This Row],[Day]]&lt;8,1,IF(TableAopCalendar[[#This Row],[Day]]&lt;15,2,IF(TableAopCalendar[[#This Row],[Day]]&lt;22,3,IF(TableAopCalendar[[#This Row],[Day]]&lt;29,4,IF(TableAopCalendar[[#This Row],[Day]]&lt;32,5)))))</f>
        <v>3</v>
      </c>
      <c r="G2698" s="32" t="str">
        <f t="shared" si="142"/>
        <v>Week 3</v>
      </c>
      <c r="H2698" s="32" t="str">
        <f t="shared" si="143"/>
        <v>August 29 Week 3</v>
      </c>
      <c r="I2698" s="32" t="str">
        <f>CONCATENATE(UPPER(TableAopCalendar[[#This Row],[Month]])," ",TableAopCalendar[[#This Row],[Year]])</f>
        <v>AUGUST 29</v>
      </c>
      <c r="J2698" s="7" t="s">
        <v>274</v>
      </c>
      <c r="K2698" s="32" t="str">
        <f>CONCATENATE(TableAopCalendar[[#This Row],[Month for Plan]]," ",TableAopCalendar[[#This Row],[Plan]])</f>
        <v>AUGUST 29 PLANNED</v>
      </c>
    </row>
    <row r="2699" spans="1:11" x14ac:dyDescent="0.3">
      <c r="A2699" s="32">
        <f t="shared" si="141"/>
        <v>5</v>
      </c>
      <c r="B2699" s="33">
        <v>47349</v>
      </c>
      <c r="C2699" s="6" t="s">
        <v>268</v>
      </c>
      <c r="D2699" s="34">
        <v>29</v>
      </c>
      <c r="E2699" s="32">
        <f>DAY(TableAopCalendar[[#This Row],[Date]])</f>
        <v>19</v>
      </c>
      <c r="F2699" s="32">
        <f>IF(TableAopCalendar[[#This Row],[Day]]&lt;8,1,IF(TableAopCalendar[[#This Row],[Day]]&lt;15,2,IF(TableAopCalendar[[#This Row],[Day]]&lt;22,3,IF(TableAopCalendar[[#This Row],[Day]]&lt;29,4,IF(TableAopCalendar[[#This Row],[Day]]&lt;32,5)))))</f>
        <v>3</v>
      </c>
      <c r="G2699" s="32" t="str">
        <f t="shared" si="142"/>
        <v>Week 3</v>
      </c>
      <c r="H2699" s="32" t="str">
        <f t="shared" si="143"/>
        <v>August 29 Week 3</v>
      </c>
      <c r="I2699" s="32" t="str">
        <f>CONCATENATE(UPPER(TableAopCalendar[[#This Row],[Month]])," ",TableAopCalendar[[#This Row],[Year]])</f>
        <v>AUGUST 29</v>
      </c>
      <c r="J2699" s="7" t="s">
        <v>274</v>
      </c>
      <c r="K2699" s="32" t="str">
        <f>CONCATENATE(TableAopCalendar[[#This Row],[Month for Plan]]," ",TableAopCalendar[[#This Row],[Plan]])</f>
        <v>AUGUST 29 PLANNED</v>
      </c>
    </row>
    <row r="2700" spans="1:11" x14ac:dyDescent="0.3">
      <c r="A2700" s="32">
        <f t="shared" si="141"/>
        <v>6</v>
      </c>
      <c r="B2700" s="33">
        <v>47350</v>
      </c>
      <c r="C2700" s="6" t="s">
        <v>268</v>
      </c>
      <c r="D2700" s="34">
        <v>29</v>
      </c>
      <c r="E2700" s="32">
        <f>DAY(TableAopCalendar[[#This Row],[Date]])</f>
        <v>20</v>
      </c>
      <c r="F2700" s="32">
        <f>IF(TableAopCalendar[[#This Row],[Day]]&lt;8,1,IF(TableAopCalendar[[#This Row],[Day]]&lt;15,2,IF(TableAopCalendar[[#This Row],[Day]]&lt;22,3,IF(TableAopCalendar[[#This Row],[Day]]&lt;29,4,IF(TableAopCalendar[[#This Row],[Day]]&lt;32,5)))))</f>
        <v>3</v>
      </c>
      <c r="G2700" s="32" t="str">
        <f t="shared" si="142"/>
        <v>Week 3</v>
      </c>
      <c r="H2700" s="32" t="str">
        <f t="shared" si="143"/>
        <v>August 29 Week 3</v>
      </c>
      <c r="I2700" s="32" t="str">
        <f>CONCATENATE(UPPER(TableAopCalendar[[#This Row],[Month]])," ",TableAopCalendar[[#This Row],[Year]])</f>
        <v>AUGUST 29</v>
      </c>
      <c r="J2700" s="7" t="s">
        <v>274</v>
      </c>
      <c r="K2700" s="32" t="str">
        <f>CONCATENATE(TableAopCalendar[[#This Row],[Month for Plan]]," ",TableAopCalendar[[#This Row],[Plan]])</f>
        <v>AUGUST 29 PLANNED</v>
      </c>
    </row>
    <row r="2701" spans="1:11" x14ac:dyDescent="0.3">
      <c r="A2701" s="32">
        <f t="shared" si="141"/>
        <v>7</v>
      </c>
      <c r="B2701" s="33">
        <v>47351</v>
      </c>
      <c r="C2701" s="6" t="s">
        <v>268</v>
      </c>
      <c r="D2701" s="34">
        <v>29</v>
      </c>
      <c r="E2701" s="32">
        <f>DAY(TableAopCalendar[[#This Row],[Date]])</f>
        <v>21</v>
      </c>
      <c r="F2701" s="32">
        <f>IF(TableAopCalendar[[#This Row],[Day]]&lt;8,1,IF(TableAopCalendar[[#This Row],[Day]]&lt;15,2,IF(TableAopCalendar[[#This Row],[Day]]&lt;22,3,IF(TableAopCalendar[[#This Row],[Day]]&lt;29,4,IF(TableAopCalendar[[#This Row],[Day]]&lt;32,5)))))</f>
        <v>3</v>
      </c>
      <c r="G2701" s="32" t="str">
        <f t="shared" si="142"/>
        <v>Week 3</v>
      </c>
      <c r="H2701" s="32" t="str">
        <f t="shared" si="143"/>
        <v>August 29 Week 3</v>
      </c>
      <c r="I2701" s="32" t="str">
        <f>CONCATENATE(UPPER(TableAopCalendar[[#This Row],[Month]])," ",TableAopCalendar[[#This Row],[Year]])</f>
        <v>AUGUST 29</v>
      </c>
      <c r="J2701" s="7" t="s">
        <v>274</v>
      </c>
      <c r="K2701" s="32" t="str">
        <f>CONCATENATE(TableAopCalendar[[#This Row],[Month for Plan]]," ",TableAopCalendar[[#This Row],[Plan]])</f>
        <v>AUGUST 29 PLANNED</v>
      </c>
    </row>
    <row r="2702" spans="1:11" x14ac:dyDescent="0.3">
      <c r="A2702" s="32">
        <f t="shared" si="141"/>
        <v>1</v>
      </c>
      <c r="B2702" s="33">
        <v>47352</v>
      </c>
      <c r="C2702" s="6" t="s">
        <v>268</v>
      </c>
      <c r="D2702" s="34">
        <v>29</v>
      </c>
      <c r="E2702" s="32">
        <f>DAY(TableAopCalendar[[#This Row],[Date]])</f>
        <v>22</v>
      </c>
      <c r="F2702" s="32">
        <f>IF(TableAopCalendar[[#This Row],[Day]]&lt;8,1,IF(TableAopCalendar[[#This Row],[Day]]&lt;15,2,IF(TableAopCalendar[[#This Row],[Day]]&lt;22,3,IF(TableAopCalendar[[#This Row],[Day]]&lt;29,4,IF(TableAopCalendar[[#This Row],[Day]]&lt;32,5)))))</f>
        <v>4</v>
      </c>
      <c r="G2702" s="32" t="str">
        <f t="shared" si="142"/>
        <v>Week 4</v>
      </c>
      <c r="H2702" s="32" t="str">
        <f t="shared" si="143"/>
        <v>August 29 Week 4</v>
      </c>
      <c r="I2702" s="32" t="str">
        <f>CONCATENATE(UPPER(TableAopCalendar[[#This Row],[Month]])," ",TableAopCalendar[[#This Row],[Year]])</f>
        <v>AUGUST 29</v>
      </c>
      <c r="J2702" s="7" t="s">
        <v>274</v>
      </c>
      <c r="K2702" s="32" t="str">
        <f>CONCATENATE(TableAopCalendar[[#This Row],[Month for Plan]]," ",TableAopCalendar[[#This Row],[Plan]])</f>
        <v>AUGUST 29 PLANNED</v>
      </c>
    </row>
    <row r="2703" spans="1:11" x14ac:dyDescent="0.3">
      <c r="A2703" s="32">
        <f t="shared" si="141"/>
        <v>2</v>
      </c>
      <c r="B2703" s="33">
        <v>47353</v>
      </c>
      <c r="C2703" s="6" t="s">
        <v>268</v>
      </c>
      <c r="D2703" s="34">
        <v>29</v>
      </c>
      <c r="E2703" s="32">
        <f>DAY(TableAopCalendar[[#This Row],[Date]])</f>
        <v>23</v>
      </c>
      <c r="F2703" s="32">
        <f>IF(TableAopCalendar[[#This Row],[Day]]&lt;8,1,IF(TableAopCalendar[[#This Row],[Day]]&lt;15,2,IF(TableAopCalendar[[#This Row],[Day]]&lt;22,3,IF(TableAopCalendar[[#This Row],[Day]]&lt;29,4,IF(TableAopCalendar[[#This Row],[Day]]&lt;32,5)))))</f>
        <v>4</v>
      </c>
      <c r="G2703" s="32" t="str">
        <f t="shared" si="142"/>
        <v>Week 4</v>
      </c>
      <c r="H2703" s="32" t="str">
        <f t="shared" si="143"/>
        <v>August 29 Week 4</v>
      </c>
      <c r="I2703" s="32" t="str">
        <f>CONCATENATE(UPPER(TableAopCalendar[[#This Row],[Month]])," ",TableAopCalendar[[#This Row],[Year]])</f>
        <v>AUGUST 29</v>
      </c>
      <c r="J2703" s="7" t="s">
        <v>274</v>
      </c>
      <c r="K2703" s="32" t="str">
        <f>CONCATENATE(TableAopCalendar[[#This Row],[Month for Plan]]," ",TableAopCalendar[[#This Row],[Plan]])</f>
        <v>AUGUST 29 PLANNED</v>
      </c>
    </row>
    <row r="2704" spans="1:11" x14ac:dyDescent="0.3">
      <c r="A2704" s="32">
        <f t="shared" si="141"/>
        <v>3</v>
      </c>
      <c r="B2704" s="33">
        <v>47354</v>
      </c>
      <c r="C2704" s="6" t="s">
        <v>268</v>
      </c>
      <c r="D2704" s="34">
        <v>29</v>
      </c>
      <c r="E2704" s="32">
        <f>DAY(TableAopCalendar[[#This Row],[Date]])</f>
        <v>24</v>
      </c>
      <c r="F2704" s="32">
        <f>IF(TableAopCalendar[[#This Row],[Day]]&lt;8,1,IF(TableAopCalendar[[#This Row],[Day]]&lt;15,2,IF(TableAopCalendar[[#This Row],[Day]]&lt;22,3,IF(TableAopCalendar[[#This Row],[Day]]&lt;29,4,IF(TableAopCalendar[[#This Row],[Day]]&lt;32,5)))))</f>
        <v>4</v>
      </c>
      <c r="G2704" s="32" t="str">
        <f t="shared" si="142"/>
        <v>Week 4</v>
      </c>
      <c r="H2704" s="32" t="str">
        <f t="shared" si="143"/>
        <v>August 29 Week 4</v>
      </c>
      <c r="I2704" s="32" t="str">
        <f>CONCATENATE(UPPER(TableAopCalendar[[#This Row],[Month]])," ",TableAopCalendar[[#This Row],[Year]])</f>
        <v>AUGUST 29</v>
      </c>
      <c r="J2704" s="7" t="s">
        <v>274</v>
      </c>
      <c r="K2704" s="32" t="str">
        <f>CONCATENATE(TableAopCalendar[[#This Row],[Month for Plan]]," ",TableAopCalendar[[#This Row],[Plan]])</f>
        <v>AUGUST 29 PLANNED</v>
      </c>
    </row>
    <row r="2705" spans="1:11" x14ac:dyDescent="0.3">
      <c r="A2705" s="32">
        <f t="shared" si="141"/>
        <v>4</v>
      </c>
      <c r="B2705" s="33">
        <v>47355</v>
      </c>
      <c r="C2705" s="6" t="s">
        <v>268</v>
      </c>
      <c r="D2705" s="34">
        <v>29</v>
      </c>
      <c r="E2705" s="32">
        <f>DAY(TableAopCalendar[[#This Row],[Date]])</f>
        <v>25</v>
      </c>
      <c r="F2705" s="32">
        <f>IF(TableAopCalendar[[#This Row],[Day]]&lt;8,1,IF(TableAopCalendar[[#This Row],[Day]]&lt;15,2,IF(TableAopCalendar[[#This Row],[Day]]&lt;22,3,IF(TableAopCalendar[[#This Row],[Day]]&lt;29,4,IF(TableAopCalendar[[#This Row],[Day]]&lt;32,5)))))</f>
        <v>4</v>
      </c>
      <c r="G2705" s="32" t="str">
        <f t="shared" si="142"/>
        <v>Week 4</v>
      </c>
      <c r="H2705" s="32" t="str">
        <f t="shared" si="143"/>
        <v>August 29 Week 4</v>
      </c>
      <c r="I2705" s="32" t="str">
        <f>CONCATENATE(UPPER(TableAopCalendar[[#This Row],[Month]])," ",TableAopCalendar[[#This Row],[Year]])</f>
        <v>AUGUST 29</v>
      </c>
      <c r="J2705" s="7" t="s">
        <v>274</v>
      </c>
      <c r="K2705" s="32" t="str">
        <f>CONCATENATE(TableAopCalendar[[#This Row],[Month for Plan]]," ",TableAopCalendar[[#This Row],[Plan]])</f>
        <v>AUGUST 29 PLANNED</v>
      </c>
    </row>
    <row r="2706" spans="1:11" x14ac:dyDescent="0.3">
      <c r="A2706" s="32">
        <f t="shared" si="141"/>
        <v>5</v>
      </c>
      <c r="B2706" s="33">
        <v>47356</v>
      </c>
      <c r="C2706" s="6" t="s">
        <v>268</v>
      </c>
      <c r="D2706" s="34">
        <v>29</v>
      </c>
      <c r="E2706" s="32">
        <f>DAY(TableAopCalendar[[#This Row],[Date]])</f>
        <v>26</v>
      </c>
      <c r="F2706" s="32">
        <f>IF(TableAopCalendar[[#This Row],[Day]]&lt;8,1,IF(TableAopCalendar[[#This Row],[Day]]&lt;15,2,IF(TableAopCalendar[[#This Row],[Day]]&lt;22,3,IF(TableAopCalendar[[#This Row],[Day]]&lt;29,4,IF(TableAopCalendar[[#This Row],[Day]]&lt;32,5)))))</f>
        <v>4</v>
      </c>
      <c r="G2706" s="32" t="str">
        <f t="shared" si="142"/>
        <v>Week 4</v>
      </c>
      <c r="H2706" s="32" t="str">
        <f t="shared" si="143"/>
        <v>August 29 Week 4</v>
      </c>
      <c r="I2706" s="32" t="str">
        <f>CONCATENATE(UPPER(TableAopCalendar[[#This Row],[Month]])," ",TableAopCalendar[[#This Row],[Year]])</f>
        <v>AUGUST 29</v>
      </c>
      <c r="J2706" s="7" t="s">
        <v>274</v>
      </c>
      <c r="K2706" s="32" t="str">
        <f>CONCATENATE(TableAopCalendar[[#This Row],[Month for Plan]]," ",TableAopCalendar[[#This Row],[Plan]])</f>
        <v>AUGUST 29 PLANNED</v>
      </c>
    </row>
    <row r="2707" spans="1:11" x14ac:dyDescent="0.3">
      <c r="A2707" s="32">
        <f t="shared" si="141"/>
        <v>6</v>
      </c>
      <c r="B2707" s="33">
        <v>47357</v>
      </c>
      <c r="C2707" s="6" t="s">
        <v>268</v>
      </c>
      <c r="D2707" s="34">
        <v>29</v>
      </c>
      <c r="E2707" s="32">
        <f>DAY(TableAopCalendar[[#This Row],[Date]])</f>
        <v>27</v>
      </c>
      <c r="F2707" s="32">
        <f>IF(TableAopCalendar[[#This Row],[Day]]&lt;8,1,IF(TableAopCalendar[[#This Row],[Day]]&lt;15,2,IF(TableAopCalendar[[#This Row],[Day]]&lt;22,3,IF(TableAopCalendar[[#This Row],[Day]]&lt;29,4,IF(TableAopCalendar[[#This Row],[Day]]&lt;32,5)))))</f>
        <v>4</v>
      </c>
      <c r="G2707" s="32" t="str">
        <f t="shared" si="142"/>
        <v>Week 4</v>
      </c>
      <c r="H2707" s="32" t="str">
        <f t="shared" si="143"/>
        <v>August 29 Week 4</v>
      </c>
      <c r="I2707" s="32" t="str">
        <f>CONCATENATE(UPPER(TableAopCalendar[[#This Row],[Month]])," ",TableAopCalendar[[#This Row],[Year]])</f>
        <v>AUGUST 29</v>
      </c>
      <c r="J2707" s="7" t="s">
        <v>274</v>
      </c>
      <c r="K2707" s="32" t="str">
        <f>CONCATENATE(TableAopCalendar[[#This Row],[Month for Plan]]," ",TableAopCalendar[[#This Row],[Plan]])</f>
        <v>AUGUST 29 PLANNED</v>
      </c>
    </row>
    <row r="2708" spans="1:11" x14ac:dyDescent="0.3">
      <c r="A2708" s="32">
        <f t="shared" si="141"/>
        <v>7</v>
      </c>
      <c r="B2708" s="33">
        <v>47358</v>
      </c>
      <c r="C2708" s="6" t="s">
        <v>268</v>
      </c>
      <c r="D2708" s="34">
        <v>29</v>
      </c>
      <c r="E2708" s="32">
        <f>DAY(TableAopCalendar[[#This Row],[Date]])</f>
        <v>28</v>
      </c>
      <c r="F2708" s="32">
        <f>IF(TableAopCalendar[[#This Row],[Day]]&lt;8,1,IF(TableAopCalendar[[#This Row],[Day]]&lt;15,2,IF(TableAopCalendar[[#This Row],[Day]]&lt;22,3,IF(TableAopCalendar[[#This Row],[Day]]&lt;29,4,IF(TableAopCalendar[[#This Row],[Day]]&lt;32,5)))))</f>
        <v>4</v>
      </c>
      <c r="G2708" s="32" t="str">
        <f t="shared" si="142"/>
        <v>Week 4</v>
      </c>
      <c r="H2708" s="32" t="str">
        <f t="shared" si="143"/>
        <v>August 29 Week 4</v>
      </c>
      <c r="I2708" s="32" t="str">
        <f>CONCATENATE(UPPER(TableAopCalendar[[#This Row],[Month]])," ",TableAopCalendar[[#This Row],[Year]])</f>
        <v>AUGUST 29</v>
      </c>
      <c r="J2708" s="7" t="s">
        <v>274</v>
      </c>
      <c r="K2708" s="32" t="str">
        <f>CONCATENATE(TableAopCalendar[[#This Row],[Month for Plan]]," ",TableAopCalendar[[#This Row],[Plan]])</f>
        <v>AUGUST 29 PLANNED</v>
      </c>
    </row>
    <row r="2709" spans="1:11" x14ac:dyDescent="0.3">
      <c r="A2709" s="32">
        <f t="shared" si="141"/>
        <v>1</v>
      </c>
      <c r="B2709" s="33">
        <v>47359</v>
      </c>
      <c r="C2709" s="6" t="s">
        <v>268</v>
      </c>
      <c r="D2709" s="34">
        <v>29</v>
      </c>
      <c r="E2709" s="32">
        <f>DAY(TableAopCalendar[[#This Row],[Date]])</f>
        <v>29</v>
      </c>
      <c r="F2709" s="32">
        <f>IF(TableAopCalendar[[#This Row],[Day]]&lt;8,1,IF(TableAopCalendar[[#This Row],[Day]]&lt;15,2,IF(TableAopCalendar[[#This Row],[Day]]&lt;22,3,IF(TableAopCalendar[[#This Row],[Day]]&lt;29,4,IF(TableAopCalendar[[#This Row],[Day]]&lt;32,5)))))</f>
        <v>5</v>
      </c>
      <c r="G2709" s="32" t="str">
        <f t="shared" si="142"/>
        <v>Week 5</v>
      </c>
      <c r="H2709" s="32" t="str">
        <f t="shared" si="143"/>
        <v>August 29 Week 5</v>
      </c>
      <c r="I2709" s="32" t="str">
        <f>CONCATENATE(UPPER(TableAopCalendar[[#This Row],[Month]])," ",TableAopCalendar[[#This Row],[Year]])</f>
        <v>AUGUST 29</v>
      </c>
      <c r="J2709" s="7" t="s">
        <v>274</v>
      </c>
      <c r="K2709" s="32" t="str">
        <f>CONCATENATE(TableAopCalendar[[#This Row],[Month for Plan]]," ",TableAopCalendar[[#This Row],[Plan]])</f>
        <v>AUGUST 29 PLANNED</v>
      </c>
    </row>
    <row r="2710" spans="1:11" x14ac:dyDescent="0.3">
      <c r="A2710" s="32">
        <f t="shared" si="141"/>
        <v>2</v>
      </c>
      <c r="B2710" s="33">
        <v>47360</v>
      </c>
      <c r="C2710" s="6" t="s">
        <v>268</v>
      </c>
      <c r="D2710" s="34">
        <v>29</v>
      </c>
      <c r="E2710" s="32">
        <f>DAY(TableAopCalendar[[#This Row],[Date]])</f>
        <v>30</v>
      </c>
      <c r="F2710" s="32">
        <f>IF(TableAopCalendar[[#This Row],[Day]]&lt;8,1,IF(TableAopCalendar[[#This Row],[Day]]&lt;15,2,IF(TableAopCalendar[[#This Row],[Day]]&lt;22,3,IF(TableAopCalendar[[#This Row],[Day]]&lt;29,4,IF(TableAopCalendar[[#This Row],[Day]]&lt;32,5)))))</f>
        <v>5</v>
      </c>
      <c r="G2710" s="32" t="str">
        <f t="shared" si="142"/>
        <v>Week 5</v>
      </c>
      <c r="H2710" s="32" t="str">
        <f t="shared" si="143"/>
        <v>August 29 Week 5</v>
      </c>
      <c r="I2710" s="32" t="str">
        <f>CONCATENATE(UPPER(TableAopCalendar[[#This Row],[Month]])," ",TableAopCalendar[[#This Row],[Year]])</f>
        <v>AUGUST 29</v>
      </c>
      <c r="J2710" s="7" t="s">
        <v>274</v>
      </c>
      <c r="K2710" s="32" t="str">
        <f>CONCATENATE(TableAopCalendar[[#This Row],[Month for Plan]]," ",TableAopCalendar[[#This Row],[Plan]])</f>
        <v>AUGUST 29 PLANNED</v>
      </c>
    </row>
    <row r="2711" spans="1:11" x14ac:dyDescent="0.3">
      <c r="A2711" s="32">
        <f t="shared" si="141"/>
        <v>3</v>
      </c>
      <c r="B2711" s="33">
        <v>47361</v>
      </c>
      <c r="C2711" s="6" t="s">
        <v>268</v>
      </c>
      <c r="D2711" s="34">
        <v>29</v>
      </c>
      <c r="E2711" s="32">
        <f>DAY(TableAopCalendar[[#This Row],[Date]])</f>
        <v>31</v>
      </c>
      <c r="F2711" s="32">
        <f>IF(TableAopCalendar[[#This Row],[Day]]&lt;8,1,IF(TableAopCalendar[[#This Row],[Day]]&lt;15,2,IF(TableAopCalendar[[#This Row],[Day]]&lt;22,3,IF(TableAopCalendar[[#This Row],[Day]]&lt;29,4,IF(TableAopCalendar[[#This Row],[Day]]&lt;32,5)))))</f>
        <v>5</v>
      </c>
      <c r="G2711" s="32" t="str">
        <f t="shared" si="142"/>
        <v>Week 5</v>
      </c>
      <c r="H2711" s="32" t="str">
        <f t="shared" si="143"/>
        <v>August 29 Week 5</v>
      </c>
      <c r="I2711" s="32" t="str">
        <f>CONCATENATE(UPPER(TableAopCalendar[[#This Row],[Month]])," ",TableAopCalendar[[#This Row],[Year]])</f>
        <v>AUGUST 29</v>
      </c>
      <c r="J2711" s="7" t="s">
        <v>274</v>
      </c>
      <c r="K2711" s="32" t="str">
        <f>CONCATENATE(TableAopCalendar[[#This Row],[Month for Plan]]," ",TableAopCalendar[[#This Row],[Plan]])</f>
        <v>AUGUST 29 PLANNED</v>
      </c>
    </row>
    <row r="2712" spans="1:11" x14ac:dyDescent="0.3">
      <c r="A2712" s="32">
        <f t="shared" si="141"/>
        <v>1</v>
      </c>
      <c r="B2712" s="33">
        <v>47362</v>
      </c>
      <c r="C2712" s="6" t="s">
        <v>269</v>
      </c>
      <c r="D2712" s="34">
        <v>29</v>
      </c>
      <c r="E2712" s="32">
        <f>DAY(TableAopCalendar[[#This Row],[Date]])</f>
        <v>1</v>
      </c>
      <c r="F2712" s="32">
        <f>IF(TableAopCalendar[[#This Row],[Day]]&lt;8,1,IF(TableAopCalendar[[#This Row],[Day]]&lt;15,2,IF(TableAopCalendar[[#This Row],[Day]]&lt;22,3,IF(TableAopCalendar[[#This Row],[Day]]&lt;29,4,IF(TableAopCalendar[[#This Row],[Day]]&lt;32,5)))))</f>
        <v>1</v>
      </c>
      <c r="G2712" s="32" t="str">
        <f t="shared" si="142"/>
        <v>Week 1</v>
      </c>
      <c r="H2712" s="32" t="str">
        <f t="shared" si="143"/>
        <v>September 29 Week 1</v>
      </c>
      <c r="I2712" s="32" t="str">
        <f>CONCATENATE(UPPER(TableAopCalendar[[#This Row],[Month]])," ",TableAopCalendar[[#This Row],[Year]])</f>
        <v>SEPTEMBER 29</v>
      </c>
      <c r="J2712" s="7" t="s">
        <v>274</v>
      </c>
      <c r="K2712" s="32" t="str">
        <f>CONCATENATE(TableAopCalendar[[#This Row],[Month for Plan]]," ",TableAopCalendar[[#This Row],[Plan]])</f>
        <v>SEPTEMBER 29 PLANNED</v>
      </c>
    </row>
    <row r="2713" spans="1:11" x14ac:dyDescent="0.3">
      <c r="A2713" s="32">
        <f t="shared" si="141"/>
        <v>2</v>
      </c>
      <c r="B2713" s="33">
        <v>47363</v>
      </c>
      <c r="C2713" s="6" t="s">
        <v>269</v>
      </c>
      <c r="D2713" s="34">
        <v>29</v>
      </c>
      <c r="E2713" s="32">
        <f>DAY(TableAopCalendar[[#This Row],[Date]])</f>
        <v>2</v>
      </c>
      <c r="F2713" s="32">
        <f>IF(TableAopCalendar[[#This Row],[Day]]&lt;8,1,IF(TableAopCalendar[[#This Row],[Day]]&lt;15,2,IF(TableAopCalendar[[#This Row],[Day]]&lt;22,3,IF(TableAopCalendar[[#This Row],[Day]]&lt;29,4,IF(TableAopCalendar[[#This Row],[Day]]&lt;32,5)))))</f>
        <v>1</v>
      </c>
      <c r="G2713" s="32" t="str">
        <f t="shared" si="142"/>
        <v>Week 1</v>
      </c>
      <c r="H2713" s="32" t="str">
        <f t="shared" si="143"/>
        <v>September 29 Week 1</v>
      </c>
      <c r="I2713" s="32" t="str">
        <f>CONCATENATE(UPPER(TableAopCalendar[[#This Row],[Month]])," ",TableAopCalendar[[#This Row],[Year]])</f>
        <v>SEPTEMBER 29</v>
      </c>
      <c r="J2713" s="7" t="s">
        <v>274</v>
      </c>
      <c r="K2713" s="32" t="str">
        <f>CONCATENATE(TableAopCalendar[[#This Row],[Month for Plan]]," ",TableAopCalendar[[#This Row],[Plan]])</f>
        <v>SEPTEMBER 29 PLANNED</v>
      </c>
    </row>
    <row r="2714" spans="1:11" x14ac:dyDescent="0.3">
      <c r="A2714" s="32">
        <f t="shared" si="141"/>
        <v>3</v>
      </c>
      <c r="B2714" s="33">
        <v>47364</v>
      </c>
      <c r="C2714" s="6" t="s">
        <v>269</v>
      </c>
      <c r="D2714" s="34">
        <v>29</v>
      </c>
      <c r="E2714" s="32">
        <f>DAY(TableAopCalendar[[#This Row],[Date]])</f>
        <v>3</v>
      </c>
      <c r="F2714" s="32">
        <f>IF(TableAopCalendar[[#This Row],[Day]]&lt;8,1,IF(TableAopCalendar[[#This Row],[Day]]&lt;15,2,IF(TableAopCalendar[[#This Row],[Day]]&lt;22,3,IF(TableAopCalendar[[#This Row],[Day]]&lt;29,4,IF(TableAopCalendar[[#This Row],[Day]]&lt;32,5)))))</f>
        <v>1</v>
      </c>
      <c r="G2714" s="32" t="str">
        <f t="shared" si="142"/>
        <v>Week 1</v>
      </c>
      <c r="H2714" s="32" t="str">
        <f t="shared" si="143"/>
        <v>September 29 Week 1</v>
      </c>
      <c r="I2714" s="32" t="str">
        <f>CONCATENATE(UPPER(TableAopCalendar[[#This Row],[Month]])," ",TableAopCalendar[[#This Row],[Year]])</f>
        <v>SEPTEMBER 29</v>
      </c>
      <c r="J2714" s="7" t="s">
        <v>274</v>
      </c>
      <c r="K2714" s="32" t="str">
        <f>CONCATENATE(TableAopCalendar[[#This Row],[Month for Plan]]," ",TableAopCalendar[[#This Row],[Plan]])</f>
        <v>SEPTEMBER 29 PLANNED</v>
      </c>
    </row>
    <row r="2715" spans="1:11" x14ac:dyDescent="0.3">
      <c r="A2715" s="32">
        <f t="shared" si="141"/>
        <v>4</v>
      </c>
      <c r="B2715" s="33">
        <v>47365</v>
      </c>
      <c r="C2715" s="6" t="s">
        <v>269</v>
      </c>
      <c r="D2715" s="34">
        <v>29</v>
      </c>
      <c r="E2715" s="32">
        <f>DAY(TableAopCalendar[[#This Row],[Date]])</f>
        <v>4</v>
      </c>
      <c r="F2715" s="32">
        <f>IF(TableAopCalendar[[#This Row],[Day]]&lt;8,1,IF(TableAopCalendar[[#This Row],[Day]]&lt;15,2,IF(TableAopCalendar[[#This Row],[Day]]&lt;22,3,IF(TableAopCalendar[[#This Row],[Day]]&lt;29,4,IF(TableAopCalendar[[#This Row],[Day]]&lt;32,5)))))</f>
        <v>1</v>
      </c>
      <c r="G2715" s="32" t="str">
        <f t="shared" si="142"/>
        <v>Week 1</v>
      </c>
      <c r="H2715" s="32" t="str">
        <f t="shared" si="143"/>
        <v>September 29 Week 1</v>
      </c>
      <c r="I2715" s="32" t="str">
        <f>CONCATENATE(UPPER(TableAopCalendar[[#This Row],[Month]])," ",TableAopCalendar[[#This Row],[Year]])</f>
        <v>SEPTEMBER 29</v>
      </c>
      <c r="J2715" s="7" t="s">
        <v>274</v>
      </c>
      <c r="K2715" s="32" t="str">
        <f>CONCATENATE(TableAopCalendar[[#This Row],[Month for Plan]]," ",TableAopCalendar[[#This Row],[Plan]])</f>
        <v>SEPTEMBER 29 PLANNED</v>
      </c>
    </row>
    <row r="2716" spans="1:11" x14ac:dyDescent="0.3">
      <c r="A2716" s="32">
        <f t="shared" si="141"/>
        <v>5</v>
      </c>
      <c r="B2716" s="33">
        <v>47366</v>
      </c>
      <c r="C2716" s="6" t="s">
        <v>269</v>
      </c>
      <c r="D2716" s="34">
        <v>29</v>
      </c>
      <c r="E2716" s="32">
        <f>DAY(TableAopCalendar[[#This Row],[Date]])</f>
        <v>5</v>
      </c>
      <c r="F2716" s="32">
        <f>IF(TableAopCalendar[[#This Row],[Day]]&lt;8,1,IF(TableAopCalendar[[#This Row],[Day]]&lt;15,2,IF(TableAopCalendar[[#This Row],[Day]]&lt;22,3,IF(TableAopCalendar[[#This Row],[Day]]&lt;29,4,IF(TableAopCalendar[[#This Row],[Day]]&lt;32,5)))))</f>
        <v>1</v>
      </c>
      <c r="G2716" s="32" t="str">
        <f t="shared" si="142"/>
        <v>Week 1</v>
      </c>
      <c r="H2716" s="32" t="str">
        <f t="shared" si="143"/>
        <v>September 29 Week 1</v>
      </c>
      <c r="I2716" s="32" t="str">
        <f>CONCATENATE(UPPER(TableAopCalendar[[#This Row],[Month]])," ",TableAopCalendar[[#This Row],[Year]])</f>
        <v>SEPTEMBER 29</v>
      </c>
      <c r="J2716" s="7" t="s">
        <v>274</v>
      </c>
      <c r="K2716" s="32" t="str">
        <f>CONCATENATE(TableAopCalendar[[#This Row],[Month for Plan]]," ",TableAopCalendar[[#This Row],[Plan]])</f>
        <v>SEPTEMBER 29 PLANNED</v>
      </c>
    </row>
    <row r="2717" spans="1:11" x14ac:dyDescent="0.3">
      <c r="A2717" s="32">
        <f t="shared" si="141"/>
        <v>6</v>
      </c>
      <c r="B2717" s="33">
        <v>47367</v>
      </c>
      <c r="C2717" s="6" t="s">
        <v>269</v>
      </c>
      <c r="D2717" s="34">
        <v>29</v>
      </c>
      <c r="E2717" s="32">
        <f>DAY(TableAopCalendar[[#This Row],[Date]])</f>
        <v>6</v>
      </c>
      <c r="F2717" s="32">
        <f>IF(TableAopCalendar[[#This Row],[Day]]&lt;8,1,IF(TableAopCalendar[[#This Row],[Day]]&lt;15,2,IF(TableAopCalendar[[#This Row],[Day]]&lt;22,3,IF(TableAopCalendar[[#This Row],[Day]]&lt;29,4,IF(TableAopCalendar[[#This Row],[Day]]&lt;32,5)))))</f>
        <v>1</v>
      </c>
      <c r="G2717" s="32" t="str">
        <f t="shared" si="142"/>
        <v>Week 1</v>
      </c>
      <c r="H2717" s="32" t="str">
        <f t="shared" si="143"/>
        <v>September 29 Week 1</v>
      </c>
      <c r="I2717" s="32" t="str">
        <f>CONCATENATE(UPPER(TableAopCalendar[[#This Row],[Month]])," ",TableAopCalendar[[#This Row],[Year]])</f>
        <v>SEPTEMBER 29</v>
      </c>
      <c r="J2717" s="7" t="s">
        <v>274</v>
      </c>
      <c r="K2717" s="32" t="str">
        <f>CONCATENATE(TableAopCalendar[[#This Row],[Month for Plan]]," ",TableAopCalendar[[#This Row],[Plan]])</f>
        <v>SEPTEMBER 29 PLANNED</v>
      </c>
    </row>
    <row r="2718" spans="1:11" x14ac:dyDescent="0.3">
      <c r="A2718" s="32">
        <f t="shared" si="141"/>
        <v>7</v>
      </c>
      <c r="B2718" s="33">
        <v>47368</v>
      </c>
      <c r="C2718" s="6" t="s">
        <v>269</v>
      </c>
      <c r="D2718" s="34">
        <v>29</v>
      </c>
      <c r="E2718" s="32">
        <f>DAY(TableAopCalendar[[#This Row],[Date]])</f>
        <v>7</v>
      </c>
      <c r="F2718" s="32">
        <f>IF(TableAopCalendar[[#This Row],[Day]]&lt;8,1,IF(TableAopCalendar[[#This Row],[Day]]&lt;15,2,IF(TableAopCalendar[[#This Row],[Day]]&lt;22,3,IF(TableAopCalendar[[#This Row],[Day]]&lt;29,4,IF(TableAopCalendar[[#This Row],[Day]]&lt;32,5)))))</f>
        <v>1</v>
      </c>
      <c r="G2718" s="32" t="str">
        <f t="shared" si="142"/>
        <v>Week 1</v>
      </c>
      <c r="H2718" s="32" t="str">
        <f t="shared" si="143"/>
        <v>September 29 Week 1</v>
      </c>
      <c r="I2718" s="32" t="str">
        <f>CONCATENATE(UPPER(TableAopCalendar[[#This Row],[Month]])," ",TableAopCalendar[[#This Row],[Year]])</f>
        <v>SEPTEMBER 29</v>
      </c>
      <c r="J2718" s="7" t="s">
        <v>274</v>
      </c>
      <c r="K2718" s="32" t="str">
        <f>CONCATENATE(TableAopCalendar[[#This Row],[Month for Plan]]," ",TableAopCalendar[[#This Row],[Plan]])</f>
        <v>SEPTEMBER 29 PLANNED</v>
      </c>
    </row>
    <row r="2719" spans="1:11" x14ac:dyDescent="0.3">
      <c r="A2719" s="32">
        <f t="shared" si="141"/>
        <v>1</v>
      </c>
      <c r="B2719" s="33">
        <v>47369</v>
      </c>
      <c r="C2719" s="6" t="s">
        <v>269</v>
      </c>
      <c r="D2719" s="34">
        <v>29</v>
      </c>
      <c r="E2719" s="32">
        <f>DAY(TableAopCalendar[[#This Row],[Date]])</f>
        <v>8</v>
      </c>
      <c r="F2719" s="32">
        <f>IF(TableAopCalendar[[#This Row],[Day]]&lt;8,1,IF(TableAopCalendar[[#This Row],[Day]]&lt;15,2,IF(TableAopCalendar[[#This Row],[Day]]&lt;22,3,IF(TableAopCalendar[[#This Row],[Day]]&lt;29,4,IF(TableAopCalendar[[#This Row],[Day]]&lt;32,5)))))</f>
        <v>2</v>
      </c>
      <c r="G2719" s="32" t="str">
        <f t="shared" si="142"/>
        <v>Week 2</v>
      </c>
      <c r="H2719" s="32" t="str">
        <f t="shared" si="143"/>
        <v>September 29 Week 2</v>
      </c>
      <c r="I2719" s="32" t="str">
        <f>CONCATENATE(UPPER(TableAopCalendar[[#This Row],[Month]])," ",TableAopCalendar[[#This Row],[Year]])</f>
        <v>SEPTEMBER 29</v>
      </c>
      <c r="J2719" s="7" t="s">
        <v>274</v>
      </c>
      <c r="K2719" s="32" t="str">
        <f>CONCATENATE(TableAopCalendar[[#This Row],[Month for Plan]]," ",TableAopCalendar[[#This Row],[Plan]])</f>
        <v>SEPTEMBER 29 PLANNED</v>
      </c>
    </row>
    <row r="2720" spans="1:11" x14ac:dyDescent="0.3">
      <c r="A2720" s="32">
        <f t="shared" si="141"/>
        <v>2</v>
      </c>
      <c r="B2720" s="33">
        <v>47370</v>
      </c>
      <c r="C2720" s="6" t="s">
        <v>269</v>
      </c>
      <c r="D2720" s="34">
        <v>29</v>
      </c>
      <c r="E2720" s="32">
        <f>DAY(TableAopCalendar[[#This Row],[Date]])</f>
        <v>9</v>
      </c>
      <c r="F2720" s="32">
        <f>IF(TableAopCalendar[[#This Row],[Day]]&lt;8,1,IF(TableAopCalendar[[#This Row],[Day]]&lt;15,2,IF(TableAopCalendar[[#This Row],[Day]]&lt;22,3,IF(TableAopCalendar[[#This Row],[Day]]&lt;29,4,IF(TableAopCalendar[[#This Row],[Day]]&lt;32,5)))))</f>
        <v>2</v>
      </c>
      <c r="G2720" s="32" t="str">
        <f t="shared" si="142"/>
        <v>Week 2</v>
      </c>
      <c r="H2720" s="32" t="str">
        <f t="shared" si="143"/>
        <v>September 29 Week 2</v>
      </c>
      <c r="I2720" s="32" t="str">
        <f>CONCATENATE(UPPER(TableAopCalendar[[#This Row],[Month]])," ",TableAopCalendar[[#This Row],[Year]])</f>
        <v>SEPTEMBER 29</v>
      </c>
      <c r="J2720" s="7" t="s">
        <v>274</v>
      </c>
      <c r="K2720" s="32" t="str">
        <f>CONCATENATE(TableAopCalendar[[#This Row],[Month for Plan]]," ",TableAopCalendar[[#This Row],[Plan]])</f>
        <v>SEPTEMBER 29 PLANNED</v>
      </c>
    </row>
    <row r="2721" spans="1:11" x14ac:dyDescent="0.3">
      <c r="A2721" s="32">
        <f t="shared" si="141"/>
        <v>3</v>
      </c>
      <c r="B2721" s="33">
        <v>47371</v>
      </c>
      <c r="C2721" s="6" t="s">
        <v>269</v>
      </c>
      <c r="D2721" s="34">
        <v>29</v>
      </c>
      <c r="E2721" s="32">
        <f>DAY(TableAopCalendar[[#This Row],[Date]])</f>
        <v>10</v>
      </c>
      <c r="F2721" s="32">
        <f>IF(TableAopCalendar[[#This Row],[Day]]&lt;8,1,IF(TableAopCalendar[[#This Row],[Day]]&lt;15,2,IF(TableAopCalendar[[#This Row],[Day]]&lt;22,3,IF(TableAopCalendar[[#This Row],[Day]]&lt;29,4,IF(TableAopCalendar[[#This Row],[Day]]&lt;32,5)))))</f>
        <v>2</v>
      </c>
      <c r="G2721" s="32" t="str">
        <f t="shared" si="142"/>
        <v>Week 2</v>
      </c>
      <c r="H2721" s="32" t="str">
        <f t="shared" si="143"/>
        <v>September 29 Week 2</v>
      </c>
      <c r="I2721" s="32" t="str">
        <f>CONCATENATE(UPPER(TableAopCalendar[[#This Row],[Month]])," ",TableAopCalendar[[#This Row],[Year]])</f>
        <v>SEPTEMBER 29</v>
      </c>
      <c r="J2721" s="7" t="s">
        <v>274</v>
      </c>
      <c r="K2721" s="32" t="str">
        <f>CONCATENATE(TableAopCalendar[[#This Row],[Month for Plan]]," ",TableAopCalendar[[#This Row],[Plan]])</f>
        <v>SEPTEMBER 29 PLANNED</v>
      </c>
    </row>
    <row r="2722" spans="1:11" x14ac:dyDescent="0.3">
      <c r="A2722" s="32">
        <f t="shared" si="141"/>
        <v>4</v>
      </c>
      <c r="B2722" s="33">
        <v>47372</v>
      </c>
      <c r="C2722" s="6" t="s">
        <v>269</v>
      </c>
      <c r="D2722" s="34">
        <v>29</v>
      </c>
      <c r="E2722" s="32">
        <f>DAY(TableAopCalendar[[#This Row],[Date]])</f>
        <v>11</v>
      </c>
      <c r="F2722" s="32">
        <f>IF(TableAopCalendar[[#This Row],[Day]]&lt;8,1,IF(TableAopCalendar[[#This Row],[Day]]&lt;15,2,IF(TableAopCalendar[[#This Row],[Day]]&lt;22,3,IF(TableAopCalendar[[#This Row],[Day]]&lt;29,4,IF(TableAopCalendar[[#This Row],[Day]]&lt;32,5)))))</f>
        <v>2</v>
      </c>
      <c r="G2722" s="32" t="str">
        <f t="shared" si="142"/>
        <v>Week 2</v>
      </c>
      <c r="H2722" s="32" t="str">
        <f t="shared" si="143"/>
        <v>September 29 Week 2</v>
      </c>
      <c r="I2722" s="32" t="str">
        <f>CONCATENATE(UPPER(TableAopCalendar[[#This Row],[Month]])," ",TableAopCalendar[[#This Row],[Year]])</f>
        <v>SEPTEMBER 29</v>
      </c>
      <c r="J2722" s="7" t="s">
        <v>274</v>
      </c>
      <c r="K2722" s="32" t="str">
        <f>CONCATENATE(TableAopCalendar[[#This Row],[Month for Plan]]," ",TableAopCalendar[[#This Row],[Plan]])</f>
        <v>SEPTEMBER 29 PLANNED</v>
      </c>
    </row>
    <row r="2723" spans="1:11" x14ac:dyDescent="0.3">
      <c r="A2723" s="32">
        <f t="shared" si="141"/>
        <v>5</v>
      </c>
      <c r="B2723" s="33">
        <v>47373</v>
      </c>
      <c r="C2723" s="6" t="s">
        <v>269</v>
      </c>
      <c r="D2723" s="34">
        <v>29</v>
      </c>
      <c r="E2723" s="32">
        <f>DAY(TableAopCalendar[[#This Row],[Date]])</f>
        <v>12</v>
      </c>
      <c r="F2723" s="32">
        <f>IF(TableAopCalendar[[#This Row],[Day]]&lt;8,1,IF(TableAopCalendar[[#This Row],[Day]]&lt;15,2,IF(TableAopCalendar[[#This Row],[Day]]&lt;22,3,IF(TableAopCalendar[[#This Row],[Day]]&lt;29,4,IF(TableAopCalendar[[#This Row],[Day]]&lt;32,5)))))</f>
        <v>2</v>
      </c>
      <c r="G2723" s="32" t="str">
        <f t="shared" si="142"/>
        <v>Week 2</v>
      </c>
      <c r="H2723" s="32" t="str">
        <f t="shared" si="143"/>
        <v>September 29 Week 2</v>
      </c>
      <c r="I2723" s="32" t="str">
        <f>CONCATENATE(UPPER(TableAopCalendar[[#This Row],[Month]])," ",TableAopCalendar[[#This Row],[Year]])</f>
        <v>SEPTEMBER 29</v>
      </c>
      <c r="J2723" s="7" t="s">
        <v>274</v>
      </c>
      <c r="K2723" s="32" t="str">
        <f>CONCATENATE(TableAopCalendar[[#This Row],[Month for Plan]]," ",TableAopCalendar[[#This Row],[Plan]])</f>
        <v>SEPTEMBER 29 PLANNED</v>
      </c>
    </row>
    <row r="2724" spans="1:11" x14ac:dyDescent="0.3">
      <c r="A2724" s="32">
        <f t="shared" ref="A2724:A2787" si="144">IF(G2724=G2723,A2723+1,1)</f>
        <v>6</v>
      </c>
      <c r="B2724" s="33">
        <v>47374</v>
      </c>
      <c r="C2724" s="6" t="s">
        <v>269</v>
      </c>
      <c r="D2724" s="34">
        <v>29</v>
      </c>
      <c r="E2724" s="32">
        <f>DAY(TableAopCalendar[[#This Row],[Date]])</f>
        <v>13</v>
      </c>
      <c r="F2724" s="32">
        <f>IF(TableAopCalendar[[#This Row],[Day]]&lt;8,1,IF(TableAopCalendar[[#This Row],[Day]]&lt;15,2,IF(TableAopCalendar[[#This Row],[Day]]&lt;22,3,IF(TableAopCalendar[[#This Row],[Day]]&lt;29,4,IF(TableAopCalendar[[#This Row],[Day]]&lt;32,5)))))</f>
        <v>2</v>
      </c>
      <c r="G2724" s="32" t="str">
        <f t="shared" ref="G2724:G2787" si="145">"Week"&amp;" "&amp;F2724</f>
        <v>Week 2</v>
      </c>
      <c r="H2724" s="32" t="str">
        <f t="shared" ref="H2724:H2787" si="146">CONCATENATE(C2724," ",D2724," ",G2724)</f>
        <v>September 29 Week 2</v>
      </c>
      <c r="I2724" s="32" t="str">
        <f>CONCATENATE(UPPER(TableAopCalendar[[#This Row],[Month]])," ",TableAopCalendar[[#This Row],[Year]])</f>
        <v>SEPTEMBER 29</v>
      </c>
      <c r="J2724" s="7" t="s">
        <v>274</v>
      </c>
      <c r="K2724" s="32" t="str">
        <f>CONCATENATE(TableAopCalendar[[#This Row],[Month for Plan]]," ",TableAopCalendar[[#This Row],[Plan]])</f>
        <v>SEPTEMBER 29 PLANNED</v>
      </c>
    </row>
    <row r="2725" spans="1:11" x14ac:dyDescent="0.3">
      <c r="A2725" s="32">
        <f t="shared" si="144"/>
        <v>7</v>
      </c>
      <c r="B2725" s="33">
        <v>47375</v>
      </c>
      <c r="C2725" s="6" t="s">
        <v>269</v>
      </c>
      <c r="D2725" s="34">
        <v>29</v>
      </c>
      <c r="E2725" s="32">
        <f>DAY(TableAopCalendar[[#This Row],[Date]])</f>
        <v>14</v>
      </c>
      <c r="F2725" s="32">
        <f>IF(TableAopCalendar[[#This Row],[Day]]&lt;8,1,IF(TableAopCalendar[[#This Row],[Day]]&lt;15,2,IF(TableAopCalendar[[#This Row],[Day]]&lt;22,3,IF(TableAopCalendar[[#This Row],[Day]]&lt;29,4,IF(TableAopCalendar[[#This Row],[Day]]&lt;32,5)))))</f>
        <v>2</v>
      </c>
      <c r="G2725" s="32" t="str">
        <f t="shared" si="145"/>
        <v>Week 2</v>
      </c>
      <c r="H2725" s="32" t="str">
        <f t="shared" si="146"/>
        <v>September 29 Week 2</v>
      </c>
      <c r="I2725" s="32" t="str">
        <f>CONCATENATE(UPPER(TableAopCalendar[[#This Row],[Month]])," ",TableAopCalendar[[#This Row],[Year]])</f>
        <v>SEPTEMBER 29</v>
      </c>
      <c r="J2725" s="7" t="s">
        <v>274</v>
      </c>
      <c r="K2725" s="32" t="str">
        <f>CONCATENATE(TableAopCalendar[[#This Row],[Month for Plan]]," ",TableAopCalendar[[#This Row],[Plan]])</f>
        <v>SEPTEMBER 29 PLANNED</v>
      </c>
    </row>
    <row r="2726" spans="1:11" x14ac:dyDescent="0.3">
      <c r="A2726" s="32">
        <f t="shared" si="144"/>
        <v>1</v>
      </c>
      <c r="B2726" s="33">
        <v>47376</v>
      </c>
      <c r="C2726" s="6" t="s">
        <v>269</v>
      </c>
      <c r="D2726" s="34">
        <v>29</v>
      </c>
      <c r="E2726" s="32">
        <f>DAY(TableAopCalendar[[#This Row],[Date]])</f>
        <v>15</v>
      </c>
      <c r="F2726" s="32">
        <f>IF(TableAopCalendar[[#This Row],[Day]]&lt;8,1,IF(TableAopCalendar[[#This Row],[Day]]&lt;15,2,IF(TableAopCalendar[[#This Row],[Day]]&lt;22,3,IF(TableAopCalendar[[#This Row],[Day]]&lt;29,4,IF(TableAopCalendar[[#This Row],[Day]]&lt;32,5)))))</f>
        <v>3</v>
      </c>
      <c r="G2726" s="32" t="str">
        <f t="shared" si="145"/>
        <v>Week 3</v>
      </c>
      <c r="H2726" s="32" t="str">
        <f t="shared" si="146"/>
        <v>September 29 Week 3</v>
      </c>
      <c r="I2726" s="32" t="str">
        <f>CONCATENATE(UPPER(TableAopCalendar[[#This Row],[Month]])," ",TableAopCalendar[[#This Row],[Year]])</f>
        <v>SEPTEMBER 29</v>
      </c>
      <c r="J2726" s="7" t="s">
        <v>274</v>
      </c>
      <c r="K2726" s="32" t="str">
        <f>CONCATENATE(TableAopCalendar[[#This Row],[Month for Plan]]," ",TableAopCalendar[[#This Row],[Plan]])</f>
        <v>SEPTEMBER 29 PLANNED</v>
      </c>
    </row>
    <row r="2727" spans="1:11" x14ac:dyDescent="0.3">
      <c r="A2727" s="32">
        <f t="shared" si="144"/>
        <v>2</v>
      </c>
      <c r="B2727" s="33">
        <v>47377</v>
      </c>
      <c r="C2727" s="6" t="s">
        <v>269</v>
      </c>
      <c r="D2727" s="34">
        <v>29</v>
      </c>
      <c r="E2727" s="32">
        <f>DAY(TableAopCalendar[[#This Row],[Date]])</f>
        <v>16</v>
      </c>
      <c r="F2727" s="32">
        <f>IF(TableAopCalendar[[#This Row],[Day]]&lt;8,1,IF(TableAopCalendar[[#This Row],[Day]]&lt;15,2,IF(TableAopCalendar[[#This Row],[Day]]&lt;22,3,IF(TableAopCalendar[[#This Row],[Day]]&lt;29,4,IF(TableAopCalendar[[#This Row],[Day]]&lt;32,5)))))</f>
        <v>3</v>
      </c>
      <c r="G2727" s="32" t="str">
        <f t="shared" si="145"/>
        <v>Week 3</v>
      </c>
      <c r="H2727" s="32" t="str">
        <f t="shared" si="146"/>
        <v>September 29 Week 3</v>
      </c>
      <c r="I2727" s="32" t="str">
        <f>CONCATENATE(UPPER(TableAopCalendar[[#This Row],[Month]])," ",TableAopCalendar[[#This Row],[Year]])</f>
        <v>SEPTEMBER 29</v>
      </c>
      <c r="J2727" s="7" t="s">
        <v>274</v>
      </c>
      <c r="K2727" s="32" t="str">
        <f>CONCATENATE(TableAopCalendar[[#This Row],[Month for Plan]]," ",TableAopCalendar[[#This Row],[Plan]])</f>
        <v>SEPTEMBER 29 PLANNED</v>
      </c>
    </row>
    <row r="2728" spans="1:11" x14ac:dyDescent="0.3">
      <c r="A2728" s="32">
        <f t="shared" si="144"/>
        <v>3</v>
      </c>
      <c r="B2728" s="33">
        <v>47378</v>
      </c>
      <c r="C2728" s="6" t="s">
        <v>269</v>
      </c>
      <c r="D2728" s="34">
        <v>29</v>
      </c>
      <c r="E2728" s="32">
        <f>DAY(TableAopCalendar[[#This Row],[Date]])</f>
        <v>17</v>
      </c>
      <c r="F2728" s="32">
        <f>IF(TableAopCalendar[[#This Row],[Day]]&lt;8,1,IF(TableAopCalendar[[#This Row],[Day]]&lt;15,2,IF(TableAopCalendar[[#This Row],[Day]]&lt;22,3,IF(TableAopCalendar[[#This Row],[Day]]&lt;29,4,IF(TableAopCalendar[[#This Row],[Day]]&lt;32,5)))))</f>
        <v>3</v>
      </c>
      <c r="G2728" s="32" t="str">
        <f t="shared" si="145"/>
        <v>Week 3</v>
      </c>
      <c r="H2728" s="32" t="str">
        <f t="shared" si="146"/>
        <v>September 29 Week 3</v>
      </c>
      <c r="I2728" s="32" t="str">
        <f>CONCATENATE(UPPER(TableAopCalendar[[#This Row],[Month]])," ",TableAopCalendar[[#This Row],[Year]])</f>
        <v>SEPTEMBER 29</v>
      </c>
      <c r="J2728" s="7" t="s">
        <v>274</v>
      </c>
      <c r="K2728" s="32" t="str">
        <f>CONCATENATE(TableAopCalendar[[#This Row],[Month for Plan]]," ",TableAopCalendar[[#This Row],[Plan]])</f>
        <v>SEPTEMBER 29 PLANNED</v>
      </c>
    </row>
    <row r="2729" spans="1:11" x14ac:dyDescent="0.3">
      <c r="A2729" s="32">
        <f t="shared" si="144"/>
        <v>4</v>
      </c>
      <c r="B2729" s="33">
        <v>47379</v>
      </c>
      <c r="C2729" s="6" t="s">
        <v>269</v>
      </c>
      <c r="D2729" s="34">
        <v>29</v>
      </c>
      <c r="E2729" s="32">
        <f>DAY(TableAopCalendar[[#This Row],[Date]])</f>
        <v>18</v>
      </c>
      <c r="F2729" s="32">
        <f>IF(TableAopCalendar[[#This Row],[Day]]&lt;8,1,IF(TableAopCalendar[[#This Row],[Day]]&lt;15,2,IF(TableAopCalendar[[#This Row],[Day]]&lt;22,3,IF(TableAopCalendar[[#This Row],[Day]]&lt;29,4,IF(TableAopCalendar[[#This Row],[Day]]&lt;32,5)))))</f>
        <v>3</v>
      </c>
      <c r="G2729" s="32" t="str">
        <f t="shared" si="145"/>
        <v>Week 3</v>
      </c>
      <c r="H2729" s="32" t="str">
        <f t="shared" si="146"/>
        <v>September 29 Week 3</v>
      </c>
      <c r="I2729" s="32" t="str">
        <f>CONCATENATE(UPPER(TableAopCalendar[[#This Row],[Month]])," ",TableAopCalendar[[#This Row],[Year]])</f>
        <v>SEPTEMBER 29</v>
      </c>
      <c r="J2729" s="7" t="s">
        <v>274</v>
      </c>
      <c r="K2729" s="32" t="str">
        <f>CONCATENATE(TableAopCalendar[[#This Row],[Month for Plan]]," ",TableAopCalendar[[#This Row],[Plan]])</f>
        <v>SEPTEMBER 29 PLANNED</v>
      </c>
    </row>
    <row r="2730" spans="1:11" x14ac:dyDescent="0.3">
      <c r="A2730" s="32">
        <f t="shared" si="144"/>
        <v>5</v>
      </c>
      <c r="B2730" s="33">
        <v>47380</v>
      </c>
      <c r="C2730" s="6" t="s">
        <v>269</v>
      </c>
      <c r="D2730" s="34">
        <v>29</v>
      </c>
      <c r="E2730" s="32">
        <f>DAY(TableAopCalendar[[#This Row],[Date]])</f>
        <v>19</v>
      </c>
      <c r="F2730" s="32">
        <f>IF(TableAopCalendar[[#This Row],[Day]]&lt;8,1,IF(TableAopCalendar[[#This Row],[Day]]&lt;15,2,IF(TableAopCalendar[[#This Row],[Day]]&lt;22,3,IF(TableAopCalendar[[#This Row],[Day]]&lt;29,4,IF(TableAopCalendar[[#This Row],[Day]]&lt;32,5)))))</f>
        <v>3</v>
      </c>
      <c r="G2730" s="32" t="str">
        <f t="shared" si="145"/>
        <v>Week 3</v>
      </c>
      <c r="H2730" s="32" t="str">
        <f t="shared" si="146"/>
        <v>September 29 Week 3</v>
      </c>
      <c r="I2730" s="32" t="str">
        <f>CONCATENATE(UPPER(TableAopCalendar[[#This Row],[Month]])," ",TableAopCalendar[[#This Row],[Year]])</f>
        <v>SEPTEMBER 29</v>
      </c>
      <c r="J2730" s="7" t="s">
        <v>274</v>
      </c>
      <c r="K2730" s="32" t="str">
        <f>CONCATENATE(TableAopCalendar[[#This Row],[Month for Plan]]," ",TableAopCalendar[[#This Row],[Plan]])</f>
        <v>SEPTEMBER 29 PLANNED</v>
      </c>
    </row>
    <row r="2731" spans="1:11" x14ac:dyDescent="0.3">
      <c r="A2731" s="32">
        <f t="shared" si="144"/>
        <v>6</v>
      </c>
      <c r="B2731" s="33">
        <v>47381</v>
      </c>
      <c r="C2731" s="6" t="s">
        <v>269</v>
      </c>
      <c r="D2731" s="34">
        <v>29</v>
      </c>
      <c r="E2731" s="32">
        <f>DAY(TableAopCalendar[[#This Row],[Date]])</f>
        <v>20</v>
      </c>
      <c r="F2731" s="32">
        <f>IF(TableAopCalendar[[#This Row],[Day]]&lt;8,1,IF(TableAopCalendar[[#This Row],[Day]]&lt;15,2,IF(TableAopCalendar[[#This Row],[Day]]&lt;22,3,IF(TableAopCalendar[[#This Row],[Day]]&lt;29,4,IF(TableAopCalendar[[#This Row],[Day]]&lt;32,5)))))</f>
        <v>3</v>
      </c>
      <c r="G2731" s="32" t="str">
        <f t="shared" si="145"/>
        <v>Week 3</v>
      </c>
      <c r="H2731" s="32" t="str">
        <f t="shared" si="146"/>
        <v>September 29 Week 3</v>
      </c>
      <c r="I2731" s="32" t="str">
        <f>CONCATENATE(UPPER(TableAopCalendar[[#This Row],[Month]])," ",TableAopCalendar[[#This Row],[Year]])</f>
        <v>SEPTEMBER 29</v>
      </c>
      <c r="J2731" s="7" t="s">
        <v>274</v>
      </c>
      <c r="K2731" s="32" t="str">
        <f>CONCATENATE(TableAopCalendar[[#This Row],[Month for Plan]]," ",TableAopCalendar[[#This Row],[Plan]])</f>
        <v>SEPTEMBER 29 PLANNED</v>
      </c>
    </row>
    <row r="2732" spans="1:11" x14ac:dyDescent="0.3">
      <c r="A2732" s="32">
        <f t="shared" si="144"/>
        <v>7</v>
      </c>
      <c r="B2732" s="33">
        <v>47382</v>
      </c>
      <c r="C2732" s="6" t="s">
        <v>269</v>
      </c>
      <c r="D2732" s="34">
        <v>29</v>
      </c>
      <c r="E2732" s="32">
        <f>DAY(TableAopCalendar[[#This Row],[Date]])</f>
        <v>21</v>
      </c>
      <c r="F2732" s="32">
        <f>IF(TableAopCalendar[[#This Row],[Day]]&lt;8,1,IF(TableAopCalendar[[#This Row],[Day]]&lt;15,2,IF(TableAopCalendar[[#This Row],[Day]]&lt;22,3,IF(TableAopCalendar[[#This Row],[Day]]&lt;29,4,IF(TableAopCalendar[[#This Row],[Day]]&lt;32,5)))))</f>
        <v>3</v>
      </c>
      <c r="G2732" s="32" t="str">
        <f t="shared" si="145"/>
        <v>Week 3</v>
      </c>
      <c r="H2732" s="32" t="str">
        <f t="shared" si="146"/>
        <v>September 29 Week 3</v>
      </c>
      <c r="I2732" s="32" t="str">
        <f>CONCATENATE(UPPER(TableAopCalendar[[#This Row],[Month]])," ",TableAopCalendar[[#This Row],[Year]])</f>
        <v>SEPTEMBER 29</v>
      </c>
      <c r="J2732" s="7" t="s">
        <v>274</v>
      </c>
      <c r="K2732" s="32" t="str">
        <f>CONCATENATE(TableAopCalendar[[#This Row],[Month for Plan]]," ",TableAopCalendar[[#This Row],[Plan]])</f>
        <v>SEPTEMBER 29 PLANNED</v>
      </c>
    </row>
    <row r="2733" spans="1:11" x14ac:dyDescent="0.3">
      <c r="A2733" s="32">
        <f t="shared" si="144"/>
        <v>1</v>
      </c>
      <c r="B2733" s="33">
        <v>47383</v>
      </c>
      <c r="C2733" s="6" t="s">
        <v>269</v>
      </c>
      <c r="D2733" s="34">
        <v>29</v>
      </c>
      <c r="E2733" s="32">
        <f>DAY(TableAopCalendar[[#This Row],[Date]])</f>
        <v>22</v>
      </c>
      <c r="F2733" s="32">
        <f>IF(TableAopCalendar[[#This Row],[Day]]&lt;8,1,IF(TableAopCalendar[[#This Row],[Day]]&lt;15,2,IF(TableAopCalendar[[#This Row],[Day]]&lt;22,3,IF(TableAopCalendar[[#This Row],[Day]]&lt;29,4,IF(TableAopCalendar[[#This Row],[Day]]&lt;32,5)))))</f>
        <v>4</v>
      </c>
      <c r="G2733" s="32" t="str">
        <f t="shared" si="145"/>
        <v>Week 4</v>
      </c>
      <c r="H2733" s="32" t="str">
        <f t="shared" si="146"/>
        <v>September 29 Week 4</v>
      </c>
      <c r="I2733" s="32" t="str">
        <f>CONCATENATE(UPPER(TableAopCalendar[[#This Row],[Month]])," ",TableAopCalendar[[#This Row],[Year]])</f>
        <v>SEPTEMBER 29</v>
      </c>
      <c r="J2733" s="7" t="s">
        <v>274</v>
      </c>
      <c r="K2733" s="32" t="str">
        <f>CONCATENATE(TableAopCalendar[[#This Row],[Month for Plan]]," ",TableAopCalendar[[#This Row],[Plan]])</f>
        <v>SEPTEMBER 29 PLANNED</v>
      </c>
    </row>
    <row r="2734" spans="1:11" x14ac:dyDescent="0.3">
      <c r="A2734" s="32">
        <f t="shared" si="144"/>
        <v>2</v>
      </c>
      <c r="B2734" s="33">
        <v>47384</v>
      </c>
      <c r="C2734" s="6" t="s">
        <v>269</v>
      </c>
      <c r="D2734" s="34">
        <v>29</v>
      </c>
      <c r="E2734" s="32">
        <f>DAY(TableAopCalendar[[#This Row],[Date]])</f>
        <v>23</v>
      </c>
      <c r="F2734" s="32">
        <f>IF(TableAopCalendar[[#This Row],[Day]]&lt;8,1,IF(TableAopCalendar[[#This Row],[Day]]&lt;15,2,IF(TableAopCalendar[[#This Row],[Day]]&lt;22,3,IF(TableAopCalendar[[#This Row],[Day]]&lt;29,4,IF(TableAopCalendar[[#This Row],[Day]]&lt;32,5)))))</f>
        <v>4</v>
      </c>
      <c r="G2734" s="32" t="str">
        <f t="shared" si="145"/>
        <v>Week 4</v>
      </c>
      <c r="H2734" s="32" t="str">
        <f t="shared" si="146"/>
        <v>September 29 Week 4</v>
      </c>
      <c r="I2734" s="32" t="str">
        <f>CONCATENATE(UPPER(TableAopCalendar[[#This Row],[Month]])," ",TableAopCalendar[[#This Row],[Year]])</f>
        <v>SEPTEMBER 29</v>
      </c>
      <c r="J2734" s="7" t="s">
        <v>274</v>
      </c>
      <c r="K2734" s="32" t="str">
        <f>CONCATENATE(TableAopCalendar[[#This Row],[Month for Plan]]," ",TableAopCalendar[[#This Row],[Plan]])</f>
        <v>SEPTEMBER 29 PLANNED</v>
      </c>
    </row>
    <row r="2735" spans="1:11" x14ac:dyDescent="0.3">
      <c r="A2735" s="32">
        <f t="shared" si="144"/>
        <v>3</v>
      </c>
      <c r="B2735" s="33">
        <v>47385</v>
      </c>
      <c r="C2735" s="6" t="s">
        <v>269</v>
      </c>
      <c r="D2735" s="34">
        <v>29</v>
      </c>
      <c r="E2735" s="32">
        <f>DAY(TableAopCalendar[[#This Row],[Date]])</f>
        <v>24</v>
      </c>
      <c r="F2735" s="32">
        <f>IF(TableAopCalendar[[#This Row],[Day]]&lt;8,1,IF(TableAopCalendar[[#This Row],[Day]]&lt;15,2,IF(TableAopCalendar[[#This Row],[Day]]&lt;22,3,IF(TableAopCalendar[[#This Row],[Day]]&lt;29,4,IF(TableAopCalendar[[#This Row],[Day]]&lt;32,5)))))</f>
        <v>4</v>
      </c>
      <c r="G2735" s="32" t="str">
        <f t="shared" si="145"/>
        <v>Week 4</v>
      </c>
      <c r="H2735" s="32" t="str">
        <f t="shared" si="146"/>
        <v>September 29 Week 4</v>
      </c>
      <c r="I2735" s="32" t="str">
        <f>CONCATENATE(UPPER(TableAopCalendar[[#This Row],[Month]])," ",TableAopCalendar[[#This Row],[Year]])</f>
        <v>SEPTEMBER 29</v>
      </c>
      <c r="J2735" s="7" t="s">
        <v>274</v>
      </c>
      <c r="K2735" s="32" t="str">
        <f>CONCATENATE(TableAopCalendar[[#This Row],[Month for Plan]]," ",TableAopCalendar[[#This Row],[Plan]])</f>
        <v>SEPTEMBER 29 PLANNED</v>
      </c>
    </row>
    <row r="2736" spans="1:11" x14ac:dyDescent="0.3">
      <c r="A2736" s="32">
        <f t="shared" si="144"/>
        <v>4</v>
      </c>
      <c r="B2736" s="33">
        <v>47386</v>
      </c>
      <c r="C2736" s="6" t="s">
        <v>269</v>
      </c>
      <c r="D2736" s="34">
        <v>29</v>
      </c>
      <c r="E2736" s="32">
        <f>DAY(TableAopCalendar[[#This Row],[Date]])</f>
        <v>25</v>
      </c>
      <c r="F2736" s="32">
        <f>IF(TableAopCalendar[[#This Row],[Day]]&lt;8,1,IF(TableAopCalendar[[#This Row],[Day]]&lt;15,2,IF(TableAopCalendar[[#This Row],[Day]]&lt;22,3,IF(TableAopCalendar[[#This Row],[Day]]&lt;29,4,IF(TableAopCalendar[[#This Row],[Day]]&lt;32,5)))))</f>
        <v>4</v>
      </c>
      <c r="G2736" s="32" t="str">
        <f t="shared" si="145"/>
        <v>Week 4</v>
      </c>
      <c r="H2736" s="32" t="str">
        <f t="shared" si="146"/>
        <v>September 29 Week 4</v>
      </c>
      <c r="I2736" s="32" t="str">
        <f>CONCATENATE(UPPER(TableAopCalendar[[#This Row],[Month]])," ",TableAopCalendar[[#This Row],[Year]])</f>
        <v>SEPTEMBER 29</v>
      </c>
      <c r="J2736" s="7" t="s">
        <v>274</v>
      </c>
      <c r="K2736" s="32" t="str">
        <f>CONCATENATE(TableAopCalendar[[#This Row],[Month for Plan]]," ",TableAopCalendar[[#This Row],[Plan]])</f>
        <v>SEPTEMBER 29 PLANNED</v>
      </c>
    </row>
    <row r="2737" spans="1:11" x14ac:dyDescent="0.3">
      <c r="A2737" s="32">
        <f t="shared" si="144"/>
        <v>5</v>
      </c>
      <c r="B2737" s="33">
        <v>47387</v>
      </c>
      <c r="C2737" s="6" t="s">
        <v>269</v>
      </c>
      <c r="D2737" s="34">
        <v>29</v>
      </c>
      <c r="E2737" s="32">
        <f>DAY(TableAopCalendar[[#This Row],[Date]])</f>
        <v>26</v>
      </c>
      <c r="F2737" s="32">
        <f>IF(TableAopCalendar[[#This Row],[Day]]&lt;8,1,IF(TableAopCalendar[[#This Row],[Day]]&lt;15,2,IF(TableAopCalendar[[#This Row],[Day]]&lt;22,3,IF(TableAopCalendar[[#This Row],[Day]]&lt;29,4,IF(TableAopCalendar[[#This Row],[Day]]&lt;32,5)))))</f>
        <v>4</v>
      </c>
      <c r="G2737" s="32" t="str">
        <f t="shared" si="145"/>
        <v>Week 4</v>
      </c>
      <c r="H2737" s="32" t="str">
        <f t="shared" si="146"/>
        <v>September 29 Week 4</v>
      </c>
      <c r="I2737" s="32" t="str">
        <f>CONCATENATE(UPPER(TableAopCalendar[[#This Row],[Month]])," ",TableAopCalendar[[#This Row],[Year]])</f>
        <v>SEPTEMBER 29</v>
      </c>
      <c r="J2737" s="7" t="s">
        <v>274</v>
      </c>
      <c r="K2737" s="32" t="str">
        <f>CONCATENATE(TableAopCalendar[[#This Row],[Month for Plan]]," ",TableAopCalendar[[#This Row],[Plan]])</f>
        <v>SEPTEMBER 29 PLANNED</v>
      </c>
    </row>
    <row r="2738" spans="1:11" x14ac:dyDescent="0.3">
      <c r="A2738" s="32">
        <f t="shared" si="144"/>
        <v>6</v>
      </c>
      <c r="B2738" s="33">
        <v>47388</v>
      </c>
      <c r="C2738" s="6" t="s">
        <v>269</v>
      </c>
      <c r="D2738" s="34">
        <v>29</v>
      </c>
      <c r="E2738" s="32">
        <f>DAY(TableAopCalendar[[#This Row],[Date]])</f>
        <v>27</v>
      </c>
      <c r="F2738" s="32">
        <f>IF(TableAopCalendar[[#This Row],[Day]]&lt;8,1,IF(TableAopCalendar[[#This Row],[Day]]&lt;15,2,IF(TableAopCalendar[[#This Row],[Day]]&lt;22,3,IF(TableAopCalendar[[#This Row],[Day]]&lt;29,4,IF(TableAopCalendar[[#This Row],[Day]]&lt;32,5)))))</f>
        <v>4</v>
      </c>
      <c r="G2738" s="32" t="str">
        <f t="shared" si="145"/>
        <v>Week 4</v>
      </c>
      <c r="H2738" s="32" t="str">
        <f t="shared" si="146"/>
        <v>September 29 Week 4</v>
      </c>
      <c r="I2738" s="32" t="str">
        <f>CONCATENATE(UPPER(TableAopCalendar[[#This Row],[Month]])," ",TableAopCalendar[[#This Row],[Year]])</f>
        <v>SEPTEMBER 29</v>
      </c>
      <c r="J2738" s="7" t="s">
        <v>274</v>
      </c>
      <c r="K2738" s="32" t="str">
        <f>CONCATENATE(TableAopCalendar[[#This Row],[Month for Plan]]," ",TableAopCalendar[[#This Row],[Plan]])</f>
        <v>SEPTEMBER 29 PLANNED</v>
      </c>
    </row>
    <row r="2739" spans="1:11" x14ac:dyDescent="0.3">
      <c r="A2739" s="32">
        <f t="shared" si="144"/>
        <v>7</v>
      </c>
      <c r="B2739" s="33">
        <v>47389</v>
      </c>
      <c r="C2739" s="6" t="s">
        <v>269</v>
      </c>
      <c r="D2739" s="34">
        <v>29</v>
      </c>
      <c r="E2739" s="32">
        <f>DAY(TableAopCalendar[[#This Row],[Date]])</f>
        <v>28</v>
      </c>
      <c r="F2739" s="32">
        <f>IF(TableAopCalendar[[#This Row],[Day]]&lt;8,1,IF(TableAopCalendar[[#This Row],[Day]]&lt;15,2,IF(TableAopCalendar[[#This Row],[Day]]&lt;22,3,IF(TableAopCalendar[[#This Row],[Day]]&lt;29,4,IF(TableAopCalendar[[#This Row],[Day]]&lt;32,5)))))</f>
        <v>4</v>
      </c>
      <c r="G2739" s="32" t="str">
        <f t="shared" si="145"/>
        <v>Week 4</v>
      </c>
      <c r="H2739" s="32" t="str">
        <f t="shared" si="146"/>
        <v>September 29 Week 4</v>
      </c>
      <c r="I2739" s="32" t="str">
        <f>CONCATENATE(UPPER(TableAopCalendar[[#This Row],[Month]])," ",TableAopCalendar[[#This Row],[Year]])</f>
        <v>SEPTEMBER 29</v>
      </c>
      <c r="J2739" s="7" t="s">
        <v>274</v>
      </c>
      <c r="K2739" s="32" t="str">
        <f>CONCATENATE(TableAopCalendar[[#This Row],[Month for Plan]]," ",TableAopCalendar[[#This Row],[Plan]])</f>
        <v>SEPTEMBER 29 PLANNED</v>
      </c>
    </row>
    <row r="2740" spans="1:11" x14ac:dyDescent="0.3">
      <c r="A2740" s="32">
        <f t="shared" si="144"/>
        <v>1</v>
      </c>
      <c r="B2740" s="33">
        <v>47390</v>
      </c>
      <c r="C2740" s="6" t="s">
        <v>269</v>
      </c>
      <c r="D2740" s="34">
        <v>29</v>
      </c>
      <c r="E2740" s="32">
        <f>DAY(TableAopCalendar[[#This Row],[Date]])</f>
        <v>29</v>
      </c>
      <c r="F2740" s="32">
        <f>IF(TableAopCalendar[[#This Row],[Day]]&lt;8,1,IF(TableAopCalendar[[#This Row],[Day]]&lt;15,2,IF(TableAopCalendar[[#This Row],[Day]]&lt;22,3,IF(TableAopCalendar[[#This Row],[Day]]&lt;29,4,IF(TableAopCalendar[[#This Row],[Day]]&lt;32,5)))))</f>
        <v>5</v>
      </c>
      <c r="G2740" s="32" t="str">
        <f t="shared" si="145"/>
        <v>Week 5</v>
      </c>
      <c r="H2740" s="32" t="str">
        <f t="shared" si="146"/>
        <v>September 29 Week 5</v>
      </c>
      <c r="I2740" s="32" t="str">
        <f>CONCATENATE(UPPER(TableAopCalendar[[#This Row],[Month]])," ",TableAopCalendar[[#This Row],[Year]])</f>
        <v>SEPTEMBER 29</v>
      </c>
      <c r="J2740" s="7" t="s">
        <v>274</v>
      </c>
      <c r="K2740" s="32" t="str">
        <f>CONCATENATE(TableAopCalendar[[#This Row],[Month for Plan]]," ",TableAopCalendar[[#This Row],[Plan]])</f>
        <v>SEPTEMBER 29 PLANNED</v>
      </c>
    </row>
    <row r="2741" spans="1:11" x14ac:dyDescent="0.3">
      <c r="A2741" s="32">
        <f t="shared" si="144"/>
        <v>2</v>
      </c>
      <c r="B2741" s="33">
        <v>47391</v>
      </c>
      <c r="C2741" s="6" t="s">
        <v>269</v>
      </c>
      <c r="D2741" s="34">
        <v>29</v>
      </c>
      <c r="E2741" s="32">
        <f>DAY(TableAopCalendar[[#This Row],[Date]])</f>
        <v>30</v>
      </c>
      <c r="F2741" s="32">
        <f>IF(TableAopCalendar[[#This Row],[Day]]&lt;8,1,IF(TableAopCalendar[[#This Row],[Day]]&lt;15,2,IF(TableAopCalendar[[#This Row],[Day]]&lt;22,3,IF(TableAopCalendar[[#This Row],[Day]]&lt;29,4,IF(TableAopCalendar[[#This Row],[Day]]&lt;32,5)))))</f>
        <v>5</v>
      </c>
      <c r="G2741" s="32" t="str">
        <f t="shared" si="145"/>
        <v>Week 5</v>
      </c>
      <c r="H2741" s="32" t="str">
        <f t="shared" si="146"/>
        <v>September 29 Week 5</v>
      </c>
      <c r="I2741" s="32" t="str">
        <f>CONCATENATE(UPPER(TableAopCalendar[[#This Row],[Month]])," ",TableAopCalendar[[#This Row],[Year]])</f>
        <v>SEPTEMBER 29</v>
      </c>
      <c r="J2741" s="7" t="s">
        <v>274</v>
      </c>
      <c r="K2741" s="32" t="str">
        <f>CONCATENATE(TableAopCalendar[[#This Row],[Month for Plan]]," ",TableAopCalendar[[#This Row],[Plan]])</f>
        <v>SEPTEMBER 29 PLANNED</v>
      </c>
    </row>
    <row r="2742" spans="1:11" x14ac:dyDescent="0.3">
      <c r="A2742" s="32">
        <f t="shared" si="144"/>
        <v>1</v>
      </c>
      <c r="B2742" s="33">
        <v>47392</v>
      </c>
      <c r="C2742" s="6" t="s">
        <v>114</v>
      </c>
      <c r="D2742" s="34">
        <v>29</v>
      </c>
      <c r="E2742" s="32">
        <f>DAY(TableAopCalendar[[#This Row],[Date]])</f>
        <v>1</v>
      </c>
      <c r="F2742" s="32">
        <f>IF(TableAopCalendar[[#This Row],[Day]]&lt;8,1,IF(TableAopCalendar[[#This Row],[Day]]&lt;15,2,IF(TableAopCalendar[[#This Row],[Day]]&lt;22,3,IF(TableAopCalendar[[#This Row],[Day]]&lt;29,4,IF(TableAopCalendar[[#This Row],[Day]]&lt;32,5)))))</f>
        <v>1</v>
      </c>
      <c r="G2742" s="32" t="str">
        <f t="shared" si="145"/>
        <v>Week 1</v>
      </c>
      <c r="H2742" s="32" t="str">
        <f t="shared" si="146"/>
        <v>October 29 Week 1</v>
      </c>
      <c r="I2742" s="32" t="str">
        <f>CONCATENATE(UPPER(TableAopCalendar[[#This Row],[Month]])," ",TableAopCalendar[[#This Row],[Year]])</f>
        <v>OCTOBER 29</v>
      </c>
      <c r="J2742" s="7" t="s">
        <v>274</v>
      </c>
      <c r="K2742" s="32" t="str">
        <f>CONCATENATE(TableAopCalendar[[#This Row],[Month for Plan]]," ",TableAopCalendar[[#This Row],[Plan]])</f>
        <v>OCTOBER 29 PLANNED</v>
      </c>
    </row>
    <row r="2743" spans="1:11" x14ac:dyDescent="0.3">
      <c r="A2743" s="32">
        <f t="shared" si="144"/>
        <v>2</v>
      </c>
      <c r="B2743" s="33">
        <v>47393</v>
      </c>
      <c r="C2743" s="6" t="s">
        <v>114</v>
      </c>
      <c r="D2743" s="34">
        <v>29</v>
      </c>
      <c r="E2743" s="32">
        <f>DAY(TableAopCalendar[[#This Row],[Date]])</f>
        <v>2</v>
      </c>
      <c r="F2743" s="32">
        <f>IF(TableAopCalendar[[#This Row],[Day]]&lt;8,1,IF(TableAopCalendar[[#This Row],[Day]]&lt;15,2,IF(TableAopCalendar[[#This Row],[Day]]&lt;22,3,IF(TableAopCalendar[[#This Row],[Day]]&lt;29,4,IF(TableAopCalendar[[#This Row],[Day]]&lt;32,5)))))</f>
        <v>1</v>
      </c>
      <c r="G2743" s="32" t="str">
        <f t="shared" si="145"/>
        <v>Week 1</v>
      </c>
      <c r="H2743" s="32" t="str">
        <f t="shared" si="146"/>
        <v>October 29 Week 1</v>
      </c>
      <c r="I2743" s="32" t="str">
        <f>CONCATENATE(UPPER(TableAopCalendar[[#This Row],[Month]])," ",TableAopCalendar[[#This Row],[Year]])</f>
        <v>OCTOBER 29</v>
      </c>
      <c r="J2743" s="7" t="s">
        <v>274</v>
      </c>
      <c r="K2743" s="32" t="str">
        <f>CONCATENATE(TableAopCalendar[[#This Row],[Month for Plan]]," ",TableAopCalendar[[#This Row],[Plan]])</f>
        <v>OCTOBER 29 PLANNED</v>
      </c>
    </row>
    <row r="2744" spans="1:11" x14ac:dyDescent="0.3">
      <c r="A2744" s="32">
        <f t="shared" si="144"/>
        <v>3</v>
      </c>
      <c r="B2744" s="33">
        <v>47394</v>
      </c>
      <c r="C2744" s="6" t="s">
        <v>114</v>
      </c>
      <c r="D2744" s="34">
        <v>29</v>
      </c>
      <c r="E2744" s="32">
        <f>DAY(TableAopCalendar[[#This Row],[Date]])</f>
        <v>3</v>
      </c>
      <c r="F2744" s="32">
        <f>IF(TableAopCalendar[[#This Row],[Day]]&lt;8,1,IF(TableAopCalendar[[#This Row],[Day]]&lt;15,2,IF(TableAopCalendar[[#This Row],[Day]]&lt;22,3,IF(TableAopCalendar[[#This Row],[Day]]&lt;29,4,IF(TableAopCalendar[[#This Row],[Day]]&lt;32,5)))))</f>
        <v>1</v>
      </c>
      <c r="G2744" s="32" t="str">
        <f t="shared" si="145"/>
        <v>Week 1</v>
      </c>
      <c r="H2744" s="32" t="str">
        <f t="shared" si="146"/>
        <v>October 29 Week 1</v>
      </c>
      <c r="I2744" s="32" t="str">
        <f>CONCATENATE(UPPER(TableAopCalendar[[#This Row],[Month]])," ",TableAopCalendar[[#This Row],[Year]])</f>
        <v>OCTOBER 29</v>
      </c>
      <c r="J2744" s="7" t="s">
        <v>274</v>
      </c>
      <c r="K2744" s="32" t="str">
        <f>CONCATENATE(TableAopCalendar[[#This Row],[Month for Plan]]," ",TableAopCalendar[[#This Row],[Plan]])</f>
        <v>OCTOBER 29 PLANNED</v>
      </c>
    </row>
    <row r="2745" spans="1:11" x14ac:dyDescent="0.3">
      <c r="A2745" s="32">
        <f t="shared" si="144"/>
        <v>4</v>
      </c>
      <c r="B2745" s="33">
        <v>47395</v>
      </c>
      <c r="C2745" s="6" t="s">
        <v>114</v>
      </c>
      <c r="D2745" s="34">
        <v>29</v>
      </c>
      <c r="E2745" s="32">
        <f>DAY(TableAopCalendar[[#This Row],[Date]])</f>
        <v>4</v>
      </c>
      <c r="F2745" s="32">
        <f>IF(TableAopCalendar[[#This Row],[Day]]&lt;8,1,IF(TableAopCalendar[[#This Row],[Day]]&lt;15,2,IF(TableAopCalendar[[#This Row],[Day]]&lt;22,3,IF(TableAopCalendar[[#This Row],[Day]]&lt;29,4,IF(TableAopCalendar[[#This Row],[Day]]&lt;32,5)))))</f>
        <v>1</v>
      </c>
      <c r="G2745" s="32" t="str">
        <f t="shared" si="145"/>
        <v>Week 1</v>
      </c>
      <c r="H2745" s="32" t="str">
        <f t="shared" si="146"/>
        <v>October 29 Week 1</v>
      </c>
      <c r="I2745" s="32" t="str">
        <f>CONCATENATE(UPPER(TableAopCalendar[[#This Row],[Month]])," ",TableAopCalendar[[#This Row],[Year]])</f>
        <v>OCTOBER 29</v>
      </c>
      <c r="J2745" s="7" t="s">
        <v>274</v>
      </c>
      <c r="K2745" s="32" t="str">
        <f>CONCATENATE(TableAopCalendar[[#This Row],[Month for Plan]]," ",TableAopCalendar[[#This Row],[Plan]])</f>
        <v>OCTOBER 29 PLANNED</v>
      </c>
    </row>
    <row r="2746" spans="1:11" x14ac:dyDescent="0.3">
      <c r="A2746" s="32">
        <f t="shared" si="144"/>
        <v>5</v>
      </c>
      <c r="B2746" s="33">
        <v>47396</v>
      </c>
      <c r="C2746" s="6" t="s">
        <v>114</v>
      </c>
      <c r="D2746" s="34">
        <v>29</v>
      </c>
      <c r="E2746" s="32">
        <f>DAY(TableAopCalendar[[#This Row],[Date]])</f>
        <v>5</v>
      </c>
      <c r="F2746" s="32">
        <f>IF(TableAopCalendar[[#This Row],[Day]]&lt;8,1,IF(TableAopCalendar[[#This Row],[Day]]&lt;15,2,IF(TableAopCalendar[[#This Row],[Day]]&lt;22,3,IF(TableAopCalendar[[#This Row],[Day]]&lt;29,4,IF(TableAopCalendar[[#This Row],[Day]]&lt;32,5)))))</f>
        <v>1</v>
      </c>
      <c r="G2746" s="32" t="str">
        <f t="shared" si="145"/>
        <v>Week 1</v>
      </c>
      <c r="H2746" s="32" t="str">
        <f t="shared" si="146"/>
        <v>October 29 Week 1</v>
      </c>
      <c r="I2746" s="32" t="str">
        <f>CONCATENATE(UPPER(TableAopCalendar[[#This Row],[Month]])," ",TableAopCalendar[[#This Row],[Year]])</f>
        <v>OCTOBER 29</v>
      </c>
      <c r="J2746" s="7" t="s">
        <v>274</v>
      </c>
      <c r="K2746" s="32" t="str">
        <f>CONCATENATE(TableAopCalendar[[#This Row],[Month for Plan]]," ",TableAopCalendar[[#This Row],[Plan]])</f>
        <v>OCTOBER 29 PLANNED</v>
      </c>
    </row>
    <row r="2747" spans="1:11" x14ac:dyDescent="0.3">
      <c r="A2747" s="32">
        <f t="shared" si="144"/>
        <v>6</v>
      </c>
      <c r="B2747" s="33">
        <v>47397</v>
      </c>
      <c r="C2747" s="6" t="s">
        <v>114</v>
      </c>
      <c r="D2747" s="34">
        <v>29</v>
      </c>
      <c r="E2747" s="32">
        <f>DAY(TableAopCalendar[[#This Row],[Date]])</f>
        <v>6</v>
      </c>
      <c r="F2747" s="32">
        <f>IF(TableAopCalendar[[#This Row],[Day]]&lt;8,1,IF(TableAopCalendar[[#This Row],[Day]]&lt;15,2,IF(TableAopCalendar[[#This Row],[Day]]&lt;22,3,IF(TableAopCalendar[[#This Row],[Day]]&lt;29,4,IF(TableAopCalendar[[#This Row],[Day]]&lt;32,5)))))</f>
        <v>1</v>
      </c>
      <c r="G2747" s="32" t="str">
        <f t="shared" si="145"/>
        <v>Week 1</v>
      </c>
      <c r="H2747" s="32" t="str">
        <f t="shared" si="146"/>
        <v>October 29 Week 1</v>
      </c>
      <c r="I2747" s="32" t="str">
        <f>CONCATENATE(UPPER(TableAopCalendar[[#This Row],[Month]])," ",TableAopCalendar[[#This Row],[Year]])</f>
        <v>OCTOBER 29</v>
      </c>
      <c r="J2747" s="7" t="s">
        <v>274</v>
      </c>
      <c r="K2747" s="32" t="str">
        <f>CONCATENATE(TableAopCalendar[[#This Row],[Month for Plan]]," ",TableAopCalendar[[#This Row],[Plan]])</f>
        <v>OCTOBER 29 PLANNED</v>
      </c>
    </row>
    <row r="2748" spans="1:11" x14ac:dyDescent="0.3">
      <c r="A2748" s="32">
        <f t="shared" si="144"/>
        <v>7</v>
      </c>
      <c r="B2748" s="33">
        <v>47398</v>
      </c>
      <c r="C2748" s="6" t="s">
        <v>114</v>
      </c>
      <c r="D2748" s="34">
        <v>29</v>
      </c>
      <c r="E2748" s="32">
        <f>DAY(TableAopCalendar[[#This Row],[Date]])</f>
        <v>7</v>
      </c>
      <c r="F2748" s="32">
        <f>IF(TableAopCalendar[[#This Row],[Day]]&lt;8,1,IF(TableAopCalendar[[#This Row],[Day]]&lt;15,2,IF(TableAopCalendar[[#This Row],[Day]]&lt;22,3,IF(TableAopCalendar[[#This Row],[Day]]&lt;29,4,IF(TableAopCalendar[[#This Row],[Day]]&lt;32,5)))))</f>
        <v>1</v>
      </c>
      <c r="G2748" s="32" t="str">
        <f t="shared" si="145"/>
        <v>Week 1</v>
      </c>
      <c r="H2748" s="32" t="str">
        <f t="shared" si="146"/>
        <v>October 29 Week 1</v>
      </c>
      <c r="I2748" s="32" t="str">
        <f>CONCATENATE(UPPER(TableAopCalendar[[#This Row],[Month]])," ",TableAopCalendar[[#This Row],[Year]])</f>
        <v>OCTOBER 29</v>
      </c>
      <c r="J2748" s="7" t="s">
        <v>274</v>
      </c>
      <c r="K2748" s="32" t="str">
        <f>CONCATENATE(TableAopCalendar[[#This Row],[Month for Plan]]," ",TableAopCalendar[[#This Row],[Plan]])</f>
        <v>OCTOBER 29 PLANNED</v>
      </c>
    </row>
    <row r="2749" spans="1:11" x14ac:dyDescent="0.3">
      <c r="A2749" s="32">
        <f t="shared" si="144"/>
        <v>1</v>
      </c>
      <c r="B2749" s="33">
        <v>47399</v>
      </c>
      <c r="C2749" s="6" t="s">
        <v>114</v>
      </c>
      <c r="D2749" s="34">
        <v>29</v>
      </c>
      <c r="E2749" s="32">
        <f>DAY(TableAopCalendar[[#This Row],[Date]])</f>
        <v>8</v>
      </c>
      <c r="F2749" s="32">
        <f>IF(TableAopCalendar[[#This Row],[Day]]&lt;8,1,IF(TableAopCalendar[[#This Row],[Day]]&lt;15,2,IF(TableAopCalendar[[#This Row],[Day]]&lt;22,3,IF(TableAopCalendar[[#This Row],[Day]]&lt;29,4,IF(TableAopCalendar[[#This Row],[Day]]&lt;32,5)))))</f>
        <v>2</v>
      </c>
      <c r="G2749" s="32" t="str">
        <f t="shared" si="145"/>
        <v>Week 2</v>
      </c>
      <c r="H2749" s="32" t="str">
        <f t="shared" si="146"/>
        <v>October 29 Week 2</v>
      </c>
      <c r="I2749" s="32" t="str">
        <f>CONCATENATE(UPPER(TableAopCalendar[[#This Row],[Month]])," ",TableAopCalendar[[#This Row],[Year]])</f>
        <v>OCTOBER 29</v>
      </c>
      <c r="J2749" s="7" t="s">
        <v>274</v>
      </c>
      <c r="K2749" s="32" t="str">
        <f>CONCATENATE(TableAopCalendar[[#This Row],[Month for Plan]]," ",TableAopCalendar[[#This Row],[Plan]])</f>
        <v>OCTOBER 29 PLANNED</v>
      </c>
    </row>
    <row r="2750" spans="1:11" x14ac:dyDescent="0.3">
      <c r="A2750" s="32">
        <f t="shared" si="144"/>
        <v>2</v>
      </c>
      <c r="B2750" s="33">
        <v>47400</v>
      </c>
      <c r="C2750" s="6" t="s">
        <v>114</v>
      </c>
      <c r="D2750" s="34">
        <v>29</v>
      </c>
      <c r="E2750" s="32">
        <f>DAY(TableAopCalendar[[#This Row],[Date]])</f>
        <v>9</v>
      </c>
      <c r="F2750" s="32">
        <f>IF(TableAopCalendar[[#This Row],[Day]]&lt;8,1,IF(TableAopCalendar[[#This Row],[Day]]&lt;15,2,IF(TableAopCalendar[[#This Row],[Day]]&lt;22,3,IF(TableAopCalendar[[#This Row],[Day]]&lt;29,4,IF(TableAopCalendar[[#This Row],[Day]]&lt;32,5)))))</f>
        <v>2</v>
      </c>
      <c r="G2750" s="32" t="str">
        <f t="shared" si="145"/>
        <v>Week 2</v>
      </c>
      <c r="H2750" s="32" t="str">
        <f t="shared" si="146"/>
        <v>October 29 Week 2</v>
      </c>
      <c r="I2750" s="32" t="str">
        <f>CONCATENATE(UPPER(TableAopCalendar[[#This Row],[Month]])," ",TableAopCalendar[[#This Row],[Year]])</f>
        <v>OCTOBER 29</v>
      </c>
      <c r="J2750" s="7" t="s">
        <v>274</v>
      </c>
      <c r="K2750" s="32" t="str">
        <f>CONCATENATE(TableAopCalendar[[#This Row],[Month for Plan]]," ",TableAopCalendar[[#This Row],[Plan]])</f>
        <v>OCTOBER 29 PLANNED</v>
      </c>
    </row>
    <row r="2751" spans="1:11" x14ac:dyDescent="0.3">
      <c r="A2751" s="32">
        <f t="shared" si="144"/>
        <v>3</v>
      </c>
      <c r="B2751" s="33">
        <v>47401</v>
      </c>
      <c r="C2751" s="6" t="s">
        <v>114</v>
      </c>
      <c r="D2751" s="34">
        <v>29</v>
      </c>
      <c r="E2751" s="32">
        <f>DAY(TableAopCalendar[[#This Row],[Date]])</f>
        <v>10</v>
      </c>
      <c r="F2751" s="32">
        <f>IF(TableAopCalendar[[#This Row],[Day]]&lt;8,1,IF(TableAopCalendar[[#This Row],[Day]]&lt;15,2,IF(TableAopCalendar[[#This Row],[Day]]&lt;22,3,IF(TableAopCalendar[[#This Row],[Day]]&lt;29,4,IF(TableAopCalendar[[#This Row],[Day]]&lt;32,5)))))</f>
        <v>2</v>
      </c>
      <c r="G2751" s="32" t="str">
        <f t="shared" si="145"/>
        <v>Week 2</v>
      </c>
      <c r="H2751" s="32" t="str">
        <f t="shared" si="146"/>
        <v>October 29 Week 2</v>
      </c>
      <c r="I2751" s="32" t="str">
        <f>CONCATENATE(UPPER(TableAopCalendar[[#This Row],[Month]])," ",TableAopCalendar[[#This Row],[Year]])</f>
        <v>OCTOBER 29</v>
      </c>
      <c r="J2751" s="7" t="s">
        <v>274</v>
      </c>
      <c r="K2751" s="32" t="str">
        <f>CONCATENATE(TableAopCalendar[[#This Row],[Month for Plan]]," ",TableAopCalendar[[#This Row],[Plan]])</f>
        <v>OCTOBER 29 PLANNED</v>
      </c>
    </row>
    <row r="2752" spans="1:11" x14ac:dyDescent="0.3">
      <c r="A2752" s="32">
        <f t="shared" si="144"/>
        <v>4</v>
      </c>
      <c r="B2752" s="33">
        <v>47402</v>
      </c>
      <c r="C2752" s="6" t="s">
        <v>114</v>
      </c>
      <c r="D2752" s="34">
        <v>29</v>
      </c>
      <c r="E2752" s="32">
        <f>DAY(TableAopCalendar[[#This Row],[Date]])</f>
        <v>11</v>
      </c>
      <c r="F2752" s="32">
        <f>IF(TableAopCalendar[[#This Row],[Day]]&lt;8,1,IF(TableAopCalendar[[#This Row],[Day]]&lt;15,2,IF(TableAopCalendar[[#This Row],[Day]]&lt;22,3,IF(TableAopCalendar[[#This Row],[Day]]&lt;29,4,IF(TableAopCalendar[[#This Row],[Day]]&lt;32,5)))))</f>
        <v>2</v>
      </c>
      <c r="G2752" s="32" t="str">
        <f t="shared" si="145"/>
        <v>Week 2</v>
      </c>
      <c r="H2752" s="32" t="str">
        <f t="shared" si="146"/>
        <v>October 29 Week 2</v>
      </c>
      <c r="I2752" s="32" t="str">
        <f>CONCATENATE(UPPER(TableAopCalendar[[#This Row],[Month]])," ",TableAopCalendar[[#This Row],[Year]])</f>
        <v>OCTOBER 29</v>
      </c>
      <c r="J2752" s="7" t="s">
        <v>274</v>
      </c>
      <c r="K2752" s="32" t="str">
        <f>CONCATENATE(TableAopCalendar[[#This Row],[Month for Plan]]," ",TableAopCalendar[[#This Row],[Plan]])</f>
        <v>OCTOBER 29 PLANNED</v>
      </c>
    </row>
    <row r="2753" spans="1:11" x14ac:dyDescent="0.3">
      <c r="A2753" s="32">
        <f t="shared" si="144"/>
        <v>5</v>
      </c>
      <c r="B2753" s="33">
        <v>47403</v>
      </c>
      <c r="C2753" s="6" t="s">
        <v>114</v>
      </c>
      <c r="D2753" s="34">
        <v>29</v>
      </c>
      <c r="E2753" s="32">
        <f>DAY(TableAopCalendar[[#This Row],[Date]])</f>
        <v>12</v>
      </c>
      <c r="F2753" s="32">
        <f>IF(TableAopCalendar[[#This Row],[Day]]&lt;8,1,IF(TableAopCalendar[[#This Row],[Day]]&lt;15,2,IF(TableAopCalendar[[#This Row],[Day]]&lt;22,3,IF(TableAopCalendar[[#This Row],[Day]]&lt;29,4,IF(TableAopCalendar[[#This Row],[Day]]&lt;32,5)))))</f>
        <v>2</v>
      </c>
      <c r="G2753" s="32" t="str">
        <f t="shared" si="145"/>
        <v>Week 2</v>
      </c>
      <c r="H2753" s="32" t="str">
        <f t="shared" si="146"/>
        <v>October 29 Week 2</v>
      </c>
      <c r="I2753" s="32" t="str">
        <f>CONCATENATE(UPPER(TableAopCalendar[[#This Row],[Month]])," ",TableAopCalendar[[#This Row],[Year]])</f>
        <v>OCTOBER 29</v>
      </c>
      <c r="J2753" s="7" t="s">
        <v>274</v>
      </c>
      <c r="K2753" s="32" t="str">
        <f>CONCATENATE(TableAopCalendar[[#This Row],[Month for Plan]]," ",TableAopCalendar[[#This Row],[Plan]])</f>
        <v>OCTOBER 29 PLANNED</v>
      </c>
    </row>
    <row r="2754" spans="1:11" x14ac:dyDescent="0.3">
      <c r="A2754" s="32">
        <f t="shared" si="144"/>
        <v>6</v>
      </c>
      <c r="B2754" s="33">
        <v>47404</v>
      </c>
      <c r="C2754" s="6" t="s">
        <v>114</v>
      </c>
      <c r="D2754" s="34">
        <v>29</v>
      </c>
      <c r="E2754" s="32">
        <f>DAY(TableAopCalendar[[#This Row],[Date]])</f>
        <v>13</v>
      </c>
      <c r="F2754" s="32">
        <f>IF(TableAopCalendar[[#This Row],[Day]]&lt;8,1,IF(TableAopCalendar[[#This Row],[Day]]&lt;15,2,IF(TableAopCalendar[[#This Row],[Day]]&lt;22,3,IF(TableAopCalendar[[#This Row],[Day]]&lt;29,4,IF(TableAopCalendar[[#This Row],[Day]]&lt;32,5)))))</f>
        <v>2</v>
      </c>
      <c r="G2754" s="32" t="str">
        <f t="shared" si="145"/>
        <v>Week 2</v>
      </c>
      <c r="H2754" s="32" t="str">
        <f t="shared" si="146"/>
        <v>October 29 Week 2</v>
      </c>
      <c r="I2754" s="32" t="str">
        <f>CONCATENATE(UPPER(TableAopCalendar[[#This Row],[Month]])," ",TableAopCalendar[[#This Row],[Year]])</f>
        <v>OCTOBER 29</v>
      </c>
      <c r="J2754" s="7" t="s">
        <v>274</v>
      </c>
      <c r="K2754" s="32" t="str">
        <f>CONCATENATE(TableAopCalendar[[#This Row],[Month for Plan]]," ",TableAopCalendar[[#This Row],[Plan]])</f>
        <v>OCTOBER 29 PLANNED</v>
      </c>
    </row>
    <row r="2755" spans="1:11" x14ac:dyDescent="0.3">
      <c r="A2755" s="32">
        <f t="shared" si="144"/>
        <v>7</v>
      </c>
      <c r="B2755" s="33">
        <v>47405</v>
      </c>
      <c r="C2755" s="6" t="s">
        <v>114</v>
      </c>
      <c r="D2755" s="34">
        <v>29</v>
      </c>
      <c r="E2755" s="32">
        <f>DAY(TableAopCalendar[[#This Row],[Date]])</f>
        <v>14</v>
      </c>
      <c r="F2755" s="32">
        <f>IF(TableAopCalendar[[#This Row],[Day]]&lt;8,1,IF(TableAopCalendar[[#This Row],[Day]]&lt;15,2,IF(TableAopCalendar[[#This Row],[Day]]&lt;22,3,IF(TableAopCalendar[[#This Row],[Day]]&lt;29,4,IF(TableAopCalendar[[#This Row],[Day]]&lt;32,5)))))</f>
        <v>2</v>
      </c>
      <c r="G2755" s="32" t="str">
        <f t="shared" si="145"/>
        <v>Week 2</v>
      </c>
      <c r="H2755" s="32" t="str">
        <f t="shared" si="146"/>
        <v>October 29 Week 2</v>
      </c>
      <c r="I2755" s="32" t="str">
        <f>CONCATENATE(UPPER(TableAopCalendar[[#This Row],[Month]])," ",TableAopCalendar[[#This Row],[Year]])</f>
        <v>OCTOBER 29</v>
      </c>
      <c r="J2755" s="7" t="s">
        <v>274</v>
      </c>
      <c r="K2755" s="32" t="str">
        <f>CONCATENATE(TableAopCalendar[[#This Row],[Month for Plan]]," ",TableAopCalendar[[#This Row],[Plan]])</f>
        <v>OCTOBER 29 PLANNED</v>
      </c>
    </row>
    <row r="2756" spans="1:11" x14ac:dyDescent="0.3">
      <c r="A2756" s="32">
        <f t="shared" si="144"/>
        <v>1</v>
      </c>
      <c r="B2756" s="33">
        <v>47406</v>
      </c>
      <c r="C2756" s="6" t="s">
        <v>114</v>
      </c>
      <c r="D2756" s="34">
        <v>29</v>
      </c>
      <c r="E2756" s="32">
        <f>DAY(TableAopCalendar[[#This Row],[Date]])</f>
        <v>15</v>
      </c>
      <c r="F2756" s="32">
        <f>IF(TableAopCalendar[[#This Row],[Day]]&lt;8,1,IF(TableAopCalendar[[#This Row],[Day]]&lt;15,2,IF(TableAopCalendar[[#This Row],[Day]]&lt;22,3,IF(TableAopCalendar[[#This Row],[Day]]&lt;29,4,IF(TableAopCalendar[[#This Row],[Day]]&lt;32,5)))))</f>
        <v>3</v>
      </c>
      <c r="G2756" s="32" t="str">
        <f t="shared" si="145"/>
        <v>Week 3</v>
      </c>
      <c r="H2756" s="32" t="str">
        <f t="shared" si="146"/>
        <v>October 29 Week 3</v>
      </c>
      <c r="I2756" s="32" t="str">
        <f>CONCATENATE(UPPER(TableAopCalendar[[#This Row],[Month]])," ",TableAopCalendar[[#This Row],[Year]])</f>
        <v>OCTOBER 29</v>
      </c>
      <c r="J2756" s="7" t="s">
        <v>274</v>
      </c>
      <c r="K2756" s="32" t="str">
        <f>CONCATENATE(TableAopCalendar[[#This Row],[Month for Plan]]," ",TableAopCalendar[[#This Row],[Plan]])</f>
        <v>OCTOBER 29 PLANNED</v>
      </c>
    </row>
    <row r="2757" spans="1:11" x14ac:dyDescent="0.3">
      <c r="A2757" s="32">
        <f t="shared" si="144"/>
        <v>2</v>
      </c>
      <c r="B2757" s="33">
        <v>47407</v>
      </c>
      <c r="C2757" s="6" t="s">
        <v>114</v>
      </c>
      <c r="D2757" s="34">
        <v>29</v>
      </c>
      <c r="E2757" s="32">
        <f>DAY(TableAopCalendar[[#This Row],[Date]])</f>
        <v>16</v>
      </c>
      <c r="F2757" s="32">
        <f>IF(TableAopCalendar[[#This Row],[Day]]&lt;8,1,IF(TableAopCalendar[[#This Row],[Day]]&lt;15,2,IF(TableAopCalendar[[#This Row],[Day]]&lt;22,3,IF(TableAopCalendar[[#This Row],[Day]]&lt;29,4,IF(TableAopCalendar[[#This Row],[Day]]&lt;32,5)))))</f>
        <v>3</v>
      </c>
      <c r="G2757" s="32" t="str">
        <f t="shared" si="145"/>
        <v>Week 3</v>
      </c>
      <c r="H2757" s="32" t="str">
        <f t="shared" si="146"/>
        <v>October 29 Week 3</v>
      </c>
      <c r="I2757" s="32" t="str">
        <f>CONCATENATE(UPPER(TableAopCalendar[[#This Row],[Month]])," ",TableAopCalendar[[#This Row],[Year]])</f>
        <v>OCTOBER 29</v>
      </c>
      <c r="J2757" s="7" t="s">
        <v>274</v>
      </c>
      <c r="K2757" s="32" t="str">
        <f>CONCATENATE(TableAopCalendar[[#This Row],[Month for Plan]]," ",TableAopCalendar[[#This Row],[Plan]])</f>
        <v>OCTOBER 29 PLANNED</v>
      </c>
    </row>
    <row r="2758" spans="1:11" x14ac:dyDescent="0.3">
      <c r="A2758" s="32">
        <f t="shared" si="144"/>
        <v>3</v>
      </c>
      <c r="B2758" s="33">
        <v>47408</v>
      </c>
      <c r="C2758" s="6" t="s">
        <v>114</v>
      </c>
      <c r="D2758" s="34">
        <v>29</v>
      </c>
      <c r="E2758" s="32">
        <f>DAY(TableAopCalendar[[#This Row],[Date]])</f>
        <v>17</v>
      </c>
      <c r="F2758" s="32">
        <f>IF(TableAopCalendar[[#This Row],[Day]]&lt;8,1,IF(TableAopCalendar[[#This Row],[Day]]&lt;15,2,IF(TableAopCalendar[[#This Row],[Day]]&lt;22,3,IF(TableAopCalendar[[#This Row],[Day]]&lt;29,4,IF(TableAopCalendar[[#This Row],[Day]]&lt;32,5)))))</f>
        <v>3</v>
      </c>
      <c r="G2758" s="32" t="str">
        <f t="shared" si="145"/>
        <v>Week 3</v>
      </c>
      <c r="H2758" s="32" t="str">
        <f t="shared" si="146"/>
        <v>October 29 Week 3</v>
      </c>
      <c r="I2758" s="32" t="str">
        <f>CONCATENATE(UPPER(TableAopCalendar[[#This Row],[Month]])," ",TableAopCalendar[[#This Row],[Year]])</f>
        <v>OCTOBER 29</v>
      </c>
      <c r="J2758" s="7" t="s">
        <v>274</v>
      </c>
      <c r="K2758" s="32" t="str">
        <f>CONCATENATE(TableAopCalendar[[#This Row],[Month for Plan]]," ",TableAopCalendar[[#This Row],[Plan]])</f>
        <v>OCTOBER 29 PLANNED</v>
      </c>
    </row>
    <row r="2759" spans="1:11" x14ac:dyDescent="0.3">
      <c r="A2759" s="32">
        <f t="shared" si="144"/>
        <v>4</v>
      </c>
      <c r="B2759" s="33">
        <v>47409</v>
      </c>
      <c r="C2759" s="6" t="s">
        <v>114</v>
      </c>
      <c r="D2759" s="34">
        <v>29</v>
      </c>
      <c r="E2759" s="32">
        <f>DAY(TableAopCalendar[[#This Row],[Date]])</f>
        <v>18</v>
      </c>
      <c r="F2759" s="32">
        <f>IF(TableAopCalendar[[#This Row],[Day]]&lt;8,1,IF(TableAopCalendar[[#This Row],[Day]]&lt;15,2,IF(TableAopCalendar[[#This Row],[Day]]&lt;22,3,IF(TableAopCalendar[[#This Row],[Day]]&lt;29,4,IF(TableAopCalendar[[#This Row],[Day]]&lt;32,5)))))</f>
        <v>3</v>
      </c>
      <c r="G2759" s="32" t="str">
        <f t="shared" si="145"/>
        <v>Week 3</v>
      </c>
      <c r="H2759" s="32" t="str">
        <f t="shared" si="146"/>
        <v>October 29 Week 3</v>
      </c>
      <c r="I2759" s="32" t="str">
        <f>CONCATENATE(UPPER(TableAopCalendar[[#This Row],[Month]])," ",TableAopCalendar[[#This Row],[Year]])</f>
        <v>OCTOBER 29</v>
      </c>
      <c r="J2759" s="7" t="s">
        <v>274</v>
      </c>
      <c r="K2759" s="32" t="str">
        <f>CONCATENATE(TableAopCalendar[[#This Row],[Month for Plan]]," ",TableAopCalendar[[#This Row],[Plan]])</f>
        <v>OCTOBER 29 PLANNED</v>
      </c>
    </row>
    <row r="2760" spans="1:11" x14ac:dyDescent="0.3">
      <c r="A2760" s="32">
        <f t="shared" si="144"/>
        <v>5</v>
      </c>
      <c r="B2760" s="33">
        <v>47410</v>
      </c>
      <c r="C2760" s="6" t="s">
        <v>114</v>
      </c>
      <c r="D2760" s="34">
        <v>29</v>
      </c>
      <c r="E2760" s="32">
        <f>DAY(TableAopCalendar[[#This Row],[Date]])</f>
        <v>19</v>
      </c>
      <c r="F2760" s="32">
        <f>IF(TableAopCalendar[[#This Row],[Day]]&lt;8,1,IF(TableAopCalendar[[#This Row],[Day]]&lt;15,2,IF(TableAopCalendar[[#This Row],[Day]]&lt;22,3,IF(TableAopCalendar[[#This Row],[Day]]&lt;29,4,IF(TableAopCalendar[[#This Row],[Day]]&lt;32,5)))))</f>
        <v>3</v>
      </c>
      <c r="G2760" s="32" t="str">
        <f t="shared" si="145"/>
        <v>Week 3</v>
      </c>
      <c r="H2760" s="32" t="str">
        <f t="shared" si="146"/>
        <v>October 29 Week 3</v>
      </c>
      <c r="I2760" s="32" t="str">
        <f>CONCATENATE(UPPER(TableAopCalendar[[#This Row],[Month]])," ",TableAopCalendar[[#This Row],[Year]])</f>
        <v>OCTOBER 29</v>
      </c>
      <c r="J2760" s="7" t="s">
        <v>274</v>
      </c>
      <c r="K2760" s="32" t="str">
        <f>CONCATENATE(TableAopCalendar[[#This Row],[Month for Plan]]," ",TableAopCalendar[[#This Row],[Plan]])</f>
        <v>OCTOBER 29 PLANNED</v>
      </c>
    </row>
    <row r="2761" spans="1:11" x14ac:dyDescent="0.3">
      <c r="A2761" s="32">
        <f t="shared" si="144"/>
        <v>6</v>
      </c>
      <c r="B2761" s="33">
        <v>47411</v>
      </c>
      <c r="C2761" s="6" t="s">
        <v>114</v>
      </c>
      <c r="D2761" s="34">
        <v>29</v>
      </c>
      <c r="E2761" s="32">
        <f>DAY(TableAopCalendar[[#This Row],[Date]])</f>
        <v>20</v>
      </c>
      <c r="F2761" s="32">
        <f>IF(TableAopCalendar[[#This Row],[Day]]&lt;8,1,IF(TableAopCalendar[[#This Row],[Day]]&lt;15,2,IF(TableAopCalendar[[#This Row],[Day]]&lt;22,3,IF(TableAopCalendar[[#This Row],[Day]]&lt;29,4,IF(TableAopCalendar[[#This Row],[Day]]&lt;32,5)))))</f>
        <v>3</v>
      </c>
      <c r="G2761" s="32" t="str">
        <f t="shared" si="145"/>
        <v>Week 3</v>
      </c>
      <c r="H2761" s="32" t="str">
        <f t="shared" si="146"/>
        <v>October 29 Week 3</v>
      </c>
      <c r="I2761" s="32" t="str">
        <f>CONCATENATE(UPPER(TableAopCalendar[[#This Row],[Month]])," ",TableAopCalendar[[#This Row],[Year]])</f>
        <v>OCTOBER 29</v>
      </c>
      <c r="J2761" s="7" t="s">
        <v>274</v>
      </c>
      <c r="K2761" s="32" t="str">
        <f>CONCATENATE(TableAopCalendar[[#This Row],[Month for Plan]]," ",TableAopCalendar[[#This Row],[Plan]])</f>
        <v>OCTOBER 29 PLANNED</v>
      </c>
    </row>
    <row r="2762" spans="1:11" x14ac:dyDescent="0.3">
      <c r="A2762" s="32">
        <f t="shared" si="144"/>
        <v>7</v>
      </c>
      <c r="B2762" s="33">
        <v>47412</v>
      </c>
      <c r="C2762" s="6" t="s">
        <v>114</v>
      </c>
      <c r="D2762" s="34">
        <v>29</v>
      </c>
      <c r="E2762" s="32">
        <f>DAY(TableAopCalendar[[#This Row],[Date]])</f>
        <v>21</v>
      </c>
      <c r="F2762" s="32">
        <f>IF(TableAopCalendar[[#This Row],[Day]]&lt;8,1,IF(TableAopCalendar[[#This Row],[Day]]&lt;15,2,IF(TableAopCalendar[[#This Row],[Day]]&lt;22,3,IF(TableAopCalendar[[#This Row],[Day]]&lt;29,4,IF(TableAopCalendar[[#This Row],[Day]]&lt;32,5)))))</f>
        <v>3</v>
      </c>
      <c r="G2762" s="32" t="str">
        <f t="shared" si="145"/>
        <v>Week 3</v>
      </c>
      <c r="H2762" s="32" t="str">
        <f t="shared" si="146"/>
        <v>October 29 Week 3</v>
      </c>
      <c r="I2762" s="32" t="str">
        <f>CONCATENATE(UPPER(TableAopCalendar[[#This Row],[Month]])," ",TableAopCalendar[[#This Row],[Year]])</f>
        <v>OCTOBER 29</v>
      </c>
      <c r="J2762" s="7" t="s">
        <v>274</v>
      </c>
      <c r="K2762" s="32" t="str">
        <f>CONCATENATE(TableAopCalendar[[#This Row],[Month for Plan]]," ",TableAopCalendar[[#This Row],[Plan]])</f>
        <v>OCTOBER 29 PLANNED</v>
      </c>
    </row>
    <row r="2763" spans="1:11" x14ac:dyDescent="0.3">
      <c r="A2763" s="32">
        <f t="shared" si="144"/>
        <v>1</v>
      </c>
      <c r="B2763" s="33">
        <v>47413</v>
      </c>
      <c r="C2763" s="6" t="s">
        <v>114</v>
      </c>
      <c r="D2763" s="34">
        <v>29</v>
      </c>
      <c r="E2763" s="32">
        <f>DAY(TableAopCalendar[[#This Row],[Date]])</f>
        <v>22</v>
      </c>
      <c r="F2763" s="32">
        <f>IF(TableAopCalendar[[#This Row],[Day]]&lt;8,1,IF(TableAopCalendar[[#This Row],[Day]]&lt;15,2,IF(TableAopCalendar[[#This Row],[Day]]&lt;22,3,IF(TableAopCalendar[[#This Row],[Day]]&lt;29,4,IF(TableAopCalendar[[#This Row],[Day]]&lt;32,5)))))</f>
        <v>4</v>
      </c>
      <c r="G2763" s="32" t="str">
        <f t="shared" si="145"/>
        <v>Week 4</v>
      </c>
      <c r="H2763" s="32" t="str">
        <f t="shared" si="146"/>
        <v>October 29 Week 4</v>
      </c>
      <c r="I2763" s="32" t="str">
        <f>CONCATENATE(UPPER(TableAopCalendar[[#This Row],[Month]])," ",TableAopCalendar[[#This Row],[Year]])</f>
        <v>OCTOBER 29</v>
      </c>
      <c r="J2763" s="7" t="s">
        <v>274</v>
      </c>
      <c r="K2763" s="32" t="str">
        <f>CONCATENATE(TableAopCalendar[[#This Row],[Month for Plan]]," ",TableAopCalendar[[#This Row],[Plan]])</f>
        <v>OCTOBER 29 PLANNED</v>
      </c>
    </row>
    <row r="2764" spans="1:11" x14ac:dyDescent="0.3">
      <c r="A2764" s="32">
        <f t="shared" si="144"/>
        <v>2</v>
      </c>
      <c r="B2764" s="33">
        <v>47414</v>
      </c>
      <c r="C2764" s="6" t="s">
        <v>114</v>
      </c>
      <c r="D2764" s="34">
        <v>29</v>
      </c>
      <c r="E2764" s="32">
        <f>DAY(TableAopCalendar[[#This Row],[Date]])</f>
        <v>23</v>
      </c>
      <c r="F2764" s="32">
        <f>IF(TableAopCalendar[[#This Row],[Day]]&lt;8,1,IF(TableAopCalendar[[#This Row],[Day]]&lt;15,2,IF(TableAopCalendar[[#This Row],[Day]]&lt;22,3,IF(TableAopCalendar[[#This Row],[Day]]&lt;29,4,IF(TableAopCalendar[[#This Row],[Day]]&lt;32,5)))))</f>
        <v>4</v>
      </c>
      <c r="G2764" s="32" t="str">
        <f t="shared" si="145"/>
        <v>Week 4</v>
      </c>
      <c r="H2764" s="32" t="str">
        <f t="shared" si="146"/>
        <v>October 29 Week 4</v>
      </c>
      <c r="I2764" s="32" t="str">
        <f>CONCATENATE(UPPER(TableAopCalendar[[#This Row],[Month]])," ",TableAopCalendar[[#This Row],[Year]])</f>
        <v>OCTOBER 29</v>
      </c>
      <c r="J2764" s="7" t="s">
        <v>274</v>
      </c>
      <c r="K2764" s="32" t="str">
        <f>CONCATENATE(TableAopCalendar[[#This Row],[Month for Plan]]," ",TableAopCalendar[[#This Row],[Plan]])</f>
        <v>OCTOBER 29 PLANNED</v>
      </c>
    </row>
    <row r="2765" spans="1:11" x14ac:dyDescent="0.3">
      <c r="A2765" s="32">
        <f t="shared" si="144"/>
        <v>3</v>
      </c>
      <c r="B2765" s="33">
        <v>47415</v>
      </c>
      <c r="C2765" s="6" t="s">
        <v>114</v>
      </c>
      <c r="D2765" s="34">
        <v>29</v>
      </c>
      <c r="E2765" s="32">
        <f>DAY(TableAopCalendar[[#This Row],[Date]])</f>
        <v>24</v>
      </c>
      <c r="F2765" s="32">
        <f>IF(TableAopCalendar[[#This Row],[Day]]&lt;8,1,IF(TableAopCalendar[[#This Row],[Day]]&lt;15,2,IF(TableAopCalendar[[#This Row],[Day]]&lt;22,3,IF(TableAopCalendar[[#This Row],[Day]]&lt;29,4,IF(TableAopCalendar[[#This Row],[Day]]&lt;32,5)))))</f>
        <v>4</v>
      </c>
      <c r="G2765" s="32" t="str">
        <f t="shared" si="145"/>
        <v>Week 4</v>
      </c>
      <c r="H2765" s="32" t="str">
        <f t="shared" si="146"/>
        <v>October 29 Week 4</v>
      </c>
      <c r="I2765" s="32" t="str">
        <f>CONCATENATE(UPPER(TableAopCalendar[[#This Row],[Month]])," ",TableAopCalendar[[#This Row],[Year]])</f>
        <v>OCTOBER 29</v>
      </c>
      <c r="J2765" s="7" t="s">
        <v>274</v>
      </c>
      <c r="K2765" s="32" t="str">
        <f>CONCATENATE(TableAopCalendar[[#This Row],[Month for Plan]]," ",TableAopCalendar[[#This Row],[Plan]])</f>
        <v>OCTOBER 29 PLANNED</v>
      </c>
    </row>
    <row r="2766" spans="1:11" x14ac:dyDescent="0.3">
      <c r="A2766" s="32">
        <f t="shared" si="144"/>
        <v>4</v>
      </c>
      <c r="B2766" s="33">
        <v>47416</v>
      </c>
      <c r="C2766" s="6" t="s">
        <v>114</v>
      </c>
      <c r="D2766" s="34">
        <v>29</v>
      </c>
      <c r="E2766" s="32">
        <f>DAY(TableAopCalendar[[#This Row],[Date]])</f>
        <v>25</v>
      </c>
      <c r="F2766" s="32">
        <f>IF(TableAopCalendar[[#This Row],[Day]]&lt;8,1,IF(TableAopCalendar[[#This Row],[Day]]&lt;15,2,IF(TableAopCalendar[[#This Row],[Day]]&lt;22,3,IF(TableAopCalendar[[#This Row],[Day]]&lt;29,4,IF(TableAopCalendar[[#This Row],[Day]]&lt;32,5)))))</f>
        <v>4</v>
      </c>
      <c r="G2766" s="32" t="str">
        <f t="shared" si="145"/>
        <v>Week 4</v>
      </c>
      <c r="H2766" s="32" t="str">
        <f t="shared" si="146"/>
        <v>October 29 Week 4</v>
      </c>
      <c r="I2766" s="32" t="str">
        <f>CONCATENATE(UPPER(TableAopCalendar[[#This Row],[Month]])," ",TableAopCalendar[[#This Row],[Year]])</f>
        <v>OCTOBER 29</v>
      </c>
      <c r="J2766" s="7" t="s">
        <v>274</v>
      </c>
      <c r="K2766" s="32" t="str">
        <f>CONCATENATE(TableAopCalendar[[#This Row],[Month for Plan]]," ",TableAopCalendar[[#This Row],[Plan]])</f>
        <v>OCTOBER 29 PLANNED</v>
      </c>
    </row>
    <row r="2767" spans="1:11" x14ac:dyDescent="0.3">
      <c r="A2767" s="32">
        <f t="shared" si="144"/>
        <v>5</v>
      </c>
      <c r="B2767" s="33">
        <v>47417</v>
      </c>
      <c r="C2767" s="6" t="s">
        <v>114</v>
      </c>
      <c r="D2767" s="34">
        <v>29</v>
      </c>
      <c r="E2767" s="32">
        <f>DAY(TableAopCalendar[[#This Row],[Date]])</f>
        <v>26</v>
      </c>
      <c r="F2767" s="32">
        <f>IF(TableAopCalendar[[#This Row],[Day]]&lt;8,1,IF(TableAopCalendar[[#This Row],[Day]]&lt;15,2,IF(TableAopCalendar[[#This Row],[Day]]&lt;22,3,IF(TableAopCalendar[[#This Row],[Day]]&lt;29,4,IF(TableAopCalendar[[#This Row],[Day]]&lt;32,5)))))</f>
        <v>4</v>
      </c>
      <c r="G2767" s="32" t="str">
        <f t="shared" si="145"/>
        <v>Week 4</v>
      </c>
      <c r="H2767" s="32" t="str">
        <f t="shared" si="146"/>
        <v>October 29 Week 4</v>
      </c>
      <c r="I2767" s="32" t="str">
        <f>CONCATENATE(UPPER(TableAopCalendar[[#This Row],[Month]])," ",TableAopCalendar[[#This Row],[Year]])</f>
        <v>OCTOBER 29</v>
      </c>
      <c r="J2767" s="7" t="s">
        <v>274</v>
      </c>
      <c r="K2767" s="32" t="str">
        <f>CONCATENATE(TableAopCalendar[[#This Row],[Month for Plan]]," ",TableAopCalendar[[#This Row],[Plan]])</f>
        <v>OCTOBER 29 PLANNED</v>
      </c>
    </row>
    <row r="2768" spans="1:11" x14ac:dyDescent="0.3">
      <c r="A2768" s="32">
        <f t="shared" si="144"/>
        <v>6</v>
      </c>
      <c r="B2768" s="33">
        <v>47418</v>
      </c>
      <c r="C2768" s="6" t="s">
        <v>114</v>
      </c>
      <c r="D2768" s="34">
        <v>29</v>
      </c>
      <c r="E2768" s="32">
        <f>DAY(TableAopCalendar[[#This Row],[Date]])</f>
        <v>27</v>
      </c>
      <c r="F2768" s="32">
        <f>IF(TableAopCalendar[[#This Row],[Day]]&lt;8,1,IF(TableAopCalendar[[#This Row],[Day]]&lt;15,2,IF(TableAopCalendar[[#This Row],[Day]]&lt;22,3,IF(TableAopCalendar[[#This Row],[Day]]&lt;29,4,IF(TableAopCalendar[[#This Row],[Day]]&lt;32,5)))))</f>
        <v>4</v>
      </c>
      <c r="G2768" s="32" t="str">
        <f t="shared" si="145"/>
        <v>Week 4</v>
      </c>
      <c r="H2768" s="32" t="str">
        <f t="shared" si="146"/>
        <v>October 29 Week 4</v>
      </c>
      <c r="I2768" s="32" t="str">
        <f>CONCATENATE(UPPER(TableAopCalendar[[#This Row],[Month]])," ",TableAopCalendar[[#This Row],[Year]])</f>
        <v>OCTOBER 29</v>
      </c>
      <c r="J2768" s="7" t="s">
        <v>274</v>
      </c>
      <c r="K2768" s="32" t="str">
        <f>CONCATENATE(TableAopCalendar[[#This Row],[Month for Plan]]," ",TableAopCalendar[[#This Row],[Plan]])</f>
        <v>OCTOBER 29 PLANNED</v>
      </c>
    </row>
    <row r="2769" spans="1:11" x14ac:dyDescent="0.3">
      <c r="A2769" s="32">
        <f t="shared" si="144"/>
        <v>7</v>
      </c>
      <c r="B2769" s="33">
        <v>47419</v>
      </c>
      <c r="C2769" s="6" t="s">
        <v>114</v>
      </c>
      <c r="D2769" s="34">
        <v>29</v>
      </c>
      <c r="E2769" s="32">
        <f>DAY(TableAopCalendar[[#This Row],[Date]])</f>
        <v>28</v>
      </c>
      <c r="F2769" s="32">
        <f>IF(TableAopCalendar[[#This Row],[Day]]&lt;8,1,IF(TableAopCalendar[[#This Row],[Day]]&lt;15,2,IF(TableAopCalendar[[#This Row],[Day]]&lt;22,3,IF(TableAopCalendar[[#This Row],[Day]]&lt;29,4,IF(TableAopCalendar[[#This Row],[Day]]&lt;32,5)))))</f>
        <v>4</v>
      </c>
      <c r="G2769" s="32" t="str">
        <f t="shared" si="145"/>
        <v>Week 4</v>
      </c>
      <c r="H2769" s="32" t="str">
        <f t="shared" si="146"/>
        <v>October 29 Week 4</v>
      </c>
      <c r="I2769" s="32" t="str">
        <f>CONCATENATE(UPPER(TableAopCalendar[[#This Row],[Month]])," ",TableAopCalendar[[#This Row],[Year]])</f>
        <v>OCTOBER 29</v>
      </c>
      <c r="J2769" s="7" t="s">
        <v>274</v>
      </c>
      <c r="K2769" s="32" t="str">
        <f>CONCATENATE(TableAopCalendar[[#This Row],[Month for Plan]]," ",TableAopCalendar[[#This Row],[Plan]])</f>
        <v>OCTOBER 29 PLANNED</v>
      </c>
    </row>
    <row r="2770" spans="1:11" x14ac:dyDescent="0.3">
      <c r="A2770" s="32">
        <f t="shared" si="144"/>
        <v>1</v>
      </c>
      <c r="B2770" s="33">
        <v>47420</v>
      </c>
      <c r="C2770" s="6" t="s">
        <v>114</v>
      </c>
      <c r="D2770" s="34">
        <v>29</v>
      </c>
      <c r="E2770" s="32">
        <f>DAY(TableAopCalendar[[#This Row],[Date]])</f>
        <v>29</v>
      </c>
      <c r="F2770" s="32">
        <f>IF(TableAopCalendar[[#This Row],[Day]]&lt;8,1,IF(TableAopCalendar[[#This Row],[Day]]&lt;15,2,IF(TableAopCalendar[[#This Row],[Day]]&lt;22,3,IF(TableAopCalendar[[#This Row],[Day]]&lt;29,4,IF(TableAopCalendar[[#This Row],[Day]]&lt;32,5)))))</f>
        <v>5</v>
      </c>
      <c r="G2770" s="32" t="str">
        <f t="shared" si="145"/>
        <v>Week 5</v>
      </c>
      <c r="H2770" s="32" t="str">
        <f t="shared" si="146"/>
        <v>October 29 Week 5</v>
      </c>
      <c r="I2770" s="32" t="str">
        <f>CONCATENATE(UPPER(TableAopCalendar[[#This Row],[Month]])," ",TableAopCalendar[[#This Row],[Year]])</f>
        <v>OCTOBER 29</v>
      </c>
      <c r="J2770" s="7" t="s">
        <v>274</v>
      </c>
      <c r="K2770" s="32" t="str">
        <f>CONCATENATE(TableAopCalendar[[#This Row],[Month for Plan]]," ",TableAopCalendar[[#This Row],[Plan]])</f>
        <v>OCTOBER 29 PLANNED</v>
      </c>
    </row>
    <row r="2771" spans="1:11" x14ac:dyDescent="0.3">
      <c r="A2771" s="32">
        <f t="shared" si="144"/>
        <v>2</v>
      </c>
      <c r="B2771" s="33">
        <v>47421</v>
      </c>
      <c r="C2771" s="6" t="s">
        <v>114</v>
      </c>
      <c r="D2771" s="34">
        <v>29</v>
      </c>
      <c r="E2771" s="32">
        <f>DAY(TableAopCalendar[[#This Row],[Date]])</f>
        <v>30</v>
      </c>
      <c r="F2771" s="32">
        <f>IF(TableAopCalendar[[#This Row],[Day]]&lt;8,1,IF(TableAopCalendar[[#This Row],[Day]]&lt;15,2,IF(TableAopCalendar[[#This Row],[Day]]&lt;22,3,IF(TableAopCalendar[[#This Row],[Day]]&lt;29,4,IF(TableAopCalendar[[#This Row],[Day]]&lt;32,5)))))</f>
        <v>5</v>
      </c>
      <c r="G2771" s="32" t="str">
        <f t="shared" si="145"/>
        <v>Week 5</v>
      </c>
      <c r="H2771" s="32" t="str">
        <f t="shared" si="146"/>
        <v>October 29 Week 5</v>
      </c>
      <c r="I2771" s="32" t="str">
        <f>CONCATENATE(UPPER(TableAopCalendar[[#This Row],[Month]])," ",TableAopCalendar[[#This Row],[Year]])</f>
        <v>OCTOBER 29</v>
      </c>
      <c r="J2771" s="7" t="s">
        <v>274</v>
      </c>
      <c r="K2771" s="32" t="str">
        <f>CONCATENATE(TableAopCalendar[[#This Row],[Month for Plan]]," ",TableAopCalendar[[#This Row],[Plan]])</f>
        <v>OCTOBER 29 PLANNED</v>
      </c>
    </row>
    <row r="2772" spans="1:11" x14ac:dyDescent="0.3">
      <c r="A2772" s="32">
        <f t="shared" si="144"/>
        <v>3</v>
      </c>
      <c r="B2772" s="33">
        <v>47422</v>
      </c>
      <c r="C2772" s="6" t="s">
        <v>114</v>
      </c>
      <c r="D2772" s="34">
        <v>29</v>
      </c>
      <c r="E2772" s="32">
        <f>DAY(TableAopCalendar[[#This Row],[Date]])</f>
        <v>31</v>
      </c>
      <c r="F2772" s="32">
        <f>IF(TableAopCalendar[[#This Row],[Day]]&lt;8,1,IF(TableAopCalendar[[#This Row],[Day]]&lt;15,2,IF(TableAopCalendar[[#This Row],[Day]]&lt;22,3,IF(TableAopCalendar[[#This Row],[Day]]&lt;29,4,IF(TableAopCalendar[[#This Row],[Day]]&lt;32,5)))))</f>
        <v>5</v>
      </c>
      <c r="G2772" s="32" t="str">
        <f t="shared" si="145"/>
        <v>Week 5</v>
      </c>
      <c r="H2772" s="32" t="str">
        <f t="shared" si="146"/>
        <v>October 29 Week 5</v>
      </c>
      <c r="I2772" s="32" t="str">
        <f>CONCATENATE(UPPER(TableAopCalendar[[#This Row],[Month]])," ",TableAopCalendar[[#This Row],[Year]])</f>
        <v>OCTOBER 29</v>
      </c>
      <c r="J2772" s="7" t="s">
        <v>274</v>
      </c>
      <c r="K2772" s="32" t="str">
        <f>CONCATENATE(TableAopCalendar[[#This Row],[Month for Plan]]," ",TableAopCalendar[[#This Row],[Plan]])</f>
        <v>OCTOBER 29 PLANNED</v>
      </c>
    </row>
    <row r="2773" spans="1:11" x14ac:dyDescent="0.3">
      <c r="A2773" s="32">
        <f t="shared" si="144"/>
        <v>1</v>
      </c>
      <c r="B2773" s="33">
        <v>47423</v>
      </c>
      <c r="C2773" s="6" t="s">
        <v>117</v>
      </c>
      <c r="D2773" s="34">
        <v>29</v>
      </c>
      <c r="E2773" s="32">
        <f>DAY(TableAopCalendar[[#This Row],[Date]])</f>
        <v>1</v>
      </c>
      <c r="F2773" s="32">
        <f>IF(TableAopCalendar[[#This Row],[Day]]&lt;8,1,IF(TableAopCalendar[[#This Row],[Day]]&lt;15,2,IF(TableAopCalendar[[#This Row],[Day]]&lt;22,3,IF(TableAopCalendar[[#This Row],[Day]]&lt;29,4,IF(TableAopCalendar[[#This Row],[Day]]&lt;32,5)))))</f>
        <v>1</v>
      </c>
      <c r="G2773" s="32" t="str">
        <f t="shared" si="145"/>
        <v>Week 1</v>
      </c>
      <c r="H2773" s="32" t="str">
        <f t="shared" si="146"/>
        <v>November 29 Week 1</v>
      </c>
      <c r="I2773" s="32" t="str">
        <f>CONCATENATE(UPPER(TableAopCalendar[[#This Row],[Month]])," ",TableAopCalendar[[#This Row],[Year]])</f>
        <v>NOVEMBER 29</v>
      </c>
      <c r="J2773" s="7" t="s">
        <v>274</v>
      </c>
      <c r="K2773" s="32" t="str">
        <f>CONCATENATE(TableAopCalendar[[#This Row],[Month for Plan]]," ",TableAopCalendar[[#This Row],[Plan]])</f>
        <v>NOVEMBER 29 PLANNED</v>
      </c>
    </row>
    <row r="2774" spans="1:11" x14ac:dyDescent="0.3">
      <c r="A2774" s="32">
        <f t="shared" si="144"/>
        <v>2</v>
      </c>
      <c r="B2774" s="33">
        <v>47424</v>
      </c>
      <c r="C2774" s="6" t="s">
        <v>117</v>
      </c>
      <c r="D2774" s="34">
        <v>29</v>
      </c>
      <c r="E2774" s="32">
        <f>DAY(TableAopCalendar[[#This Row],[Date]])</f>
        <v>2</v>
      </c>
      <c r="F2774" s="32">
        <f>IF(TableAopCalendar[[#This Row],[Day]]&lt;8,1,IF(TableAopCalendar[[#This Row],[Day]]&lt;15,2,IF(TableAopCalendar[[#This Row],[Day]]&lt;22,3,IF(TableAopCalendar[[#This Row],[Day]]&lt;29,4,IF(TableAopCalendar[[#This Row],[Day]]&lt;32,5)))))</f>
        <v>1</v>
      </c>
      <c r="G2774" s="32" t="str">
        <f t="shared" si="145"/>
        <v>Week 1</v>
      </c>
      <c r="H2774" s="32" t="str">
        <f t="shared" si="146"/>
        <v>November 29 Week 1</v>
      </c>
      <c r="I2774" s="32" t="str">
        <f>CONCATENATE(UPPER(TableAopCalendar[[#This Row],[Month]])," ",TableAopCalendar[[#This Row],[Year]])</f>
        <v>NOVEMBER 29</v>
      </c>
      <c r="J2774" s="7" t="s">
        <v>274</v>
      </c>
      <c r="K2774" s="32" t="str">
        <f>CONCATENATE(TableAopCalendar[[#This Row],[Month for Plan]]," ",TableAopCalendar[[#This Row],[Plan]])</f>
        <v>NOVEMBER 29 PLANNED</v>
      </c>
    </row>
    <row r="2775" spans="1:11" x14ac:dyDescent="0.3">
      <c r="A2775" s="32">
        <f t="shared" si="144"/>
        <v>3</v>
      </c>
      <c r="B2775" s="33">
        <v>47425</v>
      </c>
      <c r="C2775" s="6" t="s">
        <v>117</v>
      </c>
      <c r="D2775" s="34">
        <v>29</v>
      </c>
      <c r="E2775" s="32">
        <f>DAY(TableAopCalendar[[#This Row],[Date]])</f>
        <v>3</v>
      </c>
      <c r="F2775" s="32">
        <f>IF(TableAopCalendar[[#This Row],[Day]]&lt;8,1,IF(TableAopCalendar[[#This Row],[Day]]&lt;15,2,IF(TableAopCalendar[[#This Row],[Day]]&lt;22,3,IF(TableAopCalendar[[#This Row],[Day]]&lt;29,4,IF(TableAopCalendar[[#This Row],[Day]]&lt;32,5)))))</f>
        <v>1</v>
      </c>
      <c r="G2775" s="32" t="str">
        <f t="shared" si="145"/>
        <v>Week 1</v>
      </c>
      <c r="H2775" s="32" t="str">
        <f t="shared" si="146"/>
        <v>November 29 Week 1</v>
      </c>
      <c r="I2775" s="32" t="str">
        <f>CONCATENATE(UPPER(TableAopCalendar[[#This Row],[Month]])," ",TableAopCalendar[[#This Row],[Year]])</f>
        <v>NOVEMBER 29</v>
      </c>
      <c r="J2775" s="7" t="s">
        <v>274</v>
      </c>
      <c r="K2775" s="32" t="str">
        <f>CONCATENATE(TableAopCalendar[[#This Row],[Month for Plan]]," ",TableAopCalendar[[#This Row],[Plan]])</f>
        <v>NOVEMBER 29 PLANNED</v>
      </c>
    </row>
    <row r="2776" spans="1:11" x14ac:dyDescent="0.3">
      <c r="A2776" s="32">
        <f t="shared" si="144"/>
        <v>4</v>
      </c>
      <c r="B2776" s="33">
        <v>47426</v>
      </c>
      <c r="C2776" s="6" t="s">
        <v>117</v>
      </c>
      <c r="D2776" s="34">
        <v>29</v>
      </c>
      <c r="E2776" s="32">
        <f>DAY(TableAopCalendar[[#This Row],[Date]])</f>
        <v>4</v>
      </c>
      <c r="F2776" s="32">
        <f>IF(TableAopCalendar[[#This Row],[Day]]&lt;8,1,IF(TableAopCalendar[[#This Row],[Day]]&lt;15,2,IF(TableAopCalendar[[#This Row],[Day]]&lt;22,3,IF(TableAopCalendar[[#This Row],[Day]]&lt;29,4,IF(TableAopCalendar[[#This Row],[Day]]&lt;32,5)))))</f>
        <v>1</v>
      </c>
      <c r="G2776" s="32" t="str">
        <f t="shared" si="145"/>
        <v>Week 1</v>
      </c>
      <c r="H2776" s="32" t="str">
        <f t="shared" si="146"/>
        <v>November 29 Week 1</v>
      </c>
      <c r="I2776" s="32" t="str">
        <f>CONCATENATE(UPPER(TableAopCalendar[[#This Row],[Month]])," ",TableAopCalendar[[#This Row],[Year]])</f>
        <v>NOVEMBER 29</v>
      </c>
      <c r="J2776" s="7" t="s">
        <v>274</v>
      </c>
      <c r="K2776" s="32" t="str">
        <f>CONCATENATE(TableAopCalendar[[#This Row],[Month for Plan]]," ",TableAopCalendar[[#This Row],[Plan]])</f>
        <v>NOVEMBER 29 PLANNED</v>
      </c>
    </row>
    <row r="2777" spans="1:11" x14ac:dyDescent="0.3">
      <c r="A2777" s="32">
        <f t="shared" si="144"/>
        <v>5</v>
      </c>
      <c r="B2777" s="33">
        <v>47427</v>
      </c>
      <c r="C2777" s="6" t="s">
        <v>117</v>
      </c>
      <c r="D2777" s="34">
        <v>29</v>
      </c>
      <c r="E2777" s="32">
        <f>DAY(TableAopCalendar[[#This Row],[Date]])</f>
        <v>5</v>
      </c>
      <c r="F2777" s="32">
        <f>IF(TableAopCalendar[[#This Row],[Day]]&lt;8,1,IF(TableAopCalendar[[#This Row],[Day]]&lt;15,2,IF(TableAopCalendar[[#This Row],[Day]]&lt;22,3,IF(TableAopCalendar[[#This Row],[Day]]&lt;29,4,IF(TableAopCalendar[[#This Row],[Day]]&lt;32,5)))))</f>
        <v>1</v>
      </c>
      <c r="G2777" s="32" t="str">
        <f t="shared" si="145"/>
        <v>Week 1</v>
      </c>
      <c r="H2777" s="32" t="str">
        <f t="shared" si="146"/>
        <v>November 29 Week 1</v>
      </c>
      <c r="I2777" s="32" t="str">
        <f>CONCATENATE(UPPER(TableAopCalendar[[#This Row],[Month]])," ",TableAopCalendar[[#This Row],[Year]])</f>
        <v>NOVEMBER 29</v>
      </c>
      <c r="J2777" s="7" t="s">
        <v>274</v>
      </c>
      <c r="K2777" s="32" t="str">
        <f>CONCATENATE(TableAopCalendar[[#This Row],[Month for Plan]]," ",TableAopCalendar[[#This Row],[Plan]])</f>
        <v>NOVEMBER 29 PLANNED</v>
      </c>
    </row>
    <row r="2778" spans="1:11" x14ac:dyDescent="0.3">
      <c r="A2778" s="32">
        <f t="shared" si="144"/>
        <v>6</v>
      </c>
      <c r="B2778" s="33">
        <v>47428</v>
      </c>
      <c r="C2778" s="6" t="s">
        <v>117</v>
      </c>
      <c r="D2778" s="34">
        <v>29</v>
      </c>
      <c r="E2778" s="32">
        <f>DAY(TableAopCalendar[[#This Row],[Date]])</f>
        <v>6</v>
      </c>
      <c r="F2778" s="32">
        <f>IF(TableAopCalendar[[#This Row],[Day]]&lt;8,1,IF(TableAopCalendar[[#This Row],[Day]]&lt;15,2,IF(TableAopCalendar[[#This Row],[Day]]&lt;22,3,IF(TableAopCalendar[[#This Row],[Day]]&lt;29,4,IF(TableAopCalendar[[#This Row],[Day]]&lt;32,5)))))</f>
        <v>1</v>
      </c>
      <c r="G2778" s="32" t="str">
        <f t="shared" si="145"/>
        <v>Week 1</v>
      </c>
      <c r="H2778" s="32" t="str">
        <f t="shared" si="146"/>
        <v>November 29 Week 1</v>
      </c>
      <c r="I2778" s="32" t="str">
        <f>CONCATENATE(UPPER(TableAopCalendar[[#This Row],[Month]])," ",TableAopCalendar[[#This Row],[Year]])</f>
        <v>NOVEMBER 29</v>
      </c>
      <c r="J2778" s="7" t="s">
        <v>274</v>
      </c>
      <c r="K2778" s="32" t="str">
        <f>CONCATENATE(TableAopCalendar[[#This Row],[Month for Plan]]," ",TableAopCalendar[[#This Row],[Plan]])</f>
        <v>NOVEMBER 29 PLANNED</v>
      </c>
    </row>
    <row r="2779" spans="1:11" x14ac:dyDescent="0.3">
      <c r="A2779" s="32">
        <f t="shared" si="144"/>
        <v>7</v>
      </c>
      <c r="B2779" s="33">
        <v>47429</v>
      </c>
      <c r="C2779" s="6" t="s">
        <v>117</v>
      </c>
      <c r="D2779" s="34">
        <v>29</v>
      </c>
      <c r="E2779" s="32">
        <f>DAY(TableAopCalendar[[#This Row],[Date]])</f>
        <v>7</v>
      </c>
      <c r="F2779" s="32">
        <f>IF(TableAopCalendar[[#This Row],[Day]]&lt;8,1,IF(TableAopCalendar[[#This Row],[Day]]&lt;15,2,IF(TableAopCalendar[[#This Row],[Day]]&lt;22,3,IF(TableAopCalendar[[#This Row],[Day]]&lt;29,4,IF(TableAopCalendar[[#This Row],[Day]]&lt;32,5)))))</f>
        <v>1</v>
      </c>
      <c r="G2779" s="32" t="str">
        <f t="shared" si="145"/>
        <v>Week 1</v>
      </c>
      <c r="H2779" s="32" t="str">
        <f t="shared" si="146"/>
        <v>November 29 Week 1</v>
      </c>
      <c r="I2779" s="32" t="str">
        <f>CONCATENATE(UPPER(TableAopCalendar[[#This Row],[Month]])," ",TableAopCalendar[[#This Row],[Year]])</f>
        <v>NOVEMBER 29</v>
      </c>
      <c r="J2779" s="7" t="s">
        <v>274</v>
      </c>
      <c r="K2779" s="32" t="str">
        <f>CONCATENATE(TableAopCalendar[[#This Row],[Month for Plan]]," ",TableAopCalendar[[#This Row],[Plan]])</f>
        <v>NOVEMBER 29 PLANNED</v>
      </c>
    </row>
    <row r="2780" spans="1:11" x14ac:dyDescent="0.3">
      <c r="A2780" s="32">
        <f t="shared" si="144"/>
        <v>1</v>
      </c>
      <c r="B2780" s="33">
        <v>47430</v>
      </c>
      <c r="C2780" s="6" t="s">
        <v>117</v>
      </c>
      <c r="D2780" s="34">
        <v>29</v>
      </c>
      <c r="E2780" s="32">
        <f>DAY(TableAopCalendar[[#This Row],[Date]])</f>
        <v>8</v>
      </c>
      <c r="F2780" s="32">
        <f>IF(TableAopCalendar[[#This Row],[Day]]&lt;8,1,IF(TableAopCalendar[[#This Row],[Day]]&lt;15,2,IF(TableAopCalendar[[#This Row],[Day]]&lt;22,3,IF(TableAopCalendar[[#This Row],[Day]]&lt;29,4,IF(TableAopCalendar[[#This Row],[Day]]&lt;32,5)))))</f>
        <v>2</v>
      </c>
      <c r="G2780" s="32" t="str">
        <f t="shared" si="145"/>
        <v>Week 2</v>
      </c>
      <c r="H2780" s="32" t="str">
        <f t="shared" si="146"/>
        <v>November 29 Week 2</v>
      </c>
      <c r="I2780" s="32" t="str">
        <f>CONCATENATE(UPPER(TableAopCalendar[[#This Row],[Month]])," ",TableAopCalendar[[#This Row],[Year]])</f>
        <v>NOVEMBER 29</v>
      </c>
      <c r="J2780" s="7" t="s">
        <v>274</v>
      </c>
      <c r="K2780" s="32" t="str">
        <f>CONCATENATE(TableAopCalendar[[#This Row],[Month for Plan]]," ",TableAopCalendar[[#This Row],[Plan]])</f>
        <v>NOVEMBER 29 PLANNED</v>
      </c>
    </row>
    <row r="2781" spans="1:11" x14ac:dyDescent="0.3">
      <c r="A2781" s="32">
        <f t="shared" si="144"/>
        <v>2</v>
      </c>
      <c r="B2781" s="33">
        <v>47431</v>
      </c>
      <c r="C2781" s="6" t="s">
        <v>117</v>
      </c>
      <c r="D2781" s="34">
        <v>29</v>
      </c>
      <c r="E2781" s="32">
        <f>DAY(TableAopCalendar[[#This Row],[Date]])</f>
        <v>9</v>
      </c>
      <c r="F2781" s="32">
        <f>IF(TableAopCalendar[[#This Row],[Day]]&lt;8,1,IF(TableAopCalendar[[#This Row],[Day]]&lt;15,2,IF(TableAopCalendar[[#This Row],[Day]]&lt;22,3,IF(TableAopCalendar[[#This Row],[Day]]&lt;29,4,IF(TableAopCalendar[[#This Row],[Day]]&lt;32,5)))))</f>
        <v>2</v>
      </c>
      <c r="G2781" s="32" t="str">
        <f t="shared" si="145"/>
        <v>Week 2</v>
      </c>
      <c r="H2781" s="32" t="str">
        <f t="shared" si="146"/>
        <v>November 29 Week 2</v>
      </c>
      <c r="I2781" s="32" t="str">
        <f>CONCATENATE(UPPER(TableAopCalendar[[#This Row],[Month]])," ",TableAopCalendar[[#This Row],[Year]])</f>
        <v>NOVEMBER 29</v>
      </c>
      <c r="J2781" s="7" t="s">
        <v>274</v>
      </c>
      <c r="K2781" s="32" t="str">
        <f>CONCATENATE(TableAopCalendar[[#This Row],[Month for Plan]]," ",TableAopCalendar[[#This Row],[Plan]])</f>
        <v>NOVEMBER 29 PLANNED</v>
      </c>
    </row>
    <row r="2782" spans="1:11" x14ac:dyDescent="0.3">
      <c r="A2782" s="32">
        <f t="shared" si="144"/>
        <v>3</v>
      </c>
      <c r="B2782" s="33">
        <v>47432</v>
      </c>
      <c r="C2782" s="6" t="s">
        <v>117</v>
      </c>
      <c r="D2782" s="34">
        <v>29</v>
      </c>
      <c r="E2782" s="32">
        <f>DAY(TableAopCalendar[[#This Row],[Date]])</f>
        <v>10</v>
      </c>
      <c r="F2782" s="32">
        <f>IF(TableAopCalendar[[#This Row],[Day]]&lt;8,1,IF(TableAopCalendar[[#This Row],[Day]]&lt;15,2,IF(TableAopCalendar[[#This Row],[Day]]&lt;22,3,IF(TableAopCalendar[[#This Row],[Day]]&lt;29,4,IF(TableAopCalendar[[#This Row],[Day]]&lt;32,5)))))</f>
        <v>2</v>
      </c>
      <c r="G2782" s="32" t="str">
        <f t="shared" si="145"/>
        <v>Week 2</v>
      </c>
      <c r="H2782" s="32" t="str">
        <f t="shared" si="146"/>
        <v>November 29 Week 2</v>
      </c>
      <c r="I2782" s="32" t="str">
        <f>CONCATENATE(UPPER(TableAopCalendar[[#This Row],[Month]])," ",TableAopCalendar[[#This Row],[Year]])</f>
        <v>NOVEMBER 29</v>
      </c>
      <c r="J2782" s="7" t="s">
        <v>274</v>
      </c>
      <c r="K2782" s="32" t="str">
        <f>CONCATENATE(TableAopCalendar[[#This Row],[Month for Plan]]," ",TableAopCalendar[[#This Row],[Plan]])</f>
        <v>NOVEMBER 29 PLANNED</v>
      </c>
    </row>
    <row r="2783" spans="1:11" x14ac:dyDescent="0.3">
      <c r="A2783" s="32">
        <f t="shared" si="144"/>
        <v>4</v>
      </c>
      <c r="B2783" s="33">
        <v>47433</v>
      </c>
      <c r="C2783" s="6" t="s">
        <v>117</v>
      </c>
      <c r="D2783" s="34">
        <v>29</v>
      </c>
      <c r="E2783" s="32">
        <f>DAY(TableAopCalendar[[#This Row],[Date]])</f>
        <v>11</v>
      </c>
      <c r="F2783" s="32">
        <f>IF(TableAopCalendar[[#This Row],[Day]]&lt;8,1,IF(TableAopCalendar[[#This Row],[Day]]&lt;15,2,IF(TableAopCalendar[[#This Row],[Day]]&lt;22,3,IF(TableAopCalendar[[#This Row],[Day]]&lt;29,4,IF(TableAopCalendar[[#This Row],[Day]]&lt;32,5)))))</f>
        <v>2</v>
      </c>
      <c r="G2783" s="32" t="str">
        <f t="shared" si="145"/>
        <v>Week 2</v>
      </c>
      <c r="H2783" s="32" t="str">
        <f t="shared" si="146"/>
        <v>November 29 Week 2</v>
      </c>
      <c r="I2783" s="32" t="str">
        <f>CONCATENATE(UPPER(TableAopCalendar[[#This Row],[Month]])," ",TableAopCalendar[[#This Row],[Year]])</f>
        <v>NOVEMBER 29</v>
      </c>
      <c r="J2783" s="7" t="s">
        <v>274</v>
      </c>
      <c r="K2783" s="32" t="str">
        <f>CONCATENATE(TableAopCalendar[[#This Row],[Month for Plan]]," ",TableAopCalendar[[#This Row],[Plan]])</f>
        <v>NOVEMBER 29 PLANNED</v>
      </c>
    </row>
    <row r="2784" spans="1:11" x14ac:dyDescent="0.3">
      <c r="A2784" s="32">
        <f t="shared" si="144"/>
        <v>5</v>
      </c>
      <c r="B2784" s="33">
        <v>47434</v>
      </c>
      <c r="C2784" s="6" t="s">
        <v>117</v>
      </c>
      <c r="D2784" s="34">
        <v>29</v>
      </c>
      <c r="E2784" s="32">
        <f>DAY(TableAopCalendar[[#This Row],[Date]])</f>
        <v>12</v>
      </c>
      <c r="F2784" s="32">
        <f>IF(TableAopCalendar[[#This Row],[Day]]&lt;8,1,IF(TableAopCalendar[[#This Row],[Day]]&lt;15,2,IF(TableAopCalendar[[#This Row],[Day]]&lt;22,3,IF(TableAopCalendar[[#This Row],[Day]]&lt;29,4,IF(TableAopCalendar[[#This Row],[Day]]&lt;32,5)))))</f>
        <v>2</v>
      </c>
      <c r="G2784" s="32" t="str">
        <f t="shared" si="145"/>
        <v>Week 2</v>
      </c>
      <c r="H2784" s="32" t="str">
        <f t="shared" si="146"/>
        <v>November 29 Week 2</v>
      </c>
      <c r="I2784" s="32" t="str">
        <f>CONCATENATE(UPPER(TableAopCalendar[[#This Row],[Month]])," ",TableAopCalendar[[#This Row],[Year]])</f>
        <v>NOVEMBER 29</v>
      </c>
      <c r="J2784" s="7" t="s">
        <v>274</v>
      </c>
      <c r="K2784" s="32" t="str">
        <f>CONCATENATE(TableAopCalendar[[#This Row],[Month for Plan]]," ",TableAopCalendar[[#This Row],[Plan]])</f>
        <v>NOVEMBER 29 PLANNED</v>
      </c>
    </row>
    <row r="2785" spans="1:11" x14ac:dyDescent="0.3">
      <c r="A2785" s="32">
        <f t="shared" si="144"/>
        <v>6</v>
      </c>
      <c r="B2785" s="33">
        <v>47435</v>
      </c>
      <c r="C2785" s="6" t="s">
        <v>117</v>
      </c>
      <c r="D2785" s="34">
        <v>29</v>
      </c>
      <c r="E2785" s="32">
        <f>DAY(TableAopCalendar[[#This Row],[Date]])</f>
        <v>13</v>
      </c>
      <c r="F2785" s="32">
        <f>IF(TableAopCalendar[[#This Row],[Day]]&lt;8,1,IF(TableAopCalendar[[#This Row],[Day]]&lt;15,2,IF(TableAopCalendar[[#This Row],[Day]]&lt;22,3,IF(TableAopCalendar[[#This Row],[Day]]&lt;29,4,IF(TableAopCalendar[[#This Row],[Day]]&lt;32,5)))))</f>
        <v>2</v>
      </c>
      <c r="G2785" s="32" t="str">
        <f t="shared" si="145"/>
        <v>Week 2</v>
      </c>
      <c r="H2785" s="32" t="str">
        <f t="shared" si="146"/>
        <v>November 29 Week 2</v>
      </c>
      <c r="I2785" s="32" t="str">
        <f>CONCATENATE(UPPER(TableAopCalendar[[#This Row],[Month]])," ",TableAopCalendar[[#This Row],[Year]])</f>
        <v>NOVEMBER 29</v>
      </c>
      <c r="J2785" s="7" t="s">
        <v>274</v>
      </c>
      <c r="K2785" s="32" t="str">
        <f>CONCATENATE(TableAopCalendar[[#This Row],[Month for Plan]]," ",TableAopCalendar[[#This Row],[Plan]])</f>
        <v>NOVEMBER 29 PLANNED</v>
      </c>
    </row>
    <row r="2786" spans="1:11" x14ac:dyDescent="0.3">
      <c r="A2786" s="32">
        <f t="shared" si="144"/>
        <v>7</v>
      </c>
      <c r="B2786" s="33">
        <v>47436</v>
      </c>
      <c r="C2786" s="6" t="s">
        <v>117</v>
      </c>
      <c r="D2786" s="34">
        <v>29</v>
      </c>
      <c r="E2786" s="32">
        <f>DAY(TableAopCalendar[[#This Row],[Date]])</f>
        <v>14</v>
      </c>
      <c r="F2786" s="32">
        <f>IF(TableAopCalendar[[#This Row],[Day]]&lt;8,1,IF(TableAopCalendar[[#This Row],[Day]]&lt;15,2,IF(TableAopCalendar[[#This Row],[Day]]&lt;22,3,IF(TableAopCalendar[[#This Row],[Day]]&lt;29,4,IF(TableAopCalendar[[#This Row],[Day]]&lt;32,5)))))</f>
        <v>2</v>
      </c>
      <c r="G2786" s="32" t="str">
        <f t="shared" si="145"/>
        <v>Week 2</v>
      </c>
      <c r="H2786" s="32" t="str">
        <f t="shared" si="146"/>
        <v>November 29 Week 2</v>
      </c>
      <c r="I2786" s="32" t="str">
        <f>CONCATENATE(UPPER(TableAopCalendar[[#This Row],[Month]])," ",TableAopCalendar[[#This Row],[Year]])</f>
        <v>NOVEMBER 29</v>
      </c>
      <c r="J2786" s="7" t="s">
        <v>274</v>
      </c>
      <c r="K2786" s="32" t="str">
        <f>CONCATENATE(TableAopCalendar[[#This Row],[Month for Plan]]," ",TableAopCalendar[[#This Row],[Plan]])</f>
        <v>NOVEMBER 29 PLANNED</v>
      </c>
    </row>
    <row r="2787" spans="1:11" x14ac:dyDescent="0.3">
      <c r="A2787" s="32">
        <f t="shared" si="144"/>
        <v>1</v>
      </c>
      <c r="B2787" s="33">
        <v>47437</v>
      </c>
      <c r="C2787" s="6" t="s">
        <v>117</v>
      </c>
      <c r="D2787" s="34">
        <v>29</v>
      </c>
      <c r="E2787" s="32">
        <f>DAY(TableAopCalendar[[#This Row],[Date]])</f>
        <v>15</v>
      </c>
      <c r="F2787" s="32">
        <f>IF(TableAopCalendar[[#This Row],[Day]]&lt;8,1,IF(TableAopCalendar[[#This Row],[Day]]&lt;15,2,IF(TableAopCalendar[[#This Row],[Day]]&lt;22,3,IF(TableAopCalendar[[#This Row],[Day]]&lt;29,4,IF(TableAopCalendar[[#This Row],[Day]]&lt;32,5)))))</f>
        <v>3</v>
      </c>
      <c r="G2787" s="32" t="str">
        <f t="shared" si="145"/>
        <v>Week 3</v>
      </c>
      <c r="H2787" s="32" t="str">
        <f t="shared" si="146"/>
        <v>November 29 Week 3</v>
      </c>
      <c r="I2787" s="32" t="str">
        <f>CONCATENATE(UPPER(TableAopCalendar[[#This Row],[Month]])," ",TableAopCalendar[[#This Row],[Year]])</f>
        <v>NOVEMBER 29</v>
      </c>
      <c r="J2787" s="7" t="s">
        <v>274</v>
      </c>
      <c r="K2787" s="32" t="str">
        <f>CONCATENATE(TableAopCalendar[[#This Row],[Month for Plan]]," ",TableAopCalendar[[#This Row],[Plan]])</f>
        <v>NOVEMBER 29 PLANNED</v>
      </c>
    </row>
    <row r="2788" spans="1:11" x14ac:dyDescent="0.3">
      <c r="A2788" s="32">
        <f t="shared" ref="A2788:A2851" si="147">IF(G2788=G2787,A2787+1,1)</f>
        <v>2</v>
      </c>
      <c r="B2788" s="33">
        <v>47438</v>
      </c>
      <c r="C2788" s="6" t="s">
        <v>117</v>
      </c>
      <c r="D2788" s="34">
        <v>29</v>
      </c>
      <c r="E2788" s="32">
        <f>DAY(TableAopCalendar[[#This Row],[Date]])</f>
        <v>16</v>
      </c>
      <c r="F2788" s="32">
        <f>IF(TableAopCalendar[[#This Row],[Day]]&lt;8,1,IF(TableAopCalendar[[#This Row],[Day]]&lt;15,2,IF(TableAopCalendar[[#This Row],[Day]]&lt;22,3,IF(TableAopCalendar[[#This Row],[Day]]&lt;29,4,IF(TableAopCalendar[[#This Row],[Day]]&lt;32,5)))))</f>
        <v>3</v>
      </c>
      <c r="G2788" s="32" t="str">
        <f t="shared" ref="G2788:G2851" si="148">"Week"&amp;" "&amp;F2788</f>
        <v>Week 3</v>
      </c>
      <c r="H2788" s="32" t="str">
        <f t="shared" ref="H2788:H2851" si="149">CONCATENATE(C2788," ",D2788," ",G2788)</f>
        <v>November 29 Week 3</v>
      </c>
      <c r="I2788" s="32" t="str">
        <f>CONCATENATE(UPPER(TableAopCalendar[[#This Row],[Month]])," ",TableAopCalendar[[#This Row],[Year]])</f>
        <v>NOVEMBER 29</v>
      </c>
      <c r="J2788" s="7" t="s">
        <v>274</v>
      </c>
      <c r="K2788" s="32" t="str">
        <f>CONCATENATE(TableAopCalendar[[#This Row],[Month for Plan]]," ",TableAopCalendar[[#This Row],[Plan]])</f>
        <v>NOVEMBER 29 PLANNED</v>
      </c>
    </row>
    <row r="2789" spans="1:11" x14ac:dyDescent="0.3">
      <c r="A2789" s="32">
        <f t="shared" si="147"/>
        <v>3</v>
      </c>
      <c r="B2789" s="33">
        <v>47439</v>
      </c>
      <c r="C2789" s="6" t="s">
        <v>117</v>
      </c>
      <c r="D2789" s="34">
        <v>29</v>
      </c>
      <c r="E2789" s="32">
        <f>DAY(TableAopCalendar[[#This Row],[Date]])</f>
        <v>17</v>
      </c>
      <c r="F2789" s="32">
        <f>IF(TableAopCalendar[[#This Row],[Day]]&lt;8,1,IF(TableAopCalendar[[#This Row],[Day]]&lt;15,2,IF(TableAopCalendar[[#This Row],[Day]]&lt;22,3,IF(TableAopCalendar[[#This Row],[Day]]&lt;29,4,IF(TableAopCalendar[[#This Row],[Day]]&lt;32,5)))))</f>
        <v>3</v>
      </c>
      <c r="G2789" s="32" t="str">
        <f t="shared" si="148"/>
        <v>Week 3</v>
      </c>
      <c r="H2789" s="32" t="str">
        <f t="shared" si="149"/>
        <v>November 29 Week 3</v>
      </c>
      <c r="I2789" s="32" t="str">
        <f>CONCATENATE(UPPER(TableAopCalendar[[#This Row],[Month]])," ",TableAopCalendar[[#This Row],[Year]])</f>
        <v>NOVEMBER 29</v>
      </c>
      <c r="J2789" s="7" t="s">
        <v>274</v>
      </c>
      <c r="K2789" s="32" t="str">
        <f>CONCATENATE(TableAopCalendar[[#This Row],[Month for Plan]]," ",TableAopCalendar[[#This Row],[Plan]])</f>
        <v>NOVEMBER 29 PLANNED</v>
      </c>
    </row>
    <row r="2790" spans="1:11" x14ac:dyDescent="0.3">
      <c r="A2790" s="32">
        <f t="shared" si="147"/>
        <v>4</v>
      </c>
      <c r="B2790" s="33">
        <v>47440</v>
      </c>
      <c r="C2790" s="6" t="s">
        <v>117</v>
      </c>
      <c r="D2790" s="34">
        <v>29</v>
      </c>
      <c r="E2790" s="32">
        <f>DAY(TableAopCalendar[[#This Row],[Date]])</f>
        <v>18</v>
      </c>
      <c r="F2790" s="32">
        <f>IF(TableAopCalendar[[#This Row],[Day]]&lt;8,1,IF(TableAopCalendar[[#This Row],[Day]]&lt;15,2,IF(TableAopCalendar[[#This Row],[Day]]&lt;22,3,IF(TableAopCalendar[[#This Row],[Day]]&lt;29,4,IF(TableAopCalendar[[#This Row],[Day]]&lt;32,5)))))</f>
        <v>3</v>
      </c>
      <c r="G2790" s="32" t="str">
        <f t="shared" si="148"/>
        <v>Week 3</v>
      </c>
      <c r="H2790" s="32" t="str">
        <f t="shared" si="149"/>
        <v>November 29 Week 3</v>
      </c>
      <c r="I2790" s="32" t="str">
        <f>CONCATENATE(UPPER(TableAopCalendar[[#This Row],[Month]])," ",TableAopCalendar[[#This Row],[Year]])</f>
        <v>NOVEMBER 29</v>
      </c>
      <c r="J2790" s="7" t="s">
        <v>274</v>
      </c>
      <c r="K2790" s="32" t="str">
        <f>CONCATENATE(TableAopCalendar[[#This Row],[Month for Plan]]," ",TableAopCalendar[[#This Row],[Plan]])</f>
        <v>NOVEMBER 29 PLANNED</v>
      </c>
    </row>
    <row r="2791" spans="1:11" x14ac:dyDescent="0.3">
      <c r="A2791" s="32">
        <f t="shared" si="147"/>
        <v>5</v>
      </c>
      <c r="B2791" s="33">
        <v>47441</v>
      </c>
      <c r="C2791" s="6" t="s">
        <v>117</v>
      </c>
      <c r="D2791" s="34">
        <v>29</v>
      </c>
      <c r="E2791" s="32">
        <f>DAY(TableAopCalendar[[#This Row],[Date]])</f>
        <v>19</v>
      </c>
      <c r="F2791" s="32">
        <f>IF(TableAopCalendar[[#This Row],[Day]]&lt;8,1,IF(TableAopCalendar[[#This Row],[Day]]&lt;15,2,IF(TableAopCalendar[[#This Row],[Day]]&lt;22,3,IF(TableAopCalendar[[#This Row],[Day]]&lt;29,4,IF(TableAopCalendar[[#This Row],[Day]]&lt;32,5)))))</f>
        <v>3</v>
      </c>
      <c r="G2791" s="32" t="str">
        <f t="shared" si="148"/>
        <v>Week 3</v>
      </c>
      <c r="H2791" s="32" t="str">
        <f t="shared" si="149"/>
        <v>November 29 Week 3</v>
      </c>
      <c r="I2791" s="32" t="str">
        <f>CONCATENATE(UPPER(TableAopCalendar[[#This Row],[Month]])," ",TableAopCalendar[[#This Row],[Year]])</f>
        <v>NOVEMBER 29</v>
      </c>
      <c r="J2791" s="7" t="s">
        <v>274</v>
      </c>
      <c r="K2791" s="32" t="str">
        <f>CONCATENATE(TableAopCalendar[[#This Row],[Month for Plan]]," ",TableAopCalendar[[#This Row],[Plan]])</f>
        <v>NOVEMBER 29 PLANNED</v>
      </c>
    </row>
    <row r="2792" spans="1:11" x14ac:dyDescent="0.3">
      <c r="A2792" s="32">
        <f t="shared" si="147"/>
        <v>6</v>
      </c>
      <c r="B2792" s="33">
        <v>47442</v>
      </c>
      <c r="C2792" s="6" t="s">
        <v>117</v>
      </c>
      <c r="D2792" s="34">
        <v>29</v>
      </c>
      <c r="E2792" s="32">
        <f>DAY(TableAopCalendar[[#This Row],[Date]])</f>
        <v>20</v>
      </c>
      <c r="F2792" s="32">
        <f>IF(TableAopCalendar[[#This Row],[Day]]&lt;8,1,IF(TableAopCalendar[[#This Row],[Day]]&lt;15,2,IF(TableAopCalendar[[#This Row],[Day]]&lt;22,3,IF(TableAopCalendar[[#This Row],[Day]]&lt;29,4,IF(TableAopCalendar[[#This Row],[Day]]&lt;32,5)))))</f>
        <v>3</v>
      </c>
      <c r="G2792" s="32" t="str">
        <f t="shared" si="148"/>
        <v>Week 3</v>
      </c>
      <c r="H2792" s="32" t="str">
        <f t="shared" si="149"/>
        <v>November 29 Week 3</v>
      </c>
      <c r="I2792" s="32" t="str">
        <f>CONCATENATE(UPPER(TableAopCalendar[[#This Row],[Month]])," ",TableAopCalendar[[#This Row],[Year]])</f>
        <v>NOVEMBER 29</v>
      </c>
      <c r="J2792" s="7" t="s">
        <v>274</v>
      </c>
      <c r="K2792" s="32" t="str">
        <f>CONCATENATE(TableAopCalendar[[#This Row],[Month for Plan]]," ",TableAopCalendar[[#This Row],[Plan]])</f>
        <v>NOVEMBER 29 PLANNED</v>
      </c>
    </row>
    <row r="2793" spans="1:11" x14ac:dyDescent="0.3">
      <c r="A2793" s="32">
        <f t="shared" si="147"/>
        <v>7</v>
      </c>
      <c r="B2793" s="33">
        <v>47443</v>
      </c>
      <c r="C2793" s="6" t="s">
        <v>117</v>
      </c>
      <c r="D2793" s="34">
        <v>29</v>
      </c>
      <c r="E2793" s="32">
        <f>DAY(TableAopCalendar[[#This Row],[Date]])</f>
        <v>21</v>
      </c>
      <c r="F2793" s="32">
        <f>IF(TableAopCalendar[[#This Row],[Day]]&lt;8,1,IF(TableAopCalendar[[#This Row],[Day]]&lt;15,2,IF(TableAopCalendar[[#This Row],[Day]]&lt;22,3,IF(TableAopCalendar[[#This Row],[Day]]&lt;29,4,IF(TableAopCalendar[[#This Row],[Day]]&lt;32,5)))))</f>
        <v>3</v>
      </c>
      <c r="G2793" s="32" t="str">
        <f t="shared" si="148"/>
        <v>Week 3</v>
      </c>
      <c r="H2793" s="32" t="str">
        <f t="shared" si="149"/>
        <v>November 29 Week 3</v>
      </c>
      <c r="I2793" s="32" t="str">
        <f>CONCATENATE(UPPER(TableAopCalendar[[#This Row],[Month]])," ",TableAopCalendar[[#This Row],[Year]])</f>
        <v>NOVEMBER 29</v>
      </c>
      <c r="J2793" s="7" t="s">
        <v>274</v>
      </c>
      <c r="K2793" s="32" t="str">
        <f>CONCATENATE(TableAopCalendar[[#This Row],[Month for Plan]]," ",TableAopCalendar[[#This Row],[Plan]])</f>
        <v>NOVEMBER 29 PLANNED</v>
      </c>
    </row>
    <row r="2794" spans="1:11" x14ac:dyDescent="0.3">
      <c r="A2794" s="32">
        <f t="shared" si="147"/>
        <v>1</v>
      </c>
      <c r="B2794" s="33">
        <v>47444</v>
      </c>
      <c r="C2794" s="6" t="s">
        <v>117</v>
      </c>
      <c r="D2794" s="34">
        <v>29</v>
      </c>
      <c r="E2794" s="32">
        <f>DAY(TableAopCalendar[[#This Row],[Date]])</f>
        <v>22</v>
      </c>
      <c r="F2794" s="32">
        <f>IF(TableAopCalendar[[#This Row],[Day]]&lt;8,1,IF(TableAopCalendar[[#This Row],[Day]]&lt;15,2,IF(TableAopCalendar[[#This Row],[Day]]&lt;22,3,IF(TableAopCalendar[[#This Row],[Day]]&lt;29,4,IF(TableAopCalendar[[#This Row],[Day]]&lt;32,5)))))</f>
        <v>4</v>
      </c>
      <c r="G2794" s="32" t="str">
        <f t="shared" si="148"/>
        <v>Week 4</v>
      </c>
      <c r="H2794" s="32" t="str">
        <f t="shared" si="149"/>
        <v>November 29 Week 4</v>
      </c>
      <c r="I2794" s="32" t="str">
        <f>CONCATENATE(UPPER(TableAopCalendar[[#This Row],[Month]])," ",TableAopCalendar[[#This Row],[Year]])</f>
        <v>NOVEMBER 29</v>
      </c>
      <c r="J2794" s="7" t="s">
        <v>274</v>
      </c>
      <c r="K2794" s="32" t="str">
        <f>CONCATENATE(TableAopCalendar[[#This Row],[Month for Plan]]," ",TableAopCalendar[[#This Row],[Plan]])</f>
        <v>NOVEMBER 29 PLANNED</v>
      </c>
    </row>
    <row r="2795" spans="1:11" x14ac:dyDescent="0.3">
      <c r="A2795" s="32">
        <f t="shared" si="147"/>
        <v>2</v>
      </c>
      <c r="B2795" s="33">
        <v>47445</v>
      </c>
      <c r="C2795" s="6" t="s">
        <v>117</v>
      </c>
      <c r="D2795" s="34">
        <v>29</v>
      </c>
      <c r="E2795" s="32">
        <f>DAY(TableAopCalendar[[#This Row],[Date]])</f>
        <v>23</v>
      </c>
      <c r="F2795" s="32">
        <f>IF(TableAopCalendar[[#This Row],[Day]]&lt;8,1,IF(TableAopCalendar[[#This Row],[Day]]&lt;15,2,IF(TableAopCalendar[[#This Row],[Day]]&lt;22,3,IF(TableAopCalendar[[#This Row],[Day]]&lt;29,4,IF(TableAopCalendar[[#This Row],[Day]]&lt;32,5)))))</f>
        <v>4</v>
      </c>
      <c r="G2795" s="32" t="str">
        <f t="shared" si="148"/>
        <v>Week 4</v>
      </c>
      <c r="H2795" s="32" t="str">
        <f t="shared" si="149"/>
        <v>November 29 Week 4</v>
      </c>
      <c r="I2795" s="32" t="str">
        <f>CONCATENATE(UPPER(TableAopCalendar[[#This Row],[Month]])," ",TableAopCalendar[[#This Row],[Year]])</f>
        <v>NOVEMBER 29</v>
      </c>
      <c r="J2795" s="7" t="s">
        <v>274</v>
      </c>
      <c r="K2795" s="32" t="str">
        <f>CONCATENATE(TableAopCalendar[[#This Row],[Month for Plan]]," ",TableAopCalendar[[#This Row],[Plan]])</f>
        <v>NOVEMBER 29 PLANNED</v>
      </c>
    </row>
    <row r="2796" spans="1:11" x14ac:dyDescent="0.3">
      <c r="A2796" s="32">
        <f t="shared" si="147"/>
        <v>3</v>
      </c>
      <c r="B2796" s="33">
        <v>47446</v>
      </c>
      <c r="C2796" s="6" t="s">
        <v>117</v>
      </c>
      <c r="D2796" s="34">
        <v>29</v>
      </c>
      <c r="E2796" s="32">
        <f>DAY(TableAopCalendar[[#This Row],[Date]])</f>
        <v>24</v>
      </c>
      <c r="F2796" s="32">
        <f>IF(TableAopCalendar[[#This Row],[Day]]&lt;8,1,IF(TableAopCalendar[[#This Row],[Day]]&lt;15,2,IF(TableAopCalendar[[#This Row],[Day]]&lt;22,3,IF(TableAopCalendar[[#This Row],[Day]]&lt;29,4,IF(TableAopCalendar[[#This Row],[Day]]&lt;32,5)))))</f>
        <v>4</v>
      </c>
      <c r="G2796" s="32" t="str">
        <f t="shared" si="148"/>
        <v>Week 4</v>
      </c>
      <c r="H2796" s="32" t="str">
        <f t="shared" si="149"/>
        <v>November 29 Week 4</v>
      </c>
      <c r="I2796" s="32" t="str">
        <f>CONCATENATE(UPPER(TableAopCalendar[[#This Row],[Month]])," ",TableAopCalendar[[#This Row],[Year]])</f>
        <v>NOVEMBER 29</v>
      </c>
      <c r="J2796" s="7" t="s">
        <v>274</v>
      </c>
      <c r="K2796" s="32" t="str">
        <f>CONCATENATE(TableAopCalendar[[#This Row],[Month for Plan]]," ",TableAopCalendar[[#This Row],[Plan]])</f>
        <v>NOVEMBER 29 PLANNED</v>
      </c>
    </row>
    <row r="2797" spans="1:11" x14ac:dyDescent="0.3">
      <c r="A2797" s="32">
        <f t="shared" si="147"/>
        <v>4</v>
      </c>
      <c r="B2797" s="33">
        <v>47447</v>
      </c>
      <c r="C2797" s="6" t="s">
        <v>117</v>
      </c>
      <c r="D2797" s="34">
        <v>29</v>
      </c>
      <c r="E2797" s="32">
        <f>DAY(TableAopCalendar[[#This Row],[Date]])</f>
        <v>25</v>
      </c>
      <c r="F2797" s="32">
        <f>IF(TableAopCalendar[[#This Row],[Day]]&lt;8,1,IF(TableAopCalendar[[#This Row],[Day]]&lt;15,2,IF(TableAopCalendar[[#This Row],[Day]]&lt;22,3,IF(TableAopCalendar[[#This Row],[Day]]&lt;29,4,IF(TableAopCalendar[[#This Row],[Day]]&lt;32,5)))))</f>
        <v>4</v>
      </c>
      <c r="G2797" s="32" t="str">
        <f t="shared" si="148"/>
        <v>Week 4</v>
      </c>
      <c r="H2797" s="32" t="str">
        <f t="shared" si="149"/>
        <v>November 29 Week 4</v>
      </c>
      <c r="I2797" s="32" t="str">
        <f>CONCATENATE(UPPER(TableAopCalendar[[#This Row],[Month]])," ",TableAopCalendar[[#This Row],[Year]])</f>
        <v>NOVEMBER 29</v>
      </c>
      <c r="J2797" s="7" t="s">
        <v>274</v>
      </c>
      <c r="K2797" s="32" t="str">
        <f>CONCATENATE(TableAopCalendar[[#This Row],[Month for Plan]]," ",TableAopCalendar[[#This Row],[Plan]])</f>
        <v>NOVEMBER 29 PLANNED</v>
      </c>
    </row>
    <row r="2798" spans="1:11" x14ac:dyDescent="0.3">
      <c r="A2798" s="32">
        <f t="shared" si="147"/>
        <v>5</v>
      </c>
      <c r="B2798" s="33">
        <v>47448</v>
      </c>
      <c r="C2798" s="6" t="s">
        <v>117</v>
      </c>
      <c r="D2798" s="34">
        <v>29</v>
      </c>
      <c r="E2798" s="32">
        <f>DAY(TableAopCalendar[[#This Row],[Date]])</f>
        <v>26</v>
      </c>
      <c r="F2798" s="32">
        <f>IF(TableAopCalendar[[#This Row],[Day]]&lt;8,1,IF(TableAopCalendar[[#This Row],[Day]]&lt;15,2,IF(TableAopCalendar[[#This Row],[Day]]&lt;22,3,IF(TableAopCalendar[[#This Row],[Day]]&lt;29,4,IF(TableAopCalendar[[#This Row],[Day]]&lt;32,5)))))</f>
        <v>4</v>
      </c>
      <c r="G2798" s="32" t="str">
        <f t="shared" si="148"/>
        <v>Week 4</v>
      </c>
      <c r="H2798" s="32" t="str">
        <f t="shared" si="149"/>
        <v>November 29 Week 4</v>
      </c>
      <c r="I2798" s="32" t="str">
        <f>CONCATENATE(UPPER(TableAopCalendar[[#This Row],[Month]])," ",TableAopCalendar[[#This Row],[Year]])</f>
        <v>NOVEMBER 29</v>
      </c>
      <c r="J2798" s="7" t="s">
        <v>274</v>
      </c>
      <c r="K2798" s="32" t="str">
        <f>CONCATENATE(TableAopCalendar[[#This Row],[Month for Plan]]," ",TableAopCalendar[[#This Row],[Plan]])</f>
        <v>NOVEMBER 29 PLANNED</v>
      </c>
    </row>
    <row r="2799" spans="1:11" x14ac:dyDescent="0.3">
      <c r="A2799" s="32">
        <f t="shared" si="147"/>
        <v>6</v>
      </c>
      <c r="B2799" s="33">
        <v>47449</v>
      </c>
      <c r="C2799" s="6" t="s">
        <v>117</v>
      </c>
      <c r="D2799" s="34">
        <v>29</v>
      </c>
      <c r="E2799" s="32">
        <f>DAY(TableAopCalendar[[#This Row],[Date]])</f>
        <v>27</v>
      </c>
      <c r="F2799" s="32">
        <f>IF(TableAopCalendar[[#This Row],[Day]]&lt;8,1,IF(TableAopCalendar[[#This Row],[Day]]&lt;15,2,IF(TableAopCalendar[[#This Row],[Day]]&lt;22,3,IF(TableAopCalendar[[#This Row],[Day]]&lt;29,4,IF(TableAopCalendar[[#This Row],[Day]]&lt;32,5)))))</f>
        <v>4</v>
      </c>
      <c r="G2799" s="32" t="str">
        <f t="shared" si="148"/>
        <v>Week 4</v>
      </c>
      <c r="H2799" s="32" t="str">
        <f t="shared" si="149"/>
        <v>November 29 Week 4</v>
      </c>
      <c r="I2799" s="32" t="str">
        <f>CONCATENATE(UPPER(TableAopCalendar[[#This Row],[Month]])," ",TableAopCalendar[[#This Row],[Year]])</f>
        <v>NOVEMBER 29</v>
      </c>
      <c r="J2799" s="7" t="s">
        <v>274</v>
      </c>
      <c r="K2799" s="32" t="str">
        <f>CONCATENATE(TableAopCalendar[[#This Row],[Month for Plan]]," ",TableAopCalendar[[#This Row],[Plan]])</f>
        <v>NOVEMBER 29 PLANNED</v>
      </c>
    </row>
    <row r="2800" spans="1:11" x14ac:dyDescent="0.3">
      <c r="A2800" s="32">
        <f t="shared" si="147"/>
        <v>7</v>
      </c>
      <c r="B2800" s="33">
        <v>47450</v>
      </c>
      <c r="C2800" s="6" t="s">
        <v>117</v>
      </c>
      <c r="D2800" s="34">
        <v>29</v>
      </c>
      <c r="E2800" s="32">
        <f>DAY(TableAopCalendar[[#This Row],[Date]])</f>
        <v>28</v>
      </c>
      <c r="F2800" s="32">
        <f>IF(TableAopCalendar[[#This Row],[Day]]&lt;8,1,IF(TableAopCalendar[[#This Row],[Day]]&lt;15,2,IF(TableAopCalendar[[#This Row],[Day]]&lt;22,3,IF(TableAopCalendar[[#This Row],[Day]]&lt;29,4,IF(TableAopCalendar[[#This Row],[Day]]&lt;32,5)))))</f>
        <v>4</v>
      </c>
      <c r="G2800" s="32" t="str">
        <f t="shared" si="148"/>
        <v>Week 4</v>
      </c>
      <c r="H2800" s="32" t="str">
        <f t="shared" si="149"/>
        <v>November 29 Week 4</v>
      </c>
      <c r="I2800" s="32" t="str">
        <f>CONCATENATE(UPPER(TableAopCalendar[[#This Row],[Month]])," ",TableAopCalendar[[#This Row],[Year]])</f>
        <v>NOVEMBER 29</v>
      </c>
      <c r="J2800" s="7" t="s">
        <v>274</v>
      </c>
      <c r="K2800" s="32" t="str">
        <f>CONCATENATE(TableAopCalendar[[#This Row],[Month for Plan]]," ",TableAopCalendar[[#This Row],[Plan]])</f>
        <v>NOVEMBER 29 PLANNED</v>
      </c>
    </row>
    <row r="2801" spans="1:11" x14ac:dyDescent="0.3">
      <c r="A2801" s="32">
        <f t="shared" si="147"/>
        <v>1</v>
      </c>
      <c r="B2801" s="33">
        <v>47451</v>
      </c>
      <c r="C2801" s="6" t="s">
        <v>117</v>
      </c>
      <c r="D2801" s="34">
        <v>29</v>
      </c>
      <c r="E2801" s="32">
        <f>DAY(TableAopCalendar[[#This Row],[Date]])</f>
        <v>29</v>
      </c>
      <c r="F2801" s="32">
        <f>IF(TableAopCalendar[[#This Row],[Day]]&lt;8,1,IF(TableAopCalendar[[#This Row],[Day]]&lt;15,2,IF(TableAopCalendar[[#This Row],[Day]]&lt;22,3,IF(TableAopCalendar[[#This Row],[Day]]&lt;29,4,IF(TableAopCalendar[[#This Row],[Day]]&lt;32,5)))))</f>
        <v>5</v>
      </c>
      <c r="G2801" s="32" t="str">
        <f t="shared" si="148"/>
        <v>Week 5</v>
      </c>
      <c r="H2801" s="32" t="str">
        <f t="shared" si="149"/>
        <v>November 29 Week 5</v>
      </c>
      <c r="I2801" s="32" t="str">
        <f>CONCATENATE(UPPER(TableAopCalendar[[#This Row],[Month]])," ",TableAopCalendar[[#This Row],[Year]])</f>
        <v>NOVEMBER 29</v>
      </c>
      <c r="J2801" s="7" t="s">
        <v>274</v>
      </c>
      <c r="K2801" s="32" t="str">
        <f>CONCATENATE(TableAopCalendar[[#This Row],[Month for Plan]]," ",TableAopCalendar[[#This Row],[Plan]])</f>
        <v>NOVEMBER 29 PLANNED</v>
      </c>
    </row>
    <row r="2802" spans="1:11" x14ac:dyDescent="0.3">
      <c r="A2802" s="32">
        <f t="shared" si="147"/>
        <v>2</v>
      </c>
      <c r="B2802" s="33">
        <v>47452</v>
      </c>
      <c r="C2802" s="6" t="s">
        <v>117</v>
      </c>
      <c r="D2802" s="34">
        <v>29</v>
      </c>
      <c r="E2802" s="32">
        <f>DAY(TableAopCalendar[[#This Row],[Date]])</f>
        <v>30</v>
      </c>
      <c r="F2802" s="32">
        <f>IF(TableAopCalendar[[#This Row],[Day]]&lt;8,1,IF(TableAopCalendar[[#This Row],[Day]]&lt;15,2,IF(TableAopCalendar[[#This Row],[Day]]&lt;22,3,IF(TableAopCalendar[[#This Row],[Day]]&lt;29,4,IF(TableAopCalendar[[#This Row],[Day]]&lt;32,5)))))</f>
        <v>5</v>
      </c>
      <c r="G2802" s="32" t="str">
        <f t="shared" si="148"/>
        <v>Week 5</v>
      </c>
      <c r="H2802" s="32" t="str">
        <f t="shared" si="149"/>
        <v>November 29 Week 5</v>
      </c>
      <c r="I2802" s="32" t="str">
        <f>CONCATENATE(UPPER(TableAopCalendar[[#This Row],[Month]])," ",TableAopCalendar[[#This Row],[Year]])</f>
        <v>NOVEMBER 29</v>
      </c>
      <c r="J2802" s="7" t="s">
        <v>274</v>
      </c>
      <c r="K2802" s="32" t="str">
        <f>CONCATENATE(TableAopCalendar[[#This Row],[Month for Plan]]," ",TableAopCalendar[[#This Row],[Plan]])</f>
        <v>NOVEMBER 29 PLANNED</v>
      </c>
    </row>
    <row r="2803" spans="1:11" x14ac:dyDescent="0.3">
      <c r="A2803" s="32">
        <f t="shared" si="147"/>
        <v>1</v>
      </c>
      <c r="B2803" s="33">
        <v>47453</v>
      </c>
      <c r="C2803" s="6" t="s">
        <v>270</v>
      </c>
      <c r="D2803" s="34">
        <v>29</v>
      </c>
      <c r="E2803" s="32">
        <f>DAY(TableAopCalendar[[#This Row],[Date]])</f>
        <v>1</v>
      </c>
      <c r="F2803" s="32">
        <f>IF(TableAopCalendar[[#This Row],[Day]]&lt;8,1,IF(TableAopCalendar[[#This Row],[Day]]&lt;15,2,IF(TableAopCalendar[[#This Row],[Day]]&lt;22,3,IF(TableAopCalendar[[#This Row],[Day]]&lt;29,4,IF(TableAopCalendar[[#This Row],[Day]]&lt;32,5)))))</f>
        <v>1</v>
      </c>
      <c r="G2803" s="32" t="str">
        <f t="shared" si="148"/>
        <v>Week 1</v>
      </c>
      <c r="H2803" s="32" t="str">
        <f t="shared" si="149"/>
        <v>December 29 Week 1</v>
      </c>
      <c r="I2803" s="32" t="str">
        <f>CONCATENATE(UPPER(TableAopCalendar[[#This Row],[Month]])," ",TableAopCalendar[[#This Row],[Year]])</f>
        <v>DECEMBER 29</v>
      </c>
      <c r="J2803" s="7" t="s">
        <v>274</v>
      </c>
      <c r="K2803" s="32" t="str">
        <f>CONCATENATE(TableAopCalendar[[#This Row],[Month for Plan]]," ",TableAopCalendar[[#This Row],[Plan]])</f>
        <v>DECEMBER 29 PLANNED</v>
      </c>
    </row>
    <row r="2804" spans="1:11" x14ac:dyDescent="0.3">
      <c r="A2804" s="32">
        <f t="shared" si="147"/>
        <v>2</v>
      </c>
      <c r="B2804" s="33">
        <v>47454</v>
      </c>
      <c r="C2804" s="6" t="s">
        <v>270</v>
      </c>
      <c r="D2804" s="34">
        <v>29</v>
      </c>
      <c r="E2804" s="32">
        <f>DAY(TableAopCalendar[[#This Row],[Date]])</f>
        <v>2</v>
      </c>
      <c r="F2804" s="32">
        <f>IF(TableAopCalendar[[#This Row],[Day]]&lt;8,1,IF(TableAopCalendar[[#This Row],[Day]]&lt;15,2,IF(TableAopCalendar[[#This Row],[Day]]&lt;22,3,IF(TableAopCalendar[[#This Row],[Day]]&lt;29,4,IF(TableAopCalendar[[#This Row],[Day]]&lt;32,5)))))</f>
        <v>1</v>
      </c>
      <c r="G2804" s="32" t="str">
        <f t="shared" si="148"/>
        <v>Week 1</v>
      </c>
      <c r="H2804" s="32" t="str">
        <f t="shared" si="149"/>
        <v>December 29 Week 1</v>
      </c>
      <c r="I2804" s="32" t="str">
        <f>CONCATENATE(UPPER(TableAopCalendar[[#This Row],[Month]])," ",TableAopCalendar[[#This Row],[Year]])</f>
        <v>DECEMBER 29</v>
      </c>
      <c r="J2804" s="7" t="s">
        <v>274</v>
      </c>
      <c r="K2804" s="32" t="str">
        <f>CONCATENATE(TableAopCalendar[[#This Row],[Month for Plan]]," ",TableAopCalendar[[#This Row],[Plan]])</f>
        <v>DECEMBER 29 PLANNED</v>
      </c>
    </row>
    <row r="2805" spans="1:11" x14ac:dyDescent="0.3">
      <c r="A2805" s="32">
        <f t="shared" si="147"/>
        <v>3</v>
      </c>
      <c r="B2805" s="33">
        <v>47455</v>
      </c>
      <c r="C2805" s="6" t="s">
        <v>270</v>
      </c>
      <c r="D2805" s="34">
        <v>29</v>
      </c>
      <c r="E2805" s="32">
        <f>DAY(TableAopCalendar[[#This Row],[Date]])</f>
        <v>3</v>
      </c>
      <c r="F2805" s="32">
        <f>IF(TableAopCalendar[[#This Row],[Day]]&lt;8,1,IF(TableAopCalendar[[#This Row],[Day]]&lt;15,2,IF(TableAopCalendar[[#This Row],[Day]]&lt;22,3,IF(TableAopCalendar[[#This Row],[Day]]&lt;29,4,IF(TableAopCalendar[[#This Row],[Day]]&lt;32,5)))))</f>
        <v>1</v>
      </c>
      <c r="G2805" s="32" t="str">
        <f t="shared" si="148"/>
        <v>Week 1</v>
      </c>
      <c r="H2805" s="32" t="str">
        <f t="shared" si="149"/>
        <v>December 29 Week 1</v>
      </c>
      <c r="I2805" s="32" t="str">
        <f>CONCATENATE(UPPER(TableAopCalendar[[#This Row],[Month]])," ",TableAopCalendar[[#This Row],[Year]])</f>
        <v>DECEMBER 29</v>
      </c>
      <c r="J2805" s="7" t="s">
        <v>274</v>
      </c>
      <c r="K2805" s="32" t="str">
        <f>CONCATENATE(TableAopCalendar[[#This Row],[Month for Plan]]," ",TableAopCalendar[[#This Row],[Plan]])</f>
        <v>DECEMBER 29 PLANNED</v>
      </c>
    </row>
    <row r="2806" spans="1:11" x14ac:dyDescent="0.3">
      <c r="A2806" s="32">
        <f t="shared" si="147"/>
        <v>4</v>
      </c>
      <c r="B2806" s="33">
        <v>47456</v>
      </c>
      <c r="C2806" s="6" t="s">
        <v>270</v>
      </c>
      <c r="D2806" s="34">
        <v>29</v>
      </c>
      <c r="E2806" s="32">
        <f>DAY(TableAopCalendar[[#This Row],[Date]])</f>
        <v>4</v>
      </c>
      <c r="F2806" s="32">
        <f>IF(TableAopCalendar[[#This Row],[Day]]&lt;8,1,IF(TableAopCalendar[[#This Row],[Day]]&lt;15,2,IF(TableAopCalendar[[#This Row],[Day]]&lt;22,3,IF(TableAopCalendar[[#This Row],[Day]]&lt;29,4,IF(TableAopCalendar[[#This Row],[Day]]&lt;32,5)))))</f>
        <v>1</v>
      </c>
      <c r="G2806" s="32" t="str">
        <f t="shared" si="148"/>
        <v>Week 1</v>
      </c>
      <c r="H2806" s="32" t="str">
        <f t="shared" si="149"/>
        <v>December 29 Week 1</v>
      </c>
      <c r="I2806" s="32" t="str">
        <f>CONCATENATE(UPPER(TableAopCalendar[[#This Row],[Month]])," ",TableAopCalendar[[#This Row],[Year]])</f>
        <v>DECEMBER 29</v>
      </c>
      <c r="J2806" s="7" t="s">
        <v>274</v>
      </c>
      <c r="K2806" s="32" t="str">
        <f>CONCATENATE(TableAopCalendar[[#This Row],[Month for Plan]]," ",TableAopCalendar[[#This Row],[Plan]])</f>
        <v>DECEMBER 29 PLANNED</v>
      </c>
    </row>
    <row r="2807" spans="1:11" x14ac:dyDescent="0.3">
      <c r="A2807" s="32">
        <f t="shared" si="147"/>
        <v>5</v>
      </c>
      <c r="B2807" s="33">
        <v>47457</v>
      </c>
      <c r="C2807" s="6" t="s">
        <v>270</v>
      </c>
      <c r="D2807" s="34">
        <v>29</v>
      </c>
      <c r="E2807" s="32">
        <f>DAY(TableAopCalendar[[#This Row],[Date]])</f>
        <v>5</v>
      </c>
      <c r="F2807" s="32">
        <f>IF(TableAopCalendar[[#This Row],[Day]]&lt;8,1,IF(TableAopCalendar[[#This Row],[Day]]&lt;15,2,IF(TableAopCalendar[[#This Row],[Day]]&lt;22,3,IF(TableAopCalendar[[#This Row],[Day]]&lt;29,4,IF(TableAopCalendar[[#This Row],[Day]]&lt;32,5)))))</f>
        <v>1</v>
      </c>
      <c r="G2807" s="32" t="str">
        <f t="shared" si="148"/>
        <v>Week 1</v>
      </c>
      <c r="H2807" s="32" t="str">
        <f t="shared" si="149"/>
        <v>December 29 Week 1</v>
      </c>
      <c r="I2807" s="32" t="str">
        <f>CONCATENATE(UPPER(TableAopCalendar[[#This Row],[Month]])," ",TableAopCalendar[[#This Row],[Year]])</f>
        <v>DECEMBER 29</v>
      </c>
      <c r="J2807" s="7" t="s">
        <v>274</v>
      </c>
      <c r="K2807" s="32" t="str">
        <f>CONCATENATE(TableAopCalendar[[#This Row],[Month for Plan]]," ",TableAopCalendar[[#This Row],[Plan]])</f>
        <v>DECEMBER 29 PLANNED</v>
      </c>
    </row>
    <row r="2808" spans="1:11" x14ac:dyDescent="0.3">
      <c r="A2808" s="32">
        <f t="shared" si="147"/>
        <v>6</v>
      </c>
      <c r="B2808" s="33">
        <v>47458</v>
      </c>
      <c r="C2808" s="6" t="s">
        <v>270</v>
      </c>
      <c r="D2808" s="34">
        <v>29</v>
      </c>
      <c r="E2808" s="32">
        <f>DAY(TableAopCalendar[[#This Row],[Date]])</f>
        <v>6</v>
      </c>
      <c r="F2808" s="32">
        <f>IF(TableAopCalendar[[#This Row],[Day]]&lt;8,1,IF(TableAopCalendar[[#This Row],[Day]]&lt;15,2,IF(TableAopCalendar[[#This Row],[Day]]&lt;22,3,IF(TableAopCalendar[[#This Row],[Day]]&lt;29,4,IF(TableAopCalendar[[#This Row],[Day]]&lt;32,5)))))</f>
        <v>1</v>
      </c>
      <c r="G2808" s="32" t="str">
        <f t="shared" si="148"/>
        <v>Week 1</v>
      </c>
      <c r="H2808" s="32" t="str">
        <f t="shared" si="149"/>
        <v>December 29 Week 1</v>
      </c>
      <c r="I2808" s="32" t="str">
        <f>CONCATENATE(UPPER(TableAopCalendar[[#This Row],[Month]])," ",TableAopCalendar[[#This Row],[Year]])</f>
        <v>DECEMBER 29</v>
      </c>
      <c r="J2808" s="7" t="s">
        <v>274</v>
      </c>
      <c r="K2808" s="32" t="str">
        <f>CONCATENATE(TableAopCalendar[[#This Row],[Month for Plan]]," ",TableAopCalendar[[#This Row],[Plan]])</f>
        <v>DECEMBER 29 PLANNED</v>
      </c>
    </row>
    <row r="2809" spans="1:11" x14ac:dyDescent="0.3">
      <c r="A2809" s="32">
        <f t="shared" si="147"/>
        <v>7</v>
      </c>
      <c r="B2809" s="33">
        <v>47459</v>
      </c>
      <c r="C2809" s="6" t="s">
        <v>270</v>
      </c>
      <c r="D2809" s="34">
        <v>29</v>
      </c>
      <c r="E2809" s="32">
        <f>DAY(TableAopCalendar[[#This Row],[Date]])</f>
        <v>7</v>
      </c>
      <c r="F2809" s="32">
        <f>IF(TableAopCalendar[[#This Row],[Day]]&lt;8,1,IF(TableAopCalendar[[#This Row],[Day]]&lt;15,2,IF(TableAopCalendar[[#This Row],[Day]]&lt;22,3,IF(TableAopCalendar[[#This Row],[Day]]&lt;29,4,IF(TableAopCalendar[[#This Row],[Day]]&lt;32,5)))))</f>
        <v>1</v>
      </c>
      <c r="G2809" s="32" t="str">
        <f t="shared" si="148"/>
        <v>Week 1</v>
      </c>
      <c r="H2809" s="32" t="str">
        <f t="shared" si="149"/>
        <v>December 29 Week 1</v>
      </c>
      <c r="I2809" s="32" t="str">
        <f>CONCATENATE(UPPER(TableAopCalendar[[#This Row],[Month]])," ",TableAopCalendar[[#This Row],[Year]])</f>
        <v>DECEMBER 29</v>
      </c>
      <c r="J2809" s="7" t="s">
        <v>274</v>
      </c>
      <c r="K2809" s="32" t="str">
        <f>CONCATENATE(TableAopCalendar[[#This Row],[Month for Plan]]," ",TableAopCalendar[[#This Row],[Plan]])</f>
        <v>DECEMBER 29 PLANNED</v>
      </c>
    </row>
    <row r="2810" spans="1:11" x14ac:dyDescent="0.3">
      <c r="A2810" s="32">
        <f t="shared" si="147"/>
        <v>1</v>
      </c>
      <c r="B2810" s="33">
        <v>47460</v>
      </c>
      <c r="C2810" s="6" t="s">
        <v>270</v>
      </c>
      <c r="D2810" s="34">
        <v>29</v>
      </c>
      <c r="E2810" s="32">
        <f>DAY(TableAopCalendar[[#This Row],[Date]])</f>
        <v>8</v>
      </c>
      <c r="F2810" s="32">
        <f>IF(TableAopCalendar[[#This Row],[Day]]&lt;8,1,IF(TableAopCalendar[[#This Row],[Day]]&lt;15,2,IF(TableAopCalendar[[#This Row],[Day]]&lt;22,3,IF(TableAopCalendar[[#This Row],[Day]]&lt;29,4,IF(TableAopCalendar[[#This Row],[Day]]&lt;32,5)))))</f>
        <v>2</v>
      </c>
      <c r="G2810" s="32" t="str">
        <f t="shared" si="148"/>
        <v>Week 2</v>
      </c>
      <c r="H2810" s="32" t="str">
        <f t="shared" si="149"/>
        <v>December 29 Week 2</v>
      </c>
      <c r="I2810" s="32" t="str">
        <f>CONCATENATE(UPPER(TableAopCalendar[[#This Row],[Month]])," ",TableAopCalendar[[#This Row],[Year]])</f>
        <v>DECEMBER 29</v>
      </c>
      <c r="J2810" s="7" t="s">
        <v>274</v>
      </c>
      <c r="K2810" s="32" t="str">
        <f>CONCATENATE(TableAopCalendar[[#This Row],[Month for Plan]]," ",TableAopCalendar[[#This Row],[Plan]])</f>
        <v>DECEMBER 29 PLANNED</v>
      </c>
    </row>
    <row r="2811" spans="1:11" x14ac:dyDescent="0.3">
      <c r="A2811" s="32">
        <f t="shared" si="147"/>
        <v>2</v>
      </c>
      <c r="B2811" s="33">
        <v>47461</v>
      </c>
      <c r="C2811" s="6" t="s">
        <v>270</v>
      </c>
      <c r="D2811" s="34">
        <v>29</v>
      </c>
      <c r="E2811" s="32">
        <f>DAY(TableAopCalendar[[#This Row],[Date]])</f>
        <v>9</v>
      </c>
      <c r="F2811" s="32">
        <f>IF(TableAopCalendar[[#This Row],[Day]]&lt;8,1,IF(TableAopCalendar[[#This Row],[Day]]&lt;15,2,IF(TableAopCalendar[[#This Row],[Day]]&lt;22,3,IF(TableAopCalendar[[#This Row],[Day]]&lt;29,4,IF(TableAopCalendar[[#This Row],[Day]]&lt;32,5)))))</f>
        <v>2</v>
      </c>
      <c r="G2811" s="32" t="str">
        <f t="shared" si="148"/>
        <v>Week 2</v>
      </c>
      <c r="H2811" s="32" t="str">
        <f t="shared" si="149"/>
        <v>December 29 Week 2</v>
      </c>
      <c r="I2811" s="32" t="str">
        <f>CONCATENATE(UPPER(TableAopCalendar[[#This Row],[Month]])," ",TableAopCalendar[[#This Row],[Year]])</f>
        <v>DECEMBER 29</v>
      </c>
      <c r="J2811" s="7" t="s">
        <v>274</v>
      </c>
      <c r="K2811" s="32" t="str">
        <f>CONCATENATE(TableAopCalendar[[#This Row],[Month for Plan]]," ",TableAopCalendar[[#This Row],[Plan]])</f>
        <v>DECEMBER 29 PLANNED</v>
      </c>
    </row>
    <row r="2812" spans="1:11" x14ac:dyDescent="0.3">
      <c r="A2812" s="32">
        <f t="shared" si="147"/>
        <v>3</v>
      </c>
      <c r="B2812" s="33">
        <v>47462</v>
      </c>
      <c r="C2812" s="6" t="s">
        <v>270</v>
      </c>
      <c r="D2812" s="34">
        <v>29</v>
      </c>
      <c r="E2812" s="32">
        <f>DAY(TableAopCalendar[[#This Row],[Date]])</f>
        <v>10</v>
      </c>
      <c r="F2812" s="32">
        <f>IF(TableAopCalendar[[#This Row],[Day]]&lt;8,1,IF(TableAopCalendar[[#This Row],[Day]]&lt;15,2,IF(TableAopCalendar[[#This Row],[Day]]&lt;22,3,IF(TableAopCalendar[[#This Row],[Day]]&lt;29,4,IF(TableAopCalendar[[#This Row],[Day]]&lt;32,5)))))</f>
        <v>2</v>
      </c>
      <c r="G2812" s="32" t="str">
        <f t="shared" si="148"/>
        <v>Week 2</v>
      </c>
      <c r="H2812" s="32" t="str">
        <f t="shared" si="149"/>
        <v>December 29 Week 2</v>
      </c>
      <c r="I2812" s="32" t="str">
        <f>CONCATENATE(UPPER(TableAopCalendar[[#This Row],[Month]])," ",TableAopCalendar[[#This Row],[Year]])</f>
        <v>DECEMBER 29</v>
      </c>
      <c r="J2812" s="7" t="s">
        <v>274</v>
      </c>
      <c r="K2812" s="32" t="str">
        <f>CONCATENATE(TableAopCalendar[[#This Row],[Month for Plan]]," ",TableAopCalendar[[#This Row],[Plan]])</f>
        <v>DECEMBER 29 PLANNED</v>
      </c>
    </row>
    <row r="2813" spans="1:11" x14ac:dyDescent="0.3">
      <c r="A2813" s="32">
        <f t="shared" si="147"/>
        <v>4</v>
      </c>
      <c r="B2813" s="33">
        <v>47463</v>
      </c>
      <c r="C2813" s="6" t="s">
        <v>270</v>
      </c>
      <c r="D2813" s="34">
        <v>29</v>
      </c>
      <c r="E2813" s="32">
        <f>DAY(TableAopCalendar[[#This Row],[Date]])</f>
        <v>11</v>
      </c>
      <c r="F2813" s="32">
        <f>IF(TableAopCalendar[[#This Row],[Day]]&lt;8,1,IF(TableAopCalendar[[#This Row],[Day]]&lt;15,2,IF(TableAopCalendar[[#This Row],[Day]]&lt;22,3,IF(TableAopCalendar[[#This Row],[Day]]&lt;29,4,IF(TableAopCalendar[[#This Row],[Day]]&lt;32,5)))))</f>
        <v>2</v>
      </c>
      <c r="G2813" s="32" t="str">
        <f t="shared" si="148"/>
        <v>Week 2</v>
      </c>
      <c r="H2813" s="32" t="str">
        <f t="shared" si="149"/>
        <v>December 29 Week 2</v>
      </c>
      <c r="I2813" s="32" t="str">
        <f>CONCATENATE(UPPER(TableAopCalendar[[#This Row],[Month]])," ",TableAopCalendar[[#This Row],[Year]])</f>
        <v>DECEMBER 29</v>
      </c>
      <c r="J2813" s="7" t="s">
        <v>274</v>
      </c>
      <c r="K2813" s="32" t="str">
        <f>CONCATENATE(TableAopCalendar[[#This Row],[Month for Plan]]," ",TableAopCalendar[[#This Row],[Plan]])</f>
        <v>DECEMBER 29 PLANNED</v>
      </c>
    </row>
    <row r="2814" spans="1:11" x14ac:dyDescent="0.3">
      <c r="A2814" s="32">
        <f t="shared" si="147"/>
        <v>5</v>
      </c>
      <c r="B2814" s="33">
        <v>47464</v>
      </c>
      <c r="C2814" s="6" t="s">
        <v>270</v>
      </c>
      <c r="D2814" s="34">
        <v>29</v>
      </c>
      <c r="E2814" s="32">
        <f>DAY(TableAopCalendar[[#This Row],[Date]])</f>
        <v>12</v>
      </c>
      <c r="F2814" s="32">
        <f>IF(TableAopCalendar[[#This Row],[Day]]&lt;8,1,IF(TableAopCalendar[[#This Row],[Day]]&lt;15,2,IF(TableAopCalendar[[#This Row],[Day]]&lt;22,3,IF(TableAopCalendar[[#This Row],[Day]]&lt;29,4,IF(TableAopCalendar[[#This Row],[Day]]&lt;32,5)))))</f>
        <v>2</v>
      </c>
      <c r="G2814" s="32" t="str">
        <f t="shared" si="148"/>
        <v>Week 2</v>
      </c>
      <c r="H2814" s="32" t="str">
        <f t="shared" si="149"/>
        <v>December 29 Week 2</v>
      </c>
      <c r="I2814" s="32" t="str">
        <f>CONCATENATE(UPPER(TableAopCalendar[[#This Row],[Month]])," ",TableAopCalendar[[#This Row],[Year]])</f>
        <v>DECEMBER 29</v>
      </c>
      <c r="J2814" s="7" t="s">
        <v>274</v>
      </c>
      <c r="K2814" s="32" t="str">
        <f>CONCATENATE(TableAopCalendar[[#This Row],[Month for Plan]]," ",TableAopCalendar[[#This Row],[Plan]])</f>
        <v>DECEMBER 29 PLANNED</v>
      </c>
    </row>
    <row r="2815" spans="1:11" x14ac:dyDescent="0.3">
      <c r="A2815" s="32">
        <f t="shared" si="147"/>
        <v>6</v>
      </c>
      <c r="B2815" s="33">
        <v>47465</v>
      </c>
      <c r="C2815" s="6" t="s">
        <v>270</v>
      </c>
      <c r="D2815" s="34">
        <v>29</v>
      </c>
      <c r="E2815" s="32">
        <f>DAY(TableAopCalendar[[#This Row],[Date]])</f>
        <v>13</v>
      </c>
      <c r="F2815" s="32">
        <f>IF(TableAopCalendar[[#This Row],[Day]]&lt;8,1,IF(TableAopCalendar[[#This Row],[Day]]&lt;15,2,IF(TableAopCalendar[[#This Row],[Day]]&lt;22,3,IF(TableAopCalendar[[#This Row],[Day]]&lt;29,4,IF(TableAopCalendar[[#This Row],[Day]]&lt;32,5)))))</f>
        <v>2</v>
      </c>
      <c r="G2815" s="32" t="str">
        <f t="shared" si="148"/>
        <v>Week 2</v>
      </c>
      <c r="H2815" s="32" t="str">
        <f t="shared" si="149"/>
        <v>December 29 Week 2</v>
      </c>
      <c r="I2815" s="32" t="str">
        <f>CONCATENATE(UPPER(TableAopCalendar[[#This Row],[Month]])," ",TableAopCalendar[[#This Row],[Year]])</f>
        <v>DECEMBER 29</v>
      </c>
      <c r="J2815" s="7" t="s">
        <v>274</v>
      </c>
      <c r="K2815" s="32" t="str">
        <f>CONCATENATE(TableAopCalendar[[#This Row],[Month for Plan]]," ",TableAopCalendar[[#This Row],[Plan]])</f>
        <v>DECEMBER 29 PLANNED</v>
      </c>
    </row>
    <row r="2816" spans="1:11" x14ac:dyDescent="0.3">
      <c r="A2816" s="32">
        <f t="shared" si="147"/>
        <v>7</v>
      </c>
      <c r="B2816" s="33">
        <v>47466</v>
      </c>
      <c r="C2816" s="6" t="s">
        <v>270</v>
      </c>
      <c r="D2816" s="34">
        <v>29</v>
      </c>
      <c r="E2816" s="32">
        <f>DAY(TableAopCalendar[[#This Row],[Date]])</f>
        <v>14</v>
      </c>
      <c r="F2816" s="32">
        <f>IF(TableAopCalendar[[#This Row],[Day]]&lt;8,1,IF(TableAopCalendar[[#This Row],[Day]]&lt;15,2,IF(TableAopCalendar[[#This Row],[Day]]&lt;22,3,IF(TableAopCalendar[[#This Row],[Day]]&lt;29,4,IF(TableAopCalendar[[#This Row],[Day]]&lt;32,5)))))</f>
        <v>2</v>
      </c>
      <c r="G2816" s="32" t="str">
        <f t="shared" si="148"/>
        <v>Week 2</v>
      </c>
      <c r="H2816" s="32" t="str">
        <f t="shared" si="149"/>
        <v>December 29 Week 2</v>
      </c>
      <c r="I2816" s="32" t="str">
        <f>CONCATENATE(UPPER(TableAopCalendar[[#This Row],[Month]])," ",TableAopCalendar[[#This Row],[Year]])</f>
        <v>DECEMBER 29</v>
      </c>
      <c r="J2816" s="7" t="s">
        <v>274</v>
      </c>
      <c r="K2816" s="32" t="str">
        <f>CONCATENATE(TableAopCalendar[[#This Row],[Month for Plan]]," ",TableAopCalendar[[#This Row],[Plan]])</f>
        <v>DECEMBER 29 PLANNED</v>
      </c>
    </row>
    <row r="2817" spans="1:11" x14ac:dyDescent="0.3">
      <c r="A2817" s="32">
        <f t="shared" si="147"/>
        <v>1</v>
      </c>
      <c r="B2817" s="33">
        <v>47467</v>
      </c>
      <c r="C2817" s="6" t="s">
        <v>270</v>
      </c>
      <c r="D2817" s="34">
        <v>29</v>
      </c>
      <c r="E2817" s="32">
        <f>DAY(TableAopCalendar[[#This Row],[Date]])</f>
        <v>15</v>
      </c>
      <c r="F2817" s="32">
        <f>IF(TableAopCalendar[[#This Row],[Day]]&lt;8,1,IF(TableAopCalendar[[#This Row],[Day]]&lt;15,2,IF(TableAopCalendar[[#This Row],[Day]]&lt;22,3,IF(TableAopCalendar[[#This Row],[Day]]&lt;29,4,IF(TableAopCalendar[[#This Row],[Day]]&lt;32,5)))))</f>
        <v>3</v>
      </c>
      <c r="G2817" s="32" t="str">
        <f t="shared" si="148"/>
        <v>Week 3</v>
      </c>
      <c r="H2817" s="32" t="str">
        <f t="shared" si="149"/>
        <v>December 29 Week 3</v>
      </c>
      <c r="I2817" s="32" t="str">
        <f>CONCATENATE(UPPER(TableAopCalendar[[#This Row],[Month]])," ",TableAopCalendar[[#This Row],[Year]])</f>
        <v>DECEMBER 29</v>
      </c>
      <c r="J2817" s="7" t="s">
        <v>274</v>
      </c>
      <c r="K2817" s="32" t="str">
        <f>CONCATENATE(TableAopCalendar[[#This Row],[Month for Plan]]," ",TableAopCalendar[[#This Row],[Plan]])</f>
        <v>DECEMBER 29 PLANNED</v>
      </c>
    </row>
    <row r="2818" spans="1:11" x14ac:dyDescent="0.3">
      <c r="A2818" s="32">
        <f t="shared" si="147"/>
        <v>2</v>
      </c>
      <c r="B2818" s="33">
        <v>47468</v>
      </c>
      <c r="C2818" s="6" t="s">
        <v>270</v>
      </c>
      <c r="D2818" s="34">
        <v>29</v>
      </c>
      <c r="E2818" s="32">
        <f>DAY(TableAopCalendar[[#This Row],[Date]])</f>
        <v>16</v>
      </c>
      <c r="F2818" s="32">
        <f>IF(TableAopCalendar[[#This Row],[Day]]&lt;8,1,IF(TableAopCalendar[[#This Row],[Day]]&lt;15,2,IF(TableAopCalendar[[#This Row],[Day]]&lt;22,3,IF(TableAopCalendar[[#This Row],[Day]]&lt;29,4,IF(TableAopCalendar[[#This Row],[Day]]&lt;32,5)))))</f>
        <v>3</v>
      </c>
      <c r="G2818" s="32" t="str">
        <f t="shared" si="148"/>
        <v>Week 3</v>
      </c>
      <c r="H2818" s="32" t="str">
        <f t="shared" si="149"/>
        <v>December 29 Week 3</v>
      </c>
      <c r="I2818" s="32" t="str">
        <f>CONCATENATE(UPPER(TableAopCalendar[[#This Row],[Month]])," ",TableAopCalendar[[#This Row],[Year]])</f>
        <v>DECEMBER 29</v>
      </c>
      <c r="J2818" s="7" t="s">
        <v>274</v>
      </c>
      <c r="K2818" s="32" t="str">
        <f>CONCATENATE(TableAopCalendar[[#This Row],[Month for Plan]]," ",TableAopCalendar[[#This Row],[Plan]])</f>
        <v>DECEMBER 29 PLANNED</v>
      </c>
    </row>
    <row r="2819" spans="1:11" x14ac:dyDescent="0.3">
      <c r="A2819" s="32">
        <f t="shared" si="147"/>
        <v>3</v>
      </c>
      <c r="B2819" s="33">
        <v>47469</v>
      </c>
      <c r="C2819" s="6" t="s">
        <v>270</v>
      </c>
      <c r="D2819" s="34">
        <v>29</v>
      </c>
      <c r="E2819" s="32">
        <f>DAY(TableAopCalendar[[#This Row],[Date]])</f>
        <v>17</v>
      </c>
      <c r="F2819" s="32">
        <f>IF(TableAopCalendar[[#This Row],[Day]]&lt;8,1,IF(TableAopCalendar[[#This Row],[Day]]&lt;15,2,IF(TableAopCalendar[[#This Row],[Day]]&lt;22,3,IF(TableAopCalendar[[#This Row],[Day]]&lt;29,4,IF(TableAopCalendar[[#This Row],[Day]]&lt;32,5)))))</f>
        <v>3</v>
      </c>
      <c r="G2819" s="32" t="str">
        <f t="shared" si="148"/>
        <v>Week 3</v>
      </c>
      <c r="H2819" s="32" t="str">
        <f t="shared" si="149"/>
        <v>December 29 Week 3</v>
      </c>
      <c r="I2819" s="32" t="str">
        <f>CONCATENATE(UPPER(TableAopCalendar[[#This Row],[Month]])," ",TableAopCalendar[[#This Row],[Year]])</f>
        <v>DECEMBER 29</v>
      </c>
      <c r="J2819" s="7" t="s">
        <v>274</v>
      </c>
      <c r="K2819" s="32" t="str">
        <f>CONCATENATE(TableAopCalendar[[#This Row],[Month for Plan]]," ",TableAopCalendar[[#This Row],[Plan]])</f>
        <v>DECEMBER 29 PLANNED</v>
      </c>
    </row>
    <row r="2820" spans="1:11" x14ac:dyDescent="0.3">
      <c r="A2820" s="32">
        <f t="shared" si="147"/>
        <v>4</v>
      </c>
      <c r="B2820" s="33">
        <v>47470</v>
      </c>
      <c r="C2820" s="6" t="s">
        <v>270</v>
      </c>
      <c r="D2820" s="34">
        <v>29</v>
      </c>
      <c r="E2820" s="32">
        <f>DAY(TableAopCalendar[[#This Row],[Date]])</f>
        <v>18</v>
      </c>
      <c r="F2820" s="32">
        <f>IF(TableAopCalendar[[#This Row],[Day]]&lt;8,1,IF(TableAopCalendar[[#This Row],[Day]]&lt;15,2,IF(TableAopCalendar[[#This Row],[Day]]&lt;22,3,IF(TableAopCalendar[[#This Row],[Day]]&lt;29,4,IF(TableAopCalendar[[#This Row],[Day]]&lt;32,5)))))</f>
        <v>3</v>
      </c>
      <c r="G2820" s="32" t="str">
        <f t="shared" si="148"/>
        <v>Week 3</v>
      </c>
      <c r="H2820" s="32" t="str">
        <f t="shared" si="149"/>
        <v>December 29 Week 3</v>
      </c>
      <c r="I2820" s="32" t="str">
        <f>CONCATENATE(UPPER(TableAopCalendar[[#This Row],[Month]])," ",TableAopCalendar[[#This Row],[Year]])</f>
        <v>DECEMBER 29</v>
      </c>
      <c r="J2820" s="7" t="s">
        <v>274</v>
      </c>
      <c r="K2820" s="32" t="str">
        <f>CONCATENATE(TableAopCalendar[[#This Row],[Month for Plan]]," ",TableAopCalendar[[#This Row],[Plan]])</f>
        <v>DECEMBER 29 PLANNED</v>
      </c>
    </row>
    <row r="2821" spans="1:11" x14ac:dyDescent="0.3">
      <c r="A2821" s="32">
        <f t="shared" si="147"/>
        <v>5</v>
      </c>
      <c r="B2821" s="33">
        <v>47471</v>
      </c>
      <c r="C2821" s="6" t="s">
        <v>270</v>
      </c>
      <c r="D2821" s="34">
        <v>29</v>
      </c>
      <c r="E2821" s="32">
        <f>DAY(TableAopCalendar[[#This Row],[Date]])</f>
        <v>19</v>
      </c>
      <c r="F2821" s="32">
        <f>IF(TableAopCalendar[[#This Row],[Day]]&lt;8,1,IF(TableAopCalendar[[#This Row],[Day]]&lt;15,2,IF(TableAopCalendar[[#This Row],[Day]]&lt;22,3,IF(TableAopCalendar[[#This Row],[Day]]&lt;29,4,IF(TableAopCalendar[[#This Row],[Day]]&lt;32,5)))))</f>
        <v>3</v>
      </c>
      <c r="G2821" s="32" t="str">
        <f t="shared" si="148"/>
        <v>Week 3</v>
      </c>
      <c r="H2821" s="32" t="str">
        <f t="shared" si="149"/>
        <v>December 29 Week 3</v>
      </c>
      <c r="I2821" s="32" t="str">
        <f>CONCATENATE(UPPER(TableAopCalendar[[#This Row],[Month]])," ",TableAopCalendar[[#This Row],[Year]])</f>
        <v>DECEMBER 29</v>
      </c>
      <c r="J2821" s="7" t="s">
        <v>274</v>
      </c>
      <c r="K2821" s="32" t="str">
        <f>CONCATENATE(TableAopCalendar[[#This Row],[Month for Plan]]," ",TableAopCalendar[[#This Row],[Plan]])</f>
        <v>DECEMBER 29 PLANNED</v>
      </c>
    </row>
    <row r="2822" spans="1:11" x14ac:dyDescent="0.3">
      <c r="A2822" s="32">
        <f t="shared" si="147"/>
        <v>6</v>
      </c>
      <c r="B2822" s="33">
        <v>47472</v>
      </c>
      <c r="C2822" s="6" t="s">
        <v>270</v>
      </c>
      <c r="D2822" s="34">
        <v>29</v>
      </c>
      <c r="E2822" s="32">
        <f>DAY(TableAopCalendar[[#This Row],[Date]])</f>
        <v>20</v>
      </c>
      <c r="F2822" s="32">
        <f>IF(TableAopCalendar[[#This Row],[Day]]&lt;8,1,IF(TableAopCalendar[[#This Row],[Day]]&lt;15,2,IF(TableAopCalendar[[#This Row],[Day]]&lt;22,3,IF(TableAopCalendar[[#This Row],[Day]]&lt;29,4,IF(TableAopCalendar[[#This Row],[Day]]&lt;32,5)))))</f>
        <v>3</v>
      </c>
      <c r="G2822" s="32" t="str">
        <f t="shared" si="148"/>
        <v>Week 3</v>
      </c>
      <c r="H2822" s="32" t="str">
        <f t="shared" si="149"/>
        <v>December 29 Week 3</v>
      </c>
      <c r="I2822" s="32" t="str">
        <f>CONCATENATE(UPPER(TableAopCalendar[[#This Row],[Month]])," ",TableAopCalendar[[#This Row],[Year]])</f>
        <v>DECEMBER 29</v>
      </c>
      <c r="J2822" s="7" t="s">
        <v>274</v>
      </c>
      <c r="K2822" s="32" t="str">
        <f>CONCATENATE(TableAopCalendar[[#This Row],[Month for Plan]]," ",TableAopCalendar[[#This Row],[Plan]])</f>
        <v>DECEMBER 29 PLANNED</v>
      </c>
    </row>
    <row r="2823" spans="1:11" x14ac:dyDescent="0.3">
      <c r="A2823" s="32">
        <f t="shared" si="147"/>
        <v>7</v>
      </c>
      <c r="B2823" s="33">
        <v>47473</v>
      </c>
      <c r="C2823" s="6" t="s">
        <v>270</v>
      </c>
      <c r="D2823" s="34">
        <v>29</v>
      </c>
      <c r="E2823" s="32">
        <f>DAY(TableAopCalendar[[#This Row],[Date]])</f>
        <v>21</v>
      </c>
      <c r="F2823" s="32">
        <f>IF(TableAopCalendar[[#This Row],[Day]]&lt;8,1,IF(TableAopCalendar[[#This Row],[Day]]&lt;15,2,IF(TableAopCalendar[[#This Row],[Day]]&lt;22,3,IF(TableAopCalendar[[#This Row],[Day]]&lt;29,4,IF(TableAopCalendar[[#This Row],[Day]]&lt;32,5)))))</f>
        <v>3</v>
      </c>
      <c r="G2823" s="32" t="str">
        <f t="shared" si="148"/>
        <v>Week 3</v>
      </c>
      <c r="H2823" s="32" t="str">
        <f t="shared" si="149"/>
        <v>December 29 Week 3</v>
      </c>
      <c r="I2823" s="32" t="str">
        <f>CONCATENATE(UPPER(TableAopCalendar[[#This Row],[Month]])," ",TableAopCalendar[[#This Row],[Year]])</f>
        <v>DECEMBER 29</v>
      </c>
      <c r="J2823" s="7" t="s">
        <v>274</v>
      </c>
      <c r="K2823" s="32" t="str">
        <f>CONCATENATE(TableAopCalendar[[#This Row],[Month for Plan]]," ",TableAopCalendar[[#This Row],[Plan]])</f>
        <v>DECEMBER 29 PLANNED</v>
      </c>
    </row>
    <row r="2824" spans="1:11" x14ac:dyDescent="0.3">
      <c r="A2824" s="32">
        <f t="shared" si="147"/>
        <v>1</v>
      </c>
      <c r="B2824" s="33">
        <v>47474</v>
      </c>
      <c r="C2824" s="6" t="s">
        <v>270</v>
      </c>
      <c r="D2824" s="34">
        <v>29</v>
      </c>
      <c r="E2824" s="32">
        <f>DAY(TableAopCalendar[[#This Row],[Date]])</f>
        <v>22</v>
      </c>
      <c r="F2824" s="32">
        <f>IF(TableAopCalendar[[#This Row],[Day]]&lt;8,1,IF(TableAopCalendar[[#This Row],[Day]]&lt;15,2,IF(TableAopCalendar[[#This Row],[Day]]&lt;22,3,IF(TableAopCalendar[[#This Row],[Day]]&lt;29,4,IF(TableAopCalendar[[#This Row],[Day]]&lt;32,5)))))</f>
        <v>4</v>
      </c>
      <c r="G2824" s="32" t="str">
        <f t="shared" si="148"/>
        <v>Week 4</v>
      </c>
      <c r="H2824" s="32" t="str">
        <f t="shared" si="149"/>
        <v>December 29 Week 4</v>
      </c>
      <c r="I2824" s="32" t="str">
        <f>CONCATENATE(UPPER(TableAopCalendar[[#This Row],[Month]])," ",TableAopCalendar[[#This Row],[Year]])</f>
        <v>DECEMBER 29</v>
      </c>
      <c r="J2824" s="7" t="s">
        <v>274</v>
      </c>
      <c r="K2824" s="32" t="str">
        <f>CONCATENATE(TableAopCalendar[[#This Row],[Month for Plan]]," ",TableAopCalendar[[#This Row],[Plan]])</f>
        <v>DECEMBER 29 PLANNED</v>
      </c>
    </row>
    <row r="2825" spans="1:11" x14ac:dyDescent="0.3">
      <c r="A2825" s="32">
        <f t="shared" si="147"/>
        <v>2</v>
      </c>
      <c r="B2825" s="33">
        <v>47475</v>
      </c>
      <c r="C2825" s="6" t="s">
        <v>270</v>
      </c>
      <c r="D2825" s="34">
        <v>29</v>
      </c>
      <c r="E2825" s="32">
        <f>DAY(TableAopCalendar[[#This Row],[Date]])</f>
        <v>23</v>
      </c>
      <c r="F2825" s="32">
        <f>IF(TableAopCalendar[[#This Row],[Day]]&lt;8,1,IF(TableAopCalendar[[#This Row],[Day]]&lt;15,2,IF(TableAopCalendar[[#This Row],[Day]]&lt;22,3,IF(TableAopCalendar[[#This Row],[Day]]&lt;29,4,IF(TableAopCalendar[[#This Row],[Day]]&lt;32,5)))))</f>
        <v>4</v>
      </c>
      <c r="G2825" s="32" t="str">
        <f t="shared" si="148"/>
        <v>Week 4</v>
      </c>
      <c r="H2825" s="32" t="str">
        <f t="shared" si="149"/>
        <v>December 29 Week 4</v>
      </c>
      <c r="I2825" s="32" t="str">
        <f>CONCATENATE(UPPER(TableAopCalendar[[#This Row],[Month]])," ",TableAopCalendar[[#This Row],[Year]])</f>
        <v>DECEMBER 29</v>
      </c>
      <c r="J2825" s="7" t="s">
        <v>274</v>
      </c>
      <c r="K2825" s="32" t="str">
        <f>CONCATENATE(TableAopCalendar[[#This Row],[Month for Plan]]," ",TableAopCalendar[[#This Row],[Plan]])</f>
        <v>DECEMBER 29 PLANNED</v>
      </c>
    </row>
    <row r="2826" spans="1:11" x14ac:dyDescent="0.3">
      <c r="A2826" s="32">
        <f t="shared" si="147"/>
        <v>3</v>
      </c>
      <c r="B2826" s="33">
        <v>47476</v>
      </c>
      <c r="C2826" s="6" t="s">
        <v>270</v>
      </c>
      <c r="D2826" s="34">
        <v>29</v>
      </c>
      <c r="E2826" s="32">
        <f>DAY(TableAopCalendar[[#This Row],[Date]])</f>
        <v>24</v>
      </c>
      <c r="F2826" s="32">
        <f>IF(TableAopCalendar[[#This Row],[Day]]&lt;8,1,IF(TableAopCalendar[[#This Row],[Day]]&lt;15,2,IF(TableAopCalendar[[#This Row],[Day]]&lt;22,3,IF(TableAopCalendar[[#This Row],[Day]]&lt;29,4,IF(TableAopCalendar[[#This Row],[Day]]&lt;32,5)))))</f>
        <v>4</v>
      </c>
      <c r="G2826" s="32" t="str">
        <f t="shared" si="148"/>
        <v>Week 4</v>
      </c>
      <c r="H2826" s="32" t="str">
        <f t="shared" si="149"/>
        <v>December 29 Week 4</v>
      </c>
      <c r="I2826" s="32" t="str">
        <f>CONCATENATE(UPPER(TableAopCalendar[[#This Row],[Month]])," ",TableAopCalendar[[#This Row],[Year]])</f>
        <v>DECEMBER 29</v>
      </c>
      <c r="J2826" s="7" t="s">
        <v>274</v>
      </c>
      <c r="K2826" s="32" t="str">
        <f>CONCATENATE(TableAopCalendar[[#This Row],[Month for Plan]]," ",TableAopCalendar[[#This Row],[Plan]])</f>
        <v>DECEMBER 29 PLANNED</v>
      </c>
    </row>
    <row r="2827" spans="1:11" x14ac:dyDescent="0.3">
      <c r="A2827" s="32">
        <f t="shared" si="147"/>
        <v>4</v>
      </c>
      <c r="B2827" s="33">
        <v>47477</v>
      </c>
      <c r="C2827" s="6" t="s">
        <v>270</v>
      </c>
      <c r="D2827" s="34">
        <v>29</v>
      </c>
      <c r="E2827" s="32">
        <f>DAY(TableAopCalendar[[#This Row],[Date]])</f>
        <v>25</v>
      </c>
      <c r="F2827" s="32">
        <f>IF(TableAopCalendar[[#This Row],[Day]]&lt;8,1,IF(TableAopCalendar[[#This Row],[Day]]&lt;15,2,IF(TableAopCalendar[[#This Row],[Day]]&lt;22,3,IF(TableAopCalendar[[#This Row],[Day]]&lt;29,4,IF(TableAopCalendar[[#This Row],[Day]]&lt;32,5)))))</f>
        <v>4</v>
      </c>
      <c r="G2827" s="32" t="str">
        <f t="shared" si="148"/>
        <v>Week 4</v>
      </c>
      <c r="H2827" s="32" t="str">
        <f t="shared" si="149"/>
        <v>December 29 Week 4</v>
      </c>
      <c r="I2827" s="32" t="str">
        <f>CONCATENATE(UPPER(TableAopCalendar[[#This Row],[Month]])," ",TableAopCalendar[[#This Row],[Year]])</f>
        <v>DECEMBER 29</v>
      </c>
      <c r="J2827" s="7" t="s">
        <v>274</v>
      </c>
      <c r="K2827" s="32" t="str">
        <f>CONCATENATE(TableAopCalendar[[#This Row],[Month for Plan]]," ",TableAopCalendar[[#This Row],[Plan]])</f>
        <v>DECEMBER 29 PLANNED</v>
      </c>
    </row>
    <row r="2828" spans="1:11" x14ac:dyDescent="0.3">
      <c r="A2828" s="32">
        <f t="shared" si="147"/>
        <v>5</v>
      </c>
      <c r="B2828" s="33">
        <v>47478</v>
      </c>
      <c r="C2828" s="6" t="s">
        <v>270</v>
      </c>
      <c r="D2828" s="34">
        <v>29</v>
      </c>
      <c r="E2828" s="32">
        <f>DAY(TableAopCalendar[[#This Row],[Date]])</f>
        <v>26</v>
      </c>
      <c r="F2828" s="32">
        <f>IF(TableAopCalendar[[#This Row],[Day]]&lt;8,1,IF(TableAopCalendar[[#This Row],[Day]]&lt;15,2,IF(TableAopCalendar[[#This Row],[Day]]&lt;22,3,IF(TableAopCalendar[[#This Row],[Day]]&lt;29,4,IF(TableAopCalendar[[#This Row],[Day]]&lt;32,5)))))</f>
        <v>4</v>
      </c>
      <c r="G2828" s="32" t="str">
        <f t="shared" si="148"/>
        <v>Week 4</v>
      </c>
      <c r="H2828" s="32" t="str">
        <f t="shared" si="149"/>
        <v>December 29 Week 4</v>
      </c>
      <c r="I2828" s="32" t="str">
        <f>CONCATENATE(UPPER(TableAopCalendar[[#This Row],[Month]])," ",TableAopCalendar[[#This Row],[Year]])</f>
        <v>DECEMBER 29</v>
      </c>
      <c r="J2828" s="7" t="s">
        <v>274</v>
      </c>
      <c r="K2828" s="32" t="str">
        <f>CONCATENATE(TableAopCalendar[[#This Row],[Month for Plan]]," ",TableAopCalendar[[#This Row],[Plan]])</f>
        <v>DECEMBER 29 PLANNED</v>
      </c>
    </row>
    <row r="2829" spans="1:11" x14ac:dyDescent="0.3">
      <c r="A2829" s="32">
        <f t="shared" si="147"/>
        <v>6</v>
      </c>
      <c r="B2829" s="33">
        <v>47479</v>
      </c>
      <c r="C2829" s="6" t="s">
        <v>270</v>
      </c>
      <c r="D2829" s="34">
        <v>29</v>
      </c>
      <c r="E2829" s="32">
        <f>DAY(TableAopCalendar[[#This Row],[Date]])</f>
        <v>27</v>
      </c>
      <c r="F2829" s="32">
        <f>IF(TableAopCalendar[[#This Row],[Day]]&lt;8,1,IF(TableAopCalendar[[#This Row],[Day]]&lt;15,2,IF(TableAopCalendar[[#This Row],[Day]]&lt;22,3,IF(TableAopCalendar[[#This Row],[Day]]&lt;29,4,IF(TableAopCalendar[[#This Row],[Day]]&lt;32,5)))))</f>
        <v>4</v>
      </c>
      <c r="G2829" s="32" t="str">
        <f t="shared" si="148"/>
        <v>Week 4</v>
      </c>
      <c r="H2829" s="32" t="str">
        <f t="shared" si="149"/>
        <v>December 29 Week 4</v>
      </c>
      <c r="I2829" s="32" t="str">
        <f>CONCATENATE(UPPER(TableAopCalendar[[#This Row],[Month]])," ",TableAopCalendar[[#This Row],[Year]])</f>
        <v>DECEMBER 29</v>
      </c>
      <c r="J2829" s="7" t="s">
        <v>274</v>
      </c>
      <c r="K2829" s="32" t="str">
        <f>CONCATENATE(TableAopCalendar[[#This Row],[Month for Plan]]," ",TableAopCalendar[[#This Row],[Plan]])</f>
        <v>DECEMBER 29 PLANNED</v>
      </c>
    </row>
    <row r="2830" spans="1:11" x14ac:dyDescent="0.3">
      <c r="A2830" s="32">
        <f t="shared" si="147"/>
        <v>7</v>
      </c>
      <c r="B2830" s="33">
        <v>47480</v>
      </c>
      <c r="C2830" s="6" t="s">
        <v>270</v>
      </c>
      <c r="D2830" s="34">
        <v>29</v>
      </c>
      <c r="E2830" s="32">
        <f>DAY(TableAopCalendar[[#This Row],[Date]])</f>
        <v>28</v>
      </c>
      <c r="F2830" s="32">
        <f>IF(TableAopCalendar[[#This Row],[Day]]&lt;8,1,IF(TableAopCalendar[[#This Row],[Day]]&lt;15,2,IF(TableAopCalendar[[#This Row],[Day]]&lt;22,3,IF(TableAopCalendar[[#This Row],[Day]]&lt;29,4,IF(TableAopCalendar[[#This Row],[Day]]&lt;32,5)))))</f>
        <v>4</v>
      </c>
      <c r="G2830" s="32" t="str">
        <f t="shared" si="148"/>
        <v>Week 4</v>
      </c>
      <c r="H2830" s="32" t="str">
        <f t="shared" si="149"/>
        <v>December 29 Week 4</v>
      </c>
      <c r="I2830" s="32" t="str">
        <f>CONCATENATE(UPPER(TableAopCalendar[[#This Row],[Month]])," ",TableAopCalendar[[#This Row],[Year]])</f>
        <v>DECEMBER 29</v>
      </c>
      <c r="J2830" s="7" t="s">
        <v>274</v>
      </c>
      <c r="K2830" s="32" t="str">
        <f>CONCATENATE(TableAopCalendar[[#This Row],[Month for Plan]]," ",TableAopCalendar[[#This Row],[Plan]])</f>
        <v>DECEMBER 29 PLANNED</v>
      </c>
    </row>
    <row r="2831" spans="1:11" x14ac:dyDescent="0.3">
      <c r="A2831" s="32">
        <f t="shared" si="147"/>
        <v>1</v>
      </c>
      <c r="B2831" s="33">
        <v>47481</v>
      </c>
      <c r="C2831" s="6" t="s">
        <v>270</v>
      </c>
      <c r="D2831" s="34">
        <v>29</v>
      </c>
      <c r="E2831" s="32">
        <f>DAY(TableAopCalendar[[#This Row],[Date]])</f>
        <v>29</v>
      </c>
      <c r="F2831" s="32">
        <f>IF(TableAopCalendar[[#This Row],[Day]]&lt;8,1,IF(TableAopCalendar[[#This Row],[Day]]&lt;15,2,IF(TableAopCalendar[[#This Row],[Day]]&lt;22,3,IF(TableAopCalendar[[#This Row],[Day]]&lt;29,4,IF(TableAopCalendar[[#This Row],[Day]]&lt;32,5)))))</f>
        <v>5</v>
      </c>
      <c r="G2831" s="32" t="str">
        <f t="shared" si="148"/>
        <v>Week 5</v>
      </c>
      <c r="H2831" s="32" t="str">
        <f t="shared" si="149"/>
        <v>December 29 Week 5</v>
      </c>
      <c r="I2831" s="32" t="str">
        <f>CONCATENATE(UPPER(TableAopCalendar[[#This Row],[Month]])," ",TableAopCalendar[[#This Row],[Year]])</f>
        <v>DECEMBER 29</v>
      </c>
      <c r="J2831" s="7" t="s">
        <v>274</v>
      </c>
      <c r="K2831" s="32" t="str">
        <f>CONCATENATE(TableAopCalendar[[#This Row],[Month for Plan]]," ",TableAopCalendar[[#This Row],[Plan]])</f>
        <v>DECEMBER 29 PLANNED</v>
      </c>
    </row>
    <row r="2832" spans="1:11" x14ac:dyDescent="0.3">
      <c r="A2832" s="32">
        <f t="shared" si="147"/>
        <v>2</v>
      </c>
      <c r="B2832" s="33">
        <v>47482</v>
      </c>
      <c r="C2832" s="6" t="s">
        <v>270</v>
      </c>
      <c r="D2832" s="34">
        <v>29</v>
      </c>
      <c r="E2832" s="32">
        <f>DAY(TableAopCalendar[[#This Row],[Date]])</f>
        <v>30</v>
      </c>
      <c r="F2832" s="32">
        <f>IF(TableAopCalendar[[#This Row],[Day]]&lt;8,1,IF(TableAopCalendar[[#This Row],[Day]]&lt;15,2,IF(TableAopCalendar[[#This Row],[Day]]&lt;22,3,IF(TableAopCalendar[[#This Row],[Day]]&lt;29,4,IF(TableAopCalendar[[#This Row],[Day]]&lt;32,5)))))</f>
        <v>5</v>
      </c>
      <c r="G2832" s="32" t="str">
        <f t="shared" si="148"/>
        <v>Week 5</v>
      </c>
      <c r="H2832" s="32" t="str">
        <f t="shared" si="149"/>
        <v>December 29 Week 5</v>
      </c>
      <c r="I2832" s="32" t="str">
        <f>CONCATENATE(UPPER(TableAopCalendar[[#This Row],[Month]])," ",TableAopCalendar[[#This Row],[Year]])</f>
        <v>DECEMBER 29</v>
      </c>
      <c r="J2832" s="7" t="s">
        <v>274</v>
      </c>
      <c r="K2832" s="32" t="str">
        <f>CONCATENATE(TableAopCalendar[[#This Row],[Month for Plan]]," ",TableAopCalendar[[#This Row],[Plan]])</f>
        <v>DECEMBER 29 PLANNED</v>
      </c>
    </row>
    <row r="2833" spans="1:11" x14ac:dyDescent="0.3">
      <c r="A2833" s="32">
        <f t="shared" si="147"/>
        <v>3</v>
      </c>
      <c r="B2833" s="33">
        <v>47483</v>
      </c>
      <c r="C2833" s="6" t="s">
        <v>270</v>
      </c>
      <c r="D2833" s="34">
        <v>29</v>
      </c>
      <c r="E2833" s="32">
        <f>DAY(TableAopCalendar[[#This Row],[Date]])</f>
        <v>31</v>
      </c>
      <c r="F2833" s="32">
        <f>IF(TableAopCalendar[[#This Row],[Day]]&lt;8,1,IF(TableAopCalendar[[#This Row],[Day]]&lt;15,2,IF(TableAopCalendar[[#This Row],[Day]]&lt;22,3,IF(TableAopCalendar[[#This Row],[Day]]&lt;29,4,IF(TableAopCalendar[[#This Row],[Day]]&lt;32,5)))))</f>
        <v>5</v>
      </c>
      <c r="G2833" s="32" t="str">
        <f t="shared" si="148"/>
        <v>Week 5</v>
      </c>
      <c r="H2833" s="32" t="str">
        <f t="shared" si="149"/>
        <v>December 29 Week 5</v>
      </c>
      <c r="I2833" s="32" t="str">
        <f>CONCATENATE(UPPER(TableAopCalendar[[#This Row],[Month]])," ",TableAopCalendar[[#This Row],[Year]])</f>
        <v>DECEMBER 29</v>
      </c>
      <c r="J2833" s="7" t="s">
        <v>274</v>
      </c>
      <c r="K2833" s="32" t="str">
        <f>CONCATENATE(TableAopCalendar[[#This Row],[Month for Plan]]," ",TableAopCalendar[[#This Row],[Plan]])</f>
        <v>DECEMBER 29 PLANNED</v>
      </c>
    </row>
    <row r="2834" spans="1:11" x14ac:dyDescent="0.3">
      <c r="A2834" s="32">
        <f t="shared" si="147"/>
        <v>1</v>
      </c>
      <c r="B2834" s="33">
        <v>47484</v>
      </c>
      <c r="C2834" s="6" t="s">
        <v>271</v>
      </c>
      <c r="D2834" s="34">
        <v>30</v>
      </c>
      <c r="E2834" s="32">
        <f>DAY(TableAopCalendar[[#This Row],[Date]])</f>
        <v>1</v>
      </c>
      <c r="F2834" s="32">
        <f>IF(TableAopCalendar[[#This Row],[Day]]&lt;8,1,IF(TableAopCalendar[[#This Row],[Day]]&lt;15,2,IF(TableAopCalendar[[#This Row],[Day]]&lt;22,3,IF(TableAopCalendar[[#This Row],[Day]]&lt;29,4,IF(TableAopCalendar[[#This Row],[Day]]&lt;32,5)))))</f>
        <v>1</v>
      </c>
      <c r="G2834" s="32" t="str">
        <f t="shared" si="148"/>
        <v>Week 1</v>
      </c>
      <c r="H2834" s="32" t="str">
        <f t="shared" si="149"/>
        <v>January 30 Week 1</v>
      </c>
      <c r="I2834" s="32" t="str">
        <f>CONCATENATE(UPPER(TableAopCalendar[[#This Row],[Month]])," ",TableAopCalendar[[#This Row],[Year]])</f>
        <v>JANUARY 30</v>
      </c>
      <c r="J2834" s="7" t="s">
        <v>274</v>
      </c>
      <c r="K2834" s="32" t="str">
        <f>CONCATENATE(TableAopCalendar[[#This Row],[Month for Plan]]," ",TableAopCalendar[[#This Row],[Plan]])</f>
        <v>JANUARY 30 PLANNED</v>
      </c>
    </row>
    <row r="2835" spans="1:11" x14ac:dyDescent="0.3">
      <c r="A2835" s="32">
        <f t="shared" si="147"/>
        <v>2</v>
      </c>
      <c r="B2835" s="33">
        <v>47485</v>
      </c>
      <c r="C2835" s="6" t="s">
        <v>271</v>
      </c>
      <c r="D2835" s="34">
        <v>30</v>
      </c>
      <c r="E2835" s="32">
        <f>DAY(TableAopCalendar[[#This Row],[Date]])</f>
        <v>2</v>
      </c>
      <c r="F2835" s="32">
        <f>IF(TableAopCalendar[[#This Row],[Day]]&lt;8,1,IF(TableAopCalendar[[#This Row],[Day]]&lt;15,2,IF(TableAopCalendar[[#This Row],[Day]]&lt;22,3,IF(TableAopCalendar[[#This Row],[Day]]&lt;29,4,IF(TableAopCalendar[[#This Row],[Day]]&lt;32,5)))))</f>
        <v>1</v>
      </c>
      <c r="G2835" s="32" t="str">
        <f t="shared" si="148"/>
        <v>Week 1</v>
      </c>
      <c r="H2835" s="32" t="str">
        <f t="shared" si="149"/>
        <v>January 30 Week 1</v>
      </c>
      <c r="I2835" s="32" t="str">
        <f>CONCATENATE(UPPER(TableAopCalendar[[#This Row],[Month]])," ",TableAopCalendar[[#This Row],[Year]])</f>
        <v>JANUARY 30</v>
      </c>
      <c r="J2835" s="7" t="s">
        <v>274</v>
      </c>
      <c r="K2835" s="32" t="str">
        <f>CONCATENATE(TableAopCalendar[[#This Row],[Month for Plan]]," ",TableAopCalendar[[#This Row],[Plan]])</f>
        <v>JANUARY 30 PLANNED</v>
      </c>
    </row>
    <row r="2836" spans="1:11" x14ac:dyDescent="0.3">
      <c r="A2836" s="32">
        <f t="shared" si="147"/>
        <v>3</v>
      </c>
      <c r="B2836" s="33">
        <v>47486</v>
      </c>
      <c r="C2836" s="6" t="s">
        <v>271</v>
      </c>
      <c r="D2836" s="34">
        <v>30</v>
      </c>
      <c r="E2836" s="32">
        <f>DAY(TableAopCalendar[[#This Row],[Date]])</f>
        <v>3</v>
      </c>
      <c r="F2836" s="32">
        <f>IF(TableAopCalendar[[#This Row],[Day]]&lt;8,1,IF(TableAopCalendar[[#This Row],[Day]]&lt;15,2,IF(TableAopCalendar[[#This Row],[Day]]&lt;22,3,IF(TableAopCalendar[[#This Row],[Day]]&lt;29,4,IF(TableAopCalendar[[#This Row],[Day]]&lt;32,5)))))</f>
        <v>1</v>
      </c>
      <c r="G2836" s="32" t="str">
        <f t="shared" si="148"/>
        <v>Week 1</v>
      </c>
      <c r="H2836" s="32" t="str">
        <f t="shared" si="149"/>
        <v>January 30 Week 1</v>
      </c>
      <c r="I2836" s="32" t="str">
        <f>CONCATENATE(UPPER(TableAopCalendar[[#This Row],[Month]])," ",TableAopCalendar[[#This Row],[Year]])</f>
        <v>JANUARY 30</v>
      </c>
      <c r="J2836" s="7" t="s">
        <v>274</v>
      </c>
      <c r="K2836" s="32" t="str">
        <f>CONCATENATE(TableAopCalendar[[#This Row],[Month for Plan]]," ",TableAopCalendar[[#This Row],[Plan]])</f>
        <v>JANUARY 30 PLANNED</v>
      </c>
    </row>
    <row r="2837" spans="1:11" x14ac:dyDescent="0.3">
      <c r="A2837" s="32">
        <f t="shared" si="147"/>
        <v>4</v>
      </c>
      <c r="B2837" s="33">
        <v>47487</v>
      </c>
      <c r="C2837" s="6" t="s">
        <v>271</v>
      </c>
      <c r="D2837" s="34">
        <v>30</v>
      </c>
      <c r="E2837" s="32">
        <f>DAY(TableAopCalendar[[#This Row],[Date]])</f>
        <v>4</v>
      </c>
      <c r="F2837" s="32">
        <f>IF(TableAopCalendar[[#This Row],[Day]]&lt;8,1,IF(TableAopCalendar[[#This Row],[Day]]&lt;15,2,IF(TableAopCalendar[[#This Row],[Day]]&lt;22,3,IF(TableAopCalendar[[#This Row],[Day]]&lt;29,4,IF(TableAopCalendar[[#This Row],[Day]]&lt;32,5)))))</f>
        <v>1</v>
      </c>
      <c r="G2837" s="32" t="str">
        <f t="shared" si="148"/>
        <v>Week 1</v>
      </c>
      <c r="H2837" s="32" t="str">
        <f t="shared" si="149"/>
        <v>January 30 Week 1</v>
      </c>
      <c r="I2837" s="32" t="str">
        <f>CONCATENATE(UPPER(TableAopCalendar[[#This Row],[Month]])," ",TableAopCalendar[[#This Row],[Year]])</f>
        <v>JANUARY 30</v>
      </c>
      <c r="J2837" s="7" t="s">
        <v>274</v>
      </c>
      <c r="K2837" s="32" t="str">
        <f>CONCATENATE(TableAopCalendar[[#This Row],[Month for Plan]]," ",TableAopCalendar[[#This Row],[Plan]])</f>
        <v>JANUARY 30 PLANNED</v>
      </c>
    </row>
    <row r="2838" spans="1:11" x14ac:dyDescent="0.3">
      <c r="A2838" s="32">
        <f t="shared" si="147"/>
        <v>5</v>
      </c>
      <c r="B2838" s="33">
        <v>47488</v>
      </c>
      <c r="C2838" s="6" t="s">
        <v>271</v>
      </c>
      <c r="D2838" s="34">
        <v>30</v>
      </c>
      <c r="E2838" s="32">
        <f>DAY(TableAopCalendar[[#This Row],[Date]])</f>
        <v>5</v>
      </c>
      <c r="F2838" s="32">
        <f>IF(TableAopCalendar[[#This Row],[Day]]&lt;8,1,IF(TableAopCalendar[[#This Row],[Day]]&lt;15,2,IF(TableAopCalendar[[#This Row],[Day]]&lt;22,3,IF(TableAopCalendar[[#This Row],[Day]]&lt;29,4,IF(TableAopCalendar[[#This Row],[Day]]&lt;32,5)))))</f>
        <v>1</v>
      </c>
      <c r="G2838" s="32" t="str">
        <f t="shared" si="148"/>
        <v>Week 1</v>
      </c>
      <c r="H2838" s="32" t="str">
        <f t="shared" si="149"/>
        <v>January 30 Week 1</v>
      </c>
      <c r="I2838" s="32" t="str">
        <f>CONCATENATE(UPPER(TableAopCalendar[[#This Row],[Month]])," ",TableAopCalendar[[#This Row],[Year]])</f>
        <v>JANUARY 30</v>
      </c>
      <c r="J2838" s="7" t="s">
        <v>274</v>
      </c>
      <c r="K2838" s="32" t="str">
        <f>CONCATENATE(TableAopCalendar[[#This Row],[Month for Plan]]," ",TableAopCalendar[[#This Row],[Plan]])</f>
        <v>JANUARY 30 PLANNED</v>
      </c>
    </row>
    <row r="2839" spans="1:11" x14ac:dyDescent="0.3">
      <c r="A2839" s="32">
        <f t="shared" si="147"/>
        <v>6</v>
      </c>
      <c r="B2839" s="33">
        <v>47489</v>
      </c>
      <c r="C2839" s="6" t="s">
        <v>271</v>
      </c>
      <c r="D2839" s="34">
        <v>30</v>
      </c>
      <c r="E2839" s="32">
        <f>DAY(TableAopCalendar[[#This Row],[Date]])</f>
        <v>6</v>
      </c>
      <c r="F2839" s="32">
        <f>IF(TableAopCalendar[[#This Row],[Day]]&lt;8,1,IF(TableAopCalendar[[#This Row],[Day]]&lt;15,2,IF(TableAopCalendar[[#This Row],[Day]]&lt;22,3,IF(TableAopCalendar[[#This Row],[Day]]&lt;29,4,IF(TableAopCalendar[[#This Row],[Day]]&lt;32,5)))))</f>
        <v>1</v>
      </c>
      <c r="G2839" s="32" t="str">
        <f t="shared" si="148"/>
        <v>Week 1</v>
      </c>
      <c r="H2839" s="32" t="str">
        <f t="shared" si="149"/>
        <v>January 30 Week 1</v>
      </c>
      <c r="I2839" s="32" t="str">
        <f>CONCATENATE(UPPER(TableAopCalendar[[#This Row],[Month]])," ",TableAopCalendar[[#This Row],[Year]])</f>
        <v>JANUARY 30</v>
      </c>
      <c r="J2839" s="7" t="s">
        <v>274</v>
      </c>
      <c r="K2839" s="32" t="str">
        <f>CONCATENATE(TableAopCalendar[[#This Row],[Month for Plan]]," ",TableAopCalendar[[#This Row],[Plan]])</f>
        <v>JANUARY 30 PLANNED</v>
      </c>
    </row>
    <row r="2840" spans="1:11" x14ac:dyDescent="0.3">
      <c r="A2840" s="32">
        <f t="shared" si="147"/>
        <v>7</v>
      </c>
      <c r="B2840" s="33">
        <v>47490</v>
      </c>
      <c r="C2840" s="6" t="s">
        <v>271</v>
      </c>
      <c r="D2840" s="34">
        <v>30</v>
      </c>
      <c r="E2840" s="32">
        <f>DAY(TableAopCalendar[[#This Row],[Date]])</f>
        <v>7</v>
      </c>
      <c r="F2840" s="32">
        <f>IF(TableAopCalendar[[#This Row],[Day]]&lt;8,1,IF(TableAopCalendar[[#This Row],[Day]]&lt;15,2,IF(TableAopCalendar[[#This Row],[Day]]&lt;22,3,IF(TableAopCalendar[[#This Row],[Day]]&lt;29,4,IF(TableAopCalendar[[#This Row],[Day]]&lt;32,5)))))</f>
        <v>1</v>
      </c>
      <c r="G2840" s="32" t="str">
        <f t="shared" si="148"/>
        <v>Week 1</v>
      </c>
      <c r="H2840" s="32" t="str">
        <f t="shared" si="149"/>
        <v>January 30 Week 1</v>
      </c>
      <c r="I2840" s="32" t="str">
        <f>CONCATENATE(UPPER(TableAopCalendar[[#This Row],[Month]])," ",TableAopCalendar[[#This Row],[Year]])</f>
        <v>JANUARY 30</v>
      </c>
      <c r="J2840" s="7" t="s">
        <v>274</v>
      </c>
      <c r="K2840" s="32" t="str">
        <f>CONCATENATE(TableAopCalendar[[#This Row],[Month for Plan]]," ",TableAopCalendar[[#This Row],[Plan]])</f>
        <v>JANUARY 30 PLANNED</v>
      </c>
    </row>
    <row r="2841" spans="1:11" x14ac:dyDescent="0.3">
      <c r="A2841" s="32">
        <f t="shared" si="147"/>
        <v>1</v>
      </c>
      <c r="B2841" s="33">
        <v>47491</v>
      </c>
      <c r="C2841" s="6" t="s">
        <v>271</v>
      </c>
      <c r="D2841" s="34">
        <v>30</v>
      </c>
      <c r="E2841" s="32">
        <f>DAY(TableAopCalendar[[#This Row],[Date]])</f>
        <v>8</v>
      </c>
      <c r="F2841" s="32">
        <f>IF(TableAopCalendar[[#This Row],[Day]]&lt;8,1,IF(TableAopCalendar[[#This Row],[Day]]&lt;15,2,IF(TableAopCalendar[[#This Row],[Day]]&lt;22,3,IF(TableAopCalendar[[#This Row],[Day]]&lt;29,4,IF(TableAopCalendar[[#This Row],[Day]]&lt;32,5)))))</f>
        <v>2</v>
      </c>
      <c r="G2841" s="32" t="str">
        <f t="shared" si="148"/>
        <v>Week 2</v>
      </c>
      <c r="H2841" s="32" t="str">
        <f t="shared" si="149"/>
        <v>January 30 Week 2</v>
      </c>
      <c r="I2841" s="32" t="str">
        <f>CONCATENATE(UPPER(TableAopCalendar[[#This Row],[Month]])," ",TableAopCalendar[[#This Row],[Year]])</f>
        <v>JANUARY 30</v>
      </c>
      <c r="J2841" s="7" t="s">
        <v>274</v>
      </c>
      <c r="K2841" s="32" t="str">
        <f>CONCATENATE(TableAopCalendar[[#This Row],[Month for Plan]]," ",TableAopCalendar[[#This Row],[Plan]])</f>
        <v>JANUARY 30 PLANNED</v>
      </c>
    </row>
    <row r="2842" spans="1:11" x14ac:dyDescent="0.3">
      <c r="A2842" s="32">
        <f t="shared" si="147"/>
        <v>2</v>
      </c>
      <c r="B2842" s="33">
        <v>47492</v>
      </c>
      <c r="C2842" s="6" t="s">
        <v>271</v>
      </c>
      <c r="D2842" s="34">
        <v>30</v>
      </c>
      <c r="E2842" s="32">
        <f>DAY(TableAopCalendar[[#This Row],[Date]])</f>
        <v>9</v>
      </c>
      <c r="F2842" s="32">
        <f>IF(TableAopCalendar[[#This Row],[Day]]&lt;8,1,IF(TableAopCalendar[[#This Row],[Day]]&lt;15,2,IF(TableAopCalendar[[#This Row],[Day]]&lt;22,3,IF(TableAopCalendar[[#This Row],[Day]]&lt;29,4,IF(TableAopCalendar[[#This Row],[Day]]&lt;32,5)))))</f>
        <v>2</v>
      </c>
      <c r="G2842" s="32" t="str">
        <f t="shared" si="148"/>
        <v>Week 2</v>
      </c>
      <c r="H2842" s="32" t="str">
        <f t="shared" si="149"/>
        <v>January 30 Week 2</v>
      </c>
      <c r="I2842" s="32" t="str">
        <f>CONCATENATE(UPPER(TableAopCalendar[[#This Row],[Month]])," ",TableAopCalendar[[#This Row],[Year]])</f>
        <v>JANUARY 30</v>
      </c>
      <c r="J2842" s="7" t="s">
        <v>274</v>
      </c>
      <c r="K2842" s="32" t="str">
        <f>CONCATENATE(TableAopCalendar[[#This Row],[Month for Plan]]," ",TableAopCalendar[[#This Row],[Plan]])</f>
        <v>JANUARY 30 PLANNED</v>
      </c>
    </row>
    <row r="2843" spans="1:11" x14ac:dyDescent="0.3">
      <c r="A2843" s="32">
        <f t="shared" si="147"/>
        <v>3</v>
      </c>
      <c r="B2843" s="33">
        <v>47493</v>
      </c>
      <c r="C2843" s="6" t="s">
        <v>271</v>
      </c>
      <c r="D2843" s="34">
        <v>30</v>
      </c>
      <c r="E2843" s="32">
        <f>DAY(TableAopCalendar[[#This Row],[Date]])</f>
        <v>10</v>
      </c>
      <c r="F2843" s="32">
        <f>IF(TableAopCalendar[[#This Row],[Day]]&lt;8,1,IF(TableAopCalendar[[#This Row],[Day]]&lt;15,2,IF(TableAopCalendar[[#This Row],[Day]]&lt;22,3,IF(TableAopCalendar[[#This Row],[Day]]&lt;29,4,IF(TableAopCalendar[[#This Row],[Day]]&lt;32,5)))))</f>
        <v>2</v>
      </c>
      <c r="G2843" s="32" t="str">
        <f t="shared" si="148"/>
        <v>Week 2</v>
      </c>
      <c r="H2843" s="32" t="str">
        <f t="shared" si="149"/>
        <v>January 30 Week 2</v>
      </c>
      <c r="I2843" s="32" t="str">
        <f>CONCATENATE(UPPER(TableAopCalendar[[#This Row],[Month]])," ",TableAopCalendar[[#This Row],[Year]])</f>
        <v>JANUARY 30</v>
      </c>
      <c r="J2843" s="7" t="s">
        <v>274</v>
      </c>
      <c r="K2843" s="32" t="str">
        <f>CONCATENATE(TableAopCalendar[[#This Row],[Month for Plan]]," ",TableAopCalendar[[#This Row],[Plan]])</f>
        <v>JANUARY 30 PLANNED</v>
      </c>
    </row>
    <row r="2844" spans="1:11" x14ac:dyDescent="0.3">
      <c r="A2844" s="32">
        <f t="shared" si="147"/>
        <v>4</v>
      </c>
      <c r="B2844" s="33">
        <v>47494</v>
      </c>
      <c r="C2844" s="6" t="s">
        <v>271</v>
      </c>
      <c r="D2844" s="34">
        <v>30</v>
      </c>
      <c r="E2844" s="32">
        <f>DAY(TableAopCalendar[[#This Row],[Date]])</f>
        <v>11</v>
      </c>
      <c r="F2844" s="32">
        <f>IF(TableAopCalendar[[#This Row],[Day]]&lt;8,1,IF(TableAopCalendar[[#This Row],[Day]]&lt;15,2,IF(TableAopCalendar[[#This Row],[Day]]&lt;22,3,IF(TableAopCalendar[[#This Row],[Day]]&lt;29,4,IF(TableAopCalendar[[#This Row],[Day]]&lt;32,5)))))</f>
        <v>2</v>
      </c>
      <c r="G2844" s="32" t="str">
        <f t="shared" si="148"/>
        <v>Week 2</v>
      </c>
      <c r="H2844" s="32" t="str">
        <f t="shared" si="149"/>
        <v>January 30 Week 2</v>
      </c>
      <c r="I2844" s="32" t="str">
        <f>CONCATENATE(UPPER(TableAopCalendar[[#This Row],[Month]])," ",TableAopCalendar[[#This Row],[Year]])</f>
        <v>JANUARY 30</v>
      </c>
      <c r="J2844" s="7" t="s">
        <v>274</v>
      </c>
      <c r="K2844" s="32" t="str">
        <f>CONCATENATE(TableAopCalendar[[#This Row],[Month for Plan]]," ",TableAopCalendar[[#This Row],[Plan]])</f>
        <v>JANUARY 30 PLANNED</v>
      </c>
    </row>
    <row r="2845" spans="1:11" x14ac:dyDescent="0.3">
      <c r="A2845" s="32">
        <f t="shared" si="147"/>
        <v>5</v>
      </c>
      <c r="B2845" s="33">
        <v>47495</v>
      </c>
      <c r="C2845" s="6" t="s">
        <v>271</v>
      </c>
      <c r="D2845" s="34">
        <v>30</v>
      </c>
      <c r="E2845" s="32">
        <f>DAY(TableAopCalendar[[#This Row],[Date]])</f>
        <v>12</v>
      </c>
      <c r="F2845" s="32">
        <f>IF(TableAopCalendar[[#This Row],[Day]]&lt;8,1,IF(TableAopCalendar[[#This Row],[Day]]&lt;15,2,IF(TableAopCalendar[[#This Row],[Day]]&lt;22,3,IF(TableAopCalendar[[#This Row],[Day]]&lt;29,4,IF(TableAopCalendar[[#This Row],[Day]]&lt;32,5)))))</f>
        <v>2</v>
      </c>
      <c r="G2845" s="32" t="str">
        <f t="shared" si="148"/>
        <v>Week 2</v>
      </c>
      <c r="H2845" s="32" t="str">
        <f t="shared" si="149"/>
        <v>January 30 Week 2</v>
      </c>
      <c r="I2845" s="32" t="str">
        <f>CONCATENATE(UPPER(TableAopCalendar[[#This Row],[Month]])," ",TableAopCalendar[[#This Row],[Year]])</f>
        <v>JANUARY 30</v>
      </c>
      <c r="J2845" s="7" t="s">
        <v>274</v>
      </c>
      <c r="K2845" s="32" t="str">
        <f>CONCATENATE(TableAopCalendar[[#This Row],[Month for Plan]]," ",TableAopCalendar[[#This Row],[Plan]])</f>
        <v>JANUARY 30 PLANNED</v>
      </c>
    </row>
    <row r="2846" spans="1:11" x14ac:dyDescent="0.3">
      <c r="A2846" s="32">
        <f t="shared" si="147"/>
        <v>6</v>
      </c>
      <c r="B2846" s="33">
        <v>47496</v>
      </c>
      <c r="C2846" s="6" t="s">
        <v>271</v>
      </c>
      <c r="D2846" s="34">
        <v>30</v>
      </c>
      <c r="E2846" s="32">
        <f>DAY(TableAopCalendar[[#This Row],[Date]])</f>
        <v>13</v>
      </c>
      <c r="F2846" s="32">
        <f>IF(TableAopCalendar[[#This Row],[Day]]&lt;8,1,IF(TableAopCalendar[[#This Row],[Day]]&lt;15,2,IF(TableAopCalendar[[#This Row],[Day]]&lt;22,3,IF(TableAopCalendar[[#This Row],[Day]]&lt;29,4,IF(TableAopCalendar[[#This Row],[Day]]&lt;32,5)))))</f>
        <v>2</v>
      </c>
      <c r="G2846" s="32" t="str">
        <f t="shared" si="148"/>
        <v>Week 2</v>
      </c>
      <c r="H2846" s="32" t="str">
        <f t="shared" si="149"/>
        <v>January 30 Week 2</v>
      </c>
      <c r="I2846" s="32" t="str">
        <f>CONCATENATE(UPPER(TableAopCalendar[[#This Row],[Month]])," ",TableAopCalendar[[#This Row],[Year]])</f>
        <v>JANUARY 30</v>
      </c>
      <c r="J2846" s="7" t="s">
        <v>274</v>
      </c>
      <c r="K2846" s="32" t="str">
        <f>CONCATENATE(TableAopCalendar[[#This Row],[Month for Plan]]," ",TableAopCalendar[[#This Row],[Plan]])</f>
        <v>JANUARY 30 PLANNED</v>
      </c>
    </row>
    <row r="2847" spans="1:11" x14ac:dyDescent="0.3">
      <c r="A2847" s="32">
        <f t="shared" si="147"/>
        <v>7</v>
      </c>
      <c r="B2847" s="33">
        <v>47497</v>
      </c>
      <c r="C2847" s="6" t="s">
        <v>271</v>
      </c>
      <c r="D2847" s="34">
        <v>30</v>
      </c>
      <c r="E2847" s="32">
        <f>DAY(TableAopCalendar[[#This Row],[Date]])</f>
        <v>14</v>
      </c>
      <c r="F2847" s="32">
        <f>IF(TableAopCalendar[[#This Row],[Day]]&lt;8,1,IF(TableAopCalendar[[#This Row],[Day]]&lt;15,2,IF(TableAopCalendar[[#This Row],[Day]]&lt;22,3,IF(TableAopCalendar[[#This Row],[Day]]&lt;29,4,IF(TableAopCalendar[[#This Row],[Day]]&lt;32,5)))))</f>
        <v>2</v>
      </c>
      <c r="G2847" s="32" t="str">
        <f t="shared" si="148"/>
        <v>Week 2</v>
      </c>
      <c r="H2847" s="32" t="str">
        <f t="shared" si="149"/>
        <v>January 30 Week 2</v>
      </c>
      <c r="I2847" s="32" t="str">
        <f>CONCATENATE(UPPER(TableAopCalendar[[#This Row],[Month]])," ",TableAopCalendar[[#This Row],[Year]])</f>
        <v>JANUARY 30</v>
      </c>
      <c r="J2847" s="7" t="s">
        <v>274</v>
      </c>
      <c r="K2847" s="32" t="str">
        <f>CONCATENATE(TableAopCalendar[[#This Row],[Month for Plan]]," ",TableAopCalendar[[#This Row],[Plan]])</f>
        <v>JANUARY 30 PLANNED</v>
      </c>
    </row>
    <row r="2848" spans="1:11" x14ac:dyDescent="0.3">
      <c r="A2848" s="32">
        <f t="shared" si="147"/>
        <v>1</v>
      </c>
      <c r="B2848" s="33">
        <v>47498</v>
      </c>
      <c r="C2848" s="6" t="s">
        <v>271</v>
      </c>
      <c r="D2848" s="34">
        <v>30</v>
      </c>
      <c r="E2848" s="32">
        <f>DAY(TableAopCalendar[[#This Row],[Date]])</f>
        <v>15</v>
      </c>
      <c r="F2848" s="32">
        <f>IF(TableAopCalendar[[#This Row],[Day]]&lt;8,1,IF(TableAopCalendar[[#This Row],[Day]]&lt;15,2,IF(TableAopCalendar[[#This Row],[Day]]&lt;22,3,IF(TableAopCalendar[[#This Row],[Day]]&lt;29,4,IF(TableAopCalendar[[#This Row],[Day]]&lt;32,5)))))</f>
        <v>3</v>
      </c>
      <c r="G2848" s="32" t="str">
        <f t="shared" si="148"/>
        <v>Week 3</v>
      </c>
      <c r="H2848" s="32" t="str">
        <f t="shared" si="149"/>
        <v>January 30 Week 3</v>
      </c>
      <c r="I2848" s="32" t="str">
        <f>CONCATENATE(UPPER(TableAopCalendar[[#This Row],[Month]])," ",TableAopCalendar[[#This Row],[Year]])</f>
        <v>JANUARY 30</v>
      </c>
      <c r="J2848" s="7" t="s">
        <v>274</v>
      </c>
      <c r="K2848" s="32" t="str">
        <f>CONCATENATE(TableAopCalendar[[#This Row],[Month for Plan]]," ",TableAopCalendar[[#This Row],[Plan]])</f>
        <v>JANUARY 30 PLANNED</v>
      </c>
    </row>
    <row r="2849" spans="1:11" x14ac:dyDescent="0.3">
      <c r="A2849" s="32">
        <f t="shared" si="147"/>
        <v>2</v>
      </c>
      <c r="B2849" s="33">
        <v>47499</v>
      </c>
      <c r="C2849" s="6" t="s">
        <v>271</v>
      </c>
      <c r="D2849" s="34">
        <v>30</v>
      </c>
      <c r="E2849" s="32">
        <f>DAY(TableAopCalendar[[#This Row],[Date]])</f>
        <v>16</v>
      </c>
      <c r="F2849" s="32">
        <f>IF(TableAopCalendar[[#This Row],[Day]]&lt;8,1,IF(TableAopCalendar[[#This Row],[Day]]&lt;15,2,IF(TableAopCalendar[[#This Row],[Day]]&lt;22,3,IF(TableAopCalendar[[#This Row],[Day]]&lt;29,4,IF(TableAopCalendar[[#This Row],[Day]]&lt;32,5)))))</f>
        <v>3</v>
      </c>
      <c r="G2849" s="32" t="str">
        <f t="shared" si="148"/>
        <v>Week 3</v>
      </c>
      <c r="H2849" s="32" t="str">
        <f t="shared" si="149"/>
        <v>January 30 Week 3</v>
      </c>
      <c r="I2849" s="32" t="str">
        <f>CONCATENATE(UPPER(TableAopCalendar[[#This Row],[Month]])," ",TableAopCalendar[[#This Row],[Year]])</f>
        <v>JANUARY 30</v>
      </c>
      <c r="J2849" s="7" t="s">
        <v>274</v>
      </c>
      <c r="K2849" s="32" t="str">
        <f>CONCATENATE(TableAopCalendar[[#This Row],[Month for Plan]]," ",TableAopCalendar[[#This Row],[Plan]])</f>
        <v>JANUARY 30 PLANNED</v>
      </c>
    </row>
    <row r="2850" spans="1:11" x14ac:dyDescent="0.3">
      <c r="A2850" s="32">
        <f t="shared" si="147"/>
        <v>3</v>
      </c>
      <c r="B2850" s="33">
        <v>47500</v>
      </c>
      <c r="C2850" s="6" t="s">
        <v>271</v>
      </c>
      <c r="D2850" s="34">
        <v>30</v>
      </c>
      <c r="E2850" s="32">
        <f>DAY(TableAopCalendar[[#This Row],[Date]])</f>
        <v>17</v>
      </c>
      <c r="F2850" s="32">
        <f>IF(TableAopCalendar[[#This Row],[Day]]&lt;8,1,IF(TableAopCalendar[[#This Row],[Day]]&lt;15,2,IF(TableAopCalendar[[#This Row],[Day]]&lt;22,3,IF(TableAopCalendar[[#This Row],[Day]]&lt;29,4,IF(TableAopCalendar[[#This Row],[Day]]&lt;32,5)))))</f>
        <v>3</v>
      </c>
      <c r="G2850" s="32" t="str">
        <f t="shared" si="148"/>
        <v>Week 3</v>
      </c>
      <c r="H2850" s="32" t="str">
        <f t="shared" si="149"/>
        <v>January 30 Week 3</v>
      </c>
      <c r="I2850" s="32" t="str">
        <f>CONCATENATE(UPPER(TableAopCalendar[[#This Row],[Month]])," ",TableAopCalendar[[#This Row],[Year]])</f>
        <v>JANUARY 30</v>
      </c>
      <c r="J2850" s="7" t="s">
        <v>274</v>
      </c>
      <c r="K2850" s="32" t="str">
        <f>CONCATENATE(TableAopCalendar[[#This Row],[Month for Plan]]," ",TableAopCalendar[[#This Row],[Plan]])</f>
        <v>JANUARY 30 PLANNED</v>
      </c>
    </row>
    <row r="2851" spans="1:11" x14ac:dyDescent="0.3">
      <c r="A2851" s="32">
        <f t="shared" si="147"/>
        <v>4</v>
      </c>
      <c r="B2851" s="33">
        <v>47501</v>
      </c>
      <c r="C2851" s="6" t="s">
        <v>271</v>
      </c>
      <c r="D2851" s="34">
        <v>30</v>
      </c>
      <c r="E2851" s="32">
        <f>DAY(TableAopCalendar[[#This Row],[Date]])</f>
        <v>18</v>
      </c>
      <c r="F2851" s="32">
        <f>IF(TableAopCalendar[[#This Row],[Day]]&lt;8,1,IF(TableAopCalendar[[#This Row],[Day]]&lt;15,2,IF(TableAopCalendar[[#This Row],[Day]]&lt;22,3,IF(TableAopCalendar[[#This Row],[Day]]&lt;29,4,IF(TableAopCalendar[[#This Row],[Day]]&lt;32,5)))))</f>
        <v>3</v>
      </c>
      <c r="G2851" s="32" t="str">
        <f t="shared" si="148"/>
        <v>Week 3</v>
      </c>
      <c r="H2851" s="32" t="str">
        <f t="shared" si="149"/>
        <v>January 30 Week 3</v>
      </c>
      <c r="I2851" s="32" t="str">
        <f>CONCATENATE(UPPER(TableAopCalendar[[#This Row],[Month]])," ",TableAopCalendar[[#This Row],[Year]])</f>
        <v>JANUARY 30</v>
      </c>
      <c r="J2851" s="7" t="s">
        <v>274</v>
      </c>
      <c r="K2851" s="32" t="str">
        <f>CONCATENATE(TableAopCalendar[[#This Row],[Month for Plan]]," ",TableAopCalendar[[#This Row],[Plan]])</f>
        <v>JANUARY 30 PLANNED</v>
      </c>
    </row>
    <row r="2852" spans="1:11" x14ac:dyDescent="0.3">
      <c r="A2852" s="32">
        <f t="shared" ref="A2852:A2915" si="150">IF(G2852=G2851,A2851+1,1)</f>
        <v>5</v>
      </c>
      <c r="B2852" s="33">
        <v>47502</v>
      </c>
      <c r="C2852" s="6" t="s">
        <v>271</v>
      </c>
      <c r="D2852" s="34">
        <v>30</v>
      </c>
      <c r="E2852" s="32">
        <f>DAY(TableAopCalendar[[#This Row],[Date]])</f>
        <v>19</v>
      </c>
      <c r="F2852" s="32">
        <f>IF(TableAopCalendar[[#This Row],[Day]]&lt;8,1,IF(TableAopCalendar[[#This Row],[Day]]&lt;15,2,IF(TableAopCalendar[[#This Row],[Day]]&lt;22,3,IF(TableAopCalendar[[#This Row],[Day]]&lt;29,4,IF(TableAopCalendar[[#This Row],[Day]]&lt;32,5)))))</f>
        <v>3</v>
      </c>
      <c r="G2852" s="32" t="str">
        <f t="shared" ref="G2852:G2915" si="151">"Week"&amp;" "&amp;F2852</f>
        <v>Week 3</v>
      </c>
      <c r="H2852" s="32" t="str">
        <f t="shared" ref="H2852:H2915" si="152">CONCATENATE(C2852," ",D2852," ",G2852)</f>
        <v>January 30 Week 3</v>
      </c>
      <c r="I2852" s="32" t="str">
        <f>CONCATENATE(UPPER(TableAopCalendar[[#This Row],[Month]])," ",TableAopCalendar[[#This Row],[Year]])</f>
        <v>JANUARY 30</v>
      </c>
      <c r="J2852" s="7" t="s">
        <v>274</v>
      </c>
      <c r="K2852" s="32" t="str">
        <f>CONCATENATE(TableAopCalendar[[#This Row],[Month for Plan]]," ",TableAopCalendar[[#This Row],[Plan]])</f>
        <v>JANUARY 30 PLANNED</v>
      </c>
    </row>
    <row r="2853" spans="1:11" x14ac:dyDescent="0.3">
      <c r="A2853" s="32">
        <f t="shared" si="150"/>
        <v>6</v>
      </c>
      <c r="B2853" s="33">
        <v>47503</v>
      </c>
      <c r="C2853" s="6" t="s">
        <v>271</v>
      </c>
      <c r="D2853" s="34">
        <v>30</v>
      </c>
      <c r="E2853" s="32">
        <f>DAY(TableAopCalendar[[#This Row],[Date]])</f>
        <v>20</v>
      </c>
      <c r="F2853" s="32">
        <f>IF(TableAopCalendar[[#This Row],[Day]]&lt;8,1,IF(TableAopCalendar[[#This Row],[Day]]&lt;15,2,IF(TableAopCalendar[[#This Row],[Day]]&lt;22,3,IF(TableAopCalendar[[#This Row],[Day]]&lt;29,4,IF(TableAopCalendar[[#This Row],[Day]]&lt;32,5)))))</f>
        <v>3</v>
      </c>
      <c r="G2853" s="32" t="str">
        <f t="shared" si="151"/>
        <v>Week 3</v>
      </c>
      <c r="H2853" s="32" t="str">
        <f t="shared" si="152"/>
        <v>January 30 Week 3</v>
      </c>
      <c r="I2853" s="32" t="str">
        <f>CONCATENATE(UPPER(TableAopCalendar[[#This Row],[Month]])," ",TableAopCalendar[[#This Row],[Year]])</f>
        <v>JANUARY 30</v>
      </c>
      <c r="J2853" s="7" t="s">
        <v>274</v>
      </c>
      <c r="K2853" s="32" t="str">
        <f>CONCATENATE(TableAopCalendar[[#This Row],[Month for Plan]]," ",TableAopCalendar[[#This Row],[Plan]])</f>
        <v>JANUARY 30 PLANNED</v>
      </c>
    </row>
    <row r="2854" spans="1:11" x14ac:dyDescent="0.3">
      <c r="A2854" s="32">
        <f t="shared" si="150"/>
        <v>7</v>
      </c>
      <c r="B2854" s="33">
        <v>47504</v>
      </c>
      <c r="C2854" s="6" t="s">
        <v>271</v>
      </c>
      <c r="D2854" s="34">
        <v>30</v>
      </c>
      <c r="E2854" s="32">
        <f>DAY(TableAopCalendar[[#This Row],[Date]])</f>
        <v>21</v>
      </c>
      <c r="F2854" s="32">
        <f>IF(TableAopCalendar[[#This Row],[Day]]&lt;8,1,IF(TableAopCalendar[[#This Row],[Day]]&lt;15,2,IF(TableAopCalendar[[#This Row],[Day]]&lt;22,3,IF(TableAopCalendar[[#This Row],[Day]]&lt;29,4,IF(TableAopCalendar[[#This Row],[Day]]&lt;32,5)))))</f>
        <v>3</v>
      </c>
      <c r="G2854" s="32" t="str">
        <f t="shared" si="151"/>
        <v>Week 3</v>
      </c>
      <c r="H2854" s="32" t="str">
        <f t="shared" si="152"/>
        <v>January 30 Week 3</v>
      </c>
      <c r="I2854" s="32" t="str">
        <f>CONCATENATE(UPPER(TableAopCalendar[[#This Row],[Month]])," ",TableAopCalendar[[#This Row],[Year]])</f>
        <v>JANUARY 30</v>
      </c>
      <c r="J2854" s="7" t="s">
        <v>274</v>
      </c>
      <c r="K2854" s="32" t="str">
        <f>CONCATENATE(TableAopCalendar[[#This Row],[Month for Plan]]," ",TableAopCalendar[[#This Row],[Plan]])</f>
        <v>JANUARY 30 PLANNED</v>
      </c>
    </row>
    <row r="2855" spans="1:11" x14ac:dyDescent="0.3">
      <c r="A2855" s="32">
        <f t="shared" si="150"/>
        <v>1</v>
      </c>
      <c r="B2855" s="33">
        <v>47505</v>
      </c>
      <c r="C2855" s="6" t="s">
        <v>271</v>
      </c>
      <c r="D2855" s="34">
        <v>30</v>
      </c>
      <c r="E2855" s="32">
        <f>DAY(TableAopCalendar[[#This Row],[Date]])</f>
        <v>22</v>
      </c>
      <c r="F2855" s="32">
        <f>IF(TableAopCalendar[[#This Row],[Day]]&lt;8,1,IF(TableAopCalendar[[#This Row],[Day]]&lt;15,2,IF(TableAopCalendar[[#This Row],[Day]]&lt;22,3,IF(TableAopCalendar[[#This Row],[Day]]&lt;29,4,IF(TableAopCalendar[[#This Row],[Day]]&lt;32,5)))))</f>
        <v>4</v>
      </c>
      <c r="G2855" s="32" t="str">
        <f t="shared" si="151"/>
        <v>Week 4</v>
      </c>
      <c r="H2855" s="32" t="str">
        <f t="shared" si="152"/>
        <v>January 30 Week 4</v>
      </c>
      <c r="I2855" s="32" t="str">
        <f>CONCATENATE(UPPER(TableAopCalendar[[#This Row],[Month]])," ",TableAopCalendar[[#This Row],[Year]])</f>
        <v>JANUARY 30</v>
      </c>
      <c r="J2855" s="7" t="s">
        <v>274</v>
      </c>
      <c r="K2855" s="32" t="str">
        <f>CONCATENATE(TableAopCalendar[[#This Row],[Month for Plan]]," ",TableAopCalendar[[#This Row],[Plan]])</f>
        <v>JANUARY 30 PLANNED</v>
      </c>
    </row>
    <row r="2856" spans="1:11" x14ac:dyDescent="0.3">
      <c r="A2856" s="32">
        <f t="shared" si="150"/>
        <v>2</v>
      </c>
      <c r="B2856" s="33">
        <v>47506</v>
      </c>
      <c r="C2856" s="6" t="s">
        <v>271</v>
      </c>
      <c r="D2856" s="34">
        <v>30</v>
      </c>
      <c r="E2856" s="32">
        <f>DAY(TableAopCalendar[[#This Row],[Date]])</f>
        <v>23</v>
      </c>
      <c r="F2856" s="32">
        <f>IF(TableAopCalendar[[#This Row],[Day]]&lt;8,1,IF(TableAopCalendar[[#This Row],[Day]]&lt;15,2,IF(TableAopCalendar[[#This Row],[Day]]&lt;22,3,IF(TableAopCalendar[[#This Row],[Day]]&lt;29,4,IF(TableAopCalendar[[#This Row],[Day]]&lt;32,5)))))</f>
        <v>4</v>
      </c>
      <c r="G2856" s="32" t="str">
        <f t="shared" si="151"/>
        <v>Week 4</v>
      </c>
      <c r="H2856" s="32" t="str">
        <f t="shared" si="152"/>
        <v>January 30 Week 4</v>
      </c>
      <c r="I2856" s="32" t="str">
        <f>CONCATENATE(UPPER(TableAopCalendar[[#This Row],[Month]])," ",TableAopCalendar[[#This Row],[Year]])</f>
        <v>JANUARY 30</v>
      </c>
      <c r="J2856" s="7" t="s">
        <v>274</v>
      </c>
      <c r="K2856" s="32" t="str">
        <f>CONCATENATE(TableAopCalendar[[#This Row],[Month for Plan]]," ",TableAopCalendar[[#This Row],[Plan]])</f>
        <v>JANUARY 30 PLANNED</v>
      </c>
    </row>
    <row r="2857" spans="1:11" x14ac:dyDescent="0.3">
      <c r="A2857" s="32">
        <f t="shared" si="150"/>
        <v>3</v>
      </c>
      <c r="B2857" s="33">
        <v>47507</v>
      </c>
      <c r="C2857" s="6" t="s">
        <v>271</v>
      </c>
      <c r="D2857" s="34">
        <v>30</v>
      </c>
      <c r="E2857" s="32">
        <f>DAY(TableAopCalendar[[#This Row],[Date]])</f>
        <v>24</v>
      </c>
      <c r="F2857" s="32">
        <f>IF(TableAopCalendar[[#This Row],[Day]]&lt;8,1,IF(TableAopCalendar[[#This Row],[Day]]&lt;15,2,IF(TableAopCalendar[[#This Row],[Day]]&lt;22,3,IF(TableAopCalendar[[#This Row],[Day]]&lt;29,4,IF(TableAopCalendar[[#This Row],[Day]]&lt;32,5)))))</f>
        <v>4</v>
      </c>
      <c r="G2857" s="32" t="str">
        <f t="shared" si="151"/>
        <v>Week 4</v>
      </c>
      <c r="H2857" s="32" t="str">
        <f t="shared" si="152"/>
        <v>January 30 Week 4</v>
      </c>
      <c r="I2857" s="32" t="str">
        <f>CONCATENATE(UPPER(TableAopCalendar[[#This Row],[Month]])," ",TableAopCalendar[[#This Row],[Year]])</f>
        <v>JANUARY 30</v>
      </c>
      <c r="J2857" s="7" t="s">
        <v>274</v>
      </c>
      <c r="K2857" s="32" t="str">
        <f>CONCATENATE(TableAopCalendar[[#This Row],[Month for Plan]]," ",TableAopCalendar[[#This Row],[Plan]])</f>
        <v>JANUARY 30 PLANNED</v>
      </c>
    </row>
    <row r="2858" spans="1:11" x14ac:dyDescent="0.3">
      <c r="A2858" s="32">
        <f t="shared" si="150"/>
        <v>4</v>
      </c>
      <c r="B2858" s="33">
        <v>47508</v>
      </c>
      <c r="C2858" s="6" t="s">
        <v>271</v>
      </c>
      <c r="D2858" s="34">
        <v>30</v>
      </c>
      <c r="E2858" s="32">
        <f>DAY(TableAopCalendar[[#This Row],[Date]])</f>
        <v>25</v>
      </c>
      <c r="F2858" s="32">
        <f>IF(TableAopCalendar[[#This Row],[Day]]&lt;8,1,IF(TableAopCalendar[[#This Row],[Day]]&lt;15,2,IF(TableAopCalendar[[#This Row],[Day]]&lt;22,3,IF(TableAopCalendar[[#This Row],[Day]]&lt;29,4,IF(TableAopCalendar[[#This Row],[Day]]&lt;32,5)))))</f>
        <v>4</v>
      </c>
      <c r="G2858" s="32" t="str">
        <f t="shared" si="151"/>
        <v>Week 4</v>
      </c>
      <c r="H2858" s="32" t="str">
        <f t="shared" si="152"/>
        <v>January 30 Week 4</v>
      </c>
      <c r="I2858" s="32" t="str">
        <f>CONCATENATE(UPPER(TableAopCalendar[[#This Row],[Month]])," ",TableAopCalendar[[#This Row],[Year]])</f>
        <v>JANUARY 30</v>
      </c>
      <c r="J2858" s="7" t="s">
        <v>274</v>
      </c>
      <c r="K2858" s="32" t="str">
        <f>CONCATENATE(TableAopCalendar[[#This Row],[Month for Plan]]," ",TableAopCalendar[[#This Row],[Plan]])</f>
        <v>JANUARY 30 PLANNED</v>
      </c>
    </row>
    <row r="2859" spans="1:11" x14ac:dyDescent="0.3">
      <c r="A2859" s="32">
        <f t="shared" si="150"/>
        <v>5</v>
      </c>
      <c r="B2859" s="33">
        <v>47509</v>
      </c>
      <c r="C2859" s="6" t="s">
        <v>271</v>
      </c>
      <c r="D2859" s="34">
        <v>30</v>
      </c>
      <c r="E2859" s="32">
        <f>DAY(TableAopCalendar[[#This Row],[Date]])</f>
        <v>26</v>
      </c>
      <c r="F2859" s="32">
        <f>IF(TableAopCalendar[[#This Row],[Day]]&lt;8,1,IF(TableAopCalendar[[#This Row],[Day]]&lt;15,2,IF(TableAopCalendar[[#This Row],[Day]]&lt;22,3,IF(TableAopCalendar[[#This Row],[Day]]&lt;29,4,IF(TableAopCalendar[[#This Row],[Day]]&lt;32,5)))))</f>
        <v>4</v>
      </c>
      <c r="G2859" s="32" t="str">
        <f t="shared" si="151"/>
        <v>Week 4</v>
      </c>
      <c r="H2859" s="32" t="str">
        <f t="shared" si="152"/>
        <v>January 30 Week 4</v>
      </c>
      <c r="I2859" s="32" t="str">
        <f>CONCATENATE(UPPER(TableAopCalendar[[#This Row],[Month]])," ",TableAopCalendar[[#This Row],[Year]])</f>
        <v>JANUARY 30</v>
      </c>
      <c r="J2859" s="7" t="s">
        <v>274</v>
      </c>
      <c r="K2859" s="32" t="str">
        <f>CONCATENATE(TableAopCalendar[[#This Row],[Month for Plan]]," ",TableAopCalendar[[#This Row],[Plan]])</f>
        <v>JANUARY 30 PLANNED</v>
      </c>
    </row>
    <row r="2860" spans="1:11" x14ac:dyDescent="0.3">
      <c r="A2860" s="32">
        <f t="shared" si="150"/>
        <v>6</v>
      </c>
      <c r="B2860" s="33">
        <v>47510</v>
      </c>
      <c r="C2860" s="6" t="s">
        <v>271</v>
      </c>
      <c r="D2860" s="34">
        <v>30</v>
      </c>
      <c r="E2860" s="32">
        <f>DAY(TableAopCalendar[[#This Row],[Date]])</f>
        <v>27</v>
      </c>
      <c r="F2860" s="32">
        <f>IF(TableAopCalendar[[#This Row],[Day]]&lt;8,1,IF(TableAopCalendar[[#This Row],[Day]]&lt;15,2,IF(TableAopCalendar[[#This Row],[Day]]&lt;22,3,IF(TableAopCalendar[[#This Row],[Day]]&lt;29,4,IF(TableAopCalendar[[#This Row],[Day]]&lt;32,5)))))</f>
        <v>4</v>
      </c>
      <c r="G2860" s="32" t="str">
        <f t="shared" si="151"/>
        <v>Week 4</v>
      </c>
      <c r="H2860" s="32" t="str">
        <f t="shared" si="152"/>
        <v>January 30 Week 4</v>
      </c>
      <c r="I2860" s="32" t="str">
        <f>CONCATENATE(UPPER(TableAopCalendar[[#This Row],[Month]])," ",TableAopCalendar[[#This Row],[Year]])</f>
        <v>JANUARY 30</v>
      </c>
      <c r="J2860" s="7" t="s">
        <v>274</v>
      </c>
      <c r="K2860" s="32" t="str">
        <f>CONCATENATE(TableAopCalendar[[#This Row],[Month for Plan]]," ",TableAopCalendar[[#This Row],[Plan]])</f>
        <v>JANUARY 30 PLANNED</v>
      </c>
    </row>
    <row r="2861" spans="1:11" x14ac:dyDescent="0.3">
      <c r="A2861" s="32">
        <f t="shared" si="150"/>
        <v>7</v>
      </c>
      <c r="B2861" s="33">
        <v>47511</v>
      </c>
      <c r="C2861" s="6" t="s">
        <v>271</v>
      </c>
      <c r="D2861" s="34">
        <v>30</v>
      </c>
      <c r="E2861" s="32">
        <f>DAY(TableAopCalendar[[#This Row],[Date]])</f>
        <v>28</v>
      </c>
      <c r="F2861" s="32">
        <f>IF(TableAopCalendar[[#This Row],[Day]]&lt;8,1,IF(TableAopCalendar[[#This Row],[Day]]&lt;15,2,IF(TableAopCalendar[[#This Row],[Day]]&lt;22,3,IF(TableAopCalendar[[#This Row],[Day]]&lt;29,4,IF(TableAopCalendar[[#This Row],[Day]]&lt;32,5)))))</f>
        <v>4</v>
      </c>
      <c r="G2861" s="32" t="str">
        <f t="shared" si="151"/>
        <v>Week 4</v>
      </c>
      <c r="H2861" s="32" t="str">
        <f t="shared" si="152"/>
        <v>January 30 Week 4</v>
      </c>
      <c r="I2861" s="32" t="str">
        <f>CONCATENATE(UPPER(TableAopCalendar[[#This Row],[Month]])," ",TableAopCalendar[[#This Row],[Year]])</f>
        <v>JANUARY 30</v>
      </c>
      <c r="J2861" s="7" t="s">
        <v>274</v>
      </c>
      <c r="K2861" s="32" t="str">
        <f>CONCATENATE(TableAopCalendar[[#This Row],[Month for Plan]]," ",TableAopCalendar[[#This Row],[Plan]])</f>
        <v>JANUARY 30 PLANNED</v>
      </c>
    </row>
    <row r="2862" spans="1:11" x14ac:dyDescent="0.3">
      <c r="A2862" s="32">
        <f t="shared" si="150"/>
        <v>1</v>
      </c>
      <c r="B2862" s="33">
        <v>47512</v>
      </c>
      <c r="C2862" s="6" t="s">
        <v>271</v>
      </c>
      <c r="D2862" s="34">
        <v>30</v>
      </c>
      <c r="E2862" s="32">
        <f>DAY(TableAopCalendar[[#This Row],[Date]])</f>
        <v>29</v>
      </c>
      <c r="F2862" s="32">
        <f>IF(TableAopCalendar[[#This Row],[Day]]&lt;8,1,IF(TableAopCalendar[[#This Row],[Day]]&lt;15,2,IF(TableAopCalendar[[#This Row],[Day]]&lt;22,3,IF(TableAopCalendar[[#This Row],[Day]]&lt;29,4,IF(TableAopCalendar[[#This Row],[Day]]&lt;32,5)))))</f>
        <v>5</v>
      </c>
      <c r="G2862" s="32" t="str">
        <f t="shared" si="151"/>
        <v>Week 5</v>
      </c>
      <c r="H2862" s="32" t="str">
        <f t="shared" si="152"/>
        <v>January 30 Week 5</v>
      </c>
      <c r="I2862" s="32" t="str">
        <f>CONCATENATE(UPPER(TableAopCalendar[[#This Row],[Month]])," ",TableAopCalendar[[#This Row],[Year]])</f>
        <v>JANUARY 30</v>
      </c>
      <c r="J2862" s="7" t="s">
        <v>274</v>
      </c>
      <c r="K2862" s="32" t="str">
        <f>CONCATENATE(TableAopCalendar[[#This Row],[Month for Plan]]," ",TableAopCalendar[[#This Row],[Plan]])</f>
        <v>JANUARY 30 PLANNED</v>
      </c>
    </row>
    <row r="2863" spans="1:11" x14ac:dyDescent="0.3">
      <c r="A2863" s="32">
        <f t="shared" si="150"/>
        <v>2</v>
      </c>
      <c r="B2863" s="33">
        <v>47513</v>
      </c>
      <c r="C2863" s="6" t="s">
        <v>271</v>
      </c>
      <c r="D2863" s="34">
        <v>30</v>
      </c>
      <c r="E2863" s="32">
        <f>DAY(TableAopCalendar[[#This Row],[Date]])</f>
        <v>30</v>
      </c>
      <c r="F2863" s="32">
        <f>IF(TableAopCalendar[[#This Row],[Day]]&lt;8,1,IF(TableAopCalendar[[#This Row],[Day]]&lt;15,2,IF(TableAopCalendar[[#This Row],[Day]]&lt;22,3,IF(TableAopCalendar[[#This Row],[Day]]&lt;29,4,IF(TableAopCalendar[[#This Row],[Day]]&lt;32,5)))))</f>
        <v>5</v>
      </c>
      <c r="G2863" s="32" t="str">
        <f t="shared" si="151"/>
        <v>Week 5</v>
      </c>
      <c r="H2863" s="32" t="str">
        <f t="shared" si="152"/>
        <v>January 30 Week 5</v>
      </c>
      <c r="I2863" s="32" t="str">
        <f>CONCATENATE(UPPER(TableAopCalendar[[#This Row],[Month]])," ",TableAopCalendar[[#This Row],[Year]])</f>
        <v>JANUARY 30</v>
      </c>
      <c r="J2863" s="7" t="s">
        <v>274</v>
      </c>
      <c r="K2863" s="32" t="str">
        <f>CONCATENATE(TableAopCalendar[[#This Row],[Month for Plan]]," ",TableAopCalendar[[#This Row],[Plan]])</f>
        <v>JANUARY 30 PLANNED</v>
      </c>
    </row>
    <row r="2864" spans="1:11" x14ac:dyDescent="0.3">
      <c r="A2864" s="32">
        <f t="shared" si="150"/>
        <v>3</v>
      </c>
      <c r="B2864" s="33">
        <v>47514</v>
      </c>
      <c r="C2864" s="6" t="s">
        <v>271</v>
      </c>
      <c r="D2864" s="34">
        <v>30</v>
      </c>
      <c r="E2864" s="32">
        <f>DAY(TableAopCalendar[[#This Row],[Date]])</f>
        <v>31</v>
      </c>
      <c r="F2864" s="32">
        <f>IF(TableAopCalendar[[#This Row],[Day]]&lt;8,1,IF(TableAopCalendar[[#This Row],[Day]]&lt;15,2,IF(TableAopCalendar[[#This Row],[Day]]&lt;22,3,IF(TableAopCalendar[[#This Row],[Day]]&lt;29,4,IF(TableAopCalendar[[#This Row],[Day]]&lt;32,5)))))</f>
        <v>5</v>
      </c>
      <c r="G2864" s="32" t="str">
        <f t="shared" si="151"/>
        <v>Week 5</v>
      </c>
      <c r="H2864" s="32" t="str">
        <f t="shared" si="152"/>
        <v>January 30 Week 5</v>
      </c>
      <c r="I2864" s="32" t="str">
        <f>CONCATENATE(UPPER(TableAopCalendar[[#This Row],[Month]])," ",TableAopCalendar[[#This Row],[Year]])</f>
        <v>JANUARY 30</v>
      </c>
      <c r="J2864" s="7" t="s">
        <v>274</v>
      </c>
      <c r="K2864" s="32" t="str">
        <f>CONCATENATE(TableAopCalendar[[#This Row],[Month for Plan]]," ",TableAopCalendar[[#This Row],[Plan]])</f>
        <v>JANUARY 30 PLANNED</v>
      </c>
    </row>
    <row r="2865" spans="1:11" x14ac:dyDescent="0.3">
      <c r="A2865" s="32">
        <f t="shared" si="150"/>
        <v>1</v>
      </c>
      <c r="B2865" s="33">
        <v>47515</v>
      </c>
      <c r="C2865" s="6" t="s">
        <v>272</v>
      </c>
      <c r="D2865" s="34">
        <v>30</v>
      </c>
      <c r="E2865" s="32">
        <f>DAY(TableAopCalendar[[#This Row],[Date]])</f>
        <v>1</v>
      </c>
      <c r="F2865" s="32">
        <f>IF(TableAopCalendar[[#This Row],[Day]]&lt;8,1,IF(TableAopCalendar[[#This Row],[Day]]&lt;15,2,IF(TableAopCalendar[[#This Row],[Day]]&lt;22,3,IF(TableAopCalendar[[#This Row],[Day]]&lt;29,4,IF(TableAopCalendar[[#This Row],[Day]]&lt;32,5)))))</f>
        <v>1</v>
      </c>
      <c r="G2865" s="32" t="str">
        <f t="shared" si="151"/>
        <v>Week 1</v>
      </c>
      <c r="H2865" s="32" t="str">
        <f t="shared" si="152"/>
        <v>February 30 Week 1</v>
      </c>
      <c r="I2865" s="32" t="str">
        <f>CONCATENATE(UPPER(TableAopCalendar[[#This Row],[Month]])," ",TableAopCalendar[[#This Row],[Year]])</f>
        <v>FEBRUARY 30</v>
      </c>
      <c r="J2865" s="7" t="s">
        <v>274</v>
      </c>
      <c r="K2865" s="32" t="str">
        <f>CONCATENATE(TableAopCalendar[[#This Row],[Month for Plan]]," ",TableAopCalendar[[#This Row],[Plan]])</f>
        <v>FEBRUARY 30 PLANNED</v>
      </c>
    </row>
    <row r="2866" spans="1:11" x14ac:dyDescent="0.3">
      <c r="A2866" s="32">
        <f t="shared" si="150"/>
        <v>2</v>
      </c>
      <c r="B2866" s="33">
        <v>47516</v>
      </c>
      <c r="C2866" s="6" t="s">
        <v>272</v>
      </c>
      <c r="D2866" s="34">
        <v>30</v>
      </c>
      <c r="E2866" s="32">
        <f>DAY(TableAopCalendar[[#This Row],[Date]])</f>
        <v>2</v>
      </c>
      <c r="F2866" s="32">
        <f>IF(TableAopCalendar[[#This Row],[Day]]&lt;8,1,IF(TableAopCalendar[[#This Row],[Day]]&lt;15,2,IF(TableAopCalendar[[#This Row],[Day]]&lt;22,3,IF(TableAopCalendar[[#This Row],[Day]]&lt;29,4,IF(TableAopCalendar[[#This Row],[Day]]&lt;32,5)))))</f>
        <v>1</v>
      </c>
      <c r="G2866" s="32" t="str">
        <f t="shared" si="151"/>
        <v>Week 1</v>
      </c>
      <c r="H2866" s="32" t="str">
        <f t="shared" si="152"/>
        <v>February 30 Week 1</v>
      </c>
      <c r="I2866" s="32" t="str">
        <f>CONCATENATE(UPPER(TableAopCalendar[[#This Row],[Month]])," ",TableAopCalendar[[#This Row],[Year]])</f>
        <v>FEBRUARY 30</v>
      </c>
      <c r="J2866" s="7" t="s">
        <v>274</v>
      </c>
      <c r="K2866" s="32" t="str">
        <f>CONCATENATE(TableAopCalendar[[#This Row],[Month for Plan]]," ",TableAopCalendar[[#This Row],[Plan]])</f>
        <v>FEBRUARY 30 PLANNED</v>
      </c>
    </row>
    <row r="2867" spans="1:11" x14ac:dyDescent="0.3">
      <c r="A2867" s="32">
        <f t="shared" si="150"/>
        <v>3</v>
      </c>
      <c r="B2867" s="33">
        <v>47517</v>
      </c>
      <c r="C2867" s="6" t="s">
        <v>272</v>
      </c>
      <c r="D2867" s="34">
        <v>30</v>
      </c>
      <c r="E2867" s="32">
        <f>DAY(TableAopCalendar[[#This Row],[Date]])</f>
        <v>3</v>
      </c>
      <c r="F2867" s="32">
        <f>IF(TableAopCalendar[[#This Row],[Day]]&lt;8,1,IF(TableAopCalendar[[#This Row],[Day]]&lt;15,2,IF(TableAopCalendar[[#This Row],[Day]]&lt;22,3,IF(TableAopCalendar[[#This Row],[Day]]&lt;29,4,IF(TableAopCalendar[[#This Row],[Day]]&lt;32,5)))))</f>
        <v>1</v>
      </c>
      <c r="G2867" s="32" t="str">
        <f t="shared" si="151"/>
        <v>Week 1</v>
      </c>
      <c r="H2867" s="32" t="str">
        <f t="shared" si="152"/>
        <v>February 30 Week 1</v>
      </c>
      <c r="I2867" s="32" t="str">
        <f>CONCATENATE(UPPER(TableAopCalendar[[#This Row],[Month]])," ",TableAopCalendar[[#This Row],[Year]])</f>
        <v>FEBRUARY 30</v>
      </c>
      <c r="J2867" s="7" t="s">
        <v>274</v>
      </c>
      <c r="K2867" s="32" t="str">
        <f>CONCATENATE(TableAopCalendar[[#This Row],[Month for Plan]]," ",TableAopCalendar[[#This Row],[Plan]])</f>
        <v>FEBRUARY 30 PLANNED</v>
      </c>
    </row>
    <row r="2868" spans="1:11" x14ac:dyDescent="0.3">
      <c r="A2868" s="32">
        <f t="shared" si="150"/>
        <v>4</v>
      </c>
      <c r="B2868" s="33">
        <v>47518</v>
      </c>
      <c r="C2868" s="6" t="s">
        <v>272</v>
      </c>
      <c r="D2868" s="34">
        <v>30</v>
      </c>
      <c r="E2868" s="32">
        <f>DAY(TableAopCalendar[[#This Row],[Date]])</f>
        <v>4</v>
      </c>
      <c r="F2868" s="32">
        <f>IF(TableAopCalendar[[#This Row],[Day]]&lt;8,1,IF(TableAopCalendar[[#This Row],[Day]]&lt;15,2,IF(TableAopCalendar[[#This Row],[Day]]&lt;22,3,IF(TableAopCalendar[[#This Row],[Day]]&lt;29,4,IF(TableAopCalendar[[#This Row],[Day]]&lt;32,5)))))</f>
        <v>1</v>
      </c>
      <c r="G2868" s="32" t="str">
        <f t="shared" si="151"/>
        <v>Week 1</v>
      </c>
      <c r="H2868" s="32" t="str">
        <f t="shared" si="152"/>
        <v>February 30 Week 1</v>
      </c>
      <c r="I2868" s="32" t="str">
        <f>CONCATENATE(UPPER(TableAopCalendar[[#This Row],[Month]])," ",TableAopCalendar[[#This Row],[Year]])</f>
        <v>FEBRUARY 30</v>
      </c>
      <c r="J2868" s="7" t="s">
        <v>274</v>
      </c>
      <c r="K2868" s="32" t="str">
        <f>CONCATENATE(TableAopCalendar[[#This Row],[Month for Plan]]," ",TableAopCalendar[[#This Row],[Plan]])</f>
        <v>FEBRUARY 30 PLANNED</v>
      </c>
    </row>
    <row r="2869" spans="1:11" x14ac:dyDescent="0.3">
      <c r="A2869" s="32">
        <f t="shared" si="150"/>
        <v>5</v>
      </c>
      <c r="B2869" s="33">
        <v>47519</v>
      </c>
      <c r="C2869" s="6" t="s">
        <v>272</v>
      </c>
      <c r="D2869" s="34">
        <v>30</v>
      </c>
      <c r="E2869" s="32">
        <f>DAY(TableAopCalendar[[#This Row],[Date]])</f>
        <v>5</v>
      </c>
      <c r="F2869" s="32">
        <f>IF(TableAopCalendar[[#This Row],[Day]]&lt;8,1,IF(TableAopCalendar[[#This Row],[Day]]&lt;15,2,IF(TableAopCalendar[[#This Row],[Day]]&lt;22,3,IF(TableAopCalendar[[#This Row],[Day]]&lt;29,4,IF(TableAopCalendar[[#This Row],[Day]]&lt;32,5)))))</f>
        <v>1</v>
      </c>
      <c r="G2869" s="32" t="str">
        <f t="shared" si="151"/>
        <v>Week 1</v>
      </c>
      <c r="H2869" s="32" t="str">
        <f t="shared" si="152"/>
        <v>February 30 Week 1</v>
      </c>
      <c r="I2869" s="32" t="str">
        <f>CONCATENATE(UPPER(TableAopCalendar[[#This Row],[Month]])," ",TableAopCalendar[[#This Row],[Year]])</f>
        <v>FEBRUARY 30</v>
      </c>
      <c r="J2869" s="7" t="s">
        <v>274</v>
      </c>
      <c r="K2869" s="32" t="str">
        <f>CONCATENATE(TableAopCalendar[[#This Row],[Month for Plan]]," ",TableAopCalendar[[#This Row],[Plan]])</f>
        <v>FEBRUARY 30 PLANNED</v>
      </c>
    </row>
    <row r="2870" spans="1:11" x14ac:dyDescent="0.3">
      <c r="A2870" s="32">
        <f t="shared" si="150"/>
        <v>6</v>
      </c>
      <c r="B2870" s="33">
        <v>47520</v>
      </c>
      <c r="C2870" s="6" t="s">
        <v>272</v>
      </c>
      <c r="D2870" s="34">
        <v>30</v>
      </c>
      <c r="E2870" s="32">
        <f>DAY(TableAopCalendar[[#This Row],[Date]])</f>
        <v>6</v>
      </c>
      <c r="F2870" s="32">
        <f>IF(TableAopCalendar[[#This Row],[Day]]&lt;8,1,IF(TableAopCalendar[[#This Row],[Day]]&lt;15,2,IF(TableAopCalendar[[#This Row],[Day]]&lt;22,3,IF(TableAopCalendar[[#This Row],[Day]]&lt;29,4,IF(TableAopCalendar[[#This Row],[Day]]&lt;32,5)))))</f>
        <v>1</v>
      </c>
      <c r="G2870" s="32" t="str">
        <f t="shared" si="151"/>
        <v>Week 1</v>
      </c>
      <c r="H2870" s="32" t="str">
        <f t="shared" si="152"/>
        <v>February 30 Week 1</v>
      </c>
      <c r="I2870" s="32" t="str">
        <f>CONCATENATE(UPPER(TableAopCalendar[[#This Row],[Month]])," ",TableAopCalendar[[#This Row],[Year]])</f>
        <v>FEBRUARY 30</v>
      </c>
      <c r="J2870" s="7" t="s">
        <v>274</v>
      </c>
      <c r="K2870" s="32" t="str">
        <f>CONCATENATE(TableAopCalendar[[#This Row],[Month for Plan]]," ",TableAopCalendar[[#This Row],[Plan]])</f>
        <v>FEBRUARY 30 PLANNED</v>
      </c>
    </row>
    <row r="2871" spans="1:11" x14ac:dyDescent="0.3">
      <c r="A2871" s="32">
        <f t="shared" si="150"/>
        <v>7</v>
      </c>
      <c r="B2871" s="33">
        <v>47521</v>
      </c>
      <c r="C2871" s="6" t="s">
        <v>272</v>
      </c>
      <c r="D2871" s="34">
        <v>30</v>
      </c>
      <c r="E2871" s="32">
        <f>DAY(TableAopCalendar[[#This Row],[Date]])</f>
        <v>7</v>
      </c>
      <c r="F2871" s="32">
        <f>IF(TableAopCalendar[[#This Row],[Day]]&lt;8,1,IF(TableAopCalendar[[#This Row],[Day]]&lt;15,2,IF(TableAopCalendar[[#This Row],[Day]]&lt;22,3,IF(TableAopCalendar[[#This Row],[Day]]&lt;29,4,IF(TableAopCalendar[[#This Row],[Day]]&lt;32,5)))))</f>
        <v>1</v>
      </c>
      <c r="G2871" s="32" t="str">
        <f t="shared" si="151"/>
        <v>Week 1</v>
      </c>
      <c r="H2871" s="32" t="str">
        <f t="shared" si="152"/>
        <v>February 30 Week 1</v>
      </c>
      <c r="I2871" s="32" t="str">
        <f>CONCATENATE(UPPER(TableAopCalendar[[#This Row],[Month]])," ",TableAopCalendar[[#This Row],[Year]])</f>
        <v>FEBRUARY 30</v>
      </c>
      <c r="J2871" s="7" t="s">
        <v>274</v>
      </c>
      <c r="K2871" s="32" t="str">
        <f>CONCATENATE(TableAopCalendar[[#This Row],[Month for Plan]]," ",TableAopCalendar[[#This Row],[Plan]])</f>
        <v>FEBRUARY 30 PLANNED</v>
      </c>
    </row>
    <row r="2872" spans="1:11" x14ac:dyDescent="0.3">
      <c r="A2872" s="32">
        <f t="shared" si="150"/>
        <v>1</v>
      </c>
      <c r="B2872" s="33">
        <v>47522</v>
      </c>
      <c r="C2872" s="6" t="s">
        <v>272</v>
      </c>
      <c r="D2872" s="34">
        <v>30</v>
      </c>
      <c r="E2872" s="32">
        <f>DAY(TableAopCalendar[[#This Row],[Date]])</f>
        <v>8</v>
      </c>
      <c r="F2872" s="32">
        <f>IF(TableAopCalendar[[#This Row],[Day]]&lt;8,1,IF(TableAopCalendar[[#This Row],[Day]]&lt;15,2,IF(TableAopCalendar[[#This Row],[Day]]&lt;22,3,IF(TableAopCalendar[[#This Row],[Day]]&lt;29,4,IF(TableAopCalendar[[#This Row],[Day]]&lt;32,5)))))</f>
        <v>2</v>
      </c>
      <c r="G2872" s="32" t="str">
        <f t="shared" si="151"/>
        <v>Week 2</v>
      </c>
      <c r="H2872" s="32" t="str">
        <f t="shared" si="152"/>
        <v>February 30 Week 2</v>
      </c>
      <c r="I2872" s="32" t="str">
        <f>CONCATENATE(UPPER(TableAopCalendar[[#This Row],[Month]])," ",TableAopCalendar[[#This Row],[Year]])</f>
        <v>FEBRUARY 30</v>
      </c>
      <c r="J2872" s="7" t="s">
        <v>274</v>
      </c>
      <c r="K2872" s="32" t="str">
        <f>CONCATENATE(TableAopCalendar[[#This Row],[Month for Plan]]," ",TableAopCalendar[[#This Row],[Plan]])</f>
        <v>FEBRUARY 30 PLANNED</v>
      </c>
    </row>
    <row r="2873" spans="1:11" x14ac:dyDescent="0.3">
      <c r="A2873" s="32">
        <f t="shared" si="150"/>
        <v>2</v>
      </c>
      <c r="B2873" s="33">
        <v>47523</v>
      </c>
      <c r="C2873" s="6" t="s">
        <v>272</v>
      </c>
      <c r="D2873" s="34">
        <v>30</v>
      </c>
      <c r="E2873" s="32">
        <f>DAY(TableAopCalendar[[#This Row],[Date]])</f>
        <v>9</v>
      </c>
      <c r="F2873" s="32">
        <f>IF(TableAopCalendar[[#This Row],[Day]]&lt;8,1,IF(TableAopCalendar[[#This Row],[Day]]&lt;15,2,IF(TableAopCalendar[[#This Row],[Day]]&lt;22,3,IF(TableAopCalendar[[#This Row],[Day]]&lt;29,4,IF(TableAopCalendar[[#This Row],[Day]]&lt;32,5)))))</f>
        <v>2</v>
      </c>
      <c r="G2873" s="32" t="str">
        <f t="shared" si="151"/>
        <v>Week 2</v>
      </c>
      <c r="H2873" s="32" t="str">
        <f t="shared" si="152"/>
        <v>February 30 Week 2</v>
      </c>
      <c r="I2873" s="32" t="str">
        <f>CONCATENATE(UPPER(TableAopCalendar[[#This Row],[Month]])," ",TableAopCalendar[[#This Row],[Year]])</f>
        <v>FEBRUARY 30</v>
      </c>
      <c r="J2873" s="7" t="s">
        <v>274</v>
      </c>
      <c r="K2873" s="32" t="str">
        <f>CONCATENATE(TableAopCalendar[[#This Row],[Month for Plan]]," ",TableAopCalendar[[#This Row],[Plan]])</f>
        <v>FEBRUARY 30 PLANNED</v>
      </c>
    </row>
    <row r="2874" spans="1:11" x14ac:dyDescent="0.3">
      <c r="A2874" s="32">
        <f t="shared" si="150"/>
        <v>3</v>
      </c>
      <c r="B2874" s="33">
        <v>47524</v>
      </c>
      <c r="C2874" s="6" t="s">
        <v>272</v>
      </c>
      <c r="D2874" s="34">
        <v>30</v>
      </c>
      <c r="E2874" s="32">
        <f>DAY(TableAopCalendar[[#This Row],[Date]])</f>
        <v>10</v>
      </c>
      <c r="F2874" s="32">
        <f>IF(TableAopCalendar[[#This Row],[Day]]&lt;8,1,IF(TableAopCalendar[[#This Row],[Day]]&lt;15,2,IF(TableAopCalendar[[#This Row],[Day]]&lt;22,3,IF(TableAopCalendar[[#This Row],[Day]]&lt;29,4,IF(TableAopCalendar[[#This Row],[Day]]&lt;32,5)))))</f>
        <v>2</v>
      </c>
      <c r="G2874" s="32" t="str">
        <f t="shared" si="151"/>
        <v>Week 2</v>
      </c>
      <c r="H2874" s="32" t="str">
        <f t="shared" si="152"/>
        <v>February 30 Week 2</v>
      </c>
      <c r="I2874" s="32" t="str">
        <f>CONCATENATE(UPPER(TableAopCalendar[[#This Row],[Month]])," ",TableAopCalendar[[#This Row],[Year]])</f>
        <v>FEBRUARY 30</v>
      </c>
      <c r="J2874" s="7" t="s">
        <v>274</v>
      </c>
      <c r="K2874" s="32" t="str">
        <f>CONCATENATE(TableAopCalendar[[#This Row],[Month for Plan]]," ",TableAopCalendar[[#This Row],[Plan]])</f>
        <v>FEBRUARY 30 PLANNED</v>
      </c>
    </row>
    <row r="2875" spans="1:11" x14ac:dyDescent="0.3">
      <c r="A2875" s="32">
        <f t="shared" si="150"/>
        <v>4</v>
      </c>
      <c r="B2875" s="33">
        <v>47525</v>
      </c>
      <c r="C2875" s="6" t="s">
        <v>272</v>
      </c>
      <c r="D2875" s="34">
        <v>30</v>
      </c>
      <c r="E2875" s="32">
        <f>DAY(TableAopCalendar[[#This Row],[Date]])</f>
        <v>11</v>
      </c>
      <c r="F2875" s="32">
        <f>IF(TableAopCalendar[[#This Row],[Day]]&lt;8,1,IF(TableAopCalendar[[#This Row],[Day]]&lt;15,2,IF(TableAopCalendar[[#This Row],[Day]]&lt;22,3,IF(TableAopCalendar[[#This Row],[Day]]&lt;29,4,IF(TableAopCalendar[[#This Row],[Day]]&lt;32,5)))))</f>
        <v>2</v>
      </c>
      <c r="G2875" s="32" t="str">
        <f t="shared" si="151"/>
        <v>Week 2</v>
      </c>
      <c r="H2875" s="32" t="str">
        <f t="shared" si="152"/>
        <v>February 30 Week 2</v>
      </c>
      <c r="I2875" s="32" t="str">
        <f>CONCATENATE(UPPER(TableAopCalendar[[#This Row],[Month]])," ",TableAopCalendar[[#This Row],[Year]])</f>
        <v>FEBRUARY 30</v>
      </c>
      <c r="J2875" s="7" t="s">
        <v>274</v>
      </c>
      <c r="K2875" s="32" t="str">
        <f>CONCATENATE(TableAopCalendar[[#This Row],[Month for Plan]]," ",TableAopCalendar[[#This Row],[Plan]])</f>
        <v>FEBRUARY 30 PLANNED</v>
      </c>
    </row>
    <row r="2876" spans="1:11" x14ac:dyDescent="0.3">
      <c r="A2876" s="32">
        <f t="shared" si="150"/>
        <v>5</v>
      </c>
      <c r="B2876" s="33">
        <v>47526</v>
      </c>
      <c r="C2876" s="6" t="s">
        <v>272</v>
      </c>
      <c r="D2876" s="34">
        <v>30</v>
      </c>
      <c r="E2876" s="32">
        <f>DAY(TableAopCalendar[[#This Row],[Date]])</f>
        <v>12</v>
      </c>
      <c r="F2876" s="32">
        <f>IF(TableAopCalendar[[#This Row],[Day]]&lt;8,1,IF(TableAopCalendar[[#This Row],[Day]]&lt;15,2,IF(TableAopCalendar[[#This Row],[Day]]&lt;22,3,IF(TableAopCalendar[[#This Row],[Day]]&lt;29,4,IF(TableAopCalendar[[#This Row],[Day]]&lt;32,5)))))</f>
        <v>2</v>
      </c>
      <c r="G2876" s="32" t="str">
        <f t="shared" si="151"/>
        <v>Week 2</v>
      </c>
      <c r="H2876" s="32" t="str">
        <f t="shared" si="152"/>
        <v>February 30 Week 2</v>
      </c>
      <c r="I2876" s="32" t="str">
        <f>CONCATENATE(UPPER(TableAopCalendar[[#This Row],[Month]])," ",TableAopCalendar[[#This Row],[Year]])</f>
        <v>FEBRUARY 30</v>
      </c>
      <c r="J2876" s="7" t="s">
        <v>274</v>
      </c>
      <c r="K2876" s="32" t="str">
        <f>CONCATENATE(TableAopCalendar[[#This Row],[Month for Plan]]," ",TableAopCalendar[[#This Row],[Plan]])</f>
        <v>FEBRUARY 30 PLANNED</v>
      </c>
    </row>
    <row r="2877" spans="1:11" x14ac:dyDescent="0.3">
      <c r="A2877" s="32">
        <f t="shared" si="150"/>
        <v>6</v>
      </c>
      <c r="B2877" s="33">
        <v>47527</v>
      </c>
      <c r="C2877" s="6" t="s">
        <v>272</v>
      </c>
      <c r="D2877" s="34">
        <v>30</v>
      </c>
      <c r="E2877" s="32">
        <f>DAY(TableAopCalendar[[#This Row],[Date]])</f>
        <v>13</v>
      </c>
      <c r="F2877" s="32">
        <f>IF(TableAopCalendar[[#This Row],[Day]]&lt;8,1,IF(TableAopCalendar[[#This Row],[Day]]&lt;15,2,IF(TableAopCalendar[[#This Row],[Day]]&lt;22,3,IF(TableAopCalendar[[#This Row],[Day]]&lt;29,4,IF(TableAopCalendar[[#This Row],[Day]]&lt;32,5)))))</f>
        <v>2</v>
      </c>
      <c r="G2877" s="32" t="str">
        <f t="shared" si="151"/>
        <v>Week 2</v>
      </c>
      <c r="H2877" s="32" t="str">
        <f t="shared" si="152"/>
        <v>February 30 Week 2</v>
      </c>
      <c r="I2877" s="32" t="str">
        <f>CONCATENATE(UPPER(TableAopCalendar[[#This Row],[Month]])," ",TableAopCalendar[[#This Row],[Year]])</f>
        <v>FEBRUARY 30</v>
      </c>
      <c r="J2877" s="7" t="s">
        <v>274</v>
      </c>
      <c r="K2877" s="32" t="str">
        <f>CONCATENATE(TableAopCalendar[[#This Row],[Month for Plan]]," ",TableAopCalendar[[#This Row],[Plan]])</f>
        <v>FEBRUARY 30 PLANNED</v>
      </c>
    </row>
    <row r="2878" spans="1:11" x14ac:dyDescent="0.3">
      <c r="A2878" s="32">
        <f t="shared" si="150"/>
        <v>7</v>
      </c>
      <c r="B2878" s="33">
        <v>47528</v>
      </c>
      <c r="C2878" s="6" t="s">
        <v>272</v>
      </c>
      <c r="D2878" s="34">
        <v>30</v>
      </c>
      <c r="E2878" s="32">
        <f>DAY(TableAopCalendar[[#This Row],[Date]])</f>
        <v>14</v>
      </c>
      <c r="F2878" s="32">
        <f>IF(TableAopCalendar[[#This Row],[Day]]&lt;8,1,IF(TableAopCalendar[[#This Row],[Day]]&lt;15,2,IF(TableAopCalendar[[#This Row],[Day]]&lt;22,3,IF(TableAopCalendar[[#This Row],[Day]]&lt;29,4,IF(TableAopCalendar[[#This Row],[Day]]&lt;32,5)))))</f>
        <v>2</v>
      </c>
      <c r="G2878" s="32" t="str">
        <f t="shared" si="151"/>
        <v>Week 2</v>
      </c>
      <c r="H2878" s="32" t="str">
        <f t="shared" si="152"/>
        <v>February 30 Week 2</v>
      </c>
      <c r="I2878" s="32" t="str">
        <f>CONCATENATE(UPPER(TableAopCalendar[[#This Row],[Month]])," ",TableAopCalendar[[#This Row],[Year]])</f>
        <v>FEBRUARY 30</v>
      </c>
      <c r="J2878" s="7" t="s">
        <v>274</v>
      </c>
      <c r="K2878" s="32" t="str">
        <f>CONCATENATE(TableAopCalendar[[#This Row],[Month for Plan]]," ",TableAopCalendar[[#This Row],[Plan]])</f>
        <v>FEBRUARY 30 PLANNED</v>
      </c>
    </row>
    <row r="2879" spans="1:11" x14ac:dyDescent="0.3">
      <c r="A2879" s="32">
        <f t="shared" si="150"/>
        <v>1</v>
      </c>
      <c r="B2879" s="33">
        <v>47529</v>
      </c>
      <c r="C2879" s="6" t="s">
        <v>272</v>
      </c>
      <c r="D2879" s="34">
        <v>30</v>
      </c>
      <c r="E2879" s="32">
        <f>DAY(TableAopCalendar[[#This Row],[Date]])</f>
        <v>15</v>
      </c>
      <c r="F2879" s="32">
        <f>IF(TableAopCalendar[[#This Row],[Day]]&lt;8,1,IF(TableAopCalendar[[#This Row],[Day]]&lt;15,2,IF(TableAopCalendar[[#This Row],[Day]]&lt;22,3,IF(TableAopCalendar[[#This Row],[Day]]&lt;29,4,IF(TableAopCalendar[[#This Row],[Day]]&lt;32,5)))))</f>
        <v>3</v>
      </c>
      <c r="G2879" s="32" t="str">
        <f t="shared" si="151"/>
        <v>Week 3</v>
      </c>
      <c r="H2879" s="32" t="str">
        <f t="shared" si="152"/>
        <v>February 30 Week 3</v>
      </c>
      <c r="I2879" s="32" t="str">
        <f>CONCATENATE(UPPER(TableAopCalendar[[#This Row],[Month]])," ",TableAopCalendar[[#This Row],[Year]])</f>
        <v>FEBRUARY 30</v>
      </c>
      <c r="J2879" s="7" t="s">
        <v>274</v>
      </c>
      <c r="K2879" s="32" t="str">
        <f>CONCATENATE(TableAopCalendar[[#This Row],[Month for Plan]]," ",TableAopCalendar[[#This Row],[Plan]])</f>
        <v>FEBRUARY 30 PLANNED</v>
      </c>
    </row>
    <row r="2880" spans="1:11" x14ac:dyDescent="0.3">
      <c r="A2880" s="32">
        <f t="shared" si="150"/>
        <v>2</v>
      </c>
      <c r="B2880" s="33">
        <v>47530</v>
      </c>
      <c r="C2880" s="6" t="s">
        <v>272</v>
      </c>
      <c r="D2880" s="34">
        <v>30</v>
      </c>
      <c r="E2880" s="32">
        <f>DAY(TableAopCalendar[[#This Row],[Date]])</f>
        <v>16</v>
      </c>
      <c r="F2880" s="32">
        <f>IF(TableAopCalendar[[#This Row],[Day]]&lt;8,1,IF(TableAopCalendar[[#This Row],[Day]]&lt;15,2,IF(TableAopCalendar[[#This Row],[Day]]&lt;22,3,IF(TableAopCalendar[[#This Row],[Day]]&lt;29,4,IF(TableAopCalendar[[#This Row],[Day]]&lt;32,5)))))</f>
        <v>3</v>
      </c>
      <c r="G2880" s="32" t="str">
        <f t="shared" si="151"/>
        <v>Week 3</v>
      </c>
      <c r="H2880" s="32" t="str">
        <f t="shared" si="152"/>
        <v>February 30 Week 3</v>
      </c>
      <c r="I2880" s="32" t="str">
        <f>CONCATENATE(UPPER(TableAopCalendar[[#This Row],[Month]])," ",TableAopCalendar[[#This Row],[Year]])</f>
        <v>FEBRUARY 30</v>
      </c>
      <c r="J2880" s="7" t="s">
        <v>274</v>
      </c>
      <c r="K2880" s="32" t="str">
        <f>CONCATENATE(TableAopCalendar[[#This Row],[Month for Plan]]," ",TableAopCalendar[[#This Row],[Plan]])</f>
        <v>FEBRUARY 30 PLANNED</v>
      </c>
    </row>
    <row r="2881" spans="1:11" x14ac:dyDescent="0.3">
      <c r="A2881" s="32">
        <f t="shared" si="150"/>
        <v>3</v>
      </c>
      <c r="B2881" s="33">
        <v>47531</v>
      </c>
      <c r="C2881" s="6" t="s">
        <v>272</v>
      </c>
      <c r="D2881" s="34">
        <v>30</v>
      </c>
      <c r="E2881" s="32">
        <f>DAY(TableAopCalendar[[#This Row],[Date]])</f>
        <v>17</v>
      </c>
      <c r="F2881" s="32">
        <f>IF(TableAopCalendar[[#This Row],[Day]]&lt;8,1,IF(TableAopCalendar[[#This Row],[Day]]&lt;15,2,IF(TableAopCalendar[[#This Row],[Day]]&lt;22,3,IF(TableAopCalendar[[#This Row],[Day]]&lt;29,4,IF(TableAopCalendar[[#This Row],[Day]]&lt;32,5)))))</f>
        <v>3</v>
      </c>
      <c r="G2881" s="32" t="str">
        <f t="shared" si="151"/>
        <v>Week 3</v>
      </c>
      <c r="H2881" s="32" t="str">
        <f t="shared" si="152"/>
        <v>February 30 Week 3</v>
      </c>
      <c r="I2881" s="32" t="str">
        <f>CONCATENATE(UPPER(TableAopCalendar[[#This Row],[Month]])," ",TableAopCalendar[[#This Row],[Year]])</f>
        <v>FEBRUARY 30</v>
      </c>
      <c r="J2881" s="7" t="s">
        <v>274</v>
      </c>
      <c r="K2881" s="32" t="str">
        <f>CONCATENATE(TableAopCalendar[[#This Row],[Month for Plan]]," ",TableAopCalendar[[#This Row],[Plan]])</f>
        <v>FEBRUARY 30 PLANNED</v>
      </c>
    </row>
    <row r="2882" spans="1:11" x14ac:dyDescent="0.3">
      <c r="A2882" s="32">
        <f t="shared" si="150"/>
        <v>4</v>
      </c>
      <c r="B2882" s="33">
        <v>47532</v>
      </c>
      <c r="C2882" s="6" t="s">
        <v>272</v>
      </c>
      <c r="D2882" s="34">
        <v>30</v>
      </c>
      <c r="E2882" s="32">
        <f>DAY(TableAopCalendar[[#This Row],[Date]])</f>
        <v>18</v>
      </c>
      <c r="F2882" s="32">
        <f>IF(TableAopCalendar[[#This Row],[Day]]&lt;8,1,IF(TableAopCalendar[[#This Row],[Day]]&lt;15,2,IF(TableAopCalendar[[#This Row],[Day]]&lt;22,3,IF(TableAopCalendar[[#This Row],[Day]]&lt;29,4,IF(TableAopCalendar[[#This Row],[Day]]&lt;32,5)))))</f>
        <v>3</v>
      </c>
      <c r="G2882" s="32" t="str">
        <f t="shared" si="151"/>
        <v>Week 3</v>
      </c>
      <c r="H2882" s="32" t="str">
        <f t="shared" si="152"/>
        <v>February 30 Week 3</v>
      </c>
      <c r="I2882" s="32" t="str">
        <f>CONCATENATE(UPPER(TableAopCalendar[[#This Row],[Month]])," ",TableAopCalendar[[#This Row],[Year]])</f>
        <v>FEBRUARY 30</v>
      </c>
      <c r="J2882" s="7" t="s">
        <v>274</v>
      </c>
      <c r="K2882" s="32" t="str">
        <f>CONCATENATE(TableAopCalendar[[#This Row],[Month for Plan]]," ",TableAopCalendar[[#This Row],[Plan]])</f>
        <v>FEBRUARY 30 PLANNED</v>
      </c>
    </row>
    <row r="2883" spans="1:11" x14ac:dyDescent="0.3">
      <c r="A2883" s="32">
        <f t="shared" si="150"/>
        <v>5</v>
      </c>
      <c r="B2883" s="33">
        <v>47533</v>
      </c>
      <c r="C2883" s="6" t="s">
        <v>272</v>
      </c>
      <c r="D2883" s="34">
        <v>30</v>
      </c>
      <c r="E2883" s="32">
        <f>DAY(TableAopCalendar[[#This Row],[Date]])</f>
        <v>19</v>
      </c>
      <c r="F2883" s="32">
        <f>IF(TableAopCalendar[[#This Row],[Day]]&lt;8,1,IF(TableAopCalendar[[#This Row],[Day]]&lt;15,2,IF(TableAopCalendar[[#This Row],[Day]]&lt;22,3,IF(TableAopCalendar[[#This Row],[Day]]&lt;29,4,IF(TableAopCalendar[[#This Row],[Day]]&lt;32,5)))))</f>
        <v>3</v>
      </c>
      <c r="G2883" s="32" t="str">
        <f t="shared" si="151"/>
        <v>Week 3</v>
      </c>
      <c r="H2883" s="32" t="str">
        <f t="shared" si="152"/>
        <v>February 30 Week 3</v>
      </c>
      <c r="I2883" s="32" t="str">
        <f>CONCATENATE(UPPER(TableAopCalendar[[#This Row],[Month]])," ",TableAopCalendar[[#This Row],[Year]])</f>
        <v>FEBRUARY 30</v>
      </c>
      <c r="J2883" s="7" t="s">
        <v>274</v>
      </c>
      <c r="K2883" s="32" t="str">
        <f>CONCATENATE(TableAopCalendar[[#This Row],[Month for Plan]]," ",TableAopCalendar[[#This Row],[Plan]])</f>
        <v>FEBRUARY 30 PLANNED</v>
      </c>
    </row>
    <row r="2884" spans="1:11" x14ac:dyDescent="0.3">
      <c r="A2884" s="32">
        <f t="shared" si="150"/>
        <v>6</v>
      </c>
      <c r="B2884" s="33">
        <v>47534</v>
      </c>
      <c r="C2884" s="6" t="s">
        <v>272</v>
      </c>
      <c r="D2884" s="34">
        <v>30</v>
      </c>
      <c r="E2884" s="32">
        <f>DAY(TableAopCalendar[[#This Row],[Date]])</f>
        <v>20</v>
      </c>
      <c r="F2884" s="32">
        <f>IF(TableAopCalendar[[#This Row],[Day]]&lt;8,1,IF(TableAopCalendar[[#This Row],[Day]]&lt;15,2,IF(TableAopCalendar[[#This Row],[Day]]&lt;22,3,IF(TableAopCalendar[[#This Row],[Day]]&lt;29,4,IF(TableAopCalendar[[#This Row],[Day]]&lt;32,5)))))</f>
        <v>3</v>
      </c>
      <c r="G2884" s="32" t="str">
        <f t="shared" si="151"/>
        <v>Week 3</v>
      </c>
      <c r="H2884" s="32" t="str">
        <f t="shared" si="152"/>
        <v>February 30 Week 3</v>
      </c>
      <c r="I2884" s="32" t="str">
        <f>CONCATENATE(UPPER(TableAopCalendar[[#This Row],[Month]])," ",TableAopCalendar[[#This Row],[Year]])</f>
        <v>FEBRUARY 30</v>
      </c>
      <c r="J2884" s="7" t="s">
        <v>274</v>
      </c>
      <c r="K2884" s="32" t="str">
        <f>CONCATENATE(TableAopCalendar[[#This Row],[Month for Plan]]," ",TableAopCalendar[[#This Row],[Plan]])</f>
        <v>FEBRUARY 30 PLANNED</v>
      </c>
    </row>
    <row r="2885" spans="1:11" x14ac:dyDescent="0.3">
      <c r="A2885" s="32">
        <f t="shared" si="150"/>
        <v>7</v>
      </c>
      <c r="B2885" s="33">
        <v>47535</v>
      </c>
      <c r="C2885" s="6" t="s">
        <v>272</v>
      </c>
      <c r="D2885" s="34">
        <v>30</v>
      </c>
      <c r="E2885" s="32">
        <f>DAY(TableAopCalendar[[#This Row],[Date]])</f>
        <v>21</v>
      </c>
      <c r="F2885" s="32">
        <f>IF(TableAopCalendar[[#This Row],[Day]]&lt;8,1,IF(TableAopCalendar[[#This Row],[Day]]&lt;15,2,IF(TableAopCalendar[[#This Row],[Day]]&lt;22,3,IF(TableAopCalendar[[#This Row],[Day]]&lt;29,4,IF(TableAopCalendar[[#This Row],[Day]]&lt;32,5)))))</f>
        <v>3</v>
      </c>
      <c r="G2885" s="32" t="str">
        <f t="shared" si="151"/>
        <v>Week 3</v>
      </c>
      <c r="H2885" s="32" t="str">
        <f t="shared" si="152"/>
        <v>February 30 Week 3</v>
      </c>
      <c r="I2885" s="32" t="str">
        <f>CONCATENATE(UPPER(TableAopCalendar[[#This Row],[Month]])," ",TableAopCalendar[[#This Row],[Year]])</f>
        <v>FEBRUARY 30</v>
      </c>
      <c r="J2885" s="7" t="s">
        <v>274</v>
      </c>
      <c r="K2885" s="32" t="str">
        <f>CONCATENATE(TableAopCalendar[[#This Row],[Month for Plan]]," ",TableAopCalendar[[#This Row],[Plan]])</f>
        <v>FEBRUARY 30 PLANNED</v>
      </c>
    </row>
    <row r="2886" spans="1:11" x14ac:dyDescent="0.3">
      <c r="A2886" s="32">
        <f t="shared" si="150"/>
        <v>1</v>
      </c>
      <c r="B2886" s="33">
        <v>47536</v>
      </c>
      <c r="C2886" s="6" t="s">
        <v>272</v>
      </c>
      <c r="D2886" s="34">
        <v>30</v>
      </c>
      <c r="E2886" s="32">
        <f>DAY(TableAopCalendar[[#This Row],[Date]])</f>
        <v>22</v>
      </c>
      <c r="F2886" s="32">
        <f>IF(TableAopCalendar[[#This Row],[Day]]&lt;8,1,IF(TableAopCalendar[[#This Row],[Day]]&lt;15,2,IF(TableAopCalendar[[#This Row],[Day]]&lt;22,3,IF(TableAopCalendar[[#This Row],[Day]]&lt;29,4,IF(TableAopCalendar[[#This Row],[Day]]&lt;32,5)))))</f>
        <v>4</v>
      </c>
      <c r="G2886" s="32" t="str">
        <f t="shared" si="151"/>
        <v>Week 4</v>
      </c>
      <c r="H2886" s="32" t="str">
        <f t="shared" si="152"/>
        <v>February 30 Week 4</v>
      </c>
      <c r="I2886" s="32" t="str">
        <f>CONCATENATE(UPPER(TableAopCalendar[[#This Row],[Month]])," ",TableAopCalendar[[#This Row],[Year]])</f>
        <v>FEBRUARY 30</v>
      </c>
      <c r="J2886" s="7" t="s">
        <v>274</v>
      </c>
      <c r="K2886" s="32" t="str">
        <f>CONCATENATE(TableAopCalendar[[#This Row],[Month for Plan]]," ",TableAopCalendar[[#This Row],[Plan]])</f>
        <v>FEBRUARY 30 PLANNED</v>
      </c>
    </row>
    <row r="2887" spans="1:11" x14ac:dyDescent="0.3">
      <c r="A2887" s="32">
        <f t="shared" si="150"/>
        <v>2</v>
      </c>
      <c r="B2887" s="33">
        <v>47537</v>
      </c>
      <c r="C2887" s="6" t="s">
        <v>272</v>
      </c>
      <c r="D2887" s="34">
        <v>30</v>
      </c>
      <c r="E2887" s="32">
        <f>DAY(TableAopCalendar[[#This Row],[Date]])</f>
        <v>23</v>
      </c>
      <c r="F2887" s="32">
        <f>IF(TableAopCalendar[[#This Row],[Day]]&lt;8,1,IF(TableAopCalendar[[#This Row],[Day]]&lt;15,2,IF(TableAopCalendar[[#This Row],[Day]]&lt;22,3,IF(TableAopCalendar[[#This Row],[Day]]&lt;29,4,IF(TableAopCalendar[[#This Row],[Day]]&lt;32,5)))))</f>
        <v>4</v>
      </c>
      <c r="G2887" s="32" t="str">
        <f t="shared" si="151"/>
        <v>Week 4</v>
      </c>
      <c r="H2887" s="32" t="str">
        <f t="shared" si="152"/>
        <v>February 30 Week 4</v>
      </c>
      <c r="I2887" s="32" t="str">
        <f>CONCATENATE(UPPER(TableAopCalendar[[#This Row],[Month]])," ",TableAopCalendar[[#This Row],[Year]])</f>
        <v>FEBRUARY 30</v>
      </c>
      <c r="J2887" s="7" t="s">
        <v>274</v>
      </c>
      <c r="K2887" s="32" t="str">
        <f>CONCATENATE(TableAopCalendar[[#This Row],[Month for Plan]]," ",TableAopCalendar[[#This Row],[Plan]])</f>
        <v>FEBRUARY 30 PLANNED</v>
      </c>
    </row>
    <row r="2888" spans="1:11" x14ac:dyDescent="0.3">
      <c r="A2888" s="32">
        <f t="shared" si="150"/>
        <v>3</v>
      </c>
      <c r="B2888" s="33">
        <v>47538</v>
      </c>
      <c r="C2888" s="6" t="s">
        <v>272</v>
      </c>
      <c r="D2888" s="34">
        <v>30</v>
      </c>
      <c r="E2888" s="32">
        <f>DAY(TableAopCalendar[[#This Row],[Date]])</f>
        <v>24</v>
      </c>
      <c r="F2888" s="32">
        <f>IF(TableAopCalendar[[#This Row],[Day]]&lt;8,1,IF(TableAopCalendar[[#This Row],[Day]]&lt;15,2,IF(TableAopCalendar[[#This Row],[Day]]&lt;22,3,IF(TableAopCalendar[[#This Row],[Day]]&lt;29,4,IF(TableAopCalendar[[#This Row],[Day]]&lt;32,5)))))</f>
        <v>4</v>
      </c>
      <c r="G2888" s="32" t="str">
        <f t="shared" si="151"/>
        <v>Week 4</v>
      </c>
      <c r="H2888" s="32" t="str">
        <f t="shared" si="152"/>
        <v>February 30 Week 4</v>
      </c>
      <c r="I2888" s="32" t="str">
        <f>CONCATENATE(UPPER(TableAopCalendar[[#This Row],[Month]])," ",TableAopCalendar[[#This Row],[Year]])</f>
        <v>FEBRUARY 30</v>
      </c>
      <c r="J2888" s="7" t="s">
        <v>274</v>
      </c>
      <c r="K2888" s="32" t="str">
        <f>CONCATENATE(TableAopCalendar[[#This Row],[Month for Plan]]," ",TableAopCalendar[[#This Row],[Plan]])</f>
        <v>FEBRUARY 30 PLANNED</v>
      </c>
    </row>
    <row r="2889" spans="1:11" x14ac:dyDescent="0.3">
      <c r="A2889" s="32">
        <f t="shared" si="150"/>
        <v>4</v>
      </c>
      <c r="B2889" s="33">
        <v>47539</v>
      </c>
      <c r="C2889" s="6" t="s">
        <v>272</v>
      </c>
      <c r="D2889" s="34">
        <v>30</v>
      </c>
      <c r="E2889" s="32">
        <f>DAY(TableAopCalendar[[#This Row],[Date]])</f>
        <v>25</v>
      </c>
      <c r="F2889" s="32">
        <f>IF(TableAopCalendar[[#This Row],[Day]]&lt;8,1,IF(TableAopCalendar[[#This Row],[Day]]&lt;15,2,IF(TableAopCalendar[[#This Row],[Day]]&lt;22,3,IF(TableAopCalendar[[#This Row],[Day]]&lt;29,4,IF(TableAopCalendar[[#This Row],[Day]]&lt;32,5)))))</f>
        <v>4</v>
      </c>
      <c r="G2889" s="32" t="str">
        <f t="shared" si="151"/>
        <v>Week 4</v>
      </c>
      <c r="H2889" s="32" t="str">
        <f t="shared" si="152"/>
        <v>February 30 Week 4</v>
      </c>
      <c r="I2889" s="32" t="str">
        <f>CONCATENATE(UPPER(TableAopCalendar[[#This Row],[Month]])," ",TableAopCalendar[[#This Row],[Year]])</f>
        <v>FEBRUARY 30</v>
      </c>
      <c r="J2889" s="7" t="s">
        <v>274</v>
      </c>
      <c r="K2889" s="32" t="str">
        <f>CONCATENATE(TableAopCalendar[[#This Row],[Month for Plan]]," ",TableAopCalendar[[#This Row],[Plan]])</f>
        <v>FEBRUARY 30 PLANNED</v>
      </c>
    </row>
    <row r="2890" spans="1:11" x14ac:dyDescent="0.3">
      <c r="A2890" s="32">
        <f t="shared" si="150"/>
        <v>5</v>
      </c>
      <c r="B2890" s="33">
        <v>47540</v>
      </c>
      <c r="C2890" s="6" t="s">
        <v>272</v>
      </c>
      <c r="D2890" s="34">
        <v>30</v>
      </c>
      <c r="E2890" s="32">
        <f>DAY(TableAopCalendar[[#This Row],[Date]])</f>
        <v>26</v>
      </c>
      <c r="F2890" s="32">
        <f>IF(TableAopCalendar[[#This Row],[Day]]&lt;8,1,IF(TableAopCalendar[[#This Row],[Day]]&lt;15,2,IF(TableAopCalendar[[#This Row],[Day]]&lt;22,3,IF(TableAopCalendar[[#This Row],[Day]]&lt;29,4,IF(TableAopCalendar[[#This Row],[Day]]&lt;32,5)))))</f>
        <v>4</v>
      </c>
      <c r="G2890" s="32" t="str">
        <f t="shared" si="151"/>
        <v>Week 4</v>
      </c>
      <c r="H2890" s="32" t="str">
        <f t="shared" si="152"/>
        <v>February 30 Week 4</v>
      </c>
      <c r="I2890" s="32" t="str">
        <f>CONCATENATE(UPPER(TableAopCalendar[[#This Row],[Month]])," ",TableAopCalendar[[#This Row],[Year]])</f>
        <v>FEBRUARY 30</v>
      </c>
      <c r="J2890" s="7" t="s">
        <v>274</v>
      </c>
      <c r="K2890" s="32" t="str">
        <f>CONCATENATE(TableAopCalendar[[#This Row],[Month for Plan]]," ",TableAopCalendar[[#This Row],[Plan]])</f>
        <v>FEBRUARY 30 PLANNED</v>
      </c>
    </row>
    <row r="2891" spans="1:11" x14ac:dyDescent="0.3">
      <c r="A2891" s="32">
        <f t="shared" si="150"/>
        <v>6</v>
      </c>
      <c r="B2891" s="33">
        <v>47541</v>
      </c>
      <c r="C2891" s="6" t="s">
        <v>272</v>
      </c>
      <c r="D2891" s="34">
        <v>30</v>
      </c>
      <c r="E2891" s="32">
        <f>DAY(TableAopCalendar[[#This Row],[Date]])</f>
        <v>27</v>
      </c>
      <c r="F2891" s="32">
        <f>IF(TableAopCalendar[[#This Row],[Day]]&lt;8,1,IF(TableAopCalendar[[#This Row],[Day]]&lt;15,2,IF(TableAopCalendar[[#This Row],[Day]]&lt;22,3,IF(TableAopCalendar[[#This Row],[Day]]&lt;29,4,IF(TableAopCalendar[[#This Row],[Day]]&lt;32,5)))))</f>
        <v>4</v>
      </c>
      <c r="G2891" s="32" t="str">
        <f t="shared" si="151"/>
        <v>Week 4</v>
      </c>
      <c r="H2891" s="32" t="str">
        <f t="shared" si="152"/>
        <v>February 30 Week 4</v>
      </c>
      <c r="I2891" s="32" t="str">
        <f>CONCATENATE(UPPER(TableAopCalendar[[#This Row],[Month]])," ",TableAopCalendar[[#This Row],[Year]])</f>
        <v>FEBRUARY 30</v>
      </c>
      <c r="J2891" s="7" t="s">
        <v>274</v>
      </c>
      <c r="K2891" s="32" t="str">
        <f>CONCATENATE(TableAopCalendar[[#This Row],[Month for Plan]]," ",TableAopCalendar[[#This Row],[Plan]])</f>
        <v>FEBRUARY 30 PLANNED</v>
      </c>
    </row>
    <row r="2892" spans="1:11" x14ac:dyDescent="0.3">
      <c r="A2892" s="32">
        <f t="shared" si="150"/>
        <v>7</v>
      </c>
      <c r="B2892" s="33">
        <v>47542</v>
      </c>
      <c r="C2892" s="6" t="s">
        <v>272</v>
      </c>
      <c r="D2892" s="34">
        <v>30</v>
      </c>
      <c r="E2892" s="32">
        <f>DAY(TableAopCalendar[[#This Row],[Date]])</f>
        <v>28</v>
      </c>
      <c r="F2892" s="32">
        <f>IF(TableAopCalendar[[#This Row],[Day]]&lt;8,1,IF(TableAopCalendar[[#This Row],[Day]]&lt;15,2,IF(TableAopCalendar[[#This Row],[Day]]&lt;22,3,IF(TableAopCalendar[[#This Row],[Day]]&lt;29,4,IF(TableAopCalendar[[#This Row],[Day]]&lt;32,5)))))</f>
        <v>4</v>
      </c>
      <c r="G2892" s="32" t="str">
        <f t="shared" si="151"/>
        <v>Week 4</v>
      </c>
      <c r="H2892" s="32" t="str">
        <f t="shared" si="152"/>
        <v>February 30 Week 4</v>
      </c>
      <c r="I2892" s="32" t="str">
        <f>CONCATENATE(UPPER(TableAopCalendar[[#This Row],[Month]])," ",TableAopCalendar[[#This Row],[Year]])</f>
        <v>FEBRUARY 30</v>
      </c>
      <c r="J2892" s="7" t="s">
        <v>274</v>
      </c>
      <c r="K2892" s="32" t="str">
        <f>CONCATENATE(TableAopCalendar[[#This Row],[Month for Plan]]," ",TableAopCalendar[[#This Row],[Plan]])</f>
        <v>FEBRUARY 30 PLANNED</v>
      </c>
    </row>
    <row r="2893" spans="1:11" x14ac:dyDescent="0.3">
      <c r="A2893" s="32">
        <f t="shared" si="150"/>
        <v>1</v>
      </c>
      <c r="B2893" s="33">
        <v>47543</v>
      </c>
      <c r="C2893" s="6" t="s">
        <v>273</v>
      </c>
      <c r="D2893" s="34">
        <v>30</v>
      </c>
      <c r="E2893" s="32">
        <f>DAY(TableAopCalendar[[#This Row],[Date]])</f>
        <v>1</v>
      </c>
      <c r="F2893" s="32">
        <f>IF(TableAopCalendar[[#This Row],[Day]]&lt;8,1,IF(TableAopCalendar[[#This Row],[Day]]&lt;15,2,IF(TableAopCalendar[[#This Row],[Day]]&lt;22,3,IF(TableAopCalendar[[#This Row],[Day]]&lt;29,4,IF(TableAopCalendar[[#This Row],[Day]]&lt;32,5)))))</f>
        <v>1</v>
      </c>
      <c r="G2893" s="32" t="str">
        <f t="shared" si="151"/>
        <v>Week 1</v>
      </c>
      <c r="H2893" s="32" t="str">
        <f t="shared" si="152"/>
        <v>March 30 Week 1</v>
      </c>
      <c r="I2893" s="32" t="str">
        <f>CONCATENATE(UPPER(TableAopCalendar[[#This Row],[Month]])," ",TableAopCalendar[[#This Row],[Year]])</f>
        <v>MARCH 30</v>
      </c>
      <c r="J2893" s="7" t="s">
        <v>274</v>
      </c>
      <c r="K2893" s="32" t="str">
        <f>CONCATENATE(TableAopCalendar[[#This Row],[Month for Plan]]," ",TableAopCalendar[[#This Row],[Plan]])</f>
        <v>MARCH 30 PLANNED</v>
      </c>
    </row>
    <row r="2894" spans="1:11" x14ac:dyDescent="0.3">
      <c r="A2894" s="32">
        <f t="shared" si="150"/>
        <v>2</v>
      </c>
      <c r="B2894" s="33">
        <v>47544</v>
      </c>
      <c r="C2894" s="6" t="s">
        <v>273</v>
      </c>
      <c r="D2894" s="34">
        <v>30</v>
      </c>
      <c r="E2894" s="32">
        <f>DAY(TableAopCalendar[[#This Row],[Date]])</f>
        <v>2</v>
      </c>
      <c r="F2894" s="32">
        <f>IF(TableAopCalendar[[#This Row],[Day]]&lt;8,1,IF(TableAopCalendar[[#This Row],[Day]]&lt;15,2,IF(TableAopCalendar[[#This Row],[Day]]&lt;22,3,IF(TableAopCalendar[[#This Row],[Day]]&lt;29,4,IF(TableAopCalendar[[#This Row],[Day]]&lt;32,5)))))</f>
        <v>1</v>
      </c>
      <c r="G2894" s="32" t="str">
        <f t="shared" si="151"/>
        <v>Week 1</v>
      </c>
      <c r="H2894" s="32" t="str">
        <f t="shared" si="152"/>
        <v>March 30 Week 1</v>
      </c>
      <c r="I2894" s="32" t="str">
        <f>CONCATENATE(UPPER(TableAopCalendar[[#This Row],[Month]])," ",TableAopCalendar[[#This Row],[Year]])</f>
        <v>MARCH 30</v>
      </c>
      <c r="J2894" s="7" t="s">
        <v>274</v>
      </c>
      <c r="K2894" s="32" t="str">
        <f>CONCATENATE(TableAopCalendar[[#This Row],[Month for Plan]]," ",TableAopCalendar[[#This Row],[Plan]])</f>
        <v>MARCH 30 PLANNED</v>
      </c>
    </row>
    <row r="2895" spans="1:11" x14ac:dyDescent="0.3">
      <c r="A2895" s="32">
        <f t="shared" si="150"/>
        <v>3</v>
      </c>
      <c r="B2895" s="33">
        <v>47545</v>
      </c>
      <c r="C2895" s="6" t="s">
        <v>273</v>
      </c>
      <c r="D2895" s="34">
        <v>30</v>
      </c>
      <c r="E2895" s="32">
        <f>DAY(TableAopCalendar[[#This Row],[Date]])</f>
        <v>3</v>
      </c>
      <c r="F2895" s="32">
        <f>IF(TableAopCalendar[[#This Row],[Day]]&lt;8,1,IF(TableAopCalendar[[#This Row],[Day]]&lt;15,2,IF(TableAopCalendar[[#This Row],[Day]]&lt;22,3,IF(TableAopCalendar[[#This Row],[Day]]&lt;29,4,IF(TableAopCalendar[[#This Row],[Day]]&lt;32,5)))))</f>
        <v>1</v>
      </c>
      <c r="G2895" s="32" t="str">
        <f t="shared" si="151"/>
        <v>Week 1</v>
      </c>
      <c r="H2895" s="32" t="str">
        <f t="shared" si="152"/>
        <v>March 30 Week 1</v>
      </c>
      <c r="I2895" s="32" t="str">
        <f>CONCATENATE(UPPER(TableAopCalendar[[#This Row],[Month]])," ",TableAopCalendar[[#This Row],[Year]])</f>
        <v>MARCH 30</v>
      </c>
      <c r="J2895" s="7" t="s">
        <v>274</v>
      </c>
      <c r="K2895" s="32" t="str">
        <f>CONCATENATE(TableAopCalendar[[#This Row],[Month for Plan]]," ",TableAopCalendar[[#This Row],[Plan]])</f>
        <v>MARCH 30 PLANNED</v>
      </c>
    </row>
    <row r="2896" spans="1:11" x14ac:dyDescent="0.3">
      <c r="A2896" s="32">
        <f t="shared" si="150"/>
        <v>4</v>
      </c>
      <c r="B2896" s="33">
        <v>47546</v>
      </c>
      <c r="C2896" s="6" t="s">
        <v>273</v>
      </c>
      <c r="D2896" s="34">
        <v>30</v>
      </c>
      <c r="E2896" s="32">
        <f>DAY(TableAopCalendar[[#This Row],[Date]])</f>
        <v>4</v>
      </c>
      <c r="F2896" s="32">
        <f>IF(TableAopCalendar[[#This Row],[Day]]&lt;8,1,IF(TableAopCalendar[[#This Row],[Day]]&lt;15,2,IF(TableAopCalendar[[#This Row],[Day]]&lt;22,3,IF(TableAopCalendar[[#This Row],[Day]]&lt;29,4,IF(TableAopCalendar[[#This Row],[Day]]&lt;32,5)))))</f>
        <v>1</v>
      </c>
      <c r="G2896" s="32" t="str">
        <f t="shared" si="151"/>
        <v>Week 1</v>
      </c>
      <c r="H2896" s="32" t="str">
        <f t="shared" si="152"/>
        <v>March 30 Week 1</v>
      </c>
      <c r="I2896" s="32" t="str">
        <f>CONCATENATE(UPPER(TableAopCalendar[[#This Row],[Month]])," ",TableAopCalendar[[#This Row],[Year]])</f>
        <v>MARCH 30</v>
      </c>
      <c r="J2896" s="7" t="s">
        <v>274</v>
      </c>
      <c r="K2896" s="32" t="str">
        <f>CONCATENATE(TableAopCalendar[[#This Row],[Month for Plan]]," ",TableAopCalendar[[#This Row],[Plan]])</f>
        <v>MARCH 30 PLANNED</v>
      </c>
    </row>
    <row r="2897" spans="1:11" x14ac:dyDescent="0.3">
      <c r="A2897" s="32">
        <f t="shared" si="150"/>
        <v>5</v>
      </c>
      <c r="B2897" s="33">
        <v>47547</v>
      </c>
      <c r="C2897" s="6" t="s">
        <v>273</v>
      </c>
      <c r="D2897" s="34">
        <v>30</v>
      </c>
      <c r="E2897" s="32">
        <f>DAY(TableAopCalendar[[#This Row],[Date]])</f>
        <v>5</v>
      </c>
      <c r="F2897" s="32">
        <f>IF(TableAopCalendar[[#This Row],[Day]]&lt;8,1,IF(TableAopCalendar[[#This Row],[Day]]&lt;15,2,IF(TableAopCalendar[[#This Row],[Day]]&lt;22,3,IF(TableAopCalendar[[#This Row],[Day]]&lt;29,4,IF(TableAopCalendar[[#This Row],[Day]]&lt;32,5)))))</f>
        <v>1</v>
      </c>
      <c r="G2897" s="32" t="str">
        <f t="shared" si="151"/>
        <v>Week 1</v>
      </c>
      <c r="H2897" s="32" t="str">
        <f t="shared" si="152"/>
        <v>March 30 Week 1</v>
      </c>
      <c r="I2897" s="32" t="str">
        <f>CONCATENATE(UPPER(TableAopCalendar[[#This Row],[Month]])," ",TableAopCalendar[[#This Row],[Year]])</f>
        <v>MARCH 30</v>
      </c>
      <c r="J2897" s="7" t="s">
        <v>274</v>
      </c>
      <c r="K2897" s="32" t="str">
        <f>CONCATENATE(TableAopCalendar[[#This Row],[Month for Plan]]," ",TableAopCalendar[[#This Row],[Plan]])</f>
        <v>MARCH 30 PLANNED</v>
      </c>
    </row>
    <row r="2898" spans="1:11" x14ac:dyDescent="0.3">
      <c r="A2898" s="32">
        <f t="shared" si="150"/>
        <v>6</v>
      </c>
      <c r="B2898" s="33">
        <v>47548</v>
      </c>
      <c r="C2898" s="6" t="s">
        <v>273</v>
      </c>
      <c r="D2898" s="34">
        <v>30</v>
      </c>
      <c r="E2898" s="32">
        <f>DAY(TableAopCalendar[[#This Row],[Date]])</f>
        <v>6</v>
      </c>
      <c r="F2898" s="32">
        <f>IF(TableAopCalendar[[#This Row],[Day]]&lt;8,1,IF(TableAopCalendar[[#This Row],[Day]]&lt;15,2,IF(TableAopCalendar[[#This Row],[Day]]&lt;22,3,IF(TableAopCalendar[[#This Row],[Day]]&lt;29,4,IF(TableAopCalendar[[#This Row],[Day]]&lt;32,5)))))</f>
        <v>1</v>
      </c>
      <c r="G2898" s="32" t="str">
        <f t="shared" si="151"/>
        <v>Week 1</v>
      </c>
      <c r="H2898" s="32" t="str">
        <f t="shared" si="152"/>
        <v>March 30 Week 1</v>
      </c>
      <c r="I2898" s="32" t="str">
        <f>CONCATENATE(UPPER(TableAopCalendar[[#This Row],[Month]])," ",TableAopCalendar[[#This Row],[Year]])</f>
        <v>MARCH 30</v>
      </c>
      <c r="J2898" s="7" t="s">
        <v>274</v>
      </c>
      <c r="K2898" s="32" t="str">
        <f>CONCATENATE(TableAopCalendar[[#This Row],[Month for Plan]]," ",TableAopCalendar[[#This Row],[Plan]])</f>
        <v>MARCH 30 PLANNED</v>
      </c>
    </row>
    <row r="2899" spans="1:11" x14ac:dyDescent="0.3">
      <c r="A2899" s="32">
        <f t="shared" si="150"/>
        <v>7</v>
      </c>
      <c r="B2899" s="33">
        <v>47549</v>
      </c>
      <c r="C2899" s="6" t="s">
        <v>273</v>
      </c>
      <c r="D2899" s="34">
        <v>30</v>
      </c>
      <c r="E2899" s="32">
        <f>DAY(TableAopCalendar[[#This Row],[Date]])</f>
        <v>7</v>
      </c>
      <c r="F2899" s="32">
        <f>IF(TableAopCalendar[[#This Row],[Day]]&lt;8,1,IF(TableAopCalendar[[#This Row],[Day]]&lt;15,2,IF(TableAopCalendar[[#This Row],[Day]]&lt;22,3,IF(TableAopCalendar[[#This Row],[Day]]&lt;29,4,IF(TableAopCalendar[[#This Row],[Day]]&lt;32,5)))))</f>
        <v>1</v>
      </c>
      <c r="G2899" s="32" t="str">
        <f t="shared" si="151"/>
        <v>Week 1</v>
      </c>
      <c r="H2899" s="32" t="str">
        <f t="shared" si="152"/>
        <v>March 30 Week 1</v>
      </c>
      <c r="I2899" s="32" t="str">
        <f>CONCATENATE(UPPER(TableAopCalendar[[#This Row],[Month]])," ",TableAopCalendar[[#This Row],[Year]])</f>
        <v>MARCH 30</v>
      </c>
      <c r="J2899" s="7" t="s">
        <v>274</v>
      </c>
      <c r="K2899" s="32" t="str">
        <f>CONCATENATE(TableAopCalendar[[#This Row],[Month for Plan]]," ",TableAopCalendar[[#This Row],[Plan]])</f>
        <v>MARCH 30 PLANNED</v>
      </c>
    </row>
    <row r="2900" spans="1:11" x14ac:dyDescent="0.3">
      <c r="A2900" s="32">
        <f t="shared" si="150"/>
        <v>1</v>
      </c>
      <c r="B2900" s="33">
        <v>47550</v>
      </c>
      <c r="C2900" s="6" t="s">
        <v>273</v>
      </c>
      <c r="D2900" s="34">
        <v>30</v>
      </c>
      <c r="E2900" s="32">
        <f>DAY(TableAopCalendar[[#This Row],[Date]])</f>
        <v>8</v>
      </c>
      <c r="F2900" s="32">
        <f>IF(TableAopCalendar[[#This Row],[Day]]&lt;8,1,IF(TableAopCalendar[[#This Row],[Day]]&lt;15,2,IF(TableAopCalendar[[#This Row],[Day]]&lt;22,3,IF(TableAopCalendar[[#This Row],[Day]]&lt;29,4,IF(TableAopCalendar[[#This Row],[Day]]&lt;32,5)))))</f>
        <v>2</v>
      </c>
      <c r="G2900" s="32" t="str">
        <f t="shared" si="151"/>
        <v>Week 2</v>
      </c>
      <c r="H2900" s="32" t="str">
        <f t="shared" si="152"/>
        <v>March 30 Week 2</v>
      </c>
      <c r="I2900" s="32" t="str">
        <f>CONCATENATE(UPPER(TableAopCalendar[[#This Row],[Month]])," ",TableAopCalendar[[#This Row],[Year]])</f>
        <v>MARCH 30</v>
      </c>
      <c r="J2900" s="7" t="s">
        <v>274</v>
      </c>
      <c r="K2900" s="32" t="str">
        <f>CONCATENATE(TableAopCalendar[[#This Row],[Month for Plan]]," ",TableAopCalendar[[#This Row],[Plan]])</f>
        <v>MARCH 30 PLANNED</v>
      </c>
    </row>
    <row r="2901" spans="1:11" x14ac:dyDescent="0.3">
      <c r="A2901" s="32">
        <f t="shared" si="150"/>
        <v>2</v>
      </c>
      <c r="B2901" s="33">
        <v>47551</v>
      </c>
      <c r="C2901" s="6" t="s">
        <v>273</v>
      </c>
      <c r="D2901" s="34">
        <v>30</v>
      </c>
      <c r="E2901" s="32">
        <f>DAY(TableAopCalendar[[#This Row],[Date]])</f>
        <v>9</v>
      </c>
      <c r="F2901" s="32">
        <f>IF(TableAopCalendar[[#This Row],[Day]]&lt;8,1,IF(TableAopCalendar[[#This Row],[Day]]&lt;15,2,IF(TableAopCalendar[[#This Row],[Day]]&lt;22,3,IF(TableAopCalendar[[#This Row],[Day]]&lt;29,4,IF(TableAopCalendar[[#This Row],[Day]]&lt;32,5)))))</f>
        <v>2</v>
      </c>
      <c r="G2901" s="32" t="str">
        <f t="shared" si="151"/>
        <v>Week 2</v>
      </c>
      <c r="H2901" s="32" t="str">
        <f t="shared" si="152"/>
        <v>March 30 Week 2</v>
      </c>
      <c r="I2901" s="32" t="str">
        <f>CONCATENATE(UPPER(TableAopCalendar[[#This Row],[Month]])," ",TableAopCalendar[[#This Row],[Year]])</f>
        <v>MARCH 30</v>
      </c>
      <c r="J2901" s="7" t="s">
        <v>274</v>
      </c>
      <c r="K2901" s="32" t="str">
        <f>CONCATENATE(TableAopCalendar[[#This Row],[Month for Plan]]," ",TableAopCalendar[[#This Row],[Plan]])</f>
        <v>MARCH 30 PLANNED</v>
      </c>
    </row>
    <row r="2902" spans="1:11" x14ac:dyDescent="0.3">
      <c r="A2902" s="32">
        <f t="shared" si="150"/>
        <v>3</v>
      </c>
      <c r="B2902" s="33">
        <v>47552</v>
      </c>
      <c r="C2902" s="6" t="s">
        <v>273</v>
      </c>
      <c r="D2902" s="34">
        <v>30</v>
      </c>
      <c r="E2902" s="32">
        <f>DAY(TableAopCalendar[[#This Row],[Date]])</f>
        <v>10</v>
      </c>
      <c r="F2902" s="32">
        <f>IF(TableAopCalendar[[#This Row],[Day]]&lt;8,1,IF(TableAopCalendar[[#This Row],[Day]]&lt;15,2,IF(TableAopCalendar[[#This Row],[Day]]&lt;22,3,IF(TableAopCalendar[[#This Row],[Day]]&lt;29,4,IF(TableAopCalendar[[#This Row],[Day]]&lt;32,5)))))</f>
        <v>2</v>
      </c>
      <c r="G2902" s="32" t="str">
        <f t="shared" si="151"/>
        <v>Week 2</v>
      </c>
      <c r="H2902" s="32" t="str">
        <f t="shared" si="152"/>
        <v>March 30 Week 2</v>
      </c>
      <c r="I2902" s="32" t="str">
        <f>CONCATENATE(UPPER(TableAopCalendar[[#This Row],[Month]])," ",TableAopCalendar[[#This Row],[Year]])</f>
        <v>MARCH 30</v>
      </c>
      <c r="J2902" s="7" t="s">
        <v>274</v>
      </c>
      <c r="K2902" s="32" t="str">
        <f>CONCATENATE(TableAopCalendar[[#This Row],[Month for Plan]]," ",TableAopCalendar[[#This Row],[Plan]])</f>
        <v>MARCH 30 PLANNED</v>
      </c>
    </row>
    <row r="2903" spans="1:11" x14ac:dyDescent="0.3">
      <c r="A2903" s="32">
        <f t="shared" si="150"/>
        <v>4</v>
      </c>
      <c r="B2903" s="33">
        <v>47553</v>
      </c>
      <c r="C2903" s="6" t="s">
        <v>273</v>
      </c>
      <c r="D2903" s="34">
        <v>30</v>
      </c>
      <c r="E2903" s="32">
        <f>DAY(TableAopCalendar[[#This Row],[Date]])</f>
        <v>11</v>
      </c>
      <c r="F2903" s="32">
        <f>IF(TableAopCalendar[[#This Row],[Day]]&lt;8,1,IF(TableAopCalendar[[#This Row],[Day]]&lt;15,2,IF(TableAopCalendar[[#This Row],[Day]]&lt;22,3,IF(TableAopCalendar[[#This Row],[Day]]&lt;29,4,IF(TableAopCalendar[[#This Row],[Day]]&lt;32,5)))))</f>
        <v>2</v>
      </c>
      <c r="G2903" s="32" t="str">
        <f t="shared" si="151"/>
        <v>Week 2</v>
      </c>
      <c r="H2903" s="32" t="str">
        <f t="shared" si="152"/>
        <v>March 30 Week 2</v>
      </c>
      <c r="I2903" s="32" t="str">
        <f>CONCATENATE(UPPER(TableAopCalendar[[#This Row],[Month]])," ",TableAopCalendar[[#This Row],[Year]])</f>
        <v>MARCH 30</v>
      </c>
      <c r="J2903" s="7" t="s">
        <v>274</v>
      </c>
      <c r="K2903" s="32" t="str">
        <f>CONCATENATE(TableAopCalendar[[#This Row],[Month for Plan]]," ",TableAopCalendar[[#This Row],[Plan]])</f>
        <v>MARCH 30 PLANNED</v>
      </c>
    </row>
    <row r="2904" spans="1:11" x14ac:dyDescent="0.3">
      <c r="A2904" s="32">
        <f t="shared" si="150"/>
        <v>5</v>
      </c>
      <c r="B2904" s="33">
        <v>47554</v>
      </c>
      <c r="C2904" s="6" t="s">
        <v>273</v>
      </c>
      <c r="D2904" s="34">
        <v>30</v>
      </c>
      <c r="E2904" s="32">
        <f>DAY(TableAopCalendar[[#This Row],[Date]])</f>
        <v>12</v>
      </c>
      <c r="F2904" s="32">
        <f>IF(TableAopCalendar[[#This Row],[Day]]&lt;8,1,IF(TableAopCalendar[[#This Row],[Day]]&lt;15,2,IF(TableAopCalendar[[#This Row],[Day]]&lt;22,3,IF(TableAopCalendar[[#This Row],[Day]]&lt;29,4,IF(TableAopCalendar[[#This Row],[Day]]&lt;32,5)))))</f>
        <v>2</v>
      </c>
      <c r="G2904" s="32" t="str">
        <f t="shared" si="151"/>
        <v>Week 2</v>
      </c>
      <c r="H2904" s="32" t="str">
        <f t="shared" si="152"/>
        <v>March 30 Week 2</v>
      </c>
      <c r="I2904" s="32" t="str">
        <f>CONCATENATE(UPPER(TableAopCalendar[[#This Row],[Month]])," ",TableAopCalendar[[#This Row],[Year]])</f>
        <v>MARCH 30</v>
      </c>
      <c r="J2904" s="7" t="s">
        <v>274</v>
      </c>
      <c r="K2904" s="32" t="str">
        <f>CONCATENATE(TableAopCalendar[[#This Row],[Month for Plan]]," ",TableAopCalendar[[#This Row],[Plan]])</f>
        <v>MARCH 30 PLANNED</v>
      </c>
    </row>
    <row r="2905" spans="1:11" x14ac:dyDescent="0.3">
      <c r="A2905" s="32">
        <f t="shared" si="150"/>
        <v>6</v>
      </c>
      <c r="B2905" s="33">
        <v>47555</v>
      </c>
      <c r="C2905" s="6" t="s">
        <v>273</v>
      </c>
      <c r="D2905" s="34">
        <v>30</v>
      </c>
      <c r="E2905" s="32">
        <f>DAY(TableAopCalendar[[#This Row],[Date]])</f>
        <v>13</v>
      </c>
      <c r="F2905" s="32">
        <f>IF(TableAopCalendar[[#This Row],[Day]]&lt;8,1,IF(TableAopCalendar[[#This Row],[Day]]&lt;15,2,IF(TableAopCalendar[[#This Row],[Day]]&lt;22,3,IF(TableAopCalendar[[#This Row],[Day]]&lt;29,4,IF(TableAopCalendar[[#This Row],[Day]]&lt;32,5)))))</f>
        <v>2</v>
      </c>
      <c r="G2905" s="32" t="str">
        <f t="shared" si="151"/>
        <v>Week 2</v>
      </c>
      <c r="H2905" s="32" t="str">
        <f t="shared" si="152"/>
        <v>March 30 Week 2</v>
      </c>
      <c r="I2905" s="32" t="str">
        <f>CONCATENATE(UPPER(TableAopCalendar[[#This Row],[Month]])," ",TableAopCalendar[[#This Row],[Year]])</f>
        <v>MARCH 30</v>
      </c>
      <c r="J2905" s="7" t="s">
        <v>274</v>
      </c>
      <c r="K2905" s="32" t="str">
        <f>CONCATENATE(TableAopCalendar[[#This Row],[Month for Plan]]," ",TableAopCalendar[[#This Row],[Plan]])</f>
        <v>MARCH 30 PLANNED</v>
      </c>
    </row>
    <row r="2906" spans="1:11" x14ac:dyDescent="0.3">
      <c r="A2906" s="32">
        <f t="shared" si="150"/>
        <v>7</v>
      </c>
      <c r="B2906" s="33">
        <v>47556</v>
      </c>
      <c r="C2906" s="6" t="s">
        <v>273</v>
      </c>
      <c r="D2906" s="34">
        <v>30</v>
      </c>
      <c r="E2906" s="32">
        <f>DAY(TableAopCalendar[[#This Row],[Date]])</f>
        <v>14</v>
      </c>
      <c r="F2906" s="32">
        <f>IF(TableAopCalendar[[#This Row],[Day]]&lt;8,1,IF(TableAopCalendar[[#This Row],[Day]]&lt;15,2,IF(TableAopCalendar[[#This Row],[Day]]&lt;22,3,IF(TableAopCalendar[[#This Row],[Day]]&lt;29,4,IF(TableAopCalendar[[#This Row],[Day]]&lt;32,5)))))</f>
        <v>2</v>
      </c>
      <c r="G2906" s="32" t="str">
        <f t="shared" si="151"/>
        <v>Week 2</v>
      </c>
      <c r="H2906" s="32" t="str">
        <f t="shared" si="152"/>
        <v>March 30 Week 2</v>
      </c>
      <c r="I2906" s="32" t="str">
        <f>CONCATENATE(UPPER(TableAopCalendar[[#This Row],[Month]])," ",TableAopCalendar[[#This Row],[Year]])</f>
        <v>MARCH 30</v>
      </c>
      <c r="J2906" s="7" t="s">
        <v>274</v>
      </c>
      <c r="K2906" s="32" t="str">
        <f>CONCATENATE(TableAopCalendar[[#This Row],[Month for Plan]]," ",TableAopCalendar[[#This Row],[Plan]])</f>
        <v>MARCH 30 PLANNED</v>
      </c>
    </row>
    <row r="2907" spans="1:11" x14ac:dyDescent="0.3">
      <c r="A2907" s="32">
        <f t="shared" si="150"/>
        <v>1</v>
      </c>
      <c r="B2907" s="33">
        <v>47557</v>
      </c>
      <c r="C2907" s="6" t="s">
        <v>273</v>
      </c>
      <c r="D2907" s="34">
        <v>30</v>
      </c>
      <c r="E2907" s="32">
        <f>DAY(TableAopCalendar[[#This Row],[Date]])</f>
        <v>15</v>
      </c>
      <c r="F2907" s="32">
        <f>IF(TableAopCalendar[[#This Row],[Day]]&lt;8,1,IF(TableAopCalendar[[#This Row],[Day]]&lt;15,2,IF(TableAopCalendar[[#This Row],[Day]]&lt;22,3,IF(TableAopCalendar[[#This Row],[Day]]&lt;29,4,IF(TableAopCalendar[[#This Row],[Day]]&lt;32,5)))))</f>
        <v>3</v>
      </c>
      <c r="G2907" s="32" t="str">
        <f t="shared" si="151"/>
        <v>Week 3</v>
      </c>
      <c r="H2907" s="32" t="str">
        <f t="shared" si="152"/>
        <v>March 30 Week 3</v>
      </c>
      <c r="I2907" s="32" t="str">
        <f>CONCATENATE(UPPER(TableAopCalendar[[#This Row],[Month]])," ",TableAopCalendar[[#This Row],[Year]])</f>
        <v>MARCH 30</v>
      </c>
      <c r="J2907" s="7" t="s">
        <v>274</v>
      </c>
      <c r="K2907" s="32" t="str">
        <f>CONCATENATE(TableAopCalendar[[#This Row],[Month for Plan]]," ",TableAopCalendar[[#This Row],[Plan]])</f>
        <v>MARCH 30 PLANNED</v>
      </c>
    </row>
    <row r="2908" spans="1:11" x14ac:dyDescent="0.3">
      <c r="A2908" s="32">
        <f t="shared" si="150"/>
        <v>2</v>
      </c>
      <c r="B2908" s="33">
        <v>47558</v>
      </c>
      <c r="C2908" s="6" t="s">
        <v>273</v>
      </c>
      <c r="D2908" s="34">
        <v>30</v>
      </c>
      <c r="E2908" s="32">
        <f>DAY(TableAopCalendar[[#This Row],[Date]])</f>
        <v>16</v>
      </c>
      <c r="F2908" s="32">
        <f>IF(TableAopCalendar[[#This Row],[Day]]&lt;8,1,IF(TableAopCalendar[[#This Row],[Day]]&lt;15,2,IF(TableAopCalendar[[#This Row],[Day]]&lt;22,3,IF(TableAopCalendar[[#This Row],[Day]]&lt;29,4,IF(TableAopCalendar[[#This Row],[Day]]&lt;32,5)))))</f>
        <v>3</v>
      </c>
      <c r="G2908" s="32" t="str">
        <f t="shared" si="151"/>
        <v>Week 3</v>
      </c>
      <c r="H2908" s="32" t="str">
        <f t="shared" si="152"/>
        <v>March 30 Week 3</v>
      </c>
      <c r="I2908" s="32" t="str">
        <f>CONCATENATE(UPPER(TableAopCalendar[[#This Row],[Month]])," ",TableAopCalendar[[#This Row],[Year]])</f>
        <v>MARCH 30</v>
      </c>
      <c r="J2908" s="7" t="s">
        <v>274</v>
      </c>
      <c r="K2908" s="32" t="str">
        <f>CONCATENATE(TableAopCalendar[[#This Row],[Month for Plan]]," ",TableAopCalendar[[#This Row],[Plan]])</f>
        <v>MARCH 30 PLANNED</v>
      </c>
    </row>
    <row r="2909" spans="1:11" x14ac:dyDescent="0.3">
      <c r="A2909" s="32">
        <f t="shared" si="150"/>
        <v>3</v>
      </c>
      <c r="B2909" s="33">
        <v>47559</v>
      </c>
      <c r="C2909" s="6" t="s">
        <v>273</v>
      </c>
      <c r="D2909" s="34">
        <v>30</v>
      </c>
      <c r="E2909" s="32">
        <f>DAY(TableAopCalendar[[#This Row],[Date]])</f>
        <v>17</v>
      </c>
      <c r="F2909" s="32">
        <f>IF(TableAopCalendar[[#This Row],[Day]]&lt;8,1,IF(TableAopCalendar[[#This Row],[Day]]&lt;15,2,IF(TableAopCalendar[[#This Row],[Day]]&lt;22,3,IF(TableAopCalendar[[#This Row],[Day]]&lt;29,4,IF(TableAopCalendar[[#This Row],[Day]]&lt;32,5)))))</f>
        <v>3</v>
      </c>
      <c r="G2909" s="32" t="str">
        <f t="shared" si="151"/>
        <v>Week 3</v>
      </c>
      <c r="H2909" s="32" t="str">
        <f t="shared" si="152"/>
        <v>March 30 Week 3</v>
      </c>
      <c r="I2909" s="32" t="str">
        <f>CONCATENATE(UPPER(TableAopCalendar[[#This Row],[Month]])," ",TableAopCalendar[[#This Row],[Year]])</f>
        <v>MARCH 30</v>
      </c>
      <c r="J2909" s="7" t="s">
        <v>274</v>
      </c>
      <c r="K2909" s="32" t="str">
        <f>CONCATENATE(TableAopCalendar[[#This Row],[Month for Plan]]," ",TableAopCalendar[[#This Row],[Plan]])</f>
        <v>MARCH 30 PLANNED</v>
      </c>
    </row>
    <row r="2910" spans="1:11" x14ac:dyDescent="0.3">
      <c r="A2910" s="32">
        <f t="shared" si="150"/>
        <v>4</v>
      </c>
      <c r="B2910" s="33">
        <v>47560</v>
      </c>
      <c r="C2910" s="6" t="s">
        <v>273</v>
      </c>
      <c r="D2910" s="34">
        <v>30</v>
      </c>
      <c r="E2910" s="32">
        <f>DAY(TableAopCalendar[[#This Row],[Date]])</f>
        <v>18</v>
      </c>
      <c r="F2910" s="32">
        <f>IF(TableAopCalendar[[#This Row],[Day]]&lt;8,1,IF(TableAopCalendar[[#This Row],[Day]]&lt;15,2,IF(TableAopCalendar[[#This Row],[Day]]&lt;22,3,IF(TableAopCalendar[[#This Row],[Day]]&lt;29,4,IF(TableAopCalendar[[#This Row],[Day]]&lt;32,5)))))</f>
        <v>3</v>
      </c>
      <c r="G2910" s="32" t="str">
        <f t="shared" si="151"/>
        <v>Week 3</v>
      </c>
      <c r="H2910" s="32" t="str">
        <f t="shared" si="152"/>
        <v>March 30 Week 3</v>
      </c>
      <c r="I2910" s="32" t="str">
        <f>CONCATENATE(UPPER(TableAopCalendar[[#This Row],[Month]])," ",TableAopCalendar[[#This Row],[Year]])</f>
        <v>MARCH 30</v>
      </c>
      <c r="J2910" s="7" t="s">
        <v>274</v>
      </c>
      <c r="K2910" s="32" t="str">
        <f>CONCATENATE(TableAopCalendar[[#This Row],[Month for Plan]]," ",TableAopCalendar[[#This Row],[Plan]])</f>
        <v>MARCH 30 PLANNED</v>
      </c>
    </row>
    <row r="2911" spans="1:11" x14ac:dyDescent="0.3">
      <c r="A2911" s="32">
        <f t="shared" si="150"/>
        <v>5</v>
      </c>
      <c r="B2911" s="33">
        <v>47561</v>
      </c>
      <c r="C2911" s="6" t="s">
        <v>273</v>
      </c>
      <c r="D2911" s="34">
        <v>30</v>
      </c>
      <c r="E2911" s="32">
        <f>DAY(TableAopCalendar[[#This Row],[Date]])</f>
        <v>19</v>
      </c>
      <c r="F2911" s="32">
        <f>IF(TableAopCalendar[[#This Row],[Day]]&lt;8,1,IF(TableAopCalendar[[#This Row],[Day]]&lt;15,2,IF(TableAopCalendar[[#This Row],[Day]]&lt;22,3,IF(TableAopCalendar[[#This Row],[Day]]&lt;29,4,IF(TableAopCalendar[[#This Row],[Day]]&lt;32,5)))))</f>
        <v>3</v>
      </c>
      <c r="G2911" s="32" t="str">
        <f t="shared" si="151"/>
        <v>Week 3</v>
      </c>
      <c r="H2911" s="32" t="str">
        <f t="shared" si="152"/>
        <v>March 30 Week 3</v>
      </c>
      <c r="I2911" s="32" t="str">
        <f>CONCATENATE(UPPER(TableAopCalendar[[#This Row],[Month]])," ",TableAopCalendar[[#This Row],[Year]])</f>
        <v>MARCH 30</v>
      </c>
      <c r="J2911" s="7" t="s">
        <v>274</v>
      </c>
      <c r="K2911" s="32" t="str">
        <f>CONCATENATE(TableAopCalendar[[#This Row],[Month for Plan]]," ",TableAopCalendar[[#This Row],[Plan]])</f>
        <v>MARCH 30 PLANNED</v>
      </c>
    </row>
    <row r="2912" spans="1:11" x14ac:dyDescent="0.3">
      <c r="A2912" s="32">
        <f t="shared" si="150"/>
        <v>6</v>
      </c>
      <c r="B2912" s="33">
        <v>47562</v>
      </c>
      <c r="C2912" s="6" t="s">
        <v>273</v>
      </c>
      <c r="D2912" s="34">
        <v>30</v>
      </c>
      <c r="E2912" s="32">
        <f>DAY(TableAopCalendar[[#This Row],[Date]])</f>
        <v>20</v>
      </c>
      <c r="F2912" s="32">
        <f>IF(TableAopCalendar[[#This Row],[Day]]&lt;8,1,IF(TableAopCalendar[[#This Row],[Day]]&lt;15,2,IF(TableAopCalendar[[#This Row],[Day]]&lt;22,3,IF(TableAopCalendar[[#This Row],[Day]]&lt;29,4,IF(TableAopCalendar[[#This Row],[Day]]&lt;32,5)))))</f>
        <v>3</v>
      </c>
      <c r="G2912" s="32" t="str">
        <f t="shared" si="151"/>
        <v>Week 3</v>
      </c>
      <c r="H2912" s="32" t="str">
        <f t="shared" si="152"/>
        <v>March 30 Week 3</v>
      </c>
      <c r="I2912" s="32" t="str">
        <f>CONCATENATE(UPPER(TableAopCalendar[[#This Row],[Month]])," ",TableAopCalendar[[#This Row],[Year]])</f>
        <v>MARCH 30</v>
      </c>
      <c r="J2912" s="7" t="s">
        <v>274</v>
      </c>
      <c r="K2912" s="32" t="str">
        <f>CONCATENATE(TableAopCalendar[[#This Row],[Month for Plan]]," ",TableAopCalendar[[#This Row],[Plan]])</f>
        <v>MARCH 30 PLANNED</v>
      </c>
    </row>
    <row r="2913" spans="1:11" x14ac:dyDescent="0.3">
      <c r="A2913" s="32">
        <f t="shared" si="150"/>
        <v>7</v>
      </c>
      <c r="B2913" s="33">
        <v>47563</v>
      </c>
      <c r="C2913" s="6" t="s">
        <v>273</v>
      </c>
      <c r="D2913" s="34">
        <v>30</v>
      </c>
      <c r="E2913" s="32">
        <f>DAY(TableAopCalendar[[#This Row],[Date]])</f>
        <v>21</v>
      </c>
      <c r="F2913" s="32">
        <f>IF(TableAopCalendar[[#This Row],[Day]]&lt;8,1,IF(TableAopCalendar[[#This Row],[Day]]&lt;15,2,IF(TableAopCalendar[[#This Row],[Day]]&lt;22,3,IF(TableAopCalendar[[#This Row],[Day]]&lt;29,4,IF(TableAopCalendar[[#This Row],[Day]]&lt;32,5)))))</f>
        <v>3</v>
      </c>
      <c r="G2913" s="32" t="str">
        <f t="shared" si="151"/>
        <v>Week 3</v>
      </c>
      <c r="H2913" s="32" t="str">
        <f t="shared" si="152"/>
        <v>March 30 Week 3</v>
      </c>
      <c r="I2913" s="32" t="str">
        <f>CONCATENATE(UPPER(TableAopCalendar[[#This Row],[Month]])," ",TableAopCalendar[[#This Row],[Year]])</f>
        <v>MARCH 30</v>
      </c>
      <c r="J2913" s="7" t="s">
        <v>274</v>
      </c>
      <c r="K2913" s="32" t="str">
        <f>CONCATENATE(TableAopCalendar[[#This Row],[Month for Plan]]," ",TableAopCalendar[[#This Row],[Plan]])</f>
        <v>MARCH 30 PLANNED</v>
      </c>
    </row>
    <row r="2914" spans="1:11" x14ac:dyDescent="0.3">
      <c r="A2914" s="32">
        <f t="shared" si="150"/>
        <v>1</v>
      </c>
      <c r="B2914" s="33">
        <v>47564</v>
      </c>
      <c r="C2914" s="6" t="s">
        <v>273</v>
      </c>
      <c r="D2914" s="34">
        <v>30</v>
      </c>
      <c r="E2914" s="32">
        <f>DAY(TableAopCalendar[[#This Row],[Date]])</f>
        <v>22</v>
      </c>
      <c r="F2914" s="32">
        <f>IF(TableAopCalendar[[#This Row],[Day]]&lt;8,1,IF(TableAopCalendar[[#This Row],[Day]]&lt;15,2,IF(TableAopCalendar[[#This Row],[Day]]&lt;22,3,IF(TableAopCalendar[[#This Row],[Day]]&lt;29,4,IF(TableAopCalendar[[#This Row],[Day]]&lt;32,5)))))</f>
        <v>4</v>
      </c>
      <c r="G2914" s="32" t="str">
        <f t="shared" si="151"/>
        <v>Week 4</v>
      </c>
      <c r="H2914" s="32" t="str">
        <f t="shared" si="152"/>
        <v>March 30 Week 4</v>
      </c>
      <c r="I2914" s="32" t="str">
        <f>CONCATENATE(UPPER(TableAopCalendar[[#This Row],[Month]])," ",TableAopCalendar[[#This Row],[Year]])</f>
        <v>MARCH 30</v>
      </c>
      <c r="J2914" s="7" t="s">
        <v>274</v>
      </c>
      <c r="K2914" s="32" t="str">
        <f>CONCATENATE(TableAopCalendar[[#This Row],[Month for Plan]]," ",TableAopCalendar[[#This Row],[Plan]])</f>
        <v>MARCH 30 PLANNED</v>
      </c>
    </row>
    <row r="2915" spans="1:11" x14ac:dyDescent="0.3">
      <c r="A2915" s="32">
        <f t="shared" si="150"/>
        <v>2</v>
      </c>
      <c r="B2915" s="33">
        <v>47565</v>
      </c>
      <c r="C2915" s="6" t="s">
        <v>273</v>
      </c>
      <c r="D2915" s="34">
        <v>30</v>
      </c>
      <c r="E2915" s="32">
        <f>DAY(TableAopCalendar[[#This Row],[Date]])</f>
        <v>23</v>
      </c>
      <c r="F2915" s="32">
        <f>IF(TableAopCalendar[[#This Row],[Day]]&lt;8,1,IF(TableAopCalendar[[#This Row],[Day]]&lt;15,2,IF(TableAopCalendar[[#This Row],[Day]]&lt;22,3,IF(TableAopCalendar[[#This Row],[Day]]&lt;29,4,IF(TableAopCalendar[[#This Row],[Day]]&lt;32,5)))))</f>
        <v>4</v>
      </c>
      <c r="G2915" s="32" t="str">
        <f t="shared" si="151"/>
        <v>Week 4</v>
      </c>
      <c r="H2915" s="32" t="str">
        <f t="shared" si="152"/>
        <v>March 30 Week 4</v>
      </c>
      <c r="I2915" s="32" t="str">
        <f>CONCATENATE(UPPER(TableAopCalendar[[#This Row],[Month]])," ",TableAopCalendar[[#This Row],[Year]])</f>
        <v>MARCH 30</v>
      </c>
      <c r="J2915" s="7" t="s">
        <v>274</v>
      </c>
      <c r="K2915" s="32" t="str">
        <f>CONCATENATE(TableAopCalendar[[#This Row],[Month for Plan]]," ",TableAopCalendar[[#This Row],[Plan]])</f>
        <v>MARCH 30 PLANNED</v>
      </c>
    </row>
    <row r="2916" spans="1:11" x14ac:dyDescent="0.3">
      <c r="A2916" s="32">
        <f t="shared" ref="A2916:A2921" si="153">IF(G2916=G2915,A2915+1,1)</f>
        <v>3</v>
      </c>
      <c r="B2916" s="33">
        <v>47566</v>
      </c>
      <c r="C2916" s="6" t="s">
        <v>273</v>
      </c>
      <c r="D2916" s="34">
        <v>30</v>
      </c>
      <c r="E2916" s="32">
        <f>DAY(TableAopCalendar[[#This Row],[Date]])</f>
        <v>24</v>
      </c>
      <c r="F2916" s="32">
        <f>IF(TableAopCalendar[[#This Row],[Day]]&lt;8,1,IF(TableAopCalendar[[#This Row],[Day]]&lt;15,2,IF(TableAopCalendar[[#This Row],[Day]]&lt;22,3,IF(TableAopCalendar[[#This Row],[Day]]&lt;29,4,IF(TableAopCalendar[[#This Row],[Day]]&lt;32,5)))))</f>
        <v>4</v>
      </c>
      <c r="G2916" s="32" t="str">
        <f t="shared" ref="G2916:G2921" si="154">"Week"&amp;" "&amp;F2916</f>
        <v>Week 4</v>
      </c>
      <c r="H2916" s="32" t="str">
        <f t="shared" ref="H2916:H2921" si="155">CONCATENATE(C2916," ",D2916," ",G2916)</f>
        <v>March 30 Week 4</v>
      </c>
      <c r="I2916" s="32" t="str">
        <f>CONCATENATE(UPPER(TableAopCalendar[[#This Row],[Month]])," ",TableAopCalendar[[#This Row],[Year]])</f>
        <v>MARCH 30</v>
      </c>
      <c r="J2916" s="7" t="s">
        <v>274</v>
      </c>
      <c r="K2916" s="32" t="str">
        <f>CONCATENATE(TableAopCalendar[[#This Row],[Month for Plan]]," ",TableAopCalendar[[#This Row],[Plan]])</f>
        <v>MARCH 30 PLANNED</v>
      </c>
    </row>
    <row r="2917" spans="1:11" x14ac:dyDescent="0.3">
      <c r="A2917" s="32">
        <f t="shared" si="153"/>
        <v>4</v>
      </c>
      <c r="B2917" s="33">
        <v>47567</v>
      </c>
      <c r="C2917" s="6" t="s">
        <v>273</v>
      </c>
      <c r="D2917" s="34">
        <v>30</v>
      </c>
      <c r="E2917" s="32">
        <f>DAY(TableAopCalendar[[#This Row],[Date]])</f>
        <v>25</v>
      </c>
      <c r="F2917" s="32">
        <f>IF(TableAopCalendar[[#This Row],[Day]]&lt;8,1,IF(TableAopCalendar[[#This Row],[Day]]&lt;15,2,IF(TableAopCalendar[[#This Row],[Day]]&lt;22,3,IF(TableAopCalendar[[#This Row],[Day]]&lt;29,4,IF(TableAopCalendar[[#This Row],[Day]]&lt;32,5)))))</f>
        <v>4</v>
      </c>
      <c r="G2917" s="32" t="str">
        <f t="shared" si="154"/>
        <v>Week 4</v>
      </c>
      <c r="H2917" s="32" t="str">
        <f t="shared" si="155"/>
        <v>March 30 Week 4</v>
      </c>
      <c r="I2917" s="32" t="str">
        <f>CONCATENATE(UPPER(TableAopCalendar[[#This Row],[Month]])," ",TableAopCalendar[[#This Row],[Year]])</f>
        <v>MARCH 30</v>
      </c>
      <c r="J2917" s="7" t="s">
        <v>274</v>
      </c>
      <c r="K2917" s="32" t="str">
        <f>CONCATENATE(TableAopCalendar[[#This Row],[Month for Plan]]," ",TableAopCalendar[[#This Row],[Plan]])</f>
        <v>MARCH 30 PLANNED</v>
      </c>
    </row>
    <row r="2918" spans="1:11" x14ac:dyDescent="0.3">
      <c r="A2918" s="32">
        <f t="shared" si="153"/>
        <v>5</v>
      </c>
      <c r="B2918" s="33">
        <v>47568</v>
      </c>
      <c r="C2918" s="6" t="s">
        <v>273</v>
      </c>
      <c r="D2918" s="34">
        <v>30</v>
      </c>
      <c r="E2918" s="32">
        <f>DAY(TableAopCalendar[[#This Row],[Date]])</f>
        <v>26</v>
      </c>
      <c r="F2918" s="32">
        <f>IF(TableAopCalendar[[#This Row],[Day]]&lt;8,1,IF(TableAopCalendar[[#This Row],[Day]]&lt;15,2,IF(TableAopCalendar[[#This Row],[Day]]&lt;22,3,IF(TableAopCalendar[[#This Row],[Day]]&lt;29,4,IF(TableAopCalendar[[#This Row],[Day]]&lt;32,5)))))</f>
        <v>4</v>
      </c>
      <c r="G2918" s="32" t="str">
        <f t="shared" si="154"/>
        <v>Week 4</v>
      </c>
      <c r="H2918" s="32" t="str">
        <f t="shared" si="155"/>
        <v>March 30 Week 4</v>
      </c>
      <c r="I2918" s="32" t="str">
        <f>CONCATENATE(UPPER(TableAopCalendar[[#This Row],[Month]])," ",TableAopCalendar[[#This Row],[Year]])</f>
        <v>MARCH 30</v>
      </c>
      <c r="J2918" s="7" t="s">
        <v>274</v>
      </c>
      <c r="K2918" s="32" t="str">
        <f>CONCATENATE(TableAopCalendar[[#This Row],[Month for Plan]]," ",TableAopCalendar[[#This Row],[Plan]])</f>
        <v>MARCH 30 PLANNED</v>
      </c>
    </row>
    <row r="2919" spans="1:11" x14ac:dyDescent="0.3">
      <c r="A2919" s="32">
        <f t="shared" si="153"/>
        <v>6</v>
      </c>
      <c r="B2919" s="33">
        <v>47569</v>
      </c>
      <c r="C2919" s="6" t="s">
        <v>273</v>
      </c>
      <c r="D2919" s="34">
        <v>30</v>
      </c>
      <c r="E2919" s="32">
        <f>DAY(TableAopCalendar[[#This Row],[Date]])</f>
        <v>27</v>
      </c>
      <c r="F2919" s="32">
        <f>IF(TableAopCalendar[[#This Row],[Day]]&lt;8,1,IF(TableAopCalendar[[#This Row],[Day]]&lt;15,2,IF(TableAopCalendar[[#This Row],[Day]]&lt;22,3,IF(TableAopCalendar[[#This Row],[Day]]&lt;29,4,IF(TableAopCalendar[[#This Row],[Day]]&lt;32,5)))))</f>
        <v>4</v>
      </c>
      <c r="G2919" s="32" t="str">
        <f t="shared" si="154"/>
        <v>Week 4</v>
      </c>
      <c r="H2919" s="32" t="str">
        <f t="shared" si="155"/>
        <v>March 30 Week 4</v>
      </c>
      <c r="I2919" s="32" t="str">
        <f>CONCATENATE(UPPER(TableAopCalendar[[#This Row],[Month]])," ",TableAopCalendar[[#This Row],[Year]])</f>
        <v>MARCH 30</v>
      </c>
      <c r="J2919" s="7" t="s">
        <v>274</v>
      </c>
      <c r="K2919" s="32" t="str">
        <f>CONCATENATE(TableAopCalendar[[#This Row],[Month for Plan]]," ",TableAopCalendar[[#This Row],[Plan]])</f>
        <v>MARCH 30 PLANNED</v>
      </c>
    </row>
    <row r="2920" spans="1:11" x14ac:dyDescent="0.3">
      <c r="A2920" s="32">
        <f t="shared" si="153"/>
        <v>7</v>
      </c>
      <c r="B2920" s="33">
        <v>47570</v>
      </c>
      <c r="C2920" s="6" t="s">
        <v>273</v>
      </c>
      <c r="D2920" s="34">
        <v>30</v>
      </c>
      <c r="E2920" s="32">
        <f>DAY(TableAopCalendar[[#This Row],[Date]])</f>
        <v>28</v>
      </c>
      <c r="F2920" s="32">
        <f>IF(TableAopCalendar[[#This Row],[Day]]&lt;8,1,IF(TableAopCalendar[[#This Row],[Day]]&lt;15,2,IF(TableAopCalendar[[#This Row],[Day]]&lt;22,3,IF(TableAopCalendar[[#This Row],[Day]]&lt;29,4,IF(TableAopCalendar[[#This Row],[Day]]&lt;32,5)))))</f>
        <v>4</v>
      </c>
      <c r="G2920" s="32" t="str">
        <f t="shared" si="154"/>
        <v>Week 4</v>
      </c>
      <c r="H2920" s="32" t="str">
        <f t="shared" si="155"/>
        <v>March 30 Week 4</v>
      </c>
      <c r="I2920" s="32" t="str">
        <f>CONCATENATE(UPPER(TableAopCalendar[[#This Row],[Month]])," ",TableAopCalendar[[#This Row],[Year]])</f>
        <v>MARCH 30</v>
      </c>
      <c r="J2920" s="7" t="s">
        <v>274</v>
      </c>
      <c r="K2920" s="32" t="str">
        <f>CONCATENATE(TableAopCalendar[[#This Row],[Month for Plan]]," ",TableAopCalendar[[#This Row],[Plan]])</f>
        <v>MARCH 30 PLANNED</v>
      </c>
    </row>
    <row r="2921" spans="1:11" x14ac:dyDescent="0.3">
      <c r="A2921" s="32">
        <f t="shared" si="153"/>
        <v>1</v>
      </c>
      <c r="B2921" s="33">
        <v>47571</v>
      </c>
      <c r="C2921" s="6" t="s">
        <v>273</v>
      </c>
      <c r="D2921" s="34">
        <v>30</v>
      </c>
      <c r="E2921" s="32">
        <f>DAY(TableAopCalendar[[#This Row],[Date]])</f>
        <v>29</v>
      </c>
      <c r="F2921" s="32">
        <f>IF(TableAopCalendar[[#This Row],[Day]]&lt;8,1,IF(TableAopCalendar[[#This Row],[Day]]&lt;15,2,IF(TableAopCalendar[[#This Row],[Day]]&lt;22,3,IF(TableAopCalendar[[#This Row],[Day]]&lt;29,4,IF(TableAopCalendar[[#This Row],[Day]]&lt;32,5)))))</f>
        <v>5</v>
      </c>
      <c r="G2921" s="32" t="str">
        <f t="shared" si="154"/>
        <v>Week 5</v>
      </c>
      <c r="H2921" s="32" t="str">
        <f t="shared" si="155"/>
        <v>March 30 Week 5</v>
      </c>
      <c r="I2921" s="32" t="str">
        <f>CONCATENATE(UPPER(TableAopCalendar[[#This Row],[Month]])," ",TableAopCalendar[[#This Row],[Year]])</f>
        <v>MARCH 30</v>
      </c>
      <c r="J2921" s="7" t="s">
        <v>274</v>
      </c>
      <c r="K2921" s="32" t="str">
        <f>CONCATENATE(TableAopCalendar[[#This Row],[Month for Plan]]," ",TableAopCalendar[[#This Row],[Plan]])</f>
        <v>MARCH 30 PLANNED</v>
      </c>
    </row>
    <row r="2922" spans="1:11" x14ac:dyDescent="0.3">
      <c r="A2922" s="32">
        <f>IF(G2922=G2921,A2921+1,1)</f>
        <v>2</v>
      </c>
      <c r="B2922" s="33">
        <v>47572</v>
      </c>
      <c r="C2922" s="6" t="s">
        <v>273</v>
      </c>
      <c r="D2922" s="34">
        <v>30</v>
      </c>
      <c r="E2922" s="32">
        <f>DAY(TableAopCalendar[[#This Row],[Date]])</f>
        <v>30</v>
      </c>
      <c r="F2922" s="32">
        <f>IF(TableAopCalendar[[#This Row],[Day]]&lt;8,1,IF(TableAopCalendar[[#This Row],[Day]]&lt;15,2,IF(TableAopCalendar[[#This Row],[Day]]&lt;22,3,IF(TableAopCalendar[[#This Row],[Day]]&lt;29,4,IF(TableAopCalendar[[#This Row],[Day]]&lt;32,5)))))</f>
        <v>5</v>
      </c>
      <c r="G2922" s="32" t="str">
        <f>"Week"&amp;" "&amp;F2922</f>
        <v>Week 5</v>
      </c>
      <c r="H2922" s="32" t="str">
        <f>CONCATENATE(C2922," ",D2922," ",G2922)</f>
        <v>March 30 Week 5</v>
      </c>
      <c r="I2922" s="32" t="str">
        <f>CONCATENATE(UPPER(TableAopCalendar[[#This Row],[Month]])," ",TableAopCalendar[[#This Row],[Year]])</f>
        <v>MARCH 30</v>
      </c>
      <c r="J2922" s="7" t="s">
        <v>274</v>
      </c>
      <c r="K2922" s="32" t="str">
        <f>CONCATENATE(TableAopCalendar[[#This Row],[Month for Plan]]," ",TableAopCalendar[[#This Row],[Plan]])</f>
        <v>MARCH 30 PLANNED</v>
      </c>
    </row>
    <row r="2923" spans="1:11" x14ac:dyDescent="0.3">
      <c r="A2923" s="32">
        <f>IF(G2923=G2922,A2922+1,1)</f>
        <v>3</v>
      </c>
      <c r="B2923" s="33">
        <v>47573</v>
      </c>
      <c r="C2923" s="6" t="s">
        <v>273</v>
      </c>
      <c r="D2923" s="34">
        <v>30</v>
      </c>
      <c r="E2923" s="32">
        <f>DAY(TableAopCalendar[[#This Row],[Date]])</f>
        <v>31</v>
      </c>
      <c r="F2923" s="32">
        <f>IF(TableAopCalendar[[#This Row],[Day]]&lt;8,1,IF(TableAopCalendar[[#This Row],[Day]]&lt;15,2,IF(TableAopCalendar[[#This Row],[Day]]&lt;22,3,IF(TableAopCalendar[[#This Row],[Day]]&lt;29,4,IF(TableAopCalendar[[#This Row],[Day]]&lt;32,5)))))</f>
        <v>5</v>
      </c>
      <c r="G2923" s="32" t="str">
        <f>"Week"&amp;" "&amp;F2923</f>
        <v>Week 5</v>
      </c>
      <c r="H2923" s="32" t="str">
        <f>CONCATENATE(C2923," ",D2923," ",G2923)</f>
        <v>March 30 Week 5</v>
      </c>
      <c r="I2923" s="32" t="str">
        <f>CONCATENATE(UPPER(TableAopCalendar[[#This Row],[Month]])," ",TableAopCalendar[[#This Row],[Year]])</f>
        <v>MARCH 30</v>
      </c>
      <c r="J2923" s="7" t="s">
        <v>274</v>
      </c>
      <c r="K2923" s="32" t="str">
        <f>CONCATENATE(TableAopCalendar[[#This Row],[Month for Plan]]," ",TableAopCalendar[[#This Row],[Plan]])</f>
        <v>MARCH 30 PLANNED</v>
      </c>
    </row>
  </sheetData>
  <sheetProtection autoFilter="0"/>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0BC7D6AB309B04DA9C5FFBE53C402F2" ma:contentTypeVersion="5" ma:contentTypeDescription="Create a new document." ma:contentTypeScope="" ma:versionID="27ebfb6fa002a2e016e40e736e0ada7b">
  <xsd:schema xmlns:xsd="http://www.w3.org/2001/XMLSchema" xmlns:xs="http://www.w3.org/2001/XMLSchema" xmlns:p="http://schemas.microsoft.com/office/2006/metadata/properties" xmlns:ns3="e2d88a1f-a96b-4a50-bc4e-1d57be537151" targetNamespace="http://schemas.microsoft.com/office/2006/metadata/properties" ma:root="true" ma:fieldsID="e4c347eb82251d8994c7948c43e4e660" ns3:_="">
    <xsd:import namespace="e2d88a1f-a96b-4a50-bc4e-1d57be537151"/>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d88a1f-a96b-4a50-bc4e-1d57be537151"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09AD0D2-9CEF-4F98-BF47-1D0DF8A721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2d88a1f-a96b-4a50-bc4e-1d57be53715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8FB6B07-4DF3-413C-B732-56DAF3B73900}">
  <ds:schemaRefs>
    <ds:schemaRef ds:uri="http://schemas.microsoft.com/sharepoint/v3/contenttype/forms"/>
  </ds:schemaRefs>
</ds:datastoreItem>
</file>

<file path=customXml/itemProps3.xml><?xml version="1.0" encoding="utf-8"?>
<ds:datastoreItem xmlns:ds="http://schemas.openxmlformats.org/officeDocument/2006/customXml" ds:itemID="{835EDB72-E3F8-45F7-B7E9-27A43007C772}">
  <ds:schemaRefs>
    <ds:schemaRef ds:uri="http://schemas.microsoft.com/office/2006/documentManagement/types"/>
    <ds:schemaRef ds:uri="http://purl.org/dc/elements/1.1/"/>
    <ds:schemaRef ds:uri="http://purl.org/dc/terms/"/>
    <ds:schemaRef ds:uri="http://schemas.openxmlformats.org/package/2006/metadata/core-properties"/>
    <ds:schemaRef ds:uri="http://purl.org/dc/dcmitype/"/>
    <ds:schemaRef ds:uri="http://schemas.microsoft.com/office/2006/metadata/properties"/>
    <ds:schemaRef ds:uri="http://www.w3.org/XML/1998/namespace"/>
    <ds:schemaRef ds:uri="e2d88a1f-a96b-4a50-bc4e-1d57be537151"/>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Main Dashboard</vt:lpstr>
      <vt:lpstr>Summary</vt:lpstr>
      <vt:lpstr>Zone Wise Summary</vt:lpstr>
      <vt:lpstr>Backup</vt:lpstr>
      <vt:lpstr>AOP Format</vt:lpstr>
      <vt:lpstr>AOP Calendar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2026-06-04T12:11:56Z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0x01010000BC7D6AB309B04DA9C5FFBE53C402F2</vt:lpwstr>
  </property>
</Properties>
</file>